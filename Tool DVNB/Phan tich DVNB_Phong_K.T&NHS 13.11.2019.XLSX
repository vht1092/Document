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HANHVTM\BP.RISK\KHAC\20190905 _phan bo chi phi\Du lieu test thu 13.11.2019\"/>
    </mc:Choice>
  </mc:AlternateContent>
  <bookViews>
    <workbookView xWindow="0" yWindow="0" windowWidth="19200" windowHeight="9735" firstSheet="4" activeTab="4"/>
  </bookViews>
  <sheets>
    <sheet name="data" sheetId="1" state="veryHidden" r:id="rId1"/>
    <sheet name="Name_Khoi" sheetId="4" state="veryHidden" r:id="rId2"/>
    <sheet name="Name_Phong" sheetId="3" state="veryHidden" r:id="rId3"/>
    <sheet name="running" sheetId="2" state="veryHidden" r:id="rId4"/>
    <sheet name="NC&amp;PTKD" sheetId="11" r:id="rId5"/>
    <sheet name="GS&amp;TS" sheetId="9" r:id="rId6"/>
    <sheet name="KT&amp;VH (VH)" sheetId="12" r:id="rId7"/>
    <sheet name="KT&amp;VH (KT)" sheetId="8" r:id="rId8"/>
    <sheet name="Sheet1" sheetId="6" state="hidden" r:id="rId9"/>
  </sheets>
  <externalReferences>
    <externalReference r:id="rId10"/>
    <externalReference r:id="rId11"/>
  </externalReferences>
  <definedNames>
    <definedName name="_xlnm._FilterDatabase" localSheetId="0" hidden="1">data!$A$4:$AB$4</definedName>
    <definedName name="_xlnm._FilterDatabase" localSheetId="5" hidden="1">'GS&amp;TS'!$A$14:$AE$78</definedName>
    <definedName name="_xlnm._FilterDatabase" localSheetId="7" hidden="1">'KT&amp;VH (KT)'!$A$6:$Z$56</definedName>
    <definedName name="_xlnm._FilterDatabase" localSheetId="6" hidden="1">'KT&amp;VH (VH)'!$A$14:$AE$45</definedName>
    <definedName name="_xlnm._FilterDatabase" localSheetId="4" hidden="1">'NC&amp;PTKD'!$A$14:$AE$25</definedName>
    <definedName name="_xlnm._FilterDatabase" localSheetId="3" hidden="1">running!$A$6:$AB$6</definedName>
    <definedName name="KHOI01">Name_Phong!$C$3:$C$13</definedName>
    <definedName name="KHOI02">Name_Phong!$C$14:$C$18</definedName>
    <definedName name="KHOI03">Name_Phong!$C$19:$C$22</definedName>
    <definedName name="KHOI04">Name_Phong!$C$23:$C$25</definedName>
    <definedName name="KHOI05">Name_Phong!$C$26:$C$30</definedName>
    <definedName name="KHOI06">Name_Phong!$C$31:$C$33</definedName>
    <definedName name="KHOI07">Name_Phong!$C$34:$C$38</definedName>
    <definedName name="KHOI08">Name_Phong!$C$39:$C$40</definedName>
    <definedName name="KHOI09">Name_Phong!$C$41:$C$42</definedName>
    <definedName name="KHOI10">Name_Phong!$C$43:$C$49</definedName>
    <definedName name="KHOI11">Name_Phong!$C$50:$C$51</definedName>
    <definedName name="KHOI12">Name_Phong!$C$52:$C$56</definedName>
    <definedName name="KHOI13">Name_Phong!$C$57</definedName>
    <definedName name="KHOI14">Name_Phong!$C$58:$C$59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8" i="9" l="1"/>
  <c r="R34" i="9" l="1"/>
  <c r="N20" i="12" l="1"/>
  <c r="N21" i="12"/>
  <c r="N22" i="12"/>
  <c r="N23" i="12"/>
  <c r="N32" i="12" l="1"/>
  <c r="N30" i="12"/>
  <c r="N18" i="12" l="1"/>
  <c r="N17" i="12"/>
  <c r="N31" i="12" l="1"/>
  <c r="N45" i="12" l="1"/>
  <c r="N44" i="12"/>
  <c r="N43" i="12"/>
  <c r="N42" i="12"/>
  <c r="N41" i="12"/>
  <c r="N40" i="12"/>
  <c r="N39" i="12"/>
  <c r="N38" i="12"/>
  <c r="N37" i="12"/>
  <c r="N34" i="12"/>
  <c r="N33" i="12"/>
  <c r="N29" i="12"/>
  <c r="N28" i="12"/>
  <c r="N27" i="12"/>
  <c r="N26" i="12"/>
  <c r="N25" i="12"/>
  <c r="N24" i="12"/>
  <c r="N19" i="12"/>
  <c r="N16" i="12"/>
  <c r="N15" i="12"/>
  <c r="I10" i="12"/>
  <c r="N15" i="11" l="1"/>
  <c r="N21" i="11"/>
  <c r="N20" i="11"/>
  <c r="N54" i="9" l="1"/>
  <c r="N40" i="9" l="1"/>
  <c r="N65" i="9" l="1"/>
  <c r="N64" i="9"/>
  <c r="N63" i="9"/>
  <c r="N62" i="9"/>
  <c r="N60" i="9"/>
  <c r="N59" i="9"/>
  <c r="N58" i="9"/>
  <c r="N57" i="9"/>
  <c r="N56" i="9"/>
  <c r="N53" i="9"/>
  <c r="N52" i="9"/>
  <c r="N51" i="9"/>
  <c r="N50" i="9"/>
  <c r="N48" i="9"/>
  <c r="N47" i="9"/>
  <c r="N46" i="9"/>
  <c r="N43" i="9"/>
  <c r="N41" i="9"/>
  <c r="N61" i="9" l="1"/>
  <c r="N55" i="9"/>
  <c r="N49" i="9"/>
  <c r="N45" i="9"/>
  <c r="N44" i="9"/>
  <c r="N42" i="9"/>
  <c r="N39" i="9"/>
  <c r="N38" i="9"/>
  <c r="I10" i="9"/>
  <c r="L15" i="9" l="1"/>
  <c r="R23" i="9"/>
  <c r="O25" i="9"/>
  <c r="D26" i="9"/>
  <c r="P26" i="9"/>
  <c r="K27" i="9"/>
  <c r="E28" i="9"/>
  <c r="L28" i="9"/>
  <c r="E29" i="9"/>
  <c r="O29" i="9"/>
  <c r="F30" i="9"/>
  <c r="K30" i="9"/>
  <c r="D15" i="9"/>
  <c r="H19" i="9"/>
  <c r="H20" i="9"/>
  <c r="K24" i="9"/>
  <c r="P27" i="9"/>
  <c r="D29" i="9"/>
  <c r="K29" i="9"/>
  <c r="S29" i="9"/>
  <c r="E30" i="9"/>
  <c r="M30" i="9"/>
  <c r="M33" i="9"/>
  <c r="R33" i="9"/>
  <c r="I34" i="9"/>
  <c r="M34" i="9"/>
  <c r="O23" i="9"/>
  <c r="D24" i="9"/>
  <c r="L24" i="9"/>
  <c r="D25" i="9"/>
  <c r="L25" i="9"/>
  <c r="K26" i="9"/>
  <c r="F29" i="9"/>
  <c r="J33" i="9"/>
  <c r="J34" i="9"/>
  <c r="S34" i="9"/>
  <c r="J35" i="9"/>
  <c r="S35" i="9"/>
  <c r="J36" i="9"/>
  <c r="D19" i="9"/>
  <c r="P24" i="9"/>
  <c r="L27" i="9"/>
  <c r="K28" i="9"/>
  <c r="O30" i="9"/>
  <c r="D33" i="9"/>
  <c r="K33" i="9"/>
  <c r="U33" i="9"/>
  <c r="O34" i="9"/>
  <c r="K35" i="9"/>
  <c r="P35" i="9"/>
  <c r="L36" i="9"/>
  <c r="H37" i="9"/>
  <c r="L37" i="9"/>
  <c r="P37" i="9"/>
  <c r="H67" i="9"/>
  <c r="L67" i="9"/>
  <c r="H68" i="9"/>
  <c r="L68" i="9"/>
  <c r="P68" i="9"/>
  <c r="H69" i="9"/>
  <c r="L69" i="9"/>
  <c r="P69" i="9"/>
  <c r="L70" i="9"/>
  <c r="P70" i="9"/>
  <c r="H71" i="9"/>
  <c r="L71" i="9"/>
  <c r="H72" i="9"/>
  <c r="L72" i="9"/>
  <c r="H73" i="9"/>
  <c r="L73" i="9"/>
  <c r="H74" i="9"/>
  <c r="L74" i="9"/>
  <c r="H75" i="9"/>
  <c r="L75" i="9"/>
  <c r="K15" i="9"/>
  <c r="O26" i="9"/>
  <c r="O27" i="9"/>
  <c r="D30" i="9"/>
  <c r="S30" i="9"/>
  <c r="L33" i="9"/>
  <c r="H34" i="9"/>
  <c r="P34" i="9"/>
  <c r="L35" i="9"/>
  <c r="D36" i="9"/>
  <c r="M36" i="9"/>
  <c r="I37" i="9"/>
  <c r="M37" i="9"/>
  <c r="R37" i="9"/>
  <c r="I67" i="9"/>
  <c r="M67" i="9"/>
  <c r="E68" i="9"/>
  <c r="I68" i="9"/>
  <c r="M68" i="9"/>
  <c r="I69" i="9"/>
  <c r="M69" i="9"/>
  <c r="C70" i="9"/>
  <c r="E70" i="9"/>
  <c r="I70" i="9"/>
  <c r="M70" i="9"/>
  <c r="C71" i="9"/>
  <c r="E71" i="9"/>
  <c r="I71" i="9"/>
  <c r="M71" i="9"/>
  <c r="C72" i="9"/>
  <c r="E72" i="9"/>
  <c r="I72" i="9"/>
  <c r="M72" i="9"/>
  <c r="R72" i="9"/>
  <c r="C73" i="9"/>
  <c r="I73" i="9"/>
  <c r="M73" i="9"/>
  <c r="C74" i="9"/>
  <c r="I74" i="9"/>
  <c r="M74" i="9"/>
  <c r="R74" i="9"/>
  <c r="C75" i="9"/>
  <c r="E75" i="9"/>
  <c r="I75" i="9"/>
  <c r="M75" i="9"/>
  <c r="C76" i="9"/>
  <c r="E76" i="9"/>
  <c r="I76" i="9"/>
  <c r="M76" i="9"/>
  <c r="K20" i="9"/>
  <c r="E24" i="9"/>
  <c r="D34" i="9"/>
  <c r="H35" i="9"/>
  <c r="U35" i="9"/>
  <c r="I36" i="9"/>
  <c r="S36" i="9"/>
  <c r="J68" i="9"/>
  <c r="S68" i="9"/>
  <c r="F70" i="9"/>
  <c r="J71" i="9"/>
  <c r="F72" i="9"/>
  <c r="J73" i="9"/>
  <c r="F74" i="9"/>
  <c r="J75" i="9"/>
  <c r="J76" i="9"/>
  <c r="O76" i="9"/>
  <c r="H66" i="9"/>
  <c r="L66" i="9"/>
  <c r="L77" i="9"/>
  <c r="L78" i="9"/>
  <c r="N78" i="9" s="1"/>
  <c r="O20" i="9"/>
  <c r="E26" i="9"/>
  <c r="D28" i="9"/>
  <c r="U34" i="9"/>
  <c r="I35" i="9"/>
  <c r="K36" i="9"/>
  <c r="U36" i="9"/>
  <c r="O37" i="9"/>
  <c r="G67" i="9"/>
  <c r="O67" i="9"/>
  <c r="K68" i="9"/>
  <c r="U68" i="9"/>
  <c r="G69" i="9"/>
  <c r="O69" i="9"/>
  <c r="G70" i="9"/>
  <c r="O70" i="9"/>
  <c r="K71" i="9"/>
  <c r="G72" i="9"/>
  <c r="O72" i="9"/>
  <c r="K73" i="9"/>
  <c r="G74" i="9"/>
  <c r="O74" i="9"/>
  <c r="K75" i="9"/>
  <c r="F76" i="9"/>
  <c r="K76" i="9"/>
  <c r="I66" i="9"/>
  <c r="C77" i="9"/>
  <c r="O33" i="9"/>
  <c r="D35" i="9"/>
  <c r="S67" i="9"/>
  <c r="J69" i="9"/>
  <c r="J72" i="9"/>
  <c r="F73" i="9"/>
  <c r="G76" i="9"/>
  <c r="L23" i="9"/>
  <c r="L34" i="9"/>
  <c r="O35" i="9"/>
  <c r="O36" i="9"/>
  <c r="K37" i="9"/>
  <c r="K67" i="9"/>
  <c r="G68" i="9"/>
  <c r="U69" i="9"/>
  <c r="K70" i="9"/>
  <c r="G71" i="9"/>
  <c r="O73" i="9"/>
  <c r="K74" i="9"/>
  <c r="G75" i="9"/>
  <c r="G66" i="9"/>
  <c r="O66" i="9"/>
  <c r="K77" i="9"/>
  <c r="O78" i="9"/>
  <c r="O68" i="9"/>
  <c r="U70" i="9"/>
  <c r="K72" i="9"/>
  <c r="O75" i="9"/>
  <c r="M35" i="9"/>
  <c r="J37" i="9"/>
  <c r="J67" i="9"/>
  <c r="F71" i="9"/>
  <c r="S72" i="9"/>
  <c r="J74" i="9"/>
  <c r="F66" i="9"/>
  <c r="P33" i="9"/>
  <c r="U37" i="9"/>
  <c r="K69" i="9"/>
  <c r="O71" i="9"/>
  <c r="H23" i="9"/>
  <c r="K34" i="9"/>
  <c r="S69" i="9"/>
  <c r="F75" i="9"/>
  <c r="G73" i="9"/>
  <c r="J66" i="9"/>
  <c r="J70" i="9"/>
  <c r="L76" i="9"/>
  <c r="O77" i="9"/>
  <c r="F68" i="9"/>
  <c r="K66" i="9"/>
  <c r="H76" i="9"/>
  <c r="E27" i="9"/>
  <c r="L30" i="9"/>
  <c r="P29" i="9"/>
  <c r="L29" i="9"/>
  <c r="O28" i="9"/>
  <c r="H27" i="9"/>
  <c r="D27" i="9"/>
  <c r="L26" i="9"/>
  <c r="P25" i="9"/>
  <c r="K25" i="9"/>
  <c r="E25" i="9"/>
  <c r="O24" i="9"/>
  <c r="K23" i="9"/>
  <c r="L20" i="9"/>
  <c r="O15" i="9"/>
  <c r="S28" i="9"/>
  <c r="S27" i="9"/>
  <c r="F27" i="9"/>
  <c r="S26" i="9"/>
  <c r="J26" i="9"/>
  <c r="F26" i="9"/>
  <c r="S25" i="9"/>
  <c r="J25" i="9"/>
  <c r="F25" i="9"/>
  <c r="S24" i="9"/>
  <c r="J24" i="9"/>
  <c r="F24" i="9"/>
  <c r="J23" i="9"/>
  <c r="J20" i="9"/>
  <c r="N15" i="9" l="1"/>
  <c r="N26" i="9"/>
  <c r="N77" i="9"/>
  <c r="N24" i="9"/>
  <c r="N27" i="9"/>
  <c r="N25" i="9"/>
  <c r="N76" i="9"/>
  <c r="N28" i="9"/>
  <c r="C29" i="9"/>
  <c r="D37" i="9"/>
  <c r="D38" i="9"/>
  <c r="K21" i="9"/>
  <c r="N70" i="9"/>
  <c r="C69" i="9"/>
  <c r="N34" i="9"/>
  <c r="C23" i="9"/>
  <c r="N72" i="9"/>
  <c r="N69" i="9"/>
  <c r="C36" i="9"/>
  <c r="C21" i="9"/>
  <c r="D17" i="9"/>
  <c r="D16" i="9"/>
  <c r="C30" i="9"/>
  <c r="L19" i="9"/>
  <c r="L18" i="9"/>
  <c r="K19" i="9"/>
  <c r="K18" i="9"/>
  <c r="O22" i="9"/>
  <c r="C26" i="9"/>
  <c r="C15" i="9"/>
  <c r="N23" i="9"/>
  <c r="L22" i="9"/>
  <c r="C17" i="9"/>
  <c r="C16" i="9"/>
  <c r="S38" i="9"/>
  <c r="N35" i="9"/>
  <c r="C68" i="9"/>
  <c r="C38" i="9"/>
  <c r="O32" i="9"/>
  <c r="N75" i="9"/>
  <c r="N71" i="9"/>
  <c r="N68" i="9"/>
  <c r="L31" i="9"/>
  <c r="S33" i="9"/>
  <c r="L32" i="9"/>
  <c r="K31" i="9"/>
  <c r="C34" i="9"/>
  <c r="O31" i="9"/>
  <c r="N29" i="9"/>
  <c r="C24" i="9"/>
  <c r="N20" i="9"/>
  <c r="C32" i="9"/>
  <c r="C22" i="9"/>
  <c r="K16" i="9"/>
  <c r="K17" i="9"/>
  <c r="O19" i="9"/>
  <c r="O18" i="9"/>
  <c r="C27" i="9"/>
  <c r="C66" i="9"/>
  <c r="N66" i="9"/>
  <c r="C67" i="9"/>
  <c r="C37" i="9"/>
  <c r="C35" i="9"/>
  <c r="N74" i="9"/>
  <c r="N67" i="9"/>
  <c r="N37" i="9"/>
  <c r="O16" i="9"/>
  <c r="O17" i="9"/>
  <c r="C33" i="9"/>
  <c r="K32" i="9"/>
  <c r="J31" i="9"/>
  <c r="C31" i="9"/>
  <c r="N30" i="9"/>
  <c r="O21" i="9"/>
  <c r="J22" i="9"/>
  <c r="J19" i="9"/>
  <c r="J18" i="9"/>
  <c r="C20" i="9"/>
  <c r="L21" i="9"/>
  <c r="O38" i="9"/>
  <c r="J32" i="9"/>
  <c r="N36" i="9"/>
  <c r="C28" i="9"/>
  <c r="N73" i="9"/>
  <c r="N33" i="9"/>
  <c r="C19" i="9"/>
  <c r="C18" i="9"/>
  <c r="L16" i="9"/>
  <c r="L17" i="9"/>
  <c r="C25" i="9"/>
  <c r="M16" i="9"/>
  <c r="N31" i="9" l="1"/>
  <c r="N19" i="9"/>
  <c r="N22" i="9"/>
  <c r="N21" i="9"/>
  <c r="N32" i="9"/>
  <c r="N18" i="9"/>
  <c r="N17" i="9"/>
  <c r="N16" i="9"/>
  <c r="K55" i="8"/>
  <c r="J55" i="8"/>
  <c r="I55" i="8"/>
  <c r="H55" i="8"/>
  <c r="G55" i="8"/>
  <c r="F55" i="8"/>
  <c r="U6" i="1" l="1"/>
  <c r="U7" i="1"/>
  <c r="U8" i="1"/>
  <c r="U9" i="1"/>
  <c r="U10" i="1"/>
  <c r="U11" i="1"/>
  <c r="U12" i="1"/>
  <c r="U13" i="1"/>
  <c r="U14" i="1"/>
  <c r="U15" i="1"/>
  <c r="U16" i="1"/>
  <c r="U17" i="1"/>
  <c r="U18" i="1"/>
  <c r="U19" i="1"/>
  <c r="U20" i="1"/>
  <c r="U21" i="1"/>
  <c r="U22" i="1"/>
  <c r="U23" i="1"/>
  <c r="U24" i="1"/>
  <c r="U26" i="1"/>
  <c r="U27" i="1"/>
  <c r="U29" i="1"/>
  <c r="U30" i="1"/>
  <c r="U31" i="1"/>
  <c r="U32" i="1"/>
  <c r="U33" i="1"/>
  <c r="U34" i="1"/>
  <c r="U35" i="1"/>
  <c r="U37" i="1"/>
  <c r="U38" i="1"/>
  <c r="U39" i="1"/>
  <c r="U40" i="1"/>
  <c r="U42" i="1"/>
  <c r="U43" i="1"/>
  <c r="U44" i="1"/>
  <c r="U45" i="1"/>
  <c r="U46" i="1"/>
  <c r="U47" i="1"/>
  <c r="U48" i="1"/>
  <c r="U49" i="1"/>
  <c r="U50" i="1"/>
  <c r="U51" i="1"/>
  <c r="U52" i="1"/>
  <c r="U53" i="1"/>
  <c r="U54" i="1"/>
  <c r="U55" i="1"/>
  <c r="U56" i="1"/>
  <c r="U57" i="1"/>
  <c r="U58" i="1"/>
  <c r="U59" i="1"/>
  <c r="U60" i="1"/>
  <c r="U61" i="1"/>
  <c r="U62" i="1"/>
  <c r="U63" i="1"/>
  <c r="U64" i="1"/>
  <c r="U65" i="1"/>
  <c r="U66" i="1"/>
  <c r="U67" i="1"/>
  <c r="U69" i="1"/>
  <c r="U71" i="1"/>
  <c r="U74" i="1"/>
  <c r="U76" i="1"/>
  <c r="U77" i="1"/>
  <c r="U78" i="1"/>
  <c r="U79" i="1"/>
  <c r="U80" i="1"/>
  <c r="U81" i="1"/>
  <c r="U82" i="1"/>
  <c r="U83" i="1"/>
  <c r="U84" i="1"/>
  <c r="U85"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43" i="1"/>
  <c r="U145" i="1"/>
  <c r="U146" i="1"/>
  <c r="U147" i="1"/>
  <c r="U149" i="1"/>
  <c r="U150" i="1"/>
  <c r="U151" i="1"/>
  <c r="U152" i="1"/>
  <c r="U153" i="1"/>
  <c r="U154" i="1"/>
  <c r="U156" i="1"/>
  <c r="U157" i="1"/>
  <c r="U162" i="1"/>
  <c r="U163" i="1"/>
  <c r="U169" i="1"/>
  <c r="U170" i="1"/>
  <c r="U171" i="1"/>
  <c r="U172" i="1"/>
  <c r="U173" i="1"/>
  <c r="U174" i="1"/>
  <c r="U175" i="1"/>
  <c r="U176" i="1"/>
  <c r="U177" i="1"/>
  <c r="U178" i="1"/>
  <c r="U179" i="1"/>
  <c r="U180" i="1"/>
  <c r="U181" i="1"/>
  <c r="U182" i="1"/>
  <c r="U183" i="1"/>
  <c r="U184" i="1"/>
  <c r="U185" i="1"/>
  <c r="U186"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5" i="1"/>
  <c r="C4" i="2" l="1"/>
  <c r="H8" i="2" s="1" a="1"/>
  <c r="W2205" i="2" s="1"/>
  <c r="C3" i="2"/>
  <c r="S2343" i="2" l="1"/>
  <c r="O2340" i="2"/>
  <c r="AA2333" i="2"/>
  <c r="O2324" i="2"/>
  <c r="S2311" i="2"/>
  <c r="W2298" i="2"/>
  <c r="AA2285" i="2"/>
  <c r="K2273" i="2"/>
  <c r="O2260" i="2"/>
  <c r="S2247" i="2"/>
  <c r="W2234" i="2"/>
  <c r="AA2221" i="2"/>
  <c r="K2209" i="2"/>
  <c r="K2345" i="2"/>
  <c r="AA2341" i="2"/>
  <c r="K2337" i="2"/>
  <c r="W2330" i="2"/>
  <c r="AA2317" i="2"/>
  <c r="K2305" i="2"/>
  <c r="O2292" i="2"/>
  <c r="S2279" i="2"/>
  <c r="W2266" i="2"/>
  <c r="AA2253" i="2"/>
  <c r="K2241" i="2"/>
  <c r="O2228" i="2"/>
  <c r="S2215" i="2"/>
  <c r="O2344" i="2"/>
  <c r="K2341" i="2"/>
  <c r="S2335" i="2"/>
  <c r="S2327" i="2"/>
  <c r="W2314" i="2"/>
  <c r="AA2301" i="2"/>
  <c r="K2289" i="2"/>
  <c r="O2276" i="2"/>
  <c r="S2263" i="2"/>
  <c r="W2250" i="2"/>
  <c r="AA2237" i="2"/>
  <c r="K2225" i="2"/>
  <c r="O2212" i="2"/>
  <c r="AA2345" i="2"/>
  <c r="W2342" i="2"/>
  <c r="W2338" i="2"/>
  <c r="O2332" i="2"/>
  <c r="K2321" i="2"/>
  <c r="O2308" i="2"/>
  <c r="S2295" i="2"/>
  <c r="W2282" i="2"/>
  <c r="AA2269" i="2"/>
  <c r="K2257" i="2"/>
  <c r="O2244" i="2"/>
  <c r="S2231" i="2"/>
  <c r="W2218" i="2"/>
  <c r="K2204" i="2"/>
  <c r="K2329" i="2"/>
  <c r="AA2325" i="2"/>
  <c r="W2322" i="2"/>
  <c r="S2319" i="2"/>
  <c r="O2316" i="2"/>
  <c r="K2313" i="2"/>
  <c r="AA2309" i="2"/>
  <c r="W2306" i="2"/>
  <c r="S2303" i="2"/>
  <c r="O2300" i="2"/>
  <c r="K2297" i="2"/>
  <c r="AA2293" i="2"/>
  <c r="W2290" i="2"/>
  <c r="S2287" i="2"/>
  <c r="O2284" i="2"/>
  <c r="K2281" i="2"/>
  <c r="AA2277" i="2"/>
  <c r="W2274" i="2"/>
  <c r="S2271" i="2"/>
  <c r="O2268" i="2"/>
  <c r="K2265" i="2"/>
  <c r="AA2261" i="2"/>
  <c r="W2258" i="2"/>
  <c r="S2255" i="2"/>
  <c r="O2252" i="2"/>
  <c r="K2249" i="2"/>
  <c r="AA2245" i="2"/>
  <c r="W2242" i="2"/>
  <c r="S2239" i="2"/>
  <c r="O2236" i="2"/>
  <c r="K2233" i="2"/>
  <c r="AA2229" i="2"/>
  <c r="W2226" i="2"/>
  <c r="S2223" i="2"/>
  <c r="O2220" i="2"/>
  <c r="K2217" i="2"/>
  <c r="AA2213" i="2"/>
  <c r="W2210" i="2"/>
  <c r="O2207" i="2"/>
  <c r="S2345" i="2"/>
  <c r="AA2343" i="2"/>
  <c r="O2342" i="2"/>
  <c r="W2340" i="2"/>
  <c r="AA2337" i="2"/>
  <c r="W2334" i="2"/>
  <c r="S2331" i="2"/>
  <c r="O2328" i="2"/>
  <c r="K2325" i="2"/>
  <c r="AA2321" i="2"/>
  <c r="W2318" i="2"/>
  <c r="S2315" i="2"/>
  <c r="O2312" i="2"/>
  <c r="K2309" i="2"/>
  <c r="AA2305" i="2"/>
  <c r="W2302" i="2"/>
  <c r="S2299" i="2"/>
  <c r="O2296" i="2"/>
  <c r="K2293" i="2"/>
  <c r="AA2289" i="2"/>
  <c r="W2286" i="2"/>
  <c r="S2283" i="2"/>
  <c r="O2280" i="2"/>
  <c r="K2277" i="2"/>
  <c r="AA2273" i="2"/>
  <c r="W2270" i="2"/>
  <c r="S2267" i="2"/>
  <c r="O2264" i="2"/>
  <c r="K2261" i="2"/>
  <c r="AA2257" i="2"/>
  <c r="W2254" i="2"/>
  <c r="S2251" i="2"/>
  <c r="O2248" i="2"/>
  <c r="K2245" i="2"/>
  <c r="AA2241" i="2"/>
  <c r="W2238" i="2"/>
  <c r="S2235" i="2"/>
  <c r="O2232" i="2"/>
  <c r="K2229" i="2"/>
  <c r="AA2225" i="2"/>
  <c r="W2222" i="2"/>
  <c r="S2219" i="2"/>
  <c r="O2216" i="2"/>
  <c r="K2213" i="2"/>
  <c r="AA2209" i="2"/>
  <c r="J1049" i="2"/>
  <c r="W2201" i="2"/>
  <c r="AA2204" i="2"/>
  <c r="AA2207" i="2"/>
  <c r="S2209" i="2"/>
  <c r="K2211" i="2"/>
  <c r="W2212" i="2"/>
  <c r="O2214" i="2"/>
  <c r="AA2215" i="2"/>
  <c r="S2217" i="2"/>
  <c r="K2219" i="2"/>
  <c r="W2220" i="2"/>
  <c r="O2222" i="2"/>
  <c r="AA2223" i="2"/>
  <c r="S2225" i="2"/>
  <c r="K2227" i="2"/>
  <c r="W2228" i="2"/>
  <c r="O2230" i="2"/>
  <c r="AA2231" i="2"/>
  <c r="S2233" i="2"/>
  <c r="K2235" i="2"/>
  <c r="W2236" i="2"/>
  <c r="O2238" i="2"/>
  <c r="AA2239" i="2"/>
  <c r="S2241" i="2"/>
  <c r="K2243" i="2"/>
  <c r="W2244" i="2"/>
  <c r="O2246" i="2"/>
  <c r="AA2247" i="2"/>
  <c r="S2249" i="2"/>
  <c r="K2251" i="2"/>
  <c r="W2252" i="2"/>
  <c r="O2254" i="2"/>
  <c r="AA2255" i="2"/>
  <c r="S2257" i="2"/>
  <c r="K2259" i="2"/>
  <c r="W2260" i="2"/>
  <c r="O2262" i="2"/>
  <c r="AA2263" i="2"/>
  <c r="S2265" i="2"/>
  <c r="K2267" i="2"/>
  <c r="W2268" i="2"/>
  <c r="O2270" i="2"/>
  <c r="AA2271" i="2"/>
  <c r="S2273" i="2"/>
  <c r="K2275" i="2"/>
  <c r="W2276" i="2"/>
  <c r="O2278" i="2"/>
  <c r="AA2279" i="2"/>
  <c r="S2281" i="2"/>
  <c r="K2283" i="2"/>
  <c r="W2284" i="2"/>
  <c r="O2286" i="2"/>
  <c r="AA2287" i="2"/>
  <c r="S2289" i="2"/>
  <c r="K2291" i="2"/>
  <c r="W2292" i="2"/>
  <c r="O2294" i="2"/>
  <c r="AA2295" i="2"/>
  <c r="S2297" i="2"/>
  <c r="K2299" i="2"/>
  <c r="W2300" i="2"/>
  <c r="O2302" i="2"/>
  <c r="AA2303" i="2"/>
  <c r="S2305" i="2"/>
  <c r="K2307" i="2"/>
  <c r="W2308" i="2"/>
  <c r="O2310" i="2"/>
  <c r="AA2311" i="2"/>
  <c r="S2313" i="2"/>
  <c r="K2315" i="2"/>
  <c r="W2316" i="2"/>
  <c r="O2318" i="2"/>
  <c r="AA2319" i="2"/>
  <c r="S2321" i="2"/>
  <c r="K2323" i="2"/>
  <c r="W2324" i="2"/>
  <c r="O2326" i="2"/>
  <c r="AA2327" i="2"/>
  <c r="S2329" i="2"/>
  <c r="K2331" i="2"/>
  <c r="W2332" i="2"/>
  <c r="O2334" i="2"/>
  <c r="AA2335" i="2"/>
  <c r="S2337" i="2"/>
  <c r="K2339" i="2"/>
  <c r="O2203" i="2"/>
  <c r="S2206" i="2"/>
  <c r="W2208" i="2"/>
  <c r="O2210" i="2"/>
  <c r="AA2211" i="2"/>
  <c r="S2213" i="2"/>
  <c r="K2215" i="2"/>
  <c r="W2216" i="2"/>
  <c r="O2218" i="2"/>
  <c r="AA2219" i="2"/>
  <c r="S2221" i="2"/>
  <c r="K2223" i="2"/>
  <c r="W2224" i="2"/>
  <c r="O2226" i="2"/>
  <c r="AA2227" i="2"/>
  <c r="S2229" i="2"/>
  <c r="K2231" i="2"/>
  <c r="W2232" i="2"/>
  <c r="O2234" i="2"/>
  <c r="AA2235" i="2"/>
  <c r="S2237" i="2"/>
  <c r="K2239" i="2"/>
  <c r="W2240" i="2"/>
  <c r="O2242" i="2"/>
  <c r="AA2243" i="2"/>
  <c r="S2245" i="2"/>
  <c r="K2247" i="2"/>
  <c r="W2248" i="2"/>
  <c r="O2250" i="2"/>
  <c r="AA2251" i="2"/>
  <c r="S2253" i="2"/>
  <c r="K2255" i="2"/>
  <c r="W2256" i="2"/>
  <c r="O2258" i="2"/>
  <c r="AA2259" i="2"/>
  <c r="S2261" i="2"/>
  <c r="K2263" i="2"/>
  <c r="W2264" i="2"/>
  <c r="O2266" i="2"/>
  <c r="AA2267" i="2"/>
  <c r="S2269" i="2"/>
  <c r="K2271" i="2"/>
  <c r="W2272" i="2"/>
  <c r="O2274" i="2"/>
  <c r="AA2275" i="2"/>
  <c r="S2277" i="2"/>
  <c r="K2279" i="2"/>
  <c r="W2280" i="2"/>
  <c r="O2282" i="2"/>
  <c r="AA2283" i="2"/>
  <c r="S2285" i="2"/>
  <c r="K2287" i="2"/>
  <c r="W2288" i="2"/>
  <c r="O2290" i="2"/>
  <c r="AA2291" i="2"/>
  <c r="S2293" i="2"/>
  <c r="K2295" i="2"/>
  <c r="W2296" i="2"/>
  <c r="O2298" i="2"/>
  <c r="AA2299" i="2"/>
  <c r="S2301" i="2"/>
  <c r="K2303" i="2"/>
  <c r="W2304" i="2"/>
  <c r="O2306" i="2"/>
  <c r="AA2307" i="2"/>
  <c r="S2309" i="2"/>
  <c r="K2311" i="2"/>
  <c r="W2312" i="2"/>
  <c r="O2314" i="2"/>
  <c r="AA2315" i="2"/>
  <c r="S2317" i="2"/>
  <c r="K2319" i="2"/>
  <c r="W2320" i="2"/>
  <c r="O2322" i="2"/>
  <c r="AA2323" i="2"/>
  <c r="S2325" i="2"/>
  <c r="K2327" i="2"/>
  <c r="W2328" i="2"/>
  <c r="O2330" i="2"/>
  <c r="AA2331" i="2"/>
  <c r="S2333" i="2"/>
  <c r="K2335" i="2"/>
  <c r="W2336" i="2"/>
  <c r="O2338" i="2"/>
  <c r="AA2339" i="2"/>
  <c r="W2344" i="2"/>
  <c r="K2343" i="2"/>
  <c r="S2341" i="2"/>
  <c r="S2339" i="2"/>
  <c r="O2336" i="2"/>
  <c r="K2333" i="2"/>
  <c r="AA2329" i="2"/>
  <c r="W2326" i="2"/>
  <c r="S2323" i="2"/>
  <c r="O2320" i="2"/>
  <c r="K2317" i="2"/>
  <c r="AA2313" i="2"/>
  <c r="W2310" i="2"/>
  <c r="S2307" i="2"/>
  <c r="O2304" i="2"/>
  <c r="K2301" i="2"/>
  <c r="AA2297" i="2"/>
  <c r="W2294" i="2"/>
  <c r="S2291" i="2"/>
  <c r="O2288" i="2"/>
  <c r="K2285" i="2"/>
  <c r="AA2281" i="2"/>
  <c r="W2278" i="2"/>
  <c r="S2275" i="2"/>
  <c r="O2272" i="2"/>
  <c r="K2269" i="2"/>
  <c r="AA2265" i="2"/>
  <c r="W2262" i="2"/>
  <c r="S2259" i="2"/>
  <c r="O2256" i="2"/>
  <c r="K2253" i="2"/>
  <c r="AA2249" i="2"/>
  <c r="W2246" i="2"/>
  <c r="S2243" i="2"/>
  <c r="O2240" i="2"/>
  <c r="K2237" i="2"/>
  <c r="AA2233" i="2"/>
  <c r="W2230" i="2"/>
  <c r="S2227" i="2"/>
  <c r="O2224" i="2"/>
  <c r="K2221" i="2"/>
  <c r="AA2217" i="2"/>
  <c r="W2214" i="2"/>
  <c r="S2211" i="2"/>
  <c r="O2208" i="2"/>
  <c r="S2202" i="2"/>
  <c r="AA2200" i="2"/>
  <c r="K2200" i="2"/>
  <c r="O2199" i="2"/>
  <c r="S2198" i="2"/>
  <c r="W2197" i="2"/>
  <c r="AA2196" i="2"/>
  <c r="K2196" i="2"/>
  <c r="O2195" i="2"/>
  <c r="S2194" i="2"/>
  <c r="W2193" i="2"/>
  <c r="AA2192" i="2"/>
  <c r="K2192" i="2"/>
  <c r="O2191" i="2"/>
  <c r="S2190" i="2"/>
  <c r="W2189" i="2"/>
  <c r="AA2188" i="2"/>
  <c r="K2188" i="2"/>
  <c r="O2187" i="2"/>
  <c r="S2186" i="2"/>
  <c r="W2185" i="2"/>
  <c r="AA2184" i="2"/>
  <c r="K2184" i="2"/>
  <c r="O2183" i="2"/>
  <c r="S2182" i="2"/>
  <c r="W2181" i="2"/>
  <c r="AA2180" i="2"/>
  <c r="K2180" i="2"/>
  <c r="O2179" i="2"/>
  <c r="S2178" i="2"/>
  <c r="W2177" i="2"/>
  <c r="AA2176" i="2"/>
  <c r="K2176" i="2"/>
  <c r="O2175" i="2"/>
  <c r="S2174" i="2"/>
  <c r="W2173" i="2"/>
  <c r="AA2172" i="2"/>
  <c r="K2172" i="2"/>
  <c r="O2171" i="2"/>
  <c r="S2170" i="2"/>
  <c r="W2169" i="2"/>
  <c r="AA2168" i="2"/>
  <c r="K2168" i="2"/>
  <c r="O2167" i="2"/>
  <c r="S2166" i="2"/>
  <c r="W2165" i="2"/>
  <c r="AA2164" i="2"/>
  <c r="K2164" i="2"/>
  <c r="O2163" i="2"/>
  <c r="S2162" i="2"/>
  <c r="W2161" i="2"/>
  <c r="AA2160" i="2"/>
  <c r="K2160" i="2"/>
  <c r="O2159" i="2"/>
  <c r="S2158" i="2"/>
  <c r="W2157" i="2"/>
  <c r="AA2156" i="2"/>
  <c r="K2156" i="2"/>
  <c r="O2155" i="2"/>
  <c r="S2154" i="2"/>
  <c r="W2153" i="2"/>
  <c r="AA2152" i="2"/>
  <c r="K2152" i="2"/>
  <c r="O2151" i="2"/>
  <c r="S2150" i="2"/>
  <c r="W2149" i="2"/>
  <c r="AA2148" i="2"/>
  <c r="K2148" i="2"/>
  <c r="O2147" i="2"/>
  <c r="S2146" i="2"/>
  <c r="W2145" i="2"/>
  <c r="AA2144" i="2"/>
  <c r="K2144" i="2"/>
  <c r="O2143" i="2"/>
  <c r="S2142" i="2"/>
  <c r="W2141" i="2"/>
  <c r="AA2140" i="2"/>
  <c r="K2140" i="2"/>
  <c r="O2139" i="2"/>
  <c r="S2138" i="2"/>
  <c r="W2137" i="2"/>
  <c r="AA2136" i="2"/>
  <c r="K2136" i="2"/>
  <c r="O2135" i="2"/>
  <c r="S2134" i="2"/>
  <c r="W2133" i="2"/>
  <c r="AA2132" i="2"/>
  <c r="K2132" i="2"/>
  <c r="O2131" i="2"/>
  <c r="S2130" i="2"/>
  <c r="W2129" i="2"/>
  <c r="AA2128" i="2"/>
  <c r="K2128" i="2"/>
  <c r="O2127" i="2"/>
  <c r="S2126" i="2"/>
  <c r="W2125" i="2"/>
  <c r="AA2124" i="2"/>
  <c r="K2124" i="2"/>
  <c r="O2123" i="2"/>
  <c r="S2122" i="2"/>
  <c r="W2121" i="2"/>
  <c r="AA2120" i="2"/>
  <c r="K2120" i="2"/>
  <c r="O2119" i="2"/>
  <c r="S2118" i="2"/>
  <c r="W2117" i="2"/>
  <c r="AA2116" i="2"/>
  <c r="K2116" i="2"/>
  <c r="O2115" i="2"/>
  <c r="S2114" i="2"/>
  <c r="W2113" i="2"/>
  <c r="AA2112" i="2"/>
  <c r="K2112" i="2"/>
  <c r="O2111" i="2"/>
  <c r="S2110" i="2"/>
  <c r="W2109" i="2"/>
  <c r="AA2108" i="2"/>
  <c r="K2108" i="2"/>
  <c r="O2107" i="2"/>
  <c r="S2106" i="2"/>
  <c r="W2105" i="2"/>
  <c r="AA2104" i="2"/>
  <c r="K2104" i="2"/>
  <c r="O2103" i="2"/>
  <c r="S2102" i="2"/>
  <c r="W2101" i="2"/>
  <c r="AA2100" i="2"/>
  <c r="K2100" i="2"/>
  <c r="O2099" i="2"/>
  <c r="S2098" i="2"/>
  <c r="W2097" i="2"/>
  <c r="AA2096" i="2"/>
  <c r="K2096" i="2"/>
  <c r="O2095" i="2"/>
  <c r="S2094" i="2"/>
  <c r="W2093" i="2"/>
  <c r="AA2092" i="2"/>
  <c r="K2092" i="2"/>
  <c r="O2091" i="2"/>
  <c r="S2090" i="2"/>
  <c r="W2089" i="2"/>
  <c r="AA2088" i="2"/>
  <c r="K2088" i="2"/>
  <c r="O2087" i="2"/>
  <c r="S2086" i="2"/>
  <c r="W2085" i="2"/>
  <c r="AA2084" i="2"/>
  <c r="K2084" i="2"/>
  <c r="O2083" i="2"/>
  <c r="S2082" i="2"/>
  <c r="W2081" i="2"/>
  <c r="AA2080" i="2"/>
  <c r="K2080" i="2"/>
  <c r="O2079" i="2"/>
  <c r="S2078" i="2"/>
  <c r="W2077" i="2"/>
  <c r="AA2076" i="2"/>
  <c r="K2076" i="2"/>
  <c r="O2075" i="2"/>
  <c r="S2074" i="2"/>
  <c r="W2073" i="2"/>
  <c r="AA2072" i="2"/>
  <c r="K2072" i="2"/>
  <c r="O2071" i="2"/>
  <c r="S2070" i="2"/>
  <c r="W2069" i="2"/>
  <c r="AA2068" i="2"/>
  <c r="K2068" i="2"/>
  <c r="O2067" i="2"/>
  <c r="S2066" i="2"/>
  <c r="W2065" i="2"/>
  <c r="AA2064" i="2"/>
  <c r="K2064" i="2"/>
  <c r="O2063" i="2"/>
  <c r="S2062" i="2"/>
  <c r="W2061" i="2"/>
  <c r="AA2060" i="2"/>
  <c r="K2060" i="2"/>
  <c r="O2059" i="2"/>
  <c r="S2058" i="2"/>
  <c r="W2057" i="2"/>
  <c r="AA2056" i="2"/>
  <c r="K2056" i="2"/>
  <c r="O2055" i="2"/>
  <c r="S2054" i="2"/>
  <c r="W2053" i="2"/>
  <c r="AA2052" i="2"/>
  <c r="K2052" i="2"/>
  <c r="O2051" i="2"/>
  <c r="S2050" i="2"/>
  <c r="W2049" i="2"/>
  <c r="AA2048" i="2"/>
  <c r="K2048" i="2"/>
  <c r="O2047" i="2"/>
  <c r="S2046" i="2"/>
  <c r="W2045" i="2"/>
  <c r="AA2044" i="2"/>
  <c r="K2044" i="2"/>
  <c r="O2043" i="2"/>
  <c r="S2042" i="2"/>
  <c r="W2041" i="2"/>
  <c r="AA2040" i="2"/>
  <c r="K2040" i="2"/>
  <c r="O2039" i="2"/>
  <c r="S2038" i="2"/>
  <c r="W2037" i="2"/>
  <c r="AA2036" i="2"/>
  <c r="K2036" i="2"/>
  <c r="O2035" i="2"/>
  <c r="S2034" i="2"/>
  <c r="W2033" i="2"/>
  <c r="AA2032" i="2"/>
  <c r="K2032" i="2"/>
  <c r="O2031" i="2"/>
  <c r="S2030" i="2"/>
  <c r="W2029" i="2"/>
  <c r="AA2028" i="2"/>
  <c r="K2028" i="2"/>
  <c r="O2027" i="2"/>
  <c r="S2026" i="2"/>
  <c r="W2025" i="2"/>
  <c r="AA2024" i="2"/>
  <c r="K2024" i="2"/>
  <c r="O2023" i="2"/>
  <c r="S2022" i="2"/>
  <c r="W2021" i="2"/>
  <c r="AA2020" i="2"/>
  <c r="K2020" i="2"/>
  <c r="O2019" i="2"/>
  <c r="S2018" i="2"/>
  <c r="W2017" i="2"/>
  <c r="AA2016" i="2"/>
  <c r="K2016" i="2"/>
  <c r="O2015" i="2"/>
  <c r="S2014" i="2"/>
  <c r="W2013" i="2"/>
  <c r="AA2012" i="2"/>
  <c r="K2012" i="2"/>
  <c r="O2011" i="2"/>
  <c r="S2010" i="2"/>
  <c r="W2009" i="2"/>
  <c r="AA2008" i="2"/>
  <c r="K2008" i="2"/>
  <c r="O2007" i="2"/>
  <c r="S2006" i="2"/>
  <c r="W2005" i="2"/>
  <c r="AA2004" i="2"/>
  <c r="K2004" i="2"/>
  <c r="O2003" i="2"/>
  <c r="S2002" i="2"/>
  <c r="W2001" i="2"/>
  <c r="AA2000" i="2"/>
  <c r="K2000" i="2"/>
  <c r="O1999" i="2"/>
  <c r="S1998" i="2"/>
  <c r="W1997" i="2"/>
  <c r="AA1996" i="2"/>
  <c r="K1996" i="2"/>
  <c r="O1995" i="2"/>
  <c r="S1994" i="2"/>
  <c r="W1993" i="2"/>
  <c r="AA1992" i="2"/>
  <c r="K1992" i="2"/>
  <c r="O1991" i="2"/>
  <c r="S1990" i="2"/>
  <c r="W1989" i="2"/>
  <c r="AA1988" i="2"/>
  <c r="K1988" i="2"/>
  <c r="O1987" i="2"/>
  <c r="S1986" i="2"/>
  <c r="W1985" i="2"/>
  <c r="AA1984" i="2"/>
  <c r="K1984" i="2"/>
  <c r="O1983" i="2"/>
  <c r="S1982" i="2"/>
  <c r="W1981" i="2"/>
  <c r="AA1980" i="2"/>
  <c r="K1980" i="2"/>
  <c r="O1979" i="2"/>
  <c r="S1978" i="2"/>
  <c r="W1977" i="2"/>
  <c r="AA1976" i="2"/>
  <c r="K1976" i="2"/>
  <c r="O1975" i="2"/>
  <c r="S1974" i="2"/>
  <c r="W1973" i="2"/>
  <c r="AA1972" i="2"/>
  <c r="K1972" i="2"/>
  <c r="O1971" i="2"/>
  <c r="S1970" i="2"/>
  <c r="W1969" i="2"/>
  <c r="AA1968" i="2"/>
  <c r="K1968" i="2"/>
  <c r="O1967" i="2"/>
  <c r="S1966" i="2"/>
  <c r="W1965" i="2"/>
  <c r="AA1964" i="2"/>
  <c r="K1964" i="2"/>
  <c r="O1963" i="2"/>
  <c r="S1962" i="2"/>
  <c r="W1961" i="2"/>
  <c r="AA1960" i="2"/>
  <c r="K1960" i="2"/>
  <c r="O1959" i="2"/>
  <c r="S1958" i="2"/>
  <c r="W1957" i="2"/>
  <c r="AA1956" i="2"/>
  <c r="K1956" i="2"/>
  <c r="O1955" i="2"/>
  <c r="S1954" i="2"/>
  <c r="W1953" i="2"/>
  <c r="AA1952" i="2"/>
  <c r="K1952" i="2"/>
  <c r="O1951" i="2"/>
  <c r="S1950" i="2"/>
  <c r="W1949" i="2"/>
  <c r="AA1948" i="2"/>
  <c r="K1948" i="2"/>
  <c r="O1947" i="2"/>
  <c r="S1946" i="2"/>
  <c r="W1945" i="2"/>
  <c r="AA1944" i="2"/>
  <c r="K1944" i="2"/>
  <c r="O1943" i="2"/>
  <c r="S1942" i="2"/>
  <c r="W1941" i="2"/>
  <c r="AA1940" i="2"/>
  <c r="K1940" i="2"/>
  <c r="O1939" i="2"/>
  <c r="S1938" i="2"/>
  <c r="W1937" i="2"/>
  <c r="AA1936" i="2"/>
  <c r="K1936" i="2"/>
  <c r="O1935" i="2"/>
  <c r="S1934" i="2"/>
  <c r="W1933" i="2"/>
  <c r="AA1932" i="2"/>
  <c r="K1932" i="2"/>
  <c r="O1931" i="2"/>
  <c r="S1930" i="2"/>
  <c r="W1929" i="2"/>
  <c r="AA1928" i="2"/>
  <c r="K1928" i="2"/>
  <c r="O1927" i="2"/>
  <c r="S1926" i="2"/>
  <c r="W1925" i="2"/>
  <c r="AA1924" i="2"/>
  <c r="K1924" i="2"/>
  <c r="O1923" i="2"/>
  <c r="S1922" i="2"/>
  <c r="W1921" i="2"/>
  <c r="AA1920" i="2"/>
  <c r="K1920" i="2"/>
  <c r="O1919" i="2"/>
  <c r="S1918" i="2"/>
  <c r="W1917" i="2"/>
  <c r="AA1916" i="2"/>
  <c r="K1916" i="2"/>
  <c r="O1915" i="2"/>
  <c r="S1914" i="2"/>
  <c r="W1913" i="2"/>
  <c r="AA1912" i="2"/>
  <c r="K1912" i="2"/>
  <c r="O1911" i="2"/>
  <c r="S1910" i="2"/>
  <c r="W1909" i="2"/>
  <c r="AA1908" i="2"/>
  <c r="K1908" i="2"/>
  <c r="O1907" i="2"/>
  <c r="S1906" i="2"/>
  <c r="W1905" i="2"/>
  <c r="AA1904" i="2"/>
  <c r="K1904" i="2"/>
  <c r="O1903" i="2"/>
  <c r="S1902" i="2"/>
  <c r="W1901" i="2"/>
  <c r="AA1900" i="2"/>
  <c r="K1900" i="2"/>
  <c r="O1899" i="2"/>
  <c r="S1898" i="2"/>
  <c r="W1897" i="2"/>
  <c r="AA1896" i="2"/>
  <c r="K1896" i="2"/>
  <c r="O1895" i="2"/>
  <c r="S1894" i="2"/>
  <c r="W1893" i="2"/>
  <c r="AA1892" i="2"/>
  <c r="K1892" i="2"/>
  <c r="O1891" i="2"/>
  <c r="S1890" i="2"/>
  <c r="W1889" i="2"/>
  <c r="AA1888" i="2"/>
  <c r="K1888" i="2"/>
  <c r="O1887" i="2"/>
  <c r="S1886" i="2"/>
  <c r="W1885" i="2"/>
  <c r="AA1884" i="2"/>
  <c r="K1884" i="2"/>
  <c r="O1883" i="2"/>
  <c r="S1882" i="2"/>
  <c r="W1881" i="2"/>
  <c r="AA1880" i="2"/>
  <c r="K1880" i="2"/>
  <c r="O1879" i="2"/>
  <c r="S1878" i="2"/>
  <c r="W1877" i="2"/>
  <c r="AA1876" i="2"/>
  <c r="K1876" i="2"/>
  <c r="O1875" i="2"/>
  <c r="S1874" i="2"/>
  <c r="W1873" i="2"/>
  <c r="AA1872" i="2"/>
  <c r="K1872" i="2"/>
  <c r="O1871" i="2"/>
  <c r="S1870" i="2"/>
  <c r="W1869" i="2"/>
  <c r="AA1868" i="2"/>
  <c r="K1868" i="2"/>
  <c r="O1867" i="2"/>
  <c r="S1866" i="2"/>
  <c r="W1865" i="2"/>
  <c r="AA1864" i="2"/>
  <c r="K1864" i="2"/>
  <c r="O1863" i="2"/>
  <c r="S1862" i="2"/>
  <c r="W1861" i="2"/>
  <c r="AA1860" i="2"/>
  <c r="K1860" i="2"/>
  <c r="O1859" i="2"/>
  <c r="S1858" i="2"/>
  <c r="W1857" i="2"/>
  <c r="AA1856" i="2"/>
  <c r="K1856" i="2"/>
  <c r="O1855" i="2"/>
  <c r="S1854" i="2"/>
  <c r="W1853" i="2"/>
  <c r="AA1852" i="2"/>
  <c r="K1852" i="2"/>
  <c r="O1851" i="2"/>
  <c r="S1850" i="2"/>
  <c r="W1849" i="2"/>
  <c r="AA1848" i="2"/>
  <c r="K1848" i="2"/>
  <c r="O1847" i="2"/>
  <c r="S1846" i="2"/>
  <c r="W1845" i="2"/>
  <c r="AA1844" i="2"/>
  <c r="K1844" i="2"/>
  <c r="O1843" i="2"/>
  <c r="S1842" i="2"/>
  <c r="W1841" i="2"/>
  <c r="AA1840" i="2"/>
  <c r="K1840" i="2"/>
  <c r="O1839" i="2"/>
  <c r="S1838" i="2"/>
  <c r="W1837" i="2"/>
  <c r="AA1836" i="2"/>
  <c r="K1836" i="2"/>
  <c r="O1835" i="2"/>
  <c r="S1834" i="2"/>
  <c r="W1833" i="2"/>
  <c r="AA1832" i="2"/>
  <c r="K1832" i="2"/>
  <c r="O1831" i="2"/>
  <c r="S1830" i="2"/>
  <c r="W1829" i="2"/>
  <c r="AA1828" i="2"/>
  <c r="K1828" i="2"/>
  <c r="O1827" i="2"/>
  <c r="S1826" i="2"/>
  <c r="W1825" i="2"/>
  <c r="AA1824" i="2"/>
  <c r="K1824" i="2"/>
  <c r="O1823" i="2"/>
  <c r="S1822" i="2"/>
  <c r="W1821" i="2"/>
  <c r="AA1820" i="2"/>
  <c r="K1820" i="2"/>
  <c r="O1819" i="2"/>
  <c r="S1818" i="2"/>
  <c r="W1817" i="2"/>
  <c r="AA1816" i="2"/>
  <c r="K1816" i="2"/>
  <c r="O1815" i="2"/>
  <c r="S1814" i="2"/>
  <c r="W1813" i="2"/>
  <c r="AA1812" i="2"/>
  <c r="K1812" i="2"/>
  <c r="O1811" i="2"/>
  <c r="S1810" i="2"/>
  <c r="W1809" i="2"/>
  <c r="AA1808" i="2"/>
  <c r="K1808" i="2"/>
  <c r="O1807" i="2"/>
  <c r="S1806" i="2"/>
  <c r="W1805" i="2"/>
  <c r="AA1804" i="2"/>
  <c r="K1804" i="2"/>
  <c r="O1803" i="2"/>
  <c r="S1802" i="2"/>
  <c r="W1801" i="2"/>
  <c r="AA1800" i="2"/>
  <c r="K1800" i="2"/>
  <c r="O1799" i="2"/>
  <c r="S1798" i="2"/>
  <c r="O1797" i="2"/>
  <c r="W1795" i="2"/>
  <c r="K1794" i="2"/>
  <c r="S1792" i="2"/>
  <c r="AA1790" i="2"/>
  <c r="O1789" i="2"/>
  <c r="W1787" i="2"/>
  <c r="K1786" i="2"/>
  <c r="S1784" i="2"/>
  <c r="AA1782" i="2"/>
  <c r="O1781" i="2"/>
  <c r="W1779" i="2"/>
  <c r="K1778" i="2"/>
  <c r="S1776" i="2"/>
  <c r="AA1774" i="2"/>
  <c r="O1773" i="2"/>
  <c r="W1771" i="2"/>
  <c r="K1770" i="2"/>
  <c r="S1768" i="2"/>
  <c r="AA1766" i="2"/>
  <c r="O1765" i="2"/>
  <c r="W1763" i="2"/>
  <c r="K1762" i="2"/>
  <c r="S1760" i="2"/>
  <c r="AA1758" i="2"/>
  <c r="O1757" i="2"/>
  <c r="W1755" i="2"/>
  <c r="K1754" i="2"/>
  <c r="S1752" i="2"/>
  <c r="AA1750" i="2"/>
  <c r="O1749" i="2"/>
  <c r="W1747" i="2"/>
  <c r="K1746" i="2"/>
  <c r="S1744" i="2"/>
  <c r="AA1742" i="2"/>
  <c r="O1741" i="2"/>
  <c r="W1739" i="2"/>
  <c r="K1738" i="2"/>
  <c r="S1736" i="2"/>
  <c r="AA1734" i="2"/>
  <c r="O1733" i="2"/>
  <c r="W1731" i="2"/>
  <c r="K1730" i="2"/>
  <c r="S1728" i="2"/>
  <c r="AA1726" i="2"/>
  <c r="O1725" i="2"/>
  <c r="W1723" i="2"/>
  <c r="K1722" i="2"/>
  <c r="S1720" i="2"/>
  <c r="AA1718" i="2"/>
  <c r="O1717" i="2"/>
  <c r="W1715" i="2"/>
  <c r="K1714" i="2"/>
  <c r="S1712" i="2"/>
  <c r="AA1710" i="2"/>
  <c r="O1709" i="2"/>
  <c r="W1707" i="2"/>
  <c r="K1706" i="2"/>
  <c r="S1704" i="2"/>
  <c r="AA1702" i="2"/>
  <c r="O1701" i="2"/>
  <c r="W1699" i="2"/>
  <c r="K1698" i="2"/>
  <c r="S1696" i="2"/>
  <c r="AA1694" i="2"/>
  <c r="O1693" i="2"/>
  <c r="W1691" i="2"/>
  <c r="K1690" i="2"/>
  <c r="S1688" i="2"/>
  <c r="AA1686" i="2"/>
  <c r="O1685" i="2"/>
  <c r="W1683" i="2"/>
  <c r="K1682" i="2"/>
  <c r="S1680" i="2"/>
  <c r="AA1678" i="2"/>
  <c r="O1677" i="2"/>
  <c r="W1675" i="2"/>
  <c r="K1674" i="2"/>
  <c r="S1672" i="2"/>
  <c r="AA1670" i="2"/>
  <c r="O1669" i="2"/>
  <c r="W1667" i="2"/>
  <c r="K1666" i="2"/>
  <c r="S1664" i="2"/>
  <c r="AA1662" i="2"/>
  <c r="O1661" i="2"/>
  <c r="W1659" i="2"/>
  <c r="K1658" i="2"/>
  <c r="S1656" i="2"/>
  <c r="AA1654" i="2"/>
  <c r="O1653" i="2"/>
  <c r="W1651" i="2"/>
  <c r="K1650" i="2"/>
  <c r="S1648" i="2"/>
  <c r="AA1646" i="2"/>
  <c r="O1645" i="2"/>
  <c r="W1643" i="2"/>
  <c r="K1642" i="2"/>
  <c r="S1640" i="2"/>
  <c r="AA1638" i="2"/>
  <c r="O1637" i="2"/>
  <c r="W1635" i="2"/>
  <c r="K1634" i="2"/>
  <c r="S1632" i="2"/>
  <c r="AA1630" i="2"/>
  <c r="O1629" i="2"/>
  <c r="W1627" i="2"/>
  <c r="K1626" i="2"/>
  <c r="S1624" i="2"/>
  <c r="AA1622" i="2"/>
  <c r="O1621" i="2"/>
  <c r="W1619" i="2"/>
  <c r="K1618" i="2"/>
  <c r="S1616" i="2"/>
  <c r="AA1614" i="2"/>
  <c r="O1613" i="2"/>
  <c r="W1611" i="2"/>
  <c r="K1610" i="2"/>
  <c r="S1608" i="2"/>
  <c r="AA1606" i="2"/>
  <c r="O1605" i="2"/>
  <c r="W1603" i="2"/>
  <c r="K1602" i="2"/>
  <c r="S1600" i="2"/>
  <c r="AA1598" i="2"/>
  <c r="O1597" i="2"/>
  <c r="W1595" i="2"/>
  <c r="K1594" i="2"/>
  <c r="Q1591" i="2"/>
  <c r="M1588" i="2"/>
  <c r="I1585" i="2"/>
  <c r="Y1581" i="2"/>
  <c r="U1578" i="2"/>
  <c r="Q1575" i="2"/>
  <c r="M1572" i="2"/>
  <c r="I1569" i="2"/>
  <c r="Y1565" i="2"/>
  <c r="T1561" i="2"/>
  <c r="O1557" i="2"/>
  <c r="J1553" i="2"/>
  <c r="X1548" i="2"/>
  <c r="S1544" i="2"/>
  <c r="N1540" i="2"/>
  <c r="H1536" i="2"/>
  <c r="W1531" i="2"/>
  <c r="R1527" i="2"/>
  <c r="L1523" i="2"/>
  <c r="AA1518" i="2"/>
  <c r="V1514" i="2"/>
  <c r="J1509" i="2"/>
  <c r="S1500" i="2"/>
  <c r="H1492" i="2"/>
  <c r="R1483" i="2"/>
  <c r="AA1474" i="2"/>
  <c r="P1466" i="2"/>
  <c r="Z1457" i="2"/>
  <c r="O1449" i="2"/>
  <c r="X1440" i="2"/>
  <c r="Z1431" i="2"/>
  <c r="J1419" i="2"/>
  <c r="N1406" i="2"/>
  <c r="R1393" i="2"/>
  <c r="V1380" i="2"/>
  <c r="Z1367" i="2"/>
  <c r="J1355" i="2"/>
  <c r="J1338" i="2"/>
  <c r="M1311" i="2"/>
  <c r="J1277" i="2"/>
  <c r="Z1219" i="2"/>
  <c r="R1117" i="2"/>
  <c r="Y2345" i="2"/>
  <c r="Q2345" i="2"/>
  <c r="I2345" i="2"/>
  <c r="U2344" i="2"/>
  <c r="M2344" i="2"/>
  <c r="Y2343" i="2"/>
  <c r="Q2343" i="2"/>
  <c r="I2343" i="2"/>
  <c r="U2342" i="2"/>
  <c r="M2342" i="2"/>
  <c r="Y2341" i="2"/>
  <c r="Q2341" i="2"/>
  <c r="I2341" i="2"/>
  <c r="U2340" i="2"/>
  <c r="M2340" i="2"/>
  <c r="Y2339" i="2"/>
  <c r="Q2339" i="2"/>
  <c r="I2339" i="2"/>
  <c r="U2338" i="2"/>
  <c r="M2338" i="2"/>
  <c r="Y2337" i="2"/>
  <c r="Q2337" i="2"/>
  <c r="I2337" i="2"/>
  <c r="U2336" i="2"/>
  <c r="M2336" i="2"/>
  <c r="Y2335" i="2"/>
  <c r="Q2335" i="2"/>
  <c r="I2335" i="2"/>
  <c r="U2334" i="2"/>
  <c r="M2334" i="2"/>
  <c r="Y2333" i="2"/>
  <c r="Q2333" i="2"/>
  <c r="I2333" i="2"/>
  <c r="U2332" i="2"/>
  <c r="M2332" i="2"/>
  <c r="Y2331" i="2"/>
  <c r="Q2331" i="2"/>
  <c r="I2331" i="2"/>
  <c r="U2330" i="2"/>
  <c r="M2330" i="2"/>
  <c r="Y2329" i="2"/>
  <c r="Q2329" i="2"/>
  <c r="I2329" i="2"/>
  <c r="U2328" i="2"/>
  <c r="M2328" i="2"/>
  <c r="Y2327" i="2"/>
  <c r="Q2327" i="2"/>
  <c r="I2327" i="2"/>
  <c r="U2326" i="2"/>
  <c r="M2326" i="2"/>
  <c r="Y2325" i="2"/>
  <c r="Q2325" i="2"/>
  <c r="I2325" i="2"/>
  <c r="U2324" i="2"/>
  <c r="M2324" i="2"/>
  <c r="Y2323" i="2"/>
  <c r="Q2323" i="2"/>
  <c r="I2323" i="2"/>
  <c r="U2322" i="2"/>
  <c r="M2322" i="2"/>
  <c r="Y2321" i="2"/>
  <c r="Q2321" i="2"/>
  <c r="I2321" i="2"/>
  <c r="U2320" i="2"/>
  <c r="M2320" i="2"/>
  <c r="Y2319" i="2"/>
  <c r="Q2319" i="2"/>
  <c r="I2319" i="2"/>
  <c r="U2318" i="2"/>
  <c r="M2318" i="2"/>
  <c r="Y2317" i="2"/>
  <c r="Q2317" i="2"/>
  <c r="I2317" i="2"/>
  <c r="U2316" i="2"/>
  <c r="M2316" i="2"/>
  <c r="Y2315" i="2"/>
  <c r="Q2315" i="2"/>
  <c r="I2315" i="2"/>
  <c r="U2314" i="2"/>
  <c r="M2314" i="2"/>
  <c r="Y2313" i="2"/>
  <c r="Q2313" i="2"/>
  <c r="I2313" i="2"/>
  <c r="U2312" i="2"/>
  <c r="M2312" i="2"/>
  <c r="Y2311" i="2"/>
  <c r="Q2311" i="2"/>
  <c r="I2311" i="2"/>
  <c r="U2310" i="2"/>
  <c r="M2310" i="2"/>
  <c r="Y2309" i="2"/>
  <c r="Q2309" i="2"/>
  <c r="I2309" i="2"/>
  <c r="U2308" i="2"/>
  <c r="M2308" i="2"/>
  <c r="Y2307" i="2"/>
  <c r="Q2307" i="2"/>
  <c r="I2307" i="2"/>
  <c r="U2306" i="2"/>
  <c r="M2306" i="2"/>
  <c r="Y2305" i="2"/>
  <c r="Q2305" i="2"/>
  <c r="I2305" i="2"/>
  <c r="U2304" i="2"/>
  <c r="M2304" i="2"/>
  <c r="Y2303" i="2"/>
  <c r="Q2303" i="2"/>
  <c r="I2303" i="2"/>
  <c r="U2302" i="2"/>
  <c r="M2302" i="2"/>
  <c r="Y2301" i="2"/>
  <c r="Q2301" i="2"/>
  <c r="I2301" i="2"/>
  <c r="U2300" i="2"/>
  <c r="M2300" i="2"/>
  <c r="Y2299" i="2"/>
  <c r="Q2299" i="2"/>
  <c r="I2299" i="2"/>
  <c r="U2298" i="2"/>
  <c r="M2298" i="2"/>
  <c r="Y2297" i="2"/>
  <c r="Q2297" i="2"/>
  <c r="I2297" i="2"/>
  <c r="U2296" i="2"/>
  <c r="M2296" i="2"/>
  <c r="Y2295" i="2"/>
  <c r="Q2295" i="2"/>
  <c r="I2295" i="2"/>
  <c r="U2294" i="2"/>
  <c r="M2294" i="2"/>
  <c r="Y2293" i="2"/>
  <c r="Q2293" i="2"/>
  <c r="I2293" i="2"/>
  <c r="U2292" i="2"/>
  <c r="M2292" i="2"/>
  <c r="Y2291" i="2"/>
  <c r="Q2291" i="2"/>
  <c r="I2291" i="2"/>
  <c r="U2290" i="2"/>
  <c r="M2290" i="2"/>
  <c r="Y2289" i="2"/>
  <c r="Q2289" i="2"/>
  <c r="I2289" i="2"/>
  <c r="U2288" i="2"/>
  <c r="M2288" i="2"/>
  <c r="Y2287" i="2"/>
  <c r="Q2287" i="2"/>
  <c r="I2287" i="2"/>
  <c r="U2286" i="2"/>
  <c r="M2286" i="2"/>
  <c r="Y2285" i="2"/>
  <c r="Q2285" i="2"/>
  <c r="I2285" i="2"/>
  <c r="U2284" i="2"/>
  <c r="M2284" i="2"/>
  <c r="Y2283" i="2"/>
  <c r="Q2283" i="2"/>
  <c r="I2283" i="2"/>
  <c r="U2282" i="2"/>
  <c r="M2282" i="2"/>
  <c r="Y2281" i="2"/>
  <c r="Q2281" i="2"/>
  <c r="I2281" i="2"/>
  <c r="U2280" i="2"/>
  <c r="M2280" i="2"/>
  <c r="Y2279" i="2"/>
  <c r="Q2279" i="2"/>
  <c r="I2279" i="2"/>
  <c r="U2278" i="2"/>
  <c r="M2278" i="2"/>
  <c r="Y2277" i="2"/>
  <c r="Q2277" i="2"/>
  <c r="I2277" i="2"/>
  <c r="U2276" i="2"/>
  <c r="M2276" i="2"/>
  <c r="Y2275" i="2"/>
  <c r="Q2275" i="2"/>
  <c r="I2275" i="2"/>
  <c r="U2274" i="2"/>
  <c r="M2274" i="2"/>
  <c r="Y2273" i="2"/>
  <c r="Q2273" i="2"/>
  <c r="I2273" i="2"/>
  <c r="U2272" i="2"/>
  <c r="M2272" i="2"/>
  <c r="Y2271" i="2"/>
  <c r="Q2271" i="2"/>
  <c r="I2271" i="2"/>
  <c r="U2270" i="2"/>
  <c r="M2270" i="2"/>
  <c r="Y2269" i="2"/>
  <c r="Q2269" i="2"/>
  <c r="I2269" i="2"/>
  <c r="U2268" i="2"/>
  <c r="M2268" i="2"/>
  <c r="Y2267" i="2"/>
  <c r="Q2267" i="2"/>
  <c r="I2267" i="2"/>
  <c r="U2266" i="2"/>
  <c r="M2266" i="2"/>
  <c r="Y2265" i="2"/>
  <c r="Q2265" i="2"/>
  <c r="I2265" i="2"/>
  <c r="U2264" i="2"/>
  <c r="M2264" i="2"/>
  <c r="Y2263" i="2"/>
  <c r="Q2263" i="2"/>
  <c r="I2263" i="2"/>
  <c r="U2262" i="2"/>
  <c r="M2262" i="2"/>
  <c r="Y2261" i="2"/>
  <c r="Q2261" i="2"/>
  <c r="I2261" i="2"/>
  <c r="U2260" i="2"/>
  <c r="M2260" i="2"/>
  <c r="Y2259" i="2"/>
  <c r="Q2259" i="2"/>
  <c r="I2259" i="2"/>
  <c r="U2258" i="2"/>
  <c r="M2258" i="2"/>
  <c r="Y2257" i="2"/>
  <c r="Q2257" i="2"/>
  <c r="I2257" i="2"/>
  <c r="U2256" i="2"/>
  <c r="M2256" i="2"/>
  <c r="Y2255" i="2"/>
  <c r="Q2255" i="2"/>
  <c r="I2255" i="2"/>
  <c r="U2254" i="2"/>
  <c r="M2254" i="2"/>
  <c r="Y2253" i="2"/>
  <c r="Q2253" i="2"/>
  <c r="I2253" i="2"/>
  <c r="U2252" i="2"/>
  <c r="M2252" i="2"/>
  <c r="Y2251" i="2"/>
  <c r="Q2251" i="2"/>
  <c r="I2251" i="2"/>
  <c r="U2250" i="2"/>
  <c r="M2250" i="2"/>
  <c r="Y2249" i="2"/>
  <c r="Q2249" i="2"/>
  <c r="I2249" i="2"/>
  <c r="U2248" i="2"/>
  <c r="M2248" i="2"/>
  <c r="Y2247" i="2"/>
  <c r="Q2247" i="2"/>
  <c r="I2247" i="2"/>
  <c r="U2246" i="2"/>
  <c r="M2246" i="2"/>
  <c r="Y2245" i="2"/>
  <c r="Q2245" i="2"/>
  <c r="I2245" i="2"/>
  <c r="U2244" i="2"/>
  <c r="M2244" i="2"/>
  <c r="Y2243" i="2"/>
  <c r="Q2243" i="2"/>
  <c r="I2243" i="2"/>
  <c r="U2242" i="2"/>
  <c r="M2242" i="2"/>
  <c r="Y2241" i="2"/>
  <c r="Q2241" i="2"/>
  <c r="I2241" i="2"/>
  <c r="U2240" i="2"/>
  <c r="M2240" i="2"/>
  <c r="Y2239" i="2"/>
  <c r="Q2239" i="2"/>
  <c r="I2239" i="2"/>
  <c r="U2238" i="2"/>
  <c r="M2238" i="2"/>
  <c r="Y2237" i="2"/>
  <c r="Q2237" i="2"/>
  <c r="I2237" i="2"/>
  <c r="U2236" i="2"/>
  <c r="M2236" i="2"/>
  <c r="Y2235" i="2"/>
  <c r="Q2235" i="2"/>
  <c r="I2235" i="2"/>
  <c r="U2234" i="2"/>
  <c r="M2234" i="2"/>
  <c r="Y2233" i="2"/>
  <c r="Q2233" i="2"/>
  <c r="I2233" i="2"/>
  <c r="U2232" i="2"/>
  <c r="M2232" i="2"/>
  <c r="Y2231" i="2"/>
  <c r="Q2231" i="2"/>
  <c r="I2231" i="2"/>
  <c r="U2230" i="2"/>
  <c r="M2230" i="2"/>
  <c r="Y2229" i="2"/>
  <c r="Q2229" i="2"/>
  <c r="I2229" i="2"/>
  <c r="U2228" i="2"/>
  <c r="M2228" i="2"/>
  <c r="Y2227" i="2"/>
  <c r="Q2227" i="2"/>
  <c r="I2227" i="2"/>
  <c r="U2226" i="2"/>
  <c r="M2226" i="2"/>
  <c r="Y2225" i="2"/>
  <c r="Q2225" i="2"/>
  <c r="I2225" i="2"/>
  <c r="U2224" i="2"/>
  <c r="M2224" i="2"/>
  <c r="Y2223" i="2"/>
  <c r="Q2223" i="2"/>
  <c r="I2223" i="2"/>
  <c r="U2222" i="2"/>
  <c r="M2222" i="2"/>
  <c r="Y2221" i="2"/>
  <c r="Q2221" i="2"/>
  <c r="I2221" i="2"/>
  <c r="U2220" i="2"/>
  <c r="M2220" i="2"/>
  <c r="Y2219" i="2"/>
  <c r="Q2219" i="2"/>
  <c r="I2219" i="2"/>
  <c r="U2218" i="2"/>
  <c r="M2218" i="2"/>
  <c r="Y2217" i="2"/>
  <c r="Q2217" i="2"/>
  <c r="I2217" i="2"/>
  <c r="U2216" i="2"/>
  <c r="M2216" i="2"/>
  <c r="Y2215" i="2"/>
  <c r="Q2215" i="2"/>
  <c r="I2215" i="2"/>
  <c r="U2214" i="2"/>
  <c r="M2214" i="2"/>
  <c r="Y2213" i="2"/>
  <c r="Q2213" i="2"/>
  <c r="I2213" i="2"/>
  <c r="U2212" i="2"/>
  <c r="M2212" i="2"/>
  <c r="Y2211" i="2"/>
  <c r="Q2211" i="2"/>
  <c r="I2211" i="2"/>
  <c r="U2210" i="2"/>
  <c r="M2210" i="2"/>
  <c r="Y2209" i="2"/>
  <c r="Q2209" i="2"/>
  <c r="I2209" i="2"/>
  <c r="U2208" i="2"/>
  <c r="M2208" i="2"/>
  <c r="Y2207" i="2"/>
  <c r="M2207" i="2"/>
  <c r="Q2206" i="2"/>
  <c r="U2205" i="2"/>
  <c r="Y2204" i="2"/>
  <c r="I2204" i="2"/>
  <c r="M2203" i="2"/>
  <c r="Q2202" i="2"/>
  <c r="U2201" i="2"/>
  <c r="Y2200" i="2"/>
  <c r="I2200" i="2"/>
  <c r="M2199" i="2"/>
  <c r="Q2198" i="2"/>
  <c r="U2197" i="2"/>
  <c r="Y2196" i="2"/>
  <c r="I2196" i="2"/>
  <c r="M2195" i="2"/>
  <c r="Q2194" i="2"/>
  <c r="U2193" i="2"/>
  <c r="Y2192" i="2"/>
  <c r="I2192" i="2"/>
  <c r="M2191" i="2"/>
  <c r="Q2190" i="2"/>
  <c r="U2189" i="2"/>
  <c r="Y2188" i="2"/>
  <c r="I2188" i="2"/>
  <c r="M2187" i="2"/>
  <c r="Q2186" i="2"/>
  <c r="U2185" i="2"/>
  <c r="Y2184" i="2"/>
  <c r="I2184" i="2"/>
  <c r="M2183" i="2"/>
  <c r="Q2182" i="2"/>
  <c r="U2181" i="2"/>
  <c r="Y2180" i="2"/>
  <c r="I2180" i="2"/>
  <c r="M2179" i="2"/>
  <c r="Q2178" i="2"/>
  <c r="U2177" i="2"/>
  <c r="Y2176" i="2"/>
  <c r="I2176" i="2"/>
  <c r="M2175" i="2"/>
  <c r="Q2174" i="2"/>
  <c r="U2173" i="2"/>
  <c r="Y2172" i="2"/>
  <c r="I2172" i="2"/>
  <c r="M2171" i="2"/>
  <c r="Q2170" i="2"/>
  <c r="U2169" i="2"/>
  <c r="Y2168" i="2"/>
  <c r="I2168" i="2"/>
  <c r="M2167" i="2"/>
  <c r="Q2166" i="2"/>
  <c r="U2165" i="2"/>
  <c r="Y2164" i="2"/>
  <c r="I2164" i="2"/>
  <c r="M2163" i="2"/>
  <c r="Q2162" i="2"/>
  <c r="U2161" i="2"/>
  <c r="Y2160" i="2"/>
  <c r="I2160" i="2"/>
  <c r="M2159" i="2"/>
  <c r="Q2158" i="2"/>
  <c r="U2157" i="2"/>
  <c r="Y2156" i="2"/>
  <c r="I2156" i="2"/>
  <c r="M2155" i="2"/>
  <c r="Q2154" i="2"/>
  <c r="U2153" i="2"/>
  <c r="Y2152" i="2"/>
  <c r="I2152" i="2"/>
  <c r="M2151" i="2"/>
  <c r="Q2150" i="2"/>
  <c r="U2149" i="2"/>
  <c r="Y2148" i="2"/>
  <c r="I2148" i="2"/>
  <c r="M2147" i="2"/>
  <c r="Q2146" i="2"/>
  <c r="U2145" i="2"/>
  <c r="Y2144" i="2"/>
  <c r="I2144" i="2"/>
  <c r="M2143" i="2"/>
  <c r="Q2142" i="2"/>
  <c r="U2141" i="2"/>
  <c r="Y2140" i="2"/>
  <c r="I2140" i="2"/>
  <c r="M2139" i="2"/>
  <c r="Q2138" i="2"/>
  <c r="U2137" i="2"/>
  <c r="Y2136" i="2"/>
  <c r="I2136" i="2"/>
  <c r="M2135" i="2"/>
  <c r="Q2134" i="2"/>
  <c r="U2133" i="2"/>
  <c r="Y2132" i="2"/>
  <c r="I2132" i="2"/>
  <c r="M2131" i="2"/>
  <c r="Q2130" i="2"/>
  <c r="U2129" i="2"/>
  <c r="Y2128" i="2"/>
  <c r="I2128" i="2"/>
  <c r="M2127" i="2"/>
  <c r="Q2126" i="2"/>
  <c r="U2125" i="2"/>
  <c r="Y2124" i="2"/>
  <c r="I2124" i="2"/>
  <c r="M2123" i="2"/>
  <c r="Q2122" i="2"/>
  <c r="U2121" i="2"/>
  <c r="Y2120" i="2"/>
  <c r="I2120" i="2"/>
  <c r="M2119" i="2"/>
  <c r="Q2118" i="2"/>
  <c r="U2117" i="2"/>
  <c r="Y2116" i="2"/>
  <c r="I2116" i="2"/>
  <c r="M2115" i="2"/>
  <c r="Q2114" i="2"/>
  <c r="U2113" i="2"/>
  <c r="Y2112" i="2"/>
  <c r="I2112" i="2"/>
  <c r="M2111" i="2"/>
  <c r="Q2110" i="2"/>
  <c r="U2109" i="2"/>
  <c r="Y2108" i="2"/>
  <c r="I2108" i="2"/>
  <c r="M2107" i="2"/>
  <c r="Q2106" i="2"/>
  <c r="U2105" i="2"/>
  <c r="Y2104" i="2"/>
  <c r="I2104" i="2"/>
  <c r="M2103" i="2"/>
  <c r="Q2102" i="2"/>
  <c r="U2101" i="2"/>
  <c r="Y2100" i="2"/>
  <c r="I2100" i="2"/>
  <c r="M2099" i="2"/>
  <c r="Q2098" i="2"/>
  <c r="U2097" i="2"/>
  <c r="Y2096" i="2"/>
  <c r="I2096" i="2"/>
  <c r="M2095" i="2"/>
  <c r="Q2094" i="2"/>
  <c r="U2093" i="2"/>
  <c r="Y2092" i="2"/>
  <c r="I2092" i="2"/>
  <c r="M2091" i="2"/>
  <c r="Q2090" i="2"/>
  <c r="U2089" i="2"/>
  <c r="Y2088" i="2"/>
  <c r="I2088" i="2"/>
  <c r="M2087" i="2"/>
  <c r="Q2086" i="2"/>
  <c r="U2085" i="2"/>
  <c r="Y2084" i="2"/>
  <c r="I2084" i="2"/>
  <c r="M2083" i="2"/>
  <c r="Q2082" i="2"/>
  <c r="U2081" i="2"/>
  <c r="Y2080" i="2"/>
  <c r="I2080" i="2"/>
  <c r="M2079" i="2"/>
  <c r="Q2078" i="2"/>
  <c r="U2077" i="2"/>
  <c r="Y2076" i="2"/>
  <c r="I2076" i="2"/>
  <c r="M2075" i="2"/>
  <c r="Q2074" i="2"/>
  <c r="U2073" i="2"/>
  <c r="Y2072" i="2"/>
  <c r="I2072" i="2"/>
  <c r="M2071" i="2"/>
  <c r="Q2070" i="2"/>
  <c r="U2069" i="2"/>
  <c r="Y2068" i="2"/>
  <c r="I2068" i="2"/>
  <c r="M2067" i="2"/>
  <c r="Q2066" i="2"/>
  <c r="U2065" i="2"/>
  <c r="Y2064" i="2"/>
  <c r="I2064" i="2"/>
  <c r="M2063" i="2"/>
  <c r="Q2062" i="2"/>
  <c r="U2061" i="2"/>
  <c r="Y2060" i="2"/>
  <c r="I2060" i="2"/>
  <c r="M2059" i="2"/>
  <c r="Q2058" i="2"/>
  <c r="U2057" i="2"/>
  <c r="Y2056" i="2"/>
  <c r="I2056" i="2"/>
  <c r="M2055" i="2"/>
  <c r="Q2054" i="2"/>
  <c r="U2053" i="2"/>
  <c r="Y2052" i="2"/>
  <c r="I2052" i="2"/>
  <c r="M2051" i="2"/>
  <c r="Q2050" i="2"/>
  <c r="U2049" i="2"/>
  <c r="Y2048" i="2"/>
  <c r="I2048" i="2"/>
  <c r="M2047" i="2"/>
  <c r="Q2046" i="2"/>
  <c r="U2045" i="2"/>
  <c r="Y2044" i="2"/>
  <c r="I2044" i="2"/>
  <c r="M2043" i="2"/>
  <c r="Q2042" i="2"/>
  <c r="U2041" i="2"/>
  <c r="Y2040" i="2"/>
  <c r="I2040" i="2"/>
  <c r="M2039" i="2"/>
  <c r="Q2038" i="2"/>
  <c r="U2037" i="2"/>
  <c r="Y2036" i="2"/>
  <c r="I2036" i="2"/>
  <c r="M2035" i="2"/>
  <c r="Q2034" i="2"/>
  <c r="U2033" i="2"/>
  <c r="Y2032" i="2"/>
  <c r="I2032" i="2"/>
  <c r="M2031" i="2"/>
  <c r="Q2030" i="2"/>
  <c r="U2029" i="2"/>
  <c r="Y2028" i="2"/>
  <c r="I2028" i="2"/>
  <c r="M2027" i="2"/>
  <c r="Q2026" i="2"/>
  <c r="U2025" i="2"/>
  <c r="Y2024" i="2"/>
  <c r="I2024" i="2"/>
  <c r="M2023" i="2"/>
  <c r="Q2022" i="2"/>
  <c r="U2021" i="2"/>
  <c r="Y2020" i="2"/>
  <c r="I2020" i="2"/>
  <c r="M2019" i="2"/>
  <c r="Q2018" i="2"/>
  <c r="U2017" i="2"/>
  <c r="Y2016" i="2"/>
  <c r="I2016" i="2"/>
  <c r="M2015" i="2"/>
  <c r="Q2014" i="2"/>
  <c r="U2013" i="2"/>
  <c r="Y2012" i="2"/>
  <c r="I2012" i="2"/>
  <c r="M2011" i="2"/>
  <c r="Q2010" i="2"/>
  <c r="U2009" i="2"/>
  <c r="Y2008" i="2"/>
  <c r="I2008" i="2"/>
  <c r="M2007" i="2"/>
  <c r="Q2006" i="2"/>
  <c r="U2005" i="2"/>
  <c r="Y2004" i="2"/>
  <c r="I2004" i="2"/>
  <c r="M2003" i="2"/>
  <c r="Q2002" i="2"/>
  <c r="U2001" i="2"/>
  <c r="Y2000" i="2"/>
  <c r="I2000" i="2"/>
  <c r="M1999" i="2"/>
  <c r="Q1998" i="2"/>
  <c r="U1997" i="2"/>
  <c r="Y1996" i="2"/>
  <c r="I1996" i="2"/>
  <c r="M1995" i="2"/>
  <c r="Q1994" i="2"/>
  <c r="U1993" i="2"/>
  <c r="Y1992" i="2"/>
  <c r="I1992" i="2"/>
  <c r="M1991" i="2"/>
  <c r="Q1990" i="2"/>
  <c r="U1989" i="2"/>
  <c r="Y1988" i="2"/>
  <c r="I1988" i="2"/>
  <c r="M1987" i="2"/>
  <c r="Q1986" i="2"/>
  <c r="U1985" i="2"/>
  <c r="Y1984" i="2"/>
  <c r="I1984" i="2"/>
  <c r="M1983" i="2"/>
  <c r="Q1982" i="2"/>
  <c r="U1981" i="2"/>
  <c r="Y1980" i="2"/>
  <c r="I1980" i="2"/>
  <c r="M1979" i="2"/>
  <c r="Q1978" i="2"/>
  <c r="U1977" i="2"/>
  <c r="Y1976" i="2"/>
  <c r="I1976" i="2"/>
  <c r="M1975" i="2"/>
  <c r="Q1974" i="2"/>
  <c r="U1973" i="2"/>
  <c r="Y1972" i="2"/>
  <c r="I1972" i="2"/>
  <c r="M1971" i="2"/>
  <c r="Q1970" i="2"/>
  <c r="U1969" i="2"/>
  <c r="Y1968" i="2"/>
  <c r="I1968" i="2"/>
  <c r="M1967" i="2"/>
  <c r="Q1966" i="2"/>
  <c r="U1965" i="2"/>
  <c r="Y1964" i="2"/>
  <c r="I1964" i="2"/>
  <c r="M1963" i="2"/>
  <c r="Q1962" i="2"/>
  <c r="U1961" i="2"/>
  <c r="Y1960" i="2"/>
  <c r="I1960" i="2"/>
  <c r="M1959" i="2"/>
  <c r="Q1958" i="2"/>
  <c r="U1957" i="2"/>
  <c r="Y1956" i="2"/>
  <c r="I1956" i="2"/>
  <c r="M1955" i="2"/>
  <c r="Q1954" i="2"/>
  <c r="U1953" i="2"/>
  <c r="Y1952" i="2"/>
  <c r="I1952" i="2"/>
  <c r="M1951" i="2"/>
  <c r="Q1950" i="2"/>
  <c r="U1949" i="2"/>
  <c r="Y1948" i="2"/>
  <c r="I1948" i="2"/>
  <c r="M1947" i="2"/>
  <c r="Q1946" i="2"/>
  <c r="U1945" i="2"/>
  <c r="Y1944" i="2"/>
  <c r="I1944" i="2"/>
  <c r="M1943" i="2"/>
  <c r="Q1942" i="2"/>
  <c r="U1941" i="2"/>
  <c r="Y1940" i="2"/>
  <c r="I1940" i="2"/>
  <c r="M1939" i="2"/>
  <c r="Q1938" i="2"/>
  <c r="U1937" i="2"/>
  <c r="Y1936" i="2"/>
  <c r="I1936" i="2"/>
  <c r="M1935" i="2"/>
  <c r="Q1934" i="2"/>
  <c r="U1933" i="2"/>
  <c r="Y1932" i="2"/>
  <c r="I1932" i="2"/>
  <c r="M1931" i="2"/>
  <c r="Q1930" i="2"/>
  <c r="U1929" i="2"/>
  <c r="Y1928" i="2"/>
  <c r="I1928" i="2"/>
  <c r="M1927" i="2"/>
  <c r="Q1926" i="2"/>
  <c r="U1925" i="2"/>
  <c r="Y1924" i="2"/>
  <c r="I1924" i="2"/>
  <c r="M1923" i="2"/>
  <c r="Q1922" i="2"/>
  <c r="U1921" i="2"/>
  <c r="Y1920" i="2"/>
  <c r="I1920" i="2"/>
  <c r="M1919" i="2"/>
  <c r="Q1918" i="2"/>
  <c r="U1917" i="2"/>
  <c r="Y1916" i="2"/>
  <c r="I1916" i="2"/>
  <c r="M1915" i="2"/>
  <c r="Q1914" i="2"/>
  <c r="U1913" i="2"/>
  <c r="Y1912" i="2"/>
  <c r="I1912" i="2"/>
  <c r="M1911" i="2"/>
  <c r="Q1910" i="2"/>
  <c r="U1909" i="2"/>
  <c r="Y1908" i="2"/>
  <c r="I1908" i="2"/>
  <c r="M1907" i="2"/>
  <c r="Q1906" i="2"/>
  <c r="U1905" i="2"/>
  <c r="Y1904" i="2"/>
  <c r="I1904" i="2"/>
  <c r="M1903" i="2"/>
  <c r="Q1902" i="2"/>
  <c r="U1901" i="2"/>
  <c r="Y1900" i="2"/>
  <c r="I1900" i="2"/>
  <c r="M1899" i="2"/>
  <c r="Q1898" i="2"/>
  <c r="U1897" i="2"/>
  <c r="Y1896" i="2"/>
  <c r="I1896" i="2"/>
  <c r="M1895" i="2"/>
  <c r="Q1894" i="2"/>
  <c r="U1893" i="2"/>
  <c r="Y1892" i="2"/>
  <c r="I1892" i="2"/>
  <c r="M1891" i="2"/>
  <c r="Q1890" i="2"/>
  <c r="U1889" i="2"/>
  <c r="Y1888" i="2"/>
  <c r="I1888" i="2"/>
  <c r="M1887" i="2"/>
  <c r="Q1886" i="2"/>
  <c r="U1885" i="2"/>
  <c r="Y1884" i="2"/>
  <c r="I1884" i="2"/>
  <c r="M1883" i="2"/>
  <c r="Q1882" i="2"/>
  <c r="U1881" i="2"/>
  <c r="Y1880" i="2"/>
  <c r="I1880" i="2"/>
  <c r="M1879" i="2"/>
  <c r="Q1878" i="2"/>
  <c r="U1877" i="2"/>
  <c r="Y1876" i="2"/>
  <c r="I1876" i="2"/>
  <c r="M1875" i="2"/>
  <c r="Q1874" i="2"/>
  <c r="U1873" i="2"/>
  <c r="Y1872" i="2"/>
  <c r="I1872" i="2"/>
  <c r="M1871" i="2"/>
  <c r="Q1870" i="2"/>
  <c r="U1869" i="2"/>
  <c r="Y1868" i="2"/>
  <c r="I1868" i="2"/>
  <c r="M1867" i="2"/>
  <c r="Q1866" i="2"/>
  <c r="U1865" i="2"/>
  <c r="Y1864" i="2"/>
  <c r="I1864" i="2"/>
  <c r="M1863" i="2"/>
  <c r="Q1862" i="2"/>
  <c r="U1861" i="2"/>
  <c r="Y1860" i="2"/>
  <c r="I1860" i="2"/>
  <c r="M1859" i="2"/>
  <c r="Q1858" i="2"/>
  <c r="U1857" i="2"/>
  <c r="Y1856" i="2"/>
  <c r="I1856" i="2"/>
  <c r="M1855" i="2"/>
  <c r="Q1854" i="2"/>
  <c r="U1853" i="2"/>
  <c r="Y1852" i="2"/>
  <c r="I1852" i="2"/>
  <c r="M1851" i="2"/>
  <c r="Q1850" i="2"/>
  <c r="U1849" i="2"/>
  <c r="Y1848" i="2"/>
  <c r="I1848" i="2"/>
  <c r="M1847" i="2"/>
  <c r="Q1846" i="2"/>
  <c r="U1845" i="2"/>
  <c r="Y1844" i="2"/>
  <c r="I1844" i="2"/>
  <c r="M1843" i="2"/>
  <c r="Q1842" i="2"/>
  <c r="U1841" i="2"/>
  <c r="Y1840" i="2"/>
  <c r="I1840" i="2"/>
  <c r="M1839" i="2"/>
  <c r="Q1838" i="2"/>
  <c r="U1837" i="2"/>
  <c r="Y1836" i="2"/>
  <c r="I1836" i="2"/>
  <c r="M1835" i="2"/>
  <c r="Q1834" i="2"/>
  <c r="U1833" i="2"/>
  <c r="Y1832" i="2"/>
  <c r="I1832" i="2"/>
  <c r="M1831" i="2"/>
  <c r="Q1830" i="2"/>
  <c r="U1829" i="2"/>
  <c r="Y1828" i="2"/>
  <c r="I1828" i="2"/>
  <c r="M1827" i="2"/>
  <c r="Q1826" i="2"/>
  <c r="U1825" i="2"/>
  <c r="Y1824" i="2"/>
  <c r="I1824" i="2"/>
  <c r="M1823" i="2"/>
  <c r="Q1822" i="2"/>
  <c r="U1821" i="2"/>
  <c r="Y1820" i="2"/>
  <c r="I1820" i="2"/>
  <c r="M1819" i="2"/>
  <c r="Q1818" i="2"/>
  <c r="U1817" i="2"/>
  <c r="Y1816" i="2"/>
  <c r="I1816" i="2"/>
  <c r="M1815" i="2"/>
  <c r="Q1814" i="2"/>
  <c r="U1813" i="2"/>
  <c r="Y1812" i="2"/>
  <c r="I1812" i="2"/>
  <c r="M1811" i="2"/>
  <c r="Q1810" i="2"/>
  <c r="U1809" i="2"/>
  <c r="Y1808" i="2"/>
  <c r="I1808" i="2"/>
  <c r="M1807" i="2"/>
  <c r="Q1806" i="2"/>
  <c r="U1805" i="2"/>
  <c r="Y1804" i="2"/>
  <c r="I1804" i="2"/>
  <c r="M1803" i="2"/>
  <c r="Q1802" i="2"/>
  <c r="U1801" i="2"/>
  <c r="Y1800" i="2"/>
  <c r="I1800" i="2"/>
  <c r="M1799" i="2"/>
  <c r="Q1798" i="2"/>
  <c r="M1797" i="2"/>
  <c r="U1795" i="2"/>
  <c r="I1794" i="2"/>
  <c r="Q1792" i="2"/>
  <c r="Y1790" i="2"/>
  <c r="M1789" i="2"/>
  <c r="U1787" i="2"/>
  <c r="I1786" i="2"/>
  <c r="Q1784" i="2"/>
  <c r="Y1782" i="2"/>
  <c r="M1781" i="2"/>
  <c r="U1779" i="2"/>
  <c r="I1778" i="2"/>
  <c r="Q1776" i="2"/>
  <c r="Y1774" i="2"/>
  <c r="M1773" i="2"/>
  <c r="U1771" i="2"/>
  <c r="I1770" i="2"/>
  <c r="Q1768" i="2"/>
  <c r="Y1766" i="2"/>
  <c r="M1765" i="2"/>
  <c r="U1763" i="2"/>
  <c r="I1762" i="2"/>
  <c r="Q1760" i="2"/>
  <c r="Y1758" i="2"/>
  <c r="M1757" i="2"/>
  <c r="U1755" i="2"/>
  <c r="I1754" i="2"/>
  <c r="Q1752" i="2"/>
  <c r="Y1750" i="2"/>
  <c r="M1749" i="2"/>
  <c r="U1747" i="2"/>
  <c r="I1746" i="2"/>
  <c r="Q1744" i="2"/>
  <c r="Y1742" i="2"/>
  <c r="M1741" i="2"/>
  <c r="U1739" i="2"/>
  <c r="I1738" i="2"/>
  <c r="Q1736" i="2"/>
  <c r="Y1734" i="2"/>
  <c r="M1733" i="2"/>
  <c r="U1731" i="2"/>
  <c r="I1730" i="2"/>
  <c r="Q1728" i="2"/>
  <c r="Y1726" i="2"/>
  <c r="M1725" i="2"/>
  <c r="U1723" i="2"/>
  <c r="I1722" i="2"/>
  <c r="Q1720" i="2"/>
  <c r="Y1718" i="2"/>
  <c r="M1717" i="2"/>
  <c r="U1715" i="2"/>
  <c r="I1714" i="2"/>
  <c r="Q1712" i="2"/>
  <c r="Y1710" i="2"/>
  <c r="M1709" i="2"/>
  <c r="U1707" i="2"/>
  <c r="I1706" i="2"/>
  <c r="Q1704" i="2"/>
  <c r="Y1702" i="2"/>
  <c r="M1701" i="2"/>
  <c r="U1699" i="2"/>
  <c r="I1698" i="2"/>
  <c r="Q1696" i="2"/>
  <c r="Y1694" i="2"/>
  <c r="M1693" i="2"/>
  <c r="U1691" i="2"/>
  <c r="I1690" i="2"/>
  <c r="Q1688" i="2"/>
  <c r="Y1686" i="2"/>
  <c r="M1685" i="2"/>
  <c r="U1683" i="2"/>
  <c r="I1682" i="2"/>
  <c r="Q1680" i="2"/>
  <c r="Y1678" i="2"/>
  <c r="M1677" i="2"/>
  <c r="U1675" i="2"/>
  <c r="I1674" i="2"/>
  <c r="Q1672" i="2"/>
  <c r="Y1670" i="2"/>
  <c r="M1669" i="2"/>
  <c r="U1667" i="2"/>
  <c r="I1666" i="2"/>
  <c r="Q1664" i="2"/>
  <c r="Y1662" i="2"/>
  <c r="M1661" i="2"/>
  <c r="U1659" i="2"/>
  <c r="I1658" i="2"/>
  <c r="Q1656" i="2"/>
  <c r="Y1654" i="2"/>
  <c r="M1653" i="2"/>
  <c r="U1651" i="2"/>
  <c r="I1650" i="2"/>
  <c r="Q1648" i="2"/>
  <c r="Y1646" i="2"/>
  <c r="M1645" i="2"/>
  <c r="U1643" i="2"/>
  <c r="I1642" i="2"/>
  <c r="Q1640" i="2"/>
  <c r="Y1638" i="2"/>
  <c r="M1637" i="2"/>
  <c r="U1635" i="2"/>
  <c r="I1634" i="2"/>
  <c r="Q1632" i="2"/>
  <c r="Y1630" i="2"/>
  <c r="M1629" i="2"/>
  <c r="U1627" i="2"/>
  <c r="I1626" i="2"/>
  <c r="Q1624" i="2"/>
  <c r="Y1622" i="2"/>
  <c r="M1621" i="2"/>
  <c r="U1619" i="2"/>
  <c r="I1618" i="2"/>
  <c r="Q1616" i="2"/>
  <c r="Y1614" i="2"/>
  <c r="M1613" i="2"/>
  <c r="U1611" i="2"/>
  <c r="I1610" i="2"/>
  <c r="Q1608" i="2"/>
  <c r="Y1606" i="2"/>
  <c r="M1605" i="2"/>
  <c r="U1603" i="2"/>
  <c r="I1602" i="2"/>
  <c r="Q1600" i="2"/>
  <c r="Y1598" i="2"/>
  <c r="M1597" i="2"/>
  <c r="U1595" i="2"/>
  <c r="I1594" i="2"/>
  <c r="O1591" i="2"/>
  <c r="K1588" i="2"/>
  <c r="AA1584" i="2"/>
  <c r="W1581" i="2"/>
  <c r="S1578" i="2"/>
  <c r="O1575" i="2"/>
  <c r="K1572" i="2"/>
  <c r="AA1568" i="2"/>
  <c r="W1565" i="2"/>
  <c r="R1561" i="2"/>
  <c r="L1557" i="2"/>
  <c r="AA1552" i="2"/>
  <c r="V1548" i="2"/>
  <c r="P1544" i="2"/>
  <c r="K1540" i="2"/>
  <c r="Z1535" i="2"/>
  <c r="T1531" i="2"/>
  <c r="O1527" i="2"/>
  <c r="J1523" i="2"/>
  <c r="X1518" i="2"/>
  <c r="S1514" i="2"/>
  <c r="AA1508" i="2"/>
  <c r="P1500" i="2"/>
  <c r="Z1491" i="2"/>
  <c r="O1483" i="2"/>
  <c r="X1474" i="2"/>
  <c r="N1466" i="2"/>
  <c r="W1457" i="2"/>
  <c r="L1449" i="2"/>
  <c r="V1440" i="2"/>
  <c r="V1431" i="2"/>
  <c r="Z1418" i="2"/>
  <c r="J1406" i="2"/>
  <c r="N1393" i="2"/>
  <c r="R1380" i="2"/>
  <c r="V1367" i="2"/>
  <c r="Z1354" i="2"/>
  <c r="Z1337" i="2"/>
  <c r="AA1310" i="2"/>
  <c r="Y1276" i="2"/>
  <c r="R1219" i="2"/>
  <c r="J1117" i="2"/>
  <c r="W2345" i="2"/>
  <c r="O2345" i="2"/>
  <c r="AA2344" i="2"/>
  <c r="S2344" i="2"/>
  <c r="K2344" i="2"/>
  <c r="W2343" i="2"/>
  <c r="O2343" i="2"/>
  <c r="AA2342" i="2"/>
  <c r="S2342" i="2"/>
  <c r="K2342" i="2"/>
  <c r="W2341" i="2"/>
  <c r="O2341" i="2"/>
  <c r="AA2340" i="2"/>
  <c r="S2340" i="2"/>
  <c r="K2340" i="2"/>
  <c r="W2339" i="2"/>
  <c r="O2339" i="2"/>
  <c r="AA2338" i="2"/>
  <c r="S2338" i="2"/>
  <c r="K2338" i="2"/>
  <c r="W2337" i="2"/>
  <c r="O2337" i="2"/>
  <c r="AA2336" i="2"/>
  <c r="S2336" i="2"/>
  <c r="K2336" i="2"/>
  <c r="W2335" i="2"/>
  <c r="O2335" i="2"/>
  <c r="AA2334" i="2"/>
  <c r="S2334" i="2"/>
  <c r="K2334" i="2"/>
  <c r="W2333" i="2"/>
  <c r="O2333" i="2"/>
  <c r="AA2332" i="2"/>
  <c r="S2332" i="2"/>
  <c r="K2332" i="2"/>
  <c r="W2331" i="2"/>
  <c r="O2331" i="2"/>
  <c r="AA2330" i="2"/>
  <c r="S2330" i="2"/>
  <c r="K2330" i="2"/>
  <c r="W2329" i="2"/>
  <c r="O2329" i="2"/>
  <c r="AA2328" i="2"/>
  <c r="S2328" i="2"/>
  <c r="K2328" i="2"/>
  <c r="W2327" i="2"/>
  <c r="O2327" i="2"/>
  <c r="AA2326" i="2"/>
  <c r="S2326" i="2"/>
  <c r="K2326" i="2"/>
  <c r="W2325" i="2"/>
  <c r="O2325" i="2"/>
  <c r="AA2324" i="2"/>
  <c r="S2324" i="2"/>
  <c r="K2324" i="2"/>
  <c r="W2323" i="2"/>
  <c r="O2323" i="2"/>
  <c r="AA2322" i="2"/>
  <c r="S2322" i="2"/>
  <c r="K2322" i="2"/>
  <c r="W2321" i="2"/>
  <c r="O2321" i="2"/>
  <c r="AA2320" i="2"/>
  <c r="S2320" i="2"/>
  <c r="K2320" i="2"/>
  <c r="W2319" i="2"/>
  <c r="O2319" i="2"/>
  <c r="AA2318" i="2"/>
  <c r="S2318" i="2"/>
  <c r="K2318" i="2"/>
  <c r="W2317" i="2"/>
  <c r="O2317" i="2"/>
  <c r="AA2316" i="2"/>
  <c r="S2316" i="2"/>
  <c r="K2316" i="2"/>
  <c r="W2315" i="2"/>
  <c r="O2315" i="2"/>
  <c r="AA2314" i="2"/>
  <c r="S2314" i="2"/>
  <c r="K2314" i="2"/>
  <c r="W2313" i="2"/>
  <c r="O2313" i="2"/>
  <c r="AA2312" i="2"/>
  <c r="S2312" i="2"/>
  <c r="K2312" i="2"/>
  <c r="W2311" i="2"/>
  <c r="O2311" i="2"/>
  <c r="AA2310" i="2"/>
  <c r="S2310" i="2"/>
  <c r="K2310" i="2"/>
  <c r="W2309" i="2"/>
  <c r="O2309" i="2"/>
  <c r="AA2308" i="2"/>
  <c r="S2308" i="2"/>
  <c r="K2308" i="2"/>
  <c r="W2307" i="2"/>
  <c r="O2307" i="2"/>
  <c r="AA2306" i="2"/>
  <c r="S2306" i="2"/>
  <c r="K2306" i="2"/>
  <c r="W2305" i="2"/>
  <c r="O2305" i="2"/>
  <c r="AA2304" i="2"/>
  <c r="S2304" i="2"/>
  <c r="K2304" i="2"/>
  <c r="W2303" i="2"/>
  <c r="O2303" i="2"/>
  <c r="AA2302" i="2"/>
  <c r="S2302" i="2"/>
  <c r="K2302" i="2"/>
  <c r="W2301" i="2"/>
  <c r="O2301" i="2"/>
  <c r="AA2300" i="2"/>
  <c r="S2300" i="2"/>
  <c r="K2300" i="2"/>
  <c r="W2299" i="2"/>
  <c r="O2299" i="2"/>
  <c r="AA2298" i="2"/>
  <c r="S2298" i="2"/>
  <c r="K2298" i="2"/>
  <c r="W2297" i="2"/>
  <c r="O2297" i="2"/>
  <c r="AA2296" i="2"/>
  <c r="S2296" i="2"/>
  <c r="K2296" i="2"/>
  <c r="W2295" i="2"/>
  <c r="O2295" i="2"/>
  <c r="AA2294" i="2"/>
  <c r="S2294" i="2"/>
  <c r="K2294" i="2"/>
  <c r="W2293" i="2"/>
  <c r="O2293" i="2"/>
  <c r="AA2292" i="2"/>
  <c r="S2292" i="2"/>
  <c r="K2292" i="2"/>
  <c r="W2291" i="2"/>
  <c r="O2291" i="2"/>
  <c r="AA2290" i="2"/>
  <c r="S2290" i="2"/>
  <c r="K2290" i="2"/>
  <c r="W2289" i="2"/>
  <c r="O2289" i="2"/>
  <c r="AA2288" i="2"/>
  <c r="S2288" i="2"/>
  <c r="K2288" i="2"/>
  <c r="W2287" i="2"/>
  <c r="O2287" i="2"/>
  <c r="AA2286" i="2"/>
  <c r="S2286" i="2"/>
  <c r="K2286" i="2"/>
  <c r="W2285" i="2"/>
  <c r="O2285" i="2"/>
  <c r="AA2284" i="2"/>
  <c r="S2284" i="2"/>
  <c r="K2284" i="2"/>
  <c r="W2283" i="2"/>
  <c r="O2283" i="2"/>
  <c r="AA2282" i="2"/>
  <c r="S2282" i="2"/>
  <c r="K2282" i="2"/>
  <c r="W2281" i="2"/>
  <c r="O2281" i="2"/>
  <c r="AA2280" i="2"/>
  <c r="S2280" i="2"/>
  <c r="K2280" i="2"/>
  <c r="W2279" i="2"/>
  <c r="O2279" i="2"/>
  <c r="AA2278" i="2"/>
  <c r="S2278" i="2"/>
  <c r="K2278" i="2"/>
  <c r="W2277" i="2"/>
  <c r="O2277" i="2"/>
  <c r="AA2276" i="2"/>
  <c r="S2276" i="2"/>
  <c r="K2276" i="2"/>
  <c r="W2275" i="2"/>
  <c r="O2275" i="2"/>
  <c r="AA2274" i="2"/>
  <c r="S2274" i="2"/>
  <c r="K2274" i="2"/>
  <c r="W2273" i="2"/>
  <c r="O2273" i="2"/>
  <c r="AA2272" i="2"/>
  <c r="S2272" i="2"/>
  <c r="K2272" i="2"/>
  <c r="W2271" i="2"/>
  <c r="O2271" i="2"/>
  <c r="AA2270" i="2"/>
  <c r="S2270" i="2"/>
  <c r="K2270" i="2"/>
  <c r="W2269" i="2"/>
  <c r="O2269" i="2"/>
  <c r="AA2268" i="2"/>
  <c r="S2268" i="2"/>
  <c r="K2268" i="2"/>
  <c r="W2267" i="2"/>
  <c r="O2267" i="2"/>
  <c r="AA2266" i="2"/>
  <c r="S2266" i="2"/>
  <c r="K2266" i="2"/>
  <c r="W2265" i="2"/>
  <c r="O2265" i="2"/>
  <c r="AA2264" i="2"/>
  <c r="S2264" i="2"/>
  <c r="K2264" i="2"/>
  <c r="W2263" i="2"/>
  <c r="O2263" i="2"/>
  <c r="AA2262" i="2"/>
  <c r="S2262" i="2"/>
  <c r="K2262" i="2"/>
  <c r="W2261" i="2"/>
  <c r="O2261" i="2"/>
  <c r="AA2260" i="2"/>
  <c r="S2260" i="2"/>
  <c r="K2260" i="2"/>
  <c r="W2259" i="2"/>
  <c r="O2259" i="2"/>
  <c r="AA2258" i="2"/>
  <c r="S2258" i="2"/>
  <c r="K2258" i="2"/>
  <c r="W2257" i="2"/>
  <c r="O2257" i="2"/>
  <c r="AA2256" i="2"/>
  <c r="S2256" i="2"/>
  <c r="K2256" i="2"/>
  <c r="W2255" i="2"/>
  <c r="O2255" i="2"/>
  <c r="AA2254" i="2"/>
  <c r="S2254" i="2"/>
  <c r="K2254" i="2"/>
  <c r="W2253" i="2"/>
  <c r="O2253" i="2"/>
  <c r="AA2252" i="2"/>
  <c r="S2252" i="2"/>
  <c r="K2252" i="2"/>
  <c r="W2251" i="2"/>
  <c r="O2251" i="2"/>
  <c r="AA2250" i="2"/>
  <c r="S2250" i="2"/>
  <c r="K2250" i="2"/>
  <c r="W2249" i="2"/>
  <c r="O2249" i="2"/>
  <c r="AA2248" i="2"/>
  <c r="S2248" i="2"/>
  <c r="K2248" i="2"/>
  <c r="W2247" i="2"/>
  <c r="O2247" i="2"/>
  <c r="AA2246" i="2"/>
  <c r="S2246" i="2"/>
  <c r="K2246" i="2"/>
  <c r="W2245" i="2"/>
  <c r="O2245" i="2"/>
  <c r="AA2244" i="2"/>
  <c r="S2244" i="2"/>
  <c r="K2244" i="2"/>
  <c r="W2243" i="2"/>
  <c r="O2243" i="2"/>
  <c r="AA2242" i="2"/>
  <c r="S2242" i="2"/>
  <c r="K2242" i="2"/>
  <c r="W2241" i="2"/>
  <c r="O2241" i="2"/>
  <c r="AA2240" i="2"/>
  <c r="S2240" i="2"/>
  <c r="K2240" i="2"/>
  <c r="W2239" i="2"/>
  <c r="O2239" i="2"/>
  <c r="AA2238" i="2"/>
  <c r="S2238" i="2"/>
  <c r="K2238" i="2"/>
  <c r="W2237" i="2"/>
  <c r="O2237" i="2"/>
  <c r="AA2236" i="2"/>
  <c r="S2236" i="2"/>
  <c r="K2236" i="2"/>
  <c r="W2235" i="2"/>
  <c r="O2235" i="2"/>
  <c r="AA2234" i="2"/>
  <c r="S2234" i="2"/>
  <c r="K2234" i="2"/>
  <c r="W2233" i="2"/>
  <c r="O2233" i="2"/>
  <c r="AA2232" i="2"/>
  <c r="S2232" i="2"/>
  <c r="K2232" i="2"/>
  <c r="W2231" i="2"/>
  <c r="O2231" i="2"/>
  <c r="AA2230" i="2"/>
  <c r="S2230" i="2"/>
  <c r="K2230" i="2"/>
  <c r="W2229" i="2"/>
  <c r="O2229" i="2"/>
  <c r="AA2228" i="2"/>
  <c r="S2228" i="2"/>
  <c r="K2228" i="2"/>
  <c r="W2227" i="2"/>
  <c r="O2227" i="2"/>
  <c r="AA2226" i="2"/>
  <c r="S2226" i="2"/>
  <c r="K2226" i="2"/>
  <c r="W2225" i="2"/>
  <c r="O2225" i="2"/>
  <c r="AA2224" i="2"/>
  <c r="S2224" i="2"/>
  <c r="K2224" i="2"/>
  <c r="W2223" i="2"/>
  <c r="O2223" i="2"/>
  <c r="AA2222" i="2"/>
  <c r="S2222" i="2"/>
  <c r="K2222" i="2"/>
  <c r="W2221" i="2"/>
  <c r="O2221" i="2"/>
  <c r="AA2220" i="2"/>
  <c r="S2220" i="2"/>
  <c r="K2220" i="2"/>
  <c r="W2219" i="2"/>
  <c r="O2219" i="2"/>
  <c r="AA2218" i="2"/>
  <c r="S2218" i="2"/>
  <c r="K2218" i="2"/>
  <c r="W2217" i="2"/>
  <c r="O2217" i="2"/>
  <c r="AA2216" i="2"/>
  <c r="S2216" i="2"/>
  <c r="K2216" i="2"/>
  <c r="W2215" i="2"/>
  <c r="O2215" i="2"/>
  <c r="AA2214" i="2"/>
  <c r="S2214" i="2"/>
  <c r="K2214" i="2"/>
  <c r="W2213" i="2"/>
  <c r="O2213" i="2"/>
  <c r="AA2212" i="2"/>
  <c r="S2212" i="2"/>
  <c r="K2212" i="2"/>
  <c r="W2211" i="2"/>
  <c r="O2211" i="2"/>
  <c r="AA2210" i="2"/>
  <c r="S2210" i="2"/>
  <c r="K2210" i="2"/>
  <c r="W2209" i="2"/>
  <c r="O2209" i="2"/>
  <c r="AA2208" i="2"/>
  <c r="S2208" i="2"/>
  <c r="K2208" i="2"/>
  <c r="W2207" i="2"/>
  <c r="AA2206" i="2"/>
  <c r="K2206" i="2"/>
  <c r="O2205" i="2"/>
  <c r="S2204" i="2"/>
  <c r="W2203" i="2"/>
  <c r="AA2202" i="2"/>
  <c r="K2202" i="2"/>
  <c r="O2201" i="2"/>
  <c r="S2200" i="2"/>
  <c r="W2199" i="2"/>
  <c r="AA2198" i="2"/>
  <c r="K2198" i="2"/>
  <c r="O2197" i="2"/>
  <c r="S2196" i="2"/>
  <c r="W2195" i="2"/>
  <c r="AA2194" i="2"/>
  <c r="K2194" i="2"/>
  <c r="O2193" i="2"/>
  <c r="S2192" i="2"/>
  <c r="W2191" i="2"/>
  <c r="AA2190" i="2"/>
  <c r="K2190" i="2"/>
  <c r="O2189" i="2"/>
  <c r="S2188" i="2"/>
  <c r="W2187" i="2"/>
  <c r="AA2186" i="2"/>
  <c r="K2186" i="2"/>
  <c r="O2185" i="2"/>
  <c r="S2184" i="2"/>
  <c r="W2183" i="2"/>
  <c r="AA2182" i="2"/>
  <c r="K2182" i="2"/>
  <c r="O2181" i="2"/>
  <c r="S2180" i="2"/>
  <c r="W2179" i="2"/>
  <c r="AA2178" i="2"/>
  <c r="K2178" i="2"/>
  <c r="O2177" i="2"/>
  <c r="S2176" i="2"/>
  <c r="W2175" i="2"/>
  <c r="AA2174" i="2"/>
  <c r="K2174" i="2"/>
  <c r="O2173" i="2"/>
  <c r="S2172" i="2"/>
  <c r="W2171" i="2"/>
  <c r="AA2170" i="2"/>
  <c r="K2170" i="2"/>
  <c r="O2169" i="2"/>
  <c r="S2168" i="2"/>
  <c r="W2167" i="2"/>
  <c r="AA2166" i="2"/>
  <c r="K2166" i="2"/>
  <c r="O2165" i="2"/>
  <c r="S2164" i="2"/>
  <c r="W2163" i="2"/>
  <c r="AA2162" i="2"/>
  <c r="K2162" i="2"/>
  <c r="O2161" i="2"/>
  <c r="S2160" i="2"/>
  <c r="W2159" i="2"/>
  <c r="AA2158" i="2"/>
  <c r="K2158" i="2"/>
  <c r="O2157" i="2"/>
  <c r="S2156" i="2"/>
  <c r="W2155" i="2"/>
  <c r="AA2154" i="2"/>
  <c r="K2154" i="2"/>
  <c r="O2153" i="2"/>
  <c r="S2152" i="2"/>
  <c r="W2151" i="2"/>
  <c r="AA2150" i="2"/>
  <c r="K2150" i="2"/>
  <c r="O2149" i="2"/>
  <c r="S2148" i="2"/>
  <c r="W2147" i="2"/>
  <c r="AA2146" i="2"/>
  <c r="K2146" i="2"/>
  <c r="O2145" i="2"/>
  <c r="S2144" i="2"/>
  <c r="W2143" i="2"/>
  <c r="AA2142" i="2"/>
  <c r="K2142" i="2"/>
  <c r="O2141" i="2"/>
  <c r="S2140" i="2"/>
  <c r="W2139" i="2"/>
  <c r="AA2138" i="2"/>
  <c r="K2138" i="2"/>
  <c r="O2137" i="2"/>
  <c r="S2136" i="2"/>
  <c r="W2135" i="2"/>
  <c r="AA2134" i="2"/>
  <c r="K2134" i="2"/>
  <c r="O2133" i="2"/>
  <c r="S2132" i="2"/>
  <c r="W2131" i="2"/>
  <c r="AA2130" i="2"/>
  <c r="K2130" i="2"/>
  <c r="O2129" i="2"/>
  <c r="S2128" i="2"/>
  <c r="W2127" i="2"/>
  <c r="AA2126" i="2"/>
  <c r="K2126" i="2"/>
  <c r="O2125" i="2"/>
  <c r="S2124" i="2"/>
  <c r="W2123" i="2"/>
  <c r="AA2122" i="2"/>
  <c r="K2122" i="2"/>
  <c r="O2121" i="2"/>
  <c r="S2120" i="2"/>
  <c r="W2119" i="2"/>
  <c r="AA2118" i="2"/>
  <c r="K2118" i="2"/>
  <c r="O2117" i="2"/>
  <c r="S2116" i="2"/>
  <c r="W2115" i="2"/>
  <c r="AA2114" i="2"/>
  <c r="K2114" i="2"/>
  <c r="O2113" i="2"/>
  <c r="S2112" i="2"/>
  <c r="W2111" i="2"/>
  <c r="AA2110" i="2"/>
  <c r="K2110" i="2"/>
  <c r="O2109" i="2"/>
  <c r="S2108" i="2"/>
  <c r="W2107" i="2"/>
  <c r="AA2106" i="2"/>
  <c r="K2106" i="2"/>
  <c r="O2105" i="2"/>
  <c r="S2104" i="2"/>
  <c r="W2103" i="2"/>
  <c r="AA2102" i="2"/>
  <c r="K2102" i="2"/>
  <c r="O2101" i="2"/>
  <c r="S2100" i="2"/>
  <c r="W2099" i="2"/>
  <c r="AA2098" i="2"/>
  <c r="K2098" i="2"/>
  <c r="O2097" i="2"/>
  <c r="S2096" i="2"/>
  <c r="W2095" i="2"/>
  <c r="AA2094" i="2"/>
  <c r="K2094" i="2"/>
  <c r="O2093" i="2"/>
  <c r="S2092" i="2"/>
  <c r="W2091" i="2"/>
  <c r="AA2090" i="2"/>
  <c r="K2090" i="2"/>
  <c r="O2089" i="2"/>
  <c r="S2088" i="2"/>
  <c r="W2087" i="2"/>
  <c r="AA2086" i="2"/>
  <c r="K2086" i="2"/>
  <c r="O2085" i="2"/>
  <c r="S2084" i="2"/>
  <c r="W2083" i="2"/>
  <c r="AA2082" i="2"/>
  <c r="K2082" i="2"/>
  <c r="O2081" i="2"/>
  <c r="S2080" i="2"/>
  <c r="W2079" i="2"/>
  <c r="AA2078" i="2"/>
  <c r="K2078" i="2"/>
  <c r="O2077" i="2"/>
  <c r="S2076" i="2"/>
  <c r="W2075" i="2"/>
  <c r="AA2074" i="2"/>
  <c r="K2074" i="2"/>
  <c r="O2073" i="2"/>
  <c r="S2072" i="2"/>
  <c r="W2071" i="2"/>
  <c r="AA2070" i="2"/>
  <c r="K2070" i="2"/>
  <c r="O2069" i="2"/>
  <c r="S2068" i="2"/>
  <c r="W2067" i="2"/>
  <c r="AA2066" i="2"/>
  <c r="K2066" i="2"/>
  <c r="O2065" i="2"/>
  <c r="S2064" i="2"/>
  <c r="W2063" i="2"/>
  <c r="AA2062" i="2"/>
  <c r="K2062" i="2"/>
  <c r="O2061" i="2"/>
  <c r="S2060" i="2"/>
  <c r="W2059" i="2"/>
  <c r="AA2058" i="2"/>
  <c r="K2058" i="2"/>
  <c r="O2057" i="2"/>
  <c r="S2056" i="2"/>
  <c r="W2055" i="2"/>
  <c r="AA2054" i="2"/>
  <c r="K2054" i="2"/>
  <c r="O2053" i="2"/>
  <c r="S2052" i="2"/>
  <c r="W2051" i="2"/>
  <c r="AA2050" i="2"/>
  <c r="K2050" i="2"/>
  <c r="O2049" i="2"/>
  <c r="S2048" i="2"/>
  <c r="W2047" i="2"/>
  <c r="AA2046" i="2"/>
  <c r="K2046" i="2"/>
  <c r="O2045" i="2"/>
  <c r="S2044" i="2"/>
  <c r="W2043" i="2"/>
  <c r="AA2042" i="2"/>
  <c r="K2042" i="2"/>
  <c r="O2041" i="2"/>
  <c r="S2040" i="2"/>
  <c r="W2039" i="2"/>
  <c r="AA2038" i="2"/>
  <c r="K2038" i="2"/>
  <c r="O2037" i="2"/>
  <c r="S2036" i="2"/>
  <c r="W2035" i="2"/>
  <c r="AA2034" i="2"/>
  <c r="K2034" i="2"/>
  <c r="O2033" i="2"/>
  <c r="S2032" i="2"/>
  <c r="W2031" i="2"/>
  <c r="AA2030" i="2"/>
  <c r="K2030" i="2"/>
  <c r="O2029" i="2"/>
  <c r="S2028" i="2"/>
  <c r="W2027" i="2"/>
  <c r="AA2026" i="2"/>
  <c r="K2026" i="2"/>
  <c r="O2025" i="2"/>
  <c r="S2024" i="2"/>
  <c r="W2023" i="2"/>
  <c r="AA2022" i="2"/>
  <c r="K2022" i="2"/>
  <c r="O2021" i="2"/>
  <c r="S2020" i="2"/>
  <c r="W2019" i="2"/>
  <c r="AA2018" i="2"/>
  <c r="K2018" i="2"/>
  <c r="O2017" i="2"/>
  <c r="S2016" i="2"/>
  <c r="W2015" i="2"/>
  <c r="AA2014" i="2"/>
  <c r="K2014" i="2"/>
  <c r="O2013" i="2"/>
  <c r="S2012" i="2"/>
  <c r="W2011" i="2"/>
  <c r="AA2010" i="2"/>
  <c r="K2010" i="2"/>
  <c r="O2009" i="2"/>
  <c r="S2008" i="2"/>
  <c r="W2007" i="2"/>
  <c r="AA2006" i="2"/>
  <c r="K2006" i="2"/>
  <c r="O2005" i="2"/>
  <c r="S2004" i="2"/>
  <c r="W2003" i="2"/>
  <c r="AA2002" i="2"/>
  <c r="K2002" i="2"/>
  <c r="O2001" i="2"/>
  <c r="S2000" i="2"/>
  <c r="W1999" i="2"/>
  <c r="AA1998" i="2"/>
  <c r="K1998" i="2"/>
  <c r="O1997" i="2"/>
  <c r="S1996" i="2"/>
  <c r="W1995" i="2"/>
  <c r="AA1994" i="2"/>
  <c r="K1994" i="2"/>
  <c r="O1993" i="2"/>
  <c r="S1992" i="2"/>
  <c r="W1991" i="2"/>
  <c r="AA1990" i="2"/>
  <c r="K1990" i="2"/>
  <c r="O1989" i="2"/>
  <c r="S1988" i="2"/>
  <c r="W1987" i="2"/>
  <c r="AA1986" i="2"/>
  <c r="K1986" i="2"/>
  <c r="O1985" i="2"/>
  <c r="S1984" i="2"/>
  <c r="W1983" i="2"/>
  <c r="AA1982" i="2"/>
  <c r="K1982" i="2"/>
  <c r="O1981" i="2"/>
  <c r="S1980" i="2"/>
  <c r="W1979" i="2"/>
  <c r="AA1978" i="2"/>
  <c r="K1978" i="2"/>
  <c r="O1977" i="2"/>
  <c r="S1976" i="2"/>
  <c r="W1975" i="2"/>
  <c r="AA1974" i="2"/>
  <c r="K1974" i="2"/>
  <c r="O1973" i="2"/>
  <c r="S1972" i="2"/>
  <c r="W1971" i="2"/>
  <c r="AA1970" i="2"/>
  <c r="K1970" i="2"/>
  <c r="O1969" i="2"/>
  <c r="S1968" i="2"/>
  <c r="W1967" i="2"/>
  <c r="AA1966" i="2"/>
  <c r="K1966" i="2"/>
  <c r="O1965" i="2"/>
  <c r="S1964" i="2"/>
  <c r="W1963" i="2"/>
  <c r="AA1962" i="2"/>
  <c r="K1962" i="2"/>
  <c r="O1961" i="2"/>
  <c r="S1960" i="2"/>
  <c r="W1959" i="2"/>
  <c r="AA1958" i="2"/>
  <c r="K1958" i="2"/>
  <c r="O1957" i="2"/>
  <c r="S1956" i="2"/>
  <c r="W1955" i="2"/>
  <c r="AA1954" i="2"/>
  <c r="K1954" i="2"/>
  <c r="O1953" i="2"/>
  <c r="S1952" i="2"/>
  <c r="W1951" i="2"/>
  <c r="AA1950" i="2"/>
  <c r="K1950" i="2"/>
  <c r="O1949" i="2"/>
  <c r="S1948" i="2"/>
  <c r="W1947" i="2"/>
  <c r="AA1946" i="2"/>
  <c r="K1946" i="2"/>
  <c r="O1945" i="2"/>
  <c r="S1944" i="2"/>
  <c r="W1943" i="2"/>
  <c r="AA1942" i="2"/>
  <c r="K1942" i="2"/>
  <c r="O1941" i="2"/>
  <c r="S1940" i="2"/>
  <c r="W1939" i="2"/>
  <c r="AA1938" i="2"/>
  <c r="K1938" i="2"/>
  <c r="O1937" i="2"/>
  <c r="S1936" i="2"/>
  <c r="W1935" i="2"/>
  <c r="AA1934" i="2"/>
  <c r="K1934" i="2"/>
  <c r="O1933" i="2"/>
  <c r="S1932" i="2"/>
  <c r="W1931" i="2"/>
  <c r="AA1930" i="2"/>
  <c r="K1930" i="2"/>
  <c r="O1929" i="2"/>
  <c r="S1928" i="2"/>
  <c r="W1927" i="2"/>
  <c r="AA1926" i="2"/>
  <c r="K1926" i="2"/>
  <c r="O1925" i="2"/>
  <c r="S1924" i="2"/>
  <c r="W1923" i="2"/>
  <c r="AA1922" i="2"/>
  <c r="K1922" i="2"/>
  <c r="O1921" i="2"/>
  <c r="S1920" i="2"/>
  <c r="W1919" i="2"/>
  <c r="AA1918" i="2"/>
  <c r="K1918" i="2"/>
  <c r="O1917" i="2"/>
  <c r="S1916" i="2"/>
  <c r="W1915" i="2"/>
  <c r="AA1914" i="2"/>
  <c r="K1914" i="2"/>
  <c r="O1913" i="2"/>
  <c r="S1912" i="2"/>
  <c r="W1911" i="2"/>
  <c r="AA1910" i="2"/>
  <c r="K1910" i="2"/>
  <c r="O1909" i="2"/>
  <c r="S1908" i="2"/>
  <c r="W1907" i="2"/>
  <c r="AA1906" i="2"/>
  <c r="K1906" i="2"/>
  <c r="O1905" i="2"/>
  <c r="S1904" i="2"/>
  <c r="W1903" i="2"/>
  <c r="AA1902" i="2"/>
  <c r="K1902" i="2"/>
  <c r="O1901" i="2"/>
  <c r="S1900" i="2"/>
  <c r="W1899" i="2"/>
  <c r="AA1898" i="2"/>
  <c r="K1898" i="2"/>
  <c r="O1897" i="2"/>
  <c r="S1896" i="2"/>
  <c r="W1895" i="2"/>
  <c r="AA1894" i="2"/>
  <c r="K1894" i="2"/>
  <c r="O1893" i="2"/>
  <c r="S1892" i="2"/>
  <c r="W1891" i="2"/>
  <c r="AA1890" i="2"/>
  <c r="K1890" i="2"/>
  <c r="O1889" i="2"/>
  <c r="S1888" i="2"/>
  <c r="W1887" i="2"/>
  <c r="AA1886" i="2"/>
  <c r="K1886" i="2"/>
  <c r="O1885" i="2"/>
  <c r="S1884" i="2"/>
  <c r="W1883" i="2"/>
  <c r="AA1882" i="2"/>
  <c r="K1882" i="2"/>
  <c r="O1881" i="2"/>
  <c r="S1880" i="2"/>
  <c r="W1879" i="2"/>
  <c r="AA1878" i="2"/>
  <c r="K1878" i="2"/>
  <c r="O1877" i="2"/>
  <c r="S1876" i="2"/>
  <c r="W1875" i="2"/>
  <c r="AA1874" i="2"/>
  <c r="K1874" i="2"/>
  <c r="O1873" i="2"/>
  <c r="S1872" i="2"/>
  <c r="W1871" i="2"/>
  <c r="AA1870" i="2"/>
  <c r="K1870" i="2"/>
  <c r="O1869" i="2"/>
  <c r="S1868" i="2"/>
  <c r="W1867" i="2"/>
  <c r="AA1866" i="2"/>
  <c r="K1866" i="2"/>
  <c r="O1865" i="2"/>
  <c r="S1864" i="2"/>
  <c r="W1863" i="2"/>
  <c r="AA1862" i="2"/>
  <c r="K1862" i="2"/>
  <c r="O1861" i="2"/>
  <c r="S1860" i="2"/>
  <c r="W1859" i="2"/>
  <c r="AA1858" i="2"/>
  <c r="K1858" i="2"/>
  <c r="O1857" i="2"/>
  <c r="S1856" i="2"/>
  <c r="W1855" i="2"/>
  <c r="AA1854" i="2"/>
  <c r="K1854" i="2"/>
  <c r="O1853" i="2"/>
  <c r="S1852" i="2"/>
  <c r="W1851" i="2"/>
  <c r="AA1850" i="2"/>
  <c r="K1850" i="2"/>
  <c r="O1849" i="2"/>
  <c r="S1848" i="2"/>
  <c r="W1847" i="2"/>
  <c r="AA1846" i="2"/>
  <c r="K1846" i="2"/>
  <c r="O1845" i="2"/>
  <c r="S1844" i="2"/>
  <c r="W1843" i="2"/>
  <c r="AA1842" i="2"/>
  <c r="K1842" i="2"/>
  <c r="O1841" i="2"/>
  <c r="S1840" i="2"/>
  <c r="W1839" i="2"/>
  <c r="AA1838" i="2"/>
  <c r="K1838" i="2"/>
  <c r="O1837" i="2"/>
  <c r="S1836" i="2"/>
  <c r="W1835" i="2"/>
  <c r="AA1834" i="2"/>
  <c r="K1834" i="2"/>
  <c r="O1833" i="2"/>
  <c r="S1832" i="2"/>
  <c r="W1831" i="2"/>
  <c r="AA1830" i="2"/>
  <c r="K1830" i="2"/>
  <c r="O1829" i="2"/>
  <c r="S1828" i="2"/>
  <c r="W1827" i="2"/>
  <c r="AA1826" i="2"/>
  <c r="K1826" i="2"/>
  <c r="O1825" i="2"/>
  <c r="S1824" i="2"/>
  <c r="W1823" i="2"/>
  <c r="AA1822" i="2"/>
  <c r="K1822" i="2"/>
  <c r="O1821" i="2"/>
  <c r="S1820" i="2"/>
  <c r="W1819" i="2"/>
  <c r="AA1818" i="2"/>
  <c r="K1818" i="2"/>
  <c r="O1817" i="2"/>
  <c r="S1816" i="2"/>
  <c r="W1815" i="2"/>
  <c r="AA1814" i="2"/>
  <c r="K1814" i="2"/>
  <c r="O1813" i="2"/>
  <c r="S1812" i="2"/>
  <c r="W1811" i="2"/>
  <c r="AA1810" i="2"/>
  <c r="K1810" i="2"/>
  <c r="O1809" i="2"/>
  <c r="S1808" i="2"/>
  <c r="W1807" i="2"/>
  <c r="AA1806" i="2"/>
  <c r="K1806" i="2"/>
  <c r="O1805" i="2"/>
  <c r="S1804" i="2"/>
  <c r="W1803" i="2"/>
  <c r="AA1802" i="2"/>
  <c r="K1802" i="2"/>
  <c r="O1801" i="2"/>
  <c r="S1800" i="2"/>
  <c r="W1799" i="2"/>
  <c r="AA1798" i="2"/>
  <c r="K1798" i="2"/>
  <c r="S1796" i="2"/>
  <c r="AA1794" i="2"/>
  <c r="O1793" i="2"/>
  <c r="W1791" i="2"/>
  <c r="K1790" i="2"/>
  <c r="S1788" i="2"/>
  <c r="AA1786" i="2"/>
  <c r="O1785" i="2"/>
  <c r="W1783" i="2"/>
  <c r="K1782" i="2"/>
  <c r="S1780" i="2"/>
  <c r="AA1778" i="2"/>
  <c r="O1777" i="2"/>
  <c r="W1775" i="2"/>
  <c r="K1774" i="2"/>
  <c r="S1772" i="2"/>
  <c r="AA1770" i="2"/>
  <c r="O1769" i="2"/>
  <c r="W1767" i="2"/>
  <c r="K1766" i="2"/>
  <c r="S1764" i="2"/>
  <c r="AA1762" i="2"/>
  <c r="O1761" i="2"/>
  <c r="W1759" i="2"/>
  <c r="K1758" i="2"/>
  <c r="S1756" i="2"/>
  <c r="AA1754" i="2"/>
  <c r="O1753" i="2"/>
  <c r="W1751" i="2"/>
  <c r="K1750" i="2"/>
  <c r="S1748" i="2"/>
  <c r="AA1746" i="2"/>
  <c r="O1745" i="2"/>
  <c r="W1743" i="2"/>
  <c r="K1742" i="2"/>
  <c r="S1740" i="2"/>
  <c r="AA1738" i="2"/>
  <c r="O1737" i="2"/>
  <c r="W1735" i="2"/>
  <c r="K1734" i="2"/>
  <c r="S1732" i="2"/>
  <c r="AA1730" i="2"/>
  <c r="O1729" i="2"/>
  <c r="W1727" i="2"/>
  <c r="K1726" i="2"/>
  <c r="S1724" i="2"/>
  <c r="AA1722" i="2"/>
  <c r="O1721" i="2"/>
  <c r="W1719" i="2"/>
  <c r="K1718" i="2"/>
  <c r="S1716" i="2"/>
  <c r="AA1714" i="2"/>
  <c r="O1713" i="2"/>
  <c r="W1711" i="2"/>
  <c r="K1710" i="2"/>
  <c r="S1708" i="2"/>
  <c r="AA1706" i="2"/>
  <c r="O1705" i="2"/>
  <c r="W1703" i="2"/>
  <c r="K1702" i="2"/>
  <c r="S1700" i="2"/>
  <c r="AA1698" i="2"/>
  <c r="O1697" i="2"/>
  <c r="W1695" i="2"/>
  <c r="K1694" i="2"/>
  <c r="S1692" i="2"/>
  <c r="AA1690" i="2"/>
  <c r="O1689" i="2"/>
  <c r="W1687" i="2"/>
  <c r="K1686" i="2"/>
  <c r="S1684" i="2"/>
  <c r="AA1682" i="2"/>
  <c r="O1681" i="2"/>
  <c r="W1679" i="2"/>
  <c r="K1678" i="2"/>
  <c r="S1676" i="2"/>
  <c r="AA1674" i="2"/>
  <c r="O1673" i="2"/>
  <c r="W1671" i="2"/>
  <c r="K1670" i="2"/>
  <c r="S1668" i="2"/>
  <c r="AA1666" i="2"/>
  <c r="O1665" i="2"/>
  <c r="W1663" i="2"/>
  <c r="K1662" i="2"/>
  <c r="S1660" i="2"/>
  <c r="AA1658" i="2"/>
  <c r="O1657" i="2"/>
  <c r="W1655" i="2"/>
  <c r="K1654" i="2"/>
  <c r="S1652" i="2"/>
  <c r="AA1650" i="2"/>
  <c r="O1649" i="2"/>
  <c r="W1647" i="2"/>
  <c r="K1646" i="2"/>
  <c r="S1644" i="2"/>
  <c r="AA1642" i="2"/>
  <c r="O1641" i="2"/>
  <c r="W1639" i="2"/>
  <c r="K1638" i="2"/>
  <c r="S1636" i="2"/>
  <c r="AA1634" i="2"/>
  <c r="O1633" i="2"/>
  <c r="W1631" i="2"/>
  <c r="K1630" i="2"/>
  <c r="S1628" i="2"/>
  <c r="AA1626" i="2"/>
  <c r="O1625" i="2"/>
  <c r="W1623" i="2"/>
  <c r="K1622" i="2"/>
  <c r="S1620" i="2"/>
  <c r="AA1618" i="2"/>
  <c r="O1617" i="2"/>
  <c r="W1615" i="2"/>
  <c r="K1614" i="2"/>
  <c r="S1612" i="2"/>
  <c r="AA1610" i="2"/>
  <c r="O1609" i="2"/>
  <c r="W1607" i="2"/>
  <c r="K1606" i="2"/>
  <c r="S1604" i="2"/>
  <c r="AA1602" i="2"/>
  <c r="O1601" i="2"/>
  <c r="W1599" i="2"/>
  <c r="K1598" i="2"/>
  <c r="S1596" i="2"/>
  <c r="AA1594" i="2"/>
  <c r="I1593" i="2"/>
  <c r="Y1589" i="2"/>
  <c r="U1586" i="2"/>
  <c r="Q1583" i="2"/>
  <c r="M1580" i="2"/>
  <c r="I1577" i="2"/>
  <c r="Y1573" i="2"/>
  <c r="U1570" i="2"/>
  <c r="Q1567" i="2"/>
  <c r="W1563" i="2"/>
  <c r="R1559" i="2"/>
  <c r="L1555" i="2"/>
  <c r="AA1550" i="2"/>
  <c r="V1546" i="2"/>
  <c r="P1542" i="2"/>
  <c r="K1538" i="2"/>
  <c r="Z1533" i="2"/>
  <c r="T1529" i="2"/>
  <c r="O1525" i="2"/>
  <c r="J1521" i="2"/>
  <c r="X1516" i="2"/>
  <c r="S1512" i="2"/>
  <c r="X1504" i="2"/>
  <c r="N1496" i="2"/>
  <c r="W1487" i="2"/>
  <c r="L1479" i="2"/>
  <c r="V1470" i="2"/>
  <c r="K1462" i="2"/>
  <c r="T1453" i="2"/>
  <c r="J1445" i="2"/>
  <c r="S1436" i="2"/>
  <c r="R1425" i="2"/>
  <c r="V1412" i="2"/>
  <c r="Z1399" i="2"/>
  <c r="J1387" i="2"/>
  <c r="N1374" i="2"/>
  <c r="R1361" i="2"/>
  <c r="V1348" i="2"/>
  <c r="N1325" i="2"/>
  <c r="K1294" i="2"/>
  <c r="V1254" i="2"/>
  <c r="V1168" i="2"/>
  <c r="J262" i="2"/>
  <c r="J233" i="2"/>
  <c r="AA375" i="2"/>
  <c r="W426" i="2"/>
  <c r="Q469" i="2"/>
  <c r="S503" i="2"/>
  <c r="V537" i="2"/>
  <c r="I563" i="2"/>
  <c r="O580" i="2"/>
  <c r="O588" i="2"/>
  <c r="W594" i="2"/>
  <c r="K601" i="2"/>
  <c r="S607" i="2"/>
  <c r="AA613" i="2"/>
  <c r="O620" i="2"/>
  <c r="W626" i="2"/>
  <c r="K633" i="2"/>
  <c r="S639" i="2"/>
  <c r="AA645" i="2"/>
  <c r="O652" i="2"/>
  <c r="W658" i="2"/>
  <c r="K665" i="2"/>
  <c r="S671" i="2"/>
  <c r="AA677" i="2"/>
  <c r="O684" i="2"/>
  <c r="W690" i="2"/>
  <c r="K697" i="2"/>
  <c r="S703" i="2"/>
  <c r="AA709" i="2"/>
  <c r="O716" i="2"/>
  <c r="W722" i="2"/>
  <c r="K729" i="2"/>
  <c r="S735" i="2"/>
  <c r="AA741" i="2"/>
  <c r="O748" i="2"/>
  <c r="W754" i="2"/>
  <c r="K761" i="2"/>
  <c r="Z765" i="2"/>
  <c r="K770" i="2"/>
  <c r="Q774" i="2"/>
  <c r="V778" i="2"/>
  <c r="AA782" i="2"/>
  <c r="M787" i="2"/>
  <c r="R791" i="2"/>
  <c r="W795" i="2"/>
  <c r="I800" i="2"/>
  <c r="N804" i="2"/>
  <c r="S808" i="2"/>
  <c r="Y812" i="2"/>
  <c r="J817" i="2"/>
  <c r="O821" i="2"/>
  <c r="X824" i="2"/>
  <c r="H828" i="2"/>
  <c r="L831" i="2"/>
  <c r="P834" i="2"/>
  <c r="T837" i="2"/>
  <c r="X840" i="2"/>
  <c r="H844" i="2"/>
  <c r="L847" i="2"/>
  <c r="P850" i="2"/>
  <c r="T853" i="2"/>
  <c r="X856" i="2"/>
  <c r="H860" i="2"/>
  <c r="L863" i="2"/>
  <c r="P866" i="2"/>
  <c r="T869" i="2"/>
  <c r="X872" i="2"/>
  <c r="H876" i="2"/>
  <c r="L879" i="2"/>
  <c r="P882" i="2"/>
  <c r="T885" i="2"/>
  <c r="X887" i="2"/>
  <c r="Z889" i="2"/>
  <c r="I892" i="2"/>
  <c r="L894" i="2"/>
  <c r="N896" i="2"/>
  <c r="Q898" i="2"/>
  <c r="T900" i="2"/>
  <c r="V902" i="2"/>
  <c r="Y904" i="2"/>
  <c r="H907" i="2"/>
  <c r="J909" i="2"/>
  <c r="M911" i="2"/>
  <c r="P913" i="2"/>
  <c r="J915" i="2"/>
  <c r="V916" i="2"/>
  <c r="P340" i="2"/>
  <c r="AA403" i="2"/>
  <c r="R449" i="2"/>
  <c r="R486" i="2"/>
  <c r="U520" i="2"/>
  <c r="V551" i="2"/>
  <c r="M573" i="2"/>
  <c r="K585" i="2"/>
  <c r="S591" i="2"/>
  <c r="AA597" i="2"/>
  <c r="O604" i="2"/>
  <c r="W610" i="2"/>
  <c r="K617" i="2"/>
  <c r="S623" i="2"/>
  <c r="AA629" i="2"/>
  <c r="O636" i="2"/>
  <c r="W642" i="2"/>
  <c r="K649" i="2"/>
  <c r="S655" i="2"/>
  <c r="AA661" i="2"/>
  <c r="O668" i="2"/>
  <c r="W674" i="2"/>
  <c r="K681" i="2"/>
  <c r="S687" i="2"/>
  <c r="AA693" i="2"/>
  <c r="O700" i="2"/>
  <c r="W706" i="2"/>
  <c r="K713" i="2"/>
  <c r="S719" i="2"/>
  <c r="AA725" i="2"/>
  <c r="O732" i="2"/>
  <c r="W738" i="2"/>
  <c r="K745" i="2"/>
  <c r="S751" i="2"/>
  <c r="AA757" i="2"/>
  <c r="W763" i="2"/>
  <c r="I768" i="2"/>
  <c r="N772" i="2"/>
  <c r="S776" i="2"/>
  <c r="Y780" i="2"/>
  <c r="J785" i="2"/>
  <c r="O789" i="2"/>
  <c r="U793" i="2"/>
  <c r="Z797" i="2"/>
  <c r="K802" i="2"/>
  <c r="Q806" i="2"/>
  <c r="V810" i="2"/>
  <c r="AA814" i="2"/>
  <c r="M819" i="2"/>
  <c r="L823" i="2"/>
  <c r="P826" i="2"/>
  <c r="T829" i="2"/>
  <c r="X832" i="2"/>
  <c r="H836" i="2"/>
  <c r="L839" i="2"/>
  <c r="P842" i="2"/>
  <c r="T845" i="2"/>
  <c r="X848" i="2"/>
  <c r="H852" i="2"/>
  <c r="L855" i="2"/>
  <c r="P858" i="2"/>
  <c r="T861" i="2"/>
  <c r="X864" i="2"/>
  <c r="H868" i="2"/>
  <c r="L871" i="2"/>
  <c r="P874" i="2"/>
  <c r="T877" i="2"/>
  <c r="X880" i="2"/>
  <c r="H884" i="2"/>
  <c r="V886" i="2"/>
  <c r="Y888" i="2"/>
  <c r="H891" i="2"/>
  <c r="J893" i="2"/>
  <c r="M895" i="2"/>
  <c r="P897" i="2"/>
  <c r="R899" i="2"/>
  <c r="U901" i="2"/>
  <c r="X903" i="2"/>
  <c r="Z905" i="2"/>
  <c r="I908" i="2"/>
  <c r="L910" i="2"/>
  <c r="N912" i="2"/>
  <c r="N914" i="2"/>
  <c r="Z915" i="2"/>
  <c r="R917" i="2"/>
  <c r="Z358" i="2"/>
  <c r="O415" i="2"/>
  <c r="Z460" i="2"/>
  <c r="I495" i="2"/>
  <c r="K529" i="2"/>
  <c r="O557" i="2"/>
  <c r="K577" i="2"/>
  <c r="W586" i="2"/>
  <c r="K593" i="2"/>
  <c r="S599" i="2"/>
  <c r="AA605" i="2"/>
  <c r="O612" i="2"/>
  <c r="W618" i="2"/>
  <c r="K625" i="2"/>
  <c r="S631" i="2"/>
  <c r="AA637" i="2"/>
  <c r="O644" i="2"/>
  <c r="W650" i="2"/>
  <c r="K657" i="2"/>
  <c r="S663" i="2"/>
  <c r="AA669" i="2"/>
  <c r="O676" i="2"/>
  <c r="W682" i="2"/>
  <c r="K689" i="2"/>
  <c r="S695" i="2"/>
  <c r="AA701" i="2"/>
  <c r="O708" i="2"/>
  <c r="W714" i="2"/>
  <c r="K721" i="2"/>
  <c r="S727" i="2"/>
  <c r="AA733" i="2"/>
  <c r="O740" i="2"/>
  <c r="W746" i="2"/>
  <c r="K753" i="2"/>
  <c r="S759" i="2"/>
  <c r="Y764" i="2"/>
  <c r="J769" i="2"/>
  <c r="O773" i="2"/>
  <c r="U777" i="2"/>
  <c r="Z781" i="2"/>
  <c r="K786" i="2"/>
  <c r="Q790" i="2"/>
  <c r="V794" i="2"/>
  <c r="AA798" i="2"/>
  <c r="M803" i="2"/>
  <c r="R807" i="2"/>
  <c r="W811" i="2"/>
  <c r="I816" i="2"/>
  <c r="N820" i="2"/>
  <c r="H824" i="2"/>
  <c r="L827" i="2"/>
  <c r="P830" i="2"/>
  <c r="T833" i="2"/>
  <c r="X836" i="2"/>
  <c r="H840" i="2"/>
  <c r="L843" i="2"/>
  <c r="P846" i="2"/>
  <c r="T849" i="2"/>
  <c r="X852" i="2"/>
  <c r="H856" i="2"/>
  <c r="L859" i="2"/>
  <c r="P862" i="2"/>
  <c r="T865" i="2"/>
  <c r="X868" i="2"/>
  <c r="H872" i="2"/>
  <c r="L875" i="2"/>
  <c r="P878" i="2"/>
  <c r="T881" i="2"/>
  <c r="X884" i="2"/>
  <c r="M887" i="2"/>
  <c r="P889" i="2"/>
  <c r="R891" i="2"/>
  <c r="U893" i="2"/>
  <c r="X895" i="2"/>
  <c r="Z897" i="2"/>
  <c r="I900" i="2"/>
  <c r="L902" i="2"/>
  <c r="N904" i="2"/>
  <c r="Q906" i="2"/>
  <c r="T908" i="2"/>
  <c r="V910" i="2"/>
  <c r="Y912" i="2"/>
  <c r="V914" i="2"/>
  <c r="N916" i="2"/>
  <c r="Z917" i="2"/>
  <c r="R298" i="2"/>
  <c r="J512" i="2"/>
  <c r="AA589" i="2"/>
  <c r="S615" i="2"/>
  <c r="K641" i="2"/>
  <c r="W666" i="2"/>
  <c r="O692" i="2"/>
  <c r="AA717" i="2"/>
  <c r="S743" i="2"/>
  <c r="AA766" i="2"/>
  <c r="I784" i="2"/>
  <c r="J801" i="2"/>
  <c r="K818" i="2"/>
  <c r="H832" i="2"/>
  <c r="X844" i="2"/>
  <c r="T857" i="2"/>
  <c r="P870" i="2"/>
  <c r="L883" i="2"/>
  <c r="T892" i="2"/>
  <c r="J901" i="2"/>
  <c r="U909" i="2"/>
  <c r="J917" i="2"/>
  <c r="R919" i="2"/>
  <c r="J921" i="2"/>
  <c r="V922" i="2"/>
  <c r="N924" i="2"/>
  <c r="Z925" i="2"/>
  <c r="R927" i="2"/>
  <c r="J929" i="2"/>
  <c r="V930" i="2"/>
  <c r="N932" i="2"/>
  <c r="Z933" i="2"/>
  <c r="R935" i="2"/>
  <c r="J937" i="2"/>
  <c r="V938" i="2"/>
  <c r="N940" i="2"/>
  <c r="Z941" i="2"/>
  <c r="R943" i="2"/>
  <c r="J945" i="2"/>
  <c r="V946" i="2"/>
  <c r="N948" i="2"/>
  <c r="Z949" i="2"/>
  <c r="R951" i="2"/>
  <c r="J953" i="2"/>
  <c r="V954" i="2"/>
  <c r="N956" i="2"/>
  <c r="Z957" i="2"/>
  <c r="R959" i="2"/>
  <c r="J961" i="2"/>
  <c r="V962" i="2"/>
  <c r="N964" i="2"/>
  <c r="Z965" i="2"/>
  <c r="R967" i="2"/>
  <c r="J969" i="2"/>
  <c r="V970" i="2"/>
  <c r="N972" i="2"/>
  <c r="Z973" i="2"/>
  <c r="R975" i="2"/>
  <c r="J977" i="2"/>
  <c r="V978" i="2"/>
  <c r="N980" i="2"/>
  <c r="Z981" i="2"/>
  <c r="R983" i="2"/>
  <c r="J985" i="2"/>
  <c r="V986" i="2"/>
  <c r="N988" i="2"/>
  <c r="Z989" i="2"/>
  <c r="R991" i="2"/>
  <c r="J993" i="2"/>
  <c r="V994" i="2"/>
  <c r="N996" i="2"/>
  <c r="Z997" i="2"/>
  <c r="J438" i="2"/>
  <c r="W568" i="2"/>
  <c r="W602" i="2"/>
  <c r="O628" i="2"/>
  <c r="AA653" i="2"/>
  <c r="S679" i="2"/>
  <c r="K705" i="2"/>
  <c r="W730" i="2"/>
  <c r="O756" i="2"/>
  <c r="R775" i="2"/>
  <c r="S792" i="2"/>
  <c r="U809" i="2"/>
  <c r="T825" i="2"/>
  <c r="P838" i="2"/>
  <c r="L851" i="2"/>
  <c r="H864" i="2"/>
  <c r="X876" i="2"/>
  <c r="N888" i="2"/>
  <c r="Y896" i="2"/>
  <c r="P905" i="2"/>
  <c r="Z913" i="2"/>
  <c r="V918" i="2"/>
  <c r="N920" i="2"/>
  <c r="Z921" i="2"/>
  <c r="R923" i="2"/>
  <c r="J925" i="2"/>
  <c r="V926" i="2"/>
  <c r="N928" i="2"/>
  <c r="Z929" i="2"/>
  <c r="R931" i="2"/>
  <c r="J933" i="2"/>
  <c r="V934" i="2"/>
  <c r="N936" i="2"/>
  <c r="Z937" i="2"/>
  <c r="R939" i="2"/>
  <c r="J941" i="2"/>
  <c r="V942" i="2"/>
  <c r="N944" i="2"/>
  <c r="Z945" i="2"/>
  <c r="R947" i="2"/>
  <c r="J949" i="2"/>
  <c r="V950" i="2"/>
  <c r="N952" i="2"/>
  <c r="Z953" i="2"/>
  <c r="R955" i="2"/>
  <c r="J957" i="2"/>
  <c r="V958" i="2"/>
  <c r="N960" i="2"/>
  <c r="Z961" i="2"/>
  <c r="R963" i="2"/>
  <c r="J965" i="2"/>
  <c r="V966" i="2"/>
  <c r="N968" i="2"/>
  <c r="Z969" i="2"/>
  <c r="R971" i="2"/>
  <c r="J973" i="2"/>
  <c r="V974" i="2"/>
  <c r="N976" i="2"/>
  <c r="Z977" i="2"/>
  <c r="R979" i="2"/>
  <c r="J981" i="2"/>
  <c r="V982" i="2"/>
  <c r="N984" i="2"/>
  <c r="Z985" i="2"/>
  <c r="R987" i="2"/>
  <c r="J989" i="2"/>
  <c r="V990" i="2"/>
  <c r="N992" i="2"/>
  <c r="Z993" i="2"/>
  <c r="R995" i="2"/>
  <c r="J997" i="2"/>
  <c r="V998" i="2"/>
  <c r="N1000" i="2"/>
  <c r="Z1001" i="2"/>
  <c r="R1003" i="2"/>
  <c r="J1005" i="2"/>
  <c r="V1006" i="2"/>
  <c r="N1008" i="2"/>
  <c r="Z1009" i="2"/>
  <c r="R1011" i="2"/>
  <c r="J1013" i="2"/>
  <c r="V1014" i="2"/>
  <c r="N1016" i="2"/>
  <c r="Z1017" i="2"/>
  <c r="R1019" i="2"/>
  <c r="U392" i="2"/>
  <c r="O596" i="2"/>
  <c r="S647" i="2"/>
  <c r="W698" i="2"/>
  <c r="AA749" i="2"/>
  <c r="N788" i="2"/>
  <c r="P822" i="2"/>
  <c r="H848" i="2"/>
  <c r="T873" i="2"/>
  <c r="V894" i="2"/>
  <c r="X911" i="2"/>
  <c r="Z919" i="2"/>
  <c r="J923" i="2"/>
  <c r="N926" i="2"/>
  <c r="R929" i="2"/>
  <c r="V932" i="2"/>
  <c r="Z935" i="2"/>
  <c r="J939" i="2"/>
  <c r="N942" i="2"/>
  <c r="R945" i="2"/>
  <c r="V948" i="2"/>
  <c r="Z951" i="2"/>
  <c r="J955" i="2"/>
  <c r="N958" i="2"/>
  <c r="R961" i="2"/>
  <c r="V964" i="2"/>
  <c r="Z967" i="2"/>
  <c r="J971" i="2"/>
  <c r="N974" i="2"/>
  <c r="R977" i="2"/>
  <c r="V980" i="2"/>
  <c r="Z983" i="2"/>
  <c r="J987" i="2"/>
  <c r="N990" i="2"/>
  <c r="R993" i="2"/>
  <c r="V996" i="2"/>
  <c r="R999" i="2"/>
  <c r="R1001" i="2"/>
  <c r="Z1003" i="2"/>
  <c r="Z1005" i="2"/>
  <c r="Z1007" i="2"/>
  <c r="N1010" i="2"/>
  <c r="N1012" i="2"/>
  <c r="N1014" i="2"/>
  <c r="V1016" i="2"/>
  <c r="V1018" i="2"/>
  <c r="V1020" i="2"/>
  <c r="N1022" i="2"/>
  <c r="Z1023" i="2"/>
  <c r="R1025" i="2"/>
  <c r="J1027" i="2"/>
  <c r="V1028" i="2"/>
  <c r="N1030" i="2"/>
  <c r="Z1031" i="2"/>
  <c r="R1033" i="2"/>
  <c r="J1035" i="2"/>
  <c r="V1036" i="2"/>
  <c r="N1038" i="2"/>
  <c r="Z1039" i="2"/>
  <c r="R1041" i="2"/>
  <c r="J1043" i="2"/>
  <c r="V1044" i="2"/>
  <c r="N1046" i="2"/>
  <c r="Z1047" i="2"/>
  <c r="R1049" i="2"/>
  <c r="J1051" i="2"/>
  <c r="V1052" i="2"/>
  <c r="N1054" i="2"/>
  <c r="Z1055" i="2"/>
  <c r="R1057" i="2"/>
  <c r="J1059" i="2"/>
  <c r="V1060" i="2"/>
  <c r="N1062" i="2"/>
  <c r="Z1063" i="2"/>
  <c r="R1065" i="2"/>
  <c r="J1067" i="2"/>
  <c r="V1068" i="2"/>
  <c r="N1070" i="2"/>
  <c r="Z1071" i="2"/>
  <c r="R1073" i="2"/>
  <c r="J1075" i="2"/>
  <c r="V1076" i="2"/>
  <c r="N1078" i="2"/>
  <c r="Z1079" i="2"/>
  <c r="R1081" i="2"/>
  <c r="J1083" i="2"/>
  <c r="AA477" i="2"/>
  <c r="K609" i="2"/>
  <c r="O660" i="2"/>
  <c r="S711" i="2"/>
  <c r="V762" i="2"/>
  <c r="Y796" i="2"/>
  <c r="X828" i="2"/>
  <c r="P854" i="2"/>
  <c r="H880" i="2"/>
  <c r="H899" i="2"/>
  <c r="R915" i="2"/>
  <c r="V920" i="2"/>
  <c r="Z923" i="2"/>
  <c r="J927" i="2"/>
  <c r="N930" i="2"/>
  <c r="R933" i="2"/>
  <c r="V936" i="2"/>
  <c r="Z939" i="2"/>
  <c r="J943" i="2"/>
  <c r="N946" i="2"/>
  <c r="R949" i="2"/>
  <c r="V952" i="2"/>
  <c r="Z955" i="2"/>
  <c r="J959" i="2"/>
  <c r="N962" i="2"/>
  <c r="R965" i="2"/>
  <c r="V968" i="2"/>
  <c r="Z971" i="2"/>
  <c r="J975" i="2"/>
  <c r="N978" i="2"/>
  <c r="R981" i="2"/>
  <c r="V984" i="2"/>
  <c r="Z987" i="2"/>
  <c r="J991" i="2"/>
  <c r="N994" i="2"/>
  <c r="R997" i="2"/>
  <c r="Z999" i="2"/>
  <c r="N1002" i="2"/>
  <c r="N1004" i="2"/>
  <c r="N1006" i="2"/>
  <c r="V1008" i="2"/>
  <c r="V1010" i="2"/>
  <c r="V1012" i="2"/>
  <c r="J1015" i="2"/>
  <c r="J1017" i="2"/>
  <c r="J1019" i="2"/>
  <c r="J1021" i="2"/>
  <c r="V1022" i="2"/>
  <c r="N1024" i="2"/>
  <c r="Z1025" i="2"/>
  <c r="R1027" i="2"/>
  <c r="J1029" i="2"/>
  <c r="V1030" i="2"/>
  <c r="N1032" i="2"/>
  <c r="Z1033" i="2"/>
  <c r="R1035" i="2"/>
  <c r="J1037" i="2"/>
  <c r="V1038" i="2"/>
  <c r="N1040" i="2"/>
  <c r="Z1041" i="2"/>
  <c r="R1043" i="2"/>
  <c r="J1045" i="2"/>
  <c r="V1046" i="2"/>
  <c r="N1048" i="2"/>
  <c r="Z1049" i="2"/>
  <c r="R1051" i="2"/>
  <c r="J1053" i="2"/>
  <c r="V1054" i="2"/>
  <c r="N1056" i="2"/>
  <c r="Z1057" i="2"/>
  <c r="R1059" i="2"/>
  <c r="J1061" i="2"/>
  <c r="V1062" i="2"/>
  <c r="N1064" i="2"/>
  <c r="Z1065" i="2"/>
  <c r="R1067" i="2"/>
  <c r="J1069" i="2"/>
  <c r="V1070" i="2"/>
  <c r="N1072" i="2"/>
  <c r="Z1073" i="2"/>
  <c r="R1075" i="2"/>
  <c r="J1077" i="2"/>
  <c r="V1078" i="2"/>
  <c r="N1080" i="2"/>
  <c r="Z1081" i="2"/>
  <c r="AA545" i="2"/>
  <c r="K673" i="2"/>
  <c r="M771" i="2"/>
  <c r="L835" i="2"/>
  <c r="L886" i="2"/>
  <c r="N918" i="2"/>
  <c r="V924" i="2"/>
  <c r="J931" i="2"/>
  <c r="R937" i="2"/>
  <c r="Z943" i="2"/>
  <c r="N950" i="2"/>
  <c r="V956" i="2"/>
  <c r="J963" i="2"/>
  <c r="R969" i="2"/>
  <c r="Z975" i="2"/>
  <c r="N982" i="2"/>
  <c r="V988" i="2"/>
  <c r="J995" i="2"/>
  <c r="V1000" i="2"/>
  <c r="V1004" i="2"/>
  <c r="J1009" i="2"/>
  <c r="R1013" i="2"/>
  <c r="R1017" i="2"/>
  <c r="R1021" i="2"/>
  <c r="V1024" i="2"/>
  <c r="Z1027" i="2"/>
  <c r="J1031" i="2"/>
  <c r="N1034" i="2"/>
  <c r="R1037" i="2"/>
  <c r="V1040" i="2"/>
  <c r="Z1043" i="2"/>
  <c r="J1047" i="2"/>
  <c r="N1050" i="2"/>
  <c r="R1053" i="2"/>
  <c r="V1056" i="2"/>
  <c r="Z1059" i="2"/>
  <c r="J1063" i="2"/>
  <c r="N1066" i="2"/>
  <c r="R1069" i="2"/>
  <c r="V1072" i="2"/>
  <c r="Z1075" i="2"/>
  <c r="J1079" i="2"/>
  <c r="N1082" i="2"/>
  <c r="N1084" i="2"/>
  <c r="Z1085" i="2"/>
  <c r="R1087" i="2"/>
  <c r="J1089" i="2"/>
  <c r="V1090" i="2"/>
  <c r="N1092" i="2"/>
  <c r="Z1093" i="2"/>
  <c r="R1095" i="2"/>
  <c r="J1097" i="2"/>
  <c r="V1098" i="2"/>
  <c r="N1100" i="2"/>
  <c r="Z1101" i="2"/>
  <c r="R1103" i="2"/>
  <c r="J1105" i="2"/>
  <c r="V1106" i="2"/>
  <c r="N1108" i="2"/>
  <c r="Z1109" i="2"/>
  <c r="R1111" i="2"/>
  <c r="J1113" i="2"/>
  <c r="V1114" i="2"/>
  <c r="N1116" i="2"/>
  <c r="Z1117" i="2"/>
  <c r="R1119" i="2"/>
  <c r="J1121" i="2"/>
  <c r="V1122" i="2"/>
  <c r="N1124" i="2"/>
  <c r="Z1125" i="2"/>
  <c r="R1127" i="2"/>
  <c r="J1129" i="2"/>
  <c r="V1130" i="2"/>
  <c r="N1132" i="2"/>
  <c r="Z1133" i="2"/>
  <c r="R1135" i="2"/>
  <c r="J1137" i="2"/>
  <c r="V1138" i="2"/>
  <c r="N1140" i="2"/>
  <c r="Z1141" i="2"/>
  <c r="R1143" i="2"/>
  <c r="J1145" i="2"/>
  <c r="V1146" i="2"/>
  <c r="N1148" i="2"/>
  <c r="Z1149" i="2"/>
  <c r="R1151" i="2"/>
  <c r="J1153" i="2"/>
  <c r="V1154" i="2"/>
  <c r="N1156" i="2"/>
  <c r="Z1157" i="2"/>
  <c r="R1159" i="2"/>
  <c r="J1161" i="2"/>
  <c r="V1162" i="2"/>
  <c r="N1164" i="2"/>
  <c r="Z1165" i="2"/>
  <c r="R1167" i="2"/>
  <c r="J1169" i="2"/>
  <c r="V1170" i="2"/>
  <c r="N1172" i="2"/>
  <c r="Z1173" i="2"/>
  <c r="R1175" i="2"/>
  <c r="J1177" i="2"/>
  <c r="V1178" i="2"/>
  <c r="N1180" i="2"/>
  <c r="Z1181" i="2"/>
  <c r="R1183" i="2"/>
  <c r="J1185" i="2"/>
  <c r="V1186" i="2"/>
  <c r="N1188" i="2"/>
  <c r="Z1189" i="2"/>
  <c r="R1191" i="2"/>
  <c r="J1193" i="2"/>
  <c r="V1194" i="2"/>
  <c r="N1196" i="2"/>
  <c r="Z1197" i="2"/>
  <c r="R1199" i="2"/>
  <c r="J1201" i="2"/>
  <c r="V1202" i="2"/>
  <c r="N1204" i="2"/>
  <c r="Z1205" i="2"/>
  <c r="R1207" i="2"/>
  <c r="J1209" i="2"/>
  <c r="V1210" i="2"/>
  <c r="N1212" i="2"/>
  <c r="Z1213" i="2"/>
  <c r="R1215" i="2"/>
  <c r="J1217" i="2"/>
  <c r="V1218" i="2"/>
  <c r="N1220" i="2"/>
  <c r="Z1221" i="2"/>
  <c r="AA1222" i="2"/>
  <c r="I1224" i="2"/>
  <c r="J1225" i="2"/>
  <c r="K1226" i="2"/>
  <c r="M1227" i="2"/>
  <c r="N1228" i="2"/>
  <c r="O1229" i="2"/>
  <c r="Q1230" i="2"/>
  <c r="R1231" i="2"/>
  <c r="S1232" i="2"/>
  <c r="U1233" i="2"/>
  <c r="V1234" i="2"/>
  <c r="W1235" i="2"/>
  <c r="Y1236" i="2"/>
  <c r="Z1237" i="2"/>
  <c r="AA1238" i="2"/>
  <c r="I1240" i="2"/>
  <c r="J1241" i="2"/>
  <c r="K1242" i="2"/>
  <c r="M1243" i="2"/>
  <c r="N1244" i="2"/>
  <c r="O1245" i="2"/>
  <c r="Q1246" i="2"/>
  <c r="R1247" i="2"/>
  <c r="S1248" i="2"/>
  <c r="U1249" i="2"/>
  <c r="V1250" i="2"/>
  <c r="W1251" i="2"/>
  <c r="Y1252" i="2"/>
  <c r="Z1253" i="2"/>
  <c r="AA1254" i="2"/>
  <c r="I1256" i="2"/>
  <c r="J1257" i="2"/>
  <c r="K1258" i="2"/>
  <c r="M1259" i="2"/>
  <c r="N1260" i="2"/>
  <c r="O1261" i="2"/>
  <c r="Q1262" i="2"/>
  <c r="R1263" i="2"/>
  <c r="S1264" i="2"/>
  <c r="S583" i="2"/>
  <c r="AA685" i="2"/>
  <c r="W779" i="2"/>
  <c r="T841" i="2"/>
  <c r="Q890" i="2"/>
  <c r="J919" i="2"/>
  <c r="R925" i="2"/>
  <c r="Z931" i="2"/>
  <c r="N938" i="2"/>
  <c r="V944" i="2"/>
  <c r="J951" i="2"/>
  <c r="R957" i="2"/>
  <c r="Z963" i="2"/>
  <c r="N970" i="2"/>
  <c r="V976" i="2"/>
  <c r="J983" i="2"/>
  <c r="R989" i="2"/>
  <c r="Z995" i="2"/>
  <c r="J1001" i="2"/>
  <c r="R1005" i="2"/>
  <c r="R1009" i="2"/>
  <c r="Z1013" i="2"/>
  <c r="N1018" i="2"/>
  <c r="Z1021" i="2"/>
  <c r="J1025" i="2"/>
  <c r="N1028" i="2"/>
  <c r="R1031" i="2"/>
  <c r="V1034" i="2"/>
  <c r="Z1037" i="2"/>
  <c r="J1041" i="2"/>
  <c r="N1044" i="2"/>
  <c r="R1047" i="2"/>
  <c r="V1050" i="2"/>
  <c r="Z1053" i="2"/>
  <c r="J1057" i="2"/>
  <c r="N1060" i="2"/>
  <c r="R1063" i="2"/>
  <c r="V1066" i="2"/>
  <c r="Z1069" i="2"/>
  <c r="J1073" i="2"/>
  <c r="N1076" i="2"/>
  <c r="R1079" i="2"/>
  <c r="V1082" i="2"/>
  <c r="V1084" i="2"/>
  <c r="N1086" i="2"/>
  <c r="Z1087" i="2"/>
  <c r="R1089" i="2"/>
  <c r="J1091" i="2"/>
  <c r="V1092" i="2"/>
  <c r="N1094" i="2"/>
  <c r="Z1095" i="2"/>
  <c r="R1097" i="2"/>
  <c r="J1099" i="2"/>
  <c r="V1100" i="2"/>
  <c r="N1102" i="2"/>
  <c r="Z1103" i="2"/>
  <c r="R1105" i="2"/>
  <c r="J1107" i="2"/>
  <c r="V1108" i="2"/>
  <c r="N1110" i="2"/>
  <c r="Z1111" i="2"/>
  <c r="R1113" i="2"/>
  <c r="J1115" i="2"/>
  <c r="V1116" i="2"/>
  <c r="N1118" i="2"/>
  <c r="Z1119" i="2"/>
  <c r="R1121" i="2"/>
  <c r="J1123" i="2"/>
  <c r="V1124" i="2"/>
  <c r="N1126" i="2"/>
  <c r="Z1127" i="2"/>
  <c r="R1129" i="2"/>
  <c r="J1131" i="2"/>
  <c r="V1132" i="2"/>
  <c r="N1134" i="2"/>
  <c r="Z1135" i="2"/>
  <c r="R1137" i="2"/>
  <c r="J1139" i="2"/>
  <c r="V1140" i="2"/>
  <c r="N1142" i="2"/>
  <c r="Z1143" i="2"/>
  <c r="R1145" i="2"/>
  <c r="J1147" i="2"/>
  <c r="V1148" i="2"/>
  <c r="N1150" i="2"/>
  <c r="Z1151" i="2"/>
  <c r="R1153" i="2"/>
  <c r="J1155" i="2"/>
  <c r="V1156" i="2"/>
  <c r="N1158" i="2"/>
  <c r="Z1159" i="2"/>
  <c r="R1161" i="2"/>
  <c r="J1163" i="2"/>
  <c r="V1164" i="2"/>
  <c r="N1166" i="2"/>
  <c r="Z1167" i="2"/>
  <c r="R1169" i="2"/>
  <c r="J1171" i="2"/>
  <c r="V1172" i="2"/>
  <c r="N1174" i="2"/>
  <c r="Z1175" i="2"/>
  <c r="R1177" i="2"/>
  <c r="J1179" i="2"/>
  <c r="V1180" i="2"/>
  <c r="N1182" i="2"/>
  <c r="Z1183" i="2"/>
  <c r="R1185" i="2"/>
  <c r="J1187" i="2"/>
  <c r="V1188" i="2"/>
  <c r="N1190" i="2"/>
  <c r="Z1191" i="2"/>
  <c r="R1193" i="2"/>
  <c r="J1195" i="2"/>
  <c r="V1196" i="2"/>
  <c r="N1198" i="2"/>
  <c r="Z1199" i="2"/>
  <c r="R1201" i="2"/>
  <c r="J1203" i="2"/>
  <c r="V1204" i="2"/>
  <c r="N1206" i="2"/>
  <c r="Z1207" i="2"/>
  <c r="R1209" i="2"/>
  <c r="J1211" i="2"/>
  <c r="V1212" i="2"/>
  <c r="N1214" i="2"/>
  <c r="Z1215" i="2"/>
  <c r="R1217" i="2"/>
  <c r="J1219" i="2"/>
  <c r="V1220" i="2"/>
  <c r="K1222" i="2"/>
  <c r="M1223" i="2"/>
  <c r="N1224" i="2"/>
  <c r="O1225" i="2"/>
  <c r="Q1226" i="2"/>
  <c r="R1227" i="2"/>
  <c r="S1228" i="2"/>
  <c r="U1229" i="2"/>
  <c r="V1230" i="2"/>
  <c r="W1231" i="2"/>
  <c r="Y1232" i="2"/>
  <c r="Z1233" i="2"/>
  <c r="AA1234" i="2"/>
  <c r="I1236" i="2"/>
  <c r="J1237" i="2"/>
  <c r="K1238" i="2"/>
  <c r="M1239" i="2"/>
  <c r="N1240" i="2"/>
  <c r="O1241" i="2"/>
  <c r="Q1242" i="2"/>
  <c r="R1243" i="2"/>
  <c r="S1244" i="2"/>
  <c r="U1245" i="2"/>
  <c r="V1246" i="2"/>
  <c r="W1247" i="2"/>
  <c r="Y1248" i="2"/>
  <c r="Z1249" i="2"/>
  <c r="AA1250" i="2"/>
  <c r="I1252" i="2"/>
  <c r="J1253" i="2"/>
  <c r="K1254" i="2"/>
  <c r="M1255" i="2"/>
  <c r="N1256" i="2"/>
  <c r="O1257" i="2"/>
  <c r="Q1258" i="2"/>
  <c r="R1259" i="2"/>
  <c r="S1260" i="2"/>
  <c r="U1261" i="2"/>
  <c r="V1262" i="2"/>
  <c r="W1263" i="2"/>
  <c r="Y1264" i="2"/>
  <c r="AA621" i="2"/>
  <c r="O805" i="2"/>
  <c r="M903" i="2"/>
  <c r="Z927" i="2"/>
  <c r="V940" i="2"/>
  <c r="R953" i="2"/>
  <c r="N966" i="2"/>
  <c r="J979" i="2"/>
  <c r="Z991" i="2"/>
  <c r="V1002" i="2"/>
  <c r="J1011" i="2"/>
  <c r="Z1019" i="2"/>
  <c r="N1026" i="2"/>
  <c r="V1032" i="2"/>
  <c r="J1039" i="2"/>
  <c r="R1045" i="2"/>
  <c r="Z1051" i="2"/>
  <c r="N1058" i="2"/>
  <c r="V1064" i="2"/>
  <c r="J1071" i="2"/>
  <c r="R1077" i="2"/>
  <c r="R1083" i="2"/>
  <c r="V1086" i="2"/>
  <c r="Z1089" i="2"/>
  <c r="J1093" i="2"/>
  <c r="N1096" i="2"/>
  <c r="R1099" i="2"/>
  <c r="V1102" i="2"/>
  <c r="Z1105" i="2"/>
  <c r="J1109" i="2"/>
  <c r="N1112" i="2"/>
  <c r="R1115" i="2"/>
  <c r="V1118" i="2"/>
  <c r="Z1121" i="2"/>
  <c r="J1125" i="2"/>
  <c r="N1128" i="2"/>
  <c r="R1131" i="2"/>
  <c r="V1134" i="2"/>
  <c r="Z1137" i="2"/>
  <c r="J1141" i="2"/>
  <c r="N1144" i="2"/>
  <c r="R1147" i="2"/>
  <c r="V1150" i="2"/>
  <c r="Z1153" i="2"/>
  <c r="J1157" i="2"/>
  <c r="N1160" i="2"/>
  <c r="R1163" i="2"/>
  <c r="V1166" i="2"/>
  <c r="Z1169" i="2"/>
  <c r="J1173" i="2"/>
  <c r="N1176" i="2"/>
  <c r="R1179" i="2"/>
  <c r="V1182" i="2"/>
  <c r="Z1185" i="2"/>
  <c r="J1189" i="2"/>
  <c r="N1192" i="2"/>
  <c r="R1195" i="2"/>
  <c r="V1198" i="2"/>
  <c r="Z1201" i="2"/>
  <c r="J1205" i="2"/>
  <c r="N1208" i="2"/>
  <c r="R1211" i="2"/>
  <c r="V1214" i="2"/>
  <c r="Z1217" i="2"/>
  <c r="J1221" i="2"/>
  <c r="R1223" i="2"/>
  <c r="U1225" i="2"/>
  <c r="W1227" i="2"/>
  <c r="Z1229" i="2"/>
  <c r="I1232" i="2"/>
  <c r="K1234" i="2"/>
  <c r="N1236" i="2"/>
  <c r="Q1238" i="2"/>
  <c r="S1240" i="2"/>
  <c r="V1242" i="2"/>
  <c r="Y1244" i="2"/>
  <c r="AA1246" i="2"/>
  <c r="J1249" i="2"/>
  <c r="M1251" i="2"/>
  <c r="O1253" i="2"/>
  <c r="R1255" i="2"/>
  <c r="U1257" i="2"/>
  <c r="W1259" i="2"/>
  <c r="Z1261" i="2"/>
  <c r="I1264" i="2"/>
  <c r="U1265" i="2"/>
  <c r="V1266" i="2"/>
  <c r="W1267" i="2"/>
  <c r="Y1268" i="2"/>
  <c r="Z1269" i="2"/>
  <c r="AA1270" i="2"/>
  <c r="I1272" i="2"/>
  <c r="J1273" i="2"/>
  <c r="K1274" i="2"/>
  <c r="M1275" i="2"/>
  <c r="N1276" i="2"/>
  <c r="O1277" i="2"/>
  <c r="Q1278" i="2"/>
  <c r="R1279" i="2"/>
  <c r="S1280" i="2"/>
  <c r="U1281" i="2"/>
  <c r="V1282" i="2"/>
  <c r="W1283" i="2"/>
  <c r="Y1284" i="2"/>
  <c r="Z1285" i="2"/>
  <c r="AA1286" i="2"/>
  <c r="I1288" i="2"/>
  <c r="J1289" i="2"/>
  <c r="K1290" i="2"/>
  <c r="M1291" i="2"/>
  <c r="N1292" i="2"/>
  <c r="O1293" i="2"/>
  <c r="Q1294" i="2"/>
  <c r="R1295" i="2"/>
  <c r="S1296" i="2"/>
  <c r="U1297" i="2"/>
  <c r="V1298" i="2"/>
  <c r="W1299" i="2"/>
  <c r="Y1300" i="2"/>
  <c r="Z1301" i="2"/>
  <c r="AA1302" i="2"/>
  <c r="I1304" i="2"/>
  <c r="J1305" i="2"/>
  <c r="K1306" i="2"/>
  <c r="M1307" i="2"/>
  <c r="N1308" i="2"/>
  <c r="O1309" i="2"/>
  <c r="Q1310" i="2"/>
  <c r="R1311" i="2"/>
  <c r="S1312" i="2"/>
  <c r="U1313" i="2"/>
  <c r="V1314" i="2"/>
  <c r="W1315" i="2"/>
  <c r="V1316" i="2"/>
  <c r="R1317" i="2"/>
  <c r="N1318" i="2"/>
  <c r="J1319" i="2"/>
  <c r="Z1319" i="2"/>
  <c r="V1320" i="2"/>
  <c r="R1321" i="2"/>
  <c r="N1322" i="2"/>
  <c r="J1323" i="2"/>
  <c r="Z1323" i="2"/>
  <c r="V1324" i="2"/>
  <c r="R1325" i="2"/>
  <c r="N1326" i="2"/>
  <c r="J1327" i="2"/>
  <c r="Z1327" i="2"/>
  <c r="V1328" i="2"/>
  <c r="R1329" i="2"/>
  <c r="N1330" i="2"/>
  <c r="J1331" i="2"/>
  <c r="Z1331" i="2"/>
  <c r="V1332" i="2"/>
  <c r="R1333" i="2"/>
  <c r="N1334" i="2"/>
  <c r="J1335" i="2"/>
  <c r="Z1335" i="2"/>
  <c r="V1336" i="2"/>
  <c r="R1337" i="2"/>
  <c r="N1338" i="2"/>
  <c r="J1339" i="2"/>
  <c r="Z1339" i="2"/>
  <c r="V1340" i="2"/>
  <c r="R1341" i="2"/>
  <c r="N1342" i="2"/>
  <c r="J1343" i="2"/>
  <c r="Z1343" i="2"/>
  <c r="V1344" i="2"/>
  <c r="R1345" i="2"/>
  <c r="N1346" i="2"/>
  <c r="W634" i="2"/>
  <c r="Z813" i="2"/>
  <c r="R907" i="2"/>
  <c r="V928" i="2"/>
  <c r="R941" i="2"/>
  <c r="N954" i="2"/>
  <c r="J967" i="2"/>
  <c r="Z979" i="2"/>
  <c r="V992" i="2"/>
  <c r="J1003" i="2"/>
  <c r="Z1011" i="2"/>
  <c r="N1020" i="2"/>
  <c r="V1026" i="2"/>
  <c r="J1033" i="2"/>
  <c r="R1039" i="2"/>
  <c r="Z1045" i="2"/>
  <c r="N1052" i="2"/>
  <c r="V1058" i="2"/>
  <c r="J1065" i="2"/>
  <c r="R1071" i="2"/>
  <c r="Z1077" i="2"/>
  <c r="Z1083" i="2"/>
  <c r="J1087" i="2"/>
  <c r="N1090" i="2"/>
  <c r="R1093" i="2"/>
  <c r="V1096" i="2"/>
  <c r="Z1099" i="2"/>
  <c r="J1103" i="2"/>
  <c r="N1106" i="2"/>
  <c r="R1109" i="2"/>
  <c r="V1112" i="2"/>
  <c r="Z1115" i="2"/>
  <c r="J1119" i="2"/>
  <c r="N1122" i="2"/>
  <c r="R1125" i="2"/>
  <c r="V1128" i="2"/>
  <c r="Z1131" i="2"/>
  <c r="J1135" i="2"/>
  <c r="N1138" i="2"/>
  <c r="R1141" i="2"/>
  <c r="V1144" i="2"/>
  <c r="Z1147" i="2"/>
  <c r="J1151" i="2"/>
  <c r="N1154" i="2"/>
  <c r="R1157" i="2"/>
  <c r="V1160" i="2"/>
  <c r="Z1163" i="2"/>
  <c r="J1167" i="2"/>
  <c r="N1170" i="2"/>
  <c r="R1173" i="2"/>
  <c r="V1176" i="2"/>
  <c r="Z1179" i="2"/>
  <c r="J1183" i="2"/>
  <c r="N1186" i="2"/>
  <c r="R1189" i="2"/>
  <c r="V1192" i="2"/>
  <c r="Z1195" i="2"/>
  <c r="J1199" i="2"/>
  <c r="N1202" i="2"/>
  <c r="R1205" i="2"/>
  <c r="V1208" i="2"/>
  <c r="Z1211" i="2"/>
  <c r="J1215" i="2"/>
  <c r="N1218" i="2"/>
  <c r="R1221" i="2"/>
  <c r="W1223" i="2"/>
  <c r="Z1225" i="2"/>
  <c r="I1228" i="2"/>
  <c r="K1230" i="2"/>
  <c r="N1232" i="2"/>
  <c r="Q1234" i="2"/>
  <c r="S1236" i="2"/>
  <c r="V1238" i="2"/>
  <c r="Y1240" i="2"/>
  <c r="AA1242" i="2"/>
  <c r="J1245" i="2"/>
  <c r="M1247" i="2"/>
  <c r="O1249" i="2"/>
  <c r="R1251" i="2"/>
  <c r="U1253" i="2"/>
  <c r="W1255" i="2"/>
  <c r="Z1257" i="2"/>
  <c r="I1260" i="2"/>
  <c r="K1262" i="2"/>
  <c r="N1264" i="2"/>
  <c r="Z1265" i="2"/>
  <c r="AA1266" i="2"/>
  <c r="I1268" i="2"/>
  <c r="J1269" i="2"/>
  <c r="K1270" i="2"/>
  <c r="M1271" i="2"/>
  <c r="N1272" i="2"/>
  <c r="O1273" i="2"/>
  <c r="Q1274" i="2"/>
  <c r="R1275" i="2"/>
  <c r="S1276" i="2"/>
  <c r="U1277" i="2"/>
  <c r="V1278" i="2"/>
  <c r="W1279" i="2"/>
  <c r="Y1280" i="2"/>
  <c r="Z1281" i="2"/>
  <c r="AA1282" i="2"/>
  <c r="I1284" i="2"/>
  <c r="J1285" i="2"/>
  <c r="K1286" i="2"/>
  <c r="M1287" i="2"/>
  <c r="N1288" i="2"/>
  <c r="O1289" i="2"/>
  <c r="Q1290" i="2"/>
  <c r="R1291" i="2"/>
  <c r="S1292" i="2"/>
  <c r="U1293" i="2"/>
  <c r="V1294" i="2"/>
  <c r="W1295" i="2"/>
  <c r="Y1296" i="2"/>
  <c r="Z1297" i="2"/>
  <c r="AA1298" i="2"/>
  <c r="I1300" i="2"/>
  <c r="J1301" i="2"/>
  <c r="K1302" i="2"/>
  <c r="M1303" i="2"/>
  <c r="N1304" i="2"/>
  <c r="O1305" i="2"/>
  <c r="Q1306" i="2"/>
  <c r="R1307" i="2"/>
  <c r="S1308" i="2"/>
  <c r="U1309" i="2"/>
  <c r="V1310" i="2"/>
  <c r="W1311" i="2"/>
  <c r="Y1312" i="2"/>
  <c r="Z1313" i="2"/>
  <c r="AA1314" i="2"/>
  <c r="I1316" i="2"/>
  <c r="Z1316" i="2"/>
  <c r="V1317" i="2"/>
  <c r="R1318" i="2"/>
  <c r="N1319" i="2"/>
  <c r="J1320" i="2"/>
  <c r="Z1320" i="2"/>
  <c r="V1321" i="2"/>
  <c r="R1322" i="2"/>
  <c r="N1323" i="2"/>
  <c r="J1324" i="2"/>
  <c r="Z1324" i="2"/>
  <c r="V1325" i="2"/>
  <c r="R1326" i="2"/>
  <c r="N1327" i="2"/>
  <c r="J1328" i="2"/>
  <c r="Z1328" i="2"/>
  <c r="V1329" i="2"/>
  <c r="R1330" i="2"/>
  <c r="N1331" i="2"/>
  <c r="J1332" i="2"/>
  <c r="Z1332" i="2"/>
  <c r="V1333" i="2"/>
  <c r="R1334" i="2"/>
  <c r="N1335" i="2"/>
  <c r="J1336" i="2"/>
  <c r="Z1336" i="2"/>
  <c r="V1337" i="2"/>
  <c r="R1338" i="2"/>
  <c r="N1339" i="2"/>
  <c r="J1340" i="2"/>
  <c r="Z1340" i="2"/>
  <c r="V1341" i="2"/>
  <c r="R1342" i="2"/>
  <c r="N1343" i="2"/>
  <c r="J1344" i="2"/>
  <c r="Z1344" i="2"/>
  <c r="V1345" i="2"/>
  <c r="O724" i="2"/>
  <c r="R921" i="2"/>
  <c r="J947" i="2"/>
  <c r="V972" i="2"/>
  <c r="N998" i="2"/>
  <c r="R1015" i="2"/>
  <c r="R1029" i="2"/>
  <c r="N1042" i="2"/>
  <c r="J1055" i="2"/>
  <c r="Z1067" i="2"/>
  <c r="V1080" i="2"/>
  <c r="N1088" i="2"/>
  <c r="V1094" i="2"/>
  <c r="J1101" i="2"/>
  <c r="R1107" i="2"/>
  <c r="Z1113" i="2"/>
  <c r="N1120" i="2"/>
  <c r="V1126" i="2"/>
  <c r="J1133" i="2"/>
  <c r="R1139" i="2"/>
  <c r="Z1145" i="2"/>
  <c r="N1152" i="2"/>
  <c r="V1158" i="2"/>
  <c r="J1165" i="2"/>
  <c r="R1171" i="2"/>
  <c r="Z1177" i="2"/>
  <c r="N1184" i="2"/>
  <c r="V1190" i="2"/>
  <c r="J1197" i="2"/>
  <c r="R1203" i="2"/>
  <c r="Z1209" i="2"/>
  <c r="N1216" i="2"/>
  <c r="Q1222" i="2"/>
  <c r="V1226" i="2"/>
  <c r="AA1230" i="2"/>
  <c r="M1235" i="2"/>
  <c r="R1239" i="2"/>
  <c r="W1243" i="2"/>
  <c r="I1248" i="2"/>
  <c r="N1252" i="2"/>
  <c r="S1256" i="2"/>
  <c r="Y1260" i="2"/>
  <c r="J1265" i="2"/>
  <c r="M1267" i="2"/>
  <c r="O1269" i="2"/>
  <c r="R1271" i="2"/>
  <c r="U1273" i="2"/>
  <c r="W1275" i="2"/>
  <c r="Z1277" i="2"/>
  <c r="I1280" i="2"/>
  <c r="K1282" i="2"/>
  <c r="N1284" i="2"/>
  <c r="Q1286" i="2"/>
  <c r="S1288" i="2"/>
  <c r="V1290" i="2"/>
  <c r="Y1292" i="2"/>
  <c r="AA1294" i="2"/>
  <c r="J1297" i="2"/>
  <c r="M1299" i="2"/>
  <c r="O1301" i="2"/>
  <c r="R1303" i="2"/>
  <c r="U1305" i="2"/>
  <c r="W1307" i="2"/>
  <c r="Z1309" i="2"/>
  <c r="I1312" i="2"/>
  <c r="K1314" i="2"/>
  <c r="N1316" i="2"/>
  <c r="Z1317" i="2"/>
  <c r="R1319" i="2"/>
  <c r="J1321" i="2"/>
  <c r="V1322" i="2"/>
  <c r="N1324" i="2"/>
  <c r="Z1325" i="2"/>
  <c r="R1327" i="2"/>
  <c r="J1329" i="2"/>
  <c r="V1330" i="2"/>
  <c r="N1332" i="2"/>
  <c r="Z1333" i="2"/>
  <c r="R1335" i="2"/>
  <c r="J1337" i="2"/>
  <c r="V1338" i="2"/>
  <c r="N1340" i="2"/>
  <c r="Z1341" i="2"/>
  <c r="R1343" i="2"/>
  <c r="J1345" i="2"/>
  <c r="R1346" i="2"/>
  <c r="N1347" i="2"/>
  <c r="J1348" i="2"/>
  <c r="Z1348" i="2"/>
  <c r="V1349" i="2"/>
  <c r="R1350" i="2"/>
  <c r="N1351" i="2"/>
  <c r="J1352" i="2"/>
  <c r="Z1352" i="2"/>
  <c r="V1353" i="2"/>
  <c r="R1354" i="2"/>
  <c r="N1355" i="2"/>
  <c r="J1356" i="2"/>
  <c r="Z1356" i="2"/>
  <c r="V1357" i="2"/>
  <c r="R1358" i="2"/>
  <c r="N1359" i="2"/>
  <c r="J1360" i="2"/>
  <c r="Z1360" i="2"/>
  <c r="V1361" i="2"/>
  <c r="R1362" i="2"/>
  <c r="N1363" i="2"/>
  <c r="J1364" i="2"/>
  <c r="Z1364" i="2"/>
  <c r="V1365" i="2"/>
  <c r="R1366" i="2"/>
  <c r="N1367" i="2"/>
  <c r="J1368" i="2"/>
  <c r="Z1368" i="2"/>
  <c r="V1369" i="2"/>
  <c r="R1370" i="2"/>
  <c r="N1371" i="2"/>
  <c r="J1372" i="2"/>
  <c r="Z1372" i="2"/>
  <c r="V1373" i="2"/>
  <c r="R1374" i="2"/>
  <c r="N1375" i="2"/>
  <c r="J1376" i="2"/>
  <c r="Z1376" i="2"/>
  <c r="V1377" i="2"/>
  <c r="R1378" i="2"/>
  <c r="N1379" i="2"/>
  <c r="J1380" i="2"/>
  <c r="Z1380" i="2"/>
  <c r="V1381" i="2"/>
  <c r="R1382" i="2"/>
  <c r="N1383" i="2"/>
  <c r="J1384" i="2"/>
  <c r="Z1384" i="2"/>
  <c r="V1385" i="2"/>
  <c r="R1386" i="2"/>
  <c r="N1387" i="2"/>
  <c r="J1388" i="2"/>
  <c r="Z1388" i="2"/>
  <c r="V1389" i="2"/>
  <c r="R1390" i="2"/>
  <c r="N1391" i="2"/>
  <c r="J1392" i="2"/>
  <c r="Z1392" i="2"/>
  <c r="V1393" i="2"/>
  <c r="R1394" i="2"/>
  <c r="N1395" i="2"/>
  <c r="J1396" i="2"/>
  <c r="Z1396" i="2"/>
  <c r="V1397" i="2"/>
  <c r="R1398" i="2"/>
  <c r="N1399" i="2"/>
  <c r="J1400" i="2"/>
  <c r="Z1400" i="2"/>
  <c r="V1401" i="2"/>
  <c r="R1402" i="2"/>
  <c r="N1403" i="2"/>
  <c r="J1404" i="2"/>
  <c r="Z1404" i="2"/>
  <c r="V1405" i="2"/>
  <c r="R1406" i="2"/>
  <c r="N1407" i="2"/>
  <c r="J1408" i="2"/>
  <c r="Z1408" i="2"/>
  <c r="V1409" i="2"/>
  <c r="R1410" i="2"/>
  <c r="N1411" i="2"/>
  <c r="J1412" i="2"/>
  <c r="Z1412" i="2"/>
  <c r="V1413" i="2"/>
  <c r="R1414" i="2"/>
  <c r="N1415" i="2"/>
  <c r="J1416" i="2"/>
  <c r="Z1416" i="2"/>
  <c r="V1417" i="2"/>
  <c r="R1418" i="2"/>
  <c r="N1419" i="2"/>
  <c r="J1420" i="2"/>
  <c r="Z1420" i="2"/>
  <c r="V1421" i="2"/>
  <c r="R1422" i="2"/>
  <c r="N1423" i="2"/>
  <c r="J1424" i="2"/>
  <c r="Z1424" i="2"/>
  <c r="V1425" i="2"/>
  <c r="R1426" i="2"/>
  <c r="N1427" i="2"/>
  <c r="J1428" i="2"/>
  <c r="Z1428" i="2"/>
  <c r="V1429" i="2"/>
  <c r="R1430" i="2"/>
  <c r="N1431" i="2"/>
  <c r="J1432" i="2"/>
  <c r="Z1432" i="2"/>
  <c r="R1433" i="2"/>
  <c r="H1434" i="2"/>
  <c r="S1434" i="2"/>
  <c r="J1435" i="2"/>
  <c r="T1435" i="2"/>
  <c r="K1436" i="2"/>
  <c r="V1436" i="2"/>
  <c r="L1437" i="2"/>
  <c r="W1437" i="2"/>
  <c r="N1438" i="2"/>
  <c r="X1438" i="2"/>
  <c r="O1439" i="2"/>
  <c r="Z1439" i="2"/>
  <c r="P1440" i="2"/>
  <c r="AA1440" i="2"/>
  <c r="R1441" i="2"/>
  <c r="H1442" i="2"/>
  <c r="S1442" i="2"/>
  <c r="J1443" i="2"/>
  <c r="T1443" i="2"/>
  <c r="K1444" i="2"/>
  <c r="V1444" i="2"/>
  <c r="L1445" i="2"/>
  <c r="W1445" i="2"/>
  <c r="N1446" i="2"/>
  <c r="X1446" i="2"/>
  <c r="O1447" i="2"/>
  <c r="Z1447" i="2"/>
  <c r="P1448" i="2"/>
  <c r="AA1448" i="2"/>
  <c r="R1449" i="2"/>
  <c r="H1450" i="2"/>
  <c r="S1450" i="2"/>
  <c r="J1451" i="2"/>
  <c r="T1451" i="2"/>
  <c r="K1452" i="2"/>
  <c r="V1452" i="2"/>
  <c r="L1453" i="2"/>
  <c r="W1453" i="2"/>
  <c r="N1454" i="2"/>
  <c r="X1454" i="2"/>
  <c r="O1455" i="2"/>
  <c r="Z1455" i="2"/>
  <c r="P1456" i="2"/>
  <c r="AA1456" i="2"/>
  <c r="R1457" i="2"/>
  <c r="H1458" i="2"/>
  <c r="S1458" i="2"/>
  <c r="J1459" i="2"/>
  <c r="T1459" i="2"/>
  <c r="K1460" i="2"/>
  <c r="V1460" i="2"/>
  <c r="L1461" i="2"/>
  <c r="W1461" i="2"/>
  <c r="N1462" i="2"/>
  <c r="X1462" i="2"/>
  <c r="O1463" i="2"/>
  <c r="Z1463" i="2"/>
  <c r="P1464" i="2"/>
  <c r="AA1464" i="2"/>
  <c r="R1465" i="2"/>
  <c r="H1466" i="2"/>
  <c r="S1466" i="2"/>
  <c r="J1467" i="2"/>
  <c r="T1467" i="2"/>
  <c r="K1468" i="2"/>
  <c r="V1468" i="2"/>
  <c r="L1469" i="2"/>
  <c r="W1469" i="2"/>
  <c r="N1470" i="2"/>
  <c r="X1470" i="2"/>
  <c r="O1471" i="2"/>
  <c r="Z1471" i="2"/>
  <c r="P1472" i="2"/>
  <c r="AA1472" i="2"/>
  <c r="R1473" i="2"/>
  <c r="H1474" i="2"/>
  <c r="S1474" i="2"/>
  <c r="J1475" i="2"/>
  <c r="T1475" i="2"/>
  <c r="K1476" i="2"/>
  <c r="V1476" i="2"/>
  <c r="L1477" i="2"/>
  <c r="W1477" i="2"/>
  <c r="N1478" i="2"/>
  <c r="X1478" i="2"/>
  <c r="O1479" i="2"/>
  <c r="Z1479" i="2"/>
  <c r="P1480" i="2"/>
  <c r="AA1480" i="2"/>
  <c r="R1481" i="2"/>
  <c r="H1482" i="2"/>
  <c r="S1482" i="2"/>
  <c r="J1483" i="2"/>
  <c r="T1483" i="2"/>
  <c r="K1484" i="2"/>
  <c r="V1484" i="2"/>
  <c r="L1485" i="2"/>
  <c r="W1485" i="2"/>
  <c r="N1486" i="2"/>
  <c r="X1486" i="2"/>
  <c r="O1487" i="2"/>
  <c r="Z1487" i="2"/>
  <c r="P1488" i="2"/>
  <c r="AA1488" i="2"/>
  <c r="R1489" i="2"/>
  <c r="H1490" i="2"/>
  <c r="S1490" i="2"/>
  <c r="J1491" i="2"/>
  <c r="T1491" i="2"/>
  <c r="K1492" i="2"/>
  <c r="V1492" i="2"/>
  <c r="L1493" i="2"/>
  <c r="W1493" i="2"/>
  <c r="N1494" i="2"/>
  <c r="X1494" i="2"/>
  <c r="O1495" i="2"/>
  <c r="Z1495" i="2"/>
  <c r="P1496" i="2"/>
  <c r="AA1496" i="2"/>
  <c r="R1497" i="2"/>
  <c r="H1498" i="2"/>
  <c r="S1498" i="2"/>
  <c r="J1499" i="2"/>
  <c r="T1499" i="2"/>
  <c r="K1500" i="2"/>
  <c r="V1500" i="2"/>
  <c r="L1501" i="2"/>
  <c r="W1501" i="2"/>
  <c r="N1502" i="2"/>
  <c r="X1502" i="2"/>
  <c r="O1503" i="2"/>
  <c r="Z1503" i="2"/>
  <c r="P1504" i="2"/>
  <c r="AA1504" i="2"/>
  <c r="R1505" i="2"/>
  <c r="H1506" i="2"/>
  <c r="S1506" i="2"/>
  <c r="J1507" i="2"/>
  <c r="T1507" i="2"/>
  <c r="K1508" i="2"/>
  <c r="V1508" i="2"/>
  <c r="L1509" i="2"/>
  <c r="W1509" i="2"/>
  <c r="N1510" i="2"/>
  <c r="X1510" i="2"/>
  <c r="O1511" i="2"/>
  <c r="K737" i="2"/>
  <c r="N922" i="2"/>
  <c r="Z947" i="2"/>
  <c r="R973" i="2"/>
  <c r="J999" i="2"/>
  <c r="Z1015" i="2"/>
  <c r="Z1029" i="2"/>
  <c r="V1042" i="2"/>
  <c r="R1055" i="2"/>
  <c r="N1068" i="2"/>
  <c r="J1081" i="2"/>
  <c r="V1088" i="2"/>
  <c r="J1095" i="2"/>
  <c r="R1101" i="2"/>
  <c r="Z1107" i="2"/>
  <c r="N1114" i="2"/>
  <c r="V1120" i="2"/>
  <c r="J1127" i="2"/>
  <c r="R1133" i="2"/>
  <c r="Z1139" i="2"/>
  <c r="N1146" i="2"/>
  <c r="V1152" i="2"/>
  <c r="J1159" i="2"/>
  <c r="R1165" i="2"/>
  <c r="Z1171" i="2"/>
  <c r="N1178" i="2"/>
  <c r="V1184" i="2"/>
  <c r="J1191" i="2"/>
  <c r="R1197" i="2"/>
  <c r="Z1203" i="2"/>
  <c r="N1210" i="2"/>
  <c r="V1216" i="2"/>
  <c r="V1222" i="2"/>
  <c r="AA1226" i="2"/>
  <c r="M1231" i="2"/>
  <c r="R1235" i="2"/>
  <c r="W1239" i="2"/>
  <c r="I1244" i="2"/>
  <c r="N1248" i="2"/>
  <c r="S1252" i="2"/>
  <c r="Y1256" i="2"/>
  <c r="J1261" i="2"/>
  <c r="O1265" i="2"/>
  <c r="R1267" i="2"/>
  <c r="U1269" i="2"/>
  <c r="W1271" i="2"/>
  <c r="Z1273" i="2"/>
  <c r="I1276" i="2"/>
  <c r="K1278" i="2"/>
  <c r="N1280" i="2"/>
  <c r="Q1282" i="2"/>
  <c r="S1284" i="2"/>
  <c r="V1286" i="2"/>
  <c r="Y1288" i="2"/>
  <c r="AA1290" i="2"/>
  <c r="J1293" i="2"/>
  <c r="M1295" i="2"/>
  <c r="O1297" i="2"/>
  <c r="R1299" i="2"/>
  <c r="U1301" i="2"/>
  <c r="W1303" i="2"/>
  <c r="Z1305" i="2"/>
  <c r="I1308" i="2"/>
  <c r="K1310" i="2"/>
  <c r="N1312" i="2"/>
  <c r="Q1314" i="2"/>
  <c r="R1316" i="2"/>
  <c r="J1318" i="2"/>
  <c r="V1319" i="2"/>
  <c r="N1321" i="2"/>
  <c r="Z1322" i="2"/>
  <c r="R1324" i="2"/>
  <c r="J1326" i="2"/>
  <c r="V1327" i="2"/>
  <c r="N1329" i="2"/>
  <c r="Z1330" i="2"/>
  <c r="R1332" i="2"/>
  <c r="J1334" i="2"/>
  <c r="V1335" i="2"/>
  <c r="N1337" i="2"/>
  <c r="Z1338" i="2"/>
  <c r="R1340" i="2"/>
  <c r="J1342" i="2"/>
  <c r="V1343" i="2"/>
  <c r="N1345" i="2"/>
  <c r="V1346" i="2"/>
  <c r="R1347" i="2"/>
  <c r="N1348" i="2"/>
  <c r="J1349" i="2"/>
  <c r="Z1349" i="2"/>
  <c r="V1350" i="2"/>
  <c r="R1351" i="2"/>
  <c r="N1352" i="2"/>
  <c r="J1353" i="2"/>
  <c r="Z1353" i="2"/>
  <c r="V1354" i="2"/>
  <c r="R1355" i="2"/>
  <c r="N1356" i="2"/>
  <c r="J1357" i="2"/>
  <c r="Z1357" i="2"/>
  <c r="V1358" i="2"/>
  <c r="R1359" i="2"/>
  <c r="N1360" i="2"/>
  <c r="J1361" i="2"/>
  <c r="Z1361" i="2"/>
  <c r="V1362" i="2"/>
  <c r="R1363" i="2"/>
  <c r="N1364" i="2"/>
  <c r="J1365" i="2"/>
  <c r="Z1365" i="2"/>
  <c r="V1366" i="2"/>
  <c r="R1367" i="2"/>
  <c r="N1368" i="2"/>
  <c r="J1369" i="2"/>
  <c r="Z1369" i="2"/>
  <c r="V1370" i="2"/>
  <c r="R1371" i="2"/>
  <c r="N1372" i="2"/>
  <c r="J1373" i="2"/>
  <c r="Z1373" i="2"/>
  <c r="V1374" i="2"/>
  <c r="R1375" i="2"/>
  <c r="N1376" i="2"/>
  <c r="J1377" i="2"/>
  <c r="Z1377" i="2"/>
  <c r="V1378" i="2"/>
  <c r="R1379" i="2"/>
  <c r="N1380" i="2"/>
  <c r="J1381" i="2"/>
  <c r="Z1381" i="2"/>
  <c r="V1382" i="2"/>
  <c r="R1383" i="2"/>
  <c r="N1384" i="2"/>
  <c r="J1385" i="2"/>
  <c r="Z1385" i="2"/>
  <c r="V1386" i="2"/>
  <c r="R1387" i="2"/>
  <c r="N1388" i="2"/>
  <c r="J1389" i="2"/>
  <c r="Z1389" i="2"/>
  <c r="V1390" i="2"/>
  <c r="R1391" i="2"/>
  <c r="N1392" i="2"/>
  <c r="J1393" i="2"/>
  <c r="Z1393" i="2"/>
  <c r="V1394" i="2"/>
  <c r="R1395" i="2"/>
  <c r="N1396" i="2"/>
  <c r="J1397" i="2"/>
  <c r="Z1397" i="2"/>
  <c r="V1398" i="2"/>
  <c r="R1399" i="2"/>
  <c r="N1400" i="2"/>
  <c r="J1401" i="2"/>
  <c r="Z1401" i="2"/>
  <c r="V1402" i="2"/>
  <c r="R1403" i="2"/>
  <c r="N1404" i="2"/>
  <c r="J1405" i="2"/>
  <c r="Z1405" i="2"/>
  <c r="V1406" i="2"/>
  <c r="R1407" i="2"/>
  <c r="N1408" i="2"/>
  <c r="J1409" i="2"/>
  <c r="Z1409" i="2"/>
  <c r="V1410" i="2"/>
  <c r="R1411" i="2"/>
  <c r="N1412" i="2"/>
  <c r="J1413" i="2"/>
  <c r="Z1413" i="2"/>
  <c r="V1414" i="2"/>
  <c r="R1415" i="2"/>
  <c r="N1416" i="2"/>
  <c r="J1417" i="2"/>
  <c r="Z1417" i="2"/>
  <c r="V1418" i="2"/>
  <c r="R1419" i="2"/>
  <c r="N1420" i="2"/>
  <c r="J1421" i="2"/>
  <c r="Z1421" i="2"/>
  <c r="V1422" i="2"/>
  <c r="R1423" i="2"/>
  <c r="N1424" i="2"/>
  <c r="J1425" i="2"/>
  <c r="Z1425" i="2"/>
  <c r="V1426" i="2"/>
  <c r="R1427" i="2"/>
  <c r="N1428" i="2"/>
  <c r="J1429" i="2"/>
  <c r="Z1429" i="2"/>
  <c r="V1430" i="2"/>
  <c r="R1431" i="2"/>
  <c r="N1432" i="2"/>
  <c r="J1433" i="2"/>
  <c r="T1433" i="2"/>
  <c r="K1434" i="2"/>
  <c r="V1434" i="2"/>
  <c r="L1435" i="2"/>
  <c r="W1435" i="2"/>
  <c r="N1436" i="2"/>
  <c r="X1436" i="2"/>
  <c r="O1437" i="2"/>
  <c r="Z1437" i="2"/>
  <c r="P1438" i="2"/>
  <c r="AA1438" i="2"/>
  <c r="R1439" i="2"/>
  <c r="H1440" i="2"/>
  <c r="S1440" i="2"/>
  <c r="J1441" i="2"/>
  <c r="T1441" i="2"/>
  <c r="K1442" i="2"/>
  <c r="V1442" i="2"/>
  <c r="L1443" i="2"/>
  <c r="W1443" i="2"/>
  <c r="N1444" i="2"/>
  <c r="X1444" i="2"/>
  <c r="O1445" i="2"/>
  <c r="Z1445" i="2"/>
  <c r="P1446" i="2"/>
  <c r="AA1446" i="2"/>
  <c r="R1447" i="2"/>
  <c r="H1448" i="2"/>
  <c r="S1448" i="2"/>
  <c r="J1449" i="2"/>
  <c r="T1449" i="2"/>
  <c r="K1450" i="2"/>
  <c r="V1450" i="2"/>
  <c r="L1451" i="2"/>
  <c r="W1451" i="2"/>
  <c r="N1452" i="2"/>
  <c r="X1452" i="2"/>
  <c r="O1453" i="2"/>
  <c r="Z1453" i="2"/>
  <c r="P1454" i="2"/>
  <c r="AA1454" i="2"/>
  <c r="R1455" i="2"/>
  <c r="H1456" i="2"/>
  <c r="S1456" i="2"/>
  <c r="J1457" i="2"/>
  <c r="T1457" i="2"/>
  <c r="K1458" i="2"/>
  <c r="V1458" i="2"/>
  <c r="L1459" i="2"/>
  <c r="W1459" i="2"/>
  <c r="N1460" i="2"/>
  <c r="X1460" i="2"/>
  <c r="O1461" i="2"/>
  <c r="Z1461" i="2"/>
  <c r="P1462" i="2"/>
  <c r="AA1462" i="2"/>
  <c r="R1463" i="2"/>
  <c r="H1464" i="2"/>
  <c r="S1464" i="2"/>
  <c r="J1465" i="2"/>
  <c r="T1465" i="2"/>
  <c r="K1466" i="2"/>
  <c r="V1466" i="2"/>
  <c r="L1467" i="2"/>
  <c r="W1467" i="2"/>
  <c r="N1468" i="2"/>
  <c r="X1468" i="2"/>
  <c r="O1469" i="2"/>
  <c r="Z1469" i="2"/>
  <c r="P1470" i="2"/>
  <c r="AA1470" i="2"/>
  <c r="R1471" i="2"/>
  <c r="H1472" i="2"/>
  <c r="S1472" i="2"/>
  <c r="J1473" i="2"/>
  <c r="T1473" i="2"/>
  <c r="K1474" i="2"/>
  <c r="V1474" i="2"/>
  <c r="L1475" i="2"/>
  <c r="W1475" i="2"/>
  <c r="N1476" i="2"/>
  <c r="X1476" i="2"/>
  <c r="O1477" i="2"/>
  <c r="Z1477" i="2"/>
  <c r="P1478" i="2"/>
  <c r="AA1478" i="2"/>
  <c r="R1479" i="2"/>
  <c r="H1480" i="2"/>
  <c r="S1480" i="2"/>
  <c r="J1481" i="2"/>
  <c r="T1481" i="2"/>
  <c r="K1482" i="2"/>
  <c r="V1482" i="2"/>
  <c r="L1483" i="2"/>
  <c r="W1483" i="2"/>
  <c r="N1484" i="2"/>
  <c r="X1484" i="2"/>
  <c r="O1485" i="2"/>
  <c r="Z1485" i="2"/>
  <c r="P1486" i="2"/>
  <c r="AA1486" i="2"/>
  <c r="R1487" i="2"/>
  <c r="H1488" i="2"/>
  <c r="S1488" i="2"/>
  <c r="J1489" i="2"/>
  <c r="T1489" i="2"/>
  <c r="K1490" i="2"/>
  <c r="V1490" i="2"/>
  <c r="L1491" i="2"/>
  <c r="W1491" i="2"/>
  <c r="N1492" i="2"/>
  <c r="X1492" i="2"/>
  <c r="O1493" i="2"/>
  <c r="Z1493" i="2"/>
  <c r="P1494" i="2"/>
  <c r="AA1494" i="2"/>
  <c r="R1495" i="2"/>
  <c r="H1496" i="2"/>
  <c r="S1496" i="2"/>
  <c r="J1497" i="2"/>
  <c r="T1497" i="2"/>
  <c r="K1498" i="2"/>
  <c r="V1498" i="2"/>
  <c r="L1499" i="2"/>
  <c r="W1499" i="2"/>
  <c r="N1500" i="2"/>
  <c r="X1500" i="2"/>
  <c r="O1501" i="2"/>
  <c r="Z1501" i="2"/>
  <c r="P1502" i="2"/>
  <c r="AA1502" i="2"/>
  <c r="R1503" i="2"/>
  <c r="H1504" i="2"/>
  <c r="S1504" i="2"/>
  <c r="J1505" i="2"/>
  <c r="T1505" i="2"/>
  <c r="K1506" i="2"/>
  <c r="V1506" i="2"/>
  <c r="L1507" i="2"/>
  <c r="W1507" i="2"/>
  <c r="N1508" i="2"/>
  <c r="X1508" i="2"/>
  <c r="O1509" i="2"/>
  <c r="Z1509" i="2"/>
  <c r="P1510" i="2"/>
  <c r="AA1510" i="2"/>
  <c r="R1511" i="2"/>
  <c r="X860" i="2"/>
  <c r="Z959" i="2"/>
  <c r="J1007" i="2"/>
  <c r="Z1035" i="2"/>
  <c r="R1061" i="2"/>
  <c r="J1085" i="2"/>
  <c r="Z1097" i="2"/>
  <c r="V1110" i="2"/>
  <c r="R1123" i="2"/>
  <c r="N1136" i="2"/>
  <c r="J1149" i="2"/>
  <c r="Z1161" i="2"/>
  <c r="V1174" i="2"/>
  <c r="R1187" i="2"/>
  <c r="N1200" i="2"/>
  <c r="J1213" i="2"/>
  <c r="S1224" i="2"/>
  <c r="J1233" i="2"/>
  <c r="U1241" i="2"/>
  <c r="K1250" i="2"/>
  <c r="V1258" i="2"/>
  <c r="K1266" i="2"/>
  <c r="Q1270" i="2"/>
  <c r="V1274" i="2"/>
  <c r="AA1278" i="2"/>
  <c r="M1283" i="2"/>
  <c r="R1287" i="2"/>
  <c r="W1291" i="2"/>
  <c r="I1296" i="2"/>
  <c r="N1300" i="2"/>
  <c r="S1304" i="2"/>
  <c r="Y1308" i="2"/>
  <c r="J1313" i="2"/>
  <c r="J1317" i="2"/>
  <c r="N1320" i="2"/>
  <c r="R1323" i="2"/>
  <c r="V1326" i="2"/>
  <c r="Z1329" i="2"/>
  <c r="J1333" i="2"/>
  <c r="N1336" i="2"/>
  <c r="R1339" i="2"/>
  <c r="V1342" i="2"/>
  <c r="Z1345" i="2"/>
  <c r="V1347" i="2"/>
  <c r="N1349" i="2"/>
  <c r="Z1350" i="2"/>
  <c r="R1352" i="2"/>
  <c r="J1354" i="2"/>
  <c r="V1355" i="2"/>
  <c r="N1357" i="2"/>
  <c r="Z1358" i="2"/>
  <c r="R1360" i="2"/>
  <c r="J1362" i="2"/>
  <c r="V1363" i="2"/>
  <c r="N1365" i="2"/>
  <c r="Z1366" i="2"/>
  <c r="R1368" i="2"/>
  <c r="J1370" i="2"/>
  <c r="V1371" i="2"/>
  <c r="N1373" i="2"/>
  <c r="Z1374" i="2"/>
  <c r="R1376" i="2"/>
  <c r="J1378" i="2"/>
  <c r="V1379" i="2"/>
  <c r="N1381" i="2"/>
  <c r="Z1382" i="2"/>
  <c r="R1384" i="2"/>
  <c r="J1386" i="2"/>
  <c r="V1387" i="2"/>
  <c r="N1389" i="2"/>
  <c r="Z1390" i="2"/>
  <c r="R1392" i="2"/>
  <c r="J1394" i="2"/>
  <c r="V1395" i="2"/>
  <c r="N1397" i="2"/>
  <c r="Z1398" i="2"/>
  <c r="R1400" i="2"/>
  <c r="J1402" i="2"/>
  <c r="V1403" i="2"/>
  <c r="N1405" i="2"/>
  <c r="Z1406" i="2"/>
  <c r="R1408" i="2"/>
  <c r="J1410" i="2"/>
  <c r="V1411" i="2"/>
  <c r="N1413" i="2"/>
  <c r="Z1414" i="2"/>
  <c r="R1416" i="2"/>
  <c r="J1418" i="2"/>
  <c r="V1419" i="2"/>
  <c r="N1421" i="2"/>
  <c r="Z1422" i="2"/>
  <c r="R1424" i="2"/>
  <c r="J1426" i="2"/>
  <c r="V1427" i="2"/>
  <c r="N1429" i="2"/>
  <c r="Z1430" i="2"/>
  <c r="R1432" i="2"/>
  <c r="W1433" i="2"/>
  <c r="X1434" i="2"/>
  <c r="Z1435" i="2"/>
  <c r="AA1436" i="2"/>
  <c r="H1438" i="2"/>
  <c r="J1439" i="2"/>
  <c r="K1440" i="2"/>
  <c r="L1441" i="2"/>
  <c r="N1442" i="2"/>
  <c r="O1443" i="2"/>
  <c r="P1444" i="2"/>
  <c r="R1445" i="2"/>
  <c r="S1446" i="2"/>
  <c r="T1447" i="2"/>
  <c r="V1448" i="2"/>
  <c r="W1449" i="2"/>
  <c r="X1450" i="2"/>
  <c r="Z1451" i="2"/>
  <c r="AA1452" i="2"/>
  <c r="H1454" i="2"/>
  <c r="J1455" i="2"/>
  <c r="K1456" i="2"/>
  <c r="L1457" i="2"/>
  <c r="N1458" i="2"/>
  <c r="O1459" i="2"/>
  <c r="P1460" i="2"/>
  <c r="R1461" i="2"/>
  <c r="S1462" i="2"/>
  <c r="T1463" i="2"/>
  <c r="V1464" i="2"/>
  <c r="W1465" i="2"/>
  <c r="X1466" i="2"/>
  <c r="Z1467" i="2"/>
  <c r="AA1468" i="2"/>
  <c r="H1470" i="2"/>
  <c r="J1471" i="2"/>
  <c r="K1472" i="2"/>
  <c r="L1473" i="2"/>
  <c r="N1474" i="2"/>
  <c r="O1475" i="2"/>
  <c r="P1476" i="2"/>
  <c r="R1477" i="2"/>
  <c r="S1478" i="2"/>
  <c r="T1479" i="2"/>
  <c r="V1480" i="2"/>
  <c r="W1481" i="2"/>
  <c r="X1482" i="2"/>
  <c r="Z1483" i="2"/>
  <c r="AA1484" i="2"/>
  <c r="H1486" i="2"/>
  <c r="J1487" i="2"/>
  <c r="K1488" i="2"/>
  <c r="L1489" i="2"/>
  <c r="N1490" i="2"/>
  <c r="O1491" i="2"/>
  <c r="P1492" i="2"/>
  <c r="R1493" i="2"/>
  <c r="S1494" i="2"/>
  <c r="T1495" i="2"/>
  <c r="V1496" i="2"/>
  <c r="W1497" i="2"/>
  <c r="X1498" i="2"/>
  <c r="Z1499" i="2"/>
  <c r="AA1500" i="2"/>
  <c r="H1502" i="2"/>
  <c r="J1503" i="2"/>
  <c r="K1504" i="2"/>
  <c r="L1505" i="2"/>
  <c r="N1506" i="2"/>
  <c r="O1507" i="2"/>
  <c r="P1508" i="2"/>
  <c r="R1509" i="2"/>
  <c r="S1510" i="2"/>
  <c r="T1511" i="2"/>
  <c r="K1512" i="2"/>
  <c r="V1512" i="2"/>
  <c r="L1513" i="2"/>
  <c r="W1513" i="2"/>
  <c r="N1514" i="2"/>
  <c r="X1514" i="2"/>
  <c r="O1515" i="2"/>
  <c r="Z1515" i="2"/>
  <c r="P1516" i="2"/>
  <c r="AA1516" i="2"/>
  <c r="R1517" i="2"/>
  <c r="H1518" i="2"/>
  <c r="S1518" i="2"/>
  <c r="J1519" i="2"/>
  <c r="T1519" i="2"/>
  <c r="K1520" i="2"/>
  <c r="V1520" i="2"/>
  <c r="L1521" i="2"/>
  <c r="W1521" i="2"/>
  <c r="N1522" i="2"/>
  <c r="X1522" i="2"/>
  <c r="O1523" i="2"/>
  <c r="Z1523" i="2"/>
  <c r="P1524" i="2"/>
  <c r="AA1524" i="2"/>
  <c r="R1525" i="2"/>
  <c r="H1526" i="2"/>
  <c r="S1526" i="2"/>
  <c r="J1527" i="2"/>
  <c r="T1527" i="2"/>
  <c r="K1528" i="2"/>
  <c r="V1528" i="2"/>
  <c r="L1529" i="2"/>
  <c r="W1529" i="2"/>
  <c r="N1530" i="2"/>
  <c r="X1530" i="2"/>
  <c r="O1531" i="2"/>
  <c r="Z1531" i="2"/>
  <c r="P1532" i="2"/>
  <c r="AA1532" i="2"/>
  <c r="R1533" i="2"/>
  <c r="H1534" i="2"/>
  <c r="S1534" i="2"/>
  <c r="J1535" i="2"/>
  <c r="T1535" i="2"/>
  <c r="K1536" i="2"/>
  <c r="V1536" i="2"/>
  <c r="L1537" i="2"/>
  <c r="W1537" i="2"/>
  <c r="N1538" i="2"/>
  <c r="X1538" i="2"/>
  <c r="O1539" i="2"/>
  <c r="Z1539" i="2"/>
  <c r="P1540" i="2"/>
  <c r="AA1540" i="2"/>
  <c r="R1541" i="2"/>
  <c r="H1542" i="2"/>
  <c r="S1542" i="2"/>
  <c r="J1543" i="2"/>
  <c r="T1543" i="2"/>
  <c r="K1544" i="2"/>
  <c r="V1544" i="2"/>
  <c r="L1545" i="2"/>
  <c r="W1545" i="2"/>
  <c r="N1546" i="2"/>
  <c r="X1546" i="2"/>
  <c r="O1547" i="2"/>
  <c r="Z1547" i="2"/>
  <c r="P1548" i="2"/>
  <c r="AA1548" i="2"/>
  <c r="R1549" i="2"/>
  <c r="H1550" i="2"/>
  <c r="S1550" i="2"/>
  <c r="J1551" i="2"/>
  <c r="T1551" i="2"/>
  <c r="K1552" i="2"/>
  <c r="V1552" i="2"/>
  <c r="L1553" i="2"/>
  <c r="W1553" i="2"/>
  <c r="N1554" i="2"/>
  <c r="X1554" i="2"/>
  <c r="O1555" i="2"/>
  <c r="Z1555" i="2"/>
  <c r="P1556" i="2"/>
  <c r="AA1556" i="2"/>
  <c r="R1557" i="2"/>
  <c r="H1558" i="2"/>
  <c r="S1558" i="2"/>
  <c r="J1559" i="2"/>
  <c r="T1559" i="2"/>
  <c r="K1560" i="2"/>
  <c r="V1560" i="2"/>
  <c r="L1561" i="2"/>
  <c r="W1561" i="2"/>
  <c r="N1562" i="2"/>
  <c r="X1562" i="2"/>
  <c r="O1563" i="2"/>
  <c r="Z1563" i="2"/>
  <c r="P1564" i="2"/>
  <c r="AA1564" i="2"/>
  <c r="R1565" i="2"/>
  <c r="AA1565" i="2"/>
  <c r="O1566" i="2"/>
  <c r="W1566" i="2"/>
  <c r="K1567" i="2"/>
  <c r="S1567" i="2"/>
  <c r="AA1567" i="2"/>
  <c r="O1568" i="2"/>
  <c r="W1568" i="2"/>
  <c r="K1569" i="2"/>
  <c r="S1569" i="2"/>
  <c r="AA1569" i="2"/>
  <c r="O1570" i="2"/>
  <c r="W1570" i="2"/>
  <c r="K1571" i="2"/>
  <c r="S1571" i="2"/>
  <c r="AA1571" i="2"/>
  <c r="O1572" i="2"/>
  <c r="W1572" i="2"/>
  <c r="K1573" i="2"/>
  <c r="S1573" i="2"/>
  <c r="AA1573" i="2"/>
  <c r="O1574" i="2"/>
  <c r="W1574" i="2"/>
  <c r="K1575" i="2"/>
  <c r="S1575" i="2"/>
  <c r="AA1575" i="2"/>
  <c r="O1576" i="2"/>
  <c r="W1576" i="2"/>
  <c r="K1577" i="2"/>
  <c r="S1577" i="2"/>
  <c r="AA1577" i="2"/>
  <c r="O1578" i="2"/>
  <c r="W1578" i="2"/>
  <c r="K1579" i="2"/>
  <c r="S1579" i="2"/>
  <c r="AA1579" i="2"/>
  <c r="O1580" i="2"/>
  <c r="W1580" i="2"/>
  <c r="K1581" i="2"/>
  <c r="S1581" i="2"/>
  <c r="AA1581" i="2"/>
  <c r="O1582" i="2"/>
  <c r="W1582" i="2"/>
  <c r="K1583" i="2"/>
  <c r="S1583" i="2"/>
  <c r="AA1583" i="2"/>
  <c r="O1584" i="2"/>
  <c r="W1584" i="2"/>
  <c r="K1585" i="2"/>
  <c r="S1585" i="2"/>
  <c r="AA1585" i="2"/>
  <c r="O1586" i="2"/>
  <c r="W1586" i="2"/>
  <c r="K1587" i="2"/>
  <c r="S1587" i="2"/>
  <c r="AA1587" i="2"/>
  <c r="O1588" i="2"/>
  <c r="W1588" i="2"/>
  <c r="K1589" i="2"/>
  <c r="S1589" i="2"/>
  <c r="AA1589" i="2"/>
  <c r="O1590" i="2"/>
  <c r="W1590" i="2"/>
  <c r="K1591" i="2"/>
  <c r="S1591" i="2"/>
  <c r="AA1591" i="2"/>
  <c r="O1592" i="2"/>
  <c r="W1592" i="2"/>
  <c r="K1593" i="2"/>
  <c r="S1593" i="2"/>
  <c r="L867" i="2"/>
  <c r="V960" i="2"/>
  <c r="R1007" i="2"/>
  <c r="N1036" i="2"/>
  <c r="Z1061" i="2"/>
  <c r="R1085" i="2"/>
  <c r="N1098" i="2"/>
  <c r="J1111" i="2"/>
  <c r="Z1123" i="2"/>
  <c r="V1136" i="2"/>
  <c r="R1149" i="2"/>
  <c r="N1162" i="2"/>
  <c r="J1175" i="2"/>
  <c r="Z1187" i="2"/>
  <c r="V1200" i="2"/>
  <c r="R1213" i="2"/>
  <c r="Y1224" i="2"/>
  <c r="O1233" i="2"/>
  <c r="Z1241" i="2"/>
  <c r="Q1250" i="2"/>
  <c r="AA1258" i="2"/>
  <c r="Q1266" i="2"/>
  <c r="V1270" i="2"/>
  <c r="AA1274" i="2"/>
  <c r="M1279" i="2"/>
  <c r="R1283" i="2"/>
  <c r="W1287" i="2"/>
  <c r="I1292" i="2"/>
  <c r="N1296" i="2"/>
  <c r="S1300" i="2"/>
  <c r="Y1304" i="2"/>
  <c r="J1309" i="2"/>
  <c r="O1313" i="2"/>
  <c r="N1317" i="2"/>
  <c r="R1320" i="2"/>
  <c r="V1323" i="2"/>
  <c r="Z1326" i="2"/>
  <c r="J1330" i="2"/>
  <c r="N1333" i="2"/>
  <c r="R1336" i="2"/>
  <c r="V1339" i="2"/>
  <c r="Z1342" i="2"/>
  <c r="J1346" i="2"/>
  <c r="Z1347" i="2"/>
  <c r="R1349" i="2"/>
  <c r="J1351" i="2"/>
  <c r="V1352" i="2"/>
  <c r="N1354" i="2"/>
  <c r="Z1355" i="2"/>
  <c r="R1357" i="2"/>
  <c r="J1359" i="2"/>
  <c r="V1360" i="2"/>
  <c r="N1362" i="2"/>
  <c r="Z1363" i="2"/>
  <c r="R1365" i="2"/>
  <c r="J1367" i="2"/>
  <c r="V1368" i="2"/>
  <c r="N1370" i="2"/>
  <c r="Z1371" i="2"/>
  <c r="R1373" i="2"/>
  <c r="J1375" i="2"/>
  <c r="V1376" i="2"/>
  <c r="N1378" i="2"/>
  <c r="Z1379" i="2"/>
  <c r="R1381" i="2"/>
  <c r="J1383" i="2"/>
  <c r="V1384" i="2"/>
  <c r="N1386" i="2"/>
  <c r="Z1387" i="2"/>
  <c r="R1389" i="2"/>
  <c r="J1391" i="2"/>
  <c r="V1392" i="2"/>
  <c r="N1394" i="2"/>
  <c r="Z1395" i="2"/>
  <c r="R1397" i="2"/>
  <c r="J1399" i="2"/>
  <c r="V1400" i="2"/>
  <c r="N1402" i="2"/>
  <c r="Z1403" i="2"/>
  <c r="R1405" i="2"/>
  <c r="J1407" i="2"/>
  <c r="V1408" i="2"/>
  <c r="N1410" i="2"/>
  <c r="Z1411" i="2"/>
  <c r="R1413" i="2"/>
  <c r="J1415" i="2"/>
  <c r="V1416" i="2"/>
  <c r="N1418" i="2"/>
  <c r="Z1419" i="2"/>
  <c r="R1421" i="2"/>
  <c r="J1423" i="2"/>
  <c r="V1424" i="2"/>
  <c r="N1426" i="2"/>
  <c r="Z1427" i="2"/>
  <c r="R1429" i="2"/>
  <c r="J1431" i="2"/>
  <c r="V1432" i="2"/>
  <c r="Z1433" i="2"/>
  <c r="AA1434" i="2"/>
  <c r="H1436" i="2"/>
  <c r="J1437" i="2"/>
  <c r="K1438" i="2"/>
  <c r="L1439" i="2"/>
  <c r="N1440" i="2"/>
  <c r="O1441" i="2"/>
  <c r="P1442" i="2"/>
  <c r="R1443" i="2"/>
  <c r="S1444" i="2"/>
  <c r="T1445" i="2"/>
  <c r="V1446" i="2"/>
  <c r="W1447" i="2"/>
  <c r="X1448" i="2"/>
  <c r="Z1449" i="2"/>
  <c r="AA1450" i="2"/>
  <c r="H1452" i="2"/>
  <c r="J1453" i="2"/>
  <c r="K1454" i="2"/>
  <c r="L1455" i="2"/>
  <c r="N1456" i="2"/>
  <c r="O1457" i="2"/>
  <c r="P1458" i="2"/>
  <c r="R1459" i="2"/>
  <c r="S1460" i="2"/>
  <c r="T1461" i="2"/>
  <c r="V1462" i="2"/>
  <c r="W1463" i="2"/>
  <c r="X1464" i="2"/>
  <c r="Z1465" i="2"/>
  <c r="AA1466" i="2"/>
  <c r="H1468" i="2"/>
  <c r="J1469" i="2"/>
  <c r="K1470" i="2"/>
  <c r="L1471" i="2"/>
  <c r="N1472" i="2"/>
  <c r="O1473" i="2"/>
  <c r="P1474" i="2"/>
  <c r="R1475" i="2"/>
  <c r="S1476" i="2"/>
  <c r="T1477" i="2"/>
  <c r="V1478" i="2"/>
  <c r="W1479" i="2"/>
  <c r="X1480" i="2"/>
  <c r="Z1481" i="2"/>
  <c r="AA1482" i="2"/>
  <c r="H1484" i="2"/>
  <c r="J1485" i="2"/>
  <c r="K1486" i="2"/>
  <c r="L1487" i="2"/>
  <c r="N1488" i="2"/>
  <c r="O1489" i="2"/>
  <c r="P1490" i="2"/>
  <c r="R1491" i="2"/>
  <c r="S1492" i="2"/>
  <c r="T1493" i="2"/>
  <c r="V1494" i="2"/>
  <c r="W1495" i="2"/>
  <c r="X1496" i="2"/>
  <c r="Z1497" i="2"/>
  <c r="AA1498" i="2"/>
  <c r="H1500" i="2"/>
  <c r="J1501" i="2"/>
  <c r="K1502" i="2"/>
  <c r="L1503" i="2"/>
  <c r="N1504" i="2"/>
  <c r="O1505" i="2"/>
  <c r="P1506" i="2"/>
  <c r="R1507" i="2"/>
  <c r="S1508" i="2"/>
  <c r="T1509" i="2"/>
  <c r="V1510" i="2"/>
  <c r="W1511" i="2"/>
  <c r="N1512" i="2"/>
  <c r="X1512" i="2"/>
  <c r="O1513" i="2"/>
  <c r="Z1513" i="2"/>
  <c r="P1514" i="2"/>
  <c r="AA1514" i="2"/>
  <c r="R1515" i="2"/>
  <c r="H1516" i="2"/>
  <c r="S1516" i="2"/>
  <c r="J1517" i="2"/>
  <c r="T1517" i="2"/>
  <c r="K1518" i="2"/>
  <c r="V1518" i="2"/>
  <c r="L1519" i="2"/>
  <c r="W1519" i="2"/>
  <c r="N1520" i="2"/>
  <c r="X1520" i="2"/>
  <c r="O1521" i="2"/>
  <c r="Z1521" i="2"/>
  <c r="P1522" i="2"/>
  <c r="AA1522" i="2"/>
  <c r="R1523" i="2"/>
  <c r="H1524" i="2"/>
  <c r="S1524" i="2"/>
  <c r="J1525" i="2"/>
  <c r="T1525" i="2"/>
  <c r="K1526" i="2"/>
  <c r="V1526" i="2"/>
  <c r="L1527" i="2"/>
  <c r="W1527" i="2"/>
  <c r="N1528" i="2"/>
  <c r="X1528" i="2"/>
  <c r="O1529" i="2"/>
  <c r="Z1529" i="2"/>
  <c r="P1530" i="2"/>
  <c r="AA1530" i="2"/>
  <c r="R1531" i="2"/>
  <c r="H1532" i="2"/>
  <c r="S1532" i="2"/>
  <c r="J1533" i="2"/>
  <c r="T1533" i="2"/>
  <c r="K1534" i="2"/>
  <c r="V1534" i="2"/>
  <c r="L1535" i="2"/>
  <c r="W1535" i="2"/>
  <c r="N1536" i="2"/>
  <c r="X1536" i="2"/>
  <c r="O1537" i="2"/>
  <c r="Z1537" i="2"/>
  <c r="P1538" i="2"/>
  <c r="AA1538" i="2"/>
  <c r="R1539" i="2"/>
  <c r="H1540" i="2"/>
  <c r="S1540" i="2"/>
  <c r="J1541" i="2"/>
  <c r="T1541" i="2"/>
  <c r="K1542" i="2"/>
  <c r="V1542" i="2"/>
  <c r="L1543" i="2"/>
  <c r="W1543" i="2"/>
  <c r="N1544" i="2"/>
  <c r="X1544" i="2"/>
  <c r="O1545" i="2"/>
  <c r="Z1545" i="2"/>
  <c r="P1546" i="2"/>
  <c r="AA1546" i="2"/>
  <c r="R1547" i="2"/>
  <c r="H1548" i="2"/>
  <c r="S1548" i="2"/>
  <c r="J1549" i="2"/>
  <c r="T1549" i="2"/>
  <c r="K1550" i="2"/>
  <c r="V1550" i="2"/>
  <c r="L1551" i="2"/>
  <c r="W1551" i="2"/>
  <c r="N1552" i="2"/>
  <c r="X1552" i="2"/>
  <c r="O1553" i="2"/>
  <c r="Z1553" i="2"/>
  <c r="P1554" i="2"/>
  <c r="AA1554" i="2"/>
  <c r="R1555" i="2"/>
  <c r="H1556" i="2"/>
  <c r="S1556" i="2"/>
  <c r="J1557" i="2"/>
  <c r="T1557" i="2"/>
  <c r="K1558" i="2"/>
  <c r="V1558" i="2"/>
  <c r="L1559" i="2"/>
  <c r="W1559" i="2"/>
  <c r="N1560" i="2"/>
  <c r="X1560" i="2"/>
  <c r="O1561" i="2"/>
  <c r="Z1561" i="2"/>
  <c r="P1562" i="2"/>
  <c r="AA1562" i="2"/>
  <c r="R1563" i="2"/>
  <c r="H1564" i="2"/>
  <c r="S1564" i="2"/>
  <c r="J1565" i="2"/>
  <c r="T1565" i="2"/>
  <c r="I1566" i="2"/>
  <c r="Q1566" i="2"/>
  <c r="Y1566" i="2"/>
  <c r="M1567" i="2"/>
  <c r="U1567" i="2"/>
  <c r="I1568" i="2"/>
  <c r="Q1568" i="2"/>
  <c r="Y1568" i="2"/>
  <c r="M1569" i="2"/>
  <c r="U1569" i="2"/>
  <c r="I1570" i="2"/>
  <c r="Q1570" i="2"/>
  <c r="Y1570" i="2"/>
  <c r="M1571" i="2"/>
  <c r="U1571" i="2"/>
  <c r="I1572" i="2"/>
  <c r="Q1572" i="2"/>
  <c r="Y1572" i="2"/>
  <c r="M1573" i="2"/>
  <c r="U1573" i="2"/>
  <c r="I1574" i="2"/>
  <c r="Q1574" i="2"/>
  <c r="Y1574" i="2"/>
  <c r="M1575" i="2"/>
  <c r="U1575" i="2"/>
  <c r="I1576" i="2"/>
  <c r="Q1576" i="2"/>
  <c r="Y1576" i="2"/>
  <c r="M1577" i="2"/>
  <c r="U1577" i="2"/>
  <c r="I1578" i="2"/>
  <c r="Q1578" i="2"/>
  <c r="Y1578" i="2"/>
  <c r="M1579" i="2"/>
  <c r="U1579" i="2"/>
  <c r="I1580" i="2"/>
  <c r="Q1580" i="2"/>
  <c r="Y1580" i="2"/>
  <c r="M1581" i="2"/>
  <c r="U1581" i="2"/>
  <c r="I1582" i="2"/>
  <c r="Q1582" i="2"/>
  <c r="Y1582" i="2"/>
  <c r="M1583" i="2"/>
  <c r="U1583" i="2"/>
  <c r="I1584" i="2"/>
  <c r="Q1584" i="2"/>
  <c r="Y1584" i="2"/>
  <c r="M1585" i="2"/>
  <c r="U1585" i="2"/>
  <c r="I1586" i="2"/>
  <c r="Q1586" i="2"/>
  <c r="Y1586" i="2"/>
  <c r="M1587" i="2"/>
  <c r="U1587" i="2"/>
  <c r="I1588" i="2"/>
  <c r="Q1588" i="2"/>
  <c r="Y1588" i="2"/>
  <c r="M1589" i="2"/>
  <c r="U1589" i="2"/>
  <c r="I1590" i="2"/>
  <c r="Q1590" i="2"/>
  <c r="Y1590" i="2"/>
  <c r="M1591" i="2"/>
  <c r="U1591" i="2"/>
  <c r="I1592" i="2"/>
  <c r="Q1592" i="2"/>
  <c r="Y1592" i="2"/>
  <c r="M1593" i="2"/>
  <c r="N934" i="2"/>
  <c r="J1023" i="2"/>
  <c r="N1074" i="2"/>
  <c r="N1104" i="2"/>
  <c r="Z1129" i="2"/>
  <c r="R1155" i="2"/>
  <c r="J1181" i="2"/>
  <c r="V1206" i="2"/>
  <c r="Y1228" i="2"/>
  <c r="Z1245" i="2"/>
  <c r="AA1262" i="2"/>
  <c r="S1272" i="2"/>
  <c r="J1281" i="2"/>
  <c r="U1289" i="2"/>
  <c r="K1298" i="2"/>
  <c r="V1306" i="2"/>
  <c r="M1315" i="2"/>
  <c r="Z1321" i="2"/>
  <c r="N1328" i="2"/>
  <c r="V1334" i="2"/>
  <c r="J1341" i="2"/>
  <c r="Z1346" i="2"/>
  <c r="J1350" i="2"/>
  <c r="N1353" i="2"/>
  <c r="R1356" i="2"/>
  <c r="V1359" i="2"/>
  <c r="Z1362" i="2"/>
  <c r="J1366" i="2"/>
  <c r="N1369" i="2"/>
  <c r="R1372" i="2"/>
  <c r="V1375" i="2"/>
  <c r="Z1378" i="2"/>
  <c r="J1382" i="2"/>
  <c r="N1385" i="2"/>
  <c r="R1388" i="2"/>
  <c r="V1391" i="2"/>
  <c r="Z1394" i="2"/>
  <c r="J1398" i="2"/>
  <c r="N1401" i="2"/>
  <c r="R1404" i="2"/>
  <c r="V1407" i="2"/>
  <c r="Z1410" i="2"/>
  <c r="J1414" i="2"/>
  <c r="N1417" i="2"/>
  <c r="R1420" i="2"/>
  <c r="V1423" i="2"/>
  <c r="Z1426" i="2"/>
  <c r="J1430" i="2"/>
  <c r="L1433" i="2"/>
  <c r="O1435" i="2"/>
  <c r="R1437" i="2"/>
  <c r="T1439" i="2"/>
  <c r="W1441" i="2"/>
  <c r="Z1443" i="2"/>
  <c r="H1446" i="2"/>
  <c r="K1448" i="2"/>
  <c r="N1450" i="2"/>
  <c r="P1452" i="2"/>
  <c r="S1454" i="2"/>
  <c r="V1456" i="2"/>
  <c r="X1458" i="2"/>
  <c r="AA1460" i="2"/>
  <c r="J1463" i="2"/>
  <c r="L1465" i="2"/>
  <c r="O1467" i="2"/>
  <c r="R1469" i="2"/>
  <c r="T1471" i="2"/>
  <c r="W1473" i="2"/>
  <c r="Z1475" i="2"/>
  <c r="H1478" i="2"/>
  <c r="K1480" i="2"/>
  <c r="N1482" i="2"/>
  <c r="P1484" i="2"/>
  <c r="S1486" i="2"/>
  <c r="V1488" i="2"/>
  <c r="X1490" i="2"/>
  <c r="AA1492" i="2"/>
  <c r="J1495" i="2"/>
  <c r="L1497" i="2"/>
  <c r="O1499" i="2"/>
  <c r="R1501" i="2"/>
  <c r="T1503" i="2"/>
  <c r="W1505" i="2"/>
  <c r="Z1507" i="2"/>
  <c r="H1510" i="2"/>
  <c r="Z1511" i="2"/>
  <c r="AA1512" i="2"/>
  <c r="H1514" i="2"/>
  <c r="J1515" i="2"/>
  <c r="K1516" i="2"/>
  <c r="L1517" i="2"/>
  <c r="N1518" i="2"/>
  <c r="O1519" i="2"/>
  <c r="P1520" i="2"/>
  <c r="R1521" i="2"/>
  <c r="S1522" i="2"/>
  <c r="T1523" i="2"/>
  <c r="V1524" i="2"/>
  <c r="W1525" i="2"/>
  <c r="X1526" i="2"/>
  <c r="Z1527" i="2"/>
  <c r="AA1528" i="2"/>
  <c r="H1530" i="2"/>
  <c r="J1531" i="2"/>
  <c r="K1532" i="2"/>
  <c r="L1533" i="2"/>
  <c r="N1534" i="2"/>
  <c r="O1535" i="2"/>
  <c r="P1536" i="2"/>
  <c r="R1537" i="2"/>
  <c r="S1538" i="2"/>
  <c r="T1539" i="2"/>
  <c r="V1540" i="2"/>
  <c r="W1541" i="2"/>
  <c r="X1542" i="2"/>
  <c r="Z1543" i="2"/>
  <c r="AA1544" i="2"/>
  <c r="H1546" i="2"/>
  <c r="J1547" i="2"/>
  <c r="K1548" i="2"/>
  <c r="L1549" i="2"/>
  <c r="N1550" i="2"/>
  <c r="O1551" i="2"/>
  <c r="P1552" i="2"/>
  <c r="R1553" i="2"/>
  <c r="S1554" i="2"/>
  <c r="T1555" i="2"/>
  <c r="V1556" i="2"/>
  <c r="W1557" i="2"/>
  <c r="X1558" i="2"/>
  <c r="Z1559" i="2"/>
  <c r="AA1560" i="2"/>
  <c r="H1562" i="2"/>
  <c r="J1563" i="2"/>
  <c r="K1564" i="2"/>
  <c r="L1565" i="2"/>
  <c r="K1566" i="2"/>
  <c r="AA1566" i="2"/>
  <c r="W1567" i="2"/>
  <c r="S1568" i="2"/>
  <c r="O1569" i="2"/>
  <c r="K1570" i="2"/>
  <c r="AA1570" i="2"/>
  <c r="W1571" i="2"/>
  <c r="S1572" i="2"/>
  <c r="O1573" i="2"/>
  <c r="K1574" i="2"/>
  <c r="AA1574" i="2"/>
  <c r="W1575" i="2"/>
  <c r="S1576" i="2"/>
  <c r="O1577" i="2"/>
  <c r="K1578" i="2"/>
  <c r="AA1578" i="2"/>
  <c r="W1579" i="2"/>
  <c r="S1580" i="2"/>
  <c r="O1581" i="2"/>
  <c r="K1582" i="2"/>
  <c r="AA1582" i="2"/>
  <c r="W1583" i="2"/>
  <c r="S1584" i="2"/>
  <c r="O1585" i="2"/>
  <c r="K1586" i="2"/>
  <c r="AA1586" i="2"/>
  <c r="W1587" i="2"/>
  <c r="S1588" i="2"/>
  <c r="O1589" i="2"/>
  <c r="K1590" i="2"/>
  <c r="AA1590" i="2"/>
  <c r="W1591" i="2"/>
  <c r="S1592" i="2"/>
  <c r="O1593" i="2"/>
  <c r="Y1593" i="2"/>
  <c r="M1594" i="2"/>
  <c r="U1594" i="2"/>
  <c r="I1595" i="2"/>
  <c r="Q1595" i="2"/>
  <c r="Y1595" i="2"/>
  <c r="M1596" i="2"/>
  <c r="U1596" i="2"/>
  <c r="I1597" i="2"/>
  <c r="Q1597" i="2"/>
  <c r="Y1597" i="2"/>
  <c r="M1598" i="2"/>
  <c r="U1598" i="2"/>
  <c r="I1599" i="2"/>
  <c r="Q1599" i="2"/>
  <c r="Y1599" i="2"/>
  <c r="M1600" i="2"/>
  <c r="U1600" i="2"/>
  <c r="I1601" i="2"/>
  <c r="Q1601" i="2"/>
  <c r="Y1601" i="2"/>
  <c r="M1602" i="2"/>
  <c r="U1602" i="2"/>
  <c r="I1603" i="2"/>
  <c r="Q1603" i="2"/>
  <c r="Y1603" i="2"/>
  <c r="M1604" i="2"/>
  <c r="U1604" i="2"/>
  <c r="I1605" i="2"/>
  <c r="Q1605" i="2"/>
  <c r="Y1605" i="2"/>
  <c r="M1606" i="2"/>
  <c r="U1606" i="2"/>
  <c r="I1607" i="2"/>
  <c r="Q1607" i="2"/>
  <c r="Y1607" i="2"/>
  <c r="M1608" i="2"/>
  <c r="U1608" i="2"/>
  <c r="I1609" i="2"/>
  <c r="Q1609" i="2"/>
  <c r="Y1609" i="2"/>
  <c r="M1610" i="2"/>
  <c r="U1610" i="2"/>
  <c r="I1611" i="2"/>
  <c r="Q1611" i="2"/>
  <c r="Y1611" i="2"/>
  <c r="M1612" i="2"/>
  <c r="U1612" i="2"/>
  <c r="I1613" i="2"/>
  <c r="Q1613" i="2"/>
  <c r="Y1613" i="2"/>
  <c r="M1614" i="2"/>
  <c r="U1614" i="2"/>
  <c r="I1615" i="2"/>
  <c r="Q1615" i="2"/>
  <c r="Y1615" i="2"/>
  <c r="M1616" i="2"/>
  <c r="U1616" i="2"/>
  <c r="I1617" i="2"/>
  <c r="Q1617" i="2"/>
  <c r="Y1617" i="2"/>
  <c r="M1618" i="2"/>
  <c r="U1618" i="2"/>
  <c r="I1619" i="2"/>
  <c r="Q1619" i="2"/>
  <c r="Y1619" i="2"/>
  <c r="M1620" i="2"/>
  <c r="U1620" i="2"/>
  <c r="I1621" i="2"/>
  <c r="Q1621" i="2"/>
  <c r="Y1621" i="2"/>
  <c r="M1622" i="2"/>
  <c r="U1622" i="2"/>
  <c r="I1623" i="2"/>
  <c r="Q1623" i="2"/>
  <c r="Y1623" i="2"/>
  <c r="M1624" i="2"/>
  <c r="U1624" i="2"/>
  <c r="I1625" i="2"/>
  <c r="Q1625" i="2"/>
  <c r="Y1625" i="2"/>
  <c r="M1626" i="2"/>
  <c r="U1626" i="2"/>
  <c r="I1627" i="2"/>
  <c r="Q1627" i="2"/>
  <c r="Y1627" i="2"/>
  <c r="M1628" i="2"/>
  <c r="U1628" i="2"/>
  <c r="I1629" i="2"/>
  <c r="Q1629" i="2"/>
  <c r="Y1629" i="2"/>
  <c r="M1630" i="2"/>
  <c r="U1630" i="2"/>
  <c r="I1631" i="2"/>
  <c r="Q1631" i="2"/>
  <c r="Y1631" i="2"/>
  <c r="M1632" i="2"/>
  <c r="U1632" i="2"/>
  <c r="I1633" i="2"/>
  <c r="Q1633" i="2"/>
  <c r="Y1633" i="2"/>
  <c r="M1634" i="2"/>
  <c r="U1634" i="2"/>
  <c r="I1635" i="2"/>
  <c r="Q1635" i="2"/>
  <c r="Y1635" i="2"/>
  <c r="M1636" i="2"/>
  <c r="U1636" i="2"/>
  <c r="I1637" i="2"/>
  <c r="Q1637" i="2"/>
  <c r="Y1637" i="2"/>
  <c r="M1638" i="2"/>
  <c r="U1638" i="2"/>
  <c r="I1639" i="2"/>
  <c r="Q1639" i="2"/>
  <c r="Y1639" i="2"/>
  <c r="M1640" i="2"/>
  <c r="U1640" i="2"/>
  <c r="I1641" i="2"/>
  <c r="Q1641" i="2"/>
  <c r="Y1641" i="2"/>
  <c r="M1642" i="2"/>
  <c r="U1642" i="2"/>
  <c r="I1643" i="2"/>
  <c r="Q1643" i="2"/>
  <c r="Y1643" i="2"/>
  <c r="M1644" i="2"/>
  <c r="U1644" i="2"/>
  <c r="I1645" i="2"/>
  <c r="Q1645" i="2"/>
  <c r="Y1645" i="2"/>
  <c r="M1646" i="2"/>
  <c r="U1646" i="2"/>
  <c r="I1647" i="2"/>
  <c r="Q1647" i="2"/>
  <c r="Y1647" i="2"/>
  <c r="M1648" i="2"/>
  <c r="U1648" i="2"/>
  <c r="I1649" i="2"/>
  <c r="Q1649" i="2"/>
  <c r="Y1649" i="2"/>
  <c r="M1650" i="2"/>
  <c r="U1650" i="2"/>
  <c r="I1651" i="2"/>
  <c r="Q1651" i="2"/>
  <c r="Y1651" i="2"/>
  <c r="M1652" i="2"/>
  <c r="U1652" i="2"/>
  <c r="I1653" i="2"/>
  <c r="Q1653" i="2"/>
  <c r="Y1653" i="2"/>
  <c r="M1654" i="2"/>
  <c r="U1654" i="2"/>
  <c r="I1655" i="2"/>
  <c r="Q1655" i="2"/>
  <c r="Y1655" i="2"/>
  <c r="M1656" i="2"/>
  <c r="U1656" i="2"/>
  <c r="I1657" i="2"/>
  <c r="Q1657" i="2"/>
  <c r="Y1657" i="2"/>
  <c r="M1658" i="2"/>
  <c r="U1658" i="2"/>
  <c r="I1659" i="2"/>
  <c r="Q1659" i="2"/>
  <c r="Y1659" i="2"/>
  <c r="M1660" i="2"/>
  <c r="U1660" i="2"/>
  <c r="I1661" i="2"/>
  <c r="Q1661" i="2"/>
  <c r="Y1661" i="2"/>
  <c r="M1662" i="2"/>
  <c r="U1662" i="2"/>
  <c r="I1663" i="2"/>
  <c r="Q1663" i="2"/>
  <c r="Y1663" i="2"/>
  <c r="M1664" i="2"/>
  <c r="U1664" i="2"/>
  <c r="I1665" i="2"/>
  <c r="Q1665" i="2"/>
  <c r="Y1665" i="2"/>
  <c r="M1666" i="2"/>
  <c r="U1666" i="2"/>
  <c r="I1667" i="2"/>
  <c r="Q1667" i="2"/>
  <c r="Y1667" i="2"/>
  <c r="M1668" i="2"/>
  <c r="U1668" i="2"/>
  <c r="I1669" i="2"/>
  <c r="Q1669" i="2"/>
  <c r="Y1669" i="2"/>
  <c r="M1670" i="2"/>
  <c r="U1670" i="2"/>
  <c r="I1671" i="2"/>
  <c r="Q1671" i="2"/>
  <c r="Y1671" i="2"/>
  <c r="M1672" i="2"/>
  <c r="U1672" i="2"/>
  <c r="I1673" i="2"/>
  <c r="Q1673" i="2"/>
  <c r="Y1673" i="2"/>
  <c r="M1674" i="2"/>
  <c r="U1674" i="2"/>
  <c r="I1675" i="2"/>
  <c r="Q1675" i="2"/>
  <c r="Y1675" i="2"/>
  <c r="M1676" i="2"/>
  <c r="U1676" i="2"/>
  <c r="I1677" i="2"/>
  <c r="Q1677" i="2"/>
  <c r="Y1677" i="2"/>
  <c r="M1678" i="2"/>
  <c r="U1678" i="2"/>
  <c r="I1679" i="2"/>
  <c r="Q1679" i="2"/>
  <c r="Y1679" i="2"/>
  <c r="M1680" i="2"/>
  <c r="U1680" i="2"/>
  <c r="I1681" i="2"/>
  <c r="Q1681" i="2"/>
  <c r="Y1681" i="2"/>
  <c r="M1682" i="2"/>
  <c r="U1682" i="2"/>
  <c r="I1683" i="2"/>
  <c r="Q1683" i="2"/>
  <c r="Y1683" i="2"/>
  <c r="M1684" i="2"/>
  <c r="U1684" i="2"/>
  <c r="I1685" i="2"/>
  <c r="Q1685" i="2"/>
  <c r="Y1685" i="2"/>
  <c r="M1686" i="2"/>
  <c r="U1686" i="2"/>
  <c r="I1687" i="2"/>
  <c r="Q1687" i="2"/>
  <c r="Y1687" i="2"/>
  <c r="M1688" i="2"/>
  <c r="U1688" i="2"/>
  <c r="I1689" i="2"/>
  <c r="Q1689" i="2"/>
  <c r="Y1689" i="2"/>
  <c r="M1690" i="2"/>
  <c r="U1690" i="2"/>
  <c r="I1691" i="2"/>
  <c r="Q1691" i="2"/>
  <c r="Y1691" i="2"/>
  <c r="M1692" i="2"/>
  <c r="U1692" i="2"/>
  <c r="I1693" i="2"/>
  <c r="Q1693" i="2"/>
  <c r="Y1693" i="2"/>
  <c r="M1694" i="2"/>
  <c r="U1694" i="2"/>
  <c r="I1695" i="2"/>
  <c r="Q1695" i="2"/>
  <c r="Y1695" i="2"/>
  <c r="M1696" i="2"/>
  <c r="U1696" i="2"/>
  <c r="I1697" i="2"/>
  <c r="Q1697" i="2"/>
  <c r="Y1697" i="2"/>
  <c r="M1698" i="2"/>
  <c r="U1698" i="2"/>
  <c r="I1699" i="2"/>
  <c r="Q1699" i="2"/>
  <c r="Y1699" i="2"/>
  <c r="M1700" i="2"/>
  <c r="U1700" i="2"/>
  <c r="I1701" i="2"/>
  <c r="Q1701" i="2"/>
  <c r="Y1701" i="2"/>
  <c r="M1702" i="2"/>
  <c r="U1702" i="2"/>
  <c r="I1703" i="2"/>
  <c r="Q1703" i="2"/>
  <c r="Y1703" i="2"/>
  <c r="M1704" i="2"/>
  <c r="U1704" i="2"/>
  <c r="I1705" i="2"/>
  <c r="Q1705" i="2"/>
  <c r="Y1705" i="2"/>
  <c r="M1706" i="2"/>
  <c r="U1706" i="2"/>
  <c r="I1707" i="2"/>
  <c r="Q1707" i="2"/>
  <c r="Y1707" i="2"/>
  <c r="M1708" i="2"/>
  <c r="U1708" i="2"/>
  <c r="I1709" i="2"/>
  <c r="Q1709" i="2"/>
  <c r="Y1709" i="2"/>
  <c r="M1710" i="2"/>
  <c r="U1710" i="2"/>
  <c r="I1711" i="2"/>
  <c r="Q1711" i="2"/>
  <c r="Y1711" i="2"/>
  <c r="M1712" i="2"/>
  <c r="U1712" i="2"/>
  <c r="I1713" i="2"/>
  <c r="Q1713" i="2"/>
  <c r="Y1713" i="2"/>
  <c r="M1714" i="2"/>
  <c r="U1714" i="2"/>
  <c r="I1715" i="2"/>
  <c r="Q1715" i="2"/>
  <c r="Y1715" i="2"/>
  <c r="M1716" i="2"/>
  <c r="U1716" i="2"/>
  <c r="I1717" i="2"/>
  <c r="Q1717" i="2"/>
  <c r="Y1717" i="2"/>
  <c r="M1718" i="2"/>
  <c r="U1718" i="2"/>
  <c r="I1719" i="2"/>
  <c r="Q1719" i="2"/>
  <c r="Y1719" i="2"/>
  <c r="M1720" i="2"/>
  <c r="U1720" i="2"/>
  <c r="I1721" i="2"/>
  <c r="Q1721" i="2"/>
  <c r="Y1721" i="2"/>
  <c r="M1722" i="2"/>
  <c r="U1722" i="2"/>
  <c r="I1723" i="2"/>
  <c r="Q1723" i="2"/>
  <c r="Y1723" i="2"/>
  <c r="M1724" i="2"/>
  <c r="U1724" i="2"/>
  <c r="I1725" i="2"/>
  <c r="Q1725" i="2"/>
  <c r="Y1725" i="2"/>
  <c r="M1726" i="2"/>
  <c r="U1726" i="2"/>
  <c r="I1727" i="2"/>
  <c r="Q1727" i="2"/>
  <c r="Y1727" i="2"/>
  <c r="M1728" i="2"/>
  <c r="U1728" i="2"/>
  <c r="I1729" i="2"/>
  <c r="Q1729" i="2"/>
  <c r="Y1729" i="2"/>
  <c r="M1730" i="2"/>
  <c r="U1730" i="2"/>
  <c r="I1731" i="2"/>
  <c r="Q1731" i="2"/>
  <c r="Y1731" i="2"/>
  <c r="M1732" i="2"/>
  <c r="U1732" i="2"/>
  <c r="I1733" i="2"/>
  <c r="Q1733" i="2"/>
  <c r="Y1733" i="2"/>
  <c r="M1734" i="2"/>
  <c r="U1734" i="2"/>
  <c r="I1735" i="2"/>
  <c r="Q1735" i="2"/>
  <c r="Y1735" i="2"/>
  <c r="M1736" i="2"/>
  <c r="U1736" i="2"/>
  <c r="I1737" i="2"/>
  <c r="Q1737" i="2"/>
  <c r="Y1737" i="2"/>
  <c r="M1738" i="2"/>
  <c r="U1738" i="2"/>
  <c r="I1739" i="2"/>
  <c r="Q1739" i="2"/>
  <c r="Y1739" i="2"/>
  <c r="M1740" i="2"/>
  <c r="U1740" i="2"/>
  <c r="I1741" i="2"/>
  <c r="Q1741" i="2"/>
  <c r="Y1741" i="2"/>
  <c r="M1742" i="2"/>
  <c r="U1742" i="2"/>
  <c r="I1743" i="2"/>
  <c r="Q1743" i="2"/>
  <c r="Y1743" i="2"/>
  <c r="M1744" i="2"/>
  <c r="U1744" i="2"/>
  <c r="I1745" i="2"/>
  <c r="Q1745" i="2"/>
  <c r="Y1745" i="2"/>
  <c r="M1746" i="2"/>
  <c r="U1746" i="2"/>
  <c r="I1747" i="2"/>
  <c r="Q1747" i="2"/>
  <c r="Y1747" i="2"/>
  <c r="M1748" i="2"/>
  <c r="U1748" i="2"/>
  <c r="I1749" i="2"/>
  <c r="Q1749" i="2"/>
  <c r="Y1749" i="2"/>
  <c r="M1750" i="2"/>
  <c r="U1750" i="2"/>
  <c r="I1751" i="2"/>
  <c r="Q1751" i="2"/>
  <c r="Y1751" i="2"/>
  <c r="M1752" i="2"/>
  <c r="U1752" i="2"/>
  <c r="I1753" i="2"/>
  <c r="Q1753" i="2"/>
  <c r="Y1753" i="2"/>
  <c r="M1754" i="2"/>
  <c r="U1754" i="2"/>
  <c r="I1755" i="2"/>
  <c r="Q1755" i="2"/>
  <c r="Y1755" i="2"/>
  <c r="M1756" i="2"/>
  <c r="U1756" i="2"/>
  <c r="I1757" i="2"/>
  <c r="Q1757" i="2"/>
  <c r="Y1757" i="2"/>
  <c r="M1758" i="2"/>
  <c r="U1758" i="2"/>
  <c r="I1759" i="2"/>
  <c r="Q1759" i="2"/>
  <c r="Y1759" i="2"/>
  <c r="M1760" i="2"/>
  <c r="U1760" i="2"/>
  <c r="I1761" i="2"/>
  <c r="Q1761" i="2"/>
  <c r="Y1761" i="2"/>
  <c r="M1762" i="2"/>
  <c r="U1762" i="2"/>
  <c r="I1763" i="2"/>
  <c r="Q1763" i="2"/>
  <c r="Y1763" i="2"/>
  <c r="M1764" i="2"/>
  <c r="U1764" i="2"/>
  <c r="I1765" i="2"/>
  <c r="Q1765" i="2"/>
  <c r="Y1765" i="2"/>
  <c r="M1766" i="2"/>
  <c r="U1766" i="2"/>
  <c r="I1767" i="2"/>
  <c r="Q1767" i="2"/>
  <c r="Y1767" i="2"/>
  <c r="M1768" i="2"/>
  <c r="U1768" i="2"/>
  <c r="I1769" i="2"/>
  <c r="Q1769" i="2"/>
  <c r="Y1769" i="2"/>
  <c r="M1770" i="2"/>
  <c r="U1770" i="2"/>
  <c r="I1771" i="2"/>
  <c r="Q1771" i="2"/>
  <c r="Y1771" i="2"/>
  <c r="M1772" i="2"/>
  <c r="U1772" i="2"/>
  <c r="I1773" i="2"/>
  <c r="Q1773" i="2"/>
  <c r="Y1773" i="2"/>
  <c r="M1774" i="2"/>
  <c r="U1774" i="2"/>
  <c r="I1775" i="2"/>
  <c r="Q1775" i="2"/>
  <c r="Y1775" i="2"/>
  <c r="M1776" i="2"/>
  <c r="U1776" i="2"/>
  <c r="I1777" i="2"/>
  <c r="Q1777" i="2"/>
  <c r="Y1777" i="2"/>
  <c r="M1778" i="2"/>
  <c r="U1778" i="2"/>
  <c r="I1779" i="2"/>
  <c r="Q1779" i="2"/>
  <c r="Y1779" i="2"/>
  <c r="M1780" i="2"/>
  <c r="U1780" i="2"/>
  <c r="I1781" i="2"/>
  <c r="Q1781" i="2"/>
  <c r="Y1781" i="2"/>
  <c r="M1782" i="2"/>
  <c r="U1782" i="2"/>
  <c r="I1783" i="2"/>
  <c r="Q1783" i="2"/>
  <c r="Y1783" i="2"/>
  <c r="M1784" i="2"/>
  <c r="U1784" i="2"/>
  <c r="I1785" i="2"/>
  <c r="Q1785" i="2"/>
  <c r="Y1785" i="2"/>
  <c r="M1786" i="2"/>
  <c r="U1786" i="2"/>
  <c r="I1787" i="2"/>
  <c r="Q1787" i="2"/>
  <c r="Y1787" i="2"/>
  <c r="M1788" i="2"/>
  <c r="U1788" i="2"/>
  <c r="I1789" i="2"/>
  <c r="Q1789" i="2"/>
  <c r="Y1789" i="2"/>
  <c r="M1790" i="2"/>
  <c r="U1790" i="2"/>
  <c r="I1791" i="2"/>
  <c r="Q1791" i="2"/>
  <c r="Y1791" i="2"/>
  <c r="M1792" i="2"/>
  <c r="U1792" i="2"/>
  <c r="I1793" i="2"/>
  <c r="Q1793" i="2"/>
  <c r="Y1793" i="2"/>
  <c r="M1794" i="2"/>
  <c r="U1794" i="2"/>
  <c r="I1795" i="2"/>
  <c r="Q1795" i="2"/>
  <c r="Y1795" i="2"/>
  <c r="M1796" i="2"/>
  <c r="U1796" i="2"/>
  <c r="I1797" i="2"/>
  <c r="Q1797" i="2"/>
  <c r="Y1797" i="2"/>
  <c r="J935" i="2"/>
  <c r="R1023" i="2"/>
  <c r="V1074" i="2"/>
  <c r="V1104" i="2"/>
  <c r="N1130" i="2"/>
  <c r="Z1155" i="2"/>
  <c r="R1181" i="2"/>
  <c r="J1207" i="2"/>
  <c r="J1229" i="2"/>
  <c r="K1246" i="2"/>
  <c r="M1263" i="2"/>
  <c r="Y1272" i="2"/>
  <c r="O1281" i="2"/>
  <c r="Z1289" i="2"/>
  <c r="Q1298" i="2"/>
  <c r="AA1306" i="2"/>
  <c r="R1315" i="2"/>
  <c r="J1322" i="2"/>
  <c r="R1328" i="2"/>
  <c r="Z1334" i="2"/>
  <c r="N1341" i="2"/>
  <c r="J1347" i="2"/>
  <c r="N1350" i="2"/>
  <c r="R1353" i="2"/>
  <c r="V1356" i="2"/>
  <c r="Z1359" i="2"/>
  <c r="J1363" i="2"/>
  <c r="N1366" i="2"/>
  <c r="R1369" i="2"/>
  <c r="V1372" i="2"/>
  <c r="Z1375" i="2"/>
  <c r="J1379" i="2"/>
  <c r="N1382" i="2"/>
  <c r="R1385" i="2"/>
  <c r="V1388" i="2"/>
  <c r="Z1391" i="2"/>
  <c r="J1395" i="2"/>
  <c r="N1398" i="2"/>
  <c r="R1401" i="2"/>
  <c r="V1404" i="2"/>
  <c r="Z1407" i="2"/>
  <c r="J1411" i="2"/>
  <c r="N1414" i="2"/>
  <c r="R1417" i="2"/>
  <c r="V1420" i="2"/>
  <c r="Z1423" i="2"/>
  <c r="J1427" i="2"/>
  <c r="N1430" i="2"/>
  <c r="O1433" i="2"/>
  <c r="R1435" i="2"/>
  <c r="T1437" i="2"/>
  <c r="W1439" i="2"/>
  <c r="Z1441" i="2"/>
  <c r="H1444" i="2"/>
  <c r="K1446" i="2"/>
  <c r="N1448" i="2"/>
  <c r="P1450" i="2"/>
  <c r="S1452" i="2"/>
  <c r="V1454" i="2"/>
  <c r="X1456" i="2"/>
  <c r="AA1458" i="2"/>
  <c r="J1461" i="2"/>
  <c r="L1463" i="2"/>
  <c r="O1465" i="2"/>
  <c r="R1467" i="2"/>
  <c r="T1469" i="2"/>
  <c r="W1471" i="2"/>
  <c r="Z1473" i="2"/>
  <c r="H1476" i="2"/>
  <c r="K1478" i="2"/>
  <c r="N1480" i="2"/>
  <c r="P1482" i="2"/>
  <c r="S1484" i="2"/>
  <c r="V1486" i="2"/>
  <c r="X1488" i="2"/>
  <c r="AA1490" i="2"/>
  <c r="J1493" i="2"/>
  <c r="L1495" i="2"/>
  <c r="O1497" i="2"/>
  <c r="R1499" i="2"/>
  <c r="T1501" i="2"/>
  <c r="W1503" i="2"/>
  <c r="Z1505" i="2"/>
  <c r="H1508" i="2"/>
  <c r="K1510" i="2"/>
  <c r="H1512" i="2"/>
  <c r="J1513" i="2"/>
  <c r="K1514" i="2"/>
  <c r="L1515" i="2"/>
  <c r="N1516" i="2"/>
  <c r="O1517" i="2"/>
  <c r="P1518" i="2"/>
  <c r="R1519" i="2"/>
  <c r="S1520" i="2"/>
  <c r="T1521" i="2"/>
  <c r="V1522" i="2"/>
  <c r="W1523" i="2"/>
  <c r="X1524" i="2"/>
  <c r="Z1525" i="2"/>
  <c r="AA1526" i="2"/>
  <c r="H1528" i="2"/>
  <c r="J1529" i="2"/>
  <c r="K1530" i="2"/>
  <c r="L1531" i="2"/>
  <c r="N1532" i="2"/>
  <c r="O1533" i="2"/>
  <c r="P1534" i="2"/>
  <c r="R1535" i="2"/>
  <c r="S1536" i="2"/>
  <c r="T1537" i="2"/>
  <c r="V1538" i="2"/>
  <c r="W1539" i="2"/>
  <c r="X1540" i="2"/>
  <c r="Z1541" i="2"/>
  <c r="AA1542" i="2"/>
  <c r="H1544" i="2"/>
  <c r="J1545" i="2"/>
  <c r="K1546" i="2"/>
  <c r="L1547" i="2"/>
  <c r="N1548" i="2"/>
  <c r="O1549" i="2"/>
  <c r="P1550" i="2"/>
  <c r="R1551" i="2"/>
  <c r="S1552" i="2"/>
  <c r="T1553" i="2"/>
  <c r="V1554" i="2"/>
  <c r="W1555" i="2"/>
  <c r="X1556" i="2"/>
  <c r="Z1557" i="2"/>
  <c r="AA1558" i="2"/>
  <c r="H1560" i="2"/>
  <c r="J1561" i="2"/>
  <c r="K1562" i="2"/>
  <c r="L1563" i="2"/>
  <c r="N1564" i="2"/>
  <c r="O1565" i="2"/>
  <c r="M1566" i="2"/>
  <c r="I1567" i="2"/>
  <c r="Y1567" i="2"/>
  <c r="U1568" i="2"/>
  <c r="Q1569" i="2"/>
  <c r="M1570" i="2"/>
  <c r="I1571" i="2"/>
  <c r="Y1571" i="2"/>
  <c r="U1572" i="2"/>
  <c r="Q1573" i="2"/>
  <c r="M1574" i="2"/>
  <c r="I1575" i="2"/>
  <c r="Y1575" i="2"/>
  <c r="U1576" i="2"/>
  <c r="Q1577" i="2"/>
  <c r="M1578" i="2"/>
  <c r="I1579" i="2"/>
  <c r="Y1579" i="2"/>
  <c r="U1580" i="2"/>
  <c r="Q1581" i="2"/>
  <c r="M1582" i="2"/>
  <c r="I1583" i="2"/>
  <c r="Y1583" i="2"/>
  <c r="U1584" i="2"/>
  <c r="Q1585" i="2"/>
  <c r="M1586" i="2"/>
  <c r="I1587" i="2"/>
  <c r="Y1587" i="2"/>
  <c r="U1588" i="2"/>
  <c r="Q1589" i="2"/>
  <c r="M1590" i="2"/>
  <c r="I1591" i="2"/>
  <c r="Y1591" i="2"/>
  <c r="U1592" i="2"/>
  <c r="Q1593" i="2"/>
  <c r="AA1593" i="2"/>
  <c r="O1594" i="2"/>
  <c r="W1594" i="2"/>
  <c r="K1595" i="2"/>
  <c r="S1595" i="2"/>
  <c r="AA1595" i="2"/>
  <c r="O1596" i="2"/>
  <c r="W1596" i="2"/>
  <c r="K1597" i="2"/>
  <c r="S1597" i="2"/>
  <c r="AA1597" i="2"/>
  <c r="O1598" i="2"/>
  <c r="W1598" i="2"/>
  <c r="K1599" i="2"/>
  <c r="S1599" i="2"/>
  <c r="AA1599" i="2"/>
  <c r="O1600" i="2"/>
  <c r="W1600" i="2"/>
  <c r="K1601" i="2"/>
  <c r="S1601" i="2"/>
  <c r="AA1601" i="2"/>
  <c r="O1602" i="2"/>
  <c r="W1602" i="2"/>
  <c r="K1603" i="2"/>
  <c r="S1603" i="2"/>
  <c r="AA1603" i="2"/>
  <c r="O1604" i="2"/>
  <c r="W1604" i="2"/>
  <c r="K1605" i="2"/>
  <c r="S1605" i="2"/>
  <c r="AA1605" i="2"/>
  <c r="O1606" i="2"/>
  <c r="W1606" i="2"/>
  <c r="K1607" i="2"/>
  <c r="S1607" i="2"/>
  <c r="AA1607" i="2"/>
  <c r="O1608" i="2"/>
  <c r="W1608" i="2"/>
  <c r="K1609" i="2"/>
  <c r="S1609" i="2"/>
  <c r="AA1609" i="2"/>
  <c r="O1610" i="2"/>
  <c r="W1610" i="2"/>
  <c r="K1611" i="2"/>
  <c r="S1611" i="2"/>
  <c r="AA1611" i="2"/>
  <c r="O1612" i="2"/>
  <c r="W1612" i="2"/>
  <c r="K1613" i="2"/>
  <c r="S1613" i="2"/>
  <c r="AA1613" i="2"/>
  <c r="O1614" i="2"/>
  <c r="W1614" i="2"/>
  <c r="K1615" i="2"/>
  <c r="S1615" i="2"/>
  <c r="AA1615" i="2"/>
  <c r="O1616" i="2"/>
  <c r="W1616" i="2"/>
  <c r="K1617" i="2"/>
  <c r="S1617" i="2"/>
  <c r="AA1617" i="2"/>
  <c r="O1618" i="2"/>
  <c r="W1618" i="2"/>
  <c r="K1619" i="2"/>
  <c r="S1619" i="2"/>
  <c r="AA1619" i="2"/>
  <c r="O1620" i="2"/>
  <c r="W1620" i="2"/>
  <c r="K1621" i="2"/>
  <c r="S1621" i="2"/>
  <c r="AA1621" i="2"/>
  <c r="O1622" i="2"/>
  <c r="W1622" i="2"/>
  <c r="K1623" i="2"/>
  <c r="S1623" i="2"/>
  <c r="AA1623" i="2"/>
  <c r="O1624" i="2"/>
  <c r="W1624" i="2"/>
  <c r="K1625" i="2"/>
  <c r="S1625" i="2"/>
  <c r="AA1625" i="2"/>
  <c r="O1626" i="2"/>
  <c r="W1626" i="2"/>
  <c r="K1627" i="2"/>
  <c r="S1627" i="2"/>
  <c r="AA1627" i="2"/>
  <c r="O1628" i="2"/>
  <c r="W1628" i="2"/>
  <c r="K1629" i="2"/>
  <c r="S1629" i="2"/>
  <c r="AA1629" i="2"/>
  <c r="O1630" i="2"/>
  <c r="W1630" i="2"/>
  <c r="K1631" i="2"/>
  <c r="S1631" i="2"/>
  <c r="AA1631" i="2"/>
  <c r="O1632" i="2"/>
  <c r="W1632" i="2"/>
  <c r="K1633" i="2"/>
  <c r="S1633" i="2"/>
  <c r="AA1633" i="2"/>
  <c r="O1634" i="2"/>
  <c r="W1634" i="2"/>
  <c r="K1635" i="2"/>
  <c r="S1635" i="2"/>
  <c r="AA1635" i="2"/>
  <c r="O1636" i="2"/>
  <c r="W1636" i="2"/>
  <c r="K1637" i="2"/>
  <c r="S1637" i="2"/>
  <c r="AA1637" i="2"/>
  <c r="O1638" i="2"/>
  <c r="W1638" i="2"/>
  <c r="K1639" i="2"/>
  <c r="S1639" i="2"/>
  <c r="AA1639" i="2"/>
  <c r="O1640" i="2"/>
  <c r="W1640" i="2"/>
  <c r="K1641" i="2"/>
  <c r="S1641" i="2"/>
  <c r="AA1641" i="2"/>
  <c r="O1642" i="2"/>
  <c r="W1642" i="2"/>
  <c r="K1643" i="2"/>
  <c r="S1643" i="2"/>
  <c r="AA1643" i="2"/>
  <c r="O1644" i="2"/>
  <c r="W1644" i="2"/>
  <c r="K1645" i="2"/>
  <c r="S1645" i="2"/>
  <c r="AA1645" i="2"/>
  <c r="O1646" i="2"/>
  <c r="W1646" i="2"/>
  <c r="K1647" i="2"/>
  <c r="S1647" i="2"/>
  <c r="AA1647" i="2"/>
  <c r="O1648" i="2"/>
  <c r="W1648" i="2"/>
  <c r="K1649" i="2"/>
  <c r="S1649" i="2"/>
  <c r="AA1649" i="2"/>
  <c r="O1650" i="2"/>
  <c r="W1650" i="2"/>
  <c r="K1651" i="2"/>
  <c r="S1651" i="2"/>
  <c r="AA1651" i="2"/>
  <c r="O1652" i="2"/>
  <c r="W1652" i="2"/>
  <c r="K1653" i="2"/>
  <c r="S1653" i="2"/>
  <c r="AA1653" i="2"/>
  <c r="O1654" i="2"/>
  <c r="W1654" i="2"/>
  <c r="K1655" i="2"/>
  <c r="S1655" i="2"/>
  <c r="AA1655" i="2"/>
  <c r="O1656" i="2"/>
  <c r="W1656" i="2"/>
  <c r="K1657" i="2"/>
  <c r="S1657" i="2"/>
  <c r="AA1657" i="2"/>
  <c r="O1658" i="2"/>
  <c r="W1658" i="2"/>
  <c r="K1659" i="2"/>
  <c r="S1659" i="2"/>
  <c r="AA1659" i="2"/>
  <c r="O1660" i="2"/>
  <c r="W1660" i="2"/>
  <c r="K1661" i="2"/>
  <c r="S1661" i="2"/>
  <c r="AA1661" i="2"/>
  <c r="O1662" i="2"/>
  <c r="W1662" i="2"/>
  <c r="K1663" i="2"/>
  <c r="S1663" i="2"/>
  <c r="AA1663" i="2"/>
  <c r="O1664" i="2"/>
  <c r="W1664" i="2"/>
  <c r="K1665" i="2"/>
  <c r="S1665" i="2"/>
  <c r="AA1665" i="2"/>
  <c r="O1666" i="2"/>
  <c r="W1666" i="2"/>
  <c r="K1667" i="2"/>
  <c r="S1667" i="2"/>
  <c r="AA1667" i="2"/>
  <c r="O1668" i="2"/>
  <c r="W1668" i="2"/>
  <c r="K1669" i="2"/>
  <c r="S1669" i="2"/>
  <c r="AA1669" i="2"/>
  <c r="O1670" i="2"/>
  <c r="W1670" i="2"/>
  <c r="K1671" i="2"/>
  <c r="S1671" i="2"/>
  <c r="AA1671" i="2"/>
  <c r="O1672" i="2"/>
  <c r="W1672" i="2"/>
  <c r="K1673" i="2"/>
  <c r="S1673" i="2"/>
  <c r="AA1673" i="2"/>
  <c r="O1674" i="2"/>
  <c r="W1674" i="2"/>
  <c r="K1675" i="2"/>
  <c r="S1675" i="2"/>
  <c r="AA1675" i="2"/>
  <c r="O1676" i="2"/>
  <c r="W1676" i="2"/>
  <c r="K1677" i="2"/>
  <c r="S1677" i="2"/>
  <c r="AA1677" i="2"/>
  <c r="O1678" i="2"/>
  <c r="W1678" i="2"/>
  <c r="K1679" i="2"/>
  <c r="S1679" i="2"/>
  <c r="AA1679" i="2"/>
  <c r="O1680" i="2"/>
  <c r="W1680" i="2"/>
  <c r="K1681" i="2"/>
  <c r="S1681" i="2"/>
  <c r="AA1681" i="2"/>
  <c r="O1682" i="2"/>
  <c r="W1682" i="2"/>
  <c r="K1683" i="2"/>
  <c r="S1683" i="2"/>
  <c r="AA1683" i="2"/>
  <c r="O1684" i="2"/>
  <c r="W1684" i="2"/>
  <c r="K1685" i="2"/>
  <c r="S1685" i="2"/>
  <c r="AA1685" i="2"/>
  <c r="O1686" i="2"/>
  <c r="W1686" i="2"/>
  <c r="K1687" i="2"/>
  <c r="S1687" i="2"/>
  <c r="AA1687" i="2"/>
  <c r="O1688" i="2"/>
  <c r="W1688" i="2"/>
  <c r="K1689" i="2"/>
  <c r="S1689" i="2"/>
  <c r="AA1689" i="2"/>
  <c r="O1690" i="2"/>
  <c r="W1690" i="2"/>
  <c r="K1691" i="2"/>
  <c r="S1691" i="2"/>
  <c r="AA1691" i="2"/>
  <c r="O1692" i="2"/>
  <c r="W1692" i="2"/>
  <c r="K1693" i="2"/>
  <c r="S1693" i="2"/>
  <c r="AA1693" i="2"/>
  <c r="O1694" i="2"/>
  <c r="W1694" i="2"/>
  <c r="K1695" i="2"/>
  <c r="S1695" i="2"/>
  <c r="AA1695" i="2"/>
  <c r="O1696" i="2"/>
  <c r="W1696" i="2"/>
  <c r="K1697" i="2"/>
  <c r="S1697" i="2"/>
  <c r="AA1697" i="2"/>
  <c r="O1698" i="2"/>
  <c r="W1698" i="2"/>
  <c r="K1699" i="2"/>
  <c r="S1699" i="2"/>
  <c r="AA1699" i="2"/>
  <c r="O1700" i="2"/>
  <c r="W1700" i="2"/>
  <c r="K1701" i="2"/>
  <c r="S1701" i="2"/>
  <c r="AA1701" i="2"/>
  <c r="O1702" i="2"/>
  <c r="W1702" i="2"/>
  <c r="K1703" i="2"/>
  <c r="S1703" i="2"/>
  <c r="AA1703" i="2"/>
  <c r="O1704" i="2"/>
  <c r="W1704" i="2"/>
  <c r="K1705" i="2"/>
  <c r="S1705" i="2"/>
  <c r="AA1705" i="2"/>
  <c r="O1706" i="2"/>
  <c r="W1706" i="2"/>
  <c r="K1707" i="2"/>
  <c r="S1707" i="2"/>
  <c r="AA1707" i="2"/>
  <c r="O1708" i="2"/>
  <c r="W1708" i="2"/>
  <c r="K1709" i="2"/>
  <c r="S1709" i="2"/>
  <c r="AA1709" i="2"/>
  <c r="O1710" i="2"/>
  <c r="W1710" i="2"/>
  <c r="K1711" i="2"/>
  <c r="S1711" i="2"/>
  <c r="AA1711" i="2"/>
  <c r="O1712" i="2"/>
  <c r="W1712" i="2"/>
  <c r="K1713" i="2"/>
  <c r="S1713" i="2"/>
  <c r="AA1713" i="2"/>
  <c r="O1714" i="2"/>
  <c r="W1714" i="2"/>
  <c r="K1715" i="2"/>
  <c r="S1715" i="2"/>
  <c r="AA1715" i="2"/>
  <c r="O1716" i="2"/>
  <c r="W1716" i="2"/>
  <c r="K1717" i="2"/>
  <c r="S1717" i="2"/>
  <c r="AA1717" i="2"/>
  <c r="O1718" i="2"/>
  <c r="W1718" i="2"/>
  <c r="K1719" i="2"/>
  <c r="S1719" i="2"/>
  <c r="AA1719" i="2"/>
  <c r="O1720" i="2"/>
  <c r="W1720" i="2"/>
  <c r="K1721" i="2"/>
  <c r="S1721" i="2"/>
  <c r="AA1721" i="2"/>
  <c r="O1722" i="2"/>
  <c r="W1722" i="2"/>
  <c r="K1723" i="2"/>
  <c r="S1723" i="2"/>
  <c r="AA1723" i="2"/>
  <c r="O1724" i="2"/>
  <c r="W1724" i="2"/>
  <c r="K1725" i="2"/>
  <c r="S1725" i="2"/>
  <c r="AA1725" i="2"/>
  <c r="O1726" i="2"/>
  <c r="W1726" i="2"/>
  <c r="K1727" i="2"/>
  <c r="S1727" i="2"/>
  <c r="AA1727" i="2"/>
  <c r="O1728" i="2"/>
  <c r="W1728" i="2"/>
  <c r="K1729" i="2"/>
  <c r="S1729" i="2"/>
  <c r="AA1729" i="2"/>
  <c r="O1730" i="2"/>
  <c r="W1730" i="2"/>
  <c r="K1731" i="2"/>
  <c r="S1731" i="2"/>
  <c r="AA1731" i="2"/>
  <c r="O1732" i="2"/>
  <c r="W1732" i="2"/>
  <c r="K1733" i="2"/>
  <c r="S1733" i="2"/>
  <c r="AA1733" i="2"/>
  <c r="O1734" i="2"/>
  <c r="W1734" i="2"/>
  <c r="K1735" i="2"/>
  <c r="S1735" i="2"/>
  <c r="AA1735" i="2"/>
  <c r="O1736" i="2"/>
  <c r="W1736" i="2"/>
  <c r="K1737" i="2"/>
  <c r="S1737" i="2"/>
  <c r="AA1737" i="2"/>
  <c r="O1738" i="2"/>
  <c r="W1738" i="2"/>
  <c r="K1739" i="2"/>
  <c r="S1739" i="2"/>
  <c r="AA1739" i="2"/>
  <c r="O1740" i="2"/>
  <c r="W1740" i="2"/>
  <c r="K1741" i="2"/>
  <c r="S1741" i="2"/>
  <c r="AA1741" i="2"/>
  <c r="O1742" i="2"/>
  <c r="W1742" i="2"/>
  <c r="K1743" i="2"/>
  <c r="S1743" i="2"/>
  <c r="AA1743" i="2"/>
  <c r="O1744" i="2"/>
  <c r="W1744" i="2"/>
  <c r="K1745" i="2"/>
  <c r="S1745" i="2"/>
  <c r="AA1745" i="2"/>
  <c r="O1746" i="2"/>
  <c r="W1746" i="2"/>
  <c r="K1747" i="2"/>
  <c r="S1747" i="2"/>
  <c r="AA1747" i="2"/>
  <c r="O1748" i="2"/>
  <c r="W1748" i="2"/>
  <c r="K1749" i="2"/>
  <c r="S1749" i="2"/>
  <c r="AA1749" i="2"/>
  <c r="O1750" i="2"/>
  <c r="W1750" i="2"/>
  <c r="K1751" i="2"/>
  <c r="S1751" i="2"/>
  <c r="AA1751" i="2"/>
  <c r="O1752" i="2"/>
  <c r="W1752" i="2"/>
  <c r="K1753" i="2"/>
  <c r="S1753" i="2"/>
  <c r="AA1753" i="2"/>
  <c r="O1754" i="2"/>
  <c r="W1754" i="2"/>
  <c r="K1755" i="2"/>
  <c r="S1755" i="2"/>
  <c r="AA1755" i="2"/>
  <c r="O1756" i="2"/>
  <c r="W1756" i="2"/>
  <c r="K1757" i="2"/>
  <c r="S1757" i="2"/>
  <c r="AA1757" i="2"/>
  <c r="O1758" i="2"/>
  <c r="W1758" i="2"/>
  <c r="K1759" i="2"/>
  <c r="S1759" i="2"/>
  <c r="AA1759" i="2"/>
  <c r="O1760" i="2"/>
  <c r="W1760" i="2"/>
  <c r="K1761" i="2"/>
  <c r="S1761" i="2"/>
  <c r="AA1761" i="2"/>
  <c r="O1762" i="2"/>
  <c r="W1762" i="2"/>
  <c r="K1763" i="2"/>
  <c r="S1763" i="2"/>
  <c r="AA1763" i="2"/>
  <c r="O1764" i="2"/>
  <c r="W1764" i="2"/>
  <c r="K1765" i="2"/>
  <c r="S1765" i="2"/>
  <c r="AA1765" i="2"/>
  <c r="O1766" i="2"/>
  <c r="W1766" i="2"/>
  <c r="K1767" i="2"/>
  <c r="S1767" i="2"/>
  <c r="AA1767" i="2"/>
  <c r="O1768" i="2"/>
  <c r="W1768" i="2"/>
  <c r="K1769" i="2"/>
  <c r="S1769" i="2"/>
  <c r="AA1769" i="2"/>
  <c r="O1770" i="2"/>
  <c r="W1770" i="2"/>
  <c r="K1771" i="2"/>
  <c r="S1771" i="2"/>
  <c r="AA1771" i="2"/>
  <c r="O1772" i="2"/>
  <c r="W1772" i="2"/>
  <c r="K1773" i="2"/>
  <c r="S1773" i="2"/>
  <c r="AA1773" i="2"/>
  <c r="O1774" i="2"/>
  <c r="W1774" i="2"/>
  <c r="K1775" i="2"/>
  <c r="S1775" i="2"/>
  <c r="AA1775" i="2"/>
  <c r="O1776" i="2"/>
  <c r="W1776" i="2"/>
  <c r="K1777" i="2"/>
  <c r="S1777" i="2"/>
  <c r="AA1777" i="2"/>
  <c r="O1778" i="2"/>
  <c r="W1778" i="2"/>
  <c r="K1779" i="2"/>
  <c r="S1779" i="2"/>
  <c r="AA1779" i="2"/>
  <c r="O1780" i="2"/>
  <c r="W1780" i="2"/>
  <c r="K1781" i="2"/>
  <c r="S1781" i="2"/>
  <c r="AA1781" i="2"/>
  <c r="O1782" i="2"/>
  <c r="W1782" i="2"/>
  <c r="K1783" i="2"/>
  <c r="S1783" i="2"/>
  <c r="AA1783" i="2"/>
  <c r="O1784" i="2"/>
  <c r="W1784" i="2"/>
  <c r="K1785" i="2"/>
  <c r="S1785" i="2"/>
  <c r="AA1785" i="2"/>
  <c r="O1786" i="2"/>
  <c r="W1786" i="2"/>
  <c r="K1787" i="2"/>
  <c r="S1787" i="2"/>
  <c r="AA1787" i="2"/>
  <c r="O1788" i="2"/>
  <c r="W1788" i="2"/>
  <c r="K1789" i="2"/>
  <c r="S1789" i="2"/>
  <c r="AA1789" i="2"/>
  <c r="O1790" i="2"/>
  <c r="W1790" i="2"/>
  <c r="K1791" i="2"/>
  <c r="S1791" i="2"/>
  <c r="AA1791" i="2"/>
  <c r="O1792" i="2"/>
  <c r="W1792" i="2"/>
  <c r="K1793" i="2"/>
  <c r="S1793" i="2"/>
  <c r="AA1793" i="2"/>
  <c r="O1794" i="2"/>
  <c r="W1794" i="2"/>
  <c r="K1795" i="2"/>
  <c r="S1795" i="2"/>
  <c r="AA1795" i="2"/>
  <c r="O1796" i="2"/>
  <c r="W1796" i="2"/>
  <c r="K1797" i="2"/>
  <c r="S1797" i="2"/>
  <c r="AA1797" i="2"/>
  <c r="R985" i="2"/>
  <c r="R1091" i="2"/>
  <c r="V1142" i="2"/>
  <c r="Z1193" i="2"/>
  <c r="O1237" i="2"/>
  <c r="N1268" i="2"/>
  <c r="O1285" i="2"/>
  <c r="Q1302" i="2"/>
  <c r="V1318" i="2"/>
  <c r="R1331" i="2"/>
  <c r="N1344" i="2"/>
  <c r="V1351" i="2"/>
  <c r="J1358" i="2"/>
  <c r="R1364" i="2"/>
  <c r="Z1370" i="2"/>
  <c r="N1377" i="2"/>
  <c r="V1383" i="2"/>
  <c r="J1390" i="2"/>
  <c r="R1396" i="2"/>
  <c r="Z1402" i="2"/>
  <c r="N1409" i="2"/>
  <c r="V1415" i="2"/>
  <c r="J1422" i="2"/>
  <c r="R1428" i="2"/>
  <c r="N1434" i="2"/>
  <c r="S1438" i="2"/>
  <c r="X1442" i="2"/>
  <c r="J1447" i="2"/>
  <c r="O1451" i="2"/>
  <c r="T1455" i="2"/>
  <c r="Z1459" i="2"/>
  <c r="K1464" i="2"/>
  <c r="P1468" i="2"/>
  <c r="V1472" i="2"/>
  <c r="AA1476" i="2"/>
  <c r="L1481" i="2"/>
  <c r="R1485" i="2"/>
  <c r="W1489" i="2"/>
  <c r="H1494" i="2"/>
  <c r="N1498" i="2"/>
  <c r="S1502" i="2"/>
  <c r="X1506" i="2"/>
  <c r="J1511" i="2"/>
  <c r="R1513" i="2"/>
  <c r="T1515" i="2"/>
  <c r="W1517" i="2"/>
  <c r="Z1519" i="2"/>
  <c r="H1522" i="2"/>
  <c r="K1524" i="2"/>
  <c r="N1526" i="2"/>
  <c r="P1528" i="2"/>
  <c r="S1530" i="2"/>
  <c r="V1532" i="2"/>
  <c r="X1534" i="2"/>
  <c r="AA1536" i="2"/>
  <c r="J1539" i="2"/>
  <c r="L1541" i="2"/>
  <c r="O1543" i="2"/>
  <c r="R1545" i="2"/>
  <c r="T1547" i="2"/>
  <c r="W1549" i="2"/>
  <c r="Z1551" i="2"/>
  <c r="H1554" i="2"/>
  <c r="K1556" i="2"/>
  <c r="N1558" i="2"/>
  <c r="P1560" i="2"/>
  <c r="S1562" i="2"/>
  <c r="V1564" i="2"/>
  <c r="S1566" i="2"/>
  <c r="K1568" i="2"/>
  <c r="W1569" i="2"/>
  <c r="O1571" i="2"/>
  <c r="AA1572" i="2"/>
  <c r="S1574" i="2"/>
  <c r="K1576" i="2"/>
  <c r="W1577" i="2"/>
  <c r="O1579" i="2"/>
  <c r="AA1580" i="2"/>
  <c r="S1582" i="2"/>
  <c r="K1584" i="2"/>
  <c r="W1585" i="2"/>
  <c r="O1587" i="2"/>
  <c r="AA1588" i="2"/>
  <c r="S1590" i="2"/>
  <c r="K1592" i="2"/>
  <c r="U1593" i="2"/>
  <c r="Q1594" i="2"/>
  <c r="M1595" i="2"/>
  <c r="I1596" i="2"/>
  <c r="Y1596" i="2"/>
  <c r="U1597" i="2"/>
  <c r="Q1598" i="2"/>
  <c r="M1599" i="2"/>
  <c r="I1600" i="2"/>
  <c r="Y1600" i="2"/>
  <c r="U1601" i="2"/>
  <c r="Q1602" i="2"/>
  <c r="M1603" i="2"/>
  <c r="I1604" i="2"/>
  <c r="Y1604" i="2"/>
  <c r="U1605" i="2"/>
  <c r="Q1606" i="2"/>
  <c r="M1607" i="2"/>
  <c r="I1608" i="2"/>
  <c r="Y1608" i="2"/>
  <c r="U1609" i="2"/>
  <c r="Q1610" i="2"/>
  <c r="M1611" i="2"/>
  <c r="I1612" i="2"/>
  <c r="Y1612" i="2"/>
  <c r="U1613" i="2"/>
  <c r="Q1614" i="2"/>
  <c r="M1615" i="2"/>
  <c r="I1616" i="2"/>
  <c r="Y1616" i="2"/>
  <c r="U1617" i="2"/>
  <c r="Q1618" i="2"/>
  <c r="M1619" i="2"/>
  <c r="I1620" i="2"/>
  <c r="Y1620" i="2"/>
  <c r="U1621" i="2"/>
  <c r="Q1622" i="2"/>
  <c r="M1623" i="2"/>
  <c r="I1624" i="2"/>
  <c r="Y1624" i="2"/>
  <c r="U1625" i="2"/>
  <c r="Q1626" i="2"/>
  <c r="M1627" i="2"/>
  <c r="I1628" i="2"/>
  <c r="Y1628" i="2"/>
  <c r="U1629" i="2"/>
  <c r="Q1630" i="2"/>
  <c r="M1631" i="2"/>
  <c r="I1632" i="2"/>
  <c r="Y1632" i="2"/>
  <c r="U1633" i="2"/>
  <c r="Q1634" i="2"/>
  <c r="M1635" i="2"/>
  <c r="I1636" i="2"/>
  <c r="Y1636" i="2"/>
  <c r="U1637" i="2"/>
  <c r="Q1638" i="2"/>
  <c r="M1639" i="2"/>
  <c r="I1640" i="2"/>
  <c r="Y1640" i="2"/>
  <c r="U1641" i="2"/>
  <c r="Q1642" i="2"/>
  <c r="M1643" i="2"/>
  <c r="I1644" i="2"/>
  <c r="Y1644" i="2"/>
  <c r="U1645" i="2"/>
  <c r="Q1646" i="2"/>
  <c r="M1647" i="2"/>
  <c r="I1648" i="2"/>
  <c r="Y1648" i="2"/>
  <c r="U1649" i="2"/>
  <c r="Q1650" i="2"/>
  <c r="M1651" i="2"/>
  <c r="I1652" i="2"/>
  <c r="Y1652" i="2"/>
  <c r="U1653" i="2"/>
  <c r="Q1654" i="2"/>
  <c r="M1655" i="2"/>
  <c r="I1656" i="2"/>
  <c r="Y1656" i="2"/>
  <c r="U1657" i="2"/>
  <c r="Q1658" i="2"/>
  <c r="M1659" i="2"/>
  <c r="I1660" i="2"/>
  <c r="Y1660" i="2"/>
  <c r="U1661" i="2"/>
  <c r="Q1662" i="2"/>
  <c r="M1663" i="2"/>
  <c r="I1664" i="2"/>
  <c r="Y1664" i="2"/>
  <c r="U1665" i="2"/>
  <c r="Q1666" i="2"/>
  <c r="M1667" i="2"/>
  <c r="I1668" i="2"/>
  <c r="Y1668" i="2"/>
  <c r="U1669" i="2"/>
  <c r="Q1670" i="2"/>
  <c r="M1671" i="2"/>
  <c r="I1672" i="2"/>
  <c r="Y1672" i="2"/>
  <c r="U1673" i="2"/>
  <c r="Q1674" i="2"/>
  <c r="M1675" i="2"/>
  <c r="I1676" i="2"/>
  <c r="Y1676" i="2"/>
  <c r="U1677" i="2"/>
  <c r="Q1678" i="2"/>
  <c r="M1679" i="2"/>
  <c r="I1680" i="2"/>
  <c r="Y1680" i="2"/>
  <c r="U1681" i="2"/>
  <c r="Q1682" i="2"/>
  <c r="M1683" i="2"/>
  <c r="I1684" i="2"/>
  <c r="Y1684" i="2"/>
  <c r="U1685" i="2"/>
  <c r="Q1686" i="2"/>
  <c r="M1687" i="2"/>
  <c r="I1688" i="2"/>
  <c r="Y1688" i="2"/>
  <c r="U1689" i="2"/>
  <c r="Q1690" i="2"/>
  <c r="M1691" i="2"/>
  <c r="I1692" i="2"/>
  <c r="Y1692" i="2"/>
  <c r="U1693" i="2"/>
  <c r="Q1694" i="2"/>
  <c r="M1695" i="2"/>
  <c r="I1696" i="2"/>
  <c r="Y1696" i="2"/>
  <c r="U1697" i="2"/>
  <c r="Q1698" i="2"/>
  <c r="M1699" i="2"/>
  <c r="I1700" i="2"/>
  <c r="Y1700" i="2"/>
  <c r="U1701" i="2"/>
  <c r="Q1702" i="2"/>
  <c r="M1703" i="2"/>
  <c r="I1704" i="2"/>
  <c r="Y1704" i="2"/>
  <c r="U1705" i="2"/>
  <c r="Q1706" i="2"/>
  <c r="M1707" i="2"/>
  <c r="I1708" i="2"/>
  <c r="Y1708" i="2"/>
  <c r="U1709" i="2"/>
  <c r="Q1710" i="2"/>
  <c r="M1711" i="2"/>
  <c r="I1712" i="2"/>
  <c r="Y1712" i="2"/>
  <c r="U1713" i="2"/>
  <c r="Q1714" i="2"/>
  <c r="M1715" i="2"/>
  <c r="I1716" i="2"/>
  <c r="Y1716" i="2"/>
  <c r="U1717" i="2"/>
  <c r="Q1718" i="2"/>
  <c r="M1719" i="2"/>
  <c r="I1720" i="2"/>
  <c r="Y1720" i="2"/>
  <c r="U1721" i="2"/>
  <c r="Q1722" i="2"/>
  <c r="M1723" i="2"/>
  <c r="I1724" i="2"/>
  <c r="Y1724" i="2"/>
  <c r="U1725" i="2"/>
  <c r="Q1726" i="2"/>
  <c r="M1727" i="2"/>
  <c r="I1728" i="2"/>
  <c r="Y1728" i="2"/>
  <c r="U1729" i="2"/>
  <c r="Q1730" i="2"/>
  <c r="M1731" i="2"/>
  <c r="I1732" i="2"/>
  <c r="Y1732" i="2"/>
  <c r="U1733" i="2"/>
  <c r="Q1734" i="2"/>
  <c r="M1735" i="2"/>
  <c r="I1736" i="2"/>
  <c r="Y1736" i="2"/>
  <c r="U1737" i="2"/>
  <c r="Q1738" i="2"/>
  <c r="M1739" i="2"/>
  <c r="I1740" i="2"/>
  <c r="Y1740" i="2"/>
  <c r="U1741" i="2"/>
  <c r="Q1742" i="2"/>
  <c r="M1743" i="2"/>
  <c r="I1744" i="2"/>
  <c r="Y1744" i="2"/>
  <c r="U1745" i="2"/>
  <c r="Q1746" i="2"/>
  <c r="M1747" i="2"/>
  <c r="I1748" i="2"/>
  <c r="Y1748" i="2"/>
  <c r="U1749" i="2"/>
  <c r="Q1750" i="2"/>
  <c r="M1751" i="2"/>
  <c r="I1752" i="2"/>
  <c r="Y1752" i="2"/>
  <c r="U1753" i="2"/>
  <c r="Q1754" i="2"/>
  <c r="M1755" i="2"/>
  <c r="I1756" i="2"/>
  <c r="Y1756" i="2"/>
  <c r="U1757" i="2"/>
  <c r="Q1758" i="2"/>
  <c r="M1759" i="2"/>
  <c r="I1760" i="2"/>
  <c r="Y1760" i="2"/>
  <c r="U1761" i="2"/>
  <c r="Q1762" i="2"/>
  <c r="M1763" i="2"/>
  <c r="I1764" i="2"/>
  <c r="Y1764" i="2"/>
  <c r="U1765" i="2"/>
  <c r="Q1766" i="2"/>
  <c r="M1767" i="2"/>
  <c r="I1768" i="2"/>
  <c r="Y1768" i="2"/>
  <c r="U1769" i="2"/>
  <c r="Q1770" i="2"/>
  <c r="M1771" i="2"/>
  <c r="I1772" i="2"/>
  <c r="Y1772" i="2"/>
  <c r="U1773" i="2"/>
  <c r="Q1774" i="2"/>
  <c r="M1775" i="2"/>
  <c r="I1776" i="2"/>
  <c r="Y1776" i="2"/>
  <c r="U1777" i="2"/>
  <c r="Q1778" i="2"/>
  <c r="M1779" i="2"/>
  <c r="I1780" i="2"/>
  <c r="Y1780" i="2"/>
  <c r="U1781" i="2"/>
  <c r="Q1782" i="2"/>
  <c r="M1783" i="2"/>
  <c r="I1784" i="2"/>
  <c r="Y1784" i="2"/>
  <c r="U1785" i="2"/>
  <c r="Q1786" i="2"/>
  <c r="M1787" i="2"/>
  <c r="I1788" i="2"/>
  <c r="Y1788" i="2"/>
  <c r="U1789" i="2"/>
  <c r="Q1790" i="2"/>
  <c r="M1791" i="2"/>
  <c r="I1792" i="2"/>
  <c r="Y1792" i="2"/>
  <c r="U1793" i="2"/>
  <c r="Q1794" i="2"/>
  <c r="M1795" i="2"/>
  <c r="I1796" i="2"/>
  <c r="Y1796" i="2"/>
  <c r="U1797" i="2"/>
  <c r="M1798" i="2"/>
  <c r="U1798" i="2"/>
  <c r="I1799" i="2"/>
  <c r="Q1799" i="2"/>
  <c r="Y1799" i="2"/>
  <c r="M1800" i="2"/>
  <c r="U1800" i="2"/>
  <c r="I1801" i="2"/>
  <c r="Q1801" i="2"/>
  <c r="Y1801" i="2"/>
  <c r="M1802" i="2"/>
  <c r="U1802" i="2"/>
  <c r="I1803" i="2"/>
  <c r="Q1803" i="2"/>
  <c r="Y1803" i="2"/>
  <c r="M1804" i="2"/>
  <c r="U1804" i="2"/>
  <c r="I1805" i="2"/>
  <c r="Q1805" i="2"/>
  <c r="Y1805" i="2"/>
  <c r="M1806" i="2"/>
  <c r="U1806" i="2"/>
  <c r="I1807" i="2"/>
  <c r="Q1807" i="2"/>
  <c r="Y1807" i="2"/>
  <c r="M1808" i="2"/>
  <c r="U1808" i="2"/>
  <c r="I1809" i="2"/>
  <c r="Q1809" i="2"/>
  <c r="Y1809" i="2"/>
  <c r="M1810" i="2"/>
  <c r="U1810" i="2"/>
  <c r="I1811" i="2"/>
  <c r="Q1811" i="2"/>
  <c r="Y1811" i="2"/>
  <c r="M1812" i="2"/>
  <c r="U1812" i="2"/>
  <c r="I1813" i="2"/>
  <c r="Q1813" i="2"/>
  <c r="Y1813" i="2"/>
  <c r="M1814" i="2"/>
  <c r="U1814" i="2"/>
  <c r="I1815" i="2"/>
  <c r="Q1815" i="2"/>
  <c r="Y1815" i="2"/>
  <c r="M1816" i="2"/>
  <c r="U1816" i="2"/>
  <c r="I1817" i="2"/>
  <c r="Q1817" i="2"/>
  <c r="Y1817" i="2"/>
  <c r="M1818" i="2"/>
  <c r="U1818" i="2"/>
  <c r="I1819" i="2"/>
  <c r="Q1819" i="2"/>
  <c r="Y1819" i="2"/>
  <c r="M1820" i="2"/>
  <c r="U1820" i="2"/>
  <c r="I1821" i="2"/>
  <c r="Q1821" i="2"/>
  <c r="Y1821" i="2"/>
  <c r="M1822" i="2"/>
  <c r="U1822" i="2"/>
  <c r="I1823" i="2"/>
  <c r="Q1823" i="2"/>
  <c r="Y1823" i="2"/>
  <c r="M1824" i="2"/>
  <c r="U1824" i="2"/>
  <c r="I1825" i="2"/>
  <c r="Q1825" i="2"/>
  <c r="Y1825" i="2"/>
  <c r="M1826" i="2"/>
  <c r="U1826" i="2"/>
  <c r="I1827" i="2"/>
  <c r="Q1827" i="2"/>
  <c r="Y1827" i="2"/>
  <c r="M1828" i="2"/>
  <c r="U1828" i="2"/>
  <c r="I1829" i="2"/>
  <c r="Q1829" i="2"/>
  <c r="Y1829" i="2"/>
  <c r="M1830" i="2"/>
  <c r="U1830" i="2"/>
  <c r="I1831" i="2"/>
  <c r="Q1831" i="2"/>
  <c r="Y1831" i="2"/>
  <c r="M1832" i="2"/>
  <c r="U1832" i="2"/>
  <c r="I1833" i="2"/>
  <c r="Q1833" i="2"/>
  <c r="Y1833" i="2"/>
  <c r="M1834" i="2"/>
  <c r="U1834" i="2"/>
  <c r="I1835" i="2"/>
  <c r="Q1835" i="2"/>
  <c r="Y1835" i="2"/>
  <c r="M1836" i="2"/>
  <c r="U1836" i="2"/>
  <c r="I1837" i="2"/>
  <c r="Q1837" i="2"/>
  <c r="Y1837" i="2"/>
  <c r="M1838" i="2"/>
  <c r="U1838" i="2"/>
  <c r="I1839" i="2"/>
  <c r="Q1839" i="2"/>
  <c r="Y1839" i="2"/>
  <c r="M1840" i="2"/>
  <c r="U1840" i="2"/>
  <c r="I1841" i="2"/>
  <c r="Q1841" i="2"/>
  <c r="Y1841" i="2"/>
  <c r="M1842" i="2"/>
  <c r="U1842" i="2"/>
  <c r="I1843" i="2"/>
  <c r="Q1843" i="2"/>
  <c r="Y1843" i="2"/>
  <c r="M1844" i="2"/>
  <c r="U1844" i="2"/>
  <c r="I1845" i="2"/>
  <c r="Q1845" i="2"/>
  <c r="Y1845" i="2"/>
  <c r="M1846" i="2"/>
  <c r="U1846" i="2"/>
  <c r="I1847" i="2"/>
  <c r="Q1847" i="2"/>
  <c r="Y1847" i="2"/>
  <c r="M1848" i="2"/>
  <c r="U1848" i="2"/>
  <c r="I1849" i="2"/>
  <c r="Q1849" i="2"/>
  <c r="Y1849" i="2"/>
  <c r="M1850" i="2"/>
  <c r="U1850" i="2"/>
  <c r="I1851" i="2"/>
  <c r="Q1851" i="2"/>
  <c r="Y1851" i="2"/>
  <c r="M1852" i="2"/>
  <c r="U1852" i="2"/>
  <c r="I1853" i="2"/>
  <c r="Q1853" i="2"/>
  <c r="Y1853" i="2"/>
  <c r="M1854" i="2"/>
  <c r="U1854" i="2"/>
  <c r="I1855" i="2"/>
  <c r="Q1855" i="2"/>
  <c r="Y1855" i="2"/>
  <c r="M1856" i="2"/>
  <c r="U1856" i="2"/>
  <c r="I1857" i="2"/>
  <c r="Q1857" i="2"/>
  <c r="Y1857" i="2"/>
  <c r="M1858" i="2"/>
  <c r="U1858" i="2"/>
  <c r="I1859" i="2"/>
  <c r="Q1859" i="2"/>
  <c r="Y1859" i="2"/>
  <c r="M1860" i="2"/>
  <c r="U1860" i="2"/>
  <c r="I1861" i="2"/>
  <c r="Q1861" i="2"/>
  <c r="Y1861" i="2"/>
  <c r="M1862" i="2"/>
  <c r="U1862" i="2"/>
  <c r="I1863" i="2"/>
  <c r="Q1863" i="2"/>
  <c r="Y1863" i="2"/>
  <c r="M1864" i="2"/>
  <c r="U1864" i="2"/>
  <c r="I1865" i="2"/>
  <c r="Q1865" i="2"/>
  <c r="Y1865" i="2"/>
  <c r="M1866" i="2"/>
  <c r="U1866" i="2"/>
  <c r="I1867" i="2"/>
  <c r="Q1867" i="2"/>
  <c r="Y1867" i="2"/>
  <c r="M1868" i="2"/>
  <c r="U1868" i="2"/>
  <c r="I1869" i="2"/>
  <c r="Q1869" i="2"/>
  <c r="Y1869" i="2"/>
  <c r="M1870" i="2"/>
  <c r="U1870" i="2"/>
  <c r="I1871" i="2"/>
  <c r="Q1871" i="2"/>
  <c r="Y1871" i="2"/>
  <c r="M1872" i="2"/>
  <c r="U1872" i="2"/>
  <c r="I1873" i="2"/>
  <c r="Q1873" i="2"/>
  <c r="Y1873" i="2"/>
  <c r="M1874" i="2"/>
  <c r="U1874" i="2"/>
  <c r="I1875" i="2"/>
  <c r="Q1875" i="2"/>
  <c r="Y1875" i="2"/>
  <c r="M1876" i="2"/>
  <c r="U1876" i="2"/>
  <c r="I1877" i="2"/>
  <c r="Q1877" i="2"/>
  <c r="Y1877" i="2"/>
  <c r="M1878" i="2"/>
  <c r="U1878" i="2"/>
  <c r="I1879" i="2"/>
  <c r="Q1879" i="2"/>
  <c r="Y1879" i="2"/>
  <c r="M1880" i="2"/>
  <c r="U1880" i="2"/>
  <c r="I1881" i="2"/>
  <c r="Q1881" i="2"/>
  <c r="Y1881" i="2"/>
  <c r="M1882" i="2"/>
  <c r="U1882" i="2"/>
  <c r="I1883" i="2"/>
  <c r="Q1883" i="2"/>
  <c r="Y1883" i="2"/>
  <c r="M1884" i="2"/>
  <c r="U1884" i="2"/>
  <c r="I1885" i="2"/>
  <c r="Q1885" i="2"/>
  <c r="Y1885" i="2"/>
  <c r="M1886" i="2"/>
  <c r="U1886" i="2"/>
  <c r="I1887" i="2"/>
  <c r="Q1887" i="2"/>
  <c r="Y1887" i="2"/>
  <c r="M1888" i="2"/>
  <c r="U1888" i="2"/>
  <c r="I1889" i="2"/>
  <c r="Q1889" i="2"/>
  <c r="Y1889" i="2"/>
  <c r="M1890" i="2"/>
  <c r="U1890" i="2"/>
  <c r="I1891" i="2"/>
  <c r="Q1891" i="2"/>
  <c r="Y1891" i="2"/>
  <c r="M1892" i="2"/>
  <c r="U1892" i="2"/>
  <c r="I1893" i="2"/>
  <c r="Q1893" i="2"/>
  <c r="Y1893" i="2"/>
  <c r="M1894" i="2"/>
  <c r="U1894" i="2"/>
  <c r="I1895" i="2"/>
  <c r="Q1895" i="2"/>
  <c r="Y1895" i="2"/>
  <c r="M1896" i="2"/>
  <c r="U1896" i="2"/>
  <c r="I1897" i="2"/>
  <c r="Q1897" i="2"/>
  <c r="Y1897" i="2"/>
  <c r="M1898" i="2"/>
  <c r="U1898" i="2"/>
  <c r="I1899" i="2"/>
  <c r="Q1899" i="2"/>
  <c r="Y1899" i="2"/>
  <c r="M1900" i="2"/>
  <c r="U1900" i="2"/>
  <c r="I1901" i="2"/>
  <c r="Q1901" i="2"/>
  <c r="Y1901" i="2"/>
  <c r="M1902" i="2"/>
  <c r="U1902" i="2"/>
  <c r="I1903" i="2"/>
  <c r="Q1903" i="2"/>
  <c r="Y1903" i="2"/>
  <c r="M1904" i="2"/>
  <c r="U1904" i="2"/>
  <c r="I1905" i="2"/>
  <c r="Q1905" i="2"/>
  <c r="Y1905" i="2"/>
  <c r="M1906" i="2"/>
  <c r="U1906" i="2"/>
  <c r="I1907" i="2"/>
  <c r="Q1907" i="2"/>
  <c r="Y1907" i="2"/>
  <c r="M1908" i="2"/>
  <c r="U1908" i="2"/>
  <c r="I1909" i="2"/>
  <c r="Q1909" i="2"/>
  <c r="Y1909" i="2"/>
  <c r="M1910" i="2"/>
  <c r="U1910" i="2"/>
  <c r="I1911" i="2"/>
  <c r="Q1911" i="2"/>
  <c r="Y1911" i="2"/>
  <c r="M1912" i="2"/>
  <c r="U1912" i="2"/>
  <c r="I1913" i="2"/>
  <c r="Q1913" i="2"/>
  <c r="Y1913" i="2"/>
  <c r="M1914" i="2"/>
  <c r="U1914" i="2"/>
  <c r="I1915" i="2"/>
  <c r="Q1915" i="2"/>
  <c r="Y1915" i="2"/>
  <c r="M1916" i="2"/>
  <c r="U1916" i="2"/>
  <c r="I1917" i="2"/>
  <c r="Q1917" i="2"/>
  <c r="Y1917" i="2"/>
  <c r="M1918" i="2"/>
  <c r="U1918" i="2"/>
  <c r="I1919" i="2"/>
  <c r="Q1919" i="2"/>
  <c r="Y1919" i="2"/>
  <c r="M1920" i="2"/>
  <c r="U1920" i="2"/>
  <c r="I1921" i="2"/>
  <c r="Q1921" i="2"/>
  <c r="Y1921" i="2"/>
  <c r="M1922" i="2"/>
  <c r="U1922" i="2"/>
  <c r="I1923" i="2"/>
  <c r="Q1923" i="2"/>
  <c r="Y1923" i="2"/>
  <c r="M1924" i="2"/>
  <c r="U1924" i="2"/>
  <c r="I1925" i="2"/>
  <c r="Q1925" i="2"/>
  <c r="Y1925" i="2"/>
  <c r="M1926" i="2"/>
  <c r="U1926" i="2"/>
  <c r="I1927" i="2"/>
  <c r="Q1927" i="2"/>
  <c r="Y1927" i="2"/>
  <c r="M1928" i="2"/>
  <c r="U1928" i="2"/>
  <c r="I1929" i="2"/>
  <c r="Q1929" i="2"/>
  <c r="Y1929" i="2"/>
  <c r="M1930" i="2"/>
  <c r="U1930" i="2"/>
  <c r="I1931" i="2"/>
  <c r="Q1931" i="2"/>
  <c r="Y1931" i="2"/>
  <c r="M1932" i="2"/>
  <c r="U1932" i="2"/>
  <c r="I1933" i="2"/>
  <c r="Q1933" i="2"/>
  <c r="Y1933" i="2"/>
  <c r="M1934" i="2"/>
  <c r="U1934" i="2"/>
  <c r="I1935" i="2"/>
  <c r="Q1935" i="2"/>
  <c r="Y1935" i="2"/>
  <c r="M1936" i="2"/>
  <c r="U1936" i="2"/>
  <c r="I1937" i="2"/>
  <c r="Q1937" i="2"/>
  <c r="Y1937" i="2"/>
  <c r="M1938" i="2"/>
  <c r="U1938" i="2"/>
  <c r="I1939" i="2"/>
  <c r="Q1939" i="2"/>
  <c r="Y1939" i="2"/>
  <c r="M1940" i="2"/>
  <c r="U1940" i="2"/>
  <c r="I1941" i="2"/>
  <c r="Q1941" i="2"/>
  <c r="Y1941" i="2"/>
  <c r="M1942" i="2"/>
  <c r="U1942" i="2"/>
  <c r="I1943" i="2"/>
  <c r="Q1943" i="2"/>
  <c r="Y1943" i="2"/>
  <c r="M1944" i="2"/>
  <c r="U1944" i="2"/>
  <c r="I1945" i="2"/>
  <c r="Q1945" i="2"/>
  <c r="Y1945" i="2"/>
  <c r="M1946" i="2"/>
  <c r="U1946" i="2"/>
  <c r="I1947" i="2"/>
  <c r="Q1947" i="2"/>
  <c r="Y1947" i="2"/>
  <c r="M1948" i="2"/>
  <c r="U1948" i="2"/>
  <c r="I1949" i="2"/>
  <c r="Q1949" i="2"/>
  <c r="Y1949" i="2"/>
  <c r="M1950" i="2"/>
  <c r="U1950" i="2"/>
  <c r="I1951" i="2"/>
  <c r="Q1951" i="2"/>
  <c r="Y1951" i="2"/>
  <c r="M1952" i="2"/>
  <c r="U1952" i="2"/>
  <c r="I1953" i="2"/>
  <c r="Q1953" i="2"/>
  <c r="Y1953" i="2"/>
  <c r="M1954" i="2"/>
  <c r="U1954" i="2"/>
  <c r="I1955" i="2"/>
  <c r="Q1955" i="2"/>
  <c r="Y1955" i="2"/>
  <c r="M1956" i="2"/>
  <c r="U1956" i="2"/>
  <c r="I1957" i="2"/>
  <c r="Q1957" i="2"/>
  <c r="Y1957" i="2"/>
  <c r="M1958" i="2"/>
  <c r="U1958" i="2"/>
  <c r="I1959" i="2"/>
  <c r="Q1959" i="2"/>
  <c r="Y1959" i="2"/>
  <c r="M1960" i="2"/>
  <c r="U1960" i="2"/>
  <c r="I1961" i="2"/>
  <c r="Q1961" i="2"/>
  <c r="Y1961" i="2"/>
  <c r="M1962" i="2"/>
  <c r="U1962" i="2"/>
  <c r="I1963" i="2"/>
  <c r="Q1963" i="2"/>
  <c r="Y1963" i="2"/>
  <c r="M1964" i="2"/>
  <c r="U1964" i="2"/>
  <c r="I1965" i="2"/>
  <c r="Q1965" i="2"/>
  <c r="Y1965" i="2"/>
  <c r="M1966" i="2"/>
  <c r="U1966" i="2"/>
  <c r="I1967" i="2"/>
  <c r="Q1967" i="2"/>
  <c r="Y1967" i="2"/>
  <c r="M1968" i="2"/>
  <c r="U1968" i="2"/>
  <c r="I1969" i="2"/>
  <c r="Q1969" i="2"/>
  <c r="Y1969" i="2"/>
  <c r="M1970" i="2"/>
  <c r="U1970" i="2"/>
  <c r="I1971" i="2"/>
  <c r="Q1971" i="2"/>
  <c r="Y1971" i="2"/>
  <c r="M1972" i="2"/>
  <c r="U1972" i="2"/>
  <c r="I1973" i="2"/>
  <c r="Q1973" i="2"/>
  <c r="Y1973" i="2"/>
  <c r="M1974" i="2"/>
  <c r="U1974" i="2"/>
  <c r="I1975" i="2"/>
  <c r="Q1975" i="2"/>
  <c r="Y1975" i="2"/>
  <c r="M1976" i="2"/>
  <c r="U1976" i="2"/>
  <c r="I1977" i="2"/>
  <c r="Q1977" i="2"/>
  <c r="Y1977" i="2"/>
  <c r="M1978" i="2"/>
  <c r="U1978" i="2"/>
  <c r="I1979" i="2"/>
  <c r="Q1979" i="2"/>
  <c r="Y1979" i="2"/>
  <c r="M1980" i="2"/>
  <c r="U1980" i="2"/>
  <c r="I1981" i="2"/>
  <c r="Q1981" i="2"/>
  <c r="Y1981" i="2"/>
  <c r="M1982" i="2"/>
  <c r="U1982" i="2"/>
  <c r="I1983" i="2"/>
  <c r="Q1983" i="2"/>
  <c r="Y1983" i="2"/>
  <c r="M1984" i="2"/>
  <c r="U1984" i="2"/>
  <c r="I1985" i="2"/>
  <c r="Q1985" i="2"/>
  <c r="Y1985" i="2"/>
  <c r="M1986" i="2"/>
  <c r="U1986" i="2"/>
  <c r="I1987" i="2"/>
  <c r="Q1987" i="2"/>
  <c r="Y1987" i="2"/>
  <c r="M1988" i="2"/>
  <c r="U1988" i="2"/>
  <c r="I1989" i="2"/>
  <c r="Q1989" i="2"/>
  <c r="Y1989" i="2"/>
  <c r="M1990" i="2"/>
  <c r="U1990" i="2"/>
  <c r="I1991" i="2"/>
  <c r="Q1991" i="2"/>
  <c r="Y1991" i="2"/>
  <c r="M1992" i="2"/>
  <c r="U1992" i="2"/>
  <c r="I1993" i="2"/>
  <c r="Q1993" i="2"/>
  <c r="Y1993" i="2"/>
  <c r="M1994" i="2"/>
  <c r="U1994" i="2"/>
  <c r="I1995" i="2"/>
  <c r="Q1995" i="2"/>
  <c r="Y1995" i="2"/>
  <c r="M1996" i="2"/>
  <c r="U1996" i="2"/>
  <c r="I1997" i="2"/>
  <c r="Q1997" i="2"/>
  <c r="Y1997" i="2"/>
  <c r="M1998" i="2"/>
  <c r="U1998" i="2"/>
  <c r="I1999" i="2"/>
  <c r="Q1999" i="2"/>
  <c r="Y1999" i="2"/>
  <c r="M2000" i="2"/>
  <c r="U2000" i="2"/>
  <c r="I2001" i="2"/>
  <c r="Q2001" i="2"/>
  <c r="Y2001" i="2"/>
  <c r="M2002" i="2"/>
  <c r="U2002" i="2"/>
  <c r="I2003" i="2"/>
  <c r="Q2003" i="2"/>
  <c r="Y2003" i="2"/>
  <c r="M2004" i="2"/>
  <c r="U2004" i="2"/>
  <c r="I2005" i="2"/>
  <c r="Q2005" i="2"/>
  <c r="Y2005" i="2"/>
  <c r="M2006" i="2"/>
  <c r="U2006" i="2"/>
  <c r="I2007" i="2"/>
  <c r="Q2007" i="2"/>
  <c r="Y2007" i="2"/>
  <c r="M2008" i="2"/>
  <c r="U2008" i="2"/>
  <c r="I2009" i="2"/>
  <c r="Q2009" i="2"/>
  <c r="Y2009" i="2"/>
  <c r="M2010" i="2"/>
  <c r="U2010" i="2"/>
  <c r="I2011" i="2"/>
  <c r="Q2011" i="2"/>
  <c r="Y2011" i="2"/>
  <c r="M2012" i="2"/>
  <c r="U2012" i="2"/>
  <c r="I2013" i="2"/>
  <c r="Q2013" i="2"/>
  <c r="Y2013" i="2"/>
  <c r="M2014" i="2"/>
  <c r="U2014" i="2"/>
  <c r="I2015" i="2"/>
  <c r="Q2015" i="2"/>
  <c r="Y2015" i="2"/>
  <c r="M2016" i="2"/>
  <c r="U2016" i="2"/>
  <c r="I2017" i="2"/>
  <c r="Q2017" i="2"/>
  <c r="Y2017" i="2"/>
  <c r="M2018" i="2"/>
  <c r="U2018" i="2"/>
  <c r="I2019" i="2"/>
  <c r="Q2019" i="2"/>
  <c r="Y2019" i="2"/>
  <c r="M2020" i="2"/>
  <c r="U2020" i="2"/>
  <c r="I2021" i="2"/>
  <c r="Q2021" i="2"/>
  <c r="Y2021" i="2"/>
  <c r="M2022" i="2"/>
  <c r="U2022" i="2"/>
  <c r="I2023" i="2"/>
  <c r="Q2023" i="2"/>
  <c r="Y2023" i="2"/>
  <c r="M2024" i="2"/>
  <c r="U2024" i="2"/>
  <c r="I2025" i="2"/>
  <c r="Q2025" i="2"/>
  <c r="Y2025" i="2"/>
  <c r="M2026" i="2"/>
  <c r="U2026" i="2"/>
  <c r="I2027" i="2"/>
  <c r="Q2027" i="2"/>
  <c r="Y2027" i="2"/>
  <c r="M2028" i="2"/>
  <c r="U2028" i="2"/>
  <c r="I2029" i="2"/>
  <c r="Q2029" i="2"/>
  <c r="Y2029" i="2"/>
  <c r="M2030" i="2"/>
  <c r="U2030" i="2"/>
  <c r="I2031" i="2"/>
  <c r="Q2031" i="2"/>
  <c r="Y2031" i="2"/>
  <c r="M2032" i="2"/>
  <c r="U2032" i="2"/>
  <c r="I2033" i="2"/>
  <c r="Q2033" i="2"/>
  <c r="Y2033" i="2"/>
  <c r="M2034" i="2"/>
  <c r="U2034" i="2"/>
  <c r="I2035" i="2"/>
  <c r="Q2035" i="2"/>
  <c r="Y2035" i="2"/>
  <c r="M2036" i="2"/>
  <c r="U2036" i="2"/>
  <c r="I2037" i="2"/>
  <c r="Q2037" i="2"/>
  <c r="Y2037" i="2"/>
  <c r="M2038" i="2"/>
  <c r="U2038" i="2"/>
  <c r="I2039" i="2"/>
  <c r="Q2039" i="2"/>
  <c r="Y2039" i="2"/>
  <c r="M2040" i="2"/>
  <c r="U2040" i="2"/>
  <c r="I2041" i="2"/>
  <c r="Q2041" i="2"/>
  <c r="Y2041" i="2"/>
  <c r="M2042" i="2"/>
  <c r="U2042" i="2"/>
  <c r="I2043" i="2"/>
  <c r="Q2043" i="2"/>
  <c r="Y2043" i="2"/>
  <c r="M2044" i="2"/>
  <c r="U2044" i="2"/>
  <c r="I2045" i="2"/>
  <c r="Q2045" i="2"/>
  <c r="Y2045" i="2"/>
  <c r="M2046" i="2"/>
  <c r="U2046" i="2"/>
  <c r="I2047" i="2"/>
  <c r="Q2047" i="2"/>
  <c r="Y2047" i="2"/>
  <c r="M2048" i="2"/>
  <c r="U2048" i="2"/>
  <c r="I2049" i="2"/>
  <c r="Q2049" i="2"/>
  <c r="Y2049" i="2"/>
  <c r="M2050" i="2"/>
  <c r="U2050" i="2"/>
  <c r="I2051" i="2"/>
  <c r="Q2051" i="2"/>
  <c r="Y2051" i="2"/>
  <c r="M2052" i="2"/>
  <c r="U2052" i="2"/>
  <c r="I2053" i="2"/>
  <c r="Q2053" i="2"/>
  <c r="Y2053" i="2"/>
  <c r="M2054" i="2"/>
  <c r="U2054" i="2"/>
  <c r="I2055" i="2"/>
  <c r="Q2055" i="2"/>
  <c r="Y2055" i="2"/>
  <c r="M2056" i="2"/>
  <c r="U2056" i="2"/>
  <c r="I2057" i="2"/>
  <c r="Q2057" i="2"/>
  <c r="Y2057" i="2"/>
  <c r="M2058" i="2"/>
  <c r="U2058" i="2"/>
  <c r="I2059" i="2"/>
  <c r="Q2059" i="2"/>
  <c r="Y2059" i="2"/>
  <c r="M2060" i="2"/>
  <c r="U2060" i="2"/>
  <c r="I2061" i="2"/>
  <c r="Q2061" i="2"/>
  <c r="Y2061" i="2"/>
  <c r="M2062" i="2"/>
  <c r="U2062" i="2"/>
  <c r="I2063" i="2"/>
  <c r="Q2063" i="2"/>
  <c r="Y2063" i="2"/>
  <c r="M2064" i="2"/>
  <c r="U2064" i="2"/>
  <c r="I2065" i="2"/>
  <c r="Q2065" i="2"/>
  <c r="Y2065" i="2"/>
  <c r="M2066" i="2"/>
  <c r="U2066" i="2"/>
  <c r="I2067" i="2"/>
  <c r="Q2067" i="2"/>
  <c r="Y2067" i="2"/>
  <c r="M2068" i="2"/>
  <c r="U2068" i="2"/>
  <c r="I2069" i="2"/>
  <c r="Q2069" i="2"/>
  <c r="Y2069" i="2"/>
  <c r="M2070" i="2"/>
  <c r="U2070" i="2"/>
  <c r="I2071" i="2"/>
  <c r="Q2071" i="2"/>
  <c r="Y2071" i="2"/>
  <c r="M2072" i="2"/>
  <c r="U2072" i="2"/>
  <c r="I2073" i="2"/>
  <c r="Q2073" i="2"/>
  <c r="Y2073" i="2"/>
  <c r="M2074" i="2"/>
  <c r="U2074" i="2"/>
  <c r="I2075" i="2"/>
  <c r="Q2075" i="2"/>
  <c r="Y2075" i="2"/>
  <c r="M2076" i="2"/>
  <c r="U2076" i="2"/>
  <c r="I2077" i="2"/>
  <c r="Q2077" i="2"/>
  <c r="Y2077" i="2"/>
  <c r="M2078" i="2"/>
  <c r="U2078" i="2"/>
  <c r="I2079" i="2"/>
  <c r="Q2079" i="2"/>
  <c r="Y2079" i="2"/>
  <c r="M2080" i="2"/>
  <c r="U2080" i="2"/>
  <c r="I2081" i="2"/>
  <c r="Q2081" i="2"/>
  <c r="Y2081" i="2"/>
  <c r="M2082" i="2"/>
  <c r="U2082" i="2"/>
  <c r="I2083" i="2"/>
  <c r="Q2083" i="2"/>
  <c r="Y2083" i="2"/>
  <c r="M2084" i="2"/>
  <c r="U2084" i="2"/>
  <c r="I2085" i="2"/>
  <c r="Q2085" i="2"/>
  <c r="Y2085" i="2"/>
  <c r="M2086" i="2"/>
  <c r="U2086" i="2"/>
  <c r="I2087" i="2"/>
  <c r="Q2087" i="2"/>
  <c r="Y2087" i="2"/>
  <c r="M2088" i="2"/>
  <c r="U2088" i="2"/>
  <c r="I2089" i="2"/>
  <c r="Q2089" i="2"/>
  <c r="Y2089" i="2"/>
  <c r="M2090" i="2"/>
  <c r="U2090" i="2"/>
  <c r="I2091" i="2"/>
  <c r="Q2091" i="2"/>
  <c r="Y2091" i="2"/>
  <c r="M2092" i="2"/>
  <c r="U2092" i="2"/>
  <c r="I2093" i="2"/>
  <c r="Q2093" i="2"/>
  <c r="Y2093" i="2"/>
  <c r="M2094" i="2"/>
  <c r="U2094" i="2"/>
  <c r="I2095" i="2"/>
  <c r="Q2095" i="2"/>
  <c r="Y2095" i="2"/>
  <c r="M2096" i="2"/>
  <c r="U2096" i="2"/>
  <c r="I2097" i="2"/>
  <c r="Q2097" i="2"/>
  <c r="Y2097" i="2"/>
  <c r="M2098" i="2"/>
  <c r="U2098" i="2"/>
  <c r="I2099" i="2"/>
  <c r="Q2099" i="2"/>
  <c r="Y2099" i="2"/>
  <c r="M2100" i="2"/>
  <c r="U2100" i="2"/>
  <c r="I2101" i="2"/>
  <c r="Q2101" i="2"/>
  <c r="Y2101" i="2"/>
  <c r="M2102" i="2"/>
  <c r="U2102" i="2"/>
  <c r="I2103" i="2"/>
  <c r="Q2103" i="2"/>
  <c r="Y2103" i="2"/>
  <c r="M2104" i="2"/>
  <c r="U2104" i="2"/>
  <c r="I2105" i="2"/>
  <c r="Q2105" i="2"/>
  <c r="Y2105" i="2"/>
  <c r="M2106" i="2"/>
  <c r="U2106" i="2"/>
  <c r="I2107" i="2"/>
  <c r="Q2107" i="2"/>
  <c r="Y2107" i="2"/>
  <c r="M2108" i="2"/>
  <c r="U2108" i="2"/>
  <c r="I2109" i="2"/>
  <c r="Q2109" i="2"/>
  <c r="Y2109" i="2"/>
  <c r="M2110" i="2"/>
  <c r="U2110" i="2"/>
  <c r="I2111" i="2"/>
  <c r="Q2111" i="2"/>
  <c r="Y2111" i="2"/>
  <c r="M2112" i="2"/>
  <c r="U2112" i="2"/>
  <c r="I2113" i="2"/>
  <c r="Q2113" i="2"/>
  <c r="Y2113" i="2"/>
  <c r="M2114" i="2"/>
  <c r="U2114" i="2"/>
  <c r="I2115" i="2"/>
  <c r="Q2115" i="2"/>
  <c r="Y2115" i="2"/>
  <c r="M2116" i="2"/>
  <c r="U2116" i="2"/>
  <c r="I2117" i="2"/>
  <c r="Q2117" i="2"/>
  <c r="Y2117" i="2"/>
  <c r="M2118" i="2"/>
  <c r="U2118" i="2"/>
  <c r="I2119" i="2"/>
  <c r="Q2119" i="2"/>
  <c r="Y2119" i="2"/>
  <c r="M2120" i="2"/>
  <c r="U2120" i="2"/>
  <c r="I2121" i="2"/>
  <c r="Q2121" i="2"/>
  <c r="Y2121" i="2"/>
  <c r="M2122" i="2"/>
  <c r="U2122" i="2"/>
  <c r="I2123" i="2"/>
  <c r="Q2123" i="2"/>
  <c r="Y2123" i="2"/>
  <c r="M2124" i="2"/>
  <c r="U2124" i="2"/>
  <c r="I2125" i="2"/>
  <c r="Q2125" i="2"/>
  <c r="Y2125" i="2"/>
  <c r="M2126" i="2"/>
  <c r="U2126" i="2"/>
  <c r="I2127" i="2"/>
  <c r="Q2127" i="2"/>
  <c r="Y2127" i="2"/>
  <c r="M2128" i="2"/>
  <c r="U2128" i="2"/>
  <c r="I2129" i="2"/>
  <c r="Q2129" i="2"/>
  <c r="Y2129" i="2"/>
  <c r="M2130" i="2"/>
  <c r="U2130" i="2"/>
  <c r="I2131" i="2"/>
  <c r="Q2131" i="2"/>
  <c r="Y2131" i="2"/>
  <c r="M2132" i="2"/>
  <c r="U2132" i="2"/>
  <c r="I2133" i="2"/>
  <c r="Q2133" i="2"/>
  <c r="Y2133" i="2"/>
  <c r="M2134" i="2"/>
  <c r="U2134" i="2"/>
  <c r="I2135" i="2"/>
  <c r="Q2135" i="2"/>
  <c r="Y2135" i="2"/>
  <c r="M2136" i="2"/>
  <c r="U2136" i="2"/>
  <c r="I2137" i="2"/>
  <c r="Q2137" i="2"/>
  <c r="Y2137" i="2"/>
  <c r="M2138" i="2"/>
  <c r="U2138" i="2"/>
  <c r="I2139" i="2"/>
  <c r="Q2139" i="2"/>
  <c r="Y2139" i="2"/>
  <c r="M2140" i="2"/>
  <c r="U2140" i="2"/>
  <c r="I2141" i="2"/>
  <c r="Q2141" i="2"/>
  <c r="Y2141" i="2"/>
  <c r="M2142" i="2"/>
  <c r="U2142" i="2"/>
  <c r="I2143" i="2"/>
  <c r="Q2143" i="2"/>
  <c r="Y2143" i="2"/>
  <c r="M2144" i="2"/>
  <c r="U2144" i="2"/>
  <c r="I2145" i="2"/>
  <c r="Q2145" i="2"/>
  <c r="Y2145" i="2"/>
  <c r="M2146" i="2"/>
  <c r="U2146" i="2"/>
  <c r="I2147" i="2"/>
  <c r="Q2147" i="2"/>
  <c r="Y2147" i="2"/>
  <c r="M2148" i="2"/>
  <c r="U2148" i="2"/>
  <c r="I2149" i="2"/>
  <c r="Q2149" i="2"/>
  <c r="Y2149" i="2"/>
  <c r="M2150" i="2"/>
  <c r="U2150" i="2"/>
  <c r="I2151" i="2"/>
  <c r="Q2151" i="2"/>
  <c r="Y2151" i="2"/>
  <c r="M2152" i="2"/>
  <c r="U2152" i="2"/>
  <c r="I2153" i="2"/>
  <c r="Q2153" i="2"/>
  <c r="Y2153" i="2"/>
  <c r="M2154" i="2"/>
  <c r="U2154" i="2"/>
  <c r="I2155" i="2"/>
  <c r="Q2155" i="2"/>
  <c r="Y2155" i="2"/>
  <c r="M2156" i="2"/>
  <c r="U2156" i="2"/>
  <c r="I2157" i="2"/>
  <c r="Q2157" i="2"/>
  <c r="Y2157" i="2"/>
  <c r="M2158" i="2"/>
  <c r="U2158" i="2"/>
  <c r="I2159" i="2"/>
  <c r="Q2159" i="2"/>
  <c r="Y2159" i="2"/>
  <c r="M2160" i="2"/>
  <c r="U2160" i="2"/>
  <c r="I2161" i="2"/>
  <c r="Q2161" i="2"/>
  <c r="Y2161" i="2"/>
  <c r="M2162" i="2"/>
  <c r="U2162" i="2"/>
  <c r="I2163" i="2"/>
  <c r="Q2163" i="2"/>
  <c r="Y2163" i="2"/>
  <c r="M2164" i="2"/>
  <c r="U2164" i="2"/>
  <c r="I2165" i="2"/>
  <c r="Q2165" i="2"/>
  <c r="Y2165" i="2"/>
  <c r="M2166" i="2"/>
  <c r="U2166" i="2"/>
  <c r="I2167" i="2"/>
  <c r="Q2167" i="2"/>
  <c r="Y2167" i="2"/>
  <c r="M2168" i="2"/>
  <c r="U2168" i="2"/>
  <c r="I2169" i="2"/>
  <c r="Q2169" i="2"/>
  <c r="Y2169" i="2"/>
  <c r="M2170" i="2"/>
  <c r="U2170" i="2"/>
  <c r="I2171" i="2"/>
  <c r="Q2171" i="2"/>
  <c r="Y2171" i="2"/>
  <c r="M2172" i="2"/>
  <c r="U2172" i="2"/>
  <c r="I2173" i="2"/>
  <c r="Q2173" i="2"/>
  <c r="Y2173" i="2"/>
  <c r="M2174" i="2"/>
  <c r="U2174" i="2"/>
  <c r="I2175" i="2"/>
  <c r="Q2175" i="2"/>
  <c r="Y2175" i="2"/>
  <c r="M2176" i="2"/>
  <c r="U2176" i="2"/>
  <c r="I2177" i="2"/>
  <c r="Q2177" i="2"/>
  <c r="Y2177" i="2"/>
  <c r="M2178" i="2"/>
  <c r="U2178" i="2"/>
  <c r="I2179" i="2"/>
  <c r="Q2179" i="2"/>
  <c r="Y2179" i="2"/>
  <c r="M2180" i="2"/>
  <c r="U2180" i="2"/>
  <c r="I2181" i="2"/>
  <c r="Q2181" i="2"/>
  <c r="Y2181" i="2"/>
  <c r="M2182" i="2"/>
  <c r="U2182" i="2"/>
  <c r="I2183" i="2"/>
  <c r="Q2183" i="2"/>
  <c r="Y2183" i="2"/>
  <c r="M2184" i="2"/>
  <c r="U2184" i="2"/>
  <c r="I2185" i="2"/>
  <c r="Q2185" i="2"/>
  <c r="Y2185" i="2"/>
  <c r="M2186" i="2"/>
  <c r="U2186" i="2"/>
  <c r="I2187" i="2"/>
  <c r="Q2187" i="2"/>
  <c r="Y2187" i="2"/>
  <c r="M2188" i="2"/>
  <c r="U2188" i="2"/>
  <c r="I2189" i="2"/>
  <c r="Q2189" i="2"/>
  <c r="Y2189" i="2"/>
  <c r="M2190" i="2"/>
  <c r="U2190" i="2"/>
  <c r="I2191" i="2"/>
  <c r="Q2191" i="2"/>
  <c r="Y2191" i="2"/>
  <c r="M2192" i="2"/>
  <c r="U2192" i="2"/>
  <c r="I2193" i="2"/>
  <c r="Q2193" i="2"/>
  <c r="Y2193" i="2"/>
  <c r="M2194" i="2"/>
  <c r="U2194" i="2"/>
  <c r="I2195" i="2"/>
  <c r="Q2195" i="2"/>
  <c r="Y2195" i="2"/>
  <c r="M2196" i="2"/>
  <c r="U2196" i="2"/>
  <c r="I2197" i="2"/>
  <c r="Q2197" i="2"/>
  <c r="Y2197" i="2"/>
  <c r="M2198" i="2"/>
  <c r="U2198" i="2"/>
  <c r="I2199" i="2"/>
  <c r="Q2199" i="2"/>
  <c r="Y2199" i="2"/>
  <c r="M2200" i="2"/>
  <c r="U2200" i="2"/>
  <c r="I2201" i="2"/>
  <c r="Q2201" i="2"/>
  <c r="Y2201" i="2"/>
  <c r="M2202" i="2"/>
  <c r="U2202" i="2"/>
  <c r="I2203" i="2"/>
  <c r="Q2203" i="2"/>
  <c r="Y2203" i="2"/>
  <c r="M2204" i="2"/>
  <c r="U2204" i="2"/>
  <c r="I2205" i="2"/>
  <c r="Q2205" i="2"/>
  <c r="Y2205" i="2"/>
  <c r="M2206" i="2"/>
  <c r="U2206" i="2"/>
  <c r="I2207" i="2"/>
  <c r="Q2207" i="2"/>
  <c r="N986" i="2"/>
  <c r="Z1091" i="2"/>
  <c r="J1143" i="2"/>
  <c r="N1194" i="2"/>
  <c r="U1237" i="2"/>
  <c r="S1268" i="2"/>
  <c r="U1285" i="2"/>
  <c r="V1302" i="2"/>
  <c r="Z1318" i="2"/>
  <c r="V1331" i="2"/>
  <c r="R1344" i="2"/>
  <c r="Z1351" i="2"/>
  <c r="N1358" i="2"/>
  <c r="V1364" i="2"/>
  <c r="J1371" i="2"/>
  <c r="R1377" i="2"/>
  <c r="Z1383" i="2"/>
  <c r="N1390" i="2"/>
  <c r="V1396" i="2"/>
  <c r="J1403" i="2"/>
  <c r="R1409" i="2"/>
  <c r="Z1415" i="2"/>
  <c r="N1422" i="2"/>
  <c r="V1428" i="2"/>
  <c r="P1434" i="2"/>
  <c r="V1438" i="2"/>
  <c r="AA1442" i="2"/>
  <c r="L1447" i="2"/>
  <c r="R1451" i="2"/>
  <c r="W1455" i="2"/>
  <c r="H1460" i="2"/>
  <c r="N1464" i="2"/>
  <c r="S1468" i="2"/>
  <c r="X1472" i="2"/>
  <c r="J1477" i="2"/>
  <c r="O1481" i="2"/>
  <c r="T1485" i="2"/>
  <c r="Z1489" i="2"/>
  <c r="K1494" i="2"/>
  <c r="P1498" i="2"/>
  <c r="V1502" i="2"/>
  <c r="AA1506" i="2"/>
  <c r="L1511" i="2"/>
  <c r="T1513" i="2"/>
  <c r="W1515" i="2"/>
  <c r="Z1517" i="2"/>
  <c r="H1520" i="2"/>
  <c r="K1522" i="2"/>
  <c r="N1524" i="2"/>
  <c r="P1526" i="2"/>
  <c r="S1528" i="2"/>
  <c r="V1530" i="2"/>
  <c r="X1532" i="2"/>
  <c r="AA1534" i="2"/>
  <c r="J1537" i="2"/>
  <c r="L1539" i="2"/>
  <c r="O1541" i="2"/>
  <c r="R1543" i="2"/>
  <c r="T1545" i="2"/>
  <c r="W1547" i="2"/>
  <c r="Z1549" i="2"/>
  <c r="H1552" i="2"/>
  <c r="K1554" i="2"/>
  <c r="N1556" i="2"/>
  <c r="P1558" i="2"/>
  <c r="S1560" i="2"/>
  <c r="V1562" i="2"/>
  <c r="X1564" i="2"/>
  <c r="U1566" i="2"/>
  <c r="M1568" i="2"/>
  <c r="Y1569" i="2"/>
  <c r="Q1571" i="2"/>
  <c r="I1573" i="2"/>
  <c r="U1574" i="2"/>
  <c r="M1576" i="2"/>
  <c r="Y1577" i="2"/>
  <c r="Q1579" i="2"/>
  <c r="I1581" i="2"/>
  <c r="U1582" i="2"/>
  <c r="M1584" i="2"/>
  <c r="Y1585" i="2"/>
  <c r="Q1587" i="2"/>
  <c r="I1589" i="2"/>
  <c r="U1590" i="2"/>
  <c r="M1592" i="2"/>
  <c r="W1593" i="2"/>
  <c r="S1594" i="2"/>
  <c r="O1595" i="2"/>
  <c r="K1596" i="2"/>
  <c r="AA1596" i="2"/>
  <c r="W1597" i="2"/>
  <c r="S1598" i="2"/>
  <c r="O1599" i="2"/>
  <c r="K1600" i="2"/>
  <c r="AA1600" i="2"/>
  <c r="W1601" i="2"/>
  <c r="S1602" i="2"/>
  <c r="O1603" i="2"/>
  <c r="K1604" i="2"/>
  <c r="AA1604" i="2"/>
  <c r="W1605" i="2"/>
  <c r="S1606" i="2"/>
  <c r="O1607" i="2"/>
  <c r="K1608" i="2"/>
  <c r="AA1608" i="2"/>
  <c r="W1609" i="2"/>
  <c r="S1610" i="2"/>
  <c r="O1611" i="2"/>
  <c r="K1612" i="2"/>
  <c r="AA1612" i="2"/>
  <c r="W1613" i="2"/>
  <c r="S1614" i="2"/>
  <c r="O1615" i="2"/>
  <c r="K1616" i="2"/>
  <c r="AA1616" i="2"/>
  <c r="W1617" i="2"/>
  <c r="S1618" i="2"/>
  <c r="O1619" i="2"/>
  <c r="K1620" i="2"/>
  <c r="AA1620" i="2"/>
  <c r="W1621" i="2"/>
  <c r="S1622" i="2"/>
  <c r="O1623" i="2"/>
  <c r="K1624" i="2"/>
  <c r="AA1624" i="2"/>
  <c r="W1625" i="2"/>
  <c r="S1626" i="2"/>
  <c r="O1627" i="2"/>
  <c r="K1628" i="2"/>
  <c r="AA1628" i="2"/>
  <c r="W1629" i="2"/>
  <c r="S1630" i="2"/>
  <c r="O1631" i="2"/>
  <c r="K1632" i="2"/>
  <c r="AA1632" i="2"/>
  <c r="W1633" i="2"/>
  <c r="S1634" i="2"/>
  <c r="O1635" i="2"/>
  <c r="K1636" i="2"/>
  <c r="AA1636" i="2"/>
  <c r="W1637" i="2"/>
  <c r="S1638" i="2"/>
  <c r="O1639" i="2"/>
  <c r="K1640" i="2"/>
  <c r="AA1640" i="2"/>
  <c r="W1641" i="2"/>
  <c r="S1642" i="2"/>
  <c r="O1643" i="2"/>
  <c r="K1644" i="2"/>
  <c r="AA1644" i="2"/>
  <c r="W1645" i="2"/>
  <c r="S1646" i="2"/>
  <c r="O1647" i="2"/>
  <c r="K1648" i="2"/>
  <c r="AA1648" i="2"/>
  <c r="W1649" i="2"/>
  <c r="S1650" i="2"/>
  <c r="O1651" i="2"/>
  <c r="K1652" i="2"/>
  <c r="AA1652" i="2"/>
  <c r="W1653" i="2"/>
  <c r="S1654" i="2"/>
  <c r="O1655" i="2"/>
  <c r="K1656" i="2"/>
  <c r="AA1656" i="2"/>
  <c r="W1657" i="2"/>
  <c r="S1658" i="2"/>
  <c r="O1659" i="2"/>
  <c r="K1660" i="2"/>
  <c r="AA1660" i="2"/>
  <c r="W1661" i="2"/>
  <c r="S1662" i="2"/>
  <c r="O1663" i="2"/>
  <c r="K1664" i="2"/>
  <c r="AA1664" i="2"/>
  <c r="W1665" i="2"/>
  <c r="S1666" i="2"/>
  <c r="O1667" i="2"/>
  <c r="K1668" i="2"/>
  <c r="AA1668" i="2"/>
  <c r="W1669" i="2"/>
  <c r="S1670" i="2"/>
  <c r="O1671" i="2"/>
  <c r="K1672" i="2"/>
  <c r="AA1672" i="2"/>
  <c r="W1673" i="2"/>
  <c r="S1674" i="2"/>
  <c r="O1675" i="2"/>
  <c r="K1676" i="2"/>
  <c r="AA1676" i="2"/>
  <c r="W1677" i="2"/>
  <c r="S1678" i="2"/>
  <c r="O1679" i="2"/>
  <c r="K1680" i="2"/>
  <c r="AA1680" i="2"/>
  <c r="W1681" i="2"/>
  <c r="S1682" i="2"/>
  <c r="O1683" i="2"/>
  <c r="K1684" i="2"/>
  <c r="AA1684" i="2"/>
  <c r="W1685" i="2"/>
  <c r="S1686" i="2"/>
  <c r="O1687" i="2"/>
  <c r="K1688" i="2"/>
  <c r="AA1688" i="2"/>
  <c r="W1689" i="2"/>
  <c r="S1690" i="2"/>
  <c r="O1691" i="2"/>
  <c r="K1692" i="2"/>
  <c r="AA1692" i="2"/>
  <c r="W1693" i="2"/>
  <c r="S1694" i="2"/>
  <c r="O1695" i="2"/>
  <c r="K1696" i="2"/>
  <c r="AA1696" i="2"/>
  <c r="W1697" i="2"/>
  <c r="S1698" i="2"/>
  <c r="O1699" i="2"/>
  <c r="K1700" i="2"/>
  <c r="AA1700" i="2"/>
  <c r="W1701" i="2"/>
  <c r="S1702" i="2"/>
  <c r="O1703" i="2"/>
  <c r="K1704" i="2"/>
  <c r="AA1704" i="2"/>
  <c r="W1705" i="2"/>
  <c r="S1706" i="2"/>
  <c r="O1707" i="2"/>
  <c r="K1708" i="2"/>
  <c r="AA1708" i="2"/>
  <c r="W1709" i="2"/>
  <c r="S1710" i="2"/>
  <c r="O1711" i="2"/>
  <c r="K1712" i="2"/>
  <c r="AA1712" i="2"/>
  <c r="W1713" i="2"/>
  <c r="S1714" i="2"/>
  <c r="O1715" i="2"/>
  <c r="K1716" i="2"/>
  <c r="AA1716" i="2"/>
  <c r="W1717" i="2"/>
  <c r="S1718" i="2"/>
  <c r="O1719" i="2"/>
  <c r="K1720" i="2"/>
  <c r="AA1720" i="2"/>
  <c r="W1721" i="2"/>
  <c r="S1722" i="2"/>
  <c r="O1723" i="2"/>
  <c r="K1724" i="2"/>
  <c r="AA1724" i="2"/>
  <c r="W1725" i="2"/>
  <c r="S1726" i="2"/>
  <c r="O1727" i="2"/>
  <c r="K1728" i="2"/>
  <c r="AA1728" i="2"/>
  <c r="W1729" i="2"/>
  <c r="S1730" i="2"/>
  <c r="O1731" i="2"/>
  <c r="K1732" i="2"/>
  <c r="AA1732" i="2"/>
  <c r="W1733" i="2"/>
  <c r="S1734" i="2"/>
  <c r="O1735" i="2"/>
  <c r="K1736" i="2"/>
  <c r="AA1736" i="2"/>
  <c r="W1737" i="2"/>
  <c r="S1738" i="2"/>
  <c r="O1739" i="2"/>
  <c r="K1740" i="2"/>
  <c r="AA1740" i="2"/>
  <c r="W1741" i="2"/>
  <c r="S1742" i="2"/>
  <c r="O1743" i="2"/>
  <c r="K1744" i="2"/>
  <c r="AA1744" i="2"/>
  <c r="W1745" i="2"/>
  <c r="S1746" i="2"/>
  <c r="O1747" i="2"/>
  <c r="K1748" i="2"/>
  <c r="AA1748" i="2"/>
  <c r="W1749" i="2"/>
  <c r="S1750" i="2"/>
  <c r="O1751" i="2"/>
  <c r="K1752" i="2"/>
  <c r="AA1752" i="2"/>
  <c r="W1753" i="2"/>
  <c r="S1754" i="2"/>
  <c r="O1755" i="2"/>
  <c r="K1756" i="2"/>
  <c r="AA1756" i="2"/>
  <c r="W1757" i="2"/>
  <c r="S1758" i="2"/>
  <c r="O1759" i="2"/>
  <c r="K1760" i="2"/>
  <c r="AA1760" i="2"/>
  <c r="W1761" i="2"/>
  <c r="S1762" i="2"/>
  <c r="O1763" i="2"/>
  <c r="K1764" i="2"/>
  <c r="AA1764" i="2"/>
  <c r="W1765" i="2"/>
  <c r="S1766" i="2"/>
  <c r="O1767" i="2"/>
  <c r="K1768" i="2"/>
  <c r="AA1768" i="2"/>
  <c r="W1769" i="2"/>
  <c r="S1770" i="2"/>
  <c r="O1771" i="2"/>
  <c r="K1772" i="2"/>
  <c r="AA1772" i="2"/>
  <c r="W1773" i="2"/>
  <c r="S1774" i="2"/>
  <c r="O1775" i="2"/>
  <c r="K1776" i="2"/>
  <c r="AA1776" i="2"/>
  <c r="W1777" i="2"/>
  <c r="S1778" i="2"/>
  <c r="O1779" i="2"/>
  <c r="K1780" i="2"/>
  <c r="AA1780" i="2"/>
  <c r="W1781" i="2"/>
  <c r="S1782" i="2"/>
  <c r="O1783" i="2"/>
  <c r="K1784" i="2"/>
  <c r="AA1784" i="2"/>
  <c r="W1785" i="2"/>
  <c r="S1786" i="2"/>
  <c r="O1787" i="2"/>
  <c r="K1788" i="2"/>
  <c r="AA1788" i="2"/>
  <c r="W1789" i="2"/>
  <c r="S1790" i="2"/>
  <c r="O1791" i="2"/>
  <c r="K1792" i="2"/>
  <c r="AA1792" i="2"/>
  <c r="W1793" i="2"/>
  <c r="S1794" i="2"/>
  <c r="O1795" i="2"/>
  <c r="K1796" i="2"/>
  <c r="AA1796" i="2"/>
  <c r="W1797" i="2"/>
  <c r="O1798" i="2"/>
  <c r="W1798" i="2"/>
  <c r="K1799" i="2"/>
  <c r="S1799" i="2"/>
  <c r="AA1799" i="2"/>
  <c r="O1800" i="2"/>
  <c r="W1800" i="2"/>
  <c r="K1801" i="2"/>
  <c r="S1801" i="2"/>
  <c r="AA1801" i="2"/>
  <c r="O1802" i="2"/>
  <c r="W1802" i="2"/>
  <c r="K1803" i="2"/>
  <c r="S1803" i="2"/>
  <c r="AA1803" i="2"/>
  <c r="O1804" i="2"/>
  <c r="W1804" i="2"/>
  <c r="K1805" i="2"/>
  <c r="S1805" i="2"/>
  <c r="AA1805" i="2"/>
  <c r="O1806" i="2"/>
  <c r="W1806" i="2"/>
  <c r="K1807" i="2"/>
  <c r="S1807" i="2"/>
  <c r="AA1807" i="2"/>
  <c r="O1808" i="2"/>
  <c r="W1808" i="2"/>
  <c r="K1809" i="2"/>
  <c r="S1809" i="2"/>
  <c r="AA1809" i="2"/>
  <c r="O1810" i="2"/>
  <c r="W1810" i="2"/>
  <c r="K1811" i="2"/>
  <c r="S1811" i="2"/>
  <c r="AA1811" i="2"/>
  <c r="O1812" i="2"/>
  <c r="W1812" i="2"/>
  <c r="K1813" i="2"/>
  <c r="S1813" i="2"/>
  <c r="AA1813" i="2"/>
  <c r="O1814" i="2"/>
  <c r="W1814" i="2"/>
  <c r="K1815" i="2"/>
  <c r="S1815" i="2"/>
  <c r="AA1815" i="2"/>
  <c r="O1816" i="2"/>
  <c r="W1816" i="2"/>
  <c r="K1817" i="2"/>
  <c r="S1817" i="2"/>
  <c r="AA1817" i="2"/>
  <c r="O1818" i="2"/>
  <c r="W1818" i="2"/>
  <c r="K1819" i="2"/>
  <c r="S1819" i="2"/>
  <c r="AA1819" i="2"/>
  <c r="O1820" i="2"/>
  <c r="W1820" i="2"/>
  <c r="K1821" i="2"/>
  <c r="S1821" i="2"/>
  <c r="AA1821" i="2"/>
  <c r="O1822" i="2"/>
  <c r="W1822" i="2"/>
  <c r="K1823" i="2"/>
  <c r="S1823" i="2"/>
  <c r="AA1823" i="2"/>
  <c r="O1824" i="2"/>
  <c r="W1824" i="2"/>
  <c r="K1825" i="2"/>
  <c r="S1825" i="2"/>
  <c r="AA1825" i="2"/>
  <c r="O1826" i="2"/>
  <c r="W1826" i="2"/>
  <c r="K1827" i="2"/>
  <c r="S1827" i="2"/>
  <c r="AA1827" i="2"/>
  <c r="O1828" i="2"/>
  <c r="W1828" i="2"/>
  <c r="K1829" i="2"/>
  <c r="S1829" i="2"/>
  <c r="AA1829" i="2"/>
  <c r="O1830" i="2"/>
  <c r="W1830" i="2"/>
  <c r="K1831" i="2"/>
  <c r="S1831" i="2"/>
  <c r="AA1831" i="2"/>
  <c r="O1832" i="2"/>
  <c r="W1832" i="2"/>
  <c r="K1833" i="2"/>
  <c r="S1833" i="2"/>
  <c r="AA1833" i="2"/>
  <c r="O1834" i="2"/>
  <c r="W1834" i="2"/>
  <c r="K1835" i="2"/>
  <c r="S1835" i="2"/>
  <c r="AA1835" i="2"/>
  <c r="O1836" i="2"/>
  <c r="W1836" i="2"/>
  <c r="K1837" i="2"/>
  <c r="S1837" i="2"/>
  <c r="AA1837" i="2"/>
  <c r="O1838" i="2"/>
  <c r="W1838" i="2"/>
  <c r="K1839" i="2"/>
  <c r="S1839" i="2"/>
  <c r="AA1839" i="2"/>
  <c r="O1840" i="2"/>
  <c r="W1840" i="2"/>
  <c r="K1841" i="2"/>
  <c r="S1841" i="2"/>
  <c r="AA1841" i="2"/>
  <c r="O1842" i="2"/>
  <c r="W1842" i="2"/>
  <c r="K1843" i="2"/>
  <c r="S1843" i="2"/>
  <c r="AA1843" i="2"/>
  <c r="O1844" i="2"/>
  <c r="W1844" i="2"/>
  <c r="K1845" i="2"/>
  <c r="S1845" i="2"/>
  <c r="AA1845" i="2"/>
  <c r="O1846" i="2"/>
  <c r="W1846" i="2"/>
  <c r="K1847" i="2"/>
  <c r="S1847" i="2"/>
  <c r="AA1847" i="2"/>
  <c r="O1848" i="2"/>
  <c r="W1848" i="2"/>
  <c r="K1849" i="2"/>
  <c r="S1849" i="2"/>
  <c r="AA1849" i="2"/>
  <c r="O1850" i="2"/>
  <c r="W1850" i="2"/>
  <c r="K1851" i="2"/>
  <c r="S1851" i="2"/>
  <c r="AA1851" i="2"/>
  <c r="O1852" i="2"/>
  <c r="W1852" i="2"/>
  <c r="K1853" i="2"/>
  <c r="S1853" i="2"/>
  <c r="AA1853" i="2"/>
  <c r="O1854" i="2"/>
  <c r="W1854" i="2"/>
  <c r="K1855" i="2"/>
  <c r="S1855" i="2"/>
  <c r="AA1855" i="2"/>
  <c r="O1856" i="2"/>
  <c r="W1856" i="2"/>
  <c r="K1857" i="2"/>
  <c r="S1857" i="2"/>
  <c r="AA1857" i="2"/>
  <c r="O1858" i="2"/>
  <c r="W1858" i="2"/>
  <c r="K1859" i="2"/>
  <c r="S1859" i="2"/>
  <c r="AA1859" i="2"/>
  <c r="O1860" i="2"/>
  <c r="W1860" i="2"/>
  <c r="K1861" i="2"/>
  <c r="S1861" i="2"/>
  <c r="AA1861" i="2"/>
  <c r="O1862" i="2"/>
  <c r="W1862" i="2"/>
  <c r="K1863" i="2"/>
  <c r="S1863" i="2"/>
  <c r="AA1863" i="2"/>
  <c r="O1864" i="2"/>
  <c r="W1864" i="2"/>
  <c r="K1865" i="2"/>
  <c r="S1865" i="2"/>
  <c r="AA1865" i="2"/>
  <c r="O1866" i="2"/>
  <c r="W1866" i="2"/>
  <c r="K1867" i="2"/>
  <c r="S1867" i="2"/>
  <c r="AA1867" i="2"/>
  <c r="O1868" i="2"/>
  <c r="W1868" i="2"/>
  <c r="K1869" i="2"/>
  <c r="S1869" i="2"/>
  <c r="AA1869" i="2"/>
  <c r="O1870" i="2"/>
  <c r="W1870" i="2"/>
  <c r="K1871" i="2"/>
  <c r="S1871" i="2"/>
  <c r="AA1871" i="2"/>
  <c r="O1872" i="2"/>
  <c r="W1872" i="2"/>
  <c r="K1873" i="2"/>
  <c r="S1873" i="2"/>
  <c r="AA1873" i="2"/>
  <c r="O1874" i="2"/>
  <c r="W1874" i="2"/>
  <c r="K1875" i="2"/>
  <c r="S1875" i="2"/>
  <c r="AA1875" i="2"/>
  <c r="O1876" i="2"/>
  <c r="W1876" i="2"/>
  <c r="K1877" i="2"/>
  <c r="S1877" i="2"/>
  <c r="AA1877" i="2"/>
  <c r="O1878" i="2"/>
  <c r="W1878" i="2"/>
  <c r="K1879" i="2"/>
  <c r="S1879" i="2"/>
  <c r="AA1879" i="2"/>
  <c r="O1880" i="2"/>
  <c r="W1880" i="2"/>
  <c r="K1881" i="2"/>
  <c r="S1881" i="2"/>
  <c r="AA1881" i="2"/>
  <c r="O1882" i="2"/>
  <c r="W1882" i="2"/>
  <c r="K1883" i="2"/>
  <c r="S1883" i="2"/>
  <c r="AA1883" i="2"/>
  <c r="O1884" i="2"/>
  <c r="W1884" i="2"/>
  <c r="K1885" i="2"/>
  <c r="S1885" i="2"/>
  <c r="AA1885" i="2"/>
  <c r="O1886" i="2"/>
  <c r="W1886" i="2"/>
  <c r="K1887" i="2"/>
  <c r="S1887" i="2"/>
  <c r="AA1887" i="2"/>
  <c r="O1888" i="2"/>
  <c r="W1888" i="2"/>
  <c r="K1889" i="2"/>
  <c r="S1889" i="2"/>
  <c r="AA1889" i="2"/>
  <c r="O1890" i="2"/>
  <c r="W1890" i="2"/>
  <c r="K1891" i="2"/>
  <c r="S1891" i="2"/>
  <c r="AA1891" i="2"/>
  <c r="O1892" i="2"/>
  <c r="W1892" i="2"/>
  <c r="K1893" i="2"/>
  <c r="S1893" i="2"/>
  <c r="AA1893" i="2"/>
  <c r="O1894" i="2"/>
  <c r="W1894" i="2"/>
  <c r="K1895" i="2"/>
  <c r="S1895" i="2"/>
  <c r="AA1895" i="2"/>
  <c r="O1896" i="2"/>
  <c r="W1896" i="2"/>
  <c r="K1897" i="2"/>
  <c r="S1897" i="2"/>
  <c r="AA1897" i="2"/>
  <c r="O1898" i="2"/>
  <c r="W1898" i="2"/>
  <c r="K1899" i="2"/>
  <c r="S1899" i="2"/>
  <c r="AA1899" i="2"/>
  <c r="O1900" i="2"/>
  <c r="W1900" i="2"/>
  <c r="K1901" i="2"/>
  <c r="S1901" i="2"/>
  <c r="AA1901" i="2"/>
  <c r="O1902" i="2"/>
  <c r="W1902" i="2"/>
  <c r="K1903" i="2"/>
  <c r="S1903" i="2"/>
  <c r="AA1903" i="2"/>
  <c r="O1904" i="2"/>
  <c r="W1904" i="2"/>
  <c r="K1905" i="2"/>
  <c r="S1905" i="2"/>
  <c r="AA1905" i="2"/>
  <c r="O1906" i="2"/>
  <c r="W1906" i="2"/>
  <c r="K1907" i="2"/>
  <c r="S1907" i="2"/>
  <c r="AA1907" i="2"/>
  <c r="O1908" i="2"/>
  <c r="W1908" i="2"/>
  <c r="K1909" i="2"/>
  <c r="S1909" i="2"/>
  <c r="AA1909" i="2"/>
  <c r="O1910" i="2"/>
  <c r="W1910" i="2"/>
  <c r="K1911" i="2"/>
  <c r="S1911" i="2"/>
  <c r="AA1911" i="2"/>
  <c r="O1912" i="2"/>
  <c r="W1912" i="2"/>
  <c r="K1913" i="2"/>
  <c r="S1913" i="2"/>
  <c r="AA1913" i="2"/>
  <c r="O1914" i="2"/>
  <c r="W1914" i="2"/>
  <c r="K1915" i="2"/>
  <c r="S1915" i="2"/>
  <c r="AA1915" i="2"/>
  <c r="O1916" i="2"/>
  <c r="W1916" i="2"/>
  <c r="K1917" i="2"/>
  <c r="S1917" i="2"/>
  <c r="AA1917" i="2"/>
  <c r="O1918" i="2"/>
  <c r="W1918" i="2"/>
  <c r="K1919" i="2"/>
  <c r="S1919" i="2"/>
  <c r="AA1919" i="2"/>
  <c r="O1920" i="2"/>
  <c r="W1920" i="2"/>
  <c r="K1921" i="2"/>
  <c r="S1921" i="2"/>
  <c r="AA1921" i="2"/>
  <c r="O1922" i="2"/>
  <c r="W1922" i="2"/>
  <c r="K1923" i="2"/>
  <c r="S1923" i="2"/>
  <c r="AA1923" i="2"/>
  <c r="O1924" i="2"/>
  <c r="W1924" i="2"/>
  <c r="K1925" i="2"/>
  <c r="S1925" i="2"/>
  <c r="AA1925" i="2"/>
  <c r="O1926" i="2"/>
  <c r="W1926" i="2"/>
  <c r="K1927" i="2"/>
  <c r="S1927" i="2"/>
  <c r="AA1927" i="2"/>
  <c r="O1928" i="2"/>
  <c r="W1928" i="2"/>
  <c r="K1929" i="2"/>
  <c r="S1929" i="2"/>
  <c r="AA1929" i="2"/>
  <c r="O1930" i="2"/>
  <c r="W1930" i="2"/>
  <c r="K1931" i="2"/>
  <c r="S1931" i="2"/>
  <c r="AA1931" i="2"/>
  <c r="O1932" i="2"/>
  <c r="W1932" i="2"/>
  <c r="K1933" i="2"/>
  <c r="S1933" i="2"/>
  <c r="AA1933" i="2"/>
  <c r="O1934" i="2"/>
  <c r="W1934" i="2"/>
  <c r="K1935" i="2"/>
  <c r="S1935" i="2"/>
  <c r="AA1935" i="2"/>
  <c r="O1936" i="2"/>
  <c r="W1936" i="2"/>
  <c r="K1937" i="2"/>
  <c r="S1937" i="2"/>
  <c r="AA1937" i="2"/>
  <c r="O1938" i="2"/>
  <c r="W1938" i="2"/>
  <c r="K1939" i="2"/>
  <c r="S1939" i="2"/>
  <c r="AA1939" i="2"/>
  <c r="O1940" i="2"/>
  <c r="W1940" i="2"/>
  <c r="K1941" i="2"/>
  <c r="S1941" i="2"/>
  <c r="AA1941" i="2"/>
  <c r="O1942" i="2"/>
  <c r="W1942" i="2"/>
  <c r="K1943" i="2"/>
  <c r="S1943" i="2"/>
  <c r="AA1943" i="2"/>
  <c r="O1944" i="2"/>
  <c r="W1944" i="2"/>
  <c r="K1945" i="2"/>
  <c r="S1945" i="2"/>
  <c r="AA1945" i="2"/>
  <c r="O1946" i="2"/>
  <c r="W1946" i="2"/>
  <c r="K1947" i="2"/>
  <c r="S1947" i="2"/>
  <c r="AA1947" i="2"/>
  <c r="O1948" i="2"/>
  <c r="W1948" i="2"/>
  <c r="K1949" i="2"/>
  <c r="S1949" i="2"/>
  <c r="AA1949" i="2"/>
  <c r="O1950" i="2"/>
  <c r="W1950" i="2"/>
  <c r="K1951" i="2"/>
  <c r="S1951" i="2"/>
  <c r="AA1951" i="2"/>
  <c r="O1952" i="2"/>
  <c r="W1952" i="2"/>
  <c r="K1953" i="2"/>
  <c r="S1953" i="2"/>
  <c r="AA1953" i="2"/>
  <c r="O1954" i="2"/>
  <c r="W1954" i="2"/>
  <c r="K1955" i="2"/>
  <c r="S1955" i="2"/>
  <c r="AA1955" i="2"/>
  <c r="O1956" i="2"/>
  <c r="W1956" i="2"/>
  <c r="K1957" i="2"/>
  <c r="S1957" i="2"/>
  <c r="AA1957" i="2"/>
  <c r="O1958" i="2"/>
  <c r="W1958" i="2"/>
  <c r="K1959" i="2"/>
  <c r="S1959" i="2"/>
  <c r="AA1959" i="2"/>
  <c r="O1960" i="2"/>
  <c r="W1960" i="2"/>
  <c r="K1961" i="2"/>
  <c r="S1961" i="2"/>
  <c r="AA1961" i="2"/>
  <c r="O1962" i="2"/>
  <c r="W1962" i="2"/>
  <c r="K1963" i="2"/>
  <c r="S1963" i="2"/>
  <c r="AA1963" i="2"/>
  <c r="O1964" i="2"/>
  <c r="W1964" i="2"/>
  <c r="K1965" i="2"/>
  <c r="S1965" i="2"/>
  <c r="AA1965" i="2"/>
  <c r="O1966" i="2"/>
  <c r="W1966" i="2"/>
  <c r="K1967" i="2"/>
  <c r="S1967" i="2"/>
  <c r="AA1967" i="2"/>
  <c r="O1968" i="2"/>
  <c r="W1968" i="2"/>
  <c r="K1969" i="2"/>
  <c r="S1969" i="2"/>
  <c r="AA1969" i="2"/>
  <c r="O1970" i="2"/>
  <c r="W1970" i="2"/>
  <c r="K1971" i="2"/>
  <c r="S1971" i="2"/>
  <c r="AA1971" i="2"/>
  <c r="O1972" i="2"/>
  <c r="W1972" i="2"/>
  <c r="K1973" i="2"/>
  <c r="S1973" i="2"/>
  <c r="AA1973" i="2"/>
  <c r="O1974" i="2"/>
  <c r="W1974" i="2"/>
  <c r="K1975" i="2"/>
  <c r="S1975" i="2"/>
  <c r="AA1975" i="2"/>
  <c r="O1976" i="2"/>
  <c r="W1976" i="2"/>
  <c r="K1977" i="2"/>
  <c r="S1977" i="2"/>
  <c r="AA1977" i="2"/>
  <c r="O1978" i="2"/>
  <c r="W1978" i="2"/>
  <c r="K1979" i="2"/>
  <c r="S1979" i="2"/>
  <c r="AA1979" i="2"/>
  <c r="O1980" i="2"/>
  <c r="W1980" i="2"/>
  <c r="K1981" i="2"/>
  <c r="S1981" i="2"/>
  <c r="AA1981" i="2"/>
  <c r="O1982" i="2"/>
  <c r="W1982" i="2"/>
  <c r="K1983" i="2"/>
  <c r="S1983" i="2"/>
  <c r="AA1983" i="2"/>
  <c r="O1984" i="2"/>
  <c r="W1984" i="2"/>
  <c r="K1985" i="2"/>
  <c r="S1985" i="2"/>
  <c r="AA1985" i="2"/>
  <c r="O1986" i="2"/>
  <c r="W1986" i="2"/>
  <c r="K1987" i="2"/>
  <c r="S1987" i="2"/>
  <c r="AA1987" i="2"/>
  <c r="O1988" i="2"/>
  <c r="W1988" i="2"/>
  <c r="K1989" i="2"/>
  <c r="S1989" i="2"/>
  <c r="AA1989" i="2"/>
  <c r="O1990" i="2"/>
  <c r="W1990" i="2"/>
  <c r="K1991" i="2"/>
  <c r="S1991" i="2"/>
  <c r="AA1991" i="2"/>
  <c r="O1992" i="2"/>
  <c r="W1992" i="2"/>
  <c r="K1993" i="2"/>
  <c r="S1993" i="2"/>
  <c r="AA1993" i="2"/>
  <c r="O1994" i="2"/>
  <c r="W1994" i="2"/>
  <c r="K1995" i="2"/>
  <c r="S1995" i="2"/>
  <c r="AA1995" i="2"/>
  <c r="O1996" i="2"/>
  <c r="W1996" i="2"/>
  <c r="K1997" i="2"/>
  <c r="S1997" i="2"/>
  <c r="AA1997" i="2"/>
  <c r="O1998" i="2"/>
  <c r="W1998" i="2"/>
  <c r="K1999" i="2"/>
  <c r="S1999" i="2"/>
  <c r="AA1999" i="2"/>
  <c r="O2000" i="2"/>
  <c r="W2000" i="2"/>
  <c r="K2001" i="2"/>
  <c r="S2001" i="2"/>
  <c r="AA2001" i="2"/>
  <c r="O2002" i="2"/>
  <c r="W2002" i="2"/>
  <c r="K2003" i="2"/>
  <c r="S2003" i="2"/>
  <c r="AA2003" i="2"/>
  <c r="O2004" i="2"/>
  <c r="W2004" i="2"/>
  <c r="K2005" i="2"/>
  <c r="S2005" i="2"/>
  <c r="AA2005" i="2"/>
  <c r="O2006" i="2"/>
  <c r="W2006" i="2"/>
  <c r="K2007" i="2"/>
  <c r="S2007" i="2"/>
  <c r="AA2007" i="2"/>
  <c r="O2008" i="2"/>
  <c r="W2008" i="2"/>
  <c r="K2009" i="2"/>
  <c r="S2009" i="2"/>
  <c r="AA2009" i="2"/>
  <c r="O2010" i="2"/>
  <c r="W2010" i="2"/>
  <c r="K2011" i="2"/>
  <c r="S2011" i="2"/>
  <c r="AA2011" i="2"/>
  <c r="O2012" i="2"/>
  <c r="W2012" i="2"/>
  <c r="K2013" i="2"/>
  <c r="S2013" i="2"/>
  <c r="AA2013" i="2"/>
  <c r="O2014" i="2"/>
  <c r="W2014" i="2"/>
  <c r="K2015" i="2"/>
  <c r="S2015" i="2"/>
  <c r="AA2015" i="2"/>
  <c r="O2016" i="2"/>
  <c r="W2016" i="2"/>
  <c r="K2017" i="2"/>
  <c r="S2017" i="2"/>
  <c r="AA2017" i="2"/>
  <c r="O2018" i="2"/>
  <c r="W2018" i="2"/>
  <c r="K2019" i="2"/>
  <c r="S2019" i="2"/>
  <c r="AA2019" i="2"/>
  <c r="O2020" i="2"/>
  <c r="W2020" i="2"/>
  <c r="K2021" i="2"/>
  <c r="S2021" i="2"/>
  <c r="AA2021" i="2"/>
  <c r="O2022" i="2"/>
  <c r="W2022" i="2"/>
  <c r="K2023" i="2"/>
  <c r="S2023" i="2"/>
  <c r="AA2023" i="2"/>
  <c r="O2024" i="2"/>
  <c r="W2024" i="2"/>
  <c r="K2025" i="2"/>
  <c r="S2025" i="2"/>
  <c r="AA2025" i="2"/>
  <c r="O2026" i="2"/>
  <c r="W2026" i="2"/>
  <c r="K2027" i="2"/>
  <c r="S2027" i="2"/>
  <c r="AA2027" i="2"/>
  <c r="O2028" i="2"/>
  <c r="W2028" i="2"/>
  <c r="K2029" i="2"/>
  <c r="S2029" i="2"/>
  <c r="AA2029" i="2"/>
  <c r="O2030" i="2"/>
  <c r="W2030" i="2"/>
  <c r="K2031" i="2"/>
  <c r="S2031" i="2"/>
  <c r="AA2031" i="2"/>
  <c r="O2032" i="2"/>
  <c r="W2032" i="2"/>
  <c r="K2033" i="2"/>
  <c r="S2033" i="2"/>
  <c r="AA2033" i="2"/>
  <c r="O2034" i="2"/>
  <c r="W2034" i="2"/>
  <c r="K2035" i="2"/>
  <c r="S2035" i="2"/>
  <c r="AA2035" i="2"/>
  <c r="O2036" i="2"/>
  <c r="W2036" i="2"/>
  <c r="K2037" i="2"/>
  <c r="S2037" i="2"/>
  <c r="AA2037" i="2"/>
  <c r="O2038" i="2"/>
  <c r="W2038" i="2"/>
  <c r="K2039" i="2"/>
  <c r="S2039" i="2"/>
  <c r="AA2039" i="2"/>
  <c r="O2040" i="2"/>
  <c r="W2040" i="2"/>
  <c r="K2041" i="2"/>
  <c r="S2041" i="2"/>
  <c r="AA2041" i="2"/>
  <c r="O2042" i="2"/>
  <c r="W2042" i="2"/>
  <c r="K2043" i="2"/>
  <c r="S2043" i="2"/>
  <c r="AA2043" i="2"/>
  <c r="O2044" i="2"/>
  <c r="W2044" i="2"/>
  <c r="K2045" i="2"/>
  <c r="S2045" i="2"/>
  <c r="AA2045" i="2"/>
  <c r="O2046" i="2"/>
  <c r="W2046" i="2"/>
  <c r="K2047" i="2"/>
  <c r="S2047" i="2"/>
  <c r="AA2047" i="2"/>
  <c r="O2048" i="2"/>
  <c r="W2048" i="2"/>
  <c r="K2049" i="2"/>
  <c r="S2049" i="2"/>
  <c r="AA2049" i="2"/>
  <c r="O2050" i="2"/>
  <c r="W2050" i="2"/>
  <c r="K2051" i="2"/>
  <c r="S2051" i="2"/>
  <c r="AA2051" i="2"/>
  <c r="O2052" i="2"/>
  <c r="W2052" i="2"/>
  <c r="K2053" i="2"/>
  <c r="S2053" i="2"/>
  <c r="AA2053" i="2"/>
  <c r="O2054" i="2"/>
  <c r="W2054" i="2"/>
  <c r="K2055" i="2"/>
  <c r="S2055" i="2"/>
  <c r="AA2055" i="2"/>
  <c r="O2056" i="2"/>
  <c r="W2056" i="2"/>
  <c r="K2057" i="2"/>
  <c r="S2057" i="2"/>
  <c r="AA2057" i="2"/>
  <c r="O2058" i="2"/>
  <c r="W2058" i="2"/>
  <c r="K2059" i="2"/>
  <c r="S2059" i="2"/>
  <c r="AA2059" i="2"/>
  <c r="O2060" i="2"/>
  <c r="W2060" i="2"/>
  <c r="K2061" i="2"/>
  <c r="S2061" i="2"/>
  <c r="AA2061" i="2"/>
  <c r="O2062" i="2"/>
  <c r="W2062" i="2"/>
  <c r="K2063" i="2"/>
  <c r="S2063" i="2"/>
  <c r="AA2063" i="2"/>
  <c r="O2064" i="2"/>
  <c r="W2064" i="2"/>
  <c r="K2065" i="2"/>
  <c r="S2065" i="2"/>
  <c r="AA2065" i="2"/>
  <c r="O2066" i="2"/>
  <c r="W2066" i="2"/>
  <c r="K2067" i="2"/>
  <c r="S2067" i="2"/>
  <c r="AA2067" i="2"/>
  <c r="O2068" i="2"/>
  <c r="W2068" i="2"/>
  <c r="K2069" i="2"/>
  <c r="S2069" i="2"/>
  <c r="AA2069" i="2"/>
  <c r="O2070" i="2"/>
  <c r="W2070" i="2"/>
  <c r="K2071" i="2"/>
  <c r="S2071" i="2"/>
  <c r="AA2071" i="2"/>
  <c r="O2072" i="2"/>
  <c r="W2072" i="2"/>
  <c r="K2073" i="2"/>
  <c r="S2073" i="2"/>
  <c r="AA2073" i="2"/>
  <c r="O2074" i="2"/>
  <c r="W2074" i="2"/>
  <c r="K2075" i="2"/>
  <c r="S2075" i="2"/>
  <c r="AA2075" i="2"/>
  <c r="O2076" i="2"/>
  <c r="W2076" i="2"/>
  <c r="K2077" i="2"/>
  <c r="S2077" i="2"/>
  <c r="AA2077" i="2"/>
  <c r="O2078" i="2"/>
  <c r="W2078" i="2"/>
  <c r="K2079" i="2"/>
  <c r="S2079" i="2"/>
  <c r="AA2079" i="2"/>
  <c r="O2080" i="2"/>
  <c r="W2080" i="2"/>
  <c r="K2081" i="2"/>
  <c r="S2081" i="2"/>
  <c r="AA2081" i="2"/>
  <c r="O2082" i="2"/>
  <c r="W2082" i="2"/>
  <c r="K2083" i="2"/>
  <c r="S2083" i="2"/>
  <c r="AA2083" i="2"/>
  <c r="O2084" i="2"/>
  <c r="W2084" i="2"/>
  <c r="K2085" i="2"/>
  <c r="S2085" i="2"/>
  <c r="AA2085" i="2"/>
  <c r="O2086" i="2"/>
  <c r="W2086" i="2"/>
  <c r="K2087" i="2"/>
  <c r="S2087" i="2"/>
  <c r="AA2087" i="2"/>
  <c r="O2088" i="2"/>
  <c r="W2088" i="2"/>
  <c r="K2089" i="2"/>
  <c r="S2089" i="2"/>
  <c r="AA2089" i="2"/>
  <c r="O2090" i="2"/>
  <c r="W2090" i="2"/>
  <c r="K2091" i="2"/>
  <c r="S2091" i="2"/>
  <c r="AA2091" i="2"/>
  <c r="O2092" i="2"/>
  <c r="W2092" i="2"/>
  <c r="K2093" i="2"/>
  <c r="S2093" i="2"/>
  <c r="AA2093" i="2"/>
  <c r="O2094" i="2"/>
  <c r="W2094" i="2"/>
  <c r="K2095" i="2"/>
  <c r="S2095" i="2"/>
  <c r="AA2095" i="2"/>
  <c r="O2096" i="2"/>
  <c r="W2096" i="2"/>
  <c r="K2097" i="2"/>
  <c r="S2097" i="2"/>
  <c r="AA2097" i="2"/>
  <c r="O2098" i="2"/>
  <c r="W2098" i="2"/>
  <c r="K2099" i="2"/>
  <c r="S2099" i="2"/>
  <c r="AA2099" i="2"/>
  <c r="O2100" i="2"/>
  <c r="W2100" i="2"/>
  <c r="K2101" i="2"/>
  <c r="S2101" i="2"/>
  <c r="AA2101" i="2"/>
  <c r="O2102" i="2"/>
  <c r="W2102" i="2"/>
  <c r="K2103" i="2"/>
  <c r="S2103" i="2"/>
  <c r="AA2103" i="2"/>
  <c r="O2104" i="2"/>
  <c r="W2104" i="2"/>
  <c r="K2105" i="2"/>
  <c r="S2105" i="2"/>
  <c r="AA2105" i="2"/>
  <c r="O2106" i="2"/>
  <c r="W2106" i="2"/>
  <c r="K2107" i="2"/>
  <c r="S2107" i="2"/>
  <c r="AA2107" i="2"/>
  <c r="O2108" i="2"/>
  <c r="W2108" i="2"/>
  <c r="K2109" i="2"/>
  <c r="S2109" i="2"/>
  <c r="AA2109" i="2"/>
  <c r="O2110" i="2"/>
  <c r="W2110" i="2"/>
  <c r="K2111" i="2"/>
  <c r="S2111" i="2"/>
  <c r="AA2111" i="2"/>
  <c r="O2112" i="2"/>
  <c r="W2112" i="2"/>
  <c r="K2113" i="2"/>
  <c r="S2113" i="2"/>
  <c r="AA2113" i="2"/>
  <c r="O2114" i="2"/>
  <c r="W2114" i="2"/>
  <c r="K2115" i="2"/>
  <c r="S2115" i="2"/>
  <c r="AA2115" i="2"/>
  <c r="O2116" i="2"/>
  <c r="W2116" i="2"/>
  <c r="K2117" i="2"/>
  <c r="S2117" i="2"/>
  <c r="AA2117" i="2"/>
  <c r="O2118" i="2"/>
  <c r="W2118" i="2"/>
  <c r="K2119" i="2"/>
  <c r="S2119" i="2"/>
  <c r="AA2119" i="2"/>
  <c r="O2120" i="2"/>
  <c r="W2120" i="2"/>
  <c r="K2121" i="2"/>
  <c r="S2121" i="2"/>
  <c r="AA2121" i="2"/>
  <c r="O2122" i="2"/>
  <c r="W2122" i="2"/>
  <c r="K2123" i="2"/>
  <c r="S2123" i="2"/>
  <c r="AA2123" i="2"/>
  <c r="O2124" i="2"/>
  <c r="W2124" i="2"/>
  <c r="K2125" i="2"/>
  <c r="S2125" i="2"/>
  <c r="AA2125" i="2"/>
  <c r="O2126" i="2"/>
  <c r="W2126" i="2"/>
  <c r="K2127" i="2"/>
  <c r="S2127" i="2"/>
  <c r="AA2127" i="2"/>
  <c r="O2128" i="2"/>
  <c r="W2128" i="2"/>
  <c r="K2129" i="2"/>
  <c r="S2129" i="2"/>
  <c r="AA2129" i="2"/>
  <c r="O2130" i="2"/>
  <c r="W2130" i="2"/>
  <c r="K2131" i="2"/>
  <c r="S2131" i="2"/>
  <c r="AA2131" i="2"/>
  <c r="O2132" i="2"/>
  <c r="W2132" i="2"/>
  <c r="K2133" i="2"/>
  <c r="S2133" i="2"/>
  <c r="AA2133" i="2"/>
  <c r="O2134" i="2"/>
  <c r="W2134" i="2"/>
  <c r="K2135" i="2"/>
  <c r="S2135" i="2"/>
  <c r="AA2135" i="2"/>
  <c r="O2136" i="2"/>
  <c r="W2136" i="2"/>
  <c r="K2137" i="2"/>
  <c r="S2137" i="2"/>
  <c r="AA2137" i="2"/>
  <c r="O2138" i="2"/>
  <c r="W2138" i="2"/>
  <c r="K2139" i="2"/>
  <c r="S2139" i="2"/>
  <c r="AA2139" i="2"/>
  <c r="O2140" i="2"/>
  <c r="W2140" i="2"/>
  <c r="K2141" i="2"/>
  <c r="S2141" i="2"/>
  <c r="AA2141" i="2"/>
  <c r="O2142" i="2"/>
  <c r="W2142" i="2"/>
  <c r="K2143" i="2"/>
  <c r="S2143" i="2"/>
  <c r="AA2143" i="2"/>
  <c r="O2144" i="2"/>
  <c r="W2144" i="2"/>
  <c r="K2145" i="2"/>
  <c r="S2145" i="2"/>
  <c r="AA2145" i="2"/>
  <c r="O2146" i="2"/>
  <c r="W2146" i="2"/>
  <c r="K2147" i="2"/>
  <c r="S2147" i="2"/>
  <c r="AA2147" i="2"/>
  <c r="O2148" i="2"/>
  <c r="W2148" i="2"/>
  <c r="K2149" i="2"/>
  <c r="S2149" i="2"/>
  <c r="AA2149" i="2"/>
  <c r="O2150" i="2"/>
  <c r="W2150" i="2"/>
  <c r="K2151" i="2"/>
  <c r="S2151" i="2"/>
  <c r="AA2151" i="2"/>
  <c r="O2152" i="2"/>
  <c r="W2152" i="2"/>
  <c r="K2153" i="2"/>
  <c r="S2153" i="2"/>
  <c r="AA2153" i="2"/>
  <c r="O2154" i="2"/>
  <c r="W2154" i="2"/>
  <c r="K2155" i="2"/>
  <c r="S2155" i="2"/>
  <c r="AA2155" i="2"/>
  <c r="O2156" i="2"/>
  <c r="W2156" i="2"/>
  <c r="K2157" i="2"/>
  <c r="S2157" i="2"/>
  <c r="AA2157" i="2"/>
  <c r="O2158" i="2"/>
  <c r="W2158" i="2"/>
  <c r="K2159" i="2"/>
  <c r="S2159" i="2"/>
  <c r="AA2159" i="2"/>
  <c r="O2160" i="2"/>
  <c r="W2160" i="2"/>
  <c r="K2161" i="2"/>
  <c r="S2161" i="2"/>
  <c r="AA2161" i="2"/>
  <c r="O2162" i="2"/>
  <c r="W2162" i="2"/>
  <c r="K2163" i="2"/>
  <c r="S2163" i="2"/>
  <c r="AA2163" i="2"/>
  <c r="O2164" i="2"/>
  <c r="W2164" i="2"/>
  <c r="K2165" i="2"/>
  <c r="S2165" i="2"/>
  <c r="AA2165" i="2"/>
  <c r="O2166" i="2"/>
  <c r="W2166" i="2"/>
  <c r="K2167" i="2"/>
  <c r="S2167" i="2"/>
  <c r="AA2167" i="2"/>
  <c r="O2168" i="2"/>
  <c r="W2168" i="2"/>
  <c r="K2169" i="2"/>
  <c r="S2169" i="2"/>
  <c r="AA2169" i="2"/>
  <c r="O2170" i="2"/>
  <c r="W2170" i="2"/>
  <c r="K2171" i="2"/>
  <c r="S2171" i="2"/>
  <c r="AA2171" i="2"/>
  <c r="O2172" i="2"/>
  <c r="W2172" i="2"/>
  <c r="K2173" i="2"/>
  <c r="S2173" i="2"/>
  <c r="AA2173" i="2"/>
  <c r="O2174" i="2"/>
  <c r="W2174" i="2"/>
  <c r="K2175" i="2"/>
  <c r="S2175" i="2"/>
  <c r="AA2175" i="2"/>
  <c r="O2176" i="2"/>
  <c r="W2176" i="2"/>
  <c r="K2177" i="2"/>
  <c r="S2177" i="2"/>
  <c r="AA2177" i="2"/>
  <c r="O2178" i="2"/>
  <c r="W2178" i="2"/>
  <c r="K2179" i="2"/>
  <c r="S2179" i="2"/>
  <c r="AA2179" i="2"/>
  <c r="O2180" i="2"/>
  <c r="W2180" i="2"/>
  <c r="K2181" i="2"/>
  <c r="S2181" i="2"/>
  <c r="AA2181" i="2"/>
  <c r="O2182" i="2"/>
  <c r="W2182" i="2"/>
  <c r="K2183" i="2"/>
  <c r="S2183" i="2"/>
  <c r="AA2183" i="2"/>
  <c r="O2184" i="2"/>
  <c r="W2184" i="2"/>
  <c r="K2185" i="2"/>
  <c r="S2185" i="2"/>
  <c r="AA2185" i="2"/>
  <c r="O2186" i="2"/>
  <c r="W2186" i="2"/>
  <c r="K2187" i="2"/>
  <c r="S2187" i="2"/>
  <c r="AA2187" i="2"/>
  <c r="O2188" i="2"/>
  <c r="W2188" i="2"/>
  <c r="K2189" i="2"/>
  <c r="S2189" i="2"/>
  <c r="AA2189" i="2"/>
  <c r="O2190" i="2"/>
  <c r="W2190" i="2"/>
  <c r="K2191" i="2"/>
  <c r="S2191" i="2"/>
  <c r="AA2191" i="2"/>
  <c r="O2192" i="2"/>
  <c r="W2192" i="2"/>
  <c r="K2193" i="2"/>
  <c r="S2193" i="2"/>
  <c r="AA2193" i="2"/>
  <c r="O2194" i="2"/>
  <c r="W2194" i="2"/>
  <c r="K2195" i="2"/>
  <c r="S2195" i="2"/>
  <c r="AA2195" i="2"/>
  <c r="O2196" i="2"/>
  <c r="W2196" i="2"/>
  <c r="K2197" i="2"/>
  <c r="S2197" i="2"/>
  <c r="AA2197" i="2"/>
  <c r="O2198" i="2"/>
  <c r="W2198" i="2"/>
  <c r="K2199" i="2"/>
  <c r="S2199" i="2"/>
  <c r="AA2199" i="2"/>
  <c r="O2200" i="2"/>
  <c r="W2200" i="2"/>
  <c r="K2201" i="2"/>
  <c r="S2201" i="2"/>
  <c r="AA2201" i="2"/>
  <c r="O2202" i="2"/>
  <c r="W2202" i="2"/>
  <c r="K2203" i="2"/>
  <c r="S2203" i="2"/>
  <c r="AA2203" i="2"/>
  <c r="O2204" i="2"/>
  <c r="W2204" i="2"/>
  <c r="K2205" i="2"/>
  <c r="S2205" i="2"/>
  <c r="AA2205" i="2"/>
  <c r="O2206" i="2"/>
  <c r="W2206" i="2"/>
  <c r="K2207" i="2"/>
  <c r="S2207" i="2"/>
  <c r="U2345" i="2"/>
  <c r="M2345" i="2"/>
  <c r="Y2344" i="2"/>
  <c r="Q2344" i="2"/>
  <c r="I2344" i="2"/>
  <c r="U2343" i="2"/>
  <c r="M2343" i="2"/>
  <c r="Y2342" i="2"/>
  <c r="Q2342" i="2"/>
  <c r="I2342" i="2"/>
  <c r="U2341" i="2"/>
  <c r="M2341" i="2"/>
  <c r="Y2340" i="2"/>
  <c r="Q2340" i="2"/>
  <c r="I2340" i="2"/>
  <c r="U2339" i="2"/>
  <c r="M2339" i="2"/>
  <c r="Y2338" i="2"/>
  <c r="Q2338" i="2"/>
  <c r="I2338" i="2"/>
  <c r="U2337" i="2"/>
  <c r="M2337" i="2"/>
  <c r="Y2336" i="2"/>
  <c r="Q2336" i="2"/>
  <c r="I2336" i="2"/>
  <c r="U2335" i="2"/>
  <c r="M2335" i="2"/>
  <c r="Y2334" i="2"/>
  <c r="Q2334" i="2"/>
  <c r="I2334" i="2"/>
  <c r="U2333" i="2"/>
  <c r="M2333" i="2"/>
  <c r="Y2332" i="2"/>
  <c r="Q2332" i="2"/>
  <c r="I2332" i="2"/>
  <c r="U2331" i="2"/>
  <c r="M2331" i="2"/>
  <c r="Y2330" i="2"/>
  <c r="Q2330" i="2"/>
  <c r="I2330" i="2"/>
  <c r="U2329" i="2"/>
  <c r="M2329" i="2"/>
  <c r="Y2328" i="2"/>
  <c r="Q2328" i="2"/>
  <c r="I2328" i="2"/>
  <c r="U2327" i="2"/>
  <c r="M2327" i="2"/>
  <c r="Y2326" i="2"/>
  <c r="Q2326" i="2"/>
  <c r="I2326" i="2"/>
  <c r="U2325" i="2"/>
  <c r="M2325" i="2"/>
  <c r="Y2324" i="2"/>
  <c r="Q2324" i="2"/>
  <c r="I2324" i="2"/>
  <c r="U2323" i="2"/>
  <c r="M2323" i="2"/>
  <c r="Y2322" i="2"/>
  <c r="Q2322" i="2"/>
  <c r="I2322" i="2"/>
  <c r="U2321" i="2"/>
  <c r="M2321" i="2"/>
  <c r="Y2320" i="2"/>
  <c r="Q2320" i="2"/>
  <c r="I2320" i="2"/>
  <c r="U2319" i="2"/>
  <c r="M2319" i="2"/>
  <c r="Y2318" i="2"/>
  <c r="Q2318" i="2"/>
  <c r="I2318" i="2"/>
  <c r="U2317" i="2"/>
  <c r="M2317" i="2"/>
  <c r="Y2316" i="2"/>
  <c r="Q2316" i="2"/>
  <c r="I2316" i="2"/>
  <c r="U2315" i="2"/>
  <c r="M2315" i="2"/>
  <c r="Y2314" i="2"/>
  <c r="Q2314" i="2"/>
  <c r="I2314" i="2"/>
  <c r="U2313" i="2"/>
  <c r="M2313" i="2"/>
  <c r="Y2312" i="2"/>
  <c r="Q2312" i="2"/>
  <c r="I2312" i="2"/>
  <c r="U2311" i="2"/>
  <c r="M2311" i="2"/>
  <c r="Y2310" i="2"/>
  <c r="Q2310" i="2"/>
  <c r="I2310" i="2"/>
  <c r="U2309" i="2"/>
  <c r="M2309" i="2"/>
  <c r="Y2308" i="2"/>
  <c r="Q2308" i="2"/>
  <c r="I2308" i="2"/>
  <c r="U2307" i="2"/>
  <c r="M2307" i="2"/>
  <c r="Y2306" i="2"/>
  <c r="Q2306" i="2"/>
  <c r="I2306" i="2"/>
  <c r="U2305" i="2"/>
  <c r="M2305" i="2"/>
  <c r="Y2304" i="2"/>
  <c r="Q2304" i="2"/>
  <c r="I2304" i="2"/>
  <c r="U2303" i="2"/>
  <c r="M2303" i="2"/>
  <c r="Y2302" i="2"/>
  <c r="Q2302" i="2"/>
  <c r="I2302" i="2"/>
  <c r="U2301" i="2"/>
  <c r="M2301" i="2"/>
  <c r="Y2300" i="2"/>
  <c r="Q2300" i="2"/>
  <c r="I2300" i="2"/>
  <c r="U2299" i="2"/>
  <c r="M2299" i="2"/>
  <c r="Y2298" i="2"/>
  <c r="Q2298" i="2"/>
  <c r="I2298" i="2"/>
  <c r="U2297" i="2"/>
  <c r="M2297" i="2"/>
  <c r="Y2296" i="2"/>
  <c r="Q2296" i="2"/>
  <c r="I2296" i="2"/>
  <c r="U2295" i="2"/>
  <c r="M2295" i="2"/>
  <c r="Y2294" i="2"/>
  <c r="Q2294" i="2"/>
  <c r="I2294" i="2"/>
  <c r="U2293" i="2"/>
  <c r="M2293" i="2"/>
  <c r="Y2292" i="2"/>
  <c r="Q2292" i="2"/>
  <c r="I2292" i="2"/>
  <c r="U2291" i="2"/>
  <c r="M2291" i="2"/>
  <c r="Y2290" i="2"/>
  <c r="Q2290" i="2"/>
  <c r="I2290" i="2"/>
  <c r="U2289" i="2"/>
  <c r="M2289" i="2"/>
  <c r="Y2288" i="2"/>
  <c r="Q2288" i="2"/>
  <c r="I2288" i="2"/>
  <c r="U2287" i="2"/>
  <c r="M2287" i="2"/>
  <c r="Y2286" i="2"/>
  <c r="Q2286" i="2"/>
  <c r="I2286" i="2"/>
  <c r="U2285" i="2"/>
  <c r="M2285" i="2"/>
  <c r="Y2284" i="2"/>
  <c r="Q2284" i="2"/>
  <c r="I2284" i="2"/>
  <c r="U2283" i="2"/>
  <c r="M2283" i="2"/>
  <c r="Y2282" i="2"/>
  <c r="Q2282" i="2"/>
  <c r="I2282" i="2"/>
  <c r="U2281" i="2"/>
  <c r="M2281" i="2"/>
  <c r="Y2280" i="2"/>
  <c r="Q2280" i="2"/>
  <c r="I2280" i="2"/>
  <c r="U2279" i="2"/>
  <c r="M2279" i="2"/>
  <c r="Y2278" i="2"/>
  <c r="Q2278" i="2"/>
  <c r="I2278" i="2"/>
  <c r="U2277" i="2"/>
  <c r="M2277" i="2"/>
  <c r="Y2276" i="2"/>
  <c r="Q2276" i="2"/>
  <c r="I2276" i="2"/>
  <c r="U2275" i="2"/>
  <c r="M2275" i="2"/>
  <c r="Y2274" i="2"/>
  <c r="Q2274" i="2"/>
  <c r="I2274" i="2"/>
  <c r="U2273" i="2"/>
  <c r="M2273" i="2"/>
  <c r="Y2272" i="2"/>
  <c r="Q2272" i="2"/>
  <c r="I2272" i="2"/>
  <c r="U2271" i="2"/>
  <c r="M2271" i="2"/>
  <c r="Y2270" i="2"/>
  <c r="Q2270" i="2"/>
  <c r="I2270" i="2"/>
  <c r="U2269" i="2"/>
  <c r="M2269" i="2"/>
  <c r="Y2268" i="2"/>
  <c r="Q2268" i="2"/>
  <c r="I2268" i="2"/>
  <c r="U2267" i="2"/>
  <c r="M2267" i="2"/>
  <c r="Y2266" i="2"/>
  <c r="Q2266" i="2"/>
  <c r="I2266" i="2"/>
  <c r="U2265" i="2"/>
  <c r="M2265" i="2"/>
  <c r="Y2264" i="2"/>
  <c r="Q2264" i="2"/>
  <c r="I2264" i="2"/>
  <c r="U2263" i="2"/>
  <c r="M2263" i="2"/>
  <c r="Y2262" i="2"/>
  <c r="Q2262" i="2"/>
  <c r="I2262" i="2"/>
  <c r="U2261" i="2"/>
  <c r="M2261" i="2"/>
  <c r="Y2260" i="2"/>
  <c r="Q2260" i="2"/>
  <c r="I2260" i="2"/>
  <c r="U2259" i="2"/>
  <c r="M2259" i="2"/>
  <c r="Y2258" i="2"/>
  <c r="Q2258" i="2"/>
  <c r="I2258" i="2"/>
  <c r="U2257" i="2"/>
  <c r="M2257" i="2"/>
  <c r="Y2256" i="2"/>
  <c r="Q2256" i="2"/>
  <c r="I2256" i="2"/>
  <c r="U2255" i="2"/>
  <c r="M2255" i="2"/>
  <c r="Y2254" i="2"/>
  <c r="Q2254" i="2"/>
  <c r="I2254" i="2"/>
  <c r="U2253" i="2"/>
  <c r="M2253" i="2"/>
  <c r="Y2252" i="2"/>
  <c r="Q2252" i="2"/>
  <c r="I2252" i="2"/>
  <c r="U2251" i="2"/>
  <c r="M2251" i="2"/>
  <c r="Y2250" i="2"/>
  <c r="Q2250" i="2"/>
  <c r="I2250" i="2"/>
  <c r="U2249" i="2"/>
  <c r="M2249" i="2"/>
  <c r="Y2248" i="2"/>
  <c r="Q2248" i="2"/>
  <c r="I2248" i="2"/>
  <c r="U2247" i="2"/>
  <c r="M2247" i="2"/>
  <c r="Y2246" i="2"/>
  <c r="Q2246" i="2"/>
  <c r="I2246" i="2"/>
  <c r="U2245" i="2"/>
  <c r="M2245" i="2"/>
  <c r="Y2244" i="2"/>
  <c r="Q2244" i="2"/>
  <c r="I2244" i="2"/>
  <c r="U2243" i="2"/>
  <c r="M2243" i="2"/>
  <c r="Y2242" i="2"/>
  <c r="Q2242" i="2"/>
  <c r="I2242" i="2"/>
  <c r="U2241" i="2"/>
  <c r="M2241" i="2"/>
  <c r="Y2240" i="2"/>
  <c r="Q2240" i="2"/>
  <c r="I2240" i="2"/>
  <c r="U2239" i="2"/>
  <c r="M2239" i="2"/>
  <c r="Y2238" i="2"/>
  <c r="Q2238" i="2"/>
  <c r="I2238" i="2"/>
  <c r="U2237" i="2"/>
  <c r="M2237" i="2"/>
  <c r="Y2236" i="2"/>
  <c r="Q2236" i="2"/>
  <c r="I2236" i="2"/>
  <c r="U2235" i="2"/>
  <c r="M2235" i="2"/>
  <c r="Y2234" i="2"/>
  <c r="Q2234" i="2"/>
  <c r="I2234" i="2"/>
  <c r="U2233" i="2"/>
  <c r="M2233" i="2"/>
  <c r="Y2232" i="2"/>
  <c r="Q2232" i="2"/>
  <c r="I2232" i="2"/>
  <c r="U2231" i="2"/>
  <c r="M2231" i="2"/>
  <c r="Y2230" i="2"/>
  <c r="Q2230" i="2"/>
  <c r="I2230" i="2"/>
  <c r="U2229" i="2"/>
  <c r="M2229" i="2"/>
  <c r="Y2228" i="2"/>
  <c r="Q2228" i="2"/>
  <c r="I2228" i="2"/>
  <c r="U2227" i="2"/>
  <c r="M2227" i="2"/>
  <c r="Y2226" i="2"/>
  <c r="Q2226" i="2"/>
  <c r="I2226" i="2"/>
  <c r="U2225" i="2"/>
  <c r="M2225" i="2"/>
  <c r="Y2224" i="2"/>
  <c r="Q2224" i="2"/>
  <c r="I2224" i="2"/>
  <c r="U2223" i="2"/>
  <c r="M2223" i="2"/>
  <c r="Y2222" i="2"/>
  <c r="Q2222" i="2"/>
  <c r="I2222" i="2"/>
  <c r="U2221" i="2"/>
  <c r="M2221" i="2"/>
  <c r="Y2220" i="2"/>
  <c r="Q2220" i="2"/>
  <c r="I2220" i="2"/>
  <c r="U2219" i="2"/>
  <c r="M2219" i="2"/>
  <c r="Y2218" i="2"/>
  <c r="Q2218" i="2"/>
  <c r="I2218" i="2"/>
  <c r="U2217" i="2"/>
  <c r="M2217" i="2"/>
  <c r="Y2216" i="2"/>
  <c r="Q2216" i="2"/>
  <c r="I2216" i="2"/>
  <c r="U2215" i="2"/>
  <c r="M2215" i="2"/>
  <c r="Y2214" i="2"/>
  <c r="Q2214" i="2"/>
  <c r="I2214" i="2"/>
  <c r="U2213" i="2"/>
  <c r="M2213" i="2"/>
  <c r="Y2212" i="2"/>
  <c r="Q2212" i="2"/>
  <c r="I2212" i="2"/>
  <c r="U2211" i="2"/>
  <c r="M2211" i="2"/>
  <c r="Y2210" i="2"/>
  <c r="Q2210" i="2"/>
  <c r="I2210" i="2"/>
  <c r="U2209" i="2"/>
  <c r="M2209" i="2"/>
  <c r="Y2208" i="2"/>
  <c r="Q2208" i="2"/>
  <c r="I2208" i="2"/>
  <c r="U2207" i="2"/>
  <c r="Y2206" i="2"/>
  <c r="I2206" i="2"/>
  <c r="M2205" i="2"/>
  <c r="Q2204" i="2"/>
  <c r="U2203" i="2"/>
  <c r="Y2202" i="2"/>
  <c r="I2202" i="2"/>
  <c r="M2201" i="2"/>
  <c r="Q2200" i="2"/>
  <c r="U2199" i="2"/>
  <c r="Y2198" i="2"/>
  <c r="I2198" i="2"/>
  <c r="M2197" i="2"/>
  <c r="Q2196" i="2"/>
  <c r="U2195" i="2"/>
  <c r="Y2194" i="2"/>
  <c r="I2194" i="2"/>
  <c r="M2193" i="2"/>
  <c r="Q2192" i="2"/>
  <c r="U2191" i="2"/>
  <c r="Y2190" i="2"/>
  <c r="I2190" i="2"/>
  <c r="M2189" i="2"/>
  <c r="Q2188" i="2"/>
  <c r="U2187" i="2"/>
  <c r="Y2186" i="2"/>
  <c r="I2186" i="2"/>
  <c r="M2185" i="2"/>
  <c r="Q2184" i="2"/>
  <c r="U2183" i="2"/>
  <c r="Y2182" i="2"/>
  <c r="I2182" i="2"/>
  <c r="M2181" i="2"/>
  <c r="Q2180" i="2"/>
  <c r="U2179" i="2"/>
  <c r="Y2178" i="2"/>
  <c r="I2178" i="2"/>
  <c r="M2177" i="2"/>
  <c r="Q2176" i="2"/>
  <c r="U2175" i="2"/>
  <c r="Y2174" i="2"/>
  <c r="I2174" i="2"/>
  <c r="M2173" i="2"/>
  <c r="Q2172" i="2"/>
  <c r="U2171" i="2"/>
  <c r="Y2170" i="2"/>
  <c r="I2170" i="2"/>
  <c r="M2169" i="2"/>
  <c r="Q2168" i="2"/>
  <c r="U2167" i="2"/>
  <c r="Y2166" i="2"/>
  <c r="I2166" i="2"/>
  <c r="M2165" i="2"/>
  <c r="Q2164" i="2"/>
  <c r="U2163" i="2"/>
  <c r="Y2162" i="2"/>
  <c r="I2162" i="2"/>
  <c r="M2161" i="2"/>
  <c r="Q2160" i="2"/>
  <c r="U2159" i="2"/>
  <c r="Y2158" i="2"/>
  <c r="I2158" i="2"/>
  <c r="M2157" i="2"/>
  <c r="Q2156" i="2"/>
  <c r="U2155" i="2"/>
  <c r="Y2154" i="2"/>
  <c r="I2154" i="2"/>
  <c r="M2153" i="2"/>
  <c r="Q2152" i="2"/>
  <c r="U2151" i="2"/>
  <c r="Y2150" i="2"/>
  <c r="I2150" i="2"/>
  <c r="M2149" i="2"/>
  <c r="Q2148" i="2"/>
  <c r="U2147" i="2"/>
  <c r="Y2146" i="2"/>
  <c r="I2146" i="2"/>
  <c r="M2145" i="2"/>
  <c r="Q2144" i="2"/>
  <c r="U2143" i="2"/>
  <c r="Y2142" i="2"/>
  <c r="I2142" i="2"/>
  <c r="M2141" i="2"/>
  <c r="Q2140" i="2"/>
  <c r="U2139" i="2"/>
  <c r="Y2138" i="2"/>
  <c r="I2138" i="2"/>
  <c r="M2137" i="2"/>
  <c r="Q2136" i="2"/>
  <c r="U2135" i="2"/>
  <c r="Y2134" i="2"/>
  <c r="I2134" i="2"/>
  <c r="M2133" i="2"/>
  <c r="Q2132" i="2"/>
  <c r="U2131" i="2"/>
  <c r="Y2130" i="2"/>
  <c r="I2130" i="2"/>
  <c r="M2129" i="2"/>
  <c r="Q2128" i="2"/>
  <c r="U2127" i="2"/>
  <c r="Y2126" i="2"/>
  <c r="I2126" i="2"/>
  <c r="M2125" i="2"/>
  <c r="Q2124" i="2"/>
  <c r="U2123" i="2"/>
  <c r="Y2122" i="2"/>
  <c r="I2122" i="2"/>
  <c r="M2121" i="2"/>
  <c r="Q2120" i="2"/>
  <c r="U2119" i="2"/>
  <c r="Y2118" i="2"/>
  <c r="I2118" i="2"/>
  <c r="M2117" i="2"/>
  <c r="Q2116" i="2"/>
  <c r="U2115" i="2"/>
  <c r="Y2114" i="2"/>
  <c r="I2114" i="2"/>
  <c r="M2113" i="2"/>
  <c r="Q2112" i="2"/>
  <c r="U2111" i="2"/>
  <c r="Y2110" i="2"/>
  <c r="I2110" i="2"/>
  <c r="M2109" i="2"/>
  <c r="Q2108" i="2"/>
  <c r="U2107" i="2"/>
  <c r="Y2106" i="2"/>
  <c r="I2106" i="2"/>
  <c r="M2105" i="2"/>
  <c r="Q2104" i="2"/>
  <c r="U2103" i="2"/>
  <c r="Y2102" i="2"/>
  <c r="I2102" i="2"/>
  <c r="M2101" i="2"/>
  <c r="Q2100" i="2"/>
  <c r="U2099" i="2"/>
  <c r="Y2098" i="2"/>
  <c r="I2098" i="2"/>
  <c r="M2097" i="2"/>
  <c r="Q2096" i="2"/>
  <c r="U2095" i="2"/>
  <c r="Y2094" i="2"/>
  <c r="I2094" i="2"/>
  <c r="M2093" i="2"/>
  <c r="Q2092" i="2"/>
  <c r="U2091" i="2"/>
  <c r="Y2090" i="2"/>
  <c r="I2090" i="2"/>
  <c r="M2089" i="2"/>
  <c r="Q2088" i="2"/>
  <c r="U2087" i="2"/>
  <c r="Y2086" i="2"/>
  <c r="I2086" i="2"/>
  <c r="M2085" i="2"/>
  <c r="Q2084" i="2"/>
  <c r="U2083" i="2"/>
  <c r="Y2082" i="2"/>
  <c r="I2082" i="2"/>
  <c r="M2081" i="2"/>
  <c r="Q2080" i="2"/>
  <c r="U2079" i="2"/>
  <c r="Y2078" i="2"/>
  <c r="I2078" i="2"/>
  <c r="M2077" i="2"/>
  <c r="Q2076" i="2"/>
  <c r="U2075" i="2"/>
  <c r="Y2074" i="2"/>
  <c r="I2074" i="2"/>
  <c r="M2073" i="2"/>
  <c r="Q2072" i="2"/>
  <c r="U2071" i="2"/>
  <c r="Y2070" i="2"/>
  <c r="I2070" i="2"/>
  <c r="M2069" i="2"/>
  <c r="Q2068" i="2"/>
  <c r="U2067" i="2"/>
  <c r="Y2066" i="2"/>
  <c r="I2066" i="2"/>
  <c r="M2065" i="2"/>
  <c r="Q2064" i="2"/>
  <c r="U2063" i="2"/>
  <c r="Y2062" i="2"/>
  <c r="I2062" i="2"/>
  <c r="M2061" i="2"/>
  <c r="Q2060" i="2"/>
  <c r="U2059" i="2"/>
  <c r="Y2058" i="2"/>
  <c r="I2058" i="2"/>
  <c r="M2057" i="2"/>
  <c r="Q2056" i="2"/>
  <c r="U2055" i="2"/>
  <c r="Y2054" i="2"/>
  <c r="I2054" i="2"/>
  <c r="M2053" i="2"/>
  <c r="Q2052" i="2"/>
  <c r="U2051" i="2"/>
  <c r="Y2050" i="2"/>
  <c r="I2050" i="2"/>
  <c r="M2049" i="2"/>
  <c r="Q2048" i="2"/>
  <c r="U2047" i="2"/>
  <c r="Y2046" i="2"/>
  <c r="I2046" i="2"/>
  <c r="M2045" i="2"/>
  <c r="Q2044" i="2"/>
  <c r="U2043" i="2"/>
  <c r="Y2042" i="2"/>
  <c r="I2042" i="2"/>
  <c r="M2041" i="2"/>
  <c r="Q2040" i="2"/>
  <c r="U2039" i="2"/>
  <c r="Y2038" i="2"/>
  <c r="I2038" i="2"/>
  <c r="M2037" i="2"/>
  <c r="Q2036" i="2"/>
  <c r="U2035" i="2"/>
  <c r="Y2034" i="2"/>
  <c r="I2034" i="2"/>
  <c r="M2033" i="2"/>
  <c r="Q2032" i="2"/>
  <c r="U2031" i="2"/>
  <c r="Y2030" i="2"/>
  <c r="I2030" i="2"/>
  <c r="M2029" i="2"/>
  <c r="Q2028" i="2"/>
  <c r="U2027" i="2"/>
  <c r="Y2026" i="2"/>
  <c r="I2026" i="2"/>
  <c r="M2025" i="2"/>
  <c r="Q2024" i="2"/>
  <c r="U2023" i="2"/>
  <c r="Y2022" i="2"/>
  <c r="I2022" i="2"/>
  <c r="M2021" i="2"/>
  <c r="Q2020" i="2"/>
  <c r="U2019" i="2"/>
  <c r="Y2018" i="2"/>
  <c r="I2018" i="2"/>
  <c r="M2017" i="2"/>
  <c r="Q2016" i="2"/>
  <c r="U2015" i="2"/>
  <c r="Y2014" i="2"/>
  <c r="I2014" i="2"/>
  <c r="M2013" i="2"/>
  <c r="Q2012" i="2"/>
  <c r="U2011" i="2"/>
  <c r="Y2010" i="2"/>
  <c r="I2010" i="2"/>
  <c r="M2009" i="2"/>
  <c r="Q2008" i="2"/>
  <c r="U2007" i="2"/>
  <c r="Y2006" i="2"/>
  <c r="I2006" i="2"/>
  <c r="M2005" i="2"/>
  <c r="Q2004" i="2"/>
  <c r="U2003" i="2"/>
  <c r="Y2002" i="2"/>
  <c r="I2002" i="2"/>
  <c r="M2001" i="2"/>
  <c r="Q2000" i="2"/>
  <c r="U1999" i="2"/>
  <c r="Y1998" i="2"/>
  <c r="I1998" i="2"/>
  <c r="M1997" i="2"/>
  <c r="Q1996" i="2"/>
  <c r="U1995" i="2"/>
  <c r="Y1994" i="2"/>
  <c r="I1994" i="2"/>
  <c r="M1993" i="2"/>
  <c r="Q1992" i="2"/>
  <c r="U1991" i="2"/>
  <c r="Y1990" i="2"/>
  <c r="I1990" i="2"/>
  <c r="M1989" i="2"/>
  <c r="Q1988" i="2"/>
  <c r="U1987" i="2"/>
  <c r="Y1986" i="2"/>
  <c r="I1986" i="2"/>
  <c r="M1985" i="2"/>
  <c r="Q1984" i="2"/>
  <c r="U1983" i="2"/>
  <c r="Y1982" i="2"/>
  <c r="I1982" i="2"/>
  <c r="M1981" i="2"/>
  <c r="Q1980" i="2"/>
  <c r="U1979" i="2"/>
  <c r="Y1978" i="2"/>
  <c r="I1978" i="2"/>
  <c r="M1977" i="2"/>
  <c r="Q1976" i="2"/>
  <c r="U1975" i="2"/>
  <c r="Y1974" i="2"/>
  <c r="I1974" i="2"/>
  <c r="M1973" i="2"/>
  <c r="Q1972" i="2"/>
  <c r="U1971" i="2"/>
  <c r="Y1970" i="2"/>
  <c r="I1970" i="2"/>
  <c r="M1969" i="2"/>
  <c r="Q1968" i="2"/>
  <c r="U1967" i="2"/>
  <c r="Y1966" i="2"/>
  <c r="I1966" i="2"/>
  <c r="M1965" i="2"/>
  <c r="Q1964" i="2"/>
  <c r="U1963" i="2"/>
  <c r="Y1962" i="2"/>
  <c r="I1962" i="2"/>
  <c r="M1961" i="2"/>
  <c r="Q1960" i="2"/>
  <c r="U1959" i="2"/>
  <c r="Y1958" i="2"/>
  <c r="I1958" i="2"/>
  <c r="M1957" i="2"/>
  <c r="Q1956" i="2"/>
  <c r="U1955" i="2"/>
  <c r="Y1954" i="2"/>
  <c r="I1954" i="2"/>
  <c r="M1953" i="2"/>
  <c r="Q1952" i="2"/>
  <c r="U1951" i="2"/>
  <c r="Y1950" i="2"/>
  <c r="I1950" i="2"/>
  <c r="M1949" i="2"/>
  <c r="Q1948" i="2"/>
  <c r="U1947" i="2"/>
  <c r="Y1946" i="2"/>
  <c r="I1946" i="2"/>
  <c r="M1945" i="2"/>
  <c r="Q1944" i="2"/>
  <c r="U1943" i="2"/>
  <c r="Y1942" i="2"/>
  <c r="I1942" i="2"/>
  <c r="M1941" i="2"/>
  <c r="Q1940" i="2"/>
  <c r="U1939" i="2"/>
  <c r="Y1938" i="2"/>
  <c r="I1938" i="2"/>
  <c r="M1937" i="2"/>
  <c r="Q1936" i="2"/>
  <c r="U1935" i="2"/>
  <c r="Y1934" i="2"/>
  <c r="I1934" i="2"/>
  <c r="M1933" i="2"/>
  <c r="Q1932" i="2"/>
  <c r="U1931" i="2"/>
  <c r="Y1930" i="2"/>
  <c r="I1930" i="2"/>
  <c r="M1929" i="2"/>
  <c r="Q1928" i="2"/>
  <c r="U1927" i="2"/>
  <c r="Y1926" i="2"/>
  <c r="I1926" i="2"/>
  <c r="M1925" i="2"/>
  <c r="Q1924" i="2"/>
  <c r="U1923" i="2"/>
  <c r="Y1922" i="2"/>
  <c r="I1922" i="2"/>
  <c r="M1921" i="2"/>
  <c r="Q1920" i="2"/>
  <c r="U1919" i="2"/>
  <c r="Y1918" i="2"/>
  <c r="I1918" i="2"/>
  <c r="M1917" i="2"/>
  <c r="Q1916" i="2"/>
  <c r="U1915" i="2"/>
  <c r="Y1914" i="2"/>
  <c r="I1914" i="2"/>
  <c r="M1913" i="2"/>
  <c r="Q1912" i="2"/>
  <c r="U1911" i="2"/>
  <c r="Y1910" i="2"/>
  <c r="I1910" i="2"/>
  <c r="M1909" i="2"/>
  <c r="Q1908" i="2"/>
  <c r="U1907" i="2"/>
  <c r="Y1906" i="2"/>
  <c r="I1906" i="2"/>
  <c r="M1905" i="2"/>
  <c r="Q1904" i="2"/>
  <c r="U1903" i="2"/>
  <c r="Y1902" i="2"/>
  <c r="I1902" i="2"/>
  <c r="M1901" i="2"/>
  <c r="Q1900" i="2"/>
  <c r="U1899" i="2"/>
  <c r="Y1898" i="2"/>
  <c r="I1898" i="2"/>
  <c r="M1897" i="2"/>
  <c r="Q1896" i="2"/>
  <c r="U1895" i="2"/>
  <c r="Y1894" i="2"/>
  <c r="I1894" i="2"/>
  <c r="M1893" i="2"/>
  <c r="Q1892" i="2"/>
  <c r="U1891" i="2"/>
  <c r="Y1890" i="2"/>
  <c r="I1890" i="2"/>
  <c r="M1889" i="2"/>
  <c r="Q1888" i="2"/>
  <c r="U1887" i="2"/>
  <c r="Y1886" i="2"/>
  <c r="I1886" i="2"/>
  <c r="M1885" i="2"/>
  <c r="Q1884" i="2"/>
  <c r="U1883" i="2"/>
  <c r="Y1882" i="2"/>
  <c r="I1882" i="2"/>
  <c r="M1881" i="2"/>
  <c r="Q1880" i="2"/>
  <c r="U1879" i="2"/>
  <c r="Y1878" i="2"/>
  <c r="I1878" i="2"/>
  <c r="M1877" i="2"/>
  <c r="Q1876" i="2"/>
  <c r="U1875" i="2"/>
  <c r="Y1874" i="2"/>
  <c r="I1874" i="2"/>
  <c r="M1873" i="2"/>
  <c r="Q1872" i="2"/>
  <c r="U1871" i="2"/>
  <c r="Y1870" i="2"/>
  <c r="I1870" i="2"/>
  <c r="M1869" i="2"/>
  <c r="Q1868" i="2"/>
  <c r="U1867" i="2"/>
  <c r="Y1866" i="2"/>
  <c r="I1866" i="2"/>
  <c r="M1865" i="2"/>
  <c r="Q1864" i="2"/>
  <c r="U1863" i="2"/>
  <c r="Y1862" i="2"/>
  <c r="I1862" i="2"/>
  <c r="M1861" i="2"/>
  <c r="Q1860" i="2"/>
  <c r="U1859" i="2"/>
  <c r="Y1858" i="2"/>
  <c r="I1858" i="2"/>
  <c r="M1857" i="2"/>
  <c r="Q1856" i="2"/>
  <c r="U1855" i="2"/>
  <c r="Y1854" i="2"/>
  <c r="I1854" i="2"/>
  <c r="M1853" i="2"/>
  <c r="Q1852" i="2"/>
  <c r="U1851" i="2"/>
  <c r="Y1850" i="2"/>
  <c r="I1850" i="2"/>
  <c r="M1849" i="2"/>
  <c r="Q1848" i="2"/>
  <c r="U1847" i="2"/>
  <c r="Y1846" i="2"/>
  <c r="I1846" i="2"/>
  <c r="M1845" i="2"/>
  <c r="Q1844" i="2"/>
  <c r="U1843" i="2"/>
  <c r="Y1842" i="2"/>
  <c r="I1842" i="2"/>
  <c r="M1841" i="2"/>
  <c r="Q1840" i="2"/>
  <c r="U1839" i="2"/>
  <c r="Y1838" i="2"/>
  <c r="I1838" i="2"/>
  <c r="M1837" i="2"/>
  <c r="Q1836" i="2"/>
  <c r="U1835" i="2"/>
  <c r="Y1834" i="2"/>
  <c r="I1834" i="2"/>
  <c r="M1833" i="2"/>
  <c r="Q1832" i="2"/>
  <c r="U1831" i="2"/>
  <c r="Y1830" i="2"/>
  <c r="I1830" i="2"/>
  <c r="M1829" i="2"/>
  <c r="Q1828" i="2"/>
  <c r="U1827" i="2"/>
  <c r="Y1826" i="2"/>
  <c r="I1826" i="2"/>
  <c r="M1825" i="2"/>
  <c r="Q1824" i="2"/>
  <c r="U1823" i="2"/>
  <c r="Y1822" i="2"/>
  <c r="I1822" i="2"/>
  <c r="M1821" i="2"/>
  <c r="Q1820" i="2"/>
  <c r="U1819" i="2"/>
  <c r="Y1818" i="2"/>
  <c r="I1818" i="2"/>
  <c r="M1817" i="2"/>
  <c r="Q1816" i="2"/>
  <c r="U1815" i="2"/>
  <c r="Y1814" i="2"/>
  <c r="I1814" i="2"/>
  <c r="M1813" i="2"/>
  <c r="Q1812" i="2"/>
  <c r="U1811" i="2"/>
  <c r="Y1810" i="2"/>
  <c r="I1810" i="2"/>
  <c r="M1809" i="2"/>
  <c r="Q1808" i="2"/>
  <c r="U1807" i="2"/>
  <c r="Y1806" i="2"/>
  <c r="I1806" i="2"/>
  <c r="M1805" i="2"/>
  <c r="Q1804" i="2"/>
  <c r="U1803" i="2"/>
  <c r="Y1802" i="2"/>
  <c r="I1802" i="2"/>
  <c r="M1801" i="2"/>
  <c r="Q1800" i="2"/>
  <c r="U1799" i="2"/>
  <c r="Y1798" i="2"/>
  <c r="I1798" i="2"/>
  <c r="Q1796" i="2"/>
  <c r="Y1794" i="2"/>
  <c r="M1793" i="2"/>
  <c r="U1791" i="2"/>
  <c r="I1790" i="2"/>
  <c r="Q1788" i="2"/>
  <c r="Y1786" i="2"/>
  <c r="M1785" i="2"/>
  <c r="U1783" i="2"/>
  <c r="I1782" i="2"/>
  <c r="Q1780" i="2"/>
  <c r="Y1778" i="2"/>
  <c r="M1777" i="2"/>
  <c r="U1775" i="2"/>
  <c r="I1774" i="2"/>
  <c r="Q1772" i="2"/>
  <c r="Y1770" i="2"/>
  <c r="M1769" i="2"/>
  <c r="U1767" i="2"/>
  <c r="I1766" i="2"/>
  <c r="Q1764" i="2"/>
  <c r="Y1762" i="2"/>
  <c r="M1761" i="2"/>
  <c r="U1759" i="2"/>
  <c r="I1758" i="2"/>
  <c r="Q1756" i="2"/>
  <c r="Y1754" i="2"/>
  <c r="M1753" i="2"/>
  <c r="U1751" i="2"/>
  <c r="I1750" i="2"/>
  <c r="Q1748" i="2"/>
  <c r="Y1746" i="2"/>
  <c r="M1745" i="2"/>
  <c r="U1743" i="2"/>
  <c r="I1742" i="2"/>
  <c r="Q1740" i="2"/>
  <c r="Y1738" i="2"/>
  <c r="M1737" i="2"/>
  <c r="U1735" i="2"/>
  <c r="I1734" i="2"/>
  <c r="Q1732" i="2"/>
  <c r="Y1730" i="2"/>
  <c r="M1729" i="2"/>
  <c r="U1727" i="2"/>
  <c r="I1726" i="2"/>
  <c r="Q1724" i="2"/>
  <c r="Y1722" i="2"/>
  <c r="M1721" i="2"/>
  <c r="U1719" i="2"/>
  <c r="I1718" i="2"/>
  <c r="Q1716" i="2"/>
  <c r="Y1714" i="2"/>
  <c r="M1713" i="2"/>
  <c r="U1711" i="2"/>
  <c r="I1710" i="2"/>
  <c r="Q1708" i="2"/>
  <c r="Y1706" i="2"/>
  <c r="M1705" i="2"/>
  <c r="U1703" i="2"/>
  <c r="I1702" i="2"/>
  <c r="Q1700" i="2"/>
  <c r="Y1698" i="2"/>
  <c r="M1697" i="2"/>
  <c r="U1695" i="2"/>
  <c r="I1694" i="2"/>
  <c r="Q1692" i="2"/>
  <c r="Y1690" i="2"/>
  <c r="M1689" i="2"/>
  <c r="U1687" i="2"/>
  <c r="I1686" i="2"/>
  <c r="Q1684" i="2"/>
  <c r="Y1682" i="2"/>
  <c r="M1681" i="2"/>
  <c r="U1679" i="2"/>
  <c r="I1678" i="2"/>
  <c r="Q1676" i="2"/>
  <c r="Y1674" i="2"/>
  <c r="M1673" i="2"/>
  <c r="U1671" i="2"/>
  <c r="I1670" i="2"/>
  <c r="Q1668" i="2"/>
  <c r="Y1666" i="2"/>
  <c r="M1665" i="2"/>
  <c r="U1663" i="2"/>
  <c r="I1662" i="2"/>
  <c r="Q1660" i="2"/>
  <c r="Y1658" i="2"/>
  <c r="M1657" i="2"/>
  <c r="U1655" i="2"/>
  <c r="I1654" i="2"/>
  <c r="Q1652" i="2"/>
  <c r="Y1650" i="2"/>
  <c r="M1649" i="2"/>
  <c r="U1647" i="2"/>
  <c r="I1646" i="2"/>
  <c r="Q1644" i="2"/>
  <c r="Y1642" i="2"/>
  <c r="M1641" i="2"/>
  <c r="U1639" i="2"/>
  <c r="I1638" i="2"/>
  <c r="Q1636" i="2"/>
  <c r="Y1634" i="2"/>
  <c r="M1633" i="2"/>
  <c r="U1631" i="2"/>
  <c r="I1630" i="2"/>
  <c r="Q1628" i="2"/>
  <c r="Y1626" i="2"/>
  <c r="M1625" i="2"/>
  <c r="U1623" i="2"/>
  <c r="I1622" i="2"/>
  <c r="Q1620" i="2"/>
  <c r="Y1618" i="2"/>
  <c r="M1617" i="2"/>
  <c r="U1615" i="2"/>
  <c r="I1614" i="2"/>
  <c r="Q1612" i="2"/>
  <c r="Y1610" i="2"/>
  <c r="M1609" i="2"/>
  <c r="U1607" i="2"/>
  <c r="I1606" i="2"/>
  <c r="Q1604" i="2"/>
  <c r="Y1602" i="2"/>
  <c r="M1601" i="2"/>
  <c r="U1599" i="2"/>
  <c r="I1598" i="2"/>
  <c r="Q1596" i="2"/>
  <c r="Y1594" i="2"/>
  <c r="AA1592" i="2"/>
  <c r="W1589" i="2"/>
  <c r="S1586" i="2"/>
  <c r="O1583" i="2"/>
  <c r="K1580" i="2"/>
  <c r="AA1576" i="2"/>
  <c r="W1573" i="2"/>
  <c r="S1570" i="2"/>
  <c r="O1567" i="2"/>
  <c r="T1563" i="2"/>
  <c r="O1559" i="2"/>
  <c r="J1555" i="2"/>
  <c r="X1550" i="2"/>
  <c r="S1546" i="2"/>
  <c r="N1542" i="2"/>
  <c r="H1538" i="2"/>
  <c r="W1533" i="2"/>
  <c r="R1529" i="2"/>
  <c r="L1525" i="2"/>
  <c r="AA1520" i="2"/>
  <c r="V1516" i="2"/>
  <c r="P1512" i="2"/>
  <c r="V1504" i="2"/>
  <c r="K1496" i="2"/>
  <c r="T1487" i="2"/>
  <c r="J1479" i="2"/>
  <c r="S1470" i="2"/>
  <c r="H1462" i="2"/>
  <c r="R1453" i="2"/>
  <c r="AA1444" i="2"/>
  <c r="P1436" i="2"/>
  <c r="N1425" i="2"/>
  <c r="R1412" i="2"/>
  <c r="V1399" i="2"/>
  <c r="Z1386" i="2"/>
  <c r="J1374" i="2"/>
  <c r="N1361" i="2"/>
  <c r="R1348" i="2"/>
  <c r="J1325" i="2"/>
  <c r="Z1293" i="2"/>
  <c r="Q1254" i="2"/>
  <c r="N1168" i="2"/>
  <c r="V1048" i="2"/>
  <c r="AA581" i="2"/>
  <c r="W578" i="2"/>
  <c r="P575" i="2"/>
  <c r="J571" i="2"/>
  <c r="Z565" i="2"/>
  <c r="M560" i="2"/>
  <c r="R554" i="2"/>
  <c r="Y548" i="2"/>
  <c r="AA541" i="2"/>
  <c r="Q533" i="2"/>
  <c r="Z524" i="2"/>
  <c r="O516" i="2"/>
  <c r="Y507" i="2"/>
  <c r="N499" i="2"/>
  <c r="W490" i="2"/>
  <c r="M482" i="2"/>
  <c r="V473" i="2"/>
  <c r="K465" i="2"/>
  <c r="K455" i="2"/>
  <c r="Y443" i="2"/>
  <c r="Q432" i="2"/>
  <c r="I421" i="2"/>
  <c r="V409" i="2"/>
  <c r="N398" i="2"/>
  <c r="R384" i="2"/>
  <c r="Q367" i="2"/>
  <c r="O350" i="2"/>
  <c r="N321" i="2"/>
  <c r="Z275" i="2"/>
  <c r="Z2345" i="2"/>
  <c r="V2345" i="2"/>
  <c r="R2345" i="2"/>
  <c r="N2345" i="2"/>
  <c r="J2345" i="2"/>
  <c r="Z2344" i="2"/>
  <c r="V2344" i="2"/>
  <c r="R2344" i="2"/>
  <c r="N2344" i="2"/>
  <c r="J2344" i="2"/>
  <c r="Z2343" i="2"/>
  <c r="V2343" i="2"/>
  <c r="R2343" i="2"/>
  <c r="N2343" i="2"/>
  <c r="J2343" i="2"/>
  <c r="Z2342" i="2"/>
  <c r="V2342" i="2"/>
  <c r="R2342" i="2"/>
  <c r="N2342" i="2"/>
  <c r="J2342" i="2"/>
  <c r="Z2341" i="2"/>
  <c r="V2341" i="2"/>
  <c r="R2341" i="2"/>
  <c r="N2341" i="2"/>
  <c r="J2341" i="2"/>
  <c r="Z2340" i="2"/>
  <c r="V2340" i="2"/>
  <c r="R2340" i="2"/>
  <c r="N2340" i="2"/>
  <c r="J2340" i="2"/>
  <c r="Z2339" i="2"/>
  <c r="V2339" i="2"/>
  <c r="R2339" i="2"/>
  <c r="N2339" i="2"/>
  <c r="J2339" i="2"/>
  <c r="Z2338" i="2"/>
  <c r="V2338" i="2"/>
  <c r="R2338" i="2"/>
  <c r="N2338" i="2"/>
  <c r="J2338" i="2"/>
  <c r="Z2337" i="2"/>
  <c r="V2337" i="2"/>
  <c r="R2337" i="2"/>
  <c r="N2337" i="2"/>
  <c r="J2337" i="2"/>
  <c r="Z2336" i="2"/>
  <c r="V2336" i="2"/>
  <c r="R2336" i="2"/>
  <c r="N2336" i="2"/>
  <c r="J2336" i="2"/>
  <c r="Z2335" i="2"/>
  <c r="V2335" i="2"/>
  <c r="R2335" i="2"/>
  <c r="N2335" i="2"/>
  <c r="J2335" i="2"/>
  <c r="Z2334" i="2"/>
  <c r="V2334" i="2"/>
  <c r="R2334" i="2"/>
  <c r="N2334" i="2"/>
  <c r="J2334" i="2"/>
  <c r="Z2333" i="2"/>
  <c r="V2333" i="2"/>
  <c r="R2333" i="2"/>
  <c r="N2333" i="2"/>
  <c r="J2333" i="2"/>
  <c r="Z2332" i="2"/>
  <c r="V2332" i="2"/>
  <c r="R2332" i="2"/>
  <c r="N2332" i="2"/>
  <c r="J2332" i="2"/>
  <c r="Z2331" i="2"/>
  <c r="V2331" i="2"/>
  <c r="R2331" i="2"/>
  <c r="N2331" i="2"/>
  <c r="J2331" i="2"/>
  <c r="Z2330" i="2"/>
  <c r="V2330" i="2"/>
  <c r="R2330" i="2"/>
  <c r="N2330" i="2"/>
  <c r="J2330" i="2"/>
  <c r="Z2329" i="2"/>
  <c r="V2329" i="2"/>
  <c r="R2329" i="2"/>
  <c r="N2329" i="2"/>
  <c r="J2329" i="2"/>
  <c r="Z2328" i="2"/>
  <c r="V2328" i="2"/>
  <c r="R2328" i="2"/>
  <c r="N2328" i="2"/>
  <c r="J2328" i="2"/>
  <c r="Z2327" i="2"/>
  <c r="V2327" i="2"/>
  <c r="R2327" i="2"/>
  <c r="N2327" i="2"/>
  <c r="J2327" i="2"/>
  <c r="Z2326" i="2"/>
  <c r="V2326" i="2"/>
  <c r="R2326" i="2"/>
  <c r="N2326" i="2"/>
  <c r="J2326" i="2"/>
  <c r="Z2325" i="2"/>
  <c r="V2325" i="2"/>
  <c r="R2325" i="2"/>
  <c r="N2325" i="2"/>
  <c r="J2325" i="2"/>
  <c r="Z2324" i="2"/>
  <c r="V2324" i="2"/>
  <c r="R2324" i="2"/>
  <c r="N2324" i="2"/>
  <c r="J2324" i="2"/>
  <c r="Z2323" i="2"/>
  <c r="V2323" i="2"/>
  <c r="R2323" i="2"/>
  <c r="N2323" i="2"/>
  <c r="J2323" i="2"/>
  <c r="Z2322" i="2"/>
  <c r="V2322" i="2"/>
  <c r="R2322" i="2"/>
  <c r="N2322" i="2"/>
  <c r="J2322" i="2"/>
  <c r="Z2321" i="2"/>
  <c r="V2321" i="2"/>
  <c r="R2321" i="2"/>
  <c r="N2321" i="2"/>
  <c r="J2321" i="2"/>
  <c r="Z2320" i="2"/>
  <c r="V2320" i="2"/>
  <c r="R2320" i="2"/>
  <c r="N2320" i="2"/>
  <c r="J2320" i="2"/>
  <c r="Z2319" i="2"/>
  <c r="V2319" i="2"/>
  <c r="R2319" i="2"/>
  <c r="N2319" i="2"/>
  <c r="J2319" i="2"/>
  <c r="Z2318" i="2"/>
  <c r="V2318" i="2"/>
  <c r="R2318" i="2"/>
  <c r="N2318" i="2"/>
  <c r="J2318" i="2"/>
  <c r="Z2317" i="2"/>
  <c r="V2317" i="2"/>
  <c r="R2317" i="2"/>
  <c r="N2317" i="2"/>
  <c r="J2317" i="2"/>
  <c r="Z2316" i="2"/>
  <c r="V2316" i="2"/>
  <c r="R2316" i="2"/>
  <c r="N2316" i="2"/>
  <c r="J2316" i="2"/>
  <c r="Z2315" i="2"/>
  <c r="V2315" i="2"/>
  <c r="R2315" i="2"/>
  <c r="N2315" i="2"/>
  <c r="J2315" i="2"/>
  <c r="Z2314" i="2"/>
  <c r="V2314" i="2"/>
  <c r="R2314" i="2"/>
  <c r="N2314" i="2"/>
  <c r="J2314" i="2"/>
  <c r="Z2313" i="2"/>
  <c r="V2313" i="2"/>
  <c r="R2313" i="2"/>
  <c r="N2313" i="2"/>
  <c r="J2313" i="2"/>
  <c r="Z2312" i="2"/>
  <c r="V2312" i="2"/>
  <c r="R2312" i="2"/>
  <c r="N2312" i="2"/>
  <c r="J2312" i="2"/>
  <c r="Z2311" i="2"/>
  <c r="V2311" i="2"/>
  <c r="R2311" i="2"/>
  <c r="N2311" i="2"/>
  <c r="J2311" i="2"/>
  <c r="Z2310" i="2"/>
  <c r="V2310" i="2"/>
  <c r="R2310" i="2"/>
  <c r="N2310" i="2"/>
  <c r="J2310" i="2"/>
  <c r="Z2309" i="2"/>
  <c r="V2309" i="2"/>
  <c r="R2309" i="2"/>
  <c r="N2309" i="2"/>
  <c r="J2309" i="2"/>
  <c r="Z2308" i="2"/>
  <c r="V2308" i="2"/>
  <c r="R2308" i="2"/>
  <c r="N2308" i="2"/>
  <c r="J2308" i="2"/>
  <c r="Z2307" i="2"/>
  <c r="V2307" i="2"/>
  <c r="R2307" i="2"/>
  <c r="N2307" i="2"/>
  <c r="J2307" i="2"/>
  <c r="Z2306" i="2"/>
  <c r="V2306" i="2"/>
  <c r="R2306" i="2"/>
  <c r="N2306" i="2"/>
  <c r="J2306" i="2"/>
  <c r="Z2305" i="2"/>
  <c r="V2305" i="2"/>
  <c r="R2305" i="2"/>
  <c r="N2305" i="2"/>
  <c r="J2305" i="2"/>
  <c r="Z2304" i="2"/>
  <c r="V2304" i="2"/>
  <c r="R2304" i="2"/>
  <c r="N2304" i="2"/>
  <c r="J2304" i="2"/>
  <c r="Z2303" i="2"/>
  <c r="V2303" i="2"/>
  <c r="R2303" i="2"/>
  <c r="N2303" i="2"/>
  <c r="J2303" i="2"/>
  <c r="Z2302" i="2"/>
  <c r="V2302" i="2"/>
  <c r="R2302" i="2"/>
  <c r="N2302" i="2"/>
  <c r="J2302" i="2"/>
  <c r="Z2301" i="2"/>
  <c r="V2301" i="2"/>
  <c r="R2301" i="2"/>
  <c r="N2301" i="2"/>
  <c r="J2301" i="2"/>
  <c r="Z2300" i="2"/>
  <c r="V2300" i="2"/>
  <c r="R2300" i="2"/>
  <c r="N2300" i="2"/>
  <c r="J2300" i="2"/>
  <c r="Z2299" i="2"/>
  <c r="V2299" i="2"/>
  <c r="R2299" i="2"/>
  <c r="N2299" i="2"/>
  <c r="J2299" i="2"/>
  <c r="Z2298" i="2"/>
  <c r="V2298" i="2"/>
  <c r="R2298" i="2"/>
  <c r="N2298" i="2"/>
  <c r="J2298" i="2"/>
  <c r="Z2297" i="2"/>
  <c r="V2297" i="2"/>
  <c r="R2297" i="2"/>
  <c r="N2297" i="2"/>
  <c r="J2297" i="2"/>
  <c r="Z2296" i="2"/>
  <c r="V2296" i="2"/>
  <c r="R2296" i="2"/>
  <c r="N2296" i="2"/>
  <c r="J2296" i="2"/>
  <c r="Z2295" i="2"/>
  <c r="V2295" i="2"/>
  <c r="R2295" i="2"/>
  <c r="N2295" i="2"/>
  <c r="J2295" i="2"/>
  <c r="Z2294" i="2"/>
  <c r="V2294" i="2"/>
  <c r="R2294" i="2"/>
  <c r="N2294" i="2"/>
  <c r="J2294" i="2"/>
  <c r="Z2293" i="2"/>
  <c r="V2293" i="2"/>
  <c r="R2293" i="2"/>
  <c r="N2293" i="2"/>
  <c r="J2293" i="2"/>
  <c r="Z2292" i="2"/>
  <c r="V2292" i="2"/>
  <c r="R2292" i="2"/>
  <c r="N2292" i="2"/>
  <c r="J2292" i="2"/>
  <c r="Z2291" i="2"/>
  <c r="V2291" i="2"/>
  <c r="R2291" i="2"/>
  <c r="N2291" i="2"/>
  <c r="J2291" i="2"/>
  <c r="Z2290" i="2"/>
  <c r="V2290" i="2"/>
  <c r="R2290" i="2"/>
  <c r="N2290" i="2"/>
  <c r="J2290" i="2"/>
  <c r="Z2289" i="2"/>
  <c r="V2289" i="2"/>
  <c r="R2289" i="2"/>
  <c r="N2289" i="2"/>
  <c r="J2289" i="2"/>
  <c r="Z2288" i="2"/>
  <c r="V2288" i="2"/>
  <c r="R2288" i="2"/>
  <c r="N2288" i="2"/>
  <c r="J2288" i="2"/>
  <c r="Z2287" i="2"/>
  <c r="V2287" i="2"/>
  <c r="R2287" i="2"/>
  <c r="N2287" i="2"/>
  <c r="J2287" i="2"/>
  <c r="Z2286" i="2"/>
  <c r="V2286" i="2"/>
  <c r="R2286" i="2"/>
  <c r="N2286" i="2"/>
  <c r="J2286" i="2"/>
  <c r="Z2285" i="2"/>
  <c r="V2285" i="2"/>
  <c r="R2285" i="2"/>
  <c r="N2285" i="2"/>
  <c r="J2285" i="2"/>
  <c r="Z2284" i="2"/>
  <c r="V2284" i="2"/>
  <c r="R2284" i="2"/>
  <c r="N2284" i="2"/>
  <c r="J2284" i="2"/>
  <c r="Z2283" i="2"/>
  <c r="V2283" i="2"/>
  <c r="R2283" i="2"/>
  <c r="N2283" i="2"/>
  <c r="J2283" i="2"/>
  <c r="Z2282" i="2"/>
  <c r="V2282" i="2"/>
  <c r="R2282" i="2"/>
  <c r="N2282" i="2"/>
  <c r="J2282" i="2"/>
  <c r="Z2281" i="2"/>
  <c r="V2281" i="2"/>
  <c r="R2281" i="2"/>
  <c r="N2281" i="2"/>
  <c r="J2281" i="2"/>
  <c r="Z2280" i="2"/>
  <c r="V2280" i="2"/>
  <c r="R2280" i="2"/>
  <c r="N2280" i="2"/>
  <c r="J2280" i="2"/>
  <c r="Z2279" i="2"/>
  <c r="V2279" i="2"/>
  <c r="R2279" i="2"/>
  <c r="N2279" i="2"/>
  <c r="J2279" i="2"/>
  <c r="Z2278" i="2"/>
  <c r="V2278" i="2"/>
  <c r="R2278" i="2"/>
  <c r="N2278" i="2"/>
  <c r="J2278" i="2"/>
  <c r="Z2277" i="2"/>
  <c r="V2277" i="2"/>
  <c r="R2277" i="2"/>
  <c r="N2277" i="2"/>
  <c r="J2277" i="2"/>
  <c r="Z2276" i="2"/>
  <c r="V2276" i="2"/>
  <c r="R2276" i="2"/>
  <c r="N2276" i="2"/>
  <c r="J2276" i="2"/>
  <c r="Z2275" i="2"/>
  <c r="V2275" i="2"/>
  <c r="R2275" i="2"/>
  <c r="N2275" i="2"/>
  <c r="J2275" i="2"/>
  <c r="Z2274" i="2"/>
  <c r="V2274" i="2"/>
  <c r="R2274" i="2"/>
  <c r="N2274" i="2"/>
  <c r="J2274" i="2"/>
  <c r="Z2273" i="2"/>
  <c r="V2273" i="2"/>
  <c r="R2273" i="2"/>
  <c r="N2273" i="2"/>
  <c r="J2273" i="2"/>
  <c r="Z2272" i="2"/>
  <c r="V2272" i="2"/>
  <c r="R2272" i="2"/>
  <c r="N2272" i="2"/>
  <c r="J2272" i="2"/>
  <c r="Z2271" i="2"/>
  <c r="V2271" i="2"/>
  <c r="R2271" i="2"/>
  <c r="N2271" i="2"/>
  <c r="J2271" i="2"/>
  <c r="Z2270" i="2"/>
  <c r="V2270" i="2"/>
  <c r="R2270" i="2"/>
  <c r="N2270" i="2"/>
  <c r="J2270" i="2"/>
  <c r="Z2269" i="2"/>
  <c r="V2269" i="2"/>
  <c r="R2269" i="2"/>
  <c r="N2269" i="2"/>
  <c r="J2269" i="2"/>
  <c r="Z2268" i="2"/>
  <c r="V2268" i="2"/>
  <c r="R2268" i="2"/>
  <c r="N2268" i="2"/>
  <c r="J2268" i="2"/>
  <c r="Z2267" i="2"/>
  <c r="V2267" i="2"/>
  <c r="R2267" i="2"/>
  <c r="N2267" i="2"/>
  <c r="J2267" i="2"/>
  <c r="Z2266" i="2"/>
  <c r="V2266" i="2"/>
  <c r="R2266" i="2"/>
  <c r="N2266" i="2"/>
  <c r="J2266" i="2"/>
  <c r="Z2265" i="2"/>
  <c r="V2265" i="2"/>
  <c r="R2265" i="2"/>
  <c r="N2265" i="2"/>
  <c r="J2265" i="2"/>
  <c r="Z2264" i="2"/>
  <c r="V2264" i="2"/>
  <c r="R2264" i="2"/>
  <c r="N2264" i="2"/>
  <c r="J2264" i="2"/>
  <c r="Z2263" i="2"/>
  <c r="V2263" i="2"/>
  <c r="R2263" i="2"/>
  <c r="N2263" i="2"/>
  <c r="J2263" i="2"/>
  <c r="Z2262" i="2"/>
  <c r="V2262" i="2"/>
  <c r="R2262" i="2"/>
  <c r="N2262" i="2"/>
  <c r="J2262" i="2"/>
  <c r="Z2261" i="2"/>
  <c r="V2261" i="2"/>
  <c r="R2261" i="2"/>
  <c r="N2261" i="2"/>
  <c r="J2261" i="2"/>
  <c r="Z2260" i="2"/>
  <c r="V2260" i="2"/>
  <c r="R2260" i="2"/>
  <c r="N2260" i="2"/>
  <c r="J2260" i="2"/>
  <c r="Z2259" i="2"/>
  <c r="V2259" i="2"/>
  <c r="R2259" i="2"/>
  <c r="N2259" i="2"/>
  <c r="J2259" i="2"/>
  <c r="Z2258" i="2"/>
  <c r="V2258" i="2"/>
  <c r="R2258" i="2"/>
  <c r="N2258" i="2"/>
  <c r="J2258" i="2"/>
  <c r="Z2257" i="2"/>
  <c r="V2257" i="2"/>
  <c r="R2257" i="2"/>
  <c r="N2257" i="2"/>
  <c r="J2257" i="2"/>
  <c r="Z2256" i="2"/>
  <c r="V2256" i="2"/>
  <c r="R2256" i="2"/>
  <c r="N2256" i="2"/>
  <c r="J2256" i="2"/>
  <c r="Z2255" i="2"/>
  <c r="V2255" i="2"/>
  <c r="R2255" i="2"/>
  <c r="N2255" i="2"/>
  <c r="J2255" i="2"/>
  <c r="Z2254" i="2"/>
  <c r="V2254" i="2"/>
  <c r="R2254" i="2"/>
  <c r="N2254" i="2"/>
  <c r="J2254" i="2"/>
  <c r="Z2253" i="2"/>
  <c r="V2253" i="2"/>
  <c r="R2253" i="2"/>
  <c r="N2253" i="2"/>
  <c r="J2253" i="2"/>
  <c r="Z2252" i="2"/>
  <c r="V2252" i="2"/>
  <c r="R2252" i="2"/>
  <c r="N2252" i="2"/>
  <c r="J2252" i="2"/>
  <c r="Z2251" i="2"/>
  <c r="V2251" i="2"/>
  <c r="R2251" i="2"/>
  <c r="N2251" i="2"/>
  <c r="J2251" i="2"/>
  <c r="Z2250" i="2"/>
  <c r="V2250" i="2"/>
  <c r="R2250" i="2"/>
  <c r="N2250" i="2"/>
  <c r="J2250" i="2"/>
  <c r="Z2249" i="2"/>
  <c r="V2249" i="2"/>
  <c r="R2249" i="2"/>
  <c r="N2249" i="2"/>
  <c r="J2249" i="2"/>
  <c r="Z2248" i="2"/>
  <c r="V2248" i="2"/>
  <c r="R2248" i="2"/>
  <c r="N2248" i="2"/>
  <c r="J2248" i="2"/>
  <c r="Z2247" i="2"/>
  <c r="V2247" i="2"/>
  <c r="R2247" i="2"/>
  <c r="N2247" i="2"/>
  <c r="J2247" i="2"/>
  <c r="Z2246" i="2"/>
  <c r="V2246" i="2"/>
  <c r="R2246" i="2"/>
  <c r="N2246" i="2"/>
  <c r="J2246" i="2"/>
  <c r="Z2245" i="2"/>
  <c r="V2245" i="2"/>
  <c r="R2245" i="2"/>
  <c r="N2245" i="2"/>
  <c r="J2245" i="2"/>
  <c r="Z2244" i="2"/>
  <c r="V2244" i="2"/>
  <c r="R2244" i="2"/>
  <c r="N2244" i="2"/>
  <c r="J2244" i="2"/>
  <c r="Z2243" i="2"/>
  <c r="V2243" i="2"/>
  <c r="R2243" i="2"/>
  <c r="N2243" i="2"/>
  <c r="J2243" i="2"/>
  <c r="Z2242" i="2"/>
  <c r="V2242" i="2"/>
  <c r="R2242" i="2"/>
  <c r="N2242" i="2"/>
  <c r="J2242" i="2"/>
  <c r="Z2241" i="2"/>
  <c r="V2241" i="2"/>
  <c r="R2241" i="2"/>
  <c r="N2241" i="2"/>
  <c r="J2241" i="2"/>
  <c r="Z2240" i="2"/>
  <c r="V2240" i="2"/>
  <c r="R2240" i="2"/>
  <c r="N2240" i="2"/>
  <c r="J2240" i="2"/>
  <c r="Z2239" i="2"/>
  <c r="V2239" i="2"/>
  <c r="R2239" i="2"/>
  <c r="N2239" i="2"/>
  <c r="J2239" i="2"/>
  <c r="Z2238" i="2"/>
  <c r="V2238" i="2"/>
  <c r="R2238" i="2"/>
  <c r="N2238" i="2"/>
  <c r="J2238" i="2"/>
  <c r="Z2237" i="2"/>
  <c r="V2237" i="2"/>
  <c r="R2237" i="2"/>
  <c r="N2237" i="2"/>
  <c r="J2237" i="2"/>
  <c r="Z2236" i="2"/>
  <c r="V2236" i="2"/>
  <c r="R2236" i="2"/>
  <c r="N2236" i="2"/>
  <c r="J2236" i="2"/>
  <c r="Z2235" i="2"/>
  <c r="V2235" i="2"/>
  <c r="R2235" i="2"/>
  <c r="N2235" i="2"/>
  <c r="J2235" i="2"/>
  <c r="Z2234" i="2"/>
  <c r="V2234" i="2"/>
  <c r="R2234" i="2"/>
  <c r="N2234" i="2"/>
  <c r="J2234" i="2"/>
  <c r="Z2233" i="2"/>
  <c r="V2233" i="2"/>
  <c r="R2233" i="2"/>
  <c r="N2233" i="2"/>
  <c r="J2233" i="2"/>
  <c r="Z2232" i="2"/>
  <c r="V2232" i="2"/>
  <c r="R2232" i="2"/>
  <c r="N2232" i="2"/>
  <c r="J2232" i="2"/>
  <c r="Z2231" i="2"/>
  <c r="V2231" i="2"/>
  <c r="R2231" i="2"/>
  <c r="N2231" i="2"/>
  <c r="J2231" i="2"/>
  <c r="Z2230" i="2"/>
  <c r="V2230" i="2"/>
  <c r="R2230" i="2"/>
  <c r="N2230" i="2"/>
  <c r="J2230" i="2"/>
  <c r="Z2229" i="2"/>
  <c r="V2229" i="2"/>
  <c r="R2229" i="2"/>
  <c r="N2229" i="2"/>
  <c r="J2229" i="2"/>
  <c r="Z2228" i="2"/>
  <c r="V2228" i="2"/>
  <c r="R2228" i="2"/>
  <c r="N2228" i="2"/>
  <c r="J2228" i="2"/>
  <c r="Z2227" i="2"/>
  <c r="V2227" i="2"/>
  <c r="R2227" i="2"/>
  <c r="N2227" i="2"/>
  <c r="J2227" i="2"/>
  <c r="Z2226" i="2"/>
  <c r="V2226" i="2"/>
  <c r="R2226" i="2"/>
  <c r="N2226" i="2"/>
  <c r="J2226" i="2"/>
  <c r="Z2225" i="2"/>
  <c r="V2225" i="2"/>
  <c r="R2225" i="2"/>
  <c r="N2225" i="2"/>
  <c r="J2225" i="2"/>
  <c r="Z2224" i="2"/>
  <c r="V2224" i="2"/>
  <c r="R2224" i="2"/>
  <c r="N2224" i="2"/>
  <c r="J2224" i="2"/>
  <c r="Z2223" i="2"/>
  <c r="V2223" i="2"/>
  <c r="R2223" i="2"/>
  <c r="N2223" i="2"/>
  <c r="J2223" i="2"/>
  <c r="Z2222" i="2"/>
  <c r="V2222" i="2"/>
  <c r="R2222" i="2"/>
  <c r="N2222" i="2"/>
  <c r="J2222" i="2"/>
  <c r="Z2221" i="2"/>
  <c r="V2221" i="2"/>
  <c r="R2221" i="2"/>
  <c r="N2221" i="2"/>
  <c r="J2221" i="2"/>
  <c r="Z2220" i="2"/>
  <c r="V2220" i="2"/>
  <c r="R2220" i="2"/>
  <c r="N2220" i="2"/>
  <c r="J2220" i="2"/>
  <c r="Z2219" i="2"/>
  <c r="V2219" i="2"/>
  <c r="R2219" i="2"/>
  <c r="N2219" i="2"/>
  <c r="J2219" i="2"/>
  <c r="Z2218" i="2"/>
  <c r="V2218" i="2"/>
  <c r="R2218" i="2"/>
  <c r="N2218" i="2"/>
  <c r="J2218" i="2"/>
  <c r="Z2217" i="2"/>
  <c r="V2217" i="2"/>
  <c r="R2217" i="2"/>
  <c r="N2217" i="2"/>
  <c r="J2217" i="2"/>
  <c r="Z2216" i="2"/>
  <c r="V2216" i="2"/>
  <c r="R2216" i="2"/>
  <c r="N2216" i="2"/>
  <c r="J2216" i="2"/>
  <c r="Z2215" i="2"/>
  <c r="V2215" i="2"/>
  <c r="R2215" i="2"/>
  <c r="N2215" i="2"/>
  <c r="J2215" i="2"/>
  <c r="Z2214" i="2"/>
  <c r="V2214" i="2"/>
  <c r="R2214" i="2"/>
  <c r="N2214" i="2"/>
  <c r="J2214" i="2"/>
  <c r="Z2213" i="2"/>
  <c r="V2213" i="2"/>
  <c r="R2213" i="2"/>
  <c r="N2213" i="2"/>
  <c r="J2213" i="2"/>
  <c r="Z2212" i="2"/>
  <c r="V2212" i="2"/>
  <c r="R2212" i="2"/>
  <c r="N2212" i="2"/>
  <c r="J2212" i="2"/>
  <c r="Z2211" i="2"/>
  <c r="V2211" i="2"/>
  <c r="R2211" i="2"/>
  <c r="N2211" i="2"/>
  <c r="J2211" i="2"/>
  <c r="Z2210" i="2"/>
  <c r="V2210" i="2"/>
  <c r="R2210" i="2"/>
  <c r="N2210" i="2"/>
  <c r="J2210" i="2"/>
  <c r="Z2209" i="2"/>
  <c r="V2209" i="2"/>
  <c r="R2209" i="2"/>
  <c r="N2209" i="2"/>
  <c r="J2209" i="2"/>
  <c r="Z2208" i="2"/>
  <c r="V2208" i="2"/>
  <c r="R2208" i="2"/>
  <c r="N2208" i="2"/>
  <c r="J2208" i="2"/>
  <c r="Z2207" i="2"/>
  <c r="V2207" i="2"/>
  <c r="R2207" i="2"/>
  <c r="N2207" i="2"/>
  <c r="J2207" i="2"/>
  <c r="Z2206" i="2"/>
  <c r="V2206" i="2"/>
  <c r="R2206" i="2"/>
  <c r="N2206" i="2"/>
  <c r="J2206" i="2"/>
  <c r="Z2205" i="2"/>
  <c r="V2205" i="2"/>
  <c r="R2205" i="2"/>
  <c r="N2205" i="2"/>
  <c r="J2205" i="2"/>
  <c r="Z2204" i="2"/>
  <c r="V2204" i="2"/>
  <c r="R2204" i="2"/>
  <c r="N2204" i="2"/>
  <c r="J2204" i="2"/>
  <c r="Z2203" i="2"/>
  <c r="V2203" i="2"/>
  <c r="R2203" i="2"/>
  <c r="N2203" i="2"/>
  <c r="J2203" i="2"/>
  <c r="Z2202" i="2"/>
  <c r="V2202" i="2"/>
  <c r="R2202" i="2"/>
  <c r="N2202" i="2"/>
  <c r="J2202" i="2"/>
  <c r="Z2201" i="2"/>
  <c r="V2201" i="2"/>
  <c r="R2201" i="2"/>
  <c r="N2201" i="2"/>
  <c r="J2201" i="2"/>
  <c r="Z2200" i="2"/>
  <c r="V2200" i="2"/>
  <c r="R2200" i="2"/>
  <c r="N2200" i="2"/>
  <c r="J2200" i="2"/>
  <c r="Z2199" i="2"/>
  <c r="V2199" i="2"/>
  <c r="R2199" i="2"/>
  <c r="N2199" i="2"/>
  <c r="J2199" i="2"/>
  <c r="Z2198" i="2"/>
  <c r="V2198" i="2"/>
  <c r="R2198" i="2"/>
  <c r="N2198" i="2"/>
  <c r="J2198" i="2"/>
  <c r="Z2197" i="2"/>
  <c r="V2197" i="2"/>
  <c r="R2197" i="2"/>
  <c r="N2197" i="2"/>
  <c r="J2197" i="2"/>
  <c r="Z2196" i="2"/>
  <c r="V2196" i="2"/>
  <c r="R2196" i="2"/>
  <c r="N2196" i="2"/>
  <c r="J2196" i="2"/>
  <c r="Z2195" i="2"/>
  <c r="V2195" i="2"/>
  <c r="R2195" i="2"/>
  <c r="N2195" i="2"/>
  <c r="J2195" i="2"/>
  <c r="Z2194" i="2"/>
  <c r="V2194" i="2"/>
  <c r="R2194" i="2"/>
  <c r="N2194" i="2"/>
  <c r="J2194" i="2"/>
  <c r="Z2193" i="2"/>
  <c r="V2193" i="2"/>
  <c r="R2193" i="2"/>
  <c r="N2193" i="2"/>
  <c r="J2193" i="2"/>
  <c r="Z2192" i="2"/>
  <c r="V2192" i="2"/>
  <c r="R2192" i="2"/>
  <c r="N2192" i="2"/>
  <c r="J2192" i="2"/>
  <c r="Z2191" i="2"/>
  <c r="V2191" i="2"/>
  <c r="R2191" i="2"/>
  <c r="N2191" i="2"/>
  <c r="J2191" i="2"/>
  <c r="Z2190" i="2"/>
  <c r="V2190" i="2"/>
  <c r="R2190" i="2"/>
  <c r="N2190" i="2"/>
  <c r="J2190" i="2"/>
  <c r="Z2189" i="2"/>
  <c r="V2189" i="2"/>
  <c r="R2189" i="2"/>
  <c r="N2189" i="2"/>
  <c r="J2189" i="2"/>
  <c r="Z2188" i="2"/>
  <c r="V2188" i="2"/>
  <c r="R2188" i="2"/>
  <c r="N2188" i="2"/>
  <c r="J2188" i="2"/>
  <c r="Z2187" i="2"/>
  <c r="V2187" i="2"/>
  <c r="R2187" i="2"/>
  <c r="N2187" i="2"/>
  <c r="J2187" i="2"/>
  <c r="Z2186" i="2"/>
  <c r="V2186" i="2"/>
  <c r="R2186" i="2"/>
  <c r="N2186" i="2"/>
  <c r="J2186" i="2"/>
  <c r="Z2185" i="2"/>
  <c r="V2185" i="2"/>
  <c r="R2185" i="2"/>
  <c r="N2185" i="2"/>
  <c r="J2185" i="2"/>
  <c r="Z2184" i="2"/>
  <c r="V2184" i="2"/>
  <c r="R2184" i="2"/>
  <c r="N2184" i="2"/>
  <c r="J2184" i="2"/>
  <c r="Z2183" i="2"/>
  <c r="V2183" i="2"/>
  <c r="R2183" i="2"/>
  <c r="N2183" i="2"/>
  <c r="J2183" i="2"/>
  <c r="Z2182" i="2"/>
  <c r="V2182" i="2"/>
  <c r="R2182" i="2"/>
  <c r="N2182" i="2"/>
  <c r="J2182" i="2"/>
  <c r="Z2181" i="2"/>
  <c r="V2181" i="2"/>
  <c r="R2181" i="2"/>
  <c r="N2181" i="2"/>
  <c r="J2181" i="2"/>
  <c r="Z2180" i="2"/>
  <c r="V2180" i="2"/>
  <c r="R2180" i="2"/>
  <c r="N2180" i="2"/>
  <c r="J2180" i="2"/>
  <c r="Z2179" i="2"/>
  <c r="V2179" i="2"/>
  <c r="R2179" i="2"/>
  <c r="N2179" i="2"/>
  <c r="J2179" i="2"/>
  <c r="Z2178" i="2"/>
  <c r="V2178" i="2"/>
  <c r="R2178" i="2"/>
  <c r="N2178" i="2"/>
  <c r="J2178" i="2"/>
  <c r="Z2177" i="2"/>
  <c r="V2177" i="2"/>
  <c r="R2177" i="2"/>
  <c r="N2177" i="2"/>
  <c r="J2177" i="2"/>
  <c r="Z2176" i="2"/>
  <c r="V2176" i="2"/>
  <c r="R2176" i="2"/>
  <c r="N2176" i="2"/>
  <c r="J2176" i="2"/>
  <c r="Z2175" i="2"/>
  <c r="V2175" i="2"/>
  <c r="R2175" i="2"/>
  <c r="N2175" i="2"/>
  <c r="J2175" i="2"/>
  <c r="Z2174" i="2"/>
  <c r="V2174" i="2"/>
  <c r="R2174" i="2"/>
  <c r="N2174" i="2"/>
  <c r="J2174" i="2"/>
  <c r="Z2173" i="2"/>
  <c r="V2173" i="2"/>
  <c r="R2173" i="2"/>
  <c r="N2173" i="2"/>
  <c r="J2173" i="2"/>
  <c r="Z2172" i="2"/>
  <c r="V2172" i="2"/>
  <c r="R2172" i="2"/>
  <c r="N2172" i="2"/>
  <c r="J2172" i="2"/>
  <c r="Z2171" i="2"/>
  <c r="V2171" i="2"/>
  <c r="R2171" i="2"/>
  <c r="N2171" i="2"/>
  <c r="J2171" i="2"/>
  <c r="Z2170" i="2"/>
  <c r="V2170" i="2"/>
  <c r="R2170" i="2"/>
  <c r="N2170" i="2"/>
  <c r="J2170" i="2"/>
  <c r="Z2169" i="2"/>
  <c r="V2169" i="2"/>
  <c r="R2169" i="2"/>
  <c r="N2169" i="2"/>
  <c r="J2169" i="2"/>
  <c r="Z2168" i="2"/>
  <c r="V2168" i="2"/>
  <c r="R2168" i="2"/>
  <c r="N2168" i="2"/>
  <c r="J2168" i="2"/>
  <c r="Z2167" i="2"/>
  <c r="V2167" i="2"/>
  <c r="R2167" i="2"/>
  <c r="N2167" i="2"/>
  <c r="J2167" i="2"/>
  <c r="Z2166" i="2"/>
  <c r="V2166" i="2"/>
  <c r="R2166" i="2"/>
  <c r="N2166" i="2"/>
  <c r="J2166" i="2"/>
  <c r="Z2165" i="2"/>
  <c r="V2165" i="2"/>
  <c r="R2165" i="2"/>
  <c r="N2165" i="2"/>
  <c r="J2165" i="2"/>
  <c r="Z2164" i="2"/>
  <c r="V2164" i="2"/>
  <c r="R2164" i="2"/>
  <c r="N2164" i="2"/>
  <c r="J2164" i="2"/>
  <c r="Z2163" i="2"/>
  <c r="V2163" i="2"/>
  <c r="R2163" i="2"/>
  <c r="N2163" i="2"/>
  <c r="J2163" i="2"/>
  <c r="Z2162" i="2"/>
  <c r="V2162" i="2"/>
  <c r="R2162" i="2"/>
  <c r="N2162" i="2"/>
  <c r="J2162" i="2"/>
  <c r="Z2161" i="2"/>
  <c r="V2161" i="2"/>
  <c r="R2161" i="2"/>
  <c r="N2161" i="2"/>
  <c r="J2161" i="2"/>
  <c r="Z2160" i="2"/>
  <c r="V2160" i="2"/>
  <c r="R2160" i="2"/>
  <c r="N2160" i="2"/>
  <c r="J2160" i="2"/>
  <c r="Z2159" i="2"/>
  <c r="V2159" i="2"/>
  <c r="R2159" i="2"/>
  <c r="N2159" i="2"/>
  <c r="J2159" i="2"/>
  <c r="Z2158" i="2"/>
  <c r="V2158" i="2"/>
  <c r="R2158" i="2"/>
  <c r="N2158" i="2"/>
  <c r="J2158" i="2"/>
  <c r="Z2157" i="2"/>
  <c r="V2157" i="2"/>
  <c r="R2157" i="2"/>
  <c r="N2157" i="2"/>
  <c r="J2157" i="2"/>
  <c r="Z2156" i="2"/>
  <c r="V2156" i="2"/>
  <c r="R2156" i="2"/>
  <c r="N2156" i="2"/>
  <c r="J2156" i="2"/>
  <c r="Z2155" i="2"/>
  <c r="V2155" i="2"/>
  <c r="R2155" i="2"/>
  <c r="N2155" i="2"/>
  <c r="J2155" i="2"/>
  <c r="Z2154" i="2"/>
  <c r="V2154" i="2"/>
  <c r="R2154" i="2"/>
  <c r="N2154" i="2"/>
  <c r="J2154" i="2"/>
  <c r="Z2153" i="2"/>
  <c r="V2153" i="2"/>
  <c r="R2153" i="2"/>
  <c r="N2153" i="2"/>
  <c r="J2153" i="2"/>
  <c r="Z2152" i="2"/>
  <c r="V2152" i="2"/>
  <c r="R2152" i="2"/>
  <c r="N2152" i="2"/>
  <c r="J2152" i="2"/>
  <c r="Z2151" i="2"/>
  <c r="V2151" i="2"/>
  <c r="R2151" i="2"/>
  <c r="N2151" i="2"/>
  <c r="J2151" i="2"/>
  <c r="Z2150" i="2"/>
  <c r="V2150" i="2"/>
  <c r="R2150" i="2"/>
  <c r="N2150" i="2"/>
  <c r="J2150" i="2"/>
  <c r="Z2149" i="2"/>
  <c r="V2149" i="2"/>
  <c r="R2149" i="2"/>
  <c r="N2149" i="2"/>
  <c r="J2149" i="2"/>
  <c r="Z2148" i="2"/>
  <c r="V2148" i="2"/>
  <c r="R2148" i="2"/>
  <c r="N2148" i="2"/>
  <c r="J2148" i="2"/>
  <c r="Z2147" i="2"/>
  <c r="V2147" i="2"/>
  <c r="R2147" i="2"/>
  <c r="N2147" i="2"/>
  <c r="J2147" i="2"/>
  <c r="Z2146" i="2"/>
  <c r="V2146" i="2"/>
  <c r="R2146" i="2"/>
  <c r="N2146" i="2"/>
  <c r="J2146" i="2"/>
  <c r="Z2145" i="2"/>
  <c r="V2145" i="2"/>
  <c r="R2145" i="2"/>
  <c r="N2145" i="2"/>
  <c r="J2145" i="2"/>
  <c r="Z2144" i="2"/>
  <c r="V2144" i="2"/>
  <c r="R2144" i="2"/>
  <c r="N2144" i="2"/>
  <c r="J2144" i="2"/>
  <c r="Z2143" i="2"/>
  <c r="V2143" i="2"/>
  <c r="R2143" i="2"/>
  <c r="N2143" i="2"/>
  <c r="J2143" i="2"/>
  <c r="Z2142" i="2"/>
  <c r="V2142" i="2"/>
  <c r="R2142" i="2"/>
  <c r="N2142" i="2"/>
  <c r="J2142" i="2"/>
  <c r="Z2141" i="2"/>
  <c r="V2141" i="2"/>
  <c r="R2141" i="2"/>
  <c r="N2141" i="2"/>
  <c r="J2141" i="2"/>
  <c r="Z2140" i="2"/>
  <c r="V2140" i="2"/>
  <c r="R2140" i="2"/>
  <c r="N2140" i="2"/>
  <c r="J2140" i="2"/>
  <c r="Z2139" i="2"/>
  <c r="V2139" i="2"/>
  <c r="R2139" i="2"/>
  <c r="N2139" i="2"/>
  <c r="J2139" i="2"/>
  <c r="Z2138" i="2"/>
  <c r="V2138" i="2"/>
  <c r="R2138" i="2"/>
  <c r="N2138" i="2"/>
  <c r="J2138" i="2"/>
  <c r="Z2137" i="2"/>
  <c r="V2137" i="2"/>
  <c r="R2137" i="2"/>
  <c r="N2137" i="2"/>
  <c r="J2137" i="2"/>
  <c r="Z2136" i="2"/>
  <c r="V2136" i="2"/>
  <c r="R2136" i="2"/>
  <c r="N2136" i="2"/>
  <c r="J2136" i="2"/>
  <c r="Z2135" i="2"/>
  <c r="V2135" i="2"/>
  <c r="R2135" i="2"/>
  <c r="N2135" i="2"/>
  <c r="J2135" i="2"/>
  <c r="Z2134" i="2"/>
  <c r="V2134" i="2"/>
  <c r="R2134" i="2"/>
  <c r="N2134" i="2"/>
  <c r="J2134" i="2"/>
  <c r="Z2133" i="2"/>
  <c r="V2133" i="2"/>
  <c r="R2133" i="2"/>
  <c r="N2133" i="2"/>
  <c r="J2133" i="2"/>
  <c r="Z2132" i="2"/>
  <c r="V2132" i="2"/>
  <c r="R2132" i="2"/>
  <c r="N2132" i="2"/>
  <c r="J2132" i="2"/>
  <c r="Z2131" i="2"/>
  <c r="V2131" i="2"/>
  <c r="R2131" i="2"/>
  <c r="N2131" i="2"/>
  <c r="J2131" i="2"/>
  <c r="Z2130" i="2"/>
  <c r="V2130" i="2"/>
  <c r="R2130" i="2"/>
  <c r="N2130" i="2"/>
  <c r="J2130" i="2"/>
  <c r="Z2129" i="2"/>
  <c r="V2129" i="2"/>
  <c r="R2129" i="2"/>
  <c r="N2129" i="2"/>
  <c r="J2129" i="2"/>
  <c r="Z2128" i="2"/>
  <c r="V2128" i="2"/>
  <c r="R2128" i="2"/>
  <c r="N2128" i="2"/>
  <c r="J2128" i="2"/>
  <c r="Z2127" i="2"/>
  <c r="V2127" i="2"/>
  <c r="R2127" i="2"/>
  <c r="N2127" i="2"/>
  <c r="J2127" i="2"/>
  <c r="Z2126" i="2"/>
  <c r="V2126" i="2"/>
  <c r="R2126" i="2"/>
  <c r="N2126" i="2"/>
  <c r="J2126" i="2"/>
  <c r="Z2125" i="2"/>
  <c r="V2125" i="2"/>
  <c r="R2125" i="2"/>
  <c r="N2125" i="2"/>
  <c r="J2125" i="2"/>
  <c r="Z2124" i="2"/>
  <c r="V2124" i="2"/>
  <c r="R2124" i="2"/>
  <c r="N2124" i="2"/>
  <c r="J2124" i="2"/>
  <c r="Z2123" i="2"/>
  <c r="V2123" i="2"/>
  <c r="R2123" i="2"/>
  <c r="N2123" i="2"/>
  <c r="J2123" i="2"/>
  <c r="Z2122" i="2"/>
  <c r="V2122" i="2"/>
  <c r="R2122" i="2"/>
  <c r="N2122" i="2"/>
  <c r="J2122" i="2"/>
  <c r="Z2121" i="2"/>
  <c r="V2121" i="2"/>
  <c r="R2121" i="2"/>
  <c r="N2121" i="2"/>
  <c r="J2121" i="2"/>
  <c r="Z2120" i="2"/>
  <c r="V2120" i="2"/>
  <c r="R2120" i="2"/>
  <c r="N2120" i="2"/>
  <c r="J2120" i="2"/>
  <c r="Z2119" i="2"/>
  <c r="V2119" i="2"/>
  <c r="R2119" i="2"/>
  <c r="N2119" i="2"/>
  <c r="J2119" i="2"/>
  <c r="Z2118" i="2"/>
  <c r="V2118" i="2"/>
  <c r="R2118" i="2"/>
  <c r="N2118" i="2"/>
  <c r="J2118" i="2"/>
  <c r="Z2117" i="2"/>
  <c r="V2117" i="2"/>
  <c r="R2117" i="2"/>
  <c r="N2117" i="2"/>
  <c r="J2117" i="2"/>
  <c r="Z2116" i="2"/>
  <c r="V2116" i="2"/>
  <c r="R2116" i="2"/>
  <c r="N2116" i="2"/>
  <c r="J2116" i="2"/>
  <c r="Z2115" i="2"/>
  <c r="V2115" i="2"/>
  <c r="R2115" i="2"/>
  <c r="N2115" i="2"/>
  <c r="J2115" i="2"/>
  <c r="Z2114" i="2"/>
  <c r="V2114" i="2"/>
  <c r="R2114" i="2"/>
  <c r="N2114" i="2"/>
  <c r="J2114" i="2"/>
  <c r="Z2113" i="2"/>
  <c r="V2113" i="2"/>
  <c r="R2113" i="2"/>
  <c r="N2113" i="2"/>
  <c r="J2113" i="2"/>
  <c r="Z2112" i="2"/>
  <c r="V2112" i="2"/>
  <c r="R2112" i="2"/>
  <c r="N2112" i="2"/>
  <c r="J2112" i="2"/>
  <c r="Z2111" i="2"/>
  <c r="V2111" i="2"/>
  <c r="R2111" i="2"/>
  <c r="N2111" i="2"/>
  <c r="J2111" i="2"/>
  <c r="Z2110" i="2"/>
  <c r="V2110" i="2"/>
  <c r="R2110" i="2"/>
  <c r="N2110" i="2"/>
  <c r="J2110" i="2"/>
  <c r="Z2109" i="2"/>
  <c r="V2109" i="2"/>
  <c r="R2109" i="2"/>
  <c r="N2109" i="2"/>
  <c r="J2109" i="2"/>
  <c r="Z2108" i="2"/>
  <c r="V2108" i="2"/>
  <c r="R2108" i="2"/>
  <c r="N2108" i="2"/>
  <c r="J2108" i="2"/>
  <c r="Z2107" i="2"/>
  <c r="V2107" i="2"/>
  <c r="R2107" i="2"/>
  <c r="N2107" i="2"/>
  <c r="J2107" i="2"/>
  <c r="Z2106" i="2"/>
  <c r="V2106" i="2"/>
  <c r="R2106" i="2"/>
  <c r="N2106" i="2"/>
  <c r="J2106" i="2"/>
  <c r="Z2105" i="2"/>
  <c r="V2105" i="2"/>
  <c r="R2105" i="2"/>
  <c r="N2105" i="2"/>
  <c r="J2105" i="2"/>
  <c r="Z2104" i="2"/>
  <c r="V2104" i="2"/>
  <c r="R2104" i="2"/>
  <c r="N2104" i="2"/>
  <c r="J2104" i="2"/>
  <c r="Z2103" i="2"/>
  <c r="V2103" i="2"/>
  <c r="R2103" i="2"/>
  <c r="N2103" i="2"/>
  <c r="J2103" i="2"/>
  <c r="Z2102" i="2"/>
  <c r="V2102" i="2"/>
  <c r="R2102" i="2"/>
  <c r="N2102" i="2"/>
  <c r="J2102" i="2"/>
  <c r="Z2101" i="2"/>
  <c r="V2101" i="2"/>
  <c r="R2101" i="2"/>
  <c r="N2101" i="2"/>
  <c r="J2101" i="2"/>
  <c r="Z2100" i="2"/>
  <c r="V2100" i="2"/>
  <c r="R2100" i="2"/>
  <c r="N2100" i="2"/>
  <c r="J2100" i="2"/>
  <c r="Z2099" i="2"/>
  <c r="V2099" i="2"/>
  <c r="R2099" i="2"/>
  <c r="N2099" i="2"/>
  <c r="J2099" i="2"/>
  <c r="Z2098" i="2"/>
  <c r="V2098" i="2"/>
  <c r="R2098" i="2"/>
  <c r="N2098" i="2"/>
  <c r="J2098" i="2"/>
  <c r="Z2097" i="2"/>
  <c r="V2097" i="2"/>
  <c r="R2097" i="2"/>
  <c r="N2097" i="2"/>
  <c r="J2097" i="2"/>
  <c r="Z2096" i="2"/>
  <c r="V2096" i="2"/>
  <c r="R2096" i="2"/>
  <c r="N2096" i="2"/>
  <c r="J2096" i="2"/>
  <c r="Z2095" i="2"/>
  <c r="V2095" i="2"/>
  <c r="R2095" i="2"/>
  <c r="N2095" i="2"/>
  <c r="J2095" i="2"/>
  <c r="Z2094" i="2"/>
  <c r="V2094" i="2"/>
  <c r="R2094" i="2"/>
  <c r="N2094" i="2"/>
  <c r="J2094" i="2"/>
  <c r="Z2093" i="2"/>
  <c r="V2093" i="2"/>
  <c r="R2093" i="2"/>
  <c r="N2093" i="2"/>
  <c r="J2093" i="2"/>
  <c r="Z2092" i="2"/>
  <c r="V2092" i="2"/>
  <c r="R2092" i="2"/>
  <c r="N2092" i="2"/>
  <c r="J2092" i="2"/>
  <c r="Z2091" i="2"/>
  <c r="V2091" i="2"/>
  <c r="R2091" i="2"/>
  <c r="N2091" i="2"/>
  <c r="J2091" i="2"/>
  <c r="Z2090" i="2"/>
  <c r="V2090" i="2"/>
  <c r="R2090" i="2"/>
  <c r="N2090" i="2"/>
  <c r="J2090" i="2"/>
  <c r="Z2089" i="2"/>
  <c r="V2089" i="2"/>
  <c r="R2089" i="2"/>
  <c r="N2089" i="2"/>
  <c r="J2089" i="2"/>
  <c r="Z2088" i="2"/>
  <c r="V2088" i="2"/>
  <c r="R2088" i="2"/>
  <c r="N2088" i="2"/>
  <c r="J2088" i="2"/>
  <c r="Z2087" i="2"/>
  <c r="V2087" i="2"/>
  <c r="R2087" i="2"/>
  <c r="N2087" i="2"/>
  <c r="J2087" i="2"/>
  <c r="Z2086" i="2"/>
  <c r="V2086" i="2"/>
  <c r="R2086" i="2"/>
  <c r="N2086" i="2"/>
  <c r="J2086" i="2"/>
  <c r="Z2085" i="2"/>
  <c r="V2085" i="2"/>
  <c r="R2085" i="2"/>
  <c r="N2085" i="2"/>
  <c r="J2085" i="2"/>
  <c r="Z2084" i="2"/>
  <c r="V2084" i="2"/>
  <c r="R2084" i="2"/>
  <c r="N2084" i="2"/>
  <c r="J2084" i="2"/>
  <c r="Z2083" i="2"/>
  <c r="V2083" i="2"/>
  <c r="R2083" i="2"/>
  <c r="N2083" i="2"/>
  <c r="J2083" i="2"/>
  <c r="Z2082" i="2"/>
  <c r="V2082" i="2"/>
  <c r="R2082" i="2"/>
  <c r="N2082" i="2"/>
  <c r="J2082" i="2"/>
  <c r="Z2081" i="2"/>
  <c r="V2081" i="2"/>
  <c r="R2081" i="2"/>
  <c r="N2081" i="2"/>
  <c r="J2081" i="2"/>
  <c r="Z2080" i="2"/>
  <c r="V2080" i="2"/>
  <c r="R2080" i="2"/>
  <c r="N2080" i="2"/>
  <c r="J2080" i="2"/>
  <c r="Z2079" i="2"/>
  <c r="V2079" i="2"/>
  <c r="R2079" i="2"/>
  <c r="N2079" i="2"/>
  <c r="J2079" i="2"/>
  <c r="Z2078" i="2"/>
  <c r="V2078" i="2"/>
  <c r="R2078" i="2"/>
  <c r="N2078" i="2"/>
  <c r="J2078" i="2"/>
  <c r="Z2077" i="2"/>
  <c r="V2077" i="2"/>
  <c r="R2077" i="2"/>
  <c r="N2077" i="2"/>
  <c r="J2077" i="2"/>
  <c r="Z2076" i="2"/>
  <c r="V2076" i="2"/>
  <c r="R2076" i="2"/>
  <c r="N2076" i="2"/>
  <c r="J2076" i="2"/>
  <c r="Z2075" i="2"/>
  <c r="V2075" i="2"/>
  <c r="R2075" i="2"/>
  <c r="N2075" i="2"/>
  <c r="J2075" i="2"/>
  <c r="Z2074" i="2"/>
  <c r="V2074" i="2"/>
  <c r="R2074" i="2"/>
  <c r="N2074" i="2"/>
  <c r="J2074" i="2"/>
  <c r="Z2073" i="2"/>
  <c r="V2073" i="2"/>
  <c r="R2073" i="2"/>
  <c r="N2073" i="2"/>
  <c r="J2073" i="2"/>
  <c r="Z2072" i="2"/>
  <c r="V2072" i="2"/>
  <c r="R2072" i="2"/>
  <c r="N2072" i="2"/>
  <c r="J2072" i="2"/>
  <c r="Z2071" i="2"/>
  <c r="V2071" i="2"/>
  <c r="R2071" i="2"/>
  <c r="N2071" i="2"/>
  <c r="J2071" i="2"/>
  <c r="Z2070" i="2"/>
  <c r="V2070" i="2"/>
  <c r="R2070" i="2"/>
  <c r="N2070" i="2"/>
  <c r="J2070" i="2"/>
  <c r="Z2069" i="2"/>
  <c r="V2069" i="2"/>
  <c r="R2069" i="2"/>
  <c r="N2069" i="2"/>
  <c r="J2069" i="2"/>
  <c r="Z2068" i="2"/>
  <c r="V2068" i="2"/>
  <c r="R2068" i="2"/>
  <c r="N2068" i="2"/>
  <c r="J2068" i="2"/>
  <c r="Z2067" i="2"/>
  <c r="V2067" i="2"/>
  <c r="R2067" i="2"/>
  <c r="N2067" i="2"/>
  <c r="J2067" i="2"/>
  <c r="Z2066" i="2"/>
  <c r="V2066" i="2"/>
  <c r="R2066" i="2"/>
  <c r="N2066" i="2"/>
  <c r="J2066" i="2"/>
  <c r="Z2065" i="2"/>
  <c r="V2065" i="2"/>
  <c r="R2065" i="2"/>
  <c r="N2065" i="2"/>
  <c r="J2065" i="2"/>
  <c r="Z2064" i="2"/>
  <c r="V2064" i="2"/>
  <c r="R2064" i="2"/>
  <c r="N2064" i="2"/>
  <c r="J2064" i="2"/>
  <c r="Z2063" i="2"/>
  <c r="V2063" i="2"/>
  <c r="R2063" i="2"/>
  <c r="N2063" i="2"/>
  <c r="J2063" i="2"/>
  <c r="Z2062" i="2"/>
  <c r="V2062" i="2"/>
  <c r="R2062" i="2"/>
  <c r="N2062" i="2"/>
  <c r="J2062" i="2"/>
  <c r="Z2061" i="2"/>
  <c r="V2061" i="2"/>
  <c r="R2061" i="2"/>
  <c r="N2061" i="2"/>
  <c r="J2061" i="2"/>
  <c r="Z2060" i="2"/>
  <c r="V2060" i="2"/>
  <c r="R2060" i="2"/>
  <c r="N2060" i="2"/>
  <c r="J2060" i="2"/>
  <c r="Z2059" i="2"/>
  <c r="V2059" i="2"/>
  <c r="R2059" i="2"/>
  <c r="N2059" i="2"/>
  <c r="J2059" i="2"/>
  <c r="Z2058" i="2"/>
  <c r="V2058" i="2"/>
  <c r="R2058" i="2"/>
  <c r="N2058" i="2"/>
  <c r="J2058" i="2"/>
  <c r="Z2057" i="2"/>
  <c r="V2057" i="2"/>
  <c r="R2057" i="2"/>
  <c r="N2057" i="2"/>
  <c r="J2057" i="2"/>
  <c r="Z2056" i="2"/>
  <c r="V2056" i="2"/>
  <c r="R2056" i="2"/>
  <c r="N2056" i="2"/>
  <c r="J2056" i="2"/>
  <c r="Z2055" i="2"/>
  <c r="V2055" i="2"/>
  <c r="R2055" i="2"/>
  <c r="N2055" i="2"/>
  <c r="J2055" i="2"/>
  <c r="Z2054" i="2"/>
  <c r="V2054" i="2"/>
  <c r="R2054" i="2"/>
  <c r="N2054" i="2"/>
  <c r="J2054" i="2"/>
  <c r="Z2053" i="2"/>
  <c r="V2053" i="2"/>
  <c r="R2053" i="2"/>
  <c r="N2053" i="2"/>
  <c r="J2053" i="2"/>
  <c r="Z2052" i="2"/>
  <c r="V2052" i="2"/>
  <c r="R2052" i="2"/>
  <c r="N2052" i="2"/>
  <c r="J2052" i="2"/>
  <c r="Z2051" i="2"/>
  <c r="V2051" i="2"/>
  <c r="R2051" i="2"/>
  <c r="N2051" i="2"/>
  <c r="J2051" i="2"/>
  <c r="Z2050" i="2"/>
  <c r="V2050" i="2"/>
  <c r="R2050" i="2"/>
  <c r="N2050" i="2"/>
  <c r="J2050" i="2"/>
  <c r="Z2049" i="2"/>
  <c r="V2049" i="2"/>
  <c r="R2049" i="2"/>
  <c r="N2049" i="2"/>
  <c r="J2049" i="2"/>
  <c r="Z2048" i="2"/>
  <c r="V2048" i="2"/>
  <c r="R2048" i="2"/>
  <c r="N2048" i="2"/>
  <c r="J2048" i="2"/>
  <c r="Z2047" i="2"/>
  <c r="V2047" i="2"/>
  <c r="R2047" i="2"/>
  <c r="N2047" i="2"/>
  <c r="J2047" i="2"/>
  <c r="Z2046" i="2"/>
  <c r="V2046" i="2"/>
  <c r="R2046" i="2"/>
  <c r="N2046" i="2"/>
  <c r="J2046" i="2"/>
  <c r="Z2045" i="2"/>
  <c r="V2045" i="2"/>
  <c r="R2045" i="2"/>
  <c r="N2045" i="2"/>
  <c r="J2045" i="2"/>
  <c r="Z2044" i="2"/>
  <c r="V2044" i="2"/>
  <c r="R2044" i="2"/>
  <c r="N2044" i="2"/>
  <c r="J2044" i="2"/>
  <c r="Z2043" i="2"/>
  <c r="V2043" i="2"/>
  <c r="R2043" i="2"/>
  <c r="N2043" i="2"/>
  <c r="J2043" i="2"/>
  <c r="Z2042" i="2"/>
  <c r="V2042" i="2"/>
  <c r="R2042" i="2"/>
  <c r="N2042" i="2"/>
  <c r="J2042" i="2"/>
  <c r="Z2041" i="2"/>
  <c r="V2041" i="2"/>
  <c r="R2041" i="2"/>
  <c r="N2041" i="2"/>
  <c r="J2041" i="2"/>
  <c r="Z2040" i="2"/>
  <c r="V2040" i="2"/>
  <c r="R2040" i="2"/>
  <c r="N2040" i="2"/>
  <c r="J2040" i="2"/>
  <c r="Z2039" i="2"/>
  <c r="V2039" i="2"/>
  <c r="R2039" i="2"/>
  <c r="N2039" i="2"/>
  <c r="J2039" i="2"/>
  <c r="Z2038" i="2"/>
  <c r="V2038" i="2"/>
  <c r="R2038" i="2"/>
  <c r="N2038" i="2"/>
  <c r="J2038" i="2"/>
  <c r="Z2037" i="2"/>
  <c r="V2037" i="2"/>
  <c r="R2037" i="2"/>
  <c r="N2037" i="2"/>
  <c r="J2037" i="2"/>
  <c r="Z2036" i="2"/>
  <c r="V2036" i="2"/>
  <c r="R2036" i="2"/>
  <c r="N2036" i="2"/>
  <c r="J2036" i="2"/>
  <c r="Z2035" i="2"/>
  <c r="V2035" i="2"/>
  <c r="R2035" i="2"/>
  <c r="N2035" i="2"/>
  <c r="J2035" i="2"/>
  <c r="Z2034" i="2"/>
  <c r="V2034" i="2"/>
  <c r="R2034" i="2"/>
  <c r="N2034" i="2"/>
  <c r="J2034" i="2"/>
  <c r="Z2033" i="2"/>
  <c r="V2033" i="2"/>
  <c r="R2033" i="2"/>
  <c r="N2033" i="2"/>
  <c r="J2033" i="2"/>
  <c r="Z2032" i="2"/>
  <c r="V2032" i="2"/>
  <c r="R2032" i="2"/>
  <c r="N2032" i="2"/>
  <c r="J2032" i="2"/>
  <c r="Z2031" i="2"/>
  <c r="V2031" i="2"/>
  <c r="R2031" i="2"/>
  <c r="N2031" i="2"/>
  <c r="J2031" i="2"/>
  <c r="Z2030" i="2"/>
  <c r="V2030" i="2"/>
  <c r="R2030" i="2"/>
  <c r="N2030" i="2"/>
  <c r="J2030" i="2"/>
  <c r="Z2029" i="2"/>
  <c r="V2029" i="2"/>
  <c r="R2029" i="2"/>
  <c r="N2029" i="2"/>
  <c r="J2029" i="2"/>
  <c r="Z2028" i="2"/>
  <c r="V2028" i="2"/>
  <c r="R2028" i="2"/>
  <c r="N2028" i="2"/>
  <c r="J2028" i="2"/>
  <c r="Z2027" i="2"/>
  <c r="V2027" i="2"/>
  <c r="R2027" i="2"/>
  <c r="N2027" i="2"/>
  <c r="J2027" i="2"/>
  <c r="Z2026" i="2"/>
  <c r="V2026" i="2"/>
  <c r="R2026" i="2"/>
  <c r="N2026" i="2"/>
  <c r="J2026" i="2"/>
  <c r="Z2025" i="2"/>
  <c r="V2025" i="2"/>
  <c r="R2025" i="2"/>
  <c r="N2025" i="2"/>
  <c r="J2025" i="2"/>
  <c r="Z2024" i="2"/>
  <c r="V2024" i="2"/>
  <c r="R2024" i="2"/>
  <c r="N2024" i="2"/>
  <c r="J2024" i="2"/>
  <c r="Z2023" i="2"/>
  <c r="V2023" i="2"/>
  <c r="R2023" i="2"/>
  <c r="N2023" i="2"/>
  <c r="J2023" i="2"/>
  <c r="Z2022" i="2"/>
  <c r="V2022" i="2"/>
  <c r="R2022" i="2"/>
  <c r="N2022" i="2"/>
  <c r="J2022" i="2"/>
  <c r="Z2021" i="2"/>
  <c r="V2021" i="2"/>
  <c r="R2021" i="2"/>
  <c r="N2021" i="2"/>
  <c r="J2021" i="2"/>
  <c r="Z2020" i="2"/>
  <c r="V2020" i="2"/>
  <c r="R2020" i="2"/>
  <c r="N2020" i="2"/>
  <c r="J2020" i="2"/>
  <c r="Z2019" i="2"/>
  <c r="V2019" i="2"/>
  <c r="R2019" i="2"/>
  <c r="N2019" i="2"/>
  <c r="J2019" i="2"/>
  <c r="Z2018" i="2"/>
  <c r="V2018" i="2"/>
  <c r="R2018" i="2"/>
  <c r="N2018" i="2"/>
  <c r="J2018" i="2"/>
  <c r="Z2017" i="2"/>
  <c r="V2017" i="2"/>
  <c r="R2017" i="2"/>
  <c r="N2017" i="2"/>
  <c r="J2017" i="2"/>
  <c r="Z2016" i="2"/>
  <c r="V2016" i="2"/>
  <c r="R2016" i="2"/>
  <c r="N2016" i="2"/>
  <c r="J2016" i="2"/>
  <c r="Z2015" i="2"/>
  <c r="V2015" i="2"/>
  <c r="R2015" i="2"/>
  <c r="N2015" i="2"/>
  <c r="J2015" i="2"/>
  <c r="Z2014" i="2"/>
  <c r="V2014" i="2"/>
  <c r="R2014" i="2"/>
  <c r="N2014" i="2"/>
  <c r="J2014" i="2"/>
  <c r="Z2013" i="2"/>
  <c r="V2013" i="2"/>
  <c r="R2013" i="2"/>
  <c r="N2013" i="2"/>
  <c r="J2013" i="2"/>
  <c r="Z2012" i="2"/>
  <c r="V2012" i="2"/>
  <c r="R2012" i="2"/>
  <c r="N2012" i="2"/>
  <c r="J2012" i="2"/>
  <c r="Z2011" i="2"/>
  <c r="V2011" i="2"/>
  <c r="R2011" i="2"/>
  <c r="N2011" i="2"/>
  <c r="J2011" i="2"/>
  <c r="Z2010" i="2"/>
  <c r="V2010" i="2"/>
  <c r="R2010" i="2"/>
  <c r="N2010" i="2"/>
  <c r="J2010" i="2"/>
  <c r="Z2009" i="2"/>
  <c r="V2009" i="2"/>
  <c r="R2009" i="2"/>
  <c r="N2009" i="2"/>
  <c r="J2009" i="2"/>
  <c r="Z2008" i="2"/>
  <c r="V2008" i="2"/>
  <c r="R2008" i="2"/>
  <c r="N2008" i="2"/>
  <c r="J2008" i="2"/>
  <c r="Z2007" i="2"/>
  <c r="V2007" i="2"/>
  <c r="R2007" i="2"/>
  <c r="N2007" i="2"/>
  <c r="J2007" i="2"/>
  <c r="Z2006" i="2"/>
  <c r="V2006" i="2"/>
  <c r="R2006" i="2"/>
  <c r="N2006" i="2"/>
  <c r="J2006" i="2"/>
  <c r="Z2005" i="2"/>
  <c r="V2005" i="2"/>
  <c r="R2005" i="2"/>
  <c r="N2005" i="2"/>
  <c r="J2005" i="2"/>
  <c r="Z2004" i="2"/>
  <c r="V2004" i="2"/>
  <c r="R2004" i="2"/>
  <c r="N2004" i="2"/>
  <c r="J2004" i="2"/>
  <c r="Z2003" i="2"/>
  <c r="V2003" i="2"/>
  <c r="R2003" i="2"/>
  <c r="N2003" i="2"/>
  <c r="J2003" i="2"/>
  <c r="Z2002" i="2"/>
  <c r="V2002" i="2"/>
  <c r="R2002" i="2"/>
  <c r="N2002" i="2"/>
  <c r="J2002" i="2"/>
  <c r="Z2001" i="2"/>
  <c r="V2001" i="2"/>
  <c r="R2001" i="2"/>
  <c r="N2001" i="2"/>
  <c r="J2001" i="2"/>
  <c r="Z2000" i="2"/>
  <c r="V2000" i="2"/>
  <c r="R2000" i="2"/>
  <c r="N2000" i="2"/>
  <c r="J2000" i="2"/>
  <c r="Z1999" i="2"/>
  <c r="V1999" i="2"/>
  <c r="R1999" i="2"/>
  <c r="N1999" i="2"/>
  <c r="J1999" i="2"/>
  <c r="Z1998" i="2"/>
  <c r="V1998" i="2"/>
  <c r="R1998" i="2"/>
  <c r="N1998" i="2"/>
  <c r="J1998" i="2"/>
  <c r="Z1997" i="2"/>
  <c r="V1997" i="2"/>
  <c r="R1997" i="2"/>
  <c r="N1997" i="2"/>
  <c r="J1997" i="2"/>
  <c r="Z1996" i="2"/>
  <c r="V1996" i="2"/>
  <c r="R1996" i="2"/>
  <c r="N1996" i="2"/>
  <c r="J1996" i="2"/>
  <c r="Z1995" i="2"/>
  <c r="V1995" i="2"/>
  <c r="R1995" i="2"/>
  <c r="N1995" i="2"/>
  <c r="J1995" i="2"/>
  <c r="Z1994" i="2"/>
  <c r="V1994" i="2"/>
  <c r="R1994" i="2"/>
  <c r="N1994" i="2"/>
  <c r="J1994" i="2"/>
  <c r="Z1993" i="2"/>
  <c r="V1993" i="2"/>
  <c r="R1993" i="2"/>
  <c r="N1993" i="2"/>
  <c r="J1993" i="2"/>
  <c r="Z1992" i="2"/>
  <c r="V1992" i="2"/>
  <c r="R1992" i="2"/>
  <c r="N1992" i="2"/>
  <c r="J1992" i="2"/>
  <c r="Z1991" i="2"/>
  <c r="V1991" i="2"/>
  <c r="R1991" i="2"/>
  <c r="N1991" i="2"/>
  <c r="J1991" i="2"/>
  <c r="Z1990" i="2"/>
  <c r="V1990" i="2"/>
  <c r="R1990" i="2"/>
  <c r="N1990" i="2"/>
  <c r="J1990" i="2"/>
  <c r="Z1989" i="2"/>
  <c r="V1989" i="2"/>
  <c r="R1989" i="2"/>
  <c r="N1989" i="2"/>
  <c r="J1989" i="2"/>
  <c r="Z1988" i="2"/>
  <c r="V1988" i="2"/>
  <c r="R1988" i="2"/>
  <c r="N1988" i="2"/>
  <c r="J1988" i="2"/>
  <c r="Z1987" i="2"/>
  <c r="V1987" i="2"/>
  <c r="R1987" i="2"/>
  <c r="N1987" i="2"/>
  <c r="J1987" i="2"/>
  <c r="Z1986" i="2"/>
  <c r="V1986" i="2"/>
  <c r="R1986" i="2"/>
  <c r="N1986" i="2"/>
  <c r="J1986" i="2"/>
  <c r="Z1985" i="2"/>
  <c r="V1985" i="2"/>
  <c r="R1985" i="2"/>
  <c r="N1985" i="2"/>
  <c r="J1985" i="2"/>
  <c r="Z1984" i="2"/>
  <c r="V1984" i="2"/>
  <c r="R1984" i="2"/>
  <c r="N1984" i="2"/>
  <c r="J1984" i="2"/>
  <c r="Z1983" i="2"/>
  <c r="V1983" i="2"/>
  <c r="R1983" i="2"/>
  <c r="N1983" i="2"/>
  <c r="J1983" i="2"/>
  <c r="Z1982" i="2"/>
  <c r="V1982" i="2"/>
  <c r="R1982" i="2"/>
  <c r="N1982" i="2"/>
  <c r="J1982" i="2"/>
  <c r="Z1981" i="2"/>
  <c r="V1981" i="2"/>
  <c r="R1981" i="2"/>
  <c r="N1981" i="2"/>
  <c r="J1981" i="2"/>
  <c r="Z1980" i="2"/>
  <c r="V1980" i="2"/>
  <c r="R1980" i="2"/>
  <c r="N1980" i="2"/>
  <c r="J1980" i="2"/>
  <c r="Z1979" i="2"/>
  <c r="V1979" i="2"/>
  <c r="R1979" i="2"/>
  <c r="N1979" i="2"/>
  <c r="J1979" i="2"/>
  <c r="Z1978" i="2"/>
  <c r="V1978" i="2"/>
  <c r="R1978" i="2"/>
  <c r="N1978" i="2"/>
  <c r="J1978" i="2"/>
  <c r="Z1977" i="2"/>
  <c r="V1977" i="2"/>
  <c r="R1977" i="2"/>
  <c r="N1977" i="2"/>
  <c r="J1977" i="2"/>
  <c r="Z1976" i="2"/>
  <c r="V1976" i="2"/>
  <c r="R1976" i="2"/>
  <c r="N1976" i="2"/>
  <c r="J1976" i="2"/>
  <c r="Z1975" i="2"/>
  <c r="V1975" i="2"/>
  <c r="R1975" i="2"/>
  <c r="N1975" i="2"/>
  <c r="J1975" i="2"/>
  <c r="Z1974" i="2"/>
  <c r="V1974" i="2"/>
  <c r="R1974" i="2"/>
  <c r="N1974" i="2"/>
  <c r="J1974" i="2"/>
  <c r="Z1973" i="2"/>
  <c r="V1973" i="2"/>
  <c r="R1973" i="2"/>
  <c r="N1973" i="2"/>
  <c r="J1973" i="2"/>
  <c r="Z1972" i="2"/>
  <c r="V1972" i="2"/>
  <c r="R1972" i="2"/>
  <c r="N1972" i="2"/>
  <c r="J1972" i="2"/>
  <c r="Z1971" i="2"/>
  <c r="V1971" i="2"/>
  <c r="R1971" i="2"/>
  <c r="N1971" i="2"/>
  <c r="J1971" i="2"/>
  <c r="Z1970" i="2"/>
  <c r="V1970" i="2"/>
  <c r="R1970" i="2"/>
  <c r="N1970" i="2"/>
  <c r="J1970" i="2"/>
  <c r="Z1969" i="2"/>
  <c r="V1969" i="2"/>
  <c r="R1969" i="2"/>
  <c r="N1969" i="2"/>
  <c r="J1969" i="2"/>
  <c r="Z1968" i="2"/>
  <c r="V1968" i="2"/>
  <c r="R1968" i="2"/>
  <c r="N1968" i="2"/>
  <c r="J1968" i="2"/>
  <c r="Z1967" i="2"/>
  <c r="V1967" i="2"/>
  <c r="R1967" i="2"/>
  <c r="N1967" i="2"/>
  <c r="J1967" i="2"/>
  <c r="Z1966" i="2"/>
  <c r="V1966" i="2"/>
  <c r="R1966" i="2"/>
  <c r="N1966" i="2"/>
  <c r="J1966" i="2"/>
  <c r="Z1965" i="2"/>
  <c r="V1965" i="2"/>
  <c r="R1965" i="2"/>
  <c r="N1965" i="2"/>
  <c r="J1965" i="2"/>
  <c r="Z1964" i="2"/>
  <c r="V1964" i="2"/>
  <c r="R1964" i="2"/>
  <c r="N1964" i="2"/>
  <c r="J1964" i="2"/>
  <c r="Z1963" i="2"/>
  <c r="V1963" i="2"/>
  <c r="R1963" i="2"/>
  <c r="N1963" i="2"/>
  <c r="J1963" i="2"/>
  <c r="Z1962" i="2"/>
  <c r="V1962" i="2"/>
  <c r="R1962" i="2"/>
  <c r="N1962" i="2"/>
  <c r="J1962" i="2"/>
  <c r="Z1961" i="2"/>
  <c r="V1961" i="2"/>
  <c r="R1961" i="2"/>
  <c r="N1961" i="2"/>
  <c r="J1961" i="2"/>
  <c r="Z1960" i="2"/>
  <c r="V1960" i="2"/>
  <c r="R1960" i="2"/>
  <c r="N1960" i="2"/>
  <c r="J1960" i="2"/>
  <c r="Z1959" i="2"/>
  <c r="V1959" i="2"/>
  <c r="R1959" i="2"/>
  <c r="N1959" i="2"/>
  <c r="J1959" i="2"/>
  <c r="Z1958" i="2"/>
  <c r="V1958" i="2"/>
  <c r="R1958" i="2"/>
  <c r="N1958" i="2"/>
  <c r="J1958" i="2"/>
  <c r="Z1957" i="2"/>
  <c r="V1957" i="2"/>
  <c r="R1957" i="2"/>
  <c r="N1957" i="2"/>
  <c r="J1957" i="2"/>
  <c r="Z1956" i="2"/>
  <c r="V1956" i="2"/>
  <c r="R1956" i="2"/>
  <c r="N1956" i="2"/>
  <c r="J1956" i="2"/>
  <c r="Z1955" i="2"/>
  <c r="V1955" i="2"/>
  <c r="R1955" i="2"/>
  <c r="N1955" i="2"/>
  <c r="J1955" i="2"/>
  <c r="Z1954" i="2"/>
  <c r="V1954" i="2"/>
  <c r="R1954" i="2"/>
  <c r="N1954" i="2"/>
  <c r="J1954" i="2"/>
  <c r="Z1953" i="2"/>
  <c r="V1953" i="2"/>
  <c r="R1953" i="2"/>
  <c r="N1953" i="2"/>
  <c r="J1953" i="2"/>
  <c r="Z1952" i="2"/>
  <c r="V1952" i="2"/>
  <c r="R1952" i="2"/>
  <c r="N1952" i="2"/>
  <c r="J1952" i="2"/>
  <c r="Z1951" i="2"/>
  <c r="V1951" i="2"/>
  <c r="R1951" i="2"/>
  <c r="N1951" i="2"/>
  <c r="J1951" i="2"/>
  <c r="Z1950" i="2"/>
  <c r="V1950" i="2"/>
  <c r="R1950" i="2"/>
  <c r="N1950" i="2"/>
  <c r="J1950" i="2"/>
  <c r="Z1949" i="2"/>
  <c r="V1949" i="2"/>
  <c r="R1949" i="2"/>
  <c r="N1949" i="2"/>
  <c r="J1949" i="2"/>
  <c r="Z1948" i="2"/>
  <c r="V1948" i="2"/>
  <c r="R1948" i="2"/>
  <c r="N1948" i="2"/>
  <c r="J1948" i="2"/>
  <c r="Z1947" i="2"/>
  <c r="V1947" i="2"/>
  <c r="R1947" i="2"/>
  <c r="N1947" i="2"/>
  <c r="J1947" i="2"/>
  <c r="Z1946" i="2"/>
  <c r="V1946" i="2"/>
  <c r="R1946" i="2"/>
  <c r="N1946" i="2"/>
  <c r="J1946" i="2"/>
  <c r="Z1945" i="2"/>
  <c r="V1945" i="2"/>
  <c r="R1945" i="2"/>
  <c r="N1945" i="2"/>
  <c r="J1945" i="2"/>
  <c r="Z1944" i="2"/>
  <c r="V1944" i="2"/>
  <c r="R1944" i="2"/>
  <c r="N1944" i="2"/>
  <c r="J1944" i="2"/>
  <c r="Z1943" i="2"/>
  <c r="V1943" i="2"/>
  <c r="R1943" i="2"/>
  <c r="N1943" i="2"/>
  <c r="J1943" i="2"/>
  <c r="Z1942" i="2"/>
  <c r="V1942" i="2"/>
  <c r="R1942" i="2"/>
  <c r="N1942" i="2"/>
  <c r="J1942" i="2"/>
  <c r="Z1941" i="2"/>
  <c r="V1941" i="2"/>
  <c r="R1941" i="2"/>
  <c r="N1941" i="2"/>
  <c r="J1941" i="2"/>
  <c r="Z1940" i="2"/>
  <c r="V1940" i="2"/>
  <c r="R1940" i="2"/>
  <c r="N1940" i="2"/>
  <c r="J1940" i="2"/>
  <c r="Z1939" i="2"/>
  <c r="V1939" i="2"/>
  <c r="R1939" i="2"/>
  <c r="N1939" i="2"/>
  <c r="J1939" i="2"/>
  <c r="Z1938" i="2"/>
  <c r="V1938" i="2"/>
  <c r="R1938" i="2"/>
  <c r="N1938" i="2"/>
  <c r="J1938" i="2"/>
  <c r="Z1937" i="2"/>
  <c r="V1937" i="2"/>
  <c r="R1937" i="2"/>
  <c r="N1937" i="2"/>
  <c r="J1937" i="2"/>
  <c r="Z1936" i="2"/>
  <c r="V1936" i="2"/>
  <c r="R1936" i="2"/>
  <c r="N1936" i="2"/>
  <c r="J1936" i="2"/>
  <c r="Z1935" i="2"/>
  <c r="V1935" i="2"/>
  <c r="R1935" i="2"/>
  <c r="N1935" i="2"/>
  <c r="J1935" i="2"/>
  <c r="Z1934" i="2"/>
  <c r="V1934" i="2"/>
  <c r="R1934" i="2"/>
  <c r="N1934" i="2"/>
  <c r="J1934" i="2"/>
  <c r="Z1933" i="2"/>
  <c r="V1933" i="2"/>
  <c r="R1933" i="2"/>
  <c r="N1933" i="2"/>
  <c r="J1933" i="2"/>
  <c r="Z1932" i="2"/>
  <c r="V1932" i="2"/>
  <c r="R1932" i="2"/>
  <c r="N1932" i="2"/>
  <c r="J1932" i="2"/>
  <c r="Z1931" i="2"/>
  <c r="V1931" i="2"/>
  <c r="R1931" i="2"/>
  <c r="N1931" i="2"/>
  <c r="J1931" i="2"/>
  <c r="Z1930" i="2"/>
  <c r="V1930" i="2"/>
  <c r="R1930" i="2"/>
  <c r="N1930" i="2"/>
  <c r="J1930" i="2"/>
  <c r="Z1929" i="2"/>
  <c r="V1929" i="2"/>
  <c r="R1929" i="2"/>
  <c r="N1929" i="2"/>
  <c r="J1929" i="2"/>
  <c r="Z1928" i="2"/>
  <c r="V1928" i="2"/>
  <c r="R1928" i="2"/>
  <c r="N1928" i="2"/>
  <c r="J1928" i="2"/>
  <c r="Z1927" i="2"/>
  <c r="V1927" i="2"/>
  <c r="R1927" i="2"/>
  <c r="N1927" i="2"/>
  <c r="J1927" i="2"/>
  <c r="Z1926" i="2"/>
  <c r="V1926" i="2"/>
  <c r="R1926" i="2"/>
  <c r="N1926" i="2"/>
  <c r="J1926" i="2"/>
  <c r="Z1925" i="2"/>
  <c r="V1925" i="2"/>
  <c r="R1925" i="2"/>
  <c r="N1925" i="2"/>
  <c r="J1925" i="2"/>
  <c r="Z1924" i="2"/>
  <c r="V1924" i="2"/>
  <c r="R1924" i="2"/>
  <c r="N1924" i="2"/>
  <c r="J1924" i="2"/>
  <c r="Z1923" i="2"/>
  <c r="V1923" i="2"/>
  <c r="R1923" i="2"/>
  <c r="N1923" i="2"/>
  <c r="J1923" i="2"/>
  <c r="Z1922" i="2"/>
  <c r="V1922" i="2"/>
  <c r="R1922" i="2"/>
  <c r="N1922" i="2"/>
  <c r="J1922" i="2"/>
  <c r="Z1921" i="2"/>
  <c r="V1921" i="2"/>
  <c r="R1921" i="2"/>
  <c r="N1921" i="2"/>
  <c r="J1921" i="2"/>
  <c r="Z1920" i="2"/>
  <c r="V1920" i="2"/>
  <c r="R1920" i="2"/>
  <c r="N1920" i="2"/>
  <c r="J1920" i="2"/>
  <c r="Z1919" i="2"/>
  <c r="V1919" i="2"/>
  <c r="R1919" i="2"/>
  <c r="N1919" i="2"/>
  <c r="J1919" i="2"/>
  <c r="Z1918" i="2"/>
  <c r="V1918" i="2"/>
  <c r="R1918" i="2"/>
  <c r="N1918" i="2"/>
  <c r="J1918" i="2"/>
  <c r="Z1917" i="2"/>
  <c r="V1917" i="2"/>
  <c r="R1917" i="2"/>
  <c r="N1917" i="2"/>
  <c r="J1917" i="2"/>
  <c r="Z1916" i="2"/>
  <c r="V1916" i="2"/>
  <c r="R1916" i="2"/>
  <c r="N1916" i="2"/>
  <c r="J1916" i="2"/>
  <c r="Z1915" i="2"/>
  <c r="V1915" i="2"/>
  <c r="R1915" i="2"/>
  <c r="N1915" i="2"/>
  <c r="J1915" i="2"/>
  <c r="Z1914" i="2"/>
  <c r="V1914" i="2"/>
  <c r="R1914" i="2"/>
  <c r="N1914" i="2"/>
  <c r="J1914" i="2"/>
  <c r="Z1913" i="2"/>
  <c r="V1913" i="2"/>
  <c r="R1913" i="2"/>
  <c r="N1913" i="2"/>
  <c r="J1913" i="2"/>
  <c r="Z1912" i="2"/>
  <c r="V1912" i="2"/>
  <c r="R1912" i="2"/>
  <c r="N1912" i="2"/>
  <c r="J1912" i="2"/>
  <c r="Z1911" i="2"/>
  <c r="V1911" i="2"/>
  <c r="R1911" i="2"/>
  <c r="N1911" i="2"/>
  <c r="J1911" i="2"/>
  <c r="Z1910" i="2"/>
  <c r="V1910" i="2"/>
  <c r="R1910" i="2"/>
  <c r="N1910" i="2"/>
  <c r="J1910" i="2"/>
  <c r="Z1909" i="2"/>
  <c r="V1909" i="2"/>
  <c r="R1909" i="2"/>
  <c r="N1909" i="2"/>
  <c r="J1909" i="2"/>
  <c r="Z1908" i="2"/>
  <c r="V1908" i="2"/>
  <c r="R1908" i="2"/>
  <c r="N1908" i="2"/>
  <c r="J1908" i="2"/>
  <c r="Z1907" i="2"/>
  <c r="V1907" i="2"/>
  <c r="R1907" i="2"/>
  <c r="N1907" i="2"/>
  <c r="J1907" i="2"/>
  <c r="Z1906" i="2"/>
  <c r="V1906" i="2"/>
  <c r="R1906" i="2"/>
  <c r="N1906" i="2"/>
  <c r="J1906" i="2"/>
  <c r="Z1905" i="2"/>
  <c r="V1905" i="2"/>
  <c r="R1905" i="2"/>
  <c r="N1905" i="2"/>
  <c r="J1905" i="2"/>
  <c r="Z1904" i="2"/>
  <c r="V1904" i="2"/>
  <c r="R1904" i="2"/>
  <c r="N1904" i="2"/>
  <c r="J1904" i="2"/>
  <c r="Z1903" i="2"/>
  <c r="V1903" i="2"/>
  <c r="R1903" i="2"/>
  <c r="N1903" i="2"/>
  <c r="J1903" i="2"/>
  <c r="Z1902" i="2"/>
  <c r="V1902" i="2"/>
  <c r="R1902" i="2"/>
  <c r="N1902" i="2"/>
  <c r="J1902" i="2"/>
  <c r="Z1901" i="2"/>
  <c r="V1901" i="2"/>
  <c r="R1901" i="2"/>
  <c r="N1901" i="2"/>
  <c r="J1901" i="2"/>
  <c r="Z1900" i="2"/>
  <c r="V1900" i="2"/>
  <c r="R1900" i="2"/>
  <c r="N1900" i="2"/>
  <c r="J1900" i="2"/>
  <c r="Z1899" i="2"/>
  <c r="V1899" i="2"/>
  <c r="R1899" i="2"/>
  <c r="N1899" i="2"/>
  <c r="J1899" i="2"/>
  <c r="Z1898" i="2"/>
  <c r="V1898" i="2"/>
  <c r="R1898" i="2"/>
  <c r="N1898" i="2"/>
  <c r="J1898" i="2"/>
  <c r="Z1897" i="2"/>
  <c r="V1897" i="2"/>
  <c r="R1897" i="2"/>
  <c r="N1897" i="2"/>
  <c r="J1897" i="2"/>
  <c r="Z1896" i="2"/>
  <c r="V1896" i="2"/>
  <c r="R1896" i="2"/>
  <c r="N1896" i="2"/>
  <c r="J1896" i="2"/>
  <c r="Z1895" i="2"/>
  <c r="V1895" i="2"/>
  <c r="R1895" i="2"/>
  <c r="N1895" i="2"/>
  <c r="J1895" i="2"/>
  <c r="Z1894" i="2"/>
  <c r="V1894" i="2"/>
  <c r="R1894" i="2"/>
  <c r="N1894" i="2"/>
  <c r="J1894" i="2"/>
  <c r="Z1893" i="2"/>
  <c r="V1893" i="2"/>
  <c r="R1893" i="2"/>
  <c r="N1893" i="2"/>
  <c r="J1893" i="2"/>
  <c r="Z1892" i="2"/>
  <c r="V1892" i="2"/>
  <c r="R1892" i="2"/>
  <c r="N1892" i="2"/>
  <c r="J1892" i="2"/>
  <c r="Z1891" i="2"/>
  <c r="V1891" i="2"/>
  <c r="R1891" i="2"/>
  <c r="N1891" i="2"/>
  <c r="J1891" i="2"/>
  <c r="Z1890" i="2"/>
  <c r="V1890" i="2"/>
  <c r="R1890" i="2"/>
  <c r="N1890" i="2"/>
  <c r="J1890" i="2"/>
  <c r="Z1889" i="2"/>
  <c r="V1889" i="2"/>
  <c r="R1889" i="2"/>
  <c r="N1889" i="2"/>
  <c r="J1889" i="2"/>
  <c r="Z1888" i="2"/>
  <c r="V1888" i="2"/>
  <c r="R1888" i="2"/>
  <c r="N1888" i="2"/>
  <c r="J1888" i="2"/>
  <c r="Z1887" i="2"/>
  <c r="V1887" i="2"/>
  <c r="R1887" i="2"/>
  <c r="N1887" i="2"/>
  <c r="J1887" i="2"/>
  <c r="Z1886" i="2"/>
  <c r="V1886" i="2"/>
  <c r="R1886" i="2"/>
  <c r="N1886" i="2"/>
  <c r="J1886" i="2"/>
  <c r="Z1885" i="2"/>
  <c r="V1885" i="2"/>
  <c r="R1885" i="2"/>
  <c r="N1885" i="2"/>
  <c r="J1885" i="2"/>
  <c r="Z1884" i="2"/>
  <c r="V1884" i="2"/>
  <c r="R1884" i="2"/>
  <c r="N1884" i="2"/>
  <c r="J1884" i="2"/>
  <c r="Z1883" i="2"/>
  <c r="V1883" i="2"/>
  <c r="R1883" i="2"/>
  <c r="N1883" i="2"/>
  <c r="J1883" i="2"/>
  <c r="Z1882" i="2"/>
  <c r="V1882" i="2"/>
  <c r="R1882" i="2"/>
  <c r="N1882" i="2"/>
  <c r="J1882" i="2"/>
  <c r="Z1881" i="2"/>
  <c r="V1881" i="2"/>
  <c r="R1881" i="2"/>
  <c r="N1881" i="2"/>
  <c r="J1881" i="2"/>
  <c r="Z1880" i="2"/>
  <c r="V1880" i="2"/>
  <c r="R1880" i="2"/>
  <c r="N1880" i="2"/>
  <c r="J1880" i="2"/>
  <c r="Z1879" i="2"/>
  <c r="V1879" i="2"/>
  <c r="R1879" i="2"/>
  <c r="N1879" i="2"/>
  <c r="J1879" i="2"/>
  <c r="Z1878" i="2"/>
  <c r="V1878" i="2"/>
  <c r="R1878" i="2"/>
  <c r="N1878" i="2"/>
  <c r="J1878" i="2"/>
  <c r="Z1877" i="2"/>
  <c r="V1877" i="2"/>
  <c r="R1877" i="2"/>
  <c r="N1877" i="2"/>
  <c r="J1877" i="2"/>
  <c r="Z1876" i="2"/>
  <c r="V1876" i="2"/>
  <c r="R1876" i="2"/>
  <c r="N1876" i="2"/>
  <c r="J1876" i="2"/>
  <c r="Z1875" i="2"/>
  <c r="V1875" i="2"/>
  <c r="R1875" i="2"/>
  <c r="N1875" i="2"/>
  <c r="J1875" i="2"/>
  <c r="Z1874" i="2"/>
  <c r="V1874" i="2"/>
  <c r="R1874" i="2"/>
  <c r="N1874" i="2"/>
  <c r="J1874" i="2"/>
  <c r="Z1873" i="2"/>
  <c r="V1873" i="2"/>
  <c r="R1873" i="2"/>
  <c r="N1873" i="2"/>
  <c r="J1873" i="2"/>
  <c r="Z1872" i="2"/>
  <c r="V1872" i="2"/>
  <c r="R1872" i="2"/>
  <c r="N1872" i="2"/>
  <c r="J1872" i="2"/>
  <c r="Z1871" i="2"/>
  <c r="V1871" i="2"/>
  <c r="R1871" i="2"/>
  <c r="N1871" i="2"/>
  <c r="J1871" i="2"/>
  <c r="Z1870" i="2"/>
  <c r="V1870" i="2"/>
  <c r="R1870" i="2"/>
  <c r="N1870" i="2"/>
  <c r="J1870" i="2"/>
  <c r="Z1869" i="2"/>
  <c r="V1869" i="2"/>
  <c r="R1869" i="2"/>
  <c r="N1869" i="2"/>
  <c r="J1869" i="2"/>
  <c r="Z1868" i="2"/>
  <c r="V1868" i="2"/>
  <c r="R1868" i="2"/>
  <c r="N1868" i="2"/>
  <c r="J1868" i="2"/>
  <c r="Z1867" i="2"/>
  <c r="V1867" i="2"/>
  <c r="R1867" i="2"/>
  <c r="N1867" i="2"/>
  <c r="J1867" i="2"/>
  <c r="Z1866" i="2"/>
  <c r="V1866" i="2"/>
  <c r="R1866" i="2"/>
  <c r="N1866" i="2"/>
  <c r="J1866" i="2"/>
  <c r="Z1865" i="2"/>
  <c r="V1865" i="2"/>
  <c r="R1865" i="2"/>
  <c r="N1865" i="2"/>
  <c r="J1865" i="2"/>
  <c r="Z1864" i="2"/>
  <c r="V1864" i="2"/>
  <c r="R1864" i="2"/>
  <c r="N1864" i="2"/>
  <c r="J1864" i="2"/>
  <c r="Z1863" i="2"/>
  <c r="V1863" i="2"/>
  <c r="R1863" i="2"/>
  <c r="N1863" i="2"/>
  <c r="J1863" i="2"/>
  <c r="Z1862" i="2"/>
  <c r="V1862" i="2"/>
  <c r="R1862" i="2"/>
  <c r="N1862" i="2"/>
  <c r="J1862" i="2"/>
  <c r="Z1861" i="2"/>
  <c r="V1861" i="2"/>
  <c r="R1861" i="2"/>
  <c r="N1861" i="2"/>
  <c r="J1861" i="2"/>
  <c r="Z1860" i="2"/>
  <c r="V1860" i="2"/>
  <c r="R1860" i="2"/>
  <c r="N1860" i="2"/>
  <c r="J1860" i="2"/>
  <c r="Z1859" i="2"/>
  <c r="V1859" i="2"/>
  <c r="R1859" i="2"/>
  <c r="N1859" i="2"/>
  <c r="J1859" i="2"/>
  <c r="Z1858" i="2"/>
  <c r="V1858" i="2"/>
  <c r="R1858" i="2"/>
  <c r="N1858" i="2"/>
  <c r="J1858" i="2"/>
  <c r="Z1857" i="2"/>
  <c r="V1857" i="2"/>
  <c r="R1857" i="2"/>
  <c r="N1857" i="2"/>
  <c r="J1857" i="2"/>
  <c r="Z1856" i="2"/>
  <c r="V1856" i="2"/>
  <c r="R1856" i="2"/>
  <c r="N1856" i="2"/>
  <c r="J1856" i="2"/>
  <c r="Z1855" i="2"/>
  <c r="V1855" i="2"/>
  <c r="R1855" i="2"/>
  <c r="N1855" i="2"/>
  <c r="J1855" i="2"/>
  <c r="Z1854" i="2"/>
  <c r="V1854" i="2"/>
  <c r="R1854" i="2"/>
  <c r="N1854" i="2"/>
  <c r="J1854" i="2"/>
  <c r="Z1853" i="2"/>
  <c r="V1853" i="2"/>
  <c r="R1853" i="2"/>
  <c r="N1853" i="2"/>
  <c r="J1853" i="2"/>
  <c r="Z1852" i="2"/>
  <c r="V1852" i="2"/>
  <c r="R1852" i="2"/>
  <c r="N1852" i="2"/>
  <c r="J1852" i="2"/>
  <c r="Z1851" i="2"/>
  <c r="V1851" i="2"/>
  <c r="R1851" i="2"/>
  <c r="N1851" i="2"/>
  <c r="J1851" i="2"/>
  <c r="Z1850" i="2"/>
  <c r="V1850" i="2"/>
  <c r="R1850" i="2"/>
  <c r="N1850" i="2"/>
  <c r="J1850" i="2"/>
  <c r="Z1849" i="2"/>
  <c r="V1849" i="2"/>
  <c r="R1849" i="2"/>
  <c r="N1849" i="2"/>
  <c r="J1849" i="2"/>
  <c r="Z1848" i="2"/>
  <c r="V1848" i="2"/>
  <c r="R1848" i="2"/>
  <c r="N1848" i="2"/>
  <c r="J1848" i="2"/>
  <c r="Z1847" i="2"/>
  <c r="V1847" i="2"/>
  <c r="R1847" i="2"/>
  <c r="N1847" i="2"/>
  <c r="J1847" i="2"/>
  <c r="Z1846" i="2"/>
  <c r="V1846" i="2"/>
  <c r="R1846" i="2"/>
  <c r="N1846" i="2"/>
  <c r="J1846" i="2"/>
  <c r="Z1845" i="2"/>
  <c r="V1845" i="2"/>
  <c r="R1845" i="2"/>
  <c r="N1845" i="2"/>
  <c r="J1845" i="2"/>
  <c r="Z1844" i="2"/>
  <c r="V1844" i="2"/>
  <c r="R1844" i="2"/>
  <c r="N1844" i="2"/>
  <c r="J1844" i="2"/>
  <c r="Z1843" i="2"/>
  <c r="V1843" i="2"/>
  <c r="R1843" i="2"/>
  <c r="N1843" i="2"/>
  <c r="J1843" i="2"/>
  <c r="Z1842" i="2"/>
  <c r="V1842" i="2"/>
  <c r="R1842" i="2"/>
  <c r="N1842" i="2"/>
  <c r="J1842" i="2"/>
  <c r="Z1841" i="2"/>
  <c r="V1841" i="2"/>
  <c r="R1841" i="2"/>
  <c r="N1841" i="2"/>
  <c r="J1841" i="2"/>
  <c r="Z1840" i="2"/>
  <c r="V1840" i="2"/>
  <c r="R1840" i="2"/>
  <c r="N1840" i="2"/>
  <c r="J1840" i="2"/>
  <c r="Z1839" i="2"/>
  <c r="V1839" i="2"/>
  <c r="R1839" i="2"/>
  <c r="N1839" i="2"/>
  <c r="J1839" i="2"/>
  <c r="Z1838" i="2"/>
  <c r="V1838" i="2"/>
  <c r="R1838" i="2"/>
  <c r="N1838" i="2"/>
  <c r="J1838" i="2"/>
  <c r="Z1837" i="2"/>
  <c r="V1837" i="2"/>
  <c r="R1837" i="2"/>
  <c r="N1837" i="2"/>
  <c r="J1837" i="2"/>
  <c r="Z1836" i="2"/>
  <c r="V1836" i="2"/>
  <c r="R1836" i="2"/>
  <c r="N1836" i="2"/>
  <c r="J1836" i="2"/>
  <c r="Z1835" i="2"/>
  <c r="V1835" i="2"/>
  <c r="R1835" i="2"/>
  <c r="N1835" i="2"/>
  <c r="J1835" i="2"/>
  <c r="Z1834" i="2"/>
  <c r="V1834" i="2"/>
  <c r="R1834" i="2"/>
  <c r="N1834" i="2"/>
  <c r="J1834" i="2"/>
  <c r="Z1833" i="2"/>
  <c r="V1833" i="2"/>
  <c r="R1833" i="2"/>
  <c r="N1833" i="2"/>
  <c r="J1833" i="2"/>
  <c r="Z1832" i="2"/>
  <c r="V1832" i="2"/>
  <c r="R1832" i="2"/>
  <c r="N1832" i="2"/>
  <c r="J1832" i="2"/>
  <c r="Z1831" i="2"/>
  <c r="V1831" i="2"/>
  <c r="R1831" i="2"/>
  <c r="N1831" i="2"/>
  <c r="J1831" i="2"/>
  <c r="Z1830" i="2"/>
  <c r="V1830" i="2"/>
  <c r="R1830" i="2"/>
  <c r="N1830" i="2"/>
  <c r="J1830" i="2"/>
  <c r="Z1829" i="2"/>
  <c r="V1829" i="2"/>
  <c r="R1829" i="2"/>
  <c r="N1829" i="2"/>
  <c r="J1829" i="2"/>
  <c r="Z1828" i="2"/>
  <c r="V1828" i="2"/>
  <c r="R1828" i="2"/>
  <c r="N1828" i="2"/>
  <c r="J1828" i="2"/>
  <c r="Z1827" i="2"/>
  <c r="V1827" i="2"/>
  <c r="R1827" i="2"/>
  <c r="N1827" i="2"/>
  <c r="J1827" i="2"/>
  <c r="Z1826" i="2"/>
  <c r="V1826" i="2"/>
  <c r="R1826" i="2"/>
  <c r="N1826" i="2"/>
  <c r="J1826" i="2"/>
  <c r="Z1825" i="2"/>
  <c r="V1825" i="2"/>
  <c r="R1825" i="2"/>
  <c r="N1825" i="2"/>
  <c r="J1825" i="2"/>
  <c r="Z1824" i="2"/>
  <c r="V1824" i="2"/>
  <c r="R1824" i="2"/>
  <c r="N1824" i="2"/>
  <c r="J1824" i="2"/>
  <c r="Z1823" i="2"/>
  <c r="V1823" i="2"/>
  <c r="R1823" i="2"/>
  <c r="N1823" i="2"/>
  <c r="J1823" i="2"/>
  <c r="Z1822" i="2"/>
  <c r="V1822" i="2"/>
  <c r="R1822" i="2"/>
  <c r="N1822" i="2"/>
  <c r="J1822" i="2"/>
  <c r="Z1821" i="2"/>
  <c r="V1821" i="2"/>
  <c r="R1821" i="2"/>
  <c r="N1821" i="2"/>
  <c r="J1821" i="2"/>
  <c r="Z1820" i="2"/>
  <c r="V1820" i="2"/>
  <c r="R1820" i="2"/>
  <c r="N1820" i="2"/>
  <c r="J1820" i="2"/>
  <c r="Z1819" i="2"/>
  <c r="V1819" i="2"/>
  <c r="R1819" i="2"/>
  <c r="N1819" i="2"/>
  <c r="J1819" i="2"/>
  <c r="Z1818" i="2"/>
  <c r="V1818" i="2"/>
  <c r="R1818" i="2"/>
  <c r="N1818" i="2"/>
  <c r="J1818" i="2"/>
  <c r="Z1817" i="2"/>
  <c r="V1817" i="2"/>
  <c r="R1817" i="2"/>
  <c r="N1817" i="2"/>
  <c r="J1817" i="2"/>
  <c r="Z1816" i="2"/>
  <c r="V1816" i="2"/>
  <c r="R1816" i="2"/>
  <c r="N1816" i="2"/>
  <c r="J1816" i="2"/>
  <c r="Z1815" i="2"/>
  <c r="V1815" i="2"/>
  <c r="R1815" i="2"/>
  <c r="N1815" i="2"/>
  <c r="J1815" i="2"/>
  <c r="Z1814" i="2"/>
  <c r="V1814" i="2"/>
  <c r="R1814" i="2"/>
  <c r="N1814" i="2"/>
  <c r="J1814" i="2"/>
  <c r="Z1813" i="2"/>
  <c r="V1813" i="2"/>
  <c r="R1813" i="2"/>
  <c r="N1813" i="2"/>
  <c r="J1813" i="2"/>
  <c r="Z1812" i="2"/>
  <c r="V1812" i="2"/>
  <c r="R1812" i="2"/>
  <c r="N1812" i="2"/>
  <c r="J1812" i="2"/>
  <c r="Z1811" i="2"/>
  <c r="V1811" i="2"/>
  <c r="R1811" i="2"/>
  <c r="N1811" i="2"/>
  <c r="J1811" i="2"/>
  <c r="Z1810" i="2"/>
  <c r="V1810" i="2"/>
  <c r="R1810" i="2"/>
  <c r="N1810" i="2"/>
  <c r="J1810" i="2"/>
  <c r="Z1809" i="2"/>
  <c r="V1809" i="2"/>
  <c r="R1809" i="2"/>
  <c r="N1809" i="2"/>
  <c r="J1809" i="2"/>
  <c r="Z1808" i="2"/>
  <c r="V1808" i="2"/>
  <c r="R1808" i="2"/>
  <c r="N1808" i="2"/>
  <c r="J1808" i="2"/>
  <c r="Z1807" i="2"/>
  <c r="V1807" i="2"/>
  <c r="R1807" i="2"/>
  <c r="N1807" i="2"/>
  <c r="J1807" i="2"/>
  <c r="Z1806" i="2"/>
  <c r="V1806" i="2"/>
  <c r="R1806" i="2"/>
  <c r="N1806" i="2"/>
  <c r="J1806" i="2"/>
  <c r="Z1805" i="2"/>
  <c r="V1805" i="2"/>
  <c r="R1805" i="2"/>
  <c r="N1805" i="2"/>
  <c r="J1805" i="2"/>
  <c r="Z1804" i="2"/>
  <c r="V1804" i="2"/>
  <c r="R1804" i="2"/>
  <c r="N1804" i="2"/>
  <c r="J1804" i="2"/>
  <c r="Z1803" i="2"/>
  <c r="V1803" i="2"/>
  <c r="R1803" i="2"/>
  <c r="N1803" i="2"/>
  <c r="J1803" i="2"/>
  <c r="Z1802" i="2"/>
  <c r="V1802" i="2"/>
  <c r="R1802" i="2"/>
  <c r="N1802" i="2"/>
  <c r="J1802" i="2"/>
  <c r="Z1801" i="2"/>
  <c r="V1801" i="2"/>
  <c r="R1801" i="2"/>
  <c r="N1801" i="2"/>
  <c r="J1801" i="2"/>
  <c r="Z1800" i="2"/>
  <c r="V1800" i="2"/>
  <c r="R1800" i="2"/>
  <c r="N1800" i="2"/>
  <c r="J1800" i="2"/>
  <c r="Z1799" i="2"/>
  <c r="V1799" i="2"/>
  <c r="R1799" i="2"/>
  <c r="N1799" i="2"/>
  <c r="J1799" i="2"/>
  <c r="Z1798" i="2"/>
  <c r="V1798" i="2"/>
  <c r="R1798" i="2"/>
  <c r="N1798" i="2"/>
  <c r="J1798" i="2"/>
  <c r="Z1797" i="2"/>
  <c r="V1797" i="2"/>
  <c r="R1797" i="2"/>
  <c r="N1797" i="2"/>
  <c r="J1797" i="2"/>
  <c r="Z1796" i="2"/>
  <c r="V1796" i="2"/>
  <c r="R1796" i="2"/>
  <c r="N1796" i="2"/>
  <c r="J1796" i="2"/>
  <c r="Z1795" i="2"/>
  <c r="V1795" i="2"/>
  <c r="R1795" i="2"/>
  <c r="N1795" i="2"/>
  <c r="J1795" i="2"/>
  <c r="Z1794" i="2"/>
  <c r="V1794" i="2"/>
  <c r="R1794" i="2"/>
  <c r="N1794" i="2"/>
  <c r="J1794" i="2"/>
  <c r="Z1793" i="2"/>
  <c r="V1793" i="2"/>
  <c r="R1793" i="2"/>
  <c r="N1793" i="2"/>
  <c r="J1793" i="2"/>
  <c r="Z1792" i="2"/>
  <c r="V1792" i="2"/>
  <c r="R1792" i="2"/>
  <c r="N1792" i="2"/>
  <c r="J1792" i="2"/>
  <c r="Z1791" i="2"/>
  <c r="V1791" i="2"/>
  <c r="R1791" i="2"/>
  <c r="N1791" i="2"/>
  <c r="J1791" i="2"/>
  <c r="Z1790" i="2"/>
  <c r="V1790" i="2"/>
  <c r="R1790" i="2"/>
  <c r="N1790" i="2"/>
  <c r="J1790" i="2"/>
  <c r="Z1789" i="2"/>
  <c r="V1789" i="2"/>
  <c r="R1789" i="2"/>
  <c r="N1789" i="2"/>
  <c r="J1789" i="2"/>
  <c r="Z1788" i="2"/>
  <c r="V1788" i="2"/>
  <c r="R1788" i="2"/>
  <c r="N1788" i="2"/>
  <c r="J1788" i="2"/>
  <c r="Z1787" i="2"/>
  <c r="V1787" i="2"/>
  <c r="R1787" i="2"/>
  <c r="N1787" i="2"/>
  <c r="J1787" i="2"/>
  <c r="Z1786" i="2"/>
  <c r="V1786" i="2"/>
  <c r="R1786" i="2"/>
  <c r="N1786" i="2"/>
  <c r="J1786" i="2"/>
  <c r="Z1785" i="2"/>
  <c r="V1785" i="2"/>
  <c r="R1785" i="2"/>
  <c r="N1785" i="2"/>
  <c r="J1785" i="2"/>
  <c r="Z1784" i="2"/>
  <c r="V1784" i="2"/>
  <c r="R1784" i="2"/>
  <c r="N1784" i="2"/>
  <c r="J1784" i="2"/>
  <c r="Z1783" i="2"/>
  <c r="V1783" i="2"/>
  <c r="R1783" i="2"/>
  <c r="N1783" i="2"/>
  <c r="J1783" i="2"/>
  <c r="Z1782" i="2"/>
  <c r="V1782" i="2"/>
  <c r="R1782" i="2"/>
  <c r="N1782" i="2"/>
  <c r="J1782" i="2"/>
  <c r="Z1781" i="2"/>
  <c r="V1781" i="2"/>
  <c r="R1781" i="2"/>
  <c r="N1781" i="2"/>
  <c r="J1781" i="2"/>
  <c r="Z1780" i="2"/>
  <c r="V1780" i="2"/>
  <c r="R1780" i="2"/>
  <c r="N1780" i="2"/>
  <c r="J1780" i="2"/>
  <c r="Z1779" i="2"/>
  <c r="V1779" i="2"/>
  <c r="R1779" i="2"/>
  <c r="N1779" i="2"/>
  <c r="J1779" i="2"/>
  <c r="Z1778" i="2"/>
  <c r="V1778" i="2"/>
  <c r="R1778" i="2"/>
  <c r="N1778" i="2"/>
  <c r="J1778" i="2"/>
  <c r="Z1777" i="2"/>
  <c r="V1777" i="2"/>
  <c r="R1777" i="2"/>
  <c r="N1777" i="2"/>
  <c r="J1777" i="2"/>
  <c r="Z1776" i="2"/>
  <c r="V1776" i="2"/>
  <c r="R1776" i="2"/>
  <c r="N1776" i="2"/>
  <c r="J1776" i="2"/>
  <c r="Z1775" i="2"/>
  <c r="V1775" i="2"/>
  <c r="R1775" i="2"/>
  <c r="N1775" i="2"/>
  <c r="J1775" i="2"/>
  <c r="Z1774" i="2"/>
  <c r="V1774" i="2"/>
  <c r="R1774" i="2"/>
  <c r="N1774" i="2"/>
  <c r="J1774" i="2"/>
  <c r="Z1773" i="2"/>
  <c r="V1773" i="2"/>
  <c r="R1773" i="2"/>
  <c r="N1773" i="2"/>
  <c r="J1773" i="2"/>
  <c r="Z1772" i="2"/>
  <c r="V1772" i="2"/>
  <c r="R1772" i="2"/>
  <c r="N1772" i="2"/>
  <c r="J1772" i="2"/>
  <c r="Z1771" i="2"/>
  <c r="V1771" i="2"/>
  <c r="R1771" i="2"/>
  <c r="N1771" i="2"/>
  <c r="J1771" i="2"/>
  <c r="Z1770" i="2"/>
  <c r="V1770" i="2"/>
  <c r="R1770" i="2"/>
  <c r="N1770" i="2"/>
  <c r="J1770" i="2"/>
  <c r="Z1769" i="2"/>
  <c r="V1769" i="2"/>
  <c r="R1769" i="2"/>
  <c r="N1769" i="2"/>
  <c r="J1769" i="2"/>
  <c r="Z1768" i="2"/>
  <c r="V1768" i="2"/>
  <c r="R1768" i="2"/>
  <c r="N1768" i="2"/>
  <c r="J1768" i="2"/>
  <c r="Z1767" i="2"/>
  <c r="V1767" i="2"/>
  <c r="R1767" i="2"/>
  <c r="N1767" i="2"/>
  <c r="J1767" i="2"/>
  <c r="Z1766" i="2"/>
  <c r="V1766" i="2"/>
  <c r="R1766" i="2"/>
  <c r="N1766" i="2"/>
  <c r="J1766" i="2"/>
  <c r="Z1765" i="2"/>
  <c r="V1765" i="2"/>
  <c r="R1765" i="2"/>
  <c r="N1765" i="2"/>
  <c r="J1765" i="2"/>
  <c r="Z1764" i="2"/>
  <c r="V1764" i="2"/>
  <c r="R1764" i="2"/>
  <c r="N1764" i="2"/>
  <c r="J1764" i="2"/>
  <c r="Z1763" i="2"/>
  <c r="V1763" i="2"/>
  <c r="R1763" i="2"/>
  <c r="N1763" i="2"/>
  <c r="J1763" i="2"/>
  <c r="Z1762" i="2"/>
  <c r="V1762" i="2"/>
  <c r="R1762" i="2"/>
  <c r="N1762" i="2"/>
  <c r="J1762" i="2"/>
  <c r="Z1761" i="2"/>
  <c r="V1761" i="2"/>
  <c r="R1761" i="2"/>
  <c r="N1761" i="2"/>
  <c r="J1761" i="2"/>
  <c r="Z1760" i="2"/>
  <c r="V1760" i="2"/>
  <c r="R1760" i="2"/>
  <c r="N1760" i="2"/>
  <c r="J1760" i="2"/>
  <c r="Z1759" i="2"/>
  <c r="V1759" i="2"/>
  <c r="R1759" i="2"/>
  <c r="N1759" i="2"/>
  <c r="J1759" i="2"/>
  <c r="Z1758" i="2"/>
  <c r="V1758" i="2"/>
  <c r="R1758" i="2"/>
  <c r="N1758" i="2"/>
  <c r="J1758" i="2"/>
  <c r="Z1757" i="2"/>
  <c r="V1757" i="2"/>
  <c r="R1757" i="2"/>
  <c r="N1757" i="2"/>
  <c r="J1757" i="2"/>
  <c r="Z1756" i="2"/>
  <c r="V1756" i="2"/>
  <c r="R1756" i="2"/>
  <c r="N1756" i="2"/>
  <c r="J1756" i="2"/>
  <c r="Z1755" i="2"/>
  <c r="V1755" i="2"/>
  <c r="R1755" i="2"/>
  <c r="N1755" i="2"/>
  <c r="J1755" i="2"/>
  <c r="Z1754" i="2"/>
  <c r="V1754" i="2"/>
  <c r="R1754" i="2"/>
  <c r="N1754" i="2"/>
  <c r="J1754" i="2"/>
  <c r="Z1753" i="2"/>
  <c r="V1753" i="2"/>
  <c r="R1753" i="2"/>
  <c r="N1753" i="2"/>
  <c r="J1753" i="2"/>
  <c r="Z1752" i="2"/>
  <c r="V1752" i="2"/>
  <c r="R1752" i="2"/>
  <c r="N1752" i="2"/>
  <c r="J1752" i="2"/>
  <c r="Z1751" i="2"/>
  <c r="V1751" i="2"/>
  <c r="R1751" i="2"/>
  <c r="N1751" i="2"/>
  <c r="J1751" i="2"/>
  <c r="Z1750" i="2"/>
  <c r="V1750" i="2"/>
  <c r="R1750" i="2"/>
  <c r="N1750" i="2"/>
  <c r="J1750" i="2"/>
  <c r="Z1749" i="2"/>
  <c r="V1749" i="2"/>
  <c r="R1749" i="2"/>
  <c r="N1749" i="2"/>
  <c r="J1749" i="2"/>
  <c r="Z1748" i="2"/>
  <c r="V1748" i="2"/>
  <c r="R1748" i="2"/>
  <c r="N1748" i="2"/>
  <c r="J1748" i="2"/>
  <c r="Z1747" i="2"/>
  <c r="V1747" i="2"/>
  <c r="R1747" i="2"/>
  <c r="N1747" i="2"/>
  <c r="J1747" i="2"/>
  <c r="Z1746" i="2"/>
  <c r="V1746" i="2"/>
  <c r="R1746" i="2"/>
  <c r="N1746" i="2"/>
  <c r="J1746" i="2"/>
  <c r="Z1745" i="2"/>
  <c r="V1745" i="2"/>
  <c r="R1745" i="2"/>
  <c r="N1745" i="2"/>
  <c r="J1745" i="2"/>
  <c r="Z1744" i="2"/>
  <c r="V1744" i="2"/>
  <c r="R1744" i="2"/>
  <c r="N1744" i="2"/>
  <c r="J1744" i="2"/>
  <c r="Z1743" i="2"/>
  <c r="V1743" i="2"/>
  <c r="R1743" i="2"/>
  <c r="N1743" i="2"/>
  <c r="J1743" i="2"/>
  <c r="Z1742" i="2"/>
  <c r="V1742" i="2"/>
  <c r="R1742" i="2"/>
  <c r="N1742" i="2"/>
  <c r="J1742" i="2"/>
  <c r="Z1741" i="2"/>
  <c r="V1741" i="2"/>
  <c r="R1741" i="2"/>
  <c r="N1741" i="2"/>
  <c r="J1741" i="2"/>
  <c r="Z1740" i="2"/>
  <c r="V1740" i="2"/>
  <c r="R1740" i="2"/>
  <c r="N1740" i="2"/>
  <c r="J1740" i="2"/>
  <c r="Z1739" i="2"/>
  <c r="V1739" i="2"/>
  <c r="R1739" i="2"/>
  <c r="N1739" i="2"/>
  <c r="J1739" i="2"/>
  <c r="Z1738" i="2"/>
  <c r="V1738" i="2"/>
  <c r="R1738" i="2"/>
  <c r="N1738" i="2"/>
  <c r="J1738" i="2"/>
  <c r="Z1737" i="2"/>
  <c r="V1737" i="2"/>
  <c r="R1737" i="2"/>
  <c r="N1737" i="2"/>
  <c r="J1737" i="2"/>
  <c r="Z1736" i="2"/>
  <c r="V1736" i="2"/>
  <c r="R1736" i="2"/>
  <c r="N1736" i="2"/>
  <c r="J1736" i="2"/>
  <c r="Z1735" i="2"/>
  <c r="V1735" i="2"/>
  <c r="R1735" i="2"/>
  <c r="N1735" i="2"/>
  <c r="J1735" i="2"/>
  <c r="Z1734" i="2"/>
  <c r="V1734" i="2"/>
  <c r="R1734" i="2"/>
  <c r="N1734" i="2"/>
  <c r="J1734" i="2"/>
  <c r="Z1733" i="2"/>
  <c r="V1733" i="2"/>
  <c r="R1733" i="2"/>
  <c r="N1733" i="2"/>
  <c r="J1733" i="2"/>
  <c r="Z1732" i="2"/>
  <c r="V1732" i="2"/>
  <c r="R1732" i="2"/>
  <c r="N1732" i="2"/>
  <c r="J1732" i="2"/>
  <c r="Z1731" i="2"/>
  <c r="V1731" i="2"/>
  <c r="R1731" i="2"/>
  <c r="N1731" i="2"/>
  <c r="J1731" i="2"/>
  <c r="Z1730" i="2"/>
  <c r="V1730" i="2"/>
  <c r="R1730" i="2"/>
  <c r="N1730" i="2"/>
  <c r="J1730" i="2"/>
  <c r="Z1729" i="2"/>
  <c r="V1729" i="2"/>
  <c r="R1729" i="2"/>
  <c r="N1729" i="2"/>
  <c r="J1729" i="2"/>
  <c r="Z1728" i="2"/>
  <c r="V1728" i="2"/>
  <c r="R1728" i="2"/>
  <c r="N1728" i="2"/>
  <c r="J1728" i="2"/>
  <c r="Z1727" i="2"/>
  <c r="V1727" i="2"/>
  <c r="R1727" i="2"/>
  <c r="N1727" i="2"/>
  <c r="J1727" i="2"/>
  <c r="Z1726" i="2"/>
  <c r="V1726" i="2"/>
  <c r="R1726" i="2"/>
  <c r="N1726" i="2"/>
  <c r="J1726" i="2"/>
  <c r="Z1725" i="2"/>
  <c r="V1725" i="2"/>
  <c r="R1725" i="2"/>
  <c r="N1725" i="2"/>
  <c r="J1725" i="2"/>
  <c r="Z1724" i="2"/>
  <c r="V1724" i="2"/>
  <c r="R1724" i="2"/>
  <c r="N1724" i="2"/>
  <c r="J1724" i="2"/>
  <c r="Z1723" i="2"/>
  <c r="V1723" i="2"/>
  <c r="R1723" i="2"/>
  <c r="N1723" i="2"/>
  <c r="J1723" i="2"/>
  <c r="Z1722" i="2"/>
  <c r="V1722" i="2"/>
  <c r="R1722" i="2"/>
  <c r="N1722" i="2"/>
  <c r="J1722" i="2"/>
  <c r="Z1721" i="2"/>
  <c r="V1721" i="2"/>
  <c r="R1721" i="2"/>
  <c r="N1721" i="2"/>
  <c r="J1721" i="2"/>
  <c r="Z1720" i="2"/>
  <c r="V1720" i="2"/>
  <c r="R1720" i="2"/>
  <c r="N1720" i="2"/>
  <c r="J1720" i="2"/>
  <c r="Z1719" i="2"/>
  <c r="V1719" i="2"/>
  <c r="R1719" i="2"/>
  <c r="N1719" i="2"/>
  <c r="J1719" i="2"/>
  <c r="Z1718" i="2"/>
  <c r="V1718" i="2"/>
  <c r="R1718" i="2"/>
  <c r="N1718" i="2"/>
  <c r="J1718" i="2"/>
  <c r="Z1717" i="2"/>
  <c r="V1717" i="2"/>
  <c r="R1717" i="2"/>
  <c r="N1717" i="2"/>
  <c r="J1717" i="2"/>
  <c r="Z1716" i="2"/>
  <c r="V1716" i="2"/>
  <c r="R1716" i="2"/>
  <c r="N1716" i="2"/>
  <c r="J1716" i="2"/>
  <c r="Z1715" i="2"/>
  <c r="V1715" i="2"/>
  <c r="R1715" i="2"/>
  <c r="N1715" i="2"/>
  <c r="J1715" i="2"/>
  <c r="Z1714" i="2"/>
  <c r="V1714" i="2"/>
  <c r="R1714" i="2"/>
  <c r="N1714" i="2"/>
  <c r="J1714" i="2"/>
  <c r="Z1713" i="2"/>
  <c r="V1713" i="2"/>
  <c r="R1713" i="2"/>
  <c r="N1713" i="2"/>
  <c r="J1713" i="2"/>
  <c r="Z1712" i="2"/>
  <c r="V1712" i="2"/>
  <c r="R1712" i="2"/>
  <c r="N1712" i="2"/>
  <c r="J1712" i="2"/>
  <c r="Z1711" i="2"/>
  <c r="V1711" i="2"/>
  <c r="R1711" i="2"/>
  <c r="N1711" i="2"/>
  <c r="J1711" i="2"/>
  <c r="Z1710" i="2"/>
  <c r="V1710" i="2"/>
  <c r="R1710" i="2"/>
  <c r="N1710" i="2"/>
  <c r="J1710" i="2"/>
  <c r="Z1709" i="2"/>
  <c r="V1709" i="2"/>
  <c r="R1709" i="2"/>
  <c r="N1709" i="2"/>
  <c r="J1709" i="2"/>
  <c r="Z1708" i="2"/>
  <c r="V1708" i="2"/>
  <c r="R1708" i="2"/>
  <c r="N1708" i="2"/>
  <c r="J1708" i="2"/>
  <c r="Z1707" i="2"/>
  <c r="V1707" i="2"/>
  <c r="R1707" i="2"/>
  <c r="N1707" i="2"/>
  <c r="J1707" i="2"/>
  <c r="Z1706" i="2"/>
  <c r="V1706" i="2"/>
  <c r="R1706" i="2"/>
  <c r="N1706" i="2"/>
  <c r="J1706" i="2"/>
  <c r="Z1705" i="2"/>
  <c r="V1705" i="2"/>
  <c r="R1705" i="2"/>
  <c r="N1705" i="2"/>
  <c r="J1705" i="2"/>
  <c r="Z1704" i="2"/>
  <c r="V1704" i="2"/>
  <c r="R1704" i="2"/>
  <c r="N1704" i="2"/>
  <c r="J1704" i="2"/>
  <c r="Z1703" i="2"/>
  <c r="V1703" i="2"/>
  <c r="R1703" i="2"/>
  <c r="N1703" i="2"/>
  <c r="J1703" i="2"/>
  <c r="Z1702" i="2"/>
  <c r="V1702" i="2"/>
  <c r="R1702" i="2"/>
  <c r="N1702" i="2"/>
  <c r="J1702" i="2"/>
  <c r="Z1701" i="2"/>
  <c r="V1701" i="2"/>
  <c r="R1701" i="2"/>
  <c r="N1701" i="2"/>
  <c r="J1701" i="2"/>
  <c r="Z1700" i="2"/>
  <c r="V1700" i="2"/>
  <c r="R1700" i="2"/>
  <c r="N1700" i="2"/>
  <c r="J1700" i="2"/>
  <c r="Z1699" i="2"/>
  <c r="V1699" i="2"/>
  <c r="R1699" i="2"/>
  <c r="N1699" i="2"/>
  <c r="J1699" i="2"/>
  <c r="Z1698" i="2"/>
  <c r="V1698" i="2"/>
  <c r="R1698" i="2"/>
  <c r="N1698" i="2"/>
  <c r="J1698" i="2"/>
  <c r="Z1697" i="2"/>
  <c r="V1697" i="2"/>
  <c r="R1697" i="2"/>
  <c r="N1697" i="2"/>
  <c r="J1697" i="2"/>
  <c r="Z1696" i="2"/>
  <c r="V1696" i="2"/>
  <c r="R1696" i="2"/>
  <c r="N1696" i="2"/>
  <c r="J1696" i="2"/>
  <c r="Z1695" i="2"/>
  <c r="V1695" i="2"/>
  <c r="R1695" i="2"/>
  <c r="N1695" i="2"/>
  <c r="J1695" i="2"/>
  <c r="Z1694" i="2"/>
  <c r="V1694" i="2"/>
  <c r="R1694" i="2"/>
  <c r="N1694" i="2"/>
  <c r="J1694" i="2"/>
  <c r="Z1693" i="2"/>
  <c r="V1693" i="2"/>
  <c r="R1693" i="2"/>
  <c r="N1693" i="2"/>
  <c r="J1693" i="2"/>
  <c r="Z1692" i="2"/>
  <c r="V1692" i="2"/>
  <c r="R1692" i="2"/>
  <c r="N1692" i="2"/>
  <c r="J1692" i="2"/>
  <c r="Z1691" i="2"/>
  <c r="V1691" i="2"/>
  <c r="R1691" i="2"/>
  <c r="N1691" i="2"/>
  <c r="J1691" i="2"/>
  <c r="Z1690" i="2"/>
  <c r="V1690" i="2"/>
  <c r="R1690" i="2"/>
  <c r="N1690" i="2"/>
  <c r="J1690" i="2"/>
  <c r="Z1689" i="2"/>
  <c r="V1689" i="2"/>
  <c r="R1689" i="2"/>
  <c r="N1689" i="2"/>
  <c r="J1689" i="2"/>
  <c r="Z1688" i="2"/>
  <c r="V1688" i="2"/>
  <c r="R1688" i="2"/>
  <c r="N1688" i="2"/>
  <c r="J1688" i="2"/>
  <c r="Z1687" i="2"/>
  <c r="V1687" i="2"/>
  <c r="R1687" i="2"/>
  <c r="N1687" i="2"/>
  <c r="J1687" i="2"/>
  <c r="Z1686" i="2"/>
  <c r="V1686" i="2"/>
  <c r="R1686" i="2"/>
  <c r="N1686" i="2"/>
  <c r="J1686" i="2"/>
  <c r="Z1685" i="2"/>
  <c r="V1685" i="2"/>
  <c r="R1685" i="2"/>
  <c r="N1685" i="2"/>
  <c r="J1685" i="2"/>
  <c r="Z1684" i="2"/>
  <c r="V1684" i="2"/>
  <c r="R1684" i="2"/>
  <c r="N1684" i="2"/>
  <c r="J1684" i="2"/>
  <c r="Z1683" i="2"/>
  <c r="V1683" i="2"/>
  <c r="R1683" i="2"/>
  <c r="N1683" i="2"/>
  <c r="J1683" i="2"/>
  <c r="Z1682" i="2"/>
  <c r="V1682" i="2"/>
  <c r="R1682" i="2"/>
  <c r="N1682" i="2"/>
  <c r="J1682" i="2"/>
  <c r="Z1681" i="2"/>
  <c r="V1681" i="2"/>
  <c r="R1681" i="2"/>
  <c r="N1681" i="2"/>
  <c r="J1681" i="2"/>
  <c r="Z1680" i="2"/>
  <c r="V1680" i="2"/>
  <c r="R1680" i="2"/>
  <c r="N1680" i="2"/>
  <c r="J1680" i="2"/>
  <c r="Z1679" i="2"/>
  <c r="V1679" i="2"/>
  <c r="R1679" i="2"/>
  <c r="N1679" i="2"/>
  <c r="J1679" i="2"/>
  <c r="Z1678" i="2"/>
  <c r="V1678" i="2"/>
  <c r="R1678" i="2"/>
  <c r="N1678" i="2"/>
  <c r="J1678" i="2"/>
  <c r="Z1677" i="2"/>
  <c r="V1677" i="2"/>
  <c r="R1677" i="2"/>
  <c r="N1677" i="2"/>
  <c r="J1677" i="2"/>
  <c r="Z1676" i="2"/>
  <c r="V1676" i="2"/>
  <c r="R1676" i="2"/>
  <c r="N1676" i="2"/>
  <c r="J1676" i="2"/>
  <c r="Z1675" i="2"/>
  <c r="V1675" i="2"/>
  <c r="R1675" i="2"/>
  <c r="N1675" i="2"/>
  <c r="J1675" i="2"/>
  <c r="Z1674" i="2"/>
  <c r="V1674" i="2"/>
  <c r="R1674" i="2"/>
  <c r="N1674" i="2"/>
  <c r="J1674" i="2"/>
  <c r="Z1673" i="2"/>
  <c r="V1673" i="2"/>
  <c r="R1673" i="2"/>
  <c r="N1673" i="2"/>
  <c r="J1673" i="2"/>
  <c r="Z1672" i="2"/>
  <c r="V1672" i="2"/>
  <c r="R1672" i="2"/>
  <c r="N1672" i="2"/>
  <c r="J1672" i="2"/>
  <c r="Z1671" i="2"/>
  <c r="V1671" i="2"/>
  <c r="R1671" i="2"/>
  <c r="N1671" i="2"/>
  <c r="J1671" i="2"/>
  <c r="Z1670" i="2"/>
  <c r="V1670" i="2"/>
  <c r="R1670" i="2"/>
  <c r="N1670" i="2"/>
  <c r="J1670" i="2"/>
  <c r="Z1669" i="2"/>
  <c r="V1669" i="2"/>
  <c r="R1669" i="2"/>
  <c r="N1669" i="2"/>
  <c r="J1669" i="2"/>
  <c r="Z1668" i="2"/>
  <c r="V1668" i="2"/>
  <c r="R1668" i="2"/>
  <c r="N1668" i="2"/>
  <c r="J1668" i="2"/>
  <c r="Z1667" i="2"/>
  <c r="V1667" i="2"/>
  <c r="R1667" i="2"/>
  <c r="N1667" i="2"/>
  <c r="J1667" i="2"/>
  <c r="Z1666" i="2"/>
  <c r="V1666" i="2"/>
  <c r="R1666" i="2"/>
  <c r="N1666" i="2"/>
  <c r="J1666" i="2"/>
  <c r="Z1665" i="2"/>
  <c r="V1665" i="2"/>
  <c r="R1665" i="2"/>
  <c r="N1665" i="2"/>
  <c r="J1665" i="2"/>
  <c r="Z1664" i="2"/>
  <c r="V1664" i="2"/>
  <c r="R1664" i="2"/>
  <c r="N1664" i="2"/>
  <c r="J1664" i="2"/>
  <c r="Z1663" i="2"/>
  <c r="V1663" i="2"/>
  <c r="R1663" i="2"/>
  <c r="N1663" i="2"/>
  <c r="J1663" i="2"/>
  <c r="Z1662" i="2"/>
  <c r="V1662" i="2"/>
  <c r="R1662" i="2"/>
  <c r="N1662" i="2"/>
  <c r="J1662" i="2"/>
  <c r="Z1661" i="2"/>
  <c r="V1661" i="2"/>
  <c r="R1661" i="2"/>
  <c r="N1661" i="2"/>
  <c r="J1661" i="2"/>
  <c r="Z1660" i="2"/>
  <c r="V1660" i="2"/>
  <c r="R1660" i="2"/>
  <c r="N1660" i="2"/>
  <c r="J1660" i="2"/>
  <c r="Z1659" i="2"/>
  <c r="V1659" i="2"/>
  <c r="R1659" i="2"/>
  <c r="N1659" i="2"/>
  <c r="J1659" i="2"/>
  <c r="Z1658" i="2"/>
  <c r="V1658" i="2"/>
  <c r="R1658" i="2"/>
  <c r="N1658" i="2"/>
  <c r="J1658" i="2"/>
  <c r="Z1657" i="2"/>
  <c r="V1657" i="2"/>
  <c r="R1657" i="2"/>
  <c r="N1657" i="2"/>
  <c r="J1657" i="2"/>
  <c r="Z1656" i="2"/>
  <c r="V1656" i="2"/>
  <c r="R1656" i="2"/>
  <c r="N1656" i="2"/>
  <c r="J1656" i="2"/>
  <c r="Z1655" i="2"/>
  <c r="V1655" i="2"/>
  <c r="R1655" i="2"/>
  <c r="N1655" i="2"/>
  <c r="J1655" i="2"/>
  <c r="Z1654" i="2"/>
  <c r="V1654" i="2"/>
  <c r="R1654" i="2"/>
  <c r="N1654" i="2"/>
  <c r="J1654" i="2"/>
  <c r="Z1653" i="2"/>
  <c r="V1653" i="2"/>
  <c r="R1653" i="2"/>
  <c r="N1653" i="2"/>
  <c r="J1653" i="2"/>
  <c r="Z1652" i="2"/>
  <c r="V1652" i="2"/>
  <c r="R1652" i="2"/>
  <c r="N1652" i="2"/>
  <c r="J1652" i="2"/>
  <c r="Z1651" i="2"/>
  <c r="V1651" i="2"/>
  <c r="R1651" i="2"/>
  <c r="N1651" i="2"/>
  <c r="J1651" i="2"/>
  <c r="Z1650" i="2"/>
  <c r="V1650" i="2"/>
  <c r="R1650" i="2"/>
  <c r="N1650" i="2"/>
  <c r="J1650" i="2"/>
  <c r="Z1649" i="2"/>
  <c r="V1649" i="2"/>
  <c r="R1649" i="2"/>
  <c r="N1649" i="2"/>
  <c r="J1649" i="2"/>
  <c r="Z1648" i="2"/>
  <c r="V1648" i="2"/>
  <c r="R1648" i="2"/>
  <c r="N1648" i="2"/>
  <c r="J1648" i="2"/>
  <c r="Z1647" i="2"/>
  <c r="V1647" i="2"/>
  <c r="R1647" i="2"/>
  <c r="N1647" i="2"/>
  <c r="J1647" i="2"/>
  <c r="Z1646" i="2"/>
  <c r="V1646" i="2"/>
  <c r="R1646" i="2"/>
  <c r="N1646" i="2"/>
  <c r="J1646" i="2"/>
  <c r="Z1645" i="2"/>
  <c r="V1645" i="2"/>
  <c r="R1645" i="2"/>
  <c r="N1645" i="2"/>
  <c r="J1645" i="2"/>
  <c r="Z1644" i="2"/>
  <c r="V1644" i="2"/>
  <c r="R1644" i="2"/>
  <c r="N1644" i="2"/>
  <c r="J1644" i="2"/>
  <c r="Z1643" i="2"/>
  <c r="V1643" i="2"/>
  <c r="R1643" i="2"/>
  <c r="N1643" i="2"/>
  <c r="J1643" i="2"/>
  <c r="Z1642" i="2"/>
  <c r="V1642" i="2"/>
  <c r="R1642" i="2"/>
  <c r="N1642" i="2"/>
  <c r="J1642" i="2"/>
  <c r="Z1641" i="2"/>
  <c r="V1641" i="2"/>
  <c r="R1641" i="2"/>
  <c r="N1641" i="2"/>
  <c r="J1641" i="2"/>
  <c r="Z1640" i="2"/>
  <c r="V1640" i="2"/>
  <c r="R1640" i="2"/>
  <c r="N1640" i="2"/>
  <c r="J1640" i="2"/>
  <c r="Z1639" i="2"/>
  <c r="V1639" i="2"/>
  <c r="R1639" i="2"/>
  <c r="N1639" i="2"/>
  <c r="J1639" i="2"/>
  <c r="Z1638" i="2"/>
  <c r="V1638" i="2"/>
  <c r="R1638" i="2"/>
  <c r="N1638" i="2"/>
  <c r="J1638" i="2"/>
  <c r="Z1637" i="2"/>
  <c r="V1637" i="2"/>
  <c r="R1637" i="2"/>
  <c r="N1637" i="2"/>
  <c r="J1637" i="2"/>
  <c r="Z1636" i="2"/>
  <c r="V1636" i="2"/>
  <c r="R1636" i="2"/>
  <c r="N1636" i="2"/>
  <c r="J1636" i="2"/>
  <c r="Z1635" i="2"/>
  <c r="V1635" i="2"/>
  <c r="R1635" i="2"/>
  <c r="N1635" i="2"/>
  <c r="J1635" i="2"/>
  <c r="Z1634" i="2"/>
  <c r="V1634" i="2"/>
  <c r="R1634" i="2"/>
  <c r="N1634" i="2"/>
  <c r="J1634" i="2"/>
  <c r="Z1633" i="2"/>
  <c r="V1633" i="2"/>
  <c r="R1633" i="2"/>
  <c r="N1633" i="2"/>
  <c r="J1633" i="2"/>
  <c r="Z1632" i="2"/>
  <c r="V1632" i="2"/>
  <c r="R1632" i="2"/>
  <c r="N1632" i="2"/>
  <c r="J1632" i="2"/>
  <c r="Z1631" i="2"/>
  <c r="V1631" i="2"/>
  <c r="R1631" i="2"/>
  <c r="N1631" i="2"/>
  <c r="J1631" i="2"/>
  <c r="Z1630" i="2"/>
  <c r="V1630" i="2"/>
  <c r="R1630" i="2"/>
  <c r="N1630" i="2"/>
  <c r="J1630" i="2"/>
  <c r="Z1629" i="2"/>
  <c r="V1629" i="2"/>
  <c r="R1629" i="2"/>
  <c r="N1629" i="2"/>
  <c r="J1629" i="2"/>
  <c r="Z1628" i="2"/>
  <c r="V1628" i="2"/>
  <c r="R1628" i="2"/>
  <c r="N1628" i="2"/>
  <c r="J1628" i="2"/>
  <c r="Z1627" i="2"/>
  <c r="V1627" i="2"/>
  <c r="R1627" i="2"/>
  <c r="N1627" i="2"/>
  <c r="J1627" i="2"/>
  <c r="Z1626" i="2"/>
  <c r="V1626" i="2"/>
  <c r="R1626" i="2"/>
  <c r="N1626" i="2"/>
  <c r="J1626" i="2"/>
  <c r="Z1625" i="2"/>
  <c r="V1625" i="2"/>
  <c r="R1625" i="2"/>
  <c r="N1625" i="2"/>
  <c r="J1625" i="2"/>
  <c r="Z1624" i="2"/>
  <c r="V1624" i="2"/>
  <c r="R1624" i="2"/>
  <c r="N1624" i="2"/>
  <c r="J1624" i="2"/>
  <c r="Z1623" i="2"/>
  <c r="V1623" i="2"/>
  <c r="R1623" i="2"/>
  <c r="N1623" i="2"/>
  <c r="J1623" i="2"/>
  <c r="Z1622" i="2"/>
  <c r="V1622" i="2"/>
  <c r="R1622" i="2"/>
  <c r="N1622" i="2"/>
  <c r="J1622" i="2"/>
  <c r="Z1621" i="2"/>
  <c r="V1621" i="2"/>
  <c r="R1621" i="2"/>
  <c r="N1621" i="2"/>
  <c r="J1621" i="2"/>
  <c r="Z1620" i="2"/>
  <c r="V1620" i="2"/>
  <c r="R1620" i="2"/>
  <c r="N1620" i="2"/>
  <c r="J1620" i="2"/>
  <c r="Z1619" i="2"/>
  <c r="V1619" i="2"/>
  <c r="R1619" i="2"/>
  <c r="N1619" i="2"/>
  <c r="J1619" i="2"/>
  <c r="Z1618" i="2"/>
  <c r="V1618" i="2"/>
  <c r="R1618" i="2"/>
  <c r="N1618" i="2"/>
  <c r="J1618" i="2"/>
  <c r="Z1617" i="2"/>
  <c r="V1617" i="2"/>
  <c r="R1617" i="2"/>
  <c r="N1617" i="2"/>
  <c r="J1617" i="2"/>
  <c r="Z1616" i="2"/>
  <c r="V1616" i="2"/>
  <c r="R1616" i="2"/>
  <c r="N1616" i="2"/>
  <c r="J1616" i="2"/>
  <c r="Z1615" i="2"/>
  <c r="V1615" i="2"/>
  <c r="R1615" i="2"/>
  <c r="N1615" i="2"/>
  <c r="J1615" i="2"/>
  <c r="Z1614" i="2"/>
  <c r="V1614" i="2"/>
  <c r="R1614" i="2"/>
  <c r="N1614" i="2"/>
  <c r="J1614" i="2"/>
  <c r="Z1613" i="2"/>
  <c r="V1613" i="2"/>
  <c r="R1613" i="2"/>
  <c r="N1613" i="2"/>
  <c r="J1613" i="2"/>
  <c r="Z1612" i="2"/>
  <c r="V1612" i="2"/>
  <c r="R1612" i="2"/>
  <c r="N1612" i="2"/>
  <c r="J1612" i="2"/>
  <c r="Z1611" i="2"/>
  <c r="V1611" i="2"/>
  <c r="R1611" i="2"/>
  <c r="N1611" i="2"/>
  <c r="J1611" i="2"/>
  <c r="Z1610" i="2"/>
  <c r="V1610" i="2"/>
  <c r="R1610" i="2"/>
  <c r="N1610" i="2"/>
  <c r="J1610" i="2"/>
  <c r="Z1609" i="2"/>
  <c r="V1609" i="2"/>
  <c r="R1609" i="2"/>
  <c r="N1609" i="2"/>
  <c r="J1609" i="2"/>
  <c r="Z1608" i="2"/>
  <c r="V1608" i="2"/>
  <c r="R1608" i="2"/>
  <c r="N1608" i="2"/>
  <c r="J1608" i="2"/>
  <c r="Z1607" i="2"/>
  <c r="V1607" i="2"/>
  <c r="R1607" i="2"/>
  <c r="N1607" i="2"/>
  <c r="J1607" i="2"/>
  <c r="Z1606" i="2"/>
  <c r="V1606" i="2"/>
  <c r="R1606" i="2"/>
  <c r="N1606" i="2"/>
  <c r="J1606" i="2"/>
  <c r="Z1605" i="2"/>
  <c r="V1605" i="2"/>
  <c r="R1605" i="2"/>
  <c r="N1605" i="2"/>
  <c r="J1605" i="2"/>
  <c r="Z1604" i="2"/>
  <c r="V1604" i="2"/>
  <c r="R1604" i="2"/>
  <c r="N1604" i="2"/>
  <c r="J1604" i="2"/>
  <c r="Z1603" i="2"/>
  <c r="V1603" i="2"/>
  <c r="R1603" i="2"/>
  <c r="N1603" i="2"/>
  <c r="J1603" i="2"/>
  <c r="Z1602" i="2"/>
  <c r="V1602" i="2"/>
  <c r="R1602" i="2"/>
  <c r="N1602" i="2"/>
  <c r="J1602" i="2"/>
  <c r="Z1601" i="2"/>
  <c r="V1601" i="2"/>
  <c r="R1601" i="2"/>
  <c r="N1601" i="2"/>
  <c r="J1601" i="2"/>
  <c r="Z1600" i="2"/>
  <c r="V1600" i="2"/>
  <c r="R1600" i="2"/>
  <c r="N1600" i="2"/>
  <c r="J1600" i="2"/>
  <c r="Z1599" i="2"/>
  <c r="V1599" i="2"/>
  <c r="R1599" i="2"/>
  <c r="N1599" i="2"/>
  <c r="J1599" i="2"/>
  <c r="Z1598" i="2"/>
  <c r="V1598" i="2"/>
  <c r="R1598" i="2"/>
  <c r="N1598" i="2"/>
  <c r="J1598" i="2"/>
  <c r="Z1597" i="2"/>
  <c r="V1597" i="2"/>
  <c r="R1597" i="2"/>
  <c r="N1597" i="2"/>
  <c r="J1597" i="2"/>
  <c r="Z1596" i="2"/>
  <c r="V1596" i="2"/>
  <c r="R1596" i="2"/>
  <c r="N1596" i="2"/>
  <c r="J1596" i="2"/>
  <c r="Z1595" i="2"/>
  <c r="V1595" i="2"/>
  <c r="R1595" i="2"/>
  <c r="N1595" i="2"/>
  <c r="J1595" i="2"/>
  <c r="Z1594" i="2"/>
  <c r="V1594" i="2"/>
  <c r="R1594" i="2"/>
  <c r="N1594" i="2"/>
  <c r="J1594" i="2"/>
  <c r="Z1593" i="2"/>
  <c r="V1593" i="2"/>
  <c r="R1593" i="2"/>
  <c r="N1593" i="2"/>
  <c r="J1593" i="2"/>
  <c r="Z1592" i="2"/>
  <c r="V1592" i="2"/>
  <c r="R1592" i="2"/>
  <c r="N1592" i="2"/>
  <c r="J1592" i="2"/>
  <c r="Z1591" i="2"/>
  <c r="V1591" i="2"/>
  <c r="R1591" i="2"/>
  <c r="N1591" i="2"/>
  <c r="J1591" i="2"/>
  <c r="Z1590" i="2"/>
  <c r="V1590" i="2"/>
  <c r="R1590" i="2"/>
  <c r="N1590" i="2"/>
  <c r="J1590" i="2"/>
  <c r="Z1589" i="2"/>
  <c r="V1589" i="2"/>
  <c r="R1589" i="2"/>
  <c r="N1589" i="2"/>
  <c r="J1589" i="2"/>
  <c r="Z1588" i="2"/>
  <c r="V1588" i="2"/>
  <c r="R1588" i="2"/>
  <c r="N1588" i="2"/>
  <c r="J1588" i="2"/>
  <c r="Z1587" i="2"/>
  <c r="V1587" i="2"/>
  <c r="R1587" i="2"/>
  <c r="N1587" i="2"/>
  <c r="J1587" i="2"/>
  <c r="Z1586" i="2"/>
  <c r="V1586" i="2"/>
  <c r="R1586" i="2"/>
  <c r="N1586" i="2"/>
  <c r="J1586" i="2"/>
  <c r="Z1585" i="2"/>
  <c r="V1585" i="2"/>
  <c r="R1585" i="2"/>
  <c r="N1585" i="2"/>
  <c r="J1585" i="2"/>
  <c r="Z1584" i="2"/>
  <c r="V1584" i="2"/>
  <c r="R1584" i="2"/>
  <c r="N1584" i="2"/>
  <c r="J1584" i="2"/>
  <c r="Z1583" i="2"/>
  <c r="V1583" i="2"/>
  <c r="R1583" i="2"/>
  <c r="N1583" i="2"/>
  <c r="J1583" i="2"/>
  <c r="Z1582" i="2"/>
  <c r="V1582" i="2"/>
  <c r="R1582" i="2"/>
  <c r="N1582" i="2"/>
  <c r="J1582" i="2"/>
  <c r="Z1581" i="2"/>
  <c r="V1581" i="2"/>
  <c r="R1581" i="2"/>
  <c r="N1581" i="2"/>
  <c r="J1581" i="2"/>
  <c r="Z1580" i="2"/>
  <c r="V1580" i="2"/>
  <c r="R1580" i="2"/>
  <c r="N1580" i="2"/>
  <c r="J1580" i="2"/>
  <c r="Z1579" i="2"/>
  <c r="V1579" i="2"/>
  <c r="R1579" i="2"/>
  <c r="N1579" i="2"/>
  <c r="J1579" i="2"/>
  <c r="Z1578" i="2"/>
  <c r="V1578" i="2"/>
  <c r="R1578" i="2"/>
  <c r="N1578" i="2"/>
  <c r="J1578" i="2"/>
  <c r="Z1577" i="2"/>
  <c r="V1577" i="2"/>
  <c r="R1577" i="2"/>
  <c r="N1577" i="2"/>
  <c r="J1577" i="2"/>
  <c r="Z1576" i="2"/>
  <c r="V1576" i="2"/>
  <c r="R1576" i="2"/>
  <c r="N1576" i="2"/>
  <c r="J1576" i="2"/>
  <c r="Z1575" i="2"/>
  <c r="V1575" i="2"/>
  <c r="R1575" i="2"/>
  <c r="N1575" i="2"/>
  <c r="J1575" i="2"/>
  <c r="Z1574" i="2"/>
  <c r="V1574" i="2"/>
  <c r="R1574" i="2"/>
  <c r="N1574" i="2"/>
  <c r="J1574" i="2"/>
  <c r="Z1573" i="2"/>
  <c r="V1573" i="2"/>
  <c r="R1573" i="2"/>
  <c r="N1573" i="2"/>
  <c r="J1573" i="2"/>
  <c r="Z1572" i="2"/>
  <c r="V1572" i="2"/>
  <c r="R1572" i="2"/>
  <c r="N1572" i="2"/>
  <c r="J1572" i="2"/>
  <c r="Z1571" i="2"/>
  <c r="V1571" i="2"/>
  <c r="R1571" i="2"/>
  <c r="N1571" i="2"/>
  <c r="J1571" i="2"/>
  <c r="Z1570" i="2"/>
  <c r="V1570" i="2"/>
  <c r="R1570" i="2"/>
  <c r="N1570" i="2"/>
  <c r="J1570" i="2"/>
  <c r="Z1569" i="2"/>
  <c r="V1569" i="2"/>
  <c r="R1569" i="2"/>
  <c r="N1569" i="2"/>
  <c r="J1569" i="2"/>
  <c r="Z1568" i="2"/>
  <c r="V1568" i="2"/>
  <c r="R1568" i="2"/>
  <c r="N1568" i="2"/>
  <c r="J1568" i="2"/>
  <c r="Z1567" i="2"/>
  <c r="V1567" i="2"/>
  <c r="R1567" i="2"/>
  <c r="N1567" i="2"/>
  <c r="J1567" i="2"/>
  <c r="Z1566" i="2"/>
  <c r="V1566" i="2"/>
  <c r="R1566" i="2"/>
  <c r="N1566" i="2"/>
  <c r="J1566" i="2"/>
  <c r="Z1565" i="2"/>
  <c r="V1565" i="2"/>
  <c r="P1565" i="2"/>
  <c r="K1565" i="2"/>
  <c r="Z1564" i="2"/>
  <c r="T1564" i="2"/>
  <c r="O1564" i="2"/>
  <c r="J1564" i="2"/>
  <c r="X1563" i="2"/>
  <c r="S1563" i="2"/>
  <c r="N1563" i="2"/>
  <c r="H1563" i="2"/>
  <c r="W1562" i="2"/>
  <c r="R1562" i="2"/>
  <c r="L1562" i="2"/>
  <c r="AA1561" i="2"/>
  <c r="V1561" i="2"/>
  <c r="P1561" i="2"/>
  <c r="K1561" i="2"/>
  <c r="Z1560" i="2"/>
  <c r="T1560" i="2"/>
  <c r="O1560" i="2"/>
  <c r="J1560" i="2"/>
  <c r="X1559" i="2"/>
  <c r="S1559" i="2"/>
  <c r="N1559" i="2"/>
  <c r="H1559" i="2"/>
  <c r="W1558" i="2"/>
  <c r="R1558" i="2"/>
  <c r="L1558" i="2"/>
  <c r="AA1557" i="2"/>
  <c r="V1557" i="2"/>
  <c r="P1557" i="2"/>
  <c r="K1557" i="2"/>
  <c r="Z1556" i="2"/>
  <c r="T1556" i="2"/>
  <c r="O1556" i="2"/>
  <c r="J1556" i="2"/>
  <c r="X1555" i="2"/>
  <c r="S1555" i="2"/>
  <c r="N1555" i="2"/>
  <c r="H1555" i="2"/>
  <c r="W1554" i="2"/>
  <c r="R1554" i="2"/>
  <c r="L1554" i="2"/>
  <c r="AA1553" i="2"/>
  <c r="V1553" i="2"/>
  <c r="P1553" i="2"/>
  <c r="K1553" i="2"/>
  <c r="Z1552" i="2"/>
  <c r="T1552" i="2"/>
  <c r="O1552" i="2"/>
  <c r="J1552" i="2"/>
  <c r="X1551" i="2"/>
  <c r="S1551" i="2"/>
  <c r="N1551" i="2"/>
  <c r="H1551" i="2"/>
  <c r="W1550" i="2"/>
  <c r="R1550" i="2"/>
  <c r="L1550" i="2"/>
  <c r="AA1549" i="2"/>
  <c r="V1549" i="2"/>
  <c r="P1549" i="2"/>
  <c r="K1549" i="2"/>
  <c r="Z1548" i="2"/>
  <c r="T1548" i="2"/>
  <c r="O1548" i="2"/>
  <c r="J1548" i="2"/>
  <c r="X1547" i="2"/>
  <c r="S1547" i="2"/>
  <c r="N1547" i="2"/>
  <c r="H1547" i="2"/>
  <c r="W1546" i="2"/>
  <c r="R1546" i="2"/>
  <c r="L1546" i="2"/>
  <c r="AA1545" i="2"/>
  <c r="V1545" i="2"/>
  <c r="P1545" i="2"/>
  <c r="K1545" i="2"/>
  <c r="Z1544" i="2"/>
  <c r="T1544" i="2"/>
  <c r="O1544" i="2"/>
  <c r="J1544" i="2"/>
  <c r="X1543" i="2"/>
  <c r="S1543" i="2"/>
  <c r="N1543" i="2"/>
  <c r="H1543" i="2"/>
  <c r="W1542" i="2"/>
  <c r="R1542" i="2"/>
  <c r="L1542" i="2"/>
  <c r="AA1541" i="2"/>
  <c r="V1541" i="2"/>
  <c r="P1541" i="2"/>
  <c r="K1541" i="2"/>
  <c r="Z1540" i="2"/>
  <c r="T1540" i="2"/>
  <c r="O1540" i="2"/>
  <c r="J1540" i="2"/>
  <c r="X1539" i="2"/>
  <c r="S1539" i="2"/>
  <c r="N1539" i="2"/>
  <c r="H1539" i="2"/>
  <c r="W1538" i="2"/>
  <c r="R1538" i="2"/>
  <c r="L1538" i="2"/>
  <c r="AA1537" i="2"/>
  <c r="V1537" i="2"/>
  <c r="P1537" i="2"/>
  <c r="K1537" i="2"/>
  <c r="Z1536" i="2"/>
  <c r="T1536" i="2"/>
  <c r="O1536" i="2"/>
  <c r="J1536" i="2"/>
  <c r="X1535" i="2"/>
  <c r="S1535" i="2"/>
  <c r="N1535" i="2"/>
  <c r="H1535" i="2"/>
  <c r="W1534" i="2"/>
  <c r="R1534" i="2"/>
  <c r="L1534" i="2"/>
  <c r="AA1533" i="2"/>
  <c r="V1533" i="2"/>
  <c r="P1533" i="2"/>
  <c r="K1533" i="2"/>
  <c r="Z1532" i="2"/>
  <c r="T1532" i="2"/>
  <c r="O1532" i="2"/>
  <c r="J1532" i="2"/>
  <c r="X1531" i="2"/>
  <c r="S1531" i="2"/>
  <c r="N1531" i="2"/>
  <c r="H1531" i="2"/>
  <c r="W1530" i="2"/>
  <c r="R1530" i="2"/>
  <c r="L1530" i="2"/>
  <c r="AA1529" i="2"/>
  <c r="V1529" i="2"/>
  <c r="P1529" i="2"/>
  <c r="K1529" i="2"/>
  <c r="Z1528" i="2"/>
  <c r="T1528" i="2"/>
  <c r="O1528" i="2"/>
  <c r="J1528" i="2"/>
  <c r="X1527" i="2"/>
  <c r="S1527" i="2"/>
  <c r="N1527" i="2"/>
  <c r="H1527" i="2"/>
  <c r="W1526" i="2"/>
  <c r="R1526" i="2"/>
  <c r="L1526" i="2"/>
  <c r="AA1525" i="2"/>
  <c r="V1525" i="2"/>
  <c r="P1525" i="2"/>
  <c r="K1525" i="2"/>
  <c r="Z1524" i="2"/>
  <c r="T1524" i="2"/>
  <c r="O1524" i="2"/>
  <c r="J1524" i="2"/>
  <c r="X1523" i="2"/>
  <c r="S1523" i="2"/>
  <c r="N1523" i="2"/>
  <c r="H1523" i="2"/>
  <c r="W1522" i="2"/>
  <c r="R1522" i="2"/>
  <c r="L1522" i="2"/>
  <c r="AA1521" i="2"/>
  <c r="V1521" i="2"/>
  <c r="P1521" i="2"/>
  <c r="K1521" i="2"/>
  <c r="Z1520" i="2"/>
  <c r="T1520" i="2"/>
  <c r="O1520" i="2"/>
  <c r="J1520" i="2"/>
  <c r="X1519" i="2"/>
  <c r="S1519" i="2"/>
  <c r="N1519" i="2"/>
  <c r="H1519" i="2"/>
  <c r="W1518" i="2"/>
  <c r="R1518" i="2"/>
  <c r="L1518" i="2"/>
  <c r="AA1517" i="2"/>
  <c r="V1517" i="2"/>
  <c r="P1517" i="2"/>
  <c r="K1517" i="2"/>
  <c r="Z1516" i="2"/>
  <c r="T1516" i="2"/>
  <c r="O1516" i="2"/>
  <c r="J1516" i="2"/>
  <c r="X1515" i="2"/>
  <c r="S1515" i="2"/>
  <c r="N1515" i="2"/>
  <c r="H1515" i="2"/>
  <c r="W1514" i="2"/>
  <c r="R1514" i="2"/>
  <c r="L1514" i="2"/>
  <c r="AA1513" i="2"/>
  <c r="V1513" i="2"/>
  <c r="P1513" i="2"/>
  <c r="K1513" i="2"/>
  <c r="Z1512" i="2"/>
  <c r="T1512" i="2"/>
  <c r="O1512" i="2"/>
  <c r="J1512" i="2"/>
  <c r="X1511" i="2"/>
  <c r="S1511" i="2"/>
  <c r="N1511" i="2"/>
  <c r="H1511" i="2"/>
  <c r="W1510" i="2"/>
  <c r="R1510" i="2"/>
  <c r="L1510" i="2"/>
  <c r="AA1509" i="2"/>
  <c r="V1509" i="2"/>
  <c r="P1509" i="2"/>
  <c r="K1509" i="2"/>
  <c r="Z1508" i="2"/>
  <c r="T1508" i="2"/>
  <c r="O1508" i="2"/>
  <c r="J1508" i="2"/>
  <c r="X1507" i="2"/>
  <c r="S1507" i="2"/>
  <c r="N1507" i="2"/>
  <c r="H1507" i="2"/>
  <c r="W1506" i="2"/>
  <c r="R1506" i="2"/>
  <c r="L1506" i="2"/>
  <c r="AA1505" i="2"/>
  <c r="V1505" i="2"/>
  <c r="P1505" i="2"/>
  <c r="K1505" i="2"/>
  <c r="Z1504" i="2"/>
  <c r="T1504" i="2"/>
  <c r="O1504" i="2"/>
  <c r="J1504" i="2"/>
  <c r="X1503" i="2"/>
  <c r="S1503" i="2"/>
  <c r="N1503" i="2"/>
  <c r="H1503" i="2"/>
  <c r="W1502" i="2"/>
  <c r="R1502" i="2"/>
  <c r="L1502" i="2"/>
  <c r="AA1501" i="2"/>
  <c r="V1501" i="2"/>
  <c r="P1501" i="2"/>
  <c r="K1501" i="2"/>
  <c r="Z1500" i="2"/>
  <c r="T1500" i="2"/>
  <c r="O1500" i="2"/>
  <c r="J1500" i="2"/>
  <c r="X1499" i="2"/>
  <c r="S1499" i="2"/>
  <c r="N1499" i="2"/>
  <c r="H1499" i="2"/>
  <c r="W1498" i="2"/>
  <c r="R1498" i="2"/>
  <c r="L1498" i="2"/>
  <c r="AA1497" i="2"/>
  <c r="V1497" i="2"/>
  <c r="P1497" i="2"/>
  <c r="K1497" i="2"/>
  <c r="Z1496" i="2"/>
  <c r="T1496" i="2"/>
  <c r="O1496" i="2"/>
  <c r="J1496" i="2"/>
  <c r="X1495" i="2"/>
  <c r="S1495" i="2"/>
  <c r="N1495" i="2"/>
  <c r="H1495" i="2"/>
  <c r="W1494" i="2"/>
  <c r="R1494" i="2"/>
  <c r="L1494" i="2"/>
  <c r="AA1493" i="2"/>
  <c r="V1493" i="2"/>
  <c r="P1493" i="2"/>
  <c r="K1493" i="2"/>
  <c r="Z1492" i="2"/>
  <c r="T1492" i="2"/>
  <c r="O1492" i="2"/>
  <c r="J1492" i="2"/>
  <c r="X1491" i="2"/>
  <c r="S1491" i="2"/>
  <c r="N1491" i="2"/>
  <c r="H1491" i="2"/>
  <c r="W1490" i="2"/>
  <c r="R1490" i="2"/>
  <c r="L1490" i="2"/>
  <c r="AA1489" i="2"/>
  <c r="V1489" i="2"/>
  <c r="P1489" i="2"/>
  <c r="K1489" i="2"/>
  <c r="Z1488" i="2"/>
  <c r="T1488" i="2"/>
  <c r="O1488" i="2"/>
  <c r="J1488" i="2"/>
  <c r="X1487" i="2"/>
  <c r="S1487" i="2"/>
  <c r="N1487" i="2"/>
  <c r="H1487" i="2"/>
  <c r="W1486" i="2"/>
  <c r="R1486" i="2"/>
  <c r="L1486" i="2"/>
  <c r="AA1485" i="2"/>
  <c r="V1485" i="2"/>
  <c r="P1485" i="2"/>
  <c r="K1485" i="2"/>
  <c r="Z1484" i="2"/>
  <c r="T1484" i="2"/>
  <c r="O1484" i="2"/>
  <c r="J1484" i="2"/>
  <c r="X1483" i="2"/>
  <c r="S1483" i="2"/>
  <c r="N1483" i="2"/>
  <c r="H1483" i="2"/>
  <c r="W1482" i="2"/>
  <c r="R1482" i="2"/>
  <c r="L1482" i="2"/>
  <c r="AA1481" i="2"/>
  <c r="V1481" i="2"/>
  <c r="P1481" i="2"/>
  <c r="K1481" i="2"/>
  <c r="Z1480" i="2"/>
  <c r="T1480" i="2"/>
  <c r="O1480" i="2"/>
  <c r="J1480" i="2"/>
  <c r="X1479" i="2"/>
  <c r="S1479" i="2"/>
  <c r="N1479" i="2"/>
  <c r="H1479" i="2"/>
  <c r="W1478" i="2"/>
  <c r="R1478" i="2"/>
  <c r="L1478" i="2"/>
  <c r="AA1477" i="2"/>
  <c r="V1477" i="2"/>
  <c r="P1477" i="2"/>
  <c r="K1477" i="2"/>
  <c r="Z1476" i="2"/>
  <c r="T1476" i="2"/>
  <c r="O1476" i="2"/>
  <c r="J1476" i="2"/>
  <c r="X1475" i="2"/>
  <c r="S1475" i="2"/>
  <c r="N1475" i="2"/>
  <c r="H1475" i="2"/>
  <c r="W1474" i="2"/>
  <c r="R1474" i="2"/>
  <c r="L1474" i="2"/>
  <c r="AA1473" i="2"/>
  <c r="V1473" i="2"/>
  <c r="P1473" i="2"/>
  <c r="K1473" i="2"/>
  <c r="Z1472" i="2"/>
  <c r="T1472" i="2"/>
  <c r="O1472" i="2"/>
  <c r="J1472" i="2"/>
  <c r="X1471" i="2"/>
  <c r="S1471" i="2"/>
  <c r="N1471" i="2"/>
  <c r="H1471" i="2"/>
  <c r="W1470" i="2"/>
  <c r="R1470" i="2"/>
  <c r="L1470" i="2"/>
  <c r="AA1469" i="2"/>
  <c r="V1469" i="2"/>
  <c r="P1469" i="2"/>
  <c r="K1469" i="2"/>
  <c r="Z1468" i="2"/>
  <c r="T1468" i="2"/>
  <c r="O1468" i="2"/>
  <c r="J1468" i="2"/>
  <c r="X1467" i="2"/>
  <c r="S1467" i="2"/>
  <c r="N1467" i="2"/>
  <c r="H1467" i="2"/>
  <c r="W1466" i="2"/>
  <c r="R1466" i="2"/>
  <c r="L1466" i="2"/>
  <c r="AA1465" i="2"/>
  <c r="V1465" i="2"/>
  <c r="P1465" i="2"/>
  <c r="K1465" i="2"/>
  <c r="Z1464" i="2"/>
  <c r="T1464" i="2"/>
  <c r="O1464" i="2"/>
  <c r="J1464" i="2"/>
  <c r="X1463" i="2"/>
  <c r="S1463" i="2"/>
  <c r="N1463" i="2"/>
  <c r="H1463" i="2"/>
  <c r="W1462" i="2"/>
  <c r="R1462" i="2"/>
  <c r="L1462" i="2"/>
  <c r="AA1461" i="2"/>
  <c r="V1461" i="2"/>
  <c r="P1461" i="2"/>
  <c r="K1461" i="2"/>
  <c r="Z1460" i="2"/>
  <c r="T1460" i="2"/>
  <c r="O1460" i="2"/>
  <c r="J1460" i="2"/>
  <c r="X1459" i="2"/>
  <c r="S1459" i="2"/>
  <c r="N1459" i="2"/>
  <c r="H1459" i="2"/>
  <c r="W1458" i="2"/>
  <c r="R1458" i="2"/>
  <c r="L1458" i="2"/>
  <c r="AA1457" i="2"/>
  <c r="V1457" i="2"/>
  <c r="P1457" i="2"/>
  <c r="K1457" i="2"/>
  <c r="Z1456" i="2"/>
  <c r="T1456" i="2"/>
  <c r="O1456" i="2"/>
  <c r="J1456" i="2"/>
  <c r="X1455" i="2"/>
  <c r="S1455" i="2"/>
  <c r="N1455" i="2"/>
  <c r="H1455" i="2"/>
  <c r="W1454" i="2"/>
  <c r="R1454" i="2"/>
  <c r="L1454" i="2"/>
  <c r="AA1453" i="2"/>
  <c r="V1453" i="2"/>
  <c r="P1453" i="2"/>
  <c r="K1453" i="2"/>
  <c r="Z1452" i="2"/>
  <c r="T1452" i="2"/>
  <c r="O1452" i="2"/>
  <c r="J1452" i="2"/>
  <c r="X1451" i="2"/>
  <c r="S1451" i="2"/>
  <c r="N1451" i="2"/>
  <c r="H1451" i="2"/>
  <c r="W1450" i="2"/>
  <c r="R1450" i="2"/>
  <c r="L1450" i="2"/>
  <c r="AA1449" i="2"/>
  <c r="V1449" i="2"/>
  <c r="P1449" i="2"/>
  <c r="K1449" i="2"/>
  <c r="Z1448" i="2"/>
  <c r="T1448" i="2"/>
  <c r="O1448" i="2"/>
  <c r="J1448" i="2"/>
  <c r="X1447" i="2"/>
  <c r="S1447" i="2"/>
  <c r="N1447" i="2"/>
  <c r="H1447" i="2"/>
  <c r="W1446" i="2"/>
  <c r="R1446" i="2"/>
  <c r="L1446" i="2"/>
  <c r="AA1445" i="2"/>
  <c r="V1445" i="2"/>
  <c r="P1445" i="2"/>
  <c r="K1445" i="2"/>
  <c r="Z1444" i="2"/>
  <c r="T1444" i="2"/>
  <c r="O1444" i="2"/>
  <c r="J1444" i="2"/>
  <c r="X1443" i="2"/>
  <c r="S1443" i="2"/>
  <c r="N1443" i="2"/>
  <c r="H1443" i="2"/>
  <c r="W1442" i="2"/>
  <c r="R1442" i="2"/>
  <c r="L1442" i="2"/>
  <c r="AA1441" i="2"/>
  <c r="V1441" i="2"/>
  <c r="P1441" i="2"/>
  <c r="K1441" i="2"/>
  <c r="Z1440" i="2"/>
  <c r="T1440" i="2"/>
  <c r="O1440" i="2"/>
  <c r="J1440" i="2"/>
  <c r="X1439" i="2"/>
  <c r="S1439" i="2"/>
  <c r="N1439" i="2"/>
  <c r="H1439" i="2"/>
  <c r="W1438" i="2"/>
  <c r="R1438" i="2"/>
  <c r="L1438" i="2"/>
  <c r="AA1437" i="2"/>
  <c r="V1437" i="2"/>
  <c r="P1437" i="2"/>
  <c r="K1437" i="2"/>
  <c r="Z1436" i="2"/>
  <c r="T1436" i="2"/>
  <c r="O1436" i="2"/>
  <c r="J1436" i="2"/>
  <c r="X1435" i="2"/>
  <c r="S1435" i="2"/>
  <c r="N1435" i="2"/>
  <c r="H1435" i="2"/>
  <c r="W1434" i="2"/>
  <c r="R1434" i="2"/>
  <c r="L1434" i="2"/>
  <c r="AA1433" i="2"/>
  <c r="V1433" i="2"/>
  <c r="P1433" i="2"/>
  <c r="K1433" i="2"/>
  <c r="X1432" i="2"/>
  <c r="P1432" i="2"/>
  <c r="H1432" i="2"/>
  <c r="T1431" i="2"/>
  <c r="L1431" i="2"/>
  <c r="X1430" i="2"/>
  <c r="P1430" i="2"/>
  <c r="H1430" i="2"/>
  <c r="T1429" i="2"/>
  <c r="L1429" i="2"/>
  <c r="X1428" i="2"/>
  <c r="P1428" i="2"/>
  <c r="H1428" i="2"/>
  <c r="T1427" i="2"/>
  <c r="L1427" i="2"/>
  <c r="X1426" i="2"/>
  <c r="P1426" i="2"/>
  <c r="H1426" i="2"/>
  <c r="T1425" i="2"/>
  <c r="L1425" i="2"/>
  <c r="X1424" i="2"/>
  <c r="P1424" i="2"/>
  <c r="H1424" i="2"/>
  <c r="T1423" i="2"/>
  <c r="L1423" i="2"/>
  <c r="X1422" i="2"/>
  <c r="P1422" i="2"/>
  <c r="H1422" i="2"/>
  <c r="T1421" i="2"/>
  <c r="L1421" i="2"/>
  <c r="X1420" i="2"/>
  <c r="P1420" i="2"/>
  <c r="H1420" i="2"/>
  <c r="T1419" i="2"/>
  <c r="L1419" i="2"/>
  <c r="X1418" i="2"/>
  <c r="P1418" i="2"/>
  <c r="H1418" i="2"/>
  <c r="T1417" i="2"/>
  <c r="L1417" i="2"/>
  <c r="X1416" i="2"/>
  <c r="P1416" i="2"/>
  <c r="H1416" i="2"/>
  <c r="T1415" i="2"/>
  <c r="L1415" i="2"/>
  <c r="X1414" i="2"/>
  <c r="P1414" i="2"/>
  <c r="H1414" i="2"/>
  <c r="T1413" i="2"/>
  <c r="L1413" i="2"/>
  <c r="X1412" i="2"/>
  <c r="P1412" i="2"/>
  <c r="H1412" i="2"/>
  <c r="T1411" i="2"/>
  <c r="L1411" i="2"/>
  <c r="X1410" i="2"/>
  <c r="P1410" i="2"/>
  <c r="H1410" i="2"/>
  <c r="T1409" i="2"/>
  <c r="L1409" i="2"/>
  <c r="X1408" i="2"/>
  <c r="P1408" i="2"/>
  <c r="H1408" i="2"/>
  <c r="T1407" i="2"/>
  <c r="L1407" i="2"/>
  <c r="X1406" i="2"/>
  <c r="P1406" i="2"/>
  <c r="H1406" i="2"/>
  <c r="T1405" i="2"/>
  <c r="L1405" i="2"/>
  <c r="X1404" i="2"/>
  <c r="P1404" i="2"/>
  <c r="H1404" i="2"/>
  <c r="T1403" i="2"/>
  <c r="L1403" i="2"/>
  <c r="X1402" i="2"/>
  <c r="P1402" i="2"/>
  <c r="H1402" i="2"/>
  <c r="T1401" i="2"/>
  <c r="L1401" i="2"/>
  <c r="X1400" i="2"/>
  <c r="P1400" i="2"/>
  <c r="H1400" i="2"/>
  <c r="T1399" i="2"/>
  <c r="L1399" i="2"/>
  <c r="X1398" i="2"/>
  <c r="P1398" i="2"/>
  <c r="H1398" i="2"/>
  <c r="T1397" i="2"/>
  <c r="L1397" i="2"/>
  <c r="X1396" i="2"/>
  <c r="P1396" i="2"/>
  <c r="H1396" i="2"/>
  <c r="T1395" i="2"/>
  <c r="L1395" i="2"/>
  <c r="X1394" i="2"/>
  <c r="P1394" i="2"/>
  <c r="H1394" i="2"/>
  <c r="T1393" i="2"/>
  <c r="L1393" i="2"/>
  <c r="X1392" i="2"/>
  <c r="P1392" i="2"/>
  <c r="H1392" i="2"/>
  <c r="T1391" i="2"/>
  <c r="L1391" i="2"/>
  <c r="X1390" i="2"/>
  <c r="P1390" i="2"/>
  <c r="H1390" i="2"/>
  <c r="T1389" i="2"/>
  <c r="L1389" i="2"/>
  <c r="X1388" i="2"/>
  <c r="P1388" i="2"/>
  <c r="H1388" i="2"/>
  <c r="T1387" i="2"/>
  <c r="L1387" i="2"/>
  <c r="X1386" i="2"/>
  <c r="P1386" i="2"/>
  <c r="H1386" i="2"/>
  <c r="T1385" i="2"/>
  <c r="L1385" i="2"/>
  <c r="X1384" i="2"/>
  <c r="P1384" i="2"/>
  <c r="H1384" i="2"/>
  <c r="T1383" i="2"/>
  <c r="L1383" i="2"/>
  <c r="X1382" i="2"/>
  <c r="P1382" i="2"/>
  <c r="H1382" i="2"/>
  <c r="T1381" i="2"/>
  <c r="L1381" i="2"/>
  <c r="X1380" i="2"/>
  <c r="P1380" i="2"/>
  <c r="H1380" i="2"/>
  <c r="T1379" i="2"/>
  <c r="L1379" i="2"/>
  <c r="X1378" i="2"/>
  <c r="P1378" i="2"/>
  <c r="H1378" i="2"/>
  <c r="T1377" i="2"/>
  <c r="L1377" i="2"/>
  <c r="X1376" i="2"/>
  <c r="P1376" i="2"/>
  <c r="H1376" i="2"/>
  <c r="T1375" i="2"/>
  <c r="L1375" i="2"/>
  <c r="X1374" i="2"/>
  <c r="P1374" i="2"/>
  <c r="H1374" i="2"/>
  <c r="T1373" i="2"/>
  <c r="L1373" i="2"/>
  <c r="X1372" i="2"/>
  <c r="P1372" i="2"/>
  <c r="H1372" i="2"/>
  <c r="T1371" i="2"/>
  <c r="L1371" i="2"/>
  <c r="X1370" i="2"/>
  <c r="P1370" i="2"/>
  <c r="H1370" i="2"/>
  <c r="T1369" i="2"/>
  <c r="L1369" i="2"/>
  <c r="X1368" i="2"/>
  <c r="P1368" i="2"/>
  <c r="H1368" i="2"/>
  <c r="T1367" i="2"/>
  <c r="L1367" i="2"/>
  <c r="X1366" i="2"/>
  <c r="P1366" i="2"/>
  <c r="H1366" i="2"/>
  <c r="T1365" i="2"/>
  <c r="L1365" i="2"/>
  <c r="X1364" i="2"/>
  <c r="P1364" i="2"/>
  <c r="H1364" i="2"/>
  <c r="T1363" i="2"/>
  <c r="L1363" i="2"/>
  <c r="X1362" i="2"/>
  <c r="P1362" i="2"/>
  <c r="H1362" i="2"/>
  <c r="T1361" i="2"/>
  <c r="L1361" i="2"/>
  <c r="X1360" i="2"/>
  <c r="P1360" i="2"/>
  <c r="H1360" i="2"/>
  <c r="T1359" i="2"/>
  <c r="L1359" i="2"/>
  <c r="X1358" i="2"/>
  <c r="P1358" i="2"/>
  <c r="H1358" i="2"/>
  <c r="T1357" i="2"/>
  <c r="L1357" i="2"/>
  <c r="X1356" i="2"/>
  <c r="P1356" i="2"/>
  <c r="H1356" i="2"/>
  <c r="T1355" i="2"/>
  <c r="L1355" i="2"/>
  <c r="X1354" i="2"/>
  <c r="P1354" i="2"/>
  <c r="H1354" i="2"/>
  <c r="T1353" i="2"/>
  <c r="L1353" i="2"/>
  <c r="X1352" i="2"/>
  <c r="P1352" i="2"/>
  <c r="H1352" i="2"/>
  <c r="T1351" i="2"/>
  <c r="L1351" i="2"/>
  <c r="X1350" i="2"/>
  <c r="P1350" i="2"/>
  <c r="H1350" i="2"/>
  <c r="T1349" i="2"/>
  <c r="L1349" i="2"/>
  <c r="X1348" i="2"/>
  <c r="P1348" i="2"/>
  <c r="H1348" i="2"/>
  <c r="T1347" i="2"/>
  <c r="L1347" i="2"/>
  <c r="X1346" i="2"/>
  <c r="P1346" i="2"/>
  <c r="H1346" i="2"/>
  <c r="T1345" i="2"/>
  <c r="L1345" i="2"/>
  <c r="X1344" i="2"/>
  <c r="P1344" i="2"/>
  <c r="H1344" i="2"/>
  <c r="T1343" i="2"/>
  <c r="L1343" i="2"/>
  <c r="X1342" i="2"/>
  <c r="P1342" i="2"/>
  <c r="H1342" i="2"/>
  <c r="T1341" i="2"/>
  <c r="L1341" i="2"/>
  <c r="X1340" i="2"/>
  <c r="P1340" i="2"/>
  <c r="H1340" i="2"/>
  <c r="T1339" i="2"/>
  <c r="L1339" i="2"/>
  <c r="X1338" i="2"/>
  <c r="P1338" i="2"/>
  <c r="H1338" i="2"/>
  <c r="T1337" i="2"/>
  <c r="L1337" i="2"/>
  <c r="X1336" i="2"/>
  <c r="P1336" i="2"/>
  <c r="H1336" i="2"/>
  <c r="T1335" i="2"/>
  <c r="L1335" i="2"/>
  <c r="X1334" i="2"/>
  <c r="P1334" i="2"/>
  <c r="H1334" i="2"/>
  <c r="T1333" i="2"/>
  <c r="L1333" i="2"/>
  <c r="X1332" i="2"/>
  <c r="P1332" i="2"/>
  <c r="H1332" i="2"/>
  <c r="T1331" i="2"/>
  <c r="L1331" i="2"/>
  <c r="X1330" i="2"/>
  <c r="P1330" i="2"/>
  <c r="H1330" i="2"/>
  <c r="T1329" i="2"/>
  <c r="L1329" i="2"/>
  <c r="X1328" i="2"/>
  <c r="P1328" i="2"/>
  <c r="H1328" i="2"/>
  <c r="T1327" i="2"/>
  <c r="L1327" i="2"/>
  <c r="X1326" i="2"/>
  <c r="P1326" i="2"/>
  <c r="H1326" i="2"/>
  <c r="T1325" i="2"/>
  <c r="L1325" i="2"/>
  <c r="X1324" i="2"/>
  <c r="P1324" i="2"/>
  <c r="H1324" i="2"/>
  <c r="T1323" i="2"/>
  <c r="L1323" i="2"/>
  <c r="X1322" i="2"/>
  <c r="P1322" i="2"/>
  <c r="H1322" i="2"/>
  <c r="T1321" i="2"/>
  <c r="L1321" i="2"/>
  <c r="X1320" i="2"/>
  <c r="P1320" i="2"/>
  <c r="H1320" i="2"/>
  <c r="T1319" i="2"/>
  <c r="L1319" i="2"/>
  <c r="X1318" i="2"/>
  <c r="P1318" i="2"/>
  <c r="H1318" i="2"/>
  <c r="T1317" i="2"/>
  <c r="L1317" i="2"/>
  <c r="X1316" i="2"/>
  <c r="P1316" i="2"/>
  <c r="Z1315" i="2"/>
  <c r="O1315" i="2"/>
  <c r="Y1314" i="2"/>
  <c r="N1314" i="2"/>
  <c r="W1313" i="2"/>
  <c r="M1313" i="2"/>
  <c r="V1312" i="2"/>
  <c r="K1312" i="2"/>
  <c r="U1311" i="2"/>
  <c r="J1311" i="2"/>
  <c r="S1310" i="2"/>
  <c r="I1310" i="2"/>
  <c r="R1309" i="2"/>
  <c r="AA1308" i="2"/>
  <c r="Q1308" i="2"/>
  <c r="Z1307" i="2"/>
  <c r="O1307" i="2"/>
  <c r="Y1306" i="2"/>
  <c r="N1306" i="2"/>
  <c r="W1305" i="2"/>
  <c r="M1305" i="2"/>
  <c r="V1304" i="2"/>
  <c r="K1304" i="2"/>
  <c r="U1303" i="2"/>
  <c r="J1303" i="2"/>
  <c r="S1302" i="2"/>
  <c r="I1302" i="2"/>
  <c r="R1301" i="2"/>
  <c r="AA1300" i="2"/>
  <c r="Q1300" i="2"/>
  <c r="Z1299" i="2"/>
  <c r="O1299" i="2"/>
  <c r="Y1298" i="2"/>
  <c r="N1298" i="2"/>
  <c r="W1297" i="2"/>
  <c r="M1297" i="2"/>
  <c r="V1296" i="2"/>
  <c r="K1296" i="2"/>
  <c r="U1295" i="2"/>
  <c r="J1295" i="2"/>
  <c r="S1294" i="2"/>
  <c r="I1294" i="2"/>
  <c r="R1293" i="2"/>
  <c r="AA1292" i="2"/>
  <c r="Q1292" i="2"/>
  <c r="Z1291" i="2"/>
  <c r="O1291" i="2"/>
  <c r="Y1290" i="2"/>
  <c r="N1290" i="2"/>
  <c r="W1289" i="2"/>
  <c r="M1289" i="2"/>
  <c r="V1288" i="2"/>
  <c r="K1288" i="2"/>
  <c r="U1287" i="2"/>
  <c r="J1287" i="2"/>
  <c r="S1286" i="2"/>
  <c r="I1286" i="2"/>
  <c r="R1285" i="2"/>
  <c r="AA1284" i="2"/>
  <c r="Q1284" i="2"/>
  <c r="Z1283" i="2"/>
  <c r="O1283" i="2"/>
  <c r="Y1282" i="2"/>
  <c r="N1282" i="2"/>
  <c r="W1281" i="2"/>
  <c r="M1281" i="2"/>
  <c r="V1280" i="2"/>
  <c r="K1280" i="2"/>
  <c r="U1279" i="2"/>
  <c r="J1279" i="2"/>
  <c r="S1278" i="2"/>
  <c r="I1278" i="2"/>
  <c r="R1277" i="2"/>
  <c r="AA1276" i="2"/>
  <c r="Q1276" i="2"/>
  <c r="Z1275" i="2"/>
  <c r="O1275" i="2"/>
  <c r="Y1274" i="2"/>
  <c r="N1274" i="2"/>
  <c r="W1273" i="2"/>
  <c r="M1273" i="2"/>
  <c r="V1272" i="2"/>
  <c r="K1272" i="2"/>
  <c r="U1271" i="2"/>
  <c r="J1271" i="2"/>
  <c r="S1270" i="2"/>
  <c r="I1270" i="2"/>
  <c r="R1269" i="2"/>
  <c r="AA1268" i="2"/>
  <c r="Q1268" i="2"/>
  <c r="Z1267" i="2"/>
  <c r="O1267" i="2"/>
  <c r="Y1266" i="2"/>
  <c r="N1266" i="2"/>
  <c r="W1265" i="2"/>
  <c r="M1265" i="2"/>
  <c r="V1264" i="2"/>
  <c r="K1264" i="2"/>
  <c r="U1263" i="2"/>
  <c r="J1263" i="2"/>
  <c r="S1262" i="2"/>
  <c r="I1262" i="2"/>
  <c r="R1261" i="2"/>
  <c r="AA1260" i="2"/>
  <c r="Q1260" i="2"/>
  <c r="Z1259" i="2"/>
  <c r="O1259" i="2"/>
  <c r="Y1258" i="2"/>
  <c r="N1258" i="2"/>
  <c r="W1257" i="2"/>
  <c r="M1257" i="2"/>
  <c r="V1256" i="2"/>
  <c r="K1256" i="2"/>
  <c r="U1255" i="2"/>
  <c r="J1255" i="2"/>
  <c r="S1254" i="2"/>
  <c r="I1254" i="2"/>
  <c r="R1253" i="2"/>
  <c r="AA1252" i="2"/>
  <c r="Q1252" i="2"/>
  <c r="Z1251" i="2"/>
  <c r="O1251" i="2"/>
  <c r="Y1250" i="2"/>
  <c r="N1250" i="2"/>
  <c r="W1249" i="2"/>
  <c r="M1249" i="2"/>
  <c r="V1248" i="2"/>
  <c r="K1248" i="2"/>
  <c r="U1247" i="2"/>
  <c r="J1247" i="2"/>
  <c r="S1246" i="2"/>
  <c r="I1246" i="2"/>
  <c r="R1245" i="2"/>
  <c r="AA1244" i="2"/>
  <c r="Q1244" i="2"/>
  <c r="Z1243" i="2"/>
  <c r="O1243" i="2"/>
  <c r="Y1242" i="2"/>
  <c r="N1242" i="2"/>
  <c r="W1241" i="2"/>
  <c r="M1241" i="2"/>
  <c r="V1240" i="2"/>
  <c r="K1240" i="2"/>
  <c r="U1239" i="2"/>
  <c r="J1239" i="2"/>
  <c r="S1238" i="2"/>
  <c r="I1238" i="2"/>
  <c r="R1237" i="2"/>
  <c r="AA1236" i="2"/>
  <c r="Q1236" i="2"/>
  <c r="Z1235" i="2"/>
  <c r="O1235" i="2"/>
  <c r="Y1234" i="2"/>
  <c r="N1234" i="2"/>
  <c r="W1233" i="2"/>
  <c r="M1233" i="2"/>
  <c r="V1232" i="2"/>
  <c r="K1232" i="2"/>
  <c r="U1231" i="2"/>
  <c r="J1231" i="2"/>
  <c r="S1230" i="2"/>
  <c r="I1230" i="2"/>
  <c r="R1229" i="2"/>
  <c r="AA1228" i="2"/>
  <c r="Q1228" i="2"/>
  <c r="Z1227" i="2"/>
  <c r="O1227" i="2"/>
  <c r="Y1226" i="2"/>
  <c r="N1226" i="2"/>
  <c r="W1225" i="2"/>
  <c r="M1225" i="2"/>
  <c r="V1224" i="2"/>
  <c r="K1224" i="2"/>
  <c r="U1223" i="2"/>
  <c r="J1223" i="2"/>
  <c r="S1222" i="2"/>
  <c r="I1222" i="2"/>
  <c r="N1221" i="2"/>
  <c r="R1220" i="2"/>
  <c r="V1219" i="2"/>
  <c r="Z1218" i="2"/>
  <c r="J1218" i="2"/>
  <c r="N1217" i="2"/>
  <c r="R1216" i="2"/>
  <c r="V1215" i="2"/>
  <c r="Z1214" i="2"/>
  <c r="J1214" i="2"/>
  <c r="N1213" i="2"/>
  <c r="R1212" i="2"/>
  <c r="V1211" i="2"/>
  <c r="Z1210" i="2"/>
  <c r="J1210" i="2"/>
  <c r="N1209" i="2"/>
  <c r="R1208" i="2"/>
  <c r="V1207" i="2"/>
  <c r="Z1206" i="2"/>
  <c r="J1206" i="2"/>
  <c r="N1205" i="2"/>
  <c r="R1204" i="2"/>
  <c r="V1203" i="2"/>
  <c r="Z1202" i="2"/>
  <c r="J1202" i="2"/>
  <c r="N1201" i="2"/>
  <c r="R1200" i="2"/>
  <c r="V1199" i="2"/>
  <c r="Z1198" i="2"/>
  <c r="J1198" i="2"/>
  <c r="N1197" i="2"/>
  <c r="R1196" i="2"/>
  <c r="V1195" i="2"/>
  <c r="Z1194" i="2"/>
  <c r="J1194" i="2"/>
  <c r="N1193" i="2"/>
  <c r="R1192" i="2"/>
  <c r="V1191" i="2"/>
  <c r="Z1190" i="2"/>
  <c r="J1190" i="2"/>
  <c r="N1189" i="2"/>
  <c r="R1188" i="2"/>
  <c r="V1187" i="2"/>
  <c r="Z1186" i="2"/>
  <c r="J1186" i="2"/>
  <c r="N1185" i="2"/>
  <c r="R1184" i="2"/>
  <c r="V1183" i="2"/>
  <c r="Z1182" i="2"/>
  <c r="J1182" i="2"/>
  <c r="N1181" i="2"/>
  <c r="R1180" i="2"/>
  <c r="V1179" i="2"/>
  <c r="Z1178" i="2"/>
  <c r="J1178" i="2"/>
  <c r="N1177" i="2"/>
  <c r="R1176" i="2"/>
  <c r="V1175" i="2"/>
  <c r="Z1174" i="2"/>
  <c r="J1174" i="2"/>
  <c r="N1173" i="2"/>
  <c r="R1172" i="2"/>
  <c r="V1171" i="2"/>
  <c r="Z1170" i="2"/>
  <c r="J1170" i="2"/>
  <c r="N1169" i="2"/>
  <c r="R1168" i="2"/>
  <c r="V1167" i="2"/>
  <c r="Z1166" i="2"/>
  <c r="J1166" i="2"/>
  <c r="N1165" i="2"/>
  <c r="R1164" i="2"/>
  <c r="V1163" i="2"/>
  <c r="Z1162" i="2"/>
  <c r="J1162" i="2"/>
  <c r="N1161" i="2"/>
  <c r="R1160" i="2"/>
  <c r="V1159" i="2"/>
  <c r="Z1158" i="2"/>
  <c r="J1158" i="2"/>
  <c r="N1157" i="2"/>
  <c r="R1156" i="2"/>
  <c r="V1155" i="2"/>
  <c r="Z1154" i="2"/>
  <c r="J1154" i="2"/>
  <c r="N1153" i="2"/>
  <c r="R1152" i="2"/>
  <c r="V1151" i="2"/>
  <c r="Z1150" i="2"/>
  <c r="J1150" i="2"/>
  <c r="N1149" i="2"/>
  <c r="R1148" i="2"/>
  <c r="V1147" i="2"/>
  <c r="Z1146" i="2"/>
  <c r="J1146" i="2"/>
  <c r="N1145" i="2"/>
  <c r="R1144" i="2"/>
  <c r="V1143" i="2"/>
  <c r="Z1142" i="2"/>
  <c r="J1142" i="2"/>
  <c r="N1141" i="2"/>
  <c r="R1140" i="2"/>
  <c r="V1139" i="2"/>
  <c r="Z1138" i="2"/>
  <c r="J1138" i="2"/>
  <c r="N1137" i="2"/>
  <c r="R1136" i="2"/>
  <c r="V1135" i="2"/>
  <c r="Z1134" i="2"/>
  <c r="J1134" i="2"/>
  <c r="N1133" i="2"/>
  <c r="R1132" i="2"/>
  <c r="V1131" i="2"/>
  <c r="Z1130" i="2"/>
  <c r="J1130" i="2"/>
  <c r="N1129" i="2"/>
  <c r="R1128" i="2"/>
  <c r="V1127" i="2"/>
  <c r="Z1126" i="2"/>
  <c r="J1126" i="2"/>
  <c r="N1125" i="2"/>
  <c r="R1124" i="2"/>
  <c r="V1123" i="2"/>
  <c r="Z1122" i="2"/>
  <c r="J1122" i="2"/>
  <c r="N1121" i="2"/>
  <c r="R1120" i="2"/>
  <c r="V1119" i="2"/>
  <c r="Z1118" i="2"/>
  <c r="J1118" i="2"/>
  <c r="N1117" i="2"/>
  <c r="R1116" i="2"/>
  <c r="V1115" i="2"/>
  <c r="Z1114" i="2"/>
  <c r="J1114" i="2"/>
  <c r="N1113" i="2"/>
  <c r="R1112" i="2"/>
  <c r="V1111" i="2"/>
  <c r="Z1110" i="2"/>
  <c r="J1110" i="2"/>
  <c r="N1109" i="2"/>
  <c r="R1108" i="2"/>
  <c r="V1107" i="2"/>
  <c r="Z1106" i="2"/>
  <c r="J1106" i="2"/>
  <c r="N1105" i="2"/>
  <c r="R1104" i="2"/>
  <c r="V1103" i="2"/>
  <c r="Z1102" i="2"/>
  <c r="J1102" i="2"/>
  <c r="N1101" i="2"/>
  <c r="R1100" i="2"/>
  <c r="V1099" i="2"/>
  <c r="Z1098" i="2"/>
  <c r="J1098" i="2"/>
  <c r="N1097" i="2"/>
  <c r="R1096" i="2"/>
  <c r="V1095" i="2"/>
  <c r="Z1094" i="2"/>
  <c r="J1094" i="2"/>
  <c r="N1093" i="2"/>
  <c r="R1092" i="2"/>
  <c r="V1091" i="2"/>
  <c r="Z1090" i="2"/>
  <c r="J1090" i="2"/>
  <c r="N1089" i="2"/>
  <c r="R1088" i="2"/>
  <c r="V1087" i="2"/>
  <c r="Z1086" i="2"/>
  <c r="J1086" i="2"/>
  <c r="N1085" i="2"/>
  <c r="R1084" i="2"/>
  <c r="V1083" i="2"/>
  <c r="Z1082" i="2"/>
  <c r="J1082" i="2"/>
  <c r="N1081" i="2"/>
  <c r="R1080" i="2"/>
  <c r="V1079" i="2"/>
  <c r="Z1078" i="2"/>
  <c r="J1078" i="2"/>
  <c r="N1077" i="2"/>
  <c r="R1076" i="2"/>
  <c r="V1075" i="2"/>
  <c r="Z1074" i="2"/>
  <c r="J1074" i="2"/>
  <c r="N1073" i="2"/>
  <c r="R1072" i="2"/>
  <c r="V1071" i="2"/>
  <c r="Z1070" i="2"/>
  <c r="J1070" i="2"/>
  <c r="N1069" i="2"/>
  <c r="R1068" i="2"/>
  <c r="V1067" i="2"/>
  <c r="Z1066" i="2"/>
  <c r="J1066" i="2"/>
  <c r="N1065" i="2"/>
  <c r="R1064" i="2"/>
  <c r="V1063" i="2"/>
  <c r="Z1062" i="2"/>
  <c r="J1062" i="2"/>
  <c r="N1061" i="2"/>
  <c r="R1060" i="2"/>
  <c r="V1059" i="2"/>
  <c r="Z1058" i="2"/>
  <c r="J1058" i="2"/>
  <c r="N1057" i="2"/>
  <c r="R1056" i="2"/>
  <c r="V1055" i="2"/>
  <c r="Z1054" i="2"/>
  <c r="J1054" i="2"/>
  <c r="N1053" i="2"/>
  <c r="R1052" i="2"/>
  <c r="V1051" i="2"/>
  <c r="Z1050" i="2"/>
  <c r="J1050" i="2"/>
  <c r="N1049" i="2"/>
  <c r="R1048" i="2"/>
  <c r="V1047" i="2"/>
  <c r="Z1046" i="2"/>
  <c r="J1046" i="2"/>
  <c r="N1045" i="2"/>
  <c r="R1044" i="2"/>
  <c r="V1043" i="2"/>
  <c r="Z1042" i="2"/>
  <c r="J1042" i="2"/>
  <c r="N1041" i="2"/>
  <c r="R1040" i="2"/>
  <c r="V1039" i="2"/>
  <c r="Z1038" i="2"/>
  <c r="J1038" i="2"/>
  <c r="N1037" i="2"/>
  <c r="R1036" i="2"/>
  <c r="V1035" i="2"/>
  <c r="Z1034" i="2"/>
  <c r="J1034" i="2"/>
  <c r="N1033" i="2"/>
  <c r="R1032" i="2"/>
  <c r="V1031" i="2"/>
  <c r="Z1030" i="2"/>
  <c r="J1030" i="2"/>
  <c r="N1029" i="2"/>
  <c r="R1028" i="2"/>
  <c r="V1027" i="2"/>
  <c r="Z1026" i="2"/>
  <c r="J1026" i="2"/>
  <c r="N1025" i="2"/>
  <c r="R1024" i="2"/>
  <c r="V1023" i="2"/>
  <c r="Z1022" i="2"/>
  <c r="J1022" i="2"/>
  <c r="N1021" i="2"/>
  <c r="R1020" i="2"/>
  <c r="V1019" i="2"/>
  <c r="Z1018" i="2"/>
  <c r="J1018" i="2"/>
  <c r="N1017" i="2"/>
  <c r="R1016" i="2"/>
  <c r="V1015" i="2"/>
  <c r="Z1014" i="2"/>
  <c r="J1014" i="2"/>
  <c r="N1013" i="2"/>
  <c r="R1012" i="2"/>
  <c r="V1011" i="2"/>
  <c r="Z1010" i="2"/>
  <c r="J1010" i="2"/>
  <c r="N1009" i="2"/>
  <c r="R1008" i="2"/>
  <c r="V1007" i="2"/>
  <c r="Z1006" i="2"/>
  <c r="J1006" i="2"/>
  <c r="N1005" i="2"/>
  <c r="R1004" i="2"/>
  <c r="V1003" i="2"/>
  <c r="Z1002" i="2"/>
  <c r="J1002" i="2"/>
  <c r="N1001" i="2"/>
  <c r="R1000" i="2"/>
  <c r="V999" i="2"/>
  <c r="Z998" i="2"/>
  <c r="J998" i="2"/>
  <c r="N997" i="2"/>
  <c r="R996" i="2"/>
  <c r="V995" i="2"/>
  <c r="Z994" i="2"/>
  <c r="J994" i="2"/>
  <c r="N993" i="2"/>
  <c r="R992" i="2"/>
  <c r="V991" i="2"/>
  <c r="Z990" i="2"/>
  <c r="J990" i="2"/>
  <c r="N989" i="2"/>
  <c r="R988" i="2"/>
  <c r="V987" i="2"/>
  <c r="Z986" i="2"/>
  <c r="J986" i="2"/>
  <c r="N985" i="2"/>
  <c r="R984" i="2"/>
  <c r="V983" i="2"/>
  <c r="Z982" i="2"/>
  <c r="J982" i="2"/>
  <c r="N981" i="2"/>
  <c r="R980" i="2"/>
  <c r="V979" i="2"/>
  <c r="Z978" i="2"/>
  <c r="J978" i="2"/>
  <c r="N977" i="2"/>
  <c r="R976" i="2"/>
  <c r="V975" i="2"/>
  <c r="Z974" i="2"/>
  <c r="J974" i="2"/>
  <c r="N973" i="2"/>
  <c r="R972" i="2"/>
  <c r="V971" i="2"/>
  <c r="Z970" i="2"/>
  <c r="J970" i="2"/>
  <c r="N969" i="2"/>
  <c r="R968" i="2"/>
  <c r="V967" i="2"/>
  <c r="Z966" i="2"/>
  <c r="J966" i="2"/>
  <c r="N965" i="2"/>
  <c r="R964" i="2"/>
  <c r="V963" i="2"/>
  <c r="Z962" i="2"/>
  <c r="J962" i="2"/>
  <c r="N961" i="2"/>
  <c r="R960" i="2"/>
  <c r="V959" i="2"/>
  <c r="Z958" i="2"/>
  <c r="J958" i="2"/>
  <c r="N957" i="2"/>
  <c r="R956" i="2"/>
  <c r="V955" i="2"/>
  <c r="Z954" i="2"/>
  <c r="J954" i="2"/>
  <c r="N953" i="2"/>
  <c r="R952" i="2"/>
  <c r="V951" i="2"/>
  <c r="Z950" i="2"/>
  <c r="J950" i="2"/>
  <c r="N949" i="2"/>
  <c r="R948" i="2"/>
  <c r="V947" i="2"/>
  <c r="Z946" i="2"/>
  <c r="J946" i="2"/>
  <c r="N945" i="2"/>
  <c r="R944" i="2"/>
  <c r="V943" i="2"/>
  <c r="Z942" i="2"/>
  <c r="J942" i="2"/>
  <c r="N941" i="2"/>
  <c r="R940" i="2"/>
  <c r="V939" i="2"/>
  <c r="Z938" i="2"/>
  <c r="J938" i="2"/>
  <c r="N937" i="2"/>
  <c r="R936" i="2"/>
  <c r="V935" i="2"/>
  <c r="Z934" i="2"/>
  <c r="J934" i="2"/>
  <c r="N933" i="2"/>
  <c r="R932" i="2"/>
  <c r="V931" i="2"/>
  <c r="Z930" i="2"/>
  <c r="J930" i="2"/>
  <c r="N929" i="2"/>
  <c r="R928" i="2"/>
  <c r="V927" i="2"/>
  <c r="Z926" i="2"/>
  <c r="J926" i="2"/>
  <c r="N925" i="2"/>
  <c r="R924" i="2"/>
  <c r="V923" i="2"/>
  <c r="Z922" i="2"/>
  <c r="J922" i="2"/>
  <c r="N921" i="2"/>
  <c r="R920" i="2"/>
  <c r="V919" i="2"/>
  <c r="Z918" i="2"/>
  <c r="J918" i="2"/>
  <c r="N917" i="2"/>
  <c r="R916" i="2"/>
  <c r="V915" i="2"/>
  <c r="Z914" i="2"/>
  <c r="J914" i="2"/>
  <c r="J913" i="2"/>
  <c r="I912" i="2"/>
  <c r="H911" i="2"/>
  <c r="Z909" i="2"/>
  <c r="Y908" i="2"/>
  <c r="X907" i="2"/>
  <c r="V906" i="2"/>
  <c r="U905" i="2"/>
  <c r="T904" i="2"/>
  <c r="R903" i="2"/>
  <c r="Q902" i="2"/>
  <c r="P901" i="2"/>
  <c r="N900" i="2"/>
  <c r="M899" i="2"/>
  <c r="L898" i="2"/>
  <c r="J897" i="2"/>
  <c r="I896" i="2"/>
  <c r="H895" i="2"/>
  <c r="Z893" i="2"/>
  <c r="Y892" i="2"/>
  <c r="X891" i="2"/>
  <c r="V890" i="2"/>
  <c r="U889" i="2"/>
  <c r="T888" i="2"/>
  <c r="R887" i="2"/>
  <c r="Q886" i="2"/>
  <c r="L885" i="2"/>
  <c r="T883" i="2"/>
  <c r="H882" i="2"/>
  <c r="P880" i="2"/>
  <c r="X878" i="2"/>
  <c r="L877" i="2"/>
  <c r="T875" i="2"/>
  <c r="H874" i="2"/>
  <c r="P872" i="2"/>
  <c r="X870" i="2"/>
  <c r="L869" i="2"/>
  <c r="T867" i="2"/>
  <c r="H866" i="2"/>
  <c r="P864" i="2"/>
  <c r="X862" i="2"/>
  <c r="L861" i="2"/>
  <c r="T859" i="2"/>
  <c r="H858" i="2"/>
  <c r="P856" i="2"/>
  <c r="X854" i="2"/>
  <c r="L853" i="2"/>
  <c r="T851" i="2"/>
  <c r="H850" i="2"/>
  <c r="P848" i="2"/>
  <c r="X846" i="2"/>
  <c r="L845" i="2"/>
  <c r="T843" i="2"/>
  <c r="H842" i="2"/>
  <c r="P840" i="2"/>
  <c r="X838" i="2"/>
  <c r="L837" i="2"/>
  <c r="T835" i="2"/>
  <c r="H834" i="2"/>
  <c r="P832" i="2"/>
  <c r="X830" i="2"/>
  <c r="L829" i="2"/>
  <c r="T827" i="2"/>
  <c r="H826" i="2"/>
  <c r="P824" i="2"/>
  <c r="X822" i="2"/>
  <c r="Y820" i="2"/>
  <c r="V818" i="2"/>
  <c r="S816" i="2"/>
  <c r="Q814" i="2"/>
  <c r="N812" i="2"/>
  <c r="K810" i="2"/>
  <c r="I808" i="2"/>
  <c r="Z805" i="2"/>
  <c r="W803" i="2"/>
  <c r="U801" i="2"/>
  <c r="R799" i="2"/>
  <c r="O797" i="2"/>
  <c r="M795" i="2"/>
  <c r="J793" i="2"/>
  <c r="AA790" i="2"/>
  <c r="Y788" i="2"/>
  <c r="V786" i="2"/>
  <c r="S784" i="2"/>
  <c r="Q782" i="2"/>
  <c r="N780" i="2"/>
  <c r="K778" i="2"/>
  <c r="I776" i="2"/>
  <c r="Z773" i="2"/>
  <c r="W771" i="2"/>
  <c r="U769" i="2"/>
  <c r="R767" i="2"/>
  <c r="O765" i="2"/>
  <c r="M763" i="2"/>
  <c r="O760" i="2"/>
  <c r="K757" i="2"/>
  <c r="AA753" i="2"/>
  <c r="W750" i="2"/>
  <c r="S747" i="2"/>
  <c r="O744" i="2"/>
  <c r="K741" i="2"/>
  <c r="AA737" i="2"/>
  <c r="W734" i="2"/>
  <c r="S731" i="2"/>
  <c r="O728" i="2"/>
  <c r="K725" i="2"/>
  <c r="AA721" i="2"/>
  <c r="W718" i="2"/>
  <c r="S715" i="2"/>
  <c r="O712" i="2"/>
  <c r="K709" i="2"/>
  <c r="AA705" i="2"/>
  <c r="W702" i="2"/>
  <c r="S699" i="2"/>
  <c r="O696" i="2"/>
  <c r="K693" i="2"/>
  <c r="AA689" i="2"/>
  <c r="W686" i="2"/>
  <c r="S683" i="2"/>
  <c r="O680" i="2"/>
  <c r="K677" i="2"/>
  <c r="AA673" i="2"/>
  <c r="W670" i="2"/>
  <c r="S667" i="2"/>
  <c r="O664" i="2"/>
  <c r="K661" i="2"/>
  <c r="AA657" i="2"/>
  <c r="W654" i="2"/>
  <c r="S651" i="2"/>
  <c r="O648" i="2"/>
  <c r="K645" i="2"/>
  <c r="AA641" i="2"/>
  <c r="W638" i="2"/>
  <c r="S635" i="2"/>
  <c r="O632" i="2"/>
  <c r="K629" i="2"/>
  <c r="AA625" i="2"/>
  <c r="W622" i="2"/>
  <c r="S619" i="2"/>
  <c r="O616" i="2"/>
  <c r="K613" i="2"/>
  <c r="AA609" i="2"/>
  <c r="W606" i="2"/>
  <c r="S603" i="2"/>
  <c r="O600" i="2"/>
  <c r="K597" i="2"/>
  <c r="AA593" i="2"/>
  <c r="W590" i="2"/>
  <c r="S587" i="2"/>
  <c r="O584" i="2"/>
  <c r="K581" i="2"/>
  <c r="AA577" i="2"/>
  <c r="N574" i="2"/>
  <c r="I570" i="2"/>
  <c r="R564" i="2"/>
  <c r="W558" i="2"/>
  <c r="J553" i="2"/>
  <c r="Q547" i="2"/>
  <c r="Y539" i="2"/>
  <c r="N531" i="2"/>
  <c r="W522" i="2"/>
  <c r="M514" i="2"/>
  <c r="V505" i="2"/>
  <c r="K497" i="2"/>
  <c r="U488" i="2"/>
  <c r="J480" i="2"/>
  <c r="S471" i="2"/>
  <c r="I463" i="2"/>
  <c r="O452" i="2"/>
  <c r="AA440" i="2"/>
  <c r="S429" i="2"/>
  <c r="M418" i="2"/>
  <c r="Y406" i="2"/>
  <c r="Q395" i="2"/>
  <c r="M380" i="2"/>
  <c r="K363" i="2"/>
  <c r="J346" i="2"/>
  <c r="AA309" i="2"/>
  <c r="I8" i="2"/>
  <c r="L8" i="2"/>
  <c r="S8" i="2"/>
  <c r="Z8" i="2"/>
  <c r="N9" i="2"/>
  <c r="T9" i="2"/>
  <c r="AA9" i="2"/>
  <c r="O10" i="2"/>
  <c r="V10" i="2"/>
  <c r="H11" i="2"/>
  <c r="P11" i="2"/>
  <c r="W11" i="2"/>
  <c r="J12" i="2"/>
  <c r="R12" i="2"/>
  <c r="X12" i="2"/>
  <c r="K13" i="2"/>
  <c r="S13" i="2"/>
  <c r="Z13" i="2"/>
  <c r="L14" i="2"/>
  <c r="T14" i="2"/>
  <c r="AA14" i="2"/>
  <c r="N15" i="2"/>
  <c r="V15" i="2"/>
  <c r="H16" i="2"/>
  <c r="O16" i="2"/>
  <c r="W16" i="2"/>
  <c r="J17" i="2"/>
  <c r="P17" i="2"/>
  <c r="X17" i="2"/>
  <c r="K18" i="2"/>
  <c r="R18" i="2"/>
  <c r="Z18" i="2"/>
  <c r="L19" i="2"/>
  <c r="S19" i="2"/>
  <c r="AA19" i="2"/>
  <c r="N20" i="2"/>
  <c r="T20" i="2"/>
  <c r="H21" i="2"/>
  <c r="O21" i="2"/>
  <c r="V21" i="2"/>
  <c r="J22" i="2"/>
  <c r="P22" i="2"/>
  <c r="W22" i="2"/>
  <c r="K23" i="2"/>
  <c r="R23" i="2"/>
  <c r="X23" i="2"/>
  <c r="L24" i="2"/>
  <c r="S24" i="2"/>
  <c r="Z24" i="2"/>
  <c r="L25" i="2"/>
  <c r="Q25" i="2"/>
  <c r="V25" i="2"/>
  <c r="H26" i="2"/>
  <c r="M26" i="2"/>
  <c r="R26" i="2"/>
  <c r="X26" i="2"/>
  <c r="I27" i="2"/>
  <c r="N27" i="2"/>
  <c r="T27" i="2"/>
  <c r="Y27" i="2"/>
  <c r="J28" i="2"/>
  <c r="P28" i="2"/>
  <c r="U28" i="2"/>
  <c r="Z28" i="2"/>
  <c r="L29" i="2"/>
  <c r="P29" i="2"/>
  <c r="T29" i="2"/>
  <c r="X29" i="2"/>
  <c r="H30" i="2"/>
  <c r="L30" i="2"/>
  <c r="P30" i="2"/>
  <c r="T30" i="2"/>
  <c r="X30" i="2"/>
  <c r="H31" i="2"/>
  <c r="L31" i="2"/>
  <c r="P31" i="2"/>
  <c r="T31" i="2"/>
  <c r="X31" i="2"/>
  <c r="H32" i="2"/>
  <c r="L32" i="2"/>
  <c r="P32" i="2"/>
  <c r="T32" i="2"/>
  <c r="X32" i="2"/>
  <c r="H33" i="2"/>
  <c r="L33" i="2"/>
  <c r="P33" i="2"/>
  <c r="J8" i="2"/>
  <c r="T8" i="2"/>
  <c r="J9" i="2"/>
  <c r="S9" i="2"/>
  <c r="J10" i="2"/>
  <c r="R10" i="2"/>
  <c r="AA10" i="2"/>
  <c r="R11" i="2"/>
  <c r="AA11" i="2"/>
  <c r="O12" i="2"/>
  <c r="Z12" i="2"/>
  <c r="O13" i="2"/>
  <c r="X13" i="2"/>
  <c r="O14" i="2"/>
  <c r="W14" i="2"/>
  <c r="L15" i="2"/>
  <c r="W15" i="2"/>
  <c r="L16" i="2"/>
  <c r="T16" i="2"/>
  <c r="K17" i="2"/>
  <c r="T17" i="2"/>
  <c r="J18" i="2"/>
  <c r="T18" i="2"/>
  <c r="H19" i="2"/>
  <c r="R19" i="2"/>
  <c r="H20" i="2"/>
  <c r="R20" i="2"/>
  <c r="Z20" i="2"/>
  <c r="P21" i="2"/>
  <c r="Z21" i="2"/>
  <c r="O22" i="2"/>
  <c r="Z22" i="2"/>
  <c r="N23" i="2"/>
  <c r="W23" i="2"/>
  <c r="N24" i="2"/>
  <c r="W24" i="2"/>
  <c r="J25" i="2"/>
  <c r="R25" i="2"/>
  <c r="Y25" i="2"/>
  <c r="L26" i="2"/>
  <c r="T26" i="2"/>
  <c r="Z26" i="2"/>
  <c r="M27" i="2"/>
  <c r="U27" i="2"/>
  <c r="H28" i="2"/>
  <c r="N28" i="2"/>
  <c r="V28" i="2"/>
  <c r="I29" i="2"/>
  <c r="O29" i="2"/>
  <c r="U29" i="2"/>
  <c r="Z29" i="2"/>
  <c r="K30" i="2"/>
  <c r="Q30" i="2"/>
  <c r="V30" i="2"/>
  <c r="AA30" i="2"/>
  <c r="M31" i="2"/>
  <c r="R31" i="2"/>
  <c r="W31" i="2"/>
  <c r="I32" i="2"/>
  <c r="N32" i="2"/>
  <c r="S32" i="2"/>
  <c r="Y32" i="2"/>
  <c r="J33" i="2"/>
  <c r="O33" i="2"/>
  <c r="T33" i="2"/>
  <c r="X33" i="2"/>
  <c r="H34" i="2"/>
  <c r="L34" i="2"/>
  <c r="P34" i="2"/>
  <c r="T34" i="2"/>
  <c r="X34" i="2"/>
  <c r="H35" i="2"/>
  <c r="L35" i="2"/>
  <c r="P35" i="2"/>
  <c r="T35" i="2"/>
  <c r="X35" i="2"/>
  <c r="H36" i="2"/>
  <c r="L36" i="2"/>
  <c r="P36" i="2"/>
  <c r="T36" i="2"/>
  <c r="X36" i="2"/>
  <c r="H37" i="2"/>
  <c r="L37" i="2"/>
  <c r="P37" i="2"/>
  <c r="T37" i="2"/>
  <c r="N8" i="2"/>
  <c r="W8" i="2"/>
  <c r="K9" i="2"/>
  <c r="V9" i="2"/>
  <c r="K10" i="2"/>
  <c r="T10" i="2"/>
  <c r="K11" i="2"/>
  <c r="S11" i="2"/>
  <c r="H12" i="2"/>
  <c r="S12" i="2"/>
  <c r="H13" i="2"/>
  <c r="P13" i="2"/>
  <c r="AA13" i="2"/>
  <c r="P14" i="2"/>
  <c r="Z14" i="2"/>
  <c r="P15" i="2"/>
  <c r="X15" i="2"/>
  <c r="N16" i="2"/>
  <c r="X16" i="2"/>
  <c r="N17" i="2"/>
  <c r="V17" i="2"/>
  <c r="L18" i="2"/>
  <c r="V18" i="2"/>
  <c r="K19" i="2"/>
  <c r="V19" i="2"/>
  <c r="J20" i="2"/>
  <c r="S20" i="2"/>
  <c r="J21" i="2"/>
  <c r="S21" i="2"/>
  <c r="AA21" i="2"/>
  <c r="R22" i="2"/>
  <c r="AA22" i="2"/>
  <c r="P23" i="2"/>
  <c r="AA23" i="2"/>
  <c r="O24" i="2"/>
  <c r="X24" i="2"/>
  <c r="M25" i="2"/>
  <c r="T25" i="2"/>
  <c r="Z25" i="2"/>
  <c r="N26" i="2"/>
  <c r="U26" i="2"/>
  <c r="H27" i="2"/>
  <c r="P27" i="2"/>
  <c r="V27" i="2"/>
  <c r="I28" i="2"/>
  <c r="Q28" i="2"/>
  <c r="X28" i="2"/>
  <c r="J29" i="2"/>
  <c r="Q29" i="2"/>
  <c r="V29" i="2"/>
  <c r="AA29" i="2"/>
  <c r="M30" i="2"/>
  <c r="R30" i="2"/>
  <c r="W30" i="2"/>
  <c r="I31" i="2"/>
  <c r="N31" i="2"/>
  <c r="S31" i="2"/>
  <c r="Y31" i="2"/>
  <c r="J32" i="2"/>
  <c r="O32" i="2"/>
  <c r="U32" i="2"/>
  <c r="Z32" i="2"/>
  <c r="K33" i="2"/>
  <c r="Q33" i="2"/>
  <c r="U33" i="2"/>
  <c r="Y33" i="2"/>
  <c r="I34" i="2"/>
  <c r="M34" i="2"/>
  <c r="Q34" i="2"/>
  <c r="U34" i="2"/>
  <c r="Y34" i="2"/>
  <c r="I35" i="2"/>
  <c r="M35" i="2"/>
  <c r="Q35" i="2"/>
  <c r="U35" i="2"/>
  <c r="Y35" i="2"/>
  <c r="I36" i="2"/>
  <c r="M36" i="2"/>
  <c r="Q36" i="2"/>
  <c r="U36" i="2"/>
  <c r="Y36" i="2"/>
  <c r="I37" i="2"/>
  <c r="M37" i="2"/>
  <c r="Q37" i="2"/>
  <c r="U37" i="2"/>
  <c r="Y37" i="2"/>
  <c r="I38" i="2"/>
  <c r="M38" i="2"/>
  <c r="Q38" i="2"/>
  <c r="U38" i="2"/>
  <c r="Y38" i="2"/>
  <c r="I39" i="2"/>
  <c r="M39" i="2"/>
  <c r="Q39" i="2"/>
  <c r="O8" i="2"/>
  <c r="O9" i="2"/>
  <c r="L10" i="2"/>
  <c r="L11" i="2"/>
  <c r="L12" i="2"/>
  <c r="J13" i="2"/>
  <c r="J14" i="2"/>
  <c r="H15" i="2"/>
  <c r="AA15" i="2"/>
  <c r="Z16" i="2"/>
  <c r="Z17" i="2"/>
  <c r="W18" i="2"/>
  <c r="W19" i="2"/>
  <c r="W20" i="2"/>
  <c r="T21" i="2"/>
  <c r="T22" i="2"/>
  <c r="S23" i="2"/>
  <c r="R24" i="2"/>
  <c r="N25" i="2"/>
  <c r="I26" i="2"/>
  <c r="V26" i="2"/>
  <c r="Q27" i="2"/>
  <c r="L28" i="2"/>
  <c r="Y28" i="2"/>
  <c r="R29" i="2"/>
  <c r="I30" i="2"/>
  <c r="S30" i="2"/>
  <c r="J31" i="2"/>
  <c r="U31" i="2"/>
  <c r="K32" i="2"/>
  <c r="V32" i="2"/>
  <c r="M33" i="2"/>
  <c r="V33" i="2"/>
  <c r="J34" i="2"/>
  <c r="R34" i="2"/>
  <c r="Z34" i="2"/>
  <c r="N35" i="2"/>
  <c r="V35" i="2"/>
  <c r="J36" i="2"/>
  <c r="R36" i="2"/>
  <c r="Z36" i="2"/>
  <c r="N37" i="2"/>
  <c r="V37" i="2"/>
  <c r="AA37" i="2"/>
  <c r="L38" i="2"/>
  <c r="R38" i="2"/>
  <c r="W38" i="2"/>
  <c r="H39" i="2"/>
  <c r="N39" i="2"/>
  <c r="S39" i="2"/>
  <c r="W39" i="2"/>
  <c r="AA39" i="2"/>
  <c r="K40" i="2"/>
  <c r="O40" i="2"/>
  <c r="S40" i="2"/>
  <c r="W40" i="2"/>
  <c r="AA40" i="2"/>
  <c r="K41" i="2"/>
  <c r="O41" i="2"/>
  <c r="S41" i="2"/>
  <c r="W41" i="2"/>
  <c r="AA41" i="2"/>
  <c r="K42" i="2"/>
  <c r="O42" i="2"/>
  <c r="S42" i="2"/>
  <c r="W42" i="2"/>
  <c r="AA42" i="2"/>
  <c r="K43" i="2"/>
  <c r="O43" i="2"/>
  <c r="S43" i="2"/>
  <c r="W43" i="2"/>
  <c r="AA43" i="2"/>
  <c r="K44" i="2"/>
  <c r="O44" i="2"/>
  <c r="S44" i="2"/>
  <c r="W44" i="2"/>
  <c r="AA44" i="2"/>
  <c r="K45" i="2"/>
  <c r="O45" i="2"/>
  <c r="S45" i="2"/>
  <c r="W45" i="2"/>
  <c r="AA45" i="2"/>
  <c r="K46" i="2"/>
  <c r="O46" i="2"/>
  <c r="S46" i="2"/>
  <c r="W46" i="2"/>
  <c r="AA46" i="2"/>
  <c r="K47" i="2"/>
  <c r="O47" i="2"/>
  <c r="S47" i="2"/>
  <c r="W47" i="2"/>
  <c r="AA47" i="2"/>
  <c r="K48" i="2"/>
  <c r="O48" i="2"/>
  <c r="S48" i="2"/>
  <c r="W48" i="2"/>
  <c r="AA48" i="2"/>
  <c r="K49" i="2"/>
  <c r="O49" i="2"/>
  <c r="S49" i="2"/>
  <c r="W49" i="2"/>
  <c r="AA49" i="2"/>
  <c r="K50" i="2"/>
  <c r="O50" i="2"/>
  <c r="S50" i="2"/>
  <c r="W50" i="2"/>
  <c r="AA50" i="2"/>
  <c r="K51" i="2"/>
  <c r="O51" i="2"/>
  <c r="S51" i="2"/>
  <c r="W51" i="2"/>
  <c r="AA51" i="2"/>
  <c r="K52" i="2"/>
  <c r="O52" i="2"/>
  <c r="S52" i="2"/>
  <c r="W52" i="2"/>
  <c r="AA52" i="2"/>
  <c r="K53" i="2"/>
  <c r="O53" i="2"/>
  <c r="S53" i="2"/>
  <c r="W53" i="2"/>
  <c r="AA53" i="2"/>
  <c r="K54" i="2"/>
  <c r="O54" i="2"/>
  <c r="S54" i="2"/>
  <c r="W54" i="2"/>
  <c r="AA54" i="2"/>
  <c r="K55" i="2"/>
  <c r="O55" i="2"/>
  <c r="S55" i="2"/>
  <c r="W55" i="2"/>
  <c r="AA55" i="2"/>
  <c r="K56" i="2"/>
  <c r="O56" i="2"/>
  <c r="S56" i="2"/>
  <c r="W56" i="2"/>
  <c r="AA56" i="2"/>
  <c r="K57" i="2"/>
  <c r="O57" i="2"/>
  <c r="S57" i="2"/>
  <c r="W57" i="2"/>
  <c r="AA57" i="2"/>
  <c r="R8" i="2"/>
  <c r="P9" i="2"/>
  <c r="P10" i="2"/>
  <c r="N11" i="2"/>
  <c r="N12" i="2"/>
  <c r="N13" i="2"/>
  <c r="K14" i="2"/>
  <c r="K15" i="2"/>
  <c r="J16" i="2"/>
  <c r="H17" i="2"/>
  <c r="AA17" i="2"/>
  <c r="AA18" i="2"/>
  <c r="X19" i="2"/>
  <c r="X20" i="2"/>
  <c r="X21" i="2"/>
  <c r="V22" i="2"/>
  <c r="V23" i="2"/>
  <c r="T24" i="2"/>
  <c r="P25" i="2"/>
  <c r="J26" i="2"/>
  <c r="Y26" i="2"/>
  <c r="R27" i="2"/>
  <c r="M28" i="2"/>
  <c r="H29" i="2"/>
  <c r="S29" i="2"/>
  <c r="J30" i="2"/>
  <c r="U30" i="2"/>
  <c r="K31" i="2"/>
  <c r="V31" i="2"/>
  <c r="M32" i="2"/>
  <c r="W32" i="2"/>
  <c r="N33" i="2"/>
  <c r="W33" i="2"/>
  <c r="K34" i="2"/>
  <c r="S34" i="2"/>
  <c r="AA34" i="2"/>
  <c r="O35" i="2"/>
  <c r="W35" i="2"/>
  <c r="K36" i="2"/>
  <c r="S36" i="2"/>
  <c r="AA36" i="2"/>
  <c r="O37" i="2"/>
  <c r="W37" i="2"/>
  <c r="H38" i="2"/>
  <c r="N38" i="2"/>
  <c r="S38" i="2"/>
  <c r="X38" i="2"/>
  <c r="J39" i="2"/>
  <c r="O39" i="2"/>
  <c r="T39" i="2"/>
  <c r="X39" i="2"/>
  <c r="H40" i="2"/>
  <c r="L40" i="2"/>
  <c r="P40" i="2"/>
  <c r="T40" i="2"/>
  <c r="X40" i="2"/>
  <c r="H41" i="2"/>
  <c r="L41" i="2"/>
  <c r="P41" i="2"/>
  <c r="T41" i="2"/>
  <c r="X41" i="2"/>
  <c r="H42" i="2"/>
  <c r="L42" i="2"/>
  <c r="P42" i="2"/>
  <c r="T42" i="2"/>
  <c r="X42" i="2"/>
  <c r="H43" i="2"/>
  <c r="L43" i="2"/>
  <c r="P43" i="2"/>
  <c r="T43" i="2"/>
  <c r="X43" i="2"/>
  <c r="H44" i="2"/>
  <c r="L44" i="2"/>
  <c r="P44" i="2"/>
  <c r="T44" i="2"/>
  <c r="X44" i="2"/>
  <c r="H45" i="2"/>
  <c r="L45" i="2"/>
  <c r="P45" i="2"/>
  <c r="T45" i="2"/>
  <c r="X45" i="2"/>
  <c r="H46" i="2"/>
  <c r="L46" i="2"/>
  <c r="P46" i="2"/>
  <c r="T46" i="2"/>
  <c r="X46" i="2"/>
  <c r="H47" i="2"/>
  <c r="L47" i="2"/>
  <c r="P47" i="2"/>
  <c r="T47" i="2"/>
  <c r="X47" i="2"/>
  <c r="H48" i="2"/>
  <c r="L48" i="2"/>
  <c r="P48" i="2"/>
  <c r="T48" i="2"/>
  <c r="X48" i="2"/>
  <c r="H49" i="2"/>
  <c r="L49" i="2"/>
  <c r="P49" i="2"/>
  <c r="T49" i="2"/>
  <c r="X49" i="2"/>
  <c r="H50" i="2"/>
  <c r="L50" i="2"/>
  <c r="P50" i="2"/>
  <c r="T50" i="2"/>
  <c r="X50" i="2"/>
  <c r="H51" i="2"/>
  <c r="L51" i="2"/>
  <c r="P51" i="2"/>
  <c r="T51" i="2"/>
  <c r="X51" i="2"/>
  <c r="H52" i="2"/>
  <c r="L52" i="2"/>
  <c r="P52" i="2"/>
  <c r="T52" i="2"/>
  <c r="X52" i="2"/>
  <c r="H53" i="2"/>
  <c r="L53" i="2"/>
  <c r="P53" i="2"/>
  <c r="T53" i="2"/>
  <c r="X53" i="2"/>
  <c r="H54" i="2"/>
  <c r="L54" i="2"/>
  <c r="P54" i="2"/>
  <c r="T54" i="2"/>
  <c r="X54" i="2"/>
  <c r="H55" i="2"/>
  <c r="L55" i="2"/>
  <c r="P55" i="2"/>
  <c r="T55" i="2"/>
  <c r="X55" i="2"/>
  <c r="H56" i="2"/>
  <c r="L56" i="2"/>
  <c r="P56" i="2"/>
  <c r="T56" i="2"/>
  <c r="X56" i="2"/>
  <c r="H57" i="2"/>
  <c r="L57" i="2"/>
  <c r="P57" i="2"/>
  <c r="T57" i="2"/>
  <c r="X57" i="2"/>
  <c r="H58" i="2"/>
  <c r="L58" i="2"/>
  <c r="P58" i="2"/>
  <c r="T58" i="2"/>
  <c r="X58" i="2"/>
  <c r="H59" i="2"/>
  <c r="L59" i="2"/>
  <c r="P59" i="2"/>
  <c r="T59" i="2"/>
  <c r="X59" i="2"/>
  <c r="H60" i="2"/>
  <c r="L60" i="2"/>
  <c r="P60" i="2"/>
  <c r="T60" i="2"/>
  <c r="X60" i="2"/>
  <c r="H61" i="2"/>
  <c r="L61" i="2"/>
  <c r="P61" i="2"/>
  <c r="T61" i="2"/>
  <c r="X61" i="2"/>
  <c r="H62" i="2"/>
  <c r="L62" i="2"/>
  <c r="P62" i="2"/>
  <c r="T62" i="2"/>
  <c r="X62" i="2"/>
  <c r="H63" i="2"/>
  <c r="L63" i="2"/>
  <c r="P63" i="2"/>
  <c r="T63" i="2"/>
  <c r="X8" i="2"/>
  <c r="W10" i="2"/>
  <c r="T12" i="2"/>
  <c r="R14" i="2"/>
  <c r="R16" i="2"/>
  <c r="O18" i="2"/>
  <c r="L20" i="2"/>
  <c r="K22" i="2"/>
  <c r="H24" i="2"/>
  <c r="U25" i="2"/>
  <c r="J27" i="2"/>
  <c r="R28" i="2"/>
  <c r="W29" i="2"/>
  <c r="Y30" i="2"/>
  <c r="Z31" i="2"/>
  <c r="AA32" i="2"/>
  <c r="Z33" i="2"/>
  <c r="V34" i="2"/>
  <c r="R35" i="2"/>
  <c r="N36" i="2"/>
  <c r="J37" i="2"/>
  <c r="X37" i="2"/>
  <c r="O38" i="2"/>
  <c r="Z38" i="2"/>
  <c r="P39" i="2"/>
  <c r="Y39" i="2"/>
  <c r="M40" i="2"/>
  <c r="U40" i="2"/>
  <c r="I41" i="2"/>
  <c r="Q41" i="2"/>
  <c r="Y41" i="2"/>
  <c r="M42" i="2"/>
  <c r="U42" i="2"/>
  <c r="I43" i="2"/>
  <c r="Q43" i="2"/>
  <c r="Y43" i="2"/>
  <c r="M44" i="2"/>
  <c r="U44" i="2"/>
  <c r="I45" i="2"/>
  <c r="Q45" i="2"/>
  <c r="Y45" i="2"/>
  <c r="M46" i="2"/>
  <c r="U46" i="2"/>
  <c r="I47" i="2"/>
  <c r="Q47" i="2"/>
  <c r="Y47" i="2"/>
  <c r="M48" i="2"/>
  <c r="U48" i="2"/>
  <c r="I49" i="2"/>
  <c r="Q49" i="2"/>
  <c r="Y49" i="2"/>
  <c r="M50" i="2"/>
  <c r="U50" i="2"/>
  <c r="I51" i="2"/>
  <c r="Q51" i="2"/>
  <c r="Y51" i="2"/>
  <c r="M52" i="2"/>
  <c r="U52" i="2"/>
  <c r="I53" i="2"/>
  <c r="Q53" i="2"/>
  <c r="Y53" i="2"/>
  <c r="M54" i="2"/>
  <c r="U54" i="2"/>
  <c r="I55" i="2"/>
  <c r="Q55" i="2"/>
  <c r="Y55" i="2"/>
  <c r="M56" i="2"/>
  <c r="U56" i="2"/>
  <c r="I57" i="2"/>
  <c r="Q57" i="2"/>
  <c r="Y57" i="2"/>
  <c r="K58" i="2"/>
  <c r="Q58" i="2"/>
  <c r="V58" i="2"/>
  <c r="AA58" i="2"/>
  <c r="M59" i="2"/>
  <c r="R59" i="2"/>
  <c r="W59" i="2"/>
  <c r="I60" i="2"/>
  <c r="N60" i="2"/>
  <c r="S60" i="2"/>
  <c r="Y60" i="2"/>
  <c r="J61" i="2"/>
  <c r="O61" i="2"/>
  <c r="U61" i="2"/>
  <c r="Z61" i="2"/>
  <c r="K62" i="2"/>
  <c r="Q62" i="2"/>
  <c r="V62" i="2"/>
  <c r="AA62" i="2"/>
  <c r="M63" i="2"/>
  <c r="R63" i="2"/>
  <c r="W63" i="2"/>
  <c r="AA63" i="2"/>
  <c r="K64" i="2"/>
  <c r="O64" i="2"/>
  <c r="S64" i="2"/>
  <c r="W64" i="2"/>
  <c r="AA64" i="2"/>
  <c r="K65" i="2"/>
  <c r="O65" i="2"/>
  <c r="S65" i="2"/>
  <c r="W65" i="2"/>
  <c r="AA65" i="2"/>
  <c r="K66" i="2"/>
  <c r="O66" i="2"/>
  <c r="S66" i="2"/>
  <c r="W66" i="2"/>
  <c r="AA66" i="2"/>
  <c r="K67" i="2"/>
  <c r="O67" i="2"/>
  <c r="S67" i="2"/>
  <c r="W67" i="2"/>
  <c r="AA67" i="2"/>
  <c r="K68" i="2"/>
  <c r="O68" i="2"/>
  <c r="S68" i="2"/>
  <c r="W68" i="2"/>
  <c r="AA68" i="2"/>
  <c r="K69" i="2"/>
  <c r="O69" i="2"/>
  <c r="S69" i="2"/>
  <c r="W69" i="2"/>
  <c r="AA69" i="2"/>
  <c r="K70" i="2"/>
  <c r="O70" i="2"/>
  <c r="S70" i="2"/>
  <c r="W70" i="2"/>
  <c r="AA70" i="2"/>
  <c r="K71" i="2"/>
  <c r="O71" i="2"/>
  <c r="S71" i="2"/>
  <c r="W71" i="2"/>
  <c r="AA71" i="2"/>
  <c r="K72" i="2"/>
  <c r="O72" i="2"/>
  <c r="S72" i="2"/>
  <c r="W72" i="2"/>
  <c r="AA72" i="2"/>
  <c r="K73" i="2"/>
  <c r="O73" i="2"/>
  <c r="S73" i="2"/>
  <c r="W73" i="2"/>
  <c r="AA73" i="2"/>
  <c r="K74" i="2"/>
  <c r="O74" i="2"/>
  <c r="S74" i="2"/>
  <c r="W74" i="2"/>
  <c r="AA74" i="2"/>
  <c r="K75" i="2"/>
  <c r="O75" i="2"/>
  <c r="S75" i="2"/>
  <c r="W75" i="2"/>
  <c r="AA75" i="2"/>
  <c r="K76" i="2"/>
  <c r="O76" i="2"/>
  <c r="S76" i="2"/>
  <c r="W76" i="2"/>
  <c r="AA76" i="2"/>
  <c r="K77" i="2"/>
  <c r="O77" i="2"/>
  <c r="S77" i="2"/>
  <c r="W77" i="2"/>
  <c r="AA77" i="2"/>
  <c r="K78" i="2"/>
  <c r="O78" i="2"/>
  <c r="S78" i="2"/>
  <c r="W78" i="2"/>
  <c r="AA78" i="2"/>
  <c r="K79" i="2"/>
  <c r="H9" i="2"/>
  <c r="Z10" i="2"/>
  <c r="W12" i="2"/>
  <c r="V14" i="2"/>
  <c r="S16" i="2"/>
  <c r="P18" i="2"/>
  <c r="O20" i="2"/>
  <c r="L22" i="2"/>
  <c r="J24" i="2"/>
  <c r="X25" i="2"/>
  <c r="L27" i="2"/>
  <c r="T28" i="2"/>
  <c r="Y29" i="2"/>
  <c r="Z30" i="2"/>
  <c r="AA31" i="2"/>
  <c r="I33" i="2"/>
  <c r="AA33" i="2"/>
  <c r="W34" i="2"/>
  <c r="S35" i="2"/>
  <c r="O36" i="2"/>
  <c r="K37" i="2"/>
  <c r="Z37" i="2"/>
  <c r="P38" i="2"/>
  <c r="AA38" i="2"/>
  <c r="R39" i="2"/>
  <c r="Z39" i="2"/>
  <c r="N40" i="2"/>
  <c r="V40" i="2"/>
  <c r="J41" i="2"/>
  <c r="R41" i="2"/>
  <c r="Z41" i="2"/>
  <c r="N42" i="2"/>
  <c r="V42" i="2"/>
  <c r="J43" i="2"/>
  <c r="R43" i="2"/>
  <c r="Z43" i="2"/>
  <c r="N44" i="2"/>
  <c r="V44" i="2"/>
  <c r="J45" i="2"/>
  <c r="R45" i="2"/>
  <c r="Z45" i="2"/>
  <c r="N46" i="2"/>
  <c r="V46" i="2"/>
  <c r="J47" i="2"/>
  <c r="R47" i="2"/>
  <c r="Z47" i="2"/>
  <c r="N48" i="2"/>
  <c r="V48" i="2"/>
  <c r="J49" i="2"/>
  <c r="R49" i="2"/>
  <c r="Z49" i="2"/>
  <c r="N50" i="2"/>
  <c r="V50" i="2"/>
  <c r="J51" i="2"/>
  <c r="R51" i="2"/>
  <c r="Z51" i="2"/>
  <c r="N52" i="2"/>
  <c r="V52" i="2"/>
  <c r="J53" i="2"/>
  <c r="R53" i="2"/>
  <c r="Z53" i="2"/>
  <c r="N54" i="2"/>
  <c r="V54" i="2"/>
  <c r="J55" i="2"/>
  <c r="R55" i="2"/>
  <c r="Z55" i="2"/>
  <c r="N56" i="2"/>
  <c r="V56" i="2"/>
  <c r="J57" i="2"/>
  <c r="R57" i="2"/>
  <c r="Z57" i="2"/>
  <c r="M58" i="2"/>
  <c r="R58" i="2"/>
  <c r="W58" i="2"/>
  <c r="I59" i="2"/>
  <c r="N59" i="2"/>
  <c r="S59" i="2"/>
  <c r="Y59" i="2"/>
  <c r="J60" i="2"/>
  <c r="O60" i="2"/>
  <c r="U60" i="2"/>
  <c r="Z60" i="2"/>
  <c r="K61" i="2"/>
  <c r="Q61" i="2"/>
  <c r="V61" i="2"/>
  <c r="AA61" i="2"/>
  <c r="M62" i="2"/>
  <c r="R62" i="2"/>
  <c r="W62" i="2"/>
  <c r="I63" i="2"/>
  <c r="N63" i="2"/>
  <c r="S63" i="2"/>
  <c r="X63" i="2"/>
  <c r="H64" i="2"/>
  <c r="L64" i="2"/>
  <c r="P64" i="2"/>
  <c r="T64" i="2"/>
  <c r="X64" i="2"/>
  <c r="H65" i="2"/>
  <c r="L65" i="2"/>
  <c r="P65" i="2"/>
  <c r="T65" i="2"/>
  <c r="X65" i="2"/>
  <c r="H66" i="2"/>
  <c r="L66" i="2"/>
  <c r="P66" i="2"/>
  <c r="T66" i="2"/>
  <c r="X66" i="2"/>
  <c r="H67" i="2"/>
  <c r="L67" i="2"/>
  <c r="P67" i="2"/>
  <c r="T67" i="2"/>
  <c r="X67" i="2"/>
  <c r="H68" i="2"/>
  <c r="L68" i="2"/>
  <c r="P68" i="2"/>
  <c r="T68" i="2"/>
  <c r="X68" i="2"/>
  <c r="H69" i="2"/>
  <c r="L69" i="2"/>
  <c r="P69" i="2"/>
  <c r="T69" i="2"/>
  <c r="X69" i="2"/>
  <c r="H70" i="2"/>
  <c r="L70" i="2"/>
  <c r="P70" i="2"/>
  <c r="T70" i="2"/>
  <c r="X70" i="2"/>
  <c r="H71" i="2"/>
  <c r="L71" i="2"/>
  <c r="P71" i="2"/>
  <c r="T71" i="2"/>
  <c r="X71" i="2"/>
  <c r="H72" i="2"/>
  <c r="L72" i="2"/>
  <c r="P72" i="2"/>
  <c r="T72" i="2"/>
  <c r="X72" i="2"/>
  <c r="H73" i="2"/>
  <c r="L73" i="2"/>
  <c r="P73" i="2"/>
  <c r="T73" i="2"/>
  <c r="X73" i="2"/>
  <c r="H74" i="2"/>
  <c r="L74" i="2"/>
  <c r="P74" i="2"/>
  <c r="T74" i="2"/>
  <c r="X74" i="2"/>
  <c r="H75" i="2"/>
  <c r="L75" i="2"/>
  <c r="P75" i="2"/>
  <c r="T75" i="2"/>
  <c r="X75" i="2"/>
  <c r="H76" i="2"/>
  <c r="L76" i="2"/>
  <c r="P76" i="2"/>
  <c r="T76" i="2"/>
  <c r="X76" i="2"/>
  <c r="H77" i="2"/>
  <c r="L77" i="2"/>
  <c r="P77" i="2"/>
  <c r="T77" i="2"/>
  <c r="X77" i="2"/>
  <c r="H78" i="2"/>
  <c r="L78" i="2"/>
  <c r="P78" i="2"/>
  <c r="T78" i="2"/>
  <c r="X78" i="2"/>
  <c r="H79" i="2"/>
  <c r="L79" i="2"/>
  <c r="P79" i="2"/>
  <c r="T79" i="2"/>
  <c r="V11" i="2"/>
  <c r="R15" i="2"/>
  <c r="N19" i="2"/>
  <c r="H23" i="2"/>
  <c r="P26" i="2"/>
  <c r="M29" i="2"/>
  <c r="O31" i="2"/>
  <c r="R33" i="2"/>
  <c r="J35" i="2"/>
  <c r="V36" i="2"/>
  <c r="J38" i="2"/>
  <c r="K39" i="2"/>
  <c r="I40" i="2"/>
  <c r="Y40" i="2"/>
  <c r="U41" i="2"/>
  <c r="Q42" i="2"/>
  <c r="M43" i="2"/>
  <c r="I44" i="2"/>
  <c r="Y44" i="2"/>
  <c r="U45" i="2"/>
  <c r="Q46" i="2"/>
  <c r="M47" i="2"/>
  <c r="I48" i="2"/>
  <c r="Y48" i="2"/>
  <c r="U49" i="2"/>
  <c r="Q50" i="2"/>
  <c r="M51" i="2"/>
  <c r="I52" i="2"/>
  <c r="Y52" i="2"/>
  <c r="U53" i="2"/>
  <c r="Q54" i="2"/>
  <c r="M55" i="2"/>
  <c r="I56" i="2"/>
  <c r="Y56" i="2"/>
  <c r="U57" i="2"/>
  <c r="N58" i="2"/>
  <c r="Y58" i="2"/>
  <c r="O59" i="2"/>
  <c r="Z59" i="2"/>
  <c r="Q60" i="2"/>
  <c r="AA60" i="2"/>
  <c r="R61" i="2"/>
  <c r="I62" i="2"/>
  <c r="S62" i="2"/>
  <c r="J63" i="2"/>
  <c r="U63" i="2"/>
  <c r="Z9" i="2"/>
  <c r="V13" i="2"/>
  <c r="S17" i="2"/>
  <c r="N21" i="2"/>
  <c r="I25" i="2"/>
  <c r="Z27" i="2"/>
  <c r="O30" i="2"/>
  <c r="R32" i="2"/>
  <c r="O34" i="2"/>
  <c r="AA35" i="2"/>
  <c r="S37" i="2"/>
  <c r="V38" i="2"/>
  <c r="V39" i="2"/>
  <c r="R40" i="2"/>
  <c r="N41" i="2"/>
  <c r="J42" i="2"/>
  <c r="Z42" i="2"/>
  <c r="V43" i="2"/>
  <c r="R44" i="2"/>
  <c r="N45" i="2"/>
  <c r="J46" i="2"/>
  <c r="Z46" i="2"/>
  <c r="V47" i="2"/>
  <c r="R48" i="2"/>
  <c r="N49" i="2"/>
  <c r="J50" i="2"/>
  <c r="Z50" i="2"/>
  <c r="V51" i="2"/>
  <c r="R52" i="2"/>
  <c r="N53" i="2"/>
  <c r="J54" i="2"/>
  <c r="Z54" i="2"/>
  <c r="V55" i="2"/>
  <c r="R56" i="2"/>
  <c r="N57" i="2"/>
  <c r="J58" i="2"/>
  <c r="U58" i="2"/>
  <c r="K59" i="2"/>
  <c r="V59" i="2"/>
  <c r="M60" i="2"/>
  <c r="W60" i="2"/>
  <c r="N61" i="2"/>
  <c r="Y61" i="2"/>
  <c r="O62" i="2"/>
  <c r="Z62" i="2"/>
  <c r="Q63" i="2"/>
  <c r="Z63" i="2"/>
  <c r="N64" i="2"/>
  <c r="V64" i="2"/>
  <c r="J65" i="2"/>
  <c r="R65" i="2"/>
  <c r="Z65" i="2"/>
  <c r="N66" i="2"/>
  <c r="V66" i="2"/>
  <c r="J67" i="2"/>
  <c r="R67" i="2"/>
  <c r="Z67" i="2"/>
  <c r="N68" i="2"/>
  <c r="V68" i="2"/>
  <c r="J69" i="2"/>
  <c r="R69" i="2"/>
  <c r="Z69" i="2"/>
  <c r="N70" i="2"/>
  <c r="V70" i="2"/>
  <c r="J71" i="2"/>
  <c r="R71" i="2"/>
  <c r="Z71" i="2"/>
  <c r="N72" i="2"/>
  <c r="V72" i="2"/>
  <c r="J73" i="2"/>
  <c r="R73" i="2"/>
  <c r="Z73" i="2"/>
  <c r="N74" i="2"/>
  <c r="V74" i="2"/>
  <c r="J75" i="2"/>
  <c r="R75" i="2"/>
  <c r="Z75" i="2"/>
  <c r="N76" i="2"/>
  <c r="V76" i="2"/>
  <c r="J77" i="2"/>
  <c r="R77" i="2"/>
  <c r="Z77" i="2"/>
  <c r="N78" i="2"/>
  <c r="V78" i="2"/>
  <c r="J79" i="2"/>
  <c r="Q79" i="2"/>
  <c r="V79" i="2"/>
  <c r="Z79" i="2"/>
  <c r="J80" i="2"/>
  <c r="N80" i="2"/>
  <c r="R80" i="2"/>
  <c r="V80" i="2"/>
  <c r="Z80" i="2"/>
  <c r="J81" i="2"/>
  <c r="N81" i="2"/>
  <c r="R81" i="2"/>
  <c r="V81" i="2"/>
  <c r="Z81" i="2"/>
  <c r="J82" i="2"/>
  <c r="N82" i="2"/>
  <c r="R82" i="2"/>
  <c r="V82" i="2"/>
  <c r="Z82" i="2"/>
  <c r="J83" i="2"/>
  <c r="N83" i="2"/>
  <c r="R83" i="2"/>
  <c r="V83" i="2"/>
  <c r="Z83" i="2"/>
  <c r="J84" i="2"/>
  <c r="N84" i="2"/>
  <c r="R84" i="2"/>
  <c r="V84" i="2"/>
  <c r="Z84" i="2"/>
  <c r="J85" i="2"/>
  <c r="N85" i="2"/>
  <c r="R85" i="2"/>
  <c r="V85" i="2"/>
  <c r="Z85" i="2"/>
  <c r="J86" i="2"/>
  <c r="N86" i="2"/>
  <c r="R86" i="2"/>
  <c r="V86" i="2"/>
  <c r="Z86" i="2"/>
  <c r="J87" i="2"/>
  <c r="N87" i="2"/>
  <c r="R87" i="2"/>
  <c r="V87" i="2"/>
  <c r="Z87" i="2"/>
  <c r="J88" i="2"/>
  <c r="N88" i="2"/>
  <c r="R88" i="2"/>
  <c r="V88" i="2"/>
  <c r="Z88" i="2"/>
  <c r="J89" i="2"/>
  <c r="N89" i="2"/>
  <c r="R89" i="2"/>
  <c r="V89" i="2"/>
  <c r="Z89" i="2"/>
  <c r="J90" i="2"/>
  <c r="N90" i="2"/>
  <c r="R90" i="2"/>
  <c r="V90" i="2"/>
  <c r="Z90" i="2"/>
  <c r="J91" i="2"/>
  <c r="N91" i="2"/>
  <c r="R91" i="2"/>
  <c r="V91" i="2"/>
  <c r="Z91" i="2"/>
  <c r="J92" i="2"/>
  <c r="N92" i="2"/>
  <c r="R92" i="2"/>
  <c r="V92" i="2"/>
  <c r="Z92" i="2"/>
  <c r="J93" i="2"/>
  <c r="N93" i="2"/>
  <c r="R93" i="2"/>
  <c r="V93" i="2"/>
  <c r="Z93" i="2"/>
  <c r="J94" i="2"/>
  <c r="N94" i="2"/>
  <c r="R94" i="2"/>
  <c r="V94" i="2"/>
  <c r="Z94" i="2"/>
  <c r="J95" i="2"/>
  <c r="N95" i="2"/>
  <c r="R95" i="2"/>
  <c r="V95" i="2"/>
  <c r="Z95" i="2"/>
  <c r="J96" i="2"/>
  <c r="N96" i="2"/>
  <c r="R96" i="2"/>
  <c r="V96" i="2"/>
  <c r="Z96" i="2"/>
  <c r="J97" i="2"/>
  <c r="N97" i="2"/>
  <c r="R97" i="2"/>
  <c r="V97" i="2"/>
  <c r="Z97" i="2"/>
  <c r="J98" i="2"/>
  <c r="N98" i="2"/>
  <c r="R98" i="2"/>
  <c r="V98" i="2"/>
  <c r="Z98" i="2"/>
  <c r="J99" i="2"/>
  <c r="N99" i="2"/>
  <c r="R99" i="2"/>
  <c r="V99" i="2"/>
  <c r="Z99" i="2"/>
  <c r="J100" i="2"/>
  <c r="N100" i="2"/>
  <c r="R100" i="2"/>
  <c r="V100" i="2"/>
  <c r="Z100" i="2"/>
  <c r="J101" i="2"/>
  <c r="N101" i="2"/>
  <c r="R101" i="2"/>
  <c r="V101" i="2"/>
  <c r="Z101" i="2"/>
  <c r="J102" i="2"/>
  <c r="N102" i="2"/>
  <c r="R102" i="2"/>
  <c r="V102" i="2"/>
  <c r="Z102" i="2"/>
  <c r="J103" i="2"/>
  <c r="N103" i="2"/>
  <c r="R103" i="2"/>
  <c r="V103" i="2"/>
  <c r="Z103" i="2"/>
  <c r="J104" i="2"/>
  <c r="N104" i="2"/>
  <c r="R104" i="2"/>
  <c r="V104" i="2"/>
  <c r="Z104" i="2"/>
  <c r="J105" i="2"/>
  <c r="N105" i="2"/>
  <c r="R105" i="2"/>
  <c r="V105" i="2"/>
  <c r="Z105" i="2"/>
  <c r="J106" i="2"/>
  <c r="N106" i="2"/>
  <c r="R106" i="2"/>
  <c r="V106" i="2"/>
  <c r="Z106" i="2"/>
  <c r="J107" i="2"/>
  <c r="N107" i="2"/>
  <c r="R107" i="2"/>
  <c r="V107" i="2"/>
  <c r="Z107" i="2"/>
  <c r="J108" i="2"/>
  <c r="N108" i="2"/>
  <c r="R108" i="2"/>
  <c r="V108" i="2"/>
  <c r="Z108" i="2"/>
  <c r="J109" i="2"/>
  <c r="N109" i="2"/>
  <c r="R109" i="2"/>
  <c r="V109" i="2"/>
  <c r="Z109" i="2"/>
  <c r="J110" i="2"/>
  <c r="N110" i="2"/>
  <c r="R110" i="2"/>
  <c r="V110" i="2"/>
  <c r="Z110" i="2"/>
  <c r="J111" i="2"/>
  <c r="N111" i="2"/>
  <c r="R111" i="2"/>
  <c r="V111" i="2"/>
  <c r="Z111" i="2"/>
  <c r="J112" i="2"/>
  <c r="N112" i="2"/>
  <c r="R112" i="2"/>
  <c r="V112" i="2"/>
  <c r="Z112" i="2"/>
  <c r="J113" i="2"/>
  <c r="N113" i="2"/>
  <c r="R113" i="2"/>
  <c r="V113" i="2"/>
  <c r="Z113" i="2"/>
  <c r="J114" i="2"/>
  <c r="N114" i="2"/>
  <c r="R114" i="2"/>
  <c r="V114" i="2"/>
  <c r="Z114" i="2"/>
  <c r="J115" i="2"/>
  <c r="N115" i="2"/>
  <c r="R115" i="2"/>
  <c r="V115" i="2"/>
  <c r="Z115" i="2"/>
  <c r="J116" i="2"/>
  <c r="N116" i="2"/>
  <c r="R116" i="2"/>
  <c r="V116" i="2"/>
  <c r="Z116" i="2"/>
  <c r="J117" i="2"/>
  <c r="N117" i="2"/>
  <c r="R117" i="2"/>
  <c r="V117" i="2"/>
  <c r="Z117" i="2"/>
  <c r="J118" i="2"/>
  <c r="N118" i="2"/>
  <c r="R118" i="2"/>
  <c r="V118" i="2"/>
  <c r="Z118" i="2"/>
  <c r="J119" i="2"/>
  <c r="N119" i="2"/>
  <c r="R119" i="2"/>
  <c r="V119" i="2"/>
  <c r="Z119" i="2"/>
  <c r="J120" i="2"/>
  <c r="N120" i="2"/>
  <c r="R120" i="2"/>
  <c r="V120" i="2"/>
  <c r="Z120" i="2"/>
  <c r="J121" i="2"/>
  <c r="N121" i="2"/>
  <c r="R121" i="2"/>
  <c r="V121" i="2"/>
  <c r="Z121" i="2"/>
  <c r="J122" i="2"/>
  <c r="N122" i="2"/>
  <c r="R122" i="2"/>
  <c r="V122" i="2"/>
  <c r="Z122" i="2"/>
  <c r="J123" i="2"/>
  <c r="N123" i="2"/>
  <c r="R123" i="2"/>
  <c r="V123" i="2"/>
  <c r="Z123" i="2"/>
  <c r="J124" i="2"/>
  <c r="N124" i="2"/>
  <c r="R124" i="2"/>
  <c r="V124" i="2"/>
  <c r="Z124" i="2"/>
  <c r="J125" i="2"/>
  <c r="N125" i="2"/>
  <c r="R125" i="2"/>
  <c r="V125" i="2"/>
  <c r="Z125" i="2"/>
  <c r="J126" i="2"/>
  <c r="N126" i="2"/>
  <c r="R126" i="2"/>
  <c r="V126" i="2"/>
  <c r="Z126" i="2"/>
  <c r="J127" i="2"/>
  <c r="N127" i="2"/>
  <c r="R127" i="2"/>
  <c r="V127" i="2"/>
  <c r="Z127" i="2"/>
  <c r="J128" i="2"/>
  <c r="N128" i="2"/>
  <c r="R128" i="2"/>
  <c r="V128" i="2"/>
  <c r="Z128" i="2"/>
  <c r="J129" i="2"/>
  <c r="N129" i="2"/>
  <c r="R129" i="2"/>
  <c r="V129" i="2"/>
  <c r="Z129" i="2"/>
  <c r="J130" i="2"/>
  <c r="N130" i="2"/>
  <c r="R130" i="2"/>
  <c r="X11" i="2"/>
  <c r="P19" i="2"/>
  <c r="Q26" i="2"/>
  <c r="Q31" i="2"/>
  <c r="K35" i="2"/>
  <c r="K38" i="2"/>
  <c r="J40" i="2"/>
  <c r="V41" i="2"/>
  <c r="N43" i="2"/>
  <c r="Z44" i="2"/>
  <c r="R46" i="2"/>
  <c r="J48" i="2"/>
  <c r="V49" i="2"/>
  <c r="N51" i="2"/>
  <c r="Z52" i="2"/>
  <c r="R54" i="2"/>
  <c r="J56" i="2"/>
  <c r="V57" i="2"/>
  <c r="Z58" i="2"/>
  <c r="AA59" i="2"/>
  <c r="I61" i="2"/>
  <c r="J62" i="2"/>
  <c r="K63" i="2"/>
  <c r="I64" i="2"/>
  <c r="R64" i="2"/>
  <c r="I65" i="2"/>
  <c r="U65" i="2"/>
  <c r="J66" i="2"/>
  <c r="U66" i="2"/>
  <c r="M67" i="2"/>
  <c r="V67" i="2"/>
  <c r="M68" i="2"/>
  <c r="Y68" i="2"/>
  <c r="N69" i="2"/>
  <c r="Y69" i="2"/>
  <c r="Q70" i="2"/>
  <c r="Z70" i="2"/>
  <c r="Q71" i="2"/>
  <c r="I72" i="2"/>
  <c r="R72" i="2"/>
  <c r="I73" i="2"/>
  <c r="U73" i="2"/>
  <c r="J74" i="2"/>
  <c r="U74" i="2"/>
  <c r="M75" i="2"/>
  <c r="V75" i="2"/>
  <c r="M76" i="2"/>
  <c r="Y76" i="2"/>
  <c r="N77" i="2"/>
  <c r="Y77" i="2"/>
  <c r="Q78" i="2"/>
  <c r="Z78" i="2"/>
  <c r="O79" i="2"/>
  <c r="W79" i="2"/>
  <c r="H80" i="2"/>
  <c r="M80" i="2"/>
  <c r="S80" i="2"/>
  <c r="X80" i="2"/>
  <c r="I81" i="2"/>
  <c r="O81" i="2"/>
  <c r="T81" i="2"/>
  <c r="Y81" i="2"/>
  <c r="K82" i="2"/>
  <c r="P82" i="2"/>
  <c r="U82" i="2"/>
  <c r="AA82" i="2"/>
  <c r="L83" i="2"/>
  <c r="Q83" i="2"/>
  <c r="W83" i="2"/>
  <c r="H84" i="2"/>
  <c r="M84" i="2"/>
  <c r="S84" i="2"/>
  <c r="X84" i="2"/>
  <c r="I85" i="2"/>
  <c r="O85" i="2"/>
  <c r="T85" i="2"/>
  <c r="Y85" i="2"/>
  <c r="K86" i="2"/>
  <c r="P86" i="2"/>
  <c r="U86" i="2"/>
  <c r="AA86" i="2"/>
  <c r="L87" i="2"/>
  <c r="Q87" i="2"/>
  <c r="W87" i="2"/>
  <c r="H88" i="2"/>
  <c r="M88" i="2"/>
  <c r="S88" i="2"/>
  <c r="X88" i="2"/>
  <c r="I89" i="2"/>
  <c r="O89" i="2"/>
  <c r="T89" i="2"/>
  <c r="Y89" i="2"/>
  <c r="K90" i="2"/>
  <c r="P90" i="2"/>
  <c r="U90" i="2"/>
  <c r="AA90" i="2"/>
  <c r="L91" i="2"/>
  <c r="Q91" i="2"/>
  <c r="W91" i="2"/>
  <c r="H92" i="2"/>
  <c r="M92" i="2"/>
  <c r="S92" i="2"/>
  <c r="X92" i="2"/>
  <c r="I93" i="2"/>
  <c r="O93" i="2"/>
  <c r="T93" i="2"/>
  <c r="Y93" i="2"/>
  <c r="K94" i="2"/>
  <c r="P94" i="2"/>
  <c r="U94" i="2"/>
  <c r="AA94" i="2"/>
  <c r="L95" i="2"/>
  <c r="Q95" i="2"/>
  <c r="W95" i="2"/>
  <c r="H96" i="2"/>
  <c r="M96" i="2"/>
  <c r="S96" i="2"/>
  <c r="X96" i="2"/>
  <c r="I97" i="2"/>
  <c r="O97" i="2"/>
  <c r="T97" i="2"/>
  <c r="Y97" i="2"/>
  <c r="K98" i="2"/>
  <c r="P98" i="2"/>
  <c r="U98" i="2"/>
  <c r="AA98" i="2"/>
  <c r="L99" i="2"/>
  <c r="Q99" i="2"/>
  <c r="W99" i="2"/>
  <c r="H100" i="2"/>
  <c r="M100" i="2"/>
  <c r="S100" i="2"/>
  <c r="X100" i="2"/>
  <c r="I101" i="2"/>
  <c r="O101" i="2"/>
  <c r="T101" i="2"/>
  <c r="Y101" i="2"/>
  <c r="K102" i="2"/>
  <c r="P102" i="2"/>
  <c r="U102" i="2"/>
  <c r="AA102" i="2"/>
  <c r="L103" i="2"/>
  <c r="Q103" i="2"/>
  <c r="W103" i="2"/>
  <c r="H104" i="2"/>
  <c r="M104" i="2"/>
  <c r="S104" i="2"/>
  <c r="X104" i="2"/>
  <c r="I105" i="2"/>
  <c r="O105" i="2"/>
  <c r="T105" i="2"/>
  <c r="Y105" i="2"/>
  <c r="K106" i="2"/>
  <c r="P106" i="2"/>
  <c r="U106" i="2"/>
  <c r="AA106" i="2"/>
  <c r="L107" i="2"/>
  <c r="Q107" i="2"/>
  <c r="W107" i="2"/>
  <c r="H108" i="2"/>
  <c r="M108" i="2"/>
  <c r="S108" i="2"/>
  <c r="X108" i="2"/>
  <c r="I109" i="2"/>
  <c r="O109" i="2"/>
  <c r="T109" i="2"/>
  <c r="Y109" i="2"/>
  <c r="K110" i="2"/>
  <c r="P110" i="2"/>
  <c r="U110" i="2"/>
  <c r="AA110" i="2"/>
  <c r="L111" i="2"/>
  <c r="Q111" i="2"/>
  <c r="W111" i="2"/>
  <c r="H112" i="2"/>
  <c r="M112" i="2"/>
  <c r="S112" i="2"/>
  <c r="X112" i="2"/>
  <c r="I113" i="2"/>
  <c r="O113" i="2"/>
  <c r="T113" i="2"/>
  <c r="Y113" i="2"/>
  <c r="K114" i="2"/>
  <c r="P114" i="2"/>
  <c r="U114" i="2"/>
  <c r="AA114" i="2"/>
  <c r="L115" i="2"/>
  <c r="Q115" i="2"/>
  <c r="W115" i="2"/>
  <c r="H116" i="2"/>
  <c r="M116" i="2"/>
  <c r="S116" i="2"/>
  <c r="X116" i="2"/>
  <c r="I117" i="2"/>
  <c r="O117" i="2"/>
  <c r="T117" i="2"/>
  <c r="Y117" i="2"/>
  <c r="K118" i="2"/>
  <c r="P118" i="2"/>
  <c r="U118" i="2"/>
  <c r="AA118" i="2"/>
  <c r="L119" i="2"/>
  <c r="Q119" i="2"/>
  <c r="W119" i="2"/>
  <c r="H120" i="2"/>
  <c r="M120" i="2"/>
  <c r="S120" i="2"/>
  <c r="X120" i="2"/>
  <c r="I121" i="2"/>
  <c r="O121" i="2"/>
  <c r="T121" i="2"/>
  <c r="Y121" i="2"/>
  <c r="K122" i="2"/>
  <c r="P122" i="2"/>
  <c r="U122" i="2"/>
  <c r="AA122" i="2"/>
  <c r="L123" i="2"/>
  <c r="Q123" i="2"/>
  <c r="W123" i="2"/>
  <c r="H124" i="2"/>
  <c r="M124" i="2"/>
  <c r="S124" i="2"/>
  <c r="X124" i="2"/>
  <c r="I125" i="2"/>
  <c r="O125" i="2"/>
  <c r="T125" i="2"/>
  <c r="Y125" i="2"/>
  <c r="K126" i="2"/>
  <c r="P126" i="2"/>
  <c r="U126" i="2"/>
  <c r="AA126" i="2"/>
  <c r="L127" i="2"/>
  <c r="Q127" i="2"/>
  <c r="W127" i="2"/>
  <c r="H128" i="2"/>
  <c r="M128" i="2"/>
  <c r="S128" i="2"/>
  <c r="X128" i="2"/>
  <c r="I129" i="2"/>
  <c r="O129" i="2"/>
  <c r="T129" i="2"/>
  <c r="Y129" i="2"/>
  <c r="K130" i="2"/>
  <c r="P130" i="2"/>
  <c r="U130" i="2"/>
  <c r="Y130" i="2"/>
  <c r="I131" i="2"/>
  <c r="M131" i="2"/>
  <c r="Q131" i="2"/>
  <c r="U131" i="2"/>
  <c r="Y131" i="2"/>
  <c r="I132" i="2"/>
  <c r="M132" i="2"/>
  <c r="Q132" i="2"/>
  <c r="U132" i="2"/>
  <c r="Y132" i="2"/>
  <c r="I133" i="2"/>
  <c r="M133" i="2"/>
  <c r="Q133" i="2"/>
  <c r="U133" i="2"/>
  <c r="Y133" i="2"/>
  <c r="I134" i="2"/>
  <c r="M134" i="2"/>
  <c r="Q134" i="2"/>
  <c r="U134" i="2"/>
  <c r="Y134" i="2"/>
  <c r="I135" i="2"/>
  <c r="M135" i="2"/>
  <c r="Q135" i="2"/>
  <c r="U135" i="2"/>
  <c r="Y135" i="2"/>
  <c r="I136" i="2"/>
  <c r="M136" i="2"/>
  <c r="Q136" i="2"/>
  <c r="U136" i="2"/>
  <c r="Y136" i="2"/>
  <c r="I137" i="2"/>
  <c r="M137" i="2"/>
  <c r="Q137" i="2"/>
  <c r="U137" i="2"/>
  <c r="Y137" i="2"/>
  <c r="I138" i="2"/>
  <c r="M138" i="2"/>
  <c r="Q138" i="2"/>
  <c r="U138" i="2"/>
  <c r="Y138" i="2"/>
  <c r="I139" i="2"/>
  <c r="M139" i="2"/>
  <c r="Q139" i="2"/>
  <c r="U139" i="2"/>
  <c r="Y139" i="2"/>
  <c r="I140" i="2"/>
  <c r="M140" i="2"/>
  <c r="Q140" i="2"/>
  <c r="U140" i="2"/>
  <c r="Y140" i="2"/>
  <c r="I141" i="2"/>
  <c r="M141" i="2"/>
  <c r="Q141" i="2"/>
  <c r="U141" i="2"/>
  <c r="Y141" i="2"/>
  <c r="I142" i="2"/>
  <c r="M142" i="2"/>
  <c r="Q142" i="2"/>
  <c r="U142" i="2"/>
  <c r="Y142" i="2"/>
  <c r="I143" i="2"/>
  <c r="M143" i="2"/>
  <c r="Q143" i="2"/>
  <c r="U143" i="2"/>
  <c r="Y143" i="2"/>
  <c r="I144" i="2"/>
  <c r="M144" i="2"/>
  <c r="Q144" i="2"/>
  <c r="U144" i="2"/>
  <c r="Y144" i="2"/>
  <c r="I145" i="2"/>
  <c r="M145" i="2"/>
  <c r="Q145" i="2"/>
  <c r="U145" i="2"/>
  <c r="Y145" i="2"/>
  <c r="I146" i="2"/>
  <c r="M146" i="2"/>
  <c r="Q146" i="2"/>
  <c r="U146" i="2"/>
  <c r="Y146" i="2"/>
  <c r="I147" i="2"/>
  <c r="M147" i="2"/>
  <c r="Q147" i="2"/>
  <c r="U147" i="2"/>
  <c r="Y147" i="2"/>
  <c r="I148" i="2"/>
  <c r="M148" i="2"/>
  <c r="Q148" i="2"/>
  <c r="U148" i="2"/>
  <c r="Y148" i="2"/>
  <c r="I149" i="2"/>
  <c r="M149" i="2"/>
  <c r="Q149" i="2"/>
  <c r="U149" i="2"/>
  <c r="Y149" i="2"/>
  <c r="T13" i="2"/>
  <c r="K21" i="2"/>
  <c r="X27" i="2"/>
  <c r="Q32" i="2"/>
  <c r="Z35" i="2"/>
  <c r="T38" i="2"/>
  <c r="Q40" i="2"/>
  <c r="I42" i="2"/>
  <c r="U43" i="2"/>
  <c r="M45" i="2"/>
  <c r="Y46" i="2"/>
  <c r="Q48" i="2"/>
  <c r="I50" i="2"/>
  <c r="U51" i="2"/>
  <c r="M53" i="2"/>
  <c r="Y54" i="2"/>
  <c r="Q56" i="2"/>
  <c r="I58" i="2"/>
  <c r="J59" i="2"/>
  <c r="K60" i="2"/>
  <c r="M61" i="2"/>
  <c r="N62" i="2"/>
  <c r="O63" i="2"/>
  <c r="J64" i="2"/>
  <c r="U64" i="2"/>
  <c r="M65" i="2"/>
  <c r="V65" i="2"/>
  <c r="M66" i="2"/>
  <c r="Y66" i="2"/>
  <c r="N67" i="2"/>
  <c r="Y67" i="2"/>
  <c r="Q68" i="2"/>
  <c r="Z68" i="2"/>
  <c r="Q69" i="2"/>
  <c r="I70" i="2"/>
  <c r="R70" i="2"/>
  <c r="I71" i="2"/>
  <c r="U71" i="2"/>
  <c r="J72" i="2"/>
  <c r="U72" i="2"/>
  <c r="M73" i="2"/>
  <c r="V73" i="2"/>
  <c r="M74" i="2"/>
  <c r="Y74" i="2"/>
  <c r="N75" i="2"/>
  <c r="Y75" i="2"/>
  <c r="Q76" i="2"/>
  <c r="Z76" i="2"/>
  <c r="Q77" i="2"/>
  <c r="I78" i="2"/>
  <c r="R78" i="2"/>
  <c r="I79" i="2"/>
  <c r="R79" i="2"/>
  <c r="X79" i="2"/>
  <c r="I80" i="2"/>
  <c r="O80" i="2"/>
  <c r="T80" i="2"/>
  <c r="Y80" i="2"/>
  <c r="K81" i="2"/>
  <c r="P81" i="2"/>
  <c r="U81" i="2"/>
  <c r="AA81" i="2"/>
  <c r="L82" i="2"/>
  <c r="Q82" i="2"/>
  <c r="W82" i="2"/>
  <c r="H83" i="2"/>
  <c r="M83" i="2"/>
  <c r="S83" i="2"/>
  <c r="X83" i="2"/>
  <c r="I84" i="2"/>
  <c r="O84" i="2"/>
  <c r="T84" i="2"/>
  <c r="Y84" i="2"/>
  <c r="K85" i="2"/>
  <c r="P85" i="2"/>
  <c r="U85" i="2"/>
  <c r="AA85" i="2"/>
  <c r="L86" i="2"/>
  <c r="Q86" i="2"/>
  <c r="W86" i="2"/>
  <c r="H87" i="2"/>
  <c r="M87" i="2"/>
  <c r="S87" i="2"/>
  <c r="X87" i="2"/>
  <c r="I88" i="2"/>
  <c r="O88" i="2"/>
  <c r="T88" i="2"/>
  <c r="Y88" i="2"/>
  <c r="K89" i="2"/>
  <c r="P89" i="2"/>
  <c r="U89" i="2"/>
  <c r="AA89" i="2"/>
  <c r="L90" i="2"/>
  <c r="Q90" i="2"/>
  <c r="W90" i="2"/>
  <c r="H91" i="2"/>
  <c r="M91" i="2"/>
  <c r="S91" i="2"/>
  <c r="X91" i="2"/>
  <c r="I92" i="2"/>
  <c r="O92" i="2"/>
  <c r="T92" i="2"/>
  <c r="Y92" i="2"/>
  <c r="K93" i="2"/>
  <c r="P93" i="2"/>
  <c r="U93" i="2"/>
  <c r="AA93" i="2"/>
  <c r="L94" i="2"/>
  <c r="Q94" i="2"/>
  <c r="W94" i="2"/>
  <c r="H95" i="2"/>
  <c r="M95" i="2"/>
  <c r="S95" i="2"/>
  <c r="X95" i="2"/>
  <c r="I96" i="2"/>
  <c r="O96" i="2"/>
  <c r="T96" i="2"/>
  <c r="Y96" i="2"/>
  <c r="K97" i="2"/>
  <c r="P97" i="2"/>
  <c r="U97" i="2"/>
  <c r="AA97" i="2"/>
  <c r="L98" i="2"/>
  <c r="Q98" i="2"/>
  <c r="W98" i="2"/>
  <c r="H99" i="2"/>
  <c r="M99" i="2"/>
  <c r="S99" i="2"/>
  <c r="X99" i="2"/>
  <c r="I100" i="2"/>
  <c r="O100" i="2"/>
  <c r="T100" i="2"/>
  <c r="Y100" i="2"/>
  <c r="K101" i="2"/>
  <c r="P101" i="2"/>
  <c r="U101" i="2"/>
  <c r="AA101" i="2"/>
  <c r="L102" i="2"/>
  <c r="Q102" i="2"/>
  <c r="W102" i="2"/>
  <c r="H103" i="2"/>
  <c r="M103" i="2"/>
  <c r="S103" i="2"/>
  <c r="X103" i="2"/>
  <c r="I104" i="2"/>
  <c r="O104" i="2"/>
  <c r="T104" i="2"/>
  <c r="Y104" i="2"/>
  <c r="K105" i="2"/>
  <c r="P105" i="2"/>
  <c r="U105" i="2"/>
  <c r="AA105" i="2"/>
  <c r="L106" i="2"/>
  <c r="Q106" i="2"/>
  <c r="W106" i="2"/>
  <c r="H107" i="2"/>
  <c r="M107" i="2"/>
  <c r="S107" i="2"/>
  <c r="X107" i="2"/>
  <c r="I108" i="2"/>
  <c r="O108" i="2"/>
  <c r="T108" i="2"/>
  <c r="Y108" i="2"/>
  <c r="K109" i="2"/>
  <c r="P109" i="2"/>
  <c r="U109" i="2"/>
  <c r="AA109" i="2"/>
  <c r="L110" i="2"/>
  <c r="Q110" i="2"/>
  <c r="W110" i="2"/>
  <c r="H111" i="2"/>
  <c r="M111" i="2"/>
  <c r="S111" i="2"/>
  <c r="X111" i="2"/>
  <c r="I112" i="2"/>
  <c r="O112" i="2"/>
  <c r="T112" i="2"/>
  <c r="Y112" i="2"/>
  <c r="K113" i="2"/>
  <c r="P113" i="2"/>
  <c r="U113" i="2"/>
  <c r="AA113" i="2"/>
  <c r="L114" i="2"/>
  <c r="Q114" i="2"/>
  <c r="W114" i="2"/>
  <c r="H115" i="2"/>
  <c r="M115" i="2"/>
  <c r="S115" i="2"/>
  <c r="X115" i="2"/>
  <c r="I116" i="2"/>
  <c r="O116" i="2"/>
  <c r="T116" i="2"/>
  <c r="Y116" i="2"/>
  <c r="K117" i="2"/>
  <c r="P117" i="2"/>
  <c r="U117" i="2"/>
  <c r="AA117" i="2"/>
  <c r="L118" i="2"/>
  <c r="Q118" i="2"/>
  <c r="W118" i="2"/>
  <c r="H119" i="2"/>
  <c r="M119" i="2"/>
  <c r="S119" i="2"/>
  <c r="X119" i="2"/>
  <c r="I120" i="2"/>
  <c r="O120" i="2"/>
  <c r="T120" i="2"/>
  <c r="Y120" i="2"/>
  <c r="K121" i="2"/>
  <c r="P121" i="2"/>
  <c r="U121" i="2"/>
  <c r="AA121" i="2"/>
  <c r="L122" i="2"/>
  <c r="Q122" i="2"/>
  <c r="W122" i="2"/>
  <c r="H123" i="2"/>
  <c r="M123" i="2"/>
  <c r="S123" i="2"/>
  <c r="X123" i="2"/>
  <c r="I124" i="2"/>
  <c r="O124" i="2"/>
  <c r="T124" i="2"/>
  <c r="Y124" i="2"/>
  <c r="K125" i="2"/>
  <c r="P125" i="2"/>
  <c r="U125" i="2"/>
  <c r="AA125" i="2"/>
  <c r="L126" i="2"/>
  <c r="Q126" i="2"/>
  <c r="W126" i="2"/>
  <c r="H127" i="2"/>
  <c r="M127" i="2"/>
  <c r="S127" i="2"/>
  <c r="X127" i="2"/>
  <c r="I128" i="2"/>
  <c r="O128" i="2"/>
  <c r="T128" i="2"/>
  <c r="Y128" i="2"/>
  <c r="K129" i="2"/>
  <c r="P129" i="2"/>
  <c r="U129" i="2"/>
  <c r="AA129" i="2"/>
  <c r="L130" i="2"/>
  <c r="Q130" i="2"/>
  <c r="V130" i="2"/>
  <c r="Z130" i="2"/>
  <c r="J131" i="2"/>
  <c r="N131" i="2"/>
  <c r="R131" i="2"/>
  <c r="V131" i="2"/>
  <c r="Z131" i="2"/>
  <c r="J132" i="2"/>
  <c r="N132" i="2"/>
  <c r="R132" i="2"/>
  <c r="V132" i="2"/>
  <c r="Z132" i="2"/>
  <c r="J133" i="2"/>
  <c r="N133" i="2"/>
  <c r="R133" i="2"/>
  <c r="V133" i="2"/>
  <c r="Z133" i="2"/>
  <c r="J134" i="2"/>
  <c r="N134" i="2"/>
  <c r="R134" i="2"/>
  <c r="V134" i="2"/>
  <c r="Z134" i="2"/>
  <c r="J135" i="2"/>
  <c r="N135" i="2"/>
  <c r="R135" i="2"/>
  <c r="V135" i="2"/>
  <c r="Z135" i="2"/>
  <c r="J136" i="2"/>
  <c r="N136" i="2"/>
  <c r="R136" i="2"/>
  <c r="V136" i="2"/>
  <c r="Z136" i="2"/>
  <c r="J137" i="2"/>
  <c r="N137" i="2"/>
  <c r="R137" i="2"/>
  <c r="V137" i="2"/>
  <c r="Z137" i="2"/>
  <c r="J138" i="2"/>
  <c r="N138" i="2"/>
  <c r="R138" i="2"/>
  <c r="V138" i="2"/>
  <c r="Z138" i="2"/>
  <c r="J139" i="2"/>
  <c r="N139" i="2"/>
  <c r="R139" i="2"/>
  <c r="V139" i="2"/>
  <c r="Z139" i="2"/>
  <c r="J140" i="2"/>
  <c r="N140" i="2"/>
  <c r="R140" i="2"/>
  <c r="V140" i="2"/>
  <c r="Z140" i="2"/>
  <c r="J141" i="2"/>
  <c r="N141" i="2"/>
  <c r="R141" i="2"/>
  <c r="V141" i="2"/>
  <c r="Z141" i="2"/>
  <c r="J142" i="2"/>
  <c r="N142" i="2"/>
  <c r="R142" i="2"/>
  <c r="V142" i="2"/>
  <c r="Z142" i="2"/>
  <c r="J143" i="2"/>
  <c r="N143" i="2"/>
  <c r="R143" i="2"/>
  <c r="V143" i="2"/>
  <c r="Z143" i="2"/>
  <c r="J144" i="2"/>
  <c r="N144" i="2"/>
  <c r="R144" i="2"/>
  <c r="V144" i="2"/>
  <c r="Z144" i="2"/>
  <c r="J145" i="2"/>
  <c r="N145" i="2"/>
  <c r="R145" i="2"/>
  <c r="V145" i="2"/>
  <c r="Z145" i="2"/>
  <c r="J146" i="2"/>
  <c r="N146" i="2"/>
  <c r="R146" i="2"/>
  <c r="V146" i="2"/>
  <c r="Z146" i="2"/>
  <c r="J147" i="2"/>
  <c r="N147" i="2"/>
  <c r="R147" i="2"/>
  <c r="V147" i="2"/>
  <c r="Z147" i="2"/>
  <c r="J148" i="2"/>
  <c r="N148" i="2"/>
  <c r="R148" i="2"/>
  <c r="V148" i="2"/>
  <c r="Z148" i="2"/>
  <c r="J149" i="2"/>
  <c r="N149" i="2"/>
  <c r="S15" i="2"/>
  <c r="N29" i="2"/>
  <c r="W36" i="2"/>
  <c r="Z40" i="2"/>
  <c r="J44" i="2"/>
  <c r="N47" i="2"/>
  <c r="R50" i="2"/>
  <c r="V53" i="2"/>
  <c r="Z56" i="2"/>
  <c r="Q59" i="2"/>
  <c r="S61" i="2"/>
  <c r="V63" i="2"/>
  <c r="Y64" i="2"/>
  <c r="Y65" i="2"/>
  <c r="Z66" i="2"/>
  <c r="I68" i="2"/>
  <c r="I69" i="2"/>
  <c r="J70" i="2"/>
  <c r="M71" i="2"/>
  <c r="M72" i="2"/>
  <c r="N73" i="2"/>
  <c r="Q74" i="2"/>
  <c r="Q75" i="2"/>
  <c r="R76" i="2"/>
  <c r="U77" i="2"/>
  <c r="U78" i="2"/>
  <c r="S79" i="2"/>
  <c r="K80" i="2"/>
  <c r="U80" i="2"/>
  <c r="L81" i="2"/>
  <c r="W81" i="2"/>
  <c r="M82" i="2"/>
  <c r="X82" i="2"/>
  <c r="O83" i="2"/>
  <c r="Y83" i="2"/>
  <c r="P84" i="2"/>
  <c r="AA84" i="2"/>
  <c r="Q85" i="2"/>
  <c r="H86" i="2"/>
  <c r="S86" i="2"/>
  <c r="I87" i="2"/>
  <c r="T87" i="2"/>
  <c r="K88" i="2"/>
  <c r="U88" i="2"/>
  <c r="L89" i="2"/>
  <c r="W89" i="2"/>
  <c r="M90" i="2"/>
  <c r="X90" i="2"/>
  <c r="O91" i="2"/>
  <c r="Y91" i="2"/>
  <c r="P92" i="2"/>
  <c r="AA92" i="2"/>
  <c r="Q93" i="2"/>
  <c r="H94" i="2"/>
  <c r="S94" i="2"/>
  <c r="I95" i="2"/>
  <c r="T95" i="2"/>
  <c r="K96" i="2"/>
  <c r="U96" i="2"/>
  <c r="L97" i="2"/>
  <c r="W97" i="2"/>
  <c r="M98" i="2"/>
  <c r="X98" i="2"/>
  <c r="O99" i="2"/>
  <c r="Y99" i="2"/>
  <c r="P100" i="2"/>
  <c r="AA100" i="2"/>
  <c r="Q101" i="2"/>
  <c r="H102" i="2"/>
  <c r="S102" i="2"/>
  <c r="I103" i="2"/>
  <c r="T103" i="2"/>
  <c r="K104" i="2"/>
  <c r="U104" i="2"/>
  <c r="L105" i="2"/>
  <c r="W105" i="2"/>
  <c r="M106" i="2"/>
  <c r="X106" i="2"/>
  <c r="O107" i="2"/>
  <c r="Y107" i="2"/>
  <c r="P108" i="2"/>
  <c r="AA108" i="2"/>
  <c r="Q109" i="2"/>
  <c r="H110" i="2"/>
  <c r="S110" i="2"/>
  <c r="I111" i="2"/>
  <c r="T111" i="2"/>
  <c r="K112" i="2"/>
  <c r="U112" i="2"/>
  <c r="L113" i="2"/>
  <c r="W113" i="2"/>
  <c r="M114" i="2"/>
  <c r="X114" i="2"/>
  <c r="O115" i="2"/>
  <c r="Y115" i="2"/>
  <c r="P116" i="2"/>
  <c r="AA116" i="2"/>
  <c r="Q117" i="2"/>
  <c r="H118" i="2"/>
  <c r="S118" i="2"/>
  <c r="I119" i="2"/>
  <c r="T119" i="2"/>
  <c r="K120" i="2"/>
  <c r="U120" i="2"/>
  <c r="L121" i="2"/>
  <c r="W121" i="2"/>
  <c r="M122" i="2"/>
  <c r="X122" i="2"/>
  <c r="O123" i="2"/>
  <c r="Y123" i="2"/>
  <c r="P124" i="2"/>
  <c r="AA124" i="2"/>
  <c r="Q125" i="2"/>
  <c r="H126" i="2"/>
  <c r="S126" i="2"/>
  <c r="I127" i="2"/>
  <c r="T127" i="2"/>
  <c r="K128" i="2"/>
  <c r="U128" i="2"/>
  <c r="L129" i="2"/>
  <c r="W129" i="2"/>
  <c r="M130" i="2"/>
  <c r="W130" i="2"/>
  <c r="K131" i="2"/>
  <c r="S131" i="2"/>
  <c r="AA131" i="2"/>
  <c r="O132" i="2"/>
  <c r="W132" i="2"/>
  <c r="K133" i="2"/>
  <c r="S133" i="2"/>
  <c r="AA133" i="2"/>
  <c r="O134" i="2"/>
  <c r="W134" i="2"/>
  <c r="K135" i="2"/>
  <c r="S135" i="2"/>
  <c r="AA135" i="2"/>
  <c r="O136" i="2"/>
  <c r="W136" i="2"/>
  <c r="K137" i="2"/>
  <c r="S137" i="2"/>
  <c r="AA137" i="2"/>
  <c r="O138" i="2"/>
  <c r="W138" i="2"/>
  <c r="K139" i="2"/>
  <c r="S139" i="2"/>
  <c r="AA139" i="2"/>
  <c r="O140" i="2"/>
  <c r="W140" i="2"/>
  <c r="K141" i="2"/>
  <c r="S141" i="2"/>
  <c r="AA141" i="2"/>
  <c r="O142" i="2"/>
  <c r="W142" i="2"/>
  <c r="K143" i="2"/>
  <c r="S143" i="2"/>
  <c r="AA143" i="2"/>
  <c r="O144" i="2"/>
  <c r="W144" i="2"/>
  <c r="K145" i="2"/>
  <c r="S145" i="2"/>
  <c r="AA145" i="2"/>
  <c r="O146" i="2"/>
  <c r="W146" i="2"/>
  <c r="K147" i="2"/>
  <c r="S147" i="2"/>
  <c r="AA147" i="2"/>
  <c r="O148" i="2"/>
  <c r="W148" i="2"/>
  <c r="K149" i="2"/>
  <c r="R149" i="2"/>
  <c r="W149" i="2"/>
  <c r="H150" i="2"/>
  <c r="L150" i="2"/>
  <c r="P150" i="2"/>
  <c r="T150" i="2"/>
  <c r="X150" i="2"/>
  <c r="H151" i="2"/>
  <c r="L151" i="2"/>
  <c r="P151" i="2"/>
  <c r="T151" i="2"/>
  <c r="X151" i="2"/>
  <c r="H152" i="2"/>
  <c r="L152" i="2"/>
  <c r="P152" i="2"/>
  <c r="T152" i="2"/>
  <c r="X152" i="2"/>
  <c r="H153" i="2"/>
  <c r="L153" i="2"/>
  <c r="P153" i="2"/>
  <c r="T153" i="2"/>
  <c r="X153" i="2"/>
  <c r="H154" i="2"/>
  <c r="L154" i="2"/>
  <c r="P154" i="2"/>
  <c r="T154" i="2"/>
  <c r="X154" i="2"/>
  <c r="H155" i="2"/>
  <c r="L155" i="2"/>
  <c r="P155" i="2"/>
  <c r="T155" i="2"/>
  <c r="X155" i="2"/>
  <c r="H156" i="2"/>
  <c r="L156" i="2"/>
  <c r="P156" i="2"/>
  <c r="T156" i="2"/>
  <c r="X156" i="2"/>
  <c r="H157" i="2"/>
  <c r="L157" i="2"/>
  <c r="P157" i="2"/>
  <c r="T157" i="2"/>
  <c r="X157" i="2"/>
  <c r="H158" i="2"/>
  <c r="L158" i="2"/>
  <c r="P158" i="2"/>
  <c r="T158" i="2"/>
  <c r="X158" i="2"/>
  <c r="H159" i="2"/>
  <c r="L159" i="2"/>
  <c r="P159" i="2"/>
  <c r="T159" i="2"/>
  <c r="X159" i="2"/>
  <c r="H160" i="2"/>
  <c r="L160" i="2"/>
  <c r="P160" i="2"/>
  <c r="T160" i="2"/>
  <c r="X160" i="2"/>
  <c r="H161" i="2"/>
  <c r="L161" i="2"/>
  <c r="P161" i="2"/>
  <c r="T161" i="2"/>
  <c r="X161" i="2"/>
  <c r="H162" i="2"/>
  <c r="L162" i="2"/>
  <c r="P162" i="2"/>
  <c r="T162" i="2"/>
  <c r="X162" i="2"/>
  <c r="H163" i="2"/>
  <c r="L163" i="2"/>
  <c r="P163" i="2"/>
  <c r="T163" i="2"/>
  <c r="X163" i="2"/>
  <c r="H164" i="2"/>
  <c r="L164" i="2"/>
  <c r="P164" i="2"/>
  <c r="T164" i="2"/>
  <c r="X164" i="2"/>
  <c r="H165" i="2"/>
  <c r="L165" i="2"/>
  <c r="P165" i="2"/>
  <c r="T165" i="2"/>
  <c r="X165" i="2"/>
  <c r="H166" i="2"/>
  <c r="L166" i="2"/>
  <c r="P166" i="2"/>
  <c r="T166" i="2"/>
  <c r="X166" i="2"/>
  <c r="H167" i="2"/>
  <c r="L167" i="2"/>
  <c r="P167" i="2"/>
  <c r="T167" i="2"/>
  <c r="X167" i="2"/>
  <c r="H168" i="2"/>
  <c r="L168" i="2"/>
  <c r="P168" i="2"/>
  <c r="T168" i="2"/>
  <c r="X168" i="2"/>
  <c r="H169" i="2"/>
  <c r="L169" i="2"/>
  <c r="P169" i="2"/>
  <c r="T169" i="2"/>
  <c r="X169" i="2"/>
  <c r="H170" i="2"/>
  <c r="L170" i="2"/>
  <c r="P170" i="2"/>
  <c r="T170" i="2"/>
  <c r="X170" i="2"/>
  <c r="H171" i="2"/>
  <c r="L171" i="2"/>
  <c r="P171" i="2"/>
  <c r="T171" i="2"/>
  <c r="X171" i="2"/>
  <c r="H172" i="2"/>
  <c r="L172" i="2"/>
  <c r="P172" i="2"/>
  <c r="T172" i="2"/>
  <c r="X172" i="2"/>
  <c r="H173" i="2"/>
  <c r="L173" i="2"/>
  <c r="P173" i="2"/>
  <c r="T173" i="2"/>
  <c r="X173" i="2"/>
  <c r="H174" i="2"/>
  <c r="L174" i="2"/>
  <c r="P174" i="2"/>
  <c r="T174" i="2"/>
  <c r="X174" i="2"/>
  <c r="H175" i="2"/>
  <c r="L175" i="2"/>
  <c r="P175" i="2"/>
  <c r="T175" i="2"/>
  <c r="X175" i="2"/>
  <c r="H176" i="2"/>
  <c r="L176" i="2"/>
  <c r="P176" i="2"/>
  <c r="T176" i="2"/>
  <c r="X176" i="2"/>
  <c r="H177" i="2"/>
  <c r="L177" i="2"/>
  <c r="P177" i="2"/>
  <c r="T177" i="2"/>
  <c r="X177" i="2"/>
  <c r="H178" i="2"/>
  <c r="L178" i="2"/>
  <c r="P178" i="2"/>
  <c r="T178" i="2"/>
  <c r="X178" i="2"/>
  <c r="H179" i="2"/>
  <c r="L179" i="2"/>
  <c r="P179" i="2"/>
  <c r="T179" i="2"/>
  <c r="X179" i="2"/>
  <c r="H180" i="2"/>
  <c r="L180" i="2"/>
  <c r="P180" i="2"/>
  <c r="T180" i="2"/>
  <c r="X180" i="2"/>
  <c r="H181" i="2"/>
  <c r="L181" i="2"/>
  <c r="P181" i="2"/>
  <c r="T181" i="2"/>
  <c r="X181" i="2"/>
  <c r="H182" i="2"/>
  <c r="L182" i="2"/>
  <c r="P182" i="2"/>
  <c r="T182" i="2"/>
  <c r="X182" i="2"/>
  <c r="H183" i="2"/>
  <c r="L183" i="2"/>
  <c r="P183" i="2"/>
  <c r="T183" i="2"/>
  <c r="X183" i="2"/>
  <c r="H184" i="2"/>
  <c r="L184" i="2"/>
  <c r="P184" i="2"/>
  <c r="T184" i="2"/>
  <c r="X184" i="2"/>
  <c r="H185" i="2"/>
  <c r="L185" i="2"/>
  <c r="P185" i="2"/>
  <c r="T185" i="2"/>
  <c r="X185" i="2"/>
  <c r="H186" i="2"/>
  <c r="L186" i="2"/>
  <c r="P186" i="2"/>
  <c r="T186" i="2"/>
  <c r="X186" i="2"/>
  <c r="H187" i="2"/>
  <c r="L187" i="2"/>
  <c r="P187" i="2"/>
  <c r="T187" i="2"/>
  <c r="X187" i="2"/>
  <c r="H188" i="2"/>
  <c r="L188" i="2"/>
  <c r="P188" i="2"/>
  <c r="T188" i="2"/>
  <c r="X188" i="2"/>
  <c r="H189" i="2"/>
  <c r="L189" i="2"/>
  <c r="P189" i="2"/>
  <c r="T189" i="2"/>
  <c r="X189" i="2"/>
  <c r="H190" i="2"/>
  <c r="L190" i="2"/>
  <c r="P190" i="2"/>
  <c r="T190" i="2"/>
  <c r="X190" i="2"/>
  <c r="H191" i="2"/>
  <c r="L191" i="2"/>
  <c r="P191" i="2"/>
  <c r="T191" i="2"/>
  <c r="X191" i="2"/>
  <c r="H192" i="2"/>
  <c r="L192" i="2"/>
  <c r="P192" i="2"/>
  <c r="T192" i="2"/>
  <c r="X192" i="2"/>
  <c r="H193" i="2"/>
  <c r="L193" i="2"/>
  <c r="P193" i="2"/>
  <c r="T193" i="2"/>
  <c r="X193" i="2"/>
  <c r="H194" i="2"/>
  <c r="L194" i="2"/>
  <c r="P194" i="2"/>
  <c r="T194" i="2"/>
  <c r="X194" i="2"/>
  <c r="H195" i="2"/>
  <c r="L195" i="2"/>
  <c r="P195" i="2"/>
  <c r="T195" i="2"/>
  <c r="X195" i="2"/>
  <c r="H196" i="2"/>
  <c r="L196" i="2"/>
  <c r="P196" i="2"/>
  <c r="T196" i="2"/>
  <c r="X196" i="2"/>
  <c r="H197" i="2"/>
  <c r="L197" i="2"/>
  <c r="P197" i="2"/>
  <c r="T197" i="2"/>
  <c r="X197" i="2"/>
  <c r="H198" i="2"/>
  <c r="L198" i="2"/>
  <c r="P198" i="2"/>
  <c r="T198" i="2"/>
  <c r="X198" i="2"/>
  <c r="H199" i="2"/>
  <c r="L199" i="2"/>
  <c r="P199" i="2"/>
  <c r="T199" i="2"/>
  <c r="X199" i="2"/>
  <c r="H200" i="2"/>
  <c r="L200" i="2"/>
  <c r="P200" i="2"/>
  <c r="T200" i="2"/>
  <c r="X200" i="2"/>
  <c r="H201" i="2"/>
  <c r="L201" i="2"/>
  <c r="P201" i="2"/>
  <c r="T201" i="2"/>
  <c r="X201" i="2"/>
  <c r="H202" i="2"/>
  <c r="L202" i="2"/>
  <c r="P202" i="2"/>
  <c r="T202" i="2"/>
  <c r="X202" i="2"/>
  <c r="H203" i="2"/>
  <c r="L203" i="2"/>
  <c r="P203" i="2"/>
  <c r="T203" i="2"/>
  <c r="X203" i="2"/>
  <c r="H204" i="2"/>
  <c r="L204" i="2"/>
  <c r="P204" i="2"/>
  <c r="T204" i="2"/>
  <c r="X204" i="2"/>
  <c r="H205" i="2"/>
  <c r="L205" i="2"/>
  <c r="P205" i="2"/>
  <c r="T205" i="2"/>
  <c r="X205" i="2"/>
  <c r="H206" i="2"/>
  <c r="L206" i="2"/>
  <c r="P206" i="2"/>
  <c r="T206" i="2"/>
  <c r="X206" i="2"/>
  <c r="H207" i="2"/>
  <c r="L207" i="2"/>
  <c r="P207" i="2"/>
  <c r="T207" i="2"/>
  <c r="X207" i="2"/>
  <c r="H208" i="2"/>
  <c r="L208" i="2"/>
  <c r="P208" i="2"/>
  <c r="T208" i="2"/>
  <c r="X208" i="2"/>
  <c r="H209" i="2"/>
  <c r="L209" i="2"/>
  <c r="P209" i="2"/>
  <c r="T209" i="2"/>
  <c r="X209" i="2"/>
  <c r="H210" i="2"/>
  <c r="L210" i="2"/>
  <c r="P210" i="2"/>
  <c r="T210" i="2"/>
  <c r="X210" i="2"/>
  <c r="H211" i="2"/>
  <c r="L211" i="2"/>
  <c r="P211" i="2"/>
  <c r="T211" i="2"/>
  <c r="X211" i="2"/>
  <c r="H212" i="2"/>
  <c r="L212" i="2"/>
  <c r="P212" i="2"/>
  <c r="T212" i="2"/>
  <c r="X212" i="2"/>
  <c r="H213" i="2"/>
  <c r="L213" i="2"/>
  <c r="P213" i="2"/>
  <c r="T213" i="2"/>
  <c r="X213" i="2"/>
  <c r="H214" i="2"/>
  <c r="L214" i="2"/>
  <c r="P214" i="2"/>
  <c r="T214" i="2"/>
  <c r="X214" i="2"/>
  <c r="H215" i="2"/>
  <c r="L215" i="2"/>
  <c r="P215" i="2"/>
  <c r="T215" i="2"/>
  <c r="X215" i="2"/>
  <c r="H216" i="2"/>
  <c r="L216" i="2"/>
  <c r="P216" i="2"/>
  <c r="T216" i="2"/>
  <c r="X216" i="2"/>
  <c r="H217" i="2"/>
  <c r="L217" i="2"/>
  <c r="P217" i="2"/>
  <c r="T217" i="2"/>
  <c r="X217" i="2"/>
  <c r="H218" i="2"/>
  <c r="L218" i="2"/>
  <c r="P218" i="2"/>
  <c r="T218" i="2"/>
  <c r="X218" i="2"/>
  <c r="H219" i="2"/>
  <c r="L219" i="2"/>
  <c r="P219" i="2"/>
  <c r="T219" i="2"/>
  <c r="X219" i="2"/>
  <c r="H220" i="2"/>
  <c r="L220" i="2"/>
  <c r="P220" i="2"/>
  <c r="T220" i="2"/>
  <c r="X220" i="2"/>
  <c r="H221" i="2"/>
  <c r="L221" i="2"/>
  <c r="P221" i="2"/>
  <c r="T221" i="2"/>
  <c r="X221" i="2"/>
  <c r="H222" i="2"/>
  <c r="L222" i="2"/>
  <c r="P222" i="2"/>
  <c r="T222" i="2"/>
  <c r="X222" i="2"/>
  <c r="H223" i="2"/>
  <c r="L223" i="2"/>
  <c r="P223" i="2"/>
  <c r="T223" i="2"/>
  <c r="X223" i="2"/>
  <c r="H224" i="2"/>
  <c r="L224" i="2"/>
  <c r="P224" i="2"/>
  <c r="T224" i="2"/>
  <c r="X224" i="2"/>
  <c r="H225" i="2"/>
  <c r="L225" i="2"/>
  <c r="P225" i="2"/>
  <c r="T225" i="2"/>
  <c r="X225" i="2"/>
  <c r="H226" i="2"/>
  <c r="L226" i="2"/>
  <c r="P226" i="2"/>
  <c r="T226" i="2"/>
  <c r="X226" i="2"/>
  <c r="H227" i="2"/>
  <c r="L227" i="2"/>
  <c r="P227" i="2"/>
  <c r="T227" i="2"/>
  <c r="X227" i="2"/>
  <c r="H228" i="2"/>
  <c r="L228" i="2"/>
  <c r="P228" i="2"/>
  <c r="T228" i="2"/>
  <c r="X228" i="2"/>
  <c r="H229" i="2"/>
  <c r="L229" i="2"/>
  <c r="P229" i="2"/>
  <c r="T229" i="2"/>
  <c r="X229" i="2"/>
  <c r="H230" i="2"/>
  <c r="L230" i="2"/>
  <c r="P230" i="2"/>
  <c r="T230" i="2"/>
  <c r="X230" i="2"/>
  <c r="H231" i="2"/>
  <c r="L231" i="2"/>
  <c r="P231" i="2"/>
  <c r="T231" i="2"/>
  <c r="X231" i="2"/>
  <c r="H232" i="2"/>
  <c r="L232" i="2"/>
  <c r="P232" i="2"/>
  <c r="T232" i="2"/>
  <c r="X232" i="2"/>
  <c r="H233" i="2"/>
  <c r="L233" i="2"/>
  <c r="P233" i="2"/>
  <c r="T233" i="2"/>
  <c r="X233" i="2"/>
  <c r="H234" i="2"/>
  <c r="L234" i="2"/>
  <c r="P234" i="2"/>
  <c r="T234" i="2"/>
  <c r="X234" i="2"/>
  <c r="H235" i="2"/>
  <c r="L235" i="2"/>
  <c r="P235" i="2"/>
  <c r="T235" i="2"/>
  <c r="X235" i="2"/>
  <c r="H236" i="2"/>
  <c r="L236" i="2"/>
  <c r="P236" i="2"/>
  <c r="T236" i="2"/>
  <c r="X236" i="2"/>
  <c r="H237" i="2"/>
  <c r="L237" i="2"/>
  <c r="P237" i="2"/>
  <c r="T237" i="2"/>
  <c r="X237" i="2"/>
  <c r="H238" i="2"/>
  <c r="L238" i="2"/>
  <c r="P238" i="2"/>
  <c r="T238" i="2"/>
  <c r="X238" i="2"/>
  <c r="H239" i="2"/>
  <c r="L239" i="2"/>
  <c r="P239" i="2"/>
  <c r="T239" i="2"/>
  <c r="X239" i="2"/>
  <c r="H240" i="2"/>
  <c r="L240" i="2"/>
  <c r="P240" i="2"/>
  <c r="T240" i="2"/>
  <c r="X240" i="2"/>
  <c r="H241" i="2"/>
  <c r="L241" i="2"/>
  <c r="P241" i="2"/>
  <c r="T241" i="2"/>
  <c r="X241" i="2"/>
  <c r="H242" i="2"/>
  <c r="L242" i="2"/>
  <c r="P242" i="2"/>
  <c r="T242" i="2"/>
  <c r="X242" i="2"/>
  <c r="H243" i="2"/>
  <c r="L243" i="2"/>
  <c r="P243" i="2"/>
  <c r="T243" i="2"/>
  <c r="X243" i="2"/>
  <c r="H244" i="2"/>
  <c r="L244" i="2"/>
  <c r="P244" i="2"/>
  <c r="T244" i="2"/>
  <c r="X244" i="2"/>
  <c r="H245" i="2"/>
  <c r="L245" i="2"/>
  <c r="P245" i="2"/>
  <c r="T245" i="2"/>
  <c r="X245" i="2"/>
  <c r="H246" i="2"/>
  <c r="L246" i="2"/>
  <c r="P246" i="2"/>
  <c r="T246" i="2"/>
  <c r="X246" i="2"/>
  <c r="H247" i="2"/>
  <c r="L247" i="2"/>
  <c r="P247" i="2"/>
  <c r="T247" i="2"/>
  <c r="X247" i="2"/>
  <c r="H248" i="2"/>
  <c r="L248" i="2"/>
  <c r="P248" i="2"/>
  <c r="T248" i="2"/>
  <c r="X248" i="2"/>
  <c r="H249" i="2"/>
  <c r="L249" i="2"/>
  <c r="P249" i="2"/>
  <c r="T249" i="2"/>
  <c r="X249" i="2"/>
  <c r="H250" i="2"/>
  <c r="L250" i="2"/>
  <c r="P250" i="2"/>
  <c r="T250" i="2"/>
  <c r="X250" i="2"/>
  <c r="H251" i="2"/>
  <c r="L251" i="2"/>
  <c r="P251" i="2"/>
  <c r="T251" i="2"/>
  <c r="X251" i="2"/>
  <c r="H252" i="2"/>
  <c r="O17" i="2"/>
  <c r="N30" i="2"/>
  <c r="R37" i="2"/>
  <c r="M41" i="2"/>
  <c r="Q44" i="2"/>
  <c r="U47" i="2"/>
  <c r="Y50" i="2"/>
  <c r="I54" i="2"/>
  <c r="M57" i="2"/>
  <c r="U59" i="2"/>
  <c r="W61" i="2"/>
  <c r="Y63" i="2"/>
  <c r="Z64" i="2"/>
  <c r="I66" i="2"/>
  <c r="I67" i="2"/>
  <c r="J68" i="2"/>
  <c r="M69" i="2"/>
  <c r="M70" i="2"/>
  <c r="N71" i="2"/>
  <c r="Q72" i="2"/>
  <c r="Q73" i="2"/>
  <c r="R74" i="2"/>
  <c r="U75" i="2"/>
  <c r="U76" i="2"/>
  <c r="V77" i="2"/>
  <c r="Y78" i="2"/>
  <c r="U79" i="2"/>
  <c r="L80" i="2"/>
  <c r="W80" i="2"/>
  <c r="M81" i="2"/>
  <c r="X81" i="2"/>
  <c r="O82" i="2"/>
  <c r="Y82" i="2"/>
  <c r="P83" i="2"/>
  <c r="AA83" i="2"/>
  <c r="Q84" i="2"/>
  <c r="H85" i="2"/>
  <c r="S85" i="2"/>
  <c r="I86" i="2"/>
  <c r="T86" i="2"/>
  <c r="K87" i="2"/>
  <c r="U87" i="2"/>
  <c r="L88" i="2"/>
  <c r="W88" i="2"/>
  <c r="M89" i="2"/>
  <c r="X89" i="2"/>
  <c r="O90" i="2"/>
  <c r="Y90" i="2"/>
  <c r="P91" i="2"/>
  <c r="AA91" i="2"/>
  <c r="Q92" i="2"/>
  <c r="H93" i="2"/>
  <c r="S93" i="2"/>
  <c r="I94" i="2"/>
  <c r="T94" i="2"/>
  <c r="K95" i="2"/>
  <c r="U95" i="2"/>
  <c r="L96" i="2"/>
  <c r="W96" i="2"/>
  <c r="M97" i="2"/>
  <c r="X97" i="2"/>
  <c r="O98" i="2"/>
  <c r="Y98" i="2"/>
  <c r="P99" i="2"/>
  <c r="AA99" i="2"/>
  <c r="Q100" i="2"/>
  <c r="H101" i="2"/>
  <c r="S101" i="2"/>
  <c r="I102" i="2"/>
  <c r="T102" i="2"/>
  <c r="K103" i="2"/>
  <c r="U103" i="2"/>
  <c r="L104" i="2"/>
  <c r="W104" i="2"/>
  <c r="M105" i="2"/>
  <c r="X105" i="2"/>
  <c r="O106" i="2"/>
  <c r="Y106" i="2"/>
  <c r="P107" i="2"/>
  <c r="AA107" i="2"/>
  <c r="Q108" i="2"/>
  <c r="H109" i="2"/>
  <c r="S109" i="2"/>
  <c r="I110" i="2"/>
  <c r="T110" i="2"/>
  <c r="K111" i="2"/>
  <c r="U111" i="2"/>
  <c r="L112" i="2"/>
  <c r="W112" i="2"/>
  <c r="M113" i="2"/>
  <c r="X113" i="2"/>
  <c r="O114" i="2"/>
  <c r="Y114" i="2"/>
  <c r="P115" i="2"/>
  <c r="AA115" i="2"/>
  <c r="Q116" i="2"/>
  <c r="H117" i="2"/>
  <c r="S117" i="2"/>
  <c r="I118" i="2"/>
  <c r="T118" i="2"/>
  <c r="K119" i="2"/>
  <c r="U119" i="2"/>
  <c r="L120" i="2"/>
  <c r="W120" i="2"/>
  <c r="M121" i="2"/>
  <c r="X121" i="2"/>
  <c r="O122" i="2"/>
  <c r="Y122" i="2"/>
  <c r="P123" i="2"/>
  <c r="AA123" i="2"/>
  <c r="Q124" i="2"/>
  <c r="H125" i="2"/>
  <c r="S125" i="2"/>
  <c r="I126" i="2"/>
  <c r="T126" i="2"/>
  <c r="K127" i="2"/>
  <c r="U127" i="2"/>
  <c r="L128" i="2"/>
  <c r="W128" i="2"/>
  <c r="M129" i="2"/>
  <c r="X129" i="2"/>
  <c r="O130" i="2"/>
  <c r="X130" i="2"/>
  <c r="L131" i="2"/>
  <c r="T131" i="2"/>
  <c r="H132" i="2"/>
  <c r="P132" i="2"/>
  <c r="X132" i="2"/>
  <c r="L133" i="2"/>
  <c r="T133" i="2"/>
  <c r="H134" i="2"/>
  <c r="P134" i="2"/>
  <c r="X134" i="2"/>
  <c r="L135" i="2"/>
  <c r="T135" i="2"/>
  <c r="H136" i="2"/>
  <c r="P136" i="2"/>
  <c r="X136" i="2"/>
  <c r="L137" i="2"/>
  <c r="T137" i="2"/>
  <c r="H138" i="2"/>
  <c r="P138" i="2"/>
  <c r="X138" i="2"/>
  <c r="L139" i="2"/>
  <c r="T139" i="2"/>
  <c r="H140" i="2"/>
  <c r="P140" i="2"/>
  <c r="X140" i="2"/>
  <c r="L141" i="2"/>
  <c r="T141" i="2"/>
  <c r="H142" i="2"/>
  <c r="P142" i="2"/>
  <c r="X142" i="2"/>
  <c r="L143" i="2"/>
  <c r="T143" i="2"/>
  <c r="H144" i="2"/>
  <c r="P144" i="2"/>
  <c r="X144" i="2"/>
  <c r="L145" i="2"/>
  <c r="T145" i="2"/>
  <c r="H146" i="2"/>
  <c r="P146" i="2"/>
  <c r="X146" i="2"/>
  <c r="L147" i="2"/>
  <c r="T147" i="2"/>
  <c r="H148" i="2"/>
  <c r="P148" i="2"/>
  <c r="X148" i="2"/>
  <c r="L149" i="2"/>
  <c r="S149" i="2"/>
  <c r="X149" i="2"/>
  <c r="I150" i="2"/>
  <c r="M150" i="2"/>
  <c r="Q150" i="2"/>
  <c r="U150" i="2"/>
  <c r="Y150" i="2"/>
  <c r="I151" i="2"/>
  <c r="M151" i="2"/>
  <c r="Q151" i="2"/>
  <c r="U151" i="2"/>
  <c r="Y151" i="2"/>
  <c r="I152" i="2"/>
  <c r="M152" i="2"/>
  <c r="Q152" i="2"/>
  <c r="U152" i="2"/>
  <c r="Y152" i="2"/>
  <c r="I153" i="2"/>
  <c r="M153" i="2"/>
  <c r="Q153" i="2"/>
  <c r="U153" i="2"/>
  <c r="Y153" i="2"/>
  <c r="I154" i="2"/>
  <c r="M154" i="2"/>
  <c r="Q154" i="2"/>
  <c r="U154" i="2"/>
  <c r="Y154" i="2"/>
  <c r="I155" i="2"/>
  <c r="M155" i="2"/>
  <c r="Q155" i="2"/>
  <c r="U155" i="2"/>
  <c r="Y155" i="2"/>
  <c r="I156" i="2"/>
  <c r="M156" i="2"/>
  <c r="Q156" i="2"/>
  <c r="U156" i="2"/>
  <c r="Y156" i="2"/>
  <c r="I157" i="2"/>
  <c r="M157" i="2"/>
  <c r="Q157" i="2"/>
  <c r="U157" i="2"/>
  <c r="Y157" i="2"/>
  <c r="I158" i="2"/>
  <c r="M158" i="2"/>
  <c r="Q158" i="2"/>
  <c r="U158" i="2"/>
  <c r="Y158" i="2"/>
  <c r="I159" i="2"/>
  <c r="M159" i="2"/>
  <c r="Q159" i="2"/>
  <c r="U159" i="2"/>
  <c r="Y159" i="2"/>
  <c r="I160" i="2"/>
  <c r="M160" i="2"/>
  <c r="Q160" i="2"/>
  <c r="U160" i="2"/>
  <c r="Y160" i="2"/>
  <c r="I161" i="2"/>
  <c r="M161" i="2"/>
  <c r="Q161" i="2"/>
  <c r="U161" i="2"/>
  <c r="Y161" i="2"/>
  <c r="I162" i="2"/>
  <c r="M162" i="2"/>
  <c r="Q162" i="2"/>
  <c r="U162" i="2"/>
  <c r="Y162" i="2"/>
  <c r="I163" i="2"/>
  <c r="M163" i="2"/>
  <c r="Q163" i="2"/>
  <c r="U163" i="2"/>
  <c r="Y163" i="2"/>
  <c r="I164" i="2"/>
  <c r="M164" i="2"/>
  <c r="Q164" i="2"/>
  <c r="U164" i="2"/>
  <c r="Y164" i="2"/>
  <c r="I165" i="2"/>
  <c r="M165" i="2"/>
  <c r="Q165" i="2"/>
  <c r="U165" i="2"/>
  <c r="Y165" i="2"/>
  <c r="I166" i="2"/>
  <c r="M166" i="2"/>
  <c r="Q166" i="2"/>
  <c r="U166" i="2"/>
  <c r="Y166" i="2"/>
  <c r="I167" i="2"/>
  <c r="M167" i="2"/>
  <c r="Q167" i="2"/>
  <c r="U167" i="2"/>
  <c r="Y167" i="2"/>
  <c r="I168" i="2"/>
  <c r="M168" i="2"/>
  <c r="Q168" i="2"/>
  <c r="U168" i="2"/>
  <c r="Y168" i="2"/>
  <c r="I169" i="2"/>
  <c r="M169" i="2"/>
  <c r="Q169" i="2"/>
  <c r="U169" i="2"/>
  <c r="Y169" i="2"/>
  <c r="I170" i="2"/>
  <c r="M170" i="2"/>
  <c r="Q170" i="2"/>
  <c r="U170" i="2"/>
  <c r="Y170" i="2"/>
  <c r="I171" i="2"/>
  <c r="M171" i="2"/>
  <c r="Q171" i="2"/>
  <c r="U171" i="2"/>
  <c r="Y171" i="2"/>
  <c r="I172" i="2"/>
  <c r="M172" i="2"/>
  <c r="Q172" i="2"/>
  <c r="U172" i="2"/>
  <c r="Y172" i="2"/>
  <c r="I173" i="2"/>
  <c r="M173" i="2"/>
  <c r="Q173" i="2"/>
  <c r="U173" i="2"/>
  <c r="Y173" i="2"/>
  <c r="I174" i="2"/>
  <c r="M174" i="2"/>
  <c r="Q174" i="2"/>
  <c r="U174" i="2"/>
  <c r="Y174" i="2"/>
  <c r="I175" i="2"/>
  <c r="M175" i="2"/>
  <c r="Q175" i="2"/>
  <c r="U175" i="2"/>
  <c r="Y175" i="2"/>
  <c r="I176" i="2"/>
  <c r="M176" i="2"/>
  <c r="Q176" i="2"/>
  <c r="U176" i="2"/>
  <c r="Y176" i="2"/>
  <c r="I177" i="2"/>
  <c r="M177" i="2"/>
  <c r="Q177" i="2"/>
  <c r="U177" i="2"/>
  <c r="Y177" i="2"/>
  <c r="I178" i="2"/>
  <c r="M178" i="2"/>
  <c r="Q178" i="2"/>
  <c r="U178" i="2"/>
  <c r="Y178" i="2"/>
  <c r="I179" i="2"/>
  <c r="M179" i="2"/>
  <c r="Q179" i="2"/>
  <c r="U179" i="2"/>
  <c r="Y179" i="2"/>
  <c r="I180" i="2"/>
  <c r="M180" i="2"/>
  <c r="Q180" i="2"/>
  <c r="U180" i="2"/>
  <c r="Y180" i="2"/>
  <c r="I181" i="2"/>
  <c r="M181" i="2"/>
  <c r="Q181" i="2"/>
  <c r="U181" i="2"/>
  <c r="Y181" i="2"/>
  <c r="I182" i="2"/>
  <c r="M182" i="2"/>
  <c r="Q182" i="2"/>
  <c r="U182" i="2"/>
  <c r="Y182" i="2"/>
  <c r="I183" i="2"/>
  <c r="M183" i="2"/>
  <c r="Q183" i="2"/>
  <c r="U183" i="2"/>
  <c r="Y183" i="2"/>
  <c r="I184" i="2"/>
  <c r="M184" i="2"/>
  <c r="Q184" i="2"/>
  <c r="U184" i="2"/>
  <c r="Y184" i="2"/>
  <c r="I185" i="2"/>
  <c r="M185" i="2"/>
  <c r="Q185" i="2"/>
  <c r="U185" i="2"/>
  <c r="Y185" i="2"/>
  <c r="I186" i="2"/>
  <c r="M186" i="2"/>
  <c r="Q186" i="2"/>
  <c r="U186" i="2"/>
  <c r="Y186" i="2"/>
  <c r="I187" i="2"/>
  <c r="M187" i="2"/>
  <c r="Q187" i="2"/>
  <c r="U187" i="2"/>
  <c r="Y187" i="2"/>
  <c r="I188" i="2"/>
  <c r="M188" i="2"/>
  <c r="Q188" i="2"/>
  <c r="U188" i="2"/>
  <c r="Y188" i="2"/>
  <c r="I189" i="2"/>
  <c r="M189" i="2"/>
  <c r="Q189" i="2"/>
  <c r="U189" i="2"/>
  <c r="Y189" i="2"/>
  <c r="I190" i="2"/>
  <c r="M190" i="2"/>
  <c r="Q190" i="2"/>
  <c r="U190" i="2"/>
  <c r="Y190" i="2"/>
  <c r="I191" i="2"/>
  <c r="M191" i="2"/>
  <c r="Q191" i="2"/>
  <c r="U191" i="2"/>
  <c r="Y191" i="2"/>
  <c r="I192" i="2"/>
  <c r="M192" i="2"/>
  <c r="Q192" i="2"/>
  <c r="U192" i="2"/>
  <c r="Y192" i="2"/>
  <c r="I193" i="2"/>
  <c r="M193" i="2"/>
  <c r="Q193" i="2"/>
  <c r="U193" i="2"/>
  <c r="Y193" i="2"/>
  <c r="I194" i="2"/>
  <c r="M194" i="2"/>
  <c r="Q194" i="2"/>
  <c r="U194" i="2"/>
  <c r="Y194" i="2"/>
  <c r="I195" i="2"/>
  <c r="M195" i="2"/>
  <c r="Q195" i="2"/>
  <c r="U195" i="2"/>
  <c r="Y195" i="2"/>
  <c r="I196" i="2"/>
  <c r="M196" i="2"/>
  <c r="Q196" i="2"/>
  <c r="U196" i="2"/>
  <c r="Y196" i="2"/>
  <c r="I197" i="2"/>
  <c r="M197" i="2"/>
  <c r="Q197" i="2"/>
  <c r="U197" i="2"/>
  <c r="Y197" i="2"/>
  <c r="I198" i="2"/>
  <c r="M198" i="2"/>
  <c r="Q198" i="2"/>
  <c r="U198" i="2"/>
  <c r="Y198" i="2"/>
  <c r="I199" i="2"/>
  <c r="M199" i="2"/>
  <c r="Q199" i="2"/>
  <c r="U199" i="2"/>
  <c r="Y199" i="2"/>
  <c r="I200" i="2"/>
  <c r="M200" i="2"/>
  <c r="Q200" i="2"/>
  <c r="U200" i="2"/>
  <c r="Y200" i="2"/>
  <c r="I201" i="2"/>
  <c r="M201" i="2"/>
  <c r="Q201" i="2"/>
  <c r="U201" i="2"/>
  <c r="Y201" i="2"/>
  <c r="I202" i="2"/>
  <c r="M202" i="2"/>
  <c r="Q202" i="2"/>
  <c r="U202" i="2"/>
  <c r="Y202" i="2"/>
  <c r="I203" i="2"/>
  <c r="M203" i="2"/>
  <c r="Q203" i="2"/>
  <c r="U203" i="2"/>
  <c r="Y203" i="2"/>
  <c r="I204" i="2"/>
  <c r="M204" i="2"/>
  <c r="Q204" i="2"/>
  <c r="U204" i="2"/>
  <c r="Y204" i="2"/>
  <c r="I205" i="2"/>
  <c r="M205" i="2"/>
  <c r="Q205" i="2"/>
  <c r="U205" i="2"/>
  <c r="Y205" i="2"/>
  <c r="I206" i="2"/>
  <c r="M206" i="2"/>
  <c r="Q206" i="2"/>
  <c r="U206" i="2"/>
  <c r="Y206" i="2"/>
  <c r="I207" i="2"/>
  <c r="M207" i="2"/>
  <c r="Q207" i="2"/>
  <c r="U207" i="2"/>
  <c r="Y207" i="2"/>
  <c r="I208" i="2"/>
  <c r="M208" i="2"/>
  <c r="Q208" i="2"/>
  <c r="U208" i="2"/>
  <c r="Y208" i="2"/>
  <c r="I209" i="2"/>
  <c r="M209" i="2"/>
  <c r="Q209" i="2"/>
  <c r="U209" i="2"/>
  <c r="Y209" i="2"/>
  <c r="I210" i="2"/>
  <c r="M210" i="2"/>
  <c r="Q210" i="2"/>
  <c r="U210" i="2"/>
  <c r="Y210" i="2"/>
  <c r="I211" i="2"/>
  <c r="M211" i="2"/>
  <c r="Q211" i="2"/>
  <c r="U211" i="2"/>
  <c r="Y211" i="2"/>
  <c r="I212" i="2"/>
  <c r="M212" i="2"/>
  <c r="Q212" i="2"/>
  <c r="U212" i="2"/>
  <c r="Y212" i="2"/>
  <c r="I213" i="2"/>
  <c r="M213" i="2"/>
  <c r="Q213" i="2"/>
  <c r="U213" i="2"/>
  <c r="Y213" i="2"/>
  <c r="I214" i="2"/>
  <c r="M214" i="2"/>
  <c r="Q214" i="2"/>
  <c r="U214" i="2"/>
  <c r="Y214" i="2"/>
  <c r="I215" i="2"/>
  <c r="M215" i="2"/>
  <c r="Q215" i="2"/>
  <c r="U215" i="2"/>
  <c r="Y215" i="2"/>
  <c r="I216" i="2"/>
  <c r="M216" i="2"/>
  <c r="Q216" i="2"/>
  <c r="U216" i="2"/>
  <c r="Y216" i="2"/>
  <c r="I217" i="2"/>
  <c r="M217" i="2"/>
  <c r="Q217" i="2"/>
  <c r="U217" i="2"/>
  <c r="Y217" i="2"/>
  <c r="I218" i="2"/>
  <c r="M218" i="2"/>
  <c r="Q218" i="2"/>
  <c r="U218" i="2"/>
  <c r="Y218" i="2"/>
  <c r="I219" i="2"/>
  <c r="M219" i="2"/>
  <c r="Q219" i="2"/>
  <c r="U219" i="2"/>
  <c r="Y219" i="2"/>
  <c r="I220" i="2"/>
  <c r="M220" i="2"/>
  <c r="Q220" i="2"/>
  <c r="U220" i="2"/>
  <c r="Y220" i="2"/>
  <c r="I221" i="2"/>
  <c r="M221" i="2"/>
  <c r="Q221" i="2"/>
  <c r="U221" i="2"/>
  <c r="Y221" i="2"/>
  <c r="I222" i="2"/>
  <c r="M222" i="2"/>
  <c r="Q222" i="2"/>
  <c r="U222" i="2"/>
  <c r="Y222" i="2"/>
  <c r="I223" i="2"/>
  <c r="M223" i="2"/>
  <c r="Q223" i="2"/>
  <c r="U223" i="2"/>
  <c r="Y223" i="2"/>
  <c r="I224" i="2"/>
  <c r="M224" i="2"/>
  <c r="Q224" i="2"/>
  <c r="U224" i="2"/>
  <c r="Y224" i="2"/>
  <c r="I225" i="2"/>
  <c r="M225" i="2"/>
  <c r="Q225" i="2"/>
  <c r="U225" i="2"/>
  <c r="Y225" i="2"/>
  <c r="I226" i="2"/>
  <c r="M226" i="2"/>
  <c r="Q226" i="2"/>
  <c r="U226" i="2"/>
  <c r="Y226" i="2"/>
  <c r="I227" i="2"/>
  <c r="M227" i="2"/>
  <c r="Q227" i="2"/>
  <c r="U227" i="2"/>
  <c r="Y227" i="2"/>
  <c r="I228" i="2"/>
  <c r="M228" i="2"/>
  <c r="Q228" i="2"/>
  <c r="U228" i="2"/>
  <c r="Y228" i="2"/>
  <c r="I229" i="2"/>
  <c r="M229" i="2"/>
  <c r="Q229" i="2"/>
  <c r="U229" i="2"/>
  <c r="Y229" i="2"/>
  <c r="I230" i="2"/>
  <c r="M230" i="2"/>
  <c r="Q230" i="2"/>
  <c r="U230" i="2"/>
  <c r="Y230" i="2"/>
  <c r="I231" i="2"/>
  <c r="M231" i="2"/>
  <c r="Q231" i="2"/>
  <c r="U231" i="2"/>
  <c r="Y231" i="2"/>
  <c r="I232" i="2"/>
  <c r="M232" i="2"/>
  <c r="Q232" i="2"/>
  <c r="U232" i="2"/>
  <c r="Y232" i="2"/>
  <c r="I233" i="2"/>
  <c r="M233" i="2"/>
  <c r="Q233" i="2"/>
  <c r="U233" i="2"/>
  <c r="Y233" i="2"/>
  <c r="I234" i="2"/>
  <c r="M234" i="2"/>
  <c r="Q234" i="2"/>
  <c r="U234" i="2"/>
  <c r="Y234" i="2"/>
  <c r="I235" i="2"/>
  <c r="M235" i="2"/>
  <c r="Q235" i="2"/>
  <c r="U235" i="2"/>
  <c r="Y235" i="2"/>
  <c r="I236" i="2"/>
  <c r="M236" i="2"/>
  <c r="Q236" i="2"/>
  <c r="U236" i="2"/>
  <c r="Y236" i="2"/>
  <c r="I237" i="2"/>
  <c r="M237" i="2"/>
  <c r="Q237" i="2"/>
  <c r="U237" i="2"/>
  <c r="Y237" i="2"/>
  <c r="I238" i="2"/>
  <c r="M238" i="2"/>
  <c r="Q238" i="2"/>
  <c r="U238" i="2"/>
  <c r="Y238" i="2"/>
  <c r="I239" i="2"/>
  <c r="M239" i="2"/>
  <c r="Q239" i="2"/>
  <c r="U239" i="2"/>
  <c r="Y239" i="2"/>
  <c r="I240" i="2"/>
  <c r="M240" i="2"/>
  <c r="Q240" i="2"/>
  <c r="U240" i="2"/>
  <c r="Y240" i="2"/>
  <c r="I241" i="2"/>
  <c r="M241" i="2"/>
  <c r="Q241" i="2"/>
  <c r="U241" i="2"/>
  <c r="Y241" i="2"/>
  <c r="I242" i="2"/>
  <c r="M242" i="2"/>
  <c r="Q242" i="2"/>
  <c r="U242" i="2"/>
  <c r="Y242" i="2"/>
  <c r="I243" i="2"/>
  <c r="M243" i="2"/>
  <c r="Q243" i="2"/>
  <c r="U243" i="2"/>
  <c r="Y243" i="2"/>
  <c r="I244" i="2"/>
  <c r="M244" i="2"/>
  <c r="Q244" i="2"/>
  <c r="U244" i="2"/>
  <c r="Y244" i="2"/>
  <c r="I245" i="2"/>
  <c r="M245" i="2"/>
  <c r="Q245" i="2"/>
  <c r="U245" i="2"/>
  <c r="Y245" i="2"/>
  <c r="I246" i="2"/>
  <c r="M246" i="2"/>
  <c r="Q246" i="2"/>
  <c r="U246" i="2"/>
  <c r="Y246" i="2"/>
  <c r="H8" i="2"/>
  <c r="S33" i="2"/>
  <c r="R42" i="2"/>
  <c r="Z48" i="2"/>
  <c r="N55" i="2"/>
  <c r="R60" i="2"/>
  <c r="M64" i="2"/>
  <c r="Q66" i="2"/>
  <c r="R68" i="2"/>
  <c r="U70" i="2"/>
  <c r="Y72" i="2"/>
  <c r="Z74" i="2"/>
  <c r="I77" i="2"/>
  <c r="M79" i="2"/>
  <c r="P80" i="2"/>
  <c r="Q81" i="2"/>
  <c r="S82" i="2"/>
  <c r="T83" i="2"/>
  <c r="U84" i="2"/>
  <c r="W85" i="2"/>
  <c r="X86" i="2"/>
  <c r="Y87" i="2"/>
  <c r="AA88" i="2"/>
  <c r="H90" i="2"/>
  <c r="I91" i="2"/>
  <c r="K92" i="2"/>
  <c r="L93" i="2"/>
  <c r="M94" i="2"/>
  <c r="O95" i="2"/>
  <c r="P96" i="2"/>
  <c r="Q97" i="2"/>
  <c r="S98" i="2"/>
  <c r="T99" i="2"/>
  <c r="U100" i="2"/>
  <c r="W101" i="2"/>
  <c r="X102" i="2"/>
  <c r="Y103" i="2"/>
  <c r="AA104" i="2"/>
  <c r="H106" i="2"/>
  <c r="I107" i="2"/>
  <c r="K108" i="2"/>
  <c r="L109" i="2"/>
  <c r="M110" i="2"/>
  <c r="O111" i="2"/>
  <c r="P112" i="2"/>
  <c r="Q113" i="2"/>
  <c r="S114" i="2"/>
  <c r="T115" i="2"/>
  <c r="U116" i="2"/>
  <c r="W117" i="2"/>
  <c r="X118" i="2"/>
  <c r="Y119" i="2"/>
  <c r="AA120" i="2"/>
  <c r="H122" i="2"/>
  <c r="I123" i="2"/>
  <c r="K124" i="2"/>
  <c r="L125" i="2"/>
  <c r="M126" i="2"/>
  <c r="O127" i="2"/>
  <c r="P128" i="2"/>
  <c r="Q129" i="2"/>
  <c r="S130" i="2"/>
  <c r="O131" i="2"/>
  <c r="K132" i="2"/>
  <c r="AA132" i="2"/>
  <c r="W133" i="2"/>
  <c r="S134" i="2"/>
  <c r="O135" i="2"/>
  <c r="K136" i="2"/>
  <c r="AA136" i="2"/>
  <c r="W137" i="2"/>
  <c r="S138" i="2"/>
  <c r="O139" i="2"/>
  <c r="K140" i="2"/>
  <c r="AA140" i="2"/>
  <c r="W141" i="2"/>
  <c r="S142" i="2"/>
  <c r="O143" i="2"/>
  <c r="K144" i="2"/>
  <c r="AA144" i="2"/>
  <c r="W145" i="2"/>
  <c r="S146" i="2"/>
  <c r="O147" i="2"/>
  <c r="K148" i="2"/>
  <c r="AA148" i="2"/>
  <c r="H25" i="2"/>
  <c r="U39" i="2"/>
  <c r="I46" i="2"/>
  <c r="Q52" i="2"/>
  <c r="S58" i="2"/>
  <c r="Y62" i="2"/>
  <c r="Q65" i="2"/>
  <c r="U67" i="2"/>
  <c r="V69" i="2"/>
  <c r="Y71" i="2"/>
  <c r="I74" i="2"/>
  <c r="J76" i="2"/>
  <c r="M78" i="2"/>
  <c r="AA79" i="2"/>
  <c r="H81" i="2"/>
  <c r="I82" i="2"/>
  <c r="K83" i="2"/>
  <c r="L84" i="2"/>
  <c r="M85" i="2"/>
  <c r="O86" i="2"/>
  <c r="P87" i="2"/>
  <c r="Q88" i="2"/>
  <c r="S89" i="2"/>
  <c r="T90" i="2"/>
  <c r="U91" i="2"/>
  <c r="W92" i="2"/>
  <c r="X93" i="2"/>
  <c r="Y94" i="2"/>
  <c r="AA95" i="2"/>
  <c r="H97" i="2"/>
  <c r="I98" i="2"/>
  <c r="K99" i="2"/>
  <c r="L100" i="2"/>
  <c r="M101" i="2"/>
  <c r="O102" i="2"/>
  <c r="P103" i="2"/>
  <c r="Q104" i="2"/>
  <c r="S105" i="2"/>
  <c r="T106" i="2"/>
  <c r="U107" i="2"/>
  <c r="W108" i="2"/>
  <c r="X109" i="2"/>
  <c r="Y110" i="2"/>
  <c r="AA111" i="2"/>
  <c r="H113" i="2"/>
  <c r="I114" i="2"/>
  <c r="K115" i="2"/>
  <c r="L116" i="2"/>
  <c r="M117" i="2"/>
  <c r="O118" i="2"/>
  <c r="P119" i="2"/>
  <c r="Q120" i="2"/>
  <c r="S121" i="2"/>
  <c r="T122" i="2"/>
  <c r="U123" i="2"/>
  <c r="W124" i="2"/>
  <c r="X125" i="2"/>
  <c r="Y126" i="2"/>
  <c r="AA127" i="2"/>
  <c r="H129" i="2"/>
  <c r="I130" i="2"/>
  <c r="H131" i="2"/>
  <c r="X131" i="2"/>
  <c r="T132" i="2"/>
  <c r="P133" i="2"/>
  <c r="L134" i="2"/>
  <c r="H135" i="2"/>
  <c r="X135" i="2"/>
  <c r="T136" i="2"/>
  <c r="P137" i="2"/>
  <c r="L138" i="2"/>
  <c r="H139" i="2"/>
  <c r="X139" i="2"/>
  <c r="T140" i="2"/>
  <c r="P141" i="2"/>
  <c r="L142" i="2"/>
  <c r="H143" i="2"/>
  <c r="X143" i="2"/>
  <c r="T144" i="2"/>
  <c r="P145" i="2"/>
  <c r="L146" i="2"/>
  <c r="H147" i="2"/>
  <c r="X147" i="2"/>
  <c r="T148" i="2"/>
  <c r="P149" i="2"/>
  <c r="AA149" i="2"/>
  <c r="O150" i="2"/>
  <c r="W150" i="2"/>
  <c r="K151" i="2"/>
  <c r="S151" i="2"/>
  <c r="AA151" i="2"/>
  <c r="O152" i="2"/>
  <c r="W152" i="2"/>
  <c r="K153" i="2"/>
  <c r="S153" i="2"/>
  <c r="AA153" i="2"/>
  <c r="O154" i="2"/>
  <c r="W154" i="2"/>
  <c r="K155" i="2"/>
  <c r="S155" i="2"/>
  <c r="AA155" i="2"/>
  <c r="O156" i="2"/>
  <c r="W156" i="2"/>
  <c r="K157" i="2"/>
  <c r="S157" i="2"/>
  <c r="AA157" i="2"/>
  <c r="O158" i="2"/>
  <c r="W158" i="2"/>
  <c r="K159" i="2"/>
  <c r="S159" i="2"/>
  <c r="AA159" i="2"/>
  <c r="O160" i="2"/>
  <c r="W160" i="2"/>
  <c r="K161" i="2"/>
  <c r="S161" i="2"/>
  <c r="AA161" i="2"/>
  <c r="O162" i="2"/>
  <c r="W162" i="2"/>
  <c r="K163" i="2"/>
  <c r="S163" i="2"/>
  <c r="AA163" i="2"/>
  <c r="O164" i="2"/>
  <c r="W164" i="2"/>
  <c r="K165" i="2"/>
  <c r="S165" i="2"/>
  <c r="AA165" i="2"/>
  <c r="O166" i="2"/>
  <c r="W166" i="2"/>
  <c r="K167" i="2"/>
  <c r="S167" i="2"/>
  <c r="AA167" i="2"/>
  <c r="O168" i="2"/>
  <c r="W168" i="2"/>
  <c r="K169" i="2"/>
  <c r="S169" i="2"/>
  <c r="AA169" i="2"/>
  <c r="O170" i="2"/>
  <c r="W170" i="2"/>
  <c r="K171" i="2"/>
  <c r="S171" i="2"/>
  <c r="AA171" i="2"/>
  <c r="O172" i="2"/>
  <c r="W172" i="2"/>
  <c r="K173" i="2"/>
  <c r="S173" i="2"/>
  <c r="AA173" i="2"/>
  <c r="O174" i="2"/>
  <c r="W174" i="2"/>
  <c r="K175" i="2"/>
  <c r="S175" i="2"/>
  <c r="AA175" i="2"/>
  <c r="O176" i="2"/>
  <c r="W176" i="2"/>
  <c r="K177" i="2"/>
  <c r="S177" i="2"/>
  <c r="AA177" i="2"/>
  <c r="O178" i="2"/>
  <c r="W178" i="2"/>
  <c r="K179" i="2"/>
  <c r="S179" i="2"/>
  <c r="AA179" i="2"/>
  <c r="O180" i="2"/>
  <c r="W180" i="2"/>
  <c r="K181" i="2"/>
  <c r="S181" i="2"/>
  <c r="AA181" i="2"/>
  <c r="O182" i="2"/>
  <c r="W182" i="2"/>
  <c r="K183" i="2"/>
  <c r="S183" i="2"/>
  <c r="AA183" i="2"/>
  <c r="O184" i="2"/>
  <c r="W184" i="2"/>
  <c r="K185" i="2"/>
  <c r="S185" i="2"/>
  <c r="AA185" i="2"/>
  <c r="O186" i="2"/>
  <c r="W186" i="2"/>
  <c r="K187" i="2"/>
  <c r="S187" i="2"/>
  <c r="AA187" i="2"/>
  <c r="O188" i="2"/>
  <c r="W188" i="2"/>
  <c r="K189" i="2"/>
  <c r="S189" i="2"/>
  <c r="AA189" i="2"/>
  <c r="O190" i="2"/>
  <c r="W190" i="2"/>
  <c r="K191" i="2"/>
  <c r="S191" i="2"/>
  <c r="AA191" i="2"/>
  <c r="O192" i="2"/>
  <c r="W192" i="2"/>
  <c r="K193" i="2"/>
  <c r="S193" i="2"/>
  <c r="AA193" i="2"/>
  <c r="O194" i="2"/>
  <c r="W194" i="2"/>
  <c r="K195" i="2"/>
  <c r="S195" i="2"/>
  <c r="AA195" i="2"/>
  <c r="O196" i="2"/>
  <c r="W196" i="2"/>
  <c r="K197" i="2"/>
  <c r="S197" i="2"/>
  <c r="AA197" i="2"/>
  <c r="O198" i="2"/>
  <c r="W198" i="2"/>
  <c r="K199" i="2"/>
  <c r="S199" i="2"/>
  <c r="AA199" i="2"/>
  <c r="O200" i="2"/>
  <c r="W200" i="2"/>
  <c r="K201" i="2"/>
  <c r="S201" i="2"/>
  <c r="AA201" i="2"/>
  <c r="O202" i="2"/>
  <c r="W202" i="2"/>
  <c r="K203" i="2"/>
  <c r="S203" i="2"/>
  <c r="AA203" i="2"/>
  <c r="O204" i="2"/>
  <c r="W204" i="2"/>
  <c r="K205" i="2"/>
  <c r="S205" i="2"/>
  <c r="AA205" i="2"/>
  <c r="O206" i="2"/>
  <c r="W206" i="2"/>
  <c r="K207" i="2"/>
  <c r="S207" i="2"/>
  <c r="AA207" i="2"/>
  <c r="O208" i="2"/>
  <c r="W208" i="2"/>
  <c r="K209" i="2"/>
  <c r="S209" i="2"/>
  <c r="AA209" i="2"/>
  <c r="O210" i="2"/>
  <c r="W210" i="2"/>
  <c r="K211" i="2"/>
  <c r="S211" i="2"/>
  <c r="AA211" i="2"/>
  <c r="O212" i="2"/>
  <c r="W212" i="2"/>
  <c r="K213" i="2"/>
  <c r="S213" i="2"/>
  <c r="AA213" i="2"/>
  <c r="O214" i="2"/>
  <c r="W214" i="2"/>
  <c r="K215" i="2"/>
  <c r="S215" i="2"/>
  <c r="AA215" i="2"/>
  <c r="O216" i="2"/>
  <c r="W216" i="2"/>
  <c r="K217" i="2"/>
  <c r="S217" i="2"/>
  <c r="AA217" i="2"/>
  <c r="O218" i="2"/>
  <c r="W218" i="2"/>
  <c r="K219" i="2"/>
  <c r="S219" i="2"/>
  <c r="AA219" i="2"/>
  <c r="O220" i="2"/>
  <c r="W220" i="2"/>
  <c r="K221" i="2"/>
  <c r="S221" i="2"/>
  <c r="AA221" i="2"/>
  <c r="O222" i="2"/>
  <c r="W222" i="2"/>
  <c r="K223" i="2"/>
  <c r="S223" i="2"/>
  <c r="AA223" i="2"/>
  <c r="O224" i="2"/>
  <c r="W224" i="2"/>
  <c r="K225" i="2"/>
  <c r="S225" i="2"/>
  <c r="AA225" i="2"/>
  <c r="O226" i="2"/>
  <c r="W226" i="2"/>
  <c r="K227" i="2"/>
  <c r="S227" i="2"/>
  <c r="AA227" i="2"/>
  <c r="O228" i="2"/>
  <c r="W228" i="2"/>
  <c r="K229" i="2"/>
  <c r="S229" i="2"/>
  <c r="N34" i="2"/>
  <c r="M49" i="2"/>
  <c r="V60" i="2"/>
  <c r="R66" i="2"/>
  <c r="Y70" i="2"/>
  <c r="I75" i="2"/>
  <c r="N79" i="2"/>
  <c r="S81" i="2"/>
  <c r="U83" i="2"/>
  <c r="X85" i="2"/>
  <c r="AA87" i="2"/>
  <c r="I90" i="2"/>
  <c r="L92" i="2"/>
  <c r="O94" i="2"/>
  <c r="Q96" i="2"/>
  <c r="T98" i="2"/>
  <c r="W100" i="2"/>
  <c r="Y102" i="2"/>
  <c r="H105" i="2"/>
  <c r="K107" i="2"/>
  <c r="M109" i="2"/>
  <c r="P111" i="2"/>
  <c r="S113" i="2"/>
  <c r="U115" i="2"/>
  <c r="X117" i="2"/>
  <c r="AA119" i="2"/>
  <c r="I122" i="2"/>
  <c r="L124" i="2"/>
  <c r="O126" i="2"/>
  <c r="Q128" i="2"/>
  <c r="T130" i="2"/>
  <c r="L132" i="2"/>
  <c r="X133" i="2"/>
  <c r="P135" i="2"/>
  <c r="H137" i="2"/>
  <c r="T138" i="2"/>
  <c r="L140" i="2"/>
  <c r="X141" i="2"/>
  <c r="P143" i="2"/>
  <c r="H145" i="2"/>
  <c r="T146" i="2"/>
  <c r="L148" i="2"/>
  <c r="T149" i="2"/>
  <c r="K150" i="2"/>
  <c r="V150" i="2"/>
  <c r="N151" i="2"/>
  <c r="W151" i="2"/>
  <c r="N152" i="2"/>
  <c r="Z152" i="2"/>
  <c r="O153" i="2"/>
  <c r="Z153" i="2"/>
  <c r="R154" i="2"/>
  <c r="AA154" i="2"/>
  <c r="R155" i="2"/>
  <c r="J156" i="2"/>
  <c r="S156" i="2"/>
  <c r="J157" i="2"/>
  <c r="V157" i="2"/>
  <c r="K158" i="2"/>
  <c r="V158" i="2"/>
  <c r="N159" i="2"/>
  <c r="W159" i="2"/>
  <c r="N160" i="2"/>
  <c r="Z160" i="2"/>
  <c r="O161" i="2"/>
  <c r="Z161" i="2"/>
  <c r="R162" i="2"/>
  <c r="AA162" i="2"/>
  <c r="R163" i="2"/>
  <c r="J164" i="2"/>
  <c r="S164" i="2"/>
  <c r="J165" i="2"/>
  <c r="V165" i="2"/>
  <c r="K166" i="2"/>
  <c r="V166" i="2"/>
  <c r="N167" i="2"/>
  <c r="W167" i="2"/>
  <c r="N168" i="2"/>
  <c r="Z168" i="2"/>
  <c r="O169" i="2"/>
  <c r="Z169" i="2"/>
  <c r="R170" i="2"/>
  <c r="AA170" i="2"/>
  <c r="R171" i="2"/>
  <c r="J172" i="2"/>
  <c r="S172" i="2"/>
  <c r="J173" i="2"/>
  <c r="V173" i="2"/>
  <c r="K174" i="2"/>
  <c r="V174" i="2"/>
  <c r="N175" i="2"/>
  <c r="W175" i="2"/>
  <c r="N176" i="2"/>
  <c r="Z176" i="2"/>
  <c r="O177" i="2"/>
  <c r="Z177" i="2"/>
  <c r="R178" i="2"/>
  <c r="AA178" i="2"/>
  <c r="R179" i="2"/>
  <c r="J180" i="2"/>
  <c r="S180" i="2"/>
  <c r="J181" i="2"/>
  <c r="V181" i="2"/>
  <c r="K182" i="2"/>
  <c r="V182" i="2"/>
  <c r="N183" i="2"/>
  <c r="W183" i="2"/>
  <c r="N184" i="2"/>
  <c r="Z184" i="2"/>
  <c r="O185" i="2"/>
  <c r="Z185" i="2"/>
  <c r="R186" i="2"/>
  <c r="AA186" i="2"/>
  <c r="R187" i="2"/>
  <c r="J188" i="2"/>
  <c r="S188" i="2"/>
  <c r="J189" i="2"/>
  <c r="V189" i="2"/>
  <c r="K190" i="2"/>
  <c r="V190" i="2"/>
  <c r="N191" i="2"/>
  <c r="W191" i="2"/>
  <c r="N192" i="2"/>
  <c r="Z192" i="2"/>
  <c r="O193" i="2"/>
  <c r="Z193" i="2"/>
  <c r="R194" i="2"/>
  <c r="AA194" i="2"/>
  <c r="R195" i="2"/>
  <c r="J196" i="2"/>
  <c r="S196" i="2"/>
  <c r="J197" i="2"/>
  <c r="V197" i="2"/>
  <c r="K198" i="2"/>
  <c r="V198" i="2"/>
  <c r="N199" i="2"/>
  <c r="W199" i="2"/>
  <c r="N200" i="2"/>
  <c r="Z200" i="2"/>
  <c r="O201" i="2"/>
  <c r="Z201" i="2"/>
  <c r="R202" i="2"/>
  <c r="AA202" i="2"/>
  <c r="R203" i="2"/>
  <c r="J204" i="2"/>
  <c r="S204" i="2"/>
  <c r="J205" i="2"/>
  <c r="V205" i="2"/>
  <c r="K206" i="2"/>
  <c r="V206" i="2"/>
  <c r="N207" i="2"/>
  <c r="W207" i="2"/>
  <c r="N208" i="2"/>
  <c r="Z208" i="2"/>
  <c r="O209" i="2"/>
  <c r="Z209" i="2"/>
  <c r="R210" i="2"/>
  <c r="AA210" i="2"/>
  <c r="R211" i="2"/>
  <c r="J212" i="2"/>
  <c r="S212" i="2"/>
  <c r="J213" i="2"/>
  <c r="V213" i="2"/>
  <c r="K214" i="2"/>
  <c r="V214" i="2"/>
  <c r="N215" i="2"/>
  <c r="W215" i="2"/>
  <c r="N216" i="2"/>
  <c r="Z216" i="2"/>
  <c r="O217" i="2"/>
  <c r="Z217" i="2"/>
  <c r="R218" i="2"/>
  <c r="AA218" i="2"/>
  <c r="R219" i="2"/>
  <c r="J220" i="2"/>
  <c r="S220" i="2"/>
  <c r="J221" i="2"/>
  <c r="V221" i="2"/>
  <c r="K222" i="2"/>
  <c r="V222" i="2"/>
  <c r="N223" i="2"/>
  <c r="W223" i="2"/>
  <c r="N224" i="2"/>
  <c r="Z224" i="2"/>
  <c r="O225" i="2"/>
  <c r="Z225" i="2"/>
  <c r="R226" i="2"/>
  <c r="AA226" i="2"/>
  <c r="R227" i="2"/>
  <c r="J228" i="2"/>
  <c r="S228" i="2"/>
  <c r="J229" i="2"/>
  <c r="V229" i="2"/>
  <c r="J230" i="2"/>
  <c r="R230" i="2"/>
  <c r="Z230" i="2"/>
  <c r="N231" i="2"/>
  <c r="V231" i="2"/>
  <c r="J232" i="2"/>
  <c r="R232" i="2"/>
  <c r="Z232" i="2"/>
  <c r="N233" i="2"/>
  <c r="V233" i="2"/>
  <c r="J234" i="2"/>
  <c r="R234" i="2"/>
  <c r="Z234" i="2"/>
  <c r="N235" i="2"/>
  <c r="V235" i="2"/>
  <c r="J236" i="2"/>
  <c r="R236" i="2"/>
  <c r="Z236" i="2"/>
  <c r="N237" i="2"/>
  <c r="V237" i="2"/>
  <c r="J238" i="2"/>
  <c r="R238" i="2"/>
  <c r="Z238" i="2"/>
  <c r="N239" i="2"/>
  <c r="V239" i="2"/>
  <c r="J240" i="2"/>
  <c r="R240" i="2"/>
  <c r="Z240" i="2"/>
  <c r="N241" i="2"/>
  <c r="V241" i="2"/>
  <c r="J242" i="2"/>
  <c r="R242" i="2"/>
  <c r="Z242" i="2"/>
  <c r="N243" i="2"/>
  <c r="V243" i="2"/>
  <c r="J244" i="2"/>
  <c r="R244" i="2"/>
  <c r="Z244" i="2"/>
  <c r="N245" i="2"/>
  <c r="V245" i="2"/>
  <c r="J246" i="2"/>
  <c r="R246" i="2"/>
  <c r="Z246" i="2"/>
  <c r="K247" i="2"/>
  <c r="Q247" i="2"/>
  <c r="V247" i="2"/>
  <c r="AA247" i="2"/>
  <c r="M248" i="2"/>
  <c r="R248" i="2"/>
  <c r="W248" i="2"/>
  <c r="I249" i="2"/>
  <c r="N249" i="2"/>
  <c r="S249" i="2"/>
  <c r="Y249" i="2"/>
  <c r="J250" i="2"/>
  <c r="O250" i="2"/>
  <c r="U250" i="2"/>
  <c r="Z250" i="2"/>
  <c r="K251" i="2"/>
  <c r="Q251" i="2"/>
  <c r="V251" i="2"/>
  <c r="AA251" i="2"/>
  <c r="L252" i="2"/>
  <c r="P252" i="2"/>
  <c r="T252" i="2"/>
  <c r="X252" i="2"/>
  <c r="H253" i="2"/>
  <c r="L253" i="2"/>
  <c r="P253" i="2"/>
  <c r="T253" i="2"/>
  <c r="X253" i="2"/>
  <c r="H254" i="2"/>
  <c r="L254" i="2"/>
  <c r="P254" i="2"/>
  <c r="T254" i="2"/>
  <c r="X254" i="2"/>
  <c r="H255" i="2"/>
  <c r="L255" i="2"/>
  <c r="P255" i="2"/>
  <c r="T255" i="2"/>
  <c r="X255" i="2"/>
  <c r="H256" i="2"/>
  <c r="L256" i="2"/>
  <c r="P256" i="2"/>
  <c r="T256" i="2"/>
  <c r="X256" i="2"/>
  <c r="H257" i="2"/>
  <c r="L257" i="2"/>
  <c r="P257" i="2"/>
  <c r="T257" i="2"/>
  <c r="X257" i="2"/>
  <c r="H258" i="2"/>
  <c r="L258" i="2"/>
  <c r="P258" i="2"/>
  <c r="T258" i="2"/>
  <c r="X258" i="2"/>
  <c r="H259" i="2"/>
  <c r="L259" i="2"/>
  <c r="P259" i="2"/>
  <c r="T259" i="2"/>
  <c r="X259" i="2"/>
  <c r="H260" i="2"/>
  <c r="L260" i="2"/>
  <c r="P260" i="2"/>
  <c r="T260" i="2"/>
  <c r="X260" i="2"/>
  <c r="H261" i="2"/>
  <c r="L261" i="2"/>
  <c r="P261" i="2"/>
  <c r="T261" i="2"/>
  <c r="X261" i="2"/>
  <c r="H262" i="2"/>
  <c r="L262" i="2"/>
  <c r="P262" i="2"/>
  <c r="T262" i="2"/>
  <c r="X262" i="2"/>
  <c r="H263" i="2"/>
  <c r="L263" i="2"/>
  <c r="P263" i="2"/>
  <c r="T263" i="2"/>
  <c r="X263" i="2"/>
  <c r="H264" i="2"/>
  <c r="L264" i="2"/>
  <c r="P264" i="2"/>
  <c r="T264" i="2"/>
  <c r="X264" i="2"/>
  <c r="H265" i="2"/>
  <c r="L265" i="2"/>
  <c r="P265" i="2"/>
  <c r="T265" i="2"/>
  <c r="X265" i="2"/>
  <c r="H266" i="2"/>
  <c r="L266" i="2"/>
  <c r="P266" i="2"/>
  <c r="T266" i="2"/>
  <c r="X266" i="2"/>
  <c r="H267" i="2"/>
  <c r="L267" i="2"/>
  <c r="P267" i="2"/>
  <c r="T267" i="2"/>
  <c r="X267" i="2"/>
  <c r="H268" i="2"/>
  <c r="L268" i="2"/>
  <c r="P268" i="2"/>
  <c r="T268" i="2"/>
  <c r="X268" i="2"/>
  <c r="H269" i="2"/>
  <c r="L269" i="2"/>
  <c r="P269" i="2"/>
  <c r="T269" i="2"/>
  <c r="X269" i="2"/>
  <c r="H270" i="2"/>
  <c r="L270" i="2"/>
  <c r="P270" i="2"/>
  <c r="T270" i="2"/>
  <c r="X270" i="2"/>
  <c r="H271" i="2"/>
  <c r="L271" i="2"/>
  <c r="P271" i="2"/>
  <c r="T271" i="2"/>
  <c r="X271" i="2"/>
  <c r="H272" i="2"/>
  <c r="L272" i="2"/>
  <c r="P272" i="2"/>
  <c r="T272" i="2"/>
  <c r="X272" i="2"/>
  <c r="H273" i="2"/>
  <c r="L273" i="2"/>
  <c r="P273" i="2"/>
  <c r="T273" i="2"/>
  <c r="X273" i="2"/>
  <c r="H274" i="2"/>
  <c r="L274" i="2"/>
  <c r="P274" i="2"/>
  <c r="T274" i="2"/>
  <c r="X274" i="2"/>
  <c r="H275" i="2"/>
  <c r="L275" i="2"/>
  <c r="P275" i="2"/>
  <c r="T275" i="2"/>
  <c r="X275" i="2"/>
  <c r="H276" i="2"/>
  <c r="L276" i="2"/>
  <c r="P276" i="2"/>
  <c r="T276" i="2"/>
  <c r="X276" i="2"/>
  <c r="H277" i="2"/>
  <c r="L277" i="2"/>
  <c r="P277" i="2"/>
  <c r="T277" i="2"/>
  <c r="X277" i="2"/>
  <c r="H278" i="2"/>
  <c r="L278" i="2"/>
  <c r="P278" i="2"/>
  <c r="T278" i="2"/>
  <c r="X278" i="2"/>
  <c r="H279" i="2"/>
  <c r="L279" i="2"/>
  <c r="P279" i="2"/>
  <c r="T279" i="2"/>
  <c r="X279" i="2"/>
  <c r="H280" i="2"/>
  <c r="L280" i="2"/>
  <c r="P280" i="2"/>
  <c r="T280" i="2"/>
  <c r="X280" i="2"/>
  <c r="H281" i="2"/>
  <c r="L281" i="2"/>
  <c r="P281" i="2"/>
  <c r="T281" i="2"/>
  <c r="X281" i="2"/>
  <c r="H282" i="2"/>
  <c r="L282" i="2"/>
  <c r="P282" i="2"/>
  <c r="T282" i="2"/>
  <c r="X282" i="2"/>
  <c r="H283" i="2"/>
  <c r="L283" i="2"/>
  <c r="P283" i="2"/>
  <c r="T283" i="2"/>
  <c r="X283" i="2"/>
  <c r="H284" i="2"/>
  <c r="L284" i="2"/>
  <c r="P284" i="2"/>
  <c r="T284" i="2"/>
  <c r="X284" i="2"/>
  <c r="H285" i="2"/>
  <c r="L285" i="2"/>
  <c r="P285" i="2"/>
  <c r="T285" i="2"/>
  <c r="X285" i="2"/>
  <c r="H286" i="2"/>
  <c r="L286" i="2"/>
  <c r="P286" i="2"/>
  <c r="T286" i="2"/>
  <c r="X286" i="2"/>
  <c r="H287" i="2"/>
  <c r="L287" i="2"/>
  <c r="P287" i="2"/>
  <c r="T287" i="2"/>
  <c r="X287" i="2"/>
  <c r="H288" i="2"/>
  <c r="L288" i="2"/>
  <c r="P288" i="2"/>
  <c r="T288" i="2"/>
  <c r="X288" i="2"/>
  <c r="H289" i="2"/>
  <c r="L289" i="2"/>
  <c r="P289" i="2"/>
  <c r="T289" i="2"/>
  <c r="X289" i="2"/>
  <c r="H290" i="2"/>
  <c r="L290" i="2"/>
  <c r="P290" i="2"/>
  <c r="T290" i="2"/>
  <c r="X290" i="2"/>
  <c r="H291" i="2"/>
  <c r="L291" i="2"/>
  <c r="P291" i="2"/>
  <c r="T291" i="2"/>
  <c r="X291" i="2"/>
  <c r="H292" i="2"/>
  <c r="L292" i="2"/>
  <c r="P292" i="2"/>
  <c r="T292" i="2"/>
  <c r="X292" i="2"/>
  <c r="H293" i="2"/>
  <c r="L293" i="2"/>
  <c r="P293" i="2"/>
  <c r="T293" i="2"/>
  <c r="X293" i="2"/>
  <c r="H294" i="2"/>
  <c r="L294" i="2"/>
  <c r="P294" i="2"/>
  <c r="T294" i="2"/>
  <c r="X294" i="2"/>
  <c r="H295" i="2"/>
  <c r="L295" i="2"/>
  <c r="P295" i="2"/>
  <c r="T295" i="2"/>
  <c r="X295" i="2"/>
  <c r="H296" i="2"/>
  <c r="L296" i="2"/>
  <c r="P296" i="2"/>
  <c r="T296" i="2"/>
  <c r="X296" i="2"/>
  <c r="H297" i="2"/>
  <c r="L297" i="2"/>
  <c r="P297" i="2"/>
  <c r="T297" i="2"/>
  <c r="X297" i="2"/>
  <c r="H298" i="2"/>
  <c r="L298" i="2"/>
  <c r="P298" i="2"/>
  <c r="T298" i="2"/>
  <c r="X298" i="2"/>
  <c r="H299" i="2"/>
  <c r="L299" i="2"/>
  <c r="P299" i="2"/>
  <c r="T299" i="2"/>
  <c r="X299" i="2"/>
  <c r="H300" i="2"/>
  <c r="L300" i="2"/>
  <c r="P300" i="2"/>
  <c r="T300" i="2"/>
  <c r="X300" i="2"/>
  <c r="H301" i="2"/>
  <c r="L301" i="2"/>
  <c r="P301" i="2"/>
  <c r="T301" i="2"/>
  <c r="X301" i="2"/>
  <c r="H302" i="2"/>
  <c r="L302" i="2"/>
  <c r="P302" i="2"/>
  <c r="T302" i="2"/>
  <c r="X302" i="2"/>
  <c r="H303" i="2"/>
  <c r="L303" i="2"/>
  <c r="P303" i="2"/>
  <c r="T303" i="2"/>
  <c r="X303" i="2"/>
  <c r="H304" i="2"/>
  <c r="L304" i="2"/>
  <c r="P304" i="2"/>
  <c r="T304" i="2"/>
  <c r="X304" i="2"/>
  <c r="H305" i="2"/>
  <c r="L305" i="2"/>
  <c r="P305" i="2"/>
  <c r="T305" i="2"/>
  <c r="X305" i="2"/>
  <c r="H306" i="2"/>
  <c r="L306" i="2"/>
  <c r="P306" i="2"/>
  <c r="T306" i="2"/>
  <c r="X306" i="2"/>
  <c r="H307" i="2"/>
  <c r="L307" i="2"/>
  <c r="P307" i="2"/>
  <c r="T307" i="2"/>
  <c r="X307" i="2"/>
  <c r="H308" i="2"/>
  <c r="L308" i="2"/>
  <c r="P308" i="2"/>
  <c r="T308" i="2"/>
  <c r="X308" i="2"/>
  <c r="H309" i="2"/>
  <c r="L309" i="2"/>
  <c r="P309" i="2"/>
  <c r="T309" i="2"/>
  <c r="X309" i="2"/>
  <c r="H310" i="2"/>
  <c r="L310" i="2"/>
  <c r="P310" i="2"/>
  <c r="T310" i="2"/>
  <c r="X310" i="2"/>
  <c r="H311" i="2"/>
  <c r="L311" i="2"/>
  <c r="P311" i="2"/>
  <c r="T311" i="2"/>
  <c r="X311" i="2"/>
  <c r="H312" i="2"/>
  <c r="L312" i="2"/>
  <c r="P312" i="2"/>
  <c r="T312" i="2"/>
  <c r="X312" i="2"/>
  <c r="H313" i="2"/>
  <c r="L313" i="2"/>
  <c r="P313" i="2"/>
  <c r="T313" i="2"/>
  <c r="X313" i="2"/>
  <c r="H314" i="2"/>
  <c r="L314" i="2"/>
  <c r="P314" i="2"/>
  <c r="T314" i="2"/>
  <c r="X314" i="2"/>
  <c r="H315" i="2"/>
  <c r="L315" i="2"/>
  <c r="P315" i="2"/>
  <c r="T315" i="2"/>
  <c r="X315" i="2"/>
  <c r="H316" i="2"/>
  <c r="L316" i="2"/>
  <c r="P316" i="2"/>
  <c r="T316" i="2"/>
  <c r="X316" i="2"/>
  <c r="H317" i="2"/>
  <c r="L317" i="2"/>
  <c r="P317" i="2"/>
  <c r="T317" i="2"/>
  <c r="X317" i="2"/>
  <c r="H318" i="2"/>
  <c r="L318" i="2"/>
  <c r="P318" i="2"/>
  <c r="T318" i="2"/>
  <c r="X318" i="2"/>
  <c r="H319" i="2"/>
  <c r="L319" i="2"/>
  <c r="P319" i="2"/>
  <c r="T319" i="2"/>
  <c r="X319" i="2"/>
  <c r="H320" i="2"/>
  <c r="L320" i="2"/>
  <c r="P320" i="2"/>
  <c r="T320" i="2"/>
  <c r="X320" i="2"/>
  <c r="H321" i="2"/>
  <c r="L321" i="2"/>
  <c r="P321" i="2"/>
  <c r="T321" i="2"/>
  <c r="X321" i="2"/>
  <c r="H322" i="2"/>
  <c r="L322" i="2"/>
  <c r="P322" i="2"/>
  <c r="T322" i="2"/>
  <c r="X322" i="2"/>
  <c r="H323" i="2"/>
  <c r="L323" i="2"/>
  <c r="P323" i="2"/>
  <c r="T323" i="2"/>
  <c r="X323" i="2"/>
  <c r="H324" i="2"/>
  <c r="L324" i="2"/>
  <c r="P324" i="2"/>
  <c r="T324" i="2"/>
  <c r="X324" i="2"/>
  <c r="H325" i="2"/>
  <c r="L325" i="2"/>
  <c r="P325" i="2"/>
  <c r="T325" i="2"/>
  <c r="X325" i="2"/>
  <c r="H326" i="2"/>
  <c r="L326" i="2"/>
  <c r="P326" i="2"/>
  <c r="T326" i="2"/>
  <c r="X326" i="2"/>
  <c r="H327" i="2"/>
  <c r="L327" i="2"/>
  <c r="P327" i="2"/>
  <c r="T327" i="2"/>
  <c r="X327" i="2"/>
  <c r="H328" i="2"/>
  <c r="L328" i="2"/>
  <c r="P328" i="2"/>
  <c r="T328" i="2"/>
  <c r="X328" i="2"/>
  <c r="H329" i="2"/>
  <c r="L329" i="2"/>
  <c r="P329" i="2"/>
  <c r="T329" i="2"/>
  <c r="X329" i="2"/>
  <c r="H330" i="2"/>
  <c r="L330" i="2"/>
  <c r="P330" i="2"/>
  <c r="T330" i="2"/>
  <c r="X330" i="2"/>
  <c r="H331" i="2"/>
  <c r="L331" i="2"/>
  <c r="P331" i="2"/>
  <c r="T331" i="2"/>
  <c r="X331" i="2"/>
  <c r="H332" i="2"/>
  <c r="L332" i="2"/>
  <c r="P332" i="2"/>
  <c r="T332" i="2"/>
  <c r="X332" i="2"/>
  <c r="H333" i="2"/>
  <c r="L333" i="2"/>
  <c r="P333" i="2"/>
  <c r="T333" i="2"/>
  <c r="X333" i="2"/>
  <c r="H334" i="2"/>
  <c r="L334" i="2"/>
  <c r="P334" i="2"/>
  <c r="T334" i="2"/>
  <c r="X334" i="2"/>
  <c r="H335" i="2"/>
  <c r="L335" i="2"/>
  <c r="P335" i="2"/>
  <c r="T335" i="2"/>
  <c r="X335" i="2"/>
  <c r="L39" i="2"/>
  <c r="J52" i="2"/>
  <c r="U62" i="2"/>
  <c r="Q67" i="2"/>
  <c r="V71" i="2"/>
  <c r="I76" i="2"/>
  <c r="Y79" i="2"/>
  <c r="H82" i="2"/>
  <c r="K84" i="2"/>
  <c r="M86" i="2"/>
  <c r="P88" i="2"/>
  <c r="S90" i="2"/>
  <c r="U92" i="2"/>
  <c r="X94" i="2"/>
  <c r="AA96" i="2"/>
  <c r="I99" i="2"/>
  <c r="L101" i="2"/>
  <c r="O103" i="2"/>
  <c r="Q105" i="2"/>
  <c r="T107" i="2"/>
  <c r="W109" i="2"/>
  <c r="Y111" i="2"/>
  <c r="H114" i="2"/>
  <c r="K116" i="2"/>
  <c r="M118" i="2"/>
  <c r="P120" i="2"/>
  <c r="S122" i="2"/>
  <c r="U124" i="2"/>
  <c r="X126" i="2"/>
  <c r="AA128" i="2"/>
  <c r="AA130" i="2"/>
  <c r="S132" i="2"/>
  <c r="K134" i="2"/>
  <c r="W135" i="2"/>
  <c r="O137" i="2"/>
  <c r="AA138" i="2"/>
  <c r="S140" i="2"/>
  <c r="K142" i="2"/>
  <c r="W143" i="2"/>
  <c r="O145" i="2"/>
  <c r="AA146" i="2"/>
  <c r="S148" i="2"/>
  <c r="V149" i="2"/>
  <c r="N150" i="2"/>
  <c r="Z150" i="2"/>
  <c r="O151" i="2"/>
  <c r="Z151" i="2"/>
  <c r="R152" i="2"/>
  <c r="AA152" i="2"/>
  <c r="R153" i="2"/>
  <c r="J154" i="2"/>
  <c r="S154" i="2"/>
  <c r="J155" i="2"/>
  <c r="V155" i="2"/>
  <c r="K156" i="2"/>
  <c r="V156" i="2"/>
  <c r="N157" i="2"/>
  <c r="W157" i="2"/>
  <c r="N158" i="2"/>
  <c r="Z158" i="2"/>
  <c r="O159" i="2"/>
  <c r="Z159" i="2"/>
  <c r="R160" i="2"/>
  <c r="AA160" i="2"/>
  <c r="R161" i="2"/>
  <c r="J162" i="2"/>
  <c r="S162" i="2"/>
  <c r="J163" i="2"/>
  <c r="V163" i="2"/>
  <c r="K164" i="2"/>
  <c r="V164" i="2"/>
  <c r="N165" i="2"/>
  <c r="W165" i="2"/>
  <c r="N166" i="2"/>
  <c r="Z166" i="2"/>
  <c r="O167" i="2"/>
  <c r="Z167" i="2"/>
  <c r="R168" i="2"/>
  <c r="AA168" i="2"/>
  <c r="R169" i="2"/>
  <c r="J170" i="2"/>
  <c r="S170" i="2"/>
  <c r="J171" i="2"/>
  <c r="V171" i="2"/>
  <c r="K172" i="2"/>
  <c r="V172" i="2"/>
  <c r="N173" i="2"/>
  <c r="W173" i="2"/>
  <c r="N174" i="2"/>
  <c r="Z174" i="2"/>
  <c r="O175" i="2"/>
  <c r="Z175" i="2"/>
  <c r="R176" i="2"/>
  <c r="AA176" i="2"/>
  <c r="R177" i="2"/>
  <c r="J178" i="2"/>
  <c r="S178" i="2"/>
  <c r="J179" i="2"/>
  <c r="V179" i="2"/>
  <c r="K180" i="2"/>
  <c r="V180" i="2"/>
  <c r="N181" i="2"/>
  <c r="W181" i="2"/>
  <c r="N182" i="2"/>
  <c r="Z182" i="2"/>
  <c r="O183" i="2"/>
  <c r="Z183" i="2"/>
  <c r="R184" i="2"/>
  <c r="AA184" i="2"/>
  <c r="R185" i="2"/>
  <c r="J186" i="2"/>
  <c r="S186" i="2"/>
  <c r="J187" i="2"/>
  <c r="V187" i="2"/>
  <c r="K188" i="2"/>
  <c r="V188" i="2"/>
  <c r="N189" i="2"/>
  <c r="W189" i="2"/>
  <c r="N190" i="2"/>
  <c r="Z190" i="2"/>
  <c r="O191" i="2"/>
  <c r="Z191" i="2"/>
  <c r="R192" i="2"/>
  <c r="AA192" i="2"/>
  <c r="R193" i="2"/>
  <c r="J194" i="2"/>
  <c r="S194" i="2"/>
  <c r="J195" i="2"/>
  <c r="V195" i="2"/>
  <c r="K196" i="2"/>
  <c r="V196" i="2"/>
  <c r="N197" i="2"/>
  <c r="W197" i="2"/>
  <c r="N198" i="2"/>
  <c r="Z198" i="2"/>
  <c r="O199" i="2"/>
  <c r="Z199" i="2"/>
  <c r="R200" i="2"/>
  <c r="AA200" i="2"/>
  <c r="R201" i="2"/>
  <c r="J202" i="2"/>
  <c r="S202" i="2"/>
  <c r="J203" i="2"/>
  <c r="V203" i="2"/>
  <c r="K204" i="2"/>
  <c r="V204" i="2"/>
  <c r="N205" i="2"/>
  <c r="W205" i="2"/>
  <c r="N206" i="2"/>
  <c r="Z206" i="2"/>
  <c r="O207" i="2"/>
  <c r="Z207" i="2"/>
  <c r="R208" i="2"/>
  <c r="AA208" i="2"/>
  <c r="R209" i="2"/>
  <c r="J210" i="2"/>
  <c r="S210" i="2"/>
  <c r="J211" i="2"/>
  <c r="V211" i="2"/>
  <c r="K212" i="2"/>
  <c r="V212" i="2"/>
  <c r="N213" i="2"/>
  <c r="W213" i="2"/>
  <c r="N214" i="2"/>
  <c r="Z214" i="2"/>
  <c r="O215" i="2"/>
  <c r="Z215" i="2"/>
  <c r="R216" i="2"/>
  <c r="AA216" i="2"/>
  <c r="R217" i="2"/>
  <c r="J218" i="2"/>
  <c r="S218" i="2"/>
  <c r="J219" i="2"/>
  <c r="V219" i="2"/>
  <c r="K220" i="2"/>
  <c r="V220" i="2"/>
  <c r="N221" i="2"/>
  <c r="W221" i="2"/>
  <c r="N222" i="2"/>
  <c r="Z222" i="2"/>
  <c r="O223" i="2"/>
  <c r="Z223" i="2"/>
  <c r="R224" i="2"/>
  <c r="AA224" i="2"/>
  <c r="R225" i="2"/>
  <c r="J226" i="2"/>
  <c r="S226" i="2"/>
  <c r="J227" i="2"/>
  <c r="V227" i="2"/>
  <c r="K228" i="2"/>
  <c r="V228" i="2"/>
  <c r="N229" i="2"/>
  <c r="W229" i="2"/>
  <c r="K230" i="2"/>
  <c r="S230" i="2"/>
  <c r="AA230" i="2"/>
  <c r="O231" i="2"/>
  <c r="W231" i="2"/>
  <c r="K232" i="2"/>
  <c r="S232" i="2"/>
  <c r="AA232" i="2"/>
  <c r="O233" i="2"/>
  <c r="W233" i="2"/>
  <c r="K234" i="2"/>
  <c r="S234" i="2"/>
  <c r="AA234" i="2"/>
  <c r="O235" i="2"/>
  <c r="W235" i="2"/>
  <c r="K236" i="2"/>
  <c r="S236" i="2"/>
  <c r="AA236" i="2"/>
  <c r="O237" i="2"/>
  <c r="W237" i="2"/>
  <c r="K238" i="2"/>
  <c r="S238" i="2"/>
  <c r="AA238" i="2"/>
  <c r="O239" i="2"/>
  <c r="W239" i="2"/>
  <c r="K240" i="2"/>
  <c r="S240" i="2"/>
  <c r="AA240" i="2"/>
  <c r="O241" i="2"/>
  <c r="W241" i="2"/>
  <c r="K242" i="2"/>
  <c r="S242" i="2"/>
  <c r="AA242" i="2"/>
  <c r="O243" i="2"/>
  <c r="W243" i="2"/>
  <c r="K244" i="2"/>
  <c r="S244" i="2"/>
  <c r="AA244" i="2"/>
  <c r="O245" i="2"/>
  <c r="W245" i="2"/>
  <c r="K246" i="2"/>
  <c r="S246" i="2"/>
  <c r="AA246" i="2"/>
  <c r="M247" i="2"/>
  <c r="R247" i="2"/>
  <c r="W247" i="2"/>
  <c r="I248" i="2"/>
  <c r="N248" i="2"/>
  <c r="S248" i="2"/>
  <c r="Y248" i="2"/>
  <c r="J249" i="2"/>
  <c r="O249" i="2"/>
  <c r="U249" i="2"/>
  <c r="Z249" i="2"/>
  <c r="K250" i="2"/>
  <c r="Q250" i="2"/>
  <c r="V250" i="2"/>
  <c r="AA250" i="2"/>
  <c r="M251" i="2"/>
  <c r="R251" i="2"/>
  <c r="W251" i="2"/>
  <c r="I252" i="2"/>
  <c r="M252" i="2"/>
  <c r="Q252" i="2"/>
  <c r="U252" i="2"/>
  <c r="Y252" i="2"/>
  <c r="I253" i="2"/>
  <c r="M253" i="2"/>
  <c r="Q253" i="2"/>
  <c r="U253" i="2"/>
  <c r="Y253" i="2"/>
  <c r="I254" i="2"/>
  <c r="M254" i="2"/>
  <c r="Q254" i="2"/>
  <c r="U254" i="2"/>
  <c r="Y254" i="2"/>
  <c r="I255" i="2"/>
  <c r="M255" i="2"/>
  <c r="Q255" i="2"/>
  <c r="U255" i="2"/>
  <c r="Y255" i="2"/>
  <c r="I256" i="2"/>
  <c r="M256" i="2"/>
  <c r="Q256" i="2"/>
  <c r="U256" i="2"/>
  <c r="Y256" i="2"/>
  <c r="I257" i="2"/>
  <c r="M257" i="2"/>
  <c r="Q257" i="2"/>
  <c r="U257" i="2"/>
  <c r="Y257" i="2"/>
  <c r="I258" i="2"/>
  <c r="M258" i="2"/>
  <c r="Q258" i="2"/>
  <c r="U258" i="2"/>
  <c r="Y258" i="2"/>
  <c r="I259" i="2"/>
  <c r="M259" i="2"/>
  <c r="Q259" i="2"/>
  <c r="U259" i="2"/>
  <c r="Y259" i="2"/>
  <c r="I260" i="2"/>
  <c r="M260" i="2"/>
  <c r="Q260" i="2"/>
  <c r="U260" i="2"/>
  <c r="Y260" i="2"/>
  <c r="I261" i="2"/>
  <c r="M261" i="2"/>
  <c r="Q261" i="2"/>
  <c r="U261" i="2"/>
  <c r="Y261" i="2"/>
  <c r="I262" i="2"/>
  <c r="M262" i="2"/>
  <c r="Q262" i="2"/>
  <c r="U262" i="2"/>
  <c r="Y262" i="2"/>
  <c r="I263" i="2"/>
  <c r="M263" i="2"/>
  <c r="Q263" i="2"/>
  <c r="U263" i="2"/>
  <c r="Y263" i="2"/>
  <c r="I264" i="2"/>
  <c r="M264" i="2"/>
  <c r="Q264" i="2"/>
  <c r="U264" i="2"/>
  <c r="Y264" i="2"/>
  <c r="I265" i="2"/>
  <c r="M265" i="2"/>
  <c r="Q265" i="2"/>
  <c r="U265" i="2"/>
  <c r="Y265" i="2"/>
  <c r="I266" i="2"/>
  <c r="M266" i="2"/>
  <c r="Q266" i="2"/>
  <c r="U266" i="2"/>
  <c r="Y266" i="2"/>
  <c r="I267" i="2"/>
  <c r="M267" i="2"/>
  <c r="Q267" i="2"/>
  <c r="U267" i="2"/>
  <c r="Y267" i="2"/>
  <c r="I268" i="2"/>
  <c r="M268" i="2"/>
  <c r="Q268" i="2"/>
  <c r="U268" i="2"/>
  <c r="Y268" i="2"/>
  <c r="I269" i="2"/>
  <c r="M269" i="2"/>
  <c r="Q269" i="2"/>
  <c r="U269" i="2"/>
  <c r="Y269" i="2"/>
  <c r="I270" i="2"/>
  <c r="M270" i="2"/>
  <c r="Q270" i="2"/>
  <c r="U270" i="2"/>
  <c r="Y270" i="2"/>
  <c r="I271" i="2"/>
  <c r="M271" i="2"/>
  <c r="Q271" i="2"/>
  <c r="U271" i="2"/>
  <c r="Y271" i="2"/>
  <c r="I272" i="2"/>
  <c r="M272" i="2"/>
  <c r="Q272" i="2"/>
  <c r="U272" i="2"/>
  <c r="Y272" i="2"/>
  <c r="I273" i="2"/>
  <c r="M273" i="2"/>
  <c r="Q273" i="2"/>
  <c r="U273" i="2"/>
  <c r="Y273" i="2"/>
  <c r="I274" i="2"/>
  <c r="M274" i="2"/>
  <c r="Q274" i="2"/>
  <c r="U274" i="2"/>
  <c r="Y274" i="2"/>
  <c r="I275" i="2"/>
  <c r="M275" i="2"/>
  <c r="Q275" i="2"/>
  <c r="U275" i="2"/>
  <c r="Y275" i="2"/>
  <c r="I276" i="2"/>
  <c r="M276" i="2"/>
  <c r="Q276" i="2"/>
  <c r="U276" i="2"/>
  <c r="Y276" i="2"/>
  <c r="I277" i="2"/>
  <c r="M277" i="2"/>
  <c r="Q277" i="2"/>
  <c r="U277" i="2"/>
  <c r="Y277" i="2"/>
  <c r="I278" i="2"/>
  <c r="M278" i="2"/>
  <c r="Q278" i="2"/>
  <c r="U278" i="2"/>
  <c r="Y278" i="2"/>
  <c r="I279" i="2"/>
  <c r="M279" i="2"/>
  <c r="Q279" i="2"/>
  <c r="U279" i="2"/>
  <c r="Y279" i="2"/>
  <c r="I280" i="2"/>
  <c r="M280" i="2"/>
  <c r="Q280" i="2"/>
  <c r="U280" i="2"/>
  <c r="Y280" i="2"/>
  <c r="I281" i="2"/>
  <c r="M281" i="2"/>
  <c r="Q281" i="2"/>
  <c r="U281" i="2"/>
  <c r="Y281" i="2"/>
  <c r="I282" i="2"/>
  <c r="M282" i="2"/>
  <c r="Q282" i="2"/>
  <c r="U282" i="2"/>
  <c r="Y282" i="2"/>
  <c r="I283" i="2"/>
  <c r="M283" i="2"/>
  <c r="Q283" i="2"/>
  <c r="U283" i="2"/>
  <c r="Y283" i="2"/>
  <c r="I284" i="2"/>
  <c r="M284" i="2"/>
  <c r="Q284" i="2"/>
  <c r="U284" i="2"/>
  <c r="Y284" i="2"/>
  <c r="I285" i="2"/>
  <c r="M285" i="2"/>
  <c r="Q285" i="2"/>
  <c r="U285" i="2"/>
  <c r="Y285" i="2"/>
  <c r="I286" i="2"/>
  <c r="M286" i="2"/>
  <c r="Q286" i="2"/>
  <c r="U286" i="2"/>
  <c r="Y286" i="2"/>
  <c r="I287" i="2"/>
  <c r="M287" i="2"/>
  <c r="Q287" i="2"/>
  <c r="U287" i="2"/>
  <c r="Y287" i="2"/>
  <c r="I288" i="2"/>
  <c r="M288" i="2"/>
  <c r="Q288" i="2"/>
  <c r="U288" i="2"/>
  <c r="Y288" i="2"/>
  <c r="I289" i="2"/>
  <c r="M289" i="2"/>
  <c r="Q289" i="2"/>
  <c r="U289" i="2"/>
  <c r="Y289" i="2"/>
  <c r="I290" i="2"/>
  <c r="M290" i="2"/>
  <c r="Q290" i="2"/>
  <c r="U290" i="2"/>
  <c r="Y290" i="2"/>
  <c r="I291" i="2"/>
  <c r="M291" i="2"/>
  <c r="Q291" i="2"/>
  <c r="U291" i="2"/>
  <c r="Y291" i="2"/>
  <c r="I292" i="2"/>
  <c r="M292" i="2"/>
  <c r="Q292" i="2"/>
  <c r="U292" i="2"/>
  <c r="Y292" i="2"/>
  <c r="I293" i="2"/>
  <c r="M293" i="2"/>
  <c r="Q293" i="2"/>
  <c r="U293" i="2"/>
  <c r="Y293" i="2"/>
  <c r="I294" i="2"/>
  <c r="M294" i="2"/>
  <c r="Q294" i="2"/>
  <c r="U294" i="2"/>
  <c r="Y294" i="2"/>
  <c r="I295" i="2"/>
  <c r="M295" i="2"/>
  <c r="Q295" i="2"/>
  <c r="U295" i="2"/>
  <c r="Y295" i="2"/>
  <c r="I296" i="2"/>
  <c r="M296" i="2"/>
  <c r="Q296" i="2"/>
  <c r="U296" i="2"/>
  <c r="Y296" i="2"/>
  <c r="I297" i="2"/>
  <c r="M297" i="2"/>
  <c r="Q297" i="2"/>
  <c r="U297" i="2"/>
  <c r="Y297" i="2"/>
  <c r="I298" i="2"/>
  <c r="M298" i="2"/>
  <c r="Q298" i="2"/>
  <c r="U298" i="2"/>
  <c r="Y298" i="2"/>
  <c r="I299" i="2"/>
  <c r="M299" i="2"/>
  <c r="Q299" i="2"/>
  <c r="U299" i="2"/>
  <c r="Y299" i="2"/>
  <c r="I300" i="2"/>
  <c r="M300" i="2"/>
  <c r="Q300" i="2"/>
  <c r="U300" i="2"/>
  <c r="Y300" i="2"/>
  <c r="I301" i="2"/>
  <c r="M301" i="2"/>
  <c r="Q301" i="2"/>
  <c r="U301" i="2"/>
  <c r="Y301" i="2"/>
  <c r="I302" i="2"/>
  <c r="M302" i="2"/>
  <c r="Q302" i="2"/>
  <c r="U302" i="2"/>
  <c r="Y302" i="2"/>
  <c r="I303" i="2"/>
  <c r="M303" i="2"/>
  <c r="Q303" i="2"/>
  <c r="U303" i="2"/>
  <c r="Y303" i="2"/>
  <c r="I304" i="2"/>
  <c r="M304" i="2"/>
  <c r="Q304" i="2"/>
  <c r="U304" i="2"/>
  <c r="Y304" i="2"/>
  <c r="I305" i="2"/>
  <c r="M305" i="2"/>
  <c r="Q305" i="2"/>
  <c r="U305" i="2"/>
  <c r="Y305" i="2"/>
  <c r="I306" i="2"/>
  <c r="M306" i="2"/>
  <c r="Q306" i="2"/>
  <c r="U306" i="2"/>
  <c r="Y306" i="2"/>
  <c r="I307" i="2"/>
  <c r="M307" i="2"/>
  <c r="Q307" i="2"/>
  <c r="U307" i="2"/>
  <c r="Y307" i="2"/>
  <c r="I308" i="2"/>
  <c r="M308" i="2"/>
  <c r="Q308" i="2"/>
  <c r="U308" i="2"/>
  <c r="Y308" i="2"/>
  <c r="I309" i="2"/>
  <c r="M309" i="2"/>
  <c r="Q309" i="2"/>
  <c r="U309" i="2"/>
  <c r="Y309" i="2"/>
  <c r="I310" i="2"/>
  <c r="M310" i="2"/>
  <c r="Q310" i="2"/>
  <c r="U310" i="2"/>
  <c r="Y310" i="2"/>
  <c r="I311" i="2"/>
  <c r="M311" i="2"/>
  <c r="Q311" i="2"/>
  <c r="U311" i="2"/>
  <c r="Y311" i="2"/>
  <c r="I312" i="2"/>
  <c r="M312" i="2"/>
  <c r="Q312" i="2"/>
  <c r="U312" i="2"/>
  <c r="Y312" i="2"/>
  <c r="I313" i="2"/>
  <c r="M313" i="2"/>
  <c r="Q313" i="2"/>
  <c r="U313" i="2"/>
  <c r="Y313" i="2"/>
  <c r="I314" i="2"/>
  <c r="M314" i="2"/>
  <c r="Q314" i="2"/>
  <c r="U314" i="2"/>
  <c r="Y314" i="2"/>
  <c r="I315" i="2"/>
  <c r="M315" i="2"/>
  <c r="Q315" i="2"/>
  <c r="U315" i="2"/>
  <c r="Y315" i="2"/>
  <c r="I316" i="2"/>
  <c r="M316" i="2"/>
  <c r="Q316" i="2"/>
  <c r="U316" i="2"/>
  <c r="Y316" i="2"/>
  <c r="I317" i="2"/>
  <c r="M317" i="2"/>
  <c r="Q317" i="2"/>
  <c r="U317" i="2"/>
  <c r="Y317" i="2"/>
  <c r="I318" i="2"/>
  <c r="M318" i="2"/>
  <c r="Q318" i="2"/>
  <c r="U318" i="2"/>
  <c r="Y318" i="2"/>
  <c r="I319" i="2"/>
  <c r="M319" i="2"/>
  <c r="Q319" i="2"/>
  <c r="U319" i="2"/>
  <c r="Y319" i="2"/>
  <c r="I320" i="2"/>
  <c r="M320" i="2"/>
  <c r="Q320" i="2"/>
  <c r="U320" i="2"/>
  <c r="Y320" i="2"/>
  <c r="I321" i="2"/>
  <c r="M321" i="2"/>
  <c r="Q321" i="2"/>
  <c r="U321" i="2"/>
  <c r="Y321" i="2"/>
  <c r="I322" i="2"/>
  <c r="M322" i="2"/>
  <c r="Q322" i="2"/>
  <c r="U322" i="2"/>
  <c r="Y322" i="2"/>
  <c r="I323" i="2"/>
  <c r="M323" i="2"/>
  <c r="Q323" i="2"/>
  <c r="U323" i="2"/>
  <c r="Y323" i="2"/>
  <c r="I324" i="2"/>
  <c r="M324" i="2"/>
  <c r="Q324" i="2"/>
  <c r="U324" i="2"/>
  <c r="Y324" i="2"/>
  <c r="I325" i="2"/>
  <c r="M325" i="2"/>
  <c r="Q325" i="2"/>
  <c r="U325" i="2"/>
  <c r="Y325" i="2"/>
  <c r="I326" i="2"/>
  <c r="M326" i="2"/>
  <c r="Q326" i="2"/>
  <c r="U326" i="2"/>
  <c r="Y326" i="2"/>
  <c r="I327" i="2"/>
  <c r="M327" i="2"/>
  <c r="Q327" i="2"/>
  <c r="U327" i="2"/>
  <c r="Y327" i="2"/>
  <c r="I328" i="2"/>
  <c r="M328" i="2"/>
  <c r="Q328" i="2"/>
  <c r="U328" i="2"/>
  <c r="Y328" i="2"/>
  <c r="I329" i="2"/>
  <c r="M329" i="2"/>
  <c r="Q329" i="2"/>
  <c r="U329" i="2"/>
  <c r="Y329" i="2"/>
  <c r="I330" i="2"/>
  <c r="M330" i="2"/>
  <c r="Q330" i="2"/>
  <c r="U330" i="2"/>
  <c r="Y330" i="2"/>
  <c r="I331" i="2"/>
  <c r="M331" i="2"/>
  <c r="Q331" i="2"/>
  <c r="U331" i="2"/>
  <c r="Y331" i="2"/>
  <c r="I332" i="2"/>
  <c r="M332" i="2"/>
  <c r="Q332" i="2"/>
  <c r="U332" i="2"/>
  <c r="Y332" i="2"/>
  <c r="I333" i="2"/>
  <c r="M333" i="2"/>
  <c r="Q333" i="2"/>
  <c r="U333" i="2"/>
  <c r="Y333" i="2"/>
  <c r="I334" i="2"/>
  <c r="M334" i="2"/>
  <c r="Q334" i="2"/>
  <c r="U334" i="2"/>
  <c r="Y334" i="2"/>
  <c r="I335" i="2"/>
  <c r="M335" i="2"/>
  <c r="Q335" i="2"/>
  <c r="U335" i="2"/>
  <c r="Y335" i="2"/>
  <c r="I336" i="2"/>
  <c r="M336" i="2"/>
  <c r="Q336" i="2"/>
  <c r="U336" i="2"/>
  <c r="Y336" i="2"/>
  <c r="I337" i="2"/>
  <c r="M337" i="2"/>
  <c r="Q337" i="2"/>
  <c r="X9" i="2"/>
  <c r="U55" i="2"/>
  <c r="U68" i="2"/>
  <c r="M77" i="2"/>
  <c r="T82" i="2"/>
  <c r="Y86" i="2"/>
  <c r="K91" i="2"/>
  <c r="P95" i="2"/>
  <c r="U99" i="2"/>
  <c r="AA103" i="2"/>
  <c r="L108" i="2"/>
  <c r="Q112" i="2"/>
  <c r="W116" i="2"/>
  <c r="H121" i="2"/>
  <c r="M125" i="2"/>
  <c r="S129" i="2"/>
  <c r="H133" i="2"/>
  <c r="L136" i="2"/>
  <c r="P139" i="2"/>
  <c r="T142" i="2"/>
  <c r="X145" i="2"/>
  <c r="H149" i="2"/>
  <c r="R150" i="2"/>
  <c r="R151" i="2"/>
  <c r="S152" i="2"/>
  <c r="V153" i="2"/>
  <c r="V154" i="2"/>
  <c r="W155" i="2"/>
  <c r="Z156" i="2"/>
  <c r="Z157" i="2"/>
  <c r="AA158" i="2"/>
  <c r="J160" i="2"/>
  <c r="J161" i="2"/>
  <c r="K162" i="2"/>
  <c r="N163" i="2"/>
  <c r="N164" i="2"/>
  <c r="O165" i="2"/>
  <c r="R166" i="2"/>
  <c r="R167" i="2"/>
  <c r="S168" i="2"/>
  <c r="V169" i="2"/>
  <c r="V170" i="2"/>
  <c r="W171" i="2"/>
  <c r="Z172" i="2"/>
  <c r="Z173" i="2"/>
  <c r="AA174" i="2"/>
  <c r="J176" i="2"/>
  <c r="J177" i="2"/>
  <c r="K178" i="2"/>
  <c r="N179" i="2"/>
  <c r="N180" i="2"/>
  <c r="O181" i="2"/>
  <c r="R182" i="2"/>
  <c r="R183" i="2"/>
  <c r="S184" i="2"/>
  <c r="V185" i="2"/>
  <c r="V186" i="2"/>
  <c r="W187" i="2"/>
  <c r="Z188" i="2"/>
  <c r="Z189" i="2"/>
  <c r="AA190" i="2"/>
  <c r="J192" i="2"/>
  <c r="J193" i="2"/>
  <c r="K194" i="2"/>
  <c r="N195" i="2"/>
  <c r="N196" i="2"/>
  <c r="O197" i="2"/>
  <c r="R198" i="2"/>
  <c r="R199" i="2"/>
  <c r="S200" i="2"/>
  <c r="V201" i="2"/>
  <c r="V202" i="2"/>
  <c r="W203" i="2"/>
  <c r="Z204" i="2"/>
  <c r="Z205" i="2"/>
  <c r="AA206" i="2"/>
  <c r="J208" i="2"/>
  <c r="J209" i="2"/>
  <c r="K210" i="2"/>
  <c r="N211" i="2"/>
  <c r="N212" i="2"/>
  <c r="O213" i="2"/>
  <c r="R214" i="2"/>
  <c r="R215" i="2"/>
  <c r="S216" i="2"/>
  <c r="V217" i="2"/>
  <c r="V218" i="2"/>
  <c r="W219" i="2"/>
  <c r="Z220" i="2"/>
  <c r="Z221" i="2"/>
  <c r="AA222" i="2"/>
  <c r="J224" i="2"/>
  <c r="J225" i="2"/>
  <c r="K226" i="2"/>
  <c r="N227" i="2"/>
  <c r="N228" i="2"/>
  <c r="O229" i="2"/>
  <c r="N230" i="2"/>
  <c r="J231" i="2"/>
  <c r="Z231" i="2"/>
  <c r="V232" i="2"/>
  <c r="R233" i="2"/>
  <c r="N234" i="2"/>
  <c r="J235" i="2"/>
  <c r="Z235" i="2"/>
  <c r="V236" i="2"/>
  <c r="R237" i="2"/>
  <c r="N238" i="2"/>
  <c r="J239" i="2"/>
  <c r="Z239" i="2"/>
  <c r="V240" i="2"/>
  <c r="R241" i="2"/>
  <c r="N242" i="2"/>
  <c r="J243" i="2"/>
  <c r="Z243" i="2"/>
  <c r="V244" i="2"/>
  <c r="R245" i="2"/>
  <c r="N246" i="2"/>
  <c r="I247" i="2"/>
  <c r="S247" i="2"/>
  <c r="J248" i="2"/>
  <c r="U248" i="2"/>
  <c r="K249" i="2"/>
  <c r="V249" i="2"/>
  <c r="M250" i="2"/>
  <c r="W250" i="2"/>
  <c r="N251" i="2"/>
  <c r="Y251" i="2"/>
  <c r="N252" i="2"/>
  <c r="V252" i="2"/>
  <c r="J253" i="2"/>
  <c r="R253" i="2"/>
  <c r="Z253" i="2"/>
  <c r="N254" i="2"/>
  <c r="V254" i="2"/>
  <c r="J255" i="2"/>
  <c r="R255" i="2"/>
  <c r="Z255" i="2"/>
  <c r="N256" i="2"/>
  <c r="V256" i="2"/>
  <c r="J257" i="2"/>
  <c r="R257" i="2"/>
  <c r="Z257" i="2"/>
  <c r="N258" i="2"/>
  <c r="V258" i="2"/>
  <c r="J259" i="2"/>
  <c r="R259" i="2"/>
  <c r="Z259" i="2"/>
  <c r="N260" i="2"/>
  <c r="V260" i="2"/>
  <c r="J261" i="2"/>
  <c r="R261" i="2"/>
  <c r="Z261" i="2"/>
  <c r="N262" i="2"/>
  <c r="V262" i="2"/>
  <c r="J263" i="2"/>
  <c r="R263" i="2"/>
  <c r="Z263" i="2"/>
  <c r="N264" i="2"/>
  <c r="V264" i="2"/>
  <c r="J265" i="2"/>
  <c r="R265" i="2"/>
  <c r="Z265" i="2"/>
  <c r="N266" i="2"/>
  <c r="V266" i="2"/>
  <c r="J267" i="2"/>
  <c r="R267" i="2"/>
  <c r="Z267" i="2"/>
  <c r="N268" i="2"/>
  <c r="V268" i="2"/>
  <c r="V45" i="2"/>
  <c r="N65" i="2"/>
  <c r="Y73" i="2"/>
  <c r="AA80" i="2"/>
  <c r="L85" i="2"/>
  <c r="Q89" i="2"/>
  <c r="W93" i="2"/>
  <c r="H98" i="2"/>
  <c r="M102" i="2"/>
  <c r="S106" i="2"/>
  <c r="X110" i="2"/>
  <c r="I115" i="2"/>
  <c r="O119" i="2"/>
  <c r="T123" i="2"/>
  <c r="Y127" i="2"/>
  <c r="W131" i="2"/>
  <c r="AA134" i="2"/>
  <c r="K138" i="2"/>
  <c r="O141" i="2"/>
  <c r="S144" i="2"/>
  <c r="W147" i="2"/>
  <c r="J150" i="2"/>
  <c r="J151" i="2"/>
  <c r="K152" i="2"/>
  <c r="N153" i="2"/>
  <c r="N154" i="2"/>
  <c r="O155" i="2"/>
  <c r="R156" i="2"/>
  <c r="R157" i="2"/>
  <c r="S158" i="2"/>
  <c r="V159" i="2"/>
  <c r="V160" i="2"/>
  <c r="W161" i="2"/>
  <c r="Z162" i="2"/>
  <c r="Z163" i="2"/>
  <c r="AA164" i="2"/>
  <c r="J166" i="2"/>
  <c r="J167" i="2"/>
  <c r="K168" i="2"/>
  <c r="N169" i="2"/>
  <c r="N170" i="2"/>
  <c r="O171" i="2"/>
  <c r="R172" i="2"/>
  <c r="R173" i="2"/>
  <c r="S174" i="2"/>
  <c r="V175" i="2"/>
  <c r="V176" i="2"/>
  <c r="W177" i="2"/>
  <c r="Z178" i="2"/>
  <c r="Z179" i="2"/>
  <c r="AA180" i="2"/>
  <c r="J182" i="2"/>
  <c r="J183" i="2"/>
  <c r="K184" i="2"/>
  <c r="N185" i="2"/>
  <c r="N186" i="2"/>
  <c r="O187" i="2"/>
  <c r="R188" i="2"/>
  <c r="R189" i="2"/>
  <c r="S190" i="2"/>
  <c r="V191" i="2"/>
  <c r="V192" i="2"/>
  <c r="W193" i="2"/>
  <c r="Z194" i="2"/>
  <c r="Z195" i="2"/>
  <c r="AA196" i="2"/>
  <c r="J198" i="2"/>
  <c r="J199" i="2"/>
  <c r="K200" i="2"/>
  <c r="N201" i="2"/>
  <c r="N202" i="2"/>
  <c r="O203" i="2"/>
  <c r="R204" i="2"/>
  <c r="R205" i="2"/>
  <c r="S206" i="2"/>
  <c r="V207" i="2"/>
  <c r="V208" i="2"/>
  <c r="W209" i="2"/>
  <c r="Z210" i="2"/>
  <c r="Z211" i="2"/>
  <c r="AA212" i="2"/>
  <c r="J214" i="2"/>
  <c r="J215" i="2"/>
  <c r="K216" i="2"/>
  <c r="N217" i="2"/>
  <c r="N218" i="2"/>
  <c r="O219" i="2"/>
  <c r="R220" i="2"/>
  <c r="R221" i="2"/>
  <c r="S222" i="2"/>
  <c r="V223" i="2"/>
  <c r="V224" i="2"/>
  <c r="W225" i="2"/>
  <c r="Z226" i="2"/>
  <c r="Z227" i="2"/>
  <c r="AA228" i="2"/>
  <c r="AA229" i="2"/>
  <c r="W230" i="2"/>
  <c r="S231" i="2"/>
  <c r="O232" i="2"/>
  <c r="K233" i="2"/>
  <c r="AA233" i="2"/>
  <c r="W234" i="2"/>
  <c r="S235" i="2"/>
  <c r="O236" i="2"/>
  <c r="K237" i="2"/>
  <c r="AA237" i="2"/>
  <c r="W238" i="2"/>
  <c r="S239" i="2"/>
  <c r="O240" i="2"/>
  <c r="K241" i="2"/>
  <c r="AA241" i="2"/>
  <c r="W242" i="2"/>
  <c r="S243" i="2"/>
  <c r="O244" i="2"/>
  <c r="K245" i="2"/>
  <c r="AA245" i="2"/>
  <c r="W246" i="2"/>
  <c r="O247" i="2"/>
  <c r="Z247" i="2"/>
  <c r="Q248" i="2"/>
  <c r="AA248" i="2"/>
  <c r="R249" i="2"/>
  <c r="I250" i="2"/>
  <c r="S250" i="2"/>
  <c r="J251" i="2"/>
  <c r="U251" i="2"/>
  <c r="K252" i="2"/>
  <c r="S252" i="2"/>
  <c r="AA252" i="2"/>
  <c r="O253" i="2"/>
  <c r="W253" i="2"/>
  <c r="K254" i="2"/>
  <c r="S254" i="2"/>
  <c r="AA254" i="2"/>
  <c r="O255" i="2"/>
  <c r="W255" i="2"/>
  <c r="K256" i="2"/>
  <c r="S256" i="2"/>
  <c r="AA256" i="2"/>
  <c r="O257" i="2"/>
  <c r="W257" i="2"/>
  <c r="K258" i="2"/>
  <c r="S258" i="2"/>
  <c r="AA258" i="2"/>
  <c r="O259" i="2"/>
  <c r="W259" i="2"/>
  <c r="K260" i="2"/>
  <c r="S260" i="2"/>
  <c r="AA260" i="2"/>
  <c r="O261" i="2"/>
  <c r="W261" i="2"/>
  <c r="K262" i="2"/>
  <c r="S262" i="2"/>
  <c r="AA262" i="2"/>
  <c r="O263" i="2"/>
  <c r="W263" i="2"/>
  <c r="K264" i="2"/>
  <c r="S264" i="2"/>
  <c r="AA264" i="2"/>
  <c r="O265" i="2"/>
  <c r="W265" i="2"/>
  <c r="K266" i="2"/>
  <c r="S266" i="2"/>
  <c r="AA266" i="2"/>
  <c r="O267" i="2"/>
  <c r="W267" i="2"/>
  <c r="K268" i="2"/>
  <c r="S268" i="2"/>
  <c r="AA268" i="2"/>
  <c r="O269" i="2"/>
  <c r="W269" i="2"/>
  <c r="K270" i="2"/>
  <c r="S270" i="2"/>
  <c r="AA270" i="2"/>
  <c r="O271" i="2"/>
  <c r="W271" i="2"/>
  <c r="K272" i="2"/>
  <c r="S272" i="2"/>
  <c r="AA272" i="2"/>
  <c r="O273" i="2"/>
  <c r="W273" i="2"/>
  <c r="K274" i="2"/>
  <c r="S274" i="2"/>
  <c r="AA274" i="2"/>
  <c r="O275" i="2"/>
  <c r="W275" i="2"/>
  <c r="K276" i="2"/>
  <c r="S276" i="2"/>
  <c r="AA276" i="2"/>
  <c r="O277" i="2"/>
  <c r="W277" i="2"/>
  <c r="K278" i="2"/>
  <c r="S278" i="2"/>
  <c r="AA278" i="2"/>
  <c r="O279" i="2"/>
  <c r="W279" i="2"/>
  <c r="K280" i="2"/>
  <c r="S280" i="2"/>
  <c r="AA280" i="2"/>
  <c r="O281" i="2"/>
  <c r="W281" i="2"/>
  <c r="K282" i="2"/>
  <c r="S282" i="2"/>
  <c r="AA282" i="2"/>
  <c r="O283" i="2"/>
  <c r="W283" i="2"/>
  <c r="K284" i="2"/>
  <c r="S284" i="2"/>
  <c r="AA284" i="2"/>
  <c r="O285" i="2"/>
  <c r="W285" i="2"/>
  <c r="K286" i="2"/>
  <c r="S286" i="2"/>
  <c r="AA286" i="2"/>
  <c r="O287" i="2"/>
  <c r="W287" i="2"/>
  <c r="K288" i="2"/>
  <c r="S288" i="2"/>
  <c r="AA288" i="2"/>
  <c r="O289" i="2"/>
  <c r="W289" i="2"/>
  <c r="K290" i="2"/>
  <c r="S290" i="2"/>
  <c r="AA290" i="2"/>
  <c r="O291" i="2"/>
  <c r="W291" i="2"/>
  <c r="K292" i="2"/>
  <c r="S292" i="2"/>
  <c r="AA292" i="2"/>
  <c r="O293" i="2"/>
  <c r="W293" i="2"/>
  <c r="K294" i="2"/>
  <c r="S294" i="2"/>
  <c r="AA294" i="2"/>
  <c r="O295" i="2"/>
  <c r="W295" i="2"/>
  <c r="K296" i="2"/>
  <c r="S296" i="2"/>
  <c r="AA296" i="2"/>
  <c r="O297" i="2"/>
  <c r="W297" i="2"/>
  <c r="K298" i="2"/>
  <c r="S298" i="2"/>
  <c r="AA298" i="2"/>
  <c r="O299" i="2"/>
  <c r="W299" i="2"/>
  <c r="K300" i="2"/>
  <c r="S300" i="2"/>
  <c r="AA300" i="2"/>
  <c r="O301" i="2"/>
  <c r="W301" i="2"/>
  <c r="K302" i="2"/>
  <c r="S302" i="2"/>
  <c r="AA302" i="2"/>
  <c r="O303" i="2"/>
  <c r="W303" i="2"/>
  <c r="K304" i="2"/>
  <c r="S304" i="2"/>
  <c r="AA304" i="2"/>
  <c r="O305" i="2"/>
  <c r="W305" i="2"/>
  <c r="K306" i="2"/>
  <c r="S306" i="2"/>
  <c r="AA306" i="2"/>
  <c r="O307" i="2"/>
  <c r="W307" i="2"/>
  <c r="K308" i="2"/>
  <c r="S308" i="2"/>
  <c r="AA308" i="2"/>
  <c r="O309" i="2"/>
  <c r="W309" i="2"/>
  <c r="K310" i="2"/>
  <c r="S310" i="2"/>
  <c r="AA310" i="2"/>
  <c r="O311" i="2"/>
  <c r="W311" i="2"/>
  <c r="K312" i="2"/>
  <c r="S312" i="2"/>
  <c r="AA312" i="2"/>
  <c r="O313" i="2"/>
  <c r="W313" i="2"/>
  <c r="K314" i="2"/>
  <c r="S314" i="2"/>
  <c r="AA314" i="2"/>
  <c r="O315" i="2"/>
  <c r="W315" i="2"/>
  <c r="K316" i="2"/>
  <c r="S316" i="2"/>
  <c r="AA316" i="2"/>
  <c r="O317" i="2"/>
  <c r="W317" i="2"/>
  <c r="K318" i="2"/>
  <c r="S318" i="2"/>
  <c r="AA318" i="2"/>
  <c r="O319" i="2"/>
  <c r="W319" i="2"/>
  <c r="K320" i="2"/>
  <c r="S320" i="2"/>
  <c r="AA320" i="2"/>
  <c r="O321" i="2"/>
  <c r="W321" i="2"/>
  <c r="K322" i="2"/>
  <c r="S322" i="2"/>
  <c r="AA322" i="2"/>
  <c r="O323" i="2"/>
  <c r="W323" i="2"/>
  <c r="K324" i="2"/>
  <c r="S324" i="2"/>
  <c r="AA324" i="2"/>
  <c r="O325" i="2"/>
  <c r="W325" i="2"/>
  <c r="K326" i="2"/>
  <c r="S326" i="2"/>
  <c r="AA326" i="2"/>
  <c r="O327" i="2"/>
  <c r="W327" i="2"/>
  <c r="K328" i="2"/>
  <c r="S328" i="2"/>
  <c r="AA328" i="2"/>
  <c r="O329" i="2"/>
  <c r="W329" i="2"/>
  <c r="K330" i="2"/>
  <c r="S330" i="2"/>
  <c r="AA330" i="2"/>
  <c r="O331" i="2"/>
  <c r="W331" i="2"/>
  <c r="K332" i="2"/>
  <c r="S332" i="2"/>
  <c r="AA332" i="2"/>
  <c r="O333" i="2"/>
  <c r="W333" i="2"/>
  <c r="K334" i="2"/>
  <c r="S334" i="2"/>
  <c r="AA334" i="2"/>
  <c r="O335" i="2"/>
  <c r="W335" i="2"/>
  <c r="J336" i="2"/>
  <c r="O336" i="2"/>
  <c r="T336" i="2"/>
  <c r="Z336" i="2"/>
  <c r="K337" i="2"/>
  <c r="P337" i="2"/>
  <c r="U337" i="2"/>
  <c r="Y337" i="2"/>
  <c r="I338" i="2"/>
  <c r="M338" i="2"/>
  <c r="Q338" i="2"/>
  <c r="U338" i="2"/>
  <c r="Y338" i="2"/>
  <c r="I339" i="2"/>
  <c r="M339" i="2"/>
  <c r="Q339" i="2"/>
  <c r="U339" i="2"/>
  <c r="Y339" i="2"/>
  <c r="I340" i="2"/>
  <c r="M340" i="2"/>
  <c r="Q340" i="2"/>
  <c r="U340" i="2"/>
  <c r="Y340" i="2"/>
  <c r="I341" i="2"/>
  <c r="M341" i="2"/>
  <c r="Q341" i="2"/>
  <c r="U341" i="2"/>
  <c r="Y341" i="2"/>
  <c r="I342" i="2"/>
  <c r="M342" i="2"/>
  <c r="Q342" i="2"/>
  <c r="U342" i="2"/>
  <c r="Y342" i="2"/>
  <c r="I343" i="2"/>
  <c r="M343" i="2"/>
  <c r="Q343" i="2"/>
  <c r="U343" i="2"/>
  <c r="Y343" i="2"/>
  <c r="I344" i="2"/>
  <c r="M344" i="2"/>
  <c r="Q344" i="2"/>
  <c r="U344" i="2"/>
  <c r="Y344" i="2"/>
  <c r="I345" i="2"/>
  <c r="M345" i="2"/>
  <c r="Q345" i="2"/>
  <c r="U345" i="2"/>
  <c r="Y345" i="2"/>
  <c r="I346" i="2"/>
  <c r="O58" i="2"/>
  <c r="J78" i="2"/>
  <c r="O87" i="2"/>
  <c r="Y95" i="2"/>
  <c r="P104" i="2"/>
  <c r="AA112" i="2"/>
  <c r="Q121" i="2"/>
  <c r="H130" i="2"/>
  <c r="S136" i="2"/>
  <c r="AA142" i="2"/>
  <c r="O149" i="2"/>
  <c r="V151" i="2"/>
  <c r="W153" i="2"/>
  <c r="Z155" i="2"/>
  <c r="J158" i="2"/>
  <c r="K160" i="2"/>
  <c r="N162" i="2"/>
  <c r="R164" i="2"/>
  <c r="S166" i="2"/>
  <c r="V168" i="2"/>
  <c r="Z170" i="2"/>
  <c r="AA172" i="2"/>
  <c r="J175" i="2"/>
  <c r="N177" i="2"/>
  <c r="O179" i="2"/>
  <c r="R181" i="2"/>
  <c r="V183" i="2"/>
  <c r="W185" i="2"/>
  <c r="Z187" i="2"/>
  <c r="J190" i="2"/>
  <c r="K192" i="2"/>
  <c r="N194" i="2"/>
  <c r="R196" i="2"/>
  <c r="S198" i="2"/>
  <c r="V200" i="2"/>
  <c r="Z202" i="2"/>
  <c r="AA204" i="2"/>
  <c r="J207" i="2"/>
  <c r="N209" i="2"/>
  <c r="O211" i="2"/>
  <c r="R213" i="2"/>
  <c r="V215" i="2"/>
  <c r="W217" i="2"/>
  <c r="Z219" i="2"/>
  <c r="J222" i="2"/>
  <c r="K224" i="2"/>
  <c r="N226" i="2"/>
  <c r="R228" i="2"/>
  <c r="O230" i="2"/>
  <c r="AA231" i="2"/>
  <c r="S233" i="2"/>
  <c r="K235" i="2"/>
  <c r="W236" i="2"/>
  <c r="O238" i="2"/>
  <c r="AA239" i="2"/>
  <c r="S241" i="2"/>
  <c r="K243" i="2"/>
  <c r="W244" i="2"/>
  <c r="O246" i="2"/>
  <c r="U247" i="2"/>
  <c r="V248" i="2"/>
  <c r="W249" i="2"/>
  <c r="Y250" i="2"/>
  <c r="Z251" i="2"/>
  <c r="W252" i="2"/>
  <c r="S253" i="2"/>
  <c r="O254" i="2"/>
  <c r="K255" i="2"/>
  <c r="AA255" i="2"/>
  <c r="W256" i="2"/>
  <c r="S257" i="2"/>
  <c r="O258" i="2"/>
  <c r="K259" i="2"/>
  <c r="AA259" i="2"/>
  <c r="W260" i="2"/>
  <c r="S261" i="2"/>
  <c r="O262" i="2"/>
  <c r="K263" i="2"/>
  <c r="AA263" i="2"/>
  <c r="W264" i="2"/>
  <c r="S265" i="2"/>
  <c r="O266" i="2"/>
  <c r="K267" i="2"/>
  <c r="AA267" i="2"/>
  <c r="W268" i="2"/>
  <c r="N269" i="2"/>
  <c r="Z269" i="2"/>
  <c r="O270" i="2"/>
  <c r="Z270" i="2"/>
  <c r="R271" i="2"/>
  <c r="AA271" i="2"/>
  <c r="R272" i="2"/>
  <c r="J273" i="2"/>
  <c r="S273" i="2"/>
  <c r="J274" i="2"/>
  <c r="V274" i="2"/>
  <c r="K275" i="2"/>
  <c r="V275" i="2"/>
  <c r="N276" i="2"/>
  <c r="W276" i="2"/>
  <c r="N277" i="2"/>
  <c r="Z277" i="2"/>
  <c r="O278" i="2"/>
  <c r="Z278" i="2"/>
  <c r="R279" i="2"/>
  <c r="AA279" i="2"/>
  <c r="R280" i="2"/>
  <c r="J281" i="2"/>
  <c r="S281" i="2"/>
  <c r="J282" i="2"/>
  <c r="V282" i="2"/>
  <c r="K283" i="2"/>
  <c r="V283" i="2"/>
  <c r="N284" i="2"/>
  <c r="W284" i="2"/>
  <c r="N285" i="2"/>
  <c r="Z285" i="2"/>
  <c r="O286" i="2"/>
  <c r="Z286" i="2"/>
  <c r="R287" i="2"/>
  <c r="AA287" i="2"/>
  <c r="R288" i="2"/>
  <c r="J289" i="2"/>
  <c r="S289" i="2"/>
  <c r="J290" i="2"/>
  <c r="V290" i="2"/>
  <c r="K291" i="2"/>
  <c r="V291" i="2"/>
  <c r="N292" i="2"/>
  <c r="W292" i="2"/>
  <c r="N293" i="2"/>
  <c r="Z293" i="2"/>
  <c r="O294" i="2"/>
  <c r="Z294" i="2"/>
  <c r="R295" i="2"/>
  <c r="AA295" i="2"/>
  <c r="R296" i="2"/>
  <c r="J297" i="2"/>
  <c r="S297" i="2"/>
  <c r="J298" i="2"/>
  <c r="V298" i="2"/>
  <c r="K299" i="2"/>
  <c r="V299" i="2"/>
  <c r="N300" i="2"/>
  <c r="W300" i="2"/>
  <c r="N301" i="2"/>
  <c r="Z301" i="2"/>
  <c r="O302" i="2"/>
  <c r="Z302" i="2"/>
  <c r="R303" i="2"/>
  <c r="AA303" i="2"/>
  <c r="R304" i="2"/>
  <c r="J305" i="2"/>
  <c r="S305" i="2"/>
  <c r="J306" i="2"/>
  <c r="V306" i="2"/>
  <c r="K307" i="2"/>
  <c r="V307" i="2"/>
  <c r="N308" i="2"/>
  <c r="W308" i="2"/>
  <c r="N309" i="2"/>
  <c r="Z309" i="2"/>
  <c r="O310" i="2"/>
  <c r="Z310" i="2"/>
  <c r="R311" i="2"/>
  <c r="AA311" i="2"/>
  <c r="R312" i="2"/>
  <c r="J313" i="2"/>
  <c r="S313" i="2"/>
  <c r="J314" i="2"/>
  <c r="V314" i="2"/>
  <c r="K315" i="2"/>
  <c r="V315" i="2"/>
  <c r="N316" i="2"/>
  <c r="W316" i="2"/>
  <c r="N317" i="2"/>
  <c r="Z317" i="2"/>
  <c r="O318" i="2"/>
  <c r="Z318" i="2"/>
  <c r="R319" i="2"/>
  <c r="AA319" i="2"/>
  <c r="R320" i="2"/>
  <c r="J321" i="2"/>
  <c r="S321" i="2"/>
  <c r="J322" i="2"/>
  <c r="V322" i="2"/>
  <c r="K323" i="2"/>
  <c r="V323" i="2"/>
  <c r="N324" i="2"/>
  <c r="W324" i="2"/>
  <c r="N325" i="2"/>
  <c r="Z325" i="2"/>
  <c r="O326" i="2"/>
  <c r="Z326" i="2"/>
  <c r="R327" i="2"/>
  <c r="AA327" i="2"/>
  <c r="R328" i="2"/>
  <c r="J329" i="2"/>
  <c r="S329" i="2"/>
  <c r="J330" i="2"/>
  <c r="V330" i="2"/>
  <c r="K331" i="2"/>
  <c r="V331" i="2"/>
  <c r="N332" i="2"/>
  <c r="W332" i="2"/>
  <c r="N333" i="2"/>
  <c r="Z333" i="2"/>
  <c r="O334" i="2"/>
  <c r="Z334" i="2"/>
  <c r="R335" i="2"/>
  <c r="AA335" i="2"/>
  <c r="N336" i="2"/>
  <c r="V336" i="2"/>
  <c r="H337" i="2"/>
  <c r="O337" i="2"/>
  <c r="V337" i="2"/>
  <c r="AA337" i="2"/>
  <c r="L338" i="2"/>
  <c r="R338" i="2"/>
  <c r="W338" i="2"/>
  <c r="H339" i="2"/>
  <c r="N339" i="2"/>
  <c r="S339" i="2"/>
  <c r="X339" i="2"/>
  <c r="J340" i="2"/>
  <c r="O340" i="2"/>
  <c r="T340" i="2"/>
  <c r="Z340" i="2"/>
  <c r="K341" i="2"/>
  <c r="P341" i="2"/>
  <c r="V341" i="2"/>
  <c r="AA341" i="2"/>
  <c r="L342" i="2"/>
  <c r="R342" i="2"/>
  <c r="W342" i="2"/>
  <c r="H343" i="2"/>
  <c r="N343" i="2"/>
  <c r="S343" i="2"/>
  <c r="X343" i="2"/>
  <c r="J344" i="2"/>
  <c r="O344" i="2"/>
  <c r="T344" i="2"/>
  <c r="Z344" i="2"/>
  <c r="K345" i="2"/>
  <c r="P345" i="2"/>
  <c r="V345" i="2"/>
  <c r="AA345" i="2"/>
  <c r="L346" i="2"/>
  <c r="P346" i="2"/>
  <c r="T346" i="2"/>
  <c r="X346" i="2"/>
  <c r="H347" i="2"/>
  <c r="L347" i="2"/>
  <c r="P347" i="2"/>
  <c r="T347" i="2"/>
  <c r="X347" i="2"/>
  <c r="H348" i="2"/>
  <c r="L348" i="2"/>
  <c r="P348" i="2"/>
  <c r="T348" i="2"/>
  <c r="X348" i="2"/>
  <c r="H349" i="2"/>
  <c r="L349" i="2"/>
  <c r="P349" i="2"/>
  <c r="T349" i="2"/>
  <c r="X349" i="2"/>
  <c r="H350" i="2"/>
  <c r="L350" i="2"/>
  <c r="P350" i="2"/>
  <c r="T350" i="2"/>
  <c r="X350" i="2"/>
  <c r="H351" i="2"/>
  <c r="L351" i="2"/>
  <c r="P351" i="2"/>
  <c r="T351" i="2"/>
  <c r="X351" i="2"/>
  <c r="H352" i="2"/>
  <c r="L352" i="2"/>
  <c r="P352" i="2"/>
  <c r="T352" i="2"/>
  <c r="X352" i="2"/>
  <c r="H353" i="2"/>
  <c r="L353" i="2"/>
  <c r="P353" i="2"/>
  <c r="T353" i="2"/>
  <c r="X353" i="2"/>
  <c r="H354" i="2"/>
  <c r="L354" i="2"/>
  <c r="P354" i="2"/>
  <c r="T354" i="2"/>
  <c r="X354" i="2"/>
  <c r="H355" i="2"/>
  <c r="L355" i="2"/>
  <c r="P355" i="2"/>
  <c r="T355" i="2"/>
  <c r="X355" i="2"/>
  <c r="H356" i="2"/>
  <c r="L356" i="2"/>
  <c r="P356" i="2"/>
  <c r="T356" i="2"/>
  <c r="X356" i="2"/>
  <c r="H357" i="2"/>
  <c r="L357" i="2"/>
  <c r="P357" i="2"/>
  <c r="T357" i="2"/>
  <c r="X357" i="2"/>
  <c r="H358" i="2"/>
  <c r="L358" i="2"/>
  <c r="P358" i="2"/>
  <c r="T358" i="2"/>
  <c r="X358" i="2"/>
  <c r="H359" i="2"/>
  <c r="L359" i="2"/>
  <c r="P359" i="2"/>
  <c r="T359" i="2"/>
  <c r="X359" i="2"/>
  <c r="H360" i="2"/>
  <c r="L360" i="2"/>
  <c r="P360" i="2"/>
  <c r="T360" i="2"/>
  <c r="X360" i="2"/>
  <c r="H361" i="2"/>
  <c r="L361" i="2"/>
  <c r="P361" i="2"/>
  <c r="T361" i="2"/>
  <c r="X361" i="2"/>
  <c r="H362" i="2"/>
  <c r="L362" i="2"/>
  <c r="P362" i="2"/>
  <c r="T362" i="2"/>
  <c r="X362" i="2"/>
  <c r="H363" i="2"/>
  <c r="L363" i="2"/>
  <c r="P363" i="2"/>
  <c r="T363" i="2"/>
  <c r="X363" i="2"/>
  <c r="H364" i="2"/>
  <c r="L364" i="2"/>
  <c r="P364" i="2"/>
  <c r="T364" i="2"/>
  <c r="X364" i="2"/>
  <c r="H365" i="2"/>
  <c r="L365" i="2"/>
  <c r="P365" i="2"/>
  <c r="T365" i="2"/>
  <c r="X365" i="2"/>
  <c r="H366" i="2"/>
  <c r="L366" i="2"/>
  <c r="P366" i="2"/>
  <c r="T366" i="2"/>
  <c r="X366" i="2"/>
  <c r="H367" i="2"/>
  <c r="L367" i="2"/>
  <c r="P367" i="2"/>
  <c r="T367" i="2"/>
  <c r="X367" i="2"/>
  <c r="H368" i="2"/>
  <c r="L368" i="2"/>
  <c r="P368" i="2"/>
  <c r="T368" i="2"/>
  <c r="X368" i="2"/>
  <c r="H369" i="2"/>
  <c r="L369" i="2"/>
  <c r="P369" i="2"/>
  <c r="T369" i="2"/>
  <c r="X369" i="2"/>
  <c r="H370" i="2"/>
  <c r="L370" i="2"/>
  <c r="P370" i="2"/>
  <c r="T370" i="2"/>
  <c r="X370" i="2"/>
  <c r="H371" i="2"/>
  <c r="L371" i="2"/>
  <c r="P371" i="2"/>
  <c r="T371" i="2"/>
  <c r="X371" i="2"/>
  <c r="H372" i="2"/>
  <c r="L372" i="2"/>
  <c r="P372" i="2"/>
  <c r="T372" i="2"/>
  <c r="X372" i="2"/>
  <c r="H373" i="2"/>
  <c r="L373" i="2"/>
  <c r="P373" i="2"/>
  <c r="T373" i="2"/>
  <c r="X373" i="2"/>
  <c r="H374" i="2"/>
  <c r="L374" i="2"/>
  <c r="P374" i="2"/>
  <c r="T374" i="2"/>
  <c r="X374" i="2"/>
  <c r="H375" i="2"/>
  <c r="L375" i="2"/>
  <c r="P375" i="2"/>
  <c r="T375" i="2"/>
  <c r="X375" i="2"/>
  <c r="H376" i="2"/>
  <c r="L376" i="2"/>
  <c r="P376" i="2"/>
  <c r="T376" i="2"/>
  <c r="X376" i="2"/>
  <c r="H377" i="2"/>
  <c r="L377" i="2"/>
  <c r="P377" i="2"/>
  <c r="T377" i="2"/>
  <c r="X377" i="2"/>
  <c r="H378" i="2"/>
  <c r="L378" i="2"/>
  <c r="P378" i="2"/>
  <c r="T378" i="2"/>
  <c r="X378" i="2"/>
  <c r="H379" i="2"/>
  <c r="L379" i="2"/>
  <c r="P379" i="2"/>
  <c r="T379" i="2"/>
  <c r="X379" i="2"/>
  <c r="H380" i="2"/>
  <c r="L380" i="2"/>
  <c r="P380" i="2"/>
  <c r="T380" i="2"/>
  <c r="X380" i="2"/>
  <c r="H381" i="2"/>
  <c r="L381" i="2"/>
  <c r="P381" i="2"/>
  <c r="T381" i="2"/>
  <c r="X381" i="2"/>
  <c r="H382" i="2"/>
  <c r="L382" i="2"/>
  <c r="P382" i="2"/>
  <c r="T382" i="2"/>
  <c r="X382" i="2"/>
  <c r="H383" i="2"/>
  <c r="L383" i="2"/>
  <c r="P383" i="2"/>
  <c r="T383" i="2"/>
  <c r="X383" i="2"/>
  <c r="H384" i="2"/>
  <c r="L384" i="2"/>
  <c r="P384" i="2"/>
  <c r="T384" i="2"/>
  <c r="X384" i="2"/>
  <c r="H385" i="2"/>
  <c r="L385" i="2"/>
  <c r="P385" i="2"/>
  <c r="T385" i="2"/>
  <c r="X385" i="2"/>
  <c r="H386" i="2"/>
  <c r="L386" i="2"/>
  <c r="P386" i="2"/>
  <c r="T386" i="2"/>
  <c r="X386" i="2"/>
  <c r="H387" i="2"/>
  <c r="L387" i="2"/>
  <c r="P387" i="2"/>
  <c r="T387" i="2"/>
  <c r="X387" i="2"/>
  <c r="H388" i="2"/>
  <c r="L388" i="2"/>
  <c r="P388" i="2"/>
  <c r="T388" i="2"/>
  <c r="X388" i="2"/>
  <c r="H389" i="2"/>
  <c r="L389" i="2"/>
  <c r="P389" i="2"/>
  <c r="T389" i="2"/>
  <c r="X389" i="2"/>
  <c r="H390" i="2"/>
  <c r="L390" i="2"/>
  <c r="P390" i="2"/>
  <c r="T390" i="2"/>
  <c r="X390" i="2"/>
  <c r="H391" i="2"/>
  <c r="L391" i="2"/>
  <c r="P391" i="2"/>
  <c r="T391" i="2"/>
  <c r="X391" i="2"/>
  <c r="H392" i="2"/>
  <c r="L392" i="2"/>
  <c r="P392" i="2"/>
  <c r="T392" i="2"/>
  <c r="X392" i="2"/>
  <c r="H393" i="2"/>
  <c r="L393" i="2"/>
  <c r="P393" i="2"/>
  <c r="T393" i="2"/>
  <c r="X393" i="2"/>
  <c r="H394" i="2"/>
  <c r="L394" i="2"/>
  <c r="P394" i="2"/>
  <c r="T394" i="2"/>
  <c r="X394" i="2"/>
  <c r="H395" i="2"/>
  <c r="L395" i="2"/>
  <c r="P395" i="2"/>
  <c r="T395" i="2"/>
  <c r="X395" i="2"/>
  <c r="H396" i="2"/>
  <c r="L396" i="2"/>
  <c r="P396" i="2"/>
  <c r="T396" i="2"/>
  <c r="X396" i="2"/>
  <c r="H397" i="2"/>
  <c r="L397" i="2"/>
  <c r="P397" i="2"/>
  <c r="T397" i="2"/>
  <c r="X397" i="2"/>
  <c r="H398" i="2"/>
  <c r="L398" i="2"/>
  <c r="P398" i="2"/>
  <c r="T398" i="2"/>
  <c r="X398" i="2"/>
  <c r="H399" i="2"/>
  <c r="L399" i="2"/>
  <c r="P399" i="2"/>
  <c r="T399" i="2"/>
  <c r="X399" i="2"/>
  <c r="H400" i="2"/>
  <c r="L400" i="2"/>
  <c r="P400" i="2"/>
  <c r="T400" i="2"/>
  <c r="X400" i="2"/>
  <c r="H401" i="2"/>
  <c r="L401" i="2"/>
  <c r="P401" i="2"/>
  <c r="T401" i="2"/>
  <c r="X401" i="2"/>
  <c r="H402" i="2"/>
  <c r="L402" i="2"/>
  <c r="P402" i="2"/>
  <c r="T402" i="2"/>
  <c r="X402" i="2"/>
  <c r="H403" i="2"/>
  <c r="L403" i="2"/>
  <c r="P403" i="2"/>
  <c r="T403" i="2"/>
  <c r="X403" i="2"/>
  <c r="H404" i="2"/>
  <c r="L404" i="2"/>
  <c r="P404" i="2"/>
  <c r="T404" i="2"/>
  <c r="X404" i="2"/>
  <c r="H405" i="2"/>
  <c r="L405" i="2"/>
  <c r="P405" i="2"/>
  <c r="T405" i="2"/>
  <c r="X405" i="2"/>
  <c r="H406" i="2"/>
  <c r="L406" i="2"/>
  <c r="P406" i="2"/>
  <c r="T406" i="2"/>
  <c r="X406" i="2"/>
  <c r="H407" i="2"/>
  <c r="L407" i="2"/>
  <c r="P407" i="2"/>
  <c r="T407" i="2"/>
  <c r="X407" i="2"/>
  <c r="H408" i="2"/>
  <c r="L408" i="2"/>
  <c r="P408" i="2"/>
  <c r="T408" i="2"/>
  <c r="X408" i="2"/>
  <c r="H409" i="2"/>
  <c r="L409" i="2"/>
  <c r="P409" i="2"/>
  <c r="T409" i="2"/>
  <c r="X409" i="2"/>
  <c r="H410" i="2"/>
  <c r="L410" i="2"/>
  <c r="P410" i="2"/>
  <c r="T410" i="2"/>
  <c r="X410" i="2"/>
  <c r="H411" i="2"/>
  <c r="L411" i="2"/>
  <c r="P411" i="2"/>
  <c r="T411" i="2"/>
  <c r="X411" i="2"/>
  <c r="H412" i="2"/>
  <c r="L412" i="2"/>
  <c r="P412" i="2"/>
  <c r="T412" i="2"/>
  <c r="X412" i="2"/>
  <c r="H413" i="2"/>
  <c r="L413" i="2"/>
  <c r="P413" i="2"/>
  <c r="T413" i="2"/>
  <c r="X413" i="2"/>
  <c r="H414" i="2"/>
  <c r="L414" i="2"/>
  <c r="P414" i="2"/>
  <c r="T414" i="2"/>
  <c r="X414" i="2"/>
  <c r="H415" i="2"/>
  <c r="L415" i="2"/>
  <c r="P415" i="2"/>
  <c r="T415" i="2"/>
  <c r="X415" i="2"/>
  <c r="H416" i="2"/>
  <c r="L416" i="2"/>
  <c r="P416" i="2"/>
  <c r="T416" i="2"/>
  <c r="X416" i="2"/>
  <c r="H417" i="2"/>
  <c r="L417" i="2"/>
  <c r="P417" i="2"/>
  <c r="T417" i="2"/>
  <c r="X417" i="2"/>
  <c r="H418" i="2"/>
  <c r="L418" i="2"/>
  <c r="P418" i="2"/>
  <c r="T418" i="2"/>
  <c r="X418" i="2"/>
  <c r="H419" i="2"/>
  <c r="L419" i="2"/>
  <c r="P419" i="2"/>
  <c r="T419" i="2"/>
  <c r="X419" i="2"/>
  <c r="H420" i="2"/>
  <c r="L420" i="2"/>
  <c r="P420" i="2"/>
  <c r="T420" i="2"/>
  <c r="X420" i="2"/>
  <c r="H421" i="2"/>
  <c r="L421" i="2"/>
  <c r="P421" i="2"/>
  <c r="T421" i="2"/>
  <c r="X421" i="2"/>
  <c r="H422" i="2"/>
  <c r="L422" i="2"/>
  <c r="P422" i="2"/>
  <c r="T422" i="2"/>
  <c r="X422" i="2"/>
  <c r="H423" i="2"/>
  <c r="L423" i="2"/>
  <c r="P423" i="2"/>
  <c r="T423" i="2"/>
  <c r="X423" i="2"/>
  <c r="H424" i="2"/>
  <c r="L424" i="2"/>
  <c r="P424" i="2"/>
  <c r="T424" i="2"/>
  <c r="X424" i="2"/>
  <c r="H425" i="2"/>
  <c r="L425" i="2"/>
  <c r="P425" i="2"/>
  <c r="T425" i="2"/>
  <c r="X425" i="2"/>
  <c r="H426" i="2"/>
  <c r="L426" i="2"/>
  <c r="P426" i="2"/>
  <c r="T426" i="2"/>
  <c r="X426" i="2"/>
  <c r="H427" i="2"/>
  <c r="L427" i="2"/>
  <c r="P427" i="2"/>
  <c r="T427" i="2"/>
  <c r="X427" i="2"/>
  <c r="H428" i="2"/>
  <c r="L428" i="2"/>
  <c r="P428" i="2"/>
  <c r="T428" i="2"/>
  <c r="X428" i="2"/>
  <c r="H429" i="2"/>
  <c r="L429" i="2"/>
  <c r="P429" i="2"/>
  <c r="T429" i="2"/>
  <c r="X429" i="2"/>
  <c r="H430" i="2"/>
  <c r="L430" i="2"/>
  <c r="P430" i="2"/>
  <c r="T430" i="2"/>
  <c r="X430" i="2"/>
  <c r="H431" i="2"/>
  <c r="L431" i="2"/>
  <c r="P431" i="2"/>
  <c r="T431" i="2"/>
  <c r="X431" i="2"/>
  <c r="H432" i="2"/>
  <c r="L432" i="2"/>
  <c r="P432" i="2"/>
  <c r="T432" i="2"/>
  <c r="X432" i="2"/>
  <c r="H433" i="2"/>
  <c r="L433" i="2"/>
  <c r="P433" i="2"/>
  <c r="T433" i="2"/>
  <c r="X433" i="2"/>
  <c r="H434" i="2"/>
  <c r="L434" i="2"/>
  <c r="P434" i="2"/>
  <c r="T434" i="2"/>
  <c r="X434" i="2"/>
  <c r="H435" i="2"/>
  <c r="L435" i="2"/>
  <c r="P435" i="2"/>
  <c r="T435" i="2"/>
  <c r="X435" i="2"/>
  <c r="H436" i="2"/>
  <c r="L436" i="2"/>
  <c r="P436" i="2"/>
  <c r="T436" i="2"/>
  <c r="X436" i="2"/>
  <c r="H437" i="2"/>
  <c r="L437" i="2"/>
  <c r="P437" i="2"/>
  <c r="T437" i="2"/>
  <c r="X437" i="2"/>
  <c r="H438" i="2"/>
  <c r="L438" i="2"/>
  <c r="P438" i="2"/>
  <c r="T438" i="2"/>
  <c r="X438" i="2"/>
  <c r="H439" i="2"/>
  <c r="L439" i="2"/>
  <c r="P439" i="2"/>
  <c r="T439" i="2"/>
  <c r="X439" i="2"/>
  <c r="H440" i="2"/>
  <c r="L440" i="2"/>
  <c r="P440" i="2"/>
  <c r="T440" i="2"/>
  <c r="X440" i="2"/>
  <c r="H441" i="2"/>
  <c r="L441" i="2"/>
  <c r="P441" i="2"/>
  <c r="T441" i="2"/>
  <c r="X441" i="2"/>
  <c r="H442" i="2"/>
  <c r="L442" i="2"/>
  <c r="P442" i="2"/>
  <c r="T442" i="2"/>
  <c r="X442" i="2"/>
  <c r="H443" i="2"/>
  <c r="L443" i="2"/>
  <c r="P443" i="2"/>
  <c r="T443" i="2"/>
  <c r="X443" i="2"/>
  <c r="H444" i="2"/>
  <c r="L444" i="2"/>
  <c r="P444" i="2"/>
  <c r="T444" i="2"/>
  <c r="X444" i="2"/>
  <c r="H445" i="2"/>
  <c r="L445" i="2"/>
  <c r="P445" i="2"/>
  <c r="T445" i="2"/>
  <c r="X445" i="2"/>
  <c r="H446" i="2"/>
  <c r="L446" i="2"/>
  <c r="P446" i="2"/>
  <c r="T446" i="2"/>
  <c r="X446" i="2"/>
  <c r="H447" i="2"/>
  <c r="L447" i="2"/>
  <c r="P447" i="2"/>
  <c r="T447" i="2"/>
  <c r="X447" i="2"/>
  <c r="H448" i="2"/>
  <c r="L448" i="2"/>
  <c r="P448" i="2"/>
  <c r="T448" i="2"/>
  <c r="X448" i="2"/>
  <c r="H449" i="2"/>
  <c r="L449" i="2"/>
  <c r="P449" i="2"/>
  <c r="T449" i="2"/>
  <c r="X449" i="2"/>
  <c r="H450" i="2"/>
  <c r="L450" i="2"/>
  <c r="P450" i="2"/>
  <c r="T450" i="2"/>
  <c r="X450" i="2"/>
  <c r="H451" i="2"/>
  <c r="L451" i="2"/>
  <c r="P451" i="2"/>
  <c r="T451" i="2"/>
  <c r="X451" i="2"/>
  <c r="H452" i="2"/>
  <c r="L452" i="2"/>
  <c r="P452" i="2"/>
  <c r="T452" i="2"/>
  <c r="X452" i="2"/>
  <c r="H453" i="2"/>
  <c r="L453" i="2"/>
  <c r="P453" i="2"/>
  <c r="T453" i="2"/>
  <c r="X453" i="2"/>
  <c r="H454" i="2"/>
  <c r="L454" i="2"/>
  <c r="P454" i="2"/>
  <c r="T454" i="2"/>
  <c r="X454" i="2"/>
  <c r="H455" i="2"/>
  <c r="L455" i="2"/>
  <c r="P455" i="2"/>
  <c r="T455" i="2"/>
  <c r="X455" i="2"/>
  <c r="H456" i="2"/>
  <c r="L456" i="2"/>
  <c r="P456" i="2"/>
  <c r="T456" i="2"/>
  <c r="X456" i="2"/>
  <c r="H457" i="2"/>
  <c r="L457" i="2"/>
  <c r="P457" i="2"/>
  <c r="T457" i="2"/>
  <c r="X457" i="2"/>
  <c r="H458" i="2"/>
  <c r="L458" i="2"/>
  <c r="P458" i="2"/>
  <c r="T458" i="2"/>
  <c r="X458" i="2"/>
  <c r="H459" i="2"/>
  <c r="L459" i="2"/>
  <c r="P459" i="2"/>
  <c r="T459" i="2"/>
  <c r="X459" i="2"/>
  <c r="H460" i="2"/>
  <c r="L460" i="2"/>
  <c r="P460" i="2"/>
  <c r="T460" i="2"/>
  <c r="X460" i="2"/>
  <c r="H461" i="2"/>
  <c r="L461" i="2"/>
  <c r="P461" i="2"/>
  <c r="T461" i="2"/>
  <c r="X461" i="2"/>
  <c r="H462" i="2"/>
  <c r="L462" i="2"/>
  <c r="P462" i="2"/>
  <c r="T462" i="2"/>
  <c r="X462" i="2"/>
  <c r="H463" i="2"/>
  <c r="L463" i="2"/>
  <c r="P463" i="2"/>
  <c r="T463" i="2"/>
  <c r="X463" i="2"/>
  <c r="H464" i="2"/>
  <c r="L464" i="2"/>
  <c r="P464" i="2"/>
  <c r="T464" i="2"/>
  <c r="X464" i="2"/>
  <c r="H465" i="2"/>
  <c r="L465" i="2"/>
  <c r="P465" i="2"/>
  <c r="T465" i="2"/>
  <c r="X465" i="2"/>
  <c r="H466" i="2"/>
  <c r="L466" i="2"/>
  <c r="P466" i="2"/>
  <c r="T466" i="2"/>
  <c r="X466" i="2"/>
  <c r="H467" i="2"/>
  <c r="L467" i="2"/>
  <c r="P467" i="2"/>
  <c r="T467" i="2"/>
  <c r="X467" i="2"/>
  <c r="H468" i="2"/>
  <c r="L468" i="2"/>
  <c r="P468" i="2"/>
  <c r="T468" i="2"/>
  <c r="X468" i="2"/>
  <c r="H469" i="2"/>
  <c r="L469" i="2"/>
  <c r="P469" i="2"/>
  <c r="T469" i="2"/>
  <c r="X469" i="2"/>
  <c r="H470" i="2"/>
  <c r="L470" i="2"/>
  <c r="P470" i="2"/>
  <c r="T470" i="2"/>
  <c r="X470" i="2"/>
  <c r="H471" i="2"/>
  <c r="L471" i="2"/>
  <c r="P471" i="2"/>
  <c r="T471" i="2"/>
  <c r="X471" i="2"/>
  <c r="H472" i="2"/>
  <c r="L472" i="2"/>
  <c r="P472" i="2"/>
  <c r="T472" i="2"/>
  <c r="X472" i="2"/>
  <c r="H473" i="2"/>
  <c r="L473" i="2"/>
  <c r="P473" i="2"/>
  <c r="T473" i="2"/>
  <c r="X473" i="2"/>
  <c r="H474" i="2"/>
  <c r="L474" i="2"/>
  <c r="P474" i="2"/>
  <c r="T474" i="2"/>
  <c r="X474" i="2"/>
  <c r="H475" i="2"/>
  <c r="L475" i="2"/>
  <c r="P475" i="2"/>
  <c r="T475" i="2"/>
  <c r="X475" i="2"/>
  <c r="H476" i="2"/>
  <c r="L476" i="2"/>
  <c r="P476" i="2"/>
  <c r="T476" i="2"/>
  <c r="X476" i="2"/>
  <c r="H477" i="2"/>
  <c r="L477" i="2"/>
  <c r="P477" i="2"/>
  <c r="T477" i="2"/>
  <c r="X477" i="2"/>
  <c r="H478" i="2"/>
  <c r="L478" i="2"/>
  <c r="P478" i="2"/>
  <c r="T478" i="2"/>
  <c r="X478" i="2"/>
  <c r="H479" i="2"/>
  <c r="L479" i="2"/>
  <c r="P479" i="2"/>
  <c r="T479" i="2"/>
  <c r="X479" i="2"/>
  <c r="H480" i="2"/>
  <c r="L480" i="2"/>
  <c r="P480" i="2"/>
  <c r="T480" i="2"/>
  <c r="X480" i="2"/>
  <c r="H481" i="2"/>
  <c r="L481" i="2"/>
  <c r="P481" i="2"/>
  <c r="T481" i="2"/>
  <c r="X481" i="2"/>
  <c r="H482" i="2"/>
  <c r="L482" i="2"/>
  <c r="P482" i="2"/>
  <c r="T482" i="2"/>
  <c r="X482" i="2"/>
  <c r="H483" i="2"/>
  <c r="L483" i="2"/>
  <c r="P483" i="2"/>
  <c r="T483" i="2"/>
  <c r="X483" i="2"/>
  <c r="H484" i="2"/>
  <c r="L484" i="2"/>
  <c r="P484" i="2"/>
  <c r="T484" i="2"/>
  <c r="X484" i="2"/>
  <c r="H485" i="2"/>
  <c r="L485" i="2"/>
  <c r="P485" i="2"/>
  <c r="T485" i="2"/>
  <c r="X485" i="2"/>
  <c r="H486" i="2"/>
  <c r="L486" i="2"/>
  <c r="P486" i="2"/>
  <c r="T486" i="2"/>
  <c r="X486" i="2"/>
  <c r="H487" i="2"/>
  <c r="L487" i="2"/>
  <c r="P487" i="2"/>
  <c r="T487" i="2"/>
  <c r="X487" i="2"/>
  <c r="H488" i="2"/>
  <c r="L488" i="2"/>
  <c r="P488" i="2"/>
  <c r="T488" i="2"/>
  <c r="X488" i="2"/>
  <c r="H489" i="2"/>
  <c r="L489" i="2"/>
  <c r="P489" i="2"/>
  <c r="T489" i="2"/>
  <c r="X489" i="2"/>
  <c r="H490" i="2"/>
  <c r="L490" i="2"/>
  <c r="P490" i="2"/>
  <c r="T490" i="2"/>
  <c r="X490" i="2"/>
  <c r="H491" i="2"/>
  <c r="L491" i="2"/>
  <c r="P491" i="2"/>
  <c r="T491" i="2"/>
  <c r="X491" i="2"/>
  <c r="H492" i="2"/>
  <c r="L492" i="2"/>
  <c r="P492" i="2"/>
  <c r="T492" i="2"/>
  <c r="X492" i="2"/>
  <c r="H493" i="2"/>
  <c r="L493" i="2"/>
  <c r="P493" i="2"/>
  <c r="T493" i="2"/>
  <c r="X493" i="2"/>
  <c r="H494" i="2"/>
  <c r="L494" i="2"/>
  <c r="P494" i="2"/>
  <c r="T494" i="2"/>
  <c r="X494" i="2"/>
  <c r="H495" i="2"/>
  <c r="L495" i="2"/>
  <c r="P495" i="2"/>
  <c r="T495" i="2"/>
  <c r="X495" i="2"/>
  <c r="H496" i="2"/>
  <c r="L496" i="2"/>
  <c r="P496" i="2"/>
  <c r="T496" i="2"/>
  <c r="X496" i="2"/>
  <c r="H497" i="2"/>
  <c r="L497" i="2"/>
  <c r="P497" i="2"/>
  <c r="T497" i="2"/>
  <c r="X497" i="2"/>
  <c r="H498" i="2"/>
  <c r="L498" i="2"/>
  <c r="P498" i="2"/>
  <c r="T498" i="2"/>
  <c r="X498" i="2"/>
  <c r="H499" i="2"/>
  <c r="L499" i="2"/>
  <c r="P499" i="2"/>
  <c r="T499" i="2"/>
  <c r="X499" i="2"/>
  <c r="H500" i="2"/>
  <c r="L500" i="2"/>
  <c r="P500" i="2"/>
  <c r="T500" i="2"/>
  <c r="X500" i="2"/>
  <c r="H501" i="2"/>
  <c r="L501" i="2"/>
  <c r="P501" i="2"/>
  <c r="T501" i="2"/>
  <c r="X501" i="2"/>
  <c r="H502" i="2"/>
  <c r="L502" i="2"/>
  <c r="P502" i="2"/>
  <c r="T502" i="2"/>
  <c r="X502" i="2"/>
  <c r="H503" i="2"/>
  <c r="L503" i="2"/>
  <c r="P503" i="2"/>
  <c r="T503" i="2"/>
  <c r="X503" i="2"/>
  <c r="H504" i="2"/>
  <c r="L504" i="2"/>
  <c r="P504" i="2"/>
  <c r="T504" i="2"/>
  <c r="X504" i="2"/>
  <c r="H505" i="2"/>
  <c r="L505" i="2"/>
  <c r="P505" i="2"/>
  <c r="T505" i="2"/>
  <c r="X505" i="2"/>
  <c r="H506" i="2"/>
  <c r="L506" i="2"/>
  <c r="P506" i="2"/>
  <c r="T506" i="2"/>
  <c r="X506" i="2"/>
  <c r="H507" i="2"/>
  <c r="L507" i="2"/>
  <c r="P507" i="2"/>
  <c r="T507" i="2"/>
  <c r="X507" i="2"/>
  <c r="H508" i="2"/>
  <c r="L508" i="2"/>
  <c r="P508" i="2"/>
  <c r="T508" i="2"/>
  <c r="X508" i="2"/>
  <c r="H509" i="2"/>
  <c r="L509" i="2"/>
  <c r="P509" i="2"/>
  <c r="T509" i="2"/>
  <c r="X509" i="2"/>
  <c r="H510" i="2"/>
  <c r="L510" i="2"/>
  <c r="P510" i="2"/>
  <c r="T510" i="2"/>
  <c r="X510" i="2"/>
  <c r="H511" i="2"/>
  <c r="L511" i="2"/>
  <c r="P511" i="2"/>
  <c r="T511" i="2"/>
  <c r="X511" i="2"/>
  <c r="H512" i="2"/>
  <c r="L512" i="2"/>
  <c r="P512" i="2"/>
  <c r="T512" i="2"/>
  <c r="X512" i="2"/>
  <c r="H513" i="2"/>
  <c r="L513" i="2"/>
  <c r="P513" i="2"/>
  <c r="T513" i="2"/>
  <c r="X513" i="2"/>
  <c r="H514" i="2"/>
  <c r="L514" i="2"/>
  <c r="P514" i="2"/>
  <c r="T514" i="2"/>
  <c r="X514" i="2"/>
  <c r="H515" i="2"/>
  <c r="L515" i="2"/>
  <c r="P515" i="2"/>
  <c r="T515" i="2"/>
  <c r="X515" i="2"/>
  <c r="H516" i="2"/>
  <c r="L516" i="2"/>
  <c r="P516" i="2"/>
  <c r="T516" i="2"/>
  <c r="X516" i="2"/>
  <c r="H517" i="2"/>
  <c r="L517" i="2"/>
  <c r="P517" i="2"/>
  <c r="T517" i="2"/>
  <c r="X517" i="2"/>
  <c r="H518" i="2"/>
  <c r="L518" i="2"/>
  <c r="P518" i="2"/>
  <c r="T518" i="2"/>
  <c r="X518" i="2"/>
  <c r="H519" i="2"/>
  <c r="L519" i="2"/>
  <c r="P519" i="2"/>
  <c r="T519" i="2"/>
  <c r="X519" i="2"/>
  <c r="H520" i="2"/>
  <c r="L520" i="2"/>
  <c r="P520" i="2"/>
  <c r="T520" i="2"/>
  <c r="X520" i="2"/>
  <c r="H521" i="2"/>
  <c r="L521" i="2"/>
  <c r="P521" i="2"/>
  <c r="T521" i="2"/>
  <c r="X521" i="2"/>
  <c r="H522" i="2"/>
  <c r="L522" i="2"/>
  <c r="P522" i="2"/>
  <c r="T522" i="2"/>
  <c r="X522" i="2"/>
  <c r="H523" i="2"/>
  <c r="L523" i="2"/>
  <c r="P523" i="2"/>
  <c r="T523" i="2"/>
  <c r="X523" i="2"/>
  <c r="H524" i="2"/>
  <c r="L524" i="2"/>
  <c r="P524" i="2"/>
  <c r="T524" i="2"/>
  <c r="X524" i="2"/>
  <c r="H525" i="2"/>
  <c r="L525" i="2"/>
  <c r="P525" i="2"/>
  <c r="T525" i="2"/>
  <c r="X525" i="2"/>
  <c r="H526" i="2"/>
  <c r="L526" i="2"/>
  <c r="P526" i="2"/>
  <c r="T526" i="2"/>
  <c r="X526" i="2"/>
  <c r="H527" i="2"/>
  <c r="L527" i="2"/>
  <c r="P527" i="2"/>
  <c r="T527" i="2"/>
  <c r="X527" i="2"/>
  <c r="H528" i="2"/>
  <c r="L528" i="2"/>
  <c r="P528" i="2"/>
  <c r="T528" i="2"/>
  <c r="X528" i="2"/>
  <c r="H529" i="2"/>
  <c r="L529" i="2"/>
  <c r="P529" i="2"/>
  <c r="T529" i="2"/>
  <c r="X529" i="2"/>
  <c r="H530" i="2"/>
  <c r="L530" i="2"/>
  <c r="P530" i="2"/>
  <c r="T530" i="2"/>
  <c r="X530" i="2"/>
  <c r="H531" i="2"/>
  <c r="L531" i="2"/>
  <c r="P531" i="2"/>
  <c r="T531" i="2"/>
  <c r="X531" i="2"/>
  <c r="H532" i="2"/>
  <c r="L532" i="2"/>
  <c r="P532" i="2"/>
  <c r="T532" i="2"/>
  <c r="X532" i="2"/>
  <c r="H533" i="2"/>
  <c r="L533" i="2"/>
  <c r="P533" i="2"/>
  <c r="T533" i="2"/>
  <c r="X533" i="2"/>
  <c r="H534" i="2"/>
  <c r="L534" i="2"/>
  <c r="P534" i="2"/>
  <c r="T534" i="2"/>
  <c r="X534" i="2"/>
  <c r="H535" i="2"/>
  <c r="L535" i="2"/>
  <c r="P535" i="2"/>
  <c r="T535" i="2"/>
  <c r="X535" i="2"/>
  <c r="H536" i="2"/>
  <c r="L536" i="2"/>
  <c r="P536" i="2"/>
  <c r="T536" i="2"/>
  <c r="X536" i="2"/>
  <c r="H537" i="2"/>
  <c r="L537" i="2"/>
  <c r="P537" i="2"/>
  <c r="T537" i="2"/>
  <c r="X537" i="2"/>
  <c r="H538" i="2"/>
  <c r="L538" i="2"/>
  <c r="P538" i="2"/>
  <c r="T538" i="2"/>
  <c r="X538" i="2"/>
  <c r="H539" i="2"/>
  <c r="L539" i="2"/>
  <c r="P539" i="2"/>
  <c r="T539" i="2"/>
  <c r="X539" i="2"/>
  <c r="H540" i="2"/>
  <c r="L540" i="2"/>
  <c r="P540" i="2"/>
  <c r="T540" i="2"/>
  <c r="X540" i="2"/>
  <c r="H541" i="2"/>
  <c r="L541" i="2"/>
  <c r="P541" i="2"/>
  <c r="T541" i="2"/>
  <c r="X541" i="2"/>
  <c r="H542" i="2"/>
  <c r="L542" i="2"/>
  <c r="P542" i="2"/>
  <c r="T542" i="2"/>
  <c r="X542" i="2"/>
  <c r="H543" i="2"/>
  <c r="L543" i="2"/>
  <c r="P543" i="2"/>
  <c r="T543" i="2"/>
  <c r="X543" i="2"/>
  <c r="H544" i="2"/>
  <c r="L544" i="2"/>
  <c r="P544" i="2"/>
  <c r="T544" i="2"/>
  <c r="X544" i="2"/>
  <c r="H545" i="2"/>
  <c r="L545" i="2"/>
  <c r="P545" i="2"/>
  <c r="T545" i="2"/>
  <c r="X545" i="2"/>
  <c r="H546" i="2"/>
  <c r="L546" i="2"/>
  <c r="P546" i="2"/>
  <c r="T546" i="2"/>
  <c r="X546" i="2"/>
  <c r="H547" i="2"/>
  <c r="L547" i="2"/>
  <c r="P547" i="2"/>
  <c r="T547" i="2"/>
  <c r="X547" i="2"/>
  <c r="H548" i="2"/>
  <c r="L548" i="2"/>
  <c r="P548" i="2"/>
  <c r="T548" i="2"/>
  <c r="X548" i="2"/>
  <c r="H549" i="2"/>
  <c r="L549" i="2"/>
  <c r="P549" i="2"/>
  <c r="T549" i="2"/>
  <c r="X549" i="2"/>
  <c r="H550" i="2"/>
  <c r="L550" i="2"/>
  <c r="P550" i="2"/>
  <c r="T550" i="2"/>
  <c r="X550" i="2"/>
  <c r="H551" i="2"/>
  <c r="L551" i="2"/>
  <c r="P551" i="2"/>
  <c r="T551" i="2"/>
  <c r="X551" i="2"/>
  <c r="H552" i="2"/>
  <c r="L552" i="2"/>
  <c r="P552" i="2"/>
  <c r="T552" i="2"/>
  <c r="X552" i="2"/>
  <c r="H553" i="2"/>
  <c r="L553" i="2"/>
  <c r="P553" i="2"/>
  <c r="T553" i="2"/>
  <c r="X553" i="2"/>
  <c r="H554" i="2"/>
  <c r="L554" i="2"/>
  <c r="P554" i="2"/>
  <c r="T554" i="2"/>
  <c r="X554" i="2"/>
  <c r="H555" i="2"/>
  <c r="L555" i="2"/>
  <c r="P555" i="2"/>
  <c r="T555" i="2"/>
  <c r="X555" i="2"/>
  <c r="H556" i="2"/>
  <c r="L556" i="2"/>
  <c r="P556" i="2"/>
  <c r="T556" i="2"/>
  <c r="X556" i="2"/>
  <c r="H557" i="2"/>
  <c r="L557" i="2"/>
  <c r="P557" i="2"/>
  <c r="T557" i="2"/>
  <c r="X557" i="2"/>
  <c r="H558" i="2"/>
  <c r="L558" i="2"/>
  <c r="P558" i="2"/>
  <c r="T558" i="2"/>
  <c r="X558" i="2"/>
  <c r="H559" i="2"/>
  <c r="L559" i="2"/>
  <c r="P559" i="2"/>
  <c r="T559" i="2"/>
  <c r="X559" i="2"/>
  <c r="H560" i="2"/>
  <c r="L560" i="2"/>
  <c r="P560" i="2"/>
  <c r="T560" i="2"/>
  <c r="X560" i="2"/>
  <c r="H561" i="2"/>
  <c r="L561" i="2"/>
  <c r="P561" i="2"/>
  <c r="T561" i="2"/>
  <c r="X561" i="2"/>
  <c r="H562" i="2"/>
  <c r="L562" i="2"/>
  <c r="P562" i="2"/>
  <c r="T562" i="2"/>
  <c r="X562" i="2"/>
  <c r="H563" i="2"/>
  <c r="L563" i="2"/>
  <c r="P563" i="2"/>
  <c r="T563" i="2"/>
  <c r="X563" i="2"/>
  <c r="H564" i="2"/>
  <c r="L564" i="2"/>
  <c r="P564" i="2"/>
  <c r="T564" i="2"/>
  <c r="X564" i="2"/>
  <c r="H565" i="2"/>
  <c r="L565" i="2"/>
  <c r="P565" i="2"/>
  <c r="T565" i="2"/>
  <c r="X565" i="2"/>
  <c r="H566" i="2"/>
  <c r="L566" i="2"/>
  <c r="P566" i="2"/>
  <c r="T566" i="2"/>
  <c r="X566" i="2"/>
  <c r="H567" i="2"/>
  <c r="L567" i="2"/>
  <c r="P567" i="2"/>
  <c r="T567" i="2"/>
  <c r="X567" i="2"/>
  <c r="H568" i="2"/>
  <c r="L568" i="2"/>
  <c r="P568" i="2"/>
  <c r="T568" i="2"/>
  <c r="X568" i="2"/>
  <c r="H569" i="2"/>
  <c r="L569" i="2"/>
  <c r="P569" i="2"/>
  <c r="T569" i="2"/>
  <c r="Q64" i="2"/>
  <c r="Q80" i="2"/>
  <c r="H89" i="2"/>
  <c r="S97" i="2"/>
  <c r="I106" i="2"/>
  <c r="T114" i="2"/>
  <c r="K123" i="2"/>
  <c r="P131" i="2"/>
  <c r="X137" i="2"/>
  <c r="L144" i="2"/>
  <c r="Z149" i="2"/>
  <c r="J152" i="2"/>
  <c r="K154" i="2"/>
  <c r="N156" i="2"/>
  <c r="R158" i="2"/>
  <c r="S160" i="2"/>
  <c r="V162" i="2"/>
  <c r="Z164" i="2"/>
  <c r="AA166" i="2"/>
  <c r="J169" i="2"/>
  <c r="N171" i="2"/>
  <c r="O173" i="2"/>
  <c r="R175" i="2"/>
  <c r="V177" i="2"/>
  <c r="W179" i="2"/>
  <c r="Z181" i="2"/>
  <c r="J184" i="2"/>
  <c r="K186" i="2"/>
  <c r="N188" i="2"/>
  <c r="R190" i="2"/>
  <c r="S192" i="2"/>
  <c r="V194" i="2"/>
  <c r="Z196" i="2"/>
  <c r="AA198" i="2"/>
  <c r="J201" i="2"/>
  <c r="N203" i="2"/>
  <c r="O205" i="2"/>
  <c r="R207" i="2"/>
  <c r="V209" i="2"/>
  <c r="W211" i="2"/>
  <c r="Z213" i="2"/>
  <c r="J216" i="2"/>
  <c r="K218" i="2"/>
  <c r="N220" i="2"/>
  <c r="R222" i="2"/>
  <c r="S224" i="2"/>
  <c r="V226" i="2"/>
  <c r="Z228" i="2"/>
  <c r="V230" i="2"/>
  <c r="N232" i="2"/>
  <c r="Z233" i="2"/>
  <c r="R235" i="2"/>
  <c r="J237" i="2"/>
  <c r="V238" i="2"/>
  <c r="N240" i="2"/>
  <c r="Z241" i="2"/>
  <c r="R243" i="2"/>
  <c r="J245" i="2"/>
  <c r="V246" i="2"/>
  <c r="Y247" i="2"/>
  <c r="Z248" i="2"/>
  <c r="AA249" i="2"/>
  <c r="I251" i="2"/>
  <c r="J252" i="2"/>
  <c r="L23" i="2"/>
  <c r="I83" i="2"/>
  <c r="K100" i="2"/>
  <c r="L117" i="2"/>
  <c r="O133" i="2"/>
  <c r="K146" i="2"/>
  <c r="V152" i="2"/>
  <c r="AA156" i="2"/>
  <c r="N161" i="2"/>
  <c r="R165" i="2"/>
  <c r="W169" i="2"/>
  <c r="J174" i="2"/>
  <c r="N178" i="2"/>
  <c r="S182" i="2"/>
  <c r="Z186" i="2"/>
  <c r="J191" i="2"/>
  <c r="O195" i="2"/>
  <c r="V199" i="2"/>
  <c r="Z203" i="2"/>
  <c r="K208" i="2"/>
  <c r="R212" i="2"/>
  <c r="V216" i="2"/>
  <c r="AA220" i="2"/>
  <c r="N225" i="2"/>
  <c r="R229" i="2"/>
  <c r="W232" i="2"/>
  <c r="AA235" i="2"/>
  <c r="K239" i="2"/>
  <c r="O242" i="2"/>
  <c r="S245" i="2"/>
  <c r="K248" i="2"/>
  <c r="N250" i="2"/>
  <c r="O252" i="2"/>
  <c r="N253" i="2"/>
  <c r="R254" i="2"/>
  <c r="S255" i="2"/>
  <c r="R256" i="2"/>
  <c r="V257" i="2"/>
  <c r="W258" i="2"/>
  <c r="V259" i="2"/>
  <c r="Z260" i="2"/>
  <c r="AA261" i="2"/>
  <c r="Z262" i="2"/>
  <c r="J264" i="2"/>
  <c r="K265" i="2"/>
  <c r="J266" i="2"/>
  <c r="N267" i="2"/>
  <c r="O268" i="2"/>
  <c r="K269" i="2"/>
  <c r="AA269" i="2"/>
  <c r="V270" i="2"/>
  <c r="N271" i="2"/>
  <c r="J272" i="2"/>
  <c r="W272" i="2"/>
  <c r="R273" i="2"/>
  <c r="N274" i="2"/>
  <c r="Z274" i="2"/>
  <c r="S275" i="2"/>
  <c r="O276" i="2"/>
  <c r="J277" i="2"/>
  <c r="V277" i="2"/>
  <c r="R278" i="2"/>
  <c r="K279" i="2"/>
  <c r="Z279" i="2"/>
  <c r="V280" i="2"/>
  <c r="N281" i="2"/>
  <c r="AA281" i="2"/>
  <c r="W282" i="2"/>
  <c r="R283" i="2"/>
  <c r="J284" i="2"/>
  <c r="Z284" i="2"/>
  <c r="S285" i="2"/>
  <c r="N286" i="2"/>
  <c r="J287" i="2"/>
  <c r="V287" i="2"/>
  <c r="O288" i="2"/>
  <c r="K289" i="2"/>
  <c r="Z289" i="2"/>
  <c r="R290" i="2"/>
  <c r="N291" i="2"/>
  <c r="AA291" i="2"/>
  <c r="V292" i="2"/>
  <c r="R293" i="2"/>
  <c r="J294" i="2"/>
  <c r="W294" i="2"/>
  <c r="S295" i="2"/>
  <c r="N296" i="2"/>
  <c r="Z296" i="2"/>
  <c r="V297" i="2"/>
  <c r="O298" i="2"/>
  <c r="J299" i="2"/>
  <c r="Z299" i="2"/>
  <c r="R300" i="2"/>
  <c r="K301" i="2"/>
  <c r="AA301" i="2"/>
  <c r="V302" i="2"/>
  <c r="N303" i="2"/>
  <c r="J304" i="2"/>
  <c r="W304" i="2"/>
  <c r="R305" i="2"/>
  <c r="N306" i="2"/>
  <c r="Z306" i="2"/>
  <c r="S307" i="2"/>
  <c r="O308" i="2"/>
  <c r="J309" i="2"/>
  <c r="V309" i="2"/>
  <c r="R310" i="2"/>
  <c r="K311" i="2"/>
  <c r="Z311" i="2"/>
  <c r="V312" i="2"/>
  <c r="N313" i="2"/>
  <c r="AA313" i="2"/>
  <c r="W314" i="2"/>
  <c r="R315" i="2"/>
  <c r="J316" i="2"/>
  <c r="Z316" i="2"/>
  <c r="S317" i="2"/>
  <c r="N318" i="2"/>
  <c r="J319" i="2"/>
  <c r="V319" i="2"/>
  <c r="O320" i="2"/>
  <c r="K321" i="2"/>
  <c r="Z321" i="2"/>
  <c r="R322" i="2"/>
  <c r="N323" i="2"/>
  <c r="AA323" i="2"/>
  <c r="V324" i="2"/>
  <c r="R325" i="2"/>
  <c r="J326" i="2"/>
  <c r="W326" i="2"/>
  <c r="S327" i="2"/>
  <c r="N328" i="2"/>
  <c r="Z328" i="2"/>
  <c r="V329" i="2"/>
  <c r="O330" i="2"/>
  <c r="J331" i="2"/>
  <c r="Z331" i="2"/>
  <c r="R332" i="2"/>
  <c r="K333" i="2"/>
  <c r="AA333" i="2"/>
  <c r="V334" i="2"/>
  <c r="N335" i="2"/>
  <c r="H336" i="2"/>
  <c r="R336" i="2"/>
  <c r="AA336" i="2"/>
  <c r="R337" i="2"/>
  <c r="X337" i="2"/>
  <c r="K338" i="2"/>
  <c r="S338" i="2"/>
  <c r="Z338" i="2"/>
  <c r="L339" i="2"/>
  <c r="T339" i="2"/>
  <c r="AA339" i="2"/>
  <c r="N340" i="2"/>
  <c r="V340" i="2"/>
  <c r="H341" i="2"/>
  <c r="O341" i="2"/>
  <c r="W341" i="2"/>
  <c r="J342" i="2"/>
  <c r="P342" i="2"/>
  <c r="X342" i="2"/>
  <c r="K343" i="2"/>
  <c r="R343" i="2"/>
  <c r="Z343" i="2"/>
  <c r="L344" i="2"/>
  <c r="S344" i="2"/>
  <c r="AA344" i="2"/>
  <c r="N345" i="2"/>
  <c r="T345" i="2"/>
  <c r="H346" i="2"/>
  <c r="N346" i="2"/>
  <c r="S346" i="2"/>
  <c r="Y346" i="2"/>
  <c r="J347" i="2"/>
  <c r="O347" i="2"/>
  <c r="U347" i="2"/>
  <c r="Z347" i="2"/>
  <c r="K348" i="2"/>
  <c r="Q348" i="2"/>
  <c r="V348" i="2"/>
  <c r="AA348" i="2"/>
  <c r="M349" i="2"/>
  <c r="R349" i="2"/>
  <c r="W349" i="2"/>
  <c r="I350" i="2"/>
  <c r="N350" i="2"/>
  <c r="S350" i="2"/>
  <c r="Y350" i="2"/>
  <c r="J351" i="2"/>
  <c r="O351" i="2"/>
  <c r="U351" i="2"/>
  <c r="Z351" i="2"/>
  <c r="K352" i="2"/>
  <c r="Q352" i="2"/>
  <c r="V352" i="2"/>
  <c r="AA352" i="2"/>
  <c r="M353" i="2"/>
  <c r="R353" i="2"/>
  <c r="W353" i="2"/>
  <c r="I354" i="2"/>
  <c r="N354" i="2"/>
  <c r="S354" i="2"/>
  <c r="Y354" i="2"/>
  <c r="J355" i="2"/>
  <c r="O355" i="2"/>
  <c r="U355" i="2"/>
  <c r="Z355" i="2"/>
  <c r="K356" i="2"/>
  <c r="Q356" i="2"/>
  <c r="V356" i="2"/>
  <c r="AA356" i="2"/>
  <c r="M357" i="2"/>
  <c r="R357" i="2"/>
  <c r="W357" i="2"/>
  <c r="I358" i="2"/>
  <c r="N358" i="2"/>
  <c r="S358" i="2"/>
  <c r="Y358" i="2"/>
  <c r="J359" i="2"/>
  <c r="O359" i="2"/>
  <c r="U359" i="2"/>
  <c r="Z359" i="2"/>
  <c r="K360" i="2"/>
  <c r="Q360" i="2"/>
  <c r="V360" i="2"/>
  <c r="AA360" i="2"/>
  <c r="M361" i="2"/>
  <c r="R361" i="2"/>
  <c r="W361" i="2"/>
  <c r="I362" i="2"/>
  <c r="N362" i="2"/>
  <c r="S362" i="2"/>
  <c r="Y362" i="2"/>
  <c r="J363" i="2"/>
  <c r="O363" i="2"/>
  <c r="U363" i="2"/>
  <c r="Z363" i="2"/>
  <c r="K364" i="2"/>
  <c r="Q364" i="2"/>
  <c r="V364" i="2"/>
  <c r="AA364" i="2"/>
  <c r="M365" i="2"/>
  <c r="R365" i="2"/>
  <c r="W365" i="2"/>
  <c r="I366" i="2"/>
  <c r="N366" i="2"/>
  <c r="S366" i="2"/>
  <c r="Y366" i="2"/>
  <c r="J367" i="2"/>
  <c r="O367" i="2"/>
  <c r="U367" i="2"/>
  <c r="Z367" i="2"/>
  <c r="K368" i="2"/>
  <c r="Q368" i="2"/>
  <c r="V368" i="2"/>
  <c r="AA368" i="2"/>
  <c r="M369" i="2"/>
  <c r="R369" i="2"/>
  <c r="W369" i="2"/>
  <c r="I370" i="2"/>
  <c r="N370" i="2"/>
  <c r="S370" i="2"/>
  <c r="Y370" i="2"/>
  <c r="J371" i="2"/>
  <c r="O371" i="2"/>
  <c r="U371" i="2"/>
  <c r="Z371" i="2"/>
  <c r="K372" i="2"/>
  <c r="Q372" i="2"/>
  <c r="V372" i="2"/>
  <c r="AA372" i="2"/>
  <c r="M373" i="2"/>
  <c r="R373" i="2"/>
  <c r="W373" i="2"/>
  <c r="I374" i="2"/>
  <c r="N374" i="2"/>
  <c r="S374" i="2"/>
  <c r="Y374" i="2"/>
  <c r="J375" i="2"/>
  <c r="O375" i="2"/>
  <c r="U375" i="2"/>
  <c r="Z375" i="2"/>
  <c r="K376" i="2"/>
  <c r="Q376" i="2"/>
  <c r="V376" i="2"/>
  <c r="AA376" i="2"/>
  <c r="M377" i="2"/>
  <c r="R377" i="2"/>
  <c r="W377" i="2"/>
  <c r="I378" i="2"/>
  <c r="N378" i="2"/>
  <c r="S378" i="2"/>
  <c r="Y378" i="2"/>
  <c r="J379" i="2"/>
  <c r="O379" i="2"/>
  <c r="U379" i="2"/>
  <c r="Z379" i="2"/>
  <c r="K380" i="2"/>
  <c r="Q380" i="2"/>
  <c r="V380" i="2"/>
  <c r="AA380" i="2"/>
  <c r="M381" i="2"/>
  <c r="R381" i="2"/>
  <c r="W381" i="2"/>
  <c r="I382" i="2"/>
  <c r="N382" i="2"/>
  <c r="S382" i="2"/>
  <c r="Y382" i="2"/>
  <c r="J383" i="2"/>
  <c r="O383" i="2"/>
  <c r="U383" i="2"/>
  <c r="Z383" i="2"/>
  <c r="K384" i="2"/>
  <c r="Q384" i="2"/>
  <c r="V384" i="2"/>
  <c r="AA384" i="2"/>
  <c r="M385" i="2"/>
  <c r="R385" i="2"/>
  <c r="W385" i="2"/>
  <c r="I386" i="2"/>
  <c r="N386" i="2"/>
  <c r="S386" i="2"/>
  <c r="Y386" i="2"/>
  <c r="J387" i="2"/>
  <c r="O387" i="2"/>
  <c r="U387" i="2"/>
  <c r="Z387" i="2"/>
  <c r="K388" i="2"/>
  <c r="Q388" i="2"/>
  <c r="V388" i="2"/>
  <c r="AA388" i="2"/>
  <c r="M389" i="2"/>
  <c r="R389" i="2"/>
  <c r="W389" i="2"/>
  <c r="I390" i="2"/>
  <c r="N390" i="2"/>
  <c r="S390" i="2"/>
  <c r="Y390" i="2"/>
  <c r="J391" i="2"/>
  <c r="O391" i="2"/>
  <c r="U391" i="2"/>
  <c r="U69" i="2"/>
  <c r="T91" i="2"/>
  <c r="U108" i="2"/>
  <c r="W125" i="2"/>
  <c r="W139" i="2"/>
  <c r="S150" i="2"/>
  <c r="Z154" i="2"/>
  <c r="J159" i="2"/>
  <c r="O163" i="2"/>
  <c r="V167" i="2"/>
  <c r="Z171" i="2"/>
  <c r="K176" i="2"/>
  <c r="R180" i="2"/>
  <c r="V184" i="2"/>
  <c r="AA188" i="2"/>
  <c r="N193" i="2"/>
  <c r="R197" i="2"/>
  <c r="W201" i="2"/>
  <c r="J206" i="2"/>
  <c r="N210" i="2"/>
  <c r="S214" i="2"/>
  <c r="Z218" i="2"/>
  <c r="J223" i="2"/>
  <c r="O227" i="2"/>
  <c r="K231" i="2"/>
  <c r="O234" i="2"/>
  <c r="S237" i="2"/>
  <c r="W240" i="2"/>
  <c r="AA243" i="2"/>
  <c r="J247" i="2"/>
  <c r="M249" i="2"/>
  <c r="O251" i="2"/>
  <c r="Z252" i="2"/>
  <c r="AA253" i="2"/>
  <c r="Z254" i="2"/>
  <c r="J256" i="2"/>
  <c r="K257" i="2"/>
  <c r="J258" i="2"/>
  <c r="N259" i="2"/>
  <c r="O260" i="2"/>
  <c r="N261" i="2"/>
  <c r="R262" i="2"/>
  <c r="S263" i="2"/>
  <c r="R264" i="2"/>
  <c r="V265" i="2"/>
  <c r="W266" i="2"/>
  <c r="V267" i="2"/>
  <c r="Z268" i="2"/>
  <c r="S269" i="2"/>
  <c r="N270" i="2"/>
  <c r="J271" i="2"/>
  <c r="V271" i="2"/>
  <c r="O272" i="2"/>
  <c r="K273" i="2"/>
  <c r="Z273" i="2"/>
  <c r="R274" i="2"/>
  <c r="N275" i="2"/>
  <c r="AA275" i="2"/>
  <c r="V276" i="2"/>
  <c r="R277" i="2"/>
  <c r="J278" i="2"/>
  <c r="W278" i="2"/>
  <c r="S279" i="2"/>
  <c r="N280" i="2"/>
  <c r="Z280" i="2"/>
  <c r="V281" i="2"/>
  <c r="O282" i="2"/>
  <c r="J283" i="2"/>
  <c r="Z283" i="2"/>
  <c r="R284" i="2"/>
  <c r="K285" i="2"/>
  <c r="AA285" i="2"/>
  <c r="V286" i="2"/>
  <c r="N287" i="2"/>
  <c r="J288" i="2"/>
  <c r="W288" i="2"/>
  <c r="R289" i="2"/>
  <c r="N290" i="2"/>
  <c r="Z290" i="2"/>
  <c r="S291" i="2"/>
  <c r="O292" i="2"/>
  <c r="J293" i="2"/>
  <c r="V293" i="2"/>
  <c r="R294" i="2"/>
  <c r="K295" i="2"/>
  <c r="Z295" i="2"/>
  <c r="V296" i="2"/>
  <c r="N297" i="2"/>
  <c r="AA297" i="2"/>
  <c r="W298" i="2"/>
  <c r="R299" i="2"/>
  <c r="J300" i="2"/>
  <c r="Z300" i="2"/>
  <c r="S301" i="2"/>
  <c r="N302" i="2"/>
  <c r="J303" i="2"/>
  <c r="V303" i="2"/>
  <c r="O304" i="2"/>
  <c r="K305" i="2"/>
  <c r="Z305" i="2"/>
  <c r="R306" i="2"/>
  <c r="N307" i="2"/>
  <c r="AA307" i="2"/>
  <c r="V308" i="2"/>
  <c r="R309" i="2"/>
  <c r="J310" i="2"/>
  <c r="W310" i="2"/>
  <c r="S311" i="2"/>
  <c r="N312" i="2"/>
  <c r="Z312" i="2"/>
  <c r="V313" i="2"/>
  <c r="O314" i="2"/>
  <c r="J315" i="2"/>
  <c r="Z315" i="2"/>
  <c r="R316" i="2"/>
  <c r="K317" i="2"/>
  <c r="AA317" i="2"/>
  <c r="V318" i="2"/>
  <c r="N319" i="2"/>
  <c r="J320" i="2"/>
  <c r="W320" i="2"/>
  <c r="R321" i="2"/>
  <c r="N322" i="2"/>
  <c r="Z322" i="2"/>
  <c r="S323" i="2"/>
  <c r="O324" i="2"/>
  <c r="J325" i="2"/>
  <c r="V325" i="2"/>
  <c r="R326" i="2"/>
  <c r="K327" i="2"/>
  <c r="Z327" i="2"/>
  <c r="V328" i="2"/>
  <c r="N329" i="2"/>
  <c r="AA329" i="2"/>
  <c r="W330" i="2"/>
  <c r="R331" i="2"/>
  <c r="J332" i="2"/>
  <c r="Z332" i="2"/>
  <c r="S333" i="2"/>
  <c r="N334" i="2"/>
  <c r="J335" i="2"/>
  <c r="V335" i="2"/>
  <c r="L336" i="2"/>
  <c r="W336" i="2"/>
  <c r="L337" i="2"/>
  <c r="T337" i="2"/>
  <c r="H338" i="2"/>
  <c r="O338" i="2"/>
  <c r="V338" i="2"/>
  <c r="J339" i="2"/>
  <c r="P339" i="2"/>
  <c r="W339" i="2"/>
  <c r="K340" i="2"/>
  <c r="R340" i="2"/>
  <c r="X340" i="2"/>
  <c r="L341" i="2"/>
  <c r="S341" i="2"/>
  <c r="Z341" i="2"/>
  <c r="N342" i="2"/>
  <c r="T342" i="2"/>
  <c r="AA342" i="2"/>
  <c r="O343" i="2"/>
  <c r="V343" i="2"/>
  <c r="H344" i="2"/>
  <c r="P344" i="2"/>
  <c r="W344" i="2"/>
  <c r="J345" i="2"/>
  <c r="R345" i="2"/>
  <c r="X345" i="2"/>
  <c r="K346" i="2"/>
  <c r="Q346" i="2"/>
  <c r="V346" i="2"/>
  <c r="AA346" i="2"/>
  <c r="M347" i="2"/>
  <c r="R347" i="2"/>
  <c r="W347" i="2"/>
  <c r="I348" i="2"/>
  <c r="N348" i="2"/>
  <c r="S348" i="2"/>
  <c r="Y348" i="2"/>
  <c r="J349" i="2"/>
  <c r="O349" i="2"/>
  <c r="U349" i="2"/>
  <c r="Z349" i="2"/>
  <c r="K350" i="2"/>
  <c r="Q350" i="2"/>
  <c r="V350" i="2"/>
  <c r="AA350" i="2"/>
  <c r="M351" i="2"/>
  <c r="R351" i="2"/>
  <c r="W351" i="2"/>
  <c r="I352" i="2"/>
  <c r="N352" i="2"/>
  <c r="S352" i="2"/>
  <c r="Y352" i="2"/>
  <c r="J353" i="2"/>
  <c r="O353" i="2"/>
  <c r="U353" i="2"/>
  <c r="Z353" i="2"/>
  <c r="K354" i="2"/>
  <c r="Q354" i="2"/>
  <c r="V354" i="2"/>
  <c r="AA354" i="2"/>
  <c r="M355" i="2"/>
  <c r="R355" i="2"/>
  <c r="W355" i="2"/>
  <c r="I356" i="2"/>
  <c r="N356" i="2"/>
  <c r="S356" i="2"/>
  <c r="Y356" i="2"/>
  <c r="J357" i="2"/>
  <c r="O357" i="2"/>
  <c r="U357" i="2"/>
  <c r="Z357" i="2"/>
  <c r="K358" i="2"/>
  <c r="Q358" i="2"/>
  <c r="V358" i="2"/>
  <c r="AA358" i="2"/>
  <c r="M359" i="2"/>
  <c r="R359" i="2"/>
  <c r="W359" i="2"/>
  <c r="I360" i="2"/>
  <c r="N360" i="2"/>
  <c r="S360" i="2"/>
  <c r="Y360" i="2"/>
  <c r="J361" i="2"/>
  <c r="O361" i="2"/>
  <c r="U361" i="2"/>
  <c r="Z361" i="2"/>
  <c r="K362" i="2"/>
  <c r="Q362" i="2"/>
  <c r="V362" i="2"/>
  <c r="AA362" i="2"/>
  <c r="M363" i="2"/>
  <c r="R363" i="2"/>
  <c r="W363" i="2"/>
  <c r="I364" i="2"/>
  <c r="N364" i="2"/>
  <c r="S364" i="2"/>
  <c r="Y364" i="2"/>
  <c r="J365" i="2"/>
  <c r="O365" i="2"/>
  <c r="U365" i="2"/>
  <c r="Z365" i="2"/>
  <c r="K366" i="2"/>
  <c r="Q366" i="2"/>
  <c r="V366" i="2"/>
  <c r="AA366" i="2"/>
  <c r="M367" i="2"/>
  <c r="R367" i="2"/>
  <c r="W367" i="2"/>
  <c r="I368" i="2"/>
  <c r="N368" i="2"/>
  <c r="S368" i="2"/>
  <c r="Y368" i="2"/>
  <c r="J369" i="2"/>
  <c r="O369" i="2"/>
  <c r="U369" i="2"/>
  <c r="Z369" i="2"/>
  <c r="K370" i="2"/>
  <c r="Q370" i="2"/>
  <c r="V370" i="2"/>
  <c r="AA370" i="2"/>
  <c r="M371" i="2"/>
  <c r="R371" i="2"/>
  <c r="W371" i="2"/>
  <c r="I372" i="2"/>
  <c r="N372" i="2"/>
  <c r="S372" i="2"/>
  <c r="Y372" i="2"/>
  <c r="J373" i="2"/>
  <c r="O373" i="2"/>
  <c r="U373" i="2"/>
  <c r="Z373" i="2"/>
  <c r="K374" i="2"/>
  <c r="Q374" i="2"/>
  <c r="V374" i="2"/>
  <c r="AA374" i="2"/>
  <c r="M375" i="2"/>
  <c r="R375" i="2"/>
  <c r="W375" i="2"/>
  <c r="I376" i="2"/>
  <c r="N376" i="2"/>
  <c r="S376" i="2"/>
  <c r="Y376" i="2"/>
  <c r="J377" i="2"/>
  <c r="O377" i="2"/>
  <c r="U377" i="2"/>
  <c r="Z377" i="2"/>
  <c r="K378" i="2"/>
  <c r="Q378" i="2"/>
  <c r="V378" i="2"/>
  <c r="AA378" i="2"/>
  <c r="M379" i="2"/>
  <c r="R379" i="2"/>
  <c r="W379" i="2"/>
  <c r="I380" i="2"/>
  <c r="N380" i="2"/>
  <c r="S380" i="2"/>
  <c r="Y380" i="2"/>
  <c r="J381" i="2"/>
  <c r="O381" i="2"/>
  <c r="U381" i="2"/>
  <c r="Z381" i="2"/>
  <c r="K382" i="2"/>
  <c r="Q382" i="2"/>
  <c r="V382" i="2"/>
  <c r="AA382" i="2"/>
  <c r="M383" i="2"/>
  <c r="R383" i="2"/>
  <c r="W383" i="2"/>
  <c r="I384" i="2"/>
  <c r="N384" i="2"/>
  <c r="S384" i="2"/>
  <c r="Y384" i="2"/>
  <c r="J385" i="2"/>
  <c r="O385" i="2"/>
  <c r="U385" i="2"/>
  <c r="Z385" i="2"/>
  <c r="K386" i="2"/>
  <c r="Q386" i="2"/>
  <c r="V386" i="2"/>
  <c r="AA386" i="2"/>
  <c r="M387" i="2"/>
  <c r="R387" i="2"/>
  <c r="W387" i="2"/>
  <c r="I388" i="2"/>
  <c r="N388" i="2"/>
  <c r="S388" i="2"/>
  <c r="Y388" i="2"/>
  <c r="J389" i="2"/>
  <c r="O389" i="2"/>
  <c r="U389" i="2"/>
  <c r="Z389" i="2"/>
  <c r="K390" i="2"/>
  <c r="Q390" i="2"/>
  <c r="V390" i="2"/>
  <c r="AA390" i="2"/>
  <c r="M391" i="2"/>
  <c r="R391" i="2"/>
  <c r="W391" i="2"/>
  <c r="I392" i="2"/>
  <c r="N392" i="2"/>
  <c r="S392" i="2"/>
  <c r="Y392" i="2"/>
  <c r="J393" i="2"/>
  <c r="O393" i="2"/>
  <c r="U393" i="2"/>
  <c r="Z393" i="2"/>
  <c r="K394" i="2"/>
  <c r="Q394" i="2"/>
  <c r="V394" i="2"/>
  <c r="AA394" i="2"/>
  <c r="M395" i="2"/>
  <c r="R395" i="2"/>
  <c r="W395" i="2"/>
  <c r="I396" i="2"/>
  <c r="N396" i="2"/>
  <c r="S396" i="2"/>
  <c r="Y396" i="2"/>
  <c r="J397" i="2"/>
  <c r="O397" i="2"/>
  <c r="U397" i="2"/>
  <c r="Z397" i="2"/>
  <c r="K398" i="2"/>
  <c r="Q398" i="2"/>
  <c r="V398" i="2"/>
  <c r="AA398" i="2"/>
  <c r="M399" i="2"/>
  <c r="R399" i="2"/>
  <c r="W399" i="2"/>
  <c r="I400" i="2"/>
  <c r="N400" i="2"/>
  <c r="S400" i="2"/>
  <c r="Y400" i="2"/>
  <c r="J401" i="2"/>
  <c r="O401" i="2"/>
  <c r="U401" i="2"/>
  <c r="Z401" i="2"/>
  <c r="K402" i="2"/>
  <c r="Q402" i="2"/>
  <c r="V402" i="2"/>
  <c r="AA402" i="2"/>
  <c r="M403" i="2"/>
  <c r="R403" i="2"/>
  <c r="W403" i="2"/>
  <c r="I404" i="2"/>
  <c r="N404" i="2"/>
  <c r="S404" i="2"/>
  <c r="Y404" i="2"/>
  <c r="J405" i="2"/>
  <c r="O405" i="2"/>
  <c r="U405" i="2"/>
  <c r="Z405" i="2"/>
  <c r="K406" i="2"/>
  <c r="Q406" i="2"/>
  <c r="V406" i="2"/>
  <c r="AA406" i="2"/>
  <c r="M407" i="2"/>
  <c r="R407" i="2"/>
  <c r="W407" i="2"/>
  <c r="I408" i="2"/>
  <c r="N408" i="2"/>
  <c r="S408" i="2"/>
  <c r="Y408" i="2"/>
  <c r="J409" i="2"/>
  <c r="O409" i="2"/>
  <c r="U409" i="2"/>
  <c r="Z409" i="2"/>
  <c r="K410" i="2"/>
  <c r="Q410" i="2"/>
  <c r="V410" i="2"/>
  <c r="AA410" i="2"/>
  <c r="M411" i="2"/>
  <c r="R411" i="2"/>
  <c r="W411" i="2"/>
  <c r="I412" i="2"/>
  <c r="N412" i="2"/>
  <c r="S412" i="2"/>
  <c r="Y412" i="2"/>
  <c r="J413" i="2"/>
  <c r="O413" i="2"/>
  <c r="U413" i="2"/>
  <c r="Z413" i="2"/>
  <c r="K414" i="2"/>
  <c r="Q414" i="2"/>
  <c r="V414" i="2"/>
  <c r="AA414" i="2"/>
  <c r="M415" i="2"/>
  <c r="R415" i="2"/>
  <c r="W415" i="2"/>
  <c r="I416" i="2"/>
  <c r="N416" i="2"/>
  <c r="S416" i="2"/>
  <c r="Y416" i="2"/>
  <c r="J417" i="2"/>
  <c r="O417" i="2"/>
  <c r="U417" i="2"/>
  <c r="Z417" i="2"/>
  <c r="K418" i="2"/>
  <c r="Q418" i="2"/>
  <c r="V418" i="2"/>
  <c r="AA418" i="2"/>
  <c r="M419" i="2"/>
  <c r="R419" i="2"/>
  <c r="W419" i="2"/>
  <c r="I420" i="2"/>
  <c r="N420" i="2"/>
  <c r="S420" i="2"/>
  <c r="Y420" i="2"/>
  <c r="J421" i="2"/>
  <c r="O421" i="2"/>
  <c r="U421" i="2"/>
  <c r="Z421" i="2"/>
  <c r="K422" i="2"/>
  <c r="Q422" i="2"/>
  <c r="V422" i="2"/>
  <c r="AA422" i="2"/>
  <c r="M423" i="2"/>
  <c r="R423" i="2"/>
  <c r="W423" i="2"/>
  <c r="I424" i="2"/>
  <c r="N424" i="2"/>
  <c r="S424" i="2"/>
  <c r="Y424" i="2"/>
  <c r="J425" i="2"/>
  <c r="O425" i="2"/>
  <c r="U425" i="2"/>
  <c r="Z425" i="2"/>
  <c r="K426" i="2"/>
  <c r="Q426" i="2"/>
  <c r="V426" i="2"/>
  <c r="AA426" i="2"/>
  <c r="M427" i="2"/>
  <c r="R427" i="2"/>
  <c r="W427" i="2"/>
  <c r="I428" i="2"/>
  <c r="N428" i="2"/>
  <c r="S428" i="2"/>
  <c r="Y428" i="2"/>
  <c r="J429" i="2"/>
  <c r="O429" i="2"/>
  <c r="U429" i="2"/>
  <c r="Z429" i="2"/>
  <c r="K430" i="2"/>
  <c r="Q430" i="2"/>
  <c r="V430" i="2"/>
  <c r="AA430" i="2"/>
  <c r="M431" i="2"/>
  <c r="R431" i="2"/>
  <c r="W431" i="2"/>
  <c r="I432" i="2"/>
  <c r="N432" i="2"/>
  <c r="S432" i="2"/>
  <c r="Y432" i="2"/>
  <c r="J433" i="2"/>
  <c r="O433" i="2"/>
  <c r="U433" i="2"/>
  <c r="Z433" i="2"/>
  <c r="K434" i="2"/>
  <c r="Q434" i="2"/>
  <c r="V434" i="2"/>
  <c r="AA434" i="2"/>
  <c r="M435" i="2"/>
  <c r="R435" i="2"/>
  <c r="W435" i="2"/>
  <c r="I436" i="2"/>
  <c r="N436" i="2"/>
  <c r="S436" i="2"/>
  <c r="Y436" i="2"/>
  <c r="J437" i="2"/>
  <c r="O437" i="2"/>
  <c r="U437" i="2"/>
  <c r="Z437" i="2"/>
  <c r="K438" i="2"/>
  <c r="Q438" i="2"/>
  <c r="V438" i="2"/>
  <c r="AA438" i="2"/>
  <c r="M439" i="2"/>
  <c r="R439" i="2"/>
  <c r="W439" i="2"/>
  <c r="I440" i="2"/>
  <c r="N440" i="2"/>
  <c r="S440" i="2"/>
  <c r="Y440" i="2"/>
  <c r="J441" i="2"/>
  <c r="O441" i="2"/>
  <c r="U441" i="2"/>
  <c r="Z441" i="2"/>
  <c r="K442" i="2"/>
  <c r="Q442" i="2"/>
  <c r="V442" i="2"/>
  <c r="AA442" i="2"/>
  <c r="M443" i="2"/>
  <c r="R443" i="2"/>
  <c r="W443" i="2"/>
  <c r="I444" i="2"/>
  <c r="N444" i="2"/>
  <c r="S444" i="2"/>
  <c r="Y444" i="2"/>
  <c r="J445" i="2"/>
  <c r="O445" i="2"/>
  <c r="U445" i="2"/>
  <c r="Z445" i="2"/>
  <c r="K446" i="2"/>
  <c r="Q446" i="2"/>
  <c r="V446" i="2"/>
  <c r="AA446" i="2"/>
  <c r="M447" i="2"/>
  <c r="R447" i="2"/>
  <c r="W447" i="2"/>
  <c r="I448" i="2"/>
  <c r="N448" i="2"/>
  <c r="S448" i="2"/>
  <c r="Y448" i="2"/>
  <c r="J449" i="2"/>
  <c r="O449" i="2"/>
  <c r="U449" i="2"/>
  <c r="Z449" i="2"/>
  <c r="K450" i="2"/>
  <c r="Q450" i="2"/>
  <c r="V450" i="2"/>
  <c r="AA450" i="2"/>
  <c r="M451" i="2"/>
  <c r="R451" i="2"/>
  <c r="W451" i="2"/>
  <c r="I452" i="2"/>
  <c r="N452" i="2"/>
  <c r="S452" i="2"/>
  <c r="Y452" i="2"/>
  <c r="J453" i="2"/>
  <c r="O453" i="2"/>
  <c r="U453" i="2"/>
  <c r="Z453" i="2"/>
  <c r="K454" i="2"/>
  <c r="Q454" i="2"/>
  <c r="V454" i="2"/>
  <c r="AA454" i="2"/>
  <c r="M455" i="2"/>
  <c r="R455" i="2"/>
  <c r="W455" i="2"/>
  <c r="I456" i="2"/>
  <c r="N456" i="2"/>
  <c r="S456" i="2"/>
  <c r="Y456" i="2"/>
  <c r="J457" i="2"/>
  <c r="O457" i="2"/>
  <c r="U457" i="2"/>
  <c r="Z457" i="2"/>
  <c r="K458" i="2"/>
  <c r="Q458" i="2"/>
  <c r="V458" i="2"/>
  <c r="AA458" i="2"/>
  <c r="M459" i="2"/>
  <c r="R459" i="2"/>
  <c r="W459" i="2"/>
  <c r="I460" i="2"/>
  <c r="N460" i="2"/>
  <c r="S460" i="2"/>
  <c r="Y460" i="2"/>
  <c r="Y42" i="2"/>
  <c r="X101" i="2"/>
  <c r="T134" i="2"/>
  <c r="J153" i="2"/>
  <c r="V161" i="2"/>
  <c r="K170" i="2"/>
  <c r="V178" i="2"/>
  <c r="N187" i="2"/>
  <c r="W195" i="2"/>
  <c r="N204" i="2"/>
  <c r="Z212" i="2"/>
  <c r="O221" i="2"/>
  <c r="Z229" i="2"/>
  <c r="N236" i="2"/>
  <c r="V242" i="2"/>
  <c r="O248" i="2"/>
  <c r="R252" i="2"/>
  <c r="W254" i="2"/>
  <c r="Z256" i="2"/>
  <c r="Z258" i="2"/>
  <c r="K261" i="2"/>
  <c r="N263" i="2"/>
  <c r="N265" i="2"/>
  <c r="S267" i="2"/>
  <c r="R269" i="2"/>
  <c r="W270" i="2"/>
  <c r="N272" i="2"/>
  <c r="V273" i="2"/>
  <c r="J275" i="2"/>
  <c r="R276" i="2"/>
  <c r="AA277" i="2"/>
  <c r="N279" i="2"/>
  <c r="W280" i="2"/>
  <c r="N282" i="2"/>
  <c r="S283" i="2"/>
  <c r="J285" i="2"/>
  <c r="R286" i="2"/>
  <c r="Z287" i="2"/>
  <c r="N289" i="2"/>
  <c r="W290" i="2"/>
  <c r="J292" i="2"/>
  <c r="S293" i="2"/>
  <c r="J295" i="2"/>
  <c r="O296" i="2"/>
  <c r="Z297" i="2"/>
  <c r="N299" i="2"/>
  <c r="V300" i="2"/>
  <c r="J302" i="2"/>
  <c r="S303" i="2"/>
  <c r="Z304" i="2"/>
  <c r="O306" i="2"/>
  <c r="Z307" i="2"/>
  <c r="K309" i="2"/>
  <c r="V310" i="2"/>
  <c r="J312" i="2"/>
  <c r="R313" i="2"/>
  <c r="Z314" i="2"/>
  <c r="O316" i="2"/>
  <c r="V317" i="2"/>
  <c r="K319" i="2"/>
  <c r="V320" i="2"/>
  <c r="AA321" i="2"/>
  <c r="R323" i="2"/>
  <c r="Z324" i="2"/>
  <c r="N326" i="2"/>
  <c r="V327" i="2"/>
  <c r="K329" i="2"/>
  <c r="R330" i="2"/>
  <c r="AA331" i="2"/>
  <c r="R333" i="2"/>
  <c r="W334" i="2"/>
  <c r="K336" i="2"/>
  <c r="J337" i="2"/>
  <c r="Z337" i="2"/>
  <c r="T338" i="2"/>
  <c r="O339" i="2"/>
  <c r="H340" i="2"/>
  <c r="W340" i="2"/>
  <c r="R341" i="2"/>
  <c r="K342" i="2"/>
  <c r="Z342" i="2"/>
  <c r="T343" i="2"/>
  <c r="N344" i="2"/>
  <c r="H345" i="2"/>
  <c r="W345" i="2"/>
  <c r="O346" i="2"/>
  <c r="Z346" i="2"/>
  <c r="Q347" i="2"/>
  <c r="AA347" i="2"/>
  <c r="R348" i="2"/>
  <c r="I349" i="2"/>
  <c r="S349" i="2"/>
  <c r="J350" i="2"/>
  <c r="U350" i="2"/>
  <c r="K351" i="2"/>
  <c r="V351" i="2"/>
  <c r="M352" i="2"/>
  <c r="W352" i="2"/>
  <c r="N353" i="2"/>
  <c r="Y353" i="2"/>
  <c r="O354" i="2"/>
  <c r="Z354" i="2"/>
  <c r="Q355" i="2"/>
  <c r="AA355" i="2"/>
  <c r="R356" i="2"/>
  <c r="I357" i="2"/>
  <c r="S357" i="2"/>
  <c r="J358" i="2"/>
  <c r="U358" i="2"/>
  <c r="K359" i="2"/>
  <c r="V359" i="2"/>
  <c r="M360" i="2"/>
  <c r="W360" i="2"/>
  <c r="N361" i="2"/>
  <c r="Y361" i="2"/>
  <c r="O362" i="2"/>
  <c r="Z362" i="2"/>
  <c r="Q363" i="2"/>
  <c r="AA363" i="2"/>
  <c r="R364" i="2"/>
  <c r="I365" i="2"/>
  <c r="S365" i="2"/>
  <c r="J366" i="2"/>
  <c r="U366" i="2"/>
  <c r="K367" i="2"/>
  <c r="V367" i="2"/>
  <c r="M368" i="2"/>
  <c r="W368" i="2"/>
  <c r="N369" i="2"/>
  <c r="Y369" i="2"/>
  <c r="O370" i="2"/>
  <c r="Z370" i="2"/>
  <c r="Q371" i="2"/>
  <c r="AA371" i="2"/>
  <c r="R372" i="2"/>
  <c r="I373" i="2"/>
  <c r="S373" i="2"/>
  <c r="J374" i="2"/>
  <c r="U374" i="2"/>
  <c r="K375" i="2"/>
  <c r="V375" i="2"/>
  <c r="M376" i="2"/>
  <c r="W376" i="2"/>
  <c r="N377" i="2"/>
  <c r="Y377" i="2"/>
  <c r="O378" i="2"/>
  <c r="Z378" i="2"/>
  <c r="Q379" i="2"/>
  <c r="AA379" i="2"/>
  <c r="R380" i="2"/>
  <c r="I381" i="2"/>
  <c r="S381" i="2"/>
  <c r="J382" i="2"/>
  <c r="U382" i="2"/>
  <c r="K383" i="2"/>
  <c r="V383" i="2"/>
  <c r="M384" i="2"/>
  <c r="W384" i="2"/>
  <c r="N385" i="2"/>
  <c r="Y385" i="2"/>
  <c r="O386" i="2"/>
  <c r="Z386" i="2"/>
  <c r="Q387" i="2"/>
  <c r="AA387" i="2"/>
  <c r="R388" i="2"/>
  <c r="I389" i="2"/>
  <c r="S389" i="2"/>
  <c r="J390" i="2"/>
  <c r="U390" i="2"/>
  <c r="K391" i="2"/>
  <c r="V391" i="2"/>
  <c r="J392" i="2"/>
  <c r="Q392" i="2"/>
  <c r="W392" i="2"/>
  <c r="K393" i="2"/>
  <c r="R393" i="2"/>
  <c r="Y393" i="2"/>
  <c r="M394" i="2"/>
  <c r="S394" i="2"/>
  <c r="Z394" i="2"/>
  <c r="N395" i="2"/>
  <c r="U395" i="2"/>
  <c r="AA395" i="2"/>
  <c r="O396" i="2"/>
  <c r="V396" i="2"/>
  <c r="I397" i="2"/>
  <c r="Q397" i="2"/>
  <c r="W397" i="2"/>
  <c r="J398" i="2"/>
  <c r="R398" i="2"/>
  <c r="Y398" i="2"/>
  <c r="K399" i="2"/>
  <c r="S399" i="2"/>
  <c r="Z399" i="2"/>
  <c r="M400" i="2"/>
  <c r="U400" i="2"/>
  <c r="AA400" i="2"/>
  <c r="N401" i="2"/>
  <c r="V401" i="2"/>
  <c r="I402" i="2"/>
  <c r="O402" i="2"/>
  <c r="W402" i="2"/>
  <c r="J403" i="2"/>
  <c r="Q403" i="2"/>
  <c r="Y403" i="2"/>
  <c r="K404" i="2"/>
  <c r="R404" i="2"/>
  <c r="Z404" i="2"/>
  <c r="M405" i="2"/>
  <c r="S405" i="2"/>
  <c r="AA405" i="2"/>
  <c r="N406" i="2"/>
  <c r="U406" i="2"/>
  <c r="I407" i="2"/>
  <c r="O407" i="2"/>
  <c r="V407" i="2"/>
  <c r="J408" i="2"/>
  <c r="Q408" i="2"/>
  <c r="W408" i="2"/>
  <c r="K409" i="2"/>
  <c r="R409" i="2"/>
  <c r="Y409" i="2"/>
  <c r="M410" i="2"/>
  <c r="S410" i="2"/>
  <c r="Z410" i="2"/>
  <c r="N411" i="2"/>
  <c r="U411" i="2"/>
  <c r="AA411" i="2"/>
  <c r="O412" i="2"/>
  <c r="V412" i="2"/>
  <c r="I413" i="2"/>
  <c r="Q413" i="2"/>
  <c r="W413" i="2"/>
  <c r="J414" i="2"/>
  <c r="R414" i="2"/>
  <c r="Y414" i="2"/>
  <c r="K415" i="2"/>
  <c r="S415" i="2"/>
  <c r="Z415" i="2"/>
  <c r="M416" i="2"/>
  <c r="U416" i="2"/>
  <c r="AA416" i="2"/>
  <c r="N417" i="2"/>
  <c r="V417" i="2"/>
  <c r="I418" i="2"/>
  <c r="O418" i="2"/>
  <c r="W418" i="2"/>
  <c r="J419" i="2"/>
  <c r="Q419" i="2"/>
  <c r="Y419" i="2"/>
  <c r="K420" i="2"/>
  <c r="R420" i="2"/>
  <c r="Z420" i="2"/>
  <c r="M421" i="2"/>
  <c r="S421" i="2"/>
  <c r="AA421" i="2"/>
  <c r="N422" i="2"/>
  <c r="U422" i="2"/>
  <c r="I423" i="2"/>
  <c r="O423" i="2"/>
  <c r="V423" i="2"/>
  <c r="J424" i="2"/>
  <c r="Q424" i="2"/>
  <c r="W424" i="2"/>
  <c r="K425" i="2"/>
  <c r="R425" i="2"/>
  <c r="Y425" i="2"/>
  <c r="M426" i="2"/>
  <c r="S426" i="2"/>
  <c r="Z426" i="2"/>
  <c r="N427" i="2"/>
  <c r="U427" i="2"/>
  <c r="AA427" i="2"/>
  <c r="O428" i="2"/>
  <c r="V428" i="2"/>
  <c r="I429" i="2"/>
  <c r="Q429" i="2"/>
  <c r="W429" i="2"/>
  <c r="J430" i="2"/>
  <c r="R430" i="2"/>
  <c r="Y430" i="2"/>
  <c r="K431" i="2"/>
  <c r="S431" i="2"/>
  <c r="Z431" i="2"/>
  <c r="M432" i="2"/>
  <c r="U432" i="2"/>
  <c r="AA432" i="2"/>
  <c r="N433" i="2"/>
  <c r="V433" i="2"/>
  <c r="I434" i="2"/>
  <c r="O434" i="2"/>
  <c r="W434" i="2"/>
  <c r="J435" i="2"/>
  <c r="Q435" i="2"/>
  <c r="Y435" i="2"/>
  <c r="K436" i="2"/>
  <c r="R436" i="2"/>
  <c r="Z436" i="2"/>
  <c r="M437" i="2"/>
  <c r="S437" i="2"/>
  <c r="AA437" i="2"/>
  <c r="N438" i="2"/>
  <c r="U438" i="2"/>
  <c r="I439" i="2"/>
  <c r="O439" i="2"/>
  <c r="V439" i="2"/>
  <c r="J440" i="2"/>
  <c r="Q440" i="2"/>
  <c r="W440" i="2"/>
  <c r="K441" i="2"/>
  <c r="R441" i="2"/>
  <c r="Y441" i="2"/>
  <c r="M442" i="2"/>
  <c r="S442" i="2"/>
  <c r="Z442" i="2"/>
  <c r="N443" i="2"/>
  <c r="U443" i="2"/>
  <c r="AA443" i="2"/>
  <c r="O444" i="2"/>
  <c r="V444" i="2"/>
  <c r="I445" i="2"/>
  <c r="Q445" i="2"/>
  <c r="W445" i="2"/>
  <c r="J446" i="2"/>
  <c r="R446" i="2"/>
  <c r="Y446" i="2"/>
  <c r="K447" i="2"/>
  <c r="S447" i="2"/>
  <c r="Z447" i="2"/>
  <c r="M448" i="2"/>
  <c r="U448" i="2"/>
  <c r="AA448" i="2"/>
  <c r="N449" i="2"/>
  <c r="V449" i="2"/>
  <c r="I450" i="2"/>
  <c r="O450" i="2"/>
  <c r="W450" i="2"/>
  <c r="J451" i="2"/>
  <c r="Q451" i="2"/>
  <c r="Y451" i="2"/>
  <c r="K452" i="2"/>
  <c r="R452" i="2"/>
  <c r="Z452" i="2"/>
  <c r="M453" i="2"/>
  <c r="S453" i="2"/>
  <c r="AA453" i="2"/>
  <c r="N454" i="2"/>
  <c r="U454" i="2"/>
  <c r="I455" i="2"/>
  <c r="O455" i="2"/>
  <c r="V455" i="2"/>
  <c r="J456" i="2"/>
  <c r="Q456" i="2"/>
  <c r="W456" i="2"/>
  <c r="K457" i="2"/>
  <c r="R457" i="2"/>
  <c r="Y457" i="2"/>
  <c r="M458" i="2"/>
  <c r="S458" i="2"/>
  <c r="Z458" i="2"/>
  <c r="N459" i="2"/>
  <c r="U459" i="2"/>
  <c r="AA459" i="2"/>
  <c r="O460" i="2"/>
  <c r="V460" i="2"/>
  <c r="I461" i="2"/>
  <c r="N461" i="2"/>
  <c r="S461" i="2"/>
  <c r="Y461" i="2"/>
  <c r="J462" i="2"/>
  <c r="O462" i="2"/>
  <c r="U462" i="2"/>
  <c r="Z462" i="2"/>
  <c r="K463" i="2"/>
  <c r="Q463" i="2"/>
  <c r="V463" i="2"/>
  <c r="AA463" i="2"/>
  <c r="M464" i="2"/>
  <c r="R464" i="2"/>
  <c r="W464" i="2"/>
  <c r="I465" i="2"/>
  <c r="N465" i="2"/>
  <c r="S465" i="2"/>
  <c r="Y465" i="2"/>
  <c r="J466" i="2"/>
  <c r="O466" i="2"/>
  <c r="U466" i="2"/>
  <c r="Z466" i="2"/>
  <c r="K467" i="2"/>
  <c r="Q467" i="2"/>
  <c r="V467" i="2"/>
  <c r="AA467" i="2"/>
  <c r="M468" i="2"/>
  <c r="R468" i="2"/>
  <c r="W468" i="2"/>
  <c r="I469" i="2"/>
  <c r="N469" i="2"/>
  <c r="S469" i="2"/>
  <c r="Y469" i="2"/>
  <c r="J470" i="2"/>
  <c r="O470" i="2"/>
  <c r="U470" i="2"/>
  <c r="Z470" i="2"/>
  <c r="K471" i="2"/>
  <c r="Q471" i="2"/>
  <c r="V471" i="2"/>
  <c r="AA471" i="2"/>
  <c r="M472" i="2"/>
  <c r="R472" i="2"/>
  <c r="W472" i="2"/>
  <c r="I473" i="2"/>
  <c r="N473" i="2"/>
  <c r="S473" i="2"/>
  <c r="Y473" i="2"/>
  <c r="J474" i="2"/>
  <c r="O474" i="2"/>
  <c r="U474" i="2"/>
  <c r="Z474" i="2"/>
  <c r="K475" i="2"/>
  <c r="Q475" i="2"/>
  <c r="V475" i="2"/>
  <c r="AA475" i="2"/>
  <c r="M476" i="2"/>
  <c r="R476" i="2"/>
  <c r="W476" i="2"/>
  <c r="I477" i="2"/>
  <c r="N477" i="2"/>
  <c r="S477" i="2"/>
  <c r="Y477" i="2"/>
  <c r="J478" i="2"/>
  <c r="O478" i="2"/>
  <c r="U478" i="2"/>
  <c r="Z478" i="2"/>
  <c r="K479" i="2"/>
  <c r="Q479" i="2"/>
  <c r="V479" i="2"/>
  <c r="AA479" i="2"/>
  <c r="M480" i="2"/>
  <c r="R480" i="2"/>
  <c r="W480" i="2"/>
  <c r="I481" i="2"/>
  <c r="N481" i="2"/>
  <c r="S481" i="2"/>
  <c r="Y481" i="2"/>
  <c r="J482" i="2"/>
  <c r="O482" i="2"/>
  <c r="U482" i="2"/>
  <c r="Z482" i="2"/>
  <c r="K483" i="2"/>
  <c r="Q483" i="2"/>
  <c r="V483" i="2"/>
  <c r="AA483" i="2"/>
  <c r="M484" i="2"/>
  <c r="R484" i="2"/>
  <c r="W484" i="2"/>
  <c r="I485" i="2"/>
  <c r="N485" i="2"/>
  <c r="S485" i="2"/>
  <c r="Y485" i="2"/>
  <c r="J486" i="2"/>
  <c r="O486" i="2"/>
  <c r="U486" i="2"/>
  <c r="Z486" i="2"/>
  <c r="K487" i="2"/>
  <c r="Q487" i="2"/>
  <c r="V487" i="2"/>
  <c r="AA487" i="2"/>
  <c r="M488" i="2"/>
  <c r="R488" i="2"/>
  <c r="W488" i="2"/>
  <c r="I489" i="2"/>
  <c r="N489" i="2"/>
  <c r="S489" i="2"/>
  <c r="Y489" i="2"/>
  <c r="J490" i="2"/>
  <c r="O490" i="2"/>
  <c r="U490" i="2"/>
  <c r="Z490" i="2"/>
  <c r="K491" i="2"/>
  <c r="Q491" i="2"/>
  <c r="V491" i="2"/>
  <c r="AA491" i="2"/>
  <c r="M492" i="2"/>
  <c r="R492" i="2"/>
  <c r="W492" i="2"/>
  <c r="I493" i="2"/>
  <c r="N493" i="2"/>
  <c r="S493" i="2"/>
  <c r="Y493" i="2"/>
  <c r="J494" i="2"/>
  <c r="O494" i="2"/>
  <c r="U494" i="2"/>
  <c r="Z494" i="2"/>
  <c r="K495" i="2"/>
  <c r="Q495" i="2"/>
  <c r="V495" i="2"/>
  <c r="AA495" i="2"/>
  <c r="M496" i="2"/>
  <c r="R496" i="2"/>
  <c r="W496" i="2"/>
  <c r="I497" i="2"/>
  <c r="N497" i="2"/>
  <c r="S497" i="2"/>
  <c r="Y497" i="2"/>
  <c r="J498" i="2"/>
  <c r="O498" i="2"/>
  <c r="U498" i="2"/>
  <c r="Z498" i="2"/>
  <c r="K499" i="2"/>
  <c r="Q499" i="2"/>
  <c r="V499" i="2"/>
  <c r="AA499" i="2"/>
  <c r="M500" i="2"/>
  <c r="R500" i="2"/>
  <c r="W500" i="2"/>
  <c r="I501" i="2"/>
  <c r="N501" i="2"/>
  <c r="S501" i="2"/>
  <c r="Y501" i="2"/>
  <c r="J502" i="2"/>
  <c r="O502" i="2"/>
  <c r="U502" i="2"/>
  <c r="Z502" i="2"/>
  <c r="K503" i="2"/>
  <c r="Q503" i="2"/>
  <c r="V503" i="2"/>
  <c r="AA503" i="2"/>
  <c r="M504" i="2"/>
  <c r="R504" i="2"/>
  <c r="W504" i="2"/>
  <c r="I505" i="2"/>
  <c r="N505" i="2"/>
  <c r="S505" i="2"/>
  <c r="Y505" i="2"/>
  <c r="J506" i="2"/>
  <c r="O506" i="2"/>
  <c r="U506" i="2"/>
  <c r="Z506" i="2"/>
  <c r="K507" i="2"/>
  <c r="Q507" i="2"/>
  <c r="V507" i="2"/>
  <c r="AA507" i="2"/>
  <c r="M508" i="2"/>
  <c r="R508" i="2"/>
  <c r="W508" i="2"/>
  <c r="I509" i="2"/>
  <c r="N509" i="2"/>
  <c r="S509" i="2"/>
  <c r="Y509" i="2"/>
  <c r="J510" i="2"/>
  <c r="O510" i="2"/>
  <c r="U510" i="2"/>
  <c r="Z510" i="2"/>
  <c r="K511" i="2"/>
  <c r="Q511" i="2"/>
  <c r="V511" i="2"/>
  <c r="AA511" i="2"/>
  <c r="M512" i="2"/>
  <c r="R512" i="2"/>
  <c r="W512" i="2"/>
  <c r="I513" i="2"/>
  <c r="N513" i="2"/>
  <c r="S513" i="2"/>
  <c r="Y513" i="2"/>
  <c r="J514" i="2"/>
  <c r="O514" i="2"/>
  <c r="U514" i="2"/>
  <c r="Z514" i="2"/>
  <c r="K515" i="2"/>
  <c r="Q515" i="2"/>
  <c r="V515" i="2"/>
  <c r="AA515" i="2"/>
  <c r="M516" i="2"/>
  <c r="R516" i="2"/>
  <c r="W516" i="2"/>
  <c r="I517" i="2"/>
  <c r="N517" i="2"/>
  <c r="S517" i="2"/>
  <c r="Y517" i="2"/>
  <c r="J518" i="2"/>
  <c r="O518" i="2"/>
  <c r="U518" i="2"/>
  <c r="Z518" i="2"/>
  <c r="K519" i="2"/>
  <c r="Q519" i="2"/>
  <c r="V519" i="2"/>
  <c r="AA519" i="2"/>
  <c r="M520" i="2"/>
  <c r="R520" i="2"/>
  <c r="W520" i="2"/>
  <c r="I521" i="2"/>
  <c r="N521" i="2"/>
  <c r="S521" i="2"/>
  <c r="Y521" i="2"/>
  <c r="J522" i="2"/>
  <c r="O522" i="2"/>
  <c r="U522" i="2"/>
  <c r="Z522" i="2"/>
  <c r="K523" i="2"/>
  <c r="Q523" i="2"/>
  <c r="V523" i="2"/>
  <c r="AA523" i="2"/>
  <c r="M524" i="2"/>
  <c r="R524" i="2"/>
  <c r="W524" i="2"/>
  <c r="I525" i="2"/>
  <c r="N525" i="2"/>
  <c r="S525" i="2"/>
  <c r="Y525" i="2"/>
  <c r="J526" i="2"/>
  <c r="O526" i="2"/>
  <c r="U526" i="2"/>
  <c r="Z526" i="2"/>
  <c r="K527" i="2"/>
  <c r="Q527" i="2"/>
  <c r="V527" i="2"/>
  <c r="AA527" i="2"/>
  <c r="M528" i="2"/>
  <c r="R528" i="2"/>
  <c r="W528" i="2"/>
  <c r="I529" i="2"/>
  <c r="N529" i="2"/>
  <c r="S529" i="2"/>
  <c r="Y529" i="2"/>
  <c r="J530" i="2"/>
  <c r="O530" i="2"/>
  <c r="U530" i="2"/>
  <c r="Z530" i="2"/>
  <c r="K531" i="2"/>
  <c r="Q531" i="2"/>
  <c r="V531" i="2"/>
  <c r="AA531" i="2"/>
  <c r="M532" i="2"/>
  <c r="R532" i="2"/>
  <c r="W532" i="2"/>
  <c r="I533" i="2"/>
  <c r="N533" i="2"/>
  <c r="S533" i="2"/>
  <c r="Y533" i="2"/>
  <c r="J534" i="2"/>
  <c r="O534" i="2"/>
  <c r="U534" i="2"/>
  <c r="Z534" i="2"/>
  <c r="K535" i="2"/>
  <c r="Q535" i="2"/>
  <c r="V535" i="2"/>
  <c r="AA535" i="2"/>
  <c r="M536" i="2"/>
  <c r="R536" i="2"/>
  <c r="W536" i="2"/>
  <c r="I537" i="2"/>
  <c r="N537" i="2"/>
  <c r="S537" i="2"/>
  <c r="Y537" i="2"/>
  <c r="J538" i="2"/>
  <c r="O538" i="2"/>
  <c r="U538" i="2"/>
  <c r="Z538" i="2"/>
  <c r="K539" i="2"/>
  <c r="Q539" i="2"/>
  <c r="V539" i="2"/>
  <c r="AA539" i="2"/>
  <c r="M540" i="2"/>
  <c r="R540" i="2"/>
  <c r="W540" i="2"/>
  <c r="I541" i="2"/>
  <c r="N541" i="2"/>
  <c r="S541" i="2"/>
  <c r="Y541" i="2"/>
  <c r="J542" i="2"/>
  <c r="O542" i="2"/>
  <c r="U542" i="2"/>
  <c r="Z542" i="2"/>
  <c r="K543" i="2"/>
  <c r="Q543" i="2"/>
  <c r="V543" i="2"/>
  <c r="AA543" i="2"/>
  <c r="M544" i="2"/>
  <c r="R544" i="2"/>
  <c r="W544" i="2"/>
  <c r="I545" i="2"/>
  <c r="N545" i="2"/>
  <c r="M93" i="2"/>
  <c r="P127" i="2"/>
  <c r="AA150" i="2"/>
  <c r="R159" i="2"/>
  <c r="J168" i="2"/>
  <c r="S176" i="2"/>
  <c r="J185" i="2"/>
  <c r="V193" i="2"/>
  <c r="K202" i="2"/>
  <c r="V210" i="2"/>
  <c r="N219" i="2"/>
  <c r="W227" i="2"/>
  <c r="V234" i="2"/>
  <c r="J241" i="2"/>
  <c r="N247" i="2"/>
  <c r="S251" i="2"/>
  <c r="J254" i="2"/>
  <c r="O256" i="2"/>
  <c r="R258" i="2"/>
  <c r="R260" i="2"/>
  <c r="W262" i="2"/>
  <c r="Z264" i="2"/>
  <c r="Z266" i="2"/>
  <c r="J269" i="2"/>
  <c r="R270" i="2"/>
  <c r="Z271" i="2"/>
  <c r="N273" i="2"/>
  <c r="W274" i="2"/>
  <c r="J276" i="2"/>
  <c r="S277" i="2"/>
  <c r="J279" i="2"/>
  <c r="O280" i="2"/>
  <c r="Z281" i="2"/>
  <c r="N283" i="2"/>
  <c r="V284" i="2"/>
  <c r="J286" i="2"/>
  <c r="S287" i="2"/>
  <c r="Z288" i="2"/>
  <c r="O290" i="2"/>
  <c r="Z291" i="2"/>
  <c r="K293" i="2"/>
  <c r="V294" i="2"/>
  <c r="J296" i="2"/>
  <c r="R297" i="2"/>
  <c r="Z298" i="2"/>
  <c r="O300" i="2"/>
  <c r="V301" i="2"/>
  <c r="K303" i="2"/>
  <c r="V304" i="2"/>
  <c r="AA305" i="2"/>
  <c r="R307" i="2"/>
  <c r="Z308" i="2"/>
  <c r="N310" i="2"/>
  <c r="V311" i="2"/>
  <c r="K313" i="2"/>
  <c r="R314" i="2"/>
  <c r="AA315" i="2"/>
  <c r="R317" i="2"/>
  <c r="W318" i="2"/>
  <c r="N320" i="2"/>
  <c r="V321" i="2"/>
  <c r="J323" i="2"/>
  <c r="R324" i="2"/>
  <c r="AA325" i="2"/>
  <c r="N327" i="2"/>
  <c r="W328" i="2"/>
  <c r="N330" i="2"/>
  <c r="S331" i="2"/>
  <c r="J333" i="2"/>
  <c r="R334" i="2"/>
  <c r="Z335" i="2"/>
  <c r="X336" i="2"/>
  <c r="W337" i="2"/>
  <c r="P338" i="2"/>
  <c r="K339" i="2"/>
  <c r="Z339" i="2"/>
  <c r="S340" i="2"/>
  <c r="N341" i="2"/>
  <c r="H342" i="2"/>
  <c r="V342" i="2"/>
  <c r="P343" i="2"/>
  <c r="K344" i="2"/>
  <c r="X344" i="2"/>
  <c r="S345" i="2"/>
  <c r="M346" i="2"/>
  <c r="W346" i="2"/>
  <c r="N347" i="2"/>
  <c r="Y347" i="2"/>
  <c r="O348" i="2"/>
  <c r="Z348" i="2"/>
  <c r="Q349" i="2"/>
  <c r="AA349" i="2"/>
  <c r="R350" i="2"/>
  <c r="I351" i="2"/>
  <c r="S351" i="2"/>
  <c r="J352" i="2"/>
  <c r="U352" i="2"/>
  <c r="K353" i="2"/>
  <c r="V353" i="2"/>
  <c r="M354" i="2"/>
  <c r="W354" i="2"/>
  <c r="N355" i="2"/>
  <c r="Y355" i="2"/>
  <c r="O356" i="2"/>
  <c r="Z356" i="2"/>
  <c r="Q357" i="2"/>
  <c r="AA357" i="2"/>
  <c r="R358" i="2"/>
  <c r="I359" i="2"/>
  <c r="S359" i="2"/>
  <c r="J360" i="2"/>
  <c r="U360" i="2"/>
  <c r="K361" i="2"/>
  <c r="V361" i="2"/>
  <c r="M362" i="2"/>
  <c r="W362" i="2"/>
  <c r="N363" i="2"/>
  <c r="Y363" i="2"/>
  <c r="O364" i="2"/>
  <c r="Z364" i="2"/>
  <c r="Q365" i="2"/>
  <c r="AA365" i="2"/>
  <c r="R366" i="2"/>
  <c r="I367" i="2"/>
  <c r="S367" i="2"/>
  <c r="J368" i="2"/>
  <c r="U368" i="2"/>
  <c r="K369" i="2"/>
  <c r="V369" i="2"/>
  <c r="M370" i="2"/>
  <c r="W370" i="2"/>
  <c r="N371" i="2"/>
  <c r="Y371" i="2"/>
  <c r="O372" i="2"/>
  <c r="Z372" i="2"/>
  <c r="Q373" i="2"/>
  <c r="AA373" i="2"/>
  <c r="R374" i="2"/>
  <c r="I375" i="2"/>
  <c r="S375" i="2"/>
  <c r="J376" i="2"/>
  <c r="U376" i="2"/>
  <c r="K377" i="2"/>
  <c r="V377" i="2"/>
  <c r="M378" i="2"/>
  <c r="W378" i="2"/>
  <c r="N379" i="2"/>
  <c r="Y379" i="2"/>
  <c r="O380" i="2"/>
  <c r="Z380" i="2"/>
  <c r="Q381" i="2"/>
  <c r="AA381" i="2"/>
  <c r="R382" i="2"/>
  <c r="I383" i="2"/>
  <c r="S383" i="2"/>
  <c r="J384" i="2"/>
  <c r="U384" i="2"/>
  <c r="K385" i="2"/>
  <c r="V385" i="2"/>
  <c r="M386" i="2"/>
  <c r="W386" i="2"/>
  <c r="N387" i="2"/>
  <c r="Y387" i="2"/>
  <c r="O388" i="2"/>
  <c r="Z388" i="2"/>
  <c r="Q389" i="2"/>
  <c r="AA389" i="2"/>
  <c r="R390" i="2"/>
  <c r="I391" i="2"/>
  <c r="S391" i="2"/>
  <c r="AA391" i="2"/>
  <c r="O392" i="2"/>
  <c r="V392" i="2"/>
  <c r="I393" i="2"/>
  <c r="Q393" i="2"/>
  <c r="W393" i="2"/>
  <c r="J394" i="2"/>
  <c r="R394" i="2"/>
  <c r="Y394" i="2"/>
  <c r="K395" i="2"/>
  <c r="S395" i="2"/>
  <c r="Z395" i="2"/>
  <c r="M396" i="2"/>
  <c r="U396" i="2"/>
  <c r="AA396" i="2"/>
  <c r="N397" i="2"/>
  <c r="V397" i="2"/>
  <c r="I398" i="2"/>
  <c r="O398" i="2"/>
  <c r="W398" i="2"/>
  <c r="J399" i="2"/>
  <c r="Q399" i="2"/>
  <c r="Y399" i="2"/>
  <c r="K400" i="2"/>
  <c r="R400" i="2"/>
  <c r="Z400" i="2"/>
  <c r="M401" i="2"/>
  <c r="S401" i="2"/>
  <c r="AA401" i="2"/>
  <c r="N402" i="2"/>
  <c r="U402" i="2"/>
  <c r="I403" i="2"/>
  <c r="O403" i="2"/>
  <c r="V403" i="2"/>
  <c r="J404" i="2"/>
  <c r="Q404" i="2"/>
  <c r="W404" i="2"/>
  <c r="K405" i="2"/>
  <c r="R405" i="2"/>
  <c r="Y405" i="2"/>
  <c r="M406" i="2"/>
  <c r="S406" i="2"/>
  <c r="Z406" i="2"/>
  <c r="N407" i="2"/>
  <c r="U407" i="2"/>
  <c r="AA407" i="2"/>
  <c r="O408" i="2"/>
  <c r="V408" i="2"/>
  <c r="I409" i="2"/>
  <c r="Q409" i="2"/>
  <c r="W409" i="2"/>
  <c r="J410" i="2"/>
  <c r="R410" i="2"/>
  <c r="Y410" i="2"/>
  <c r="K411" i="2"/>
  <c r="S411" i="2"/>
  <c r="Z411" i="2"/>
  <c r="M412" i="2"/>
  <c r="U412" i="2"/>
  <c r="AA412" i="2"/>
  <c r="N413" i="2"/>
  <c r="V413" i="2"/>
  <c r="I414" i="2"/>
  <c r="O414" i="2"/>
  <c r="W414" i="2"/>
  <c r="J415" i="2"/>
  <c r="Q415" i="2"/>
  <c r="Y415" i="2"/>
  <c r="K416" i="2"/>
  <c r="R416" i="2"/>
  <c r="Z416" i="2"/>
  <c r="M417" i="2"/>
  <c r="S417" i="2"/>
  <c r="AA417" i="2"/>
  <c r="N418" i="2"/>
  <c r="U418" i="2"/>
  <c r="I419" i="2"/>
  <c r="O419" i="2"/>
  <c r="V419" i="2"/>
  <c r="J420" i="2"/>
  <c r="Q420" i="2"/>
  <c r="W420" i="2"/>
  <c r="K421" i="2"/>
  <c r="R421" i="2"/>
  <c r="Y421" i="2"/>
  <c r="M422" i="2"/>
  <c r="S422" i="2"/>
  <c r="Z422" i="2"/>
  <c r="N423" i="2"/>
  <c r="U423" i="2"/>
  <c r="AA423" i="2"/>
  <c r="O424" i="2"/>
  <c r="V424" i="2"/>
  <c r="I425" i="2"/>
  <c r="Q425" i="2"/>
  <c r="W425" i="2"/>
  <c r="J426" i="2"/>
  <c r="R426" i="2"/>
  <c r="Y426" i="2"/>
  <c r="K427" i="2"/>
  <c r="S427" i="2"/>
  <c r="Z427" i="2"/>
  <c r="M428" i="2"/>
  <c r="U428" i="2"/>
  <c r="AA428" i="2"/>
  <c r="N429" i="2"/>
  <c r="V429" i="2"/>
  <c r="I430" i="2"/>
  <c r="O430" i="2"/>
  <c r="W430" i="2"/>
  <c r="J431" i="2"/>
  <c r="Q431" i="2"/>
  <c r="Y431" i="2"/>
  <c r="K432" i="2"/>
  <c r="R432" i="2"/>
  <c r="Z432" i="2"/>
  <c r="M433" i="2"/>
  <c r="S433" i="2"/>
  <c r="AA433" i="2"/>
  <c r="N434" i="2"/>
  <c r="U434" i="2"/>
  <c r="I435" i="2"/>
  <c r="O435" i="2"/>
  <c r="V435" i="2"/>
  <c r="J436" i="2"/>
  <c r="Q436" i="2"/>
  <c r="W436" i="2"/>
  <c r="K437" i="2"/>
  <c r="R437" i="2"/>
  <c r="Y437" i="2"/>
  <c r="M438" i="2"/>
  <c r="S438" i="2"/>
  <c r="Z438" i="2"/>
  <c r="N439" i="2"/>
  <c r="U439" i="2"/>
  <c r="AA439" i="2"/>
  <c r="O440" i="2"/>
  <c r="V440" i="2"/>
  <c r="I441" i="2"/>
  <c r="Q441" i="2"/>
  <c r="W441" i="2"/>
  <c r="J442" i="2"/>
  <c r="R442" i="2"/>
  <c r="Y442" i="2"/>
  <c r="K443" i="2"/>
  <c r="S443" i="2"/>
  <c r="Z443" i="2"/>
  <c r="M444" i="2"/>
  <c r="U444" i="2"/>
  <c r="AA444" i="2"/>
  <c r="N445" i="2"/>
  <c r="V445" i="2"/>
  <c r="I446" i="2"/>
  <c r="O446" i="2"/>
  <c r="W446" i="2"/>
  <c r="J447" i="2"/>
  <c r="Q447" i="2"/>
  <c r="Y447" i="2"/>
  <c r="K448" i="2"/>
  <c r="R448" i="2"/>
  <c r="Z448" i="2"/>
  <c r="M449" i="2"/>
  <c r="S449" i="2"/>
  <c r="AA449" i="2"/>
  <c r="N450" i="2"/>
  <c r="U450" i="2"/>
  <c r="I451" i="2"/>
  <c r="O451" i="2"/>
  <c r="V451" i="2"/>
  <c r="J452" i="2"/>
  <c r="Q452" i="2"/>
  <c r="W452" i="2"/>
  <c r="K453" i="2"/>
  <c r="R453" i="2"/>
  <c r="Y453" i="2"/>
  <c r="M454" i="2"/>
  <c r="S454" i="2"/>
  <c r="Z454" i="2"/>
  <c r="N455" i="2"/>
  <c r="U455" i="2"/>
  <c r="AA455" i="2"/>
  <c r="O456" i="2"/>
  <c r="V456" i="2"/>
  <c r="I457" i="2"/>
  <c r="Q457" i="2"/>
  <c r="W457" i="2"/>
  <c r="J458" i="2"/>
  <c r="R458" i="2"/>
  <c r="Y458" i="2"/>
  <c r="K459" i="2"/>
  <c r="S459" i="2"/>
  <c r="Z459" i="2"/>
  <c r="M460" i="2"/>
  <c r="U460" i="2"/>
  <c r="AA460" i="2"/>
  <c r="M461" i="2"/>
  <c r="R461" i="2"/>
  <c r="W461" i="2"/>
  <c r="I462" i="2"/>
  <c r="N462" i="2"/>
  <c r="S462" i="2"/>
  <c r="Y462" i="2"/>
  <c r="J463" i="2"/>
  <c r="O463" i="2"/>
  <c r="U463" i="2"/>
  <c r="Z463" i="2"/>
  <c r="K464" i="2"/>
  <c r="Q464" i="2"/>
  <c r="V464" i="2"/>
  <c r="AA464" i="2"/>
  <c r="M465" i="2"/>
  <c r="R465" i="2"/>
  <c r="W465" i="2"/>
  <c r="I466" i="2"/>
  <c r="N466" i="2"/>
  <c r="S466" i="2"/>
  <c r="Y466" i="2"/>
  <c r="J467" i="2"/>
  <c r="O467" i="2"/>
  <c r="U467" i="2"/>
  <c r="Z467" i="2"/>
  <c r="K468" i="2"/>
  <c r="Q468" i="2"/>
  <c r="V468" i="2"/>
  <c r="AA468" i="2"/>
  <c r="M469" i="2"/>
  <c r="R469" i="2"/>
  <c r="W469" i="2"/>
  <c r="I470" i="2"/>
  <c r="N470" i="2"/>
  <c r="S470" i="2"/>
  <c r="Y470" i="2"/>
  <c r="J471" i="2"/>
  <c r="O471" i="2"/>
  <c r="U471" i="2"/>
  <c r="Z471" i="2"/>
  <c r="K472" i="2"/>
  <c r="Q472" i="2"/>
  <c r="V472" i="2"/>
  <c r="AA472" i="2"/>
  <c r="M473" i="2"/>
  <c r="R473" i="2"/>
  <c r="W473" i="2"/>
  <c r="I474" i="2"/>
  <c r="N474" i="2"/>
  <c r="S474" i="2"/>
  <c r="Y474" i="2"/>
  <c r="J475" i="2"/>
  <c r="O475" i="2"/>
  <c r="U475" i="2"/>
  <c r="Z475" i="2"/>
  <c r="K476" i="2"/>
  <c r="Q476" i="2"/>
  <c r="V476" i="2"/>
  <c r="AA476" i="2"/>
  <c r="M477" i="2"/>
  <c r="R477" i="2"/>
  <c r="W477" i="2"/>
  <c r="I478" i="2"/>
  <c r="N478" i="2"/>
  <c r="S478" i="2"/>
  <c r="Y478" i="2"/>
  <c r="J479" i="2"/>
  <c r="O479" i="2"/>
  <c r="U479" i="2"/>
  <c r="Z479" i="2"/>
  <c r="K480" i="2"/>
  <c r="Q480" i="2"/>
  <c r="V480" i="2"/>
  <c r="AA480" i="2"/>
  <c r="M481" i="2"/>
  <c r="R481" i="2"/>
  <c r="W481" i="2"/>
  <c r="I482" i="2"/>
  <c r="N482" i="2"/>
  <c r="S482" i="2"/>
  <c r="Y482" i="2"/>
  <c r="J483" i="2"/>
  <c r="O483" i="2"/>
  <c r="U483" i="2"/>
  <c r="Z483" i="2"/>
  <c r="K484" i="2"/>
  <c r="Q484" i="2"/>
  <c r="V484" i="2"/>
  <c r="AA484" i="2"/>
  <c r="M485" i="2"/>
  <c r="R485" i="2"/>
  <c r="W485" i="2"/>
  <c r="I486" i="2"/>
  <c r="N486" i="2"/>
  <c r="S486" i="2"/>
  <c r="Y486" i="2"/>
  <c r="J487" i="2"/>
  <c r="O487" i="2"/>
  <c r="U487" i="2"/>
  <c r="Z487" i="2"/>
  <c r="K488" i="2"/>
  <c r="Q488" i="2"/>
  <c r="V488" i="2"/>
  <c r="AA488" i="2"/>
  <c r="M489" i="2"/>
  <c r="R489" i="2"/>
  <c r="W489" i="2"/>
  <c r="I490" i="2"/>
  <c r="N490" i="2"/>
  <c r="S490" i="2"/>
  <c r="Y490" i="2"/>
  <c r="J491" i="2"/>
  <c r="O491" i="2"/>
  <c r="U491" i="2"/>
  <c r="Z491" i="2"/>
  <c r="K492" i="2"/>
  <c r="Q492" i="2"/>
  <c r="V492" i="2"/>
  <c r="AA492" i="2"/>
  <c r="M493" i="2"/>
  <c r="R493" i="2"/>
  <c r="W493" i="2"/>
  <c r="I494" i="2"/>
  <c r="N494" i="2"/>
  <c r="S494" i="2"/>
  <c r="Y494" i="2"/>
  <c r="J495" i="2"/>
  <c r="O495" i="2"/>
  <c r="U495" i="2"/>
  <c r="Z495" i="2"/>
  <c r="K496" i="2"/>
  <c r="Q496" i="2"/>
  <c r="V496" i="2"/>
  <c r="AA496" i="2"/>
  <c r="M497" i="2"/>
  <c r="R497" i="2"/>
  <c r="W497" i="2"/>
  <c r="I498" i="2"/>
  <c r="N498" i="2"/>
  <c r="S498" i="2"/>
  <c r="Y498" i="2"/>
  <c r="J499" i="2"/>
  <c r="O499" i="2"/>
  <c r="U499" i="2"/>
  <c r="Z499" i="2"/>
  <c r="K500" i="2"/>
  <c r="Q500" i="2"/>
  <c r="V500" i="2"/>
  <c r="AA500" i="2"/>
  <c r="M501" i="2"/>
  <c r="R501" i="2"/>
  <c r="W501" i="2"/>
  <c r="I502" i="2"/>
  <c r="N502" i="2"/>
  <c r="S502" i="2"/>
  <c r="Y502" i="2"/>
  <c r="J503" i="2"/>
  <c r="O503" i="2"/>
  <c r="U503" i="2"/>
  <c r="Z503" i="2"/>
  <c r="K504" i="2"/>
  <c r="Q504" i="2"/>
  <c r="V504" i="2"/>
  <c r="AA504" i="2"/>
  <c r="M505" i="2"/>
  <c r="R505" i="2"/>
  <c r="W505" i="2"/>
  <c r="I506" i="2"/>
  <c r="N506" i="2"/>
  <c r="S506" i="2"/>
  <c r="Y506" i="2"/>
  <c r="J507" i="2"/>
  <c r="O507" i="2"/>
  <c r="U507" i="2"/>
  <c r="Z507" i="2"/>
  <c r="K508" i="2"/>
  <c r="Q508" i="2"/>
  <c r="V508" i="2"/>
  <c r="AA508" i="2"/>
  <c r="M509" i="2"/>
  <c r="R509" i="2"/>
  <c r="W509" i="2"/>
  <c r="I510" i="2"/>
  <c r="N510" i="2"/>
  <c r="S510" i="2"/>
  <c r="Y510" i="2"/>
  <c r="J511" i="2"/>
  <c r="O511" i="2"/>
  <c r="U511" i="2"/>
  <c r="Z511" i="2"/>
  <c r="K512" i="2"/>
  <c r="Q512" i="2"/>
  <c r="V512" i="2"/>
  <c r="AA512" i="2"/>
  <c r="M513" i="2"/>
  <c r="R513" i="2"/>
  <c r="W513" i="2"/>
  <c r="I514" i="2"/>
  <c r="N514" i="2"/>
  <c r="S514" i="2"/>
  <c r="Y514" i="2"/>
  <c r="J515" i="2"/>
  <c r="O515" i="2"/>
  <c r="U515" i="2"/>
  <c r="Z515" i="2"/>
  <c r="K516" i="2"/>
  <c r="Q516" i="2"/>
  <c r="V516" i="2"/>
  <c r="AA516" i="2"/>
  <c r="M517" i="2"/>
  <c r="R517" i="2"/>
  <c r="W517" i="2"/>
  <c r="I518" i="2"/>
  <c r="N518" i="2"/>
  <c r="S518" i="2"/>
  <c r="Y518" i="2"/>
  <c r="J519" i="2"/>
  <c r="O519" i="2"/>
  <c r="U519" i="2"/>
  <c r="Z519" i="2"/>
  <c r="K520" i="2"/>
  <c r="Q520" i="2"/>
  <c r="V520" i="2"/>
  <c r="AA520" i="2"/>
  <c r="M521" i="2"/>
  <c r="R521" i="2"/>
  <c r="W521" i="2"/>
  <c r="I522" i="2"/>
  <c r="N522" i="2"/>
  <c r="S522" i="2"/>
  <c r="Y522" i="2"/>
  <c r="J523" i="2"/>
  <c r="O523" i="2"/>
  <c r="U523" i="2"/>
  <c r="Z523" i="2"/>
  <c r="K524" i="2"/>
  <c r="Q524" i="2"/>
  <c r="V524" i="2"/>
  <c r="AA524" i="2"/>
  <c r="M525" i="2"/>
  <c r="R525" i="2"/>
  <c r="W525" i="2"/>
  <c r="I526" i="2"/>
  <c r="N526" i="2"/>
  <c r="S526" i="2"/>
  <c r="Y526" i="2"/>
  <c r="J527" i="2"/>
  <c r="O527" i="2"/>
  <c r="U527" i="2"/>
  <c r="Z527" i="2"/>
  <c r="K528" i="2"/>
  <c r="Q528" i="2"/>
  <c r="V528" i="2"/>
  <c r="AA528" i="2"/>
  <c r="M529" i="2"/>
  <c r="R529" i="2"/>
  <c r="W529" i="2"/>
  <c r="I530" i="2"/>
  <c r="N530" i="2"/>
  <c r="S530" i="2"/>
  <c r="Y530" i="2"/>
  <c r="J531" i="2"/>
  <c r="O531" i="2"/>
  <c r="U531" i="2"/>
  <c r="Z531" i="2"/>
  <c r="K532" i="2"/>
  <c r="Q532" i="2"/>
  <c r="V532" i="2"/>
  <c r="AA532" i="2"/>
  <c r="M533" i="2"/>
  <c r="R533" i="2"/>
  <c r="W533" i="2"/>
  <c r="I534" i="2"/>
  <c r="N534" i="2"/>
  <c r="S534" i="2"/>
  <c r="Y534" i="2"/>
  <c r="J535" i="2"/>
  <c r="O535" i="2"/>
  <c r="U535" i="2"/>
  <c r="Z535" i="2"/>
  <c r="K536" i="2"/>
  <c r="Q536" i="2"/>
  <c r="V536" i="2"/>
  <c r="AA536" i="2"/>
  <c r="M537" i="2"/>
  <c r="R537" i="2"/>
  <c r="W537" i="2"/>
  <c r="I538" i="2"/>
  <c r="N538" i="2"/>
  <c r="S538" i="2"/>
  <c r="Y538" i="2"/>
  <c r="J539" i="2"/>
  <c r="O539" i="2"/>
  <c r="U539" i="2"/>
  <c r="Z539" i="2"/>
  <c r="K540" i="2"/>
  <c r="Q540" i="2"/>
  <c r="V540" i="2"/>
  <c r="AA540" i="2"/>
  <c r="M541" i="2"/>
  <c r="R541" i="2"/>
  <c r="W541" i="2"/>
  <c r="I542" i="2"/>
  <c r="N542" i="2"/>
  <c r="S542" i="2"/>
  <c r="Y542" i="2"/>
  <c r="J543" i="2"/>
  <c r="O543" i="2"/>
  <c r="U543" i="2"/>
  <c r="Z543" i="2"/>
  <c r="K544" i="2"/>
  <c r="Q544" i="2"/>
  <c r="V544" i="2"/>
  <c r="AA544" i="2"/>
  <c r="M545" i="2"/>
  <c r="R545" i="2"/>
  <c r="W545" i="2"/>
  <c r="I546" i="2"/>
  <c r="N546" i="2"/>
  <c r="S546" i="2"/>
  <c r="Y546" i="2"/>
  <c r="J547" i="2"/>
  <c r="O547" i="2"/>
  <c r="U547" i="2"/>
  <c r="Z547" i="2"/>
  <c r="K548" i="2"/>
  <c r="Q548" i="2"/>
  <c r="V548" i="2"/>
  <c r="AA548" i="2"/>
  <c r="M549" i="2"/>
  <c r="R549" i="2"/>
  <c r="W549" i="2"/>
  <c r="I550" i="2"/>
  <c r="N550" i="2"/>
  <c r="S550" i="2"/>
  <c r="Y550" i="2"/>
  <c r="J551" i="2"/>
  <c r="O551" i="2"/>
  <c r="U551" i="2"/>
  <c r="Z551" i="2"/>
  <c r="K552" i="2"/>
  <c r="Q552" i="2"/>
  <c r="V552" i="2"/>
  <c r="AA552" i="2"/>
  <c r="M553" i="2"/>
  <c r="R553" i="2"/>
  <c r="W553" i="2"/>
  <c r="I554" i="2"/>
  <c r="N554" i="2"/>
  <c r="S554" i="2"/>
  <c r="Y554" i="2"/>
  <c r="J555" i="2"/>
  <c r="O555" i="2"/>
  <c r="U555" i="2"/>
  <c r="Z555" i="2"/>
  <c r="K556" i="2"/>
  <c r="Q556" i="2"/>
  <c r="V556" i="2"/>
  <c r="AA556" i="2"/>
  <c r="M557" i="2"/>
  <c r="R557" i="2"/>
  <c r="W557" i="2"/>
  <c r="I558" i="2"/>
  <c r="N558" i="2"/>
  <c r="S558" i="2"/>
  <c r="Y558" i="2"/>
  <c r="J559" i="2"/>
  <c r="O559" i="2"/>
  <c r="U559" i="2"/>
  <c r="Z559" i="2"/>
  <c r="K560" i="2"/>
  <c r="Q560" i="2"/>
  <c r="V560" i="2"/>
  <c r="AA560" i="2"/>
  <c r="M561" i="2"/>
  <c r="R561" i="2"/>
  <c r="W561" i="2"/>
  <c r="I562" i="2"/>
  <c r="N562" i="2"/>
  <c r="S562" i="2"/>
  <c r="Y562" i="2"/>
  <c r="J563" i="2"/>
  <c r="O563" i="2"/>
  <c r="U563" i="2"/>
  <c r="Z563" i="2"/>
  <c r="K564" i="2"/>
  <c r="Q564" i="2"/>
  <c r="V564" i="2"/>
  <c r="AA564" i="2"/>
  <c r="M565" i="2"/>
  <c r="R565" i="2"/>
  <c r="W565" i="2"/>
  <c r="I566" i="2"/>
  <c r="N566" i="2"/>
  <c r="S566" i="2"/>
  <c r="Y566" i="2"/>
  <c r="J567" i="2"/>
  <c r="O567" i="2"/>
  <c r="U567" i="2"/>
  <c r="Z567" i="2"/>
  <c r="K568" i="2"/>
  <c r="Q568" i="2"/>
  <c r="V568" i="2"/>
  <c r="AA568" i="2"/>
  <c r="M569" i="2"/>
  <c r="R569" i="2"/>
  <c r="W569" i="2"/>
  <c r="AA569" i="2"/>
  <c r="K570" i="2"/>
  <c r="O570" i="2"/>
  <c r="S570" i="2"/>
  <c r="W570" i="2"/>
  <c r="AA570" i="2"/>
  <c r="K571" i="2"/>
  <c r="O571" i="2"/>
  <c r="S571" i="2"/>
  <c r="W571" i="2"/>
  <c r="AA571" i="2"/>
  <c r="K572" i="2"/>
  <c r="O572" i="2"/>
  <c r="S572" i="2"/>
  <c r="W572" i="2"/>
  <c r="AA572" i="2"/>
  <c r="K573" i="2"/>
  <c r="O573" i="2"/>
  <c r="S573" i="2"/>
  <c r="W573" i="2"/>
  <c r="AA573" i="2"/>
  <c r="K574" i="2"/>
  <c r="O574" i="2"/>
  <c r="S574" i="2"/>
  <c r="W574" i="2"/>
  <c r="AA574" i="2"/>
  <c r="K575" i="2"/>
  <c r="O575" i="2"/>
  <c r="S575" i="2"/>
  <c r="W575" i="2"/>
  <c r="AA575" i="2"/>
  <c r="O110" i="2"/>
  <c r="N155" i="2"/>
  <c r="N172" i="2"/>
  <c r="O189" i="2"/>
  <c r="R206" i="2"/>
  <c r="R223" i="2"/>
  <c r="Z237" i="2"/>
  <c r="Q249" i="2"/>
  <c r="N255" i="2"/>
  <c r="S259" i="2"/>
  <c r="V263" i="2"/>
  <c r="J268" i="2"/>
  <c r="K271" i="2"/>
  <c r="AA273" i="2"/>
  <c r="Z276" i="2"/>
  <c r="V279" i="2"/>
  <c r="R282" i="2"/>
  <c r="R285" i="2"/>
  <c r="N288" i="2"/>
  <c r="J291" i="2"/>
  <c r="AA293" i="2"/>
  <c r="W296" i="2"/>
  <c r="S299" i="2"/>
  <c r="R302" i="2"/>
  <c r="N305" i="2"/>
  <c r="J308" i="2"/>
  <c r="J311" i="2"/>
  <c r="Z313" i="2"/>
  <c r="V316" i="2"/>
  <c r="S319" i="2"/>
  <c r="O322" i="2"/>
  <c r="K325" i="2"/>
  <c r="J328" i="2"/>
  <c r="Z330" i="2"/>
  <c r="V333" i="2"/>
  <c r="P336" i="2"/>
  <c r="J338" i="2"/>
  <c r="R339" i="2"/>
  <c r="AA340" i="2"/>
  <c r="O342" i="2"/>
  <c r="W343" i="2"/>
  <c r="L345" i="2"/>
  <c r="R346" i="2"/>
  <c r="S347" i="2"/>
  <c r="U348" i="2"/>
  <c r="V349" i="2"/>
  <c r="W350" i="2"/>
  <c r="Y351" i="2"/>
  <c r="Z352" i="2"/>
  <c r="AA353" i="2"/>
  <c r="I355" i="2"/>
  <c r="J356" i="2"/>
  <c r="K357" i="2"/>
  <c r="M358" i="2"/>
  <c r="N359" i="2"/>
  <c r="O360" i="2"/>
  <c r="Q361" i="2"/>
  <c r="R362" i="2"/>
  <c r="S363" i="2"/>
  <c r="U364" i="2"/>
  <c r="V365" i="2"/>
  <c r="W366" i="2"/>
  <c r="Y367" i="2"/>
  <c r="Z368" i="2"/>
  <c r="AA369" i="2"/>
  <c r="I371" i="2"/>
  <c r="J372" i="2"/>
  <c r="K373" i="2"/>
  <c r="M374" i="2"/>
  <c r="N375" i="2"/>
  <c r="O376" i="2"/>
  <c r="Q377" i="2"/>
  <c r="R378" i="2"/>
  <c r="S379" i="2"/>
  <c r="U380" i="2"/>
  <c r="V381" i="2"/>
  <c r="W382" i="2"/>
  <c r="Y383" i="2"/>
  <c r="Z384" i="2"/>
  <c r="AA385" i="2"/>
  <c r="I387" i="2"/>
  <c r="J388" i="2"/>
  <c r="K389" i="2"/>
  <c r="M390" i="2"/>
  <c r="N391" i="2"/>
  <c r="K392" i="2"/>
  <c r="Z392" i="2"/>
  <c r="S393" i="2"/>
  <c r="N394" i="2"/>
  <c r="I395" i="2"/>
  <c r="V395" i="2"/>
  <c r="Q396" i="2"/>
  <c r="K397" i="2"/>
  <c r="Y397" i="2"/>
  <c r="S398" i="2"/>
  <c r="N399" i="2"/>
  <c r="AA399" i="2"/>
  <c r="V400" i="2"/>
  <c r="Q401" i="2"/>
  <c r="J402" i="2"/>
  <c r="Y402" i="2"/>
  <c r="S403" i="2"/>
  <c r="M404" i="2"/>
  <c r="AA404" i="2"/>
  <c r="V405" i="2"/>
  <c r="O406" i="2"/>
  <c r="J407" i="2"/>
  <c r="Y407" i="2"/>
  <c r="R408" i="2"/>
  <c r="M409" i="2"/>
  <c r="AA409" i="2"/>
  <c r="U410" i="2"/>
  <c r="O411" i="2"/>
  <c r="J412" i="2"/>
  <c r="W412" i="2"/>
  <c r="R413" i="2"/>
  <c r="M414" i="2"/>
  <c r="Z414" i="2"/>
  <c r="U415" i="2"/>
  <c r="O416" i="2"/>
  <c r="I417" i="2"/>
  <c r="W417" i="2"/>
  <c r="R418" i="2"/>
  <c r="K419" i="2"/>
  <c r="Z419" i="2"/>
  <c r="U420" i="2"/>
  <c r="N421" i="2"/>
  <c r="I422" i="2"/>
  <c r="W422" i="2"/>
  <c r="Q423" i="2"/>
  <c r="K424" i="2"/>
  <c r="Z424" i="2"/>
  <c r="S425" i="2"/>
  <c r="N426" i="2"/>
  <c r="I427" i="2"/>
  <c r="V427" i="2"/>
  <c r="Q428" i="2"/>
  <c r="K429" i="2"/>
  <c r="Y429" i="2"/>
  <c r="S430" i="2"/>
  <c r="N431" i="2"/>
  <c r="AA431" i="2"/>
  <c r="V432" i="2"/>
  <c r="Q433" i="2"/>
  <c r="J434" i="2"/>
  <c r="Y434" i="2"/>
  <c r="S435" i="2"/>
  <c r="M436" i="2"/>
  <c r="AA436" i="2"/>
  <c r="V437" i="2"/>
  <c r="O438" i="2"/>
  <c r="J439" i="2"/>
  <c r="Y439" i="2"/>
  <c r="R440" i="2"/>
  <c r="M441" i="2"/>
  <c r="AA441" i="2"/>
  <c r="U442" i="2"/>
  <c r="O443" i="2"/>
  <c r="J444" i="2"/>
  <c r="W444" i="2"/>
  <c r="R445" i="2"/>
  <c r="M446" i="2"/>
  <c r="Z446" i="2"/>
  <c r="U447" i="2"/>
  <c r="O448" i="2"/>
  <c r="I449" i="2"/>
  <c r="W449" i="2"/>
  <c r="R450" i="2"/>
  <c r="K451" i="2"/>
  <c r="Z451" i="2"/>
  <c r="U452" i="2"/>
  <c r="N453" i="2"/>
  <c r="I454" i="2"/>
  <c r="W454" i="2"/>
  <c r="Q455" i="2"/>
  <c r="K456" i="2"/>
  <c r="Z456" i="2"/>
  <c r="S457" i="2"/>
  <c r="N458" i="2"/>
  <c r="I459" i="2"/>
  <c r="V459" i="2"/>
  <c r="Q460" i="2"/>
  <c r="J461" i="2"/>
  <c r="U461" i="2"/>
  <c r="K462" i="2"/>
  <c r="V462" i="2"/>
  <c r="M463" i="2"/>
  <c r="W463" i="2"/>
  <c r="N464" i="2"/>
  <c r="Y464" i="2"/>
  <c r="O465" i="2"/>
  <c r="Z465" i="2"/>
  <c r="Q466" i="2"/>
  <c r="AA466" i="2"/>
  <c r="R467" i="2"/>
  <c r="I468" i="2"/>
  <c r="S468" i="2"/>
  <c r="J469" i="2"/>
  <c r="U469" i="2"/>
  <c r="K470" i="2"/>
  <c r="V470" i="2"/>
  <c r="M471" i="2"/>
  <c r="W471" i="2"/>
  <c r="N472" i="2"/>
  <c r="Y472" i="2"/>
  <c r="O473" i="2"/>
  <c r="Z473" i="2"/>
  <c r="Q474" i="2"/>
  <c r="AA474" i="2"/>
  <c r="R475" i="2"/>
  <c r="I476" i="2"/>
  <c r="S476" i="2"/>
  <c r="J477" i="2"/>
  <c r="U477" i="2"/>
  <c r="K478" i="2"/>
  <c r="V478" i="2"/>
  <c r="M479" i="2"/>
  <c r="W479" i="2"/>
  <c r="N480" i="2"/>
  <c r="Y480" i="2"/>
  <c r="O481" i="2"/>
  <c r="Z481" i="2"/>
  <c r="Q482" i="2"/>
  <c r="AA482" i="2"/>
  <c r="R483" i="2"/>
  <c r="I484" i="2"/>
  <c r="S484" i="2"/>
  <c r="J485" i="2"/>
  <c r="U485" i="2"/>
  <c r="K486" i="2"/>
  <c r="V486" i="2"/>
  <c r="M487" i="2"/>
  <c r="W487" i="2"/>
  <c r="N488" i="2"/>
  <c r="Y488" i="2"/>
  <c r="O489" i="2"/>
  <c r="Z489" i="2"/>
  <c r="Q490" i="2"/>
  <c r="AA490" i="2"/>
  <c r="R491" i="2"/>
  <c r="I492" i="2"/>
  <c r="S492" i="2"/>
  <c r="J493" i="2"/>
  <c r="U493" i="2"/>
  <c r="K494" i="2"/>
  <c r="V494" i="2"/>
  <c r="M495" i="2"/>
  <c r="W495" i="2"/>
  <c r="N496" i="2"/>
  <c r="Y496" i="2"/>
  <c r="O497" i="2"/>
  <c r="Z497" i="2"/>
  <c r="Q498" i="2"/>
  <c r="AA498" i="2"/>
  <c r="R499" i="2"/>
  <c r="I500" i="2"/>
  <c r="S500" i="2"/>
  <c r="J501" i="2"/>
  <c r="U501" i="2"/>
  <c r="K502" i="2"/>
  <c r="V502" i="2"/>
  <c r="M503" i="2"/>
  <c r="W503" i="2"/>
  <c r="N504" i="2"/>
  <c r="Y504" i="2"/>
  <c r="O505" i="2"/>
  <c r="Z505" i="2"/>
  <c r="Q506" i="2"/>
  <c r="AA506" i="2"/>
  <c r="R507" i="2"/>
  <c r="I508" i="2"/>
  <c r="S508" i="2"/>
  <c r="J509" i="2"/>
  <c r="U509" i="2"/>
  <c r="K510" i="2"/>
  <c r="V510" i="2"/>
  <c r="M511" i="2"/>
  <c r="W511" i="2"/>
  <c r="N512" i="2"/>
  <c r="Y512" i="2"/>
  <c r="O513" i="2"/>
  <c r="Z513" i="2"/>
  <c r="Q514" i="2"/>
  <c r="AA514" i="2"/>
  <c r="R515" i="2"/>
  <c r="I516" i="2"/>
  <c r="S516" i="2"/>
  <c r="J517" i="2"/>
  <c r="U517" i="2"/>
  <c r="K518" i="2"/>
  <c r="V518" i="2"/>
  <c r="M519" i="2"/>
  <c r="W519" i="2"/>
  <c r="N520" i="2"/>
  <c r="Y520" i="2"/>
  <c r="O521" i="2"/>
  <c r="Z521" i="2"/>
  <c r="Q522" i="2"/>
  <c r="AA522" i="2"/>
  <c r="R523" i="2"/>
  <c r="I524" i="2"/>
  <c r="S524" i="2"/>
  <c r="J525" i="2"/>
  <c r="U525" i="2"/>
  <c r="K526" i="2"/>
  <c r="V526" i="2"/>
  <c r="M527" i="2"/>
  <c r="W527" i="2"/>
  <c r="N528" i="2"/>
  <c r="Y528" i="2"/>
  <c r="O529" i="2"/>
  <c r="Z529" i="2"/>
  <c r="Q530" i="2"/>
  <c r="AA530" i="2"/>
  <c r="R531" i="2"/>
  <c r="I532" i="2"/>
  <c r="S532" i="2"/>
  <c r="J533" i="2"/>
  <c r="U533" i="2"/>
  <c r="K534" i="2"/>
  <c r="V534" i="2"/>
  <c r="M535" i="2"/>
  <c r="W535" i="2"/>
  <c r="N536" i="2"/>
  <c r="Y536" i="2"/>
  <c r="O537" i="2"/>
  <c r="Z537" i="2"/>
  <c r="Q538" i="2"/>
  <c r="AA538" i="2"/>
  <c r="R539" i="2"/>
  <c r="I540" i="2"/>
  <c r="S540" i="2"/>
  <c r="J541" i="2"/>
  <c r="U541" i="2"/>
  <c r="K542" i="2"/>
  <c r="V542" i="2"/>
  <c r="M543" i="2"/>
  <c r="W543" i="2"/>
  <c r="N544" i="2"/>
  <c r="Y544" i="2"/>
  <c r="O545" i="2"/>
  <c r="V545" i="2"/>
  <c r="J546" i="2"/>
  <c r="Q546" i="2"/>
  <c r="W546" i="2"/>
  <c r="K547" i="2"/>
  <c r="R547" i="2"/>
  <c r="Y547" i="2"/>
  <c r="M548" i="2"/>
  <c r="S548" i="2"/>
  <c r="Z548" i="2"/>
  <c r="N549" i="2"/>
  <c r="U549" i="2"/>
  <c r="AA549" i="2"/>
  <c r="O550" i="2"/>
  <c r="V550" i="2"/>
  <c r="I551" i="2"/>
  <c r="Q551" i="2"/>
  <c r="W551" i="2"/>
  <c r="J552" i="2"/>
  <c r="R552" i="2"/>
  <c r="Y552" i="2"/>
  <c r="K553" i="2"/>
  <c r="S553" i="2"/>
  <c r="Z553" i="2"/>
  <c r="M554" i="2"/>
  <c r="U554" i="2"/>
  <c r="AA554" i="2"/>
  <c r="N555" i="2"/>
  <c r="V555" i="2"/>
  <c r="I556" i="2"/>
  <c r="O556" i="2"/>
  <c r="W556" i="2"/>
  <c r="J557" i="2"/>
  <c r="Q557" i="2"/>
  <c r="Y557" i="2"/>
  <c r="K558" i="2"/>
  <c r="R558" i="2"/>
  <c r="Z558" i="2"/>
  <c r="M559" i="2"/>
  <c r="S559" i="2"/>
  <c r="AA559" i="2"/>
  <c r="N560" i="2"/>
  <c r="U560" i="2"/>
  <c r="I561" i="2"/>
  <c r="O561" i="2"/>
  <c r="V561" i="2"/>
  <c r="J562" i="2"/>
  <c r="Q562" i="2"/>
  <c r="W562" i="2"/>
  <c r="K563" i="2"/>
  <c r="R563" i="2"/>
  <c r="Y563" i="2"/>
  <c r="M564" i="2"/>
  <c r="S564" i="2"/>
  <c r="Z564" i="2"/>
  <c r="N565" i="2"/>
  <c r="U565" i="2"/>
  <c r="AA565" i="2"/>
  <c r="O566" i="2"/>
  <c r="V566" i="2"/>
  <c r="I567" i="2"/>
  <c r="Q567" i="2"/>
  <c r="W567" i="2"/>
  <c r="J568" i="2"/>
  <c r="R568" i="2"/>
  <c r="Y568" i="2"/>
  <c r="K569" i="2"/>
  <c r="S569" i="2"/>
  <c r="Y569" i="2"/>
  <c r="J570" i="2"/>
  <c r="P570" i="2"/>
  <c r="U570" i="2"/>
  <c r="Z570" i="2"/>
  <c r="L571" i="2"/>
  <c r="Q571" i="2"/>
  <c r="V571" i="2"/>
  <c r="H572" i="2"/>
  <c r="M572" i="2"/>
  <c r="R572" i="2"/>
  <c r="X572" i="2"/>
  <c r="I573" i="2"/>
  <c r="N573" i="2"/>
  <c r="T573" i="2"/>
  <c r="Y573" i="2"/>
  <c r="J574" i="2"/>
  <c r="P574" i="2"/>
  <c r="U574" i="2"/>
  <c r="Z574" i="2"/>
  <c r="L575" i="2"/>
  <c r="Q575" i="2"/>
  <c r="V575" i="2"/>
  <c r="H576" i="2"/>
  <c r="L576" i="2"/>
  <c r="P576" i="2"/>
  <c r="T576" i="2"/>
  <c r="X576" i="2"/>
  <c r="H577" i="2"/>
  <c r="L577" i="2"/>
  <c r="P577" i="2"/>
  <c r="T577" i="2"/>
  <c r="X577" i="2"/>
  <c r="H578" i="2"/>
  <c r="L578" i="2"/>
  <c r="P578" i="2"/>
  <c r="T578" i="2"/>
  <c r="X578" i="2"/>
  <c r="H579" i="2"/>
  <c r="L579" i="2"/>
  <c r="P579" i="2"/>
  <c r="T579" i="2"/>
  <c r="X579" i="2"/>
  <c r="H580" i="2"/>
  <c r="L580" i="2"/>
  <c r="P580" i="2"/>
  <c r="T580" i="2"/>
  <c r="X580" i="2"/>
  <c r="H581" i="2"/>
  <c r="L581" i="2"/>
  <c r="P581" i="2"/>
  <c r="T581" i="2"/>
  <c r="X581" i="2"/>
  <c r="H582" i="2"/>
  <c r="L582" i="2"/>
  <c r="P582" i="2"/>
  <c r="T582" i="2"/>
  <c r="X582" i="2"/>
  <c r="H583" i="2"/>
  <c r="L583" i="2"/>
  <c r="P583" i="2"/>
  <c r="T583" i="2"/>
  <c r="X583" i="2"/>
  <c r="H584" i="2"/>
  <c r="L584" i="2"/>
  <c r="P584" i="2"/>
  <c r="T584" i="2"/>
  <c r="X584" i="2"/>
  <c r="H585" i="2"/>
  <c r="L585" i="2"/>
  <c r="P585" i="2"/>
  <c r="T585" i="2"/>
  <c r="X585" i="2"/>
  <c r="H586" i="2"/>
  <c r="L586" i="2"/>
  <c r="P586" i="2"/>
  <c r="T586" i="2"/>
  <c r="X586" i="2"/>
  <c r="H587" i="2"/>
  <c r="L587" i="2"/>
  <c r="P587" i="2"/>
  <c r="T587" i="2"/>
  <c r="X587" i="2"/>
  <c r="H588" i="2"/>
  <c r="L588" i="2"/>
  <c r="P588" i="2"/>
  <c r="T588" i="2"/>
  <c r="X588" i="2"/>
  <c r="H589" i="2"/>
  <c r="L589" i="2"/>
  <c r="P589" i="2"/>
  <c r="T589" i="2"/>
  <c r="X589" i="2"/>
  <c r="H590" i="2"/>
  <c r="L590" i="2"/>
  <c r="P590" i="2"/>
  <c r="T590" i="2"/>
  <c r="X590" i="2"/>
  <c r="H591" i="2"/>
  <c r="L591" i="2"/>
  <c r="P591" i="2"/>
  <c r="T591" i="2"/>
  <c r="X591" i="2"/>
  <c r="H592" i="2"/>
  <c r="L592" i="2"/>
  <c r="P592" i="2"/>
  <c r="T592" i="2"/>
  <c r="X592" i="2"/>
  <c r="H593" i="2"/>
  <c r="L593" i="2"/>
  <c r="P593" i="2"/>
  <c r="T593" i="2"/>
  <c r="X593" i="2"/>
  <c r="H594" i="2"/>
  <c r="L594" i="2"/>
  <c r="P594" i="2"/>
  <c r="T594" i="2"/>
  <c r="X594" i="2"/>
  <c r="H595" i="2"/>
  <c r="L595" i="2"/>
  <c r="P595" i="2"/>
  <c r="T595" i="2"/>
  <c r="X595" i="2"/>
  <c r="H596" i="2"/>
  <c r="L596" i="2"/>
  <c r="P596" i="2"/>
  <c r="T596" i="2"/>
  <c r="X596" i="2"/>
  <c r="H597" i="2"/>
  <c r="L597" i="2"/>
  <c r="P597" i="2"/>
  <c r="T597" i="2"/>
  <c r="X597" i="2"/>
  <c r="H598" i="2"/>
  <c r="L598" i="2"/>
  <c r="P598" i="2"/>
  <c r="T598" i="2"/>
  <c r="X598" i="2"/>
  <c r="H599" i="2"/>
  <c r="L599" i="2"/>
  <c r="P599" i="2"/>
  <c r="T599" i="2"/>
  <c r="X599" i="2"/>
  <c r="H600" i="2"/>
  <c r="L600" i="2"/>
  <c r="P600" i="2"/>
  <c r="T600" i="2"/>
  <c r="X600" i="2"/>
  <c r="H601" i="2"/>
  <c r="L601" i="2"/>
  <c r="P601" i="2"/>
  <c r="T601" i="2"/>
  <c r="X601" i="2"/>
  <c r="H602" i="2"/>
  <c r="L602" i="2"/>
  <c r="P602" i="2"/>
  <c r="T602" i="2"/>
  <c r="X602" i="2"/>
  <c r="H603" i="2"/>
  <c r="L603" i="2"/>
  <c r="P603" i="2"/>
  <c r="T603" i="2"/>
  <c r="X603" i="2"/>
  <c r="H604" i="2"/>
  <c r="L604" i="2"/>
  <c r="P604" i="2"/>
  <c r="T604" i="2"/>
  <c r="X604" i="2"/>
  <c r="H605" i="2"/>
  <c r="L605" i="2"/>
  <c r="P605" i="2"/>
  <c r="T605" i="2"/>
  <c r="X605" i="2"/>
  <c r="H606" i="2"/>
  <c r="L606" i="2"/>
  <c r="P606" i="2"/>
  <c r="T606" i="2"/>
  <c r="X606" i="2"/>
  <c r="H607" i="2"/>
  <c r="L607" i="2"/>
  <c r="P607" i="2"/>
  <c r="T607" i="2"/>
  <c r="X607" i="2"/>
  <c r="H608" i="2"/>
  <c r="L608" i="2"/>
  <c r="P608" i="2"/>
  <c r="T608" i="2"/>
  <c r="X608" i="2"/>
  <c r="H609" i="2"/>
  <c r="L609" i="2"/>
  <c r="P609" i="2"/>
  <c r="T609" i="2"/>
  <c r="X609" i="2"/>
  <c r="H610" i="2"/>
  <c r="L610" i="2"/>
  <c r="P610" i="2"/>
  <c r="T610" i="2"/>
  <c r="X610" i="2"/>
  <c r="H611" i="2"/>
  <c r="L611" i="2"/>
  <c r="P611" i="2"/>
  <c r="T611" i="2"/>
  <c r="X611" i="2"/>
  <c r="H612" i="2"/>
  <c r="L612" i="2"/>
  <c r="P612" i="2"/>
  <c r="T612" i="2"/>
  <c r="X612" i="2"/>
  <c r="H613" i="2"/>
  <c r="L613" i="2"/>
  <c r="P613" i="2"/>
  <c r="T613" i="2"/>
  <c r="X613" i="2"/>
  <c r="H614" i="2"/>
  <c r="L614" i="2"/>
  <c r="P614" i="2"/>
  <c r="T614" i="2"/>
  <c r="X614" i="2"/>
  <c r="H615" i="2"/>
  <c r="L615" i="2"/>
  <c r="P615" i="2"/>
  <c r="T615" i="2"/>
  <c r="X615" i="2"/>
  <c r="H616" i="2"/>
  <c r="L616" i="2"/>
  <c r="P616" i="2"/>
  <c r="T616" i="2"/>
  <c r="X616" i="2"/>
  <c r="H617" i="2"/>
  <c r="L617" i="2"/>
  <c r="P617" i="2"/>
  <c r="T617" i="2"/>
  <c r="X617" i="2"/>
  <c r="H618" i="2"/>
  <c r="L618" i="2"/>
  <c r="P618" i="2"/>
  <c r="T618" i="2"/>
  <c r="X618" i="2"/>
  <c r="H619" i="2"/>
  <c r="L619" i="2"/>
  <c r="P619" i="2"/>
  <c r="T619" i="2"/>
  <c r="X619" i="2"/>
  <c r="H620" i="2"/>
  <c r="L620" i="2"/>
  <c r="P620" i="2"/>
  <c r="T620" i="2"/>
  <c r="X620" i="2"/>
  <c r="H621" i="2"/>
  <c r="L621" i="2"/>
  <c r="P621" i="2"/>
  <c r="T621" i="2"/>
  <c r="X621" i="2"/>
  <c r="H622" i="2"/>
  <c r="L622" i="2"/>
  <c r="P622" i="2"/>
  <c r="T622" i="2"/>
  <c r="X622" i="2"/>
  <c r="H623" i="2"/>
  <c r="L623" i="2"/>
  <c r="P623" i="2"/>
  <c r="T623" i="2"/>
  <c r="X623" i="2"/>
  <c r="H624" i="2"/>
  <c r="L624" i="2"/>
  <c r="P624" i="2"/>
  <c r="T624" i="2"/>
  <c r="X624" i="2"/>
  <c r="H625" i="2"/>
  <c r="L625" i="2"/>
  <c r="P625" i="2"/>
  <c r="T625" i="2"/>
  <c r="X625" i="2"/>
  <c r="H626" i="2"/>
  <c r="L626" i="2"/>
  <c r="P626" i="2"/>
  <c r="T626" i="2"/>
  <c r="X626" i="2"/>
  <c r="H627" i="2"/>
  <c r="L627" i="2"/>
  <c r="P627" i="2"/>
  <c r="T627" i="2"/>
  <c r="X627" i="2"/>
  <c r="H628" i="2"/>
  <c r="L628" i="2"/>
  <c r="P628" i="2"/>
  <c r="T628" i="2"/>
  <c r="X628" i="2"/>
  <c r="H629" i="2"/>
  <c r="L629" i="2"/>
  <c r="P629" i="2"/>
  <c r="T629" i="2"/>
  <c r="X629" i="2"/>
  <c r="H630" i="2"/>
  <c r="L630" i="2"/>
  <c r="P630" i="2"/>
  <c r="T630" i="2"/>
  <c r="X630" i="2"/>
  <c r="H631" i="2"/>
  <c r="L631" i="2"/>
  <c r="P631" i="2"/>
  <c r="T631" i="2"/>
  <c r="X631" i="2"/>
  <c r="H632" i="2"/>
  <c r="L632" i="2"/>
  <c r="P632" i="2"/>
  <c r="T632" i="2"/>
  <c r="X632" i="2"/>
  <c r="H633" i="2"/>
  <c r="L633" i="2"/>
  <c r="P633" i="2"/>
  <c r="T633" i="2"/>
  <c r="X633" i="2"/>
  <c r="H634" i="2"/>
  <c r="L634" i="2"/>
  <c r="P634" i="2"/>
  <c r="T634" i="2"/>
  <c r="X634" i="2"/>
  <c r="H635" i="2"/>
  <c r="L635" i="2"/>
  <c r="P635" i="2"/>
  <c r="T635" i="2"/>
  <c r="X635" i="2"/>
  <c r="H636" i="2"/>
  <c r="L636" i="2"/>
  <c r="P636" i="2"/>
  <c r="T636" i="2"/>
  <c r="X636" i="2"/>
  <c r="H637" i="2"/>
  <c r="L637" i="2"/>
  <c r="P637" i="2"/>
  <c r="T637" i="2"/>
  <c r="X637" i="2"/>
  <c r="H638" i="2"/>
  <c r="L638" i="2"/>
  <c r="P638" i="2"/>
  <c r="T638" i="2"/>
  <c r="X638" i="2"/>
  <c r="H639" i="2"/>
  <c r="L639" i="2"/>
  <c r="P639" i="2"/>
  <c r="T639" i="2"/>
  <c r="X639" i="2"/>
  <c r="H640" i="2"/>
  <c r="L640" i="2"/>
  <c r="P640" i="2"/>
  <c r="T640" i="2"/>
  <c r="X640" i="2"/>
  <c r="H641" i="2"/>
  <c r="L641" i="2"/>
  <c r="P641" i="2"/>
  <c r="T641" i="2"/>
  <c r="X641" i="2"/>
  <c r="H642" i="2"/>
  <c r="L642" i="2"/>
  <c r="P642" i="2"/>
  <c r="T642" i="2"/>
  <c r="X642" i="2"/>
  <c r="H643" i="2"/>
  <c r="L643" i="2"/>
  <c r="P643" i="2"/>
  <c r="T643" i="2"/>
  <c r="X643" i="2"/>
  <c r="H644" i="2"/>
  <c r="L644" i="2"/>
  <c r="P644" i="2"/>
  <c r="T644" i="2"/>
  <c r="X644" i="2"/>
  <c r="H645" i="2"/>
  <c r="L645" i="2"/>
  <c r="P645" i="2"/>
  <c r="T645" i="2"/>
  <c r="X645" i="2"/>
  <c r="H646" i="2"/>
  <c r="L646" i="2"/>
  <c r="P646" i="2"/>
  <c r="T646" i="2"/>
  <c r="X646" i="2"/>
  <c r="H647" i="2"/>
  <c r="L647" i="2"/>
  <c r="P647" i="2"/>
  <c r="T647" i="2"/>
  <c r="X647" i="2"/>
  <c r="H648" i="2"/>
  <c r="L648" i="2"/>
  <c r="P648" i="2"/>
  <c r="T648" i="2"/>
  <c r="X648" i="2"/>
  <c r="H649" i="2"/>
  <c r="L649" i="2"/>
  <c r="P649" i="2"/>
  <c r="T649" i="2"/>
  <c r="X649" i="2"/>
  <c r="H650" i="2"/>
  <c r="L650" i="2"/>
  <c r="P650" i="2"/>
  <c r="T650" i="2"/>
  <c r="X650" i="2"/>
  <c r="H651" i="2"/>
  <c r="L651" i="2"/>
  <c r="P651" i="2"/>
  <c r="T651" i="2"/>
  <c r="X651" i="2"/>
  <c r="H652" i="2"/>
  <c r="L652" i="2"/>
  <c r="P652" i="2"/>
  <c r="T652" i="2"/>
  <c r="X652" i="2"/>
  <c r="H653" i="2"/>
  <c r="L653" i="2"/>
  <c r="P653" i="2"/>
  <c r="T653" i="2"/>
  <c r="X653" i="2"/>
  <c r="H654" i="2"/>
  <c r="L654" i="2"/>
  <c r="P654" i="2"/>
  <c r="T654" i="2"/>
  <c r="X654" i="2"/>
  <c r="H655" i="2"/>
  <c r="L655" i="2"/>
  <c r="P655" i="2"/>
  <c r="T655" i="2"/>
  <c r="X655" i="2"/>
  <c r="H656" i="2"/>
  <c r="L656" i="2"/>
  <c r="P656" i="2"/>
  <c r="T656" i="2"/>
  <c r="X656" i="2"/>
  <c r="H657" i="2"/>
  <c r="L657" i="2"/>
  <c r="P657" i="2"/>
  <c r="T657" i="2"/>
  <c r="X657" i="2"/>
  <c r="H658" i="2"/>
  <c r="L658" i="2"/>
  <c r="P658" i="2"/>
  <c r="T658" i="2"/>
  <c r="X658" i="2"/>
  <c r="H659" i="2"/>
  <c r="L659" i="2"/>
  <c r="P659" i="2"/>
  <c r="T659" i="2"/>
  <c r="X659" i="2"/>
  <c r="H660" i="2"/>
  <c r="L660" i="2"/>
  <c r="P660" i="2"/>
  <c r="T660" i="2"/>
  <c r="X660" i="2"/>
  <c r="H661" i="2"/>
  <c r="L661" i="2"/>
  <c r="P661" i="2"/>
  <c r="T661" i="2"/>
  <c r="X661" i="2"/>
  <c r="H662" i="2"/>
  <c r="L662" i="2"/>
  <c r="P662" i="2"/>
  <c r="T662" i="2"/>
  <c r="X662" i="2"/>
  <c r="H663" i="2"/>
  <c r="L663" i="2"/>
  <c r="P663" i="2"/>
  <c r="T663" i="2"/>
  <c r="X663" i="2"/>
  <c r="H664" i="2"/>
  <c r="L664" i="2"/>
  <c r="P664" i="2"/>
  <c r="T664" i="2"/>
  <c r="X664" i="2"/>
  <c r="H665" i="2"/>
  <c r="L665" i="2"/>
  <c r="P665" i="2"/>
  <c r="T665" i="2"/>
  <c r="X665" i="2"/>
  <c r="H666" i="2"/>
  <c r="L666" i="2"/>
  <c r="P666" i="2"/>
  <c r="T666" i="2"/>
  <c r="X666" i="2"/>
  <c r="H667" i="2"/>
  <c r="L667" i="2"/>
  <c r="P667" i="2"/>
  <c r="T667" i="2"/>
  <c r="X667" i="2"/>
  <c r="H668" i="2"/>
  <c r="L668" i="2"/>
  <c r="P668" i="2"/>
  <c r="T668" i="2"/>
  <c r="X668" i="2"/>
  <c r="H669" i="2"/>
  <c r="L669" i="2"/>
  <c r="P669" i="2"/>
  <c r="T669" i="2"/>
  <c r="X669" i="2"/>
  <c r="H670" i="2"/>
  <c r="L670" i="2"/>
  <c r="P670" i="2"/>
  <c r="T670" i="2"/>
  <c r="X670" i="2"/>
  <c r="H671" i="2"/>
  <c r="L671" i="2"/>
  <c r="P671" i="2"/>
  <c r="T671" i="2"/>
  <c r="X671" i="2"/>
  <c r="H672" i="2"/>
  <c r="L672" i="2"/>
  <c r="P672" i="2"/>
  <c r="T672" i="2"/>
  <c r="X672" i="2"/>
  <c r="H673" i="2"/>
  <c r="L673" i="2"/>
  <c r="P673" i="2"/>
  <c r="T673" i="2"/>
  <c r="X673" i="2"/>
  <c r="H674" i="2"/>
  <c r="L674" i="2"/>
  <c r="P674" i="2"/>
  <c r="T674" i="2"/>
  <c r="X674" i="2"/>
  <c r="H675" i="2"/>
  <c r="L675" i="2"/>
  <c r="P675" i="2"/>
  <c r="T675" i="2"/>
  <c r="X675" i="2"/>
  <c r="H676" i="2"/>
  <c r="L676" i="2"/>
  <c r="P676" i="2"/>
  <c r="T676" i="2"/>
  <c r="X676" i="2"/>
  <c r="H677" i="2"/>
  <c r="L677" i="2"/>
  <c r="P677" i="2"/>
  <c r="T677" i="2"/>
  <c r="X677" i="2"/>
  <c r="H678" i="2"/>
  <c r="L678" i="2"/>
  <c r="P678" i="2"/>
  <c r="T678" i="2"/>
  <c r="X678" i="2"/>
  <c r="H679" i="2"/>
  <c r="L679" i="2"/>
  <c r="P679" i="2"/>
  <c r="T679" i="2"/>
  <c r="X679" i="2"/>
  <c r="H680" i="2"/>
  <c r="L680" i="2"/>
  <c r="P680" i="2"/>
  <c r="T680" i="2"/>
  <c r="X680" i="2"/>
  <c r="H681" i="2"/>
  <c r="L681" i="2"/>
  <c r="P681" i="2"/>
  <c r="T681" i="2"/>
  <c r="X681" i="2"/>
  <c r="H682" i="2"/>
  <c r="L682" i="2"/>
  <c r="P682" i="2"/>
  <c r="T682" i="2"/>
  <c r="X682" i="2"/>
  <c r="H683" i="2"/>
  <c r="L683" i="2"/>
  <c r="P683" i="2"/>
  <c r="T683" i="2"/>
  <c r="X683" i="2"/>
  <c r="H684" i="2"/>
  <c r="L684" i="2"/>
  <c r="P684" i="2"/>
  <c r="T684" i="2"/>
  <c r="X684" i="2"/>
  <c r="H685" i="2"/>
  <c r="L685" i="2"/>
  <c r="P685" i="2"/>
  <c r="T685" i="2"/>
  <c r="X685" i="2"/>
  <c r="H686" i="2"/>
  <c r="L686" i="2"/>
  <c r="P686" i="2"/>
  <c r="T686" i="2"/>
  <c r="X686" i="2"/>
  <c r="H687" i="2"/>
  <c r="L687" i="2"/>
  <c r="P687" i="2"/>
  <c r="T687" i="2"/>
  <c r="X687" i="2"/>
  <c r="H688" i="2"/>
  <c r="L688" i="2"/>
  <c r="P688" i="2"/>
  <c r="T688" i="2"/>
  <c r="X688" i="2"/>
  <c r="H689" i="2"/>
  <c r="L689" i="2"/>
  <c r="P689" i="2"/>
  <c r="T689" i="2"/>
  <c r="X689" i="2"/>
  <c r="H690" i="2"/>
  <c r="L690" i="2"/>
  <c r="P690" i="2"/>
  <c r="T690" i="2"/>
  <c r="X690" i="2"/>
  <c r="H691" i="2"/>
  <c r="L691" i="2"/>
  <c r="P691" i="2"/>
  <c r="T691" i="2"/>
  <c r="X691" i="2"/>
  <c r="H692" i="2"/>
  <c r="L692" i="2"/>
  <c r="P692" i="2"/>
  <c r="T692" i="2"/>
  <c r="X692" i="2"/>
  <c r="H693" i="2"/>
  <c r="L693" i="2"/>
  <c r="P693" i="2"/>
  <c r="T693" i="2"/>
  <c r="X693" i="2"/>
  <c r="H694" i="2"/>
  <c r="L694" i="2"/>
  <c r="P694" i="2"/>
  <c r="T694" i="2"/>
  <c r="X694" i="2"/>
  <c r="H695" i="2"/>
  <c r="L695" i="2"/>
  <c r="P695" i="2"/>
  <c r="T695" i="2"/>
  <c r="X695" i="2"/>
  <c r="H696" i="2"/>
  <c r="L696" i="2"/>
  <c r="P696" i="2"/>
  <c r="T696" i="2"/>
  <c r="X696" i="2"/>
  <c r="H697" i="2"/>
  <c r="L697" i="2"/>
  <c r="P697" i="2"/>
  <c r="T697" i="2"/>
  <c r="X697" i="2"/>
  <c r="H698" i="2"/>
  <c r="L698" i="2"/>
  <c r="P698" i="2"/>
  <c r="T698" i="2"/>
  <c r="X698" i="2"/>
  <c r="H699" i="2"/>
  <c r="L699" i="2"/>
  <c r="P699" i="2"/>
  <c r="T699" i="2"/>
  <c r="X699" i="2"/>
  <c r="H700" i="2"/>
  <c r="L700" i="2"/>
  <c r="P700" i="2"/>
  <c r="T700" i="2"/>
  <c r="X700" i="2"/>
  <c r="H701" i="2"/>
  <c r="L701" i="2"/>
  <c r="P701" i="2"/>
  <c r="T701" i="2"/>
  <c r="X701" i="2"/>
  <c r="H702" i="2"/>
  <c r="L702" i="2"/>
  <c r="P702" i="2"/>
  <c r="T702" i="2"/>
  <c r="X702" i="2"/>
  <c r="H703" i="2"/>
  <c r="L703" i="2"/>
  <c r="P703" i="2"/>
  <c r="T703" i="2"/>
  <c r="X703" i="2"/>
  <c r="H704" i="2"/>
  <c r="L704" i="2"/>
  <c r="P704" i="2"/>
  <c r="T704" i="2"/>
  <c r="X704" i="2"/>
  <c r="H705" i="2"/>
  <c r="L705" i="2"/>
  <c r="P705" i="2"/>
  <c r="T705" i="2"/>
  <c r="X705" i="2"/>
  <c r="H706" i="2"/>
  <c r="L706" i="2"/>
  <c r="P706" i="2"/>
  <c r="T706" i="2"/>
  <c r="X706" i="2"/>
  <c r="H707" i="2"/>
  <c r="L707" i="2"/>
  <c r="P707" i="2"/>
  <c r="T707" i="2"/>
  <c r="X707" i="2"/>
  <c r="H708" i="2"/>
  <c r="L708" i="2"/>
  <c r="P708" i="2"/>
  <c r="T708" i="2"/>
  <c r="X708" i="2"/>
  <c r="H709" i="2"/>
  <c r="L709" i="2"/>
  <c r="P709" i="2"/>
  <c r="T709" i="2"/>
  <c r="X709" i="2"/>
  <c r="H710" i="2"/>
  <c r="L710" i="2"/>
  <c r="P710" i="2"/>
  <c r="T710" i="2"/>
  <c r="X710" i="2"/>
  <c r="H711" i="2"/>
  <c r="L711" i="2"/>
  <c r="P711" i="2"/>
  <c r="T711" i="2"/>
  <c r="X711" i="2"/>
  <c r="H712" i="2"/>
  <c r="L712" i="2"/>
  <c r="P712" i="2"/>
  <c r="T712" i="2"/>
  <c r="X712" i="2"/>
  <c r="H713" i="2"/>
  <c r="L713" i="2"/>
  <c r="P713" i="2"/>
  <c r="T713" i="2"/>
  <c r="X713" i="2"/>
  <c r="H714" i="2"/>
  <c r="L714" i="2"/>
  <c r="P714" i="2"/>
  <c r="T714" i="2"/>
  <c r="X714" i="2"/>
  <c r="H715" i="2"/>
  <c r="L715" i="2"/>
  <c r="P715" i="2"/>
  <c r="T715" i="2"/>
  <c r="X715" i="2"/>
  <c r="H716" i="2"/>
  <c r="L716" i="2"/>
  <c r="P716" i="2"/>
  <c r="T716" i="2"/>
  <c r="X716" i="2"/>
  <c r="H717" i="2"/>
  <c r="L717" i="2"/>
  <c r="P717" i="2"/>
  <c r="T717" i="2"/>
  <c r="X717" i="2"/>
  <c r="H718" i="2"/>
  <c r="L718" i="2"/>
  <c r="P718" i="2"/>
  <c r="T718" i="2"/>
  <c r="X718" i="2"/>
  <c r="H719" i="2"/>
  <c r="L719" i="2"/>
  <c r="P719" i="2"/>
  <c r="T719" i="2"/>
  <c r="X719" i="2"/>
  <c r="H720" i="2"/>
  <c r="L720" i="2"/>
  <c r="P720" i="2"/>
  <c r="T720" i="2"/>
  <c r="X720" i="2"/>
  <c r="H721" i="2"/>
  <c r="L721" i="2"/>
  <c r="P721" i="2"/>
  <c r="T721" i="2"/>
  <c r="X721" i="2"/>
  <c r="H722" i="2"/>
  <c r="L722" i="2"/>
  <c r="P722" i="2"/>
  <c r="T722" i="2"/>
  <c r="X722" i="2"/>
  <c r="H723" i="2"/>
  <c r="L723" i="2"/>
  <c r="P723" i="2"/>
  <c r="T723" i="2"/>
  <c r="X723" i="2"/>
  <c r="H724" i="2"/>
  <c r="L724" i="2"/>
  <c r="P724" i="2"/>
  <c r="T724" i="2"/>
  <c r="X724" i="2"/>
  <c r="H725" i="2"/>
  <c r="L725" i="2"/>
  <c r="P725" i="2"/>
  <c r="T725" i="2"/>
  <c r="X725" i="2"/>
  <c r="H726" i="2"/>
  <c r="L726" i="2"/>
  <c r="P726" i="2"/>
  <c r="T726" i="2"/>
  <c r="X726" i="2"/>
  <c r="H727" i="2"/>
  <c r="L727" i="2"/>
  <c r="P727" i="2"/>
  <c r="T727" i="2"/>
  <c r="X727" i="2"/>
  <c r="H728" i="2"/>
  <c r="L728" i="2"/>
  <c r="P728" i="2"/>
  <c r="T728" i="2"/>
  <c r="X728" i="2"/>
  <c r="H729" i="2"/>
  <c r="L729" i="2"/>
  <c r="P729" i="2"/>
  <c r="T729" i="2"/>
  <c r="X729" i="2"/>
  <c r="H730" i="2"/>
  <c r="L730" i="2"/>
  <c r="P730" i="2"/>
  <c r="T730" i="2"/>
  <c r="X730" i="2"/>
  <c r="H731" i="2"/>
  <c r="L731" i="2"/>
  <c r="P731" i="2"/>
  <c r="T731" i="2"/>
  <c r="X731" i="2"/>
  <c r="H732" i="2"/>
  <c r="L732" i="2"/>
  <c r="P732" i="2"/>
  <c r="T732" i="2"/>
  <c r="X732" i="2"/>
  <c r="H733" i="2"/>
  <c r="L733" i="2"/>
  <c r="P733" i="2"/>
  <c r="T733" i="2"/>
  <c r="X733" i="2"/>
  <c r="H734" i="2"/>
  <c r="L734" i="2"/>
  <c r="P734" i="2"/>
  <c r="T734" i="2"/>
  <c r="X734" i="2"/>
  <c r="H735" i="2"/>
  <c r="L735" i="2"/>
  <c r="P735" i="2"/>
  <c r="T735" i="2"/>
  <c r="X735" i="2"/>
  <c r="H736" i="2"/>
  <c r="L736" i="2"/>
  <c r="P736" i="2"/>
  <c r="T736" i="2"/>
  <c r="X736" i="2"/>
  <c r="H737" i="2"/>
  <c r="L737" i="2"/>
  <c r="P737" i="2"/>
  <c r="T737" i="2"/>
  <c r="X737" i="2"/>
  <c r="H738" i="2"/>
  <c r="L738" i="2"/>
  <c r="P738" i="2"/>
  <c r="T738" i="2"/>
  <c r="X738" i="2"/>
  <c r="H739" i="2"/>
  <c r="L739" i="2"/>
  <c r="P739" i="2"/>
  <c r="T739" i="2"/>
  <c r="X739" i="2"/>
  <c r="H740" i="2"/>
  <c r="L740" i="2"/>
  <c r="P740" i="2"/>
  <c r="T740" i="2"/>
  <c r="X740" i="2"/>
  <c r="H741" i="2"/>
  <c r="L741" i="2"/>
  <c r="P741" i="2"/>
  <c r="T741" i="2"/>
  <c r="X741" i="2"/>
  <c r="H742" i="2"/>
  <c r="L742" i="2"/>
  <c r="P742" i="2"/>
  <c r="T742" i="2"/>
  <c r="X742" i="2"/>
  <c r="H743" i="2"/>
  <c r="L743" i="2"/>
  <c r="P743" i="2"/>
  <c r="T743" i="2"/>
  <c r="X743" i="2"/>
  <c r="H744" i="2"/>
  <c r="L744" i="2"/>
  <c r="P744" i="2"/>
  <c r="T744" i="2"/>
  <c r="X744" i="2"/>
  <c r="H745" i="2"/>
  <c r="L745" i="2"/>
  <c r="P745" i="2"/>
  <c r="T745" i="2"/>
  <c r="X745" i="2"/>
  <c r="H746" i="2"/>
  <c r="L746" i="2"/>
  <c r="P746" i="2"/>
  <c r="T746" i="2"/>
  <c r="X746" i="2"/>
  <c r="H747" i="2"/>
  <c r="L747" i="2"/>
  <c r="P747" i="2"/>
  <c r="T747" i="2"/>
  <c r="X747" i="2"/>
  <c r="H748" i="2"/>
  <c r="L748" i="2"/>
  <c r="P748" i="2"/>
  <c r="T748" i="2"/>
  <c r="X748" i="2"/>
  <c r="H749" i="2"/>
  <c r="L749" i="2"/>
  <c r="P749" i="2"/>
  <c r="T749" i="2"/>
  <c r="X749" i="2"/>
  <c r="H750" i="2"/>
  <c r="L750" i="2"/>
  <c r="P750" i="2"/>
  <c r="T750" i="2"/>
  <c r="X750" i="2"/>
  <c r="H751" i="2"/>
  <c r="L751" i="2"/>
  <c r="P751" i="2"/>
  <c r="T751" i="2"/>
  <c r="X751" i="2"/>
  <c r="H752" i="2"/>
  <c r="L752" i="2"/>
  <c r="P752" i="2"/>
  <c r="T752" i="2"/>
  <c r="X752" i="2"/>
  <c r="H753" i="2"/>
  <c r="L753" i="2"/>
  <c r="P753" i="2"/>
  <c r="T753" i="2"/>
  <c r="X753" i="2"/>
  <c r="H754" i="2"/>
  <c r="L754" i="2"/>
  <c r="P754" i="2"/>
  <c r="T754" i="2"/>
  <c r="X754" i="2"/>
  <c r="H755" i="2"/>
  <c r="L755" i="2"/>
  <c r="P755" i="2"/>
  <c r="T755" i="2"/>
  <c r="X755" i="2"/>
  <c r="H756" i="2"/>
  <c r="L756" i="2"/>
  <c r="P756" i="2"/>
  <c r="T756" i="2"/>
  <c r="X756" i="2"/>
  <c r="H757" i="2"/>
  <c r="L757" i="2"/>
  <c r="P757" i="2"/>
  <c r="T757" i="2"/>
  <c r="X757" i="2"/>
  <c r="H758" i="2"/>
  <c r="L758" i="2"/>
  <c r="P758" i="2"/>
  <c r="T758" i="2"/>
  <c r="X758" i="2"/>
  <c r="H759" i="2"/>
  <c r="L759" i="2"/>
  <c r="P759" i="2"/>
  <c r="T759" i="2"/>
  <c r="X759" i="2"/>
  <c r="H760" i="2"/>
  <c r="L760" i="2"/>
  <c r="P760" i="2"/>
  <c r="T760" i="2"/>
  <c r="X760" i="2"/>
  <c r="H761" i="2"/>
  <c r="L761" i="2"/>
  <c r="P761" i="2"/>
  <c r="T761" i="2"/>
  <c r="X761" i="2"/>
  <c r="H762" i="2"/>
  <c r="L762" i="2"/>
  <c r="P762" i="2"/>
  <c r="T762" i="2"/>
  <c r="X762" i="2"/>
  <c r="H763" i="2"/>
  <c r="L763" i="2"/>
  <c r="P763" i="2"/>
  <c r="T763" i="2"/>
  <c r="X763" i="2"/>
  <c r="H764" i="2"/>
  <c r="L764" i="2"/>
  <c r="P764" i="2"/>
  <c r="T764" i="2"/>
  <c r="X764" i="2"/>
  <c r="H765" i="2"/>
  <c r="L765" i="2"/>
  <c r="P765" i="2"/>
  <c r="T765" i="2"/>
  <c r="X765" i="2"/>
  <c r="H766" i="2"/>
  <c r="L766" i="2"/>
  <c r="P766" i="2"/>
  <c r="T766" i="2"/>
  <c r="X766" i="2"/>
  <c r="H767" i="2"/>
  <c r="L767" i="2"/>
  <c r="P767" i="2"/>
  <c r="T767" i="2"/>
  <c r="X767" i="2"/>
  <c r="H768" i="2"/>
  <c r="L768" i="2"/>
  <c r="P768" i="2"/>
  <c r="T768" i="2"/>
  <c r="X768" i="2"/>
  <c r="H769" i="2"/>
  <c r="L769" i="2"/>
  <c r="P769" i="2"/>
  <c r="T769" i="2"/>
  <c r="X769" i="2"/>
  <c r="H770" i="2"/>
  <c r="L770" i="2"/>
  <c r="P770" i="2"/>
  <c r="T770" i="2"/>
  <c r="X770" i="2"/>
  <c r="H771" i="2"/>
  <c r="L771" i="2"/>
  <c r="P771" i="2"/>
  <c r="T771" i="2"/>
  <c r="X771" i="2"/>
  <c r="H772" i="2"/>
  <c r="L772" i="2"/>
  <c r="P772" i="2"/>
  <c r="T772" i="2"/>
  <c r="X772" i="2"/>
  <c r="H773" i="2"/>
  <c r="L773" i="2"/>
  <c r="P773" i="2"/>
  <c r="T773" i="2"/>
  <c r="X773" i="2"/>
  <c r="H774" i="2"/>
  <c r="L774" i="2"/>
  <c r="P774" i="2"/>
  <c r="T774" i="2"/>
  <c r="X774" i="2"/>
  <c r="H775" i="2"/>
  <c r="L775" i="2"/>
  <c r="P775" i="2"/>
  <c r="T775" i="2"/>
  <c r="X775" i="2"/>
  <c r="H776" i="2"/>
  <c r="L776" i="2"/>
  <c r="P776" i="2"/>
  <c r="T776" i="2"/>
  <c r="X776" i="2"/>
  <c r="H777" i="2"/>
  <c r="L777" i="2"/>
  <c r="P777" i="2"/>
  <c r="T777" i="2"/>
  <c r="X777" i="2"/>
  <c r="H778" i="2"/>
  <c r="L778" i="2"/>
  <c r="P778" i="2"/>
  <c r="T778" i="2"/>
  <c r="X778" i="2"/>
  <c r="H779" i="2"/>
  <c r="L779" i="2"/>
  <c r="P779" i="2"/>
  <c r="T779" i="2"/>
  <c r="X779" i="2"/>
  <c r="H780" i="2"/>
  <c r="L780" i="2"/>
  <c r="P780" i="2"/>
  <c r="T780" i="2"/>
  <c r="X780" i="2"/>
  <c r="H781" i="2"/>
  <c r="L781" i="2"/>
  <c r="P781" i="2"/>
  <c r="T781" i="2"/>
  <c r="X781" i="2"/>
  <c r="H782" i="2"/>
  <c r="L782" i="2"/>
  <c r="P782" i="2"/>
  <c r="T782" i="2"/>
  <c r="X782" i="2"/>
  <c r="H783" i="2"/>
  <c r="L783" i="2"/>
  <c r="P783" i="2"/>
  <c r="T783" i="2"/>
  <c r="X783" i="2"/>
  <c r="H784" i="2"/>
  <c r="L784" i="2"/>
  <c r="P784" i="2"/>
  <c r="T784" i="2"/>
  <c r="X784" i="2"/>
  <c r="H785" i="2"/>
  <c r="L785" i="2"/>
  <c r="P785" i="2"/>
  <c r="T785" i="2"/>
  <c r="X785" i="2"/>
  <c r="H786" i="2"/>
  <c r="L786" i="2"/>
  <c r="P786" i="2"/>
  <c r="T786" i="2"/>
  <c r="X786" i="2"/>
  <c r="H787" i="2"/>
  <c r="L787" i="2"/>
  <c r="P787" i="2"/>
  <c r="T787" i="2"/>
  <c r="X787" i="2"/>
  <c r="H788" i="2"/>
  <c r="L788" i="2"/>
  <c r="P788" i="2"/>
  <c r="T788" i="2"/>
  <c r="X788" i="2"/>
  <c r="H789" i="2"/>
  <c r="L789" i="2"/>
  <c r="P789" i="2"/>
  <c r="T789" i="2"/>
  <c r="X789" i="2"/>
  <c r="H790" i="2"/>
  <c r="L790" i="2"/>
  <c r="P790" i="2"/>
  <c r="T790" i="2"/>
  <c r="X790" i="2"/>
  <c r="H791" i="2"/>
  <c r="L791" i="2"/>
  <c r="P791" i="2"/>
  <c r="T791" i="2"/>
  <c r="X791" i="2"/>
  <c r="H792" i="2"/>
  <c r="L792" i="2"/>
  <c r="P792" i="2"/>
  <c r="T792" i="2"/>
  <c r="X792" i="2"/>
  <c r="H793" i="2"/>
  <c r="L793" i="2"/>
  <c r="P793" i="2"/>
  <c r="T793" i="2"/>
  <c r="X793" i="2"/>
  <c r="H794" i="2"/>
  <c r="L794" i="2"/>
  <c r="P794" i="2"/>
  <c r="T794" i="2"/>
  <c r="X794" i="2"/>
  <c r="H795" i="2"/>
  <c r="L795" i="2"/>
  <c r="P795" i="2"/>
  <c r="T795" i="2"/>
  <c r="X795" i="2"/>
  <c r="H796" i="2"/>
  <c r="L796" i="2"/>
  <c r="P796" i="2"/>
  <c r="T796" i="2"/>
  <c r="X796" i="2"/>
  <c r="H797" i="2"/>
  <c r="L797" i="2"/>
  <c r="P797" i="2"/>
  <c r="T797" i="2"/>
  <c r="X797" i="2"/>
  <c r="H798" i="2"/>
  <c r="L798" i="2"/>
  <c r="P798" i="2"/>
  <c r="T798" i="2"/>
  <c r="X798" i="2"/>
  <c r="H799" i="2"/>
  <c r="L799" i="2"/>
  <c r="P799" i="2"/>
  <c r="T799" i="2"/>
  <c r="X799" i="2"/>
  <c r="H800" i="2"/>
  <c r="L800" i="2"/>
  <c r="P800" i="2"/>
  <c r="T800" i="2"/>
  <c r="X800" i="2"/>
  <c r="H801" i="2"/>
  <c r="L801" i="2"/>
  <c r="P801" i="2"/>
  <c r="T801" i="2"/>
  <c r="X801" i="2"/>
  <c r="H802" i="2"/>
  <c r="L802" i="2"/>
  <c r="P802" i="2"/>
  <c r="T802" i="2"/>
  <c r="X802" i="2"/>
  <c r="H803" i="2"/>
  <c r="L803" i="2"/>
  <c r="P803" i="2"/>
  <c r="T803" i="2"/>
  <c r="X803" i="2"/>
  <c r="H804" i="2"/>
  <c r="L804" i="2"/>
  <c r="P804" i="2"/>
  <c r="T804" i="2"/>
  <c r="X804" i="2"/>
  <c r="H805" i="2"/>
  <c r="L805" i="2"/>
  <c r="P805" i="2"/>
  <c r="T805" i="2"/>
  <c r="X805" i="2"/>
  <c r="H806" i="2"/>
  <c r="L806" i="2"/>
  <c r="P806" i="2"/>
  <c r="T806" i="2"/>
  <c r="X806" i="2"/>
  <c r="H807" i="2"/>
  <c r="L807" i="2"/>
  <c r="P807" i="2"/>
  <c r="T807" i="2"/>
  <c r="X807" i="2"/>
  <c r="H808" i="2"/>
  <c r="L808" i="2"/>
  <c r="P808" i="2"/>
  <c r="T808" i="2"/>
  <c r="X808" i="2"/>
  <c r="H809" i="2"/>
  <c r="L809" i="2"/>
  <c r="P809" i="2"/>
  <c r="T809" i="2"/>
  <c r="X809" i="2"/>
  <c r="H810" i="2"/>
  <c r="L810" i="2"/>
  <c r="P810" i="2"/>
  <c r="T810" i="2"/>
  <c r="X810" i="2"/>
  <c r="H811" i="2"/>
  <c r="L811" i="2"/>
  <c r="P811" i="2"/>
  <c r="T811" i="2"/>
  <c r="X811" i="2"/>
  <c r="H812" i="2"/>
  <c r="L812" i="2"/>
  <c r="P812" i="2"/>
  <c r="T812" i="2"/>
  <c r="X812" i="2"/>
  <c r="H813" i="2"/>
  <c r="L813" i="2"/>
  <c r="P813" i="2"/>
  <c r="T813" i="2"/>
  <c r="X813" i="2"/>
  <c r="H814" i="2"/>
  <c r="L814" i="2"/>
  <c r="P814" i="2"/>
  <c r="T814" i="2"/>
  <c r="X814" i="2"/>
  <c r="H815" i="2"/>
  <c r="L815" i="2"/>
  <c r="P815" i="2"/>
  <c r="T815" i="2"/>
  <c r="X815" i="2"/>
  <c r="H816" i="2"/>
  <c r="L816" i="2"/>
  <c r="P816" i="2"/>
  <c r="T816" i="2"/>
  <c r="X816" i="2"/>
  <c r="H817" i="2"/>
  <c r="L817" i="2"/>
  <c r="P817" i="2"/>
  <c r="T817" i="2"/>
  <c r="X817" i="2"/>
  <c r="H818" i="2"/>
  <c r="L818" i="2"/>
  <c r="P818" i="2"/>
  <c r="T818" i="2"/>
  <c r="X818" i="2"/>
  <c r="H819" i="2"/>
  <c r="L819" i="2"/>
  <c r="P819" i="2"/>
  <c r="T819" i="2"/>
  <c r="X819" i="2"/>
  <c r="H820" i="2"/>
  <c r="L820" i="2"/>
  <c r="P820" i="2"/>
  <c r="T820" i="2"/>
  <c r="X820" i="2"/>
  <c r="H821" i="2"/>
  <c r="L821" i="2"/>
  <c r="P821" i="2"/>
  <c r="T821" i="2"/>
  <c r="X821" i="2"/>
  <c r="H822" i="2"/>
  <c r="L822" i="2"/>
  <c r="Y118" i="2"/>
  <c r="O157" i="2"/>
  <c r="R174" i="2"/>
  <c r="R191" i="2"/>
  <c r="S208" i="2"/>
  <c r="V225" i="2"/>
  <c r="R239" i="2"/>
  <c r="R250" i="2"/>
  <c r="V255" i="2"/>
  <c r="J260" i="2"/>
  <c r="O264" i="2"/>
  <c r="R268" i="2"/>
  <c r="S271" i="2"/>
  <c r="O274" i="2"/>
  <c r="K277" i="2"/>
  <c r="J280" i="2"/>
  <c r="Z282" i="2"/>
  <c r="V285" i="2"/>
  <c r="V288" i="2"/>
  <c r="R291" i="2"/>
  <c r="N294" i="2"/>
  <c r="K297" i="2"/>
  <c r="AA299" i="2"/>
  <c r="W302" i="2"/>
  <c r="V305" i="2"/>
  <c r="R308" i="2"/>
  <c r="N311" i="2"/>
  <c r="N314" i="2"/>
  <c r="J317" i="2"/>
  <c r="Z319" i="2"/>
  <c r="W322" i="2"/>
  <c r="S325" i="2"/>
  <c r="O328" i="2"/>
  <c r="N331" i="2"/>
  <c r="J334" i="2"/>
  <c r="S336" i="2"/>
  <c r="N338" i="2"/>
  <c r="V339" i="2"/>
  <c r="J341" i="2"/>
  <c r="S342" i="2"/>
  <c r="AA343" i="2"/>
  <c r="O345" i="2"/>
  <c r="U346" i="2"/>
  <c r="V347" i="2"/>
  <c r="W348" i="2"/>
  <c r="Y349" i="2"/>
  <c r="Z350" i="2"/>
  <c r="AA351" i="2"/>
  <c r="I353" i="2"/>
  <c r="J354" i="2"/>
  <c r="K355" i="2"/>
  <c r="M356" i="2"/>
  <c r="N357" i="2"/>
  <c r="O358" i="2"/>
  <c r="Q359" i="2"/>
  <c r="R360" i="2"/>
  <c r="S361" i="2"/>
  <c r="U362" i="2"/>
  <c r="V363" i="2"/>
  <c r="W364" i="2"/>
  <c r="Y365" i="2"/>
  <c r="Z366" i="2"/>
  <c r="AA367" i="2"/>
  <c r="I369" i="2"/>
  <c r="J370" i="2"/>
  <c r="K371" i="2"/>
  <c r="M372" i="2"/>
  <c r="N373" i="2"/>
  <c r="O374" i="2"/>
  <c r="Q375" i="2"/>
  <c r="R376" i="2"/>
  <c r="S377" i="2"/>
  <c r="U378" i="2"/>
  <c r="V379" i="2"/>
  <c r="W380" i="2"/>
  <c r="Y381" i="2"/>
  <c r="Z382" i="2"/>
  <c r="AA383" i="2"/>
  <c r="I385" i="2"/>
  <c r="J386" i="2"/>
  <c r="K387" i="2"/>
  <c r="M388" i="2"/>
  <c r="N389" i="2"/>
  <c r="O390" i="2"/>
  <c r="Q391" i="2"/>
  <c r="M392" i="2"/>
  <c r="AA392" i="2"/>
  <c r="V393" i="2"/>
  <c r="O394" i="2"/>
  <c r="J395" i="2"/>
  <c r="Y395" i="2"/>
  <c r="R396" i="2"/>
  <c r="M397" i="2"/>
  <c r="AA397" i="2"/>
  <c r="U398" i="2"/>
  <c r="O399" i="2"/>
  <c r="J400" i="2"/>
  <c r="W400" i="2"/>
  <c r="R401" i="2"/>
  <c r="M402" i="2"/>
  <c r="Z402" i="2"/>
  <c r="U403" i="2"/>
  <c r="O404" i="2"/>
  <c r="I405" i="2"/>
  <c r="W405" i="2"/>
  <c r="R406" i="2"/>
  <c r="K407" i="2"/>
  <c r="Z407" i="2"/>
  <c r="U408" i="2"/>
  <c r="N409" i="2"/>
  <c r="I410" i="2"/>
  <c r="W410" i="2"/>
  <c r="Q411" i="2"/>
  <c r="K412" i="2"/>
  <c r="Z412" i="2"/>
  <c r="S413" i="2"/>
  <c r="N414" i="2"/>
  <c r="I415" i="2"/>
  <c r="V415" i="2"/>
  <c r="Q416" i="2"/>
  <c r="K417" i="2"/>
  <c r="Y417" i="2"/>
  <c r="S418" i="2"/>
  <c r="N419" i="2"/>
  <c r="AA419" i="2"/>
  <c r="V420" i="2"/>
  <c r="Q421" i="2"/>
  <c r="J422" i="2"/>
  <c r="Y422" i="2"/>
  <c r="S423" i="2"/>
  <c r="M424" i="2"/>
  <c r="AA424" i="2"/>
  <c r="V425" i="2"/>
  <c r="O426" i="2"/>
  <c r="J427" i="2"/>
  <c r="Y427" i="2"/>
  <c r="R428" i="2"/>
  <c r="M429" i="2"/>
  <c r="AA429" i="2"/>
  <c r="U430" i="2"/>
  <c r="O431" i="2"/>
  <c r="J432" i="2"/>
  <c r="W432" i="2"/>
  <c r="R433" i="2"/>
  <c r="M434" i="2"/>
  <c r="Z434" i="2"/>
  <c r="U435" i="2"/>
  <c r="O436" i="2"/>
  <c r="I437" i="2"/>
  <c r="W437" i="2"/>
  <c r="R438" i="2"/>
  <c r="K439" i="2"/>
  <c r="Z439" i="2"/>
  <c r="U440" i="2"/>
  <c r="N441" i="2"/>
  <c r="I442" i="2"/>
  <c r="W442" i="2"/>
  <c r="Q443" i="2"/>
  <c r="K444" i="2"/>
  <c r="Z444" i="2"/>
  <c r="S445" i="2"/>
  <c r="N446" i="2"/>
  <c r="I447" i="2"/>
  <c r="V447" i="2"/>
  <c r="Q448" i="2"/>
  <c r="K449" i="2"/>
  <c r="Y449" i="2"/>
  <c r="S450" i="2"/>
  <c r="N451" i="2"/>
  <c r="AA451" i="2"/>
  <c r="V452" i="2"/>
  <c r="Q453" i="2"/>
  <c r="J454" i="2"/>
  <c r="Y454" i="2"/>
  <c r="S455" i="2"/>
  <c r="M456" i="2"/>
  <c r="AA456" i="2"/>
  <c r="V457" i="2"/>
  <c r="O458" i="2"/>
  <c r="J459" i="2"/>
  <c r="Y459" i="2"/>
  <c r="R460" i="2"/>
  <c r="K461" i="2"/>
  <c r="V461" i="2"/>
  <c r="M462" i="2"/>
  <c r="W462" i="2"/>
  <c r="N463" i="2"/>
  <c r="Y463" i="2"/>
  <c r="O464" i="2"/>
  <c r="Z464" i="2"/>
  <c r="Q465" i="2"/>
  <c r="AA465" i="2"/>
  <c r="R466" i="2"/>
  <c r="I467" i="2"/>
  <c r="S467" i="2"/>
  <c r="J468" i="2"/>
  <c r="U468" i="2"/>
  <c r="K469" i="2"/>
  <c r="V469" i="2"/>
  <c r="M470" i="2"/>
  <c r="W470" i="2"/>
  <c r="N471" i="2"/>
  <c r="Y471" i="2"/>
  <c r="O472" i="2"/>
  <c r="Z472" i="2"/>
  <c r="Q473" i="2"/>
  <c r="AA473" i="2"/>
  <c r="R474" i="2"/>
  <c r="I475" i="2"/>
  <c r="S475" i="2"/>
  <c r="J476" i="2"/>
  <c r="U476" i="2"/>
  <c r="K477" i="2"/>
  <c r="V477" i="2"/>
  <c r="M478" i="2"/>
  <c r="W478" i="2"/>
  <c r="N479" i="2"/>
  <c r="Y479" i="2"/>
  <c r="O480" i="2"/>
  <c r="Z480" i="2"/>
  <c r="Q481" i="2"/>
  <c r="AA481" i="2"/>
  <c r="R482" i="2"/>
  <c r="I483" i="2"/>
  <c r="S483" i="2"/>
  <c r="J484" i="2"/>
  <c r="U484" i="2"/>
  <c r="K485" i="2"/>
  <c r="V485" i="2"/>
  <c r="M486" i="2"/>
  <c r="W486" i="2"/>
  <c r="N487" i="2"/>
  <c r="Y487" i="2"/>
  <c r="O488" i="2"/>
  <c r="Z488" i="2"/>
  <c r="Q489" i="2"/>
  <c r="AA489" i="2"/>
  <c r="R490" i="2"/>
  <c r="I491" i="2"/>
  <c r="S491" i="2"/>
  <c r="J492" i="2"/>
  <c r="U492" i="2"/>
  <c r="K493" i="2"/>
  <c r="V493" i="2"/>
  <c r="M494" i="2"/>
  <c r="W494" i="2"/>
  <c r="N495" i="2"/>
  <c r="Y495" i="2"/>
  <c r="O496" i="2"/>
  <c r="Z496" i="2"/>
  <c r="Q497" i="2"/>
  <c r="AA497" i="2"/>
  <c r="R498" i="2"/>
  <c r="I499" i="2"/>
  <c r="S499" i="2"/>
  <c r="J500" i="2"/>
  <c r="U500" i="2"/>
  <c r="K501" i="2"/>
  <c r="V501" i="2"/>
  <c r="M502" i="2"/>
  <c r="W502" i="2"/>
  <c r="N503" i="2"/>
  <c r="Y503" i="2"/>
  <c r="O504" i="2"/>
  <c r="Z504" i="2"/>
  <c r="Q505" i="2"/>
  <c r="AA505" i="2"/>
  <c r="R506" i="2"/>
  <c r="I507" i="2"/>
  <c r="S507" i="2"/>
  <c r="J508" i="2"/>
  <c r="U508" i="2"/>
  <c r="K509" i="2"/>
  <c r="V509" i="2"/>
  <c r="M510" i="2"/>
  <c r="W510" i="2"/>
  <c r="N511" i="2"/>
  <c r="Y511" i="2"/>
  <c r="O512" i="2"/>
  <c r="Z512" i="2"/>
  <c r="Q513" i="2"/>
  <c r="AA513" i="2"/>
  <c r="R514" i="2"/>
  <c r="I515" i="2"/>
  <c r="S515" i="2"/>
  <c r="J516" i="2"/>
  <c r="U516" i="2"/>
  <c r="K517" i="2"/>
  <c r="V517" i="2"/>
  <c r="M518" i="2"/>
  <c r="W518" i="2"/>
  <c r="N519" i="2"/>
  <c r="Y519" i="2"/>
  <c r="O520" i="2"/>
  <c r="Z520" i="2"/>
  <c r="Q521" i="2"/>
  <c r="AA521" i="2"/>
  <c r="R522" i="2"/>
  <c r="I523" i="2"/>
  <c r="S523" i="2"/>
  <c r="J524" i="2"/>
  <c r="U524" i="2"/>
  <c r="K525" i="2"/>
  <c r="V525" i="2"/>
  <c r="M526" i="2"/>
  <c r="W526" i="2"/>
  <c r="N527" i="2"/>
  <c r="Y527" i="2"/>
  <c r="O528" i="2"/>
  <c r="Z528" i="2"/>
  <c r="Q529" i="2"/>
  <c r="AA529" i="2"/>
  <c r="R530" i="2"/>
  <c r="I531" i="2"/>
  <c r="S531" i="2"/>
  <c r="J532" i="2"/>
  <c r="U532" i="2"/>
  <c r="K533" i="2"/>
  <c r="V533" i="2"/>
  <c r="M534" i="2"/>
  <c r="W534" i="2"/>
  <c r="N535" i="2"/>
  <c r="Y535" i="2"/>
  <c r="O536" i="2"/>
  <c r="Z536" i="2"/>
  <c r="Q537" i="2"/>
  <c r="AA537" i="2"/>
  <c r="R538" i="2"/>
  <c r="I539" i="2"/>
  <c r="S539" i="2"/>
  <c r="J540" i="2"/>
  <c r="U540" i="2"/>
  <c r="K541" i="2"/>
  <c r="V541" i="2"/>
  <c r="M542" i="2"/>
  <c r="W542" i="2"/>
  <c r="N543" i="2"/>
  <c r="Y543" i="2"/>
  <c r="O544" i="2"/>
  <c r="Z544" i="2"/>
  <c r="Q545" i="2"/>
  <c r="Y545" i="2"/>
  <c r="K546" i="2"/>
  <c r="R546" i="2"/>
  <c r="Z546" i="2"/>
  <c r="M547" i="2"/>
  <c r="S547" i="2"/>
  <c r="AA547" i="2"/>
  <c r="N548" i="2"/>
  <c r="U548" i="2"/>
  <c r="I549" i="2"/>
  <c r="O549" i="2"/>
  <c r="V549" i="2"/>
  <c r="J550" i="2"/>
  <c r="Q550" i="2"/>
  <c r="W550" i="2"/>
  <c r="K551" i="2"/>
  <c r="R551" i="2"/>
  <c r="Y551" i="2"/>
  <c r="M552" i="2"/>
  <c r="S552" i="2"/>
  <c r="Z552" i="2"/>
  <c r="N553" i="2"/>
  <c r="U553" i="2"/>
  <c r="AA553" i="2"/>
  <c r="O554" i="2"/>
  <c r="V554" i="2"/>
  <c r="I555" i="2"/>
  <c r="Q555" i="2"/>
  <c r="W555" i="2"/>
  <c r="J556" i="2"/>
  <c r="R556" i="2"/>
  <c r="Y556" i="2"/>
  <c r="K557" i="2"/>
  <c r="S557" i="2"/>
  <c r="Z557" i="2"/>
  <c r="M558" i="2"/>
  <c r="U558" i="2"/>
  <c r="AA558" i="2"/>
  <c r="N559" i="2"/>
  <c r="V559" i="2"/>
  <c r="I560" i="2"/>
  <c r="O560" i="2"/>
  <c r="W560" i="2"/>
  <c r="J561" i="2"/>
  <c r="Q561" i="2"/>
  <c r="Y561" i="2"/>
  <c r="K562" i="2"/>
  <c r="R562" i="2"/>
  <c r="Z562" i="2"/>
  <c r="M563" i="2"/>
  <c r="S563" i="2"/>
  <c r="AA563" i="2"/>
  <c r="N564" i="2"/>
  <c r="U564" i="2"/>
  <c r="I565" i="2"/>
  <c r="O565" i="2"/>
  <c r="V565" i="2"/>
  <c r="J566" i="2"/>
  <c r="Q566" i="2"/>
  <c r="W566" i="2"/>
  <c r="K567" i="2"/>
  <c r="R567" i="2"/>
  <c r="Y567" i="2"/>
  <c r="M568" i="2"/>
  <c r="S568" i="2"/>
  <c r="Z568" i="2"/>
  <c r="N569" i="2"/>
  <c r="U569" i="2"/>
  <c r="Z569" i="2"/>
  <c r="L570" i="2"/>
  <c r="Q570" i="2"/>
  <c r="V570" i="2"/>
  <c r="H571" i="2"/>
  <c r="M571" i="2"/>
  <c r="R571" i="2"/>
  <c r="X571" i="2"/>
  <c r="I572" i="2"/>
  <c r="N572" i="2"/>
  <c r="T572" i="2"/>
  <c r="Y572" i="2"/>
  <c r="J573" i="2"/>
  <c r="P573" i="2"/>
  <c r="U573" i="2"/>
  <c r="Z573" i="2"/>
  <c r="L574" i="2"/>
  <c r="Q574" i="2"/>
  <c r="V574" i="2"/>
  <c r="H575" i="2"/>
  <c r="M575" i="2"/>
  <c r="R575" i="2"/>
  <c r="X575" i="2"/>
  <c r="I576" i="2"/>
  <c r="M576" i="2"/>
  <c r="Q576" i="2"/>
  <c r="U576" i="2"/>
  <c r="Y576" i="2"/>
  <c r="I577" i="2"/>
  <c r="M577" i="2"/>
  <c r="Q577" i="2"/>
  <c r="U577" i="2"/>
  <c r="Y577" i="2"/>
  <c r="I578" i="2"/>
  <c r="M578" i="2"/>
  <c r="Q578" i="2"/>
  <c r="U578" i="2"/>
  <c r="Y578" i="2"/>
  <c r="I579" i="2"/>
  <c r="M579" i="2"/>
  <c r="Q579" i="2"/>
  <c r="U579" i="2"/>
  <c r="Y579" i="2"/>
  <c r="I580" i="2"/>
  <c r="M580" i="2"/>
  <c r="Q580" i="2"/>
  <c r="U580" i="2"/>
  <c r="Y580" i="2"/>
  <c r="I581" i="2"/>
  <c r="M581" i="2"/>
  <c r="Q581" i="2"/>
  <c r="U581" i="2"/>
  <c r="Y581" i="2"/>
  <c r="I582" i="2"/>
  <c r="M582" i="2"/>
  <c r="Q582" i="2"/>
  <c r="U582" i="2"/>
  <c r="Y582" i="2"/>
  <c r="I583" i="2"/>
  <c r="M583" i="2"/>
  <c r="Q583" i="2"/>
  <c r="U583" i="2"/>
  <c r="Y583" i="2"/>
  <c r="I584" i="2"/>
  <c r="M584" i="2"/>
  <c r="Q584" i="2"/>
  <c r="U584" i="2"/>
  <c r="Y584" i="2"/>
  <c r="I585" i="2"/>
  <c r="M585" i="2"/>
  <c r="Q585" i="2"/>
  <c r="U585" i="2"/>
  <c r="Y585" i="2"/>
  <c r="I586" i="2"/>
  <c r="M586" i="2"/>
  <c r="Q586" i="2"/>
  <c r="U586" i="2"/>
  <c r="Y586" i="2"/>
  <c r="I587" i="2"/>
  <c r="M587" i="2"/>
  <c r="Q587" i="2"/>
  <c r="U587" i="2"/>
  <c r="Y587" i="2"/>
  <c r="I588" i="2"/>
  <c r="M588" i="2"/>
  <c r="Q588" i="2"/>
  <c r="U588" i="2"/>
  <c r="Y588" i="2"/>
  <c r="I589" i="2"/>
  <c r="M589" i="2"/>
  <c r="Q589" i="2"/>
  <c r="U589" i="2"/>
  <c r="Y589" i="2"/>
  <c r="I590" i="2"/>
  <c r="M590" i="2"/>
  <c r="Q590" i="2"/>
  <c r="U590" i="2"/>
  <c r="Y590" i="2"/>
  <c r="I591" i="2"/>
  <c r="M591" i="2"/>
  <c r="Q591" i="2"/>
  <c r="U591" i="2"/>
  <c r="Y591" i="2"/>
  <c r="I592" i="2"/>
  <c r="M592" i="2"/>
  <c r="Q592" i="2"/>
  <c r="U592" i="2"/>
  <c r="Y592" i="2"/>
  <c r="I593" i="2"/>
  <c r="M593" i="2"/>
  <c r="Q593" i="2"/>
  <c r="U593" i="2"/>
  <c r="Y593" i="2"/>
  <c r="I594" i="2"/>
  <c r="M594" i="2"/>
  <c r="Q594" i="2"/>
  <c r="U594" i="2"/>
  <c r="Y594" i="2"/>
  <c r="I595" i="2"/>
  <c r="M595" i="2"/>
  <c r="Q595" i="2"/>
  <c r="U595" i="2"/>
  <c r="Y595" i="2"/>
  <c r="I596" i="2"/>
  <c r="M596" i="2"/>
  <c r="Q596" i="2"/>
  <c r="U596" i="2"/>
  <c r="Y596" i="2"/>
  <c r="I597" i="2"/>
  <c r="M597" i="2"/>
  <c r="Q597" i="2"/>
  <c r="U597" i="2"/>
  <c r="Y597" i="2"/>
  <c r="I598" i="2"/>
  <c r="M598" i="2"/>
  <c r="Q598" i="2"/>
  <c r="U598" i="2"/>
  <c r="Y598" i="2"/>
  <c r="I599" i="2"/>
  <c r="M599" i="2"/>
  <c r="Q599" i="2"/>
  <c r="U599" i="2"/>
  <c r="Y599" i="2"/>
  <c r="I600" i="2"/>
  <c r="M600" i="2"/>
  <c r="Q600" i="2"/>
  <c r="U600" i="2"/>
  <c r="Y600" i="2"/>
  <c r="I601" i="2"/>
  <c r="M601" i="2"/>
  <c r="Q601" i="2"/>
  <c r="U601" i="2"/>
  <c r="Y601" i="2"/>
  <c r="I602" i="2"/>
  <c r="M602" i="2"/>
  <c r="Q602" i="2"/>
  <c r="U602" i="2"/>
  <c r="Y602" i="2"/>
  <c r="I603" i="2"/>
  <c r="M603" i="2"/>
  <c r="Q603" i="2"/>
  <c r="U603" i="2"/>
  <c r="Y603" i="2"/>
  <c r="I604" i="2"/>
  <c r="M604" i="2"/>
  <c r="Q604" i="2"/>
  <c r="U604" i="2"/>
  <c r="Y604" i="2"/>
  <c r="I605" i="2"/>
  <c r="M605" i="2"/>
  <c r="Q605" i="2"/>
  <c r="U605" i="2"/>
  <c r="Y605" i="2"/>
  <c r="I606" i="2"/>
  <c r="M606" i="2"/>
  <c r="Q606" i="2"/>
  <c r="U606" i="2"/>
  <c r="Y606" i="2"/>
  <c r="I607" i="2"/>
  <c r="M607" i="2"/>
  <c r="Q607" i="2"/>
  <c r="U607" i="2"/>
  <c r="Y607" i="2"/>
  <c r="I608" i="2"/>
  <c r="M608" i="2"/>
  <c r="Q608" i="2"/>
  <c r="U608" i="2"/>
  <c r="Y608" i="2"/>
  <c r="I609" i="2"/>
  <c r="M609" i="2"/>
  <c r="Q609" i="2"/>
  <c r="U609" i="2"/>
  <c r="Y609" i="2"/>
  <c r="I610" i="2"/>
  <c r="M610" i="2"/>
  <c r="Q610" i="2"/>
  <c r="U610" i="2"/>
  <c r="Y610" i="2"/>
  <c r="I611" i="2"/>
  <c r="M611" i="2"/>
  <c r="Q611" i="2"/>
  <c r="U611" i="2"/>
  <c r="Y611" i="2"/>
  <c r="I612" i="2"/>
  <c r="M612" i="2"/>
  <c r="Q612" i="2"/>
  <c r="U612" i="2"/>
  <c r="Y612" i="2"/>
  <c r="I613" i="2"/>
  <c r="M613" i="2"/>
  <c r="Q613" i="2"/>
  <c r="U613" i="2"/>
  <c r="Y613" i="2"/>
  <c r="I614" i="2"/>
  <c r="M614" i="2"/>
  <c r="Q614" i="2"/>
  <c r="U614" i="2"/>
  <c r="Y614" i="2"/>
  <c r="I615" i="2"/>
  <c r="M615" i="2"/>
  <c r="Q615" i="2"/>
  <c r="U615" i="2"/>
  <c r="Y615" i="2"/>
  <c r="I616" i="2"/>
  <c r="M616" i="2"/>
  <c r="Q616" i="2"/>
  <c r="U616" i="2"/>
  <c r="Y616" i="2"/>
  <c r="I617" i="2"/>
  <c r="M617" i="2"/>
  <c r="Q617" i="2"/>
  <c r="U617" i="2"/>
  <c r="Y617" i="2"/>
  <c r="I618" i="2"/>
  <c r="M618" i="2"/>
  <c r="Q618" i="2"/>
  <c r="U618" i="2"/>
  <c r="Y618" i="2"/>
  <c r="I619" i="2"/>
  <c r="M619" i="2"/>
  <c r="Q619" i="2"/>
  <c r="U619" i="2"/>
  <c r="Y619" i="2"/>
  <c r="I620" i="2"/>
  <c r="M620" i="2"/>
  <c r="Q620" i="2"/>
  <c r="U620" i="2"/>
  <c r="Y620" i="2"/>
  <c r="I621" i="2"/>
  <c r="M621" i="2"/>
  <c r="Q621" i="2"/>
  <c r="U621" i="2"/>
  <c r="Y621" i="2"/>
  <c r="I622" i="2"/>
  <c r="M622" i="2"/>
  <c r="Q622" i="2"/>
  <c r="U622" i="2"/>
  <c r="Y622" i="2"/>
  <c r="I623" i="2"/>
  <c r="M623" i="2"/>
  <c r="Q623" i="2"/>
  <c r="U623" i="2"/>
  <c r="Y623" i="2"/>
  <c r="I624" i="2"/>
  <c r="M624" i="2"/>
  <c r="Q624" i="2"/>
  <c r="U624" i="2"/>
  <c r="Y624" i="2"/>
  <c r="I625" i="2"/>
  <c r="M625" i="2"/>
  <c r="Q625" i="2"/>
  <c r="U625" i="2"/>
  <c r="Y625" i="2"/>
  <c r="I626" i="2"/>
  <c r="M626" i="2"/>
  <c r="Q626" i="2"/>
  <c r="U626" i="2"/>
  <c r="Y626" i="2"/>
  <c r="I627" i="2"/>
  <c r="M627" i="2"/>
  <c r="Q627" i="2"/>
  <c r="U627" i="2"/>
  <c r="Y627" i="2"/>
  <c r="I628" i="2"/>
  <c r="M628" i="2"/>
  <c r="Q628" i="2"/>
  <c r="U628" i="2"/>
  <c r="Y628" i="2"/>
  <c r="I629" i="2"/>
  <c r="M629" i="2"/>
  <c r="Q629" i="2"/>
  <c r="U629" i="2"/>
  <c r="Y629" i="2"/>
  <c r="I630" i="2"/>
  <c r="M630" i="2"/>
  <c r="Q630" i="2"/>
  <c r="U630" i="2"/>
  <c r="Y630" i="2"/>
  <c r="I631" i="2"/>
  <c r="M631" i="2"/>
  <c r="Q631" i="2"/>
  <c r="U631" i="2"/>
  <c r="Y631" i="2"/>
  <c r="I632" i="2"/>
  <c r="M632" i="2"/>
  <c r="Q632" i="2"/>
  <c r="U632" i="2"/>
  <c r="Y632" i="2"/>
  <c r="I633" i="2"/>
  <c r="M633" i="2"/>
  <c r="Q633" i="2"/>
  <c r="U633" i="2"/>
  <c r="Y633" i="2"/>
  <c r="I634" i="2"/>
  <c r="M634" i="2"/>
  <c r="Q634" i="2"/>
  <c r="U634" i="2"/>
  <c r="Y634" i="2"/>
  <c r="I635" i="2"/>
  <c r="M635" i="2"/>
  <c r="Q635" i="2"/>
  <c r="U635" i="2"/>
  <c r="Y635" i="2"/>
  <c r="I636" i="2"/>
  <c r="M636" i="2"/>
  <c r="Q636" i="2"/>
  <c r="U636" i="2"/>
  <c r="Y636" i="2"/>
  <c r="I637" i="2"/>
  <c r="M637" i="2"/>
  <c r="Q637" i="2"/>
  <c r="U637" i="2"/>
  <c r="Y637" i="2"/>
  <c r="I638" i="2"/>
  <c r="M638" i="2"/>
  <c r="Q638" i="2"/>
  <c r="U638" i="2"/>
  <c r="Y638" i="2"/>
  <c r="I639" i="2"/>
  <c r="M639" i="2"/>
  <c r="Q639" i="2"/>
  <c r="U639" i="2"/>
  <c r="Y639" i="2"/>
  <c r="I640" i="2"/>
  <c r="M640" i="2"/>
  <c r="Q640" i="2"/>
  <c r="U640" i="2"/>
  <c r="Y640" i="2"/>
  <c r="I641" i="2"/>
  <c r="M641" i="2"/>
  <c r="Q641" i="2"/>
  <c r="U641" i="2"/>
  <c r="Y641" i="2"/>
  <c r="I642" i="2"/>
  <c r="M642" i="2"/>
  <c r="Q642" i="2"/>
  <c r="U642" i="2"/>
  <c r="Y642" i="2"/>
  <c r="I643" i="2"/>
  <c r="M643" i="2"/>
  <c r="Q643" i="2"/>
  <c r="U643" i="2"/>
  <c r="Y643" i="2"/>
  <c r="I644" i="2"/>
  <c r="M644" i="2"/>
  <c r="Q644" i="2"/>
  <c r="U644" i="2"/>
  <c r="Y644" i="2"/>
  <c r="I645" i="2"/>
  <c r="M645" i="2"/>
  <c r="Q645" i="2"/>
  <c r="U645" i="2"/>
  <c r="Y645" i="2"/>
  <c r="I646" i="2"/>
  <c r="M646" i="2"/>
  <c r="Q646" i="2"/>
  <c r="U646" i="2"/>
  <c r="Y646" i="2"/>
  <c r="I647" i="2"/>
  <c r="M647" i="2"/>
  <c r="Q647" i="2"/>
  <c r="U647" i="2"/>
  <c r="Y647" i="2"/>
  <c r="I648" i="2"/>
  <c r="M648" i="2"/>
  <c r="Q648" i="2"/>
  <c r="U648" i="2"/>
  <c r="Y648" i="2"/>
  <c r="I649" i="2"/>
  <c r="M649" i="2"/>
  <c r="Q649" i="2"/>
  <c r="U649" i="2"/>
  <c r="Y649" i="2"/>
  <c r="I650" i="2"/>
  <c r="M650" i="2"/>
  <c r="Q650" i="2"/>
  <c r="U650" i="2"/>
  <c r="Y650" i="2"/>
  <c r="I651" i="2"/>
  <c r="M651" i="2"/>
  <c r="Q651" i="2"/>
  <c r="U651" i="2"/>
  <c r="Y651" i="2"/>
  <c r="I652" i="2"/>
  <c r="M652" i="2"/>
  <c r="Q652" i="2"/>
  <c r="U652" i="2"/>
  <c r="Y652" i="2"/>
  <c r="I653" i="2"/>
  <c r="M653" i="2"/>
  <c r="Q653" i="2"/>
  <c r="U653" i="2"/>
  <c r="Y653" i="2"/>
  <c r="I654" i="2"/>
  <c r="M654" i="2"/>
  <c r="Q654" i="2"/>
  <c r="U654" i="2"/>
  <c r="Y654" i="2"/>
  <c r="I655" i="2"/>
  <c r="M655" i="2"/>
  <c r="Q655" i="2"/>
  <c r="U655" i="2"/>
  <c r="Y655" i="2"/>
  <c r="I656" i="2"/>
  <c r="M656" i="2"/>
  <c r="Q656" i="2"/>
  <c r="U656" i="2"/>
  <c r="Y656" i="2"/>
  <c r="I657" i="2"/>
  <c r="M657" i="2"/>
  <c r="Q657" i="2"/>
  <c r="U657" i="2"/>
  <c r="Y657" i="2"/>
  <c r="I658" i="2"/>
  <c r="M658" i="2"/>
  <c r="Q658" i="2"/>
  <c r="U658" i="2"/>
  <c r="Y658" i="2"/>
  <c r="I659" i="2"/>
  <c r="M659" i="2"/>
  <c r="Q659" i="2"/>
  <c r="U659" i="2"/>
  <c r="Y659" i="2"/>
  <c r="I660" i="2"/>
  <c r="M660" i="2"/>
  <c r="Q660" i="2"/>
  <c r="U660" i="2"/>
  <c r="Y660" i="2"/>
  <c r="I661" i="2"/>
  <c r="M661" i="2"/>
  <c r="Q661" i="2"/>
  <c r="U661" i="2"/>
  <c r="Y661" i="2"/>
  <c r="I662" i="2"/>
  <c r="M662" i="2"/>
  <c r="Q662" i="2"/>
  <c r="U662" i="2"/>
  <c r="Y662" i="2"/>
  <c r="I663" i="2"/>
  <c r="M663" i="2"/>
  <c r="Q663" i="2"/>
  <c r="U663" i="2"/>
  <c r="Y663" i="2"/>
  <c r="I664" i="2"/>
  <c r="M664" i="2"/>
  <c r="Q664" i="2"/>
  <c r="U664" i="2"/>
  <c r="Y664" i="2"/>
  <c r="I665" i="2"/>
  <c r="M665" i="2"/>
  <c r="Q665" i="2"/>
  <c r="U665" i="2"/>
  <c r="Y665" i="2"/>
  <c r="I666" i="2"/>
  <c r="M666" i="2"/>
  <c r="Q666" i="2"/>
  <c r="U666" i="2"/>
  <c r="Y666" i="2"/>
  <c r="I667" i="2"/>
  <c r="M667" i="2"/>
  <c r="Q667" i="2"/>
  <c r="U667" i="2"/>
  <c r="Y667" i="2"/>
  <c r="I668" i="2"/>
  <c r="M668" i="2"/>
  <c r="Q668" i="2"/>
  <c r="U668" i="2"/>
  <c r="Y668" i="2"/>
  <c r="I669" i="2"/>
  <c r="M669" i="2"/>
  <c r="Q669" i="2"/>
  <c r="U669" i="2"/>
  <c r="Y669" i="2"/>
  <c r="I670" i="2"/>
  <c r="M670" i="2"/>
  <c r="Q670" i="2"/>
  <c r="U670" i="2"/>
  <c r="Y670" i="2"/>
  <c r="I671" i="2"/>
  <c r="M671" i="2"/>
  <c r="Q671" i="2"/>
  <c r="U671" i="2"/>
  <c r="Y671" i="2"/>
  <c r="I672" i="2"/>
  <c r="M672" i="2"/>
  <c r="Q672" i="2"/>
  <c r="U672" i="2"/>
  <c r="Y672" i="2"/>
  <c r="I673" i="2"/>
  <c r="M673" i="2"/>
  <c r="Q673" i="2"/>
  <c r="U673" i="2"/>
  <c r="Y673" i="2"/>
  <c r="I674" i="2"/>
  <c r="M674" i="2"/>
  <c r="Q674" i="2"/>
  <c r="U674" i="2"/>
  <c r="Y674" i="2"/>
  <c r="I675" i="2"/>
  <c r="M675" i="2"/>
  <c r="Q675" i="2"/>
  <c r="U675" i="2"/>
  <c r="Y675" i="2"/>
  <c r="I676" i="2"/>
  <c r="M676" i="2"/>
  <c r="Q676" i="2"/>
  <c r="U676" i="2"/>
  <c r="Y676" i="2"/>
  <c r="I677" i="2"/>
  <c r="M677" i="2"/>
  <c r="Q677" i="2"/>
  <c r="U677" i="2"/>
  <c r="Y677" i="2"/>
  <c r="I678" i="2"/>
  <c r="M678" i="2"/>
  <c r="Q678" i="2"/>
  <c r="U678" i="2"/>
  <c r="Y678" i="2"/>
  <c r="I679" i="2"/>
  <c r="M679" i="2"/>
  <c r="Q679" i="2"/>
  <c r="U679" i="2"/>
  <c r="Y679" i="2"/>
  <c r="I680" i="2"/>
  <c r="M680" i="2"/>
  <c r="Q680" i="2"/>
  <c r="U680" i="2"/>
  <c r="Y680" i="2"/>
  <c r="I681" i="2"/>
  <c r="M681" i="2"/>
  <c r="Q681" i="2"/>
  <c r="U681" i="2"/>
  <c r="Y681" i="2"/>
  <c r="I682" i="2"/>
  <c r="M682" i="2"/>
  <c r="Q682" i="2"/>
  <c r="U682" i="2"/>
  <c r="Y682" i="2"/>
  <c r="I683" i="2"/>
  <c r="M683" i="2"/>
  <c r="Q683" i="2"/>
  <c r="U683" i="2"/>
  <c r="Y683" i="2"/>
  <c r="I684" i="2"/>
  <c r="M684" i="2"/>
  <c r="Q684" i="2"/>
  <c r="U684" i="2"/>
  <c r="Y684" i="2"/>
  <c r="I685" i="2"/>
  <c r="M685" i="2"/>
  <c r="Q685" i="2"/>
  <c r="U685" i="2"/>
  <c r="Y685" i="2"/>
  <c r="I686" i="2"/>
  <c r="M686" i="2"/>
  <c r="Q686" i="2"/>
  <c r="U686" i="2"/>
  <c r="Y686" i="2"/>
  <c r="I687" i="2"/>
  <c r="M687" i="2"/>
  <c r="Q687" i="2"/>
  <c r="U687" i="2"/>
  <c r="Y687" i="2"/>
  <c r="I688" i="2"/>
  <c r="M688" i="2"/>
  <c r="Q688" i="2"/>
  <c r="U688" i="2"/>
  <c r="Y688" i="2"/>
  <c r="I689" i="2"/>
  <c r="M689" i="2"/>
  <c r="Q689" i="2"/>
  <c r="U689" i="2"/>
  <c r="Y689" i="2"/>
  <c r="I690" i="2"/>
  <c r="M690" i="2"/>
  <c r="Q690" i="2"/>
  <c r="U690" i="2"/>
  <c r="Y690" i="2"/>
  <c r="I691" i="2"/>
  <c r="M691" i="2"/>
  <c r="Q691" i="2"/>
  <c r="U691" i="2"/>
  <c r="Y691" i="2"/>
  <c r="I692" i="2"/>
  <c r="M692" i="2"/>
  <c r="Q692" i="2"/>
  <c r="U692" i="2"/>
  <c r="Y692" i="2"/>
  <c r="I693" i="2"/>
  <c r="M693" i="2"/>
  <c r="Q693" i="2"/>
  <c r="U693" i="2"/>
  <c r="Y693" i="2"/>
  <c r="I694" i="2"/>
  <c r="M694" i="2"/>
  <c r="Q694" i="2"/>
  <c r="U694" i="2"/>
  <c r="Y694" i="2"/>
  <c r="I695" i="2"/>
  <c r="M695" i="2"/>
  <c r="Q695" i="2"/>
  <c r="U695" i="2"/>
  <c r="Y695" i="2"/>
  <c r="I696" i="2"/>
  <c r="M696" i="2"/>
  <c r="Q696" i="2"/>
  <c r="U696" i="2"/>
  <c r="Y696" i="2"/>
  <c r="I697" i="2"/>
  <c r="M697" i="2"/>
  <c r="Q697" i="2"/>
  <c r="U697" i="2"/>
  <c r="Y697" i="2"/>
  <c r="I698" i="2"/>
  <c r="M698" i="2"/>
  <c r="Q698" i="2"/>
  <c r="U698" i="2"/>
  <c r="Y698" i="2"/>
  <c r="I699" i="2"/>
  <c r="M699" i="2"/>
  <c r="Q699" i="2"/>
  <c r="U699" i="2"/>
  <c r="Y699" i="2"/>
  <c r="I700" i="2"/>
  <c r="M700" i="2"/>
  <c r="Q700" i="2"/>
  <c r="U700" i="2"/>
  <c r="Y700" i="2"/>
  <c r="I701" i="2"/>
  <c r="M701" i="2"/>
  <c r="Q701" i="2"/>
  <c r="U701" i="2"/>
  <c r="Y701" i="2"/>
  <c r="I702" i="2"/>
  <c r="M702" i="2"/>
  <c r="Q702" i="2"/>
  <c r="U702" i="2"/>
  <c r="Y702" i="2"/>
  <c r="I703" i="2"/>
  <c r="M703" i="2"/>
  <c r="Q703" i="2"/>
  <c r="U703" i="2"/>
  <c r="Y703" i="2"/>
  <c r="I704" i="2"/>
  <c r="M704" i="2"/>
  <c r="Q704" i="2"/>
  <c r="U704" i="2"/>
  <c r="Y704" i="2"/>
  <c r="I705" i="2"/>
  <c r="M705" i="2"/>
  <c r="Q705" i="2"/>
  <c r="U705" i="2"/>
  <c r="Y705" i="2"/>
  <c r="I706" i="2"/>
  <c r="M706" i="2"/>
  <c r="Q706" i="2"/>
  <c r="U706" i="2"/>
  <c r="Y706" i="2"/>
  <c r="I707" i="2"/>
  <c r="M707" i="2"/>
  <c r="Q707" i="2"/>
  <c r="U707" i="2"/>
  <c r="Y707" i="2"/>
  <c r="I708" i="2"/>
  <c r="M708" i="2"/>
  <c r="Q708" i="2"/>
  <c r="U708" i="2"/>
  <c r="Y708" i="2"/>
  <c r="I709" i="2"/>
  <c r="M709" i="2"/>
  <c r="Q709" i="2"/>
  <c r="U709" i="2"/>
  <c r="Y709" i="2"/>
  <c r="I710" i="2"/>
  <c r="M710" i="2"/>
  <c r="Q710" i="2"/>
  <c r="U710" i="2"/>
  <c r="Y710" i="2"/>
  <c r="I711" i="2"/>
  <c r="M711" i="2"/>
  <c r="Q711" i="2"/>
  <c r="U711" i="2"/>
  <c r="Y711" i="2"/>
  <c r="I712" i="2"/>
  <c r="M712" i="2"/>
  <c r="Q712" i="2"/>
  <c r="U712" i="2"/>
  <c r="Y712" i="2"/>
  <c r="I713" i="2"/>
  <c r="M713" i="2"/>
  <c r="Q713" i="2"/>
  <c r="U713" i="2"/>
  <c r="Y713" i="2"/>
  <c r="I714" i="2"/>
  <c r="M714" i="2"/>
  <c r="Q714" i="2"/>
  <c r="U714" i="2"/>
  <c r="Y714" i="2"/>
  <c r="I715" i="2"/>
  <c r="M715" i="2"/>
  <c r="Q715" i="2"/>
  <c r="U715" i="2"/>
  <c r="Y715" i="2"/>
  <c r="I716" i="2"/>
  <c r="M716" i="2"/>
  <c r="Q716" i="2"/>
  <c r="U716" i="2"/>
  <c r="Y716" i="2"/>
  <c r="I717" i="2"/>
  <c r="M717" i="2"/>
  <c r="Q717" i="2"/>
  <c r="U717" i="2"/>
  <c r="Y717" i="2"/>
  <c r="I718" i="2"/>
  <c r="M718" i="2"/>
  <c r="Q718" i="2"/>
  <c r="U718" i="2"/>
  <c r="Y718" i="2"/>
  <c r="I719" i="2"/>
  <c r="M719" i="2"/>
  <c r="Q719" i="2"/>
  <c r="U719" i="2"/>
  <c r="Y719" i="2"/>
  <c r="I720" i="2"/>
  <c r="M720" i="2"/>
  <c r="Q720" i="2"/>
  <c r="U720" i="2"/>
  <c r="Y720" i="2"/>
  <c r="I721" i="2"/>
  <c r="M721" i="2"/>
  <c r="Q721" i="2"/>
  <c r="U721" i="2"/>
  <c r="Y721" i="2"/>
  <c r="I722" i="2"/>
  <c r="M722" i="2"/>
  <c r="Q722" i="2"/>
  <c r="U722" i="2"/>
  <c r="Y722" i="2"/>
  <c r="I723" i="2"/>
  <c r="M723" i="2"/>
  <c r="Q723" i="2"/>
  <c r="U723" i="2"/>
  <c r="Y723" i="2"/>
  <c r="I724" i="2"/>
  <c r="M724" i="2"/>
  <c r="Q724" i="2"/>
  <c r="U724" i="2"/>
  <c r="Y724" i="2"/>
  <c r="I725" i="2"/>
  <c r="M725" i="2"/>
  <c r="Q725" i="2"/>
  <c r="U725" i="2"/>
  <c r="Y725" i="2"/>
  <c r="I726" i="2"/>
  <c r="M726" i="2"/>
  <c r="Q726" i="2"/>
  <c r="U726" i="2"/>
  <c r="Y726" i="2"/>
  <c r="I727" i="2"/>
  <c r="M727" i="2"/>
  <c r="Q727" i="2"/>
  <c r="U727" i="2"/>
  <c r="Y727" i="2"/>
  <c r="I728" i="2"/>
  <c r="M728" i="2"/>
  <c r="Q728" i="2"/>
  <c r="U728" i="2"/>
  <c r="Y728" i="2"/>
  <c r="I729" i="2"/>
  <c r="M729" i="2"/>
  <c r="Q729" i="2"/>
  <c r="U729" i="2"/>
  <c r="Y729" i="2"/>
  <c r="I730" i="2"/>
  <c r="M730" i="2"/>
  <c r="Q730" i="2"/>
  <c r="U730" i="2"/>
  <c r="Y730" i="2"/>
  <c r="I731" i="2"/>
  <c r="M731" i="2"/>
  <c r="Q731" i="2"/>
  <c r="U731" i="2"/>
  <c r="Y731" i="2"/>
  <c r="I732" i="2"/>
  <c r="M732" i="2"/>
  <c r="Q732" i="2"/>
  <c r="U732" i="2"/>
  <c r="Y732" i="2"/>
  <c r="I733" i="2"/>
  <c r="M733" i="2"/>
  <c r="Q733" i="2"/>
  <c r="U733" i="2"/>
  <c r="Y733" i="2"/>
  <c r="I734" i="2"/>
  <c r="M734" i="2"/>
  <c r="Q734" i="2"/>
  <c r="U734" i="2"/>
  <c r="Y734" i="2"/>
  <c r="I735" i="2"/>
  <c r="M735" i="2"/>
  <c r="Q735" i="2"/>
  <c r="U735" i="2"/>
  <c r="Y735" i="2"/>
  <c r="I736" i="2"/>
  <c r="M736" i="2"/>
  <c r="Q736" i="2"/>
  <c r="U736" i="2"/>
  <c r="Y736" i="2"/>
  <c r="I737" i="2"/>
  <c r="M737" i="2"/>
  <c r="Q737" i="2"/>
  <c r="U737" i="2"/>
  <c r="Y737" i="2"/>
  <c r="I738" i="2"/>
  <c r="M738" i="2"/>
  <c r="Q738" i="2"/>
  <c r="U738" i="2"/>
  <c r="Y738" i="2"/>
  <c r="I739" i="2"/>
  <c r="M739" i="2"/>
  <c r="Q739" i="2"/>
  <c r="U739" i="2"/>
  <c r="Y739" i="2"/>
  <c r="I740" i="2"/>
  <c r="M740" i="2"/>
  <c r="Q740" i="2"/>
  <c r="U740" i="2"/>
  <c r="Y740" i="2"/>
  <c r="I741" i="2"/>
  <c r="M741" i="2"/>
  <c r="Q741" i="2"/>
  <c r="U741" i="2"/>
  <c r="Y741" i="2"/>
  <c r="I742" i="2"/>
  <c r="M742" i="2"/>
  <c r="Q742" i="2"/>
  <c r="U742" i="2"/>
  <c r="Y742" i="2"/>
  <c r="I743" i="2"/>
  <c r="M743" i="2"/>
  <c r="Q743" i="2"/>
  <c r="U743" i="2"/>
  <c r="Y743" i="2"/>
  <c r="I744" i="2"/>
  <c r="M744" i="2"/>
  <c r="Q744" i="2"/>
  <c r="U744" i="2"/>
  <c r="Y744" i="2"/>
  <c r="I745" i="2"/>
  <c r="M745" i="2"/>
  <c r="Q745" i="2"/>
  <c r="U745" i="2"/>
  <c r="Y745" i="2"/>
  <c r="I746" i="2"/>
  <c r="M746" i="2"/>
  <c r="Q746" i="2"/>
  <c r="U746" i="2"/>
  <c r="Y746" i="2"/>
  <c r="I747" i="2"/>
  <c r="M747" i="2"/>
  <c r="Q747" i="2"/>
  <c r="U747" i="2"/>
  <c r="Y747" i="2"/>
  <c r="I748" i="2"/>
  <c r="M748" i="2"/>
  <c r="Q748" i="2"/>
  <c r="U748" i="2"/>
  <c r="Y748" i="2"/>
  <c r="I749" i="2"/>
  <c r="M749" i="2"/>
  <c r="Q749" i="2"/>
  <c r="U749" i="2"/>
  <c r="Y749" i="2"/>
  <c r="I750" i="2"/>
  <c r="M750" i="2"/>
  <c r="Q750" i="2"/>
  <c r="U750" i="2"/>
  <c r="Y750" i="2"/>
  <c r="I751" i="2"/>
  <c r="M751" i="2"/>
  <c r="Q751" i="2"/>
  <c r="U751" i="2"/>
  <c r="Y751" i="2"/>
  <c r="I752" i="2"/>
  <c r="M752" i="2"/>
  <c r="Q752" i="2"/>
  <c r="U752" i="2"/>
  <c r="Y752" i="2"/>
  <c r="I753" i="2"/>
  <c r="M753" i="2"/>
  <c r="Q753" i="2"/>
  <c r="U753" i="2"/>
  <c r="Y753" i="2"/>
  <c r="I754" i="2"/>
  <c r="M754" i="2"/>
  <c r="Q754" i="2"/>
  <c r="U754" i="2"/>
  <c r="Y754" i="2"/>
  <c r="I755" i="2"/>
  <c r="M755" i="2"/>
  <c r="Q755" i="2"/>
  <c r="U755" i="2"/>
  <c r="Y755" i="2"/>
  <c r="I756" i="2"/>
  <c r="M756" i="2"/>
  <c r="Q756" i="2"/>
  <c r="U756" i="2"/>
  <c r="Y756" i="2"/>
  <c r="I757" i="2"/>
  <c r="M757" i="2"/>
  <c r="Q757" i="2"/>
  <c r="U757" i="2"/>
  <c r="Y757" i="2"/>
  <c r="I758" i="2"/>
  <c r="M758" i="2"/>
  <c r="Q758" i="2"/>
  <c r="U758" i="2"/>
  <c r="Y758" i="2"/>
  <c r="I759" i="2"/>
  <c r="M759" i="2"/>
  <c r="Q759" i="2"/>
  <c r="U759" i="2"/>
  <c r="Y759" i="2"/>
  <c r="I760" i="2"/>
  <c r="M760" i="2"/>
  <c r="Q760" i="2"/>
  <c r="U760" i="2"/>
  <c r="Y760" i="2"/>
  <c r="I761" i="2"/>
  <c r="M761" i="2"/>
  <c r="Q761" i="2"/>
  <c r="U761" i="2"/>
  <c r="Y761" i="2"/>
  <c r="I762" i="2"/>
  <c r="M762" i="2"/>
  <c r="Q762" i="2"/>
  <c r="Z72" i="2"/>
  <c r="W163" i="2"/>
  <c r="Z197" i="2"/>
  <c r="R231" i="2"/>
  <c r="K253" i="2"/>
  <c r="V261" i="2"/>
  <c r="V269" i="2"/>
  <c r="R275" i="2"/>
  <c r="K281" i="2"/>
  <c r="W286" i="2"/>
  <c r="R292" i="2"/>
  <c r="N298" i="2"/>
  <c r="Z303" i="2"/>
  <c r="S309" i="2"/>
  <c r="N315" i="2"/>
  <c r="Z320" i="2"/>
  <c r="V326" i="2"/>
  <c r="O332" i="2"/>
  <c r="N337" i="2"/>
  <c r="L340" i="2"/>
  <c r="J343" i="2"/>
  <c r="Z345" i="2"/>
  <c r="J348" i="2"/>
  <c r="M350" i="2"/>
  <c r="O352" i="2"/>
  <c r="R354" i="2"/>
  <c r="U356" i="2"/>
  <c r="W358" i="2"/>
  <c r="Z360" i="2"/>
  <c r="I363" i="2"/>
  <c r="K365" i="2"/>
  <c r="N367" i="2"/>
  <c r="Q369" i="2"/>
  <c r="S371" i="2"/>
  <c r="V373" i="2"/>
  <c r="Y375" i="2"/>
  <c r="AA377" i="2"/>
  <c r="J380" i="2"/>
  <c r="M382" i="2"/>
  <c r="O384" i="2"/>
  <c r="R386" i="2"/>
  <c r="U388" i="2"/>
  <c r="W390" i="2"/>
  <c r="R392" i="2"/>
  <c r="AA393" i="2"/>
  <c r="O395" i="2"/>
  <c r="W396" i="2"/>
  <c r="M398" i="2"/>
  <c r="U399" i="2"/>
  <c r="I401" i="2"/>
  <c r="R402" i="2"/>
  <c r="Z403" i="2"/>
  <c r="N405" i="2"/>
  <c r="W406" i="2"/>
  <c r="K408" i="2"/>
  <c r="S409" i="2"/>
  <c r="I411" i="2"/>
  <c r="Q412" i="2"/>
  <c r="Y413" i="2"/>
  <c r="N415" i="2"/>
  <c r="V416" i="2"/>
  <c r="J418" i="2"/>
  <c r="S419" i="2"/>
  <c r="AA420" i="2"/>
  <c r="O422" i="2"/>
  <c r="Y423" i="2"/>
  <c r="M425" i="2"/>
  <c r="U426" i="2"/>
  <c r="J428" i="2"/>
  <c r="R429" i="2"/>
  <c r="Z430" i="2"/>
  <c r="O432" i="2"/>
  <c r="W433" i="2"/>
  <c r="K435" i="2"/>
  <c r="U436" i="2"/>
  <c r="I438" i="2"/>
  <c r="Q439" i="2"/>
  <c r="Z440" i="2"/>
  <c r="N442" i="2"/>
  <c r="V443" i="2"/>
  <c r="K445" i="2"/>
  <c r="S446" i="2"/>
  <c r="AA447" i="2"/>
  <c r="Q449" i="2"/>
  <c r="Y450" i="2"/>
  <c r="M452" i="2"/>
  <c r="V453" i="2"/>
  <c r="J455" i="2"/>
  <c r="R456" i="2"/>
  <c r="AA457" i="2"/>
  <c r="O459" i="2"/>
  <c r="W460" i="2"/>
  <c r="Z461" i="2"/>
  <c r="AA462" i="2"/>
  <c r="I464" i="2"/>
  <c r="J465" i="2"/>
  <c r="K466" i="2"/>
  <c r="M467" i="2"/>
  <c r="N468" i="2"/>
  <c r="O469" i="2"/>
  <c r="Q470" i="2"/>
  <c r="R471" i="2"/>
  <c r="S472" i="2"/>
  <c r="U473" i="2"/>
  <c r="V474" i="2"/>
  <c r="W475" i="2"/>
  <c r="Y476" i="2"/>
  <c r="Z477" i="2"/>
  <c r="AA478" i="2"/>
  <c r="I480" i="2"/>
  <c r="J481" i="2"/>
  <c r="K482" i="2"/>
  <c r="M483" i="2"/>
  <c r="N484" i="2"/>
  <c r="O485" i="2"/>
  <c r="Q486" i="2"/>
  <c r="R487" i="2"/>
  <c r="S488" i="2"/>
  <c r="U489" i="2"/>
  <c r="V490" i="2"/>
  <c r="W491" i="2"/>
  <c r="Y492" i="2"/>
  <c r="Z493" i="2"/>
  <c r="AA494" i="2"/>
  <c r="I496" i="2"/>
  <c r="J497" i="2"/>
  <c r="K498" i="2"/>
  <c r="M499" i="2"/>
  <c r="N500" i="2"/>
  <c r="O501" i="2"/>
  <c r="Q502" i="2"/>
  <c r="R503" i="2"/>
  <c r="S504" i="2"/>
  <c r="U505" i="2"/>
  <c r="V506" i="2"/>
  <c r="W507" i="2"/>
  <c r="Y508" i="2"/>
  <c r="Z509" i="2"/>
  <c r="AA510" i="2"/>
  <c r="I512" i="2"/>
  <c r="J513" i="2"/>
  <c r="K514" i="2"/>
  <c r="M515" i="2"/>
  <c r="N516" i="2"/>
  <c r="O517" i="2"/>
  <c r="Q518" i="2"/>
  <c r="R519" i="2"/>
  <c r="S520" i="2"/>
  <c r="U521" i="2"/>
  <c r="V522" i="2"/>
  <c r="W523" i="2"/>
  <c r="Y524" i="2"/>
  <c r="Z525" i="2"/>
  <c r="AA526" i="2"/>
  <c r="I528" i="2"/>
  <c r="J529" i="2"/>
  <c r="K530" i="2"/>
  <c r="M531" i="2"/>
  <c r="N532" i="2"/>
  <c r="O533" i="2"/>
  <c r="Q534" i="2"/>
  <c r="R535" i="2"/>
  <c r="S536" i="2"/>
  <c r="U537" i="2"/>
  <c r="V538" i="2"/>
  <c r="W539" i="2"/>
  <c r="Y540" i="2"/>
  <c r="Z541" i="2"/>
  <c r="AA542" i="2"/>
  <c r="I544" i="2"/>
  <c r="J545" i="2"/>
  <c r="Z545" i="2"/>
  <c r="U546" i="2"/>
  <c r="N547" i="2"/>
  <c r="I548" i="2"/>
  <c r="W548" i="2"/>
  <c r="Q549" i="2"/>
  <c r="K550" i="2"/>
  <c r="Z550" i="2"/>
  <c r="S551" i="2"/>
  <c r="N552" i="2"/>
  <c r="I553" i="2"/>
  <c r="V553" i="2"/>
  <c r="Q554" i="2"/>
  <c r="K555" i="2"/>
  <c r="Y555" i="2"/>
  <c r="S556" i="2"/>
  <c r="N557" i="2"/>
  <c r="AA557" i="2"/>
  <c r="V558" i="2"/>
  <c r="Q559" i="2"/>
  <c r="J560" i="2"/>
  <c r="Y560" i="2"/>
  <c r="S561" i="2"/>
  <c r="M562" i="2"/>
  <c r="AA562" i="2"/>
  <c r="V563" i="2"/>
  <c r="O564" i="2"/>
  <c r="J565" i="2"/>
  <c r="Y565" i="2"/>
  <c r="R566" i="2"/>
  <c r="M567" i="2"/>
  <c r="AA567" i="2"/>
  <c r="U568" i="2"/>
  <c r="O569" i="2"/>
  <c r="H570" i="2"/>
  <c r="R570" i="2"/>
  <c r="I571" i="2"/>
  <c r="T571" i="2"/>
  <c r="J572" i="2"/>
  <c r="U572" i="2"/>
  <c r="L573" i="2"/>
  <c r="V573" i="2"/>
  <c r="M574" i="2"/>
  <c r="X574" i="2"/>
  <c r="N575" i="2"/>
  <c r="Y575" i="2"/>
  <c r="N576" i="2"/>
  <c r="V576" i="2"/>
  <c r="J577" i="2"/>
  <c r="R577" i="2"/>
  <c r="Z577" i="2"/>
  <c r="N578" i="2"/>
  <c r="V578" i="2"/>
  <c r="J579" i="2"/>
  <c r="R579" i="2"/>
  <c r="Z579" i="2"/>
  <c r="N580" i="2"/>
  <c r="V580" i="2"/>
  <c r="J581" i="2"/>
  <c r="R581" i="2"/>
  <c r="Z581" i="2"/>
  <c r="N582" i="2"/>
  <c r="V582" i="2"/>
  <c r="J583" i="2"/>
  <c r="R583" i="2"/>
  <c r="Z583" i="2"/>
  <c r="N584" i="2"/>
  <c r="V584" i="2"/>
  <c r="J585" i="2"/>
  <c r="R585" i="2"/>
  <c r="Z585" i="2"/>
  <c r="N586" i="2"/>
  <c r="V586" i="2"/>
  <c r="J587" i="2"/>
  <c r="R587" i="2"/>
  <c r="Z587" i="2"/>
  <c r="N588" i="2"/>
  <c r="V588" i="2"/>
  <c r="J589" i="2"/>
  <c r="R589" i="2"/>
  <c r="Z589" i="2"/>
  <c r="N590" i="2"/>
  <c r="V590" i="2"/>
  <c r="J591" i="2"/>
  <c r="R591" i="2"/>
  <c r="Z591" i="2"/>
  <c r="N592" i="2"/>
  <c r="V592" i="2"/>
  <c r="J593" i="2"/>
  <c r="R593" i="2"/>
  <c r="Z593" i="2"/>
  <c r="N594" i="2"/>
  <c r="V594" i="2"/>
  <c r="J595" i="2"/>
  <c r="R595" i="2"/>
  <c r="Z595" i="2"/>
  <c r="N596" i="2"/>
  <c r="V596" i="2"/>
  <c r="J597" i="2"/>
  <c r="R597" i="2"/>
  <c r="Z597" i="2"/>
  <c r="N598" i="2"/>
  <c r="V598" i="2"/>
  <c r="J599" i="2"/>
  <c r="R599" i="2"/>
  <c r="Z599" i="2"/>
  <c r="N600" i="2"/>
  <c r="V600" i="2"/>
  <c r="J601" i="2"/>
  <c r="R601" i="2"/>
  <c r="Z601" i="2"/>
  <c r="N602" i="2"/>
  <c r="V602" i="2"/>
  <c r="J603" i="2"/>
  <c r="R603" i="2"/>
  <c r="Z603" i="2"/>
  <c r="N604" i="2"/>
  <c r="V604" i="2"/>
  <c r="J605" i="2"/>
  <c r="R605" i="2"/>
  <c r="Z605" i="2"/>
  <c r="N606" i="2"/>
  <c r="V606" i="2"/>
  <c r="J607" i="2"/>
  <c r="R607" i="2"/>
  <c r="Z607" i="2"/>
  <c r="N608" i="2"/>
  <c r="V608" i="2"/>
  <c r="J609" i="2"/>
  <c r="R609" i="2"/>
  <c r="Z609" i="2"/>
  <c r="N610" i="2"/>
  <c r="V610" i="2"/>
  <c r="J611" i="2"/>
  <c r="R611" i="2"/>
  <c r="Z611" i="2"/>
  <c r="N612" i="2"/>
  <c r="V612" i="2"/>
  <c r="J613" i="2"/>
  <c r="R613" i="2"/>
  <c r="Z613" i="2"/>
  <c r="N614" i="2"/>
  <c r="V614" i="2"/>
  <c r="J615" i="2"/>
  <c r="R615" i="2"/>
  <c r="Z615" i="2"/>
  <c r="N616" i="2"/>
  <c r="V616" i="2"/>
  <c r="J617" i="2"/>
  <c r="R617" i="2"/>
  <c r="Z617" i="2"/>
  <c r="N618" i="2"/>
  <c r="V618" i="2"/>
  <c r="J619" i="2"/>
  <c r="R619" i="2"/>
  <c r="Z619" i="2"/>
  <c r="N620" i="2"/>
  <c r="V620" i="2"/>
  <c r="J621" i="2"/>
  <c r="R621" i="2"/>
  <c r="Z621" i="2"/>
  <c r="N622" i="2"/>
  <c r="V622" i="2"/>
  <c r="J623" i="2"/>
  <c r="R623" i="2"/>
  <c r="Z623" i="2"/>
  <c r="N624" i="2"/>
  <c r="V624" i="2"/>
  <c r="J625" i="2"/>
  <c r="R625" i="2"/>
  <c r="Z625" i="2"/>
  <c r="N626" i="2"/>
  <c r="V626" i="2"/>
  <c r="J627" i="2"/>
  <c r="R627" i="2"/>
  <c r="Z627" i="2"/>
  <c r="N628" i="2"/>
  <c r="V628" i="2"/>
  <c r="J629" i="2"/>
  <c r="R629" i="2"/>
  <c r="Z629" i="2"/>
  <c r="N630" i="2"/>
  <c r="V630" i="2"/>
  <c r="J631" i="2"/>
  <c r="R631" i="2"/>
  <c r="Z631" i="2"/>
  <c r="N632" i="2"/>
  <c r="V632" i="2"/>
  <c r="J633" i="2"/>
  <c r="R633" i="2"/>
  <c r="Z633" i="2"/>
  <c r="N634" i="2"/>
  <c r="V634" i="2"/>
  <c r="J635" i="2"/>
  <c r="R635" i="2"/>
  <c r="Z635" i="2"/>
  <c r="N636" i="2"/>
  <c r="V636" i="2"/>
  <c r="J637" i="2"/>
  <c r="R637" i="2"/>
  <c r="Z637" i="2"/>
  <c r="N638" i="2"/>
  <c r="V638" i="2"/>
  <c r="J639" i="2"/>
  <c r="R639" i="2"/>
  <c r="Z639" i="2"/>
  <c r="N640" i="2"/>
  <c r="V640" i="2"/>
  <c r="J641" i="2"/>
  <c r="R641" i="2"/>
  <c r="Z641" i="2"/>
  <c r="N642" i="2"/>
  <c r="V642" i="2"/>
  <c r="J643" i="2"/>
  <c r="R643" i="2"/>
  <c r="Z643" i="2"/>
  <c r="N644" i="2"/>
  <c r="V644" i="2"/>
  <c r="J645" i="2"/>
  <c r="R645" i="2"/>
  <c r="Z645" i="2"/>
  <c r="N646" i="2"/>
  <c r="V646" i="2"/>
  <c r="J647" i="2"/>
  <c r="R647" i="2"/>
  <c r="Z647" i="2"/>
  <c r="N648" i="2"/>
  <c r="V648" i="2"/>
  <c r="J649" i="2"/>
  <c r="R649" i="2"/>
  <c r="Z649" i="2"/>
  <c r="N650" i="2"/>
  <c r="V650" i="2"/>
  <c r="J651" i="2"/>
  <c r="R651" i="2"/>
  <c r="Z651" i="2"/>
  <c r="N652" i="2"/>
  <c r="V652" i="2"/>
  <c r="J653" i="2"/>
  <c r="R653" i="2"/>
  <c r="Z653" i="2"/>
  <c r="N654" i="2"/>
  <c r="V654" i="2"/>
  <c r="J655" i="2"/>
  <c r="R655" i="2"/>
  <c r="Z655" i="2"/>
  <c r="N656" i="2"/>
  <c r="V656" i="2"/>
  <c r="J657" i="2"/>
  <c r="R657" i="2"/>
  <c r="Z657" i="2"/>
  <c r="N658" i="2"/>
  <c r="V658" i="2"/>
  <c r="J659" i="2"/>
  <c r="R659" i="2"/>
  <c r="Z659" i="2"/>
  <c r="N660" i="2"/>
  <c r="V660" i="2"/>
  <c r="J661" i="2"/>
  <c r="R661" i="2"/>
  <c r="Z661" i="2"/>
  <c r="N662" i="2"/>
  <c r="V662" i="2"/>
  <c r="J663" i="2"/>
  <c r="R663" i="2"/>
  <c r="Z663" i="2"/>
  <c r="N664" i="2"/>
  <c r="V664" i="2"/>
  <c r="J665" i="2"/>
  <c r="R665" i="2"/>
  <c r="Z665" i="2"/>
  <c r="N666" i="2"/>
  <c r="V666" i="2"/>
  <c r="J667" i="2"/>
  <c r="R667" i="2"/>
  <c r="Z667" i="2"/>
  <c r="N668" i="2"/>
  <c r="V668" i="2"/>
  <c r="J669" i="2"/>
  <c r="R669" i="2"/>
  <c r="Z669" i="2"/>
  <c r="N670" i="2"/>
  <c r="V670" i="2"/>
  <c r="J671" i="2"/>
  <c r="R671" i="2"/>
  <c r="Z671" i="2"/>
  <c r="N672" i="2"/>
  <c r="V672" i="2"/>
  <c r="J673" i="2"/>
  <c r="R673" i="2"/>
  <c r="Z673" i="2"/>
  <c r="N674" i="2"/>
  <c r="V674" i="2"/>
  <c r="J675" i="2"/>
  <c r="R675" i="2"/>
  <c r="Z675" i="2"/>
  <c r="N676" i="2"/>
  <c r="V676" i="2"/>
  <c r="J677" i="2"/>
  <c r="R677" i="2"/>
  <c r="Z677" i="2"/>
  <c r="N678" i="2"/>
  <c r="V678" i="2"/>
  <c r="J679" i="2"/>
  <c r="R679" i="2"/>
  <c r="Z679" i="2"/>
  <c r="N680" i="2"/>
  <c r="V680" i="2"/>
  <c r="J681" i="2"/>
  <c r="R681" i="2"/>
  <c r="Z681" i="2"/>
  <c r="N682" i="2"/>
  <c r="V682" i="2"/>
  <c r="J683" i="2"/>
  <c r="R683" i="2"/>
  <c r="Z683" i="2"/>
  <c r="N684" i="2"/>
  <c r="V684" i="2"/>
  <c r="J685" i="2"/>
  <c r="R685" i="2"/>
  <c r="Z685" i="2"/>
  <c r="N686" i="2"/>
  <c r="V686" i="2"/>
  <c r="J687" i="2"/>
  <c r="R687" i="2"/>
  <c r="Z687" i="2"/>
  <c r="N688" i="2"/>
  <c r="V688" i="2"/>
  <c r="J689" i="2"/>
  <c r="R689" i="2"/>
  <c r="Z689" i="2"/>
  <c r="N690" i="2"/>
  <c r="V690" i="2"/>
  <c r="J691" i="2"/>
  <c r="R691" i="2"/>
  <c r="Z691" i="2"/>
  <c r="N692" i="2"/>
  <c r="V692" i="2"/>
  <c r="J693" i="2"/>
  <c r="R693" i="2"/>
  <c r="Z693" i="2"/>
  <c r="N694" i="2"/>
  <c r="V694" i="2"/>
  <c r="J695" i="2"/>
  <c r="R695" i="2"/>
  <c r="Z695" i="2"/>
  <c r="N696" i="2"/>
  <c r="V696" i="2"/>
  <c r="J697" i="2"/>
  <c r="R697" i="2"/>
  <c r="Z697" i="2"/>
  <c r="N698" i="2"/>
  <c r="V698" i="2"/>
  <c r="J699" i="2"/>
  <c r="R699" i="2"/>
  <c r="Z699" i="2"/>
  <c r="N700" i="2"/>
  <c r="V700" i="2"/>
  <c r="J701" i="2"/>
  <c r="R701" i="2"/>
  <c r="Z701" i="2"/>
  <c r="N702" i="2"/>
  <c r="V702" i="2"/>
  <c r="J703" i="2"/>
  <c r="R703" i="2"/>
  <c r="Z703" i="2"/>
  <c r="N704" i="2"/>
  <c r="V704" i="2"/>
  <c r="J705" i="2"/>
  <c r="R705" i="2"/>
  <c r="Z705" i="2"/>
  <c r="N706" i="2"/>
  <c r="V706" i="2"/>
  <c r="J707" i="2"/>
  <c r="R707" i="2"/>
  <c r="Z707" i="2"/>
  <c r="N708" i="2"/>
  <c r="V708" i="2"/>
  <c r="J709" i="2"/>
  <c r="R709" i="2"/>
  <c r="Z709" i="2"/>
  <c r="N710" i="2"/>
  <c r="V710" i="2"/>
  <c r="J711" i="2"/>
  <c r="R711" i="2"/>
  <c r="Z711" i="2"/>
  <c r="N712" i="2"/>
  <c r="V712" i="2"/>
  <c r="J713" i="2"/>
  <c r="R713" i="2"/>
  <c r="Z713" i="2"/>
  <c r="N714" i="2"/>
  <c r="V714" i="2"/>
  <c r="J715" i="2"/>
  <c r="R715" i="2"/>
  <c r="Z715" i="2"/>
  <c r="N716" i="2"/>
  <c r="V716" i="2"/>
  <c r="J717" i="2"/>
  <c r="R717" i="2"/>
  <c r="Z717" i="2"/>
  <c r="N718" i="2"/>
  <c r="V718" i="2"/>
  <c r="J719" i="2"/>
  <c r="R719" i="2"/>
  <c r="Z719" i="2"/>
  <c r="N720" i="2"/>
  <c r="V720" i="2"/>
  <c r="J721" i="2"/>
  <c r="R721" i="2"/>
  <c r="Z721" i="2"/>
  <c r="N722" i="2"/>
  <c r="V722" i="2"/>
  <c r="J723" i="2"/>
  <c r="R723" i="2"/>
  <c r="Z723" i="2"/>
  <c r="N724" i="2"/>
  <c r="V724" i="2"/>
  <c r="J725" i="2"/>
  <c r="R725" i="2"/>
  <c r="Z725" i="2"/>
  <c r="N726" i="2"/>
  <c r="V726" i="2"/>
  <c r="J727" i="2"/>
  <c r="R727" i="2"/>
  <c r="Z727" i="2"/>
  <c r="N728" i="2"/>
  <c r="V728" i="2"/>
  <c r="J729" i="2"/>
  <c r="R729" i="2"/>
  <c r="Z729" i="2"/>
  <c r="N730" i="2"/>
  <c r="V730" i="2"/>
  <c r="J731" i="2"/>
  <c r="R731" i="2"/>
  <c r="Z731" i="2"/>
  <c r="N732" i="2"/>
  <c r="V732" i="2"/>
  <c r="J733" i="2"/>
  <c r="R733" i="2"/>
  <c r="Z733" i="2"/>
  <c r="N734" i="2"/>
  <c r="V734" i="2"/>
  <c r="J735" i="2"/>
  <c r="R735" i="2"/>
  <c r="Z735" i="2"/>
  <c r="N736" i="2"/>
  <c r="V736" i="2"/>
  <c r="J737" i="2"/>
  <c r="R737" i="2"/>
  <c r="Z737" i="2"/>
  <c r="N738" i="2"/>
  <c r="V738" i="2"/>
  <c r="J739" i="2"/>
  <c r="R739" i="2"/>
  <c r="Z739" i="2"/>
  <c r="N740" i="2"/>
  <c r="V740" i="2"/>
  <c r="J741" i="2"/>
  <c r="R741" i="2"/>
  <c r="Z741" i="2"/>
  <c r="N742" i="2"/>
  <c r="V742" i="2"/>
  <c r="J743" i="2"/>
  <c r="R743" i="2"/>
  <c r="Z743" i="2"/>
  <c r="N744" i="2"/>
  <c r="V744" i="2"/>
  <c r="J745" i="2"/>
  <c r="R745" i="2"/>
  <c r="Z745" i="2"/>
  <c r="N746" i="2"/>
  <c r="V746" i="2"/>
  <c r="J747" i="2"/>
  <c r="R747" i="2"/>
  <c r="Z747" i="2"/>
  <c r="N748" i="2"/>
  <c r="V748" i="2"/>
  <c r="J749" i="2"/>
  <c r="R749" i="2"/>
  <c r="Z749" i="2"/>
  <c r="N750" i="2"/>
  <c r="V750" i="2"/>
  <c r="J751" i="2"/>
  <c r="R751" i="2"/>
  <c r="Z751" i="2"/>
  <c r="N752" i="2"/>
  <c r="V752" i="2"/>
  <c r="J753" i="2"/>
  <c r="R753" i="2"/>
  <c r="Z753" i="2"/>
  <c r="N754" i="2"/>
  <c r="V754" i="2"/>
  <c r="J755" i="2"/>
  <c r="R755" i="2"/>
  <c r="Z755" i="2"/>
  <c r="N756" i="2"/>
  <c r="V756" i="2"/>
  <c r="J757" i="2"/>
  <c r="R757" i="2"/>
  <c r="Z757" i="2"/>
  <c r="N758" i="2"/>
  <c r="V758" i="2"/>
  <c r="J759" i="2"/>
  <c r="R759" i="2"/>
  <c r="Z759" i="2"/>
  <c r="N760" i="2"/>
  <c r="V760" i="2"/>
  <c r="J761" i="2"/>
  <c r="R761" i="2"/>
  <c r="Z761" i="2"/>
  <c r="N762" i="2"/>
  <c r="U762" i="2"/>
  <c r="Z762" i="2"/>
  <c r="K763" i="2"/>
  <c r="Q763" i="2"/>
  <c r="V763" i="2"/>
  <c r="AA763" i="2"/>
  <c r="M764" i="2"/>
  <c r="R764" i="2"/>
  <c r="W764" i="2"/>
  <c r="I765" i="2"/>
  <c r="N765" i="2"/>
  <c r="S765" i="2"/>
  <c r="Y765" i="2"/>
  <c r="J766" i="2"/>
  <c r="O766" i="2"/>
  <c r="U766" i="2"/>
  <c r="Z766" i="2"/>
  <c r="K767" i="2"/>
  <c r="Q767" i="2"/>
  <c r="V767" i="2"/>
  <c r="AA767" i="2"/>
  <c r="M768" i="2"/>
  <c r="R768" i="2"/>
  <c r="W768" i="2"/>
  <c r="I769" i="2"/>
  <c r="N769" i="2"/>
  <c r="S769" i="2"/>
  <c r="Y769" i="2"/>
  <c r="J770" i="2"/>
  <c r="O770" i="2"/>
  <c r="U770" i="2"/>
  <c r="Z770" i="2"/>
  <c r="K771" i="2"/>
  <c r="Q771" i="2"/>
  <c r="V771" i="2"/>
  <c r="AA771" i="2"/>
  <c r="M772" i="2"/>
  <c r="R772" i="2"/>
  <c r="W772" i="2"/>
  <c r="I773" i="2"/>
  <c r="N773" i="2"/>
  <c r="S773" i="2"/>
  <c r="Y773" i="2"/>
  <c r="J774" i="2"/>
  <c r="O774" i="2"/>
  <c r="U774" i="2"/>
  <c r="Z774" i="2"/>
  <c r="K775" i="2"/>
  <c r="Q775" i="2"/>
  <c r="V775" i="2"/>
  <c r="AA775" i="2"/>
  <c r="M776" i="2"/>
  <c r="R776" i="2"/>
  <c r="W776" i="2"/>
  <c r="I777" i="2"/>
  <c r="N777" i="2"/>
  <c r="S777" i="2"/>
  <c r="Y777" i="2"/>
  <c r="J778" i="2"/>
  <c r="O778" i="2"/>
  <c r="U778" i="2"/>
  <c r="Z778" i="2"/>
  <c r="K779" i="2"/>
  <c r="Q779" i="2"/>
  <c r="V779" i="2"/>
  <c r="AA779" i="2"/>
  <c r="M780" i="2"/>
  <c r="R780" i="2"/>
  <c r="W780" i="2"/>
  <c r="I781" i="2"/>
  <c r="N781" i="2"/>
  <c r="S781" i="2"/>
  <c r="Y781" i="2"/>
  <c r="J782" i="2"/>
  <c r="O782" i="2"/>
  <c r="U782" i="2"/>
  <c r="Z782" i="2"/>
  <c r="K783" i="2"/>
  <c r="Q783" i="2"/>
  <c r="V783" i="2"/>
  <c r="AA783" i="2"/>
  <c r="M784" i="2"/>
  <c r="R784" i="2"/>
  <c r="W784" i="2"/>
  <c r="I785" i="2"/>
  <c r="N785" i="2"/>
  <c r="S785" i="2"/>
  <c r="Y785" i="2"/>
  <c r="J786" i="2"/>
  <c r="O786" i="2"/>
  <c r="U786" i="2"/>
  <c r="Z786" i="2"/>
  <c r="K787" i="2"/>
  <c r="Q787" i="2"/>
  <c r="V787" i="2"/>
  <c r="AA787" i="2"/>
  <c r="M788" i="2"/>
  <c r="R788" i="2"/>
  <c r="W788" i="2"/>
  <c r="I789" i="2"/>
  <c r="N789" i="2"/>
  <c r="S789" i="2"/>
  <c r="Y789" i="2"/>
  <c r="J790" i="2"/>
  <c r="O790" i="2"/>
  <c r="U790" i="2"/>
  <c r="Z790" i="2"/>
  <c r="K791" i="2"/>
  <c r="Q791" i="2"/>
  <c r="V791" i="2"/>
  <c r="AA791" i="2"/>
  <c r="M792" i="2"/>
  <c r="R792" i="2"/>
  <c r="W792" i="2"/>
  <c r="I793" i="2"/>
  <c r="N793" i="2"/>
  <c r="S793" i="2"/>
  <c r="Y793" i="2"/>
  <c r="J794" i="2"/>
  <c r="O794" i="2"/>
  <c r="U794" i="2"/>
  <c r="Z794" i="2"/>
  <c r="K795" i="2"/>
  <c r="Q795" i="2"/>
  <c r="V795" i="2"/>
  <c r="AA795" i="2"/>
  <c r="M796" i="2"/>
  <c r="R796" i="2"/>
  <c r="W796" i="2"/>
  <c r="I797" i="2"/>
  <c r="N797" i="2"/>
  <c r="S797" i="2"/>
  <c r="Y797" i="2"/>
  <c r="J798" i="2"/>
  <c r="O798" i="2"/>
  <c r="U798" i="2"/>
  <c r="Z798" i="2"/>
  <c r="K799" i="2"/>
  <c r="Q799" i="2"/>
  <c r="V799" i="2"/>
  <c r="AA799" i="2"/>
  <c r="M800" i="2"/>
  <c r="R800" i="2"/>
  <c r="W800" i="2"/>
  <c r="I801" i="2"/>
  <c r="N801" i="2"/>
  <c r="S801" i="2"/>
  <c r="Y801" i="2"/>
  <c r="J802" i="2"/>
  <c r="O802" i="2"/>
  <c r="U802" i="2"/>
  <c r="Z802" i="2"/>
  <c r="K803" i="2"/>
  <c r="Q803" i="2"/>
  <c r="V803" i="2"/>
  <c r="AA803" i="2"/>
  <c r="M804" i="2"/>
  <c r="R804" i="2"/>
  <c r="W804" i="2"/>
  <c r="I805" i="2"/>
  <c r="N805" i="2"/>
  <c r="S805" i="2"/>
  <c r="Y805" i="2"/>
  <c r="J806" i="2"/>
  <c r="O806" i="2"/>
  <c r="U806" i="2"/>
  <c r="Z806" i="2"/>
  <c r="K807" i="2"/>
  <c r="Q807" i="2"/>
  <c r="V807" i="2"/>
  <c r="AA807" i="2"/>
  <c r="M808" i="2"/>
  <c r="R808" i="2"/>
  <c r="W808" i="2"/>
  <c r="I809" i="2"/>
  <c r="N809" i="2"/>
  <c r="S809" i="2"/>
  <c r="Y809" i="2"/>
  <c r="J810" i="2"/>
  <c r="O810" i="2"/>
  <c r="U810" i="2"/>
  <c r="Z810" i="2"/>
  <c r="K811" i="2"/>
  <c r="Q811" i="2"/>
  <c r="V811" i="2"/>
  <c r="AA811" i="2"/>
  <c r="M812" i="2"/>
  <c r="R812" i="2"/>
  <c r="W812" i="2"/>
  <c r="I813" i="2"/>
  <c r="N813" i="2"/>
  <c r="S813" i="2"/>
  <c r="Y813" i="2"/>
  <c r="J814" i="2"/>
  <c r="O814" i="2"/>
  <c r="U814" i="2"/>
  <c r="Z814" i="2"/>
  <c r="K815" i="2"/>
  <c r="Q815" i="2"/>
  <c r="V815" i="2"/>
  <c r="AA815" i="2"/>
  <c r="M816" i="2"/>
  <c r="R816" i="2"/>
  <c r="W816" i="2"/>
  <c r="I817" i="2"/>
  <c r="N817" i="2"/>
  <c r="S817" i="2"/>
  <c r="Y817" i="2"/>
  <c r="J818" i="2"/>
  <c r="O818" i="2"/>
  <c r="U818" i="2"/>
  <c r="Z818" i="2"/>
  <c r="K819" i="2"/>
  <c r="Q819" i="2"/>
  <c r="V819" i="2"/>
  <c r="AA819" i="2"/>
  <c r="M820" i="2"/>
  <c r="R820" i="2"/>
  <c r="W820" i="2"/>
  <c r="I821" i="2"/>
  <c r="N821" i="2"/>
  <c r="S821" i="2"/>
  <c r="Y821" i="2"/>
  <c r="J822" i="2"/>
  <c r="O822" i="2"/>
  <c r="S822" i="2"/>
  <c r="W822" i="2"/>
  <c r="AA822" i="2"/>
  <c r="K823" i="2"/>
  <c r="O823" i="2"/>
  <c r="S823" i="2"/>
  <c r="W823" i="2"/>
  <c r="AA823" i="2"/>
  <c r="K824" i="2"/>
  <c r="O824" i="2"/>
  <c r="S824" i="2"/>
  <c r="W824" i="2"/>
  <c r="AA824" i="2"/>
  <c r="K825" i="2"/>
  <c r="O825" i="2"/>
  <c r="S825" i="2"/>
  <c r="W825" i="2"/>
  <c r="AA825" i="2"/>
  <c r="K826" i="2"/>
  <c r="O826" i="2"/>
  <c r="S826" i="2"/>
  <c r="W826" i="2"/>
  <c r="AA826" i="2"/>
  <c r="K827" i="2"/>
  <c r="O827" i="2"/>
  <c r="S827" i="2"/>
  <c r="W827" i="2"/>
  <c r="AA827" i="2"/>
  <c r="K828" i="2"/>
  <c r="O828" i="2"/>
  <c r="S828" i="2"/>
  <c r="W828" i="2"/>
  <c r="AA828" i="2"/>
  <c r="K829" i="2"/>
  <c r="O829" i="2"/>
  <c r="S829" i="2"/>
  <c r="W829" i="2"/>
  <c r="AA829" i="2"/>
  <c r="K830" i="2"/>
  <c r="O830" i="2"/>
  <c r="S830" i="2"/>
  <c r="W830" i="2"/>
  <c r="AA830" i="2"/>
  <c r="K831" i="2"/>
  <c r="O831" i="2"/>
  <c r="S831" i="2"/>
  <c r="W831" i="2"/>
  <c r="AA831" i="2"/>
  <c r="K832" i="2"/>
  <c r="O832" i="2"/>
  <c r="S832" i="2"/>
  <c r="W832" i="2"/>
  <c r="AA832" i="2"/>
  <c r="K833" i="2"/>
  <c r="O833" i="2"/>
  <c r="S833" i="2"/>
  <c r="W833" i="2"/>
  <c r="AA833" i="2"/>
  <c r="K834" i="2"/>
  <c r="O834" i="2"/>
  <c r="S834" i="2"/>
  <c r="W834" i="2"/>
  <c r="AA834" i="2"/>
  <c r="K835" i="2"/>
  <c r="O835" i="2"/>
  <c r="S835" i="2"/>
  <c r="W835" i="2"/>
  <c r="AA835" i="2"/>
  <c r="K836" i="2"/>
  <c r="O836" i="2"/>
  <c r="S836" i="2"/>
  <c r="W836" i="2"/>
  <c r="AA836" i="2"/>
  <c r="K837" i="2"/>
  <c r="O837" i="2"/>
  <c r="S837" i="2"/>
  <c r="W837" i="2"/>
  <c r="AA837" i="2"/>
  <c r="K838" i="2"/>
  <c r="O838" i="2"/>
  <c r="S838" i="2"/>
  <c r="W838" i="2"/>
  <c r="AA838" i="2"/>
  <c r="K839" i="2"/>
  <c r="O839" i="2"/>
  <c r="S839" i="2"/>
  <c r="W839" i="2"/>
  <c r="AA839" i="2"/>
  <c r="K840" i="2"/>
  <c r="O840" i="2"/>
  <c r="S840" i="2"/>
  <c r="W840" i="2"/>
  <c r="AA840" i="2"/>
  <c r="K841" i="2"/>
  <c r="O841" i="2"/>
  <c r="S841" i="2"/>
  <c r="W841" i="2"/>
  <c r="AA841" i="2"/>
  <c r="K842" i="2"/>
  <c r="O842" i="2"/>
  <c r="S842" i="2"/>
  <c r="W842" i="2"/>
  <c r="AA842" i="2"/>
  <c r="K843" i="2"/>
  <c r="O843" i="2"/>
  <c r="S843" i="2"/>
  <c r="W843" i="2"/>
  <c r="AA843" i="2"/>
  <c r="K844" i="2"/>
  <c r="O844" i="2"/>
  <c r="S844" i="2"/>
  <c r="W844" i="2"/>
  <c r="AA844" i="2"/>
  <c r="K845" i="2"/>
  <c r="O845" i="2"/>
  <c r="S845" i="2"/>
  <c r="W845" i="2"/>
  <c r="AA845" i="2"/>
  <c r="K846" i="2"/>
  <c r="O846" i="2"/>
  <c r="S846" i="2"/>
  <c r="W846" i="2"/>
  <c r="AA846" i="2"/>
  <c r="K847" i="2"/>
  <c r="O847" i="2"/>
  <c r="S847" i="2"/>
  <c r="W847" i="2"/>
  <c r="AA847" i="2"/>
  <c r="K848" i="2"/>
  <c r="O848" i="2"/>
  <c r="S848" i="2"/>
  <c r="W848" i="2"/>
  <c r="AA848" i="2"/>
  <c r="K849" i="2"/>
  <c r="O849" i="2"/>
  <c r="S849" i="2"/>
  <c r="W849" i="2"/>
  <c r="AA849" i="2"/>
  <c r="K850" i="2"/>
  <c r="O850" i="2"/>
  <c r="S850" i="2"/>
  <c r="W850" i="2"/>
  <c r="AA850" i="2"/>
  <c r="K851" i="2"/>
  <c r="O851" i="2"/>
  <c r="S851" i="2"/>
  <c r="W851" i="2"/>
  <c r="AA851" i="2"/>
  <c r="K852" i="2"/>
  <c r="O852" i="2"/>
  <c r="S852" i="2"/>
  <c r="W852" i="2"/>
  <c r="AA852" i="2"/>
  <c r="K853" i="2"/>
  <c r="O853" i="2"/>
  <c r="S853" i="2"/>
  <c r="W853" i="2"/>
  <c r="AA853" i="2"/>
  <c r="K854" i="2"/>
  <c r="O854" i="2"/>
  <c r="S854" i="2"/>
  <c r="W854" i="2"/>
  <c r="AA854" i="2"/>
  <c r="K855" i="2"/>
  <c r="O855" i="2"/>
  <c r="S855" i="2"/>
  <c r="W855" i="2"/>
  <c r="AA855" i="2"/>
  <c r="K856" i="2"/>
  <c r="O856" i="2"/>
  <c r="S856" i="2"/>
  <c r="W856" i="2"/>
  <c r="AA856" i="2"/>
  <c r="K857" i="2"/>
  <c r="O857" i="2"/>
  <c r="S857" i="2"/>
  <c r="W857" i="2"/>
  <c r="AA857" i="2"/>
  <c r="K858" i="2"/>
  <c r="O858" i="2"/>
  <c r="S858" i="2"/>
  <c r="W858" i="2"/>
  <c r="AA858" i="2"/>
  <c r="K859" i="2"/>
  <c r="O859" i="2"/>
  <c r="S859" i="2"/>
  <c r="W859" i="2"/>
  <c r="AA859" i="2"/>
  <c r="K860" i="2"/>
  <c r="O860" i="2"/>
  <c r="S860" i="2"/>
  <c r="W860" i="2"/>
  <c r="AA860" i="2"/>
  <c r="K861" i="2"/>
  <c r="O861" i="2"/>
  <c r="S861" i="2"/>
  <c r="W861" i="2"/>
  <c r="AA861" i="2"/>
  <c r="K862" i="2"/>
  <c r="O862" i="2"/>
  <c r="S862" i="2"/>
  <c r="W862" i="2"/>
  <c r="AA862" i="2"/>
  <c r="K863" i="2"/>
  <c r="O863" i="2"/>
  <c r="S863" i="2"/>
  <c r="W863" i="2"/>
  <c r="AA863" i="2"/>
  <c r="K864" i="2"/>
  <c r="O864" i="2"/>
  <c r="S864" i="2"/>
  <c r="W864" i="2"/>
  <c r="AA864" i="2"/>
  <c r="K865" i="2"/>
  <c r="O865" i="2"/>
  <c r="S865" i="2"/>
  <c r="W865" i="2"/>
  <c r="AA865" i="2"/>
  <c r="K866" i="2"/>
  <c r="O866" i="2"/>
  <c r="S866" i="2"/>
  <c r="W866" i="2"/>
  <c r="AA866" i="2"/>
  <c r="K867" i="2"/>
  <c r="O867" i="2"/>
  <c r="S867" i="2"/>
  <c r="W867" i="2"/>
  <c r="AA867" i="2"/>
  <c r="K868" i="2"/>
  <c r="O868" i="2"/>
  <c r="S868" i="2"/>
  <c r="W868" i="2"/>
  <c r="AA868" i="2"/>
  <c r="K869" i="2"/>
  <c r="O869" i="2"/>
  <c r="S869" i="2"/>
  <c r="W869" i="2"/>
  <c r="AA869" i="2"/>
  <c r="K870" i="2"/>
  <c r="O870" i="2"/>
  <c r="S870" i="2"/>
  <c r="W870" i="2"/>
  <c r="AA870" i="2"/>
  <c r="K871" i="2"/>
  <c r="O871" i="2"/>
  <c r="S871" i="2"/>
  <c r="W871" i="2"/>
  <c r="AA871" i="2"/>
  <c r="K872" i="2"/>
  <c r="O872" i="2"/>
  <c r="S872" i="2"/>
  <c r="W872" i="2"/>
  <c r="AA872" i="2"/>
  <c r="K873" i="2"/>
  <c r="O873" i="2"/>
  <c r="S873" i="2"/>
  <c r="W873" i="2"/>
  <c r="AA873" i="2"/>
  <c r="K874" i="2"/>
  <c r="O874" i="2"/>
  <c r="S874" i="2"/>
  <c r="W874" i="2"/>
  <c r="AA874" i="2"/>
  <c r="K875" i="2"/>
  <c r="O875" i="2"/>
  <c r="S875" i="2"/>
  <c r="W875" i="2"/>
  <c r="AA875" i="2"/>
  <c r="K876" i="2"/>
  <c r="O876" i="2"/>
  <c r="S876" i="2"/>
  <c r="W876" i="2"/>
  <c r="AA876" i="2"/>
  <c r="K877" i="2"/>
  <c r="O877" i="2"/>
  <c r="S877" i="2"/>
  <c r="W877" i="2"/>
  <c r="AA877" i="2"/>
  <c r="K878" i="2"/>
  <c r="O878" i="2"/>
  <c r="S878" i="2"/>
  <c r="W878" i="2"/>
  <c r="AA878" i="2"/>
  <c r="K879" i="2"/>
  <c r="O879" i="2"/>
  <c r="S879" i="2"/>
  <c r="W879" i="2"/>
  <c r="AA879" i="2"/>
  <c r="K880" i="2"/>
  <c r="O880" i="2"/>
  <c r="S880" i="2"/>
  <c r="W880" i="2"/>
  <c r="AA880" i="2"/>
  <c r="K881" i="2"/>
  <c r="O881" i="2"/>
  <c r="S881" i="2"/>
  <c r="W881" i="2"/>
  <c r="AA881" i="2"/>
  <c r="K882" i="2"/>
  <c r="O882" i="2"/>
  <c r="S882" i="2"/>
  <c r="W882" i="2"/>
  <c r="AA882" i="2"/>
  <c r="K883" i="2"/>
  <c r="O883" i="2"/>
  <c r="S883" i="2"/>
  <c r="W883" i="2"/>
  <c r="AA883" i="2"/>
  <c r="K884" i="2"/>
  <c r="O884" i="2"/>
  <c r="S884" i="2"/>
  <c r="W884" i="2"/>
  <c r="AA884" i="2"/>
  <c r="K885" i="2"/>
  <c r="O885" i="2"/>
  <c r="S885" i="2"/>
  <c r="W885" i="2"/>
  <c r="AA885" i="2"/>
  <c r="K886" i="2"/>
  <c r="O886" i="2"/>
  <c r="S886" i="2"/>
  <c r="W886" i="2"/>
  <c r="AA886" i="2"/>
  <c r="K887" i="2"/>
  <c r="O887" i="2"/>
  <c r="S887" i="2"/>
  <c r="W887" i="2"/>
  <c r="AA887" i="2"/>
  <c r="K888" i="2"/>
  <c r="O888" i="2"/>
  <c r="S888" i="2"/>
  <c r="W888" i="2"/>
  <c r="AA888" i="2"/>
  <c r="K889" i="2"/>
  <c r="O889" i="2"/>
  <c r="S889" i="2"/>
  <c r="W889" i="2"/>
  <c r="AA889" i="2"/>
  <c r="K890" i="2"/>
  <c r="O890" i="2"/>
  <c r="S890" i="2"/>
  <c r="W890" i="2"/>
  <c r="AA890" i="2"/>
  <c r="K891" i="2"/>
  <c r="O891" i="2"/>
  <c r="S891" i="2"/>
  <c r="W891" i="2"/>
  <c r="AA891" i="2"/>
  <c r="K892" i="2"/>
  <c r="O892" i="2"/>
  <c r="S892" i="2"/>
  <c r="W892" i="2"/>
  <c r="AA892" i="2"/>
  <c r="K893" i="2"/>
  <c r="O893" i="2"/>
  <c r="S893" i="2"/>
  <c r="W893" i="2"/>
  <c r="AA893" i="2"/>
  <c r="K894" i="2"/>
  <c r="O894" i="2"/>
  <c r="S894" i="2"/>
  <c r="W894" i="2"/>
  <c r="AA894" i="2"/>
  <c r="K895" i="2"/>
  <c r="O895" i="2"/>
  <c r="S895" i="2"/>
  <c r="W895" i="2"/>
  <c r="AA895" i="2"/>
  <c r="K896" i="2"/>
  <c r="O896" i="2"/>
  <c r="S896" i="2"/>
  <c r="W896" i="2"/>
  <c r="AA896" i="2"/>
  <c r="K897" i="2"/>
  <c r="O897" i="2"/>
  <c r="S897" i="2"/>
  <c r="W897" i="2"/>
  <c r="AA897" i="2"/>
  <c r="K898" i="2"/>
  <c r="O898" i="2"/>
  <c r="S898" i="2"/>
  <c r="W898" i="2"/>
  <c r="AA898" i="2"/>
  <c r="K899" i="2"/>
  <c r="O899" i="2"/>
  <c r="S899" i="2"/>
  <c r="W899" i="2"/>
  <c r="AA899" i="2"/>
  <c r="K900" i="2"/>
  <c r="O900" i="2"/>
  <c r="S900" i="2"/>
  <c r="W900" i="2"/>
  <c r="AA900" i="2"/>
  <c r="K901" i="2"/>
  <c r="O901" i="2"/>
  <c r="S901" i="2"/>
  <c r="W901" i="2"/>
  <c r="AA901" i="2"/>
  <c r="K902" i="2"/>
  <c r="O902" i="2"/>
  <c r="S902" i="2"/>
  <c r="W902" i="2"/>
  <c r="AA902" i="2"/>
  <c r="K903" i="2"/>
  <c r="O903" i="2"/>
  <c r="S903" i="2"/>
  <c r="W903" i="2"/>
  <c r="AA903" i="2"/>
  <c r="K904" i="2"/>
  <c r="O904" i="2"/>
  <c r="S904" i="2"/>
  <c r="W904" i="2"/>
  <c r="AA904" i="2"/>
  <c r="K905" i="2"/>
  <c r="O905" i="2"/>
  <c r="S905" i="2"/>
  <c r="W905" i="2"/>
  <c r="AA905" i="2"/>
  <c r="K906" i="2"/>
  <c r="O906" i="2"/>
  <c r="S906" i="2"/>
  <c r="W906" i="2"/>
  <c r="AA906" i="2"/>
  <c r="K907" i="2"/>
  <c r="O907" i="2"/>
  <c r="S907" i="2"/>
  <c r="W907" i="2"/>
  <c r="AA907" i="2"/>
  <c r="K908" i="2"/>
  <c r="O908" i="2"/>
  <c r="S908" i="2"/>
  <c r="W908" i="2"/>
  <c r="AA908" i="2"/>
  <c r="K909" i="2"/>
  <c r="O909" i="2"/>
  <c r="S909" i="2"/>
  <c r="W909" i="2"/>
  <c r="AA909" i="2"/>
  <c r="K910" i="2"/>
  <c r="O910" i="2"/>
  <c r="S910" i="2"/>
  <c r="W910" i="2"/>
  <c r="AA910" i="2"/>
  <c r="K911" i="2"/>
  <c r="O911" i="2"/>
  <c r="S911" i="2"/>
  <c r="W911" i="2"/>
  <c r="AA911" i="2"/>
  <c r="K912" i="2"/>
  <c r="O912" i="2"/>
  <c r="S912" i="2"/>
  <c r="W912" i="2"/>
  <c r="AA912" i="2"/>
  <c r="K913" i="2"/>
  <c r="O913" i="2"/>
  <c r="S913" i="2"/>
  <c r="W913" i="2"/>
  <c r="P147" i="2"/>
  <c r="AA182" i="2"/>
  <c r="J217" i="2"/>
  <c r="Z245" i="2"/>
  <c r="AA257" i="2"/>
  <c r="R266" i="2"/>
  <c r="Z272" i="2"/>
  <c r="V278" i="2"/>
  <c r="O284" i="2"/>
  <c r="AA289" i="2"/>
  <c r="V295" i="2"/>
  <c r="R301" i="2"/>
  <c r="J307" i="2"/>
  <c r="W312" i="2"/>
  <c r="R318" i="2"/>
  <c r="J324" i="2"/>
  <c r="Z329" i="2"/>
  <c r="S335" i="2"/>
  <c r="AA338" i="2"/>
  <c r="X341" i="2"/>
  <c r="V344" i="2"/>
  <c r="K347" i="2"/>
  <c r="N349" i="2"/>
  <c r="Q351" i="2"/>
  <c r="S353" i="2"/>
  <c r="V355" i="2"/>
  <c r="Y357" i="2"/>
  <c r="AA359" i="2"/>
  <c r="J362" i="2"/>
  <c r="M364" i="2"/>
  <c r="O366" i="2"/>
  <c r="R368" i="2"/>
  <c r="U370" i="2"/>
  <c r="W372" i="2"/>
  <c r="Z374" i="2"/>
  <c r="I377" i="2"/>
  <c r="K379" i="2"/>
  <c r="N381" i="2"/>
  <c r="Q383" i="2"/>
  <c r="S385" i="2"/>
  <c r="V387" i="2"/>
  <c r="Y389" i="2"/>
  <c r="Z391" i="2"/>
  <c r="N393" i="2"/>
  <c r="W394" i="2"/>
  <c r="K396" i="2"/>
  <c r="S397" i="2"/>
  <c r="I399" i="2"/>
  <c r="Q400" i="2"/>
  <c r="Y401" i="2"/>
  <c r="N403" i="2"/>
  <c r="V404" i="2"/>
  <c r="J406" i="2"/>
  <c r="S407" i="2"/>
  <c r="AA408" i="2"/>
  <c r="O410" i="2"/>
  <c r="Y411" i="2"/>
  <c r="M413" i="2"/>
  <c r="U414" i="2"/>
  <c r="J416" i="2"/>
  <c r="R417" i="2"/>
  <c r="Z418" i="2"/>
  <c r="O420" i="2"/>
  <c r="W421" i="2"/>
  <c r="K423" i="2"/>
  <c r="U424" i="2"/>
  <c r="I426" i="2"/>
  <c r="Q427" i="2"/>
  <c r="Z428" i="2"/>
  <c r="N430" i="2"/>
  <c r="V431" i="2"/>
  <c r="K433" i="2"/>
  <c r="S434" i="2"/>
  <c r="AA435" i="2"/>
  <c r="Q437" i="2"/>
  <c r="Y438" i="2"/>
  <c r="M440" i="2"/>
  <c r="V441" i="2"/>
  <c r="J443" i="2"/>
  <c r="R444" i="2"/>
  <c r="AA445" i="2"/>
  <c r="O447" i="2"/>
  <c r="W448" i="2"/>
  <c r="M450" i="2"/>
  <c r="U451" i="2"/>
  <c r="I453" i="2"/>
  <c r="R454" i="2"/>
  <c r="Z455" i="2"/>
  <c r="N457" i="2"/>
  <c r="W458" i="2"/>
  <c r="K460" i="2"/>
  <c r="Q461" i="2"/>
  <c r="R462" i="2"/>
  <c r="S463" i="2"/>
  <c r="U464" i="2"/>
  <c r="V465" i="2"/>
  <c r="W466" i="2"/>
  <c r="Y467" i="2"/>
  <c r="Z468" i="2"/>
  <c r="AA469" i="2"/>
  <c r="I471" i="2"/>
  <c r="J472" i="2"/>
  <c r="K473" i="2"/>
  <c r="M474" i="2"/>
  <c r="N475" i="2"/>
  <c r="O476" i="2"/>
  <c r="Q477" i="2"/>
  <c r="R478" i="2"/>
  <c r="S479" i="2"/>
  <c r="U480" i="2"/>
  <c r="V481" i="2"/>
  <c r="W482" i="2"/>
  <c r="Y483" i="2"/>
  <c r="Z484" i="2"/>
  <c r="AA485" i="2"/>
  <c r="I487" i="2"/>
  <c r="J488" i="2"/>
  <c r="K489" i="2"/>
  <c r="M490" i="2"/>
  <c r="N491" i="2"/>
  <c r="O492" i="2"/>
  <c r="Q493" i="2"/>
  <c r="R494" i="2"/>
  <c r="S495" i="2"/>
  <c r="U496" i="2"/>
  <c r="V497" i="2"/>
  <c r="W498" i="2"/>
  <c r="Y499" i="2"/>
  <c r="Z500" i="2"/>
  <c r="AA501" i="2"/>
  <c r="I503" i="2"/>
  <c r="J504" i="2"/>
  <c r="K505" i="2"/>
  <c r="M506" i="2"/>
  <c r="N507" i="2"/>
  <c r="O508" i="2"/>
  <c r="Q509" i="2"/>
  <c r="R510" i="2"/>
  <c r="S511" i="2"/>
  <c r="U512" i="2"/>
  <c r="V513" i="2"/>
  <c r="W514" i="2"/>
  <c r="Y515" i="2"/>
  <c r="Z516" i="2"/>
  <c r="AA517" i="2"/>
  <c r="I519" i="2"/>
  <c r="J520" i="2"/>
  <c r="K521" i="2"/>
  <c r="M522" i="2"/>
  <c r="N523" i="2"/>
  <c r="O524" i="2"/>
  <c r="Q525" i="2"/>
  <c r="R526" i="2"/>
  <c r="S527" i="2"/>
  <c r="U528" i="2"/>
  <c r="V529" i="2"/>
  <c r="W530" i="2"/>
  <c r="Y531" i="2"/>
  <c r="Z532" i="2"/>
  <c r="AA533" i="2"/>
  <c r="I535" i="2"/>
  <c r="J536" i="2"/>
  <c r="K537" i="2"/>
  <c r="M538" i="2"/>
  <c r="N539" i="2"/>
  <c r="O540" i="2"/>
  <c r="Q541" i="2"/>
  <c r="R542" i="2"/>
  <c r="S543" i="2"/>
  <c r="U544" i="2"/>
  <c r="U545" i="2"/>
  <c r="O546" i="2"/>
  <c r="I547" i="2"/>
  <c r="W547" i="2"/>
  <c r="R548" i="2"/>
  <c r="K549" i="2"/>
  <c r="Z549" i="2"/>
  <c r="U550" i="2"/>
  <c r="N551" i="2"/>
  <c r="I552" i="2"/>
  <c r="W552" i="2"/>
  <c r="Q553" i="2"/>
  <c r="K554" i="2"/>
  <c r="Z554" i="2"/>
  <c r="S555" i="2"/>
  <c r="N556" i="2"/>
  <c r="I557" i="2"/>
  <c r="V557" i="2"/>
  <c r="Q558" i="2"/>
  <c r="K559" i="2"/>
  <c r="Y559" i="2"/>
  <c r="S560" i="2"/>
  <c r="N561" i="2"/>
  <c r="AA561" i="2"/>
  <c r="V562" i="2"/>
  <c r="Q563" i="2"/>
  <c r="J564" i="2"/>
  <c r="Y564" i="2"/>
  <c r="S565" i="2"/>
  <c r="M566" i="2"/>
  <c r="AA566" i="2"/>
  <c r="V567" i="2"/>
  <c r="O568" i="2"/>
  <c r="J569" i="2"/>
  <c r="X569" i="2"/>
  <c r="N570" i="2"/>
  <c r="Y570" i="2"/>
  <c r="P571" i="2"/>
  <c r="Z571" i="2"/>
  <c r="Q572" i="2"/>
  <c r="H573" i="2"/>
  <c r="R573" i="2"/>
  <c r="I574" i="2"/>
  <c r="T574" i="2"/>
  <c r="J575" i="2"/>
  <c r="U575" i="2"/>
  <c r="K576" i="2"/>
  <c r="S576" i="2"/>
  <c r="AA576" i="2"/>
  <c r="O577" i="2"/>
  <c r="W577" i="2"/>
  <c r="K578" i="2"/>
  <c r="S578" i="2"/>
  <c r="AA578" i="2"/>
  <c r="O579" i="2"/>
  <c r="W579" i="2"/>
  <c r="K580" i="2"/>
  <c r="S580" i="2"/>
  <c r="AA580" i="2"/>
  <c r="O581" i="2"/>
  <c r="W581" i="2"/>
  <c r="K582" i="2"/>
  <c r="S582" i="2"/>
  <c r="AA582" i="2"/>
  <c r="O583" i="2"/>
  <c r="W583" i="2"/>
  <c r="K584" i="2"/>
  <c r="S584" i="2"/>
  <c r="AA584" i="2"/>
  <c r="O585" i="2"/>
  <c r="W585" i="2"/>
  <c r="K586" i="2"/>
  <c r="S586" i="2"/>
  <c r="AA586" i="2"/>
  <c r="O587" i="2"/>
  <c r="W587" i="2"/>
  <c r="K588" i="2"/>
  <c r="S588" i="2"/>
  <c r="AA588" i="2"/>
  <c r="O589" i="2"/>
  <c r="W589" i="2"/>
  <c r="K590" i="2"/>
  <c r="S590" i="2"/>
  <c r="AA590" i="2"/>
  <c r="O591" i="2"/>
  <c r="W591" i="2"/>
  <c r="K592" i="2"/>
  <c r="S592" i="2"/>
  <c r="AA592" i="2"/>
  <c r="O593" i="2"/>
  <c r="W593" i="2"/>
  <c r="K594" i="2"/>
  <c r="S594" i="2"/>
  <c r="AA594" i="2"/>
  <c r="O595" i="2"/>
  <c r="W595" i="2"/>
  <c r="K596" i="2"/>
  <c r="S596" i="2"/>
  <c r="AA596" i="2"/>
  <c r="O597" i="2"/>
  <c r="W597" i="2"/>
  <c r="K598" i="2"/>
  <c r="S598" i="2"/>
  <c r="AA598" i="2"/>
  <c r="O599" i="2"/>
  <c r="W599" i="2"/>
  <c r="K600" i="2"/>
  <c r="S600" i="2"/>
  <c r="AA600" i="2"/>
  <c r="O601" i="2"/>
  <c r="W601" i="2"/>
  <c r="K602" i="2"/>
  <c r="S602" i="2"/>
  <c r="AA602" i="2"/>
  <c r="O603" i="2"/>
  <c r="W603" i="2"/>
  <c r="K604" i="2"/>
  <c r="S604" i="2"/>
  <c r="AA604" i="2"/>
  <c r="O605" i="2"/>
  <c r="W605" i="2"/>
  <c r="K606" i="2"/>
  <c r="S606" i="2"/>
  <c r="AA606" i="2"/>
  <c r="O607" i="2"/>
  <c r="W607" i="2"/>
  <c r="K608" i="2"/>
  <c r="S608" i="2"/>
  <c r="AA608" i="2"/>
  <c r="O609" i="2"/>
  <c r="W609" i="2"/>
  <c r="K610" i="2"/>
  <c r="S610" i="2"/>
  <c r="AA610" i="2"/>
  <c r="O611" i="2"/>
  <c r="W611" i="2"/>
  <c r="K612" i="2"/>
  <c r="S612" i="2"/>
  <c r="AA612" i="2"/>
  <c r="O613" i="2"/>
  <c r="W613" i="2"/>
  <c r="K614" i="2"/>
  <c r="S614" i="2"/>
  <c r="AA614" i="2"/>
  <c r="O615" i="2"/>
  <c r="W615" i="2"/>
  <c r="K616" i="2"/>
  <c r="S616" i="2"/>
  <c r="AA616" i="2"/>
  <c r="O617" i="2"/>
  <c r="W617" i="2"/>
  <c r="K618" i="2"/>
  <c r="S618" i="2"/>
  <c r="AA618" i="2"/>
  <c r="O619" i="2"/>
  <c r="W619" i="2"/>
  <c r="K620" i="2"/>
  <c r="S620" i="2"/>
  <c r="AA620" i="2"/>
  <c r="O621" i="2"/>
  <c r="W621" i="2"/>
  <c r="K622" i="2"/>
  <c r="S622" i="2"/>
  <c r="AA622" i="2"/>
  <c r="O623" i="2"/>
  <c r="W623" i="2"/>
  <c r="K624" i="2"/>
  <c r="S624" i="2"/>
  <c r="AA624" i="2"/>
  <c r="O625" i="2"/>
  <c r="W625" i="2"/>
  <c r="K626" i="2"/>
  <c r="S626" i="2"/>
  <c r="AA626" i="2"/>
  <c r="O627" i="2"/>
  <c r="W627" i="2"/>
  <c r="K628" i="2"/>
  <c r="S628" i="2"/>
  <c r="AA628" i="2"/>
  <c r="O629" i="2"/>
  <c r="W629" i="2"/>
  <c r="K630" i="2"/>
  <c r="S630" i="2"/>
  <c r="AA630" i="2"/>
  <c r="O631" i="2"/>
  <c r="W631" i="2"/>
  <c r="K632" i="2"/>
  <c r="S632" i="2"/>
  <c r="AA632" i="2"/>
  <c r="O633" i="2"/>
  <c r="W633" i="2"/>
  <c r="K634" i="2"/>
  <c r="S634" i="2"/>
  <c r="AA634" i="2"/>
  <c r="O635" i="2"/>
  <c r="W635" i="2"/>
  <c r="K636" i="2"/>
  <c r="S636" i="2"/>
  <c r="AA636" i="2"/>
  <c r="O637" i="2"/>
  <c r="W637" i="2"/>
  <c r="K638" i="2"/>
  <c r="S638" i="2"/>
  <c r="AA638" i="2"/>
  <c r="O639" i="2"/>
  <c r="W639" i="2"/>
  <c r="K640" i="2"/>
  <c r="S640" i="2"/>
  <c r="AA640" i="2"/>
  <c r="O641" i="2"/>
  <c r="W641" i="2"/>
  <c r="K642" i="2"/>
  <c r="S642" i="2"/>
  <c r="AA642" i="2"/>
  <c r="O643" i="2"/>
  <c r="W643" i="2"/>
  <c r="K644" i="2"/>
  <c r="S644" i="2"/>
  <c r="AA644" i="2"/>
  <c r="O645" i="2"/>
  <c r="W645" i="2"/>
  <c r="K646" i="2"/>
  <c r="S646" i="2"/>
  <c r="AA646" i="2"/>
  <c r="O647" i="2"/>
  <c r="W647" i="2"/>
  <c r="K648" i="2"/>
  <c r="S648" i="2"/>
  <c r="AA648" i="2"/>
  <c r="O649" i="2"/>
  <c r="W649" i="2"/>
  <c r="K650" i="2"/>
  <c r="S650" i="2"/>
  <c r="AA650" i="2"/>
  <c r="O651" i="2"/>
  <c r="W651" i="2"/>
  <c r="K652" i="2"/>
  <c r="S652" i="2"/>
  <c r="AA652" i="2"/>
  <c r="O653" i="2"/>
  <c r="W653" i="2"/>
  <c r="K654" i="2"/>
  <c r="S654" i="2"/>
  <c r="AA654" i="2"/>
  <c r="O655" i="2"/>
  <c r="W655" i="2"/>
  <c r="K656" i="2"/>
  <c r="S656" i="2"/>
  <c r="AA656" i="2"/>
  <c r="O657" i="2"/>
  <c r="W657" i="2"/>
  <c r="K658" i="2"/>
  <c r="S658" i="2"/>
  <c r="AA658" i="2"/>
  <c r="O659" i="2"/>
  <c r="W659" i="2"/>
  <c r="K660" i="2"/>
  <c r="S660" i="2"/>
  <c r="AA660" i="2"/>
  <c r="O661" i="2"/>
  <c r="W661" i="2"/>
  <c r="K662" i="2"/>
  <c r="S662" i="2"/>
  <c r="AA662" i="2"/>
  <c r="O663" i="2"/>
  <c r="W663" i="2"/>
  <c r="K664" i="2"/>
  <c r="S664" i="2"/>
  <c r="AA664" i="2"/>
  <c r="O665" i="2"/>
  <c r="W665" i="2"/>
  <c r="K666" i="2"/>
  <c r="S666" i="2"/>
  <c r="AA666" i="2"/>
  <c r="O667" i="2"/>
  <c r="W667" i="2"/>
  <c r="K668" i="2"/>
  <c r="S668" i="2"/>
  <c r="AA668" i="2"/>
  <c r="O669" i="2"/>
  <c r="W669" i="2"/>
  <c r="K670" i="2"/>
  <c r="S670" i="2"/>
  <c r="AA670" i="2"/>
  <c r="O671" i="2"/>
  <c r="W671" i="2"/>
  <c r="K672" i="2"/>
  <c r="S672" i="2"/>
  <c r="AA672" i="2"/>
  <c r="O673" i="2"/>
  <c r="W673" i="2"/>
  <c r="K674" i="2"/>
  <c r="S674" i="2"/>
  <c r="AA674" i="2"/>
  <c r="O675" i="2"/>
  <c r="W675" i="2"/>
  <c r="K676" i="2"/>
  <c r="S676" i="2"/>
  <c r="AA676" i="2"/>
  <c r="O677" i="2"/>
  <c r="W677" i="2"/>
  <c r="K678" i="2"/>
  <c r="S678" i="2"/>
  <c r="AA678" i="2"/>
  <c r="O679" i="2"/>
  <c r="W679" i="2"/>
  <c r="K680" i="2"/>
  <c r="S680" i="2"/>
  <c r="AA680" i="2"/>
  <c r="O681" i="2"/>
  <c r="W681" i="2"/>
  <c r="K682" i="2"/>
  <c r="S682" i="2"/>
  <c r="AA682" i="2"/>
  <c r="O683" i="2"/>
  <c r="W683" i="2"/>
  <c r="K684" i="2"/>
  <c r="S684" i="2"/>
  <c r="AA684" i="2"/>
  <c r="O685" i="2"/>
  <c r="W685" i="2"/>
  <c r="K686" i="2"/>
  <c r="S686" i="2"/>
  <c r="AA686" i="2"/>
  <c r="O687" i="2"/>
  <c r="W687" i="2"/>
  <c r="K688" i="2"/>
  <c r="S688" i="2"/>
  <c r="AA688" i="2"/>
  <c r="O689" i="2"/>
  <c r="W689" i="2"/>
  <c r="K690" i="2"/>
  <c r="S690" i="2"/>
  <c r="AA690" i="2"/>
  <c r="O691" i="2"/>
  <c r="W691" i="2"/>
  <c r="K692" i="2"/>
  <c r="S692" i="2"/>
  <c r="AA692" i="2"/>
  <c r="O693" i="2"/>
  <c r="W693" i="2"/>
  <c r="K694" i="2"/>
  <c r="S694" i="2"/>
  <c r="AA694" i="2"/>
  <c r="O695" i="2"/>
  <c r="W695" i="2"/>
  <c r="K696" i="2"/>
  <c r="S696" i="2"/>
  <c r="AA696" i="2"/>
  <c r="O697" i="2"/>
  <c r="W697" i="2"/>
  <c r="K698" i="2"/>
  <c r="S698" i="2"/>
  <c r="AA698" i="2"/>
  <c r="O699" i="2"/>
  <c r="W699" i="2"/>
  <c r="K700" i="2"/>
  <c r="S700" i="2"/>
  <c r="AA700" i="2"/>
  <c r="O701" i="2"/>
  <c r="W701" i="2"/>
  <c r="K702" i="2"/>
  <c r="S702" i="2"/>
  <c r="AA702" i="2"/>
  <c r="O703" i="2"/>
  <c r="W703" i="2"/>
  <c r="K704" i="2"/>
  <c r="S704" i="2"/>
  <c r="AA704" i="2"/>
  <c r="O705" i="2"/>
  <c r="W705" i="2"/>
  <c r="K706" i="2"/>
  <c r="S706" i="2"/>
  <c r="AA706" i="2"/>
  <c r="O707" i="2"/>
  <c r="W707" i="2"/>
  <c r="K708" i="2"/>
  <c r="S708" i="2"/>
  <c r="AA708" i="2"/>
  <c r="O709" i="2"/>
  <c r="W709" i="2"/>
  <c r="K710" i="2"/>
  <c r="S710" i="2"/>
  <c r="AA710" i="2"/>
  <c r="O711" i="2"/>
  <c r="W711" i="2"/>
  <c r="K712" i="2"/>
  <c r="S712" i="2"/>
  <c r="AA712" i="2"/>
  <c r="O713" i="2"/>
  <c r="W713" i="2"/>
  <c r="K714" i="2"/>
  <c r="S714" i="2"/>
  <c r="AA714" i="2"/>
  <c r="O715" i="2"/>
  <c r="W715" i="2"/>
  <c r="K716" i="2"/>
  <c r="S716" i="2"/>
  <c r="AA716" i="2"/>
  <c r="O717" i="2"/>
  <c r="W717" i="2"/>
  <c r="K718" i="2"/>
  <c r="S718" i="2"/>
  <c r="AA718" i="2"/>
  <c r="O719" i="2"/>
  <c r="W719" i="2"/>
  <c r="K720" i="2"/>
  <c r="S720" i="2"/>
  <c r="AA720" i="2"/>
  <c r="O721" i="2"/>
  <c r="W721" i="2"/>
  <c r="K722" i="2"/>
  <c r="S722" i="2"/>
  <c r="AA722" i="2"/>
  <c r="O723" i="2"/>
  <c r="W723" i="2"/>
  <c r="K724" i="2"/>
  <c r="S724" i="2"/>
  <c r="AA724" i="2"/>
  <c r="O725" i="2"/>
  <c r="W725" i="2"/>
  <c r="K726" i="2"/>
  <c r="S726" i="2"/>
  <c r="AA726" i="2"/>
  <c r="O727" i="2"/>
  <c r="W727" i="2"/>
  <c r="K728" i="2"/>
  <c r="S728" i="2"/>
  <c r="AA728" i="2"/>
  <c r="O729" i="2"/>
  <c r="W729" i="2"/>
  <c r="K730" i="2"/>
  <c r="S730" i="2"/>
  <c r="AA730" i="2"/>
  <c r="O731" i="2"/>
  <c r="W731" i="2"/>
  <c r="K732" i="2"/>
  <c r="S732" i="2"/>
  <c r="AA732" i="2"/>
  <c r="O733" i="2"/>
  <c r="W733" i="2"/>
  <c r="K734" i="2"/>
  <c r="S734" i="2"/>
  <c r="AA734" i="2"/>
  <c r="O735" i="2"/>
  <c r="W735" i="2"/>
  <c r="K736" i="2"/>
  <c r="S736" i="2"/>
  <c r="AA736" i="2"/>
  <c r="O737" i="2"/>
  <c r="W737" i="2"/>
  <c r="K738" i="2"/>
  <c r="S738" i="2"/>
  <c r="AA738" i="2"/>
  <c r="O739" i="2"/>
  <c r="W739" i="2"/>
  <c r="K740" i="2"/>
  <c r="S740" i="2"/>
  <c r="AA740" i="2"/>
  <c r="O741" i="2"/>
  <c r="W741" i="2"/>
  <c r="K742" i="2"/>
  <c r="S742" i="2"/>
  <c r="AA742" i="2"/>
  <c r="O743" i="2"/>
  <c r="W743" i="2"/>
  <c r="K744" i="2"/>
  <c r="S744" i="2"/>
  <c r="AA744" i="2"/>
  <c r="O745" i="2"/>
  <c r="W745" i="2"/>
  <c r="K746" i="2"/>
  <c r="S746" i="2"/>
  <c r="AA746" i="2"/>
  <c r="O747" i="2"/>
  <c r="W747" i="2"/>
  <c r="K748" i="2"/>
  <c r="S748" i="2"/>
  <c r="AA748" i="2"/>
  <c r="O749" i="2"/>
  <c r="W749" i="2"/>
  <c r="K750" i="2"/>
  <c r="S750" i="2"/>
  <c r="AA750" i="2"/>
  <c r="O751" i="2"/>
  <c r="W751" i="2"/>
  <c r="K752" i="2"/>
  <c r="S752" i="2"/>
  <c r="AA752" i="2"/>
  <c r="O753" i="2"/>
  <c r="W753" i="2"/>
  <c r="K754" i="2"/>
  <c r="S754" i="2"/>
  <c r="AA754" i="2"/>
  <c r="O755" i="2"/>
  <c r="W755" i="2"/>
  <c r="K756" i="2"/>
  <c r="S756" i="2"/>
  <c r="AA756" i="2"/>
  <c r="O757" i="2"/>
  <c r="W757" i="2"/>
  <c r="K758" i="2"/>
  <c r="S758" i="2"/>
  <c r="AA758" i="2"/>
  <c r="O759" i="2"/>
  <c r="W759" i="2"/>
  <c r="K760" i="2"/>
  <c r="S760" i="2"/>
  <c r="AA760" i="2"/>
  <c r="O761" i="2"/>
  <c r="W761" i="2"/>
  <c r="K762" i="2"/>
  <c r="S762" i="2"/>
  <c r="Y762" i="2"/>
  <c r="J763" i="2"/>
  <c r="O763" i="2"/>
  <c r="U763" i="2"/>
  <c r="Z763" i="2"/>
  <c r="K764" i="2"/>
  <c r="Q764" i="2"/>
  <c r="V764" i="2"/>
  <c r="AA764" i="2"/>
  <c r="M765" i="2"/>
  <c r="R765" i="2"/>
  <c r="W765" i="2"/>
  <c r="I766" i="2"/>
  <c r="N766" i="2"/>
  <c r="S766" i="2"/>
  <c r="Y766" i="2"/>
  <c r="J767" i="2"/>
  <c r="O767" i="2"/>
  <c r="U767" i="2"/>
  <c r="Z767" i="2"/>
  <c r="K768" i="2"/>
  <c r="Q768" i="2"/>
  <c r="V768" i="2"/>
  <c r="AA768" i="2"/>
  <c r="M769" i="2"/>
  <c r="R769" i="2"/>
  <c r="W769" i="2"/>
  <c r="I770" i="2"/>
  <c r="N770" i="2"/>
  <c r="S770" i="2"/>
  <c r="Y770" i="2"/>
  <c r="J771" i="2"/>
  <c r="O771" i="2"/>
  <c r="U771" i="2"/>
  <c r="Z771" i="2"/>
  <c r="K772" i="2"/>
  <c r="Q772" i="2"/>
  <c r="V772" i="2"/>
  <c r="AA772" i="2"/>
  <c r="M773" i="2"/>
  <c r="R773" i="2"/>
  <c r="W773" i="2"/>
  <c r="I774" i="2"/>
  <c r="N774" i="2"/>
  <c r="S774" i="2"/>
  <c r="Y774" i="2"/>
  <c r="J775" i="2"/>
  <c r="O775" i="2"/>
  <c r="U775" i="2"/>
  <c r="Z775" i="2"/>
  <c r="K776" i="2"/>
  <c r="Q776" i="2"/>
  <c r="V776" i="2"/>
  <c r="AA776" i="2"/>
  <c r="M777" i="2"/>
  <c r="R777" i="2"/>
  <c r="W777" i="2"/>
  <c r="I778" i="2"/>
  <c r="N778" i="2"/>
  <c r="S778" i="2"/>
  <c r="Y778" i="2"/>
  <c r="J779" i="2"/>
  <c r="O779" i="2"/>
  <c r="U779" i="2"/>
  <c r="Z779" i="2"/>
  <c r="K780" i="2"/>
  <c r="Q780" i="2"/>
  <c r="V780" i="2"/>
  <c r="AA780" i="2"/>
  <c r="M781" i="2"/>
  <c r="R781" i="2"/>
  <c r="W781" i="2"/>
  <c r="I782" i="2"/>
  <c r="N782" i="2"/>
  <c r="S782" i="2"/>
  <c r="Y782" i="2"/>
  <c r="J783" i="2"/>
  <c r="O783" i="2"/>
  <c r="U783" i="2"/>
  <c r="Z783" i="2"/>
  <c r="K784" i="2"/>
  <c r="Q784" i="2"/>
  <c r="V784" i="2"/>
  <c r="AA784" i="2"/>
  <c r="M785" i="2"/>
  <c r="R785" i="2"/>
  <c r="W785" i="2"/>
  <c r="I786" i="2"/>
  <c r="N786" i="2"/>
  <c r="S786" i="2"/>
  <c r="Y786" i="2"/>
  <c r="J787" i="2"/>
  <c r="O787" i="2"/>
  <c r="U787" i="2"/>
  <c r="Z787" i="2"/>
  <c r="K788" i="2"/>
  <c r="Q788" i="2"/>
  <c r="V788" i="2"/>
  <c r="AA788" i="2"/>
  <c r="M789" i="2"/>
  <c r="R789" i="2"/>
  <c r="W789" i="2"/>
  <c r="I790" i="2"/>
  <c r="N790" i="2"/>
  <c r="S790" i="2"/>
  <c r="Y790" i="2"/>
  <c r="J791" i="2"/>
  <c r="O791" i="2"/>
  <c r="U791" i="2"/>
  <c r="Z791" i="2"/>
  <c r="K792" i="2"/>
  <c r="Q792" i="2"/>
  <c r="V792" i="2"/>
  <c r="AA792" i="2"/>
  <c r="M793" i="2"/>
  <c r="R793" i="2"/>
  <c r="W793" i="2"/>
  <c r="I794" i="2"/>
  <c r="N794" i="2"/>
  <c r="S794" i="2"/>
  <c r="Y794" i="2"/>
  <c r="J795" i="2"/>
  <c r="O795" i="2"/>
  <c r="U795" i="2"/>
  <c r="Z795" i="2"/>
  <c r="K796" i="2"/>
  <c r="Q796" i="2"/>
  <c r="V796" i="2"/>
  <c r="AA796" i="2"/>
  <c r="M797" i="2"/>
  <c r="R797" i="2"/>
  <c r="W797" i="2"/>
  <c r="I798" i="2"/>
  <c r="N798" i="2"/>
  <c r="S798" i="2"/>
  <c r="Y798" i="2"/>
  <c r="J799" i="2"/>
  <c r="O799" i="2"/>
  <c r="U799" i="2"/>
  <c r="Z799" i="2"/>
  <c r="K800" i="2"/>
  <c r="Q800" i="2"/>
  <c r="V800" i="2"/>
  <c r="AA800" i="2"/>
  <c r="M801" i="2"/>
  <c r="R801" i="2"/>
  <c r="W801" i="2"/>
  <c r="I802" i="2"/>
  <c r="N802" i="2"/>
  <c r="S802" i="2"/>
  <c r="Y802" i="2"/>
  <c r="J803" i="2"/>
  <c r="O803" i="2"/>
  <c r="U803" i="2"/>
  <c r="Z803" i="2"/>
  <c r="K804" i="2"/>
  <c r="Q804" i="2"/>
  <c r="V804" i="2"/>
  <c r="AA804" i="2"/>
  <c r="M805" i="2"/>
  <c r="R805" i="2"/>
  <c r="W805" i="2"/>
  <c r="I806" i="2"/>
  <c r="N806" i="2"/>
  <c r="S806" i="2"/>
  <c r="Y806" i="2"/>
  <c r="J807" i="2"/>
  <c r="O807" i="2"/>
  <c r="U807" i="2"/>
  <c r="Z807" i="2"/>
  <c r="K808" i="2"/>
  <c r="Q808" i="2"/>
  <c r="V808" i="2"/>
  <c r="AA808" i="2"/>
  <c r="M809" i="2"/>
  <c r="R809" i="2"/>
  <c r="W809" i="2"/>
  <c r="I810" i="2"/>
  <c r="N810" i="2"/>
  <c r="S810" i="2"/>
  <c r="Y810" i="2"/>
  <c r="J811" i="2"/>
  <c r="O811" i="2"/>
  <c r="U811" i="2"/>
  <c r="Z811" i="2"/>
  <c r="K812" i="2"/>
  <c r="Q812" i="2"/>
  <c r="V812" i="2"/>
  <c r="AA812" i="2"/>
  <c r="M813" i="2"/>
  <c r="R813" i="2"/>
  <c r="W813" i="2"/>
  <c r="I814" i="2"/>
  <c r="N814" i="2"/>
  <c r="S814" i="2"/>
  <c r="Y814" i="2"/>
  <c r="J815" i="2"/>
  <c r="O815" i="2"/>
  <c r="U815" i="2"/>
  <c r="Z815" i="2"/>
  <c r="K816" i="2"/>
  <c r="Q816" i="2"/>
  <c r="V816" i="2"/>
  <c r="AA816" i="2"/>
  <c r="M817" i="2"/>
  <c r="R817" i="2"/>
  <c r="W817" i="2"/>
  <c r="I818" i="2"/>
  <c r="N818" i="2"/>
  <c r="S818" i="2"/>
  <c r="Y818" i="2"/>
  <c r="J819" i="2"/>
  <c r="O819" i="2"/>
  <c r="U819" i="2"/>
  <c r="Z819" i="2"/>
  <c r="K820" i="2"/>
  <c r="Q820" i="2"/>
  <c r="V820" i="2"/>
  <c r="AA820" i="2"/>
  <c r="M821" i="2"/>
  <c r="R821" i="2"/>
  <c r="W821" i="2"/>
  <c r="I822" i="2"/>
  <c r="N822" i="2"/>
  <c r="R822" i="2"/>
  <c r="V822" i="2"/>
  <c r="Z822" i="2"/>
  <c r="J823" i="2"/>
  <c r="N823" i="2"/>
  <c r="R823" i="2"/>
  <c r="V823" i="2"/>
  <c r="Z823" i="2"/>
  <c r="J824" i="2"/>
  <c r="N824" i="2"/>
  <c r="R824" i="2"/>
  <c r="V824" i="2"/>
  <c r="Z824" i="2"/>
  <c r="J825" i="2"/>
  <c r="N825" i="2"/>
  <c r="R825" i="2"/>
  <c r="V825" i="2"/>
  <c r="Z825" i="2"/>
  <c r="J826" i="2"/>
  <c r="N826" i="2"/>
  <c r="R826" i="2"/>
  <c r="V826" i="2"/>
  <c r="Z826" i="2"/>
  <c r="J827" i="2"/>
  <c r="N827" i="2"/>
  <c r="R827" i="2"/>
  <c r="V827" i="2"/>
  <c r="Z827" i="2"/>
  <c r="J828" i="2"/>
  <c r="N828" i="2"/>
  <c r="R828" i="2"/>
  <c r="V828" i="2"/>
  <c r="Z828" i="2"/>
  <c r="J829" i="2"/>
  <c r="N829" i="2"/>
  <c r="R829" i="2"/>
  <c r="V829" i="2"/>
  <c r="Z829" i="2"/>
  <c r="J830" i="2"/>
  <c r="N830" i="2"/>
  <c r="R830" i="2"/>
  <c r="V830" i="2"/>
  <c r="Z830" i="2"/>
  <c r="J831" i="2"/>
  <c r="N831" i="2"/>
  <c r="R831" i="2"/>
  <c r="V831" i="2"/>
  <c r="Z831" i="2"/>
  <c r="J832" i="2"/>
  <c r="N832" i="2"/>
  <c r="R832" i="2"/>
  <c r="V832" i="2"/>
  <c r="Z832" i="2"/>
  <c r="J833" i="2"/>
  <c r="N833" i="2"/>
  <c r="R833" i="2"/>
  <c r="V833" i="2"/>
  <c r="Z833" i="2"/>
  <c r="J834" i="2"/>
  <c r="N834" i="2"/>
  <c r="R834" i="2"/>
  <c r="V834" i="2"/>
  <c r="Z834" i="2"/>
  <c r="J835" i="2"/>
  <c r="N835" i="2"/>
  <c r="R835" i="2"/>
  <c r="V835" i="2"/>
  <c r="Z835" i="2"/>
  <c r="J836" i="2"/>
  <c r="N836" i="2"/>
  <c r="R836" i="2"/>
  <c r="V836" i="2"/>
  <c r="Z836" i="2"/>
  <c r="J837" i="2"/>
  <c r="N837" i="2"/>
  <c r="R837" i="2"/>
  <c r="V837" i="2"/>
  <c r="Z837" i="2"/>
  <c r="J838" i="2"/>
  <c r="N838" i="2"/>
  <c r="R838" i="2"/>
  <c r="V838" i="2"/>
  <c r="Z838" i="2"/>
  <c r="J839" i="2"/>
  <c r="N839" i="2"/>
  <c r="R839" i="2"/>
  <c r="V839" i="2"/>
  <c r="Z839" i="2"/>
  <c r="J840" i="2"/>
  <c r="N840" i="2"/>
  <c r="R840" i="2"/>
  <c r="V840" i="2"/>
  <c r="Z840" i="2"/>
  <c r="J841" i="2"/>
  <c r="N841" i="2"/>
  <c r="R841" i="2"/>
  <c r="V841" i="2"/>
  <c r="Z841" i="2"/>
  <c r="J842" i="2"/>
  <c r="N842" i="2"/>
  <c r="R842" i="2"/>
  <c r="V842" i="2"/>
  <c r="Z842" i="2"/>
  <c r="J843" i="2"/>
  <c r="N843" i="2"/>
  <c r="R843" i="2"/>
  <c r="V843" i="2"/>
  <c r="Z843" i="2"/>
  <c r="J844" i="2"/>
  <c r="N844" i="2"/>
  <c r="R844" i="2"/>
  <c r="V844" i="2"/>
  <c r="Z844" i="2"/>
  <c r="J845" i="2"/>
  <c r="N845" i="2"/>
  <c r="R845" i="2"/>
  <c r="V845" i="2"/>
  <c r="Z845" i="2"/>
  <c r="J846" i="2"/>
  <c r="N846" i="2"/>
  <c r="R846" i="2"/>
  <c r="V846" i="2"/>
  <c r="Z846" i="2"/>
  <c r="J847" i="2"/>
  <c r="N847" i="2"/>
  <c r="R847" i="2"/>
  <c r="V847" i="2"/>
  <c r="Z847" i="2"/>
  <c r="J848" i="2"/>
  <c r="N848" i="2"/>
  <c r="R848" i="2"/>
  <c r="V848" i="2"/>
  <c r="Z848" i="2"/>
  <c r="J849" i="2"/>
  <c r="N849" i="2"/>
  <c r="R849" i="2"/>
  <c r="V849" i="2"/>
  <c r="Z849" i="2"/>
  <c r="J850" i="2"/>
  <c r="N850" i="2"/>
  <c r="R850" i="2"/>
  <c r="V850" i="2"/>
  <c r="Z850" i="2"/>
  <c r="J851" i="2"/>
  <c r="N851" i="2"/>
  <c r="R851" i="2"/>
  <c r="V851" i="2"/>
  <c r="Z851" i="2"/>
  <c r="J852" i="2"/>
  <c r="N852" i="2"/>
  <c r="R852" i="2"/>
  <c r="V852" i="2"/>
  <c r="Z852" i="2"/>
  <c r="J853" i="2"/>
  <c r="N853" i="2"/>
  <c r="R853" i="2"/>
  <c r="V853" i="2"/>
  <c r="Z853" i="2"/>
  <c r="J854" i="2"/>
  <c r="N854" i="2"/>
  <c r="R854" i="2"/>
  <c r="V854" i="2"/>
  <c r="Z854" i="2"/>
  <c r="J855" i="2"/>
  <c r="N855" i="2"/>
  <c r="R855" i="2"/>
  <c r="V855" i="2"/>
  <c r="Z855" i="2"/>
  <c r="J856" i="2"/>
  <c r="N856" i="2"/>
  <c r="R856" i="2"/>
  <c r="V856" i="2"/>
  <c r="Z856" i="2"/>
  <c r="J857" i="2"/>
  <c r="N857" i="2"/>
  <c r="R857" i="2"/>
  <c r="V857" i="2"/>
  <c r="Z857" i="2"/>
  <c r="J858" i="2"/>
  <c r="N858" i="2"/>
  <c r="R858" i="2"/>
  <c r="V858" i="2"/>
  <c r="Z858" i="2"/>
  <c r="J859" i="2"/>
  <c r="N859" i="2"/>
  <c r="R859" i="2"/>
  <c r="V859" i="2"/>
  <c r="Z859" i="2"/>
  <c r="J860" i="2"/>
  <c r="N860" i="2"/>
  <c r="R860" i="2"/>
  <c r="V860" i="2"/>
  <c r="Z860" i="2"/>
  <c r="J861" i="2"/>
  <c r="N861" i="2"/>
  <c r="R861" i="2"/>
  <c r="V861" i="2"/>
  <c r="Z861" i="2"/>
  <c r="J862" i="2"/>
  <c r="N862" i="2"/>
  <c r="R862" i="2"/>
  <c r="V862" i="2"/>
  <c r="Z862" i="2"/>
  <c r="J863" i="2"/>
  <c r="N863" i="2"/>
  <c r="R863" i="2"/>
  <c r="V863" i="2"/>
  <c r="Z863" i="2"/>
  <c r="J864" i="2"/>
  <c r="N864" i="2"/>
  <c r="R864" i="2"/>
  <c r="V864" i="2"/>
  <c r="Z864" i="2"/>
  <c r="J865" i="2"/>
  <c r="N865" i="2"/>
  <c r="R865" i="2"/>
  <c r="V865" i="2"/>
  <c r="Z865" i="2"/>
  <c r="J866" i="2"/>
  <c r="N866" i="2"/>
  <c r="R866" i="2"/>
  <c r="V866" i="2"/>
  <c r="Z866" i="2"/>
  <c r="J867" i="2"/>
  <c r="N867" i="2"/>
  <c r="R867" i="2"/>
  <c r="V867" i="2"/>
  <c r="Z867" i="2"/>
  <c r="J868" i="2"/>
  <c r="N868" i="2"/>
  <c r="R868" i="2"/>
  <c r="V868" i="2"/>
  <c r="Z868" i="2"/>
  <c r="J869" i="2"/>
  <c r="N869" i="2"/>
  <c r="R869" i="2"/>
  <c r="V869" i="2"/>
  <c r="Z869" i="2"/>
  <c r="J870" i="2"/>
  <c r="N870" i="2"/>
  <c r="R870" i="2"/>
  <c r="V870" i="2"/>
  <c r="Z870" i="2"/>
  <c r="J871" i="2"/>
  <c r="N871" i="2"/>
  <c r="R871" i="2"/>
  <c r="V871" i="2"/>
  <c r="Z871" i="2"/>
  <c r="J872" i="2"/>
  <c r="N872" i="2"/>
  <c r="R872" i="2"/>
  <c r="V872" i="2"/>
  <c r="Z872" i="2"/>
  <c r="J873" i="2"/>
  <c r="N873" i="2"/>
  <c r="R873" i="2"/>
  <c r="V873" i="2"/>
  <c r="Z873" i="2"/>
  <c r="J874" i="2"/>
  <c r="N874" i="2"/>
  <c r="R874" i="2"/>
  <c r="V874" i="2"/>
  <c r="Z874" i="2"/>
  <c r="J875" i="2"/>
  <c r="N875" i="2"/>
  <c r="R875" i="2"/>
  <c r="V875" i="2"/>
  <c r="Z875" i="2"/>
  <c r="J876" i="2"/>
  <c r="N876" i="2"/>
  <c r="R876" i="2"/>
  <c r="V876" i="2"/>
  <c r="Z876" i="2"/>
  <c r="J877" i="2"/>
  <c r="N877" i="2"/>
  <c r="R877" i="2"/>
  <c r="V877" i="2"/>
  <c r="Z877" i="2"/>
  <c r="J878" i="2"/>
  <c r="N878" i="2"/>
  <c r="R878" i="2"/>
  <c r="V878" i="2"/>
  <c r="Z878" i="2"/>
  <c r="J879" i="2"/>
  <c r="N879" i="2"/>
  <c r="R879" i="2"/>
  <c r="V879" i="2"/>
  <c r="Z879" i="2"/>
  <c r="J880" i="2"/>
  <c r="N880" i="2"/>
  <c r="R880" i="2"/>
  <c r="V880" i="2"/>
  <c r="Z880" i="2"/>
  <c r="J881" i="2"/>
  <c r="N881" i="2"/>
  <c r="R881" i="2"/>
  <c r="V881" i="2"/>
  <c r="Z881" i="2"/>
  <c r="J882" i="2"/>
  <c r="N882" i="2"/>
  <c r="R882" i="2"/>
  <c r="V882" i="2"/>
  <c r="Z882" i="2"/>
  <c r="J883" i="2"/>
  <c r="N883" i="2"/>
  <c r="R883" i="2"/>
  <c r="V883" i="2"/>
  <c r="Z883" i="2"/>
  <c r="J884" i="2"/>
  <c r="N884" i="2"/>
  <c r="R884" i="2"/>
  <c r="V884" i="2"/>
  <c r="Z884" i="2"/>
  <c r="J885" i="2"/>
  <c r="N885" i="2"/>
  <c r="R885" i="2"/>
  <c r="V885" i="2"/>
  <c r="W84" i="2"/>
  <c r="J200" i="2"/>
  <c r="V253" i="2"/>
  <c r="J270" i="2"/>
  <c r="R281" i="2"/>
  <c r="Z292" i="2"/>
  <c r="N304" i="2"/>
  <c r="S315" i="2"/>
  <c r="J327" i="2"/>
  <c r="S337" i="2"/>
  <c r="L343" i="2"/>
  <c r="M348" i="2"/>
  <c r="R352" i="2"/>
  <c r="W356" i="2"/>
  <c r="I361" i="2"/>
  <c r="N365" i="2"/>
  <c r="S369" i="2"/>
  <c r="Y373" i="2"/>
  <c r="J378" i="2"/>
  <c r="O382" i="2"/>
  <c r="U386" i="2"/>
  <c r="Z390" i="2"/>
  <c r="I394" i="2"/>
  <c r="Z396" i="2"/>
  <c r="V399" i="2"/>
  <c r="S402" i="2"/>
  <c r="Q405" i="2"/>
  <c r="M408" i="2"/>
  <c r="J411" i="2"/>
  <c r="AA413" i="2"/>
  <c r="W416" i="2"/>
  <c r="U419" i="2"/>
  <c r="R422" i="2"/>
  <c r="N425" i="2"/>
  <c r="K428" i="2"/>
  <c r="I431" i="2"/>
  <c r="Y433" i="2"/>
  <c r="V436" i="2"/>
  <c r="S439" i="2"/>
  <c r="O442" i="2"/>
  <c r="M445" i="2"/>
  <c r="J448" i="2"/>
  <c r="Z450" i="2"/>
  <c r="W453" i="2"/>
  <c r="U456" i="2"/>
  <c r="Q459" i="2"/>
  <c r="AA461" i="2"/>
  <c r="J464" i="2"/>
  <c r="M466" i="2"/>
  <c r="O468" i="2"/>
  <c r="R470" i="2"/>
  <c r="U472" i="2"/>
  <c r="W474" i="2"/>
  <c r="Z476" i="2"/>
  <c r="I479" i="2"/>
  <c r="K481" i="2"/>
  <c r="N483" i="2"/>
  <c r="Q485" i="2"/>
  <c r="S487" i="2"/>
  <c r="V489" i="2"/>
  <c r="Y491" i="2"/>
  <c r="AA493" i="2"/>
  <c r="J496" i="2"/>
  <c r="M498" i="2"/>
  <c r="O500" i="2"/>
  <c r="R502" i="2"/>
  <c r="U504" i="2"/>
  <c r="W506" i="2"/>
  <c r="Z508" i="2"/>
  <c r="I511" i="2"/>
  <c r="K513" i="2"/>
  <c r="N515" i="2"/>
  <c r="Q517" i="2"/>
  <c r="S519" i="2"/>
  <c r="V521" i="2"/>
  <c r="Y523" i="2"/>
  <c r="AA525" i="2"/>
  <c r="J528" i="2"/>
  <c r="M530" i="2"/>
  <c r="O532" i="2"/>
  <c r="R534" i="2"/>
  <c r="U536" i="2"/>
  <c r="W538" i="2"/>
  <c r="Z540" i="2"/>
  <c r="I543" i="2"/>
  <c r="K545" i="2"/>
  <c r="V546" i="2"/>
  <c r="J548" i="2"/>
  <c r="S549" i="2"/>
  <c r="AA550" i="2"/>
  <c r="O552" i="2"/>
  <c r="Y553" i="2"/>
  <c r="M555" i="2"/>
  <c r="U556" i="2"/>
  <c r="J558" i="2"/>
  <c r="R559" i="2"/>
  <c r="Z560" i="2"/>
  <c r="O562" i="2"/>
  <c r="W563" i="2"/>
  <c r="K565" i="2"/>
  <c r="U566" i="2"/>
  <c r="I568" i="2"/>
  <c r="Q569" i="2"/>
  <c r="T570" i="2"/>
  <c r="U571" i="2"/>
  <c r="V572" i="2"/>
  <c r="X573" i="2"/>
  <c r="Y574" i="2"/>
  <c r="Z575" i="2"/>
  <c r="W576" i="2"/>
  <c r="S577" i="2"/>
  <c r="O578" i="2"/>
  <c r="K579" i="2"/>
  <c r="AA579" i="2"/>
  <c r="W580" i="2"/>
  <c r="S581" i="2"/>
  <c r="O582" i="2"/>
  <c r="K583" i="2"/>
  <c r="AA583" i="2"/>
  <c r="W584" i="2"/>
  <c r="S585" i="2"/>
  <c r="O586" i="2"/>
  <c r="K587" i="2"/>
  <c r="AA587" i="2"/>
  <c r="W588" i="2"/>
  <c r="S589" i="2"/>
  <c r="O590" i="2"/>
  <c r="K591" i="2"/>
  <c r="AA591" i="2"/>
  <c r="W592" i="2"/>
  <c r="S593" i="2"/>
  <c r="O594" i="2"/>
  <c r="K595" i="2"/>
  <c r="AA595" i="2"/>
  <c r="W596" i="2"/>
  <c r="S597" i="2"/>
  <c r="O598" i="2"/>
  <c r="K599" i="2"/>
  <c r="AA599" i="2"/>
  <c r="W600" i="2"/>
  <c r="S601" i="2"/>
  <c r="O602" i="2"/>
  <c r="K603" i="2"/>
  <c r="AA603" i="2"/>
  <c r="W604" i="2"/>
  <c r="S605" i="2"/>
  <c r="O606" i="2"/>
  <c r="K607" i="2"/>
  <c r="AA607" i="2"/>
  <c r="W608" i="2"/>
  <c r="S609" i="2"/>
  <c r="O610" i="2"/>
  <c r="K611" i="2"/>
  <c r="AA611" i="2"/>
  <c r="W612" i="2"/>
  <c r="S613" i="2"/>
  <c r="O614" i="2"/>
  <c r="K615" i="2"/>
  <c r="AA615" i="2"/>
  <c r="W616" i="2"/>
  <c r="S617" i="2"/>
  <c r="O618" i="2"/>
  <c r="K619" i="2"/>
  <c r="AA619" i="2"/>
  <c r="W620" i="2"/>
  <c r="S621" i="2"/>
  <c r="O622" i="2"/>
  <c r="K623" i="2"/>
  <c r="AA623" i="2"/>
  <c r="W624" i="2"/>
  <c r="S625" i="2"/>
  <c r="O626" i="2"/>
  <c r="K627" i="2"/>
  <c r="AA627" i="2"/>
  <c r="W628" i="2"/>
  <c r="S629" i="2"/>
  <c r="O630" i="2"/>
  <c r="K631" i="2"/>
  <c r="AA631" i="2"/>
  <c r="W632" i="2"/>
  <c r="S633" i="2"/>
  <c r="O634" i="2"/>
  <c r="K635" i="2"/>
  <c r="AA635" i="2"/>
  <c r="W636" i="2"/>
  <c r="S637" i="2"/>
  <c r="O638" i="2"/>
  <c r="K639" i="2"/>
  <c r="AA639" i="2"/>
  <c r="W640" i="2"/>
  <c r="S641" i="2"/>
  <c r="O642" i="2"/>
  <c r="K643" i="2"/>
  <c r="AA643" i="2"/>
  <c r="W644" i="2"/>
  <c r="S645" i="2"/>
  <c r="O646" i="2"/>
  <c r="K647" i="2"/>
  <c r="AA647" i="2"/>
  <c r="W648" i="2"/>
  <c r="S649" i="2"/>
  <c r="O650" i="2"/>
  <c r="K651" i="2"/>
  <c r="AA651" i="2"/>
  <c r="W652" i="2"/>
  <c r="S653" i="2"/>
  <c r="O654" i="2"/>
  <c r="K655" i="2"/>
  <c r="AA655" i="2"/>
  <c r="W656" i="2"/>
  <c r="S657" i="2"/>
  <c r="O658" i="2"/>
  <c r="K659" i="2"/>
  <c r="AA659" i="2"/>
  <c r="W660" i="2"/>
  <c r="S661" i="2"/>
  <c r="O662" i="2"/>
  <c r="K663" i="2"/>
  <c r="AA663" i="2"/>
  <c r="W664" i="2"/>
  <c r="S665" i="2"/>
  <c r="O666" i="2"/>
  <c r="K667" i="2"/>
  <c r="AA667" i="2"/>
  <c r="W668" i="2"/>
  <c r="S669" i="2"/>
  <c r="O670" i="2"/>
  <c r="K671" i="2"/>
  <c r="AA671" i="2"/>
  <c r="W672" i="2"/>
  <c r="S673" i="2"/>
  <c r="O674" i="2"/>
  <c r="K675" i="2"/>
  <c r="AA675" i="2"/>
  <c r="W676" i="2"/>
  <c r="S677" i="2"/>
  <c r="O678" i="2"/>
  <c r="K679" i="2"/>
  <c r="AA679" i="2"/>
  <c r="W680" i="2"/>
  <c r="S681" i="2"/>
  <c r="O682" i="2"/>
  <c r="K683" i="2"/>
  <c r="AA683" i="2"/>
  <c r="W684" i="2"/>
  <c r="S685" i="2"/>
  <c r="O686" i="2"/>
  <c r="K687" i="2"/>
  <c r="AA687" i="2"/>
  <c r="W688" i="2"/>
  <c r="S689" i="2"/>
  <c r="O690" i="2"/>
  <c r="K691" i="2"/>
  <c r="AA691" i="2"/>
  <c r="W692" i="2"/>
  <c r="S693" i="2"/>
  <c r="O694" i="2"/>
  <c r="K695" i="2"/>
  <c r="AA695" i="2"/>
  <c r="W696" i="2"/>
  <c r="S697" i="2"/>
  <c r="O698" i="2"/>
  <c r="K699" i="2"/>
  <c r="AA699" i="2"/>
  <c r="W700" i="2"/>
  <c r="S701" i="2"/>
  <c r="O702" i="2"/>
  <c r="K703" i="2"/>
  <c r="AA703" i="2"/>
  <c r="W704" i="2"/>
  <c r="S705" i="2"/>
  <c r="O706" i="2"/>
  <c r="K707" i="2"/>
  <c r="AA707" i="2"/>
  <c r="W708" i="2"/>
  <c r="S709" i="2"/>
  <c r="O710" i="2"/>
  <c r="K711" i="2"/>
  <c r="AA711" i="2"/>
  <c r="W712" i="2"/>
  <c r="S713" i="2"/>
  <c r="O714" i="2"/>
  <c r="K715" i="2"/>
  <c r="AA715" i="2"/>
  <c r="W716" i="2"/>
  <c r="S717" i="2"/>
  <c r="O718" i="2"/>
  <c r="K719" i="2"/>
  <c r="AA719" i="2"/>
  <c r="W720" i="2"/>
  <c r="S721" i="2"/>
  <c r="O722" i="2"/>
  <c r="K723" i="2"/>
  <c r="AA723" i="2"/>
  <c r="W724" i="2"/>
  <c r="S725" i="2"/>
  <c r="O726" i="2"/>
  <c r="K727" i="2"/>
  <c r="AA727" i="2"/>
  <c r="W728" i="2"/>
  <c r="S729" i="2"/>
  <c r="O730" i="2"/>
  <c r="K731" i="2"/>
  <c r="AA731" i="2"/>
  <c r="W732" i="2"/>
  <c r="S733" i="2"/>
  <c r="O734" i="2"/>
  <c r="K735" i="2"/>
  <c r="AA735" i="2"/>
  <c r="W736" i="2"/>
  <c r="S737" i="2"/>
  <c r="O738" i="2"/>
  <c r="K739" i="2"/>
  <c r="AA739" i="2"/>
  <c r="W740" i="2"/>
  <c r="S741" i="2"/>
  <c r="O742" i="2"/>
  <c r="K743" i="2"/>
  <c r="AA743" i="2"/>
  <c r="W744" i="2"/>
  <c r="S745" i="2"/>
  <c r="O746" i="2"/>
  <c r="K747" i="2"/>
  <c r="AA747" i="2"/>
  <c r="W748" i="2"/>
  <c r="S749" i="2"/>
  <c r="O750" i="2"/>
  <c r="K751" i="2"/>
  <c r="AA751" i="2"/>
  <c r="W752" i="2"/>
  <c r="S753" i="2"/>
  <c r="O754" i="2"/>
  <c r="K755" i="2"/>
  <c r="AA755" i="2"/>
  <c r="W756" i="2"/>
  <c r="S757" i="2"/>
  <c r="O758" i="2"/>
  <c r="K759" i="2"/>
  <c r="AA759" i="2"/>
  <c r="W760" i="2"/>
  <c r="S761" i="2"/>
  <c r="O762" i="2"/>
  <c r="AA762" i="2"/>
  <c r="R763" i="2"/>
  <c r="I764" i="2"/>
  <c r="S764" i="2"/>
  <c r="J765" i="2"/>
  <c r="U765" i="2"/>
  <c r="K766" i="2"/>
  <c r="V766" i="2"/>
  <c r="M767" i="2"/>
  <c r="W767" i="2"/>
  <c r="N768" i="2"/>
  <c r="Y768" i="2"/>
  <c r="O769" i="2"/>
  <c r="Z769" i="2"/>
  <c r="Q770" i="2"/>
  <c r="AA770" i="2"/>
  <c r="R771" i="2"/>
  <c r="I772" i="2"/>
  <c r="S772" i="2"/>
  <c r="J773" i="2"/>
  <c r="U773" i="2"/>
  <c r="K774" i="2"/>
  <c r="V774" i="2"/>
  <c r="M775" i="2"/>
  <c r="W775" i="2"/>
  <c r="N776" i="2"/>
  <c r="Y776" i="2"/>
  <c r="O777" i="2"/>
  <c r="Z777" i="2"/>
  <c r="Q778" i="2"/>
  <c r="AA778" i="2"/>
  <c r="R779" i="2"/>
  <c r="I780" i="2"/>
  <c r="S780" i="2"/>
  <c r="J781" i="2"/>
  <c r="U781" i="2"/>
  <c r="K782" i="2"/>
  <c r="V782" i="2"/>
  <c r="M783" i="2"/>
  <c r="W783" i="2"/>
  <c r="N784" i="2"/>
  <c r="Y784" i="2"/>
  <c r="O785" i="2"/>
  <c r="Z785" i="2"/>
  <c r="Q786" i="2"/>
  <c r="AA786" i="2"/>
  <c r="R787" i="2"/>
  <c r="I788" i="2"/>
  <c r="S788" i="2"/>
  <c r="J789" i="2"/>
  <c r="U789" i="2"/>
  <c r="K790" i="2"/>
  <c r="V790" i="2"/>
  <c r="M791" i="2"/>
  <c r="W791" i="2"/>
  <c r="N792" i="2"/>
  <c r="Y792" i="2"/>
  <c r="O793" i="2"/>
  <c r="Z793" i="2"/>
  <c r="Q794" i="2"/>
  <c r="AA794" i="2"/>
  <c r="R795" i="2"/>
  <c r="I796" i="2"/>
  <c r="S796" i="2"/>
  <c r="J797" i="2"/>
  <c r="U797" i="2"/>
  <c r="K798" i="2"/>
  <c r="V798" i="2"/>
  <c r="M799" i="2"/>
  <c r="W799" i="2"/>
  <c r="N800" i="2"/>
  <c r="Y800" i="2"/>
  <c r="O801" i="2"/>
  <c r="Z801" i="2"/>
  <c r="Q802" i="2"/>
  <c r="AA802" i="2"/>
  <c r="R803" i="2"/>
  <c r="I804" i="2"/>
  <c r="S804" i="2"/>
  <c r="J805" i="2"/>
  <c r="U805" i="2"/>
  <c r="K806" i="2"/>
  <c r="V806" i="2"/>
  <c r="M807" i="2"/>
  <c r="W807" i="2"/>
  <c r="N808" i="2"/>
  <c r="Y808" i="2"/>
  <c r="O809" i="2"/>
  <c r="Z809" i="2"/>
  <c r="Q810" i="2"/>
  <c r="AA810" i="2"/>
  <c r="R811" i="2"/>
  <c r="I812" i="2"/>
  <c r="S812" i="2"/>
  <c r="J813" i="2"/>
  <c r="U813" i="2"/>
  <c r="K814" i="2"/>
  <c r="V814" i="2"/>
  <c r="M815" i="2"/>
  <c r="W815" i="2"/>
  <c r="N816" i="2"/>
  <c r="Y816" i="2"/>
  <c r="O817" i="2"/>
  <c r="Z817" i="2"/>
  <c r="Q818" i="2"/>
  <c r="AA818" i="2"/>
  <c r="R819" i="2"/>
  <c r="I820" i="2"/>
  <c r="S820" i="2"/>
  <c r="J821" i="2"/>
  <c r="U821" i="2"/>
  <c r="K822" i="2"/>
  <c r="T822" i="2"/>
  <c r="H823" i="2"/>
  <c r="P823" i="2"/>
  <c r="X823" i="2"/>
  <c r="L824" i="2"/>
  <c r="T824" i="2"/>
  <c r="H825" i="2"/>
  <c r="P825" i="2"/>
  <c r="X825" i="2"/>
  <c r="L826" i="2"/>
  <c r="T826" i="2"/>
  <c r="H827" i="2"/>
  <c r="P827" i="2"/>
  <c r="X827" i="2"/>
  <c r="L828" i="2"/>
  <c r="T828" i="2"/>
  <c r="H829" i="2"/>
  <c r="P829" i="2"/>
  <c r="X829" i="2"/>
  <c r="L830" i="2"/>
  <c r="T830" i="2"/>
  <c r="H831" i="2"/>
  <c r="P831" i="2"/>
  <c r="X831" i="2"/>
  <c r="L832" i="2"/>
  <c r="T832" i="2"/>
  <c r="H833" i="2"/>
  <c r="P833" i="2"/>
  <c r="X833" i="2"/>
  <c r="L834" i="2"/>
  <c r="T834" i="2"/>
  <c r="H835" i="2"/>
  <c r="P835" i="2"/>
  <c r="X835" i="2"/>
  <c r="L836" i="2"/>
  <c r="T836" i="2"/>
  <c r="H837" i="2"/>
  <c r="P837" i="2"/>
  <c r="X837" i="2"/>
  <c r="L838" i="2"/>
  <c r="T838" i="2"/>
  <c r="H839" i="2"/>
  <c r="P839" i="2"/>
  <c r="X839" i="2"/>
  <c r="L840" i="2"/>
  <c r="T840" i="2"/>
  <c r="H841" i="2"/>
  <c r="P841" i="2"/>
  <c r="X841" i="2"/>
  <c r="L842" i="2"/>
  <c r="T842" i="2"/>
  <c r="H843" i="2"/>
  <c r="P843" i="2"/>
  <c r="X843" i="2"/>
  <c r="L844" i="2"/>
  <c r="T844" i="2"/>
  <c r="H845" i="2"/>
  <c r="P845" i="2"/>
  <c r="X845" i="2"/>
  <c r="L846" i="2"/>
  <c r="T846" i="2"/>
  <c r="H847" i="2"/>
  <c r="P847" i="2"/>
  <c r="X847" i="2"/>
  <c r="L848" i="2"/>
  <c r="T848" i="2"/>
  <c r="H849" i="2"/>
  <c r="P849" i="2"/>
  <c r="X849" i="2"/>
  <c r="L850" i="2"/>
  <c r="T850" i="2"/>
  <c r="H851" i="2"/>
  <c r="P851" i="2"/>
  <c r="X851" i="2"/>
  <c r="L852" i="2"/>
  <c r="T852" i="2"/>
  <c r="H853" i="2"/>
  <c r="P853" i="2"/>
  <c r="X853" i="2"/>
  <c r="L854" i="2"/>
  <c r="T854" i="2"/>
  <c r="H855" i="2"/>
  <c r="P855" i="2"/>
  <c r="X855" i="2"/>
  <c r="L856" i="2"/>
  <c r="T856" i="2"/>
  <c r="H857" i="2"/>
  <c r="P857" i="2"/>
  <c r="X857" i="2"/>
  <c r="L858" i="2"/>
  <c r="T858" i="2"/>
  <c r="H859" i="2"/>
  <c r="P859" i="2"/>
  <c r="X859" i="2"/>
  <c r="L860" i="2"/>
  <c r="T860" i="2"/>
  <c r="H861" i="2"/>
  <c r="P861" i="2"/>
  <c r="X861" i="2"/>
  <c r="L862" i="2"/>
  <c r="T862" i="2"/>
  <c r="H863" i="2"/>
  <c r="P863" i="2"/>
  <c r="X863" i="2"/>
  <c r="L864" i="2"/>
  <c r="T864" i="2"/>
  <c r="H865" i="2"/>
  <c r="P865" i="2"/>
  <c r="X865" i="2"/>
  <c r="L866" i="2"/>
  <c r="T866" i="2"/>
  <c r="H867" i="2"/>
  <c r="P867" i="2"/>
  <c r="X867" i="2"/>
  <c r="L868" i="2"/>
  <c r="T868" i="2"/>
  <c r="H869" i="2"/>
  <c r="P869" i="2"/>
  <c r="X869" i="2"/>
  <c r="L870" i="2"/>
  <c r="T870" i="2"/>
  <c r="H871" i="2"/>
  <c r="P871" i="2"/>
  <c r="X871" i="2"/>
  <c r="L872" i="2"/>
  <c r="T872" i="2"/>
  <c r="H873" i="2"/>
  <c r="P873" i="2"/>
  <c r="X873" i="2"/>
  <c r="L874" i="2"/>
  <c r="T874" i="2"/>
  <c r="H875" i="2"/>
  <c r="P875" i="2"/>
  <c r="X875" i="2"/>
  <c r="L876" i="2"/>
  <c r="T876" i="2"/>
  <c r="H877" i="2"/>
  <c r="P877" i="2"/>
  <c r="X877" i="2"/>
  <c r="L878" i="2"/>
  <c r="T878" i="2"/>
  <c r="H879" i="2"/>
  <c r="P879" i="2"/>
  <c r="X879" i="2"/>
  <c r="L880" i="2"/>
  <c r="T880" i="2"/>
  <c r="H881" i="2"/>
  <c r="P881" i="2"/>
  <c r="X881" i="2"/>
  <c r="L882" i="2"/>
  <c r="T882" i="2"/>
  <c r="H883" i="2"/>
  <c r="P883" i="2"/>
  <c r="X883" i="2"/>
  <c r="L884" i="2"/>
  <c r="T884" i="2"/>
  <c r="H885" i="2"/>
  <c r="P885" i="2"/>
  <c r="X885" i="2"/>
  <c r="I886" i="2"/>
  <c r="N886" i="2"/>
  <c r="T886" i="2"/>
  <c r="Y886" i="2"/>
  <c r="J887" i="2"/>
  <c r="P887" i="2"/>
  <c r="U887" i="2"/>
  <c r="Z887" i="2"/>
  <c r="L888" i="2"/>
  <c r="Q888" i="2"/>
  <c r="V888" i="2"/>
  <c r="H889" i="2"/>
  <c r="M889" i="2"/>
  <c r="R889" i="2"/>
  <c r="X889" i="2"/>
  <c r="I890" i="2"/>
  <c r="N890" i="2"/>
  <c r="T890" i="2"/>
  <c r="Y890" i="2"/>
  <c r="J891" i="2"/>
  <c r="P891" i="2"/>
  <c r="U891" i="2"/>
  <c r="Z891" i="2"/>
  <c r="L892" i="2"/>
  <c r="Q892" i="2"/>
  <c r="V892" i="2"/>
  <c r="H893" i="2"/>
  <c r="M893" i="2"/>
  <c r="R893" i="2"/>
  <c r="X893" i="2"/>
  <c r="I894" i="2"/>
  <c r="N894" i="2"/>
  <c r="T894" i="2"/>
  <c r="Y894" i="2"/>
  <c r="J895" i="2"/>
  <c r="P895" i="2"/>
  <c r="U895" i="2"/>
  <c r="Z895" i="2"/>
  <c r="L896" i="2"/>
  <c r="Q896" i="2"/>
  <c r="V896" i="2"/>
  <c r="H897" i="2"/>
  <c r="M897" i="2"/>
  <c r="R897" i="2"/>
  <c r="X897" i="2"/>
  <c r="I898" i="2"/>
  <c r="N898" i="2"/>
  <c r="T898" i="2"/>
  <c r="Y898" i="2"/>
  <c r="J899" i="2"/>
  <c r="P899" i="2"/>
  <c r="U899" i="2"/>
  <c r="Z899" i="2"/>
  <c r="L900" i="2"/>
  <c r="Q900" i="2"/>
  <c r="V900" i="2"/>
  <c r="H901" i="2"/>
  <c r="M901" i="2"/>
  <c r="R901" i="2"/>
  <c r="X901" i="2"/>
  <c r="I902" i="2"/>
  <c r="N902" i="2"/>
  <c r="T902" i="2"/>
  <c r="Y902" i="2"/>
  <c r="J903" i="2"/>
  <c r="P903" i="2"/>
  <c r="U903" i="2"/>
  <c r="Z903" i="2"/>
  <c r="L904" i="2"/>
  <c r="Q904" i="2"/>
  <c r="V904" i="2"/>
  <c r="H905" i="2"/>
  <c r="M905" i="2"/>
  <c r="R905" i="2"/>
  <c r="X905" i="2"/>
  <c r="I906" i="2"/>
  <c r="N906" i="2"/>
  <c r="T906" i="2"/>
  <c r="Y906" i="2"/>
  <c r="J907" i="2"/>
  <c r="P907" i="2"/>
  <c r="U907" i="2"/>
  <c r="Z907" i="2"/>
  <c r="L908" i="2"/>
  <c r="Q908" i="2"/>
  <c r="V908" i="2"/>
  <c r="H909" i="2"/>
  <c r="M909" i="2"/>
  <c r="R909" i="2"/>
  <c r="X909" i="2"/>
  <c r="I910" i="2"/>
  <c r="N910" i="2"/>
  <c r="T910" i="2"/>
  <c r="Y910" i="2"/>
  <c r="J911" i="2"/>
  <c r="P911" i="2"/>
  <c r="U911" i="2"/>
  <c r="Z911" i="2"/>
  <c r="L912" i="2"/>
  <c r="Q912" i="2"/>
  <c r="V912" i="2"/>
  <c r="H913" i="2"/>
  <c r="M913" i="2"/>
  <c r="R913" i="2"/>
  <c r="X913" i="2"/>
  <c r="H914" i="2"/>
  <c r="L914" i="2"/>
  <c r="P914" i="2"/>
  <c r="T914" i="2"/>
  <c r="X914" i="2"/>
  <c r="H915" i="2"/>
  <c r="L915" i="2"/>
  <c r="P915" i="2"/>
  <c r="T915" i="2"/>
  <c r="X915" i="2"/>
  <c r="H916" i="2"/>
  <c r="L916" i="2"/>
  <c r="P916" i="2"/>
  <c r="T916" i="2"/>
  <c r="X916" i="2"/>
  <c r="H917" i="2"/>
  <c r="L917" i="2"/>
  <c r="P917" i="2"/>
  <c r="T917" i="2"/>
  <c r="X917" i="2"/>
  <c r="H918" i="2"/>
  <c r="L918" i="2"/>
  <c r="P918" i="2"/>
  <c r="T918" i="2"/>
  <c r="X918" i="2"/>
  <c r="H919" i="2"/>
  <c r="L919" i="2"/>
  <c r="P919" i="2"/>
  <c r="T919" i="2"/>
  <c r="X919" i="2"/>
  <c r="H920" i="2"/>
  <c r="L920" i="2"/>
  <c r="P920" i="2"/>
  <c r="T920" i="2"/>
  <c r="X920" i="2"/>
  <c r="H921" i="2"/>
  <c r="L921" i="2"/>
  <c r="P921" i="2"/>
  <c r="T921" i="2"/>
  <c r="X921" i="2"/>
  <c r="H922" i="2"/>
  <c r="L922" i="2"/>
  <c r="P922" i="2"/>
  <c r="T922" i="2"/>
  <c r="X922" i="2"/>
  <c r="H923" i="2"/>
  <c r="L923" i="2"/>
  <c r="P923" i="2"/>
  <c r="T923" i="2"/>
  <c r="X923" i="2"/>
  <c r="H924" i="2"/>
  <c r="L924" i="2"/>
  <c r="P924" i="2"/>
  <c r="T924" i="2"/>
  <c r="X924" i="2"/>
  <c r="H925" i="2"/>
  <c r="L925" i="2"/>
  <c r="P925" i="2"/>
  <c r="T925" i="2"/>
  <c r="X925" i="2"/>
  <c r="H926" i="2"/>
  <c r="L926" i="2"/>
  <c r="P926" i="2"/>
  <c r="T926" i="2"/>
  <c r="X926" i="2"/>
  <c r="H927" i="2"/>
  <c r="L927" i="2"/>
  <c r="P927" i="2"/>
  <c r="T927" i="2"/>
  <c r="X927" i="2"/>
  <c r="H928" i="2"/>
  <c r="L928" i="2"/>
  <c r="P928" i="2"/>
  <c r="T928" i="2"/>
  <c r="X928" i="2"/>
  <c r="H929" i="2"/>
  <c r="L929" i="2"/>
  <c r="P929" i="2"/>
  <c r="T929" i="2"/>
  <c r="X929" i="2"/>
  <c r="H930" i="2"/>
  <c r="L930" i="2"/>
  <c r="P930" i="2"/>
  <c r="T930" i="2"/>
  <c r="X930" i="2"/>
  <c r="H931" i="2"/>
  <c r="L931" i="2"/>
  <c r="P931" i="2"/>
  <c r="T931" i="2"/>
  <c r="X931" i="2"/>
  <c r="H932" i="2"/>
  <c r="L932" i="2"/>
  <c r="P932" i="2"/>
  <c r="T932" i="2"/>
  <c r="X932" i="2"/>
  <c r="H933" i="2"/>
  <c r="L933" i="2"/>
  <c r="P933" i="2"/>
  <c r="T933" i="2"/>
  <c r="X933" i="2"/>
  <c r="H934" i="2"/>
  <c r="L934" i="2"/>
  <c r="P934" i="2"/>
  <c r="T934" i="2"/>
  <c r="X934" i="2"/>
  <c r="H935" i="2"/>
  <c r="L935" i="2"/>
  <c r="P935" i="2"/>
  <c r="T935" i="2"/>
  <c r="X935" i="2"/>
  <c r="H936" i="2"/>
  <c r="L936" i="2"/>
  <c r="P936" i="2"/>
  <c r="T936" i="2"/>
  <c r="X936" i="2"/>
  <c r="H937" i="2"/>
  <c r="L937" i="2"/>
  <c r="P937" i="2"/>
  <c r="T937" i="2"/>
  <c r="X937" i="2"/>
  <c r="H938" i="2"/>
  <c r="L938" i="2"/>
  <c r="P938" i="2"/>
  <c r="T938" i="2"/>
  <c r="X938" i="2"/>
  <c r="H939" i="2"/>
  <c r="L939" i="2"/>
  <c r="P939" i="2"/>
  <c r="T939" i="2"/>
  <c r="X939" i="2"/>
  <c r="H940" i="2"/>
  <c r="L940" i="2"/>
  <c r="P940" i="2"/>
  <c r="T940" i="2"/>
  <c r="X940" i="2"/>
  <c r="H941" i="2"/>
  <c r="L941" i="2"/>
  <c r="P941" i="2"/>
  <c r="T941" i="2"/>
  <c r="X941" i="2"/>
  <c r="H942" i="2"/>
  <c r="L942" i="2"/>
  <c r="P942" i="2"/>
  <c r="T942" i="2"/>
  <c r="X942" i="2"/>
  <c r="H943" i="2"/>
  <c r="L943" i="2"/>
  <c r="P943" i="2"/>
  <c r="T943" i="2"/>
  <c r="X943" i="2"/>
  <c r="H944" i="2"/>
  <c r="L944" i="2"/>
  <c r="P944" i="2"/>
  <c r="T944" i="2"/>
  <c r="X944" i="2"/>
  <c r="H945" i="2"/>
  <c r="L945" i="2"/>
  <c r="P945" i="2"/>
  <c r="T945" i="2"/>
  <c r="X945" i="2"/>
  <c r="H946" i="2"/>
  <c r="L946" i="2"/>
  <c r="P946" i="2"/>
  <c r="T946" i="2"/>
  <c r="X946" i="2"/>
  <c r="H947" i="2"/>
  <c r="L947" i="2"/>
  <c r="P947" i="2"/>
  <c r="T947" i="2"/>
  <c r="X947" i="2"/>
  <c r="H948" i="2"/>
  <c r="L948" i="2"/>
  <c r="P948" i="2"/>
  <c r="T948" i="2"/>
  <c r="X948" i="2"/>
  <c r="H949" i="2"/>
  <c r="L949" i="2"/>
  <c r="P949" i="2"/>
  <c r="T949" i="2"/>
  <c r="X949" i="2"/>
  <c r="H950" i="2"/>
  <c r="L950" i="2"/>
  <c r="P950" i="2"/>
  <c r="T950" i="2"/>
  <c r="X950" i="2"/>
  <c r="H951" i="2"/>
  <c r="L951" i="2"/>
  <c r="P951" i="2"/>
  <c r="T951" i="2"/>
  <c r="X951" i="2"/>
  <c r="H952" i="2"/>
  <c r="L952" i="2"/>
  <c r="P952" i="2"/>
  <c r="T952" i="2"/>
  <c r="X952" i="2"/>
  <c r="H953" i="2"/>
  <c r="L953" i="2"/>
  <c r="P953" i="2"/>
  <c r="T953" i="2"/>
  <c r="X953" i="2"/>
  <c r="H954" i="2"/>
  <c r="L954" i="2"/>
  <c r="P954" i="2"/>
  <c r="T954" i="2"/>
  <c r="X954" i="2"/>
  <c r="H955" i="2"/>
  <c r="L955" i="2"/>
  <c r="P955" i="2"/>
  <c r="T955" i="2"/>
  <c r="X955" i="2"/>
  <c r="H956" i="2"/>
  <c r="L956" i="2"/>
  <c r="P956" i="2"/>
  <c r="T956" i="2"/>
  <c r="X956" i="2"/>
  <c r="H957" i="2"/>
  <c r="L957" i="2"/>
  <c r="P957" i="2"/>
  <c r="T957" i="2"/>
  <c r="X957" i="2"/>
  <c r="H958" i="2"/>
  <c r="L958" i="2"/>
  <c r="P958" i="2"/>
  <c r="T958" i="2"/>
  <c r="X958" i="2"/>
  <c r="H959" i="2"/>
  <c r="L959" i="2"/>
  <c r="P959" i="2"/>
  <c r="T959" i="2"/>
  <c r="X959" i="2"/>
  <c r="H960" i="2"/>
  <c r="L960" i="2"/>
  <c r="P960" i="2"/>
  <c r="T960" i="2"/>
  <c r="X960" i="2"/>
  <c r="H961" i="2"/>
  <c r="L961" i="2"/>
  <c r="P961" i="2"/>
  <c r="T961" i="2"/>
  <c r="X961" i="2"/>
  <c r="H962" i="2"/>
  <c r="L962" i="2"/>
  <c r="P962" i="2"/>
  <c r="T962" i="2"/>
  <c r="X962" i="2"/>
  <c r="H963" i="2"/>
  <c r="L963" i="2"/>
  <c r="P963" i="2"/>
  <c r="T963" i="2"/>
  <c r="X963" i="2"/>
  <c r="H964" i="2"/>
  <c r="L964" i="2"/>
  <c r="P964" i="2"/>
  <c r="T964" i="2"/>
  <c r="X964" i="2"/>
  <c r="H965" i="2"/>
  <c r="L965" i="2"/>
  <c r="P965" i="2"/>
  <c r="T965" i="2"/>
  <c r="X965" i="2"/>
  <c r="H966" i="2"/>
  <c r="L966" i="2"/>
  <c r="P966" i="2"/>
  <c r="T966" i="2"/>
  <c r="X966" i="2"/>
  <c r="H967" i="2"/>
  <c r="L967" i="2"/>
  <c r="P967" i="2"/>
  <c r="T967" i="2"/>
  <c r="X967" i="2"/>
  <c r="H968" i="2"/>
  <c r="L968" i="2"/>
  <c r="P968" i="2"/>
  <c r="T968" i="2"/>
  <c r="X968" i="2"/>
  <c r="H969" i="2"/>
  <c r="L969" i="2"/>
  <c r="P969" i="2"/>
  <c r="T969" i="2"/>
  <c r="X969" i="2"/>
  <c r="H970" i="2"/>
  <c r="L970" i="2"/>
  <c r="P970" i="2"/>
  <c r="T970" i="2"/>
  <c r="X970" i="2"/>
  <c r="H971" i="2"/>
  <c r="L971" i="2"/>
  <c r="P971" i="2"/>
  <c r="T971" i="2"/>
  <c r="X971" i="2"/>
  <c r="H972" i="2"/>
  <c r="L972" i="2"/>
  <c r="P972" i="2"/>
  <c r="T972" i="2"/>
  <c r="X972" i="2"/>
  <c r="H973" i="2"/>
  <c r="L973" i="2"/>
  <c r="P973" i="2"/>
  <c r="T973" i="2"/>
  <c r="X973" i="2"/>
  <c r="H974" i="2"/>
  <c r="L974" i="2"/>
  <c r="P974" i="2"/>
  <c r="T974" i="2"/>
  <c r="X974" i="2"/>
  <c r="H975" i="2"/>
  <c r="L975" i="2"/>
  <c r="P975" i="2"/>
  <c r="T975" i="2"/>
  <c r="X975" i="2"/>
  <c r="H976" i="2"/>
  <c r="L976" i="2"/>
  <c r="P976" i="2"/>
  <c r="T976" i="2"/>
  <c r="X976" i="2"/>
  <c r="H977" i="2"/>
  <c r="L977" i="2"/>
  <c r="P977" i="2"/>
  <c r="T977" i="2"/>
  <c r="X977" i="2"/>
  <c r="H978" i="2"/>
  <c r="L978" i="2"/>
  <c r="P978" i="2"/>
  <c r="T978" i="2"/>
  <c r="X978" i="2"/>
  <c r="H979" i="2"/>
  <c r="L979" i="2"/>
  <c r="P979" i="2"/>
  <c r="T979" i="2"/>
  <c r="X979" i="2"/>
  <c r="H980" i="2"/>
  <c r="L980" i="2"/>
  <c r="P980" i="2"/>
  <c r="T980" i="2"/>
  <c r="X980" i="2"/>
  <c r="H981" i="2"/>
  <c r="L981" i="2"/>
  <c r="P981" i="2"/>
  <c r="T981" i="2"/>
  <c r="X981" i="2"/>
  <c r="H982" i="2"/>
  <c r="L982" i="2"/>
  <c r="P982" i="2"/>
  <c r="T982" i="2"/>
  <c r="X982" i="2"/>
  <c r="H983" i="2"/>
  <c r="L983" i="2"/>
  <c r="P983" i="2"/>
  <c r="T983" i="2"/>
  <c r="X983" i="2"/>
  <c r="H984" i="2"/>
  <c r="L984" i="2"/>
  <c r="P984" i="2"/>
  <c r="T984" i="2"/>
  <c r="X984" i="2"/>
  <c r="H985" i="2"/>
  <c r="L985" i="2"/>
  <c r="P985" i="2"/>
  <c r="T985" i="2"/>
  <c r="X985" i="2"/>
  <c r="H986" i="2"/>
  <c r="L986" i="2"/>
  <c r="P986" i="2"/>
  <c r="T986" i="2"/>
  <c r="X986" i="2"/>
  <c r="H987" i="2"/>
  <c r="L987" i="2"/>
  <c r="P987" i="2"/>
  <c r="T987" i="2"/>
  <c r="X987" i="2"/>
  <c r="H988" i="2"/>
  <c r="L988" i="2"/>
  <c r="P988" i="2"/>
  <c r="T988" i="2"/>
  <c r="X988" i="2"/>
  <c r="H989" i="2"/>
  <c r="L989" i="2"/>
  <c r="P989" i="2"/>
  <c r="T989" i="2"/>
  <c r="X989" i="2"/>
  <c r="H990" i="2"/>
  <c r="L990" i="2"/>
  <c r="P990" i="2"/>
  <c r="T990" i="2"/>
  <c r="X990" i="2"/>
  <c r="H991" i="2"/>
  <c r="L991" i="2"/>
  <c r="P991" i="2"/>
  <c r="T991" i="2"/>
  <c r="X991" i="2"/>
  <c r="H992" i="2"/>
  <c r="L992" i="2"/>
  <c r="P992" i="2"/>
  <c r="T992" i="2"/>
  <c r="X992" i="2"/>
  <c r="H993" i="2"/>
  <c r="L993" i="2"/>
  <c r="P993" i="2"/>
  <c r="T993" i="2"/>
  <c r="X993" i="2"/>
  <c r="H994" i="2"/>
  <c r="L994" i="2"/>
  <c r="P994" i="2"/>
  <c r="T994" i="2"/>
  <c r="X994" i="2"/>
  <c r="H995" i="2"/>
  <c r="L995" i="2"/>
  <c r="P995" i="2"/>
  <c r="T995" i="2"/>
  <c r="X995" i="2"/>
  <c r="H996" i="2"/>
  <c r="L996" i="2"/>
  <c r="P996" i="2"/>
  <c r="T996" i="2"/>
  <c r="X996" i="2"/>
  <c r="H997" i="2"/>
  <c r="L997" i="2"/>
  <c r="P997" i="2"/>
  <c r="T997" i="2"/>
  <c r="X997" i="2"/>
  <c r="H998" i="2"/>
  <c r="L998" i="2"/>
  <c r="P998" i="2"/>
  <c r="T998" i="2"/>
  <c r="X998" i="2"/>
  <c r="H999" i="2"/>
  <c r="L999" i="2"/>
  <c r="P999" i="2"/>
  <c r="T999" i="2"/>
  <c r="X999" i="2"/>
  <c r="H1000" i="2"/>
  <c r="L1000" i="2"/>
  <c r="P1000" i="2"/>
  <c r="T1000" i="2"/>
  <c r="X1000" i="2"/>
  <c r="H1001" i="2"/>
  <c r="L1001" i="2"/>
  <c r="P1001" i="2"/>
  <c r="T1001" i="2"/>
  <c r="X1001" i="2"/>
  <c r="H1002" i="2"/>
  <c r="L1002" i="2"/>
  <c r="P1002" i="2"/>
  <c r="T1002" i="2"/>
  <c r="X1002" i="2"/>
  <c r="H1003" i="2"/>
  <c r="L1003" i="2"/>
  <c r="P1003" i="2"/>
  <c r="T1003" i="2"/>
  <c r="X1003" i="2"/>
  <c r="H1004" i="2"/>
  <c r="L1004" i="2"/>
  <c r="P1004" i="2"/>
  <c r="T1004" i="2"/>
  <c r="X1004" i="2"/>
  <c r="H1005" i="2"/>
  <c r="L1005" i="2"/>
  <c r="P1005" i="2"/>
  <c r="T1005" i="2"/>
  <c r="X1005" i="2"/>
  <c r="H1006" i="2"/>
  <c r="L1006" i="2"/>
  <c r="P1006" i="2"/>
  <c r="T1006" i="2"/>
  <c r="X1006" i="2"/>
  <c r="H1007" i="2"/>
  <c r="L1007" i="2"/>
  <c r="P1007" i="2"/>
  <c r="T1007" i="2"/>
  <c r="X1007" i="2"/>
  <c r="H1008" i="2"/>
  <c r="L1008" i="2"/>
  <c r="P1008" i="2"/>
  <c r="T1008" i="2"/>
  <c r="X1008" i="2"/>
  <c r="H1009" i="2"/>
  <c r="L1009" i="2"/>
  <c r="P1009" i="2"/>
  <c r="T1009" i="2"/>
  <c r="X1009" i="2"/>
  <c r="H1010" i="2"/>
  <c r="L1010" i="2"/>
  <c r="P1010" i="2"/>
  <c r="T1010" i="2"/>
  <c r="X1010" i="2"/>
  <c r="H1011" i="2"/>
  <c r="L1011" i="2"/>
  <c r="P1011" i="2"/>
  <c r="T1011" i="2"/>
  <c r="X1011" i="2"/>
  <c r="H1012" i="2"/>
  <c r="L1012" i="2"/>
  <c r="P1012" i="2"/>
  <c r="T1012" i="2"/>
  <c r="X1012" i="2"/>
  <c r="H1013" i="2"/>
  <c r="L1013" i="2"/>
  <c r="P1013" i="2"/>
  <c r="T1013" i="2"/>
  <c r="X1013" i="2"/>
  <c r="H1014" i="2"/>
  <c r="L1014" i="2"/>
  <c r="P1014" i="2"/>
  <c r="T1014" i="2"/>
  <c r="X1014" i="2"/>
  <c r="H1015" i="2"/>
  <c r="L1015" i="2"/>
  <c r="P1015" i="2"/>
  <c r="T1015" i="2"/>
  <c r="X1015" i="2"/>
  <c r="H1016" i="2"/>
  <c r="L1016" i="2"/>
  <c r="P1016" i="2"/>
  <c r="T1016" i="2"/>
  <c r="X1016" i="2"/>
  <c r="H1017" i="2"/>
  <c r="L1017" i="2"/>
  <c r="P1017" i="2"/>
  <c r="T1017" i="2"/>
  <c r="X1017" i="2"/>
  <c r="H1018" i="2"/>
  <c r="L1018" i="2"/>
  <c r="P1018" i="2"/>
  <c r="T1018" i="2"/>
  <c r="X1018" i="2"/>
  <c r="H1019" i="2"/>
  <c r="L1019" i="2"/>
  <c r="P1019" i="2"/>
  <c r="T1019" i="2"/>
  <c r="X1019" i="2"/>
  <c r="H1020" i="2"/>
  <c r="L1020" i="2"/>
  <c r="P1020" i="2"/>
  <c r="T1020" i="2"/>
  <c r="X1020" i="2"/>
  <c r="H1021" i="2"/>
  <c r="L1021" i="2"/>
  <c r="P1021" i="2"/>
  <c r="T1021" i="2"/>
  <c r="X1021" i="2"/>
  <c r="H1022" i="2"/>
  <c r="L1022" i="2"/>
  <c r="P1022" i="2"/>
  <c r="T1022" i="2"/>
  <c r="X1022" i="2"/>
  <c r="H1023" i="2"/>
  <c r="L1023" i="2"/>
  <c r="P1023" i="2"/>
  <c r="T1023" i="2"/>
  <c r="X1023" i="2"/>
  <c r="H1024" i="2"/>
  <c r="L1024" i="2"/>
  <c r="P1024" i="2"/>
  <c r="T1024" i="2"/>
  <c r="X1024" i="2"/>
  <c r="H1025" i="2"/>
  <c r="L1025" i="2"/>
  <c r="P1025" i="2"/>
  <c r="T1025" i="2"/>
  <c r="X1025" i="2"/>
  <c r="H1026" i="2"/>
  <c r="L1026" i="2"/>
  <c r="P1026" i="2"/>
  <c r="T1026" i="2"/>
  <c r="X1026" i="2"/>
  <c r="H1027" i="2"/>
  <c r="L1027" i="2"/>
  <c r="P1027" i="2"/>
  <c r="T1027" i="2"/>
  <c r="X1027" i="2"/>
  <c r="H1028" i="2"/>
  <c r="L1028" i="2"/>
  <c r="P1028" i="2"/>
  <c r="T1028" i="2"/>
  <c r="X1028" i="2"/>
  <c r="H1029" i="2"/>
  <c r="L1029" i="2"/>
  <c r="P1029" i="2"/>
  <c r="T1029" i="2"/>
  <c r="X1029" i="2"/>
  <c r="H1030" i="2"/>
  <c r="L1030" i="2"/>
  <c r="P1030" i="2"/>
  <c r="T1030" i="2"/>
  <c r="X1030" i="2"/>
  <c r="H1031" i="2"/>
  <c r="L1031" i="2"/>
  <c r="P1031" i="2"/>
  <c r="T1031" i="2"/>
  <c r="X1031" i="2"/>
  <c r="H1032" i="2"/>
  <c r="L1032" i="2"/>
  <c r="P1032" i="2"/>
  <c r="T1032" i="2"/>
  <c r="X1032" i="2"/>
  <c r="H1033" i="2"/>
  <c r="L1033" i="2"/>
  <c r="P1033" i="2"/>
  <c r="T1033" i="2"/>
  <c r="X1033" i="2"/>
  <c r="H1034" i="2"/>
  <c r="L1034" i="2"/>
  <c r="P1034" i="2"/>
  <c r="T1034" i="2"/>
  <c r="X1034" i="2"/>
  <c r="H1035" i="2"/>
  <c r="L1035" i="2"/>
  <c r="P1035" i="2"/>
  <c r="T1035" i="2"/>
  <c r="X1035" i="2"/>
  <c r="H1036" i="2"/>
  <c r="L1036" i="2"/>
  <c r="P1036" i="2"/>
  <c r="T1036" i="2"/>
  <c r="X1036" i="2"/>
  <c r="H1037" i="2"/>
  <c r="L1037" i="2"/>
  <c r="P1037" i="2"/>
  <c r="T1037" i="2"/>
  <c r="X1037" i="2"/>
  <c r="H1038" i="2"/>
  <c r="L1038" i="2"/>
  <c r="P1038" i="2"/>
  <c r="T1038" i="2"/>
  <c r="X1038" i="2"/>
  <c r="H1039" i="2"/>
  <c r="L1039" i="2"/>
  <c r="P1039" i="2"/>
  <c r="T1039" i="2"/>
  <c r="X1039" i="2"/>
  <c r="H1040" i="2"/>
  <c r="L1040" i="2"/>
  <c r="P1040" i="2"/>
  <c r="T1040" i="2"/>
  <c r="X1040" i="2"/>
  <c r="H1041" i="2"/>
  <c r="L1041" i="2"/>
  <c r="P1041" i="2"/>
  <c r="T1041" i="2"/>
  <c r="X1041" i="2"/>
  <c r="H1042" i="2"/>
  <c r="L1042" i="2"/>
  <c r="P1042" i="2"/>
  <c r="T1042" i="2"/>
  <c r="X1042" i="2"/>
  <c r="H1043" i="2"/>
  <c r="L1043" i="2"/>
  <c r="P1043" i="2"/>
  <c r="T1043" i="2"/>
  <c r="X1043" i="2"/>
  <c r="H1044" i="2"/>
  <c r="L1044" i="2"/>
  <c r="P1044" i="2"/>
  <c r="T1044" i="2"/>
  <c r="X1044" i="2"/>
  <c r="H1045" i="2"/>
  <c r="L1045" i="2"/>
  <c r="P1045" i="2"/>
  <c r="T1045" i="2"/>
  <c r="X1045" i="2"/>
  <c r="H1046" i="2"/>
  <c r="L1046" i="2"/>
  <c r="P1046" i="2"/>
  <c r="T1046" i="2"/>
  <c r="X1046" i="2"/>
  <c r="H1047" i="2"/>
  <c r="L1047" i="2"/>
  <c r="P1047" i="2"/>
  <c r="T1047" i="2"/>
  <c r="X1047" i="2"/>
  <c r="H1048" i="2"/>
  <c r="L1048" i="2"/>
  <c r="P1048" i="2"/>
  <c r="T1048" i="2"/>
  <c r="X1048" i="2"/>
  <c r="H1049" i="2"/>
  <c r="L1049" i="2"/>
  <c r="P1049" i="2"/>
  <c r="T1049" i="2"/>
  <c r="X1049" i="2"/>
  <c r="H1050" i="2"/>
  <c r="L1050" i="2"/>
  <c r="P1050" i="2"/>
  <c r="T1050" i="2"/>
  <c r="X1050" i="2"/>
  <c r="H1051" i="2"/>
  <c r="L1051" i="2"/>
  <c r="P1051" i="2"/>
  <c r="T1051" i="2"/>
  <c r="X1051" i="2"/>
  <c r="H1052" i="2"/>
  <c r="L1052" i="2"/>
  <c r="P1052" i="2"/>
  <c r="T1052" i="2"/>
  <c r="X1052" i="2"/>
  <c r="H1053" i="2"/>
  <c r="L1053" i="2"/>
  <c r="P1053" i="2"/>
  <c r="T1053" i="2"/>
  <c r="X1053" i="2"/>
  <c r="H1054" i="2"/>
  <c r="L1054" i="2"/>
  <c r="P1054" i="2"/>
  <c r="T1054" i="2"/>
  <c r="X1054" i="2"/>
  <c r="H1055" i="2"/>
  <c r="L1055" i="2"/>
  <c r="P1055" i="2"/>
  <c r="T1055" i="2"/>
  <c r="X1055" i="2"/>
  <c r="H1056" i="2"/>
  <c r="L1056" i="2"/>
  <c r="P1056" i="2"/>
  <c r="T1056" i="2"/>
  <c r="X1056" i="2"/>
  <c r="H1057" i="2"/>
  <c r="L1057" i="2"/>
  <c r="P1057" i="2"/>
  <c r="T1057" i="2"/>
  <c r="X1057" i="2"/>
  <c r="H1058" i="2"/>
  <c r="L1058" i="2"/>
  <c r="P1058" i="2"/>
  <c r="T1058" i="2"/>
  <c r="X1058" i="2"/>
  <c r="H1059" i="2"/>
  <c r="L1059" i="2"/>
  <c r="P1059" i="2"/>
  <c r="T1059" i="2"/>
  <c r="X1059" i="2"/>
  <c r="H1060" i="2"/>
  <c r="L1060" i="2"/>
  <c r="P1060" i="2"/>
  <c r="T1060" i="2"/>
  <c r="X1060" i="2"/>
  <c r="H1061" i="2"/>
  <c r="L1061" i="2"/>
  <c r="P1061" i="2"/>
  <c r="T1061" i="2"/>
  <c r="X1061" i="2"/>
  <c r="H1062" i="2"/>
  <c r="L1062" i="2"/>
  <c r="P1062" i="2"/>
  <c r="T1062" i="2"/>
  <c r="X1062" i="2"/>
  <c r="H1063" i="2"/>
  <c r="L1063" i="2"/>
  <c r="P1063" i="2"/>
  <c r="T1063" i="2"/>
  <c r="X1063" i="2"/>
  <c r="H1064" i="2"/>
  <c r="L1064" i="2"/>
  <c r="P1064" i="2"/>
  <c r="T1064" i="2"/>
  <c r="X1064" i="2"/>
  <c r="H1065" i="2"/>
  <c r="L1065" i="2"/>
  <c r="P1065" i="2"/>
  <c r="T1065" i="2"/>
  <c r="X1065" i="2"/>
  <c r="H1066" i="2"/>
  <c r="L1066" i="2"/>
  <c r="P1066" i="2"/>
  <c r="T1066" i="2"/>
  <c r="X1066" i="2"/>
  <c r="H1067" i="2"/>
  <c r="L1067" i="2"/>
  <c r="P1067" i="2"/>
  <c r="T1067" i="2"/>
  <c r="X1067" i="2"/>
  <c r="H1068" i="2"/>
  <c r="L1068" i="2"/>
  <c r="P1068" i="2"/>
  <c r="T1068" i="2"/>
  <c r="X1068" i="2"/>
  <c r="H1069" i="2"/>
  <c r="L1069" i="2"/>
  <c r="P1069" i="2"/>
  <c r="T1069" i="2"/>
  <c r="X1069" i="2"/>
  <c r="H1070" i="2"/>
  <c r="L1070" i="2"/>
  <c r="P1070" i="2"/>
  <c r="T1070" i="2"/>
  <c r="X1070" i="2"/>
  <c r="H1071" i="2"/>
  <c r="L1071" i="2"/>
  <c r="P1071" i="2"/>
  <c r="T1071" i="2"/>
  <c r="X1071" i="2"/>
  <c r="H1072" i="2"/>
  <c r="L1072" i="2"/>
  <c r="P1072" i="2"/>
  <c r="T1072" i="2"/>
  <c r="X1072" i="2"/>
  <c r="H1073" i="2"/>
  <c r="L1073" i="2"/>
  <c r="P1073" i="2"/>
  <c r="T1073" i="2"/>
  <c r="X1073" i="2"/>
  <c r="H1074" i="2"/>
  <c r="L1074" i="2"/>
  <c r="P1074" i="2"/>
  <c r="T1074" i="2"/>
  <c r="X1074" i="2"/>
  <c r="H1075" i="2"/>
  <c r="L1075" i="2"/>
  <c r="P1075" i="2"/>
  <c r="T1075" i="2"/>
  <c r="X1075" i="2"/>
  <c r="H1076" i="2"/>
  <c r="L1076" i="2"/>
  <c r="P1076" i="2"/>
  <c r="T1076" i="2"/>
  <c r="X1076" i="2"/>
  <c r="H1077" i="2"/>
  <c r="L1077" i="2"/>
  <c r="P1077" i="2"/>
  <c r="T1077" i="2"/>
  <c r="X1077" i="2"/>
  <c r="H1078" i="2"/>
  <c r="L1078" i="2"/>
  <c r="P1078" i="2"/>
  <c r="T1078" i="2"/>
  <c r="X1078" i="2"/>
  <c r="H1079" i="2"/>
  <c r="L1079" i="2"/>
  <c r="P1079" i="2"/>
  <c r="T1079" i="2"/>
  <c r="X1079" i="2"/>
  <c r="H1080" i="2"/>
  <c r="L1080" i="2"/>
  <c r="P1080" i="2"/>
  <c r="T1080" i="2"/>
  <c r="X1080" i="2"/>
  <c r="H1081" i="2"/>
  <c r="L1081" i="2"/>
  <c r="P1081" i="2"/>
  <c r="T1081" i="2"/>
  <c r="X1081" i="2"/>
  <c r="H1082" i="2"/>
  <c r="L1082" i="2"/>
  <c r="P1082" i="2"/>
  <c r="T1082" i="2"/>
  <c r="X1082" i="2"/>
  <c r="H1083" i="2"/>
  <c r="L1083" i="2"/>
  <c r="P1083" i="2"/>
  <c r="T1083" i="2"/>
  <c r="X1083" i="2"/>
  <c r="H1084" i="2"/>
  <c r="L1084" i="2"/>
  <c r="P1084" i="2"/>
  <c r="T1084" i="2"/>
  <c r="X1084" i="2"/>
  <c r="H1085" i="2"/>
  <c r="L1085" i="2"/>
  <c r="P1085" i="2"/>
  <c r="T1085" i="2"/>
  <c r="X1085" i="2"/>
  <c r="H1086" i="2"/>
  <c r="L1086" i="2"/>
  <c r="P1086" i="2"/>
  <c r="T1086" i="2"/>
  <c r="X1086" i="2"/>
  <c r="H1087" i="2"/>
  <c r="L1087" i="2"/>
  <c r="P1087" i="2"/>
  <c r="T1087" i="2"/>
  <c r="X1087" i="2"/>
  <c r="H1088" i="2"/>
  <c r="L1088" i="2"/>
  <c r="P1088" i="2"/>
  <c r="T1088" i="2"/>
  <c r="X1088" i="2"/>
  <c r="H1089" i="2"/>
  <c r="L1089" i="2"/>
  <c r="P1089" i="2"/>
  <c r="T1089" i="2"/>
  <c r="X1089" i="2"/>
  <c r="H1090" i="2"/>
  <c r="L1090" i="2"/>
  <c r="P1090" i="2"/>
  <c r="T1090" i="2"/>
  <c r="X1090" i="2"/>
  <c r="H1091" i="2"/>
  <c r="L1091" i="2"/>
  <c r="P1091" i="2"/>
  <c r="T1091" i="2"/>
  <c r="X1091" i="2"/>
  <c r="H1092" i="2"/>
  <c r="L1092" i="2"/>
  <c r="P1092" i="2"/>
  <c r="T1092" i="2"/>
  <c r="X1092" i="2"/>
  <c r="H1093" i="2"/>
  <c r="L1093" i="2"/>
  <c r="P1093" i="2"/>
  <c r="T1093" i="2"/>
  <c r="X1093" i="2"/>
  <c r="H1094" i="2"/>
  <c r="L1094" i="2"/>
  <c r="P1094" i="2"/>
  <c r="T1094" i="2"/>
  <c r="X1094" i="2"/>
  <c r="H1095" i="2"/>
  <c r="L1095" i="2"/>
  <c r="P1095" i="2"/>
  <c r="T1095" i="2"/>
  <c r="X1095" i="2"/>
  <c r="H1096" i="2"/>
  <c r="L1096" i="2"/>
  <c r="P1096" i="2"/>
  <c r="T1096" i="2"/>
  <c r="X1096" i="2"/>
  <c r="H1097" i="2"/>
  <c r="L1097" i="2"/>
  <c r="P1097" i="2"/>
  <c r="T1097" i="2"/>
  <c r="X1097" i="2"/>
  <c r="H1098" i="2"/>
  <c r="L1098" i="2"/>
  <c r="P1098" i="2"/>
  <c r="T1098" i="2"/>
  <c r="X1098" i="2"/>
  <c r="H1099" i="2"/>
  <c r="L1099" i="2"/>
  <c r="P1099" i="2"/>
  <c r="T1099" i="2"/>
  <c r="X1099" i="2"/>
  <c r="H1100" i="2"/>
  <c r="L1100" i="2"/>
  <c r="P1100" i="2"/>
  <c r="T1100" i="2"/>
  <c r="X1100" i="2"/>
  <c r="H1101" i="2"/>
  <c r="L1101" i="2"/>
  <c r="P1101" i="2"/>
  <c r="T1101" i="2"/>
  <c r="X1101" i="2"/>
  <c r="H1102" i="2"/>
  <c r="L1102" i="2"/>
  <c r="P1102" i="2"/>
  <c r="T1102" i="2"/>
  <c r="X1102" i="2"/>
  <c r="H1103" i="2"/>
  <c r="L1103" i="2"/>
  <c r="P1103" i="2"/>
  <c r="T1103" i="2"/>
  <c r="X1103" i="2"/>
  <c r="H1104" i="2"/>
  <c r="L1104" i="2"/>
  <c r="P1104" i="2"/>
  <c r="T1104" i="2"/>
  <c r="X1104" i="2"/>
  <c r="H1105" i="2"/>
  <c r="L1105" i="2"/>
  <c r="P1105" i="2"/>
  <c r="T1105" i="2"/>
  <c r="X1105" i="2"/>
  <c r="H1106" i="2"/>
  <c r="L1106" i="2"/>
  <c r="P1106" i="2"/>
  <c r="T1106" i="2"/>
  <c r="X1106" i="2"/>
  <c r="H1107" i="2"/>
  <c r="L1107" i="2"/>
  <c r="P1107" i="2"/>
  <c r="T1107" i="2"/>
  <c r="X1107" i="2"/>
  <c r="H1108" i="2"/>
  <c r="L1108" i="2"/>
  <c r="P1108" i="2"/>
  <c r="T1108" i="2"/>
  <c r="X1108" i="2"/>
  <c r="H1109" i="2"/>
  <c r="L1109" i="2"/>
  <c r="P1109" i="2"/>
  <c r="T1109" i="2"/>
  <c r="X1109" i="2"/>
  <c r="H1110" i="2"/>
  <c r="L1110" i="2"/>
  <c r="P1110" i="2"/>
  <c r="T1110" i="2"/>
  <c r="X1110" i="2"/>
  <c r="H1111" i="2"/>
  <c r="L1111" i="2"/>
  <c r="P1111" i="2"/>
  <c r="T1111" i="2"/>
  <c r="X1111" i="2"/>
  <c r="H1112" i="2"/>
  <c r="L1112" i="2"/>
  <c r="P1112" i="2"/>
  <c r="T1112" i="2"/>
  <c r="X1112" i="2"/>
  <c r="H1113" i="2"/>
  <c r="L1113" i="2"/>
  <c r="P1113" i="2"/>
  <c r="T1113" i="2"/>
  <c r="X1113" i="2"/>
  <c r="H1114" i="2"/>
  <c r="L1114" i="2"/>
  <c r="P1114" i="2"/>
  <c r="T1114" i="2"/>
  <c r="X1114" i="2"/>
  <c r="H1115" i="2"/>
  <c r="L1115" i="2"/>
  <c r="P1115" i="2"/>
  <c r="T1115" i="2"/>
  <c r="X1115" i="2"/>
  <c r="H1116" i="2"/>
  <c r="L1116" i="2"/>
  <c r="P1116" i="2"/>
  <c r="T1116" i="2"/>
  <c r="X1116" i="2"/>
  <c r="H1117" i="2"/>
  <c r="L1117" i="2"/>
  <c r="P1117" i="2"/>
  <c r="T1117" i="2"/>
  <c r="X1117" i="2"/>
  <c r="H1118" i="2"/>
  <c r="L1118" i="2"/>
  <c r="P1118" i="2"/>
  <c r="T1118" i="2"/>
  <c r="X1118" i="2"/>
  <c r="H1119" i="2"/>
  <c r="L1119" i="2"/>
  <c r="P1119" i="2"/>
  <c r="T1119" i="2"/>
  <c r="X1119" i="2"/>
  <c r="H1120" i="2"/>
  <c r="L1120" i="2"/>
  <c r="P1120" i="2"/>
  <c r="T1120" i="2"/>
  <c r="X1120" i="2"/>
  <c r="H1121" i="2"/>
  <c r="L1121" i="2"/>
  <c r="P1121" i="2"/>
  <c r="T1121" i="2"/>
  <c r="X1121" i="2"/>
  <c r="H1122" i="2"/>
  <c r="L1122" i="2"/>
  <c r="P1122" i="2"/>
  <c r="T1122" i="2"/>
  <c r="X1122" i="2"/>
  <c r="H1123" i="2"/>
  <c r="L1123" i="2"/>
  <c r="P1123" i="2"/>
  <c r="T1123" i="2"/>
  <c r="X1123" i="2"/>
  <c r="H1124" i="2"/>
  <c r="L1124" i="2"/>
  <c r="P1124" i="2"/>
  <c r="T1124" i="2"/>
  <c r="X1124" i="2"/>
  <c r="H1125" i="2"/>
  <c r="L1125" i="2"/>
  <c r="P1125" i="2"/>
  <c r="T1125" i="2"/>
  <c r="X1125" i="2"/>
  <c r="H1126" i="2"/>
  <c r="L1126" i="2"/>
  <c r="P1126" i="2"/>
  <c r="T1126" i="2"/>
  <c r="X1126" i="2"/>
  <c r="H1127" i="2"/>
  <c r="L1127" i="2"/>
  <c r="P1127" i="2"/>
  <c r="T1127" i="2"/>
  <c r="X1127" i="2"/>
  <c r="H1128" i="2"/>
  <c r="L1128" i="2"/>
  <c r="P1128" i="2"/>
  <c r="T1128" i="2"/>
  <c r="X1128" i="2"/>
  <c r="H1129" i="2"/>
  <c r="L1129" i="2"/>
  <c r="P1129" i="2"/>
  <c r="T1129" i="2"/>
  <c r="X1129" i="2"/>
  <c r="H1130" i="2"/>
  <c r="L1130" i="2"/>
  <c r="P1130" i="2"/>
  <c r="T1130" i="2"/>
  <c r="X1130" i="2"/>
  <c r="H1131" i="2"/>
  <c r="L1131" i="2"/>
  <c r="P1131" i="2"/>
  <c r="T1131" i="2"/>
  <c r="X1131" i="2"/>
  <c r="H1132" i="2"/>
  <c r="L1132" i="2"/>
  <c r="P1132" i="2"/>
  <c r="T1132" i="2"/>
  <c r="X1132" i="2"/>
  <c r="H1133" i="2"/>
  <c r="L1133" i="2"/>
  <c r="P1133" i="2"/>
  <c r="T1133" i="2"/>
  <c r="X1133" i="2"/>
  <c r="H1134" i="2"/>
  <c r="L1134" i="2"/>
  <c r="P1134" i="2"/>
  <c r="T1134" i="2"/>
  <c r="X1134" i="2"/>
  <c r="H1135" i="2"/>
  <c r="L1135" i="2"/>
  <c r="P1135" i="2"/>
  <c r="T1135" i="2"/>
  <c r="X1135" i="2"/>
  <c r="H1136" i="2"/>
  <c r="L1136" i="2"/>
  <c r="P1136" i="2"/>
  <c r="T1136" i="2"/>
  <c r="X1136" i="2"/>
  <c r="H1137" i="2"/>
  <c r="L1137" i="2"/>
  <c r="P1137" i="2"/>
  <c r="T1137" i="2"/>
  <c r="X1137" i="2"/>
  <c r="H1138" i="2"/>
  <c r="L1138" i="2"/>
  <c r="P1138" i="2"/>
  <c r="T1138" i="2"/>
  <c r="X1138" i="2"/>
  <c r="H1139" i="2"/>
  <c r="L1139" i="2"/>
  <c r="P1139" i="2"/>
  <c r="T1139" i="2"/>
  <c r="X1139" i="2"/>
  <c r="H1140" i="2"/>
  <c r="L1140" i="2"/>
  <c r="P1140" i="2"/>
  <c r="T1140" i="2"/>
  <c r="X1140" i="2"/>
  <c r="H1141" i="2"/>
  <c r="L1141" i="2"/>
  <c r="P1141" i="2"/>
  <c r="T1141" i="2"/>
  <c r="X1141" i="2"/>
  <c r="H1142" i="2"/>
  <c r="L1142" i="2"/>
  <c r="P1142" i="2"/>
  <c r="T1142" i="2"/>
  <c r="X1142" i="2"/>
  <c r="H1143" i="2"/>
  <c r="L1143" i="2"/>
  <c r="P1143" i="2"/>
  <c r="T1143" i="2"/>
  <c r="X1143" i="2"/>
  <c r="H1144" i="2"/>
  <c r="L1144" i="2"/>
  <c r="P1144" i="2"/>
  <c r="T1144" i="2"/>
  <c r="X1144" i="2"/>
  <c r="H1145" i="2"/>
  <c r="L1145" i="2"/>
  <c r="P1145" i="2"/>
  <c r="T1145" i="2"/>
  <c r="X1145" i="2"/>
  <c r="H1146" i="2"/>
  <c r="L1146" i="2"/>
  <c r="P1146" i="2"/>
  <c r="T1146" i="2"/>
  <c r="X1146" i="2"/>
  <c r="H1147" i="2"/>
  <c r="L1147" i="2"/>
  <c r="P1147" i="2"/>
  <c r="T1147" i="2"/>
  <c r="X1147" i="2"/>
  <c r="H1148" i="2"/>
  <c r="L1148" i="2"/>
  <c r="P1148" i="2"/>
  <c r="T1148" i="2"/>
  <c r="X1148" i="2"/>
  <c r="H1149" i="2"/>
  <c r="L1149" i="2"/>
  <c r="P1149" i="2"/>
  <c r="T1149" i="2"/>
  <c r="X1149" i="2"/>
  <c r="H1150" i="2"/>
  <c r="L1150" i="2"/>
  <c r="P1150" i="2"/>
  <c r="T1150" i="2"/>
  <c r="X1150" i="2"/>
  <c r="H1151" i="2"/>
  <c r="L1151" i="2"/>
  <c r="P1151" i="2"/>
  <c r="T1151" i="2"/>
  <c r="X1151" i="2"/>
  <c r="H1152" i="2"/>
  <c r="L1152" i="2"/>
  <c r="P1152" i="2"/>
  <c r="T1152" i="2"/>
  <c r="X1152" i="2"/>
  <c r="H1153" i="2"/>
  <c r="L1153" i="2"/>
  <c r="P1153" i="2"/>
  <c r="T1153" i="2"/>
  <c r="X1153" i="2"/>
  <c r="H1154" i="2"/>
  <c r="L1154" i="2"/>
  <c r="P1154" i="2"/>
  <c r="T1154" i="2"/>
  <c r="X1154" i="2"/>
  <c r="H1155" i="2"/>
  <c r="L1155" i="2"/>
  <c r="P1155" i="2"/>
  <c r="T1155" i="2"/>
  <c r="X1155" i="2"/>
  <c r="H1156" i="2"/>
  <c r="L1156" i="2"/>
  <c r="P1156" i="2"/>
  <c r="T1156" i="2"/>
  <c r="X1156" i="2"/>
  <c r="H1157" i="2"/>
  <c r="L1157" i="2"/>
  <c r="P1157" i="2"/>
  <c r="T1157" i="2"/>
  <c r="X1157" i="2"/>
  <c r="H1158" i="2"/>
  <c r="L1158" i="2"/>
  <c r="P1158" i="2"/>
  <c r="T1158" i="2"/>
  <c r="X1158" i="2"/>
  <c r="H1159" i="2"/>
  <c r="L1159" i="2"/>
  <c r="P1159" i="2"/>
  <c r="T1159" i="2"/>
  <c r="X1159" i="2"/>
  <c r="H1160" i="2"/>
  <c r="L1160" i="2"/>
  <c r="P1160" i="2"/>
  <c r="T1160" i="2"/>
  <c r="X1160" i="2"/>
  <c r="H1161" i="2"/>
  <c r="L1161" i="2"/>
  <c r="P1161" i="2"/>
  <c r="T1161" i="2"/>
  <c r="X1161" i="2"/>
  <c r="H1162" i="2"/>
  <c r="L1162" i="2"/>
  <c r="P1162" i="2"/>
  <c r="T1162" i="2"/>
  <c r="X1162" i="2"/>
  <c r="H1163" i="2"/>
  <c r="L1163" i="2"/>
  <c r="P1163" i="2"/>
  <c r="T1163" i="2"/>
  <c r="X1163" i="2"/>
  <c r="H1164" i="2"/>
  <c r="L1164" i="2"/>
  <c r="P1164" i="2"/>
  <c r="T1164" i="2"/>
  <c r="X1164" i="2"/>
  <c r="H1165" i="2"/>
  <c r="L1165" i="2"/>
  <c r="P1165" i="2"/>
  <c r="T1165" i="2"/>
  <c r="X1165" i="2"/>
  <c r="H1166" i="2"/>
  <c r="L1166" i="2"/>
  <c r="P1166" i="2"/>
  <c r="T1166" i="2"/>
  <c r="X1166" i="2"/>
  <c r="H1167" i="2"/>
  <c r="L1167" i="2"/>
  <c r="P1167" i="2"/>
  <c r="T1167" i="2"/>
  <c r="X1167" i="2"/>
  <c r="H1168" i="2"/>
  <c r="L1168" i="2"/>
  <c r="P1168" i="2"/>
  <c r="T1168" i="2"/>
  <c r="X1168" i="2"/>
  <c r="H1169" i="2"/>
  <c r="L1169" i="2"/>
  <c r="P1169" i="2"/>
  <c r="T1169" i="2"/>
  <c r="X1169" i="2"/>
  <c r="H1170" i="2"/>
  <c r="L1170" i="2"/>
  <c r="P1170" i="2"/>
  <c r="T1170" i="2"/>
  <c r="X1170" i="2"/>
  <c r="H1171" i="2"/>
  <c r="L1171" i="2"/>
  <c r="P1171" i="2"/>
  <c r="T1171" i="2"/>
  <c r="X1171" i="2"/>
  <c r="H1172" i="2"/>
  <c r="L1172" i="2"/>
  <c r="P1172" i="2"/>
  <c r="T1172" i="2"/>
  <c r="X1172" i="2"/>
  <c r="H1173" i="2"/>
  <c r="L1173" i="2"/>
  <c r="P1173" i="2"/>
  <c r="T1173" i="2"/>
  <c r="X1173" i="2"/>
  <c r="H1174" i="2"/>
  <c r="L1174" i="2"/>
  <c r="P1174" i="2"/>
  <c r="T1174" i="2"/>
  <c r="X1174" i="2"/>
  <c r="H1175" i="2"/>
  <c r="L1175" i="2"/>
  <c r="P1175" i="2"/>
  <c r="T1175" i="2"/>
  <c r="X1175" i="2"/>
  <c r="H1176" i="2"/>
  <c r="L1176" i="2"/>
  <c r="P1176" i="2"/>
  <c r="T1176" i="2"/>
  <c r="X1176" i="2"/>
  <c r="H1177" i="2"/>
  <c r="L1177" i="2"/>
  <c r="P1177" i="2"/>
  <c r="T1177" i="2"/>
  <c r="X1177" i="2"/>
  <c r="H1178" i="2"/>
  <c r="L1178" i="2"/>
  <c r="P1178" i="2"/>
  <c r="T1178" i="2"/>
  <c r="X1178" i="2"/>
  <c r="H1179" i="2"/>
  <c r="L1179" i="2"/>
  <c r="P1179" i="2"/>
  <c r="T1179" i="2"/>
  <c r="X1179" i="2"/>
  <c r="H1180" i="2"/>
  <c r="L1180" i="2"/>
  <c r="P1180" i="2"/>
  <c r="T1180" i="2"/>
  <c r="X1180" i="2"/>
  <c r="H1181" i="2"/>
  <c r="L1181" i="2"/>
  <c r="P1181" i="2"/>
  <c r="T1181" i="2"/>
  <c r="X1181" i="2"/>
  <c r="H1182" i="2"/>
  <c r="L1182" i="2"/>
  <c r="P1182" i="2"/>
  <c r="T1182" i="2"/>
  <c r="X1182" i="2"/>
  <c r="H1183" i="2"/>
  <c r="L1183" i="2"/>
  <c r="P1183" i="2"/>
  <c r="T1183" i="2"/>
  <c r="X1183" i="2"/>
  <c r="H1184" i="2"/>
  <c r="L1184" i="2"/>
  <c r="P1184" i="2"/>
  <c r="T1184" i="2"/>
  <c r="X1184" i="2"/>
  <c r="H1185" i="2"/>
  <c r="L1185" i="2"/>
  <c r="P1185" i="2"/>
  <c r="T1185" i="2"/>
  <c r="X1185" i="2"/>
  <c r="H1186" i="2"/>
  <c r="L1186" i="2"/>
  <c r="P1186" i="2"/>
  <c r="T1186" i="2"/>
  <c r="X1186" i="2"/>
  <c r="H1187" i="2"/>
  <c r="L1187" i="2"/>
  <c r="P1187" i="2"/>
  <c r="T1187" i="2"/>
  <c r="X1187" i="2"/>
  <c r="H1188" i="2"/>
  <c r="L1188" i="2"/>
  <c r="P1188" i="2"/>
  <c r="T1188" i="2"/>
  <c r="X1188" i="2"/>
  <c r="H1189" i="2"/>
  <c r="L1189" i="2"/>
  <c r="P1189" i="2"/>
  <c r="T1189" i="2"/>
  <c r="X1189" i="2"/>
  <c r="H1190" i="2"/>
  <c r="L1190" i="2"/>
  <c r="P1190" i="2"/>
  <c r="T1190" i="2"/>
  <c r="X1190" i="2"/>
  <c r="H1191" i="2"/>
  <c r="L1191" i="2"/>
  <c r="P1191" i="2"/>
  <c r="T1191" i="2"/>
  <c r="X1191" i="2"/>
  <c r="H1192" i="2"/>
  <c r="L1192" i="2"/>
  <c r="P1192" i="2"/>
  <c r="T1192" i="2"/>
  <c r="X1192" i="2"/>
  <c r="H1193" i="2"/>
  <c r="L1193" i="2"/>
  <c r="P1193" i="2"/>
  <c r="T1193" i="2"/>
  <c r="X1193" i="2"/>
  <c r="H1194" i="2"/>
  <c r="L1194" i="2"/>
  <c r="P1194" i="2"/>
  <c r="T1194" i="2"/>
  <c r="X1194" i="2"/>
  <c r="H1195" i="2"/>
  <c r="L1195" i="2"/>
  <c r="P1195" i="2"/>
  <c r="T1195" i="2"/>
  <c r="X1195" i="2"/>
  <c r="H1196" i="2"/>
  <c r="L1196" i="2"/>
  <c r="P1196" i="2"/>
  <c r="T1196" i="2"/>
  <c r="X1196" i="2"/>
  <c r="H1197" i="2"/>
  <c r="L1197" i="2"/>
  <c r="P1197" i="2"/>
  <c r="T1197" i="2"/>
  <c r="X1197" i="2"/>
  <c r="H1198" i="2"/>
  <c r="L1198" i="2"/>
  <c r="P1198" i="2"/>
  <c r="T1198" i="2"/>
  <c r="X1198" i="2"/>
  <c r="H1199" i="2"/>
  <c r="L1199" i="2"/>
  <c r="P1199" i="2"/>
  <c r="T1199" i="2"/>
  <c r="X1199" i="2"/>
  <c r="H1200" i="2"/>
  <c r="L1200" i="2"/>
  <c r="P1200" i="2"/>
  <c r="T1200" i="2"/>
  <c r="X1200" i="2"/>
  <c r="H1201" i="2"/>
  <c r="L1201" i="2"/>
  <c r="P1201" i="2"/>
  <c r="T1201" i="2"/>
  <c r="X1201" i="2"/>
  <c r="H1202" i="2"/>
  <c r="L1202" i="2"/>
  <c r="P1202" i="2"/>
  <c r="T1202" i="2"/>
  <c r="X1202" i="2"/>
  <c r="H1203" i="2"/>
  <c r="L1203" i="2"/>
  <c r="P1203" i="2"/>
  <c r="T1203" i="2"/>
  <c r="X1203" i="2"/>
  <c r="H1204" i="2"/>
  <c r="L1204" i="2"/>
  <c r="P1204" i="2"/>
  <c r="T1204" i="2"/>
  <c r="X1204" i="2"/>
  <c r="H1205" i="2"/>
  <c r="L1205" i="2"/>
  <c r="P1205" i="2"/>
  <c r="T1205" i="2"/>
  <c r="X1205" i="2"/>
  <c r="H1206" i="2"/>
  <c r="L1206" i="2"/>
  <c r="P1206" i="2"/>
  <c r="T1206" i="2"/>
  <c r="X1206" i="2"/>
  <c r="H1207" i="2"/>
  <c r="L1207" i="2"/>
  <c r="P1207" i="2"/>
  <c r="T1207" i="2"/>
  <c r="X1207" i="2"/>
  <c r="H1208" i="2"/>
  <c r="L1208" i="2"/>
  <c r="P1208" i="2"/>
  <c r="T1208" i="2"/>
  <c r="X1208" i="2"/>
  <c r="H1209" i="2"/>
  <c r="L1209" i="2"/>
  <c r="P1209" i="2"/>
  <c r="T1209" i="2"/>
  <c r="X1209" i="2"/>
  <c r="H1210" i="2"/>
  <c r="L1210" i="2"/>
  <c r="P1210" i="2"/>
  <c r="T1210" i="2"/>
  <c r="X1210" i="2"/>
  <c r="H1211" i="2"/>
  <c r="L1211" i="2"/>
  <c r="P1211" i="2"/>
  <c r="T1211" i="2"/>
  <c r="X1211" i="2"/>
  <c r="H1212" i="2"/>
  <c r="L1212" i="2"/>
  <c r="P1212" i="2"/>
  <c r="T1212" i="2"/>
  <c r="X1212" i="2"/>
  <c r="H1213" i="2"/>
  <c r="L1213" i="2"/>
  <c r="P1213" i="2"/>
  <c r="T1213" i="2"/>
  <c r="X1213" i="2"/>
  <c r="H1214" i="2"/>
  <c r="L1214" i="2"/>
  <c r="P1214" i="2"/>
  <c r="T1214" i="2"/>
  <c r="X1214" i="2"/>
  <c r="H1215" i="2"/>
  <c r="L1215" i="2"/>
  <c r="P1215" i="2"/>
  <c r="T1215" i="2"/>
  <c r="X1215" i="2"/>
  <c r="H1216" i="2"/>
  <c r="L1216" i="2"/>
  <c r="P1216" i="2"/>
  <c r="T1216" i="2"/>
  <c r="X1216" i="2"/>
  <c r="H1217" i="2"/>
  <c r="L1217" i="2"/>
  <c r="P1217" i="2"/>
  <c r="T1217" i="2"/>
  <c r="X1217" i="2"/>
  <c r="H1218" i="2"/>
  <c r="L1218" i="2"/>
  <c r="P1218" i="2"/>
  <c r="T1218" i="2"/>
  <c r="X1218" i="2"/>
  <c r="H1219" i="2"/>
  <c r="L1219" i="2"/>
  <c r="P1219" i="2"/>
  <c r="T1219" i="2"/>
  <c r="X1219" i="2"/>
  <c r="H1220" i="2"/>
  <c r="L1220" i="2"/>
  <c r="P1220" i="2"/>
  <c r="T1220" i="2"/>
  <c r="X1220" i="2"/>
  <c r="H1221" i="2"/>
  <c r="L1221" i="2"/>
  <c r="P1221" i="2"/>
  <c r="T1221" i="2"/>
  <c r="X1221" i="2"/>
  <c r="H1222" i="2"/>
  <c r="L1222" i="2"/>
  <c r="P1222" i="2"/>
  <c r="T1222" i="2"/>
  <c r="X1222" i="2"/>
  <c r="H1223" i="2"/>
  <c r="L1223" i="2"/>
  <c r="P1223" i="2"/>
  <c r="T1223" i="2"/>
  <c r="X1223" i="2"/>
  <c r="H1224" i="2"/>
  <c r="L1224" i="2"/>
  <c r="P1224" i="2"/>
  <c r="T1224" i="2"/>
  <c r="X1224" i="2"/>
  <c r="H1225" i="2"/>
  <c r="L1225" i="2"/>
  <c r="P1225" i="2"/>
  <c r="T1225" i="2"/>
  <c r="X1225" i="2"/>
  <c r="H1226" i="2"/>
  <c r="L1226" i="2"/>
  <c r="P1226" i="2"/>
  <c r="T1226" i="2"/>
  <c r="X1226" i="2"/>
  <c r="H1227" i="2"/>
  <c r="L1227" i="2"/>
  <c r="P1227" i="2"/>
  <c r="T1227" i="2"/>
  <c r="X1227" i="2"/>
  <c r="H1228" i="2"/>
  <c r="L1228" i="2"/>
  <c r="P1228" i="2"/>
  <c r="T1228" i="2"/>
  <c r="X1228" i="2"/>
  <c r="H1229" i="2"/>
  <c r="L1229" i="2"/>
  <c r="P1229" i="2"/>
  <c r="T1229" i="2"/>
  <c r="X1229" i="2"/>
  <c r="H1230" i="2"/>
  <c r="L1230" i="2"/>
  <c r="P1230" i="2"/>
  <c r="T1230" i="2"/>
  <c r="X1230" i="2"/>
  <c r="H1231" i="2"/>
  <c r="L1231" i="2"/>
  <c r="P1231" i="2"/>
  <c r="T1231" i="2"/>
  <c r="X1231" i="2"/>
  <c r="H1232" i="2"/>
  <c r="L1232" i="2"/>
  <c r="P1232" i="2"/>
  <c r="T1232" i="2"/>
  <c r="X1232" i="2"/>
  <c r="H1233" i="2"/>
  <c r="L1233" i="2"/>
  <c r="P1233" i="2"/>
  <c r="T1233" i="2"/>
  <c r="X1233" i="2"/>
  <c r="H1234" i="2"/>
  <c r="L1234" i="2"/>
  <c r="P1234" i="2"/>
  <c r="T1234" i="2"/>
  <c r="X1234" i="2"/>
  <c r="H1235" i="2"/>
  <c r="L1235" i="2"/>
  <c r="P1235" i="2"/>
  <c r="T1235" i="2"/>
  <c r="X1235" i="2"/>
  <c r="H1236" i="2"/>
  <c r="L1236" i="2"/>
  <c r="P1236" i="2"/>
  <c r="T1236" i="2"/>
  <c r="X1236" i="2"/>
  <c r="H1237" i="2"/>
  <c r="L1237" i="2"/>
  <c r="P1237" i="2"/>
  <c r="T1237" i="2"/>
  <c r="X1237" i="2"/>
  <c r="H1238" i="2"/>
  <c r="L1238" i="2"/>
  <c r="P1238" i="2"/>
  <c r="T1238" i="2"/>
  <c r="X1238" i="2"/>
  <c r="H1239" i="2"/>
  <c r="L1239" i="2"/>
  <c r="P1239" i="2"/>
  <c r="T1239" i="2"/>
  <c r="X1239" i="2"/>
  <c r="H1240" i="2"/>
  <c r="L1240" i="2"/>
  <c r="P1240" i="2"/>
  <c r="T1240" i="2"/>
  <c r="X1240" i="2"/>
  <c r="H1241" i="2"/>
  <c r="L1241" i="2"/>
  <c r="P1241" i="2"/>
  <c r="T1241" i="2"/>
  <c r="X1241" i="2"/>
  <c r="H1242" i="2"/>
  <c r="L1242" i="2"/>
  <c r="P1242" i="2"/>
  <c r="T1242" i="2"/>
  <c r="X1242" i="2"/>
  <c r="H1243" i="2"/>
  <c r="L1243" i="2"/>
  <c r="P1243" i="2"/>
  <c r="T1243" i="2"/>
  <c r="X1243" i="2"/>
  <c r="H1244" i="2"/>
  <c r="L1244" i="2"/>
  <c r="P1244" i="2"/>
  <c r="T1244" i="2"/>
  <c r="X1244" i="2"/>
  <c r="H1245" i="2"/>
  <c r="L1245" i="2"/>
  <c r="P1245" i="2"/>
  <c r="T1245" i="2"/>
  <c r="X1245" i="2"/>
  <c r="H1246" i="2"/>
  <c r="L1246" i="2"/>
  <c r="P1246" i="2"/>
  <c r="T1246" i="2"/>
  <c r="X1246" i="2"/>
  <c r="H1247" i="2"/>
  <c r="L1247" i="2"/>
  <c r="P1247" i="2"/>
  <c r="T1247" i="2"/>
  <c r="X1247" i="2"/>
  <c r="H1248" i="2"/>
  <c r="L1248" i="2"/>
  <c r="P1248" i="2"/>
  <c r="T1248" i="2"/>
  <c r="X1248" i="2"/>
  <c r="H1249" i="2"/>
  <c r="L1249" i="2"/>
  <c r="P1249" i="2"/>
  <c r="T1249" i="2"/>
  <c r="X1249" i="2"/>
  <c r="H1250" i="2"/>
  <c r="L1250" i="2"/>
  <c r="P1250" i="2"/>
  <c r="T1250" i="2"/>
  <c r="X1250" i="2"/>
  <c r="H1251" i="2"/>
  <c r="L1251" i="2"/>
  <c r="P1251" i="2"/>
  <c r="T1251" i="2"/>
  <c r="X1251" i="2"/>
  <c r="H1252" i="2"/>
  <c r="L1252" i="2"/>
  <c r="P1252" i="2"/>
  <c r="T1252" i="2"/>
  <c r="X1252" i="2"/>
  <c r="H1253" i="2"/>
  <c r="L1253" i="2"/>
  <c r="P1253" i="2"/>
  <c r="T1253" i="2"/>
  <c r="X1253" i="2"/>
  <c r="H1254" i="2"/>
  <c r="L1254" i="2"/>
  <c r="P1254" i="2"/>
  <c r="T1254" i="2"/>
  <c r="X1254" i="2"/>
  <c r="H1255" i="2"/>
  <c r="L1255" i="2"/>
  <c r="P1255" i="2"/>
  <c r="T1255" i="2"/>
  <c r="X1255" i="2"/>
  <c r="H1256" i="2"/>
  <c r="L1256" i="2"/>
  <c r="P1256" i="2"/>
  <c r="T1256" i="2"/>
  <c r="X1256" i="2"/>
  <c r="H1257" i="2"/>
  <c r="L1257" i="2"/>
  <c r="P1257" i="2"/>
  <c r="T1257" i="2"/>
  <c r="X1257" i="2"/>
  <c r="H1258" i="2"/>
  <c r="L1258" i="2"/>
  <c r="P1258" i="2"/>
  <c r="T1258" i="2"/>
  <c r="X1258" i="2"/>
  <c r="H1259" i="2"/>
  <c r="L1259" i="2"/>
  <c r="P1259" i="2"/>
  <c r="T1259" i="2"/>
  <c r="X1259" i="2"/>
  <c r="H1260" i="2"/>
  <c r="L1260" i="2"/>
  <c r="P1260" i="2"/>
  <c r="T1260" i="2"/>
  <c r="X1260" i="2"/>
  <c r="H1261" i="2"/>
  <c r="L1261" i="2"/>
  <c r="P1261" i="2"/>
  <c r="T1261" i="2"/>
  <c r="X1261" i="2"/>
  <c r="H1262" i="2"/>
  <c r="L1262" i="2"/>
  <c r="P1262" i="2"/>
  <c r="T1262" i="2"/>
  <c r="X1262" i="2"/>
  <c r="H1263" i="2"/>
  <c r="L1263" i="2"/>
  <c r="P1263" i="2"/>
  <c r="T1263" i="2"/>
  <c r="X1263" i="2"/>
  <c r="H1264" i="2"/>
  <c r="L1264" i="2"/>
  <c r="P1264" i="2"/>
  <c r="T1264" i="2"/>
  <c r="X1264" i="2"/>
  <c r="H1265" i="2"/>
  <c r="L1265" i="2"/>
  <c r="P1265" i="2"/>
  <c r="T1265" i="2"/>
  <c r="X1265" i="2"/>
  <c r="H1266" i="2"/>
  <c r="L1266" i="2"/>
  <c r="P1266" i="2"/>
  <c r="T1266" i="2"/>
  <c r="X1266" i="2"/>
  <c r="H1267" i="2"/>
  <c r="L1267" i="2"/>
  <c r="P1267" i="2"/>
  <c r="T1267" i="2"/>
  <c r="X1267" i="2"/>
  <c r="H1268" i="2"/>
  <c r="L1268" i="2"/>
  <c r="P1268" i="2"/>
  <c r="T1268" i="2"/>
  <c r="X1268" i="2"/>
  <c r="H1269" i="2"/>
  <c r="L1269" i="2"/>
  <c r="P1269" i="2"/>
  <c r="T1269" i="2"/>
  <c r="X1269" i="2"/>
  <c r="H1270" i="2"/>
  <c r="L1270" i="2"/>
  <c r="P1270" i="2"/>
  <c r="T1270" i="2"/>
  <c r="X1270" i="2"/>
  <c r="H1271" i="2"/>
  <c r="L1271" i="2"/>
  <c r="P1271" i="2"/>
  <c r="T1271" i="2"/>
  <c r="X1271" i="2"/>
  <c r="H1272" i="2"/>
  <c r="L1272" i="2"/>
  <c r="P1272" i="2"/>
  <c r="T1272" i="2"/>
  <c r="X1272" i="2"/>
  <c r="H1273" i="2"/>
  <c r="L1273" i="2"/>
  <c r="P1273" i="2"/>
  <c r="T1273" i="2"/>
  <c r="X1273" i="2"/>
  <c r="H1274" i="2"/>
  <c r="L1274" i="2"/>
  <c r="P1274" i="2"/>
  <c r="T1274" i="2"/>
  <c r="X1274" i="2"/>
  <c r="H1275" i="2"/>
  <c r="L1275" i="2"/>
  <c r="P1275" i="2"/>
  <c r="T1275" i="2"/>
  <c r="X1275" i="2"/>
  <c r="H1276" i="2"/>
  <c r="L1276" i="2"/>
  <c r="P1276" i="2"/>
  <c r="T1276" i="2"/>
  <c r="X1276" i="2"/>
  <c r="H1277" i="2"/>
  <c r="L1277" i="2"/>
  <c r="P1277" i="2"/>
  <c r="T1277" i="2"/>
  <c r="X1277" i="2"/>
  <c r="H1278" i="2"/>
  <c r="L1278" i="2"/>
  <c r="P1278" i="2"/>
  <c r="T1278" i="2"/>
  <c r="X1278" i="2"/>
  <c r="H1279" i="2"/>
  <c r="L1279" i="2"/>
  <c r="P1279" i="2"/>
  <c r="T1279" i="2"/>
  <c r="X1279" i="2"/>
  <c r="H1280" i="2"/>
  <c r="L1280" i="2"/>
  <c r="P1280" i="2"/>
  <c r="T1280" i="2"/>
  <c r="X1280" i="2"/>
  <c r="H1281" i="2"/>
  <c r="L1281" i="2"/>
  <c r="P1281" i="2"/>
  <c r="T1281" i="2"/>
  <c r="X1281" i="2"/>
  <c r="H1282" i="2"/>
  <c r="L1282" i="2"/>
  <c r="P1282" i="2"/>
  <c r="T1282" i="2"/>
  <c r="X1282" i="2"/>
  <c r="H1283" i="2"/>
  <c r="L1283" i="2"/>
  <c r="P1283" i="2"/>
  <c r="T1283" i="2"/>
  <c r="X1283" i="2"/>
  <c r="H1284" i="2"/>
  <c r="L1284" i="2"/>
  <c r="P1284" i="2"/>
  <c r="T1284" i="2"/>
  <c r="X1284" i="2"/>
  <c r="H1285" i="2"/>
  <c r="L1285" i="2"/>
  <c r="P1285" i="2"/>
  <c r="T1285" i="2"/>
  <c r="X1285" i="2"/>
  <c r="H1286" i="2"/>
  <c r="L1286" i="2"/>
  <c r="P1286" i="2"/>
  <c r="T1286" i="2"/>
  <c r="X1286" i="2"/>
  <c r="H1287" i="2"/>
  <c r="L1287" i="2"/>
  <c r="P1287" i="2"/>
  <c r="T1287" i="2"/>
  <c r="X1287" i="2"/>
  <c r="H1288" i="2"/>
  <c r="L1288" i="2"/>
  <c r="P1288" i="2"/>
  <c r="T1288" i="2"/>
  <c r="X1288" i="2"/>
  <c r="H1289" i="2"/>
  <c r="L1289" i="2"/>
  <c r="P1289" i="2"/>
  <c r="T1289" i="2"/>
  <c r="X1289" i="2"/>
  <c r="H1290" i="2"/>
  <c r="L1290" i="2"/>
  <c r="P1290" i="2"/>
  <c r="T1290" i="2"/>
  <c r="X1290" i="2"/>
  <c r="H1291" i="2"/>
  <c r="L1291" i="2"/>
  <c r="P1291" i="2"/>
  <c r="T1291" i="2"/>
  <c r="X1291" i="2"/>
  <c r="H1292" i="2"/>
  <c r="L1292" i="2"/>
  <c r="P1292" i="2"/>
  <c r="T1292" i="2"/>
  <c r="X1292" i="2"/>
  <c r="H1293" i="2"/>
  <c r="L1293" i="2"/>
  <c r="P1293" i="2"/>
  <c r="T1293" i="2"/>
  <c r="X1293" i="2"/>
  <c r="H1294" i="2"/>
  <c r="L1294" i="2"/>
  <c r="P1294" i="2"/>
  <c r="T1294" i="2"/>
  <c r="X1294" i="2"/>
  <c r="H1295" i="2"/>
  <c r="L1295" i="2"/>
  <c r="P1295" i="2"/>
  <c r="T1295" i="2"/>
  <c r="X1295" i="2"/>
  <c r="H1296" i="2"/>
  <c r="L1296" i="2"/>
  <c r="P1296" i="2"/>
  <c r="T1296" i="2"/>
  <c r="X1296" i="2"/>
  <c r="H1297" i="2"/>
  <c r="L1297" i="2"/>
  <c r="P1297" i="2"/>
  <c r="T1297" i="2"/>
  <c r="X1297" i="2"/>
  <c r="H1298" i="2"/>
  <c r="L1298" i="2"/>
  <c r="P1298" i="2"/>
  <c r="T1298" i="2"/>
  <c r="X1298" i="2"/>
  <c r="H1299" i="2"/>
  <c r="L1299" i="2"/>
  <c r="P1299" i="2"/>
  <c r="T1299" i="2"/>
  <c r="X1299" i="2"/>
  <c r="H1300" i="2"/>
  <c r="L1300" i="2"/>
  <c r="P1300" i="2"/>
  <c r="T1300" i="2"/>
  <c r="X1300" i="2"/>
  <c r="H1301" i="2"/>
  <c r="L1301" i="2"/>
  <c r="P1301" i="2"/>
  <c r="T1301" i="2"/>
  <c r="X1301" i="2"/>
  <c r="H1302" i="2"/>
  <c r="L1302" i="2"/>
  <c r="P1302" i="2"/>
  <c r="T1302" i="2"/>
  <c r="X1302" i="2"/>
  <c r="H1303" i="2"/>
  <c r="L1303" i="2"/>
  <c r="P1303" i="2"/>
  <c r="T1303" i="2"/>
  <c r="X1303" i="2"/>
  <c r="H1304" i="2"/>
  <c r="L1304" i="2"/>
  <c r="P1304" i="2"/>
  <c r="T1304" i="2"/>
  <c r="X1304" i="2"/>
  <c r="H1305" i="2"/>
  <c r="L1305" i="2"/>
  <c r="P1305" i="2"/>
  <c r="T1305" i="2"/>
  <c r="X1305" i="2"/>
  <c r="H1306" i="2"/>
  <c r="L1306" i="2"/>
  <c r="P1306" i="2"/>
  <c r="T1306" i="2"/>
  <c r="X1306" i="2"/>
  <c r="H1307" i="2"/>
  <c r="L1307" i="2"/>
  <c r="P1307" i="2"/>
  <c r="T1307" i="2"/>
  <c r="X1307" i="2"/>
  <c r="H1308" i="2"/>
  <c r="L1308" i="2"/>
  <c r="P1308" i="2"/>
  <c r="T1308" i="2"/>
  <c r="X1308" i="2"/>
  <c r="H1309" i="2"/>
  <c r="L1309" i="2"/>
  <c r="P1309" i="2"/>
  <c r="T1309" i="2"/>
  <c r="X1309" i="2"/>
  <c r="H1310" i="2"/>
  <c r="L1310" i="2"/>
  <c r="P1310" i="2"/>
  <c r="T1310" i="2"/>
  <c r="X1310" i="2"/>
  <c r="H1311" i="2"/>
  <c r="L1311" i="2"/>
  <c r="P1311" i="2"/>
  <c r="T1311" i="2"/>
  <c r="X1311" i="2"/>
  <c r="H1312" i="2"/>
  <c r="L1312" i="2"/>
  <c r="P1312" i="2"/>
  <c r="T1312" i="2"/>
  <c r="X1312" i="2"/>
  <c r="H1313" i="2"/>
  <c r="L1313" i="2"/>
  <c r="P1313" i="2"/>
  <c r="T1313" i="2"/>
  <c r="X1313" i="2"/>
  <c r="H1314" i="2"/>
  <c r="L1314" i="2"/>
  <c r="P1314" i="2"/>
  <c r="T1314" i="2"/>
  <c r="X1314" i="2"/>
  <c r="H1315" i="2"/>
  <c r="L1315" i="2"/>
  <c r="P1315" i="2"/>
  <c r="T1315" i="2"/>
  <c r="X1315" i="2"/>
  <c r="H1316" i="2"/>
  <c r="L1316" i="2"/>
  <c r="Z180" i="2"/>
  <c r="N244" i="2"/>
  <c r="AA265" i="2"/>
  <c r="N278" i="2"/>
  <c r="V289" i="2"/>
  <c r="J301" i="2"/>
  <c r="O312" i="2"/>
  <c r="Z323" i="2"/>
  <c r="K335" i="2"/>
  <c r="T341" i="2"/>
  <c r="I347" i="2"/>
  <c r="N351" i="2"/>
  <c r="S355" i="2"/>
  <c r="Y359" i="2"/>
  <c r="J364" i="2"/>
  <c r="O368" i="2"/>
  <c r="U372" i="2"/>
  <c r="Z376" i="2"/>
  <c r="K381" i="2"/>
  <c r="Q385" i="2"/>
  <c r="V389" i="2"/>
  <c r="M393" i="2"/>
  <c r="J396" i="2"/>
  <c r="Z398" i="2"/>
  <c r="W401" i="2"/>
  <c r="U404" i="2"/>
  <c r="Q407" i="2"/>
  <c r="N410" i="2"/>
  <c r="K413" i="2"/>
  <c r="AA415" i="2"/>
  <c r="Y418" i="2"/>
  <c r="V421" i="2"/>
  <c r="R424" i="2"/>
  <c r="O427" i="2"/>
  <c r="M430" i="2"/>
  <c r="I433" i="2"/>
  <c r="Z435" i="2"/>
  <c r="W438" i="2"/>
  <c r="S441" i="2"/>
  <c r="Q444" i="2"/>
  <c r="N447" i="2"/>
  <c r="J450" i="2"/>
  <c r="AA452" i="2"/>
  <c r="Y455" i="2"/>
  <c r="U458" i="2"/>
  <c r="O461" i="2"/>
  <c r="R463" i="2"/>
  <c r="U465" i="2"/>
  <c r="W467" i="2"/>
  <c r="Z469" i="2"/>
  <c r="I472" i="2"/>
  <c r="K474" i="2"/>
  <c r="N476" i="2"/>
  <c r="Q478" i="2"/>
  <c r="S480" i="2"/>
  <c r="V482" i="2"/>
  <c r="Y484" i="2"/>
  <c r="AA486" i="2"/>
  <c r="J489" i="2"/>
  <c r="M491" i="2"/>
  <c r="O493" i="2"/>
  <c r="R495" i="2"/>
  <c r="U497" i="2"/>
  <c r="W499" i="2"/>
  <c r="Z501" i="2"/>
  <c r="I504" i="2"/>
  <c r="K506" i="2"/>
  <c r="N508" i="2"/>
  <c r="Q510" i="2"/>
  <c r="S512" i="2"/>
  <c r="V514" i="2"/>
  <c r="Y516" i="2"/>
  <c r="AA518" i="2"/>
  <c r="J521" i="2"/>
  <c r="M523" i="2"/>
  <c r="O525" i="2"/>
  <c r="R527" i="2"/>
  <c r="U529" i="2"/>
  <c r="W531" i="2"/>
  <c r="Z533" i="2"/>
  <c r="I536" i="2"/>
  <c r="K538" i="2"/>
  <c r="N540" i="2"/>
  <c r="Q542" i="2"/>
  <c r="S544" i="2"/>
  <c r="M546" i="2"/>
  <c r="V547" i="2"/>
  <c r="J549" i="2"/>
  <c r="R550" i="2"/>
  <c r="AA551" i="2"/>
  <c r="O553" i="2"/>
  <c r="W554" i="2"/>
  <c r="M556" i="2"/>
  <c r="U557" i="2"/>
  <c r="I559" i="2"/>
  <c r="R560" i="2"/>
  <c r="Z561" i="2"/>
  <c r="N563" i="2"/>
  <c r="W564" i="2"/>
  <c r="K566" i="2"/>
  <c r="S567" i="2"/>
  <c r="I569" i="2"/>
  <c r="M570" i="2"/>
  <c r="N571" i="2"/>
  <c r="P572" i="2"/>
  <c r="Q573" i="2"/>
  <c r="R574" i="2"/>
  <c r="T575" i="2"/>
  <c r="R576" i="2"/>
  <c r="N577" i="2"/>
  <c r="J578" i="2"/>
  <c r="Z578" i="2"/>
  <c r="V579" i="2"/>
  <c r="R580" i="2"/>
  <c r="N581" i="2"/>
  <c r="J582" i="2"/>
  <c r="Z582" i="2"/>
  <c r="V583" i="2"/>
  <c r="R584" i="2"/>
  <c r="N585" i="2"/>
  <c r="J586" i="2"/>
  <c r="Z586" i="2"/>
  <c r="V587" i="2"/>
  <c r="R588" i="2"/>
  <c r="N589" i="2"/>
  <c r="J590" i="2"/>
  <c r="Z590" i="2"/>
  <c r="V591" i="2"/>
  <c r="R592" i="2"/>
  <c r="N593" i="2"/>
  <c r="J594" i="2"/>
  <c r="Z594" i="2"/>
  <c r="V595" i="2"/>
  <c r="R596" i="2"/>
  <c r="N597" i="2"/>
  <c r="J598" i="2"/>
  <c r="Z598" i="2"/>
  <c r="V599" i="2"/>
  <c r="R600" i="2"/>
  <c r="N601" i="2"/>
  <c r="J602" i="2"/>
  <c r="Z602" i="2"/>
  <c r="V603" i="2"/>
  <c r="R604" i="2"/>
  <c r="N605" i="2"/>
  <c r="J606" i="2"/>
  <c r="Z606" i="2"/>
  <c r="V607" i="2"/>
  <c r="R608" i="2"/>
  <c r="N609" i="2"/>
  <c r="J610" i="2"/>
  <c r="Z610" i="2"/>
  <c r="V611" i="2"/>
  <c r="R612" i="2"/>
  <c r="N613" i="2"/>
  <c r="J614" i="2"/>
  <c r="Z614" i="2"/>
  <c r="V615" i="2"/>
  <c r="R616" i="2"/>
  <c r="N617" i="2"/>
  <c r="J618" i="2"/>
  <c r="Z618" i="2"/>
  <c r="V619" i="2"/>
  <c r="R620" i="2"/>
  <c r="N621" i="2"/>
  <c r="J622" i="2"/>
  <c r="Z622" i="2"/>
  <c r="V623" i="2"/>
  <c r="R624" i="2"/>
  <c r="N625" i="2"/>
  <c r="J626" i="2"/>
  <c r="Z626" i="2"/>
  <c r="V627" i="2"/>
  <c r="R628" i="2"/>
  <c r="N629" i="2"/>
  <c r="J630" i="2"/>
  <c r="Z630" i="2"/>
  <c r="V631" i="2"/>
  <c r="R632" i="2"/>
  <c r="N633" i="2"/>
  <c r="J634" i="2"/>
  <c r="Z634" i="2"/>
  <c r="V635" i="2"/>
  <c r="R636" i="2"/>
  <c r="N637" i="2"/>
  <c r="J638" i="2"/>
  <c r="Z638" i="2"/>
  <c r="V639" i="2"/>
  <c r="R640" i="2"/>
  <c r="N641" i="2"/>
  <c r="J642" i="2"/>
  <c r="Z642" i="2"/>
  <c r="V643" i="2"/>
  <c r="R644" i="2"/>
  <c r="N645" i="2"/>
  <c r="J646" i="2"/>
  <c r="Z646" i="2"/>
  <c r="V647" i="2"/>
  <c r="R648" i="2"/>
  <c r="N649" i="2"/>
  <c r="J650" i="2"/>
  <c r="Z650" i="2"/>
  <c r="V651" i="2"/>
  <c r="R652" i="2"/>
  <c r="N653" i="2"/>
  <c r="J654" i="2"/>
  <c r="Z654" i="2"/>
  <c r="V655" i="2"/>
  <c r="R656" i="2"/>
  <c r="N657" i="2"/>
  <c r="J658" i="2"/>
  <c r="Z658" i="2"/>
  <c r="V659" i="2"/>
  <c r="R660" i="2"/>
  <c r="N661" i="2"/>
  <c r="J662" i="2"/>
  <c r="Z662" i="2"/>
  <c r="V663" i="2"/>
  <c r="R664" i="2"/>
  <c r="N665" i="2"/>
  <c r="J666" i="2"/>
  <c r="Z666" i="2"/>
  <c r="V667" i="2"/>
  <c r="R668" i="2"/>
  <c r="N669" i="2"/>
  <c r="J670" i="2"/>
  <c r="Z670" i="2"/>
  <c r="V671" i="2"/>
  <c r="R672" i="2"/>
  <c r="N673" i="2"/>
  <c r="J674" i="2"/>
  <c r="Z674" i="2"/>
  <c r="V675" i="2"/>
  <c r="R676" i="2"/>
  <c r="N677" i="2"/>
  <c r="J678" i="2"/>
  <c r="Z678" i="2"/>
  <c r="V679" i="2"/>
  <c r="R680" i="2"/>
  <c r="N681" i="2"/>
  <c r="J682" i="2"/>
  <c r="Z682" i="2"/>
  <c r="V683" i="2"/>
  <c r="R684" i="2"/>
  <c r="N685" i="2"/>
  <c r="J686" i="2"/>
  <c r="Z686" i="2"/>
  <c r="V687" i="2"/>
  <c r="R688" i="2"/>
  <c r="N689" i="2"/>
  <c r="J690" i="2"/>
  <c r="Z690" i="2"/>
  <c r="V691" i="2"/>
  <c r="R692" i="2"/>
  <c r="N693" i="2"/>
  <c r="J694" i="2"/>
  <c r="Z694" i="2"/>
  <c r="V695" i="2"/>
  <c r="R696" i="2"/>
  <c r="N697" i="2"/>
  <c r="J698" i="2"/>
  <c r="Z698" i="2"/>
  <c r="V699" i="2"/>
  <c r="R700" i="2"/>
  <c r="N701" i="2"/>
  <c r="J702" i="2"/>
  <c r="Z702" i="2"/>
  <c r="V703" i="2"/>
  <c r="R704" i="2"/>
  <c r="N705" i="2"/>
  <c r="J706" i="2"/>
  <c r="Z706" i="2"/>
  <c r="V707" i="2"/>
  <c r="R708" i="2"/>
  <c r="N709" i="2"/>
  <c r="J710" i="2"/>
  <c r="Z710" i="2"/>
  <c r="V711" i="2"/>
  <c r="R712" i="2"/>
  <c r="N713" i="2"/>
  <c r="J714" i="2"/>
  <c r="Z714" i="2"/>
  <c r="V715" i="2"/>
  <c r="R716" i="2"/>
  <c r="N717" i="2"/>
  <c r="J718" i="2"/>
  <c r="Z718" i="2"/>
  <c r="V719" i="2"/>
  <c r="R720" i="2"/>
  <c r="N721" i="2"/>
  <c r="J722" i="2"/>
  <c r="Z722" i="2"/>
  <c r="V723" i="2"/>
  <c r="R724" i="2"/>
  <c r="N725" i="2"/>
  <c r="J726" i="2"/>
  <c r="Z726" i="2"/>
  <c r="V727" i="2"/>
  <c r="R728" i="2"/>
  <c r="N729" i="2"/>
  <c r="J730" i="2"/>
  <c r="Z730" i="2"/>
  <c r="V731" i="2"/>
  <c r="R732" i="2"/>
  <c r="N733" i="2"/>
  <c r="J734" i="2"/>
  <c r="Z734" i="2"/>
  <c r="V735" i="2"/>
  <c r="R736" i="2"/>
  <c r="N737" i="2"/>
  <c r="J738" i="2"/>
  <c r="Z738" i="2"/>
  <c r="V739" i="2"/>
  <c r="R740" i="2"/>
  <c r="N741" i="2"/>
  <c r="J742" i="2"/>
  <c r="Z742" i="2"/>
  <c r="V743" i="2"/>
  <c r="R744" i="2"/>
  <c r="N745" i="2"/>
  <c r="J746" i="2"/>
  <c r="Z746" i="2"/>
  <c r="V747" i="2"/>
  <c r="R748" i="2"/>
  <c r="N749" i="2"/>
  <c r="J750" i="2"/>
  <c r="Z750" i="2"/>
  <c r="V751" i="2"/>
  <c r="R752" i="2"/>
  <c r="N753" i="2"/>
  <c r="J754" i="2"/>
  <c r="Z754" i="2"/>
  <c r="V755" i="2"/>
  <c r="R756" i="2"/>
  <c r="N757" i="2"/>
  <c r="J758" i="2"/>
  <c r="Z758" i="2"/>
  <c r="V759" i="2"/>
  <c r="R760" i="2"/>
  <c r="N761" i="2"/>
  <c r="J762" i="2"/>
  <c r="W762" i="2"/>
  <c r="N763" i="2"/>
  <c r="Y763" i="2"/>
  <c r="O764" i="2"/>
  <c r="Z764" i="2"/>
  <c r="Q765" i="2"/>
  <c r="AA765" i="2"/>
  <c r="R766" i="2"/>
  <c r="I767" i="2"/>
  <c r="S767" i="2"/>
  <c r="J768" i="2"/>
  <c r="U768" i="2"/>
  <c r="K769" i="2"/>
  <c r="V769" i="2"/>
  <c r="M770" i="2"/>
  <c r="W770" i="2"/>
  <c r="N771" i="2"/>
  <c r="Y771" i="2"/>
  <c r="O772" i="2"/>
  <c r="Z772" i="2"/>
  <c r="Q773" i="2"/>
  <c r="AA773" i="2"/>
  <c r="R774" i="2"/>
  <c r="I775" i="2"/>
  <c r="S775" i="2"/>
  <c r="J776" i="2"/>
  <c r="U776" i="2"/>
  <c r="K777" i="2"/>
  <c r="V777" i="2"/>
  <c r="M778" i="2"/>
  <c r="W778" i="2"/>
  <c r="N779" i="2"/>
  <c r="Y779" i="2"/>
  <c r="O780" i="2"/>
  <c r="Z780" i="2"/>
  <c r="Q781" i="2"/>
  <c r="AA781" i="2"/>
  <c r="R782" i="2"/>
  <c r="I783" i="2"/>
  <c r="S783" i="2"/>
  <c r="J784" i="2"/>
  <c r="U784" i="2"/>
  <c r="K785" i="2"/>
  <c r="V785" i="2"/>
  <c r="M786" i="2"/>
  <c r="W786" i="2"/>
  <c r="N787" i="2"/>
  <c r="Y787" i="2"/>
  <c r="O788" i="2"/>
  <c r="Z788" i="2"/>
  <c r="Q789" i="2"/>
  <c r="AA789" i="2"/>
  <c r="R790" i="2"/>
  <c r="I791" i="2"/>
  <c r="S791" i="2"/>
  <c r="J792" i="2"/>
  <c r="U792" i="2"/>
  <c r="K793" i="2"/>
  <c r="V793" i="2"/>
  <c r="M794" i="2"/>
  <c r="W794" i="2"/>
  <c r="N795" i="2"/>
  <c r="Y795" i="2"/>
  <c r="O796" i="2"/>
  <c r="Z796" i="2"/>
  <c r="Q797" i="2"/>
  <c r="AA797" i="2"/>
  <c r="R798" i="2"/>
  <c r="I799" i="2"/>
  <c r="S799" i="2"/>
  <c r="J800" i="2"/>
  <c r="U800" i="2"/>
  <c r="K801" i="2"/>
  <c r="V801" i="2"/>
  <c r="M802" i="2"/>
  <c r="W802" i="2"/>
  <c r="N803" i="2"/>
  <c r="Y803" i="2"/>
  <c r="O804" i="2"/>
  <c r="Z804" i="2"/>
  <c r="Q805" i="2"/>
  <c r="AA805" i="2"/>
  <c r="R806" i="2"/>
  <c r="I807" i="2"/>
  <c r="S807" i="2"/>
  <c r="J808" i="2"/>
  <c r="U808" i="2"/>
  <c r="K809" i="2"/>
  <c r="V809" i="2"/>
  <c r="M810" i="2"/>
  <c r="W810" i="2"/>
  <c r="N811" i="2"/>
  <c r="Y811" i="2"/>
  <c r="O812" i="2"/>
  <c r="Z812" i="2"/>
  <c r="Q813" i="2"/>
  <c r="AA813" i="2"/>
  <c r="R814" i="2"/>
  <c r="I815" i="2"/>
  <c r="S815" i="2"/>
  <c r="J816" i="2"/>
  <c r="U816" i="2"/>
  <c r="K817" i="2"/>
  <c r="V817" i="2"/>
  <c r="M818" i="2"/>
  <c r="W818" i="2"/>
  <c r="N819" i="2"/>
  <c r="Y819" i="2"/>
  <c r="O820" i="2"/>
  <c r="Z820" i="2"/>
  <c r="Q821" i="2"/>
  <c r="AA821" i="2"/>
  <c r="Q822" i="2"/>
  <c r="Y822" i="2"/>
  <c r="M823" i="2"/>
  <c r="U823" i="2"/>
  <c r="I824" i="2"/>
  <c r="Q824" i="2"/>
  <c r="Y824" i="2"/>
  <c r="M825" i="2"/>
  <c r="U825" i="2"/>
  <c r="I826" i="2"/>
  <c r="Q826" i="2"/>
  <c r="Y826" i="2"/>
  <c r="M827" i="2"/>
  <c r="U827" i="2"/>
  <c r="I828" i="2"/>
  <c r="Q828" i="2"/>
  <c r="Y828" i="2"/>
  <c r="M829" i="2"/>
  <c r="U829" i="2"/>
  <c r="I830" i="2"/>
  <c r="Q830" i="2"/>
  <c r="Y830" i="2"/>
  <c r="M831" i="2"/>
  <c r="U831" i="2"/>
  <c r="I832" i="2"/>
  <c r="Q832" i="2"/>
  <c r="Y832" i="2"/>
  <c r="M833" i="2"/>
  <c r="U833" i="2"/>
  <c r="I834" i="2"/>
  <c r="Q834" i="2"/>
  <c r="Y834" i="2"/>
  <c r="M835" i="2"/>
  <c r="U835" i="2"/>
  <c r="I836" i="2"/>
  <c r="Q836" i="2"/>
  <c r="Y836" i="2"/>
  <c r="M837" i="2"/>
  <c r="U837" i="2"/>
  <c r="I838" i="2"/>
  <c r="Q838" i="2"/>
  <c r="Y838" i="2"/>
  <c r="M839" i="2"/>
  <c r="U839" i="2"/>
  <c r="I840" i="2"/>
  <c r="Q840" i="2"/>
  <c r="Y840" i="2"/>
  <c r="M841" i="2"/>
  <c r="U841" i="2"/>
  <c r="I842" i="2"/>
  <c r="Q842" i="2"/>
  <c r="Y842" i="2"/>
  <c r="M843" i="2"/>
  <c r="U843" i="2"/>
  <c r="I844" i="2"/>
  <c r="Q844" i="2"/>
  <c r="Y844" i="2"/>
  <c r="M845" i="2"/>
  <c r="U845" i="2"/>
  <c r="I846" i="2"/>
  <c r="Q846" i="2"/>
  <c r="Y846" i="2"/>
  <c r="M847" i="2"/>
  <c r="U847" i="2"/>
  <c r="I848" i="2"/>
  <c r="Q848" i="2"/>
  <c r="Y848" i="2"/>
  <c r="M849" i="2"/>
  <c r="U849" i="2"/>
  <c r="I850" i="2"/>
  <c r="Q850" i="2"/>
  <c r="Y850" i="2"/>
  <c r="M851" i="2"/>
  <c r="U851" i="2"/>
  <c r="I852" i="2"/>
  <c r="Q852" i="2"/>
  <c r="Y852" i="2"/>
  <c r="M853" i="2"/>
  <c r="U853" i="2"/>
  <c r="I854" i="2"/>
  <c r="Q854" i="2"/>
  <c r="Y854" i="2"/>
  <c r="M855" i="2"/>
  <c r="U855" i="2"/>
  <c r="I856" i="2"/>
  <c r="Q856" i="2"/>
  <c r="Y856" i="2"/>
  <c r="M857" i="2"/>
  <c r="U857" i="2"/>
  <c r="I858" i="2"/>
  <c r="Q858" i="2"/>
  <c r="Y858" i="2"/>
  <c r="M859" i="2"/>
  <c r="U859" i="2"/>
  <c r="I860" i="2"/>
  <c r="Q860" i="2"/>
  <c r="Y860" i="2"/>
  <c r="M861" i="2"/>
  <c r="U861" i="2"/>
  <c r="I862" i="2"/>
  <c r="Q862" i="2"/>
  <c r="Y862" i="2"/>
  <c r="M863" i="2"/>
  <c r="U863" i="2"/>
  <c r="I864" i="2"/>
  <c r="Q864" i="2"/>
  <c r="Y864" i="2"/>
  <c r="M865" i="2"/>
  <c r="U865" i="2"/>
  <c r="I866" i="2"/>
  <c r="Q866" i="2"/>
  <c r="Y866" i="2"/>
  <c r="M867" i="2"/>
  <c r="U867" i="2"/>
  <c r="I868" i="2"/>
  <c r="Q868" i="2"/>
  <c r="Y868" i="2"/>
  <c r="M869" i="2"/>
  <c r="U869" i="2"/>
  <c r="I870" i="2"/>
  <c r="Q870" i="2"/>
  <c r="Y870" i="2"/>
  <c r="M871" i="2"/>
  <c r="U871" i="2"/>
  <c r="I872" i="2"/>
  <c r="Q872" i="2"/>
  <c r="Y872" i="2"/>
  <c r="M873" i="2"/>
  <c r="U873" i="2"/>
  <c r="I874" i="2"/>
  <c r="Q874" i="2"/>
  <c r="Y874" i="2"/>
  <c r="M875" i="2"/>
  <c r="U875" i="2"/>
  <c r="I876" i="2"/>
  <c r="Q876" i="2"/>
  <c r="Y876" i="2"/>
  <c r="M877" i="2"/>
  <c r="U877" i="2"/>
  <c r="I878" i="2"/>
  <c r="Q878" i="2"/>
  <c r="Y878" i="2"/>
  <c r="M879" i="2"/>
  <c r="U879" i="2"/>
  <c r="I880" i="2"/>
  <c r="Q880" i="2"/>
  <c r="Y880" i="2"/>
  <c r="M881" i="2"/>
  <c r="U881" i="2"/>
  <c r="I882" i="2"/>
  <c r="Q882" i="2"/>
  <c r="Y882" i="2"/>
  <c r="M883" i="2"/>
  <c r="U883" i="2"/>
  <c r="I884" i="2"/>
  <c r="Q884" i="2"/>
  <c r="Y884" i="2"/>
  <c r="M885" i="2"/>
  <c r="U885" i="2"/>
  <c r="H886" i="2"/>
  <c r="M886" i="2"/>
  <c r="R886" i="2"/>
  <c r="X886" i="2"/>
  <c r="I887" i="2"/>
  <c r="N887" i="2"/>
  <c r="T887" i="2"/>
  <c r="Y887" i="2"/>
  <c r="J888" i="2"/>
  <c r="P888" i="2"/>
  <c r="U888" i="2"/>
  <c r="Z888" i="2"/>
  <c r="L889" i="2"/>
  <c r="Q889" i="2"/>
  <c r="V889" i="2"/>
  <c r="H890" i="2"/>
  <c r="M890" i="2"/>
  <c r="R890" i="2"/>
  <c r="X890" i="2"/>
  <c r="I891" i="2"/>
  <c r="N891" i="2"/>
  <c r="T891" i="2"/>
  <c r="Y891" i="2"/>
  <c r="J892" i="2"/>
  <c r="P892" i="2"/>
  <c r="U892" i="2"/>
  <c r="Z892" i="2"/>
  <c r="L893" i="2"/>
  <c r="Q893" i="2"/>
  <c r="V893" i="2"/>
  <c r="H894" i="2"/>
  <c r="M894" i="2"/>
  <c r="R894" i="2"/>
  <c r="X894" i="2"/>
  <c r="I895" i="2"/>
  <c r="N895" i="2"/>
  <c r="T895" i="2"/>
  <c r="Y895" i="2"/>
  <c r="J896" i="2"/>
  <c r="P896" i="2"/>
  <c r="U896" i="2"/>
  <c r="Z896" i="2"/>
  <c r="L897" i="2"/>
  <c r="Q897" i="2"/>
  <c r="V897" i="2"/>
  <c r="H898" i="2"/>
  <c r="M898" i="2"/>
  <c r="R898" i="2"/>
  <c r="X898" i="2"/>
  <c r="I899" i="2"/>
  <c r="N899" i="2"/>
  <c r="T899" i="2"/>
  <c r="Y899" i="2"/>
  <c r="J900" i="2"/>
  <c r="P900" i="2"/>
  <c r="U900" i="2"/>
  <c r="Z900" i="2"/>
  <c r="L901" i="2"/>
  <c r="Q901" i="2"/>
  <c r="V901" i="2"/>
  <c r="H902" i="2"/>
  <c r="M902" i="2"/>
  <c r="R902" i="2"/>
  <c r="X902" i="2"/>
  <c r="I903" i="2"/>
  <c r="N903" i="2"/>
  <c r="T903" i="2"/>
  <c r="Y903" i="2"/>
  <c r="J904" i="2"/>
  <c r="P904" i="2"/>
  <c r="U904" i="2"/>
  <c r="Z904" i="2"/>
  <c r="L905" i="2"/>
  <c r="Q905" i="2"/>
  <c r="V905" i="2"/>
  <c r="H906" i="2"/>
  <c r="M906" i="2"/>
  <c r="R906" i="2"/>
  <c r="X906" i="2"/>
  <c r="I907" i="2"/>
  <c r="N907" i="2"/>
  <c r="T907" i="2"/>
  <c r="Y907" i="2"/>
  <c r="J908" i="2"/>
  <c r="P908" i="2"/>
  <c r="U908" i="2"/>
  <c r="Z908" i="2"/>
  <c r="L909" i="2"/>
  <c r="Q909" i="2"/>
  <c r="V909" i="2"/>
  <c r="H910" i="2"/>
  <c r="M910" i="2"/>
  <c r="R910" i="2"/>
  <c r="X910" i="2"/>
  <c r="I911" i="2"/>
  <c r="N911" i="2"/>
  <c r="T911" i="2"/>
  <c r="Y911" i="2"/>
  <c r="J912" i="2"/>
  <c r="P912" i="2"/>
  <c r="U912" i="2"/>
  <c r="Z912" i="2"/>
  <c r="L913" i="2"/>
  <c r="Q913" i="2"/>
  <c r="V913" i="2"/>
  <c r="AA913" i="2"/>
  <c r="K914" i="2"/>
  <c r="O914" i="2"/>
  <c r="S914" i="2"/>
  <c r="W914" i="2"/>
  <c r="AA914" i="2"/>
  <c r="K915" i="2"/>
  <c r="O915" i="2"/>
  <c r="S915" i="2"/>
  <c r="W915" i="2"/>
  <c r="AA915" i="2"/>
  <c r="K916" i="2"/>
  <c r="O916" i="2"/>
  <c r="S916" i="2"/>
  <c r="W916" i="2"/>
  <c r="AA916" i="2"/>
  <c r="K917" i="2"/>
  <c r="O917" i="2"/>
  <c r="S917" i="2"/>
  <c r="W917" i="2"/>
  <c r="AA917" i="2"/>
  <c r="K918" i="2"/>
  <c r="O918" i="2"/>
  <c r="S918" i="2"/>
  <c r="W918" i="2"/>
  <c r="AA918" i="2"/>
  <c r="K919" i="2"/>
  <c r="O919" i="2"/>
  <c r="S919" i="2"/>
  <c r="W919" i="2"/>
  <c r="AA919" i="2"/>
  <c r="K920" i="2"/>
  <c r="O920" i="2"/>
  <c r="S920" i="2"/>
  <c r="W920" i="2"/>
  <c r="AA920" i="2"/>
  <c r="K921" i="2"/>
  <c r="O921" i="2"/>
  <c r="S921" i="2"/>
  <c r="W921" i="2"/>
  <c r="AA921" i="2"/>
  <c r="K922" i="2"/>
  <c r="O922" i="2"/>
  <c r="S922" i="2"/>
  <c r="W922" i="2"/>
  <c r="AA922" i="2"/>
  <c r="K923" i="2"/>
  <c r="O923" i="2"/>
  <c r="S923" i="2"/>
  <c r="W923" i="2"/>
  <c r="AA923" i="2"/>
  <c r="K924" i="2"/>
  <c r="O924" i="2"/>
  <c r="S924" i="2"/>
  <c r="W924" i="2"/>
  <c r="AA924" i="2"/>
  <c r="K925" i="2"/>
  <c r="O925" i="2"/>
  <c r="S925" i="2"/>
  <c r="W925" i="2"/>
  <c r="AA925" i="2"/>
  <c r="K926" i="2"/>
  <c r="O926" i="2"/>
  <c r="S926" i="2"/>
  <c r="W926" i="2"/>
  <c r="AA926" i="2"/>
  <c r="K927" i="2"/>
  <c r="O927" i="2"/>
  <c r="S927" i="2"/>
  <c r="W927" i="2"/>
  <c r="AA927" i="2"/>
  <c r="K928" i="2"/>
  <c r="O928" i="2"/>
  <c r="S928" i="2"/>
  <c r="W928" i="2"/>
  <c r="AA928" i="2"/>
  <c r="K929" i="2"/>
  <c r="O929" i="2"/>
  <c r="S929" i="2"/>
  <c r="W929" i="2"/>
  <c r="AA929" i="2"/>
  <c r="K930" i="2"/>
  <c r="O930" i="2"/>
  <c r="S930" i="2"/>
  <c r="W930" i="2"/>
  <c r="AA930" i="2"/>
  <c r="K931" i="2"/>
  <c r="O931" i="2"/>
  <c r="S931" i="2"/>
  <c r="W931" i="2"/>
  <c r="AA931" i="2"/>
  <c r="K932" i="2"/>
  <c r="O932" i="2"/>
  <c r="S932" i="2"/>
  <c r="W932" i="2"/>
  <c r="AA932" i="2"/>
  <c r="K933" i="2"/>
  <c r="O933" i="2"/>
  <c r="S933" i="2"/>
  <c r="W933" i="2"/>
  <c r="AA933" i="2"/>
  <c r="K934" i="2"/>
  <c r="O934" i="2"/>
  <c r="S934" i="2"/>
  <c r="W934" i="2"/>
  <c r="AA934" i="2"/>
  <c r="K935" i="2"/>
  <c r="O935" i="2"/>
  <c r="S935" i="2"/>
  <c r="W935" i="2"/>
  <c r="AA935" i="2"/>
  <c r="K936" i="2"/>
  <c r="O936" i="2"/>
  <c r="S936" i="2"/>
  <c r="W936" i="2"/>
  <c r="AA936" i="2"/>
  <c r="K937" i="2"/>
  <c r="O937" i="2"/>
  <c r="S937" i="2"/>
  <c r="W937" i="2"/>
  <c r="AA937" i="2"/>
  <c r="K938" i="2"/>
  <c r="O938" i="2"/>
  <c r="S938" i="2"/>
  <c r="W938" i="2"/>
  <c r="AA938" i="2"/>
  <c r="K939" i="2"/>
  <c r="O939" i="2"/>
  <c r="S939" i="2"/>
  <c r="W939" i="2"/>
  <c r="AA939" i="2"/>
  <c r="K940" i="2"/>
  <c r="O940" i="2"/>
  <c r="S940" i="2"/>
  <c r="W940" i="2"/>
  <c r="AA940" i="2"/>
  <c r="K941" i="2"/>
  <c r="O941" i="2"/>
  <c r="S941" i="2"/>
  <c r="W941" i="2"/>
  <c r="AA941" i="2"/>
  <c r="K942" i="2"/>
  <c r="O942" i="2"/>
  <c r="S942" i="2"/>
  <c r="W942" i="2"/>
  <c r="AA942" i="2"/>
  <c r="K943" i="2"/>
  <c r="O943" i="2"/>
  <c r="S943" i="2"/>
  <c r="W943" i="2"/>
  <c r="AA943" i="2"/>
  <c r="K944" i="2"/>
  <c r="O944" i="2"/>
  <c r="S944" i="2"/>
  <c r="W944" i="2"/>
  <c r="AA944" i="2"/>
  <c r="K945" i="2"/>
  <c r="O945" i="2"/>
  <c r="S945" i="2"/>
  <c r="W945" i="2"/>
  <c r="AA945" i="2"/>
  <c r="K946" i="2"/>
  <c r="O946" i="2"/>
  <c r="S946" i="2"/>
  <c r="W946" i="2"/>
  <c r="AA946" i="2"/>
  <c r="K947" i="2"/>
  <c r="O947" i="2"/>
  <c r="S947" i="2"/>
  <c r="W947" i="2"/>
  <c r="AA947" i="2"/>
  <c r="K948" i="2"/>
  <c r="O948" i="2"/>
  <c r="S948" i="2"/>
  <c r="W948" i="2"/>
  <c r="AA948" i="2"/>
  <c r="K949" i="2"/>
  <c r="O949" i="2"/>
  <c r="S949" i="2"/>
  <c r="W949" i="2"/>
  <c r="AA949" i="2"/>
  <c r="K950" i="2"/>
  <c r="O950" i="2"/>
  <c r="S950" i="2"/>
  <c r="W950" i="2"/>
  <c r="AA950" i="2"/>
  <c r="K951" i="2"/>
  <c r="O951" i="2"/>
  <c r="S951" i="2"/>
  <c r="W951" i="2"/>
  <c r="AA951" i="2"/>
  <c r="K952" i="2"/>
  <c r="O952" i="2"/>
  <c r="S952" i="2"/>
  <c r="W952" i="2"/>
  <c r="AA952" i="2"/>
  <c r="K953" i="2"/>
  <c r="O953" i="2"/>
  <c r="S953" i="2"/>
  <c r="W953" i="2"/>
  <c r="AA953" i="2"/>
  <c r="K954" i="2"/>
  <c r="O954" i="2"/>
  <c r="S954" i="2"/>
  <c r="W954" i="2"/>
  <c r="AA954" i="2"/>
  <c r="K955" i="2"/>
  <c r="O955" i="2"/>
  <c r="S955" i="2"/>
  <c r="W955" i="2"/>
  <c r="AA955" i="2"/>
  <c r="K956" i="2"/>
  <c r="O956" i="2"/>
  <c r="S956" i="2"/>
  <c r="W956" i="2"/>
  <c r="AA956" i="2"/>
  <c r="K957" i="2"/>
  <c r="O957" i="2"/>
  <c r="S957" i="2"/>
  <c r="W957" i="2"/>
  <c r="AA957" i="2"/>
  <c r="K958" i="2"/>
  <c r="O958" i="2"/>
  <c r="S958" i="2"/>
  <c r="W958" i="2"/>
  <c r="AA958" i="2"/>
  <c r="K959" i="2"/>
  <c r="O959" i="2"/>
  <c r="S959" i="2"/>
  <c r="W959" i="2"/>
  <c r="AA959" i="2"/>
  <c r="K960" i="2"/>
  <c r="O960" i="2"/>
  <c r="S960" i="2"/>
  <c r="W960" i="2"/>
  <c r="AA960" i="2"/>
  <c r="K961" i="2"/>
  <c r="O961" i="2"/>
  <c r="S961" i="2"/>
  <c r="W961" i="2"/>
  <c r="AA961" i="2"/>
  <c r="K962" i="2"/>
  <c r="O962" i="2"/>
  <c r="S962" i="2"/>
  <c r="W962" i="2"/>
  <c r="AA962" i="2"/>
  <c r="K963" i="2"/>
  <c r="O963" i="2"/>
  <c r="S963" i="2"/>
  <c r="W963" i="2"/>
  <c r="AA963" i="2"/>
  <c r="K964" i="2"/>
  <c r="O964" i="2"/>
  <c r="S964" i="2"/>
  <c r="W964" i="2"/>
  <c r="AA964" i="2"/>
  <c r="K965" i="2"/>
  <c r="O965" i="2"/>
  <c r="S965" i="2"/>
  <c r="W965" i="2"/>
  <c r="AA965" i="2"/>
  <c r="K966" i="2"/>
  <c r="O966" i="2"/>
  <c r="S966" i="2"/>
  <c r="W966" i="2"/>
  <c r="AA966" i="2"/>
  <c r="K967" i="2"/>
  <c r="O967" i="2"/>
  <c r="S967" i="2"/>
  <c r="W967" i="2"/>
  <c r="AA967" i="2"/>
  <c r="K968" i="2"/>
  <c r="O968" i="2"/>
  <c r="S968" i="2"/>
  <c r="W968" i="2"/>
  <c r="AA968" i="2"/>
  <c r="K969" i="2"/>
  <c r="O969" i="2"/>
  <c r="S969" i="2"/>
  <c r="W969" i="2"/>
  <c r="AA969" i="2"/>
  <c r="K970" i="2"/>
  <c r="O970" i="2"/>
  <c r="S970" i="2"/>
  <c r="W970" i="2"/>
  <c r="AA970" i="2"/>
  <c r="K971" i="2"/>
  <c r="O971" i="2"/>
  <c r="S971" i="2"/>
  <c r="W971" i="2"/>
  <c r="AA971" i="2"/>
  <c r="K972" i="2"/>
  <c r="O972" i="2"/>
  <c r="S972" i="2"/>
  <c r="W972" i="2"/>
  <c r="AA972" i="2"/>
  <c r="K973" i="2"/>
  <c r="O973" i="2"/>
  <c r="S973" i="2"/>
  <c r="W973" i="2"/>
  <c r="AA973" i="2"/>
  <c r="K974" i="2"/>
  <c r="O974" i="2"/>
  <c r="S974" i="2"/>
  <c r="W974" i="2"/>
  <c r="AA974" i="2"/>
  <c r="K975" i="2"/>
  <c r="O975" i="2"/>
  <c r="S975" i="2"/>
  <c r="W975" i="2"/>
  <c r="AA975" i="2"/>
  <c r="K976" i="2"/>
  <c r="O976" i="2"/>
  <c r="S976" i="2"/>
  <c r="W976" i="2"/>
  <c r="AA976" i="2"/>
  <c r="K977" i="2"/>
  <c r="O977" i="2"/>
  <c r="S977" i="2"/>
  <c r="W977" i="2"/>
  <c r="AA977" i="2"/>
  <c r="K978" i="2"/>
  <c r="O978" i="2"/>
  <c r="S978" i="2"/>
  <c r="W978" i="2"/>
  <c r="AA978" i="2"/>
  <c r="K979" i="2"/>
  <c r="O979" i="2"/>
  <c r="S979" i="2"/>
  <c r="W979" i="2"/>
  <c r="AA979" i="2"/>
  <c r="K980" i="2"/>
  <c r="O980" i="2"/>
  <c r="S980" i="2"/>
  <c r="W980" i="2"/>
  <c r="AA980" i="2"/>
  <c r="K981" i="2"/>
  <c r="O981" i="2"/>
  <c r="S981" i="2"/>
  <c r="W981" i="2"/>
  <c r="AA981" i="2"/>
  <c r="K982" i="2"/>
  <c r="O982" i="2"/>
  <c r="S982" i="2"/>
  <c r="W982" i="2"/>
  <c r="AA982" i="2"/>
  <c r="K983" i="2"/>
  <c r="O983" i="2"/>
  <c r="S983" i="2"/>
  <c r="W983" i="2"/>
  <c r="AA983" i="2"/>
  <c r="K984" i="2"/>
  <c r="O984" i="2"/>
  <c r="S984" i="2"/>
  <c r="W984" i="2"/>
  <c r="AA984" i="2"/>
  <c r="K985" i="2"/>
  <c r="O985" i="2"/>
  <c r="S985" i="2"/>
  <c r="W985" i="2"/>
  <c r="AA985" i="2"/>
  <c r="K986" i="2"/>
  <c r="O986" i="2"/>
  <c r="S986" i="2"/>
  <c r="W986" i="2"/>
  <c r="AA986" i="2"/>
  <c r="K987" i="2"/>
  <c r="O987" i="2"/>
  <c r="S987" i="2"/>
  <c r="W987" i="2"/>
  <c r="AA987" i="2"/>
  <c r="K988" i="2"/>
  <c r="O988" i="2"/>
  <c r="S988" i="2"/>
  <c r="W988" i="2"/>
  <c r="AA988" i="2"/>
  <c r="K989" i="2"/>
  <c r="O989" i="2"/>
  <c r="S989" i="2"/>
  <c r="W989" i="2"/>
  <c r="AA989" i="2"/>
  <c r="K990" i="2"/>
  <c r="O990" i="2"/>
  <c r="S990" i="2"/>
  <c r="W990" i="2"/>
  <c r="AA990" i="2"/>
  <c r="K991" i="2"/>
  <c r="O991" i="2"/>
  <c r="S991" i="2"/>
  <c r="W991" i="2"/>
  <c r="AA991" i="2"/>
  <c r="K992" i="2"/>
  <c r="O992" i="2"/>
  <c r="S992" i="2"/>
  <c r="W992" i="2"/>
  <c r="AA992" i="2"/>
  <c r="K993" i="2"/>
  <c r="O993" i="2"/>
  <c r="S993" i="2"/>
  <c r="W993" i="2"/>
  <c r="AA993" i="2"/>
  <c r="K994" i="2"/>
  <c r="O994" i="2"/>
  <c r="S994" i="2"/>
  <c r="W994" i="2"/>
  <c r="AA994" i="2"/>
  <c r="K995" i="2"/>
  <c r="O995" i="2"/>
  <c r="S995" i="2"/>
  <c r="W995" i="2"/>
  <c r="AA995" i="2"/>
  <c r="K996" i="2"/>
  <c r="O996" i="2"/>
  <c r="S996" i="2"/>
  <c r="W996" i="2"/>
  <c r="AA996" i="2"/>
  <c r="K997" i="2"/>
  <c r="O997" i="2"/>
  <c r="S997" i="2"/>
  <c r="W997" i="2"/>
  <c r="AA997" i="2"/>
  <c r="K998" i="2"/>
  <c r="O998" i="2"/>
  <c r="S998" i="2"/>
  <c r="W998" i="2"/>
  <c r="AA998" i="2"/>
  <c r="K999" i="2"/>
  <c r="O999" i="2"/>
  <c r="S999" i="2"/>
  <c r="W999" i="2"/>
  <c r="AA999" i="2"/>
  <c r="K1000" i="2"/>
  <c r="O1000" i="2"/>
  <c r="S1000" i="2"/>
  <c r="W1000" i="2"/>
  <c r="AA1000" i="2"/>
  <c r="K1001" i="2"/>
  <c r="O1001" i="2"/>
  <c r="S1001" i="2"/>
  <c r="W1001" i="2"/>
  <c r="AA1001" i="2"/>
  <c r="K1002" i="2"/>
  <c r="O1002" i="2"/>
  <c r="S1002" i="2"/>
  <c r="W1002" i="2"/>
  <c r="AA1002" i="2"/>
  <c r="K1003" i="2"/>
  <c r="O1003" i="2"/>
  <c r="S1003" i="2"/>
  <c r="W1003" i="2"/>
  <c r="AA1003" i="2"/>
  <c r="K1004" i="2"/>
  <c r="O1004" i="2"/>
  <c r="S1004" i="2"/>
  <c r="W1004" i="2"/>
  <c r="AA1004" i="2"/>
  <c r="K1005" i="2"/>
  <c r="O1005" i="2"/>
  <c r="S1005" i="2"/>
  <c r="W1005" i="2"/>
  <c r="AA1005" i="2"/>
  <c r="K1006" i="2"/>
  <c r="O1006" i="2"/>
  <c r="S1006" i="2"/>
  <c r="W1006" i="2"/>
  <c r="AA1006" i="2"/>
  <c r="K1007" i="2"/>
  <c r="O1007" i="2"/>
  <c r="S1007" i="2"/>
  <c r="W1007" i="2"/>
  <c r="AA1007" i="2"/>
  <c r="K1008" i="2"/>
  <c r="O1008" i="2"/>
  <c r="S1008" i="2"/>
  <c r="W1008" i="2"/>
  <c r="AA1008" i="2"/>
  <c r="K1009" i="2"/>
  <c r="O1009" i="2"/>
  <c r="S1009" i="2"/>
  <c r="W1009" i="2"/>
  <c r="AA1009" i="2"/>
  <c r="K1010" i="2"/>
  <c r="O1010" i="2"/>
  <c r="S1010" i="2"/>
  <c r="W1010" i="2"/>
  <c r="AA1010" i="2"/>
  <c r="K1011" i="2"/>
  <c r="O1011" i="2"/>
  <c r="S1011" i="2"/>
  <c r="W1011" i="2"/>
  <c r="AA1011" i="2"/>
  <c r="K1012" i="2"/>
  <c r="O1012" i="2"/>
  <c r="S1012" i="2"/>
  <c r="W1012" i="2"/>
  <c r="AA1012" i="2"/>
  <c r="K1013" i="2"/>
  <c r="O1013" i="2"/>
  <c r="S1013" i="2"/>
  <c r="W1013" i="2"/>
  <c r="AA1013" i="2"/>
  <c r="K1014" i="2"/>
  <c r="O1014" i="2"/>
  <c r="S1014" i="2"/>
  <c r="W1014" i="2"/>
  <c r="AA1014" i="2"/>
  <c r="K1015" i="2"/>
  <c r="O1015" i="2"/>
  <c r="S1015" i="2"/>
  <c r="W1015" i="2"/>
  <c r="AA1015" i="2"/>
  <c r="K1016" i="2"/>
  <c r="O1016" i="2"/>
  <c r="S1016" i="2"/>
  <c r="W1016" i="2"/>
  <c r="AA1016" i="2"/>
  <c r="K1017" i="2"/>
  <c r="O1017" i="2"/>
  <c r="S1017" i="2"/>
  <c r="W1017" i="2"/>
  <c r="AA1017" i="2"/>
  <c r="K1018" i="2"/>
  <c r="O1018" i="2"/>
  <c r="S1018" i="2"/>
  <c r="W1018" i="2"/>
  <c r="AA1018" i="2"/>
  <c r="K1019" i="2"/>
  <c r="O1019" i="2"/>
  <c r="S1019" i="2"/>
  <c r="W1019" i="2"/>
  <c r="AA1019" i="2"/>
  <c r="K1020" i="2"/>
  <c r="O1020" i="2"/>
  <c r="S1020" i="2"/>
  <c r="W1020" i="2"/>
  <c r="AA1020" i="2"/>
  <c r="K1021" i="2"/>
  <c r="O1021" i="2"/>
  <c r="S1021" i="2"/>
  <c r="W1021" i="2"/>
  <c r="AA1021" i="2"/>
  <c r="K1022" i="2"/>
  <c r="O1022" i="2"/>
  <c r="S1022" i="2"/>
  <c r="W1022" i="2"/>
  <c r="AA1022" i="2"/>
  <c r="K1023" i="2"/>
  <c r="O1023" i="2"/>
  <c r="S1023" i="2"/>
  <c r="W1023" i="2"/>
  <c r="AA1023" i="2"/>
  <c r="K1024" i="2"/>
  <c r="O1024" i="2"/>
  <c r="S1024" i="2"/>
  <c r="W1024" i="2"/>
  <c r="AA1024" i="2"/>
  <c r="K1025" i="2"/>
  <c r="O1025" i="2"/>
  <c r="S1025" i="2"/>
  <c r="W1025" i="2"/>
  <c r="AA1025" i="2"/>
  <c r="K1026" i="2"/>
  <c r="O1026" i="2"/>
  <c r="S1026" i="2"/>
  <c r="W1026" i="2"/>
  <c r="AA1026" i="2"/>
  <c r="K1027" i="2"/>
  <c r="O1027" i="2"/>
  <c r="S1027" i="2"/>
  <c r="W1027" i="2"/>
  <c r="AA1027" i="2"/>
  <c r="K1028" i="2"/>
  <c r="O1028" i="2"/>
  <c r="S1028" i="2"/>
  <c r="W1028" i="2"/>
  <c r="AA1028" i="2"/>
  <c r="K1029" i="2"/>
  <c r="O1029" i="2"/>
  <c r="S1029" i="2"/>
  <c r="W1029" i="2"/>
  <c r="AA1029" i="2"/>
  <c r="K1030" i="2"/>
  <c r="O1030" i="2"/>
  <c r="S1030" i="2"/>
  <c r="W1030" i="2"/>
  <c r="AA1030" i="2"/>
  <c r="K1031" i="2"/>
  <c r="O1031" i="2"/>
  <c r="S1031" i="2"/>
  <c r="W1031" i="2"/>
  <c r="AA1031" i="2"/>
  <c r="K1032" i="2"/>
  <c r="O1032" i="2"/>
  <c r="S1032" i="2"/>
  <c r="W1032" i="2"/>
  <c r="AA1032" i="2"/>
  <c r="K1033" i="2"/>
  <c r="O1033" i="2"/>
  <c r="S1033" i="2"/>
  <c r="W1033" i="2"/>
  <c r="AA1033" i="2"/>
  <c r="K1034" i="2"/>
  <c r="O1034" i="2"/>
  <c r="S1034" i="2"/>
  <c r="W1034" i="2"/>
  <c r="AA1034" i="2"/>
  <c r="K1035" i="2"/>
  <c r="O1035" i="2"/>
  <c r="S1035" i="2"/>
  <c r="W1035" i="2"/>
  <c r="AA1035" i="2"/>
  <c r="K1036" i="2"/>
  <c r="O1036" i="2"/>
  <c r="S1036" i="2"/>
  <c r="W1036" i="2"/>
  <c r="AA1036" i="2"/>
  <c r="K1037" i="2"/>
  <c r="O1037" i="2"/>
  <c r="S1037" i="2"/>
  <c r="W1037" i="2"/>
  <c r="AA1037" i="2"/>
  <c r="K1038" i="2"/>
  <c r="O1038" i="2"/>
  <c r="S1038" i="2"/>
  <c r="W1038" i="2"/>
  <c r="AA1038" i="2"/>
  <c r="K1039" i="2"/>
  <c r="O1039" i="2"/>
  <c r="S1039" i="2"/>
  <c r="W1039" i="2"/>
  <c r="AA1039" i="2"/>
  <c r="K1040" i="2"/>
  <c r="O1040" i="2"/>
  <c r="S1040" i="2"/>
  <c r="W1040" i="2"/>
  <c r="AA1040" i="2"/>
  <c r="K1041" i="2"/>
  <c r="O1041" i="2"/>
  <c r="S1041" i="2"/>
  <c r="W1041" i="2"/>
  <c r="AA1041" i="2"/>
  <c r="K1042" i="2"/>
  <c r="O1042" i="2"/>
  <c r="S1042" i="2"/>
  <c r="W1042" i="2"/>
  <c r="AA1042" i="2"/>
  <c r="K1043" i="2"/>
  <c r="O1043" i="2"/>
  <c r="S1043" i="2"/>
  <c r="W1043" i="2"/>
  <c r="AA1043" i="2"/>
  <c r="K1044" i="2"/>
  <c r="O1044" i="2"/>
  <c r="S1044" i="2"/>
  <c r="W1044" i="2"/>
  <c r="AA1044" i="2"/>
  <c r="K1045" i="2"/>
  <c r="O1045" i="2"/>
  <c r="S1045" i="2"/>
  <c r="W1045" i="2"/>
  <c r="AA1045" i="2"/>
  <c r="K1046" i="2"/>
  <c r="O1046" i="2"/>
  <c r="S1046" i="2"/>
  <c r="W1046" i="2"/>
  <c r="AA1046" i="2"/>
  <c r="K1047" i="2"/>
  <c r="O1047" i="2"/>
  <c r="S1047" i="2"/>
  <c r="W1047" i="2"/>
  <c r="AA1047" i="2"/>
  <c r="K1048" i="2"/>
  <c r="O1048" i="2"/>
  <c r="S1048" i="2"/>
  <c r="W1048" i="2"/>
  <c r="AA1048" i="2"/>
  <c r="K1049" i="2"/>
  <c r="O1049" i="2"/>
  <c r="S1049" i="2"/>
  <c r="W1049" i="2"/>
  <c r="AA1049" i="2"/>
  <c r="K1050" i="2"/>
  <c r="O1050" i="2"/>
  <c r="S1050" i="2"/>
  <c r="W1050" i="2"/>
  <c r="AA1050" i="2"/>
  <c r="K1051" i="2"/>
  <c r="O1051" i="2"/>
  <c r="S1051" i="2"/>
  <c r="W1051" i="2"/>
  <c r="AA1051" i="2"/>
  <c r="K1052" i="2"/>
  <c r="O1052" i="2"/>
  <c r="S1052" i="2"/>
  <c r="W1052" i="2"/>
  <c r="AA1052" i="2"/>
  <c r="K1053" i="2"/>
  <c r="O1053" i="2"/>
  <c r="S1053" i="2"/>
  <c r="W1053" i="2"/>
  <c r="AA1053" i="2"/>
  <c r="K1054" i="2"/>
  <c r="O1054" i="2"/>
  <c r="S1054" i="2"/>
  <c r="W1054" i="2"/>
  <c r="AA1054" i="2"/>
  <c r="K1055" i="2"/>
  <c r="O1055" i="2"/>
  <c r="S1055" i="2"/>
  <c r="W1055" i="2"/>
  <c r="AA1055" i="2"/>
  <c r="K1056" i="2"/>
  <c r="O1056" i="2"/>
  <c r="S1056" i="2"/>
  <c r="W1056" i="2"/>
  <c r="AA1056" i="2"/>
  <c r="K1057" i="2"/>
  <c r="O1057" i="2"/>
  <c r="S1057" i="2"/>
  <c r="W1057" i="2"/>
  <c r="AA1057" i="2"/>
  <c r="K1058" i="2"/>
  <c r="O1058" i="2"/>
  <c r="S1058" i="2"/>
  <c r="W1058" i="2"/>
  <c r="AA1058" i="2"/>
  <c r="K1059" i="2"/>
  <c r="O1059" i="2"/>
  <c r="S1059" i="2"/>
  <c r="W1059" i="2"/>
  <c r="AA1059" i="2"/>
  <c r="K1060" i="2"/>
  <c r="O1060" i="2"/>
  <c r="S1060" i="2"/>
  <c r="W1060" i="2"/>
  <c r="AA1060" i="2"/>
  <c r="K1061" i="2"/>
  <c r="O1061" i="2"/>
  <c r="S1061" i="2"/>
  <c r="W1061" i="2"/>
  <c r="AA1061" i="2"/>
  <c r="K1062" i="2"/>
  <c r="O1062" i="2"/>
  <c r="S1062" i="2"/>
  <c r="W1062" i="2"/>
  <c r="AA1062" i="2"/>
  <c r="K1063" i="2"/>
  <c r="O1063" i="2"/>
  <c r="S1063" i="2"/>
  <c r="W1063" i="2"/>
  <c r="AA1063" i="2"/>
  <c r="K1064" i="2"/>
  <c r="O1064" i="2"/>
  <c r="S1064" i="2"/>
  <c r="W1064" i="2"/>
  <c r="AA1064" i="2"/>
  <c r="K1065" i="2"/>
  <c r="O1065" i="2"/>
  <c r="S1065" i="2"/>
  <c r="W1065" i="2"/>
  <c r="AA1065" i="2"/>
  <c r="K1066" i="2"/>
  <c r="O1066" i="2"/>
  <c r="S1066" i="2"/>
  <c r="W1066" i="2"/>
  <c r="AA1066" i="2"/>
  <c r="K1067" i="2"/>
  <c r="O1067" i="2"/>
  <c r="S1067" i="2"/>
  <c r="W1067" i="2"/>
  <c r="AA1067" i="2"/>
  <c r="K1068" i="2"/>
  <c r="O1068" i="2"/>
  <c r="S1068" i="2"/>
  <c r="W1068" i="2"/>
  <c r="AA1068" i="2"/>
  <c r="K1069" i="2"/>
  <c r="O1069" i="2"/>
  <c r="S1069" i="2"/>
  <c r="W1069" i="2"/>
  <c r="AA1069" i="2"/>
  <c r="K1070" i="2"/>
  <c r="O1070" i="2"/>
  <c r="S1070" i="2"/>
  <c r="W1070" i="2"/>
  <c r="AA1070" i="2"/>
  <c r="K1071" i="2"/>
  <c r="O1071" i="2"/>
  <c r="S1071" i="2"/>
  <c r="W1071" i="2"/>
  <c r="AA1071" i="2"/>
  <c r="K1072" i="2"/>
  <c r="O1072" i="2"/>
  <c r="S1072" i="2"/>
  <c r="W1072" i="2"/>
  <c r="AA1072" i="2"/>
  <c r="K1073" i="2"/>
  <c r="O1073" i="2"/>
  <c r="S1073" i="2"/>
  <c r="W1073" i="2"/>
  <c r="AA1073" i="2"/>
  <c r="K1074" i="2"/>
  <c r="O1074" i="2"/>
  <c r="S1074" i="2"/>
  <c r="W1074" i="2"/>
  <c r="AA1074" i="2"/>
  <c r="K1075" i="2"/>
  <c r="O1075" i="2"/>
  <c r="S1075" i="2"/>
  <c r="W1075" i="2"/>
  <c r="AA1075" i="2"/>
  <c r="K1076" i="2"/>
  <c r="O1076" i="2"/>
  <c r="S1076" i="2"/>
  <c r="W1076" i="2"/>
  <c r="AA1076" i="2"/>
  <c r="K1077" i="2"/>
  <c r="O1077" i="2"/>
  <c r="S1077" i="2"/>
  <c r="W1077" i="2"/>
  <c r="AA1077" i="2"/>
  <c r="K1078" i="2"/>
  <c r="O1078" i="2"/>
  <c r="S1078" i="2"/>
  <c r="W1078" i="2"/>
  <c r="AA1078" i="2"/>
  <c r="K1079" i="2"/>
  <c r="O1079" i="2"/>
  <c r="S1079" i="2"/>
  <c r="W1079" i="2"/>
  <c r="AA1079" i="2"/>
  <c r="K1080" i="2"/>
  <c r="O1080" i="2"/>
  <c r="S1080" i="2"/>
  <c r="W1080" i="2"/>
  <c r="AA1080" i="2"/>
  <c r="K1081" i="2"/>
  <c r="O1081" i="2"/>
  <c r="S1081" i="2"/>
  <c r="W1081" i="2"/>
  <c r="AA1081" i="2"/>
  <c r="K1082" i="2"/>
  <c r="O1082" i="2"/>
  <c r="S1082" i="2"/>
  <c r="W1082" i="2"/>
  <c r="AA1082" i="2"/>
  <c r="K1083" i="2"/>
  <c r="O1083" i="2"/>
  <c r="S1083" i="2"/>
  <c r="W1083" i="2"/>
  <c r="AA1083" i="2"/>
  <c r="K1084" i="2"/>
  <c r="O1084" i="2"/>
  <c r="S1084" i="2"/>
  <c r="W1084" i="2"/>
  <c r="AA1084" i="2"/>
  <c r="K1085" i="2"/>
  <c r="O1085" i="2"/>
  <c r="S1085" i="2"/>
  <c r="W1085" i="2"/>
  <c r="AA1085" i="2"/>
  <c r="K1086" i="2"/>
  <c r="O1086" i="2"/>
  <c r="S1086" i="2"/>
  <c r="W1086" i="2"/>
  <c r="AA1086" i="2"/>
  <c r="K1087" i="2"/>
  <c r="O1087" i="2"/>
  <c r="S1087" i="2"/>
  <c r="W1087" i="2"/>
  <c r="AA1087" i="2"/>
  <c r="K1088" i="2"/>
  <c r="O1088" i="2"/>
  <c r="S1088" i="2"/>
  <c r="W1088" i="2"/>
  <c r="AA1088" i="2"/>
  <c r="K1089" i="2"/>
  <c r="O1089" i="2"/>
  <c r="S1089" i="2"/>
  <c r="W1089" i="2"/>
  <c r="AA1089" i="2"/>
  <c r="K1090" i="2"/>
  <c r="O1090" i="2"/>
  <c r="S1090" i="2"/>
  <c r="W1090" i="2"/>
  <c r="AA1090" i="2"/>
  <c r="K1091" i="2"/>
  <c r="O1091" i="2"/>
  <c r="S1091" i="2"/>
  <c r="W1091" i="2"/>
  <c r="AA1091" i="2"/>
  <c r="K1092" i="2"/>
  <c r="O1092" i="2"/>
  <c r="S1092" i="2"/>
  <c r="W1092" i="2"/>
  <c r="AA1092" i="2"/>
  <c r="K1093" i="2"/>
  <c r="O1093" i="2"/>
  <c r="S1093" i="2"/>
  <c r="W1093" i="2"/>
  <c r="AA1093" i="2"/>
  <c r="K1094" i="2"/>
  <c r="O1094" i="2"/>
  <c r="S1094" i="2"/>
  <c r="W1094" i="2"/>
  <c r="AA1094" i="2"/>
  <c r="K1095" i="2"/>
  <c r="O1095" i="2"/>
  <c r="S1095" i="2"/>
  <c r="W1095" i="2"/>
  <c r="AA1095" i="2"/>
  <c r="K1096" i="2"/>
  <c r="O1096" i="2"/>
  <c r="S1096" i="2"/>
  <c r="W1096" i="2"/>
  <c r="AA1096" i="2"/>
  <c r="K1097" i="2"/>
  <c r="O1097" i="2"/>
  <c r="S1097" i="2"/>
  <c r="W1097" i="2"/>
  <c r="AA1097" i="2"/>
  <c r="K1098" i="2"/>
  <c r="O1098" i="2"/>
  <c r="S1098" i="2"/>
  <c r="W1098" i="2"/>
  <c r="AA1098" i="2"/>
  <c r="K1099" i="2"/>
  <c r="O1099" i="2"/>
  <c r="S1099" i="2"/>
  <c r="W1099" i="2"/>
  <c r="AA1099" i="2"/>
  <c r="K1100" i="2"/>
  <c r="O1100" i="2"/>
  <c r="S1100" i="2"/>
  <c r="W1100" i="2"/>
  <c r="AA1100" i="2"/>
  <c r="K1101" i="2"/>
  <c r="O1101" i="2"/>
  <c r="S1101" i="2"/>
  <c r="W1101" i="2"/>
  <c r="AA1101" i="2"/>
  <c r="K1102" i="2"/>
  <c r="O1102" i="2"/>
  <c r="S1102" i="2"/>
  <c r="W1102" i="2"/>
  <c r="AA1102" i="2"/>
  <c r="K1103" i="2"/>
  <c r="O1103" i="2"/>
  <c r="S1103" i="2"/>
  <c r="W1103" i="2"/>
  <c r="AA1103" i="2"/>
  <c r="K1104" i="2"/>
  <c r="O1104" i="2"/>
  <c r="S1104" i="2"/>
  <c r="W1104" i="2"/>
  <c r="AA1104" i="2"/>
  <c r="K1105" i="2"/>
  <c r="O1105" i="2"/>
  <c r="S1105" i="2"/>
  <c r="W1105" i="2"/>
  <c r="AA1105" i="2"/>
  <c r="K1106" i="2"/>
  <c r="O1106" i="2"/>
  <c r="S1106" i="2"/>
  <c r="W1106" i="2"/>
  <c r="AA1106" i="2"/>
  <c r="K1107" i="2"/>
  <c r="O1107" i="2"/>
  <c r="S1107" i="2"/>
  <c r="W1107" i="2"/>
  <c r="AA1107" i="2"/>
  <c r="K1108" i="2"/>
  <c r="O1108" i="2"/>
  <c r="S1108" i="2"/>
  <c r="W1108" i="2"/>
  <c r="AA1108" i="2"/>
  <c r="K1109" i="2"/>
  <c r="O1109" i="2"/>
  <c r="S1109" i="2"/>
  <c r="W1109" i="2"/>
  <c r="AA1109" i="2"/>
  <c r="K1110" i="2"/>
  <c r="O1110" i="2"/>
  <c r="S1110" i="2"/>
  <c r="W1110" i="2"/>
  <c r="AA1110" i="2"/>
  <c r="K1111" i="2"/>
  <c r="O1111" i="2"/>
  <c r="S1111" i="2"/>
  <c r="W1111" i="2"/>
  <c r="AA1111" i="2"/>
  <c r="K1112" i="2"/>
  <c r="O1112" i="2"/>
  <c r="S1112" i="2"/>
  <c r="W1112" i="2"/>
  <c r="AA1112" i="2"/>
  <c r="K1113" i="2"/>
  <c r="O1113" i="2"/>
  <c r="S1113" i="2"/>
  <c r="W1113" i="2"/>
  <c r="AA1113" i="2"/>
  <c r="K1114" i="2"/>
  <c r="O1114" i="2"/>
  <c r="S1114" i="2"/>
  <c r="W1114" i="2"/>
  <c r="AA1114" i="2"/>
  <c r="K1115" i="2"/>
  <c r="O1115" i="2"/>
  <c r="S1115" i="2"/>
  <c r="W1115" i="2"/>
  <c r="AA1115" i="2"/>
  <c r="K1116" i="2"/>
  <c r="O1116" i="2"/>
  <c r="S1116" i="2"/>
  <c r="W1116" i="2"/>
  <c r="AA1116" i="2"/>
  <c r="K1117" i="2"/>
  <c r="O1117" i="2"/>
  <c r="S1117" i="2"/>
  <c r="W1117" i="2"/>
  <c r="AA1117" i="2"/>
  <c r="K1118" i="2"/>
  <c r="O1118" i="2"/>
  <c r="S1118" i="2"/>
  <c r="W1118" i="2"/>
  <c r="AA1118" i="2"/>
  <c r="K1119" i="2"/>
  <c r="O1119" i="2"/>
  <c r="S1119" i="2"/>
  <c r="W1119" i="2"/>
  <c r="AA1119" i="2"/>
  <c r="K1120" i="2"/>
  <c r="O1120" i="2"/>
  <c r="S1120" i="2"/>
  <c r="W1120" i="2"/>
  <c r="AA1120" i="2"/>
  <c r="K1121" i="2"/>
  <c r="O1121" i="2"/>
  <c r="S1121" i="2"/>
  <c r="W1121" i="2"/>
  <c r="AA1121" i="2"/>
  <c r="K1122" i="2"/>
  <c r="O1122" i="2"/>
  <c r="S1122" i="2"/>
  <c r="W1122" i="2"/>
  <c r="AA1122" i="2"/>
  <c r="K1123" i="2"/>
  <c r="O1123" i="2"/>
  <c r="S1123" i="2"/>
  <c r="W1123" i="2"/>
  <c r="AA1123" i="2"/>
  <c r="K1124" i="2"/>
  <c r="O1124" i="2"/>
  <c r="S1124" i="2"/>
  <c r="W1124" i="2"/>
  <c r="AA1124" i="2"/>
  <c r="K1125" i="2"/>
  <c r="O1125" i="2"/>
  <c r="S1125" i="2"/>
  <c r="W1125" i="2"/>
  <c r="AA1125" i="2"/>
  <c r="K1126" i="2"/>
  <c r="O1126" i="2"/>
  <c r="S1126" i="2"/>
  <c r="W1126" i="2"/>
  <c r="AA1126" i="2"/>
  <c r="K1127" i="2"/>
  <c r="O1127" i="2"/>
  <c r="S1127" i="2"/>
  <c r="W1127" i="2"/>
  <c r="AA1127" i="2"/>
  <c r="K1128" i="2"/>
  <c r="O1128" i="2"/>
  <c r="S1128" i="2"/>
  <c r="W1128" i="2"/>
  <c r="AA1128" i="2"/>
  <c r="K1129" i="2"/>
  <c r="O1129" i="2"/>
  <c r="S1129" i="2"/>
  <c r="W1129" i="2"/>
  <c r="AA1129" i="2"/>
  <c r="K1130" i="2"/>
  <c r="O1130" i="2"/>
  <c r="S1130" i="2"/>
  <c r="W1130" i="2"/>
  <c r="AA1130" i="2"/>
  <c r="K1131" i="2"/>
  <c r="O1131" i="2"/>
  <c r="S1131" i="2"/>
  <c r="W1131" i="2"/>
  <c r="AA1131" i="2"/>
  <c r="K1132" i="2"/>
  <c r="O1132" i="2"/>
  <c r="S1132" i="2"/>
  <c r="W1132" i="2"/>
  <c r="AA1132" i="2"/>
  <c r="K1133" i="2"/>
  <c r="O1133" i="2"/>
  <c r="S1133" i="2"/>
  <c r="W1133" i="2"/>
  <c r="AA1133" i="2"/>
  <c r="K1134" i="2"/>
  <c r="O1134" i="2"/>
  <c r="S1134" i="2"/>
  <c r="W1134" i="2"/>
  <c r="AA1134" i="2"/>
  <c r="K1135" i="2"/>
  <c r="O1135" i="2"/>
  <c r="S1135" i="2"/>
  <c r="W1135" i="2"/>
  <c r="AA1135" i="2"/>
  <c r="K1136" i="2"/>
  <c r="O1136" i="2"/>
  <c r="S1136" i="2"/>
  <c r="W1136" i="2"/>
  <c r="AA1136" i="2"/>
  <c r="K1137" i="2"/>
  <c r="O1137" i="2"/>
  <c r="S1137" i="2"/>
  <c r="W1137" i="2"/>
  <c r="AA1137" i="2"/>
  <c r="K1138" i="2"/>
  <c r="O1138" i="2"/>
  <c r="S1138" i="2"/>
  <c r="W1138" i="2"/>
  <c r="AA1138" i="2"/>
  <c r="K1139" i="2"/>
  <c r="O1139" i="2"/>
  <c r="S1139" i="2"/>
  <c r="W1139" i="2"/>
  <c r="AA1139" i="2"/>
  <c r="K1140" i="2"/>
  <c r="O1140" i="2"/>
  <c r="S1140" i="2"/>
  <c r="W1140" i="2"/>
  <c r="AA1140" i="2"/>
  <c r="K1141" i="2"/>
  <c r="O1141" i="2"/>
  <c r="S1141" i="2"/>
  <c r="W1141" i="2"/>
  <c r="AA1141" i="2"/>
  <c r="K1142" i="2"/>
  <c r="O1142" i="2"/>
  <c r="S1142" i="2"/>
  <c r="W1142" i="2"/>
  <c r="AA1142" i="2"/>
  <c r="K1143" i="2"/>
  <c r="O1143" i="2"/>
  <c r="S1143" i="2"/>
  <c r="W1143" i="2"/>
  <c r="AA1143" i="2"/>
  <c r="K1144" i="2"/>
  <c r="O1144" i="2"/>
  <c r="S1144" i="2"/>
  <c r="W1144" i="2"/>
  <c r="AA1144" i="2"/>
  <c r="K1145" i="2"/>
  <c r="O1145" i="2"/>
  <c r="S1145" i="2"/>
  <c r="W1145" i="2"/>
  <c r="AA1145" i="2"/>
  <c r="K1146" i="2"/>
  <c r="O1146" i="2"/>
  <c r="S1146" i="2"/>
  <c r="W1146" i="2"/>
  <c r="AA1146" i="2"/>
  <c r="K1147" i="2"/>
  <c r="O1147" i="2"/>
  <c r="S1147" i="2"/>
  <c r="W1147" i="2"/>
  <c r="AA1147" i="2"/>
  <c r="K1148" i="2"/>
  <c r="O1148" i="2"/>
  <c r="S1148" i="2"/>
  <c r="W1148" i="2"/>
  <c r="AA1148" i="2"/>
  <c r="K1149" i="2"/>
  <c r="O1149" i="2"/>
  <c r="S1149" i="2"/>
  <c r="W1149" i="2"/>
  <c r="AA1149" i="2"/>
  <c r="K1150" i="2"/>
  <c r="O1150" i="2"/>
  <c r="S1150" i="2"/>
  <c r="W1150" i="2"/>
  <c r="AA1150" i="2"/>
  <c r="K1151" i="2"/>
  <c r="O1151" i="2"/>
  <c r="S1151" i="2"/>
  <c r="W1151" i="2"/>
  <c r="AA1151" i="2"/>
  <c r="K1152" i="2"/>
  <c r="O1152" i="2"/>
  <c r="S1152" i="2"/>
  <c r="W1152" i="2"/>
  <c r="AA1152" i="2"/>
  <c r="K1153" i="2"/>
  <c r="O1153" i="2"/>
  <c r="S1153" i="2"/>
  <c r="W1153" i="2"/>
  <c r="AA1153" i="2"/>
  <c r="K1154" i="2"/>
  <c r="O1154" i="2"/>
  <c r="S1154" i="2"/>
  <c r="W1154" i="2"/>
  <c r="AA1154" i="2"/>
  <c r="K1155" i="2"/>
  <c r="O1155" i="2"/>
  <c r="S1155" i="2"/>
  <c r="W1155" i="2"/>
  <c r="AA1155" i="2"/>
  <c r="K1156" i="2"/>
  <c r="O1156" i="2"/>
  <c r="S1156" i="2"/>
  <c r="W1156" i="2"/>
  <c r="AA1156" i="2"/>
  <c r="K1157" i="2"/>
  <c r="O1157" i="2"/>
  <c r="S1157" i="2"/>
  <c r="W1157" i="2"/>
  <c r="AA1157" i="2"/>
  <c r="K1158" i="2"/>
  <c r="O1158" i="2"/>
  <c r="S1158" i="2"/>
  <c r="W1158" i="2"/>
  <c r="AA1158" i="2"/>
  <c r="K1159" i="2"/>
  <c r="O1159" i="2"/>
  <c r="S1159" i="2"/>
  <c r="W1159" i="2"/>
  <c r="AA1159" i="2"/>
  <c r="K1160" i="2"/>
  <c r="O1160" i="2"/>
  <c r="S1160" i="2"/>
  <c r="W1160" i="2"/>
  <c r="AA1160" i="2"/>
  <c r="K1161" i="2"/>
  <c r="O1161" i="2"/>
  <c r="S1161" i="2"/>
  <c r="W1161" i="2"/>
  <c r="AA1161" i="2"/>
  <c r="K1162" i="2"/>
  <c r="O1162" i="2"/>
  <c r="S1162" i="2"/>
  <c r="W1162" i="2"/>
  <c r="AA1162" i="2"/>
  <c r="K1163" i="2"/>
  <c r="O1163" i="2"/>
  <c r="S1163" i="2"/>
  <c r="W1163" i="2"/>
  <c r="AA1163" i="2"/>
  <c r="K1164" i="2"/>
  <c r="O1164" i="2"/>
  <c r="S1164" i="2"/>
  <c r="W1164" i="2"/>
  <c r="AA1164" i="2"/>
  <c r="K1165" i="2"/>
  <c r="O1165" i="2"/>
  <c r="S1165" i="2"/>
  <c r="W1165" i="2"/>
  <c r="AA1165" i="2"/>
  <c r="K1166" i="2"/>
  <c r="O1166" i="2"/>
  <c r="S1166" i="2"/>
  <c r="W1166" i="2"/>
  <c r="AA1166" i="2"/>
  <c r="K1167" i="2"/>
  <c r="O1167" i="2"/>
  <c r="S1167" i="2"/>
  <c r="W1167" i="2"/>
  <c r="AA1167" i="2"/>
  <c r="K1168" i="2"/>
  <c r="O1168" i="2"/>
  <c r="S1168" i="2"/>
  <c r="W1168" i="2"/>
  <c r="AA1168" i="2"/>
  <c r="K1169" i="2"/>
  <c r="O1169" i="2"/>
  <c r="S1169" i="2"/>
  <c r="W1169" i="2"/>
  <c r="AA1169" i="2"/>
  <c r="K1170" i="2"/>
  <c r="O1170" i="2"/>
  <c r="S1170" i="2"/>
  <c r="W1170" i="2"/>
  <c r="AA1170" i="2"/>
  <c r="K1171" i="2"/>
  <c r="O1171" i="2"/>
  <c r="S1171" i="2"/>
  <c r="W1171" i="2"/>
  <c r="AA1171" i="2"/>
  <c r="K1172" i="2"/>
  <c r="O1172" i="2"/>
  <c r="S1172" i="2"/>
  <c r="W1172" i="2"/>
  <c r="AA1172" i="2"/>
  <c r="K1173" i="2"/>
  <c r="O1173" i="2"/>
  <c r="S1173" i="2"/>
  <c r="W1173" i="2"/>
  <c r="AA1173" i="2"/>
  <c r="K1174" i="2"/>
  <c r="O1174" i="2"/>
  <c r="S1174" i="2"/>
  <c r="W1174" i="2"/>
  <c r="AA1174" i="2"/>
  <c r="K1175" i="2"/>
  <c r="O1175" i="2"/>
  <c r="S1175" i="2"/>
  <c r="W1175" i="2"/>
  <c r="AA1175" i="2"/>
  <c r="K1176" i="2"/>
  <c r="O1176" i="2"/>
  <c r="S1176" i="2"/>
  <c r="W1176" i="2"/>
  <c r="AA1176" i="2"/>
  <c r="K1177" i="2"/>
  <c r="O1177" i="2"/>
  <c r="S1177" i="2"/>
  <c r="W1177" i="2"/>
  <c r="AA1177" i="2"/>
  <c r="K1178" i="2"/>
  <c r="O1178" i="2"/>
  <c r="S1178" i="2"/>
  <c r="W1178" i="2"/>
  <c r="AA1178" i="2"/>
  <c r="K1179" i="2"/>
  <c r="O1179" i="2"/>
  <c r="S1179" i="2"/>
  <c r="W1179" i="2"/>
  <c r="AA1179" i="2"/>
  <c r="K1180" i="2"/>
  <c r="O1180" i="2"/>
  <c r="S1180" i="2"/>
  <c r="W1180" i="2"/>
  <c r="AA1180" i="2"/>
  <c r="K1181" i="2"/>
  <c r="O1181" i="2"/>
  <c r="S1181" i="2"/>
  <c r="W1181" i="2"/>
  <c r="AA1181" i="2"/>
  <c r="K1182" i="2"/>
  <c r="O1182" i="2"/>
  <c r="S1182" i="2"/>
  <c r="W1182" i="2"/>
  <c r="AA1182" i="2"/>
  <c r="K1183" i="2"/>
  <c r="O1183" i="2"/>
  <c r="S1183" i="2"/>
  <c r="W1183" i="2"/>
  <c r="AA1183" i="2"/>
  <c r="K1184" i="2"/>
  <c r="O1184" i="2"/>
  <c r="S1184" i="2"/>
  <c r="W1184" i="2"/>
  <c r="AA1184" i="2"/>
  <c r="K1185" i="2"/>
  <c r="O1185" i="2"/>
  <c r="S1185" i="2"/>
  <c r="W1185" i="2"/>
  <c r="AA1185" i="2"/>
  <c r="K1186" i="2"/>
  <c r="O1186" i="2"/>
  <c r="S1186" i="2"/>
  <c r="W1186" i="2"/>
  <c r="AA1186" i="2"/>
  <c r="K1187" i="2"/>
  <c r="O1187" i="2"/>
  <c r="S1187" i="2"/>
  <c r="W1187" i="2"/>
  <c r="AA1187" i="2"/>
  <c r="K1188" i="2"/>
  <c r="O1188" i="2"/>
  <c r="S1188" i="2"/>
  <c r="W1188" i="2"/>
  <c r="AA1188" i="2"/>
  <c r="K1189" i="2"/>
  <c r="O1189" i="2"/>
  <c r="S1189" i="2"/>
  <c r="W1189" i="2"/>
  <c r="AA1189" i="2"/>
  <c r="K1190" i="2"/>
  <c r="O1190" i="2"/>
  <c r="S1190" i="2"/>
  <c r="W1190" i="2"/>
  <c r="AA1190" i="2"/>
  <c r="K1191" i="2"/>
  <c r="O1191" i="2"/>
  <c r="S1191" i="2"/>
  <c r="W1191" i="2"/>
  <c r="AA1191" i="2"/>
  <c r="K1192" i="2"/>
  <c r="O1192" i="2"/>
  <c r="S1192" i="2"/>
  <c r="W1192" i="2"/>
  <c r="AA1192" i="2"/>
  <c r="K1193" i="2"/>
  <c r="O1193" i="2"/>
  <c r="S1193" i="2"/>
  <c r="W1193" i="2"/>
  <c r="AA1193" i="2"/>
  <c r="K1194" i="2"/>
  <c r="O1194" i="2"/>
  <c r="S1194" i="2"/>
  <c r="W1194" i="2"/>
  <c r="AA1194" i="2"/>
  <c r="K1195" i="2"/>
  <c r="O1195" i="2"/>
  <c r="S1195" i="2"/>
  <c r="W1195" i="2"/>
  <c r="AA1195" i="2"/>
  <c r="K1196" i="2"/>
  <c r="O1196" i="2"/>
  <c r="S1196" i="2"/>
  <c r="W1196" i="2"/>
  <c r="AA1196" i="2"/>
  <c r="K1197" i="2"/>
  <c r="O1197" i="2"/>
  <c r="S1197" i="2"/>
  <c r="W1197" i="2"/>
  <c r="AA1197" i="2"/>
  <c r="K1198" i="2"/>
  <c r="O1198" i="2"/>
  <c r="S1198" i="2"/>
  <c r="W1198" i="2"/>
  <c r="AA1198" i="2"/>
  <c r="K1199" i="2"/>
  <c r="O1199" i="2"/>
  <c r="S1199" i="2"/>
  <c r="W1199" i="2"/>
  <c r="AA1199" i="2"/>
  <c r="K1200" i="2"/>
  <c r="O1200" i="2"/>
  <c r="S1200" i="2"/>
  <c r="W1200" i="2"/>
  <c r="AA1200" i="2"/>
  <c r="K1201" i="2"/>
  <c r="O1201" i="2"/>
  <c r="S1201" i="2"/>
  <c r="W1201" i="2"/>
  <c r="AA1201" i="2"/>
  <c r="K1202" i="2"/>
  <c r="O1202" i="2"/>
  <c r="S1202" i="2"/>
  <c r="W1202" i="2"/>
  <c r="AA1202" i="2"/>
  <c r="K1203" i="2"/>
  <c r="O1203" i="2"/>
  <c r="S1203" i="2"/>
  <c r="W1203" i="2"/>
  <c r="AA1203" i="2"/>
  <c r="K1204" i="2"/>
  <c r="O1204" i="2"/>
  <c r="S1204" i="2"/>
  <c r="W1204" i="2"/>
  <c r="AA1204" i="2"/>
  <c r="K1205" i="2"/>
  <c r="O1205" i="2"/>
  <c r="S1205" i="2"/>
  <c r="W1205" i="2"/>
  <c r="AA1205" i="2"/>
  <c r="K1206" i="2"/>
  <c r="O1206" i="2"/>
  <c r="S1206" i="2"/>
  <c r="W1206" i="2"/>
  <c r="AA1206" i="2"/>
  <c r="K1207" i="2"/>
  <c r="O1207" i="2"/>
  <c r="S1207" i="2"/>
  <c r="W1207" i="2"/>
  <c r="AA1207" i="2"/>
  <c r="K1208" i="2"/>
  <c r="O1208" i="2"/>
  <c r="S1208" i="2"/>
  <c r="W1208" i="2"/>
  <c r="AA1208" i="2"/>
  <c r="K1209" i="2"/>
  <c r="O1209" i="2"/>
  <c r="S1209" i="2"/>
  <c r="W1209" i="2"/>
  <c r="AA1209" i="2"/>
  <c r="K1210" i="2"/>
  <c r="O1210" i="2"/>
  <c r="S1210" i="2"/>
  <c r="W1210" i="2"/>
  <c r="AA1210" i="2"/>
  <c r="K1211" i="2"/>
  <c r="O1211" i="2"/>
  <c r="S1211" i="2"/>
  <c r="W1211" i="2"/>
  <c r="AA1211" i="2"/>
  <c r="K1212" i="2"/>
  <c r="O1212" i="2"/>
  <c r="S1212" i="2"/>
  <c r="W1212" i="2"/>
  <c r="AA1212" i="2"/>
  <c r="K1213" i="2"/>
  <c r="O1213" i="2"/>
  <c r="S1213" i="2"/>
  <c r="W1213" i="2"/>
  <c r="AA1213" i="2"/>
  <c r="K1214" i="2"/>
  <c r="O1214" i="2"/>
  <c r="S1214" i="2"/>
  <c r="W1214" i="2"/>
  <c r="AA1214" i="2"/>
  <c r="K1215" i="2"/>
  <c r="O1215" i="2"/>
  <c r="S1215" i="2"/>
  <c r="W1215" i="2"/>
  <c r="AA1215" i="2"/>
  <c r="K1216" i="2"/>
  <c r="O1216" i="2"/>
  <c r="S1216" i="2"/>
  <c r="W1216" i="2"/>
  <c r="AA1216" i="2"/>
  <c r="K1217" i="2"/>
  <c r="O1217" i="2"/>
  <c r="S1217" i="2"/>
  <c r="W1217" i="2"/>
  <c r="AA1217" i="2"/>
  <c r="K1218" i="2"/>
  <c r="O1218" i="2"/>
  <c r="S1218" i="2"/>
  <c r="W1218" i="2"/>
  <c r="AA1218" i="2"/>
  <c r="K1219" i="2"/>
  <c r="O1219" i="2"/>
  <c r="S1219" i="2"/>
  <c r="W1219" i="2"/>
  <c r="AA1219" i="2"/>
  <c r="K1220" i="2"/>
  <c r="O1220" i="2"/>
  <c r="S1220" i="2"/>
  <c r="W1220" i="2"/>
  <c r="AA1220" i="2"/>
  <c r="K1221" i="2"/>
  <c r="O1221" i="2"/>
  <c r="S1221" i="2"/>
  <c r="W1221" i="2"/>
  <c r="H141" i="2"/>
  <c r="N257" i="2"/>
  <c r="AA283" i="2"/>
  <c r="W306" i="2"/>
  <c r="R329" i="2"/>
  <c r="R344" i="2"/>
  <c r="Q353" i="2"/>
  <c r="AA361" i="2"/>
  <c r="R370" i="2"/>
  <c r="I379" i="2"/>
  <c r="S387" i="2"/>
  <c r="U394" i="2"/>
  <c r="O400" i="2"/>
  <c r="I406" i="2"/>
  <c r="V411" i="2"/>
  <c r="Q417" i="2"/>
  <c r="J423" i="2"/>
  <c r="W428" i="2"/>
  <c r="R434" i="2"/>
  <c r="K440" i="2"/>
  <c r="Y445" i="2"/>
  <c r="S451" i="2"/>
  <c r="M457" i="2"/>
  <c r="Q462" i="2"/>
  <c r="V466" i="2"/>
  <c r="AA470" i="2"/>
  <c r="M475" i="2"/>
  <c r="R479" i="2"/>
  <c r="W483" i="2"/>
  <c r="I488" i="2"/>
  <c r="N492" i="2"/>
  <c r="S496" i="2"/>
  <c r="Y500" i="2"/>
  <c r="J505" i="2"/>
  <c r="O509" i="2"/>
  <c r="U513" i="2"/>
  <c r="Z517" i="2"/>
  <c r="K522" i="2"/>
  <c r="Q526" i="2"/>
  <c r="V530" i="2"/>
  <c r="AA534" i="2"/>
  <c r="M539" i="2"/>
  <c r="R543" i="2"/>
  <c r="AA546" i="2"/>
  <c r="Y549" i="2"/>
  <c r="U552" i="2"/>
  <c r="R555" i="2"/>
  <c r="O558" i="2"/>
  <c r="K561" i="2"/>
  <c r="I564" i="2"/>
  <c r="Z566" i="2"/>
  <c r="V569" i="2"/>
  <c r="Y571" i="2"/>
  <c r="H574" i="2"/>
  <c r="J576" i="2"/>
  <c r="V577" i="2"/>
  <c r="N579" i="2"/>
  <c r="Z580" i="2"/>
  <c r="R582" i="2"/>
  <c r="J584" i="2"/>
  <c r="V585" i="2"/>
  <c r="N587" i="2"/>
  <c r="Z588" i="2"/>
  <c r="R590" i="2"/>
  <c r="J592" i="2"/>
  <c r="V593" i="2"/>
  <c r="N595" i="2"/>
  <c r="Z596" i="2"/>
  <c r="R598" i="2"/>
  <c r="J600" i="2"/>
  <c r="V601" i="2"/>
  <c r="N603" i="2"/>
  <c r="Z604" i="2"/>
  <c r="R606" i="2"/>
  <c r="J608" i="2"/>
  <c r="V609" i="2"/>
  <c r="N611" i="2"/>
  <c r="Z612" i="2"/>
  <c r="R614" i="2"/>
  <c r="J616" i="2"/>
  <c r="V617" i="2"/>
  <c r="N619" i="2"/>
  <c r="Z620" i="2"/>
  <c r="R622" i="2"/>
  <c r="J624" i="2"/>
  <c r="V625" i="2"/>
  <c r="N627" i="2"/>
  <c r="Z628" i="2"/>
  <c r="R630" i="2"/>
  <c r="J632" i="2"/>
  <c r="V633" i="2"/>
  <c r="N635" i="2"/>
  <c r="Z636" i="2"/>
  <c r="R638" i="2"/>
  <c r="J640" i="2"/>
  <c r="V641" i="2"/>
  <c r="N643" i="2"/>
  <c r="Z644" i="2"/>
  <c r="R646" i="2"/>
  <c r="J648" i="2"/>
  <c r="V649" i="2"/>
  <c r="N651" i="2"/>
  <c r="Z652" i="2"/>
  <c r="R654" i="2"/>
  <c r="J656" i="2"/>
  <c r="V657" i="2"/>
  <c r="N659" i="2"/>
  <c r="Z660" i="2"/>
  <c r="R662" i="2"/>
  <c r="J664" i="2"/>
  <c r="V665" i="2"/>
  <c r="N667" i="2"/>
  <c r="Z668" i="2"/>
  <c r="R670" i="2"/>
  <c r="J672" i="2"/>
  <c r="V673" i="2"/>
  <c r="N675" i="2"/>
  <c r="Z676" i="2"/>
  <c r="R678" i="2"/>
  <c r="J680" i="2"/>
  <c r="V681" i="2"/>
  <c r="N683" i="2"/>
  <c r="Z684" i="2"/>
  <c r="R686" i="2"/>
  <c r="J688" i="2"/>
  <c r="V689" i="2"/>
  <c r="N691" i="2"/>
  <c r="Z692" i="2"/>
  <c r="R694" i="2"/>
  <c r="J696" i="2"/>
  <c r="V697" i="2"/>
  <c r="N699" i="2"/>
  <c r="Z700" i="2"/>
  <c r="R702" i="2"/>
  <c r="J704" i="2"/>
  <c r="V705" i="2"/>
  <c r="N707" i="2"/>
  <c r="Z708" i="2"/>
  <c r="R710" i="2"/>
  <c r="J712" i="2"/>
  <c r="V713" i="2"/>
  <c r="N715" i="2"/>
  <c r="Z716" i="2"/>
  <c r="R718" i="2"/>
  <c r="J720" i="2"/>
  <c r="V721" i="2"/>
  <c r="N723" i="2"/>
  <c r="Z724" i="2"/>
  <c r="R726" i="2"/>
  <c r="J728" i="2"/>
  <c r="V729" i="2"/>
  <c r="N731" i="2"/>
  <c r="Z732" i="2"/>
  <c r="R734" i="2"/>
  <c r="J736" i="2"/>
  <c r="V737" i="2"/>
  <c r="N739" i="2"/>
  <c r="Z740" i="2"/>
  <c r="R742" i="2"/>
  <c r="J744" i="2"/>
  <c r="V745" i="2"/>
  <c r="N747" i="2"/>
  <c r="Z748" i="2"/>
  <c r="R750" i="2"/>
  <c r="J752" i="2"/>
  <c r="V753" i="2"/>
  <c r="N755" i="2"/>
  <c r="Z756" i="2"/>
  <c r="R758" i="2"/>
  <c r="J760" i="2"/>
  <c r="V761" i="2"/>
  <c r="I763" i="2"/>
  <c r="J764" i="2"/>
  <c r="K765" i="2"/>
  <c r="M766" i="2"/>
  <c r="N767" i="2"/>
  <c r="O768" i="2"/>
  <c r="Q769" i="2"/>
  <c r="R770" i="2"/>
  <c r="S771" i="2"/>
  <c r="U772" i="2"/>
  <c r="V773" i="2"/>
  <c r="W774" i="2"/>
  <c r="Y775" i="2"/>
  <c r="Z776" i="2"/>
  <c r="AA777" i="2"/>
  <c r="I779" i="2"/>
  <c r="J780" i="2"/>
  <c r="K781" i="2"/>
  <c r="M782" i="2"/>
  <c r="N783" i="2"/>
  <c r="O784" i="2"/>
  <c r="Q785" i="2"/>
  <c r="R786" i="2"/>
  <c r="S787" i="2"/>
  <c r="U788" i="2"/>
  <c r="V789" i="2"/>
  <c r="W790" i="2"/>
  <c r="Y791" i="2"/>
  <c r="Z792" i="2"/>
  <c r="AA793" i="2"/>
  <c r="I795" i="2"/>
  <c r="J796" i="2"/>
  <c r="K797" i="2"/>
  <c r="M798" i="2"/>
  <c r="N799" i="2"/>
  <c r="O800" i="2"/>
  <c r="Q801" i="2"/>
  <c r="R802" i="2"/>
  <c r="S803" i="2"/>
  <c r="U804" i="2"/>
  <c r="V805" i="2"/>
  <c r="W806" i="2"/>
  <c r="Y807" i="2"/>
  <c r="Z808" i="2"/>
  <c r="AA809" i="2"/>
  <c r="I811" i="2"/>
  <c r="J812" i="2"/>
  <c r="K813" i="2"/>
  <c r="M814" i="2"/>
  <c r="N815" i="2"/>
  <c r="O816" i="2"/>
  <c r="Q817" i="2"/>
  <c r="R818" i="2"/>
  <c r="S819" i="2"/>
  <c r="U820" i="2"/>
  <c r="V821" i="2"/>
  <c r="U822" i="2"/>
  <c r="Q823" i="2"/>
  <c r="M824" i="2"/>
  <c r="I825" i="2"/>
  <c r="Y825" i="2"/>
  <c r="U826" i="2"/>
  <c r="Q827" i="2"/>
  <c r="M828" i="2"/>
  <c r="I829" i="2"/>
  <c r="Y829" i="2"/>
  <c r="U830" i="2"/>
  <c r="Q831" i="2"/>
  <c r="M832" i="2"/>
  <c r="I833" i="2"/>
  <c r="Y833" i="2"/>
  <c r="U834" i="2"/>
  <c r="Q835" i="2"/>
  <c r="M836" i="2"/>
  <c r="I837" i="2"/>
  <c r="Y837" i="2"/>
  <c r="U838" i="2"/>
  <c r="Q839" i="2"/>
  <c r="M840" i="2"/>
  <c r="I841" i="2"/>
  <c r="Y841" i="2"/>
  <c r="U842" i="2"/>
  <c r="Q843" i="2"/>
  <c r="M844" i="2"/>
  <c r="I845" i="2"/>
  <c r="Y845" i="2"/>
  <c r="U846" i="2"/>
  <c r="Q847" i="2"/>
  <c r="M848" i="2"/>
  <c r="I849" i="2"/>
  <c r="Y849" i="2"/>
  <c r="U850" i="2"/>
  <c r="Q851" i="2"/>
  <c r="M852" i="2"/>
  <c r="I853" i="2"/>
  <c r="Y853" i="2"/>
  <c r="U854" i="2"/>
  <c r="Q855" i="2"/>
  <c r="M856" i="2"/>
  <c r="I857" i="2"/>
  <c r="Y857" i="2"/>
  <c r="U858" i="2"/>
  <c r="Q859" i="2"/>
  <c r="M860" i="2"/>
  <c r="I861" i="2"/>
  <c r="Y861" i="2"/>
  <c r="U862" i="2"/>
  <c r="Q863" i="2"/>
  <c r="M864" i="2"/>
  <c r="I865" i="2"/>
  <c r="Y865" i="2"/>
  <c r="U866" i="2"/>
  <c r="Q867" i="2"/>
  <c r="M868" i="2"/>
  <c r="I869" i="2"/>
  <c r="Y869" i="2"/>
  <c r="U870" i="2"/>
  <c r="Q871" i="2"/>
  <c r="M872" i="2"/>
  <c r="I873" i="2"/>
  <c r="Y873" i="2"/>
  <c r="U874" i="2"/>
  <c r="Q875" i="2"/>
  <c r="M876" i="2"/>
  <c r="I877" i="2"/>
  <c r="Y877" i="2"/>
  <c r="U878" i="2"/>
  <c r="Q879" i="2"/>
  <c r="M880" i="2"/>
  <c r="I881" i="2"/>
  <c r="Y881" i="2"/>
  <c r="U882" i="2"/>
  <c r="Q883" i="2"/>
  <c r="M884" i="2"/>
  <c r="I885" i="2"/>
  <c r="Y885" i="2"/>
  <c r="P886" i="2"/>
  <c r="Z886" i="2"/>
  <c r="Q887" i="2"/>
  <c r="H888" i="2"/>
  <c r="R888" i="2"/>
  <c r="I889" i="2"/>
  <c r="T889" i="2"/>
  <c r="J890" i="2"/>
  <c r="U890" i="2"/>
  <c r="L891" i="2"/>
  <c r="V891" i="2"/>
  <c r="M892" i="2"/>
  <c r="X892" i="2"/>
  <c r="N893" i="2"/>
  <c r="Y893" i="2"/>
  <c r="P894" i="2"/>
  <c r="Z894" i="2"/>
  <c r="Q895" i="2"/>
  <c r="H896" i="2"/>
  <c r="R896" i="2"/>
  <c r="I897" i="2"/>
  <c r="T897" i="2"/>
  <c r="J898" i="2"/>
  <c r="U898" i="2"/>
  <c r="L899" i="2"/>
  <c r="V899" i="2"/>
  <c r="M900" i="2"/>
  <c r="X900" i="2"/>
  <c r="N901" i="2"/>
  <c r="Y901" i="2"/>
  <c r="P902" i="2"/>
  <c r="Z902" i="2"/>
  <c r="Q903" i="2"/>
  <c r="H904" i="2"/>
  <c r="R904" i="2"/>
  <c r="I905" i="2"/>
  <c r="T905" i="2"/>
  <c r="J906" i="2"/>
  <c r="U906" i="2"/>
  <c r="L907" i="2"/>
  <c r="V907" i="2"/>
  <c r="M908" i="2"/>
  <c r="X908" i="2"/>
  <c r="N909" i="2"/>
  <c r="Y909" i="2"/>
  <c r="P910" i="2"/>
  <c r="Z910" i="2"/>
  <c r="Q911" i="2"/>
  <c r="H912" i="2"/>
  <c r="R912" i="2"/>
  <c r="I913" i="2"/>
  <c r="T913" i="2"/>
  <c r="I914" i="2"/>
  <c r="Q914" i="2"/>
  <c r="Y914" i="2"/>
  <c r="M915" i="2"/>
  <c r="U915" i="2"/>
  <c r="I916" i="2"/>
  <c r="Q916" i="2"/>
  <c r="Y916" i="2"/>
  <c r="M917" i="2"/>
  <c r="U917" i="2"/>
  <c r="I918" i="2"/>
  <c r="Q918" i="2"/>
  <c r="Y918" i="2"/>
  <c r="M919" i="2"/>
  <c r="U919" i="2"/>
  <c r="I920" i="2"/>
  <c r="Q920" i="2"/>
  <c r="Y920" i="2"/>
  <c r="M921" i="2"/>
  <c r="U921" i="2"/>
  <c r="I922" i="2"/>
  <c r="Q922" i="2"/>
  <c r="Y922" i="2"/>
  <c r="M923" i="2"/>
  <c r="U923" i="2"/>
  <c r="I924" i="2"/>
  <c r="Q924" i="2"/>
  <c r="Y924" i="2"/>
  <c r="M925" i="2"/>
  <c r="U925" i="2"/>
  <c r="I926" i="2"/>
  <c r="Q926" i="2"/>
  <c r="Y926" i="2"/>
  <c r="M927" i="2"/>
  <c r="U927" i="2"/>
  <c r="I928" i="2"/>
  <c r="Q928" i="2"/>
  <c r="Y928" i="2"/>
  <c r="M929" i="2"/>
  <c r="U929" i="2"/>
  <c r="I930" i="2"/>
  <c r="Q930" i="2"/>
  <c r="Y930" i="2"/>
  <c r="M931" i="2"/>
  <c r="U931" i="2"/>
  <c r="I932" i="2"/>
  <c r="Q932" i="2"/>
  <c r="Y932" i="2"/>
  <c r="M933" i="2"/>
  <c r="U933" i="2"/>
  <c r="I934" i="2"/>
  <c r="Q934" i="2"/>
  <c r="Y934" i="2"/>
  <c r="M935" i="2"/>
  <c r="U935" i="2"/>
  <c r="I936" i="2"/>
  <c r="Q936" i="2"/>
  <c r="Y936" i="2"/>
  <c r="M937" i="2"/>
  <c r="U937" i="2"/>
  <c r="I938" i="2"/>
  <c r="Q938" i="2"/>
  <c r="Y938" i="2"/>
  <c r="M939" i="2"/>
  <c r="U939" i="2"/>
  <c r="I940" i="2"/>
  <c r="Q940" i="2"/>
  <c r="Y940" i="2"/>
  <c r="M941" i="2"/>
  <c r="U941" i="2"/>
  <c r="I942" i="2"/>
  <c r="Q942" i="2"/>
  <c r="Y942" i="2"/>
  <c r="M943" i="2"/>
  <c r="U943" i="2"/>
  <c r="I944" i="2"/>
  <c r="Q944" i="2"/>
  <c r="Y944" i="2"/>
  <c r="M945" i="2"/>
  <c r="U945" i="2"/>
  <c r="I946" i="2"/>
  <c r="Q946" i="2"/>
  <c r="Y946" i="2"/>
  <c r="M947" i="2"/>
  <c r="U947" i="2"/>
  <c r="I948" i="2"/>
  <c r="Q948" i="2"/>
  <c r="Y948" i="2"/>
  <c r="M949" i="2"/>
  <c r="U949" i="2"/>
  <c r="I950" i="2"/>
  <c r="Q950" i="2"/>
  <c r="Y950" i="2"/>
  <c r="M951" i="2"/>
  <c r="U951" i="2"/>
  <c r="I952" i="2"/>
  <c r="Q952" i="2"/>
  <c r="Y952" i="2"/>
  <c r="M953" i="2"/>
  <c r="U953" i="2"/>
  <c r="I954" i="2"/>
  <c r="Q954" i="2"/>
  <c r="Y954" i="2"/>
  <c r="M955" i="2"/>
  <c r="U955" i="2"/>
  <c r="I956" i="2"/>
  <c r="Q956" i="2"/>
  <c r="Y956" i="2"/>
  <c r="M957" i="2"/>
  <c r="U957" i="2"/>
  <c r="I958" i="2"/>
  <c r="Q958" i="2"/>
  <c r="Y958" i="2"/>
  <c r="M959" i="2"/>
  <c r="U959" i="2"/>
  <c r="I960" i="2"/>
  <c r="Q960" i="2"/>
  <c r="Y960" i="2"/>
  <c r="M961" i="2"/>
  <c r="U961" i="2"/>
  <c r="I962" i="2"/>
  <c r="Q962" i="2"/>
  <c r="Y962" i="2"/>
  <c r="M963" i="2"/>
  <c r="U963" i="2"/>
  <c r="I964" i="2"/>
  <c r="Q964" i="2"/>
  <c r="Y964" i="2"/>
  <c r="M965" i="2"/>
  <c r="U965" i="2"/>
  <c r="I966" i="2"/>
  <c r="Q966" i="2"/>
  <c r="Y966" i="2"/>
  <c r="M967" i="2"/>
  <c r="U967" i="2"/>
  <c r="I968" i="2"/>
  <c r="Q968" i="2"/>
  <c r="Y968" i="2"/>
  <c r="M969" i="2"/>
  <c r="U969" i="2"/>
  <c r="I970" i="2"/>
  <c r="Q970" i="2"/>
  <c r="Y970" i="2"/>
  <c r="M971" i="2"/>
  <c r="U971" i="2"/>
  <c r="I972" i="2"/>
  <c r="Q972" i="2"/>
  <c r="Y972" i="2"/>
  <c r="M973" i="2"/>
  <c r="U973" i="2"/>
  <c r="I974" i="2"/>
  <c r="Q974" i="2"/>
  <c r="Y974" i="2"/>
  <c r="M975" i="2"/>
  <c r="U975" i="2"/>
  <c r="I976" i="2"/>
  <c r="Q976" i="2"/>
  <c r="Y976" i="2"/>
  <c r="M977" i="2"/>
  <c r="U977" i="2"/>
  <c r="I978" i="2"/>
  <c r="Q978" i="2"/>
  <c r="Y978" i="2"/>
  <c r="M979" i="2"/>
  <c r="U979" i="2"/>
  <c r="I980" i="2"/>
  <c r="Q980" i="2"/>
  <c r="Y980" i="2"/>
  <c r="M981" i="2"/>
  <c r="U981" i="2"/>
  <c r="I982" i="2"/>
  <c r="Q982" i="2"/>
  <c r="Y982" i="2"/>
  <c r="M983" i="2"/>
  <c r="U983" i="2"/>
  <c r="I984" i="2"/>
  <c r="Q984" i="2"/>
  <c r="Y984" i="2"/>
  <c r="M985" i="2"/>
  <c r="U985" i="2"/>
  <c r="I986" i="2"/>
  <c r="Q986" i="2"/>
  <c r="Y986" i="2"/>
  <c r="M987" i="2"/>
  <c r="U987" i="2"/>
  <c r="I988" i="2"/>
  <c r="Q988" i="2"/>
  <c r="Y988" i="2"/>
  <c r="M989" i="2"/>
  <c r="U989" i="2"/>
  <c r="I990" i="2"/>
  <c r="Q990" i="2"/>
  <c r="Y990" i="2"/>
  <c r="M991" i="2"/>
  <c r="U991" i="2"/>
  <c r="I992" i="2"/>
  <c r="Q992" i="2"/>
  <c r="Y992" i="2"/>
  <c r="M993" i="2"/>
  <c r="U993" i="2"/>
  <c r="I994" i="2"/>
  <c r="Q994" i="2"/>
  <c r="Y994" i="2"/>
  <c r="M995" i="2"/>
  <c r="U995" i="2"/>
  <c r="I996" i="2"/>
  <c r="Q996" i="2"/>
  <c r="Y996" i="2"/>
  <c r="M997" i="2"/>
  <c r="U997" i="2"/>
  <c r="I998" i="2"/>
  <c r="Q998" i="2"/>
  <c r="Y998" i="2"/>
  <c r="M999" i="2"/>
  <c r="U999" i="2"/>
  <c r="I1000" i="2"/>
  <c r="Q1000" i="2"/>
  <c r="Y1000" i="2"/>
  <c r="M1001" i="2"/>
  <c r="U1001" i="2"/>
  <c r="I1002" i="2"/>
  <c r="Q1002" i="2"/>
  <c r="Y1002" i="2"/>
  <c r="M1003" i="2"/>
  <c r="U1003" i="2"/>
  <c r="I1004" i="2"/>
  <c r="Q1004" i="2"/>
  <c r="Y1004" i="2"/>
  <c r="M1005" i="2"/>
  <c r="U1005" i="2"/>
  <c r="I1006" i="2"/>
  <c r="Q1006" i="2"/>
  <c r="Y1006" i="2"/>
  <c r="M1007" i="2"/>
  <c r="U1007" i="2"/>
  <c r="I1008" i="2"/>
  <c r="Q1008" i="2"/>
  <c r="Y1008" i="2"/>
  <c r="M1009" i="2"/>
  <c r="U1009" i="2"/>
  <c r="I1010" i="2"/>
  <c r="Q1010" i="2"/>
  <c r="Y1010" i="2"/>
  <c r="M1011" i="2"/>
  <c r="U1011" i="2"/>
  <c r="I1012" i="2"/>
  <c r="Q1012" i="2"/>
  <c r="Y1012" i="2"/>
  <c r="M1013" i="2"/>
  <c r="U1013" i="2"/>
  <c r="I1014" i="2"/>
  <c r="Q1014" i="2"/>
  <c r="Y1014" i="2"/>
  <c r="M1015" i="2"/>
  <c r="U1015" i="2"/>
  <c r="I1016" i="2"/>
  <c r="Q1016" i="2"/>
  <c r="Y1016" i="2"/>
  <c r="M1017" i="2"/>
  <c r="U1017" i="2"/>
  <c r="I1018" i="2"/>
  <c r="Q1018" i="2"/>
  <c r="Y1018" i="2"/>
  <c r="M1019" i="2"/>
  <c r="U1019" i="2"/>
  <c r="I1020" i="2"/>
  <c r="Q1020" i="2"/>
  <c r="Y1020" i="2"/>
  <c r="M1021" i="2"/>
  <c r="U1021" i="2"/>
  <c r="I1022" i="2"/>
  <c r="Q1022" i="2"/>
  <c r="Y1022" i="2"/>
  <c r="M1023" i="2"/>
  <c r="U1023" i="2"/>
  <c r="I1024" i="2"/>
  <c r="Q1024" i="2"/>
  <c r="Y1024" i="2"/>
  <c r="M1025" i="2"/>
  <c r="U1025" i="2"/>
  <c r="I1026" i="2"/>
  <c r="Q1026" i="2"/>
  <c r="Y1026" i="2"/>
  <c r="M1027" i="2"/>
  <c r="U1027" i="2"/>
  <c r="I1028" i="2"/>
  <c r="Q1028" i="2"/>
  <c r="Y1028" i="2"/>
  <c r="M1029" i="2"/>
  <c r="U1029" i="2"/>
  <c r="I1030" i="2"/>
  <c r="Q1030" i="2"/>
  <c r="Y1030" i="2"/>
  <c r="M1031" i="2"/>
  <c r="U1031" i="2"/>
  <c r="I1032" i="2"/>
  <c r="Q1032" i="2"/>
  <c r="Y1032" i="2"/>
  <c r="M1033" i="2"/>
  <c r="U1033" i="2"/>
  <c r="I1034" i="2"/>
  <c r="Q1034" i="2"/>
  <c r="Y1034" i="2"/>
  <c r="M1035" i="2"/>
  <c r="U1035" i="2"/>
  <c r="I1036" i="2"/>
  <c r="Q1036" i="2"/>
  <c r="Y1036" i="2"/>
  <c r="M1037" i="2"/>
  <c r="U1037" i="2"/>
  <c r="I1038" i="2"/>
  <c r="Q1038" i="2"/>
  <c r="Y1038" i="2"/>
  <c r="M1039" i="2"/>
  <c r="U1039" i="2"/>
  <c r="I1040" i="2"/>
  <c r="Q1040" i="2"/>
  <c r="Y1040" i="2"/>
  <c r="M1041" i="2"/>
  <c r="U1041" i="2"/>
  <c r="I1042" i="2"/>
  <c r="Q1042" i="2"/>
  <c r="Y1042" i="2"/>
  <c r="M1043" i="2"/>
  <c r="U1043" i="2"/>
  <c r="I1044" i="2"/>
  <c r="Q1044" i="2"/>
  <c r="Y1044" i="2"/>
  <c r="M1045" i="2"/>
  <c r="U1045" i="2"/>
  <c r="I1046" i="2"/>
  <c r="Q1046" i="2"/>
  <c r="Y1046" i="2"/>
  <c r="M1047" i="2"/>
  <c r="U1047" i="2"/>
  <c r="I1048" i="2"/>
  <c r="Q1048" i="2"/>
  <c r="Y1048" i="2"/>
  <c r="M1049" i="2"/>
  <c r="U1049" i="2"/>
  <c r="I1050" i="2"/>
  <c r="Q1050" i="2"/>
  <c r="Y1050" i="2"/>
  <c r="M1051" i="2"/>
  <c r="U1051" i="2"/>
  <c r="I1052" i="2"/>
  <c r="Q1052" i="2"/>
  <c r="Y1052" i="2"/>
  <c r="M1053" i="2"/>
  <c r="U1053" i="2"/>
  <c r="I1054" i="2"/>
  <c r="Q1054" i="2"/>
  <c r="Y1054" i="2"/>
  <c r="M1055" i="2"/>
  <c r="U1055" i="2"/>
  <c r="I1056" i="2"/>
  <c r="Q1056" i="2"/>
  <c r="Y1056" i="2"/>
  <c r="M1057" i="2"/>
  <c r="U1057" i="2"/>
  <c r="I1058" i="2"/>
  <c r="Q1058" i="2"/>
  <c r="Y1058" i="2"/>
  <c r="M1059" i="2"/>
  <c r="U1059" i="2"/>
  <c r="I1060" i="2"/>
  <c r="Q1060" i="2"/>
  <c r="Y1060" i="2"/>
  <c r="M1061" i="2"/>
  <c r="U1061" i="2"/>
  <c r="I1062" i="2"/>
  <c r="Q1062" i="2"/>
  <c r="Y1062" i="2"/>
  <c r="M1063" i="2"/>
  <c r="U1063" i="2"/>
  <c r="I1064" i="2"/>
  <c r="Q1064" i="2"/>
  <c r="Y1064" i="2"/>
  <c r="M1065" i="2"/>
  <c r="U1065" i="2"/>
  <c r="I1066" i="2"/>
  <c r="Q1066" i="2"/>
  <c r="Y1066" i="2"/>
  <c r="M1067" i="2"/>
  <c r="U1067" i="2"/>
  <c r="I1068" i="2"/>
  <c r="Q1068" i="2"/>
  <c r="Y1068" i="2"/>
  <c r="M1069" i="2"/>
  <c r="U1069" i="2"/>
  <c r="I1070" i="2"/>
  <c r="Q1070" i="2"/>
  <c r="Y1070" i="2"/>
  <c r="M1071" i="2"/>
  <c r="U1071" i="2"/>
  <c r="I1072" i="2"/>
  <c r="Q1072" i="2"/>
  <c r="Y1072" i="2"/>
  <c r="M1073" i="2"/>
  <c r="U1073" i="2"/>
  <c r="I1074" i="2"/>
  <c r="Q1074" i="2"/>
  <c r="Y1074" i="2"/>
  <c r="M1075" i="2"/>
  <c r="U1075" i="2"/>
  <c r="I1076" i="2"/>
  <c r="Q1076" i="2"/>
  <c r="Y1076" i="2"/>
  <c r="M1077" i="2"/>
  <c r="U1077" i="2"/>
  <c r="I1078" i="2"/>
  <c r="Q1078" i="2"/>
  <c r="Y1078" i="2"/>
  <c r="M1079" i="2"/>
  <c r="U1079" i="2"/>
  <c r="I1080" i="2"/>
  <c r="Q1080" i="2"/>
  <c r="Y1080" i="2"/>
  <c r="M1081" i="2"/>
  <c r="U1081" i="2"/>
  <c r="I1082" i="2"/>
  <c r="Q1082" i="2"/>
  <c r="Y1082" i="2"/>
  <c r="M1083" i="2"/>
  <c r="U1083" i="2"/>
  <c r="I1084" i="2"/>
  <c r="Q1084" i="2"/>
  <c r="Y1084" i="2"/>
  <c r="M1085" i="2"/>
  <c r="U1085" i="2"/>
  <c r="I1086" i="2"/>
  <c r="Q1086" i="2"/>
  <c r="Y1086" i="2"/>
  <c r="M1087" i="2"/>
  <c r="U1087" i="2"/>
  <c r="I1088" i="2"/>
  <c r="Q1088" i="2"/>
  <c r="Y1088" i="2"/>
  <c r="M1089" i="2"/>
  <c r="U1089" i="2"/>
  <c r="I1090" i="2"/>
  <c r="Q1090" i="2"/>
  <c r="Y1090" i="2"/>
  <c r="M1091" i="2"/>
  <c r="U1091" i="2"/>
  <c r="I1092" i="2"/>
  <c r="Q1092" i="2"/>
  <c r="Y1092" i="2"/>
  <c r="M1093" i="2"/>
  <c r="U1093" i="2"/>
  <c r="I1094" i="2"/>
  <c r="Q1094" i="2"/>
  <c r="Y1094" i="2"/>
  <c r="M1095" i="2"/>
  <c r="U1095" i="2"/>
  <c r="I1096" i="2"/>
  <c r="Q1096" i="2"/>
  <c r="Y1096" i="2"/>
  <c r="M1097" i="2"/>
  <c r="U1097" i="2"/>
  <c r="I1098" i="2"/>
  <c r="Q1098" i="2"/>
  <c r="Y1098" i="2"/>
  <c r="M1099" i="2"/>
  <c r="U1099" i="2"/>
  <c r="I1100" i="2"/>
  <c r="Q1100" i="2"/>
  <c r="Y1100" i="2"/>
  <c r="M1101" i="2"/>
  <c r="U1101" i="2"/>
  <c r="I1102" i="2"/>
  <c r="Q1102" i="2"/>
  <c r="Y1102" i="2"/>
  <c r="M1103" i="2"/>
  <c r="U1103" i="2"/>
  <c r="I1104" i="2"/>
  <c r="Q1104" i="2"/>
  <c r="Y1104" i="2"/>
  <c r="M1105" i="2"/>
  <c r="U1105" i="2"/>
  <c r="I1106" i="2"/>
  <c r="Q1106" i="2"/>
  <c r="Y1106" i="2"/>
  <c r="M1107" i="2"/>
  <c r="U1107" i="2"/>
  <c r="I1108" i="2"/>
  <c r="Q1108" i="2"/>
  <c r="Y1108" i="2"/>
  <c r="M1109" i="2"/>
  <c r="U1109" i="2"/>
  <c r="I1110" i="2"/>
  <c r="Q1110" i="2"/>
  <c r="Y1110" i="2"/>
  <c r="M1111" i="2"/>
  <c r="U1111" i="2"/>
  <c r="I1112" i="2"/>
  <c r="Q1112" i="2"/>
  <c r="Y1112" i="2"/>
  <c r="M1113" i="2"/>
  <c r="U1113" i="2"/>
  <c r="I1114" i="2"/>
  <c r="Q1114" i="2"/>
  <c r="Y1114" i="2"/>
  <c r="M1115" i="2"/>
  <c r="U1115" i="2"/>
  <c r="I1116" i="2"/>
  <c r="Q1116" i="2"/>
  <c r="Y1116" i="2"/>
  <c r="M1117" i="2"/>
  <c r="U1117" i="2"/>
  <c r="I1118" i="2"/>
  <c r="Q1118" i="2"/>
  <c r="Y1118" i="2"/>
  <c r="M1119" i="2"/>
  <c r="U1119" i="2"/>
  <c r="I1120" i="2"/>
  <c r="Q1120" i="2"/>
  <c r="Y1120" i="2"/>
  <c r="M1121" i="2"/>
  <c r="U1121" i="2"/>
  <c r="I1122" i="2"/>
  <c r="Q1122" i="2"/>
  <c r="Y1122" i="2"/>
  <c r="M1123" i="2"/>
  <c r="U1123" i="2"/>
  <c r="I1124" i="2"/>
  <c r="Q1124" i="2"/>
  <c r="Y1124" i="2"/>
  <c r="M1125" i="2"/>
  <c r="U1125" i="2"/>
  <c r="I1126" i="2"/>
  <c r="Q1126" i="2"/>
  <c r="Y1126" i="2"/>
  <c r="M1127" i="2"/>
  <c r="U1127" i="2"/>
  <c r="I1128" i="2"/>
  <c r="Q1128" i="2"/>
  <c r="Y1128" i="2"/>
  <c r="M1129" i="2"/>
  <c r="U1129" i="2"/>
  <c r="I1130" i="2"/>
  <c r="Q1130" i="2"/>
  <c r="Y1130" i="2"/>
  <c r="M1131" i="2"/>
  <c r="U1131" i="2"/>
  <c r="I1132" i="2"/>
  <c r="Q1132" i="2"/>
  <c r="Y1132" i="2"/>
  <c r="M1133" i="2"/>
  <c r="U1133" i="2"/>
  <c r="I1134" i="2"/>
  <c r="Q1134" i="2"/>
  <c r="Y1134" i="2"/>
  <c r="M1135" i="2"/>
  <c r="U1135" i="2"/>
  <c r="I1136" i="2"/>
  <c r="Q1136" i="2"/>
  <c r="Y1136" i="2"/>
  <c r="M1137" i="2"/>
  <c r="U1137" i="2"/>
  <c r="I1138" i="2"/>
  <c r="Q1138" i="2"/>
  <c r="Y1138" i="2"/>
  <c r="M1139" i="2"/>
  <c r="U1139" i="2"/>
  <c r="I1140" i="2"/>
  <c r="Q1140" i="2"/>
  <c r="Y1140" i="2"/>
  <c r="M1141" i="2"/>
  <c r="U1141" i="2"/>
  <c r="I1142" i="2"/>
  <c r="Q1142" i="2"/>
  <c r="Y1142" i="2"/>
  <c r="M1143" i="2"/>
  <c r="U1143" i="2"/>
  <c r="I1144" i="2"/>
  <c r="Q1144" i="2"/>
  <c r="Y1144" i="2"/>
  <c r="M1145" i="2"/>
  <c r="U1145" i="2"/>
  <c r="I1146" i="2"/>
  <c r="Q1146" i="2"/>
  <c r="Y1146" i="2"/>
  <c r="M1147" i="2"/>
  <c r="U1147" i="2"/>
  <c r="I1148" i="2"/>
  <c r="Q1148" i="2"/>
  <c r="Y1148" i="2"/>
  <c r="M1149" i="2"/>
  <c r="U1149" i="2"/>
  <c r="I1150" i="2"/>
  <c r="Q1150" i="2"/>
  <c r="Y1150" i="2"/>
  <c r="M1151" i="2"/>
  <c r="U1151" i="2"/>
  <c r="I1152" i="2"/>
  <c r="Q1152" i="2"/>
  <c r="Y1152" i="2"/>
  <c r="M1153" i="2"/>
  <c r="U1153" i="2"/>
  <c r="I1154" i="2"/>
  <c r="Q1154" i="2"/>
  <c r="Y1154" i="2"/>
  <c r="M1155" i="2"/>
  <c r="U1155" i="2"/>
  <c r="I1156" i="2"/>
  <c r="Q1156" i="2"/>
  <c r="Y1156" i="2"/>
  <c r="M1157" i="2"/>
  <c r="U1157" i="2"/>
  <c r="I1158" i="2"/>
  <c r="Q1158" i="2"/>
  <c r="Y1158" i="2"/>
  <c r="M1159" i="2"/>
  <c r="U1159" i="2"/>
  <c r="I1160" i="2"/>
  <c r="Q1160" i="2"/>
  <c r="Y1160" i="2"/>
  <c r="M1161" i="2"/>
  <c r="U1161" i="2"/>
  <c r="I1162" i="2"/>
  <c r="Q1162" i="2"/>
  <c r="Y1162" i="2"/>
  <c r="M1163" i="2"/>
  <c r="U1163" i="2"/>
  <c r="I1164" i="2"/>
  <c r="Q1164" i="2"/>
  <c r="Y1164" i="2"/>
  <c r="M1165" i="2"/>
  <c r="U1165" i="2"/>
  <c r="I1166" i="2"/>
  <c r="Q1166" i="2"/>
  <c r="Y1166" i="2"/>
  <c r="M1167" i="2"/>
  <c r="U1167" i="2"/>
  <c r="I1168" i="2"/>
  <c r="Q1168" i="2"/>
  <c r="Y1168" i="2"/>
  <c r="M1169" i="2"/>
  <c r="U1169" i="2"/>
  <c r="I1170" i="2"/>
  <c r="Q1170" i="2"/>
  <c r="Y1170" i="2"/>
  <c r="M1171" i="2"/>
  <c r="U1171" i="2"/>
  <c r="I1172" i="2"/>
  <c r="Q1172" i="2"/>
  <c r="Y1172" i="2"/>
  <c r="M1173" i="2"/>
  <c r="U1173" i="2"/>
  <c r="I1174" i="2"/>
  <c r="Q1174" i="2"/>
  <c r="Y1174" i="2"/>
  <c r="M1175" i="2"/>
  <c r="U1175" i="2"/>
  <c r="I1176" i="2"/>
  <c r="Q1176" i="2"/>
  <c r="Y1176" i="2"/>
  <c r="M1177" i="2"/>
  <c r="U1177" i="2"/>
  <c r="I1178" i="2"/>
  <c r="Q1178" i="2"/>
  <c r="Y1178" i="2"/>
  <c r="M1179" i="2"/>
  <c r="U1179" i="2"/>
  <c r="I1180" i="2"/>
  <c r="Q1180" i="2"/>
  <c r="Y1180" i="2"/>
  <c r="M1181" i="2"/>
  <c r="U1181" i="2"/>
  <c r="I1182" i="2"/>
  <c r="Q1182" i="2"/>
  <c r="Y1182" i="2"/>
  <c r="M1183" i="2"/>
  <c r="U1183" i="2"/>
  <c r="I1184" i="2"/>
  <c r="Q1184" i="2"/>
  <c r="Y1184" i="2"/>
  <c r="M1185" i="2"/>
  <c r="U1185" i="2"/>
  <c r="I1186" i="2"/>
  <c r="Q1186" i="2"/>
  <c r="Y1186" i="2"/>
  <c r="M1187" i="2"/>
  <c r="U1187" i="2"/>
  <c r="I1188" i="2"/>
  <c r="Q1188" i="2"/>
  <c r="Y1188" i="2"/>
  <c r="M1189" i="2"/>
  <c r="U1189" i="2"/>
  <c r="I1190" i="2"/>
  <c r="Q1190" i="2"/>
  <c r="Y1190" i="2"/>
  <c r="M1191" i="2"/>
  <c r="U1191" i="2"/>
  <c r="I1192" i="2"/>
  <c r="Q1192" i="2"/>
  <c r="Y1192" i="2"/>
  <c r="M1193" i="2"/>
  <c r="U1193" i="2"/>
  <c r="I1194" i="2"/>
  <c r="Q1194" i="2"/>
  <c r="Y1194" i="2"/>
  <c r="M1195" i="2"/>
  <c r="U1195" i="2"/>
  <c r="I1196" i="2"/>
  <c r="Q1196" i="2"/>
  <c r="Y1196" i="2"/>
  <c r="M1197" i="2"/>
  <c r="U1197" i="2"/>
  <c r="I1198" i="2"/>
  <c r="Q1198" i="2"/>
  <c r="Y1198" i="2"/>
  <c r="M1199" i="2"/>
  <c r="U1199" i="2"/>
  <c r="I1200" i="2"/>
  <c r="Q1200" i="2"/>
  <c r="Y1200" i="2"/>
  <c r="M1201" i="2"/>
  <c r="U1201" i="2"/>
  <c r="I1202" i="2"/>
  <c r="Q1202" i="2"/>
  <c r="Y1202" i="2"/>
  <c r="M1203" i="2"/>
  <c r="U1203" i="2"/>
  <c r="I1204" i="2"/>
  <c r="Q1204" i="2"/>
  <c r="Y1204" i="2"/>
  <c r="M1205" i="2"/>
  <c r="U1205" i="2"/>
  <c r="I1206" i="2"/>
  <c r="Q1206" i="2"/>
  <c r="Y1206" i="2"/>
  <c r="M1207" i="2"/>
  <c r="U1207" i="2"/>
  <c r="I1208" i="2"/>
  <c r="Q1208" i="2"/>
  <c r="Y1208" i="2"/>
  <c r="M1209" i="2"/>
  <c r="U1209" i="2"/>
  <c r="I1210" i="2"/>
  <c r="Q1210" i="2"/>
  <c r="Y1210" i="2"/>
  <c r="M1211" i="2"/>
  <c r="U1211" i="2"/>
  <c r="I1212" i="2"/>
  <c r="Q1212" i="2"/>
  <c r="Y1212" i="2"/>
  <c r="M1213" i="2"/>
  <c r="U1213" i="2"/>
  <c r="I1214" i="2"/>
  <c r="Q1214" i="2"/>
  <c r="Y1214" i="2"/>
  <c r="M1215" i="2"/>
  <c r="U1215" i="2"/>
  <c r="I1216" i="2"/>
  <c r="Q1216" i="2"/>
  <c r="Y1216" i="2"/>
  <c r="M1217" i="2"/>
  <c r="U1217" i="2"/>
  <c r="I1218" i="2"/>
  <c r="Q1218" i="2"/>
  <c r="Y1218" i="2"/>
  <c r="M1219" i="2"/>
  <c r="U1219" i="2"/>
  <c r="I1220" i="2"/>
  <c r="Q1220" i="2"/>
  <c r="Y1220" i="2"/>
  <c r="M1221" i="2"/>
  <c r="U1221" i="2"/>
  <c r="AA1221" i="2"/>
  <c r="M1222" i="2"/>
  <c r="R1222" i="2"/>
  <c r="W1222" i="2"/>
  <c r="I1223" i="2"/>
  <c r="N1223" i="2"/>
  <c r="S1223" i="2"/>
  <c r="Y1223" i="2"/>
  <c r="J1224" i="2"/>
  <c r="O1224" i="2"/>
  <c r="U1224" i="2"/>
  <c r="Z1224" i="2"/>
  <c r="K1225" i="2"/>
  <c r="Q1225" i="2"/>
  <c r="V1225" i="2"/>
  <c r="AA1225" i="2"/>
  <c r="M1226" i="2"/>
  <c r="R1226" i="2"/>
  <c r="W1226" i="2"/>
  <c r="I1227" i="2"/>
  <c r="N1227" i="2"/>
  <c r="S1227" i="2"/>
  <c r="Y1227" i="2"/>
  <c r="J1228" i="2"/>
  <c r="O1228" i="2"/>
  <c r="U1228" i="2"/>
  <c r="Z1228" i="2"/>
  <c r="K1229" i="2"/>
  <c r="Q1229" i="2"/>
  <c r="V1229" i="2"/>
  <c r="AA1229" i="2"/>
  <c r="M1230" i="2"/>
  <c r="R1230" i="2"/>
  <c r="W1230" i="2"/>
  <c r="I1231" i="2"/>
  <c r="N1231" i="2"/>
  <c r="S1231" i="2"/>
  <c r="Y1231" i="2"/>
  <c r="J1232" i="2"/>
  <c r="O1232" i="2"/>
  <c r="U1232" i="2"/>
  <c r="Z1232" i="2"/>
  <c r="K1233" i="2"/>
  <c r="Q1233" i="2"/>
  <c r="V1233" i="2"/>
  <c r="AA1233" i="2"/>
  <c r="M1234" i="2"/>
  <c r="R1234" i="2"/>
  <c r="W1234" i="2"/>
  <c r="I1235" i="2"/>
  <c r="N1235" i="2"/>
  <c r="S1235" i="2"/>
  <c r="Y1235" i="2"/>
  <c r="J1236" i="2"/>
  <c r="O1236" i="2"/>
  <c r="U1236" i="2"/>
  <c r="Z1236" i="2"/>
  <c r="K1237" i="2"/>
  <c r="Q1237" i="2"/>
  <c r="V1237" i="2"/>
  <c r="AA1237" i="2"/>
  <c r="M1238" i="2"/>
  <c r="R1238" i="2"/>
  <c r="W1238" i="2"/>
  <c r="I1239" i="2"/>
  <c r="N1239" i="2"/>
  <c r="S1239" i="2"/>
  <c r="Y1239" i="2"/>
  <c r="J1240" i="2"/>
  <c r="O1240" i="2"/>
  <c r="U1240" i="2"/>
  <c r="Z1240" i="2"/>
  <c r="K1241" i="2"/>
  <c r="Q1241" i="2"/>
  <c r="V1241" i="2"/>
  <c r="AA1241" i="2"/>
  <c r="M1242" i="2"/>
  <c r="R1242" i="2"/>
  <c r="W1242" i="2"/>
  <c r="I1243" i="2"/>
  <c r="N1243" i="2"/>
  <c r="S1243" i="2"/>
  <c r="Y1243" i="2"/>
  <c r="J1244" i="2"/>
  <c r="O1244" i="2"/>
  <c r="U1244" i="2"/>
  <c r="Z1244" i="2"/>
  <c r="K1245" i="2"/>
  <c r="Q1245" i="2"/>
  <c r="V1245" i="2"/>
  <c r="AA1245" i="2"/>
  <c r="M1246" i="2"/>
  <c r="R1246" i="2"/>
  <c r="W1246" i="2"/>
  <c r="I1247" i="2"/>
  <c r="N1247" i="2"/>
  <c r="S1247" i="2"/>
  <c r="Y1247" i="2"/>
  <c r="J1248" i="2"/>
  <c r="O1248" i="2"/>
  <c r="U1248" i="2"/>
  <c r="Z1248" i="2"/>
  <c r="K1249" i="2"/>
  <c r="Q1249" i="2"/>
  <c r="V1249" i="2"/>
  <c r="AA1249" i="2"/>
  <c r="M1250" i="2"/>
  <c r="R1250" i="2"/>
  <c r="W1250" i="2"/>
  <c r="I1251" i="2"/>
  <c r="N1251" i="2"/>
  <c r="S1251" i="2"/>
  <c r="Y1251" i="2"/>
  <c r="J1252" i="2"/>
  <c r="O1252" i="2"/>
  <c r="U1252" i="2"/>
  <c r="Z1252" i="2"/>
  <c r="K1253" i="2"/>
  <c r="Q1253" i="2"/>
  <c r="V1253" i="2"/>
  <c r="AA1253" i="2"/>
  <c r="M1254" i="2"/>
  <c r="R1254" i="2"/>
  <c r="W1254" i="2"/>
  <c r="I1255" i="2"/>
  <c r="N1255" i="2"/>
  <c r="S1255" i="2"/>
  <c r="Y1255" i="2"/>
  <c r="J1256" i="2"/>
  <c r="O1256" i="2"/>
  <c r="U1256" i="2"/>
  <c r="Z1256" i="2"/>
  <c r="K1257" i="2"/>
  <c r="Q1257" i="2"/>
  <c r="V1257" i="2"/>
  <c r="AA1257" i="2"/>
  <c r="M1258" i="2"/>
  <c r="R1258" i="2"/>
  <c r="W1258" i="2"/>
  <c r="I1259" i="2"/>
  <c r="N1259" i="2"/>
  <c r="S1259" i="2"/>
  <c r="Y1259" i="2"/>
  <c r="J1260" i="2"/>
  <c r="O1260" i="2"/>
  <c r="U1260" i="2"/>
  <c r="Z1260" i="2"/>
  <c r="K1261" i="2"/>
  <c r="Q1261" i="2"/>
  <c r="V1261" i="2"/>
  <c r="AA1261" i="2"/>
  <c r="M1262" i="2"/>
  <c r="R1262" i="2"/>
  <c r="W1262" i="2"/>
  <c r="I1263" i="2"/>
  <c r="N1263" i="2"/>
  <c r="S1263" i="2"/>
  <c r="Y1263" i="2"/>
  <c r="J1264" i="2"/>
  <c r="O1264" i="2"/>
  <c r="U1264" i="2"/>
  <c r="Z1264" i="2"/>
  <c r="K1265" i="2"/>
  <c r="Q1265" i="2"/>
  <c r="V1265" i="2"/>
  <c r="AA1265" i="2"/>
  <c r="M1266" i="2"/>
  <c r="R1266" i="2"/>
  <c r="W1266" i="2"/>
  <c r="I1267" i="2"/>
  <c r="N1267" i="2"/>
  <c r="S1267" i="2"/>
  <c r="Y1267" i="2"/>
  <c r="J1268" i="2"/>
  <c r="O1268" i="2"/>
  <c r="U1268" i="2"/>
  <c r="Z1268" i="2"/>
  <c r="K1269" i="2"/>
  <c r="Q1269" i="2"/>
  <c r="V1269" i="2"/>
  <c r="AA1269" i="2"/>
  <c r="M1270" i="2"/>
  <c r="R1270" i="2"/>
  <c r="W1270" i="2"/>
  <c r="I1271" i="2"/>
  <c r="N1271" i="2"/>
  <c r="S1271" i="2"/>
  <c r="Y1271" i="2"/>
  <c r="J1272" i="2"/>
  <c r="O1272" i="2"/>
  <c r="U1272" i="2"/>
  <c r="Z1272" i="2"/>
  <c r="K1273" i="2"/>
  <c r="Q1273" i="2"/>
  <c r="V1273" i="2"/>
  <c r="AA1273" i="2"/>
  <c r="M1274" i="2"/>
  <c r="R1274" i="2"/>
  <c r="W1274" i="2"/>
  <c r="I1275" i="2"/>
  <c r="N1275" i="2"/>
  <c r="S1275" i="2"/>
  <c r="Y1275" i="2"/>
  <c r="J1276" i="2"/>
  <c r="O1276" i="2"/>
  <c r="U1276" i="2"/>
  <c r="Z1276" i="2"/>
  <c r="K1277" i="2"/>
  <c r="Q1277" i="2"/>
  <c r="V1277" i="2"/>
  <c r="AA1277" i="2"/>
  <c r="M1278" i="2"/>
  <c r="R1278" i="2"/>
  <c r="W1278" i="2"/>
  <c r="I1279" i="2"/>
  <c r="N1279" i="2"/>
  <c r="S1279" i="2"/>
  <c r="Y1279" i="2"/>
  <c r="J1280" i="2"/>
  <c r="O1280" i="2"/>
  <c r="U1280" i="2"/>
  <c r="Z1280" i="2"/>
  <c r="K1281" i="2"/>
  <c r="Q1281" i="2"/>
  <c r="V1281" i="2"/>
  <c r="AA1281" i="2"/>
  <c r="M1282" i="2"/>
  <c r="R1282" i="2"/>
  <c r="W1282" i="2"/>
  <c r="I1283" i="2"/>
  <c r="N1283" i="2"/>
  <c r="S1283" i="2"/>
  <c r="Y1283" i="2"/>
  <c r="J1284" i="2"/>
  <c r="O1284" i="2"/>
  <c r="U1284" i="2"/>
  <c r="Z1284" i="2"/>
  <c r="K1285" i="2"/>
  <c r="Q1285" i="2"/>
  <c r="V1285" i="2"/>
  <c r="AA1285" i="2"/>
  <c r="M1286" i="2"/>
  <c r="R1286" i="2"/>
  <c r="W1286" i="2"/>
  <c r="I1287" i="2"/>
  <c r="N1287" i="2"/>
  <c r="S1287" i="2"/>
  <c r="Y1287" i="2"/>
  <c r="J1288" i="2"/>
  <c r="O1288" i="2"/>
  <c r="U1288" i="2"/>
  <c r="Z1288" i="2"/>
  <c r="K1289" i="2"/>
  <c r="Q1289" i="2"/>
  <c r="V1289" i="2"/>
  <c r="AA1289" i="2"/>
  <c r="M1290" i="2"/>
  <c r="R1290" i="2"/>
  <c r="W1290" i="2"/>
  <c r="I1291" i="2"/>
  <c r="N1291" i="2"/>
  <c r="S1291" i="2"/>
  <c r="Y1291" i="2"/>
  <c r="J1292" i="2"/>
  <c r="O1292" i="2"/>
  <c r="U1292" i="2"/>
  <c r="Z1292" i="2"/>
  <c r="K1293" i="2"/>
  <c r="Q1293" i="2"/>
  <c r="V1293" i="2"/>
  <c r="AA1293" i="2"/>
  <c r="M1294" i="2"/>
  <c r="R1294" i="2"/>
  <c r="W1294" i="2"/>
  <c r="I1295" i="2"/>
  <c r="N1295" i="2"/>
  <c r="S1295" i="2"/>
  <c r="Y1295" i="2"/>
  <c r="J1296" i="2"/>
  <c r="O1296" i="2"/>
  <c r="U1296" i="2"/>
  <c r="Z1296" i="2"/>
  <c r="K1297" i="2"/>
  <c r="Q1297" i="2"/>
  <c r="V1297" i="2"/>
  <c r="AA1297" i="2"/>
  <c r="M1298" i="2"/>
  <c r="R1298" i="2"/>
  <c r="W1298" i="2"/>
  <c r="I1299" i="2"/>
  <c r="N1299" i="2"/>
  <c r="S1299" i="2"/>
  <c r="Y1299" i="2"/>
  <c r="J1300" i="2"/>
  <c r="O1300" i="2"/>
  <c r="U1300" i="2"/>
  <c r="Z1300" i="2"/>
  <c r="K1301" i="2"/>
  <c r="Q1301" i="2"/>
  <c r="V1301" i="2"/>
  <c r="AA1301" i="2"/>
  <c r="M1302" i="2"/>
  <c r="R1302" i="2"/>
  <c r="W1302" i="2"/>
  <c r="I1303" i="2"/>
  <c r="N1303" i="2"/>
  <c r="S1303" i="2"/>
  <c r="Y1303" i="2"/>
  <c r="J1304" i="2"/>
  <c r="O1304" i="2"/>
  <c r="U1304" i="2"/>
  <c r="Z1304" i="2"/>
  <c r="K1305" i="2"/>
  <c r="Q1305" i="2"/>
  <c r="V1305" i="2"/>
  <c r="AA1305" i="2"/>
  <c r="M1306" i="2"/>
  <c r="R1306" i="2"/>
  <c r="W1306" i="2"/>
  <c r="I1307" i="2"/>
  <c r="N1307" i="2"/>
  <c r="S1307" i="2"/>
  <c r="Y1307" i="2"/>
  <c r="J1308" i="2"/>
  <c r="O1308" i="2"/>
  <c r="U1308" i="2"/>
  <c r="Z1308" i="2"/>
  <c r="K1309" i="2"/>
  <c r="Q1309" i="2"/>
  <c r="V1309" i="2"/>
  <c r="AA1309" i="2"/>
  <c r="M1310" i="2"/>
  <c r="R1310" i="2"/>
  <c r="W1310" i="2"/>
  <c r="I1311" i="2"/>
  <c r="N1311" i="2"/>
  <c r="S1311" i="2"/>
  <c r="Y1311" i="2"/>
  <c r="J1312" i="2"/>
  <c r="O1312" i="2"/>
  <c r="U1312" i="2"/>
  <c r="Z1312" i="2"/>
  <c r="K1313" i="2"/>
  <c r="Q1313" i="2"/>
  <c r="V1313" i="2"/>
  <c r="AA1313" i="2"/>
  <c r="M1314" i="2"/>
  <c r="R1314" i="2"/>
  <c r="W1314" i="2"/>
  <c r="I1315" i="2"/>
  <c r="N1315" i="2"/>
  <c r="S1315" i="2"/>
  <c r="Y1315" i="2"/>
  <c r="J1316" i="2"/>
  <c r="O1316" i="2"/>
  <c r="S1316" i="2"/>
  <c r="W1316" i="2"/>
  <c r="AA1316" i="2"/>
  <c r="K1317" i="2"/>
  <c r="O1317" i="2"/>
  <c r="S1317" i="2"/>
  <c r="W1317" i="2"/>
  <c r="AA1317" i="2"/>
  <c r="K1318" i="2"/>
  <c r="O1318" i="2"/>
  <c r="S1318" i="2"/>
  <c r="W1318" i="2"/>
  <c r="AA1318" i="2"/>
  <c r="K1319" i="2"/>
  <c r="O1319" i="2"/>
  <c r="S1319" i="2"/>
  <c r="W1319" i="2"/>
  <c r="AA1319" i="2"/>
  <c r="K1320" i="2"/>
  <c r="O1320" i="2"/>
  <c r="S1320" i="2"/>
  <c r="W1320" i="2"/>
  <c r="AA1320" i="2"/>
  <c r="K1321" i="2"/>
  <c r="O1321" i="2"/>
  <c r="S1321" i="2"/>
  <c r="W1321" i="2"/>
  <c r="AA1321" i="2"/>
  <c r="K1322" i="2"/>
  <c r="O1322" i="2"/>
  <c r="S1322" i="2"/>
  <c r="W1322" i="2"/>
  <c r="AA1322" i="2"/>
  <c r="K1323" i="2"/>
  <c r="O1323" i="2"/>
  <c r="S1323" i="2"/>
  <c r="W1323" i="2"/>
  <c r="AA1323" i="2"/>
  <c r="K1324" i="2"/>
  <c r="O1324" i="2"/>
  <c r="S1324" i="2"/>
  <c r="W1324" i="2"/>
  <c r="AA1324" i="2"/>
  <c r="K1325" i="2"/>
  <c r="O1325" i="2"/>
  <c r="S1325" i="2"/>
  <c r="W1325" i="2"/>
  <c r="AA1325" i="2"/>
  <c r="K1326" i="2"/>
  <c r="O1326" i="2"/>
  <c r="S1326" i="2"/>
  <c r="W1326" i="2"/>
  <c r="AA1326" i="2"/>
  <c r="K1327" i="2"/>
  <c r="O1327" i="2"/>
  <c r="S1327" i="2"/>
  <c r="W1327" i="2"/>
  <c r="AA1327" i="2"/>
  <c r="K1328" i="2"/>
  <c r="O1328" i="2"/>
  <c r="S1328" i="2"/>
  <c r="W1328" i="2"/>
  <c r="AA1328" i="2"/>
  <c r="K1329" i="2"/>
  <c r="O1329" i="2"/>
  <c r="S1329" i="2"/>
  <c r="W1329" i="2"/>
  <c r="AA1329" i="2"/>
  <c r="K1330" i="2"/>
  <c r="O1330" i="2"/>
  <c r="S1330" i="2"/>
  <c r="W1330" i="2"/>
  <c r="AA1330" i="2"/>
  <c r="K1331" i="2"/>
  <c r="O1331" i="2"/>
  <c r="S1331" i="2"/>
  <c r="W1331" i="2"/>
  <c r="AA1331" i="2"/>
  <c r="K1332" i="2"/>
  <c r="O1332" i="2"/>
  <c r="S1332" i="2"/>
  <c r="W1332" i="2"/>
  <c r="AA1332" i="2"/>
  <c r="K1333" i="2"/>
  <c r="O1333" i="2"/>
  <c r="S1333" i="2"/>
  <c r="W1333" i="2"/>
  <c r="AA1333" i="2"/>
  <c r="K1334" i="2"/>
  <c r="O1334" i="2"/>
  <c r="S1334" i="2"/>
  <c r="W1334" i="2"/>
  <c r="AA1334" i="2"/>
  <c r="K1335" i="2"/>
  <c r="O1335" i="2"/>
  <c r="S1335" i="2"/>
  <c r="W1335" i="2"/>
  <c r="AA1335" i="2"/>
  <c r="K1336" i="2"/>
  <c r="O1336" i="2"/>
  <c r="S1336" i="2"/>
  <c r="W1336" i="2"/>
  <c r="AA1336" i="2"/>
  <c r="K1337" i="2"/>
  <c r="O1337" i="2"/>
  <c r="S1337" i="2"/>
  <c r="W1337" i="2"/>
  <c r="AA1337" i="2"/>
  <c r="K1338" i="2"/>
  <c r="O1338" i="2"/>
  <c r="S1338" i="2"/>
  <c r="W1338" i="2"/>
  <c r="AA1338" i="2"/>
  <c r="K1339" i="2"/>
  <c r="O1339" i="2"/>
  <c r="S1339" i="2"/>
  <c r="W1339" i="2"/>
  <c r="AA1339" i="2"/>
  <c r="K1340" i="2"/>
  <c r="O1340" i="2"/>
  <c r="S1340" i="2"/>
  <c r="W1340" i="2"/>
  <c r="AA1340" i="2"/>
  <c r="K1341" i="2"/>
  <c r="O1341" i="2"/>
  <c r="S1341" i="2"/>
  <c r="W1341" i="2"/>
  <c r="AA1341" i="2"/>
  <c r="K1342" i="2"/>
  <c r="O1342" i="2"/>
  <c r="S1342" i="2"/>
  <c r="W1342" i="2"/>
  <c r="AA1342" i="2"/>
  <c r="K1343" i="2"/>
  <c r="O1343" i="2"/>
  <c r="S1343" i="2"/>
  <c r="W1343" i="2"/>
  <c r="AA1343" i="2"/>
  <c r="K1344" i="2"/>
  <c r="O1344" i="2"/>
  <c r="S1344" i="2"/>
  <c r="W1344" i="2"/>
  <c r="AA1344" i="2"/>
  <c r="K1345" i="2"/>
  <c r="O1345" i="2"/>
  <c r="S1345" i="2"/>
  <c r="W1345" i="2"/>
  <c r="AA1345" i="2"/>
  <c r="K1346" i="2"/>
  <c r="O1346" i="2"/>
  <c r="S1346" i="2"/>
  <c r="W1346" i="2"/>
  <c r="AA1346" i="2"/>
  <c r="K1347" i="2"/>
  <c r="O1347" i="2"/>
  <c r="S1347" i="2"/>
  <c r="W1347" i="2"/>
  <c r="AA1347" i="2"/>
  <c r="K1348" i="2"/>
  <c r="O1348" i="2"/>
  <c r="S1348" i="2"/>
  <c r="W1348" i="2"/>
  <c r="AA1348" i="2"/>
  <c r="K1349" i="2"/>
  <c r="O1349" i="2"/>
  <c r="S1349" i="2"/>
  <c r="W1349" i="2"/>
  <c r="AA1349" i="2"/>
  <c r="K1350" i="2"/>
  <c r="O1350" i="2"/>
  <c r="S1350" i="2"/>
  <c r="W1350" i="2"/>
  <c r="AA1350" i="2"/>
  <c r="K1351" i="2"/>
  <c r="O1351" i="2"/>
  <c r="S1351" i="2"/>
  <c r="W1351" i="2"/>
  <c r="AA1351" i="2"/>
  <c r="K1352" i="2"/>
  <c r="O1352" i="2"/>
  <c r="S1352" i="2"/>
  <c r="W1352" i="2"/>
  <c r="AA1352" i="2"/>
  <c r="K1353" i="2"/>
  <c r="O1353" i="2"/>
  <c r="S1353" i="2"/>
  <c r="W1353" i="2"/>
  <c r="AA1353" i="2"/>
  <c r="K1354" i="2"/>
  <c r="O1354" i="2"/>
  <c r="S1354" i="2"/>
  <c r="W1354" i="2"/>
  <c r="AA1354" i="2"/>
  <c r="K1355" i="2"/>
  <c r="O1355" i="2"/>
  <c r="S1355" i="2"/>
  <c r="W1355" i="2"/>
  <c r="AA1355" i="2"/>
  <c r="K1356" i="2"/>
  <c r="O1356" i="2"/>
  <c r="S1356" i="2"/>
  <c r="W1356" i="2"/>
  <c r="AA1356" i="2"/>
  <c r="K1357" i="2"/>
  <c r="O1357" i="2"/>
  <c r="S1357" i="2"/>
  <c r="W1357" i="2"/>
  <c r="AA1357" i="2"/>
  <c r="K1358" i="2"/>
  <c r="O1358" i="2"/>
  <c r="S1358" i="2"/>
  <c r="W1358" i="2"/>
  <c r="AA1358" i="2"/>
  <c r="K1359" i="2"/>
  <c r="O1359" i="2"/>
  <c r="S1359" i="2"/>
  <c r="W1359" i="2"/>
  <c r="AA1359" i="2"/>
  <c r="K1360" i="2"/>
  <c r="O1360" i="2"/>
  <c r="S1360" i="2"/>
  <c r="W1360" i="2"/>
  <c r="AA1360" i="2"/>
  <c r="K1361" i="2"/>
  <c r="O1361" i="2"/>
  <c r="S1361" i="2"/>
  <c r="W1361" i="2"/>
  <c r="AA1361" i="2"/>
  <c r="K1362" i="2"/>
  <c r="O1362" i="2"/>
  <c r="S1362" i="2"/>
  <c r="W1362" i="2"/>
  <c r="AA1362" i="2"/>
  <c r="K1363" i="2"/>
  <c r="O1363" i="2"/>
  <c r="S1363" i="2"/>
  <c r="W1363" i="2"/>
  <c r="AA1363" i="2"/>
  <c r="K1364" i="2"/>
  <c r="O1364" i="2"/>
  <c r="S1364" i="2"/>
  <c r="W1364" i="2"/>
  <c r="AA1364" i="2"/>
  <c r="K1365" i="2"/>
  <c r="O1365" i="2"/>
  <c r="S1365" i="2"/>
  <c r="W1365" i="2"/>
  <c r="AA1365" i="2"/>
  <c r="K1366" i="2"/>
  <c r="O1366" i="2"/>
  <c r="S1366" i="2"/>
  <c r="W1366" i="2"/>
  <c r="AA1366" i="2"/>
  <c r="K1367" i="2"/>
  <c r="O1367" i="2"/>
  <c r="S1367" i="2"/>
  <c r="W1367" i="2"/>
  <c r="AA1367" i="2"/>
  <c r="K1368" i="2"/>
  <c r="O1368" i="2"/>
  <c r="S1368" i="2"/>
  <c r="W1368" i="2"/>
  <c r="AA1368" i="2"/>
  <c r="K1369" i="2"/>
  <c r="O1369" i="2"/>
  <c r="S1369" i="2"/>
  <c r="W1369" i="2"/>
  <c r="AA1369" i="2"/>
  <c r="K1370" i="2"/>
  <c r="O1370" i="2"/>
  <c r="S1370" i="2"/>
  <c r="W1370" i="2"/>
  <c r="AA1370" i="2"/>
  <c r="K1371" i="2"/>
  <c r="O1371" i="2"/>
  <c r="S1371" i="2"/>
  <c r="W1371" i="2"/>
  <c r="AA1371" i="2"/>
  <c r="K1372" i="2"/>
  <c r="O1372" i="2"/>
  <c r="S1372" i="2"/>
  <c r="W1372" i="2"/>
  <c r="AA1372" i="2"/>
  <c r="K1373" i="2"/>
  <c r="O1373" i="2"/>
  <c r="S1373" i="2"/>
  <c r="W1373" i="2"/>
  <c r="AA1373" i="2"/>
  <c r="K1374" i="2"/>
  <c r="O1374" i="2"/>
  <c r="S1374" i="2"/>
  <c r="W1374" i="2"/>
  <c r="AA1374" i="2"/>
  <c r="K1375" i="2"/>
  <c r="O1375" i="2"/>
  <c r="S1375" i="2"/>
  <c r="W1375" i="2"/>
  <c r="AA1375" i="2"/>
  <c r="K1376" i="2"/>
  <c r="O1376" i="2"/>
  <c r="S1376" i="2"/>
  <c r="W1376" i="2"/>
  <c r="AA1376" i="2"/>
  <c r="K1377" i="2"/>
  <c r="O1377" i="2"/>
  <c r="S1377" i="2"/>
  <c r="W1377" i="2"/>
  <c r="AA1377" i="2"/>
  <c r="K1378" i="2"/>
  <c r="O1378" i="2"/>
  <c r="S1378" i="2"/>
  <c r="W1378" i="2"/>
  <c r="AA1378" i="2"/>
  <c r="K1379" i="2"/>
  <c r="O1379" i="2"/>
  <c r="S1379" i="2"/>
  <c r="W1379" i="2"/>
  <c r="AA1379" i="2"/>
  <c r="K1380" i="2"/>
  <c r="O1380" i="2"/>
  <c r="S1380" i="2"/>
  <c r="W1380" i="2"/>
  <c r="AA1380" i="2"/>
  <c r="K1381" i="2"/>
  <c r="O1381" i="2"/>
  <c r="S1381" i="2"/>
  <c r="W1381" i="2"/>
  <c r="AA1381" i="2"/>
  <c r="K1382" i="2"/>
  <c r="O1382" i="2"/>
  <c r="S1382" i="2"/>
  <c r="W1382" i="2"/>
  <c r="AA1382" i="2"/>
  <c r="K1383" i="2"/>
  <c r="O1383" i="2"/>
  <c r="S1383" i="2"/>
  <c r="W1383" i="2"/>
  <c r="AA1383" i="2"/>
  <c r="K1384" i="2"/>
  <c r="O1384" i="2"/>
  <c r="S1384" i="2"/>
  <c r="W1384" i="2"/>
  <c r="AA1384" i="2"/>
  <c r="K1385" i="2"/>
  <c r="O1385" i="2"/>
  <c r="S1385" i="2"/>
  <c r="W1385" i="2"/>
  <c r="AA1385" i="2"/>
  <c r="K1386" i="2"/>
  <c r="O1386" i="2"/>
  <c r="S1386" i="2"/>
  <c r="W1386" i="2"/>
  <c r="AA1386" i="2"/>
  <c r="K1387" i="2"/>
  <c r="O1387" i="2"/>
  <c r="S1387" i="2"/>
  <c r="W1387" i="2"/>
  <c r="AA1387" i="2"/>
  <c r="K1388" i="2"/>
  <c r="O1388" i="2"/>
  <c r="S1388" i="2"/>
  <c r="W1388" i="2"/>
  <c r="AA1388" i="2"/>
  <c r="K1389" i="2"/>
  <c r="O1389" i="2"/>
  <c r="S1389" i="2"/>
  <c r="W1389" i="2"/>
  <c r="AA1389" i="2"/>
  <c r="K1390" i="2"/>
  <c r="O1390" i="2"/>
  <c r="S1390" i="2"/>
  <c r="W1390" i="2"/>
  <c r="AA1390" i="2"/>
  <c r="K1391" i="2"/>
  <c r="O1391" i="2"/>
  <c r="S1391" i="2"/>
  <c r="W1391" i="2"/>
  <c r="AA1391" i="2"/>
  <c r="K1392" i="2"/>
  <c r="O1392" i="2"/>
  <c r="S1392" i="2"/>
  <c r="W1392" i="2"/>
  <c r="AA1392" i="2"/>
  <c r="K1393" i="2"/>
  <c r="O1393" i="2"/>
  <c r="S1393" i="2"/>
  <c r="W1393" i="2"/>
  <c r="AA1393" i="2"/>
  <c r="K1394" i="2"/>
  <c r="O1394" i="2"/>
  <c r="S1394" i="2"/>
  <c r="W1394" i="2"/>
  <c r="AA1394" i="2"/>
  <c r="K1395" i="2"/>
  <c r="O1395" i="2"/>
  <c r="S1395" i="2"/>
  <c r="W1395" i="2"/>
  <c r="AA1395" i="2"/>
  <c r="K1396" i="2"/>
  <c r="O1396" i="2"/>
  <c r="S1396" i="2"/>
  <c r="W1396" i="2"/>
  <c r="AA1396" i="2"/>
  <c r="K1397" i="2"/>
  <c r="O1397" i="2"/>
  <c r="S1397" i="2"/>
  <c r="W1397" i="2"/>
  <c r="AA1397" i="2"/>
  <c r="K1398" i="2"/>
  <c r="O1398" i="2"/>
  <c r="S1398" i="2"/>
  <c r="W1398" i="2"/>
  <c r="AA1398" i="2"/>
  <c r="K1399" i="2"/>
  <c r="O1399" i="2"/>
  <c r="S1399" i="2"/>
  <c r="W1399" i="2"/>
  <c r="AA1399" i="2"/>
  <c r="K1400" i="2"/>
  <c r="O1400" i="2"/>
  <c r="S1400" i="2"/>
  <c r="W1400" i="2"/>
  <c r="AA1400" i="2"/>
  <c r="K1401" i="2"/>
  <c r="O1401" i="2"/>
  <c r="S1401" i="2"/>
  <c r="W1401" i="2"/>
  <c r="AA1401" i="2"/>
  <c r="K1402" i="2"/>
  <c r="O1402" i="2"/>
  <c r="S1402" i="2"/>
  <c r="W1402" i="2"/>
  <c r="AA1402" i="2"/>
  <c r="K1403" i="2"/>
  <c r="O1403" i="2"/>
  <c r="S1403" i="2"/>
  <c r="W1403" i="2"/>
  <c r="AA1403" i="2"/>
  <c r="K1404" i="2"/>
  <c r="O1404" i="2"/>
  <c r="S1404" i="2"/>
  <c r="W1404" i="2"/>
  <c r="AA1404" i="2"/>
  <c r="K1405" i="2"/>
  <c r="O1405" i="2"/>
  <c r="S1405" i="2"/>
  <c r="W1405" i="2"/>
  <c r="AA1405" i="2"/>
  <c r="K1406" i="2"/>
  <c r="O1406" i="2"/>
  <c r="S1406" i="2"/>
  <c r="W1406" i="2"/>
  <c r="AA1406" i="2"/>
  <c r="K1407" i="2"/>
  <c r="O1407" i="2"/>
  <c r="S1407" i="2"/>
  <c r="W1407" i="2"/>
  <c r="AA1407" i="2"/>
  <c r="K1408" i="2"/>
  <c r="O1408" i="2"/>
  <c r="S1408" i="2"/>
  <c r="W1408" i="2"/>
  <c r="AA1408" i="2"/>
  <c r="K1409" i="2"/>
  <c r="O1409" i="2"/>
  <c r="S1409" i="2"/>
  <c r="W1409" i="2"/>
  <c r="AA1409" i="2"/>
  <c r="K1410" i="2"/>
  <c r="O1410" i="2"/>
  <c r="S1410" i="2"/>
  <c r="W1410" i="2"/>
  <c r="AA1410" i="2"/>
  <c r="K1411" i="2"/>
  <c r="O1411" i="2"/>
  <c r="S1411" i="2"/>
  <c r="W1411" i="2"/>
  <c r="AA1411" i="2"/>
  <c r="K1412" i="2"/>
  <c r="O1412" i="2"/>
  <c r="S1412" i="2"/>
  <c r="W1412" i="2"/>
  <c r="AA1412" i="2"/>
  <c r="K1413" i="2"/>
  <c r="O1413" i="2"/>
  <c r="S1413" i="2"/>
  <c r="W1413" i="2"/>
  <c r="AA1413" i="2"/>
  <c r="K1414" i="2"/>
  <c r="O1414" i="2"/>
  <c r="S1414" i="2"/>
  <c r="W1414" i="2"/>
  <c r="AA1414" i="2"/>
  <c r="K1415" i="2"/>
  <c r="O1415" i="2"/>
  <c r="S1415" i="2"/>
  <c r="W1415" i="2"/>
  <c r="AA1415" i="2"/>
  <c r="K1416" i="2"/>
  <c r="O1416" i="2"/>
  <c r="S1416" i="2"/>
  <c r="W1416" i="2"/>
  <c r="AA1416" i="2"/>
  <c r="K1417" i="2"/>
  <c r="O1417" i="2"/>
  <c r="S1417" i="2"/>
  <c r="W1417" i="2"/>
  <c r="AA1417" i="2"/>
  <c r="K1418" i="2"/>
  <c r="O1418" i="2"/>
  <c r="S1418" i="2"/>
  <c r="W1418" i="2"/>
  <c r="AA1418" i="2"/>
  <c r="K1419" i="2"/>
  <c r="O1419" i="2"/>
  <c r="S1419" i="2"/>
  <c r="W1419" i="2"/>
  <c r="AA1419" i="2"/>
  <c r="K1420" i="2"/>
  <c r="O1420" i="2"/>
  <c r="S1420" i="2"/>
  <c r="W1420" i="2"/>
  <c r="AA1420" i="2"/>
  <c r="K1421" i="2"/>
  <c r="O1421" i="2"/>
  <c r="S1421" i="2"/>
  <c r="W1421" i="2"/>
  <c r="AA1421" i="2"/>
  <c r="K1422" i="2"/>
  <c r="O1422" i="2"/>
  <c r="S1422" i="2"/>
  <c r="W1422" i="2"/>
  <c r="AA1422" i="2"/>
  <c r="K1423" i="2"/>
  <c r="O1423" i="2"/>
  <c r="S1423" i="2"/>
  <c r="W1423" i="2"/>
  <c r="AA1423" i="2"/>
  <c r="K1424" i="2"/>
  <c r="O1424" i="2"/>
  <c r="S1424" i="2"/>
  <c r="W1424" i="2"/>
  <c r="AA1424" i="2"/>
  <c r="K1425" i="2"/>
  <c r="O1425" i="2"/>
  <c r="S1425" i="2"/>
  <c r="W1425" i="2"/>
  <c r="AA1425" i="2"/>
  <c r="K1426" i="2"/>
  <c r="O1426" i="2"/>
  <c r="S1426" i="2"/>
  <c r="W1426" i="2"/>
  <c r="AA1426" i="2"/>
  <c r="K1427" i="2"/>
  <c r="O1427" i="2"/>
  <c r="S1427" i="2"/>
  <c r="W1427" i="2"/>
  <c r="AA1427" i="2"/>
  <c r="K1428" i="2"/>
  <c r="O1428" i="2"/>
  <c r="S1428" i="2"/>
  <c r="W1428" i="2"/>
  <c r="AA1428" i="2"/>
  <c r="K1429" i="2"/>
  <c r="O1429" i="2"/>
  <c r="S1429" i="2"/>
  <c r="W1429" i="2"/>
  <c r="AA1429" i="2"/>
  <c r="K1430" i="2"/>
  <c r="O1430" i="2"/>
  <c r="S1430" i="2"/>
  <c r="W1430" i="2"/>
  <c r="AA1430" i="2"/>
  <c r="K1431" i="2"/>
  <c r="O1431" i="2"/>
  <c r="S1431" i="2"/>
  <c r="W1431" i="2"/>
  <c r="AA1431" i="2"/>
  <c r="K1432" i="2"/>
  <c r="O1432" i="2"/>
  <c r="S1432" i="2"/>
  <c r="W1432" i="2"/>
  <c r="AA1432" i="2"/>
  <c r="AA214" i="2"/>
  <c r="V272" i="2"/>
  <c r="N295" i="2"/>
  <c r="J318" i="2"/>
  <c r="X338" i="2"/>
  <c r="K349" i="2"/>
  <c r="V357" i="2"/>
  <c r="M366" i="2"/>
  <c r="W374" i="2"/>
  <c r="N383" i="2"/>
  <c r="Y391" i="2"/>
  <c r="R397" i="2"/>
  <c r="K403" i="2"/>
  <c r="Z408" i="2"/>
  <c r="S414" i="2"/>
  <c r="M420" i="2"/>
  <c r="AA425" i="2"/>
  <c r="U431" i="2"/>
  <c r="N437" i="2"/>
  <c r="I443" i="2"/>
  <c r="V448" i="2"/>
  <c r="O454" i="2"/>
  <c r="J460" i="2"/>
  <c r="S464" i="2"/>
  <c r="Y468" i="2"/>
  <c r="J473" i="2"/>
  <c r="O477" i="2"/>
  <c r="U481" i="2"/>
  <c r="Z485" i="2"/>
  <c r="K490" i="2"/>
  <c r="Q494" i="2"/>
  <c r="V498" i="2"/>
  <c r="AA502" i="2"/>
  <c r="M507" i="2"/>
  <c r="R511" i="2"/>
  <c r="W515" i="2"/>
  <c r="I520" i="2"/>
  <c r="N524" i="2"/>
  <c r="S528" i="2"/>
  <c r="Y532" i="2"/>
  <c r="J537" i="2"/>
  <c r="O541" i="2"/>
  <c r="S545" i="2"/>
  <c r="O548" i="2"/>
  <c r="M551" i="2"/>
  <c r="J554" i="2"/>
  <c r="Z556" i="2"/>
  <c r="W559" i="2"/>
  <c r="U562" i="2"/>
  <c r="Q565" i="2"/>
  <c r="N568" i="2"/>
  <c r="X570" i="2"/>
  <c r="Z572" i="2"/>
  <c r="I575" i="2"/>
  <c r="Z576" i="2"/>
  <c r="R578" i="2"/>
  <c r="J580" i="2"/>
  <c r="V581" i="2"/>
  <c r="N583" i="2"/>
  <c r="Z584" i="2"/>
  <c r="R586" i="2"/>
  <c r="J588" i="2"/>
  <c r="V589" i="2"/>
  <c r="N591" i="2"/>
  <c r="Z592" i="2"/>
  <c r="R594" i="2"/>
  <c r="J596" i="2"/>
  <c r="V597" i="2"/>
  <c r="N599" i="2"/>
  <c r="Z600" i="2"/>
  <c r="R602" i="2"/>
  <c r="J604" i="2"/>
  <c r="V605" i="2"/>
  <c r="N607" i="2"/>
  <c r="Z608" i="2"/>
  <c r="R610" i="2"/>
  <c r="J612" i="2"/>
  <c r="V613" i="2"/>
  <c r="N615" i="2"/>
  <c r="Z616" i="2"/>
  <c r="R618" i="2"/>
  <c r="J620" i="2"/>
  <c r="V621" i="2"/>
  <c r="N623" i="2"/>
  <c r="Z624" i="2"/>
  <c r="R626" i="2"/>
  <c r="J628" i="2"/>
  <c r="V629" i="2"/>
  <c r="N631" i="2"/>
  <c r="Z632" i="2"/>
  <c r="R634" i="2"/>
  <c r="J636" i="2"/>
  <c r="V637" i="2"/>
  <c r="N639" i="2"/>
  <c r="Z640" i="2"/>
  <c r="R642" i="2"/>
  <c r="J644" i="2"/>
  <c r="V645" i="2"/>
  <c r="N647" i="2"/>
  <c r="Z648" i="2"/>
  <c r="R650" i="2"/>
  <c r="J652" i="2"/>
  <c r="V653" i="2"/>
  <c r="N655" i="2"/>
  <c r="Z656" i="2"/>
  <c r="R658" i="2"/>
  <c r="J660" i="2"/>
  <c r="V661" i="2"/>
  <c r="N663" i="2"/>
  <c r="Z664" i="2"/>
  <c r="R666" i="2"/>
  <c r="J668" i="2"/>
  <c r="V669" i="2"/>
  <c r="N671" i="2"/>
  <c r="Z672" i="2"/>
  <c r="R674" i="2"/>
  <c r="J676" i="2"/>
  <c r="V677" i="2"/>
  <c r="N679" i="2"/>
  <c r="Z680" i="2"/>
  <c r="R682" i="2"/>
  <c r="J684" i="2"/>
  <c r="V685" i="2"/>
  <c r="N687" i="2"/>
  <c r="Z688" i="2"/>
  <c r="R690" i="2"/>
  <c r="J692" i="2"/>
  <c r="V693" i="2"/>
  <c r="N695" i="2"/>
  <c r="Z696" i="2"/>
  <c r="R698" i="2"/>
  <c r="J700" i="2"/>
  <c r="V701" i="2"/>
  <c r="N703" i="2"/>
  <c r="Z704" i="2"/>
  <c r="R706" i="2"/>
  <c r="J708" i="2"/>
  <c r="V709" i="2"/>
  <c r="N711" i="2"/>
  <c r="Z712" i="2"/>
  <c r="R714" i="2"/>
  <c r="J716" i="2"/>
  <c r="V717" i="2"/>
  <c r="N719" i="2"/>
  <c r="Z720" i="2"/>
  <c r="R722" i="2"/>
  <c r="J724" i="2"/>
  <c r="V725" i="2"/>
  <c r="N727" i="2"/>
  <c r="Z728" i="2"/>
  <c r="R730" i="2"/>
  <c r="J732" i="2"/>
  <c r="V733" i="2"/>
  <c r="N735" i="2"/>
  <c r="Z736" i="2"/>
  <c r="R738" i="2"/>
  <c r="J740" i="2"/>
  <c r="V741" i="2"/>
  <c r="N743" i="2"/>
  <c r="Z744" i="2"/>
  <c r="R746" i="2"/>
  <c r="J748" i="2"/>
  <c r="V749" i="2"/>
  <c r="N751" i="2"/>
  <c r="Z752" i="2"/>
  <c r="R754" i="2"/>
  <c r="J756" i="2"/>
  <c r="V757" i="2"/>
  <c r="N759" i="2"/>
  <c r="Z760" i="2"/>
  <c r="R762" i="2"/>
  <c r="S763" i="2"/>
  <c r="U764" i="2"/>
  <c r="V765" i="2"/>
  <c r="W766" i="2"/>
  <c r="Y767" i="2"/>
  <c r="Z768" i="2"/>
  <c r="AA769" i="2"/>
  <c r="I771" i="2"/>
  <c r="J772" i="2"/>
  <c r="K773" i="2"/>
  <c r="M774" i="2"/>
  <c r="N775" i="2"/>
  <c r="O776" i="2"/>
  <c r="Q777" i="2"/>
  <c r="R778" i="2"/>
  <c r="S779" i="2"/>
  <c r="U780" i="2"/>
  <c r="V781" i="2"/>
  <c r="W782" i="2"/>
  <c r="Y783" i="2"/>
  <c r="Z784" i="2"/>
  <c r="AA785" i="2"/>
  <c r="I787" i="2"/>
  <c r="J788" i="2"/>
  <c r="K789" i="2"/>
  <c r="M790" i="2"/>
  <c r="N791" i="2"/>
  <c r="O792" i="2"/>
  <c r="Q793" i="2"/>
  <c r="R794" i="2"/>
  <c r="S795" i="2"/>
  <c r="U796" i="2"/>
  <c r="V797" i="2"/>
  <c r="W798" i="2"/>
  <c r="Y799" i="2"/>
  <c r="Z800" i="2"/>
  <c r="AA801" i="2"/>
  <c r="I803" i="2"/>
  <c r="J804" i="2"/>
  <c r="K805" i="2"/>
  <c r="M806" i="2"/>
  <c r="N807" i="2"/>
  <c r="O808" i="2"/>
  <c r="Q809" i="2"/>
  <c r="R810" i="2"/>
  <c r="S811" i="2"/>
  <c r="U812" i="2"/>
  <c r="V813" i="2"/>
  <c r="W814" i="2"/>
  <c r="Y815" i="2"/>
  <c r="Z816" i="2"/>
  <c r="AA817" i="2"/>
  <c r="I819" i="2"/>
  <c r="J820" i="2"/>
  <c r="K821" i="2"/>
  <c r="M822" i="2"/>
  <c r="I823" i="2"/>
  <c r="Y823" i="2"/>
  <c r="U824" i="2"/>
  <c r="Q825" i="2"/>
  <c r="M826" i="2"/>
  <c r="I827" i="2"/>
  <c r="Y827" i="2"/>
  <c r="U828" i="2"/>
  <c r="Q829" i="2"/>
  <c r="M830" i="2"/>
  <c r="I831" i="2"/>
  <c r="Y831" i="2"/>
  <c r="U832" i="2"/>
  <c r="Q833" i="2"/>
  <c r="M834" i="2"/>
  <c r="I835" i="2"/>
  <c r="Y835" i="2"/>
  <c r="U836" i="2"/>
  <c r="Q837" i="2"/>
  <c r="M838" i="2"/>
  <c r="I839" i="2"/>
  <c r="Y839" i="2"/>
  <c r="U840" i="2"/>
  <c r="Q841" i="2"/>
  <c r="M842" i="2"/>
  <c r="I843" i="2"/>
  <c r="Y843" i="2"/>
  <c r="U844" i="2"/>
  <c r="Q845" i="2"/>
  <c r="M846" i="2"/>
  <c r="I847" i="2"/>
  <c r="Y847" i="2"/>
  <c r="U848" i="2"/>
  <c r="Q849" i="2"/>
  <c r="M850" i="2"/>
  <c r="I851" i="2"/>
  <c r="Y851" i="2"/>
  <c r="U852" i="2"/>
  <c r="Q853" i="2"/>
  <c r="M854" i="2"/>
  <c r="I855" i="2"/>
  <c r="Y855" i="2"/>
  <c r="U856" i="2"/>
  <c r="Q857" i="2"/>
  <c r="M858" i="2"/>
  <c r="I859" i="2"/>
  <c r="Y859" i="2"/>
  <c r="U860" i="2"/>
  <c r="Q861" i="2"/>
  <c r="M862" i="2"/>
  <c r="I863" i="2"/>
  <c r="Y863" i="2"/>
  <c r="U864" i="2"/>
  <c r="Q865" i="2"/>
  <c r="M866" i="2"/>
  <c r="I867" i="2"/>
  <c r="Y867" i="2"/>
  <c r="U868" i="2"/>
  <c r="Q869" i="2"/>
  <c r="M870" i="2"/>
  <c r="I871" i="2"/>
  <c r="Y871" i="2"/>
  <c r="U872" i="2"/>
  <c r="Q873" i="2"/>
  <c r="M874" i="2"/>
  <c r="I875" i="2"/>
  <c r="Y875" i="2"/>
  <c r="U876" i="2"/>
  <c r="Q877" i="2"/>
  <c r="M878" i="2"/>
  <c r="I879" i="2"/>
  <c r="Y879" i="2"/>
  <c r="U880" i="2"/>
  <c r="Q881" i="2"/>
  <c r="M882" i="2"/>
  <c r="I883" i="2"/>
  <c r="Y883" i="2"/>
  <c r="U884" i="2"/>
  <c r="Q885" i="2"/>
  <c r="J886" i="2"/>
  <c r="U886" i="2"/>
  <c r="L887" i="2"/>
  <c r="V887" i="2"/>
  <c r="M888" i="2"/>
  <c r="X888" i="2"/>
  <c r="N889" i="2"/>
  <c r="Y889" i="2"/>
  <c r="P890" i="2"/>
  <c r="Z890" i="2"/>
  <c r="Q891" i="2"/>
  <c r="H892" i="2"/>
  <c r="R892" i="2"/>
  <c r="I893" i="2"/>
  <c r="T893" i="2"/>
  <c r="J894" i="2"/>
  <c r="U894" i="2"/>
  <c r="L895" i="2"/>
  <c r="V895" i="2"/>
  <c r="M896" i="2"/>
  <c r="X896" i="2"/>
  <c r="N897" i="2"/>
  <c r="Y897" i="2"/>
  <c r="P898" i="2"/>
  <c r="Z898" i="2"/>
  <c r="Q899" i="2"/>
  <c r="H900" i="2"/>
  <c r="R900" i="2"/>
  <c r="I901" i="2"/>
  <c r="T901" i="2"/>
  <c r="J902" i="2"/>
  <c r="U902" i="2"/>
  <c r="L903" i="2"/>
  <c r="V903" i="2"/>
  <c r="M904" i="2"/>
  <c r="X904" i="2"/>
  <c r="N905" i="2"/>
  <c r="Y905" i="2"/>
  <c r="P906" i="2"/>
  <c r="Z906" i="2"/>
  <c r="Q907" i="2"/>
  <c r="H908" i="2"/>
  <c r="R908" i="2"/>
  <c r="I909" i="2"/>
  <c r="T909" i="2"/>
  <c r="J910" i="2"/>
  <c r="U910" i="2"/>
  <c r="L911" i="2"/>
  <c r="V911" i="2"/>
  <c r="M912" i="2"/>
  <c r="X912" i="2"/>
  <c r="N913" i="2"/>
  <c r="Y913" i="2"/>
  <c r="M914" i="2"/>
  <c r="U914" i="2"/>
  <c r="I915" i="2"/>
  <c r="Q915" i="2"/>
  <c r="Y915" i="2"/>
  <c r="M916" i="2"/>
  <c r="U916" i="2"/>
  <c r="I917" i="2"/>
  <c r="Q917" i="2"/>
  <c r="Y917" i="2"/>
  <c r="M918" i="2"/>
  <c r="U918" i="2"/>
  <c r="I919" i="2"/>
  <c r="Q919" i="2"/>
  <c r="Y919" i="2"/>
  <c r="M920" i="2"/>
  <c r="U920" i="2"/>
  <c r="I921" i="2"/>
  <c r="Q921" i="2"/>
  <c r="Y921" i="2"/>
  <c r="M922" i="2"/>
  <c r="U922" i="2"/>
  <c r="I923" i="2"/>
  <c r="Q923" i="2"/>
  <c r="Y923" i="2"/>
  <c r="M924" i="2"/>
  <c r="U924" i="2"/>
  <c r="I925" i="2"/>
  <c r="Q925" i="2"/>
  <c r="Y925" i="2"/>
  <c r="M926" i="2"/>
  <c r="U926" i="2"/>
  <c r="I927" i="2"/>
  <c r="Q927" i="2"/>
  <c r="Y927" i="2"/>
  <c r="M928" i="2"/>
  <c r="U928" i="2"/>
  <c r="I929" i="2"/>
  <c r="Q929" i="2"/>
  <c r="Y929" i="2"/>
  <c r="M930" i="2"/>
  <c r="U930" i="2"/>
  <c r="I931" i="2"/>
  <c r="Q931" i="2"/>
  <c r="Y931" i="2"/>
  <c r="M932" i="2"/>
  <c r="U932" i="2"/>
  <c r="I933" i="2"/>
  <c r="Q933" i="2"/>
  <c r="Y933" i="2"/>
  <c r="M934" i="2"/>
  <c r="U934" i="2"/>
  <c r="I935" i="2"/>
  <c r="Q935" i="2"/>
  <c r="Y935" i="2"/>
  <c r="M936" i="2"/>
  <c r="U936" i="2"/>
  <c r="I937" i="2"/>
  <c r="Q937" i="2"/>
  <c r="Y937" i="2"/>
  <c r="M938" i="2"/>
  <c r="U938" i="2"/>
  <c r="I939" i="2"/>
  <c r="Q939" i="2"/>
  <c r="Y939" i="2"/>
  <c r="M940" i="2"/>
  <c r="U940" i="2"/>
  <c r="I941" i="2"/>
  <c r="Q941" i="2"/>
  <c r="Y941" i="2"/>
  <c r="M942" i="2"/>
  <c r="U942" i="2"/>
  <c r="I943" i="2"/>
  <c r="Q943" i="2"/>
  <c r="Y943" i="2"/>
  <c r="M944" i="2"/>
  <c r="U944" i="2"/>
  <c r="I945" i="2"/>
  <c r="Q945" i="2"/>
  <c r="Y945" i="2"/>
  <c r="M946" i="2"/>
  <c r="U946" i="2"/>
  <c r="I947" i="2"/>
  <c r="Q947" i="2"/>
  <c r="Y947" i="2"/>
  <c r="M948" i="2"/>
  <c r="U948" i="2"/>
  <c r="I949" i="2"/>
  <c r="Q949" i="2"/>
  <c r="Y949" i="2"/>
  <c r="M950" i="2"/>
  <c r="U950" i="2"/>
  <c r="I951" i="2"/>
  <c r="Q951" i="2"/>
  <c r="Y951" i="2"/>
  <c r="M952" i="2"/>
  <c r="U952" i="2"/>
  <c r="I953" i="2"/>
  <c r="Q953" i="2"/>
  <c r="Y953" i="2"/>
  <c r="M954" i="2"/>
  <c r="U954" i="2"/>
  <c r="I955" i="2"/>
  <c r="Q955" i="2"/>
  <c r="Y955" i="2"/>
  <c r="M956" i="2"/>
  <c r="U956" i="2"/>
  <c r="I957" i="2"/>
  <c r="Q957" i="2"/>
  <c r="Y957" i="2"/>
  <c r="M958" i="2"/>
  <c r="U958" i="2"/>
  <c r="I959" i="2"/>
  <c r="Q959" i="2"/>
  <c r="Y959" i="2"/>
  <c r="M960" i="2"/>
  <c r="U960" i="2"/>
  <c r="I961" i="2"/>
  <c r="Q961" i="2"/>
  <c r="Y961" i="2"/>
  <c r="M962" i="2"/>
  <c r="U962" i="2"/>
  <c r="I963" i="2"/>
  <c r="Q963" i="2"/>
  <c r="Y963" i="2"/>
  <c r="M964" i="2"/>
  <c r="U964" i="2"/>
  <c r="I965" i="2"/>
  <c r="Q965" i="2"/>
  <c r="Y965" i="2"/>
  <c r="M966" i="2"/>
  <c r="U966" i="2"/>
  <c r="I967" i="2"/>
  <c r="Q967" i="2"/>
  <c r="Y967" i="2"/>
  <c r="M968" i="2"/>
  <c r="U968" i="2"/>
  <c r="I969" i="2"/>
  <c r="Q969" i="2"/>
  <c r="Y969" i="2"/>
  <c r="M970" i="2"/>
  <c r="U970" i="2"/>
  <c r="I971" i="2"/>
  <c r="Q971" i="2"/>
  <c r="Y971" i="2"/>
  <c r="M972" i="2"/>
  <c r="U972" i="2"/>
  <c r="I973" i="2"/>
  <c r="Q973" i="2"/>
  <c r="Y973" i="2"/>
  <c r="M974" i="2"/>
  <c r="U974" i="2"/>
  <c r="I975" i="2"/>
  <c r="Q975" i="2"/>
  <c r="Y975" i="2"/>
  <c r="M976" i="2"/>
  <c r="U976" i="2"/>
  <c r="I977" i="2"/>
  <c r="Q977" i="2"/>
  <c r="Y977" i="2"/>
  <c r="M978" i="2"/>
  <c r="U978" i="2"/>
  <c r="I979" i="2"/>
  <c r="Q979" i="2"/>
  <c r="Y979" i="2"/>
  <c r="M980" i="2"/>
  <c r="U980" i="2"/>
  <c r="I981" i="2"/>
  <c r="Q981" i="2"/>
  <c r="Y981" i="2"/>
  <c r="M982" i="2"/>
  <c r="U982" i="2"/>
  <c r="I983" i="2"/>
  <c r="Q983" i="2"/>
  <c r="Y983" i="2"/>
  <c r="M984" i="2"/>
  <c r="U984" i="2"/>
  <c r="I985" i="2"/>
  <c r="Q985" i="2"/>
  <c r="Y985" i="2"/>
  <c r="M986" i="2"/>
  <c r="U986" i="2"/>
  <c r="I987" i="2"/>
  <c r="Q987" i="2"/>
  <c r="Y987" i="2"/>
  <c r="M988" i="2"/>
  <c r="U988" i="2"/>
  <c r="I989" i="2"/>
  <c r="Q989" i="2"/>
  <c r="Y989" i="2"/>
  <c r="M990" i="2"/>
  <c r="U990" i="2"/>
  <c r="I991" i="2"/>
  <c r="Q991" i="2"/>
  <c r="Y991" i="2"/>
  <c r="M992" i="2"/>
  <c r="U992" i="2"/>
  <c r="I993" i="2"/>
  <c r="Q993" i="2"/>
  <c r="Y993" i="2"/>
  <c r="M994" i="2"/>
  <c r="U994" i="2"/>
  <c r="I995" i="2"/>
  <c r="Q995" i="2"/>
  <c r="Y995" i="2"/>
  <c r="M996" i="2"/>
  <c r="U996" i="2"/>
  <c r="I997" i="2"/>
  <c r="Q997" i="2"/>
  <c r="Y997" i="2"/>
  <c r="M998" i="2"/>
  <c r="U998" i="2"/>
  <c r="I999" i="2"/>
  <c r="Q999" i="2"/>
  <c r="Y999" i="2"/>
  <c r="M1000" i="2"/>
  <c r="U1000" i="2"/>
  <c r="I1001" i="2"/>
  <c r="Q1001" i="2"/>
  <c r="Y1001" i="2"/>
  <c r="M1002" i="2"/>
  <c r="U1002" i="2"/>
  <c r="I1003" i="2"/>
  <c r="Q1003" i="2"/>
  <c r="Y1003" i="2"/>
  <c r="M1004" i="2"/>
  <c r="U1004" i="2"/>
  <c r="I1005" i="2"/>
  <c r="Q1005" i="2"/>
  <c r="Y1005" i="2"/>
  <c r="M1006" i="2"/>
  <c r="U1006" i="2"/>
  <c r="I1007" i="2"/>
  <c r="Q1007" i="2"/>
  <c r="Y1007" i="2"/>
  <c r="M1008" i="2"/>
  <c r="U1008" i="2"/>
  <c r="I1009" i="2"/>
  <c r="Q1009" i="2"/>
  <c r="Y1009" i="2"/>
  <c r="M1010" i="2"/>
  <c r="U1010" i="2"/>
  <c r="I1011" i="2"/>
  <c r="Q1011" i="2"/>
  <c r="Y1011" i="2"/>
  <c r="M1012" i="2"/>
  <c r="U1012" i="2"/>
  <c r="I1013" i="2"/>
  <c r="Q1013" i="2"/>
  <c r="Y1013" i="2"/>
  <c r="M1014" i="2"/>
  <c r="U1014" i="2"/>
  <c r="I1015" i="2"/>
  <c r="Q1015" i="2"/>
  <c r="Y1015" i="2"/>
  <c r="M1016" i="2"/>
  <c r="U1016" i="2"/>
  <c r="I1017" i="2"/>
  <c r="Q1017" i="2"/>
  <c r="Y1017" i="2"/>
  <c r="M1018" i="2"/>
  <c r="U1018" i="2"/>
  <c r="I1019" i="2"/>
  <c r="Q1019" i="2"/>
  <c r="Y1019" i="2"/>
  <c r="M1020" i="2"/>
  <c r="U1020" i="2"/>
  <c r="I1021" i="2"/>
  <c r="Q1021" i="2"/>
  <c r="Y1021" i="2"/>
  <c r="M1022" i="2"/>
  <c r="U1022" i="2"/>
  <c r="I1023" i="2"/>
  <c r="Q1023" i="2"/>
  <c r="Y1023" i="2"/>
  <c r="M1024" i="2"/>
  <c r="U1024" i="2"/>
  <c r="I1025" i="2"/>
  <c r="Q1025" i="2"/>
  <c r="Y1025" i="2"/>
  <c r="M1026" i="2"/>
  <c r="U1026" i="2"/>
  <c r="I1027" i="2"/>
  <c r="Q1027" i="2"/>
  <c r="Y1027" i="2"/>
  <c r="M1028" i="2"/>
  <c r="U1028" i="2"/>
  <c r="I1029" i="2"/>
  <c r="Q1029" i="2"/>
  <c r="Y1029" i="2"/>
  <c r="M1030" i="2"/>
  <c r="U1030" i="2"/>
  <c r="I1031" i="2"/>
  <c r="Q1031" i="2"/>
  <c r="Y1031" i="2"/>
  <c r="M1032" i="2"/>
  <c r="U1032" i="2"/>
  <c r="I1033" i="2"/>
  <c r="Q1033" i="2"/>
  <c r="Y1033" i="2"/>
  <c r="M1034" i="2"/>
  <c r="U1034" i="2"/>
  <c r="I1035" i="2"/>
  <c r="Q1035" i="2"/>
  <c r="Y1035" i="2"/>
  <c r="M1036" i="2"/>
  <c r="U1036" i="2"/>
  <c r="I1037" i="2"/>
  <c r="Q1037" i="2"/>
  <c r="Y1037" i="2"/>
  <c r="M1038" i="2"/>
  <c r="U1038" i="2"/>
  <c r="I1039" i="2"/>
  <c r="Q1039" i="2"/>
  <c r="Y1039" i="2"/>
  <c r="M1040" i="2"/>
  <c r="U1040" i="2"/>
  <c r="I1041" i="2"/>
  <c r="Q1041" i="2"/>
  <c r="Y1041" i="2"/>
  <c r="M1042" i="2"/>
  <c r="U1042" i="2"/>
  <c r="I1043" i="2"/>
  <c r="Q1043" i="2"/>
  <c r="Y1043" i="2"/>
  <c r="M1044" i="2"/>
  <c r="U1044" i="2"/>
  <c r="I1045" i="2"/>
  <c r="Q1045" i="2"/>
  <c r="Y1045" i="2"/>
  <c r="M1046" i="2"/>
  <c r="U1046" i="2"/>
  <c r="I1047" i="2"/>
  <c r="Q1047" i="2"/>
  <c r="Y1047" i="2"/>
  <c r="M1048" i="2"/>
  <c r="U1048" i="2"/>
  <c r="I1049" i="2"/>
  <c r="Q1049" i="2"/>
  <c r="Y1049" i="2"/>
  <c r="M1050" i="2"/>
  <c r="U1050" i="2"/>
  <c r="I1051" i="2"/>
  <c r="Q1051" i="2"/>
  <c r="Y1051" i="2"/>
  <c r="M1052" i="2"/>
  <c r="U1052" i="2"/>
  <c r="I1053" i="2"/>
  <c r="Q1053" i="2"/>
  <c r="Y1053" i="2"/>
  <c r="M1054" i="2"/>
  <c r="U1054" i="2"/>
  <c r="I1055" i="2"/>
  <c r="Q1055" i="2"/>
  <c r="Y1055" i="2"/>
  <c r="M1056" i="2"/>
  <c r="U1056" i="2"/>
  <c r="I1057" i="2"/>
  <c r="Q1057" i="2"/>
  <c r="Y1057" i="2"/>
  <c r="M1058" i="2"/>
  <c r="U1058" i="2"/>
  <c r="I1059" i="2"/>
  <c r="Q1059" i="2"/>
  <c r="Y1059" i="2"/>
  <c r="M1060" i="2"/>
  <c r="U1060" i="2"/>
  <c r="I1061" i="2"/>
  <c r="Q1061" i="2"/>
  <c r="Y1061" i="2"/>
  <c r="M1062" i="2"/>
  <c r="U1062" i="2"/>
  <c r="I1063" i="2"/>
  <c r="Q1063" i="2"/>
  <c r="Y1063" i="2"/>
  <c r="M1064" i="2"/>
  <c r="U1064" i="2"/>
  <c r="I1065" i="2"/>
  <c r="Q1065" i="2"/>
  <c r="Y1065" i="2"/>
  <c r="M1066" i="2"/>
  <c r="U1066" i="2"/>
  <c r="I1067" i="2"/>
  <c r="Q1067" i="2"/>
  <c r="Y1067" i="2"/>
  <c r="M1068" i="2"/>
  <c r="U1068" i="2"/>
  <c r="I1069" i="2"/>
  <c r="Q1069" i="2"/>
  <c r="Y1069" i="2"/>
  <c r="M1070" i="2"/>
  <c r="U1070" i="2"/>
  <c r="I1071" i="2"/>
  <c r="Q1071" i="2"/>
  <c r="Y1071" i="2"/>
  <c r="M1072" i="2"/>
  <c r="U1072" i="2"/>
  <c r="I1073" i="2"/>
  <c r="Q1073" i="2"/>
  <c r="Y1073" i="2"/>
  <c r="M1074" i="2"/>
  <c r="U1074" i="2"/>
  <c r="I1075" i="2"/>
  <c r="Q1075" i="2"/>
  <c r="Y1075" i="2"/>
  <c r="M1076" i="2"/>
  <c r="U1076" i="2"/>
  <c r="I1077" i="2"/>
  <c r="Q1077" i="2"/>
  <c r="Y1077" i="2"/>
  <c r="M1078" i="2"/>
  <c r="U1078" i="2"/>
  <c r="I1079" i="2"/>
  <c r="Q1079" i="2"/>
  <c r="Y1079" i="2"/>
  <c r="M1080" i="2"/>
  <c r="U1080" i="2"/>
  <c r="I1081" i="2"/>
  <c r="Q1081" i="2"/>
  <c r="Y1081" i="2"/>
  <c r="M1082" i="2"/>
  <c r="U1082" i="2"/>
  <c r="I1083" i="2"/>
  <c r="Q1083" i="2"/>
  <c r="Y1083" i="2"/>
  <c r="M1084" i="2"/>
  <c r="U1084" i="2"/>
  <c r="I1085" i="2"/>
  <c r="Q1085" i="2"/>
  <c r="Y1085" i="2"/>
  <c r="M1086" i="2"/>
  <c r="U1086" i="2"/>
  <c r="I1087" i="2"/>
  <c r="Q1087" i="2"/>
  <c r="Y1087" i="2"/>
  <c r="M1088" i="2"/>
  <c r="U1088" i="2"/>
  <c r="I1089" i="2"/>
  <c r="Q1089" i="2"/>
  <c r="Y1089" i="2"/>
  <c r="M1090" i="2"/>
  <c r="U1090" i="2"/>
  <c r="I1091" i="2"/>
  <c r="Q1091" i="2"/>
  <c r="Y1091" i="2"/>
  <c r="M1092" i="2"/>
  <c r="U1092" i="2"/>
  <c r="I1093" i="2"/>
  <c r="Q1093" i="2"/>
  <c r="Y1093" i="2"/>
  <c r="M1094" i="2"/>
  <c r="U1094" i="2"/>
  <c r="I1095" i="2"/>
  <c r="Q1095" i="2"/>
  <c r="Y1095" i="2"/>
  <c r="M1096" i="2"/>
  <c r="U1096" i="2"/>
  <c r="I1097" i="2"/>
  <c r="Q1097" i="2"/>
  <c r="Y1097" i="2"/>
  <c r="M1098" i="2"/>
  <c r="U1098" i="2"/>
  <c r="I1099" i="2"/>
  <c r="Q1099" i="2"/>
  <c r="Y1099" i="2"/>
  <c r="M1100" i="2"/>
  <c r="U1100" i="2"/>
  <c r="I1101" i="2"/>
  <c r="Q1101" i="2"/>
  <c r="Y1101" i="2"/>
  <c r="M1102" i="2"/>
  <c r="U1102" i="2"/>
  <c r="I1103" i="2"/>
  <c r="Q1103" i="2"/>
  <c r="Y1103" i="2"/>
  <c r="M1104" i="2"/>
  <c r="U1104" i="2"/>
  <c r="I1105" i="2"/>
  <c r="Q1105" i="2"/>
  <c r="Y1105" i="2"/>
  <c r="M1106" i="2"/>
  <c r="U1106" i="2"/>
  <c r="I1107" i="2"/>
  <c r="Q1107" i="2"/>
  <c r="Y1107" i="2"/>
  <c r="M1108" i="2"/>
  <c r="U1108" i="2"/>
  <c r="I1109" i="2"/>
  <c r="Q1109" i="2"/>
  <c r="Y1109" i="2"/>
  <c r="M1110" i="2"/>
  <c r="U1110" i="2"/>
  <c r="I1111" i="2"/>
  <c r="Q1111" i="2"/>
  <c r="Y1111" i="2"/>
  <c r="M1112" i="2"/>
  <c r="U1112" i="2"/>
  <c r="I1113" i="2"/>
  <c r="Q1113" i="2"/>
  <c r="Y1113" i="2"/>
  <c r="M1114" i="2"/>
  <c r="U1114" i="2"/>
  <c r="I1115" i="2"/>
  <c r="Q1115" i="2"/>
  <c r="Y1115" i="2"/>
  <c r="M1116" i="2"/>
  <c r="U1116" i="2"/>
  <c r="I1117" i="2"/>
  <c r="Q1117" i="2"/>
  <c r="Y1117" i="2"/>
  <c r="M1118" i="2"/>
  <c r="U1118" i="2"/>
  <c r="I1119" i="2"/>
  <c r="Q1119" i="2"/>
  <c r="Y1119" i="2"/>
  <c r="M1120" i="2"/>
  <c r="U1120" i="2"/>
  <c r="I1121" i="2"/>
  <c r="Q1121" i="2"/>
  <c r="Y1121" i="2"/>
  <c r="M1122" i="2"/>
  <c r="U1122" i="2"/>
  <c r="I1123" i="2"/>
  <c r="Q1123" i="2"/>
  <c r="Y1123" i="2"/>
  <c r="M1124" i="2"/>
  <c r="U1124" i="2"/>
  <c r="I1125" i="2"/>
  <c r="Q1125" i="2"/>
  <c r="Y1125" i="2"/>
  <c r="M1126" i="2"/>
  <c r="U1126" i="2"/>
  <c r="I1127" i="2"/>
  <c r="Q1127" i="2"/>
  <c r="Y1127" i="2"/>
  <c r="M1128" i="2"/>
  <c r="U1128" i="2"/>
  <c r="I1129" i="2"/>
  <c r="Q1129" i="2"/>
  <c r="Y1129" i="2"/>
  <c r="M1130" i="2"/>
  <c r="U1130" i="2"/>
  <c r="I1131" i="2"/>
  <c r="Q1131" i="2"/>
  <c r="Y1131" i="2"/>
  <c r="M1132" i="2"/>
  <c r="U1132" i="2"/>
  <c r="I1133" i="2"/>
  <c r="Q1133" i="2"/>
  <c r="Y1133" i="2"/>
  <c r="M1134" i="2"/>
  <c r="U1134" i="2"/>
  <c r="I1135" i="2"/>
  <c r="Q1135" i="2"/>
  <c r="Y1135" i="2"/>
  <c r="M1136" i="2"/>
  <c r="U1136" i="2"/>
  <c r="I1137" i="2"/>
  <c r="Q1137" i="2"/>
  <c r="Y1137" i="2"/>
  <c r="M1138" i="2"/>
  <c r="U1138" i="2"/>
  <c r="I1139" i="2"/>
  <c r="Q1139" i="2"/>
  <c r="Y1139" i="2"/>
  <c r="M1140" i="2"/>
  <c r="U1140" i="2"/>
  <c r="I1141" i="2"/>
  <c r="Q1141" i="2"/>
  <c r="Y1141" i="2"/>
  <c r="M1142" i="2"/>
  <c r="U1142" i="2"/>
  <c r="I1143" i="2"/>
  <c r="Q1143" i="2"/>
  <c r="Y1143" i="2"/>
  <c r="M1144" i="2"/>
  <c r="U1144" i="2"/>
  <c r="I1145" i="2"/>
  <c r="Q1145" i="2"/>
  <c r="Y1145" i="2"/>
  <c r="M1146" i="2"/>
  <c r="U1146" i="2"/>
  <c r="I1147" i="2"/>
  <c r="Q1147" i="2"/>
  <c r="Y1147" i="2"/>
  <c r="M1148" i="2"/>
  <c r="U1148" i="2"/>
  <c r="I1149" i="2"/>
  <c r="Q1149" i="2"/>
  <c r="Y1149" i="2"/>
  <c r="M1150" i="2"/>
  <c r="U1150" i="2"/>
  <c r="I1151" i="2"/>
  <c r="Q1151" i="2"/>
  <c r="Y1151" i="2"/>
  <c r="M1152" i="2"/>
  <c r="U1152" i="2"/>
  <c r="I1153" i="2"/>
  <c r="Q1153" i="2"/>
  <c r="Y1153" i="2"/>
  <c r="M1154" i="2"/>
  <c r="U1154" i="2"/>
  <c r="I1155" i="2"/>
  <c r="Q1155" i="2"/>
  <c r="Y1155" i="2"/>
  <c r="M1156" i="2"/>
  <c r="U1156" i="2"/>
  <c r="I1157" i="2"/>
  <c r="Q1157" i="2"/>
  <c r="Y1157" i="2"/>
  <c r="M1158" i="2"/>
  <c r="U1158" i="2"/>
  <c r="I1159" i="2"/>
  <c r="Q1159" i="2"/>
  <c r="Y1159" i="2"/>
  <c r="M1160" i="2"/>
  <c r="U1160" i="2"/>
  <c r="I1161" i="2"/>
  <c r="Q1161" i="2"/>
  <c r="Y1161" i="2"/>
  <c r="M1162" i="2"/>
  <c r="U1162" i="2"/>
  <c r="I1163" i="2"/>
  <c r="Q1163" i="2"/>
  <c r="Y1163" i="2"/>
  <c r="M1164" i="2"/>
  <c r="U1164" i="2"/>
  <c r="I1165" i="2"/>
  <c r="Q1165" i="2"/>
  <c r="Y1165" i="2"/>
  <c r="M1166" i="2"/>
  <c r="U1166" i="2"/>
  <c r="I1167" i="2"/>
  <c r="Q1167" i="2"/>
  <c r="Y1167" i="2"/>
  <c r="M1168" i="2"/>
  <c r="U1168" i="2"/>
  <c r="I1169" i="2"/>
  <c r="Q1169" i="2"/>
  <c r="Y1169" i="2"/>
  <c r="M1170" i="2"/>
  <c r="U1170" i="2"/>
  <c r="I1171" i="2"/>
  <c r="Q1171" i="2"/>
  <c r="Y1171" i="2"/>
  <c r="M1172" i="2"/>
  <c r="U1172" i="2"/>
  <c r="I1173" i="2"/>
  <c r="Q1173" i="2"/>
  <c r="Y1173" i="2"/>
  <c r="M1174" i="2"/>
  <c r="U1174" i="2"/>
  <c r="I1175" i="2"/>
  <c r="Q1175" i="2"/>
  <c r="Y1175" i="2"/>
  <c r="M1176" i="2"/>
  <c r="U1176" i="2"/>
  <c r="I1177" i="2"/>
  <c r="Q1177" i="2"/>
  <c r="Y1177" i="2"/>
  <c r="M1178" i="2"/>
  <c r="U1178" i="2"/>
  <c r="I1179" i="2"/>
  <c r="Q1179" i="2"/>
  <c r="Y1179" i="2"/>
  <c r="M1180" i="2"/>
  <c r="U1180" i="2"/>
  <c r="I1181" i="2"/>
  <c r="Q1181" i="2"/>
  <c r="Y1181" i="2"/>
  <c r="M1182" i="2"/>
  <c r="U1182" i="2"/>
  <c r="I1183" i="2"/>
  <c r="Q1183" i="2"/>
  <c r="Y1183" i="2"/>
  <c r="M1184" i="2"/>
  <c r="U1184" i="2"/>
  <c r="I1185" i="2"/>
  <c r="Q1185" i="2"/>
  <c r="Y1185" i="2"/>
  <c r="M1186" i="2"/>
  <c r="U1186" i="2"/>
  <c r="I1187" i="2"/>
  <c r="Q1187" i="2"/>
  <c r="Y1187" i="2"/>
  <c r="M1188" i="2"/>
  <c r="U1188" i="2"/>
  <c r="I1189" i="2"/>
  <c r="Q1189" i="2"/>
  <c r="Y1189" i="2"/>
  <c r="M1190" i="2"/>
  <c r="U1190" i="2"/>
  <c r="I1191" i="2"/>
  <c r="Q1191" i="2"/>
  <c r="Y1191" i="2"/>
  <c r="M1192" i="2"/>
  <c r="U1192" i="2"/>
  <c r="I1193" i="2"/>
  <c r="Q1193" i="2"/>
  <c r="Y1193" i="2"/>
  <c r="M1194" i="2"/>
  <c r="U1194" i="2"/>
  <c r="I1195" i="2"/>
  <c r="Q1195" i="2"/>
  <c r="Y1195" i="2"/>
  <c r="M1196" i="2"/>
  <c r="U1196" i="2"/>
  <c r="I1197" i="2"/>
  <c r="Q1197" i="2"/>
  <c r="Y1197" i="2"/>
  <c r="M1198" i="2"/>
  <c r="U1198" i="2"/>
  <c r="I1199" i="2"/>
  <c r="Q1199" i="2"/>
  <c r="Y1199" i="2"/>
  <c r="M1200" i="2"/>
  <c r="U1200" i="2"/>
  <c r="I1201" i="2"/>
  <c r="Q1201" i="2"/>
  <c r="Y1201" i="2"/>
  <c r="M1202" i="2"/>
  <c r="U1202" i="2"/>
  <c r="I1203" i="2"/>
  <c r="Q1203" i="2"/>
  <c r="Y1203" i="2"/>
  <c r="M1204" i="2"/>
  <c r="U1204" i="2"/>
  <c r="I1205" i="2"/>
  <c r="Q1205" i="2"/>
  <c r="Y1205" i="2"/>
  <c r="M1206" i="2"/>
  <c r="U1206" i="2"/>
  <c r="I1207" i="2"/>
  <c r="Q1207" i="2"/>
  <c r="Y1207" i="2"/>
  <c r="M1208" i="2"/>
  <c r="U1208" i="2"/>
  <c r="I1209" i="2"/>
  <c r="Q1209" i="2"/>
  <c r="Y1209" i="2"/>
  <c r="M1210" i="2"/>
  <c r="U1210" i="2"/>
  <c r="I1211" i="2"/>
  <c r="Q1211" i="2"/>
  <c r="Y1211" i="2"/>
  <c r="M1212" i="2"/>
  <c r="U1212" i="2"/>
  <c r="I1213" i="2"/>
  <c r="Q1213" i="2"/>
  <c r="Y1213" i="2"/>
  <c r="M1214" i="2"/>
  <c r="U1214" i="2"/>
  <c r="I1215" i="2"/>
  <c r="Q1215" i="2"/>
  <c r="Y1215" i="2"/>
  <c r="M1216" i="2"/>
  <c r="U1216" i="2"/>
  <c r="I1217" i="2"/>
  <c r="Q1217" i="2"/>
  <c r="Y1217" i="2"/>
  <c r="M1218" i="2"/>
  <c r="U1218" i="2"/>
  <c r="I1219" i="2"/>
  <c r="Q1219" i="2"/>
  <c r="Y1219" i="2"/>
  <c r="M1220" i="2"/>
  <c r="U1220" i="2"/>
  <c r="I1221" i="2"/>
  <c r="Q1221" i="2"/>
  <c r="Y1221" i="2"/>
  <c r="J1222" i="2"/>
  <c r="O1222" i="2"/>
  <c r="U1222" i="2"/>
  <c r="Z1222" i="2"/>
  <c r="K1223" i="2"/>
  <c r="Q1223" i="2"/>
  <c r="V1223" i="2"/>
  <c r="AA1223" i="2"/>
  <c r="M1224" i="2"/>
  <c r="R1224" i="2"/>
  <c r="W1224" i="2"/>
  <c r="I1225" i="2"/>
  <c r="N1225" i="2"/>
  <c r="S1225" i="2"/>
  <c r="Y1225" i="2"/>
  <c r="J1226" i="2"/>
  <c r="O1226" i="2"/>
  <c r="U1226" i="2"/>
  <c r="Z1226" i="2"/>
  <c r="K1227" i="2"/>
  <c r="Q1227" i="2"/>
  <c r="V1227" i="2"/>
  <c r="AA1227" i="2"/>
  <c r="M1228" i="2"/>
  <c r="R1228" i="2"/>
  <c r="W1228" i="2"/>
  <c r="I1229" i="2"/>
  <c r="N1229" i="2"/>
  <c r="S1229" i="2"/>
  <c r="Y1229" i="2"/>
  <c r="J1230" i="2"/>
  <c r="O1230" i="2"/>
  <c r="U1230" i="2"/>
  <c r="Z1230" i="2"/>
  <c r="K1231" i="2"/>
  <c r="Q1231" i="2"/>
  <c r="V1231" i="2"/>
  <c r="AA1231" i="2"/>
  <c r="M1232" i="2"/>
  <c r="R1232" i="2"/>
  <c r="W1232" i="2"/>
  <c r="I1233" i="2"/>
  <c r="N1233" i="2"/>
  <c r="S1233" i="2"/>
  <c r="Y1233" i="2"/>
  <c r="J1234" i="2"/>
  <c r="O1234" i="2"/>
  <c r="U1234" i="2"/>
  <c r="Z1234" i="2"/>
  <c r="K1235" i="2"/>
  <c r="Q1235" i="2"/>
  <c r="V1235" i="2"/>
  <c r="AA1235" i="2"/>
  <c r="M1236" i="2"/>
  <c r="R1236" i="2"/>
  <c r="W1236" i="2"/>
  <c r="I1237" i="2"/>
  <c r="N1237" i="2"/>
  <c r="S1237" i="2"/>
  <c r="Y1237" i="2"/>
  <c r="J1238" i="2"/>
  <c r="O1238" i="2"/>
  <c r="U1238" i="2"/>
  <c r="Z1238" i="2"/>
  <c r="K1239" i="2"/>
  <c r="Q1239" i="2"/>
  <c r="V1239" i="2"/>
  <c r="AA1239" i="2"/>
  <c r="M1240" i="2"/>
  <c r="R1240" i="2"/>
  <c r="W1240" i="2"/>
  <c r="I1241" i="2"/>
  <c r="N1241" i="2"/>
  <c r="S1241" i="2"/>
  <c r="Y1241" i="2"/>
  <c r="J1242" i="2"/>
  <c r="O1242" i="2"/>
  <c r="U1242" i="2"/>
  <c r="Z1242" i="2"/>
  <c r="K1243" i="2"/>
  <c r="Q1243" i="2"/>
  <c r="V1243" i="2"/>
  <c r="AA1243" i="2"/>
  <c r="M1244" i="2"/>
  <c r="R1244" i="2"/>
  <c r="W1244" i="2"/>
  <c r="I1245" i="2"/>
  <c r="N1245" i="2"/>
  <c r="S1245" i="2"/>
  <c r="Y1245" i="2"/>
  <c r="J1246" i="2"/>
  <c r="O1246" i="2"/>
  <c r="U1246" i="2"/>
  <c r="Z1246" i="2"/>
  <c r="K1247" i="2"/>
  <c r="Q1247" i="2"/>
  <c r="V1247" i="2"/>
  <c r="AA1247" i="2"/>
  <c r="M1248" i="2"/>
  <c r="R1248" i="2"/>
  <c r="W1248" i="2"/>
  <c r="I1249" i="2"/>
  <c r="N1249" i="2"/>
  <c r="S1249" i="2"/>
  <c r="Y1249" i="2"/>
  <c r="J1250" i="2"/>
  <c r="O1250" i="2"/>
  <c r="U1250" i="2"/>
  <c r="Z1250" i="2"/>
  <c r="K1251" i="2"/>
  <c r="Q1251" i="2"/>
  <c r="V1251" i="2"/>
  <c r="AA1251" i="2"/>
  <c r="M1252" i="2"/>
  <c r="R1252" i="2"/>
  <c r="W1252" i="2"/>
  <c r="I1253" i="2"/>
  <c r="N1253" i="2"/>
  <c r="S1253" i="2"/>
  <c r="Y1253" i="2"/>
  <c r="J1254" i="2"/>
  <c r="O1254" i="2"/>
  <c r="U1254" i="2"/>
  <c r="Z1254" i="2"/>
  <c r="K1255" i="2"/>
  <c r="Q1255" i="2"/>
  <c r="V1255" i="2"/>
  <c r="AA1255" i="2"/>
  <c r="M1256" i="2"/>
  <c r="R1256" i="2"/>
  <c r="W1256" i="2"/>
  <c r="I1257" i="2"/>
  <c r="N1257" i="2"/>
  <c r="S1257" i="2"/>
  <c r="Y1257" i="2"/>
  <c r="J1258" i="2"/>
  <c r="O1258" i="2"/>
  <c r="U1258" i="2"/>
  <c r="Z1258" i="2"/>
  <c r="K1259" i="2"/>
  <c r="Q1259" i="2"/>
  <c r="V1259" i="2"/>
  <c r="AA1259" i="2"/>
  <c r="M1260" i="2"/>
  <c r="R1260" i="2"/>
  <c r="W1260" i="2"/>
  <c r="I1261" i="2"/>
  <c r="N1261" i="2"/>
  <c r="S1261" i="2"/>
  <c r="Y1261" i="2"/>
  <c r="J1262" i="2"/>
  <c r="O1262" i="2"/>
  <c r="U1262" i="2"/>
  <c r="Z1262" i="2"/>
  <c r="K1263" i="2"/>
  <c r="Q1263" i="2"/>
  <c r="V1263" i="2"/>
  <c r="AA1263" i="2"/>
  <c r="M1264" i="2"/>
  <c r="R1264" i="2"/>
  <c r="W1264" i="2"/>
  <c r="I1265" i="2"/>
  <c r="N1265" i="2"/>
  <c r="S1265" i="2"/>
  <c r="Y1265" i="2"/>
  <c r="J1266" i="2"/>
  <c r="O1266" i="2"/>
  <c r="U1266" i="2"/>
  <c r="Z1266" i="2"/>
  <c r="K1267" i="2"/>
  <c r="Q1267" i="2"/>
  <c r="V1267" i="2"/>
  <c r="AA1267" i="2"/>
  <c r="M1268" i="2"/>
  <c r="R1268" i="2"/>
  <c r="W1268" i="2"/>
  <c r="I1269" i="2"/>
  <c r="N1269" i="2"/>
  <c r="S1269" i="2"/>
  <c r="Y1269" i="2"/>
  <c r="J1270" i="2"/>
  <c r="O1270" i="2"/>
  <c r="U1270" i="2"/>
  <c r="Z1270" i="2"/>
  <c r="K1271" i="2"/>
  <c r="Q1271" i="2"/>
  <c r="V1271" i="2"/>
  <c r="AA1271" i="2"/>
  <c r="M1272" i="2"/>
  <c r="R1272" i="2"/>
  <c r="W1272" i="2"/>
  <c r="I1273" i="2"/>
  <c r="N1273" i="2"/>
  <c r="S1273" i="2"/>
  <c r="Y1273" i="2"/>
  <c r="J1274" i="2"/>
  <c r="O1274" i="2"/>
  <c r="U1274" i="2"/>
  <c r="Z1274" i="2"/>
  <c r="K1275" i="2"/>
  <c r="Q1275" i="2"/>
  <c r="V1275" i="2"/>
  <c r="AA1275" i="2"/>
  <c r="M1276" i="2"/>
  <c r="R1276" i="2"/>
  <c r="W1276" i="2"/>
  <c r="I1277" i="2"/>
  <c r="N1277" i="2"/>
  <c r="S1277" i="2"/>
  <c r="Y1277" i="2"/>
  <c r="J1278" i="2"/>
  <c r="O1278" i="2"/>
  <c r="U1278" i="2"/>
  <c r="Z1278" i="2"/>
  <c r="K1279" i="2"/>
  <c r="Q1279" i="2"/>
  <c r="V1279" i="2"/>
  <c r="AA1279" i="2"/>
  <c r="M1280" i="2"/>
  <c r="R1280" i="2"/>
  <c r="W1280" i="2"/>
  <c r="I1281" i="2"/>
  <c r="N1281" i="2"/>
  <c r="S1281" i="2"/>
  <c r="Y1281" i="2"/>
  <c r="J1282" i="2"/>
  <c r="O1282" i="2"/>
  <c r="U1282" i="2"/>
  <c r="Z1282" i="2"/>
  <c r="K1283" i="2"/>
  <c r="Q1283" i="2"/>
  <c r="V1283" i="2"/>
  <c r="AA1283" i="2"/>
  <c r="M1284" i="2"/>
  <c r="R1284" i="2"/>
  <c r="W1284" i="2"/>
  <c r="I1285" i="2"/>
  <c r="N1285" i="2"/>
  <c r="S1285" i="2"/>
  <c r="Y1285" i="2"/>
  <c r="J1286" i="2"/>
  <c r="O1286" i="2"/>
  <c r="U1286" i="2"/>
  <c r="Z1286" i="2"/>
  <c r="K1287" i="2"/>
  <c r="Q1287" i="2"/>
  <c r="V1287" i="2"/>
  <c r="AA1287" i="2"/>
  <c r="M1288" i="2"/>
  <c r="R1288" i="2"/>
  <c r="W1288" i="2"/>
  <c r="I1289" i="2"/>
  <c r="N1289" i="2"/>
  <c r="S1289" i="2"/>
  <c r="Y1289" i="2"/>
  <c r="J1290" i="2"/>
  <c r="O1290" i="2"/>
  <c r="U1290" i="2"/>
  <c r="Z1290" i="2"/>
  <c r="K1291" i="2"/>
  <c r="Q1291" i="2"/>
  <c r="V1291" i="2"/>
  <c r="AA1291" i="2"/>
  <c r="M1292" i="2"/>
  <c r="R1292" i="2"/>
  <c r="W1292" i="2"/>
  <c r="I1293" i="2"/>
  <c r="N1293" i="2"/>
  <c r="S1293" i="2"/>
  <c r="Y1293" i="2"/>
  <c r="J1294" i="2"/>
  <c r="O1294" i="2"/>
  <c r="U1294" i="2"/>
  <c r="Z1294" i="2"/>
  <c r="K1295" i="2"/>
  <c r="Q1295" i="2"/>
  <c r="V1295" i="2"/>
  <c r="AA1295" i="2"/>
  <c r="M1296" i="2"/>
  <c r="R1296" i="2"/>
  <c r="W1296" i="2"/>
  <c r="I1297" i="2"/>
  <c r="N1297" i="2"/>
  <c r="S1297" i="2"/>
  <c r="Y1297" i="2"/>
  <c r="J1298" i="2"/>
  <c r="O1298" i="2"/>
  <c r="U1298" i="2"/>
  <c r="Z1298" i="2"/>
  <c r="K1299" i="2"/>
  <c r="Q1299" i="2"/>
  <c r="V1299" i="2"/>
  <c r="AA1299" i="2"/>
  <c r="M1300" i="2"/>
  <c r="R1300" i="2"/>
  <c r="W1300" i="2"/>
  <c r="I1301" i="2"/>
  <c r="N1301" i="2"/>
  <c r="S1301" i="2"/>
  <c r="Y1301" i="2"/>
  <c r="J1302" i="2"/>
  <c r="O1302" i="2"/>
  <c r="U1302" i="2"/>
  <c r="Z1302" i="2"/>
  <c r="K1303" i="2"/>
  <c r="Q1303" i="2"/>
  <c r="V1303" i="2"/>
  <c r="AA1303" i="2"/>
  <c r="M1304" i="2"/>
  <c r="R1304" i="2"/>
  <c r="W1304" i="2"/>
  <c r="I1305" i="2"/>
  <c r="N1305" i="2"/>
  <c r="S1305" i="2"/>
  <c r="Y1305" i="2"/>
  <c r="J1306" i="2"/>
  <c r="O1306" i="2"/>
  <c r="U1306" i="2"/>
  <c r="Z1306" i="2"/>
  <c r="K1307" i="2"/>
  <c r="Q1307" i="2"/>
  <c r="V1307" i="2"/>
  <c r="AA1307" i="2"/>
  <c r="M1308" i="2"/>
  <c r="R1308" i="2"/>
  <c r="W1308" i="2"/>
  <c r="I1309" i="2"/>
  <c r="N1309" i="2"/>
  <c r="S1309" i="2"/>
  <c r="Y1309" i="2"/>
  <c r="J1310" i="2"/>
  <c r="O1310" i="2"/>
  <c r="U1310" i="2"/>
  <c r="Z1310" i="2"/>
  <c r="K1311" i="2"/>
  <c r="Q1311" i="2"/>
  <c r="V1311" i="2"/>
  <c r="AA1311" i="2"/>
  <c r="M1312" i="2"/>
  <c r="R1312" i="2"/>
  <c r="W1312" i="2"/>
  <c r="I1313" i="2"/>
  <c r="N1313" i="2"/>
  <c r="S1313" i="2"/>
  <c r="Y1313" i="2"/>
  <c r="J1314" i="2"/>
  <c r="O1314" i="2"/>
  <c r="U1314" i="2"/>
  <c r="Z1314" i="2"/>
  <c r="K1315" i="2"/>
  <c r="Q1315" i="2"/>
  <c r="V1315" i="2"/>
  <c r="AA1315" i="2"/>
  <c r="M1316" i="2"/>
  <c r="Q1316" i="2"/>
  <c r="U1316" i="2"/>
  <c r="Y1316" i="2"/>
  <c r="I1317" i="2"/>
  <c r="M1317" i="2"/>
  <c r="Q1317" i="2"/>
  <c r="U1317" i="2"/>
  <c r="Y1317" i="2"/>
  <c r="I1318" i="2"/>
  <c r="M1318" i="2"/>
  <c r="Q1318" i="2"/>
  <c r="U1318" i="2"/>
  <c r="Y1318" i="2"/>
  <c r="I1319" i="2"/>
  <c r="M1319" i="2"/>
  <c r="Q1319" i="2"/>
  <c r="U1319" i="2"/>
  <c r="Y1319" i="2"/>
  <c r="I1320" i="2"/>
  <c r="M1320" i="2"/>
  <c r="Q1320" i="2"/>
  <c r="U1320" i="2"/>
  <c r="Y1320" i="2"/>
  <c r="I1321" i="2"/>
  <c r="M1321" i="2"/>
  <c r="Q1321" i="2"/>
  <c r="U1321" i="2"/>
  <c r="Y1321" i="2"/>
  <c r="I1322" i="2"/>
  <c r="M1322" i="2"/>
  <c r="Q1322" i="2"/>
  <c r="U1322" i="2"/>
  <c r="Y1322" i="2"/>
  <c r="I1323" i="2"/>
  <c r="M1323" i="2"/>
  <c r="Q1323" i="2"/>
  <c r="U1323" i="2"/>
  <c r="Y1323" i="2"/>
  <c r="I1324" i="2"/>
  <c r="M1324" i="2"/>
  <c r="Q1324" i="2"/>
  <c r="U1324" i="2"/>
  <c r="Y1324" i="2"/>
  <c r="I1325" i="2"/>
  <c r="M1325" i="2"/>
  <c r="Q1325" i="2"/>
  <c r="U1325" i="2"/>
  <c r="Y1325" i="2"/>
  <c r="I1326" i="2"/>
  <c r="M1326" i="2"/>
  <c r="Q1326" i="2"/>
  <c r="U1326" i="2"/>
  <c r="Y1326" i="2"/>
  <c r="I1327" i="2"/>
  <c r="M1327" i="2"/>
  <c r="Q1327" i="2"/>
  <c r="U1327" i="2"/>
  <c r="Y1327" i="2"/>
  <c r="I1328" i="2"/>
  <c r="M1328" i="2"/>
  <c r="Q1328" i="2"/>
  <c r="U1328" i="2"/>
  <c r="Y1328" i="2"/>
  <c r="I1329" i="2"/>
  <c r="M1329" i="2"/>
  <c r="Q1329" i="2"/>
  <c r="U1329" i="2"/>
  <c r="Y1329" i="2"/>
  <c r="I1330" i="2"/>
  <c r="M1330" i="2"/>
  <c r="Q1330" i="2"/>
  <c r="U1330" i="2"/>
  <c r="Y1330" i="2"/>
  <c r="I1331" i="2"/>
  <c r="M1331" i="2"/>
  <c r="Q1331" i="2"/>
  <c r="U1331" i="2"/>
  <c r="Y1331" i="2"/>
  <c r="I1332" i="2"/>
  <c r="M1332" i="2"/>
  <c r="Q1332" i="2"/>
  <c r="U1332" i="2"/>
  <c r="Y1332" i="2"/>
  <c r="I1333" i="2"/>
  <c r="M1333" i="2"/>
  <c r="Q1333" i="2"/>
  <c r="U1333" i="2"/>
  <c r="Y1333" i="2"/>
  <c r="I1334" i="2"/>
  <c r="M1334" i="2"/>
  <c r="Q1334" i="2"/>
  <c r="U1334" i="2"/>
  <c r="Y1334" i="2"/>
  <c r="I1335" i="2"/>
  <c r="M1335" i="2"/>
  <c r="Q1335" i="2"/>
  <c r="U1335" i="2"/>
  <c r="Y1335" i="2"/>
  <c r="I1336" i="2"/>
  <c r="M1336" i="2"/>
  <c r="Q1336" i="2"/>
  <c r="U1336" i="2"/>
  <c r="Y1336" i="2"/>
  <c r="I1337" i="2"/>
  <c r="M1337" i="2"/>
  <c r="Q1337" i="2"/>
  <c r="U1337" i="2"/>
  <c r="Y1337" i="2"/>
  <c r="I1338" i="2"/>
  <c r="M1338" i="2"/>
  <c r="Q1338" i="2"/>
  <c r="U1338" i="2"/>
  <c r="Y1338" i="2"/>
  <c r="I1339" i="2"/>
  <c r="M1339" i="2"/>
  <c r="Q1339" i="2"/>
  <c r="U1339" i="2"/>
  <c r="Y1339" i="2"/>
  <c r="I1340" i="2"/>
  <c r="M1340" i="2"/>
  <c r="Q1340" i="2"/>
  <c r="U1340" i="2"/>
  <c r="Y1340" i="2"/>
  <c r="I1341" i="2"/>
  <c r="M1341" i="2"/>
  <c r="Q1341" i="2"/>
  <c r="U1341" i="2"/>
  <c r="Y1341" i="2"/>
  <c r="I1342" i="2"/>
  <c r="M1342" i="2"/>
  <c r="Q1342" i="2"/>
  <c r="U1342" i="2"/>
  <c r="Y1342" i="2"/>
  <c r="I1343" i="2"/>
  <c r="M1343" i="2"/>
  <c r="Q1343" i="2"/>
  <c r="U1343" i="2"/>
  <c r="Y1343" i="2"/>
  <c r="I1344" i="2"/>
  <c r="M1344" i="2"/>
  <c r="Q1344" i="2"/>
  <c r="U1344" i="2"/>
  <c r="Y1344" i="2"/>
  <c r="I1345" i="2"/>
  <c r="M1345" i="2"/>
  <c r="Q1345" i="2"/>
  <c r="U1345" i="2"/>
  <c r="Y1345" i="2"/>
  <c r="I1346" i="2"/>
  <c r="M1346" i="2"/>
  <c r="Q1346" i="2"/>
  <c r="U1346" i="2"/>
  <c r="Y1346" i="2"/>
  <c r="I1347" i="2"/>
  <c r="M1347" i="2"/>
  <c r="Q1347" i="2"/>
  <c r="U1347" i="2"/>
  <c r="Y1347" i="2"/>
  <c r="I1348" i="2"/>
  <c r="M1348" i="2"/>
  <c r="Q1348" i="2"/>
  <c r="U1348" i="2"/>
  <c r="Y1348" i="2"/>
  <c r="I1349" i="2"/>
  <c r="M1349" i="2"/>
  <c r="Q1349" i="2"/>
  <c r="U1349" i="2"/>
  <c r="Y1349" i="2"/>
  <c r="I1350" i="2"/>
  <c r="M1350" i="2"/>
  <c r="Q1350" i="2"/>
  <c r="U1350" i="2"/>
  <c r="Y1350" i="2"/>
  <c r="I1351" i="2"/>
  <c r="M1351" i="2"/>
  <c r="Q1351" i="2"/>
  <c r="U1351" i="2"/>
  <c r="Y1351" i="2"/>
  <c r="I1352" i="2"/>
  <c r="M1352" i="2"/>
  <c r="Q1352" i="2"/>
  <c r="U1352" i="2"/>
  <c r="Y1352" i="2"/>
  <c r="I1353" i="2"/>
  <c r="M1353" i="2"/>
  <c r="Q1353" i="2"/>
  <c r="U1353" i="2"/>
  <c r="Y1353" i="2"/>
  <c r="I1354" i="2"/>
  <c r="M1354" i="2"/>
  <c r="Q1354" i="2"/>
  <c r="U1354" i="2"/>
  <c r="Y1354" i="2"/>
  <c r="I1355" i="2"/>
  <c r="M1355" i="2"/>
  <c r="Q1355" i="2"/>
  <c r="U1355" i="2"/>
  <c r="Y1355" i="2"/>
  <c r="I1356" i="2"/>
  <c r="M1356" i="2"/>
  <c r="Q1356" i="2"/>
  <c r="U1356" i="2"/>
  <c r="Y1356" i="2"/>
  <c r="I1357" i="2"/>
  <c r="M1357" i="2"/>
  <c r="Q1357" i="2"/>
  <c r="U1357" i="2"/>
  <c r="Y1357" i="2"/>
  <c r="I1358" i="2"/>
  <c r="M1358" i="2"/>
  <c r="Q1358" i="2"/>
  <c r="U1358" i="2"/>
  <c r="Y1358" i="2"/>
  <c r="I1359" i="2"/>
  <c r="M1359" i="2"/>
  <c r="Q1359" i="2"/>
  <c r="U1359" i="2"/>
  <c r="Y1359" i="2"/>
  <c r="I1360" i="2"/>
  <c r="M1360" i="2"/>
  <c r="Q1360" i="2"/>
  <c r="U1360" i="2"/>
  <c r="Y1360" i="2"/>
  <c r="I1361" i="2"/>
  <c r="M1361" i="2"/>
  <c r="Q1361" i="2"/>
  <c r="U1361" i="2"/>
  <c r="Y1361" i="2"/>
  <c r="I1362" i="2"/>
  <c r="M1362" i="2"/>
  <c r="Q1362" i="2"/>
  <c r="U1362" i="2"/>
  <c r="Y1362" i="2"/>
  <c r="I1363" i="2"/>
  <c r="M1363" i="2"/>
  <c r="Q1363" i="2"/>
  <c r="U1363" i="2"/>
  <c r="Y1363" i="2"/>
  <c r="I1364" i="2"/>
  <c r="M1364" i="2"/>
  <c r="Q1364" i="2"/>
  <c r="U1364" i="2"/>
  <c r="Y1364" i="2"/>
  <c r="I1365" i="2"/>
  <c r="M1365" i="2"/>
  <c r="Q1365" i="2"/>
  <c r="U1365" i="2"/>
  <c r="Y1365" i="2"/>
  <c r="I1366" i="2"/>
  <c r="M1366" i="2"/>
  <c r="Q1366" i="2"/>
  <c r="U1366" i="2"/>
  <c r="Y1366" i="2"/>
  <c r="I1367" i="2"/>
  <c r="M1367" i="2"/>
  <c r="Q1367" i="2"/>
  <c r="U1367" i="2"/>
  <c r="Y1367" i="2"/>
  <c r="I1368" i="2"/>
  <c r="M1368" i="2"/>
  <c r="Q1368" i="2"/>
  <c r="U1368" i="2"/>
  <c r="Y1368" i="2"/>
  <c r="I1369" i="2"/>
  <c r="M1369" i="2"/>
  <c r="Q1369" i="2"/>
  <c r="U1369" i="2"/>
  <c r="Y1369" i="2"/>
  <c r="I1370" i="2"/>
  <c r="M1370" i="2"/>
  <c r="Q1370" i="2"/>
  <c r="U1370" i="2"/>
  <c r="Y1370" i="2"/>
  <c r="I1371" i="2"/>
  <c r="M1371" i="2"/>
  <c r="Q1371" i="2"/>
  <c r="U1371" i="2"/>
  <c r="Y1371" i="2"/>
  <c r="I1372" i="2"/>
  <c r="M1372" i="2"/>
  <c r="Q1372" i="2"/>
  <c r="U1372" i="2"/>
  <c r="Y1372" i="2"/>
  <c r="I1373" i="2"/>
  <c r="M1373" i="2"/>
  <c r="Q1373" i="2"/>
  <c r="U1373" i="2"/>
  <c r="Y1373" i="2"/>
  <c r="I1374" i="2"/>
  <c r="M1374" i="2"/>
  <c r="Q1374" i="2"/>
  <c r="U1374" i="2"/>
  <c r="Y1374" i="2"/>
  <c r="I1375" i="2"/>
  <c r="M1375" i="2"/>
  <c r="Q1375" i="2"/>
  <c r="U1375" i="2"/>
  <c r="Y1375" i="2"/>
  <c r="I1376" i="2"/>
  <c r="M1376" i="2"/>
  <c r="Q1376" i="2"/>
  <c r="U1376" i="2"/>
  <c r="Y1376" i="2"/>
  <c r="I1377" i="2"/>
  <c r="M1377" i="2"/>
  <c r="Q1377" i="2"/>
  <c r="U1377" i="2"/>
  <c r="Y1377" i="2"/>
  <c r="I1378" i="2"/>
  <c r="M1378" i="2"/>
  <c r="Q1378" i="2"/>
  <c r="U1378" i="2"/>
  <c r="Y1378" i="2"/>
  <c r="I1379" i="2"/>
  <c r="M1379" i="2"/>
  <c r="Q1379" i="2"/>
  <c r="U1379" i="2"/>
  <c r="Y1379" i="2"/>
  <c r="I1380" i="2"/>
  <c r="M1380" i="2"/>
  <c r="Q1380" i="2"/>
  <c r="U1380" i="2"/>
  <c r="Y1380" i="2"/>
  <c r="I1381" i="2"/>
  <c r="M1381" i="2"/>
  <c r="Q1381" i="2"/>
  <c r="U1381" i="2"/>
  <c r="Y1381" i="2"/>
  <c r="I1382" i="2"/>
  <c r="M1382" i="2"/>
  <c r="Q1382" i="2"/>
  <c r="U1382" i="2"/>
  <c r="Y1382" i="2"/>
  <c r="I1383" i="2"/>
  <c r="M1383" i="2"/>
  <c r="Q1383" i="2"/>
  <c r="U1383" i="2"/>
  <c r="Y1383" i="2"/>
  <c r="I1384" i="2"/>
  <c r="M1384" i="2"/>
  <c r="Q1384" i="2"/>
  <c r="U1384" i="2"/>
  <c r="Y1384" i="2"/>
  <c r="I1385" i="2"/>
  <c r="M1385" i="2"/>
  <c r="Q1385" i="2"/>
  <c r="U1385" i="2"/>
  <c r="Y1385" i="2"/>
  <c r="I1386" i="2"/>
  <c r="M1386" i="2"/>
  <c r="Q1386" i="2"/>
  <c r="U1386" i="2"/>
  <c r="Y1386" i="2"/>
  <c r="I1387" i="2"/>
  <c r="M1387" i="2"/>
  <c r="Q1387" i="2"/>
  <c r="U1387" i="2"/>
  <c r="Y1387" i="2"/>
  <c r="I1388" i="2"/>
  <c r="M1388" i="2"/>
  <c r="Q1388" i="2"/>
  <c r="U1388" i="2"/>
  <c r="Y1388" i="2"/>
  <c r="I1389" i="2"/>
  <c r="M1389" i="2"/>
  <c r="Q1389" i="2"/>
  <c r="U1389" i="2"/>
  <c r="Y1389" i="2"/>
  <c r="I1390" i="2"/>
  <c r="M1390" i="2"/>
  <c r="Q1390" i="2"/>
  <c r="U1390" i="2"/>
  <c r="Y1390" i="2"/>
  <c r="I1391" i="2"/>
  <c r="M1391" i="2"/>
  <c r="Q1391" i="2"/>
  <c r="U1391" i="2"/>
  <c r="Y1391" i="2"/>
  <c r="I1392" i="2"/>
  <c r="M1392" i="2"/>
  <c r="Q1392" i="2"/>
  <c r="U1392" i="2"/>
  <c r="Y1392" i="2"/>
  <c r="I1393" i="2"/>
  <c r="M1393" i="2"/>
  <c r="Q1393" i="2"/>
  <c r="U1393" i="2"/>
  <c r="Y1393" i="2"/>
  <c r="I1394" i="2"/>
  <c r="M1394" i="2"/>
  <c r="Q1394" i="2"/>
  <c r="U1394" i="2"/>
  <c r="Y1394" i="2"/>
  <c r="I1395" i="2"/>
  <c r="M1395" i="2"/>
  <c r="Q1395" i="2"/>
  <c r="U1395" i="2"/>
  <c r="Y1395" i="2"/>
  <c r="I1396" i="2"/>
  <c r="M1396" i="2"/>
  <c r="Q1396" i="2"/>
  <c r="U1396" i="2"/>
  <c r="Y1396" i="2"/>
  <c r="I1397" i="2"/>
  <c r="M1397" i="2"/>
  <c r="Q1397" i="2"/>
  <c r="U1397" i="2"/>
  <c r="Y1397" i="2"/>
  <c r="I1398" i="2"/>
  <c r="M1398" i="2"/>
  <c r="Q1398" i="2"/>
  <c r="U1398" i="2"/>
  <c r="Y1398" i="2"/>
  <c r="I1399" i="2"/>
  <c r="M1399" i="2"/>
  <c r="Q1399" i="2"/>
  <c r="U1399" i="2"/>
  <c r="Y1399" i="2"/>
  <c r="I1400" i="2"/>
  <c r="M1400" i="2"/>
  <c r="Q1400" i="2"/>
  <c r="U1400" i="2"/>
  <c r="Y1400" i="2"/>
  <c r="I1401" i="2"/>
  <c r="M1401" i="2"/>
  <c r="Q1401" i="2"/>
  <c r="U1401" i="2"/>
  <c r="Y1401" i="2"/>
  <c r="I1402" i="2"/>
  <c r="M1402" i="2"/>
  <c r="Q1402" i="2"/>
  <c r="U1402" i="2"/>
  <c r="Y1402" i="2"/>
  <c r="I1403" i="2"/>
  <c r="M1403" i="2"/>
  <c r="Q1403" i="2"/>
  <c r="U1403" i="2"/>
  <c r="Y1403" i="2"/>
  <c r="I1404" i="2"/>
  <c r="M1404" i="2"/>
  <c r="Q1404" i="2"/>
  <c r="U1404" i="2"/>
  <c r="Y1404" i="2"/>
  <c r="I1405" i="2"/>
  <c r="M1405" i="2"/>
  <c r="Q1405" i="2"/>
  <c r="U1405" i="2"/>
  <c r="Y1405" i="2"/>
  <c r="I1406" i="2"/>
  <c r="M1406" i="2"/>
  <c r="Q1406" i="2"/>
  <c r="U1406" i="2"/>
  <c r="Y1406" i="2"/>
  <c r="I1407" i="2"/>
  <c r="M1407" i="2"/>
  <c r="Q1407" i="2"/>
  <c r="U1407" i="2"/>
  <c r="Y1407" i="2"/>
  <c r="I1408" i="2"/>
  <c r="M1408" i="2"/>
  <c r="Q1408" i="2"/>
  <c r="U1408" i="2"/>
  <c r="Y1408" i="2"/>
  <c r="I1409" i="2"/>
  <c r="M1409" i="2"/>
  <c r="Q1409" i="2"/>
  <c r="U1409" i="2"/>
  <c r="Y1409" i="2"/>
  <c r="I1410" i="2"/>
  <c r="M1410" i="2"/>
  <c r="Q1410" i="2"/>
  <c r="U1410" i="2"/>
  <c r="Y1410" i="2"/>
  <c r="I1411" i="2"/>
  <c r="M1411" i="2"/>
  <c r="Q1411" i="2"/>
  <c r="U1411" i="2"/>
  <c r="Y1411" i="2"/>
  <c r="I1412" i="2"/>
  <c r="M1412" i="2"/>
  <c r="Q1412" i="2"/>
  <c r="U1412" i="2"/>
  <c r="Y1412" i="2"/>
  <c r="I1413" i="2"/>
  <c r="M1413" i="2"/>
  <c r="Q1413" i="2"/>
  <c r="U1413" i="2"/>
  <c r="Y1413" i="2"/>
  <c r="I1414" i="2"/>
  <c r="M1414" i="2"/>
  <c r="Q1414" i="2"/>
  <c r="U1414" i="2"/>
  <c r="Y1414" i="2"/>
  <c r="I1415" i="2"/>
  <c r="M1415" i="2"/>
  <c r="Q1415" i="2"/>
  <c r="U1415" i="2"/>
  <c r="Y1415" i="2"/>
  <c r="I1416" i="2"/>
  <c r="M1416" i="2"/>
  <c r="Q1416" i="2"/>
  <c r="U1416" i="2"/>
  <c r="Y1416" i="2"/>
  <c r="I1417" i="2"/>
  <c r="M1417" i="2"/>
  <c r="Q1417" i="2"/>
  <c r="U1417" i="2"/>
  <c r="Y1417" i="2"/>
  <c r="I1418" i="2"/>
  <c r="M1418" i="2"/>
  <c r="Q1418" i="2"/>
  <c r="U1418" i="2"/>
  <c r="Y1418" i="2"/>
  <c r="I1419" i="2"/>
  <c r="M1419" i="2"/>
  <c r="Q1419" i="2"/>
  <c r="U1419" i="2"/>
  <c r="Y1419" i="2"/>
  <c r="I1420" i="2"/>
  <c r="M1420" i="2"/>
  <c r="Q1420" i="2"/>
  <c r="U1420" i="2"/>
  <c r="Y1420" i="2"/>
  <c r="I1421" i="2"/>
  <c r="M1421" i="2"/>
  <c r="Q1421" i="2"/>
  <c r="U1421" i="2"/>
  <c r="Y1421" i="2"/>
  <c r="I1422" i="2"/>
  <c r="M1422" i="2"/>
  <c r="Q1422" i="2"/>
  <c r="U1422" i="2"/>
  <c r="Y1422" i="2"/>
  <c r="I1423" i="2"/>
  <c r="M1423" i="2"/>
  <c r="Q1423" i="2"/>
  <c r="U1423" i="2"/>
  <c r="Y1423" i="2"/>
  <c r="I1424" i="2"/>
  <c r="M1424" i="2"/>
  <c r="Q1424" i="2"/>
  <c r="U1424" i="2"/>
  <c r="Y1424" i="2"/>
  <c r="I1425" i="2"/>
  <c r="M1425" i="2"/>
  <c r="Q1425" i="2"/>
  <c r="U1425" i="2"/>
  <c r="Y1425" i="2"/>
  <c r="I1426" i="2"/>
  <c r="M1426" i="2"/>
  <c r="Q1426" i="2"/>
  <c r="U1426" i="2"/>
  <c r="Y1426" i="2"/>
  <c r="I1427" i="2"/>
  <c r="M1427" i="2"/>
  <c r="Q1427" i="2"/>
  <c r="U1427" i="2"/>
  <c r="Y1427" i="2"/>
  <c r="I1428" i="2"/>
  <c r="M1428" i="2"/>
  <c r="Q1428" i="2"/>
  <c r="U1428" i="2"/>
  <c r="Y1428" i="2"/>
  <c r="I1429" i="2"/>
  <c r="M1429" i="2"/>
  <c r="Q1429" i="2"/>
  <c r="U1429" i="2"/>
  <c r="Y1429" i="2"/>
  <c r="I1430" i="2"/>
  <c r="M1430" i="2"/>
  <c r="Q1430" i="2"/>
  <c r="U1430" i="2"/>
  <c r="Y1430" i="2"/>
  <c r="I1431" i="2"/>
  <c r="M1431" i="2"/>
  <c r="Q1431" i="2"/>
  <c r="U1431" i="2"/>
  <c r="Y1431" i="2"/>
  <c r="I1432" i="2"/>
  <c r="M1432" i="2"/>
  <c r="Q1432" i="2"/>
  <c r="U1432" i="2"/>
  <c r="Y1432" i="2"/>
  <c r="I1433" i="2"/>
  <c r="M1433" i="2"/>
  <c r="Q1433" i="2"/>
  <c r="U1433" i="2"/>
  <c r="Y1433" i="2"/>
  <c r="I1434" i="2"/>
  <c r="M1434" i="2"/>
  <c r="Q1434" i="2"/>
  <c r="U1434" i="2"/>
  <c r="Y1434" i="2"/>
  <c r="I1435" i="2"/>
  <c r="M1435" i="2"/>
  <c r="Q1435" i="2"/>
  <c r="U1435" i="2"/>
  <c r="Y1435" i="2"/>
  <c r="I1436" i="2"/>
  <c r="M1436" i="2"/>
  <c r="Q1436" i="2"/>
  <c r="U1436" i="2"/>
  <c r="Y1436" i="2"/>
  <c r="I1437" i="2"/>
  <c r="M1437" i="2"/>
  <c r="Q1437" i="2"/>
  <c r="U1437" i="2"/>
  <c r="Y1437" i="2"/>
  <c r="I1438" i="2"/>
  <c r="M1438" i="2"/>
  <c r="Q1438" i="2"/>
  <c r="U1438" i="2"/>
  <c r="Y1438" i="2"/>
  <c r="I1439" i="2"/>
  <c r="M1439" i="2"/>
  <c r="Q1439" i="2"/>
  <c r="U1439" i="2"/>
  <c r="Y1439" i="2"/>
  <c r="I1440" i="2"/>
  <c r="M1440" i="2"/>
  <c r="Q1440" i="2"/>
  <c r="U1440" i="2"/>
  <c r="Y1440" i="2"/>
  <c r="I1441" i="2"/>
  <c r="M1441" i="2"/>
  <c r="Q1441" i="2"/>
  <c r="U1441" i="2"/>
  <c r="Y1441" i="2"/>
  <c r="I1442" i="2"/>
  <c r="M1442" i="2"/>
  <c r="Q1442" i="2"/>
  <c r="U1442" i="2"/>
  <c r="Y1442" i="2"/>
  <c r="I1443" i="2"/>
  <c r="M1443" i="2"/>
  <c r="Q1443" i="2"/>
  <c r="U1443" i="2"/>
  <c r="Y1443" i="2"/>
  <c r="I1444" i="2"/>
  <c r="M1444" i="2"/>
  <c r="Q1444" i="2"/>
  <c r="U1444" i="2"/>
  <c r="Y1444" i="2"/>
  <c r="I1445" i="2"/>
  <c r="M1445" i="2"/>
  <c r="Q1445" i="2"/>
  <c r="U1445" i="2"/>
  <c r="Y1445" i="2"/>
  <c r="I1446" i="2"/>
  <c r="M1446" i="2"/>
  <c r="Q1446" i="2"/>
  <c r="U1446" i="2"/>
  <c r="Y1446" i="2"/>
  <c r="I1447" i="2"/>
  <c r="M1447" i="2"/>
  <c r="Q1447" i="2"/>
  <c r="U1447" i="2"/>
  <c r="Y1447" i="2"/>
  <c r="I1448" i="2"/>
  <c r="M1448" i="2"/>
  <c r="Q1448" i="2"/>
  <c r="U1448" i="2"/>
  <c r="Y1448" i="2"/>
  <c r="I1449" i="2"/>
  <c r="M1449" i="2"/>
  <c r="Q1449" i="2"/>
  <c r="U1449" i="2"/>
  <c r="Y1449" i="2"/>
  <c r="I1450" i="2"/>
  <c r="M1450" i="2"/>
  <c r="Q1450" i="2"/>
  <c r="U1450" i="2"/>
  <c r="Y1450" i="2"/>
  <c r="I1451" i="2"/>
  <c r="M1451" i="2"/>
  <c r="Q1451" i="2"/>
  <c r="U1451" i="2"/>
  <c r="Y1451" i="2"/>
  <c r="I1452" i="2"/>
  <c r="M1452" i="2"/>
  <c r="Q1452" i="2"/>
  <c r="U1452" i="2"/>
  <c r="Y1452" i="2"/>
  <c r="I1453" i="2"/>
  <c r="M1453" i="2"/>
  <c r="Q1453" i="2"/>
  <c r="U1453" i="2"/>
  <c r="Y1453" i="2"/>
  <c r="I1454" i="2"/>
  <c r="M1454" i="2"/>
  <c r="Q1454" i="2"/>
  <c r="U1454" i="2"/>
  <c r="Y1454" i="2"/>
  <c r="I1455" i="2"/>
  <c r="M1455" i="2"/>
  <c r="Q1455" i="2"/>
  <c r="U1455" i="2"/>
  <c r="Y1455" i="2"/>
  <c r="I1456" i="2"/>
  <c r="M1456" i="2"/>
  <c r="Q1456" i="2"/>
  <c r="U1456" i="2"/>
  <c r="Y1456" i="2"/>
  <c r="I1457" i="2"/>
  <c r="M1457" i="2"/>
  <c r="Q1457" i="2"/>
  <c r="U1457" i="2"/>
  <c r="Y1457" i="2"/>
  <c r="I1458" i="2"/>
  <c r="M1458" i="2"/>
  <c r="Q1458" i="2"/>
  <c r="U1458" i="2"/>
  <c r="Y1458" i="2"/>
  <c r="I1459" i="2"/>
  <c r="M1459" i="2"/>
  <c r="Q1459" i="2"/>
  <c r="U1459" i="2"/>
  <c r="Y1459" i="2"/>
  <c r="I1460" i="2"/>
  <c r="M1460" i="2"/>
  <c r="Q1460" i="2"/>
  <c r="U1460" i="2"/>
  <c r="Y1460" i="2"/>
  <c r="I1461" i="2"/>
  <c r="M1461" i="2"/>
  <c r="Q1461" i="2"/>
  <c r="U1461" i="2"/>
  <c r="Y1461" i="2"/>
  <c r="I1462" i="2"/>
  <c r="M1462" i="2"/>
  <c r="Q1462" i="2"/>
  <c r="U1462" i="2"/>
  <c r="Y1462" i="2"/>
  <c r="I1463" i="2"/>
  <c r="M1463" i="2"/>
  <c r="Q1463" i="2"/>
  <c r="U1463" i="2"/>
  <c r="Y1463" i="2"/>
  <c r="I1464" i="2"/>
  <c r="M1464" i="2"/>
  <c r="Q1464" i="2"/>
  <c r="U1464" i="2"/>
  <c r="Y1464" i="2"/>
  <c r="I1465" i="2"/>
  <c r="M1465" i="2"/>
  <c r="Q1465" i="2"/>
  <c r="U1465" i="2"/>
  <c r="Y1465" i="2"/>
  <c r="I1466" i="2"/>
  <c r="M1466" i="2"/>
  <c r="Q1466" i="2"/>
  <c r="U1466" i="2"/>
  <c r="Y1466" i="2"/>
  <c r="I1467" i="2"/>
  <c r="M1467" i="2"/>
  <c r="Q1467" i="2"/>
  <c r="U1467" i="2"/>
  <c r="Y1467" i="2"/>
  <c r="I1468" i="2"/>
  <c r="M1468" i="2"/>
  <c r="Q1468" i="2"/>
  <c r="U1468" i="2"/>
  <c r="Y1468" i="2"/>
  <c r="I1469" i="2"/>
  <c r="M1469" i="2"/>
  <c r="Q1469" i="2"/>
  <c r="U1469" i="2"/>
  <c r="Y1469" i="2"/>
  <c r="I1470" i="2"/>
  <c r="M1470" i="2"/>
  <c r="Q1470" i="2"/>
  <c r="U1470" i="2"/>
  <c r="Y1470" i="2"/>
  <c r="I1471" i="2"/>
  <c r="M1471" i="2"/>
  <c r="Q1471" i="2"/>
  <c r="U1471" i="2"/>
  <c r="Y1471" i="2"/>
  <c r="I1472" i="2"/>
  <c r="M1472" i="2"/>
  <c r="Q1472" i="2"/>
  <c r="U1472" i="2"/>
  <c r="Y1472" i="2"/>
  <c r="I1473" i="2"/>
  <c r="M1473" i="2"/>
  <c r="Q1473" i="2"/>
  <c r="U1473" i="2"/>
  <c r="Y1473" i="2"/>
  <c r="I1474" i="2"/>
  <c r="M1474" i="2"/>
  <c r="Q1474" i="2"/>
  <c r="U1474" i="2"/>
  <c r="Y1474" i="2"/>
  <c r="I1475" i="2"/>
  <c r="M1475" i="2"/>
  <c r="Q1475" i="2"/>
  <c r="U1475" i="2"/>
  <c r="Y1475" i="2"/>
  <c r="I1476" i="2"/>
  <c r="M1476" i="2"/>
  <c r="Q1476" i="2"/>
  <c r="U1476" i="2"/>
  <c r="Y1476" i="2"/>
  <c r="I1477" i="2"/>
  <c r="M1477" i="2"/>
  <c r="Q1477" i="2"/>
  <c r="U1477" i="2"/>
  <c r="Y1477" i="2"/>
  <c r="I1478" i="2"/>
  <c r="M1478" i="2"/>
  <c r="Q1478" i="2"/>
  <c r="U1478" i="2"/>
  <c r="Y1478" i="2"/>
  <c r="I1479" i="2"/>
  <c r="M1479" i="2"/>
  <c r="Q1479" i="2"/>
  <c r="U1479" i="2"/>
  <c r="Y1479" i="2"/>
  <c r="I1480" i="2"/>
  <c r="M1480" i="2"/>
  <c r="Q1480" i="2"/>
  <c r="U1480" i="2"/>
  <c r="Y1480" i="2"/>
  <c r="I1481" i="2"/>
  <c r="M1481" i="2"/>
  <c r="Q1481" i="2"/>
  <c r="U1481" i="2"/>
  <c r="Y1481" i="2"/>
  <c r="I1482" i="2"/>
  <c r="M1482" i="2"/>
  <c r="Q1482" i="2"/>
  <c r="U1482" i="2"/>
  <c r="Y1482" i="2"/>
  <c r="I1483" i="2"/>
  <c r="M1483" i="2"/>
  <c r="Q1483" i="2"/>
  <c r="U1483" i="2"/>
  <c r="Y1483" i="2"/>
  <c r="I1484" i="2"/>
  <c r="M1484" i="2"/>
  <c r="Q1484" i="2"/>
  <c r="U1484" i="2"/>
  <c r="Y1484" i="2"/>
  <c r="I1485" i="2"/>
  <c r="M1485" i="2"/>
  <c r="Q1485" i="2"/>
  <c r="U1485" i="2"/>
  <c r="Y1485" i="2"/>
  <c r="I1486" i="2"/>
  <c r="M1486" i="2"/>
  <c r="Q1486" i="2"/>
  <c r="U1486" i="2"/>
  <c r="Y1486" i="2"/>
  <c r="I1487" i="2"/>
  <c r="M1487" i="2"/>
  <c r="Q1487" i="2"/>
  <c r="U1487" i="2"/>
  <c r="Y1487" i="2"/>
  <c r="I1488" i="2"/>
  <c r="M1488" i="2"/>
  <c r="Q1488" i="2"/>
  <c r="U1488" i="2"/>
  <c r="Y1488" i="2"/>
  <c r="I1489" i="2"/>
  <c r="M1489" i="2"/>
  <c r="Q1489" i="2"/>
  <c r="U1489" i="2"/>
  <c r="Y1489" i="2"/>
  <c r="I1490" i="2"/>
  <c r="M1490" i="2"/>
  <c r="Q1490" i="2"/>
  <c r="U1490" i="2"/>
  <c r="Y1490" i="2"/>
  <c r="I1491" i="2"/>
  <c r="M1491" i="2"/>
  <c r="Q1491" i="2"/>
  <c r="U1491" i="2"/>
  <c r="Y1491" i="2"/>
  <c r="I1492" i="2"/>
  <c r="M1492" i="2"/>
  <c r="Q1492" i="2"/>
  <c r="U1492" i="2"/>
  <c r="Y1492" i="2"/>
  <c r="I1493" i="2"/>
  <c r="M1493" i="2"/>
  <c r="Q1493" i="2"/>
  <c r="U1493" i="2"/>
  <c r="Y1493" i="2"/>
  <c r="I1494" i="2"/>
  <c r="M1494" i="2"/>
  <c r="Q1494" i="2"/>
  <c r="U1494" i="2"/>
  <c r="Y1494" i="2"/>
  <c r="I1495" i="2"/>
  <c r="M1495" i="2"/>
  <c r="Q1495" i="2"/>
  <c r="U1495" i="2"/>
  <c r="Y1495" i="2"/>
  <c r="I1496" i="2"/>
  <c r="M1496" i="2"/>
  <c r="Q1496" i="2"/>
  <c r="U1496" i="2"/>
  <c r="Y1496" i="2"/>
  <c r="I1497" i="2"/>
  <c r="M1497" i="2"/>
  <c r="Q1497" i="2"/>
  <c r="U1497" i="2"/>
  <c r="Y1497" i="2"/>
  <c r="I1498" i="2"/>
  <c r="M1498" i="2"/>
  <c r="Q1498" i="2"/>
  <c r="U1498" i="2"/>
  <c r="Y1498" i="2"/>
  <c r="I1499" i="2"/>
  <c r="M1499" i="2"/>
  <c r="Q1499" i="2"/>
  <c r="U1499" i="2"/>
  <c r="Y1499" i="2"/>
  <c r="I1500" i="2"/>
  <c r="M1500" i="2"/>
  <c r="Q1500" i="2"/>
  <c r="U1500" i="2"/>
  <c r="Y1500" i="2"/>
  <c r="I1501" i="2"/>
  <c r="M1501" i="2"/>
  <c r="Q1501" i="2"/>
  <c r="U1501" i="2"/>
  <c r="Y1501" i="2"/>
  <c r="I1502" i="2"/>
  <c r="M1502" i="2"/>
  <c r="Q1502" i="2"/>
  <c r="U1502" i="2"/>
  <c r="Y1502" i="2"/>
  <c r="I1503" i="2"/>
  <c r="M1503" i="2"/>
  <c r="Q1503" i="2"/>
  <c r="U1503" i="2"/>
  <c r="Y1503" i="2"/>
  <c r="I1504" i="2"/>
  <c r="M1504" i="2"/>
  <c r="Q1504" i="2"/>
  <c r="U1504" i="2"/>
  <c r="Y1504" i="2"/>
  <c r="I1505" i="2"/>
  <c r="M1505" i="2"/>
  <c r="Q1505" i="2"/>
  <c r="U1505" i="2"/>
  <c r="Y1505" i="2"/>
  <c r="I1506" i="2"/>
  <c r="M1506" i="2"/>
  <c r="Q1506" i="2"/>
  <c r="U1506" i="2"/>
  <c r="Y1506" i="2"/>
  <c r="I1507" i="2"/>
  <c r="M1507" i="2"/>
  <c r="Q1507" i="2"/>
  <c r="U1507" i="2"/>
  <c r="Y1507" i="2"/>
  <c r="I1508" i="2"/>
  <c r="M1508" i="2"/>
  <c r="Q1508" i="2"/>
  <c r="U1508" i="2"/>
  <c r="Y1508" i="2"/>
  <c r="I1509" i="2"/>
  <c r="M1509" i="2"/>
  <c r="Q1509" i="2"/>
  <c r="U1509" i="2"/>
  <c r="Y1509" i="2"/>
  <c r="I1510" i="2"/>
  <c r="M1510" i="2"/>
  <c r="Q1510" i="2"/>
  <c r="U1510" i="2"/>
  <c r="Y1510" i="2"/>
  <c r="I1511" i="2"/>
  <c r="M1511" i="2"/>
  <c r="Q1511" i="2"/>
  <c r="U1511" i="2"/>
  <c r="Y1511" i="2"/>
  <c r="I1512" i="2"/>
  <c r="M1512" i="2"/>
  <c r="Q1512" i="2"/>
  <c r="U1512" i="2"/>
  <c r="Y1512" i="2"/>
  <c r="I1513" i="2"/>
  <c r="M1513" i="2"/>
  <c r="Q1513" i="2"/>
  <c r="U1513" i="2"/>
  <c r="Y1513" i="2"/>
  <c r="I1514" i="2"/>
  <c r="M1514" i="2"/>
  <c r="Q1514" i="2"/>
  <c r="U1514" i="2"/>
  <c r="Y1514" i="2"/>
  <c r="I1515" i="2"/>
  <c r="M1515" i="2"/>
  <c r="Q1515" i="2"/>
  <c r="U1515" i="2"/>
  <c r="Y1515" i="2"/>
  <c r="I1516" i="2"/>
  <c r="M1516" i="2"/>
  <c r="Q1516" i="2"/>
  <c r="U1516" i="2"/>
  <c r="Y1516" i="2"/>
  <c r="I1517" i="2"/>
  <c r="M1517" i="2"/>
  <c r="Q1517" i="2"/>
  <c r="U1517" i="2"/>
  <c r="Y1517" i="2"/>
  <c r="I1518" i="2"/>
  <c r="M1518" i="2"/>
  <c r="Q1518" i="2"/>
  <c r="U1518" i="2"/>
  <c r="Y1518" i="2"/>
  <c r="I1519" i="2"/>
  <c r="M1519" i="2"/>
  <c r="Q1519" i="2"/>
  <c r="U1519" i="2"/>
  <c r="Y1519" i="2"/>
  <c r="I1520" i="2"/>
  <c r="M1520" i="2"/>
  <c r="Q1520" i="2"/>
  <c r="U1520" i="2"/>
  <c r="Y1520" i="2"/>
  <c r="I1521" i="2"/>
  <c r="M1521" i="2"/>
  <c r="Q1521" i="2"/>
  <c r="U1521" i="2"/>
  <c r="Y1521" i="2"/>
  <c r="I1522" i="2"/>
  <c r="M1522" i="2"/>
  <c r="Q1522" i="2"/>
  <c r="U1522" i="2"/>
  <c r="Y1522" i="2"/>
  <c r="I1523" i="2"/>
  <c r="M1523" i="2"/>
  <c r="Q1523" i="2"/>
  <c r="U1523" i="2"/>
  <c r="Y1523" i="2"/>
  <c r="I1524" i="2"/>
  <c r="M1524" i="2"/>
  <c r="Q1524" i="2"/>
  <c r="U1524" i="2"/>
  <c r="Y1524" i="2"/>
  <c r="I1525" i="2"/>
  <c r="M1525" i="2"/>
  <c r="Q1525" i="2"/>
  <c r="U1525" i="2"/>
  <c r="Y1525" i="2"/>
  <c r="I1526" i="2"/>
  <c r="M1526" i="2"/>
  <c r="Q1526" i="2"/>
  <c r="U1526" i="2"/>
  <c r="Y1526" i="2"/>
  <c r="I1527" i="2"/>
  <c r="M1527" i="2"/>
  <c r="Q1527" i="2"/>
  <c r="U1527" i="2"/>
  <c r="Y1527" i="2"/>
  <c r="I1528" i="2"/>
  <c r="M1528" i="2"/>
  <c r="Q1528" i="2"/>
  <c r="U1528" i="2"/>
  <c r="Y1528" i="2"/>
  <c r="I1529" i="2"/>
  <c r="M1529" i="2"/>
  <c r="Q1529" i="2"/>
  <c r="U1529" i="2"/>
  <c r="Y1529" i="2"/>
  <c r="I1530" i="2"/>
  <c r="M1530" i="2"/>
  <c r="Q1530" i="2"/>
  <c r="U1530" i="2"/>
  <c r="Y1530" i="2"/>
  <c r="I1531" i="2"/>
  <c r="M1531" i="2"/>
  <c r="Q1531" i="2"/>
  <c r="U1531" i="2"/>
  <c r="Y1531" i="2"/>
  <c r="I1532" i="2"/>
  <c r="M1532" i="2"/>
  <c r="Q1532" i="2"/>
  <c r="U1532" i="2"/>
  <c r="Y1532" i="2"/>
  <c r="I1533" i="2"/>
  <c r="M1533" i="2"/>
  <c r="Q1533" i="2"/>
  <c r="U1533" i="2"/>
  <c r="Y1533" i="2"/>
  <c r="I1534" i="2"/>
  <c r="M1534" i="2"/>
  <c r="Q1534" i="2"/>
  <c r="U1534" i="2"/>
  <c r="Y1534" i="2"/>
  <c r="I1535" i="2"/>
  <c r="M1535" i="2"/>
  <c r="Q1535" i="2"/>
  <c r="U1535" i="2"/>
  <c r="Y1535" i="2"/>
  <c r="I1536" i="2"/>
  <c r="M1536" i="2"/>
  <c r="Q1536" i="2"/>
  <c r="U1536" i="2"/>
  <c r="Y1536" i="2"/>
  <c r="I1537" i="2"/>
  <c r="M1537" i="2"/>
  <c r="Q1537" i="2"/>
  <c r="U1537" i="2"/>
  <c r="Y1537" i="2"/>
  <c r="I1538" i="2"/>
  <c r="M1538" i="2"/>
  <c r="Q1538" i="2"/>
  <c r="U1538" i="2"/>
  <c r="Y1538" i="2"/>
  <c r="I1539" i="2"/>
  <c r="M1539" i="2"/>
  <c r="Q1539" i="2"/>
  <c r="U1539" i="2"/>
  <c r="Y1539" i="2"/>
  <c r="I1540" i="2"/>
  <c r="M1540" i="2"/>
  <c r="Q1540" i="2"/>
  <c r="U1540" i="2"/>
  <c r="Y1540" i="2"/>
  <c r="I1541" i="2"/>
  <c r="M1541" i="2"/>
  <c r="Q1541" i="2"/>
  <c r="U1541" i="2"/>
  <c r="Y1541" i="2"/>
  <c r="I1542" i="2"/>
  <c r="M1542" i="2"/>
  <c r="Q1542" i="2"/>
  <c r="U1542" i="2"/>
  <c r="Y1542" i="2"/>
  <c r="I1543" i="2"/>
  <c r="M1543" i="2"/>
  <c r="Q1543" i="2"/>
  <c r="U1543" i="2"/>
  <c r="Y1543" i="2"/>
  <c r="I1544" i="2"/>
  <c r="M1544" i="2"/>
  <c r="Q1544" i="2"/>
  <c r="U1544" i="2"/>
  <c r="Y1544" i="2"/>
  <c r="I1545" i="2"/>
  <c r="M1545" i="2"/>
  <c r="Q1545" i="2"/>
  <c r="U1545" i="2"/>
  <c r="Y1545" i="2"/>
  <c r="I1546" i="2"/>
  <c r="M1546" i="2"/>
  <c r="Q1546" i="2"/>
  <c r="U1546" i="2"/>
  <c r="Y1546" i="2"/>
  <c r="I1547" i="2"/>
  <c r="M1547" i="2"/>
  <c r="Q1547" i="2"/>
  <c r="U1547" i="2"/>
  <c r="Y1547" i="2"/>
  <c r="I1548" i="2"/>
  <c r="M1548" i="2"/>
  <c r="Q1548" i="2"/>
  <c r="U1548" i="2"/>
  <c r="Y1548" i="2"/>
  <c r="I1549" i="2"/>
  <c r="M1549" i="2"/>
  <c r="Q1549" i="2"/>
  <c r="U1549" i="2"/>
  <c r="Y1549" i="2"/>
  <c r="I1550" i="2"/>
  <c r="M1550" i="2"/>
  <c r="Q1550" i="2"/>
  <c r="U1550" i="2"/>
  <c r="Y1550" i="2"/>
  <c r="I1551" i="2"/>
  <c r="M1551" i="2"/>
  <c r="Q1551" i="2"/>
  <c r="U1551" i="2"/>
  <c r="Y1551" i="2"/>
  <c r="I1552" i="2"/>
  <c r="M1552" i="2"/>
  <c r="Q1552" i="2"/>
  <c r="U1552" i="2"/>
  <c r="Y1552" i="2"/>
  <c r="I1553" i="2"/>
  <c r="M1553" i="2"/>
  <c r="Q1553" i="2"/>
  <c r="U1553" i="2"/>
  <c r="Y1553" i="2"/>
  <c r="I1554" i="2"/>
  <c r="M1554" i="2"/>
  <c r="Q1554" i="2"/>
  <c r="U1554" i="2"/>
  <c r="Y1554" i="2"/>
  <c r="I1555" i="2"/>
  <c r="M1555" i="2"/>
  <c r="Q1555" i="2"/>
  <c r="U1555" i="2"/>
  <c r="Y1555" i="2"/>
  <c r="I1556" i="2"/>
  <c r="M1556" i="2"/>
  <c r="Q1556" i="2"/>
  <c r="U1556" i="2"/>
  <c r="Y1556" i="2"/>
  <c r="I1557" i="2"/>
  <c r="M1557" i="2"/>
  <c r="Q1557" i="2"/>
  <c r="U1557" i="2"/>
  <c r="Y1557" i="2"/>
  <c r="I1558" i="2"/>
  <c r="M1558" i="2"/>
  <c r="Q1558" i="2"/>
  <c r="U1558" i="2"/>
  <c r="Y1558" i="2"/>
  <c r="I1559" i="2"/>
  <c r="M1559" i="2"/>
  <c r="Q1559" i="2"/>
  <c r="U1559" i="2"/>
  <c r="Y1559" i="2"/>
  <c r="I1560" i="2"/>
  <c r="M1560" i="2"/>
  <c r="Q1560" i="2"/>
  <c r="U1560" i="2"/>
  <c r="Y1560" i="2"/>
  <c r="I1561" i="2"/>
  <c r="M1561" i="2"/>
  <c r="Q1561" i="2"/>
  <c r="U1561" i="2"/>
  <c r="Y1561" i="2"/>
  <c r="I1562" i="2"/>
  <c r="M1562" i="2"/>
  <c r="Q1562" i="2"/>
  <c r="U1562" i="2"/>
  <c r="Y1562" i="2"/>
  <c r="I1563" i="2"/>
  <c r="M1563" i="2"/>
  <c r="Q1563" i="2"/>
  <c r="U1563" i="2"/>
  <c r="Y1563" i="2"/>
  <c r="I1564" i="2"/>
  <c r="M1564" i="2"/>
  <c r="Q1564" i="2"/>
  <c r="U1564" i="2"/>
  <c r="Y1564" i="2"/>
  <c r="I1565" i="2"/>
  <c r="M1565" i="2"/>
  <c r="Q1565" i="2"/>
  <c r="U1565" i="2"/>
  <c r="X2345" i="2"/>
  <c r="T2345" i="2"/>
  <c r="P2345" i="2"/>
  <c r="L2345" i="2"/>
  <c r="H2345" i="2"/>
  <c r="X2344" i="2"/>
  <c r="T2344" i="2"/>
  <c r="P2344" i="2"/>
  <c r="L2344" i="2"/>
  <c r="H2344" i="2"/>
  <c r="X2343" i="2"/>
  <c r="T2343" i="2"/>
  <c r="P2343" i="2"/>
  <c r="L2343" i="2"/>
  <c r="H2343" i="2"/>
  <c r="X2342" i="2"/>
  <c r="T2342" i="2"/>
  <c r="P2342" i="2"/>
  <c r="L2342" i="2"/>
  <c r="H2342" i="2"/>
  <c r="X2341" i="2"/>
  <c r="T2341" i="2"/>
  <c r="P2341" i="2"/>
  <c r="L2341" i="2"/>
  <c r="H2341" i="2"/>
  <c r="X2340" i="2"/>
  <c r="T2340" i="2"/>
  <c r="P2340" i="2"/>
  <c r="L2340" i="2"/>
  <c r="H2340" i="2"/>
  <c r="X2339" i="2"/>
  <c r="T2339" i="2"/>
  <c r="P2339" i="2"/>
  <c r="L2339" i="2"/>
  <c r="H2339" i="2"/>
  <c r="X2338" i="2"/>
  <c r="T2338" i="2"/>
  <c r="P2338" i="2"/>
  <c r="L2338" i="2"/>
  <c r="H2338" i="2"/>
  <c r="X2337" i="2"/>
  <c r="T2337" i="2"/>
  <c r="P2337" i="2"/>
  <c r="L2337" i="2"/>
  <c r="H2337" i="2"/>
  <c r="X2336" i="2"/>
  <c r="T2336" i="2"/>
  <c r="P2336" i="2"/>
  <c r="L2336" i="2"/>
  <c r="H2336" i="2"/>
  <c r="X2335" i="2"/>
  <c r="T2335" i="2"/>
  <c r="P2335" i="2"/>
  <c r="L2335" i="2"/>
  <c r="H2335" i="2"/>
  <c r="X2334" i="2"/>
  <c r="T2334" i="2"/>
  <c r="P2334" i="2"/>
  <c r="L2334" i="2"/>
  <c r="H2334" i="2"/>
  <c r="X2333" i="2"/>
  <c r="T2333" i="2"/>
  <c r="P2333" i="2"/>
  <c r="L2333" i="2"/>
  <c r="H2333" i="2"/>
  <c r="X2332" i="2"/>
  <c r="T2332" i="2"/>
  <c r="P2332" i="2"/>
  <c r="L2332" i="2"/>
  <c r="H2332" i="2"/>
  <c r="X2331" i="2"/>
  <c r="T2331" i="2"/>
  <c r="P2331" i="2"/>
  <c r="L2331" i="2"/>
  <c r="H2331" i="2"/>
  <c r="X2330" i="2"/>
  <c r="T2330" i="2"/>
  <c r="P2330" i="2"/>
  <c r="L2330" i="2"/>
  <c r="H2330" i="2"/>
  <c r="X2329" i="2"/>
  <c r="T2329" i="2"/>
  <c r="P2329" i="2"/>
  <c r="L2329" i="2"/>
  <c r="H2329" i="2"/>
  <c r="X2328" i="2"/>
  <c r="T2328" i="2"/>
  <c r="P2328" i="2"/>
  <c r="L2328" i="2"/>
  <c r="H2328" i="2"/>
  <c r="X2327" i="2"/>
  <c r="T2327" i="2"/>
  <c r="P2327" i="2"/>
  <c r="L2327" i="2"/>
  <c r="H2327" i="2"/>
  <c r="X2326" i="2"/>
  <c r="T2326" i="2"/>
  <c r="P2326" i="2"/>
  <c r="L2326" i="2"/>
  <c r="H2326" i="2"/>
  <c r="X2325" i="2"/>
  <c r="T2325" i="2"/>
  <c r="P2325" i="2"/>
  <c r="L2325" i="2"/>
  <c r="H2325" i="2"/>
  <c r="X2324" i="2"/>
  <c r="T2324" i="2"/>
  <c r="P2324" i="2"/>
  <c r="L2324" i="2"/>
  <c r="H2324" i="2"/>
  <c r="X2323" i="2"/>
  <c r="T2323" i="2"/>
  <c r="P2323" i="2"/>
  <c r="L2323" i="2"/>
  <c r="H2323" i="2"/>
  <c r="X2322" i="2"/>
  <c r="T2322" i="2"/>
  <c r="P2322" i="2"/>
  <c r="L2322" i="2"/>
  <c r="H2322" i="2"/>
  <c r="X2321" i="2"/>
  <c r="T2321" i="2"/>
  <c r="P2321" i="2"/>
  <c r="L2321" i="2"/>
  <c r="H2321" i="2"/>
  <c r="X2320" i="2"/>
  <c r="T2320" i="2"/>
  <c r="P2320" i="2"/>
  <c r="L2320" i="2"/>
  <c r="H2320" i="2"/>
  <c r="X2319" i="2"/>
  <c r="T2319" i="2"/>
  <c r="P2319" i="2"/>
  <c r="L2319" i="2"/>
  <c r="H2319" i="2"/>
  <c r="X2318" i="2"/>
  <c r="T2318" i="2"/>
  <c r="P2318" i="2"/>
  <c r="L2318" i="2"/>
  <c r="H2318" i="2"/>
  <c r="X2317" i="2"/>
  <c r="T2317" i="2"/>
  <c r="P2317" i="2"/>
  <c r="L2317" i="2"/>
  <c r="H2317" i="2"/>
  <c r="X2316" i="2"/>
  <c r="T2316" i="2"/>
  <c r="P2316" i="2"/>
  <c r="L2316" i="2"/>
  <c r="H2316" i="2"/>
  <c r="X2315" i="2"/>
  <c r="T2315" i="2"/>
  <c r="P2315" i="2"/>
  <c r="L2315" i="2"/>
  <c r="H2315" i="2"/>
  <c r="X2314" i="2"/>
  <c r="T2314" i="2"/>
  <c r="P2314" i="2"/>
  <c r="L2314" i="2"/>
  <c r="H2314" i="2"/>
  <c r="X2313" i="2"/>
  <c r="T2313" i="2"/>
  <c r="P2313" i="2"/>
  <c r="L2313" i="2"/>
  <c r="H2313" i="2"/>
  <c r="X2312" i="2"/>
  <c r="T2312" i="2"/>
  <c r="P2312" i="2"/>
  <c r="L2312" i="2"/>
  <c r="H2312" i="2"/>
  <c r="X2311" i="2"/>
  <c r="T2311" i="2"/>
  <c r="P2311" i="2"/>
  <c r="L2311" i="2"/>
  <c r="H2311" i="2"/>
  <c r="X2310" i="2"/>
  <c r="T2310" i="2"/>
  <c r="P2310" i="2"/>
  <c r="L2310" i="2"/>
  <c r="H2310" i="2"/>
  <c r="X2309" i="2"/>
  <c r="T2309" i="2"/>
  <c r="P2309" i="2"/>
  <c r="L2309" i="2"/>
  <c r="H2309" i="2"/>
  <c r="X2308" i="2"/>
  <c r="T2308" i="2"/>
  <c r="P2308" i="2"/>
  <c r="L2308" i="2"/>
  <c r="H2308" i="2"/>
  <c r="X2307" i="2"/>
  <c r="T2307" i="2"/>
  <c r="P2307" i="2"/>
  <c r="L2307" i="2"/>
  <c r="H2307" i="2"/>
  <c r="X2306" i="2"/>
  <c r="T2306" i="2"/>
  <c r="P2306" i="2"/>
  <c r="L2306" i="2"/>
  <c r="H2306" i="2"/>
  <c r="X2305" i="2"/>
  <c r="T2305" i="2"/>
  <c r="P2305" i="2"/>
  <c r="L2305" i="2"/>
  <c r="H2305" i="2"/>
  <c r="X2304" i="2"/>
  <c r="T2304" i="2"/>
  <c r="P2304" i="2"/>
  <c r="L2304" i="2"/>
  <c r="H2304" i="2"/>
  <c r="X2303" i="2"/>
  <c r="T2303" i="2"/>
  <c r="P2303" i="2"/>
  <c r="L2303" i="2"/>
  <c r="H2303" i="2"/>
  <c r="X2302" i="2"/>
  <c r="T2302" i="2"/>
  <c r="P2302" i="2"/>
  <c r="L2302" i="2"/>
  <c r="H2302" i="2"/>
  <c r="X2301" i="2"/>
  <c r="T2301" i="2"/>
  <c r="P2301" i="2"/>
  <c r="L2301" i="2"/>
  <c r="H2301" i="2"/>
  <c r="X2300" i="2"/>
  <c r="T2300" i="2"/>
  <c r="P2300" i="2"/>
  <c r="L2300" i="2"/>
  <c r="H2300" i="2"/>
  <c r="X2299" i="2"/>
  <c r="T2299" i="2"/>
  <c r="P2299" i="2"/>
  <c r="L2299" i="2"/>
  <c r="H2299" i="2"/>
  <c r="X2298" i="2"/>
  <c r="T2298" i="2"/>
  <c r="P2298" i="2"/>
  <c r="L2298" i="2"/>
  <c r="H2298" i="2"/>
  <c r="X2297" i="2"/>
  <c r="T2297" i="2"/>
  <c r="P2297" i="2"/>
  <c r="L2297" i="2"/>
  <c r="H2297" i="2"/>
  <c r="X2296" i="2"/>
  <c r="T2296" i="2"/>
  <c r="P2296" i="2"/>
  <c r="L2296" i="2"/>
  <c r="H2296" i="2"/>
  <c r="X2295" i="2"/>
  <c r="T2295" i="2"/>
  <c r="P2295" i="2"/>
  <c r="L2295" i="2"/>
  <c r="H2295" i="2"/>
  <c r="X2294" i="2"/>
  <c r="T2294" i="2"/>
  <c r="P2294" i="2"/>
  <c r="L2294" i="2"/>
  <c r="H2294" i="2"/>
  <c r="X2293" i="2"/>
  <c r="T2293" i="2"/>
  <c r="P2293" i="2"/>
  <c r="L2293" i="2"/>
  <c r="H2293" i="2"/>
  <c r="X2292" i="2"/>
  <c r="T2292" i="2"/>
  <c r="P2292" i="2"/>
  <c r="L2292" i="2"/>
  <c r="H2292" i="2"/>
  <c r="X2291" i="2"/>
  <c r="T2291" i="2"/>
  <c r="P2291" i="2"/>
  <c r="L2291" i="2"/>
  <c r="H2291" i="2"/>
  <c r="X2290" i="2"/>
  <c r="T2290" i="2"/>
  <c r="P2290" i="2"/>
  <c r="L2290" i="2"/>
  <c r="H2290" i="2"/>
  <c r="X2289" i="2"/>
  <c r="T2289" i="2"/>
  <c r="P2289" i="2"/>
  <c r="L2289" i="2"/>
  <c r="H2289" i="2"/>
  <c r="X2288" i="2"/>
  <c r="T2288" i="2"/>
  <c r="P2288" i="2"/>
  <c r="L2288" i="2"/>
  <c r="H2288" i="2"/>
  <c r="X2287" i="2"/>
  <c r="T2287" i="2"/>
  <c r="P2287" i="2"/>
  <c r="L2287" i="2"/>
  <c r="H2287" i="2"/>
  <c r="X2286" i="2"/>
  <c r="T2286" i="2"/>
  <c r="P2286" i="2"/>
  <c r="L2286" i="2"/>
  <c r="H2286" i="2"/>
  <c r="X2285" i="2"/>
  <c r="T2285" i="2"/>
  <c r="P2285" i="2"/>
  <c r="L2285" i="2"/>
  <c r="H2285" i="2"/>
  <c r="X2284" i="2"/>
  <c r="T2284" i="2"/>
  <c r="P2284" i="2"/>
  <c r="L2284" i="2"/>
  <c r="H2284" i="2"/>
  <c r="X2283" i="2"/>
  <c r="T2283" i="2"/>
  <c r="P2283" i="2"/>
  <c r="L2283" i="2"/>
  <c r="H2283" i="2"/>
  <c r="X2282" i="2"/>
  <c r="T2282" i="2"/>
  <c r="P2282" i="2"/>
  <c r="L2282" i="2"/>
  <c r="H2282" i="2"/>
  <c r="X2281" i="2"/>
  <c r="T2281" i="2"/>
  <c r="P2281" i="2"/>
  <c r="L2281" i="2"/>
  <c r="H2281" i="2"/>
  <c r="X2280" i="2"/>
  <c r="T2280" i="2"/>
  <c r="P2280" i="2"/>
  <c r="L2280" i="2"/>
  <c r="H2280" i="2"/>
  <c r="X2279" i="2"/>
  <c r="T2279" i="2"/>
  <c r="P2279" i="2"/>
  <c r="L2279" i="2"/>
  <c r="H2279" i="2"/>
  <c r="X2278" i="2"/>
  <c r="T2278" i="2"/>
  <c r="P2278" i="2"/>
  <c r="L2278" i="2"/>
  <c r="H2278" i="2"/>
  <c r="X2277" i="2"/>
  <c r="T2277" i="2"/>
  <c r="P2277" i="2"/>
  <c r="L2277" i="2"/>
  <c r="H2277" i="2"/>
  <c r="X2276" i="2"/>
  <c r="T2276" i="2"/>
  <c r="P2276" i="2"/>
  <c r="L2276" i="2"/>
  <c r="H2276" i="2"/>
  <c r="X2275" i="2"/>
  <c r="T2275" i="2"/>
  <c r="P2275" i="2"/>
  <c r="L2275" i="2"/>
  <c r="H2275" i="2"/>
  <c r="X2274" i="2"/>
  <c r="T2274" i="2"/>
  <c r="P2274" i="2"/>
  <c r="L2274" i="2"/>
  <c r="H2274" i="2"/>
  <c r="X2273" i="2"/>
  <c r="T2273" i="2"/>
  <c r="P2273" i="2"/>
  <c r="L2273" i="2"/>
  <c r="H2273" i="2"/>
  <c r="X2272" i="2"/>
  <c r="T2272" i="2"/>
  <c r="P2272" i="2"/>
  <c r="L2272" i="2"/>
  <c r="H2272" i="2"/>
  <c r="X2271" i="2"/>
  <c r="T2271" i="2"/>
  <c r="P2271" i="2"/>
  <c r="L2271" i="2"/>
  <c r="H2271" i="2"/>
  <c r="X2270" i="2"/>
  <c r="T2270" i="2"/>
  <c r="P2270" i="2"/>
  <c r="L2270" i="2"/>
  <c r="H2270" i="2"/>
  <c r="X2269" i="2"/>
  <c r="T2269" i="2"/>
  <c r="P2269" i="2"/>
  <c r="L2269" i="2"/>
  <c r="H2269" i="2"/>
  <c r="X2268" i="2"/>
  <c r="T2268" i="2"/>
  <c r="P2268" i="2"/>
  <c r="L2268" i="2"/>
  <c r="H2268" i="2"/>
  <c r="X2267" i="2"/>
  <c r="T2267" i="2"/>
  <c r="P2267" i="2"/>
  <c r="L2267" i="2"/>
  <c r="H2267" i="2"/>
  <c r="X2266" i="2"/>
  <c r="T2266" i="2"/>
  <c r="P2266" i="2"/>
  <c r="L2266" i="2"/>
  <c r="H2266" i="2"/>
  <c r="X2265" i="2"/>
  <c r="T2265" i="2"/>
  <c r="P2265" i="2"/>
  <c r="L2265" i="2"/>
  <c r="H2265" i="2"/>
  <c r="X2264" i="2"/>
  <c r="T2264" i="2"/>
  <c r="P2264" i="2"/>
  <c r="L2264" i="2"/>
  <c r="H2264" i="2"/>
  <c r="X2263" i="2"/>
  <c r="T2263" i="2"/>
  <c r="P2263" i="2"/>
  <c r="L2263" i="2"/>
  <c r="H2263" i="2"/>
  <c r="X2262" i="2"/>
  <c r="T2262" i="2"/>
  <c r="P2262" i="2"/>
  <c r="L2262" i="2"/>
  <c r="H2262" i="2"/>
  <c r="X2261" i="2"/>
  <c r="T2261" i="2"/>
  <c r="P2261" i="2"/>
  <c r="L2261" i="2"/>
  <c r="H2261" i="2"/>
  <c r="X2260" i="2"/>
  <c r="T2260" i="2"/>
  <c r="P2260" i="2"/>
  <c r="L2260" i="2"/>
  <c r="H2260" i="2"/>
  <c r="X2259" i="2"/>
  <c r="T2259" i="2"/>
  <c r="P2259" i="2"/>
  <c r="L2259" i="2"/>
  <c r="H2259" i="2"/>
  <c r="X2258" i="2"/>
  <c r="T2258" i="2"/>
  <c r="P2258" i="2"/>
  <c r="L2258" i="2"/>
  <c r="H2258" i="2"/>
  <c r="X2257" i="2"/>
  <c r="T2257" i="2"/>
  <c r="P2257" i="2"/>
  <c r="L2257" i="2"/>
  <c r="H2257" i="2"/>
  <c r="X2256" i="2"/>
  <c r="T2256" i="2"/>
  <c r="P2256" i="2"/>
  <c r="L2256" i="2"/>
  <c r="H2256" i="2"/>
  <c r="X2255" i="2"/>
  <c r="T2255" i="2"/>
  <c r="P2255" i="2"/>
  <c r="L2255" i="2"/>
  <c r="H2255" i="2"/>
  <c r="X2254" i="2"/>
  <c r="T2254" i="2"/>
  <c r="P2254" i="2"/>
  <c r="L2254" i="2"/>
  <c r="H2254" i="2"/>
  <c r="X2253" i="2"/>
  <c r="T2253" i="2"/>
  <c r="P2253" i="2"/>
  <c r="L2253" i="2"/>
  <c r="H2253" i="2"/>
  <c r="X2252" i="2"/>
  <c r="T2252" i="2"/>
  <c r="P2252" i="2"/>
  <c r="L2252" i="2"/>
  <c r="H2252" i="2"/>
  <c r="X2251" i="2"/>
  <c r="T2251" i="2"/>
  <c r="P2251" i="2"/>
  <c r="L2251" i="2"/>
  <c r="H2251" i="2"/>
  <c r="X2250" i="2"/>
  <c r="T2250" i="2"/>
  <c r="P2250" i="2"/>
  <c r="L2250" i="2"/>
  <c r="H2250" i="2"/>
  <c r="X2249" i="2"/>
  <c r="T2249" i="2"/>
  <c r="P2249" i="2"/>
  <c r="L2249" i="2"/>
  <c r="H2249" i="2"/>
  <c r="X2248" i="2"/>
  <c r="T2248" i="2"/>
  <c r="P2248" i="2"/>
  <c r="L2248" i="2"/>
  <c r="H2248" i="2"/>
  <c r="X2247" i="2"/>
  <c r="T2247" i="2"/>
  <c r="P2247" i="2"/>
  <c r="L2247" i="2"/>
  <c r="H2247" i="2"/>
  <c r="X2246" i="2"/>
  <c r="T2246" i="2"/>
  <c r="P2246" i="2"/>
  <c r="L2246" i="2"/>
  <c r="H2246" i="2"/>
  <c r="X2245" i="2"/>
  <c r="T2245" i="2"/>
  <c r="P2245" i="2"/>
  <c r="L2245" i="2"/>
  <c r="H2245" i="2"/>
  <c r="X2244" i="2"/>
  <c r="T2244" i="2"/>
  <c r="P2244" i="2"/>
  <c r="L2244" i="2"/>
  <c r="H2244" i="2"/>
  <c r="X2243" i="2"/>
  <c r="T2243" i="2"/>
  <c r="P2243" i="2"/>
  <c r="L2243" i="2"/>
  <c r="H2243" i="2"/>
  <c r="X2242" i="2"/>
  <c r="T2242" i="2"/>
  <c r="P2242" i="2"/>
  <c r="L2242" i="2"/>
  <c r="H2242" i="2"/>
  <c r="X2241" i="2"/>
  <c r="T2241" i="2"/>
  <c r="P2241" i="2"/>
  <c r="L2241" i="2"/>
  <c r="H2241" i="2"/>
  <c r="X2240" i="2"/>
  <c r="T2240" i="2"/>
  <c r="P2240" i="2"/>
  <c r="L2240" i="2"/>
  <c r="H2240" i="2"/>
  <c r="X2239" i="2"/>
  <c r="T2239" i="2"/>
  <c r="P2239" i="2"/>
  <c r="L2239" i="2"/>
  <c r="H2239" i="2"/>
  <c r="X2238" i="2"/>
  <c r="T2238" i="2"/>
  <c r="P2238" i="2"/>
  <c r="L2238" i="2"/>
  <c r="H2238" i="2"/>
  <c r="X2237" i="2"/>
  <c r="T2237" i="2"/>
  <c r="P2237" i="2"/>
  <c r="L2237" i="2"/>
  <c r="H2237" i="2"/>
  <c r="X2236" i="2"/>
  <c r="T2236" i="2"/>
  <c r="P2236" i="2"/>
  <c r="L2236" i="2"/>
  <c r="H2236" i="2"/>
  <c r="X2235" i="2"/>
  <c r="T2235" i="2"/>
  <c r="P2235" i="2"/>
  <c r="L2235" i="2"/>
  <c r="H2235" i="2"/>
  <c r="X2234" i="2"/>
  <c r="T2234" i="2"/>
  <c r="P2234" i="2"/>
  <c r="L2234" i="2"/>
  <c r="H2234" i="2"/>
  <c r="X2233" i="2"/>
  <c r="T2233" i="2"/>
  <c r="P2233" i="2"/>
  <c r="L2233" i="2"/>
  <c r="H2233" i="2"/>
  <c r="X2232" i="2"/>
  <c r="T2232" i="2"/>
  <c r="P2232" i="2"/>
  <c r="L2232" i="2"/>
  <c r="H2232" i="2"/>
  <c r="X2231" i="2"/>
  <c r="T2231" i="2"/>
  <c r="P2231" i="2"/>
  <c r="L2231" i="2"/>
  <c r="H2231" i="2"/>
  <c r="X2230" i="2"/>
  <c r="T2230" i="2"/>
  <c r="P2230" i="2"/>
  <c r="L2230" i="2"/>
  <c r="H2230" i="2"/>
  <c r="X2229" i="2"/>
  <c r="T2229" i="2"/>
  <c r="P2229" i="2"/>
  <c r="L2229" i="2"/>
  <c r="H2229" i="2"/>
  <c r="X2228" i="2"/>
  <c r="T2228" i="2"/>
  <c r="P2228" i="2"/>
  <c r="L2228" i="2"/>
  <c r="H2228" i="2"/>
  <c r="X2227" i="2"/>
  <c r="T2227" i="2"/>
  <c r="P2227" i="2"/>
  <c r="L2227" i="2"/>
  <c r="H2227" i="2"/>
  <c r="X2226" i="2"/>
  <c r="T2226" i="2"/>
  <c r="P2226" i="2"/>
  <c r="L2226" i="2"/>
  <c r="H2226" i="2"/>
  <c r="X2225" i="2"/>
  <c r="T2225" i="2"/>
  <c r="P2225" i="2"/>
  <c r="L2225" i="2"/>
  <c r="H2225" i="2"/>
  <c r="X2224" i="2"/>
  <c r="T2224" i="2"/>
  <c r="P2224" i="2"/>
  <c r="L2224" i="2"/>
  <c r="H2224" i="2"/>
  <c r="X2223" i="2"/>
  <c r="T2223" i="2"/>
  <c r="P2223" i="2"/>
  <c r="L2223" i="2"/>
  <c r="H2223" i="2"/>
  <c r="X2222" i="2"/>
  <c r="T2222" i="2"/>
  <c r="P2222" i="2"/>
  <c r="L2222" i="2"/>
  <c r="H2222" i="2"/>
  <c r="X2221" i="2"/>
  <c r="T2221" i="2"/>
  <c r="P2221" i="2"/>
  <c r="L2221" i="2"/>
  <c r="H2221" i="2"/>
  <c r="X2220" i="2"/>
  <c r="T2220" i="2"/>
  <c r="P2220" i="2"/>
  <c r="L2220" i="2"/>
  <c r="H2220" i="2"/>
  <c r="X2219" i="2"/>
  <c r="T2219" i="2"/>
  <c r="P2219" i="2"/>
  <c r="L2219" i="2"/>
  <c r="H2219" i="2"/>
  <c r="X2218" i="2"/>
  <c r="T2218" i="2"/>
  <c r="P2218" i="2"/>
  <c r="L2218" i="2"/>
  <c r="H2218" i="2"/>
  <c r="X2217" i="2"/>
  <c r="T2217" i="2"/>
  <c r="P2217" i="2"/>
  <c r="L2217" i="2"/>
  <c r="H2217" i="2"/>
  <c r="X2216" i="2"/>
  <c r="T2216" i="2"/>
  <c r="P2216" i="2"/>
  <c r="L2216" i="2"/>
  <c r="H2216" i="2"/>
  <c r="X2215" i="2"/>
  <c r="T2215" i="2"/>
  <c r="P2215" i="2"/>
  <c r="L2215" i="2"/>
  <c r="H2215" i="2"/>
  <c r="X2214" i="2"/>
  <c r="T2214" i="2"/>
  <c r="P2214" i="2"/>
  <c r="L2214" i="2"/>
  <c r="H2214" i="2"/>
  <c r="X2213" i="2"/>
  <c r="T2213" i="2"/>
  <c r="P2213" i="2"/>
  <c r="L2213" i="2"/>
  <c r="H2213" i="2"/>
  <c r="X2212" i="2"/>
  <c r="T2212" i="2"/>
  <c r="P2212" i="2"/>
  <c r="L2212" i="2"/>
  <c r="H2212" i="2"/>
  <c r="X2211" i="2"/>
  <c r="T2211" i="2"/>
  <c r="P2211" i="2"/>
  <c r="L2211" i="2"/>
  <c r="H2211" i="2"/>
  <c r="X2210" i="2"/>
  <c r="T2210" i="2"/>
  <c r="P2210" i="2"/>
  <c r="L2210" i="2"/>
  <c r="H2210" i="2"/>
  <c r="X2209" i="2"/>
  <c r="T2209" i="2"/>
  <c r="P2209" i="2"/>
  <c r="L2209" i="2"/>
  <c r="H2209" i="2"/>
  <c r="X2208" i="2"/>
  <c r="T2208" i="2"/>
  <c r="P2208" i="2"/>
  <c r="L2208" i="2"/>
  <c r="H2208" i="2"/>
  <c r="X2207" i="2"/>
  <c r="T2207" i="2"/>
  <c r="P2207" i="2"/>
  <c r="L2207" i="2"/>
  <c r="H2207" i="2"/>
  <c r="X2206" i="2"/>
  <c r="T2206" i="2"/>
  <c r="P2206" i="2"/>
  <c r="L2206" i="2"/>
  <c r="H2206" i="2"/>
  <c r="X2205" i="2"/>
  <c r="T2205" i="2"/>
  <c r="P2205" i="2"/>
  <c r="L2205" i="2"/>
  <c r="H2205" i="2"/>
  <c r="X2204" i="2"/>
  <c r="T2204" i="2"/>
  <c r="P2204" i="2"/>
  <c r="L2204" i="2"/>
  <c r="H2204" i="2"/>
  <c r="X2203" i="2"/>
  <c r="T2203" i="2"/>
  <c r="P2203" i="2"/>
  <c r="L2203" i="2"/>
  <c r="H2203" i="2"/>
  <c r="X2202" i="2"/>
  <c r="T2202" i="2"/>
  <c r="P2202" i="2"/>
  <c r="L2202" i="2"/>
  <c r="H2202" i="2"/>
  <c r="X2201" i="2"/>
  <c r="T2201" i="2"/>
  <c r="P2201" i="2"/>
  <c r="L2201" i="2"/>
  <c r="H2201" i="2"/>
  <c r="X2200" i="2"/>
  <c r="T2200" i="2"/>
  <c r="P2200" i="2"/>
  <c r="L2200" i="2"/>
  <c r="H2200" i="2"/>
  <c r="X2199" i="2"/>
  <c r="T2199" i="2"/>
  <c r="P2199" i="2"/>
  <c r="L2199" i="2"/>
  <c r="H2199" i="2"/>
  <c r="X2198" i="2"/>
  <c r="T2198" i="2"/>
  <c r="P2198" i="2"/>
  <c r="L2198" i="2"/>
  <c r="H2198" i="2"/>
  <c r="X2197" i="2"/>
  <c r="T2197" i="2"/>
  <c r="P2197" i="2"/>
  <c r="L2197" i="2"/>
  <c r="H2197" i="2"/>
  <c r="X2196" i="2"/>
  <c r="T2196" i="2"/>
  <c r="P2196" i="2"/>
  <c r="L2196" i="2"/>
  <c r="H2196" i="2"/>
  <c r="X2195" i="2"/>
  <c r="T2195" i="2"/>
  <c r="P2195" i="2"/>
  <c r="L2195" i="2"/>
  <c r="H2195" i="2"/>
  <c r="X2194" i="2"/>
  <c r="T2194" i="2"/>
  <c r="P2194" i="2"/>
  <c r="L2194" i="2"/>
  <c r="H2194" i="2"/>
  <c r="X2193" i="2"/>
  <c r="T2193" i="2"/>
  <c r="P2193" i="2"/>
  <c r="L2193" i="2"/>
  <c r="H2193" i="2"/>
  <c r="X2192" i="2"/>
  <c r="T2192" i="2"/>
  <c r="P2192" i="2"/>
  <c r="L2192" i="2"/>
  <c r="H2192" i="2"/>
  <c r="X2191" i="2"/>
  <c r="T2191" i="2"/>
  <c r="P2191" i="2"/>
  <c r="L2191" i="2"/>
  <c r="H2191" i="2"/>
  <c r="X2190" i="2"/>
  <c r="T2190" i="2"/>
  <c r="P2190" i="2"/>
  <c r="L2190" i="2"/>
  <c r="H2190" i="2"/>
  <c r="X2189" i="2"/>
  <c r="T2189" i="2"/>
  <c r="P2189" i="2"/>
  <c r="L2189" i="2"/>
  <c r="H2189" i="2"/>
  <c r="X2188" i="2"/>
  <c r="T2188" i="2"/>
  <c r="P2188" i="2"/>
  <c r="L2188" i="2"/>
  <c r="H2188" i="2"/>
  <c r="X2187" i="2"/>
  <c r="T2187" i="2"/>
  <c r="P2187" i="2"/>
  <c r="L2187" i="2"/>
  <c r="H2187" i="2"/>
  <c r="X2186" i="2"/>
  <c r="T2186" i="2"/>
  <c r="P2186" i="2"/>
  <c r="L2186" i="2"/>
  <c r="H2186" i="2"/>
  <c r="X2185" i="2"/>
  <c r="T2185" i="2"/>
  <c r="P2185" i="2"/>
  <c r="L2185" i="2"/>
  <c r="H2185" i="2"/>
  <c r="X2184" i="2"/>
  <c r="T2184" i="2"/>
  <c r="P2184" i="2"/>
  <c r="L2184" i="2"/>
  <c r="H2184" i="2"/>
  <c r="X2183" i="2"/>
  <c r="T2183" i="2"/>
  <c r="P2183" i="2"/>
  <c r="L2183" i="2"/>
  <c r="H2183" i="2"/>
  <c r="X2182" i="2"/>
  <c r="T2182" i="2"/>
  <c r="P2182" i="2"/>
  <c r="L2182" i="2"/>
  <c r="H2182" i="2"/>
  <c r="X2181" i="2"/>
  <c r="T2181" i="2"/>
  <c r="P2181" i="2"/>
  <c r="L2181" i="2"/>
  <c r="H2181" i="2"/>
  <c r="X2180" i="2"/>
  <c r="T2180" i="2"/>
  <c r="P2180" i="2"/>
  <c r="L2180" i="2"/>
  <c r="H2180" i="2"/>
  <c r="X2179" i="2"/>
  <c r="T2179" i="2"/>
  <c r="P2179" i="2"/>
  <c r="L2179" i="2"/>
  <c r="H2179" i="2"/>
  <c r="X2178" i="2"/>
  <c r="T2178" i="2"/>
  <c r="P2178" i="2"/>
  <c r="L2178" i="2"/>
  <c r="H2178" i="2"/>
  <c r="X2177" i="2"/>
  <c r="T2177" i="2"/>
  <c r="P2177" i="2"/>
  <c r="L2177" i="2"/>
  <c r="H2177" i="2"/>
  <c r="X2176" i="2"/>
  <c r="T2176" i="2"/>
  <c r="P2176" i="2"/>
  <c r="L2176" i="2"/>
  <c r="H2176" i="2"/>
  <c r="X2175" i="2"/>
  <c r="T2175" i="2"/>
  <c r="P2175" i="2"/>
  <c r="L2175" i="2"/>
  <c r="H2175" i="2"/>
  <c r="X2174" i="2"/>
  <c r="T2174" i="2"/>
  <c r="P2174" i="2"/>
  <c r="L2174" i="2"/>
  <c r="H2174" i="2"/>
  <c r="X2173" i="2"/>
  <c r="T2173" i="2"/>
  <c r="P2173" i="2"/>
  <c r="L2173" i="2"/>
  <c r="H2173" i="2"/>
  <c r="X2172" i="2"/>
  <c r="T2172" i="2"/>
  <c r="P2172" i="2"/>
  <c r="L2172" i="2"/>
  <c r="H2172" i="2"/>
  <c r="X2171" i="2"/>
  <c r="T2171" i="2"/>
  <c r="P2171" i="2"/>
  <c r="L2171" i="2"/>
  <c r="H2171" i="2"/>
  <c r="X2170" i="2"/>
  <c r="T2170" i="2"/>
  <c r="P2170" i="2"/>
  <c r="L2170" i="2"/>
  <c r="H2170" i="2"/>
  <c r="X2169" i="2"/>
  <c r="T2169" i="2"/>
  <c r="P2169" i="2"/>
  <c r="L2169" i="2"/>
  <c r="H2169" i="2"/>
  <c r="X2168" i="2"/>
  <c r="T2168" i="2"/>
  <c r="P2168" i="2"/>
  <c r="L2168" i="2"/>
  <c r="H2168" i="2"/>
  <c r="X2167" i="2"/>
  <c r="T2167" i="2"/>
  <c r="P2167" i="2"/>
  <c r="L2167" i="2"/>
  <c r="H2167" i="2"/>
  <c r="X2166" i="2"/>
  <c r="T2166" i="2"/>
  <c r="P2166" i="2"/>
  <c r="L2166" i="2"/>
  <c r="H2166" i="2"/>
  <c r="X2165" i="2"/>
  <c r="T2165" i="2"/>
  <c r="P2165" i="2"/>
  <c r="L2165" i="2"/>
  <c r="H2165" i="2"/>
  <c r="X2164" i="2"/>
  <c r="T2164" i="2"/>
  <c r="P2164" i="2"/>
  <c r="L2164" i="2"/>
  <c r="H2164" i="2"/>
  <c r="X2163" i="2"/>
  <c r="T2163" i="2"/>
  <c r="P2163" i="2"/>
  <c r="L2163" i="2"/>
  <c r="H2163" i="2"/>
  <c r="X2162" i="2"/>
  <c r="T2162" i="2"/>
  <c r="P2162" i="2"/>
  <c r="L2162" i="2"/>
  <c r="H2162" i="2"/>
  <c r="X2161" i="2"/>
  <c r="T2161" i="2"/>
  <c r="P2161" i="2"/>
  <c r="L2161" i="2"/>
  <c r="H2161" i="2"/>
  <c r="X2160" i="2"/>
  <c r="T2160" i="2"/>
  <c r="P2160" i="2"/>
  <c r="L2160" i="2"/>
  <c r="H2160" i="2"/>
  <c r="X2159" i="2"/>
  <c r="T2159" i="2"/>
  <c r="P2159" i="2"/>
  <c r="L2159" i="2"/>
  <c r="H2159" i="2"/>
  <c r="X2158" i="2"/>
  <c r="T2158" i="2"/>
  <c r="P2158" i="2"/>
  <c r="L2158" i="2"/>
  <c r="H2158" i="2"/>
  <c r="X2157" i="2"/>
  <c r="T2157" i="2"/>
  <c r="P2157" i="2"/>
  <c r="L2157" i="2"/>
  <c r="H2157" i="2"/>
  <c r="X2156" i="2"/>
  <c r="T2156" i="2"/>
  <c r="P2156" i="2"/>
  <c r="L2156" i="2"/>
  <c r="H2156" i="2"/>
  <c r="X2155" i="2"/>
  <c r="T2155" i="2"/>
  <c r="P2155" i="2"/>
  <c r="L2155" i="2"/>
  <c r="H2155" i="2"/>
  <c r="X2154" i="2"/>
  <c r="T2154" i="2"/>
  <c r="P2154" i="2"/>
  <c r="L2154" i="2"/>
  <c r="H2154" i="2"/>
  <c r="X2153" i="2"/>
  <c r="T2153" i="2"/>
  <c r="P2153" i="2"/>
  <c r="L2153" i="2"/>
  <c r="H2153" i="2"/>
  <c r="X2152" i="2"/>
  <c r="T2152" i="2"/>
  <c r="P2152" i="2"/>
  <c r="L2152" i="2"/>
  <c r="H2152" i="2"/>
  <c r="X2151" i="2"/>
  <c r="T2151" i="2"/>
  <c r="P2151" i="2"/>
  <c r="L2151" i="2"/>
  <c r="H2151" i="2"/>
  <c r="X2150" i="2"/>
  <c r="T2150" i="2"/>
  <c r="P2150" i="2"/>
  <c r="L2150" i="2"/>
  <c r="H2150" i="2"/>
  <c r="X2149" i="2"/>
  <c r="T2149" i="2"/>
  <c r="P2149" i="2"/>
  <c r="L2149" i="2"/>
  <c r="H2149" i="2"/>
  <c r="X2148" i="2"/>
  <c r="T2148" i="2"/>
  <c r="P2148" i="2"/>
  <c r="L2148" i="2"/>
  <c r="H2148" i="2"/>
  <c r="X2147" i="2"/>
  <c r="T2147" i="2"/>
  <c r="P2147" i="2"/>
  <c r="L2147" i="2"/>
  <c r="H2147" i="2"/>
  <c r="X2146" i="2"/>
  <c r="T2146" i="2"/>
  <c r="P2146" i="2"/>
  <c r="L2146" i="2"/>
  <c r="H2146" i="2"/>
  <c r="X2145" i="2"/>
  <c r="T2145" i="2"/>
  <c r="P2145" i="2"/>
  <c r="L2145" i="2"/>
  <c r="H2145" i="2"/>
  <c r="X2144" i="2"/>
  <c r="T2144" i="2"/>
  <c r="P2144" i="2"/>
  <c r="L2144" i="2"/>
  <c r="H2144" i="2"/>
  <c r="X2143" i="2"/>
  <c r="T2143" i="2"/>
  <c r="P2143" i="2"/>
  <c r="L2143" i="2"/>
  <c r="H2143" i="2"/>
  <c r="X2142" i="2"/>
  <c r="T2142" i="2"/>
  <c r="P2142" i="2"/>
  <c r="L2142" i="2"/>
  <c r="H2142" i="2"/>
  <c r="X2141" i="2"/>
  <c r="T2141" i="2"/>
  <c r="P2141" i="2"/>
  <c r="L2141" i="2"/>
  <c r="H2141" i="2"/>
  <c r="X2140" i="2"/>
  <c r="T2140" i="2"/>
  <c r="P2140" i="2"/>
  <c r="L2140" i="2"/>
  <c r="H2140" i="2"/>
  <c r="X2139" i="2"/>
  <c r="T2139" i="2"/>
  <c r="P2139" i="2"/>
  <c r="L2139" i="2"/>
  <c r="H2139" i="2"/>
  <c r="X2138" i="2"/>
  <c r="T2138" i="2"/>
  <c r="P2138" i="2"/>
  <c r="L2138" i="2"/>
  <c r="H2138" i="2"/>
  <c r="X2137" i="2"/>
  <c r="T2137" i="2"/>
  <c r="P2137" i="2"/>
  <c r="L2137" i="2"/>
  <c r="H2137" i="2"/>
  <c r="X2136" i="2"/>
  <c r="T2136" i="2"/>
  <c r="P2136" i="2"/>
  <c r="L2136" i="2"/>
  <c r="H2136" i="2"/>
  <c r="X2135" i="2"/>
  <c r="T2135" i="2"/>
  <c r="P2135" i="2"/>
  <c r="L2135" i="2"/>
  <c r="H2135" i="2"/>
  <c r="X2134" i="2"/>
  <c r="T2134" i="2"/>
  <c r="P2134" i="2"/>
  <c r="L2134" i="2"/>
  <c r="H2134" i="2"/>
  <c r="X2133" i="2"/>
  <c r="T2133" i="2"/>
  <c r="P2133" i="2"/>
  <c r="L2133" i="2"/>
  <c r="H2133" i="2"/>
  <c r="X2132" i="2"/>
  <c r="T2132" i="2"/>
  <c r="P2132" i="2"/>
  <c r="L2132" i="2"/>
  <c r="H2132" i="2"/>
  <c r="X2131" i="2"/>
  <c r="T2131" i="2"/>
  <c r="P2131" i="2"/>
  <c r="L2131" i="2"/>
  <c r="H2131" i="2"/>
  <c r="X2130" i="2"/>
  <c r="T2130" i="2"/>
  <c r="P2130" i="2"/>
  <c r="L2130" i="2"/>
  <c r="H2130" i="2"/>
  <c r="X2129" i="2"/>
  <c r="T2129" i="2"/>
  <c r="P2129" i="2"/>
  <c r="L2129" i="2"/>
  <c r="H2129" i="2"/>
  <c r="X2128" i="2"/>
  <c r="T2128" i="2"/>
  <c r="P2128" i="2"/>
  <c r="L2128" i="2"/>
  <c r="H2128" i="2"/>
  <c r="X2127" i="2"/>
  <c r="T2127" i="2"/>
  <c r="P2127" i="2"/>
  <c r="L2127" i="2"/>
  <c r="H2127" i="2"/>
  <c r="X2126" i="2"/>
  <c r="T2126" i="2"/>
  <c r="P2126" i="2"/>
  <c r="L2126" i="2"/>
  <c r="H2126" i="2"/>
  <c r="X2125" i="2"/>
  <c r="T2125" i="2"/>
  <c r="P2125" i="2"/>
  <c r="L2125" i="2"/>
  <c r="H2125" i="2"/>
  <c r="X2124" i="2"/>
  <c r="T2124" i="2"/>
  <c r="P2124" i="2"/>
  <c r="L2124" i="2"/>
  <c r="H2124" i="2"/>
  <c r="X2123" i="2"/>
  <c r="T2123" i="2"/>
  <c r="P2123" i="2"/>
  <c r="L2123" i="2"/>
  <c r="H2123" i="2"/>
  <c r="X2122" i="2"/>
  <c r="T2122" i="2"/>
  <c r="P2122" i="2"/>
  <c r="L2122" i="2"/>
  <c r="H2122" i="2"/>
  <c r="X2121" i="2"/>
  <c r="T2121" i="2"/>
  <c r="P2121" i="2"/>
  <c r="L2121" i="2"/>
  <c r="H2121" i="2"/>
  <c r="X2120" i="2"/>
  <c r="T2120" i="2"/>
  <c r="P2120" i="2"/>
  <c r="L2120" i="2"/>
  <c r="H2120" i="2"/>
  <c r="X2119" i="2"/>
  <c r="T2119" i="2"/>
  <c r="P2119" i="2"/>
  <c r="L2119" i="2"/>
  <c r="H2119" i="2"/>
  <c r="X2118" i="2"/>
  <c r="T2118" i="2"/>
  <c r="P2118" i="2"/>
  <c r="L2118" i="2"/>
  <c r="H2118" i="2"/>
  <c r="X2117" i="2"/>
  <c r="T2117" i="2"/>
  <c r="P2117" i="2"/>
  <c r="L2117" i="2"/>
  <c r="H2117" i="2"/>
  <c r="X2116" i="2"/>
  <c r="T2116" i="2"/>
  <c r="P2116" i="2"/>
  <c r="L2116" i="2"/>
  <c r="H2116" i="2"/>
  <c r="X2115" i="2"/>
  <c r="T2115" i="2"/>
  <c r="P2115" i="2"/>
  <c r="L2115" i="2"/>
  <c r="H2115" i="2"/>
  <c r="X2114" i="2"/>
  <c r="T2114" i="2"/>
  <c r="P2114" i="2"/>
  <c r="L2114" i="2"/>
  <c r="H2114" i="2"/>
  <c r="X2113" i="2"/>
  <c r="T2113" i="2"/>
  <c r="P2113" i="2"/>
  <c r="L2113" i="2"/>
  <c r="H2113" i="2"/>
  <c r="X2112" i="2"/>
  <c r="T2112" i="2"/>
  <c r="P2112" i="2"/>
  <c r="L2112" i="2"/>
  <c r="H2112" i="2"/>
  <c r="X2111" i="2"/>
  <c r="T2111" i="2"/>
  <c r="P2111" i="2"/>
  <c r="L2111" i="2"/>
  <c r="H2111" i="2"/>
  <c r="X2110" i="2"/>
  <c r="T2110" i="2"/>
  <c r="P2110" i="2"/>
  <c r="L2110" i="2"/>
  <c r="H2110" i="2"/>
  <c r="X2109" i="2"/>
  <c r="T2109" i="2"/>
  <c r="P2109" i="2"/>
  <c r="L2109" i="2"/>
  <c r="H2109" i="2"/>
  <c r="X2108" i="2"/>
  <c r="T2108" i="2"/>
  <c r="P2108" i="2"/>
  <c r="L2108" i="2"/>
  <c r="H2108" i="2"/>
  <c r="X2107" i="2"/>
  <c r="T2107" i="2"/>
  <c r="P2107" i="2"/>
  <c r="L2107" i="2"/>
  <c r="H2107" i="2"/>
  <c r="X2106" i="2"/>
  <c r="T2106" i="2"/>
  <c r="P2106" i="2"/>
  <c r="L2106" i="2"/>
  <c r="H2106" i="2"/>
  <c r="X2105" i="2"/>
  <c r="T2105" i="2"/>
  <c r="P2105" i="2"/>
  <c r="L2105" i="2"/>
  <c r="H2105" i="2"/>
  <c r="X2104" i="2"/>
  <c r="T2104" i="2"/>
  <c r="P2104" i="2"/>
  <c r="L2104" i="2"/>
  <c r="H2104" i="2"/>
  <c r="X2103" i="2"/>
  <c r="T2103" i="2"/>
  <c r="P2103" i="2"/>
  <c r="L2103" i="2"/>
  <c r="H2103" i="2"/>
  <c r="X2102" i="2"/>
  <c r="T2102" i="2"/>
  <c r="P2102" i="2"/>
  <c r="L2102" i="2"/>
  <c r="H2102" i="2"/>
  <c r="X2101" i="2"/>
  <c r="T2101" i="2"/>
  <c r="P2101" i="2"/>
  <c r="L2101" i="2"/>
  <c r="H2101" i="2"/>
  <c r="X2100" i="2"/>
  <c r="T2100" i="2"/>
  <c r="P2100" i="2"/>
  <c r="L2100" i="2"/>
  <c r="H2100" i="2"/>
  <c r="X2099" i="2"/>
  <c r="T2099" i="2"/>
  <c r="P2099" i="2"/>
  <c r="L2099" i="2"/>
  <c r="H2099" i="2"/>
  <c r="X2098" i="2"/>
  <c r="T2098" i="2"/>
  <c r="P2098" i="2"/>
  <c r="L2098" i="2"/>
  <c r="H2098" i="2"/>
  <c r="X2097" i="2"/>
  <c r="T2097" i="2"/>
  <c r="P2097" i="2"/>
  <c r="L2097" i="2"/>
  <c r="H2097" i="2"/>
  <c r="X2096" i="2"/>
  <c r="T2096" i="2"/>
  <c r="P2096" i="2"/>
  <c r="L2096" i="2"/>
  <c r="H2096" i="2"/>
  <c r="X2095" i="2"/>
  <c r="T2095" i="2"/>
  <c r="P2095" i="2"/>
  <c r="L2095" i="2"/>
  <c r="H2095" i="2"/>
  <c r="X2094" i="2"/>
  <c r="T2094" i="2"/>
  <c r="P2094" i="2"/>
  <c r="L2094" i="2"/>
  <c r="H2094" i="2"/>
  <c r="X2093" i="2"/>
  <c r="T2093" i="2"/>
  <c r="P2093" i="2"/>
  <c r="L2093" i="2"/>
  <c r="H2093" i="2"/>
  <c r="X2092" i="2"/>
  <c r="T2092" i="2"/>
  <c r="P2092" i="2"/>
  <c r="L2092" i="2"/>
  <c r="H2092" i="2"/>
  <c r="X2091" i="2"/>
  <c r="T2091" i="2"/>
  <c r="P2091" i="2"/>
  <c r="L2091" i="2"/>
  <c r="H2091" i="2"/>
  <c r="X2090" i="2"/>
  <c r="T2090" i="2"/>
  <c r="P2090" i="2"/>
  <c r="L2090" i="2"/>
  <c r="H2090" i="2"/>
  <c r="X2089" i="2"/>
  <c r="T2089" i="2"/>
  <c r="P2089" i="2"/>
  <c r="L2089" i="2"/>
  <c r="H2089" i="2"/>
  <c r="X2088" i="2"/>
  <c r="T2088" i="2"/>
  <c r="P2088" i="2"/>
  <c r="L2088" i="2"/>
  <c r="H2088" i="2"/>
  <c r="X2087" i="2"/>
  <c r="T2087" i="2"/>
  <c r="P2087" i="2"/>
  <c r="L2087" i="2"/>
  <c r="H2087" i="2"/>
  <c r="X2086" i="2"/>
  <c r="T2086" i="2"/>
  <c r="P2086" i="2"/>
  <c r="L2086" i="2"/>
  <c r="H2086" i="2"/>
  <c r="X2085" i="2"/>
  <c r="T2085" i="2"/>
  <c r="P2085" i="2"/>
  <c r="L2085" i="2"/>
  <c r="H2085" i="2"/>
  <c r="X2084" i="2"/>
  <c r="T2084" i="2"/>
  <c r="P2084" i="2"/>
  <c r="L2084" i="2"/>
  <c r="H2084" i="2"/>
  <c r="X2083" i="2"/>
  <c r="T2083" i="2"/>
  <c r="P2083" i="2"/>
  <c r="L2083" i="2"/>
  <c r="H2083" i="2"/>
  <c r="X2082" i="2"/>
  <c r="T2082" i="2"/>
  <c r="P2082" i="2"/>
  <c r="L2082" i="2"/>
  <c r="H2082" i="2"/>
  <c r="X2081" i="2"/>
  <c r="T2081" i="2"/>
  <c r="P2081" i="2"/>
  <c r="L2081" i="2"/>
  <c r="H2081" i="2"/>
  <c r="X2080" i="2"/>
  <c r="T2080" i="2"/>
  <c r="P2080" i="2"/>
  <c r="L2080" i="2"/>
  <c r="H2080" i="2"/>
  <c r="X2079" i="2"/>
  <c r="T2079" i="2"/>
  <c r="P2079" i="2"/>
  <c r="L2079" i="2"/>
  <c r="H2079" i="2"/>
  <c r="X2078" i="2"/>
  <c r="T2078" i="2"/>
  <c r="P2078" i="2"/>
  <c r="L2078" i="2"/>
  <c r="H2078" i="2"/>
  <c r="X2077" i="2"/>
  <c r="T2077" i="2"/>
  <c r="P2077" i="2"/>
  <c r="L2077" i="2"/>
  <c r="H2077" i="2"/>
  <c r="X2076" i="2"/>
  <c r="T2076" i="2"/>
  <c r="P2076" i="2"/>
  <c r="L2076" i="2"/>
  <c r="H2076" i="2"/>
  <c r="X2075" i="2"/>
  <c r="T2075" i="2"/>
  <c r="P2075" i="2"/>
  <c r="L2075" i="2"/>
  <c r="H2075" i="2"/>
  <c r="X2074" i="2"/>
  <c r="T2074" i="2"/>
  <c r="P2074" i="2"/>
  <c r="L2074" i="2"/>
  <c r="H2074" i="2"/>
  <c r="X2073" i="2"/>
  <c r="T2073" i="2"/>
  <c r="P2073" i="2"/>
  <c r="L2073" i="2"/>
  <c r="H2073" i="2"/>
  <c r="X2072" i="2"/>
  <c r="T2072" i="2"/>
  <c r="P2072" i="2"/>
  <c r="L2072" i="2"/>
  <c r="H2072" i="2"/>
  <c r="X2071" i="2"/>
  <c r="T2071" i="2"/>
  <c r="P2071" i="2"/>
  <c r="L2071" i="2"/>
  <c r="H2071" i="2"/>
  <c r="X2070" i="2"/>
  <c r="T2070" i="2"/>
  <c r="P2070" i="2"/>
  <c r="L2070" i="2"/>
  <c r="H2070" i="2"/>
  <c r="X2069" i="2"/>
  <c r="T2069" i="2"/>
  <c r="P2069" i="2"/>
  <c r="L2069" i="2"/>
  <c r="H2069" i="2"/>
  <c r="X2068" i="2"/>
  <c r="T2068" i="2"/>
  <c r="P2068" i="2"/>
  <c r="L2068" i="2"/>
  <c r="H2068" i="2"/>
  <c r="X2067" i="2"/>
  <c r="T2067" i="2"/>
  <c r="P2067" i="2"/>
  <c r="L2067" i="2"/>
  <c r="H2067" i="2"/>
  <c r="X2066" i="2"/>
  <c r="T2066" i="2"/>
  <c r="P2066" i="2"/>
  <c r="L2066" i="2"/>
  <c r="H2066" i="2"/>
  <c r="X2065" i="2"/>
  <c r="T2065" i="2"/>
  <c r="P2065" i="2"/>
  <c r="L2065" i="2"/>
  <c r="H2065" i="2"/>
  <c r="X2064" i="2"/>
  <c r="T2064" i="2"/>
  <c r="P2064" i="2"/>
  <c r="L2064" i="2"/>
  <c r="H2064" i="2"/>
  <c r="X2063" i="2"/>
  <c r="T2063" i="2"/>
  <c r="P2063" i="2"/>
  <c r="L2063" i="2"/>
  <c r="H2063" i="2"/>
  <c r="X2062" i="2"/>
  <c r="T2062" i="2"/>
  <c r="P2062" i="2"/>
  <c r="L2062" i="2"/>
  <c r="H2062" i="2"/>
  <c r="X2061" i="2"/>
  <c r="T2061" i="2"/>
  <c r="P2061" i="2"/>
  <c r="L2061" i="2"/>
  <c r="H2061" i="2"/>
  <c r="X2060" i="2"/>
  <c r="T2060" i="2"/>
  <c r="P2060" i="2"/>
  <c r="L2060" i="2"/>
  <c r="H2060" i="2"/>
  <c r="X2059" i="2"/>
  <c r="T2059" i="2"/>
  <c r="P2059" i="2"/>
  <c r="L2059" i="2"/>
  <c r="H2059" i="2"/>
  <c r="X2058" i="2"/>
  <c r="T2058" i="2"/>
  <c r="P2058" i="2"/>
  <c r="L2058" i="2"/>
  <c r="H2058" i="2"/>
  <c r="X2057" i="2"/>
  <c r="T2057" i="2"/>
  <c r="P2057" i="2"/>
  <c r="L2057" i="2"/>
  <c r="H2057" i="2"/>
  <c r="X2056" i="2"/>
  <c r="T2056" i="2"/>
  <c r="P2056" i="2"/>
  <c r="L2056" i="2"/>
  <c r="H2056" i="2"/>
  <c r="X2055" i="2"/>
  <c r="T2055" i="2"/>
  <c r="P2055" i="2"/>
  <c r="L2055" i="2"/>
  <c r="H2055" i="2"/>
  <c r="X2054" i="2"/>
  <c r="T2054" i="2"/>
  <c r="P2054" i="2"/>
  <c r="L2054" i="2"/>
  <c r="H2054" i="2"/>
  <c r="X2053" i="2"/>
  <c r="T2053" i="2"/>
  <c r="P2053" i="2"/>
  <c r="L2053" i="2"/>
  <c r="H2053" i="2"/>
  <c r="X2052" i="2"/>
  <c r="T2052" i="2"/>
  <c r="P2052" i="2"/>
  <c r="L2052" i="2"/>
  <c r="H2052" i="2"/>
  <c r="X2051" i="2"/>
  <c r="T2051" i="2"/>
  <c r="P2051" i="2"/>
  <c r="L2051" i="2"/>
  <c r="H2051" i="2"/>
  <c r="X2050" i="2"/>
  <c r="T2050" i="2"/>
  <c r="P2050" i="2"/>
  <c r="L2050" i="2"/>
  <c r="H2050" i="2"/>
  <c r="X2049" i="2"/>
  <c r="T2049" i="2"/>
  <c r="P2049" i="2"/>
  <c r="L2049" i="2"/>
  <c r="H2049" i="2"/>
  <c r="X2048" i="2"/>
  <c r="T2048" i="2"/>
  <c r="P2048" i="2"/>
  <c r="L2048" i="2"/>
  <c r="H2048" i="2"/>
  <c r="X2047" i="2"/>
  <c r="T2047" i="2"/>
  <c r="P2047" i="2"/>
  <c r="L2047" i="2"/>
  <c r="H2047" i="2"/>
  <c r="X2046" i="2"/>
  <c r="T2046" i="2"/>
  <c r="P2046" i="2"/>
  <c r="L2046" i="2"/>
  <c r="H2046" i="2"/>
  <c r="X2045" i="2"/>
  <c r="T2045" i="2"/>
  <c r="P2045" i="2"/>
  <c r="L2045" i="2"/>
  <c r="H2045" i="2"/>
  <c r="X2044" i="2"/>
  <c r="T2044" i="2"/>
  <c r="P2044" i="2"/>
  <c r="L2044" i="2"/>
  <c r="H2044" i="2"/>
  <c r="X2043" i="2"/>
  <c r="T2043" i="2"/>
  <c r="P2043" i="2"/>
  <c r="L2043" i="2"/>
  <c r="H2043" i="2"/>
  <c r="X2042" i="2"/>
  <c r="T2042" i="2"/>
  <c r="P2042" i="2"/>
  <c r="L2042" i="2"/>
  <c r="H2042" i="2"/>
  <c r="X2041" i="2"/>
  <c r="T2041" i="2"/>
  <c r="P2041" i="2"/>
  <c r="L2041" i="2"/>
  <c r="H2041" i="2"/>
  <c r="X2040" i="2"/>
  <c r="T2040" i="2"/>
  <c r="P2040" i="2"/>
  <c r="L2040" i="2"/>
  <c r="H2040" i="2"/>
  <c r="X2039" i="2"/>
  <c r="T2039" i="2"/>
  <c r="P2039" i="2"/>
  <c r="L2039" i="2"/>
  <c r="H2039" i="2"/>
  <c r="X2038" i="2"/>
  <c r="T2038" i="2"/>
  <c r="P2038" i="2"/>
  <c r="L2038" i="2"/>
  <c r="H2038" i="2"/>
  <c r="X2037" i="2"/>
  <c r="T2037" i="2"/>
  <c r="P2037" i="2"/>
  <c r="L2037" i="2"/>
  <c r="H2037" i="2"/>
  <c r="X2036" i="2"/>
  <c r="T2036" i="2"/>
  <c r="P2036" i="2"/>
  <c r="L2036" i="2"/>
  <c r="H2036" i="2"/>
  <c r="X2035" i="2"/>
  <c r="T2035" i="2"/>
  <c r="P2035" i="2"/>
  <c r="L2035" i="2"/>
  <c r="H2035" i="2"/>
  <c r="X2034" i="2"/>
  <c r="T2034" i="2"/>
  <c r="P2034" i="2"/>
  <c r="L2034" i="2"/>
  <c r="H2034" i="2"/>
  <c r="X2033" i="2"/>
  <c r="T2033" i="2"/>
  <c r="P2033" i="2"/>
  <c r="L2033" i="2"/>
  <c r="H2033" i="2"/>
  <c r="X2032" i="2"/>
  <c r="T2032" i="2"/>
  <c r="P2032" i="2"/>
  <c r="L2032" i="2"/>
  <c r="H2032" i="2"/>
  <c r="X2031" i="2"/>
  <c r="T2031" i="2"/>
  <c r="P2031" i="2"/>
  <c r="L2031" i="2"/>
  <c r="H2031" i="2"/>
  <c r="X2030" i="2"/>
  <c r="T2030" i="2"/>
  <c r="P2030" i="2"/>
  <c r="L2030" i="2"/>
  <c r="H2030" i="2"/>
  <c r="X2029" i="2"/>
  <c r="T2029" i="2"/>
  <c r="P2029" i="2"/>
  <c r="L2029" i="2"/>
  <c r="H2029" i="2"/>
  <c r="X2028" i="2"/>
  <c r="T2028" i="2"/>
  <c r="P2028" i="2"/>
  <c r="L2028" i="2"/>
  <c r="H2028" i="2"/>
  <c r="X2027" i="2"/>
  <c r="T2027" i="2"/>
  <c r="P2027" i="2"/>
  <c r="L2027" i="2"/>
  <c r="H2027" i="2"/>
  <c r="X2026" i="2"/>
  <c r="T2026" i="2"/>
  <c r="P2026" i="2"/>
  <c r="L2026" i="2"/>
  <c r="H2026" i="2"/>
  <c r="X2025" i="2"/>
  <c r="T2025" i="2"/>
  <c r="P2025" i="2"/>
  <c r="L2025" i="2"/>
  <c r="H2025" i="2"/>
  <c r="X2024" i="2"/>
  <c r="T2024" i="2"/>
  <c r="P2024" i="2"/>
  <c r="L2024" i="2"/>
  <c r="H2024" i="2"/>
  <c r="X2023" i="2"/>
  <c r="T2023" i="2"/>
  <c r="P2023" i="2"/>
  <c r="L2023" i="2"/>
  <c r="H2023" i="2"/>
  <c r="X2022" i="2"/>
  <c r="T2022" i="2"/>
  <c r="P2022" i="2"/>
  <c r="L2022" i="2"/>
  <c r="H2022" i="2"/>
  <c r="X2021" i="2"/>
  <c r="T2021" i="2"/>
  <c r="P2021" i="2"/>
  <c r="L2021" i="2"/>
  <c r="H2021" i="2"/>
  <c r="X2020" i="2"/>
  <c r="T2020" i="2"/>
  <c r="P2020" i="2"/>
  <c r="L2020" i="2"/>
  <c r="H2020" i="2"/>
  <c r="X2019" i="2"/>
  <c r="T2019" i="2"/>
  <c r="P2019" i="2"/>
  <c r="L2019" i="2"/>
  <c r="H2019" i="2"/>
  <c r="X2018" i="2"/>
  <c r="T2018" i="2"/>
  <c r="P2018" i="2"/>
  <c r="L2018" i="2"/>
  <c r="H2018" i="2"/>
  <c r="X2017" i="2"/>
  <c r="T2017" i="2"/>
  <c r="P2017" i="2"/>
  <c r="L2017" i="2"/>
  <c r="H2017" i="2"/>
  <c r="X2016" i="2"/>
  <c r="T2016" i="2"/>
  <c r="P2016" i="2"/>
  <c r="L2016" i="2"/>
  <c r="H2016" i="2"/>
  <c r="X2015" i="2"/>
  <c r="T2015" i="2"/>
  <c r="P2015" i="2"/>
  <c r="L2015" i="2"/>
  <c r="H2015" i="2"/>
  <c r="X2014" i="2"/>
  <c r="T2014" i="2"/>
  <c r="P2014" i="2"/>
  <c r="L2014" i="2"/>
  <c r="H2014" i="2"/>
  <c r="X2013" i="2"/>
  <c r="T2013" i="2"/>
  <c r="P2013" i="2"/>
  <c r="L2013" i="2"/>
  <c r="H2013" i="2"/>
  <c r="X2012" i="2"/>
  <c r="T2012" i="2"/>
  <c r="P2012" i="2"/>
  <c r="L2012" i="2"/>
  <c r="H2012" i="2"/>
  <c r="X2011" i="2"/>
  <c r="T2011" i="2"/>
  <c r="P2011" i="2"/>
  <c r="L2011" i="2"/>
  <c r="H2011" i="2"/>
  <c r="X2010" i="2"/>
  <c r="T2010" i="2"/>
  <c r="P2010" i="2"/>
  <c r="L2010" i="2"/>
  <c r="H2010" i="2"/>
  <c r="X2009" i="2"/>
  <c r="T2009" i="2"/>
  <c r="P2009" i="2"/>
  <c r="L2009" i="2"/>
  <c r="H2009" i="2"/>
  <c r="X2008" i="2"/>
  <c r="T2008" i="2"/>
  <c r="P2008" i="2"/>
  <c r="L2008" i="2"/>
  <c r="H2008" i="2"/>
  <c r="X2007" i="2"/>
  <c r="T2007" i="2"/>
  <c r="P2007" i="2"/>
  <c r="L2007" i="2"/>
  <c r="H2007" i="2"/>
  <c r="X2006" i="2"/>
  <c r="T2006" i="2"/>
  <c r="P2006" i="2"/>
  <c r="L2006" i="2"/>
  <c r="H2006" i="2"/>
  <c r="X2005" i="2"/>
  <c r="T2005" i="2"/>
  <c r="P2005" i="2"/>
  <c r="L2005" i="2"/>
  <c r="H2005" i="2"/>
  <c r="X2004" i="2"/>
  <c r="T2004" i="2"/>
  <c r="P2004" i="2"/>
  <c r="L2004" i="2"/>
  <c r="H2004" i="2"/>
  <c r="X2003" i="2"/>
  <c r="T2003" i="2"/>
  <c r="P2003" i="2"/>
  <c r="L2003" i="2"/>
  <c r="H2003" i="2"/>
  <c r="X2002" i="2"/>
  <c r="T2002" i="2"/>
  <c r="P2002" i="2"/>
  <c r="L2002" i="2"/>
  <c r="H2002" i="2"/>
  <c r="X2001" i="2"/>
  <c r="T2001" i="2"/>
  <c r="P2001" i="2"/>
  <c r="L2001" i="2"/>
  <c r="H2001" i="2"/>
  <c r="X2000" i="2"/>
  <c r="T2000" i="2"/>
  <c r="P2000" i="2"/>
  <c r="L2000" i="2"/>
  <c r="H2000" i="2"/>
  <c r="X1999" i="2"/>
  <c r="T1999" i="2"/>
  <c r="P1999" i="2"/>
  <c r="L1999" i="2"/>
  <c r="H1999" i="2"/>
  <c r="X1998" i="2"/>
  <c r="T1998" i="2"/>
  <c r="P1998" i="2"/>
  <c r="L1998" i="2"/>
  <c r="H1998" i="2"/>
  <c r="X1997" i="2"/>
  <c r="T1997" i="2"/>
  <c r="P1997" i="2"/>
  <c r="L1997" i="2"/>
  <c r="H1997" i="2"/>
  <c r="X1996" i="2"/>
  <c r="T1996" i="2"/>
  <c r="P1996" i="2"/>
  <c r="L1996" i="2"/>
  <c r="H1996" i="2"/>
  <c r="X1995" i="2"/>
  <c r="T1995" i="2"/>
  <c r="P1995" i="2"/>
  <c r="L1995" i="2"/>
  <c r="H1995" i="2"/>
  <c r="X1994" i="2"/>
  <c r="T1994" i="2"/>
  <c r="P1994" i="2"/>
  <c r="L1994" i="2"/>
  <c r="H1994" i="2"/>
  <c r="X1993" i="2"/>
  <c r="T1993" i="2"/>
  <c r="P1993" i="2"/>
  <c r="L1993" i="2"/>
  <c r="H1993" i="2"/>
  <c r="X1992" i="2"/>
  <c r="T1992" i="2"/>
  <c r="P1992" i="2"/>
  <c r="L1992" i="2"/>
  <c r="H1992" i="2"/>
  <c r="X1991" i="2"/>
  <c r="T1991" i="2"/>
  <c r="P1991" i="2"/>
  <c r="L1991" i="2"/>
  <c r="H1991" i="2"/>
  <c r="X1990" i="2"/>
  <c r="T1990" i="2"/>
  <c r="P1990" i="2"/>
  <c r="L1990" i="2"/>
  <c r="H1990" i="2"/>
  <c r="X1989" i="2"/>
  <c r="T1989" i="2"/>
  <c r="P1989" i="2"/>
  <c r="L1989" i="2"/>
  <c r="H1989" i="2"/>
  <c r="X1988" i="2"/>
  <c r="T1988" i="2"/>
  <c r="P1988" i="2"/>
  <c r="L1988" i="2"/>
  <c r="H1988" i="2"/>
  <c r="X1987" i="2"/>
  <c r="T1987" i="2"/>
  <c r="P1987" i="2"/>
  <c r="L1987" i="2"/>
  <c r="H1987" i="2"/>
  <c r="X1986" i="2"/>
  <c r="T1986" i="2"/>
  <c r="P1986" i="2"/>
  <c r="L1986" i="2"/>
  <c r="H1986" i="2"/>
  <c r="X1985" i="2"/>
  <c r="T1985" i="2"/>
  <c r="P1985" i="2"/>
  <c r="L1985" i="2"/>
  <c r="H1985" i="2"/>
  <c r="X1984" i="2"/>
  <c r="T1984" i="2"/>
  <c r="P1984" i="2"/>
  <c r="L1984" i="2"/>
  <c r="H1984" i="2"/>
  <c r="X1983" i="2"/>
  <c r="T1983" i="2"/>
  <c r="P1983" i="2"/>
  <c r="L1983" i="2"/>
  <c r="H1983" i="2"/>
  <c r="X1982" i="2"/>
  <c r="T1982" i="2"/>
  <c r="P1982" i="2"/>
  <c r="L1982" i="2"/>
  <c r="H1982" i="2"/>
  <c r="X1981" i="2"/>
  <c r="T1981" i="2"/>
  <c r="P1981" i="2"/>
  <c r="L1981" i="2"/>
  <c r="H1981" i="2"/>
  <c r="X1980" i="2"/>
  <c r="T1980" i="2"/>
  <c r="P1980" i="2"/>
  <c r="L1980" i="2"/>
  <c r="H1980" i="2"/>
  <c r="X1979" i="2"/>
  <c r="T1979" i="2"/>
  <c r="P1979" i="2"/>
  <c r="L1979" i="2"/>
  <c r="H1979" i="2"/>
  <c r="X1978" i="2"/>
  <c r="T1978" i="2"/>
  <c r="P1978" i="2"/>
  <c r="L1978" i="2"/>
  <c r="H1978" i="2"/>
  <c r="X1977" i="2"/>
  <c r="T1977" i="2"/>
  <c r="P1977" i="2"/>
  <c r="L1977" i="2"/>
  <c r="H1977" i="2"/>
  <c r="X1976" i="2"/>
  <c r="T1976" i="2"/>
  <c r="P1976" i="2"/>
  <c r="L1976" i="2"/>
  <c r="H1976" i="2"/>
  <c r="X1975" i="2"/>
  <c r="T1975" i="2"/>
  <c r="P1975" i="2"/>
  <c r="L1975" i="2"/>
  <c r="H1975" i="2"/>
  <c r="X1974" i="2"/>
  <c r="T1974" i="2"/>
  <c r="P1974" i="2"/>
  <c r="L1974" i="2"/>
  <c r="H1974" i="2"/>
  <c r="X1973" i="2"/>
  <c r="T1973" i="2"/>
  <c r="P1973" i="2"/>
  <c r="L1973" i="2"/>
  <c r="H1973" i="2"/>
  <c r="X1972" i="2"/>
  <c r="T1972" i="2"/>
  <c r="P1972" i="2"/>
  <c r="L1972" i="2"/>
  <c r="H1972" i="2"/>
  <c r="X1971" i="2"/>
  <c r="T1971" i="2"/>
  <c r="P1971" i="2"/>
  <c r="L1971" i="2"/>
  <c r="H1971" i="2"/>
  <c r="X1970" i="2"/>
  <c r="T1970" i="2"/>
  <c r="P1970" i="2"/>
  <c r="L1970" i="2"/>
  <c r="H1970" i="2"/>
  <c r="X1969" i="2"/>
  <c r="T1969" i="2"/>
  <c r="P1969" i="2"/>
  <c r="L1969" i="2"/>
  <c r="H1969" i="2"/>
  <c r="X1968" i="2"/>
  <c r="T1968" i="2"/>
  <c r="P1968" i="2"/>
  <c r="L1968" i="2"/>
  <c r="H1968" i="2"/>
  <c r="X1967" i="2"/>
  <c r="T1967" i="2"/>
  <c r="P1967" i="2"/>
  <c r="L1967" i="2"/>
  <c r="H1967" i="2"/>
  <c r="X1966" i="2"/>
  <c r="T1966" i="2"/>
  <c r="P1966" i="2"/>
  <c r="L1966" i="2"/>
  <c r="H1966" i="2"/>
  <c r="X1965" i="2"/>
  <c r="T1965" i="2"/>
  <c r="P1965" i="2"/>
  <c r="L1965" i="2"/>
  <c r="H1965" i="2"/>
  <c r="X1964" i="2"/>
  <c r="T1964" i="2"/>
  <c r="P1964" i="2"/>
  <c r="L1964" i="2"/>
  <c r="H1964" i="2"/>
  <c r="X1963" i="2"/>
  <c r="T1963" i="2"/>
  <c r="P1963" i="2"/>
  <c r="L1963" i="2"/>
  <c r="H1963" i="2"/>
  <c r="X1962" i="2"/>
  <c r="T1962" i="2"/>
  <c r="P1962" i="2"/>
  <c r="L1962" i="2"/>
  <c r="H1962" i="2"/>
  <c r="X1961" i="2"/>
  <c r="T1961" i="2"/>
  <c r="P1961" i="2"/>
  <c r="L1961" i="2"/>
  <c r="H1961" i="2"/>
  <c r="X1960" i="2"/>
  <c r="T1960" i="2"/>
  <c r="P1960" i="2"/>
  <c r="L1960" i="2"/>
  <c r="H1960" i="2"/>
  <c r="X1959" i="2"/>
  <c r="T1959" i="2"/>
  <c r="P1959" i="2"/>
  <c r="L1959" i="2"/>
  <c r="H1959" i="2"/>
  <c r="X1958" i="2"/>
  <c r="T1958" i="2"/>
  <c r="P1958" i="2"/>
  <c r="L1958" i="2"/>
  <c r="H1958" i="2"/>
  <c r="X1957" i="2"/>
  <c r="T1957" i="2"/>
  <c r="P1957" i="2"/>
  <c r="L1957" i="2"/>
  <c r="H1957" i="2"/>
  <c r="X1956" i="2"/>
  <c r="T1956" i="2"/>
  <c r="P1956" i="2"/>
  <c r="L1956" i="2"/>
  <c r="H1956" i="2"/>
  <c r="X1955" i="2"/>
  <c r="T1955" i="2"/>
  <c r="P1955" i="2"/>
  <c r="L1955" i="2"/>
  <c r="H1955" i="2"/>
  <c r="X1954" i="2"/>
  <c r="T1954" i="2"/>
  <c r="P1954" i="2"/>
  <c r="L1954" i="2"/>
  <c r="H1954" i="2"/>
  <c r="X1953" i="2"/>
  <c r="T1953" i="2"/>
  <c r="P1953" i="2"/>
  <c r="L1953" i="2"/>
  <c r="H1953" i="2"/>
  <c r="X1952" i="2"/>
  <c r="T1952" i="2"/>
  <c r="P1952" i="2"/>
  <c r="L1952" i="2"/>
  <c r="H1952" i="2"/>
  <c r="X1951" i="2"/>
  <c r="T1951" i="2"/>
  <c r="P1951" i="2"/>
  <c r="L1951" i="2"/>
  <c r="H1951" i="2"/>
  <c r="X1950" i="2"/>
  <c r="T1950" i="2"/>
  <c r="P1950" i="2"/>
  <c r="L1950" i="2"/>
  <c r="H1950" i="2"/>
  <c r="X1949" i="2"/>
  <c r="T1949" i="2"/>
  <c r="P1949" i="2"/>
  <c r="L1949" i="2"/>
  <c r="H1949" i="2"/>
  <c r="X1948" i="2"/>
  <c r="T1948" i="2"/>
  <c r="P1948" i="2"/>
  <c r="L1948" i="2"/>
  <c r="H1948" i="2"/>
  <c r="X1947" i="2"/>
  <c r="T1947" i="2"/>
  <c r="P1947" i="2"/>
  <c r="L1947" i="2"/>
  <c r="H1947" i="2"/>
  <c r="X1946" i="2"/>
  <c r="T1946" i="2"/>
  <c r="P1946" i="2"/>
  <c r="L1946" i="2"/>
  <c r="H1946" i="2"/>
  <c r="X1945" i="2"/>
  <c r="T1945" i="2"/>
  <c r="P1945" i="2"/>
  <c r="L1945" i="2"/>
  <c r="H1945" i="2"/>
  <c r="X1944" i="2"/>
  <c r="T1944" i="2"/>
  <c r="P1944" i="2"/>
  <c r="L1944" i="2"/>
  <c r="H1944" i="2"/>
  <c r="X1943" i="2"/>
  <c r="T1943" i="2"/>
  <c r="P1943" i="2"/>
  <c r="L1943" i="2"/>
  <c r="H1943" i="2"/>
  <c r="X1942" i="2"/>
  <c r="T1942" i="2"/>
  <c r="P1942" i="2"/>
  <c r="L1942" i="2"/>
  <c r="H1942" i="2"/>
  <c r="X1941" i="2"/>
  <c r="T1941" i="2"/>
  <c r="P1941" i="2"/>
  <c r="L1941" i="2"/>
  <c r="H1941" i="2"/>
  <c r="X1940" i="2"/>
  <c r="T1940" i="2"/>
  <c r="P1940" i="2"/>
  <c r="L1940" i="2"/>
  <c r="H1940" i="2"/>
  <c r="X1939" i="2"/>
  <c r="T1939" i="2"/>
  <c r="P1939" i="2"/>
  <c r="L1939" i="2"/>
  <c r="H1939" i="2"/>
  <c r="X1938" i="2"/>
  <c r="T1938" i="2"/>
  <c r="P1938" i="2"/>
  <c r="L1938" i="2"/>
  <c r="H1938" i="2"/>
  <c r="X1937" i="2"/>
  <c r="T1937" i="2"/>
  <c r="P1937" i="2"/>
  <c r="L1937" i="2"/>
  <c r="H1937" i="2"/>
  <c r="X1936" i="2"/>
  <c r="T1936" i="2"/>
  <c r="P1936" i="2"/>
  <c r="L1936" i="2"/>
  <c r="H1936" i="2"/>
  <c r="X1935" i="2"/>
  <c r="T1935" i="2"/>
  <c r="P1935" i="2"/>
  <c r="L1935" i="2"/>
  <c r="H1935" i="2"/>
  <c r="X1934" i="2"/>
  <c r="T1934" i="2"/>
  <c r="P1934" i="2"/>
  <c r="L1934" i="2"/>
  <c r="H1934" i="2"/>
  <c r="X1933" i="2"/>
  <c r="T1933" i="2"/>
  <c r="P1933" i="2"/>
  <c r="L1933" i="2"/>
  <c r="H1933" i="2"/>
  <c r="X1932" i="2"/>
  <c r="T1932" i="2"/>
  <c r="P1932" i="2"/>
  <c r="L1932" i="2"/>
  <c r="H1932" i="2"/>
  <c r="X1931" i="2"/>
  <c r="T1931" i="2"/>
  <c r="P1931" i="2"/>
  <c r="L1931" i="2"/>
  <c r="H1931" i="2"/>
  <c r="X1930" i="2"/>
  <c r="T1930" i="2"/>
  <c r="P1930" i="2"/>
  <c r="L1930" i="2"/>
  <c r="H1930" i="2"/>
  <c r="X1929" i="2"/>
  <c r="T1929" i="2"/>
  <c r="P1929" i="2"/>
  <c r="L1929" i="2"/>
  <c r="H1929" i="2"/>
  <c r="X1928" i="2"/>
  <c r="T1928" i="2"/>
  <c r="P1928" i="2"/>
  <c r="L1928" i="2"/>
  <c r="H1928" i="2"/>
  <c r="X1927" i="2"/>
  <c r="T1927" i="2"/>
  <c r="P1927" i="2"/>
  <c r="L1927" i="2"/>
  <c r="H1927" i="2"/>
  <c r="X1926" i="2"/>
  <c r="T1926" i="2"/>
  <c r="P1926" i="2"/>
  <c r="L1926" i="2"/>
  <c r="H1926" i="2"/>
  <c r="X1925" i="2"/>
  <c r="T1925" i="2"/>
  <c r="P1925" i="2"/>
  <c r="L1925" i="2"/>
  <c r="H1925" i="2"/>
  <c r="X1924" i="2"/>
  <c r="T1924" i="2"/>
  <c r="P1924" i="2"/>
  <c r="L1924" i="2"/>
  <c r="H1924" i="2"/>
  <c r="X1923" i="2"/>
  <c r="T1923" i="2"/>
  <c r="P1923" i="2"/>
  <c r="L1923" i="2"/>
  <c r="H1923" i="2"/>
  <c r="X1922" i="2"/>
  <c r="T1922" i="2"/>
  <c r="P1922" i="2"/>
  <c r="L1922" i="2"/>
  <c r="H1922" i="2"/>
  <c r="X1921" i="2"/>
  <c r="T1921" i="2"/>
  <c r="P1921" i="2"/>
  <c r="L1921" i="2"/>
  <c r="H1921" i="2"/>
  <c r="X1920" i="2"/>
  <c r="T1920" i="2"/>
  <c r="P1920" i="2"/>
  <c r="L1920" i="2"/>
  <c r="H1920" i="2"/>
  <c r="X1919" i="2"/>
  <c r="T1919" i="2"/>
  <c r="P1919" i="2"/>
  <c r="L1919" i="2"/>
  <c r="H1919" i="2"/>
  <c r="X1918" i="2"/>
  <c r="T1918" i="2"/>
  <c r="P1918" i="2"/>
  <c r="L1918" i="2"/>
  <c r="H1918" i="2"/>
  <c r="X1917" i="2"/>
  <c r="T1917" i="2"/>
  <c r="P1917" i="2"/>
  <c r="L1917" i="2"/>
  <c r="H1917" i="2"/>
  <c r="X1916" i="2"/>
  <c r="T1916" i="2"/>
  <c r="P1916" i="2"/>
  <c r="L1916" i="2"/>
  <c r="H1916" i="2"/>
  <c r="X1915" i="2"/>
  <c r="T1915" i="2"/>
  <c r="P1915" i="2"/>
  <c r="L1915" i="2"/>
  <c r="H1915" i="2"/>
  <c r="X1914" i="2"/>
  <c r="T1914" i="2"/>
  <c r="P1914" i="2"/>
  <c r="L1914" i="2"/>
  <c r="H1914" i="2"/>
  <c r="X1913" i="2"/>
  <c r="T1913" i="2"/>
  <c r="P1913" i="2"/>
  <c r="L1913" i="2"/>
  <c r="H1913" i="2"/>
  <c r="X1912" i="2"/>
  <c r="T1912" i="2"/>
  <c r="P1912" i="2"/>
  <c r="L1912" i="2"/>
  <c r="H1912" i="2"/>
  <c r="X1911" i="2"/>
  <c r="T1911" i="2"/>
  <c r="P1911" i="2"/>
  <c r="L1911" i="2"/>
  <c r="H1911" i="2"/>
  <c r="X1910" i="2"/>
  <c r="T1910" i="2"/>
  <c r="P1910" i="2"/>
  <c r="L1910" i="2"/>
  <c r="H1910" i="2"/>
  <c r="X1909" i="2"/>
  <c r="T1909" i="2"/>
  <c r="P1909" i="2"/>
  <c r="L1909" i="2"/>
  <c r="H1909" i="2"/>
  <c r="X1908" i="2"/>
  <c r="T1908" i="2"/>
  <c r="P1908" i="2"/>
  <c r="L1908" i="2"/>
  <c r="H1908" i="2"/>
  <c r="X1907" i="2"/>
  <c r="T1907" i="2"/>
  <c r="P1907" i="2"/>
  <c r="L1907" i="2"/>
  <c r="H1907" i="2"/>
  <c r="X1906" i="2"/>
  <c r="T1906" i="2"/>
  <c r="P1906" i="2"/>
  <c r="L1906" i="2"/>
  <c r="H1906" i="2"/>
  <c r="X1905" i="2"/>
  <c r="T1905" i="2"/>
  <c r="P1905" i="2"/>
  <c r="L1905" i="2"/>
  <c r="H1905" i="2"/>
  <c r="X1904" i="2"/>
  <c r="T1904" i="2"/>
  <c r="P1904" i="2"/>
  <c r="L1904" i="2"/>
  <c r="H1904" i="2"/>
  <c r="X1903" i="2"/>
  <c r="T1903" i="2"/>
  <c r="P1903" i="2"/>
  <c r="L1903" i="2"/>
  <c r="H1903" i="2"/>
  <c r="X1902" i="2"/>
  <c r="T1902" i="2"/>
  <c r="P1902" i="2"/>
  <c r="L1902" i="2"/>
  <c r="H1902" i="2"/>
  <c r="X1901" i="2"/>
  <c r="T1901" i="2"/>
  <c r="P1901" i="2"/>
  <c r="L1901" i="2"/>
  <c r="H1901" i="2"/>
  <c r="X1900" i="2"/>
  <c r="T1900" i="2"/>
  <c r="P1900" i="2"/>
  <c r="L1900" i="2"/>
  <c r="H1900" i="2"/>
  <c r="X1899" i="2"/>
  <c r="T1899" i="2"/>
  <c r="P1899" i="2"/>
  <c r="L1899" i="2"/>
  <c r="H1899" i="2"/>
  <c r="X1898" i="2"/>
  <c r="T1898" i="2"/>
  <c r="P1898" i="2"/>
  <c r="L1898" i="2"/>
  <c r="H1898" i="2"/>
  <c r="X1897" i="2"/>
  <c r="T1897" i="2"/>
  <c r="P1897" i="2"/>
  <c r="L1897" i="2"/>
  <c r="H1897" i="2"/>
  <c r="X1896" i="2"/>
  <c r="T1896" i="2"/>
  <c r="P1896" i="2"/>
  <c r="L1896" i="2"/>
  <c r="H1896" i="2"/>
  <c r="X1895" i="2"/>
  <c r="T1895" i="2"/>
  <c r="P1895" i="2"/>
  <c r="L1895" i="2"/>
  <c r="H1895" i="2"/>
  <c r="X1894" i="2"/>
  <c r="T1894" i="2"/>
  <c r="P1894" i="2"/>
  <c r="L1894" i="2"/>
  <c r="H1894" i="2"/>
  <c r="X1893" i="2"/>
  <c r="T1893" i="2"/>
  <c r="P1893" i="2"/>
  <c r="L1893" i="2"/>
  <c r="H1893" i="2"/>
  <c r="X1892" i="2"/>
  <c r="T1892" i="2"/>
  <c r="P1892" i="2"/>
  <c r="L1892" i="2"/>
  <c r="H1892" i="2"/>
  <c r="X1891" i="2"/>
  <c r="T1891" i="2"/>
  <c r="P1891" i="2"/>
  <c r="L1891" i="2"/>
  <c r="H1891" i="2"/>
  <c r="X1890" i="2"/>
  <c r="T1890" i="2"/>
  <c r="P1890" i="2"/>
  <c r="L1890" i="2"/>
  <c r="H1890" i="2"/>
  <c r="X1889" i="2"/>
  <c r="T1889" i="2"/>
  <c r="P1889" i="2"/>
  <c r="L1889" i="2"/>
  <c r="H1889" i="2"/>
  <c r="X1888" i="2"/>
  <c r="T1888" i="2"/>
  <c r="P1888" i="2"/>
  <c r="L1888" i="2"/>
  <c r="H1888" i="2"/>
  <c r="X1887" i="2"/>
  <c r="T1887" i="2"/>
  <c r="P1887" i="2"/>
  <c r="L1887" i="2"/>
  <c r="H1887" i="2"/>
  <c r="X1886" i="2"/>
  <c r="T1886" i="2"/>
  <c r="P1886" i="2"/>
  <c r="L1886" i="2"/>
  <c r="H1886" i="2"/>
  <c r="X1885" i="2"/>
  <c r="T1885" i="2"/>
  <c r="P1885" i="2"/>
  <c r="L1885" i="2"/>
  <c r="H1885" i="2"/>
  <c r="X1884" i="2"/>
  <c r="T1884" i="2"/>
  <c r="P1884" i="2"/>
  <c r="L1884" i="2"/>
  <c r="H1884" i="2"/>
  <c r="X1883" i="2"/>
  <c r="T1883" i="2"/>
  <c r="P1883" i="2"/>
  <c r="L1883" i="2"/>
  <c r="H1883" i="2"/>
  <c r="X1882" i="2"/>
  <c r="T1882" i="2"/>
  <c r="P1882" i="2"/>
  <c r="L1882" i="2"/>
  <c r="H1882" i="2"/>
  <c r="X1881" i="2"/>
  <c r="T1881" i="2"/>
  <c r="P1881" i="2"/>
  <c r="L1881" i="2"/>
  <c r="H1881" i="2"/>
  <c r="X1880" i="2"/>
  <c r="T1880" i="2"/>
  <c r="P1880" i="2"/>
  <c r="L1880" i="2"/>
  <c r="H1880" i="2"/>
  <c r="X1879" i="2"/>
  <c r="T1879" i="2"/>
  <c r="P1879" i="2"/>
  <c r="L1879" i="2"/>
  <c r="H1879" i="2"/>
  <c r="X1878" i="2"/>
  <c r="T1878" i="2"/>
  <c r="P1878" i="2"/>
  <c r="L1878" i="2"/>
  <c r="H1878" i="2"/>
  <c r="X1877" i="2"/>
  <c r="T1877" i="2"/>
  <c r="P1877" i="2"/>
  <c r="L1877" i="2"/>
  <c r="H1877" i="2"/>
  <c r="X1876" i="2"/>
  <c r="T1876" i="2"/>
  <c r="P1876" i="2"/>
  <c r="L1876" i="2"/>
  <c r="H1876" i="2"/>
  <c r="X1875" i="2"/>
  <c r="T1875" i="2"/>
  <c r="P1875" i="2"/>
  <c r="L1875" i="2"/>
  <c r="H1875" i="2"/>
  <c r="X1874" i="2"/>
  <c r="T1874" i="2"/>
  <c r="P1874" i="2"/>
  <c r="L1874" i="2"/>
  <c r="H1874" i="2"/>
  <c r="X1873" i="2"/>
  <c r="T1873" i="2"/>
  <c r="P1873" i="2"/>
  <c r="L1873" i="2"/>
  <c r="H1873" i="2"/>
  <c r="X1872" i="2"/>
  <c r="T1872" i="2"/>
  <c r="P1872" i="2"/>
  <c r="L1872" i="2"/>
  <c r="H1872" i="2"/>
  <c r="X1871" i="2"/>
  <c r="T1871" i="2"/>
  <c r="P1871" i="2"/>
  <c r="L1871" i="2"/>
  <c r="H1871" i="2"/>
  <c r="X1870" i="2"/>
  <c r="T1870" i="2"/>
  <c r="P1870" i="2"/>
  <c r="L1870" i="2"/>
  <c r="H1870" i="2"/>
  <c r="X1869" i="2"/>
  <c r="T1869" i="2"/>
  <c r="P1869" i="2"/>
  <c r="L1869" i="2"/>
  <c r="H1869" i="2"/>
  <c r="X1868" i="2"/>
  <c r="T1868" i="2"/>
  <c r="P1868" i="2"/>
  <c r="L1868" i="2"/>
  <c r="H1868" i="2"/>
  <c r="X1867" i="2"/>
  <c r="T1867" i="2"/>
  <c r="P1867" i="2"/>
  <c r="L1867" i="2"/>
  <c r="H1867" i="2"/>
  <c r="X1866" i="2"/>
  <c r="T1866" i="2"/>
  <c r="P1866" i="2"/>
  <c r="L1866" i="2"/>
  <c r="H1866" i="2"/>
  <c r="X1865" i="2"/>
  <c r="T1865" i="2"/>
  <c r="P1865" i="2"/>
  <c r="L1865" i="2"/>
  <c r="H1865" i="2"/>
  <c r="X1864" i="2"/>
  <c r="T1864" i="2"/>
  <c r="P1864" i="2"/>
  <c r="L1864" i="2"/>
  <c r="H1864" i="2"/>
  <c r="X1863" i="2"/>
  <c r="T1863" i="2"/>
  <c r="P1863" i="2"/>
  <c r="L1863" i="2"/>
  <c r="H1863" i="2"/>
  <c r="X1862" i="2"/>
  <c r="T1862" i="2"/>
  <c r="P1862" i="2"/>
  <c r="L1862" i="2"/>
  <c r="H1862" i="2"/>
  <c r="X1861" i="2"/>
  <c r="T1861" i="2"/>
  <c r="P1861" i="2"/>
  <c r="L1861" i="2"/>
  <c r="H1861" i="2"/>
  <c r="X1860" i="2"/>
  <c r="T1860" i="2"/>
  <c r="P1860" i="2"/>
  <c r="L1860" i="2"/>
  <c r="H1860" i="2"/>
  <c r="X1859" i="2"/>
  <c r="T1859" i="2"/>
  <c r="P1859" i="2"/>
  <c r="L1859" i="2"/>
  <c r="H1859" i="2"/>
  <c r="X1858" i="2"/>
  <c r="T1858" i="2"/>
  <c r="P1858" i="2"/>
  <c r="L1858" i="2"/>
  <c r="H1858" i="2"/>
  <c r="X1857" i="2"/>
  <c r="T1857" i="2"/>
  <c r="P1857" i="2"/>
  <c r="L1857" i="2"/>
  <c r="H1857" i="2"/>
  <c r="X1856" i="2"/>
  <c r="T1856" i="2"/>
  <c r="P1856" i="2"/>
  <c r="L1856" i="2"/>
  <c r="H1856" i="2"/>
  <c r="X1855" i="2"/>
  <c r="T1855" i="2"/>
  <c r="P1855" i="2"/>
  <c r="L1855" i="2"/>
  <c r="H1855" i="2"/>
  <c r="X1854" i="2"/>
  <c r="T1854" i="2"/>
  <c r="P1854" i="2"/>
  <c r="L1854" i="2"/>
  <c r="H1854" i="2"/>
  <c r="X1853" i="2"/>
  <c r="T1853" i="2"/>
  <c r="P1853" i="2"/>
  <c r="L1853" i="2"/>
  <c r="H1853" i="2"/>
  <c r="X1852" i="2"/>
  <c r="T1852" i="2"/>
  <c r="P1852" i="2"/>
  <c r="L1852" i="2"/>
  <c r="H1852" i="2"/>
  <c r="X1851" i="2"/>
  <c r="T1851" i="2"/>
  <c r="P1851" i="2"/>
  <c r="L1851" i="2"/>
  <c r="H1851" i="2"/>
  <c r="X1850" i="2"/>
  <c r="T1850" i="2"/>
  <c r="P1850" i="2"/>
  <c r="L1850" i="2"/>
  <c r="H1850" i="2"/>
  <c r="X1849" i="2"/>
  <c r="T1849" i="2"/>
  <c r="P1849" i="2"/>
  <c r="L1849" i="2"/>
  <c r="H1849" i="2"/>
  <c r="X1848" i="2"/>
  <c r="T1848" i="2"/>
  <c r="P1848" i="2"/>
  <c r="L1848" i="2"/>
  <c r="H1848" i="2"/>
  <c r="X1847" i="2"/>
  <c r="T1847" i="2"/>
  <c r="P1847" i="2"/>
  <c r="L1847" i="2"/>
  <c r="H1847" i="2"/>
  <c r="X1846" i="2"/>
  <c r="T1846" i="2"/>
  <c r="P1846" i="2"/>
  <c r="L1846" i="2"/>
  <c r="H1846" i="2"/>
  <c r="X1845" i="2"/>
  <c r="T1845" i="2"/>
  <c r="P1845" i="2"/>
  <c r="L1845" i="2"/>
  <c r="H1845" i="2"/>
  <c r="X1844" i="2"/>
  <c r="T1844" i="2"/>
  <c r="P1844" i="2"/>
  <c r="L1844" i="2"/>
  <c r="H1844" i="2"/>
  <c r="X1843" i="2"/>
  <c r="T1843" i="2"/>
  <c r="P1843" i="2"/>
  <c r="L1843" i="2"/>
  <c r="H1843" i="2"/>
  <c r="X1842" i="2"/>
  <c r="T1842" i="2"/>
  <c r="P1842" i="2"/>
  <c r="L1842" i="2"/>
  <c r="H1842" i="2"/>
  <c r="X1841" i="2"/>
  <c r="T1841" i="2"/>
  <c r="P1841" i="2"/>
  <c r="L1841" i="2"/>
  <c r="H1841" i="2"/>
  <c r="X1840" i="2"/>
  <c r="T1840" i="2"/>
  <c r="P1840" i="2"/>
  <c r="L1840" i="2"/>
  <c r="H1840" i="2"/>
  <c r="X1839" i="2"/>
  <c r="T1839" i="2"/>
  <c r="P1839" i="2"/>
  <c r="L1839" i="2"/>
  <c r="H1839" i="2"/>
  <c r="X1838" i="2"/>
  <c r="T1838" i="2"/>
  <c r="P1838" i="2"/>
  <c r="L1838" i="2"/>
  <c r="H1838" i="2"/>
  <c r="X1837" i="2"/>
  <c r="T1837" i="2"/>
  <c r="P1837" i="2"/>
  <c r="L1837" i="2"/>
  <c r="H1837" i="2"/>
  <c r="X1836" i="2"/>
  <c r="T1836" i="2"/>
  <c r="P1836" i="2"/>
  <c r="L1836" i="2"/>
  <c r="H1836" i="2"/>
  <c r="X1835" i="2"/>
  <c r="T1835" i="2"/>
  <c r="P1835" i="2"/>
  <c r="L1835" i="2"/>
  <c r="H1835" i="2"/>
  <c r="X1834" i="2"/>
  <c r="T1834" i="2"/>
  <c r="P1834" i="2"/>
  <c r="L1834" i="2"/>
  <c r="H1834" i="2"/>
  <c r="X1833" i="2"/>
  <c r="T1833" i="2"/>
  <c r="P1833" i="2"/>
  <c r="L1833" i="2"/>
  <c r="H1833" i="2"/>
  <c r="X1832" i="2"/>
  <c r="T1832" i="2"/>
  <c r="P1832" i="2"/>
  <c r="L1832" i="2"/>
  <c r="H1832" i="2"/>
  <c r="X1831" i="2"/>
  <c r="T1831" i="2"/>
  <c r="P1831" i="2"/>
  <c r="L1831" i="2"/>
  <c r="H1831" i="2"/>
  <c r="X1830" i="2"/>
  <c r="T1830" i="2"/>
  <c r="P1830" i="2"/>
  <c r="L1830" i="2"/>
  <c r="H1830" i="2"/>
  <c r="X1829" i="2"/>
  <c r="T1829" i="2"/>
  <c r="P1829" i="2"/>
  <c r="L1829" i="2"/>
  <c r="H1829" i="2"/>
  <c r="X1828" i="2"/>
  <c r="T1828" i="2"/>
  <c r="P1828" i="2"/>
  <c r="L1828" i="2"/>
  <c r="H1828" i="2"/>
  <c r="X1827" i="2"/>
  <c r="T1827" i="2"/>
  <c r="P1827" i="2"/>
  <c r="L1827" i="2"/>
  <c r="H1827" i="2"/>
  <c r="X1826" i="2"/>
  <c r="T1826" i="2"/>
  <c r="P1826" i="2"/>
  <c r="L1826" i="2"/>
  <c r="H1826" i="2"/>
  <c r="X1825" i="2"/>
  <c r="T1825" i="2"/>
  <c r="P1825" i="2"/>
  <c r="L1825" i="2"/>
  <c r="H1825" i="2"/>
  <c r="X1824" i="2"/>
  <c r="T1824" i="2"/>
  <c r="P1824" i="2"/>
  <c r="L1824" i="2"/>
  <c r="H1824" i="2"/>
  <c r="X1823" i="2"/>
  <c r="T1823" i="2"/>
  <c r="P1823" i="2"/>
  <c r="L1823" i="2"/>
  <c r="H1823" i="2"/>
  <c r="X1822" i="2"/>
  <c r="T1822" i="2"/>
  <c r="P1822" i="2"/>
  <c r="L1822" i="2"/>
  <c r="H1822" i="2"/>
  <c r="X1821" i="2"/>
  <c r="T1821" i="2"/>
  <c r="P1821" i="2"/>
  <c r="L1821" i="2"/>
  <c r="H1821" i="2"/>
  <c r="X1820" i="2"/>
  <c r="T1820" i="2"/>
  <c r="P1820" i="2"/>
  <c r="L1820" i="2"/>
  <c r="H1820" i="2"/>
  <c r="X1819" i="2"/>
  <c r="T1819" i="2"/>
  <c r="P1819" i="2"/>
  <c r="L1819" i="2"/>
  <c r="H1819" i="2"/>
  <c r="X1818" i="2"/>
  <c r="T1818" i="2"/>
  <c r="P1818" i="2"/>
  <c r="L1818" i="2"/>
  <c r="H1818" i="2"/>
  <c r="X1817" i="2"/>
  <c r="T1817" i="2"/>
  <c r="P1817" i="2"/>
  <c r="L1817" i="2"/>
  <c r="H1817" i="2"/>
  <c r="X1816" i="2"/>
  <c r="T1816" i="2"/>
  <c r="P1816" i="2"/>
  <c r="L1816" i="2"/>
  <c r="H1816" i="2"/>
  <c r="X1815" i="2"/>
  <c r="T1815" i="2"/>
  <c r="P1815" i="2"/>
  <c r="L1815" i="2"/>
  <c r="H1815" i="2"/>
  <c r="X1814" i="2"/>
  <c r="T1814" i="2"/>
  <c r="P1814" i="2"/>
  <c r="L1814" i="2"/>
  <c r="H1814" i="2"/>
  <c r="X1813" i="2"/>
  <c r="T1813" i="2"/>
  <c r="P1813" i="2"/>
  <c r="L1813" i="2"/>
  <c r="H1813" i="2"/>
  <c r="X1812" i="2"/>
  <c r="T1812" i="2"/>
  <c r="P1812" i="2"/>
  <c r="L1812" i="2"/>
  <c r="H1812" i="2"/>
  <c r="X1811" i="2"/>
  <c r="T1811" i="2"/>
  <c r="P1811" i="2"/>
  <c r="L1811" i="2"/>
  <c r="H1811" i="2"/>
  <c r="X1810" i="2"/>
  <c r="T1810" i="2"/>
  <c r="P1810" i="2"/>
  <c r="L1810" i="2"/>
  <c r="H1810" i="2"/>
  <c r="X1809" i="2"/>
  <c r="T1809" i="2"/>
  <c r="P1809" i="2"/>
  <c r="L1809" i="2"/>
  <c r="H1809" i="2"/>
  <c r="X1808" i="2"/>
  <c r="T1808" i="2"/>
  <c r="P1808" i="2"/>
  <c r="L1808" i="2"/>
  <c r="H1808" i="2"/>
  <c r="X1807" i="2"/>
  <c r="T1807" i="2"/>
  <c r="P1807" i="2"/>
  <c r="L1807" i="2"/>
  <c r="H1807" i="2"/>
  <c r="X1806" i="2"/>
  <c r="T1806" i="2"/>
  <c r="P1806" i="2"/>
  <c r="L1806" i="2"/>
  <c r="H1806" i="2"/>
  <c r="X1805" i="2"/>
  <c r="T1805" i="2"/>
  <c r="P1805" i="2"/>
  <c r="L1805" i="2"/>
  <c r="H1805" i="2"/>
  <c r="X1804" i="2"/>
  <c r="T1804" i="2"/>
  <c r="P1804" i="2"/>
  <c r="L1804" i="2"/>
  <c r="H1804" i="2"/>
  <c r="X1803" i="2"/>
  <c r="T1803" i="2"/>
  <c r="P1803" i="2"/>
  <c r="L1803" i="2"/>
  <c r="H1803" i="2"/>
  <c r="X1802" i="2"/>
  <c r="T1802" i="2"/>
  <c r="P1802" i="2"/>
  <c r="L1802" i="2"/>
  <c r="H1802" i="2"/>
  <c r="X1801" i="2"/>
  <c r="T1801" i="2"/>
  <c r="P1801" i="2"/>
  <c r="L1801" i="2"/>
  <c r="H1801" i="2"/>
  <c r="X1800" i="2"/>
  <c r="T1800" i="2"/>
  <c r="P1800" i="2"/>
  <c r="L1800" i="2"/>
  <c r="H1800" i="2"/>
  <c r="X1799" i="2"/>
  <c r="T1799" i="2"/>
  <c r="P1799" i="2"/>
  <c r="L1799" i="2"/>
  <c r="H1799" i="2"/>
  <c r="X1798" i="2"/>
  <c r="T1798" i="2"/>
  <c r="P1798" i="2"/>
  <c r="L1798" i="2"/>
  <c r="H1798" i="2"/>
  <c r="X1797" i="2"/>
  <c r="T1797" i="2"/>
  <c r="P1797" i="2"/>
  <c r="L1797" i="2"/>
  <c r="H1797" i="2"/>
  <c r="X1796" i="2"/>
  <c r="T1796" i="2"/>
  <c r="P1796" i="2"/>
  <c r="L1796" i="2"/>
  <c r="H1796" i="2"/>
  <c r="X1795" i="2"/>
  <c r="T1795" i="2"/>
  <c r="P1795" i="2"/>
  <c r="L1795" i="2"/>
  <c r="H1795" i="2"/>
  <c r="X1794" i="2"/>
  <c r="T1794" i="2"/>
  <c r="P1794" i="2"/>
  <c r="L1794" i="2"/>
  <c r="H1794" i="2"/>
  <c r="X1793" i="2"/>
  <c r="T1793" i="2"/>
  <c r="P1793" i="2"/>
  <c r="L1793" i="2"/>
  <c r="H1793" i="2"/>
  <c r="X1792" i="2"/>
  <c r="T1792" i="2"/>
  <c r="P1792" i="2"/>
  <c r="L1792" i="2"/>
  <c r="H1792" i="2"/>
  <c r="X1791" i="2"/>
  <c r="T1791" i="2"/>
  <c r="P1791" i="2"/>
  <c r="L1791" i="2"/>
  <c r="H1791" i="2"/>
  <c r="X1790" i="2"/>
  <c r="T1790" i="2"/>
  <c r="P1790" i="2"/>
  <c r="L1790" i="2"/>
  <c r="H1790" i="2"/>
  <c r="X1789" i="2"/>
  <c r="T1789" i="2"/>
  <c r="P1789" i="2"/>
  <c r="L1789" i="2"/>
  <c r="H1789" i="2"/>
  <c r="X1788" i="2"/>
  <c r="T1788" i="2"/>
  <c r="P1788" i="2"/>
  <c r="L1788" i="2"/>
  <c r="H1788" i="2"/>
  <c r="X1787" i="2"/>
  <c r="T1787" i="2"/>
  <c r="P1787" i="2"/>
  <c r="L1787" i="2"/>
  <c r="H1787" i="2"/>
  <c r="X1786" i="2"/>
  <c r="T1786" i="2"/>
  <c r="P1786" i="2"/>
  <c r="L1786" i="2"/>
  <c r="H1786" i="2"/>
  <c r="X1785" i="2"/>
  <c r="T1785" i="2"/>
  <c r="P1785" i="2"/>
  <c r="L1785" i="2"/>
  <c r="H1785" i="2"/>
  <c r="X1784" i="2"/>
  <c r="T1784" i="2"/>
  <c r="P1784" i="2"/>
  <c r="L1784" i="2"/>
  <c r="H1784" i="2"/>
  <c r="X1783" i="2"/>
  <c r="T1783" i="2"/>
  <c r="P1783" i="2"/>
  <c r="L1783" i="2"/>
  <c r="H1783" i="2"/>
  <c r="X1782" i="2"/>
  <c r="T1782" i="2"/>
  <c r="P1782" i="2"/>
  <c r="L1782" i="2"/>
  <c r="H1782" i="2"/>
  <c r="X1781" i="2"/>
  <c r="T1781" i="2"/>
  <c r="P1781" i="2"/>
  <c r="L1781" i="2"/>
  <c r="H1781" i="2"/>
  <c r="X1780" i="2"/>
  <c r="T1780" i="2"/>
  <c r="P1780" i="2"/>
  <c r="L1780" i="2"/>
  <c r="H1780" i="2"/>
  <c r="X1779" i="2"/>
  <c r="T1779" i="2"/>
  <c r="P1779" i="2"/>
  <c r="L1779" i="2"/>
  <c r="H1779" i="2"/>
  <c r="X1778" i="2"/>
  <c r="T1778" i="2"/>
  <c r="P1778" i="2"/>
  <c r="L1778" i="2"/>
  <c r="H1778" i="2"/>
  <c r="X1777" i="2"/>
  <c r="T1777" i="2"/>
  <c r="P1777" i="2"/>
  <c r="L1777" i="2"/>
  <c r="H1777" i="2"/>
  <c r="X1776" i="2"/>
  <c r="T1776" i="2"/>
  <c r="P1776" i="2"/>
  <c r="L1776" i="2"/>
  <c r="H1776" i="2"/>
  <c r="X1775" i="2"/>
  <c r="T1775" i="2"/>
  <c r="P1775" i="2"/>
  <c r="L1775" i="2"/>
  <c r="H1775" i="2"/>
  <c r="X1774" i="2"/>
  <c r="T1774" i="2"/>
  <c r="P1774" i="2"/>
  <c r="L1774" i="2"/>
  <c r="H1774" i="2"/>
  <c r="X1773" i="2"/>
  <c r="T1773" i="2"/>
  <c r="P1773" i="2"/>
  <c r="L1773" i="2"/>
  <c r="H1773" i="2"/>
  <c r="X1772" i="2"/>
  <c r="T1772" i="2"/>
  <c r="P1772" i="2"/>
  <c r="L1772" i="2"/>
  <c r="H1772" i="2"/>
  <c r="X1771" i="2"/>
  <c r="T1771" i="2"/>
  <c r="P1771" i="2"/>
  <c r="L1771" i="2"/>
  <c r="H1771" i="2"/>
  <c r="X1770" i="2"/>
  <c r="T1770" i="2"/>
  <c r="P1770" i="2"/>
  <c r="L1770" i="2"/>
  <c r="H1770" i="2"/>
  <c r="X1769" i="2"/>
  <c r="T1769" i="2"/>
  <c r="P1769" i="2"/>
  <c r="L1769" i="2"/>
  <c r="H1769" i="2"/>
  <c r="X1768" i="2"/>
  <c r="T1768" i="2"/>
  <c r="P1768" i="2"/>
  <c r="L1768" i="2"/>
  <c r="H1768" i="2"/>
  <c r="X1767" i="2"/>
  <c r="T1767" i="2"/>
  <c r="P1767" i="2"/>
  <c r="L1767" i="2"/>
  <c r="H1767" i="2"/>
  <c r="X1766" i="2"/>
  <c r="T1766" i="2"/>
  <c r="P1766" i="2"/>
  <c r="L1766" i="2"/>
  <c r="H1766" i="2"/>
  <c r="X1765" i="2"/>
  <c r="T1765" i="2"/>
  <c r="P1765" i="2"/>
  <c r="L1765" i="2"/>
  <c r="H1765" i="2"/>
  <c r="X1764" i="2"/>
  <c r="T1764" i="2"/>
  <c r="P1764" i="2"/>
  <c r="L1764" i="2"/>
  <c r="H1764" i="2"/>
  <c r="X1763" i="2"/>
  <c r="T1763" i="2"/>
  <c r="P1763" i="2"/>
  <c r="L1763" i="2"/>
  <c r="H1763" i="2"/>
  <c r="X1762" i="2"/>
  <c r="T1762" i="2"/>
  <c r="P1762" i="2"/>
  <c r="L1762" i="2"/>
  <c r="H1762" i="2"/>
  <c r="X1761" i="2"/>
  <c r="T1761" i="2"/>
  <c r="P1761" i="2"/>
  <c r="L1761" i="2"/>
  <c r="H1761" i="2"/>
  <c r="X1760" i="2"/>
  <c r="T1760" i="2"/>
  <c r="P1760" i="2"/>
  <c r="L1760" i="2"/>
  <c r="H1760" i="2"/>
  <c r="X1759" i="2"/>
  <c r="T1759" i="2"/>
  <c r="P1759" i="2"/>
  <c r="L1759" i="2"/>
  <c r="H1759" i="2"/>
  <c r="X1758" i="2"/>
  <c r="T1758" i="2"/>
  <c r="P1758" i="2"/>
  <c r="L1758" i="2"/>
  <c r="H1758" i="2"/>
  <c r="X1757" i="2"/>
  <c r="T1757" i="2"/>
  <c r="P1757" i="2"/>
  <c r="L1757" i="2"/>
  <c r="H1757" i="2"/>
  <c r="X1756" i="2"/>
  <c r="T1756" i="2"/>
  <c r="P1756" i="2"/>
  <c r="L1756" i="2"/>
  <c r="H1756" i="2"/>
  <c r="X1755" i="2"/>
  <c r="T1755" i="2"/>
  <c r="P1755" i="2"/>
  <c r="L1755" i="2"/>
  <c r="H1755" i="2"/>
  <c r="X1754" i="2"/>
  <c r="T1754" i="2"/>
  <c r="P1754" i="2"/>
  <c r="L1754" i="2"/>
  <c r="H1754" i="2"/>
  <c r="X1753" i="2"/>
  <c r="T1753" i="2"/>
  <c r="P1753" i="2"/>
  <c r="L1753" i="2"/>
  <c r="H1753" i="2"/>
  <c r="X1752" i="2"/>
  <c r="T1752" i="2"/>
  <c r="P1752" i="2"/>
  <c r="L1752" i="2"/>
  <c r="H1752" i="2"/>
  <c r="X1751" i="2"/>
  <c r="T1751" i="2"/>
  <c r="P1751" i="2"/>
  <c r="L1751" i="2"/>
  <c r="H1751" i="2"/>
  <c r="X1750" i="2"/>
  <c r="T1750" i="2"/>
  <c r="P1750" i="2"/>
  <c r="L1750" i="2"/>
  <c r="H1750" i="2"/>
  <c r="X1749" i="2"/>
  <c r="T1749" i="2"/>
  <c r="P1749" i="2"/>
  <c r="L1749" i="2"/>
  <c r="H1749" i="2"/>
  <c r="X1748" i="2"/>
  <c r="T1748" i="2"/>
  <c r="P1748" i="2"/>
  <c r="L1748" i="2"/>
  <c r="H1748" i="2"/>
  <c r="X1747" i="2"/>
  <c r="T1747" i="2"/>
  <c r="P1747" i="2"/>
  <c r="L1747" i="2"/>
  <c r="H1747" i="2"/>
  <c r="X1746" i="2"/>
  <c r="T1746" i="2"/>
  <c r="P1746" i="2"/>
  <c r="L1746" i="2"/>
  <c r="H1746" i="2"/>
  <c r="X1745" i="2"/>
  <c r="T1745" i="2"/>
  <c r="P1745" i="2"/>
  <c r="L1745" i="2"/>
  <c r="H1745" i="2"/>
  <c r="X1744" i="2"/>
  <c r="T1744" i="2"/>
  <c r="P1744" i="2"/>
  <c r="L1744" i="2"/>
  <c r="H1744" i="2"/>
  <c r="X1743" i="2"/>
  <c r="T1743" i="2"/>
  <c r="P1743" i="2"/>
  <c r="L1743" i="2"/>
  <c r="H1743" i="2"/>
  <c r="X1742" i="2"/>
  <c r="T1742" i="2"/>
  <c r="P1742" i="2"/>
  <c r="L1742" i="2"/>
  <c r="H1742" i="2"/>
  <c r="X1741" i="2"/>
  <c r="T1741" i="2"/>
  <c r="P1741" i="2"/>
  <c r="L1741" i="2"/>
  <c r="H1741" i="2"/>
  <c r="X1740" i="2"/>
  <c r="T1740" i="2"/>
  <c r="P1740" i="2"/>
  <c r="L1740" i="2"/>
  <c r="H1740" i="2"/>
  <c r="X1739" i="2"/>
  <c r="T1739" i="2"/>
  <c r="P1739" i="2"/>
  <c r="L1739" i="2"/>
  <c r="H1739" i="2"/>
  <c r="X1738" i="2"/>
  <c r="T1738" i="2"/>
  <c r="P1738" i="2"/>
  <c r="L1738" i="2"/>
  <c r="H1738" i="2"/>
  <c r="X1737" i="2"/>
  <c r="T1737" i="2"/>
  <c r="P1737" i="2"/>
  <c r="L1737" i="2"/>
  <c r="H1737" i="2"/>
  <c r="X1736" i="2"/>
  <c r="T1736" i="2"/>
  <c r="P1736" i="2"/>
  <c r="L1736" i="2"/>
  <c r="H1736" i="2"/>
  <c r="X1735" i="2"/>
  <c r="T1735" i="2"/>
  <c r="P1735" i="2"/>
  <c r="L1735" i="2"/>
  <c r="H1735" i="2"/>
  <c r="X1734" i="2"/>
  <c r="T1734" i="2"/>
  <c r="P1734" i="2"/>
  <c r="L1734" i="2"/>
  <c r="H1734" i="2"/>
  <c r="X1733" i="2"/>
  <c r="T1733" i="2"/>
  <c r="P1733" i="2"/>
  <c r="L1733" i="2"/>
  <c r="H1733" i="2"/>
  <c r="X1732" i="2"/>
  <c r="T1732" i="2"/>
  <c r="P1732" i="2"/>
  <c r="L1732" i="2"/>
  <c r="H1732" i="2"/>
  <c r="X1731" i="2"/>
  <c r="T1731" i="2"/>
  <c r="P1731" i="2"/>
  <c r="L1731" i="2"/>
  <c r="H1731" i="2"/>
  <c r="X1730" i="2"/>
  <c r="T1730" i="2"/>
  <c r="P1730" i="2"/>
  <c r="L1730" i="2"/>
  <c r="H1730" i="2"/>
  <c r="X1729" i="2"/>
  <c r="T1729" i="2"/>
  <c r="P1729" i="2"/>
  <c r="L1729" i="2"/>
  <c r="H1729" i="2"/>
  <c r="X1728" i="2"/>
  <c r="T1728" i="2"/>
  <c r="P1728" i="2"/>
  <c r="L1728" i="2"/>
  <c r="H1728" i="2"/>
  <c r="X1727" i="2"/>
  <c r="T1727" i="2"/>
  <c r="P1727" i="2"/>
  <c r="L1727" i="2"/>
  <c r="H1727" i="2"/>
  <c r="X1726" i="2"/>
  <c r="T1726" i="2"/>
  <c r="P1726" i="2"/>
  <c r="L1726" i="2"/>
  <c r="H1726" i="2"/>
  <c r="X1725" i="2"/>
  <c r="T1725" i="2"/>
  <c r="P1725" i="2"/>
  <c r="L1725" i="2"/>
  <c r="H1725" i="2"/>
  <c r="X1724" i="2"/>
  <c r="T1724" i="2"/>
  <c r="P1724" i="2"/>
  <c r="L1724" i="2"/>
  <c r="H1724" i="2"/>
  <c r="X1723" i="2"/>
  <c r="T1723" i="2"/>
  <c r="P1723" i="2"/>
  <c r="L1723" i="2"/>
  <c r="H1723" i="2"/>
  <c r="X1722" i="2"/>
  <c r="T1722" i="2"/>
  <c r="P1722" i="2"/>
  <c r="L1722" i="2"/>
  <c r="H1722" i="2"/>
  <c r="X1721" i="2"/>
  <c r="T1721" i="2"/>
  <c r="P1721" i="2"/>
  <c r="L1721" i="2"/>
  <c r="H1721" i="2"/>
  <c r="X1720" i="2"/>
  <c r="T1720" i="2"/>
  <c r="P1720" i="2"/>
  <c r="L1720" i="2"/>
  <c r="H1720" i="2"/>
  <c r="X1719" i="2"/>
  <c r="T1719" i="2"/>
  <c r="P1719" i="2"/>
  <c r="L1719" i="2"/>
  <c r="H1719" i="2"/>
  <c r="X1718" i="2"/>
  <c r="T1718" i="2"/>
  <c r="P1718" i="2"/>
  <c r="L1718" i="2"/>
  <c r="H1718" i="2"/>
  <c r="X1717" i="2"/>
  <c r="T1717" i="2"/>
  <c r="P1717" i="2"/>
  <c r="L1717" i="2"/>
  <c r="H1717" i="2"/>
  <c r="X1716" i="2"/>
  <c r="T1716" i="2"/>
  <c r="P1716" i="2"/>
  <c r="L1716" i="2"/>
  <c r="H1716" i="2"/>
  <c r="X1715" i="2"/>
  <c r="T1715" i="2"/>
  <c r="P1715" i="2"/>
  <c r="L1715" i="2"/>
  <c r="H1715" i="2"/>
  <c r="X1714" i="2"/>
  <c r="T1714" i="2"/>
  <c r="P1714" i="2"/>
  <c r="L1714" i="2"/>
  <c r="H1714" i="2"/>
  <c r="X1713" i="2"/>
  <c r="T1713" i="2"/>
  <c r="P1713" i="2"/>
  <c r="L1713" i="2"/>
  <c r="H1713" i="2"/>
  <c r="X1712" i="2"/>
  <c r="T1712" i="2"/>
  <c r="P1712" i="2"/>
  <c r="L1712" i="2"/>
  <c r="H1712" i="2"/>
  <c r="X1711" i="2"/>
  <c r="T1711" i="2"/>
  <c r="P1711" i="2"/>
  <c r="L1711" i="2"/>
  <c r="H1711" i="2"/>
  <c r="X1710" i="2"/>
  <c r="T1710" i="2"/>
  <c r="P1710" i="2"/>
  <c r="L1710" i="2"/>
  <c r="H1710" i="2"/>
  <c r="X1709" i="2"/>
  <c r="T1709" i="2"/>
  <c r="P1709" i="2"/>
  <c r="L1709" i="2"/>
  <c r="H1709" i="2"/>
  <c r="X1708" i="2"/>
  <c r="T1708" i="2"/>
  <c r="P1708" i="2"/>
  <c r="L1708" i="2"/>
  <c r="H1708" i="2"/>
  <c r="X1707" i="2"/>
  <c r="T1707" i="2"/>
  <c r="P1707" i="2"/>
  <c r="L1707" i="2"/>
  <c r="H1707" i="2"/>
  <c r="X1706" i="2"/>
  <c r="T1706" i="2"/>
  <c r="P1706" i="2"/>
  <c r="L1706" i="2"/>
  <c r="H1706" i="2"/>
  <c r="X1705" i="2"/>
  <c r="T1705" i="2"/>
  <c r="P1705" i="2"/>
  <c r="L1705" i="2"/>
  <c r="H1705" i="2"/>
  <c r="X1704" i="2"/>
  <c r="T1704" i="2"/>
  <c r="P1704" i="2"/>
  <c r="L1704" i="2"/>
  <c r="H1704" i="2"/>
  <c r="X1703" i="2"/>
  <c r="T1703" i="2"/>
  <c r="P1703" i="2"/>
  <c r="L1703" i="2"/>
  <c r="H1703" i="2"/>
  <c r="X1702" i="2"/>
  <c r="T1702" i="2"/>
  <c r="P1702" i="2"/>
  <c r="L1702" i="2"/>
  <c r="H1702" i="2"/>
  <c r="X1701" i="2"/>
  <c r="T1701" i="2"/>
  <c r="P1701" i="2"/>
  <c r="L1701" i="2"/>
  <c r="H1701" i="2"/>
  <c r="X1700" i="2"/>
  <c r="T1700" i="2"/>
  <c r="P1700" i="2"/>
  <c r="L1700" i="2"/>
  <c r="H1700" i="2"/>
  <c r="X1699" i="2"/>
  <c r="T1699" i="2"/>
  <c r="P1699" i="2"/>
  <c r="L1699" i="2"/>
  <c r="H1699" i="2"/>
  <c r="X1698" i="2"/>
  <c r="T1698" i="2"/>
  <c r="P1698" i="2"/>
  <c r="L1698" i="2"/>
  <c r="H1698" i="2"/>
  <c r="X1697" i="2"/>
  <c r="T1697" i="2"/>
  <c r="P1697" i="2"/>
  <c r="L1697" i="2"/>
  <c r="H1697" i="2"/>
  <c r="X1696" i="2"/>
  <c r="T1696" i="2"/>
  <c r="P1696" i="2"/>
  <c r="L1696" i="2"/>
  <c r="H1696" i="2"/>
  <c r="X1695" i="2"/>
  <c r="T1695" i="2"/>
  <c r="P1695" i="2"/>
  <c r="L1695" i="2"/>
  <c r="H1695" i="2"/>
  <c r="X1694" i="2"/>
  <c r="T1694" i="2"/>
  <c r="P1694" i="2"/>
  <c r="L1694" i="2"/>
  <c r="H1694" i="2"/>
  <c r="X1693" i="2"/>
  <c r="T1693" i="2"/>
  <c r="P1693" i="2"/>
  <c r="L1693" i="2"/>
  <c r="H1693" i="2"/>
  <c r="X1692" i="2"/>
  <c r="T1692" i="2"/>
  <c r="P1692" i="2"/>
  <c r="L1692" i="2"/>
  <c r="H1692" i="2"/>
  <c r="X1691" i="2"/>
  <c r="T1691" i="2"/>
  <c r="P1691" i="2"/>
  <c r="L1691" i="2"/>
  <c r="H1691" i="2"/>
  <c r="X1690" i="2"/>
  <c r="T1690" i="2"/>
  <c r="P1690" i="2"/>
  <c r="L1690" i="2"/>
  <c r="H1690" i="2"/>
  <c r="X1689" i="2"/>
  <c r="T1689" i="2"/>
  <c r="P1689" i="2"/>
  <c r="L1689" i="2"/>
  <c r="H1689" i="2"/>
  <c r="X1688" i="2"/>
  <c r="T1688" i="2"/>
  <c r="P1688" i="2"/>
  <c r="L1688" i="2"/>
  <c r="H1688" i="2"/>
  <c r="X1687" i="2"/>
  <c r="T1687" i="2"/>
  <c r="P1687" i="2"/>
  <c r="L1687" i="2"/>
  <c r="H1687" i="2"/>
  <c r="X1686" i="2"/>
  <c r="T1686" i="2"/>
  <c r="P1686" i="2"/>
  <c r="L1686" i="2"/>
  <c r="H1686" i="2"/>
  <c r="X1685" i="2"/>
  <c r="T1685" i="2"/>
  <c r="P1685" i="2"/>
  <c r="L1685" i="2"/>
  <c r="H1685" i="2"/>
  <c r="X1684" i="2"/>
  <c r="T1684" i="2"/>
  <c r="P1684" i="2"/>
  <c r="L1684" i="2"/>
  <c r="H1684" i="2"/>
  <c r="X1683" i="2"/>
  <c r="T1683" i="2"/>
  <c r="P1683" i="2"/>
  <c r="L1683" i="2"/>
  <c r="H1683" i="2"/>
  <c r="X1682" i="2"/>
  <c r="T1682" i="2"/>
  <c r="P1682" i="2"/>
  <c r="L1682" i="2"/>
  <c r="H1682" i="2"/>
  <c r="X1681" i="2"/>
  <c r="T1681" i="2"/>
  <c r="P1681" i="2"/>
  <c r="L1681" i="2"/>
  <c r="H1681" i="2"/>
  <c r="X1680" i="2"/>
  <c r="T1680" i="2"/>
  <c r="P1680" i="2"/>
  <c r="L1680" i="2"/>
  <c r="H1680" i="2"/>
  <c r="X1679" i="2"/>
  <c r="T1679" i="2"/>
  <c r="P1679" i="2"/>
  <c r="L1679" i="2"/>
  <c r="H1679" i="2"/>
  <c r="X1678" i="2"/>
  <c r="T1678" i="2"/>
  <c r="P1678" i="2"/>
  <c r="L1678" i="2"/>
  <c r="H1678" i="2"/>
  <c r="X1677" i="2"/>
  <c r="T1677" i="2"/>
  <c r="P1677" i="2"/>
  <c r="L1677" i="2"/>
  <c r="H1677" i="2"/>
  <c r="X1676" i="2"/>
  <c r="T1676" i="2"/>
  <c r="P1676" i="2"/>
  <c r="L1676" i="2"/>
  <c r="H1676" i="2"/>
  <c r="X1675" i="2"/>
  <c r="T1675" i="2"/>
  <c r="P1675" i="2"/>
  <c r="L1675" i="2"/>
  <c r="H1675" i="2"/>
  <c r="X1674" i="2"/>
  <c r="T1674" i="2"/>
  <c r="P1674" i="2"/>
  <c r="L1674" i="2"/>
  <c r="H1674" i="2"/>
  <c r="X1673" i="2"/>
  <c r="T1673" i="2"/>
  <c r="P1673" i="2"/>
  <c r="L1673" i="2"/>
  <c r="H1673" i="2"/>
  <c r="X1672" i="2"/>
  <c r="T1672" i="2"/>
  <c r="P1672" i="2"/>
  <c r="L1672" i="2"/>
  <c r="H1672" i="2"/>
  <c r="X1671" i="2"/>
  <c r="T1671" i="2"/>
  <c r="P1671" i="2"/>
  <c r="L1671" i="2"/>
  <c r="H1671" i="2"/>
  <c r="X1670" i="2"/>
  <c r="T1670" i="2"/>
  <c r="P1670" i="2"/>
  <c r="L1670" i="2"/>
  <c r="H1670" i="2"/>
  <c r="X1669" i="2"/>
  <c r="T1669" i="2"/>
  <c r="P1669" i="2"/>
  <c r="L1669" i="2"/>
  <c r="H1669" i="2"/>
  <c r="X1668" i="2"/>
  <c r="T1668" i="2"/>
  <c r="P1668" i="2"/>
  <c r="L1668" i="2"/>
  <c r="H1668" i="2"/>
  <c r="X1667" i="2"/>
  <c r="T1667" i="2"/>
  <c r="P1667" i="2"/>
  <c r="L1667" i="2"/>
  <c r="H1667" i="2"/>
  <c r="X1666" i="2"/>
  <c r="T1666" i="2"/>
  <c r="P1666" i="2"/>
  <c r="L1666" i="2"/>
  <c r="H1666" i="2"/>
  <c r="X1665" i="2"/>
  <c r="T1665" i="2"/>
  <c r="P1665" i="2"/>
  <c r="L1665" i="2"/>
  <c r="H1665" i="2"/>
  <c r="X1664" i="2"/>
  <c r="T1664" i="2"/>
  <c r="P1664" i="2"/>
  <c r="L1664" i="2"/>
  <c r="H1664" i="2"/>
  <c r="X1663" i="2"/>
  <c r="T1663" i="2"/>
  <c r="P1663" i="2"/>
  <c r="L1663" i="2"/>
  <c r="H1663" i="2"/>
  <c r="X1662" i="2"/>
  <c r="T1662" i="2"/>
  <c r="P1662" i="2"/>
  <c r="L1662" i="2"/>
  <c r="H1662" i="2"/>
  <c r="X1661" i="2"/>
  <c r="T1661" i="2"/>
  <c r="P1661" i="2"/>
  <c r="L1661" i="2"/>
  <c r="H1661" i="2"/>
  <c r="X1660" i="2"/>
  <c r="T1660" i="2"/>
  <c r="P1660" i="2"/>
  <c r="L1660" i="2"/>
  <c r="H1660" i="2"/>
  <c r="X1659" i="2"/>
  <c r="T1659" i="2"/>
  <c r="P1659" i="2"/>
  <c r="L1659" i="2"/>
  <c r="H1659" i="2"/>
  <c r="X1658" i="2"/>
  <c r="T1658" i="2"/>
  <c r="P1658" i="2"/>
  <c r="L1658" i="2"/>
  <c r="H1658" i="2"/>
  <c r="X1657" i="2"/>
  <c r="T1657" i="2"/>
  <c r="P1657" i="2"/>
  <c r="L1657" i="2"/>
  <c r="H1657" i="2"/>
  <c r="X1656" i="2"/>
  <c r="T1656" i="2"/>
  <c r="P1656" i="2"/>
  <c r="L1656" i="2"/>
  <c r="H1656" i="2"/>
  <c r="X1655" i="2"/>
  <c r="T1655" i="2"/>
  <c r="P1655" i="2"/>
  <c r="L1655" i="2"/>
  <c r="H1655" i="2"/>
  <c r="X1654" i="2"/>
  <c r="T1654" i="2"/>
  <c r="P1654" i="2"/>
  <c r="L1654" i="2"/>
  <c r="H1654" i="2"/>
  <c r="X1653" i="2"/>
  <c r="T1653" i="2"/>
  <c r="P1653" i="2"/>
  <c r="L1653" i="2"/>
  <c r="H1653" i="2"/>
  <c r="X1652" i="2"/>
  <c r="T1652" i="2"/>
  <c r="P1652" i="2"/>
  <c r="L1652" i="2"/>
  <c r="H1652" i="2"/>
  <c r="X1651" i="2"/>
  <c r="T1651" i="2"/>
  <c r="P1651" i="2"/>
  <c r="L1651" i="2"/>
  <c r="H1651" i="2"/>
  <c r="X1650" i="2"/>
  <c r="T1650" i="2"/>
  <c r="P1650" i="2"/>
  <c r="L1650" i="2"/>
  <c r="H1650" i="2"/>
  <c r="X1649" i="2"/>
  <c r="T1649" i="2"/>
  <c r="P1649" i="2"/>
  <c r="L1649" i="2"/>
  <c r="H1649" i="2"/>
  <c r="X1648" i="2"/>
  <c r="T1648" i="2"/>
  <c r="P1648" i="2"/>
  <c r="L1648" i="2"/>
  <c r="H1648" i="2"/>
  <c r="X1647" i="2"/>
  <c r="T1647" i="2"/>
  <c r="P1647" i="2"/>
  <c r="L1647" i="2"/>
  <c r="H1647" i="2"/>
  <c r="X1646" i="2"/>
  <c r="T1646" i="2"/>
  <c r="P1646" i="2"/>
  <c r="L1646" i="2"/>
  <c r="H1646" i="2"/>
  <c r="X1645" i="2"/>
  <c r="T1645" i="2"/>
  <c r="P1645" i="2"/>
  <c r="L1645" i="2"/>
  <c r="H1645" i="2"/>
  <c r="X1644" i="2"/>
  <c r="T1644" i="2"/>
  <c r="P1644" i="2"/>
  <c r="L1644" i="2"/>
  <c r="H1644" i="2"/>
  <c r="X1643" i="2"/>
  <c r="T1643" i="2"/>
  <c r="P1643" i="2"/>
  <c r="L1643" i="2"/>
  <c r="H1643" i="2"/>
  <c r="X1642" i="2"/>
  <c r="T1642" i="2"/>
  <c r="P1642" i="2"/>
  <c r="L1642" i="2"/>
  <c r="H1642" i="2"/>
  <c r="X1641" i="2"/>
  <c r="T1641" i="2"/>
  <c r="P1641" i="2"/>
  <c r="L1641" i="2"/>
  <c r="H1641" i="2"/>
  <c r="X1640" i="2"/>
  <c r="T1640" i="2"/>
  <c r="P1640" i="2"/>
  <c r="L1640" i="2"/>
  <c r="H1640" i="2"/>
  <c r="X1639" i="2"/>
  <c r="T1639" i="2"/>
  <c r="P1639" i="2"/>
  <c r="L1639" i="2"/>
  <c r="H1639" i="2"/>
  <c r="X1638" i="2"/>
  <c r="T1638" i="2"/>
  <c r="P1638" i="2"/>
  <c r="L1638" i="2"/>
  <c r="H1638" i="2"/>
  <c r="X1637" i="2"/>
  <c r="T1637" i="2"/>
  <c r="P1637" i="2"/>
  <c r="L1637" i="2"/>
  <c r="H1637" i="2"/>
  <c r="X1636" i="2"/>
  <c r="T1636" i="2"/>
  <c r="P1636" i="2"/>
  <c r="L1636" i="2"/>
  <c r="H1636" i="2"/>
  <c r="X1635" i="2"/>
  <c r="T1635" i="2"/>
  <c r="P1635" i="2"/>
  <c r="L1635" i="2"/>
  <c r="H1635" i="2"/>
  <c r="X1634" i="2"/>
  <c r="T1634" i="2"/>
  <c r="P1634" i="2"/>
  <c r="L1634" i="2"/>
  <c r="H1634" i="2"/>
  <c r="X1633" i="2"/>
  <c r="T1633" i="2"/>
  <c r="P1633" i="2"/>
  <c r="L1633" i="2"/>
  <c r="H1633" i="2"/>
  <c r="X1632" i="2"/>
  <c r="T1632" i="2"/>
  <c r="P1632" i="2"/>
  <c r="L1632" i="2"/>
  <c r="H1632" i="2"/>
  <c r="X1631" i="2"/>
  <c r="T1631" i="2"/>
  <c r="P1631" i="2"/>
  <c r="L1631" i="2"/>
  <c r="H1631" i="2"/>
  <c r="X1630" i="2"/>
  <c r="T1630" i="2"/>
  <c r="P1630" i="2"/>
  <c r="L1630" i="2"/>
  <c r="H1630" i="2"/>
  <c r="X1629" i="2"/>
  <c r="T1629" i="2"/>
  <c r="P1629" i="2"/>
  <c r="L1629" i="2"/>
  <c r="H1629" i="2"/>
  <c r="X1628" i="2"/>
  <c r="T1628" i="2"/>
  <c r="P1628" i="2"/>
  <c r="L1628" i="2"/>
  <c r="H1628" i="2"/>
  <c r="X1627" i="2"/>
  <c r="T1627" i="2"/>
  <c r="P1627" i="2"/>
  <c r="L1627" i="2"/>
  <c r="H1627" i="2"/>
  <c r="X1626" i="2"/>
  <c r="T1626" i="2"/>
  <c r="P1626" i="2"/>
  <c r="L1626" i="2"/>
  <c r="H1626" i="2"/>
  <c r="X1625" i="2"/>
  <c r="T1625" i="2"/>
  <c r="P1625" i="2"/>
  <c r="L1625" i="2"/>
  <c r="H1625" i="2"/>
  <c r="X1624" i="2"/>
  <c r="T1624" i="2"/>
  <c r="P1624" i="2"/>
  <c r="L1624" i="2"/>
  <c r="H1624" i="2"/>
  <c r="X1623" i="2"/>
  <c r="T1623" i="2"/>
  <c r="P1623" i="2"/>
  <c r="L1623" i="2"/>
  <c r="H1623" i="2"/>
  <c r="X1622" i="2"/>
  <c r="T1622" i="2"/>
  <c r="P1622" i="2"/>
  <c r="L1622" i="2"/>
  <c r="H1622" i="2"/>
  <c r="X1621" i="2"/>
  <c r="T1621" i="2"/>
  <c r="P1621" i="2"/>
  <c r="L1621" i="2"/>
  <c r="H1621" i="2"/>
  <c r="X1620" i="2"/>
  <c r="T1620" i="2"/>
  <c r="P1620" i="2"/>
  <c r="L1620" i="2"/>
  <c r="H1620" i="2"/>
  <c r="X1619" i="2"/>
  <c r="T1619" i="2"/>
  <c r="P1619" i="2"/>
  <c r="L1619" i="2"/>
  <c r="H1619" i="2"/>
  <c r="X1618" i="2"/>
  <c r="T1618" i="2"/>
  <c r="P1618" i="2"/>
  <c r="L1618" i="2"/>
  <c r="H1618" i="2"/>
  <c r="X1617" i="2"/>
  <c r="T1617" i="2"/>
  <c r="P1617" i="2"/>
  <c r="L1617" i="2"/>
  <c r="H1617" i="2"/>
  <c r="X1616" i="2"/>
  <c r="T1616" i="2"/>
  <c r="P1616" i="2"/>
  <c r="L1616" i="2"/>
  <c r="H1616" i="2"/>
  <c r="X1615" i="2"/>
  <c r="T1615" i="2"/>
  <c r="P1615" i="2"/>
  <c r="L1615" i="2"/>
  <c r="H1615" i="2"/>
  <c r="X1614" i="2"/>
  <c r="T1614" i="2"/>
  <c r="P1614" i="2"/>
  <c r="L1614" i="2"/>
  <c r="H1614" i="2"/>
  <c r="X1613" i="2"/>
  <c r="T1613" i="2"/>
  <c r="P1613" i="2"/>
  <c r="L1613" i="2"/>
  <c r="H1613" i="2"/>
  <c r="X1612" i="2"/>
  <c r="T1612" i="2"/>
  <c r="P1612" i="2"/>
  <c r="L1612" i="2"/>
  <c r="H1612" i="2"/>
  <c r="X1611" i="2"/>
  <c r="T1611" i="2"/>
  <c r="P1611" i="2"/>
  <c r="L1611" i="2"/>
  <c r="H1611" i="2"/>
  <c r="X1610" i="2"/>
  <c r="T1610" i="2"/>
  <c r="P1610" i="2"/>
  <c r="L1610" i="2"/>
  <c r="H1610" i="2"/>
  <c r="X1609" i="2"/>
  <c r="T1609" i="2"/>
  <c r="P1609" i="2"/>
  <c r="L1609" i="2"/>
  <c r="H1609" i="2"/>
  <c r="X1608" i="2"/>
  <c r="T1608" i="2"/>
  <c r="P1608" i="2"/>
  <c r="L1608" i="2"/>
  <c r="H1608" i="2"/>
  <c r="X1607" i="2"/>
  <c r="T1607" i="2"/>
  <c r="P1607" i="2"/>
  <c r="L1607" i="2"/>
  <c r="H1607" i="2"/>
  <c r="X1606" i="2"/>
  <c r="T1606" i="2"/>
  <c r="P1606" i="2"/>
  <c r="L1606" i="2"/>
  <c r="H1606" i="2"/>
  <c r="X1605" i="2"/>
  <c r="T1605" i="2"/>
  <c r="P1605" i="2"/>
  <c r="L1605" i="2"/>
  <c r="H1605" i="2"/>
  <c r="X1604" i="2"/>
  <c r="T1604" i="2"/>
  <c r="P1604" i="2"/>
  <c r="L1604" i="2"/>
  <c r="H1604" i="2"/>
  <c r="X1603" i="2"/>
  <c r="T1603" i="2"/>
  <c r="P1603" i="2"/>
  <c r="L1603" i="2"/>
  <c r="H1603" i="2"/>
  <c r="X1602" i="2"/>
  <c r="T1602" i="2"/>
  <c r="P1602" i="2"/>
  <c r="L1602" i="2"/>
  <c r="H1602" i="2"/>
  <c r="X1601" i="2"/>
  <c r="T1601" i="2"/>
  <c r="P1601" i="2"/>
  <c r="L1601" i="2"/>
  <c r="H1601" i="2"/>
  <c r="X1600" i="2"/>
  <c r="T1600" i="2"/>
  <c r="P1600" i="2"/>
  <c r="L1600" i="2"/>
  <c r="H1600" i="2"/>
  <c r="X1599" i="2"/>
  <c r="T1599" i="2"/>
  <c r="P1599" i="2"/>
  <c r="L1599" i="2"/>
  <c r="H1599" i="2"/>
  <c r="X1598" i="2"/>
  <c r="T1598" i="2"/>
  <c r="P1598" i="2"/>
  <c r="L1598" i="2"/>
  <c r="H1598" i="2"/>
  <c r="X1597" i="2"/>
  <c r="T1597" i="2"/>
  <c r="P1597" i="2"/>
  <c r="L1597" i="2"/>
  <c r="H1597" i="2"/>
  <c r="X1596" i="2"/>
  <c r="T1596" i="2"/>
  <c r="P1596" i="2"/>
  <c r="L1596" i="2"/>
  <c r="H1596" i="2"/>
  <c r="X1595" i="2"/>
  <c r="T1595" i="2"/>
  <c r="P1595" i="2"/>
  <c r="L1595" i="2"/>
  <c r="H1595" i="2"/>
  <c r="X1594" i="2"/>
  <c r="T1594" i="2"/>
  <c r="P1594" i="2"/>
  <c r="L1594" i="2"/>
  <c r="H1594" i="2"/>
  <c r="X1593" i="2"/>
  <c r="T1593" i="2"/>
  <c r="P1593" i="2"/>
  <c r="L1593" i="2"/>
  <c r="H1593" i="2"/>
  <c r="X1592" i="2"/>
  <c r="T1592" i="2"/>
  <c r="P1592" i="2"/>
  <c r="L1592" i="2"/>
  <c r="H1592" i="2"/>
  <c r="X1591" i="2"/>
  <c r="T1591" i="2"/>
  <c r="P1591" i="2"/>
  <c r="L1591" i="2"/>
  <c r="H1591" i="2"/>
  <c r="X1590" i="2"/>
  <c r="T1590" i="2"/>
  <c r="P1590" i="2"/>
  <c r="L1590" i="2"/>
  <c r="H1590" i="2"/>
  <c r="X1589" i="2"/>
  <c r="T1589" i="2"/>
  <c r="P1589" i="2"/>
  <c r="L1589" i="2"/>
  <c r="H1589" i="2"/>
  <c r="X1588" i="2"/>
  <c r="T1588" i="2"/>
  <c r="P1588" i="2"/>
  <c r="L1588" i="2"/>
  <c r="H1588" i="2"/>
  <c r="X1587" i="2"/>
  <c r="T1587" i="2"/>
  <c r="P1587" i="2"/>
  <c r="L1587" i="2"/>
  <c r="H1587" i="2"/>
  <c r="X1586" i="2"/>
  <c r="T1586" i="2"/>
  <c r="P1586" i="2"/>
  <c r="L1586" i="2"/>
  <c r="H1586" i="2"/>
  <c r="X1585" i="2"/>
  <c r="T1585" i="2"/>
  <c r="P1585" i="2"/>
  <c r="L1585" i="2"/>
  <c r="H1585" i="2"/>
  <c r="X1584" i="2"/>
  <c r="T1584" i="2"/>
  <c r="P1584" i="2"/>
  <c r="L1584" i="2"/>
  <c r="H1584" i="2"/>
  <c r="X1583" i="2"/>
  <c r="T1583" i="2"/>
  <c r="P1583" i="2"/>
  <c r="L1583" i="2"/>
  <c r="H1583" i="2"/>
  <c r="X1582" i="2"/>
  <c r="T1582" i="2"/>
  <c r="P1582" i="2"/>
  <c r="L1582" i="2"/>
  <c r="H1582" i="2"/>
  <c r="X1581" i="2"/>
  <c r="T1581" i="2"/>
  <c r="P1581" i="2"/>
  <c r="L1581" i="2"/>
  <c r="H1581" i="2"/>
  <c r="X1580" i="2"/>
  <c r="T1580" i="2"/>
  <c r="P1580" i="2"/>
  <c r="L1580" i="2"/>
  <c r="H1580" i="2"/>
  <c r="X1579" i="2"/>
  <c r="T1579" i="2"/>
  <c r="P1579" i="2"/>
  <c r="L1579" i="2"/>
  <c r="H1579" i="2"/>
  <c r="X1578" i="2"/>
  <c r="T1578" i="2"/>
  <c r="P1578" i="2"/>
  <c r="L1578" i="2"/>
  <c r="H1578" i="2"/>
  <c r="X1577" i="2"/>
  <c r="T1577" i="2"/>
  <c r="P1577" i="2"/>
  <c r="L1577" i="2"/>
  <c r="H1577" i="2"/>
  <c r="X1576" i="2"/>
  <c r="T1576" i="2"/>
  <c r="P1576" i="2"/>
  <c r="L1576" i="2"/>
  <c r="H1576" i="2"/>
  <c r="X1575" i="2"/>
  <c r="T1575" i="2"/>
  <c r="P1575" i="2"/>
  <c r="L1575" i="2"/>
  <c r="H1575" i="2"/>
  <c r="X1574" i="2"/>
  <c r="T1574" i="2"/>
  <c r="P1574" i="2"/>
  <c r="L1574" i="2"/>
  <c r="H1574" i="2"/>
  <c r="X1573" i="2"/>
  <c r="T1573" i="2"/>
  <c r="P1573" i="2"/>
  <c r="L1573" i="2"/>
  <c r="H1573" i="2"/>
  <c r="X1572" i="2"/>
  <c r="T1572" i="2"/>
  <c r="P1572" i="2"/>
  <c r="L1572" i="2"/>
  <c r="H1572" i="2"/>
  <c r="X1571" i="2"/>
  <c r="T1571" i="2"/>
  <c r="P1571" i="2"/>
  <c r="L1571" i="2"/>
  <c r="H1571" i="2"/>
  <c r="X1570" i="2"/>
  <c r="T1570" i="2"/>
  <c r="P1570" i="2"/>
  <c r="L1570" i="2"/>
  <c r="H1570" i="2"/>
  <c r="X1569" i="2"/>
  <c r="T1569" i="2"/>
  <c r="P1569" i="2"/>
  <c r="L1569" i="2"/>
  <c r="H1569" i="2"/>
  <c r="X1568" i="2"/>
  <c r="T1568" i="2"/>
  <c r="P1568" i="2"/>
  <c r="L1568" i="2"/>
  <c r="H1568" i="2"/>
  <c r="X1567" i="2"/>
  <c r="T1567" i="2"/>
  <c r="P1567" i="2"/>
  <c r="L1567" i="2"/>
  <c r="H1567" i="2"/>
  <c r="X1566" i="2"/>
  <c r="T1566" i="2"/>
  <c r="P1566" i="2"/>
  <c r="L1566" i="2"/>
  <c r="H1566" i="2"/>
  <c r="X1565" i="2"/>
  <c r="S1565" i="2"/>
  <c r="N1565" i="2"/>
  <c r="H1565" i="2"/>
  <c r="W1564" i="2"/>
  <c r="R1564" i="2"/>
  <c r="L1564" i="2"/>
  <c r="AA1563" i="2"/>
  <c r="V1563" i="2"/>
  <c r="P1563" i="2"/>
  <c r="K1563" i="2"/>
  <c r="Z1562" i="2"/>
  <c r="T1562" i="2"/>
  <c r="O1562" i="2"/>
  <c r="J1562" i="2"/>
  <c r="X1561" i="2"/>
  <c r="S1561" i="2"/>
  <c r="N1561" i="2"/>
  <c r="H1561" i="2"/>
  <c r="W1560" i="2"/>
  <c r="R1560" i="2"/>
  <c r="L1560" i="2"/>
  <c r="AA1559" i="2"/>
  <c r="V1559" i="2"/>
  <c r="P1559" i="2"/>
  <c r="K1559" i="2"/>
  <c r="Z1558" i="2"/>
  <c r="T1558" i="2"/>
  <c r="O1558" i="2"/>
  <c r="J1558" i="2"/>
  <c r="X1557" i="2"/>
  <c r="S1557" i="2"/>
  <c r="N1557" i="2"/>
  <c r="H1557" i="2"/>
  <c r="W1556" i="2"/>
  <c r="R1556" i="2"/>
  <c r="L1556" i="2"/>
  <c r="AA1555" i="2"/>
  <c r="V1555" i="2"/>
  <c r="P1555" i="2"/>
  <c r="K1555" i="2"/>
  <c r="Z1554" i="2"/>
  <c r="T1554" i="2"/>
  <c r="O1554" i="2"/>
  <c r="J1554" i="2"/>
  <c r="X1553" i="2"/>
  <c r="S1553" i="2"/>
  <c r="N1553" i="2"/>
  <c r="H1553" i="2"/>
  <c r="W1552" i="2"/>
  <c r="R1552" i="2"/>
  <c r="L1552" i="2"/>
  <c r="AA1551" i="2"/>
  <c r="V1551" i="2"/>
  <c r="P1551" i="2"/>
  <c r="K1551" i="2"/>
  <c r="Z1550" i="2"/>
  <c r="T1550" i="2"/>
  <c r="O1550" i="2"/>
  <c r="J1550" i="2"/>
  <c r="X1549" i="2"/>
  <c r="S1549" i="2"/>
  <c r="N1549" i="2"/>
  <c r="H1549" i="2"/>
  <c r="W1548" i="2"/>
  <c r="R1548" i="2"/>
  <c r="L1548" i="2"/>
  <c r="AA1547" i="2"/>
  <c r="V1547" i="2"/>
  <c r="P1547" i="2"/>
  <c r="K1547" i="2"/>
  <c r="Z1546" i="2"/>
  <c r="T1546" i="2"/>
  <c r="O1546" i="2"/>
  <c r="J1546" i="2"/>
  <c r="X1545" i="2"/>
  <c r="S1545" i="2"/>
  <c r="N1545" i="2"/>
  <c r="H1545" i="2"/>
  <c r="W1544" i="2"/>
  <c r="R1544" i="2"/>
  <c r="L1544" i="2"/>
  <c r="AA1543" i="2"/>
  <c r="V1543" i="2"/>
  <c r="P1543" i="2"/>
  <c r="K1543" i="2"/>
  <c r="Z1542" i="2"/>
  <c r="T1542" i="2"/>
  <c r="O1542" i="2"/>
  <c r="J1542" i="2"/>
  <c r="X1541" i="2"/>
  <c r="S1541" i="2"/>
  <c r="N1541" i="2"/>
  <c r="H1541" i="2"/>
  <c r="W1540" i="2"/>
  <c r="R1540" i="2"/>
  <c r="L1540" i="2"/>
  <c r="AA1539" i="2"/>
  <c r="V1539" i="2"/>
  <c r="P1539" i="2"/>
  <c r="K1539" i="2"/>
  <c r="Z1538" i="2"/>
  <c r="T1538" i="2"/>
  <c r="O1538" i="2"/>
  <c r="J1538" i="2"/>
  <c r="X1537" i="2"/>
  <c r="S1537" i="2"/>
  <c r="N1537" i="2"/>
  <c r="H1537" i="2"/>
  <c r="W1536" i="2"/>
  <c r="R1536" i="2"/>
  <c r="L1536" i="2"/>
  <c r="AA1535" i="2"/>
  <c r="V1535" i="2"/>
  <c r="P1535" i="2"/>
  <c r="K1535" i="2"/>
  <c r="Z1534" i="2"/>
  <c r="T1534" i="2"/>
  <c r="O1534" i="2"/>
  <c r="J1534" i="2"/>
  <c r="X1533" i="2"/>
  <c r="S1533" i="2"/>
  <c r="N1533" i="2"/>
  <c r="H1533" i="2"/>
  <c r="W1532" i="2"/>
  <c r="R1532" i="2"/>
  <c r="L1532" i="2"/>
  <c r="AA1531" i="2"/>
  <c r="V1531" i="2"/>
  <c r="P1531" i="2"/>
  <c r="K1531" i="2"/>
  <c r="Z1530" i="2"/>
  <c r="T1530" i="2"/>
  <c r="O1530" i="2"/>
  <c r="J1530" i="2"/>
  <c r="X1529" i="2"/>
  <c r="S1529" i="2"/>
  <c r="N1529" i="2"/>
  <c r="H1529" i="2"/>
  <c r="W1528" i="2"/>
  <c r="R1528" i="2"/>
  <c r="L1528" i="2"/>
  <c r="AA1527" i="2"/>
  <c r="V1527" i="2"/>
  <c r="P1527" i="2"/>
  <c r="K1527" i="2"/>
  <c r="Z1526" i="2"/>
  <c r="T1526" i="2"/>
  <c r="O1526" i="2"/>
  <c r="J1526" i="2"/>
  <c r="X1525" i="2"/>
  <c r="S1525" i="2"/>
  <c r="N1525" i="2"/>
  <c r="H1525" i="2"/>
  <c r="W1524" i="2"/>
  <c r="R1524" i="2"/>
  <c r="L1524" i="2"/>
  <c r="AA1523" i="2"/>
  <c r="V1523" i="2"/>
  <c r="P1523" i="2"/>
  <c r="K1523" i="2"/>
  <c r="Z1522" i="2"/>
  <c r="T1522" i="2"/>
  <c r="O1522" i="2"/>
  <c r="J1522" i="2"/>
  <c r="X1521" i="2"/>
  <c r="S1521" i="2"/>
  <c r="N1521" i="2"/>
  <c r="H1521" i="2"/>
  <c r="W1520" i="2"/>
  <c r="R1520" i="2"/>
  <c r="L1520" i="2"/>
  <c r="AA1519" i="2"/>
  <c r="V1519" i="2"/>
  <c r="P1519" i="2"/>
  <c r="K1519" i="2"/>
  <c r="Z1518" i="2"/>
  <c r="T1518" i="2"/>
  <c r="O1518" i="2"/>
  <c r="J1518" i="2"/>
  <c r="X1517" i="2"/>
  <c r="S1517" i="2"/>
  <c r="N1517" i="2"/>
  <c r="H1517" i="2"/>
  <c r="W1516" i="2"/>
  <c r="R1516" i="2"/>
  <c r="L1516" i="2"/>
  <c r="AA1515" i="2"/>
  <c r="V1515" i="2"/>
  <c r="P1515" i="2"/>
  <c r="K1515" i="2"/>
  <c r="Z1514" i="2"/>
  <c r="T1514" i="2"/>
  <c r="O1514" i="2"/>
  <c r="J1514" i="2"/>
  <c r="X1513" i="2"/>
  <c r="S1513" i="2"/>
  <c r="N1513" i="2"/>
  <c r="H1513" i="2"/>
  <c r="W1512" i="2"/>
  <c r="R1512" i="2"/>
  <c r="L1512" i="2"/>
  <c r="AA1511" i="2"/>
  <c r="V1511" i="2"/>
  <c r="P1511" i="2"/>
  <c r="K1511" i="2"/>
  <c r="Z1510" i="2"/>
  <c r="T1510" i="2"/>
  <c r="O1510" i="2"/>
  <c r="J1510" i="2"/>
  <c r="X1509" i="2"/>
  <c r="S1509" i="2"/>
  <c r="N1509" i="2"/>
  <c r="H1509" i="2"/>
  <c r="W1508" i="2"/>
  <c r="R1508" i="2"/>
  <c r="L1508" i="2"/>
  <c r="AA1507" i="2"/>
  <c r="V1507" i="2"/>
  <c r="P1507" i="2"/>
  <c r="K1507" i="2"/>
  <c r="Z1506" i="2"/>
  <c r="T1506" i="2"/>
  <c r="O1506" i="2"/>
  <c r="J1506" i="2"/>
  <c r="X1505" i="2"/>
  <c r="S1505" i="2"/>
  <c r="N1505" i="2"/>
  <c r="H1505" i="2"/>
  <c r="W1504" i="2"/>
  <c r="R1504" i="2"/>
  <c r="L1504" i="2"/>
  <c r="AA1503" i="2"/>
  <c r="V1503" i="2"/>
  <c r="P1503" i="2"/>
  <c r="K1503" i="2"/>
  <c r="Z1502" i="2"/>
  <c r="T1502" i="2"/>
  <c r="O1502" i="2"/>
  <c r="J1502" i="2"/>
  <c r="X1501" i="2"/>
  <c r="S1501" i="2"/>
  <c r="N1501" i="2"/>
  <c r="H1501" i="2"/>
  <c r="W1500" i="2"/>
  <c r="R1500" i="2"/>
  <c r="L1500" i="2"/>
  <c r="AA1499" i="2"/>
  <c r="V1499" i="2"/>
  <c r="P1499" i="2"/>
  <c r="K1499" i="2"/>
  <c r="Z1498" i="2"/>
  <c r="T1498" i="2"/>
  <c r="O1498" i="2"/>
  <c r="J1498" i="2"/>
  <c r="X1497" i="2"/>
  <c r="S1497" i="2"/>
  <c r="N1497" i="2"/>
  <c r="H1497" i="2"/>
  <c r="W1496" i="2"/>
  <c r="R1496" i="2"/>
  <c r="L1496" i="2"/>
  <c r="AA1495" i="2"/>
  <c r="V1495" i="2"/>
  <c r="P1495" i="2"/>
  <c r="K1495" i="2"/>
  <c r="Z1494" i="2"/>
  <c r="T1494" i="2"/>
  <c r="O1494" i="2"/>
  <c r="J1494" i="2"/>
  <c r="X1493" i="2"/>
  <c r="S1493" i="2"/>
  <c r="N1493" i="2"/>
  <c r="H1493" i="2"/>
  <c r="W1492" i="2"/>
  <c r="R1492" i="2"/>
  <c r="L1492" i="2"/>
  <c r="AA1491" i="2"/>
  <c r="V1491" i="2"/>
  <c r="P1491" i="2"/>
  <c r="K1491" i="2"/>
  <c r="Z1490" i="2"/>
  <c r="T1490" i="2"/>
  <c r="O1490" i="2"/>
  <c r="J1490" i="2"/>
  <c r="X1489" i="2"/>
  <c r="S1489" i="2"/>
  <c r="N1489" i="2"/>
  <c r="H1489" i="2"/>
  <c r="W1488" i="2"/>
  <c r="R1488" i="2"/>
  <c r="L1488" i="2"/>
  <c r="AA1487" i="2"/>
  <c r="V1487" i="2"/>
  <c r="P1487" i="2"/>
  <c r="K1487" i="2"/>
  <c r="Z1486" i="2"/>
  <c r="T1486" i="2"/>
  <c r="O1486" i="2"/>
  <c r="J1486" i="2"/>
  <c r="X1485" i="2"/>
  <c r="S1485" i="2"/>
  <c r="N1485" i="2"/>
  <c r="H1485" i="2"/>
  <c r="W1484" i="2"/>
  <c r="R1484" i="2"/>
  <c r="L1484" i="2"/>
  <c r="AA1483" i="2"/>
  <c r="V1483" i="2"/>
  <c r="P1483" i="2"/>
  <c r="K1483" i="2"/>
  <c r="Z1482" i="2"/>
  <c r="T1482" i="2"/>
  <c r="O1482" i="2"/>
  <c r="J1482" i="2"/>
  <c r="X1481" i="2"/>
  <c r="S1481" i="2"/>
  <c r="N1481" i="2"/>
  <c r="H1481" i="2"/>
  <c r="W1480" i="2"/>
  <c r="R1480" i="2"/>
  <c r="L1480" i="2"/>
  <c r="AA1479" i="2"/>
  <c r="V1479" i="2"/>
  <c r="P1479" i="2"/>
  <c r="K1479" i="2"/>
  <c r="Z1478" i="2"/>
  <c r="T1478" i="2"/>
  <c r="O1478" i="2"/>
  <c r="J1478" i="2"/>
  <c r="X1477" i="2"/>
  <c r="S1477" i="2"/>
  <c r="N1477" i="2"/>
  <c r="H1477" i="2"/>
  <c r="W1476" i="2"/>
  <c r="R1476" i="2"/>
  <c r="L1476" i="2"/>
  <c r="AA1475" i="2"/>
  <c r="V1475" i="2"/>
  <c r="P1475" i="2"/>
  <c r="K1475" i="2"/>
  <c r="Z1474" i="2"/>
  <c r="T1474" i="2"/>
  <c r="O1474" i="2"/>
  <c r="J1474" i="2"/>
  <c r="X1473" i="2"/>
  <c r="S1473" i="2"/>
  <c r="N1473" i="2"/>
  <c r="H1473" i="2"/>
  <c r="W1472" i="2"/>
  <c r="R1472" i="2"/>
  <c r="L1472" i="2"/>
  <c r="AA1471" i="2"/>
  <c r="V1471" i="2"/>
  <c r="P1471" i="2"/>
  <c r="K1471" i="2"/>
  <c r="Z1470" i="2"/>
  <c r="T1470" i="2"/>
  <c r="O1470" i="2"/>
  <c r="J1470" i="2"/>
  <c r="X1469" i="2"/>
  <c r="S1469" i="2"/>
  <c r="N1469" i="2"/>
  <c r="H1469" i="2"/>
  <c r="W1468" i="2"/>
  <c r="R1468" i="2"/>
  <c r="L1468" i="2"/>
  <c r="AA1467" i="2"/>
  <c r="V1467" i="2"/>
  <c r="P1467" i="2"/>
  <c r="K1467" i="2"/>
  <c r="Z1466" i="2"/>
  <c r="T1466" i="2"/>
  <c r="O1466" i="2"/>
  <c r="J1466" i="2"/>
  <c r="X1465" i="2"/>
  <c r="S1465" i="2"/>
  <c r="N1465" i="2"/>
  <c r="H1465" i="2"/>
  <c r="W1464" i="2"/>
  <c r="R1464" i="2"/>
  <c r="L1464" i="2"/>
  <c r="AA1463" i="2"/>
  <c r="V1463" i="2"/>
  <c r="P1463" i="2"/>
  <c r="K1463" i="2"/>
  <c r="Z1462" i="2"/>
  <c r="T1462" i="2"/>
  <c r="O1462" i="2"/>
  <c r="J1462" i="2"/>
  <c r="X1461" i="2"/>
  <c r="S1461" i="2"/>
  <c r="N1461" i="2"/>
  <c r="H1461" i="2"/>
  <c r="W1460" i="2"/>
  <c r="R1460" i="2"/>
  <c r="L1460" i="2"/>
  <c r="AA1459" i="2"/>
  <c r="V1459" i="2"/>
  <c r="P1459" i="2"/>
  <c r="K1459" i="2"/>
  <c r="Z1458" i="2"/>
  <c r="T1458" i="2"/>
  <c r="O1458" i="2"/>
  <c r="J1458" i="2"/>
  <c r="X1457" i="2"/>
  <c r="S1457" i="2"/>
  <c r="N1457" i="2"/>
  <c r="H1457" i="2"/>
  <c r="W1456" i="2"/>
  <c r="R1456" i="2"/>
  <c r="L1456" i="2"/>
  <c r="AA1455" i="2"/>
  <c r="V1455" i="2"/>
  <c r="P1455" i="2"/>
  <c r="K1455" i="2"/>
  <c r="Z1454" i="2"/>
  <c r="T1454" i="2"/>
  <c r="O1454" i="2"/>
  <c r="J1454" i="2"/>
  <c r="X1453" i="2"/>
  <c r="S1453" i="2"/>
  <c r="N1453" i="2"/>
  <c r="H1453" i="2"/>
  <c r="W1452" i="2"/>
  <c r="R1452" i="2"/>
  <c r="L1452" i="2"/>
  <c r="AA1451" i="2"/>
  <c r="V1451" i="2"/>
  <c r="P1451" i="2"/>
  <c r="K1451" i="2"/>
  <c r="Z1450" i="2"/>
  <c r="T1450" i="2"/>
  <c r="O1450" i="2"/>
  <c r="J1450" i="2"/>
  <c r="X1449" i="2"/>
  <c r="S1449" i="2"/>
  <c r="N1449" i="2"/>
  <c r="H1449" i="2"/>
  <c r="W1448" i="2"/>
  <c r="R1448" i="2"/>
  <c r="L1448" i="2"/>
  <c r="AA1447" i="2"/>
  <c r="V1447" i="2"/>
  <c r="P1447" i="2"/>
  <c r="K1447" i="2"/>
  <c r="Z1446" i="2"/>
  <c r="T1446" i="2"/>
  <c r="O1446" i="2"/>
  <c r="J1446" i="2"/>
  <c r="X1445" i="2"/>
  <c r="S1445" i="2"/>
  <c r="N1445" i="2"/>
  <c r="H1445" i="2"/>
  <c r="W1444" i="2"/>
  <c r="R1444" i="2"/>
  <c r="L1444" i="2"/>
  <c r="AA1443" i="2"/>
  <c r="V1443" i="2"/>
  <c r="P1443" i="2"/>
  <c r="K1443" i="2"/>
  <c r="Z1442" i="2"/>
  <c r="T1442" i="2"/>
  <c r="O1442" i="2"/>
  <c r="J1442" i="2"/>
  <c r="X1441" i="2"/>
  <c r="S1441" i="2"/>
  <c r="N1441" i="2"/>
  <c r="H1441" i="2"/>
  <c r="W1440" i="2"/>
  <c r="R1440" i="2"/>
  <c r="L1440" i="2"/>
  <c r="AA1439" i="2"/>
  <c r="V1439" i="2"/>
  <c r="P1439" i="2"/>
  <c r="K1439" i="2"/>
  <c r="Z1438" i="2"/>
  <c r="T1438" i="2"/>
  <c r="O1438" i="2"/>
  <c r="J1438" i="2"/>
  <c r="X1437" i="2"/>
  <c r="S1437" i="2"/>
  <c r="N1437" i="2"/>
  <c r="H1437" i="2"/>
  <c r="W1436" i="2"/>
  <c r="R1436" i="2"/>
  <c r="L1436" i="2"/>
  <c r="AA1435" i="2"/>
  <c r="V1435" i="2"/>
  <c r="P1435" i="2"/>
  <c r="K1435" i="2"/>
  <c r="Z1434" i="2"/>
  <c r="T1434" i="2"/>
  <c r="O1434" i="2"/>
  <c r="J1434" i="2"/>
  <c r="X1433" i="2"/>
  <c r="S1433" i="2"/>
  <c r="N1433" i="2"/>
  <c r="H1433" i="2"/>
  <c r="T1432" i="2"/>
  <c r="L1432" i="2"/>
  <c r="X1431" i="2"/>
  <c r="P1431" i="2"/>
  <c r="H1431" i="2"/>
  <c r="T1430" i="2"/>
  <c r="L1430" i="2"/>
  <c r="X1429" i="2"/>
  <c r="P1429" i="2"/>
  <c r="H1429" i="2"/>
  <c r="T1428" i="2"/>
  <c r="L1428" i="2"/>
  <c r="X1427" i="2"/>
  <c r="P1427" i="2"/>
  <c r="H1427" i="2"/>
  <c r="T1426" i="2"/>
  <c r="L1426" i="2"/>
  <c r="X1425" i="2"/>
  <c r="P1425" i="2"/>
  <c r="H1425" i="2"/>
  <c r="T1424" i="2"/>
  <c r="L1424" i="2"/>
  <c r="X1423" i="2"/>
  <c r="P1423" i="2"/>
  <c r="H1423" i="2"/>
  <c r="T1422" i="2"/>
  <c r="L1422" i="2"/>
  <c r="X1421" i="2"/>
  <c r="P1421" i="2"/>
  <c r="H1421" i="2"/>
  <c r="T1420" i="2"/>
  <c r="L1420" i="2"/>
  <c r="X1419" i="2"/>
  <c r="P1419" i="2"/>
  <c r="H1419" i="2"/>
  <c r="T1418" i="2"/>
  <c r="L1418" i="2"/>
  <c r="X1417" i="2"/>
  <c r="P1417" i="2"/>
  <c r="H1417" i="2"/>
  <c r="T1416" i="2"/>
  <c r="L1416" i="2"/>
  <c r="X1415" i="2"/>
  <c r="P1415" i="2"/>
  <c r="H1415" i="2"/>
  <c r="T1414" i="2"/>
  <c r="L1414" i="2"/>
  <c r="X1413" i="2"/>
  <c r="P1413" i="2"/>
  <c r="H1413" i="2"/>
  <c r="T1412" i="2"/>
  <c r="L1412" i="2"/>
  <c r="X1411" i="2"/>
  <c r="P1411" i="2"/>
  <c r="H1411" i="2"/>
  <c r="T1410" i="2"/>
  <c r="L1410" i="2"/>
  <c r="X1409" i="2"/>
  <c r="P1409" i="2"/>
  <c r="H1409" i="2"/>
  <c r="T1408" i="2"/>
  <c r="L1408" i="2"/>
  <c r="X1407" i="2"/>
  <c r="P1407" i="2"/>
  <c r="H1407" i="2"/>
  <c r="T1406" i="2"/>
  <c r="L1406" i="2"/>
  <c r="X1405" i="2"/>
  <c r="P1405" i="2"/>
  <c r="H1405" i="2"/>
  <c r="T1404" i="2"/>
  <c r="L1404" i="2"/>
  <c r="X1403" i="2"/>
  <c r="P1403" i="2"/>
  <c r="H1403" i="2"/>
  <c r="T1402" i="2"/>
  <c r="L1402" i="2"/>
  <c r="X1401" i="2"/>
  <c r="P1401" i="2"/>
  <c r="H1401" i="2"/>
  <c r="T1400" i="2"/>
  <c r="L1400" i="2"/>
  <c r="X1399" i="2"/>
  <c r="P1399" i="2"/>
  <c r="H1399" i="2"/>
  <c r="T1398" i="2"/>
  <c r="L1398" i="2"/>
  <c r="X1397" i="2"/>
  <c r="P1397" i="2"/>
  <c r="H1397" i="2"/>
  <c r="T1396" i="2"/>
  <c r="L1396" i="2"/>
  <c r="X1395" i="2"/>
  <c r="P1395" i="2"/>
  <c r="H1395" i="2"/>
  <c r="T1394" i="2"/>
  <c r="L1394" i="2"/>
  <c r="X1393" i="2"/>
  <c r="P1393" i="2"/>
  <c r="H1393" i="2"/>
  <c r="T1392" i="2"/>
  <c r="L1392" i="2"/>
  <c r="X1391" i="2"/>
  <c r="P1391" i="2"/>
  <c r="H1391" i="2"/>
  <c r="T1390" i="2"/>
  <c r="L1390" i="2"/>
  <c r="X1389" i="2"/>
  <c r="P1389" i="2"/>
  <c r="H1389" i="2"/>
  <c r="T1388" i="2"/>
  <c r="L1388" i="2"/>
  <c r="X1387" i="2"/>
  <c r="P1387" i="2"/>
  <c r="H1387" i="2"/>
  <c r="T1386" i="2"/>
  <c r="L1386" i="2"/>
  <c r="X1385" i="2"/>
  <c r="P1385" i="2"/>
  <c r="H1385" i="2"/>
  <c r="T1384" i="2"/>
  <c r="L1384" i="2"/>
  <c r="X1383" i="2"/>
  <c r="P1383" i="2"/>
  <c r="H1383" i="2"/>
  <c r="T1382" i="2"/>
  <c r="L1382" i="2"/>
  <c r="X1381" i="2"/>
  <c r="P1381" i="2"/>
  <c r="H1381" i="2"/>
  <c r="T1380" i="2"/>
  <c r="L1380" i="2"/>
  <c r="X1379" i="2"/>
  <c r="P1379" i="2"/>
  <c r="H1379" i="2"/>
  <c r="T1378" i="2"/>
  <c r="L1378" i="2"/>
  <c r="X1377" i="2"/>
  <c r="P1377" i="2"/>
  <c r="H1377" i="2"/>
  <c r="T1376" i="2"/>
  <c r="L1376" i="2"/>
  <c r="X1375" i="2"/>
  <c r="P1375" i="2"/>
  <c r="H1375" i="2"/>
  <c r="T1374" i="2"/>
  <c r="L1374" i="2"/>
  <c r="X1373" i="2"/>
  <c r="P1373" i="2"/>
  <c r="H1373" i="2"/>
  <c r="T1372" i="2"/>
  <c r="L1372" i="2"/>
  <c r="X1371" i="2"/>
  <c r="P1371" i="2"/>
  <c r="H1371" i="2"/>
  <c r="T1370" i="2"/>
  <c r="L1370" i="2"/>
  <c r="X1369" i="2"/>
  <c r="P1369" i="2"/>
  <c r="H1369" i="2"/>
  <c r="T1368" i="2"/>
  <c r="L1368" i="2"/>
  <c r="X1367" i="2"/>
  <c r="P1367" i="2"/>
  <c r="H1367" i="2"/>
  <c r="T1366" i="2"/>
  <c r="L1366" i="2"/>
  <c r="X1365" i="2"/>
  <c r="P1365" i="2"/>
  <c r="H1365" i="2"/>
  <c r="T1364" i="2"/>
  <c r="L1364" i="2"/>
  <c r="X1363" i="2"/>
  <c r="P1363" i="2"/>
  <c r="H1363" i="2"/>
  <c r="T1362" i="2"/>
  <c r="L1362" i="2"/>
  <c r="X1361" i="2"/>
  <c r="P1361" i="2"/>
  <c r="H1361" i="2"/>
  <c r="T1360" i="2"/>
  <c r="L1360" i="2"/>
  <c r="X1359" i="2"/>
  <c r="P1359" i="2"/>
  <c r="H1359" i="2"/>
  <c r="T1358" i="2"/>
  <c r="L1358" i="2"/>
  <c r="X1357" i="2"/>
  <c r="P1357" i="2"/>
  <c r="H1357" i="2"/>
  <c r="T1356" i="2"/>
  <c r="L1356" i="2"/>
  <c r="X1355" i="2"/>
  <c r="P1355" i="2"/>
  <c r="H1355" i="2"/>
  <c r="T1354" i="2"/>
  <c r="L1354" i="2"/>
  <c r="X1353" i="2"/>
  <c r="P1353" i="2"/>
  <c r="H1353" i="2"/>
  <c r="T1352" i="2"/>
  <c r="L1352" i="2"/>
  <c r="X1351" i="2"/>
  <c r="P1351" i="2"/>
  <c r="H1351" i="2"/>
  <c r="T1350" i="2"/>
  <c r="L1350" i="2"/>
  <c r="X1349" i="2"/>
  <c r="P1349" i="2"/>
  <c r="H1349" i="2"/>
  <c r="T1348" i="2"/>
  <c r="L1348" i="2"/>
  <c r="X1347" i="2"/>
  <c r="P1347" i="2"/>
  <c r="H1347" i="2"/>
  <c r="T1346" i="2"/>
  <c r="L1346" i="2"/>
  <c r="X1345" i="2"/>
  <c r="P1345" i="2"/>
  <c r="H1345" i="2"/>
  <c r="T1344" i="2"/>
  <c r="L1344" i="2"/>
  <c r="X1343" i="2"/>
  <c r="P1343" i="2"/>
  <c r="H1343" i="2"/>
  <c r="T1342" i="2"/>
  <c r="L1342" i="2"/>
  <c r="X1341" i="2"/>
  <c r="P1341" i="2"/>
  <c r="H1341" i="2"/>
  <c r="T1340" i="2"/>
  <c r="L1340" i="2"/>
  <c r="X1339" i="2"/>
  <c r="P1339" i="2"/>
  <c r="H1339" i="2"/>
  <c r="T1338" i="2"/>
  <c r="L1338" i="2"/>
  <c r="X1337" i="2"/>
  <c r="P1337" i="2"/>
  <c r="H1337" i="2"/>
  <c r="T1336" i="2"/>
  <c r="L1336" i="2"/>
  <c r="X1335" i="2"/>
  <c r="P1335" i="2"/>
  <c r="H1335" i="2"/>
  <c r="T1334" i="2"/>
  <c r="L1334" i="2"/>
  <c r="X1333" i="2"/>
  <c r="P1333" i="2"/>
  <c r="H1333" i="2"/>
  <c r="T1332" i="2"/>
  <c r="L1332" i="2"/>
  <c r="X1331" i="2"/>
  <c r="P1331" i="2"/>
  <c r="H1331" i="2"/>
  <c r="T1330" i="2"/>
  <c r="L1330" i="2"/>
  <c r="X1329" i="2"/>
  <c r="P1329" i="2"/>
  <c r="H1329" i="2"/>
  <c r="T1328" i="2"/>
  <c r="L1328" i="2"/>
  <c r="X1327" i="2"/>
  <c r="P1327" i="2"/>
  <c r="H1327" i="2"/>
  <c r="T1326" i="2"/>
  <c r="L1326" i="2"/>
  <c r="X1325" i="2"/>
  <c r="P1325" i="2"/>
  <c r="H1325" i="2"/>
  <c r="T1324" i="2"/>
  <c r="L1324" i="2"/>
  <c r="X1323" i="2"/>
  <c r="P1323" i="2"/>
  <c r="H1323" i="2"/>
  <c r="T1322" i="2"/>
  <c r="L1322" i="2"/>
  <c r="X1321" i="2"/>
  <c r="P1321" i="2"/>
  <c r="H1321" i="2"/>
  <c r="T1320" i="2"/>
  <c r="L1320" i="2"/>
  <c r="X1319" i="2"/>
  <c r="P1319" i="2"/>
  <c r="H1319" i="2"/>
  <c r="T1318" i="2"/>
  <c r="L1318" i="2"/>
  <c r="X1317" i="2"/>
  <c r="P1317" i="2"/>
  <c r="H1317" i="2"/>
  <c r="T1316" i="2"/>
  <c r="K1316" i="2"/>
  <c r="U1315" i="2"/>
  <c r="J1315" i="2"/>
  <c r="S1314" i="2"/>
  <c r="I1314" i="2"/>
  <c r="R1313" i="2"/>
  <c r="AA1312" i="2"/>
  <c r="Q1312" i="2"/>
  <c r="Z1311" i="2"/>
  <c r="O1311" i="2"/>
  <c r="Y1310" i="2"/>
  <c r="N1310" i="2"/>
  <c r="W1309" i="2"/>
  <c r="M1309" i="2"/>
  <c r="V1308" i="2"/>
  <c r="K1308" i="2"/>
  <c r="U1307" i="2"/>
  <c r="J1307" i="2"/>
  <c r="S1306" i="2"/>
  <c r="I1306" i="2"/>
  <c r="R1305" i="2"/>
  <c r="AA1304" i="2"/>
  <c r="Q1304" i="2"/>
  <c r="Z1303" i="2"/>
  <c r="O1303" i="2"/>
  <c r="Y1302" i="2"/>
  <c r="N1302" i="2"/>
  <c r="W1301" i="2"/>
  <c r="M1301" i="2"/>
  <c r="V1300" i="2"/>
  <c r="K1300" i="2"/>
  <c r="U1299" i="2"/>
  <c r="J1299" i="2"/>
  <c r="S1298" i="2"/>
  <c r="I1298" i="2"/>
  <c r="R1297" i="2"/>
  <c r="AA1296" i="2"/>
  <c r="Q1296" i="2"/>
  <c r="Z1295" i="2"/>
  <c r="O1295" i="2"/>
  <c r="Y1294" i="2"/>
  <c r="N1294" i="2"/>
  <c r="W1293" i="2"/>
  <c r="M1293" i="2"/>
  <c r="V1292" i="2"/>
  <c r="K1292" i="2"/>
  <c r="U1291" i="2"/>
  <c r="J1291" i="2"/>
  <c r="S1290" i="2"/>
  <c r="I1290" i="2"/>
  <c r="R1289" i="2"/>
  <c r="AA1288" i="2"/>
  <c r="Q1288" i="2"/>
  <c r="Z1287" i="2"/>
  <c r="O1287" i="2"/>
  <c r="Y1286" i="2"/>
  <c r="N1286" i="2"/>
  <c r="W1285" i="2"/>
  <c r="M1285" i="2"/>
  <c r="V1284" i="2"/>
  <c r="K1284" i="2"/>
  <c r="U1283" i="2"/>
  <c r="J1283" i="2"/>
  <c r="S1282" i="2"/>
  <c r="I1282" i="2"/>
  <c r="R1281" i="2"/>
  <c r="AA1280" i="2"/>
  <c r="Q1280" i="2"/>
  <c r="Z1279" i="2"/>
  <c r="O1279" i="2"/>
  <c r="Y1278" i="2"/>
  <c r="N1278" i="2"/>
  <c r="W1277" i="2"/>
  <c r="M1277" i="2"/>
  <c r="V1276" i="2"/>
  <c r="K1276" i="2"/>
  <c r="U1275" i="2"/>
  <c r="J1275" i="2"/>
  <c r="S1274" i="2"/>
  <c r="I1274" i="2"/>
  <c r="R1273" i="2"/>
  <c r="AA1272" i="2"/>
  <c r="Q1272" i="2"/>
  <c r="Z1271" i="2"/>
  <c r="O1271" i="2"/>
  <c r="Y1270" i="2"/>
  <c r="N1270" i="2"/>
  <c r="W1269" i="2"/>
  <c r="M1269" i="2"/>
  <c r="V1268" i="2"/>
  <c r="K1268" i="2"/>
  <c r="U1267" i="2"/>
  <c r="J1267" i="2"/>
  <c r="S1266" i="2"/>
  <c r="I1266" i="2"/>
  <c r="R1265" i="2"/>
  <c r="AA1264" i="2"/>
  <c r="Q1264" i="2"/>
  <c r="Z1263" i="2"/>
  <c r="O1263" i="2"/>
  <c r="Y1262" i="2"/>
  <c r="N1262" i="2"/>
  <c r="W1261" i="2"/>
  <c r="M1261" i="2"/>
  <c r="V1260" i="2"/>
  <c r="K1260" i="2"/>
  <c r="U1259" i="2"/>
  <c r="J1259" i="2"/>
  <c r="S1258" i="2"/>
  <c r="I1258" i="2"/>
  <c r="R1257" i="2"/>
  <c r="AA1256" i="2"/>
  <c r="Q1256" i="2"/>
  <c r="Z1255" i="2"/>
  <c r="O1255" i="2"/>
  <c r="Y1254" i="2"/>
  <c r="N1254" i="2"/>
  <c r="W1253" i="2"/>
  <c r="M1253" i="2"/>
  <c r="V1252" i="2"/>
  <c r="K1252" i="2"/>
  <c r="U1251" i="2"/>
  <c r="J1251" i="2"/>
  <c r="S1250" i="2"/>
  <c r="I1250" i="2"/>
  <c r="R1249" i="2"/>
  <c r="AA1248" i="2"/>
  <c r="Q1248" i="2"/>
  <c r="Z1247" i="2"/>
  <c r="O1247" i="2"/>
  <c r="Y1246" i="2"/>
  <c r="N1246" i="2"/>
  <c r="W1245" i="2"/>
  <c r="M1245" i="2"/>
  <c r="V1244" i="2"/>
  <c r="K1244" i="2"/>
  <c r="U1243" i="2"/>
  <c r="J1243" i="2"/>
  <c r="S1242" i="2"/>
  <c r="I1242" i="2"/>
  <c r="R1241" i="2"/>
  <c r="AA1240" i="2"/>
  <c r="Q1240" i="2"/>
  <c r="Z1239" i="2"/>
  <c r="O1239" i="2"/>
  <c r="Y1238" i="2"/>
  <c r="N1238" i="2"/>
  <c r="W1237" i="2"/>
  <c r="M1237" i="2"/>
  <c r="V1236" i="2"/>
  <c r="K1236" i="2"/>
  <c r="U1235" i="2"/>
  <c r="J1235" i="2"/>
  <c r="S1234" i="2"/>
  <c r="I1234" i="2"/>
  <c r="R1233" i="2"/>
  <c r="AA1232" i="2"/>
  <c r="Q1232" i="2"/>
  <c r="Z1231" i="2"/>
  <c r="O1231" i="2"/>
  <c r="Y1230" i="2"/>
  <c r="N1230" i="2"/>
  <c r="W1229" i="2"/>
  <c r="M1229" i="2"/>
  <c r="V1228" i="2"/>
  <c r="K1228" i="2"/>
  <c r="U1227" i="2"/>
  <c r="J1227" i="2"/>
  <c r="S1226" i="2"/>
  <c r="I1226" i="2"/>
  <c r="R1225" i="2"/>
  <c r="AA1224" i="2"/>
  <c r="Q1224" i="2"/>
  <c r="Z1223" i="2"/>
  <c r="O1223" i="2"/>
  <c r="Y1222" i="2"/>
  <c r="N1222" i="2"/>
  <c r="V1221" i="2"/>
  <c r="Z1220" i="2"/>
  <c r="J1220" i="2"/>
  <c r="N1219" i="2"/>
  <c r="R1218" i="2"/>
  <c r="V1217" i="2"/>
  <c r="Z1216" i="2"/>
  <c r="J1216" i="2"/>
  <c r="N1215" i="2"/>
  <c r="R1214" i="2"/>
  <c r="V1213" i="2"/>
  <c r="Z1212" i="2"/>
  <c r="J1212" i="2"/>
  <c r="N1211" i="2"/>
  <c r="R1210" i="2"/>
  <c r="V1209" i="2"/>
  <c r="Z1208" i="2"/>
  <c r="J1208" i="2"/>
  <c r="N1207" i="2"/>
  <c r="R1206" i="2"/>
  <c r="V1205" i="2"/>
  <c r="Z1204" i="2"/>
  <c r="J1204" i="2"/>
  <c r="N1203" i="2"/>
  <c r="R1202" i="2"/>
  <c r="V1201" i="2"/>
  <c r="Z1200" i="2"/>
  <c r="J1200" i="2"/>
  <c r="N1199" i="2"/>
  <c r="R1198" i="2"/>
  <c r="V1197" i="2"/>
  <c r="Z1196" i="2"/>
  <c r="J1196" i="2"/>
  <c r="N1195" i="2"/>
  <c r="R1194" i="2"/>
  <c r="V1193" i="2"/>
  <c r="Z1192" i="2"/>
  <c r="J1192" i="2"/>
  <c r="N1191" i="2"/>
  <c r="R1190" i="2"/>
  <c r="V1189" i="2"/>
  <c r="Z1188" i="2"/>
  <c r="J1188" i="2"/>
  <c r="N1187" i="2"/>
  <c r="R1186" i="2"/>
  <c r="V1185" i="2"/>
  <c r="Z1184" i="2"/>
  <c r="J1184" i="2"/>
  <c r="N1183" i="2"/>
  <c r="R1182" i="2"/>
  <c r="V1181" i="2"/>
  <c r="Z1180" i="2"/>
  <c r="J1180" i="2"/>
  <c r="N1179" i="2"/>
  <c r="R1178" i="2"/>
  <c r="V1177" i="2"/>
  <c r="Z1176" i="2"/>
  <c r="J1176" i="2"/>
  <c r="N1175" i="2"/>
  <c r="R1174" i="2"/>
  <c r="V1173" i="2"/>
  <c r="Z1172" i="2"/>
  <c r="J1172" i="2"/>
  <c r="N1171" i="2"/>
  <c r="R1170" i="2"/>
  <c r="V1169" i="2"/>
  <c r="Z1168" i="2"/>
  <c r="J1168" i="2"/>
  <c r="N1167" i="2"/>
  <c r="R1166" i="2"/>
  <c r="V1165" i="2"/>
  <c r="Z1164" i="2"/>
  <c r="J1164" i="2"/>
  <c r="N1163" i="2"/>
  <c r="R1162" i="2"/>
  <c r="V1161" i="2"/>
  <c r="Z1160" i="2"/>
  <c r="J1160" i="2"/>
  <c r="N1159" i="2"/>
  <c r="R1158" i="2"/>
  <c r="V1157" i="2"/>
  <c r="Z1156" i="2"/>
  <c r="J1156" i="2"/>
  <c r="N1155" i="2"/>
  <c r="R1154" i="2"/>
  <c r="V1153" i="2"/>
  <c r="Z1152" i="2"/>
  <c r="J1152" i="2"/>
  <c r="N1151" i="2"/>
  <c r="R1150" i="2"/>
  <c r="V1149" i="2"/>
  <c r="Z1148" i="2"/>
  <c r="J1148" i="2"/>
  <c r="N1147" i="2"/>
  <c r="R1146" i="2"/>
  <c r="V1145" i="2"/>
  <c r="Z1144" i="2"/>
  <c r="J1144" i="2"/>
  <c r="N1143" i="2"/>
  <c r="R1142" i="2"/>
  <c r="V1141" i="2"/>
  <c r="Z1140" i="2"/>
  <c r="J1140" i="2"/>
  <c r="N1139" i="2"/>
  <c r="R1138" i="2"/>
  <c r="V1137" i="2"/>
  <c r="Z1136" i="2"/>
  <c r="J1136" i="2"/>
  <c r="N1135" i="2"/>
  <c r="R1134" i="2"/>
  <c r="V1133" i="2"/>
  <c r="Z1132" i="2"/>
  <c r="J1132" i="2"/>
  <c r="N1131" i="2"/>
  <c r="R1130" i="2"/>
  <c r="V1129" i="2"/>
  <c r="Z1128" i="2"/>
  <c r="J1128" i="2"/>
  <c r="N1127" i="2"/>
  <c r="R1126" i="2"/>
  <c r="V1125" i="2"/>
  <c r="Z1124" i="2"/>
  <c r="J1124" i="2"/>
  <c r="N1123" i="2"/>
  <c r="R1122" i="2"/>
  <c r="V1121" i="2"/>
  <c r="Z1120" i="2"/>
  <c r="J1120" i="2"/>
  <c r="N1119" i="2"/>
  <c r="R1118" i="2"/>
  <c r="V1117" i="2"/>
  <c r="Z1116" i="2"/>
  <c r="J1116" i="2"/>
  <c r="N1115" i="2"/>
  <c r="R1114" i="2"/>
  <c r="V1113" i="2"/>
  <c r="Z1112" i="2"/>
  <c r="J1112" i="2"/>
  <c r="N1111" i="2"/>
  <c r="R1110" i="2"/>
  <c r="V1109" i="2"/>
  <c r="Z1108" i="2"/>
  <c r="J1108" i="2"/>
  <c r="N1107" i="2"/>
  <c r="R1106" i="2"/>
  <c r="V1105" i="2"/>
  <c r="Z1104" i="2"/>
  <c r="J1104" i="2"/>
  <c r="N1103" i="2"/>
  <c r="R1102" i="2"/>
  <c r="V1101" i="2"/>
  <c r="Z1100" i="2"/>
  <c r="J1100" i="2"/>
  <c r="N1099" i="2"/>
  <c r="R1098" i="2"/>
  <c r="V1097" i="2"/>
  <c r="Z1096" i="2"/>
  <c r="J1096" i="2"/>
  <c r="N1095" i="2"/>
  <c r="R1094" i="2"/>
  <c r="V1093" i="2"/>
  <c r="Z1092" i="2"/>
  <c r="J1092" i="2"/>
  <c r="N1091" i="2"/>
  <c r="R1090" i="2"/>
  <c r="V1089" i="2"/>
  <c r="Z1088" i="2"/>
  <c r="J1088" i="2"/>
  <c r="N1087" i="2"/>
  <c r="R1086" i="2"/>
  <c r="V1085" i="2"/>
  <c r="Z1084" i="2"/>
  <c r="J1084" i="2"/>
  <c r="N1083" i="2"/>
  <c r="R1082" i="2"/>
  <c r="V1081" i="2"/>
  <c r="Z1080" i="2"/>
  <c r="J1080" i="2"/>
  <c r="N1079" i="2"/>
  <c r="R1078" i="2"/>
  <c r="V1077" i="2"/>
  <c r="Z1076" i="2"/>
  <c r="J1076" i="2"/>
  <c r="N1075" i="2"/>
  <c r="R1074" i="2"/>
  <c r="V1073" i="2"/>
  <c r="Z1072" i="2"/>
  <c r="J1072" i="2"/>
  <c r="N1071" i="2"/>
  <c r="R1070" i="2"/>
  <c r="V1069" i="2"/>
  <c r="Z1068" i="2"/>
  <c r="J1068" i="2"/>
  <c r="N1067" i="2"/>
  <c r="R1066" i="2"/>
  <c r="V1065" i="2"/>
  <c r="Z1064" i="2"/>
  <c r="J1064" i="2"/>
  <c r="N1063" i="2"/>
  <c r="R1062" i="2"/>
  <c r="V1061" i="2"/>
  <c r="Z1060" i="2"/>
  <c r="J1060" i="2"/>
  <c r="N1059" i="2"/>
  <c r="R1058" i="2"/>
  <c r="V1057" i="2"/>
  <c r="Z1056" i="2"/>
  <c r="J1056" i="2"/>
  <c r="N1055" i="2"/>
  <c r="R1054" i="2"/>
  <c r="V1053" i="2"/>
  <c r="Z1052" i="2"/>
  <c r="J1052" i="2"/>
  <c r="N1051" i="2"/>
  <c r="R1050" i="2"/>
  <c r="V1049" i="2"/>
  <c r="Z1048" i="2"/>
  <c r="J1048" i="2"/>
  <c r="N1047" i="2"/>
  <c r="R1046" i="2"/>
  <c r="V1045" i="2"/>
  <c r="Z1044" i="2"/>
  <c r="J1044" i="2"/>
  <c r="N1043" i="2"/>
  <c r="R1042" i="2"/>
  <c r="V1041" i="2"/>
  <c r="Z1040" i="2"/>
  <c r="J1040" i="2"/>
  <c r="N1039" i="2"/>
  <c r="R1038" i="2"/>
  <c r="V1037" i="2"/>
  <c r="Z1036" i="2"/>
  <c r="J1036" i="2"/>
  <c r="N1035" i="2"/>
  <c r="R1034" i="2"/>
  <c r="V1033" i="2"/>
  <c r="Z1032" i="2"/>
  <c r="J1032" i="2"/>
  <c r="N1031" i="2"/>
  <c r="R1030" i="2"/>
  <c r="V1029" i="2"/>
  <c r="Z1028" i="2"/>
  <c r="J1028" i="2"/>
  <c r="N1027" i="2"/>
  <c r="R1026" i="2"/>
  <c r="V1025" i="2"/>
  <c r="Z1024" i="2"/>
  <c r="J1024" i="2"/>
  <c r="N1023" i="2"/>
  <c r="R1022" i="2"/>
  <c r="V1021" i="2"/>
  <c r="Z1020" i="2"/>
  <c r="J1020" i="2"/>
  <c r="N1019" i="2"/>
  <c r="R1018" i="2"/>
  <c r="V1017" i="2"/>
  <c r="Z1016" i="2"/>
  <c r="J1016" i="2"/>
  <c r="N1015" i="2"/>
  <c r="R1014" i="2"/>
  <c r="V1013" i="2"/>
  <c r="Z1012" i="2"/>
  <c r="J1012" i="2"/>
  <c r="N1011" i="2"/>
  <c r="R1010" i="2"/>
  <c r="V1009" i="2"/>
  <c r="Z1008" i="2"/>
  <c r="J1008" i="2"/>
  <c r="N1007" i="2"/>
  <c r="R1006" i="2"/>
  <c r="V1005" i="2"/>
  <c r="Z1004" i="2"/>
  <c r="J1004" i="2"/>
  <c r="N1003" i="2"/>
  <c r="R1002" i="2"/>
  <c r="V1001" i="2"/>
  <c r="Z1000" i="2"/>
  <c r="J1000" i="2"/>
  <c r="N999" i="2"/>
  <c r="R998" i="2"/>
  <c r="V997" i="2"/>
  <c r="Z996" i="2"/>
  <c r="J996" i="2"/>
  <c r="N995" i="2"/>
  <c r="R994" i="2"/>
  <c r="V993" i="2"/>
  <c r="Z992" i="2"/>
  <c r="J992" i="2"/>
  <c r="N991" i="2"/>
  <c r="R990" i="2"/>
  <c r="V989" i="2"/>
  <c r="Z988" i="2"/>
  <c r="J988" i="2"/>
  <c r="N987" i="2"/>
  <c r="R986" i="2"/>
  <c r="V985" i="2"/>
  <c r="Z984" i="2"/>
  <c r="J984" i="2"/>
  <c r="N983" i="2"/>
  <c r="R982" i="2"/>
  <c r="V981" i="2"/>
  <c r="Z980" i="2"/>
  <c r="J980" i="2"/>
  <c r="N979" i="2"/>
  <c r="R978" i="2"/>
  <c r="V977" i="2"/>
  <c r="Z976" i="2"/>
  <c r="J976" i="2"/>
  <c r="N975" i="2"/>
  <c r="R974" i="2"/>
  <c r="V973" i="2"/>
  <c r="Z972" i="2"/>
  <c r="J972" i="2"/>
  <c r="N971" i="2"/>
  <c r="R970" i="2"/>
  <c r="V969" i="2"/>
  <c r="Z968" i="2"/>
  <c r="J968" i="2"/>
  <c r="N967" i="2"/>
  <c r="R966" i="2"/>
  <c r="V965" i="2"/>
  <c r="Z964" i="2"/>
  <c r="J964" i="2"/>
  <c r="N963" i="2"/>
  <c r="R962" i="2"/>
  <c r="V961" i="2"/>
  <c r="Z960" i="2"/>
  <c r="J960" i="2"/>
  <c r="N959" i="2"/>
  <c r="R958" i="2"/>
  <c r="V957" i="2"/>
  <c r="Z956" i="2"/>
  <c r="J956" i="2"/>
  <c r="N955" i="2"/>
  <c r="R954" i="2"/>
  <c r="V953" i="2"/>
  <c r="Z952" i="2"/>
  <c r="J952" i="2"/>
  <c r="N951" i="2"/>
  <c r="R950" i="2"/>
  <c r="V949" i="2"/>
  <c r="Z948" i="2"/>
  <c r="J948" i="2"/>
  <c r="N947" i="2"/>
  <c r="R946" i="2"/>
  <c r="V945" i="2"/>
  <c r="Z944" i="2"/>
  <c r="J944" i="2"/>
  <c r="N943" i="2"/>
  <c r="R942" i="2"/>
  <c r="V941" i="2"/>
  <c r="Z940" i="2"/>
  <c r="J940" i="2"/>
  <c r="N939" i="2"/>
  <c r="R938" i="2"/>
  <c r="V937" i="2"/>
  <c r="Z936" i="2"/>
  <c r="J936" i="2"/>
  <c r="N935" i="2"/>
  <c r="R934" i="2"/>
  <c r="V933" i="2"/>
  <c r="Z932" i="2"/>
  <c r="J932" i="2"/>
  <c r="N931" i="2"/>
  <c r="R930" i="2"/>
  <c r="V929" i="2"/>
  <c r="Z928" i="2"/>
  <c r="J928" i="2"/>
  <c r="N927" i="2"/>
  <c r="R926" i="2"/>
  <c r="V925" i="2"/>
  <c r="Z924" i="2"/>
  <c r="J924" i="2"/>
  <c r="N923" i="2"/>
  <c r="R922" i="2"/>
  <c r="V921" i="2"/>
  <c r="Z920" i="2"/>
  <c r="J920" i="2"/>
  <c r="N919" i="2"/>
  <c r="R918" i="2"/>
  <c r="V917" i="2"/>
  <c r="Z916" i="2"/>
  <c r="J916" i="2"/>
  <c r="N915" i="2"/>
  <c r="R914" i="2"/>
  <c r="U913" i="2"/>
  <c r="T912" i="2"/>
  <c r="R911" i="2"/>
  <c r="Q910" i="2"/>
  <c r="P909" i="2"/>
  <c r="N908" i="2"/>
  <c r="M907" i="2"/>
  <c r="L906" i="2"/>
  <c r="J905" i="2"/>
  <c r="I904" i="2"/>
  <c r="H903" i="2"/>
  <c r="Z901" i="2"/>
  <c r="Y900" i="2"/>
  <c r="X899" i="2"/>
  <c r="V898" i="2"/>
  <c r="U897" i="2"/>
  <c r="T896" i="2"/>
  <c r="R895" i="2"/>
  <c r="Q894" i="2"/>
  <c r="P893" i="2"/>
  <c r="N892" i="2"/>
  <c r="M891" i="2"/>
  <c r="L890" i="2"/>
  <c r="J889" i="2"/>
  <c r="I888" i="2"/>
  <c r="H887" i="2"/>
  <c r="Z885" i="2"/>
  <c r="P884" i="2"/>
  <c r="X882" i="2"/>
  <c r="L881" i="2"/>
  <c r="T879" i="2"/>
  <c r="H878" i="2"/>
  <c r="P876" i="2"/>
  <c r="X874" i="2"/>
  <c r="L873" i="2"/>
  <c r="T871" i="2"/>
  <c r="H870" i="2"/>
  <c r="P868" i="2"/>
  <c r="X866" i="2"/>
  <c r="L865" i="2"/>
  <c r="T863" i="2"/>
  <c r="H862" i="2"/>
  <c r="P860" i="2"/>
  <c r="X858" i="2"/>
  <c r="L857" i="2"/>
  <c r="T855" i="2"/>
  <c r="H854" i="2"/>
  <c r="P852" i="2"/>
  <c r="X850" i="2"/>
  <c r="L849" i="2"/>
  <c r="T847" i="2"/>
  <c r="H846" i="2"/>
  <c r="P844" i="2"/>
  <c r="X842" i="2"/>
  <c r="L841" i="2"/>
  <c r="T839" i="2"/>
  <c r="H838" i="2"/>
  <c r="P836" i="2"/>
  <c r="X834" i="2"/>
  <c r="L833" i="2"/>
  <c r="T831" i="2"/>
  <c r="H830" i="2"/>
  <c r="P828" i="2"/>
  <c r="X826" i="2"/>
  <c r="L825" i="2"/>
  <c r="T823" i="2"/>
  <c r="Z821" i="2"/>
  <c r="W819" i="2"/>
  <c r="U817" i="2"/>
  <c r="R815" i="2"/>
  <c r="O813" i="2"/>
  <c r="M811" i="2"/>
  <c r="J809" i="2"/>
  <c r="AA806" i="2"/>
  <c r="Y804" i="2"/>
  <c r="V802" i="2"/>
  <c r="S800" i="2"/>
  <c r="Q798" i="2"/>
  <c r="N796" i="2"/>
  <c r="K794" i="2"/>
  <c r="I792" i="2"/>
  <c r="Z789" i="2"/>
  <c r="W787" i="2"/>
  <c r="U785" i="2"/>
  <c r="R783" i="2"/>
  <c r="O781" i="2"/>
  <c r="M779" i="2"/>
  <c r="J777" i="2"/>
  <c r="AA774" i="2"/>
  <c r="Y772" i="2"/>
  <c r="V770" i="2"/>
  <c r="S768" i="2"/>
  <c r="Q766" i="2"/>
  <c r="N764" i="2"/>
  <c r="AA761" i="2"/>
  <c r="W758" i="2"/>
  <c r="S755" i="2"/>
  <c r="O752" i="2"/>
  <c r="K749" i="2"/>
  <c r="AA745" i="2"/>
  <c r="W742" i="2"/>
  <c r="S739" i="2"/>
  <c r="O736" i="2"/>
  <c r="K733" i="2"/>
  <c r="AA729" i="2"/>
  <c r="W726" i="2"/>
  <c r="S723" i="2"/>
  <c r="O720" i="2"/>
  <c r="K717" i="2"/>
  <c r="AA713" i="2"/>
  <c r="W710" i="2"/>
  <c r="S707" i="2"/>
  <c r="O704" i="2"/>
  <c r="K701" i="2"/>
  <c r="AA697" i="2"/>
  <c r="W694" i="2"/>
  <c r="S691" i="2"/>
  <c r="O688" i="2"/>
  <c r="K685" i="2"/>
  <c r="AA681" i="2"/>
  <c r="W678" i="2"/>
  <c r="S675" i="2"/>
  <c r="O672" i="2"/>
  <c r="K669" i="2"/>
  <c r="AA665" i="2"/>
  <c r="W662" i="2"/>
  <c r="S659" i="2"/>
  <c r="O656" i="2"/>
  <c r="K653" i="2"/>
  <c r="AA649" i="2"/>
  <c r="W646" i="2"/>
  <c r="S643" i="2"/>
  <c r="O640" i="2"/>
  <c r="K637" i="2"/>
  <c r="AA633" i="2"/>
  <c r="W630" i="2"/>
  <c r="S627" i="2"/>
  <c r="O624" i="2"/>
  <c r="K621" i="2"/>
  <c r="AA617" i="2"/>
  <c r="W614" i="2"/>
  <c r="S611" i="2"/>
  <c r="O608" i="2"/>
  <c r="K605" i="2"/>
  <c r="AA601" i="2"/>
  <c r="W598" i="2"/>
  <c r="S595" i="2"/>
  <c r="O592" i="2"/>
  <c r="K589" i="2"/>
  <c r="AA585" i="2"/>
  <c r="W582" i="2"/>
  <c r="S579" i="2"/>
  <c r="O576" i="2"/>
  <c r="L572" i="2"/>
  <c r="N567" i="2"/>
  <c r="U561" i="2"/>
  <c r="AA555" i="2"/>
  <c r="M550" i="2"/>
  <c r="J544" i="2"/>
  <c r="S535" i="2"/>
  <c r="I527" i="2"/>
  <c r="R518" i="2"/>
  <c r="AA509" i="2"/>
  <c r="Q501" i="2"/>
  <c r="Z492" i="2"/>
  <c r="O484" i="2"/>
  <c r="Y475" i="2"/>
  <c r="N467" i="2"/>
  <c r="I458" i="2"/>
  <c r="U446" i="2"/>
  <c r="N435" i="2"/>
  <c r="Z423" i="2"/>
  <c r="R412" i="2"/>
  <c r="K401" i="2"/>
  <c r="W388" i="2"/>
  <c r="V371" i="2"/>
  <c r="U354" i="2"/>
  <c r="V332" i="2"/>
  <c r="K287" i="2"/>
  <c r="Z165" i="2"/>
  <c r="K29" i="2"/>
  <c r="AA28" i="2"/>
  <c r="W28" i="2"/>
  <c r="S28" i="2"/>
  <c r="O28" i="2"/>
  <c r="K28" i="2"/>
  <c r="AA27" i="2"/>
  <c r="W27" i="2"/>
  <c r="S27" i="2"/>
  <c r="O27" i="2"/>
  <c r="K27" i="2"/>
  <c r="AA26" i="2"/>
  <c r="W26" i="2"/>
  <c r="S26" i="2"/>
  <c r="O26" i="2"/>
  <c r="K26" i="2"/>
  <c r="AA25" i="2"/>
  <c r="W25" i="2"/>
  <c r="S25" i="2"/>
  <c r="O25" i="2"/>
  <c r="K25" i="2"/>
  <c r="AA24" i="2"/>
  <c r="V24" i="2"/>
  <c r="P24" i="2"/>
  <c r="K24" i="2"/>
  <c r="Z23" i="2"/>
  <c r="T23" i="2"/>
  <c r="O23" i="2"/>
  <c r="J23" i="2"/>
  <c r="X22" i="2"/>
  <c r="S22" i="2"/>
  <c r="N22" i="2"/>
  <c r="H22" i="2"/>
  <c r="W21" i="2"/>
  <c r="R21" i="2"/>
  <c r="L21" i="2"/>
  <c r="AA20" i="2"/>
  <c r="V20" i="2"/>
  <c r="P20" i="2"/>
  <c r="K20" i="2"/>
  <c r="Z19" i="2"/>
  <c r="T19" i="2"/>
  <c r="O19" i="2"/>
  <c r="J19" i="2"/>
  <c r="X18" i="2"/>
  <c r="S18" i="2"/>
  <c r="N18" i="2"/>
  <c r="H18" i="2"/>
  <c r="W17" i="2"/>
  <c r="R17" i="2"/>
  <c r="L17" i="2"/>
  <c r="AA16" i="2"/>
  <c r="V16" i="2"/>
  <c r="P16" i="2"/>
  <c r="K16" i="2"/>
  <c r="Z15" i="2"/>
  <c r="T15" i="2"/>
  <c r="O15" i="2"/>
  <c r="J15" i="2"/>
  <c r="X14" i="2"/>
  <c r="S14" i="2"/>
  <c r="N14" i="2"/>
  <c r="H14" i="2"/>
  <c r="W13" i="2"/>
  <c r="R13" i="2"/>
  <c r="L13" i="2"/>
  <c r="AA12" i="2"/>
  <c r="V12" i="2"/>
  <c r="P12" i="2"/>
  <c r="K12" i="2"/>
  <c r="Z11" i="2"/>
  <c r="T11" i="2"/>
  <c r="O11" i="2"/>
  <c r="J11" i="2"/>
  <c r="X10" i="2"/>
  <c r="S10" i="2"/>
  <c r="N10" i="2"/>
  <c r="H10" i="2"/>
  <c r="W9" i="2"/>
  <c r="R9" i="2"/>
  <c r="L9" i="2"/>
  <c r="AA8" i="2"/>
  <c r="V8" i="2"/>
  <c r="P8" i="2"/>
  <c r="K8" i="2"/>
  <c r="Y24" i="2"/>
  <c r="U24" i="2"/>
  <c r="Q24" i="2"/>
  <c r="M24" i="2"/>
  <c r="I24" i="2"/>
  <c r="Y23" i="2"/>
  <c r="U23" i="2"/>
  <c r="Q23" i="2"/>
  <c r="M23" i="2"/>
  <c r="I23" i="2"/>
  <c r="Y22" i="2"/>
  <c r="U22" i="2"/>
  <c r="Q22" i="2"/>
  <c r="M22" i="2"/>
  <c r="I22" i="2"/>
  <c r="Y21" i="2"/>
  <c r="U21" i="2"/>
  <c r="Q21" i="2"/>
  <c r="M21" i="2"/>
  <c r="I21" i="2"/>
  <c r="Y20" i="2"/>
  <c r="U20" i="2"/>
  <c r="Q20" i="2"/>
  <c r="M20" i="2"/>
  <c r="I20" i="2"/>
  <c r="Y19" i="2"/>
  <c r="U19" i="2"/>
  <c r="Q19" i="2"/>
  <c r="M19" i="2"/>
  <c r="I19" i="2"/>
  <c r="Y18" i="2"/>
  <c r="U18" i="2"/>
  <c r="Q18" i="2"/>
  <c r="M18" i="2"/>
  <c r="I18" i="2"/>
  <c r="Y17" i="2"/>
  <c r="U17" i="2"/>
  <c r="Q17" i="2"/>
  <c r="M17" i="2"/>
  <c r="I17" i="2"/>
  <c r="Y16" i="2"/>
  <c r="U16" i="2"/>
  <c r="Q16" i="2"/>
  <c r="M16" i="2"/>
  <c r="I16" i="2"/>
  <c r="Y15" i="2"/>
  <c r="U15" i="2"/>
  <c r="Q15" i="2"/>
  <c r="M15" i="2"/>
  <c r="I15" i="2"/>
  <c r="Y14" i="2"/>
  <c r="U14" i="2"/>
  <c r="Q14" i="2"/>
  <c r="M14" i="2"/>
  <c r="I14" i="2"/>
  <c r="Y13" i="2"/>
  <c r="U13" i="2"/>
  <c r="Q13" i="2"/>
  <c r="M13" i="2"/>
  <c r="I13" i="2"/>
  <c r="Y12" i="2"/>
  <c r="U12" i="2"/>
  <c r="Q12" i="2"/>
  <c r="M12" i="2"/>
  <c r="I12" i="2"/>
  <c r="Y11" i="2"/>
  <c r="U11" i="2"/>
  <c r="Q11" i="2"/>
  <c r="M11" i="2"/>
  <c r="I11" i="2"/>
  <c r="Y10" i="2"/>
  <c r="U10" i="2"/>
  <c r="Q10" i="2"/>
  <c r="M10" i="2"/>
  <c r="I10" i="2"/>
  <c r="Y9" i="2"/>
  <c r="U9" i="2"/>
  <c r="Q9" i="2"/>
  <c r="M9" i="2"/>
  <c r="I9" i="2"/>
  <c r="Y8" i="2"/>
  <c r="U8" i="2"/>
  <c r="Q8" i="2"/>
  <c r="M8" i="2"/>
  <c r="H3" i="2"/>
  <c r="S25" i="1" l="1"/>
  <c r="U25" i="1" s="1"/>
  <c r="S28" i="1"/>
  <c r="U28" i="1" s="1"/>
  <c r="O36" i="1"/>
  <c r="U36" i="1" s="1"/>
  <c r="P36" i="1"/>
  <c r="S41" i="1"/>
  <c r="U41" i="1" s="1"/>
  <c r="O68" i="1"/>
  <c r="P68" i="1"/>
  <c r="P70" i="1"/>
  <c r="U70" i="1" s="1"/>
  <c r="O72" i="1"/>
  <c r="P72" i="1"/>
  <c r="O73" i="1"/>
  <c r="U73" i="1" s="1"/>
  <c r="P73" i="1"/>
  <c r="O75" i="1"/>
  <c r="U75" i="1" s="1"/>
  <c r="P75" i="1"/>
  <c r="P86" i="1"/>
  <c r="U86" i="1" s="1"/>
  <c r="N117" i="1"/>
  <c r="N138" i="1"/>
  <c r="S138" i="1"/>
  <c r="T138" i="1"/>
  <c r="S139" i="1"/>
  <c r="U139" i="1" s="1"/>
  <c r="S140" i="1"/>
  <c r="U140" i="1" s="1"/>
  <c r="S141" i="1"/>
  <c r="U141" i="1" s="1"/>
  <c r="T142" i="1"/>
  <c r="U142" i="1" s="1"/>
  <c r="O144" i="1"/>
  <c r="Q144" i="1"/>
  <c r="O148" i="1"/>
  <c r="Q148" i="1"/>
  <c r="T148" i="1"/>
  <c r="N155" i="1"/>
  <c r="O155" i="1"/>
  <c r="Q155" i="1"/>
  <c r="T155" i="1"/>
  <c r="N158" i="1"/>
  <c r="N159" i="1" s="1"/>
  <c r="O158" i="1"/>
  <c r="U158" i="1" s="1"/>
  <c r="O159" i="1"/>
  <c r="Q159" i="1"/>
  <c r="O160" i="1"/>
  <c r="U160" i="1" s="1"/>
  <c r="P161" i="1"/>
  <c r="U161" i="1" s="1"/>
  <c r="P164" i="1"/>
  <c r="Q164" i="1"/>
  <c r="T164" i="1"/>
  <c r="P165" i="1"/>
  <c r="Q165" i="1"/>
  <c r="T165" i="1"/>
  <c r="P166" i="1"/>
  <c r="U166" i="1" s="1"/>
  <c r="Q166" i="1"/>
  <c r="T166" i="1"/>
  <c r="P167" i="1"/>
  <c r="Q167" i="1"/>
  <c r="T167" i="1"/>
  <c r="N168" i="1"/>
  <c r="P168" i="1"/>
  <c r="Q168" i="1"/>
  <c r="T168" i="1"/>
  <c r="N184" i="1"/>
  <c r="N185" i="1"/>
  <c r="P187" i="1"/>
  <c r="U187" i="1" s="1"/>
  <c r="Q187" i="1"/>
  <c r="T187" i="1"/>
  <c r="U165" i="1" l="1"/>
  <c r="U155" i="1"/>
  <c r="U168" i="1"/>
  <c r="U167" i="1"/>
  <c r="U144" i="1"/>
  <c r="U164" i="1"/>
  <c r="U159" i="1"/>
  <c r="U148" i="1"/>
  <c r="U138" i="1"/>
  <c r="U68" i="1"/>
  <c r="U72" i="1"/>
</calcChain>
</file>

<file path=xl/comments1.xml><?xml version="1.0" encoding="utf-8"?>
<comments xmlns="http://schemas.openxmlformats.org/spreadsheetml/2006/main">
  <authors>
    <author>SCB</author>
    <author>scb</author>
  </authors>
  <commentList>
    <comment ref="Z16" authorId="0" shapeId="0">
      <text>
        <r>
          <rPr>
            <b/>
            <sz val="8"/>
            <color indexed="81"/>
            <rFont val="Tahoma"/>
            <family val="2"/>
          </rPr>
          <t>SCB:</t>
        </r>
        <r>
          <rPr>
            <sz val="8"/>
            <color indexed="81"/>
            <rFont val="Tahoma"/>
            <family val="2"/>
          </rPr>
          <t xml:space="preserve">
Phân bổ cho P.ĐTDV, không cần tiêu thức phân bổ</t>
        </r>
      </text>
    </comment>
    <comment ref="Z17" authorId="0" shapeId="0">
      <text>
        <r>
          <rPr>
            <b/>
            <sz val="8"/>
            <color indexed="81"/>
            <rFont val="Tahoma"/>
            <family val="2"/>
          </rPr>
          <t>SCB:</t>
        </r>
        <r>
          <rPr>
            <sz val="8"/>
            <color indexed="81"/>
            <rFont val="Tahoma"/>
            <family val="2"/>
          </rPr>
          <t xml:space="preserve">
Phân bổ cho P.ĐTDV, không cần tiêu thức phân bổ</t>
        </r>
      </text>
    </comment>
    <comment ref="Z18" authorId="0" shapeId="0">
      <text>
        <r>
          <rPr>
            <b/>
            <sz val="8"/>
            <color indexed="81"/>
            <rFont val="Tahoma"/>
            <family val="2"/>
          </rPr>
          <t>SCB:</t>
        </r>
        <r>
          <rPr>
            <sz val="8"/>
            <color indexed="81"/>
            <rFont val="Tahoma"/>
            <family val="2"/>
          </rPr>
          <t xml:space="preserve">
Phân bổ cho P.ĐTDV, không cần tiêu thức phân bổ</t>
        </r>
      </text>
    </comment>
    <comment ref="L30" authorId="0" shapeId="0">
      <text>
        <r>
          <rPr>
            <b/>
            <sz val="8"/>
            <color indexed="81"/>
            <rFont val="Tahoma"/>
            <family val="2"/>
          </rPr>
          <t>SCB:</t>
        </r>
        <r>
          <rPr>
            <sz val="8"/>
            <color indexed="81"/>
            <rFont val="Tahoma"/>
            <family val="2"/>
          </rPr>
          <t xml:space="preserve">
mỗi ngày 5 cuộc gọi</t>
        </r>
      </text>
    </comment>
    <comment ref="L69" authorId="0" shapeId="0">
      <text>
        <r>
          <rPr>
            <b/>
            <sz val="8"/>
            <color indexed="81"/>
            <rFont val="Tahoma"/>
            <family val="2"/>
          </rPr>
          <t>SCB:</t>
        </r>
        <r>
          <rPr>
            <sz val="8"/>
            <color indexed="81"/>
            <rFont val="Tahoma"/>
            <family val="2"/>
          </rPr>
          <t xml:space="preserve">
Phải đăng ký nhiều lần cho cùng một chương trình do thời hạn chỉ có 45 ngày</t>
        </r>
      </text>
    </comment>
    <comment ref="L79" authorId="0" shapeId="0">
      <text>
        <r>
          <rPr>
            <b/>
            <sz val="8"/>
            <color indexed="81"/>
            <rFont val="Tahoma"/>
            <family val="2"/>
          </rPr>
          <t>SCB:</t>
        </r>
        <r>
          <rPr>
            <sz val="8"/>
            <color indexed="81"/>
            <rFont val="Tahoma"/>
            <family val="2"/>
          </rPr>
          <t xml:space="preserve">
Xuất số liệu báo cáo tất cả các chương trình cả 52 tuần trong năm</t>
        </r>
      </text>
    </comment>
    <comment ref="N79" authorId="0" shapeId="0">
      <text>
        <r>
          <rPr>
            <b/>
            <sz val="8"/>
            <color indexed="81"/>
            <rFont val="Tahoma"/>
            <family val="2"/>
          </rPr>
          <t>SCB:</t>
        </r>
        <r>
          <rPr>
            <sz val="8"/>
            <color indexed="81"/>
            <rFont val="Tahoma"/>
            <family val="2"/>
          </rPr>
          <t xml:space="preserve">
Ít nhất 8 chương trình chạy một lần, bao gồm 2 chương trình phát hành thẻ; 4 chuong trình trên kên ecommerce, 2 chuwong trình spending khác</t>
        </r>
      </text>
    </comment>
    <comment ref="L81" authorId="0" shapeId="0">
      <text>
        <r>
          <rPr>
            <b/>
            <sz val="8"/>
            <color indexed="81"/>
            <rFont val="Tahoma"/>
            <family val="2"/>
          </rPr>
          <t>SCB:</t>
        </r>
        <r>
          <rPr>
            <sz val="8"/>
            <color indexed="81"/>
            <rFont val="Tahoma"/>
            <family val="2"/>
          </rPr>
          <t xml:space="preserve">
mỗi ngày 5 cuộc gọi</t>
        </r>
      </text>
    </comment>
    <comment ref="L88" authorId="0" shapeId="0">
      <text>
        <r>
          <rPr>
            <b/>
            <sz val="8"/>
            <color indexed="81"/>
            <rFont val="Tahoma"/>
            <family val="2"/>
          </rPr>
          <t>SCB:</t>
        </r>
        <r>
          <rPr>
            <sz val="8"/>
            <color indexed="81"/>
            <rFont val="Tahoma"/>
            <family val="2"/>
          </rPr>
          <t xml:space="preserve">
Mỗi ngày 3 lần</t>
        </r>
      </text>
    </comment>
    <comment ref="L117" authorId="0" shapeId="0">
      <text>
        <r>
          <rPr>
            <b/>
            <sz val="8"/>
            <color indexed="81"/>
            <rFont val="Tahoma"/>
            <family val="2"/>
          </rPr>
          <t>SCB:</t>
        </r>
        <r>
          <rPr>
            <sz val="8"/>
            <color indexed="81"/>
            <rFont val="Tahoma"/>
            <family val="2"/>
          </rPr>
          <t xml:space="preserve">
50 đối tác, 12 tháng mỗi tháng 1 lần</t>
        </r>
      </text>
    </comment>
    <comment ref="E251" authorId="1" shapeId="0">
      <text>
        <r>
          <rPr>
            <b/>
            <sz val="8"/>
            <color indexed="81"/>
            <rFont val="Tahoma"/>
            <family val="2"/>
          </rPr>
          <t>scb:</t>
        </r>
        <r>
          <rPr>
            <sz val="8"/>
            <color indexed="81"/>
            <rFont val="Tahoma"/>
            <family val="2"/>
          </rPr>
          <t xml:space="preserve">
Chức năng bị bỏ</t>
        </r>
      </text>
    </comment>
  </commentList>
</comments>
</file>

<file path=xl/comments2.xml><?xml version="1.0" encoding="utf-8"?>
<comments xmlns="http://schemas.openxmlformats.org/spreadsheetml/2006/main">
  <authors>
    <author>SCB</author>
    <author>scb</author>
  </authors>
  <commentList>
    <comment ref="Z18" authorId="0" shapeId="0">
      <text>
        <r>
          <rPr>
            <b/>
            <sz val="8"/>
            <color indexed="81"/>
            <rFont val="Tahoma"/>
            <family val="2"/>
          </rPr>
          <t>SCB:</t>
        </r>
        <r>
          <rPr>
            <sz val="8"/>
            <color indexed="81"/>
            <rFont val="Tahoma"/>
            <family val="2"/>
          </rPr>
          <t xml:space="preserve">
Phân bổ cho P.ĐTDV, không cần tiêu thức phân bổ</t>
        </r>
      </text>
    </comment>
    <comment ref="Z19" authorId="0" shapeId="0">
      <text>
        <r>
          <rPr>
            <b/>
            <sz val="8"/>
            <color indexed="81"/>
            <rFont val="Tahoma"/>
            <family val="2"/>
          </rPr>
          <t>SCB:</t>
        </r>
        <r>
          <rPr>
            <sz val="8"/>
            <color indexed="81"/>
            <rFont val="Tahoma"/>
            <family val="2"/>
          </rPr>
          <t xml:space="preserve">
Phân bổ cho P.ĐTDV, không cần tiêu thức phân bổ</t>
        </r>
      </text>
    </comment>
    <comment ref="Z20" authorId="0" shapeId="0">
      <text>
        <r>
          <rPr>
            <b/>
            <sz val="8"/>
            <color indexed="81"/>
            <rFont val="Tahoma"/>
            <family val="2"/>
          </rPr>
          <t>SCB:</t>
        </r>
        <r>
          <rPr>
            <sz val="8"/>
            <color indexed="81"/>
            <rFont val="Tahoma"/>
            <family val="2"/>
          </rPr>
          <t xml:space="preserve">
Phân bổ cho P.ĐTDV, không cần tiêu thức phân bổ</t>
        </r>
      </text>
    </comment>
    <comment ref="L32" authorId="0" shapeId="0">
      <text>
        <r>
          <rPr>
            <b/>
            <sz val="8"/>
            <color indexed="81"/>
            <rFont val="Tahoma"/>
            <family val="2"/>
          </rPr>
          <t>SCB:</t>
        </r>
        <r>
          <rPr>
            <sz val="8"/>
            <color indexed="81"/>
            <rFont val="Tahoma"/>
            <family val="2"/>
          </rPr>
          <t xml:space="preserve">
mỗi ngày 5 cuộc gọi</t>
        </r>
      </text>
    </comment>
    <comment ref="L71" authorId="0" shapeId="0">
      <text>
        <r>
          <rPr>
            <b/>
            <sz val="8"/>
            <color indexed="81"/>
            <rFont val="Tahoma"/>
            <family val="2"/>
          </rPr>
          <t>SCB:</t>
        </r>
        <r>
          <rPr>
            <sz val="8"/>
            <color indexed="81"/>
            <rFont val="Tahoma"/>
            <family val="2"/>
          </rPr>
          <t xml:space="preserve">
Phải đăng ký nhiều lần cho cùng một chương trình do thời hạn chỉ có 45 ngày</t>
        </r>
      </text>
    </comment>
    <comment ref="L81" authorId="0" shapeId="0">
      <text>
        <r>
          <rPr>
            <b/>
            <sz val="8"/>
            <color indexed="81"/>
            <rFont val="Tahoma"/>
            <family val="2"/>
          </rPr>
          <t>SCB:</t>
        </r>
        <r>
          <rPr>
            <sz val="8"/>
            <color indexed="81"/>
            <rFont val="Tahoma"/>
            <family val="2"/>
          </rPr>
          <t xml:space="preserve">
Xuất số liệu báo cáo tất cả các chương trình cả 52 tuần trong năm</t>
        </r>
      </text>
    </comment>
    <comment ref="N81" authorId="0" shapeId="0">
      <text>
        <r>
          <rPr>
            <b/>
            <sz val="8"/>
            <color indexed="81"/>
            <rFont val="Tahoma"/>
            <family val="2"/>
          </rPr>
          <t>SCB:</t>
        </r>
        <r>
          <rPr>
            <sz val="8"/>
            <color indexed="81"/>
            <rFont val="Tahoma"/>
            <family val="2"/>
          </rPr>
          <t xml:space="preserve">
Ít nhất 8 chương trình chạy một lần, bao gồm 2 chương trình phát hành thẻ; 4 chuong trình trên kên ecommerce, 2 chuwong trình spending khác</t>
        </r>
      </text>
    </comment>
    <comment ref="L83" authorId="0" shapeId="0">
      <text>
        <r>
          <rPr>
            <b/>
            <sz val="8"/>
            <color indexed="81"/>
            <rFont val="Tahoma"/>
            <family val="2"/>
          </rPr>
          <t>SCB:</t>
        </r>
        <r>
          <rPr>
            <sz val="8"/>
            <color indexed="81"/>
            <rFont val="Tahoma"/>
            <family val="2"/>
          </rPr>
          <t xml:space="preserve">
mỗi ngày 5 cuộc gọi</t>
        </r>
      </text>
    </comment>
    <comment ref="L90" authorId="0" shapeId="0">
      <text>
        <r>
          <rPr>
            <b/>
            <sz val="8"/>
            <color indexed="81"/>
            <rFont val="Tahoma"/>
            <family val="2"/>
          </rPr>
          <t>SCB:</t>
        </r>
        <r>
          <rPr>
            <sz val="8"/>
            <color indexed="81"/>
            <rFont val="Tahoma"/>
            <family val="2"/>
          </rPr>
          <t xml:space="preserve">
Mỗi ngày 3 lần</t>
        </r>
      </text>
    </comment>
    <comment ref="L119" authorId="0" shapeId="0">
      <text>
        <r>
          <rPr>
            <b/>
            <sz val="8"/>
            <color indexed="81"/>
            <rFont val="Tahoma"/>
            <family val="2"/>
          </rPr>
          <t>SCB:</t>
        </r>
        <r>
          <rPr>
            <sz val="8"/>
            <color indexed="81"/>
            <rFont val="Tahoma"/>
            <family val="2"/>
          </rPr>
          <t xml:space="preserve">
50 đối tác, 12 tháng mỗi tháng 1 lần</t>
        </r>
      </text>
    </comment>
    <comment ref="E253" authorId="1" shapeId="0">
      <text>
        <r>
          <rPr>
            <b/>
            <sz val="8"/>
            <color indexed="81"/>
            <rFont val="Tahoma"/>
            <family val="2"/>
          </rPr>
          <t>scb:</t>
        </r>
        <r>
          <rPr>
            <sz val="8"/>
            <color indexed="81"/>
            <rFont val="Tahoma"/>
            <family val="2"/>
          </rPr>
          <t xml:space="preserve">
Chức năng bị bỏ</t>
        </r>
      </text>
    </comment>
  </commentList>
</comments>
</file>

<file path=xl/comments3.xml><?xml version="1.0" encoding="utf-8"?>
<comments xmlns="http://schemas.openxmlformats.org/spreadsheetml/2006/main">
  <authors>
    <author>P.GS&amp;XLTS</author>
  </authors>
  <commentList>
    <comment ref="G17" authorId="0" shapeId="0">
      <text>
        <r>
          <rPr>
            <b/>
            <sz val="9"/>
            <color indexed="81"/>
            <rFont val="Tahoma"/>
            <family val="2"/>
          </rPr>
          <t>P.GS&amp;XLTS:</t>
        </r>
        <r>
          <rPr>
            <sz val="9"/>
            <color indexed="81"/>
            <rFont val="Tahoma"/>
            <family val="2"/>
          </rPr>
          <t xml:space="preserve">
Điều chỉnh 2 lần cho mỗi tiêu chí cảnh báo giao dịch thẻ quốc tế/giao dịch tại ĐVCNT SCB/giao dịch ngân hàng số</t>
        </r>
      </text>
    </comment>
    <comment ref="G66" authorId="0" shapeId="0">
      <text>
        <r>
          <rPr>
            <b/>
            <sz val="9"/>
            <color indexed="81"/>
            <rFont val="Tahoma"/>
            <family val="2"/>
          </rPr>
          <t>P.GS&amp;XLTS:</t>
        </r>
        <r>
          <rPr>
            <sz val="9"/>
            <color indexed="81"/>
            <rFont val="Tahoma"/>
            <family val="2"/>
          </rPr>
          <t xml:space="preserve">
3 lần tăng ký quỹ theo yêu cầu của TCTQT và 1 lần gia hạn SBLC</t>
        </r>
      </text>
    </comment>
    <comment ref="I66" authorId="0" shapeId="0">
      <text>
        <r>
          <rPr>
            <b/>
            <sz val="9"/>
            <color indexed="81"/>
            <rFont val="Tahoma"/>
            <family val="2"/>
          </rPr>
          <t>P.GS&amp;XLTS:</t>
        </r>
        <r>
          <rPr>
            <sz val="9"/>
            <color indexed="81"/>
            <rFont val="Tahoma"/>
            <family val="2"/>
          </rPr>
          <t xml:space="preserve">
thời gian thực hiện đã bao gồm thời gian theo dõi tài khoản ký quỹ và phối hợp hạch toán lãi phát sinh hàng tháng</t>
        </r>
      </text>
    </comment>
    <comment ref="E74" authorId="0" shapeId="0">
      <text>
        <r>
          <rPr>
            <b/>
            <sz val="9"/>
            <color indexed="81"/>
            <rFont val="Tahoma"/>
            <family val="2"/>
          </rPr>
          <t>P.GS&amp;XLTS:</t>
        </r>
        <r>
          <rPr>
            <sz val="9"/>
            <color indexed="81"/>
            <rFont val="Tahoma"/>
            <family val="2"/>
          </rPr>
          <t xml:space="preserve">
Chấm số liệu báo cáo, bổ sung chỉ tiêu báo cáo theo yêu cầu cập nhật của TCTQT</t>
        </r>
      </text>
    </comment>
  </commentList>
</comments>
</file>

<file path=xl/sharedStrings.xml><?xml version="1.0" encoding="utf-8"?>
<sst xmlns="http://schemas.openxmlformats.org/spreadsheetml/2006/main" count="26417" uniqueCount="4651">
  <si>
    <t>Khác_NC&amp;PTKDT&amp;NHS</t>
  </si>
  <si>
    <t>NC&amp;PTKDT&amp;NHS</t>
  </si>
  <si>
    <t>PHÒNG NGHIÊN CỨU VÀ PTKD THẺ VÀ NGÂN HÀNG SỐ</t>
  </si>
  <si>
    <t>69</t>
  </si>
  <si>
    <t>KHỐI THẺ VÀ NGÂN HÀNG SỐ</t>
  </si>
  <si>
    <t>R</t>
  </si>
  <si>
    <t>Thực hiện các thủ tục ký kết hợp tác giữa SCB và đối tác</t>
  </si>
  <si>
    <t>Công tác marketing sản phẩm dịch vụ dành cho khách hàng sử dụng dịch vụ SCB trên nền tảng số</t>
  </si>
  <si>
    <t>Tìm kiếm và làm việc với các đối tác liên kết để mở rộng dịch vụ tài chính, ngân hàng trên nền tảng số.</t>
  </si>
  <si>
    <t>Đầu mối phối hợp với các Phòng liên quan trong quá trình xây dựng, kiểm thử và triển khai dịch vụ trên các kênh giao dịch của SCB</t>
  </si>
  <si>
    <t>Nghiên cứu, phân tích, xây dựng, phát triển các chương trình, ứng dụng, giải pháp dịch vụ Thẻ và Ngân hàng Số.</t>
  </si>
  <si>
    <t>Mô tả yêu cầu hệ thống đáp ứng nhu cầu kinh doanh, phối hợp tham gia vào quá trình xây dựng tính năng hệ thống</t>
  </si>
  <si>
    <t>Đầu mối triển khai các chương trình, ứng dụng, giải pháp dịch vụ Thẻ và Ngân hàng Số</t>
  </si>
  <si>
    <t>Cải tiến/phát triển chương trình, ứng dụng, giải pháp dịch vụ Thẻ và Ngân hàng Số mới.</t>
  </si>
  <si>
    <t>Xây dựng các quy trình/quy định/chính sách dịch vụ phù hợp với từng phân khúc Khách hàng và kênh phân phối đa dạng</t>
  </si>
  <si>
    <t>Xây dựng chính sách, chiến lược phát triển đặc tính sản phẩm dịch vụ thẻ và ngân hàng số.</t>
  </si>
  <si>
    <t>Phối hợp triển khai kinh doanh các chính sách/chương trình, sản phẩm dịch vụ dành cho Khách hàng sử dụng dịch vụ SCB trên nền tảng Thẻ và Ngân hàng Số.</t>
  </si>
  <si>
    <t>Phòng mới</t>
  </si>
  <si>
    <t>Phối hợp các Khối liên quan xây dựng các Sản phẩm, Dịch vụ, Chính sách/Chương trình dành cho Khách hàng sử dụng dịch vụ trên nền tảng Thẻ và Ngân hàng Số</t>
  </si>
  <si>
    <t>Phân bổ đều cho Đơn vị</t>
  </si>
  <si>
    <t xml:space="preserve"> - KHCN
- KHDN</t>
  </si>
  <si>
    <t>Thẻ</t>
  </si>
  <si>
    <t>SCB</t>
  </si>
  <si>
    <t>Tỷ lệ % hoàn thành</t>
  </si>
  <si>
    <t>Tham gia Dự án Propensity Modeling</t>
  </si>
  <si>
    <t>Khác_GS&amp;XLTST&amp;NHĐT</t>
  </si>
  <si>
    <t>GS&amp;XLTST&amp;NHS</t>
  </si>
  <si>
    <t>PHÒNG GIÁM SÁT VÀ XỬ LÝ TRA SOÁT THẺ VÀ NGÂN HÀNG SỐ</t>
  </si>
  <si>
    <t>55</t>
  </si>
  <si>
    <t>Phân bổ cho BTK DA AML</t>
  </si>
  <si>
    <t>AML</t>
  </si>
  <si>
    <t>BTK DA AML</t>
  </si>
  <si>
    <t>Tham gia Dự án chương trình Phòng chống rửa tiền (AML) (đến tháng 04.2018)</t>
  </si>
  <si>
    <t>Mastercard</t>
  </si>
  <si>
    <t>Tham gia Dự án Expert Monitoring System (MasterCard Advisor)</t>
  </si>
  <si>
    <t>Visa</t>
  </si>
  <si>
    <t>Tham gia Dự án VAA/VRM, Visa Token</t>
  </si>
  <si>
    <t>Phân bổ cho P.KHDN</t>
  </si>
  <si>
    <t>KHDN</t>
  </si>
  <si>
    <t>P.KHDN</t>
  </si>
  <si>
    <t>Tham gia Dự án Spend Alerts &amp; Controls</t>
  </si>
  <si>
    <t>KHCN</t>
  </si>
  <si>
    <t>Tham gia Dự án thẻ thanh toán quốc tế Visa Debit</t>
  </si>
  <si>
    <t>Tham gia Dự án thẻ tín dụng quốc tế MasterCard dành cho KHTC</t>
  </si>
  <si>
    <t>NHĐT</t>
  </si>
  <si>
    <t>Tham gia Dự án nâng cấp Core Banking &amp; Digital Banking</t>
  </si>
  <si>
    <t>Mastercard
Visa</t>
  </si>
  <si>
    <t>Thực hiện ký quỹ theo yêu cầu của TCTQT: Thực hiện thay đổi hình thức ký quỹ</t>
  </si>
  <si>
    <t>Số lần TCTQT yêu cầu tăng giá trị ký quỹ</t>
  </si>
  <si>
    <t>Thực hiện ký quỹ theo yêu cầu của TCTQT: Tăng giá trị ký quỹ theo yêu cầu của TCTQT</t>
  </si>
  <si>
    <t>Thẻ &amp; NHĐT
POS</t>
  </si>
  <si>
    <t>Xây dựng và triển khai công cụ ghi nhận, theo dõi các tra soát giao dịch thẻ và NHĐT.</t>
  </si>
  <si>
    <t>Xây dựng và triển khai công cụ ghi nhận  các cảnh báo gian lận từ TCTQT, TBQLRR</t>
  </si>
  <si>
    <t>Thẻ &amp; NHĐT</t>
  </si>
  <si>
    <t>P.ĐTDV</t>
  </si>
  <si>
    <t>Số buổi đã được tổ chức</t>
  </si>
  <si>
    <t>Tổ chức các buổi chia sẻ về hành vi gian lận và biện pháp nhận biết, phòng chống gian lận trong giao dịch thẻ và NHĐT: Tổ chức các buổi chia sẻ</t>
  </si>
  <si>
    <t>Số lượng tài liệu</t>
  </si>
  <si>
    <t>Tổ chức các buổi chia sẻ về hành vi gian lận và biện pháp nhận biết, phòng chống gian lận trong giao dịch thẻ và NHĐT: Soạn thảo tài liệu</t>
  </si>
  <si>
    <t>Số lần điều chỉnh</t>
  </si>
  <si>
    <t>Rà soát, cập nhật các Tiêu chí cảnh báo giao dịch ngân hàng điện tử</t>
  </si>
  <si>
    <t>POS</t>
  </si>
  <si>
    <t>Rà soát, cập nhật các Tiêu chí cảnh báo giao dịch thẻ tại ĐVCNT SCB</t>
  </si>
  <si>
    <t>Rà soát, cập nhật các Tiêu chí cảnh báo giao dịch thẻ quốc tế</t>
  </si>
  <si>
    <t>Số lượng thông báo, hướng dẫn nghiệp vụ đã ban hành</t>
  </si>
  <si>
    <t>Ban hành các thông báo, hướng dẫn nghiệp vụ</t>
  </si>
  <si>
    <t>Số lượng tài liệu chất lượng tu chỉnh/soạn thảo</t>
  </si>
  <si>
    <t>Tu chỉnh/soạn thảo tài liệu chất lượng</t>
  </si>
  <si>
    <t>Số lượng báo cáo</t>
  </si>
  <si>
    <t>Báo cáo quý theo yêu cầu của TCTQT (Chấm số liệu báo cáo, bổ sung chỉ tiêu báo cáo theo yêu cầu cập nhật của TCTQT)</t>
  </si>
  <si>
    <t>Báo cáo SAFE theo yêu cầu của TCTQT (Báo cáo tháng hoặc ngay khi có phát sinh)</t>
  </si>
  <si>
    <t>ATM</t>
  </si>
  <si>
    <t>Báo cáo ATM theo yêu cầu của TCTQT (báo cáo ngay khi có phát sinh hoặc ít nhất 1 lần/quý)</t>
  </si>
  <si>
    <t>Báo cáo theo yêu cầu từ Ngân hàng Nhà nước, cơ quan thẩm quyền (Báo cáo định kỳ hàng tháng và báo cáo khi có yêu cầu)</t>
  </si>
  <si>
    <t>P.QLRRVH</t>
  </si>
  <si>
    <t>Báo cáo QLRRVH (báo cáo tháng nội bộ SCB)</t>
  </si>
  <si>
    <t>Báo cáo hoạt động Phòng (báo cáo  tháng nội bộ SCB)</t>
  </si>
  <si>
    <t>Số lượng PYC/yêu cầu nhận được</t>
  </si>
  <si>
    <t>KHCN
KHDN</t>
  </si>
  <si>
    <t>Đơn vị yêu cầu</t>
  </si>
  <si>
    <t>Phản hồi ý kiến / Thực hiện các công việc theo PYC</t>
  </si>
  <si>
    <t>Đơn vị yêu cầu góp ý</t>
  </si>
  <si>
    <t>Thực hiện góp ý Tài liệu chất lượng / Hợp đồng hợp tác với các đối tác</t>
  </si>
  <si>
    <t>Số lượng cuộc họp , hội thảo, workshop đã tham gia</t>
  </si>
  <si>
    <t>- SCB (đvới hội thảo/ workshop)
- Đơn vị mời họp</t>
  </si>
  <si>
    <t>Tham gia họp, tham dự hội thảo / workshop do TCTQT / TB QLRR tổ chức</t>
  </si>
  <si>
    <t>Số lượng dữ liệu hệ thống được theo dõi</t>
  </si>
  <si>
    <t>P.KTT&amp;NHĐT</t>
  </si>
  <si>
    <t>Theo dõi tính tuân thủ của hệ thống SCB thông qua công cụ của Tổ chức thẻ quốc tế. Chuyển đến Phòng liên quan nếu có phát sinh dữ liệu không tuân thủ.</t>
  </si>
  <si>
    <t>Số lượng yêu cầu tuân thủ/quy định của Tổ chức thẻ quốc tế liên quan đến chức năng nhiệm vụ Phòng</t>
  </si>
  <si>
    <t>Theo dõi và cập nhật quy định, quy trình xử lý công việc theo chức năng nhiệm vụ của Phòng theo yêu cầu tuân thủ/quy định của Tổ chức thẻ quốc tế.</t>
  </si>
  <si>
    <t>Số lượng yêu cầu tuân thủ/quy định của Tổ chức thẻ quốc tế đã phân bổ đến các Phòng liên quan</t>
  </si>
  <si>
    <t>Các Phòng được phân bổ</t>
  </si>
  <si>
    <t>Theo dõi và cập nhật các yêu cầu tuân thủ/quy định từ Tổ chức thẻ quốc tế để phân bổ đến các Phòng liên quan</t>
  </si>
  <si>
    <t>Số món phí/hoàn trả phát sinh</t>
  </si>
  <si>
    <t>Các Phòng có phí phát sinh cần theo dõi, làm rõ</t>
  </si>
  <si>
    <t>Theo dõi, làm rõ và phối hợp hạch toán các khoản phí/hoàn trả phát sinh liên quan đến yêu cầu tuân thủ, các chương trình hỗ trợ bồi hoàn rủi ro từ Tổ chức thẻ quốc tế</t>
  </si>
  <si>
    <t>Số lượng công cụ</t>
  </si>
  <si>
    <t>Quản lý/đăng ký mới/cập nhật/vận hành các công cụ bắt buộc sử dụng hoặc các công cụ hỗ trợ công việc của Tổ chức thẻ quốc tế trên hệ thống Mastercard Connect và Visa Online</t>
  </si>
  <si>
    <t>Phân bổ cho Đơn vị có liên quan theo số lượng báo cáo phát sinh</t>
  </si>
  <si>
    <t>- KHCN
- KHDN</t>
  </si>
  <si>
    <t>Đơn vị có liên quan trong báo cáo sự cố rủi ro</t>
  </si>
  <si>
    <t>Báo cáo sự cố rủi ro trong giao dịch thẻ &amp; NHĐT và thực hiện tạm ứng hoàn trả tiền cho KH</t>
  </si>
  <si>
    <t>Theo dõi và thực hiện công tác báo cáo liên quan đến tình hình xử lý tra soát</t>
  </si>
  <si>
    <t>Xử lý tra soát, tranh chấp, bồi hoàn giao dịch Thẻ và NHĐT.</t>
  </si>
  <si>
    <t>Phối hợp xử lý ý kiến khách hàng liên quan tra soát giao dịch thẻ và ngân hàng số.</t>
  </si>
  <si>
    <t xml:space="preserve">Số lượng giao dịch tra soát </t>
  </si>
  <si>
    <t>Dịch vụ eBanking</t>
  </si>
  <si>
    <t>Đơn vị hưởng phí dịch vụ eBanking</t>
  </si>
  <si>
    <t>Giao dịch tra soát</t>
  </si>
  <si>
    <t>Tiếp nhận và xử lý tra soát, tranh chấp, bồi hoàn giao dịch Thẻ và NHĐT: Giao dịch ngân hàng điện tử</t>
  </si>
  <si>
    <t>Tiếp nhận và xử lý tra soát, tranh chấp, bồi hoàn giao dịch thẻ và ngân hàng số</t>
  </si>
  <si>
    <t>Giao dịch tại POS SCB</t>
  </si>
  <si>
    <t>Đơn vị đặt máy POS</t>
  </si>
  <si>
    <t>Tiếp nhận và xử lý tra soát, tranh chấp, bồi hoàn giao dịch Thẻ và NHĐT: Giao dịch thẻ ngân hàng khác tại POS SCB</t>
  </si>
  <si>
    <t>20% công việc sử dụng tiếng Anh</t>
  </si>
  <si>
    <t>Giao dịch tại ATM SCB</t>
  </si>
  <si>
    <t>Đơn vị đặt máy ATM</t>
  </si>
  <si>
    <t>Tiếp nhận và xử lý tra soát, tranh chấp, bồi hoàn giao dịch Thẻ và NHĐT: Giao dịch thẻ ngân hàng khác tại ATM SCB</t>
  </si>
  <si>
    <t>Thẻ nội địa</t>
  </si>
  <si>
    <t>Đơn vị phát hành thẻ</t>
  </si>
  <si>
    <t>Tiếp nhận và xử lý tra soát, tranh chấp, bồi hoàn giao dịch Thẻ và NHĐT: Giao dịch thẻ nội địa do SCB phát hành</t>
  </si>
  <si>
    <t>90% công việc sử dụng tiếng Anh</t>
  </si>
  <si>
    <t>Thẻ Mastercard, Visa</t>
  </si>
  <si>
    <t>Tiếp nhận và xử lý tra soát, tranh chấp, bồi hoàn giao dịch Thẻ và NHĐT: giao dịch thẻ quốc tế do SCB phát hành</t>
  </si>
  <si>
    <t>Tiếp nhận và hỗ trợ khách hàng thực hiện truy xuất chứng từ giao dịch.</t>
  </si>
  <si>
    <t>Thực hiện công tác đánh giá, thống kê các giao dịch lỗi nhằm đề xuất nâng cao chất lượng giao dịch</t>
  </si>
  <si>
    <t>Triển khai công tác giám sát rủi ro giao dịch thẻ và NHĐT.</t>
  </si>
  <si>
    <t>Phối hợp xây dựng hệ thống cảnh báo/giám sát giao dịch thẻ và ngân hàng số.</t>
  </si>
  <si>
    <t>Thực hiện các nghiệp vụ hỗ trợ thẻ và ngân hàng số (như cấp phép giao dịch; nâng/giảm hạn mức thẻ tín dụng tạm thời,…) và các nghiệp vụ khác theo quy định của SCB trong từng thời kỳ.</t>
  </si>
  <si>
    <t>Tiếp nhận và phản hồi yêu cầu xác nhận giao dịch từ Tổ chức thanh toán thẻ/Đơn vị chấp nhận thẻ.</t>
  </si>
  <si>
    <t>Thường xuyên cập nhật và hướng dẫn, đào tạo những thay đổi trong thông tin sản phẩm, quy trình/quy định,…</t>
  </si>
  <si>
    <t>Phối hợp với Đơn vị cập nhật và theo dõi tiến trình tiếp xúc với khách hàng trong quá trình xử lý.</t>
  </si>
  <si>
    <t>Theo dõi và đôn đốc Cán bộ Nhân viên tại Đơn vị xử lý các trường hợp khẩn cấp để đảm bảo đúng thời gian cam kết với khách hàng.</t>
  </si>
  <si>
    <t>Thực hiện chuyển thông tin yêu cầu của khách hàng đến Đơn vị theo đúng tiêu chuẩn và quy trình phối hợp xử lý ý kiến khách hàng giữa Bộ phận Chăm sóc khách hàng và Đơn vị.</t>
  </si>
  <si>
    <t>Số lượng cuộc gọi vào số hotline từ 21h đến 07h sáng</t>
  </si>
  <si>
    <t>P.CSKH</t>
  </si>
  <si>
    <t>Số lượng cuộc gọi vào</t>
  </si>
  <si>
    <t>Tiếp nhận các cuộc gọi vào số hotline (1800, 1900) (từ 21h đến 07h sáng) và hỗ trợ xử lý yêu cầu hoặc giải đáp thắc mắc của KH liên quan đến Thẻ, NHĐT và các liên quan khác</t>
  </si>
  <si>
    <t xml:space="preserve">Triển khai và duy trì thường xuyên hoạt động giám sát giao dịch thẻ và ngân hàng số phục vụ 24/7 </t>
  </si>
  <si>
    <t>Phân bổ cho CN/PGD dựa trên số lượng cuộc gọi vào</t>
  </si>
  <si>
    <t>Tiếp nhận các cuộc gọi vào số giám sát giao dịch (24/7) và hỗ trợ xử lý yêu cầu hoặc giải đáp thắc mắc của KH liên quan đến ngân hàng điện tử</t>
  </si>
  <si>
    <t xml:space="preserve">Đơn vị phát hành thẻ
</t>
  </si>
  <si>
    <t>Tiếp nhận các cuộc gọi vào số giám sát giao dịch (24/7) và hỗ trợ xử lý yêu cầu hoặc giải đáp thắc mắc của KH liên quan đến thẻ</t>
  </si>
  <si>
    <t>Phân bổ cho CN/PGD dựa trên số lượng giao dịch hit rule</t>
  </si>
  <si>
    <t>Số lượng giao dịch hit rule</t>
  </si>
  <si>
    <t>Giám sát lỗi nhằm xử lý hoặc phối hợp xử lý, nâng cao chất lượng dịch vụ Giao dịch ngân hàng điện tử</t>
  </si>
  <si>
    <t>Giám sát lỗi nhằm xử lý hoặc phối hợp xử lý, nâng cao chất lượng dịch vụ Giao dịch thẻ</t>
  </si>
  <si>
    <t>Xác minh và hỗ trợ Giao dịch ngân hàng điện tử</t>
  </si>
  <si>
    <t>Xác minh và hỗ trợ Giao dịch thẻ</t>
  </si>
  <si>
    <t>Tham gia thực hiện các dự án liên quan quản lý rủi ro hoạt động thẻ và ngân hàng số</t>
  </si>
  <si>
    <t>Quản lý rủi ro hoạt động Thẻ và NHĐT; giám sát tuân thủ quy định của Tổ chức thẻ quốc tế, Ngân hàng Nhà nước.</t>
  </si>
  <si>
    <t>Phụ trách các vấn đề liên quan bảo hiểm rủi ro hoạt động thẻ và ngân hàng số (không bao gồm rủi ro tín dụng thẻ).</t>
  </si>
  <si>
    <t>Thường xuyên cập nhật, đưa ra các hướng dẫn, cảnh báo kịp thời, đầy đủ đến khách hàng liên quan đến các loại rủi ro có thể phát sinh.</t>
  </si>
  <si>
    <t>Phân bổ cho CN/PGD dựa trên số lượng KH cần tư vấn</t>
  </si>
  <si>
    <t>Số lượng KH cần tư vấn</t>
  </si>
  <si>
    <t>Tiếp nhận và xử lý các cảnh báo từ TCTQT/Tiểu ban quản lý rủi ro/Napas/Cơ quan thẩm quyền/Đối tác, từ KH/Đơn vị/FDS: Đối với công tác liên hệ và tư vấn KH nhằm hạn chế rủi ro phát sinh</t>
  </si>
  <si>
    <t>Theo dõi, rà soát các cảnh báo trên các công cụ theo dõi tuân thủ của TCTQT và thực hiện các báo cáo tuân thủ theo yêu cầu của TCTQT.</t>
  </si>
  <si>
    <t>Phân bổ đều cho CN/PGD</t>
  </si>
  <si>
    <t>Số lượng cảnh báo nhận được</t>
  </si>
  <si>
    <t>Tiếp nhận và xử lý các cảnh báo từ TCTQT/Tiểu ban quản lý rủi ro/Napas/Cơ quan thẩm quyền/Đối tác, từ KH/Đơn vị/FDS: Đối với công tác rà soát cảnh báo</t>
  </si>
  <si>
    <t>Thường xuyên cập nhật các thay đổi và yêu cầu của TCTQT/NHNN và phối hợp các bộ phận liên quan cập nhật/thay đổi theo đúng quy định của TCTQT, NHNN (compliance).</t>
  </si>
  <si>
    <t>Khai thác, sử dụng các công cụ, hệ thống do TCTQT cung cấp.</t>
  </si>
  <si>
    <t>Phân bổ cho CN/PGD dựa trên số lần rà soát và xác minh giao dịch tại ĐVCNT</t>
  </si>
  <si>
    <t>Đơn vị quản lý ĐVCNT</t>
  </si>
  <si>
    <t>Số lần rà soát và xác minh giao dịch tại ĐVCNT</t>
  </si>
  <si>
    <t>Rà soát và xác minh giao dịch nghi ngờ theo cảnh báo của NHTT và cảnh báo từ hệ thống SCB.</t>
  </si>
  <si>
    <t>Xử lý các rủi ro, gian lận phát sinh trong hoạt động Thẻ và NHĐT (nội bộ và bên ngoài).</t>
  </si>
  <si>
    <t>Xử lý các rủi ro, gian lận phát sinh trong hoạt động thẻ và ngân hàng số (nội bộ và bên ngoài).</t>
  </si>
  <si>
    <t>Phân bổ cho CN/PGD dựa trên số lượng cảnh báo từ hệ thống FDS SCB</t>
  </si>
  <si>
    <t xml:space="preserve">Thẻ </t>
  </si>
  <si>
    <t>Số lượng cảnh báo từ hệ thống FDS SCB</t>
  </si>
  <si>
    <t>Giám sát giao dịch nghi ngờ tại ĐVCNT SCB</t>
  </si>
  <si>
    <t>Phối hợp xây dựng các phương án đảm bảo an toàn hoạt động ATM/POS.</t>
  </si>
  <si>
    <t>Đề xuất xây dựng các phương án nghiệp vụ an toàn/bảo mật hoạt động thẻ và ngân hàng số; quy trình xử lý nghiệp vụ; hệ thống cảnh báo/giám sát giao dịch.</t>
  </si>
  <si>
    <t>Quản lý, kiểm soát rủi ro hoạt động thẻ và ngân hàng số; xây dựng các tiêu chí cảnh báo, ngăn chặn rủi ro giao dịch thẻ và ngân hàng số.</t>
  </si>
  <si>
    <t>Số lượng tài liệu nội bộ phát sinh trong kỳ</t>
  </si>
  <si>
    <t>Tài liệu</t>
  </si>
  <si>
    <t xml:space="preserve">Góp ý/soạn thảo tài liệu nội bộ (quy trình, quy chế, hướng dẫn …) </t>
  </si>
  <si>
    <t>Khác_TTĐ</t>
  </si>
  <si>
    <t>TTĐ</t>
  </si>
  <si>
    <t>PHÒNG TÁI THẨM ĐỊNH</t>
  </si>
  <si>
    <t>13</t>
  </si>
  <si>
    <t>KHỐI TÁI THẨM ĐỊNH</t>
  </si>
  <si>
    <t>Q</t>
  </si>
  <si>
    <t>Số lần tham dự phỏng vấn trong kỳ</t>
  </si>
  <si>
    <t xml:space="preserve">TCNS </t>
  </si>
  <si>
    <t>Nhân sự</t>
  </si>
  <si>
    <t>Tham dự Hội đồng phỏng vấn, tuyển dụng nhân sự</t>
  </si>
  <si>
    <t>Phân bổ đều</t>
  </si>
  <si>
    <t>Báo cáo</t>
  </si>
  <si>
    <t>Báo cáo đột xuất khác theo yêu cầu của NHNN</t>
  </si>
  <si>
    <t>Báo cáo QLRRVH theo yêu cầu của NHNN</t>
  </si>
  <si>
    <t>TCKH</t>
  </si>
  <si>
    <t>Báo cáo định kỳ/tháng gửi cơ quan giám sát NHNN theo yêu cầu của P.TCKH</t>
  </si>
  <si>
    <t>Số lượng HS phát sinh trong kỳ</t>
  </si>
  <si>
    <t>KHDN/CN</t>
  </si>
  <si>
    <t>Dịch vụ tín dụng</t>
  </si>
  <si>
    <t>CN</t>
  </si>
  <si>
    <t>Hồ sơ</t>
  </si>
  <si>
    <t>Thực hiện công tác thẩm định/tái thẩm định đối với các hồ sơ tín dụng của KH VIP</t>
  </si>
  <si>
    <t>Thực hiện tái thẩm định các hồ sơ tín dụng, hồ sơ tín dụng cơ cấu lại nợ vay vượt quyền phán quyết của các Đơn vị trong toàn hàng theo phân quyền phán quyết từng thời kỳ.</t>
  </si>
  <si>
    <t xml:space="preserve">Tái thẩm định các hồ sơ cấp tín dụng vượt quyền phán quyết của các Đơn vị theo phân quyền phán quyết từng thời kỳ. </t>
  </si>
  <si>
    <t>Thực hiện công tác thẩm định/TTĐ đối với các hồ sơ TD của KH thông thường
Cấp tín dụng trung - dài hạn thực hiện dự án</t>
  </si>
  <si>
    <t>Thực hiện công tác thẩm định/TTĐ đối với các hồ sơ TD của KH thông thường
Cấp tín dụng trung - dài hạn</t>
  </si>
  <si>
    <t>Thực hiện công tác thẩm định/TTĐ đối với các hồ sơ TD của KH thông thường
Thay đổi nội dung cấp tín dụng/TSĐB/Giải ngân/Khác</t>
  </si>
  <si>
    <t>Thực hiện công tác thẩm định/TTĐ đối với các hồ sơ TD của KH thông thường
Cấp tín dụng ngắn hạn</t>
  </si>
  <si>
    <t>Số lượng lớp đào tạo phát sinh trong kỳ</t>
  </si>
  <si>
    <t>TT Đào Tạo</t>
  </si>
  <si>
    <t>Lớp đào tạo</t>
  </si>
  <si>
    <t>Đào tạo, tập huấn cho CBNV KHDN của Đơn vị các vấn đề liên quan đến thẩm định hồ sơ cấp tín dụng.</t>
  </si>
  <si>
    <t>Hướng dẫn, đào tạo nghiệp vụ cho CBNV làm công tác tín dụng và thẩm định tại các Đơn vị trong toàn hàng.</t>
  </si>
  <si>
    <t>Quản lý công tác thẩm định đối với những hồ sơ thuộc thẩm quyền.</t>
  </si>
  <si>
    <t>Số lượng KH phát sinh trong kỳ</t>
  </si>
  <si>
    <t>Hỗ trợ đơn vị tiếp thị/thẩm định KH mới/tiềm năng
Khách hàng khu vực còn lại</t>
  </si>
  <si>
    <t>Hỗ trợ các Đơn vị trong công tác thẩm định.</t>
  </si>
  <si>
    <t>Hỗ trợ đơn vị tiếp thị/thẩm định KH mới/tiềm năng
Khách hàng địa bàn khu vực TP.HCM và các tỉnh lân cận TP.HCM (long an, bình dương, củ chi…)</t>
  </si>
  <si>
    <t>Đánh giá chất lượng thẩm định tín dụng của các Đơn vị.</t>
  </si>
  <si>
    <t>Kiểm tra tính tuân thủ của các Đơn vị trong công tác thẩm định tín dụng.</t>
  </si>
  <si>
    <t>Khác_BPĐP</t>
  </si>
  <si>
    <t>BPĐP</t>
  </si>
  <si>
    <t>BỘ PHẬN ĐIỀU PHỐI</t>
  </si>
  <si>
    <t>KHỐI QUẢN TRỊ NGUỒN NHÂN LỰC</t>
  </si>
  <si>
    <t>P</t>
  </si>
  <si>
    <t>Thực hiện công tác thuê/cho thuê cơ sở vật chất và trang thiết bị phục vụ cho hoạt động đào tạo của SCB đối với các tổ chức có nhu cầu.</t>
  </si>
  <si>
    <t>Quản lý giám sát tài sản, trang thiết bị và cơ sở vật chất của phòng học/nhà nghỉ phục vụ công tác đào tạo và đề xuất mua sắm bổ sung, nâng cấp phục vụ như cầu đào tạo</t>
  </si>
  <si>
    <t>Quản lý, vận hành và giám sát hoạt động nhà nghỉ của SCB.</t>
  </si>
  <si>
    <t>Định kỳ thực hiện rà soát, đề xuất mua sắm bổ sung, nâng cấp các tài sản, trang thiết bị và cơ sở vật chất phục vụ cho hoạt động đào tạo và nhà nghỉ.</t>
  </si>
  <si>
    <t>Thực hiện quản lý, giám sát tài sản, trang thiết bị và cơ sở vật chất của nhà nghỉ phục vụ hoạt động đào tạo.</t>
  </si>
  <si>
    <t>Thực hiện công tác lập danh mục, giám sát, và quản lý các tài sản trang thiết bị và cơ sở vật chất như phòng học, phòng đào tạo thực hành ứng dụng.</t>
  </si>
  <si>
    <t>Liên hệ các Đơn vị Chi nhánh tại các Khu vực yêu cầu hỗ trợ công tác chuẩn bị hậu cần khi có các khóa học triển khai tại Khu vực.</t>
  </si>
  <si>
    <t>Tổ chức, sắp xếp, phân bổ và thực hiện công tác chuẩn bị lớp học.</t>
  </si>
  <si>
    <t>Thực hiện công tác chuẩn bị hậu cần trước khi khóa học triển khai như: photo tài liệu, teabreak, sắp xếp phòng học, bàn ghế, trang thiết bị (màn chiếu, máy chiếu, micro…..).</t>
  </si>
  <si>
    <t>Sắp xếp, phân bổ phòng học theo yêu cầu của Phòng Đào tạo Kinh doanh và Phòng Đào tạo Dịch vụ.</t>
  </si>
  <si>
    <t>Dự án Core</t>
  </si>
  <si>
    <t>Ngày</t>
  </si>
  <si>
    <t>Công tác hỗ trợ Ban DA Core (Test hệ thống, dữ liệu, lên bài giảng, thực hiện giảng)</t>
  </si>
  <si>
    <t>Khác_ĐTKD</t>
  </si>
  <si>
    <t>ĐTKD</t>
  </si>
  <si>
    <t>PHÒNG ĐÀO TẠO KINH DOANH</t>
  </si>
  <si>
    <t>63</t>
  </si>
  <si>
    <t>Tỷ lệ nhân sự tham gia lớp học</t>
  </si>
  <si>
    <t>ĐVKD/Phòng Hội sở</t>
  </si>
  <si>
    <t>Thực hiện công tác đào tạo (Hội nhập, Kỹ năng) vai trò Giảng viên và Trợ giảng</t>
  </si>
  <si>
    <t>Bình quân Đơn vị</t>
  </si>
  <si>
    <t>Bộ</t>
  </si>
  <si>
    <t>Cập nhật /tu chỉnh tháp đào tạo</t>
  </si>
  <si>
    <t>Đợt</t>
  </si>
  <si>
    <t>Xây dựng công cụ đo lường kết quả sau đào tạo thông qua đánh giá kết quả hoàn thành công việc</t>
  </si>
  <si>
    <t>Chương trình đào tạo Nhân sự dự trữ (Xây dựng chương trình đào tạo, tiếp nhận, triển khai, theo dõi, đánh giá, báo cáo)</t>
  </si>
  <si>
    <t>CBNV 
Mảng KD</t>
  </si>
  <si>
    <t>Toàn hàng</t>
  </si>
  <si>
    <t>c</t>
  </si>
  <si>
    <t>Trả lời điện thoại giải đáp các vấn đề liên quan</t>
  </si>
  <si>
    <t>Số CBNV TT</t>
  </si>
  <si>
    <t>CBNV</t>
  </si>
  <si>
    <t>Theo dõi Báo cáo tuần của CBNV tân tuyển</t>
  </si>
  <si>
    <t>Số CBNV xác nhận</t>
  </si>
  <si>
    <t>TCNS/ĐVKD</t>
  </si>
  <si>
    <t>Xác nhận</t>
  </si>
  <si>
    <t>Xác nhận Bồi hoàn chi phí đào tạo của Học viên</t>
  </si>
  <si>
    <t>P. PTNS</t>
  </si>
  <si>
    <t>Xác nhận Tháp đào tạo của Học viên</t>
  </si>
  <si>
    <t>Xây dựng và thực hiện các quy chế, quy định, quy trình liên quan đến hoạt động khảo thí của Phòng.</t>
  </si>
  <si>
    <t>Tổ chức triển khai, giám sát và chịu trách nhiệm về việc lập kế hoạch, tổ chức thực hiện, phát triển chương trình đào tạo và khảo thí đối với hoạt động đào tạo liên quan đến các chức danh thuộc mảng Kinh doanh và các mảng khác theo phê duyệt của TGĐ từng thời kỳ (Học viện trình TGĐ phê duyệt phân công các mảng phụ trách khác theo từng thời kỳ)</t>
  </si>
  <si>
    <t>Lần</t>
  </si>
  <si>
    <t>Chương trình Sinh viên thực tập thông thường</t>
  </si>
  <si>
    <t xml:space="preserve"> Tổ chức xây dựng và quản lý chương trình sinh viên thực tập, học việc không  hưởng lương trong toàn hàng về các nghiệp vụ liên quan.</t>
  </si>
  <si>
    <t>Quản lý hệ thống phần mềm ngân hàng đề thi đối với các chức danh liên quan mảng Kinh doanh và các mảng theo phân công.</t>
  </si>
  <si>
    <t>Đầu mối tổ chức chấm thi, tổng hợp, đánh giá kết quả, báo cáo Ban Lãnh đạo kết quả các đợt thi kiểm tra nghiệp vụ và gửi kết quả cho các Đơn vị liên quan.</t>
  </si>
  <si>
    <t>Phòng có CBNV thi</t>
  </si>
  <si>
    <t>Kỳ thi</t>
  </si>
  <si>
    <t>Lên kế hoạch tổ chức thi sát hách nghiệp vụ nội bộ của Phòng Hội sở</t>
  </si>
  <si>
    <t>Tổ chức, giám sát các kỳ thi tuyển dụng, thi kiểm tra kiến thức năng lực, thi cuối khóa theo định kỳ hoặc theo nhu cầu thực tế phát sinh về các chức danh thuộc mảng nghiệp vụ quản lý của Phòng.</t>
  </si>
  <si>
    <t>Lên kế hoạch tổ chức thi sát hách nghiệp vụ dành cho KHCN/KHDN</t>
  </si>
  <si>
    <t>P.TCNS</t>
  </si>
  <si>
    <t>Số lần</t>
  </si>
  <si>
    <t>Góp ý tờ trình thi tuyển dụng bên ngoài - Mảng Kinh doanh</t>
  </si>
  <si>
    <t>Số lần tiếp nhận</t>
  </si>
  <si>
    <t>Mảng KD</t>
  </si>
  <si>
    <t>Kỳ thi</t>
  </si>
  <si>
    <t>ĐVKD</t>
  </si>
  <si>
    <t>Tháng</t>
  </si>
  <si>
    <t>Giải đáp thắc mắc về điểm thi tuyển dụng Nội bộ/Bên ngoài/Kiểm tra kiến thức - Mảng Kinh doanh</t>
  </si>
  <si>
    <t>Số lượng ứng viên thi</t>
  </si>
  <si>
    <t>ĐVKD, P.TCNS</t>
  </si>
  <si>
    <t>Công tác coi thi (thành viên trong Hội đồng thi tuyển), Tổng hợp điểm, xuất gửi các đơn vị</t>
  </si>
  <si>
    <t>Bộ đề thi</t>
  </si>
  <si>
    <t>Cập nhật, bổ sung ngân hàng đề thi thuộc mảng Kinh doanh</t>
  </si>
  <si>
    <t>Rà soát ngân hàng đề thi cho mỗi chức danh thuộc mảng Kinh doanh</t>
  </si>
  <si>
    <t>Số lượng CBNV tham dự</t>
  </si>
  <si>
    <t>Tạo kỳ thi kiểm tra kiến thức định kỳ hàng năm cho mỗi chức danh thuộc mảng Kinh doanh</t>
  </si>
  <si>
    <t>Tạo kỳ thi kiểm tra kiến thức định kỳ hàng tháng cho mỗi chức danh thuộc mảng Kinh doanh theo chuyên đề</t>
  </si>
  <si>
    <t>Tạo kỳ thi kiểm tra kiến thức định kỳ hàng tháng cho mỗi chức danh thuộc mảng Kinh doanh theo khung</t>
  </si>
  <si>
    <t>Tạo kỳ thi tuyển dụng Nội bộ/Bên ngoài cho 01 chức danh thuộc mảng Kinh doanh</t>
  </si>
  <si>
    <t>Xây dựng, quản lý, cập nhật ngân hàng đề thi đối với các chức danh thuộc mảng nghiệp vụ của Phòng (gồm đề thi tuyển dụng, đề thi kiểm tra kiến thức năng lực, đề thi cuối khóa học).</t>
  </si>
  <si>
    <t>VBQP</t>
  </si>
  <si>
    <t>Xây dựng/Tu chỉnh VBQP</t>
  </si>
  <si>
    <t>Xây dựng các chính sách, quy chế, quy định, quy trình liên quan đến hoạt động đào tạo do Phòng quản lý.</t>
  </si>
  <si>
    <t>Tìm kiếm, đánh giá các chương trình đào tạo bên ngoài theo nhu cầu/theo chỉ đạo để đề xuất CBNV SCB tham gia đào tạo</t>
  </si>
  <si>
    <t>CBNV Mảng KD</t>
  </si>
  <si>
    <t>Lớp</t>
  </si>
  <si>
    <t>Quản lý chương trình đào tạo và nội dung chương trình, giảng viên, học viên theo kế hoạch đào tạo nội bộ, Cập nhật Tài liệu đào tạo hàng tháng</t>
  </si>
  <si>
    <t>Hệ thống</t>
  </si>
  <si>
    <t>Quản lý hệ thống E-Learning</t>
  </si>
  <si>
    <t>Quản lý và vận hành hệ thống E-learning đảm bảo hệ thống hoạt động được thông suốt trong quá trình triển khai đào tạo.</t>
  </si>
  <si>
    <t>Tổng hợp, báo cáo kết quả đánh giá hiệu quả sau đào tạo, hiệu quả đào tạo định kỳ hoặc theo yêu cầu về các hoạt động đào tạo liên quan đến Phòng.</t>
  </si>
  <si>
    <t>Quản lý quá trình tham gia đào tạo của CBNV thuộc các chức danh liên quan đến mảng nghiệp vụ do Phòng phụ trách.</t>
  </si>
  <si>
    <t>Quản lý nhân sự liên quan đến các chức danh thuộc mảng KD và mảng khác tham gia đào tạo các khóa nghiệp vụ liên quan trong và ngoài SCB.</t>
  </si>
  <si>
    <t>Thiếp lập, phát triển và mở rộng các mối quan hệ hợp tác với các tổ chức vả giảng viên trong và ngoài nước để trao đổi, tiếp nhận chuyển giao các chương trình đào tạo có liên quan.</t>
  </si>
  <si>
    <t>Phát triển và quản lý đội ngũ giảng viên nội bộ của SCB để đào tạo các chuyên đề nghiệp vụ liên quan đến các chức danh thuộc mảng hoạt động của Phòng khi SCB có yêu cầu.</t>
  </si>
  <si>
    <t>Số HV tham gia đào tạo</t>
  </si>
  <si>
    <t>Xây dựng phát triển chương trình đào tạo Ngân hàng mô phỏng dành cho KHCN</t>
  </si>
  <si>
    <t>Xây dựng kế hoạch và quản lý Khung chương trình các nội dung đào tạo liên quan đến các chức danh thuộc mảng Kinh doanh và các mảng khác theo phân công (bao gồm cả Elearning và Ngân hàng mô phỏng)</t>
  </si>
  <si>
    <t>Chuyên đề</t>
  </si>
  <si>
    <t>Nâng cấp chuyên đề E-Learning</t>
  </si>
  <si>
    <t>Xây dựng mới tài liệu E-Learning</t>
  </si>
  <si>
    <t>Xây dựng mới Tài liệu đào tạo</t>
  </si>
  <si>
    <t>Chuẩn hóa Tài liệu đào tạo</t>
  </si>
  <si>
    <t>Nâng cấp Tài liệu đào tạo</t>
  </si>
  <si>
    <t>Tổ chức xây dựng và thực hiện các quy chế, quy trình, quy định liên quan đến công tác đào tạo các chức danh thuộc mảng KD và các mảng khác theo phân công.</t>
  </si>
  <si>
    <t>Quản lý chi phí đào tạo phát sinh hàng tháng liên quan đến các chức danh thuộc mảng nghiệp vụ được phân công và phân bổ chi phí về các Đơn vị Phòng/Bộ phận Hội sở hoặc Chi nhánh có cử CBNV tham gia đào tạo.</t>
  </si>
  <si>
    <t>Tổ chức quản lý, giám sát hoạt động tổ chức đào tạo theo kế hoạch và theo nhu cầu thực tế phát sinh.</t>
  </si>
  <si>
    <t>Phối hợp với các Phòng nghiệp vụ chuyên môn, Chi nhánh và các đối tác liên kết/Công ty con để xây dựng và triển khai kế hoạch đào tạo hàng tháng về các chương trình nghiệp vụ và kỹ năng liên quan đến các chức danh thuộc mảng được phân công.</t>
  </si>
  <si>
    <t>Xây dựng và quản lý ngân sách hoạt động đào tạo toàn hàng hàng năm đối với các chức danh thuộc mảng KD và các mảng liên quan được TGĐ phê duyệt theo từng thời kỳ.</t>
  </si>
  <si>
    <t>Khảo sát nhu cầu đào tạo năm</t>
  </si>
  <si>
    <t>Xây dựng kế hoạch và tổ chức đào tạo toàn hàng đối với các chức danh thuộc mảng KD và các mảng được phân công theo từng thời kỳ.</t>
  </si>
  <si>
    <t>số đợt hội thảo</t>
  </si>
  <si>
    <t>Tổ chức hội thảo dành cho giảng viên</t>
  </si>
  <si>
    <t>Số đợt công nhận</t>
  </si>
  <si>
    <t>Quản lý đội ngũ giảng viên cơ sở (kế hoạch, đào tạo, theo dõi, đánh giá, công nhận, hỗ trợ)</t>
  </si>
  <si>
    <t>Số đợt đánh giá</t>
  </si>
  <si>
    <t>Đánh giá chất lượng Giảng viên</t>
  </si>
  <si>
    <t>Số CBNV tham dự</t>
  </si>
  <si>
    <t>Phòng Hội sở/ĐVKD</t>
  </si>
  <si>
    <t>Tổ chức đào tạo Lớp Nội bộ - lớp 3 ngày</t>
  </si>
  <si>
    <t>Tổ chức đào tạo Lớp Nội bộ - lớp 2 ngày</t>
  </si>
  <si>
    <t>Tổ chức đào tạo Lớp Nội bộ - lớp 1 ngày</t>
  </si>
  <si>
    <t>Tổ chức đào tạo Lớp Bên ngoài</t>
  </si>
  <si>
    <t>Báo cáo hàng tháng</t>
  </si>
  <si>
    <t>Xây dựng kế hoạch đào tạo năm</t>
  </si>
  <si>
    <t>Xây dựng kế hoạch đào tạo hàng tháng</t>
  </si>
  <si>
    <t>P.K toán</t>
  </si>
  <si>
    <t>Chi phí</t>
  </si>
  <si>
    <t>ĐTDV</t>
  </si>
  <si>
    <t>Thực hiện thanh toán lễ tân khánh tiết hàng tháng cho P. ĐTDV</t>
  </si>
  <si>
    <t>Khác_ĐTDV</t>
  </si>
  <si>
    <t>PHÒNG ĐÀO TẠO DỊCH VỤ</t>
  </si>
  <si>
    <t>36</t>
  </si>
  <si>
    <t>- Số lượng hồ sơ phát sinh trong kỳ</t>
  </si>
  <si>
    <t>P.TCNS, CN</t>
  </si>
  <si>
    <t>Xác nhận chi phí bồi hoàn đào tạo đối với CBNV nghỉ việc</t>
  </si>
  <si>
    <t>Thực hiện truy thu tiền bồi hoàn của các CBNV vi phạm quy định đào tạo của SCB khi tham gia các khóa đào tạo nội bộ của SCB.</t>
  </si>
  <si>
    <t>Phân bổ đều cho CN</t>
  </si>
  <si>
    <t>Dự án Trung tâm Nguồn nhân lực dự trữ</t>
  </si>
  <si>
    <t>Dự án</t>
  </si>
  <si>
    <t>Dự án Trung tâm Nguồn Nhân lực Dự trữ</t>
  </si>
  <si>
    <t>Tổ chức triển khai, giám sát và chịu trách nhiệm về việc lập kế hoạch, tổ chức thực hiện, phát triển chương trình đào tạo và khảo thí đối với hoạt động đào tạo liên quan đến các chức danh thuộc mảng Dịch vụ Khách hàng và các mảng khác theo phê duyệt của TGĐ từng thời kỳ (Học viện trình TGĐ phê duyệt phân công các mảng phụ trách khác theo từng thời kỳ)</t>
  </si>
  <si>
    <t>Báo cáo về Đội ngũ Sinh viên thực tập (SVTT) chức danh mãng Dịch vụ năm 2018</t>
  </si>
  <si>
    <t>Tổ chức xây dựng và quản lý chương trình sinh viên thực tập, học việc không   hưởng lương trong toàn hàng về các nghiệp vụ liên quan.</t>
  </si>
  <si>
    <t>SVTT</t>
  </si>
  <si>
    <t>Tiếp nhận, quản lý về Đội ngũ Sinh viên thực tập (SVTT) chức danh mãng Dịch vụ</t>
  </si>
  <si>
    <t>Quản lý hệ thống phần mềm ngân hàng đề thi đối với các chức danh liên quan mảng Dịch vụ khách hàng và các mảng theo phân công.</t>
  </si>
  <si>
    <t>Quy định</t>
  </si>
  <si>
    <t>Xây dựng Quy định quản lý ngân hàng đề thi</t>
  </si>
  <si>
    <t>Phòng Ngân quỹ</t>
  </si>
  <si>
    <t>Phối hợp với Phòng ngân quỹ tổ chức kỳ thi Chung sức dành cho Đội ngũ Ngân quỹ tại Đơn vị kinh doanh</t>
  </si>
  <si>
    <t>Tổng hợp, chấm điểm và báo cáo kết quả các kỳ thi khảo thí kiểm tra đánh giá năng lực CBNV định kỳ (Kế hoạch và phát sinh)</t>
  </si>
  <si>
    <t>Tổ chức khảo thí kiểm tra đánh giá năng lực CBNV định kỳ (Kế hoạch và phát sinh)</t>
  </si>
  <si>
    <t>Xây dựng và cập nhật Ngân hàng đề thi khảo thí kiểm tra đánh giá năng lực CBNV định kỳ (Kế hoạch và phát sinh)</t>
  </si>
  <si>
    <t>Tổ chức thi và báo cáo kết quả các kỳ thi kiểm tra cuối khóa đào tạo</t>
  </si>
  <si>
    <t>Tương tự như tiêu thức áp dụng cho Elearning</t>
  </si>
  <si>
    <t>môn học</t>
  </si>
  <si>
    <t>Xây dựng và cập nhật Ngân hàng đề thi kiểm tra cuối khóa dành cho từng môn học (Khóa học E-Learning)</t>
  </si>
  <si>
    <t>Xây dựng và cập nhật Ngân hàng đề thi kiểm tra cuối khóa dành cho từng môn học (Khóa học tập trung)</t>
  </si>
  <si>
    <t>TCNS</t>
  </si>
  <si>
    <t>Tổng hợp, chấm điểm và báo cáo kết quả các kỳ thi tuyển dụng chức danh mãng Dịch vụ năm 2018</t>
  </si>
  <si>
    <t>Xây dựng, tổ chức và giám sát các kỳ thi tuyển dụng chức danh mãng Dịch vụ năm 2018</t>
  </si>
  <si>
    <t>chức danh</t>
  </si>
  <si>
    <t>Rà soát và cập nhật Ngân hàng đề thi tuyển dụng theo chức danh mãng Dịch vụ năm 2018 (theo kế hoạch và phát sinh)</t>
  </si>
  <si>
    <t>Dự án nâng cấp E-learning</t>
  </si>
  <si>
    <t>Quản lý nhân sự liên quan đến các chức danh thuộc mảng DVKH và mảng khác  tham gia đào tạo các khóa nghiệp vụ liên quan trong và ngoài SCB.</t>
  </si>
  <si>
    <t>Thiếp lập, phát triển và mở rộng các mối quan hệ hợp tác với các tổ chức và giảng viên trong và ngoài nước để trao đổi, tiếp nhận chuyển giao các chương trình đào tạo có liên quan.</t>
  </si>
  <si>
    <t>SL tài liệu</t>
  </si>
  <si>
    <t>Thiết kế bìa sách-Tài liệu cho TTĐT</t>
  </si>
  <si>
    <t>Xây dựng kế hoạch và quản lý Khung chương trình các nội dung đào tạo liên quan đến các chức danh thuộc mảng Dịch vụ Khách hàng và các mảng khác theo phân công (bao gồm cả Elearning và Ngân hàng mô phỏng).</t>
  </si>
  <si>
    <t>SL CTV</t>
  </si>
  <si>
    <t>Quản lý và làm việc với đội ngũ Cộng tác viên tham gia thiết kế đồ hoạ cho các bài giảng E-learning</t>
  </si>
  <si>
    <t>Từng tháng</t>
  </si>
  <si>
    <t>Mở các khóa học trên hệ thống E-Learning theo từng tháng</t>
  </si>
  <si>
    <t>Chuyên đê</t>
  </si>
  <si>
    <t>Thu âm chỉnh sửa hoàn thiện, trình duyệt ban hành (Kế hoạch và Phát sinh)</t>
  </si>
  <si>
    <t>Thiết kế bài giảng theo kịch bản (Kế hoạch và phát sinh)</t>
  </si>
  <si>
    <t>Chuẩn bị slide bài giảng (Kế hoạch và phát sinh)</t>
  </si>
  <si>
    <t>Tổ chức xây dựng và thực hiện các quy chế, quy trình, quy định liên quan đến công tác đào tạo các chức danh thuộc mảng DVKH và các mảng khác theo phân công.</t>
  </si>
  <si>
    <t>Xây dựng và quản lý ngân sách hoạt động đào tạo toàn hàng hàng năm đối với các  chức danh thuộc mảng DVKH và các mảng liên quan được TGĐ phê duyệt theo từng thời kỳ.</t>
  </si>
  <si>
    <t>Phân bổ theo tỷ lệ số lượng học viên tham gia</t>
  </si>
  <si>
    <t>Phòng/ĐVKD</t>
  </si>
  <si>
    <t xml:space="preserve">Đào tạo E-learning (Kế hoạch và phát 
sinh) </t>
  </si>
  <si>
    <t>Xây dựng kế hoạch và tổ chức đào tạo toàn hàng đối với các chức danh thuộc mảng DVKH và các mảng được phân công theo từng thời kỳ.</t>
  </si>
  <si>
    <t>Đào tạo thuê ngoài (sản phẩm, nghiệp 
vụ, kỹ năng mềm)</t>
  </si>
  <si>
    <t>Đào tạo nội bộ sản phẩm, nghiệp vụ, 
kỹ năng mềm (Kế hoạch và phát sinh)</t>
  </si>
  <si>
    <t>Số lần thực hiện</t>
  </si>
  <si>
    <t>Quản lý chương trình đào tạo trên thống E-learning hàng tháng</t>
  </si>
  <si>
    <t>Xây dựng, quản lý chương trình đào tạo dành cho các chức danh thuộc mảng dịch vụ hàng tháng</t>
  </si>
  <si>
    <t>Xây dựng, quản lý Tháp đào tạo của CBNV SCB thuôc mảng dịch vụ hàng tháng</t>
  </si>
  <si>
    <t>Khảo sát, đánh giá nhu cầu đào tạo và xây dựng kế hoạch hoạt động đào tạo tổng thể năm 2019</t>
  </si>
  <si>
    <t>Tuyển chọn bổ sung đội ngũ giảng viên cơ sở tại từng đơn vị liên quan đến dịch vụ khách hàng nhằm đảm bảo mỗi Chi nhánh có tối thiểu 3 người</t>
  </si>
  <si>
    <t>Theo dõi, đôn đốc CBNV tham gia các khóa học trên E-Learning</t>
  </si>
  <si>
    <t>Báo cáo số liệu E-learning mỗi 6 tháng</t>
  </si>
  <si>
    <t>SL Công cụ</t>
  </si>
  <si>
    <t>Trình mua sắm và Quản lý công cụ đào tạo liên quan đến E-Learning</t>
  </si>
  <si>
    <t>Văn bản</t>
  </si>
  <si>
    <t>Xây mới và tu chỉnh tài liệu chất lượng (theo danh sách đính kèm)</t>
  </si>
  <si>
    <t>Khác_PTNS</t>
  </si>
  <si>
    <t>PTNS</t>
  </si>
  <si>
    <t>PHÒNG PHÁT TRIỂN NHÂN SỰ</t>
  </si>
  <si>
    <t>35</t>
  </si>
  <si>
    <t>Cập nhật/điều chỉnh Quy chế tiền lương</t>
  </si>
  <si>
    <t>Phòng Hội sở</t>
  </si>
  <si>
    <t>Đóng góp ý kiến các VBQP</t>
  </si>
  <si>
    <t>Cơ chế lương theo KPIs mới năm 2018</t>
  </si>
  <si>
    <t>Quy chế</t>
  </si>
  <si>
    <t>Điều chỉnh Quy chế lương SCB theo cơ cấu và cơ chế mới</t>
  </si>
  <si>
    <t>Chương trình</t>
  </si>
  <si>
    <t>Xây dựng và triển khai chương trình thay đổi để dẫn đầu</t>
  </si>
  <si>
    <t>Báo cáo Quản trị Nguồn Nhân lực</t>
  </si>
  <si>
    <t>Thực hiện xét khen thưởng Đơn vị/cá nhân xuất sắc (năm 2017 và H12018)</t>
  </si>
  <si>
    <t>Triển khai thực hiện xét ghi nhận thâm niên 2018</t>
  </si>
  <si>
    <t>Triển khai thực hiện công tác nâng ngạch/nâng bậc 2018</t>
  </si>
  <si>
    <t>Tính lương hiệu suất hàng tháng</t>
  </si>
  <si>
    <t>Thông báo</t>
  </si>
  <si>
    <t>Phân nhóm lương Lãnh đạo ĐVKD định kỳ</t>
  </si>
  <si>
    <t>Tu chỉnh và truyền thông Quy định phân phối lương hiệu suất</t>
  </si>
  <si>
    <t>Hỗ trợ các Đơn vị trong việc xử lý các yêu cầu liên quan đến các hệ thống ứng dụng do Phòng xây dựng và quản lý.</t>
  </si>
  <si>
    <t>Đầu mối nghiên cứu xây dựng, triển khai các giải pháp/dự án công nghệ liên quan đến vấn đề nhân sự tại Khối QTNNL.</t>
  </si>
  <si>
    <t>Soạn thảo và ban hành các văn bản/hướng dẫn sử dụng các chương trình công nghệ đã xây dựng.</t>
  </si>
  <si>
    <t>Tiếp nhận chuyển giao và quản lý, hỗ trợ các chương trình, dự án công nghệ mua từ bên ngoài.</t>
  </si>
  <si>
    <t>Hỗ trợ vận hành hệ thống Histaff</t>
  </si>
  <si>
    <t>Quản lý và vận hành hệ thống thông tin dữ liệu liên quan đến nhân sự.</t>
  </si>
  <si>
    <t>Tiến độ</t>
  </si>
  <si>
    <t xml:space="preserve">Triển khai HR ratios trên Power BI </t>
  </si>
  <si>
    <t>Đầu mối phối hợp xây dựng và triển khai Dự án với các bên liên quan.</t>
  </si>
  <si>
    <t>Xây dựng HR ratio</t>
  </si>
  <si>
    <t>Phân bổ theo tiêu thức tương tự như của ứng dụng HiStaff</t>
  </si>
  <si>
    <t>Phòng Ban/ĐVKD</t>
  </si>
  <si>
    <t>Nâng cấp hệ thống HiStaff – Module tuyển dụng;  Module Quản lý cộng tác viên, học việc</t>
  </si>
  <si>
    <t>Phân bổ theo tiêu thức tương tự như của ứng dụng Helpdesk</t>
  </si>
  <si>
    <t>Nâng cấp hệ thống HR Helpdesk</t>
  </si>
  <si>
    <t>Phân bổ theo tiêu thức tương tự như của ứng dụng KPIs</t>
  </si>
  <si>
    <t>Nâng cấp hệ thống quản lý KPIs</t>
  </si>
  <si>
    <t>Nâng cấp hệ thống đánh giá thành tích CBNV</t>
  </si>
  <si>
    <t>Đầu mối liên hệ và làm việc với các đối tác công nghệ liên quan đến Dự án (nội bộ và bên ngoài).</t>
  </si>
  <si>
    <t>Xây dựng kế hoạch về phương án, lộ trình, ngân sách triển khai các giải pháp/dự án công nghệ về nhân sự.</t>
  </si>
  <si>
    <t>Nghiên cứu và phân tích tính khả thi về mức độ phù hợp của các giải pháp, ứng dụng công nghệ về nhân sự vào hệ thống SCB.</t>
  </si>
  <si>
    <t>Nghiên cứu và tìm kiếm các giải pháp/dự án liên quan đến công nghệ nhân sự để hỗ trợ các hoạt động nhân sự tại Khối QTNNL.</t>
  </si>
  <si>
    <t>Phối hợp với các Đơn vị phát triển các công cụ hỗ trợ triển khai quản lý năng suất lao động.</t>
  </si>
  <si>
    <t>Xây dựng và tổ chức thực hiện hệ thống quản lý, đánh giá thành tích cán bộ nhân viên trên toàn hàng.</t>
  </si>
  <si>
    <t>Triển khai đánh giá thành tích CBNV định kỳ</t>
  </si>
  <si>
    <t>Tổ chức vận hành và quản lý hệ thống đánh giá thành tích, năng lực của CBNV.</t>
  </si>
  <si>
    <t>Bộ chỉ tiêu</t>
  </si>
  <si>
    <t>Xây dựng và triển khai bộ chỉ tiêu KPIs các chức danh thuộc ĐVKD/HO (P.HCTC, P.KT-NQ, Lãnh đạo ĐVKD, TT DVKH CC, TT Định giá, TT Đào tạo, HRBP)</t>
  </si>
  <si>
    <t>Đầu mối xây dựng và quản trị hệ thống chỉ tiêu hiệu suất cốt lõi (KPIs).</t>
  </si>
  <si>
    <t>Quản lý vận hành công tác đánh giá KPIs hàng tháng (Front &amp; Middle)</t>
  </si>
  <si>
    <t>Quản lý, phối hợp xây dựng và triển khai KPIs các chức danh thuộc P.KD/DVKH, các chức danh thuộc P.HTKD</t>
  </si>
  <si>
    <t>Thực hiện điều tra khảo sát nguồn nhân lực bên trong và bên ngoài.</t>
  </si>
  <si>
    <t>Xây dựng và triển khai các chính sách thu hút, quản lý và phát triển nguồn nhân lực.</t>
  </si>
  <si>
    <t>Xây dựng định hướng mục tiêu đào tạo phát triển nguồn nhân lực.</t>
  </si>
  <si>
    <t>Xây dựng chính sách và triển khai các chương trình thu hút phát triển nhân tài.</t>
  </si>
  <si>
    <t>Bản</t>
  </si>
  <si>
    <t>Rà soát, cập nhật quy định lộ trình nghề nghiệp và tháp đào tạo</t>
  </si>
  <si>
    <t>Xây dựng và quản lý lộ trình (bản đồ) nghề nghiệp cho từng chức danh.</t>
  </si>
  <si>
    <t>Chuyển đổi mô hình Quản trị đối tác chiến lược nhân sự</t>
  </si>
  <si>
    <t>Xây dựng các chính sách và triển khai thực hiện quy hoạch, quản lý nhân sự kế thừa, quản lý nhân tài.</t>
  </si>
  <si>
    <t>Triển khai chế độ dành cho Nhân sự chủ chốt</t>
  </si>
  <si>
    <t>Danh sách</t>
  </si>
  <si>
    <t>Trình phê duyệt Danh sách nhân sự chủ chốt</t>
  </si>
  <si>
    <t>Triển khai Hệ thống đãi ngộ phi tài chính</t>
  </si>
  <si>
    <t>Triển khai và quản lý Chương trình quy hoạch nhân sự tiềm năng (NextGen Leaders)</t>
  </si>
  <si>
    <t xml:space="preserve">Chương trình quy hoạch GĐ/PGĐ CN theo chương trình GĐLĐ </t>
  </si>
  <si>
    <t>Xây dựng lực lượng GĐLĐ bổ sung năm 2018</t>
  </si>
  <si>
    <t>Triển khai lực lượng GĐLĐ đối với nhân sự đã bổ nhiệm 2017</t>
  </si>
  <si>
    <t>Xây dựng và quản lý định biên nhân sự toàn hàng.</t>
  </si>
  <si>
    <t>Đầu mối nghiên cứu và xây dựng, điều chỉnh kết cấu tổ chức của SCB.</t>
  </si>
  <si>
    <t>Cập nhật, điều chỉnh, bổ sung Từ điển năng lực và khung năng lực áp dụng cho từng chức danh</t>
  </si>
  <si>
    <t>Đầu mối xây dựng và quản lý hệ thống Bản mô tả công việc và tiêu chuẩn chức danh trong toàn hàng.</t>
  </si>
  <si>
    <t>Rà soát, điều chỉnh và ban hành Mô tả công việc các chức danh thuộc Hội sở và ĐVKD</t>
  </si>
  <si>
    <t>Trình, quản lý/điều chỉnh/bổ sung/cập nhật hệ thống chức danh, mô tả công việc, phân công công việc, tiêu chuẩn hóa chức danh cho các đơn vị liên quan có phát sinh thay đổi (bao gồm cả thành lập mới/chia tách/sáp nhập/giải thể).</t>
  </si>
  <si>
    <t>Trình thành lậpTrung tâm Dịch vụ khách hàng cao cấp thuộc Khối NHBL, Trung tâm Định giá, Trung tâm HTKD thuộc K.HTKD&amp;KTTS, điều chỉnh mô hình tổ chức các Phòng thuộc TTĐT - K.VH</t>
  </si>
  <si>
    <t>Nghiên cứu phát triển kết cấu tổ chức (cơ cấu, mô hình,…) nhằm đáp ứng yêu cầu phát triển của SCB trong từng thời kỳ.</t>
  </si>
  <si>
    <t>Trình định biên đơn vị mới, ban hành văn bản biên chế nhân sự theo định biên/chức danh.</t>
  </si>
  <si>
    <t>Thực hiện thủ tục thành lập/sáp nhập/chia tách/giải thể theo đề xuất của các đơn vị. Chỉnh sửa/chuẩn hóa và trình các Văn bản/Quy chế/Quy định liên quan</t>
  </si>
  <si>
    <t>Đầu mối xây dựng đề án, hoạch định chiến lược phát triển nguồn nhân lực.</t>
  </si>
  <si>
    <t>Theo số lượng nhân viên tại đơn vị phát sinh</t>
  </si>
  <si>
    <t>Đơn vị phát sinh trực tiếp</t>
  </si>
  <si>
    <t>Tổ chức đào tạo cho các Đơn vị về công tác nhân sự, tiền lương liên quan</t>
  </si>
  <si>
    <t>PHÒNG TỔ CHỨC NHÂN SỰ</t>
  </si>
  <si>
    <t>34</t>
  </si>
  <si>
    <t>Tỷ lệ tiến độ hoàn thành</t>
  </si>
  <si>
    <t>Hướng dẫn tư vấn cho đơn vị và cá nhân trong việc giải đáp thắc mắc của người lao động</t>
  </si>
  <si>
    <t>Hướng dẫn thực hiện báo cáo năng suất lao động bình quân tại ĐVKD</t>
  </si>
  <si>
    <t>Báo cáo tình hình sử dụng quỹ lương theo định kỳ.</t>
  </si>
  <si>
    <t>Xây dựng hệ thống chính sách đãi ngộ, thi đua khen thưởng và triển khai thực hiện toàn hàng.</t>
  </si>
  <si>
    <t xml:space="preserve">Khảo sát tiền lương trên thị trường lao động và ngành nghề tương đương nhằm cân đối ngân sách và đề xuất cải tiến chính sách lương và khung lương. </t>
  </si>
  <si>
    <t>Thực hiện các thủ tục thi đua khen thưởng.</t>
  </si>
  <si>
    <t>Phân bổ theo số lượng nhân viên các đơn vị toàn hàng</t>
  </si>
  <si>
    <t>All Phòng HO, ALL ĐVKD</t>
  </si>
  <si>
    <t>Thực hiện chế độ thi đua, khen thưởng cho đơn vị và CBNV theo quy định</t>
  </si>
  <si>
    <t>Giải quyết các chế độ bảo hiểm, thôi việc, hưu trí và các chế độ khác theo quy định.</t>
  </si>
  <si>
    <t>Thực hiện chế độ BH bắt buộc cho người lao động, báo cáo biến động BH theo quy định</t>
  </si>
  <si>
    <t>Trình phương án thay đổi mức lương đóng BHXH, mức lương cơ sở mới theo quy định của nhà nước</t>
  </si>
  <si>
    <t>Thực hiện các thủ tục về thuế thu nhập cá nhân, bảo hiểm xã hội, bảo hiểm y tế, bảo hiểm thất nghiệp và các loại hình bảo hiểm khác.</t>
  </si>
  <si>
    <t>Phối hợp triển khai mua Bảo hiểm nhà ở cho CBNV (nếu có)</t>
  </si>
  <si>
    <t>Phối hợp P.HCQT triển khai gói Bảo hiểm trách nhiệm dân sự xe máy cho CBNV</t>
  </si>
  <si>
    <t>All Phòng HO</t>
  </si>
  <si>
    <t>Thực hiện claim Bảo hiểm sức khỏe, Bảo hiểm tai nạn cho CBNV, Bảo hiểm sức khỏe cao cấp cho Quản lý cấp cao theo gói Bảo hiểm được triển khai trong năm</t>
  </si>
  <si>
    <t>Chương trình bảo hiểm</t>
  </si>
  <si>
    <t>Triển khai gói Bảo hiểm sức khỏe, Bảo hiểm tai nạn cho CBNV, Bảo hiểm sức khỏe cao cấp cho Quản lý cấp cao</t>
  </si>
  <si>
    <t>All Phòng HO, ALL ĐVKD thuộc khu vực HCM</t>
  </si>
  <si>
    <t>Thực hiện thủ tục đăng ký mã số thuế cá nhân, người phụ thuộc cho CBNV</t>
  </si>
  <si>
    <t>Quyết toán thuế thu nhập cá nhân năm 2017</t>
  </si>
  <si>
    <t>Thực hiện chi trả trợ cấp thôi việc, phép năm còn lại cho các trường hợp chấm dứt HĐLĐ tại SCB</t>
  </si>
  <si>
    <t>Thực hiện việc tính toán chi trả lương, thưởng và các chế độ phúc lợi theo đúng quy định.</t>
  </si>
  <si>
    <t>Hướng dẫn các Đơn vị thực hiện chấm công tháng, chấm công làm thêm giờ</t>
  </si>
  <si>
    <t>Khối HO phát động chương trình</t>
  </si>
  <si>
    <t>Số lượng thực hiện chi trong kỳ</t>
  </si>
  <si>
    <t>Thực hiện chi phụ cấp cho CBNV theo các chương trình thi đua kinh doanh của các khối</t>
  </si>
  <si>
    <t>Thực hiện chế độ phúc lợi của Ngân hàng như hiếu hỷ, ma chay, ốm đau,…</t>
  </si>
  <si>
    <t>Phối hợp phòng PTNS triển khai phương án nâng bậc lương định kỳ trong toàn hàng</t>
  </si>
  <si>
    <t>Triển khai chi trả lương trong toàn hàng, thực hiện các chế độ, chính sách đối với người lao động</t>
  </si>
  <si>
    <t>Phối hợp với các Phòng nghiệp vụ liên quan tại HO lập kế hoạch ngân sách chi phí lương toàn hệ thống theo định hướng kinh doanh hàng năm của TGĐ</t>
  </si>
  <si>
    <t>Hoạch định ngân sách lương, thưởng của toàn hàng trên cơ sở kế hoạch nhân sự hàng năm.</t>
  </si>
  <si>
    <t>Đơn vị thụ hưởng và tiêu thức phân bộ như chương trình Histaff</t>
  </si>
  <si>
    <t>Quản trị, phát triển module tiền lương theo nhu cầu hoạt động</t>
  </si>
  <si>
    <t>Xây dựng, cải tiến, triển khai và kiểm soát việc thực hiện các VBQP liên quan đến tiền lương, thi đua khen thưởng và các chế độ phúc lợi khác.</t>
  </si>
  <si>
    <t xml:space="preserve">Số lượng văn bản được ban hành </t>
  </si>
  <si>
    <t>Tu chỉnh Quy định các loại phụ cấp</t>
  </si>
  <si>
    <t>Hoàn thiện quy trình kiểm soát tiền lương</t>
  </si>
  <si>
    <t>Đầu mối xử lý giải quyết các tranh chấp, khiếu nại, tố cáo trên toàn hệ thống; hướng dẫn tư vấn cho Đơn vị và cá nhân trong việc giải đáp thắc mắc của người lao động.</t>
  </si>
  <si>
    <t>Thực hiện, quản lý, giám sát các nghiệp vụ HĐLĐ, thôi việc, hưu trí và các nghiệp vụ liên quan khác đến người lao động.</t>
  </si>
  <si>
    <t>Quản lý việc ký, tái ký, đánh giá thay đổi HĐLĐ trên toàn hệ thống.</t>
  </si>
  <si>
    <t>Thực hiện các thủ tục liên quan công tác khiếu nại/ khiếu kiện/tố cáo, xử lý kỷ luật lao động</t>
  </si>
  <si>
    <t>Thực hiện và giám sát các thủ tục về kỷ luật lao động, thôi việc, hưu trí, …</t>
  </si>
  <si>
    <t>Đầu mối xây dựng Nội quy lao động, Thỏa ước lao động tập thể, …</t>
  </si>
  <si>
    <t>Khảo sát đo lường đánh giá sự hài lòng của CBNV.</t>
  </si>
  <si>
    <t>Xây dựng hệ thống quản lý nhân sự và triển khai thực hiện toàn hàng.</t>
  </si>
  <si>
    <t>Thực hiện lưu trữ hồ sơ CBNV toàn hàng</t>
  </si>
  <si>
    <t>Quản lý thông tin và hồ sơ nhân sự. Đầu mối báo cáo thông tin về nguồn nhân lực trên toàn hàng.</t>
  </si>
  <si>
    <t>Thực hiện các báo cáo nội bộ, bên ngoài liên quan đến thông tin nhân sự</t>
  </si>
  <si>
    <t xml:space="preserve">Số lượng chương trình thực hiện </t>
  </si>
  <si>
    <t>Tổ chức Hội nghị người lao động</t>
  </si>
  <si>
    <t>Thực hiện việc truyền thông quan hệ lao động, các chủ trương, chính sách của SCB tới người lao động.</t>
  </si>
  <si>
    <t>Số lượng chuyên đề truyền thông</t>
  </si>
  <si>
    <t>Thực hiện truyền thông: 
- Văn hóa Doanh nghiệp nhằm nâng cao mức độ gắn kết của CBNV, kiểm soát tỷ lệ nghỉ việc;
- Đạo đức nghề nghiệp nhằm giảm thiểu vi phạm kỷ luật lao động của CBNV</t>
  </si>
  <si>
    <t xml:space="preserve">Tham mưu và thực hiện các thủ tục trong công tác bổ nhiệm, miễn nhiệm trong phạm vi thẩm quyền. </t>
  </si>
  <si>
    <t>Triển khai thực hiện công tác quản lý nhân sự, quan hệ lao động: bổ nhiệm/miễn nhiệm nhân sự, điều động/điều chuyển, nâng ngạch/chuyển ngạch nhân sự, đánh giá ký/tái ký/gia hạn HĐLĐ, giải quyết chấm dứt/tạm hoãn HĐLĐ,…</t>
  </si>
  <si>
    <t>Thực hiện công tác quản lý nhân sự: sắp xếp, bố trí, điều động, luân chuyển, nâng ngạch, chuyển ngạch nhân sự đáp ứng các nhu cầu của các Đơn vị.</t>
  </si>
  <si>
    <t>Số kênh tương tác</t>
  </si>
  <si>
    <t>Xây dựng/triển khai hệ thống kênh tương tác QHLĐ nhằm kiểm soát xung đột tại các đơn vị</t>
  </si>
  <si>
    <t>Xây dựng, cải tiến, triển khai và kiểm soát việc thực hiện các VBQP liên quan đến quản lý nhân sự toàn hàng.</t>
  </si>
  <si>
    <t>ALL ĐVKD</t>
  </si>
  <si>
    <t>Tiến độ hoàn thành</t>
  </si>
  <si>
    <t>Phối hợp với các Đơn vị giao chỉ tiêu chất lượng nhân sự đồng hành cho các Chi nhánh</t>
  </si>
  <si>
    <t>Xây dựng tiêu chí đánh giá nhân sự đồng hành</t>
  </si>
  <si>
    <t>Số lượng văn bản ban hành</t>
  </si>
  <si>
    <t xml:space="preserve">Tu chỉnh văn bản quy phạm liên quan nghiệp vụ quan hệ lao động </t>
  </si>
  <si>
    <t>Theo dõi và cập nhật danh bạ điện thoại nếu có phát sinh về nhân sự tuyển dụng và bổ nhiệm mới, và cung cấp cho Văn phòng Ban Điều hành.</t>
  </si>
  <si>
    <t>Xây dựng hệ thống chính sách tuyển dụng và triển khai thực hiện toàn hàng.</t>
  </si>
  <si>
    <t>Định kỳ báo cáo đánh giá tình hình tuyển dụng, hiệu quả công tác tuyển dụng.</t>
  </si>
  <si>
    <t>Số lượng Chương trình, truyền thông khảo sát</t>
  </si>
  <si>
    <t>Chương trình Khảo sát NLV tốt nhất VN</t>
  </si>
  <si>
    <t>Thực hiện các khảo sát về nhu cầu nguồn nhân lực trên thị trường, phân tích đánh giá hình ảnh thương hiệu của SCB đối với thị trường.</t>
  </si>
  <si>
    <t>Phối hợp với TTĐT nghiên cứu triển khai phương thức thi tuyển dụng NS online</t>
  </si>
  <si>
    <t>Đầu mối xây dựng các chương trình và các kênh phát triển thương hiệu nguồn nhân lực SCB.</t>
  </si>
  <si>
    <t>Số lượng đối tác tư vấn</t>
  </si>
  <si>
    <t>Tìm kiếm đối tác tư vấn dịch vụ phát triển THNTD SCB (jobtest, Linkedin,…)</t>
  </si>
  <si>
    <t>Quan hệ với các tổ chức, cơ quan dịch vụ tuyển dụng, Đơn vị truyền thông để xây dựng thương hiệu tuyển dụng.</t>
  </si>
  <si>
    <t>Đối tượng thụ hưởng và tiêu thức phân bổ tương tự như của ứng dụng Histaff</t>
  </si>
  <si>
    <t>SCB
Phòng/ĐVKD</t>
  </si>
  <si>
    <t>Nâng cấp module tuyển dụng (Phân hệ quản trị Tập sự viên/Cộng tác viên; Phân hệ Talent Pool và Hệ thống báo cáo quản trị về Tuyển dụng - nghỉ việc)</t>
  </si>
  <si>
    <t>Tổ chức thực hiện hoạt động tuyển dụng trên toàn hàng.</t>
  </si>
  <si>
    <t>Nâng cấp website tuyển dụng</t>
  </si>
  <si>
    <t>Số lượng chương trình tổ chức</t>
  </si>
  <si>
    <t>Liên kết với các Trường/Trung tâm đào tạo về hợp tác tuyển dụng nhân sự</t>
  </si>
  <si>
    <t>Chiến dịch</t>
  </si>
  <si>
    <t>Sử dụng các kênh TD – thương hiệu TD SCB để sử dụng cho các chiến dịch tuyển dụng</t>
  </si>
  <si>
    <t>Số lượng NS được tuyển mới</t>
  </si>
  <si>
    <t>Tuyển dụng các chức danh cấp CV/NV</t>
  </si>
  <si>
    <t>Tuyển dụng các chức danh từ cấp CVC đến CVCC thuộc Phòng HO; cấp Lãnh đạo PGD, Phòng nghiệp vụ tại CN</t>
  </si>
  <si>
    <t>Tuyển dụng các chức danh từ Phó Giám đốc CN/Phòng thuộc Hội sở trở lên</t>
  </si>
  <si>
    <t>Tuyển dụng các chức danh từ Phó Giám đốc/Giám đốc Trung tâm HO trở lên</t>
  </si>
  <si>
    <t>Quản lý và giám sát công tác tuyển dụng theo định biên và những phát sinh so với định biên.</t>
  </si>
  <si>
    <t>Quy trình</t>
  </si>
  <si>
    <t>Triển khai Quy trình Tập sự viên</t>
  </si>
  <si>
    <t>Xây dựng các chương trình tạo nguồn và quản lý thực tập viên tiềm năng.</t>
  </si>
  <si>
    <t>Lập kế hoạch tuyển dụng, ngân sách tuyển dụng định kỳ (dựa trên định biên nhân sự năm tài chính được TGĐ phê duyệt)</t>
  </si>
  <si>
    <t>Xây dựng kế hoạch tuyển dụng và các chương trình thu hút nhân sự hàng năm.</t>
  </si>
  <si>
    <t>Tu chỉnh Quy trình tuyển dụng và Quy định bảo lãnh cho Nhân viên kho quỹ</t>
  </si>
  <si>
    <t>Xây dựng, cải tiến, triển khai và kiểm soát việc thực hiện các VBQP liên quan đến công tác tuyển dụng.</t>
  </si>
  <si>
    <t>Tham gia các buổi họp, thực hiện chức năng là thành viên các Ban/Hội đồng theo yêu cầu/chức năng nhiệm vụ.</t>
  </si>
  <si>
    <t>Khác_VHGDQT</t>
  </si>
  <si>
    <t>VHGDQT</t>
  </si>
  <si>
    <t>PHÒNG VẬN HÀNH GIAO DỊCH QUỐC TẾ</t>
  </si>
  <si>
    <t>51</t>
  </si>
  <si>
    <t>KHỐI NGÂN HÀNG GIAO DỊCH QUỐC TẾ</t>
  </si>
  <si>
    <t>N</t>
  </si>
  <si>
    <t>Thực hiện công tác lưu trữ chứng từ nghiệp vụ.</t>
  </si>
  <si>
    <t>Phối hợp với các Phòng liên quan để rút vốn, triển khai sản phẩm Trade Loan, Relending, Refinancing, UPAS L/C.</t>
  </si>
  <si>
    <t>Thực hiện công tác quyết toán hàng tháng, quý, năm.</t>
  </si>
  <si>
    <t>Thực hiện báo cáo quản trị nội bộ, báo cáo Ngân hàng Nhà Nước và các báo cáo đột xuất theo quy định.</t>
  </si>
  <si>
    <t>Hàng tuần/hàng tháng kiểm tra hóa đơn dịch vụ chuyển phát nhanh TNT, DHL và chuyển phòng Kế toán ghi nhận chi phí.</t>
  </si>
  <si>
    <t>Hàng tháng kiểm tra hóa đơn và hạch toán phí dịch vụ của các NH Đại lý thu/chia phí cho SCB.</t>
  </si>
  <si>
    <t>Thanh toán các chi phí liên quan đến việc duy trì, bảo trì và nâng cấp hệ thống SWIFT theo phê duyệt của Ban Điều hành.</t>
  </si>
  <si>
    <t>Quản lý hệ thống SWIFT</t>
  </si>
  <si>
    <t>Xác thực chữ ký hữu quyền của các tổ chức là định chế tài chính có quan hệ SWIFT Key với SCB đối với các giao dịch TTTM và TTQT.</t>
  </si>
  <si>
    <t xml:space="preserve">Phối hợp với Công ty BLITZ cài đặt các phiên bản cập nhật mới của SWIFT (Web Platform Server-Embedded, Alliance Gateway/SWIFTNet Link, các gói GUI Package …) </t>
  </si>
  <si>
    <t>Đầu mối trong việc cập nhật những thông tin mới nhất từ SWIFT và các chương trình đào tạo của tổ chức này; .</t>
  </si>
  <si>
    <t>Phối hợp với Công ty BLITZ thực hiện việc cài đặt bản mã điện chuẩn định kỳ hàng năm – phiên bản năm 2017 là “Standards MT Maintenance Release 2017).</t>
  </si>
  <si>
    <t>Hàng tháng phối hợp với Công ty Blitz cập nhật bản SWIFTCODE quốc tế vào hệ thống SWIFT.</t>
  </si>
  <si>
    <t>Hàng tháng tiếp nhận, kiểm tra Hóa đơn chi phí từ SWIFT gửi đến, gửi đi dịch thuật, hạch toán, duyệt, lưu hồ sơ.</t>
  </si>
  <si>
    <t>Thống kê lưu lượng điện đi và đến qua hệ thống SWIFT, kiểm tra và hạch toán các Hóa đơn SWIFT hàng tháng.</t>
  </si>
  <si>
    <t xml:space="preserve">Phối hợp với Phòng Hạ tầng Kỹ thuật và Công ty BLITZ trong việc chuyển đổi chính thức Alliance Workstation sang ứng dụng Alliance Web Platform.  </t>
  </si>
  <si>
    <t>Đại diện Ngân hàng làm việc với tổ chức SWIFT.</t>
  </si>
  <si>
    <t xml:space="preserve">Phối hợp với Công ty Blitz gia hạn các thẻ hệ thống theo định kỳ. </t>
  </si>
  <si>
    <t>Đầu mối làm việc với Blitz để cập nhật các thông tin về SWIFT (khi có sự thay đổi) và kịp thời thông báo đến các phòng nghiệp vụ liên quan.</t>
  </si>
  <si>
    <t>Hàng tháng phối hợp với Công ty BLITZ thực hiện sao lưu tất cả các dữ liệu điện (Message) và nhật ký vận hành (Event Journal) trên hệ thống, cài đặt bản vá mới tương thích với phiên bản SWIFT đang sử dụng và gia hạn các thẻ hệ thống.</t>
  </si>
  <si>
    <t>Đánh giá chất lượng dịch vụ và trình ký kết các phụ lục hợp đồng gia hạn dịch vụ hàng năm SWIFTCARE đối với Công ty BLITZ</t>
  </si>
  <si>
    <t xml:space="preserve">Đầu mối đánh giá chất lượng dịch vụ và trình ký phụ lục hợp đồng gia hạn dịch vụ bảo trì hệ thống SWIFT hàng năm. </t>
  </si>
  <si>
    <t>Quản lý và duy trì các Tài khoản Quản trị của BicCode SACLVNVX trên mạng swift.com.</t>
  </si>
  <si>
    <t xml:space="preserve">Hỗ trợ các phòng liên quan khắc phục sự cố về SWIFT khi phát sinh nhằm đảm bảo tính liên tục và an toàn của hệ thống SWIFT. </t>
  </si>
  <si>
    <t>Hàng ngày thực hiện mở cổng điện SWIFT (4 phiên mở cổng/ngày trừ những trường hợp đột xuất); Phân loại điện, giao/nhận điện đi-đến các Phòng/Bộ phận liên quan.</t>
  </si>
  <si>
    <t xml:space="preserve">Tiếp nhận điện đến từ hệ thống SWIFT, phân phối điện SWIFT cho các Đơn vị liên quan. </t>
  </si>
  <si>
    <t>Chịu trách nhiệm kiểm tra, đảm bảo luân chuyển điện đi và đến qua hệ thống SWIFT an toàn, chính xác và kịp thời.</t>
  </si>
  <si>
    <t>Phối hợp với Phòng Hạ tầng Kỹ thuật cấp mới tài khoản người dùng và phân quyền cho những người sử dụng SWIFT tại SCB phù hợp với từng tính chất nghiệp vụ cụ thể.</t>
  </si>
  <si>
    <t>Phối hợp cấp mới Tài khoản người sử dụng và phân quyền cho những người sử dụng SWIFT tại SCB phù hợp với từng tính chất nghiệp vụ cụ thể.</t>
  </si>
  <si>
    <t>Phối hợp với Phòng Hạ Tầng Kỹ Thuật rà soát, nâng cấp cấu hình hệ thống các máy chủ và máy trạm sử dụng SWIFT tại SCB tương ứng với các yêu cầu của SWIFT đối với từng phiên bản cài đặt cụ thể.</t>
  </si>
  <si>
    <t>Phối hợp với Khối Công nghệ Thông tin quản lý, bảo trì và nâng cấp hệ thống SWIFT tại SCB.</t>
  </si>
  <si>
    <t>Hàng tháng phối hợp với Công ty BLITZ và Phòng Hạ tầng Kỹ thuật để quản lý, bảo trì và nâng cấp hệ thống SWIFT tại SCB đảm bảo hệ thống SWIFT của SCB hoạt động ổn định và an toàn.</t>
  </si>
  <si>
    <t>Xây dựng quy định quản lý, vận hành hệ thống SWIFT tại SCB.</t>
  </si>
  <si>
    <t>Tham gia Tổ quản lý hệ thống SWIFT của SCB.</t>
  </si>
  <si>
    <t>Kiểm tra, đối chiếu và hạch toán các khoản chi phí, thu nhập liên quan đến giao dịch TTTM và TTQT theo sao kê nhận được từ các ngân hàng nước ngoài mà SCB có tài khoản NOSTRO.</t>
  </si>
  <si>
    <t>Quản lý tài khoản NOSTRO mở tại nước ngoài.</t>
  </si>
  <si>
    <t>Hàng ngày kiểm tra, đối chiếu, tra soát sao kê tài khoản Nostro của SCB mở tại Ngân hàng nước ngoài.</t>
  </si>
  <si>
    <t>Đối chiếu các phát sinh liên quan đến giao dịch TTTM,TTQT và kiều hối trên tài khoản NOSTRO của SCB mở tại các ngân hàng nước ngoài và xử lý các sai lệch (nếu có) (hạch toán, điều chỉnh, tra soát, phân bổ, …).</t>
  </si>
  <si>
    <t>Hạch toán lãi tiền gửi của các tài khoản NOSTRO mở tại nước ngoài.</t>
  </si>
  <si>
    <t>Đối chiếu các phát sinh trên tài khoản NOSTRO của SCB mở tại nước ngoài và làm đầu mối phối hợp với các Đơn vị liên quan xử lý các sai lệch (nếu có) (hạch toán, điều chỉnh, tra soát, phân bổ, …).</t>
  </si>
  <si>
    <t>Thực hiện vay vốn ngắn hạn, trung hạn, dài hạn của các tổ chức tín dụng trong và ngoài nước liên quan đến giao dịch TTTM, theo dõi kỳ hạn trả nợ, trả lãi của các khoản vay này.</t>
  </si>
  <si>
    <t xml:space="preserve">Thực hiện vay vốn của các tổ chức tín dụng liên quan đến Tài trợ thương mại. </t>
  </si>
  <si>
    <t>Tư vấn, hướng dẫn, đào tạo tác nghiệp kiều hối cho các Đơn vị trong toàn hàng.</t>
  </si>
  <si>
    <t>Tác nghiệp tập trung các giao dịch chi trả kiều hối qua tài khoản toàn hàng.</t>
  </si>
  <si>
    <t xml:space="preserve">Hỗ trợ các Phòng liên quan trong việc cài đặt, cập nhật, xử lý các sự cố liên quan đến phần mềm Western Union trong toàn hàng.  </t>
  </si>
  <si>
    <t>Đối chiếu/Tra soát giao dịch hàng ngày với Western Union, hạch toán phân bổ hoa hồng phí dịch vụ Western Union về các Chi nhánh SCB.</t>
  </si>
  <si>
    <t>Tính toán và phân bổ hoa hồng phí cho các Điểm dịch vụ triển khai dịch vụ Western Union.</t>
  </si>
  <si>
    <t>Quản lý, theo dõi, thực hiện việc thanh quyết toán các khoản thu chi với Western Union.</t>
  </si>
  <si>
    <t>Đầu mối Phối hợp với Western Union tra soát, giải quyết các khó khăn, vướng mắc phát sinh trong quá trình thực hiện dịch vụ Western Union tại SCB.</t>
  </si>
  <si>
    <t>Hỗ trợ các Điểm Dịch vụ Western Union trong việc triển khai và trực tiếp rút các lệnh chi từ hệ thống Western Union thay cho Điểm Dịch vụ trong trường hợp Điểm Dịch vụ không kết nối được với hệ thống của Western Union.</t>
  </si>
  <si>
    <t>Xử lý nghiệp vụ chuyển tiền đi qua Western Union cho toàn hàng và đại lý phụ: tư vấn, nhận và kiểm tra hồ sơ, nhập giao dịch, duyệt giao dịch, lưu hồ sơ.</t>
  </si>
  <si>
    <t>Đầu mối phối hợp với Western Union đăng ký mới, thay đổi, hủy bỏ Điểm Dịch vụ Western Union và Giao dịch viên được phép đăng nhập phần mềm Western Union.</t>
  </si>
  <si>
    <t>Xử lý nghiệp vụ chi trả kiều hối Western Union toàn hàng và các đại lý phụ: tư vấn, hỗ trợ xử lý những vấn đề phát sinh của đơn vị.</t>
  </si>
  <si>
    <t>Xây dựng tài liệu và tập huấn quy định nhận hồ sơ, bán, chuyển ngoại tệ cho khách hàng là tổ chức (đào tạo trực tiếp)</t>
  </si>
  <si>
    <t>Tư vấn, hướng dẫn, đào tạo tác nghiệp TTTM, TTQT cho các Đơn vị trong toàn hàng.</t>
  </si>
  <si>
    <t xml:space="preserve">Tác nghiệp tập trung các giao dịch TTTM, TTQT toàn hàng. </t>
  </si>
  <si>
    <t>Xây dựng tài liệu elearning đào tạo cho nhân viên tân tuyển</t>
  </si>
  <si>
    <t>Chỉnh sửa tài liệu và đào tạo nghiệp vụ chi trả &amp; chuyển tiền Western Union, phòng chống rửa tiền trong hoạt động chuyển tiền nhanh Western Union</t>
  </si>
  <si>
    <t>Xử lý nghiệp vụ thanh toán bằng hối phiếu: tiếp nhận và kiểm tra hồ sơ, nhập hồ sơ, duyệt hồ sơ, thanh toán, duyệt thanh toán, lưu hồ sơ.</t>
  </si>
  <si>
    <t>Tác nghiệp tập trung tất cả các giao dịch TTTM, TTQT toàn hàng.</t>
  </si>
  <si>
    <t>Xử lý nghiệp vụ LC xuất khẩu: tư vấn, nhận điện thông báo, nhập hệ thống, kiểm tra BCT, làm thông báo, nhập hệ thống, gửi BCT, báo có, duyệt baó có, lưu hồ sơ.</t>
  </si>
  <si>
    <t>Xử lý nghiệp vụ LC nhập khẩu: tư vấn, tiếp nhận và kiểm tra hồ sơ, phát hành LC nháp, nhập hồ sơ, duyệt hồ sơ, tiếp nhận và kiểm tra BCT, làm thông báo, nhập vào hệ thống, theo dõi BCT, thanh toán, duyệt thanh toán, lưu hồ sơ.</t>
  </si>
  <si>
    <t>Xử lý nghiệp vụ nhờ thu xuất khẩu: tư vấn, tiếp nhận và kiểm tra hồ sơ, nhập hồ sơ, duyệt hồ sơ, gửi BCT, báo có, duyệt báo có, lưu hồ sơ.</t>
  </si>
  <si>
    <t>Xử lý nghiệp vụ nhờ thu nhập khẩu: tư vấn, tiếp nhận và kiểm tra hồ sơ, nhập hồ sơ, duyệt hồ sơ, theo dõi BCT, thanh toán, duyệt thanh toán, lưu hồ sơ.</t>
  </si>
  <si>
    <t>Xử lý nghiệp vụ chuyển tiền đến: nhận điện báo có, kiểm tra, báo có về đơn vị, duyệt báo có, lưu hồ sơ.</t>
  </si>
  <si>
    <t>Xử lý nghiệp vụ chuyển tiền đi: tư vấn hồ sơ, tiếp nhận và kiểm tra hồ sơ, nhập hồ sơ, duyệt hồ sơ, lưu hồ sơ.</t>
  </si>
  <si>
    <t>Tham mưu các cấp lãnh đạo về công tác tài trợ thương mại, chuyển tiền quốc tế, dịch vụ kiều hối toàn hàng.</t>
  </si>
  <si>
    <t>Giám sát và quản lý chất lượng tác nghiệp TTTM,TTQT, kiều hối  toàn hàng.</t>
  </si>
  <si>
    <t>Phối hợp với Khối công nghệ thông tin tiếp tục nghiên cứu triển khai việc đối chiếu tự động sao kê tài khoản Nostro.</t>
  </si>
  <si>
    <t>Xây dựng, triển khai, đánh giá, đề xuất cải tiến mô hình tác nghiệp TTTM, TTQT và kiều hối toàn hàng.</t>
  </si>
  <si>
    <t>Phối hợp với Khối công nghệ thông tin nghiên cứu chương trình giao nhận chứng từ, lưu trữ dữ liệu điện tử hồ sơ TTQT giữa các Đơn vị và Phòng TNTTTM&amp;TTQT an  toàn, nhanh chóng.</t>
  </si>
  <si>
    <t xml:space="preserve">Phối hợp với Khối Công nghệ thông tin nghiên cứu triển khai sản phẩm chuyển tiền quốc tế qua internetbanking; chuyển tiền theo danh sách; thiết kế biểu mẫu thông minh (smart form) đối với nghiệp vụ TTQT cho khách hàng </t>
  </si>
  <si>
    <t>Xây dựng, cải tiến, triển khai và kiểm soát việc thực hiện các quy trình tác nghiệp nghiệp vụ TTTM, TTQT và kiều hối để phù hợp với văn bản quy phạm  liên quan đến tác nghiệp TTTM, TTQT và kiều hối trong từng thời kỳ..</t>
  </si>
  <si>
    <t>Chi trả kiều hồi - Triển khai các chương trình thi đua nội bộ kiều hối</t>
  </si>
  <si>
    <t>Khác_KDGDQT</t>
  </si>
  <si>
    <t>KDGDQT</t>
  </si>
  <si>
    <t>PHÒNG KINH DOANH GIAO DỊCH QUỐC TẾ</t>
  </si>
  <si>
    <t>08</t>
  </si>
  <si>
    <t>Chi trả kiều hồi - Phối hợp khách hàng thực hiện truyền thông quảng bá thương hiệu</t>
  </si>
  <si>
    <t>Chi trả kiều hồi - Triển khai chương trình khuyến mãi kiều hối</t>
  </si>
  <si>
    <t>Chi trả kiều hồi - Chăm sóc khách hàng tăng doanh số</t>
  </si>
  <si>
    <t>Chi trả kiều hồi - Theo dõi test hệ thống</t>
  </si>
  <si>
    <t>Chi trả kiều hồi - Trung gian hỗ trợ Kết nối hệ thống</t>
  </si>
  <si>
    <t>Chi trả kiều hồi - Thực hiện ký kết Hợp đồng</t>
  </si>
  <si>
    <t>Chi trả kiều hồi - Lập Tờ trình v/v ký hợp đồng hợp tác chuyển tiền với khách hàng đối tác</t>
  </si>
  <si>
    <t>Chi trả kiều hồi - Thu thập Hồ sơ pháp lý</t>
  </si>
  <si>
    <t>Chi trả kiều hồi - Thỏa thuận</t>
  </si>
  <si>
    <t>Chi trả kiều hồi - Giới thiệu, trình bày hoạt động dịch vụ chi trả kiều hối</t>
  </si>
  <si>
    <t>Báo cáo tình hình thực hiện kinh doanh TTTM&amp;TTQT theo chỉ đạo của Lãnh đạo</t>
  </si>
  <si>
    <t>Báo cáo RRVH hàng tháng theo Quyết định số 142/2016/QĐ-SCB-TGĐ</t>
  </si>
  <si>
    <t>Báo cáo rủi ro vận hành</t>
  </si>
  <si>
    <t>Báo cáo danh sách đối tác liên kết</t>
  </si>
  <si>
    <t>Báo cáo danh sách KH được ưu đãi phí</t>
  </si>
  <si>
    <t>Báo cáo tổng hợp kết quả thực hiện mỗi chương trình khuyến mại</t>
  </si>
  <si>
    <t>Báo cáo tình hình sử dụng ngân sách hàng tháng</t>
  </si>
  <si>
    <t>Báo cáo công việc hàng tuần</t>
  </si>
  <si>
    <t>Báo cáo kế hoạch hành động</t>
  </si>
  <si>
    <t>WU - Quản lý Vật liệu quảng báo (hộp đèn, decal dán cửa, decal dán quầy, decal dán hộp đèn)</t>
  </si>
  <si>
    <t xml:space="preserve">WU - Quản lý Phiếu nhận/gửi tiền </t>
  </si>
  <si>
    <t>Tiếp nhận, xử lý khó khăn, vướng mắc của ĐVKD về sản phẩm, quy trình, chương trình thi đua, chương trình khuyến mại/chăm sóc KH…</t>
  </si>
  <si>
    <t>Giảm phí dịch vụ cho KH - Thông báo cho Phòng TN TTTM&amp;TTQT v/v KH được phê duyệt giảm phí</t>
  </si>
  <si>
    <t>Giảm phí dịch vụ cho KH - Theo dõi, cập nhật danh sách KH được ưu đãi phí</t>
  </si>
  <si>
    <t>Giảm phí dịch vụ cho KH - Tiếp nhận và trình Lãnh đạo phê duyệt tờ trình giảm phí từ ĐVKD</t>
  </si>
  <si>
    <t>Xây dựng bộ câu hỏi, xử lý tình huống liên quan dịch vụ theo đề xuất từ Phòng liên quan nhằm triển khai chương trình đào tạo/tập huấn/chung sức…</t>
  </si>
  <si>
    <t>Đào tạo và hướng dẫn đội ngũ bán hàng TTTM, TTQT và Kiều hối tại Chi nhánh.</t>
  </si>
  <si>
    <t>Phát triển hoạt động kinh doanh sản phẩm TTTM, TTQT và Kiều hối</t>
  </si>
  <si>
    <t>Tiếp nhận và xây dựng tài liệu đào tạo theo đề xuất từ các Phòng đào tạo</t>
  </si>
  <si>
    <t>Tiếp nhận/phân công nhân sự đào tạo đối với các yêu cầu đào tạo ngoài kế hoạch theo nhu cầu thực tế</t>
  </si>
  <si>
    <t>Lập kế hoạch đào tạo, phối hợp với Phòng đào tạo để xây dựng kế hoạch đào tạo cho từng khu vực</t>
  </si>
  <si>
    <t>Xây dựng tài liệu đào tạo</t>
  </si>
  <si>
    <t>Triển khai các chương trình thi đua nội bộ kiều hối</t>
  </si>
  <si>
    <t>Xây dựng và triển khai các chương trình thi đua nội bộ để kích thích bán sản phẩm TTTM, TTQT và Kiều hối.</t>
  </si>
  <si>
    <t>Thực hiện chi thưởng/phụ cấp cho ĐVKD: Phối hợp với Phòng liên quan để thực hiện chi thưởng/phụ cấp cho ĐVKD</t>
  </si>
  <si>
    <t>Thực hiện chi thưởng/phụ cấp cho ĐVKD: Soạn thảo tờ trình phê duyệt kết quả thi đua</t>
  </si>
  <si>
    <t>Theo dõi việc triển khai chương trình thi đua</t>
  </si>
  <si>
    <t>Xây dựng chương trình/báo cáo để quản lý kết quả thi đua của ĐVKD (nếu có)</t>
  </si>
  <si>
    <t>Soạn thảo thông báo triển khai chương trình khuyến mại đến ĐVKD</t>
  </si>
  <si>
    <t>Chuẩn bị vật liệu quảng cáo, tuyên truyền tinh thần thi đua đến ĐVKD (nếu có)</t>
  </si>
  <si>
    <t>Chuẩn bị vật phẩm phục vụ chương trình (nếu có)</t>
  </si>
  <si>
    <t>Lập kế hoạch triển khai chương trình thi đua toàn hàng/khu vực đặc thù</t>
  </si>
  <si>
    <t>Thường xuyên theo dõi tiến độ thực hiện kế hoạch của ĐVKD để xây dựng chương trình thi đua</t>
  </si>
  <si>
    <t>Đề xuất chính sách bán hàng liên quan sản phẩm, dịch vụ TTTM, TTQT và Kiều hối phù hợp để cạnh tranh trong từng thời kỳ cho toàn hàng.</t>
  </si>
  <si>
    <t>Hỗ trợ ĐVKD tư vấn sản phẩm/dịch vụ cho KH</t>
  </si>
  <si>
    <t>Chăm sóc khách hàng, đối tác mảng TTTM, TTQT và Kiều hối. Theo dõi, kiểm tra giao dịch và nhận phản hồi từ khách hàng để xử lý kịp thời.</t>
  </si>
  <si>
    <t>Hỗ trợ ĐVKD tư vấn sản phẩm/dịch vụ, thương lượng, đàm phán với đối tác (tỷ lệ hoa hồng dịch vụ, phương thức chuyển giao hồ sơ/khách hàng…)</t>
  </si>
  <si>
    <t>Thiết lập các mối quan hệ với khách hàng tiềm năng trên từng địa bàn để mở rộng cơ sở khách hàng TTTM&amp;TTQT cho các ĐVKD.</t>
  </si>
  <si>
    <t>Hỗ trợ Chi nhánh trong việc phát triển khách hàng, bao gồm: xác định khách hàng mục tiêu, phối hợp xây dựng các chương trình tiếp thị, thiết lập các mối liên hệ với khách hàng tiềm năng trên từng địa bàn để mở rộng cơ sở khách hàng TTTM, TTQT và Kiều hối cho các Chi nhánh.</t>
  </si>
  <si>
    <t>Phối hợp với ĐVKD xây dựng, trình phê duyệt các chương trình tiếp thị.</t>
  </si>
  <si>
    <t>Phân tích, đánh giá thị trường từng khu vực để cung cấp cho ĐVKD thông tin cần thiết để phát triển KH, định vị KH mục tiêu.</t>
  </si>
  <si>
    <t>Xây dựng, phát triển và quản lý đội ngũ bán hàng tại Phòng.</t>
  </si>
  <si>
    <t>TTTM - Hỗ trợ, theo dõi quá trình xử lý giao dịch cho KH tại ĐVKD, xử lý giao dịch của KH tại Phòng Tác nghiệp TTTM&amp;TTQT và các phát sinh trong quá trình giao dịch với KH.</t>
  </si>
  <si>
    <t>Trực tiếp bán sản phẩm, dịch vụ TTTM, TTQT và Kiều hối.</t>
  </si>
  <si>
    <t>TTTM - Phối hợp với ĐVKD trong việc hướng dẫn KH đến giao dịch tại ĐVKD: Mở tài khoản, nộp tiền, ký chứng từ…</t>
  </si>
  <si>
    <t>TTTM - Hỗ trợ, theo dõi quá trình trình cấp hạn mức tín dụng theo Quy trình cấp tín dụng phân khúc khách hàng doanh nghiệp.</t>
  </si>
  <si>
    <t>TTTM - Liên hệ KH bổ sung/giải trình hồ sơ (nếu có)</t>
  </si>
  <si>
    <t>TTTM - Phối hợp với ĐVKD trong việc thu thập hồ sơ khách hàng, thẩm định khách hàng</t>
  </si>
  <si>
    <t>TTTM - Tư vấn sản phẩm, dịch vụ phù hợp cho KH</t>
  </si>
  <si>
    <t>TTTM - Tiếp thị, tìm kiếm khách hàng có nhu cầu</t>
  </si>
  <si>
    <t>TTQT- Liên hệ KH để xử lý các phát sinh liên quan đến hồ sơ (VD: Giao dịch bị hoàn trả do sai thông tin…)</t>
  </si>
  <si>
    <t>TTQT- Thông báo cho KH về kết quả xử lý hồ sơ</t>
  </si>
  <si>
    <t>TTQT- Thường xuyên theo dõi quá trình xử lý hồ sơ tại Phòng Tác nghiệp TTTM&amp;TTQT.
+ Liên hệ KH, ĐVKD bổ sung hồ sơ theo yêu cầu của Phòng Tác nghiệp (nếu có)</t>
  </si>
  <si>
    <t>TTQT- Theo dõi việc hạch toán giao dịch, đăng ký nguồn của ĐVKD</t>
  </si>
  <si>
    <t>TTQT- Hướng dẫn KH đến giao dịch tại ĐVKD: mở tài khoản, nộp tiền, ký chứng từ…</t>
  </si>
  <si>
    <t>TTQT- Soạn thảo hồ sơ chuyển tiền</t>
  </si>
  <si>
    <t>TTQT- Thực hiện thủ tục công chứng giao dịch (nếu có)</t>
  </si>
  <si>
    <t>TTQT- Soạn thảo tờ trình giảm phí dịch vụ TTQT (nếu có)</t>
  </si>
  <si>
    <t>TTQT- Liên hệ KH bổ sung/giải trình hồ sơ (nếu có)</t>
  </si>
  <si>
    <t>TTQT- Thu thập hồ sơ khách hàng, thẩm định khách hàng</t>
  </si>
  <si>
    <t>TTQT- Tư vấn sản phẩm, dịch vụ phù hợp cho KH</t>
  </si>
  <si>
    <t>TTTQ - Tiếp thị, tìm kiếm khách hàng có nhu cầu</t>
  </si>
  <si>
    <t>Xây dựng và quản lý chỉ tiêu kinh doanh toàn hàng liên quan đến hoạt động TTTM, TTQT và Kiều hối.</t>
  </si>
  <si>
    <t>Xây dựng chiến lược kinh doanh và phát triển các kênh phân phối, quan hệ đối tác phục vụ cho hoạt động TTTM, TTQT và Kiều hối.</t>
  </si>
  <si>
    <t xml:space="preserve">Nghiên cứu, xây dựng và quản lý biểu phí liên quan đến sản phẩm TTTM, TTQT và Kiều hối.  </t>
  </si>
  <si>
    <t>Nghiên cứu và phát triển sản phẩm, dịch vụ TTTM, TTQT và Kiều hối</t>
  </si>
  <si>
    <t>Thường xuyên theo dõi các báo cáo trên chương trình dịch vụ khách hàng để kịp thời nhắc nhở/đôn đốc ĐVKD bổ sung thông tin:
+ Đối tác liên kết
+ Giao dịch đã nhập
+ Giao dịch đã chi hoa hồng
- Kiểm soát tỷ lệ chi hoa hồng của ĐVKD cho đối tác đúng với kết quả phê duyệt.</t>
  </si>
  <si>
    <t>Tư vấn, hướng dẫn sản phẩm, dịch vụ TTTM, TTQT và Kiều hối cho Chi nhánh và khách hàng.</t>
  </si>
  <si>
    <t>Theo dõi, cập nhật danh sách đối tác liên kết đã được phê duyệt, tỷ lệ hoa hồng đến thời điểm hiện tại của từng đối tác.</t>
  </si>
  <si>
    <t>Tiếp nhận và trình Lãnh đạo phê duyệt nâng tỷ lệ hoa hồng áp dụng cho đối tác hiện hữu thỏa điều kiện theo chính sách hoa hồng hiện hành của SCB.</t>
  </si>
  <si>
    <t>Tiếp nhận và trình Lãnh đạo phê duyệt tờ trình liên kết đối tác giới thiệu KH sử dụng dịch vụ TTTM&amp;TTQT từ ĐVKD</t>
  </si>
  <si>
    <t>Hướng dẫn ĐVKD sử dụng chương trình dịch vụ KH để ghi nhận thông tin đối tác và thông tin giao dịch chi hoa hồng cho đối tác.</t>
  </si>
  <si>
    <t>Hướng dẫn ĐVKD về chính sách, quy trình liên kết, sử dụng mẫu biểu hoa hồng liên kết đối tác</t>
  </si>
  <si>
    <t xml:space="preserve">Theo dõi chương trình DVKH, báo cáo liên quan để kịp thời nhắc nhở/đôn đốc ĐVKD </t>
  </si>
  <si>
    <t xml:space="preserve">Xây dựng và quản lý chính sách bán hàng, chính sách khách hàng, khuyến mại, ưu đãi về sản phẩm TTTM, TTQT và Kiều hối. </t>
  </si>
  <si>
    <t>Phối hợp với các Phòng liên quan (Mis, PTUD) để tăng cường quản lý việc thực hiện khuyến mại của ĐVKD cho KH (VD: Chương trình DVKH…)</t>
  </si>
  <si>
    <t>Thông báo/đăng ký khuyến mại với cơ quan liên quan.
Phối hợp điều chỉnh/bổ sung nội dung khuyến mại (nếu có)</t>
  </si>
  <si>
    <t>Thông báo kế hoạch khuyến mại cho bên thứ ba đối với các dịch vụ đặc thù (VD: Công ty WU)
Giải đáp thắc mắc, phối hợp điều chỉnh/bổ sung nội dung kế hoạch khuyến mại cho bên thứ 3</t>
  </si>
  <si>
    <t>Theo dõi công tác chuẩn bị vật liệu quảng cáo và vật phẩm khuyến mại tại Hội sở và ĐVKD</t>
  </si>
  <si>
    <t>Chuẩn bị vật liệu quảng cáo, kế hoạch quảng bá: Triển khai phân bổ vật liệu quảng cáo</t>
  </si>
  <si>
    <t>Chuẩn bị vật liệu quảng cáo, kế hoạch quảng bá: Phối hợp với Phòng TT&amp;TT thiết kế vật liệu quảng cáo, lập phương án quảng bá</t>
  </si>
  <si>
    <t>Chuẩn bị vật phẩm khuyến mại: Lập phương án/triển khai phân bổ đến ĐVKD</t>
  </si>
  <si>
    <t>Chuẩn bị vật phẩm khuyến mại: Lập kế hoạch mua sắm vật phẩm khuyến mại (phối hợp với các Phòng liên quan)</t>
  </si>
  <si>
    <t>Soạn thảo tờ trình v/v phê duyệt ý tưởng, kế hoạch triển khai khuyến mại trên toàn hàng/khu vực nhất định</t>
  </si>
  <si>
    <t>Nghiên cứu, thu thập thông tin thị trường, định hướng xây dựng các chương trình khuyến mại kích thích KH sử dụng dịch vụ trong năm
Kịp thời cập nhật thông tin, điều chỉnh kế hoạch thực hiện khuyến mại phù hợp tình hình thực tế (VD: tình trạng quà tặng, tin tức thể thao, xu hướng mới...)</t>
  </si>
  <si>
    <t>Quản trị danh mục sản phẩm, dịch vụ TTTM, TTQT và Kiều hối.</t>
  </si>
  <si>
    <t>Nghiên cứu, xây dựng và quản lý (tổ chức thực hiện, kiểm tra/giám sát quá trình thực hiện) các VBQP, công cụ, phần mềm, chương trình quản lý… liên quan để thực hiện tất cả sản phẩm, dịch vụ TTTM, TTQT và Kiều hối.</t>
  </si>
  <si>
    <t>Xây dựng chương trình quản lý (nếu có)</t>
  </si>
  <si>
    <t>Nghiên cứu, phân tích tình hình thị trường, đánh giá nhu cầu khách hàng hiện tại và tiềm năng để xây dựng, cải tiến và triển khai sản phẩm, dịch vụ TTTM, TTQT và Kiều hối phù hợp theo từng thời kỳ.</t>
  </si>
  <si>
    <t>Soạn thảo quy trình,quy định, hướng dẫn, thông báo sản phẩm/chính sách</t>
  </si>
  <si>
    <t>Nghiên cứu, thu thập thông tin thị trường tăng cường cải thiện chính sách</t>
  </si>
  <si>
    <t>Khác_CS&amp;QLVH</t>
  </si>
  <si>
    <t>CS&amp;QLVH</t>
  </si>
  <si>
    <t>PHÒNG CHÍNH SÁCH VÀ QLVH</t>
  </si>
  <si>
    <t>76</t>
  </si>
  <si>
    <t>KHỐI VẬN HÀNH VÀ CÔNG NGHỆ</t>
  </si>
  <si>
    <t>J</t>
  </si>
  <si>
    <t>Thực hiện và tổng hợp các báo cáo kiểm soát sau để đề xuất các cải tiến</t>
  </si>
  <si>
    <t>Tổ chức và thực hiện công tác kiểm soát sau chứng từ kế toán</t>
  </si>
  <si>
    <t>Tổ chức đào tạo, phổ biến các phương pháp, kinh nghiệm kiểm soát, sắp xếp chứng từ hạch toán cho các ĐVKD.</t>
  </si>
  <si>
    <t>Tổng hợp đánh giá, ghi nhận, kiểm soát các giao dịch hạch toán đã được thực hiện, ghi nhận các lỗi vi phạm và theo dõi tình hình khắc phục.</t>
  </si>
  <si>
    <t>Xây dựng hệ thống quy định, hướng dẫn kiểm soát sau giao dịch và lưu trữ chứng từ của các ĐVKD.</t>
  </si>
  <si>
    <t>Tổ chức thực hiện kiểm soát sau công tác hạch toán kế toán và chấm chứng từ kế toán liên quan đến hoạt động kinh doanh tại các ĐVKD.</t>
  </si>
  <si>
    <t>số lượng token cung cấp cho từng  CN, PGD</t>
  </si>
  <si>
    <t>KHCN, KHDN</t>
  </si>
  <si>
    <t>IB, MB, SMS banking</t>
  </si>
  <si>
    <t>CN, PGD</t>
  </si>
  <si>
    <t>x</t>
  </si>
  <si>
    <t>lần</t>
  </si>
  <si>
    <t>Đối soát, kiểm kê, phân bổ hàng tháng</t>
  </si>
  <si>
    <t xml:space="preserve">Quản lý, thực hiện đối chiếu, đối soát số liệu để phục vụ cho công tác thanh quyết toán giao dịch Thẻ và Ngân hàng Số
</t>
  </si>
  <si>
    <t>Tổ chức hoạt động tác nghiệp Thẻ và Ngân hàng số đảm bảo tuân thủ quy trình, quy định và an toàn hoạt động, hiệu quả.</t>
  </si>
  <si>
    <t>Doanh số billing, topup, ecommerce</t>
  </si>
  <si>
    <t>IB, MB</t>
  </si>
  <si>
    <t>Đối soát IBT, billing, topup, ecommerce với các Đối tác</t>
  </si>
  <si>
    <t>Doanh số giao dịch POS</t>
  </si>
  <si>
    <t>Đối chiếu, thanh quyết toán, xử lý nghiệp vụ POS</t>
  </si>
  <si>
    <t>doanh số giao dịch billing, topup, ecommerce qua tất cả các kênh</t>
  </si>
  <si>
    <t>Đối chiếu thanh quyết toán billing, topup, ecommerce với các đối tác</t>
  </si>
  <si>
    <t>doanh số giao dịch thẻ ghi nợ (quốc tế &amp; nội địa)</t>
  </si>
  <si>
    <t>các sản phẩm thẻ ghi nợ</t>
  </si>
  <si>
    <t>Đối chiếu, thanh quyết toán, xử lý liên quan giao dịch thẻ ghi nợ</t>
  </si>
  <si>
    <t>doanh số giao dịch thẻ tín dụng</t>
  </si>
  <si>
    <t>các sản phẩm thẻ tín dụng</t>
  </si>
  <si>
    <t>Đối chiếu, thanh quyết toán giao dịch thẻ tín dụng quốc tế</t>
  </si>
  <si>
    <t>Quản lý, giám sát các hoạt động phát hành, mua sắm và thanh toán vật tư, trang thiết bị và ấn phẩm phục vụ hoạt động Thẻ và Ngân hàng Số</t>
  </si>
  <si>
    <t>Phối hợp Phòng Kỹ Thuật Thẻ và Ngân hàng Số xử lý về mặt nghiệp vụ đối với các sự cố Thẻ và Ngân hàng Số phát sinh.</t>
  </si>
  <si>
    <t>Phối hợp Khối/Phòng Hội sở liên quan xây dựng và triển khai các chính sách Khách hàng/chương trình khuyến mãi Thẻ và Ngân hàng Số (hỗ trợ xử lý về mặt nghiệp vụ).</t>
  </si>
  <si>
    <t>Triển khai, giám sát và xử lý các vấn đề liên quan đến nghiệp vụ thẻ quốc tế (sao kê, điểm thưởng, thanh toán dư nợ thẻ tín dụng, SMS, tặng tiền, cộng/trừ điểm thưởng, quản lý dữ liệu giao dịch thẻ….).</t>
  </si>
  <si>
    <t>Theo dõi việc khắc phục sai sót, tồn tại, tiềm ẩn rủi ro đã được phát hiện qua công tác kiểm tra, giám sát; kết quả thực hiện phương án khắc phục, phòng ngừa về các sự không phù hợp tại Biên bản kiểm tra</t>
  </si>
  <si>
    <t>Tổ chức/thực hiện giám sát từ xa/kiểm tra tại chỗ việc thực hiện/triển khai các quy định của Ngân hàng/Pháp luật trong toàn hệ thống của mảng vận hành tại ĐVKD.</t>
  </si>
  <si>
    <t>Tổ chức/thực hiện giám sát từ xa/kiểm tra tại chỗ định kỳ/đột xuất việc triển khai thực hiện theo các quy định hiện hành trong toàn hệ thống; đảm bảo tính tuân thủ, minh bạch và kịp thời phát hiện rủi ro trong hoạt động vận hành của các đơn vị</t>
  </si>
  <si>
    <t>Triển khai đánh giá các quy trình vận hành và làm đầu mối tổ chức các hoạt động cải tiến quy trình</t>
  </si>
  <si>
    <t>Quản lý, triển khai và hỗ trợ các hoạt động mảng vận hành cho toàn bộ các ĐVKD; Rà soát xây dựng các chính sách và quy trình vận hành giao dịch tại các Đơn vị (ngoại trừ mảng Giao dịch Quốc tế).</t>
  </si>
  <si>
    <t>Đầu mối tiếp nhận và xử lý các yêu cầu hỗ trợ của Đơn vị trong công tác vận hành.</t>
  </si>
  <si>
    <t>Triển khai, truyền thông và đào tạo quy định/quy trình nghiệp vụ mảng vận hành tại ĐVKD.</t>
  </si>
  <si>
    <t>Xây dựng các kênh kiểm soát cho toàn bộ hoạt động vận hành tại Đơn vị; rà soát, nhận biết các rủi ro, xây dựng và triển khai các cơ chế kiểm soát; phối hợp các Đơn vị liên quan xây dựng phương pháp đo lường, đánh giá và giảm thiểu rủi ro.</t>
  </si>
  <si>
    <t>Xây dựng, rà soát, điều chỉnh và triển khai các chính sách, quy định, quy trình, hướng dẫn nghiệp vụ trong hoạt động vận hành giao dịch tại các Đơn vị (ngoại trừ mảng Giao dịch Quốc tế), đảm bảo các hoạt động tuân thủ thống nhất, nhất quán trên phạm vi toàn hệ thống.</t>
  </si>
  <si>
    <t>Tham gia phỏng vấn các chức danh tại Đơn vị kinh doanh (GDV và KSV)</t>
  </si>
  <si>
    <t>Phối hợp trong quản lý nguồn lực: xây dựng kế hoạch định biên, điều phối nhân lực, đào tạo, phát triển kế cận, xây dựng cơ chế ghi nhận và đánh giá hiệu quả công việc của CBNV thuộc mảng DVKH tại ĐVKD, đảm bảo duy trì nguồn lực đầy đủ và chất lượng.</t>
  </si>
  <si>
    <t>P. ĐTDV</t>
  </si>
  <si>
    <t>Đề thi</t>
  </si>
  <si>
    <t>Rà soát hệ thống ngân hàng đề thi các mảng nghiệp vụ do Phòng phụ trách và các chức danh GDV, KSV</t>
  </si>
  <si>
    <t xml:space="preserve">Tham gia đào tạo nghiệp vụ, dịch vụ dành cho GDV/NVTV (bao gồm thời gian soạn tài liệu và làm đề thi)
</t>
  </si>
  <si>
    <t xml:space="preserve">Tham gia đào tạo nghiệp vụ dành cho Lãnh đạo DVKH (bao gồm thời gian soạn tài liệu)
</t>
  </si>
  <si>
    <t>Bài thi</t>
  </si>
  <si>
    <t>Thực hiện chấm bài thi tự luận</t>
  </si>
  <si>
    <t>Soạn thảo đề thi kiểm tra kiến thức cho CBNV liên quan đến mảng nghiệp vụ, dịch vụ do Phòng phụ trách</t>
  </si>
  <si>
    <t>Đào tạo CLDV do đội ngũ nhân viên bảo vệ</t>
  </si>
  <si>
    <t xml:space="preserve">Tổ chức lớp đào tạo về  Tiêu chuẩn CLDV cho nhân viên Phòng/Bộ phận DVKH tại Đơn vị kinh doanh nhằm nâng cao CLDV </t>
  </si>
  <si>
    <t>Dự án KPIs</t>
  </si>
  <si>
    <t>Thời gian tham gia</t>
  </si>
  <si>
    <t>Tham gia xây dựng chương trình quản lý KPIs cho GDV và KSV</t>
  </si>
  <si>
    <t>Phối hợp với các Đơn vị để xây dựng cơ chế đánh giá KPIs vận hành của đội ngũ nhân sự tại ĐVKD.</t>
  </si>
  <si>
    <t>CN/PGD</t>
  </si>
  <si>
    <t>Quản lý đội ngũ GDV, KSV tại đơn vị</t>
  </si>
  <si>
    <t>Xây dựng bộ KPIs, quản lý, theo dõi, đánh giá đội ngũ GDV dự trữ</t>
  </si>
  <si>
    <t>Xây dựng Cơ chế tính điểm DVKH dành cho CBNV Phòng/Bộ phận DVKH tại Đơn vị kinh doanh</t>
  </si>
  <si>
    <t>Khác_ĐL&amp;QLCL</t>
  </si>
  <si>
    <t>ĐL&amp;QLCL</t>
  </si>
  <si>
    <t>PHÒNG ĐO LƯỜNG VÀ QLCL</t>
  </si>
  <si>
    <t>74</t>
  </si>
  <si>
    <t>Thẩm định các sáng kiến cải tiến của các trung tâm công nghệ</t>
  </si>
  <si>
    <t>Định hướng xây dựng, triển khai, hỗ trợ và quản lý các hoạt động quản lý chất lượng liên quan đến KHNB và KHBN của toàn hàng</t>
  </si>
  <si>
    <t>Theo dõi, tổng hợp các báo cáo quản trị của các trung tâm công nghệ.</t>
  </si>
  <si>
    <t>Thực hiện kiểm tra, kiểm soát chất lượng nghiệp vụ, dịch vụ công nghệ cũng như việc tuân thủ các tiêu chuẩn đảm bảo chất lượng.</t>
  </si>
  <si>
    <t>Thiết kế, tham gia xây dựng, triển khai và quản lý hệ thống đảm bảo chất lượng công nghệ như tiêu chuẩn, những kinh nghiệm thực tiễn tốt nhất trên thế giới.</t>
  </si>
  <si>
    <t>Thực hiện chức năng quản lý chất lượng cho các trung tâm công nghệ</t>
  </si>
  <si>
    <t>Thu thập, phân tích, tổng hợp xây dựng báo cáo thông tin quản trị cho khối</t>
  </si>
  <si>
    <t>Tổ chức thực hiện các hoạt động đo đạc, thu thập số liệu, thông tin phục vụ các hoạt động cải tiến chất lượng, quản lý năng suất, năng lực hoạt động (SUT).</t>
  </si>
  <si>
    <t>Tổ chức thực hiện các chương trình khảo sát sự hài lòng của KHNB và KHBN, KHBM, hòm thư góp ý... tổng hợp các thông tin từ kết quả các chương trình này và cung cấp, đóng góp cho các hoạt động cải tiến để năng cao chất lượng dịch vụ và sự thoã mãn của KHNB, KHBN.</t>
  </si>
  <si>
    <t>Lập kế hoạch và tổ chức triển khai các hoạt động đánh giá chất lượng (QC) và kiểm tra tuân thủ tiêu chuẩn đảm bảo chất lượng (quy trình, quy định, hướng dẫn), thực hiện kiểm định cam kết chất lượng dịch vụ (SLA).</t>
  </si>
  <si>
    <t>Phối hợp với các bộ phận chức năng thiết kế và triển khai các điểm cần cải tiến thông qua các kênh tiếp nhận thông tin như các báo cáo chất lượng, kết quả khảo sát sự hài lòng của KHNB và KHBN, từ hòm thư góp ý...v/v</t>
  </si>
  <si>
    <t>Tham gia và kiểm soát việc lập tiêu chuẩn chất lượng và thiết kế các quy trình trong các dự án xây dựng và triển khai sản phẩm hệ thống, quy trình hoạt động mới toàn hàng.</t>
  </si>
  <si>
    <t>Lập kế hoạch và kiểm soát việc thẩm định các sáng kiến, cải tiến nhằm mục đích xác nhận các lợi ích tài chính, phi tài chính mà các sáng kiến đó mang lại đồng thời là đầu mối phát động phong trào cải tiến trên toàn Ngân hàng.</t>
  </si>
  <si>
    <t>Lập kế hoạch, quản lý và tham gia rà soát, đánh giá các quy trình hoạt động trong toàn ngân hàng, xác định các điểm cần cải tiến, thiết kế và triển khai quy trình mới nhằm nâng cao năng suất lao động, tăng hiệu quả hoạt động, chất lượng dịch vụ và giảm thiểu rủi ro hoạt động.</t>
  </si>
  <si>
    <t>Tham gia triển khai các hệ thống và tiêu chuẩn quản lý/đảm bảo chất lượng cho các Đơn vị, các mô hình và phương pháp quản trị năng lực hoạt động</t>
  </si>
  <si>
    <t>Xây dựng hệ thống khung về quản lý chất lượng cho toàn hàng, làm cơ sở cho hoạt động chất lượng tại các Đơn vị thuộc SCB.</t>
  </si>
  <si>
    <t>Xây dựng, triển khai, đào tạo và quản lý các hệ thống và tiêu chuẩn quản lý chất lượng cho toàn ngân hàng áp dụng các chất quốc tế như ISO (bao gồm cả tiêu chuẩn chất lượng sản phẩm, dịch vụ cuối cùng như SLA, TAT, cũng như các tiêu chuẩn đảm bảo chất lượng).</t>
  </si>
  <si>
    <t>Xây dựng hệ thống khung về quản lý chất lượng cho toàn hàng làm cơ sở cho hoạt động chất lượng dịch vụ tại các Đơn vị.</t>
  </si>
  <si>
    <t>P.KDTT: 43%
P.KDNH: 43%
P.QTNV: 10%
P.ĐCTC: 2%
P.XLN&amp;KTTS: 2%</t>
  </si>
  <si>
    <t>P.KDTT
P.KDNH
P.QTNV
P.ĐCTC
P.XLN&amp;KTTS</t>
  </si>
  <si>
    <t>số đợt kiểm tra</t>
  </si>
  <si>
    <t>Làm việc với kiểm toán nội bộ, kiểm toán bên ngoài, cơ quan nhà nước</t>
  </si>
  <si>
    <t>Khác_TNKDTT</t>
  </si>
  <si>
    <t>TNKDTT</t>
  </si>
  <si>
    <t>PHÒNG TÁC NGHIỆP KDTT</t>
  </si>
  <si>
    <t>22</t>
  </si>
  <si>
    <t>P.TCKH</t>
  </si>
  <si>
    <t>số tháng</t>
  </si>
  <si>
    <t>Lập, triển khai, theo dõi thực hiện kế hoạch hoạt động</t>
  </si>
  <si>
    <t>số quy trình</t>
  </si>
  <si>
    <t>Soạn thảo quy trình thực hiện nghiệp vụ mới, thay thế cho quy trình cũ</t>
  </si>
  <si>
    <t>P.KDTT</t>
  </si>
  <si>
    <t>số đối tác</t>
  </si>
  <si>
    <t>Làm việc với 3 đối tác lớn trong giao dịch trái phiếu v/v sử dụng điện MT518 thay thế cho ký kết hợp đồng từng lần.</t>
  </si>
  <si>
    <t>Dự án Front Arena</t>
  </si>
  <si>
    <t>số dự án</t>
  </si>
  <si>
    <t>Phối hợp các phòng ban thuộc Khối KDTT, Khối QLRR, Khối CNTT triển khai Dự án phần mềm quản lý nghiệp vụ Treasury.</t>
  </si>
  <si>
    <t>P.BCTK: 45%
P.ALCO: 34%
P.KT: 4%
P.TCKH: 1%
P.QLRRTD: 2%
P.XLN&amp;KTTS: 1%
P.KDNH: 12%
P.KHDN: 1%</t>
  </si>
  <si>
    <t>P.BCTK
P.ALCO
P.KT
P.TCKH
P.QLRRTD
P.XLN&amp;KTTS
P.KDNH
P.KHDN</t>
  </si>
  <si>
    <t>số lần</t>
  </si>
  <si>
    <t>Thực hiện các báo cáo định kỳ thuộc chức năng, nhiệm vụ của phòng (gồm báo cáo nội bộ và bên ngoài)</t>
  </si>
  <si>
    <t>P.TNTTTM</t>
  </si>
  <si>
    <t>số giao dịch</t>
  </si>
  <si>
    <t>Tác nghiệp giao dịch vay vốn Eximbank Đài Loan</t>
  </si>
  <si>
    <t>Thực hiện nghiệp vụ hỗ trợ các giao dịch vốn khác với TCTD</t>
  </si>
  <si>
    <t>Thực hiện hạch toán kế toán và các nghiệp vụ hỗ trợ giao dịch nguồn vốn chung của Ngân hàng liên quan đến các TCTD, NHNN, VAMC</t>
  </si>
  <si>
    <t>P.QTNV</t>
  </si>
  <si>
    <t>Điều vốn tài khoản Nostro nước ngoài</t>
  </si>
  <si>
    <t>Lập điện SWIFT và hạch toán điều chuyển vốn giữa các tài khoản NOSTRO nước ngoài theo đề nghị của Phòng Quản trị nguồn vốn.</t>
  </si>
  <si>
    <t>Hạch toán các khoản vay thấu chi qua đêm tại NHNN theo đề nghị của Phòng Quản trị nguồn vốn.</t>
  </si>
  <si>
    <t>Theo dõi thực hiện trả nợ gốc, lãi vay tái cấp vốn theo điều khoản hợp đồng hoặc theo đề nghị từ Phòng Định chế Tài chính.</t>
  </si>
  <si>
    <t>tỷ lệ % (chia đều)</t>
  </si>
  <si>
    <t>P.QTNV
P.ĐCTC</t>
  </si>
  <si>
    <t>Tác nghiệp giao dịch vay vốn tại NHNN</t>
  </si>
  <si>
    <t>Tiếp nhận hồ sơ vay tái cấp vốn NHNN từ Phòng Định chế Tài chính và hạch toán ghi nhận khoản vay khi được giải ngân.</t>
  </si>
  <si>
    <t>Theo dõi để thực hiện tất toán các mã trái phiếu VAMC tương ứng với các khoản nợ đã được thu hồi hết.</t>
  </si>
  <si>
    <t>Phối hợp với Phòng Giám sát Tài chính theo dõi và thực hiện trích lập dự phòng rủi ro trái phiếu VAMC theo quy định.</t>
  </si>
  <si>
    <t>P.XLN&amp;KTTS</t>
  </si>
  <si>
    <t>Tác nghiệp giao dịch trái phiếu VAMC</t>
  </si>
  <si>
    <t>Hạch toán ghi nhận các khoản mua trái phiếu đặc biệt sau khi Phòng Xử lý nợ và Khai thác tài sản hoàn tất thủ tục mua bán với VAMC.</t>
  </si>
  <si>
    <t>Xác nhận giao dịch trái phiếu trong ngày trên hệ thống của VSD</t>
  </si>
  <si>
    <t>Phối hợp Phòng Kinh doanh tiền tệ trong việc theo dõi và xác nhận quyền nhận gốc, lãi đối với giấy tờ có giá đến hạn với Trung tâm Lưu ký Chứng khoán Việt Nam</t>
  </si>
  <si>
    <t>Thực hiện hạch toán kế toán và các nghiệp vụ hỗ trợ hoạt động kinh doanh tiền tệ của Khối Kinh doanh tiền tệ, bao gồm Kinh doanh vốn liên ngân hàng, Kinh doanh ngoại hối và Kinh doanh giấy tờ có giá.</t>
  </si>
  <si>
    <t>P.KDTT
P.QTNV</t>
  </si>
  <si>
    <t xml:space="preserve">số giao dịch </t>
  </si>
  <si>
    <t>Thực hiện nghiệp vụ chuyển lưu ký chứng khoán</t>
  </si>
  <si>
    <t>Thực hiện lưu ký, chuyển lưu ký, cầm cố, phong tỏa giấy tờ có giá trên các tài khoản lưu ký nêu trên.</t>
  </si>
  <si>
    <t>Tổng hợp và thanh toán phí giao dịch, phí lưu ký chứng khoán</t>
  </si>
  <si>
    <t>Thực hiện thủ tục mở, đóng, thay đổi thông tin tài khoản lưu ký giấy tờ có giá phục vụ cho kinh doanh của Khối Kinh doanh tiền tệ.</t>
  </si>
  <si>
    <t>Quản lý, hạch toán, đối chiếu số dư tài khoản lưu ký chứng khoán</t>
  </si>
  <si>
    <t>P.KDNH</t>
  </si>
  <si>
    <t>số bút toán</t>
  </si>
  <si>
    <t>Hạch toán nghiệp vụ FX</t>
  </si>
  <si>
    <t>Hỗ trợ hạch toán giao dịch mua bán vàng tại các ĐVKD chưa được cấp phép theo đề nghị từ các ĐVKD thông qua Phòng Kinh doanh ngoại hối.</t>
  </si>
  <si>
    <t>Phối hợp P.KT thực hiện giao, nhận hóa đơn mua bán vàng, ngoại tệ với các Chi nhánh.</t>
  </si>
  <si>
    <t>Phối hợp với Phòng Kế toán Hội sở và các ĐVKD kiểm tra, đối chiếu việc xuất và giao nhận hóa đơn mua bán vàng, ngoại tệ giữa Hội sở với các ĐVKD.</t>
  </si>
  <si>
    <t>Phối hợp với Phòng Kế toán Hội sở kiểm tra và hạch toán kết quả kinh doanh ngoại hối vào cuối mỗi tháng.</t>
  </si>
  <si>
    <t>Thực hiện nghiệp vụ phong tỏa, giải phong tỏa tài khoản Nostro, Vostro đặc thù</t>
  </si>
  <si>
    <t>Hạch toán và quản lý số dư tài khoản VOSTRO, NOSTRO đặc thù phục vụ cho hoạt động kinh doanh của Khối Kinh doanh tiền tệ.</t>
  </si>
  <si>
    <t>Quản lý, hạch toán, đối chiếu số dư tài khoản Nostro, Vostro đặc thù phục vụ mục đích điều tiết thanh khoản</t>
  </si>
  <si>
    <t>tỷ lệ % (theo số điện)</t>
  </si>
  <si>
    <t>P.KDTT
P.KDNH</t>
  </si>
  <si>
    <t>số điện</t>
  </si>
  <si>
    <t>Lập điện chuyển tiền trong và ngoài nước các giao dịch KDTT, KDNH</t>
  </si>
  <si>
    <t>Xác nhận số dư giao dịch liên ngân hàng (định kỳ 6 tháng, cuối năm)</t>
  </si>
  <si>
    <t>Hạch toán nghiệp vụ Repo</t>
  </si>
  <si>
    <t>Thực hiện xác nhận số dư với đối tác có quan hệ giao dịch kinh doanh tiền tệ với SCB theo định kỳ hoặc đột xuất.</t>
  </si>
  <si>
    <t>P.KDTT
P.XLN&amp;KTTS</t>
  </si>
  <si>
    <t>Theo dõi thực hiện phân loại nợ và trích lập dự phòng rủi ro theo quy định của SCB, NHNN.</t>
  </si>
  <si>
    <t>Theo dõi và phối hợp Khối Kinh doanh tiền tệ trong việc phân loại nợ, trích lập dự phòng rủi ro đối với các khoản tiền gửi, cho vay, đầu tư của Khối Kinh doanh tiền tệ.</t>
  </si>
  <si>
    <t>Hạch toán nghiệp vụ Bond Outright</t>
  </si>
  <si>
    <t>KDTT: 45%
KDNH: 38%
ĐCTC: 2%
QTNV: 10%
XLN&amp;KTTS: 5%</t>
  </si>
  <si>
    <t>P.KDTT
P.KDNH
P.ĐCTC
P.QTNV
P.XLN&amp;KTTS</t>
  </si>
  <si>
    <t>Thực hiện công tác quyết toán cuối tháng</t>
  </si>
  <si>
    <t>Kiểm tra, đối chiếu, in sổ phụ, sao kê số dư các tài khoản tiền gửi, tiền vay, đầu tư, các khoản dự thu, dự chi, các khoản phải trả, phải thu thuộc quản lý của Phòng hàng tháng.</t>
  </si>
  <si>
    <t>Thực hiện đối chiếu số liệu cuối ngày</t>
  </si>
  <si>
    <t>số quyển chứng từ</t>
  </si>
  <si>
    <t>Tập hợp, hậu kiểm, đóng quyển chứng từ</t>
  </si>
  <si>
    <t>Thực hiện hạch toán, thanh toán và các nghiệp vụ hỗ trợ khác đối với giao dịch kinh doanh tiền tệ; theo dõi và hạch toán các nghiệp vụ phát sinh trong thời hạn hiệu lực của Hợp đồng.</t>
  </si>
  <si>
    <t>Hạch toán nghiệp vụ MM</t>
  </si>
  <si>
    <t>số điện swift</t>
  </si>
  <si>
    <t>Lập điện Swift xác nhận giao dịch phát sinh trong ngày của P.KDTT, KDNH</t>
  </si>
  <si>
    <t>Tiếp nhận và kiểm tra thông tin trên Phiếu giao dịch và các hồ sơ khác (nếu có) liên quan đến giao dịch kinh doanh tiền tệ phát sinh từ Khối Kinh doanh tiền tệ.</t>
  </si>
  <si>
    <t>Tiếp nhận hồ sơ pháp lý của các đối tác có quan hệ giao dịch kinh doanh tiền tệ với SCB từ Khối Kinh doanh tiền tệ; phối hợp với Phòng Định chế Tài chính để rà soát và cập nhật hồ sơ pháp lý khi có thay đổi;</t>
  </si>
  <si>
    <t>tỷ lệ % (theo số lần góp ý)</t>
  </si>
  <si>
    <t>Phòng H.O yêu cầu góp ý</t>
  </si>
  <si>
    <t>Góp ý mẫu hợp đồng, quy trình, quy định các phòng liên quan</t>
  </si>
  <si>
    <t>Tiếp nhận từ Khối Kinh doanh tiền tệ các Hợp đồng khung đã ký kết với đối tác, các mẫu hợp đồng giao dịch từng lần đã được TGĐ thông qua, góp ý trong trường hợp phát hiện điểm bất cập.</t>
  </si>
  <si>
    <t>số hợp đồng</t>
  </si>
  <si>
    <t>Lập Hợp đồng giao dịch phát sinh trong ngày của P.KDTT</t>
  </si>
  <si>
    <t>Tổng hợp báo cáo hoạt động nhập liệu trên chương trình kế hoạch hành động (tháng)</t>
  </si>
  <si>
    <t>Khác_NQ</t>
  </si>
  <si>
    <t>NQ</t>
  </si>
  <si>
    <t>PHÒNG NGÂN QUỸ</t>
  </si>
  <si>
    <t>21</t>
  </si>
  <si>
    <t>Tổng hợp báo cáo kiểm tra hệ thống, thiết bị an toàn kho quỹ quý</t>
  </si>
  <si>
    <t>Tổng hợp báo cáo công tác an toàn kho quỹ tháng</t>
  </si>
  <si>
    <t>Thực hiện báo cáo tình hình thu giữ tiền giả</t>
  </si>
  <si>
    <t>Thực hiện báo cáo Tổng kết công tác an toàn kho quỹ năm nộp NHNN</t>
  </si>
  <si>
    <t>Thực hiện báo cáo thống kê (báo cáo TT31)</t>
  </si>
  <si>
    <t>Số lần tham gia họp</t>
  </si>
  <si>
    <t>SCB, Phòng Hội sở</t>
  </si>
  <si>
    <t>Số lần</t>
  </si>
  <si>
    <t>Tham gia họp với TGĐ, Phòng Hội sở</t>
  </si>
  <si>
    <t>Số lượng văn bản góp ý</t>
  </si>
  <si>
    <t>Phòng Hội sở có yêu cầu góp ý văn bản</t>
  </si>
  <si>
    <t xml:space="preserve">Số lượng </t>
  </si>
  <si>
    <t>Góp ý các tài liệu chất lượng, văn bản của các Phòng Hội sở liên quan đến nghiệp vụ kho quỹ.</t>
  </si>
  <si>
    <t>Phân bổ đều cho các ĐV trong hệ thống</t>
  </si>
  <si>
    <t>Cung cấp tài liệu kiểm toán</t>
  </si>
  <si>
    <t>100%</t>
  </si>
  <si>
    <t xml:space="preserve">Số lần </t>
  </si>
  <si>
    <t>Đánh giá CBNV ngân quỹ chuyển ngạch chức danh</t>
  </si>
  <si>
    <t>Tham gia phỏng vấn các chức danh CBNV kho quỹ</t>
  </si>
  <si>
    <t>SCB, phòng nghiệp vụ có liên quan</t>
  </si>
  <si>
    <t>- Sắp xếp chứng từ, sổ sách phát sinh trong ngày.
- Bàn giao chứng từ cho các phòng nghiệp vụ có liên quan.</t>
  </si>
  <si>
    <t>Thống kê, tổng hợp các vụ việc vi phạm quy định, quy trình nghiệp vụ kho quỹ dẫn đến thất thoát tài sản, phối hợp với Phòng Quản lý Rủi ro Vận hành và Tuân thủ cập nhật quy định hiện hành</t>
  </si>
  <si>
    <t>Tổ chức công tác giám sát, kiểm tra công tác an toàn kho quỹ tại Hội sở và các Đơn vị trong toàn hệ thống</t>
  </si>
  <si>
    <t>Tổng hợp các báo cáo sau kiểm tra, đánh giá thực trạng hoạt động kho quỹ tại các Đơn vị nhằm chấn chỉnh kịp thời và đưa ra các giải pháp phòng ngừa rủi ro trong hoạt động kho quỹ.</t>
  </si>
  <si>
    <t xml:space="preserve">Thực hiện kiểm quỹ đột xuất, kiểm tra công tác an toàn kho quỹ tại Hội sở và các Đơn vị theo định kỳ/đột xuất/theo chỉ đạo về việc chấp hành các VBQP kho quỹ tại các Đơn vị trong công tác giao nhận, bảo quản, vận chuyển hàng đặc biệt, quản lý kho tiền; tình trạng kho tiền và các hệ thống, trang thiết bị an toàn kho quỹ. </t>
  </si>
  <si>
    <t>Kiểm tra định kỳ thiết bị an toàn kho quỹ</t>
  </si>
  <si>
    <t>Tổ chức công tác kiểm quỹ đột xuất, kiểm tra công tác an toàn kho quỹ tại Hội sở và các Đơn vị trong toàn hệ thống</t>
  </si>
  <si>
    <t>Quản lý và thực hiện nghiệp vụ kho quỹ trong toàn hệ thống: điều phối tiền mặt  (tiền mặt VNĐ, ngoại tệ, vàng) tại Hội sở và các Đơn vị; Quản lý TS và kho tiền tại Hội sở.</t>
  </si>
  <si>
    <t>Kiểm kê tài sản tại Hội sở theo định kỳ/đột xuất-Kiểm kê quỹ cuối ngày</t>
  </si>
  <si>
    <t>Kiểm kê tài sản tại Hội sở theo định kỳ/đột xuất- Kiểm kê quỹ buổi trưa</t>
  </si>
  <si>
    <t>Tổ chức công tác bàn giao tài sản và kho tiền của các thành viên Ban Quản lý kho tiền (đột xuất).</t>
  </si>
  <si>
    <t>CN, PGD được kiểm tra</t>
  </si>
  <si>
    <t>Số lượng Đơn vị</t>
  </si>
  <si>
    <t>Giám sát hoạt động nghiệp vụ kho quỹ qua camera</t>
  </si>
  <si>
    <t>Toàn CN được kiểm tra</t>
  </si>
  <si>
    <t>'Kiểm tra công tác an toàn kho quỹ - Kiểm tra theo kế hoạch</t>
  </si>
  <si>
    <t>'Kiểm tra công tác an toàn kho quỹ - Kiểm tra đột xuất</t>
  </si>
  <si>
    <t>Phân bổ đều cho CN, PGD</t>
  </si>
  <si>
    <t>Sưu tầm, cập nhật, cung cấp cho các đơn vị thông tin về đặc điểm nhận dạng các loại tiền mẫu, tiền đình chỉ  lưu hành, tiền giả, tiền nghi giả VNĐ, tiền không đủ tiêu chuẩn lưu thông, vàng thật, vàng nhái thương hiệu và các loại ngoại tệ SCB đang thu đổi.</t>
  </si>
  <si>
    <t xml:space="preserve">Sưu tầm, cập nhật, cung cấp kịp thời các thông tin và hướng dẫn cho CBNV kho quỹ tại các Đơn vị về đặc điểm nhận dạng các loại tiền mẫu, tiền giả, tiền đình chỉ lưu hành, tiền không đủ tiêu chuẩn lưu thông. </t>
  </si>
  <si>
    <t>Phối hợp với P.QLĐT tạo tổ chức đào tạo các chuyên đề nghiệp vụ ngân quỹ dành cho: Kiểm  ngân, Thủ quỹ, KSV Ngân quỹ, GDV, KSV giao dịch, GĐ/PGD CN/PGD gồm: GDV tân tuyển</t>
  </si>
  <si>
    <t>Phối hợp với các Phòng liên quan tổ chức đào tạo cho CBNV làm công tác kho quỹ các VBQP kho quỹ hiện hành nhằm đảm bảo tính tuân thủ trong quá trình tác nghiệp. Đồng thời, tổ chức các kỳ thi kiểm tra kiến thức nghiệp vụ kho quỹ nhằm đánh giá chất lượng đào tạo và phát triển nguồn nhân sự; thực hiện công tác luân chuyển CBNV kho quỹ theo chủ trương của SCB.</t>
  </si>
  <si>
    <t>Phối hợp với P.QLĐT tạo tổ chức đào tạo các chuyên đề nghiệp vụ ngân quỹ dành cho: Kiểm  ngân, Thủ quỹ, KSV Ngân quỹ, GDV, KSV giao dịch, GĐ/PGD CN/PGD gồm:Thành viên Ban Quản lý kho tiền</t>
  </si>
  <si>
    <t>'Phối hợp với P.QLĐT tạo tổ chức đào tạo các chuyên đề nghiệp vụ ngân quỹ dành cho: Kiểm  ngân, Thủ quỹ, KSV Ngân quỹ, GDV, KSV giao dịch, GĐ/PGD CN/PGD gồm: KSV Ngân quỹ/ Thủ quỹ</t>
  </si>
  <si>
    <t xml:space="preserve">Phối hợp với P.QLĐT tạo tổ chức đào tạo các chuyên đề nghiệp vụ ngân quỹ dành cho: Kiểm  ngân, Thủ quỹ, KSV Ngân quỹ, GDV, KSV giao dịch, GĐ/PGD CN/PGD gồm : Kiểm ngân </t>
  </si>
  <si>
    <t>Phối hợp với P.QLĐT tổ chức kỳ thi kiểm tra kiến thức nghiệp vụ kho quỹ.</t>
  </si>
  <si>
    <t>Số lần rà soát</t>
  </si>
  <si>
    <t>Rà soát, bổ sung, cập nhật câu hỏi nghiệp vụ trên ngân hàng đề thi</t>
  </si>
  <si>
    <t>Phối hợp với P.QLĐT chuẩn hóa phương pháp đào tạo các chuyên đề nghiệp vụ theo hướng "Đào tạo tích cực"</t>
  </si>
  <si>
    <t>Số lượng tình huống</t>
  </si>
  <si>
    <t>Phối hợp với các Phòng Hội sở xây dựng các tình huống xử lý nghiệp vụ Ngân quỹ trong giao dịch với Khách hàng tại quầy giao dịch phục vụ cho công tác đào tạo</t>
  </si>
  <si>
    <t>Chuyên đề "Kỹ năng đổi mã số ổ khóa số cửa kho tiền"</t>
  </si>
  <si>
    <t>Soạn thảo tài liệu đào tạo trên elearning chuyên đề "Công tác Quản lý kho quỹ dành cho Ban quản lý kho tiền"</t>
  </si>
  <si>
    <t>Soạn thảo tài liệu đào tạo trên elearning chuyên đề “Phương án xử lý tình huống trong công tác vận chuyển hàng đặc biệt”</t>
  </si>
  <si>
    <t>TTĐT</t>
  </si>
  <si>
    <t>Cập nhật kịp thời các tài liệu đào tạo nghiệp vụ ngân quỹ</t>
  </si>
  <si>
    <t>Giáo trình</t>
  </si>
  <si>
    <t>Chuẩn hóa giáo trình giảng dạy của các chuyên đề đào tạo</t>
  </si>
  <si>
    <t>số lượng ngày cung cấp thực tế cho các ĐV được hỗ trợ</t>
  </si>
  <si>
    <t>Tất cả CN, PGD được hỗ trợ</t>
  </si>
  <si>
    <t>Số ngày</t>
  </si>
  <si>
    <t>Hỗ trợ nhân sự cho các Đơn vị</t>
  </si>
  <si>
    <t>CN, PGD có nhân sự luân chuyển</t>
  </si>
  <si>
    <t>Số đợt luân chuyển</t>
  </si>
  <si>
    <t>Tổ chức công tác luân chuyển CBNV kho quỹ các chức danh: KSV Ngân quỹ, Thủ quỹ, Kiểm ngân</t>
  </si>
  <si>
    <t>CN được luân chuyển</t>
  </si>
  <si>
    <t>Tổ chức thực hiện công tác lưu động đối với thành viên ngân quỹ lưu động tại các Đơn vị trong hệ thống (Tại CN).</t>
  </si>
  <si>
    <t>PGD được luân chuyển</t>
  </si>
  <si>
    <t>Tổ chức thực hiện công tác lưu động đối với thành viên ngân quỹ lưu động tại các Đơn vị trong hệ thống (Tại PGD).</t>
  </si>
  <si>
    <t>Xây dựng các cơ chế giám sát, nhận diện rủi ro trong hoạt động kho quỹ trên toàn hệ thống. Quản lý, kiểm tra, giám sát, hỗ trợ các Đơn vị trong hệ thống triển khai thực hiện các VBQP kho quỹ đảm bảo tính thống nhất và đồng bộ, đồng thời đề xuất các biện pháp khắc phục, đảm bảo hoạt động kho quỹ an toàn hiệu quả.</t>
  </si>
  <si>
    <t>Các CN và PGD</t>
  </si>
  <si>
    <t>Soạn thảo Tài liệu chất lượng: Hướng dẫn công tác lưu động của Đội Ngân quỹ lưu động.</t>
  </si>
  <si>
    <t>Xây dựng, chỉnh sửa, bổ sung hoàn thiện các VBQP có liên quan đến hoạt động kho quỹ (VBQP kho quỹ) theo quy định của NHNN và của SCB, phù hợp với quy định hiện hành, đáp ứng nhu cầu hoạt động của SCB.</t>
  </si>
  <si>
    <t>Soạn thảo tài liệu chất lượng: Hướng dẫn Thực hiện giao dịch tiền mặt trên Chương trình Giao dịch nội bộ</t>
  </si>
  <si>
    <t>Phân bổ đều cho CN, PGD khu vực TP.HCM</t>
  </si>
  <si>
    <t>CN, PGD
KV HCM</t>
  </si>
  <si>
    <t>Soạn thảo tài liệu chất lượng: Quy định Tổ chức và hoạt động kho quỹ theo mô hình Ngân quỹ tập trung tại khu vực TP.HCM</t>
  </si>
  <si>
    <t>Tu chỉnh tài liệu chất lượng: Hướng dẫn thực hiện giao dịch thu, chi tiền mặt trong giao dịch một cửa.</t>
  </si>
  <si>
    <t>Triển khai các văn bản liên quan hoạt động kho quỹ đến các Đơn vị trong hệ thống.</t>
  </si>
  <si>
    <t>b. Triển khai Thông báo, công văn của NHNN/Cục Phát hành kho quỹ</t>
  </si>
  <si>
    <t>a. Triển khai các văn bản, quy định của NHNN</t>
  </si>
  <si>
    <t>Dự báo tình hình thu, chi tiền mặt hàng quý</t>
  </si>
  <si>
    <t>Thực hiện công tác quản lý tiền mặt, ấn chỉ quan trọng, các loại hồ sơ TS và kho tiền Hội sở</t>
  </si>
  <si>
    <t>Ứng dụng</t>
  </si>
  <si>
    <t>Phối hợp với Phòng Phát triển Ứng dụng xây dựng Chương trính Quản lý tồn quỹ tại Bộ phận Ngân quỹ</t>
  </si>
  <si>
    <t>Phối hợp với các Phòng Hội sở xây dựng Chương trình Quản lý ấn chỉ quan trọng tại Bộ phận Ngân quỹ</t>
  </si>
  <si>
    <t>Tiêu hủy ACQT hỏng.</t>
  </si>
  <si>
    <t>Giao nhận ACQT với các Đơn vị trong hệ thống</t>
  </si>
  <si>
    <t xml:space="preserve">Phân bổ đều cho các CN trong hệ thống </t>
  </si>
  <si>
    <t>Phối hợp các Phòng Hội sở kiểm kê ấn chỉ quan trọng theo định kỳ.</t>
  </si>
  <si>
    <t>Nghiệm thu ACQT về số lượng: kiểm đếm, đóng gói, niêm phong ACQT trước khi nhập kho.</t>
  </si>
  <si>
    <t xml:space="preserve">Phối hợp các Phòng Hội sở thực hiện giao, nhận, nghiệm thu chất lượng ACQT, gửi kho Hội sở. </t>
  </si>
  <si>
    <t>Tất cả CN, PGD</t>
  </si>
  <si>
    <t>Xử lý báo cáo Vân tay với các Đơn vị trong hệ thống</t>
  </si>
  <si>
    <t>Phục vụ công tác luân chuyển đối với: Thủ kho Chi nhánh; Thủ quỹ Phòng Giao dịch</t>
  </si>
  <si>
    <t>Cập nhật/điều chuyển dấu vân tay của thành viên Ban quản lý kho tiền các Đơn vị trong hệ thống - Thường xuyên</t>
  </si>
  <si>
    <t>Thưc hiện mở và cập nhật các loại sổ sách nghiệp vụ ngân quỹ,  - Kiểm tra, bảo quản lưu trữ các loại sổ sách nghiệp vụ ngân quỹ.</t>
  </si>
  <si>
    <t xml:space="preserve">Phân bổ đều </t>
  </si>
  <si>
    <t>Tất cả CN, PGD khu vực TP.HCM</t>
  </si>
  <si>
    <t>Thực hiện giao nhận tiền mặt, vàng, ngoại tệ đối với công tác điều/tiếp quỹ của các Đơn vị trên địa bàn</t>
  </si>
  <si>
    <t>KDTT</t>
  </si>
  <si>
    <t>Thực hiện các giao dịch đổi chuyển khoản ngoại tệ với các TCTD trên địa bàn.</t>
  </si>
  <si>
    <t>Thực hiện các giao dịch chuyển đổi tiền mặt với các TCTD trên địa bàn.</t>
  </si>
  <si>
    <t>KDNH</t>
  </si>
  <si>
    <t>Thực hiện các giao dịch mua bán vàng với khách hàng (giao dịch tiền mặt).</t>
  </si>
  <si>
    <t>Thực hiện giao, nhận, kiểm đếm tiền mặt ngoại tệ phục vụ cho nhu cầu xuất, nhập khẩu.</t>
  </si>
  <si>
    <t>CN, PGD điều quỹ về Hội sở nhưng chưa tuyển lựa tiền.</t>
  </si>
  <si>
    <t>Số ngày thực hiện kiểm đếm, tuyển lựa, đóng bó</t>
  </si>
  <si>
    <t>Thực hiện công tác kiểm đếm, tuyển lựa, đóng bó tiền theo quy định cho các Đơn vị trên địa bàn.</t>
  </si>
  <si>
    <t>Phân bổ cho các Phòng Hội sở gửi tài sản tại kho tiền Hội sở</t>
  </si>
  <si>
    <t xml:space="preserve">Thực hiện công tác nhập, xuất kho; Bảo quản an toàn tài sản trong kho tiền
</t>
  </si>
  <si>
    <t>Phân bổ đều CN, PGD khu vực TP.HCM</t>
  </si>
  <si>
    <t>CN, PGD TP.CM</t>
  </si>
  <si>
    <t xml:space="preserve">Thời gian </t>
  </si>
  <si>
    <t>Triển khai vận hành mô hình Ngân quỹ tập trung tại khu vực Tp.HCM.</t>
  </si>
  <si>
    <t>Thực hiện điều phối tiền mặt tại Hội sở và các Đơn vị trong toàn hệ thống</t>
  </si>
  <si>
    <t>Mô hình</t>
  </si>
  <si>
    <t>Tờ trình mô hình Ngân quỹ tập trung tại khu vực Tp.HCM.</t>
  </si>
  <si>
    <t>Phối hợp với các Phòng Hội sở nâng cấp "Chương trình Giao dịch nội bộ" phục vụ Mô hình Ngân quỹ tập trung</t>
  </si>
  <si>
    <t>CN, PGD khu vực TP.HCM</t>
  </si>
  <si>
    <t>Số lần nộp/lĩnh tiền</t>
  </si>
  <si>
    <t>Thực hiện nộp/lĩnh tiền mặt với NHNN Chi Nhánh TP. Hồ Chí Minh</t>
  </si>
  <si>
    <t>Cân đối, điều phối tồn quỹ tiền mặt; Tổ chức công tác điều/tiếp quỹ với các đơn vị trong toàn hệ thống; Nộp/lĩnh tiền mặt với NHNN/TCTD.</t>
  </si>
  <si>
    <t>Số lượng nhật ký chứng từ</t>
  </si>
  <si>
    <t>Lưu trữ chứng từ điện tử, sắp xếp và đóng nhật ký chứng từ.</t>
  </si>
  <si>
    <t>Khác_TT</t>
  </si>
  <si>
    <t>TT</t>
  </si>
  <si>
    <t>PHÒNG THANH TOÁN</t>
  </si>
  <si>
    <t>20</t>
  </si>
  <si>
    <t>Số lượng ý kiến phản hồi</t>
  </si>
  <si>
    <t>P.CSKH/P. Giám sát và tra soát thẻ</t>
  </si>
  <si>
    <t>Số lượng Case trên CIMS</t>
  </si>
  <si>
    <t>Giải đáp thắc mắc, ý kiến của đơn vị hoặc khách hàng qua hệ thống điện thoại hoặc phối hợp với P.DVKH phản hồi các YKKH trên chương trình CIMS về các giao dịch chuyển tiền ngoài hệ thống.</t>
  </si>
  <si>
    <t>Số lượng PYC</t>
  </si>
  <si>
    <t>Phòng HO/ĐVKD liên quan</t>
  </si>
  <si>
    <t>Số lượng phiếu ý kiến</t>
  </si>
  <si>
    <t>Phối hợp xử lý các công việc, trả lời Phiếu yêu cầu, góp ý tài liệu của các đơn vị khác.</t>
  </si>
  <si>
    <t>Số lượng hạch toán</t>
  </si>
  <si>
    <t>Thực hiện hạch toán trên FCC, ERP các nghiệp vụ phát sinh khác có liên quan đến hoạt động thanh toán chuyển tiền trong nước.</t>
  </si>
  <si>
    <t>Hạch toán điều chỉnh Thu nhập – Chi phí lãi FTP theo đề nghị của các Đơn vị</t>
  </si>
  <si>
    <t>Thực hiện hạch toán các nghiệp vụ khác liên quan đến hoạt động thanh toán trong nước</t>
  </si>
  <si>
    <t>Hạch toán tiền thừa/thiếu tại NHNN.</t>
  </si>
  <si>
    <t>Hạch toán phí rút tiền từ NHNN, các TCTD phát sinh trong nghiệp vụ điều vốn.</t>
  </si>
  <si>
    <t>Hạch toán thu/chi tiền mặt điều/tiếp vốn từ NHNN về Phòng Ngân quỹ Hội sở và ngược lại.</t>
  </si>
  <si>
    <t>Số lượng hạch toán phát sinh trong kỳ</t>
  </si>
  <si>
    <t>QTNV</t>
  </si>
  <si>
    <t>Thực hiện hạch toán điều/tiếp vốn nội bộ cho các Chi nhánh,  thu/chi tiền mặt điều/tiếp vốn từ NHNN về P. Ngân quỹ Hội sở và ngược lại, lập điện và hạch toán điều vốn giữa các TK Nostro trong nước theo đề nghị Phòng/Ban Hội sở.</t>
  </si>
  <si>
    <t>Lập, ký ủy nhiệm chi, lập điện và hạch toán điều vốn giữa các tài khoản Nostro trong nước theo đề nghị Phòng Hội sở.</t>
  </si>
  <si>
    <t>Hạch toán điều/tiếp vốn nội bộ cho các ĐVKD (hàng ngày, khi có phát sinh).</t>
  </si>
  <si>
    <t>Đầu mối làm việc với ĐVKD và các Phòng Hội sở khác khi có yêu cầu của Kiểm toán các công việc liên quan đến Phòng</t>
  </si>
  <si>
    <t>Thực hiện các báo cáo nội bộ, báo cáo NHNN/các cơ quan có thẩm quyền về hoạt động thanh toán trong nước.</t>
  </si>
  <si>
    <t>Số lượng báo cáo thực hiện trong kỳ.</t>
  </si>
  <si>
    <t xml:space="preserve">Thực hiện báo cáo các chỉ tiêu về hoạt động thanh toán của báo cáo Thông tư 35. Phối hợp với phòng Báo cáo Thống kê cung cấp báo cáo phòng chống rửa tiền theo đúng quy định cho NHNN. Thực hiện các báo cáo theo định kỳ hoặc đột xuất theo quy định của SCB.  </t>
  </si>
  <si>
    <t>Thực hiện báo cáo thống kê về công tác thanh toán, báo cáo phòng chống rửa tiền, báo cáo hoạt động thanh toán theo quy định.</t>
  </si>
  <si>
    <t>Phối hợp với các Phòng Hội sở liên quan xây dựng sản phẩm dịch vụ mới liên quan đến thanh toán trong nước và tổ chức triển khai thực hiện kế hoạch</t>
  </si>
  <si>
    <t>Thực hiện nghiệp vụ thanh toán trong nước của Hội sở và với vai trò đầu mối của SCB.</t>
  </si>
  <si>
    <t>Số lượng TK thực hiện mở/đóng trong kỳ.</t>
  </si>
  <si>
    <t>Thực hiện thủ tục đóng/mở tài khoản tiền gửi thanh toán của SCB tại các TCTD trong nước theo yêu cầu của các Đơn vị.</t>
  </si>
  <si>
    <t>Thực hiện thủ tục đóng, mở tài khoản TGTT tại NHNN và các TCTD trong nước.</t>
  </si>
  <si>
    <t>Thực hiện giao nhận sổ phụ, chứng từ, báo có từ NHNN Chi nhánh TPHCM, các TCTD trên địa bàn TPHCM cho các Phòng Hội sở liên quan.</t>
  </si>
  <si>
    <t>Thực hiện xử lý báo có, đối chiếu các giao dịch cuối ngày.</t>
  </si>
  <si>
    <t>Cân đối nguồn vốn để phối hợp với Phòng Quản trị nguồn vốn điều tiếp vốn đảm bảo khả năng thanh toán trong ngày qua các kênh thanh toán trong nước.</t>
  </si>
  <si>
    <t>Số lượng điện tra soát phát sinh trong kỳ</t>
  </si>
  <si>
    <t xml:space="preserve">CN, PGD, KT, TNKDTT </t>
  </si>
  <si>
    <t>Số lượng điện tra soát</t>
  </si>
  <si>
    <t>Thực hiện các lệnh tra soát các giao dịch chuyển tiền trong nước.</t>
  </si>
  <si>
    <t>Xử lý các điện tra soát đi/đến qua các kênh thanh toán theo yêu cầu của Đơn vị hoặc của Khách hàng.</t>
  </si>
  <si>
    <t>Quản lý Séc và viết Séc rút tiền mặt tại NHNN và các TCTD khác.</t>
  </si>
  <si>
    <t>Tính toán và/hoặc hạch toán phí chuyển tiền thông qua hợp đồng thanh toán, phí/lãi của các Tài khoản Nostro do Phòng quản lý.</t>
  </si>
  <si>
    <t>Thực hiện theo dõi, kiểm tra, đối chiếu số dư, hạch toán các khoản lãi/phí phát sinh của các tài khoản tiền gửi thanh toán của SCB mở tại các TCTD trong nước do P.TT quản lý.</t>
  </si>
  <si>
    <t>Kiểm tra, đối chiếu số dư tài khoản các khoản chờ thanh toán/chờ nhận tiền ra ngoài hệ thống/đến từ liên ngân hàng/trên ebanking và số dư tiền gửi trên các tài khoản Nostro do Phòng quản lý.</t>
  </si>
  <si>
    <t>Số lượng điện đi, đến phát sinh trong kỳ</t>
  </si>
  <si>
    <t>Số lượng điện đi, đến</t>
  </si>
  <si>
    <t>Xử lý điện đi/đến: Thực hiện các giao dịch chuyển tiền trong nước qua hệ thống thanh toán điện tử liên ngân hàng (CITAD), thanh toán đa phương (BIDV), VCB-Money, thanh toán qua tài khoản của SCB mở tại TCTD khác.</t>
  </si>
  <si>
    <t>Tiếp nhận và xử lý các điện chuyển tiền đi, đến qua các kênh thanh toán điện tử, qua tài khoản TGTT tại NHNN Chi nhánh TPHCM và qua tài khoản TGTT tại các TCTD khác.</t>
  </si>
  <si>
    <t>Thực hiện các thủ tục hành chính liên quan đến việc tham gia các kênh thanh toán điện tử</t>
  </si>
  <si>
    <t>Quản lý hoạt động thanh toán trong nước của SCB.</t>
  </si>
  <si>
    <t>Phối hợp với Phòng Vận hành Core, Phòng Kỹ thuật Thẻ và Ngân hàng Số liên quan đến hệ thống chuyển tiền qua kênh thanh toán nội bộ, kênh thanh toán điện tử, hệ thống bên ngoài nhằm xử lý giao dịch nhanh chóng, an toàn, hiệu quả.</t>
  </si>
  <si>
    <t>Phối hợp với các Phòng Hội sở xây dựng, điều chỉnh biểu phí cho phù hợp với tình hình thực tế.</t>
  </si>
  <si>
    <t>Thiết lập hạn mức nợ ròng để đảm bảo thanh toán giá trị thấp trong giao dịch thanh toán liên ngân hàng theo quy định NHNN.</t>
  </si>
  <si>
    <t>Đại diện cho Ngân hàng tham gia vào các hệ thống thanh toán điện tử của NHNN, của các TCTD trong nước.</t>
  </si>
  <si>
    <t>Tỷ lệ hoàn thành kế hoạch</t>
  </si>
  <si>
    <t>Ban triển khai Dự án Core&amp;NHĐT</t>
  </si>
  <si>
    <t>Phối hợp với Ban triển khai Dự án Core&amp;NHĐT xây dựng màn hình chuyển tiền trên hệ thống Core.</t>
  </si>
  <si>
    <t>Đầu mối quản lý nghiệp vụ thanh toán bao gồm chuyển tiền trong nước thông qua các tài khoản TGTT của Ngân hàng mở tại NHNN, các TCTD trong nước. Tổ chức vận hành về mặt nghiệp vụ hệ thống thanh toán nội bộ của Ngân hàng và các hệ thống thanh toán khác mà Ngân hàng tham gia.</t>
  </si>
  <si>
    <t>Ban TKDA Treasury</t>
  </si>
  <si>
    <t>Phối hợp với Ban triển khai dự án Treasury thực hiện test phần mềm Treasury.</t>
  </si>
  <si>
    <t>Số lượng bài Elearning xây dựng trong kỳ</t>
  </si>
  <si>
    <t>Bài Elearning</t>
  </si>
  <si>
    <t>Phối hợp với Trung tâm Đào tạo xây dựng tài liệu E-Learning nghiệp vụ chuyển tiền trong nước.</t>
  </si>
  <si>
    <t>Số lớp thực hiện đào tạo trong kỳ</t>
  </si>
  <si>
    <t>Phối hợp với Trung tâm Đào tạo thực hiện các lớp đào tạo nghiệp vụ chuyển tiền trong nước.</t>
  </si>
  <si>
    <t xml:space="preserve"> Ban triển khai Phần mềm PCRT</t>
  </si>
  <si>
    <t>Phối hợp với Ban triển khai Phần mềm phòng chống rửa tiền thực hiện xây dựng chương trình phòng chống rửa tiền.</t>
  </si>
  <si>
    <t>Xây dựng, cải tiến, triển khai và kiểm soát việc thực hiện các VBQP liên quan đến hoạt động thanh toán trong nước áp dụng trong toàn hệ thống.</t>
  </si>
  <si>
    <t>All các đơn vị kinh doanh</t>
  </si>
  <si>
    <t xml:space="preserve">Phối hợp với P.VHCORE thực hiện nâng cấp chương trình Citad 2.5, tiếp tục hoàn thiện chương trình Local Payment 2.0 </t>
  </si>
  <si>
    <t>Số cuộc họp</t>
  </si>
  <si>
    <t>Phòng tổ chức họp</t>
  </si>
  <si>
    <t>Số lần tham dự họp</t>
  </si>
  <si>
    <t>Tham gia họp với các Phòng Hội sở có liên quan để phối hợp thực hiện công việc</t>
  </si>
  <si>
    <t>Khác_HTKH</t>
  </si>
  <si>
    <t>HTKH</t>
  </si>
  <si>
    <t>PHÒNG HỖ TRỢ KHÁCH HÀNG</t>
  </si>
  <si>
    <t>62</t>
  </si>
  <si>
    <t>Số quy trình, quy định</t>
  </si>
  <si>
    <t>Phòng soạn thảo Quy trình, Quy định</t>
  </si>
  <si>
    <t>Số lần góp ý</t>
  </si>
  <si>
    <t>Góp ý xây dựng các Quy trình, quy định</t>
  </si>
  <si>
    <t>Theo số lượng SPDV triển khai</t>
  </si>
  <si>
    <t>Tiền gửi, Thẻ&amp;NHĐT</t>
  </si>
  <si>
    <t>Số lần thông báo, góp ý</t>
  </si>
  <si>
    <t>Thông báo các YKKH về SPDV
- Thông báo ngay khi phát sinh
- Góp ý các SPDV trước khi triển khai</t>
  </si>
  <si>
    <t>Theo số lượng lỗi phát sinh</t>
  </si>
  <si>
    <t>Thẻ&amp;NHĐT</t>
  </si>
  <si>
    <t>Thông báo các trường hợp lỗi hệ thống:
- Thông báo lỗi ngay khi phát sinh
- Tổng hợp các YKKH liên quan đến Lỗi hệ thống hàng tháng để đề xuất biện pháp khắc phục và cải tiến.</t>
  </si>
  <si>
    <t>Số lớp đào tạo</t>
  </si>
  <si>
    <t>Tham gia đào tạo Nhân viên tân tuyển toàn hàng về nghiệp vụ Thẻ&amp;NHĐT, Tiền gửi.</t>
  </si>
  <si>
    <t>Lần phỏng vấn</t>
  </si>
  <si>
    <t>Tham gia phỏng vấn các chức danh thuộc bộ phận DVKH tại các Đơn vị</t>
  </si>
  <si>
    <t>Triển khai công tác giám sát chất lượng cuộc gọi và đào tạo</t>
  </si>
  <si>
    <t>Vận hành hệ thống điện thoại Contact Center và phối hợp nghiên cứu mở rộng các kênh giao tiếp với Khách hàng</t>
  </si>
  <si>
    <t>Xây dựng ngân hàng dữ liệu và kịch bản trả lời cuộc gọi dành cho Bộ phận Hỗ trợ Khách hàng</t>
  </si>
  <si>
    <t>Công tác khác</t>
  </si>
  <si>
    <t>KH cá nhân</t>
  </si>
  <si>
    <t>Phối hợp Phòng PTUD xây dựng Chatbot
- Mô tả yêu cầu hệ thống
- Test hệ thống
- Cập nhật thông tin</t>
  </si>
  <si>
    <t>Tham gia các dự án cải tiến các hệ thống/chương trình cung cấp dịch vụ như FCC, Cardworks, Safe2pay,….</t>
  </si>
  <si>
    <t>Số nội dung cải tiến</t>
  </si>
  <si>
    <t>Quản lý, cải tiến hệ thống Contact Center và các chương trình hỗ trợ: 
-Chương trình Quản lý thông tin KH (CIMS)
- Chương trình Quản lý cuộc gọi (CIC) 
- Chương trình Quản lý thông tin (KMS)
- Chương trình giám sát chất lượng cuộc gọi (GSCL)</t>
  </si>
  <si>
    <t>Xây dựng, cải tiến hệ thống điện thoại Contact Center và các chương trình hỗ trợ.</t>
  </si>
  <si>
    <t>Xây dựng các VBQP, hệ thống liên quan đến hoạt động Hỗ trợ Khách hàng</t>
  </si>
  <si>
    <t>Phối hợp và giám sát công tác xử lý ý kiến Khách hàng của các Phòng/Đơn vị có liên quan</t>
  </si>
  <si>
    <t>Triển khai công tác tiếp nhận và xử lý các yêu cầu/thắc mắc/than phiền/khiếu nại của Khách hàng qua các kênh giao tiếp gián tiếp.</t>
  </si>
  <si>
    <t>Tiếp nhận và xử lý các trường hợp ý kiến Khách hàng cần phải phối hợp với Phòng Hội sở hoặc Đơn vị.</t>
  </si>
  <si>
    <t>Phối hợp với Đơn vị xử lý các vấn đề phát sinh trong quá trình tiếp xúc với Khách hàng</t>
  </si>
  <si>
    <t>Hỗ trợ tổ chức hoạt động Bộ phận Hỗ trợ Khách hàng: Xây dựng nội dung các chiến dịch chăm sóc Khách hàng theo yêu cầu của các Phòng Hội sở và Đơn vị trong từng thời kỳ, như thực hiện gọi ra cho Khách hàng kích hoạt Thẻ, chi tiêu, khảo sát sự hài lòng của Khách hàng sau giao dịch tư vấn, các hình thức tặng quà theo chương trình khuyến mãi của SCB...</t>
  </si>
  <si>
    <t>Thu thập và phản hồi đến các Đơn vị có liên quan các phản hồi của Khách hàng liên quan đến sản phẩm và chất lượng dịch vụ của SCB.</t>
  </si>
  <si>
    <t>Phân bổ cho CN/PGD theo số lượng thẻ TDQT được liên hệ</t>
  </si>
  <si>
    <t>Sản phẩm thẻ TDQT</t>
  </si>
  <si>
    <t xml:space="preserve">Số lượng KH </t>
  </si>
  <si>
    <t>Tư vấn KH sử dụng dịch vụ Easy Cash</t>
  </si>
  <si>
    <t>Thực hiện xử lý ngay các ý kiến Khách hàng phát sinh qua tổng đài điện thoại, email, website, facebook, zalo,…trong thời gian quy định của SCB.</t>
  </si>
  <si>
    <t>Phân bổ cho CN/PGD theo số lượng KH được khảo sát</t>
  </si>
  <si>
    <t>Khảo sát đánh giá sự hài lòng của KH sau khi giao dịch tại Đơn vị</t>
  </si>
  <si>
    <t>Sản phẩm thẻ (95%), Tiền gửi (5%)</t>
  </si>
  <si>
    <t>Lựa chọn quà tặng của các chương trình ưu đãi; Thông báo KH về các GD thẻ MC Debit cần truy thu</t>
  </si>
  <si>
    <t>Phân bổ cho CN/PGD theo số lượng KH được liên hệ</t>
  </si>
  <si>
    <t>Thẻ TDQT</t>
  </si>
  <si>
    <t>Khuyến khích KH chi tiêu đối với thẻ 03 tháng không GD</t>
  </si>
  <si>
    <t xml:space="preserve">Số thẻ TDQT </t>
  </si>
  <si>
    <t>Kích hoạt thẻ TDQT và khuyến khích chi tiêu thẻ</t>
  </si>
  <si>
    <t>Phân bổ cho CN/PGD theo số lượng thẻ TDQT đủ điều kiện gia hạn</t>
  </si>
  <si>
    <t>Chủ động liên hệ chăm sóc KH:
Gia hạn thẻ TDQT</t>
  </si>
  <si>
    <t xml:space="preserve">Phân bổ cho CN/PGD theo số lượng KH </t>
  </si>
  <si>
    <t>Các sản phẩm: Thẻ &amp;NHĐT  (85%), Tiền gửi (8), Dịch vụ và Tiền vay (5), Khác (2)</t>
  </si>
  <si>
    <t>Số lượng YKKH</t>
  </si>
  <si>
    <t>Công tác tiếp nhận và xử lý ý kiến KH 24/7 qua các kênh tiếp nhận (điện thoại, email, zalo, fanpage, website, thư, trực tiếp, chatbot).</t>
  </si>
  <si>
    <t>Khác_QLCLDVKH</t>
  </si>
  <si>
    <t>QLCLDVKH</t>
  </si>
  <si>
    <t>PHÒNG QUẢN LÝ CLDV KHÁCH HÀNG</t>
  </si>
  <si>
    <t>57</t>
  </si>
  <si>
    <t>Tư vấn, giải đáp thắc mắc của Đơn vị về chất lượng dịch vụ</t>
  </si>
  <si>
    <t>Quản lý, triển khai giám sát và đánh giá chất lượng dịch vụ Khách hàng tại các Đơn vị trong toàn hệ thống SCB</t>
  </si>
  <si>
    <t>Đánh giá và phối hợp xử lý các vi phạm về tác phong phục vụ và tiêu chuẩn chất lượng dịch vụ.</t>
  </si>
  <si>
    <t>Theo chỉ đạo của TGĐ</t>
  </si>
  <si>
    <t>Tham gia công tác chuyển đổi mô hình giao dịch mới tại quầy</t>
  </si>
  <si>
    <t>Xây dựng, triển khai, cải tiến các chương trình giám sát chất lượng dịch vụ.</t>
  </si>
  <si>
    <t>Xây dựng, triển khai QR code trên STK</t>
  </si>
  <si>
    <t>Phòng yêu cầu</t>
  </si>
  <si>
    <t>Ý kiến</t>
  </si>
  <si>
    <t>Tham gia đóng góp ý kiến các nội dung sản phẩm/dịch vụ và các tài liệu chất lượng liên quan đến mảng nghiệp vụ của Phòng</t>
  </si>
  <si>
    <t>Số lần cải tiến</t>
  </si>
  <si>
    <t>Cải tiến 03 loại giao dịch trên hệ thống Máy tính bảng trong giao dịch tại quầy</t>
  </si>
  <si>
    <t>Xây dựng Bộ tài liệu truyền thông nội bộ (cẩm nang/toolkit…) liên quan đến nghiệp vụ tiền gửi KHCN</t>
  </si>
  <si>
    <t>Thành lập khu vực giám sát hoạt động Đơn vị qua camera</t>
  </si>
  <si>
    <t>Trang bị gương cho CBNV Phòng/Bộ phận DVKH tại Đơn vị kinh doanh</t>
  </si>
  <si>
    <t>Trang bị máy khảo sát ý kiến Khách hàng tại quầy</t>
  </si>
  <si>
    <t>Trang bị máy lấy số thứ tự cho các Đơn vị</t>
  </si>
  <si>
    <t xml:space="preserve">Đề xuất thay đổi đồng phục </t>
  </si>
  <si>
    <t>Kỳ đánh giá</t>
  </si>
  <si>
    <t>Triển khai Đánh giá CLDV  (Triển khai các kênh đánh giá như: Khảo sát sự hài lòng của KH, giám sát qua camera, KH bí mật, Đánh giá trực tiếp tại Đơn vị)</t>
  </si>
  <si>
    <t>Xây dựng cơ chế đánh giá chất lượng dịch vụ.</t>
  </si>
  <si>
    <t>Bản tin</t>
  </si>
  <si>
    <t>Thực hiện truyền thông các tình huống sai sót nghiệp vụ thuộc mảng DVKH (gửi toàn hàng định kỳ 2 tuần/lần)</t>
  </si>
  <si>
    <t>Xây dựng, tổ chức các chương trình ứng dụng văn hóa dịch vụ toàn hàng vào hoạt động của Đơn vị</t>
  </si>
  <si>
    <t>Xây dựng tiêu chuẩn chất lượng dịch vụ Khách hàng tại các Đơn vị trong toàn hệ thống SCB.</t>
  </si>
  <si>
    <t>Triển khai chương trình thi đua về CLDV cho Đơn vị và CBNV Phòng/Bộ phận DVKH</t>
  </si>
  <si>
    <t>Cuộc thi</t>
  </si>
  <si>
    <t>Tổ chức cuộc thi thường niên về CLDV dành cho CBNV Phòng/Bộ phận DVKH "SCB Chung sức"</t>
  </si>
  <si>
    <t>Số lượng thông điệp</t>
  </si>
  <si>
    <t>Tổ chức Hoạt động truyền thông về CLDV (gửi định kỳ Thông điệp CLDV cho CBNV Phòng/Bộ phận DVKH tại Đơn vị kinh doanh)</t>
  </si>
  <si>
    <t>Nghiên cứu xây dựng văn hóa dịch vụ toàn hàng</t>
  </si>
  <si>
    <t>Quy trình/ quy định</t>
  </si>
  <si>
    <t>Xây dựng, tu chỉnh  quy trình, quy định</t>
  </si>
  <si>
    <t>Khác_QT&amp;PTML</t>
  </si>
  <si>
    <t>QT&amp;PTML</t>
  </si>
  <si>
    <t>PHÒNG QUẢN TRỊ VÀ PTML</t>
  </si>
  <si>
    <t>33</t>
  </si>
  <si>
    <t>KHỐI QUẢN TRỊ</t>
  </si>
  <si>
    <t>I</t>
  </si>
  <si>
    <t>Phối hợp tổ chức giám sát việc chấp hành Nội quy lao động, các quy định liên quan đến việc đảm bảo an toàn, an ninh trong toàn hàng</t>
  </si>
  <si>
    <t>Công tác đảm bảo an ninh, an toàn trong toàn hàng</t>
  </si>
  <si>
    <t>Kiểm tra, quyết toán chi phí dịch vụ bảo vệ, lái xe, vệ sinh</t>
  </si>
  <si>
    <t>Quản lý, kiểm tra giám sát và đánh giá tình hình thực hiện dịch vụ của các Công ty dịch vụ (Bảo vệ, Tạp vụ, …) đảm bảo thực hiện đúng hợp đồng và có đề xuất phù hợp.</t>
  </si>
  <si>
    <t>Tờ trình</t>
  </si>
  <si>
    <t>Tăng/giảm vị trí bảo vệ, lái xe, tạp vụ</t>
  </si>
  <si>
    <t>Hợp đồng</t>
  </si>
  <si>
    <t xml:space="preserve"> Đề xuất giải pháp, theo dõi và giám sát các nhà cung cấp dịch vụ, nhà thầu thi công thực hiện theo hợp đồng đã ký với SCB (yêu cầu, đề nghị, chấn chỉnh, kiểm tra…) liên quan đến công tác bảo trì, bảo dưỡng Hệ thống kỹ thuật/trang thiết bị tại các Tòa nhà</t>
  </si>
  <si>
    <t>Số lượng phiếu yêu cầu/tờ trình</t>
  </si>
  <si>
    <t>Phòng HO/CN</t>
  </si>
  <si>
    <t>Phiếu yêu cầu/Tờ trình</t>
  </si>
  <si>
    <t>Xử lý các vấn đề phát sinh trong công tác kiểm tra, vận hành, bảo trì và bảo dưỡng hệ thống kỹ thuật/trang thiết bị tại các Tòa nhà</t>
  </si>
  <si>
    <t>Phản ánh kịp thời cho Ban Điều hành những vụ việc bất thường xảy ra liên quan đến công tác an ninh tại Hội sở và các Tòa nhà do Hội sở quản lý để xem xét giải quyết.</t>
  </si>
  <si>
    <t>Thực hiện hỗ trợ theo chức năng quản lý ngành dọc trong lĩnh vực liên quan đến an toàn hệ thống kỹ thuật/trang thiết bị cho Đơn vị trong toàn hàng</t>
  </si>
  <si>
    <t>Tổ chức tuyên truyền và giám sát nghiệp vụ bảo vệ, nghiệp vụ Phòng cháy chữa cháy của nhân viên Bảo vệ đạt hiệu quả tốt nhất, đảm bảo an ninh 24/24.</t>
  </si>
  <si>
    <t>Số lượng CBNV</t>
  </si>
  <si>
    <t>Phiếu ý kiến/Tờ trình</t>
  </si>
  <si>
    <t>Hỗ trợ, tư vấn giải pháp liên quan đến hoạt động bảo trì, bảo dưỡng và sửa chữa hệ thống kỹ thuật theo yêu cầu từ các đơn vị trong toàn hàng.</t>
  </si>
  <si>
    <t>Tòa nhà</t>
  </si>
  <si>
    <t>Tổ chức đào tạo, thành lập phương án và lực lượng PCCC cơ sở, tập huấn, huấn luyện thực tập/diễn tập phương án định kỳ hàng năm nhằm phòng ngừa, xử lý rủi ro vận hành tại các Tòa nhà</t>
  </si>
  <si>
    <t xml:space="preserve">Xây dựng, cải tiến, triển khai và kiểm soát việc thực hiện các Quy định, Quy trình và Hướng dẫn liên quan đến công tác đảm bảo an ninh an toàn cho Ngân hàng trong toàn hàng. </t>
  </si>
  <si>
    <t>Quản lý, hỗ trợ và đánh giá hiệu quả hoạt động của hệ thống mạng lưới Đơn vị giao dịch</t>
  </si>
  <si>
    <t xml:space="preserve">Công tác xây dựng cơ bản. </t>
  </si>
  <si>
    <t>Số lần cấp dấu</t>
  </si>
  <si>
    <t>Con dấu</t>
  </si>
  <si>
    <t>Thực hiện thủ tục con dấu pháp lý</t>
  </si>
  <si>
    <t>Xây dựng, phát triển hệ thống mạng lưới Đơn vị giao dịch và thay đổi lĩnh vực hoạt động của Ngân hàng từng thời kỳ</t>
  </si>
  <si>
    <t>Báo cáo  theo định kỳ hàng quý</t>
  </si>
  <si>
    <t>Báo cáo cơ sở vật chất không gian giao dịch</t>
  </si>
  <si>
    <t>Tổ chức hoạt động kiểm tra, vận hành, bảo trì và bảo dưỡng hệ thống kỹ thuật đảm bảo Tòa nhà hoạt động liên tục, an toàn, hiệu quả và tiết kiệm tại các Tòa nhà</t>
  </si>
  <si>
    <t>Công tác liên quan đến hệ thống kỹ thuật trang thiết bị tòa nhà do Hội sở quản lý</t>
  </si>
  <si>
    <t>Xây dựng Bộ tài liệu Quy trình liên quan XDCB</t>
  </si>
  <si>
    <t>Công tác liên quan đến xây dựng cơ bản toàn hàng</t>
  </si>
  <si>
    <t>Quy chuẩn</t>
  </si>
  <si>
    <t>Phối hợp về mặt chuyên môn trong công tác liên quan xây dựng, thiết kế với các phòng nghiệp vụ tại HO</t>
  </si>
  <si>
    <t>Sửa chữa/cải tạo nhỏ tại đơn vị (CN thực hiện, HCQT phối hợp về mặt kỹ thuật)</t>
  </si>
  <si>
    <t xml:space="preserve">Công trình cải tạo lớn tiến độ thông thường như sau:
- Khảo sát hiện trạng lập phương án: 0.5 tháng
- Thiết kế chốt phương án, dự toán, lập hồ sơ kỹ thuật 01 tháng
- Thi công 01 tháng
Tổng thời gian khoảng 2.5 tháng
</t>
  </si>
  <si>
    <t>Công trình</t>
  </si>
  <si>
    <t>Sửa chữa/cải tạo lớn trụ sở hiện hữu tại đơn vị (Hội sở thực hiện cho Chi nhánh)</t>
  </si>
  <si>
    <t xml:space="preserve">Công trình di dời tiến độ thông thường như sau:
- Khảo sát hiện trạng lập phương án: 0.5 tháng
- Thiết kế chốt phương án, dự toán, lập hồ sơ kỹ thuật 01 tháng
- Thi công 01 tháng
Tổng thời gian khoảng 2.5 tháng
</t>
  </si>
  <si>
    <t>Sửa chữa/cải tạo trụ sở tại địa điểm hoạt động mới (di dời/ thành lập mới)</t>
  </si>
  <si>
    <t>Dự án xây dựng mới tiến độ tối thiểu như sau:
- Khảo sát lập đề án: 03 tháng
- Thiết kế xin phép xây dựng: 06 tháng
- Thi công 09 tháng
Tổng thời gian khoảng 18 tháng</t>
  </si>
  <si>
    <t>Xây dựng mới trụ sở làm việc thuộc sở hữu SCB</t>
  </si>
  <si>
    <t>Số lượng CBNV được cấp GCN Bảo hiểm</t>
  </si>
  <si>
    <t>Thực hiện mua sắm bảo hiểm TNDS cho CBNV</t>
  </si>
  <si>
    <t>Thực hiện thủ tục liên quan để triển khai công tác bảo hiểm tài sản, xe cơ giới, tiền, vàng, xe máy cho toàn hàng và theo dõi việc thực hiện hợp đồng (nếu có)</t>
  </si>
  <si>
    <t>Công tác quản lý tài sản.</t>
  </si>
  <si>
    <t>Số lượng xe được cấp bảo hiểm</t>
  </si>
  <si>
    <t>Hội sở, CN/PGD</t>
  </si>
  <si>
    <t>Xe</t>
  </si>
  <si>
    <t>Thực hiện mua bảo hiểm vật chất toàn hàng</t>
  </si>
  <si>
    <t>Trích lục hồ sơ tài sản nhà đất thuộc sở hữu SCB quản lý; đầu mối thực hiện việc bảo hành, bảo trì, sửa chữa tài sản, công cụ lao động của Hội sở và của ĐVKD đề nghị hỗ trợ.</t>
  </si>
  <si>
    <t>Lập kế hoạch, triển khai kiểm kê tài sản toàn hàng và đề xuất hướng xử lý đối với tài sản thừa/thiếu, tài sản thanh lý; thực hiện thanh lý tài sản tại Hội sở.</t>
  </si>
  <si>
    <t xml:space="preserve">Quản lý, phân bổ, điều chuyển tài sản tại Hội sở và theo ngành dọc tại các Đơn vị. </t>
  </si>
  <si>
    <t xml:space="preserve">Trang bị tài sản, công cụ dụng cụ và các vật dụng khác phục vụ cho hoạt động của các Phòng và CBNV tại Hội sở. </t>
  </si>
  <si>
    <t>Số lần mua sắm</t>
  </si>
  <si>
    <t>Phòng HS</t>
  </si>
  <si>
    <t>Gói</t>
  </si>
  <si>
    <t>Thực hiện các gói mua sắm từ khác 10 triệu đồng trở lên</t>
  </si>
  <si>
    <t>Lập kế hoạch mua sắm tài sản trong toàn hàng, thực hiện mua sắm trong phạm vi thẩm quyền.</t>
  </si>
  <si>
    <t>Thực hiện các gói mua sắm khác từ 10 triệu đồng trở xuống</t>
  </si>
  <si>
    <t xml:space="preserve">Xây dựng và thực hiện kế hoạch khai thác tài sản nhằm đảm bảo hiệu quả khai thác. </t>
  </si>
  <si>
    <t>Xây dựng, cải tiến, triển khai và kiểm soát việc thực hiện các VBQP liên quan đến công tác quản lý tài sản trong toàn hàng.</t>
  </si>
  <si>
    <t>Thực hiện công tác ma chay, hiếu hỷ của Ngân hàng; chuẩn bị các vật dụng, nghi lễ khi Ngân hàng có các lễ cúng; đặt hoa chúc mừng nhân các sự kiện của Ngân hàng hoặc Ngân hàng tặng đối tác</t>
  </si>
  <si>
    <t>Công tác hậu cần.</t>
  </si>
  <si>
    <t>Số lượng CBNV tham gia khám sức khỏe</t>
  </si>
  <si>
    <t>Phòng HS/CN/PGD</t>
  </si>
  <si>
    <t>Khám sức khỏe cho CBNV</t>
  </si>
  <si>
    <t>Thực hiện công tác y tế ban đầu tại Hội sở, triển khai khám sức khỏe cho CBNV toàn hàng theo định kỳ, theo dõi tư vấn kết quả khám sức khỏe cho CBNV.</t>
  </si>
  <si>
    <t>Số lần họp</t>
  </si>
  <si>
    <t>Cuộc họp</t>
  </si>
  <si>
    <t>Chuẩn bị vật dụng cần thiết cho các cuộc họp yêu cầu sắp xếp theo chuẩn riêng, có teabreak và các thiết bị hỗ trợ khác</t>
  </si>
  <si>
    <t>Điều phối sắp xếp phòng họp/phòng đào tạo phù hợp theo yêu cầu và cập nhật lên lịch làm việc, thực hiện công tác hậu cần cho các phòng họp.</t>
  </si>
  <si>
    <t>Sắp xếp phòng họp, đưa lên mạng QLTV</t>
  </si>
  <si>
    <t>Lập kế hoạch và thực hiện trang bị đồng phục cho CBNV, lịch, sổ tay và các ấn phẩm xuân, ấn phẩm khác theo định kỳ.</t>
  </si>
  <si>
    <t>Hỗ trợ thực hiện công tác quảng bá, quảng cáo,... liên quan đến các sự kiện và hình ảnh SCB.</t>
  </si>
  <si>
    <t>Số lượng sự kiện phát sinh trong kỳ</t>
  </si>
  <si>
    <t>Phòng Hội sở/CN</t>
  </si>
  <si>
    <t>Sự kiện</t>
  </si>
  <si>
    <t>Thực hện công tác hậu cần phục vụ các sự kiện quy mô lớn ( giá trị thực hiện lớn hơn 50 triệu đồng)</t>
  </si>
  <si>
    <t>Thực hiện công tác hậu cần phục vụ hoạt động đối nội, đối ngoại và các công tác liên quan đến tổ chức hội nghị, sự kiện.</t>
  </si>
  <si>
    <t>Thực hện công tác hậu cần phục vụ các sự kiện quy mô nhỏ (giá trị thực hiện từ 50 triệu trở xuống)</t>
  </si>
  <si>
    <t>Thực hiện các công việc liên quan đến hợp đồng dịch vụ bảo vệ, vận chuyển, vệ sinh giữa SCB và công ty dịch vụ thuê ngoài</t>
  </si>
  <si>
    <t>Công tác hành chính.</t>
  </si>
  <si>
    <t>Quản lý, giám sát công tác hành chính toàn hàng.</t>
  </si>
  <si>
    <t>Báo cáo tình hình sử dụng xe ô tô</t>
  </si>
  <si>
    <t>Quản lý và điều phối việc sử dụng xe ô tô toàn hàng.</t>
  </si>
  <si>
    <t>Bảo dưỡng, sửa chữa xe ô tô</t>
  </si>
  <si>
    <t>Lần điều xe</t>
  </si>
  <si>
    <t>Điều xe ô tô phục vụ cho các Đơn vị, quyết toán chi phí nhiên liệu</t>
  </si>
  <si>
    <t>Quản lý hồ sơ pháp lý của SCB, cung cấp hồ sơ pháp lý cho các Đơn vị theo yêu cầu.</t>
  </si>
  <si>
    <t>Thùng hồ sơ</t>
  </si>
  <si>
    <t>Quản lý và thực hiện các thủ tục liên quan đến kho lưu trữ</t>
  </si>
  <si>
    <t>Quản lý và thực hiện các thủ tục liên quan đến kho lưu trữ chứng từ tập trung theo quy định.</t>
  </si>
  <si>
    <t>Số lượng CBNV đi công tác</t>
  </si>
  <si>
    <t>CN/ Phòng Hội sở</t>
  </si>
  <si>
    <t>Thực hiện đặt vé máy bay và cấp thẻ taxi cho CBNV đi công tác</t>
  </si>
  <si>
    <t>Thực hiện thanh toán các chi phí điện, nước, cước điện thoại, cước internet, 3G, phí bản quyền và các chi phí liên quan khác của Hội sở.</t>
  </si>
  <si>
    <t>Thanh toán theo định kỳ hàng tháng</t>
  </si>
  <si>
    <t>Phân bổ theo tiêu thức số lượng CBNV</t>
  </si>
  <si>
    <t>Giấy đề nghị thanh toán</t>
  </si>
  <si>
    <t>Theo dõi thanh toán điện, nước, điện thoại, internet…</t>
  </si>
  <si>
    <t>Cấp cho từng CBNV theo quy chuẩn</t>
  </si>
  <si>
    <t>Lập kế hoạch mua sắm, cấp phát đồng phục cho CBNV</t>
  </si>
  <si>
    <t>Thực hiện in ấn phẩm thường, ấn phẩm quan trọng, tờ rơi, bandroll, cờ phướn, giấy khen, văn phòng phẩm, ... theo hạn mức mua sắm.</t>
  </si>
  <si>
    <t>Cấp theo định kỳ hàng quý</t>
  </si>
  <si>
    <t>Phân bổ đều cho đơn vị phát sinh</t>
  </si>
  <si>
    <t>Phòng ban Hội sở</t>
  </si>
  <si>
    <t>Gói hàng hóa</t>
  </si>
  <si>
    <t>Lập kế hoạch mua sắm và phân bổ văn phòng phẩm theo định kỳ</t>
  </si>
  <si>
    <t>Lập kế hoạch mua sắm và phân bổ ấn phẩm thường theo định kỳ</t>
  </si>
  <si>
    <t>Đơn vị quà tặng</t>
  </si>
  <si>
    <t>Xuất kho phân bổ quà tặng</t>
  </si>
  <si>
    <t>Lập kế hoạch và trang bị, tổ chức quản lý/kiểm kê kho đối với ấn phẩm thường/quà tặng/vật liệu/văn phòng phẩm; thực hiện phân bổ, cấp phát ấn phẩm thường/quà tặng/vật liệu/văn phòng phẩm cho toàn hàng đảm bảo định mức tồn kho tối thiểu và đáp ứng kịp thời nhu cầu sử dụng.</t>
  </si>
  <si>
    <t>Xây dựng, cải tiến, triển khai và kiểm soát việc thực hiện các VBQP liên quan đến công tác hành chính (xây dựng, giám sát định mức: xăng xe, điện thoại, chi tiêu hành chính...), quản lý kho ấn phẩm thường, quà tặng, kho lưu trữ chứng từ tập trung trong toàn hàng.</t>
  </si>
  <si>
    <t>BTKPO</t>
  </si>
  <si>
    <t>Tỷ lệ hoàn thành</t>
  </si>
  <si>
    <t>Triển khai dự án PO</t>
  </si>
  <si>
    <t>Khác_MSTT</t>
  </si>
  <si>
    <t>MSTT</t>
  </si>
  <si>
    <t>PHÒNG MUA SẮM TẬP TRUNG</t>
  </si>
  <si>
    <t>31</t>
  </si>
  <si>
    <t>KTNB</t>
  </si>
  <si>
    <t>Báo cáo tình hình thực hiện hợp đồng</t>
  </si>
  <si>
    <t>QLRRVH</t>
  </si>
  <si>
    <t>Báo cáo sử dụng nguồn</t>
  </si>
  <si>
    <t>Triển khai hợp đồng: thông báo triển khai, theo dõi tiến độ hợp đồng; phối hợp nhận hàng, nghiệm thu; xử lý các vi phạm hợp đồng; thanh quyết toán hợp đồng theo đúng quy định SCB</t>
  </si>
  <si>
    <t>Thực hiện việc mua sắm các Gói mua sắm có giá trị lớn phục vụ cho hoạt động của SCB trong từng thời kỳ</t>
  </si>
  <si>
    <t>Đàm phán, lấy ý kiến góp ý hợp đồng, tổng hợp và làm đầu mối ký kết hợp đồng.</t>
  </si>
  <si>
    <t>ĐV có phát sinh</t>
  </si>
  <si>
    <t>Các gói mua sắm toàn hàng khác</t>
  </si>
  <si>
    <t>Tổ chức, tiến hành các thủ tục mua sắm theo đúng quy định SCB để trình duyệt đối tác thực hiện, chi phí thực hiện.</t>
  </si>
  <si>
    <t>Phân bổ đều cho Phòng/ĐVKD Toàn hàng</t>
  </si>
  <si>
    <t>Gói mua sắm quà tết</t>
  </si>
  <si>
    <t>Bảo hiểm</t>
  </si>
  <si>
    <t>Gói mua quà tặng trung thu</t>
  </si>
  <si>
    <t>Gói mua sắm tài sản, CCLĐ toàn hàng</t>
  </si>
  <si>
    <t>Gói mua sắm thiết bị CNTT toàn hàng</t>
  </si>
  <si>
    <t>Gói mua sắm ấn phẩm xuân</t>
  </si>
  <si>
    <t>Phân bổ đều cho ĐVKD Toàn hàng</t>
  </si>
  <si>
    <t>Gói mua sắm quà tặng mùa mưa</t>
  </si>
  <si>
    <t>Gói mua sắm đồng phục</t>
  </si>
  <si>
    <t>ĐV yêu cầu MS</t>
  </si>
  <si>
    <t>Gói mua sắm ẩn chỉ ấn phẩm quan trọng</t>
  </si>
  <si>
    <t>Gói văn phòng phẩm</t>
  </si>
  <si>
    <t>Gói ấn phẩm thường</t>
  </si>
  <si>
    <t>Các gói xây dựng mới trụ sở làm việc</t>
  </si>
  <si>
    <t>Các gói sửa chữa, cải tạo trụ sở trên 2 tỷ</t>
  </si>
  <si>
    <t>Các gói sửa chữa, cải tạo trụ sở làm việc (trên 500 triệu đến 2 tỷ)</t>
  </si>
  <si>
    <t>Các gói cải tạo, sửa chữa  trụ sở làm việc tại Hội sở và các đơn vị trong toàn hàng (dưới 500 triệu)</t>
  </si>
  <si>
    <t>Các gói mua sắm riêng lẻ phục vụ nhu cầu hoạt động kinh doanh của các đơn vị có giá dự toán trên 5 tỷ</t>
  </si>
  <si>
    <t>Các gói mua sắm riêng lẻ phục vụ nhu cầu hoạt động kinh doanh của các đơn vị có giá dự toán từ 2 tỷ triệu đến 5 tỷ</t>
  </si>
  <si>
    <t>Các gói mua sắm riêng lẻ phục vụ nhu cầu hoạt động kinh doanh của các đơn vị có giá dự toán từ 200 triệu đến 2 tỷ</t>
  </si>
  <si>
    <t>Các gói mua sắm riêng lẻ phục vụ nhu cầu hoạt động kinh doanh của các đơn vị có giá dự toán dưới 200 triệu</t>
  </si>
  <si>
    <t>Tìm kiếm, lựa chọn đối tác phù hợp với từng gói mua sắm: đánh giá sản phẩm, dịch vụ cần mua sắm và đề xuất các điều chỉnh (nếu có) để đạt hiệu quả sử dụng cao, đảm bảo chất lượng hàng hóa với chi phí hợp lý, phù hợp với tình hình thực tế.</t>
  </si>
  <si>
    <t>Tiếp nhận, kiểm tra, đánh giá bộ hồ sơ mua sắm nhằm đảm bảo tính đầy đủ, hợp lệ theo quy định SCB hiện hành trước khi tiến hành mua sắm.</t>
  </si>
  <si>
    <t>Phân bổ theo số hồ sơ có tài sản/khoản nợ bán trả chậm</t>
  </si>
  <si>
    <t>Số hồ sơ</t>
  </si>
  <si>
    <t>Theo dõi quá trình thanh toán của khách hàng đối với các khoản xử lý bằng các phương án bán tài sản/nợ trả chậm.</t>
  </si>
  <si>
    <t>Khác_XLN&amp;KTTS</t>
  </si>
  <si>
    <t>XLN&amp;KTTS</t>
  </si>
  <si>
    <t>PHÒNG XỬ LÝ NỢ VÀ KHAI THÁC TÀI SẢN</t>
  </si>
  <si>
    <t>15</t>
  </si>
  <si>
    <t>KHỐI PHÁP CHẾ VÀ XỬ LÝ NỢ</t>
  </si>
  <si>
    <t>H</t>
  </si>
  <si>
    <t>Số quy trình</t>
  </si>
  <si>
    <t>Soạn thảo các quy trình liên quan đến xử lý nợ</t>
  </si>
  <si>
    <t>QLĐT</t>
  </si>
  <si>
    <t>Tổ chức lớp đào tạo về nghiệp vụ xử lý nợ cho CBNV tại chi nhánh</t>
  </si>
  <si>
    <t>Phòng Kế toán</t>
  </si>
  <si>
    <t>Số báo cáo</t>
  </si>
  <si>
    <t>Báo cáo cung cấp số liệu các khoản nợ bán cho VAMC phục vụ cho công tác Kiểm toán</t>
  </si>
  <si>
    <t>Phòng TNKDTT</t>
  </si>
  <si>
    <t>Báo cáo thu nợ theo từng mã trái phiếu VAMC</t>
  </si>
  <si>
    <t>Phân bổ đều cho các Phòng nhận báo cáo</t>
  </si>
  <si>
    <t>- Phòng TCKH
- Phòng QLRRTD
- Phòng KTNB</t>
  </si>
  <si>
    <t>Báo cáo tình hình thực hiện thu nợ xấu (nhóm 3-5), thu nợ ngoại bảng, thu nợ VAMC</t>
  </si>
  <si>
    <t>Phòng TCKH</t>
  </si>
  <si>
    <t>Báo cáo tình hình xử lý tài sản nhận cấn trừ nợ và Báo cáo tình hình bán tài sản trả chậm</t>
  </si>
  <si>
    <t>Phân bổ đều cho tất cả các chi nhánh khu vực Tp.HCM</t>
  </si>
  <si>
    <t>Thực hiện Báo cáo về việc kết quả xử lý nợ xấu theo Nghị quyết số 42 của chi nhánh NHTM trên địa bàn theo công văn 1487/Cục II.5 của Cơ quan Thanh tra, Giám sát Ngân hàng Tp.HCM</t>
  </si>
  <si>
    <t>Thực hiện báo cáo theo công văn 1680</t>
  </si>
  <si>
    <t>Thực hiện báo cáo theo TT35</t>
  </si>
  <si>
    <t>Thực hiện báo cáo ngân hàng nhà nước theo công văn 8338</t>
  </si>
  <si>
    <t>- Số dư nợ bán cho VAMC</t>
  </si>
  <si>
    <t xml:space="preserve"> Thực hiện báo cáo theo công văn 1626</t>
  </si>
  <si>
    <t>Thực hiện báo cáo tình hình ủy quyền theo công văn 1035</t>
  </si>
  <si>
    <t>Thực hiện báo cáo các khoản bán nợ cho VAMC theo công văn 257</t>
  </si>
  <si>
    <t>Thực hiện báo cáo ngoài TT35</t>
  </si>
  <si>
    <t>Thực hiện báo cáo theo công văn 1080</t>
  </si>
  <si>
    <t>Phân tích và đánh giá hiệu quả kinh tế của việc khai thác tài sản có được trong công tác xử lý nợ xấu đem lại cho SCB.</t>
  </si>
  <si>
    <t>Tham mưu và Quản lý hoạt động khai thác các tài sản bảo đảm do SCB tiếp nhận trong quá trình xử lý nợ xấu.</t>
  </si>
  <si>
    <t>Quản lý thông tin về giá trị tài sản có được trong công tác xử lý nợ xấu, phương thức khai thác/thời gian khai thác/thu nhập của từng tài sản đem lại cho SCB.</t>
  </si>
  <si>
    <t>Giám sát, báo cáo tình hình khai thác tài sản có được trong công tác xử lý nợ xấu tại các Đơn vị nhận ủy thác theo định kỳ và đột xuất liên quan đến nghiệp vụ do Phòng quản lý.</t>
  </si>
  <si>
    <t>Phối hợp Phòng Ngân quỹ Hội sở lưu trữ giấy tờ pháp lý tài sản có được trong công tác xử lý nợ.</t>
  </si>
  <si>
    <t>Trực tiếp, phối hợp với các Phòng Hội sở liên quan xây dựng, cải tiến, triển khai và kiểm soát việc thực hiện các VBQP liên quan đến hoạt động khai thác tài sản có được trong công tác xử lý nợ.</t>
  </si>
  <si>
    <t>Trực tiếp, phối hợp với các Chi nhánh làm việc với các cơ quan bán đấu giá/cá nhân, tổ chức có liên quan trong quá trình bán đấu giá tài sản.</t>
  </si>
  <si>
    <t>Trực tiếp thực hiện công tác rao bán tài sản, làm đầu mối với bên môi giới trong quá trình bán tài sản.</t>
  </si>
  <si>
    <t>Tham mưu, phối hợp với các Phòng Hội sở liên quan đề xuất Ban Điều hành phương án giải quyết các khó khăn/vướng mắc/các vấn đề pháp lý phát sinh trong quá trình khai thác tài sản có được trong công tác xử lý nợ.</t>
  </si>
  <si>
    <t>Tham mưu, phối hợp với các Phòng Hội sở liên quan đề xuất Ban Điều hành trong việc tìm kiếm, lựa chọn tổ chức/cá nhân có đủ điều kiện về pháp lý/chuyên môn/tài chính có nhu cầu mua/thuê/góp vốn đầu tư tài sản nhằm đảm bảo hiệu quả khai thác tài sản đem lại hiệu quả kinh tế cao nhất cho SCB.</t>
  </si>
  <si>
    <t>Tham mưu, phối hợp với các Phòng Hội sở liên quan đề xuất Ban Điều hành các cơ chế, chính sách hỗ trợ cho công tác khai thác tài sản đạt hiệu quả.</t>
  </si>
  <si>
    <t>Tham mưu, phối hợp với các Phòng Hội sở liên quan đề xuất Ban Điều hành về giá (bán/giảm) và các vấn đề có liên quan trong quá trình bán/rao bán tài sản.</t>
  </si>
  <si>
    <t>Làm đầu mối đề nghị các Chi nhánh có liên quan tham gia xử lý nợ xấu theo quy định hiện hành của SCB và của Pháp luật.</t>
  </si>
  <si>
    <t>Tham mưu và Quản lý hoạt động xử lý nợ xấu bao gồm các khoản nợ đã bán VAMC.</t>
  </si>
  <si>
    <t>- Số hồ sơ được thực hiện xử lý trong kỳ</t>
  </si>
  <si>
    <t>Số lượng công văn của tòa án/trung tâm trọng tài, thi hành án</t>
  </si>
  <si>
    <t>Tham gia trực tiếp các hoạt động tố tụng (tòa án/trung tâm trọng tài, thi hành án)</t>
  </si>
  <si>
    <t>Trực tiếp, phối hợp với các Phòng Hội sở liên quan, các Chi nhánh làm việc với khách hàng/bên bảo đảm/các bên liên quan/Cơ quan chức năng trong quá trình xử lý các hồ sơ nợ xấu.</t>
  </si>
  <si>
    <t>Số lần làm việc với khách hàng</t>
  </si>
  <si>
    <t>Tham gia trực tiếp các hoạt động phi tố tụng (làm việc với khách hàng vay;  tìm kiếm đối tác mua nợ và làm việc với đối tác mua nợ để chốt phương án, giá bán nợ; tìm kiếm đối tác mua tài sản và làm việc với đối tác mua tài sản để chốt phương án, giá bán tài sản)</t>
  </si>
  <si>
    <t>Số hồ sơ phải thực hiện xử lý trong kỳ</t>
  </si>
  <si>
    <t>Phối hợp với đơn vị thực hiện các văn bản về mặt thủ tục xử lý đối với các khoản nợ xấu (trình miễn giảm lãi, trình phương án thu giữ tài sản, trình khởi kiện, trình phương án xử lý nợ, trình chi phí lễ tân khánh tiết, trình gia hạn thanh toán nợ)</t>
  </si>
  <si>
    <t>Trực tiếp, phối hợp với các Phòng Hội sở liên quan, các Chi nhánh thực hiện các biện pháp xử lý nợ xấu (tố tụng, phi tố tụng) đối với từng hồ sơ.</t>
  </si>
  <si>
    <t xml:space="preserve"> Tìm hiểu hồ sơ, phân tích, đánh giá, đề xuất phương án xử lý, hướng dẫn đơn vị xử lý đối với các khoản nợ xấu.</t>
  </si>
  <si>
    <t>Tham mưu, phối hợp với các Phòng Hội sở liên quan đề xuất Ban Điều hành trong việc lựa chọn biện pháp xử lý nợ xấu (tố tụng, phi tố tụng) đối với từng hồ sơ.</t>
  </si>
  <si>
    <t>Hoàn thành dự án</t>
  </si>
  <si>
    <t>Tiến độ thực hiện</t>
  </si>
  <si>
    <t>Tin học hóa bộ mẫu Hợp đồng tín dụng,Hợp đồng bảo đảm và Hợp đồng/mẫu biểu của các Phòng nghiệp vụ</t>
  </si>
  <si>
    <t>Khác_PC</t>
  </si>
  <si>
    <t>PC</t>
  </si>
  <si>
    <t>PHÒNG PHÁP CHẾ</t>
  </si>
  <si>
    <t>29</t>
  </si>
  <si>
    <t>Phổ biến, đào tạo, bồi dưỡng kiến thức pháp luật</t>
  </si>
  <si>
    <t>Tùy theo yêu cầu thực tế</t>
  </si>
  <si>
    <t>Số lượng vụ việc</t>
  </si>
  <si>
    <t>Tham gia với tư cách thành viên các Ban/Tổ/Hội đồng theo chỉ đạo của Hội đồng quản trị và Tổng Giám đốc
(Mức độ phức tạp thông thường…)</t>
  </si>
  <si>
    <t>Tham gia với tư cách thành viên các Ban/Tổ/Hội đồng theo chỉ đạo của Hội đồng quản trị và Tổng Giám đốc
(Mức độ phức tạp cao như ban triển khai dự án..)</t>
  </si>
  <si>
    <t>Tùy theo nhu cầu thực tế</t>
  </si>
  <si>
    <t>Số lượng hồ sơ</t>
  </si>
  <si>
    <t>Làm việc với các tổ chức, Cơ quan pháp luật theo ủy quyền của Tổng Giám đốc</t>
  </si>
  <si>
    <t>Số lượng Giấy ủy quyền</t>
  </si>
  <si>
    <t xml:space="preserve"> Kiểm tra các Văn bản ủy quyền /hợp đồng ủy quyền khác phát sinh tại SCB</t>
  </si>
  <si>
    <t>Số lượng văn bản</t>
  </si>
  <si>
    <t>Sưu tầm các sách pháp luật, các thông tin và tư liệu về pháp luật  phục vụ yêu cầu công tác, nghiên cứu</t>
  </si>
  <si>
    <t>Phân bổ theo số lượng hồ sơ</t>
  </si>
  <si>
    <t xml:space="preserve"> Hỗ trợ tối đa các Chi nhánh đẩy mạnh thu hồi nợ quá hạn, nợ xấu</t>
  </si>
  <si>
    <t>CN/Phòng Hội sở</t>
  </si>
  <si>
    <t>Phối hợp với Phòng Xử lý nợ và khai thác tài sản để tư vấn, hỗ trợ giải quyết các vướng mắc trong quá trình thu hồi nợ và xử lý tài sản bảo đảm</t>
  </si>
  <si>
    <t>Đại diện hoặc phối hợp với người đại diện của Ngân hàng giải quyết các vụ khiếu nại, kiện tụng liên quan đến việc thu hồi nợ hoặc/và xử lý tài sản bảo đảm theo chỉ đạo của TGĐ.</t>
  </si>
  <si>
    <t>Đại diện hoặc phối hợp người đại diện của Ngân hàng tham gia tố tụng hoặc giải quyết các tranh chấp, khiếu nại khi có yêu cầu.</t>
  </si>
  <si>
    <t>Phân bổ theo số lượng hồ sơ yêu cầu tư vấn</t>
  </si>
  <si>
    <t>CN/PGD/ Phòng Hội sở</t>
  </si>
  <si>
    <t>Tham gia tố tụng và các vấn đề pháp lý ra bên ngoài theo ủy quyền của Tổng Giám đốc trong các vụ án dân sự phi tín dụng và các tranh chấp giữa SCB với các đối tác; trong vụ án hình sự mà SCB có liên quan với tư cách là người có quyền, lợi ích và nghĩa vụ liên quan</t>
  </si>
  <si>
    <t>Đại diện hoặc phối hợp người đại diện của Ngân hàng giải quyết các tranh chấp, khiếu nại tại các cơ quan tố tụng, thi hành án, các cơ quan nhà nước có thẩm quyền (trừ các vụ việc thuộc thẩm quyền của Phòng Xử lý nợ và khai thác tài sản), bảo vệ quyền lợi của Ngân hàng trong các vụ kiện có liên quan đến tranh chấp pháp lý.</t>
  </si>
  <si>
    <t>Thực hiện các thủ tục hành chính, pháp lý theo chỉ đạo của Tổng Giám đốc</t>
  </si>
  <si>
    <t xml:space="preserve">Thực hiện các thủ tục hành chính pháp lý theo chỉ đạo của TGĐ. </t>
  </si>
  <si>
    <t>Tư vấn pháp lý cho các Đơn vị</t>
  </si>
  <si>
    <t>Soạn thảo Giấy ủy quyền của Tổng Giám đốc, Ban Điều hành, Đồng thời hướng dẫn việc thực hiện quy định ủy quyền, phân công, phân nhiệm trong toàn hệ thống.</t>
  </si>
  <si>
    <t>Theo số lượng Giấy ủy quyền</t>
  </si>
  <si>
    <t>Soạn thảo Giấy ủy quyền của Tổng Giám đốc, Ban Điều hành, Giám đốc các Chi nhánh. Đồng thời hướng dẫn việc thực hiện quy định ủy quyền, phân công, phân nhiệm trong toàn hệ thống.
(Mức độ phức tạp cao như: Ủy quyền theo sự vụ, ủy quyền mua bán nợ…)</t>
  </si>
  <si>
    <t xml:space="preserve">Tư vấn hoặc phối hợp với các Đơn vị giải quyết các khiếu nại, tranh chấp với khách hàng. </t>
  </si>
  <si>
    <t xml:space="preserve">Tư vấn cho các Phòng Hội sở trong việc đàm phán và ký kết hợp đồng, thỏa thuận. </t>
  </si>
  <si>
    <t>Tư vấn/góp ý/ phối hợp cùng các Phòng/ban trong quá trình soạn thảo, thực hiện hợp đồng với các đối tác nhằm hạn chế mức thấp nhất rủi ro cho SCB
(Các Hợp đồng có mức độ phức tạp thông thường)</t>
  </si>
  <si>
    <t>Kiểm tra tính pháp lý hoặc tư vấn các vấn đề pháp lý của các hợp đồng, thỏa thuận, cam kết bảo lãnh, các cam kết khác của SCB với khách hàng.</t>
  </si>
  <si>
    <t>Tư vấn/góp ý/ phối hợp cùng các Phòng/ban trong quá trình soạn thảo, thực hiện hợp đồng với các đối tác nhằm hạn chế mức thấp nhất rủi ro cho SCB
(Mức độ phức tạp cao: Hợp đồng với  các đối tác nước ngoài như Mastercard, Visa; HĐ với các định chế tài chính khác, HĐ với đối tác lớn như EVN, Bảo Việt, Bảo Hiểm, HĐ liên quan mua bán nợ....)</t>
  </si>
  <si>
    <t xml:space="preserve">Tư vấn pháp luật cho Hội đồng Quản trị, Ban Điều hành và các Đơn vị các vấn đề pháp lý liên quan đến hoạt động của Ngân hàng. </t>
  </si>
  <si>
    <t>Số lượng hồ sơ yêu cầu tư vấn</t>
  </si>
  <si>
    <t>Tư vấn các vấn đề pháp lý liên quan đến hoạt động của ngân hàng 
(Các yêu cầu tư vấn có mức độ phức tạp thông thường)</t>
  </si>
  <si>
    <t xml:space="preserve">Tư vấn cho các Đơn vị áp dụng hoặc tuân thủ theo quy định nội bộ của SCB và quy định pháp luật. </t>
  </si>
  <si>
    <t>Tư vấn các vấn đề pháp lý liên quan đến hoạt động của ngân hàng
(Mức độ phức tạp cao như: tư vấn các vấn đề liên quan đến tín dụng, tài sản bảo đảm là đất đai, dự án, xác định tài sản chung/riêng vợ chồng, tư vấn liên quan đến hồ sơ chuyển tiền ra nước ngoài .)</t>
  </si>
  <si>
    <t>Phân bổ theo đơn vị yêu cầu tư vấn</t>
  </si>
  <si>
    <t>Số lượng yêu cầu thực tế</t>
  </si>
  <si>
    <t>Tư vấn/hỗ trợ pháp lý qua điện thoại</t>
  </si>
  <si>
    <t xml:space="preserve">Soạn thảo và hướng dẫn áp dụng bộ mẫu Hợp đồng tín dụng, bộ mẫu Hợp đồng bảo đảm tín dụng, Giấy ủy quyền. </t>
  </si>
  <si>
    <t>Theo số lượng văn bản</t>
  </si>
  <si>
    <t>Các phòng Hội sở</t>
  </si>
  <si>
    <t>Kiểm tra tính pháp lý của các văn bản nội bộ là quy chế, quy định, quy trình, sản phẩm dịch vụ và biểu mẫu kèm theo văn bản, các văn bản khác gửi về Phòng Pháp chế 
(Các văn bản có mức độ phức tạp bình thường)</t>
  </si>
  <si>
    <t>Kiểm tra tính pháp lý của các Quy chế, Quy định, Quy trình nội bộ, các sản phẩm dịch vụ của Ngân hàng và các biểu mẫu trước khi ban hành. Rà soát và hệ thống hóa các văn bản quy phạm pháp luật liên quan đến hoạt động của Ngân hàng để kiến nghị việc tạm đình chỉ, đình chỉ thi hành, sửa đổi, bổ sung hoặc bãi bỏ những quy định của Ngân hàng trái pháp luật và không còn phù hợp.</t>
  </si>
  <si>
    <t>Kiểm tra tính pháp lý của các văn bản nội bộ là quy chế, quy định, quy trình, sản phẩm dịch vụ và biểu mẫu kèm theo văn bản, các văn bản khác gửi về Phòng Pháp chế 
(Mức độ phức tạp cao như: Quy chế tiền gửi khách hàng cá nhân;  Quy chế tiền gửi Khách hàng tổ chức; Quy chế hoạt động thẻ ngân hàng; Quy trình cấp tín dụng....)</t>
  </si>
  <si>
    <t>Cập nhật và lập danh mục các văn bản của Cơ quan nhà nước mà SCB phải tuân thủ và hết hiệu lực</t>
  </si>
  <si>
    <t>Rà soát và cập nhật các văn bản quy phạm pháp luật liên quan đến hoạt động của Ngân hàng.</t>
  </si>
  <si>
    <t>Phân tích pháp lý</t>
  </si>
  <si>
    <t>Tùy theo thực tế</t>
  </si>
  <si>
    <t>Góp ý các dự thảo văn bản quy phạm pháp luật do cơ quan nhà nước gửi đề nghị góp ý</t>
  </si>
  <si>
    <t>Nghiên cứu, phân tích những Quy định/dự thảo Quy định của pháp luật có liên quan hoặc ảnh hưởng đến hoạt động của Ngân hàng để SCB góp ý, kiến nghị sửa đổi, bổ sung quy định pháp luật cho phù hợp với hoạt động kinh doanh của Ngân hàng.</t>
  </si>
  <si>
    <t xml:space="preserve"> Tổng kết, đánh giá những vướng mắc trong quá trình thực hiện pháp luật liên quan đến lĩnh vực hoạt động của SCB để kiến nghị với Cơ quan Nhà nước có thẩm quyền ban hành hoặc sửa đổi, bổ sung văn bản quy phạm pháp luật</t>
  </si>
  <si>
    <t xml:space="preserve"> Phân tích các văn bản quy phạm pháp luật/văn bản áp dụng quy phạm pháp luật do Cơ quan nhà nước ban hành có ảnh hưởng đến hoạt động  của SCB</t>
  </si>
  <si>
    <t>BPGSTTKV</t>
  </si>
  <si>
    <t>BỘ PHẬN GIÁM SÁT TUÂN THỦ KHU VỰC</t>
  </si>
  <si>
    <t>65</t>
  </si>
  <si>
    <t>KHỐI QUẢN LÝ RỦI RO</t>
  </si>
  <si>
    <t>G</t>
  </si>
  <si>
    <t>Phòng HO</t>
  </si>
  <si>
    <t>Đơn vị gửi yêu cầu cung cấp thông tin</t>
  </si>
  <si>
    <t>Số lần cung cấp thông tin</t>
  </si>
  <si>
    <t xml:space="preserve">Cung cấp thông tin </t>
  </si>
  <si>
    <t>Khác_TH&amp;PTRR</t>
  </si>
  <si>
    <t>TH&amp;PTRR</t>
  </si>
  <si>
    <t>PHÒNG TỔNG HỢP VÀ PHÂN TÍCH RỦI RO</t>
  </si>
  <si>
    <t>28</t>
  </si>
  <si>
    <t>Đơn vị kinh doanh</t>
  </si>
  <si>
    <t>Số lượng bản góp ý thực hiện</t>
  </si>
  <si>
    <t>Góp ý xây dựng các văn bản quy phạm của các Phòng có liên quan tại Hội sở.</t>
  </si>
  <si>
    <t>Phân bổ đều cho CN, PGD được trực quyết toán</t>
  </si>
  <si>
    <t>CN &amp; PGD</t>
  </si>
  <si>
    <t>Số lần trực quyết toán</t>
  </si>
  <si>
    <t>Trực quyết toán hàng tháng tại đơn vị.</t>
  </si>
  <si>
    <t>Đầu mối lập kế hoạch, phối hợp với các Phòng nghiệp vụ Hội sở tiến hành đánh giá định kỳ/đột xuất để đánh giá việc áp dụng VBQP cũng như sự phù hợp giữa vận hành thực tế và VBQP; kiến nghị các cải tiến, hướng khắc phục cho phù hợp</t>
  </si>
  <si>
    <t>Quản lý Văn bản quy phạm</t>
  </si>
  <si>
    <t>Đầu mối tiếp nhận các ý kiến, đề nghị chỉnh sửa VBQP cho phù hợp với quá trình tác nghiệp thực tế nhằm nâng cao chất lượng dịch vụ và hiệu quả công việc.</t>
  </si>
  <si>
    <t>Tham gia góp ý các dự thảo VBQP của các Phòng Hội sở, kiểm soát về nội dung và hình thức VBQP khi ban hành.</t>
  </si>
  <si>
    <t>Rà soát hệ thống VBQP, tổ chức cập nhật, xây dựng và chuẩn hóa VBQP.</t>
  </si>
  <si>
    <t>Đầu mối tổ chức việc đăng ký soạn thảo mới và tu chỉnh VBQP cho toàn hệ thống. Tổ chức theo dõi tiến độ, đảm bảo tuân thủ thời hạn đã đăng ký.</t>
  </si>
  <si>
    <t>Tham mưu BĐH về hệ thống VBQP đảm bảo tính đầy đủ, nhất quán và tinh gọn của hệ thống VBQP đối với hoạt động kinh doanh của Ngân hàng.</t>
  </si>
  <si>
    <t>Tỷ lệ hoàn thành công tác tính thử nghiệm Tài sản có rủi ro tín dụng, Vốn yêu cầu cho rủi ro thị trường và vốn yêu cầu cho rủi ro hoạt động đúng tiến độ so với kế hoạch</t>
  </si>
  <si>
    <t>Tính thử nghiệm Tài sản có rủi ro tín dụng, Vốn yêu cầu cho rủi ro thị trường và vốn yêu cầu cho rủi ro hoạt động theo Thông tư 41/TT-NHNN</t>
  </si>
  <si>
    <t>Đầu mối phối hợp với các đơn vị trong việc triển khai công tác tính vốn đối với tài sản có rủi ro</t>
  </si>
  <si>
    <t>Đầu mối triển khai các dự án có tính chất nâng cao hiệu quả hệ thống quản lý rủi ro tổng thể, bao gồm các dự án Basel.</t>
  </si>
  <si>
    <t>Tỷ lệ hoàn thành tiến độ các dự án được giao theo kế hoạch</t>
  </si>
  <si>
    <t>Tham gia triển khai dự án phòng chống rửa tiền</t>
  </si>
  <si>
    <t>Tham gia triển khai các dự án khác thuộc Khối QLRR.</t>
  </si>
  <si>
    <t>Tham gia và điều phối các dự án nâng cao hiệu quả hệ thống QLRR, bao gồm các dự án Basel.</t>
  </si>
  <si>
    <t>Tham gia thực hiện theo kịch bản kiểm tra sức chịu đựng tổng thể của SCB theo đúng quy định</t>
  </si>
  <si>
    <t>Tổng hợp và phân tích rủi ro của toàn hệ thống.</t>
  </si>
  <si>
    <t>Giám sát các Đơn vị trong việc kiểm tra tình hình lãi dự thu, lãi ngoại bảng.</t>
  </si>
  <si>
    <t>Giám sát tình hình cơ cấu nợ và điều chỉnh nhóm nợ trên toàn hệ thống và có cảnh báo kịp thời các vấn đề liên quan.</t>
  </si>
  <si>
    <t xml:space="preserve">Đầu mối tính toán, kiểm tra giám sát, quản lý công tác phân nhóm nợ, trích lập và sử dụng dự phòng trong toàn hệ thống. </t>
  </si>
  <si>
    <t>Đầu mối đánh giá hiệu quả của hệ thống QLRR và có ý kiến đề xuất giải pháp khắc phục, cải tiến theo hướng áp dụng các phương pháp, chuẩn mực Basel và thông lệ phù hợp với thực tế.</t>
  </si>
  <si>
    <t>Đánh giá/kiểm định lại các mô hình định lượng rủi ro từ các Phòng Hội sở khác đã thực hiện.</t>
  </si>
  <si>
    <t>Đầu mối tổ chức đánh giá định kỳ về quá trình QLRR và có đề xuất điều chỉnh phù hợp, kịp thời.</t>
  </si>
  <si>
    <t>Số lượng bản đánh giá thực hiện</t>
  </si>
  <si>
    <t>Đánh giá mức độ ảnh hưởng của các chính sách, văn bản mới ban hành của các cơ quan quản lý liên quan đến rủi ro tổng thể và các loại rủi ro khác (không thuộc các đơn vị Hội sở quản lý) trong hoạt động của SCB</t>
  </si>
  <si>
    <t>Đánh giá mức độ ảnh hưởng của các chính sách, văn bản mới ban hành của các cơ quan quản lý đến các loại rủi ro trong hoạt động của SCB.</t>
  </si>
  <si>
    <t>Nhận diện, phân tích, kiểm soát và giám sát rủi ro tổng thể của SCB.</t>
  </si>
  <si>
    <t>Đầu mối và phối hợp với các Phòng Hội sở liên quan: QLRRTD, QLRRTT, QLRRVH, QLRR thanh khoản và QLRR lãi suất trên sổ ngân hàng xây dựng bộ dữ liệu rủi ro (risk profile) của SCB.</t>
  </si>
  <si>
    <t>Số lượng báo cáo thực hiện</t>
  </si>
  <si>
    <t>Báo cáo tổng hợp và phân tích rủi ro cho toàn hệ thống hàng quý</t>
  </si>
  <si>
    <t>Định kỳ hàng quý, tổng hợp và phân tích tình hình rủi ro của toàn hệ thống SCB và đề xuất, tham mưu cho BĐH các vấn đề liên quan (nếu có).</t>
  </si>
  <si>
    <t>Đề xuất xây dựng, cập nhật và hiệu chỉnh theo từng thời kỳ về chiến lược QLRR tổng thể, khung QLRR tổng thể, chính sách QLRR tổng thể, các nguyên tắc quản lý từng rủi ro, nguyên tắc về dữ liệu rủi ro, nguyên tắc báo cáo rủi ro theo Basel và các thông lệ Quốc tế cho toàn hệ thống.</t>
  </si>
  <si>
    <t>Tham gia và đề xuất xây dựng các hạn mức rủi ro của SCB</t>
  </si>
  <si>
    <t>Tham mưu BĐH trong việc xây dựng chiến lược quản lý rủi ro và định hướng phân bổ khẩu vị rủi ro cho từng mảng rủi ro.</t>
  </si>
  <si>
    <t>Tham mưu BĐH trong việc phân bổ khẩu vị rủi ro cho từng mảng rủi ro.</t>
  </si>
  <si>
    <t>Tỷ lệ hoàn thành công tác xây dựng chính sách rủi ro đúng tiến độ so với kế hoạch</t>
  </si>
  <si>
    <t>Xây dựng Chính sách QLRR SCB hàng năm</t>
  </si>
  <si>
    <t>Đầu mối xây dựng Chính sách QLRR.</t>
  </si>
  <si>
    <t>Tỷ lệ hoàn thành tiến độ cập nhật đúng hạn so với kế hoạch</t>
  </si>
  <si>
    <t>Cập nhật tài liệu Hướng dẫn Từ điển thuật ngữ sử dụng trong lĩnh vực QLRR</t>
  </si>
  <si>
    <t>Đánh giá việc thực hiện chiến lược QLRR hàng năm và đề xuất điều chỉnh (nếu có).</t>
  </si>
  <si>
    <t>Đầu mối đề xuất và xây dựng khung QLRR cho SCB.</t>
  </si>
  <si>
    <t>Tỷ lệ hoàn thành công tác đánh giá chiến lược QLRR đúng tiến độ so với kế hoạch</t>
  </si>
  <si>
    <t>Đánh giá Chiến lược rủi ro</t>
  </si>
  <si>
    <t>Đầu mối đề xuất và xây dựng chiến lược QLRR cho SCB từng thời kỳ.</t>
  </si>
  <si>
    <t>Giám sát từ xa các hoạt động nghiệp vụ của SCB (thông qua FCC, hệ thống CĐ&amp;XHTDNB, các báo cáo, hệ thống dữ liệu camera ...)</t>
  </si>
  <si>
    <t>Khác_QLRRVH</t>
  </si>
  <si>
    <t>QLRRVH&amp;TT</t>
  </si>
  <si>
    <t>PHÒNG QLRR VẬN HÀNH VÀ TUÂN THỦ</t>
  </si>
  <si>
    <t>27</t>
  </si>
  <si>
    <t>CN phát sinh</t>
  </si>
  <si>
    <t>PYC, PYK, TB</t>
  </si>
  <si>
    <t>Rà soát an toàn hệ thống, theo dõi tiến độ thực hiện và tiến hành kiểm tra/phúc tra tại các Đơn vị di dời/sửa chữa ...</t>
  </si>
  <si>
    <t>CN trực</t>
  </si>
  <si>
    <t>Biên bản</t>
  </si>
  <si>
    <t>Trực quyết năm</t>
  </si>
  <si>
    <t>Tham gia các Hội đồng/Tổ kiểm kê TSCĐ, CCLĐ năm</t>
  </si>
  <si>
    <t>Tham gia các Hội đồng/Tổ kiểm kê ACQT: Định kỳ 06 tháng</t>
  </si>
  <si>
    <t>Tham gia các Hội đồng/Tổ kiểm kê định kỳ tháng tại Hội đồng/tổ kiểm kê Hội sở</t>
  </si>
  <si>
    <t>Phân bổ đều cho phòng HO, CN</t>
  </si>
  <si>
    <t xml:space="preserve">  </t>
  </si>
  <si>
    <t>Báo cáo khắc phục KTNB (theo BBKT)</t>
  </si>
  <si>
    <t>Đơn vị phát sinh</t>
  </si>
  <si>
    <t>Thông báo/báo cáo</t>
  </si>
  <si>
    <t>Xử lý Biên bản kiểm tra</t>
  </si>
  <si>
    <t xml:space="preserve">Báo cáo về tiếp nhận tin báo, tố giác, tố cáo tội phạm </t>
  </si>
  <si>
    <t>Báo cáo chương trình báo cáo NHNN (TT35)</t>
  </si>
  <si>
    <t>Bài Giảng</t>
  </si>
  <si>
    <t>Đào tạo về công tác phòng chống rửa tiền</t>
  </si>
  <si>
    <t>Các thành viên tham gia toàn thời gian</t>
  </si>
  <si>
    <t>SCB
Dự án PCRT</t>
  </si>
  <si>
    <t>Tham gia Ban Đầu tư, Ban triển khai Dự án phần mềm PCRT</t>
  </si>
  <si>
    <t>Theo dõi hồ sơ tuân thủ, qua đó, đề xuất cải tiến quy trình tác nghiệp, các chính sách điều hành để nâng cao chất lượng hoạt động SCB</t>
  </si>
  <si>
    <t>Tổ chức/thực hiện giám sát từ xa/kiểm tra tại chỗ việc thực hiện/triển khai các quy định của Ngân hàng/Pháp luật trong toàn hệ thống SCB</t>
  </si>
  <si>
    <t>Phối hợp với các Đơn vị xử lý các vụ việc phát sinh đến khi hoàn thành.</t>
  </si>
  <si>
    <t xml:space="preserve">Số lần tổng hợp </t>
  </si>
  <si>
    <t>Giám sát tổng hợp báo cáo kết quả thực hiện phương án khắc phục, phòng ngừa về các sự kiện không phù hợp được các đoàn Kiểm tra nội bộ, bên ngoài phát hiện</t>
  </si>
  <si>
    <t>Tổ chức theo dõi việc khắc phục tồn tại, yếu kém, tiềm ẩn rủi ro đã được phát hiện qua công tác kiểm tra, giám sát; kết quả thực hiện phương án khắc phục, phòng ngừa về các sự không phù hợp tại Biên bản kiểm tra của các Đoàn kiểm tra nội bộ; kết quả khắc phục sau thanh tra tại các Đơn vị. Tổ chức phúc tra các Đơn vị và báo cáo BĐH kịp thời.</t>
  </si>
  <si>
    <t>Thực hiện kiểm tra đột xuất kho quỹ tại các Chi nhánh trong khu vực (kết hợp với phòng Ngân quỹ Hội sở) (nếu có).</t>
  </si>
  <si>
    <t>Giám sát từ xa việc tuân thủ quy định của Đơn vị thông qua các công cụ phù hợp.</t>
  </si>
  <si>
    <t>Thực hiện kiểm kê ACQT trắng, hỏng, tiêu hủy ACQT hỏng và không sử dụng tại các chi nhánh thuộc khu vực: 06 tháng đầu năm và cả năm 2018 Kiểm kê kho ấn phẩm thường, quà tặng 06 tháng đầu năm và cả năm 2018</t>
  </si>
  <si>
    <t>Thực hiện kiểm kê TSCĐ, CCLĐ 11 tháng và cả năm 2018</t>
  </si>
  <si>
    <t>Thực hiện giám sát từ xa hoạt động nghiệp vụ thẻ tín dụng SCB.</t>
  </si>
  <si>
    <t>Thực hiện giám sát từ xa trong hoạt động  tín dụng tại các chi nhánh thuộc khu vực: dự nợ, chuyển nhóm nợ, điều chỉnh lãi suất….</t>
  </si>
  <si>
    <t>Số lần giám sát</t>
  </si>
  <si>
    <t>Giám sát từ xa thông qua hệ thống Core (các báo cáo huy động vốn, lãi suất...), qua Hệ thống Camera đóng mở kho/két của BQL kho/két)</t>
  </si>
  <si>
    <t>- Các CN được kiểm tra
- Các PGD được kiểm tra</t>
  </si>
  <si>
    <t>Thực hiện kiểm tra, phúc tra toàn diện các mặt hoạt động tại Chi nhánh và các PGD trực thuộc.</t>
  </si>
  <si>
    <t>Tổ chức/ thực hiện giám sát từ xa/ kiểm tra tại chỗ định kỳ/đột xuất việc triển khai thực hiện các Quy chế, Quy định, Quy trình, Hướng dẫn trong toàn hệ thống; đảm bảo tính tuân thủ, minh bạch và kịp thời phát hiện rủi ro trong hoạt động của các Đơn vị và đề xuất TGĐ các biện pháp xử lý phù hợp.</t>
  </si>
  <si>
    <t xml:space="preserve">Xây dựng kế hoạch kiểm tra tại chỗ các Đơn vị hàng năm. </t>
  </si>
  <si>
    <t>Phân tích ảnh hưởng của các VBQP pháp luật đến hoạt động của SCB, đề xuất các Đơn vị tu chỉnh/soạn thảo mới VBQP nội bộ phù hợp</t>
  </si>
  <si>
    <t xml:space="preserve">Nghiên cứu, xây dựng các VBQP chi phối hoạt động Giám sát tuân thủ, bao gồm: quy định, quy trình, ... </t>
  </si>
  <si>
    <t>Thực hiện góp ý/xét duyệt nội dung các văn bản quy phạm trước khi Đơn vị trình ban hành</t>
  </si>
  <si>
    <t>Hoàn thiện việc vận hành của hệ thống VBQP</t>
  </si>
  <si>
    <t>Độc lập hoặc phối hợp với các đơn vị nhận diện rủi ro, đánh giá và đề xuất các biện pháp kiểm soát rủi ro vi phạm Đạo đức nghề nghiệp, gian lận đối với các sản phẩm dịch vụ, quy định/quy trình nội bộ...</t>
  </si>
  <si>
    <t>Quản lý hoạt động phòng chống rửa tiền và phòng chống gian lận.</t>
  </si>
  <si>
    <t>Xây dựng và quản lý danh mục hành vi vi phạm Đạo đức nghề nghiệp, tiềm ẩn gian lận.</t>
  </si>
  <si>
    <t>Xây dựng kịch bản giám sát hành vi vi phạm Đạo đức nghề nghiệp, tạo tiền đề phát hiện sớm gian lận.</t>
  </si>
  <si>
    <t>Quản lý danh sách Khách hàng không rủi ro, danh sách khách hàng có mức độ rủi ro rửa tiền thấp - trung bình - cao, Khách hàng đen/cảnh báo PCRT/tài trợ khủng bố/cấm vận trong toàn hàng.</t>
  </si>
  <si>
    <t>Rà soát, xử lý các giao dịch/khách hàng bị cảnh báo vi phạm danh sách đen/cảnh báo/cấm vận và các giao dịch có rủi ro rửa tiền trên hệ thống Phòng chống rửa tiền của SCB.</t>
  </si>
  <si>
    <t>Giám sát các đơn vị trong quá trình thực thi Chính sách chấp nhận khách hàng, các quy định về Phòng chống rửa tiền, tài trợ khủng bố, cấm vận, tuân thủ FATCA tại SCB.</t>
  </si>
  <si>
    <t>Xây dựng, cập nhật VBQP, hướng dẫn công tác Phòng chống rửa tiền, Phòng chống gian lận trong toàn hệ thống</t>
  </si>
  <si>
    <t>Triển khai và đầu mối hỗ trợ quản lý kinh doanh liên tục và khả năng phục hồi tại chỗ để đảm bảo khả năng hoạt động liên tục và hạn chế thiệt hại trong trường hợp Ngân hàng bị gián đoạn kinh doanh (BCM)</t>
  </si>
  <si>
    <t>Tổ chức thực hiện QLRRVH thông qua nhận diện và đánh giá rủi ro; giám sát và báo cáo rủi ro; kiểm soát và giảm thiểu rủi ro; kế hoạch phục hồi và kinh doanh liên tục.</t>
  </si>
  <si>
    <t>Tổ chức cuộc thi “Sáng kiến giảm sai, lỗi trong hoạt động”…</t>
  </si>
  <si>
    <t>Đầu mối tổ chức đào tạo văn hóa rủi ro trên toàn hệ thống.</t>
  </si>
  <si>
    <t>Thường xuyên phổ biến các nội dung của Văn hóa rủi ro</t>
  </si>
  <si>
    <t>Báo cáo QLRR định kỳ (bên ngoài)</t>
  </si>
  <si>
    <t>Thực hiện các báo cáo liên quan đến RRVH định kỳ hoặc đột xuất, đề xuất lựa chọn các giải pháp ứng phó rủi ro phù hợp với tình hình của SCB.</t>
  </si>
  <si>
    <t>Báo cáo theo sự vụ</t>
  </si>
  <si>
    <t>Báo cáo QLRRVH</t>
  </si>
  <si>
    <t>Báo cáo QLRR định kỳ (nội bộ)</t>
  </si>
  <si>
    <t>Xây dựng hệ thống báo cáo nhằm thực hiện chức năng giám sát từ xa</t>
  </si>
  <si>
    <t>Phối hợp với các Phòng chức năng có liên quan tại Hội sở tổ chức đánh giá định kỳ về quá trình QLRRVH và có đề xuất điều chỉnh cho phù hợp, kịp thời.</t>
  </si>
  <si>
    <t>Theo dõi hồ sơ RRVH và báo cáo các RRVH, đề xuất cải tiến quy trình tác nghiệp, các chính sách điều hành để nâng cao chất lượng hoạt động SCB.</t>
  </si>
  <si>
    <t>Tham gia thực hiện theo kịch bản kiểm tra sức chịu đựng tổng thể của SCB theo đúng quy định.</t>
  </si>
  <si>
    <t>Kiểm soát rủi ro vận hành của SCB và của các Đơn vị trực thuộc thông qua các hạn mức RRVH và Chỉ số rủi ro chính (KRIs); trên cơ sở đó, cảnh báo kịp thời các vấn đề liên quan.</t>
  </si>
  <si>
    <t>Nghiên cứu xây dựng các hạn mức RRVH phù hợp với khẩu vị rủi ro của SCB.</t>
  </si>
  <si>
    <t>Nghiên cứu việc phân tích RRVH theo kịch bản để đánh giá rủi ro của ngân hàng theo các mức độ.</t>
  </si>
  <si>
    <t>Cập nhật, đánh giá ảnh hưởng của các văn bản quy phạm pháp luật mới ban hành liên quan QLRRVH.</t>
  </si>
  <si>
    <t>Phối hợp với các Phòng liên quan trong việc xây dựng bộ dữ liệu rủi ro (risk profile) (liên quan đến RRVH); đánh giá mức độ ảnh hưởng đến hoạt động của SCB và nhu cầu vốn khi bộ dữ liệu rủi ro của Ngân hàng thay đổi nhằm đưa ra đề xuất phù hợp.</t>
  </si>
  <si>
    <t>Thu thập và lưu trữ, quản trị dữ liệu liên quan đến RRVH.</t>
  </si>
  <si>
    <t>Tham mưu kịp thời cho BĐH về phương diện QLRRVH để ra quyết định, đảm bảo hoạt động kinh doanh hiệu quả.</t>
  </si>
  <si>
    <t>Tính toán vốn yêu cầu đối với rủi ro vận hành của SCB theo quy định nội bộ và NHNN.</t>
  </si>
  <si>
    <t>Hướng dẫn</t>
  </si>
  <si>
    <t>Nghiên cứu việc áp dụng Khung tự đánh giá theo Basel II (RCSA).</t>
  </si>
  <si>
    <t>Xây dựng, cập nhật các mô hình, phương pháp nhận diện, đo lường, theo  dõi, kiểm soát RRVH.</t>
  </si>
  <si>
    <t>Xây dựng chương trình quản lý dữ liệu tổn thất (LEM)</t>
  </si>
  <si>
    <t>Chính sách</t>
  </si>
  <si>
    <t>Xây dựng và triển khai Chỉ số rủi ro chính (KRIs)</t>
  </si>
  <si>
    <t>Công tác kiểm tra giám sát tuân thủ hoạt động tại Phòng Hội sở/Chi nhánh</t>
  </si>
  <si>
    <t>Lập kế hoạch phòng ngừa, giảm nhẹ RRVH, giám sát hoạt động QLRRVH và tổ chức nguồn lực, phân bổ, phân công công việc để thực hiện.</t>
  </si>
  <si>
    <t>PYK/Báo cáo</t>
  </si>
  <si>
    <t>Đánh giá mức độ rủi ro/đề xuất giải pháp/kiến nghị phương án xử lý để tham mưu Ban điều hành thông qua việc phản hồi ý kiến cho các Đơn vị đối với các sự kiện rủi ro phát sinh.</t>
  </si>
  <si>
    <t>Nhận diện và đánh giá RRVH trong các hoạt động, sản phẩm (mới, hiện hành), quy trình, hệ thống của ngân hàng được gây ra bởi nguyên nhân bên trong và bên ngoài SCB thông qua phối hợp thực hiện phân tích, rà soát đưa ra ý kiến về khía cạnh RRVH, các rủi ro tiềm ẩn và tham gia đóng góp ý kiến cho các hoạt động cải tiến quy trình/hệ thống cũng như cải tiến các bước xử lý nghiệp vụ.</t>
  </si>
  <si>
    <t xml:space="preserve">Nhận dạng RRVH từ các sự kiện rủi ro; xây dựng và triển khai áp dụng hệ thống cảnh báo sớm RRVH. </t>
  </si>
  <si>
    <t>Lập kế hoạch, mục tiêu QLRRVH cho SCB hàng năm.</t>
  </si>
  <si>
    <t>Nghiên cứu phương pháp luận Hệ thống Phòng chống gian lận nội bộ (FRAUD)</t>
  </si>
  <si>
    <t>Nghiên cứu, xây dựng hệ thống tài liệu chi phối hoạt động QLRRVH bao gồm: chính sách, VBQP, ...</t>
  </si>
  <si>
    <t>Xây dựng hệ thống chính sách, VBQP và các văn bản khác liên quan đến QLRRVH.</t>
  </si>
  <si>
    <t xml:space="preserve">
Dự án TT41</t>
  </si>
  <si>
    <t>Tham gia triển khai dự án TT41</t>
  </si>
  <si>
    <t xml:space="preserve">
Dự án RSA</t>
  </si>
  <si>
    <t>Dự án tự đánh giá kiểm soát (RSA)</t>
  </si>
  <si>
    <t>phòng HO liên quan</t>
  </si>
  <si>
    <t xml:space="preserve">
Dự án phân tích quy trình kinh doanh</t>
  </si>
  <si>
    <t xml:space="preserve">Dự án phân tích quy trình kinh doanh </t>
  </si>
  <si>
    <t>Dự án trang bị hệ thống QLRR VH tập trung</t>
  </si>
  <si>
    <t>Dự án trang bị hệ thống quản lý rủi ro vận hành tập trung</t>
  </si>
  <si>
    <t xml:space="preserve">
Dự án quản lý thất thu phí dịch vụ</t>
  </si>
  <si>
    <t>Báo cáo/Tờ trình</t>
  </si>
  <si>
    <t>Dự án quản lý thất thu phí dịch vụ</t>
  </si>
  <si>
    <t>Cẩm nang</t>
  </si>
  <si>
    <t>Cập nhật, hoàn thiện Quy định Cẩm nang rủi ro</t>
  </si>
  <si>
    <t>Xây dựng VBQP về công tác giám sát tuân thủ</t>
  </si>
  <si>
    <t>Tham mưu BĐH trong việc xây dựng văn hóa rủi ro và tổ chức triển khai trên toàn hệ thống.</t>
  </si>
  <si>
    <t>Tham mưu BĐH trong công tác xây dựng chiến lược QLRRVH.</t>
  </si>
  <si>
    <t>Dự án Vision FX</t>
  </si>
  <si>
    <t>Tham gia Dự án xây dựng phần mềm giao dịch ngoại hối giữa HO – chi nhánh Night Vision FX</t>
  </si>
  <si>
    <t>Khác_QLRRTT</t>
  </si>
  <si>
    <t>QLRRTT</t>
  </si>
  <si>
    <t>PHÒNG QLRR THỊ TRƯỜNG</t>
  </si>
  <si>
    <t>26</t>
  </si>
  <si>
    <t>Dự án Thông tư 41</t>
  </si>
  <si>
    <t>Tham gia triển khai Dự án thông tư 41 (Basel II) tại SCB.</t>
  </si>
  <si>
    <t>Phân bổ cho đối tượng và tiêu thức tương tự của ứng dụng Treasury.</t>
  </si>
  <si>
    <t>Ứng dụng Treasury</t>
  </si>
  <si>
    <t>Tham gia triển khai dự ánTreasury.</t>
  </si>
  <si>
    <t>Góp ý</t>
  </si>
  <si>
    <t>Thực hiện góp ý/ xét duyệt nội dung các văn bản quy phạm của các Đơn vị liên quan trước khi trình ban hành.</t>
  </si>
  <si>
    <t>Phản hồi/ Góp ý cho các Đơn vị khi có yêu cầu theo chức năng nhiệm vụ của Phòng nhằm đảm bảo giảm thiểu rủi ro cho SCB và tuân thủ theo đúng quy định của NHNN.</t>
  </si>
  <si>
    <t>Theo dõi hồ sơ RRTT và báo cáo các RRTT, đề xuất cải tiến quy trình tác nghiệp, các chính sách điều hành để nâng cao chất lượng hoạt động SCB</t>
  </si>
  <si>
    <t>Quản lý sổ kinh doanh của SCB.</t>
  </si>
  <si>
    <t>Định kỳ rà soát, đánh giá mức độ đáp ứng điều kiện thuộc sổ kinh doanh của các công cụ tài chính để đề xuất BĐH biện pháp xử lý phù hợp.</t>
  </si>
  <si>
    <t>Thiết lập các giới hạn và quản lý rủi ro tập trung của sổ kinh doanh.</t>
  </si>
  <si>
    <t>Phân tích, đánh giá cơ cấu sổ kinh doanh.</t>
  </si>
  <si>
    <t>Xây dựng điều kiện, tiêu chí xác định trạng thái của các công cụ tài chính thuộc phạm vi sổ kinh doanh.</t>
  </si>
  <si>
    <t>Phối hợp với các Phòng liên quan trong việc xây dựng bộ dữ liệu rủi ro (risk profile); đánh giá mức độ ảnh hưởng đến hoạt động của SCB và nhu cầu vốn khi bộ dữ liệu rủi ro của Ngân hàng thay đổi nhằm đưa ra đề xuất phù hợp</t>
  </si>
  <si>
    <t>Tổ chức hoạt động QLRRTT thông qua hệ thống mô hình, quy trình nhận dạng, phân tích, đo lường, theo dõi và kiểm soát RRTT của SCB.</t>
  </si>
  <si>
    <t>Hệ thống theo dõi khắc phục sau kiểm tra.</t>
  </si>
  <si>
    <t>Phối hợp với các Phòng liên quan xây dựng hệ thống theo dõi khắc phục sau kiểm tra.</t>
  </si>
  <si>
    <t>Phối hợp với các Phòng chức năng có liên quan tổ chức đánh giá định kỳ về quá trình QLRRTT và có đề xuất điều chỉnh phù hợp, kịp thời.</t>
  </si>
  <si>
    <t>Hạn mức RRTT</t>
  </si>
  <si>
    <t>Nghiên cứu, phối hợp với các Phòng liên quan xây dựng hạn mức rủi ro thị trường phù hợp với khẩu vị rủi ro của SCB và trình TGĐ ban hành.</t>
  </si>
  <si>
    <t>Phối hợp với các Phòng kinh doanh trong công tác xác định hạn mức giao dịch/hạn mức tự doanh trình Tổng Giám đốc.</t>
  </si>
  <si>
    <t>Thực hiện Báo cáo rủi ro tiền tệ gửi Ngân hàng Nhà nước theo quy định tại Thông tư 35/2015/TT-NHNN.</t>
  </si>
  <si>
    <t>Thực hiện các báo cáo liên quan đến RRTT định kỳ hoặc đột xuất, đề xuất lựa chọn các giải pháp ứng phó rủi ro phù hợp với tình hình của SCB.</t>
  </si>
  <si>
    <t>Hàng tháng: Báo cáo Giám sát tuân thủ các nghiệp vụ do Phòng quản lý.</t>
  </si>
  <si>
    <t xml:space="preserve">Hàng tháng: Báo cáo Quản lý rủi ro thị trường. </t>
  </si>
  <si>
    <t xml:space="preserve"> Hàng ngày: Báo cáo kết quả đo lường và giám sát rủi ro thị trường.</t>
  </si>
  <si>
    <t>Kịch bản</t>
  </si>
  <si>
    <t>Xây dựng các kịch bản kiểm tra sức chịu đựng của SCB đối với rủi ro thị trường để đánh giá khả năng chịu đựng cực điểm của SCB đối với rủi ro thị trường.</t>
  </si>
  <si>
    <t>P.KDNH, KDTT, P.TNKDTT</t>
  </si>
  <si>
    <t>Đoàn kiểm tra</t>
  </si>
  <si>
    <t>Thực hiện kiểm tra tại chỗ nghiệp vụ kinh doanh ngoại hối và kinh doanh tiền tệ tại Hội sở.</t>
  </si>
  <si>
    <t>Giám sát, đánh giá tính hợp lý về mức giá của giao dịch kinh doanh ngoại hối, kinh doanh vốn và đầu tư TPCP so với giá thị trường nhằm đảm bảo hiệu quả và/hoặc ngăn ngừa tổn thất cho SCB.</t>
  </si>
  <si>
    <t>Phân bổ CN phát sinh</t>
  </si>
  <si>
    <t>Thực hiện kiểm tra tại chỗ nghiệp vụ Kinh doanh ngoại hối tại các Đơn vị (tham gia cùng đoàn kiểm tra của Khối QLRR)</t>
  </si>
  <si>
    <t>Đơn vị kiểm tra</t>
  </si>
  <si>
    <t>Thực hiện giám sát từ xa đối với hoạt động Kinh doanh ngoại hối tại các Chi nhánh và Đơn vị trực thuộc.</t>
  </si>
  <si>
    <t>Thu thập và lưu trữ dữ liệu liên quan đến tỷ giá, lãi suất, giá chứng khoán và giá hàng hóa của SCB và thị trường.</t>
  </si>
  <si>
    <t>Tham mưu cho BĐH về các vấn đề liên quan đến QLRRTT trước khi ra quyết định kinh doanh/ban hành VBQP.</t>
  </si>
  <si>
    <t>Xây dựng và vận hành các cấu phần liên quan đến quản lý rủi ro thị trường trên hệ thống Treasury Front Arena và các hệ thống khác phù hợp thực tế SCB trong từng thời kỳ.</t>
  </si>
  <si>
    <t>Tính toán vốn yêu cầu đối với danh mục tài sản chịu rủi ro thị trường, rủi ro tín dụng đối tác toàn hàng theo quy định nội bộ và NHNN.</t>
  </si>
  <si>
    <t>BĐH, P. KDTT, P.KDNH</t>
  </si>
  <si>
    <t>Giám sát tình hình tuân thủ các hạn mức rủi ro thị trường của SCB và có các cảnh báo kịp thời các vấn đề liên quan.</t>
  </si>
  <si>
    <t>Xây dựng các hạn mức RRTT phù hợp với khẩu vị rủi ro của SCB. Giám sát tình hình tuân thủ các hạn mức RRTT của SCB và có cảnh báo kịp thời các vấn đề liên quan.</t>
  </si>
  <si>
    <t>Phân tích và xây dựng các mô hình, phương pháp nhận dạng, đo lường, theo dõi, kiểm soát đối với từng loại rủi ro, đối với rủi ro thị trường của sổ kinh doanh và tổng thể rủi ro thị trường của SCB.</t>
  </si>
  <si>
    <t>Phân tích và xây dựng các mô hình, phương pháp nhận dạng, đo lường, theo dõi, kiểm soát đối với từng loại rủi ro (rủi ro lãi suất và rủi ro giá chứng khoán trên sổ kinh doanh và rủi ro tỷ giá, rủi ro giá hàng hóa trong toàn hệ thống SCB), đối với RRTT của sổ kinh doanh và tổng thể RRTT của SCB.</t>
  </si>
  <si>
    <t>Lập kế hoạch, mục tiêu QLRRTT cho SCB trong từng thời kỳ.</t>
  </si>
  <si>
    <t>Xây dựng Quy trình Quản lý dữ liệu thị trường.</t>
  </si>
  <si>
    <t>Nghiên cứu, xây dựng hệ thống tài liệu chi phối hoạt động QLRRTT, bao gồm: các chính sách, VBQP, ...</t>
  </si>
  <si>
    <t>Xây dựng hệ thống chính sách, VBQP và các văn bản khác liên quan đến QLRRTT.</t>
  </si>
  <si>
    <t>Tu chỉnh Quy trình quản lý rủi ro thị trường.</t>
  </si>
  <si>
    <t>Xây dựng Chính sách quản lý rủi ro thị trường.</t>
  </si>
  <si>
    <t xml:space="preserve">Tu chỉnh Quy trình giám sát các hạn mức rủi ro thị trường </t>
  </si>
  <si>
    <t>Cập nhật và đánh giá mức độ ảnh hưởng các văn bản quy phạm pháp luật mới ban hành đến rủi ro thị trường và tính tuân thủ; rà soát và có ý kiến đề xuất đối với các văn bản quy phạm, tài liệu nghiệp vụ của SCB liên quan đến nghiệp vụ kinh doanh ngoại hối/kinh doanh tiền tệ (liên ngân hàng và NHNN)/ đầu tư trái phiếu Chính phủ/các tỷ lệ an toàn hoạt động của SCB.</t>
  </si>
  <si>
    <t xml:space="preserve">Tham mưu cho Ban Điều hành trong việc xây dựng chiến lược quản lý rủi ro thị trường và các vấn đề liên quan đến quản lý rủi ro thị trường trước khi ra quyết định kinh doanh. </t>
  </si>
  <si>
    <t>Tham mưu BĐH trong công tác xây dựng chiến lược QLRRTT.</t>
  </si>
  <si>
    <t>Phân bổ đều cho các Đơn vị</t>
  </si>
  <si>
    <t>Tổng hợp</t>
  </si>
  <si>
    <t>Sản phẩm tiền vay</t>
  </si>
  <si>
    <t>Không có</t>
  </si>
  <si>
    <t>Tư vấn cho các Đơn vị qua điện thoại, email, trao đổi trực tiếp,…</t>
  </si>
  <si>
    <t>Khác_QLRRTD</t>
  </si>
  <si>
    <t>QLRRTD</t>
  </si>
  <si>
    <t>PHÒNG QLRR TÍN DỤNG</t>
  </si>
  <si>
    <t>25</t>
  </si>
  <si>
    <t>Soạn đề thi và đáp án chức danh chuyên viên, chuyên viên chính QLRRTD</t>
  </si>
  <si>
    <t>TB/MAIL</t>
  </si>
  <si>
    <t>Thực hiện cảnh báo rủi ro cho các Đơn vị thông qua ban hành Thông báo, gửi mail, điện thoại,…</t>
  </si>
  <si>
    <t>Công văn đến</t>
  </si>
  <si>
    <t>Xử lý các công văn đến do Khối QLRR phân bổ</t>
  </si>
  <si>
    <t>Giáo án</t>
  </si>
  <si>
    <t>Soạn thảo, cập nhật tài liệu và tổ chức tập huấn về hệ thống XHTDNB</t>
  </si>
  <si>
    <t>Soạn thảo, cập nhật tài liệu và tổ chức tập huấn về công tác quản lý rủi ro tín dụng</t>
  </si>
  <si>
    <t>Soạn thảo, cập nhật tài liệu và tổ chức tập huấn về hạn mức phán quyết kinh doanh và đầu tư</t>
  </si>
  <si>
    <t>Soạn thảo, cập nhật tài liệu và tổ chức tập huấn về phân loại nợ, trích lập và sử dụng dự phòng rủi ro tín dụng</t>
  </si>
  <si>
    <t>Phối hợp P.TH&amp;PTRR phân tích các trường dữ liệu trên Core và thông tư 41.</t>
  </si>
  <si>
    <t>Lịch họp</t>
  </si>
  <si>
    <t>Phối hợp với Khối CNTT, Khối NHBL xây dựng hệ thống tin học hóa quy trình cấp tín dụng LOS.</t>
  </si>
  <si>
    <t>Tham gia họp cùng Khối CNTT, đối tác mô tả nghiệp vụ đối tác để Demo chương trình ECM</t>
  </si>
  <si>
    <t>Bản mô tả</t>
  </si>
  <si>
    <t>Thực hiện mô tả hệ thống để Khối CNTT xây dựng</t>
  </si>
  <si>
    <t>PYC</t>
  </si>
  <si>
    <t>Cung cấp dữ liệu xếp hạng khách hàng theo CIC trên hệ thống XHTDNB theo yêu cầu của Đơn vị</t>
  </si>
  <si>
    <t>Tổ chức triển khai nâng cấp phần mềm:
- Rà soát dữ liệu hiện tại và xây dựng lộ trình nâng cấp</t>
  </si>
  <si>
    <t>Theo dõi và cập nhật thường xuyên phần mềm chấm điểm và xếp hạng đảm bảo hệ thống vận hành ổn định</t>
  </si>
  <si>
    <t>Tham dự họp liên quan đến công tác tín dụng</t>
  </si>
  <si>
    <t>Thu thập thông tin tiến độ xử lý các khoản nợ quá hạn, nợ xấu (đặc biệt tại các Chi nhánh có tỷ lệ nợ xấu cao) phục vụ công tác đánh giá rủi ro Danh mục và báo cáo theo yêu cầu của Giám đốc Khối QLRR</t>
  </si>
  <si>
    <t>Cung cấp các tài liệu liên quan đến hoạt động cấp tín dụng cho Kiểm toán khi có yêu cầu</t>
  </si>
  <si>
    <t>Xây dựng các mẫu báo cáo quản trị cần thiết phục vụ công tác phân tích, quản trị Danh mục tín dụng (bao gồm mô tả, xây dựng, test dữ liệu, vận hành)</t>
  </si>
  <si>
    <t>Phân bổ đều cho các CN phát sinh liên quan</t>
  </si>
  <si>
    <t>Góp ý cho các Đơn vị khi có yêu cầu theo chức năng nhiệm vụ của Khối nhằm đảm bảo giảm thiểu rủi ro cho SCB và tuân thủ theo đúng quy định của NHNN</t>
  </si>
  <si>
    <t>Các Phòng HO</t>
  </si>
  <si>
    <t>Góp ý xây dựng TLCL của các Đơn vị khi có yêu cầu</t>
  </si>
  <si>
    <t>Phản hồi các PYC của các Đơn vị về việc mở chức năng UDF để nhập liệu</t>
  </si>
  <si>
    <t>Chưa biết</t>
  </si>
  <si>
    <t>Phối hợp với Đơn vị xây dựng báo cáo trên hệ thống</t>
  </si>
  <si>
    <t>Hỗ trợ Đơn vị xóa lịch sử nợ quá hạn trên CIC</t>
  </si>
  <si>
    <t>Phản hồi các giải pháp xử lý nợ quá hạn, nợ xấu</t>
  </si>
  <si>
    <t xml:space="preserve">Soạn thảo câu hỏi phục vụ Đại hội đồng cổ đông hàng năm </t>
  </si>
  <si>
    <t>Xử lý các hồ sơ liên quan đến hỗ trợ lãi suất</t>
  </si>
  <si>
    <t>Phản hồi các PYC của các Đơn vị về cung cấp thông tin, số liệu</t>
  </si>
  <si>
    <t>Phản hồi các PYC của các Đơn vị về hệ thống XHTDNB</t>
  </si>
  <si>
    <t>Phản hồi các PYC của các Đơn vị về hạn mức phán quyết</t>
  </si>
  <si>
    <t>Báo cáo để họp đánh giá kết quả hoạt động kinh doanh các Đơn vị</t>
  </si>
  <si>
    <t>Đánh giá chất lượng dịch vụ nội bộ các Phòng Hội sở (13981/TB-TGĐ.18)</t>
  </si>
  <si>
    <t>Trang tin</t>
  </si>
  <si>
    <t>Điểm tin thị trường có liên quan đến lĩnh vực hoạt động kinh doanh SCB.</t>
  </si>
  <si>
    <t>Kiểm tra và giám sát tính hình hạch toán lãi dự thu các khoản cấp tín dụng toàn hàng theo đúng quy định</t>
  </si>
  <si>
    <t>Thực hiện soát xét hồ sơ điều chỉnh tài khoản vay (lãi dự thu, sai trường dữ liệu, lịch sử nợ,…)</t>
  </si>
  <si>
    <t>Quản lý tình hình cơ cấu nợ và giữ nguyên nhóm nợ các khoản cho vay (bao gồm khoản vay thông thường)</t>
  </si>
  <si>
    <t>Xử lý các hồ sơ chuyển nhóm nợ khác</t>
  </si>
  <si>
    <t>Xử lý hồ sơ chuyển nhóm nợ thấp hơn do kỳ trả nợ của KH trùng vào dịp Lễ/ Tết</t>
  </si>
  <si>
    <t>Xử lý hồ sơ chuyển nhóm nợ thấp hơn do lỗi CBNV</t>
  </si>
  <si>
    <t>Xử lý hồ sơ chuyển nhóm nợ thấp hơn do lỗi hệ thống</t>
  </si>
  <si>
    <t>Xử lý hồ sơ chuyển nhóm nợ thấp hơn do KH nộp tiền trước kỳ hạn (có phong tỏa TK)</t>
  </si>
  <si>
    <t>Xử lý hồ sơ chuyển nhóm nợ thấp hơn do KH thanh toán nợ thẻ, thấu chi tại SCB</t>
  </si>
  <si>
    <t>Xử lý hồ sơ chuyển nhóm nợ thấp hơn do KH thanh toán nợ thẻ, nợ tại TCTD/CTY TC khác</t>
  </si>
  <si>
    <t>Xử lý hồ sơ chuyển nhóm nợ thấp hơn do KH thanh toán nợ đúng hạn trong thời gian thử thách</t>
  </si>
  <si>
    <t>QĐ</t>
  </si>
  <si>
    <t>Xây dựng Quy trình Quản lý danh mục tín dụng</t>
  </si>
  <si>
    <t>Xây dựng báo cáo quản lý rủi ro danh mục</t>
  </si>
  <si>
    <t>Phân tích, tổng hợp, báo cáo kết quả kiểm tra hồ sơ.</t>
  </si>
  <si>
    <t>Kiểm tra hồ sơ tín dụng theo chuyên đề</t>
  </si>
  <si>
    <t xml:space="preserve">Biên bản </t>
  </si>
  <si>
    <t>Kiểm tra hồ sơ tín dụng thuộc Danh mục có rủi ro</t>
  </si>
  <si>
    <t>TB/MAIL /Biên bản</t>
  </si>
  <si>
    <t>Kiểm tra hồ sơ tín dụng dựa trên các số liệu đã lọc và có dấu hiệu sai phạm.</t>
  </si>
  <si>
    <t>Phân tích, kiểm soát, giám sát cơ cấu danh mục tín dụng</t>
  </si>
  <si>
    <t>Quản lý danh mục tín dụng.</t>
  </si>
  <si>
    <t>Thiết lập các giới hạn và quản lý rủi ro tập trung của danh mục.</t>
  </si>
  <si>
    <t>Thiết lập các nguyên tắc trong quản lý danh mục.</t>
  </si>
  <si>
    <t>Xây dựng và vận hành quy trình quản lý danh mục tín dụng.</t>
  </si>
  <si>
    <t>Phối hợp với các Phòng chức năng có liên quan tổ chức đánh giá định kỳ về công tác QLRRTD tại các Đơn vị và có đề xuất điều chỉnh cho phù hợp, kịp thời</t>
  </si>
  <si>
    <t>Tổ chức hoạt động QLRRTD thông qua hệ thống mô hình, quy trình nhận dạng, phân tích, đo lường, theo dõi và kiểm soát RRTD của SCB.</t>
  </si>
  <si>
    <t>Phối hợp với các Phòng Hội sở liên quan trong việc xây dựng bộ dữ liệu rủi ro (risk profile) (liên quan đến RRTD); đánh giá mức độ ảnh hưởng đến hoạt động của SCB và nhu cầu vốn khi bộ dữ liệu rủi ro của Ngân hàng thay đổi nhằm đưa ra đề xuất phù hợp.</t>
  </si>
  <si>
    <t>Thu thập và lưu trữ, quản trị dữ liệu liên quan đến RRTD.</t>
  </si>
  <si>
    <t>Theo dõi hồ sơ RRTD và báo cáo các RRTD, đề xuất cải tiến quy trình tác nghiệp, các chính sách điều hành để nâng cao chất lượng hoạt động SCB.</t>
  </si>
  <si>
    <t>Tổ chức theo dõi tiến độ thực hiện khắc phục, kết quả khắc phục sai sót của các đơn vị</t>
  </si>
  <si>
    <t>Phối hợp với các Phòng chức năng trong công tác tham mưu đề xuất các phương án xử lý đối với các khoản nợ cần xử lý.</t>
  </si>
  <si>
    <t xml:space="preserve">Thực hiện tờ trình đề xuất hình thức xử lý vi phạm trong lĩnh vực tín dụng </t>
  </si>
  <si>
    <t>Thực hiện báo cáo tổng hợp lỗi vi phạm theo kết quả kiểm tra</t>
  </si>
  <si>
    <t>Thực hiện báo cáo kết quả kiểm tra</t>
  </si>
  <si>
    <t>Tổ chức kiểm tra tại chỗ các Đơn vị + Thông qua biên bản kiểm tra</t>
  </si>
  <si>
    <t xml:space="preserve">Đầu mối tổng hợp thực hiện tờ trình thành lập Đoàn kiểm tra </t>
  </si>
  <si>
    <t>Xây dựng đề cương kiểm tra tại chỗ</t>
  </si>
  <si>
    <t>Kế hoạch</t>
  </si>
  <si>
    <t>Xây dựng kế hoạch kiểm tra tại chỗ các Đơn vị định kỳ hàng năm</t>
  </si>
  <si>
    <t>Báo cáo NHNN / Báo cáo CIC theo TT02 / Dư nợ tại Hội sở</t>
  </si>
  <si>
    <t>Thực hiện các báo cáo liên quan đến RRTD định kỳ hoặc đột xuất, đề xuất lựa chọn các giải pháp ứng phó rủi ro phù hợp với tình hình của SCB.</t>
  </si>
  <si>
    <t>Báo cáo theo CV6643 ngoài TT35 (Biểu mẫu phụ TT35 / Chương trình BC NHNN)</t>
  </si>
  <si>
    <t>Báo cáo phân loại nợ (BM026 - TT35 /  Chương trình BCNHNN)</t>
  </si>
  <si>
    <t>Báo cáo trích lập dự phòng để xử lý rủi ro (BM033 - TT35 / Chương trình BCNHNN)</t>
  </si>
  <si>
    <t>Kiểm tra dữ liệu Báo cáo NHNN / Báo cáo CIC theo TT02</t>
  </si>
  <si>
    <t>Báo cáo phân loại nợ của các chi nhánh, công ty con (là TCTD) của các tổ chức tín dụng tại nước ngoài (BM148 - TT35 / Chương trình BCNHNN)</t>
  </si>
  <si>
    <t>Báo cáo tình hình thực hiện trích lập, sử dụng dự phòng để xử lý rủi ro (CQTTGSNH)</t>
  </si>
  <si>
    <t>Báo cáo Thông tư 35 - biểu 122 Báo cáo về cấp tín dụng đối với một khách hàng, một khách hàng và người có liên quan</t>
  </si>
  <si>
    <t>Báo cáo Thông tư 35 - biểu 124 Báo cáo về cấp tín dụng đối với các đối tượng quy định tại các Điều 126, 127, 128 về hoạt động tín dụng, đầu tư tại Luật các TCTD năm 2010</t>
  </si>
  <si>
    <t>Báo cáo tình hình sở hữu cổ phần, dư nợ cấp tín dụng của ban lãnh đạo tổ chức tín dụng và người có liên quan của ban lãnh đạo gửi NHNN (2809/TTGSNH4)</t>
  </si>
  <si>
    <t>Báo cáo dư nợ cho vay, đầu tư và nợ xấu (CV 1626/TTGSNH4)</t>
  </si>
  <si>
    <t xml:space="preserve">Số liệu cơ cấu nợ theo Thông tư 09 </t>
  </si>
  <si>
    <t>V/v báo cáo dư nợ cho vay, đầu tư và nợ xấu 
Thực hiền báo cáo số liệu liên quan đên cơ cấu nợ (1626/TTGSNH4)</t>
  </si>
  <si>
    <t>V/v báo cáo tổng hợp số liệu lãi dự thu (1589/TTGSNH4)</t>
  </si>
  <si>
    <t>V/v hợp nhất yêu cầu báo cáo theo công văn số 6400/NHNN-TTGSNH và biểu số liệu ban hành kèm theo chỉ thị số 06/CT-NHNN triển khai, thực hiện Nghị quyết số 42/2017/QH14 (8338/NHNN-TTGSNH)</t>
  </si>
  <si>
    <t>V/v giám sát các TCTD có lãi dự thu cao (550/TTGSNH4)</t>
  </si>
  <si>
    <t>Dư nợ và lãi dự thu các PA/DA (QĐ số 31)</t>
  </si>
  <si>
    <t>BM 06 danh sách KH có lãi dự thu &gt;100 tr (QĐ số 31)</t>
  </si>
  <si>
    <t>BM 16 - Báo cáo dư nợ theo số ngày quá hạn Thông tư 35/2015/TT-NHNN</t>
  </si>
  <si>
    <t>BM phụ G01504 - Báo cáo cơ cấu nợ BM ngoài Thông tư 35/2015/TT-NHNN</t>
  </si>
  <si>
    <t>BM phụ G01504 - Báo cáo thông tin cơ cấu nợ của Khách hàng</t>
  </si>
  <si>
    <t>Báo cáo tình hình thực hiện cơ cấu lại thời hạn trả nợ và giữ nguyên nhóm nợ (1120/TTGSNH4)</t>
  </si>
  <si>
    <t>Báo cáo tình hình thực hiện theo Kế hoạch được ban hành tại Quyết định số 259/QĐ-NHNN (551/HCM-PTH)</t>
  </si>
  <si>
    <t>ĐCTC</t>
  </si>
  <si>
    <t>Cung cấp số liệu trích lập DPRR, giá trị TSBĐ liên quan khách hàng DN xuất khẩu (P.ĐCTC)</t>
  </si>
  <si>
    <t>Cung cấp số liệu trích lập DPRR, giá trị TSBĐ liên quan khách hàng DN nhỏ và vừa (P.ĐCTC)</t>
  </si>
  <si>
    <t>Báo cáo dư nợ đã sử dụng dự phòng để xử lý rủi ro tín dụng (P.TCKH)</t>
  </si>
  <si>
    <t>Cung cấp số liệu trích lập DPRR, giá trị TSBĐ liên quan tái cấp vốn hỗ trợ nhà ở (P.ĐCTC)</t>
  </si>
  <si>
    <t>Báo cáo Hoạt động tín dụng (PYC số 99 của P.TCKH)</t>
  </si>
  <si>
    <t>KT</t>
  </si>
  <si>
    <t>Báo cáo tình hình khắc phục chỉnh sửa các kiến nghị của kiểm toán trong thư quản lý năm 2016/2017 (P.KT)</t>
  </si>
  <si>
    <t>Cung cấp thông tin để thực hiện Báo cáo biểu số 129 Thông tư 35 (VP.HĐQT)</t>
  </si>
  <si>
    <t>Biên bản họp</t>
  </si>
  <si>
    <t>Báo cáo trình HĐXLRR v/v phân loại nợ theo CIC hàng tháng - Thông tư 02</t>
  </si>
  <si>
    <t>Báo cáo trích lập dự phòng cụ thể và sử dụng dự phòng để xử lý rủi ro (P.BCTK)</t>
  </si>
  <si>
    <t>Báo cáo trình HĐXLRR v/v phân loại nợ, cam kết ngoại bảng &amp; trích lập dự phòng rủi ro hàng Quý - Thông tư 02</t>
  </si>
  <si>
    <t>Báo cáo tình hình xử lý khách hàng phân loại nợ/cam kết ngoại bảng cao hơn theo CIC (nhận kết quả từ CIC) - Thông tư 02</t>
  </si>
  <si>
    <t>Báo cáo chất lượng tín dụng (PYC số 26/PYC-UBQLRR.15)</t>
  </si>
  <si>
    <t>Báo cáo dự phòng rủi ro theo ngành kinh tế (P.BCTK)</t>
  </si>
  <si>
    <t>HTALCO</t>
  </si>
  <si>
    <t>Báo cáo dư nợ lớn nhất của một khách hàng gửi P.ALCO</t>
  </si>
  <si>
    <t>Báo cáo nhóm khách hàng liên quan lớn nhất gửi P.ALCO</t>
  </si>
  <si>
    <t>Báo cáo tình hình cấp tín dụng tại SCB</t>
  </si>
  <si>
    <t>Báo cáo danh sách Nợ quá hạn tại SCB (PYC số 242/PYC-TCNS.18)</t>
  </si>
  <si>
    <t>Báo cáo cung cấp các thông tin về cấp tín dụng để thực hiện báo cáo tài chính Quý (P.KT)</t>
  </si>
  <si>
    <t>Báo cáo khắc phục, chỉnh sửa sau Thanh tra (KL24)</t>
  </si>
  <si>
    <t>Phân bổ đều cho các Đơn vị, Khối NHBL, Khối DN</t>
  </si>
  <si>
    <t>Báo cáo giám sát từ xa định kỳ hàng Quý</t>
  </si>
  <si>
    <t>Báo cáo giám sát từ xa định kỳ hàng tháng</t>
  </si>
  <si>
    <t>Báo cáo giám sát từ xa định kỳ hàng tuần</t>
  </si>
  <si>
    <t>Báo cáo giám sát tuân thủ các giới hạn kiểm soát rủi ro tín dụng theo quy định tại Chính sách QLRR (13 chỉ tiêu)</t>
  </si>
  <si>
    <t xml:space="preserve">Báo cáo tóm tắt tình hình thực hiện các nội dung chỉ đạo tại Công văn 756/NHNN-TTGSNH.m ngày 12/08/2015 </t>
  </si>
  <si>
    <t>Báo cáo danh sách khách hàng chuyển nợ xấu</t>
  </si>
  <si>
    <t>Báo cáo danh sách khách hàng chuyển nhóm 2</t>
  </si>
  <si>
    <t>Báo cáo chất lượng sản phẩm thuộc Khối NHBL theo từng chi nhánh</t>
  </si>
  <si>
    <t>Báo cáo chất lượng sản phẩm thuộc Khối DN theo từng chi nhánh</t>
  </si>
  <si>
    <t>Báo cáo chất lượng tín dụng sản phẩm theo Khối NHBL và Khối DN</t>
  </si>
  <si>
    <t>Báo cáo theo dõi chất lượng tín dụng không TSBĐ</t>
  </si>
  <si>
    <t>Báo cáo các chi nhánh có số dư nợ xấu thông thường tăng so với đầu năm</t>
  </si>
  <si>
    <t>Báo cáo chất lượng tín dụng khách hàng thuộc Khối NHBL và Khối DN theo từng chi nhánh</t>
  </si>
  <si>
    <t>Báo cáo theo dõi tỷ lệ tăng trưởng tín dụng theo phê duyệt của NHNN</t>
  </si>
  <si>
    <t>Phân bổ đều cho các CN phát sinh cho vay HSTT</t>
  </si>
  <si>
    <t>HSTT</t>
  </si>
  <si>
    <t>Báo cáo tình hình giải ngân - thu nợ các dự án dở dang/phương án cơ cấu</t>
  </si>
  <si>
    <t xml:space="preserve">Báo cáo đánh giá rủi ro ngành nghề và có khuyến nghị cụ thể </t>
  </si>
  <si>
    <t>Tham mưu kịp thời cho BĐH về các vấn đề liên quan QLRRTD đối với tất cả sản phẩm và hoạt động của ngân hàng trước khi ra quyết định kinh doanh/ban hành VBQP.</t>
  </si>
  <si>
    <t>Thực hiện kiểm soát Danh mục, sản phẩm tín dụng theo khẩu vị rủi ro và hạn mức rủi ro được thể hiện qua các ngưỡng cảnh báo nội bộ đã được phê duyệt</t>
  </si>
  <si>
    <t xml:space="preserve">Thực hiện báo cáo đánh giá thực trạng các cơ chế đặc thù/chương trình khuyến mại sản phẩm tín dụng trên toàn hệ thống </t>
  </si>
  <si>
    <t>Theo dõi, phân tích và quản lý số liệu, hỗ trợ Khối Doanh nghiệp/Khối NHBL điều chỉnh chính sách tín dụng, chính sách sản phẩm phù hợp</t>
  </si>
  <si>
    <t xml:space="preserve">Xây dựng chuyên đề nhằm đánh giá mức độ tác động đối với sản phẩm, cơ chế, Chính sách,… của SCB </t>
  </si>
  <si>
    <t>Tính toán vốn yêu cầu đối với tài sản có rủi ro tín dụng toàn hàng theo quy định nội bộ và NHNN.</t>
  </si>
  <si>
    <t>File dữ liệu</t>
  </si>
  <si>
    <t>Lọc dữ liệu để nhận diện các dấu hiệu vi phạm của Đơn vị hàng tháng</t>
  </si>
  <si>
    <t>Kiểm soát rủi ro tín dụng của SCB và của các Đơn vị trực thuộc thông qua các hạn mức RRTD và Chỉ số rủi ro chính (KRIs); trên cơ sở đó, cảnh báo kịp thời các vấn đề liên quan; tham mưu, đề xuất các biện pháp xử lý khi chất lượng tín dụng bị suy giảm.</t>
  </si>
  <si>
    <t>Lọc dữ liệu để nhận diện các dấu hiệu vi phạm của Đơn vị định kỳ hàng tuần</t>
  </si>
  <si>
    <t>Lọc dữ liệu để nhận diện các dấu hiệu vi phạm của Đơn vị hàng ngày</t>
  </si>
  <si>
    <t>Phân bổ đều cho các Đơn vị, Khối liên quan</t>
  </si>
  <si>
    <t>Thông báo chỉ đạo tuân thủ trong công tác kiểm soát rủi ro và hoạt động cấp tín dụng và các chỉ đạo khác (nếu có)..</t>
  </si>
  <si>
    <t>Cập nhật, điều chỉnh Quy chế tổ chức và hoạt động của Hội đồng KD&amp;ĐT</t>
  </si>
  <si>
    <t>Đầu mối xây dựng và đề xuất cấp hạn mức ủy quyền phát quyết tín dụng theo đúng quy định.</t>
  </si>
  <si>
    <t>Cập nhật, điều chỉnh Quyết định v/v ủy quyền hạn mức phán quyết KD&amp;ĐT (TGĐ)</t>
  </si>
  <si>
    <t>Cập nhật, điều chỉnh Quyết định v/v ủy quyền hạn mức phán quyết KD&amp;ĐT (HĐQT)</t>
  </si>
  <si>
    <t xml:space="preserve">Nghiên cứu xây dựng các hạn mức RRTD phù hợp với khẩu vị rủi ro của SCB. </t>
  </si>
  <si>
    <t>Cập nhật, điều chỉnh Hướng dẫn chấm điểm XHTDNB</t>
  </si>
  <si>
    <t>Xây dựng, quản lý, giám sát vận hành hệ thống xếp hạng tín dụng nội bộ.</t>
  </si>
  <si>
    <t>Cập nhật, điều chỉnh Quy chế hệ thống XHTDNB</t>
  </si>
  <si>
    <t>Thông tin</t>
  </si>
  <si>
    <t xml:space="preserve">Cập nhật thông tin thị trường phục vụ công tác nhận diện và cảnh báo rủi ro sớm </t>
  </si>
  <si>
    <t>Đầu mối thực hiện cảnh báo sớm RRTD.</t>
  </si>
  <si>
    <t>báo cáo</t>
  </si>
  <si>
    <t>Phân tích, mô tả cách truy xuất dữ liệu, báo cáo phục vụ nhận diện sớm rủi ro tín dụng</t>
  </si>
  <si>
    <t xml:space="preserve">Xây dựng, cập nhật các mô hình, phương pháp nhận diện, đo lường, theo dõi, kiểm soát RRTD. </t>
  </si>
  <si>
    <t>Kế hoạch Phòng QLRRTD trên Chương trình kế hoạch hành động (7299/TB-TGĐ.18)</t>
  </si>
  <si>
    <t>Lập kế hoạch, mục tiêu QLRRTD cho SCB trong từng thời kỳ.</t>
  </si>
  <si>
    <t xml:space="preserve">Tu chỉnh Hướng dẫn giám sát từ xa </t>
  </si>
  <si>
    <t>Nghiên cứu, xây dựng hệ thống tài liệu chi phối hoạt động QLRRTD, bao gồm: chính sách, VBQP, …</t>
  </si>
  <si>
    <t>Xây dựng hệ thống chính sách, VBQP và các văn bản khác liên quan đến QLRRTD.</t>
  </si>
  <si>
    <t>Xây dựng Hướng dẫn giám sát từ xa</t>
  </si>
  <si>
    <t>Cập nhật, điều chỉnh Quy chế phân loại tài sản có, mức trích, phương pháp trích lập DPRR và việc sử dụng dự phòng để xử lý rủi ro</t>
  </si>
  <si>
    <t>Cập nhật, điều chỉnh Quy định xử lý vi phạm trong hoạt động tín dụng</t>
  </si>
  <si>
    <t>Cập nhật, điều chỉnh Quy định tổ chức kiểm tra trong hoạt động của Đơn vị</t>
  </si>
  <si>
    <t>Cập nhật, hoàn thiện cẩm nang QLRRTD</t>
  </si>
  <si>
    <t>Phân tích ảnh hưởng của các VBQP pháp luật đến hoạt động của SCB</t>
  </si>
  <si>
    <t>Cập nhật, điều chỉnh Khung QLRR</t>
  </si>
  <si>
    <t>Tham mưu BĐH trong công tác xây dựng chiến lược QLRRTD.</t>
  </si>
  <si>
    <t>Cập nhật, điều chỉnh Chính sách QLRR</t>
  </si>
  <si>
    <t>Cập nhật, điều chỉnh Chiến lược QLRR</t>
  </si>
  <si>
    <t>Khác_KTCT</t>
  </si>
  <si>
    <t>KTCT</t>
  </si>
  <si>
    <t>PHÒNG KẾ TOÁN CHI TIÊU</t>
  </si>
  <si>
    <t>75</t>
  </si>
  <si>
    <t>KHỐI KẾ TOÁN</t>
  </si>
  <si>
    <t>F</t>
  </si>
  <si>
    <t>Ban hành thông báo hướng dẫn hạch toán kế toán về mảng chi tiêu nội bộ.</t>
  </si>
  <si>
    <t>Thực hiện hướng dẫn công tác hạch toán kế toán toàn hàng liên quan đến kế toán chi tiêu</t>
  </si>
  <si>
    <t>Ban hành các hướng dẫn thao tác tại các phân hệ nghiệp vụ chi tiết: Phân hệ công nợ (AP), tài sản (FA), ấn chỉ (PP) - Hệ thống ERP.</t>
  </si>
  <si>
    <t>Ban hành Quy định quản lý ấn chỉ quan trọng.</t>
  </si>
  <si>
    <t>Ban hành Quy định chi tiêu nội bộ.</t>
  </si>
  <si>
    <t>Báo cáo các khoản thu chi từ quỹ khen thưởng, quỹ phúc lợi khi có yêu cầu.</t>
  </si>
  <si>
    <t>Thực hiện chi trả theo quy định từ quỹ khen thưởng, quỹ phúc lợi của SCB.</t>
  </si>
  <si>
    <t>Thực hiện hạch toán chi trả các khoản chi từ quỹ khen thưởng, quỹ phúc lợi theo tờ trình đã được cấp có thẩm quyền phê duyệt.</t>
  </si>
  <si>
    <t>Số lượng nhân sự</t>
  </si>
  <si>
    <t>Danh sách và file excel</t>
  </si>
  <si>
    <t>TỔ LƯƠNG - Kiểm tra chi phí nghỉ mát của CN</t>
  </si>
  <si>
    <t>Chi các khoản chi có tính chất phúc lợi của toàn hàng.</t>
  </si>
  <si>
    <t>Thực hiện công tác kế toán liên quan tới chi phí lương và các khoản chế độ, các khoản chi có tính chất phúc lợi cho người lao động của toàn hệ thống.</t>
  </si>
  <si>
    <t>Hội sở</t>
  </si>
  <si>
    <t xml:space="preserve">TỔ LƯƠNG - Chi phí nghỉ mát </t>
  </si>
  <si>
    <t>TỔ LƯƠNG - Chi phí khám sức khỏe định kỳ cho CBNV và người thân</t>
  </si>
  <si>
    <t>Chi các khoản trợ cấp theo quy định của toàn hàng.</t>
  </si>
  <si>
    <t>Chuyển nộp phí công đoàn cho Công đoàn cơ sở và Liên đoàn Lao động thành phố dựa theo bảng lương hàng tháng.</t>
  </si>
  <si>
    <t>Hạch toán chi phí bảo hiểm xã hội, bảo hiểm y tế, bảo hiểm thất nghiệp, kinh phí công đoàn và chuyển nộp cho Bảo hiểm xã hội dựa theo yêu cầu từ Phòng Tổ chức Nhân sự.</t>
  </si>
  <si>
    <t>100% cho phòng thụ hưởng</t>
  </si>
  <si>
    <t>Xác định đối tượng thụ hưởng của sản phẩm</t>
  </si>
  <si>
    <t>Nếu xác định được sản phẩm sẽ ghi nhận chi tiết theo mã chương trình thi đua, nếu không ghi nhận 000</t>
  </si>
  <si>
    <t xml:space="preserve">TỔ LƯƠNG - Chi phụ cấp các chương trình thi đua: Chương trình thi đua doanh số ngoại tệ cá nhân; CTTĐ tăng trường doanh số chuyển tiền ra nước ngoài; CTTĐ nội bộ hợp tác manulife; CTTĐ GTKH tham gia sản phẩm Vinawealth; CTTĐ cho Đơn vị tham gia hoạt động đại lý bảo hiểm hợp tác với Bảo Long; CTTĐ thi đua hoàn thành kế hoạch kinh doanh năm ; CTTĐ phát hành bảo lãnh dành cho KH tổ chức;.... </t>
  </si>
  <si>
    <t>Chi các chương trình thi đua tới từng cá nhân, Đơn vị dựa theo chủ trương, danh sách đã được phê duyệt.</t>
  </si>
  <si>
    <t>Số sai sót phát hiện</t>
  </si>
  <si>
    <t>TỔ LƯƠNG - Kiểm soát các khoản phát sinh chi phí, số dư tài khoản quản lý</t>
  </si>
  <si>
    <t>Thực hiện chi các khoản thu nhập khác cho CBNV theo quyết định, tờ trình được duyệt của Phòng Tổ chức Nhân sự.</t>
  </si>
  <si>
    <t>TỔ LƯƠNG - Chi lương tháng 13, các khoản phúc lợi theo kỳ (30/4, 2/9, Tết Dương lịch)</t>
  </si>
  <si>
    <t>TỔ LƯƠNG - Chi lương theo hiệu suất (Lương dư nợ quản lý và phát sinh dư nợ KHCN của CV/NV KHCN (chính thức+ thử việc); lương tăng trưởng dư nợ KHCN lãnh đạo PKD/KHCN/PGD; lương hiệu suất của CV/NV KHDN; lương tăng trưởng dư nợ KHDN lãnh đạo PKD/KHCN/PGD; Lương hiệu suất CV/NV kinh doanh thẻ; Lương hiệu suất CV/NV KHUT; lương hiệu suất của CTV bán hàng; Lương quy mô quản lý theo đơn vị và phục cấp hỗ trợ lương; Lương huy động DVKH; lương dịch vụ; lương phát triển dư nợ giữ lại; Lương QL số dư P.HTKD; lương hệ số năng suất lao động bình quân và phụ cấp ngân quỹ; lương hoàn thành kế hoạch;.....)</t>
  </si>
  <si>
    <t>Số lượng nhân sự được chi phụ cấp</t>
  </si>
  <si>
    <t>TỔ LƯƠNG - Phụ cấp các loại (Phụ cấp độc hại máy tính và VPP, Phụ cấp trực Data Warehouse, cardworks, trực ca đêm; Phụ cấp cho NV P.DVKH được điều động tăng ca,…)</t>
  </si>
  <si>
    <t>Số lượng nhân sự được chi khen thưởng</t>
  </si>
  <si>
    <t>TỔ LƯƠNG - Các khoản chi từ Quỹ khen thưởng</t>
  </si>
  <si>
    <t>Số lượng nhân sự được chi phúc lợi</t>
  </si>
  <si>
    <t>TỔ LƯƠNG - Các khoản chi từ Quỹ phúc lợi</t>
  </si>
  <si>
    <t>TỔ LƯƠNG - Chi các khoản có tính chất phúc lợi (báo hỷ, phúng viếng, ốm đau, sinh nhật, …)</t>
  </si>
  <si>
    <t xml:space="preserve">TỔ LƯƠNG - Kết chuyển phí cho bảo  hiểm xã hội </t>
  </si>
  <si>
    <t>Số lượng nhân sự của đơn vị có phát sinh thu hồi/chi trả</t>
  </si>
  <si>
    <t>Danh sách và file giấy</t>
  </si>
  <si>
    <t>TỔ LƯƠNG - Hạch toán chi phí chi trả và thu hồi chế độ nghỉ phép</t>
  </si>
  <si>
    <t xml:space="preserve">Hạch toán chi phí lương và các khoản liên quan đến lương cho CBNV SCB. </t>
  </si>
  <si>
    <t>Số lượng nhân sự làm thêm giờ</t>
  </si>
  <si>
    <t xml:space="preserve">TỔ LƯƠNG - Lương làm thêm giờ,trực quyết toán CBNV </t>
  </si>
  <si>
    <t>TỔ LƯƠNG - Hạch toán chi phí lương tạm ứng</t>
  </si>
  <si>
    <t>TỔ LƯƠNG - Hạch toán chi phí lương và các khoản theo lương kỳ 2</t>
  </si>
  <si>
    <t>Thực hiện báo cáo tình hình đầu tư TSCĐ của toàn hệ thống, báo cáo tình hình thực hiện hợp đồng.</t>
  </si>
  <si>
    <t>Thực hiện công tác kế toán liên quan tới chi phí tài sản cố định, công cụ lao động, xây dựng cơ bản của toàn hệ thống.</t>
  </si>
  <si>
    <t>Số chứng thư bảo lãnh xuất kho từng Phòng</t>
  </si>
  <si>
    <t>Cái</t>
  </si>
  <si>
    <t>TỔ TÀI SẢN - Thực hiện xuất chứng thư bảo lãnh cuối mỗi tháng</t>
  </si>
  <si>
    <t>Tổ chức theo dõi và hạch toán TSCĐ và các tài sản khác.</t>
  </si>
  <si>
    <t>Số chứng thư bảo lãnh nhập cho từng PHòng</t>
  </si>
  <si>
    <t xml:space="preserve">TỔ TÀI SẢN - Thực hiện nhập chứng thư bảo lãnh </t>
  </si>
  <si>
    <t>Phòng đề xuất của K.CNTT</t>
  </si>
  <si>
    <t>Bộ HS</t>
  </si>
  <si>
    <t>TỔ TÀI SẢN - Kiểm tra và hạch toán các bộ HS liên quan đến mua sắm phần mềm, gia hạn bản quyền phần mềm, nâng cấp phần mềm</t>
  </si>
  <si>
    <t>Phòng HCQT</t>
  </si>
  <si>
    <t>TỔ TÀI SẢN - Kiểm tra và hạch toán các bộ HS liên quan đến thanh lý TS, CCLĐ</t>
  </si>
  <si>
    <t>Phòng đầu mối làm dự toán thầu</t>
  </si>
  <si>
    <t>TỔ TÀI SẢN - Kiểm tra và hạch toán các bộ HS liên quan đến bán thầu</t>
  </si>
  <si>
    <t xml:space="preserve">TỔ TÀI SẢN - Kiểm tra và hạch toán các bộ HS liên quan đến nộp thuế đất </t>
  </si>
  <si>
    <t>TỔ TÀI SẢN - Kiểm tra và hạch toán các bộ hồ sơ liên quan đến bán nhà, đất</t>
  </si>
  <si>
    <t>Số lượng tài sản của từng ĐV thụ hưởng</t>
  </si>
  <si>
    <t>TỔ TÀI SẢN - Kiểm tra và hạch toán các bộ hồ sơ liên quan đến xây dựng cơ bản</t>
  </si>
  <si>
    <t>TỔ TÀI SẢN - Kiểm tra va thực hiện hạch toán các bộ HS liên quan đến điều chuyển nội bộ, điều chuyển LCN</t>
  </si>
  <si>
    <t>TỔ TÀI SẢN - Nhập mới CCLĐ, TSCĐ</t>
  </si>
  <si>
    <t>TỔ TÀI SẢN - Kiểm tra và hạch toán các bộ hồ sơ liên quan đến mua sắm công cụ lao động, TSCĐ</t>
  </si>
  <si>
    <t>Số lượng ĐV thụ hưởng trong bộ chứng từ</t>
  </si>
  <si>
    <t>TỔ TÀI SẢN - Kiểm tra và hạch toán các bộ hồ sơ liên quan đến cải tạo các PGD, CN, H.O - Đẩy HS về cho CN ghi nhận CP</t>
  </si>
  <si>
    <t>TỔ TÀI SẢN - Kiểm tra, hạch toán cho hội sở hoặc đẩy CP hồ sơ về chi nhánh thực hiện: các bộ hồ sơ liên quan đến sửa chữa nhà cửa, TSCĐ, sửa chữa lớn,…</t>
  </si>
  <si>
    <t>TỔ TÀI SẢN - Kiểm tra hạch toán đi tiền ghi nhận CP các bộ hồ sơ liên quan đến sửa chữa tài sản, bảo dưỡng,bảo trì, sửa chữa nhỏ…</t>
  </si>
  <si>
    <t>Số lượng tài sản của từng PHòng</t>
  </si>
  <si>
    <t>All các phòng HO</t>
  </si>
  <si>
    <t>TỔ TÀI SẢN - Cuối năm thực hiện kiểm kê toàn bộ TS thuộc hội sở</t>
  </si>
  <si>
    <t>Tổ chức quản lý và theo dõi TSCĐ, CCLĐ; tổ chức kiểm kê tài sản định kỳ và đột xuất.</t>
  </si>
  <si>
    <t>Bộ sổ</t>
  </si>
  <si>
    <t>TỔ TÀI SẢN - Chấm các đầu TK và làm báo cáo tình hình thực hiện hợp đồng cho toàn hàng</t>
  </si>
  <si>
    <t>TỔ TÀI SẢN - Hàng tháng chấm và làm báo cáo tình hình mua sắm và đầu tư TSCĐ cho toàn hàng</t>
  </si>
  <si>
    <t>TỔ TÀI SẢN - Làm báo cáo cho các bộ sổ TSCĐ, CCLĐ,CP.CPB toàn hàng</t>
  </si>
  <si>
    <t>TỔ TÀI SẢN - Đầu tháng chấm các bộ sổ TSCĐ, CCLĐ, CP.CPB cho toàn hàng</t>
  </si>
  <si>
    <t>TỔ TÀI SẢN - Cuối tháng kiểm tra các bộ sổ cho toàn hàng: Bộ sổ TSCĐ, CCLĐ, CP.CPB</t>
  </si>
  <si>
    <t>File</t>
  </si>
  <si>
    <t>TỔ TÀI SẢN - Kiểm tra liệt kê giao dịch và chấm bút toán cuối mỗi ngày</t>
  </si>
  <si>
    <t>TỔ TÀI SẢN - Cuối ngày kiểm tra các bộ sổ CCLĐ, TSCĐ, CPCPB cho toàn hàng và hội sở. Và kiểm tra các bút toán cuối ngày trên các phân hệ</t>
  </si>
  <si>
    <t>Phối hợp với Phòng đầu mối tiếp nhận và giải quyết các hồ sơ thanh lý, xử lý TSCĐ, CCLĐ của các Đơn vị.</t>
  </si>
  <si>
    <t>Hướng dẫn, theo dõi đôn đốc các Đơn vị thực hiện việc kiểm kê, đánh giá lại TSCĐ, CCLĐ… định kỳ và đột xuất theo quy định của Nhà nước và của SCB.</t>
  </si>
  <si>
    <t>Hạch toán kế toán liên quan đến mua sắm, sửa chữa TSCĐ, CCLĐ, XDCB của các Đơn vị dựa trên yêu cầu hoặc đề nghị thanh toán của Đơn vị.</t>
  </si>
  <si>
    <t>Hạch toán kế toán liên quan đến mua sắm, sửa chữa TSCĐ, CCLĐ, XDCB của Hội sở.</t>
  </si>
  <si>
    <t>Thực hiện phân phối ấn chỉ quan trọng cho toàn hàng.</t>
  </si>
  <si>
    <t>Thực hiện các công tác kế toán chi tiêu cho toàn hàng.</t>
  </si>
  <si>
    <t>Phối hợp cung cấp thông tin để các Phòng đầu mối/Đơn vị quản lý kho đề xuất số lượng in ấn chỉ quan trọng phục vụ cho toàn hàng.</t>
  </si>
  <si>
    <t>TỔ CHI TIÊU - Kiểm tra cân đối, kiểm tra báo cáo về kho ACQT của các đơn vị, nhắc nhở, xử lý cho đơn vị</t>
  </si>
  <si>
    <t>Quản lý và kiểm soát kho ấn chỉ quan trọng, ấn phẩm thường, quà tặng về giá trị sổ sách kế toán tại Hội sở.</t>
  </si>
  <si>
    <t>TỔ CHI TIÊU - Kiểm kê, tiêu hủy ACQT, APT</t>
  </si>
  <si>
    <t>Cá nhân và tổ chức</t>
  </si>
  <si>
    <t>SP thẻ &amp;NHĐT</t>
  </si>
  <si>
    <t>HẠCH TOÁN THẺ - Báo cáo các khoản phải thu nghiệp vụ thẻ gửi tổ chi tiêu (P.KT) để thực hiện báo cáo phải thu phải trả hằng tháng</t>
  </si>
  <si>
    <t>Thực hiện báo cáo về các khoản phải thu - phải trả và theo dõi, quản lý các tài khoản phải thu phải trả thuộc phần hành phụ trách.</t>
  </si>
  <si>
    <t>TỔ CHI TIÊU - Báo cáo thực hiện hợp đồng</t>
  </si>
  <si>
    <t>TỔ CHI TIÊU - Làm báo cáo 359 - các khoản phải thu và biểu mẫu 130 (NHNN + Nội bộ)</t>
  </si>
  <si>
    <t>TỔ CHI TIÊU - Làm báo cáo các khoản phải thu phải trả (NHNN + Nội Bộ)</t>
  </si>
  <si>
    <t>Hạch toán các khoản chi tiêu, mua sắm, quảng cáo, hội nghị, in ấn, lễ tân khánh tiết của Đơn vị dựa trên trên yêu cầu hoặc đề nghị thanh toán đã được phê duyệt của Đơn vị.</t>
  </si>
  <si>
    <t>Theo thực tế hồ sơ phát sinh</t>
  </si>
  <si>
    <t>TỔ CHI TIÊU - Xuất ấn phẩm thường/quà tặng/vật liệu về các đơn vị kinh doanh</t>
  </si>
  <si>
    <t>Thanh toán các khoản chi tiêu, mua sắm, quảng cáo, hội nghị, in ấn, lễ tân khánh tiết của Hội sở.</t>
  </si>
  <si>
    <t>TỔ CHI TIÊU - Phân bổ ACQT định kỳ cho toàn hàng</t>
  </si>
  <si>
    <t>Theo số nhân sự nghỉ việc</t>
  </si>
  <si>
    <t>CN,PGD</t>
  </si>
  <si>
    <t>TỔ CHI TIÊU - Ghi nhận thu hồi nghỉ việc tại các đơn vị</t>
  </si>
  <si>
    <t>Các phòng tại Hội sở</t>
  </si>
  <si>
    <t>TỔ CHI TIÊU - Xác nhận nghỉ việc, thu hồi nghỉ việc tại Hội sở</t>
  </si>
  <si>
    <t>TỔ CHI TIÊU - Ghi nhận chi phí ACQT cuối tháng</t>
  </si>
  <si>
    <t>Các đơn vị kinh doanh</t>
  </si>
  <si>
    <t>TỔ CHI TIÊU - Kiểm hồ sơ K/C CP nội bộ thẻ+ NH Bảo hiểm+ BH du lịch toàn cầu</t>
  </si>
  <si>
    <t xml:space="preserve">Các phòng tại Hội sở
</t>
  </si>
  <si>
    <t>TỔ CHI TIÊU - Kiểm hồ sơ, tạm ứng+ thanh toán các hồ sơ mua sắm của các phòng khác (TCNS+ Đào Tạo, TNTTTM&amp;TTQT, NQ,…….)</t>
  </si>
  <si>
    <t>TỔ CHI TIÊU - Kiểm hồ sơ, tạm ứng+ thanh toán các hồ sơ quảng cáo, mua sắm của Phòng SPDVPTD</t>
  </si>
  <si>
    <t>TỔ CHI TIÊU - Kiểm hồ sơ, tạm ứng+ thanh toán các hồ sơ quảng cáo/báo đài của Phòng Tiếp thị truyền thông</t>
  </si>
  <si>
    <t>TỔ CHI TIÊU - Kiểm hồ sơ, tạm ứng+ thanh toán, nhập ngân sách các hồ sơ còn lại của Phòng Hành chính quản trị (Các hồ sơ riêng từng phòng của Hội sở)</t>
  </si>
  <si>
    <t xml:space="preserve">Các phòng tại Hội sở </t>
  </si>
  <si>
    <t>TỔ CHI TIÊU - Kiểm hồ sơ, tạm ứng+ thanh toán các hồ sơ điện thoại bàn (HS lớn)</t>
  </si>
  <si>
    <t xml:space="preserve">Theo thực tế hồ sơ phát sinh </t>
  </si>
  <si>
    <t xml:space="preserve">Phòng thẻ </t>
  </si>
  <si>
    <t xml:space="preserve">TỔ CHI TIÊU - Kiểm hồ sơ thanh toán các hồ sơ SMS </t>
  </si>
  <si>
    <t xml:space="preserve">Toàn hàng </t>
  </si>
  <si>
    <t>TỔ CHI TIÊU - Kiểm hồ sơ, tạm ứng+ thanh toán các hồ sơ cước truyền số liệu</t>
  </si>
  <si>
    <t>- Phân bổ đều (Bảo vệ, vệ sinh)</t>
  </si>
  <si>
    <t>phục</t>
  </si>
  <si>
    <t>TỔ CHI TIÊU - Kiểm hồ sơ, tạm ứng+ thanh toán, nhập ngân sách các hồ sơ bảo vệ, vệ sinh</t>
  </si>
  <si>
    <t>- Theo thực tế hồ sơ phát sinh</t>
  </si>
  <si>
    <t>TỔ CHI TIÊU - Kiểm hồ sơ, tạm ứng+ thanh toán, nhập ngân sách các hồ sơ taxi, xăng</t>
  </si>
  <si>
    <t>- Phân bổ đều cho Các đơn vị</t>
  </si>
  <si>
    <t xml:space="preserve">Các đơn vị kinh doanh </t>
  </si>
  <si>
    <t>TỔ CHI TIÊU - Kiểm hồ sơ, hạch toán quà tặng bảo hiểm (VISA+MS+Vay vốn)</t>
  </si>
  <si>
    <t xml:space="preserve">- Theo thực tế hồ sơ phát sinh
</t>
  </si>
  <si>
    <t>TỔ CHI TIÊU - Kiểm hồ sơ, tạm ứng+ thanh toán hồ sơ mua sắm khác của Phòng Mua sắm tập trung (nhận hàng tại Hội sở + Hồ sơ đơn giản)</t>
  </si>
  <si>
    <t xml:space="preserve">Các Đơn vị KD </t>
  </si>
  <si>
    <t>TỔ CHI TIÊU - Kiểm hồ sơ, tạm ứng+ thanh toán hồ sơ mua sắm của Phòng Mua sắm tập trung về quà tặng, ấn phẩm, đồng phục …hồ sơ lớn giao nhận toàn hàng</t>
  </si>
  <si>
    <t>Theo hồ sơ thực tế phát sinh</t>
  </si>
  <si>
    <t>TỔ CHI TIÊU - Kiểm hồ sơ, tạm ứng+ thanh toán, nhập ngân sách hồ sơ công tác phí</t>
  </si>
  <si>
    <t>TỔ CHI TIÊU - Kiểm hồ sơ, tạm ứng+ thanh toán và nhập ngân sách hồ sơ lễ tân khánh tiết</t>
  </si>
  <si>
    <t>Kiểm tra, kiểm soát các khoản thu chi tài chính, nghĩa vụ với Nhà nước và khách hàng; theo dõi, phát hiện và xử lý kịp thời những khoản thu nhập và chi phí không đúng chế độ.</t>
  </si>
  <si>
    <t>Kiểm soát việc chi tiêu, phù hợp với kế hoạch ngân sách và các quy định của SCB, quy định của pháp luật.</t>
  </si>
  <si>
    <t xml:space="preserve">Số buổi tập huấn </t>
  </si>
  <si>
    <t>Tham gia các buổi tập huấn của NHNN để cập nhật các thay đổi về cấu trúc của hệ thống báo cáo cho NHNN theo quy định.</t>
  </si>
  <si>
    <t>Khác_BCTK</t>
  </si>
  <si>
    <t>BCTK</t>
  </si>
  <si>
    <t>PHÒNG BÁO CÁO THỐNG KÊ</t>
  </si>
  <si>
    <t>24</t>
  </si>
  <si>
    <t>Tập huấn nghiệp vụ Báo cáo thống kê cho các đơn vị trong toàn hàng</t>
  </si>
  <si>
    <t>Đôn đốc Đơn vị gửi báo cáo đầy đủ, chính xác và kịp thời.</t>
  </si>
  <si>
    <t>Tổ chức thực hiện hệ thống báo cáo vận hành thống kê</t>
  </si>
  <si>
    <t>Quản lý, tiếp nhận, kiểm soát dữ liệu và mở khóa dữ liệu cho phép Đơn vị có yêu cầu chỉnh sửa dữ liệu sai sót theo đúng yêu cầu của báo cáo.</t>
  </si>
  <si>
    <t>Đầu mối tổ chức thực hiện, rà soát và trả lời các ý kiến phản hồi của Phòng tại Hội sở và Chi nhánh về việc xây dựng báo cáo bán tự động.</t>
  </si>
  <si>
    <t>Triển khai thực hiện và tổng hợp các báo cáo vận hành thống kê theo đúng quy định.</t>
  </si>
  <si>
    <t>Kiểm tra, kiểm soát dữ liệu đến từng Chi nhánh, phát hiện sai sót và phối hợp kịp thời chỉnh sửa dữ liệu trước khi gửi báo cáo cho NHNN và các Cơ quan ban ngành.</t>
  </si>
  <si>
    <t>Số lượng báo cáo xây dựng</t>
  </si>
  <si>
    <t>Xây dựng báo cáo kết nối trực tuyến với NHNN đối với 2 nghiệp vụ Tiền gửi và Tiền vay</t>
  </si>
  <si>
    <t>Đầu mối tổ chức, phối hợp với Chi nhánh, Phòng tại Hội sở khi có phát sinh yêu cầu mới từ NHNN, xây dựng tích hợp vào hệ thống báo cáo vận hành thống kê.</t>
  </si>
  <si>
    <t>2018 NONE</t>
  </si>
  <si>
    <t>Nghiên cứu, hệ thống hóa và xây dựng dữ liệu theo đúng yêu cầu của báo cáo bán tự động.</t>
  </si>
  <si>
    <t>Thực hiện Phiếu điều tra tập đoàn, tổng công ty, doanh nghiệp hạch toán toàn ngành hàng năm của Tổng Cục Thống kê</t>
  </si>
  <si>
    <t>Tổng hợp số liệu các Đơn vị có liên quan và thực hiện các báo cáo theo quy định, yêu cầu, công văn của NHNN trong từng thời kỳ.</t>
  </si>
  <si>
    <t>Tổ chức thực hiện hệ thống báo cáo văn bản.</t>
  </si>
  <si>
    <t>Chỉnh sửa các báo cáo khi dự án nâng cấp CORE golive</t>
  </si>
  <si>
    <t>Đề xuất và phối hợp với các Phòng tại Hội sở liên quan nhằm triển khai việc tổ chức hệ thống báo cáo theo quy định, đảm bảo chính xác, kịp thời.</t>
  </si>
  <si>
    <t>Số lượng báo cáo xây dựng tự động</t>
  </si>
  <si>
    <t>Phối hợp với các Phòng/Ban Hội sở xây dựng tự động các báo cáo phục vụ cho NHNN, CQBN.</t>
  </si>
  <si>
    <t>Phối hợp với Khối Vận hành và Công nghệ đề xuất giải pháp tự động hóa các báo cáo NHNN.</t>
  </si>
  <si>
    <t>Báo cáo vàng theo Thông tư 12 hàng tuần cho Vụ Quản lý Ngoại hối, Cơ quan TTGS Ngân hàng và Phòng Quản lý vàng TP.HCM</t>
  </si>
  <si>
    <t>Đầu mối thực hiện các báo cáo bằng văn bản cho Cơ quan quản lý Nhà nước từ việc khai thác dữ liệu trên hệ thống core, data warehouse, hoặc tổng hợp số liệu từ Chi nhánh khi trên core không có dữ liệu.</t>
  </si>
  <si>
    <t>Báo cáo công văn 1863 hàng tháng</t>
  </si>
  <si>
    <t xml:space="preserve">Báo cáo lãi suất huy động, cho vay hàng ngày, hàng tuần cho NHNN </t>
  </si>
  <si>
    <t>Thực hiện các báo cáo Văn bản gửi cho NHNN- Chi nhánh HCM gồm: Báo cáo theo CV32, CV143, CV2348, CV17, CV2997, TT13, CV3623, CV2248</t>
  </si>
  <si>
    <t>Thực hiện các báo cáo Văn bản gửi cho NHNN- Hà Nội gồm: Báo cáo theo CV9056, CV 126, CV 674, CV 5898, CV 163, CV 3169, CV 40, CV 8310</t>
  </si>
  <si>
    <t>Thực hiện các báo cáo Văn bản gửi cho NHNN- Hà Nội gồm: Báo cáo theo CV4849, CV3766, CV5942, CV3317, TT08, CV 1790, CV3257, CV1589, TT01, CV439</t>
  </si>
  <si>
    <t>Số lượng báo cáo có chỉnh sửa</t>
  </si>
  <si>
    <t>Theo dõi file log báo cáo của SCB, yêu cầu các đơn vị  toàn hàng chỉnh sửa các lỗi phát sinh trong tất cả các báo cáo gửi NHNN.</t>
  </si>
  <si>
    <t>Thực hiện gửi báo cáo và nhận phản hồi, tra soát phản hồi từ NHNN của tất cả các Chi nhánh và toàn hệ thống.</t>
  </si>
  <si>
    <t>Tổ chức và vận hành chương trình, hệ thống báo cáo điện tử.</t>
  </si>
  <si>
    <t>Đầu mối triển khai các báo cáo điện tử của NHNN liên quan đến Chi nhánh. Tổng hợp số liệu báo cáo từ Chi nhánh gửi cho NHNN theo đúng quy định.</t>
  </si>
  <si>
    <t>Tham gia xây dựng dự án FATCA, PCRT (Theo Ban triển khai dự án)</t>
  </si>
  <si>
    <t>Đầu mối phối hợp với các Phòng tại Hội sở xây dựng các báo cáo lấy số liệu tự động phục vụ báo cáo cho Cơ quan quản lý Nhà nước.</t>
  </si>
  <si>
    <t>Xây dựng báo cáo phân loại nợ theo TT42</t>
  </si>
  <si>
    <t>Vận hành, quản trị hệ thống báo cáo NHNN: Bảo Hiểm Tiền Gửi, Ủy Ban Giám Sát Tài chính Quốc Gia, Phòng Chống Rửa Tiền.</t>
  </si>
  <si>
    <t>Quản lý, vận hành và thực hiện hệ thống báo cáo thống kê đối với NHNN, báo cáo thông tin tín dụng CIC - Trung tâm Thông tin tín dụng, PCB - Công ty cổ phần Thông tin tín dụng Việt Nam, DIV - Bảo hiểm tiền gửi Việt Nam, Phòng chống rửa tiền và Ủy ban giám sát tài chính quốc gia, …</t>
  </si>
  <si>
    <t>Báo cáo theo Thông Tư 02, Thông tư 03 của CIC</t>
  </si>
  <si>
    <t>Quản lý, vận hành các chương trình, thực hiện tất cả các báo cáo liên quan đến truyền văn bản điện tử cho NHNN và Cơ quan quản lý Nhà nước.</t>
  </si>
  <si>
    <t>Thực hiện báo cáo theo quy định Thông tư 35</t>
  </si>
  <si>
    <t>Thực hiện báo cáo tài chính theo Quyết định 49 cho NHNN - TP.HCM và Hà Nội</t>
  </si>
  <si>
    <t xml:space="preserve">Thực hiện báo cáo điện tử theo Quyết định 196 gửi cho Thanh tra giám sát NH. </t>
  </si>
  <si>
    <t>Theo số dư nợ xấu</t>
  </si>
  <si>
    <t>Báo cáo nợ xấu VAMC</t>
  </si>
  <si>
    <t>Thực hiện các báo cáo ngoài TT35</t>
  </si>
  <si>
    <t>Thực hiện các báo cáo điện tử gửi cho NHNN- Hà Nội gồm: Báo cáo theo CV 165, CV 60, CV 6563, CV 6720, CV 3089, CV43</t>
  </si>
  <si>
    <t>Thực hiện các báo cáo điện tử gửi cho NHNN- Hà Nội gồm: Báo cáo theo CV710, CV1575, CV7688, CV3301, CV 7888</t>
  </si>
  <si>
    <t>Thực hiện các báo cáo điện tử gửi cho NHNN- Chi nhánh HCM gồm: Báo cáo theo CV654, CV2248, CV 2249, CV 2246, CV476, CV 39, CV 186, CV 1185</t>
  </si>
  <si>
    <t>Thực hiện các báo cáo điện tử gửi cho NHNN- Chi nhánh HCM gồm: Báo cáo theo CV1604, CV854, CV465, CV2103, CV351, CV1852, CV1978</t>
  </si>
  <si>
    <t>Khác_KTTH&amp;T</t>
  </si>
  <si>
    <t>KTTH&amp;T</t>
  </si>
  <si>
    <t>PHÒNG KẾ TOÁN TỔNG HỢP VÀ THUẾ</t>
  </si>
  <si>
    <t>23</t>
  </si>
  <si>
    <t>Phối hợp xây dựng Quy chế Quản lý tài chính.</t>
  </si>
  <si>
    <t>Thực hiện hướng dẫn công tác hạch toán kế toán/công tác thuế toàn hàng liên quan đến tất cả các nghiệp vụ</t>
  </si>
  <si>
    <t>Hướng dẫn điều chỉnh sai sót của các Đơn vị khi tiếp nhận yêu cầu.</t>
  </si>
  <si>
    <t>Ban hành các hướng dẫn hạch toán kế toán về các mảng nghiệp vụ: tiền gửi, tiền vay, kinh doanh ngoại hối, thanh toán quốc tế, điều chuyển vốn nội bộ, kinh doanh chứng khoán, …</t>
  </si>
  <si>
    <t xml:space="preserve">TỔ TỔNG HỢP - Kiểm tra BC thường niên Hợp nhất tiếng Việt </t>
  </si>
  <si>
    <t>Đầu mối thực hiện các công việc liên quan đến công tác kiểm toán độc lập về báo cáo tài chính của SCB.</t>
  </si>
  <si>
    <t>Đầu mối báo cáo tài chính, phối hợp thực hiện báo cáo cho Cục thống kê và Ngân hàng Nhà nước.</t>
  </si>
  <si>
    <t>TỔ TỔNG HỢP - Kiểm tra BCTC kiểm toán Hợp nhất tiếng Việt và Tiếng Anh Kiểm toán năm</t>
  </si>
  <si>
    <t>TỔ TỔNG HỢP - Kiểm tra BCTC kiểm toán Hợp nhất tiếng Việt và Tiếng Anh soát xét 6 tháng</t>
  </si>
  <si>
    <t>TỔ TỔNG HỢP - Kiểm tra BCTC kiểm toán Riêng lẻ tiếng Việt và Tiếng Anh Kiểm toán năm</t>
  </si>
  <si>
    <t>TỔ TỔNG HỢP - Kiểm tra BCTC kiểm toán Riêng lẻ tiếng Việt và Tiếng Anh soát xét 6 tháng</t>
  </si>
  <si>
    <t>Kiểm toán</t>
  </si>
  <si>
    <t>TỔ TỔNG HỢP - Đầu mối tiếp Đoàn kiểm toán độc lập, cung cấp tài liệu cho Báo cáo tài chính kiểm toán năm</t>
  </si>
  <si>
    <t>Soát xét</t>
  </si>
  <si>
    <t>TỔ TỔNG HỢP - Đầu mối tiếp Đoàn kiểm toán độc lập, cung cấp tài liệu cho Báo cáo tài chính soát xét 6 tháng</t>
  </si>
  <si>
    <t xml:space="preserve">TỔ TÀI SẢN - Làm báo cáo kiểm toán 6 tháng đầu năm và cuối năm </t>
  </si>
  <si>
    <t>TỔ LƯƠNG - Cung cấp chứng từ và làm Báo cáo kiểm toán bên ngoài</t>
  </si>
  <si>
    <t>TỔ TỔNG HỢP - Đối chiếu BHTG với các Đơn vị trong toàn hệ thống</t>
  </si>
  <si>
    <t>Tính phí bảo hiểm tiền gửi và các báo cáo bảo hiểm tiền gửi theo quy định.</t>
  </si>
  <si>
    <t>TỔ TỔNG HỢP - Tính và đối chiếu BHTG với các Đơn vị; hạch toán nộp phí BHTG hàng Quý. Kết chuyển Phí BHTG về các CN.</t>
  </si>
  <si>
    <t>TỔ TỔNG HỢP - Tính số dư BHTG hàng tháng</t>
  </si>
  <si>
    <t>TỔ TỔNG HỢP - Lập Báo cáo tài chính Hợp nhất Năm</t>
  </si>
  <si>
    <t>Lập báo cáo tài chính theo quy định.</t>
  </si>
  <si>
    <t>TỔ TỔNG HỢP - Lập Báo cáo tài chính Riêng lẻ Năm</t>
  </si>
  <si>
    <t>TỔ TỔNG HỢP - Lập Báo cáo tài chính Hợp nhất Quý</t>
  </si>
  <si>
    <t>TỔ TỔNG HỢP - Lập Báo cáo tài chính Riêng lẻ Quý</t>
  </si>
  <si>
    <t>Tập báo cáo</t>
  </si>
  <si>
    <t>TỔ TỔNG HỢP - Tập hợp Báo cáo Quyết toán tháng</t>
  </si>
  <si>
    <t>TỔ TỔNG HỢP - Báo cáo vốn tự có Hợp nhất tháng</t>
  </si>
  <si>
    <t>TỔ TỔNG HỢP - Báo cáo vốn tự có Riêng lẻ tháng</t>
  </si>
  <si>
    <t>TỔ TỔNG HỢP - Lập báo cáo kết quả hoạt động kinh doanh tháng</t>
  </si>
  <si>
    <t>TỔ TỔNG HỢP - Lập cân đối kế toán tháng</t>
  </si>
  <si>
    <t>TỔ TỔNG HỢP - Lập Cân đối kế toán ngày, theo dõi biến động tài sản và nguồn vốn, theo dõi các thu nhập, chi phí bất thường</t>
  </si>
  <si>
    <t>TỔ TỔNG HỢP - Lập báo cáo thuyết minh TNCPNB, báo cáo chi tiết một số tài khoản (bản rút gọn)</t>
  </si>
  <si>
    <t>TỔ TỔNG HỢP - Kiểm tra, kiểm soát cân đối tài khoản kế toán toàn hàng hàng ngày/tháng/quý/năm</t>
  </si>
  <si>
    <t>TỔ TÀI SẢN - Báo cáo điều tra kinh tế hằng năm cho tổng cục thống kê</t>
  </si>
  <si>
    <t>Cung cấp thông tin, số liệu kế toán định kỳ và đột xuất theo quy định của pháp luật và quy định của SCB.</t>
  </si>
  <si>
    <t>TỔ TỔNG HỢP - Lập Thông báo trích lập/hoàn nhập dự phòng và hạch toán ghi nhận thu nhập, chi phí và số dư dự phòng đối với tài sản có cho toàn hàng</t>
  </si>
  <si>
    <t>Hạch toán trích lập, quản lý, theo dõi việc sử dụng các quỹ, hạch toán trích lập các khoản dự phòng theo quyết định của cấp có thẩm quyền.</t>
  </si>
  <si>
    <t>Số chứng từ</t>
  </si>
  <si>
    <t>HẠCH TOÁN QUỸ - Sắp xếp và bổ sung hoàn chỉnh chứng từ giao dịch hằng ngày (BP ht Quỹ)</t>
  </si>
  <si>
    <t>Hậu kiểm chứng từ hạch toán của các Phòng tại Hội sở.</t>
  </si>
  <si>
    <t>HẠCH TOÁN THẺ - Xếp, hậu kiểm, kiểm soát chứng từ phát sinh hằng ngày</t>
  </si>
  <si>
    <t>Số lần.</t>
  </si>
  <si>
    <t>Phòng mời họp.</t>
  </si>
  <si>
    <t>TỔ HẬU KIỂM - Tham gia dự họp với Lãnh đạo các vấn đề có liên quan đến tình hình lưu trữ TLKT và các vấn đề khác thuộc kế toán.</t>
  </si>
  <si>
    <t>Toàn hàng.</t>
  </si>
  <si>
    <t>TỔ HẬU KIỂM - Thực hiện tu chỉnh các quy định liên quan đến nghiệp vụ P.KT.</t>
  </si>
  <si>
    <t>Theo phát sinh thực tế.</t>
  </si>
  <si>
    <t>TỔ HẬU KIỂM - Cập nhật các quy chế, quy định, quy trình và các hướng dẫn hạch toán của các phòng nghiệp vụ của SCB trên quản lý văn bản.</t>
  </si>
  <si>
    <t>Phân bổ đều.</t>
  </si>
  <si>
    <t>TỔ HẬU KIỂM - Theo dõi, rà soát các văn bản quy phạm của các cơ quan Nhà Nước có liên quan đến công tác lưu trữ TLKT.</t>
  </si>
  <si>
    <t>TỔ HẬU KIỂM - Nhận và lập báo cáo việc theo dõi tình hình hậu kiểm, lưu trữ TLKT của toàn hàng.</t>
  </si>
  <si>
    <t>Đơn vị được phản hồi</t>
  </si>
  <si>
    <t>TỔ HẬU KIỂM - Hướng dẫn, PHYK cho ĐVKD về việc thực hiện lưu trữ TLKT theo yêu cầu bằng điện thoại, email, luân chuyển hồ sơ.</t>
  </si>
  <si>
    <t>Đơn vị yêu cầu.</t>
  </si>
  <si>
    <t>TỔ HẬU KIỂM - Căn cứ PYC của Đơn vị, P.KT thực hiện cấp/hủy user đăng nhập ổ đĩa Z - nơi lưu trữ TLKT dưới dạng dữ liệu điện tử; đảm bảo công tác lưu trữ TLKT dưới dang dữ liệu điện tử được thực hiện đúng quy định của SCB.</t>
  </si>
  <si>
    <t>TỔ HẬU KIỂM - Tổ chức, theo dõi việc lưu trữ TLKT dưới dạng dữ liệu điện tử của toàn hàng.</t>
  </si>
  <si>
    <t>TỔ HẬU KIỂM - Kiểm tra chứng từ của nghiệp vụ thẻ, P.TT, P.TNKDTT, P.TNTTTM &amp;TTQT.</t>
  </si>
  <si>
    <t>TỔ HẬU KIỂM - Cập nhật văn bản trên hệ thống quản lý văn bản của người đóng tập TLKT.</t>
  </si>
  <si>
    <t>TỔ HẬU KIỂM - Thống kê và truy xuất TLKT khi có yêu cầu.</t>
  </si>
  <si>
    <t>TỔ HẬU KIỂM - Đóng TLKT của P.KT thành tập theo đúng quy định</t>
  </si>
  <si>
    <t>TỔ HẬU KIỂM - Cập nhật văn bản trên hệ thống quản lý văn bản của người tập hợp chứng từ và lưu trữ</t>
  </si>
  <si>
    <t>TỔ HẬU KIỂM - Tham gia kiểm kê kho lưu trữ TLKT định kỳ (người quản lý kho &amp; Trưởng bộ phận)</t>
  </si>
  <si>
    <t>TỔ HẬU KIỂM - Kiểm tra và lưu trữ dữ liệu điện tử các báo cáo theo quy định.</t>
  </si>
  <si>
    <t>TỔ HẬU KIỂM - Chứng kiến đối tác thực hiện công tác chống mối mọt tại kho</t>
  </si>
  <si>
    <t>Tuần</t>
  </si>
  <si>
    <t>TỔ HẬU KIỂM - Xắp xếp TLKT trong kho hoặc đóng thùng TLKT theo quy định.</t>
  </si>
  <si>
    <t>TỔ HẬU KIỂM - Nhận tập TLKT của P.KT, P.TNTTTM, P.TNKDTT, P.TT.</t>
  </si>
  <si>
    <t>TỔ HẬU KIỂM - Tập hợp, chấm chứng từ đảm bảo đầy đủ về số lượng và giao/nhận TLKT của P.KT.</t>
  </si>
  <si>
    <t>TỔ TỔNG HỢP - Lập Phiếu điều tra thống kê định kỳ năm theo yêu cầu của Tổng cục Thống kê</t>
  </si>
  <si>
    <t>Tổng hợp các loại báo cáo kế toán, thống kê của toàn hệ thống và lập đầy đủ, kịp thời các loại báo cáo gửi các cơ quan Nhà nước theo quy định.</t>
  </si>
  <si>
    <t>TỔ TỔNG HỢP - Báo cáo Thông tin thu - chi dịch vụ nước ngoài định kỳ Quý</t>
  </si>
  <si>
    <t>TỔ TỔNG HỢP - Thực hiện các báo cáo Thông tư 35 hàng  6 tháng và năm</t>
  </si>
  <si>
    <t>TỔ TỔNG HỢP - Thực hiện các báo cáo Thông tư 35 hàng tháng, Quý</t>
  </si>
  <si>
    <t>Hạch toán kế toán nghiệp vụ của Khối khác theo mô hình kế toán từng thời kỳ</t>
  </si>
  <si>
    <t>Thực hiện công tác kế toán hạch toán tập trung của các Đơn vị.</t>
  </si>
  <si>
    <t>Hạch toán kế toán nghiệp vụ của Khối Vận hành và Công nghệ.</t>
  </si>
  <si>
    <t>Hạch toán kế toán nghiệp vụ của Khối Quản lý Rủi ro.</t>
  </si>
  <si>
    <t>Hạch toán kế toán nghiệp vụ của Khối Pháp chế và Xử lý nợ.</t>
  </si>
  <si>
    <t>Hạch toán kế toán nghiệp vụ của Khối Doanh nghiệp.</t>
  </si>
  <si>
    <t>Hạch toán kế toán nghiệp vụ của Khối Dịch vụ Ngân hàng và Tài chính Cá nhân.</t>
  </si>
  <si>
    <t>Hạch toán kế toán nghiệp vụ của Khối Thẻ và Ngân hàng Số.</t>
  </si>
  <si>
    <t>Số lượng nhân sự được cấp chứng từ thuế</t>
  </si>
  <si>
    <t>Các Phòng HO và ĐVKD tại HCM</t>
  </si>
  <si>
    <t>Chứng từ</t>
  </si>
  <si>
    <t>TỔ THUẾ - Cấp chứng từ khấu trừ thuế TNCN cho người lao động tự quyết toán thuế</t>
  </si>
  <si>
    <t>Thực hiện cấp chứng từ khấu trừ thuế thu nhập cá nhân theo quy định</t>
  </si>
  <si>
    <t>Thực hiện công tác kế toán liên quan đến thuế, hóa đơn.</t>
  </si>
  <si>
    <t>Kỳ thuế</t>
  </si>
  <si>
    <t>TỔ THUẾ - Quyết toán thuế Thu nhập cá nhân năm</t>
  </si>
  <si>
    <t>Thực hiện quyết toán thuế hàng năm của từng sắc thuế theo đúng quy định.</t>
  </si>
  <si>
    <t>TỔ THUẾ - Quyết toán thuế Thu nhập doanh nghiệp năm</t>
  </si>
  <si>
    <t>TỔ THUẾ - Kiểm tra, đối chiếu số liệu các sắc thuế (thuế GTGT, TNCN, môn bài, TNDN, nhà thầu) với cơ quan thuế. Cụ thể: Lập file tổng hợp tờ khai, GNT và tính toán thời gian chậm nộp thuế; đối chiếu số liệu thuế với số liệu cơ quan thuế, KBNN ghi nhận; Photo các tờ khai, giấy nộp tiền NSNN, ủy nhiệm chi liên quan đến các số liệu sai lệch; Làm việc với cơ quan thuế để điều chỉnh sai lệch.</t>
  </si>
  <si>
    <t>Đối chiếu các khoản nộp ngân sách với cơ quan thuế do Phòng Kế toán Tổng hợp và Thuế kê khai và nộp thuế.</t>
  </si>
  <si>
    <t>Thực tế phát sinh</t>
  </si>
  <si>
    <t>TỔ THUẾ - Dự án mới: Triển khai xây dựng và vận hành chương trình hoá đơn điện tử</t>
  </si>
  <si>
    <t>Theo dõi việc sử dụng hóa đơn đặt in, lập kế hoạch và quản lý hóa đơn đặt in cho toàn hàng và xuất hóa đơn đặt in theo quy định và khi có yêu cầu.</t>
  </si>
  <si>
    <t>Các Phòng Hội sở và ĐVKD tại HCM</t>
  </si>
  <si>
    <t>Đơn vị</t>
  </si>
  <si>
    <t>TỔ THUẾ - Theo dõi việc sử dụng hóa đơn các loại, thông báo phát hành hóa đơn cho Hội sở và các chi nhánh trong TP HCM</t>
  </si>
  <si>
    <t>TỔ THUẾ - Thống kê, phân bổ số lượng hoá đơn đặt in cho các Đơn vị toàn hàng sử dụng</t>
  </si>
  <si>
    <t>TỔ THUẾ - Quản lý hóa đơn đặt in nhận từ Ngân quỹ để sử dụng</t>
  </si>
  <si>
    <t>Chi nhánh/PGD</t>
  </si>
  <si>
    <t>TỔ THUẾ - Kiểm tra chương trình hóa đơn</t>
  </si>
  <si>
    <t>Theo dõi việc sử dụng chứng từ khấu trừ thuế thu nhập cá nhân và các loại hóa đơn (điện tử, tự in, đặt in) của toàn hệ thống.</t>
  </si>
  <si>
    <t>Lập kế hoạch xây dựng, nâng cấp và quản lý các chương trình hóa đơn, chứng từ theo các quy định của pháp luật hiện hành.</t>
  </si>
  <si>
    <t>Kỳ báo cáo</t>
  </si>
  <si>
    <t>TỔ THUẾ - Làm việc và đối chiếu số liệu liên quan đến thuế của toàn hàng khi kiểm toán</t>
  </si>
  <si>
    <t>Đầu mối làm việc với các đoàn kiểm tra về thuế.</t>
  </si>
  <si>
    <t>TỔ THUẾ - Soạn thảo các công văn, văn bản liên quan đến chính sách thuế, nhờ hướng dẫn chính sách cụ thể của cơ quan thuế  đối với SCB</t>
  </si>
  <si>
    <t>Soạn thảo các thông báo, hướng dẫn liên quan đến các chính sách thuế. Hỗ trợ, giải đáp, hướng dẫn cho các Đơn vị những vấn đề có liên quan đến hóa đơn, thuế.</t>
  </si>
  <si>
    <t>Số lượng nhân sự tự quyết toán thuế</t>
  </si>
  <si>
    <t>Trường hợp</t>
  </si>
  <si>
    <t>TỔ THUẾ - Hỗ trợ, hướng dẫn người lao động đối với các trường hợp tự quyết toán thuế</t>
  </si>
  <si>
    <t>TỔ THUẾ - Lưu trữ các văn bản đi, văn bản đến (tờ trình, văn bản nội bộ tổ thuế, văn bản chính sách thuế)</t>
  </si>
  <si>
    <t>CN/PGD và các phòng HO khi có phát sinh</t>
  </si>
  <si>
    <t>Tình huống thực tế</t>
  </si>
  <si>
    <t>TỔ THUẾ - Tư vấn; hướng dẫn xử lý sai sót, tình huống, trả lời các thắc mắc của đơn vị và các Phòng hội sở</t>
  </si>
  <si>
    <t>CN/PGD và các Phòng hội sở</t>
  </si>
  <si>
    <t xml:space="preserve">TỔ THUẾ - Cập nhật, nghiên cứu các văn bản, thông tư, quy định về thuế để kịp thời hướng dẫn cho toàn hàng. </t>
  </si>
  <si>
    <t>TỔ THUẾ - Báo cáo thông tin giao dịch liên kết</t>
  </si>
  <si>
    <t>Thực hiện các báo cáo, thông báo về thuế và các báo cáo, thông báo khác liên quan đến thuế theo quy định và theo yêu cầu của Bộ Tài chính, tổ chức thuế và các cơ quan Nhà nước khác.</t>
  </si>
  <si>
    <t>TỔ THUẾ - Đối chiếu số liệu, kiểm tra, tổng hợp tình hình nghĩa vụ nộp NSNN của toàn hàng: thuế GTGT, thuế môn bài, TNDN, TNCN, thuế khác; Cung cấp số liệu  kê khai, nộp thuế để phục vụ các báo cáo quản trị</t>
  </si>
  <si>
    <t>Đơn vị làm sai</t>
  </si>
  <si>
    <t>TỔ THUẾ - Thực hiện các tờ khai thuế điều chỉnh do sai sót của các đơn vị khi báo cáo.</t>
  </si>
  <si>
    <t>Thực hiện kê khai, nộp thuế và các khoản khác liên quan đến thuế của toàn hệ thống thuộc trách nhiệm của Phòng Kế toán Tổng hợp và Thuế theo đúng quy định.</t>
  </si>
  <si>
    <t>Số lần thay đổi</t>
  </si>
  <si>
    <t>Đơn vị thay đổi</t>
  </si>
  <si>
    <t>TỔ THUẾ - Đăng ký thuế cho đơn vị mới và đăng ký kê khai điều chỉnh các thông tin liên quan đến thuế khi có sự thay đổi</t>
  </si>
  <si>
    <t>TỔ THUẾ - Kê khai Thuế Môn Bài</t>
  </si>
  <si>
    <t>TỔ THUẾ - Lập báo cáo tình hình sử dụng hóa đơn tổng hợp</t>
  </si>
  <si>
    <t>Chi nhánh</t>
  </si>
  <si>
    <t>TỔ THUẾ - Kiểm tra báo cáo tình hình sử dụng hoá đơn của các Chi nhánh, Hội sở</t>
  </si>
  <si>
    <t>TỔ THUẾ - Tính toán và kê khai tạm nộp thuế TNDN quý</t>
  </si>
  <si>
    <t>Tất cả Chi nhánh</t>
  </si>
  <si>
    <t>TỔ THUẾ - Xuất hoá đơn bán vàng, ngoại tệ cho các Chi nhánh</t>
  </si>
  <si>
    <t>TỔ THUẾ - Kiểm tra doanh số mua bán vàng, ngoại tệ nội bộ cuối tháng của chi nhánh</t>
  </si>
  <si>
    <t>TỔ THUẾ - Kê khai thuế nhà thầu hàng tháng</t>
  </si>
  <si>
    <t>TỔ THUẾ - Tổng hợp kế hoạch nguồn và sử dụng nguồn nộp thuế GTGT, TNDN, nhà thầu, thuế TNCN, môn bài,…</t>
  </si>
  <si>
    <t>TỔ THUẾ - Kê khai và nộp thuế thu nhập cá nhân từ chuyển nhượng vốn thay khách hàng</t>
  </si>
  <si>
    <t>TỔ THUẾ - Kê khai và nộp thuế thu nhập cá nhân từ đầu tư vốn (toàn hàng)</t>
  </si>
  <si>
    <t>TỔ THUẾ - Kê khai và nộp thuế thu nhập cá nhân từ trúng thưởng (Hội sở và các Đơn vị khu vực TP.HCM)</t>
  </si>
  <si>
    <t>TỔ THUẾ - Kê khai và nộp thuế thu nhập cá nhân từ tiền lương, tiền công (Hội sở và các Đơn vị khu vực TP.HCM)</t>
  </si>
  <si>
    <t>TỔ THUẾ - Kê khai và nộp thuế GTGT trực tiếp (toàn hàng)</t>
  </si>
  <si>
    <t>Hội sở &amp; Các Đơn vị KD tại HCM</t>
  </si>
  <si>
    <t>TỔ THUẾ - Kê khai và nộp thuế GTGT khấu trừ Hội sở và các Đơn vị khu vực TP.HCM</t>
  </si>
  <si>
    <t>TỔ THUẾ - Kiểm tra, tổng hợp báo cáo của các Phòng/ bộ phận khác, đối chiếu và lập báo cáo thuế GTGT của riêng Hội sở</t>
  </si>
  <si>
    <t>Các Đơn vị KD tại HCM</t>
  </si>
  <si>
    <t>TỔ THUẾ - Kiểm tra báo cáo thuế GTGT từ các Chi nhánh gửi về</t>
  </si>
  <si>
    <t>TỔ THUẾ - Kiểm tra và quản lý tài khoản liên quan công tác thuế (4531, 3532, 3531, 8699, 4534, 4538,…) của các đơn vị.</t>
  </si>
  <si>
    <t>TỔ THUẾ - Triển khai, hướng dẫn các đơn vị quản lý kê khai, nộp thuế GTGT, thuế nhà thầu, thuế thu nhập cá nhân, thuế môn bài, hóa đơn chứng từ</t>
  </si>
  <si>
    <t>P. Đào tạo dịch vụ</t>
  </si>
  <si>
    <t>Bộ tài liệu/bộ câu hỏi</t>
  </si>
  <si>
    <t>TỔ THUẾ - Soạn tài liệu đào tạo; rà soát và soạn thảo để thi bổ sung vào ngân hàng đề</t>
  </si>
  <si>
    <t>Tổ chức đào tạo, tập huấn nghiệp vụ/VBQP cho CBNV thực hiện công tác liên quan đến kế toán trên toàn hàng</t>
  </si>
  <si>
    <t>Tổ chức quản lý, giám sát thực hiện công tác kế toán trong toàn hệ thống SCB.</t>
  </si>
  <si>
    <t>Đầu mối làm việc với các Cơ quan thanh tra, kiểm tra liên quan đến công tác kế toán.</t>
  </si>
  <si>
    <t>Tất cả các phòng HO và các ĐVKD</t>
  </si>
  <si>
    <t>Số lượng PYK</t>
  </si>
  <si>
    <t>TỔ TỔNG HỢP - Hướng dẫn, phản hồi ý kiến cho các ĐVKD, các Phòng Hội sở liên quan đến hạch toán kế toán</t>
  </si>
  <si>
    <t>Hướng dẫn, chỉ đạo và định kỳ kiểm tra việc chấp hành chế độ kế toán, thống kê theo quy định của pháp luật và của SCB.</t>
  </si>
  <si>
    <t>Thông báo/Hướng dẫn</t>
  </si>
  <si>
    <t>TỔ TỔNG HỢP - Soạn thảo và ban hành hướng dẫn hạch toán</t>
  </si>
  <si>
    <t>Quản lý và giám sát các Đơn vị thực hiện công tác kế toán theo đúng quy định của pháp luật, NHNN và SCB.</t>
  </si>
  <si>
    <t>TỔ TỔNG HỢP - Lưu trữ điện tử Bảng kê hóa đơn đầu ra</t>
  </si>
  <si>
    <t>Tổ chức quản lý và lưu giữ chứng từ kế toán theo quy định.</t>
  </si>
  <si>
    <t>TỔ TỔNG HỢP - Lưu trữ Báo cáo tín dụng</t>
  </si>
  <si>
    <t>TỔ TỔNG HỢP - Lưu trữ cân đối tài khoản Toàn hàng ngày, tháng, quý, năm</t>
  </si>
  <si>
    <t>TỔ TỔNG HỢP - Lưu trữ cân đối tài khoản Hội sở ngày, tháng, quý, năm</t>
  </si>
  <si>
    <t>Tổ chức việc thu thập, xử lý thông tin, số liệu và hạch toán kế toán theo chuẩn mực và chế độ kế toán Việt Nam.</t>
  </si>
  <si>
    <t>TỔ TỔNG HỢP - Đối chiếu số dư sao kê tiền gửi với cân đối, tìm nguyên nhân sai lệch (nếu có) để tính BHTG</t>
  </si>
  <si>
    <t>Hồ sơ thanh toán</t>
  </si>
  <si>
    <t>TỔ TỔNG HỢP - Hạch toán nhận doanh thu ủy thác khai thác tài sản từ AMC và chuyển chi phí về AMC, xuất hóa đơn cho AMC, ghi nhận tiền cọc, hoàn trả tiền cọc</t>
  </si>
  <si>
    <t>Tổ chức thực hiện công tác kế toán trong toàn hệ thống SCB.</t>
  </si>
  <si>
    <t>Xây dựng, cải tiến, triển khai và kiểm soát việc thực hiện các VBQP liên quan đến nghiệp vụ kế toán.</t>
  </si>
  <si>
    <t xml:space="preserve">Đề xuất tổ chức bộ máy kế toán phù hợp với quy mô và tình hình hoạt động của SCB trong từng thời kỳ. </t>
  </si>
  <si>
    <t>Khác_GSTC</t>
  </si>
  <si>
    <t>GSTC</t>
  </si>
  <si>
    <t>PHÒNG GIÁM SÁT TÀI CHÍNH</t>
  </si>
  <si>
    <t>70</t>
  </si>
  <si>
    <t>KHỐI QTTC&amp;NV</t>
  </si>
  <si>
    <t>E</t>
  </si>
  <si>
    <t>Giám sát và đánh giá hiệu quả hoạt động của các công ty con.</t>
  </si>
  <si>
    <t>Thực hiện quản trị tài chính và dự báo lợi nhuận</t>
  </si>
  <si>
    <t xml:space="preserve">Nghiên cứu, từng bước thực hiện các báo cáo tài chính theo chuẩn mực kế toán quốc tế.  </t>
  </si>
  <si>
    <t xml:space="preserve">Đề xuất, đánh giá các mô hình tài chính và bộ chỉ số tài chính mục tiêu. </t>
  </si>
  <si>
    <t xml:space="preserve">Giám sát và dự báo kết quả hoạt động kinh doanh. </t>
  </si>
  <si>
    <t>Theo đơn vị kinh doanh</t>
  </si>
  <si>
    <t>Đánh giá hiệu quả tài chính và phân tích lợi nhuận kinh doanh đa chiều</t>
  </si>
  <si>
    <t>Theo nhóm khách hàng</t>
  </si>
  <si>
    <t>Theo sản phẩm</t>
  </si>
  <si>
    <t>Theo mảng hoạt động</t>
  </si>
  <si>
    <t>Theo khối kinh doanh</t>
  </si>
  <si>
    <t>Giám sát thực trạng nguồn vốn toàn hàng thông qua việc thiết lập hệ thống báo cáo để theo dõi chặt chẽ, kịp thời tình hình tăng giảm, cơ cấu nguồn vốn của SCB.</t>
  </si>
  <si>
    <t xml:space="preserve"> Điều phối công tác lập dự toán và quản lý, giám sát thực hiện ngân sách, chi phí hoạt động</t>
  </si>
  <si>
    <t>Lập kế hoạch cân đối nguồn vốn và sử dụng vốn và giám sát quá trình thực hiện, đảm bảo điều tiết hiệu quả chênh lệch cung, cầu vốn, tối đa hóa lợi nhuận cho Ngân hàng.</t>
  </si>
  <si>
    <t>Khác_KHCL</t>
  </si>
  <si>
    <t>KHCL</t>
  </si>
  <si>
    <t>PHÒNG KẾ HOẠCH CHIẾN LƯỢC</t>
  </si>
  <si>
    <t>19</t>
  </si>
  <si>
    <t>Thực hiện công văn kiến nghị NHNN/Cơ quan ban ngành các vấn đề về hoạt động tái cơ cấu của Ngân hàng.</t>
  </si>
  <si>
    <t>Đầu mối giám sát và báo cáo Ngân hàng nhà nước/Cơ quan ban ngành về tình hình hoạt động và tái cơ cấu của Ngân hàng</t>
  </si>
  <si>
    <t>Số lần khảo sát</t>
  </si>
  <si>
    <t>Thực hiện khảo sát điều tra kỳ vọng lạm phát hàng tháng và khảo sát xu hướng kinh doanh hàng quý của NHNN</t>
  </si>
  <si>
    <t xml:space="preserve">Báo cáo cho NHNN/Cơ quan ban ngành về tình hình hoạt động của Ngân hàng. </t>
  </si>
  <si>
    <t>Chấm điểm xếp loại ngân hàng theo Quyết định 06/2008/QĐ-NHNN</t>
  </si>
  <si>
    <t>Theo dõi và thực hiện báo cáo về tình hình thực hiện tăng trưởng tín dụng hàng ngày</t>
  </si>
  <si>
    <t>Cung cấp số liệu các chỉ tiêu kinh doanh năm 2018 và tình hình thực hiện định kỳ mỗi quý cho phòng QLRRTD</t>
  </si>
  <si>
    <t>Báo cáo dự kiến tình hình tăng trưởng tín dụng hàng quý theo CV 1077/NHNN-CSTT và CV 1080/NHNN-CSTT ngày 21/02/2018</t>
  </si>
  <si>
    <t>Báo cáo một số chỉ tiêu kế hoạch kinh doanh năm 2018 theo CV 1077/NHNN-CSTT ngày 21/02/2018</t>
  </si>
  <si>
    <t>Báo cáo tình hình triển khai các giải pháp để tạo điều kiện giảm lãi suất cho vay bằng đồng Việt Nam (Công văn số 4393/NHNN-CSTT ngày 10/06/2016)</t>
  </si>
  <si>
    <t>Báo cáo các khoản đầu tư tài chính, các khoản mua nợ và các tài sản có khác cho Cục II</t>
  </si>
  <si>
    <t>Báo cáo tình hình tăng trưởng tín dụng hàng tháng cho Cục II</t>
  </si>
  <si>
    <t>Báo cáo tình hình thực hiện các chỉ đạo của NHNN theo CV 128 (hàng quý)</t>
  </si>
  <si>
    <t>Báo cáo tình hình hoạt động cho NHNN CN Tp HCM hàng tháng (Công văn số 2450/HCM-NCTH ngày 03/10/2013)</t>
  </si>
  <si>
    <t>Báo cáo tình hình hoạt động cho Tổ công tác giám sát hàng tháng (Quyết định số 31/QĐ-HCM.m ngày 01/03/2016)</t>
  </si>
  <si>
    <t>Báo cáo tình hình thực hiện tái cơ cấu hàng tháng (Công văn số 76/CuCII.4.m ngày 07/05/2015)</t>
  </si>
  <si>
    <t xml:space="preserve">Đầu mối xây dựng, điều chỉnh, giám sát và báo cáo tình hình thực hiện kế hoạch tái cơ cấu của Ngân hàng. </t>
  </si>
  <si>
    <t>Báo cáo tình hình thực hiện tái cơ cấu hàng quý (Công văn số 641/CụcII.4 ngày 06/05/2015, 3162/NHNN-TTGSNH ngày 29/04/2016)</t>
  </si>
  <si>
    <t>Báo cáo tình hình thực hiện tái cơ cấu theo CV 756/NHNN-TTGSNH.m</t>
  </si>
  <si>
    <t>Xây dựng cơ chế đánh giá, xếp loại và chính sách khen thưởng, chi trả dựa trên kết quả thực hiện kế hoạch hoạt động kinh doanh của các đơn vị.</t>
  </si>
  <si>
    <t xml:space="preserve">Điều phối, triển khai công tác lập kế hoạch hoạt động kinh doanh và giám sát, đánh giá tình hình thực hiện kế hoạch. </t>
  </si>
  <si>
    <t>Báo cáo đánh giá chương trình hành động Phòng Ban</t>
  </si>
  <si>
    <t xml:space="preserve">Giám sát, đánh giá tình hình thực hiện các mục tiêu hoạt động của Ngân hàng và hiệu quả hoạt động của các Phòng Hội sở. </t>
  </si>
  <si>
    <t>Các Phòng Ho</t>
  </si>
  <si>
    <t>Quản lý chương trình đánh giá chương trình hành động</t>
  </si>
  <si>
    <t>Báo cáo đánh giá tình hình thực hiện kế hoạch hàng tháng, quý, năm</t>
  </si>
  <si>
    <t xml:space="preserve">Giám sát, đánh giá tình hình thực hiện kế hoạch kinh doanh. </t>
  </si>
  <si>
    <t>Báo cáo phân tích tình hình hoạt động kinh doanh hàng tháng, quý, năm</t>
  </si>
  <si>
    <t>Báo cáo nhanh tình hình hoạt động kinh doanh SCB hàng tháng (TGĐ họp với HĐQT)</t>
  </si>
  <si>
    <t>Số đợt</t>
  </si>
  <si>
    <t>Điều phối, triển khai công tác xây dựng kế hoạch kinh doanh năm 2020 - Thông báo giao kế hoạch</t>
  </si>
  <si>
    <t xml:space="preserve">Điều phối, triển khai công tác lập kế hoạch hoạt động kinh doanh của toàn hàng, các Khối và các đơn vị kinh doanh. </t>
  </si>
  <si>
    <t>Điều phối, triển khai công tác xây dựng kế hoạch kinh doanh năm 2020 - Tổng hợp kế hoạch</t>
  </si>
  <si>
    <t>Điều phối, triển khai công tác xây dựng kế hoạch kinh doanh năm 2020 - Thông báo triển khai xây dựng kế hoạch</t>
  </si>
  <si>
    <t>Điều phối, triển khai công tác xây dựng kế hoạch kinh doanh năm 2020 - Thông báo giao kế hoạch hoạt động kinh doanh các đơn vị</t>
  </si>
  <si>
    <t>Bản kế hoạch</t>
  </si>
  <si>
    <t>Điều phối, triển khai công tác xây dựng kế hoạch kinh doanh năm 2020 - Kế hoạch tổng thể</t>
  </si>
  <si>
    <t>Điều phối, triển khai công tác xây dựng kế hoạch kinh doanh năm 2020 - Tổng hợp kế hoạch và định hướng các Khối</t>
  </si>
  <si>
    <t>Điều phối, triển khai công tác xây dựng kế hoạch kinh doanh năm 2020 - Tờ trình xây dựng và triển khai xây dựng kế hoạch</t>
  </si>
  <si>
    <t>Điều phối, triển khai công tác xây dựng kế hoạch kinh doanh năm 2020 - Định hướng tổng thể</t>
  </si>
  <si>
    <t>Hoàn tất việc triển khai xây dựng kế hoạch hoạt động kinh doanh năm 2019 - Thông báo giao kế hoạch</t>
  </si>
  <si>
    <t xml:space="preserve">Đầu mối xây dựng định hướng kinh doanh tổng thể toàn hàng. </t>
  </si>
  <si>
    <t>Hoàn tất việc triển khai xây dựng kế hoạch hoạt động kinh doanh năm 2019 - Tổng hợp kế hoạch</t>
  </si>
  <si>
    <t>Hoàn tất việc triển khai xây dựng kế hoạch hoạt động kinh doanh năm 2019 - Thông báo giao kế hoạch hoạt động kinh doanh các đơn vị</t>
  </si>
  <si>
    <t>Hoàn tất việc triển khai xây dựng kế hoạch hoạt động kinh doanh năm 2019 - Kế hoạch tổng thể</t>
  </si>
  <si>
    <t>Tham gia thực hiện Báo cáo thường niên 2019</t>
  </si>
  <si>
    <t>Tham gia thực hiện báo cáo thường niên.</t>
  </si>
  <si>
    <t xml:space="preserve">Điều phối công tác xây dựng chiến lược phát triển của Ngân hàng. </t>
  </si>
  <si>
    <t>Tham gia thực hiện Báo cáo thường niên 2018</t>
  </si>
  <si>
    <t>Báo cáo phân tích đối thủ cạnh tranh</t>
  </si>
  <si>
    <t xml:space="preserve">Phân tích đối thủ cạnh tranh định kỳ và nghiên cứu xu hướng kinh doanh ngành Ngân hàng.  </t>
  </si>
  <si>
    <t xml:space="preserve">Phối hợp xây dựng chiến lược phát triển đối với các lĩnh vực hoạt động trọng yếu, chiến lược phát triển đặc thù cho từng địa bàn, khu vực (sản phẩm đặc thù, đối tượng khách hàng,…). </t>
  </si>
  <si>
    <t>Slide</t>
  </si>
  <si>
    <t>Slide trình bày Tổng Giám đốc</t>
  </si>
  <si>
    <t xml:space="preserve">Giúp việc cho Ban Lãnh đạo điều phối công tác xây dựng chiến lược phát triển của Ngân hàng. </t>
  </si>
  <si>
    <t>Bộ slide</t>
  </si>
  <si>
    <t>Tổng hợp slide của các thành phần</t>
  </si>
  <si>
    <t>Bộ câu hỏi</t>
  </si>
  <si>
    <t>Hồ sơ, báo cáo tổ chức ĐHCĐ thường niên 2017 (Báo cáo tổng kết hoạt động năm 2017, định hướng và kế hoạch hoạt động năm 2018; báo cáo phát biểu của Tổng giám đốc, slide ĐHCĐ).</t>
  </si>
  <si>
    <t>Theo phát sinh</t>
  </si>
  <si>
    <t>Tham gia các buổi họp với các phòng khác về các nghiệp vụ liên quan (có thể do P.MIS mời họp hoặc phòng khác mời họp)</t>
  </si>
  <si>
    <t>Khác_MIS</t>
  </si>
  <si>
    <t>MIS</t>
  </si>
  <si>
    <t>PHÒNG HỆ THỐNG THÔNG TIN QUẢN LÝ (MIS)</t>
  </si>
  <si>
    <t>18</t>
  </si>
  <si>
    <t>Dự Án PCMCS</t>
  </si>
  <si>
    <t>Không ước lượng được</t>
  </si>
  <si>
    <t>Theo tiến độ</t>
  </si>
  <si>
    <t>Phối hợp triển khai dự án tập hợp và phân bổ chi phí</t>
  </si>
  <si>
    <t>Dự Án CORE</t>
  </si>
  <si>
    <t>Phối hợp triển khai dự án nâng cấp Core</t>
  </si>
  <si>
    <t xml:space="preserve">Phối hợp P.Kế toán và P.DWH kiểm tra số liệu bảo hiểm tiền gửi theo COA hàng quý </t>
  </si>
  <si>
    <t>Xây dựng/chỉnh sửa nhóm BCKH 2018</t>
  </si>
  <si>
    <t xml:space="preserve">Phối hợp Phòng QLRRTD, Phòng Kế toán kiểm tra số liệu trích lập dự phòng theo COA hàng quý </t>
  </si>
  <si>
    <t>Cây báo cáo</t>
  </si>
  <si>
    <t>Hoàn thiện và hệ thống hóa các báo cáo theo cấu trúc cây</t>
  </si>
  <si>
    <t>Cập nhật bộ từ điển nghiệp vụ báo cáo vận hành và báo cáo quản trị</t>
  </si>
  <si>
    <t>TT Đào tạo</t>
  </si>
  <si>
    <t>Tổ chức các lớp đào tạo cung cấp kiến thức về cây sản phẩm, các thông tin phi tín dụng trên các phân hệ cho đơn vị biết và thực hiện đúng quy định.</t>
  </si>
  <si>
    <t>Đầu mối đào tạo các vấn đề liên quan đến hoạt động, vận hành của hệ thống ERP – phân hệ GL cho các đơn vị trong toàn hàng.</t>
  </si>
  <si>
    <t>Kiểm soát số liệu COA và vận hành ổn định hệ thống ERP GL - Phân hệ GL.</t>
  </si>
  <si>
    <t xml:space="preserve">Lần </t>
  </si>
  <si>
    <t>Đào tạo hạch toán thu nhập chi phí thủ công theo phân đoạn COA cho đối tượng là GDV</t>
  </si>
  <si>
    <t>Đào tạo người dùng  Power BI</t>
  </si>
  <si>
    <t>ĐTKD, ĐTDV</t>
  </si>
  <si>
    <t>Đào tào người dùng đối với hệ thống BCQT/BCKH</t>
  </si>
  <si>
    <t>Thay đổi, chỉnh sửa mapping và điều chỉnh dữ liệu khi thực hiện golive Core FCC nâng cấp mới</t>
  </si>
  <si>
    <t>Nghiên cứu xây dựng các nguyên tắc xác định các giá trị phù hợp về sản phẩm, khách hàng, Phòng, Khối tại hệ thống ERP đối với các giao dịch được hạch toán tại ERP để đáp ứng nhu cầu thông tin khai thác từ ERP.</t>
  </si>
  <si>
    <t>Phân tích hệ thống và hướng dẫn giải pháp đối với các giao dịch ghi nhận thu nhập, chi phí thuộc nghiệp vụ thanh toán quốc tế đang chưa ghi nhận được đúng COA</t>
  </si>
  <si>
    <t xml:space="preserve">Phối hợp với P.VHC, P.PTUD để đẩy dữ liệu chi phí CTKM đối với các CT đang quản lý tại CT DVKH 2018 thành dạng template để GDV import và hệ thống FCC.  </t>
  </si>
  <si>
    <t>Phối hợp với P.VHC để tìm giải pháp tối ưu chuyển các giao dịch hạch toán ghi nhận CP CTKM, HHMG thực hiện tại FCC để giảm lượng User và lượng bút toán thực hiện thủ công tại ERP nhằm giảm tải ERP.</t>
  </si>
  <si>
    <t>Phối hợp với P.TNT, KTT, VHC, DWH để tìm giải pháp xử lý đối với các giao dịch thẻ chưa thể hiện đúng segment do lệch giờ chạy EOD của CWS và FCC: rút tiền ATM (Giao dịch online) giao dịch thanh toán thẻ, chuyển CIF khách hàng mở thẻ.</t>
  </si>
  <si>
    <t>Theo phát sinh yêu cầu thực tế</t>
  </si>
  <si>
    <t>Hướng dẫn cấu trúc COA đối với các nghiệp vụ phát sinh mới theo yêu cầu của các phòng HS, Đơn vị</t>
  </si>
  <si>
    <t>Sản phẩm cụ thể thực tế phát sinh</t>
  </si>
  <si>
    <t>Theo chương trình phát sinh</t>
  </si>
  <si>
    <t>Phối hợp với các phòng nghiệp vụ ban hành sản phẩm khuyến mãi, chăm sóc khách hàng và P.PTUD để mô tả và test hệ thống trước khi đưa vào sử dụng đối với các chương trình sử dụng chương trình dịch vụ khách hàng mới</t>
  </si>
  <si>
    <t>Ban hành các Thông báo, hướng dẫn liên quan đến ERP-GL, sử dụng báo cáo, chỉnh sửa dữ liệu đầu vào,... cho các Đơn vị có cơ sở tham khảo thực hiện.</t>
  </si>
  <si>
    <t>Hoàn thiện và triển khai sử dụng các cấu trúc cây (sản phẩm/dịch vụ/báo cáo...) trong toàn hàng.</t>
  </si>
  <si>
    <t>Soạn thảo và ban hành tài liệu cẩm nang vận hành hệ thống ERP-GL</t>
  </si>
  <si>
    <t>Ban hành hướng dẫn tổng hợp các đầu việc hạch toán thủ công tại FCC, ERP theo phân đoạn COA và hướng dẫn chi tiết tất cả các đầu tài khoản chi phí theo COA</t>
  </si>
  <si>
    <t>Mức độ phức tạp: thay đổi mapping do thay đổi nguyên tắc ghi nhận các phân đoạn và thay đổi hàng loạt mang tính hệ thống.</t>
  </si>
  <si>
    <t xml:space="preserve">Quản trị cấu trúc COA trong toàn hàng. </t>
  </si>
  <si>
    <t>Mức độ đơn giản: cập nhật mapping khi mở mới sản phẩm, mở mới tài khoản, mở mới GL Code CWS,…</t>
  </si>
  <si>
    <t>Cập nhật, sửa đổi các bảng danh mục, mapping ERP: khi mở mới product FCC, mở mới GL, thay đổi nguyên tắc mapping, mã chương trình khuyến mãi,…</t>
  </si>
  <si>
    <t>Kiểm tra hàng ngày lỗi phát sinh trong quá trình vận hành hệ thống ERP GL</t>
  </si>
  <si>
    <t>Tra soát phát hiện lỗi số liệu COA và lỗi phát sinh trong quá trình vận hành hệ thống ERP GL – Phân hệ GL.</t>
  </si>
  <si>
    <t xml:space="preserve">Số lượng yêu cầu từ đơn vị </t>
  </si>
  <si>
    <t>Tư vấn, giải đáp thắc mắc các Đơn vị qua điện thoại đối với các nghiệp vụ liên quan đến ERP-GL</t>
  </si>
  <si>
    <t>Xây dựng mới/bổ sung báo cáo hỗ trợ kiểm soát lỗi sai trong vận hành ERP-GL</t>
  </si>
  <si>
    <t>Kiểm tra và phát hiện các lỗi do Đơn vị không nhập đúng chương trình khuyến mãi, hoa hồng môi giới, chương trình thi đua</t>
  </si>
  <si>
    <t>Kiểm tra và phát hiện các lỗi do thiếu hoặc sai nguyên tắc mapping đối với các dữ liệu tự động như dữ liệu từ cardworks, dữ liệu từ hệ thống Local payments, hệ thống Treasury,…và phối hợp với các phòng Hội sở để xử lý.</t>
  </si>
  <si>
    <t>Theo phát sinh thực tế</t>
  </si>
  <si>
    <t>Kiểm tra và phát hiện chênh lệch COA giữa sao kê chi tiết và cân đối ERP-GL (các tài khoản thuộc cây huy động vốn, cây tín dụng, cây tiền gửi) và phối hợp Đơn vị tìm nguyên nhân điều chỉnh</t>
  </si>
  <si>
    <t>Kiểm tra và phát hiện cân đối ERP-GL đối với các COA không đúng hướng dẫn và yêu cầu Đơn vị kiểm tra điều chỉnh</t>
  </si>
  <si>
    <t>Xây dựng bộ từ điển khái niệm, thuật ngữ sử dụng trong việc thiết lập dữ liệu và khai thác thông tin báo cáo.</t>
  </si>
  <si>
    <t>Chuẩn hóa cấu trúc dữ liệu đầu vào phục vụ việc khai thác hiệu quả nguồn tài nguyên thông tin.</t>
  </si>
  <si>
    <t>Kiểm tra hàng tháng và phát hiện các lỗi sai theo từng phân hệ; đồng thời gửi yêu cầu cho các Đơn vị chỉnh sửa; kiểm tra các phản hồi từ Đơn vị.</t>
  </si>
  <si>
    <t>Phối hợp với đơn vị vận hành để chuẩn hóa việc nhập liệu trên hệ thống Core Banking/các chương trình vận hành một cách nhất quán và chính xác.</t>
  </si>
  <si>
    <t>Rà soát, tổng hợp, phối hợp với DWH để xây dựng/ bổ sung/ chỉnh sửa các mã loại sai nhằm phát hiện lỗi sai nhập liệu trên Hệ thống Core.</t>
  </si>
  <si>
    <t>Rà soát và điều chỉnh các UDF không còn sử dụng trên các phân hệ (Công việc P.MIS chủ động, không phải yêu cầu từ các phòng ban)</t>
  </si>
  <si>
    <t xml:space="preserve">Đầu mối tiếp nhận và phối hợp với các Phòng Hội sở về việc bổ sung các giá trị mới trên các cây sản phẩm, các thông tin phi tài chính vào hệ thống Core Banking. </t>
  </si>
  <si>
    <t>Yêu cầu</t>
  </si>
  <si>
    <t>Tiếp nhận và xử lý yêu cầu mở mới, điều chỉnh UDF  từ đơn vị</t>
  </si>
  <si>
    <t>Tiếp nhận và xử lý yêu cầu thêm mới/ điều chỉnh/ bỏ sản phẩm trên các phân hệ</t>
  </si>
  <si>
    <t>Đề xuất triển khai giải pháp để tối ưu hóa hệ thống dữ liệu đầu vào hiện hữu để hỗ trợ khai thác các báo cáo quản trị.</t>
  </si>
  <si>
    <t>Thực hiện đánh giá mức độ đáp ứng của dữ liệu hiện hữu (core, các chương trình khác, …) nhằm bổ sung các dữ liệu cần thiết đáp ứng nhu cầu khai thác dữ liệu (báo cáo quản trị, báo cáo vận hành, báo cáo NHNN, bc kế hoạch)</t>
  </si>
  <si>
    <t>Thực hiện và giám sát mức độ đáp ứng dữ liệu hiện hữu để phục vụ cho hệ thống BCQT, BCVH và các báo cáo tuân thủ khác của Ngân hàng.</t>
  </si>
  <si>
    <t>Xây dựng, điều chỉnh cấu trúc cây sản phẩm trên các phân hệ và Chuyển đổi dữ liệu cũ theo cấu trúc mới</t>
  </si>
  <si>
    <t>Đầu mối rà soát các sản phẩm mới đảm bảo tuân thủ theo cấu trúc các cây sản phẩm.</t>
  </si>
  <si>
    <t>Hướng dẫn, giải đáp thắc mắc các Đơn vị qua điện thoại đối với các nghiệp vụ liên quan đến cấu trúc cây sản phẩm.</t>
  </si>
  <si>
    <t>Đầu mối tiếp nhận, kiểm soát dữ liệu và mở khóa dữ liệu cho phép đơn vị có yêu cầu chỉnh sửa dữ liệu sai sót theo đúng cấu trúc các cây sản phẩm.</t>
  </si>
  <si>
    <t>Tiếp nhận và kiểm tra nội dung yêu cầu từ các Đơn vị v/v mở khóa để chỉnh sửa thông tin dữ liệu theo đúng cấu trúc cây sản phẩm.</t>
  </si>
  <si>
    <t>Đầu mối thực hiện chuyển đổi dữ liệu khi xây dựng các cây sản phẩm mới.</t>
  </si>
  <si>
    <t>Quản lý, khai thác, rà soát và chỉnh sửa dữ liệu theo các cấu trúc cây sản phẩm hiện hành.</t>
  </si>
  <si>
    <t xml:space="preserve">Nghiên cứu, xây dựng và hệ thống hóa dữ liệu theo đúng cấu trúc các cây sản phẩm. </t>
  </si>
  <si>
    <t>Theo yêu cầu Đơn vị</t>
  </si>
  <si>
    <t>Xây dựng/chỉnh sửa báo cáo theo yêu cầu của đơn vị (mức độ phức tạp: rất khó)</t>
  </si>
  <si>
    <t>Phối hợp với Phòng Data Warehouse xây dựng, hiệu chỉnh các báo cáo vận hành theo yêu cầu từ các đơn vị.</t>
  </si>
  <si>
    <t>Xây dựng, phát triển và quản lý hệ thống báo cáo vận hành.</t>
  </si>
  <si>
    <t>Xây dựng/chỉnh sửa báo cáo theo yêu cầu của đơn vị (mức độ phức tạp: khó)</t>
  </si>
  <si>
    <t>Xây dựng/chỉnh sửa báo cáo theo yêu cầu của đơn vị (mức độ phức tạp: thông thường)</t>
  </si>
  <si>
    <t>Xây dựng/chỉnh sửa báo cáo theo yêu cầu của đơn vị (mức độ phức tạp: dễ)</t>
  </si>
  <si>
    <t>Đầu mối tiếp nhận, phân tích các yêu cầu xây dựng báo cáo vận hành từ các đơn vị (các báo cáo chi tiết, báo cáo tổng hợp, sao kê,…) trên hệ thống DWH dựa trên nguồn dữ liệu từ hệ thống Core Banking, hệ thống Cardwork, hệ thống FTP, hệ thống ERP.</t>
  </si>
  <si>
    <t>Nghiên cứu và xây dựng báo cáo đánh giá các chỉ tiêu quản lý hiệu suất cốt lõi.</t>
  </si>
  <si>
    <t>Xây dựng, phát triển và quản lý hệ thống báo cáo quản trị.</t>
  </si>
  <si>
    <t>Biểu đồ hóa các BCQT trên Power BI</t>
  </si>
  <si>
    <t xml:space="preserve">Biểu đồ hóa các báo cáo quản trị theo hướng trực quan, sinh động nhằm giúp việc theo dõi, đánh giá kết quả, hiệu quả hoạt động kinh doanh, quản lý rủi ro…được dễ dàng, thuận lợi và kịp thời. </t>
  </si>
  <si>
    <t>Các báo cáo quản lý hỗ trợ khác</t>
  </si>
  <si>
    <t>Xây dựng và phát triển hệ thống báo cáo theo bộ khung báo cáo quản trị</t>
  </si>
  <si>
    <t>Hiệu quả hoạt động nhân sự</t>
  </si>
  <si>
    <t>Báo cáo cơ cấu và tăng trưởng hiệu quả của danh mục đầu tư</t>
  </si>
  <si>
    <t>Quản lý hiệu quả và chất lượng hoạt động thẻ</t>
  </si>
  <si>
    <t>Chất lượng và quy mô vốn</t>
  </si>
  <si>
    <t>Quản lý rủi ro hoạt động</t>
  </si>
  <si>
    <t>Quản lý rủi ro thị trường</t>
  </si>
  <si>
    <t>Cấu trúc Bảng cân đối kế toán</t>
  </si>
  <si>
    <t>Tăng trưởng và kết cấu danh mục huy động vốn</t>
  </si>
  <si>
    <t>Quản lý rủi ro tín dụng và phân tích kết cấu danh mục tín dụng</t>
  </si>
  <si>
    <t xml:space="preserve"> Quản lý chi phí hoạt động</t>
  </si>
  <si>
    <t>Quản lý doanh thu và lợi nhuận đa chiều</t>
  </si>
  <si>
    <t>Rà soát bổ sung các chiều COA đối với toàn bộ nhóm báo cáo quản trị</t>
  </si>
  <si>
    <t>Đầu mối tiếp nhận, xây dựng các báo cáo quản trị bổ sung khác phục vụ công tác quản trị điều hành theo từng thời kỳ, từng mục đích, nhu cầu.</t>
  </si>
  <si>
    <t>Giám sát, hỗ trợ các Đơn vị thực hiện Kế hoạch kinh doanh, bao gồm tổ chức công tác tìm kiếm KHDN để hỗ trợ Đơn vị trong công tác phát triển Khách hàng, khai thác các nguồn dữ liệu khách hàng của các Công ty con của SCB.</t>
  </si>
  <si>
    <t>Xây dựng các BCQT khác</t>
  </si>
  <si>
    <t>KHCN/KHDN</t>
  </si>
  <si>
    <t>Chỉnh sửa nhóm báo cáo tích điểm khách hàng</t>
  </si>
  <si>
    <t>Xây dựng báo cáo đánh giá hiệu quả khách hàng ưu tiên</t>
  </si>
  <si>
    <t>Đánh giá sử dụng hệ thống BCQT/BCKH</t>
  </si>
  <si>
    <t>Nghiên cứu, xây dựng hệ thống báo cáo kế hoạch để đánh giá tình hình hoạt động kinh doanh của toàn hàng, Khối, Phòng Hội sở, Khu vực, Chi nhánh, Phòng giao dịch,… theo các chỉ tiêu kế hoạch đã đề ra.</t>
  </si>
  <si>
    <t>Xây dựng nhóm báo cáo 9000</t>
  </si>
  <si>
    <t>Xây dựng nhóm báo cáo 1200 (bổ sung)</t>
  </si>
  <si>
    <t>Vận hành hàng ngày hệ thống báo cáo quản trị</t>
  </si>
  <si>
    <t>Tờ trình hạn chế thực hiện các khoản cam kết đầu tư, giải ngân, cấp tín dụng mới cho đối tác và khách hàng làm tăng tài sản Có rủi ro</t>
  </si>
  <si>
    <t>Khác_HTALCO</t>
  </si>
  <si>
    <t>PHÒNG HỖ TRỢ ALCO</t>
  </si>
  <si>
    <t>17</t>
  </si>
  <si>
    <t>Trình HĐQT gia hạn ngưỡng cảnh báo nội bộ các tỷ lệ an toàn hoạt động năm 2018</t>
  </si>
  <si>
    <t>Tỷ lệ sử dụng</t>
  </si>
  <si>
    <t>- KHCN 75%
- KHDN 25%</t>
  </si>
  <si>
    <t>Báo cáo tình hình huy động của thị trường và SCB từ đầu năm 2016 đến nay</t>
  </si>
  <si>
    <t>Trình HĐQT v/v tạm thời chưa sử dụng điểm 1 khoản 12.1 điều 12 Quy chế phòng ngừa, nhận diện và ứng phó khủng hoảng thanh khoản của Ngân hàng TMCP Sài Gòn</t>
  </si>
  <si>
    <t>Doanh số huy động</t>
  </si>
  <si>
    <t xml:space="preserve">Tiến độ thực hiện </t>
  </si>
  <si>
    <t>Phối hợp Khối Bán lẻ triển khai kế hoạch phát hành và chuyển nhượng chứng chỉ tiền gửi của SCB</t>
  </si>
  <si>
    <t>Nghiên cứu Thông tư Quy định về hệ thống kiểm soát nội bộ của NHTM, chi nhánh NHNNg (Thông tư 13/2018/TT-NHNN)</t>
  </si>
  <si>
    <t>Theo dõi, tổng hợp báo cáo các công việc được giao theo Nghị quyết của Hội đồng Quản lý vốn.</t>
  </si>
  <si>
    <t>Quản lý các tỷ lệ đảm bảo an toàn hoạt động theo quy định của Ngân hàng Nhà nước và nội bộ SCB. Đồng thời, hỗ trợ Hội đồng Quản lý vốn trong việc đánh giá nội bộ về mức đủ vốn phù hợp với chiến lược kinh doanh của Ngân hàng và tình hình thị trường nhằm tuân thủ quy định nội bộ của SCB và quy định hiện hành của NHNN về an toàn vốn.</t>
  </si>
  <si>
    <t>Đầu mối tổng hợp và chuẩn bị tài liệu họp của Hội đồng quản lý vốn; soạn thảo Nghị quyết của Hội đồng quản lý vốn.</t>
  </si>
  <si>
    <t>Thực hiện đánh giá mức đủ vốn phù hợp với khẩu vị rủi ro và kế hoạch kinh doanh của SCB trong từng thời kỳ và đưa ra các khuyến nghị đề xuất liên quan.</t>
  </si>
  <si>
    <t>Phối hợp với các đơn vị có liên quan duy trì hệ thống đo lường, đánh giá, theo dõi và kiểm soát các tỷ lệ đảm bảo an toàn hoạt động luôn đáp ứng quy định của NHNN</t>
  </si>
  <si>
    <t>Thực hiện đo lường, giám sát các tỷ lệ bảo đảm an toàn trong hoạt động theo đúng quy định của NHNN và nội bộ SCB và đưa ra các khuyến nghị đề xuất liên quan.</t>
  </si>
  <si>
    <t>Báo cáo phân tích các hệ số an toàn hoạt động tháng  và dự báo các tỷ lệ an toàn hoạt động tháng</t>
  </si>
  <si>
    <t>Dự phóng các tỷ lệ an toàn hoạt động cho (các) ngày tiếp theo làm cơ sở cho các quyết định kinh doanh có liên quan trong ngày và theo yêu cầu của các đơn vị đối với từng trường hợp cụ thể</t>
  </si>
  <si>
    <t>Giám sát, báo cáo các tỷ lệ an toàn hoạt động của ngân hàng và có đề xuất phù hợp</t>
  </si>
  <si>
    <t>Cập nhật ngưỡng cảnh báo nội bộ cho các tỷ lệ đảm bảo an toàn hoạt động của SCB năm 2018</t>
  </si>
  <si>
    <t>Đề xuất ngưỡng cảnh báo nội bộ của các tỷ lệ bảo đảm an toàn trong hoạt động của SCB.</t>
  </si>
  <si>
    <t>Xây dựng hạn mức và tỷ trọng cho từng loại tài sản có rủi ro cho SCB</t>
  </si>
  <si>
    <t>Trình TGĐ và HĐQT tính tỷ lệ an toàn vốn CAR theo TT19 (mới)</t>
  </si>
  <si>
    <t>Xây dựng các công cụ tính toán và đo lường các tỷ lệ bảo đảm an toàn trong hoạt động theo đúng quy định của NHNN và nội bộ SCB.</t>
  </si>
  <si>
    <t>Tin học hóa các báo cáo tỷ lệ an toàn hoạt động trên chương trình báo cáo thống kê</t>
  </si>
  <si>
    <t xml:space="preserve">Nghiên cứu đề xuất các phương án/phương pháp cải thiện các hệ số an toàn hoạt động của SCB. </t>
  </si>
  <si>
    <t>Làm đầu mối xây dựng kế hoạch và lộ trình cụ thể điều chỉnh thay đổi danh mục các tài sản có rủi ro đáp ứng yêu cầu an toàn vốn theo Thông tư 41 phù hợp với tình hình thực tế tại SCB</t>
  </si>
  <si>
    <t>Lập Bảng Rủi ro thanh khoản (riêng lẻ, hợp nhất) và Bảng Rủi ro lãi suất (riêng lẻ, hợp nhất) trong Báo cáo tài chính hàng quý theo Quyết định 16.</t>
  </si>
  <si>
    <t xml:space="preserve">Thực hiện nhận dạng, đo lường, giám sát, báo cáo rủi ro lãi suất và đưa ra các khuyến nghị đề xuất liên quan. </t>
  </si>
  <si>
    <t>Quản lý rủi ro lãi suất trên sổ ngân hàng.</t>
  </si>
  <si>
    <t>Đo lường và theo dõi các hạn mức rủi ro lãi suất</t>
  </si>
  <si>
    <t>Phân tích hiệu quả của công tác điều hành lãi suất (định kỳ 6 tháng)</t>
  </si>
  <si>
    <t>Xây dựng hạn mức QLRRLS năm 2019</t>
  </si>
  <si>
    <t>Đề xuất các hạn mức rủi ro lãi suất trình Hội đồng ALCO.</t>
  </si>
  <si>
    <t>Tin học hóa các báo cáo Quản lý rủi ro thanh khoản, Quản lý rủi ro lãi suất</t>
  </si>
  <si>
    <t>Xây dựng hệ thống thông tin báo cáo và giám sát rủi ro lãi suất.</t>
  </si>
  <si>
    <t>Cải tiến, cập nhật xây dựng mới hệ thống tài liệu chất lượng cho các bộ phận quản lý rủi ro thanh khoản, rủi ro lãi suất trên sổ ngân hàng và bảo đảm an toàn hoạt động</t>
  </si>
  <si>
    <t>Xây dựng phương pháp nhận dạng và hệ thống đo lường rủi ro lãi suất.</t>
  </si>
  <si>
    <t>Phối hợp với Khối Bán lẻ tăng lãi suất huy động một số SP của SCB nhằm cải thiện tăng ròng huy động VND</t>
  </si>
  <si>
    <t>Thu thập và phân tích thông tin lãi suất thị trường 1 và đưa ra các khuyến nghị về lãi suất cho SCB trong từng thời kỳ.</t>
  </si>
  <si>
    <t>Theo dõi diễn biến lãi suất thị trường (huy động, cho vay), phân tích thông tin và có đề xuất lãi suất SCB phù hợp thị trường và tình hình thực tế của SCB</t>
  </si>
  <si>
    <t>Tờ trình v/v lộ trình cải thiện đệm thanh khoản</t>
  </si>
  <si>
    <t>Thực hiện nhận dạng, đo lường, giám sát, báo cáo rủi ro thanh khoản và đưa ra các khuyến nghị đề xuất liên quan.</t>
  </si>
  <si>
    <t>Quản lý rủi ro thanh khoản.</t>
  </si>
  <si>
    <t>Đo lường và theo dõi các hạn mức rủi ro thanh khoản.</t>
  </si>
  <si>
    <t>Theo dõi và báo cáo đệm thanh khoản</t>
  </si>
  <si>
    <t>Theo dõi và báo cáo ngưỡng tỷ lệ tái tục của toàn hàng, khách hàng cá nhân và khách hàng doanh nghiệp các đơn vị và cá nhân liên quan</t>
  </si>
  <si>
    <t>Theo dõi cấu trúc doanh số gửi theo từng kỳ hạn và đề xuất cấu trúc phù hợp với mục tiêu kinh doanh của SCB trong từng thời kỳ</t>
  </si>
  <si>
    <t>Theo dõi diễn biến của các tỷ lệ liên quan đến hành vi khách hàng và có cảnh báo, đề xuất phù hợp</t>
  </si>
  <si>
    <t>Tăng cường, củng cố phương pháp, mô hình dự báo các chỉ số vĩ mô và các chỉ tiêu nội bộ, bảo đảm tính chính xác phục vụ công tác điều hành lãi suất, thanh khoản và tỷ lệ bảo đảm an toàn hoạt động</t>
  </si>
  <si>
    <t>Xây dựng danh mục tài sản thanh khoản mục tiêu cho năm 2019</t>
  </si>
  <si>
    <t>Đề xuất các hạn mức rủi ro thanh khoản trình Hội đồng ALCO.</t>
  </si>
  <si>
    <t>Xây dựng hạn mức quản lý rủi ro thanh khoản năm 2019</t>
  </si>
  <si>
    <t>Tin học hóa tỷ lệ tái tục theo từng kỳ hạn theo định nghĩa mới</t>
  </si>
  <si>
    <t>Xây dựng hệ thống thông tin báo cáo và giám sát rủi ro thanh khoản.</t>
  </si>
  <si>
    <t>Củng cố và hệ thống lại mô hình quản lý ALM theo thông lệ thực hành tốt nhất</t>
  </si>
  <si>
    <t>Xây dựng phương pháp nhận dạng và hệ thống đo lường rủi ro thanh khoản.</t>
  </si>
  <si>
    <t>Báo cáo tình hình thực hiện Nghị quyết số 159/NQ-HĐQT.18</t>
  </si>
  <si>
    <t>Theo dõi, tổng hợp báo cáo các công việc được giao theo Nghị quyết của Hội đồng ALCO.</t>
  </si>
  <si>
    <t>Hỗ trợ Hội đồng ALCO quản lý cấu trúc Tài sản - Nợ phải trả của Ngân hàng phù hợp với chiến lược kinh doanh của Ngân hàng và tình hình thị trường.</t>
  </si>
  <si>
    <t>Theo dõi, giám sát các đơn vị trong việc thực hiện chỉ đạo của Hội đồng ALCO và báo cáo đánh giá việc thực hiện các Nghị quyết của Hội đồng ALCO</t>
  </si>
  <si>
    <t>Nghiên cứu, đề xuất giá trị và cơ cấu danh mục đầu tư phi tín dụng trên sổ ngân hàng.</t>
  </si>
  <si>
    <t>Thực hiện Báo cáo Phân tích Tài sản - Nợ định kỳ hàng tháng</t>
  </si>
  <si>
    <t>Đầu mối tổng hợp và thực hiện báo cáo phân tích Tài sản - Nợ phải trả hàng tháng.</t>
  </si>
  <si>
    <t>Thực hiện tài liệu phục vụ họp ALCO định kỳ</t>
  </si>
  <si>
    <t>Đầu mối tổng hợp và chuẩn bị tài liệu họp của Hội đồng ALCO; soạn thảo Nghị quyết của Hội đồng ALCO.</t>
  </si>
  <si>
    <t>Theo dõi diễn biếnTài sản - Nợ của ngân hàng, so với mục tiêu và có đề xuất phù hợp</t>
  </si>
  <si>
    <t>Đề xuất cấu trúc mục tiêu Tài sản - Nợ phải trả và giám sát tình hình thực hiện so với cấu trúc mục tiêu.</t>
  </si>
  <si>
    <t>Dự báo tình hình vĩ mô 2018</t>
  </si>
  <si>
    <t>Thu thập, xử lý, phân tích dữ liệu và thông tin về kinh tế vĩ mô ảnh hưởng đến cấu trúc Tài sản - Nợ phải trả của Ngân hàng.</t>
  </si>
  <si>
    <t>Định kỳ hàng quý, thực hiện phân tích xu hướng cấu trúc Bảng cân đối của các Ngân hàng trên thị trường và đưa ra đề xuất phù hợp cho SCB</t>
  </si>
  <si>
    <t>Cập nhật, xử lý và lưu trữ thông tin, dữ liệu kinh tế vĩ mô và thị trường tài chính phục vụ phân tích dự báo thanh khoản, lãi suất, tỷ giá…</t>
  </si>
  <si>
    <t>Thực hiện báo cáo Thông tư 35/NHNN</t>
  </si>
  <si>
    <t>Khác_QTNV</t>
  </si>
  <si>
    <t>PHÒNG QUẢN TRỊ NGUỒN VỐN</t>
  </si>
  <si>
    <t>16</t>
  </si>
  <si>
    <t xml:space="preserve">Thực hiện báo cáo NHNN </t>
  </si>
  <si>
    <t>Thực hiện báo cáo kinh doanh TPCP</t>
  </si>
  <si>
    <t>Quy trình/Quy định</t>
  </si>
  <si>
    <t>Xây dựng/tu chỉnh tài liệu chất lượng</t>
  </si>
  <si>
    <t>ALCO</t>
  </si>
  <si>
    <t>Tổng hợp báo cáo FTP phục vụ ALCO</t>
  </si>
  <si>
    <t>Số lần giao kế hoạch cho tất cả CN</t>
  </si>
  <si>
    <t>Phối hợp giao kế hoạch thu nhập lãi từng Đơn vị</t>
  </si>
  <si>
    <t>Số lượng sản phẩm hiện hành</t>
  </si>
  <si>
    <t>Thực tế phát sinh sẽ điền vào</t>
  </si>
  <si>
    <t>Số lượng sản phẩm</t>
  </si>
  <si>
    <t>Cập nhật các sản phẩm huy động cho vay hiện hành</t>
  </si>
  <si>
    <t>Theo dõi, phân tích thanh khoản của hệ thống để phối hợp với các Đơn vị có liên quan đảm bảo thanh khoản toàn hàng.</t>
  </si>
  <si>
    <t xml:space="preserve">Điều hành thanh khoản toàn hàng. </t>
  </si>
  <si>
    <t>Báo cáo số dư tiền gửi huy động bình quân phải dự trữ hàng tháng</t>
  </si>
  <si>
    <t>Duy trì tiền gửi tại NHNN nhằm đảm bảo dự trữ bắt buộc theo quy định.</t>
  </si>
  <si>
    <t>Phân bổ đều cho CN, PGD, KDTT, KDNH</t>
  </si>
  <si>
    <t>CN, PGD, KDTT, KDNH</t>
  </si>
  <si>
    <t>Số ngày thực hiện</t>
  </si>
  <si>
    <t>Cân đối nguồn để đề xuất sử dụng nguồn hàng ngày</t>
  </si>
  <si>
    <t>Điều tiết tiền mặt tại quỹ, tiền gửi thanh toán của SCB tại NHNN và tiền trên tài khoản Nostro trong và ngoài nước.</t>
  </si>
  <si>
    <t>Phối hợp đề xuất danh mục và trực tiếp/chịu trách nhiệm thực hiện đầu tư/nắm giữ tài sản thanh khoản theo phê duyệt của TGĐ và Hội đồng ALCO.</t>
  </si>
  <si>
    <t>- Số lượng giao dịch phê duyệt của từng chi nhánh</t>
  </si>
  <si>
    <t>Giao dịch</t>
  </si>
  <si>
    <t>Phê duyệt các khoản đăng ký sử dụng nguồn hàng ngày</t>
  </si>
  <si>
    <t>Đầu mối tiếp nhận và xử lý các đề nghị sử dụng nguồn (chi trả tiền gửi, giải ngân cho vay, mua/bán ngoại tệ, đầu tư, thanh toán quốc tế, thanh toán mua sắm nội bộ, nộp thuế,…) của các Chi nhánh và các Phòng Hội sở.</t>
  </si>
  <si>
    <t>Xây dựng hạn mức chi trả và thẩm quyền phê duyệt tương ứng đối với các hoạt động thanh toán ra khỏi hệ thống SCB, phù hợp với tình hình thanh khoản của SCB trong từng thời kỳ.</t>
  </si>
  <si>
    <t>NV mới</t>
  </si>
  <si>
    <t>Phối hợp với các Phòng Hội sở có liên quan đề xuất và thực hiện các biện pháp bảo đảm các tỷ lệ an toàn trong hoạt động theo quy định của NHNN, và của SCB.</t>
  </si>
  <si>
    <t>Báo cáo tình hình chấp hành HMTQ hàng tháng</t>
  </si>
  <si>
    <t>Xây dựng hạn mức tồn quỹ và giám sát tình hình thực hiện của các Chi nhánh.</t>
  </si>
  <si>
    <t>Tổ chức xây dựng và vận hành hệ thống FTP.</t>
  </si>
  <si>
    <t>Báo cáo tình hình chấp hành HMTQ hàng tuần</t>
  </si>
  <si>
    <t>- Số lượng tờ trình phê duyệt của từng chi nhánh</t>
  </si>
  <si>
    <t>Phê duyệt các Tờ trình vi phạm HMQT, tờ trình điều chỉnh HMTQ</t>
  </si>
  <si>
    <t>Phê duyệt các đề nghị điều/tiếp vốn hàng ngày</t>
  </si>
  <si>
    <t>Tiếp nhận và xử lý các đề nghị Điều/tiếp vốn nội bộ.</t>
  </si>
  <si>
    <t>Số lần nhập</t>
  </si>
  <si>
    <t>Nhập tham số vào hệ thống FTP</t>
  </si>
  <si>
    <t>Kiểm soát các số liệu vận hành và các vấn đề phát sinh của hệ thống FTP.</t>
  </si>
  <si>
    <t>Biểu lãi suất</t>
  </si>
  <si>
    <t>Ban hành biểu lãi suất mua bán vốn nội bộ từng thời kỳ phù hợp với định hướng hoạt động của SCB</t>
  </si>
  <si>
    <t>Theo dõi và tính lãi suất đầu vào, đầu ra bình quân toàn hàng; xây dựng biểu lãi suất mua vốn/bán vốn nội bộ phù hợp với mục tiêu và kế hoạch kinh doanh của SCB trong từng thời kỳ.</t>
  </si>
  <si>
    <t>Báo cáo lãi suất đầu vào đầu ra</t>
  </si>
  <si>
    <t>Thực hiện báo cáo Thu nhập - chi phí lãi Trung tâm vốn</t>
  </si>
  <si>
    <t>Đóng vai trò Trung tâm vốn thực hiện mua/bán vốn với các Khối và Đơn vị kinh doanh.</t>
  </si>
  <si>
    <t>Vận hành hệ thống FTP hàng ngày</t>
  </si>
  <si>
    <t>Xây dựng, bổ sung, điều chỉnh và vận hành cơ chế FTP.</t>
  </si>
  <si>
    <t>Cấu phần</t>
  </si>
  <si>
    <t>Xây dựng cấu phần giá FTP</t>
  </si>
  <si>
    <t>Số ngày cập nhật</t>
  </si>
  <si>
    <t>Theo dõi, cập nhật thực trạng nguồn vốn toàn hàng</t>
  </si>
  <si>
    <t>Quản trị Nguồn vốn của toàn hàng.</t>
  </si>
  <si>
    <t>Báo cáo tình hình thực hiện kế hoạch nguồn - sử dụng nguồn hàng tháng</t>
  </si>
  <si>
    <t>Số lượng hồ sơ phát sinh trong kỳ</t>
  </si>
  <si>
    <t>Lập báo cáo định kỳ hồ sơ định giá trực tiếp</t>
  </si>
  <si>
    <t>Khác_CS&amp;GSĐG</t>
  </si>
  <si>
    <t>CS&amp;GSĐG</t>
  </si>
  <si>
    <t>PHÒNG CHÍNH SÁCH VÀ GIÁM SÁT ĐỊNH GIÁ</t>
  </si>
  <si>
    <t>66</t>
  </si>
  <si>
    <t>KHỐI HTKD</t>
  </si>
  <si>
    <t>D</t>
  </si>
  <si>
    <t>Đào tạo, tập huấn cho CBNV KHDN/KHCN của Đơn vị trong công tác luân chuyển hồ sơ định giá (quy trình tác nghiệp)</t>
  </si>
  <si>
    <t>Thực hiện các công tác hỗ trợ khác liên quan đến phạm vi nghiệp vụ của Phòng.</t>
  </si>
  <si>
    <t>Đầu mối liên hệ các đối tác có liên kết với SCB trong công tác thẩm định giá, tư vấn giá trị tài sản.</t>
  </si>
  <si>
    <t>Hỗ trợ công tác phát hành, trả kết quả, lưu trữ hồ sơ theo quy định đối với trường hợp thuê định giá độc lập.</t>
  </si>
  <si>
    <t>Thực hiện kiểm tra tính pháp lý và các thông số liên quan đến kết quả định giá TSBĐ đối với trường hợp phải thuê cơ quan, tổ chức định giá bên ngoài theo quy định hiện hành của SCB và/hoặc theo chỉ đạo của Tổng Giám đốc đối với từng trường hợp cụ thể.</t>
  </si>
  <si>
    <t>Đầu mối thực hiện đánh giá lại và có ý kiến về kết quả định giá đối với các hồ sơ do đối tác bên ngoài thực hiện theo quy định, trừ các trường hợp khác.</t>
  </si>
  <si>
    <t>Phối hợp Phòng ĐGTT đối với các trường hợp sử dụng dịch vụ tư vấn giá trị tài sản, thẩm định giá của đối tác bên ngoài</t>
  </si>
  <si>
    <t>Phối hợp với Phòng ĐGTT đối với các hồ sơ có nhu cầu sử dụng dịch vụ tư vấn, thẩm định giá của các đối tác bên ngoài.</t>
  </si>
  <si>
    <t>Đề xuất, có ý kiến về giá trị tài sản đối với các trường hợp sử dụng dịch vụ thẩm định giá của đối tác bên ngoài</t>
  </si>
  <si>
    <t>Thực hiện công tác đánh giá đối tác và trình danh sách đối tác liên kết với SCB trong từng thời kỳ.</t>
  </si>
  <si>
    <t>ĐGTT</t>
  </si>
  <si>
    <t>Kiểm soát hồ sơ định giá trực tiếp</t>
  </si>
  <si>
    <t>Thực hiện việc kiểm tra, giám sát tính tuân thủ trong công tác định giá của Phòng ĐGTT theo định kỳ hoặc đột xuất.</t>
  </si>
  <si>
    <t>Tổ chức kiểm tra, giám sát công tác định giá của Phòng ĐGTT.</t>
  </si>
  <si>
    <t>Xây dựng hạn mức phê duyệt cho Bộ phận Định giá trong từng thời kỳ (nếu có).</t>
  </si>
  <si>
    <t>Tổ chức thực hiện xây dựng các chính sách liên quan đến công tác định giá.</t>
  </si>
  <si>
    <t>Xây dựng, tổng hợp và cập nhật giá đất cơ sở và các hệ số khác phục vụ cho công tác định giá TSBĐ (nếu có) tại các tỉnh/thành phố để áp dụng trong công tác định giá TSBĐ.</t>
  </si>
  <si>
    <t>Đầu mối thực hiện xây dựng, cập nhật và hoàn thiện chương trình định giá tài sản (tin học hóa) phục vụ công tác định giá TSBĐ, hướng dẫn sử dụng chương trình định giá tài sản.</t>
  </si>
  <si>
    <t>Phối hợp với Phòng ĐGTT xây dựng và trình ban hành Bảng giá đất thị trường và các chính sách liên quan đến công tác định giá áp dụng cho từng địa bàn cụ thể trên cơ sở đề xuất của Phòng ĐGTT.</t>
  </si>
  <si>
    <t>Tham gia góp ý, xây dựng, cập nhật, tu chỉnh các Quy chế, Quy định, Quy trình và Hướng dẫn nghiệp vụ định giá tài sản bảo đảm trong toàn hàng.</t>
  </si>
  <si>
    <t>Phân bổ đều cho chi nhánh</t>
  </si>
  <si>
    <t>Xây dựng Bộ tài liệu Định giá, giám sát định giá</t>
  </si>
  <si>
    <t>Xây dựng các chính sách, công cụ, Quy chế, Quy định, Quy trình và Hướng dẫn  liên quan đến nghiệp vụ định giá trong toàn hàng.</t>
  </si>
  <si>
    <t>Khác_HTKDHS</t>
  </si>
  <si>
    <t>HTKDHS</t>
  </si>
  <si>
    <t>PHÒNG HỖ TRỢ KINH DOANH HS</t>
  </si>
  <si>
    <t>50</t>
  </si>
  <si>
    <t>Phối hợp với các Phòng nghiệp vụ liên quan thực hiện kiểm kê định kỳ các hồ sơ TSBĐ lưu giữ tại Kho quỹ Hội sở. Thực hiện các báo cáo định kỳ/đột xuất liên quan đến quản lý mảng quản lý TSBĐ.</t>
  </si>
  <si>
    <t>Tổ chức hoạt động quản lý TSBĐ trong toàn hàng và thực hiện quản lý TSBĐ theo thẩm quyền.</t>
  </si>
  <si>
    <t xml:space="preserve">Giám sát và đánh giá chất lượng công tác quản lý TSBĐ. </t>
  </si>
  <si>
    <t>Thực hiện quản lý tài sản bảo đảm theo thẩm quyền.</t>
  </si>
  <si>
    <t>Đầu mối tiếp nhận các hồ sơ phát sinh từ các ĐVKD, có ý kiến và trình các cấp có thẩm quyền phê duyệt.</t>
  </si>
  <si>
    <t>Xây dựng cơ chế phối hợp, xử lý các phát sinh liên quan đến hoạt động quản lý TSBĐ một cách xuyên suốt.</t>
  </si>
  <si>
    <t>Tổ chức công tác Quản lý tài sản bảo đảm hiệu quả và thống nhất trong toàn hệ thống</t>
  </si>
  <si>
    <t>Nhận diện, cảnh báo rủi ro kịp thời liên quan đến hoạt động kinh doanh của ĐVKD, đề xuất biện pháp phòng ngừa, kiểm soát rủi ro hiệu quả.</t>
  </si>
  <si>
    <t>Tổ chức triển khai thực hiện công tác Hỗ trợ kinh doanh trong toàn hệ thống và Giám sát tuân thủ các điều kiện cấp tín dụng trước, trong và sau giải ngân.</t>
  </si>
  <si>
    <t>Hỗ trợ ĐVKD tổng hợp/thực hiện các báo cáo liên quan đến hoạt động tín dụng theo quy định của SCB.</t>
  </si>
  <si>
    <t>Lưu trữ, bảo quản hồ sơ cấp tín dụng theo quy định.</t>
  </si>
  <si>
    <t>Thực hiện giám sát và cảnh báo cho ĐVKD về tình chất lượng tín dụng.</t>
  </si>
  <si>
    <t>Giám sát và đánh giá chất lượng công tác HTKD trong toàn hàng.</t>
  </si>
  <si>
    <t>Đầu mối tiếp nhận, xử lý các hồ sơ phát sinh từ các ĐVKD, có ý kiến và trình các cấp có thẩm quyền phê duyệt.</t>
  </si>
  <si>
    <t>Xây dựng cơ chế phối hợp, xử lý các phát sinh liên quan đến hoạt động hỗ trợ kinh doanh một cách xuyên suốt.</t>
  </si>
  <si>
    <t>Giám sát, nhắc nhở ĐVKD về việc tuân thủ các điều kiện sau giải ngân.</t>
  </si>
  <si>
    <t>Giám sát tình hình thực hiện các điều kiện cấp tín dụng theo phê duyệt sau giải ngân, gửi kết quả kiểm tra cho Lãnh đạo ĐVKD để phối hợp theo dõi, quản lý Khách hàng (định kỳ/đột xuất).</t>
  </si>
  <si>
    <t xml:space="preserve">Định kỳ gửi thông tin nợ đến hạn, thông tin đến hạn điều chỉnh lãi suất cho ĐVKD. </t>
  </si>
  <si>
    <t>Hỗ trợ ĐVKD tính lãi, phí khi Khách hàng thanh toán nợ cho SCB.</t>
  </si>
  <si>
    <t>Thực hiện các thủ tục đăng ký nguồn, giải ngân và hạch toán nghiệp vụ tiền vay theo quy định.</t>
  </si>
  <si>
    <t>Lập thủ tục nhập TSBĐ theo quy định của SCB trình cấp thẩm quyền phê duyệt.</t>
  </si>
  <si>
    <t>Thực hiện soạn thảo các văn bản, hợp đồng, mẫu biểu liên quan đến tín dụng; tiến hành công chứng thế chấp, đăng ký giao dịch bảo đảm, phong tỏa và các thủ tục TSBĐ khác theo đúng quy định trước khi cấp tín dụng.</t>
  </si>
  <si>
    <t>Kiểm tra tính tuân thủ trong việc giải ngân, phát hành bảo lãnh và các nghiệp vụ tín dụng liên quan khác tương ứng với các chính sách, quy định, quy trình của SCB.</t>
  </si>
  <si>
    <t>Kiểm tra tình hình thực hiện các điều kiện cấp tín dụng theo phê duyệt trước giải ngân.</t>
  </si>
  <si>
    <t>Khác_ĐGTT</t>
  </si>
  <si>
    <t>PHÒNG ĐỊNH GIÁ TRỰC TIẾP</t>
  </si>
  <si>
    <t>14</t>
  </si>
  <si>
    <t>CN/XLN&amp;KTTS</t>
  </si>
  <si>
    <t>Thực hiện công tác định giá tài sản phục vụ mục đích tham khảo xử lý nợ của khách hàng</t>
  </si>
  <si>
    <t>Tổ chức tái định giá TSBĐ theo quy định trong từng thời kỳ hoặc các hồ sơ phát sinh theo yêu cầu của cấp có thẩm quyền.</t>
  </si>
  <si>
    <t>Thực hiện công tác định giá tài sản phục vụ mục đích tham khảo cấp tín dụng cho khách hàng</t>
  </si>
  <si>
    <t>Hỗ trợ các hoạt động: tiếp nhận và phân bổ hồ sơ, theo dõi tiến độ, báo cáo thống kê và các việc hỗ trợ khác.</t>
  </si>
  <si>
    <t>Tổ chức định giá trực tiếp TSBĐ đối với hồ sơ định giá phát sinh của toàn hệ thống và các hồ sơ định giá khác theo phân công của Tổng Giám đốc.</t>
  </si>
  <si>
    <t>Giám sát, thúc đẩy, đảm bảo hồ sơ được giải quyết đúng tiến độ, đúng chất lượng và đảm bảo phù hợp với quy trình, quy định; tổng hợp số liệu liên quan đến công tác định giá của các cán bộ định giá.</t>
  </si>
  <si>
    <t>Tham gia xây dựng, cập nhật và hoàn thiện chương trình định giá tài sản (tin học hóa) phục vụ công tác định giá TSBĐ, hướng dẫn sử dụng chương trình định giá tài sản.</t>
  </si>
  <si>
    <t>Đề xuất giá đất cơ sở và các hệ số khác phục vụ cho công tác định giá TSBĐ (nếu có) tại các tỉnh/thành phố để áp dụng trong công tác định giá TSBĐ.</t>
  </si>
  <si>
    <t>Phối hợp, hỗ trợ các Đơn vị giải quyết các vấn đề liên quan đến hoạt động định giá TSBĐ.</t>
  </si>
  <si>
    <t>Đề xuất, có ý kiến về giá trị tài sản đối với các trường hợp sử dụng dịch vụ thẩm định giá của đối tác bên ngoài khi có yêu cầu từ Phòng CS &amp; GSĐG.</t>
  </si>
  <si>
    <t>Đề xuất, có ý kiến về giá trị tài sản đối với các trường hợp sử dụng dịch vụ tư vấn giá trị tài sản của đối tác bên ngoài</t>
  </si>
  <si>
    <t>Đề xuất, có ý kiến về giá trị tài sản đối với các trường hợp sử dụng dịch vụ tư vấn giá trị tài sản của đối tác bên ngoài.</t>
  </si>
  <si>
    <t>Phối hợp Phòng CS &amp; GSĐG đối với các trường hợp sử dụng dịch vụ tư vấn giá trị tài sản, thẩm định giá của đối tác bên ngoài</t>
  </si>
  <si>
    <t>Phối hợp Phòng CS&amp;GSĐG đối với các trường hợp sử dụng dịch vụ tư vấn giá trị tài sản, thẩm định giá của đối tác bên ngoài.</t>
  </si>
  <si>
    <t>Thu thập thông tin, hệ thống hóa và đề xuất Bảng giá đất tại các địa bàn và các chính sách liên quan đến công tác định giá tại các địa bàn (đối với các loại đất có tính đặc thù).</t>
  </si>
  <si>
    <t>Triển khai và kiểm soát việc thực hiện các Quy chế, Quy định, Quy trình và Hướng dẫn liên quan đến nghiệp vụ định giá trong toàn hàng.</t>
  </si>
  <si>
    <t>*Hỗ trợ nhà ở: CN Nghệ An, Cần Thơ
* Tôm-cá tra, cho vay đặc biệt, thống kê quan hệ với các NH: phân bổ đều cho các đơn vị KD
* Hạn mức giao dịch: P.KDTT</t>
  </si>
  <si>
    <t xml:space="preserve">số lượng báo cáo thực hiện </t>
  </si>
  <si>
    <t>Báo cáo NHNN (báo cáo tháng: cho vay hỗ trợ nhà ở. Báo cáo quý gồm: HTNO, tôm-cá tra, cho vay đặc biệt, hạn mức giao dịch. Báo áo 06 tháng: thống kê quan hệ với các NH)</t>
  </si>
  <si>
    <t>Khác_ĐCTC</t>
  </si>
  <si>
    <t>PHÒNG ĐỊNH CHẾ TÀI CHÍNH</t>
  </si>
  <si>
    <t>11</t>
  </si>
  <si>
    <t>KHỐI KINH DOANH TIỀN TỆ</t>
  </si>
  <si>
    <t>C</t>
  </si>
  <si>
    <t>Dư nợ cho vay Hỗ trợ nhà ở</t>
  </si>
  <si>
    <t>Tín dụng</t>
  </si>
  <si>
    <t>CN Nghệ An và Cần Thơ</t>
  </si>
  <si>
    <t>12 tháng</t>
  </si>
  <si>
    <t>Theo dõi trả nợ các khoản vay tái cấp vốn hỗ trợ nhà ở</t>
  </si>
  <si>
    <t>Lập kế hoạch, chương trình tiếp thị các định chế tài chính nhằm cung cấp các sản phẩm dịch vụ của SCB cho các định chế tài chính</t>
  </si>
  <si>
    <t>Đầu mối phát triển kinh doanh với các định chế tài chính.</t>
  </si>
  <si>
    <t>Liên kết với các định chế tài chính nhằm nâng cao chất lượng các sản phẩm dịch vụ của SCB hoặc gia tăng các tiện ích cộng thêm cung cấp cho các Khách hàng của SCB.</t>
  </si>
  <si>
    <t>phân bổ đều cho các đơn vị KD</t>
  </si>
  <si>
    <t>UPAS L/C, Confirm L/C, Standby L/C cho Visa và Master, hợp đồng ISDA</t>
  </si>
  <si>
    <t>Theo thực tế phát sinh</t>
  </si>
  <si>
    <t>Số lượng dịch vụ cung cấp</t>
  </si>
  <si>
    <t>Tìm kiếm các cơ hội hợp tác với đối tác và ký kết các dịch vụ mà đối tác ĐCTC cung cấp cho SCB</t>
  </si>
  <si>
    <t>Đầu mối tìm kiếm và tham mưu cho Ban Điều hành sử dụng các sản phẩm dịch vụ, các tiện ích hay dịch vụ hỗ trợ của các định chế tài chính phục vụ cho hoạt động kinh doanh, phát triển sản phẩm mới cho SCB.</t>
  </si>
  <si>
    <t xml:space="preserve">Theo thực tế phát sinh </t>
  </si>
  <si>
    <t>Số lần cung cấp thông tin cho các đơn vị</t>
  </si>
  <si>
    <t xml:space="preserve">Cung cấp thông tin các ĐCTC nước ngoài cho các đơn vị SCB khi có yêu cầu. </t>
  </si>
  <si>
    <t>Lưu trữ hồ sơ quan hệ đại lý, quan hệ định chế tài chính</t>
  </si>
  <si>
    <t>Thiết lập, duy trì và phát triển quan hệ hợp tác với các định chế tài chính trong và ngoài nước.</t>
  </si>
  <si>
    <t>Làm đầu mối phối hợp với các định chế tài chính nhằm khai thác các chương trình đào tạo, tập huấn phục vụ cho nhu cầu đào tạo của SCB</t>
  </si>
  <si>
    <t>Phối hợp với các Phòng Hội sở liên quan tham mưu cho Ban Điều hành trong việc ban hành biểu phí dịch vụ áp dụng cho các định chế tài chính.</t>
  </si>
  <si>
    <t>Theo thực tế phát sinh tại các đơn vị</t>
  </si>
  <si>
    <t>Thanh toán quốc tế</t>
  </si>
  <si>
    <t>theo thực tế phát sinh</t>
  </si>
  <si>
    <t>Số lần thực hiện thẩm định</t>
  </si>
  <si>
    <t>Thẩm định, xếp hạng tín nhiệm cho các ĐCTC để thực hiện giao dịch chiết khấu bộ chứng từ</t>
  </si>
  <si>
    <t>Phân tích, đánh giá định chế tài chính để xác lập và quản lý các hạn mức tín dụng, giao dịch vốn, ngoại hối giữa SCB và định chế tài chính.</t>
  </si>
  <si>
    <t>P.KDTT: 50%
P.KDNH: 50%</t>
  </si>
  <si>
    <t>P.KDTT, KDNH</t>
  </si>
  <si>
    <t>Xét cấp cho 73 ĐCTC</t>
  </si>
  <si>
    <t>Thẩm định, xếp hạng tín nhiệm và cấp hạn mức giao dịch cho các ĐCTC để thực hiện giao dịch MM, FX</t>
  </si>
  <si>
    <t>4 món</t>
  </si>
  <si>
    <t>số lần thanh toán trong năm</t>
  </si>
  <si>
    <t>Thanh toán phí dịch vụ cho đối tác hàng năm</t>
  </si>
  <si>
    <t>Đánh giá, đàm phán các mức phí nhằm đảm bảo sử dụng hiệu quả các tài khoản Nostro.</t>
  </si>
  <si>
    <t>số lần thực hiện</t>
  </si>
  <si>
    <t>Quản lý các tài khoản Nostro (báo ngày nghỉ thanh toán, cung cấp statement cuối năm phục vụ kiểm toán…)</t>
  </si>
  <si>
    <t>Đầu mối và phối hợp với các Phòng Hội sở liên quan nghiên cứu trình TGĐ quyết định việc mở, duy trì, đóng và quản lý hồ sơ tài khoản Nostro của SCB tại các Ngân hàng đại lý ở nước ngoài.</t>
  </si>
  <si>
    <t>P.KDNH: 50%
CN &amp; PGD: 50%</t>
  </si>
  <si>
    <t>P.KDNH, , các CN và PGD</t>
  </si>
  <si>
    <t>Xét cấp cho 10 ĐCTC</t>
  </si>
  <si>
    <t>Thẩm định, xếp hạng tín nhiệm cho các ĐCTC có tk Nostro</t>
  </si>
  <si>
    <t>KHDN, KHCN</t>
  </si>
  <si>
    <t xml:space="preserve">Số lần cung cấp thông tin các loại cho đối tác </t>
  </si>
  <si>
    <t xml:space="preserve">
Cung cấp thông tin khách hàng của SCB phục vụ công tác phòng chống rửa tiền của đối tác</t>
  </si>
  <si>
    <t>Đầu mối cập nhật, cung cấp thông tin cho các định chế tài chính; đầu mối tiếp nhận, xử lý yêu cầu của các định chế tài chính.</t>
  </si>
  <si>
    <t>* P.KDTT: 35%
* P.KDNH: 35%
* CN, PGD: 30%</t>
  </si>
  <si>
    <t>Kinh doanh ngoại hối, HMGD các đối tác cấp, thanh toán quốc tế</t>
  </si>
  <si>
    <t>P.KDNH, P.KDTT, các CN và PGD</t>
  </si>
  <si>
    <t>số lần cung cấp thông tin</t>
  </si>
  <si>
    <t>Trả lời KYC/AML questionnaire của đối tác, cung cấp các thông tin cần thiết phục vụ quá trình thẩm định của đối tác hoặc phục vụ việc phát triển kinh doanh với đối tác.</t>
  </si>
  <si>
    <t>Xây dựng và quản lý hệ thống thông tin về các định chế tài chính.</t>
  </si>
  <si>
    <t>Đầu mối trong việc đánh giá các mối quan hệ hợp tác với các định chế tài chính.</t>
  </si>
  <si>
    <t>Doanh số thông báo L/C, doanh số L/C cần xác thực.</t>
  </si>
  <si>
    <t>thông báo L/C, xác thực L/C, xác thực chữ ký hữu quyền, các thông báo khác từ đối tác</t>
  </si>
  <si>
    <t>các CN và PGD</t>
  </si>
  <si>
    <t>thực hiện trong năm</t>
  </si>
  <si>
    <t>Quản lý quan hệ RMA với các ĐCTC có quan hệ Swiftkey theo chuẩn an toàn của Swift</t>
  </si>
  <si>
    <t>Tham mưu cho Ban Điều hành trong việc thiết lập, duy trì, phát triển hay chấm dứt quan hệ hợp tác với các định chế tài chính trong và ngoài nước.</t>
  </si>
  <si>
    <t>ĐCTC, KHDN, KHCN</t>
  </si>
  <si>
    <t>Xây dựng quan hệ, chăm sóc và phát triển quan hệ với ĐCTC có quan hệ liên ngân hàng</t>
  </si>
  <si>
    <t xml:space="preserve"> Dự án Treasury </t>
  </si>
  <si>
    <t>Dự án Treasury</t>
  </si>
  <si>
    <t>Vận hành Core Treasury</t>
  </si>
  <si>
    <t>Khác_PT&amp;GSHĐKDTT</t>
  </si>
  <si>
    <t>PT&amp;GSHĐKDTT</t>
  </si>
  <si>
    <t>PHÒNG PHÂN TÍCH VÀ GIÁM SÁT HOẠT ĐỘNG KDTT</t>
  </si>
  <si>
    <t>12</t>
  </si>
  <si>
    <t>Hỗ trợ điều chỉnh các báo cáo sẵn có trên hệ thống khi có sai sót</t>
  </si>
  <si>
    <t>Theo dõi và đánh giá khách quan các kết quả kinh doanh từ các phòng thuộc Khối Kinh doanh tiền tệ.</t>
  </si>
  <si>
    <t xml:space="preserve">Nghiên cứu, đề xuất phương án tự động hóa báo cáo của Khối KDTT trên hệ thống. </t>
  </si>
  <si>
    <t>Xây dựng các báo cáo kiểm tra chéo và đánh giá tình hình hoạt động kinh doanh của Khối KDTT.</t>
  </si>
  <si>
    <t>Đề xuất các biện pháp hạn chế rủi ro trong hoạt động kinh doanh tiền tệ</t>
  </si>
  <si>
    <t>Xây dựng phương án quản trị rủi ro trên cơ sở cân đối giữa rủi ro và lợi nhuận.</t>
  </si>
  <si>
    <t>Định lượng mức độ rủi ro tối đa của từng nghiệp vụ kinh doanh thuộc Khối KDTT.</t>
  </si>
  <si>
    <t xml:space="preserve">Xác định rủi ro của các phương án kinh doanh thuộc Khối KDTT. </t>
  </si>
  <si>
    <t xml:space="preserve">Tham gia đóng góp ý kiến xây dựng các sản phẩm mới của Khối KDTT. </t>
  </si>
  <si>
    <t xml:space="preserve"> KDNH :50%
KDTT :50% </t>
  </si>
  <si>
    <t>KDNH, KDTT</t>
  </si>
  <si>
    <t>VB pháp luật</t>
  </si>
  <si>
    <t>Cập nhật các văn bản quy phạm pháp luật liên quan đến hoạt động KDTT</t>
  </si>
  <si>
    <t>Cập nhật các văn bản pháp luật có hiệu lực, sắp ban hành có ảnh hưởng đến hoạt động kinh doanh tiền tệ</t>
  </si>
  <si>
    <t>Xây dựng và phát triển hoạt động phân tích, đánh giá tình hình thị trường tiền tệ trong và ngoài nước.</t>
  </si>
  <si>
    <t>Chỉ tiêu kinh tế</t>
  </si>
  <si>
    <t>Phân tích báo cáo tài chính hệ thống các ngân hàng</t>
  </si>
  <si>
    <t>Theo dõi hoạt động liên Ngân hàng hỗ trợ phân tích xu hướng hành vi của thị trường.</t>
  </si>
  <si>
    <t>Xây dựng các bản tin thị trường tiền tệ, báo cáo kinh tế vĩ mô cập nhật cho các Phòng liên quan.</t>
  </si>
  <si>
    <t xml:space="preserve">Xây dựng data kinh tế vĩ mô, thị trường tài chính theo định kỳ dữ liệu </t>
  </si>
  <si>
    <t>Xây dựng cơ sở dữ liệu kinh tế vĩ mô, thị trường tài chính, tiền tệ trong và ngoài nước.</t>
  </si>
  <si>
    <t xml:space="preserve">Bản tin </t>
  </si>
  <si>
    <t>Phân tích và dự báo tình hình thị trường tiền tệ hàng năm</t>
  </si>
  <si>
    <t>Phân tích, dự báo xu hướng của thị trường tiền tệ hỗ trợ cho hoạt động kinh doanh của Khối KDTT.</t>
  </si>
  <si>
    <t>Phân tích và dự báo tình hình thị trường tiền tệ hàng quý</t>
  </si>
  <si>
    <t>Phân tích và dự báo tình hình thị trường tiền tệ hàng tháng.</t>
  </si>
  <si>
    <t>Phân tích và dự báo tình hình thị trường tiền tệ hàng tuần</t>
  </si>
  <si>
    <t>Cập nhật tình hình thị trường tài chính tiền tệ hàng ngày</t>
  </si>
  <si>
    <t xml:space="preserve"> SCB</t>
  </si>
  <si>
    <t>số lần tham dự họp</t>
  </si>
  <si>
    <t>Tham gia họp ALCO</t>
  </si>
  <si>
    <t>Khác_KDTT</t>
  </si>
  <si>
    <t>PHÒNG KINH DOANH TIỀN TỆ</t>
  </si>
  <si>
    <t>10</t>
  </si>
  <si>
    <t>Phòng đầu mối</t>
  </si>
  <si>
    <t>Tham gia góp ý các quy trình của các Phòng Hội sở SCB</t>
  </si>
  <si>
    <t>CCTG ngắn hạn</t>
  </si>
  <si>
    <t>HT ALCO, SPDVPTD</t>
  </si>
  <si>
    <t>số lần tham gia</t>
  </si>
  <si>
    <t>Tham gia góp ý, xây dựng các sản phẩm, chính sách  của SCB.</t>
  </si>
  <si>
    <t>Phiếu điều tra Xu hướng tín dụng - NHNN theo yêu cầu của P.KHDN</t>
  </si>
  <si>
    <t>50% - 50%</t>
  </si>
  <si>
    <t>Đầu tư TPCP</t>
  </si>
  <si>
    <t>KDTT, QTNV</t>
  </si>
  <si>
    <t>số lần thay đổi chữ ký số</t>
  </si>
  <si>
    <t>Theo dõi hiệu lực chữ ký số giao dịch với NHNN, HNX, VSD để thực hiện gia hạn</t>
  </si>
  <si>
    <t>số văn bản</t>
  </si>
  <si>
    <t>Tham gia góp ý các văn bản pháp luật theo yêu cầu của cơ quan quản lý, Hiệp hội thị trường trái phiếu VN</t>
  </si>
  <si>
    <t xml:space="preserve">doanh số </t>
  </si>
  <si>
    <t>giao dịch đổi tiền mặt chuyển khoản</t>
  </si>
  <si>
    <t>Số hợp đồng và số ngoại tệ giao dịch</t>
  </si>
  <si>
    <t>Thực hiện các giao dịch đổi tiền mặt - chuyển khoản, và giao dịch đổi chuyển khoản - chuyển khoản nhằm hỗ trợ công tác điều chuyển vốn nội bộ SCB (theo đề nghị của P.QTNV).</t>
  </si>
  <si>
    <t>Thực hiện nghiệp vụ chuyển đổi tiền mặt sang chuyển khoản và ngược lại với các Tổ chức Tín dụng khác theo yêu cầu của HĐ ALCO và các Đơn vị có liên quan</t>
  </si>
  <si>
    <t>Thực hiện các giao dịch trên thị trường tiền tệ và thị trường trái phiếu theo nhu cầu của Ngân hàng, yêu cầu của HĐ ALCO.</t>
  </si>
  <si>
    <t>Thực hiện nghiệp vụ chuyển đổi tiền mặt sang chuyển khoản và ngược lại với các Tổ chức Tín dụng khác theo yêu cầu của HĐ ALCO và các Đơn vị có liên quan.</t>
  </si>
  <si>
    <t>Thực hiện các giao dịch vốn trên thị trường liên Ngân hàng, giao dịch trái phiếu và giao dịch trên thị trường mở theo yêu cầu của HĐ ALCO và các Đơn vị có liên quan nhằm đảm bảo thanh khoản và các hệ số an toàn của SCB.</t>
  </si>
  <si>
    <t>Đầu tư GTCG</t>
  </si>
  <si>
    <t>Thực hiện đầu tư GTCG do TCTD khác phát hành phục vụ nhu cầu các đơn vị khác</t>
  </si>
  <si>
    <t>Thực hiện các giao dịch vốn trên thị trường liên ngân hàng, giao dịch trái phiếu và giao dịch trên thị trường mở theo yêu cầu của HĐ ALCO và các Đơn vị có liên quan nhằm đảm bảo thanh khoản và các hệ số an toàn của Ngân hàng.</t>
  </si>
  <si>
    <t>số lần quote giá</t>
  </si>
  <si>
    <t>Quote giá và theo dõi giao dịch TPCP hàng ngày trên room tạo lập thị trường do VBMA tổ chức</t>
  </si>
  <si>
    <t>Quote giá trên hệ thống Yield Curve của HNX hàng ngày</t>
  </si>
  <si>
    <t>Quote giá TPCP cam kết chắc chắn trên HNX</t>
  </si>
  <si>
    <t xml:space="preserve">số lần thực hiện </t>
  </si>
  <si>
    <t>Hạch toán việc chuyển lưu kí TPCP,.. Trên hệ thống giao dịch HNX phục vụ nhu cầu ĐTTK theo đề nghị của P.QTNV</t>
  </si>
  <si>
    <t>TCTD</t>
  </si>
  <si>
    <t>giao dịch liên ngân hàng</t>
  </si>
  <si>
    <t>HT ALCO</t>
  </si>
  <si>
    <t>số lần báo cáo</t>
  </si>
  <si>
    <t>Cung cấp lãi suất LNH hàng ngày cho P.HT ALCO</t>
  </si>
  <si>
    <t>Báo cáo tình hình tuân thủ hạn mức theo quy định hiện hành của SCB</t>
  </si>
  <si>
    <t>Đề xuất hạn mức và kiểm soát các giao dịch kinh doanh phát sinh.</t>
  </si>
  <si>
    <t>P.HT ALCO</t>
  </si>
  <si>
    <t>Báo cáo P.HT ALCO danh mục TPCP theo Thông tư 35</t>
  </si>
  <si>
    <t>Kiểm soát hạn mức đối tác/hạn mức giao dịch/hạn mức kinh doanh/... của Phòng/CBNV Phòng, mức ký quỹ đối với các giao dịch phát sinh.</t>
  </si>
  <si>
    <t>Đề xuất các hạn mức giao dịch/hạn mức kinh doanh/... cho CBNV các cấp có liên quan đến hoạt động kinh doanh tiền tệ.</t>
  </si>
  <si>
    <t>RRVH</t>
  </si>
  <si>
    <t>Báo cáo chỉnh sửa sau thanh tra</t>
  </si>
  <si>
    <t>Theo dõi, đánh giá, báo cáo tình hình thực hiện và có đề xuất phù hợp</t>
  </si>
  <si>
    <t>Xây dựng và phát triển sản phẩm tiền tệ, trái phiếu và sản phẩm phái sinh có liên quan kinh doanh tiền tệ.</t>
  </si>
  <si>
    <t>TCKH, KTNB</t>
  </si>
  <si>
    <t>Số lần cung cấp</t>
  </si>
  <si>
    <t>Cung cấp tình hình hoạt động kinh doanh hàng tháng cho P.TCKH, KTNB</t>
  </si>
  <si>
    <t>Báo cáo rủi ro vận hành theo TT 35</t>
  </si>
  <si>
    <t>giao dịch liên ngân hàng, đầu tư TPCP</t>
  </si>
  <si>
    <t>Báo cáo nhanh cho P.TCKH về tình hình gd LNH, TPCP</t>
  </si>
  <si>
    <t>Báo cáo thông tư 31 báo cáo đầu tư giấy tờ có giá do các TCTD khác phát hành (theo yêu cầu của P.KHDN)</t>
  </si>
  <si>
    <t>Báo cáo Năm về hoạt động tham gia thị trường trái phiếu của thành viên đấu thầu và đề nghị xét gia hạn thành viên cho năm sau.</t>
  </si>
  <si>
    <t xml:space="preserve">Báo cáo Quý về hoạt động tham gia thị trường trái phiếu của thành viên đấu thầu </t>
  </si>
  <si>
    <t>Báo cáo thường niên</t>
  </si>
  <si>
    <t>Báo cáo tài chính bán niên và năm</t>
  </si>
  <si>
    <t>Báo cáo hoạt động kinh doanh TPCP năm.</t>
  </si>
  <si>
    <t>Báo cáo hoạt động kinh doanh TPCP tháng.</t>
  </si>
  <si>
    <t>RRTT</t>
  </si>
  <si>
    <t>Cung cấp số liệu về thu nhập coupon TPCP hàng ngày cho P.QLRRTT</t>
  </si>
  <si>
    <t>Báo cáo thu nhập đến hết ngày 24 và dự báo thu nhập TPCP đến cuối tháng (gửi TCKH)</t>
  </si>
  <si>
    <t>Đánh giá danh mục TPCP theo giá thị trường theo yêu cầu của P.TCKH (hàng tháng)</t>
  </si>
  <si>
    <t>QTNV, RRTT, TNKDTT</t>
  </si>
  <si>
    <t>Danh mục TPCP hàng ngày cho các phòng ban liên quan (QTNV, RRTT, TNKDTT)</t>
  </si>
  <si>
    <t>Cập nhật lãi suất LNH hàng ngày trên Reuters</t>
  </si>
  <si>
    <t>TN KDTT, RRTT, QTNV, ALCO</t>
  </si>
  <si>
    <t>Sao kê LNH đầu ngày</t>
  </si>
  <si>
    <t>Cung cấp số liệu (liên ngân hàng và đầu tư TPCP) tự doanh cho P.QTNV</t>
  </si>
  <si>
    <t>Báo cáo lãi suất chào trên thị trường liên ngân hàng theo Thông tư 35</t>
  </si>
  <si>
    <t>Thực hiện các thủ tục xin phép cơ quan quản lý Nhà nước để triển khai sản phẩm KDTT theo đúng quy định của pháp luật hiện hành.</t>
  </si>
  <si>
    <t>Nghiên cứu và phát triển sản phẩm mới theo nhu cầu SCB, thị trường.</t>
  </si>
  <si>
    <t>GTCG dài hạn</t>
  </si>
  <si>
    <t>Số hợp đồng chuyển nhượng</t>
  </si>
  <si>
    <t>Theo dỏi, hỗ trợ đơn vị nộp thuế thu nhập cá nhân khi phát sinh các giao dịch chuyển nhượng Trái phiếu SCB của khách hàng tại đơn vị</t>
  </si>
  <si>
    <t>Lập kế hoạch xây dựng và phát triển sản phẩm theo nhu cầu SCB, thị trường.</t>
  </si>
  <si>
    <t>Theo dõi phát hành CCTG dài hạn 2018</t>
  </si>
  <si>
    <t>Tư vấn giao dịch mua lại TPSCB phát hành năm 2016</t>
  </si>
  <si>
    <t>Số sản phẩm</t>
  </si>
  <si>
    <t>Phối hợp với P.Data Warehouse thiết kế mẫu in Trái phiếu và CCTG SCB dài hạn</t>
  </si>
  <si>
    <t>Phối hợp với Phòng tiếp thị truyền thông thiết kế mẫu phôi Trái phiếu SCB và CCTG SCB dài hạn</t>
  </si>
  <si>
    <t xml:space="preserve">số sản phẩm </t>
  </si>
  <si>
    <t>Phối hợp với P.VH Core xây dựng sản phẩm công cụ nợ dài hạn trên hệ thống nhập liệu</t>
  </si>
  <si>
    <t>số lần đối chiếu sai lệch</t>
  </si>
  <si>
    <t>Phối hợp với P.TH&amp;PT _Khối Bán lẻ kiểm tra sai lệch số dư phát hành hoặc số dư duy trì GTCG dài hạn trong đợt triển khai với các đơn vị.</t>
  </si>
  <si>
    <t>số lần thông báo</t>
  </si>
  <si>
    <t>Phối hợp với P.TH&amp;PT thông báo đối chiếu kết quả chương trình thi đua phát hành CCTG dài hạn.</t>
  </si>
  <si>
    <t>lớp đào tạo</t>
  </si>
  <si>
    <t>Thực hiện đào tạo các đơn vị trong việc tư vấn khách hàng, hướng dẫn chuyển nhượng, giải đáp các vướng mắc của đơn vị</t>
  </si>
  <si>
    <t xml:space="preserve"> số chương trình</t>
  </si>
  <si>
    <t>Phối hợp với P.TH&amp;PT xây dựng chương trình thi đua của công cụ nợ dài hạn</t>
  </si>
  <si>
    <t>số lần  báo cáo</t>
  </si>
  <si>
    <t>Báo cáo tình hình phát hành Trái phiếu dài hạn của SCB tại thời điểm báo cáo, kế hoạch phát hành thêm trong thời gian tới (nếu có)</t>
  </si>
  <si>
    <t>Báo cáo v/v phát hành Trái phiếu SCB để tăng vốn cấp 2</t>
  </si>
  <si>
    <t>Báo cáo tình hình mua lại, trả nợ GTCG trước thời gian đáo hạn</t>
  </si>
  <si>
    <t>Báo cáo sau khi đến hạn thanh toán toàn bộ gốc, lãi Trái phiếu</t>
  </si>
  <si>
    <t>Báo cáo định kỳ về tình hình thanh toán gốc, lãi cho đến khi Trái phiếu đến hạn</t>
  </si>
  <si>
    <t>Báo cáo mua lại Trái phiếu</t>
  </si>
  <si>
    <t>Báo cáo phát hành GTCG dài hạn</t>
  </si>
  <si>
    <t>doanh số chuyển nhượng</t>
  </si>
  <si>
    <t>Tư vấn, hỗ trợ đơn vị thực hiện giao dịch chuyển nhượng GTCG dài hạn</t>
  </si>
  <si>
    <t>số dư phát hành</t>
  </si>
  <si>
    <t>1 sản phẩm</t>
  </si>
  <si>
    <t>Xây dựng sản phẩm công cụ nợ dài hạn để tăng vốn cấp 2</t>
  </si>
  <si>
    <t>Xây dựng, điều chỉnh và quản lý cơ cấu danh mục giấy tờ có giá phù hợp với kế hoạch và tình hình hoạt động kinh doanh nhằm nâng cao hiệu quả hoạt động của SCB</t>
  </si>
  <si>
    <t>Kinh doanh trên thị trường liên ngân hàng và kinh doanh/đầu tư chứng khoán nợ.</t>
  </si>
  <si>
    <t>Thực hiện hoạt động kinh doanh các loại chứng khoán nợ trong phạm vi hạn mức được phê duyệt.</t>
  </si>
  <si>
    <t>Thực hiện hoạt động kinh doanh trên thị trường liên Ngân hàng trong phạm vi hạn mức được phê duyệt.</t>
  </si>
  <si>
    <t>Xây dựng chiến lược kinh doanh tiền tệ trên cơ sở cân đối lợi nhuận và rủi ro.</t>
  </si>
  <si>
    <t>Số lượng báo cáo
 có liên quan</t>
  </si>
  <si>
    <t>CN, TNKDTT, 
KT, BCTK</t>
  </si>
  <si>
    <t>Số lượng 
báo cáo</t>
  </si>
  <si>
    <t>Báo cáo ngân hàng nhà nước</t>
  </si>
  <si>
    <t>Khác_KDNH</t>
  </si>
  <si>
    <t>PHÒNG KINH DOANH NGOẠI HỐI</t>
  </si>
  <si>
    <t>09</t>
  </si>
  <si>
    <t>Số lần đào tạo</t>
  </si>
  <si>
    <t>Đào tạo tập huấn nghiệp vụ ngoại hối cho các đơn vị</t>
  </si>
  <si>
    <t>Số lượng giao dịch
 thành công</t>
  </si>
  <si>
    <t>Số giao dịch ngoại hối, vàng toàn hàng</t>
  </si>
  <si>
    <t>Hỗ trợ nguồn ngoại tệ, giám sát hoạt động kinh doanh ngoại hối toàn hàng</t>
  </si>
  <si>
    <t>Số giao dịch thực hiện theo yêu cầu</t>
  </si>
  <si>
    <t>Thực hiện theo yêu cầu của QTN để hỗ trợ thanh khoản ngân hàng</t>
  </si>
  <si>
    <t>Quản lý và phát triển mạng lưới Đại lý thu đổi ngoại tệ theo kế hoạch chung của SCB và chủ trương chung của NHNN</t>
  </si>
  <si>
    <t>Quản lý, kiểm soát hoạt động kinh doanh các sản phẩm ngoại tệ, vàng và phái sinh ngoại hối trong toàn hệ thống</t>
  </si>
  <si>
    <t>Quản lý và kiểm soát các hoạt động kinh doanh ngoại hối của SCB đảm bảo trạng thái ngoại tệ, vàng trên toàn hệ thống tuân thủ theo đúng quy định của SCB và của NHNN.</t>
  </si>
  <si>
    <t>Thực hiện kinh doanh ngoại tệ, vàng và các sản phẩm phái sinh ngoại hối theo yêu cầu của HĐ ALCO hoặc cấp có thẩm quyền nhằm mục đích quản lý sổ SCB</t>
  </si>
  <si>
    <t>Thực hiện kinh doanh ngoại tệ, vàng và các sản phẩm phái sinh ngoại hối trong phạm vi hạn mức được phê duyệt nhằm đem lại lợi nhuận cho SCB hoặc theo yêu cầu của HĐ ALCO/cấp có thẩm quyền nhằm đảm bảo thanh khoản.</t>
  </si>
  <si>
    <t>Thực hiện việc xác nhận giao dịch phát sinh từ các nghiệp vụ kinh doanh ngoại tệ, vàng và các sản phẩm phái sinh ngoại hối.</t>
  </si>
  <si>
    <t>Thực hiện kinh doanh ngoại tệ, vàng và các sản phẩm phái sinh ngoại hối theo quy định NHNN và SCB nhằm mục đích lợi nhuận và điều phối trạng thái ngoại tệ, vàng trong toàn hệ thống.</t>
  </si>
  <si>
    <t>Giấy phép kinh doanh vàng, NH mới</t>
  </si>
  <si>
    <t>Sản phẩm 
vàng</t>
  </si>
  <si>
    <t>CN, HCQT</t>
  </si>
  <si>
    <t>Giấy phép</t>
  </si>
  <si>
    <t>Hỗ trợ xin phép mua bán vàng miếng, giấy phép hoạt động ngoại hối</t>
  </si>
  <si>
    <t>Thực hiện thủ tục xin phép cơ quan Nhà nước liên quan đến hoạt động kinh doanh ngoại hối: xuất nhập khẩu ngoại tệ, vàng</t>
  </si>
  <si>
    <t>Xây dựng, phát triển hoạt động kinh doanh các sản phẩm ngoại tệ, vàng và các sản phẩm phái sinh ngoại hối trong toàn hệ thống.</t>
  </si>
  <si>
    <t>Chịu trách nhiệm và là đầu mối phối hợp với các Phòng xây dựng, triển khai hoạt động thúc đẩy kinh doanh ngoại hối.</t>
  </si>
  <si>
    <t>Xây dựng hạn mức kinh doanh ngoại hối cho các Đơn vị trực thuộc SCB và hạn mức kinh doanh cho các CBNV các cấp liên quan kinh doanh ngoại hối.</t>
  </si>
  <si>
    <t>Số lượng đối tác 
SCB đang giao dịch</t>
  </si>
  <si>
    <t>CN, QTNV,
KD&amp;PTSPTTTM&amp;TTQT</t>
  </si>
  <si>
    <t>Số đối tác
 hiện có</t>
  </si>
  <si>
    <t>Duy trì, thiết lập quan hệ giao dịch với các 
ĐCTC trong nước và quốc tế</t>
  </si>
  <si>
    <t>Xây dựng kênh phân phối, tiếp thị bán các sản phẩm có liên quan đến ngoại tệ, vàng và các sản phẩm phái sinh ngoại hối trong toàn hệ thống.</t>
  </si>
  <si>
    <t>Số khách hàng tiếp thị thành công</t>
  </si>
  <si>
    <t>Số lần tiếp thị</t>
  </si>
  <si>
    <t>Tiếp thị khách hàng cá nhân, doanh nghiệp</t>
  </si>
  <si>
    <t>Số lượng 
giao dịch sỉ</t>
  </si>
  <si>
    <t>KHDN
KDCN</t>
  </si>
  <si>
    <t>Sản phẩm 
ngoại hối</t>
  </si>
  <si>
    <t>CN,
KD&amp;PTSPTTTM&amp;TTQT</t>
  </si>
  <si>
    <t>Giao dịch sỉ
thành công</t>
  </si>
  <si>
    <t>Xây dựng bảng tỷ giá, chào giá 
cho các đơn vị</t>
  </si>
  <si>
    <t>Xây dựng hệ thống tỷ giá giao dịch ngoại tệ, vàng cho toàn hệ thống.</t>
  </si>
  <si>
    <t>Nghiên cứu xây dựng, cải tiến và quản lý các sản phẩm ngoại tệ, vàng và phái sinh ngoại hối theo nhu cầu thị trường và chỉ đạo của TGĐ.</t>
  </si>
  <si>
    <t>Xây dựng cơ chế hỗ trợ các Đơn vị phát triển doanh số, lợi nhuận của từng sản phẩm ngoại tệ, vàng và phái sinh ngoại hối hiện có theo nhu cầu thị trường</t>
  </si>
  <si>
    <t xml:space="preserve">Xây dựng chiến lược kinh doanh ngoại tệ, vàng trên cơ sở cân đối lợi nhuận và rủi ro. </t>
  </si>
  <si>
    <t>Khác_BPĐPKHDN</t>
  </si>
  <si>
    <t>BPĐPKHDN</t>
  </si>
  <si>
    <t>BỘ PHẬN ĐIỀU PHỐI KHDN</t>
  </si>
  <si>
    <t>KHỐI DOANH NGHIỆP</t>
  </si>
  <si>
    <t>B</t>
  </si>
  <si>
    <t>Lập các báo cáo tổng hợp, nội bộ và bên ngoài liên quan đến hệ thống KPIs.</t>
  </si>
  <si>
    <t>Hỗ trợ vận hành hệ thống/chương trình quản lý KPIs nhân sự thuộc quản lý ngành dọc thuộc Khối trên toàn hệ thống</t>
  </si>
  <si>
    <t>Vận hành hệ thống/chương trình quản lý KPIs nhân sự thuộc quản lý ngành dọc thuộc Khối trên toàn hệ thống.</t>
  </si>
  <si>
    <t>Số lượng doanh nghiệp phải cung cấp thông tin ở đơn vị kinh doanh</t>
  </si>
  <si>
    <t>Số lượng công văn thực hiện</t>
  </si>
  <si>
    <t>- Cung cấp thông tin Doanh nghiệp cho cơ quan thuế và các cơ quan có thẩm quyền
- Cập nhật danh sách khách hàng cảnh báo</t>
  </si>
  <si>
    <t>Xây dựng các báo cáo phục vụ công tác hoạt động và quản trị thuộc Khối DN.</t>
  </si>
  <si>
    <t>Tổng hợp, phân tích và đánh giá tình hình thực hiện kế hoạch kinh doanh của Khối và các Đơn vị thuộc quản lý ngành dọc</t>
  </si>
  <si>
    <t>Số lượng PYC nhận được</t>
  </si>
  <si>
    <t>Phối hợp với phòng MIS xây dựng báo cáo phục vụ công tác quản trị của Khối DN</t>
  </si>
  <si>
    <t>Báo cáo giá trị các chỉ số rủi ro chính</t>
  </si>
  <si>
    <t>Báo cáo tình hình sử dụng sản phẩm, dịch vụ</t>
  </si>
  <si>
    <t>Báo cáo tình hình phát hành thẻ tín dụng Chủ doanh nghiệp, thẻ thanh toán quốc tế Doanh nghiệp</t>
  </si>
  <si>
    <t>Chi hộ lương</t>
  </si>
  <si>
    <t>DVKH</t>
  </si>
  <si>
    <t>Báo cáo chi hộ lương</t>
  </si>
  <si>
    <t>Nộp thuế điện tử</t>
  </si>
  <si>
    <t>Báo cáo danh sách Khách hàng thực hiện dịch vụ thanh toán điện tử dùng để nộp thuế</t>
  </si>
  <si>
    <t>TNT&amp;NHĐT</t>
  </si>
  <si>
    <t>Báo cáo BM 02 (số lượng máy Pos và ĐVCNT thuộc Khu vực TP HCM)</t>
  </si>
  <si>
    <t>Báo cáo TT35 BM061-TT (BÁO CÁO SỐ LƯỢNG MÁY ATM/POS/EFTPOS/EDC VÀ CÁC ĐƠN VỊ CHẤP NHẬN THẺ)</t>
  </si>
  <si>
    <t>Báo cáo BM 01 (số lượng máy Pos và ĐVCNT)</t>
  </si>
  <si>
    <t>Báo cáo doanh số giao dịch và đánh giá POS</t>
  </si>
  <si>
    <t>Tiền gửi</t>
  </si>
  <si>
    <t>Báo cáo rút, gửi hàng ngày</t>
  </si>
  <si>
    <t>Báo cáo vay trả nợ nước ngoài theo loại tiền vay</t>
  </si>
  <si>
    <t>Báo cáo vay trả nợ nước ngoài trung dài hạn</t>
  </si>
  <si>
    <t>Báo cáo vay trả nợ nước ngoài ngắn hạn</t>
  </si>
  <si>
    <t>Báo cáo tình hình cho vay đối với khu vực kinh tế tập thể</t>
  </si>
  <si>
    <t>- KHDN
- KHCN
- TCTD</t>
  </si>
  <si>
    <t>Phiếu điều tra xu hướng tín dụng</t>
  </si>
  <si>
    <t>Báo cáo kết quả xử lý chủ đầu tư đã bán tài sản thế chấp là căn hộ tranh chấp cho người mua nhà trên địa bàn TP.HCM</t>
  </si>
  <si>
    <t>Báo cáo tình hình đánh giá rủi ro môi trường và xã hội trong hoạt động cấp tín dụng</t>
  </si>
  <si>
    <t>Báo cáo tình hình cấp tín dụng đối với lĩnh vực xanh</t>
  </si>
  <si>
    <t>Báo cáo v/v tháo gỡ khó khăn của ngành chăn nuôi lợn</t>
  </si>
  <si>
    <t>Báo cáo chương trình Bình ổn thị trường.</t>
  </si>
  <si>
    <t>Báo cáo dư nợ cho vay chương trình “Cho vay tiết kiệm năng lượng”</t>
  </si>
  <si>
    <t>Báo cáo lãi suất tiền gửi, tiền vay khi có thay đổi</t>
  </si>
  <si>
    <t>Báo cáo chương trình cho vay khuyến khích phát triển nông nghiệp ứng dụng công nghệ cao, nông nghiệp sạch theo Nghị quyết 30/NQ-CP ngày 07/03/2017 của Chính Phủ - trên địa bàn TP.HCM</t>
  </si>
  <si>
    <t>Báo cáo số liệu về dư nợ cấp tín dụng của SCB</t>
  </si>
  <si>
    <t>Báo cáo khách hàng vay mới trong tháng</t>
  </si>
  <si>
    <t>Báo cáo giải ngân thu nợ hàng ngày</t>
  </si>
  <si>
    <t>Báo cáo thực hiện kế hoạch ngân sách</t>
  </si>
  <si>
    <t>Đầu mối xây dựng và theo dõi tình hình thực hiện kế hoạch ngân sách hoạt động của Khối DN.</t>
  </si>
  <si>
    <t>Thông báo kết quả kinh doanh</t>
  </si>
  <si>
    <t>Báo cáo tình hình thực hiện kế hoạch kinh doanh</t>
  </si>
  <si>
    <t>Xây dựng, triển khai và đánh giá định kỳ tình hình thực hiện các chỉ tiêu kinh doanh của Khối DN và Đơn vị theo quản lý ngành dọc.</t>
  </si>
  <si>
    <t>Phân tích và đánh giá hành vi KHDN dựa trên cơ sở dữ liệu sẵn có để đề xuất trong công tác phát triển SPDV, triển khai bán hàng.</t>
  </si>
  <si>
    <t>Xây dựng và quản lý dữ liệu hoạt động DN</t>
  </si>
  <si>
    <t>- Số lượng hồ sơ phát sinh trong kỳ
- Doanh Số phát sinh trong kỳ</t>
  </si>
  <si>
    <t>Khách hàng thuộc phân khúc do Khối DN quản lý</t>
  </si>
  <si>
    <t>Các sản phẩm tín dụng liên quan</t>
  </si>
  <si>
    <t>Số lượng hồ sơ thực hiện</t>
  </si>
  <si>
    <t>Thực hiện tư vấn tài chính có lập báo cáo tư vấn</t>
  </si>
  <si>
    <t>Đánh giá định kỳ hiệu quả triển khai các sản phẩm dịch vụ, chương trình ưu đãi/chăm sóc khách hàng nhằm làm cơ sở đề xuất điều chỉnh phù hợp.</t>
  </si>
  <si>
    <t>Thực hiện tư vấn tài chính không lập báo cáo tư vấn</t>
  </si>
  <si>
    <t>Xây dựng và quản lý phần mềm quản lý thông tin, dữ liệu KHDN phục vụ yêu cầu hoạt động và công tác quản trị.</t>
  </si>
  <si>
    <t>Theo số lượng hồ sơ</t>
  </si>
  <si>
    <t>Số lượng cuộc họp hội đồng</t>
  </si>
  <si>
    <t>Tham gia hội đồng miễn giảm lãi, hội đồng/ban khác có liên quan.</t>
  </si>
  <si>
    <t>Khác_PTKDKHDN</t>
  </si>
  <si>
    <t>PTKDKHDN</t>
  </si>
  <si>
    <t>PHÒNG PHÁT TRIỂN KINH DOANH KHDN</t>
  </si>
  <si>
    <t>73</t>
  </si>
  <si>
    <t>Theo số lượng cuộc họp</t>
  </si>
  <si>
    <t>Phòng mời họp</t>
  </si>
  <si>
    <t>Số lượng cuộc họp</t>
  </si>
  <si>
    <t>Tham dự các cuộc họp với các phòng ban</t>
  </si>
  <si>
    <t>Số lượng cuộc PV</t>
  </si>
  <si>
    <t>Tham dự Hội đồng phỏng vấn</t>
  </si>
  <si>
    <t>Dự án xây dựng phần mềm soạn thảo hợp đồng</t>
  </si>
  <si>
    <t>Chương trình soạn thảo hợp đồng</t>
  </si>
  <si>
    <t>Dự án xây dựng phần mềm phòng, chống rửa tiền</t>
  </si>
  <si>
    <t>Phòng, chống rửa tiền</t>
  </si>
  <si>
    <t>- Tín dụng
- Đầu tư</t>
  </si>
  <si>
    <t>Công việc</t>
  </si>
  <si>
    <t>Kế hoạch nguồn và sử dụng nguồn</t>
  </si>
  <si>
    <t>Thực hiện hồ sơ thanh toán theo yêu cầu của P. QLRRTD</t>
  </si>
  <si>
    <t>- KHDN
- KHCN</t>
  </si>
  <si>
    <t>Bảo lãnh</t>
  </si>
  <si>
    <t>Các công việc khác như: bổ sung biểu mẫu vào Chương trình, bổ sung chức năng mới…</t>
  </si>
  <si>
    <t>Báo cáo rà soát các khoản bảo lãnh đã hạch toán trên Core Flexcube nhưng chưa phát hành qua Chương trình Thư bảo lãnh</t>
  </si>
  <si>
    <t>Thư bảo lãnh</t>
  </si>
  <si>
    <t>Duyệt phát hành bảo lãnh trên Chương trình</t>
  </si>
  <si>
    <t>- Tỷ lệ % công việc phát sinh thực tế.</t>
  </si>
  <si>
    <t>Số lượng công việc</t>
  </si>
  <si>
    <t xml:space="preserve"> Báo cáo tiến độ thực hiện các hồ sơ tái thẩm định, hồ sơ soát xét trước khi cấp tín dụng và trước khi giải ngân của Phòng, định kỳ hàng ngày</t>
  </si>
  <si>
    <t>Rà soát số lượng hồ sơ giải ngân/tổng số lượng hồ sơ cấp tín dụng trong kỳ (hàng tháng)</t>
  </si>
  <si>
    <t>phòng đầu mối họp</t>
  </si>
  <si>
    <t>Lượt</t>
  </si>
  <si>
    <t>Tham dự các cuộc họp với các Phòng ban (BLĐ Phòng)</t>
  </si>
  <si>
    <t xml:space="preserve"> Phân bổ đều cho CN </t>
  </si>
  <si>
    <t xml:space="preserve"> SP Tín dụng </t>
  </si>
  <si>
    <t>Biên bản test</t>
  </si>
  <si>
    <t>Test các trường hợp hạch toán thu phí và thuế đối với bảo lãnh/CKTTTD trên môi trường test, đồng thời chuyển đổi tên loại phí và mã phí mới rõ ràng, thực hiện thu phí và nội dung diễn giải trên chứng từ cho từng loại phí bảo lãnh/CKTTTD</t>
  </si>
  <si>
    <t>Điều chỉnh cách ghi nhận doanh thu phí CKTTTD của KHTC và test các trường hợp hạch toán thu phí, thuế đối với CKTTTD</t>
  </si>
  <si>
    <t>Hướng dẫn phương thức giải ngân vốn cho vay của SCB đối với KH</t>
  </si>
  <si>
    <t>Chứng chỉ tiền gửi</t>
  </si>
  <si>
    <t>Nghiên cứu gói tích hợp chứng chỉ tiền gửi</t>
  </si>
  <si>
    <t>Nghiên cứu xây dựng phương án kho quà tặng cho KH</t>
  </si>
  <si>
    <t>Phương án hợp tác cho vay dự án ESCO tiết kiệm năng lượng</t>
  </si>
  <si>
    <t>Viết bài về Ấn phẩm Người SCB</t>
  </si>
  <si>
    <t>Góp ý Văn bản dự của Phòng, Ban nội bộ SCB và các  VBPL, Công văn liên quan đến hoạt động tín dụng theo yêu cầu NHNN, Hiệp hội Ngân hàng</t>
  </si>
  <si>
    <t xml:space="preserve"> SP Tín dụng, Tiền gửi, Dịch vụ  </t>
  </si>
  <si>
    <t>Khảo sát</t>
  </si>
  <si>
    <t>Khảo sát tình hình triển khai SPDV dành cho KHTC, lãi suất cho vay, lãi suất tiền gửi, phí dịch vụ,…của các TCTD trên thị trường</t>
  </si>
  <si>
    <t>Hỗ trợ dự án nâng cấp Core - Tiền vay</t>
  </si>
  <si>
    <t>Theo dõi và thống kê số lượng hồ sơ tín dụng đã thực hiện và đặc tính ngành nghề đã duyệt cấp tín dụng (hàng tháng)</t>
  </si>
  <si>
    <t>Số lượng CV liên quan</t>
  </si>
  <si>
    <t>ĐTKD / ĐTDV</t>
  </si>
  <si>
    <t>Số lượng CV thực hiện</t>
  </si>
  <si>
    <t>Chấm bài thi tự luận cho các chức danh quản lý thuộc Khối DN tại Chi nhánh</t>
  </si>
  <si>
    <t>Theo dõi và đánh giá chất lượng nhân sự và đề xuất các chính sách liên quan đến nhân sự thuộc mảng KHDN</t>
  </si>
  <si>
    <t>Quản lý đội ngũ kinh doanh thuộc quản lý ngành dọc của Khối DN tại ĐVKD</t>
  </si>
  <si>
    <t>Soạn đề thi cho nhân sự kinh doanh thuộc Khối DN</t>
  </si>
  <si>
    <t>Thống kê số lượng hồ sơ đánh giá tính khả thi hồ sơ cấp tín dụng đối với CBNV P. HTKD tại Chi nhánh</t>
  </si>
  <si>
    <t>Xây dựng và quản lý chỉ tiêu KPIs nhân sự thuộc quản lý ngành dọc</t>
  </si>
  <si>
    <t>Phối hợp IT mô tả chương trình đánh giá KPIs cho nhân viên/ lãnh đạo</t>
  </si>
  <si>
    <t>Phối hợp các phòng ban xây dựng cơ chế đánh giá KPIs cho Lãnh đạo tại đơn vị kinh doanh</t>
  </si>
  <si>
    <t>Xây dựng chương trình thi đua cho CV/NV KHDN</t>
  </si>
  <si>
    <t>Xây dựng cơ chế đánh giá KPIs cho NV/CV tại đơn vị kinh doanh</t>
  </si>
  <si>
    <t>Thực hiện tính toán điểm KPIs theo bộ chỉ tiêu riêng của từng chức danh Lãnh đạo ĐVKD (dựa trên số liệu P.TCKH cung cấp)</t>
  </si>
  <si>
    <t>Thực hiện báo cáo kết quả chương trình thi đua</t>
  </si>
  <si>
    <t>Thực hiện thông báo đánh giá kết quả KPIs và kết quả chương trình thi đua</t>
  </si>
  <si>
    <t>Thực hiện rà soát dư nợ gắn mã, tính toán tăng trưởng dư nợ dựa trên file của P.TCKH</t>
  </si>
  <si>
    <t>Thực hiện tính toán lương hiệu suất</t>
  </si>
  <si>
    <t>Thực hiện tính toán kết quả KPIs</t>
  </si>
  <si>
    <t>Thực hiện rà soát điều chỉnh chỉ tiêu của từng nhân viên</t>
  </si>
  <si>
    <t>Thực hiện bàn giao gắn mã KHDN và cập nhật SDĐK</t>
  </si>
  <si>
    <t>Rà soát lỗi phát sinh của hệ thống KPIs và phối hợp IT để chỉnh sửa</t>
  </si>
  <si>
    <t>Số lớp thực hiện đào tạo</t>
  </si>
  <si>
    <t>Phối hợp với Phòng Đào tạo thiết kế chương trình đào tạo, tổ chức tập huấn liên quan đến công tác bán hàng, chăm sóc khách hàng tổ chức, triển khai sản phẩm mới trong toàn hàng</t>
  </si>
  <si>
    <t>Xây dựng và đào tạo đội ngũ bán hàng, phát triển kinh doanh tại ĐVKD</t>
  </si>
  <si>
    <t>Đào tạo, tập huấn cho CBNV KHDN của Đơn vị trong công tác đàm phán, thương lượng và tư vấn bán hàng.</t>
  </si>
  <si>
    <t>- Số lượng nhân sự tham gia đào tạo trong kỳ.</t>
  </si>
  <si>
    <t>CBNV thuộc PKD/ P.KHDN tại ĐVKD</t>
  </si>
  <si>
    <t>Số lượng chuyên đề E-learning</t>
  </si>
  <si>
    <t>Tổ chức đào tạo E-learning chuyên đề "Thẩm định và phân tích tín dụng KHDN theo đặc thù ngành nghề"</t>
  </si>
  <si>
    <t>Số lượng lớp đào tạo</t>
  </si>
  <si>
    <t>Tổ chức lớp đào tạo "Thẩm định dự án đầu tư trong hoạt động cấp tín dụng" (Đào tạo tập trung)</t>
  </si>
  <si>
    <t>Tổ chức lớp đào tạo "Thẩm định và phân tích tín dụng KHDN" (Đào tạo tập trung)</t>
  </si>
  <si>
    <t>Số lượng chuyên đề đào tạo</t>
  </si>
  <si>
    <t>Phối hợp với Trung Tâm Đào tạo tổ chức trước đào tạo</t>
  </si>
  <si>
    <t>Nghiên cứu xây dựng tài liệu đào tạo</t>
  </si>
  <si>
    <t>Hỗ trợ và thúc đẩy ĐVKD trong công tác tiếp cận, tiếp thị &amp; phát triển KHDN</t>
  </si>
  <si>
    <t>Hỗ trợ công tác phát triển KHDN mới.</t>
  </si>
  <si>
    <t>Tìm kiếm KHDN mới và giới thiệu, phân bổ về cho các ĐVKD.</t>
  </si>
  <si>
    <t>Xây dựng và triển khai chương trình liên kết (Sở kế hoạch đầu tư, Công ty tư vấn,…) để phát triển KHDN mới;</t>
  </si>
  <si>
    <t>Khách hàng của CN nào tính chi phí cho chi nhánh đó, đối với các tờ trình áp dụng cho 01 khách hàng đang giao dịch tại nhiều chi nhánh thì phân bổ đều cho các chi nhánh</t>
  </si>
  <si>
    <t>DNTN, Công ty CP, Công ty TNHH có nhu cầu tái cấp tín dụng</t>
  </si>
  <si>
    <t>Các SP cho vay KHDN</t>
  </si>
  <si>
    <t>Đánh giá lợi ích Khách hàng, đề xuất bán chéo  đối với Khách hàng cũ trình về Hội sở</t>
  </si>
  <si>
    <t xml:space="preserve">Hỗ trợ giải quyết các đề xuất liên quan mảng KHDN từ ĐVKD
</t>
  </si>
  <si>
    <t>Quản lý, giám sát và thúc đẩy kinh doanh các sản phẩm dịch vụ dành cho KHDN</t>
  </si>
  <si>
    <t>Đánh giá lợi ích Khách hàng, đề xuất bán chéo  đối với Khách hàng mới trình về Hội sở</t>
  </si>
  <si>
    <t>DNTN, Công ty CP, Công ty TNHH</t>
  </si>
  <si>
    <t>Hỗ trợ tư vấn các vấn đề khác phát sinh tại CN mảng KHDN</t>
  </si>
  <si>
    <t>Đánh giá và đề xuất về chi phí chăm sóc KH, lễ tân khánh tiết, hội nghị KH,….</t>
  </si>
  <si>
    <t>Tất cả các SPDV của KHDN</t>
  </si>
  <si>
    <t>Đánh giá và đề xuất việc miễn giảm phí, lãi…</t>
  </si>
  <si>
    <t>Chủ doanh nghiệp/Người điều hành DN</t>
  </si>
  <si>
    <t>Cho vay tiêu dùng thông qua hình thức phát hành thẻ TD QT cho Chủ DN</t>
  </si>
  <si>
    <t>Đánh giá và đề xuất việc cấp mới /nâng hạn mức thẻ tín dụng cho đối tượng là chủ/người điều hành doanh nghiệp</t>
  </si>
  <si>
    <t>DNTN, Công ty CP, Công ty TNHH có nhu cầu lắp POS</t>
  </si>
  <si>
    <t>Dịch vụ thanh toán thẻ</t>
  </si>
  <si>
    <t>Đánh giá lắp đặt POS</t>
  </si>
  <si>
    <t>Số lượng hồ sơ tín dụng phát sinh trong kỳ</t>
  </si>
  <si>
    <t>Số lượng thực hiện</t>
  </si>
  <si>
    <t>Cảnh báo rủi ro hồ sơ cho vay trong quyền phán quyết của ĐVKD</t>
  </si>
  <si>
    <t>Giám sát hoạt động kinh doanh mảng KHDN tại các ĐVKD</t>
  </si>
  <si>
    <t>Số lượng báo cáo giám sát thực hiện.</t>
  </si>
  <si>
    <t>Giám sát tình hình thực hiện các điều kiện phê duyệt cấp tín dụng các khoản vay thông thường do Hội sở phê duyệt</t>
  </si>
  <si>
    <t>Giám sát tình hình thực hiện cam kết bán chéo SPDV của Khách hàng vay thông thường theo phê duyệt của Hội sở</t>
  </si>
  <si>
    <t>Số lượng chương trình triển khai</t>
  </si>
  <si>
    <t>Xây dựng, triển khai các chương trình thúc đẩy bán hàng</t>
  </si>
  <si>
    <t>Quản lý và thúc đẩy kinh doanh</t>
  </si>
  <si>
    <t>Số lượng KHDN phát triển mới trong kỳ</t>
  </si>
  <si>
    <t>Tất cả sản phẩm Phòng quản lý</t>
  </si>
  <si>
    <t>Số lượng KHDN Phát triển mới</t>
  </si>
  <si>
    <t>Phát triển thêm khách hàng mới tại SCB</t>
  </si>
  <si>
    <t>Xây dựng và phân bổ chỉ tiêu kế hoạch kinh doanh mảng KHDN đến các ĐVKD.</t>
  </si>
  <si>
    <t>Nghiên cứu, xác định thị trường mục tiêu, khách hàng mục tiêu và chiến lược kinh doanh liên quan mảng KHDN.</t>
  </si>
  <si>
    <t>Khác_TĐ&amp;PDKHDN</t>
  </si>
  <si>
    <t>TĐ&amp;PDKHDN</t>
  </si>
  <si>
    <t>PHÒNG THẨM ĐỊNH VÀ PHÊ DUYỆT KHDN</t>
  </si>
  <si>
    <t>72</t>
  </si>
  <si>
    <t>Đấu mối tiếp nhận và xử lý đề xuất các khoản mua bán nợ thuộc Khối quản lý từ các ĐVKD</t>
  </si>
  <si>
    <t>Thẩm định và đề xuất các khoản đầu tư tài chính và ủy thác đầu tư; các khoản mua bán nợ thuộc Khối quản lý</t>
  </si>
  <si>
    <t>Bán nợ</t>
  </si>
  <si>
    <t>Các hoạt động đầu tư khác: Đầu mối thực hiện xử lý nợ nhóm 1 và nhóm 2 phát sinh tại các Chi nhánh</t>
  </si>
  <si>
    <t>Kiểm soát việc theo dõi và thực hiện công việc liên quan đến nghiệp vụ đầu tư, ủy thác đầu tư theo chủ trương của HĐQT, TGĐ (bao gồm việc kiểm soát báo cáo số liệu liên quan đến nghiệp vụ đầu tư, ủy thác đầu tư).</t>
  </si>
  <si>
    <t>Các hoạt động đầu tư khác: Phối hợp với phòng Xử lý nợ và khai thác tài sản và các Đơn vị liên quan để xử lý, thu hồi khoản nợ trái phiếu trả chậm</t>
  </si>
  <si>
    <t>Đầu tư</t>
  </si>
  <si>
    <t>Các hoạt động đầu tư khác: Thực hiện tính trích lập dự phòng tổn thất các khoản đầu tư tài chính và nợ phải thu khó đòi phát sinh từ hoạt động đầu tư tài chính.</t>
  </si>
  <si>
    <t>Đầu tư góp vốn</t>
  </si>
  <si>
    <t>Các hoạt động đầu tư khác: Kiểm kê tài sản, giấy tờ có giá của Phòng Đầu tư lưu tại kho quỹ.</t>
  </si>
  <si>
    <t>Quản lý khoản cho vay bắt buộc Vinashin: Xử lý các vấn đề liên quan đến Vinashin theo chỉ đạo của NHNN</t>
  </si>
  <si>
    <t>Quản lý hoạt động bán cổ phiếu trả chậm: Theo dõi, xử lý và thu hồi các khoản bán chứng khoán trả chậm</t>
  </si>
  <si>
    <t>Đầu tư chứng khoán nợ</t>
  </si>
  <si>
    <t>Quản lý chứng khoán nợ: Báo cáo đánh giá định kỳ hoạt động của các doanh nghiệp mà SCB mua trái phiếu</t>
  </si>
  <si>
    <t>Quản lý chứng khoán nợ: Theo dõi trái phiếu (dự thu các khoản lãi trái phiếu, thu hồi gốc lãi, tính trích lập dự phòng, xác định lãi trái phiếu hàng năm)</t>
  </si>
  <si>
    <t>Quản lý hoạt động công ty con: Thực hiện các công việc hỗ trợ công ty con (nếu có)</t>
  </si>
  <si>
    <t>Quản lý hoạt động công ty con: Theo dõi, quản lý, báo cáo tình hình hoạt động của công ty con.</t>
  </si>
  <si>
    <t>Quản lý Danh mục đầu tư của SCB: Xử lý danh mục góp vốn mua cổ phần theo Nghị quyết của Hội đồng Quản trị SCB.</t>
  </si>
  <si>
    <t>Quản lý Danh mục đầu tư của SCB: Hoàn tất thủ tục để đại diện SCB tham dự các cuộc họp Hội đồng Quản trị, Đại Hội đồng cổ đông tại các công ty; nhận cổ tức của các công ty mà SCB đầu tư góp vốn mua cổ phần.</t>
  </si>
  <si>
    <t>Quản lý Danh mục đầu tư của SCB: Báo cáo đánh giá định kỳ hoạt động của các doanh nghiệp mà SCB đầu tư góp vốn mua cổ phần.</t>
  </si>
  <si>
    <t>Báo cáo tình hình đầu tư theo Thông tư 05.</t>
  </si>
  <si>
    <t>Chịu trách nhiệm về số liệu liên quan đến nghiệp vụ đầu tư.</t>
  </si>
  <si>
    <t>Báo cáo phân nhóm nợ, cam kết ngoại bảng và trích lập rủi ro dự phòng hoạt động đầu tư.</t>
  </si>
  <si>
    <t>Báo cáo doanh số trái phiếu doanh nghiệp theo công văn số 7853/NHNN</t>
  </si>
  <si>
    <t>Báo cáo số liệu đầu tư hàng tháng (4 báo cáo)</t>
  </si>
  <si>
    <t>Báo cáo thực hiện tái cơ cấu Vinashin.</t>
  </si>
  <si>
    <t>Báo cáo trích lập dự phòng để xử lý rủi ro</t>
  </si>
  <si>
    <t>Báo cáo phân loại nợ (B70, B71)</t>
  </si>
  <si>
    <t>Báo cáo Điều 129 Luật các TCTD (Luật số: 47/2010/QH12)</t>
  </si>
  <si>
    <t>- HTALCO
- QLRRTT</t>
  </si>
  <si>
    <t>Báo cáo số liệu liên quan đến hoạt động đầu tư của SCB</t>
  </si>
  <si>
    <t>Báo cáo chi tiết các khoản phải thu (tài khoản 359)</t>
  </si>
  <si>
    <t>Báo cáo theo quyết định 31/QĐ-Cục II.6 ngày 01/03/2016 của Cục Thanh tra giám sát ngân hàng TP.HCM.</t>
  </si>
  <si>
    <t>DWH</t>
  </si>
  <si>
    <t>Báo cáo số dư trái phiếu</t>
  </si>
  <si>
    <t>Báo cáo CIC</t>
  </si>
  <si>
    <t>Báo cáo số liệu đầu tư hàng ngày (upload trên FCC- Tool)</t>
  </si>
  <si>
    <t>Báo cáo tình hình cổ đông khác sở hữu SCB và SCB sở hữu cổ đông khác (theo công văn 3108-TTGSNHNN4 ngày 08/09/2015).</t>
  </si>
  <si>
    <t>Biểu mẫu số 2 - Báo cáo theo CV 7688/NHNN - TTGSNH ngày 20/10/2014</t>
  </si>
  <si>
    <t>Biểu mẫu số 1 - Báo cáo theo CV 7688/NHNN - TTGSNH ngày 20/10/2014</t>
  </si>
  <si>
    <t>Phê duyệt đối với các hồ sơ tín dụng theo ủy quyền của Tổng Giám đốc trong từng thời kỳ</t>
  </si>
  <si>
    <t>Thẩm định/tái thẩm định và phê duyệt đối với các hồ sơ KHDN thuộc thẩm quyền</t>
  </si>
  <si>
    <t>- Số lượng hồ sơ phát sinh trong kỳ.</t>
  </si>
  <si>
    <t>- Thời gian thực hiện công tác tái thẩm bình quân đối với các hồ sơ cấp tín dụng trung dài hạn kể từ thời điểm nhận đầy đủ hồ sơ (Đối với hồ sơ cấp tín dụng trung dài hạn do NV/CV/CVC/CVCC thực hiện thẩm định/tái thẩm định và Phó GĐ thực hiện kiểm soát hồ sơ)</t>
  </si>
  <si>
    <t>Thực hiện thẩm định và tái thẩm định các hồ sơ tín dụng vượt quyền phán quyết của ĐVKD trình về Hội sở phê duyệt theo phân công của Tổng Giám đốc trong từng thời kỳ.</t>
  </si>
  <si>
    <t>Thời gian thực hiện công tác tái thẩm bình quân đối với các hồ sơ cấp tín dụng trung dài hạn kể từ thời điểm nhận đầy đủ hồ sơ (Đối với hồ sơ cấp tín dụng trung dài hạn do NV/CV thực hiện thẩm định/tái thẩm định và  CVC/CVCC kiểm soát hồ sơ)</t>
  </si>
  <si>
    <t>Thời gian thực hiện công tác tái thẩm bình quân đối với các hồ sơ cấp tín dụng ngắn hạn kể từ thời điểm nhận đầy đủ hồ sơ (Đối với hồ sơ cấp tín dụng ngắn hạn do NV/CV/CVC/CVCC thực hiện thẩm định/tái thẩm định và Phó GĐ thực hiện kiểm soát hồ sơ)</t>
  </si>
  <si>
    <t>Thời gian thực hiện công tác tái thẩm bình quân đối với các hồ sơ cấp tín dụng ngắn hạn kể từ thời điểm nhận đầy đủ hồ sơ (Đối với hồ sơ cấp tín dụng ngắn hạn do NV/CV thực hiện thẩm định/tái thẩm định và  CVC/CVCC kiểm soát hồ sơ)</t>
  </si>
  <si>
    <t>Phối hợp với Chi nhánh thẩm định thực địa khách hàng trong những trường hợp cần thiết (đối với thẩm định thực địa ngoài địa bàn TP. hồ Chí Minh)</t>
  </si>
  <si>
    <t>Phối hợp với Chi nhánh thẩm định thực địa khách hàng trong những trường hợp cần thiết (đối với thẩm định thực địa trong địa bàn TP. hồ Chí Minh)</t>
  </si>
  <si>
    <t>Thời gian hỗ trợ Đơn vị trong việc tư vấn quy trình nghiệp vụ và hướng dẫn thực hiện trong công tác thẩm định đối với Khách hàng:</t>
  </si>
  <si>
    <t xml:space="preserve">Thời gian tương tác với ĐVKD để làm rõ hồ sơ, thu thập đầy đủ hồ sơ phục vụ công tác thẩm định/tái thẩm định: </t>
  </si>
  <si>
    <t>Thời gian tiếp nhận hồ sơ lần đầu và phản hồi đề nghị ĐVKD giải trình/bổ sung hồ sơ:</t>
  </si>
  <si>
    <t>Tiếp nhận và giải quyết đề nghị cấp mới, nâng hạn mức thẻ tín dụng đối với Chủ DN/Người điều hành DN,…</t>
  </si>
  <si>
    <t>Khác_TVTC&amp;PTĐTKHDN</t>
  </si>
  <si>
    <t>TVTC&amp;PTĐTKHDN</t>
  </si>
  <si>
    <t>PHÒNG TƯ VẤN TÀI CHÍNH VÀ PHÁT TRIỂN ĐỐI TÁC KHDN</t>
  </si>
  <si>
    <t>71</t>
  </si>
  <si>
    <t>Thiết lập, phát triển hệ thống dữ liệu đối tác</t>
  </si>
  <si>
    <t>Phát triển đối tác liên kết, cung cấp các giải pháp ứng dụng công nghệ 4.0 cho khách hàng thông qua hệ thống đối tác liên kết</t>
  </si>
  <si>
    <t>Theo dõi, đánh giá hiệu quả của các chương trình hợp tác, giới thiệu khách hàng.</t>
  </si>
  <si>
    <t>Thiết lập các mối quan hệ với các đối tác: tìm kiếm và đề xuất hợp tác với các đối tác liên kết, các kênh bán hàng; liên lạc với các đối tác tiềm năng, thảo luận các khả năng hợp tác, triển khai các hoạt động hợp tác cụ thể; phát triển và mở rộng hoạt động với đối tác chiến lược; tham gia tổ chức các sự kiện cùng với đối tác để phát triển khách hàng.</t>
  </si>
  <si>
    <t>Nghiên cứu, xây dựng và đề xuất các mô hình, quy trình phát triển đối tác.</t>
  </si>
  <si>
    <t>Xây dựng các đề án hợp tác, theo dõi và phát triển những thỏa thuận hợp tác tiềm năng; trao đổi và soạn thảo các thỏa thuận hợp tác với các đối tác.</t>
  </si>
  <si>
    <t>Lập kế hoạch, xác định các tiêu chí đánh giá để lựa chọn đối tác liên kết.</t>
  </si>
  <si>
    <t>Cung cấp các dịch vụ tư vấn tài chính cho DN bao gồm các hoạt động</t>
  </si>
  <si>
    <t>Thực hiện việc cung cấp các dịch vụ tư vấn tài chính cho KHDN.</t>
  </si>
  <si>
    <t>Thực hiện, hỗ trợ ĐVKD trong công tác tư vấn tài chính DN về tái cấu trúc vốn, đầu tư dự án kinh doanh</t>
  </si>
  <si>
    <t>Khác_PTSP&amp;CSKHDN</t>
  </si>
  <si>
    <t>PTSP&amp;CSKHDN</t>
  </si>
  <si>
    <t>PHÒNG PTSP VÀ CHÍNH SÁCH KH DOANH NGHIỆP</t>
  </si>
  <si>
    <t>67</t>
  </si>
  <si>
    <t>Hỗ trợ dự án nâng cấp Core - Tiền gửi, Digital Banking</t>
  </si>
  <si>
    <t>Tư vấn Cam kết tài trợ tín dụng khác mẫu của SCB</t>
  </si>
  <si>
    <t>Tư vấn, giải đáp các vướng mắc liên quan đến hệ thống tích điểm, chính sách, chương trình chăm sóc khách hàng đang quản lý</t>
  </si>
  <si>
    <t>Xây dựng và triển khai các chính sách, chương trình chăm sóc dành cho KHDN  (ngoại trừ các chính sách, chương trình: Thanh toán quốc tế, Western Union, Ngoại hối, Bảo hiểm)</t>
  </si>
  <si>
    <t>Tư vấn Thư bảo lãnh khác mẫu của SCB</t>
  </si>
  <si>
    <t>Tư vấn, hỗ trợ giải đáp cho đơn vị (bao gồm các hình thức phản hồi: LCHS, điện thoại, email,…)</t>
  </si>
  <si>
    <t xml:space="preserve">Thực hiện công tác đào tạo, tập huấn về chính sách, chương trình chăm sóc khách hàng đối với đội ngũ kinh doanh thuộc quản lý ngành dọc Khối DN tại ĐVKD. </t>
  </si>
  <si>
    <t>Xây dựng Sổ tay Doanh nghiệp cung cấp KH khi tiếp cận</t>
  </si>
  <si>
    <t>Đầu mối xây dựng nội dung và quản lý số lượng ấn phẩm, công cụ bán hàng liên quan đến các sản phẩm dịch vụ dành cho KHDN (sổ tay DN dành tặng khách hàng khi tiếp thị, cẩm nang SPDV dành cho đội ngũ kinh doanh thuộc quản lý ngành dọc Khối DN tại ĐVKD).</t>
  </si>
  <si>
    <t>Quản lý nội dung chính sách, chương trình chăm sóc KHDN trên website.</t>
  </si>
  <si>
    <t>Đầu mối/phối hợp hoàn tất các thủ tục và liên hệ với các đối tác, cơ quan ban ngành (nếu có) để đưa các chính sách, chương trình chăm sóc Khách hàng ra thị trường.</t>
  </si>
  <si>
    <t xml:space="preserve"> Chăm sóc KH </t>
  </si>
  <si>
    <t xml:space="preserve">Xây dựng và báo cáo Chính sách tặng quà khách hàng tổ chức khi đi tiếp thị </t>
  </si>
  <si>
    <t>Xây dựng và quản lý chính sách tặng quà cho KHDN.</t>
  </si>
  <si>
    <t>Xây dựng và báo cáo Chính sách KH VIP</t>
  </si>
  <si>
    <t>Xây dựng và tổ chức triển khai chương trình/chính sách chăm sóc Khách hàng thường niên và chính sách ưu đãi phù hợp.</t>
  </si>
  <si>
    <t>Xây dựng, hỗ trợ Đơn vị và báo cáo Chương trình chăm sóc KH dịp 8/3,  mùa mưa, trung thu, ngày doanh nhân 13/10 (và lễ hội bia Đức), Tết Nguyên đán</t>
  </si>
  <si>
    <t>Nghiên cứu, xây dựng hệ thống tích lũy điểm dành cho Khách hàng SCB</t>
  </si>
  <si>
    <t>Xây dựng và quản lý hệ thống tích điểm dành cho KHDN.</t>
  </si>
  <si>
    <t xml:space="preserve"> Trung tâm đào tạo </t>
  </si>
  <si>
    <t>Soạn tài liệu câu hỏi cuộc thi kiểm tra kiến thức (soạn câu hỏi, soạn đề cương ôn tập,…)</t>
  </si>
  <si>
    <t>Thực hiện công tác đào tạo, truyền thông các sản phẩm, dịch vụ, chương trình ưu đãi, quy định nghiệp vụ liên quan đến huy động, tín dụng, dịch vụ dành cho KHDN đối với đội ngũ kinh doanh thuộc quản lý ngành dọc của Khối DN tại ĐVKD</t>
  </si>
  <si>
    <t>Xây dựng và triển khai các sản phẩm, dịch vụ dành cho KHDN (ngoại trừ các sản phẩm dịch vụ: Thanh toán quốc tế, Western Union, Ngoại hối, Bảo hiểm)</t>
  </si>
  <si>
    <t xml:space="preserve">Lớp đào tạo trực tiếp </t>
  </si>
  <si>
    <t xml:space="preserve">Soạn thảo tài liệu đào tạo trực tiếp </t>
  </si>
  <si>
    <t>Soạn thảo tài liệu đào tạo  elearning</t>
  </si>
  <si>
    <t>Ban hành mẫu Phôi Thư cam kết tài trợ tín dụng</t>
  </si>
  <si>
    <t>Quản lý, điều chỉnh và cập nhật danh mục sản phẩm, dịch vụ KHDN.</t>
  </si>
  <si>
    <t>Dịch vụ gửi sổ phụ qua email/post</t>
  </si>
  <si>
    <t xml:space="preserve"> Dịch vụ </t>
  </si>
  <si>
    <t>Điều chỉnh hình thức thu phí Dịch vụ gửi sổ phụ qua email/post</t>
  </si>
  <si>
    <t xml:space="preserve"> Sản phẩm TD </t>
  </si>
  <si>
    <t>Điều chỉnh sản phẩm thẻ tín dụng của chủ DN</t>
  </si>
  <si>
    <t xml:space="preserve"> Dịch vụ nộp thuế tại quầy</t>
  </si>
  <si>
    <t xml:space="preserve"> Hướng dẫn </t>
  </si>
  <si>
    <t>Điều chỉnh dịch vụ nộp thuế tại quầy</t>
  </si>
  <si>
    <t>Dịch vụ nộp thuế nội địa (điện tử)</t>
  </si>
  <si>
    <t>Điều chỉnh dịch vụ nộp thuế nội địa (điện tử)</t>
  </si>
  <si>
    <t>Chữ ký số</t>
  </si>
  <si>
    <t xml:space="preserve"> Hướng dẫn/Hợp đồng </t>
  </si>
  <si>
    <t>Điều chỉnh dịch vụ chữ ký số</t>
  </si>
  <si>
    <t>Tài khoản SCB 100+</t>
  </si>
  <si>
    <t xml:space="preserve">Điều chỉnh sản phẩm "Tài khoản SCB 100+" </t>
  </si>
  <si>
    <t>Dịch vụ ebanking</t>
  </si>
  <si>
    <t>Điều chỉnh nâng hạn mức xác thực giao dịch trên Internet Banking bằng SMS dành cho Khách hàng Tổ chức</t>
  </si>
  <si>
    <t>Dịch vụ Séc</t>
  </si>
  <si>
    <t>Điều chỉnh hướng dẫn dịch vụ cung ứng và thanh toán Séc ghi danh trong nước  (bao gồm thời gian thực hiện  Thông báo phối hợp sử dụng mẫu séc mới)</t>
  </si>
  <si>
    <t>SP Tín dụng</t>
  </si>
  <si>
    <t xml:space="preserve">Điều chỉnh chính sách TD 2018, dự kiến bổ sung thêm cho vay SME nhanh, điều chỉnh thấu chi, bổ sung bảo lãnh nhà ở hình thành trong tương lai, bao thanh toán,…. </t>
  </si>
  <si>
    <t xml:space="preserve"> Xây dựng phương án và theo dõi, báo cáo đối tượng, tiêu chí, loại ấn phẩm, chi phí tặng ấn phẩm xuân KHTC năm 2019 </t>
  </si>
  <si>
    <t>Phối hợp xây dựng nội dung và quản lý số lượng ấn phẩm, công cụ bán hàng các sản phẩm dịch vụ dành KHDN.</t>
  </si>
  <si>
    <t>Quản lý nội dung, lãi suất của sản phẩm, dịch vụ và chương trình ưu đãi KHDN trên website.</t>
  </si>
  <si>
    <t>Chi hộ lương trên Internet Banking</t>
  </si>
  <si>
    <t xml:space="preserve"> Dịch vụ  </t>
  </si>
  <si>
    <t xml:space="preserve"> Nghiên cứu và trình phí dịch vụ chi hộ lương trên Internet Banking </t>
  </si>
  <si>
    <t>Xây dựng, ban hành và quản lý Biểu lãi suất huy động, Biểu lãi suất cho vay, Biểu phí dịch vụ dành cho KHDN.</t>
  </si>
  <si>
    <t>Các sản phẩm tiền gửi</t>
  </si>
  <si>
    <t>Xây dựng ban hành/rà soát đánh giá, điều chỉnh biểu lãi suất tiền gửi</t>
  </si>
  <si>
    <t>Các sản phẩm vay chiết khấu</t>
  </si>
  <si>
    <t>Xây dựng ban hành/rà soát đánh giá, điều chỉnh biểu lãi suất cho vay, chiết khấu dành cho khách hàng doanh nghiệp</t>
  </si>
  <si>
    <t>Các sản phẩm tiền gửi, dịch vụ, tín dụng</t>
  </si>
  <si>
    <t>Biểu phí</t>
  </si>
  <si>
    <t>Xây dựng ban hành/rà soát đánh giá, quản lý Biểu phí</t>
  </si>
  <si>
    <t>Cập nhật cẩm nang Phí dịch vụ trên chương trình</t>
  </si>
  <si>
    <t>Phối hợp thực hiện quảng bá các sản phẩm, dịch vụ, chương trình ưu đãi trên các phương tiện truyền thông.</t>
  </si>
  <si>
    <t>Đầu mối hoàn tất các thủ tục và liên hệ với các đối tác, cơ quan ban ngành (nếu có) để đưa các sản phẩm, dịch vụ, chương trình ưu đãi ra thị trường.</t>
  </si>
  <si>
    <t xml:space="preserve"> Tiền gửi, dịch vụ </t>
  </si>
  <si>
    <t xml:space="preserve"> Chương trình
thúc đẩy </t>
  </si>
  <si>
    <t>Theo dõi sau triển khai chương trình S-Pro : xuất số liệu, tổng kết kết quả, chi thưởng (nếu có).</t>
  </si>
  <si>
    <t>Xây dựng và phối hợp triển khai chương trình ưu đãi nhằm thu hút KHDN tham gia gửi tiền, vay vốn, bảo lãnh và sử dụng dịch vụ khác tại SCB.</t>
  </si>
  <si>
    <t>Xây dựng Chương trình ưu đãi và thi đua nội bộ thu hút KH mở mới TKTGTT và sử dụng dịch vụ (CTKM TK S-Pro)</t>
  </si>
  <si>
    <t>Xây dựng Chương trình thúc đẩy phí dịch vụ bảo lãnh</t>
  </si>
  <si>
    <t xml:space="preserve"> Thẻ C-Mastercard Debit </t>
  </si>
  <si>
    <t xml:space="preserve"> Tờ trình </t>
  </si>
  <si>
    <t>Xây dựng Chương trình khuyến mãi và thi đua bán thẻ C-Mastercard Debit,  thúc đẩy tăng doanh số thẻ C-Mastercard Debit</t>
  </si>
  <si>
    <t xml:space="preserve"> Dịch vụ SMS, Internet Banking </t>
  </si>
  <si>
    <t>Xây dựng Chương trình khuyến mãi và thi đua dịch vụ SMS, Internet Banking</t>
  </si>
  <si>
    <t>Xây dựng chương trình khuyến mãi, thi đua dành cho thẻ tín dụng doanh nghiệp Biz Mastercard Credit.</t>
  </si>
  <si>
    <t>Dịch vụ nộp thuế XNK điện tử 24/7</t>
  </si>
  <si>
    <t xml:space="preserve"> Tờ trình/Thông báo </t>
  </si>
  <si>
    <t xml:space="preserve"> Triển khai chương trình  thúc đẩy dịch vụ nộp thuế xuất nhập khẩu 24/7 (lập tờ trình) </t>
  </si>
  <si>
    <t>Nghiên cứu chính sách tài trợ các doanh nghiệp tham gia chuỗi giá trị nông nghiệp công nghệ cao</t>
  </si>
  <si>
    <t>Đầu mối/phối hợp xây dựng và ban hành quy chế, quy trình, quy định nghiệp vụ liên quan đến huy động, tín dụng, dịch vụ dành cho KHDN.</t>
  </si>
  <si>
    <t xml:space="preserve"> Tờ trình/TB, HD </t>
  </si>
  <si>
    <t>Nghiên cứu để hoàn thiện cách thức giao dịch dành cho tổ chức không có tư cách pháp nhân</t>
  </si>
  <si>
    <t xml:space="preserve">Dịch vụ giữ hộ tài sản </t>
  </si>
  <si>
    <t xml:space="preserve"> Quy định </t>
  </si>
  <si>
    <t xml:space="preserve"> Quy định Dịch vụ giữ hộ tài sản  </t>
  </si>
  <si>
    <t xml:space="preserve">Xây dựng Quy chế cấp tín dụng </t>
  </si>
  <si>
    <t>Xây dựng Quy trình cấp tín dụng</t>
  </si>
  <si>
    <t>Nghiên cứu xây dựng phương án bán SPDV cho Sabeco và chuỗi cung ứng/phân phối hàng của Sabeco</t>
  </si>
  <si>
    <t xml:space="preserve">Xây dựng và triển khai các sản phẩm về huy động, tín dụng và các dịch vụ dành cho KHDN phù hợp từng thời kỳ
</t>
  </si>
  <si>
    <t>Dịch vụ cung cấp số tài khoản đẹp</t>
  </si>
  <si>
    <t>Mã QR code cho thư bảo lãnh</t>
  </si>
  <si>
    <t>Xây dựng triển khai chức năng xác thực giao dịch bằng chữ ký số trên eBanking</t>
  </si>
  <si>
    <t xml:space="preserve">Dịch vụ giao dịch qua email có xác thực bằng chữ ký số </t>
  </si>
  <si>
    <t xml:space="preserve">Triển khai Dịch vụ giao dịch qua email có xác thực bằng chữ ký số </t>
  </si>
  <si>
    <t>Dịch vụ gửi sổ phụ qua điện SWIFT</t>
  </si>
  <si>
    <t>Triển khai Dịch vụ gửi sổ phụ qua điện SWIFT</t>
  </si>
  <si>
    <t>Thẻ tín dụng doanh nghiệp Biz Mastercard Credit</t>
  </si>
  <si>
    <t>Thẻ thanh toán quốc tế C-Mastercard Debit</t>
  </si>
  <si>
    <t xml:space="preserve"> Thẻ thanh toán quốc tế C-Mastercard Debit </t>
  </si>
  <si>
    <t>Triển khai tính năng Control trong các dòng thẻ Mastercard</t>
  </si>
  <si>
    <t xml:space="preserve"> Ineternet Banking </t>
  </si>
  <si>
    <t xml:space="preserve"> Trình bổ sung chức năng xác thực giao dịch qua Internet Banking bằng chữ ký số. </t>
  </si>
  <si>
    <t xml:space="preserve"> Test chương trình </t>
  </si>
  <si>
    <t>Phối hợp với xây dựng và test chương trình thanh toán hóa đơn mô hình 2 cấp, 3 cấp trên nền tảng digital banking</t>
  </si>
  <si>
    <t xml:space="preserve"> Dịch vụ QR Merchant  </t>
  </si>
  <si>
    <t xml:space="preserve"> Tờ trình/Hướng dẫn </t>
  </si>
  <si>
    <t xml:space="preserve"> Trình TGĐ phương án triển khai Dịch vụ QR Merchant (nghiên cứu) </t>
  </si>
  <si>
    <t xml:space="preserve"> BB test </t>
  </si>
  <si>
    <t>Tham gia test Hải Quan chức năng đối chiếu của thuế xuất nhập khẩu điện tử 24/7</t>
  </si>
  <si>
    <t>Dịch vụ chi hộ lương</t>
  </si>
  <si>
    <t xml:space="preserve"> Dịch vụ chi hộ lương  </t>
  </si>
  <si>
    <t>Dịch vụ thu hộ viện phí</t>
  </si>
  <si>
    <t>Dịch vụ thu hộ viện phí (nghiên cứu triển khai)</t>
  </si>
  <si>
    <t>Dịch vụ thu hộ học phí</t>
  </si>
  <si>
    <t>Dịch vụ thu hộ học phí (nghiên cứu triển khai)</t>
  </si>
  <si>
    <t>Chi hộ, thu hộ tận nơi</t>
  </si>
  <si>
    <t>Phối hợp triển khai hóa đơn điện tử trên Internet Banking</t>
  </si>
  <si>
    <t>NSLKDN</t>
  </si>
  <si>
    <t>PHÒNG NHẬN SỐ LIỆU KHỐI DN</t>
  </si>
  <si>
    <t>07</t>
  </si>
  <si>
    <t>PHÒNG DỊCH VỤ KHÁCH  HÀNG</t>
  </si>
  <si>
    <t>03</t>
  </si>
  <si>
    <t>KHỐI DỊCH VỤ NGÂN HÀNG VÀ TÀI CHÍNH CÁ NHÂN</t>
  </si>
  <si>
    <t>A</t>
  </si>
  <si>
    <t>NSLKDVNH&amp;TCCN</t>
  </si>
  <si>
    <t>PHÒNG NHẬN SỐ LIỆU KHỐI DVNH&amp;TCCN</t>
  </si>
  <si>
    <t>02</t>
  </si>
  <si>
    <t>Khác_QL&amp;KDKHCC</t>
  </si>
  <si>
    <t>QL&amp;KDKHCC</t>
  </si>
  <si>
    <t>PHÒNG QUẢN LÝ VÀ KINH DOANH DVKH CAO CẤP</t>
  </si>
  <si>
    <t>Phối hợp các Đơn vị liên quan thực hiện giám sát, đánh giá chất lượng dịch vụ qua các kênh: camera, Khách hàng bí mật… về chất lượng phục vụ Khách hàng cao cấp</t>
  </si>
  <si>
    <t>Quy hoạch ĐVKD triển khai dịch vụ Ngân hàng cao cấp và xây dựng hình ảnh dịch vụ Ngân hàng cao cấp của SCB</t>
  </si>
  <si>
    <t>Xây dựng và quản lý hệ thống KPIs của các Đơn vị, cá nhân thuộc Dịch vụ Khách hàng cao cấp.</t>
  </si>
  <si>
    <t>Xây dựng bộ tài liệu hình ảnh, video chuẩn về phong cách giao tiếp phục vụ đào tạo đối với đội ngũ CBNV phục vụ đối tượng Khách hàng cao cấp tại đơn vị.</t>
  </si>
  <si>
    <t>Thực hiện bản tin truyền thông nội bộ về chất lượng phục vụ Hội viên.</t>
  </si>
  <si>
    <t>Xây dựng và triển khai cơ chế đánh giá KPIs chất lượng dịch vụ dành cho CBNV phục vụ Khách hàng cao cấp tại ĐVKD.</t>
  </si>
  <si>
    <t>Triển khai, giám sát và đánh giá việc thực hiện các tiêu chuẩn chất lượng dịch vụ phục vụ Khách hàng cao cấp.</t>
  </si>
  <si>
    <t>Phối hợp với Phòng liên quan xây dựng tiêu chuẩn Phòng tiếp Khách hàng cao cấp, quầy ưu tiên tại các ĐVKD.</t>
  </si>
  <si>
    <t>Xây dựng các tiêu chuẩn chất lượng dịch vụ cho đội ngũ CBNV phục vụ đối tượng Khách hàng cao cấp tại ĐVKD.</t>
  </si>
  <si>
    <t>Xây dựng chuẩn hình ảnh, giao tiếp cho đội ngũ CBNV phục vụ đối tượng Khách hàng cao cấp tại ĐVKD.</t>
  </si>
  <si>
    <t>Quản lý và giám sát về hoạt động POS tại các Merchant thuộc nhóm Khách hàng Tổ chức VIP, đối tác liên kết</t>
  </si>
  <si>
    <t>Xây dựng và quản lý đội ngũ bán hàng chuyên biệt phục vụ Khách hàng cao cấp, đối tác liên kết, khai thác hiệu quả 2 phân khúc này</t>
  </si>
  <si>
    <t>Xây dựng, triển khai và giám sát việc thực hiện chỉ tiêu kinh doanh của Đơn vị.</t>
  </si>
  <si>
    <t>Quản lý doanh số của nhóm các Khách hàng ưu tiên, Khách hàng cao cấp, Khách hàng là CBNV thuộc tổ chức liên kết thuộc tập đoàn.</t>
  </si>
  <si>
    <t>Hỗ trợ ĐVKD xử lý các vấn đề phát sinh tại Đơn vị trong quá trình triển khai các chính sách/chương trình liên quan đến phân khúc Khách hàng mục tiêu của Phòng</t>
  </si>
  <si>
    <t>Xây dựng hệ thống định danh và quản lý Khách hàng cao cấp, đối tác liên kết</t>
  </si>
  <si>
    <t>Giám sát, đánh giá hiệu quả triển khai các chính sách/sản phẩm/chương trình đã triển khai.</t>
  </si>
  <si>
    <t>Xây dựng và triển khai các sản phẩm/chương trình ưu đãi liên kết đối với Điểm ưu đãi cao cấp dành cho chủ Thẻ SCB thuộc đối tượng Khách hàng thuộc Phòng.</t>
  </si>
  <si>
    <t>Nghiên cứu, cải tiến, xây dựng và triển khai các sản phẩm Thẻ với các đặc tính dành riêng cho đối tượng Khách hàng chuyên biệt thuộc Phòng.</t>
  </si>
  <si>
    <t>Xây dựng và triển khai các chính sách/chương trình chăm sóc đối tượng Khách hàng chuyên biệt thuộc Phòng.</t>
  </si>
  <si>
    <t>Phối hợp xây dựng các chương trình khuyến mãi đối với các sản phẩm tiền gửi và dịch vụ tại quầy (ngoại trừ dịch vụ thanh toán quốc tế/Western Union, kinh doanh ngoại hối, bảo hiểm) dành đối tượng Khách hàng thuộc Phòng.</t>
  </si>
  <si>
    <t>Nghiên cứu, cải tiến, xây dựng và triển khai các sản phẩm tiền gửi và các dịch vụ truyền thống tại quầy (thu chi hộ, thanh toán trong nước, xác nhận số dư, ngân quỹ, giữ hộ tài sản…).</t>
  </si>
  <si>
    <t>Xây dựng chính sách, gói sản phẩm, chương trình chăm sóc Khách hàng cao cấp, đối tác liên kết</t>
  </si>
  <si>
    <t>Kiểm soát công tác vận hành xét cấp hạng Hội viên và các báo cáo liên quan đến xét hạng Khách hàng</t>
  </si>
  <si>
    <t>Xây dựng và cải tiến các hệ thống/chương trình/phần mềm/báo cáo để hỗ trợ các ĐVKD thực hiện các giao dịch tiền gửi và dịch vụ truyền thống một cách nhanh chóng và dễ dàng.</t>
  </si>
  <si>
    <t xml:space="preserve">Đầu mối phối hợp với các ĐVKD, Phòng Nghiệp vụ trong công tác định danh xét cấp hạng Hội viên; cập nhật; xử lý thông tin Khách hàng.                                 </t>
  </si>
  <si>
    <t>Quản lý hiệu quả khai thác các đối tượng Khách hàng mục tiêu của Khối.</t>
  </si>
  <si>
    <t>Thực hiện công tác quản lý cấp xét hạng Hội viên.</t>
  </si>
  <si>
    <t>Xây dựng tiêu chí phân loại và xét hạng Hội viên Dịch vụ Ngân hàng cao cấp, đối tác liên kết</t>
  </si>
  <si>
    <t>61</t>
  </si>
  <si>
    <t xml:space="preserve">Xây dựng các tài liệu chất lượng liên quan đến các tiêu chí, tiêu chuẩn quản lý  Khách hàng là Hội viên Khách hàng cao cấp. </t>
  </si>
  <si>
    <t>Khác_MSPBL</t>
  </si>
  <si>
    <t>MSPBL</t>
  </si>
  <si>
    <t>PHÒNG MARKETING SẢN PHẨM BÁN LẺ</t>
  </si>
  <si>
    <t>59</t>
  </si>
  <si>
    <t>Quản lý các kênh quảng cáo:
 Email marketing, email nội bộ, SMS.
 Màn hình TV và hệ thống máy ATM của toàn hàng.
 Hệ thống POSM tại các điểm giao dịch.
 Mạng xã hội Facebook SCB và Zalo SCB.
 POSM quảng cáo đặt tại đối tác</t>
  </si>
  <si>
    <t>Xây dựng phương án và triển khai quảng bá các sản phẩm/dịch vụ dành cho KHCN (trừ các chính sách, sản phẩm, dịch vụ liên quan đến Giao dịch Quốc tế, Kinh doanh ngoại tệ và vàng)</t>
  </si>
  <si>
    <t>Quảng bá sản phẩm/dịch vụ/chương trình của Khối DVNH &amp; TCCN, hỗ trợ các Phòng Hội sở và ĐVKD tiếp cận Khách hàng và thúc đẩy doanh số sản phẩm.</t>
  </si>
  <si>
    <t>Phân bổ đều CN, PGD</t>
  </si>
  <si>
    <t>Truyền thông kết quả các chương trình thi đua đến các Đơn vị</t>
  </si>
  <si>
    <t>Khác_QLKDSPPTD</t>
  </si>
  <si>
    <t>QLKDSPPTD</t>
  </si>
  <si>
    <t>PHÒNG QLKD SẢN PHẨM PHI TÍN DỤNG</t>
  </si>
  <si>
    <t>60</t>
  </si>
  <si>
    <t>Toàn bộ</t>
  </si>
  <si>
    <t xml:space="preserve">
P.THPT</t>
  </si>
  <si>
    <t>Thực hiện báo cáo chi phí lễ tân khánh tiết</t>
  </si>
  <si>
    <t>P.THPT</t>
  </si>
  <si>
    <t>Thực hiện báo cáo thực hiện kế hoạch ngân sách của Trung tâm DVKH</t>
  </si>
  <si>
    <t>Thực hiện báo cáo theo Thông tư 35</t>
  </si>
  <si>
    <t xml:space="preserve">Tỷ lệ Nhân viên thực hiện công việc là 10% </t>
  </si>
  <si>
    <t>Số lượng PYC liên quan</t>
  </si>
  <si>
    <t>Phòng nghiệp vụ yêu cầu</t>
  </si>
  <si>
    <t>Góp ý kiến các nội dung sản phẩm/dịch vụ và các VPPQ liên quan đến mảng nghiệp vụ của Phòng QLKD</t>
  </si>
  <si>
    <t>sản phẩm bảo hiểm</t>
  </si>
  <si>
    <t>Tra soát doanh thu với Đối tác, Đơn vị và phân bổ hoa hồng cho Đơn vị.</t>
  </si>
  <si>
    <t>Thực hiện công tác đối soát và thanh toán với đối tác.</t>
  </si>
  <si>
    <t>Xây dựng, phát triển, triển khai và quản lý hoạt động kinh doanh Bảo hiểm</t>
  </si>
  <si>
    <t>Phân bổ đều cho các Đơn vị triển khai dự án</t>
  </si>
  <si>
    <t>Sản phẩm</t>
  </si>
  <si>
    <t>Xây dựng chính sách sản phẩm trong từng thời kỳ</t>
  </si>
  <si>
    <t>Thiết lập và tổ chức vận hành hoạt động nội bộ liên quan đến tình hình hoạt động kinh doanh bảo hiểm.</t>
  </si>
  <si>
    <t xml:space="preserve"> Thực hiện công tác báo cáo liên quan về triển khai đại lý bảo hiểm cho Phòng/Ban</t>
  </si>
  <si>
    <t xml:space="preserve"> Thực hiện công tác báo cáo liên quan về triển khai đại lý bảo hiểm cho Ban điều hành</t>
  </si>
  <si>
    <t>Xây dựng, phân bổ và triển khai các kế hoạch kinh doanh Dịch vụ bảo hiểm hàng năm cho từng Đơn vị trong toàn hệ thống SCB.</t>
  </si>
  <si>
    <t xml:space="preserve">
Doanh số phát sinh</t>
  </si>
  <si>
    <t>Hỗ trợ nghiệp vụ, xây dựng/đề xuất với phòng/ban/Đơn vị liên quan hoặc đối tác thiết kế/lựa chọn sản phẩm liên kết bảo hiểm mới hoặc sản phẩm bảo hiểm phù hợp</t>
  </si>
  <si>
    <t>Kỳ vọng tổ chức định kỳ 2 tháng tổ chức 01 chương trình =&gt; dự kiến có khoảng 6 ngày hội bảo hiểm trong năm 2018</t>
  </si>
  <si>
    <t>Phối hợp đối tác triển khai các Hội thảo chương trình thúc đẩy kinh doanh bảo hiểm</t>
  </si>
  <si>
    <t>Nghiên cứu phát triển sản phẩm bảo hiểm và triển khai hệ thống huấn luyện đào tạo bảo hiểm.</t>
  </si>
  <si>
    <t>Phối hợp đối tác/Phòng đào tạo  thực hiện các lớp đào tạo chuyên môn nghiệp vụ bảo hiểm/sản phẩm</t>
  </si>
  <si>
    <t>Ngày hội bảo hiểm</t>
  </si>
  <si>
    <t xml:space="preserve">Phối hợp tổ chức ngày hội bảo hiểm với Đơn vị
</t>
  </si>
  <si>
    <t>Sản phẩm bảo hiểm</t>
  </si>
  <si>
    <t xml:space="preserve">Phiếu yêu cầu </t>
  </si>
  <si>
    <t>Phối hợp Phòng Ban chức năng/đối tác xây dựng chương trình ghi nhận doanh số và quản lý nghiệp vụ bảo hiểm toàn hàng</t>
  </si>
  <si>
    <t>Xây dựng, quản lý, thực hiện các chương trình thi đua và chiến lược PR- Marketing.</t>
  </si>
  <si>
    <t>Tổng hợp, tính toán kết quả KPIs cho CBNV kinh doanh bảo hiểm</t>
  </si>
  <si>
    <t>Tính toán và báo cáo kết quả chương trình thi đua</t>
  </si>
  <si>
    <t>Thực hiện truyền thông về chương trình thi đua/sản phẩm bảo hiểm, kết quả thi đua trên toàn hàng</t>
  </si>
  <si>
    <t>Ban hành/Tu chỉnh tài liệu chất lượng liên quan đến nghiệp vụ vận hành và sản phẩm</t>
  </si>
  <si>
    <t>Triển khai Chương trình thi đua đại lý bảo hiểm hợp tác với Manulife</t>
  </si>
  <si>
    <t>Triển khai Chương trình thi đua đại lý bảo hiểm hợp tác với Bảo Long</t>
  </si>
  <si>
    <t>Triển khai Chương trình thi đua đại lý bảo hiểm hợp tác với Bảo Việt</t>
  </si>
  <si>
    <t>Cuộc gọi</t>
  </si>
  <si>
    <t>Hỗ trợ Đơn vị trong quá trình triển khai các chương trình thi đua và các nội dung liên quan đến hoa hồng và các khoản chi có tính chất lương của Đơn vị và CBNV</t>
  </si>
  <si>
    <t>Tiếp nhận và xử lý các yêu cầu/đề xuất của Đơn vị liên quan đến hoạt động quản lý nhân sự DVKH của ĐVKD</t>
  </si>
  <si>
    <t>Theo dõi và đánh giá chất lượng nhân sự và đề xuất các chính sách liên quan đến nhân sự thuộc mảng DVKH tại ĐVKD</t>
  </si>
  <si>
    <t>Quản lý đội ngũ nhân sự thuộc mảng DVKH tại ĐVKD</t>
  </si>
  <si>
    <t>Xây dựng Tờ trình hỗ trợ đội ngũ DVKH tại Đơn vị (Ví dụ: Nguồn nhân lực dự phòng,…)</t>
  </si>
  <si>
    <t>Khóa học</t>
  </si>
  <si>
    <t>Điều phối tổ chức các lớp tân tuyển/chuyên đề dành cho đội ngũ DVKH</t>
  </si>
  <si>
    <t>Xây dựng, phối hợp với Học viện SCB và các Phòng Hội sở triển khai các chương trình đào tạo nhân sự.</t>
  </si>
  <si>
    <t>Xây dựng tài liệu phục vụ công tác bán hàng tại Đơn vị kinh doanh (phát sinh theo chuyên đề sản phẩm trong năm, ví dụ: Chứng chỉ tiền gửi ngắn hạn, Kỹ năng quản lý hoạt động kinh doanh hiệu quả tại Đơn vị)</t>
  </si>
  <si>
    <t xml:space="preserve">Xây dựng tài liệu đào tạo dành cho đội ngũ Tư vấn tân tuyển </t>
  </si>
  <si>
    <t xml:space="preserve">Xây dựng tài liệu đào tạo do Đối tác bên ngoài cung cấp </t>
  </si>
  <si>
    <t>Chấm đề thi các chức danh DVKH thuộc quản lý ngành dọc của Phòng QLKD</t>
  </si>
  <si>
    <t>Tổ chức kiểm tra kiến thức định kỳ DVKH</t>
  </si>
  <si>
    <t>Soạn thảo kho đề thi các Chức danh thuộc DVKH</t>
  </si>
  <si>
    <t>Tham gia đào tạo các khóa học do SCB tổ chức</t>
  </si>
  <si>
    <t>Tiếp nhận và xử lý các yêu cầu liên quan đến công tác đào tạo Đội ngũ DVKH</t>
  </si>
  <si>
    <t>Tham gia phỏng vấn các chức danh tại Đơn vị kinh doanh (chức danh Lãnh đạo)</t>
  </si>
  <si>
    <t>Xây dựng định biên nhân sự và phối hợp công tác tuyển dụng/bổ nhiệm nhân sự.</t>
  </si>
  <si>
    <t>Tham gia phỏng vấn các chức danh tại Đơn vị kinh doanh (chức danh nhân viên/chuyên viên)</t>
  </si>
  <si>
    <t>Xây dựng và quản lý hệ thống KPIs của các Đơn vị/cá nhân.</t>
  </si>
  <si>
    <t>Đánh giá hiện trạng mạng lưới và đề xuất phương án quy hoạch, sắp xếp mạng lưới năm 2018</t>
  </si>
  <si>
    <t>Quản lý mạng lưới điểm giao dịch SCB.</t>
  </si>
  <si>
    <t>Quản lý và thúc đẩy bán các sản phẩm phi tín dụng theo từng thời kỳ bao gồm: tiền gửi, thẻ, dịch vụ, sản phẩm bảo hiểm và sản phẩm đầu tư</t>
  </si>
  <si>
    <t>Phân tích, đánh giá về hiệu quả hoạt động của các máy ATM trên toàn hàng. Đề xuất việc lắp mới/duy trì/không duy trì máy ATM tại các Đơn vị của SCB.</t>
  </si>
  <si>
    <t>CN, PGD liên quan</t>
  </si>
  <si>
    <t>Phân tích, đánh giá hiệu quả hoạt động của các Đơn vị sau khi di dời trụ sở</t>
  </si>
  <si>
    <t>PYK</t>
  </si>
  <si>
    <t>Ý kiến đánh giá liên quan tới đề xuất lắp đặt/di dời một máy ATM của các Đơn vị SCB</t>
  </si>
  <si>
    <t>Ý kiến đánh giá liên quan đến nội dung vị trí khu vực thành lập mới một đơn vị kinh doanh ĐVKD SCB</t>
  </si>
  <si>
    <t>Ý kiến đánh giá liên quan đến nội dung đề xuất di dời trụ sở giao dịch của một đơn vị kinh doanh ĐVKD SCB</t>
  </si>
  <si>
    <t>Ý kiến đánh giá liên quan đến nội dung đề xuất tái ký hợp đồng thuê trụ sở giao dịch của một đơn vị kinh doanh ĐVKD SCB</t>
  </si>
  <si>
    <t>Ý kiến đánh giá liên quan đến nội dung đề xuất mở rộng trụ sở giao dịch của một đơn vị kinh doanh ĐVKD SCB</t>
  </si>
  <si>
    <t>Chuẩn hóa dữ liệu thông tin và hồ sơ ĐVKD</t>
  </si>
  <si>
    <t>Xây dựng kế hoạch kinh doanh (chỉ tiêu cấp 2)</t>
  </si>
  <si>
    <t>Xây dựng, triển khai và quản lý hoạt động của các CLB kinh doanh (ví dụ CLB Premium)</t>
  </si>
  <si>
    <t>Tổng hợp báo cáo số liệu kinh doanh của TT.DVKH</t>
  </si>
  <si>
    <t>Xây dựng và triển khai hoạt động thúc đẩy bán hàng tại các ĐVKD</t>
  </si>
  <si>
    <t>Tổ chức và triển khai các Chương trình thi đua nội bộ dành cho CBNV</t>
  </si>
  <si>
    <t>Xây dựng và triển khai các chương trình thi đua nội bộ</t>
  </si>
  <si>
    <t>Hội thảo</t>
  </si>
  <si>
    <t>Phối hợp tổ chức hội thảo khách hàng</t>
  </si>
  <si>
    <t>Xây dựng, triển khai và giám sát việc thực hiện chỉ tiêu kinh doanh các sản phẩm phi tín dụng của Đơn vị</t>
  </si>
  <si>
    <t>Ngày hội bán hàng</t>
  </si>
  <si>
    <t>Phối hợp tổ chức ngày hội bán hàng tại Đơn vị/khai trương Đơn vị</t>
  </si>
  <si>
    <t>Tổ chức chi lương</t>
  </si>
  <si>
    <t xml:space="preserve">Hướng dẫn và hỗ trợ Đơn vị triển khai bán hàng với tổ chức chi lương (đến trực tiếp tổ chức chi lương) </t>
  </si>
  <si>
    <t>Lần làm việc</t>
  </si>
  <si>
    <t>Giám sát và hỗ trợ công tác bán hàng tại Đơn vị (tại quầy)</t>
  </si>
  <si>
    <t xml:space="preserve">Hỗ trợ Đơn vị trong quá trình theo dõi số liệu kinh doanh </t>
  </si>
  <si>
    <t>Tiếp nhận và xử lý các yêu cầu hỗ trợ về lãi suất cho vay cầm cố của KH</t>
  </si>
  <si>
    <t>Tiếp nhận và xử lý các yêu cầu hỗ trợ về mảng tiền gửi của Đơn vị kinh doanh</t>
  </si>
  <si>
    <t>Tiếp nhận và xử lý các yêu cầu/đề xuất của Đơn vị liên quan đến hoạt động kinh doanh mảng DVKH</t>
  </si>
  <si>
    <t xml:space="preserve">Tham gia họp với các Phòng Hội sở </t>
  </si>
  <si>
    <t>Khác_BHQĐT</t>
  </si>
  <si>
    <t>BHQĐT</t>
  </si>
  <si>
    <t>PHÒNG BÁN HÀNG QUA ĐIỆN THOẠI</t>
  </si>
  <si>
    <t>58</t>
  </si>
  <si>
    <t>Phân bổ đều cho ĐV</t>
  </si>
  <si>
    <t>Thẻ quốc tế MasterCard</t>
  </si>
  <si>
    <t xml:space="preserve">Số lần tham gia </t>
  </si>
  <si>
    <t>Tham gia MasterCard Advisor Project</t>
  </si>
  <si>
    <t>Phòng soạn thảo quy trình, quy định</t>
  </si>
  <si>
    <t>Số hội đồng PV</t>
  </si>
  <si>
    <t xml:space="preserve">Phỏng vấn CBNV thuộc mảng DVKH (Giao dịch viên, NV/CV Tư vấn, …) </t>
  </si>
  <si>
    <t>Công tác khác.</t>
  </si>
  <si>
    <t>Hỗ trợ nghiệp vụ và Giám sát chất lượng cuộc gọi</t>
  </si>
  <si>
    <t>Triển khai công tác giám sát chất lượng cuộc gọi và đào tạo.</t>
  </si>
  <si>
    <t>Đào tạo kỹ năng bán hàng dành cho CBNV thuộc mảng DVKH.</t>
  </si>
  <si>
    <t>Hỗ trợ nghiệp vụ cho Bộ phận BHQĐT.</t>
  </si>
  <si>
    <t>Đào tạo kiến thức sản phẩm Thẻ&amp;NHĐTdành cho CBNV thuộc mảng DVKH.</t>
  </si>
  <si>
    <t>Vận hành hoạt động BHQĐT</t>
  </si>
  <si>
    <t>Số lần sửa đổi/cải tiến</t>
  </si>
  <si>
    <t>Quản lý, vận hành, sửa đổi/cải tiến Quy trình phối hợp bán hàng giữa Phòng BHQĐT và Đơn vị</t>
  </si>
  <si>
    <t>Xây dựng các VBQP, hệ thống liên quan đến hoạt động BHQĐT.</t>
  </si>
  <si>
    <t>Quản lý, vận hành, sửa đổi/cải tiến Chương trình quản lý bán hàng (OMS)/Chương trình Giám sát chất lượng (GSCL)/Chương trình quản lý ghi âm cuộc gọi (CIC)</t>
  </si>
  <si>
    <t>Hỗ trợ Bộ phận BHQĐT triển khai bán hàng.</t>
  </si>
  <si>
    <t>Phối hợp với ĐVKD xử lý các vấn đề phát sinh trong quá trình tiếp xúc với Khách hàng.</t>
  </si>
  <si>
    <t>Triển khai và giám sát hoạt động bán hàng trực tiếp của ĐVKD đối với các cơ hội bán hàng do Phòng BHQĐT chuyển tiếp đến ĐVKD</t>
  </si>
  <si>
    <t>Phối hợp với ĐVKD cập nhật và theo dõi tiến trình tiếp xúc với Khách hàng từ giai đoạn tạo cơ hội bán hàng cho đến khi kết thúc giao dịch.</t>
  </si>
  <si>
    <t>Theo dõi và đôn đốc đội ngũ kinh doanh thuộc quản lý ngành dọc của Khối DVNH &amp; TCCN tại ĐVKD gặp gỡ Khách hàng tiềm năng để chào bán sản phẩm và cung cấp dịch vụ theo đúng lịch hẹn đã chuyển.</t>
  </si>
  <si>
    <t>Thực hiện chuyển thông tin cơ hội bán hàng đến ĐVKD theo đúng tiêu chuẩn và quy trình phối hợp bán hàng giữa Phòng BHQĐT và ĐVKD.</t>
  </si>
  <si>
    <t>Thu thập và phản hồi đến Đơn vị có liên quan về các phản hồi của Khách hàng liên quan đến sản phẩm và chất lượng dịch vụ của SCB được thu thập trong các cuộc điện thoại BHQĐT.</t>
  </si>
  <si>
    <t>Triển khai công tác BHQĐT tập trung đối với các sản phẩm dịch vụ dành cho KHCN để hỗ trợ các ĐVKD khai thác bán hàng</t>
  </si>
  <si>
    <t xml:space="preserve">
Từ 01/7/2018 đến 31/12/2018, Phòng BHQĐT tập trung bán duy nhất sản phẩm Thẻ tín dụng quốc tế.</t>
  </si>
  <si>
    <t>Phân bổ cho CN/PGD theo số lượng phát sinh.</t>
  </si>
  <si>
    <t>Thẻ tín dụng quốc tế</t>
  </si>
  <si>
    <t>Số lượng thẻ</t>
  </si>
  <si>
    <t>Tư vấn bán sản phẩm Thẻ tín dụng quốc tế:
+ Tư vấn đặc tính sản phẩm Thẻ TDQT, ưu đãi, CTKM, ...
+ Thuyết phục khách hàng sử dụng Thẻ TD thông qua hoạt động xử lý từ chối của KH.
+ Theo dõi khách hàng cho đến khi chốt bán hàng thành công, thẻ được phát hành và phát sinh giao dịch.</t>
  </si>
  <si>
    <t>Thực hiện các chỉ tiêu bán hàng đối với các sản phẩm dịch vụ dành cho KHCN thông qua các cuộc gọi BHQĐT. Tùy theo từng sản phẩm/chiến dịch, các chỉ tiêu bán hàng bao gồm: Chỉ tiêu số lượng; Chỉ tiêu chất lượng; Chỉ tiêu Khách hàng mới</t>
  </si>
  <si>
    <t>1. TKTT + Thẻ thanh toán quốc tế + Dịch vụ E-Banking (90%);
2. Tiền gửi (Tiền gửi có kỳ hạn, Chứng chỉ tiền gửi) (10%)</t>
  </si>
  <si>
    <t xml:space="preserve">CN/PGD
</t>
  </si>
  <si>
    <t>Số lượng SPDV</t>
  </si>
  <si>
    <t>Tư vấn bán các SPDV cho KHCN mới và cũ (không bao gồm thẻ tín dụng quốc tế):
+ Tư vấn đặc tính sản phẩm dịch vụ, ưu đãi, CTKM, ...
+ Thuyết phục khách hàng sử dụng SPDV thông qua hoạt động xử lý từ chối của KH.
+ Theo dõi khách hàng cho đến khi chốt bán hàng thành công và phát hành SPDV thành công.</t>
  </si>
  <si>
    <t>Số lượng KHCN</t>
  </si>
  <si>
    <t>Tái kích hoạt KHCN cũ, bán chéo KHHH thông qua cuộc gọi tư vấn bán hàng qua điện thoại:
+ Chuẩn bị dữ liệu Khách hàng.
+ Upload dữ lệu lên Chương trình quản lý bán hàng (OMS).
+ Tìm hiểu thông tin cá nhân KH trước khi gọi điện.
+ Gọi điện tiếp cận KH.
+ Giám sát chất lượng các cuộc gọi KH đồng ý sử dụng SPDV (Lead) trước khi chuyển cho Đơn vị.
+ Chuyển Lead xuống ĐV qua Chương trình OMS.
+ Theo dõi và hỗ trợ ĐV trong quá trình xử lý Lead.</t>
  </si>
  <si>
    <t>Phát triển KHCN mới (KH new CIF) thông qua cuộc gọi tư vấn bán hàng qua điện thoại:
+ Chuẩn bị dữ liệu Khách hàng.
+ Upload dữ lệu lên Chương trình quản lý bán hàng (OMS).
+ Tìm hiểu thông tin cá nhân KH trước khi gọi điện.
+ Gọi điện tiếp cận KH.
+ Giám sát chất lượng các cuộc gọi KH đồng ý sử dụng SPDV (Lead) trước khi chuyển cho Đơn vị.
+ Chuyển Lead xuống ĐV qua Chương trình OMS.
+ Theo dõi và hỗ trợ ĐV trong quá trình xử lý Lead.</t>
  </si>
  <si>
    <t>Đánh giá hiệu quả mạng lưới điểm giao dịch, hệ thống ATM.</t>
  </si>
  <si>
    <t>Tham gia quản lý mạng lưới SCB.</t>
  </si>
  <si>
    <t>TH&amp;PT</t>
  </si>
  <si>
    <t>PHÒNG TỔNG HỢP VÀ PHÂN TÍCH</t>
  </si>
  <si>
    <t>56</t>
  </si>
  <si>
    <t>Tham gia có ý kiến đối với việc di dời trụ sở của các Đơn vị.</t>
  </si>
  <si>
    <t>Tham gia xây dựng quy hoạch mạng lưới SCB.</t>
  </si>
  <si>
    <t>Cung cấp số liệu phục vụ công tác kiểm toán báo cáo tài chính của SCB</t>
  </si>
  <si>
    <t>Khác_TH&amp;PT</t>
  </si>
  <si>
    <t>Thực hiện cung cấp thông tin, thực hiện các nội dung liên quan theo yêu cầu của cơ quan có thẩm quyền (Cơ quan thuế, Cơ quan phòng chống rửa tiền, Cơ quan thanh tra, giám sát NHNN, Cơ quan điều tra…)</t>
  </si>
  <si>
    <t>Thực hiện công tác thống kê, báo cáo cơ quan quản lý nhà nước (BC cho vay hỗ trợ nhà ở, BC Hiệp hội thẻ, BC thu nhập chi phí cổ đông, Báo cáo TT35, BC chăn nuôi lợn, BC theo QĐ 1355 - NHNN, BC cho vay công nghệ cao nông nghiệp sạch)</t>
  </si>
  <si>
    <t>Tham gia các buổi họp do các Phòng khác tổ chức</t>
  </si>
  <si>
    <t>Số lượng báo cáo được thực hiện</t>
  </si>
  <si>
    <t>Thực hiện báo cáo doanh số giải ngân/dư nợ quản lý để tính lương hiệu suất</t>
  </si>
  <si>
    <t>Lập các báo cáo tổng hợp, nội bộ và bên ngoài liên quan công tác triển khai KPIs</t>
  </si>
  <si>
    <t>Xây dựng và vận hành hệ thống/chương trình quản lý KPIs nhân sự thuộc quản lý ngành dọc thuộc Khối DVNH &amp; TCCN trên toàn hệ thống</t>
  </si>
  <si>
    <t>Tổng hợp và trình kết quả Chương trình "Tăng tốc cho vay KHCN"</t>
  </si>
  <si>
    <t>Tham gia xây dựng và triển khai các chương trình thi đua, các hoạt động phong trào dành cho đội ngũ nhân sự kinh doanh thuộc quản lý ngành dọc thuộc Khối DVNH &amp; TCCN trên toàn hệ thống.</t>
  </si>
  <si>
    <t>Tổng hợp và trình kết quả Chương trình "Mở nhanh - May mắn cùng 3X"</t>
  </si>
  <si>
    <t>Tổng hợp và trình kết quả Chương trình "Bứt phá huy động KHCN"</t>
  </si>
  <si>
    <t>Tổng hợp và trình kết quả Các chương trình thi đua khác</t>
  </si>
  <si>
    <t>Tổng hợp và trình kết quả Chương trình thi đua "Biệt đội siêu anh hùng"</t>
  </si>
  <si>
    <t>Tổng hợp và trình kết quả Chương trình thi đua phát hành GTCG</t>
  </si>
  <si>
    <t>Tổng hợp và trình kết quả Chương trình "Vượt chỉ tiêu tháng - Hoành tráng cả năm"</t>
  </si>
  <si>
    <t>Tổng kết kết quả chương trình thi đua "Về đích huy động - Rước lộc đón xuân" năm 2017</t>
  </si>
  <si>
    <t>Phối hợp tổng kết kết quả chương trình thi đua "Phát triển số lượng KHCN vay mới" năm 2017</t>
  </si>
  <si>
    <t>Tổng kết kết quả chương trình thi đua "Tăng thu ngoài lãi - Bội thưởng cả năm"</t>
  </si>
  <si>
    <t>Tiếp tục theo dõi, tổng kết kết quả chương trình thi đua "Duy trì GTCG dài hạn năm 2017"</t>
  </si>
  <si>
    <t>Tiếp tục theo dõi, tổng kết kết quả chương trình thi đua "Vượt chỉ tiêu tháng - Hoành tráng cả năm" năm 2017</t>
  </si>
  <si>
    <t>Lập báo cáo phân tích, đánh giá kết quả thực hiện KPIs của nhân sự thuộc quản lý ngành dọc thuộc Khối DVNH &amp; TCCN trên toàn hệ thống.</t>
  </si>
  <si>
    <t>Báo cáo kết quả KPIs</t>
  </si>
  <si>
    <t xml:space="preserve">Xây dựng và vận hành hệ thống/chương trình quản lý KPIs nhân sự thuộc quản lý ngành dọc thuộc Khối DVNH &amp; TCCN trên toàn hệ thống. </t>
  </si>
  <si>
    <t>Truyền thông bộ chỉ tiêu KPIs: Rà soát việc gắn mã, hỗ trợ phản hồi thắc mắc của CBNV</t>
  </si>
  <si>
    <t>Truyền thông bộ chỉ tiêu KPIs: Phối hợp truyền thông bộ chỉ tiêu KPIs đến các CBNV mới nhận việc tại SCB</t>
  </si>
  <si>
    <t>Kiểm tra kết quả KPIs của các Đơn vị kinh doanh hàng ngày</t>
  </si>
  <si>
    <t>Xây dựng và triển khai chương trình thi đua tiếp nối chương trình "Chiến binh sales" dành cho CV/NV KHCN</t>
  </si>
  <si>
    <t>Phối hợp giao chỉ tiêu kinh doanh và đánh giá kết quả thực hiện của các chức danh Lãnh đạo Đơn vị kinh doanh</t>
  </si>
  <si>
    <t>Xây dựng bổ chỉ tiêu KPIs</t>
  </si>
  <si>
    <t>Phối hợp xây dựng quy định/chính sách KPIs áp dụng cho nhân sự thuộc quản lý ngành dọc thuộc Khối DVNH &amp; TCCN trên toàn hệ thống.</t>
  </si>
  <si>
    <t>Thực hiện báo cáo đánh giá hiệu quả hoạt động Khối DVNH &amp; TCCN định kỳ.</t>
  </si>
  <si>
    <t>Tổng hợp, phân tích và đánh giá tình hình thực hiện kế hoạch kinh doanh mảng KHCN của các Đơn vị, hiệu quả hoạt động Khối DVNH &amp; TCCN</t>
  </si>
  <si>
    <t>Tổng hợp, phân tích, báo cáo hoạt động thuộc mảng KHCN.</t>
  </si>
  <si>
    <t>Tổng hợp, theo dõi và kiểm soát tình hình thực hiện kế hoạch ngân sách hoạt động Khối DVNH &amp; TCCN</t>
  </si>
  <si>
    <t>Báo cáo kết quả chương trình thi đua dành cho CV/NV KHCN</t>
  </si>
  <si>
    <t>Phối hợp xây dựng và triển khai các chương trình thi đua trong hoạt động kinh doanh Khối DVNH &amp; TCCN.</t>
  </si>
  <si>
    <t>Báo cáo phân tích, đánh giá tình hình thực hiện các chỉ tiêu kinh doanh K.NHBL định kỳ hàng 06 tháng</t>
  </si>
  <si>
    <t>Định kỳ thực hiện báo cáo đánh giá, phân tích tình hình thực hiện các chỉ tiêu kinh doanh mảng KHCN của các Đơn vị trên toàn hệ thống.</t>
  </si>
  <si>
    <t>Báo cáo phân tích, đánh giá tình hình thực hiện các chỉ tiêu kinh doanh K.NHBL định kỳ hàng quý</t>
  </si>
  <si>
    <t>Giám sát, đo lường tình hình triển khai các chỉ tiêu kế hoạch kinh doanh mảng NHBL năm 2018 của các Đơn vị trong toàn hàng theo định kỳ tháng</t>
  </si>
  <si>
    <t>Giám sát, đo lường tình hình triển khai các chỉ tiêu kế hoạch kinh doanh mảng NHBL năm 2018 của các Đơn vị trong toàn hàng theo định kỳ tuần</t>
  </si>
  <si>
    <t>Giám sát, đo lường tình hình triển khai các chỉ tiêu kế hoạch kinh doanh mảng NHBL năm 2018 của các Đơn vị trong toàn hàng theo định kỳ ngày</t>
  </si>
  <si>
    <t>Các phòng K.NHBL</t>
  </si>
  <si>
    <t>Tham gia xây dựng Kế hoạch hoạt động kinh doanh Khối NHBL năm 2019</t>
  </si>
  <si>
    <t>Đầu mối xây dựng và tổng hợp kế hoạch kinh doanh Khối DVNH &amp; TCCN.</t>
  </si>
  <si>
    <t>Tham gia xây dựng kế hoạch kinh doanh, kế hoạch hoạt động năm 2020 đối với mảng NHBL</t>
  </si>
  <si>
    <t>Hoàn thiện phân bổ kế hoạch kinh doanh năm 2019</t>
  </si>
  <si>
    <t>Hỗ trợ, cung cấp số liệu liên quan đến hoạt động Khối NHBL cho Lãnh đạo Khối NHBL và các Đơn vị (Phòng Hội sở, ĐV kinh doanh)</t>
  </si>
  <si>
    <t>Chịu trách nhiệm cung cấp dữ liệu hoạt động thuộc mảng KHCN cho Lãnh đạo Khối DVNH &amp; TCCN, các Phòng thuộc Khối DVNH &amp; TCCN và ĐVKD</t>
  </si>
  <si>
    <t>Xây dựng và quản lý dữ liệu hoạt động thuộc mảng KHCN</t>
  </si>
  <si>
    <t>Hoàn thiện các báo cáo nhằm hỗ trợ quản lý hoạt động kinh doanh mảng bán lẻ</t>
  </si>
  <si>
    <t>Đầu mối xây dựng và triển khai hệ thống báo cáo quản trị hoạt động kinh doanh mảng KHCN.</t>
  </si>
  <si>
    <t>Sản phẩm thẻ và NHĐT</t>
  </si>
  <si>
    <t>Rà soát, tinh gọn, bổ sung báo cáo liên quan đến nghiệp vụ thẻ và NHĐT</t>
  </si>
  <si>
    <t>Xác nhận dư nợ CBNV SCB HO nghỉ việc (Không bao gồm nhân sự tại CTy Thời Đại, Sinh Tài, AMC)</t>
  </si>
  <si>
    <t>Khác_QLKDTD</t>
  </si>
  <si>
    <t>QLKDTD</t>
  </si>
  <si>
    <t>PHÒNG QUẢN LÝ KINH DOANH TÍN DỤNG</t>
  </si>
  <si>
    <t>54</t>
  </si>
  <si>
    <t xml:space="preserve">Xử lý tờ trình về phí phạt trả trước, lãi suất vay, điều kiện báo chéo khi cho vay KHCN </t>
  </si>
  <si>
    <t>Đánh giá hiệu quả công tác thu hồi nợ quá hạn thẻ tín dụng dưới 90 ngày hàng ngày thông qua báo cáo tác nghiệp hàng ngày giúp đơn vị theo dõi tiến độ thu nợ và có những chương trình hành động cụ thể từng thời kỳ</t>
  </si>
  <si>
    <t>Thực hiện theo dõi, đôn đốc ĐVKD trong công tác nhắc nhở và thu hồi các khoản vay có tài sản bảo đảm</t>
  </si>
  <si>
    <t>Quản lý dư nợ Thẻ tín dụng của toàn hệ thống và xử lý dư nợ Thẻ tín dụng quá hạn dưới 90 ngày</t>
  </si>
  <si>
    <t>Đầu mối hỗ trợ và tư vấn đơn vị trong công tác quản lý và thu hồi nợ thẻ quá hạn dưới 90 ngày và hướng dẫn đơn vị thực hiện các yêu cầu theo đề nghị của Phòng nghiệp vụ liên quan</t>
  </si>
  <si>
    <t>Thực hiện các báo cáo thống kê định kỳ và đột xuất liên quan nợ thẻ tín dụng theo quy định.</t>
  </si>
  <si>
    <t>- Số lượng thẻ TD phát sinh trong kỳ</t>
  </si>
  <si>
    <t>- Công tác đầu mối chuyển giao các khoản thẻ tín dụng quá hạn thuộc nhóm 3,4,5 sang Phòng Xử lý nợ &amp; Khai thác tài sản.
- Công tác đầu mối hỗ trợ đơn vị chuyển những khoản nợ thẻ nhóm 2 đến P.XLN hỗ trợ giải quyết</t>
  </si>
  <si>
    <t>Rà soát, bàn giao và phối hợp với các Phòng Xử lý nợ và khai thác tài sản trong công tác xử lý nợ thẻ tín dụng từ 90 ngày trở lên. Đào tạo, hỗ trợ các Đơn vị các kỹ năng cần thiết trong công tác xử lý nợ thẻ tín dụng từ 0- 90 ngày.</t>
  </si>
  <si>
    <t xml:space="preserve">- Số lượng hồ sơ phát sinh trong kỳ
</t>
  </si>
  <si>
    <t xml:space="preserve">Công tác quản lý và thu hồi nợ thẻ tín dụng quá hạn dưới 90 ngày qua điện thoại, email, trực tiếp khách hàng, hoặc thông qua đầu mối  ĐVKD </t>
  </si>
  <si>
    <t>Thực hiện công tác nhắc nhở và đôn đốc Khách hàng thanh toán dư nợ thẻ tín dụng đến hạn thanh toán.</t>
  </si>
  <si>
    <t>Tổ chức đội ngũ nhân sự quản lý dư nợ thẻ tín dụng tập trung.</t>
  </si>
  <si>
    <t xml:space="preserve"> Phân tích số liệu chi tiết các khoản thẻ tín dụng quá hạn hàng tuần dựa trên các báo cáo Cardwork giúp đơn vị nắm bắt thực trạng nợ thẻ tín dụng</t>
  </si>
  <si>
    <t>Xây dựng các công cụ quản lý dư nợ thẻ tín dụng hiệu quả, các phương pháp/kịch bản xử lý nợ thẻ tín dụng quá hạn dưới 90 ngày.</t>
  </si>
  <si>
    <t>Xây dựng email thông tin các khoản nợ thẻ chậm thanh toán đầu ngày gửi đến nhóm mail do CN/PGD đăng ký nhận.</t>
  </si>
  <si>
    <t>Theo chi nhánh phát sinh</t>
  </si>
  <si>
    <t xml:space="preserve"> Xây dựng một số chính sách liên quan công tác hỗ trợ đơn vị kinh doanh thu hồi nợ thẻ</t>
  </si>
  <si>
    <t>Đánh giá hiệu quả Pos hàng quý</t>
  </si>
  <si>
    <t>Thực hiện các báo cáo liên quan đến hoạt động chấp nhận thẻ qua POS; đánh giá hiệu quả kinh doanh hoặc theo yêu cầu của các cơ quan chức năng</t>
  </si>
  <si>
    <t>Quản lý và phát triển Đơn vị chấp nhận thẻ POS ; Tổ chức, quản lý hoạt động kinh doanh chấp nhận thanh toán thẻ qua POS nhằm đạt mục tiêu kinh doanh của Ngân hàng</t>
  </si>
  <si>
    <t>P.TNT
P.TH&amp;PT</t>
  </si>
  <si>
    <t>Báo cáo đánh giá hoạt động Pos hàng tháng</t>
  </si>
  <si>
    <t>Thực hiện tham gia các chương trình xây dựng phần mềm quản lý Đơn vị chấp nhận thẻ, các xây dựng báo cáo liên quan đến hoạt động POS.</t>
  </si>
  <si>
    <t>Phối hợp Phòng Kỹ thuật thẻ và Ngân hàng Số, Phòng Giám sát và Xử lý tra soát thẻ và Ngân hàng Số xử lý các vấn đề liên quan đến ĐVCNT trong công tác tra soát, khiếu nại, các giao dịch gian lận MO, ứng tiền mặt…nhằm tránh rủi ro trong hoạt động chấp nhận thanh tóan thẻ bao gồm giám sát quá trình triển khai nghiệp vụ  POS của toàn hàng, xây dựng/triển khai các biện pháp phòng ngừa, khắc phục sự cố.</t>
  </si>
  <si>
    <t xml:space="preserve">Phối hợp cùng các Phòng/ban, các đơn vị thực hiện các chính sách khách hàng, chương trình khuyến mãi, bán chéo sản phẩm. </t>
  </si>
  <si>
    <t>Phối hợp Phòng Marketing Sản phẩm Bán lẻ xây dựng các thư ngỏ, hướng dẫn sử dụng máy POS, các hướng dẫn nhận biết thẻ giả, thẻ thật và một số lưu ý cho hoạt động POS.</t>
  </si>
  <si>
    <t>Triển khai hoạt động chấp nhận thẻ qua POS, hỗ trợ các đơn vị tiếp thị gia tăng số lượng ĐVCNT, mở rộng mạng lưới đơn vị chấp nhận thanh toán thẻ, phát triển các ĐVCNT qua các đối tác liên kết với SCB.</t>
  </si>
  <si>
    <t>P.Kế Toán</t>
  </si>
  <si>
    <t>Lập bảng tổng hợp phân bổ chi phí ấn phẩm Pos</t>
  </si>
  <si>
    <t>Xây dựng kế hoạch mua sắm ấn phẩm POS… phục vụ cho hoạt động kinh doanh chấp nhận thẻ qua POS.</t>
  </si>
  <si>
    <t>Xử lý tờ trình giảm phí, duy trì hoạt động, chi phí lễ tân khánh tiết Pos</t>
  </si>
  <si>
    <t>Triển khai, quản lý, giám sát và đánh giá các chương trình, chính sách liên quan đến hoạt động chấp nhận thẻ phù hợp với các mục tiêu kinh doanh bán lẻ của Ngân hàng.</t>
  </si>
  <si>
    <t>Hộ kinh doanh</t>
  </si>
  <si>
    <t>Thẩm định hồ sơ Pos</t>
  </si>
  <si>
    <t>Thẩm định các Đơn vị chấp nhận thẻ (ĐVCNT) đủ điều kiện lắp đặt POS đảm bảo việc lắp đặt đạt hiệu quả sử dụng và hiệu quả kinh doanh.</t>
  </si>
  <si>
    <t xml:space="preserve">Triển khai và giám sát thực hiện kinh doanh chấp nhận thẻ qua POS trong ngắn hạn và dài hạn. </t>
  </si>
  <si>
    <t>Đánh giá hoàn thành công việc nhân sự tại ĐV</t>
  </si>
  <si>
    <t>Theo dõi và đánh giá chất lượng nhân sự và đề xuất các chính sách liên quan đến nhân sự thuộc mảng kinh doanh KHCN tại Đơn vị</t>
  </si>
  <si>
    <t>Quản lý và đào tạo đội ngũ kinh doanh bán lẻ tại Đơn vị</t>
  </si>
  <si>
    <t>KHBL</t>
  </si>
  <si>
    <t>P.ĐTKD</t>
  </si>
  <si>
    <t>Đào tạo, tập huấn chính sách cho CBNV KHCN của Đơn vị</t>
  </si>
  <si>
    <t>Xây dựng và phối hợp với Học viện SCB và các Phòng Hội sở triển khai các chương trình đào tạo nhân sự.</t>
  </si>
  <si>
    <t>Xây dựng, quản lý giám sát Nguồn nhân lực dự trữ KHCN</t>
  </si>
  <si>
    <t>Xây dựng định biên nhân sự và phối hợp công tác tuyển dụng/bổ nhiệm nhân sự đối với  các chức danh thuộc quản lý ngành dọc.</t>
  </si>
  <si>
    <t>0.5</t>
  </si>
  <si>
    <t>Phỏng vấn nhân sự các vị trí NV/CV KHCN</t>
  </si>
  <si>
    <t>Phỏng vấn nhân sự các vị trí Lãnh đạo ĐVKD</t>
  </si>
  <si>
    <t>Hỗ trợ Đơn vị giải quyết các khó khăn vướng mắc về lãi suất, phí phạt, bảo hiểm … ngoại lệ so với các quy định trong chính sách sản phẩm, chính sách khách hàng, chương trình khuyến mãi</t>
  </si>
  <si>
    <t>Quản lý và thúc đẩy bán các sản phẩm tín dụng cá nhân theo từng thời kỳ</t>
  </si>
  <si>
    <t>Theo dõi tiến độ phát sinh khó khăn hồ sơ tín dụng về định giá/thẩm định</t>
  </si>
  <si>
    <t>Xây dựng và triển khai hoạt động thúc đẩy bán hàng tại các Đơn vị.</t>
  </si>
  <si>
    <t>Họp các Phòng ban xử lý khó khăn phát sinh cùa ĐVKD</t>
  </si>
  <si>
    <t>Số lượng yêu cầu của từng phòng</t>
  </si>
  <si>
    <t>Số lượt ý kiến</t>
  </si>
  <si>
    <t>Cho ý kiến, đề xuất, các sản phẩm, chương trình, chính sách có liên quan đến KHCN, họp với các phòng ban khác</t>
  </si>
  <si>
    <t>Tham gia các hoạt động thúc đẩy trực tiếp cùng các đơn vị (bán hàng trực tiếp, đào tạo, miniroadshow, hội thảo,...)</t>
  </si>
  <si>
    <t>0.4</t>
  </si>
  <si>
    <t>Xây dựng chương trình thúc đẩy trực tiếp, thực hiện các chương trình thúc đẩy cùng đơn vị, các dự án cùng các đối tác, hội thảo bán hàng</t>
  </si>
  <si>
    <t>Tổng hợp báo cáo, trình bày báo cáo các đơn vị/ vùng quản lý</t>
  </si>
  <si>
    <t>0.1</t>
  </si>
  <si>
    <t>0.25</t>
  </si>
  <si>
    <t>Báo cáo, tương tác</t>
  </si>
  <si>
    <t>Quản lý bán hàng đối với ĐVKD</t>
  </si>
  <si>
    <t>Tương tác</t>
  </si>
  <si>
    <t>Tương tác hỗ trợ đơn vị qua điện thoại, zalo, mail (4 tác vụ/ngày/người, mỗi tác vụ 10 phút)</t>
  </si>
  <si>
    <t>P.PTNS</t>
  </si>
  <si>
    <t>Xây dựng các chương trình hỗ trợ (nâng ngạch, bậc lương; khác)</t>
  </si>
  <si>
    <t>Xây dựng Chương trình nhật ký bán hàng, tư vấn bán hàng</t>
  </si>
  <si>
    <t>Xây dựng và triển khai các chương trình thi đua nội bộ.</t>
  </si>
  <si>
    <t>Họp Đánh giá ĐVKD</t>
  </si>
  <si>
    <t>Xây dựng, triển khai và giám sát việc thực hiện chỉ tiêu kinh doanh tín dụng và các sản phẩm khác theo định hướng từng thời kỳ của Đơn vị.</t>
  </si>
  <si>
    <t>Báo cáo đánh giá định kỳ hoạt động của mảng tín dụng</t>
  </si>
  <si>
    <t>Tiếp nhận và xử lý vướng mắc của Đơn vị phân khúc bán lẻ</t>
  </si>
  <si>
    <t>Xây dựng Bộ tài liệu Quy trình giám sát hoạt động kinh doanh phân khúc bán lẻ</t>
  </si>
  <si>
    <t>- Số lượng hồ sơ phát sinh trong kỳ
- Doanh số phát sinh trong kỳ</t>
  </si>
  <si>
    <t>Xây dựng ban hành/rà soát đánh giá, quản lý Sản phẩm tín dụng đặc thù đơn vị</t>
  </si>
  <si>
    <t>Số dư sản phẩm tiín dụng</t>
  </si>
  <si>
    <t>Xây dựng ban hành/rà soát đánh giá, quản lý Sản phẩm tín dụng phân khúc bán lẻ</t>
  </si>
  <si>
    <t>Số dư sản phẩm tiền vay</t>
  </si>
  <si>
    <t>Các sản phẩm tiền vay</t>
  </si>
  <si>
    <t>Xây dựng ban hành/rà soát đánh giá, quản lý Biểu lãi suất tiền vay</t>
  </si>
  <si>
    <t>Phối hợp nghiên cứu, đánh giá tiềm năng phát triển tín dụng bán lẻ của Đơn vị tại địa bàn trú đóng.</t>
  </si>
  <si>
    <t>Khác_TĐ&amp;PD</t>
  </si>
  <si>
    <t>TĐ&amp;PD</t>
  </si>
  <si>
    <t>PHÒNG THẨM ĐỊNH VÀ PHÊ DUYỆT</t>
  </si>
  <si>
    <t>06</t>
  </si>
  <si>
    <t>Thẻ tín dụng</t>
  </si>
  <si>
    <t>Duyệt hồ sơ thẻ tín dụng trên phần mềm</t>
  </si>
  <si>
    <t>Thực hiện phê duyệt hồ sơ phát hành/nâng/giảm... hạn mức thẻ (đã được cấp thẩm quyền phê duyệt) trên hệ thống phần mềm theo quy định</t>
  </si>
  <si>
    <t>Thực hiện nhập liệu và duyệt hồ sơ phát hành/nâng/giảm... hạn mức thẻ trên hệ thống phần mềm theo quy định</t>
  </si>
  <si>
    <t>Sản phẩm tín dụng</t>
  </si>
  <si>
    <t>Nhập liệu hồ sơ thẻ tín dụng lên phần mềm (bao gồm nhập liệu và scan KQPD)</t>
  </si>
  <si>
    <t>Thực hiện lưu trữ hồ sơ (bao gồm lấy số, đóng dấu, photo, lưu folder, đóng cuốn,…)</t>
  </si>
  <si>
    <t>Thực hiện nhập liệu thông tin hồ sơ/ khách hàng trên phần mềm theo quy định, đảm bảo sự khớp đúng giữa hồ sơ thực tế và dữ liệu nhập lên hệ thống.</t>
  </si>
  <si>
    <t>Thực hiện nhận và phân bổ hồ sơ</t>
  </si>
  <si>
    <t>Thực hiện kiểm tra tính đầy đủ của hồ sơ theo danh mục quy định.</t>
  </si>
  <si>
    <t>Phê duyệt từ chối cấp tín dụng nếu hồ sơ Khách hàng không đạt yêu cầu theo quy định của SCB và pháp luật</t>
  </si>
  <si>
    <t>Thực hiện thẩm định/tái thẩm định các hồ sơ tín dụng mảng KHCN theo thẩm quyền</t>
  </si>
  <si>
    <t>Thực hiện thẩm định trực tiếp hồ sơ có giá trị lớn hơn 10 tỷ đồng/hồ sơ cần làm rõ trước phê duyệt</t>
  </si>
  <si>
    <t>Phê duyệt cấp tín dụng cho Khách hàng theo quy định về phân cấp, ủy quyền phán quyết kinh doanh và đầu tư đảm bảo tuân thủ quy định của SCB và pháp luật về hoạt động cấp tín dụng.</t>
  </si>
  <si>
    <t>Thực hiện kiểm tra thông tin thẩm quyền phê duyệt và ngoại lệ hồ sơ trên FCC</t>
  </si>
  <si>
    <t>Thay đổi điều kiện cấp tín dụng</t>
  </si>
  <si>
    <t>Thẩm định/tái thẩm định/phê duyệt Vay CMNLTC</t>
  </si>
  <si>
    <t>Thẩm định/tái thẩm định/phê duyệt Vay cầm cố STK</t>
  </si>
  <si>
    <t>- Doanh Số phát sinh trong kỳ</t>
  </si>
  <si>
    <t>Thẩm định/tái thẩm định/phê duyệt Vay tiêu dùng không TSBĐ</t>
  </si>
  <si>
    <t>Thẩm định/tái thẩm định/phê duyệt Vay tiêu dùng có TSBĐ</t>
  </si>
  <si>
    <t>Vay kinh doanh</t>
  </si>
  <si>
    <t>Thẩm định/tái thẩm định/phê duyệt Thẻ tín dụng preapprove</t>
  </si>
  <si>
    <t>Thẩm định/tái thẩm định/phê duyệt Thẻ tín dụng thông thường</t>
  </si>
  <si>
    <t>Thực hiện thẩm định/tái thẩm định đối với các hồ sơ tín dụng cho Khách hàng thuộc mảng KHCN vượt quyền phán quyết của ĐVKD tuân thủ quy định SCB và quy định Pháp luật về hoạt động tín dụng.</t>
  </si>
  <si>
    <t>Dự án LOS</t>
  </si>
  <si>
    <t>Thực hiện các công việc liên quan đến dự án LOS</t>
  </si>
  <si>
    <t>Phối hợp thực hiện các dự án liên quan đến nghiệp vụ tín dụng đối với mảng KHCN</t>
  </si>
  <si>
    <t>Quản lý hoạt động thẩm định/tái thẩm định và phê duyệt tín dụng mảng KHCN</t>
  </si>
  <si>
    <t>Thực hiện tổng hợp và báo cáo dữ liệu hồ sơ xử lý hàng tháng</t>
  </si>
  <si>
    <t>Kiểm tra, giám sát các ĐVKD trong việc thực hiện các quy định liên quan đến hoạt động tín dụng mảng KHCN.</t>
  </si>
  <si>
    <t>Thực hiện xây dựng/điều chỉnh Ngân hàng đề thi dành cho NV/CVKHCN</t>
  </si>
  <si>
    <t xml:space="preserve">Hướng dẫn, hỗ trợ, đào tạo các ĐVKD trong hệ thống SCB thực hiện công tác thẩm định trong hoạt động tín dụng mảng KHCN. </t>
  </si>
  <si>
    <t>Cộng thêm thời gian di chuyển đối với các lớp ngoài HCM</t>
  </si>
  <si>
    <t>Phối hợp Phòng đào tạo tổ chức đào tạo cho GĐ/PGĐ PGD về Phân tích tín dụng dành cho KHCN</t>
  </si>
  <si>
    <t>Phối hợp Phòng đào tạo tổ chức đào tạo NV/CVTV về Thẩm định hồ sơ thẻ tín dụng</t>
  </si>
  <si>
    <t>Phối hợp Phòng đào tạo tổ chức đào tạo NV/CVKHCN, LĐ PKD về Quy trình cấp tín dụng dành cho KH thuộc phân khúc bán lẻ</t>
  </si>
  <si>
    <t>Phối hợp Phòng đào tạo tổ chức đào tạo NV/CVKHCN, LĐPKD về chuyên đề Phân tích tín dụng</t>
  </si>
  <si>
    <t>Thực hiện tư vấn đơn vị hoàn thiện hồ sơ vay</t>
  </si>
  <si>
    <t>- Phân bổ đều cho chi nhánh</t>
  </si>
  <si>
    <t>Phối hợp xây dựng Quy trình thẻ tín dụng điều chỉnh</t>
  </si>
  <si>
    <t>Phối hợp xây dựng Quy định, Quy trình thẩm định, phê duyệt tín dụng cho Khách hàng thuộc mảng KHCN đảm bảo công tác thẩm định, phê duyệt được nhanh chóng, hiệu quả.</t>
  </si>
  <si>
    <t>SPDVPTD</t>
  </si>
  <si>
    <t>Thực hiện góp ý Chính sách thẻ tín dụng (bao gồm thời gian họp có liên quan)</t>
  </si>
  <si>
    <t>QL&amp;TĐBH</t>
  </si>
  <si>
    <t>Thực hiện góp ý Quy trình cấp tín dụng dành cho KHBL</t>
  </si>
  <si>
    <t>Góp ý Tài liệu chất lượng theo yêu cầu của các Phòng/Ban/Trung tâm/Đơn vị.</t>
  </si>
  <si>
    <t>Rà soát điều chỉnh Hướng dẫn thẩm định qua điện thoại dành cho NV/CVTĐTDKHCN</t>
  </si>
  <si>
    <t>Tổ chức phân luồng phê duyệt thẻ nhanh</t>
  </si>
  <si>
    <t>Xây dựng/góp ý và quản lý các chính sách, hướng dẫn về tín dụng mảng KHCN có liên quan hoạt động thẩm định, phê duyệt cấp tín dụng của SCB.</t>
  </si>
  <si>
    <t>Khác_PTSPBL</t>
  </si>
  <si>
    <t>PTSPBL</t>
  </si>
  <si>
    <t>PHÒNG PHÁT TRIỂN SẢN PHẨM BÁN LẺ</t>
  </si>
  <si>
    <t>01</t>
  </si>
  <si>
    <t>Hỗ trợ công tác kinh doanh dịch vụ Thẻ tại ĐVKD.</t>
  </si>
  <si>
    <t>Xây dựng và tổ chức triển khai các chương trình chăm sóc KHCN</t>
  </si>
  <si>
    <t>Đào tạo, tập huấn và truyền thông các nội dung liên quan đến chương trình, sản phẩm, quy định thẻ.</t>
  </si>
  <si>
    <t>Trực tiếp làm việc và đàm phán với các Tổ chức thẻ quốc tế liên quan đến các Hợp đồng tài trợ</t>
  </si>
  <si>
    <t>Triển khai các chương trình khuyến mại, chăm sóc Khách hàng liên quan đến Dịch vụ Ngân hàng Số (nếu có) trong từng thời kỳ</t>
  </si>
  <si>
    <t>Phối hợp với các Phòng Hội sở mô tả, xây dựng và cải tiến các hệ thống/chương trình/phần mềm/báo cáo để hỗ trợ các ĐVKD thực hiện các giao dịch tiền gửi và dịch vụ truyền thống một cách nhanh chóng và dễ dàng.</t>
  </si>
  <si>
    <t>Cá nhân</t>
  </si>
  <si>
    <t xml:space="preserve">Giải đáp thắc mắc của Đơn vị liên quan đến chính sách Khách hàng </t>
  </si>
  <si>
    <t>Xây dựng các chương trình chăm sóc Khách hàng</t>
  </si>
  <si>
    <t>Số lượng Phiếu ý kiến/tờ trình</t>
  </si>
  <si>
    <t>TT/PYK</t>
  </si>
  <si>
    <t>Xử lý Tờ trình/Phiếu yêu cầu của Đơn vị liên quan đến chính sách Khách hàng</t>
  </si>
  <si>
    <t>Số lượng khách hàng nhận được ưu đãi từ chương trình CSKH</t>
  </si>
  <si>
    <t>Chương trình CSKH</t>
  </si>
  <si>
    <t>Triển khai các chương trình CSKH (bao gồm: họp thống nhất, trình triển khai, thực hiện triển khai, đánh giá và xây dựng hiệu quả của các Chương trình CSKH,…)</t>
  </si>
  <si>
    <t>Đánh giá, xây dựng hiệu quả của các Chương trình CSKH (tỷ lệ khách hàng tiền gửi duy trì và tăng mới sử dụng sản phẩm/dịch vụ tại SCB, chi phí sử dụng CSKH với hiệu lợi nhuận/doanh số mang lại)</t>
  </si>
  <si>
    <t>Số lượng Khách hàng VIP theo từng Loại VIP</t>
  </si>
  <si>
    <t>Xây dựng/cải tiến, triển khai chương trình chính sách cho Khách hàng</t>
  </si>
  <si>
    <t>Hỗ trợ giải đáp các thắc mắc/giải quyết khiếu nại (nếu có) của Đơn vị/Khách hàng và các Phòng ban liên quan trả góp</t>
  </si>
  <si>
    <t>Phát triển các Điểm ưu đãi, liên kết và trả góp 0% lãi suất dành cho Thẻ SCB.</t>
  </si>
  <si>
    <t>Quản lý và phát triển Sản phẩm Dịch vụ Tín dụng cá nhân</t>
  </si>
  <si>
    <t>Tổng hợp, theo dõi tình hình liên kết trả góp, hiệu quả liên kết báo cáo Lãnh đạo Phòng, Trung tâm định kỳ hàng tuần</t>
  </si>
  <si>
    <t>Hạch toán và phối hợp xuất hóa đơn cho đối tác  0% lãi suất,  phân bổ chi phí để kế toán ghi nhận doanh thu thu được từ trả góp cho các đơn vị SCB theo từng loại thẻ MC/VS định kỳ hàng tháng</t>
  </si>
  <si>
    <t>Số lượng đối soát với đối tác</t>
  </si>
  <si>
    <t>Số lượng giao dịch</t>
  </si>
  <si>
    <t>Ký hợp đồng với đối tác  0% lãi suất (bao gồm góp ý, lấy ý kiến pháp chế, trình ký)</t>
  </si>
  <si>
    <t>Liên hệ với đối tác 0% lãi suất (bao gồm: tiếp thị đối tác trả góp 0% lãi suất, thương lượng phí, chốt quy trình đối soát với từng đối tác…)</t>
  </si>
  <si>
    <t>Đối soát số liệu, hạch toán chi phí liên kết SCB Plus</t>
  </si>
  <si>
    <t>Tiến hành phối hợp theo dõi và truyền thông liên tục các chương trình ưu đãi của tổ chức thẻ định kỳ mỗi 2 tuần</t>
  </si>
  <si>
    <t>Nghe điện thoại phản hồi thắc mắc của đơn vị kinh doanh liên quan đến chương trình</t>
  </si>
  <si>
    <t>Tiếp nhận khiếu nại và giải đáp khiếu nại của Phòng CSKH khi có vấn đề phát sinh về đối tác liên kết SCB Plus</t>
  </si>
  <si>
    <t>Tổ chức workshop/ event cho các đối tác liên kết SCB Plus</t>
  </si>
  <si>
    <t>Xuất số liệu, rà soát hiệu quả hợp tác của từng đối tác SCB Plus và báo cáo số liệu với lãnh đạo phòng/khối định kỳ hàng tuần</t>
  </si>
  <si>
    <t>Báo cáo truyền thông cho đối tác SCB Plus định kỳ</t>
  </si>
  <si>
    <t>Phân bổ voucher/ phiếu quà tặng của đối tác SCB Plus cho từng đơn vị SCB (nếu có)</t>
  </si>
  <si>
    <t>Quản lý vận hành của đối tác SCB Plus: kiểm tra hình thức ưu đãi từ đối tác, kiểm tra nhân viên đối tác, kiểm tra POSM đặt tại đối tác định kỳ tháng/quý tùy theo đối tác</t>
  </si>
  <si>
    <t>Đào tạo nhân viên của đối tác SCB Plus tại địa điểm ưu đãi về chương trình liên kết 02 bên</t>
  </si>
  <si>
    <t>Lên các thông báo cập nhật danh sách điểm ưu đãi SCB Plus định kỳ hàng tháng</t>
  </si>
  <si>
    <t>Phối hợp thực hiện các kênh ưu đãi truyền thông SCB Plus như cam kết với đối tác đến Khách hàng</t>
  </si>
  <si>
    <t>Ban hành hướng dẫn triển khai chương trình SCB Plus đến Đơn vị  (các chương trình SCB chịu chi phí)</t>
  </si>
  <si>
    <t>Số lượng đối tác ký HĐ</t>
  </si>
  <si>
    <t>Soạn hợp đồng hợp tác và trình ký hợp đồng SCB Plus (sau khi chốt deal - bao gồm lấy ý kiến của pháp chế và chỉnh sửa thỏa thuận, trình ký...)</t>
  </si>
  <si>
    <t>Số chương trình</t>
  </si>
  <si>
    <t>Trình + Đăng ký triển khai chương trình SCB Plus với Sở công thương (các chương trình SCB chịu chi phí)</t>
  </si>
  <si>
    <t>Gặp gỡ đối tác SCB Plus, thương lượng trao đổi liên kết cùng đối tác, phản hồi giải đáp những thắc mắc của đối tác</t>
  </si>
  <si>
    <t>Làm power point giới thiệu về những sản phẩm, đặc tính nổi trội của thẻ để tiếp thị với từng đối tác SCP Plus</t>
  </si>
  <si>
    <t>Tiếp thị với đối tác tiềm năng mới, gia hạn với đối tác SCB Plus cũ qua điện thoại và email</t>
  </si>
  <si>
    <t>Đào tạo, tập huấn nội dung các chính sách sản phẩm, hỗ trợ Đơn vị triển khai sản phẩm.</t>
  </si>
  <si>
    <t>Quản lý và phát triển Đối tác liên kết tín dụng.</t>
  </si>
  <si>
    <t>Triển khai các chính sách sản phẩm, chính sách Khách hàng, chương trình khuyến mại các sản phẩm dịch vụ tín dụng đến các Đơn vị.</t>
  </si>
  <si>
    <t>Xây dựng các chương trình khuyến mại theo định hướng kinh doanh và chiến lược kinh doanh từng thời kỳ.</t>
  </si>
  <si>
    <t>Xây dựng và giám sát việc thực hiện các quy định, quy trình và hướng dẫn triển khai nghiệp vụ tín dụng; các chương trình chính sách tín dụng cá nhân.</t>
  </si>
  <si>
    <t>Nghiên cứu, xây dựng chính sách tín dụng, các sản phẩm dịch vụ tín dụng, chính sách lãi suất và phí, chính sách hoa hồng môi giới tín dụng</t>
  </si>
  <si>
    <t>Các báo cáo (bao gồm Báo cáo Kế toán hàng tháng về Số lượng nhập - xuất - tồn ấn phẩm/quà tặng của chính sách và theo dõi chi phí triển khai chương trình hàng tháng)</t>
  </si>
  <si>
    <t>Xây dựng và triển khai các chương trình/chính sách Khách hàng trong suốt vòng đời của sản phẩm Thẻ.</t>
  </si>
  <si>
    <t>Xây dựng các chính sách/chương trình bán hàng đối với các sản phẩm tiền gửi, các dịch vụ phi tín dụng dành cho KHCN (ngoại trừ dịch vụ Thanh toán quốc tế/Western Union, Kinh doanh ngoại hối, Bảo hiểm)</t>
  </si>
  <si>
    <t>Cuộc điện thoại</t>
  </si>
  <si>
    <t>Theo dõi quá trình triển khai chính sách, là đầu mối giải đáp thắc mắc của Khách hàng và Đơn vị trong quá trình triển khai</t>
  </si>
  <si>
    <t>Tổng hợp số liệu, ban hành thông báo, phối hợp tặng quà theo danh sách KH nhận quà theo chương trình gia hạn thẻ hàng tháng</t>
  </si>
  <si>
    <t>Mua dặm bay Bông Sen Vàng hàng năm (bao gồm Tờ trình, hợp đồng, tổng hợp chứng từ thanh toán,…)</t>
  </si>
  <si>
    <t>P.MSTT</t>
  </si>
  <si>
    <t>Phối hợp với P.MSTT thực hiện mua sắm quà tặng cho chính sách, góp ý hợp đồng, duyệt mẫu, nhận ấn phẩm (nếu có)</t>
  </si>
  <si>
    <t>Ban hành hướng dẫn triển khai chính sách đến Đơn vị</t>
  </si>
  <si>
    <t>Ban hành TB + Đăng ký triển khai chính sách với Sở công thương TP.HCM (đăng ký nhiều lần do quy định thời gian đăng ký SCT)</t>
  </si>
  <si>
    <t>Xây dựng/điều chỉnh chính sách ưu đãi thường xuyên (chính sách KH trung thành của thẻ tín dụng + thanh toán quốc tế, chính sách gia hạn thẻ, thẻ ngủ đông; chính sách nâng hạn mức thẻ tín dụng quốc tế) và trình duyệt lãnh đạo (bao gồm họp thống nhất phương án, trình tờ trình, điều chỉnh, đóng dấu,…)</t>
  </si>
  <si>
    <t>Cuộc điện thoại của Đơn vị</t>
  </si>
  <si>
    <t>Theo dõi quá trình triển khai chương trình, là đầu mối giải đáp thắc mắc của Khách hàng và Đơn vị trong quá trình triển khai</t>
  </si>
  <si>
    <t>Tổng hợp, theo dõi tình hình sử dụng ngân sách các chương trình khuyến mãi đã sử dụng hàng tháng cho các chương trình khuyến mãi</t>
  </si>
  <si>
    <t>Xuất và tổng hợp số liệu báo cáo định kỳ hàng tuần cho Lãnh đạo Phòng, Trung tâm các chương trình ưu đãi đang triển khai</t>
  </si>
  <si>
    <t>Báo cáo kết thúc chương trình, đúc kết những sai sót, những vấn đề cần điều chỉnh để triển khai các chương trình sau</t>
  </si>
  <si>
    <t>Tờ trình ĐV</t>
  </si>
  <si>
    <t>Xử lý Tờ trình ngoại lệ của Đơn vị: Phiếu ý kiến, trình duyệt và ban hành thông báo liên quan đến chương trình ưu đãi thẻ</t>
  </si>
  <si>
    <t>Phòng CSKH</t>
  </si>
  <si>
    <t>Số case từ CIMS</t>
  </si>
  <si>
    <t>Đầu mối giải quyết các thắc mắc khiếu nại của Khách hàng thông qua email của P.CSKH liên quan đến các chương trình khuyến mãi phát hành, sử dụng thẻ</t>
  </si>
  <si>
    <t>Phối hợp P.Kế Toán và P.MIS hướng dẫn đơn vị hạch toán chi phí cho chương trình; Phối hợp với P.TNT&amp;NHĐT thực hiện hoàn tiền vào tài khoản thẻ của Khách hàng theo chương trình ưu đãi</t>
  </si>
  <si>
    <t>Phối hợp P.HCQT phân bổ quà tặng và các công tác hỗ trợ liên quan đến tặng quà tới Đơn vị</t>
  </si>
  <si>
    <t>Thỏa thuận hợp tác với đối tác và đối soát số liệu (đối với các khuyến mãi có hợp tác với đối tác, bao gồm soạn thỏa thuận, lấy ý kiến của Phòng Pháp chế...)</t>
  </si>
  <si>
    <t>Xuất số liệu và ban hành thông báo rà soát danh sách Khách hàng thỏa điều kiện nhận ưu đãi (28 chương trình spending 2 đợt, chương trình phát hành thẻ tín dụng 12 đợt/năm, thẻ thanh toán 12 đợt/năm)</t>
  </si>
  <si>
    <t>Phối hợp với P.MSTT trong công tác chọn thầu, mua sắm quà tặng cho chương trình, duyệt mẫu, góp ý hợp đồng,…</t>
  </si>
  <si>
    <t>Đăng ký hồ sơ triển khai chương trình với Cục xúc tiến thương mại - Bộ công thương (đối với các chương trình quay số dự thưởng, mang tính chất may rủi); Phối hợp P.PTƯD xây dựng, cấp số và test chương trình quay số dự thưởng; tổ chức chương trình quay số xác định người trúng thưởng và ban hành các thông báo liên quan</t>
  </si>
  <si>
    <t>Ban hành thông báo đăng ký triển khai chương trình  với Sở công thương trên toàn hàng và đăng ký triển khai tại khu vực TP.HCM</t>
  </si>
  <si>
    <t>Xây dựng chương trình khuyến mại (nghiên cứu, khảo sát thị trường, họp thống nhất, trình ký ban hành hướng dẫn, phối hợp trong công tác quảng bá chương trình,…)</t>
  </si>
  <si>
    <t>Số tờ trình</t>
  </si>
  <si>
    <t>Xử lý Tờ trình các Đơn vị liên quan đến xin cơ chế điều chỉnh chính sách PHT (bao gồm công tác trình ký, lên thông báo, đóng dấu văn thư, lưu trữ…)</t>
  </si>
  <si>
    <t>Hỗ trợ thắc mắc các Đơn vị trong công tác tư vấn về dịch vụ phòng chờ sân bay</t>
  </si>
  <si>
    <t>Dịch vụ</t>
  </si>
  <si>
    <t>Triển khai dịch vụ phòng đợi tại sân bay</t>
  </si>
  <si>
    <t>Xây dựng dịch vụ phòng đợi tại sân bay (bao gồm: Khảo sát, đàm phán với đối tác về dịch vụ phòng đợi tại sân bay cho các Khách hàng, tờ trình triển khai,...)</t>
  </si>
  <si>
    <t>Soạn file quảng bá trên sao kê Visa card, Mastercard hàng tháng</t>
  </si>
  <si>
    <t>Đào tạo các Đơn vị đối với sản phẩm, chương trình thẻ</t>
  </si>
  <si>
    <t>Theo dõi, cập nhật số liệu, báo cáo tình hình reactive thẻ ngủ đông hàng tuần báo cáo Lãnh đạo Trung tâm</t>
  </si>
  <si>
    <t>Phối hợp với P.TNT&amp;NHĐT, P.Kế toán để hạch toán khoản hỗ trợ vào thu nhập của SCB</t>
  </si>
  <si>
    <t>Tổng hợp hồ sơ, trình ký và gửi Tổ chức thẻ quốc tế Mastercard /Visa các hồ sơ claim từng khoản trong Hợp đồng</t>
  </si>
  <si>
    <t>Họp và đàm phán, trình chủ trương và ký hợp đồng với Tổ chức thẻ quốc tế về các hợp đồng tài trợ dài hạn</t>
  </si>
  <si>
    <t>Hỗ trợ thắc mắc của các Đơn vị liên quan đến quy chế, quy trình, quy định thẻ</t>
  </si>
  <si>
    <t>Phối hợp rà soát quy chế/quy trình/quy định theo Thông tư của Nhà nước và phù hợp với định hướng của SCB theo từng thời kỳ</t>
  </si>
  <si>
    <t>Dự thảo về việc cải tiến quy trình/quy trình/quy định/quy chế (bao gồm họp thống nhất giữa các Phòng, trình ký, điều chỉnh, đóng dấu,…)</t>
  </si>
  <si>
    <t>Rà soát, khảo sát thực tế tại Đơn vị về công việc của CBNV đơn vị thuộc line DVKH</t>
  </si>
  <si>
    <t>Hỗ trợ thắc mắc của các Đơn vị trong công tác tư vấn về tiện ích, tính năng mới của thẻ</t>
  </si>
  <si>
    <t>Ban hành Thông báo/Hướng dẫn triển khai</t>
  </si>
  <si>
    <t>Xây dựng tiện ích, tính năng mới của thẻ</t>
  </si>
  <si>
    <t>Hỗ trợ thắc mắc của các Đơn vị trong công tác tư vấn về bảo hiểm cho chủ thẻ</t>
  </si>
  <si>
    <t>Số lượng bảo hiểm</t>
  </si>
  <si>
    <t>Triển khai bảo hiểm cho chủ thẻ (lọc danh sách gửi đối tác, hạch toán chi phí,…)</t>
  </si>
  <si>
    <t>Mua bảo hiểm cho chủ thẻ (bao gồm đàm phán với đối tác, soạn tờ trình mua bảo hiểm, làm việc thống nhất với đối tác và Phòng Pháp chế, trình ký Hợp đồng cho Khách hàng, Tổng hợp và nộp chứng từ thanh toán)</t>
  </si>
  <si>
    <t>Hỗ trợ các Đơn vị trong công tác tư vấn về sản phẩm, chính sách thẻ</t>
  </si>
  <si>
    <t>Triển khai các chương trình khuyến mại, chăm sóc Khách hàng liên quan đến Dịch vụ Ngân hàng Số</t>
  </si>
  <si>
    <t>Xây dựng các chính sách/chương trình bán hàng đối với các sản phẩm tiền gửi, các dịch vụ phi tín dụng dành cho KHCN (ngoại trừ dịch vụ Thanh toán quốc tế/Western Union, Kinh doanh ngoại hối, Bảo hiểm).</t>
  </si>
  <si>
    <t>Họp với các Phòng HO liên quan đến triển khai các công việc khác tại các Phòng</t>
  </si>
  <si>
    <t>Xây dựng các chính sách/chương trình bán hàng đối với các sản phẩm tiền gửi, và dịch vụ tại quầy (ngoại trừ dịch vụ Thanh toán quốc tế/Western Union; kinh doanh ngoại hối, bảo hiểm)</t>
  </si>
  <si>
    <t>Phối hợp cập nhật các thông tin website định kỳ</t>
  </si>
  <si>
    <t>Cập nhật cẩm nang sản phẩm định kỳ</t>
  </si>
  <si>
    <t>Rà soát tài liệu đào tạo GDV, nhân viên tân tuyển….</t>
  </si>
  <si>
    <t>P.QLKD</t>
  </si>
  <si>
    <t>Xây dựng, rà soát các bộ đề thi chung sức</t>
  </si>
  <si>
    <t>Xây dựng, rà soát các bộ đề thi (không bao gồm cuộc thi chung sức)</t>
  </si>
  <si>
    <t>Số lần đăng ký</t>
  </si>
  <si>
    <t>Tiền gửi/Dịch vụ</t>
  </si>
  <si>
    <t>Số lần đăng ký SCT</t>
  </si>
  <si>
    <t>Đăng ký SCT các chính sách ưu đãi, chương trình mới định kỳ/khi có phát sinh</t>
  </si>
  <si>
    <t>Chương trình khuyến mại</t>
  </si>
  <si>
    <t>Triển khai chương trình khuyến mại dịch vụ</t>
  </si>
  <si>
    <t>Tổng số dư huy động</t>
  </si>
  <si>
    <t>Triển khai chương trình khuyến mại tiền gửi</t>
  </si>
  <si>
    <t>Số buổi</t>
  </si>
  <si>
    <t>Họp Bussiness review hàng quý với đối tác Visa, MasterCard</t>
  </si>
  <si>
    <t>Nghiên cứu và phát triển các sản phẩm Thẻ mới và các đặc tính mới của Thẻ.</t>
  </si>
  <si>
    <t>Xây dựng và tổ chức triển khai các sản phẩm tiền gửi, các dịch vụ phi tín dụng dành cho KHCN (ngoại trừ dịch vụ Thanh toán quốc tế/Western Union, Kinh doanh ngoại hối, Bảo hiểm)</t>
  </si>
  <si>
    <t>Sản phẩm/
chính sách</t>
  </si>
  <si>
    <t>Triển khai sản phẩm thẻ, điều chỉnh chính sách phát hành thẻ</t>
  </si>
  <si>
    <t>Xây dựng đặc tính sản phẩm thẻ, điều chỉnh chính sách phát hành thẻ</t>
  </si>
  <si>
    <t>Tìm kiếm và phát triển các dịch vụ thanh toán.</t>
  </si>
  <si>
    <t>Xây dựng và phát triển ứng dụng ngân hàng số mới theo nhu cầu phát triển kinh doanh.</t>
  </si>
  <si>
    <t>Lần điều chỉnh biểu phí</t>
  </si>
  <si>
    <t>Xây dựng, quản lý và ban hành biểu phí dịch vụ ngân hàng điện tử</t>
  </si>
  <si>
    <t>Xây dựng và phát triển kênh dịch vụ ngân hàng điện tử Mobile Banking, Internet Banking</t>
  </si>
  <si>
    <t>Tổng hợp, theo dõi tình hình sử dụng ngân sách các chương trình khuyến mãi đã sử dụng hàng tháng</t>
  </si>
  <si>
    <t>Đầu mối giải quyết các thắc mắc khiếu nại của Khách hàng thông qua email của P.CSKH</t>
  </si>
  <si>
    <t>Hoàn thành các biên bản kết quả quay số dự thưởng, tổng hợp các biên bản trao giải từ các Đơn vị có khách hàng trúng thưởng và gửi về Cục xúc tiến thương mại - Bộ công thương</t>
  </si>
  <si>
    <t>Phối hợp P.Kế Toán và P.MIS hướng dẫn đơn vị hạch toán chi phí cho chương trình</t>
  </si>
  <si>
    <t>Ban hành hướng dẫn tặng quà/thông báo khách hàng trúng thưởng chương trình quay số đến các Đơn vị</t>
  </si>
  <si>
    <t>Phòng ban tổ chức họp</t>
  </si>
  <si>
    <t>Buổi</t>
  </si>
  <si>
    <t>Tham gia các cuộc họp của Phòng nghiệp vụ</t>
  </si>
  <si>
    <t>Xây dựng và triển khai các sản phẩm tiền gửi và các dịch vụ truyền thống tại quầy (thu chi hộ, thanh toán trong nước, xác nhận số dư, ngân quỹ, giữ hộ tài sản…).</t>
  </si>
  <si>
    <t>Số lượng phiếu ý kiến, email phản hồi.</t>
  </si>
  <si>
    <t>Phối hợp các Phòng Hội sở quản lý nội dung các sản phầm dịch vụ liên quan đến Phòng hỗ trợ công tác bán hàng và các công việc khác ….</t>
  </si>
  <si>
    <t>Tham gia đóng góp ý kiến về các tài liệu chất lượng liên quan đến mảng nghiệp vụ của Phòng</t>
  </si>
  <si>
    <t>Giải đáp thắc mắc của Đơn vị liên quan đến sản phẩm tiết kiệm, chương trình khuyến mại tiết kiệm, chương trình khuyến mại dịch vụ, Biểu phí dịch vụ KHCN,  dịch vụ KHCN truyền thống tại quầy, sản phẩm cho vay cầm cố TKTG</t>
  </si>
  <si>
    <t>Xử lý Tờ trình/Phiếu yêu cầu của Đơn vị liên quan đến Sản phẩm tiết kiệm, chương trình khuyến mại tiết kiệm, dịch vụ KHCN truyền thống, dịch vụ thu hộ tiền mặt cho Tpbank</t>
  </si>
  <si>
    <t>Rà soát và xây dựng hệ thống ngân hàng đề thi các mảng nghiệp vụ do Phòng phụ trách và các chức danh GDV, KSV</t>
  </si>
  <si>
    <t>Tham gia đào tạo nghiệp vụ, dịch vụ dành cho GDV/NVTV (bao gồm thời gian soạn tài liệu và làm đề thi)</t>
  </si>
  <si>
    <t>Tham gia đào tạo nghiệp vụ dành cho Lãnh đạo DVKH (bao gồm thời gian soạn tài liệu)</t>
  </si>
  <si>
    <t xml:space="preserve">Thực hiện báo cáo định kỳ/đột xuất cho cơ quan có thẩm quyền </t>
  </si>
  <si>
    <t>Thực hiện báo cáo hoạt động/báo cáo kinh doanh định kỳ/đột xuất theo phân công của Lãnh đạo cấp trên</t>
  </si>
  <si>
    <t>Bộ tài liệu</t>
  </si>
  <si>
    <t>Theo dõi, quản lý Bộ tài liệu chất lượng dịch vụ KHCN được phân công (Chứng minh năng lực tài ; Thu chi hộ tận nơi; Chuyển tiền trong nước; Kiểm đếm thu đổi tiền mặt và tài sản quý,….), thực hiện điều chỉnh nếu có.</t>
  </si>
  <si>
    <t>Cá nhân/Doanh nghiệp</t>
  </si>
  <si>
    <t>Hoàn thiện và ban hành Quy chế hoạt động cung ứng và sử dụng Séc</t>
  </si>
  <si>
    <t>Tiền gửi/Tín dụng/Dịch vụ</t>
  </si>
  <si>
    <t>Sản phẩm - Dịch vụ</t>
  </si>
  <si>
    <t>Quản lý sản phẩm dịch vụ của Khách hàng cá nhân.</t>
  </si>
  <si>
    <t>Số lần cập nhật</t>
  </si>
  <si>
    <t>Quản lý và cập nhật Cẩm nang dịch vụ, phí dịch vụ Khách hàng cá nhân</t>
  </si>
  <si>
    <t>Quản lý và cập nhật cây sản phẩm dịch vụ trên Cổng thông tin SCB</t>
  </si>
  <si>
    <t>Theo dõi, quản lý và điều chỉnh biểu phí dịch vụ của Khách hàng cá nhân.</t>
  </si>
  <si>
    <t>Theo dõi, quản lý và điều chỉnh lãi suất sản phẩm tiền gửi dành cho Khách hàng cá nhân.</t>
  </si>
  <si>
    <t>Sản phẩm tiền gửi</t>
  </si>
  <si>
    <t>Triển khai sản phẩm tiền gửi mới</t>
  </si>
  <si>
    <t>Cải tiến sản phẩm tiền gửi</t>
  </si>
  <si>
    <t>Nhóm khách hàng</t>
  </si>
  <si>
    <t xml:space="preserve">Đơn vị </t>
  </si>
  <si>
    <t>Tổng thời gian quy đổi</t>
  </si>
  <si>
    <t>Tổng thời gian</t>
  </si>
  <si>
    <t>Giám đốc</t>
  </si>
  <si>
    <t>Phó giám đốc</t>
  </si>
  <si>
    <t>Chuyên viên cao cấp</t>
  </si>
  <si>
    <t>Chuyên viên chính</t>
  </si>
  <si>
    <t>Chuyên viên</t>
  </si>
  <si>
    <t>Nhân viên</t>
  </si>
  <si>
    <t>Nhiệm vụ</t>
  </si>
  <si>
    <t>Mã NV</t>
  </si>
  <si>
    <t>Chức năng</t>
  </si>
  <si>
    <t>Mã chức năng</t>
  </si>
  <si>
    <t>Tiêu thức phân bổ</t>
  </si>
  <si>
    <t>Đối tượng thụ hưởng</t>
  </si>
  <si>
    <t>Thời gian thực hiện một công việc/dịch vụ nội bộ (đvt: giờ)</t>
  </si>
  <si>
    <t>Thước đo/Đơn vị tính</t>
  </si>
  <si>
    <t>Dịch vụ nội bộ</t>
  </si>
  <si>
    <t>Mã DVNB</t>
  </si>
  <si>
    <t>Tên viết tắt</t>
  </si>
  <si>
    <t>Tên phòng</t>
  </si>
  <si>
    <t>Mã phòng</t>
  </si>
  <si>
    <t>Tên khối</t>
  </si>
  <si>
    <t>Mã khối</t>
  </si>
  <si>
    <t>STT</t>
  </si>
  <si>
    <t>DANH MỤC DỊCH VỤ NỘI BỘ PHÒNG</t>
  </si>
  <si>
    <t>BTK DỰ ÁN TẬP HỢP &amp; PHÂN BỔ CHI PHÍ</t>
  </si>
  <si>
    <t>Ghi chú (không bắt buộc)</t>
  </si>
  <si>
    <t>Số lượng dịch vụ dự kiến cung cấp trong năm 2019</t>
  </si>
  <si>
    <t>CHỌN KHỐI</t>
  </si>
  <si>
    <t>CHỌN PHÒNG</t>
  </si>
  <si>
    <t>Tên Phòng</t>
  </si>
  <si>
    <t>KHOI01</t>
  </si>
  <si>
    <t>KHOI02</t>
  </si>
  <si>
    <t>KHOI03</t>
  </si>
  <si>
    <t>KHOI04</t>
  </si>
  <si>
    <t>KHOI05</t>
  </si>
  <si>
    <t>KHOI06</t>
  </si>
  <si>
    <t>KHOI07</t>
  </si>
  <si>
    <t>KHOI08</t>
  </si>
  <si>
    <t>KHOI09</t>
  </si>
  <si>
    <t>KHOI10</t>
  </si>
  <si>
    <t>KHOI11</t>
  </si>
  <si>
    <t>KHOI12</t>
  </si>
  <si>
    <t>KHOI14</t>
  </si>
  <si>
    <r>
      <rPr>
        <b/>
        <sz val="10"/>
        <color theme="1"/>
        <rFont val="Times New Roman"/>
        <family val="1"/>
      </rPr>
      <t>Bước 02:</t>
    </r>
    <r>
      <rPr>
        <sz val="10"/>
        <color theme="1"/>
        <rFont val="Times New Roman"/>
        <family val="1"/>
      </rPr>
      <t xml:space="preserve"> Xác định Dịch vụ nội bộ theo Chức năng - Nhiệm vụ. 
+ Đối với các cây Chức năng – Nhiệm vụ - Dịch vụ nội bộ được Phòng KHCL tổng hợp, Phòng HO cần kiểm tra tính hợp lý và thực hiện điều chỉnh nếu chưa phù hợp.
+ Đối với các cây Chức năng – Nhiệm vụ đang bị thiếu nội dung Dịch vụ nội bộ, Phòng HO cần bổ sung Dịch vụ nội bộ.</t>
    </r>
  </si>
  <si>
    <r>
      <rPr>
        <b/>
        <sz val="10"/>
        <color theme="1"/>
        <rFont val="Times New Roman"/>
        <family val="1"/>
      </rPr>
      <t>Bước 03:</t>
    </r>
    <r>
      <rPr>
        <sz val="10"/>
        <color theme="1"/>
        <rFont val="Times New Roman"/>
        <family val="1"/>
      </rPr>
      <t xml:space="preserve"> Xác định Thước đo/ Đơn vị tính và Số lượng thực hiện dự kiến năm 2019 theo từng Dịch vụ nội bộ. Đối với các Dịch vụ nội bộ được Phòng KHCL thống kê từ kết quả phân tích năm 2018, Phòng HO cần kiểm tra lại mức độ phù hợp trong năm 2019.</t>
    </r>
  </si>
  <si>
    <r>
      <rPr>
        <b/>
        <sz val="10"/>
        <color theme="1"/>
        <rFont val="Times New Roman"/>
        <family val="1"/>
      </rPr>
      <t>Bước 01:</t>
    </r>
    <r>
      <rPr>
        <sz val="10"/>
        <color theme="1"/>
        <rFont val="Times New Roman"/>
        <family val="1"/>
      </rPr>
      <t xml:space="preserve"> Chọn Khối và Phòng cần thực hiện. Copy file (value và format) ra file mới và lưu tên file: Tên Phòng - Phan tich DVNB 2019.</t>
    </r>
  </si>
  <si>
    <t>KHOI13</t>
  </si>
  <si>
    <r>
      <t xml:space="preserve">Bước 04: </t>
    </r>
    <r>
      <rPr>
        <sz val="10"/>
        <color theme="1"/>
        <rFont val="Times New Roman"/>
        <family val="1"/>
      </rPr>
      <t>Xác định Thời gian thực hiện theo từng chức danh, Đối tượng thụ hưởng và Tiêu thức phân bổ cho từng Dịch vụ nội bộ.</t>
    </r>
  </si>
  <si>
    <r>
      <t xml:space="preserve">Đối soát </t>
    </r>
    <r>
      <rPr>
        <b/>
        <sz val="8"/>
        <color theme="0"/>
        <rFont val="Times New Roman"/>
        <family val="1"/>
      </rPr>
      <t>giao dịch</t>
    </r>
    <r>
      <rPr>
        <sz val="8"/>
        <color theme="0"/>
        <rFont val="Times New Roman"/>
        <family val="1"/>
      </rPr>
      <t xml:space="preserve"> hàng ngày với từng đối tác  0% lãi suất và xử lý, phản hồi case các giao dịch cần chuyển đổi trả góp qua thẻ tín dụng trên chương trình CIMS </t>
    </r>
  </si>
  <si>
    <r>
      <t>Đối soát</t>
    </r>
    <r>
      <rPr>
        <b/>
        <sz val="8"/>
        <color theme="0"/>
        <rFont val="Times New Roman"/>
        <family val="1"/>
      </rPr>
      <t xml:space="preserve"> chi phí </t>
    </r>
    <r>
      <rPr>
        <sz val="8"/>
        <color theme="0"/>
        <rFont val="Times New Roman"/>
        <family val="1"/>
      </rPr>
      <t>trả góp hàng tháng với các đối tác trả góp</t>
    </r>
  </si>
  <si>
    <t>Tóm tắt hướng dẫn thực hiện:</t>
  </si>
  <si>
    <r>
      <t xml:space="preserve">Bước 05: </t>
    </r>
    <r>
      <rPr>
        <sz val="10"/>
        <color theme="1"/>
        <rFont val="Times New Roman"/>
        <family val="1"/>
      </rPr>
      <t>Kiểm tra tính phù hợp: 
Tổng thời gian thực hiện DVNB (Số lượng DVNB * Thời gian thực hiện từng DVNB) so với  Thời gian chấm công thực tế 01 năm (8h/ ngày * 24 ngày/ tháng * 12 tháng * Số lượng nhân sự.
Trường hợp có sự bất hợp lý quá lớn giữ kế hoạch và số liệu thực tế --&gt; cần điều chỉnh lại cho phù hợp.</t>
    </r>
  </si>
  <si>
    <t>Dự án (nếu có)</t>
  </si>
  <si>
    <t>Cách thức lấy nguồn dữ liệu</t>
  </si>
  <si>
    <t>Nguồn dữ liệu thực hiện phân bổ</t>
  </si>
  <si>
    <t>NHS</t>
  </si>
  <si>
    <t>Số lượng quy trình/quy định/chính sách</t>
  </si>
  <si>
    <t/>
  </si>
  <si>
    <t>BTK DỰ ÁN TH&amp;PBCP</t>
  </si>
  <si>
    <t>DANH SÁCH ỨNG DỤNG CÔNG NGHỆ THÔNG TIN END-USER (10/08/2019)</t>
  </si>
  <si>
    <t>Phòng quản lý</t>
  </si>
  <si>
    <t>Mục đích</t>
  </si>
  <si>
    <t>Phạm vi sử dụng</t>
  </si>
  <si>
    <t>Tỷ lệ nỗ lực để phân bổ CPHĐ cho từng ứng dụng</t>
  </si>
  <si>
    <t>Ghi chú</t>
  </si>
  <si>
    <t>P.VHCore</t>
  </si>
  <si>
    <t>P.PTUD</t>
  </si>
  <si>
    <t>P.DWH</t>
  </si>
  <si>
    <t>P.KTT&amp; NHĐT</t>
  </si>
  <si>
    <t>P.HTKT</t>
  </si>
  <si>
    <t>P.HTDVCNTT</t>
  </si>
  <si>
    <t>Phòng ban</t>
  </si>
  <si>
    <t>Ứng dụng Tablet + Teller</t>
  </si>
  <si>
    <t>PTUD</t>
  </si>
  <si>
    <t>Giao dịch và tư vấn KH</t>
  </si>
  <si>
    <t>All ĐVKD</t>
  </si>
  <si>
    <t>P.DVKH (03)</t>
  </si>
  <si>
    <t>All KH</t>
  </si>
  <si>
    <t>Tỷ trọng số lượng giao dịch qua ứng dụng Tablet &amp; Teller</t>
  </si>
  <si>
    <t>CIF KH vãng lai ghi nhận cho KH 01</t>
  </si>
  <si>
    <t>Ứng dụng DVKH 2018</t>
  </si>
  <si>
    <t>Quản lý DVKH</t>
  </si>
  <si>
    <t>Tỷ trọng số lượng giao dịch qua ứng dụng DVKH 2018</t>
  </si>
  <si>
    <t>CIF KH vãng lai ghi nhận cho KH 01
Trường hợp số lượng giao dịch lấy quá phức tạp thì phân bổ theo số lượng khách hàng (SL CIF) và chỉ phân bổ theo chiều ĐVKD và chiều Phòng ban (P.DVKH).</t>
  </si>
  <si>
    <t>Ứng dụng Xbank SCB</t>
  </si>
  <si>
    <t>Quản lý nghiệp vụ ngân quỹ và nguồn vốn</t>
  </si>
  <si>
    <t>P.QTNV (000-16)</t>
  </si>
  <si>
    <t>70% cho P.QTNV
30% còn lại phân bổ đều cho các ĐVKD</t>
  </si>
  <si>
    <t>Ứng dụng Hóa đơn điện tử</t>
  </si>
  <si>
    <t>Hỗ trợ quản lý hóa đơn đầu ra</t>
  </si>
  <si>
    <t>Tỷ trọng số lượng hóa đơn đầu ra được xuất qua ứng dụng Hóa đơn điện tử</t>
  </si>
  <si>
    <t>Ứng dụng Ngân quỹ tập trung</t>
  </si>
  <si>
    <t>Quản lý ngân quỹ tập trung</t>
  </si>
  <si>
    <t>P. Ngân quỹ Hội sở (000-21)</t>
  </si>
  <si>
    <t>Ứng dụng Quản lý văn bản</t>
  </si>
  <si>
    <t>Quản lý văn bản</t>
  </si>
  <si>
    <t>All P HS</t>
  </si>
  <si>
    <t>All PB</t>
  </si>
  <si>
    <t>Tỷ trọng số lượng nhân sự cuối kỳ</t>
  </si>
  <si>
    <t>Ứng dụng Quản lý &amp; Luân chuyển hồ sơ</t>
  </si>
  <si>
    <t>Quản lý &amp; Luân chuyển hồ sơ</t>
  </si>
  <si>
    <t>Ứng dụng Website scb.com.vn</t>
  </si>
  <si>
    <t>Quản lý Website scb.com.vn</t>
  </si>
  <si>
    <t>Ứng dụng Website tuyển dụng scb.com.vn</t>
  </si>
  <si>
    <t>Quản lý Website tuyển dụng scb.com.vn</t>
  </si>
  <si>
    <t>P.DVNS (000-34)</t>
  </si>
  <si>
    <t>Ứng dụng Đăng ký User</t>
  </si>
  <si>
    <t>Quản lý đăng ký User</t>
  </si>
  <si>
    <t>Ứng dụng Kế toán tập trung</t>
  </si>
  <si>
    <t>Quản lý hồ sơ kế toán thanh toán từ đơn vị</t>
  </si>
  <si>
    <t>Phòng Kế toán chi tiêu (000-75)</t>
  </si>
  <si>
    <t>Ứng dụng KPIs</t>
  </si>
  <si>
    <t>Quản lý KPIs</t>
  </si>
  <si>
    <t>Ứng dụng Định giá tài sản</t>
  </si>
  <si>
    <t>Quản lý hồ sơ tài sản cần định giá</t>
  </si>
  <si>
    <t>P.ĐGTT (000-14)</t>
  </si>
  <si>
    <t>Ứng dụng Xếp hạng tín dụng nội bộ</t>
  </si>
  <si>
    <t>Quản lý xếp hạng tín dụng của khách hàng</t>
  </si>
  <si>
    <t>Các sản phẩm cho vay (001--&gt;038)</t>
  </si>
  <si>
    <t>01
02
03
04</t>
  </si>
  <si>
    <t>Tỷ trọng số lượng khách hàng vay cuối kỳ</t>
  </si>
  <si>
    <t>Chấm dữ liệu tiêu thức phân bổ dựa vào BCQT</t>
  </si>
  <si>
    <t>Ứng dụng Quản lý Khách hàng Doanh nghiệp</t>
  </si>
  <si>
    <t>Quản lý thông tin khách hàng doanh nghiệp</t>
  </si>
  <si>
    <t>Ứng dụng E-Learning</t>
  </si>
  <si>
    <t>Quản lý thi trắc nghiệm và các bài học elearning</t>
  </si>
  <si>
    <t>P.ĐTNV (000-36)</t>
  </si>
  <si>
    <t>Trao đổi với Học viện để lấy số khóa học theo phòng quản lý</t>
  </si>
  <si>
    <t>Ứng dụng HiStaff</t>
  </si>
  <si>
    <t>Quản lý nhân sự</t>
  </si>
  <si>
    <t>Ứng dụng Kế hoạch hành động</t>
  </si>
  <si>
    <t>Quản lý đăng ký kế hoach hành động và thực hiện của các đơn vị SCB</t>
  </si>
  <si>
    <t>Phân bổ đều cho các ĐVKD &amp; P.HS</t>
  </si>
  <si>
    <t>Ứng dụng Soạn thảo Hợp đồng + Thư bảo lãnh</t>
  </si>
  <si>
    <t>Quản lý và hỗ trợ soạn thảo hợp đồng tín dụng</t>
  </si>
  <si>
    <t>P.HTKD (000-50)</t>
  </si>
  <si>
    <t>Tỷ trọng số lượng hợp đồng tín dụng &amp; số lượng thư bảo lãnh phát sinh trong kỳ</t>
  </si>
  <si>
    <t>Ứng dụng Core Banking</t>
  </si>
  <si>
    <t>VHCore</t>
  </si>
  <si>
    <t>Hạch toán giao dịch Core
Lưu trữ dữ liệu hạch toán</t>
  </si>
  <si>
    <t>All sản phẩm</t>
  </si>
  <si>
    <t>01
02
03
04
05</t>
  </si>
  <si>
    <t>Tỷ trọng số lượt giao dịch qua ứng dụng Corebanking trong kỳ</t>
  </si>
  <si>
    <t>Ứng dụng Gateway Core - ATM</t>
  </si>
  <si>
    <t>KTT&amp; NHS</t>
  </si>
  <si>
    <t>Trung gian nhận giao dịch WS giữa Core và ATM</t>
  </si>
  <si>
    <t>ATM (241, 242)</t>
  </si>
  <si>
    <t>Tỷ trọng số lượng giao dịch qua ATM trong kỳ</t>
  </si>
  <si>
    <t>Hạch toán giao dịch kinh doanh tiền tệ
Lưu trữ dữ liệu hạch toán</t>
  </si>
  <si>
    <t>Khối KDTT</t>
  </si>
  <si>
    <t>P.KDTT (000-10), P.KDNH (000-09)</t>
  </si>
  <si>
    <t>Các sản phẩm KDTT (400--&gt;403, 451, 452), KDNH (431--&gt;450)</t>
  </si>
  <si>
    <t xml:space="preserve"> Số lượng giao dịch trong kỳ qua ứng dụng Treasury</t>
  </si>
  <si>
    <t>Ứng dụng Local Payment</t>
  </si>
  <si>
    <t>Ứng dụng trung gian nhận và chuyển điện giữa Core và Citad</t>
  </si>
  <si>
    <t>KTCT (000-75), TNKDTT (000-22) (, P.TT (000-20)</t>
  </si>
  <si>
    <t>Các sản phẩm Thanh toán trong nước (202--&gt;207)</t>
  </si>
  <si>
    <t>Tỷ trọng số lượt giao dịch thanh toán liên ngân hàng và chi lương trong kỳ (xác định phòng theo user)</t>
  </si>
  <si>
    <t>Ứng dụng ERP</t>
  </si>
  <si>
    <t>Hạch toán liên quan đến kế toán
Lưu trữ dữ liệu hạch toán</t>
  </si>
  <si>
    <t>All SP</t>
  </si>
  <si>
    <t>Tỷ trọng số lượng giao dịch trong kỳ trên ứng dụng ERP</t>
  </si>
  <si>
    <t>Ứng dụng Ebanking mở rộng</t>
  </si>
  <si>
    <t>Hỗ trợ thao tác của GDV tại quầy</t>
  </si>
  <si>
    <t>Tỷ trọng số lượt giao dịch ebanking trong kỳ</t>
  </si>
  <si>
    <t>Ứng dụng Internet Banking</t>
  </si>
  <si>
    <t>Phục vụ giao dịch internetbanking của khách hàng</t>
  </si>
  <si>
    <t>Các sản phẩm Internet Banking (244--&gt;247)</t>
  </si>
  <si>
    <t xml:space="preserve">Tỷ trọng số lượt giao dịch internet banking trong kỳ </t>
  </si>
  <si>
    <t>Ứng dụng Mobile Banking</t>
  </si>
  <si>
    <t>Quản lý Mobile banking với VNPAY</t>
  </si>
  <si>
    <t>Các sản phẩm Mobile Banking (248--&gt;251)</t>
  </si>
  <si>
    <t>Tỷ trọng số lượt giao dịch mobile banking trong kỳ</t>
  </si>
  <si>
    <t>Ứng dụng Cardwork</t>
  </si>
  <si>
    <t>Quản lý thẻ</t>
  </si>
  <si>
    <t>Các sản phẩm thẻ (215--&gt;243; 291, 292, 302--&gt;307)</t>
  </si>
  <si>
    <t>Tỷ trọng số lượt giao dịch trên ứng dụng Cardword trong kỳ</t>
  </si>
  <si>
    <t>Riêng thẻ ATM khi DWH map thì chọn phòng 02</t>
  </si>
  <si>
    <t>Ứng dụng OBI + ODI</t>
  </si>
  <si>
    <t>App phục vụ user truy xuất số liệu báo cáo</t>
  </si>
  <si>
    <t>Ứng dụng Power BI</t>
  </si>
  <si>
    <t>Gatewway đẩy data lên PBI cloud</t>
  </si>
  <si>
    <t>Tỷ trọng số lượng user Office 365</t>
  </si>
  <si>
    <t>Ứng dụng FCC Tool</t>
  </si>
  <si>
    <t>App phục vụ thu thập số liệu,user truy xuất số liệu báo cáo</t>
  </si>
  <si>
    <t>Tỷ trọng số lượng user FCC Tool</t>
  </si>
  <si>
    <t>Ứng dụng Bán hàng qua điện thoại (OMS)</t>
  </si>
  <si>
    <t>HTKT</t>
  </si>
  <si>
    <t>Telesale</t>
  </si>
  <si>
    <t>HUB Telesale 9000-58)</t>
  </si>
  <si>
    <t>Ứng dụng Xử lý ý kiến khách hàng (CIMS)</t>
  </si>
  <si>
    <t>P.HTKH</t>
  </si>
  <si>
    <t>P.HTKH (000-62)</t>
  </si>
  <si>
    <t>Ứng dụng thu hộ NSNN</t>
  </si>
  <si>
    <t>Ứng dụng nộp tiền thu ngân sách nhà nước
Lưu trữ dữ liệu hạch toán
Gateway giao tiếp giữa local và internet</t>
  </si>
  <si>
    <t>Dịch vụ thu chi hộ (261)</t>
  </si>
  <si>
    <t>Tỷ trọng số lượng giao dịch qua ứng dụng thu hộ NSNN trong kỳ</t>
  </si>
  <si>
    <t>Ứng dụng AML</t>
  </si>
  <si>
    <t>Giao tiếp giữa AML Cloud đối tác và SCB (phục vụ phòng chống rửa tiền)</t>
  </si>
  <si>
    <t>P.QLRRVH&amp;TT (000-27)</t>
  </si>
  <si>
    <t>Ứng dụng Swift</t>
  </si>
  <si>
    <t>Các sản phẩm TTQT (208---&gt;211)</t>
  </si>
  <si>
    <t>Tỷ trọng số lượng giao dịch TTQT trong kỳ</t>
  </si>
  <si>
    <t>Ứng dụng Citad</t>
  </si>
  <si>
    <t>Hạch toán giao dịch chuyển tiền đi LNH</t>
  </si>
  <si>
    <t>P.TT</t>
  </si>
  <si>
    <t>Tỷ trọng số lượt giao dịch thanh toán liên ngân hàng trong kỳ</t>
  </si>
  <si>
    <t>Ứng dụng Báo cáo PCB</t>
  </si>
  <si>
    <t>App tổng hợp và gửi file cho PCB</t>
  </si>
  <si>
    <t>Ứng dụng Báo cáo NHNN (TT 35, TT 11, TT31, BỔ SUNG THÔNG TIN BCTK)</t>
  </si>
  <si>
    <t>App phục vụ thu thập số liệu,báo cáo biểu mẫu NHNN</t>
  </si>
  <si>
    <t>P.BCTK (000-24)</t>
  </si>
  <si>
    <t>Ứng dụng FDS(Fraud Detection System)</t>
  </si>
  <si>
    <t>Theo dõi, phát hiện các giao dịch gian lận</t>
  </si>
  <si>
    <t>P.GS&amp;TS, P.KTT&amp;NHS</t>
  </si>
  <si>
    <t>Các sản phẩm ebanking, thẻ, POS (244--&gt;255, 293, 294 , 215--&gt;243; 291, 292, 302--&gt;307)</t>
  </si>
  <si>
    <t>Tỷ trọng số lượng giao dịch ebanking, thẻ, POS phát sinh trong kỳ</t>
  </si>
  <si>
    <t>Ứng dụng trả góp (IPP)</t>
  </si>
  <si>
    <t>Quản lý trả góp thông qua thẻ tín dụng SCB</t>
  </si>
  <si>
    <t>P.DVKH, P.KTT&amp;NHS</t>
  </si>
  <si>
    <t>Tỷ trọng số lượng hồ sơ trả góp qua thẻ tín dụng cuối kỳ</t>
  </si>
  <si>
    <t>Ứng dụng Quản lý Kinh doanh Bảo hiểm</t>
  </si>
  <si>
    <t>Quản lý Kinh doanh Bảo hiểm</t>
  </si>
  <si>
    <t>Sản phẩm đại lý bảo hiểm (263, 264)</t>
  </si>
  <si>
    <t>Tỷ trọng doanh thu  DV đại lý bảo hiểm phát sinh trong kỳ</t>
  </si>
  <si>
    <t>Tỷ trọng doanh thu dịch vụ đại lý bảo hiểm phát sinh trong kỳ</t>
  </si>
  <si>
    <t>Ứng dụng Cây sản phẩm</t>
  </si>
  <si>
    <t>Hỗ trợ xem các sản phẩm</t>
  </si>
  <si>
    <t>Ứng dụng Giao dịch nội bộ</t>
  </si>
  <si>
    <t>Quản lý ngân quỹ</t>
  </si>
  <si>
    <t>Thư điện tử</t>
  </si>
  <si>
    <t>Quản lý hệ thống tài khoản email</t>
  </si>
  <si>
    <t>Tỷ trọng số lượng nhân viên cuối kỳ</t>
  </si>
  <si>
    <t>Ứng dụng Jira</t>
  </si>
  <si>
    <t>HTDVCNTT</t>
  </si>
  <si>
    <t>Quản lý các issue tracking</t>
  </si>
  <si>
    <t>Tỷ trọng số lượng issue</t>
  </si>
  <si>
    <t>Ứng dụng hỗ trợ giao dịch thẻ</t>
  </si>
  <si>
    <t>Tỷ trọng số lượng giao dịch thẻ phát sinh trong kỳ</t>
  </si>
  <si>
    <t>Ứng dụng hỗ trợ giao dịch NHĐT</t>
  </si>
  <si>
    <t>Tỷ trọng số lượng giao dịch ebanking phát sinh trong kỳ</t>
  </si>
  <si>
    <t>TỔNG CỘNG TỶ LỆ NỖ LỰC</t>
  </si>
  <si>
    <t>- P. HTKT không cần xác định tỷ lệ nỗ lực cho các ứng dụng. 
- Chi phí vận hành của P.HTKT (bao gồm CPNV, CP QLCV, CPTS ghi nhận trực tiếp) sẽ được phân bổ cho các ứng dụng dựa theo tỷ trọng chi phí tài sản CNTT phân bổ cho danh mục ứng dụng end-user.</t>
  </si>
  <si>
    <t>- Chi phí vận hành của P.HTDVCNTT (bao gồm CPNV, CP QLCV, CPTS ghi nhận trực tiếp) được chia thành 02 phần: 
      + Nhóm công việc liên quan IT Helpdesk: toàn bộ nỗ lực thực hiện công việc này (40% chi phí vận hành) được ghi nhận cho ứng dụng Jira.
      + Nhóm công việc liên quan đến nghiên cứu, phát triển (60% chi phí vận hành): nỗ lực thực hiện công việc này phân bổ cho đối tượng thụ hưởng là SCB.</t>
  </si>
  <si>
    <t>Thước đo/ Đơn vị tính</t>
  </si>
  <si>
    <t>Tiếp nhận và rà soát các cảnh báo từ TCTQT/Tiểu ban quản lý rủi ro/Napas/Cơ quan thẩm quyền/Đối tác, từ KH/Đơn vị/FDS</t>
  </si>
  <si>
    <t>Có thể cung cấp số liệu để đáp ứng</t>
  </si>
  <si>
    <t>Chương trình CPP/File excel theo dõi</t>
  </si>
  <si>
    <t>Liên hệ hỗ trợ KH có liên quan theo cảnh báo từ TCTQT/Tiểu ban quản lý rủi ro/Napas/Cơ quan thẩm quyền/Đối tác, từ KH/Đơn vị/FDS</t>
  </si>
  <si>
    <t>Số lượng KH cần hỗ trợ</t>
  </si>
  <si>
    <t>Chương trình CIMs (nghiệp vụ CPP)/Chương trình CPP/File excel theo dõi</t>
  </si>
  <si>
    <t>Rà soát, cập nhật các tiêu chí cảnh báo giao dịch thẻ và ngân hàng số</t>
  </si>
  <si>
    <t>Số lần điều chỉnh tiêu chí cảnh báo giao dịch</t>
  </si>
  <si>
    <t>Báo cáo/Đề xuất được phê duyệt</t>
  </si>
  <si>
    <t>Báo cáo sự cố rủi ro trong giao dịch thẻ &amp; NHS và trình tạm ứng hoàn trả tiền cho KH/trình xử lý tổn thất</t>
  </si>
  <si>
    <t>Số lần báo cáo</t>
  </si>
  <si>
    <t>Thẻ, NHS</t>
  </si>
  <si>
    <t>Phân bổ cho Đơn vị có liên quan theo báo cáo phát sinh</t>
  </si>
  <si>
    <t>Báo cáo trình TGĐ</t>
  </si>
  <si>
    <t>Các công cụ chương trình đang sử dụng trên hệ thống MasterCard Connect và Visa Online</t>
  </si>
  <si>
    <t>Cập nhật các thay đổi và yêu cầu của TCTQT/NHNN và phối hợp các bộ phận liên quan cập nhật/thay đổi theo đúng quy định của TCTQT, NHNN (compliance).</t>
  </si>
  <si>
    <t>Số lượng yêu cầu tuân thủ/quy định của TCTQT đã phân bổ đến các Phòng liên quan</t>
  </si>
  <si>
    <t>Công cụ theo dõi các yêu cầu tuân thủ, quy định</t>
  </si>
  <si>
    <t>Cập nhật quy định, quy trình thuộc Phòng đảm bảo tuân thủ theo quy định của TCTQT/NHNN (compliance)</t>
  </si>
  <si>
    <t>Số lượng yêu cầu tuân thủ/quy định của TCTQT liên quan đến chức năng nhiệm vụ của Phòng</t>
  </si>
  <si>
    <t>Theo dõi, làm rõ và phối hợp hạch toán các khoản phí/hoàn trả phát sinh liên quan đến yêu cầu tuân thủ, các chương trình hỗ trợ bồi hoàn rủi ro từ TCTQT</t>
  </si>
  <si>
    <t>Số món phí/Số lượng hoàn trả phát sinh</t>
  </si>
  <si>
    <t>Invoice của TCTQT</t>
  </si>
  <si>
    <t>Số lượng bài truyền thông/ thông báo/hướng dẫn KH</t>
  </si>
  <si>
    <t>Phân bổ đều cho ĐVKD</t>
  </si>
  <si>
    <t>Số lượng bài truyền thông đã đăng tải</t>
  </si>
  <si>
    <t>Phân bổ cho ĐVKD dựa trên số lượng giao dịch hit rule</t>
  </si>
  <si>
    <t>Chương trình FDS</t>
  </si>
  <si>
    <t>Chương trình CIC</t>
  </si>
  <si>
    <t>Thẻ&amp;NHS</t>
  </si>
  <si>
    <t>Phân bổ cho P.HTKH dựa trên số lượng cuộc gọi vào số hotline từ 21h đến 07h sáng hôm sau</t>
  </si>
  <si>
    <t>Giám sát giao dịch tại ĐVCNT SCB</t>
  </si>
  <si>
    <t>Phân bổ cho ĐVKD dụa trên số lượng cảnh báo từ hệ thống FDS POS</t>
  </si>
  <si>
    <t>Chương trình FDS POS SCB (cảnh báo giao dịch nghi ngờ tại ĐVCNT)</t>
  </si>
  <si>
    <t>Rà soát và xác minh giao dịch nghi ngờ theo cảnh báo của NHTT và cảnh báo từ hệ thống FDS SCB</t>
  </si>
  <si>
    <t>Phân bổ cho Đơn vị quản lý ĐVCNT dựa trên số lần rà soát giao dịch</t>
  </si>
  <si>
    <t>Email gửi Đơn vị rà soát/cung cấp chứng từ giao dịch tại ĐVCNT
(theo dõi qua file excel)</t>
  </si>
  <si>
    <t>Tiếp nhận và xử lý tra soát, tranh chấp, bồi hoàn giao dịch thẻ quốc tế do SCB phát hành</t>
  </si>
  <si>
    <t>Số lượng giao dịch tra soát</t>
  </si>
  <si>
    <t>File excel/Công cụ quản lý tra soát DMT (đang trong thời gian xây dựng)</t>
  </si>
  <si>
    <t>Tiếp nhận và xử lý tra soát, tranh chấp, bồi hoàn giao dịch thẻ nội địa do SCB phát hành</t>
  </si>
  <si>
    <t>Tiếp nhận và xử lý tra soát, tranh chấp, bồi hoàn giao dịch thẻ ngân hàng khác tại ATM SCB</t>
  </si>
  <si>
    <t>Tiếp nhận và xử lý tra soát, tranh chấp, bồi hoàn giao dịch thẻ ngân hàng khác tại POS SCB</t>
  </si>
  <si>
    <t>Tiếp nhận và xử lý tra soát, tranh chấp, bồi hoàn giao dịch ngân hàng điện tử</t>
  </si>
  <si>
    <t>Tiếp nhận và xử lý tra soát, tranh chấp, bồi hoàn giao dịch ngân hàng điện tử chiều thụ hưởng</t>
  </si>
  <si>
    <t>Đơn vị mở tài khoản thụ hưởng</t>
  </si>
  <si>
    <t>Triển khai công tác đối chiếu, đối soát số liệu phục vụ thanh quyết toán giao dịch thẻ và ngân hàng số</t>
  </si>
  <si>
    <t>Đối soát giao dịch thẻ tín dụng quốc tế</t>
  </si>
  <si>
    <t>Thẻ tín dụng Mastercard, Visa</t>
  </si>
  <si>
    <t>Doanh số giao dịch thẻ tín dụng quốc tế</t>
  </si>
  <si>
    <t>Đã có dữ liệu đáp ứng</t>
  </si>
  <si>
    <t>Công việc thực hiện hàng ngày</t>
  </si>
  <si>
    <t>Đối soát giao dịch thẻ thanh toán quốc tế</t>
  </si>
  <si>
    <t>Thẻ thanh toán Mastercard, Visa</t>
  </si>
  <si>
    <t>Doanh số giao dịch thẻ thanh toán quốc tế</t>
  </si>
  <si>
    <t>Đối soát giao dịch thẻ nội địa</t>
  </si>
  <si>
    <t>Doanh số giao dịch thẻ nội địa</t>
  </si>
  <si>
    <t>Đối soát, báo có giao dịch POS</t>
  </si>
  <si>
    <t>Đối soát giao dịch POS với các NHTT</t>
  </si>
  <si>
    <t>Doanh số giao dịch tại ĐVCNT SCB</t>
  </si>
  <si>
    <t>Đối soát ngày giao dịch billing, topup, ecommerce với các đối tác</t>
  </si>
  <si>
    <t>Đối soát tháng IBT, billing, topup, ecommerce với các Đối tác</t>
  </si>
  <si>
    <t>Công việc thực hiện hàng tháng</t>
  </si>
  <si>
    <t>Phân bổ thu nhập, chi phí thẻ, POS</t>
  </si>
  <si>
    <t>Phân bổ thu nhập, chi phí IBT, billing, topup, ecommerce</t>
  </si>
  <si>
    <t>Công việc thực hiện hàng quý</t>
  </si>
  <si>
    <t>Khác_GS&amp;TST&amp;NHS</t>
  </si>
  <si>
    <t>Thực hiện các công việc liên quan đến ký quỹ theo yêu cầu của TCTQT</t>
  </si>
  <si>
    <t>Thư yêu cầu của TCTQT/Tờ trình TGĐ</t>
  </si>
  <si>
    <t>Tham gia họp, tham dự hội thảo/ workshop do TCTQT/TB QLRR tổ chức</t>
  </si>
  <si>
    <t>Số lượng cuộc họp, hội thảo, workshop đã tham gia</t>
  </si>
  <si>
    <t>- SCB (đối với hội thảo/ workshop)
- Đơn vị mời họp</t>
  </si>
  <si>
    <t>Lãnh đạo Phòng xác nhận</t>
  </si>
  <si>
    <t>Phiếu ý kiến (lấy theo số công văn tại Phòng)</t>
  </si>
  <si>
    <t>Công tác báo cáo</t>
  </si>
  <si>
    <t>Báo cáo đã thực hiện</t>
  </si>
  <si>
    <t>Báo cáo FRAUD theo yêu cầu của TCTQT (Báo cáo tháng hoặc ngay khi có phát sinh)</t>
  </si>
  <si>
    <t>Báo cáo quý theo yêu cầu của TCTQT</t>
  </si>
  <si>
    <t>TLCL đã ban hành</t>
  </si>
  <si>
    <t>Thông báo đã ban hành</t>
  </si>
  <si>
    <t>Tham gia dự án/tinh chỉnh hệ thống theo yêu cầu của Khối kinh doanh</t>
  </si>
  <si>
    <t>Tham gia các dự án/tinh chỉnh hệ thống liên quan Thẻ và Ngân hàng số phục vụ kinh doanh K.DVNH&amp;TCCN</t>
  </si>
  <si>
    <t>Số lượng dự án/Số lần tinh chỉnh hệ thống/Tỷ lệ hoàn thành</t>
  </si>
  <si>
    <t>K.DVNH&amp;TCCN</t>
  </si>
  <si>
    <t>Phân bổ cho K.DVNH&amp;TCCN</t>
  </si>
  <si>
    <t>Tờ trình triển khai/Thông báo triển khai/Xác nhận hoàn thành dự án của TCTQT/Đối tác/Email xác nhận hoàn thành yêu cầu gửi K.DVNH&amp;TCCN</t>
  </si>
  <si>
    <t>Tham gia các dự án/tinh chỉnh hệ thống liên quan Thẻ và Ngân hàng số phục vụ kinh doanh K.DN</t>
  </si>
  <si>
    <t>K.DN</t>
  </si>
  <si>
    <t>Phân bổ cho K.DN</t>
  </si>
  <si>
    <t>Tờ trình triển khai/Thông báo triển khai/Xác nhận hoàn thành dự án của TCTQT/Đối tác/Email xác nhận hoàn thành yêu cầu gửi K.DN</t>
  </si>
  <si>
    <t>Xử lý cuối ngày hệ thống thẻ</t>
  </si>
  <si>
    <t>Quản lý và và vận hành hệ thống thẻ và ngân hàng số</t>
  </si>
  <si>
    <t>Giám sát vận hành và hiệu suất của hệ thống thẻ và ngân hàng số</t>
  </si>
  <si>
    <t>Quản lý và phân quyền tài khoản người dùng trên hệ thống thẻ và ngân hàng số</t>
  </si>
  <si>
    <t>Cung cấp dữ liệu cho các ứng dụng khác và theo yêu cầu của các Phòng/Đơn vị.</t>
  </si>
  <si>
    <t>Quản lý và vận hành hoạt động tác nghiệp hệ thống thẻ và ngân hàng số</t>
  </si>
  <si>
    <t>Triển khai công tác mua sắm ATM, POS, hóa đơn POS, thiết bị xác thực, phôi thẻ, các ấn phẩm phục vụ công tác phát hành thẻ và ngân hàng số</t>
  </si>
  <si>
    <t>Cung cấp dữ liệu cho các ứng dụng khác và theo yêu cầu của các Phòng/Đơn vị</t>
  </si>
  <si>
    <t>Quản lý, triển khai thực hiện và giám sát công tác phát hành thẻ và ngân hàng số</t>
  </si>
  <si>
    <t>Giám sát và xử lý các vấn đề liên quan đến nghiệp vụ thẻ.</t>
  </si>
  <si>
    <t>Phối hợp thực hiện lắp đặt/thay thế/di dời/chấm dứt hoạt động ATM/POS</t>
  </si>
  <si>
    <t>Khác_KT&amp;VHT&amp;NHS</t>
  </si>
  <si>
    <t>Tham gia họp, tham dự hội thảo/ workshop do TCTQT/Đối tác cung cấp giải pháp... tổ chức</t>
  </si>
  <si>
    <t>Báo cáo theo yêu cầu từ Ngân hàng Nhà nước, cơ quan thẩm quyền (Báo cáo định kỳ hàng tháng/quý/năm và báo cáo khi có yêu cầu)</t>
  </si>
  <si>
    <t>Thực hiện dự án, phát triển chương trình ứng dụng dịch vụ thẻ và ngân hàng số</t>
  </si>
  <si>
    <t>Công việc hàng ngày</t>
  </si>
  <si>
    <t>Số lần xử lý lỗi, cập nhật các bản nâng cấp/bản vá lỗi</t>
  </si>
  <si>
    <t>- Xử lý lỗi và sự cố liên quan đến hệ thống vận hành thẻ, hệ thống chuyển mạch và hệ thống ngân hàng số.
- Cập nhật các bản nâng cấp/bản vá lỗi</t>
  </si>
  <si>
    <t>Báo cáo TT11 (báo cáo tháng nội bộ SCB)</t>
  </si>
  <si>
    <t>P.BCTK</t>
  </si>
  <si>
    <t>Số lần cung cấp dữ liệu</t>
  </si>
  <si>
    <t>Mua sắm POS, hóa đơn POS</t>
  </si>
  <si>
    <t>Mua sắm phôi thẻ, các ấn phẩm phục vụ công tác phát hành thẻ</t>
  </si>
  <si>
    <t>Đơn vị quản lý máy ATM</t>
  </si>
  <si>
    <t>Phân bổ cho Đơn vị quản lý máy ATM theo số lượng máy ATM</t>
  </si>
  <si>
    <t>Hỗ trợ ĐVKD cài đặt ứng dụng/thông số ATM/POS/thiết bị xác thực</t>
  </si>
  <si>
    <t xml:space="preserve">Phối hợp lắp đặt/thay thế/di dời/chấm dứt hoạt động ATM/POS
</t>
  </si>
  <si>
    <t>Số lần cài đặt</t>
  </si>
  <si>
    <t>ATM, POS</t>
  </si>
  <si>
    <t>ATM, POS, NHS</t>
  </si>
  <si>
    <t>Phòng/Ban yêu cầu</t>
  </si>
  <si>
    <t>Thẻ, NHS, ATM, POS</t>
  </si>
  <si>
    <t>Nhập liệu và phê duyệt hồ sơ phát hành/nâng/giảm... hạn mức thẻ (đã được cấp thẩm quyền phê duyệt) trên hệ thống theo quy định</t>
  </si>
  <si>
    <t>Số lần cấp quyền tài khoản người dùng</t>
  </si>
  <si>
    <t>Số lần yêu cầu</t>
  </si>
  <si>
    <t>Đơn vị quản lý ATM</t>
  </si>
  <si>
    <t>Quản lý và cài đặt, cập nhật tham số sản phẩm/dịch vụ thẻ và ngân hàng số</t>
  </si>
  <si>
    <t>Số lần cài đặt, cập nhật tham số</t>
  </si>
  <si>
    <t>Đối soát giao dịch thẻ quốc tế của Ngân hàng khác tại ATM SCB</t>
  </si>
  <si>
    <t>Đối soát giao dịch thẻ nội địa của Ngân hàng khác tại ATM SCB</t>
  </si>
  <si>
    <t>Đối soát ngày giao dịch billing, topup, với các đối tác</t>
  </si>
  <si>
    <t>Đối soát ngày giao dịch ecommerce với các đối tác</t>
  </si>
  <si>
    <t>Đối soát ngày giao dịch chuyển tiền nhanh 24/7 chiều phát hành</t>
  </si>
  <si>
    <t>Đối soát ngày giao dịch chuyển tiền nhanh 24/7 chiều thụ hưởng</t>
  </si>
  <si>
    <t>Đối soát tháng giao dịch chuyển tiền nhanh 24/7</t>
  </si>
  <si>
    <t>Đối soát tháng giao dịch billing, topup với các Đối tác</t>
  </si>
  <si>
    <t>Đối soát tháng giao dịch ecommerce với các Đối tác</t>
  </si>
  <si>
    <t>Đối soát tháng Ví điện tử với các Đối tác</t>
  </si>
  <si>
    <t>Phân bổ thu nhập, chi phí POS</t>
  </si>
  <si>
    <t>Phân bổ thu nhập, chi phí thẻ tín dụng quốc tế</t>
  </si>
  <si>
    <t>Phân bổ thu nhập, chi phí thẻ thanh toán quốc tế</t>
  </si>
  <si>
    <t>Phân bổ thu nhập, chi phí thẻ nội địa</t>
  </si>
  <si>
    <t>Phân bổ thu nhập, chi phí thẻ quốc tế của Ngân hàng khác giao dịch tại ATM SCB</t>
  </si>
  <si>
    <t>Phân bổ thu nhập, chi phí thẻ nội địa của Ngân hàng khác giao dịch tại ATM SCB</t>
  </si>
  <si>
    <t>Phân bổ thu nhập, chi phí IBT</t>
  </si>
  <si>
    <t>Phân bổ thu nhập, chi phí billing, topup với các Đối tác</t>
  </si>
  <si>
    <t>Phân bổ thu nhập, chi phí ecommerce với các Đối tác</t>
  </si>
  <si>
    <t>Phân bổ thu nhập, chi phí Ví điện tử với các Đối tác</t>
  </si>
  <si>
    <t>Phân bổ chi phí Mobile</t>
  </si>
  <si>
    <t>Nguồn dữ liệu</t>
  </si>
  <si>
    <t>P.GS&amp;TST&amp;NHS cung cấp số liệu phát sinh thực tế</t>
  </si>
  <si>
    <t>Dựa trên kết quả tiềm kiểm (https://cims.scb.com.vn/cims/ticket/Report.aspx) (CIF, Mã nghiệp vụ GDGD/TU VAN TH GD TAI CPP), tổng hợp số liệu theo template CPP</t>
  </si>
  <si>
    <t>P.GS&amp;TS cung cấp số liệu theo template tra soát</t>
  </si>
  <si>
    <t>Tổng hợp dựa trên báo cáo CW008F (ĐVPHT, Phát sinh nợ, ERP PROD ID, ERP CIF TYPE ID, ERP DEP ID)</t>
  </si>
  <si>
    <t>Tổng hợp dựa trên báo cáo AP003F (SỐ TIỀN, SCB/ LM, LOẠI THẺ, ERP SẢN PHẨM)</t>
  </si>
  <si>
    <t>Tổng hợp dựa trên báo cáo CW041F (ĐVPHT, Phát sinh nợ (VNĐ), ERP PROD ID, ERP CIF TYPE ID, ERP DEP ID)</t>
  </si>
  <si>
    <t>Tổng hợp dựa trên báo cáo AP011F (ĐV PH THẺ, SỐ TIỀN GD QUY ĐỔI VNĐ)</t>
  </si>
  <si>
    <t>Tổng hợp theo báo cáo AP018F (MÃ ĐV, TỔNG TIỀN GD QUY ĐỔI VNĐ,  LOẠI HÌNH, ERP CIF TYPE ID, PHÒNG)</t>
  </si>
  <si>
    <t>Tổng hợp theo báo cáo EB011F (Billing, topup) (SỐ TIỀN GD, MÃ ĐV)</t>
  </si>
  <si>
    <t>Tổng hợp theo báo cáo EB060F (ecommerce) (SỐ TIỀN GD, MÃ ĐV)</t>
  </si>
  <si>
    <t>Tổng hợp theo báo cáo EB30A chiều ngân hàng phát hành (SỐ TIỀN GD, MÃ ĐV)</t>
  </si>
  <si>
    <t>Tổng hợp theo báo cáo EB30A chiều ngân hàng thụ hưởng (SỐ TIỀN GD, MÃ ĐV)</t>
  </si>
  <si>
    <t>Tổng hợp theo báo cáo EB30A (SỐ TIỀN GD, MÃ ĐV)</t>
  </si>
  <si>
    <t>Doanh số GD ecommerce</t>
  </si>
  <si>
    <t>Doanh số GD billing, topup</t>
  </si>
  <si>
    <t>Doanh số GD IBT</t>
  </si>
  <si>
    <t>Doanh số GD Ví điện tử</t>
  </si>
  <si>
    <t>Phân bổ cho ĐVKD dựa trên số lượng case xử lý</t>
  </si>
  <si>
    <t>Đối soát giao dịch thẻ quốc tế</t>
  </si>
  <si>
    <t>Doanh số giao dịch thẻ quốc tế NH khác GD tại ATM SCB</t>
  </si>
  <si>
    <t>Doanh số giao dịch thẻ nội địa NH khác tại ATM SCB</t>
  </si>
  <si>
    <t xml:space="preserve"> Đơn vị quản lý ĐVCNT</t>
  </si>
  <si>
    <t>Doanh số giao dịch thẻ</t>
  </si>
  <si>
    <t>Doanh số giao dịch thẻ quốc tế NH khác tại ATM SCB</t>
  </si>
  <si>
    <t>Tổng hợp theo báo cáo EB060F (Ví điện tử) (SỐ TIỀN GD, MÃ ĐV)</t>
  </si>
  <si>
    <r>
      <rPr>
        <b/>
        <sz val="10"/>
        <rFont val="Times New Roman"/>
        <family val="1"/>
      </rPr>
      <t>Bước 01:</t>
    </r>
    <r>
      <rPr>
        <sz val="10"/>
        <rFont val="Times New Roman"/>
        <family val="1"/>
      </rPr>
      <t xml:space="preserve"> Chọn Khối và Phòng cần thực hiện. Copy file (value và format) ra file mới và lưu tên file: Tên Phòng - Phan tich DVNB 2019.</t>
    </r>
  </si>
  <si>
    <r>
      <rPr>
        <b/>
        <sz val="10"/>
        <rFont val="Times New Roman"/>
        <family val="1"/>
      </rPr>
      <t>Bước 02:</t>
    </r>
    <r>
      <rPr>
        <sz val="10"/>
        <rFont val="Times New Roman"/>
        <family val="1"/>
      </rPr>
      <t xml:space="preserve"> Xác định Dịch vụ nội bộ theo Chức năng - Nhiệm vụ. 
+ Đối với các cây Chức năng – Nhiệm vụ - Dịch vụ nội bộ được Phòng KHCL tổng hợp, Phòng HO cần kiểm tra tính hợp lý và thực hiện điều chỉnh nếu chưa phù hợp.
+ Đối với các cây Chức năng – Nhiệm vụ đang bị thiếu nội dung Dịch vụ nội bộ, Phòng HO cần bổ sung Dịch vụ nội bộ.</t>
    </r>
  </si>
  <si>
    <r>
      <rPr>
        <b/>
        <sz val="10"/>
        <rFont val="Times New Roman"/>
        <family val="1"/>
      </rPr>
      <t>Bước 03:</t>
    </r>
    <r>
      <rPr>
        <sz val="10"/>
        <rFont val="Times New Roman"/>
        <family val="1"/>
      </rPr>
      <t xml:space="preserve"> Xác định Thước đo/ Đơn vị tính và Số lượng thực hiện dự kiến năm 2019 theo từng Dịch vụ nội bộ. Đối với các Dịch vụ nội bộ được Phòng KHCL thống kê từ kết quả phân tích năm 2018, Phòng HO cần kiểm tra lại mức độ phù hợp trong năm 2019.</t>
    </r>
  </si>
  <si>
    <r>
      <t xml:space="preserve">Bước 04: </t>
    </r>
    <r>
      <rPr>
        <sz val="10"/>
        <rFont val="Times New Roman"/>
        <family val="1"/>
      </rPr>
      <t>Xác định Thời gian thực hiện theo từng chức danh, Đối tượng thụ hưởng và Tiêu thức phân bổ cho từng Dịch vụ nội bộ.</t>
    </r>
  </si>
  <si>
    <r>
      <t xml:space="preserve">Bước 05: </t>
    </r>
    <r>
      <rPr>
        <sz val="10"/>
        <rFont val="Times New Roman"/>
        <family val="1"/>
      </rPr>
      <t>Kiểm tra tính phù hợp: 
Tổng thời gian thực hiện DVNB (Số lượng DVNB * Thời gian thực hiện từng DVNB) so với  Thời gian chấm công thực tế 01 năm (8h/ ngày * 24 ngày/ tháng * 12 tháng * Số lượng nhân sự.
Trường hợp có sự bất hợp lý quá lớn giữ kế hoạch và số liệu thực tế --&gt; cần điều chỉnh lại cho phù hợp.</t>
    </r>
  </si>
  <si>
    <t>Đối soát tháng phí dịch vụ Mobile</t>
  </si>
  <si>
    <t>Tổng hợp theo báo cáo EB062F (ĐƠN VỊ, TRẠNG THÁI, SỐ TIỀN PHÍ MB)</t>
  </si>
  <si>
    <t>Tổng phí Đơn vị thu được</t>
  </si>
  <si>
    <t>Đối soát tháng phí dịch vụ SMS</t>
  </si>
  <si>
    <t>Khảo sát, Nghiên cứu, phân tích, xây dựng, phát triển các sản phẩm, chương trình, ứng dụng, giải pháp dịch vụ Thẻ và Ngân hàng Số.</t>
  </si>
  <si>
    <t>Nghiên cứu, khảo sát, phân tích và đánh giá các sản phẩm, dịch vụ, ứng dụng Thẻ, Ngân Hàng Số, đối tác liên kết... hiện có trên thị trường của các NH và tổ chức tín dụng khác từ đó đề xuất góp ý các sản phẩm và tính năng phù hợp cho SCB</t>
  </si>
  <si>
    <t>Thẻ/ NHS/ Đối tác liên kết</t>
  </si>
  <si>
    <t>Dựa trên xác nhận của lãnh đạo trên các file khảo sát &amp; phân tích</t>
  </si>
  <si>
    <t>Phân tích, xây dựng, phát triển, quản lý và triển khai các dự án liên quan đến sản phẩm, chương trình, ứng dụng, giải pháp dịch vụ Thẻ và Ngân hàng Số.</t>
  </si>
  <si>
    <t>Phân tích, xây dựng và triển khai các dự án liên quan đến Thẻ &amp; NHS</t>
  </si>
  <si>
    <t>Các dự án về xây dựng/phát triển sản phẩm/tính năng mới cũng như các yêu cầu về cải tiến, tinh chỉnh sản phẩm/ứng dụng liên quan đến Thẻ và NHS phục vụ cho Khối Doanh Nghiệp (bao gồm thời gian hỗ trợ, tinh chỉnh sau khi dự án được triển khai)</t>
  </si>
  <si>
    <t>Mở rộng dịch vụ tài chính, ngân hàng trên nền tảng số</t>
  </si>
  <si>
    <t>Nghiên cứu, phân tích, thương thảo chủ trương, chính sách hợp tác và thực hiện kết nối kỹ thuật</t>
  </si>
  <si>
    <t>Tìm kiếm và làm việc với đối tác liên kết (bao gồm tìm kiếm, thực hiện thương thảo ký kết hợp đồng, triển khai kết nối..) để mở rộng và hợp tác dịch vụ tài chính, ngân hàng trên nền tảng số</t>
  </si>
  <si>
    <t>Xây dựng/cải tiến chính sách/quy trình/quy định liên quan hoạt động Thẻ &amp; NHS</t>
  </si>
  <si>
    <t>Phối hợp với các Phòng trong nội bộ Khối Thẻ &amp; NHS xây dựng &amp; cải tiến các quy định/quy trình chính sách liên quan đến hoạt động Thẻ/NHS -  Bao gồm họp, góp ý, phối hợp cung cấp thông tin, xây dựng chính sách</t>
  </si>
  <si>
    <t>P.NC&amp;PTKD cung cấp số liệu phát sinh thực tế</t>
  </si>
  <si>
    <t>Phân tích, xây dựng, phát triển, quản lý và triển khai các dự án liên quan đến sản phẩm, chương trình, ứng dụng, giải pháp dịch vụ Thẻ và Ngân hàng số.</t>
  </si>
  <si>
    <t xml:space="preserve">Sô lượng sản phẩm/dịch vụ/đối tác khảo sát và phân tích
</t>
  </si>
  <si>
    <t>Số lượng đối tác/dịch vụ được thực hiện/Tỷ lệ hoàn thành</t>
  </si>
  <si>
    <t>Tờ trình triển khai/Thông báo triển khai/Hợp đồng ký kết/Email liên quan</t>
  </si>
  <si>
    <t>Số lượng quy trình/quy định/chính sách đã được ban hành</t>
  </si>
  <si>
    <t>Cài đặt &amp; quản lý mã khóa ATM</t>
  </si>
  <si>
    <t>Giám sát và xử lý các vấn đề liên quan đến nghiệp vụ Ngân hàng Số.</t>
  </si>
  <si>
    <t>Giám sát và xử lý các vấn đề liên quan đến nghiệp vụ Ngân hàng Số (thu phí dịch vụ: MB, IB, gửi tin nhắn SMS theo yêu cầu…)</t>
  </si>
  <si>
    <t>Phối hợp thực hiện lắp đặt/thay thế/di dời/chấm dứt hoạt động ATM/POS/thiết bị xác thực</t>
  </si>
  <si>
    <t>Thực hiện tinh chỉnh hệ thống liên quan Thẻ và Ngân hàng số phục vụ kinh doanh K.DVNH&amp;TCCN</t>
  </si>
  <si>
    <t>Số lần tinh chỉnh hệ thống/Tỷ lệ hoàn thành</t>
  </si>
  <si>
    <t>Tờ trình triển khai/Thông báo triển khai/Email xác nhận hoàn thành yêu cầu gửi K.DVNH&amp;TCCN</t>
  </si>
  <si>
    <t>Thực hiện tinh chỉnh hệ thống liên quan Thẻ và Ngân hàng số phục vụ kinh doanh K.DN</t>
  </si>
  <si>
    <t>Tờ trình triển khai/Thông báo triển khai/Email xác nhận hoàn thành yêu cầu gửi K.DN</t>
  </si>
  <si>
    <t>Thực hiện các dự án liên quan Thẻ và Ngân hàng số phục vụ kinh doanh K.DVNH&amp;TCCN</t>
  </si>
  <si>
    <t>Thực hiện các dự án liên quan Thẻ và Ngân hàng số phục vụ kinh doanh K.DN</t>
  </si>
  <si>
    <t>Số lượng dự án/ Tỷ lệ hoàn thành</t>
  </si>
  <si>
    <t>Chương trình CIMs</t>
  </si>
  <si>
    <t>P.KT&amp;VH cung cấp số liệu phát sinh thực tế</t>
  </si>
  <si>
    <t>Số lượng email phản hồi hoặc PYK (lấy theo số công văn tại Phòng)</t>
  </si>
  <si>
    <t>Số lượng yêu cầu nhận được</t>
  </si>
  <si>
    <t>- K.DVNH&amp;TCCN
- K.DN</t>
  </si>
  <si>
    <t>Số lần cài đặt, cập nhật</t>
  </si>
  <si>
    <t>Tờ trình/Thông báo/PYC/Email liên quan đến việc cài đặt, cập nhật tham số sản phẩm, dịch vụ</t>
  </si>
  <si>
    <t>Tờ trình mua sắm ATM</t>
  </si>
  <si>
    <t>Phân bổ theo số lượng thẻ phát hành</t>
  </si>
  <si>
    <t>Đơn vị hưởng phí dịch vụ EB</t>
  </si>
  <si>
    <t>Đơn vị quản lý máy ATM/ĐVCNT</t>
  </si>
  <si>
    <t>Đơn vị quản lý ATM/ ĐVCNT, Đơn vị mở HĐ EB</t>
  </si>
  <si>
    <t>Tờ trình/PYC hoặc đề nghị từ Đơn vị</t>
  </si>
  <si>
    <t>Số lần cài dặt</t>
  </si>
  <si>
    <t>Mua sắm ATM, hóa đơn ATM, các thiết bị của ATM</t>
  </si>
  <si>
    <t>'Tờ trình mua sắm POS</t>
  </si>
  <si>
    <t>Tờ trình mua sắm phôi thẻ, ấn phẩm</t>
  </si>
  <si>
    <t>Tổng hợp dựa trên báo cáo CW029F (Loại thẻ LC (Local), ĐVPHT, SAN PHAM ERP, KHACH HANG ERP)</t>
  </si>
  <si>
    <t>CW058F_1</t>
  </si>
  <si>
    <t>Tổng hợp dựa trên báo cáo EB054F theo từng Đơn vị</t>
  </si>
  <si>
    <t>Phân bổ theo số lượng  thẻ tín dụng quốc tế</t>
  </si>
  <si>
    <t>Tổng hợp dựa trên báo cáo CW029F (Loại thẻ tín dụng quốc tế), ĐVPHT, SAN PHAM ERP, KHACH HANG ERP)</t>
  </si>
  <si>
    <t>Hỗ trợ phát hành thẻ nội địa (dập thẻ, phân phối thẻ, hỗ trợ Đơn vị trong công tác phát hành thẻ).</t>
  </si>
  <si>
    <t>- Theo dõi cân đối thẻ TDQT
- Theo dõi các tài khoản trung gian của thẻ
- Chấm số liệu hạch toán vào ERP
- Xử lý các khoản lệch phát sinh (nếu có)</t>
  </si>
  <si>
    <t>Giám sát và xử lý các vấn đề liên quan đến nghiệp vụ thẻ tín dụng (sao kê, điểm thưởng, thanh toán dư nợ thẻ tín dụng, SMS, trả góp thẻ tín dụng, hóa đơn, tính lãi, hoàn dư có/phí/lãi…)</t>
  </si>
  <si>
    <t>Báo cáo CW029F</t>
  </si>
  <si>
    <t>Báo cáo EB054F</t>
  </si>
  <si>
    <t>Phân bổ theo số lượng HĐ dịch vụ (lũy kế)</t>
  </si>
  <si>
    <t>Hỗ trợ nghiệp vụ thẻ quốc tế (gửi file cá thể hóa thẻ, theo dõi giao nhận thẻ..).</t>
  </si>
  <si>
    <t>Thẻ quốc tế</t>
  </si>
  <si>
    <t>Tổng hợp dựa trên báo cáo CW029F (Loại thẻ VS/MC, ĐVPHT, SAN PHAM ERP, KHACH HANG ERP)</t>
  </si>
  <si>
    <t>Hỗ trợ mở và sử dụng dịch vụ ngân hàng điện tử, phân phối thiết bị xác thực (token).</t>
  </si>
  <si>
    <t>Phân bổ chi phí phôi thẻ</t>
  </si>
  <si>
    <t>Đối soát với các đối tác và phân bổ chi phí liên quan giao dịch trả góp</t>
  </si>
  <si>
    <t>Phân bổ theo doanh số giao dịch trả góp</t>
  </si>
  <si>
    <t>Báo cáo CW056F</t>
  </si>
  <si>
    <t>Tổng hợp dựa trên báo cáo CW029F (Loại thẻ tín dụng quốc tế, ĐVPHT, SAN PHAM ERP, KHACH HANG ERP)</t>
  </si>
  <si>
    <t>Số lượng dự án/Tỷ lệ hoàn thành</t>
  </si>
  <si>
    <t>Các dự án về xây dựng/phát triển sản phẩm/tính năng mới liên quan đến Thẻ và NHS phục vụ cho Khối DVNH&amp;TCCN (bao gồm thời gian hỗ trợ, tinh chỉnh sau khi dự án được triển khai)</t>
  </si>
  <si>
    <t>Thực hiện cải tiến, tinh chỉnh sản phẩm/ứng dụng liên quan đến Thẻ và NHS phục vụ cho Khối DVNH&amp;TCCN (bao gồm thời gian hỗ trợ, tinh chỉnh sau được triển khai)</t>
  </si>
  <si>
    <t>Thực hiện cải tiến, tinh chỉnh sản phẩm/ứng dụng liên quan đến Thẻ và NHS phục vụ cho Khối DN (bao gồm thời gian hỗ trợ, tinh chỉnh sau được triển khai)</t>
  </si>
  <si>
    <t>Phân bổ cho Đơn vị quản lý ĐVCNT theo số lượng máy POS phân bổ thực tế</t>
  </si>
  <si>
    <t>Chỉ dẫn ghi nhận thu nhập</t>
  </si>
  <si>
    <t>Chỉ dẫn ghi nhận chi phí phân bổ</t>
  </si>
  <si>
    <t>Driver Source</t>
  </si>
  <si>
    <t>Driver Destination</t>
  </si>
  <si>
    <t>DWH_DRIVER067</t>
  </si>
  <si>
    <t>DWH_DRIVER070</t>
  </si>
  <si>
    <t>Số lượng thực hiện
Upload thủ công</t>
  </si>
  <si>
    <t>DWH_DRIVER068</t>
  </si>
  <si>
    <t>Phân bổ đều cho các ĐVKD
Không có mã sản phẩm và mã khách hàng</t>
  </si>
  <si>
    <t>DWH_ID_005</t>
  </si>
  <si>
    <t>Xem xét lấy tự động theo số ngày phát sinh trong tháng</t>
  </si>
  <si>
    <t>Doanh số giao dịch thẻ quốc tế NH khác GD tại ATM SCB
Chỉ định thẻ ATM</t>
  </si>
  <si>
    <t>Doanh số giao dịch POS tại ĐVCNT SCB</t>
  </si>
  <si>
    <t>Doanh số giao dịch POS ĐVCNT SCB</t>
  </si>
  <si>
    <t>Tổng phí MobileBanking Đơn vị thu được</t>
  </si>
  <si>
    <t>Số lượng thực hiện
Upload thủ công
Để đủ thông tin, Phải nhập sản phẩm ATM</t>
  </si>
  <si>
    <t>Số lượng thực hiện
Upload thủ công
Để đủ thông tin, Phải nhập sản phẩm POS</t>
  </si>
  <si>
    <t>Xem xét lấy tự động
Hiện tại đã có driver của Phòng Thẩm định và Phê duyệt</t>
  </si>
  <si>
    <t>Xem xét lấy tự động 
Hiện tại đã có driver của Phòng Thẩm định và Phê duyệt</t>
  </si>
  <si>
    <t>Số lượng thực hiện
Upload thủ công
Để đảm bảo thông tin, cần phải có mã sản phẩm.</t>
  </si>
  <si>
    <t>Mã tạm</t>
  </si>
  <si>
    <t>NCPTKD_001</t>
  </si>
  <si>
    <t>NCPTKD_002</t>
  </si>
  <si>
    <t>NCPTKD_003</t>
  </si>
  <si>
    <t>NCPTKD_004</t>
  </si>
  <si>
    <t>NCPTKD_005</t>
  </si>
  <si>
    <t>NCPTKD_007</t>
  </si>
  <si>
    <t>NCPTKD_006</t>
  </si>
  <si>
    <t>NCPTKD_008</t>
  </si>
  <si>
    <t>NCPTKD_009</t>
  </si>
  <si>
    <t>NCPTKD_010</t>
  </si>
  <si>
    <t>NCPTKD_011</t>
  </si>
  <si>
    <t>GSTS_001</t>
  </si>
  <si>
    <t>GSTS_002</t>
  </si>
  <si>
    <t>GSTS_003</t>
  </si>
  <si>
    <t>GSTS_004</t>
  </si>
  <si>
    <t>GSTS_005</t>
  </si>
  <si>
    <t>GSTS_006</t>
  </si>
  <si>
    <t>GSTS_007</t>
  </si>
  <si>
    <t>GSTS_008</t>
  </si>
  <si>
    <t>GSTS_009</t>
  </si>
  <si>
    <t>GSTS_010</t>
  </si>
  <si>
    <t>GSTS_011</t>
  </si>
  <si>
    <t>GSTS_012</t>
  </si>
  <si>
    <t>GSTS_013</t>
  </si>
  <si>
    <t>GSTS_014</t>
  </si>
  <si>
    <t>GSTS_015</t>
  </si>
  <si>
    <t>GSTS_016</t>
  </si>
  <si>
    <t>GSTS_017</t>
  </si>
  <si>
    <t>GSTS_018</t>
  </si>
  <si>
    <t>GSTS_019</t>
  </si>
  <si>
    <t>GSTS_020</t>
  </si>
  <si>
    <t>GSTS_021</t>
  </si>
  <si>
    <t>GSTS_022</t>
  </si>
  <si>
    <t>GSTS_023</t>
  </si>
  <si>
    <t>GSTS_024</t>
  </si>
  <si>
    <t>GSTS_025</t>
  </si>
  <si>
    <t>GSTS_026</t>
  </si>
  <si>
    <t>GSTS_027</t>
  </si>
  <si>
    <t>GSTS_028</t>
  </si>
  <si>
    <t>GSTS_029</t>
  </si>
  <si>
    <t>GSTS_030</t>
  </si>
  <si>
    <t>GSTS_031</t>
  </si>
  <si>
    <t>GSTS_032</t>
  </si>
  <si>
    <t>GSTS_033</t>
  </si>
  <si>
    <t>GSTS_034</t>
  </si>
  <si>
    <t>GSTS_035</t>
  </si>
  <si>
    <t>GSTS_036</t>
  </si>
  <si>
    <t>GSTS_037</t>
  </si>
  <si>
    <t>GSTS_038</t>
  </si>
  <si>
    <t>GSTS_039</t>
  </si>
  <si>
    <t>GSTS_040</t>
  </si>
  <si>
    <t>GSTS_041</t>
  </si>
  <si>
    <t>GSTS_042</t>
  </si>
  <si>
    <t>GSTS_043</t>
  </si>
  <si>
    <t>GSTS_044</t>
  </si>
  <si>
    <t>GSTS_045</t>
  </si>
  <si>
    <t>GSTS_046</t>
  </si>
  <si>
    <t>GSTS_047</t>
  </si>
  <si>
    <t>GSTS_048</t>
  </si>
  <si>
    <t>GSTS_049</t>
  </si>
  <si>
    <t>GSTS_050</t>
  </si>
  <si>
    <t>GSTS_051</t>
  </si>
  <si>
    <t>GSTS_052</t>
  </si>
  <si>
    <t>GSTS_053</t>
  </si>
  <si>
    <t>GSTS_054</t>
  </si>
  <si>
    <t>GSTS_055</t>
  </si>
  <si>
    <t>GSTS_056</t>
  </si>
  <si>
    <t>GSTS_057</t>
  </si>
  <si>
    <t>GSTS_058</t>
  </si>
  <si>
    <t>GSTS_059</t>
  </si>
  <si>
    <t>GSTS_060</t>
  </si>
  <si>
    <t>GSTS_061</t>
  </si>
  <si>
    <t>GSTS_062</t>
  </si>
  <si>
    <t>GSTS_063</t>
  </si>
  <si>
    <t>GSTS_064</t>
  </si>
  <si>
    <t>KTVH_001</t>
  </si>
  <si>
    <t>KTVH_002</t>
  </si>
  <si>
    <t>KTVH_003</t>
  </si>
  <si>
    <t>KTVH_004</t>
  </si>
  <si>
    <t>KTVH_005</t>
  </si>
  <si>
    <t>KTVH_006</t>
  </si>
  <si>
    <t>KTVH_007</t>
  </si>
  <si>
    <t>KTVH_008</t>
  </si>
  <si>
    <t>KTVH_009</t>
  </si>
  <si>
    <t>KTVH_010</t>
  </si>
  <si>
    <t>KTVH_011</t>
  </si>
  <si>
    <t>KTVH_012</t>
  </si>
  <si>
    <t>KTVH_013</t>
  </si>
  <si>
    <t>KTVH_014</t>
  </si>
  <si>
    <t>KTVH_015</t>
  </si>
  <si>
    <t>KTVH_016</t>
  </si>
  <si>
    <t>KTVH_017</t>
  </si>
  <si>
    <t>KTVH_018</t>
  </si>
  <si>
    <t>KTVH_019</t>
  </si>
  <si>
    <t>KTVH_020</t>
  </si>
  <si>
    <t>KTVH_021</t>
  </si>
  <si>
    <t>KTVH_022</t>
  </si>
  <si>
    <t>KTVH_023</t>
  </si>
  <si>
    <t>KTVH_024</t>
  </si>
  <si>
    <t>KTVH_025</t>
  </si>
  <si>
    <t>KTVH_026</t>
  </si>
  <si>
    <t>KTVH_027</t>
  </si>
  <si>
    <t>KTVH_028</t>
  </si>
  <si>
    <t>KTVH_029</t>
  </si>
  <si>
    <t>KTVH_030</t>
  </si>
  <si>
    <t>KTVH_031</t>
  </si>
  <si>
    <t>P.GS&amp;TST&amp;NHS cung cấp số liệu theo template</t>
  </si>
  <si>
    <t>- KHDN</t>
  </si>
  <si>
    <t>Xét lấy mặc định 1 lần/tháng</t>
  </si>
  <si>
    <t>Xét lấy mặc định tháng cuối cùng của quý, 1 lần/quý</t>
  </si>
  <si>
    <t>'Phân bổ đều cho ĐVKD</t>
  </si>
  <si>
    <t>Phân bổ cho ĐVKD dựa trên số lượng thẻ của KH cần tư vấn</t>
  </si>
  <si>
    <r>
      <t xml:space="preserve">Phân bổ cho Phòng cụ thể thuộc Khối DN
</t>
    </r>
    <r>
      <rPr>
        <sz val="8"/>
        <color rgb="FFFF0000"/>
        <rFont val="Times New Roman"/>
        <family val="1"/>
      </rPr>
      <t>Không có mã sản phẩm và mã khách hàng</t>
    </r>
  </si>
  <si>
    <r>
      <t xml:space="preserve">Phân bổ cho Phòng cụ thể thuộc Khối DVNH&amp;TCCN
</t>
    </r>
    <r>
      <rPr>
        <sz val="8"/>
        <color rgb="FFFF0000"/>
        <rFont val="Times New Roman"/>
        <family val="1"/>
      </rPr>
      <t>Không có mã sản phẩm và mã khách hàng</t>
    </r>
  </si>
  <si>
    <t>Phân bổ cho Đơn vị gửi yêu cầu góp ý, bao gồm các Phòng/ Đơn vị
Không có mã sản phẩm và mã khách hàng</t>
  </si>
  <si>
    <t>Xem xét lấy tự động theo số ngày lịch trong tháng</t>
  </si>
  <si>
    <t>Tổng hợp dựa trên báo cáo CW056F (Loại thẻ tín dụng quốc tế, ĐVPHT, SAN PHAM ERP, KHACH HANG ERP)</t>
  </si>
  <si>
    <t>Phân bổ cho Phòng cụ thể thuộc Khối DVNH&amp;TCCN
Không có mã sản phẩm và mã khách hàng</t>
  </si>
  <si>
    <t>Đơn vị mở CIF</t>
  </si>
  <si>
    <t>Số lượng case xử lý</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</si>
</sst>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_);\(0\)"/>
    <numFmt numFmtId="165" formatCode="_-* #,##0.00\ _₫_-;\-* #,##0.00\ _₫_-;_-* &quot;-&quot;??\ _₫_-;_-@_-"/>
    <numFmt numFmtId="166" formatCode="#,##0.0"/>
    <numFmt numFmtId="167" formatCode="#,##0.0_ ;[Red]\-#,##0.0\ "/>
    <numFmt numFmtId="168" formatCode="_(* #,##0_);_(* \(#,##0\);_(* &quot;-&quot;??_);_(@_)"/>
    <numFmt numFmtId="169" formatCode="_(* #,##0.0_);_(* \(#,##0.0\);_(* &quot;-&quot;??_);_(@_)"/>
    <numFmt numFmtId="170" formatCode="0.0%"/>
    <numFmt numFmtId="171" formatCode="#,##0_ ;[Red]\-#,##0\ "/>
    <numFmt numFmtId="172" formatCode="_-* #,##0\ _₫_-;\-* #,##0\ _₫_-;_-* &quot;-&quot;??\ _₫_-;_-@_-"/>
  </numFmts>
  <fonts count="42" x14ac:knownFonts="1">
    <font>
      <sz val="11"/>
      <color theme="1"/>
      <name val="Calibri"/>
      <family val="2"/>
      <scheme val="minor"/>
    </font>
    <font>
      <sz val="11"/>
      <color theme="1"/>
      <name val="Calibri"/>
      <family val="2"/>
      <scheme val="minor"/>
    </font>
    <font>
      <sz val="11"/>
      <color rgb="FFFF0000"/>
      <name val="Calibri"/>
      <family val="2"/>
      <scheme val="minor"/>
    </font>
    <font>
      <sz val="8"/>
      <color theme="1"/>
      <name val="Times New Roman"/>
      <family val="1"/>
    </font>
    <font>
      <sz val="8"/>
      <name val="Times New Roman"/>
      <family val="1"/>
    </font>
    <font>
      <sz val="8"/>
      <color theme="1"/>
      <name val="Calibri"/>
      <family val="2"/>
      <scheme val="minor"/>
    </font>
    <font>
      <b/>
      <sz val="8"/>
      <color rgb="FF7030A0"/>
      <name val="Times New Roman"/>
      <family val="1"/>
    </font>
    <font>
      <b/>
      <sz val="8"/>
      <color rgb="FFFF0000"/>
      <name val="Times New Roman"/>
      <family val="1"/>
    </font>
    <font>
      <b/>
      <sz val="8"/>
      <color theme="1"/>
      <name val="Times New Roman"/>
      <family val="1"/>
    </font>
    <font>
      <b/>
      <sz val="11"/>
      <color theme="1"/>
      <name val="Times New Roman"/>
      <family val="1"/>
    </font>
    <font>
      <b/>
      <sz val="10"/>
      <color theme="1"/>
      <name val="Times New Roman"/>
      <family val="1"/>
    </font>
    <font>
      <b/>
      <sz val="8"/>
      <color indexed="81"/>
      <name val="Tahoma"/>
      <family val="2"/>
    </font>
    <font>
      <sz val="8"/>
      <color indexed="81"/>
      <name val="Tahoma"/>
      <family val="2"/>
    </font>
    <font>
      <b/>
      <sz val="11"/>
      <name val="Times New Roman"/>
      <family val="1"/>
    </font>
    <font>
      <b/>
      <sz val="11"/>
      <color theme="0"/>
      <name val="Times New Roman"/>
      <family val="1"/>
    </font>
    <font>
      <sz val="10"/>
      <color theme="1"/>
      <name val="Times New Roman"/>
      <family val="1"/>
    </font>
    <font>
      <b/>
      <sz val="9"/>
      <color theme="1"/>
      <name val="Times New Roman"/>
      <family val="1"/>
    </font>
    <font>
      <b/>
      <sz val="10"/>
      <color rgb="FFFF0000"/>
      <name val="Times New Roman"/>
      <family val="1"/>
    </font>
    <font>
      <b/>
      <sz val="14"/>
      <color theme="1"/>
      <name val="Times New Roman"/>
      <family val="1"/>
    </font>
    <font>
      <sz val="11"/>
      <color theme="0"/>
      <name val="Calibri"/>
      <family val="2"/>
      <scheme val="minor"/>
    </font>
    <font>
      <b/>
      <sz val="10"/>
      <color theme="0"/>
      <name val="Times New Roman"/>
      <family val="1"/>
    </font>
    <font>
      <b/>
      <sz val="8"/>
      <color theme="0"/>
      <name val="Times New Roman"/>
      <family val="1"/>
    </font>
    <font>
      <sz val="8"/>
      <color theme="0"/>
      <name val="Calibri"/>
      <family val="2"/>
      <scheme val="minor"/>
    </font>
    <font>
      <sz val="8"/>
      <color theme="0"/>
      <name val="Times New Roman"/>
      <family val="1"/>
    </font>
    <font>
      <b/>
      <i/>
      <sz val="8"/>
      <color theme="0"/>
      <name val="Times New Roman"/>
      <family val="1"/>
    </font>
    <font>
      <i/>
      <sz val="8"/>
      <color theme="0"/>
      <name val="Times New Roman"/>
      <family val="1"/>
    </font>
    <font>
      <sz val="11"/>
      <color theme="0"/>
      <name val="Times New Roman"/>
      <family val="1"/>
    </font>
    <font>
      <b/>
      <sz val="9"/>
      <color indexed="81"/>
      <name val="Tahoma"/>
      <family val="2"/>
    </font>
    <font>
      <sz val="9"/>
      <color indexed="81"/>
      <name val="Tahoma"/>
      <family val="2"/>
    </font>
    <font>
      <sz val="11"/>
      <color theme="1"/>
      <name val="Calibri"/>
      <family val="2"/>
      <charset val="163"/>
      <scheme val="minor"/>
    </font>
    <font>
      <sz val="11"/>
      <color theme="1"/>
      <name val="Times New Roman"/>
      <family val="1"/>
    </font>
    <font>
      <b/>
      <sz val="17"/>
      <color theme="1"/>
      <name val="Times New Roman"/>
      <family val="1"/>
    </font>
    <font>
      <b/>
      <sz val="10"/>
      <name val="Times New Roman"/>
      <family val="1"/>
    </font>
    <font>
      <sz val="10"/>
      <color rgb="FF000000"/>
      <name val="Times New Roman"/>
      <family val="1"/>
    </font>
    <font>
      <sz val="10"/>
      <color indexed="64"/>
      <name val="Times New Roman"/>
      <family val="1"/>
    </font>
    <font>
      <sz val="10"/>
      <name val="Times New Roman"/>
      <family val="1"/>
    </font>
    <font>
      <sz val="11"/>
      <color rgb="FFFF0000"/>
      <name val="Times New Roman"/>
      <family val="1"/>
    </font>
    <font>
      <sz val="11"/>
      <name val="Times New Roman"/>
      <family val="1"/>
    </font>
    <font>
      <b/>
      <sz val="14"/>
      <name val="Times New Roman"/>
      <family val="1"/>
    </font>
    <font>
      <b/>
      <sz val="9"/>
      <name val="Times New Roman"/>
      <family val="1"/>
    </font>
    <font>
      <b/>
      <sz val="8"/>
      <name val="Times New Roman"/>
      <family val="1"/>
    </font>
    <font>
      <sz val="8"/>
      <color rgb="FFFF0000"/>
      <name val="Times New Roman"/>
      <family val="1"/>
    </font>
  </fonts>
  <fills count="12">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tint="-0.249977111117893"/>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165" fontId="1" fillId="0" borderId="0" applyFont="0" applyFill="0" applyBorder="0" applyAlignment="0" applyProtection="0"/>
    <xf numFmtId="9" fontId="1" fillId="0" borderId="0" applyFont="0" applyFill="0" applyBorder="0" applyAlignment="0" applyProtection="0"/>
    <xf numFmtId="0" fontId="29" fillId="0" borderId="0"/>
    <xf numFmtId="9" fontId="29" fillId="0" borderId="0" applyFont="0" applyFill="0" applyBorder="0" applyAlignment="0" applyProtection="0"/>
  </cellStyleXfs>
  <cellXfs count="427">
    <xf numFmtId="0" fontId="0" fillId="0" borderId="0" xfId="0"/>
    <xf numFmtId="0" fontId="0" fillId="0" borderId="0" xfId="0" applyFill="1"/>
    <xf numFmtId="0" fontId="2" fillId="0" borderId="0" xfId="0" applyFont="1" applyFill="1"/>
    <xf numFmtId="0" fontId="5" fillId="0" borderId="0" xfId="0" applyFont="1"/>
    <xf numFmtId="168" fontId="7" fillId="0" borderId="2" xfId="1" applyNumberFormat="1" applyFont="1" applyFill="1" applyBorder="1" applyAlignment="1">
      <alignment horizontal="center" vertical="center" wrapText="1"/>
    </xf>
    <xf numFmtId="169" fontId="6" fillId="0" borderId="2" xfId="1" applyNumberFormat="1" applyFont="1" applyFill="1" applyBorder="1" applyAlignment="1">
      <alignment horizontal="center" vertical="center" wrapText="1"/>
    </xf>
    <xf numFmtId="0" fontId="10" fillId="0" borderId="0" xfId="0" applyFont="1" applyAlignment="1">
      <alignment vertical="center"/>
    </xf>
    <xf numFmtId="0" fontId="13" fillId="0" borderId="0" xfId="0" applyFont="1" applyFill="1" applyBorder="1" applyAlignment="1">
      <alignment vertical="center" wrapText="1"/>
    </xf>
    <xf numFmtId="0" fontId="13" fillId="0" borderId="0" xfId="0" applyFont="1" applyFill="1" applyBorder="1" applyAlignment="1">
      <alignment horizontal="center" vertical="center"/>
    </xf>
    <xf numFmtId="0" fontId="9" fillId="0" borderId="0" xfId="0" applyFont="1" applyAlignment="1">
      <alignment horizontal="center" vertical="center"/>
    </xf>
    <xf numFmtId="0" fontId="17" fillId="5" borderId="8" xfId="0" applyFont="1" applyFill="1" applyBorder="1" applyAlignment="1">
      <alignment vertical="center"/>
    </xf>
    <xf numFmtId="0" fontId="9" fillId="5" borderId="9" xfId="0" applyFont="1" applyFill="1" applyBorder="1" applyAlignment="1">
      <alignment horizontal="center" vertical="center"/>
    </xf>
    <xf numFmtId="0" fontId="9" fillId="5" borderId="10" xfId="0" applyFont="1" applyFill="1" applyBorder="1" applyAlignment="1">
      <alignment horizontal="center" vertical="center"/>
    </xf>
    <xf numFmtId="0" fontId="18" fillId="0" borderId="0" xfId="0" applyFont="1" applyAlignment="1">
      <alignment vertical="center"/>
    </xf>
    <xf numFmtId="0" fontId="19" fillId="0" borderId="0" xfId="0" applyFont="1"/>
    <xf numFmtId="0" fontId="20" fillId="0" borderId="0" xfId="0" applyFont="1" applyBorder="1" applyAlignment="1">
      <alignment vertical="center"/>
    </xf>
    <xf numFmtId="0" fontId="19" fillId="0" borderId="0" xfId="0" applyFont="1" applyBorder="1"/>
    <xf numFmtId="0" fontId="19" fillId="0" borderId="0" xfId="0" applyFont="1" applyFill="1" applyBorder="1"/>
    <xf numFmtId="0" fontId="14" fillId="0" borderId="0" xfId="0" applyFont="1" applyBorder="1" applyAlignment="1">
      <alignment horizontal="center" vertical="center"/>
    </xf>
    <xf numFmtId="0" fontId="22" fillId="0" borderId="0" xfId="0" applyFont="1" applyBorder="1"/>
    <xf numFmtId="169" fontId="21" fillId="0" borderId="0" xfId="1" applyNumberFormat="1" applyFont="1" applyFill="1" applyBorder="1" applyAlignment="1">
      <alignment horizontal="center" vertical="center" wrapText="1"/>
    </xf>
    <xf numFmtId="0" fontId="21" fillId="0" borderId="0" xfId="0" applyFont="1" applyFill="1" applyBorder="1" applyAlignment="1">
      <alignment horizontal="center" vertical="center" wrapText="1"/>
    </xf>
    <xf numFmtId="165" fontId="21" fillId="0" borderId="0" xfId="1" applyFont="1" applyFill="1" applyBorder="1" applyAlignment="1">
      <alignment horizontal="center" vertical="center" wrapText="1"/>
    </xf>
    <xf numFmtId="168" fontId="21" fillId="0" borderId="0" xfId="1" applyNumberFormat="1" applyFont="1" applyFill="1" applyBorder="1" applyAlignment="1">
      <alignment horizontal="center" vertical="center" wrapText="1"/>
    </xf>
    <xf numFmtId="0" fontId="23" fillId="0" borderId="0" xfId="0" applyFont="1" applyFill="1" applyBorder="1" applyAlignment="1">
      <alignment horizontal="center" vertical="center" wrapText="1"/>
    </xf>
    <xf numFmtId="0" fontId="23" fillId="0" borderId="0" xfId="0" applyFont="1" applyFill="1" applyBorder="1" applyAlignment="1">
      <alignment vertical="center" wrapText="1"/>
    </xf>
    <xf numFmtId="0" fontId="23" fillId="0" borderId="0" xfId="0" quotePrefix="1" applyFont="1" applyFill="1" applyBorder="1" applyAlignment="1">
      <alignment horizontal="center" vertical="center" wrapText="1"/>
    </xf>
    <xf numFmtId="0" fontId="23" fillId="0" borderId="0" xfId="0" applyFont="1" applyBorder="1" applyAlignment="1">
      <alignment horizontal="center" vertical="center" wrapText="1"/>
    </xf>
    <xf numFmtId="0" fontId="23" fillId="0" borderId="0" xfId="0" applyFont="1" applyBorder="1" applyAlignment="1">
      <alignment vertical="center" wrapText="1"/>
    </xf>
    <xf numFmtId="0" fontId="23" fillId="0" borderId="0" xfId="0" quotePrefix="1" applyFont="1" applyFill="1" applyBorder="1" applyAlignment="1" applyProtection="1">
      <alignment horizontal="left" vertical="center" wrapText="1"/>
      <protection hidden="1"/>
    </xf>
    <xf numFmtId="167" fontId="23" fillId="0" borderId="0" xfId="1" applyNumberFormat="1" applyFont="1" applyFill="1" applyBorder="1" applyAlignment="1">
      <alignment horizontal="right" vertical="center" wrapText="1"/>
    </xf>
    <xf numFmtId="166" fontId="23" fillId="0" borderId="0" xfId="1" applyNumberFormat="1" applyFont="1" applyFill="1" applyBorder="1" applyAlignment="1">
      <alignment vertical="center" wrapText="1"/>
    </xf>
    <xf numFmtId="164" fontId="23" fillId="0" borderId="0" xfId="0" applyNumberFormat="1" applyFont="1" applyFill="1" applyBorder="1" applyAlignment="1">
      <alignment horizontal="left" vertical="center" wrapText="1"/>
    </xf>
    <xf numFmtId="0" fontId="23" fillId="0" borderId="0" xfId="0" applyFont="1" applyFill="1" applyBorder="1" applyAlignment="1">
      <alignment horizontal="left" vertical="center" wrapText="1"/>
    </xf>
    <xf numFmtId="0" fontId="23" fillId="0" borderId="0" xfId="0" applyFont="1" applyFill="1" applyBorder="1" applyAlignment="1">
      <alignment horizontal="left" vertical="center"/>
    </xf>
    <xf numFmtId="166" fontId="23" fillId="0" borderId="0" xfId="1" applyNumberFormat="1" applyFont="1" applyFill="1" applyBorder="1" applyAlignment="1">
      <alignment vertical="center"/>
    </xf>
    <xf numFmtId="164" fontId="23" fillId="0" borderId="0" xfId="0" applyNumberFormat="1" applyFont="1" applyFill="1" applyBorder="1" applyAlignment="1">
      <alignment vertical="center" wrapText="1"/>
    </xf>
    <xf numFmtId="4" fontId="23" fillId="0" borderId="0" xfId="1" applyNumberFormat="1" applyFont="1" applyFill="1" applyBorder="1" applyAlignment="1">
      <alignment vertical="center" wrapText="1"/>
    </xf>
    <xf numFmtId="0" fontId="23" fillId="0" borderId="0" xfId="0" quotePrefix="1" applyFont="1" applyFill="1" applyBorder="1" applyAlignment="1">
      <alignment horizontal="left" vertical="center" wrapText="1"/>
    </xf>
    <xf numFmtId="167" fontId="23" fillId="0" borderId="0" xfId="1" applyNumberFormat="1" applyFont="1" applyFill="1" applyBorder="1" applyAlignment="1">
      <alignment horizontal="right" vertical="center"/>
    </xf>
    <xf numFmtId="166" fontId="24" fillId="0" borderId="0" xfId="1" applyNumberFormat="1" applyFont="1" applyFill="1" applyBorder="1" applyAlignment="1">
      <alignment vertical="center"/>
    </xf>
    <xf numFmtId="164" fontId="23" fillId="0" borderId="0" xfId="0" applyNumberFormat="1" applyFont="1" applyFill="1" applyBorder="1" applyAlignment="1">
      <alignment horizontal="left" vertical="center"/>
    </xf>
    <xf numFmtId="166" fontId="25" fillId="0" borderId="0" xfId="1" applyNumberFormat="1" applyFont="1" applyFill="1" applyBorder="1" applyAlignment="1">
      <alignment vertical="center"/>
    </xf>
    <xf numFmtId="0" fontId="23" fillId="0" borderId="0" xfId="0" quotePrefix="1" applyFont="1" applyFill="1" applyBorder="1" applyAlignment="1">
      <alignment horizontal="left" vertical="top" wrapText="1"/>
    </xf>
    <xf numFmtId="164" fontId="23" fillId="0" borderId="0" xfId="0" applyNumberFormat="1" applyFont="1" applyFill="1" applyBorder="1" applyAlignment="1">
      <alignment vertical="center"/>
    </xf>
    <xf numFmtId="168" fontId="23" fillId="0" borderId="0" xfId="1" applyNumberFormat="1" applyFont="1" applyFill="1" applyBorder="1" applyAlignment="1">
      <alignment horizontal="left" vertical="center" wrapText="1"/>
    </xf>
    <xf numFmtId="166" fontId="21" fillId="0" borderId="0" xfId="1" applyNumberFormat="1" applyFont="1" applyFill="1" applyBorder="1" applyAlignment="1">
      <alignment vertical="center" wrapText="1"/>
    </xf>
    <xf numFmtId="166" fontId="21" fillId="0" borderId="0" xfId="1" applyNumberFormat="1" applyFont="1" applyFill="1" applyBorder="1" applyAlignment="1">
      <alignment vertical="center"/>
    </xf>
    <xf numFmtId="0" fontId="23" fillId="0" borderId="0" xfId="0" applyFont="1" applyFill="1" applyBorder="1" applyAlignment="1">
      <alignment horizontal="left" vertical="top" wrapText="1"/>
    </xf>
    <xf numFmtId="166" fontId="23" fillId="0" borderId="0" xfId="1" quotePrefix="1" applyNumberFormat="1" applyFont="1" applyFill="1" applyBorder="1" applyAlignment="1">
      <alignment vertical="center" wrapText="1"/>
    </xf>
    <xf numFmtId="0" fontId="23" fillId="0" borderId="0" xfId="0" quotePrefix="1" applyFont="1" applyFill="1" applyBorder="1" applyAlignment="1" applyProtection="1">
      <alignment vertical="center" wrapText="1"/>
      <protection hidden="1"/>
    </xf>
    <xf numFmtId="0" fontId="23" fillId="0" borderId="0" xfId="0" quotePrefix="1" applyFont="1" applyFill="1" applyBorder="1" applyAlignment="1">
      <alignment vertical="top" wrapText="1"/>
    </xf>
    <xf numFmtId="0" fontId="23" fillId="2" borderId="0" xfId="0" applyFont="1" applyFill="1" applyBorder="1" applyAlignment="1">
      <alignment horizontal="center" vertical="center" wrapText="1"/>
    </xf>
    <xf numFmtId="0" fontId="23" fillId="2" borderId="0" xfId="0" applyFont="1" applyFill="1" applyBorder="1" applyAlignment="1">
      <alignment vertical="center" wrapText="1"/>
    </xf>
    <xf numFmtId="0" fontId="23" fillId="2" borderId="0" xfId="0" quotePrefix="1" applyFont="1" applyFill="1" applyBorder="1" applyAlignment="1">
      <alignment horizontal="center" vertical="center" wrapText="1"/>
    </xf>
    <xf numFmtId="0" fontId="23" fillId="2" borderId="0" xfId="0" quotePrefix="1" applyFont="1" applyFill="1" applyBorder="1" applyAlignment="1" applyProtection="1">
      <alignment horizontal="left" vertical="center" wrapText="1"/>
      <protection hidden="1"/>
    </xf>
    <xf numFmtId="168" fontId="23" fillId="0" borderId="0" xfId="1" quotePrefix="1" applyNumberFormat="1" applyFont="1" applyFill="1" applyBorder="1" applyAlignment="1">
      <alignment horizontal="left" vertical="center" wrapText="1"/>
    </xf>
    <xf numFmtId="167" fontId="23" fillId="0" borderId="0" xfId="0" applyNumberFormat="1" applyFont="1" applyFill="1" applyBorder="1" applyAlignment="1">
      <alignment horizontal="right" vertical="center"/>
    </xf>
    <xf numFmtId="167" fontId="23" fillId="0" borderId="0" xfId="0" applyNumberFormat="1" applyFont="1" applyFill="1" applyBorder="1" applyAlignment="1">
      <alignment horizontal="right" vertical="center" wrapText="1"/>
    </xf>
    <xf numFmtId="9" fontId="23" fillId="0" borderId="0" xfId="2" applyFont="1" applyFill="1" applyBorder="1" applyAlignment="1">
      <alignment horizontal="left" vertical="center" wrapText="1"/>
    </xf>
    <xf numFmtId="168" fontId="23" fillId="0" borderId="0" xfId="1" applyNumberFormat="1" applyFont="1" applyFill="1" applyBorder="1" applyAlignment="1">
      <alignment horizontal="left" vertical="center"/>
    </xf>
    <xf numFmtId="43" fontId="23" fillId="0" borderId="0" xfId="1" applyNumberFormat="1" applyFont="1" applyFill="1" applyBorder="1" applyAlignment="1">
      <alignment vertical="center" wrapText="1"/>
    </xf>
    <xf numFmtId="9" fontId="23" fillId="0" borderId="0" xfId="0" applyNumberFormat="1" applyFont="1" applyFill="1" applyBorder="1" applyAlignment="1">
      <alignment horizontal="left" vertical="center" wrapText="1"/>
    </xf>
    <xf numFmtId="43" fontId="23" fillId="0" borderId="0" xfId="1" applyNumberFormat="1" applyFont="1" applyFill="1" applyBorder="1" applyAlignment="1">
      <alignment vertical="center"/>
    </xf>
    <xf numFmtId="164" fontId="24" fillId="0" borderId="0" xfId="0" applyNumberFormat="1" applyFont="1" applyFill="1" applyBorder="1" applyAlignment="1">
      <alignment horizontal="left" vertical="center"/>
    </xf>
    <xf numFmtId="164" fontId="24" fillId="0" borderId="0" xfId="0" quotePrefix="1" applyNumberFormat="1" applyFont="1" applyFill="1" applyBorder="1" applyAlignment="1">
      <alignment horizontal="left" vertical="center"/>
    </xf>
    <xf numFmtId="0" fontId="23" fillId="3" borderId="0" xfId="0" applyFont="1" applyFill="1" applyBorder="1" applyAlignment="1">
      <alignment horizontal="center" vertical="center" wrapText="1"/>
    </xf>
    <xf numFmtId="0" fontId="23" fillId="3" borderId="0" xfId="0" applyFont="1" applyFill="1" applyBorder="1" applyAlignment="1">
      <alignment vertical="center" wrapText="1"/>
    </xf>
    <xf numFmtId="0" fontId="23" fillId="3" borderId="0" xfId="0" quotePrefix="1" applyFont="1" applyFill="1" applyBorder="1" applyAlignment="1">
      <alignment horizontal="center" vertical="center" wrapText="1"/>
    </xf>
    <xf numFmtId="0" fontId="23" fillId="3" borderId="0" xfId="0" quotePrefix="1" applyFont="1" applyFill="1" applyBorder="1" applyAlignment="1" applyProtection="1">
      <alignment horizontal="left" vertical="center" wrapText="1"/>
      <protection hidden="1"/>
    </xf>
    <xf numFmtId="0" fontId="23" fillId="0" borderId="0" xfId="0" applyFont="1" applyBorder="1"/>
    <xf numFmtId="0" fontId="23" fillId="0" borderId="0" xfId="0" quotePrefix="1" applyFont="1" applyBorder="1" applyAlignment="1">
      <alignment horizontal="center" vertical="center" wrapText="1"/>
    </xf>
    <xf numFmtId="0" fontId="23" fillId="0" borderId="0" xfId="0" applyFont="1" applyFill="1" applyBorder="1"/>
    <xf numFmtId="0" fontId="23" fillId="0" borderId="0" xfId="0" applyFont="1" applyBorder="1" applyAlignment="1">
      <alignment vertical="center"/>
    </xf>
    <xf numFmtId="0" fontId="23" fillId="0" borderId="0" xfId="0" applyFont="1" applyFill="1" applyBorder="1" applyAlignment="1">
      <alignment vertical="center"/>
    </xf>
    <xf numFmtId="0" fontId="23" fillId="0" borderId="0" xfId="0" applyFont="1" applyBorder="1" applyAlignment="1">
      <alignment wrapText="1"/>
    </xf>
    <xf numFmtId="0" fontId="14" fillId="0" borderId="0" xfId="0" applyFont="1"/>
    <xf numFmtId="0" fontId="26" fillId="0" borderId="0" xfId="0" applyFont="1"/>
    <xf numFmtId="0" fontId="10" fillId="6" borderId="5" xfId="0" applyFont="1" applyFill="1" applyBorder="1" applyAlignment="1" applyProtection="1">
      <alignment vertical="center" wrapText="1"/>
      <protection locked="0"/>
    </xf>
    <xf numFmtId="0" fontId="10" fillId="6" borderId="6" xfId="0" applyFont="1" applyFill="1" applyBorder="1" applyAlignment="1" applyProtection="1">
      <alignment vertical="center" wrapText="1"/>
      <protection locked="0"/>
    </xf>
    <xf numFmtId="0" fontId="30" fillId="0" borderId="0" xfId="3" applyFont="1" applyFill="1" applyAlignment="1">
      <alignment vertical="center" wrapText="1"/>
    </xf>
    <xf numFmtId="0" fontId="9" fillId="0" borderId="0" xfId="3" applyFont="1" applyFill="1" applyAlignment="1">
      <alignment vertical="center"/>
    </xf>
    <xf numFmtId="0" fontId="31" fillId="0" borderId="0" xfId="3" applyFont="1" applyFill="1" applyAlignment="1">
      <alignment vertical="center"/>
    </xf>
    <xf numFmtId="170" fontId="10" fillId="0" borderId="1" xfId="4" applyNumberFormat="1" applyFont="1" applyFill="1" applyBorder="1" applyAlignment="1">
      <alignment horizontal="center" vertical="center" wrapText="1"/>
    </xf>
    <xf numFmtId="0" fontId="10" fillId="0" borderId="1" xfId="3" applyFont="1" applyFill="1" applyBorder="1" applyAlignment="1">
      <alignment horizontal="center" vertical="center" wrapText="1"/>
    </xf>
    <xf numFmtId="10" fontId="32" fillId="0" borderId="1" xfId="4" applyNumberFormat="1" applyFont="1" applyFill="1" applyBorder="1" applyAlignment="1">
      <alignment horizontal="center" vertical="center" wrapText="1"/>
    </xf>
    <xf numFmtId="0" fontId="32" fillId="0" borderId="1" xfId="3" applyFont="1" applyFill="1" applyBorder="1" applyAlignment="1">
      <alignment horizontal="center" vertical="center" wrapText="1"/>
    </xf>
    <xf numFmtId="0" fontId="15" fillId="0" borderId="1" xfId="3" applyFont="1" applyFill="1" applyBorder="1" applyAlignment="1">
      <alignment horizontal="center" vertical="center" wrapText="1"/>
    </xf>
    <xf numFmtId="49" fontId="33" fillId="0" borderId="1" xfId="3" applyNumberFormat="1" applyFont="1" applyFill="1" applyBorder="1" applyAlignment="1">
      <alignment vertical="center" wrapText="1"/>
    </xf>
    <xf numFmtId="0" fontId="15" fillId="0" borderId="1" xfId="3" applyFont="1" applyFill="1" applyBorder="1" applyAlignment="1">
      <alignment horizontal="left" vertical="center" wrapText="1"/>
    </xf>
    <xf numFmtId="0" fontId="15" fillId="0" borderId="1" xfId="3" applyFont="1" applyFill="1" applyBorder="1" applyAlignment="1">
      <alignment vertical="center" wrapText="1"/>
    </xf>
    <xf numFmtId="170" fontId="30" fillId="0" borderId="1" xfId="4" applyNumberFormat="1" applyFont="1" applyFill="1" applyBorder="1" applyAlignment="1">
      <alignment vertical="center" wrapText="1"/>
    </xf>
    <xf numFmtId="49" fontId="34" fillId="0" borderId="1" xfId="3" applyNumberFormat="1" applyFont="1" applyFill="1" applyBorder="1" applyAlignment="1">
      <alignment vertical="center" wrapText="1"/>
    </xf>
    <xf numFmtId="0" fontId="33" fillId="0" borderId="1" xfId="3" applyFont="1" applyFill="1" applyBorder="1" applyAlignment="1">
      <alignment vertical="center" wrapText="1"/>
    </xf>
    <xf numFmtId="0" fontId="15" fillId="7" borderId="1" xfId="3" applyFont="1" applyFill="1" applyBorder="1" applyAlignment="1">
      <alignment horizontal="center" vertical="center" wrapText="1"/>
    </xf>
    <xf numFmtId="0" fontId="33" fillId="7" borderId="1" xfId="3" applyFont="1" applyFill="1" applyBorder="1" applyAlignment="1">
      <alignment vertical="center" wrapText="1"/>
    </xf>
    <xf numFmtId="49" fontId="33" fillId="7" borderId="1" xfId="3" applyNumberFormat="1" applyFont="1" applyFill="1" applyBorder="1" applyAlignment="1">
      <alignment vertical="center" wrapText="1"/>
    </xf>
    <xf numFmtId="0" fontId="15" fillId="7" borderId="1" xfId="3" applyFont="1" applyFill="1" applyBorder="1" applyAlignment="1">
      <alignment horizontal="left" vertical="center" wrapText="1"/>
    </xf>
    <xf numFmtId="0" fontId="15" fillId="7" borderId="1" xfId="3" applyFont="1" applyFill="1" applyBorder="1" applyAlignment="1">
      <alignment vertical="center" wrapText="1"/>
    </xf>
    <xf numFmtId="170" fontId="30" fillId="7" borderId="1" xfId="4" applyNumberFormat="1" applyFont="1" applyFill="1" applyBorder="1" applyAlignment="1">
      <alignment vertical="center" wrapText="1"/>
    </xf>
    <xf numFmtId="0" fontId="30" fillId="7" borderId="0" xfId="3" applyFont="1" applyFill="1" applyAlignment="1">
      <alignment vertical="center" wrapText="1"/>
    </xf>
    <xf numFmtId="0" fontId="30" fillId="0" borderId="1" xfId="3" applyFont="1" applyFill="1" applyBorder="1" applyAlignment="1">
      <alignment vertical="center" wrapText="1"/>
    </xf>
    <xf numFmtId="0" fontId="35" fillId="0" borderId="1" xfId="3" applyFont="1" applyFill="1" applyBorder="1" applyAlignment="1">
      <alignment vertical="center" wrapText="1"/>
    </xf>
    <xf numFmtId="171" fontId="30" fillId="0" borderId="0" xfId="4" applyNumberFormat="1" applyFont="1" applyFill="1" applyAlignment="1">
      <alignment vertical="center" wrapText="1"/>
    </xf>
    <xf numFmtId="0" fontId="9" fillId="0" borderId="1" xfId="3" applyFont="1" applyFill="1" applyBorder="1" applyAlignment="1">
      <alignment vertical="center" wrapText="1"/>
    </xf>
    <xf numFmtId="170" fontId="9" fillId="0" borderId="1" xfId="4" applyNumberFormat="1" applyFont="1" applyFill="1" applyBorder="1" applyAlignment="1">
      <alignment vertical="center"/>
    </xf>
    <xf numFmtId="0" fontId="9" fillId="0" borderId="0" xfId="3" applyFont="1" applyFill="1" applyAlignment="1">
      <alignment vertical="center" wrapText="1"/>
    </xf>
    <xf numFmtId="0" fontId="30" fillId="0" borderId="0" xfId="3" quotePrefix="1" applyFont="1" applyFill="1" applyAlignment="1">
      <alignment vertical="center" wrapText="1"/>
    </xf>
    <xf numFmtId="0" fontId="30" fillId="0" borderId="0" xfId="0" applyFont="1" applyFill="1"/>
    <xf numFmtId="0" fontId="30" fillId="0" borderId="0" xfId="0" applyFont="1" applyFill="1" applyAlignment="1">
      <alignment horizontal="center"/>
    </xf>
    <xf numFmtId="0" fontId="30" fillId="0" borderId="0" xfId="0" applyFont="1" applyFill="1" applyAlignment="1">
      <alignment horizontal="left"/>
    </xf>
    <xf numFmtId="0" fontId="36" fillId="0" borderId="0" xfId="0" applyFont="1" applyFill="1"/>
    <xf numFmtId="172" fontId="13" fillId="0" borderId="0" xfId="1" applyNumberFormat="1" applyFont="1" applyFill="1" applyBorder="1" applyAlignment="1">
      <alignment vertical="center" wrapText="1"/>
    </xf>
    <xf numFmtId="0" fontId="4" fillId="0" borderId="1" xfId="0" quotePrefix="1" applyFont="1" applyFill="1" applyBorder="1" applyAlignment="1" applyProtection="1">
      <alignment horizontal="left" vertical="top" wrapText="1"/>
      <protection hidden="1"/>
    </xf>
    <xf numFmtId="0" fontId="4" fillId="0" borderId="1" xfId="0" quotePrefix="1" applyFont="1" applyFill="1" applyBorder="1" applyAlignment="1" applyProtection="1">
      <alignment horizontal="center" vertical="top" wrapText="1"/>
      <protection hidden="1"/>
    </xf>
    <xf numFmtId="172" fontId="30" fillId="0" borderId="0" xfId="1" applyNumberFormat="1" applyFont="1" applyFill="1"/>
    <xf numFmtId="0" fontId="10" fillId="0" borderId="0" xfId="0" applyFont="1" applyFill="1" applyAlignment="1">
      <alignment vertical="center"/>
    </xf>
    <xf numFmtId="0" fontId="18" fillId="0" borderId="0" xfId="0" applyFont="1" applyFill="1" applyAlignment="1">
      <alignment vertical="center"/>
    </xf>
    <xf numFmtId="172" fontId="18" fillId="0" borderId="0" xfId="1" applyNumberFormat="1" applyFont="1" applyFill="1" applyAlignment="1">
      <alignment vertical="center"/>
    </xf>
    <xf numFmtId="0" fontId="18" fillId="0" borderId="0" xfId="0" applyFont="1" applyFill="1" applyAlignment="1">
      <alignment horizontal="center" vertical="center"/>
    </xf>
    <xf numFmtId="0" fontId="18" fillId="0" borderId="0" xfId="0" applyFont="1" applyFill="1" applyAlignment="1">
      <alignment horizontal="left" vertical="center"/>
    </xf>
    <xf numFmtId="0" fontId="9" fillId="0" borderId="0" xfId="0" applyFont="1" applyFill="1" applyAlignment="1">
      <alignment horizontal="center" vertical="center"/>
    </xf>
    <xf numFmtId="0" fontId="17" fillId="0" borderId="8" xfId="0" applyFont="1" applyFill="1" applyBorder="1" applyAlignment="1">
      <alignment vertical="center"/>
    </xf>
    <xf numFmtId="0" fontId="9" fillId="0" borderId="9" xfId="0" applyFont="1" applyFill="1" applyBorder="1" applyAlignment="1">
      <alignment horizontal="center" vertical="center"/>
    </xf>
    <xf numFmtId="0" fontId="9" fillId="0" borderId="10" xfId="0" applyFont="1" applyFill="1" applyBorder="1" applyAlignment="1">
      <alignment horizontal="center" vertical="center"/>
    </xf>
    <xf numFmtId="172" fontId="9" fillId="0" borderId="0" xfId="1" applyNumberFormat="1" applyFont="1" applyFill="1" applyAlignment="1">
      <alignment horizontal="center" vertical="center"/>
    </xf>
    <xf numFmtId="0" fontId="9" fillId="0" borderId="0" xfId="0" applyFont="1" applyFill="1" applyAlignment="1">
      <alignment horizontal="left" vertical="center"/>
    </xf>
    <xf numFmtId="0" fontId="10" fillId="0" borderId="5" xfId="0" applyFont="1" applyFill="1" applyBorder="1" applyAlignment="1" applyProtection="1">
      <alignment vertical="center" wrapText="1"/>
      <protection locked="0"/>
    </xf>
    <xf numFmtId="0" fontId="14" fillId="0" borderId="0" xfId="0" applyFont="1" applyFill="1" applyAlignment="1">
      <alignment horizontal="center" vertical="center"/>
    </xf>
    <xf numFmtId="0" fontId="10" fillId="0" borderId="6" xfId="0" applyFont="1" applyFill="1" applyBorder="1" applyAlignment="1" applyProtection="1">
      <alignment vertical="center" wrapText="1"/>
      <protection locked="0"/>
    </xf>
    <xf numFmtId="0" fontId="3" fillId="0" borderId="0" xfId="0" applyFont="1" applyFill="1"/>
    <xf numFmtId="0" fontId="4" fillId="10" borderId="1" xfId="0" quotePrefix="1" applyFont="1" applyFill="1" applyBorder="1" applyAlignment="1" applyProtection="1">
      <alignment horizontal="left" vertical="top" wrapText="1"/>
      <protection hidden="1"/>
    </xf>
    <xf numFmtId="165" fontId="4" fillId="10" borderId="1" xfId="1" quotePrefix="1" applyFont="1" applyFill="1" applyBorder="1" applyAlignment="1" applyProtection="1">
      <alignment horizontal="left" vertical="top" wrapText="1"/>
      <protection hidden="1"/>
    </xf>
    <xf numFmtId="0" fontId="4" fillId="10" borderId="1" xfId="0" quotePrefix="1" applyFont="1" applyFill="1" applyBorder="1" applyAlignment="1" applyProtection="1">
      <alignment horizontal="center" vertical="top" wrapText="1"/>
      <protection hidden="1"/>
    </xf>
    <xf numFmtId="0" fontId="4" fillId="5" borderId="1" xfId="0" quotePrefix="1" applyFont="1" applyFill="1" applyBorder="1" applyAlignment="1" applyProtection="1">
      <alignment horizontal="left" vertical="top" wrapText="1"/>
      <protection hidden="1"/>
    </xf>
    <xf numFmtId="165" fontId="4" fillId="5" borderId="1" xfId="1" quotePrefix="1" applyFont="1" applyFill="1" applyBorder="1" applyAlignment="1" applyProtection="1">
      <alignment horizontal="left" vertical="top" wrapText="1"/>
      <protection hidden="1"/>
    </xf>
    <xf numFmtId="0" fontId="4" fillId="5" borderId="1" xfId="0" quotePrefix="1" applyFont="1" applyFill="1" applyBorder="1" applyAlignment="1" applyProtection="1">
      <alignment horizontal="center" vertical="top" wrapText="1"/>
      <protection hidden="1"/>
    </xf>
    <xf numFmtId="0" fontId="32" fillId="0" borderId="0" xfId="0" applyFont="1" applyAlignment="1">
      <alignment vertical="center"/>
    </xf>
    <xf numFmtId="0" fontId="38" fillId="0" borderId="0" xfId="0" applyFont="1" applyAlignment="1">
      <alignment vertical="center"/>
    </xf>
    <xf numFmtId="0" fontId="38" fillId="0" borderId="0" xfId="0" applyFont="1" applyAlignment="1">
      <alignment horizontal="center" vertical="center"/>
    </xf>
    <xf numFmtId="0" fontId="38" fillId="0" borderId="0" xfId="0" applyFont="1" applyAlignment="1">
      <alignment horizontal="left" vertical="center"/>
    </xf>
    <xf numFmtId="0" fontId="13" fillId="0" borderId="0" xfId="0" applyFont="1" applyAlignment="1">
      <alignment horizontal="center" vertical="center"/>
    </xf>
    <xf numFmtId="0" fontId="32" fillId="5" borderId="8" xfId="0" applyFont="1" applyFill="1" applyBorder="1" applyAlignment="1">
      <alignment vertical="center"/>
    </xf>
    <xf numFmtId="0" fontId="13" fillId="5" borderId="9" xfId="0" applyFont="1" applyFill="1" applyBorder="1" applyAlignment="1">
      <alignment horizontal="center" vertical="center"/>
    </xf>
    <xf numFmtId="0" fontId="13" fillId="5" borderId="10" xfId="0" applyFont="1" applyFill="1" applyBorder="1" applyAlignment="1">
      <alignment horizontal="center" vertical="center"/>
    </xf>
    <xf numFmtId="0" fontId="13" fillId="0" borderId="0" xfId="0" applyFont="1" applyAlignment="1">
      <alignment horizontal="left" vertical="center"/>
    </xf>
    <xf numFmtId="0" fontId="32" fillId="6" borderId="5" xfId="0" applyFont="1" applyFill="1" applyBorder="1" applyAlignment="1" applyProtection="1">
      <alignment vertical="center" wrapText="1"/>
      <protection locked="0"/>
    </xf>
    <xf numFmtId="0" fontId="32" fillId="6" borderId="6" xfId="0" applyFont="1" applyFill="1" applyBorder="1" applyAlignment="1" applyProtection="1">
      <alignment vertical="center" wrapText="1"/>
      <protection locked="0"/>
    </xf>
    <xf numFmtId="169" fontId="40" fillId="0" borderId="2" xfId="1" applyNumberFormat="1" applyFont="1" applyFill="1" applyBorder="1" applyAlignment="1">
      <alignment horizontal="center" vertical="center" wrapText="1"/>
    </xf>
    <xf numFmtId="165" fontId="40" fillId="0" borderId="2" xfId="1" applyFont="1" applyFill="1" applyBorder="1" applyAlignment="1">
      <alignment horizontal="center" vertical="center" wrapText="1"/>
    </xf>
    <xf numFmtId="168" fontId="40" fillId="0" borderId="2" xfId="1" applyNumberFormat="1" applyFont="1" applyFill="1" applyBorder="1" applyAlignment="1">
      <alignment horizontal="center" vertical="center" wrapText="1"/>
    </xf>
    <xf numFmtId="0" fontId="40" fillId="0" borderId="2" xfId="0" applyFont="1" applyFill="1" applyBorder="1" applyAlignment="1">
      <alignment horizontal="left" vertical="center" wrapText="1"/>
    </xf>
    <xf numFmtId="0" fontId="4" fillId="0" borderId="1" xfId="0" applyFont="1" applyFill="1" applyBorder="1" applyAlignment="1" applyProtection="1">
      <alignment vertical="top" wrapText="1"/>
      <protection hidden="1"/>
    </xf>
    <xf numFmtId="0" fontId="4" fillId="0" borderId="0" xfId="0" applyFont="1" applyFill="1" applyAlignment="1" applyProtection="1">
      <alignment vertical="top" wrapText="1"/>
      <protection hidden="1"/>
    </xf>
    <xf numFmtId="0" fontId="16" fillId="0" borderId="0" xfId="0" applyFont="1" applyFill="1" applyBorder="1" applyAlignment="1">
      <alignment horizontal="center" vertical="center"/>
    </xf>
    <xf numFmtId="0" fontId="0" fillId="0" borderId="0" xfId="0" applyFill="1" applyAlignment="1">
      <alignment horizontal="center"/>
    </xf>
    <xf numFmtId="0" fontId="18" fillId="0" borderId="0" xfId="0" applyFont="1" applyAlignment="1">
      <alignment horizontal="center" vertical="center"/>
    </xf>
    <xf numFmtId="3" fontId="8" fillId="11" borderId="2" xfId="1" applyNumberFormat="1" applyFont="1" applyFill="1" applyBorder="1" applyAlignment="1">
      <alignment horizontal="center" vertical="center" wrapText="1"/>
    </xf>
    <xf numFmtId="0" fontId="8" fillId="11" borderId="2" xfId="0" applyFont="1" applyFill="1" applyBorder="1" applyAlignment="1">
      <alignment horizontal="center" vertical="center" wrapText="1"/>
    </xf>
    <xf numFmtId="0" fontId="8" fillId="11" borderId="1" xfId="0" applyFont="1" applyFill="1" applyBorder="1" applyAlignment="1">
      <alignment horizontal="center" vertical="center" wrapText="1"/>
    </xf>
    <xf numFmtId="168" fontId="8" fillId="11" borderId="2" xfId="1" applyNumberFormat="1" applyFont="1" applyFill="1" applyBorder="1" applyAlignment="1">
      <alignment horizontal="center" vertical="center" wrapText="1"/>
    </xf>
    <xf numFmtId="0" fontId="4" fillId="7" borderId="1" xfId="0" quotePrefix="1" applyFont="1" applyFill="1" applyBorder="1" applyAlignment="1" applyProtection="1">
      <alignment horizontal="center" vertical="top" wrapText="1"/>
      <protection hidden="1"/>
    </xf>
    <xf numFmtId="0" fontId="3" fillId="0" borderId="0" xfId="0" applyFont="1" applyAlignment="1" applyProtection="1">
      <alignment vertical="top" wrapText="1"/>
      <protection hidden="1"/>
    </xf>
    <xf numFmtId="0" fontId="4" fillId="7" borderId="1" xfId="0" quotePrefix="1" applyFont="1" applyFill="1" applyBorder="1" applyAlignment="1" applyProtection="1">
      <alignment horizontal="left" vertical="top" wrapText="1"/>
      <protection hidden="1"/>
    </xf>
    <xf numFmtId="0" fontId="3" fillId="7" borderId="0" xfId="0" applyFont="1" applyFill="1" applyAlignment="1" applyProtection="1">
      <alignment vertical="top" wrapText="1"/>
      <protection hidden="1"/>
    </xf>
    <xf numFmtId="0" fontId="0" fillId="0" borderId="0" xfId="0" applyAlignment="1">
      <alignment vertical="top"/>
    </xf>
    <xf numFmtId="0" fontId="0" fillId="0" borderId="0" xfId="0" applyAlignment="1">
      <alignment horizontal="center"/>
    </xf>
    <xf numFmtId="0" fontId="13" fillId="0" borderId="0" xfId="0" applyFont="1" applyFill="1" applyBorder="1" applyAlignment="1">
      <alignment horizontal="center" vertical="center" wrapText="1"/>
    </xf>
    <xf numFmtId="3" fontId="0" fillId="0" borderId="0" xfId="0" applyNumberFormat="1" applyAlignment="1">
      <alignment wrapText="1"/>
    </xf>
    <xf numFmtId="0" fontId="0" fillId="0" borderId="0" xfId="0" applyAlignment="1">
      <alignment wrapText="1"/>
    </xf>
    <xf numFmtId="0" fontId="0" fillId="0" borderId="0" xfId="0" applyFill="1" applyAlignment="1">
      <alignment wrapText="1"/>
    </xf>
    <xf numFmtId="3" fontId="0" fillId="0" borderId="0" xfId="0" applyNumberFormat="1" applyFill="1" applyAlignment="1">
      <alignment wrapText="1"/>
    </xf>
    <xf numFmtId="3" fontId="18" fillId="0" borderId="0" xfId="0" applyNumberFormat="1" applyFont="1" applyAlignment="1">
      <alignment vertical="center" wrapText="1"/>
    </xf>
    <xf numFmtId="0" fontId="18" fillId="0" borderId="0" xfId="0" applyFont="1" applyAlignment="1">
      <alignment vertical="center" wrapText="1"/>
    </xf>
    <xf numFmtId="3" fontId="9" fillId="0" borderId="0" xfId="0" applyNumberFormat="1" applyFont="1" applyAlignment="1">
      <alignment horizontal="center" vertical="center" wrapText="1"/>
    </xf>
    <xf numFmtId="0" fontId="9" fillId="0" borderId="0" xfId="0" applyFont="1" applyAlignment="1">
      <alignment horizontal="center" vertical="center" wrapText="1"/>
    </xf>
    <xf numFmtId="3" fontId="13" fillId="0" borderId="0" xfId="0" applyNumberFormat="1" applyFont="1" applyFill="1" applyBorder="1" applyAlignment="1">
      <alignment horizontal="center" vertical="center" wrapText="1"/>
    </xf>
    <xf numFmtId="0" fontId="14" fillId="0" borderId="0" xfId="0" applyFont="1" applyAlignment="1">
      <alignment horizontal="center" vertical="center" wrapText="1"/>
    </xf>
    <xf numFmtId="2" fontId="0" fillId="0" borderId="0" xfId="0" applyNumberFormat="1" applyFill="1" applyAlignment="1">
      <alignment horizontal="center" wrapText="1"/>
    </xf>
    <xf numFmtId="2" fontId="18" fillId="0" borderId="0" xfId="0" applyNumberFormat="1" applyFont="1" applyAlignment="1">
      <alignment horizontal="center" vertical="center" wrapText="1"/>
    </xf>
    <xf numFmtId="2" fontId="9" fillId="0" borderId="0" xfId="0" applyNumberFormat="1" applyFont="1" applyAlignment="1">
      <alignment horizontal="center" vertical="center" wrapText="1"/>
    </xf>
    <xf numFmtId="2" fontId="8" fillId="11" borderId="2" xfId="1" applyNumberFormat="1" applyFont="1" applyFill="1" applyBorder="1" applyAlignment="1">
      <alignment horizontal="center" vertical="center" wrapText="1"/>
    </xf>
    <xf numFmtId="2" fontId="4" fillId="0" borderId="1" xfId="1" quotePrefix="1" applyNumberFormat="1" applyFont="1" applyFill="1" applyBorder="1" applyAlignment="1" applyProtection="1">
      <alignment horizontal="right" vertical="top" wrapText="1"/>
      <protection hidden="1"/>
    </xf>
    <xf numFmtId="0" fontId="4" fillId="0" borderId="1" xfId="0" applyFont="1" applyFill="1" applyBorder="1" applyAlignment="1" applyProtection="1">
      <alignment horizontal="center" vertical="top" wrapText="1"/>
      <protection hidden="1"/>
    </xf>
    <xf numFmtId="0" fontId="4" fillId="0" borderId="1" xfId="0" applyFont="1" applyFill="1" applyBorder="1" applyAlignment="1">
      <alignment horizontal="left" vertical="top" wrapText="1"/>
    </xf>
    <xf numFmtId="0" fontId="4" fillId="0" borderId="1" xfId="0" applyFont="1" applyFill="1" applyBorder="1" applyAlignment="1">
      <alignment horizontal="center" vertical="top" wrapText="1"/>
    </xf>
    <xf numFmtId="2" fontId="4" fillId="0" borderId="1" xfId="0" applyNumberFormat="1" applyFont="1" applyBorder="1" applyAlignment="1" applyProtection="1">
      <alignment horizontal="right" vertical="top" wrapText="1"/>
      <protection hidden="1"/>
    </xf>
    <xf numFmtId="43" fontId="4" fillId="0" borderId="1" xfId="0" applyNumberFormat="1" applyFont="1" applyBorder="1" applyAlignment="1" applyProtection="1">
      <alignment vertical="top" wrapText="1"/>
      <protection hidden="1"/>
    </xf>
    <xf numFmtId="0" fontId="4" fillId="0" borderId="2" xfId="0" applyFont="1" applyFill="1" applyBorder="1" applyAlignment="1">
      <alignment horizontal="center" vertical="top" wrapText="1"/>
    </xf>
    <xf numFmtId="0" fontId="4" fillId="0" borderId="2" xfId="0" quotePrefix="1" applyFont="1" applyFill="1" applyBorder="1" applyAlignment="1">
      <alignment horizontal="center" vertical="top" wrapText="1"/>
    </xf>
    <xf numFmtId="0" fontId="4" fillId="7" borderId="1" xfId="0" applyFont="1" applyFill="1" applyBorder="1" applyAlignment="1" applyProtection="1">
      <alignment horizontal="center" vertical="top" wrapText="1"/>
      <protection hidden="1"/>
    </xf>
    <xf numFmtId="0" fontId="4" fillId="7" borderId="1" xfId="0" applyFont="1" applyFill="1" applyBorder="1" applyAlignment="1" applyProtection="1">
      <alignment vertical="top" wrapText="1"/>
      <protection hidden="1"/>
    </xf>
    <xf numFmtId="0" fontId="4" fillId="7" borderId="1" xfId="0" applyFont="1" applyFill="1" applyBorder="1" applyAlignment="1">
      <alignment horizontal="left" vertical="top" wrapText="1"/>
    </xf>
    <xf numFmtId="0" fontId="4" fillId="7" borderId="1" xfId="0" applyFont="1" applyFill="1" applyBorder="1" applyAlignment="1">
      <alignment horizontal="center" vertical="top" wrapText="1"/>
    </xf>
    <xf numFmtId="2" fontId="4" fillId="7" borderId="1" xfId="0" applyNumberFormat="1" applyFont="1" applyFill="1" applyBorder="1" applyAlignment="1" applyProtection="1">
      <alignment horizontal="right" vertical="top" wrapText="1"/>
      <protection hidden="1"/>
    </xf>
    <xf numFmtId="43" fontId="4" fillId="7" borderId="1" xfId="0" applyNumberFormat="1" applyFont="1" applyFill="1" applyBorder="1" applyAlignment="1" applyProtection="1">
      <alignment vertical="top" wrapText="1"/>
      <protection hidden="1"/>
    </xf>
    <xf numFmtId="0" fontId="4" fillId="7" borderId="2" xfId="0" applyFont="1" applyFill="1" applyBorder="1" applyAlignment="1">
      <alignment horizontal="center" vertical="top" wrapText="1"/>
    </xf>
    <xf numFmtId="2" fontId="4" fillId="0" borderId="1" xfId="1" applyNumberFormat="1" applyFont="1" applyFill="1" applyBorder="1" applyAlignment="1">
      <alignment horizontal="right" vertical="top" wrapText="1"/>
    </xf>
    <xf numFmtId="2" fontId="4" fillId="0" borderId="1" xfId="0" applyNumberFormat="1" applyFont="1" applyFill="1" applyBorder="1" applyAlignment="1">
      <alignment horizontal="right" vertical="top" wrapText="1"/>
    </xf>
    <xf numFmtId="2" fontId="4" fillId="0" borderId="2" xfId="0" applyNumberFormat="1" applyFont="1" applyFill="1" applyBorder="1" applyAlignment="1">
      <alignment horizontal="right" vertical="top" wrapText="1"/>
    </xf>
    <xf numFmtId="2" fontId="4" fillId="0" borderId="2" xfId="1" applyNumberFormat="1" applyFont="1" applyFill="1" applyBorder="1" applyAlignment="1">
      <alignment horizontal="right" vertical="top" wrapText="1"/>
    </xf>
    <xf numFmtId="2" fontId="4" fillId="7" borderId="1" xfId="1" applyNumberFormat="1" applyFont="1" applyFill="1" applyBorder="1" applyAlignment="1">
      <alignment horizontal="right" vertical="top" wrapText="1"/>
    </xf>
    <xf numFmtId="2" fontId="4" fillId="7" borderId="1" xfId="0" applyNumberFormat="1" applyFont="1" applyFill="1" applyBorder="1" applyAlignment="1">
      <alignment horizontal="right" vertical="top" wrapText="1"/>
    </xf>
    <xf numFmtId="2" fontId="4" fillId="7" borderId="2" xfId="0" applyNumberFormat="1" applyFont="1" applyFill="1" applyBorder="1" applyAlignment="1">
      <alignment horizontal="right" vertical="top" wrapText="1"/>
    </xf>
    <xf numFmtId="0" fontId="38" fillId="0" borderId="0" xfId="1" applyNumberFormat="1" applyFont="1" applyAlignment="1">
      <alignment horizontal="center" vertical="center"/>
    </xf>
    <xf numFmtId="0" fontId="13" fillId="0" borderId="0" xfId="1" applyNumberFormat="1" applyFont="1" applyAlignment="1">
      <alignment horizontal="center" vertical="center"/>
    </xf>
    <xf numFmtId="0" fontId="13" fillId="0" borderId="0" xfId="1" applyNumberFormat="1" applyFont="1" applyFill="1" applyBorder="1" applyAlignment="1">
      <alignment horizontal="center" vertical="center" wrapText="1"/>
    </xf>
    <xf numFmtId="0" fontId="6" fillId="0" borderId="2" xfId="0" applyFont="1" applyFill="1" applyBorder="1" applyAlignment="1">
      <alignment horizontal="center" vertical="center" wrapText="1"/>
    </xf>
    <xf numFmtId="0" fontId="16" fillId="0" borderId="0" xfId="0" applyFont="1" applyFill="1" applyBorder="1" applyAlignment="1">
      <alignment horizontal="center" vertical="center"/>
    </xf>
    <xf numFmtId="0" fontId="30" fillId="0" borderId="0" xfId="0" applyNumberFormat="1" applyFont="1" applyFill="1" applyAlignment="1">
      <alignment horizontal="center" vertical="top"/>
    </xf>
    <xf numFmtId="0" fontId="18" fillId="0" borderId="0" xfId="0" applyNumberFormat="1" applyFont="1" applyFill="1" applyAlignment="1">
      <alignment horizontal="center" vertical="top"/>
    </xf>
    <xf numFmtId="0" fontId="9" fillId="0" borderId="0" xfId="0" applyNumberFormat="1" applyFont="1" applyFill="1" applyAlignment="1">
      <alignment horizontal="center" vertical="top"/>
    </xf>
    <xf numFmtId="0" fontId="6" fillId="0" borderId="2" xfId="1" applyNumberFormat="1" applyFont="1" applyFill="1" applyBorder="1" applyAlignment="1">
      <alignment horizontal="center" vertical="top" wrapText="1"/>
    </xf>
    <xf numFmtId="165" fontId="4" fillId="5" borderId="1" xfId="1" quotePrefix="1" applyNumberFormat="1" applyFont="1" applyFill="1" applyBorder="1" applyAlignment="1" applyProtection="1">
      <alignment horizontal="center" vertical="top" wrapText="1"/>
      <protection hidden="1"/>
    </xf>
    <xf numFmtId="165" fontId="4" fillId="10" borderId="1" xfId="1" quotePrefix="1" applyNumberFormat="1" applyFont="1" applyFill="1" applyBorder="1" applyAlignment="1" applyProtection="1">
      <alignment horizontal="center" vertical="top" wrapText="1"/>
      <protection hidden="1"/>
    </xf>
    <xf numFmtId="172" fontId="4" fillId="5" borderId="1" xfId="1" quotePrefix="1" applyNumberFormat="1" applyFont="1" applyFill="1" applyBorder="1" applyAlignment="1" applyProtection="1">
      <alignment horizontal="center" vertical="top" wrapText="1"/>
      <protection hidden="1"/>
    </xf>
    <xf numFmtId="172" fontId="4" fillId="10" borderId="1" xfId="1" quotePrefix="1" applyNumberFormat="1" applyFont="1" applyFill="1" applyBorder="1" applyAlignment="1" applyProtection="1">
      <alignment horizontal="center" vertical="top" wrapText="1"/>
      <protection hidden="1"/>
    </xf>
    <xf numFmtId="0" fontId="6" fillId="0" borderId="2" xfId="0" applyFont="1" applyFill="1" applyBorder="1" applyAlignment="1">
      <alignment horizontal="center" vertical="center" wrapText="1"/>
    </xf>
    <xf numFmtId="0" fontId="4" fillId="5" borderId="1" xfId="0" applyFont="1" applyFill="1" applyBorder="1" applyAlignment="1" applyProtection="1">
      <alignment horizontal="center" vertical="top" wrapText="1"/>
      <protection hidden="1"/>
    </xf>
    <xf numFmtId="1" fontId="4" fillId="0" borderId="1" xfId="0" applyNumberFormat="1" applyFont="1" applyFill="1" applyBorder="1" applyAlignment="1">
      <alignment horizontal="center" vertical="top" wrapText="1"/>
    </xf>
    <xf numFmtId="1" fontId="4" fillId="7" borderId="1" xfId="0" applyNumberFormat="1" applyFont="1" applyFill="1" applyBorder="1" applyAlignment="1">
      <alignment horizontal="center" vertical="top" wrapText="1"/>
    </xf>
    <xf numFmtId="1" fontId="4" fillId="0" borderId="1" xfId="1" quotePrefix="1" applyNumberFormat="1" applyFont="1" applyFill="1" applyBorder="1" applyAlignment="1" applyProtection="1">
      <alignment horizontal="center" vertical="top" wrapText="1"/>
      <protection hidden="1"/>
    </xf>
    <xf numFmtId="0" fontId="4" fillId="5" borderId="1" xfId="0" applyFont="1" applyFill="1" applyBorder="1" applyAlignment="1" applyProtection="1">
      <alignment vertical="top" wrapText="1"/>
      <protection hidden="1"/>
    </xf>
    <xf numFmtId="0" fontId="4" fillId="10" borderId="1" xfId="0" applyFont="1" applyFill="1" applyBorder="1" applyAlignment="1" applyProtection="1">
      <alignment horizontal="center" vertical="top" wrapText="1"/>
      <protection hidden="1"/>
    </xf>
    <xf numFmtId="0" fontId="4" fillId="10" borderId="1" xfId="0" applyFont="1" applyFill="1" applyBorder="1" applyAlignment="1" applyProtection="1">
      <alignment vertical="top" wrapText="1"/>
      <protection hidden="1"/>
    </xf>
    <xf numFmtId="0" fontId="4" fillId="5" borderId="1" xfId="0" quotePrefix="1" applyFont="1" applyFill="1" applyBorder="1" applyAlignment="1" applyProtection="1">
      <alignment vertical="top" wrapText="1"/>
      <protection hidden="1"/>
    </xf>
    <xf numFmtId="0" fontId="0" fillId="0" borderId="0" xfId="0" applyFill="1" applyAlignment="1">
      <alignment vertical="center"/>
    </xf>
    <xf numFmtId="0" fontId="4" fillId="0" borderId="1" xfId="0" quotePrefix="1" applyFont="1" applyFill="1" applyBorder="1" applyAlignment="1" applyProtection="1">
      <alignment horizontal="left" vertical="center" wrapText="1"/>
      <protection hidden="1"/>
    </xf>
    <xf numFmtId="0" fontId="4" fillId="2" borderId="1" xfId="0" quotePrefix="1" applyFont="1" applyFill="1" applyBorder="1" applyAlignment="1" applyProtection="1">
      <alignment horizontal="left" vertical="center" wrapText="1"/>
      <protection hidden="1"/>
    </xf>
    <xf numFmtId="0" fontId="4" fillId="2" borderId="1" xfId="0" applyFont="1" applyFill="1" applyBorder="1" applyAlignment="1" applyProtection="1">
      <alignment vertical="top" wrapText="1"/>
      <protection hidden="1"/>
    </xf>
    <xf numFmtId="0" fontId="4" fillId="0" borderId="1" xfId="0" applyFont="1" applyFill="1" applyBorder="1" applyAlignment="1" applyProtection="1">
      <alignment vertical="center" wrapText="1"/>
      <protection hidden="1"/>
    </xf>
    <xf numFmtId="0" fontId="39" fillId="0" borderId="0" xfId="0" applyFont="1" applyFill="1" applyBorder="1" applyAlignment="1">
      <alignment horizontal="center" vertical="center"/>
    </xf>
    <xf numFmtId="0" fontId="40" fillId="0" borderId="2" xfId="0" applyFont="1" applyFill="1" applyBorder="1" applyAlignment="1">
      <alignment horizontal="center" vertical="center" wrapText="1"/>
    </xf>
    <xf numFmtId="0" fontId="41" fillId="0" borderId="1" xfId="0" applyFont="1" applyFill="1" applyBorder="1" applyAlignment="1">
      <alignment horizontal="left" vertical="center" wrapText="1"/>
    </xf>
    <xf numFmtId="0" fontId="41" fillId="0" borderId="1" xfId="0" quotePrefix="1" applyFont="1" applyFill="1" applyBorder="1" applyAlignment="1" applyProtection="1">
      <alignment horizontal="left" vertical="center" wrapText="1"/>
      <protection hidden="1"/>
    </xf>
    <xf numFmtId="0" fontId="41" fillId="2" borderId="1" xfId="0" quotePrefix="1" applyFont="1" applyFill="1" applyBorder="1" applyAlignment="1" applyProtection="1">
      <alignment horizontal="left" vertical="center" wrapText="1"/>
      <protection hidden="1"/>
    </xf>
    <xf numFmtId="0" fontId="41" fillId="0" borderId="1" xfId="0" quotePrefix="1" applyFont="1" applyFill="1" applyBorder="1" applyAlignment="1" applyProtection="1">
      <alignment horizontal="center" vertical="top" wrapText="1"/>
      <protection hidden="1"/>
    </xf>
    <xf numFmtId="0" fontId="41" fillId="2" borderId="1" xfId="0" applyFont="1" applyFill="1" applyBorder="1" applyAlignment="1" applyProtection="1">
      <alignment vertical="center" wrapText="1"/>
      <protection hidden="1"/>
    </xf>
    <xf numFmtId="0" fontId="37" fillId="0" borderId="0" xfId="0" applyFont="1" applyAlignment="1">
      <alignment vertical="center"/>
    </xf>
    <xf numFmtId="0" fontId="37" fillId="0" borderId="0" xfId="0" applyFont="1" applyAlignment="1">
      <alignment horizontal="center" vertical="center"/>
    </xf>
    <xf numFmtId="0" fontId="37" fillId="0" borderId="0" xfId="1" applyNumberFormat="1" applyFont="1" applyAlignment="1">
      <alignment horizontal="center" vertical="center"/>
    </xf>
    <xf numFmtId="0" fontId="37" fillId="0" borderId="0" xfId="0" applyFont="1" applyFill="1" applyAlignment="1">
      <alignment vertical="center"/>
    </xf>
    <xf numFmtId="0" fontId="37" fillId="0" borderId="0" xfId="0" applyFont="1" applyFill="1" applyAlignment="1">
      <alignment horizontal="center" vertical="center"/>
    </xf>
    <xf numFmtId="0" fontId="37" fillId="0" borderId="0" xfId="0" applyFont="1" applyFill="1" applyAlignment="1">
      <alignment horizontal="left" vertical="center"/>
    </xf>
    <xf numFmtId="0" fontId="4" fillId="0" borderId="0" xfId="0" applyFont="1" applyAlignment="1">
      <alignment vertical="center"/>
    </xf>
    <xf numFmtId="0" fontId="41" fillId="8" borderId="1" xfId="0" applyFont="1" applyFill="1" applyBorder="1" applyAlignment="1" applyProtection="1">
      <alignment horizontal="center" vertical="center" wrapText="1"/>
      <protection hidden="1"/>
    </xf>
    <xf numFmtId="0" fontId="4" fillId="8" borderId="1" xfId="0" applyFont="1" applyFill="1" applyBorder="1" applyAlignment="1" applyProtection="1">
      <alignment horizontal="center" vertical="center" wrapText="1"/>
      <protection hidden="1"/>
    </xf>
    <xf numFmtId="0" fontId="4" fillId="8" borderId="1" xfId="0" applyFont="1" applyFill="1" applyBorder="1" applyAlignment="1" applyProtection="1">
      <alignment vertical="center" wrapText="1"/>
      <protection hidden="1"/>
    </xf>
    <xf numFmtId="0" fontId="4" fillId="8" borderId="1" xfId="0" quotePrefix="1" applyFont="1" applyFill="1" applyBorder="1" applyAlignment="1" applyProtection="1">
      <alignment horizontal="left" vertical="center" wrapText="1"/>
      <protection hidden="1"/>
    </xf>
    <xf numFmtId="172" fontId="4" fillId="8" borderId="1" xfId="1" quotePrefix="1" applyNumberFormat="1" applyFont="1" applyFill="1" applyBorder="1" applyAlignment="1" applyProtection="1">
      <alignment horizontal="center" vertical="center" wrapText="1"/>
      <protection hidden="1"/>
    </xf>
    <xf numFmtId="165" fontId="4" fillId="8" borderId="1" xfId="1" quotePrefix="1" applyFont="1" applyFill="1" applyBorder="1" applyAlignment="1" applyProtection="1">
      <alignment horizontal="left" vertical="center" wrapText="1"/>
      <protection hidden="1"/>
    </xf>
    <xf numFmtId="0" fontId="41" fillId="8" borderId="1" xfId="0" quotePrefix="1" applyFont="1" applyFill="1" applyBorder="1" applyAlignment="1" applyProtection="1">
      <alignment horizontal="center" vertical="center" wrapText="1"/>
      <protection hidden="1"/>
    </xf>
    <xf numFmtId="0" fontId="4" fillId="8" borderId="1" xfId="0" quotePrefix="1" applyFont="1" applyFill="1" applyBorder="1" applyAlignment="1" applyProtection="1">
      <alignment horizontal="center" vertical="center" wrapText="1"/>
      <protection hidden="1"/>
    </xf>
    <xf numFmtId="0" fontId="41" fillId="8" borderId="1" xfId="0" quotePrefix="1" applyFont="1" applyFill="1" applyBorder="1" applyAlignment="1" applyProtection="1">
      <alignment horizontal="left" vertical="center" wrapText="1"/>
      <protection hidden="1"/>
    </xf>
    <xf numFmtId="0" fontId="41" fillId="8" borderId="1" xfId="0" applyFont="1" applyFill="1" applyBorder="1" applyAlignment="1" applyProtection="1">
      <alignment vertical="center" wrapText="1"/>
      <protection hidden="1"/>
    </xf>
    <xf numFmtId="0" fontId="4" fillId="8" borderId="0" xfId="0" applyFont="1" applyFill="1" applyAlignment="1" applyProtection="1">
      <alignment vertical="center" wrapText="1"/>
      <protection hidden="1"/>
    </xf>
    <xf numFmtId="0" fontId="41" fillId="9" borderId="1" xfId="0" applyFont="1" applyFill="1" applyBorder="1" applyAlignment="1" applyProtection="1">
      <alignment horizontal="center" vertical="center" wrapText="1"/>
      <protection hidden="1"/>
    </xf>
    <xf numFmtId="0" fontId="4" fillId="9" borderId="1" xfId="0" applyFont="1" applyFill="1" applyBorder="1" applyAlignment="1" applyProtection="1">
      <alignment horizontal="center" vertical="center" wrapText="1"/>
      <protection hidden="1"/>
    </xf>
    <xf numFmtId="0" fontId="4" fillId="9" borderId="1" xfId="0" applyFont="1" applyFill="1" applyBorder="1" applyAlignment="1" applyProtection="1">
      <alignment vertical="center" wrapText="1"/>
      <protection hidden="1"/>
    </xf>
    <xf numFmtId="0" fontId="4" fillId="9" borderId="1" xfId="0" quotePrefix="1" applyFont="1" applyFill="1" applyBorder="1" applyAlignment="1" applyProtection="1">
      <alignment horizontal="left" vertical="center" wrapText="1"/>
      <protection hidden="1"/>
    </xf>
    <xf numFmtId="0" fontId="4" fillId="9" borderId="1" xfId="1" quotePrefix="1" applyNumberFormat="1" applyFont="1" applyFill="1" applyBorder="1" applyAlignment="1" applyProtection="1">
      <alignment horizontal="left" vertical="center" wrapText="1"/>
      <protection hidden="1"/>
    </xf>
    <xf numFmtId="172" fontId="4" fillId="9" borderId="1" xfId="1" quotePrefix="1" applyNumberFormat="1" applyFont="1" applyFill="1" applyBorder="1" applyAlignment="1" applyProtection="1">
      <alignment horizontal="center" vertical="center" wrapText="1"/>
      <protection hidden="1"/>
    </xf>
    <xf numFmtId="165" fontId="4" fillId="9" borderId="1" xfId="1" quotePrefix="1" applyFont="1" applyFill="1" applyBorder="1" applyAlignment="1" applyProtection="1">
      <alignment horizontal="left" vertical="center" wrapText="1"/>
      <protection hidden="1"/>
    </xf>
    <xf numFmtId="0" fontId="4" fillId="9" borderId="1" xfId="0" quotePrefix="1" applyFont="1" applyFill="1" applyBorder="1" applyAlignment="1" applyProtection="1">
      <alignment horizontal="center" vertical="center" wrapText="1"/>
      <protection hidden="1"/>
    </xf>
    <xf numFmtId="0" fontId="41" fillId="9" borderId="1" xfId="0" applyFont="1" applyFill="1" applyBorder="1" applyAlignment="1" applyProtection="1">
      <alignment vertical="center" wrapText="1"/>
      <protection hidden="1"/>
    </xf>
    <xf numFmtId="0" fontId="4" fillId="9" borderId="0" xfId="0" applyFont="1" applyFill="1" applyAlignment="1" applyProtection="1">
      <alignment vertical="center" wrapText="1"/>
      <protection hidden="1"/>
    </xf>
    <xf numFmtId="0" fontId="41" fillId="9" borderId="1" xfId="0" quotePrefix="1" applyFont="1" applyFill="1" applyBorder="1" applyAlignment="1" applyProtection="1">
      <alignment horizontal="center" vertical="center" wrapText="1"/>
      <protection hidden="1"/>
    </xf>
    <xf numFmtId="0" fontId="41" fillId="9" borderId="1" xfId="0" quotePrefix="1" applyFont="1" applyFill="1" applyBorder="1" applyAlignment="1" applyProtection="1">
      <alignment horizontal="left" vertical="center" wrapText="1"/>
      <protection hidden="1"/>
    </xf>
    <xf numFmtId="0" fontId="4" fillId="8" borderId="1" xfId="1" quotePrefix="1" applyNumberFormat="1" applyFont="1" applyFill="1" applyBorder="1" applyAlignment="1" applyProtection="1">
      <alignment horizontal="left" vertical="center" wrapText="1"/>
      <protection hidden="1"/>
    </xf>
    <xf numFmtId="0" fontId="4" fillId="2" borderId="14" xfId="0" applyFont="1" applyFill="1" applyBorder="1" applyAlignment="1" applyProtection="1">
      <alignment vertical="center" wrapText="1"/>
      <protection hidden="1"/>
    </xf>
    <xf numFmtId="0" fontId="4" fillId="2" borderId="1" xfId="0" applyFont="1" applyFill="1" applyBorder="1" applyAlignment="1" applyProtection="1">
      <alignment vertical="center" wrapText="1"/>
      <protection hidden="1"/>
    </xf>
    <xf numFmtId="0" fontId="41" fillId="2" borderId="14" xfId="0" applyFont="1" applyFill="1" applyBorder="1" applyAlignment="1" applyProtection="1">
      <alignment vertical="center" wrapText="1"/>
      <protection hidden="1"/>
    </xf>
    <xf numFmtId="0" fontId="41" fillId="8" borderId="0" xfId="0" applyFont="1" applyFill="1" applyAlignment="1" applyProtection="1">
      <alignment vertical="center" wrapText="1"/>
      <protection hidden="1"/>
    </xf>
    <xf numFmtId="0" fontId="41" fillId="0" borderId="1" xfId="0" applyFont="1" applyFill="1" applyBorder="1" applyAlignment="1" applyProtection="1">
      <alignment horizontal="center" vertical="center" wrapText="1"/>
      <protection hidden="1"/>
    </xf>
    <xf numFmtId="0" fontId="4" fillId="0" borderId="1" xfId="0" applyFont="1" applyFill="1" applyBorder="1" applyAlignment="1" applyProtection="1">
      <alignment horizontal="center" vertical="center" wrapText="1"/>
      <protection hidden="1"/>
    </xf>
    <xf numFmtId="172" fontId="4" fillId="0" borderId="1" xfId="1" quotePrefix="1" applyNumberFormat="1" applyFont="1" applyFill="1" applyBorder="1" applyAlignment="1" applyProtection="1">
      <alignment horizontal="center" vertical="center" wrapText="1"/>
      <protection hidden="1"/>
    </xf>
    <xf numFmtId="165" fontId="4" fillId="0" borderId="1" xfId="1" quotePrefix="1" applyFont="1" applyFill="1" applyBorder="1" applyAlignment="1" applyProtection="1">
      <alignment horizontal="left" vertical="center" wrapText="1"/>
      <protection hidden="1"/>
    </xf>
    <xf numFmtId="0" fontId="41" fillId="0" borderId="1" xfId="0" quotePrefix="1" applyFont="1" applyFill="1" applyBorder="1" applyAlignment="1" applyProtection="1">
      <alignment horizontal="center" vertical="center" wrapText="1"/>
      <protection hidden="1"/>
    </xf>
    <xf numFmtId="0" fontId="4" fillId="0" borderId="1" xfId="0" quotePrefix="1" applyFont="1" applyFill="1" applyBorder="1" applyAlignment="1" applyProtection="1">
      <alignment horizontal="center" vertical="center" wrapText="1"/>
      <protection hidden="1"/>
    </xf>
    <xf numFmtId="0" fontId="41" fillId="0" borderId="1" xfId="0" applyFont="1" applyFill="1" applyBorder="1" applyAlignment="1" applyProtection="1">
      <alignment vertical="center" wrapText="1"/>
      <protection hidden="1"/>
    </xf>
    <xf numFmtId="0" fontId="4" fillId="0" borderId="0" xfId="0" applyFont="1" applyAlignment="1" applyProtection="1">
      <alignment vertical="center" wrapText="1"/>
      <protection hidden="1"/>
    </xf>
    <xf numFmtId="0" fontId="37" fillId="0" borderId="0" xfId="1" applyNumberFormat="1" applyFont="1" applyFill="1" applyAlignment="1">
      <alignment horizontal="center" vertical="center"/>
    </xf>
    <xf numFmtId="0" fontId="41" fillId="0" borderId="1" xfId="0" applyFont="1" applyFill="1" applyBorder="1" applyAlignment="1" applyProtection="1">
      <alignment horizontal="center" vertical="top" wrapText="1"/>
      <protection hidden="1"/>
    </xf>
    <xf numFmtId="0" fontId="41" fillId="2" borderId="1" xfId="0" applyFont="1" applyFill="1" applyBorder="1" applyAlignment="1">
      <alignment horizontal="left" vertical="center" wrapText="1"/>
    </xf>
    <xf numFmtId="0" fontId="41" fillId="7" borderId="2" xfId="0" applyFont="1" applyFill="1" applyBorder="1" applyAlignment="1">
      <alignment horizontal="center" vertical="top" wrapText="1"/>
    </xf>
    <xf numFmtId="0" fontId="41" fillId="7" borderId="1" xfId="0" quotePrefix="1" applyFont="1" applyFill="1" applyBorder="1" applyAlignment="1" applyProtection="1">
      <alignment horizontal="left" vertical="top" wrapText="1"/>
      <protection hidden="1"/>
    </xf>
    <xf numFmtId="0" fontId="41" fillId="7" borderId="1" xfId="0" applyFont="1" applyFill="1" applyBorder="1" applyAlignment="1" applyProtection="1">
      <alignment vertical="top" wrapText="1"/>
      <protection hidden="1"/>
    </xf>
    <xf numFmtId="0" fontId="41" fillId="0" borderId="1" xfId="0" applyFont="1" applyFill="1" applyBorder="1" applyAlignment="1">
      <alignment horizontal="center" vertical="top" wrapText="1"/>
    </xf>
    <xf numFmtId="0" fontId="41" fillId="0" borderId="2" xfId="0" applyFont="1" applyFill="1" applyBorder="1" applyAlignment="1">
      <alignment horizontal="center" vertical="top" wrapText="1"/>
    </xf>
    <xf numFmtId="0" fontId="41" fillId="10" borderId="1" xfId="0" quotePrefix="1" applyFont="1" applyFill="1" applyBorder="1" applyAlignment="1" applyProtection="1">
      <alignment horizontal="center" vertical="top" wrapText="1"/>
      <protection hidden="1"/>
    </xf>
    <xf numFmtId="0" fontId="41" fillId="5" borderId="1" xfId="0" applyFont="1" applyFill="1" applyBorder="1" applyAlignment="1" applyProtection="1">
      <alignment horizontal="center" vertical="top" wrapText="1"/>
      <protection hidden="1"/>
    </xf>
    <xf numFmtId="0" fontId="41" fillId="10" borderId="1" xfId="0" applyFont="1" applyFill="1" applyBorder="1" applyAlignment="1" applyProtection="1">
      <alignment horizontal="center" vertical="top" wrapText="1"/>
      <protection hidden="1"/>
    </xf>
    <xf numFmtId="0" fontId="41" fillId="5" borderId="1" xfId="0" quotePrefix="1" applyFont="1" applyFill="1" applyBorder="1" applyAlignment="1" applyProtection="1">
      <alignment horizontal="center" vertical="top" wrapText="1"/>
      <protection hidden="1"/>
    </xf>
    <xf numFmtId="0" fontId="41" fillId="0" borderId="1" xfId="0" applyFont="1" applyFill="1" applyBorder="1" applyAlignment="1" applyProtection="1">
      <alignment vertical="top" wrapText="1"/>
      <protection hidden="1"/>
    </xf>
    <xf numFmtId="172" fontId="41" fillId="9" borderId="1" xfId="1" quotePrefix="1" applyNumberFormat="1" applyFont="1" applyFill="1" applyBorder="1" applyAlignment="1" applyProtection="1">
      <alignment horizontal="center" vertical="center" wrapText="1"/>
      <protection hidden="1"/>
    </xf>
    <xf numFmtId="165" fontId="41" fillId="9" borderId="1" xfId="1" quotePrefix="1" applyFont="1" applyFill="1" applyBorder="1" applyAlignment="1" applyProtection="1">
      <alignment horizontal="left" vertical="center" wrapText="1"/>
      <protection hidden="1"/>
    </xf>
    <xf numFmtId="0" fontId="41" fillId="9" borderId="0" xfId="0" applyFont="1" applyFill="1" applyAlignment="1" applyProtection="1">
      <alignment vertical="center" wrapText="1"/>
      <protection hidden="1"/>
    </xf>
    <xf numFmtId="172" fontId="41" fillId="8" borderId="1" xfId="1" quotePrefix="1" applyNumberFormat="1" applyFont="1" applyFill="1" applyBorder="1" applyAlignment="1" applyProtection="1">
      <alignment horizontal="center" vertical="center" wrapText="1"/>
      <protection hidden="1"/>
    </xf>
    <xf numFmtId="165" fontId="41" fillId="8" borderId="1" xfId="1" quotePrefix="1" applyFont="1" applyFill="1" applyBorder="1" applyAlignment="1" applyProtection="1">
      <alignment horizontal="left" vertical="center" wrapText="1"/>
      <protection hidden="1"/>
    </xf>
    <xf numFmtId="0" fontId="41" fillId="7" borderId="1" xfId="0" applyFont="1" applyFill="1" applyBorder="1" applyAlignment="1">
      <alignment horizontal="left" vertical="top" wrapText="1"/>
    </xf>
    <xf numFmtId="0" fontId="41" fillId="7" borderId="1" xfId="0" applyFont="1" applyFill="1" applyBorder="1" applyAlignment="1">
      <alignment horizontal="center" vertical="top" wrapText="1"/>
    </xf>
    <xf numFmtId="1" fontId="41" fillId="7" borderId="1" xfId="0" applyNumberFormat="1" applyFont="1" applyFill="1" applyBorder="1" applyAlignment="1">
      <alignment horizontal="center" vertical="top" wrapText="1"/>
    </xf>
    <xf numFmtId="2" fontId="41" fillId="7" borderId="1" xfId="1" applyNumberFormat="1" applyFont="1" applyFill="1" applyBorder="1" applyAlignment="1">
      <alignment horizontal="right" vertical="top" wrapText="1"/>
    </xf>
    <xf numFmtId="2" fontId="41" fillId="7" borderId="1" xfId="0" applyNumberFormat="1" applyFont="1" applyFill="1" applyBorder="1" applyAlignment="1">
      <alignment horizontal="right" vertical="top" wrapText="1"/>
    </xf>
    <xf numFmtId="2" fontId="41" fillId="7" borderId="2" xfId="0" applyNumberFormat="1" applyFont="1" applyFill="1" applyBorder="1" applyAlignment="1">
      <alignment horizontal="right" vertical="top" wrapText="1"/>
    </xf>
    <xf numFmtId="2" fontId="41" fillId="7" borderId="1" xfId="0" applyNumberFormat="1" applyFont="1" applyFill="1" applyBorder="1" applyAlignment="1" applyProtection="1">
      <alignment horizontal="right" vertical="top" wrapText="1"/>
      <protection hidden="1"/>
    </xf>
    <xf numFmtId="2" fontId="41" fillId="0" borderId="2" xfId="1" applyNumberFormat="1" applyFont="1" applyFill="1" applyBorder="1" applyAlignment="1">
      <alignment horizontal="right" vertical="top" wrapText="1"/>
    </xf>
    <xf numFmtId="43" fontId="41" fillId="7" borderId="1" xfId="0" applyNumberFormat="1" applyFont="1" applyFill="1" applyBorder="1" applyAlignment="1" applyProtection="1">
      <alignment vertical="top" wrapText="1"/>
      <protection hidden="1"/>
    </xf>
    <xf numFmtId="0" fontId="41" fillId="7" borderId="0" xfId="0" applyFont="1" applyFill="1" applyAlignment="1" applyProtection="1">
      <alignment vertical="top" wrapText="1"/>
      <protection hidden="1"/>
    </xf>
    <xf numFmtId="0" fontId="41" fillId="7" borderId="1" xfId="0" quotePrefix="1" applyFont="1" applyFill="1" applyBorder="1" applyAlignment="1" applyProtection="1">
      <alignment horizontal="center" vertical="top" wrapText="1"/>
      <protection hidden="1"/>
    </xf>
    <xf numFmtId="0" fontId="41" fillId="0" borderId="1" xfId="0" quotePrefix="1" applyFont="1" applyFill="1" applyBorder="1" applyAlignment="1" applyProtection="1">
      <alignment horizontal="left" vertical="top" wrapText="1"/>
      <protection hidden="1"/>
    </xf>
    <xf numFmtId="0" fontId="4" fillId="7" borderId="1" xfId="0" quotePrefix="1" applyFont="1" applyFill="1" applyBorder="1" applyAlignment="1" applyProtection="1">
      <alignment horizontal="left" vertical="center" wrapText="1"/>
      <protection hidden="1"/>
    </xf>
    <xf numFmtId="0" fontId="4" fillId="7" borderId="0" xfId="0" applyFont="1" applyFill="1" applyAlignment="1" applyProtection="1">
      <alignment vertical="top" wrapText="1"/>
      <protection hidden="1"/>
    </xf>
    <xf numFmtId="0" fontId="41" fillId="0" borderId="1" xfId="0" applyFont="1" applyFill="1" applyBorder="1" applyAlignment="1">
      <alignment vertical="top" wrapText="1"/>
    </xf>
    <xf numFmtId="1" fontId="41" fillId="0" borderId="1" xfId="0" applyNumberFormat="1" applyFont="1" applyFill="1" applyBorder="1" applyAlignment="1">
      <alignment horizontal="center" vertical="top" wrapText="1"/>
    </xf>
    <xf numFmtId="2" fontId="41" fillId="0" borderId="1" xfId="1" applyNumberFormat="1" applyFont="1" applyFill="1" applyBorder="1" applyAlignment="1">
      <alignment horizontal="right" vertical="top" wrapText="1"/>
    </xf>
    <xf numFmtId="2" fontId="41" fillId="0" borderId="1" xfId="0" applyNumberFormat="1" applyFont="1" applyFill="1" applyBorder="1" applyAlignment="1">
      <alignment horizontal="right" vertical="top" wrapText="1"/>
    </xf>
    <xf numFmtId="2" fontId="41" fillId="0" borderId="1" xfId="0" applyNumberFormat="1" applyFont="1" applyBorder="1" applyAlignment="1" applyProtection="1">
      <alignment horizontal="right" vertical="top" wrapText="1"/>
      <protection hidden="1"/>
    </xf>
    <xf numFmtId="43" fontId="41" fillId="0" borderId="1" xfId="0" applyNumberFormat="1" applyFont="1" applyBorder="1" applyAlignment="1" applyProtection="1">
      <alignment vertical="top" wrapText="1"/>
      <protection hidden="1"/>
    </xf>
    <xf numFmtId="0" fontId="41" fillId="0" borderId="1" xfId="0" quotePrefix="1" applyFont="1" applyFill="1" applyBorder="1" applyAlignment="1">
      <alignment horizontal="center" vertical="top" wrapText="1"/>
    </xf>
    <xf numFmtId="0" fontId="41" fillId="0" borderId="1" xfId="0" applyFont="1" applyFill="1" applyBorder="1" applyAlignment="1">
      <alignment horizontal="left" vertical="top" wrapText="1"/>
    </xf>
    <xf numFmtId="0" fontId="41" fillId="0" borderId="0" xfId="0" applyFont="1" applyAlignment="1" applyProtection="1">
      <alignment vertical="top" wrapText="1"/>
      <protection hidden="1"/>
    </xf>
    <xf numFmtId="0" fontId="41" fillId="10" borderId="1" xfId="0" applyFont="1" applyFill="1" applyBorder="1" applyAlignment="1" applyProtection="1">
      <alignment vertical="top" wrapText="1"/>
      <protection hidden="1"/>
    </xf>
    <xf numFmtId="0" fontId="41" fillId="10" borderId="1" xfId="0" quotePrefix="1" applyFont="1" applyFill="1" applyBorder="1" applyAlignment="1" applyProtection="1">
      <alignment horizontal="left" vertical="top" wrapText="1"/>
      <protection hidden="1"/>
    </xf>
    <xf numFmtId="172" fontId="41" fillId="10" borderId="1" xfId="1" quotePrefix="1" applyNumberFormat="1" applyFont="1" applyFill="1" applyBorder="1" applyAlignment="1" applyProtection="1">
      <alignment horizontal="center" vertical="top" wrapText="1"/>
      <protection hidden="1"/>
    </xf>
    <xf numFmtId="165" fontId="41" fillId="10" borderId="1" xfId="1" quotePrefix="1" applyFont="1" applyFill="1" applyBorder="1" applyAlignment="1" applyProtection="1">
      <alignment horizontal="left" vertical="top" wrapText="1"/>
      <protection hidden="1"/>
    </xf>
    <xf numFmtId="0" fontId="41" fillId="0" borderId="0" xfId="0" applyFont="1" applyFill="1" applyAlignment="1" applyProtection="1">
      <alignment vertical="top" wrapText="1"/>
      <protection hidden="1"/>
    </xf>
    <xf numFmtId="0" fontId="41" fillId="5" borderId="1" xfId="0" applyFont="1" applyFill="1" applyBorder="1" applyAlignment="1" applyProtection="1">
      <alignment vertical="top" wrapText="1"/>
      <protection hidden="1"/>
    </xf>
    <xf numFmtId="0" fontId="41" fillId="5" borderId="1" xfId="0" quotePrefix="1" applyFont="1" applyFill="1" applyBorder="1" applyAlignment="1" applyProtection="1">
      <alignment horizontal="left" vertical="top" wrapText="1"/>
      <protection hidden="1"/>
    </xf>
    <xf numFmtId="172" fontId="41" fillId="5" borderId="1" xfId="1" quotePrefix="1" applyNumberFormat="1" applyFont="1" applyFill="1" applyBorder="1" applyAlignment="1" applyProtection="1">
      <alignment horizontal="center" vertical="top" wrapText="1"/>
      <protection hidden="1"/>
    </xf>
    <xf numFmtId="165" fontId="41" fillId="5" borderId="1" xfId="1" quotePrefix="1" applyFont="1" applyFill="1" applyBorder="1" applyAlignment="1" applyProtection="1">
      <alignment horizontal="left" vertical="top" wrapText="1"/>
      <protection hidden="1"/>
    </xf>
    <xf numFmtId="165" fontId="41" fillId="5" borderId="1" xfId="1" quotePrefix="1" applyNumberFormat="1" applyFont="1" applyFill="1" applyBorder="1" applyAlignment="1" applyProtection="1">
      <alignment horizontal="center" vertical="top" wrapText="1"/>
      <protection hidden="1"/>
    </xf>
    <xf numFmtId="0" fontId="14" fillId="0" borderId="0" xfId="0" applyFont="1" applyBorder="1" applyAlignment="1">
      <alignment horizontal="center" vertical="center"/>
    </xf>
    <xf numFmtId="0" fontId="21" fillId="0" borderId="0" xfId="0" applyFont="1" applyBorder="1" applyAlignment="1">
      <alignment horizontal="center" vertical="center" wrapText="1"/>
    </xf>
    <xf numFmtId="0" fontId="21" fillId="0" borderId="0" xfId="0" applyFont="1" applyFill="1" applyBorder="1" applyAlignment="1">
      <alignment horizontal="center" vertical="center" wrapText="1"/>
    </xf>
    <xf numFmtId="165" fontId="21" fillId="0" borderId="0" xfId="1" applyFont="1" applyFill="1" applyBorder="1" applyAlignment="1">
      <alignment horizontal="center" vertical="center" wrapText="1"/>
    </xf>
    <xf numFmtId="9" fontId="21" fillId="0" borderId="0" xfId="2" applyFont="1" applyFill="1" applyBorder="1" applyAlignment="1">
      <alignment horizontal="center" vertical="center" wrapText="1"/>
    </xf>
    <xf numFmtId="0" fontId="21" fillId="0" borderId="0" xfId="0" applyFont="1" applyFill="1" applyBorder="1" applyAlignment="1">
      <alignment horizontal="center" vertical="center"/>
    </xf>
    <xf numFmtId="0" fontId="14" fillId="0" borderId="0" xfId="0" applyFont="1" applyFill="1" applyBorder="1" applyAlignment="1">
      <alignment horizontal="center" vertical="center"/>
    </xf>
    <xf numFmtId="0" fontId="14" fillId="4" borderId="0"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8" fillId="11" borderId="2" xfId="0" applyFont="1" applyFill="1" applyBorder="1" applyAlignment="1">
      <alignment horizontal="center" vertical="center" wrapText="1"/>
    </xf>
    <xf numFmtId="165" fontId="8" fillId="11" borderId="1" xfId="1" applyFont="1" applyFill="1" applyBorder="1" applyAlignment="1">
      <alignment horizontal="center" vertical="center" wrapText="1"/>
    </xf>
    <xf numFmtId="0" fontId="8" fillId="11" borderId="14" xfId="0" applyFont="1" applyFill="1" applyBorder="1" applyAlignment="1">
      <alignment horizontal="center" vertical="center" wrapText="1"/>
    </xf>
    <xf numFmtId="0" fontId="8" fillId="11" borderId="15" xfId="0" applyFont="1" applyFill="1" applyBorder="1" applyAlignment="1">
      <alignment horizontal="center" vertical="center" wrapText="1"/>
    </xf>
    <xf numFmtId="0" fontId="8" fillId="11" borderId="16" xfId="0" applyFont="1" applyFill="1" applyBorder="1" applyAlignment="1">
      <alignment horizontal="center" vertical="center" wrapText="1"/>
    </xf>
    <xf numFmtId="9" fontId="8" fillId="11" borderId="14" xfId="2" applyFont="1" applyFill="1" applyBorder="1" applyAlignment="1">
      <alignment horizontal="center" vertical="center" wrapText="1"/>
    </xf>
    <xf numFmtId="9" fontId="8" fillId="11" borderId="15" xfId="2" applyFont="1" applyFill="1" applyBorder="1" applyAlignment="1">
      <alignment horizontal="center" vertical="center" wrapText="1"/>
    </xf>
    <xf numFmtId="9" fontId="8" fillId="11" borderId="16" xfId="2" applyFont="1" applyFill="1" applyBorder="1" applyAlignment="1">
      <alignment horizontal="center" vertical="center" wrapText="1"/>
    </xf>
    <xf numFmtId="0" fontId="8" fillId="11" borderId="1" xfId="0" applyFont="1" applyFill="1" applyBorder="1" applyAlignment="1">
      <alignment horizontal="center" vertical="center"/>
    </xf>
    <xf numFmtId="0" fontId="8" fillId="11" borderId="2" xfId="0" applyFont="1" applyFill="1" applyBorder="1" applyAlignment="1">
      <alignment horizontal="center" vertical="center"/>
    </xf>
    <xf numFmtId="0" fontId="16" fillId="0" borderId="0" xfId="0" applyFont="1" applyFill="1" applyBorder="1" applyAlignment="1">
      <alignment horizontal="center" vertical="center"/>
    </xf>
    <xf numFmtId="0" fontId="16" fillId="0" borderId="4" xfId="0" applyFont="1" applyFill="1" applyBorder="1" applyAlignment="1">
      <alignment horizontal="center" vertical="center"/>
    </xf>
    <xf numFmtId="0" fontId="15" fillId="5" borderId="11" xfId="0" applyFont="1" applyFill="1" applyBorder="1" applyAlignment="1">
      <alignment horizontal="left" vertical="center"/>
    </xf>
    <xf numFmtId="0" fontId="15" fillId="5" borderId="0" xfId="0" applyFont="1" applyFill="1" applyBorder="1" applyAlignment="1">
      <alignment horizontal="left" vertical="center"/>
    </xf>
    <xf numFmtId="0" fontId="15" fillId="5" borderId="4" xfId="0" applyFont="1" applyFill="1" applyBorder="1" applyAlignment="1">
      <alignment horizontal="left" vertical="center"/>
    </xf>
    <xf numFmtId="0" fontId="15" fillId="5" borderId="11" xfId="0" applyFont="1" applyFill="1" applyBorder="1" applyAlignment="1">
      <alignment horizontal="left" vertical="center" wrapText="1"/>
    </xf>
    <xf numFmtId="0" fontId="15" fillId="5" borderId="0" xfId="0" applyFont="1" applyFill="1" applyBorder="1" applyAlignment="1">
      <alignment horizontal="left" vertical="center" wrapText="1"/>
    </xf>
    <xf numFmtId="0" fontId="15" fillId="5" borderId="4" xfId="0" applyFont="1" applyFill="1" applyBorder="1" applyAlignment="1">
      <alignment horizontal="left" vertical="center" wrapText="1"/>
    </xf>
    <xf numFmtId="0" fontId="10" fillId="5" borderId="11"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10" fillId="5" borderId="4" xfId="0" applyFont="1" applyFill="1" applyBorder="1" applyAlignment="1">
      <alignment horizontal="left" vertical="center" wrapText="1"/>
    </xf>
    <xf numFmtId="0" fontId="10" fillId="5" borderId="12" xfId="0" applyFont="1" applyFill="1" applyBorder="1" applyAlignment="1">
      <alignment horizontal="left" vertical="center" wrapText="1"/>
    </xf>
    <xf numFmtId="0" fontId="10" fillId="5" borderId="13"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8" fillId="11" borderId="3" xfId="0" applyFont="1" applyFill="1" applyBorder="1" applyAlignment="1">
      <alignment horizontal="center" vertical="center" wrapText="1"/>
    </xf>
    <xf numFmtId="0" fontId="40" fillId="0" borderId="1" xfId="0" applyFont="1" applyBorder="1" applyAlignment="1">
      <alignment horizontal="center" vertical="center" wrapText="1"/>
    </xf>
    <xf numFmtId="0" fontId="40" fillId="0" borderId="2" xfId="0" applyFont="1" applyBorder="1" applyAlignment="1">
      <alignment horizontal="center" vertical="center" wrapText="1"/>
    </xf>
    <xf numFmtId="0" fontId="40" fillId="0" borderId="14" xfId="0" applyFont="1" applyFill="1" applyBorder="1" applyAlignment="1">
      <alignment horizontal="center" vertical="center" wrapText="1"/>
    </xf>
    <xf numFmtId="0" fontId="40" fillId="0" borderId="15" xfId="0" applyFont="1" applyFill="1" applyBorder="1" applyAlignment="1">
      <alignment horizontal="center" vertical="center" wrapText="1"/>
    </xf>
    <xf numFmtId="0" fontId="40" fillId="0" borderId="16" xfId="0" applyFont="1" applyFill="1" applyBorder="1" applyAlignment="1">
      <alignment horizontal="center" vertical="center" wrapText="1"/>
    </xf>
    <xf numFmtId="9" fontId="40" fillId="0" borderId="14" xfId="2" applyFont="1" applyFill="1" applyBorder="1" applyAlignment="1">
      <alignment horizontal="center" vertical="center" wrapText="1"/>
    </xf>
    <xf numFmtId="9" fontId="40" fillId="0" borderId="15" xfId="2" applyFont="1" applyFill="1" applyBorder="1" applyAlignment="1">
      <alignment horizontal="center" vertical="center" wrapText="1"/>
    </xf>
    <xf numFmtId="9" fontId="40" fillId="0" borderId="16" xfId="2" applyFont="1" applyFill="1" applyBorder="1" applyAlignment="1">
      <alignment horizontal="center" vertical="center" wrapText="1"/>
    </xf>
    <xf numFmtId="0" fontId="40" fillId="0" borderId="1" xfId="0" applyFont="1" applyFill="1" applyBorder="1" applyAlignment="1">
      <alignment horizontal="center" vertical="center"/>
    </xf>
    <xf numFmtId="0" fontId="40" fillId="0" borderId="2" xfId="0" applyFont="1" applyFill="1" applyBorder="1" applyAlignment="1">
      <alignment horizontal="center" vertical="center"/>
    </xf>
    <xf numFmtId="0" fontId="40" fillId="0" borderId="3" xfId="0" applyFont="1" applyBorder="1" applyAlignment="1">
      <alignment horizontal="center" vertical="center" wrapText="1"/>
    </xf>
    <xf numFmtId="0" fontId="39" fillId="0" borderId="0" xfId="0" applyFont="1" applyFill="1" applyBorder="1" applyAlignment="1">
      <alignment horizontal="center" vertical="center"/>
    </xf>
    <xf numFmtId="0" fontId="39" fillId="0" borderId="4" xfId="0" applyFont="1" applyFill="1" applyBorder="1" applyAlignment="1">
      <alignment horizontal="center" vertical="center"/>
    </xf>
    <xf numFmtId="0" fontId="40" fillId="0" borderId="1" xfId="0" applyFont="1" applyFill="1" applyBorder="1" applyAlignment="1">
      <alignment horizontal="center" vertical="center" wrapText="1"/>
    </xf>
    <xf numFmtId="0" fontId="40" fillId="0" borderId="2" xfId="0" applyFont="1" applyFill="1" applyBorder="1" applyAlignment="1">
      <alignment horizontal="center" vertical="center" wrapText="1"/>
    </xf>
    <xf numFmtId="0" fontId="40" fillId="0" borderId="1" xfId="1" applyNumberFormat="1" applyFont="1" applyFill="1" applyBorder="1" applyAlignment="1">
      <alignment horizontal="center" vertical="center" wrapText="1"/>
    </xf>
    <xf numFmtId="0" fontId="40" fillId="0" borderId="2" xfId="1" applyNumberFormat="1" applyFont="1" applyFill="1" applyBorder="1" applyAlignment="1">
      <alignment horizontal="center" vertical="center" wrapText="1"/>
    </xf>
    <xf numFmtId="165" fontId="40" fillId="0" borderId="1" xfId="1" applyFont="1" applyFill="1" applyBorder="1" applyAlignment="1">
      <alignment horizontal="center" vertical="center" wrapText="1"/>
    </xf>
    <xf numFmtId="0" fontId="35" fillId="5" borderId="11" xfId="0" applyFont="1" applyFill="1" applyBorder="1" applyAlignment="1">
      <alignment horizontal="left" vertical="center"/>
    </xf>
    <xf numFmtId="0" fontId="35" fillId="5" borderId="0" xfId="0" applyFont="1" applyFill="1" applyBorder="1" applyAlignment="1">
      <alignment horizontal="left" vertical="center"/>
    </xf>
    <xf numFmtId="0" fontId="35" fillId="5" borderId="4" xfId="0" applyFont="1" applyFill="1" applyBorder="1" applyAlignment="1">
      <alignment horizontal="left" vertical="center"/>
    </xf>
    <xf numFmtId="0" fontId="35" fillId="5" borderId="11" xfId="0" applyFont="1" applyFill="1" applyBorder="1" applyAlignment="1">
      <alignment horizontal="left" vertical="center" wrapText="1"/>
    </xf>
    <xf numFmtId="0" fontId="35" fillId="5" borderId="0" xfId="0" applyFont="1" applyFill="1" applyBorder="1" applyAlignment="1">
      <alignment horizontal="left" vertical="center" wrapText="1"/>
    </xf>
    <xf numFmtId="0" fontId="35" fillId="5" borderId="4" xfId="0" applyFont="1" applyFill="1" applyBorder="1" applyAlignment="1">
      <alignment horizontal="left" vertical="center" wrapText="1"/>
    </xf>
    <xf numFmtId="0" fontId="32" fillId="5" borderId="11" xfId="0" applyFont="1" applyFill="1" applyBorder="1" applyAlignment="1">
      <alignment horizontal="left" vertical="center" wrapText="1"/>
    </xf>
    <xf numFmtId="0" fontId="32" fillId="5" borderId="0" xfId="0" applyFont="1" applyFill="1" applyBorder="1" applyAlignment="1">
      <alignment horizontal="left" vertical="center" wrapText="1"/>
    </xf>
    <xf numFmtId="0" fontId="32" fillId="5" borderId="4" xfId="0" applyFont="1" applyFill="1" applyBorder="1" applyAlignment="1">
      <alignment horizontal="left" vertical="center" wrapText="1"/>
    </xf>
    <xf numFmtId="0" fontId="32" fillId="5" borderId="12" xfId="0" applyFont="1" applyFill="1" applyBorder="1" applyAlignment="1">
      <alignment horizontal="left" vertical="center" wrapText="1"/>
    </xf>
    <xf numFmtId="0" fontId="32" fillId="5" borderId="13" xfId="0" applyFont="1" applyFill="1" applyBorder="1" applyAlignment="1">
      <alignment horizontal="left" vertical="center" wrapText="1"/>
    </xf>
    <xf numFmtId="0" fontId="32" fillId="5" borderId="7"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15" xfId="0" applyFont="1" applyFill="1" applyBorder="1" applyAlignment="1">
      <alignment horizontal="center" vertical="center" wrapText="1"/>
    </xf>
    <xf numFmtId="0" fontId="6" fillId="0" borderId="16" xfId="0" applyFont="1" applyFill="1" applyBorder="1" applyAlignment="1">
      <alignment horizontal="center" vertical="center" wrapText="1"/>
    </xf>
    <xf numFmtId="9" fontId="6" fillId="0" borderId="14" xfId="2" applyFont="1" applyFill="1" applyBorder="1" applyAlignment="1">
      <alignment horizontal="center" vertical="center" wrapText="1"/>
    </xf>
    <xf numFmtId="9" fontId="6" fillId="0" borderId="15" xfId="2" applyFont="1" applyFill="1" applyBorder="1" applyAlignment="1">
      <alignment horizontal="center" vertical="center" wrapText="1"/>
    </xf>
    <xf numFmtId="9" fontId="6" fillId="0" borderId="16" xfId="2" applyFont="1" applyFill="1" applyBorder="1" applyAlignment="1">
      <alignment horizontal="center" vertical="center" wrapText="1"/>
    </xf>
    <xf numFmtId="0" fontId="6" fillId="0" borderId="1" xfId="0" applyFont="1" applyFill="1" applyBorder="1" applyAlignment="1">
      <alignment horizontal="center" vertical="center"/>
    </xf>
    <xf numFmtId="0" fontId="6" fillId="0" borderId="2" xfId="0" applyFont="1" applyFill="1" applyBorder="1" applyAlignment="1">
      <alignment horizontal="center" vertical="center"/>
    </xf>
    <xf numFmtId="0" fontId="15" fillId="0" borderId="11" xfId="0" applyFont="1" applyFill="1" applyBorder="1" applyAlignment="1">
      <alignment horizontal="left" vertical="center"/>
    </xf>
    <xf numFmtId="0" fontId="15" fillId="0" borderId="0" xfId="0" applyFont="1" applyFill="1" applyBorder="1" applyAlignment="1">
      <alignment horizontal="left" vertical="center"/>
    </xf>
    <xf numFmtId="0" fontId="15" fillId="0" borderId="4" xfId="0" applyFont="1" applyFill="1" applyBorder="1" applyAlignment="1">
      <alignment horizontal="left" vertical="center"/>
    </xf>
    <xf numFmtId="0" fontId="15" fillId="0" borderId="11" xfId="0" applyFont="1" applyFill="1" applyBorder="1" applyAlignment="1">
      <alignment horizontal="left" vertical="center" wrapText="1"/>
    </xf>
    <xf numFmtId="0" fontId="15" fillId="0" borderId="0" xfId="0" applyFont="1" applyFill="1" applyBorder="1" applyAlignment="1">
      <alignment horizontal="left" vertical="center" wrapText="1"/>
    </xf>
    <xf numFmtId="0" fontId="15" fillId="0" borderId="4" xfId="0" applyFont="1" applyFill="1" applyBorder="1" applyAlignment="1">
      <alignment horizontal="left" vertical="center" wrapText="1"/>
    </xf>
    <xf numFmtId="0" fontId="10" fillId="0" borderId="11" xfId="0" applyFont="1" applyFill="1" applyBorder="1" applyAlignment="1">
      <alignment horizontal="left" vertical="center" wrapText="1"/>
    </xf>
    <xf numFmtId="0" fontId="10" fillId="0" borderId="0" xfId="0" applyFont="1" applyFill="1" applyBorder="1" applyAlignment="1">
      <alignment horizontal="left" vertical="center" wrapText="1"/>
    </xf>
    <xf numFmtId="0" fontId="10" fillId="0" borderId="4" xfId="0" applyFont="1" applyFill="1" applyBorder="1" applyAlignment="1">
      <alignment horizontal="left" vertical="center" wrapText="1"/>
    </xf>
    <xf numFmtId="0" fontId="10" fillId="0" borderId="12" xfId="0" applyFont="1" applyFill="1" applyBorder="1" applyAlignment="1">
      <alignment horizontal="left" vertical="center" wrapText="1"/>
    </xf>
    <xf numFmtId="0" fontId="10" fillId="0" borderId="13" xfId="0" applyFont="1" applyFill="1" applyBorder="1" applyAlignment="1">
      <alignment horizontal="left" vertical="center" wrapText="1"/>
    </xf>
    <xf numFmtId="0" fontId="10" fillId="0" borderId="7"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172" fontId="6" fillId="0" borderId="1" xfId="1" applyNumberFormat="1" applyFont="1" applyFill="1" applyBorder="1" applyAlignment="1">
      <alignment horizontal="center" vertical="center" wrapText="1"/>
    </xf>
    <xf numFmtId="172" fontId="6" fillId="0" borderId="2" xfId="1" applyNumberFormat="1" applyFont="1" applyFill="1" applyBorder="1" applyAlignment="1">
      <alignment horizontal="center" vertical="center" wrapText="1"/>
    </xf>
    <xf numFmtId="165" fontId="6" fillId="0" borderId="1" xfId="1" applyFont="1" applyFill="1" applyBorder="1" applyAlignment="1">
      <alignment horizontal="center" vertical="center" wrapText="1"/>
    </xf>
    <xf numFmtId="0" fontId="8" fillId="0" borderId="3" xfId="0" applyFont="1" applyFill="1" applyBorder="1" applyAlignment="1">
      <alignment horizontal="center" vertical="center" wrapText="1"/>
    </xf>
    <xf numFmtId="0" fontId="32" fillId="0" borderId="1" xfId="3" applyFont="1" applyFill="1" applyBorder="1" applyAlignment="1">
      <alignment horizontal="center" vertical="center" wrapText="1"/>
    </xf>
    <xf numFmtId="0" fontId="30" fillId="0" borderId="0" xfId="3" applyFont="1" applyFill="1" applyAlignment="1">
      <alignment horizontal="left" vertical="center" wrapText="1"/>
    </xf>
    <xf numFmtId="0" fontId="10" fillId="0" borderId="1" xfId="3" applyFont="1" applyFill="1" applyBorder="1" applyAlignment="1">
      <alignment horizontal="center" vertical="center"/>
    </xf>
  </cellXfs>
  <cellStyles count="5">
    <cellStyle name="Comma" xfId="1" builtinId="3"/>
    <cellStyle name="Normal" xfId="0" builtinId="0"/>
    <cellStyle name="Normal 2" xfId="3"/>
    <cellStyle name="Percent" xfId="2" builtinId="5"/>
    <cellStyle name="Percent 2" xfId="4"/>
  </cellStyles>
  <dxfs count="255">
    <dxf>
      <fill>
        <patternFill patternType="solid">
          <fgColor rgb="FFFF0000"/>
          <bgColor rgb="FFFFFFFF"/>
        </patternFill>
      </fill>
    </dxf>
    <dxf>
      <fill>
        <patternFill patternType="solid">
          <fgColor rgb="FFFF0000"/>
          <bgColor rgb="FFFFFFFF"/>
        </patternFill>
      </fill>
    </dxf>
    <dxf>
      <fill>
        <patternFill patternType="solid">
          <fgColor rgb="FFFF0000"/>
          <bgColor rgb="FFFFFF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1905000</xdr:colOff>
      <xdr:row>9</xdr:row>
      <xdr:rowOff>28575</xdr:rowOff>
    </xdr:from>
    <xdr:to>
      <xdr:col>2</xdr:col>
      <xdr:colOff>2152650</xdr:colOff>
      <xdr:row>9</xdr:row>
      <xdr:rowOff>361950</xdr:rowOff>
    </xdr:to>
    <xdr:sp macro="" textlink="">
      <xdr:nvSpPr>
        <xdr:cNvPr id="2" name="Right Arrow 1"/>
        <xdr:cNvSpPr/>
      </xdr:nvSpPr>
      <xdr:spPr>
        <a:xfrm>
          <a:off x="2276475" y="3276600"/>
          <a:ext cx="247650" cy="333375"/>
        </a:xfrm>
        <a:prstGeom prst="rightArrow">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1905000</xdr:colOff>
      <xdr:row>10</xdr:row>
      <xdr:rowOff>57150</xdr:rowOff>
    </xdr:from>
    <xdr:to>
      <xdr:col>2</xdr:col>
      <xdr:colOff>2152650</xdr:colOff>
      <xdr:row>10</xdr:row>
      <xdr:rowOff>390525</xdr:rowOff>
    </xdr:to>
    <xdr:sp macro="" textlink="">
      <xdr:nvSpPr>
        <xdr:cNvPr id="3" name="Right Arrow 2"/>
        <xdr:cNvSpPr/>
      </xdr:nvSpPr>
      <xdr:spPr>
        <a:xfrm>
          <a:off x="2276475" y="3705225"/>
          <a:ext cx="247650" cy="333375"/>
        </a:xfrm>
        <a:prstGeom prst="rightArrow">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1905000</xdr:colOff>
      <xdr:row>9</xdr:row>
      <xdr:rowOff>28575</xdr:rowOff>
    </xdr:from>
    <xdr:to>
      <xdr:col>2</xdr:col>
      <xdr:colOff>2152650</xdr:colOff>
      <xdr:row>9</xdr:row>
      <xdr:rowOff>361950</xdr:rowOff>
    </xdr:to>
    <xdr:sp macro="" textlink="">
      <xdr:nvSpPr>
        <xdr:cNvPr id="2" name="Right Arrow 1"/>
        <xdr:cNvSpPr/>
      </xdr:nvSpPr>
      <xdr:spPr>
        <a:xfrm>
          <a:off x="2276475" y="3276600"/>
          <a:ext cx="247650" cy="333375"/>
        </a:xfrm>
        <a:prstGeom prst="rightArrow">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1905000</xdr:colOff>
      <xdr:row>10</xdr:row>
      <xdr:rowOff>57150</xdr:rowOff>
    </xdr:from>
    <xdr:to>
      <xdr:col>2</xdr:col>
      <xdr:colOff>2152650</xdr:colOff>
      <xdr:row>10</xdr:row>
      <xdr:rowOff>390525</xdr:rowOff>
    </xdr:to>
    <xdr:sp macro="" textlink="">
      <xdr:nvSpPr>
        <xdr:cNvPr id="3" name="Right Arrow 2"/>
        <xdr:cNvSpPr/>
      </xdr:nvSpPr>
      <xdr:spPr>
        <a:xfrm>
          <a:off x="2276475" y="3705225"/>
          <a:ext cx="247650" cy="333375"/>
        </a:xfrm>
        <a:prstGeom prst="rightArrow">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1905000</xdr:colOff>
      <xdr:row>9</xdr:row>
      <xdr:rowOff>28575</xdr:rowOff>
    </xdr:from>
    <xdr:to>
      <xdr:col>2</xdr:col>
      <xdr:colOff>2152650</xdr:colOff>
      <xdr:row>9</xdr:row>
      <xdr:rowOff>361950</xdr:rowOff>
    </xdr:to>
    <xdr:sp macro="" textlink="">
      <xdr:nvSpPr>
        <xdr:cNvPr id="2" name="Right Arrow 1"/>
        <xdr:cNvSpPr/>
      </xdr:nvSpPr>
      <xdr:spPr>
        <a:xfrm>
          <a:off x="2276475" y="3276600"/>
          <a:ext cx="85725" cy="333375"/>
        </a:xfrm>
        <a:prstGeom prst="rightArrow">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1905000</xdr:colOff>
      <xdr:row>10</xdr:row>
      <xdr:rowOff>57150</xdr:rowOff>
    </xdr:from>
    <xdr:to>
      <xdr:col>2</xdr:col>
      <xdr:colOff>2152650</xdr:colOff>
      <xdr:row>10</xdr:row>
      <xdr:rowOff>390525</xdr:rowOff>
    </xdr:to>
    <xdr:sp macro="" textlink="">
      <xdr:nvSpPr>
        <xdr:cNvPr id="3" name="Right Arrow 2"/>
        <xdr:cNvSpPr/>
      </xdr:nvSpPr>
      <xdr:spPr>
        <a:xfrm>
          <a:off x="2276475" y="3705225"/>
          <a:ext cx="85725" cy="333375"/>
        </a:xfrm>
        <a:prstGeom prst="rightArrow">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anhntm1.SCB/Downloads/P.NCPTKDT&amp;NHS_Phan%20tich%20DVNB%202019_Gom%20nhom_Final_V.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anhntm1.SCB/Desktop/Phan_tich_DVNB_Phong_GSTS%20TNHS%20(updated%2026.08.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Name_Khoi"/>
      <sheetName val="Name_Phong"/>
      <sheetName val="running"/>
      <sheetName val="DM DVNB PHONG"/>
      <sheetName val="HD Chi tiet"/>
      <sheetName val="Sheet1"/>
      <sheetName val="NC&amp;PTKD (2)"/>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Name_Khoi"/>
      <sheetName val="Name_Phong"/>
      <sheetName val="running"/>
      <sheetName val="DM DVNB PHONG GS&amp;TS T&amp;NHS"/>
      <sheetName val="Sheet1"/>
    </sheetNames>
    <sheetDataSet>
      <sheetData sheetId="0" refreshError="1"/>
      <sheetData sheetId="1" refreshError="1"/>
      <sheetData sheetId="2" refreshError="1">
        <row r="3">
          <cell r="A3" t="str">
            <v>KHỐI DỊCH VỤ NGÂN HÀNG VÀ TÀI CHÍNH CÁ NHÂN</v>
          </cell>
          <cell r="B3" t="str">
            <v>KHOI01</v>
          </cell>
        </row>
        <row r="4">
          <cell r="A4" t="str">
            <v>KHỐI DỊCH VỤ NGÂN HÀNG VÀ TÀI CHÍNH CÁ NHÂN</v>
          </cell>
          <cell r="B4" t="str">
            <v>KHOI01</v>
          </cell>
        </row>
        <row r="5">
          <cell r="A5" t="str">
            <v>KHỐI DỊCH VỤ NGÂN HÀNG VÀ TÀI CHÍNH CÁ NHÂN</v>
          </cell>
          <cell r="B5" t="str">
            <v>KHOI01</v>
          </cell>
        </row>
        <row r="6">
          <cell r="A6" t="str">
            <v>KHỐI DỊCH VỤ NGÂN HÀNG VÀ TÀI CHÍNH CÁ NHÂN</v>
          </cell>
          <cell r="B6" t="str">
            <v>KHOI01</v>
          </cell>
        </row>
        <row r="7">
          <cell r="A7" t="str">
            <v>KHỐI DỊCH VỤ NGÂN HÀNG VÀ TÀI CHÍNH CÁ NHÂN</v>
          </cell>
          <cell r="B7" t="str">
            <v>KHOI01</v>
          </cell>
        </row>
        <row r="8">
          <cell r="A8" t="str">
            <v>KHỐI DỊCH VỤ NGÂN HÀNG VÀ TÀI CHÍNH CÁ NHÂN</v>
          </cell>
          <cell r="B8" t="str">
            <v>KHOI01</v>
          </cell>
        </row>
        <row r="9">
          <cell r="A9" t="str">
            <v>KHỐI DỊCH VỤ NGÂN HÀNG VÀ TÀI CHÍNH CÁ NHÂN</v>
          </cell>
          <cell r="B9" t="str">
            <v>KHOI01</v>
          </cell>
        </row>
        <row r="10">
          <cell r="A10" t="str">
            <v>KHỐI DỊCH VỤ NGÂN HÀNG VÀ TÀI CHÍNH CÁ NHÂN</v>
          </cell>
          <cell r="B10" t="str">
            <v>KHOI01</v>
          </cell>
        </row>
        <row r="11">
          <cell r="A11" t="str">
            <v>KHỐI DỊCH VỤ NGÂN HÀNG VÀ TÀI CHÍNH CÁ NHÂN</v>
          </cell>
          <cell r="B11" t="str">
            <v>KHOI01</v>
          </cell>
        </row>
        <row r="12">
          <cell r="A12" t="str">
            <v>KHỐI DỊCH VỤ NGÂN HÀNG VÀ TÀI CHÍNH CÁ NHÂN</v>
          </cell>
          <cell r="B12" t="str">
            <v>KHOI01</v>
          </cell>
        </row>
        <row r="13">
          <cell r="A13" t="str">
            <v>KHỐI DỊCH VỤ NGÂN HÀNG VÀ TÀI CHÍNH CÁ NHÂN</v>
          </cell>
          <cell r="B13" t="str">
            <v>KHOI01</v>
          </cell>
        </row>
        <row r="14">
          <cell r="A14" t="str">
            <v>KHỐI DOANH NGHIỆP</v>
          </cell>
          <cell r="B14" t="str">
            <v>KHOI02</v>
          </cell>
        </row>
        <row r="15">
          <cell r="A15" t="str">
            <v>KHỐI DOANH NGHIỆP</v>
          </cell>
          <cell r="B15" t="str">
            <v>KHOI02</v>
          </cell>
        </row>
        <row r="16">
          <cell r="A16" t="str">
            <v>KHỐI DOANH NGHIỆP</v>
          </cell>
          <cell r="B16" t="str">
            <v>KHOI02</v>
          </cell>
        </row>
        <row r="17">
          <cell r="A17" t="str">
            <v>KHỐI DOANH NGHIỆP</v>
          </cell>
          <cell r="B17" t="str">
            <v>KHOI02</v>
          </cell>
        </row>
        <row r="18">
          <cell r="A18" t="str">
            <v>KHỐI DOANH NGHIỆP</v>
          </cell>
          <cell r="B18" t="str">
            <v>KHOI02</v>
          </cell>
        </row>
        <row r="19">
          <cell r="A19" t="str">
            <v>KHỐI KINH DOANH TIỀN TỆ</v>
          </cell>
          <cell r="B19" t="str">
            <v>KHOI03</v>
          </cell>
        </row>
        <row r="20">
          <cell r="A20" t="str">
            <v>KHỐI KINH DOANH TIỀN TỆ</v>
          </cell>
          <cell r="B20" t="str">
            <v>KHOI03</v>
          </cell>
        </row>
        <row r="21">
          <cell r="A21" t="str">
            <v>KHỐI KINH DOANH TIỀN TỆ</v>
          </cell>
          <cell r="B21" t="str">
            <v>KHOI03</v>
          </cell>
        </row>
        <row r="22">
          <cell r="A22" t="str">
            <v>KHỐI KINH DOANH TIỀN TỆ</v>
          </cell>
          <cell r="B22" t="str">
            <v>KHOI03</v>
          </cell>
        </row>
        <row r="23">
          <cell r="A23" t="str">
            <v>KHỐI HTKD</v>
          </cell>
          <cell r="B23" t="str">
            <v>KHOI04</v>
          </cell>
        </row>
        <row r="24">
          <cell r="A24" t="str">
            <v>KHỐI HTKD</v>
          </cell>
          <cell r="B24" t="str">
            <v>KHOI04</v>
          </cell>
        </row>
        <row r="25">
          <cell r="A25" t="str">
            <v>KHỐI HTKD</v>
          </cell>
          <cell r="B25" t="str">
            <v>KHOI04</v>
          </cell>
        </row>
        <row r="26">
          <cell r="A26" t="str">
            <v>KHỐI QTTC&amp;NV</v>
          </cell>
          <cell r="B26" t="str">
            <v>KHOI05</v>
          </cell>
        </row>
        <row r="27">
          <cell r="A27" t="str">
            <v>KHỐI QTTC&amp;NV</v>
          </cell>
          <cell r="B27" t="str">
            <v>KHOI05</v>
          </cell>
        </row>
        <row r="28">
          <cell r="A28" t="str">
            <v>KHỐI QTTC&amp;NV</v>
          </cell>
          <cell r="B28" t="str">
            <v>KHOI05</v>
          </cell>
        </row>
        <row r="29">
          <cell r="A29" t="str">
            <v>KHỐI QTTC&amp;NV</v>
          </cell>
          <cell r="B29" t="str">
            <v>KHOI05</v>
          </cell>
        </row>
        <row r="30">
          <cell r="A30" t="str">
            <v>KHỐI QTTC&amp;NV</v>
          </cell>
          <cell r="B30" t="str">
            <v>KHOI05</v>
          </cell>
        </row>
        <row r="31">
          <cell r="A31" t="str">
            <v>KHỐI KẾ TOÁN</v>
          </cell>
          <cell r="B31" t="str">
            <v>KHOI06</v>
          </cell>
        </row>
        <row r="32">
          <cell r="A32" t="str">
            <v>KHỐI KẾ TOÁN</v>
          </cell>
          <cell r="B32" t="str">
            <v>KHOI06</v>
          </cell>
        </row>
        <row r="33">
          <cell r="A33" t="str">
            <v>KHỐI KẾ TOÁN</v>
          </cell>
          <cell r="B33" t="str">
            <v>KHOI06</v>
          </cell>
        </row>
        <row r="34">
          <cell r="A34" t="str">
            <v>KHỐI QUẢN LÝ RỦI RO</v>
          </cell>
          <cell r="B34" t="str">
            <v>KHOI07</v>
          </cell>
        </row>
        <row r="35">
          <cell r="A35" t="str">
            <v>KHỐI QUẢN LÝ RỦI RO</v>
          </cell>
          <cell r="B35" t="str">
            <v>KHOI07</v>
          </cell>
        </row>
        <row r="36">
          <cell r="A36" t="str">
            <v>KHỐI QUẢN LÝ RỦI RO</v>
          </cell>
          <cell r="B36" t="str">
            <v>KHOI07</v>
          </cell>
        </row>
        <row r="37">
          <cell r="A37" t="str">
            <v>KHỐI QUẢN LÝ RỦI RO</v>
          </cell>
          <cell r="B37" t="str">
            <v>KHOI07</v>
          </cell>
        </row>
        <row r="38">
          <cell r="A38" t="str">
            <v>KHỐI QUẢN LÝ RỦI RO</v>
          </cell>
          <cell r="B38" t="str">
            <v>KHOI07</v>
          </cell>
        </row>
        <row r="39">
          <cell r="A39" t="str">
            <v>KHỐI PHÁP CHẾ VÀ XỬ LÝ NỢ</v>
          </cell>
          <cell r="B39" t="str">
            <v>KHOI08</v>
          </cell>
        </row>
        <row r="40">
          <cell r="A40" t="str">
            <v>KHỐI PHÁP CHẾ VÀ XỬ LÝ NỢ</v>
          </cell>
          <cell r="B40" t="str">
            <v>KHOI08</v>
          </cell>
        </row>
        <row r="41">
          <cell r="A41" t="str">
            <v>KHỐI QUẢN TRỊ</v>
          </cell>
          <cell r="B41" t="str">
            <v>KHOI09</v>
          </cell>
        </row>
        <row r="42">
          <cell r="A42" t="str">
            <v>KHỐI QUẢN TRỊ</v>
          </cell>
          <cell r="B42" t="str">
            <v>KHOI09</v>
          </cell>
        </row>
        <row r="43">
          <cell r="A43" t="str">
            <v>KHỐI VẬN HÀNH VÀ CÔNG NGHỆ</v>
          </cell>
          <cell r="B43" t="str">
            <v>KHOI10</v>
          </cell>
        </row>
        <row r="44">
          <cell r="A44" t="str">
            <v>KHỐI VẬN HÀNH VÀ CÔNG NGHỆ</v>
          </cell>
          <cell r="B44" t="str">
            <v>KHOI10</v>
          </cell>
        </row>
        <row r="45">
          <cell r="A45" t="str">
            <v>KHỐI VẬN HÀNH VÀ CÔNG NGHỆ</v>
          </cell>
          <cell r="B45" t="str">
            <v>KHOI10</v>
          </cell>
        </row>
        <row r="46">
          <cell r="A46" t="str">
            <v>KHỐI VẬN HÀNH VÀ CÔNG NGHỆ</v>
          </cell>
          <cell r="B46" t="str">
            <v>KHOI10</v>
          </cell>
        </row>
        <row r="47">
          <cell r="A47" t="str">
            <v>KHỐI VẬN HÀNH VÀ CÔNG NGHỆ</v>
          </cell>
          <cell r="B47" t="str">
            <v>KHOI10</v>
          </cell>
        </row>
        <row r="48">
          <cell r="A48" t="str">
            <v>KHỐI VẬN HÀNH VÀ CÔNG NGHỆ</v>
          </cell>
          <cell r="B48" t="str">
            <v>KHOI10</v>
          </cell>
        </row>
        <row r="49">
          <cell r="A49" t="str">
            <v>KHỐI VẬN HÀNH VÀ CÔNG NGHỆ</v>
          </cell>
          <cell r="B49" t="str">
            <v>KHOI10</v>
          </cell>
        </row>
        <row r="50">
          <cell r="A50" t="str">
            <v>KHỐI NGÂN HÀNG GIAO DỊCH QUỐC TẾ</v>
          </cell>
          <cell r="B50" t="str">
            <v>KHOI11</v>
          </cell>
        </row>
        <row r="51">
          <cell r="A51" t="str">
            <v>KHỐI NGÂN HÀNG GIAO DỊCH QUỐC TẾ</v>
          </cell>
          <cell r="B51" t="str">
            <v>KHOI11</v>
          </cell>
        </row>
        <row r="52">
          <cell r="A52" t="str">
            <v>KHỐI QUẢN TRỊ NGUỒN NHÂN LỰC</v>
          </cell>
          <cell r="B52" t="str">
            <v>KHOI12</v>
          </cell>
        </row>
        <row r="53">
          <cell r="A53" t="str">
            <v>KHỐI QUẢN TRỊ NGUỒN NHÂN LỰC</v>
          </cell>
          <cell r="B53" t="str">
            <v>KHOI12</v>
          </cell>
        </row>
        <row r="54">
          <cell r="A54" t="str">
            <v>KHỐI QUẢN TRỊ NGUỒN NHÂN LỰC</v>
          </cell>
          <cell r="B54" t="str">
            <v>KHOI12</v>
          </cell>
        </row>
        <row r="55">
          <cell r="A55" t="str">
            <v>KHỐI QUẢN TRỊ NGUỒN NHÂN LỰC</v>
          </cell>
          <cell r="B55" t="str">
            <v>KHOI12</v>
          </cell>
        </row>
        <row r="56">
          <cell r="A56" t="str">
            <v>KHỐI QUẢN TRỊ NGUỒN NHÂN LỰC</v>
          </cell>
          <cell r="B56" t="str">
            <v>KHOI12</v>
          </cell>
        </row>
        <row r="57">
          <cell r="A57" t="str">
            <v>KHỐI TÁI THẨM ĐỊNH</v>
          </cell>
          <cell r="B57" t="str">
            <v>KHOI13</v>
          </cell>
        </row>
        <row r="58">
          <cell r="A58" t="str">
            <v>KHỐI THẺ VÀ NGÂN HÀNG SỐ</v>
          </cell>
          <cell r="B58" t="str">
            <v>KHOI14</v>
          </cell>
        </row>
        <row r="59">
          <cell r="A59" t="str">
            <v>KHỐI THẺ VÀ NGÂN HÀNG SỐ</v>
          </cell>
          <cell r="B59" t="str">
            <v>KHOI14</v>
          </cell>
        </row>
      </sheetData>
      <sheetData sheetId="3" refreshError="1">
        <row r="8">
          <cell r="H8" t="str">
            <v>Quản lý rủi ro hoạt động Thẻ và NHĐT; giám sát tuân thủ quy định của Tổ chức thẻ quốc tế, Ngân hàng Nhà nước.</v>
          </cell>
          <cell r="J8" t="str">
            <v>Quản lý, kiểm soát rủi ro hoạt động thẻ và ngân hàng số; xây dựng các tiêu chí cảnh báo, ngăn chặn rủi ro giao dịch thẻ và ngân hàng số.</v>
          </cell>
          <cell r="R8">
            <v>0</v>
          </cell>
          <cell r="S8">
            <v>0</v>
          </cell>
          <cell r="V8">
            <v>0</v>
          </cell>
        </row>
        <row r="9">
          <cell r="H9" t="str">
            <v>Quản lý rủi ro hoạt động Thẻ và NHĐT; giám sát tuân thủ quy định của Tổ chức thẻ quốc tế, Ngân hàng Nhà nước.</v>
          </cell>
          <cell r="J9" t="str">
            <v>Đề xuất xây dựng các phương án nghiệp vụ an toàn/bảo mật hoạt động thẻ và ngân hàng số; quy trình xử lý nghiệp vụ; hệ thống cảnh báo/giám sát giao dịch.</v>
          </cell>
          <cell r="R9">
            <v>0</v>
          </cell>
          <cell r="S9">
            <v>0</v>
          </cell>
          <cell r="T9">
            <v>0</v>
          </cell>
          <cell r="V9">
            <v>0</v>
          </cell>
        </row>
        <row r="13">
          <cell r="H13" t="str">
            <v>Quản lý rủi ro hoạt động Thẻ và NHĐT; giám sát tuân thủ quy định của Tổ chức thẻ quốc tế, Ngân hàng Nhà nước.</v>
          </cell>
          <cell r="J13" t="str">
            <v>Khai thác, sử dụng các công cụ, hệ thống do TCTQT cung cấp.</v>
          </cell>
          <cell r="O13">
            <v>0</v>
          </cell>
          <cell r="Q13">
            <v>0</v>
          </cell>
          <cell r="R13">
            <v>0</v>
          </cell>
          <cell r="S13">
            <v>0</v>
          </cell>
          <cell r="V13">
            <v>0</v>
          </cell>
        </row>
        <row r="14">
          <cell r="H14" t="str">
            <v>Quản lý rủi ro hoạt động Thẻ và NHĐT; giám sát tuân thủ quy định của Tổ chức thẻ quốc tế, Ngân hàng Nhà nước.</v>
          </cell>
          <cell r="O14">
            <v>0</v>
          </cell>
          <cell r="Q14">
            <v>0</v>
          </cell>
          <cell r="R14">
            <v>0</v>
          </cell>
          <cell r="S14">
            <v>0</v>
          </cell>
          <cell r="V14">
            <v>0</v>
          </cell>
        </row>
        <row r="15">
          <cell r="H15" t="str">
            <v>Quản lý rủi ro hoạt động Thẻ và NHĐT; giám sát tuân thủ quy định của Tổ chức thẻ quốc tế, Ngân hàng Nhà nước.</v>
          </cell>
          <cell r="R15">
            <v>0</v>
          </cell>
          <cell r="S15">
            <v>0</v>
          </cell>
          <cell r="V15">
            <v>1.1000000000000001</v>
          </cell>
        </row>
        <row r="16">
          <cell r="H16" t="str">
            <v>Quản lý rủi ro hoạt động Thẻ và NHĐT; giám sát tuân thủ quy định của Tổ chức thẻ quốc tế, Ngân hàng Nhà nước.</v>
          </cell>
          <cell r="Q16">
            <v>0</v>
          </cell>
          <cell r="S16">
            <v>0</v>
          </cell>
          <cell r="V16">
            <v>0.1</v>
          </cell>
        </row>
        <row r="17">
          <cell r="H17" t="str">
            <v>Quản lý rủi ro hoạt động Thẻ và NHĐT; giám sát tuân thủ quy định của Tổ chức thẻ quốc tế, Ngân hàng Nhà nước.</v>
          </cell>
          <cell r="O17">
            <v>0</v>
          </cell>
          <cell r="Q17">
            <v>0</v>
          </cell>
          <cell r="R17">
            <v>0</v>
          </cell>
          <cell r="S17">
            <v>0</v>
          </cell>
          <cell r="V17">
            <v>0</v>
          </cell>
          <cell r="X17">
            <v>0</v>
          </cell>
        </row>
        <row r="20">
          <cell r="H20" t="str">
            <v>Triển khai công tác giám sát rủi ro giao dịch thẻ và NHĐT.</v>
          </cell>
          <cell r="J20" t="str">
            <v xml:space="preserve">Triển khai và duy trì thường xuyên hoạt động giám sát giao dịch thẻ và ngân hàng số phục vụ 24/7 </v>
          </cell>
          <cell r="L20" t="str">
            <v>Xác minh và hỗ trợ Giao dịch thẻ</v>
          </cell>
          <cell r="M20" t="str">
            <v>Số lượng giao dịch hit rule</v>
          </cell>
          <cell r="Q20">
            <v>1.0332193244976487E-2</v>
          </cell>
          <cell r="R20">
            <v>0</v>
          </cell>
          <cell r="S20">
            <v>0</v>
          </cell>
          <cell r="V20">
            <v>0</v>
          </cell>
          <cell r="W20" t="str">
            <v>Đơn vị phát hành thẻ</v>
          </cell>
          <cell r="Y20" t="str">
            <v>- KHCN
- KHDN</v>
          </cell>
        </row>
        <row r="21">
          <cell r="H21" t="str">
            <v>Triển khai công tác giám sát rủi ro giao dịch thẻ và NHĐT.</v>
          </cell>
          <cell r="J21" t="str">
            <v xml:space="preserve">Triển khai và duy trì thường xuyên hoạt động giám sát giao dịch thẻ và ngân hàng số phục vụ 24/7 </v>
          </cell>
          <cell r="L21" t="str">
            <v>Xác minh và hỗ trợ Giao dịch ngân hàng điện tử</v>
          </cell>
          <cell r="M21" t="str">
            <v>Số lượng giao dịch hit rule</v>
          </cell>
          <cell r="Q21">
            <v>1.306762266273021E-2</v>
          </cell>
          <cell r="R21">
            <v>0</v>
          </cell>
          <cell r="S21">
            <v>0</v>
          </cell>
          <cell r="V21">
            <v>0</v>
          </cell>
          <cell r="W21" t="str">
            <v>Đơn vị hưởng phí dịch vụ eBanking</v>
          </cell>
          <cell r="Y21" t="str">
            <v>- KHCN
- KHDN</v>
          </cell>
        </row>
        <row r="22">
          <cell r="H22" t="str">
            <v>Triển khai công tác giám sát rủi ro giao dịch thẻ và NHĐT.</v>
          </cell>
          <cell r="J22" t="str">
            <v xml:space="preserve">Triển khai và duy trì thường xuyên hoạt động giám sát giao dịch thẻ và ngân hàng số phục vụ 24/7 </v>
          </cell>
          <cell r="L22" t="str">
            <v>Giám sát lỗi nhằm xử lý hoặc phối hợp xử lý, nâng cao chất lượng dịch vụ Giao dịch thẻ</v>
          </cell>
          <cell r="M22" t="str">
            <v>Số lượng giao dịch hit rule</v>
          </cell>
          <cell r="Q22">
            <v>1.3805068166221103E-2</v>
          </cell>
          <cell r="R22">
            <v>0</v>
          </cell>
          <cell r="S22">
            <v>0</v>
          </cell>
          <cell r="V22">
            <v>0</v>
          </cell>
          <cell r="W22" t="str">
            <v>Đơn vị phát hành thẻ</v>
          </cell>
          <cell r="Y22" t="str">
            <v>- KHCN
- KHDN</v>
          </cell>
        </row>
        <row r="23">
          <cell r="H23" t="str">
            <v>Triển khai công tác giám sát rủi ro giao dịch thẻ và NHĐT.</v>
          </cell>
          <cell r="J23" t="str">
            <v xml:space="preserve">Triển khai và duy trì thường xuyên hoạt động giám sát giao dịch thẻ và ngân hàng số phục vụ 24/7 </v>
          </cell>
          <cell r="L23" t="str">
            <v>Giám sát lỗi nhằm xử lý hoặc phối hợp xử lý, nâng cao chất lượng dịch vụ Giao dịch ngân hàng điện tử</v>
          </cell>
          <cell r="M23" t="str">
            <v>Số lượng giao dịch hit rule</v>
          </cell>
          <cell r="O23">
            <v>4.2048000000000002E-2</v>
          </cell>
          <cell r="R23">
            <v>0</v>
          </cell>
          <cell r="S23">
            <v>0</v>
          </cell>
          <cell r="V23">
            <v>0</v>
          </cell>
          <cell r="W23" t="str">
            <v>Đơn vị hưởng phí dịch vụ eBanking</v>
          </cell>
          <cell r="Y23" t="str">
            <v>- KHCN
- KHDN</v>
          </cell>
        </row>
        <row r="24">
          <cell r="H24" t="str">
            <v>Triển khai công tác giám sát rủi ro giao dịch thẻ và NHĐT.</v>
          </cell>
          <cell r="J24" t="str">
            <v xml:space="preserve">Triển khai và duy trì thường xuyên hoạt động giám sát giao dịch thẻ và ngân hàng số phục vụ 24/7 </v>
          </cell>
          <cell r="L24" t="str">
            <v>Tiếp nhận các cuộc gọi vào số giám sát giao dịch (24/7) và hỗ trợ xử lý yêu cầu hoặc giải đáp thắc mắc của KH liên quan đến thẻ</v>
          </cell>
          <cell r="R24">
            <v>0</v>
          </cell>
          <cell r="S24">
            <v>0</v>
          </cell>
          <cell r="V24">
            <v>0</v>
          </cell>
          <cell r="Y24" t="str">
            <v>- KHCN
- KHDN</v>
          </cell>
        </row>
        <row r="25">
          <cell r="H25" t="str">
            <v>Triển khai công tác giám sát rủi ro giao dịch thẻ và NHĐT.</v>
          </cell>
          <cell r="J25" t="str">
            <v xml:space="preserve">Triển khai và duy trì thường xuyên hoạt động giám sát giao dịch thẻ và ngân hàng số phục vụ 24/7 </v>
          </cell>
          <cell r="L25" t="str">
            <v>Tiếp nhận các cuộc gọi vào số giám sát giao dịch (24/7) và hỗ trợ xử lý yêu cầu hoặc giải đáp thắc mắc của KH liên quan đến ngân hàng điện tử</v>
          </cell>
          <cell r="M25" t="str">
            <v>Số lượng cuộc gọi vào</v>
          </cell>
          <cell r="R25">
            <v>0</v>
          </cell>
          <cell r="S25">
            <v>0</v>
          </cell>
          <cell r="V25">
            <v>0</v>
          </cell>
          <cell r="W25" t="str">
            <v>Đơn vị hưởng phí dịch vụ eBanking</v>
          </cell>
          <cell r="Y25" t="str">
            <v>- KHCN
- KHDN</v>
          </cell>
        </row>
        <row r="26">
          <cell r="H26" t="str">
            <v>Triển khai công tác giám sát rủi ro giao dịch thẻ và NHĐT.</v>
          </cell>
          <cell r="J26" t="str">
            <v xml:space="preserve">Triển khai và duy trì thường xuyên hoạt động giám sát giao dịch thẻ và ngân hàng số phục vụ 24/7 </v>
          </cell>
          <cell r="L26" t="str">
            <v>Tiếp nhận các cuộc gọi vào số hotline (1800, 1900) (từ 21h đến 07h sáng) và hỗ trợ xử lý yêu cầu hoặc giải đáp thắc mắc của KH liên quan đến Thẻ, NHĐT và các liên quan khác</v>
          </cell>
          <cell r="M26" t="str">
            <v>Số lượng cuộc gọi vào</v>
          </cell>
          <cell r="R26">
            <v>0</v>
          </cell>
          <cell r="S26">
            <v>0</v>
          </cell>
          <cell r="T26">
            <v>0</v>
          </cell>
          <cell r="V26">
            <v>0</v>
          </cell>
          <cell r="Y26" t="str">
            <v>- KHCN
- KHDN</v>
          </cell>
        </row>
        <row r="30">
          <cell r="Q30">
            <v>0</v>
          </cell>
          <cell r="R30">
            <v>0</v>
          </cell>
          <cell r="S30">
            <v>0</v>
          </cell>
          <cell r="V30">
            <v>0</v>
          </cell>
        </row>
        <row r="31">
          <cell r="Q31">
            <v>0</v>
          </cell>
          <cell r="R31">
            <v>0</v>
          </cell>
          <cell r="S31">
            <v>0</v>
          </cell>
          <cell r="V31">
            <v>0</v>
          </cell>
        </row>
        <row r="32">
          <cell r="H32" t="str">
            <v>Triển khai công tác giám sát rủi ro giao dịch thẻ và NHĐT.</v>
          </cell>
        </row>
        <row r="33">
          <cell r="H33" t="str">
            <v>Triển khai công tác giám sát rủi ro giao dịch thẻ và NHĐT.</v>
          </cell>
        </row>
        <row r="36">
          <cell r="H36" t="str">
            <v>Xử lý tra soát, tranh chấp, bồi hoàn giao dịch Thẻ và NHĐT.</v>
          </cell>
          <cell r="J36" t="str">
            <v>Tiếp nhận và xử lý tra soát, tranh chấp, bồi hoàn giao dịch thẻ và ngân hàng số</v>
          </cell>
          <cell r="Q36">
            <v>0</v>
          </cell>
          <cell r="R36">
            <v>0</v>
          </cell>
          <cell r="S36">
            <v>0</v>
          </cell>
          <cell r="T36">
            <v>0.5</v>
          </cell>
          <cell r="V36">
            <v>0</v>
          </cell>
          <cell r="W36" t="str">
            <v>Đơn vị phát hành thẻ</v>
          </cell>
          <cell r="X36" t="str">
            <v>Thẻ Mastercard, Visa</v>
          </cell>
          <cell r="Y36" t="str">
            <v>- KHCN
- KHDN</v>
          </cell>
          <cell r="Z36" t="str">
            <v xml:space="preserve">Số lượng giao dịch tra soát </v>
          </cell>
        </row>
        <row r="37">
          <cell r="H37" t="str">
            <v>Xử lý tra soát, tranh chấp, bồi hoàn giao dịch Thẻ và NHĐT.</v>
          </cell>
          <cell r="J37" t="str">
            <v>Tiếp nhận và xử lý tra soát, tranh chấp, bồi hoàn giao dịch thẻ và ngân hàng số</v>
          </cell>
          <cell r="O37">
            <v>0.5</v>
          </cell>
          <cell r="P37">
            <v>0.08</v>
          </cell>
          <cell r="Q37">
            <v>0</v>
          </cell>
          <cell r="R37">
            <v>0</v>
          </cell>
          <cell r="S37">
            <v>0</v>
          </cell>
          <cell r="T37">
            <v>0.01</v>
          </cell>
          <cell r="V37">
            <v>0</v>
          </cell>
          <cell r="W37" t="str">
            <v>Đơn vị phát hành thẻ</v>
          </cell>
          <cell r="X37" t="str">
            <v>Thẻ nội địa</v>
          </cell>
          <cell r="Y37" t="str">
            <v>KHCN</v>
          </cell>
          <cell r="Z37" t="str">
            <v xml:space="preserve">Số lượng giao dịch tra soát </v>
          </cell>
        </row>
        <row r="38">
          <cell r="H38" t="str">
            <v>Xử lý tra soát, tranh chấp, bồi hoàn giao dịch Thẻ và NHĐT.</v>
          </cell>
          <cell r="J38" t="str">
            <v>Tiếp nhận và xử lý tra soát, tranh chấp, bồi hoàn giao dịch thẻ và ngân hàng số</v>
          </cell>
          <cell r="O38">
            <v>0.6</v>
          </cell>
          <cell r="P38">
            <v>0.15</v>
          </cell>
          <cell r="Q38">
            <v>0</v>
          </cell>
          <cell r="R38">
            <v>0</v>
          </cell>
          <cell r="S38">
            <v>0</v>
          </cell>
          <cell r="T38">
            <v>0.03</v>
          </cell>
          <cell r="V38">
            <v>0</v>
          </cell>
          <cell r="W38" t="str">
            <v>Đơn vị đặt máy ATM</v>
          </cell>
          <cell r="Y38">
            <v>0</v>
          </cell>
          <cell r="Z38" t="str">
            <v xml:space="preserve">Số lượng giao dịch tra soát </v>
          </cell>
        </row>
        <row r="39">
          <cell r="H39" t="str">
            <v>Xử lý tra soát, tranh chấp, bồi hoàn giao dịch Thẻ và NHĐT.</v>
          </cell>
          <cell r="J39" t="str">
            <v>Tiếp nhận và xử lý tra soát, tranh chấp, bồi hoàn giao dịch thẻ và ngân hàng số</v>
          </cell>
          <cell r="P39">
            <v>2.8</v>
          </cell>
          <cell r="Q39">
            <v>0</v>
          </cell>
          <cell r="R39">
            <v>0</v>
          </cell>
          <cell r="S39">
            <v>0</v>
          </cell>
          <cell r="T39">
            <v>0.5</v>
          </cell>
          <cell r="V39">
            <v>0</v>
          </cell>
          <cell r="Y39">
            <v>0</v>
          </cell>
          <cell r="Z39" t="str">
            <v xml:space="preserve">Số lượng giao dịch tra soát </v>
          </cell>
        </row>
        <row r="40">
          <cell r="H40" t="str">
            <v>Xử lý tra soát, tranh chấp, bồi hoàn giao dịch Thẻ và NHĐT.</v>
          </cell>
          <cell r="J40" t="str">
            <v>Tiếp nhận và xử lý tra soát, tranh chấp, bồi hoàn giao dịch thẻ và ngân hàng số</v>
          </cell>
          <cell r="O40">
            <v>0.75</v>
          </cell>
          <cell r="P40">
            <v>0.03</v>
          </cell>
          <cell r="Q40">
            <v>0</v>
          </cell>
          <cell r="R40">
            <v>0</v>
          </cell>
          <cell r="S40">
            <v>0</v>
          </cell>
          <cell r="T40">
            <v>4.2000000000000003E-2</v>
          </cell>
          <cell r="V40">
            <v>0</v>
          </cell>
          <cell r="W40" t="str">
            <v>Đơn vị hưởng phí dịch vụ eBanking</v>
          </cell>
          <cell r="X40" t="str">
            <v>Dịch vụ eBanking</v>
          </cell>
          <cell r="Z40" t="str">
            <v xml:space="preserve">Số lượng giao dịch tra soát </v>
          </cell>
        </row>
        <row r="41">
          <cell r="H41" t="str">
            <v>Xử lý tra soát, tranh chấp, bồi hoàn giao dịch Thẻ và NHĐT.</v>
          </cell>
          <cell r="V41">
            <v>0</v>
          </cell>
          <cell r="Y41">
            <v>0</v>
          </cell>
        </row>
        <row r="48">
          <cell r="H48" t="str">
            <v>Khác_GS&amp;XLTST&amp;NHĐT</v>
          </cell>
          <cell r="N48">
            <v>20</v>
          </cell>
          <cell r="O48">
            <v>0</v>
          </cell>
          <cell r="P48">
            <v>3</v>
          </cell>
          <cell r="Q48">
            <v>1</v>
          </cell>
          <cell r="R48">
            <v>0</v>
          </cell>
          <cell r="S48">
            <v>0</v>
          </cell>
          <cell r="T48">
            <v>2</v>
          </cell>
          <cell r="V48">
            <v>0</v>
          </cell>
          <cell r="Y48" t="str">
            <v>KHCN
KHDN</v>
          </cell>
        </row>
        <row r="49">
          <cell r="H49" t="str">
            <v>Khác_GS&amp;XLTST&amp;NHĐT</v>
          </cell>
          <cell r="L49" t="str">
            <v>Thực hiện góp ý Tài liệu chất lượng / Hợp đồng hợp tác với các đối tác</v>
          </cell>
          <cell r="M49" t="str">
            <v>Số lượng PYC/yêu cầu nhận được</v>
          </cell>
          <cell r="N49">
            <v>20</v>
          </cell>
          <cell r="O49">
            <v>0</v>
          </cell>
          <cell r="P49">
            <v>2</v>
          </cell>
          <cell r="Q49">
            <v>0.5</v>
          </cell>
          <cell r="R49">
            <v>0</v>
          </cell>
          <cell r="S49">
            <v>0</v>
          </cell>
          <cell r="T49">
            <v>1</v>
          </cell>
          <cell r="V49">
            <v>0</v>
          </cell>
          <cell r="W49" t="str">
            <v>Đơn vị yêu cầu góp ý</v>
          </cell>
          <cell r="Y49" t="str">
            <v>KHCN
KHDN</v>
          </cell>
          <cell r="Z49" t="str">
            <v>Số lượng PYC/yêu cầu nhận được</v>
          </cell>
        </row>
        <row r="50">
          <cell r="H50" t="str">
            <v>Khác_GS&amp;XLTST&amp;NHĐT</v>
          </cell>
          <cell r="N50">
            <v>30</v>
          </cell>
          <cell r="O50">
            <v>0</v>
          </cell>
          <cell r="P50">
            <v>2</v>
          </cell>
          <cell r="Q50">
            <v>0.5</v>
          </cell>
          <cell r="R50">
            <v>0</v>
          </cell>
          <cell r="S50">
            <v>0</v>
          </cell>
          <cell r="T50">
            <v>1</v>
          </cell>
          <cell r="V50">
            <v>0</v>
          </cell>
          <cell r="W50" t="str">
            <v>Đơn vị yêu cầu</v>
          </cell>
          <cell r="Y50" t="str">
            <v>KHCN
KHDN</v>
          </cell>
          <cell r="Z50" t="str">
            <v>Số lượng PYC/yêu cầu nhận được</v>
          </cell>
        </row>
        <row r="52">
          <cell r="H52" t="str">
            <v>Khác_GS&amp;XLTST&amp;NHĐT</v>
          </cell>
          <cell r="L52" t="str">
            <v>Báo cáo QLRRVH (báo cáo tháng nội bộ SCB)</v>
          </cell>
          <cell r="M52" t="str">
            <v>Số lượng báo cáo</v>
          </cell>
          <cell r="N52">
            <v>24</v>
          </cell>
          <cell r="P52">
            <v>0.5</v>
          </cell>
          <cell r="Q52">
            <v>0</v>
          </cell>
          <cell r="R52">
            <v>0</v>
          </cell>
          <cell r="S52">
            <v>0</v>
          </cell>
          <cell r="T52">
            <v>0.15</v>
          </cell>
          <cell r="V52">
            <v>0</v>
          </cell>
          <cell r="W52" t="str">
            <v>P.QLRRVH</v>
          </cell>
          <cell r="Z52" t="str">
            <v>Số lượng báo cáo</v>
          </cell>
        </row>
        <row r="53">
          <cell r="H53" t="str">
            <v>Khác_GS&amp;XLTST&amp;NHĐT</v>
          </cell>
          <cell r="L53" t="str">
            <v>Báo cáo theo yêu cầu từ Ngân hàng Nhà nước, cơ quan thẩm quyền (Báo cáo định kỳ hàng tháng và báo cáo khi có yêu cầu)</v>
          </cell>
          <cell r="M53" t="str">
            <v>Số lượng báo cáo</v>
          </cell>
          <cell r="N53">
            <v>30</v>
          </cell>
          <cell r="O53">
            <v>0</v>
          </cell>
          <cell r="P53">
            <v>2</v>
          </cell>
          <cell r="Q53">
            <v>0</v>
          </cell>
          <cell r="R53">
            <v>0</v>
          </cell>
          <cell r="S53">
            <v>0</v>
          </cell>
          <cell r="T53">
            <v>0.3</v>
          </cell>
          <cell r="V53">
            <v>0</v>
          </cell>
        </row>
        <row r="54">
          <cell r="H54" t="str">
            <v>Khác_GS&amp;XLTST&amp;NHĐT</v>
          </cell>
          <cell r="L54" t="str">
            <v>Báo cáo ATM theo yêu cầu của TCTQT (báo cáo ngay khi có phát sinh hoặc ít nhất 1 lần/quý)</v>
          </cell>
          <cell r="M54" t="str">
            <v>Số lượng báo cáo</v>
          </cell>
          <cell r="N54">
            <v>46</v>
          </cell>
          <cell r="O54">
            <v>0</v>
          </cell>
          <cell r="P54">
            <v>0.5</v>
          </cell>
          <cell r="Q54">
            <v>0</v>
          </cell>
          <cell r="R54">
            <v>0</v>
          </cell>
          <cell r="S54">
            <v>0</v>
          </cell>
          <cell r="T54">
            <v>0.05</v>
          </cell>
          <cell r="V54">
            <v>0</v>
          </cell>
          <cell r="X54" t="str">
            <v>ATM</v>
          </cell>
          <cell r="Y54">
            <v>0</v>
          </cell>
        </row>
        <row r="55">
          <cell r="H55" t="str">
            <v>Khác_GS&amp;XLTST&amp;NHĐT</v>
          </cell>
          <cell r="M55" t="str">
            <v>Số lượng báo cáo</v>
          </cell>
          <cell r="N55">
            <v>54</v>
          </cell>
          <cell r="O55">
            <v>0</v>
          </cell>
          <cell r="P55">
            <v>0.8</v>
          </cell>
          <cell r="Q55">
            <v>0</v>
          </cell>
          <cell r="R55">
            <v>0</v>
          </cell>
          <cell r="S55">
            <v>0</v>
          </cell>
          <cell r="T55">
            <v>0.05</v>
          </cell>
          <cell r="V55">
            <v>0</v>
          </cell>
        </row>
        <row r="56">
          <cell r="H56" t="str">
            <v>Khác_GS&amp;XLTST&amp;NHĐT</v>
          </cell>
          <cell r="M56" t="str">
            <v>Số lượng báo cáo</v>
          </cell>
          <cell r="N56">
            <v>4</v>
          </cell>
          <cell r="O56">
            <v>0</v>
          </cell>
          <cell r="P56">
            <v>48</v>
          </cell>
          <cell r="Q56">
            <v>0</v>
          </cell>
          <cell r="R56">
            <v>0</v>
          </cell>
          <cell r="S56">
            <v>0</v>
          </cell>
          <cell r="T56">
            <v>5</v>
          </cell>
          <cell r="V56">
            <v>0</v>
          </cell>
          <cell r="X56" t="str">
            <v>Mastercard
Visa</v>
          </cell>
        </row>
        <row r="57">
          <cell r="H57" t="str">
            <v>Khác_GS&amp;XLTST&amp;NHĐT</v>
          </cell>
          <cell r="L57" t="str">
            <v>Tu chỉnh/soạn thảo tài liệu chất lượng</v>
          </cell>
          <cell r="M57" t="str">
            <v>Số lượng tài liệu chất lượng tu chỉnh/soạn thảo</v>
          </cell>
          <cell r="N57">
            <v>4</v>
          </cell>
          <cell r="O57">
            <v>0</v>
          </cell>
          <cell r="P57">
            <v>30</v>
          </cell>
          <cell r="Q57">
            <v>10</v>
          </cell>
          <cell r="R57">
            <v>0</v>
          </cell>
          <cell r="S57">
            <v>0</v>
          </cell>
          <cell r="T57">
            <v>30</v>
          </cell>
          <cell r="V57">
            <v>0</v>
          </cell>
        </row>
        <row r="58">
          <cell r="H58" t="str">
            <v>Khác_GS&amp;XLTST&amp;NHĐT</v>
          </cell>
          <cell r="L58" t="str">
            <v>Ban hành các thông báo, hướng dẫn nghiệp vụ</v>
          </cell>
          <cell r="M58" t="str">
            <v>Số lượng thông báo, hướng dẫn nghiệp vụ đã ban hành</v>
          </cell>
          <cell r="N58">
            <v>4</v>
          </cell>
          <cell r="O58">
            <v>0</v>
          </cell>
          <cell r="P58">
            <v>4</v>
          </cell>
          <cell r="Q58">
            <v>0</v>
          </cell>
          <cell r="R58">
            <v>0</v>
          </cell>
          <cell r="S58">
            <v>0</v>
          </cell>
          <cell r="T58">
            <v>2</v>
          </cell>
          <cell r="V58">
            <v>0</v>
          </cell>
        </row>
        <row r="66">
          <cell r="H66" t="str">
            <v>Khác_GS&amp;XLTST&amp;NHĐT</v>
          </cell>
          <cell r="M66" t="str">
            <v>Số lần TCTQT yêu cầu tăng giá trị ký quỹ</v>
          </cell>
          <cell r="N66">
            <v>4</v>
          </cell>
          <cell r="O66">
            <v>0</v>
          </cell>
          <cell r="P66">
            <v>12</v>
          </cell>
          <cell r="Q66">
            <v>0</v>
          </cell>
          <cell r="R66">
            <v>0</v>
          </cell>
          <cell r="S66">
            <v>0</v>
          </cell>
          <cell r="V66">
            <v>0</v>
          </cell>
        </row>
        <row r="69">
          <cell r="H69" t="str">
            <v>Khác_GS&amp;XLTST&amp;NHĐT</v>
          </cell>
          <cell r="R69">
            <v>0</v>
          </cell>
          <cell r="S69">
            <v>0</v>
          </cell>
          <cell r="V69">
            <v>0</v>
          </cell>
        </row>
        <row r="70">
          <cell r="H70" t="str">
            <v>Khác_GS&amp;XLTST&amp;NHĐT</v>
          </cell>
          <cell r="S70">
            <v>0</v>
          </cell>
          <cell r="V70">
            <v>0</v>
          </cell>
        </row>
      </sheetData>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B2343"/>
  <sheetViews>
    <sheetView workbookViewId="0">
      <selection activeCell="M1841" sqref="A1:XFD1048576"/>
    </sheetView>
  </sheetViews>
  <sheetFormatPr defaultColWidth="9.140625" defaultRowHeight="15" x14ac:dyDescent="0.25"/>
  <cols>
    <col min="1" max="2" width="9.140625" style="16" customWidth="1"/>
    <col min="3" max="3" width="9.140625" style="16"/>
    <col min="4" max="4" width="6.7109375" style="16" customWidth="1"/>
    <col min="5" max="5" width="18.85546875" style="16" customWidth="1"/>
    <col min="6" max="6" width="9.140625" style="16"/>
    <col min="7" max="7" width="6.85546875" style="16" customWidth="1"/>
    <col min="8" max="8" width="24.5703125" style="16" customWidth="1"/>
    <col min="9" max="9" width="7" style="16" customWidth="1"/>
    <col min="10" max="10" width="28.85546875" style="16" customWidth="1"/>
    <col min="11" max="11" width="7.140625" style="16" customWidth="1"/>
    <col min="12" max="12" width="40.5703125" style="17" customWidth="1"/>
    <col min="13" max="13" width="21.7109375" style="17" customWidth="1"/>
    <col min="14" max="14" width="14.42578125" style="17" customWidth="1"/>
    <col min="15" max="21" width="10" style="17" bestFit="1" customWidth="1"/>
    <col min="22" max="22" width="9.140625" style="17" customWidth="1"/>
    <col min="23" max="23" width="9.28515625" style="17" bestFit="1" customWidth="1"/>
    <col min="24" max="25" width="9.140625" style="17"/>
    <col min="26" max="26" width="17.5703125" style="17" customWidth="1"/>
    <col min="27" max="27" width="36.42578125" style="17" customWidth="1"/>
    <col min="28" max="16384" width="9.140625" style="16"/>
  </cols>
  <sheetData>
    <row r="1" spans="1:27" x14ac:dyDescent="0.25">
      <c r="A1" s="15" t="s">
        <v>4033</v>
      </c>
    </row>
    <row r="2" spans="1:27" x14ac:dyDescent="0.25">
      <c r="A2" s="332" t="s">
        <v>4032</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row>
    <row r="3" spans="1:27" s="19" customFormat="1" ht="15" customHeight="1" x14ac:dyDescent="0.2">
      <c r="A3" s="333" t="s">
        <v>4031</v>
      </c>
      <c r="B3" s="333" t="s">
        <v>4030</v>
      </c>
      <c r="C3" s="333" t="s">
        <v>4029</v>
      </c>
      <c r="D3" s="333" t="s">
        <v>4028</v>
      </c>
      <c r="E3" s="333" t="s">
        <v>4027</v>
      </c>
      <c r="F3" s="333" t="s">
        <v>4026</v>
      </c>
      <c r="G3" s="333" t="s">
        <v>4019</v>
      </c>
      <c r="H3" s="333" t="s">
        <v>4018</v>
      </c>
      <c r="I3" s="333" t="s">
        <v>4017</v>
      </c>
      <c r="J3" s="333" t="s">
        <v>4016</v>
      </c>
      <c r="K3" s="333" t="s">
        <v>4025</v>
      </c>
      <c r="L3" s="334" t="s">
        <v>4024</v>
      </c>
      <c r="M3" s="334" t="s">
        <v>4023</v>
      </c>
      <c r="N3" s="334" t="s">
        <v>4035</v>
      </c>
      <c r="O3" s="334" t="s">
        <v>4022</v>
      </c>
      <c r="P3" s="334"/>
      <c r="Q3" s="334"/>
      <c r="R3" s="334"/>
      <c r="S3" s="334"/>
      <c r="T3" s="334"/>
      <c r="U3" s="335"/>
      <c r="V3" s="334"/>
      <c r="W3" s="334" t="s">
        <v>4021</v>
      </c>
      <c r="X3" s="334"/>
      <c r="Y3" s="334"/>
      <c r="Z3" s="336" t="s">
        <v>4020</v>
      </c>
      <c r="AA3" s="337" t="s">
        <v>4034</v>
      </c>
    </row>
    <row r="4" spans="1:27" s="19" customFormat="1" ht="31.5" x14ac:dyDescent="0.2">
      <c r="A4" s="333"/>
      <c r="B4" s="333"/>
      <c r="C4" s="333"/>
      <c r="D4" s="333"/>
      <c r="E4" s="333"/>
      <c r="F4" s="333"/>
      <c r="G4" s="333"/>
      <c r="H4" s="333"/>
      <c r="I4" s="333"/>
      <c r="J4" s="333"/>
      <c r="K4" s="333"/>
      <c r="L4" s="334"/>
      <c r="M4" s="334"/>
      <c r="N4" s="334"/>
      <c r="O4" s="20" t="s">
        <v>4015</v>
      </c>
      <c r="P4" s="21" t="s">
        <v>4014</v>
      </c>
      <c r="Q4" s="21" t="s">
        <v>4013</v>
      </c>
      <c r="R4" s="21" t="s">
        <v>4012</v>
      </c>
      <c r="S4" s="21" t="s">
        <v>4011</v>
      </c>
      <c r="T4" s="21" t="s">
        <v>4010</v>
      </c>
      <c r="U4" s="22" t="s">
        <v>4009</v>
      </c>
      <c r="V4" s="23" t="s">
        <v>4008</v>
      </c>
      <c r="W4" s="21" t="s">
        <v>4007</v>
      </c>
      <c r="X4" s="21" t="s">
        <v>3503</v>
      </c>
      <c r="Y4" s="21" t="s">
        <v>4006</v>
      </c>
      <c r="Z4" s="336"/>
      <c r="AA4" s="337"/>
    </row>
    <row r="5" spans="1:27" s="28" customFormat="1" ht="82.5" customHeight="1" x14ac:dyDescent="0.25">
      <c r="A5" s="24">
        <v>1</v>
      </c>
      <c r="B5" s="24" t="s">
        <v>3437</v>
      </c>
      <c r="C5" s="25" t="s">
        <v>3436</v>
      </c>
      <c r="D5" s="26" t="s">
        <v>3834</v>
      </c>
      <c r="E5" s="25" t="s">
        <v>3833</v>
      </c>
      <c r="F5" s="25" t="s">
        <v>3832</v>
      </c>
      <c r="G5" s="24"/>
      <c r="H5" s="25" t="s">
        <v>3963</v>
      </c>
      <c r="I5" s="27"/>
      <c r="J5" s="28" t="s">
        <v>3980</v>
      </c>
      <c r="K5" s="29"/>
      <c r="L5" s="29" t="s">
        <v>4005</v>
      </c>
      <c r="M5" s="25" t="s">
        <v>4003</v>
      </c>
      <c r="N5" s="30">
        <v>2</v>
      </c>
      <c r="O5" s="31">
        <v>450</v>
      </c>
      <c r="P5" s="31">
        <v>630</v>
      </c>
      <c r="Q5" s="31"/>
      <c r="R5" s="31"/>
      <c r="S5" s="31">
        <v>80</v>
      </c>
      <c r="T5" s="31"/>
      <c r="U5" s="31">
        <f>SUM(O5:T5)</f>
        <v>1160</v>
      </c>
      <c r="V5" s="31"/>
      <c r="W5" s="32" t="s">
        <v>198</v>
      </c>
      <c r="X5" s="32" t="s">
        <v>3076</v>
      </c>
      <c r="Y5" s="32" t="s">
        <v>3841</v>
      </c>
      <c r="Z5" s="33" t="s">
        <v>3958</v>
      </c>
      <c r="AA5" s="34"/>
    </row>
    <row r="6" spans="1:27" s="28" customFormat="1" ht="52.5" customHeight="1" x14ac:dyDescent="0.25">
      <c r="A6" s="24">
        <v>2</v>
      </c>
      <c r="B6" s="24" t="s">
        <v>3437</v>
      </c>
      <c r="C6" s="25" t="s">
        <v>3436</v>
      </c>
      <c r="D6" s="26" t="s">
        <v>3834</v>
      </c>
      <c r="E6" s="25" t="s">
        <v>3833</v>
      </c>
      <c r="F6" s="25" t="s">
        <v>3832</v>
      </c>
      <c r="G6" s="24"/>
      <c r="H6" s="25" t="s">
        <v>3963</v>
      </c>
      <c r="I6" s="27"/>
      <c r="J6" s="28" t="s">
        <v>3980</v>
      </c>
      <c r="K6" s="29"/>
      <c r="L6" s="29" t="s">
        <v>4004</v>
      </c>
      <c r="M6" s="25" t="s">
        <v>4003</v>
      </c>
      <c r="N6" s="30">
        <v>1</v>
      </c>
      <c r="O6" s="31">
        <v>600</v>
      </c>
      <c r="P6" s="31">
        <v>750</v>
      </c>
      <c r="Q6" s="31"/>
      <c r="R6" s="31"/>
      <c r="S6" s="31">
        <v>120</v>
      </c>
      <c r="T6" s="31"/>
      <c r="U6" s="31">
        <f t="shared" ref="U6:U69" si="0">SUM(O6:T6)</f>
        <v>1470</v>
      </c>
      <c r="V6" s="31"/>
      <c r="W6" s="32" t="s">
        <v>848</v>
      </c>
      <c r="X6" s="32" t="s">
        <v>3076</v>
      </c>
      <c r="Y6" s="32" t="s">
        <v>3841</v>
      </c>
      <c r="Z6" s="33" t="s">
        <v>3958</v>
      </c>
      <c r="AA6" s="34"/>
    </row>
    <row r="7" spans="1:27" s="28" customFormat="1" ht="52.5" customHeight="1" x14ac:dyDescent="0.25">
      <c r="A7" s="24">
        <v>3</v>
      </c>
      <c r="B7" s="24" t="s">
        <v>3437</v>
      </c>
      <c r="C7" s="25" t="s">
        <v>3436</v>
      </c>
      <c r="D7" s="26" t="s">
        <v>3834</v>
      </c>
      <c r="E7" s="25" t="s">
        <v>3833</v>
      </c>
      <c r="F7" s="25" t="s">
        <v>3832</v>
      </c>
      <c r="G7" s="24"/>
      <c r="H7" s="25" t="s">
        <v>3963</v>
      </c>
      <c r="I7" s="27"/>
      <c r="J7" s="28" t="s">
        <v>3980</v>
      </c>
      <c r="K7" s="29"/>
      <c r="L7" s="29" t="s">
        <v>4002</v>
      </c>
      <c r="M7" s="25" t="s">
        <v>59</v>
      </c>
      <c r="N7" s="30">
        <v>2</v>
      </c>
      <c r="O7" s="31"/>
      <c r="P7" s="31">
        <v>48</v>
      </c>
      <c r="Q7" s="31"/>
      <c r="R7" s="31"/>
      <c r="S7" s="31">
        <v>1</v>
      </c>
      <c r="T7" s="31"/>
      <c r="U7" s="31">
        <f t="shared" si="0"/>
        <v>49</v>
      </c>
      <c r="V7" s="31"/>
      <c r="W7" s="32" t="s">
        <v>848</v>
      </c>
      <c r="X7" s="32" t="s">
        <v>3076</v>
      </c>
      <c r="Y7" s="32" t="s">
        <v>3841</v>
      </c>
      <c r="Z7" s="29" t="s">
        <v>1008</v>
      </c>
      <c r="AA7" s="34"/>
    </row>
    <row r="8" spans="1:27" s="28" customFormat="1" ht="52.5" customHeight="1" x14ac:dyDescent="0.25">
      <c r="A8" s="24">
        <v>4</v>
      </c>
      <c r="B8" s="24" t="s">
        <v>3437</v>
      </c>
      <c r="C8" s="25" t="s">
        <v>3436</v>
      </c>
      <c r="D8" s="26" t="s">
        <v>3834</v>
      </c>
      <c r="E8" s="25" t="s">
        <v>3833</v>
      </c>
      <c r="F8" s="25" t="s">
        <v>3832</v>
      </c>
      <c r="G8" s="24"/>
      <c r="H8" s="25" t="s">
        <v>3963</v>
      </c>
      <c r="I8" s="27"/>
      <c r="J8" s="28" t="s">
        <v>3980</v>
      </c>
      <c r="K8" s="29"/>
      <c r="L8" s="29" t="s">
        <v>4001</v>
      </c>
      <c r="M8" s="25" t="s">
        <v>59</v>
      </c>
      <c r="N8" s="30">
        <v>5</v>
      </c>
      <c r="O8" s="31">
        <v>80</v>
      </c>
      <c r="P8" s="31">
        <v>8</v>
      </c>
      <c r="Q8" s="31"/>
      <c r="R8" s="31"/>
      <c r="S8" s="31">
        <v>4</v>
      </c>
      <c r="T8" s="31"/>
      <c r="U8" s="31">
        <f t="shared" si="0"/>
        <v>92</v>
      </c>
      <c r="V8" s="31"/>
      <c r="W8" s="32" t="s">
        <v>848</v>
      </c>
      <c r="X8" s="32" t="s">
        <v>3076</v>
      </c>
      <c r="Y8" s="32" t="s">
        <v>3841</v>
      </c>
      <c r="Z8" s="29" t="s">
        <v>1008</v>
      </c>
      <c r="AA8" s="34"/>
    </row>
    <row r="9" spans="1:27" s="28" customFormat="1" ht="52.5" customHeight="1" x14ac:dyDescent="0.25">
      <c r="A9" s="24">
        <v>5</v>
      </c>
      <c r="B9" s="24" t="s">
        <v>3437</v>
      </c>
      <c r="C9" s="25" t="s">
        <v>3436</v>
      </c>
      <c r="D9" s="26" t="s">
        <v>3834</v>
      </c>
      <c r="E9" s="25" t="s">
        <v>3833</v>
      </c>
      <c r="F9" s="25" t="s">
        <v>3832</v>
      </c>
      <c r="G9" s="24"/>
      <c r="H9" s="25" t="s">
        <v>3963</v>
      </c>
      <c r="I9" s="27"/>
      <c r="J9" s="28" t="s">
        <v>3980</v>
      </c>
      <c r="K9" s="29"/>
      <c r="L9" s="29" t="s">
        <v>4000</v>
      </c>
      <c r="M9" s="25" t="s">
        <v>3998</v>
      </c>
      <c r="N9" s="30">
        <v>10</v>
      </c>
      <c r="O9" s="35">
        <v>4</v>
      </c>
      <c r="P9" s="35">
        <v>0.5</v>
      </c>
      <c r="Q9" s="31"/>
      <c r="R9" s="31"/>
      <c r="S9" s="31">
        <v>0.1</v>
      </c>
      <c r="T9" s="31"/>
      <c r="U9" s="31">
        <f t="shared" si="0"/>
        <v>4.5999999999999996</v>
      </c>
      <c r="V9" s="31"/>
      <c r="W9" s="32" t="s">
        <v>848</v>
      </c>
      <c r="X9" s="32" t="s">
        <v>3953</v>
      </c>
      <c r="Y9" s="32" t="s">
        <v>3841</v>
      </c>
      <c r="Z9" s="29" t="s">
        <v>1008</v>
      </c>
      <c r="AA9" s="34"/>
    </row>
    <row r="10" spans="1:27" s="28" customFormat="1" ht="48" customHeight="1" x14ac:dyDescent="0.25">
      <c r="A10" s="24">
        <v>6</v>
      </c>
      <c r="B10" s="24" t="s">
        <v>3437</v>
      </c>
      <c r="C10" s="25" t="s">
        <v>3436</v>
      </c>
      <c r="D10" s="26" t="s">
        <v>3834</v>
      </c>
      <c r="E10" s="25" t="s">
        <v>3833</v>
      </c>
      <c r="F10" s="25" t="s">
        <v>3832</v>
      </c>
      <c r="G10" s="24"/>
      <c r="H10" s="25" t="s">
        <v>3963</v>
      </c>
      <c r="I10" s="27"/>
      <c r="J10" s="28" t="s">
        <v>3980</v>
      </c>
      <c r="K10" s="29"/>
      <c r="L10" s="29" t="s">
        <v>3999</v>
      </c>
      <c r="M10" s="25" t="s">
        <v>3998</v>
      </c>
      <c r="N10" s="30">
        <v>5</v>
      </c>
      <c r="O10" s="35">
        <v>8</v>
      </c>
      <c r="P10" s="35">
        <v>0.5</v>
      </c>
      <c r="Q10" s="31"/>
      <c r="R10" s="31"/>
      <c r="S10" s="31">
        <v>0.1</v>
      </c>
      <c r="T10" s="31"/>
      <c r="U10" s="31">
        <f t="shared" si="0"/>
        <v>8.6</v>
      </c>
      <c r="V10" s="31"/>
      <c r="W10" s="32" t="s">
        <v>848</v>
      </c>
      <c r="X10" s="32" t="s">
        <v>3921</v>
      </c>
      <c r="Y10" s="32" t="s">
        <v>3841</v>
      </c>
      <c r="Z10" s="29" t="s">
        <v>1008</v>
      </c>
      <c r="AA10" s="34"/>
    </row>
    <row r="11" spans="1:27" s="28" customFormat="1" ht="33" customHeight="1" x14ac:dyDescent="0.25">
      <c r="A11" s="24">
        <v>7</v>
      </c>
      <c r="B11" s="24" t="s">
        <v>3437</v>
      </c>
      <c r="C11" s="25" t="s">
        <v>3436</v>
      </c>
      <c r="D11" s="26" t="s">
        <v>3834</v>
      </c>
      <c r="E11" s="25" t="s">
        <v>3833</v>
      </c>
      <c r="F11" s="25" t="s">
        <v>3832</v>
      </c>
      <c r="G11" s="24"/>
      <c r="H11" s="25" t="s">
        <v>3963</v>
      </c>
      <c r="I11" s="27"/>
      <c r="J11" s="28" t="s">
        <v>3980</v>
      </c>
      <c r="K11" s="29"/>
      <c r="L11" s="29" t="s">
        <v>3997</v>
      </c>
      <c r="M11" s="25" t="s">
        <v>3996</v>
      </c>
      <c r="N11" s="30">
        <v>10</v>
      </c>
      <c r="O11" s="31">
        <v>30</v>
      </c>
      <c r="P11" s="31">
        <v>30</v>
      </c>
      <c r="Q11" s="31"/>
      <c r="R11" s="31"/>
      <c r="S11" s="31">
        <v>8</v>
      </c>
      <c r="T11" s="31"/>
      <c r="U11" s="31">
        <f t="shared" si="0"/>
        <v>68</v>
      </c>
      <c r="V11" s="31"/>
      <c r="W11" s="32" t="s">
        <v>848</v>
      </c>
      <c r="X11" s="32" t="s">
        <v>3995</v>
      </c>
      <c r="Y11" s="32" t="s">
        <v>3841</v>
      </c>
      <c r="Z11" s="29" t="s">
        <v>1008</v>
      </c>
      <c r="AA11" s="34"/>
    </row>
    <row r="12" spans="1:27" s="28" customFormat="1" ht="50.25" customHeight="1" x14ac:dyDescent="0.25">
      <c r="A12" s="24">
        <v>8</v>
      </c>
      <c r="B12" s="24" t="s">
        <v>3437</v>
      </c>
      <c r="C12" s="25" t="s">
        <v>3436</v>
      </c>
      <c r="D12" s="26" t="s">
        <v>3834</v>
      </c>
      <c r="E12" s="25" t="s">
        <v>3833</v>
      </c>
      <c r="F12" s="25" t="s">
        <v>3832</v>
      </c>
      <c r="G12" s="24"/>
      <c r="H12" s="25" t="s">
        <v>3963</v>
      </c>
      <c r="I12" s="27"/>
      <c r="J12" s="28" t="s">
        <v>3980</v>
      </c>
      <c r="K12" s="29"/>
      <c r="L12" s="29" t="s">
        <v>3994</v>
      </c>
      <c r="M12" s="25" t="s">
        <v>3991</v>
      </c>
      <c r="N12" s="30">
        <v>1</v>
      </c>
      <c r="O12" s="31"/>
      <c r="P12" s="31">
        <v>100</v>
      </c>
      <c r="Q12" s="31"/>
      <c r="R12" s="31"/>
      <c r="S12" s="31">
        <v>8</v>
      </c>
      <c r="T12" s="31"/>
      <c r="U12" s="31">
        <f t="shared" si="0"/>
        <v>108</v>
      </c>
      <c r="V12" s="31"/>
      <c r="W12" s="32" t="s">
        <v>22</v>
      </c>
      <c r="X12" s="32" t="s">
        <v>3921</v>
      </c>
      <c r="Y12" s="32" t="s">
        <v>3993</v>
      </c>
      <c r="Z12" s="29" t="s">
        <v>1008</v>
      </c>
      <c r="AA12" s="34"/>
    </row>
    <row r="13" spans="1:27" s="28" customFormat="1" ht="100.5" customHeight="1" x14ac:dyDescent="0.25">
      <c r="A13" s="24">
        <v>9</v>
      </c>
      <c r="B13" s="24" t="s">
        <v>3437</v>
      </c>
      <c r="C13" s="25" t="s">
        <v>3436</v>
      </c>
      <c r="D13" s="26" t="s">
        <v>3834</v>
      </c>
      <c r="E13" s="25" t="s">
        <v>3833</v>
      </c>
      <c r="F13" s="25" t="s">
        <v>3832</v>
      </c>
      <c r="G13" s="24"/>
      <c r="H13" s="25" t="s">
        <v>3963</v>
      </c>
      <c r="I13" s="27"/>
      <c r="J13" s="28" t="s">
        <v>3980</v>
      </c>
      <c r="K13" s="29"/>
      <c r="L13" s="32" t="s">
        <v>3992</v>
      </c>
      <c r="M13" s="36" t="s">
        <v>3991</v>
      </c>
      <c r="N13" s="30">
        <v>9</v>
      </c>
      <c r="O13" s="31">
        <v>45</v>
      </c>
      <c r="P13" s="31">
        <v>135</v>
      </c>
      <c r="Q13" s="31"/>
      <c r="R13" s="31"/>
      <c r="S13" s="31">
        <v>8</v>
      </c>
      <c r="T13" s="31"/>
      <c r="U13" s="31">
        <f t="shared" si="0"/>
        <v>188</v>
      </c>
      <c r="V13" s="31"/>
      <c r="W13" s="32" t="s">
        <v>848</v>
      </c>
      <c r="X13" s="32" t="s">
        <v>3921</v>
      </c>
      <c r="Y13" s="32" t="s">
        <v>3841</v>
      </c>
      <c r="Z13" s="33" t="s">
        <v>1008</v>
      </c>
      <c r="AA13" s="34"/>
    </row>
    <row r="14" spans="1:27" s="28" customFormat="1" ht="57" customHeight="1" x14ac:dyDescent="0.25">
      <c r="A14" s="24">
        <v>10</v>
      </c>
      <c r="B14" s="24" t="s">
        <v>3437</v>
      </c>
      <c r="C14" s="25" t="s">
        <v>3436</v>
      </c>
      <c r="D14" s="26" t="s">
        <v>3834</v>
      </c>
      <c r="E14" s="25" t="s">
        <v>3833</v>
      </c>
      <c r="F14" s="25" t="s">
        <v>3832</v>
      </c>
      <c r="G14" s="24"/>
      <c r="H14" s="25" t="s">
        <v>3963</v>
      </c>
      <c r="I14" s="27"/>
      <c r="J14" s="28" t="s">
        <v>3980</v>
      </c>
      <c r="K14" s="29"/>
      <c r="L14" s="33" t="s">
        <v>3990</v>
      </c>
      <c r="M14" s="37" t="s">
        <v>190</v>
      </c>
      <c r="N14" s="30">
        <v>40</v>
      </c>
      <c r="O14" s="31">
        <v>2.25</v>
      </c>
      <c r="P14" s="31">
        <v>5</v>
      </c>
      <c r="Q14" s="31"/>
      <c r="R14" s="31"/>
      <c r="S14" s="31">
        <v>0.5</v>
      </c>
      <c r="T14" s="31"/>
      <c r="U14" s="31">
        <f t="shared" si="0"/>
        <v>7.75</v>
      </c>
      <c r="V14" s="31"/>
      <c r="W14" s="32" t="s">
        <v>22</v>
      </c>
      <c r="X14" s="32"/>
      <c r="Y14" s="32" t="s">
        <v>3841</v>
      </c>
      <c r="Z14" s="29" t="s">
        <v>1008</v>
      </c>
      <c r="AA14" s="34"/>
    </row>
    <row r="15" spans="1:27" s="28" customFormat="1" ht="39.75" customHeight="1" x14ac:dyDescent="0.25">
      <c r="A15" s="24">
        <v>11</v>
      </c>
      <c r="B15" s="24" t="s">
        <v>3437</v>
      </c>
      <c r="C15" s="25" t="s">
        <v>3436</v>
      </c>
      <c r="D15" s="26" t="s">
        <v>3834</v>
      </c>
      <c r="E15" s="25" t="s">
        <v>3833</v>
      </c>
      <c r="F15" s="25" t="s">
        <v>3832</v>
      </c>
      <c r="G15" s="24"/>
      <c r="H15" s="25" t="s">
        <v>3963</v>
      </c>
      <c r="I15" s="27"/>
      <c r="J15" s="28" t="s">
        <v>3980</v>
      </c>
      <c r="K15" s="29"/>
      <c r="L15" s="33" t="s">
        <v>3989</v>
      </c>
      <c r="M15" s="37" t="s">
        <v>190</v>
      </c>
      <c r="N15" s="30">
        <v>30</v>
      </c>
      <c r="O15" s="31">
        <v>2.6666666666666665</v>
      </c>
      <c r="P15" s="31">
        <v>1</v>
      </c>
      <c r="Q15" s="31"/>
      <c r="R15" s="31"/>
      <c r="S15" s="31">
        <v>0.5</v>
      </c>
      <c r="T15" s="31"/>
      <c r="U15" s="31">
        <f t="shared" si="0"/>
        <v>4.1666666666666661</v>
      </c>
      <c r="V15" s="31"/>
      <c r="W15" s="32" t="s">
        <v>22</v>
      </c>
      <c r="X15" s="32"/>
      <c r="Y15" s="32" t="s">
        <v>3841</v>
      </c>
      <c r="Z15" s="29" t="s">
        <v>1008</v>
      </c>
      <c r="AA15" s="34"/>
    </row>
    <row r="16" spans="1:27" s="28" customFormat="1" ht="55.5" customHeight="1" x14ac:dyDescent="0.25">
      <c r="A16" s="24">
        <v>12</v>
      </c>
      <c r="B16" s="24" t="s">
        <v>3437</v>
      </c>
      <c r="C16" s="25" t="s">
        <v>3436</v>
      </c>
      <c r="D16" s="26" t="s">
        <v>3834</v>
      </c>
      <c r="E16" s="25" t="s">
        <v>3833</v>
      </c>
      <c r="F16" s="25" t="s">
        <v>3832</v>
      </c>
      <c r="G16" s="24"/>
      <c r="H16" s="25" t="s">
        <v>3963</v>
      </c>
      <c r="I16" s="27"/>
      <c r="J16" s="28" t="s">
        <v>3980</v>
      </c>
      <c r="K16" s="29"/>
      <c r="L16" s="38" t="s">
        <v>3988</v>
      </c>
      <c r="M16" s="25" t="s">
        <v>301</v>
      </c>
      <c r="N16" s="30">
        <v>5</v>
      </c>
      <c r="O16" s="31"/>
      <c r="P16" s="31">
        <v>24</v>
      </c>
      <c r="Q16" s="31"/>
      <c r="R16" s="31"/>
      <c r="S16" s="31">
        <v>4</v>
      </c>
      <c r="T16" s="31"/>
      <c r="U16" s="31">
        <f t="shared" si="0"/>
        <v>28</v>
      </c>
      <c r="V16" s="31"/>
      <c r="W16" s="32" t="s">
        <v>54</v>
      </c>
      <c r="X16" s="32" t="s">
        <v>3953</v>
      </c>
      <c r="Y16" s="32" t="s">
        <v>3841</v>
      </c>
      <c r="Z16" s="38" t="s">
        <v>3488</v>
      </c>
      <c r="AA16" s="34"/>
    </row>
    <row r="17" spans="1:27" s="28" customFormat="1" ht="78.75" x14ac:dyDescent="0.25">
      <c r="A17" s="24">
        <v>13</v>
      </c>
      <c r="B17" s="24" t="s">
        <v>3437</v>
      </c>
      <c r="C17" s="25" t="s">
        <v>3436</v>
      </c>
      <c r="D17" s="26" t="s">
        <v>3834</v>
      </c>
      <c r="E17" s="25" t="s">
        <v>3833</v>
      </c>
      <c r="F17" s="25" t="s">
        <v>3832</v>
      </c>
      <c r="G17" s="24"/>
      <c r="H17" s="25" t="s">
        <v>3963</v>
      </c>
      <c r="I17" s="27"/>
      <c r="J17" s="28" t="s">
        <v>3980</v>
      </c>
      <c r="K17" s="29"/>
      <c r="L17" s="38" t="s">
        <v>3987</v>
      </c>
      <c r="M17" s="25" t="s">
        <v>301</v>
      </c>
      <c r="N17" s="30">
        <v>15</v>
      </c>
      <c r="O17" s="31">
        <v>48</v>
      </c>
      <c r="P17" s="31">
        <v>4</v>
      </c>
      <c r="Q17" s="31"/>
      <c r="R17" s="31"/>
      <c r="S17" s="31">
        <v>4</v>
      </c>
      <c r="T17" s="31"/>
      <c r="U17" s="31">
        <f t="shared" si="0"/>
        <v>56</v>
      </c>
      <c r="V17" s="31"/>
      <c r="W17" s="32" t="s">
        <v>54</v>
      </c>
      <c r="X17" s="32" t="s">
        <v>3953</v>
      </c>
      <c r="Y17" s="32" t="s">
        <v>3841</v>
      </c>
      <c r="Z17" s="38" t="s">
        <v>3488</v>
      </c>
      <c r="AA17" s="34"/>
    </row>
    <row r="18" spans="1:27" s="28" customFormat="1" ht="58.5" customHeight="1" x14ac:dyDescent="0.25">
      <c r="A18" s="24">
        <v>14</v>
      </c>
      <c r="B18" s="24" t="s">
        <v>3437</v>
      </c>
      <c r="C18" s="25" t="s">
        <v>3436</v>
      </c>
      <c r="D18" s="26" t="s">
        <v>3834</v>
      </c>
      <c r="E18" s="25" t="s">
        <v>3833</v>
      </c>
      <c r="F18" s="25" t="s">
        <v>3832</v>
      </c>
      <c r="G18" s="24"/>
      <c r="H18" s="25" t="s">
        <v>3963</v>
      </c>
      <c r="I18" s="27"/>
      <c r="J18" s="28" t="s">
        <v>3980</v>
      </c>
      <c r="K18" s="29"/>
      <c r="L18" s="38" t="s">
        <v>3986</v>
      </c>
      <c r="M18" s="36" t="s">
        <v>247</v>
      </c>
      <c r="N18" s="30">
        <v>4</v>
      </c>
      <c r="O18" s="31">
        <v>48</v>
      </c>
      <c r="P18" s="31">
        <v>88</v>
      </c>
      <c r="Q18" s="31"/>
      <c r="R18" s="31"/>
      <c r="S18" s="31">
        <v>2.5</v>
      </c>
      <c r="T18" s="31"/>
      <c r="U18" s="31">
        <f t="shared" si="0"/>
        <v>138.5</v>
      </c>
      <c r="V18" s="31"/>
      <c r="W18" s="32" t="s">
        <v>54</v>
      </c>
      <c r="X18" s="32" t="s">
        <v>3953</v>
      </c>
      <c r="Y18" s="32" t="s">
        <v>3841</v>
      </c>
      <c r="Z18" s="38" t="s">
        <v>3488</v>
      </c>
      <c r="AA18" s="34"/>
    </row>
    <row r="19" spans="1:27" s="28" customFormat="1" ht="78.75" x14ac:dyDescent="0.25">
      <c r="A19" s="24">
        <v>15</v>
      </c>
      <c r="B19" s="24" t="s">
        <v>3437</v>
      </c>
      <c r="C19" s="25" t="s">
        <v>3436</v>
      </c>
      <c r="D19" s="26" t="s">
        <v>3834</v>
      </c>
      <c r="E19" s="25" t="s">
        <v>3833</v>
      </c>
      <c r="F19" s="25" t="s">
        <v>3832</v>
      </c>
      <c r="G19" s="24"/>
      <c r="H19" s="25" t="s">
        <v>3963</v>
      </c>
      <c r="I19" s="27"/>
      <c r="J19" s="28" t="s">
        <v>3980</v>
      </c>
      <c r="K19" s="29"/>
      <c r="L19" s="38" t="s">
        <v>3985</v>
      </c>
      <c r="M19" s="25" t="s">
        <v>3845</v>
      </c>
      <c r="N19" s="39">
        <v>20</v>
      </c>
      <c r="O19" s="35">
        <v>33</v>
      </c>
      <c r="P19" s="35">
        <v>21.75</v>
      </c>
      <c r="Q19" s="31"/>
      <c r="R19" s="31"/>
      <c r="S19" s="35">
        <v>0.77500000000000002</v>
      </c>
      <c r="T19" s="31"/>
      <c r="U19" s="31">
        <f t="shared" si="0"/>
        <v>55.524999999999999</v>
      </c>
      <c r="V19" s="31"/>
      <c r="W19" s="32" t="s">
        <v>848</v>
      </c>
      <c r="X19" s="32" t="s">
        <v>3953</v>
      </c>
      <c r="Y19" s="32" t="s">
        <v>3841</v>
      </c>
      <c r="Z19" s="33" t="s">
        <v>3844</v>
      </c>
      <c r="AA19" s="34"/>
    </row>
    <row r="20" spans="1:27" s="28" customFormat="1" ht="72" customHeight="1" x14ac:dyDescent="0.25">
      <c r="A20" s="24">
        <v>16</v>
      </c>
      <c r="B20" s="24" t="s">
        <v>3437</v>
      </c>
      <c r="C20" s="25" t="s">
        <v>3436</v>
      </c>
      <c r="D20" s="26" t="s">
        <v>3834</v>
      </c>
      <c r="E20" s="25" t="s">
        <v>3833</v>
      </c>
      <c r="F20" s="25" t="s">
        <v>3832</v>
      </c>
      <c r="G20" s="24"/>
      <c r="H20" s="25" t="s">
        <v>3963</v>
      </c>
      <c r="I20" s="27"/>
      <c r="J20" s="28" t="s">
        <v>3980</v>
      </c>
      <c r="K20" s="29"/>
      <c r="L20" s="38" t="s">
        <v>3984</v>
      </c>
      <c r="M20" s="25" t="s">
        <v>1240</v>
      </c>
      <c r="N20" s="39">
        <v>9300</v>
      </c>
      <c r="O20" s="35">
        <v>0.1064516129032258</v>
      </c>
      <c r="P20" s="35">
        <v>0.14516129032258066</v>
      </c>
      <c r="Q20" s="31"/>
      <c r="R20" s="31"/>
      <c r="S20" s="35">
        <v>0</v>
      </c>
      <c r="T20" s="31"/>
      <c r="U20" s="31">
        <f t="shared" si="0"/>
        <v>0.25161290322580643</v>
      </c>
      <c r="V20" s="31"/>
      <c r="W20" s="32" t="s">
        <v>848</v>
      </c>
      <c r="X20" s="32" t="s">
        <v>3076</v>
      </c>
      <c r="Y20" s="32" t="s">
        <v>3841</v>
      </c>
      <c r="Z20" s="29" t="s">
        <v>1008</v>
      </c>
      <c r="AA20" s="34"/>
    </row>
    <row r="21" spans="1:27" s="28" customFormat="1" ht="29.25" customHeight="1" x14ac:dyDescent="0.25">
      <c r="A21" s="24">
        <v>17</v>
      </c>
      <c r="B21" s="24" t="s">
        <v>3437</v>
      </c>
      <c r="C21" s="25" t="s">
        <v>3436</v>
      </c>
      <c r="D21" s="26" t="s">
        <v>3834</v>
      </c>
      <c r="E21" s="25" t="s">
        <v>3833</v>
      </c>
      <c r="F21" s="25" t="s">
        <v>3832</v>
      </c>
      <c r="G21" s="24"/>
      <c r="H21" s="25" t="s">
        <v>3963</v>
      </c>
      <c r="I21" s="27"/>
      <c r="J21" s="28" t="s">
        <v>3980</v>
      </c>
      <c r="K21" s="29"/>
      <c r="L21" s="33" t="s">
        <v>3983</v>
      </c>
      <c r="M21" s="37" t="s">
        <v>1240</v>
      </c>
      <c r="N21" s="30">
        <v>20</v>
      </c>
      <c r="O21" s="31">
        <v>6</v>
      </c>
      <c r="P21" s="31">
        <v>12</v>
      </c>
      <c r="Q21" s="31"/>
      <c r="R21" s="31"/>
      <c r="S21" s="31">
        <v>0.5</v>
      </c>
      <c r="T21" s="31"/>
      <c r="U21" s="31">
        <f t="shared" si="0"/>
        <v>18.5</v>
      </c>
      <c r="V21" s="31"/>
      <c r="W21" s="32" t="s">
        <v>1239</v>
      </c>
      <c r="X21" s="32" t="s">
        <v>3953</v>
      </c>
      <c r="Y21" s="32" t="s">
        <v>3841</v>
      </c>
      <c r="Z21" s="29" t="s">
        <v>3981</v>
      </c>
      <c r="AA21" s="34"/>
    </row>
    <row r="22" spans="1:27" s="28" customFormat="1" ht="51.75" customHeight="1" x14ac:dyDescent="0.25">
      <c r="A22" s="24">
        <v>18</v>
      </c>
      <c r="B22" s="24" t="s">
        <v>3437</v>
      </c>
      <c r="C22" s="25" t="s">
        <v>3436</v>
      </c>
      <c r="D22" s="26" t="s">
        <v>3834</v>
      </c>
      <c r="E22" s="25" t="s">
        <v>3833</v>
      </c>
      <c r="F22" s="25" t="s">
        <v>3832</v>
      </c>
      <c r="G22" s="24"/>
      <c r="H22" s="25" t="s">
        <v>3963</v>
      </c>
      <c r="I22" s="27"/>
      <c r="J22" s="28" t="s">
        <v>3980</v>
      </c>
      <c r="K22" s="29"/>
      <c r="L22" s="29" t="s">
        <v>3982</v>
      </c>
      <c r="M22" s="25" t="s">
        <v>1240</v>
      </c>
      <c r="N22" s="30">
        <v>50</v>
      </c>
      <c r="O22" s="31">
        <v>4.8</v>
      </c>
      <c r="P22" s="31">
        <v>11.2</v>
      </c>
      <c r="Q22" s="31"/>
      <c r="R22" s="31"/>
      <c r="S22" s="31">
        <v>2</v>
      </c>
      <c r="T22" s="31"/>
      <c r="U22" s="31">
        <f t="shared" si="0"/>
        <v>18</v>
      </c>
      <c r="V22" s="31"/>
      <c r="W22" s="32" t="s">
        <v>3977</v>
      </c>
      <c r="X22" s="32" t="s">
        <v>3953</v>
      </c>
      <c r="Y22" s="32" t="s">
        <v>3841</v>
      </c>
      <c r="Z22" s="29" t="s">
        <v>3981</v>
      </c>
      <c r="AA22" s="34"/>
    </row>
    <row r="23" spans="1:27" s="28" customFormat="1" ht="21" customHeight="1" x14ac:dyDescent="0.25">
      <c r="A23" s="24">
        <v>19</v>
      </c>
      <c r="B23" s="24" t="s">
        <v>3437</v>
      </c>
      <c r="C23" s="25" t="s">
        <v>3436</v>
      </c>
      <c r="D23" s="26" t="s">
        <v>3834</v>
      </c>
      <c r="E23" s="25" t="s">
        <v>3833</v>
      </c>
      <c r="F23" s="25" t="s">
        <v>3832</v>
      </c>
      <c r="G23" s="24"/>
      <c r="H23" s="25" t="s">
        <v>3963</v>
      </c>
      <c r="I23" s="27"/>
      <c r="J23" s="28" t="s">
        <v>3980</v>
      </c>
      <c r="K23" s="29"/>
      <c r="L23" s="33" t="s">
        <v>3979</v>
      </c>
      <c r="M23" s="25" t="s">
        <v>3978</v>
      </c>
      <c r="N23" s="30">
        <v>50</v>
      </c>
      <c r="O23" s="31">
        <v>1.6</v>
      </c>
      <c r="P23" s="31">
        <v>9.6</v>
      </c>
      <c r="Q23" s="31"/>
      <c r="R23" s="31"/>
      <c r="S23" s="31">
        <v>4</v>
      </c>
      <c r="T23" s="31"/>
      <c r="U23" s="31">
        <f t="shared" si="0"/>
        <v>15.2</v>
      </c>
      <c r="V23" s="31"/>
      <c r="W23" s="32" t="s">
        <v>3977</v>
      </c>
      <c r="X23" s="32" t="s">
        <v>3953</v>
      </c>
      <c r="Y23" s="32" t="s">
        <v>3841</v>
      </c>
      <c r="Z23" s="29" t="s">
        <v>3119</v>
      </c>
      <c r="AA23" s="34"/>
    </row>
    <row r="24" spans="1:27" s="28" customFormat="1" ht="78.75" x14ac:dyDescent="0.25">
      <c r="A24" s="24">
        <v>20</v>
      </c>
      <c r="B24" s="24" t="s">
        <v>3437</v>
      </c>
      <c r="C24" s="25" t="s">
        <v>3436</v>
      </c>
      <c r="D24" s="26" t="s">
        <v>3834</v>
      </c>
      <c r="E24" s="25" t="s">
        <v>3833</v>
      </c>
      <c r="F24" s="25" t="s">
        <v>3832</v>
      </c>
      <c r="G24" s="24"/>
      <c r="H24" s="25" t="s">
        <v>3963</v>
      </c>
      <c r="I24" s="27"/>
      <c r="J24" s="28" t="s">
        <v>3971</v>
      </c>
      <c r="K24" s="29"/>
      <c r="L24" s="33" t="s">
        <v>3976</v>
      </c>
      <c r="M24" s="36" t="s">
        <v>402</v>
      </c>
      <c r="N24" s="30">
        <v>1</v>
      </c>
      <c r="O24" s="31">
        <v>0</v>
      </c>
      <c r="P24" s="35">
        <v>4</v>
      </c>
      <c r="Q24" s="35"/>
      <c r="R24" s="35"/>
      <c r="S24" s="35">
        <v>1</v>
      </c>
      <c r="T24" s="31"/>
      <c r="U24" s="31">
        <f t="shared" si="0"/>
        <v>5</v>
      </c>
      <c r="V24" s="31"/>
      <c r="W24" s="41" t="s">
        <v>848</v>
      </c>
      <c r="X24" s="41" t="s">
        <v>44</v>
      </c>
      <c r="Y24" s="41" t="s">
        <v>3841</v>
      </c>
      <c r="Z24" s="29" t="s">
        <v>1008</v>
      </c>
      <c r="AA24" s="34"/>
    </row>
    <row r="25" spans="1:27" s="28" customFormat="1" ht="78.75" x14ac:dyDescent="0.25">
      <c r="A25" s="24">
        <v>21</v>
      </c>
      <c r="B25" s="24" t="s">
        <v>3437</v>
      </c>
      <c r="C25" s="25" t="s">
        <v>3436</v>
      </c>
      <c r="D25" s="26" t="s">
        <v>3834</v>
      </c>
      <c r="E25" s="25" t="s">
        <v>3833</v>
      </c>
      <c r="F25" s="25" t="s">
        <v>3832</v>
      </c>
      <c r="G25" s="24"/>
      <c r="H25" s="25" t="s">
        <v>3963</v>
      </c>
      <c r="I25" s="27"/>
      <c r="J25" s="28" t="s">
        <v>3971</v>
      </c>
      <c r="K25" s="29"/>
      <c r="L25" s="33" t="s">
        <v>3975</v>
      </c>
      <c r="M25" s="36" t="s">
        <v>402</v>
      </c>
      <c r="N25" s="30">
        <v>4</v>
      </c>
      <c r="O25" s="31">
        <v>2</v>
      </c>
      <c r="P25" s="35"/>
      <c r="Q25" s="31"/>
      <c r="R25" s="31"/>
      <c r="S25" s="31">
        <f>N25*0.3</f>
        <v>1.2</v>
      </c>
      <c r="T25" s="31"/>
      <c r="U25" s="31">
        <f t="shared" si="0"/>
        <v>3.2</v>
      </c>
      <c r="V25" s="31"/>
      <c r="W25" s="41" t="s">
        <v>848</v>
      </c>
      <c r="X25" s="41" t="s">
        <v>44</v>
      </c>
      <c r="Y25" s="41" t="s">
        <v>3841</v>
      </c>
      <c r="Z25" s="29" t="s">
        <v>1008</v>
      </c>
      <c r="AA25" s="34"/>
    </row>
    <row r="26" spans="1:27" s="28" customFormat="1" ht="78.75" x14ac:dyDescent="0.25">
      <c r="A26" s="24">
        <v>22</v>
      </c>
      <c r="B26" s="24" t="s">
        <v>3437</v>
      </c>
      <c r="C26" s="25" t="s">
        <v>3436</v>
      </c>
      <c r="D26" s="26" t="s">
        <v>3834</v>
      </c>
      <c r="E26" s="25" t="s">
        <v>3833</v>
      </c>
      <c r="F26" s="25" t="s">
        <v>3832</v>
      </c>
      <c r="G26" s="24"/>
      <c r="H26" s="25" t="s">
        <v>3963</v>
      </c>
      <c r="I26" s="27"/>
      <c r="J26" s="28" t="s">
        <v>3971</v>
      </c>
      <c r="K26" s="29"/>
      <c r="L26" s="33" t="s">
        <v>3974</v>
      </c>
      <c r="M26" s="36" t="s">
        <v>402</v>
      </c>
      <c r="N26" s="30">
        <v>1</v>
      </c>
      <c r="O26" s="31">
        <v>0</v>
      </c>
      <c r="P26" s="35">
        <v>4</v>
      </c>
      <c r="Q26" s="31"/>
      <c r="R26" s="31"/>
      <c r="S26" s="31">
        <v>0.5</v>
      </c>
      <c r="T26" s="31"/>
      <c r="U26" s="31">
        <f t="shared" si="0"/>
        <v>4.5</v>
      </c>
      <c r="V26" s="31"/>
      <c r="W26" s="41" t="s">
        <v>848</v>
      </c>
      <c r="X26" s="41" t="s">
        <v>44</v>
      </c>
      <c r="Y26" s="41" t="s">
        <v>3841</v>
      </c>
      <c r="Z26" s="29" t="s">
        <v>1008</v>
      </c>
      <c r="AA26" s="34"/>
    </row>
    <row r="27" spans="1:27" s="28" customFormat="1" ht="78.75" x14ac:dyDescent="0.25">
      <c r="A27" s="24">
        <v>23</v>
      </c>
      <c r="B27" s="24" t="s">
        <v>3437</v>
      </c>
      <c r="C27" s="25" t="s">
        <v>3436</v>
      </c>
      <c r="D27" s="26" t="s">
        <v>3834</v>
      </c>
      <c r="E27" s="25" t="s">
        <v>3833</v>
      </c>
      <c r="F27" s="25" t="s">
        <v>3832</v>
      </c>
      <c r="G27" s="24"/>
      <c r="H27" s="25" t="s">
        <v>3963</v>
      </c>
      <c r="I27" s="27"/>
      <c r="J27" s="28" t="s">
        <v>3971</v>
      </c>
      <c r="K27" s="29"/>
      <c r="L27" s="33" t="s">
        <v>3973</v>
      </c>
      <c r="M27" s="36" t="s">
        <v>3908</v>
      </c>
      <c r="N27" s="30">
        <v>50</v>
      </c>
      <c r="O27" s="31">
        <v>2</v>
      </c>
      <c r="P27" s="35">
        <v>0.7</v>
      </c>
      <c r="Q27" s="31"/>
      <c r="R27" s="31"/>
      <c r="S27" s="31">
        <v>0.4</v>
      </c>
      <c r="T27" s="31"/>
      <c r="U27" s="31">
        <f t="shared" si="0"/>
        <v>3.1</v>
      </c>
      <c r="V27" s="31"/>
      <c r="W27" s="41" t="s">
        <v>3907</v>
      </c>
      <c r="X27" s="41" t="s">
        <v>44</v>
      </c>
      <c r="Y27" s="41" t="s">
        <v>3841</v>
      </c>
      <c r="Z27" s="29" t="s">
        <v>1008</v>
      </c>
      <c r="AA27" s="34"/>
    </row>
    <row r="28" spans="1:27" s="28" customFormat="1" ht="78.75" x14ac:dyDescent="0.25">
      <c r="A28" s="24">
        <v>24</v>
      </c>
      <c r="B28" s="24" t="s">
        <v>3437</v>
      </c>
      <c r="C28" s="25" t="s">
        <v>3436</v>
      </c>
      <c r="D28" s="26" t="s">
        <v>3834</v>
      </c>
      <c r="E28" s="25" t="s">
        <v>3833</v>
      </c>
      <c r="F28" s="25" t="s">
        <v>3832</v>
      </c>
      <c r="G28" s="24"/>
      <c r="H28" s="25" t="s">
        <v>3963</v>
      </c>
      <c r="I28" s="27"/>
      <c r="J28" s="28" t="s">
        <v>3971</v>
      </c>
      <c r="K28" s="29"/>
      <c r="L28" s="33" t="s">
        <v>3904</v>
      </c>
      <c r="M28" s="36" t="s">
        <v>402</v>
      </c>
      <c r="N28" s="30">
        <v>4</v>
      </c>
      <c r="O28" s="31">
        <v>4</v>
      </c>
      <c r="P28" s="35"/>
      <c r="Q28" s="35"/>
      <c r="R28" s="35"/>
      <c r="S28" s="35">
        <f>N28*1</f>
        <v>4</v>
      </c>
      <c r="T28" s="35"/>
      <c r="U28" s="31">
        <f t="shared" si="0"/>
        <v>8</v>
      </c>
      <c r="V28" s="31"/>
      <c r="W28" s="41" t="s">
        <v>848</v>
      </c>
      <c r="X28" s="41" t="s">
        <v>44</v>
      </c>
      <c r="Y28" s="41" t="s">
        <v>3841</v>
      </c>
      <c r="Z28" s="29" t="s">
        <v>1008</v>
      </c>
      <c r="AA28" s="34"/>
    </row>
    <row r="29" spans="1:27" s="28" customFormat="1" ht="78.75" x14ac:dyDescent="0.25">
      <c r="A29" s="24">
        <v>25</v>
      </c>
      <c r="B29" s="24" t="s">
        <v>3437</v>
      </c>
      <c r="C29" s="25" t="s">
        <v>3436</v>
      </c>
      <c r="D29" s="26" t="s">
        <v>3834</v>
      </c>
      <c r="E29" s="25" t="s">
        <v>3833</v>
      </c>
      <c r="F29" s="25" t="s">
        <v>3832</v>
      </c>
      <c r="G29" s="24"/>
      <c r="H29" s="25" t="s">
        <v>3963</v>
      </c>
      <c r="I29" s="27"/>
      <c r="J29" s="28" t="s">
        <v>3971</v>
      </c>
      <c r="K29" s="29"/>
      <c r="L29" s="33" t="s">
        <v>3972</v>
      </c>
      <c r="M29" s="36" t="s">
        <v>402</v>
      </c>
      <c r="N29" s="30">
        <v>4</v>
      </c>
      <c r="O29" s="31">
        <v>1</v>
      </c>
      <c r="P29" s="35"/>
      <c r="Q29" s="31"/>
      <c r="R29" s="31"/>
      <c r="S29" s="31">
        <v>0.3</v>
      </c>
      <c r="T29" s="31"/>
      <c r="U29" s="31">
        <f t="shared" si="0"/>
        <v>1.3</v>
      </c>
      <c r="V29" s="31"/>
      <c r="W29" s="41" t="s">
        <v>848</v>
      </c>
      <c r="X29" s="41" t="s">
        <v>44</v>
      </c>
      <c r="Y29" s="41" t="s">
        <v>3841</v>
      </c>
      <c r="Z29" s="29" t="s">
        <v>1008</v>
      </c>
      <c r="AA29" s="34"/>
    </row>
    <row r="30" spans="1:27" s="28" customFormat="1" ht="78.75" x14ac:dyDescent="0.25">
      <c r="A30" s="24">
        <v>26</v>
      </c>
      <c r="B30" s="24" t="s">
        <v>3437</v>
      </c>
      <c r="C30" s="25" t="s">
        <v>3436</v>
      </c>
      <c r="D30" s="26" t="s">
        <v>3834</v>
      </c>
      <c r="E30" s="25" t="s">
        <v>3833</v>
      </c>
      <c r="F30" s="25" t="s">
        <v>3832</v>
      </c>
      <c r="G30" s="24"/>
      <c r="H30" s="25" t="s">
        <v>3963</v>
      </c>
      <c r="I30" s="27"/>
      <c r="J30" s="28" t="s">
        <v>3971</v>
      </c>
      <c r="K30" s="29"/>
      <c r="L30" s="33" t="s">
        <v>3901</v>
      </c>
      <c r="M30" s="25" t="s">
        <v>3900</v>
      </c>
      <c r="N30" s="30">
        <v>570</v>
      </c>
      <c r="O30" s="31">
        <v>7.0175438596491224E-2</v>
      </c>
      <c r="P30" s="35">
        <v>2.1052631578947368E-2</v>
      </c>
      <c r="Q30" s="31"/>
      <c r="R30" s="31"/>
      <c r="S30" s="31">
        <v>0</v>
      </c>
      <c r="T30" s="31"/>
      <c r="U30" s="31">
        <f t="shared" si="0"/>
        <v>9.1228070175438589E-2</v>
      </c>
      <c r="V30" s="31"/>
      <c r="W30" s="41" t="s">
        <v>848</v>
      </c>
      <c r="X30" s="41" t="s">
        <v>44</v>
      </c>
      <c r="Y30" s="41" t="s">
        <v>3841</v>
      </c>
      <c r="Z30" s="29" t="s">
        <v>1008</v>
      </c>
      <c r="AA30" s="34"/>
    </row>
    <row r="31" spans="1:27" s="28" customFormat="1" ht="78.75" x14ac:dyDescent="0.25">
      <c r="A31" s="24">
        <v>27</v>
      </c>
      <c r="B31" s="24" t="s">
        <v>3437</v>
      </c>
      <c r="C31" s="25" t="s">
        <v>3436</v>
      </c>
      <c r="D31" s="26" t="s">
        <v>3834</v>
      </c>
      <c r="E31" s="25" t="s">
        <v>3833</v>
      </c>
      <c r="F31" s="25" t="s">
        <v>3832</v>
      </c>
      <c r="G31" s="24"/>
      <c r="H31" s="25" t="s">
        <v>3963</v>
      </c>
      <c r="I31" s="27"/>
      <c r="J31" s="28" t="s">
        <v>3971</v>
      </c>
      <c r="K31" s="29"/>
      <c r="L31" s="33" t="s">
        <v>3970</v>
      </c>
      <c r="M31" s="25" t="s">
        <v>3969</v>
      </c>
      <c r="N31" s="30">
        <v>4</v>
      </c>
      <c r="O31" s="31">
        <v>54</v>
      </c>
      <c r="P31" s="31"/>
      <c r="Q31" s="31"/>
      <c r="R31" s="31"/>
      <c r="S31" s="31">
        <v>11</v>
      </c>
      <c r="T31" s="40"/>
      <c r="U31" s="31">
        <f t="shared" si="0"/>
        <v>65</v>
      </c>
      <c r="V31" s="31"/>
      <c r="W31" s="41" t="s">
        <v>848</v>
      </c>
      <c r="X31" s="41" t="s">
        <v>44</v>
      </c>
      <c r="Y31" s="41" t="s">
        <v>3841</v>
      </c>
      <c r="Z31" s="29" t="s">
        <v>1008</v>
      </c>
      <c r="AA31" s="34"/>
    </row>
    <row r="32" spans="1:27" s="28" customFormat="1" ht="78.75" x14ac:dyDescent="0.25">
      <c r="A32" s="24">
        <v>28</v>
      </c>
      <c r="B32" s="24" t="s">
        <v>3437</v>
      </c>
      <c r="C32" s="25" t="s">
        <v>3436</v>
      </c>
      <c r="D32" s="26" t="s">
        <v>3834</v>
      </c>
      <c r="E32" s="25" t="s">
        <v>3833</v>
      </c>
      <c r="F32" s="25" t="s">
        <v>3832</v>
      </c>
      <c r="G32" s="24"/>
      <c r="H32" s="25" t="s">
        <v>3963</v>
      </c>
      <c r="I32" s="27"/>
      <c r="J32" s="28" t="s">
        <v>3968</v>
      </c>
      <c r="K32" s="29"/>
      <c r="L32" s="29"/>
      <c r="M32" s="25"/>
      <c r="N32" s="30"/>
      <c r="O32" s="31"/>
      <c r="P32" s="31"/>
      <c r="Q32" s="31"/>
      <c r="R32" s="31"/>
      <c r="S32" s="31"/>
      <c r="T32" s="31"/>
      <c r="U32" s="31">
        <f t="shared" si="0"/>
        <v>0</v>
      </c>
      <c r="V32" s="31"/>
      <c r="W32" s="32"/>
      <c r="X32" s="32"/>
      <c r="Y32" s="32"/>
      <c r="Z32" s="33"/>
      <c r="AA32" s="34"/>
    </row>
    <row r="33" spans="1:27" s="28" customFormat="1" ht="78.75" x14ac:dyDescent="0.25">
      <c r="A33" s="24">
        <v>29</v>
      </c>
      <c r="B33" s="24" t="s">
        <v>3437</v>
      </c>
      <c r="C33" s="25" t="s">
        <v>3436</v>
      </c>
      <c r="D33" s="26" t="s">
        <v>3834</v>
      </c>
      <c r="E33" s="25" t="s">
        <v>3833</v>
      </c>
      <c r="F33" s="25" t="s">
        <v>3832</v>
      </c>
      <c r="G33" s="24"/>
      <c r="H33" s="25" t="s">
        <v>3963</v>
      </c>
      <c r="I33" s="27"/>
      <c r="J33" s="28" t="s">
        <v>3967</v>
      </c>
      <c r="K33" s="29"/>
      <c r="L33" s="29"/>
      <c r="M33" s="25"/>
      <c r="N33" s="30"/>
      <c r="O33" s="31"/>
      <c r="P33" s="31"/>
      <c r="Q33" s="31"/>
      <c r="R33" s="31"/>
      <c r="S33" s="31"/>
      <c r="T33" s="31"/>
      <c r="U33" s="31">
        <f t="shared" si="0"/>
        <v>0</v>
      </c>
      <c r="V33" s="31"/>
      <c r="W33" s="32"/>
      <c r="X33" s="32"/>
      <c r="Y33" s="32"/>
      <c r="Z33" s="33"/>
      <c r="AA33" s="34"/>
    </row>
    <row r="34" spans="1:27" s="28" customFormat="1" ht="78.75" x14ac:dyDescent="0.25">
      <c r="A34" s="24">
        <v>30</v>
      </c>
      <c r="B34" s="24" t="s">
        <v>3437</v>
      </c>
      <c r="C34" s="25" t="s">
        <v>3436</v>
      </c>
      <c r="D34" s="26" t="s">
        <v>3834</v>
      </c>
      <c r="E34" s="25" t="s">
        <v>3833</v>
      </c>
      <c r="F34" s="25" t="s">
        <v>3832</v>
      </c>
      <c r="G34" s="24"/>
      <c r="H34" s="25" t="s">
        <v>3963</v>
      </c>
      <c r="I34" s="27"/>
      <c r="J34" s="28" t="s">
        <v>3962</v>
      </c>
      <c r="K34" s="29"/>
      <c r="L34" s="33" t="s">
        <v>3966</v>
      </c>
      <c r="M34" s="36" t="s">
        <v>3964</v>
      </c>
      <c r="N34" s="39">
        <v>8</v>
      </c>
      <c r="O34" s="42">
        <v>60</v>
      </c>
      <c r="P34" s="42">
        <v>142</v>
      </c>
      <c r="Q34" s="35"/>
      <c r="R34" s="35"/>
      <c r="S34" s="35">
        <v>33.875</v>
      </c>
      <c r="T34" s="42"/>
      <c r="U34" s="31">
        <f t="shared" si="0"/>
        <v>235.875</v>
      </c>
      <c r="V34" s="31"/>
      <c r="W34" s="41" t="s">
        <v>848</v>
      </c>
      <c r="X34" s="41" t="s">
        <v>21</v>
      </c>
      <c r="Y34" s="41" t="s">
        <v>3841</v>
      </c>
      <c r="Z34" s="29" t="s">
        <v>1008</v>
      </c>
      <c r="AA34" s="34"/>
    </row>
    <row r="35" spans="1:27" s="28" customFormat="1" ht="36" customHeight="1" x14ac:dyDescent="0.25">
      <c r="A35" s="24">
        <v>31</v>
      </c>
      <c r="B35" s="24" t="s">
        <v>3437</v>
      </c>
      <c r="C35" s="25" t="s">
        <v>3436</v>
      </c>
      <c r="D35" s="26" t="s">
        <v>3834</v>
      </c>
      <c r="E35" s="25" t="s">
        <v>3833</v>
      </c>
      <c r="F35" s="25" t="s">
        <v>3832</v>
      </c>
      <c r="G35" s="24"/>
      <c r="H35" s="25" t="s">
        <v>3963</v>
      </c>
      <c r="I35" s="27"/>
      <c r="J35" s="28" t="s">
        <v>3962</v>
      </c>
      <c r="K35" s="29"/>
      <c r="L35" s="43" t="s">
        <v>3965</v>
      </c>
      <c r="M35" s="36" t="s">
        <v>3964</v>
      </c>
      <c r="N35" s="39">
        <v>8</v>
      </c>
      <c r="O35" s="31">
        <v>0</v>
      </c>
      <c r="P35" s="35">
        <v>24</v>
      </c>
      <c r="Q35" s="35"/>
      <c r="R35" s="35"/>
      <c r="S35" s="35">
        <v>4</v>
      </c>
      <c r="T35" s="40"/>
      <c r="U35" s="31">
        <f t="shared" si="0"/>
        <v>28</v>
      </c>
      <c r="V35" s="31"/>
      <c r="W35" s="41" t="s">
        <v>848</v>
      </c>
      <c r="X35" s="41" t="s">
        <v>21</v>
      </c>
      <c r="Y35" s="41" t="s">
        <v>3841</v>
      </c>
      <c r="Z35" s="29" t="s">
        <v>1008</v>
      </c>
      <c r="AA35" s="34"/>
    </row>
    <row r="36" spans="1:27" s="28" customFormat="1" ht="33.75" customHeight="1" x14ac:dyDescent="0.25">
      <c r="A36" s="24">
        <v>32</v>
      </c>
      <c r="B36" s="24" t="s">
        <v>3437</v>
      </c>
      <c r="C36" s="25" t="s">
        <v>3436</v>
      </c>
      <c r="D36" s="26" t="s">
        <v>3834</v>
      </c>
      <c r="E36" s="25" t="s">
        <v>3833</v>
      </c>
      <c r="F36" s="25" t="s">
        <v>3832</v>
      </c>
      <c r="G36" s="24"/>
      <c r="H36" s="25" t="s">
        <v>3963</v>
      </c>
      <c r="I36" s="27"/>
      <c r="J36" s="28" t="s">
        <v>3962</v>
      </c>
      <c r="K36" s="29"/>
      <c r="L36" s="38" t="s">
        <v>3961</v>
      </c>
      <c r="M36" s="44" t="s">
        <v>3960</v>
      </c>
      <c r="N36" s="39">
        <v>8</v>
      </c>
      <c r="O36" s="31">
        <f>3*4</f>
        <v>12</v>
      </c>
      <c r="P36" s="35">
        <f>3*4</f>
        <v>12</v>
      </c>
      <c r="Q36" s="35"/>
      <c r="R36" s="35"/>
      <c r="S36" s="35">
        <v>4</v>
      </c>
      <c r="T36" s="40"/>
      <c r="U36" s="31">
        <f t="shared" si="0"/>
        <v>28</v>
      </c>
      <c r="V36" s="31"/>
      <c r="W36" s="41" t="s">
        <v>848</v>
      </c>
      <c r="X36" s="41" t="s">
        <v>21</v>
      </c>
      <c r="Y36" s="41" t="s">
        <v>3841</v>
      </c>
      <c r="Z36" s="29" t="s">
        <v>1008</v>
      </c>
      <c r="AA36" s="34"/>
    </row>
    <row r="37" spans="1:27" s="28" customFormat="1" ht="78.75" x14ac:dyDescent="0.25">
      <c r="A37" s="24">
        <v>33</v>
      </c>
      <c r="B37" s="24" t="s">
        <v>3437</v>
      </c>
      <c r="C37" s="25" t="s">
        <v>3436</v>
      </c>
      <c r="D37" s="26" t="s">
        <v>3834</v>
      </c>
      <c r="E37" s="25" t="s">
        <v>3833</v>
      </c>
      <c r="F37" s="25" t="s">
        <v>3832</v>
      </c>
      <c r="G37" s="24"/>
      <c r="H37" s="25" t="s">
        <v>3890</v>
      </c>
      <c r="I37" s="27"/>
      <c r="J37" s="28" t="s">
        <v>3945</v>
      </c>
      <c r="K37" s="29"/>
      <c r="L37" s="29" t="s">
        <v>3959</v>
      </c>
      <c r="M37" s="25" t="s">
        <v>3956</v>
      </c>
      <c r="N37" s="30">
        <v>1</v>
      </c>
      <c r="O37" s="31">
        <v>750</v>
      </c>
      <c r="P37" s="31">
        <v>1040</v>
      </c>
      <c r="Q37" s="31"/>
      <c r="R37" s="31"/>
      <c r="S37" s="31">
        <v>120</v>
      </c>
      <c r="T37" s="31"/>
      <c r="U37" s="31">
        <f t="shared" si="0"/>
        <v>1910</v>
      </c>
      <c r="V37" s="31"/>
      <c r="W37" s="32" t="s">
        <v>848</v>
      </c>
      <c r="X37" s="32" t="s">
        <v>3076</v>
      </c>
      <c r="Y37" s="32" t="s">
        <v>3841</v>
      </c>
      <c r="Z37" s="33" t="s">
        <v>3958</v>
      </c>
      <c r="AA37" s="34"/>
    </row>
    <row r="38" spans="1:27" s="28" customFormat="1" ht="78.75" x14ac:dyDescent="0.25">
      <c r="A38" s="24">
        <v>34</v>
      </c>
      <c r="B38" s="24" t="s">
        <v>3437</v>
      </c>
      <c r="C38" s="25" t="s">
        <v>3436</v>
      </c>
      <c r="D38" s="26" t="s">
        <v>3834</v>
      </c>
      <c r="E38" s="25" t="s">
        <v>3833</v>
      </c>
      <c r="F38" s="25" t="s">
        <v>3832</v>
      </c>
      <c r="G38" s="24"/>
      <c r="H38" s="25" t="s">
        <v>3890</v>
      </c>
      <c r="I38" s="27"/>
      <c r="J38" s="28" t="s">
        <v>3945</v>
      </c>
      <c r="K38" s="29"/>
      <c r="L38" s="29" t="s">
        <v>3957</v>
      </c>
      <c r="M38" s="25" t="s">
        <v>3956</v>
      </c>
      <c r="N38" s="30">
        <v>1</v>
      </c>
      <c r="O38" s="31">
        <v>230</v>
      </c>
      <c r="P38" s="31">
        <v>350</v>
      </c>
      <c r="Q38" s="31"/>
      <c r="R38" s="31"/>
      <c r="S38" s="31">
        <v>85</v>
      </c>
      <c r="T38" s="31"/>
      <c r="U38" s="31">
        <f t="shared" si="0"/>
        <v>665</v>
      </c>
      <c r="V38" s="31"/>
      <c r="W38" s="32" t="s">
        <v>848</v>
      </c>
      <c r="X38" s="32" t="s">
        <v>3921</v>
      </c>
      <c r="Y38" s="32" t="s">
        <v>3841</v>
      </c>
      <c r="Z38" s="33" t="s">
        <v>1008</v>
      </c>
      <c r="AA38" s="34"/>
    </row>
    <row r="39" spans="1:27" s="28" customFormat="1" ht="78.75" x14ac:dyDescent="0.25">
      <c r="A39" s="24">
        <v>35</v>
      </c>
      <c r="B39" s="24" t="s">
        <v>3437</v>
      </c>
      <c r="C39" s="25" t="s">
        <v>3436</v>
      </c>
      <c r="D39" s="26" t="s">
        <v>3834</v>
      </c>
      <c r="E39" s="25" t="s">
        <v>3833</v>
      </c>
      <c r="F39" s="25" t="s">
        <v>3832</v>
      </c>
      <c r="G39" s="24"/>
      <c r="H39" s="25" t="s">
        <v>3890</v>
      </c>
      <c r="I39" s="27"/>
      <c r="J39" s="28" t="s">
        <v>3945</v>
      </c>
      <c r="K39" s="29"/>
      <c r="L39" s="29" t="s">
        <v>3955</v>
      </c>
      <c r="M39" s="25" t="s">
        <v>3954</v>
      </c>
      <c r="N39" s="30">
        <v>40</v>
      </c>
      <c r="O39" s="31">
        <v>0.75</v>
      </c>
      <c r="P39" s="31">
        <v>0.125</v>
      </c>
      <c r="Q39" s="31"/>
      <c r="R39" s="31"/>
      <c r="S39" s="31">
        <v>0.1</v>
      </c>
      <c r="T39" s="31"/>
      <c r="U39" s="31">
        <f t="shared" si="0"/>
        <v>0.97499999999999998</v>
      </c>
      <c r="V39" s="31"/>
      <c r="W39" s="32" t="s">
        <v>848</v>
      </c>
      <c r="X39" s="32" t="s">
        <v>3953</v>
      </c>
      <c r="Y39" s="32" t="s">
        <v>3841</v>
      </c>
      <c r="Z39" s="33" t="s">
        <v>3952</v>
      </c>
      <c r="AA39" s="34"/>
    </row>
    <row r="40" spans="1:27" s="28" customFormat="1" ht="78.75" x14ac:dyDescent="0.25">
      <c r="A40" s="24">
        <v>36</v>
      </c>
      <c r="B40" s="24" t="s">
        <v>3437</v>
      </c>
      <c r="C40" s="25" t="s">
        <v>3436</v>
      </c>
      <c r="D40" s="26" t="s">
        <v>3834</v>
      </c>
      <c r="E40" s="25" t="s">
        <v>3833</v>
      </c>
      <c r="F40" s="25" t="s">
        <v>3832</v>
      </c>
      <c r="G40" s="24"/>
      <c r="H40" s="25" t="s">
        <v>3890</v>
      </c>
      <c r="I40" s="27"/>
      <c r="J40" s="28" t="s">
        <v>3945</v>
      </c>
      <c r="K40" s="29"/>
      <c r="L40" s="33" t="s">
        <v>3951</v>
      </c>
      <c r="M40" s="25" t="s">
        <v>402</v>
      </c>
      <c r="N40" s="30">
        <v>12</v>
      </c>
      <c r="O40" s="31"/>
      <c r="P40" s="31">
        <v>8</v>
      </c>
      <c r="Q40" s="31"/>
      <c r="R40" s="31"/>
      <c r="S40" s="31">
        <v>2</v>
      </c>
      <c r="T40" s="40"/>
      <c r="U40" s="31">
        <f t="shared" si="0"/>
        <v>10</v>
      </c>
      <c r="V40" s="31"/>
      <c r="W40" s="41" t="s">
        <v>3949</v>
      </c>
      <c r="X40" s="41" t="s">
        <v>21</v>
      </c>
      <c r="Y40" s="41" t="s">
        <v>3841</v>
      </c>
      <c r="Z40" s="45" t="s">
        <v>3488</v>
      </c>
      <c r="AA40" s="34"/>
    </row>
    <row r="41" spans="1:27" s="28" customFormat="1" ht="78.75" x14ac:dyDescent="0.25">
      <c r="A41" s="24">
        <v>37</v>
      </c>
      <c r="B41" s="24" t="s">
        <v>3437</v>
      </c>
      <c r="C41" s="25" t="s">
        <v>3436</v>
      </c>
      <c r="D41" s="26" t="s">
        <v>3834</v>
      </c>
      <c r="E41" s="25" t="s">
        <v>3833</v>
      </c>
      <c r="F41" s="25" t="s">
        <v>3832</v>
      </c>
      <c r="G41" s="24"/>
      <c r="H41" s="25" t="s">
        <v>3890</v>
      </c>
      <c r="I41" s="27"/>
      <c r="J41" s="28" t="s">
        <v>3945</v>
      </c>
      <c r="K41" s="29"/>
      <c r="L41" s="33" t="s">
        <v>3950</v>
      </c>
      <c r="M41" s="25" t="s">
        <v>402</v>
      </c>
      <c r="N41" s="30">
        <v>1</v>
      </c>
      <c r="O41" s="31"/>
      <c r="P41" s="31"/>
      <c r="Q41" s="31"/>
      <c r="R41" s="31"/>
      <c r="S41" s="31">
        <f>N41*16</f>
        <v>16</v>
      </c>
      <c r="T41" s="40"/>
      <c r="U41" s="31">
        <f t="shared" si="0"/>
        <v>16</v>
      </c>
      <c r="V41" s="31"/>
      <c r="W41" s="41" t="s">
        <v>3949</v>
      </c>
      <c r="X41" s="41" t="s">
        <v>21</v>
      </c>
      <c r="Y41" s="41" t="s">
        <v>3841</v>
      </c>
      <c r="Z41" s="45" t="s">
        <v>3488</v>
      </c>
      <c r="AA41" s="34"/>
    </row>
    <row r="42" spans="1:27" s="28" customFormat="1" ht="78.75" x14ac:dyDescent="0.25">
      <c r="A42" s="24">
        <v>38</v>
      </c>
      <c r="B42" s="24" t="s">
        <v>3437</v>
      </c>
      <c r="C42" s="25" t="s">
        <v>3436</v>
      </c>
      <c r="D42" s="26" t="s">
        <v>3834</v>
      </c>
      <c r="E42" s="25" t="s">
        <v>3833</v>
      </c>
      <c r="F42" s="25" t="s">
        <v>3832</v>
      </c>
      <c r="G42" s="24"/>
      <c r="H42" s="25" t="s">
        <v>3890</v>
      </c>
      <c r="I42" s="27"/>
      <c r="J42" s="28" t="s">
        <v>3945</v>
      </c>
      <c r="K42" s="29"/>
      <c r="L42" s="33" t="s">
        <v>3948</v>
      </c>
      <c r="M42" s="25" t="s">
        <v>402</v>
      </c>
      <c r="N42" s="30">
        <v>4</v>
      </c>
      <c r="O42" s="31"/>
      <c r="P42" s="31">
        <v>4</v>
      </c>
      <c r="Q42" s="31"/>
      <c r="R42" s="31"/>
      <c r="S42" s="31">
        <v>1</v>
      </c>
      <c r="T42" s="40"/>
      <c r="U42" s="31">
        <f t="shared" si="0"/>
        <v>5</v>
      </c>
      <c r="V42" s="31"/>
      <c r="W42" s="41" t="s">
        <v>54</v>
      </c>
      <c r="X42" s="41" t="s">
        <v>21</v>
      </c>
      <c r="Y42" s="41" t="s">
        <v>3841</v>
      </c>
      <c r="Z42" s="45" t="s">
        <v>3488</v>
      </c>
      <c r="AA42" s="34"/>
    </row>
    <row r="43" spans="1:27" s="28" customFormat="1" ht="78.75" x14ac:dyDescent="0.25">
      <c r="A43" s="24">
        <v>39</v>
      </c>
      <c r="B43" s="24" t="s">
        <v>3437</v>
      </c>
      <c r="C43" s="25" t="s">
        <v>3436</v>
      </c>
      <c r="D43" s="26" t="s">
        <v>3834</v>
      </c>
      <c r="E43" s="25" t="s">
        <v>3833</v>
      </c>
      <c r="F43" s="25" t="s">
        <v>3832</v>
      </c>
      <c r="G43" s="24"/>
      <c r="H43" s="25" t="s">
        <v>3890</v>
      </c>
      <c r="I43" s="27"/>
      <c r="J43" s="28" t="s">
        <v>3945</v>
      </c>
      <c r="K43" s="29"/>
      <c r="L43" s="33" t="s">
        <v>3947</v>
      </c>
      <c r="M43" s="25" t="s">
        <v>402</v>
      </c>
      <c r="N43" s="30">
        <v>12</v>
      </c>
      <c r="O43" s="31">
        <v>2</v>
      </c>
      <c r="P43" s="31"/>
      <c r="Q43" s="31"/>
      <c r="R43" s="31"/>
      <c r="S43" s="31"/>
      <c r="T43" s="40"/>
      <c r="U43" s="31">
        <f t="shared" si="0"/>
        <v>2</v>
      </c>
      <c r="V43" s="31"/>
      <c r="W43" s="41" t="s">
        <v>848</v>
      </c>
      <c r="X43" s="41" t="s">
        <v>21</v>
      </c>
      <c r="Y43" s="41" t="s">
        <v>3841</v>
      </c>
      <c r="Z43" s="29" t="s">
        <v>1008</v>
      </c>
      <c r="AA43" s="34"/>
    </row>
    <row r="44" spans="1:27" s="28" customFormat="1" ht="78.75" x14ac:dyDescent="0.25">
      <c r="A44" s="24">
        <v>40</v>
      </c>
      <c r="B44" s="24" t="s">
        <v>3437</v>
      </c>
      <c r="C44" s="25" t="s">
        <v>3436</v>
      </c>
      <c r="D44" s="26" t="s">
        <v>3834</v>
      </c>
      <c r="E44" s="25" t="s">
        <v>3833</v>
      </c>
      <c r="F44" s="25" t="s">
        <v>3832</v>
      </c>
      <c r="G44" s="24"/>
      <c r="H44" s="25" t="s">
        <v>3890</v>
      </c>
      <c r="I44" s="27"/>
      <c r="J44" s="28" t="s">
        <v>3945</v>
      </c>
      <c r="K44" s="29"/>
      <c r="L44" s="33" t="s">
        <v>3946</v>
      </c>
      <c r="M44" s="25" t="s">
        <v>402</v>
      </c>
      <c r="N44" s="30">
        <v>12</v>
      </c>
      <c r="O44" s="31">
        <v>2</v>
      </c>
      <c r="P44" s="31"/>
      <c r="Q44" s="31"/>
      <c r="R44" s="31"/>
      <c r="S44" s="31"/>
      <c r="T44" s="40"/>
      <c r="U44" s="31">
        <f t="shared" si="0"/>
        <v>2</v>
      </c>
      <c r="V44" s="31"/>
      <c r="W44" s="41" t="s">
        <v>848</v>
      </c>
      <c r="X44" s="41" t="s">
        <v>21</v>
      </c>
      <c r="Y44" s="41" t="s">
        <v>3841</v>
      </c>
      <c r="Z44" s="29" t="s">
        <v>1008</v>
      </c>
      <c r="AA44" s="34"/>
    </row>
    <row r="45" spans="1:27" s="28" customFormat="1" ht="32.25" customHeight="1" x14ac:dyDescent="0.25">
      <c r="A45" s="24">
        <v>41</v>
      </c>
      <c r="B45" s="24" t="s">
        <v>3437</v>
      </c>
      <c r="C45" s="25" t="s">
        <v>3436</v>
      </c>
      <c r="D45" s="26" t="s">
        <v>3834</v>
      </c>
      <c r="E45" s="25" t="s">
        <v>3833</v>
      </c>
      <c r="F45" s="25" t="s">
        <v>3832</v>
      </c>
      <c r="G45" s="24"/>
      <c r="H45" s="25" t="s">
        <v>3890</v>
      </c>
      <c r="I45" s="27"/>
      <c r="J45" s="28" t="s">
        <v>3945</v>
      </c>
      <c r="K45" s="29"/>
      <c r="L45" s="33" t="s">
        <v>3944</v>
      </c>
      <c r="M45" s="25" t="s">
        <v>402</v>
      </c>
      <c r="N45" s="30">
        <v>30</v>
      </c>
      <c r="O45" s="31"/>
      <c r="P45" s="31"/>
      <c r="Q45" s="31"/>
      <c r="R45" s="31"/>
      <c r="S45" s="31">
        <v>2</v>
      </c>
      <c r="T45" s="40"/>
      <c r="U45" s="31">
        <f t="shared" si="0"/>
        <v>2</v>
      </c>
      <c r="V45" s="31"/>
      <c r="W45" s="32" t="s">
        <v>1169</v>
      </c>
      <c r="X45" s="41"/>
      <c r="Y45" s="41" t="s">
        <v>3841</v>
      </c>
      <c r="Z45" s="29" t="s">
        <v>3119</v>
      </c>
      <c r="AA45" s="34"/>
    </row>
    <row r="46" spans="1:27" s="28" customFormat="1" ht="78.75" x14ac:dyDescent="0.25">
      <c r="A46" s="24">
        <v>42</v>
      </c>
      <c r="B46" s="24" t="s">
        <v>3437</v>
      </c>
      <c r="C46" s="25" t="s">
        <v>3436</v>
      </c>
      <c r="D46" s="26" t="s">
        <v>3834</v>
      </c>
      <c r="E46" s="25" t="s">
        <v>3833</v>
      </c>
      <c r="F46" s="25" t="s">
        <v>3832</v>
      </c>
      <c r="G46" s="24"/>
      <c r="H46" s="25" t="s">
        <v>3943</v>
      </c>
      <c r="I46" s="27"/>
      <c r="J46" s="28" t="s">
        <v>3942</v>
      </c>
      <c r="K46" s="29"/>
      <c r="L46" s="33"/>
      <c r="M46" s="36"/>
      <c r="N46" s="39"/>
      <c r="O46" s="31"/>
      <c r="P46" s="35"/>
      <c r="Q46" s="35"/>
      <c r="R46" s="35"/>
      <c r="S46" s="35"/>
      <c r="T46" s="40"/>
      <c r="U46" s="31">
        <f t="shared" si="0"/>
        <v>0</v>
      </c>
      <c r="V46" s="31"/>
      <c r="W46" s="41"/>
      <c r="X46" s="41"/>
      <c r="Y46" s="41"/>
      <c r="Z46" s="29"/>
      <c r="AA46" s="34"/>
    </row>
    <row r="47" spans="1:27" s="28" customFormat="1" ht="60" customHeight="1" x14ac:dyDescent="0.25">
      <c r="A47" s="24">
        <v>43</v>
      </c>
      <c r="B47" s="24" t="s">
        <v>3437</v>
      </c>
      <c r="C47" s="25" t="s">
        <v>3436</v>
      </c>
      <c r="D47" s="26" t="s">
        <v>3834</v>
      </c>
      <c r="E47" s="25" t="s">
        <v>3833</v>
      </c>
      <c r="F47" s="25" t="s">
        <v>3832</v>
      </c>
      <c r="G47" s="24"/>
      <c r="H47" s="25" t="s">
        <v>3890</v>
      </c>
      <c r="I47" s="27"/>
      <c r="J47" s="28" t="s">
        <v>3889</v>
      </c>
      <c r="K47" s="29"/>
      <c r="L47" s="29" t="s">
        <v>3941</v>
      </c>
      <c r="M47" s="25" t="s">
        <v>3891</v>
      </c>
      <c r="N47" s="30">
        <v>1140</v>
      </c>
      <c r="O47" s="31">
        <v>2.9824561403508771E-2</v>
      </c>
      <c r="P47" s="31">
        <v>7.0175438596491224E-2</v>
      </c>
      <c r="Q47" s="31"/>
      <c r="R47" s="31"/>
      <c r="S47" s="31">
        <v>0</v>
      </c>
      <c r="T47" s="31"/>
      <c r="U47" s="31">
        <f t="shared" si="0"/>
        <v>9.9999999999999992E-2</v>
      </c>
      <c r="V47" s="31"/>
      <c r="W47" s="32" t="s">
        <v>848</v>
      </c>
      <c r="X47" s="32" t="s">
        <v>21</v>
      </c>
      <c r="Y47" s="32" t="s">
        <v>3841</v>
      </c>
      <c r="Z47" s="33" t="s">
        <v>1008</v>
      </c>
      <c r="AA47" s="34"/>
    </row>
    <row r="48" spans="1:27" s="28" customFormat="1" ht="78.75" x14ac:dyDescent="0.25">
      <c r="A48" s="24">
        <v>44</v>
      </c>
      <c r="B48" s="24" t="s">
        <v>3437</v>
      </c>
      <c r="C48" s="25" t="s">
        <v>3436</v>
      </c>
      <c r="D48" s="26" t="s">
        <v>3834</v>
      </c>
      <c r="E48" s="25" t="s">
        <v>3833</v>
      </c>
      <c r="F48" s="25" t="s">
        <v>3832</v>
      </c>
      <c r="G48" s="24"/>
      <c r="H48" s="25" t="s">
        <v>3890</v>
      </c>
      <c r="I48" s="27"/>
      <c r="J48" s="28" t="s">
        <v>3889</v>
      </c>
      <c r="K48" s="29"/>
      <c r="L48" s="29" t="s">
        <v>3940</v>
      </c>
      <c r="M48" s="25" t="s">
        <v>3938</v>
      </c>
      <c r="N48" s="30">
        <v>2</v>
      </c>
      <c r="O48" s="31"/>
      <c r="P48" s="31">
        <v>42</v>
      </c>
      <c r="Q48" s="31"/>
      <c r="R48" s="31"/>
      <c r="S48" s="31">
        <v>5.2</v>
      </c>
      <c r="T48" s="31"/>
      <c r="U48" s="31">
        <f t="shared" si="0"/>
        <v>47.2</v>
      </c>
      <c r="V48" s="31"/>
      <c r="W48" s="32" t="s">
        <v>848</v>
      </c>
      <c r="X48" s="32" t="s">
        <v>21</v>
      </c>
      <c r="Y48" s="32" t="s">
        <v>3841</v>
      </c>
      <c r="Z48" s="33" t="s">
        <v>1008</v>
      </c>
      <c r="AA48" s="34"/>
    </row>
    <row r="49" spans="1:27" s="28" customFormat="1" ht="78.75" x14ac:dyDescent="0.25">
      <c r="A49" s="24">
        <v>45</v>
      </c>
      <c r="B49" s="24" t="s">
        <v>3437</v>
      </c>
      <c r="C49" s="25" t="s">
        <v>3436</v>
      </c>
      <c r="D49" s="26" t="s">
        <v>3834</v>
      </c>
      <c r="E49" s="25" t="s">
        <v>3833</v>
      </c>
      <c r="F49" s="25" t="s">
        <v>3832</v>
      </c>
      <c r="G49" s="24"/>
      <c r="H49" s="25" t="s">
        <v>3890</v>
      </c>
      <c r="I49" s="27"/>
      <c r="J49" s="28" t="s">
        <v>3889</v>
      </c>
      <c r="K49" s="29"/>
      <c r="L49" s="29" t="s">
        <v>3939</v>
      </c>
      <c r="M49" s="25" t="s">
        <v>3938</v>
      </c>
      <c r="N49" s="30">
        <v>12</v>
      </c>
      <c r="O49" s="31">
        <v>9</v>
      </c>
      <c r="P49" s="31"/>
      <c r="Q49" s="31"/>
      <c r="R49" s="31"/>
      <c r="S49" s="31">
        <v>0.4</v>
      </c>
      <c r="T49" s="31"/>
      <c r="U49" s="31">
        <f t="shared" si="0"/>
        <v>9.4</v>
      </c>
      <c r="V49" s="31"/>
      <c r="W49" s="32" t="s">
        <v>848</v>
      </c>
      <c r="X49" s="32" t="s">
        <v>21</v>
      </c>
      <c r="Y49" s="32" t="s">
        <v>3841</v>
      </c>
      <c r="Z49" s="33" t="s">
        <v>1008</v>
      </c>
      <c r="AA49" s="34"/>
    </row>
    <row r="50" spans="1:27" s="28" customFormat="1" ht="78.75" x14ac:dyDescent="0.25">
      <c r="A50" s="24">
        <v>46</v>
      </c>
      <c r="B50" s="24" t="s">
        <v>3437</v>
      </c>
      <c r="C50" s="25" t="s">
        <v>3436</v>
      </c>
      <c r="D50" s="26" t="s">
        <v>3834</v>
      </c>
      <c r="E50" s="25" t="s">
        <v>3833</v>
      </c>
      <c r="F50" s="25" t="s">
        <v>3832</v>
      </c>
      <c r="G50" s="24"/>
      <c r="H50" s="25" t="s">
        <v>3890</v>
      </c>
      <c r="I50" s="27"/>
      <c r="J50" s="28" t="s">
        <v>3889</v>
      </c>
      <c r="K50" s="29"/>
      <c r="L50" s="29" t="s">
        <v>3937</v>
      </c>
      <c r="M50" s="25" t="s">
        <v>3891</v>
      </c>
      <c r="N50" s="30">
        <v>250</v>
      </c>
      <c r="O50" s="31">
        <v>0.04</v>
      </c>
      <c r="P50" s="31">
        <v>0.04</v>
      </c>
      <c r="Q50" s="31"/>
      <c r="R50" s="31"/>
      <c r="S50" s="31">
        <v>0.02</v>
      </c>
      <c r="T50" s="31"/>
      <c r="U50" s="31">
        <f t="shared" si="0"/>
        <v>0.1</v>
      </c>
      <c r="V50" s="31"/>
      <c r="W50" s="32" t="s">
        <v>848</v>
      </c>
      <c r="X50" s="32" t="s">
        <v>21</v>
      </c>
      <c r="Y50" s="32" t="s">
        <v>3841</v>
      </c>
      <c r="Z50" s="33" t="s">
        <v>1008</v>
      </c>
      <c r="AA50" s="34"/>
    </row>
    <row r="51" spans="1:27" s="28" customFormat="1" ht="78.75" x14ac:dyDescent="0.25">
      <c r="A51" s="24">
        <v>47</v>
      </c>
      <c r="B51" s="24" t="s">
        <v>3437</v>
      </c>
      <c r="C51" s="25" t="s">
        <v>3436</v>
      </c>
      <c r="D51" s="26" t="s">
        <v>3834</v>
      </c>
      <c r="E51" s="25" t="s">
        <v>3833</v>
      </c>
      <c r="F51" s="25" t="s">
        <v>3832</v>
      </c>
      <c r="G51" s="24"/>
      <c r="H51" s="25" t="s">
        <v>3890</v>
      </c>
      <c r="I51" s="27"/>
      <c r="J51" s="28" t="s">
        <v>3889</v>
      </c>
      <c r="K51" s="29"/>
      <c r="L51" s="29" t="s">
        <v>3936</v>
      </c>
      <c r="M51" s="25" t="s">
        <v>402</v>
      </c>
      <c r="N51" s="30">
        <v>10</v>
      </c>
      <c r="O51" s="31">
        <v>31</v>
      </c>
      <c r="P51" s="31">
        <v>80.2</v>
      </c>
      <c r="Q51" s="31"/>
      <c r="R51" s="31"/>
      <c r="S51" s="31">
        <v>21</v>
      </c>
      <c r="T51" s="31"/>
      <c r="U51" s="31">
        <f t="shared" si="0"/>
        <v>132.19999999999999</v>
      </c>
      <c r="V51" s="31"/>
      <c r="W51" s="32" t="s">
        <v>848</v>
      </c>
      <c r="X51" s="32" t="s">
        <v>21</v>
      </c>
      <c r="Y51" s="32" t="s">
        <v>3841</v>
      </c>
      <c r="Z51" s="33" t="s">
        <v>1008</v>
      </c>
      <c r="AA51" s="34"/>
    </row>
    <row r="52" spans="1:27" s="28" customFormat="1" ht="78.75" x14ac:dyDescent="0.25">
      <c r="A52" s="24">
        <v>48</v>
      </c>
      <c r="B52" s="24" t="s">
        <v>3437</v>
      </c>
      <c r="C52" s="25" t="s">
        <v>3436</v>
      </c>
      <c r="D52" s="26" t="s">
        <v>3834</v>
      </c>
      <c r="E52" s="25" t="s">
        <v>3833</v>
      </c>
      <c r="F52" s="25" t="s">
        <v>3832</v>
      </c>
      <c r="G52" s="24"/>
      <c r="H52" s="25" t="s">
        <v>3890</v>
      </c>
      <c r="I52" s="27"/>
      <c r="J52" s="28" t="s">
        <v>3889</v>
      </c>
      <c r="K52" s="29"/>
      <c r="L52" s="29" t="s">
        <v>3935</v>
      </c>
      <c r="M52" s="25" t="s">
        <v>402</v>
      </c>
      <c r="N52" s="30">
        <v>10</v>
      </c>
      <c r="O52" s="31">
        <v>1.5</v>
      </c>
      <c r="P52" s="31">
        <v>2.8</v>
      </c>
      <c r="Q52" s="31"/>
      <c r="R52" s="31"/>
      <c r="S52" s="31">
        <v>1</v>
      </c>
      <c r="T52" s="31"/>
      <c r="U52" s="31">
        <f t="shared" si="0"/>
        <v>5.3</v>
      </c>
      <c r="V52" s="31"/>
      <c r="W52" s="32" t="s">
        <v>848</v>
      </c>
      <c r="X52" s="32" t="s">
        <v>21</v>
      </c>
      <c r="Y52" s="32" t="s">
        <v>3841</v>
      </c>
      <c r="Z52" s="33" t="s">
        <v>1008</v>
      </c>
      <c r="AA52" s="34"/>
    </row>
    <row r="53" spans="1:27" s="28" customFormat="1" ht="60" customHeight="1" x14ac:dyDescent="0.25">
      <c r="A53" s="24">
        <v>49</v>
      </c>
      <c r="B53" s="24" t="s">
        <v>3437</v>
      </c>
      <c r="C53" s="25" t="s">
        <v>3436</v>
      </c>
      <c r="D53" s="26" t="s">
        <v>3834</v>
      </c>
      <c r="E53" s="25" t="s">
        <v>3833</v>
      </c>
      <c r="F53" s="25" t="s">
        <v>3832</v>
      </c>
      <c r="G53" s="24"/>
      <c r="H53" s="25" t="s">
        <v>3890</v>
      </c>
      <c r="I53" s="27"/>
      <c r="J53" s="28" t="s">
        <v>3889</v>
      </c>
      <c r="K53" s="29"/>
      <c r="L53" s="29" t="s">
        <v>3934</v>
      </c>
      <c r="M53" s="25" t="s">
        <v>3891</v>
      </c>
      <c r="N53" s="30">
        <v>1000</v>
      </c>
      <c r="O53" s="31">
        <v>0.04</v>
      </c>
      <c r="P53" s="31">
        <v>0.05</v>
      </c>
      <c r="Q53" s="31"/>
      <c r="R53" s="31"/>
      <c r="S53" s="31">
        <v>0.01</v>
      </c>
      <c r="T53" s="31"/>
      <c r="U53" s="31">
        <f t="shared" si="0"/>
        <v>9.9999999999999992E-2</v>
      </c>
      <c r="V53" s="31"/>
      <c r="W53" s="32" t="s">
        <v>848</v>
      </c>
      <c r="X53" s="32" t="s">
        <v>21</v>
      </c>
      <c r="Y53" s="32" t="s">
        <v>3841</v>
      </c>
      <c r="Z53" s="33" t="s">
        <v>1008</v>
      </c>
      <c r="AA53" s="34"/>
    </row>
    <row r="54" spans="1:27" s="28" customFormat="1" ht="60" customHeight="1" x14ac:dyDescent="0.25">
      <c r="A54" s="24">
        <v>50</v>
      </c>
      <c r="B54" s="24" t="s">
        <v>3437</v>
      </c>
      <c r="C54" s="25" t="s">
        <v>3436</v>
      </c>
      <c r="D54" s="26" t="s">
        <v>3834</v>
      </c>
      <c r="E54" s="25" t="s">
        <v>3833</v>
      </c>
      <c r="F54" s="25" t="s">
        <v>3832</v>
      </c>
      <c r="G54" s="24"/>
      <c r="H54" s="25" t="s">
        <v>3890</v>
      </c>
      <c r="I54" s="27"/>
      <c r="J54" s="28" t="s">
        <v>3889</v>
      </c>
      <c r="K54" s="29"/>
      <c r="L54" s="29" t="s">
        <v>3933</v>
      </c>
      <c r="M54" s="25" t="s">
        <v>402</v>
      </c>
      <c r="N54" s="30">
        <v>1</v>
      </c>
      <c r="O54" s="31"/>
      <c r="P54" s="31">
        <v>52</v>
      </c>
      <c r="Q54" s="31"/>
      <c r="R54" s="31"/>
      <c r="S54" s="31">
        <v>16</v>
      </c>
      <c r="T54" s="31"/>
      <c r="U54" s="31">
        <f t="shared" si="0"/>
        <v>68</v>
      </c>
      <c r="V54" s="31"/>
      <c r="W54" s="32" t="s">
        <v>848</v>
      </c>
      <c r="X54" s="32" t="s">
        <v>21</v>
      </c>
      <c r="Y54" s="32" t="s">
        <v>3841</v>
      </c>
      <c r="Z54" s="33" t="s">
        <v>1008</v>
      </c>
      <c r="AA54" s="34"/>
    </row>
    <row r="55" spans="1:27" s="28" customFormat="1" ht="60" customHeight="1" x14ac:dyDescent="0.25">
      <c r="A55" s="24">
        <v>51</v>
      </c>
      <c r="B55" s="24" t="s">
        <v>3437</v>
      </c>
      <c r="C55" s="25" t="s">
        <v>3436</v>
      </c>
      <c r="D55" s="26" t="s">
        <v>3834</v>
      </c>
      <c r="E55" s="25" t="s">
        <v>3833</v>
      </c>
      <c r="F55" s="25" t="s">
        <v>3832</v>
      </c>
      <c r="G55" s="24"/>
      <c r="H55" s="25" t="s">
        <v>3890</v>
      </c>
      <c r="I55" s="27"/>
      <c r="J55" s="28" t="s">
        <v>3889</v>
      </c>
      <c r="K55" s="29"/>
      <c r="L55" s="29" t="s">
        <v>3932</v>
      </c>
      <c r="M55" s="25" t="s">
        <v>402</v>
      </c>
      <c r="N55" s="30">
        <v>2</v>
      </c>
      <c r="O55" s="31"/>
      <c r="P55" s="31">
        <v>56</v>
      </c>
      <c r="Q55" s="31"/>
      <c r="R55" s="31"/>
      <c r="S55" s="31">
        <v>30</v>
      </c>
      <c r="T55" s="31"/>
      <c r="U55" s="31">
        <f t="shared" si="0"/>
        <v>86</v>
      </c>
      <c r="V55" s="31"/>
      <c r="W55" s="32" t="s">
        <v>22</v>
      </c>
      <c r="X55" s="32" t="s">
        <v>21</v>
      </c>
      <c r="Y55" s="32" t="s">
        <v>3841</v>
      </c>
      <c r="Z55" s="33" t="s">
        <v>1008</v>
      </c>
      <c r="AA55" s="34"/>
    </row>
    <row r="56" spans="1:27" s="28" customFormat="1" ht="60" customHeight="1" x14ac:dyDescent="0.25">
      <c r="A56" s="24">
        <v>52</v>
      </c>
      <c r="B56" s="24" t="s">
        <v>3437</v>
      </c>
      <c r="C56" s="25" t="s">
        <v>3436</v>
      </c>
      <c r="D56" s="26" t="s">
        <v>3834</v>
      </c>
      <c r="E56" s="25" t="s">
        <v>3833</v>
      </c>
      <c r="F56" s="25" t="s">
        <v>3832</v>
      </c>
      <c r="G56" s="24"/>
      <c r="H56" s="25" t="s">
        <v>3890</v>
      </c>
      <c r="I56" s="27"/>
      <c r="J56" s="28" t="s">
        <v>3889</v>
      </c>
      <c r="K56" s="29"/>
      <c r="L56" s="29" t="s">
        <v>3931</v>
      </c>
      <c r="M56" s="25" t="s">
        <v>402</v>
      </c>
      <c r="N56" s="30">
        <v>4</v>
      </c>
      <c r="O56" s="31">
        <v>2</v>
      </c>
      <c r="P56" s="31">
        <v>2</v>
      </c>
      <c r="Q56" s="31"/>
      <c r="R56" s="31"/>
      <c r="S56" s="31">
        <v>2</v>
      </c>
      <c r="T56" s="31"/>
      <c r="U56" s="31">
        <f t="shared" si="0"/>
        <v>6</v>
      </c>
      <c r="V56" s="31"/>
      <c r="W56" s="32" t="s">
        <v>22</v>
      </c>
      <c r="X56" s="32" t="s">
        <v>21</v>
      </c>
      <c r="Y56" s="32" t="s">
        <v>3841</v>
      </c>
      <c r="Z56" s="33" t="s">
        <v>1008</v>
      </c>
      <c r="AA56" s="34"/>
    </row>
    <row r="57" spans="1:27" s="28" customFormat="1" ht="60" customHeight="1" x14ac:dyDescent="0.25">
      <c r="A57" s="24">
        <v>53</v>
      </c>
      <c r="B57" s="24" t="s">
        <v>3437</v>
      </c>
      <c r="C57" s="25" t="s">
        <v>3436</v>
      </c>
      <c r="D57" s="26" t="s">
        <v>3834</v>
      </c>
      <c r="E57" s="25" t="s">
        <v>3833</v>
      </c>
      <c r="F57" s="25" t="s">
        <v>3832</v>
      </c>
      <c r="G57" s="24"/>
      <c r="H57" s="25" t="s">
        <v>3890</v>
      </c>
      <c r="I57" s="27"/>
      <c r="J57" s="28" t="s">
        <v>3889</v>
      </c>
      <c r="K57" s="29"/>
      <c r="L57" s="29" t="s">
        <v>3930</v>
      </c>
      <c r="M57" s="25" t="s">
        <v>3891</v>
      </c>
      <c r="N57" s="30">
        <v>300</v>
      </c>
      <c r="O57" s="31">
        <v>0.05</v>
      </c>
      <c r="P57" s="31">
        <v>3.3333333333333333E-2</v>
      </c>
      <c r="Q57" s="31"/>
      <c r="R57" s="31"/>
      <c r="S57" s="31">
        <v>1.6667000000000001E-2</v>
      </c>
      <c r="T57" s="31"/>
      <c r="U57" s="31">
        <f t="shared" si="0"/>
        <v>0.10000033333333334</v>
      </c>
      <c r="V57" s="31"/>
      <c r="W57" s="32" t="s">
        <v>848</v>
      </c>
      <c r="X57" s="32" t="s">
        <v>21</v>
      </c>
      <c r="Y57" s="32" t="s">
        <v>3841</v>
      </c>
      <c r="Z57" s="33" t="s">
        <v>1008</v>
      </c>
      <c r="AA57" s="34"/>
    </row>
    <row r="58" spans="1:27" s="28" customFormat="1" ht="78.75" x14ac:dyDescent="0.25">
      <c r="A58" s="24">
        <v>54</v>
      </c>
      <c r="B58" s="24" t="s">
        <v>3437</v>
      </c>
      <c r="C58" s="25" t="s">
        <v>3436</v>
      </c>
      <c r="D58" s="26" t="s">
        <v>3834</v>
      </c>
      <c r="E58" s="25" t="s">
        <v>3833</v>
      </c>
      <c r="F58" s="25" t="s">
        <v>3832</v>
      </c>
      <c r="G58" s="24"/>
      <c r="H58" s="25" t="s">
        <v>3890</v>
      </c>
      <c r="I58" s="27"/>
      <c r="J58" s="28" t="s">
        <v>3889</v>
      </c>
      <c r="K58" s="29"/>
      <c r="L58" s="29" t="s">
        <v>3929</v>
      </c>
      <c r="M58" s="25" t="s">
        <v>402</v>
      </c>
      <c r="N58" s="30">
        <v>4</v>
      </c>
      <c r="O58" s="31">
        <v>0</v>
      </c>
      <c r="P58" s="31">
        <v>48</v>
      </c>
      <c r="Q58" s="31"/>
      <c r="R58" s="31"/>
      <c r="S58" s="31">
        <v>72</v>
      </c>
      <c r="T58" s="31"/>
      <c r="U58" s="31">
        <f t="shared" si="0"/>
        <v>120</v>
      </c>
      <c r="V58" s="31"/>
      <c r="W58" s="32" t="s">
        <v>848</v>
      </c>
      <c r="X58" s="32" t="s">
        <v>21</v>
      </c>
      <c r="Y58" s="32" t="s">
        <v>3841</v>
      </c>
      <c r="Z58" s="33" t="s">
        <v>1008</v>
      </c>
      <c r="AA58" s="34"/>
    </row>
    <row r="59" spans="1:27" s="28" customFormat="1" ht="78.75" x14ac:dyDescent="0.25">
      <c r="A59" s="24">
        <v>55</v>
      </c>
      <c r="B59" s="24" t="s">
        <v>3437</v>
      </c>
      <c r="C59" s="25" t="s">
        <v>3436</v>
      </c>
      <c r="D59" s="26" t="s">
        <v>3834</v>
      </c>
      <c r="E59" s="25" t="s">
        <v>3833</v>
      </c>
      <c r="F59" s="25" t="s">
        <v>3832</v>
      </c>
      <c r="G59" s="24"/>
      <c r="H59" s="25" t="s">
        <v>3890</v>
      </c>
      <c r="I59" s="27"/>
      <c r="J59" s="28" t="s">
        <v>3889</v>
      </c>
      <c r="K59" s="29"/>
      <c r="L59" s="29" t="s">
        <v>3928</v>
      </c>
      <c r="M59" s="25" t="s">
        <v>402</v>
      </c>
      <c r="N59" s="30">
        <v>12</v>
      </c>
      <c r="O59" s="31">
        <v>0</v>
      </c>
      <c r="P59" s="31">
        <v>36</v>
      </c>
      <c r="Q59" s="31"/>
      <c r="R59" s="31"/>
      <c r="S59" s="31">
        <v>4</v>
      </c>
      <c r="T59" s="31"/>
      <c r="U59" s="31">
        <f t="shared" si="0"/>
        <v>40</v>
      </c>
      <c r="V59" s="31"/>
      <c r="W59" s="32" t="s">
        <v>848</v>
      </c>
      <c r="X59" s="32" t="s">
        <v>21</v>
      </c>
      <c r="Y59" s="32" t="s">
        <v>3841</v>
      </c>
      <c r="Z59" s="33" t="s">
        <v>1008</v>
      </c>
      <c r="AA59" s="34"/>
    </row>
    <row r="60" spans="1:27" s="28" customFormat="1" ht="78.75" x14ac:dyDescent="0.25">
      <c r="A60" s="24">
        <v>56</v>
      </c>
      <c r="B60" s="24" t="s">
        <v>3437</v>
      </c>
      <c r="C60" s="25" t="s">
        <v>3436</v>
      </c>
      <c r="D60" s="26" t="s">
        <v>3834</v>
      </c>
      <c r="E60" s="25" t="s">
        <v>3833</v>
      </c>
      <c r="F60" s="25" t="s">
        <v>3832</v>
      </c>
      <c r="G60" s="24"/>
      <c r="H60" s="25" t="s">
        <v>3890</v>
      </c>
      <c r="I60" s="27"/>
      <c r="J60" s="28" t="s">
        <v>3889</v>
      </c>
      <c r="K60" s="29"/>
      <c r="L60" s="29" t="s">
        <v>3927</v>
      </c>
      <c r="M60" s="25" t="s">
        <v>402</v>
      </c>
      <c r="N60" s="30">
        <v>12</v>
      </c>
      <c r="O60" s="31">
        <v>0</v>
      </c>
      <c r="P60" s="31">
        <v>4</v>
      </c>
      <c r="Q60" s="31"/>
      <c r="R60" s="31"/>
      <c r="S60" s="31">
        <v>1</v>
      </c>
      <c r="T60" s="31"/>
      <c r="U60" s="31">
        <f t="shared" si="0"/>
        <v>5</v>
      </c>
      <c r="V60" s="31"/>
      <c r="W60" s="32" t="s">
        <v>848</v>
      </c>
      <c r="X60" s="32" t="s">
        <v>21</v>
      </c>
      <c r="Y60" s="32" t="s">
        <v>3841</v>
      </c>
      <c r="Z60" s="33" t="s">
        <v>1008</v>
      </c>
      <c r="AA60" s="34"/>
    </row>
    <row r="61" spans="1:27" s="28" customFormat="1" ht="78.75" x14ac:dyDescent="0.25">
      <c r="A61" s="24">
        <v>57</v>
      </c>
      <c r="B61" s="24" t="s">
        <v>3437</v>
      </c>
      <c r="C61" s="25" t="s">
        <v>3436</v>
      </c>
      <c r="D61" s="26" t="s">
        <v>3834</v>
      </c>
      <c r="E61" s="25" t="s">
        <v>3833</v>
      </c>
      <c r="F61" s="25" t="s">
        <v>3832</v>
      </c>
      <c r="G61" s="24"/>
      <c r="H61" s="25" t="s">
        <v>3890</v>
      </c>
      <c r="I61" s="27"/>
      <c r="J61" s="28" t="s">
        <v>3889</v>
      </c>
      <c r="K61" s="29"/>
      <c r="L61" s="29" t="s">
        <v>3926</v>
      </c>
      <c r="M61" s="25" t="s">
        <v>402</v>
      </c>
      <c r="N61" s="30">
        <v>50</v>
      </c>
      <c r="O61" s="31"/>
      <c r="P61" s="31">
        <v>5</v>
      </c>
      <c r="Q61" s="31"/>
      <c r="R61" s="31"/>
      <c r="S61" s="31">
        <v>0.5</v>
      </c>
      <c r="T61" s="31"/>
      <c r="U61" s="31">
        <f t="shared" si="0"/>
        <v>5.5</v>
      </c>
      <c r="V61" s="31"/>
      <c r="W61" s="32" t="s">
        <v>22</v>
      </c>
      <c r="X61" s="32" t="s">
        <v>21</v>
      </c>
      <c r="Y61" s="32" t="s">
        <v>3841</v>
      </c>
      <c r="Z61" s="33" t="s">
        <v>1008</v>
      </c>
      <c r="AA61" s="34"/>
    </row>
    <row r="62" spans="1:27" s="28" customFormat="1" ht="78.75" x14ac:dyDescent="0.25">
      <c r="A62" s="24">
        <v>58</v>
      </c>
      <c r="B62" s="24" t="s">
        <v>3437</v>
      </c>
      <c r="C62" s="25" t="s">
        <v>3436</v>
      </c>
      <c r="D62" s="26" t="s">
        <v>3834</v>
      </c>
      <c r="E62" s="25" t="s">
        <v>3833</v>
      </c>
      <c r="F62" s="25" t="s">
        <v>3832</v>
      </c>
      <c r="G62" s="24"/>
      <c r="H62" s="25" t="s">
        <v>3890</v>
      </c>
      <c r="I62" s="27"/>
      <c r="J62" s="28" t="s">
        <v>3889</v>
      </c>
      <c r="K62" s="29"/>
      <c r="L62" s="29" t="s">
        <v>3925</v>
      </c>
      <c r="M62" s="25" t="s">
        <v>402</v>
      </c>
      <c r="N62" s="30">
        <v>2</v>
      </c>
      <c r="O62" s="31"/>
      <c r="P62" s="31"/>
      <c r="Q62" s="31"/>
      <c r="R62" s="31"/>
      <c r="S62" s="31">
        <v>8</v>
      </c>
      <c r="T62" s="31"/>
      <c r="U62" s="31">
        <f t="shared" si="0"/>
        <v>8</v>
      </c>
      <c r="V62" s="31"/>
      <c r="W62" s="32" t="s">
        <v>344</v>
      </c>
      <c r="X62" s="32" t="s">
        <v>21</v>
      </c>
      <c r="Y62" s="32" t="s">
        <v>3841</v>
      </c>
      <c r="Z62" s="33" t="s">
        <v>3488</v>
      </c>
      <c r="AA62" s="34"/>
    </row>
    <row r="63" spans="1:27" s="28" customFormat="1" ht="78.75" x14ac:dyDescent="0.25">
      <c r="A63" s="24">
        <v>59</v>
      </c>
      <c r="B63" s="24" t="s">
        <v>3437</v>
      </c>
      <c r="C63" s="25" t="s">
        <v>3436</v>
      </c>
      <c r="D63" s="26" t="s">
        <v>3834</v>
      </c>
      <c r="E63" s="25" t="s">
        <v>3833</v>
      </c>
      <c r="F63" s="25" t="s">
        <v>3832</v>
      </c>
      <c r="G63" s="24"/>
      <c r="H63" s="25" t="s">
        <v>3890</v>
      </c>
      <c r="I63" s="27"/>
      <c r="J63" s="28" t="s">
        <v>3889</v>
      </c>
      <c r="K63" s="29"/>
      <c r="L63" s="29" t="s">
        <v>3924</v>
      </c>
      <c r="M63" s="25" t="s">
        <v>402</v>
      </c>
      <c r="N63" s="30">
        <v>24</v>
      </c>
      <c r="O63" s="31">
        <v>0</v>
      </c>
      <c r="P63" s="31">
        <v>1</v>
      </c>
      <c r="Q63" s="31"/>
      <c r="R63" s="31"/>
      <c r="S63" s="31">
        <v>0.2</v>
      </c>
      <c r="T63" s="31"/>
      <c r="U63" s="31">
        <f t="shared" si="0"/>
        <v>1.2</v>
      </c>
      <c r="V63" s="31"/>
      <c r="W63" s="32" t="s">
        <v>848</v>
      </c>
      <c r="X63" s="32" t="s">
        <v>21</v>
      </c>
      <c r="Y63" s="32" t="s">
        <v>3841</v>
      </c>
      <c r="Z63" s="33" t="s">
        <v>1008</v>
      </c>
      <c r="AA63" s="34"/>
    </row>
    <row r="64" spans="1:27" s="28" customFormat="1" ht="78.75" x14ac:dyDescent="0.25">
      <c r="A64" s="24">
        <v>60</v>
      </c>
      <c r="B64" s="24" t="s">
        <v>3437</v>
      </c>
      <c r="C64" s="25" t="s">
        <v>3436</v>
      </c>
      <c r="D64" s="26" t="s">
        <v>3834</v>
      </c>
      <c r="E64" s="25" t="s">
        <v>3833</v>
      </c>
      <c r="F64" s="25" t="s">
        <v>3832</v>
      </c>
      <c r="G64" s="24"/>
      <c r="H64" s="25" t="s">
        <v>3890</v>
      </c>
      <c r="I64" s="27"/>
      <c r="J64" s="28" t="s">
        <v>3889</v>
      </c>
      <c r="K64" s="29"/>
      <c r="L64" s="32" t="s">
        <v>3923</v>
      </c>
      <c r="M64" s="44" t="s">
        <v>3921</v>
      </c>
      <c r="N64" s="30">
        <v>1</v>
      </c>
      <c r="O64" s="31">
        <v>42</v>
      </c>
      <c r="P64" s="46"/>
      <c r="Q64" s="47"/>
      <c r="R64" s="47"/>
      <c r="S64" s="35">
        <v>3</v>
      </c>
      <c r="T64" s="40"/>
      <c r="U64" s="31">
        <f t="shared" si="0"/>
        <v>45</v>
      </c>
      <c r="V64" s="31"/>
      <c r="W64" s="41" t="s">
        <v>848</v>
      </c>
      <c r="X64" s="41" t="s">
        <v>21</v>
      </c>
      <c r="Y64" s="41" t="s">
        <v>3841</v>
      </c>
      <c r="Z64" s="29" t="s">
        <v>1008</v>
      </c>
      <c r="AA64" s="34"/>
    </row>
    <row r="65" spans="1:27" s="28" customFormat="1" ht="78.75" x14ac:dyDescent="0.25">
      <c r="A65" s="24">
        <v>61</v>
      </c>
      <c r="B65" s="24" t="s">
        <v>3437</v>
      </c>
      <c r="C65" s="25" t="s">
        <v>3436</v>
      </c>
      <c r="D65" s="26" t="s">
        <v>3834</v>
      </c>
      <c r="E65" s="25" t="s">
        <v>3833</v>
      </c>
      <c r="F65" s="25" t="s">
        <v>3832</v>
      </c>
      <c r="G65" s="24"/>
      <c r="H65" s="25" t="s">
        <v>3890</v>
      </c>
      <c r="I65" s="27"/>
      <c r="J65" s="28" t="s">
        <v>3889</v>
      </c>
      <c r="K65" s="29"/>
      <c r="L65" s="32" t="s">
        <v>3922</v>
      </c>
      <c r="M65" s="44" t="s">
        <v>3921</v>
      </c>
      <c r="N65" s="39">
        <v>1</v>
      </c>
      <c r="O65" s="31">
        <v>53</v>
      </c>
      <c r="P65" s="31"/>
      <c r="Q65" s="35"/>
      <c r="R65" s="35"/>
      <c r="S65" s="35">
        <v>7</v>
      </c>
      <c r="T65" s="40"/>
      <c r="U65" s="31">
        <f t="shared" si="0"/>
        <v>60</v>
      </c>
      <c r="V65" s="31"/>
      <c r="W65" s="41" t="s">
        <v>848</v>
      </c>
      <c r="X65" s="41" t="s">
        <v>21</v>
      </c>
      <c r="Y65" s="41" t="s">
        <v>3841</v>
      </c>
      <c r="Z65" s="29" t="s">
        <v>1008</v>
      </c>
      <c r="AA65" s="34"/>
    </row>
    <row r="66" spans="1:27" s="28" customFormat="1" ht="78.75" x14ac:dyDescent="0.25">
      <c r="A66" s="24">
        <v>62</v>
      </c>
      <c r="B66" s="24" t="s">
        <v>3437</v>
      </c>
      <c r="C66" s="25" t="s">
        <v>3436</v>
      </c>
      <c r="D66" s="26" t="s">
        <v>3834</v>
      </c>
      <c r="E66" s="25" t="s">
        <v>3833</v>
      </c>
      <c r="F66" s="25" t="s">
        <v>3832</v>
      </c>
      <c r="G66" s="24"/>
      <c r="H66" s="25" t="s">
        <v>3890</v>
      </c>
      <c r="I66" s="27"/>
      <c r="J66" s="28" t="s">
        <v>3889</v>
      </c>
      <c r="K66" s="29"/>
      <c r="L66" s="38" t="s">
        <v>3920</v>
      </c>
      <c r="M66" s="36" t="s">
        <v>3891</v>
      </c>
      <c r="N66" s="39">
        <v>100</v>
      </c>
      <c r="O66" s="31">
        <v>0.1</v>
      </c>
      <c r="P66" s="35"/>
      <c r="Q66" s="47"/>
      <c r="R66" s="47"/>
      <c r="S66" s="35"/>
      <c r="T66" s="40"/>
      <c r="U66" s="31">
        <f t="shared" si="0"/>
        <v>0.1</v>
      </c>
      <c r="V66" s="31"/>
      <c r="W66" s="41" t="s">
        <v>848</v>
      </c>
      <c r="X66" s="41" t="s">
        <v>21</v>
      </c>
      <c r="Y66" s="41" t="s">
        <v>3841</v>
      </c>
      <c r="Z66" s="29" t="s">
        <v>1008</v>
      </c>
      <c r="AA66" s="34"/>
    </row>
    <row r="67" spans="1:27" s="28" customFormat="1" ht="78.75" x14ac:dyDescent="0.25">
      <c r="A67" s="24">
        <v>63</v>
      </c>
      <c r="B67" s="24" t="s">
        <v>3437</v>
      </c>
      <c r="C67" s="25" t="s">
        <v>3436</v>
      </c>
      <c r="D67" s="26" t="s">
        <v>3834</v>
      </c>
      <c r="E67" s="25" t="s">
        <v>3833</v>
      </c>
      <c r="F67" s="25" t="s">
        <v>3832</v>
      </c>
      <c r="G67" s="24"/>
      <c r="H67" s="25" t="s">
        <v>3890</v>
      </c>
      <c r="I67" s="27"/>
      <c r="J67" s="28" t="s">
        <v>3889</v>
      </c>
      <c r="K67" s="29"/>
      <c r="L67" s="33" t="s">
        <v>3919</v>
      </c>
      <c r="M67" s="44" t="s">
        <v>3918</v>
      </c>
      <c r="N67" s="39">
        <v>50</v>
      </c>
      <c r="O67" s="31">
        <v>4</v>
      </c>
      <c r="P67" s="35"/>
      <c r="Q67" s="35"/>
      <c r="R67" s="35"/>
      <c r="S67" s="35">
        <v>0.5</v>
      </c>
      <c r="T67" s="40"/>
      <c r="U67" s="31">
        <f t="shared" si="0"/>
        <v>4.5</v>
      </c>
      <c r="V67" s="31"/>
      <c r="W67" s="41" t="s">
        <v>848</v>
      </c>
      <c r="X67" s="41" t="s">
        <v>21</v>
      </c>
      <c r="Y67" s="41" t="s">
        <v>3841</v>
      </c>
      <c r="Z67" s="29" t="s">
        <v>1008</v>
      </c>
      <c r="AA67" s="34"/>
    </row>
    <row r="68" spans="1:27" s="28" customFormat="1" ht="78.75" x14ac:dyDescent="0.25">
      <c r="A68" s="24">
        <v>64</v>
      </c>
      <c r="B68" s="24" t="s">
        <v>3437</v>
      </c>
      <c r="C68" s="25" t="s">
        <v>3436</v>
      </c>
      <c r="D68" s="26" t="s">
        <v>3834</v>
      </c>
      <c r="E68" s="25" t="s">
        <v>3833</v>
      </c>
      <c r="F68" s="25" t="s">
        <v>3832</v>
      </c>
      <c r="G68" s="24"/>
      <c r="H68" s="25" t="s">
        <v>3890</v>
      </c>
      <c r="I68" s="27"/>
      <c r="J68" s="28" t="s">
        <v>3889</v>
      </c>
      <c r="K68" s="29"/>
      <c r="L68" s="32" t="s">
        <v>3917</v>
      </c>
      <c r="M68" s="44" t="s">
        <v>424</v>
      </c>
      <c r="N68" s="39">
        <v>30</v>
      </c>
      <c r="O68" s="35">
        <f>10+10+1</f>
        <v>21</v>
      </c>
      <c r="P68" s="35">
        <f>37.6+3.2+19.2</f>
        <v>60</v>
      </c>
      <c r="Q68" s="35"/>
      <c r="R68" s="35"/>
      <c r="S68" s="35">
        <v>13</v>
      </c>
      <c r="T68" s="47"/>
      <c r="U68" s="31">
        <f t="shared" si="0"/>
        <v>94</v>
      </c>
      <c r="V68" s="31"/>
      <c r="W68" s="41" t="s">
        <v>848</v>
      </c>
      <c r="X68" s="41" t="s">
        <v>21</v>
      </c>
      <c r="Y68" s="41" t="s">
        <v>3841</v>
      </c>
      <c r="Z68" s="29" t="s">
        <v>1008</v>
      </c>
      <c r="AA68" s="34"/>
    </row>
    <row r="69" spans="1:27" s="28" customFormat="1" ht="78.75" x14ac:dyDescent="0.25">
      <c r="A69" s="24">
        <v>65</v>
      </c>
      <c r="B69" s="24" t="s">
        <v>3437</v>
      </c>
      <c r="C69" s="25" t="s">
        <v>3436</v>
      </c>
      <c r="D69" s="26" t="s">
        <v>3834</v>
      </c>
      <c r="E69" s="25" t="s">
        <v>3833</v>
      </c>
      <c r="F69" s="25" t="s">
        <v>3832</v>
      </c>
      <c r="G69" s="24"/>
      <c r="H69" s="25" t="s">
        <v>3890</v>
      </c>
      <c r="I69" s="27"/>
      <c r="J69" s="28" t="s">
        <v>3889</v>
      </c>
      <c r="K69" s="29"/>
      <c r="L69" s="33" t="s">
        <v>3916</v>
      </c>
      <c r="M69" s="36" t="s">
        <v>402</v>
      </c>
      <c r="N69" s="30">
        <v>100</v>
      </c>
      <c r="O69" s="31">
        <v>0.96</v>
      </c>
      <c r="P69" s="35">
        <v>2.66</v>
      </c>
      <c r="Q69" s="35"/>
      <c r="R69" s="35"/>
      <c r="S69" s="35">
        <v>31.76</v>
      </c>
      <c r="T69" s="40"/>
      <c r="U69" s="31">
        <f t="shared" si="0"/>
        <v>35.380000000000003</v>
      </c>
      <c r="V69" s="31"/>
      <c r="W69" s="41" t="s">
        <v>848</v>
      </c>
      <c r="X69" s="41" t="s">
        <v>21</v>
      </c>
      <c r="Y69" s="41" t="s">
        <v>3841</v>
      </c>
      <c r="Z69" s="29" t="s">
        <v>1008</v>
      </c>
      <c r="AA69" s="34"/>
    </row>
    <row r="70" spans="1:27" s="28" customFormat="1" ht="108" customHeight="1" x14ac:dyDescent="0.25">
      <c r="A70" s="24">
        <v>66</v>
      </c>
      <c r="B70" s="24" t="s">
        <v>3437</v>
      </c>
      <c r="C70" s="25" t="s">
        <v>3436</v>
      </c>
      <c r="D70" s="26" t="s">
        <v>3834</v>
      </c>
      <c r="E70" s="25" t="s">
        <v>3833</v>
      </c>
      <c r="F70" s="25" t="s">
        <v>3832</v>
      </c>
      <c r="G70" s="24"/>
      <c r="H70" s="25" t="s">
        <v>3890</v>
      </c>
      <c r="I70" s="27"/>
      <c r="J70" s="28" t="s">
        <v>3889</v>
      </c>
      <c r="K70" s="29"/>
      <c r="L70" s="33" t="s">
        <v>3915</v>
      </c>
      <c r="M70" s="36" t="s">
        <v>402</v>
      </c>
      <c r="N70" s="30">
        <v>2</v>
      </c>
      <c r="O70" s="31">
        <v>0.3</v>
      </c>
      <c r="P70" s="35">
        <f>16+28</f>
        <v>44</v>
      </c>
      <c r="Q70" s="35"/>
      <c r="R70" s="35"/>
      <c r="S70" s="35">
        <v>9.5</v>
      </c>
      <c r="T70" s="40"/>
      <c r="U70" s="31">
        <f t="shared" ref="U70:U133" si="1">SUM(O70:T70)</f>
        <v>53.8</v>
      </c>
      <c r="V70" s="31"/>
      <c r="W70" s="41" t="s">
        <v>848</v>
      </c>
      <c r="X70" s="41" t="s">
        <v>21</v>
      </c>
      <c r="Y70" s="41" t="s">
        <v>3841</v>
      </c>
      <c r="Z70" s="29" t="s">
        <v>1008</v>
      </c>
      <c r="AA70" s="34"/>
    </row>
    <row r="71" spans="1:27" s="28" customFormat="1" ht="78.75" x14ac:dyDescent="0.25">
      <c r="A71" s="24">
        <v>67</v>
      </c>
      <c r="B71" s="24" t="s">
        <v>3437</v>
      </c>
      <c r="C71" s="25" t="s">
        <v>3436</v>
      </c>
      <c r="D71" s="26" t="s">
        <v>3834</v>
      </c>
      <c r="E71" s="25" t="s">
        <v>3833</v>
      </c>
      <c r="F71" s="25" t="s">
        <v>3832</v>
      </c>
      <c r="G71" s="24"/>
      <c r="H71" s="25" t="s">
        <v>3890</v>
      </c>
      <c r="I71" s="27"/>
      <c r="J71" s="28" t="s">
        <v>3889</v>
      </c>
      <c r="K71" s="29"/>
      <c r="L71" s="33" t="s">
        <v>3914</v>
      </c>
      <c r="M71" s="36" t="s">
        <v>402</v>
      </c>
      <c r="N71" s="30">
        <v>10</v>
      </c>
      <c r="O71" s="31">
        <v>1.6</v>
      </c>
      <c r="P71" s="35">
        <v>6.4</v>
      </c>
      <c r="Q71" s="31"/>
      <c r="R71" s="31"/>
      <c r="S71" s="35">
        <v>4</v>
      </c>
      <c r="T71" s="40"/>
      <c r="U71" s="31">
        <f t="shared" si="1"/>
        <v>12</v>
      </c>
      <c r="V71" s="31"/>
      <c r="W71" s="41" t="s">
        <v>3895</v>
      </c>
      <c r="X71" s="41" t="s">
        <v>21</v>
      </c>
      <c r="Y71" s="41" t="s">
        <v>3841</v>
      </c>
      <c r="Z71" s="45"/>
      <c r="AA71" s="34"/>
    </row>
    <row r="72" spans="1:27" s="28" customFormat="1" ht="78.75" x14ac:dyDescent="0.25">
      <c r="A72" s="24">
        <v>68</v>
      </c>
      <c r="B72" s="24" t="s">
        <v>3437</v>
      </c>
      <c r="C72" s="25" t="s">
        <v>3436</v>
      </c>
      <c r="D72" s="26" t="s">
        <v>3834</v>
      </c>
      <c r="E72" s="25" t="s">
        <v>3833</v>
      </c>
      <c r="F72" s="25" t="s">
        <v>3832</v>
      </c>
      <c r="G72" s="24"/>
      <c r="H72" s="25" t="s">
        <v>3890</v>
      </c>
      <c r="I72" s="27"/>
      <c r="J72" s="28" t="s">
        <v>3889</v>
      </c>
      <c r="K72" s="29"/>
      <c r="L72" s="33" t="s">
        <v>3913</v>
      </c>
      <c r="M72" s="36" t="s">
        <v>402</v>
      </c>
      <c r="N72" s="39">
        <v>52</v>
      </c>
      <c r="O72" s="31">
        <f>0.962+0.962</f>
        <v>1.9239999999999999</v>
      </c>
      <c r="P72" s="35">
        <f>0.44+3.23</f>
        <v>3.67</v>
      </c>
      <c r="Q72" s="35"/>
      <c r="R72" s="35"/>
      <c r="S72" s="35">
        <v>2</v>
      </c>
      <c r="T72" s="40"/>
      <c r="U72" s="31">
        <f t="shared" si="1"/>
        <v>7.5939999999999994</v>
      </c>
      <c r="V72" s="31"/>
      <c r="W72" s="41" t="s">
        <v>848</v>
      </c>
      <c r="X72" s="41" t="s">
        <v>21</v>
      </c>
      <c r="Y72" s="41" t="s">
        <v>3841</v>
      </c>
      <c r="Z72" s="29" t="s">
        <v>1008</v>
      </c>
      <c r="AA72" s="34"/>
    </row>
    <row r="73" spans="1:27" s="28" customFormat="1" ht="78.75" x14ac:dyDescent="0.25">
      <c r="A73" s="24">
        <v>69</v>
      </c>
      <c r="B73" s="24" t="s">
        <v>3437</v>
      </c>
      <c r="C73" s="25" t="s">
        <v>3436</v>
      </c>
      <c r="D73" s="26" t="s">
        <v>3834</v>
      </c>
      <c r="E73" s="25" t="s">
        <v>3833</v>
      </c>
      <c r="F73" s="25" t="s">
        <v>3832</v>
      </c>
      <c r="G73" s="24"/>
      <c r="H73" s="25" t="s">
        <v>3890</v>
      </c>
      <c r="I73" s="27"/>
      <c r="J73" s="28" t="s">
        <v>3889</v>
      </c>
      <c r="K73" s="29"/>
      <c r="L73" s="33" t="s">
        <v>3912</v>
      </c>
      <c r="M73" s="36" t="s">
        <v>402</v>
      </c>
      <c r="N73" s="39">
        <v>15</v>
      </c>
      <c r="O73" s="35">
        <f>2.4+3.2</f>
        <v>5.6</v>
      </c>
      <c r="P73" s="35">
        <f>3+4.2</f>
        <v>7.2</v>
      </c>
      <c r="Q73" s="35"/>
      <c r="R73" s="35"/>
      <c r="S73" s="35">
        <v>2</v>
      </c>
      <c r="T73" s="40"/>
      <c r="U73" s="31">
        <f t="shared" si="1"/>
        <v>14.8</v>
      </c>
      <c r="V73" s="31"/>
      <c r="W73" s="41" t="s">
        <v>848</v>
      </c>
      <c r="X73" s="41" t="s">
        <v>21</v>
      </c>
      <c r="Y73" s="41" t="s">
        <v>3841</v>
      </c>
      <c r="Z73" s="29" t="s">
        <v>1008</v>
      </c>
      <c r="AA73" s="34"/>
    </row>
    <row r="74" spans="1:27" s="28" customFormat="1" ht="78.75" x14ac:dyDescent="0.25">
      <c r="A74" s="24">
        <v>70</v>
      </c>
      <c r="B74" s="24" t="s">
        <v>3437</v>
      </c>
      <c r="C74" s="25" t="s">
        <v>3436</v>
      </c>
      <c r="D74" s="26" t="s">
        <v>3834</v>
      </c>
      <c r="E74" s="25" t="s">
        <v>3833</v>
      </c>
      <c r="F74" s="25" t="s">
        <v>3832</v>
      </c>
      <c r="G74" s="24"/>
      <c r="H74" s="25" t="s">
        <v>3890</v>
      </c>
      <c r="I74" s="27"/>
      <c r="J74" s="28" t="s">
        <v>3889</v>
      </c>
      <c r="K74" s="29"/>
      <c r="L74" s="33" t="s">
        <v>3911</v>
      </c>
      <c r="M74" s="36" t="s">
        <v>402</v>
      </c>
      <c r="N74" s="30">
        <v>8</v>
      </c>
      <c r="O74" s="31">
        <v>1</v>
      </c>
      <c r="P74" s="35">
        <v>2.25</v>
      </c>
      <c r="Q74" s="31"/>
      <c r="R74" s="31"/>
      <c r="S74" s="31">
        <v>0</v>
      </c>
      <c r="T74" s="40"/>
      <c r="U74" s="31">
        <f t="shared" si="1"/>
        <v>3.25</v>
      </c>
      <c r="V74" s="31"/>
      <c r="W74" s="41" t="s">
        <v>848</v>
      </c>
      <c r="X74" s="41" t="s">
        <v>21</v>
      </c>
      <c r="Y74" s="41" t="s">
        <v>3841</v>
      </c>
      <c r="Z74" s="29" t="s">
        <v>1008</v>
      </c>
      <c r="AA74" s="34"/>
    </row>
    <row r="75" spans="1:27" s="28" customFormat="1" ht="78.75" x14ac:dyDescent="0.25">
      <c r="A75" s="24">
        <v>71</v>
      </c>
      <c r="B75" s="24" t="s">
        <v>3437</v>
      </c>
      <c r="C75" s="25" t="s">
        <v>3436</v>
      </c>
      <c r="D75" s="26" t="s">
        <v>3834</v>
      </c>
      <c r="E75" s="25" t="s">
        <v>3833</v>
      </c>
      <c r="F75" s="25" t="s">
        <v>3832</v>
      </c>
      <c r="G75" s="24"/>
      <c r="H75" s="25" t="s">
        <v>3890</v>
      </c>
      <c r="I75" s="27"/>
      <c r="J75" s="28" t="s">
        <v>3889</v>
      </c>
      <c r="K75" s="29"/>
      <c r="L75" s="33" t="s">
        <v>3910</v>
      </c>
      <c r="M75" s="36" t="s">
        <v>402</v>
      </c>
      <c r="N75" s="30">
        <v>52</v>
      </c>
      <c r="O75" s="31">
        <f>0.38+0.3</f>
        <v>0.67999999999999994</v>
      </c>
      <c r="P75" s="35">
        <f>1.63+81</f>
        <v>82.63</v>
      </c>
      <c r="Q75" s="31"/>
      <c r="R75" s="31"/>
      <c r="S75" s="31">
        <v>10.753846153846153</v>
      </c>
      <c r="T75" s="40"/>
      <c r="U75" s="31">
        <f t="shared" si="1"/>
        <v>94.063846153846157</v>
      </c>
      <c r="V75" s="31"/>
      <c r="W75" s="41" t="s">
        <v>848</v>
      </c>
      <c r="X75" s="41" t="s">
        <v>21</v>
      </c>
      <c r="Y75" s="41" t="s">
        <v>3841</v>
      </c>
      <c r="Z75" s="29" t="s">
        <v>1008</v>
      </c>
      <c r="AA75" s="34"/>
    </row>
    <row r="76" spans="1:27" s="28" customFormat="1" ht="78.75" x14ac:dyDescent="0.25">
      <c r="A76" s="24">
        <v>72</v>
      </c>
      <c r="B76" s="24" t="s">
        <v>3437</v>
      </c>
      <c r="C76" s="25" t="s">
        <v>3436</v>
      </c>
      <c r="D76" s="26" t="s">
        <v>3834</v>
      </c>
      <c r="E76" s="25" t="s">
        <v>3833</v>
      </c>
      <c r="F76" s="25" t="s">
        <v>3832</v>
      </c>
      <c r="G76" s="24"/>
      <c r="H76" s="25" t="s">
        <v>3890</v>
      </c>
      <c r="I76" s="27"/>
      <c r="J76" s="28" t="s">
        <v>3889</v>
      </c>
      <c r="K76" s="29"/>
      <c r="L76" s="33" t="s">
        <v>3909</v>
      </c>
      <c r="M76" s="36" t="s">
        <v>3908</v>
      </c>
      <c r="N76" s="30">
        <v>100</v>
      </c>
      <c r="O76" s="31">
        <v>0.5</v>
      </c>
      <c r="P76" s="35">
        <v>0.85</v>
      </c>
      <c r="Q76" s="31"/>
      <c r="R76" s="31"/>
      <c r="S76" s="31">
        <v>0.2</v>
      </c>
      <c r="T76" s="40"/>
      <c r="U76" s="31">
        <f t="shared" si="1"/>
        <v>1.55</v>
      </c>
      <c r="V76" s="31"/>
      <c r="W76" s="41" t="s">
        <v>3907</v>
      </c>
      <c r="X76" s="41" t="s">
        <v>21</v>
      </c>
      <c r="Y76" s="41" t="s">
        <v>3841</v>
      </c>
      <c r="Z76" s="45"/>
      <c r="AA76" s="34"/>
    </row>
    <row r="77" spans="1:27" s="28" customFormat="1" ht="78.75" x14ac:dyDescent="0.25">
      <c r="A77" s="24">
        <v>73</v>
      </c>
      <c r="B77" s="24" t="s">
        <v>3437</v>
      </c>
      <c r="C77" s="25" t="s">
        <v>3436</v>
      </c>
      <c r="D77" s="26" t="s">
        <v>3834</v>
      </c>
      <c r="E77" s="25" t="s">
        <v>3833</v>
      </c>
      <c r="F77" s="25" t="s">
        <v>3832</v>
      </c>
      <c r="G77" s="24"/>
      <c r="H77" s="25" t="s">
        <v>3890</v>
      </c>
      <c r="I77" s="27"/>
      <c r="J77" s="28" t="s">
        <v>3889</v>
      </c>
      <c r="K77" s="29"/>
      <c r="L77" s="33" t="s">
        <v>3906</v>
      </c>
      <c r="M77" s="44" t="s">
        <v>3905</v>
      </c>
      <c r="N77" s="30">
        <v>150</v>
      </c>
      <c r="O77" s="31">
        <v>2.6666666666666665</v>
      </c>
      <c r="P77" s="35">
        <v>1.8666666666666667</v>
      </c>
      <c r="Q77" s="35"/>
      <c r="R77" s="35"/>
      <c r="S77" s="35">
        <v>0.5</v>
      </c>
      <c r="T77" s="40"/>
      <c r="U77" s="31">
        <f t="shared" si="1"/>
        <v>5.0333333333333332</v>
      </c>
      <c r="V77" s="31"/>
      <c r="W77" s="41" t="s">
        <v>848</v>
      </c>
      <c r="X77" s="41" t="s">
        <v>21</v>
      </c>
      <c r="Y77" s="41" t="s">
        <v>3841</v>
      </c>
      <c r="Z77" s="29" t="s">
        <v>1008</v>
      </c>
      <c r="AA77" s="34"/>
    </row>
    <row r="78" spans="1:27" s="28" customFormat="1" ht="78.75" x14ac:dyDescent="0.25">
      <c r="A78" s="24">
        <v>74</v>
      </c>
      <c r="B78" s="24" t="s">
        <v>3437</v>
      </c>
      <c r="C78" s="25" t="s">
        <v>3436</v>
      </c>
      <c r="D78" s="26" t="s">
        <v>3834</v>
      </c>
      <c r="E78" s="25" t="s">
        <v>3833</v>
      </c>
      <c r="F78" s="25" t="s">
        <v>3832</v>
      </c>
      <c r="G78" s="24"/>
      <c r="H78" s="25" t="s">
        <v>3890</v>
      </c>
      <c r="I78" s="27"/>
      <c r="J78" s="28" t="s">
        <v>3889</v>
      </c>
      <c r="K78" s="29"/>
      <c r="L78" s="33" t="s">
        <v>3904</v>
      </c>
      <c r="M78" s="36" t="s">
        <v>402</v>
      </c>
      <c r="N78" s="30">
        <v>30</v>
      </c>
      <c r="O78" s="31">
        <v>0.8</v>
      </c>
      <c r="P78" s="35">
        <v>2.8</v>
      </c>
      <c r="Q78" s="35"/>
      <c r="R78" s="35"/>
      <c r="S78" s="35">
        <v>20.399999999999999</v>
      </c>
      <c r="T78" s="40"/>
      <c r="U78" s="31">
        <f t="shared" si="1"/>
        <v>24</v>
      </c>
      <c r="V78" s="31"/>
      <c r="W78" s="41" t="s">
        <v>848</v>
      </c>
      <c r="X78" s="41" t="s">
        <v>21</v>
      </c>
      <c r="Y78" s="41" t="s">
        <v>3841</v>
      </c>
      <c r="Z78" s="29" t="s">
        <v>1008</v>
      </c>
      <c r="AA78" s="34"/>
    </row>
    <row r="79" spans="1:27" s="28" customFormat="1" ht="78.75" x14ac:dyDescent="0.25">
      <c r="A79" s="24">
        <v>75</v>
      </c>
      <c r="B79" s="24" t="s">
        <v>3437</v>
      </c>
      <c r="C79" s="25" t="s">
        <v>3436</v>
      </c>
      <c r="D79" s="26" t="s">
        <v>3834</v>
      </c>
      <c r="E79" s="25" t="s">
        <v>3833</v>
      </c>
      <c r="F79" s="25" t="s">
        <v>3832</v>
      </c>
      <c r="G79" s="24"/>
      <c r="H79" s="25" t="s">
        <v>3890</v>
      </c>
      <c r="I79" s="27"/>
      <c r="J79" s="28" t="s">
        <v>3889</v>
      </c>
      <c r="K79" s="29"/>
      <c r="L79" s="33" t="s">
        <v>3903</v>
      </c>
      <c r="M79" s="36" t="s">
        <v>402</v>
      </c>
      <c r="N79" s="30">
        <v>416</v>
      </c>
      <c r="O79" s="31">
        <v>0.66666666666666663</v>
      </c>
      <c r="P79" s="35">
        <v>1</v>
      </c>
      <c r="Q79" s="35"/>
      <c r="R79" s="35"/>
      <c r="S79" s="35">
        <v>0.29999999999999993</v>
      </c>
      <c r="T79" s="40"/>
      <c r="U79" s="31">
        <f t="shared" si="1"/>
        <v>1.9666666666666663</v>
      </c>
      <c r="V79" s="31"/>
      <c r="W79" s="41" t="s">
        <v>22</v>
      </c>
      <c r="X79" s="41" t="s">
        <v>21</v>
      </c>
      <c r="Y79" s="41" t="s">
        <v>3841</v>
      </c>
      <c r="Z79" s="29" t="s">
        <v>1008</v>
      </c>
      <c r="AA79" s="34"/>
    </row>
    <row r="80" spans="1:27" s="28" customFormat="1" ht="78.75" x14ac:dyDescent="0.25">
      <c r="A80" s="24">
        <v>76</v>
      </c>
      <c r="B80" s="24" t="s">
        <v>3437</v>
      </c>
      <c r="C80" s="25" t="s">
        <v>3436</v>
      </c>
      <c r="D80" s="26" t="s">
        <v>3834</v>
      </c>
      <c r="E80" s="25" t="s">
        <v>3833</v>
      </c>
      <c r="F80" s="25" t="s">
        <v>3832</v>
      </c>
      <c r="G80" s="24"/>
      <c r="H80" s="25" t="s">
        <v>3890</v>
      </c>
      <c r="I80" s="27"/>
      <c r="J80" s="28" t="s">
        <v>3889</v>
      </c>
      <c r="K80" s="29"/>
      <c r="L80" s="33" t="s">
        <v>3902</v>
      </c>
      <c r="M80" s="36" t="s">
        <v>402</v>
      </c>
      <c r="N80" s="30">
        <v>24</v>
      </c>
      <c r="O80" s="31">
        <v>0.5</v>
      </c>
      <c r="P80" s="35">
        <v>0.34999999999999992</v>
      </c>
      <c r="Q80" s="31"/>
      <c r="R80" s="31"/>
      <c r="S80" s="31">
        <v>0.3</v>
      </c>
      <c r="T80" s="40"/>
      <c r="U80" s="31">
        <f t="shared" si="1"/>
        <v>1.1499999999999999</v>
      </c>
      <c r="V80" s="31"/>
      <c r="W80" s="41" t="s">
        <v>848</v>
      </c>
      <c r="X80" s="41" t="s">
        <v>21</v>
      </c>
      <c r="Y80" s="41" t="s">
        <v>3841</v>
      </c>
      <c r="Z80" s="29" t="s">
        <v>1008</v>
      </c>
      <c r="AA80" s="34"/>
    </row>
    <row r="81" spans="1:27" s="28" customFormat="1" ht="78.75" x14ac:dyDescent="0.25">
      <c r="A81" s="24">
        <v>77</v>
      </c>
      <c r="B81" s="24" t="s">
        <v>3437</v>
      </c>
      <c r="C81" s="25" t="s">
        <v>3436</v>
      </c>
      <c r="D81" s="26" t="s">
        <v>3834</v>
      </c>
      <c r="E81" s="25" t="s">
        <v>3833</v>
      </c>
      <c r="F81" s="25" t="s">
        <v>3832</v>
      </c>
      <c r="G81" s="24"/>
      <c r="H81" s="25" t="s">
        <v>3890</v>
      </c>
      <c r="I81" s="27"/>
      <c r="J81" s="28" t="s">
        <v>3889</v>
      </c>
      <c r="K81" s="29"/>
      <c r="L81" s="33" t="s">
        <v>3901</v>
      </c>
      <c r="M81" s="25" t="s">
        <v>3900</v>
      </c>
      <c r="N81" s="30">
        <v>1400</v>
      </c>
      <c r="O81" s="31">
        <v>2.8571428571428571E-2</v>
      </c>
      <c r="P81" s="35">
        <v>6.4285714285714279E-2</v>
      </c>
      <c r="Q81" s="31"/>
      <c r="R81" s="31"/>
      <c r="S81" s="31">
        <v>7.1428571428571426E-3</v>
      </c>
      <c r="T81" s="40"/>
      <c r="U81" s="31">
        <f t="shared" si="1"/>
        <v>9.9999999999999992E-2</v>
      </c>
      <c r="V81" s="31"/>
      <c r="W81" s="41" t="s">
        <v>848</v>
      </c>
      <c r="X81" s="41" t="s">
        <v>21</v>
      </c>
      <c r="Y81" s="41" t="s">
        <v>3841</v>
      </c>
      <c r="Z81" s="29" t="s">
        <v>1008</v>
      </c>
      <c r="AA81" s="34"/>
    </row>
    <row r="82" spans="1:27" s="28" customFormat="1" ht="106.5" customHeight="1" x14ac:dyDescent="0.25">
      <c r="A82" s="24">
        <v>78</v>
      </c>
      <c r="B82" s="24" t="s">
        <v>3437</v>
      </c>
      <c r="C82" s="25" t="s">
        <v>3436</v>
      </c>
      <c r="D82" s="26" t="s">
        <v>3834</v>
      </c>
      <c r="E82" s="25" t="s">
        <v>3833</v>
      </c>
      <c r="F82" s="25" t="s">
        <v>3832</v>
      </c>
      <c r="G82" s="24"/>
      <c r="H82" s="25" t="s">
        <v>3890</v>
      </c>
      <c r="I82" s="27"/>
      <c r="J82" s="28" t="s">
        <v>3889</v>
      </c>
      <c r="K82" s="29"/>
      <c r="L82" s="48" t="s">
        <v>3899</v>
      </c>
      <c r="M82" s="44" t="s">
        <v>1696</v>
      </c>
      <c r="N82" s="30">
        <v>6</v>
      </c>
      <c r="O82" s="31">
        <v>0</v>
      </c>
      <c r="P82" s="35">
        <v>30</v>
      </c>
      <c r="Q82" s="35"/>
      <c r="R82" s="35"/>
      <c r="S82" s="35">
        <v>8</v>
      </c>
      <c r="T82" s="40"/>
      <c r="U82" s="31">
        <f t="shared" si="1"/>
        <v>38</v>
      </c>
      <c r="V82" s="31"/>
      <c r="W82" s="41" t="s">
        <v>848</v>
      </c>
      <c r="X82" s="41" t="s">
        <v>21</v>
      </c>
      <c r="Y82" s="41" t="s">
        <v>3841</v>
      </c>
      <c r="Z82" s="29" t="s">
        <v>1008</v>
      </c>
      <c r="AA82" s="34"/>
    </row>
    <row r="83" spans="1:27" s="28" customFormat="1" ht="78.75" x14ac:dyDescent="0.25">
      <c r="A83" s="24">
        <v>79</v>
      </c>
      <c r="B83" s="24" t="s">
        <v>3437</v>
      </c>
      <c r="C83" s="25" t="s">
        <v>3436</v>
      </c>
      <c r="D83" s="26" t="s">
        <v>3834</v>
      </c>
      <c r="E83" s="25" t="s">
        <v>3833</v>
      </c>
      <c r="F83" s="25" t="s">
        <v>3832</v>
      </c>
      <c r="G83" s="24"/>
      <c r="H83" s="25" t="s">
        <v>3890</v>
      </c>
      <c r="I83" s="27"/>
      <c r="J83" s="28" t="s">
        <v>3889</v>
      </c>
      <c r="K83" s="29"/>
      <c r="L83" s="48" t="s">
        <v>3898</v>
      </c>
      <c r="M83" s="36" t="s">
        <v>402</v>
      </c>
      <c r="N83" s="30">
        <v>20</v>
      </c>
      <c r="O83" s="31">
        <v>0</v>
      </c>
      <c r="P83" s="35">
        <v>5</v>
      </c>
      <c r="Q83" s="35"/>
      <c r="R83" s="35"/>
      <c r="S83" s="35">
        <v>1</v>
      </c>
      <c r="T83" s="40"/>
      <c r="U83" s="31">
        <f t="shared" si="1"/>
        <v>6</v>
      </c>
      <c r="V83" s="31"/>
      <c r="W83" s="41" t="s">
        <v>848</v>
      </c>
      <c r="X83" s="41" t="s">
        <v>21</v>
      </c>
      <c r="Y83" s="41" t="s">
        <v>3841</v>
      </c>
      <c r="Z83" s="29" t="s">
        <v>1008</v>
      </c>
      <c r="AA83" s="34"/>
    </row>
    <row r="84" spans="1:27" s="28" customFormat="1" ht="78.75" x14ac:dyDescent="0.25">
      <c r="A84" s="24">
        <v>80</v>
      </c>
      <c r="B84" s="24" t="s">
        <v>3437</v>
      </c>
      <c r="C84" s="25" t="s">
        <v>3436</v>
      </c>
      <c r="D84" s="26" t="s">
        <v>3834</v>
      </c>
      <c r="E84" s="25" t="s">
        <v>3833</v>
      </c>
      <c r="F84" s="25" t="s">
        <v>3832</v>
      </c>
      <c r="G84" s="24"/>
      <c r="H84" s="25" t="s">
        <v>3890</v>
      </c>
      <c r="I84" s="27"/>
      <c r="J84" s="28" t="s">
        <v>3889</v>
      </c>
      <c r="K84" s="29"/>
      <c r="L84" s="48" t="s">
        <v>3897</v>
      </c>
      <c r="M84" s="36" t="s">
        <v>402</v>
      </c>
      <c r="N84" s="30">
        <v>6</v>
      </c>
      <c r="O84" s="31">
        <v>0</v>
      </c>
      <c r="P84" s="35">
        <v>4</v>
      </c>
      <c r="Q84" s="35"/>
      <c r="R84" s="35"/>
      <c r="S84" s="35">
        <v>1</v>
      </c>
      <c r="T84" s="40"/>
      <c r="U84" s="31">
        <f t="shared" si="1"/>
        <v>5</v>
      </c>
      <c r="V84" s="31"/>
      <c r="W84" s="41" t="s">
        <v>848</v>
      </c>
      <c r="X84" s="41" t="s">
        <v>21</v>
      </c>
      <c r="Y84" s="41" t="s">
        <v>3841</v>
      </c>
      <c r="Z84" s="29" t="s">
        <v>1008</v>
      </c>
      <c r="AA84" s="34"/>
    </row>
    <row r="85" spans="1:27" s="28" customFormat="1" ht="78.75" x14ac:dyDescent="0.25">
      <c r="A85" s="24">
        <v>81</v>
      </c>
      <c r="B85" s="24" t="s">
        <v>3437</v>
      </c>
      <c r="C85" s="25" t="s">
        <v>3436</v>
      </c>
      <c r="D85" s="26" t="s">
        <v>3834</v>
      </c>
      <c r="E85" s="25" t="s">
        <v>3833</v>
      </c>
      <c r="F85" s="25" t="s">
        <v>3832</v>
      </c>
      <c r="G85" s="24"/>
      <c r="H85" s="25" t="s">
        <v>3890</v>
      </c>
      <c r="I85" s="27"/>
      <c r="J85" s="28" t="s">
        <v>3889</v>
      </c>
      <c r="K85" s="29"/>
      <c r="L85" s="48" t="s">
        <v>3896</v>
      </c>
      <c r="M85" s="36" t="s">
        <v>402</v>
      </c>
      <c r="N85" s="30">
        <v>2</v>
      </c>
      <c r="O85" s="31">
        <v>0</v>
      </c>
      <c r="P85" s="35">
        <v>9</v>
      </c>
      <c r="Q85" s="31"/>
      <c r="R85" s="31"/>
      <c r="S85" s="31">
        <v>0.5</v>
      </c>
      <c r="T85" s="40"/>
      <c r="U85" s="31">
        <f t="shared" si="1"/>
        <v>9.5</v>
      </c>
      <c r="V85" s="31"/>
      <c r="W85" s="41" t="s">
        <v>3895</v>
      </c>
      <c r="X85" s="41" t="s">
        <v>21</v>
      </c>
      <c r="Y85" s="41" t="s">
        <v>3841</v>
      </c>
      <c r="Z85" s="45" t="s">
        <v>3488</v>
      </c>
      <c r="AA85" s="34"/>
    </row>
    <row r="86" spans="1:27" s="28" customFormat="1" ht="78.75" x14ac:dyDescent="0.25">
      <c r="A86" s="24">
        <v>82</v>
      </c>
      <c r="B86" s="24" t="s">
        <v>3437</v>
      </c>
      <c r="C86" s="25" t="s">
        <v>3436</v>
      </c>
      <c r="D86" s="26" t="s">
        <v>3834</v>
      </c>
      <c r="E86" s="25" t="s">
        <v>3833</v>
      </c>
      <c r="F86" s="25" t="s">
        <v>3832</v>
      </c>
      <c r="G86" s="24"/>
      <c r="H86" s="25" t="s">
        <v>3890</v>
      </c>
      <c r="I86" s="27"/>
      <c r="J86" s="28" t="s">
        <v>3889</v>
      </c>
      <c r="K86" s="29"/>
      <c r="L86" s="48" t="s">
        <v>3894</v>
      </c>
      <c r="M86" s="36" t="s">
        <v>402</v>
      </c>
      <c r="N86" s="30">
        <v>2</v>
      </c>
      <c r="O86" s="31">
        <v>0</v>
      </c>
      <c r="P86" s="35">
        <f>6+7+5</f>
        <v>18</v>
      </c>
      <c r="Q86" s="35"/>
      <c r="R86" s="31"/>
      <c r="S86" s="35">
        <v>2.2999999999999998</v>
      </c>
      <c r="T86" s="40"/>
      <c r="U86" s="31">
        <f t="shared" si="1"/>
        <v>20.3</v>
      </c>
      <c r="V86" s="31"/>
      <c r="W86" s="41" t="s">
        <v>848</v>
      </c>
      <c r="X86" s="41" t="s">
        <v>21</v>
      </c>
      <c r="Y86" s="41" t="s">
        <v>3841</v>
      </c>
      <c r="Z86" s="29" t="s">
        <v>1008</v>
      </c>
      <c r="AA86" s="34"/>
    </row>
    <row r="87" spans="1:27" s="28" customFormat="1" ht="50.25" customHeight="1" x14ac:dyDescent="0.25">
      <c r="A87" s="24">
        <v>83</v>
      </c>
      <c r="B87" s="24" t="s">
        <v>3437</v>
      </c>
      <c r="C87" s="25" t="s">
        <v>3436</v>
      </c>
      <c r="D87" s="26" t="s">
        <v>3834</v>
      </c>
      <c r="E87" s="25" t="s">
        <v>3833</v>
      </c>
      <c r="F87" s="25" t="s">
        <v>3832</v>
      </c>
      <c r="G87" s="24"/>
      <c r="H87" s="25" t="s">
        <v>3890</v>
      </c>
      <c r="I87" s="27"/>
      <c r="J87" s="28" t="s">
        <v>3889</v>
      </c>
      <c r="K87" s="29"/>
      <c r="L87" s="48" t="s">
        <v>3893</v>
      </c>
      <c r="M87" s="36" t="s">
        <v>402</v>
      </c>
      <c r="N87" s="30">
        <v>12</v>
      </c>
      <c r="O87" s="31"/>
      <c r="P87" s="35">
        <v>5</v>
      </c>
      <c r="Q87" s="31"/>
      <c r="R87" s="31"/>
      <c r="S87" s="35">
        <v>1</v>
      </c>
      <c r="T87" s="40"/>
      <c r="U87" s="31">
        <f t="shared" si="1"/>
        <v>6</v>
      </c>
      <c r="V87" s="31"/>
      <c r="W87" s="41" t="s">
        <v>848</v>
      </c>
      <c r="X87" s="41" t="s">
        <v>21</v>
      </c>
      <c r="Y87" s="41" t="s">
        <v>3841</v>
      </c>
      <c r="Z87" s="29" t="s">
        <v>1008</v>
      </c>
      <c r="AA87" s="34"/>
    </row>
    <row r="88" spans="1:27" s="28" customFormat="1" ht="46.5" customHeight="1" x14ac:dyDescent="0.25">
      <c r="A88" s="24">
        <v>84</v>
      </c>
      <c r="B88" s="24" t="s">
        <v>3437</v>
      </c>
      <c r="C88" s="25" t="s">
        <v>3436</v>
      </c>
      <c r="D88" s="26" t="s">
        <v>3834</v>
      </c>
      <c r="E88" s="25" t="s">
        <v>3833</v>
      </c>
      <c r="F88" s="25" t="s">
        <v>3832</v>
      </c>
      <c r="G88" s="24"/>
      <c r="H88" s="25" t="s">
        <v>3890</v>
      </c>
      <c r="I88" s="27"/>
      <c r="J88" s="28" t="s">
        <v>3889</v>
      </c>
      <c r="K88" s="29"/>
      <c r="L88" s="48" t="s">
        <v>3892</v>
      </c>
      <c r="M88" s="25" t="s">
        <v>3891</v>
      </c>
      <c r="N88" s="30">
        <v>1000</v>
      </c>
      <c r="O88" s="31">
        <v>0</v>
      </c>
      <c r="P88" s="35">
        <v>7.4999999999999997E-2</v>
      </c>
      <c r="Q88" s="35"/>
      <c r="R88" s="31"/>
      <c r="S88" s="35">
        <v>2.5000000000000001E-2</v>
      </c>
      <c r="T88" s="40"/>
      <c r="U88" s="31">
        <f t="shared" si="1"/>
        <v>0.1</v>
      </c>
      <c r="V88" s="31"/>
      <c r="W88" s="41" t="s">
        <v>848</v>
      </c>
      <c r="X88" s="41" t="s">
        <v>21</v>
      </c>
      <c r="Y88" s="41" t="s">
        <v>3841</v>
      </c>
      <c r="Z88" s="29" t="s">
        <v>1008</v>
      </c>
      <c r="AA88" s="34"/>
    </row>
    <row r="89" spans="1:27" s="28" customFormat="1" ht="60.75" customHeight="1" x14ac:dyDescent="0.25">
      <c r="A89" s="24">
        <v>85</v>
      </c>
      <c r="B89" s="24" t="s">
        <v>3437</v>
      </c>
      <c r="C89" s="25" t="s">
        <v>3436</v>
      </c>
      <c r="D89" s="26" t="s">
        <v>3834</v>
      </c>
      <c r="E89" s="25" t="s">
        <v>3833</v>
      </c>
      <c r="F89" s="25" t="s">
        <v>3832</v>
      </c>
      <c r="G89" s="24"/>
      <c r="H89" s="25" t="s">
        <v>3890</v>
      </c>
      <c r="I89" s="27"/>
      <c r="J89" s="28" t="s">
        <v>3889</v>
      </c>
      <c r="K89" s="29"/>
      <c r="L89" s="33" t="s">
        <v>3888</v>
      </c>
      <c r="M89" s="36" t="s">
        <v>402</v>
      </c>
      <c r="N89" s="30">
        <v>12</v>
      </c>
      <c r="O89" s="31">
        <v>0</v>
      </c>
      <c r="P89" s="35">
        <v>3</v>
      </c>
      <c r="Q89" s="31"/>
      <c r="R89" s="31"/>
      <c r="S89" s="31">
        <v>1</v>
      </c>
      <c r="T89" s="40"/>
      <c r="U89" s="31">
        <f t="shared" si="1"/>
        <v>4</v>
      </c>
      <c r="V89" s="31"/>
      <c r="W89" s="41" t="s">
        <v>848</v>
      </c>
      <c r="X89" s="41" t="s">
        <v>21</v>
      </c>
      <c r="Y89" s="41" t="s">
        <v>3841</v>
      </c>
      <c r="Z89" s="29" t="s">
        <v>1008</v>
      </c>
      <c r="AA89" s="34"/>
    </row>
    <row r="90" spans="1:27" s="28" customFormat="1" ht="78.75" x14ac:dyDescent="0.25">
      <c r="A90" s="24">
        <v>86</v>
      </c>
      <c r="B90" s="24" t="s">
        <v>3437</v>
      </c>
      <c r="C90" s="25" t="s">
        <v>3436</v>
      </c>
      <c r="D90" s="26" t="s">
        <v>3834</v>
      </c>
      <c r="E90" s="25" t="s">
        <v>3833</v>
      </c>
      <c r="F90" s="25" t="s">
        <v>3832</v>
      </c>
      <c r="G90" s="24"/>
      <c r="H90" s="25" t="s">
        <v>3855</v>
      </c>
      <c r="I90" s="27"/>
      <c r="J90" s="28" t="s">
        <v>3887</v>
      </c>
      <c r="K90" s="29"/>
      <c r="L90" s="29"/>
      <c r="M90" s="25"/>
      <c r="N90" s="30"/>
      <c r="O90" s="31"/>
      <c r="P90" s="31"/>
      <c r="Q90" s="31"/>
      <c r="R90" s="31"/>
      <c r="S90" s="31"/>
      <c r="T90" s="31"/>
      <c r="U90" s="31">
        <f t="shared" si="1"/>
        <v>0</v>
      </c>
      <c r="V90" s="31"/>
      <c r="W90" s="32"/>
      <c r="X90" s="32"/>
      <c r="Y90" s="32"/>
      <c r="Z90" s="33"/>
      <c r="AA90" s="34"/>
    </row>
    <row r="91" spans="1:27" s="28" customFormat="1" ht="78.75" x14ac:dyDescent="0.25">
      <c r="A91" s="24">
        <v>87</v>
      </c>
      <c r="B91" s="24" t="s">
        <v>3437</v>
      </c>
      <c r="C91" s="25" t="s">
        <v>3436</v>
      </c>
      <c r="D91" s="26" t="s">
        <v>3834</v>
      </c>
      <c r="E91" s="25" t="s">
        <v>3833</v>
      </c>
      <c r="F91" s="25" t="s">
        <v>3832</v>
      </c>
      <c r="G91" s="24"/>
      <c r="H91" s="25" t="s">
        <v>3855</v>
      </c>
      <c r="I91" s="27"/>
      <c r="J91" s="28" t="s">
        <v>3886</v>
      </c>
      <c r="K91" s="29"/>
      <c r="L91" s="29"/>
      <c r="M91" s="25"/>
      <c r="N91" s="30"/>
      <c r="O91" s="31"/>
      <c r="P91" s="31"/>
      <c r="Q91" s="31"/>
      <c r="R91" s="31"/>
      <c r="S91" s="31"/>
      <c r="T91" s="31"/>
      <c r="U91" s="31">
        <f t="shared" si="1"/>
        <v>0</v>
      </c>
      <c r="V91" s="31"/>
      <c r="W91" s="32"/>
      <c r="X91" s="32"/>
      <c r="Y91" s="32"/>
      <c r="Z91" s="33"/>
      <c r="AA91" s="34"/>
    </row>
    <row r="92" spans="1:27" s="28" customFormat="1" ht="78.75" x14ac:dyDescent="0.25">
      <c r="A92" s="24">
        <v>88</v>
      </c>
      <c r="B92" s="24" t="s">
        <v>3437</v>
      </c>
      <c r="C92" s="25" t="s">
        <v>3436</v>
      </c>
      <c r="D92" s="26" t="s">
        <v>3834</v>
      </c>
      <c r="E92" s="25" t="s">
        <v>3833</v>
      </c>
      <c r="F92" s="25" t="s">
        <v>3832</v>
      </c>
      <c r="G92" s="24"/>
      <c r="H92" s="25" t="s">
        <v>3855</v>
      </c>
      <c r="I92" s="27"/>
      <c r="J92" s="28" t="s">
        <v>3885</v>
      </c>
      <c r="K92" s="29"/>
      <c r="L92" s="29"/>
      <c r="M92" s="25"/>
      <c r="N92" s="30"/>
      <c r="O92" s="31"/>
      <c r="P92" s="31"/>
      <c r="Q92" s="31"/>
      <c r="R92" s="31"/>
      <c r="S92" s="31"/>
      <c r="T92" s="31"/>
      <c r="U92" s="31">
        <f t="shared" si="1"/>
        <v>0</v>
      </c>
      <c r="V92" s="31"/>
      <c r="W92" s="32"/>
      <c r="X92" s="32"/>
      <c r="Y92" s="32"/>
      <c r="Z92" s="33"/>
      <c r="AA92" s="34"/>
    </row>
    <row r="93" spans="1:27" s="28" customFormat="1" ht="78.75" x14ac:dyDescent="0.25">
      <c r="A93" s="24">
        <v>89</v>
      </c>
      <c r="B93" s="24" t="s">
        <v>3437</v>
      </c>
      <c r="C93" s="25" t="s">
        <v>3436</v>
      </c>
      <c r="D93" s="26" t="s">
        <v>3834</v>
      </c>
      <c r="E93" s="25" t="s">
        <v>3833</v>
      </c>
      <c r="F93" s="25" t="s">
        <v>3832</v>
      </c>
      <c r="G93" s="24"/>
      <c r="H93" s="25" t="s">
        <v>3855</v>
      </c>
      <c r="I93" s="27"/>
      <c r="J93" s="28" t="s">
        <v>3884</v>
      </c>
      <c r="K93" s="29"/>
      <c r="L93" s="29"/>
      <c r="M93" s="25"/>
      <c r="N93" s="30"/>
      <c r="O93" s="31"/>
      <c r="P93" s="31"/>
      <c r="Q93" s="31"/>
      <c r="R93" s="31"/>
      <c r="S93" s="31"/>
      <c r="T93" s="31"/>
      <c r="U93" s="31">
        <f t="shared" si="1"/>
        <v>0</v>
      </c>
      <c r="V93" s="31"/>
      <c r="W93" s="32"/>
      <c r="X93" s="32"/>
      <c r="Y93" s="32"/>
      <c r="Z93" s="33"/>
      <c r="AA93" s="34"/>
    </row>
    <row r="94" spans="1:27" s="28" customFormat="1" ht="78.75" x14ac:dyDescent="0.25">
      <c r="A94" s="24">
        <v>90</v>
      </c>
      <c r="B94" s="24" t="s">
        <v>3437</v>
      </c>
      <c r="C94" s="25" t="s">
        <v>3436</v>
      </c>
      <c r="D94" s="26" t="s">
        <v>3834</v>
      </c>
      <c r="E94" s="25" t="s">
        <v>3833</v>
      </c>
      <c r="F94" s="25" t="s">
        <v>3832</v>
      </c>
      <c r="G94" s="24"/>
      <c r="H94" s="25" t="s">
        <v>3855</v>
      </c>
      <c r="I94" s="27"/>
      <c r="J94" s="28" t="s">
        <v>3883</v>
      </c>
      <c r="K94" s="29"/>
      <c r="L94" s="29"/>
      <c r="M94" s="25"/>
      <c r="N94" s="30"/>
      <c r="O94" s="31"/>
      <c r="P94" s="31"/>
      <c r="Q94" s="31"/>
      <c r="R94" s="31"/>
      <c r="S94" s="31"/>
      <c r="T94" s="31"/>
      <c r="U94" s="31">
        <f t="shared" si="1"/>
        <v>0</v>
      </c>
      <c r="V94" s="31"/>
      <c r="W94" s="32"/>
      <c r="X94" s="32"/>
      <c r="Y94" s="32"/>
      <c r="Z94" s="33"/>
      <c r="AA94" s="34"/>
    </row>
    <row r="95" spans="1:27" s="28" customFormat="1" ht="78.75" x14ac:dyDescent="0.25">
      <c r="A95" s="24">
        <v>91</v>
      </c>
      <c r="B95" s="24" t="s">
        <v>3437</v>
      </c>
      <c r="C95" s="25" t="s">
        <v>3436</v>
      </c>
      <c r="D95" s="26" t="s">
        <v>3834</v>
      </c>
      <c r="E95" s="25" t="s">
        <v>3833</v>
      </c>
      <c r="F95" s="25" t="s">
        <v>3832</v>
      </c>
      <c r="G95" s="24"/>
      <c r="H95" s="25" t="s">
        <v>3855</v>
      </c>
      <c r="I95" s="27"/>
      <c r="J95" s="28" t="s">
        <v>3882</v>
      </c>
      <c r="K95" s="29"/>
      <c r="L95" s="29"/>
      <c r="M95" s="25"/>
      <c r="N95" s="30"/>
      <c r="O95" s="31"/>
      <c r="P95" s="31"/>
      <c r="Q95" s="31"/>
      <c r="R95" s="31"/>
      <c r="S95" s="31"/>
      <c r="T95" s="31"/>
      <c r="U95" s="31">
        <f t="shared" si="1"/>
        <v>0</v>
      </c>
      <c r="V95" s="31"/>
      <c r="W95" s="32"/>
      <c r="X95" s="32"/>
      <c r="Y95" s="32"/>
      <c r="Z95" s="33"/>
      <c r="AA95" s="34"/>
    </row>
    <row r="96" spans="1:27" s="28" customFormat="1" ht="78.75" x14ac:dyDescent="0.25">
      <c r="A96" s="24">
        <v>92</v>
      </c>
      <c r="B96" s="24" t="s">
        <v>3437</v>
      </c>
      <c r="C96" s="25" t="s">
        <v>3436</v>
      </c>
      <c r="D96" s="26" t="s">
        <v>3834</v>
      </c>
      <c r="E96" s="25" t="s">
        <v>3833</v>
      </c>
      <c r="F96" s="25" t="s">
        <v>3832</v>
      </c>
      <c r="G96" s="24"/>
      <c r="H96" s="25" t="s">
        <v>3855</v>
      </c>
      <c r="I96" s="27"/>
      <c r="J96" s="28" t="s">
        <v>3854</v>
      </c>
      <c r="K96" s="29"/>
      <c r="L96" s="33" t="s">
        <v>3881</v>
      </c>
      <c r="M96" s="36" t="s">
        <v>402</v>
      </c>
      <c r="N96" s="30">
        <v>250</v>
      </c>
      <c r="O96" s="31">
        <v>0.2</v>
      </c>
      <c r="P96" s="31">
        <v>0.3</v>
      </c>
      <c r="Q96" s="31"/>
      <c r="R96" s="31"/>
      <c r="S96" s="31">
        <v>0</v>
      </c>
      <c r="T96" s="40"/>
      <c r="U96" s="31">
        <f t="shared" si="1"/>
        <v>0.5</v>
      </c>
      <c r="V96" s="31"/>
      <c r="W96" s="41" t="s">
        <v>848</v>
      </c>
      <c r="X96" s="41" t="s">
        <v>21</v>
      </c>
      <c r="Y96" s="41" t="s">
        <v>3841</v>
      </c>
      <c r="Z96" s="29" t="s">
        <v>1008</v>
      </c>
      <c r="AA96" s="34"/>
    </row>
    <row r="97" spans="1:27" s="28" customFormat="1" ht="78.75" x14ac:dyDescent="0.25">
      <c r="A97" s="24">
        <v>93</v>
      </c>
      <c r="B97" s="24" t="s">
        <v>3437</v>
      </c>
      <c r="C97" s="25" t="s">
        <v>3436</v>
      </c>
      <c r="D97" s="26" t="s">
        <v>3834</v>
      </c>
      <c r="E97" s="25" t="s">
        <v>3833</v>
      </c>
      <c r="F97" s="25" t="s">
        <v>3832</v>
      </c>
      <c r="G97" s="24"/>
      <c r="H97" s="25" t="s">
        <v>3855</v>
      </c>
      <c r="I97" s="27"/>
      <c r="J97" s="28" t="s">
        <v>3854</v>
      </c>
      <c r="K97" s="29"/>
      <c r="L97" s="33" t="s">
        <v>3880</v>
      </c>
      <c r="M97" s="36" t="s">
        <v>402</v>
      </c>
      <c r="N97" s="30">
        <v>150</v>
      </c>
      <c r="O97" s="31">
        <v>1.3333333333333333</v>
      </c>
      <c r="P97" s="31">
        <v>2.3333333333333335</v>
      </c>
      <c r="Q97" s="31"/>
      <c r="R97" s="31"/>
      <c r="S97" s="31">
        <v>0.5</v>
      </c>
      <c r="T97" s="40"/>
      <c r="U97" s="31">
        <f t="shared" si="1"/>
        <v>4.166666666666667</v>
      </c>
      <c r="V97" s="31"/>
      <c r="W97" s="41" t="s">
        <v>848</v>
      </c>
      <c r="X97" s="41" t="s">
        <v>21</v>
      </c>
      <c r="Y97" s="41" t="s">
        <v>3841</v>
      </c>
      <c r="Z97" s="29" t="s">
        <v>1008</v>
      </c>
      <c r="AA97" s="34"/>
    </row>
    <row r="98" spans="1:27" s="28" customFormat="1" ht="78.75" x14ac:dyDescent="0.25">
      <c r="A98" s="24">
        <v>94</v>
      </c>
      <c r="B98" s="24" t="s">
        <v>3437</v>
      </c>
      <c r="C98" s="25" t="s">
        <v>3436</v>
      </c>
      <c r="D98" s="26" t="s">
        <v>3834</v>
      </c>
      <c r="E98" s="25" t="s">
        <v>3833</v>
      </c>
      <c r="F98" s="25" t="s">
        <v>3832</v>
      </c>
      <c r="G98" s="24"/>
      <c r="H98" s="25" t="s">
        <v>3855</v>
      </c>
      <c r="I98" s="27"/>
      <c r="J98" s="28" t="s">
        <v>3854</v>
      </c>
      <c r="K98" s="29"/>
      <c r="L98" s="33" t="s">
        <v>3879</v>
      </c>
      <c r="M98" s="36" t="s">
        <v>402</v>
      </c>
      <c r="N98" s="30">
        <v>70</v>
      </c>
      <c r="O98" s="31">
        <v>1.2857142857142858</v>
      </c>
      <c r="P98" s="31">
        <v>1.7142857142857142</v>
      </c>
      <c r="Q98" s="31"/>
      <c r="R98" s="31"/>
      <c r="S98" s="31">
        <v>3</v>
      </c>
      <c r="T98" s="40"/>
      <c r="U98" s="31">
        <f t="shared" si="1"/>
        <v>6</v>
      </c>
      <c r="V98" s="31"/>
      <c r="W98" s="41" t="s">
        <v>848</v>
      </c>
      <c r="X98" s="41" t="s">
        <v>21</v>
      </c>
      <c r="Y98" s="41" t="s">
        <v>3841</v>
      </c>
      <c r="Z98" s="29" t="s">
        <v>1008</v>
      </c>
      <c r="AA98" s="34"/>
    </row>
    <row r="99" spans="1:27" s="28" customFormat="1" ht="78.75" x14ac:dyDescent="0.25">
      <c r="A99" s="24">
        <v>95</v>
      </c>
      <c r="B99" s="24" t="s">
        <v>3437</v>
      </c>
      <c r="C99" s="25" t="s">
        <v>3436</v>
      </c>
      <c r="D99" s="26" t="s">
        <v>3834</v>
      </c>
      <c r="E99" s="25" t="s">
        <v>3833</v>
      </c>
      <c r="F99" s="25" t="s">
        <v>3832</v>
      </c>
      <c r="G99" s="24"/>
      <c r="H99" s="25" t="s">
        <v>3855</v>
      </c>
      <c r="I99" s="27"/>
      <c r="J99" s="28" t="s">
        <v>3854</v>
      </c>
      <c r="K99" s="29"/>
      <c r="L99" s="33" t="s">
        <v>3878</v>
      </c>
      <c r="M99" s="36" t="s">
        <v>3877</v>
      </c>
      <c r="N99" s="30">
        <v>10</v>
      </c>
      <c r="O99" s="31">
        <v>6.4</v>
      </c>
      <c r="P99" s="31">
        <v>9.6</v>
      </c>
      <c r="Q99" s="31"/>
      <c r="R99" s="31"/>
      <c r="S99" s="31">
        <v>2</v>
      </c>
      <c r="T99" s="40"/>
      <c r="U99" s="31">
        <f t="shared" si="1"/>
        <v>18</v>
      </c>
      <c r="V99" s="31"/>
      <c r="W99" s="41" t="s">
        <v>848</v>
      </c>
      <c r="X99" s="41" t="s">
        <v>21</v>
      </c>
      <c r="Y99" s="41" t="s">
        <v>3841</v>
      </c>
      <c r="Z99" s="29" t="s">
        <v>1008</v>
      </c>
      <c r="AA99" s="34"/>
    </row>
    <row r="100" spans="1:27" s="28" customFormat="1" ht="78.75" x14ac:dyDescent="0.25">
      <c r="A100" s="24">
        <v>96</v>
      </c>
      <c r="B100" s="24" t="s">
        <v>3437</v>
      </c>
      <c r="C100" s="25" t="s">
        <v>3436</v>
      </c>
      <c r="D100" s="26" t="s">
        <v>3834</v>
      </c>
      <c r="E100" s="25" t="s">
        <v>3833</v>
      </c>
      <c r="F100" s="25" t="s">
        <v>3832</v>
      </c>
      <c r="G100" s="24"/>
      <c r="H100" s="25" t="s">
        <v>3855</v>
      </c>
      <c r="I100" s="27"/>
      <c r="J100" s="28" t="s">
        <v>3854</v>
      </c>
      <c r="K100" s="29"/>
      <c r="L100" s="33" t="s">
        <v>3876</v>
      </c>
      <c r="M100" s="36" t="s">
        <v>3875</v>
      </c>
      <c r="N100" s="30">
        <v>50</v>
      </c>
      <c r="O100" s="31">
        <v>3.2</v>
      </c>
      <c r="P100" s="31">
        <v>4.2</v>
      </c>
      <c r="Q100" s="31"/>
      <c r="R100" s="31"/>
      <c r="S100" s="31">
        <v>1</v>
      </c>
      <c r="T100" s="40"/>
      <c r="U100" s="31">
        <f t="shared" si="1"/>
        <v>8.4</v>
      </c>
      <c r="V100" s="31"/>
      <c r="W100" s="41" t="s">
        <v>848</v>
      </c>
      <c r="X100" s="41" t="s">
        <v>21</v>
      </c>
      <c r="Y100" s="41" t="s">
        <v>3841</v>
      </c>
      <c r="Z100" s="29" t="s">
        <v>1008</v>
      </c>
      <c r="AA100" s="34"/>
    </row>
    <row r="101" spans="1:27" s="28" customFormat="1" ht="78.75" x14ac:dyDescent="0.25">
      <c r="A101" s="24">
        <v>97</v>
      </c>
      <c r="B101" s="24" t="s">
        <v>3437</v>
      </c>
      <c r="C101" s="25" t="s">
        <v>3436</v>
      </c>
      <c r="D101" s="26" t="s">
        <v>3834</v>
      </c>
      <c r="E101" s="25" t="s">
        <v>3833</v>
      </c>
      <c r="F101" s="25" t="s">
        <v>3832</v>
      </c>
      <c r="G101" s="24"/>
      <c r="H101" s="25" t="s">
        <v>3855</v>
      </c>
      <c r="I101" s="27"/>
      <c r="J101" s="28" t="s">
        <v>3854</v>
      </c>
      <c r="K101" s="29"/>
      <c r="L101" s="33" t="s">
        <v>3874</v>
      </c>
      <c r="M101" s="36" t="s">
        <v>402</v>
      </c>
      <c r="N101" s="30">
        <v>10</v>
      </c>
      <c r="O101" s="31">
        <v>1.5</v>
      </c>
      <c r="P101" s="31">
        <v>3.15</v>
      </c>
      <c r="Q101" s="31"/>
      <c r="R101" s="31"/>
      <c r="S101" s="31">
        <v>1</v>
      </c>
      <c r="T101" s="40"/>
      <c r="U101" s="31">
        <f t="shared" si="1"/>
        <v>5.65</v>
      </c>
      <c r="V101" s="31"/>
      <c r="W101" s="41" t="s">
        <v>848</v>
      </c>
      <c r="X101" s="41" t="s">
        <v>21</v>
      </c>
      <c r="Y101" s="41" t="s">
        <v>3841</v>
      </c>
      <c r="Z101" s="29" t="s">
        <v>1008</v>
      </c>
      <c r="AA101" s="34"/>
    </row>
    <row r="102" spans="1:27" s="28" customFormat="1" ht="78.75" x14ac:dyDescent="0.25">
      <c r="A102" s="24">
        <v>98</v>
      </c>
      <c r="B102" s="24" t="s">
        <v>3437</v>
      </c>
      <c r="C102" s="25" t="s">
        <v>3436</v>
      </c>
      <c r="D102" s="26" t="s">
        <v>3834</v>
      </c>
      <c r="E102" s="25" t="s">
        <v>3833</v>
      </c>
      <c r="F102" s="25" t="s">
        <v>3832</v>
      </c>
      <c r="G102" s="24"/>
      <c r="H102" s="25" t="s">
        <v>3855</v>
      </c>
      <c r="I102" s="27"/>
      <c r="J102" s="28" t="s">
        <v>3854</v>
      </c>
      <c r="K102" s="29"/>
      <c r="L102" s="33" t="s">
        <v>3873</v>
      </c>
      <c r="M102" s="36" t="s">
        <v>402</v>
      </c>
      <c r="N102" s="30">
        <v>100</v>
      </c>
      <c r="O102" s="31">
        <v>0.8</v>
      </c>
      <c r="P102" s="31">
        <v>1.2</v>
      </c>
      <c r="Q102" s="31"/>
      <c r="R102" s="31"/>
      <c r="S102" s="31">
        <v>0.3</v>
      </c>
      <c r="T102" s="40"/>
      <c r="U102" s="31">
        <f t="shared" si="1"/>
        <v>2.2999999999999998</v>
      </c>
      <c r="V102" s="31"/>
      <c r="W102" s="41" t="s">
        <v>848</v>
      </c>
      <c r="X102" s="41" t="s">
        <v>21</v>
      </c>
      <c r="Y102" s="41" t="s">
        <v>3841</v>
      </c>
      <c r="Z102" s="29" t="s">
        <v>1008</v>
      </c>
      <c r="AA102" s="34"/>
    </row>
    <row r="103" spans="1:27" s="28" customFormat="1" ht="78.75" x14ac:dyDescent="0.25">
      <c r="A103" s="24">
        <v>99</v>
      </c>
      <c r="B103" s="24" t="s">
        <v>3437</v>
      </c>
      <c r="C103" s="25" t="s">
        <v>3436</v>
      </c>
      <c r="D103" s="26" t="s">
        <v>3834</v>
      </c>
      <c r="E103" s="25" t="s">
        <v>3833</v>
      </c>
      <c r="F103" s="25" t="s">
        <v>3832</v>
      </c>
      <c r="G103" s="24"/>
      <c r="H103" s="25" t="s">
        <v>3855</v>
      </c>
      <c r="I103" s="27"/>
      <c r="J103" s="28" t="s">
        <v>3854</v>
      </c>
      <c r="K103" s="29"/>
      <c r="L103" s="33" t="s">
        <v>3872</v>
      </c>
      <c r="M103" s="36" t="s">
        <v>402</v>
      </c>
      <c r="N103" s="30">
        <v>12</v>
      </c>
      <c r="O103" s="31"/>
      <c r="P103" s="31">
        <v>4</v>
      </c>
      <c r="Q103" s="31"/>
      <c r="R103" s="31"/>
      <c r="S103" s="31">
        <v>1</v>
      </c>
      <c r="T103" s="40"/>
      <c r="U103" s="31">
        <f t="shared" si="1"/>
        <v>5</v>
      </c>
      <c r="V103" s="31"/>
      <c r="W103" s="41" t="s">
        <v>848</v>
      </c>
      <c r="X103" s="41" t="s">
        <v>21</v>
      </c>
      <c r="Y103" s="41" t="s">
        <v>3841</v>
      </c>
      <c r="Z103" s="29" t="s">
        <v>1008</v>
      </c>
      <c r="AA103" s="34"/>
    </row>
    <row r="104" spans="1:27" s="28" customFormat="1" ht="78.75" x14ac:dyDescent="0.25">
      <c r="A104" s="24">
        <v>100</v>
      </c>
      <c r="B104" s="24" t="s">
        <v>3437</v>
      </c>
      <c r="C104" s="25" t="s">
        <v>3436</v>
      </c>
      <c r="D104" s="26" t="s">
        <v>3834</v>
      </c>
      <c r="E104" s="25" t="s">
        <v>3833</v>
      </c>
      <c r="F104" s="25" t="s">
        <v>3832</v>
      </c>
      <c r="G104" s="24"/>
      <c r="H104" s="25" t="s">
        <v>3855</v>
      </c>
      <c r="I104" s="27"/>
      <c r="J104" s="28" t="s">
        <v>3854</v>
      </c>
      <c r="K104" s="29"/>
      <c r="L104" s="33" t="s">
        <v>3871</v>
      </c>
      <c r="M104" s="36" t="s">
        <v>402</v>
      </c>
      <c r="N104" s="30">
        <v>50</v>
      </c>
      <c r="O104" s="31">
        <v>1.2</v>
      </c>
      <c r="P104" s="31">
        <v>1.8</v>
      </c>
      <c r="Q104" s="31"/>
      <c r="R104" s="31"/>
      <c r="S104" s="31">
        <v>0</v>
      </c>
      <c r="T104" s="40"/>
      <c r="U104" s="31">
        <f t="shared" si="1"/>
        <v>3</v>
      </c>
      <c r="V104" s="31"/>
      <c r="W104" s="41" t="s">
        <v>848</v>
      </c>
      <c r="X104" s="41" t="s">
        <v>21</v>
      </c>
      <c r="Y104" s="41" t="s">
        <v>3841</v>
      </c>
      <c r="Z104" s="29" t="s">
        <v>1008</v>
      </c>
      <c r="AA104" s="34"/>
    </row>
    <row r="105" spans="1:27" s="28" customFormat="1" ht="78.75" x14ac:dyDescent="0.25">
      <c r="A105" s="24">
        <v>101</v>
      </c>
      <c r="B105" s="24" t="s">
        <v>3437</v>
      </c>
      <c r="C105" s="25" t="s">
        <v>3436</v>
      </c>
      <c r="D105" s="26" t="s">
        <v>3834</v>
      </c>
      <c r="E105" s="25" t="s">
        <v>3833</v>
      </c>
      <c r="F105" s="25" t="s">
        <v>3832</v>
      </c>
      <c r="G105" s="24"/>
      <c r="H105" s="25" t="s">
        <v>3855</v>
      </c>
      <c r="I105" s="27"/>
      <c r="J105" s="28" t="s">
        <v>3854</v>
      </c>
      <c r="K105" s="29"/>
      <c r="L105" s="33" t="s">
        <v>3870</v>
      </c>
      <c r="M105" s="36" t="s">
        <v>402</v>
      </c>
      <c r="N105" s="30">
        <v>100</v>
      </c>
      <c r="O105" s="31">
        <v>1</v>
      </c>
      <c r="P105" s="31"/>
      <c r="Q105" s="31"/>
      <c r="R105" s="31"/>
      <c r="S105" s="31"/>
      <c r="T105" s="40"/>
      <c r="U105" s="31">
        <f t="shared" si="1"/>
        <v>1</v>
      </c>
      <c r="V105" s="31"/>
      <c r="W105" s="41" t="s">
        <v>848</v>
      </c>
      <c r="X105" s="41" t="s">
        <v>21</v>
      </c>
      <c r="Y105" s="41" t="s">
        <v>3841</v>
      </c>
      <c r="Z105" s="29" t="s">
        <v>1008</v>
      </c>
      <c r="AA105" s="34"/>
    </row>
    <row r="106" spans="1:27" s="28" customFormat="1" ht="78.75" x14ac:dyDescent="0.25">
      <c r="A106" s="24">
        <v>102</v>
      </c>
      <c r="B106" s="24" t="s">
        <v>3437</v>
      </c>
      <c r="C106" s="25" t="s">
        <v>3436</v>
      </c>
      <c r="D106" s="26" t="s">
        <v>3834</v>
      </c>
      <c r="E106" s="25" t="s">
        <v>3833</v>
      </c>
      <c r="F106" s="25" t="s">
        <v>3832</v>
      </c>
      <c r="G106" s="24"/>
      <c r="H106" s="25" t="s">
        <v>3855</v>
      </c>
      <c r="I106" s="27"/>
      <c r="J106" s="28" t="s">
        <v>3854</v>
      </c>
      <c r="K106" s="29"/>
      <c r="L106" s="33" t="s">
        <v>3869</v>
      </c>
      <c r="M106" s="36" t="s">
        <v>402</v>
      </c>
      <c r="N106" s="30">
        <v>20</v>
      </c>
      <c r="O106" s="31">
        <v>2</v>
      </c>
      <c r="P106" s="31"/>
      <c r="Q106" s="31"/>
      <c r="R106" s="31"/>
      <c r="S106" s="31"/>
      <c r="T106" s="40"/>
      <c r="U106" s="31">
        <f t="shared" si="1"/>
        <v>2</v>
      </c>
      <c r="V106" s="31"/>
      <c r="W106" s="41" t="s">
        <v>848</v>
      </c>
      <c r="X106" s="41" t="s">
        <v>21</v>
      </c>
      <c r="Y106" s="41" t="s">
        <v>3841</v>
      </c>
      <c r="Z106" s="29" t="s">
        <v>1008</v>
      </c>
      <c r="AA106" s="34"/>
    </row>
    <row r="107" spans="1:27" s="28" customFormat="1" ht="78.75" x14ac:dyDescent="0.25">
      <c r="A107" s="24">
        <v>103</v>
      </c>
      <c r="B107" s="24" t="s">
        <v>3437</v>
      </c>
      <c r="C107" s="25" t="s">
        <v>3436</v>
      </c>
      <c r="D107" s="26" t="s">
        <v>3834</v>
      </c>
      <c r="E107" s="25" t="s">
        <v>3833</v>
      </c>
      <c r="F107" s="25" t="s">
        <v>3832</v>
      </c>
      <c r="G107" s="24"/>
      <c r="H107" s="25" t="s">
        <v>3855</v>
      </c>
      <c r="I107" s="27"/>
      <c r="J107" s="28" t="s">
        <v>3854</v>
      </c>
      <c r="K107" s="29"/>
      <c r="L107" s="33" t="s">
        <v>3868</v>
      </c>
      <c r="M107" s="36" t="s">
        <v>402</v>
      </c>
      <c r="N107" s="30">
        <v>100</v>
      </c>
      <c r="O107" s="31">
        <v>0.6</v>
      </c>
      <c r="P107" s="31">
        <v>0.6</v>
      </c>
      <c r="Q107" s="31"/>
      <c r="R107" s="31"/>
      <c r="S107" s="31">
        <v>0</v>
      </c>
      <c r="T107" s="40"/>
      <c r="U107" s="31">
        <f t="shared" si="1"/>
        <v>1.2</v>
      </c>
      <c r="V107" s="31"/>
      <c r="W107" s="41" t="s">
        <v>848</v>
      </c>
      <c r="X107" s="41" t="s">
        <v>21</v>
      </c>
      <c r="Y107" s="41" t="s">
        <v>3841</v>
      </c>
      <c r="Z107" s="29" t="s">
        <v>1008</v>
      </c>
      <c r="AA107" s="34"/>
    </row>
    <row r="108" spans="1:27" s="28" customFormat="1" ht="78.75" x14ac:dyDescent="0.25">
      <c r="A108" s="24">
        <v>104</v>
      </c>
      <c r="B108" s="24" t="s">
        <v>3437</v>
      </c>
      <c r="C108" s="25" t="s">
        <v>3436</v>
      </c>
      <c r="D108" s="26" t="s">
        <v>3834</v>
      </c>
      <c r="E108" s="25" t="s">
        <v>3833</v>
      </c>
      <c r="F108" s="25" t="s">
        <v>3832</v>
      </c>
      <c r="G108" s="24"/>
      <c r="H108" s="25" t="s">
        <v>3855</v>
      </c>
      <c r="I108" s="27"/>
      <c r="J108" s="28" t="s">
        <v>3854</v>
      </c>
      <c r="K108" s="29"/>
      <c r="L108" s="33" t="s">
        <v>3867</v>
      </c>
      <c r="M108" s="36" t="s">
        <v>402</v>
      </c>
      <c r="N108" s="30">
        <v>50</v>
      </c>
      <c r="O108" s="31">
        <v>2</v>
      </c>
      <c r="P108" s="31">
        <v>2.4</v>
      </c>
      <c r="Q108" s="31"/>
      <c r="R108" s="31"/>
      <c r="S108" s="31">
        <v>0.3</v>
      </c>
      <c r="T108" s="40"/>
      <c r="U108" s="31">
        <f t="shared" si="1"/>
        <v>4.7</v>
      </c>
      <c r="V108" s="31"/>
      <c r="W108" s="41" t="s">
        <v>848</v>
      </c>
      <c r="X108" s="41" t="s">
        <v>21</v>
      </c>
      <c r="Y108" s="41" t="s">
        <v>3841</v>
      </c>
      <c r="Z108" s="29" t="s">
        <v>1008</v>
      </c>
      <c r="AA108" s="34"/>
    </row>
    <row r="109" spans="1:27" s="28" customFormat="1" ht="78.75" x14ac:dyDescent="0.25">
      <c r="A109" s="24">
        <v>105</v>
      </c>
      <c r="B109" s="24" t="s">
        <v>3437</v>
      </c>
      <c r="C109" s="25" t="s">
        <v>3436</v>
      </c>
      <c r="D109" s="26" t="s">
        <v>3834</v>
      </c>
      <c r="E109" s="25" t="s">
        <v>3833</v>
      </c>
      <c r="F109" s="25" t="s">
        <v>3832</v>
      </c>
      <c r="G109" s="24"/>
      <c r="H109" s="25" t="s">
        <v>3855</v>
      </c>
      <c r="I109" s="27"/>
      <c r="J109" s="28" t="s">
        <v>3854</v>
      </c>
      <c r="K109" s="29"/>
      <c r="L109" s="33" t="s">
        <v>3866</v>
      </c>
      <c r="M109" s="36" t="s">
        <v>402</v>
      </c>
      <c r="N109" s="30">
        <v>10</v>
      </c>
      <c r="O109" s="31"/>
      <c r="P109" s="31">
        <v>8</v>
      </c>
      <c r="Q109" s="31"/>
      <c r="R109" s="31"/>
      <c r="S109" s="31">
        <v>2</v>
      </c>
      <c r="T109" s="40"/>
      <c r="U109" s="31">
        <f t="shared" si="1"/>
        <v>10</v>
      </c>
      <c r="V109" s="31"/>
      <c r="W109" s="41" t="s">
        <v>848</v>
      </c>
      <c r="X109" s="41" t="s">
        <v>21</v>
      </c>
      <c r="Y109" s="41" t="s">
        <v>3841</v>
      </c>
      <c r="Z109" s="29" t="s">
        <v>1008</v>
      </c>
      <c r="AA109" s="34"/>
    </row>
    <row r="110" spans="1:27" s="28" customFormat="1" ht="78.75" x14ac:dyDescent="0.25">
      <c r="A110" s="24">
        <v>106</v>
      </c>
      <c r="B110" s="24" t="s">
        <v>3437</v>
      </c>
      <c r="C110" s="25" t="s">
        <v>3436</v>
      </c>
      <c r="D110" s="26" t="s">
        <v>3834</v>
      </c>
      <c r="E110" s="25" t="s">
        <v>3833</v>
      </c>
      <c r="F110" s="25" t="s">
        <v>3832</v>
      </c>
      <c r="G110" s="24"/>
      <c r="H110" s="25" t="s">
        <v>3855</v>
      </c>
      <c r="I110" s="27"/>
      <c r="J110" s="28" t="s">
        <v>3854</v>
      </c>
      <c r="K110" s="29"/>
      <c r="L110" s="33" t="s">
        <v>3865</v>
      </c>
      <c r="M110" s="36" t="s">
        <v>402</v>
      </c>
      <c r="N110" s="30">
        <v>20</v>
      </c>
      <c r="O110" s="31">
        <v>0.5</v>
      </c>
      <c r="P110" s="31"/>
      <c r="Q110" s="31"/>
      <c r="R110" s="31"/>
      <c r="S110" s="31"/>
      <c r="T110" s="40"/>
      <c r="U110" s="31">
        <f t="shared" si="1"/>
        <v>0.5</v>
      </c>
      <c r="V110" s="31"/>
      <c r="W110" s="41" t="s">
        <v>848</v>
      </c>
      <c r="X110" s="41" t="s">
        <v>21</v>
      </c>
      <c r="Y110" s="41" t="s">
        <v>3841</v>
      </c>
      <c r="Z110" s="29" t="s">
        <v>1008</v>
      </c>
      <c r="AA110" s="34"/>
    </row>
    <row r="111" spans="1:27" s="28" customFormat="1" ht="78.75" x14ac:dyDescent="0.25">
      <c r="A111" s="24">
        <v>107</v>
      </c>
      <c r="B111" s="24" t="s">
        <v>3437</v>
      </c>
      <c r="C111" s="25" t="s">
        <v>3436</v>
      </c>
      <c r="D111" s="26" t="s">
        <v>3834</v>
      </c>
      <c r="E111" s="25" t="s">
        <v>3833</v>
      </c>
      <c r="F111" s="25" t="s">
        <v>3832</v>
      </c>
      <c r="G111" s="24"/>
      <c r="H111" s="25" t="s">
        <v>3855</v>
      </c>
      <c r="I111" s="27"/>
      <c r="J111" s="28" t="s">
        <v>3854</v>
      </c>
      <c r="K111" s="29"/>
      <c r="L111" s="33" t="s">
        <v>3864</v>
      </c>
      <c r="M111" s="36" t="s">
        <v>402</v>
      </c>
      <c r="N111" s="30">
        <v>150</v>
      </c>
      <c r="O111" s="31">
        <v>6.6666666666666666E-2</v>
      </c>
      <c r="P111" s="31">
        <v>3.3333333333333333E-2</v>
      </c>
      <c r="Q111" s="31"/>
      <c r="R111" s="31"/>
      <c r="S111" s="31">
        <v>0</v>
      </c>
      <c r="T111" s="40"/>
      <c r="U111" s="31">
        <f t="shared" si="1"/>
        <v>0.1</v>
      </c>
      <c r="V111" s="31"/>
      <c r="W111" s="41" t="s">
        <v>848</v>
      </c>
      <c r="X111" s="41" t="s">
        <v>21</v>
      </c>
      <c r="Y111" s="41" t="s">
        <v>3841</v>
      </c>
      <c r="Z111" s="29" t="s">
        <v>1008</v>
      </c>
      <c r="AA111" s="34"/>
    </row>
    <row r="112" spans="1:27" s="28" customFormat="1" ht="78.75" x14ac:dyDescent="0.25">
      <c r="A112" s="24">
        <v>108</v>
      </c>
      <c r="B112" s="24" t="s">
        <v>3437</v>
      </c>
      <c r="C112" s="25" t="s">
        <v>3436</v>
      </c>
      <c r="D112" s="26" t="s">
        <v>3834</v>
      </c>
      <c r="E112" s="25" t="s">
        <v>3833</v>
      </c>
      <c r="F112" s="25" t="s">
        <v>3832</v>
      </c>
      <c r="G112" s="24"/>
      <c r="H112" s="25" t="s">
        <v>3855</v>
      </c>
      <c r="I112" s="27"/>
      <c r="J112" s="28" t="s">
        <v>3854</v>
      </c>
      <c r="K112" s="29"/>
      <c r="L112" s="33" t="s">
        <v>3863</v>
      </c>
      <c r="M112" s="36" t="s">
        <v>402</v>
      </c>
      <c r="N112" s="30">
        <v>24</v>
      </c>
      <c r="O112" s="31"/>
      <c r="P112" s="31">
        <v>4</v>
      </c>
      <c r="Q112" s="31"/>
      <c r="R112" s="31"/>
      <c r="S112" s="31">
        <v>0.3</v>
      </c>
      <c r="T112" s="40"/>
      <c r="U112" s="31">
        <f t="shared" si="1"/>
        <v>4.3</v>
      </c>
      <c r="V112" s="31"/>
      <c r="W112" s="41" t="s">
        <v>848</v>
      </c>
      <c r="X112" s="41" t="s">
        <v>21</v>
      </c>
      <c r="Y112" s="41" t="s">
        <v>3841</v>
      </c>
      <c r="Z112" s="29" t="s">
        <v>1008</v>
      </c>
      <c r="AA112" s="34"/>
    </row>
    <row r="113" spans="1:27" s="28" customFormat="1" ht="78.75" x14ac:dyDescent="0.25">
      <c r="A113" s="24">
        <v>109</v>
      </c>
      <c r="B113" s="24" t="s">
        <v>3437</v>
      </c>
      <c r="C113" s="25" t="s">
        <v>3436</v>
      </c>
      <c r="D113" s="26" t="s">
        <v>3834</v>
      </c>
      <c r="E113" s="25" t="s">
        <v>3833</v>
      </c>
      <c r="F113" s="25" t="s">
        <v>3832</v>
      </c>
      <c r="G113" s="24"/>
      <c r="H113" s="25" t="s">
        <v>3855</v>
      </c>
      <c r="I113" s="27"/>
      <c r="J113" s="28" t="s">
        <v>3854</v>
      </c>
      <c r="K113" s="29"/>
      <c r="L113" s="33" t="s">
        <v>3862</v>
      </c>
      <c r="M113" s="36" t="s">
        <v>402</v>
      </c>
      <c r="N113" s="30">
        <v>10</v>
      </c>
      <c r="O113" s="31">
        <v>1.8</v>
      </c>
      <c r="P113" s="31">
        <v>4.5</v>
      </c>
      <c r="Q113" s="31"/>
      <c r="R113" s="31"/>
      <c r="S113" s="31">
        <v>5.8</v>
      </c>
      <c r="T113" s="40"/>
      <c r="U113" s="31">
        <f t="shared" si="1"/>
        <v>12.1</v>
      </c>
      <c r="V113" s="31"/>
      <c r="W113" s="41" t="s">
        <v>848</v>
      </c>
      <c r="X113" s="41" t="s">
        <v>21</v>
      </c>
      <c r="Y113" s="41" t="s">
        <v>3841</v>
      </c>
      <c r="Z113" s="29" t="s">
        <v>1008</v>
      </c>
      <c r="AA113" s="34"/>
    </row>
    <row r="114" spans="1:27" s="28" customFormat="1" ht="78.75" x14ac:dyDescent="0.25">
      <c r="A114" s="24">
        <v>110</v>
      </c>
      <c r="B114" s="24" t="s">
        <v>3437</v>
      </c>
      <c r="C114" s="25" t="s">
        <v>3436</v>
      </c>
      <c r="D114" s="26" t="s">
        <v>3834</v>
      </c>
      <c r="E114" s="25" t="s">
        <v>3833</v>
      </c>
      <c r="F114" s="25" t="s">
        <v>3832</v>
      </c>
      <c r="G114" s="24"/>
      <c r="H114" s="25" t="s">
        <v>3855</v>
      </c>
      <c r="I114" s="27"/>
      <c r="J114" s="28" t="s">
        <v>3854</v>
      </c>
      <c r="K114" s="29"/>
      <c r="L114" s="33" t="s">
        <v>3861</v>
      </c>
      <c r="M114" s="25" t="s">
        <v>402</v>
      </c>
      <c r="N114" s="30">
        <v>180</v>
      </c>
      <c r="O114" s="31">
        <v>0</v>
      </c>
      <c r="P114" s="31">
        <v>1.75</v>
      </c>
      <c r="Q114" s="31"/>
      <c r="R114" s="31"/>
      <c r="S114" s="31">
        <v>8.3333333333333329E-2</v>
      </c>
      <c r="T114" s="40"/>
      <c r="U114" s="31">
        <f t="shared" si="1"/>
        <v>1.8333333333333333</v>
      </c>
      <c r="V114" s="31"/>
      <c r="W114" s="41" t="s">
        <v>848</v>
      </c>
      <c r="X114" s="41" t="s">
        <v>21</v>
      </c>
      <c r="Y114" s="41" t="s">
        <v>3841</v>
      </c>
      <c r="Z114" s="29" t="s">
        <v>1008</v>
      </c>
      <c r="AA114" s="34"/>
    </row>
    <row r="115" spans="1:27" s="28" customFormat="1" ht="78.75" x14ac:dyDescent="0.25">
      <c r="A115" s="24">
        <v>111</v>
      </c>
      <c r="B115" s="24" t="s">
        <v>3437</v>
      </c>
      <c r="C115" s="25" t="s">
        <v>3436</v>
      </c>
      <c r="D115" s="26" t="s">
        <v>3834</v>
      </c>
      <c r="E115" s="25" t="s">
        <v>3833</v>
      </c>
      <c r="F115" s="25" t="s">
        <v>3832</v>
      </c>
      <c r="G115" s="24"/>
      <c r="H115" s="25" t="s">
        <v>3855</v>
      </c>
      <c r="I115" s="27"/>
      <c r="J115" s="28" t="s">
        <v>3854</v>
      </c>
      <c r="K115" s="29"/>
      <c r="L115" s="33" t="s">
        <v>3860</v>
      </c>
      <c r="M115" s="25" t="s">
        <v>402</v>
      </c>
      <c r="N115" s="30">
        <v>30</v>
      </c>
      <c r="O115" s="31"/>
      <c r="P115" s="31">
        <v>5</v>
      </c>
      <c r="Q115" s="31"/>
      <c r="R115" s="31"/>
      <c r="S115" s="31">
        <v>0.5</v>
      </c>
      <c r="T115" s="40"/>
      <c r="U115" s="31">
        <f t="shared" si="1"/>
        <v>5.5</v>
      </c>
      <c r="V115" s="31"/>
      <c r="W115" s="41" t="s">
        <v>848</v>
      </c>
      <c r="X115" s="41" t="s">
        <v>21</v>
      </c>
      <c r="Y115" s="41" t="s">
        <v>3841</v>
      </c>
      <c r="Z115" s="29" t="s">
        <v>1008</v>
      </c>
      <c r="AA115" s="34"/>
    </row>
    <row r="116" spans="1:27" s="28" customFormat="1" ht="78.75" x14ac:dyDescent="0.25">
      <c r="A116" s="24">
        <v>112</v>
      </c>
      <c r="B116" s="24" t="s">
        <v>3437</v>
      </c>
      <c r="C116" s="25" t="s">
        <v>3436</v>
      </c>
      <c r="D116" s="26" t="s">
        <v>3834</v>
      </c>
      <c r="E116" s="25" t="s">
        <v>3833</v>
      </c>
      <c r="F116" s="25" t="s">
        <v>3832</v>
      </c>
      <c r="G116" s="24"/>
      <c r="H116" s="25" t="s">
        <v>3855</v>
      </c>
      <c r="I116" s="27"/>
      <c r="J116" s="28" t="s">
        <v>3854</v>
      </c>
      <c r="K116" s="29"/>
      <c r="L116" s="33" t="s">
        <v>4057</v>
      </c>
      <c r="M116" s="25" t="s">
        <v>3859</v>
      </c>
      <c r="N116" s="30">
        <v>6000</v>
      </c>
      <c r="O116" s="31">
        <v>0.3</v>
      </c>
      <c r="P116" s="49">
        <v>0</v>
      </c>
      <c r="Q116" s="31"/>
      <c r="R116" s="31"/>
      <c r="S116" s="31"/>
      <c r="T116" s="40"/>
      <c r="U116" s="31">
        <f t="shared" si="1"/>
        <v>0.3</v>
      </c>
      <c r="V116" s="31"/>
      <c r="W116" s="41" t="s">
        <v>848</v>
      </c>
      <c r="X116" s="41" t="s">
        <v>21</v>
      </c>
      <c r="Y116" s="41" t="s">
        <v>3841</v>
      </c>
      <c r="Z116" s="29" t="s">
        <v>1008</v>
      </c>
      <c r="AA116" s="34"/>
    </row>
    <row r="117" spans="1:27" s="28" customFormat="1" ht="78.75" x14ac:dyDescent="0.25">
      <c r="A117" s="24">
        <v>113</v>
      </c>
      <c r="B117" s="24" t="s">
        <v>3437</v>
      </c>
      <c r="C117" s="25" t="s">
        <v>3436</v>
      </c>
      <c r="D117" s="26" t="s">
        <v>3834</v>
      </c>
      <c r="E117" s="25" t="s">
        <v>3833</v>
      </c>
      <c r="F117" s="25" t="s">
        <v>3832</v>
      </c>
      <c r="G117" s="24"/>
      <c r="H117" s="25" t="s">
        <v>3855</v>
      </c>
      <c r="I117" s="27"/>
      <c r="J117" s="28" t="s">
        <v>3854</v>
      </c>
      <c r="K117" s="29"/>
      <c r="L117" s="33" t="s">
        <v>4058</v>
      </c>
      <c r="M117" s="25" t="s">
        <v>3858</v>
      </c>
      <c r="N117" s="30">
        <f>50*12</f>
        <v>600</v>
      </c>
      <c r="O117" s="31">
        <v>0.5</v>
      </c>
      <c r="P117" s="49"/>
      <c r="Q117" s="31"/>
      <c r="R117" s="31"/>
      <c r="S117" s="31">
        <v>0.2</v>
      </c>
      <c r="T117" s="40"/>
      <c r="U117" s="31">
        <f t="shared" si="1"/>
        <v>0.7</v>
      </c>
      <c r="V117" s="31"/>
      <c r="W117" s="41" t="s">
        <v>848</v>
      </c>
      <c r="X117" s="41" t="s">
        <v>21</v>
      </c>
      <c r="Y117" s="41" t="s">
        <v>3841</v>
      </c>
      <c r="Z117" s="29" t="s">
        <v>1008</v>
      </c>
      <c r="AA117" s="34"/>
    </row>
    <row r="118" spans="1:27" s="28" customFormat="1" ht="78.75" x14ac:dyDescent="0.25">
      <c r="A118" s="24">
        <v>114</v>
      </c>
      <c r="B118" s="24" t="s">
        <v>3437</v>
      </c>
      <c r="C118" s="25" t="s">
        <v>3436</v>
      </c>
      <c r="D118" s="26" t="s">
        <v>3834</v>
      </c>
      <c r="E118" s="25" t="s">
        <v>3833</v>
      </c>
      <c r="F118" s="25" t="s">
        <v>3832</v>
      </c>
      <c r="G118" s="24"/>
      <c r="H118" s="25" t="s">
        <v>3855</v>
      </c>
      <c r="I118" s="27"/>
      <c r="J118" s="28" t="s">
        <v>3854</v>
      </c>
      <c r="K118" s="29"/>
      <c r="L118" s="33" t="s">
        <v>3857</v>
      </c>
      <c r="M118" s="25" t="s">
        <v>402</v>
      </c>
      <c r="N118" s="30">
        <v>12</v>
      </c>
      <c r="O118" s="31">
        <v>8</v>
      </c>
      <c r="P118" s="49">
        <v>0</v>
      </c>
      <c r="Q118" s="31"/>
      <c r="R118" s="31"/>
      <c r="S118" s="31">
        <v>0.5</v>
      </c>
      <c r="T118" s="40"/>
      <c r="U118" s="31">
        <f t="shared" si="1"/>
        <v>8.5</v>
      </c>
      <c r="V118" s="31"/>
      <c r="W118" s="41" t="s">
        <v>848</v>
      </c>
      <c r="X118" s="41" t="s">
        <v>21</v>
      </c>
      <c r="Y118" s="41" t="s">
        <v>3841</v>
      </c>
      <c r="Z118" s="29" t="s">
        <v>1008</v>
      </c>
      <c r="AA118" s="34"/>
    </row>
    <row r="119" spans="1:27" s="28" customFormat="1" ht="78.75" x14ac:dyDescent="0.25">
      <c r="A119" s="24">
        <v>115</v>
      </c>
      <c r="B119" s="24" t="s">
        <v>3437</v>
      </c>
      <c r="C119" s="25" t="s">
        <v>3436</v>
      </c>
      <c r="D119" s="26" t="s">
        <v>3834</v>
      </c>
      <c r="E119" s="25" t="s">
        <v>3833</v>
      </c>
      <c r="F119" s="25" t="s">
        <v>3832</v>
      </c>
      <c r="G119" s="24"/>
      <c r="H119" s="25" t="s">
        <v>3855</v>
      </c>
      <c r="I119" s="27"/>
      <c r="J119" s="28" t="s">
        <v>3854</v>
      </c>
      <c r="K119" s="29"/>
      <c r="L119" s="33" t="s">
        <v>3856</v>
      </c>
      <c r="M119" s="25" t="s">
        <v>402</v>
      </c>
      <c r="N119" s="30">
        <v>50</v>
      </c>
      <c r="O119" s="31">
        <v>1</v>
      </c>
      <c r="P119" s="49"/>
      <c r="Q119" s="49"/>
      <c r="R119" s="31"/>
      <c r="S119" s="31">
        <v>0.3</v>
      </c>
      <c r="T119" s="40"/>
      <c r="U119" s="31">
        <f t="shared" si="1"/>
        <v>1.3</v>
      </c>
      <c r="V119" s="31"/>
      <c r="W119" s="41" t="s">
        <v>848</v>
      </c>
      <c r="X119" s="41" t="s">
        <v>21</v>
      </c>
      <c r="Y119" s="41" t="s">
        <v>3841</v>
      </c>
      <c r="Z119" s="29" t="s">
        <v>1008</v>
      </c>
      <c r="AA119" s="34"/>
    </row>
    <row r="120" spans="1:27" s="28" customFormat="1" ht="78.75" x14ac:dyDescent="0.25">
      <c r="A120" s="24">
        <v>116</v>
      </c>
      <c r="B120" s="24" t="s">
        <v>3437</v>
      </c>
      <c r="C120" s="25" t="s">
        <v>3436</v>
      </c>
      <c r="D120" s="26" t="s">
        <v>3834</v>
      </c>
      <c r="E120" s="25" t="s">
        <v>3833</v>
      </c>
      <c r="F120" s="25" t="s">
        <v>3832</v>
      </c>
      <c r="G120" s="24"/>
      <c r="H120" s="25" t="s">
        <v>3855</v>
      </c>
      <c r="I120" s="27"/>
      <c r="J120" s="28" t="s">
        <v>3854</v>
      </c>
      <c r="K120" s="29"/>
      <c r="L120" s="33" t="s">
        <v>3853</v>
      </c>
      <c r="M120" s="25" t="s">
        <v>3528</v>
      </c>
      <c r="N120" s="30">
        <v>800</v>
      </c>
      <c r="O120" s="31">
        <v>0.1</v>
      </c>
      <c r="P120" s="49"/>
      <c r="Q120" s="49"/>
      <c r="R120" s="31"/>
      <c r="S120" s="31"/>
      <c r="T120" s="40"/>
      <c r="U120" s="31">
        <f t="shared" si="1"/>
        <v>0.1</v>
      </c>
      <c r="V120" s="31"/>
      <c r="W120" s="41" t="s">
        <v>848</v>
      </c>
      <c r="X120" s="41" t="s">
        <v>21</v>
      </c>
      <c r="Y120" s="41" t="s">
        <v>3841</v>
      </c>
      <c r="Z120" s="29" t="s">
        <v>1008</v>
      </c>
      <c r="AA120" s="34"/>
    </row>
    <row r="121" spans="1:27" s="28" customFormat="1" ht="78.75" x14ac:dyDescent="0.25">
      <c r="A121" s="24">
        <v>117</v>
      </c>
      <c r="B121" s="24" t="s">
        <v>3437</v>
      </c>
      <c r="C121" s="25" t="s">
        <v>3436</v>
      </c>
      <c r="D121" s="26" t="s">
        <v>3834</v>
      </c>
      <c r="E121" s="25" t="s">
        <v>3833</v>
      </c>
      <c r="F121" s="25" t="s">
        <v>3832</v>
      </c>
      <c r="G121" s="24"/>
      <c r="H121" s="25" t="s">
        <v>3836</v>
      </c>
      <c r="I121" s="27"/>
      <c r="J121" s="28" t="s">
        <v>3843</v>
      </c>
      <c r="K121" s="29"/>
      <c r="L121" s="37" t="s">
        <v>3852</v>
      </c>
      <c r="M121" s="25" t="s">
        <v>1696</v>
      </c>
      <c r="N121" s="30">
        <v>1</v>
      </c>
      <c r="O121" s="31"/>
      <c r="P121" s="31">
        <v>1370</v>
      </c>
      <c r="Q121" s="31"/>
      <c r="R121" s="31"/>
      <c r="S121" s="31">
        <v>150</v>
      </c>
      <c r="T121" s="31"/>
      <c r="U121" s="31">
        <f t="shared" si="1"/>
        <v>1520</v>
      </c>
      <c r="V121" s="31"/>
      <c r="W121" s="32" t="s">
        <v>848</v>
      </c>
      <c r="X121" s="32" t="s">
        <v>1696</v>
      </c>
      <c r="Y121" s="32" t="s">
        <v>3841</v>
      </c>
      <c r="Z121" s="29" t="s">
        <v>3851</v>
      </c>
      <c r="AA121" s="34"/>
    </row>
    <row r="122" spans="1:27" s="28" customFormat="1" ht="78.75" x14ac:dyDescent="0.25">
      <c r="A122" s="24">
        <v>118</v>
      </c>
      <c r="B122" s="24" t="s">
        <v>3437</v>
      </c>
      <c r="C122" s="25" t="s">
        <v>3436</v>
      </c>
      <c r="D122" s="26" t="s">
        <v>3834</v>
      </c>
      <c r="E122" s="25" t="s">
        <v>3833</v>
      </c>
      <c r="F122" s="25" t="s">
        <v>3832</v>
      </c>
      <c r="G122" s="24"/>
      <c r="H122" s="25" t="s">
        <v>3836</v>
      </c>
      <c r="I122" s="27"/>
      <c r="J122" s="28" t="s">
        <v>3843</v>
      </c>
      <c r="K122" s="29"/>
      <c r="L122" s="37" t="s">
        <v>3850</v>
      </c>
      <c r="M122" s="25" t="s">
        <v>3848</v>
      </c>
      <c r="N122" s="30">
        <v>8</v>
      </c>
      <c r="O122" s="31">
        <v>28</v>
      </c>
      <c r="P122" s="31">
        <v>18</v>
      </c>
      <c r="Q122" s="31"/>
      <c r="R122" s="31"/>
      <c r="S122" s="31">
        <v>4</v>
      </c>
      <c r="T122" s="31"/>
      <c r="U122" s="31">
        <f t="shared" si="1"/>
        <v>50</v>
      </c>
      <c r="V122" s="31"/>
      <c r="W122" s="32" t="s">
        <v>848</v>
      </c>
      <c r="X122" s="32" t="s">
        <v>1696</v>
      </c>
      <c r="Y122" s="32" t="s">
        <v>3841</v>
      </c>
      <c r="Z122" s="33" t="s">
        <v>3847</v>
      </c>
      <c r="AA122" s="34"/>
    </row>
    <row r="123" spans="1:27" s="28" customFormat="1" ht="78.75" x14ac:dyDescent="0.25">
      <c r="A123" s="24">
        <v>119</v>
      </c>
      <c r="B123" s="24" t="s">
        <v>3437</v>
      </c>
      <c r="C123" s="25" t="s">
        <v>3436</v>
      </c>
      <c r="D123" s="26" t="s">
        <v>3834</v>
      </c>
      <c r="E123" s="25" t="s">
        <v>3833</v>
      </c>
      <c r="F123" s="25" t="s">
        <v>3832</v>
      </c>
      <c r="G123" s="24"/>
      <c r="H123" s="25" t="s">
        <v>3836</v>
      </c>
      <c r="I123" s="27"/>
      <c r="J123" s="28" t="s">
        <v>3843</v>
      </c>
      <c r="K123" s="29"/>
      <c r="L123" s="50" t="s">
        <v>3849</v>
      </c>
      <c r="M123" s="25" t="s">
        <v>3848</v>
      </c>
      <c r="N123" s="30">
        <v>8</v>
      </c>
      <c r="O123" s="31">
        <v>90</v>
      </c>
      <c r="P123" s="31">
        <v>70</v>
      </c>
      <c r="Q123" s="31"/>
      <c r="R123" s="31"/>
      <c r="S123" s="31">
        <v>8</v>
      </c>
      <c r="T123" s="31"/>
      <c r="U123" s="31">
        <f t="shared" si="1"/>
        <v>168</v>
      </c>
      <c r="V123" s="31"/>
      <c r="W123" s="32" t="s">
        <v>848</v>
      </c>
      <c r="X123" s="32" t="s">
        <v>1696</v>
      </c>
      <c r="Y123" s="32" t="s">
        <v>3841</v>
      </c>
      <c r="Z123" s="33" t="s">
        <v>3847</v>
      </c>
      <c r="AA123" s="34"/>
    </row>
    <row r="124" spans="1:27" s="28" customFormat="1" ht="35.25" customHeight="1" x14ac:dyDescent="0.25">
      <c r="A124" s="24">
        <v>120</v>
      </c>
      <c r="B124" s="24" t="s">
        <v>3437</v>
      </c>
      <c r="C124" s="25" t="s">
        <v>3436</v>
      </c>
      <c r="D124" s="26" t="s">
        <v>3834</v>
      </c>
      <c r="E124" s="25" t="s">
        <v>3833</v>
      </c>
      <c r="F124" s="25" t="s">
        <v>3832</v>
      </c>
      <c r="G124" s="24"/>
      <c r="H124" s="25" t="s">
        <v>3836</v>
      </c>
      <c r="I124" s="27"/>
      <c r="J124" s="28" t="s">
        <v>3843</v>
      </c>
      <c r="K124" s="29"/>
      <c r="L124" s="50" t="s">
        <v>3846</v>
      </c>
      <c r="M124" s="25" t="s">
        <v>3845</v>
      </c>
      <c r="N124" s="39">
        <v>696</v>
      </c>
      <c r="O124" s="35">
        <v>4.5</v>
      </c>
      <c r="P124" s="35">
        <v>3</v>
      </c>
      <c r="Q124" s="31"/>
      <c r="R124" s="31"/>
      <c r="S124" s="35">
        <v>0.93103448275862066</v>
      </c>
      <c r="T124" s="31"/>
      <c r="U124" s="31">
        <f t="shared" si="1"/>
        <v>8.431034482758621</v>
      </c>
      <c r="V124" s="31"/>
      <c r="W124" s="32" t="s">
        <v>848</v>
      </c>
      <c r="X124" s="32" t="s">
        <v>1696</v>
      </c>
      <c r="Y124" s="32" t="s">
        <v>3841</v>
      </c>
      <c r="Z124" s="33" t="s">
        <v>3844</v>
      </c>
      <c r="AA124" s="34"/>
    </row>
    <row r="125" spans="1:27" s="28" customFormat="1" ht="36" customHeight="1" x14ac:dyDescent="0.25">
      <c r="A125" s="24">
        <v>121</v>
      </c>
      <c r="B125" s="24" t="s">
        <v>3437</v>
      </c>
      <c r="C125" s="25" t="s">
        <v>3436</v>
      </c>
      <c r="D125" s="26" t="s">
        <v>3834</v>
      </c>
      <c r="E125" s="25" t="s">
        <v>3833</v>
      </c>
      <c r="F125" s="25" t="s">
        <v>3832</v>
      </c>
      <c r="G125" s="24"/>
      <c r="H125" s="25" t="s">
        <v>3836</v>
      </c>
      <c r="I125" s="27"/>
      <c r="J125" s="28" t="s">
        <v>3843</v>
      </c>
      <c r="K125" s="29"/>
      <c r="L125" s="51" t="s">
        <v>3842</v>
      </c>
      <c r="M125" s="25" t="s">
        <v>1240</v>
      </c>
      <c r="N125" s="39">
        <v>6400</v>
      </c>
      <c r="O125" s="35">
        <v>7.03125E-2</v>
      </c>
      <c r="P125" s="35">
        <v>7.03125E-2</v>
      </c>
      <c r="Q125" s="31"/>
      <c r="R125" s="31"/>
      <c r="S125" s="35">
        <v>6.2500000000000003E-3</v>
      </c>
      <c r="T125" s="31"/>
      <c r="U125" s="31">
        <f t="shared" si="1"/>
        <v>0.14687500000000001</v>
      </c>
      <c r="V125" s="31"/>
      <c r="W125" s="32" t="s">
        <v>848</v>
      </c>
      <c r="X125" s="32" t="s">
        <v>1696</v>
      </c>
      <c r="Y125" s="32" t="s">
        <v>3841</v>
      </c>
      <c r="Z125" s="29" t="s">
        <v>1008</v>
      </c>
      <c r="AA125" s="34"/>
    </row>
    <row r="126" spans="1:27" s="28" customFormat="1" ht="80.25" customHeight="1" x14ac:dyDescent="0.25">
      <c r="A126" s="24">
        <v>122</v>
      </c>
      <c r="B126" s="24" t="s">
        <v>3437</v>
      </c>
      <c r="C126" s="25" t="s">
        <v>3436</v>
      </c>
      <c r="D126" s="26" t="s">
        <v>3834</v>
      </c>
      <c r="E126" s="25" t="s">
        <v>3833</v>
      </c>
      <c r="F126" s="25" t="s">
        <v>3832</v>
      </c>
      <c r="G126" s="24"/>
      <c r="H126" s="25" t="s">
        <v>3836</v>
      </c>
      <c r="I126" s="27"/>
      <c r="J126" s="28" t="s">
        <v>3840</v>
      </c>
      <c r="K126" s="29"/>
      <c r="L126" s="29"/>
      <c r="M126" s="25"/>
      <c r="N126" s="30"/>
      <c r="O126" s="31"/>
      <c r="P126" s="31"/>
      <c r="Q126" s="31"/>
      <c r="R126" s="31"/>
      <c r="S126" s="31"/>
      <c r="T126" s="31"/>
      <c r="U126" s="31">
        <f t="shared" si="1"/>
        <v>0</v>
      </c>
      <c r="V126" s="31"/>
      <c r="W126" s="32"/>
      <c r="X126" s="32"/>
      <c r="Y126" s="32"/>
      <c r="Z126" s="33"/>
      <c r="AA126" s="34"/>
    </row>
    <row r="127" spans="1:27" s="28" customFormat="1" ht="47.25" customHeight="1" x14ac:dyDescent="0.25">
      <c r="A127" s="24">
        <v>123</v>
      </c>
      <c r="B127" s="24" t="s">
        <v>3437</v>
      </c>
      <c r="C127" s="25" t="s">
        <v>3436</v>
      </c>
      <c r="D127" s="26" t="s">
        <v>3834</v>
      </c>
      <c r="E127" s="25" t="s">
        <v>3833</v>
      </c>
      <c r="F127" s="25" t="s">
        <v>3832</v>
      </c>
      <c r="G127" s="24"/>
      <c r="H127" s="25" t="s">
        <v>3836</v>
      </c>
      <c r="I127" s="27"/>
      <c r="J127" s="28" t="s">
        <v>3839</v>
      </c>
      <c r="K127" s="29"/>
      <c r="L127" s="29"/>
      <c r="M127" s="25"/>
      <c r="N127" s="30"/>
      <c r="O127" s="31"/>
      <c r="P127" s="31"/>
      <c r="Q127" s="31"/>
      <c r="R127" s="31"/>
      <c r="S127" s="31"/>
      <c r="T127" s="31"/>
      <c r="U127" s="31">
        <f t="shared" si="1"/>
        <v>0</v>
      </c>
      <c r="V127" s="31"/>
      <c r="W127" s="32"/>
      <c r="X127" s="32"/>
      <c r="Y127" s="32"/>
      <c r="Z127" s="33"/>
      <c r="AA127" s="34"/>
    </row>
    <row r="128" spans="1:27" s="28" customFormat="1" ht="78.75" x14ac:dyDescent="0.25">
      <c r="A128" s="24">
        <v>124</v>
      </c>
      <c r="B128" s="24" t="s">
        <v>3437</v>
      </c>
      <c r="C128" s="25" t="s">
        <v>3436</v>
      </c>
      <c r="D128" s="26" t="s">
        <v>3834</v>
      </c>
      <c r="E128" s="25" t="s">
        <v>3833</v>
      </c>
      <c r="F128" s="25" t="s">
        <v>3832</v>
      </c>
      <c r="G128" s="24"/>
      <c r="H128" s="25" t="s">
        <v>3836</v>
      </c>
      <c r="I128" s="27"/>
      <c r="J128" s="28" t="s">
        <v>3838</v>
      </c>
      <c r="K128" s="29"/>
      <c r="L128" s="29"/>
      <c r="M128" s="25"/>
      <c r="N128" s="30"/>
      <c r="O128" s="31"/>
      <c r="P128" s="31"/>
      <c r="Q128" s="31"/>
      <c r="R128" s="31"/>
      <c r="S128" s="31"/>
      <c r="T128" s="31"/>
      <c r="U128" s="31">
        <f t="shared" si="1"/>
        <v>0</v>
      </c>
      <c r="V128" s="31"/>
      <c r="W128" s="32"/>
      <c r="X128" s="32"/>
      <c r="Y128" s="32"/>
      <c r="Z128" s="33"/>
      <c r="AA128" s="34"/>
    </row>
    <row r="129" spans="1:27" s="28" customFormat="1" ht="78.75" x14ac:dyDescent="0.25">
      <c r="A129" s="24">
        <v>125</v>
      </c>
      <c r="B129" s="24" t="s">
        <v>3437</v>
      </c>
      <c r="C129" s="25" t="s">
        <v>3436</v>
      </c>
      <c r="D129" s="26" t="s">
        <v>3834</v>
      </c>
      <c r="E129" s="25" t="s">
        <v>3833</v>
      </c>
      <c r="F129" s="25" t="s">
        <v>3832</v>
      </c>
      <c r="G129" s="24"/>
      <c r="H129" s="25" t="s">
        <v>3836</v>
      </c>
      <c r="I129" s="27"/>
      <c r="J129" s="28" t="s">
        <v>3837</v>
      </c>
      <c r="K129" s="29"/>
      <c r="L129" s="29"/>
      <c r="M129" s="25"/>
      <c r="N129" s="30"/>
      <c r="O129" s="31"/>
      <c r="P129" s="31"/>
      <c r="Q129" s="31"/>
      <c r="R129" s="31"/>
      <c r="S129" s="31"/>
      <c r="T129" s="31"/>
      <c r="U129" s="31">
        <f t="shared" si="1"/>
        <v>0</v>
      </c>
      <c r="V129" s="31"/>
      <c r="W129" s="32"/>
      <c r="X129" s="32"/>
      <c r="Y129" s="32"/>
      <c r="Z129" s="33"/>
      <c r="AA129" s="34"/>
    </row>
    <row r="130" spans="1:27" s="28" customFormat="1" ht="78.75" x14ac:dyDescent="0.25">
      <c r="A130" s="24">
        <v>126</v>
      </c>
      <c r="B130" s="24" t="s">
        <v>3437</v>
      </c>
      <c r="C130" s="25" t="s">
        <v>3436</v>
      </c>
      <c r="D130" s="26" t="s">
        <v>3834</v>
      </c>
      <c r="E130" s="25" t="s">
        <v>3833</v>
      </c>
      <c r="F130" s="25" t="s">
        <v>3832</v>
      </c>
      <c r="G130" s="24"/>
      <c r="H130" s="25" t="s">
        <v>3836</v>
      </c>
      <c r="I130" s="27"/>
      <c r="J130" s="28" t="s">
        <v>3835</v>
      </c>
      <c r="K130" s="29"/>
      <c r="L130" s="29"/>
      <c r="M130" s="25"/>
      <c r="N130" s="30"/>
      <c r="O130" s="31"/>
      <c r="P130" s="31"/>
      <c r="Q130" s="31"/>
      <c r="R130" s="31"/>
      <c r="S130" s="31"/>
      <c r="T130" s="31"/>
      <c r="U130" s="31">
        <f t="shared" si="1"/>
        <v>0</v>
      </c>
      <c r="V130" s="31"/>
      <c r="W130" s="32"/>
      <c r="X130" s="32"/>
      <c r="Y130" s="32"/>
      <c r="Z130" s="33"/>
      <c r="AA130" s="34"/>
    </row>
    <row r="131" spans="1:27" s="53" customFormat="1" ht="78.75" x14ac:dyDescent="0.25">
      <c r="A131" s="24">
        <v>127</v>
      </c>
      <c r="B131" s="52" t="s">
        <v>3437</v>
      </c>
      <c r="C131" s="53" t="s">
        <v>3436</v>
      </c>
      <c r="D131" s="54" t="s">
        <v>3834</v>
      </c>
      <c r="E131" s="53" t="s">
        <v>3833</v>
      </c>
      <c r="F131" s="53" t="s">
        <v>3832</v>
      </c>
      <c r="G131" s="52"/>
      <c r="H131" s="53" t="s">
        <v>3831</v>
      </c>
      <c r="I131" s="52"/>
      <c r="J131" s="53" t="s">
        <v>3831</v>
      </c>
      <c r="K131" s="55"/>
      <c r="L131" s="29"/>
      <c r="M131" s="25"/>
      <c r="N131" s="30"/>
      <c r="O131" s="31"/>
      <c r="P131" s="31"/>
      <c r="Q131" s="31"/>
      <c r="R131" s="31"/>
      <c r="S131" s="31"/>
      <c r="T131" s="31"/>
      <c r="U131" s="31">
        <f t="shared" si="1"/>
        <v>0</v>
      </c>
      <c r="V131" s="31"/>
      <c r="W131" s="32"/>
      <c r="X131" s="32"/>
      <c r="Y131" s="32"/>
      <c r="Z131" s="33"/>
      <c r="AA131" s="34"/>
    </row>
    <row r="132" spans="1:27" s="28" customFormat="1" ht="53.25" customHeight="1" x14ac:dyDescent="0.25">
      <c r="A132" s="24">
        <v>128</v>
      </c>
      <c r="B132" s="24" t="s">
        <v>3437</v>
      </c>
      <c r="C132" s="25" t="s">
        <v>3436</v>
      </c>
      <c r="D132" s="26" t="s">
        <v>3780</v>
      </c>
      <c r="E132" s="25" t="s">
        <v>3779</v>
      </c>
      <c r="F132" s="25" t="s">
        <v>3778</v>
      </c>
      <c r="G132" s="24"/>
      <c r="H132" s="25" t="s">
        <v>3809</v>
      </c>
      <c r="I132" s="27"/>
      <c r="J132" s="25" t="s">
        <v>3830</v>
      </c>
      <c r="K132" s="29"/>
      <c r="L132" s="25" t="s">
        <v>3829</v>
      </c>
      <c r="M132" s="25" t="s">
        <v>177</v>
      </c>
      <c r="N132" s="30">
        <v>1</v>
      </c>
      <c r="O132" s="31"/>
      <c r="P132" s="31"/>
      <c r="Q132" s="31"/>
      <c r="R132" s="31"/>
      <c r="S132" s="31">
        <v>4</v>
      </c>
      <c r="T132" s="31">
        <v>1</v>
      </c>
      <c r="U132" s="31">
        <f t="shared" si="1"/>
        <v>5</v>
      </c>
      <c r="V132" s="31"/>
      <c r="W132" s="34" t="s">
        <v>22</v>
      </c>
      <c r="X132" s="33" t="s">
        <v>3781</v>
      </c>
      <c r="Y132" s="33" t="s">
        <v>3733</v>
      </c>
      <c r="Z132" s="56" t="s">
        <v>3820</v>
      </c>
      <c r="AA132" s="34"/>
    </row>
    <row r="133" spans="1:27" s="28" customFormat="1" ht="78.75" x14ac:dyDescent="0.25">
      <c r="A133" s="24">
        <v>129</v>
      </c>
      <c r="B133" s="24" t="s">
        <v>3437</v>
      </c>
      <c r="C133" s="25" t="s">
        <v>3436</v>
      </c>
      <c r="D133" s="26" t="s">
        <v>3780</v>
      </c>
      <c r="E133" s="25" t="s">
        <v>3779</v>
      </c>
      <c r="F133" s="25" t="s">
        <v>3778</v>
      </c>
      <c r="G133" s="24"/>
      <c r="H133" s="25" t="s">
        <v>3809</v>
      </c>
      <c r="I133" s="27"/>
      <c r="J133" s="25" t="s">
        <v>3822</v>
      </c>
      <c r="K133" s="29"/>
      <c r="L133" s="25" t="s">
        <v>3828</v>
      </c>
      <c r="M133" s="25" t="s">
        <v>177</v>
      </c>
      <c r="N133" s="57">
        <v>4</v>
      </c>
      <c r="O133" s="35"/>
      <c r="P133" s="35"/>
      <c r="Q133" s="35"/>
      <c r="R133" s="35"/>
      <c r="S133" s="35">
        <v>16</v>
      </c>
      <c r="T133" s="35">
        <v>4</v>
      </c>
      <c r="U133" s="31">
        <f t="shared" si="1"/>
        <v>20</v>
      </c>
      <c r="V133" s="31"/>
      <c r="W133" s="33" t="s">
        <v>22</v>
      </c>
      <c r="X133" s="32"/>
      <c r="Y133" s="32" t="s">
        <v>3733</v>
      </c>
      <c r="Z133" s="56" t="s">
        <v>3820</v>
      </c>
      <c r="AA133" s="34"/>
    </row>
    <row r="134" spans="1:27" s="28" customFormat="1" ht="24" customHeight="1" x14ac:dyDescent="0.25">
      <c r="A134" s="24">
        <v>130</v>
      </c>
      <c r="B134" s="24" t="s">
        <v>3437</v>
      </c>
      <c r="C134" s="25" t="s">
        <v>3436</v>
      </c>
      <c r="D134" s="26" t="s">
        <v>3780</v>
      </c>
      <c r="E134" s="25" t="s">
        <v>3779</v>
      </c>
      <c r="F134" s="25" t="s">
        <v>3778</v>
      </c>
      <c r="G134" s="24"/>
      <c r="H134" s="25" t="s">
        <v>3809</v>
      </c>
      <c r="I134" s="27"/>
      <c r="J134" s="25" t="s">
        <v>3822</v>
      </c>
      <c r="K134" s="29"/>
      <c r="L134" s="25" t="s">
        <v>3827</v>
      </c>
      <c r="M134" s="25" t="s">
        <v>177</v>
      </c>
      <c r="N134" s="30">
        <v>4</v>
      </c>
      <c r="O134" s="31"/>
      <c r="P134" s="31">
        <v>4</v>
      </c>
      <c r="Q134" s="31">
        <v>4</v>
      </c>
      <c r="R134" s="31"/>
      <c r="S134" s="31">
        <v>6</v>
      </c>
      <c r="T134" s="31">
        <v>16</v>
      </c>
      <c r="U134" s="31">
        <f t="shared" ref="U134:U197" si="2">SUM(O134:T134)</f>
        <v>30</v>
      </c>
      <c r="V134" s="31"/>
      <c r="W134" s="34" t="s">
        <v>3825</v>
      </c>
      <c r="X134" s="32" t="s">
        <v>3785</v>
      </c>
      <c r="Y134" s="33" t="s">
        <v>3733</v>
      </c>
      <c r="Z134" s="56"/>
      <c r="AA134" s="34"/>
    </row>
    <row r="135" spans="1:27" s="28" customFormat="1" ht="24" customHeight="1" x14ac:dyDescent="0.25">
      <c r="A135" s="24">
        <v>131</v>
      </c>
      <c r="B135" s="24" t="s">
        <v>3437</v>
      </c>
      <c r="C135" s="25" t="s">
        <v>3436</v>
      </c>
      <c r="D135" s="26" t="s">
        <v>3780</v>
      </c>
      <c r="E135" s="25" t="s">
        <v>3779</v>
      </c>
      <c r="F135" s="25" t="s">
        <v>3778</v>
      </c>
      <c r="G135" s="24"/>
      <c r="H135" s="25" t="s">
        <v>3809</v>
      </c>
      <c r="I135" s="27"/>
      <c r="J135" s="25" t="s">
        <v>3822</v>
      </c>
      <c r="K135" s="29"/>
      <c r="L135" s="25" t="s">
        <v>3826</v>
      </c>
      <c r="M135" s="25" t="s">
        <v>592</v>
      </c>
      <c r="N135" s="30">
        <v>1</v>
      </c>
      <c r="O135" s="31"/>
      <c r="P135" s="31"/>
      <c r="Q135" s="31"/>
      <c r="R135" s="31"/>
      <c r="S135" s="31">
        <v>8</v>
      </c>
      <c r="T135" s="31">
        <v>4</v>
      </c>
      <c r="U135" s="31">
        <f t="shared" si="2"/>
        <v>12</v>
      </c>
      <c r="V135" s="31"/>
      <c r="W135" s="33" t="s">
        <v>3825</v>
      </c>
      <c r="X135" s="33" t="s">
        <v>3785</v>
      </c>
      <c r="Y135" s="33" t="s">
        <v>3733</v>
      </c>
      <c r="Z135" s="45"/>
      <c r="AA135" s="34"/>
    </row>
    <row r="136" spans="1:27" s="28" customFormat="1" ht="24" customHeight="1" x14ac:dyDescent="0.25">
      <c r="A136" s="24">
        <v>132</v>
      </c>
      <c r="B136" s="24" t="s">
        <v>3437</v>
      </c>
      <c r="C136" s="25" t="s">
        <v>3436</v>
      </c>
      <c r="D136" s="26" t="s">
        <v>3780</v>
      </c>
      <c r="E136" s="25" t="s">
        <v>3779</v>
      </c>
      <c r="F136" s="25" t="s">
        <v>3778</v>
      </c>
      <c r="G136" s="24"/>
      <c r="H136" s="25" t="s">
        <v>3809</v>
      </c>
      <c r="I136" s="27"/>
      <c r="J136" s="25" t="s">
        <v>3822</v>
      </c>
      <c r="K136" s="29"/>
      <c r="L136" s="25" t="s">
        <v>3824</v>
      </c>
      <c r="M136" s="25" t="s">
        <v>177</v>
      </c>
      <c r="N136" s="30">
        <v>1</v>
      </c>
      <c r="O136" s="31"/>
      <c r="P136" s="31"/>
      <c r="Q136" s="31"/>
      <c r="R136" s="31"/>
      <c r="S136" s="31">
        <v>4</v>
      </c>
      <c r="T136" s="31">
        <v>8</v>
      </c>
      <c r="U136" s="31">
        <f t="shared" si="2"/>
        <v>12</v>
      </c>
      <c r="V136" s="31"/>
      <c r="W136" s="34" t="s">
        <v>3823</v>
      </c>
      <c r="X136" s="33" t="s">
        <v>3781</v>
      </c>
      <c r="Y136" s="33" t="s">
        <v>3733</v>
      </c>
      <c r="Z136" s="45"/>
      <c r="AA136" s="34"/>
    </row>
    <row r="137" spans="1:27" s="28" customFormat="1" ht="24" customHeight="1" x14ac:dyDescent="0.25">
      <c r="A137" s="24">
        <v>133</v>
      </c>
      <c r="B137" s="24" t="s">
        <v>3437</v>
      </c>
      <c r="C137" s="25" t="s">
        <v>3436</v>
      </c>
      <c r="D137" s="26" t="s">
        <v>3780</v>
      </c>
      <c r="E137" s="25" t="s">
        <v>3779</v>
      </c>
      <c r="F137" s="25" t="s">
        <v>3778</v>
      </c>
      <c r="G137" s="24"/>
      <c r="H137" s="25" t="s">
        <v>3809</v>
      </c>
      <c r="I137" s="27"/>
      <c r="J137" s="25" t="s">
        <v>3822</v>
      </c>
      <c r="K137" s="29"/>
      <c r="L137" s="25" t="s">
        <v>3821</v>
      </c>
      <c r="M137" s="25" t="s">
        <v>592</v>
      </c>
      <c r="N137" s="30">
        <v>1</v>
      </c>
      <c r="O137" s="31"/>
      <c r="P137" s="31"/>
      <c r="Q137" s="31"/>
      <c r="R137" s="31"/>
      <c r="S137" s="31">
        <v>8</v>
      </c>
      <c r="T137" s="31">
        <v>8</v>
      </c>
      <c r="U137" s="31">
        <f t="shared" si="2"/>
        <v>16</v>
      </c>
      <c r="V137" s="31"/>
      <c r="W137" s="34" t="s">
        <v>22</v>
      </c>
      <c r="X137" s="33" t="s">
        <v>3781</v>
      </c>
      <c r="Y137" s="33" t="s">
        <v>3733</v>
      </c>
      <c r="Z137" s="56" t="s">
        <v>3820</v>
      </c>
      <c r="AA137" s="34"/>
    </row>
    <row r="138" spans="1:27" s="28" customFormat="1" ht="50.25" customHeight="1" x14ac:dyDescent="0.25">
      <c r="A138" s="24">
        <v>134</v>
      </c>
      <c r="B138" s="24" t="s">
        <v>3437</v>
      </c>
      <c r="C138" s="25" t="s">
        <v>3436</v>
      </c>
      <c r="D138" s="26" t="s">
        <v>3780</v>
      </c>
      <c r="E138" s="25" t="s">
        <v>3779</v>
      </c>
      <c r="F138" s="25" t="s">
        <v>3778</v>
      </c>
      <c r="G138" s="24"/>
      <c r="H138" s="25" t="s">
        <v>3809</v>
      </c>
      <c r="I138" s="27"/>
      <c r="J138" s="25" t="s">
        <v>3813</v>
      </c>
      <c r="K138" s="29"/>
      <c r="L138" s="33" t="s">
        <v>3819</v>
      </c>
      <c r="M138" s="25" t="s">
        <v>199</v>
      </c>
      <c r="N138" s="58">
        <f>30%*N162</f>
        <v>0</v>
      </c>
      <c r="O138" s="31"/>
      <c r="P138" s="31"/>
      <c r="Q138" s="31"/>
      <c r="R138" s="31"/>
      <c r="S138" s="31">
        <f>10/60</f>
        <v>0.16666666666666666</v>
      </c>
      <c r="T138" s="31">
        <f>10/60</f>
        <v>0.16666666666666666</v>
      </c>
      <c r="U138" s="31">
        <f t="shared" si="2"/>
        <v>0.33333333333333331</v>
      </c>
      <c r="V138" s="31"/>
      <c r="W138" s="59" t="s">
        <v>848</v>
      </c>
      <c r="X138" s="32" t="s">
        <v>3785</v>
      </c>
      <c r="Y138" s="32" t="s">
        <v>3733</v>
      </c>
      <c r="Z138" s="56" t="s">
        <v>3799</v>
      </c>
      <c r="AA138" s="34"/>
    </row>
    <row r="139" spans="1:27" s="28" customFormat="1" ht="78.75" x14ac:dyDescent="0.25">
      <c r="A139" s="24">
        <v>135</v>
      </c>
      <c r="B139" s="24" t="s">
        <v>3437</v>
      </c>
      <c r="C139" s="25" t="s">
        <v>3436</v>
      </c>
      <c r="D139" s="26" t="s">
        <v>3780</v>
      </c>
      <c r="E139" s="25" t="s">
        <v>3779</v>
      </c>
      <c r="F139" s="25" t="s">
        <v>3778</v>
      </c>
      <c r="G139" s="24"/>
      <c r="H139" s="25" t="s">
        <v>3809</v>
      </c>
      <c r="I139" s="27"/>
      <c r="J139" s="25" t="s">
        <v>3813</v>
      </c>
      <c r="K139" s="29"/>
      <c r="L139" s="25" t="s">
        <v>3818</v>
      </c>
      <c r="M139" s="25" t="s">
        <v>301</v>
      </c>
      <c r="N139" s="30">
        <v>14</v>
      </c>
      <c r="O139" s="31"/>
      <c r="P139" s="31"/>
      <c r="Q139" s="31"/>
      <c r="R139" s="31"/>
      <c r="S139" s="31">
        <f>10+2</f>
        <v>12</v>
      </c>
      <c r="T139" s="31"/>
      <c r="U139" s="31">
        <f t="shared" si="2"/>
        <v>12</v>
      </c>
      <c r="V139" s="31"/>
      <c r="W139" s="33" t="s">
        <v>238</v>
      </c>
      <c r="X139" s="33"/>
      <c r="Y139" s="33"/>
      <c r="Z139" s="45"/>
      <c r="AA139" s="60" t="s">
        <v>3814</v>
      </c>
    </row>
    <row r="140" spans="1:27" s="28" customFormat="1" ht="78.75" x14ac:dyDescent="0.25">
      <c r="A140" s="24">
        <v>136</v>
      </c>
      <c r="B140" s="24" t="s">
        <v>3437</v>
      </c>
      <c r="C140" s="25" t="s">
        <v>3436</v>
      </c>
      <c r="D140" s="26" t="s">
        <v>3780</v>
      </c>
      <c r="E140" s="25" t="s">
        <v>3779</v>
      </c>
      <c r="F140" s="25" t="s">
        <v>3778</v>
      </c>
      <c r="G140" s="24"/>
      <c r="H140" s="25" t="s">
        <v>3809</v>
      </c>
      <c r="I140" s="27"/>
      <c r="J140" s="25" t="s">
        <v>3813</v>
      </c>
      <c r="K140" s="29"/>
      <c r="L140" s="25" t="s">
        <v>3817</v>
      </c>
      <c r="M140" s="25" t="s">
        <v>301</v>
      </c>
      <c r="N140" s="30">
        <v>4</v>
      </c>
      <c r="O140" s="31"/>
      <c r="P140" s="31"/>
      <c r="Q140" s="31"/>
      <c r="R140" s="31"/>
      <c r="S140" s="31">
        <f>5+2</f>
        <v>7</v>
      </c>
      <c r="T140" s="31"/>
      <c r="U140" s="31">
        <f t="shared" si="2"/>
        <v>7</v>
      </c>
      <c r="V140" s="31"/>
      <c r="W140" s="33" t="s">
        <v>238</v>
      </c>
      <c r="X140" s="33"/>
      <c r="Y140" s="33"/>
      <c r="Z140" s="45"/>
      <c r="AA140" s="60" t="s">
        <v>3814</v>
      </c>
    </row>
    <row r="141" spans="1:27" s="28" customFormat="1" ht="78.75" x14ac:dyDescent="0.25">
      <c r="A141" s="24">
        <v>137</v>
      </c>
      <c r="B141" s="24" t="s">
        <v>3437</v>
      </c>
      <c r="C141" s="25" t="s">
        <v>3436</v>
      </c>
      <c r="D141" s="26" t="s">
        <v>3780</v>
      </c>
      <c r="E141" s="25" t="s">
        <v>3779</v>
      </c>
      <c r="F141" s="25" t="s">
        <v>3778</v>
      </c>
      <c r="G141" s="24"/>
      <c r="H141" s="25" t="s">
        <v>3809</v>
      </c>
      <c r="I141" s="27"/>
      <c r="J141" s="25" t="s">
        <v>3813</v>
      </c>
      <c r="K141" s="29"/>
      <c r="L141" s="25" t="s">
        <v>3816</v>
      </c>
      <c r="M141" s="25" t="s">
        <v>301</v>
      </c>
      <c r="N141" s="30">
        <v>18</v>
      </c>
      <c r="O141" s="31"/>
      <c r="P141" s="31"/>
      <c r="Q141" s="31"/>
      <c r="R141" s="31"/>
      <c r="S141" s="31">
        <f>5+2</f>
        <v>7</v>
      </c>
      <c r="T141" s="31"/>
      <c r="U141" s="31">
        <f t="shared" si="2"/>
        <v>7</v>
      </c>
      <c r="V141" s="31"/>
      <c r="W141" s="33" t="s">
        <v>344</v>
      </c>
      <c r="X141" s="33"/>
      <c r="Y141" s="33"/>
      <c r="Z141" s="45"/>
      <c r="AA141" s="60" t="s">
        <v>3814</v>
      </c>
    </row>
    <row r="142" spans="1:27" s="28" customFormat="1" ht="78.75" x14ac:dyDescent="0.25">
      <c r="A142" s="24">
        <v>138</v>
      </c>
      <c r="B142" s="24" t="s">
        <v>3437</v>
      </c>
      <c r="C142" s="25" t="s">
        <v>3436</v>
      </c>
      <c r="D142" s="26" t="s">
        <v>3780</v>
      </c>
      <c r="E142" s="25" t="s">
        <v>3779</v>
      </c>
      <c r="F142" s="25" t="s">
        <v>3778</v>
      </c>
      <c r="G142" s="24"/>
      <c r="H142" s="25" t="s">
        <v>3809</v>
      </c>
      <c r="I142" s="27"/>
      <c r="J142" s="25" t="s">
        <v>3813</v>
      </c>
      <c r="K142" s="29"/>
      <c r="L142" s="25" t="s">
        <v>3815</v>
      </c>
      <c r="M142" s="25" t="s">
        <v>301</v>
      </c>
      <c r="N142" s="30">
        <v>2</v>
      </c>
      <c r="O142" s="31"/>
      <c r="P142" s="31"/>
      <c r="Q142" s="31"/>
      <c r="R142" s="31"/>
      <c r="S142" s="31"/>
      <c r="T142" s="31">
        <f>10+2</f>
        <v>12</v>
      </c>
      <c r="U142" s="31">
        <f t="shared" si="2"/>
        <v>12</v>
      </c>
      <c r="V142" s="31"/>
      <c r="W142" s="33" t="s">
        <v>344</v>
      </c>
      <c r="X142" s="33"/>
      <c r="Y142" s="33"/>
      <c r="Z142" s="45"/>
      <c r="AA142" s="60" t="s">
        <v>3814</v>
      </c>
    </row>
    <row r="143" spans="1:27" s="28" customFormat="1" ht="78.75" x14ac:dyDescent="0.25">
      <c r="A143" s="24">
        <v>139</v>
      </c>
      <c r="B143" s="24" t="s">
        <v>3437</v>
      </c>
      <c r="C143" s="25" t="s">
        <v>3436</v>
      </c>
      <c r="D143" s="26" t="s">
        <v>3780</v>
      </c>
      <c r="E143" s="25" t="s">
        <v>3779</v>
      </c>
      <c r="F143" s="25" t="s">
        <v>3778</v>
      </c>
      <c r="G143" s="24"/>
      <c r="H143" s="25" t="s">
        <v>3809</v>
      </c>
      <c r="I143" s="27"/>
      <c r="J143" s="25" t="s">
        <v>3813</v>
      </c>
      <c r="K143" s="29"/>
      <c r="L143" s="25" t="s">
        <v>3812</v>
      </c>
      <c r="M143" s="25" t="s">
        <v>177</v>
      </c>
      <c r="N143" s="30">
        <v>1</v>
      </c>
      <c r="O143" s="31"/>
      <c r="P143" s="31"/>
      <c r="Q143" s="31"/>
      <c r="R143" s="31"/>
      <c r="S143" s="31">
        <v>24</v>
      </c>
      <c r="T143" s="31">
        <v>4</v>
      </c>
      <c r="U143" s="31">
        <f t="shared" si="2"/>
        <v>28</v>
      </c>
      <c r="V143" s="31"/>
      <c r="W143" s="33" t="s">
        <v>238</v>
      </c>
      <c r="X143" s="33"/>
      <c r="Y143" s="33"/>
      <c r="Z143" s="45"/>
      <c r="AA143" s="60"/>
    </row>
    <row r="144" spans="1:27" s="28" customFormat="1" ht="78.75" x14ac:dyDescent="0.25">
      <c r="A144" s="24">
        <v>140</v>
      </c>
      <c r="B144" s="24" t="s">
        <v>3437</v>
      </c>
      <c r="C144" s="25" t="s">
        <v>3436</v>
      </c>
      <c r="D144" s="26" t="s">
        <v>3780</v>
      </c>
      <c r="E144" s="25" t="s">
        <v>3779</v>
      </c>
      <c r="F144" s="25" t="s">
        <v>3778</v>
      </c>
      <c r="G144" s="24"/>
      <c r="H144" s="25" t="s">
        <v>3809</v>
      </c>
      <c r="I144" s="27"/>
      <c r="J144" s="25" t="s">
        <v>3811</v>
      </c>
      <c r="K144" s="29"/>
      <c r="L144" s="25" t="s">
        <v>3810</v>
      </c>
      <c r="M144" s="25" t="s">
        <v>190</v>
      </c>
      <c r="N144" s="57">
        <v>12</v>
      </c>
      <c r="O144" s="35">
        <f>180/60</f>
        <v>3</v>
      </c>
      <c r="P144" s="35"/>
      <c r="Q144" s="35">
        <f>60/60</f>
        <v>1</v>
      </c>
      <c r="R144" s="35"/>
      <c r="S144" s="35">
        <v>8</v>
      </c>
      <c r="T144" s="35">
        <v>16</v>
      </c>
      <c r="U144" s="31">
        <f t="shared" si="2"/>
        <v>28</v>
      </c>
      <c r="V144" s="31"/>
      <c r="W144" s="59" t="s">
        <v>22</v>
      </c>
      <c r="X144" s="32"/>
      <c r="Y144" s="32" t="s">
        <v>3733</v>
      </c>
      <c r="Z144" s="56"/>
      <c r="AA144" s="34"/>
    </row>
    <row r="145" spans="1:27" s="28" customFormat="1" ht="37.5" customHeight="1" x14ac:dyDescent="0.25">
      <c r="A145" s="24">
        <v>141</v>
      </c>
      <c r="B145" s="24" t="s">
        <v>3437</v>
      </c>
      <c r="C145" s="25" t="s">
        <v>3436</v>
      </c>
      <c r="D145" s="26" t="s">
        <v>3780</v>
      </c>
      <c r="E145" s="25" t="s">
        <v>3779</v>
      </c>
      <c r="F145" s="25" t="s">
        <v>3778</v>
      </c>
      <c r="G145" s="24"/>
      <c r="H145" s="25" t="s">
        <v>3809</v>
      </c>
      <c r="I145" s="27"/>
      <c r="J145" s="25" t="s">
        <v>3808</v>
      </c>
      <c r="K145" s="29"/>
      <c r="L145" s="25" t="s">
        <v>3807</v>
      </c>
      <c r="M145" s="25" t="s">
        <v>355</v>
      </c>
      <c r="N145" s="30">
        <v>1</v>
      </c>
      <c r="O145" s="31"/>
      <c r="P145" s="31">
        <v>24</v>
      </c>
      <c r="Q145" s="31"/>
      <c r="R145" s="31"/>
      <c r="S145" s="31">
        <v>40</v>
      </c>
      <c r="T145" s="31">
        <v>80</v>
      </c>
      <c r="U145" s="31">
        <f t="shared" si="2"/>
        <v>144</v>
      </c>
      <c r="V145" s="31"/>
      <c r="W145" s="33" t="s">
        <v>22</v>
      </c>
      <c r="X145" s="33"/>
      <c r="Y145" s="33"/>
      <c r="Z145" s="45" t="s">
        <v>3806</v>
      </c>
      <c r="AA145" s="34"/>
    </row>
    <row r="146" spans="1:27" s="28" customFormat="1" ht="68.25" customHeight="1" x14ac:dyDescent="0.25">
      <c r="A146" s="24">
        <v>142</v>
      </c>
      <c r="B146" s="24" t="s">
        <v>3437</v>
      </c>
      <c r="C146" s="25" t="s">
        <v>3436</v>
      </c>
      <c r="D146" s="26" t="s">
        <v>3780</v>
      </c>
      <c r="E146" s="25" t="s">
        <v>3779</v>
      </c>
      <c r="F146" s="25" t="s">
        <v>3778</v>
      </c>
      <c r="G146" s="24"/>
      <c r="H146" s="25" t="s">
        <v>3792</v>
      </c>
      <c r="I146" s="27"/>
      <c r="J146" s="25" t="s">
        <v>3805</v>
      </c>
      <c r="K146" s="29"/>
      <c r="L146" s="29"/>
      <c r="M146" s="25"/>
      <c r="N146" s="30"/>
      <c r="O146" s="31"/>
      <c r="P146" s="31"/>
      <c r="Q146" s="31"/>
      <c r="R146" s="31"/>
      <c r="S146" s="31"/>
      <c r="T146" s="31"/>
      <c r="U146" s="31">
        <f t="shared" si="2"/>
        <v>0</v>
      </c>
      <c r="V146" s="31"/>
      <c r="W146" s="32"/>
      <c r="X146" s="32"/>
      <c r="Y146" s="32"/>
      <c r="Z146" s="33"/>
      <c r="AA146" s="34"/>
    </row>
    <row r="147" spans="1:27" s="28" customFormat="1" ht="71.25" customHeight="1" x14ac:dyDescent="0.25">
      <c r="A147" s="24">
        <v>143</v>
      </c>
      <c r="B147" s="24" t="s">
        <v>3437</v>
      </c>
      <c r="C147" s="25" t="s">
        <v>3436</v>
      </c>
      <c r="D147" s="26" t="s">
        <v>3780</v>
      </c>
      <c r="E147" s="25" t="s">
        <v>3779</v>
      </c>
      <c r="F147" s="25" t="s">
        <v>3778</v>
      </c>
      <c r="G147" s="24"/>
      <c r="H147" s="25" t="s">
        <v>3792</v>
      </c>
      <c r="I147" s="27"/>
      <c r="J147" s="25" t="s">
        <v>3794</v>
      </c>
      <c r="K147" s="29"/>
      <c r="L147" s="33" t="s">
        <v>3804</v>
      </c>
      <c r="M147" s="25" t="s">
        <v>199</v>
      </c>
      <c r="N147" s="30">
        <v>26000</v>
      </c>
      <c r="O147" s="31">
        <v>1</v>
      </c>
      <c r="P147" s="31"/>
      <c r="Q147" s="31">
        <v>0.17499999999999999</v>
      </c>
      <c r="R147" s="31"/>
      <c r="S147" s="31">
        <v>0.05</v>
      </c>
      <c r="T147" s="31">
        <v>2.5000000000000001E-2</v>
      </c>
      <c r="U147" s="31">
        <f t="shared" si="2"/>
        <v>1.25</v>
      </c>
      <c r="V147" s="31"/>
      <c r="W147" s="59" t="s">
        <v>848</v>
      </c>
      <c r="X147" s="32" t="s">
        <v>3781</v>
      </c>
      <c r="Y147" s="32" t="s">
        <v>3733</v>
      </c>
      <c r="Z147" s="56" t="s">
        <v>349</v>
      </c>
      <c r="AA147" s="34"/>
    </row>
    <row r="148" spans="1:27" s="28" customFormat="1" ht="39.75" customHeight="1" x14ac:dyDescent="0.25">
      <c r="A148" s="24">
        <v>144</v>
      </c>
      <c r="B148" s="24" t="s">
        <v>3437</v>
      </c>
      <c r="C148" s="25" t="s">
        <v>3436</v>
      </c>
      <c r="D148" s="26" t="s">
        <v>3780</v>
      </c>
      <c r="E148" s="25" t="s">
        <v>3779</v>
      </c>
      <c r="F148" s="25" t="s">
        <v>3778</v>
      </c>
      <c r="G148" s="24"/>
      <c r="H148" s="25" t="s">
        <v>3792</v>
      </c>
      <c r="I148" s="27"/>
      <c r="J148" s="25" t="s">
        <v>3794</v>
      </c>
      <c r="K148" s="29"/>
      <c r="L148" s="33" t="s">
        <v>3803</v>
      </c>
      <c r="M148" s="25" t="s">
        <v>199</v>
      </c>
      <c r="N148" s="30">
        <v>60000</v>
      </c>
      <c r="O148" s="31">
        <f>3/60</f>
        <v>0.05</v>
      </c>
      <c r="P148" s="31"/>
      <c r="Q148" s="31">
        <f>1/60</f>
        <v>1.6666666666666666E-2</v>
      </c>
      <c r="R148" s="31"/>
      <c r="S148" s="31"/>
      <c r="T148" s="31">
        <f>0.5/60</f>
        <v>8.3333333333333332E-3</v>
      </c>
      <c r="U148" s="31">
        <f t="shared" si="2"/>
        <v>7.4999999999999997E-2</v>
      </c>
      <c r="V148" s="31"/>
      <c r="W148" s="59" t="s">
        <v>848</v>
      </c>
      <c r="X148" s="32" t="s">
        <v>3781</v>
      </c>
      <c r="Y148" s="32" t="s">
        <v>3733</v>
      </c>
      <c r="Z148" s="56" t="s">
        <v>349</v>
      </c>
      <c r="AA148" s="34"/>
    </row>
    <row r="149" spans="1:27" s="28" customFormat="1" ht="27.75" customHeight="1" x14ac:dyDescent="0.25">
      <c r="A149" s="24">
        <v>145</v>
      </c>
      <c r="B149" s="24" t="s">
        <v>3437</v>
      </c>
      <c r="C149" s="25" t="s">
        <v>3436</v>
      </c>
      <c r="D149" s="26" t="s">
        <v>3780</v>
      </c>
      <c r="E149" s="25" t="s">
        <v>3779</v>
      </c>
      <c r="F149" s="25" t="s">
        <v>3778</v>
      </c>
      <c r="G149" s="24"/>
      <c r="H149" s="25" t="s">
        <v>3792</v>
      </c>
      <c r="I149" s="27"/>
      <c r="J149" s="25" t="s">
        <v>3794</v>
      </c>
      <c r="K149" s="29"/>
      <c r="L149" s="33" t="s">
        <v>3802</v>
      </c>
      <c r="M149" s="25" t="s">
        <v>199</v>
      </c>
      <c r="N149" s="58">
        <v>800</v>
      </c>
      <c r="O149" s="31">
        <v>4.5</v>
      </c>
      <c r="P149" s="31"/>
      <c r="Q149" s="31">
        <v>0.9</v>
      </c>
      <c r="R149" s="31"/>
      <c r="S149" s="31">
        <v>0.45</v>
      </c>
      <c r="T149" s="31">
        <v>0.25</v>
      </c>
      <c r="U149" s="31">
        <f t="shared" si="2"/>
        <v>6.1000000000000005</v>
      </c>
      <c r="V149" s="31"/>
      <c r="W149" s="59" t="s">
        <v>848</v>
      </c>
      <c r="X149" s="32" t="s">
        <v>3785</v>
      </c>
      <c r="Y149" s="32" t="s">
        <v>3733</v>
      </c>
      <c r="Z149" s="56" t="s">
        <v>3799</v>
      </c>
      <c r="AA149" s="34"/>
    </row>
    <row r="150" spans="1:27" s="28" customFormat="1" ht="33" customHeight="1" x14ac:dyDescent="0.25">
      <c r="A150" s="24">
        <v>146</v>
      </c>
      <c r="B150" s="24" t="s">
        <v>3437</v>
      </c>
      <c r="C150" s="25" t="s">
        <v>3436</v>
      </c>
      <c r="D150" s="26" t="s">
        <v>3780</v>
      </c>
      <c r="E150" s="25" t="s">
        <v>3779</v>
      </c>
      <c r="F150" s="25" t="s">
        <v>3778</v>
      </c>
      <c r="G150" s="24"/>
      <c r="H150" s="25" t="s">
        <v>3792</v>
      </c>
      <c r="I150" s="27"/>
      <c r="J150" s="25" t="s">
        <v>3794</v>
      </c>
      <c r="K150" s="29"/>
      <c r="L150" s="33" t="s">
        <v>3801</v>
      </c>
      <c r="M150" s="25" t="s">
        <v>199</v>
      </c>
      <c r="N150" s="58">
        <v>1450</v>
      </c>
      <c r="O150" s="31">
        <v>3.5</v>
      </c>
      <c r="P150" s="31"/>
      <c r="Q150" s="31">
        <v>0.7</v>
      </c>
      <c r="R150" s="31"/>
      <c r="S150" s="31">
        <v>0.35</v>
      </c>
      <c r="T150" s="31">
        <v>0.17499999999999999</v>
      </c>
      <c r="U150" s="31">
        <f t="shared" si="2"/>
        <v>4.7249999999999996</v>
      </c>
      <c r="V150" s="31"/>
      <c r="W150" s="59" t="s">
        <v>848</v>
      </c>
      <c r="X150" s="32" t="s">
        <v>3785</v>
      </c>
      <c r="Y150" s="32" t="s">
        <v>3733</v>
      </c>
      <c r="Z150" s="56" t="s">
        <v>3799</v>
      </c>
      <c r="AA150" s="34"/>
    </row>
    <row r="151" spans="1:27" s="28" customFormat="1" ht="35.25" customHeight="1" x14ac:dyDescent="0.25">
      <c r="A151" s="24">
        <v>147</v>
      </c>
      <c r="B151" s="24" t="s">
        <v>3437</v>
      </c>
      <c r="C151" s="25" t="s">
        <v>3436</v>
      </c>
      <c r="D151" s="26" t="s">
        <v>3780</v>
      </c>
      <c r="E151" s="25" t="s">
        <v>3779</v>
      </c>
      <c r="F151" s="25" t="s">
        <v>3778</v>
      </c>
      <c r="G151" s="24"/>
      <c r="H151" s="25" t="s">
        <v>3792</v>
      </c>
      <c r="I151" s="27"/>
      <c r="J151" s="25" t="s">
        <v>3794</v>
      </c>
      <c r="K151" s="29"/>
      <c r="L151" s="33" t="s">
        <v>3800</v>
      </c>
      <c r="M151" s="25" t="s">
        <v>199</v>
      </c>
      <c r="N151" s="58">
        <v>400</v>
      </c>
      <c r="O151" s="31">
        <v>2</v>
      </c>
      <c r="P151" s="31"/>
      <c r="Q151" s="31">
        <v>0.36499999999999999</v>
      </c>
      <c r="R151" s="31"/>
      <c r="S151" s="31">
        <v>0.1</v>
      </c>
      <c r="T151" s="31">
        <v>0.05</v>
      </c>
      <c r="U151" s="31">
        <f t="shared" si="2"/>
        <v>2.5150000000000001</v>
      </c>
      <c r="V151" s="31"/>
      <c r="W151" s="59" t="s">
        <v>848</v>
      </c>
      <c r="X151" s="32" t="s">
        <v>3785</v>
      </c>
      <c r="Y151" s="32" t="s">
        <v>3733</v>
      </c>
      <c r="Z151" s="56" t="s">
        <v>3799</v>
      </c>
      <c r="AA151" s="34"/>
    </row>
    <row r="152" spans="1:27" s="28" customFormat="1" ht="25.5" customHeight="1" x14ac:dyDescent="0.25">
      <c r="A152" s="24">
        <v>148</v>
      </c>
      <c r="B152" s="24" t="s">
        <v>3437</v>
      </c>
      <c r="C152" s="25" t="s">
        <v>3436</v>
      </c>
      <c r="D152" s="26" t="s">
        <v>3780</v>
      </c>
      <c r="E152" s="25" t="s">
        <v>3779</v>
      </c>
      <c r="F152" s="25" t="s">
        <v>3778</v>
      </c>
      <c r="G152" s="24"/>
      <c r="H152" s="25" t="s">
        <v>3792</v>
      </c>
      <c r="I152" s="27"/>
      <c r="J152" s="25" t="s">
        <v>3794</v>
      </c>
      <c r="K152" s="29"/>
      <c r="L152" s="33" t="s">
        <v>3798</v>
      </c>
      <c r="M152" s="25" t="s">
        <v>199</v>
      </c>
      <c r="N152" s="58">
        <v>60</v>
      </c>
      <c r="O152" s="31">
        <v>1</v>
      </c>
      <c r="P152" s="31"/>
      <c r="Q152" s="31">
        <v>0.17499999999999999</v>
      </c>
      <c r="R152" s="31"/>
      <c r="S152" s="31">
        <v>0.05</v>
      </c>
      <c r="T152" s="31">
        <v>2.5000000000000001E-2</v>
      </c>
      <c r="U152" s="31">
        <f t="shared" si="2"/>
        <v>1.25</v>
      </c>
      <c r="V152" s="31"/>
      <c r="W152" s="59" t="s">
        <v>848</v>
      </c>
      <c r="X152" s="32" t="s">
        <v>3785</v>
      </c>
      <c r="Y152" s="32" t="s">
        <v>3733</v>
      </c>
      <c r="Z152" s="56" t="s">
        <v>349</v>
      </c>
      <c r="AA152" s="34"/>
    </row>
    <row r="153" spans="1:27" s="28" customFormat="1" ht="25.5" customHeight="1" x14ac:dyDescent="0.25">
      <c r="A153" s="24">
        <v>149</v>
      </c>
      <c r="B153" s="24" t="s">
        <v>3437</v>
      </c>
      <c r="C153" s="25" t="s">
        <v>3436</v>
      </c>
      <c r="D153" s="26" t="s">
        <v>3780</v>
      </c>
      <c r="E153" s="25" t="s">
        <v>3779</v>
      </c>
      <c r="F153" s="25" t="s">
        <v>3778</v>
      </c>
      <c r="G153" s="24"/>
      <c r="H153" s="25" t="s">
        <v>3792</v>
      </c>
      <c r="I153" s="27"/>
      <c r="J153" s="25" t="s">
        <v>3794</v>
      </c>
      <c r="K153" s="29"/>
      <c r="L153" s="33" t="s">
        <v>3797</v>
      </c>
      <c r="M153" s="25" t="s">
        <v>199</v>
      </c>
      <c r="N153" s="58">
        <v>140</v>
      </c>
      <c r="O153" s="31">
        <v>1</v>
      </c>
      <c r="P153" s="31"/>
      <c r="Q153" s="31">
        <v>0.17499999999999999</v>
      </c>
      <c r="R153" s="31"/>
      <c r="S153" s="31">
        <v>0.05</v>
      </c>
      <c r="T153" s="31">
        <v>2.5000000000000001E-2</v>
      </c>
      <c r="U153" s="31">
        <f t="shared" si="2"/>
        <v>1.25</v>
      </c>
      <c r="V153" s="31"/>
      <c r="W153" s="59" t="s">
        <v>848</v>
      </c>
      <c r="X153" s="32" t="s">
        <v>3785</v>
      </c>
      <c r="Y153" s="32" t="s">
        <v>3733</v>
      </c>
      <c r="Z153" s="56" t="s">
        <v>349</v>
      </c>
      <c r="AA153" s="34"/>
    </row>
    <row r="154" spans="1:27" s="28" customFormat="1" ht="25.5" customHeight="1" x14ac:dyDescent="0.25">
      <c r="A154" s="24">
        <v>150</v>
      </c>
      <c r="B154" s="24" t="s">
        <v>3437</v>
      </c>
      <c r="C154" s="25" t="s">
        <v>3436</v>
      </c>
      <c r="D154" s="26" t="s">
        <v>3780</v>
      </c>
      <c r="E154" s="25" t="s">
        <v>3779</v>
      </c>
      <c r="F154" s="25" t="s">
        <v>3778</v>
      </c>
      <c r="G154" s="24"/>
      <c r="H154" s="25" t="s">
        <v>3792</v>
      </c>
      <c r="I154" s="27"/>
      <c r="J154" s="25" t="s">
        <v>3794</v>
      </c>
      <c r="K154" s="29"/>
      <c r="L154" s="33" t="s">
        <v>3796</v>
      </c>
      <c r="M154" s="25" t="s">
        <v>199</v>
      </c>
      <c r="N154" s="58">
        <v>170</v>
      </c>
      <c r="O154" s="31">
        <v>3</v>
      </c>
      <c r="P154" s="31"/>
      <c r="Q154" s="31">
        <v>0.6</v>
      </c>
      <c r="R154" s="31"/>
      <c r="S154" s="31">
        <v>0.3</v>
      </c>
      <c r="T154" s="31">
        <v>0.15</v>
      </c>
      <c r="U154" s="31">
        <f t="shared" si="2"/>
        <v>4.05</v>
      </c>
      <c r="V154" s="31"/>
      <c r="W154" s="59" t="s">
        <v>848</v>
      </c>
      <c r="X154" s="32" t="s">
        <v>3785</v>
      </c>
      <c r="Y154" s="32" t="s">
        <v>3733</v>
      </c>
      <c r="Z154" s="56" t="s">
        <v>349</v>
      </c>
      <c r="AA154" s="34"/>
    </row>
    <row r="155" spans="1:27" s="28" customFormat="1" ht="33.75" customHeight="1" x14ac:dyDescent="0.25">
      <c r="A155" s="24">
        <v>151</v>
      </c>
      <c r="B155" s="24" t="s">
        <v>3437</v>
      </c>
      <c r="C155" s="25" t="s">
        <v>3436</v>
      </c>
      <c r="D155" s="26" t="s">
        <v>3780</v>
      </c>
      <c r="E155" s="25" t="s">
        <v>3779</v>
      </c>
      <c r="F155" s="25" t="s">
        <v>3778</v>
      </c>
      <c r="G155" s="24"/>
      <c r="H155" s="25" t="s">
        <v>3792</v>
      </c>
      <c r="I155" s="27"/>
      <c r="J155" s="25" t="s">
        <v>3794</v>
      </c>
      <c r="K155" s="29"/>
      <c r="L155" s="33" t="s">
        <v>3795</v>
      </c>
      <c r="M155" s="25" t="s">
        <v>199</v>
      </c>
      <c r="N155" s="58">
        <f>N149+N150+N151+N152+N153</f>
        <v>2850</v>
      </c>
      <c r="O155" s="31">
        <f>3/60</f>
        <v>0.05</v>
      </c>
      <c r="P155" s="31"/>
      <c r="Q155" s="31">
        <f>1/60</f>
        <v>1.6666666666666666E-2</v>
      </c>
      <c r="R155" s="31"/>
      <c r="S155" s="31"/>
      <c r="T155" s="31">
        <f>0.5/60</f>
        <v>8.3333333333333332E-3</v>
      </c>
      <c r="U155" s="31">
        <f t="shared" si="2"/>
        <v>7.4999999999999997E-2</v>
      </c>
      <c r="V155" s="31"/>
      <c r="W155" s="59" t="s">
        <v>848</v>
      </c>
      <c r="X155" s="32" t="s">
        <v>3785</v>
      </c>
      <c r="Y155" s="32" t="s">
        <v>3733</v>
      </c>
      <c r="Z155" s="56" t="s">
        <v>349</v>
      </c>
      <c r="AA155" s="34"/>
    </row>
    <row r="156" spans="1:27" s="28" customFormat="1" ht="36" customHeight="1" x14ac:dyDescent="0.25">
      <c r="A156" s="24">
        <v>152</v>
      </c>
      <c r="B156" s="24" t="s">
        <v>3437</v>
      </c>
      <c r="C156" s="25" t="s">
        <v>3436</v>
      </c>
      <c r="D156" s="26" t="s">
        <v>3780</v>
      </c>
      <c r="E156" s="25" t="s">
        <v>3779</v>
      </c>
      <c r="F156" s="25" t="s">
        <v>3778</v>
      </c>
      <c r="G156" s="24"/>
      <c r="H156" s="25" t="s">
        <v>3792</v>
      </c>
      <c r="I156" s="27"/>
      <c r="J156" s="25" t="s">
        <v>3794</v>
      </c>
      <c r="K156" s="29"/>
      <c r="L156" s="33" t="s">
        <v>3793</v>
      </c>
      <c r="M156" s="25" t="s">
        <v>199</v>
      </c>
      <c r="N156" s="58">
        <v>100</v>
      </c>
      <c r="O156" s="31"/>
      <c r="P156" s="31">
        <v>4</v>
      </c>
      <c r="Q156" s="31"/>
      <c r="R156" s="31"/>
      <c r="S156" s="31"/>
      <c r="T156" s="31">
        <v>4</v>
      </c>
      <c r="U156" s="31">
        <f t="shared" si="2"/>
        <v>8</v>
      </c>
      <c r="V156" s="31"/>
      <c r="W156" s="59" t="s">
        <v>848</v>
      </c>
      <c r="X156" s="32" t="s">
        <v>3785</v>
      </c>
      <c r="Y156" s="32" t="s">
        <v>3733</v>
      </c>
      <c r="Z156" s="56" t="s">
        <v>349</v>
      </c>
      <c r="AA156" s="34"/>
    </row>
    <row r="157" spans="1:27" s="28" customFormat="1" ht="43.5" customHeight="1" x14ac:dyDescent="0.25">
      <c r="A157" s="24">
        <v>153</v>
      </c>
      <c r="B157" s="24" t="s">
        <v>3437</v>
      </c>
      <c r="C157" s="25" t="s">
        <v>3436</v>
      </c>
      <c r="D157" s="26" t="s">
        <v>3780</v>
      </c>
      <c r="E157" s="25" t="s">
        <v>3779</v>
      </c>
      <c r="F157" s="25" t="s">
        <v>3778</v>
      </c>
      <c r="G157" s="24"/>
      <c r="H157" s="25" t="s">
        <v>3792</v>
      </c>
      <c r="I157" s="27"/>
      <c r="J157" s="25" t="s">
        <v>3791</v>
      </c>
      <c r="K157" s="29"/>
      <c r="L157" s="29"/>
      <c r="M157" s="25"/>
      <c r="N157" s="30"/>
      <c r="O157" s="31"/>
      <c r="P157" s="31"/>
      <c r="Q157" s="31"/>
      <c r="R157" s="31"/>
      <c r="S157" s="31"/>
      <c r="T157" s="31"/>
      <c r="U157" s="31">
        <f t="shared" si="2"/>
        <v>0</v>
      </c>
      <c r="V157" s="31"/>
      <c r="W157" s="32"/>
      <c r="X157" s="32"/>
      <c r="Y157" s="32"/>
      <c r="Z157" s="33"/>
      <c r="AA157" s="34"/>
    </row>
    <row r="158" spans="1:27" s="28" customFormat="1" ht="35.25" customHeight="1" x14ac:dyDescent="0.25">
      <c r="A158" s="24">
        <v>154</v>
      </c>
      <c r="B158" s="24" t="s">
        <v>3437</v>
      </c>
      <c r="C158" s="25" t="s">
        <v>3436</v>
      </c>
      <c r="D158" s="26" t="s">
        <v>3780</v>
      </c>
      <c r="E158" s="25" t="s">
        <v>3779</v>
      </c>
      <c r="F158" s="25" t="s">
        <v>3778</v>
      </c>
      <c r="G158" s="24"/>
      <c r="H158" s="25" t="s">
        <v>3784</v>
      </c>
      <c r="I158" s="27"/>
      <c r="J158" s="25" t="s">
        <v>3790</v>
      </c>
      <c r="K158" s="29"/>
      <c r="L158" s="25" t="s">
        <v>3789</v>
      </c>
      <c r="M158" s="25" t="s">
        <v>199</v>
      </c>
      <c r="N158" s="30">
        <f>N141+N148+N149+N150+N151+N152+N153</f>
        <v>62868</v>
      </c>
      <c r="O158" s="35">
        <f>3/60</f>
        <v>0.05</v>
      </c>
      <c r="P158" s="35"/>
      <c r="Q158" s="35"/>
      <c r="R158" s="35"/>
      <c r="S158" s="35"/>
      <c r="T158" s="35"/>
      <c r="U158" s="31">
        <f t="shared" si="2"/>
        <v>0.05</v>
      </c>
      <c r="V158" s="31"/>
      <c r="W158" s="59" t="s">
        <v>848</v>
      </c>
      <c r="X158" s="32" t="s">
        <v>3781</v>
      </c>
      <c r="Y158" s="32" t="s">
        <v>3733</v>
      </c>
      <c r="Z158" s="56" t="s">
        <v>349</v>
      </c>
      <c r="AA158" s="34"/>
    </row>
    <row r="159" spans="1:27" s="28" customFormat="1" ht="52.5" customHeight="1" x14ac:dyDescent="0.25">
      <c r="A159" s="24">
        <v>155</v>
      </c>
      <c r="B159" s="24" t="s">
        <v>3437</v>
      </c>
      <c r="C159" s="25" t="s">
        <v>3436</v>
      </c>
      <c r="D159" s="26" t="s">
        <v>3780</v>
      </c>
      <c r="E159" s="25" t="s">
        <v>3779</v>
      </c>
      <c r="F159" s="25" t="s">
        <v>3778</v>
      </c>
      <c r="G159" s="24"/>
      <c r="H159" s="25" t="s">
        <v>3784</v>
      </c>
      <c r="I159" s="27"/>
      <c r="J159" s="25" t="s">
        <v>3788</v>
      </c>
      <c r="K159" s="29"/>
      <c r="L159" s="25" t="s">
        <v>3787</v>
      </c>
      <c r="M159" s="25" t="s">
        <v>199</v>
      </c>
      <c r="N159" s="30">
        <f>N158*80%</f>
        <v>50294.400000000001</v>
      </c>
      <c r="O159" s="35">
        <f>5/60</f>
        <v>8.3333333333333329E-2</v>
      </c>
      <c r="P159" s="35"/>
      <c r="Q159" s="35">
        <f>0.5/60</f>
        <v>8.3333333333333332E-3</v>
      </c>
      <c r="R159" s="35"/>
      <c r="S159" s="35"/>
      <c r="T159" s="35"/>
      <c r="U159" s="31">
        <f t="shared" si="2"/>
        <v>9.166666666666666E-2</v>
      </c>
      <c r="V159" s="31"/>
      <c r="W159" s="59" t="s">
        <v>848</v>
      </c>
      <c r="X159" s="32"/>
      <c r="Y159" s="32" t="s">
        <v>3733</v>
      </c>
      <c r="Z159" s="56" t="s">
        <v>349</v>
      </c>
      <c r="AA159" s="34"/>
    </row>
    <row r="160" spans="1:27" s="28" customFormat="1" ht="56.25" customHeight="1" x14ac:dyDescent="0.25">
      <c r="A160" s="24">
        <v>156</v>
      </c>
      <c r="B160" s="24" t="s">
        <v>3437</v>
      </c>
      <c r="C160" s="25" t="s">
        <v>3436</v>
      </c>
      <c r="D160" s="26" t="s">
        <v>3780</v>
      </c>
      <c r="E160" s="25" t="s">
        <v>3779</v>
      </c>
      <c r="F160" s="25" t="s">
        <v>3778</v>
      </c>
      <c r="G160" s="24"/>
      <c r="H160" s="25" t="s">
        <v>3784</v>
      </c>
      <c r="I160" s="27"/>
      <c r="J160" s="25" t="s">
        <v>3783</v>
      </c>
      <c r="K160" s="29"/>
      <c r="L160" s="25" t="s">
        <v>3786</v>
      </c>
      <c r="M160" s="25" t="s">
        <v>199</v>
      </c>
      <c r="N160" s="30">
        <v>9000</v>
      </c>
      <c r="O160" s="35">
        <f>10/60</f>
        <v>0.16666666666666666</v>
      </c>
      <c r="P160" s="35"/>
      <c r="Q160" s="35"/>
      <c r="R160" s="35"/>
      <c r="S160" s="35"/>
      <c r="T160" s="35"/>
      <c r="U160" s="31">
        <f t="shared" si="2"/>
        <v>0.16666666666666666</v>
      </c>
      <c r="V160" s="31"/>
      <c r="W160" s="59" t="s">
        <v>848</v>
      </c>
      <c r="X160" s="32" t="s">
        <v>3785</v>
      </c>
      <c r="Y160" s="32" t="s">
        <v>3733</v>
      </c>
      <c r="Z160" s="56" t="s">
        <v>349</v>
      </c>
      <c r="AA160" s="34"/>
    </row>
    <row r="161" spans="1:27" s="28" customFormat="1" ht="56.25" customHeight="1" x14ac:dyDescent="0.25">
      <c r="A161" s="24">
        <v>157</v>
      </c>
      <c r="B161" s="24" t="s">
        <v>3437</v>
      </c>
      <c r="C161" s="25" t="s">
        <v>3436</v>
      </c>
      <c r="D161" s="26" t="s">
        <v>3780</v>
      </c>
      <c r="E161" s="25" t="s">
        <v>3779</v>
      </c>
      <c r="F161" s="25" t="s">
        <v>3778</v>
      </c>
      <c r="G161" s="24"/>
      <c r="H161" s="25" t="s">
        <v>3784</v>
      </c>
      <c r="I161" s="27"/>
      <c r="J161" s="25" t="s">
        <v>3783</v>
      </c>
      <c r="K161" s="29"/>
      <c r="L161" s="25" t="s">
        <v>3782</v>
      </c>
      <c r="M161" s="25" t="s">
        <v>199</v>
      </c>
      <c r="N161" s="30">
        <v>26000</v>
      </c>
      <c r="O161" s="35"/>
      <c r="P161" s="35">
        <f>3/60</f>
        <v>0.05</v>
      </c>
      <c r="Q161" s="35"/>
      <c r="R161" s="35"/>
      <c r="S161" s="35"/>
      <c r="T161" s="35"/>
      <c r="U161" s="31">
        <f t="shared" si="2"/>
        <v>0.05</v>
      </c>
      <c r="V161" s="31"/>
      <c r="W161" s="59" t="s">
        <v>848</v>
      </c>
      <c r="X161" s="32" t="s">
        <v>3781</v>
      </c>
      <c r="Y161" s="32" t="s">
        <v>3733</v>
      </c>
      <c r="Z161" s="56" t="s">
        <v>349</v>
      </c>
      <c r="AA161" s="34"/>
    </row>
    <row r="162" spans="1:27" s="53" customFormat="1" ht="78.75" x14ac:dyDescent="0.25">
      <c r="A162" s="24">
        <v>158</v>
      </c>
      <c r="B162" s="24" t="s">
        <v>3437</v>
      </c>
      <c r="C162" s="25" t="s">
        <v>3436</v>
      </c>
      <c r="D162" s="26" t="s">
        <v>3780</v>
      </c>
      <c r="E162" s="25" t="s">
        <v>3779</v>
      </c>
      <c r="F162" s="25" t="s">
        <v>3778</v>
      </c>
      <c r="G162" s="24"/>
      <c r="H162" s="25" t="s">
        <v>3777</v>
      </c>
      <c r="I162" s="24"/>
      <c r="J162" s="25" t="s">
        <v>3777</v>
      </c>
      <c r="K162" s="29"/>
      <c r="L162" s="29"/>
      <c r="M162" s="25"/>
      <c r="N162" s="30"/>
      <c r="O162" s="31"/>
      <c r="P162" s="31"/>
      <c r="Q162" s="31"/>
      <c r="R162" s="31"/>
      <c r="S162" s="31"/>
      <c r="T162" s="31"/>
      <c r="U162" s="31">
        <f t="shared" si="2"/>
        <v>0</v>
      </c>
      <c r="V162" s="31"/>
      <c r="W162" s="32"/>
      <c r="X162" s="32"/>
      <c r="Y162" s="32"/>
      <c r="Z162" s="33"/>
      <c r="AA162" s="34"/>
    </row>
    <row r="163" spans="1:27" s="28" customFormat="1" ht="46.5" customHeight="1" x14ac:dyDescent="0.25">
      <c r="A163" s="24">
        <v>159</v>
      </c>
      <c r="B163" s="24" t="s">
        <v>3437</v>
      </c>
      <c r="C163" s="25" t="s">
        <v>3436</v>
      </c>
      <c r="D163" s="26" t="s">
        <v>3692</v>
      </c>
      <c r="E163" s="25" t="s">
        <v>3691</v>
      </c>
      <c r="F163" s="25" t="s">
        <v>3690</v>
      </c>
      <c r="G163" s="24"/>
      <c r="H163" s="25" t="s">
        <v>3743</v>
      </c>
      <c r="I163" s="27"/>
      <c r="J163" s="25" t="s">
        <v>3776</v>
      </c>
      <c r="K163" s="29"/>
      <c r="L163" s="29"/>
      <c r="M163" s="25"/>
      <c r="N163" s="30"/>
      <c r="O163" s="31"/>
      <c r="P163" s="31"/>
      <c r="Q163" s="31"/>
      <c r="R163" s="31"/>
      <c r="S163" s="31"/>
      <c r="T163" s="31"/>
      <c r="U163" s="31">
        <f t="shared" si="2"/>
        <v>0</v>
      </c>
      <c r="V163" s="31"/>
      <c r="W163" s="32"/>
      <c r="X163" s="32"/>
      <c r="Y163" s="32"/>
      <c r="Z163" s="33"/>
      <c r="AA163" s="34"/>
    </row>
    <row r="164" spans="1:27" s="28" customFormat="1" ht="54" customHeight="1" x14ac:dyDescent="0.25">
      <c r="A164" s="24">
        <v>160</v>
      </c>
      <c r="B164" s="24" t="s">
        <v>3437</v>
      </c>
      <c r="C164" s="25" t="s">
        <v>3436</v>
      </c>
      <c r="D164" s="26" t="s">
        <v>3692</v>
      </c>
      <c r="E164" s="25" t="s">
        <v>3691</v>
      </c>
      <c r="F164" s="25" t="s">
        <v>3690</v>
      </c>
      <c r="G164" s="24"/>
      <c r="H164" s="25" t="s">
        <v>3743</v>
      </c>
      <c r="I164" s="27"/>
      <c r="J164" s="25" t="s">
        <v>3765</v>
      </c>
      <c r="K164" s="29"/>
      <c r="L164" s="32" t="s">
        <v>3775</v>
      </c>
      <c r="M164" s="61" t="s">
        <v>2688</v>
      </c>
      <c r="N164" s="30">
        <v>2</v>
      </c>
      <c r="O164" s="31"/>
      <c r="P164" s="31">
        <f t="shared" ref="P164:Q166" si="3">7*8</f>
        <v>56</v>
      </c>
      <c r="Q164" s="31">
        <f t="shared" si="3"/>
        <v>56</v>
      </c>
      <c r="R164" s="31"/>
      <c r="S164" s="31"/>
      <c r="T164" s="31">
        <f>3*8</f>
        <v>24</v>
      </c>
      <c r="U164" s="31">
        <f t="shared" si="2"/>
        <v>136</v>
      </c>
      <c r="V164" s="31"/>
      <c r="W164" s="59" t="s">
        <v>2099</v>
      </c>
      <c r="X164" s="32" t="s">
        <v>3774</v>
      </c>
      <c r="Y164" s="32" t="s">
        <v>3733</v>
      </c>
      <c r="Z164" s="45" t="s">
        <v>3773</v>
      </c>
      <c r="AA164" s="34"/>
    </row>
    <row r="165" spans="1:27" s="28" customFormat="1" ht="24.75" customHeight="1" x14ac:dyDescent="0.25">
      <c r="A165" s="24">
        <v>161</v>
      </c>
      <c r="B165" s="24" t="s">
        <v>3437</v>
      </c>
      <c r="C165" s="25" t="s">
        <v>3436</v>
      </c>
      <c r="D165" s="26" t="s">
        <v>3692</v>
      </c>
      <c r="E165" s="25" t="s">
        <v>3691</v>
      </c>
      <c r="F165" s="25" t="s">
        <v>3690</v>
      </c>
      <c r="G165" s="24"/>
      <c r="H165" s="25" t="s">
        <v>3743</v>
      </c>
      <c r="I165" s="27"/>
      <c r="J165" s="25" t="s">
        <v>3765</v>
      </c>
      <c r="K165" s="29"/>
      <c r="L165" s="32" t="s">
        <v>3772</v>
      </c>
      <c r="M165" s="61" t="s">
        <v>3503</v>
      </c>
      <c r="N165" s="39">
        <v>44</v>
      </c>
      <c r="O165" s="35"/>
      <c r="P165" s="35">
        <f t="shared" si="3"/>
        <v>56</v>
      </c>
      <c r="Q165" s="35">
        <f t="shared" si="3"/>
        <v>56</v>
      </c>
      <c r="R165" s="35"/>
      <c r="S165" s="31"/>
      <c r="T165" s="31">
        <f>3*8</f>
        <v>24</v>
      </c>
      <c r="U165" s="31">
        <f t="shared" si="2"/>
        <v>136</v>
      </c>
      <c r="V165" s="31"/>
      <c r="W165" s="59" t="s">
        <v>2099</v>
      </c>
      <c r="X165" s="32" t="s">
        <v>3104</v>
      </c>
      <c r="Y165" s="32" t="s">
        <v>3733</v>
      </c>
      <c r="Z165" s="45" t="s">
        <v>3771</v>
      </c>
      <c r="AA165" s="34"/>
    </row>
    <row r="166" spans="1:27" s="28" customFormat="1" ht="24.75" customHeight="1" x14ac:dyDescent="0.25">
      <c r="A166" s="24">
        <v>162</v>
      </c>
      <c r="B166" s="24" t="s">
        <v>3437</v>
      </c>
      <c r="C166" s="25" t="s">
        <v>3436</v>
      </c>
      <c r="D166" s="26" t="s">
        <v>3692</v>
      </c>
      <c r="E166" s="25" t="s">
        <v>3691</v>
      </c>
      <c r="F166" s="25" t="s">
        <v>3690</v>
      </c>
      <c r="G166" s="24"/>
      <c r="H166" s="25" t="s">
        <v>3743</v>
      </c>
      <c r="I166" s="27"/>
      <c r="J166" s="25" t="s">
        <v>3765</v>
      </c>
      <c r="K166" s="29"/>
      <c r="L166" s="32" t="s">
        <v>3770</v>
      </c>
      <c r="M166" s="61" t="s">
        <v>199</v>
      </c>
      <c r="N166" s="39">
        <v>60</v>
      </c>
      <c r="O166" s="35"/>
      <c r="P166" s="35">
        <f t="shared" si="3"/>
        <v>56</v>
      </c>
      <c r="Q166" s="35">
        <f t="shared" si="3"/>
        <v>56</v>
      </c>
      <c r="R166" s="35"/>
      <c r="S166" s="31"/>
      <c r="T166" s="31">
        <f>3*8</f>
        <v>24</v>
      </c>
      <c r="U166" s="31">
        <f t="shared" si="2"/>
        <v>136</v>
      </c>
      <c r="V166" s="31"/>
      <c r="W166" s="59" t="s">
        <v>2099</v>
      </c>
      <c r="X166" s="32" t="s">
        <v>3104</v>
      </c>
      <c r="Y166" s="32" t="s">
        <v>3733</v>
      </c>
      <c r="Z166" s="45" t="s">
        <v>3769</v>
      </c>
      <c r="AA166" s="34"/>
    </row>
    <row r="167" spans="1:27" s="28" customFormat="1" ht="25.5" customHeight="1" x14ac:dyDescent="0.25">
      <c r="A167" s="24">
        <v>163</v>
      </c>
      <c r="B167" s="24" t="s">
        <v>3437</v>
      </c>
      <c r="C167" s="25" t="s">
        <v>3436</v>
      </c>
      <c r="D167" s="26" t="s">
        <v>3692</v>
      </c>
      <c r="E167" s="25" t="s">
        <v>3691</v>
      </c>
      <c r="F167" s="25" t="s">
        <v>3690</v>
      </c>
      <c r="G167" s="24"/>
      <c r="H167" s="25" t="s">
        <v>3743</v>
      </c>
      <c r="I167" s="27"/>
      <c r="J167" s="25" t="s">
        <v>3765</v>
      </c>
      <c r="K167" s="29"/>
      <c r="L167" s="33" t="s">
        <v>3768</v>
      </c>
      <c r="M167" s="61" t="s">
        <v>592</v>
      </c>
      <c r="N167" s="30">
        <v>1</v>
      </c>
      <c r="O167" s="31"/>
      <c r="P167" s="31">
        <f>30*8</f>
        <v>240</v>
      </c>
      <c r="Q167" s="31">
        <f>30*8</f>
        <v>240</v>
      </c>
      <c r="R167" s="31"/>
      <c r="S167" s="31"/>
      <c r="T167" s="31">
        <f>10*8</f>
        <v>80</v>
      </c>
      <c r="U167" s="31">
        <f t="shared" si="2"/>
        <v>560</v>
      </c>
      <c r="V167" s="31"/>
      <c r="W167" s="62" t="s">
        <v>22</v>
      </c>
      <c r="X167" s="32" t="s">
        <v>3104</v>
      </c>
      <c r="Y167" s="32" t="s">
        <v>3733</v>
      </c>
      <c r="Z167" s="45" t="s">
        <v>1008</v>
      </c>
      <c r="AA167" s="34"/>
    </row>
    <row r="168" spans="1:27" s="28" customFormat="1" ht="25.5" customHeight="1" x14ac:dyDescent="0.25">
      <c r="A168" s="24">
        <v>164</v>
      </c>
      <c r="B168" s="24" t="s">
        <v>3437</v>
      </c>
      <c r="C168" s="25" t="s">
        <v>3436</v>
      </c>
      <c r="D168" s="26" t="s">
        <v>3692</v>
      </c>
      <c r="E168" s="25" t="s">
        <v>3691</v>
      </c>
      <c r="F168" s="25" t="s">
        <v>3690</v>
      </c>
      <c r="G168" s="24"/>
      <c r="H168" s="25" t="s">
        <v>3743</v>
      </c>
      <c r="I168" s="27"/>
      <c r="J168" s="25" t="s">
        <v>3765</v>
      </c>
      <c r="K168" s="29"/>
      <c r="L168" s="33" t="s">
        <v>3767</v>
      </c>
      <c r="M168" s="61" t="s">
        <v>199</v>
      </c>
      <c r="N168" s="30">
        <f>60*12</f>
        <v>720</v>
      </c>
      <c r="O168" s="31"/>
      <c r="P168" s="31">
        <f>2</f>
        <v>2</v>
      </c>
      <c r="Q168" s="31">
        <f>2</f>
        <v>2</v>
      </c>
      <c r="R168" s="31"/>
      <c r="S168" s="31"/>
      <c r="T168" s="31">
        <f>1</f>
        <v>1</v>
      </c>
      <c r="U168" s="31">
        <f t="shared" si="2"/>
        <v>5</v>
      </c>
      <c r="V168" s="31"/>
      <c r="W168" s="59" t="s">
        <v>2099</v>
      </c>
      <c r="X168" s="32" t="s">
        <v>3104</v>
      </c>
      <c r="Y168" s="32" t="s">
        <v>3733</v>
      </c>
      <c r="Z168" s="56" t="s">
        <v>349</v>
      </c>
      <c r="AA168" s="34"/>
    </row>
    <row r="169" spans="1:27" s="28" customFormat="1" ht="28.5" customHeight="1" x14ac:dyDescent="0.25">
      <c r="A169" s="24">
        <v>165</v>
      </c>
      <c r="B169" s="24" t="s">
        <v>3437</v>
      </c>
      <c r="C169" s="25" t="s">
        <v>3436</v>
      </c>
      <c r="D169" s="26" t="s">
        <v>3692</v>
      </c>
      <c r="E169" s="25" t="s">
        <v>3691</v>
      </c>
      <c r="F169" s="25" t="s">
        <v>3690</v>
      </c>
      <c r="G169" s="24"/>
      <c r="H169" s="25" t="s">
        <v>3743</v>
      </c>
      <c r="I169" s="27"/>
      <c r="J169" s="25" t="s">
        <v>3765</v>
      </c>
      <c r="K169" s="29"/>
      <c r="L169" s="33" t="s">
        <v>3766</v>
      </c>
      <c r="M169" s="61" t="s">
        <v>190</v>
      </c>
      <c r="N169" s="30">
        <v>48</v>
      </c>
      <c r="O169" s="31"/>
      <c r="P169" s="31">
        <v>4</v>
      </c>
      <c r="Q169" s="31">
        <v>4</v>
      </c>
      <c r="R169" s="31"/>
      <c r="S169" s="31"/>
      <c r="T169" s="31">
        <v>2</v>
      </c>
      <c r="U169" s="31">
        <f t="shared" si="2"/>
        <v>10</v>
      </c>
      <c r="V169" s="31"/>
      <c r="W169" s="62" t="s">
        <v>22</v>
      </c>
      <c r="X169" s="32" t="s">
        <v>3104</v>
      </c>
      <c r="Y169" s="32" t="s">
        <v>3733</v>
      </c>
      <c r="Z169" s="45" t="s">
        <v>1008</v>
      </c>
      <c r="AA169" s="34"/>
    </row>
    <row r="170" spans="1:27" s="28" customFormat="1" ht="28.5" customHeight="1" x14ac:dyDescent="0.25">
      <c r="A170" s="24">
        <v>166</v>
      </c>
      <c r="B170" s="24" t="s">
        <v>3437</v>
      </c>
      <c r="C170" s="25" t="s">
        <v>3436</v>
      </c>
      <c r="D170" s="26" t="s">
        <v>3692</v>
      </c>
      <c r="E170" s="25" t="s">
        <v>3691</v>
      </c>
      <c r="F170" s="25" t="s">
        <v>3690</v>
      </c>
      <c r="G170" s="24"/>
      <c r="H170" s="25" t="s">
        <v>3743</v>
      </c>
      <c r="I170" s="27"/>
      <c r="J170" s="25" t="s">
        <v>3765</v>
      </c>
      <c r="K170" s="29"/>
      <c r="L170" s="33" t="s">
        <v>3764</v>
      </c>
      <c r="M170" s="61" t="s">
        <v>1341</v>
      </c>
      <c r="N170" s="30">
        <v>6</v>
      </c>
      <c r="O170" s="31"/>
      <c r="P170" s="31"/>
      <c r="Q170" s="31">
        <v>5</v>
      </c>
      <c r="R170" s="31">
        <v>4</v>
      </c>
      <c r="S170" s="31"/>
      <c r="T170" s="31">
        <v>4</v>
      </c>
      <c r="U170" s="31">
        <f t="shared" si="2"/>
        <v>13</v>
      </c>
      <c r="V170" s="31"/>
      <c r="W170" s="59" t="s">
        <v>2099</v>
      </c>
      <c r="X170" s="33"/>
      <c r="Y170" s="32"/>
      <c r="Z170" s="45" t="s">
        <v>1008</v>
      </c>
      <c r="AA170" s="34"/>
    </row>
    <row r="171" spans="1:27" s="28" customFormat="1" ht="31.5" customHeight="1" x14ac:dyDescent="0.25">
      <c r="A171" s="24">
        <v>167</v>
      </c>
      <c r="B171" s="24" t="s">
        <v>3437</v>
      </c>
      <c r="C171" s="25" t="s">
        <v>3436</v>
      </c>
      <c r="D171" s="26" t="s">
        <v>3692</v>
      </c>
      <c r="E171" s="25" t="s">
        <v>3691</v>
      </c>
      <c r="F171" s="25" t="s">
        <v>3690</v>
      </c>
      <c r="G171" s="24"/>
      <c r="H171" s="25" t="s">
        <v>3743</v>
      </c>
      <c r="I171" s="27"/>
      <c r="J171" s="25" t="s">
        <v>3763</v>
      </c>
      <c r="K171" s="29"/>
      <c r="L171" s="29"/>
      <c r="M171" s="25"/>
      <c r="N171" s="30"/>
      <c r="O171" s="31"/>
      <c r="P171" s="31"/>
      <c r="Q171" s="31"/>
      <c r="R171" s="31"/>
      <c r="S171" s="31"/>
      <c r="T171" s="31"/>
      <c r="U171" s="31">
        <f t="shared" si="2"/>
        <v>0</v>
      </c>
      <c r="V171" s="31"/>
      <c r="W171" s="32"/>
      <c r="X171" s="32"/>
      <c r="Y171" s="32"/>
      <c r="Z171" s="33"/>
      <c r="AA171" s="34"/>
    </row>
    <row r="172" spans="1:27" s="28" customFormat="1" ht="32.25" customHeight="1" x14ac:dyDescent="0.25">
      <c r="A172" s="24">
        <v>168</v>
      </c>
      <c r="B172" s="24" t="s">
        <v>3437</v>
      </c>
      <c r="C172" s="25" t="s">
        <v>3436</v>
      </c>
      <c r="D172" s="26" t="s">
        <v>3692</v>
      </c>
      <c r="E172" s="25" t="s">
        <v>3691</v>
      </c>
      <c r="F172" s="25" t="s">
        <v>3690</v>
      </c>
      <c r="G172" s="24"/>
      <c r="H172" s="25" t="s">
        <v>3743</v>
      </c>
      <c r="I172" s="27"/>
      <c r="J172" s="25" t="s">
        <v>3745</v>
      </c>
      <c r="K172" s="29"/>
      <c r="L172" s="29" t="s">
        <v>3762</v>
      </c>
      <c r="M172" s="25" t="s">
        <v>355</v>
      </c>
      <c r="N172" s="30">
        <v>2</v>
      </c>
      <c r="O172" s="31"/>
      <c r="P172" s="31">
        <v>96</v>
      </c>
      <c r="Q172" s="31">
        <v>24</v>
      </c>
      <c r="R172" s="31">
        <v>24</v>
      </c>
      <c r="S172" s="31"/>
      <c r="T172" s="31">
        <v>4</v>
      </c>
      <c r="U172" s="31">
        <f t="shared" si="2"/>
        <v>148</v>
      </c>
      <c r="V172" s="31"/>
      <c r="W172" s="32" t="s">
        <v>22</v>
      </c>
      <c r="X172" s="32"/>
      <c r="Y172" s="32"/>
      <c r="Z172" s="33" t="s">
        <v>1008</v>
      </c>
      <c r="AA172" s="34"/>
    </row>
    <row r="173" spans="1:27" s="28" customFormat="1" ht="78.75" x14ac:dyDescent="0.25">
      <c r="A173" s="24">
        <v>169</v>
      </c>
      <c r="B173" s="24" t="s">
        <v>3437</v>
      </c>
      <c r="C173" s="25" t="s">
        <v>3436</v>
      </c>
      <c r="D173" s="26" t="s">
        <v>3692</v>
      </c>
      <c r="E173" s="25" t="s">
        <v>3691</v>
      </c>
      <c r="F173" s="25" t="s">
        <v>3690</v>
      </c>
      <c r="G173" s="24"/>
      <c r="H173" s="25" t="s">
        <v>3743</v>
      </c>
      <c r="I173" s="27"/>
      <c r="J173" s="25" t="s">
        <v>3745</v>
      </c>
      <c r="K173" s="29"/>
      <c r="L173" s="29" t="s">
        <v>3761</v>
      </c>
      <c r="M173" s="25" t="s">
        <v>355</v>
      </c>
      <c r="N173" s="30">
        <v>8</v>
      </c>
      <c r="O173" s="31"/>
      <c r="P173" s="31">
        <v>16</v>
      </c>
      <c r="Q173" s="31">
        <v>4</v>
      </c>
      <c r="R173" s="31">
        <v>4</v>
      </c>
      <c r="S173" s="31"/>
      <c r="T173" s="31">
        <v>2</v>
      </c>
      <c r="U173" s="31">
        <f t="shared" si="2"/>
        <v>26</v>
      </c>
      <c r="V173" s="31"/>
      <c r="W173" s="32" t="s">
        <v>3760</v>
      </c>
      <c r="X173" s="32"/>
      <c r="Y173" s="32"/>
      <c r="Z173" s="33">
        <v>1</v>
      </c>
      <c r="AA173" s="34"/>
    </row>
    <row r="174" spans="1:27" s="28" customFormat="1" ht="78.75" x14ac:dyDescent="0.25">
      <c r="A174" s="24">
        <v>170</v>
      </c>
      <c r="B174" s="24" t="s">
        <v>3437</v>
      </c>
      <c r="C174" s="25" t="s">
        <v>3436</v>
      </c>
      <c r="D174" s="26" t="s">
        <v>3692</v>
      </c>
      <c r="E174" s="25" t="s">
        <v>3691</v>
      </c>
      <c r="F174" s="25" t="s">
        <v>3690</v>
      </c>
      <c r="G174" s="24"/>
      <c r="H174" s="25" t="s">
        <v>3743</v>
      </c>
      <c r="I174" s="27"/>
      <c r="J174" s="25" t="s">
        <v>3745</v>
      </c>
      <c r="K174" s="29"/>
      <c r="L174" s="29" t="s">
        <v>3759</v>
      </c>
      <c r="M174" s="25" t="s">
        <v>3758</v>
      </c>
      <c r="N174" s="30">
        <v>8448</v>
      </c>
      <c r="O174" s="31"/>
      <c r="P174" s="31">
        <v>0.2</v>
      </c>
      <c r="Q174" s="31">
        <v>0.1</v>
      </c>
      <c r="R174" s="31">
        <v>0.1</v>
      </c>
      <c r="S174" s="31"/>
      <c r="T174" s="31">
        <v>0</v>
      </c>
      <c r="U174" s="31">
        <f t="shared" si="2"/>
        <v>0.4</v>
      </c>
      <c r="V174" s="31"/>
      <c r="W174" s="32" t="s">
        <v>2099</v>
      </c>
      <c r="X174" s="32"/>
      <c r="Y174" s="32"/>
      <c r="Z174" s="33" t="s">
        <v>1008</v>
      </c>
      <c r="AA174" s="34"/>
    </row>
    <row r="175" spans="1:27" s="28" customFormat="1" ht="78.75" x14ac:dyDescent="0.25">
      <c r="A175" s="24">
        <v>171</v>
      </c>
      <c r="B175" s="24" t="s">
        <v>3437</v>
      </c>
      <c r="C175" s="25" t="s">
        <v>3436</v>
      </c>
      <c r="D175" s="26" t="s">
        <v>3692</v>
      </c>
      <c r="E175" s="25" t="s">
        <v>3691</v>
      </c>
      <c r="F175" s="25" t="s">
        <v>3690</v>
      </c>
      <c r="G175" s="24"/>
      <c r="H175" s="25" t="s">
        <v>3743</v>
      </c>
      <c r="I175" s="27"/>
      <c r="J175" s="25" t="s">
        <v>3745</v>
      </c>
      <c r="K175" s="29"/>
      <c r="L175" s="29" t="s">
        <v>3757</v>
      </c>
      <c r="M175" s="25" t="s">
        <v>3756</v>
      </c>
      <c r="N175" s="30">
        <v>600</v>
      </c>
      <c r="O175" s="31"/>
      <c r="P175" s="31">
        <v>2</v>
      </c>
      <c r="Q175" s="31" t="s">
        <v>3755</v>
      </c>
      <c r="R175" s="31" t="s">
        <v>3755</v>
      </c>
      <c r="S175" s="31"/>
      <c r="T175" s="31" t="s">
        <v>3754</v>
      </c>
      <c r="U175" s="31">
        <f t="shared" si="2"/>
        <v>2</v>
      </c>
      <c r="V175" s="31"/>
      <c r="W175" s="32" t="s">
        <v>2099</v>
      </c>
      <c r="X175" s="32"/>
      <c r="Y175" s="32"/>
      <c r="Z175" s="33" t="s">
        <v>1008</v>
      </c>
      <c r="AA175" s="34"/>
    </row>
    <row r="176" spans="1:27" s="28" customFormat="1" ht="78.75" x14ac:dyDescent="0.25">
      <c r="A176" s="24">
        <v>172</v>
      </c>
      <c r="B176" s="24" t="s">
        <v>3437</v>
      </c>
      <c r="C176" s="25" t="s">
        <v>3436</v>
      </c>
      <c r="D176" s="26" t="s">
        <v>3692</v>
      </c>
      <c r="E176" s="25" t="s">
        <v>3691</v>
      </c>
      <c r="F176" s="25" t="s">
        <v>3690</v>
      </c>
      <c r="G176" s="24"/>
      <c r="H176" s="25" t="s">
        <v>3743</v>
      </c>
      <c r="I176" s="27"/>
      <c r="J176" s="25" t="s">
        <v>3745</v>
      </c>
      <c r="K176" s="29"/>
      <c r="L176" s="29" t="s">
        <v>3753</v>
      </c>
      <c r="M176" s="25" t="s">
        <v>190</v>
      </c>
      <c r="N176" s="30">
        <v>600</v>
      </c>
      <c r="O176" s="31"/>
      <c r="P176" s="31">
        <v>4</v>
      </c>
      <c r="Q176" s="31">
        <v>2</v>
      </c>
      <c r="R176" s="31">
        <v>2</v>
      </c>
      <c r="S176" s="31"/>
      <c r="T176" s="31">
        <v>0.5</v>
      </c>
      <c r="U176" s="31">
        <f t="shared" si="2"/>
        <v>8.5</v>
      </c>
      <c r="V176" s="31"/>
      <c r="W176" s="32" t="s">
        <v>22</v>
      </c>
      <c r="X176" s="32"/>
      <c r="Y176" s="32"/>
      <c r="Z176" s="33" t="s">
        <v>1008</v>
      </c>
      <c r="AA176" s="34"/>
    </row>
    <row r="177" spans="1:27" s="28" customFormat="1" ht="78.75" x14ac:dyDescent="0.25">
      <c r="A177" s="24">
        <v>173</v>
      </c>
      <c r="B177" s="24" t="s">
        <v>3437</v>
      </c>
      <c r="C177" s="25" t="s">
        <v>3436</v>
      </c>
      <c r="D177" s="26" t="s">
        <v>3692</v>
      </c>
      <c r="E177" s="25" t="s">
        <v>3691</v>
      </c>
      <c r="F177" s="25" t="s">
        <v>3690</v>
      </c>
      <c r="G177" s="24"/>
      <c r="H177" s="25" t="s">
        <v>3743</v>
      </c>
      <c r="I177" s="27"/>
      <c r="J177" s="25" t="s">
        <v>3745</v>
      </c>
      <c r="K177" s="29"/>
      <c r="L177" s="29" t="s">
        <v>3752</v>
      </c>
      <c r="M177" s="25" t="s">
        <v>424</v>
      </c>
      <c r="N177" s="30">
        <v>49</v>
      </c>
      <c r="O177" s="31"/>
      <c r="P177" s="31">
        <v>32</v>
      </c>
      <c r="Q177" s="31">
        <v>8</v>
      </c>
      <c r="R177" s="31">
        <v>8</v>
      </c>
      <c r="S177" s="31"/>
      <c r="T177" s="31" t="s">
        <v>3751</v>
      </c>
      <c r="U177" s="31">
        <f t="shared" si="2"/>
        <v>48</v>
      </c>
      <c r="V177" s="31"/>
      <c r="W177" s="32" t="s">
        <v>2099</v>
      </c>
      <c r="X177" s="32"/>
      <c r="Y177" s="32"/>
      <c r="Z177" s="33" t="s">
        <v>1008</v>
      </c>
      <c r="AA177" s="34"/>
    </row>
    <row r="178" spans="1:27" s="28" customFormat="1" ht="78.75" x14ac:dyDescent="0.25">
      <c r="A178" s="24">
        <v>174</v>
      </c>
      <c r="B178" s="24" t="s">
        <v>3437</v>
      </c>
      <c r="C178" s="25" t="s">
        <v>3436</v>
      </c>
      <c r="D178" s="26" t="s">
        <v>3692</v>
      </c>
      <c r="E178" s="25" t="s">
        <v>3691</v>
      </c>
      <c r="F178" s="25" t="s">
        <v>3690</v>
      </c>
      <c r="G178" s="24"/>
      <c r="H178" s="25" t="s">
        <v>3743</v>
      </c>
      <c r="I178" s="27"/>
      <c r="J178" s="25" t="s">
        <v>3745</v>
      </c>
      <c r="K178" s="29"/>
      <c r="L178" s="29" t="s">
        <v>3750</v>
      </c>
      <c r="M178" s="25" t="s">
        <v>424</v>
      </c>
      <c r="N178" s="30">
        <v>264</v>
      </c>
      <c r="O178" s="31"/>
      <c r="P178" s="31">
        <v>32</v>
      </c>
      <c r="Q178" s="31">
        <v>8</v>
      </c>
      <c r="R178" s="31">
        <v>8</v>
      </c>
      <c r="S178" s="31"/>
      <c r="T178" s="31">
        <v>8</v>
      </c>
      <c r="U178" s="31">
        <f t="shared" si="2"/>
        <v>56</v>
      </c>
      <c r="V178" s="31"/>
      <c r="W178" s="32" t="s">
        <v>2099</v>
      </c>
      <c r="X178" s="32"/>
      <c r="Y178" s="32" t="s">
        <v>41</v>
      </c>
      <c r="Z178" s="33" t="s">
        <v>1008</v>
      </c>
      <c r="AA178" s="34"/>
    </row>
    <row r="179" spans="1:27" s="28" customFormat="1" ht="78.75" x14ac:dyDescent="0.25">
      <c r="A179" s="24">
        <v>175</v>
      </c>
      <c r="B179" s="24" t="s">
        <v>3437</v>
      </c>
      <c r="C179" s="25" t="s">
        <v>3436</v>
      </c>
      <c r="D179" s="26" t="s">
        <v>3692</v>
      </c>
      <c r="E179" s="25" t="s">
        <v>3691</v>
      </c>
      <c r="F179" s="25" t="s">
        <v>3690</v>
      </c>
      <c r="G179" s="24"/>
      <c r="H179" s="25" t="s">
        <v>3743</v>
      </c>
      <c r="I179" s="27"/>
      <c r="J179" s="25" t="s">
        <v>3745</v>
      </c>
      <c r="K179" s="29"/>
      <c r="L179" s="29" t="s">
        <v>3749</v>
      </c>
      <c r="M179" s="25" t="s">
        <v>3748</v>
      </c>
      <c r="N179" s="30">
        <v>48</v>
      </c>
      <c r="O179" s="31"/>
      <c r="P179" s="31">
        <v>2</v>
      </c>
      <c r="Q179" s="31">
        <v>2</v>
      </c>
      <c r="R179" s="31">
        <v>2</v>
      </c>
      <c r="S179" s="31"/>
      <c r="T179" s="31">
        <v>2</v>
      </c>
      <c r="U179" s="31">
        <f t="shared" si="2"/>
        <v>8</v>
      </c>
      <c r="V179" s="31"/>
      <c r="W179" s="32" t="s">
        <v>1239</v>
      </c>
      <c r="X179" s="32"/>
      <c r="Y179" s="32"/>
      <c r="Z179" s="33" t="s">
        <v>3747</v>
      </c>
      <c r="AA179" s="34"/>
    </row>
    <row r="180" spans="1:27" s="28" customFormat="1" ht="78.75" x14ac:dyDescent="0.25">
      <c r="A180" s="24">
        <v>176</v>
      </c>
      <c r="B180" s="24" t="s">
        <v>3437</v>
      </c>
      <c r="C180" s="25" t="s">
        <v>3436</v>
      </c>
      <c r="D180" s="26" t="s">
        <v>3692</v>
      </c>
      <c r="E180" s="25" t="s">
        <v>3691</v>
      </c>
      <c r="F180" s="25" t="s">
        <v>3690</v>
      </c>
      <c r="G180" s="24"/>
      <c r="H180" s="25" t="s">
        <v>3743</v>
      </c>
      <c r="I180" s="27"/>
      <c r="J180" s="25" t="s">
        <v>3745</v>
      </c>
      <c r="K180" s="29"/>
      <c r="L180" s="29" t="s">
        <v>3746</v>
      </c>
      <c r="M180" s="25" t="s">
        <v>1341</v>
      </c>
      <c r="N180" s="30">
        <v>10</v>
      </c>
      <c r="O180" s="31">
        <v>2</v>
      </c>
      <c r="P180" s="31">
        <v>2</v>
      </c>
      <c r="Q180" s="31">
        <v>2</v>
      </c>
      <c r="R180" s="31">
        <v>2</v>
      </c>
      <c r="S180" s="31"/>
      <c r="T180" s="31">
        <v>2</v>
      </c>
      <c r="U180" s="31">
        <f t="shared" si="2"/>
        <v>10</v>
      </c>
      <c r="V180" s="31"/>
      <c r="W180" s="32" t="s">
        <v>2099</v>
      </c>
      <c r="X180" s="32"/>
      <c r="Y180" s="32"/>
      <c r="Z180" s="33" t="s">
        <v>1008</v>
      </c>
      <c r="AA180" s="34"/>
    </row>
    <row r="181" spans="1:27" s="28" customFormat="1" ht="78.75" x14ac:dyDescent="0.25">
      <c r="A181" s="24">
        <v>177</v>
      </c>
      <c r="B181" s="24" t="s">
        <v>3437</v>
      </c>
      <c r="C181" s="25" t="s">
        <v>3436</v>
      </c>
      <c r="D181" s="26" t="s">
        <v>3692</v>
      </c>
      <c r="E181" s="25" t="s">
        <v>3691</v>
      </c>
      <c r="F181" s="25" t="s">
        <v>3690</v>
      </c>
      <c r="G181" s="24"/>
      <c r="H181" s="25" t="s">
        <v>3743</v>
      </c>
      <c r="I181" s="27"/>
      <c r="J181" s="25" t="s">
        <v>3745</v>
      </c>
      <c r="K181" s="29"/>
      <c r="L181" s="29" t="s">
        <v>3744</v>
      </c>
      <c r="M181" s="25" t="s">
        <v>190</v>
      </c>
      <c r="N181" s="30">
        <v>60</v>
      </c>
      <c r="O181" s="31">
        <v>0.5</v>
      </c>
      <c r="P181" s="31">
        <v>0.5</v>
      </c>
      <c r="Q181" s="31">
        <v>0.5</v>
      </c>
      <c r="R181" s="31">
        <v>0.5</v>
      </c>
      <c r="S181" s="31"/>
      <c r="T181" s="31">
        <v>0.5</v>
      </c>
      <c r="U181" s="31">
        <f t="shared" si="2"/>
        <v>2.5</v>
      </c>
      <c r="V181" s="31"/>
      <c r="W181" s="32" t="s">
        <v>2099</v>
      </c>
      <c r="X181" s="32"/>
      <c r="Y181" s="32" t="s">
        <v>41</v>
      </c>
      <c r="Z181" s="33" t="s">
        <v>1008</v>
      </c>
      <c r="AA181" s="34"/>
    </row>
    <row r="182" spans="1:27" s="28" customFormat="1" ht="66" customHeight="1" x14ac:dyDescent="0.25">
      <c r="A182" s="24">
        <v>178</v>
      </c>
      <c r="B182" s="24" t="s">
        <v>3437</v>
      </c>
      <c r="C182" s="25" t="s">
        <v>3436</v>
      </c>
      <c r="D182" s="26" t="s">
        <v>3692</v>
      </c>
      <c r="E182" s="25" t="s">
        <v>3691</v>
      </c>
      <c r="F182" s="25" t="s">
        <v>3690</v>
      </c>
      <c r="G182" s="24"/>
      <c r="H182" s="25" t="s">
        <v>3743</v>
      </c>
      <c r="I182" s="27"/>
      <c r="J182" s="25" t="s">
        <v>3742</v>
      </c>
      <c r="K182" s="29"/>
      <c r="L182" s="29"/>
      <c r="M182" s="25"/>
      <c r="N182" s="30"/>
      <c r="O182" s="31"/>
      <c r="P182" s="31"/>
      <c r="Q182" s="31"/>
      <c r="R182" s="31"/>
      <c r="S182" s="31"/>
      <c r="T182" s="31"/>
      <c r="U182" s="31">
        <f t="shared" si="2"/>
        <v>0</v>
      </c>
      <c r="V182" s="31"/>
      <c r="W182" s="32"/>
      <c r="X182" s="32"/>
      <c r="Y182" s="32"/>
      <c r="Z182" s="33"/>
      <c r="AA182" s="34"/>
    </row>
    <row r="183" spans="1:27" s="28" customFormat="1" ht="30.75" customHeight="1" x14ac:dyDescent="0.25">
      <c r="A183" s="24">
        <v>179</v>
      </c>
      <c r="B183" s="24" t="s">
        <v>3437</v>
      </c>
      <c r="C183" s="25" t="s">
        <v>3436</v>
      </c>
      <c r="D183" s="26" t="s">
        <v>3692</v>
      </c>
      <c r="E183" s="25" t="s">
        <v>3691</v>
      </c>
      <c r="F183" s="25" t="s">
        <v>3690</v>
      </c>
      <c r="G183" s="24"/>
      <c r="H183" s="25" t="s">
        <v>3732</v>
      </c>
      <c r="I183" s="27"/>
      <c r="J183" s="25" t="s">
        <v>3548</v>
      </c>
      <c r="K183" s="29"/>
      <c r="L183" s="33"/>
      <c r="M183" s="61"/>
      <c r="N183" s="39"/>
      <c r="O183" s="35"/>
      <c r="P183" s="35"/>
      <c r="Q183" s="35"/>
      <c r="R183" s="35"/>
      <c r="S183" s="35"/>
      <c r="T183" s="35"/>
      <c r="U183" s="31">
        <f t="shared" si="2"/>
        <v>0</v>
      </c>
      <c r="V183" s="31"/>
      <c r="W183" s="59"/>
      <c r="X183" s="34"/>
      <c r="Y183" s="34"/>
      <c r="Z183" s="56"/>
      <c r="AA183" s="34"/>
    </row>
    <row r="184" spans="1:27" s="28" customFormat="1" ht="54" customHeight="1" x14ac:dyDescent="0.25">
      <c r="A184" s="24">
        <v>180</v>
      </c>
      <c r="B184" s="24" t="s">
        <v>3437</v>
      </c>
      <c r="C184" s="25" t="s">
        <v>3436</v>
      </c>
      <c r="D184" s="26" t="s">
        <v>3692</v>
      </c>
      <c r="E184" s="25" t="s">
        <v>3691</v>
      </c>
      <c r="F184" s="25" t="s">
        <v>3690</v>
      </c>
      <c r="G184" s="24"/>
      <c r="H184" s="25" t="s">
        <v>3732</v>
      </c>
      <c r="I184" s="27"/>
      <c r="J184" s="25" t="s">
        <v>3738</v>
      </c>
      <c r="K184" s="29"/>
      <c r="L184" s="33" t="s">
        <v>3741</v>
      </c>
      <c r="M184" s="63" t="s">
        <v>265</v>
      </c>
      <c r="N184" s="39">
        <f>63*3</f>
        <v>189</v>
      </c>
      <c r="O184" s="40"/>
      <c r="P184" s="40"/>
      <c r="Q184" s="40"/>
      <c r="R184" s="40"/>
      <c r="S184" s="40"/>
      <c r="T184" s="31">
        <v>0.75</v>
      </c>
      <c r="U184" s="31">
        <f t="shared" si="2"/>
        <v>0.75</v>
      </c>
      <c r="V184" s="40"/>
      <c r="W184" s="59" t="s">
        <v>275</v>
      </c>
      <c r="X184" s="64"/>
      <c r="Y184" s="64"/>
      <c r="Z184" s="65" t="s">
        <v>986</v>
      </c>
      <c r="AA184" s="34"/>
    </row>
    <row r="185" spans="1:27" s="28" customFormat="1" ht="31.5" customHeight="1" x14ac:dyDescent="0.25">
      <c r="A185" s="24">
        <v>181</v>
      </c>
      <c r="B185" s="24" t="s">
        <v>3437</v>
      </c>
      <c r="C185" s="25" t="s">
        <v>3436</v>
      </c>
      <c r="D185" s="26" t="s">
        <v>3692</v>
      </c>
      <c r="E185" s="25" t="s">
        <v>3691</v>
      </c>
      <c r="F185" s="25" t="s">
        <v>3690</v>
      </c>
      <c r="G185" s="24"/>
      <c r="H185" s="25" t="s">
        <v>3732</v>
      </c>
      <c r="I185" s="27"/>
      <c r="J185" s="25" t="s">
        <v>3738</v>
      </c>
      <c r="K185" s="29"/>
      <c r="L185" s="33" t="s">
        <v>3740</v>
      </c>
      <c r="M185" s="61" t="s">
        <v>265</v>
      </c>
      <c r="N185" s="30">
        <f>768+303</f>
        <v>1071</v>
      </c>
      <c r="O185" s="31"/>
      <c r="P185" s="31"/>
      <c r="Q185" s="31" t="s">
        <v>3739</v>
      </c>
      <c r="R185" s="31" t="s">
        <v>3739</v>
      </c>
      <c r="S185" s="31"/>
      <c r="T185" s="31"/>
      <c r="U185" s="31">
        <f t="shared" si="2"/>
        <v>0</v>
      </c>
      <c r="V185" s="31"/>
      <c r="W185" s="59" t="s">
        <v>275</v>
      </c>
      <c r="X185" s="33"/>
      <c r="Y185" s="32"/>
      <c r="Z185" s="56" t="s">
        <v>986</v>
      </c>
      <c r="AA185" s="34"/>
    </row>
    <row r="186" spans="1:27" s="28" customFormat="1" ht="31.5" customHeight="1" x14ac:dyDescent="0.25">
      <c r="A186" s="24">
        <v>182</v>
      </c>
      <c r="B186" s="24" t="s">
        <v>3437</v>
      </c>
      <c r="C186" s="25" t="s">
        <v>3436</v>
      </c>
      <c r="D186" s="26" t="s">
        <v>3692</v>
      </c>
      <c r="E186" s="25" t="s">
        <v>3691</v>
      </c>
      <c r="F186" s="25" t="s">
        <v>3690</v>
      </c>
      <c r="G186" s="24"/>
      <c r="H186" s="25" t="s">
        <v>3732</v>
      </c>
      <c r="I186" s="27"/>
      <c r="J186" s="25" t="s">
        <v>3738</v>
      </c>
      <c r="K186" s="29"/>
      <c r="L186" s="33" t="s">
        <v>3737</v>
      </c>
      <c r="M186" s="61" t="s">
        <v>592</v>
      </c>
      <c r="N186" s="30">
        <v>2</v>
      </c>
      <c r="O186" s="35"/>
      <c r="P186" s="31">
        <v>50</v>
      </c>
      <c r="Q186" s="31">
        <v>50</v>
      </c>
      <c r="R186" s="31"/>
      <c r="S186" s="31"/>
      <c r="T186" s="31">
        <v>4</v>
      </c>
      <c r="U186" s="31">
        <f t="shared" si="2"/>
        <v>104</v>
      </c>
      <c r="V186" s="31"/>
      <c r="W186" s="59" t="s">
        <v>22</v>
      </c>
      <c r="X186" s="33"/>
      <c r="Y186" s="32"/>
      <c r="Z186" s="45" t="s">
        <v>1008</v>
      </c>
      <c r="AA186" s="34"/>
    </row>
    <row r="187" spans="1:27" s="28" customFormat="1" ht="45.75" customHeight="1" x14ac:dyDescent="0.25">
      <c r="A187" s="24">
        <v>183</v>
      </c>
      <c r="B187" s="24" t="s">
        <v>3437</v>
      </c>
      <c r="C187" s="25" t="s">
        <v>3436</v>
      </c>
      <c r="D187" s="26" t="s">
        <v>3692</v>
      </c>
      <c r="E187" s="25" t="s">
        <v>3691</v>
      </c>
      <c r="F187" s="25" t="s">
        <v>3690</v>
      </c>
      <c r="G187" s="24"/>
      <c r="H187" s="25" t="s">
        <v>3732</v>
      </c>
      <c r="I187" s="27"/>
      <c r="J187" s="25" t="s">
        <v>3736</v>
      </c>
      <c r="K187" s="29"/>
      <c r="L187" s="33" t="s">
        <v>3735</v>
      </c>
      <c r="M187" s="61" t="s">
        <v>209</v>
      </c>
      <c r="N187" s="30">
        <v>18</v>
      </c>
      <c r="O187" s="31"/>
      <c r="P187" s="31">
        <f>1.5*8</f>
        <v>12</v>
      </c>
      <c r="Q187" s="31">
        <f>1.5*8</f>
        <v>12</v>
      </c>
      <c r="R187" s="31"/>
      <c r="S187" s="31"/>
      <c r="T187" s="31">
        <f>1.5*8</f>
        <v>12</v>
      </c>
      <c r="U187" s="31">
        <f t="shared" si="2"/>
        <v>36</v>
      </c>
      <c r="V187" s="31"/>
      <c r="W187" s="33" t="s">
        <v>3734</v>
      </c>
      <c r="X187" s="32"/>
      <c r="Y187" s="32" t="s">
        <v>3733</v>
      </c>
      <c r="Z187" s="45"/>
      <c r="AA187" s="34"/>
    </row>
    <row r="188" spans="1:27" s="28" customFormat="1" ht="51.75" customHeight="1" x14ac:dyDescent="0.25">
      <c r="A188" s="24">
        <v>184</v>
      </c>
      <c r="B188" s="24" t="s">
        <v>3437</v>
      </c>
      <c r="C188" s="25" t="s">
        <v>3436</v>
      </c>
      <c r="D188" s="26" t="s">
        <v>3692</v>
      </c>
      <c r="E188" s="25" t="s">
        <v>3691</v>
      </c>
      <c r="F188" s="25" t="s">
        <v>3690</v>
      </c>
      <c r="G188" s="24"/>
      <c r="H188" s="25" t="s">
        <v>3732</v>
      </c>
      <c r="I188" s="27"/>
      <c r="J188" s="25" t="s">
        <v>3731</v>
      </c>
      <c r="K188" s="29"/>
      <c r="L188" s="33" t="s">
        <v>3730</v>
      </c>
      <c r="M188" s="61" t="s">
        <v>199</v>
      </c>
      <c r="N188" s="39">
        <v>240</v>
      </c>
      <c r="O188" s="35"/>
      <c r="P188" s="35">
        <v>2</v>
      </c>
      <c r="Q188" s="35">
        <v>0.5</v>
      </c>
      <c r="R188" s="35"/>
      <c r="S188" s="35"/>
      <c r="T188" s="35">
        <v>0.5</v>
      </c>
      <c r="U188" s="31">
        <f t="shared" si="2"/>
        <v>3</v>
      </c>
      <c r="V188" s="31"/>
      <c r="W188" s="59" t="s">
        <v>275</v>
      </c>
      <c r="X188" s="34"/>
      <c r="Y188" s="34"/>
      <c r="Z188" s="56" t="s">
        <v>2702</v>
      </c>
      <c r="AA188" s="34"/>
    </row>
    <row r="189" spans="1:27" s="28" customFormat="1" ht="46.5" customHeight="1" x14ac:dyDescent="0.25">
      <c r="A189" s="24">
        <v>185</v>
      </c>
      <c r="B189" s="24" t="s">
        <v>3437</v>
      </c>
      <c r="C189" s="25" t="s">
        <v>3436</v>
      </c>
      <c r="D189" s="26" t="s">
        <v>3692</v>
      </c>
      <c r="E189" s="25" t="s">
        <v>3691</v>
      </c>
      <c r="F189" s="25" t="s">
        <v>3690</v>
      </c>
      <c r="G189" s="24"/>
      <c r="H189" s="25" t="s">
        <v>3713</v>
      </c>
      <c r="I189" s="27"/>
      <c r="J189" s="25" t="s">
        <v>3729</v>
      </c>
      <c r="K189" s="29"/>
      <c r="L189" s="29"/>
      <c r="M189" s="25"/>
      <c r="N189" s="30"/>
      <c r="O189" s="31"/>
      <c r="P189" s="31"/>
      <c r="Q189" s="31"/>
      <c r="R189" s="31"/>
      <c r="S189" s="31"/>
      <c r="T189" s="31"/>
      <c r="U189" s="31">
        <f t="shared" si="2"/>
        <v>0</v>
      </c>
      <c r="V189" s="31"/>
      <c r="W189" s="32"/>
      <c r="X189" s="32"/>
      <c r="Y189" s="32"/>
      <c r="Z189" s="33"/>
      <c r="AA189" s="34"/>
    </row>
    <row r="190" spans="1:27" s="28" customFormat="1" ht="78.75" x14ac:dyDescent="0.25">
      <c r="A190" s="24">
        <v>186</v>
      </c>
      <c r="B190" s="24" t="s">
        <v>3437</v>
      </c>
      <c r="C190" s="25" t="s">
        <v>3436</v>
      </c>
      <c r="D190" s="26" t="s">
        <v>3692</v>
      </c>
      <c r="E190" s="25" t="s">
        <v>3691</v>
      </c>
      <c r="F190" s="25" t="s">
        <v>3690</v>
      </c>
      <c r="G190" s="24"/>
      <c r="H190" s="25" t="s">
        <v>3713</v>
      </c>
      <c r="I190" s="27"/>
      <c r="J190" s="25" t="s">
        <v>3728</v>
      </c>
      <c r="K190" s="29"/>
      <c r="L190" s="29" t="s">
        <v>3727</v>
      </c>
      <c r="M190" s="25" t="s">
        <v>199</v>
      </c>
      <c r="N190" s="30">
        <v>280</v>
      </c>
      <c r="O190" s="31"/>
      <c r="P190" s="31">
        <v>1</v>
      </c>
      <c r="Q190" s="31">
        <v>0.3</v>
      </c>
      <c r="R190" s="31"/>
      <c r="S190" s="31"/>
      <c r="T190" s="31">
        <v>0.2</v>
      </c>
      <c r="U190" s="31">
        <f t="shared" si="2"/>
        <v>1.5</v>
      </c>
      <c r="V190" s="31"/>
      <c r="W190" s="32" t="s">
        <v>2099</v>
      </c>
      <c r="X190" s="32"/>
      <c r="Y190" s="32" t="s">
        <v>3726</v>
      </c>
      <c r="Z190" s="33" t="s">
        <v>2702</v>
      </c>
      <c r="AA190" s="34"/>
    </row>
    <row r="191" spans="1:27" s="28" customFormat="1" ht="69" customHeight="1" x14ac:dyDescent="0.25">
      <c r="A191" s="24">
        <v>187</v>
      </c>
      <c r="B191" s="24" t="s">
        <v>3437</v>
      </c>
      <c r="C191" s="25" t="s">
        <v>3436</v>
      </c>
      <c r="D191" s="26" t="s">
        <v>3692</v>
      </c>
      <c r="E191" s="25" t="s">
        <v>3691</v>
      </c>
      <c r="F191" s="25" t="s">
        <v>3690</v>
      </c>
      <c r="G191" s="24"/>
      <c r="H191" s="25" t="s">
        <v>3713</v>
      </c>
      <c r="I191" s="27"/>
      <c r="J191" s="25" t="s">
        <v>3725</v>
      </c>
      <c r="K191" s="29"/>
      <c r="L191" s="29" t="s">
        <v>3724</v>
      </c>
      <c r="M191" s="25" t="s">
        <v>199</v>
      </c>
      <c r="N191" s="30">
        <v>24</v>
      </c>
      <c r="O191" s="31"/>
      <c r="P191" s="31">
        <v>1</v>
      </c>
      <c r="Q191" s="31">
        <v>0.3</v>
      </c>
      <c r="R191" s="31"/>
      <c r="S191" s="31"/>
      <c r="T191" s="31">
        <v>0.2</v>
      </c>
      <c r="U191" s="31">
        <f t="shared" si="2"/>
        <v>1.5</v>
      </c>
      <c r="V191" s="31"/>
      <c r="W191" s="32" t="s">
        <v>2099</v>
      </c>
      <c r="X191" s="32"/>
      <c r="Y191" s="32"/>
      <c r="Z191" s="33" t="s">
        <v>2702</v>
      </c>
      <c r="AA191" s="34"/>
    </row>
    <row r="192" spans="1:27" s="28" customFormat="1" ht="78.75" x14ac:dyDescent="0.25">
      <c r="A192" s="24">
        <v>188</v>
      </c>
      <c r="B192" s="24" t="s">
        <v>3437</v>
      </c>
      <c r="C192" s="25" t="s">
        <v>3436</v>
      </c>
      <c r="D192" s="26" t="s">
        <v>3692</v>
      </c>
      <c r="E192" s="25" t="s">
        <v>3691</v>
      </c>
      <c r="F192" s="25" t="s">
        <v>3690</v>
      </c>
      <c r="G192" s="24"/>
      <c r="H192" s="25" t="s">
        <v>3713</v>
      </c>
      <c r="I192" s="27"/>
      <c r="J192" s="25" t="s">
        <v>3723</v>
      </c>
      <c r="K192" s="29"/>
      <c r="L192" s="29" t="s">
        <v>3722</v>
      </c>
      <c r="M192" s="25" t="s">
        <v>190</v>
      </c>
      <c r="N192" s="30">
        <v>12</v>
      </c>
      <c r="O192" s="31"/>
      <c r="P192" s="31">
        <v>1</v>
      </c>
      <c r="Q192" s="31">
        <v>0.2</v>
      </c>
      <c r="R192" s="31"/>
      <c r="S192" s="31"/>
      <c r="T192" s="31">
        <v>0.1</v>
      </c>
      <c r="U192" s="31">
        <f t="shared" si="2"/>
        <v>1.3</v>
      </c>
      <c r="V192" s="31"/>
      <c r="W192" s="32" t="s">
        <v>3721</v>
      </c>
      <c r="X192" s="32"/>
      <c r="Y192" s="32"/>
      <c r="Z192" s="33" t="s">
        <v>986</v>
      </c>
      <c r="AA192" s="34"/>
    </row>
    <row r="193" spans="1:27" s="28" customFormat="1" ht="72.75" customHeight="1" x14ac:dyDescent="0.25">
      <c r="A193" s="24">
        <v>189</v>
      </c>
      <c r="B193" s="24" t="s">
        <v>3437</v>
      </c>
      <c r="C193" s="25" t="s">
        <v>3436</v>
      </c>
      <c r="D193" s="26" t="s">
        <v>3692</v>
      </c>
      <c r="E193" s="25" t="s">
        <v>3691</v>
      </c>
      <c r="F193" s="25" t="s">
        <v>3690</v>
      </c>
      <c r="G193" s="24"/>
      <c r="H193" s="25" t="s">
        <v>3713</v>
      </c>
      <c r="I193" s="27"/>
      <c r="J193" s="25" t="s">
        <v>3720</v>
      </c>
      <c r="K193" s="29"/>
      <c r="L193" s="29"/>
      <c r="M193" s="25"/>
      <c r="N193" s="30"/>
      <c r="O193" s="31"/>
      <c r="P193" s="31"/>
      <c r="Q193" s="31"/>
      <c r="R193" s="31"/>
      <c r="S193" s="31"/>
      <c r="T193" s="31"/>
      <c r="U193" s="31">
        <f t="shared" si="2"/>
        <v>0</v>
      </c>
      <c r="V193" s="31"/>
      <c r="W193" s="32"/>
      <c r="X193" s="32"/>
      <c r="Y193" s="32"/>
      <c r="Z193" s="33"/>
      <c r="AA193" s="34"/>
    </row>
    <row r="194" spans="1:27" s="28" customFormat="1" ht="64.5" customHeight="1" x14ac:dyDescent="0.25">
      <c r="A194" s="24">
        <v>190</v>
      </c>
      <c r="B194" s="24" t="s">
        <v>3437</v>
      </c>
      <c r="C194" s="25" t="s">
        <v>3436</v>
      </c>
      <c r="D194" s="26" t="s">
        <v>3692</v>
      </c>
      <c r="E194" s="25" t="s">
        <v>3691</v>
      </c>
      <c r="F194" s="25" t="s">
        <v>3690</v>
      </c>
      <c r="G194" s="24"/>
      <c r="H194" s="25" t="s">
        <v>3713</v>
      </c>
      <c r="I194" s="27"/>
      <c r="J194" s="25" t="s">
        <v>3719</v>
      </c>
      <c r="K194" s="29"/>
      <c r="L194" s="29"/>
      <c r="M194" s="25"/>
      <c r="N194" s="30"/>
      <c r="O194" s="31"/>
      <c r="P194" s="31"/>
      <c r="Q194" s="31"/>
      <c r="R194" s="31"/>
      <c r="S194" s="31"/>
      <c r="T194" s="31"/>
      <c r="U194" s="31">
        <f t="shared" si="2"/>
        <v>0</v>
      </c>
      <c r="V194" s="31"/>
      <c r="W194" s="32"/>
      <c r="X194" s="32"/>
      <c r="Y194" s="32"/>
      <c r="Z194" s="33"/>
      <c r="AA194" s="34"/>
    </row>
    <row r="195" spans="1:27" s="28" customFormat="1" ht="58.5" customHeight="1" x14ac:dyDescent="0.25">
      <c r="A195" s="24">
        <v>191</v>
      </c>
      <c r="B195" s="24" t="s">
        <v>3437</v>
      </c>
      <c r="C195" s="25" t="s">
        <v>3436</v>
      </c>
      <c r="D195" s="26" t="s">
        <v>3692</v>
      </c>
      <c r="E195" s="25" t="s">
        <v>3691</v>
      </c>
      <c r="F195" s="25" t="s">
        <v>3690</v>
      </c>
      <c r="G195" s="24"/>
      <c r="H195" s="25" t="s">
        <v>3713</v>
      </c>
      <c r="I195" s="27"/>
      <c r="J195" s="25" t="s">
        <v>3718</v>
      </c>
      <c r="K195" s="29"/>
      <c r="L195" s="29"/>
      <c r="M195" s="25"/>
      <c r="N195" s="30"/>
      <c r="O195" s="31"/>
      <c r="P195" s="31"/>
      <c r="Q195" s="31"/>
      <c r="R195" s="31"/>
      <c r="S195" s="31"/>
      <c r="T195" s="31"/>
      <c r="U195" s="31">
        <f t="shared" si="2"/>
        <v>0</v>
      </c>
      <c r="V195" s="31"/>
      <c r="W195" s="32"/>
      <c r="X195" s="32"/>
      <c r="Y195" s="32"/>
      <c r="Z195" s="33"/>
      <c r="AA195" s="34"/>
    </row>
    <row r="196" spans="1:27" s="28" customFormat="1" ht="141" customHeight="1" x14ac:dyDescent="0.25">
      <c r="A196" s="24">
        <v>192</v>
      </c>
      <c r="B196" s="24" t="s">
        <v>3437</v>
      </c>
      <c r="C196" s="25" t="s">
        <v>3436</v>
      </c>
      <c r="D196" s="26" t="s">
        <v>3692</v>
      </c>
      <c r="E196" s="25" t="s">
        <v>3691</v>
      </c>
      <c r="F196" s="25" t="s">
        <v>3690</v>
      </c>
      <c r="G196" s="24"/>
      <c r="H196" s="25" t="s">
        <v>3713</v>
      </c>
      <c r="I196" s="27"/>
      <c r="J196" s="25" t="s">
        <v>3717</v>
      </c>
      <c r="K196" s="29"/>
      <c r="L196" s="29"/>
      <c r="M196" s="25"/>
      <c r="N196" s="30"/>
      <c r="O196" s="31"/>
      <c r="P196" s="31"/>
      <c r="Q196" s="31"/>
      <c r="R196" s="31"/>
      <c r="S196" s="31"/>
      <c r="T196" s="31"/>
      <c r="U196" s="31">
        <f t="shared" si="2"/>
        <v>0</v>
      </c>
      <c r="V196" s="31"/>
      <c r="W196" s="32"/>
      <c r="X196" s="32"/>
      <c r="Y196" s="32"/>
      <c r="Z196" s="33"/>
      <c r="AA196" s="34"/>
    </row>
    <row r="197" spans="1:27" s="28" customFormat="1" ht="56.25" customHeight="1" x14ac:dyDescent="0.25">
      <c r="A197" s="24">
        <v>193</v>
      </c>
      <c r="B197" s="24" t="s">
        <v>3437</v>
      </c>
      <c r="C197" s="25" t="s">
        <v>3436</v>
      </c>
      <c r="D197" s="26" t="s">
        <v>3692</v>
      </c>
      <c r="E197" s="25" t="s">
        <v>3691</v>
      </c>
      <c r="F197" s="25" t="s">
        <v>3690</v>
      </c>
      <c r="G197" s="24"/>
      <c r="H197" s="25" t="s">
        <v>3713</v>
      </c>
      <c r="I197" s="27"/>
      <c r="J197" s="25" t="s">
        <v>3716</v>
      </c>
      <c r="K197" s="29"/>
      <c r="L197" s="29"/>
      <c r="M197" s="25"/>
      <c r="N197" s="30"/>
      <c r="O197" s="31"/>
      <c r="P197" s="31"/>
      <c r="Q197" s="31"/>
      <c r="R197" s="31"/>
      <c r="S197" s="31"/>
      <c r="T197" s="31"/>
      <c r="U197" s="31">
        <f t="shared" si="2"/>
        <v>0</v>
      </c>
      <c r="V197" s="31"/>
      <c r="W197" s="32"/>
      <c r="X197" s="32"/>
      <c r="Y197" s="32"/>
      <c r="Z197" s="33"/>
      <c r="AA197" s="34"/>
    </row>
    <row r="198" spans="1:27" s="28" customFormat="1" ht="59.25" customHeight="1" x14ac:dyDescent="0.25">
      <c r="A198" s="24">
        <v>194</v>
      </c>
      <c r="B198" s="24" t="s">
        <v>3437</v>
      </c>
      <c r="C198" s="25" t="s">
        <v>3436</v>
      </c>
      <c r="D198" s="26" t="s">
        <v>3692</v>
      </c>
      <c r="E198" s="25" t="s">
        <v>3691</v>
      </c>
      <c r="F198" s="25" t="s">
        <v>3690</v>
      </c>
      <c r="G198" s="24"/>
      <c r="H198" s="25" t="s">
        <v>3713</v>
      </c>
      <c r="I198" s="27"/>
      <c r="J198" s="25" t="s">
        <v>3712</v>
      </c>
      <c r="K198" s="29"/>
      <c r="L198" s="29" t="s">
        <v>3715</v>
      </c>
      <c r="M198" s="25" t="s">
        <v>190</v>
      </c>
      <c r="N198" s="30">
        <v>48</v>
      </c>
      <c r="O198" s="31"/>
      <c r="P198" s="31">
        <v>2</v>
      </c>
      <c r="Q198" s="31">
        <v>0.3</v>
      </c>
      <c r="R198" s="31"/>
      <c r="S198" s="31"/>
      <c r="T198" s="31">
        <v>0.2</v>
      </c>
      <c r="U198" s="31">
        <f t="shared" ref="U198:U261" si="4">SUM(O198:T198)</f>
        <v>2.5</v>
      </c>
      <c r="V198" s="31"/>
      <c r="W198" s="32" t="s">
        <v>3714</v>
      </c>
      <c r="X198" s="32"/>
      <c r="Y198" s="32"/>
      <c r="Z198" s="33" t="s">
        <v>986</v>
      </c>
      <c r="AA198" s="34"/>
    </row>
    <row r="199" spans="1:27" s="28" customFormat="1" ht="23.25" customHeight="1" x14ac:dyDescent="0.25">
      <c r="A199" s="24">
        <v>195</v>
      </c>
      <c r="B199" s="24" t="s">
        <v>3437</v>
      </c>
      <c r="C199" s="25" t="s">
        <v>3436</v>
      </c>
      <c r="D199" s="26" t="s">
        <v>3692</v>
      </c>
      <c r="E199" s="25" t="s">
        <v>3691</v>
      </c>
      <c r="F199" s="25" t="s">
        <v>3690</v>
      </c>
      <c r="G199" s="24"/>
      <c r="H199" s="25" t="s">
        <v>3713</v>
      </c>
      <c r="I199" s="27"/>
      <c r="J199" s="25" t="s">
        <v>3712</v>
      </c>
      <c r="K199" s="29"/>
      <c r="L199" s="29" t="s">
        <v>3711</v>
      </c>
      <c r="M199" s="25" t="s">
        <v>190</v>
      </c>
      <c r="N199" s="30">
        <v>4</v>
      </c>
      <c r="O199" s="31"/>
      <c r="P199" s="31">
        <v>6</v>
      </c>
      <c r="Q199" s="31">
        <v>0.7</v>
      </c>
      <c r="R199" s="31"/>
      <c r="S199" s="31"/>
      <c r="T199" s="31">
        <v>0.3</v>
      </c>
      <c r="U199" s="31">
        <f t="shared" si="4"/>
        <v>7</v>
      </c>
      <c r="V199" s="31"/>
      <c r="W199" s="32" t="s">
        <v>2099</v>
      </c>
      <c r="X199" s="32"/>
      <c r="Y199" s="32"/>
      <c r="Z199" s="33" t="s">
        <v>1008</v>
      </c>
      <c r="AA199" s="34"/>
    </row>
    <row r="200" spans="1:27" s="28" customFormat="1" ht="45.75" customHeight="1" x14ac:dyDescent="0.25">
      <c r="A200" s="24">
        <v>196</v>
      </c>
      <c r="B200" s="24" t="s">
        <v>3437</v>
      </c>
      <c r="C200" s="25" t="s">
        <v>3436</v>
      </c>
      <c r="D200" s="26" t="s">
        <v>3692</v>
      </c>
      <c r="E200" s="25" t="s">
        <v>3691</v>
      </c>
      <c r="F200" s="25" t="s">
        <v>3690</v>
      </c>
      <c r="G200" s="24"/>
      <c r="H200" s="25" t="s">
        <v>3696</v>
      </c>
      <c r="I200" s="27"/>
      <c r="J200" s="25" t="s">
        <v>3707</v>
      </c>
      <c r="K200" s="29"/>
      <c r="L200" s="29" t="s">
        <v>3710</v>
      </c>
      <c r="M200" s="25" t="s">
        <v>1696</v>
      </c>
      <c r="N200" s="30">
        <v>4</v>
      </c>
      <c r="O200" s="31">
        <v>9</v>
      </c>
      <c r="P200" s="31">
        <v>4</v>
      </c>
      <c r="Q200" s="31">
        <v>5</v>
      </c>
      <c r="R200" s="31"/>
      <c r="S200" s="31"/>
      <c r="T200" s="31">
        <v>1</v>
      </c>
      <c r="U200" s="31">
        <f t="shared" si="4"/>
        <v>19</v>
      </c>
      <c r="V200" s="31"/>
      <c r="W200" s="32" t="s">
        <v>2099</v>
      </c>
      <c r="X200" s="32" t="s">
        <v>3614</v>
      </c>
      <c r="Y200" s="32" t="s">
        <v>41</v>
      </c>
      <c r="Z200" s="33" t="s">
        <v>3709</v>
      </c>
      <c r="AA200" s="34"/>
    </row>
    <row r="201" spans="1:27" s="28" customFormat="1" ht="45.75" customHeight="1" x14ac:dyDescent="0.25">
      <c r="A201" s="24">
        <v>197</v>
      </c>
      <c r="B201" s="24" t="s">
        <v>3437</v>
      </c>
      <c r="C201" s="25" t="s">
        <v>3436</v>
      </c>
      <c r="D201" s="26" t="s">
        <v>3692</v>
      </c>
      <c r="E201" s="25" t="s">
        <v>3691</v>
      </c>
      <c r="F201" s="25" t="s">
        <v>3690</v>
      </c>
      <c r="G201" s="24"/>
      <c r="H201" s="25" t="s">
        <v>3696</v>
      </c>
      <c r="I201" s="27"/>
      <c r="J201" s="25" t="s">
        <v>3707</v>
      </c>
      <c r="K201" s="29"/>
      <c r="L201" s="29" t="s">
        <v>3708</v>
      </c>
      <c r="M201" s="25" t="s">
        <v>190</v>
      </c>
      <c r="N201" s="30">
        <v>310</v>
      </c>
      <c r="O201" s="31">
        <v>3</v>
      </c>
      <c r="P201" s="31">
        <v>1</v>
      </c>
      <c r="Q201" s="31">
        <v>1</v>
      </c>
      <c r="R201" s="31"/>
      <c r="S201" s="31"/>
      <c r="T201" s="31">
        <v>0.25</v>
      </c>
      <c r="U201" s="31">
        <f t="shared" si="4"/>
        <v>5.25</v>
      </c>
      <c r="V201" s="31"/>
      <c r="W201" s="32" t="s">
        <v>2099</v>
      </c>
      <c r="X201" s="32" t="s">
        <v>3614</v>
      </c>
      <c r="Y201" s="32" t="s">
        <v>41</v>
      </c>
      <c r="Z201" s="33" t="s">
        <v>1008</v>
      </c>
      <c r="AA201" s="34"/>
    </row>
    <row r="202" spans="1:27" s="28" customFormat="1" ht="45.75" customHeight="1" x14ac:dyDescent="0.25">
      <c r="A202" s="24">
        <v>198</v>
      </c>
      <c r="B202" s="24" t="s">
        <v>3437</v>
      </c>
      <c r="C202" s="25" t="s">
        <v>3436</v>
      </c>
      <c r="D202" s="26" t="s">
        <v>3692</v>
      </c>
      <c r="E202" s="25" t="s">
        <v>3691</v>
      </c>
      <c r="F202" s="25" t="s">
        <v>3690</v>
      </c>
      <c r="G202" s="24"/>
      <c r="H202" s="25" t="s">
        <v>3696</v>
      </c>
      <c r="I202" s="27"/>
      <c r="J202" s="25" t="s">
        <v>3707</v>
      </c>
      <c r="K202" s="29"/>
      <c r="L202" s="29" t="s">
        <v>3706</v>
      </c>
      <c r="M202" s="25" t="s">
        <v>190</v>
      </c>
      <c r="N202" s="30">
        <v>48</v>
      </c>
      <c r="O202" s="31">
        <v>6</v>
      </c>
      <c r="P202" s="31">
        <v>3</v>
      </c>
      <c r="Q202" s="31">
        <v>1</v>
      </c>
      <c r="R202" s="31"/>
      <c r="S202" s="31"/>
      <c r="T202" s="31">
        <v>0.25</v>
      </c>
      <c r="U202" s="31">
        <f t="shared" si="4"/>
        <v>10.25</v>
      </c>
      <c r="V202" s="31"/>
      <c r="W202" s="32" t="s">
        <v>2099</v>
      </c>
      <c r="X202" s="32" t="s">
        <v>3614</v>
      </c>
      <c r="Y202" s="32" t="s">
        <v>41</v>
      </c>
      <c r="Z202" s="33" t="s">
        <v>1008</v>
      </c>
      <c r="AA202" s="34"/>
    </row>
    <row r="203" spans="1:27" s="28" customFormat="1" ht="30.75" customHeight="1" x14ac:dyDescent="0.25">
      <c r="A203" s="24">
        <v>199</v>
      </c>
      <c r="B203" s="24" t="s">
        <v>3437</v>
      </c>
      <c r="C203" s="25" t="s">
        <v>3436</v>
      </c>
      <c r="D203" s="26" t="s">
        <v>3692</v>
      </c>
      <c r="E203" s="25" t="s">
        <v>3691</v>
      </c>
      <c r="F203" s="25" t="s">
        <v>3690</v>
      </c>
      <c r="G203" s="24"/>
      <c r="H203" s="25" t="s">
        <v>3696</v>
      </c>
      <c r="I203" s="27"/>
      <c r="J203" s="25" t="s">
        <v>3705</v>
      </c>
      <c r="K203" s="29"/>
      <c r="L203" s="29"/>
      <c r="M203" s="25"/>
      <c r="N203" s="30"/>
      <c r="O203" s="31"/>
      <c r="P203" s="31"/>
      <c r="Q203" s="31"/>
      <c r="R203" s="31"/>
      <c r="S203" s="31"/>
      <c r="T203" s="31"/>
      <c r="U203" s="31">
        <f t="shared" si="4"/>
        <v>0</v>
      </c>
      <c r="V203" s="31"/>
      <c r="W203" s="32"/>
      <c r="X203" s="32"/>
      <c r="Y203" s="32"/>
      <c r="Z203" s="33"/>
      <c r="AA203" s="34"/>
    </row>
    <row r="204" spans="1:27" s="28" customFormat="1" ht="54" customHeight="1" x14ac:dyDescent="0.25">
      <c r="A204" s="24">
        <v>200</v>
      </c>
      <c r="B204" s="24" t="s">
        <v>3437</v>
      </c>
      <c r="C204" s="25" t="s">
        <v>3436</v>
      </c>
      <c r="D204" s="26" t="s">
        <v>3692</v>
      </c>
      <c r="E204" s="25" t="s">
        <v>3691</v>
      </c>
      <c r="F204" s="25" t="s">
        <v>3690</v>
      </c>
      <c r="G204" s="24"/>
      <c r="H204" s="25" t="s">
        <v>3696</v>
      </c>
      <c r="I204" s="27"/>
      <c r="J204" s="25" t="s">
        <v>3704</v>
      </c>
      <c r="K204" s="29"/>
      <c r="L204" s="29" t="s">
        <v>3703</v>
      </c>
      <c r="M204" s="25" t="s">
        <v>199</v>
      </c>
      <c r="N204" s="30">
        <v>40000</v>
      </c>
      <c r="O204" s="31">
        <v>0.5</v>
      </c>
      <c r="P204" s="31"/>
      <c r="Q204" s="31">
        <v>0.25</v>
      </c>
      <c r="R204" s="31"/>
      <c r="S204" s="31"/>
      <c r="T204" s="31">
        <v>0.1</v>
      </c>
      <c r="U204" s="31">
        <f t="shared" si="4"/>
        <v>0.85</v>
      </c>
      <c r="V204" s="31"/>
      <c r="W204" s="32" t="s">
        <v>2099</v>
      </c>
      <c r="X204" s="32" t="s">
        <v>3614</v>
      </c>
      <c r="Y204" s="32" t="s">
        <v>41</v>
      </c>
      <c r="Z204" s="33" t="s">
        <v>3702</v>
      </c>
      <c r="AA204" s="34"/>
    </row>
    <row r="205" spans="1:27" s="28" customFormat="1" ht="78.75" customHeight="1" x14ac:dyDescent="0.25">
      <c r="A205" s="24">
        <v>201</v>
      </c>
      <c r="B205" s="24" t="s">
        <v>3437</v>
      </c>
      <c r="C205" s="25" t="s">
        <v>3436</v>
      </c>
      <c r="D205" s="26" t="s">
        <v>3692</v>
      </c>
      <c r="E205" s="25" t="s">
        <v>3691</v>
      </c>
      <c r="F205" s="25" t="s">
        <v>3690</v>
      </c>
      <c r="G205" s="24"/>
      <c r="H205" s="25" t="s">
        <v>3696</v>
      </c>
      <c r="I205" s="27"/>
      <c r="J205" s="25" t="s">
        <v>3701</v>
      </c>
      <c r="K205" s="29"/>
      <c r="L205" s="29" t="s">
        <v>3700</v>
      </c>
      <c r="M205" s="25" t="s">
        <v>190</v>
      </c>
      <c r="N205" s="30">
        <v>12</v>
      </c>
      <c r="O205" s="31">
        <v>9</v>
      </c>
      <c r="P205" s="31">
        <v>1</v>
      </c>
      <c r="Q205" s="31">
        <v>1</v>
      </c>
      <c r="R205" s="31"/>
      <c r="S205" s="31"/>
      <c r="T205" s="31">
        <v>0.5</v>
      </c>
      <c r="U205" s="31">
        <f t="shared" si="4"/>
        <v>11.5</v>
      </c>
      <c r="V205" s="31"/>
      <c r="W205" s="32" t="s">
        <v>2099</v>
      </c>
      <c r="X205" s="32" t="s">
        <v>3614</v>
      </c>
      <c r="Y205" s="32" t="s">
        <v>41</v>
      </c>
      <c r="Z205" s="33" t="s">
        <v>3699</v>
      </c>
      <c r="AA205" s="34"/>
    </row>
    <row r="206" spans="1:27" s="28" customFormat="1" ht="78.75" x14ac:dyDescent="0.25">
      <c r="A206" s="24">
        <v>202</v>
      </c>
      <c r="B206" s="24" t="s">
        <v>3437</v>
      </c>
      <c r="C206" s="25" t="s">
        <v>3436</v>
      </c>
      <c r="D206" s="26" t="s">
        <v>3692</v>
      </c>
      <c r="E206" s="25" t="s">
        <v>3691</v>
      </c>
      <c r="F206" s="25" t="s">
        <v>3690</v>
      </c>
      <c r="G206" s="24"/>
      <c r="H206" s="25" t="s">
        <v>3696</v>
      </c>
      <c r="I206" s="27"/>
      <c r="J206" s="25" t="s">
        <v>3698</v>
      </c>
      <c r="K206" s="29"/>
      <c r="L206" s="29" t="s">
        <v>3697</v>
      </c>
      <c r="M206" s="25" t="s">
        <v>190</v>
      </c>
      <c r="N206" s="30">
        <v>6</v>
      </c>
      <c r="O206" s="31">
        <v>6</v>
      </c>
      <c r="P206" s="31">
        <v>3</v>
      </c>
      <c r="Q206" s="31">
        <v>4</v>
      </c>
      <c r="R206" s="31"/>
      <c r="S206" s="31"/>
      <c r="T206" s="31">
        <v>0.5</v>
      </c>
      <c r="U206" s="31">
        <f t="shared" si="4"/>
        <v>13.5</v>
      </c>
      <c r="V206" s="31"/>
      <c r="W206" s="32" t="s">
        <v>2099</v>
      </c>
      <c r="X206" s="32" t="s">
        <v>3614</v>
      </c>
      <c r="Y206" s="32" t="s">
        <v>41</v>
      </c>
      <c r="Z206" s="33" t="s">
        <v>349</v>
      </c>
      <c r="AA206" s="34"/>
    </row>
    <row r="207" spans="1:27" s="28" customFormat="1" ht="70.5" customHeight="1" x14ac:dyDescent="0.25">
      <c r="A207" s="24">
        <v>203</v>
      </c>
      <c r="B207" s="24" t="s">
        <v>3437</v>
      </c>
      <c r="C207" s="25" t="s">
        <v>3436</v>
      </c>
      <c r="D207" s="26" t="s">
        <v>3692</v>
      </c>
      <c r="E207" s="25" t="s">
        <v>3691</v>
      </c>
      <c r="F207" s="25" t="s">
        <v>3690</v>
      </c>
      <c r="G207" s="24"/>
      <c r="H207" s="25" t="s">
        <v>3696</v>
      </c>
      <c r="I207" s="27"/>
      <c r="J207" s="25" t="s">
        <v>3695</v>
      </c>
      <c r="K207" s="29"/>
      <c r="L207" s="38" t="s">
        <v>3694</v>
      </c>
      <c r="M207" s="61" t="s">
        <v>190</v>
      </c>
      <c r="N207" s="30">
        <v>280</v>
      </c>
      <c r="O207" s="31">
        <v>1.5</v>
      </c>
      <c r="P207" s="35">
        <v>2</v>
      </c>
      <c r="Q207" s="31">
        <v>3</v>
      </c>
      <c r="R207" s="31"/>
      <c r="S207" s="31"/>
      <c r="T207" s="31">
        <v>0.25</v>
      </c>
      <c r="U207" s="31">
        <f t="shared" si="4"/>
        <v>6.75</v>
      </c>
      <c r="V207" s="31"/>
      <c r="W207" s="59" t="s">
        <v>2099</v>
      </c>
      <c r="X207" s="32" t="s">
        <v>3614</v>
      </c>
      <c r="Y207" s="32" t="s">
        <v>41</v>
      </c>
      <c r="Z207" s="56" t="s">
        <v>349</v>
      </c>
      <c r="AA207" s="34"/>
    </row>
    <row r="208" spans="1:27" s="53" customFormat="1" ht="78.75" x14ac:dyDescent="0.25">
      <c r="A208" s="24">
        <v>204</v>
      </c>
      <c r="B208" s="24" t="s">
        <v>3437</v>
      </c>
      <c r="C208" s="25" t="s">
        <v>3436</v>
      </c>
      <c r="D208" s="26" t="s">
        <v>3692</v>
      </c>
      <c r="E208" s="25" t="s">
        <v>3691</v>
      </c>
      <c r="F208" s="25" t="s">
        <v>3690</v>
      </c>
      <c r="G208" s="24"/>
      <c r="H208" s="25" t="s">
        <v>3689</v>
      </c>
      <c r="I208" s="24"/>
      <c r="J208" s="25" t="s">
        <v>3689</v>
      </c>
      <c r="K208" s="29"/>
      <c r="L208" s="29" t="s">
        <v>3693</v>
      </c>
      <c r="M208" s="25" t="s">
        <v>199</v>
      </c>
      <c r="N208" s="30">
        <v>300</v>
      </c>
      <c r="O208" s="31"/>
      <c r="P208" s="31">
        <v>3</v>
      </c>
      <c r="Q208" s="31">
        <v>0.5</v>
      </c>
      <c r="R208" s="31"/>
      <c r="S208" s="31"/>
      <c r="T208" s="31">
        <v>0.5</v>
      </c>
      <c r="U208" s="31">
        <f t="shared" si="4"/>
        <v>4</v>
      </c>
      <c r="V208" s="31"/>
      <c r="W208" s="32" t="s">
        <v>2099</v>
      </c>
      <c r="X208" s="32" t="s">
        <v>3104</v>
      </c>
      <c r="Y208" s="32" t="s">
        <v>41</v>
      </c>
      <c r="Z208" s="33" t="s">
        <v>2702</v>
      </c>
      <c r="AA208" s="34"/>
    </row>
    <row r="209" spans="1:27" s="53" customFormat="1" ht="78.75" x14ac:dyDescent="0.25">
      <c r="A209" s="24">
        <v>205</v>
      </c>
      <c r="B209" s="24" t="s">
        <v>3437</v>
      </c>
      <c r="C209" s="25" t="s">
        <v>3436</v>
      </c>
      <c r="D209" s="26" t="s">
        <v>3692</v>
      </c>
      <c r="E209" s="25" t="s">
        <v>3691</v>
      </c>
      <c r="F209" s="25" t="s">
        <v>3690</v>
      </c>
      <c r="G209" s="24"/>
      <c r="H209" s="25" t="s">
        <v>3689</v>
      </c>
      <c r="I209" s="24"/>
      <c r="J209" s="25" t="s">
        <v>3689</v>
      </c>
      <c r="K209" s="29"/>
      <c r="L209" s="29" t="s">
        <v>3688</v>
      </c>
      <c r="M209" s="25" t="s">
        <v>255</v>
      </c>
      <c r="N209" s="30">
        <v>250</v>
      </c>
      <c r="O209" s="31"/>
      <c r="P209" s="31">
        <v>0.5</v>
      </c>
      <c r="Q209" s="31">
        <v>0.3</v>
      </c>
      <c r="R209" s="31"/>
      <c r="S209" s="31"/>
      <c r="T209" s="31">
        <v>0.2</v>
      </c>
      <c r="U209" s="31">
        <f t="shared" si="4"/>
        <v>1</v>
      </c>
      <c r="V209" s="31"/>
      <c r="W209" s="32" t="s">
        <v>275</v>
      </c>
      <c r="X209" s="32"/>
      <c r="Y209" s="32" t="s">
        <v>255</v>
      </c>
      <c r="Z209" s="33" t="s">
        <v>2702</v>
      </c>
      <c r="AA209" s="34"/>
    </row>
    <row r="210" spans="1:27" s="25" customFormat="1" ht="42" customHeight="1" x14ac:dyDescent="0.25">
      <c r="A210" s="24">
        <v>206</v>
      </c>
      <c r="B210" s="24" t="s">
        <v>3437</v>
      </c>
      <c r="C210" s="25" t="s">
        <v>3436</v>
      </c>
      <c r="D210" s="26" t="s">
        <v>3629</v>
      </c>
      <c r="E210" s="25" t="s">
        <v>3628</v>
      </c>
      <c r="F210" s="25" t="s">
        <v>3627</v>
      </c>
      <c r="G210" s="24"/>
      <c r="H210" s="25" t="s">
        <v>3683</v>
      </c>
      <c r="I210" s="24"/>
      <c r="J210" s="25" t="s">
        <v>3685</v>
      </c>
      <c r="K210" s="29"/>
      <c r="L210" s="29" t="s">
        <v>3687</v>
      </c>
      <c r="M210" s="25" t="s">
        <v>190</v>
      </c>
      <c r="N210" s="30">
        <v>5</v>
      </c>
      <c r="O210" s="31"/>
      <c r="P210" s="31">
        <v>56</v>
      </c>
      <c r="Q210" s="31"/>
      <c r="R210" s="31"/>
      <c r="S210" s="31"/>
      <c r="T210" s="31"/>
      <c r="U210" s="31">
        <f t="shared" si="4"/>
        <v>56</v>
      </c>
      <c r="V210" s="31">
        <v>280</v>
      </c>
      <c r="W210" s="32" t="s">
        <v>22</v>
      </c>
      <c r="X210" s="32" t="s">
        <v>3686</v>
      </c>
      <c r="Y210" s="32" t="s">
        <v>41</v>
      </c>
      <c r="Z210" s="33" t="s">
        <v>1008</v>
      </c>
      <c r="AA210" s="34"/>
    </row>
    <row r="211" spans="1:27" s="25" customFormat="1" ht="32.25" customHeight="1" x14ac:dyDescent="0.25">
      <c r="A211" s="24">
        <v>207</v>
      </c>
      <c r="B211" s="24" t="s">
        <v>3437</v>
      </c>
      <c r="C211" s="25" t="s">
        <v>3436</v>
      </c>
      <c r="D211" s="26" t="s">
        <v>3629</v>
      </c>
      <c r="E211" s="25" t="s">
        <v>3628</v>
      </c>
      <c r="F211" s="25" t="s">
        <v>3627</v>
      </c>
      <c r="G211" s="24"/>
      <c r="H211" s="25" t="s">
        <v>3683</v>
      </c>
      <c r="I211" s="24"/>
      <c r="J211" s="25" t="s">
        <v>3685</v>
      </c>
      <c r="K211" s="29"/>
      <c r="L211" s="29" t="s">
        <v>3684</v>
      </c>
      <c r="M211" s="25" t="s">
        <v>190</v>
      </c>
      <c r="N211" s="30">
        <v>3</v>
      </c>
      <c r="O211" s="31">
        <v>24</v>
      </c>
      <c r="P211" s="31">
        <v>8</v>
      </c>
      <c r="Q211" s="31"/>
      <c r="R211" s="31"/>
      <c r="S211" s="31"/>
      <c r="T211" s="31">
        <v>2</v>
      </c>
      <c r="U211" s="31">
        <f t="shared" si="4"/>
        <v>34</v>
      </c>
      <c r="V211" s="31">
        <v>102</v>
      </c>
      <c r="W211" s="32" t="s">
        <v>22</v>
      </c>
      <c r="X211" s="32"/>
      <c r="Y211" s="32" t="s">
        <v>41</v>
      </c>
      <c r="Z211" s="33" t="s">
        <v>1008</v>
      </c>
      <c r="AA211" s="34"/>
    </row>
    <row r="212" spans="1:27" s="25" customFormat="1" ht="54" customHeight="1" x14ac:dyDescent="0.25">
      <c r="A212" s="24">
        <v>208</v>
      </c>
      <c r="B212" s="24" t="s">
        <v>3437</v>
      </c>
      <c r="C212" s="25" t="s">
        <v>3436</v>
      </c>
      <c r="D212" s="26" t="s">
        <v>3629</v>
      </c>
      <c r="E212" s="25" t="s">
        <v>3628</v>
      </c>
      <c r="F212" s="25" t="s">
        <v>3627</v>
      </c>
      <c r="G212" s="24"/>
      <c r="H212" s="25" t="s">
        <v>3683</v>
      </c>
      <c r="I212" s="24"/>
      <c r="J212" s="25" t="s">
        <v>3682</v>
      </c>
      <c r="K212" s="29"/>
      <c r="L212" s="29" t="s">
        <v>3681</v>
      </c>
      <c r="M212" s="25" t="s">
        <v>190</v>
      </c>
      <c r="N212" s="30">
        <v>132</v>
      </c>
      <c r="O212" s="31">
        <v>24</v>
      </c>
      <c r="P212" s="31">
        <v>8</v>
      </c>
      <c r="Q212" s="31">
        <v>4</v>
      </c>
      <c r="R212" s="31"/>
      <c r="S212" s="31"/>
      <c r="T212" s="31">
        <v>1</v>
      </c>
      <c r="U212" s="31">
        <f t="shared" si="4"/>
        <v>37</v>
      </c>
      <c r="V212" s="31">
        <v>4884</v>
      </c>
      <c r="W212" s="32" t="s">
        <v>22</v>
      </c>
      <c r="X212" s="32"/>
      <c r="Y212" s="32" t="s">
        <v>41</v>
      </c>
      <c r="Z212" s="33" t="s">
        <v>1008</v>
      </c>
      <c r="AA212" s="34"/>
    </row>
    <row r="213" spans="1:27" s="25" customFormat="1" ht="78.75" x14ac:dyDescent="0.25">
      <c r="A213" s="24">
        <v>209</v>
      </c>
      <c r="B213" s="24" t="s">
        <v>3437</v>
      </c>
      <c r="C213" s="25" t="s">
        <v>3436</v>
      </c>
      <c r="D213" s="26" t="s">
        <v>3629</v>
      </c>
      <c r="E213" s="25" t="s">
        <v>3628</v>
      </c>
      <c r="F213" s="25" t="s">
        <v>3627</v>
      </c>
      <c r="G213" s="24"/>
      <c r="H213" s="25" t="s">
        <v>3665</v>
      </c>
      <c r="I213" s="24"/>
      <c r="J213" s="25" t="s">
        <v>3678</v>
      </c>
      <c r="K213" s="29"/>
      <c r="L213" s="29" t="s">
        <v>3680</v>
      </c>
      <c r="M213" s="25" t="s">
        <v>1876</v>
      </c>
      <c r="N213" s="30">
        <v>1</v>
      </c>
      <c r="O213" s="31">
        <v>72</v>
      </c>
      <c r="P213" s="31"/>
      <c r="Q213" s="31"/>
      <c r="R213" s="31"/>
      <c r="S213" s="31"/>
      <c r="T213" s="31">
        <v>24</v>
      </c>
      <c r="U213" s="31">
        <f t="shared" si="4"/>
        <v>96</v>
      </c>
      <c r="V213" s="31">
        <v>96</v>
      </c>
      <c r="W213" s="32" t="s">
        <v>800</v>
      </c>
      <c r="X213" s="32"/>
      <c r="Y213" s="32" t="s">
        <v>41</v>
      </c>
      <c r="Z213" s="33" t="s">
        <v>1008</v>
      </c>
      <c r="AA213" s="34"/>
    </row>
    <row r="214" spans="1:27" s="25" customFormat="1" ht="35.25" customHeight="1" x14ac:dyDescent="0.25">
      <c r="A214" s="24">
        <v>210</v>
      </c>
      <c r="B214" s="24" t="s">
        <v>3437</v>
      </c>
      <c r="C214" s="25" t="s">
        <v>3436</v>
      </c>
      <c r="D214" s="26" t="s">
        <v>3629</v>
      </c>
      <c r="E214" s="25" t="s">
        <v>3628</v>
      </c>
      <c r="F214" s="25" t="s">
        <v>3627</v>
      </c>
      <c r="G214" s="24"/>
      <c r="H214" s="25" t="s">
        <v>3665</v>
      </c>
      <c r="I214" s="24"/>
      <c r="J214" s="25" t="s">
        <v>3678</v>
      </c>
      <c r="K214" s="29"/>
      <c r="L214" s="29" t="s">
        <v>3679</v>
      </c>
      <c r="M214" s="25" t="s">
        <v>190</v>
      </c>
      <c r="N214" s="30">
        <v>1</v>
      </c>
      <c r="O214" s="31">
        <v>320</v>
      </c>
      <c r="P214" s="31">
        <v>120</v>
      </c>
      <c r="Q214" s="31">
        <v>60</v>
      </c>
      <c r="R214" s="31"/>
      <c r="S214" s="31"/>
      <c r="T214" s="31">
        <v>56</v>
      </c>
      <c r="U214" s="31">
        <f t="shared" si="4"/>
        <v>556</v>
      </c>
      <c r="V214" s="31">
        <v>556</v>
      </c>
      <c r="W214" s="32" t="s">
        <v>800</v>
      </c>
      <c r="X214" s="32"/>
      <c r="Y214" s="32" t="s">
        <v>41</v>
      </c>
      <c r="Z214" s="33" t="s">
        <v>1008</v>
      </c>
      <c r="AA214" s="34"/>
    </row>
    <row r="215" spans="1:27" s="25" customFormat="1" ht="35.25" customHeight="1" x14ac:dyDescent="0.25">
      <c r="A215" s="24">
        <v>211</v>
      </c>
      <c r="B215" s="24" t="s">
        <v>3437</v>
      </c>
      <c r="C215" s="25" t="s">
        <v>3436</v>
      </c>
      <c r="D215" s="26" t="s">
        <v>3629</v>
      </c>
      <c r="E215" s="25" t="s">
        <v>3628</v>
      </c>
      <c r="F215" s="25" t="s">
        <v>3627</v>
      </c>
      <c r="G215" s="24"/>
      <c r="H215" s="25" t="s">
        <v>3665</v>
      </c>
      <c r="I215" s="24"/>
      <c r="J215" s="25" t="s">
        <v>3678</v>
      </c>
      <c r="K215" s="29"/>
      <c r="L215" s="29" t="s">
        <v>3677</v>
      </c>
      <c r="M215" s="25" t="s">
        <v>1876</v>
      </c>
      <c r="N215" s="30">
        <v>1</v>
      </c>
      <c r="O215" s="31"/>
      <c r="P215" s="31"/>
      <c r="Q215" s="31"/>
      <c r="R215" s="31"/>
      <c r="S215" s="31"/>
      <c r="T215" s="31">
        <v>80</v>
      </c>
      <c r="U215" s="31">
        <f t="shared" si="4"/>
        <v>80</v>
      </c>
      <c r="V215" s="31"/>
      <c r="W215" s="32" t="s">
        <v>3676</v>
      </c>
      <c r="X215" s="32"/>
      <c r="Y215" s="32"/>
      <c r="Z215" s="33" t="s">
        <v>189</v>
      </c>
      <c r="AA215" s="34"/>
    </row>
    <row r="216" spans="1:27" s="25" customFormat="1" ht="78.75" x14ac:dyDescent="0.25">
      <c r="A216" s="24">
        <v>212</v>
      </c>
      <c r="B216" s="24" t="s">
        <v>3437</v>
      </c>
      <c r="C216" s="25" t="s">
        <v>3436</v>
      </c>
      <c r="D216" s="26" t="s">
        <v>3629</v>
      </c>
      <c r="E216" s="25" t="s">
        <v>3628</v>
      </c>
      <c r="F216" s="25" t="s">
        <v>3627</v>
      </c>
      <c r="G216" s="24"/>
      <c r="H216" s="25" t="s">
        <v>3665</v>
      </c>
      <c r="I216" s="24"/>
      <c r="J216" s="25" t="s">
        <v>3671</v>
      </c>
      <c r="K216" s="29"/>
      <c r="L216" s="29" t="s">
        <v>3675</v>
      </c>
      <c r="M216" s="25" t="s">
        <v>190</v>
      </c>
      <c r="N216" s="30">
        <v>313</v>
      </c>
      <c r="O216" s="31">
        <v>4</v>
      </c>
      <c r="P216" s="31">
        <v>0</v>
      </c>
      <c r="Q216" s="31">
        <v>0</v>
      </c>
      <c r="R216" s="31"/>
      <c r="S216" s="31">
        <v>0</v>
      </c>
      <c r="T216" s="31">
        <v>0</v>
      </c>
      <c r="U216" s="31">
        <f t="shared" si="4"/>
        <v>4</v>
      </c>
      <c r="V216" s="31">
        <v>1252</v>
      </c>
      <c r="W216" s="32" t="s">
        <v>800</v>
      </c>
      <c r="X216" s="32"/>
      <c r="Y216" s="32" t="s">
        <v>41</v>
      </c>
      <c r="Z216" s="33" t="s">
        <v>1008</v>
      </c>
      <c r="AA216" s="34"/>
    </row>
    <row r="217" spans="1:27" s="25" customFormat="1" ht="78.75" x14ac:dyDescent="0.25">
      <c r="A217" s="24">
        <v>213</v>
      </c>
      <c r="B217" s="24" t="s">
        <v>3437</v>
      </c>
      <c r="C217" s="25" t="s">
        <v>3436</v>
      </c>
      <c r="D217" s="26" t="s">
        <v>3629</v>
      </c>
      <c r="E217" s="25" t="s">
        <v>3628</v>
      </c>
      <c r="F217" s="25" t="s">
        <v>3627</v>
      </c>
      <c r="G217" s="24"/>
      <c r="H217" s="25" t="s">
        <v>3665</v>
      </c>
      <c r="I217" s="24"/>
      <c r="J217" s="25" t="s">
        <v>3671</v>
      </c>
      <c r="K217" s="29"/>
      <c r="L217" s="29" t="s">
        <v>3674</v>
      </c>
      <c r="M217" s="25" t="s">
        <v>190</v>
      </c>
      <c r="N217" s="30">
        <v>52</v>
      </c>
      <c r="O217" s="31">
        <v>24</v>
      </c>
      <c r="P217" s="31">
        <v>8</v>
      </c>
      <c r="Q217" s="31"/>
      <c r="R217" s="31"/>
      <c r="S217" s="31"/>
      <c r="T217" s="31"/>
      <c r="U217" s="31">
        <f t="shared" si="4"/>
        <v>32</v>
      </c>
      <c r="V217" s="31">
        <v>1664</v>
      </c>
      <c r="W217" s="32" t="s">
        <v>800</v>
      </c>
      <c r="X217" s="32"/>
      <c r="Y217" s="32" t="s">
        <v>41</v>
      </c>
      <c r="Z217" s="33" t="s">
        <v>1008</v>
      </c>
      <c r="AA217" s="34"/>
    </row>
    <row r="218" spans="1:27" s="25" customFormat="1" ht="78.75" x14ac:dyDescent="0.25">
      <c r="A218" s="24">
        <v>214</v>
      </c>
      <c r="B218" s="24" t="s">
        <v>3437</v>
      </c>
      <c r="C218" s="25" t="s">
        <v>3436</v>
      </c>
      <c r="D218" s="26" t="s">
        <v>3629</v>
      </c>
      <c r="E218" s="25" t="s">
        <v>3628</v>
      </c>
      <c r="F218" s="25" t="s">
        <v>3627</v>
      </c>
      <c r="G218" s="24"/>
      <c r="H218" s="25" t="s">
        <v>3665</v>
      </c>
      <c r="I218" s="24"/>
      <c r="J218" s="25" t="s">
        <v>3671</v>
      </c>
      <c r="K218" s="29"/>
      <c r="L218" s="29" t="s">
        <v>3673</v>
      </c>
      <c r="M218" s="25" t="s">
        <v>190</v>
      </c>
      <c r="N218" s="30">
        <v>12</v>
      </c>
      <c r="O218" s="31">
        <v>72</v>
      </c>
      <c r="P218" s="31">
        <v>24</v>
      </c>
      <c r="Q218" s="31">
        <v>8</v>
      </c>
      <c r="R218" s="31"/>
      <c r="S218" s="31"/>
      <c r="T218" s="31">
        <v>2</v>
      </c>
      <c r="U218" s="31">
        <f t="shared" si="4"/>
        <v>106</v>
      </c>
      <c r="V218" s="31">
        <v>1272</v>
      </c>
      <c r="W218" s="32" t="s">
        <v>800</v>
      </c>
      <c r="X218" s="32"/>
      <c r="Y218" s="32" t="s">
        <v>41</v>
      </c>
      <c r="Z218" s="33" t="s">
        <v>1008</v>
      </c>
      <c r="AA218" s="34"/>
    </row>
    <row r="219" spans="1:27" s="25" customFormat="1" ht="78.75" x14ac:dyDescent="0.25">
      <c r="A219" s="24">
        <v>215</v>
      </c>
      <c r="B219" s="24" t="s">
        <v>3437</v>
      </c>
      <c r="C219" s="25" t="s">
        <v>3436</v>
      </c>
      <c r="D219" s="26" t="s">
        <v>3629</v>
      </c>
      <c r="E219" s="25" t="s">
        <v>3628</v>
      </c>
      <c r="F219" s="25" t="s">
        <v>3627</v>
      </c>
      <c r="G219" s="24"/>
      <c r="H219" s="25" t="s">
        <v>3665</v>
      </c>
      <c r="I219" s="24"/>
      <c r="J219" s="25" t="s">
        <v>3671</v>
      </c>
      <c r="K219" s="29"/>
      <c r="L219" s="29" t="s">
        <v>3672</v>
      </c>
      <c r="M219" s="25" t="s">
        <v>190</v>
      </c>
      <c r="N219" s="30">
        <v>4</v>
      </c>
      <c r="O219" s="31">
        <v>72</v>
      </c>
      <c r="P219" s="31">
        <v>24</v>
      </c>
      <c r="Q219" s="31">
        <v>8</v>
      </c>
      <c r="R219" s="31"/>
      <c r="S219" s="31"/>
      <c r="T219" s="31">
        <v>2</v>
      </c>
      <c r="U219" s="31">
        <f t="shared" si="4"/>
        <v>106</v>
      </c>
      <c r="V219" s="31">
        <v>424</v>
      </c>
      <c r="W219" s="32" t="s">
        <v>800</v>
      </c>
      <c r="X219" s="32"/>
      <c r="Y219" s="32" t="s">
        <v>41</v>
      </c>
      <c r="Z219" s="33" t="s">
        <v>1008</v>
      </c>
      <c r="AA219" s="34"/>
    </row>
    <row r="220" spans="1:27" s="25" customFormat="1" ht="32.25" customHeight="1" x14ac:dyDescent="0.25">
      <c r="A220" s="24">
        <v>216</v>
      </c>
      <c r="B220" s="24" t="s">
        <v>3437</v>
      </c>
      <c r="C220" s="25" t="s">
        <v>3436</v>
      </c>
      <c r="D220" s="26" t="s">
        <v>3629</v>
      </c>
      <c r="E220" s="25" t="s">
        <v>3628</v>
      </c>
      <c r="F220" s="25" t="s">
        <v>3627</v>
      </c>
      <c r="G220" s="24"/>
      <c r="H220" s="25" t="s">
        <v>3665</v>
      </c>
      <c r="I220" s="24"/>
      <c r="J220" s="25" t="s">
        <v>3671</v>
      </c>
      <c r="K220" s="29"/>
      <c r="L220" s="29" t="s">
        <v>3670</v>
      </c>
      <c r="M220" s="25" t="s">
        <v>190</v>
      </c>
      <c r="N220" s="30">
        <v>2</v>
      </c>
      <c r="O220" s="31">
        <v>320</v>
      </c>
      <c r="P220" s="31">
        <v>80</v>
      </c>
      <c r="Q220" s="31">
        <v>80</v>
      </c>
      <c r="R220" s="31"/>
      <c r="S220" s="31"/>
      <c r="T220" s="31">
        <v>20</v>
      </c>
      <c r="U220" s="31">
        <f t="shared" si="4"/>
        <v>500</v>
      </c>
      <c r="V220" s="31">
        <v>1000</v>
      </c>
      <c r="W220" s="32" t="s">
        <v>800</v>
      </c>
      <c r="X220" s="32"/>
      <c r="Y220" s="32" t="s">
        <v>41</v>
      </c>
      <c r="Z220" s="33" t="s">
        <v>1008</v>
      </c>
      <c r="AA220" s="34"/>
    </row>
    <row r="221" spans="1:27" s="25" customFormat="1" ht="46.5" customHeight="1" x14ac:dyDescent="0.25">
      <c r="A221" s="24">
        <v>217</v>
      </c>
      <c r="B221" s="24" t="s">
        <v>3437</v>
      </c>
      <c r="C221" s="25" t="s">
        <v>3436</v>
      </c>
      <c r="D221" s="26" t="s">
        <v>3629</v>
      </c>
      <c r="E221" s="25" t="s">
        <v>3628</v>
      </c>
      <c r="F221" s="25" t="s">
        <v>3627</v>
      </c>
      <c r="G221" s="24"/>
      <c r="H221" s="25" t="s">
        <v>3665</v>
      </c>
      <c r="I221" s="24"/>
      <c r="J221" s="25" t="s">
        <v>3669</v>
      </c>
      <c r="K221" s="29"/>
      <c r="L221" s="29" t="s">
        <v>3668</v>
      </c>
      <c r="M221" s="25" t="s">
        <v>3637</v>
      </c>
      <c r="N221" s="30">
        <v>12</v>
      </c>
      <c r="O221" s="31">
        <v>8</v>
      </c>
      <c r="P221" s="31">
        <v>8</v>
      </c>
      <c r="Q221" s="31">
        <v>4</v>
      </c>
      <c r="R221" s="31"/>
      <c r="S221" s="31"/>
      <c r="T221" s="31">
        <v>1</v>
      </c>
      <c r="U221" s="31">
        <f t="shared" si="4"/>
        <v>21</v>
      </c>
      <c r="V221" s="31">
        <v>252</v>
      </c>
      <c r="W221" s="32" t="s">
        <v>800</v>
      </c>
      <c r="X221" s="32"/>
      <c r="Y221" s="32"/>
      <c r="Z221" s="33"/>
      <c r="AA221" s="34"/>
    </row>
    <row r="222" spans="1:27" s="25" customFormat="1" ht="44.25" customHeight="1" x14ac:dyDescent="0.25">
      <c r="A222" s="24">
        <v>218</v>
      </c>
      <c r="B222" s="24" t="s">
        <v>3437</v>
      </c>
      <c r="C222" s="25" t="s">
        <v>3436</v>
      </c>
      <c r="D222" s="26" t="s">
        <v>3629</v>
      </c>
      <c r="E222" s="25" t="s">
        <v>3628</v>
      </c>
      <c r="F222" s="25" t="s">
        <v>3627</v>
      </c>
      <c r="G222" s="24"/>
      <c r="H222" s="25" t="s">
        <v>3665</v>
      </c>
      <c r="I222" s="24"/>
      <c r="J222" s="25" t="s">
        <v>3667</v>
      </c>
      <c r="K222" s="29"/>
      <c r="L222" s="29"/>
      <c r="N222" s="30"/>
      <c r="O222" s="31"/>
      <c r="P222" s="31"/>
      <c r="Q222" s="31"/>
      <c r="R222" s="31"/>
      <c r="S222" s="31"/>
      <c r="T222" s="31"/>
      <c r="U222" s="31">
        <f t="shared" si="4"/>
        <v>0</v>
      </c>
      <c r="V222" s="31"/>
      <c r="W222" s="32"/>
      <c r="X222" s="32"/>
      <c r="Y222" s="32"/>
      <c r="Z222" s="33"/>
      <c r="AA222" s="34"/>
    </row>
    <row r="223" spans="1:27" s="25" customFormat="1" ht="78.75" x14ac:dyDescent="0.25">
      <c r="A223" s="24">
        <v>219</v>
      </c>
      <c r="B223" s="24" t="s">
        <v>3437</v>
      </c>
      <c r="C223" s="25" t="s">
        <v>3436</v>
      </c>
      <c r="D223" s="26" t="s">
        <v>3629</v>
      </c>
      <c r="E223" s="25" t="s">
        <v>3628</v>
      </c>
      <c r="F223" s="25" t="s">
        <v>3627</v>
      </c>
      <c r="G223" s="24"/>
      <c r="H223" s="25" t="s">
        <v>3665</v>
      </c>
      <c r="I223" s="24"/>
      <c r="J223" s="25" t="s">
        <v>3666</v>
      </c>
      <c r="K223" s="29"/>
      <c r="L223" s="29"/>
      <c r="N223" s="30"/>
      <c r="O223" s="31"/>
      <c r="P223" s="31"/>
      <c r="Q223" s="31"/>
      <c r="R223" s="31"/>
      <c r="S223" s="31"/>
      <c r="T223" s="31"/>
      <c r="U223" s="31">
        <f t="shared" si="4"/>
        <v>0</v>
      </c>
      <c r="V223" s="31"/>
      <c r="W223" s="32"/>
      <c r="X223" s="32"/>
      <c r="Y223" s="32"/>
      <c r="Z223" s="33"/>
      <c r="AA223" s="34"/>
    </row>
    <row r="224" spans="1:27" s="25" customFormat="1" ht="44.25" customHeight="1" x14ac:dyDescent="0.25">
      <c r="A224" s="24">
        <v>220</v>
      </c>
      <c r="B224" s="24" t="s">
        <v>3437</v>
      </c>
      <c r="C224" s="25" t="s">
        <v>3436</v>
      </c>
      <c r="D224" s="26" t="s">
        <v>3629</v>
      </c>
      <c r="E224" s="25" t="s">
        <v>3628</v>
      </c>
      <c r="F224" s="25" t="s">
        <v>3627</v>
      </c>
      <c r="G224" s="24"/>
      <c r="H224" s="25" t="s">
        <v>3665</v>
      </c>
      <c r="I224" s="24"/>
      <c r="J224" s="25" t="s">
        <v>3664</v>
      </c>
      <c r="K224" s="29"/>
      <c r="L224" s="29"/>
      <c r="N224" s="30"/>
      <c r="O224" s="31"/>
      <c r="P224" s="31"/>
      <c r="Q224" s="31"/>
      <c r="R224" s="31"/>
      <c r="S224" s="31"/>
      <c r="T224" s="31"/>
      <c r="U224" s="31">
        <f t="shared" si="4"/>
        <v>0</v>
      </c>
      <c r="V224" s="31"/>
      <c r="W224" s="32"/>
      <c r="X224" s="32"/>
      <c r="Y224" s="32"/>
      <c r="Z224" s="33"/>
      <c r="AA224" s="34"/>
    </row>
    <row r="225" spans="1:27" s="25" customFormat="1" ht="55.5" customHeight="1" x14ac:dyDescent="0.25">
      <c r="A225" s="24">
        <v>221</v>
      </c>
      <c r="B225" s="24" t="s">
        <v>3437</v>
      </c>
      <c r="C225" s="25" t="s">
        <v>3436</v>
      </c>
      <c r="D225" s="26" t="s">
        <v>3629</v>
      </c>
      <c r="E225" s="25" t="s">
        <v>3628</v>
      </c>
      <c r="F225" s="25" t="s">
        <v>3627</v>
      </c>
      <c r="G225" s="24"/>
      <c r="H225" s="25" t="s">
        <v>3640</v>
      </c>
      <c r="I225" s="24"/>
      <c r="J225" s="25" t="s">
        <v>3663</v>
      </c>
      <c r="K225" s="29"/>
      <c r="L225" s="29"/>
      <c r="N225" s="30"/>
      <c r="O225" s="31"/>
      <c r="P225" s="31"/>
      <c r="Q225" s="31"/>
      <c r="R225" s="31"/>
      <c r="S225" s="31"/>
      <c r="T225" s="31"/>
      <c r="U225" s="31">
        <f t="shared" si="4"/>
        <v>0</v>
      </c>
      <c r="V225" s="31"/>
      <c r="W225" s="32"/>
      <c r="X225" s="32"/>
      <c r="Y225" s="32"/>
      <c r="Z225" s="33"/>
      <c r="AA225" s="34"/>
    </row>
    <row r="226" spans="1:27" s="25" customFormat="1" ht="54.75" customHeight="1" x14ac:dyDescent="0.25">
      <c r="A226" s="24">
        <v>222</v>
      </c>
      <c r="B226" s="24" t="s">
        <v>3437</v>
      </c>
      <c r="C226" s="25" t="s">
        <v>3436</v>
      </c>
      <c r="D226" s="26" t="s">
        <v>3629</v>
      </c>
      <c r="E226" s="25" t="s">
        <v>3628</v>
      </c>
      <c r="F226" s="25" t="s">
        <v>3627</v>
      </c>
      <c r="G226" s="24"/>
      <c r="H226" s="25" t="s">
        <v>3640</v>
      </c>
      <c r="I226" s="24"/>
      <c r="J226" s="25" t="s">
        <v>3656</v>
      </c>
      <c r="K226" s="29"/>
      <c r="L226" s="29" t="s">
        <v>3662</v>
      </c>
      <c r="M226" s="25" t="s">
        <v>190</v>
      </c>
      <c r="N226" s="30">
        <v>2</v>
      </c>
      <c r="O226" s="31">
        <v>144</v>
      </c>
      <c r="P226" s="31">
        <v>344</v>
      </c>
      <c r="Q226" s="31">
        <v>184</v>
      </c>
      <c r="R226" s="31">
        <v>0</v>
      </c>
      <c r="S226" s="31">
        <v>0</v>
      </c>
      <c r="T226" s="31">
        <v>24</v>
      </c>
      <c r="U226" s="31">
        <f t="shared" si="4"/>
        <v>696</v>
      </c>
      <c r="V226" s="31">
        <v>1392</v>
      </c>
      <c r="W226" s="32" t="s">
        <v>800</v>
      </c>
      <c r="X226" s="32"/>
      <c r="Y226" s="32" t="s">
        <v>41</v>
      </c>
      <c r="Z226" s="33" t="s">
        <v>1008</v>
      </c>
      <c r="AA226" s="34"/>
    </row>
    <row r="227" spans="1:27" s="25" customFormat="1" ht="78.75" x14ac:dyDescent="0.25">
      <c r="A227" s="24">
        <v>223</v>
      </c>
      <c r="B227" s="24" t="s">
        <v>3437</v>
      </c>
      <c r="C227" s="25" t="s">
        <v>3436</v>
      </c>
      <c r="D227" s="26" t="s">
        <v>3629</v>
      </c>
      <c r="E227" s="25" t="s">
        <v>3628</v>
      </c>
      <c r="F227" s="25" t="s">
        <v>3627</v>
      </c>
      <c r="G227" s="24"/>
      <c r="H227" s="25" t="s">
        <v>3640</v>
      </c>
      <c r="I227" s="24"/>
      <c r="J227" s="25" t="s">
        <v>3656</v>
      </c>
      <c r="K227" s="29"/>
      <c r="L227" s="29" t="s">
        <v>3661</v>
      </c>
      <c r="M227" s="25" t="s">
        <v>190</v>
      </c>
      <c r="N227" s="30">
        <v>1</v>
      </c>
      <c r="O227" s="31">
        <v>0</v>
      </c>
      <c r="P227" s="31">
        <v>112</v>
      </c>
      <c r="Q227" s="31">
        <v>88</v>
      </c>
      <c r="R227" s="31">
        <v>0</v>
      </c>
      <c r="S227" s="31">
        <v>0</v>
      </c>
      <c r="T227" s="31">
        <v>14</v>
      </c>
      <c r="U227" s="31">
        <f t="shared" si="4"/>
        <v>214</v>
      </c>
      <c r="V227" s="31">
        <v>214</v>
      </c>
      <c r="W227" s="32" t="s">
        <v>800</v>
      </c>
      <c r="X227" s="32"/>
      <c r="Y227" s="32" t="s">
        <v>41</v>
      </c>
      <c r="Z227" s="33" t="s">
        <v>1008</v>
      </c>
      <c r="AA227" s="34"/>
    </row>
    <row r="228" spans="1:27" s="25" customFormat="1" ht="78.75" x14ac:dyDescent="0.25">
      <c r="A228" s="24">
        <v>224</v>
      </c>
      <c r="B228" s="24" t="s">
        <v>3437</v>
      </c>
      <c r="C228" s="25" t="s">
        <v>3436</v>
      </c>
      <c r="D228" s="26" t="s">
        <v>3629</v>
      </c>
      <c r="E228" s="25" t="s">
        <v>3628</v>
      </c>
      <c r="F228" s="25" t="s">
        <v>3627</v>
      </c>
      <c r="G228" s="24"/>
      <c r="H228" s="25" t="s">
        <v>3640</v>
      </c>
      <c r="I228" s="24"/>
      <c r="J228" s="25" t="s">
        <v>3656</v>
      </c>
      <c r="K228" s="29"/>
      <c r="L228" s="29" t="s">
        <v>3660</v>
      </c>
      <c r="M228" s="25" t="s">
        <v>1487</v>
      </c>
      <c r="N228" s="30">
        <v>2</v>
      </c>
      <c r="O228" s="31">
        <v>8</v>
      </c>
      <c r="P228" s="31">
        <v>16</v>
      </c>
      <c r="Q228" s="31">
        <v>40</v>
      </c>
      <c r="R228" s="31"/>
      <c r="S228" s="31"/>
      <c r="T228" s="31">
        <v>1</v>
      </c>
      <c r="U228" s="31">
        <f t="shared" si="4"/>
        <v>65</v>
      </c>
      <c r="V228" s="31">
        <v>130</v>
      </c>
      <c r="W228" s="32" t="s">
        <v>800</v>
      </c>
      <c r="X228" s="32"/>
      <c r="Y228" s="32" t="s">
        <v>41</v>
      </c>
      <c r="Z228" s="33" t="s">
        <v>1008</v>
      </c>
      <c r="AA228" s="34"/>
    </row>
    <row r="229" spans="1:27" s="25" customFormat="1" ht="78.75" x14ac:dyDescent="0.25">
      <c r="A229" s="24">
        <v>225</v>
      </c>
      <c r="B229" s="24" t="s">
        <v>3437</v>
      </c>
      <c r="C229" s="25" t="s">
        <v>3436</v>
      </c>
      <c r="D229" s="26" t="s">
        <v>3629</v>
      </c>
      <c r="E229" s="25" t="s">
        <v>3628</v>
      </c>
      <c r="F229" s="25" t="s">
        <v>3627</v>
      </c>
      <c r="G229" s="24"/>
      <c r="H229" s="25" t="s">
        <v>3640</v>
      </c>
      <c r="I229" s="24"/>
      <c r="J229" s="25" t="s">
        <v>3656</v>
      </c>
      <c r="K229" s="29"/>
      <c r="L229" s="29" t="s">
        <v>3659</v>
      </c>
      <c r="M229" s="25" t="s">
        <v>402</v>
      </c>
      <c r="N229" s="30">
        <v>313</v>
      </c>
      <c r="O229" s="31">
        <v>2</v>
      </c>
      <c r="P229" s="31">
        <v>4</v>
      </c>
      <c r="Q229" s="31">
        <v>2</v>
      </c>
      <c r="R229" s="31"/>
      <c r="S229" s="31"/>
      <c r="T229" s="31"/>
      <c r="U229" s="31">
        <f t="shared" si="4"/>
        <v>8</v>
      </c>
      <c r="V229" s="31">
        <v>2504</v>
      </c>
      <c r="W229" s="32" t="s">
        <v>800</v>
      </c>
      <c r="X229" s="32"/>
      <c r="Y229" s="32" t="s">
        <v>41</v>
      </c>
      <c r="Z229" s="33" t="s">
        <v>1008</v>
      </c>
      <c r="AA229" s="34"/>
    </row>
    <row r="230" spans="1:27" s="25" customFormat="1" ht="78.75" x14ac:dyDescent="0.25">
      <c r="A230" s="24">
        <v>226</v>
      </c>
      <c r="B230" s="24" t="s">
        <v>3437</v>
      </c>
      <c r="C230" s="25" t="s">
        <v>3436</v>
      </c>
      <c r="D230" s="26" t="s">
        <v>3629</v>
      </c>
      <c r="E230" s="25" t="s">
        <v>3628</v>
      </c>
      <c r="F230" s="25" t="s">
        <v>3627</v>
      </c>
      <c r="G230" s="24"/>
      <c r="H230" s="25" t="s">
        <v>3640</v>
      </c>
      <c r="I230" s="24"/>
      <c r="J230" s="25" t="s">
        <v>3656</v>
      </c>
      <c r="K230" s="29"/>
      <c r="L230" s="29" t="s">
        <v>3658</v>
      </c>
      <c r="M230" s="25" t="s">
        <v>402</v>
      </c>
      <c r="N230" s="30">
        <v>24</v>
      </c>
      <c r="O230" s="31">
        <v>8</v>
      </c>
      <c r="P230" s="31">
        <v>16</v>
      </c>
      <c r="Q230" s="31">
        <v>8</v>
      </c>
      <c r="R230" s="31"/>
      <c r="S230" s="31"/>
      <c r="T230" s="31"/>
      <c r="U230" s="31">
        <f t="shared" si="4"/>
        <v>32</v>
      </c>
      <c r="V230" s="31">
        <v>768</v>
      </c>
      <c r="W230" s="32" t="s">
        <v>800</v>
      </c>
      <c r="X230" s="32"/>
      <c r="Y230" s="32" t="s">
        <v>41</v>
      </c>
      <c r="Z230" s="33" t="s">
        <v>1008</v>
      </c>
      <c r="AA230" s="34"/>
    </row>
    <row r="231" spans="1:27" s="25" customFormat="1" ht="78.75" x14ac:dyDescent="0.25">
      <c r="A231" s="24">
        <v>227</v>
      </c>
      <c r="B231" s="24" t="s">
        <v>3437</v>
      </c>
      <c r="C231" s="25" t="s">
        <v>3436</v>
      </c>
      <c r="D231" s="26" t="s">
        <v>3629</v>
      </c>
      <c r="E231" s="25" t="s">
        <v>3628</v>
      </c>
      <c r="F231" s="25" t="s">
        <v>3627</v>
      </c>
      <c r="G231" s="24"/>
      <c r="H231" s="25" t="s">
        <v>3640</v>
      </c>
      <c r="I231" s="24"/>
      <c r="J231" s="25" t="s">
        <v>3656</v>
      </c>
      <c r="K231" s="29"/>
      <c r="L231" s="29" t="s">
        <v>3657</v>
      </c>
      <c r="M231" s="25" t="s">
        <v>402</v>
      </c>
      <c r="N231" s="30">
        <v>313</v>
      </c>
      <c r="O231" s="31">
        <v>2</v>
      </c>
      <c r="P231" s="31">
        <v>4</v>
      </c>
      <c r="Q231" s="31">
        <v>2</v>
      </c>
      <c r="R231" s="31"/>
      <c r="S231" s="31"/>
      <c r="T231" s="31"/>
      <c r="U231" s="31">
        <f t="shared" si="4"/>
        <v>8</v>
      </c>
      <c r="V231" s="31">
        <v>2504</v>
      </c>
      <c r="W231" s="32" t="s">
        <v>800</v>
      </c>
      <c r="X231" s="32"/>
      <c r="Y231" s="32" t="s">
        <v>41</v>
      </c>
      <c r="Z231" s="33" t="s">
        <v>1008</v>
      </c>
      <c r="AA231" s="34"/>
    </row>
    <row r="232" spans="1:27" s="25" customFormat="1" ht="78.75" x14ac:dyDescent="0.25">
      <c r="A232" s="24">
        <v>228</v>
      </c>
      <c r="B232" s="24" t="s">
        <v>3437</v>
      </c>
      <c r="C232" s="25" t="s">
        <v>3436</v>
      </c>
      <c r="D232" s="26" t="s">
        <v>3629</v>
      </c>
      <c r="E232" s="25" t="s">
        <v>3628</v>
      </c>
      <c r="F232" s="25" t="s">
        <v>3627</v>
      </c>
      <c r="G232" s="24"/>
      <c r="H232" s="25" t="s">
        <v>3640</v>
      </c>
      <c r="I232" s="24"/>
      <c r="J232" s="25" t="s">
        <v>3656</v>
      </c>
      <c r="K232" s="29"/>
      <c r="L232" s="29" t="s">
        <v>3655</v>
      </c>
      <c r="M232" s="25" t="s">
        <v>402</v>
      </c>
      <c r="N232" s="30">
        <v>12</v>
      </c>
      <c r="O232" s="31">
        <v>56</v>
      </c>
      <c r="P232" s="31">
        <v>96</v>
      </c>
      <c r="Q232" s="31">
        <v>42</v>
      </c>
      <c r="R232" s="31">
        <v>0</v>
      </c>
      <c r="S232" s="31">
        <v>0</v>
      </c>
      <c r="T232" s="31">
        <v>1</v>
      </c>
      <c r="U232" s="31">
        <f t="shared" si="4"/>
        <v>195</v>
      </c>
      <c r="V232" s="31">
        <v>2340</v>
      </c>
      <c r="W232" s="32" t="s">
        <v>800</v>
      </c>
      <c r="X232" s="32"/>
      <c r="Y232" s="32"/>
      <c r="Z232" s="33"/>
      <c r="AA232" s="34"/>
    </row>
    <row r="233" spans="1:27" s="25" customFormat="1" ht="52.5" customHeight="1" x14ac:dyDescent="0.25">
      <c r="A233" s="24">
        <v>229</v>
      </c>
      <c r="B233" s="24" t="s">
        <v>3437</v>
      </c>
      <c r="C233" s="25" t="s">
        <v>3436</v>
      </c>
      <c r="D233" s="26" t="s">
        <v>3629</v>
      </c>
      <c r="E233" s="25" t="s">
        <v>3628</v>
      </c>
      <c r="F233" s="25" t="s">
        <v>3627</v>
      </c>
      <c r="G233" s="24"/>
      <c r="H233" s="25" t="s">
        <v>3640</v>
      </c>
      <c r="I233" s="24"/>
      <c r="J233" s="25" t="s">
        <v>3654</v>
      </c>
      <c r="K233" s="29"/>
      <c r="L233" s="29"/>
      <c r="N233" s="30"/>
      <c r="O233" s="31"/>
      <c r="P233" s="31"/>
      <c r="Q233" s="31"/>
      <c r="R233" s="31"/>
      <c r="S233" s="31"/>
      <c r="T233" s="31"/>
      <c r="U233" s="31">
        <f t="shared" si="4"/>
        <v>0</v>
      </c>
      <c r="V233" s="31"/>
      <c r="W233" s="32"/>
      <c r="X233" s="32"/>
      <c r="Y233" s="32"/>
      <c r="Z233" s="33"/>
      <c r="AA233" s="34"/>
    </row>
    <row r="234" spans="1:27" s="25" customFormat="1" ht="64.5" customHeight="1" x14ac:dyDescent="0.25">
      <c r="A234" s="24">
        <v>230</v>
      </c>
      <c r="B234" s="24" t="s">
        <v>3437</v>
      </c>
      <c r="C234" s="25" t="s">
        <v>3436</v>
      </c>
      <c r="D234" s="26" t="s">
        <v>3629</v>
      </c>
      <c r="E234" s="25" t="s">
        <v>3628</v>
      </c>
      <c r="F234" s="25" t="s">
        <v>3627</v>
      </c>
      <c r="G234" s="24"/>
      <c r="H234" s="25" t="s">
        <v>3640</v>
      </c>
      <c r="I234" s="24"/>
      <c r="J234" s="25" t="s">
        <v>3642</v>
      </c>
      <c r="K234" s="29"/>
      <c r="L234" s="29" t="s">
        <v>3653</v>
      </c>
      <c r="M234" s="25" t="s">
        <v>190</v>
      </c>
      <c r="N234" s="30">
        <v>1</v>
      </c>
      <c r="O234" s="31"/>
      <c r="P234" s="31">
        <v>8</v>
      </c>
      <c r="Q234" s="31"/>
      <c r="R234" s="31"/>
      <c r="S234" s="31"/>
      <c r="T234" s="31">
        <v>1</v>
      </c>
      <c r="U234" s="31">
        <f t="shared" si="4"/>
        <v>9</v>
      </c>
      <c r="V234" s="31">
        <v>9</v>
      </c>
      <c r="W234" s="32" t="s">
        <v>800</v>
      </c>
      <c r="X234" s="32"/>
      <c r="Y234" s="32" t="s">
        <v>41</v>
      </c>
      <c r="Z234" s="33" t="s">
        <v>1008</v>
      </c>
      <c r="AA234" s="34"/>
    </row>
    <row r="235" spans="1:27" s="25" customFormat="1" ht="78.75" x14ac:dyDescent="0.25">
      <c r="A235" s="24">
        <v>231</v>
      </c>
      <c r="B235" s="24" t="s">
        <v>3437</v>
      </c>
      <c r="C235" s="25" t="s">
        <v>3436</v>
      </c>
      <c r="D235" s="26" t="s">
        <v>3629</v>
      </c>
      <c r="E235" s="25" t="s">
        <v>3628</v>
      </c>
      <c r="F235" s="25" t="s">
        <v>3627</v>
      </c>
      <c r="G235" s="24"/>
      <c r="H235" s="25" t="s">
        <v>3640</v>
      </c>
      <c r="I235" s="24"/>
      <c r="J235" s="25" t="s">
        <v>3642</v>
      </c>
      <c r="K235" s="29"/>
      <c r="L235" s="29" t="s">
        <v>3652</v>
      </c>
      <c r="M235" s="25" t="s">
        <v>190</v>
      </c>
      <c r="N235" s="30">
        <v>2</v>
      </c>
      <c r="O235" s="31"/>
      <c r="P235" s="31">
        <v>12</v>
      </c>
      <c r="Q235" s="31"/>
      <c r="R235" s="31"/>
      <c r="S235" s="31"/>
      <c r="T235" s="31">
        <v>1</v>
      </c>
      <c r="U235" s="31">
        <f t="shared" si="4"/>
        <v>13</v>
      </c>
      <c r="V235" s="31">
        <v>26</v>
      </c>
      <c r="W235" s="32" t="s">
        <v>800</v>
      </c>
      <c r="X235" s="32"/>
      <c r="Y235" s="32" t="s">
        <v>41</v>
      </c>
      <c r="Z235" s="33" t="s">
        <v>1008</v>
      </c>
      <c r="AA235" s="34"/>
    </row>
    <row r="236" spans="1:27" s="25" customFormat="1" ht="78.75" x14ac:dyDescent="0.25">
      <c r="A236" s="24">
        <v>232</v>
      </c>
      <c r="B236" s="24" t="s">
        <v>3437</v>
      </c>
      <c r="C236" s="25" t="s">
        <v>3436</v>
      </c>
      <c r="D236" s="26" t="s">
        <v>3629</v>
      </c>
      <c r="E236" s="25" t="s">
        <v>3628</v>
      </c>
      <c r="F236" s="25" t="s">
        <v>3627</v>
      </c>
      <c r="G236" s="24"/>
      <c r="H236" s="25" t="s">
        <v>3640</v>
      </c>
      <c r="I236" s="24"/>
      <c r="J236" s="25" t="s">
        <v>3642</v>
      </c>
      <c r="K236" s="29"/>
      <c r="L236" s="29" t="s">
        <v>3651</v>
      </c>
      <c r="M236" s="25" t="s">
        <v>190</v>
      </c>
      <c r="N236" s="30">
        <v>1</v>
      </c>
      <c r="O236" s="31"/>
      <c r="P236" s="31"/>
      <c r="Q236" s="31">
        <v>24</v>
      </c>
      <c r="R236" s="31"/>
      <c r="S236" s="31"/>
      <c r="T236" s="31">
        <v>1</v>
      </c>
      <c r="U236" s="31">
        <f t="shared" si="4"/>
        <v>25</v>
      </c>
      <c r="V236" s="31">
        <v>25</v>
      </c>
      <c r="W236" s="32" t="s">
        <v>800</v>
      </c>
      <c r="X236" s="32"/>
      <c r="Y236" s="32" t="s">
        <v>41</v>
      </c>
      <c r="Z236" s="33" t="s">
        <v>1008</v>
      </c>
      <c r="AA236" s="34"/>
    </row>
    <row r="237" spans="1:27" s="25" customFormat="1" ht="78.75" x14ac:dyDescent="0.25">
      <c r="A237" s="24">
        <v>233</v>
      </c>
      <c r="B237" s="24" t="s">
        <v>3437</v>
      </c>
      <c r="C237" s="25" t="s">
        <v>3436</v>
      </c>
      <c r="D237" s="26" t="s">
        <v>3629</v>
      </c>
      <c r="E237" s="25" t="s">
        <v>3628</v>
      </c>
      <c r="F237" s="25" t="s">
        <v>3627</v>
      </c>
      <c r="G237" s="24"/>
      <c r="H237" s="25" t="s">
        <v>3640</v>
      </c>
      <c r="I237" s="24"/>
      <c r="J237" s="25" t="s">
        <v>3642</v>
      </c>
      <c r="K237" s="29"/>
      <c r="L237" s="29" t="s">
        <v>3650</v>
      </c>
      <c r="M237" s="25" t="s">
        <v>190</v>
      </c>
      <c r="N237" s="30">
        <v>1</v>
      </c>
      <c r="O237" s="31"/>
      <c r="P237" s="31">
        <v>4</v>
      </c>
      <c r="Q237" s="31"/>
      <c r="R237" s="31"/>
      <c r="S237" s="31"/>
      <c r="T237" s="31"/>
      <c r="U237" s="31">
        <f t="shared" si="4"/>
        <v>4</v>
      </c>
      <c r="V237" s="31">
        <v>4</v>
      </c>
      <c r="W237" s="32" t="s">
        <v>800</v>
      </c>
      <c r="X237" s="32"/>
      <c r="Y237" s="32" t="s">
        <v>41</v>
      </c>
      <c r="Z237" s="33" t="s">
        <v>1008</v>
      </c>
      <c r="AA237" s="34"/>
    </row>
    <row r="238" spans="1:27" s="25" customFormat="1" ht="78.75" x14ac:dyDescent="0.25">
      <c r="A238" s="24">
        <v>234</v>
      </c>
      <c r="B238" s="24" t="s">
        <v>3437</v>
      </c>
      <c r="C238" s="25" t="s">
        <v>3436</v>
      </c>
      <c r="D238" s="26" t="s">
        <v>3629</v>
      </c>
      <c r="E238" s="25" t="s">
        <v>3628</v>
      </c>
      <c r="F238" s="25" t="s">
        <v>3627</v>
      </c>
      <c r="G238" s="24"/>
      <c r="H238" s="25" t="s">
        <v>3640</v>
      </c>
      <c r="I238" s="24"/>
      <c r="J238" s="25" t="s">
        <v>3642</v>
      </c>
      <c r="K238" s="29"/>
      <c r="L238" s="29" t="s">
        <v>3649</v>
      </c>
      <c r="M238" s="25" t="s">
        <v>190</v>
      </c>
      <c r="N238" s="30">
        <v>1</v>
      </c>
      <c r="O238" s="31">
        <v>8</v>
      </c>
      <c r="P238" s="31"/>
      <c r="Q238" s="31"/>
      <c r="R238" s="31"/>
      <c r="S238" s="31"/>
      <c r="T238" s="31">
        <v>1</v>
      </c>
      <c r="U238" s="31">
        <f t="shared" si="4"/>
        <v>9</v>
      </c>
      <c r="V238" s="31">
        <v>9</v>
      </c>
      <c r="W238" s="32" t="s">
        <v>800</v>
      </c>
      <c r="X238" s="32"/>
      <c r="Y238" s="32" t="s">
        <v>41</v>
      </c>
      <c r="Z238" s="33" t="s">
        <v>1008</v>
      </c>
      <c r="AA238" s="34"/>
    </row>
    <row r="239" spans="1:27" s="25" customFormat="1" ht="78.75" x14ac:dyDescent="0.25">
      <c r="A239" s="24">
        <v>235</v>
      </c>
      <c r="B239" s="24" t="s">
        <v>3437</v>
      </c>
      <c r="C239" s="25" t="s">
        <v>3436</v>
      </c>
      <c r="D239" s="26" t="s">
        <v>3629</v>
      </c>
      <c r="E239" s="25" t="s">
        <v>3628</v>
      </c>
      <c r="F239" s="25" t="s">
        <v>3627</v>
      </c>
      <c r="G239" s="24"/>
      <c r="H239" s="25" t="s">
        <v>3640</v>
      </c>
      <c r="I239" s="24"/>
      <c r="J239" s="25" t="s">
        <v>3642</v>
      </c>
      <c r="K239" s="29"/>
      <c r="L239" s="29" t="s">
        <v>3648</v>
      </c>
      <c r="M239" s="25" t="s">
        <v>190</v>
      </c>
      <c r="N239" s="30">
        <v>10</v>
      </c>
      <c r="O239" s="31">
        <v>8</v>
      </c>
      <c r="P239" s="31"/>
      <c r="Q239" s="31">
        <v>2</v>
      </c>
      <c r="R239" s="31"/>
      <c r="S239" s="31"/>
      <c r="T239" s="31">
        <v>1</v>
      </c>
      <c r="U239" s="31">
        <f t="shared" si="4"/>
        <v>11</v>
      </c>
      <c r="V239" s="31">
        <v>110</v>
      </c>
      <c r="W239" s="32" t="s">
        <v>800</v>
      </c>
      <c r="X239" s="32"/>
      <c r="Y239" s="32" t="s">
        <v>41</v>
      </c>
      <c r="Z239" s="33" t="s">
        <v>1008</v>
      </c>
      <c r="AA239" s="34"/>
    </row>
    <row r="240" spans="1:27" s="25" customFormat="1" ht="78.75" x14ac:dyDescent="0.25">
      <c r="A240" s="24">
        <v>236</v>
      </c>
      <c r="B240" s="24" t="s">
        <v>3437</v>
      </c>
      <c r="C240" s="25" t="s">
        <v>3436</v>
      </c>
      <c r="D240" s="26" t="s">
        <v>3629</v>
      </c>
      <c r="E240" s="25" t="s">
        <v>3628</v>
      </c>
      <c r="F240" s="25" t="s">
        <v>3627</v>
      </c>
      <c r="G240" s="24"/>
      <c r="H240" s="25" t="s">
        <v>3640</v>
      </c>
      <c r="I240" s="24"/>
      <c r="J240" s="25" t="s">
        <v>3642</v>
      </c>
      <c r="K240" s="29"/>
      <c r="L240" s="29" t="s">
        <v>3647</v>
      </c>
      <c r="M240" s="25" t="s">
        <v>190</v>
      </c>
      <c r="N240" s="30">
        <v>6</v>
      </c>
      <c r="O240" s="31"/>
      <c r="P240" s="31">
        <v>16</v>
      </c>
      <c r="Q240" s="31">
        <v>2</v>
      </c>
      <c r="R240" s="31"/>
      <c r="S240" s="31"/>
      <c r="T240" s="31">
        <v>1</v>
      </c>
      <c r="U240" s="31">
        <f t="shared" si="4"/>
        <v>19</v>
      </c>
      <c r="V240" s="31">
        <v>114</v>
      </c>
      <c r="W240" s="32" t="s">
        <v>800</v>
      </c>
      <c r="X240" s="32"/>
      <c r="Y240" s="32" t="s">
        <v>41</v>
      </c>
      <c r="Z240" s="33" t="s">
        <v>1008</v>
      </c>
      <c r="AA240" s="34"/>
    </row>
    <row r="241" spans="1:27" s="25" customFormat="1" ht="78.75" x14ac:dyDescent="0.25">
      <c r="A241" s="24">
        <v>237</v>
      </c>
      <c r="B241" s="24" t="s">
        <v>3437</v>
      </c>
      <c r="C241" s="25" t="s">
        <v>3436</v>
      </c>
      <c r="D241" s="26" t="s">
        <v>3629</v>
      </c>
      <c r="E241" s="25" t="s">
        <v>3628</v>
      </c>
      <c r="F241" s="25" t="s">
        <v>3627</v>
      </c>
      <c r="G241" s="24"/>
      <c r="H241" s="25" t="s">
        <v>3640</v>
      </c>
      <c r="I241" s="24"/>
      <c r="J241" s="25" t="s">
        <v>3642</v>
      </c>
      <c r="K241" s="29"/>
      <c r="L241" s="29" t="s">
        <v>3646</v>
      </c>
      <c r="M241" s="25" t="s">
        <v>190</v>
      </c>
      <c r="N241" s="30">
        <v>8</v>
      </c>
      <c r="O241" s="31"/>
      <c r="P241" s="31">
        <v>24</v>
      </c>
      <c r="Q241" s="31">
        <v>2</v>
      </c>
      <c r="R241" s="31"/>
      <c r="S241" s="31"/>
      <c r="T241" s="31">
        <v>1</v>
      </c>
      <c r="U241" s="31">
        <f t="shared" si="4"/>
        <v>27</v>
      </c>
      <c r="V241" s="31">
        <v>216</v>
      </c>
      <c r="W241" s="32" t="s">
        <v>800</v>
      </c>
      <c r="X241" s="32"/>
      <c r="Y241" s="32" t="s">
        <v>41</v>
      </c>
      <c r="Z241" s="33" t="s">
        <v>1008</v>
      </c>
      <c r="AA241" s="34"/>
    </row>
    <row r="242" spans="1:27" s="25" customFormat="1" ht="78.75" x14ac:dyDescent="0.25">
      <c r="A242" s="24">
        <v>238</v>
      </c>
      <c r="B242" s="24" t="s">
        <v>3437</v>
      </c>
      <c r="C242" s="25" t="s">
        <v>3436</v>
      </c>
      <c r="D242" s="26" t="s">
        <v>3629</v>
      </c>
      <c r="E242" s="25" t="s">
        <v>3628</v>
      </c>
      <c r="F242" s="25" t="s">
        <v>3627</v>
      </c>
      <c r="G242" s="24"/>
      <c r="H242" s="25" t="s">
        <v>3640</v>
      </c>
      <c r="I242" s="24"/>
      <c r="J242" s="25" t="s">
        <v>3642</v>
      </c>
      <c r="K242" s="29"/>
      <c r="L242" s="29" t="s">
        <v>3645</v>
      </c>
      <c r="M242" s="25" t="s">
        <v>190</v>
      </c>
      <c r="N242" s="30">
        <v>6</v>
      </c>
      <c r="O242" s="31">
        <v>32</v>
      </c>
      <c r="P242" s="31">
        <v>32</v>
      </c>
      <c r="Q242" s="31">
        <v>16</v>
      </c>
      <c r="R242" s="31"/>
      <c r="S242" s="31"/>
      <c r="T242" s="31">
        <v>2</v>
      </c>
      <c r="U242" s="31">
        <f t="shared" si="4"/>
        <v>82</v>
      </c>
      <c r="V242" s="31">
        <v>492</v>
      </c>
      <c r="W242" s="32" t="s">
        <v>800</v>
      </c>
      <c r="X242" s="32"/>
      <c r="Y242" s="32" t="s">
        <v>41</v>
      </c>
      <c r="Z242" s="33" t="s">
        <v>1008</v>
      </c>
      <c r="AA242" s="34"/>
    </row>
    <row r="243" spans="1:27" s="25" customFormat="1" ht="78.75" x14ac:dyDescent="0.25">
      <c r="A243" s="24">
        <v>239</v>
      </c>
      <c r="B243" s="24" t="s">
        <v>3437</v>
      </c>
      <c r="C243" s="25" t="s">
        <v>3436</v>
      </c>
      <c r="D243" s="26" t="s">
        <v>3629</v>
      </c>
      <c r="E243" s="25" t="s">
        <v>3628</v>
      </c>
      <c r="F243" s="25" t="s">
        <v>3627</v>
      </c>
      <c r="G243" s="24"/>
      <c r="H243" s="25" t="s">
        <v>3640</v>
      </c>
      <c r="I243" s="24"/>
      <c r="J243" s="25" t="s">
        <v>3642</v>
      </c>
      <c r="K243" s="29"/>
      <c r="L243" s="29" t="s">
        <v>3644</v>
      </c>
      <c r="M243" s="25" t="s">
        <v>190</v>
      </c>
      <c r="N243" s="30">
        <v>2</v>
      </c>
      <c r="O243" s="31">
        <v>8</v>
      </c>
      <c r="P243" s="31"/>
      <c r="Q243" s="31">
        <v>2</v>
      </c>
      <c r="R243" s="31"/>
      <c r="S243" s="31"/>
      <c r="T243" s="31">
        <v>1</v>
      </c>
      <c r="U243" s="31">
        <f t="shared" si="4"/>
        <v>11</v>
      </c>
      <c r="V243" s="31">
        <v>22</v>
      </c>
      <c r="W243" s="32" t="s">
        <v>800</v>
      </c>
      <c r="X243" s="32"/>
      <c r="Y243" s="32" t="s">
        <v>41</v>
      </c>
      <c r="Z243" s="33" t="s">
        <v>1008</v>
      </c>
      <c r="AA243" s="34"/>
    </row>
    <row r="244" spans="1:27" s="25" customFormat="1" ht="35.25" customHeight="1" x14ac:dyDescent="0.25">
      <c r="A244" s="24">
        <v>240</v>
      </c>
      <c r="B244" s="24" t="s">
        <v>3437</v>
      </c>
      <c r="C244" s="25" t="s">
        <v>3436</v>
      </c>
      <c r="D244" s="26" t="s">
        <v>3629</v>
      </c>
      <c r="E244" s="25" t="s">
        <v>3628</v>
      </c>
      <c r="F244" s="25" t="s">
        <v>3627</v>
      </c>
      <c r="G244" s="24"/>
      <c r="H244" s="25" t="s">
        <v>3640</v>
      </c>
      <c r="I244" s="24"/>
      <c r="J244" s="25" t="s">
        <v>3642</v>
      </c>
      <c r="K244" s="29"/>
      <c r="L244" s="29" t="s">
        <v>3643</v>
      </c>
      <c r="M244" s="25" t="s">
        <v>190</v>
      </c>
      <c r="N244" s="30">
        <v>1</v>
      </c>
      <c r="O244" s="31">
        <v>16</v>
      </c>
      <c r="P244" s="31"/>
      <c r="Q244" s="31">
        <v>2</v>
      </c>
      <c r="R244" s="31"/>
      <c r="S244" s="31"/>
      <c r="T244" s="31">
        <v>1</v>
      </c>
      <c r="U244" s="31">
        <f t="shared" si="4"/>
        <v>19</v>
      </c>
      <c r="V244" s="31">
        <v>19</v>
      </c>
      <c r="W244" s="32" t="s">
        <v>800</v>
      </c>
      <c r="X244" s="32"/>
      <c r="Y244" s="32" t="s">
        <v>41</v>
      </c>
      <c r="Z244" s="33" t="s">
        <v>1008</v>
      </c>
      <c r="AA244" s="34"/>
    </row>
    <row r="245" spans="1:27" s="25" customFormat="1" ht="32.25" customHeight="1" x14ac:dyDescent="0.25">
      <c r="A245" s="24">
        <v>241</v>
      </c>
      <c r="B245" s="24" t="s">
        <v>3437</v>
      </c>
      <c r="C245" s="25" t="s">
        <v>3436</v>
      </c>
      <c r="D245" s="26" t="s">
        <v>3629</v>
      </c>
      <c r="E245" s="25" t="s">
        <v>3628</v>
      </c>
      <c r="F245" s="25" t="s">
        <v>3627</v>
      </c>
      <c r="G245" s="24"/>
      <c r="H245" s="25" t="s">
        <v>3640</v>
      </c>
      <c r="I245" s="24"/>
      <c r="J245" s="25" t="s">
        <v>3642</v>
      </c>
      <c r="K245" s="29"/>
      <c r="L245" s="29" t="s">
        <v>3641</v>
      </c>
      <c r="M245" s="25" t="s">
        <v>190</v>
      </c>
      <c r="N245" s="30">
        <v>3</v>
      </c>
      <c r="O245" s="31">
        <v>8</v>
      </c>
      <c r="P245" s="31"/>
      <c r="Q245" s="31">
        <v>1</v>
      </c>
      <c r="R245" s="31"/>
      <c r="S245" s="31"/>
      <c r="T245" s="31">
        <v>1</v>
      </c>
      <c r="U245" s="31">
        <f t="shared" si="4"/>
        <v>10</v>
      </c>
      <c r="V245" s="31">
        <v>30</v>
      </c>
      <c r="W245" s="32" t="s">
        <v>800</v>
      </c>
      <c r="X245" s="32"/>
      <c r="Y245" s="32" t="s">
        <v>41</v>
      </c>
      <c r="Z245" s="33" t="s">
        <v>1008</v>
      </c>
      <c r="AA245" s="34"/>
    </row>
    <row r="246" spans="1:27" s="25" customFormat="1" ht="48" customHeight="1" x14ac:dyDescent="0.25">
      <c r="A246" s="24">
        <v>242</v>
      </c>
      <c r="B246" s="24" t="s">
        <v>3437</v>
      </c>
      <c r="C246" s="25" t="s">
        <v>3436</v>
      </c>
      <c r="D246" s="26" t="s">
        <v>3629</v>
      </c>
      <c r="E246" s="25" t="s">
        <v>3628</v>
      </c>
      <c r="F246" s="25" t="s">
        <v>3627</v>
      </c>
      <c r="G246" s="24"/>
      <c r="H246" s="25" t="s">
        <v>3640</v>
      </c>
      <c r="I246" s="24"/>
      <c r="J246" s="25" t="s">
        <v>3639</v>
      </c>
      <c r="K246" s="29"/>
      <c r="L246" s="29" t="s">
        <v>3638</v>
      </c>
      <c r="M246" s="25" t="s">
        <v>3637</v>
      </c>
      <c r="N246" s="30">
        <v>12</v>
      </c>
      <c r="O246" s="31">
        <v>8</v>
      </c>
      <c r="P246" s="31">
        <v>8</v>
      </c>
      <c r="Q246" s="31">
        <v>4</v>
      </c>
      <c r="R246" s="31"/>
      <c r="S246" s="31"/>
      <c r="T246" s="31">
        <v>1</v>
      </c>
      <c r="U246" s="31">
        <f t="shared" si="4"/>
        <v>21</v>
      </c>
      <c r="V246" s="31">
        <v>252</v>
      </c>
      <c r="W246" s="32" t="s">
        <v>800</v>
      </c>
      <c r="X246" s="32"/>
      <c r="Y246" s="32"/>
      <c r="Z246" s="33"/>
      <c r="AA246" s="34"/>
    </row>
    <row r="247" spans="1:27" s="25" customFormat="1" ht="78.75" x14ac:dyDescent="0.25">
      <c r="A247" s="24">
        <v>243</v>
      </c>
      <c r="B247" s="24" t="s">
        <v>3437</v>
      </c>
      <c r="C247" s="25" t="s">
        <v>3436</v>
      </c>
      <c r="D247" s="26" t="s">
        <v>3629</v>
      </c>
      <c r="E247" s="25" t="s">
        <v>3628</v>
      </c>
      <c r="F247" s="25" t="s">
        <v>3627</v>
      </c>
      <c r="G247" s="24"/>
      <c r="H247" s="25" t="s">
        <v>3633</v>
      </c>
      <c r="I247" s="24"/>
      <c r="J247" s="25" t="s">
        <v>3633</v>
      </c>
      <c r="K247" s="29"/>
      <c r="L247" s="29" t="s">
        <v>3636</v>
      </c>
      <c r="N247" s="30">
        <v>100</v>
      </c>
      <c r="O247" s="31"/>
      <c r="P247" s="31"/>
      <c r="Q247" s="31"/>
      <c r="R247" s="31"/>
      <c r="S247" s="31"/>
      <c r="T247" s="31">
        <v>2</v>
      </c>
      <c r="U247" s="31">
        <f t="shared" si="4"/>
        <v>2</v>
      </c>
      <c r="V247" s="31">
        <v>200</v>
      </c>
      <c r="W247" s="32" t="s">
        <v>22</v>
      </c>
      <c r="X247" s="32"/>
      <c r="Y247" s="32"/>
      <c r="Z247" s="33" t="s">
        <v>1008</v>
      </c>
      <c r="AA247" s="34"/>
    </row>
    <row r="248" spans="1:27" s="25" customFormat="1" ht="72" customHeight="1" x14ac:dyDescent="0.25">
      <c r="A248" s="24">
        <v>244</v>
      </c>
      <c r="B248" s="24" t="s">
        <v>3437</v>
      </c>
      <c r="C248" s="25" t="s">
        <v>3436</v>
      </c>
      <c r="D248" s="26" t="s">
        <v>3629</v>
      </c>
      <c r="E248" s="25" t="s">
        <v>3628</v>
      </c>
      <c r="F248" s="25" t="s">
        <v>3627</v>
      </c>
      <c r="G248" s="24"/>
      <c r="H248" s="25" t="s">
        <v>3633</v>
      </c>
      <c r="I248" s="24"/>
      <c r="J248" s="25" t="s">
        <v>3633</v>
      </c>
      <c r="K248" s="29"/>
      <c r="L248" s="29" t="s">
        <v>3635</v>
      </c>
      <c r="M248" s="25" t="s">
        <v>190</v>
      </c>
      <c r="N248" s="30">
        <v>54</v>
      </c>
      <c r="O248" s="31">
        <v>24</v>
      </c>
      <c r="P248" s="31">
        <v>10</v>
      </c>
      <c r="Q248" s="31">
        <v>4</v>
      </c>
      <c r="R248" s="31"/>
      <c r="S248" s="31"/>
      <c r="T248" s="31">
        <v>1</v>
      </c>
      <c r="U248" s="31">
        <f t="shared" si="4"/>
        <v>39</v>
      </c>
      <c r="V248" s="31">
        <v>2106</v>
      </c>
      <c r="W248" s="32" t="s">
        <v>22</v>
      </c>
      <c r="X248" s="32"/>
      <c r="Y248" s="32"/>
      <c r="Z248" s="33"/>
      <c r="AA248" s="34"/>
    </row>
    <row r="249" spans="1:27" s="25" customFormat="1" ht="68.25" customHeight="1" x14ac:dyDescent="0.25">
      <c r="A249" s="24">
        <v>245</v>
      </c>
      <c r="B249" s="24" t="s">
        <v>3437</v>
      </c>
      <c r="C249" s="25" t="s">
        <v>3436</v>
      </c>
      <c r="D249" s="26" t="s">
        <v>3629</v>
      </c>
      <c r="E249" s="25" t="s">
        <v>3628</v>
      </c>
      <c r="F249" s="25" t="s">
        <v>3627</v>
      </c>
      <c r="G249" s="24"/>
      <c r="H249" s="25" t="s">
        <v>3633</v>
      </c>
      <c r="I249" s="24"/>
      <c r="J249" s="25" t="s">
        <v>3633</v>
      </c>
      <c r="K249" s="29"/>
      <c r="L249" s="29" t="s">
        <v>3634</v>
      </c>
      <c r="M249" s="25" t="s">
        <v>190</v>
      </c>
      <c r="N249" s="30">
        <v>360</v>
      </c>
      <c r="O249" s="31"/>
      <c r="P249" s="31">
        <v>3</v>
      </c>
      <c r="Q249" s="31">
        <v>1</v>
      </c>
      <c r="R249" s="31"/>
      <c r="S249" s="31"/>
      <c r="T249" s="31">
        <v>1</v>
      </c>
      <c r="U249" s="31">
        <f t="shared" si="4"/>
        <v>5</v>
      </c>
      <c r="V249" s="31">
        <v>1800</v>
      </c>
      <c r="W249" s="32" t="s">
        <v>22</v>
      </c>
      <c r="X249" s="32"/>
      <c r="Y249" s="32"/>
      <c r="Z249" s="33"/>
      <c r="AA249" s="34"/>
    </row>
    <row r="250" spans="1:27" s="25" customFormat="1" ht="31.5" customHeight="1" x14ac:dyDescent="0.25">
      <c r="A250" s="24">
        <v>246</v>
      </c>
      <c r="B250" s="24" t="s">
        <v>3437</v>
      </c>
      <c r="C250" s="25" t="s">
        <v>3436</v>
      </c>
      <c r="D250" s="26" t="s">
        <v>3629</v>
      </c>
      <c r="E250" s="25" t="s">
        <v>3628</v>
      </c>
      <c r="F250" s="25" t="s">
        <v>3627</v>
      </c>
      <c r="G250" s="24"/>
      <c r="H250" s="25" t="s">
        <v>3633</v>
      </c>
      <c r="I250" s="24"/>
      <c r="J250" s="25" t="s">
        <v>3633</v>
      </c>
      <c r="K250" s="29"/>
      <c r="L250" s="29" t="s">
        <v>3632</v>
      </c>
      <c r="M250" s="25" t="s">
        <v>190</v>
      </c>
      <c r="N250" s="30">
        <v>4</v>
      </c>
      <c r="O250" s="31">
        <v>8</v>
      </c>
      <c r="P250" s="31"/>
      <c r="Q250" s="31">
        <v>4</v>
      </c>
      <c r="R250" s="31"/>
      <c r="S250" s="31"/>
      <c r="T250" s="31">
        <v>1</v>
      </c>
      <c r="U250" s="31">
        <f t="shared" si="4"/>
        <v>13</v>
      </c>
      <c r="V250" s="31">
        <v>52</v>
      </c>
      <c r="W250" s="32" t="s">
        <v>22</v>
      </c>
      <c r="X250" s="32"/>
      <c r="Y250" s="32"/>
      <c r="Z250" s="33"/>
      <c r="AA250" s="34"/>
    </row>
    <row r="251" spans="1:27" s="67" customFormat="1" ht="31.5" customHeight="1" x14ac:dyDescent="0.25">
      <c r="A251" s="24">
        <v>247</v>
      </c>
      <c r="B251" s="66" t="s">
        <v>3437</v>
      </c>
      <c r="C251" s="67" t="s">
        <v>3436</v>
      </c>
      <c r="D251" s="68" t="s">
        <v>3629</v>
      </c>
      <c r="E251" s="67" t="s">
        <v>3628</v>
      </c>
      <c r="F251" s="67" t="s">
        <v>3627</v>
      </c>
      <c r="G251" s="66"/>
      <c r="H251" s="67" t="s">
        <v>3626</v>
      </c>
      <c r="I251" s="66"/>
      <c r="J251" s="67" t="s">
        <v>3631</v>
      </c>
      <c r="K251" s="69"/>
      <c r="L251" s="29" t="s">
        <v>3561</v>
      </c>
      <c r="M251" s="25"/>
      <c r="N251" s="30">
        <v>240</v>
      </c>
      <c r="O251" s="31">
        <v>3</v>
      </c>
      <c r="P251" s="31">
        <v>1</v>
      </c>
      <c r="Q251" s="31">
        <v>1</v>
      </c>
      <c r="R251" s="31">
        <v>0</v>
      </c>
      <c r="S251" s="31"/>
      <c r="T251" s="31">
        <v>0</v>
      </c>
      <c r="U251" s="31">
        <f t="shared" si="4"/>
        <v>5</v>
      </c>
      <c r="V251" s="31">
        <v>1200</v>
      </c>
      <c r="W251" s="32" t="s">
        <v>22</v>
      </c>
      <c r="X251" s="32"/>
      <c r="Y251" s="32"/>
      <c r="Z251" s="33" t="s">
        <v>1008</v>
      </c>
      <c r="AA251" s="34"/>
    </row>
    <row r="252" spans="1:27" s="67" customFormat="1" ht="31.5" customHeight="1" x14ac:dyDescent="0.25">
      <c r="A252" s="24">
        <v>248</v>
      </c>
      <c r="B252" s="66" t="s">
        <v>3437</v>
      </c>
      <c r="C252" s="67" t="s">
        <v>3436</v>
      </c>
      <c r="D252" s="68" t="s">
        <v>3629</v>
      </c>
      <c r="E252" s="67" t="s">
        <v>3628</v>
      </c>
      <c r="F252" s="67" t="s">
        <v>3627</v>
      </c>
      <c r="G252" s="66"/>
      <c r="H252" s="67" t="s">
        <v>3626</v>
      </c>
      <c r="I252" s="66"/>
      <c r="J252" s="67" t="s">
        <v>3630</v>
      </c>
      <c r="K252" s="69"/>
      <c r="L252" s="29" t="s">
        <v>3560</v>
      </c>
      <c r="M252" s="25" t="s">
        <v>3555</v>
      </c>
      <c r="N252" s="30">
        <v>42</v>
      </c>
      <c r="O252" s="31">
        <v>14</v>
      </c>
      <c r="P252" s="31">
        <v>0</v>
      </c>
      <c r="Q252" s="31">
        <v>6</v>
      </c>
      <c r="R252" s="31">
        <v>0</v>
      </c>
      <c r="S252" s="31"/>
      <c r="T252" s="31">
        <v>4</v>
      </c>
      <c r="U252" s="31">
        <f t="shared" si="4"/>
        <v>24</v>
      </c>
      <c r="V252" s="31">
        <v>1134</v>
      </c>
      <c r="W252" s="32" t="s">
        <v>800</v>
      </c>
      <c r="X252" s="32"/>
      <c r="Y252" s="32" t="s">
        <v>41</v>
      </c>
      <c r="Z252" s="33" t="s">
        <v>3553</v>
      </c>
      <c r="AA252" s="34"/>
    </row>
    <row r="253" spans="1:27" s="67" customFormat="1" ht="31.5" customHeight="1" x14ac:dyDescent="0.25">
      <c r="A253" s="24">
        <v>249</v>
      </c>
      <c r="B253" s="66" t="s">
        <v>3437</v>
      </c>
      <c r="C253" s="67" t="s">
        <v>3436</v>
      </c>
      <c r="D253" s="68" t="s">
        <v>3629</v>
      </c>
      <c r="E253" s="67" t="s">
        <v>3628</v>
      </c>
      <c r="F253" s="67" t="s">
        <v>3627</v>
      </c>
      <c r="G253" s="66"/>
      <c r="H253" s="67" t="s">
        <v>3626</v>
      </c>
      <c r="I253" s="66"/>
      <c r="J253" s="67" t="s">
        <v>3630</v>
      </c>
      <c r="K253" s="69"/>
      <c r="L253" s="29" t="s">
        <v>3559</v>
      </c>
      <c r="M253" s="25" t="s">
        <v>3555</v>
      </c>
      <c r="N253" s="30">
        <v>65</v>
      </c>
      <c r="O253" s="31">
        <v>0</v>
      </c>
      <c r="P253" s="31">
        <v>14</v>
      </c>
      <c r="Q253" s="31">
        <v>6</v>
      </c>
      <c r="R253" s="31">
        <v>0</v>
      </c>
      <c r="S253" s="31"/>
      <c r="T253" s="31">
        <v>4</v>
      </c>
      <c r="U253" s="31">
        <f t="shared" si="4"/>
        <v>24</v>
      </c>
      <c r="V253" s="31">
        <v>1625</v>
      </c>
      <c r="W253" s="32" t="s">
        <v>800</v>
      </c>
      <c r="X253" s="32"/>
      <c r="Y253" s="32" t="s">
        <v>41</v>
      </c>
      <c r="Z253" s="33" t="s">
        <v>3553</v>
      </c>
      <c r="AA253" s="34"/>
    </row>
    <row r="254" spans="1:27" s="67" customFormat="1" ht="31.5" customHeight="1" x14ac:dyDescent="0.25">
      <c r="A254" s="24">
        <v>250</v>
      </c>
      <c r="B254" s="66" t="s">
        <v>3437</v>
      </c>
      <c r="C254" s="67" t="s">
        <v>3436</v>
      </c>
      <c r="D254" s="68" t="s">
        <v>3629</v>
      </c>
      <c r="E254" s="67" t="s">
        <v>3628</v>
      </c>
      <c r="F254" s="67" t="s">
        <v>3627</v>
      </c>
      <c r="G254" s="66"/>
      <c r="H254" s="67" t="s">
        <v>3626</v>
      </c>
      <c r="I254" s="66"/>
      <c r="J254" s="67" t="s">
        <v>3630</v>
      </c>
      <c r="K254" s="69"/>
      <c r="L254" s="29" t="s">
        <v>3558</v>
      </c>
      <c r="M254" s="25" t="s">
        <v>3555</v>
      </c>
      <c r="N254" s="30">
        <v>82</v>
      </c>
      <c r="O254" s="31">
        <v>0</v>
      </c>
      <c r="P254" s="31">
        <v>0</v>
      </c>
      <c r="Q254" s="31">
        <v>18</v>
      </c>
      <c r="R254" s="31">
        <v>0</v>
      </c>
      <c r="S254" s="31"/>
      <c r="T254" s="31">
        <v>4</v>
      </c>
      <c r="U254" s="31">
        <f t="shared" si="4"/>
        <v>22</v>
      </c>
      <c r="V254" s="31">
        <v>2132</v>
      </c>
      <c r="W254" s="32" t="s">
        <v>800</v>
      </c>
      <c r="X254" s="32"/>
      <c r="Y254" s="32" t="s">
        <v>41</v>
      </c>
      <c r="Z254" s="33" t="s">
        <v>3553</v>
      </c>
      <c r="AA254" s="34"/>
    </row>
    <row r="255" spans="1:27" s="67" customFormat="1" ht="31.5" customHeight="1" x14ac:dyDescent="0.25">
      <c r="A255" s="24">
        <v>251</v>
      </c>
      <c r="B255" s="66" t="s">
        <v>3437</v>
      </c>
      <c r="C255" s="67" t="s">
        <v>3436</v>
      </c>
      <c r="D255" s="68" t="s">
        <v>3629</v>
      </c>
      <c r="E255" s="67" t="s">
        <v>3628</v>
      </c>
      <c r="F255" s="67" t="s">
        <v>3627</v>
      </c>
      <c r="G255" s="66"/>
      <c r="H255" s="67" t="s">
        <v>3626</v>
      </c>
      <c r="I255" s="66"/>
      <c r="J255" s="67" t="s">
        <v>3630</v>
      </c>
      <c r="K255" s="69"/>
      <c r="L255" s="29" t="s">
        <v>3557</v>
      </c>
      <c r="M255" s="25" t="s">
        <v>3555</v>
      </c>
      <c r="N255" s="30">
        <v>12</v>
      </c>
      <c r="O255" s="31">
        <v>18</v>
      </c>
      <c r="P255" s="31">
        <v>22</v>
      </c>
      <c r="Q255" s="31">
        <v>8</v>
      </c>
      <c r="R255" s="31">
        <v>0</v>
      </c>
      <c r="S255" s="31"/>
      <c r="T255" s="31">
        <v>8</v>
      </c>
      <c r="U255" s="31">
        <f t="shared" si="4"/>
        <v>56</v>
      </c>
      <c r="V255" s="31">
        <v>672</v>
      </c>
      <c r="W255" s="32" t="s">
        <v>22</v>
      </c>
      <c r="X255" s="32"/>
      <c r="Y255" s="32"/>
      <c r="Z255" s="33" t="s">
        <v>1008</v>
      </c>
      <c r="AA255" s="34"/>
    </row>
    <row r="256" spans="1:27" s="67" customFormat="1" ht="31.5" customHeight="1" x14ac:dyDescent="0.25">
      <c r="A256" s="24">
        <v>252</v>
      </c>
      <c r="B256" s="66" t="s">
        <v>3437</v>
      </c>
      <c r="C256" s="67" t="s">
        <v>3436</v>
      </c>
      <c r="D256" s="68" t="s">
        <v>3629</v>
      </c>
      <c r="E256" s="67" t="s">
        <v>3628</v>
      </c>
      <c r="F256" s="67" t="s">
        <v>3627</v>
      </c>
      <c r="G256" s="66"/>
      <c r="H256" s="67" t="s">
        <v>3626</v>
      </c>
      <c r="I256" s="66"/>
      <c r="J256" s="67" t="s">
        <v>3630</v>
      </c>
      <c r="K256" s="69"/>
      <c r="L256" s="29" t="s">
        <v>3556</v>
      </c>
      <c r="M256" s="25" t="s">
        <v>3555</v>
      </c>
      <c r="N256" s="30">
        <v>36</v>
      </c>
      <c r="O256" s="31">
        <v>14</v>
      </c>
      <c r="P256" s="31">
        <v>14</v>
      </c>
      <c r="Q256" s="31">
        <v>4</v>
      </c>
      <c r="R256" s="31"/>
      <c r="S256" s="31"/>
      <c r="T256" s="31">
        <v>1</v>
      </c>
      <c r="U256" s="31">
        <f t="shared" si="4"/>
        <v>33</v>
      </c>
      <c r="V256" s="31">
        <v>1188</v>
      </c>
      <c r="W256" s="32" t="s">
        <v>800</v>
      </c>
      <c r="X256" s="32"/>
      <c r="Y256" s="32" t="s">
        <v>41</v>
      </c>
      <c r="Z256" s="33" t="s">
        <v>3553</v>
      </c>
      <c r="AA256" s="34"/>
    </row>
    <row r="257" spans="1:27" s="67" customFormat="1" ht="31.5" customHeight="1" x14ac:dyDescent="0.25">
      <c r="A257" s="24">
        <v>253</v>
      </c>
      <c r="B257" s="66" t="s">
        <v>3437</v>
      </c>
      <c r="C257" s="67" t="s">
        <v>3436</v>
      </c>
      <c r="D257" s="68" t="s">
        <v>3629</v>
      </c>
      <c r="E257" s="67" t="s">
        <v>3628</v>
      </c>
      <c r="F257" s="67" t="s">
        <v>3627</v>
      </c>
      <c r="G257" s="66"/>
      <c r="H257" s="67" t="s">
        <v>3626</v>
      </c>
      <c r="I257" s="66"/>
      <c r="J257" s="67" t="s">
        <v>3625</v>
      </c>
      <c r="K257" s="69"/>
      <c r="L257" s="29" t="s">
        <v>3554</v>
      </c>
      <c r="M257" s="25" t="s">
        <v>190</v>
      </c>
      <c r="N257" s="30">
        <v>2</v>
      </c>
      <c r="O257" s="31">
        <v>40</v>
      </c>
      <c r="P257" s="31">
        <v>56</v>
      </c>
      <c r="Q257" s="31">
        <v>28</v>
      </c>
      <c r="R257" s="31">
        <v>0</v>
      </c>
      <c r="S257" s="31"/>
      <c r="T257" s="31">
        <v>4</v>
      </c>
      <c r="U257" s="31">
        <f t="shared" si="4"/>
        <v>128</v>
      </c>
      <c r="V257" s="31">
        <v>496</v>
      </c>
      <c r="W257" s="32" t="s">
        <v>800</v>
      </c>
      <c r="X257" s="32"/>
      <c r="Y257" s="32" t="s">
        <v>41</v>
      </c>
      <c r="Z257" s="33" t="s">
        <v>3553</v>
      </c>
      <c r="AA257" s="34"/>
    </row>
    <row r="258" spans="1:27" s="67" customFormat="1" ht="78.75" x14ac:dyDescent="0.25">
      <c r="A258" s="24">
        <v>254</v>
      </c>
      <c r="B258" s="66" t="s">
        <v>3437</v>
      </c>
      <c r="C258" s="67" t="s">
        <v>3436</v>
      </c>
      <c r="D258" s="68" t="s">
        <v>3629</v>
      </c>
      <c r="E258" s="67" t="s">
        <v>3628</v>
      </c>
      <c r="F258" s="67" t="s">
        <v>3627</v>
      </c>
      <c r="G258" s="66"/>
      <c r="H258" s="67" t="s">
        <v>3626</v>
      </c>
      <c r="I258" s="66"/>
      <c r="J258" s="67" t="s">
        <v>3625</v>
      </c>
      <c r="K258" s="69"/>
      <c r="L258" s="29" t="s">
        <v>3552</v>
      </c>
      <c r="M258" s="25" t="s">
        <v>190</v>
      </c>
      <c r="N258" s="30">
        <v>2</v>
      </c>
      <c r="O258" s="31">
        <v>32</v>
      </c>
      <c r="P258" s="31">
        <v>21</v>
      </c>
      <c r="Q258" s="31">
        <v>10</v>
      </c>
      <c r="R258" s="31">
        <v>0</v>
      </c>
      <c r="S258" s="31"/>
      <c r="T258" s="31">
        <v>4</v>
      </c>
      <c r="U258" s="31">
        <f t="shared" si="4"/>
        <v>67</v>
      </c>
      <c r="V258" s="31">
        <v>316</v>
      </c>
      <c r="W258" s="32" t="s">
        <v>800</v>
      </c>
      <c r="X258" s="32"/>
      <c r="Y258" s="32" t="s">
        <v>41</v>
      </c>
      <c r="Z258" s="33" t="s">
        <v>1008</v>
      </c>
      <c r="AA258" s="34"/>
    </row>
    <row r="259" spans="1:27" s="67" customFormat="1" ht="78.75" x14ac:dyDescent="0.25">
      <c r="A259" s="24">
        <v>255</v>
      </c>
      <c r="B259" s="66" t="s">
        <v>3437</v>
      </c>
      <c r="C259" s="67" t="s">
        <v>3436</v>
      </c>
      <c r="D259" s="68" t="s">
        <v>3629</v>
      </c>
      <c r="E259" s="67" t="s">
        <v>3628</v>
      </c>
      <c r="F259" s="67" t="s">
        <v>3627</v>
      </c>
      <c r="G259" s="66"/>
      <c r="H259" s="67" t="s">
        <v>3626</v>
      </c>
      <c r="I259" s="66"/>
      <c r="J259" s="67" t="s">
        <v>3625</v>
      </c>
      <c r="K259" s="69"/>
      <c r="L259" s="29" t="s">
        <v>3549</v>
      </c>
      <c r="M259" s="25" t="s">
        <v>190</v>
      </c>
      <c r="N259" s="30">
        <v>1</v>
      </c>
      <c r="O259" s="31">
        <v>176</v>
      </c>
      <c r="P259" s="31">
        <v>240</v>
      </c>
      <c r="Q259" s="31">
        <v>120</v>
      </c>
      <c r="R259" s="31">
        <v>0</v>
      </c>
      <c r="S259" s="31"/>
      <c r="T259" s="31">
        <v>40</v>
      </c>
      <c r="U259" s="31">
        <f t="shared" si="4"/>
        <v>576</v>
      </c>
      <c r="V259" s="31">
        <v>788</v>
      </c>
      <c r="W259" s="32" t="s">
        <v>22</v>
      </c>
      <c r="X259" s="32"/>
      <c r="Y259" s="32"/>
      <c r="Z259" s="33" t="s">
        <v>1008</v>
      </c>
      <c r="AA259" s="34"/>
    </row>
    <row r="260" spans="1:27" s="25" customFormat="1" ht="148.5" customHeight="1" x14ac:dyDescent="0.25">
      <c r="A260" s="24">
        <v>256</v>
      </c>
      <c r="B260" s="24" t="s">
        <v>3437</v>
      </c>
      <c r="C260" s="25" t="s">
        <v>3436</v>
      </c>
      <c r="D260" s="26" t="s">
        <v>3585</v>
      </c>
      <c r="E260" s="25" t="s">
        <v>3584</v>
      </c>
      <c r="F260" s="25" t="s">
        <v>3583</v>
      </c>
      <c r="G260" s="24"/>
      <c r="H260" s="25" t="s">
        <v>3611</v>
      </c>
      <c r="I260" s="24"/>
      <c r="J260" s="25" t="s">
        <v>3617</v>
      </c>
      <c r="K260" s="29"/>
      <c r="L260" s="29" t="s">
        <v>3624</v>
      </c>
      <c r="M260" s="25" t="s">
        <v>3622</v>
      </c>
      <c r="N260" s="30">
        <v>6600</v>
      </c>
      <c r="O260" s="31">
        <v>4.5</v>
      </c>
      <c r="P260" s="31">
        <v>0.3</v>
      </c>
      <c r="Q260" s="31">
        <v>0.1</v>
      </c>
      <c r="R260" s="31"/>
      <c r="S260" s="31"/>
      <c r="T260" s="31">
        <v>0.05</v>
      </c>
      <c r="U260" s="31">
        <f t="shared" si="4"/>
        <v>4.9499999999999993</v>
      </c>
      <c r="V260" s="31"/>
      <c r="W260" s="32" t="s">
        <v>848</v>
      </c>
      <c r="X260" s="32"/>
      <c r="Y260" s="32" t="s">
        <v>41</v>
      </c>
      <c r="Z260" s="33" t="s">
        <v>3613</v>
      </c>
      <c r="AA260" s="34"/>
    </row>
    <row r="261" spans="1:27" s="25" customFormat="1" ht="149.25" customHeight="1" x14ac:dyDescent="0.25">
      <c r="A261" s="24">
        <v>257</v>
      </c>
      <c r="B261" s="24" t="s">
        <v>3437</v>
      </c>
      <c r="C261" s="25" t="s">
        <v>3436</v>
      </c>
      <c r="D261" s="26" t="s">
        <v>3585</v>
      </c>
      <c r="E261" s="25" t="s">
        <v>3584</v>
      </c>
      <c r="F261" s="25" t="s">
        <v>3583</v>
      </c>
      <c r="G261" s="24"/>
      <c r="H261" s="25" t="s">
        <v>3611</v>
      </c>
      <c r="I261" s="24"/>
      <c r="J261" s="25" t="s">
        <v>3617</v>
      </c>
      <c r="K261" s="29"/>
      <c r="L261" s="29" t="s">
        <v>3623</v>
      </c>
      <c r="M261" s="25" t="s">
        <v>3622</v>
      </c>
      <c r="N261" s="30">
        <v>4808</v>
      </c>
      <c r="O261" s="31">
        <v>4.5</v>
      </c>
      <c r="P261" s="31">
        <v>0.3</v>
      </c>
      <c r="Q261" s="31">
        <v>0.1</v>
      </c>
      <c r="R261" s="31"/>
      <c r="S261" s="31"/>
      <c r="T261" s="31">
        <v>0.05</v>
      </c>
      <c r="U261" s="31">
        <f t="shared" si="4"/>
        <v>4.9499999999999993</v>
      </c>
      <c r="V261" s="31"/>
      <c r="W261" s="32" t="s">
        <v>848</v>
      </c>
      <c r="X261" s="32"/>
      <c r="Y261" s="32" t="s">
        <v>41</v>
      </c>
      <c r="Z261" s="33" t="s">
        <v>3613</v>
      </c>
      <c r="AA261" s="34"/>
    </row>
    <row r="262" spans="1:27" s="25" customFormat="1" ht="117" customHeight="1" x14ac:dyDescent="0.25">
      <c r="A262" s="24">
        <v>258</v>
      </c>
      <c r="B262" s="24" t="s">
        <v>3437</v>
      </c>
      <c r="C262" s="25" t="s">
        <v>3436</v>
      </c>
      <c r="D262" s="26" t="s">
        <v>3585</v>
      </c>
      <c r="E262" s="25" t="s">
        <v>3584</v>
      </c>
      <c r="F262" s="25" t="s">
        <v>3583</v>
      </c>
      <c r="G262" s="24"/>
      <c r="H262" s="25" t="s">
        <v>3611</v>
      </c>
      <c r="I262" s="24"/>
      <c r="J262" s="25" t="s">
        <v>3617</v>
      </c>
      <c r="K262" s="29"/>
      <c r="L262" s="29" t="s">
        <v>3621</v>
      </c>
      <c r="M262" s="25" t="s">
        <v>3620</v>
      </c>
      <c r="N262" s="30">
        <v>21091</v>
      </c>
      <c r="O262" s="31">
        <v>1</v>
      </c>
      <c r="P262" s="31">
        <v>0.1</v>
      </c>
      <c r="Q262" s="31">
        <v>0.1</v>
      </c>
      <c r="R262" s="31"/>
      <c r="S262" s="31"/>
      <c r="T262" s="31"/>
      <c r="U262" s="31">
        <f t="shared" ref="U262:U325" si="5">SUM(O262:T262)</f>
        <v>1.2000000000000002</v>
      </c>
      <c r="V262" s="31"/>
      <c r="W262" s="32" t="s">
        <v>3619</v>
      </c>
      <c r="X262" s="32" t="s">
        <v>3618</v>
      </c>
      <c r="Y262" s="32" t="s">
        <v>41</v>
      </c>
      <c r="Z262" s="33" t="s">
        <v>3613</v>
      </c>
      <c r="AA262" s="34"/>
    </row>
    <row r="263" spans="1:27" s="25" customFormat="1" ht="110.25" customHeight="1" x14ac:dyDescent="0.25">
      <c r="A263" s="24">
        <v>259</v>
      </c>
      <c r="B263" s="24" t="s">
        <v>3437</v>
      </c>
      <c r="C263" s="25" t="s">
        <v>3436</v>
      </c>
      <c r="D263" s="26" t="s">
        <v>3585</v>
      </c>
      <c r="E263" s="25" t="s">
        <v>3584</v>
      </c>
      <c r="F263" s="25" t="s">
        <v>3583</v>
      </c>
      <c r="G263" s="24"/>
      <c r="H263" s="25" t="s">
        <v>3611</v>
      </c>
      <c r="I263" s="24"/>
      <c r="J263" s="25" t="s">
        <v>3617</v>
      </c>
      <c r="K263" s="29"/>
      <c r="L263" s="29" t="s">
        <v>3616</v>
      </c>
      <c r="M263" s="25" t="s">
        <v>3615</v>
      </c>
      <c r="N263" s="30">
        <v>7849</v>
      </c>
      <c r="O263" s="31">
        <v>3</v>
      </c>
      <c r="P263" s="31">
        <v>0.1</v>
      </c>
      <c r="Q263" s="31">
        <v>0.1</v>
      </c>
      <c r="R263" s="31"/>
      <c r="S263" s="31"/>
      <c r="T263" s="31"/>
      <c r="U263" s="31">
        <f t="shared" si="5"/>
        <v>3.2</v>
      </c>
      <c r="V263" s="31"/>
      <c r="W263" s="32" t="s">
        <v>848</v>
      </c>
      <c r="X263" s="32" t="s">
        <v>3614</v>
      </c>
      <c r="Y263" s="32" t="s">
        <v>41</v>
      </c>
      <c r="Z263" s="33" t="s">
        <v>3613</v>
      </c>
      <c r="AA263" s="34" t="s">
        <v>3612</v>
      </c>
    </row>
    <row r="264" spans="1:27" s="25" customFormat="1" ht="78.75" x14ac:dyDescent="0.25">
      <c r="A264" s="24">
        <v>260</v>
      </c>
      <c r="B264" s="24" t="s">
        <v>3437</v>
      </c>
      <c r="C264" s="25" t="s">
        <v>3436</v>
      </c>
      <c r="D264" s="26" t="s">
        <v>3585</v>
      </c>
      <c r="E264" s="25" t="s">
        <v>3584</v>
      </c>
      <c r="F264" s="25" t="s">
        <v>3583</v>
      </c>
      <c r="G264" s="24"/>
      <c r="H264" s="25" t="s">
        <v>3611</v>
      </c>
      <c r="I264" s="24"/>
      <c r="J264" s="25" t="s">
        <v>3610</v>
      </c>
      <c r="K264" s="29"/>
      <c r="L264" s="29"/>
      <c r="N264" s="30"/>
      <c r="O264" s="31"/>
      <c r="P264" s="31"/>
      <c r="Q264" s="31"/>
      <c r="R264" s="31"/>
      <c r="S264" s="31"/>
      <c r="T264" s="31"/>
      <c r="U264" s="31">
        <f t="shared" si="5"/>
        <v>0</v>
      </c>
      <c r="V264" s="31"/>
      <c r="W264" s="32"/>
      <c r="X264" s="32"/>
      <c r="Y264" s="32"/>
      <c r="Z264" s="33"/>
      <c r="AA264" s="34"/>
    </row>
    <row r="265" spans="1:27" s="25" customFormat="1" ht="78.75" x14ac:dyDescent="0.25">
      <c r="A265" s="24">
        <v>261</v>
      </c>
      <c r="B265" s="24" t="s">
        <v>3437</v>
      </c>
      <c r="C265" s="25" t="s">
        <v>3436</v>
      </c>
      <c r="D265" s="26" t="s">
        <v>3585</v>
      </c>
      <c r="E265" s="25" t="s">
        <v>3584</v>
      </c>
      <c r="F265" s="25" t="s">
        <v>3583</v>
      </c>
      <c r="G265" s="24"/>
      <c r="H265" s="25" t="s">
        <v>3606</v>
      </c>
      <c r="I265" s="24"/>
      <c r="J265" s="25" t="s">
        <v>3609</v>
      </c>
      <c r="K265" s="29"/>
      <c r="L265" s="29"/>
      <c r="N265" s="30"/>
      <c r="O265" s="31"/>
      <c r="P265" s="31"/>
      <c r="Q265" s="31"/>
      <c r="R265" s="31"/>
      <c r="S265" s="31"/>
      <c r="T265" s="31"/>
      <c r="U265" s="31">
        <f t="shared" si="5"/>
        <v>0</v>
      </c>
      <c r="V265" s="31"/>
      <c r="W265" s="32"/>
      <c r="X265" s="32"/>
      <c r="Y265" s="32"/>
      <c r="Z265" s="33"/>
      <c r="AA265" s="34"/>
    </row>
    <row r="266" spans="1:27" s="25" customFormat="1" ht="67.5" customHeight="1" x14ac:dyDescent="0.25">
      <c r="A266" s="24">
        <v>262</v>
      </c>
      <c r="B266" s="24" t="s">
        <v>3437</v>
      </c>
      <c r="C266" s="25" t="s">
        <v>3436</v>
      </c>
      <c r="D266" s="26" t="s">
        <v>3585</v>
      </c>
      <c r="E266" s="25" t="s">
        <v>3584</v>
      </c>
      <c r="F266" s="25" t="s">
        <v>3583</v>
      </c>
      <c r="G266" s="24"/>
      <c r="H266" s="25" t="s">
        <v>3606</v>
      </c>
      <c r="I266" s="24"/>
      <c r="J266" s="25" t="s">
        <v>3608</v>
      </c>
      <c r="K266" s="29"/>
      <c r="L266" s="29"/>
      <c r="N266" s="30"/>
      <c r="O266" s="31"/>
      <c r="P266" s="31"/>
      <c r="Q266" s="31"/>
      <c r="R266" s="31"/>
      <c r="S266" s="31"/>
      <c r="T266" s="31"/>
      <c r="U266" s="31">
        <f t="shared" si="5"/>
        <v>0</v>
      </c>
      <c r="V266" s="31"/>
      <c r="W266" s="32"/>
      <c r="X266" s="32"/>
      <c r="Y266" s="32"/>
      <c r="Z266" s="33"/>
      <c r="AA266" s="34"/>
    </row>
    <row r="267" spans="1:27" s="25" customFormat="1" ht="78.75" x14ac:dyDescent="0.25">
      <c r="A267" s="24">
        <v>263</v>
      </c>
      <c r="B267" s="24" t="s">
        <v>3437</v>
      </c>
      <c r="C267" s="25" t="s">
        <v>3436</v>
      </c>
      <c r="D267" s="26" t="s">
        <v>3585</v>
      </c>
      <c r="E267" s="25" t="s">
        <v>3584</v>
      </c>
      <c r="F267" s="25" t="s">
        <v>3583</v>
      </c>
      <c r="G267" s="24"/>
      <c r="H267" s="25" t="s">
        <v>3606</v>
      </c>
      <c r="I267" s="24"/>
      <c r="J267" s="25" t="s">
        <v>3607</v>
      </c>
      <c r="K267" s="29"/>
      <c r="L267" s="29"/>
      <c r="N267" s="30"/>
      <c r="O267" s="31"/>
      <c r="P267" s="31"/>
      <c r="Q267" s="31"/>
      <c r="R267" s="31"/>
      <c r="S267" s="31"/>
      <c r="T267" s="31"/>
      <c r="U267" s="31">
        <f t="shared" si="5"/>
        <v>0</v>
      </c>
      <c r="V267" s="31"/>
      <c r="W267" s="32"/>
      <c r="X267" s="32"/>
      <c r="Y267" s="32"/>
      <c r="Z267" s="33"/>
      <c r="AA267" s="34"/>
    </row>
    <row r="268" spans="1:27" s="25" customFormat="1" ht="78.75" x14ac:dyDescent="0.25">
      <c r="A268" s="24">
        <v>264</v>
      </c>
      <c r="B268" s="24" t="s">
        <v>3437</v>
      </c>
      <c r="C268" s="25" t="s">
        <v>3436</v>
      </c>
      <c r="D268" s="26" t="s">
        <v>3585</v>
      </c>
      <c r="E268" s="25" t="s">
        <v>3584</v>
      </c>
      <c r="F268" s="25" t="s">
        <v>3583</v>
      </c>
      <c r="G268" s="24"/>
      <c r="H268" s="25" t="s">
        <v>3606</v>
      </c>
      <c r="I268" s="24"/>
      <c r="J268" s="25" t="s">
        <v>3605</v>
      </c>
      <c r="K268" s="29"/>
      <c r="L268" s="29"/>
      <c r="N268" s="30"/>
      <c r="O268" s="31"/>
      <c r="P268" s="31"/>
      <c r="Q268" s="31"/>
      <c r="R268" s="31"/>
      <c r="S268" s="31"/>
      <c r="T268" s="31"/>
      <c r="U268" s="31">
        <f t="shared" si="5"/>
        <v>0</v>
      </c>
      <c r="V268" s="31"/>
      <c r="W268" s="32"/>
      <c r="X268" s="32"/>
      <c r="Y268" s="32"/>
      <c r="Z268" s="33"/>
      <c r="AA268" s="34"/>
    </row>
    <row r="269" spans="1:27" s="25" customFormat="1" ht="78.75" x14ac:dyDescent="0.25">
      <c r="A269" s="24">
        <v>265</v>
      </c>
      <c r="B269" s="24" t="s">
        <v>3437</v>
      </c>
      <c r="C269" s="25" t="s">
        <v>3436</v>
      </c>
      <c r="D269" s="26" t="s">
        <v>3585</v>
      </c>
      <c r="E269" s="25" t="s">
        <v>3584</v>
      </c>
      <c r="F269" s="25" t="s">
        <v>3583</v>
      </c>
      <c r="G269" s="24"/>
      <c r="H269" s="25" t="s">
        <v>3599</v>
      </c>
      <c r="I269" s="24"/>
      <c r="J269" s="25" t="s">
        <v>3604</v>
      </c>
      <c r="K269" s="29"/>
      <c r="L269" s="29"/>
      <c r="N269" s="30"/>
      <c r="O269" s="31"/>
      <c r="P269" s="31"/>
      <c r="Q269" s="31"/>
      <c r="R269" s="31"/>
      <c r="S269" s="31"/>
      <c r="T269" s="31"/>
      <c r="U269" s="31">
        <f t="shared" si="5"/>
        <v>0</v>
      </c>
      <c r="V269" s="31"/>
      <c r="W269" s="32"/>
      <c r="X269" s="32"/>
      <c r="Y269" s="32"/>
      <c r="Z269" s="33"/>
      <c r="AA269" s="34"/>
    </row>
    <row r="270" spans="1:27" s="25" customFormat="1" ht="78.75" x14ac:dyDescent="0.25">
      <c r="A270" s="24">
        <v>266</v>
      </c>
      <c r="B270" s="24" t="s">
        <v>3437</v>
      </c>
      <c r="C270" s="25" t="s">
        <v>3436</v>
      </c>
      <c r="D270" s="26" t="s">
        <v>3585</v>
      </c>
      <c r="E270" s="25" t="s">
        <v>3584</v>
      </c>
      <c r="F270" s="25" t="s">
        <v>3583</v>
      </c>
      <c r="G270" s="24"/>
      <c r="H270" s="25" t="s">
        <v>3599</v>
      </c>
      <c r="I270" s="24"/>
      <c r="J270" s="25" t="s">
        <v>3602</v>
      </c>
      <c r="K270" s="29"/>
      <c r="L270" s="29" t="s">
        <v>3603</v>
      </c>
      <c r="M270" s="25" t="s">
        <v>3600</v>
      </c>
      <c r="N270" s="30">
        <v>12</v>
      </c>
      <c r="O270" s="31">
        <v>24</v>
      </c>
      <c r="P270" s="31"/>
      <c r="Q270" s="31">
        <v>8</v>
      </c>
      <c r="R270" s="31"/>
      <c r="S270" s="31"/>
      <c r="T270" s="31">
        <v>4</v>
      </c>
      <c r="U270" s="31">
        <f t="shared" si="5"/>
        <v>36</v>
      </c>
      <c r="V270" s="31"/>
      <c r="W270" s="32" t="s">
        <v>848</v>
      </c>
      <c r="X270" s="32"/>
      <c r="Y270" s="32"/>
      <c r="Z270" s="33" t="s">
        <v>3586</v>
      </c>
      <c r="AA270" s="34"/>
    </row>
    <row r="271" spans="1:27" s="25" customFormat="1" ht="41.25" customHeight="1" x14ac:dyDescent="0.25">
      <c r="A271" s="24">
        <v>267</v>
      </c>
      <c r="B271" s="24" t="s">
        <v>3437</v>
      </c>
      <c r="C271" s="25" t="s">
        <v>3436</v>
      </c>
      <c r="D271" s="26" t="s">
        <v>3585</v>
      </c>
      <c r="E271" s="25" t="s">
        <v>3584</v>
      </c>
      <c r="F271" s="25" t="s">
        <v>3583</v>
      </c>
      <c r="G271" s="24"/>
      <c r="H271" s="25" t="s">
        <v>3599</v>
      </c>
      <c r="I271" s="24"/>
      <c r="J271" s="25" t="s">
        <v>3602</v>
      </c>
      <c r="K271" s="29"/>
      <c r="L271" s="29" t="s">
        <v>3601</v>
      </c>
      <c r="M271" s="25" t="s">
        <v>3600</v>
      </c>
      <c r="N271" s="30">
        <v>2</v>
      </c>
      <c r="O271" s="31">
        <v>40</v>
      </c>
      <c r="P271" s="31"/>
      <c r="Q271" s="31">
        <v>16</v>
      </c>
      <c r="R271" s="31"/>
      <c r="S271" s="31"/>
      <c r="T271" s="31">
        <v>8</v>
      </c>
      <c r="U271" s="31">
        <f t="shared" si="5"/>
        <v>64</v>
      </c>
      <c r="V271" s="31"/>
      <c r="W271" s="32" t="s">
        <v>848</v>
      </c>
      <c r="X271" s="32"/>
      <c r="Y271" s="32"/>
      <c r="Z271" s="33" t="s">
        <v>3586</v>
      </c>
      <c r="AA271" s="34"/>
    </row>
    <row r="272" spans="1:27" s="25" customFormat="1" ht="78.75" x14ac:dyDescent="0.25">
      <c r="A272" s="24">
        <v>268</v>
      </c>
      <c r="B272" s="24" t="s">
        <v>3437</v>
      </c>
      <c r="C272" s="25" t="s">
        <v>3436</v>
      </c>
      <c r="D272" s="26" t="s">
        <v>3585</v>
      </c>
      <c r="E272" s="25" t="s">
        <v>3584</v>
      </c>
      <c r="F272" s="25" t="s">
        <v>3583</v>
      </c>
      <c r="G272" s="24"/>
      <c r="H272" s="25" t="s">
        <v>3599</v>
      </c>
      <c r="I272" s="24"/>
      <c r="J272" s="25" t="s">
        <v>3593</v>
      </c>
      <c r="K272" s="29"/>
      <c r="L272" s="29"/>
      <c r="N272" s="30"/>
      <c r="O272" s="31"/>
      <c r="P272" s="31"/>
      <c r="Q272" s="31"/>
      <c r="R272" s="31"/>
      <c r="S272" s="31"/>
      <c r="T272" s="31"/>
      <c r="U272" s="31">
        <f t="shared" si="5"/>
        <v>0</v>
      </c>
      <c r="V272" s="31"/>
      <c r="W272" s="32"/>
      <c r="X272" s="32"/>
      <c r="Y272" s="32"/>
      <c r="Z272" s="33"/>
      <c r="AA272" s="34"/>
    </row>
    <row r="273" spans="1:27" s="25" customFormat="1" ht="78.75" x14ac:dyDescent="0.25">
      <c r="A273" s="24">
        <v>269</v>
      </c>
      <c r="B273" s="24" t="s">
        <v>3437</v>
      </c>
      <c r="C273" s="25" t="s">
        <v>3436</v>
      </c>
      <c r="D273" s="26" t="s">
        <v>3585</v>
      </c>
      <c r="E273" s="25" t="s">
        <v>3584</v>
      </c>
      <c r="F273" s="25" t="s">
        <v>3583</v>
      </c>
      <c r="G273" s="24"/>
      <c r="H273" s="25" t="s">
        <v>3594</v>
      </c>
      <c r="I273" s="24"/>
      <c r="J273" s="25" t="s">
        <v>3597</v>
      </c>
      <c r="K273" s="29"/>
      <c r="L273" s="29" t="s">
        <v>3598</v>
      </c>
      <c r="M273" s="25" t="s">
        <v>1187</v>
      </c>
      <c r="N273" s="30">
        <v>12</v>
      </c>
      <c r="O273" s="31"/>
      <c r="P273" s="31">
        <v>8</v>
      </c>
      <c r="Q273" s="31"/>
      <c r="R273" s="31"/>
      <c r="S273" s="31"/>
      <c r="T273" s="31"/>
      <c r="U273" s="31">
        <f t="shared" si="5"/>
        <v>8</v>
      </c>
      <c r="V273" s="31"/>
      <c r="W273" s="32" t="s">
        <v>344</v>
      </c>
      <c r="X273" s="32" t="s">
        <v>53</v>
      </c>
      <c r="Y273" s="32"/>
      <c r="Z273" s="33">
        <v>1</v>
      </c>
      <c r="AA273" s="34"/>
    </row>
    <row r="274" spans="1:27" s="25" customFormat="1" ht="78.75" x14ac:dyDescent="0.25">
      <c r="A274" s="24">
        <v>270</v>
      </c>
      <c r="B274" s="24" t="s">
        <v>3437</v>
      </c>
      <c r="C274" s="25" t="s">
        <v>3436</v>
      </c>
      <c r="D274" s="26" t="s">
        <v>3585</v>
      </c>
      <c r="E274" s="25" t="s">
        <v>3584</v>
      </c>
      <c r="F274" s="25" t="s">
        <v>3583</v>
      </c>
      <c r="G274" s="24"/>
      <c r="H274" s="25" t="s">
        <v>3594</v>
      </c>
      <c r="I274" s="24"/>
      <c r="J274" s="25" t="s">
        <v>3597</v>
      </c>
      <c r="K274" s="29"/>
      <c r="L274" s="29" t="s">
        <v>3596</v>
      </c>
      <c r="M274" s="25" t="s">
        <v>1187</v>
      </c>
      <c r="N274" s="30">
        <v>12</v>
      </c>
      <c r="O274" s="31"/>
      <c r="P274" s="31"/>
      <c r="Q274" s="31">
        <v>4</v>
      </c>
      <c r="R274" s="31"/>
      <c r="S274" s="31"/>
      <c r="T274" s="31">
        <v>4</v>
      </c>
      <c r="U274" s="31">
        <f t="shared" si="5"/>
        <v>8</v>
      </c>
      <c r="V274" s="31"/>
      <c r="W274" s="32" t="s">
        <v>344</v>
      </c>
      <c r="X274" s="32" t="s">
        <v>53</v>
      </c>
      <c r="Y274" s="32"/>
      <c r="Z274" s="33">
        <v>1</v>
      </c>
      <c r="AA274" s="34"/>
    </row>
    <row r="275" spans="1:27" s="25" customFormat="1" ht="78.75" x14ac:dyDescent="0.25">
      <c r="A275" s="24">
        <v>271</v>
      </c>
      <c r="B275" s="24" t="s">
        <v>3437</v>
      </c>
      <c r="C275" s="25" t="s">
        <v>3436</v>
      </c>
      <c r="D275" s="26" t="s">
        <v>3585</v>
      </c>
      <c r="E275" s="25" t="s">
        <v>3584</v>
      </c>
      <c r="F275" s="25" t="s">
        <v>3583</v>
      </c>
      <c r="G275" s="24"/>
      <c r="H275" s="25" t="s">
        <v>3594</v>
      </c>
      <c r="I275" s="24"/>
      <c r="J275" s="25" t="s">
        <v>3595</v>
      </c>
      <c r="K275" s="29"/>
      <c r="L275" s="29"/>
      <c r="N275" s="30"/>
      <c r="O275" s="31"/>
      <c r="P275" s="31"/>
      <c r="Q275" s="31"/>
      <c r="R275" s="31"/>
      <c r="S275" s="31"/>
      <c r="T275" s="31"/>
      <c r="U275" s="31">
        <f t="shared" si="5"/>
        <v>0</v>
      </c>
      <c r="V275" s="31"/>
      <c r="W275" s="32"/>
      <c r="X275" s="32"/>
      <c r="Y275" s="32"/>
      <c r="Z275" s="33"/>
      <c r="AA275" s="34"/>
    </row>
    <row r="276" spans="1:27" s="25" customFormat="1" ht="78.75" x14ac:dyDescent="0.25">
      <c r="A276" s="24">
        <v>272</v>
      </c>
      <c r="B276" s="24" t="s">
        <v>3437</v>
      </c>
      <c r="C276" s="25" t="s">
        <v>3436</v>
      </c>
      <c r="D276" s="26" t="s">
        <v>3585</v>
      </c>
      <c r="E276" s="25" t="s">
        <v>3584</v>
      </c>
      <c r="F276" s="25" t="s">
        <v>3583</v>
      </c>
      <c r="G276" s="24"/>
      <c r="H276" s="25" t="s">
        <v>3594</v>
      </c>
      <c r="I276" s="24"/>
      <c r="J276" s="25" t="s">
        <v>3593</v>
      </c>
      <c r="K276" s="29"/>
      <c r="L276" s="29"/>
      <c r="N276" s="30"/>
      <c r="O276" s="31"/>
      <c r="P276" s="31"/>
      <c r="Q276" s="31"/>
      <c r="R276" s="31"/>
      <c r="S276" s="31"/>
      <c r="T276" s="31"/>
      <c r="U276" s="31">
        <f t="shared" si="5"/>
        <v>0</v>
      </c>
      <c r="V276" s="31"/>
      <c r="W276" s="32"/>
      <c r="X276" s="32"/>
      <c r="Y276" s="32"/>
      <c r="Z276" s="33"/>
      <c r="AA276" s="34"/>
    </row>
    <row r="277" spans="1:27" s="25" customFormat="1" ht="33" customHeight="1" x14ac:dyDescent="0.25">
      <c r="A277" s="24">
        <v>273</v>
      </c>
      <c r="B277" s="24" t="s">
        <v>3437</v>
      </c>
      <c r="C277" s="25" t="s">
        <v>3436</v>
      </c>
      <c r="D277" s="26" t="s">
        <v>3585</v>
      </c>
      <c r="E277" s="25" t="s">
        <v>3584</v>
      </c>
      <c r="F277" s="25" t="s">
        <v>3583</v>
      </c>
      <c r="G277" s="24"/>
      <c r="H277" s="25" t="s">
        <v>3582</v>
      </c>
      <c r="I277" s="24"/>
      <c r="J277" s="25" t="s">
        <v>3582</v>
      </c>
      <c r="K277" s="29"/>
      <c r="L277" s="29" t="s">
        <v>3592</v>
      </c>
      <c r="M277" s="25" t="s">
        <v>3591</v>
      </c>
      <c r="N277" s="30">
        <v>24</v>
      </c>
      <c r="O277" s="31"/>
      <c r="P277" s="31"/>
      <c r="Q277" s="31">
        <v>4</v>
      </c>
      <c r="R277" s="31"/>
      <c r="S277" s="31"/>
      <c r="T277" s="31"/>
      <c r="U277" s="31">
        <f t="shared" si="5"/>
        <v>4</v>
      </c>
      <c r="V277" s="31"/>
      <c r="W277" s="32" t="s">
        <v>275</v>
      </c>
      <c r="X277" s="32"/>
      <c r="Y277" s="32"/>
      <c r="Z277" s="33">
        <v>1</v>
      </c>
      <c r="AA277" s="34"/>
    </row>
    <row r="278" spans="1:27" s="25" customFormat="1" ht="33" customHeight="1" x14ac:dyDescent="0.25">
      <c r="A278" s="24">
        <v>274</v>
      </c>
      <c r="B278" s="24" t="s">
        <v>3437</v>
      </c>
      <c r="C278" s="25" t="s">
        <v>3436</v>
      </c>
      <c r="D278" s="26" t="s">
        <v>3585</v>
      </c>
      <c r="E278" s="25" t="s">
        <v>3584</v>
      </c>
      <c r="F278" s="25" t="s">
        <v>3583</v>
      </c>
      <c r="G278" s="24"/>
      <c r="H278" s="25" t="s">
        <v>3582</v>
      </c>
      <c r="I278" s="24"/>
      <c r="J278" s="25" t="s">
        <v>3582</v>
      </c>
      <c r="K278" s="29"/>
      <c r="L278" s="29" t="s">
        <v>1179</v>
      </c>
      <c r="M278" s="25" t="s">
        <v>1178</v>
      </c>
      <c r="N278" s="30">
        <v>12</v>
      </c>
      <c r="O278" s="31"/>
      <c r="P278" s="31"/>
      <c r="Q278" s="31">
        <v>8</v>
      </c>
      <c r="R278" s="31"/>
      <c r="S278" s="31"/>
      <c r="T278" s="31">
        <v>4</v>
      </c>
      <c r="U278" s="31">
        <f t="shared" si="5"/>
        <v>12</v>
      </c>
      <c r="V278" s="31"/>
      <c r="W278" s="32" t="s">
        <v>3590</v>
      </c>
      <c r="X278" s="32"/>
      <c r="Y278" s="32"/>
      <c r="Z278" s="33">
        <v>1</v>
      </c>
      <c r="AA278" s="34"/>
    </row>
    <row r="279" spans="1:27" s="25" customFormat="1" ht="33" customHeight="1" x14ac:dyDescent="0.25">
      <c r="A279" s="24">
        <v>275</v>
      </c>
      <c r="B279" s="24" t="s">
        <v>3437</v>
      </c>
      <c r="C279" s="25" t="s">
        <v>3436</v>
      </c>
      <c r="D279" s="26" t="s">
        <v>3585</v>
      </c>
      <c r="E279" s="25" t="s">
        <v>3584</v>
      </c>
      <c r="F279" s="25" t="s">
        <v>3583</v>
      </c>
      <c r="G279" s="24"/>
      <c r="H279" s="25" t="s">
        <v>3582</v>
      </c>
      <c r="I279" s="24"/>
      <c r="J279" s="25" t="s">
        <v>3582</v>
      </c>
      <c r="K279" s="29"/>
      <c r="L279" s="29" t="s">
        <v>3589</v>
      </c>
      <c r="M279" s="25" t="s">
        <v>3588</v>
      </c>
      <c r="N279" s="30">
        <v>12</v>
      </c>
      <c r="O279" s="31"/>
      <c r="P279" s="31"/>
      <c r="Q279" s="31"/>
      <c r="R279" s="31"/>
      <c r="S279" s="31"/>
      <c r="T279" s="31">
        <v>4</v>
      </c>
      <c r="U279" s="31">
        <f t="shared" si="5"/>
        <v>4</v>
      </c>
      <c r="V279" s="31"/>
      <c r="W279" s="32" t="s">
        <v>22</v>
      </c>
      <c r="X279" s="32" t="s">
        <v>3587</v>
      </c>
      <c r="Y279" s="32"/>
      <c r="Z279" s="33" t="s">
        <v>3586</v>
      </c>
      <c r="AA279" s="34"/>
    </row>
    <row r="280" spans="1:27" s="25" customFormat="1" ht="33" customHeight="1" x14ac:dyDescent="0.25">
      <c r="A280" s="24">
        <v>276</v>
      </c>
      <c r="B280" s="24" t="s">
        <v>3437</v>
      </c>
      <c r="C280" s="25" t="s">
        <v>3436</v>
      </c>
      <c r="D280" s="26" t="s">
        <v>3585</v>
      </c>
      <c r="E280" s="25" t="s">
        <v>3584</v>
      </c>
      <c r="F280" s="25" t="s">
        <v>3583</v>
      </c>
      <c r="G280" s="24"/>
      <c r="H280" s="25" t="s">
        <v>3582</v>
      </c>
      <c r="I280" s="24"/>
      <c r="J280" s="25" t="s">
        <v>3582</v>
      </c>
      <c r="K280" s="29"/>
      <c r="L280" s="29" t="s">
        <v>3581</v>
      </c>
      <c r="M280" s="25" t="s">
        <v>1340</v>
      </c>
      <c r="N280" s="30">
        <v>24</v>
      </c>
      <c r="O280" s="31"/>
      <c r="P280" s="31"/>
      <c r="Q280" s="31"/>
      <c r="R280" s="31"/>
      <c r="S280" s="31"/>
      <c r="T280" s="31">
        <v>2</v>
      </c>
      <c r="U280" s="31">
        <f t="shared" si="5"/>
        <v>2</v>
      </c>
      <c r="V280" s="31"/>
      <c r="W280" s="32" t="s">
        <v>1169</v>
      </c>
      <c r="X280" s="32"/>
      <c r="Y280" s="32"/>
      <c r="Z280" s="33">
        <v>1</v>
      </c>
      <c r="AA280" s="34"/>
    </row>
    <row r="281" spans="1:27" s="25" customFormat="1" ht="78.75" x14ac:dyDescent="0.25">
      <c r="A281" s="24">
        <v>277</v>
      </c>
      <c r="B281" s="24" t="s">
        <v>3437</v>
      </c>
      <c r="C281" s="25" t="s">
        <v>3436</v>
      </c>
      <c r="D281" s="26" t="s">
        <v>3487</v>
      </c>
      <c r="E281" s="25" t="s">
        <v>3486</v>
      </c>
      <c r="F281" s="25" t="s">
        <v>3485</v>
      </c>
      <c r="G281" s="24"/>
      <c r="H281" s="25" t="s">
        <v>3551</v>
      </c>
      <c r="I281" s="24"/>
      <c r="J281" s="25" t="s">
        <v>3570</v>
      </c>
      <c r="K281" s="29"/>
      <c r="L281" s="29" t="s">
        <v>3580</v>
      </c>
      <c r="M281" s="25" t="s">
        <v>1240</v>
      </c>
      <c r="N281" s="30">
        <v>350</v>
      </c>
      <c r="O281" s="31">
        <v>2.5</v>
      </c>
      <c r="P281" s="31">
        <v>2</v>
      </c>
      <c r="Q281" s="31"/>
      <c r="R281" s="31"/>
      <c r="S281" s="31">
        <v>0.25</v>
      </c>
      <c r="T281" s="31"/>
      <c r="U281" s="31">
        <f t="shared" si="5"/>
        <v>4.75</v>
      </c>
      <c r="V281" s="31"/>
      <c r="W281" s="32" t="s">
        <v>800</v>
      </c>
      <c r="X281" s="32"/>
      <c r="Y281" s="32"/>
      <c r="Z281" s="33" t="s">
        <v>1532</v>
      </c>
      <c r="AA281" s="34" t="s">
        <v>3494</v>
      </c>
    </row>
    <row r="282" spans="1:27" s="25" customFormat="1" ht="78.75" x14ac:dyDescent="0.25">
      <c r="A282" s="24">
        <v>278</v>
      </c>
      <c r="B282" s="24" t="s">
        <v>3437</v>
      </c>
      <c r="C282" s="25" t="s">
        <v>3436</v>
      </c>
      <c r="D282" s="26" t="s">
        <v>3487</v>
      </c>
      <c r="E282" s="25" t="s">
        <v>3486</v>
      </c>
      <c r="F282" s="25" t="s">
        <v>3485</v>
      </c>
      <c r="G282" s="24"/>
      <c r="H282" s="25" t="s">
        <v>3551</v>
      </c>
      <c r="I282" s="24"/>
      <c r="J282" s="25" t="s">
        <v>3570</v>
      </c>
      <c r="K282" s="29"/>
      <c r="L282" s="29" t="s">
        <v>3579</v>
      </c>
      <c r="M282" s="25" t="s">
        <v>1240</v>
      </c>
      <c r="N282" s="30">
        <v>1440</v>
      </c>
      <c r="O282" s="31">
        <v>2.5</v>
      </c>
      <c r="P282" s="31">
        <v>2</v>
      </c>
      <c r="Q282" s="31"/>
      <c r="R282" s="31"/>
      <c r="S282" s="31"/>
      <c r="T282" s="31">
        <v>0.5</v>
      </c>
      <c r="U282" s="31">
        <f t="shared" si="5"/>
        <v>5</v>
      </c>
      <c r="V282" s="31"/>
      <c r="W282" s="32" t="s">
        <v>800</v>
      </c>
      <c r="X282" s="32"/>
      <c r="Y282" s="32"/>
      <c r="Z282" s="33" t="s">
        <v>1532</v>
      </c>
      <c r="AA282" s="34" t="s">
        <v>3494</v>
      </c>
    </row>
    <row r="283" spans="1:27" s="25" customFormat="1" ht="78.75" x14ac:dyDescent="0.25">
      <c r="A283" s="24">
        <v>279</v>
      </c>
      <c r="B283" s="24" t="s">
        <v>3437</v>
      </c>
      <c r="C283" s="25" t="s">
        <v>3436</v>
      </c>
      <c r="D283" s="26" t="s">
        <v>3487</v>
      </c>
      <c r="E283" s="25" t="s">
        <v>3486</v>
      </c>
      <c r="F283" s="25" t="s">
        <v>3485</v>
      </c>
      <c r="G283" s="24"/>
      <c r="H283" s="25" t="s">
        <v>3551</v>
      </c>
      <c r="I283" s="24"/>
      <c r="J283" s="25" t="s">
        <v>3570</v>
      </c>
      <c r="K283" s="29"/>
      <c r="L283" s="29" t="s">
        <v>3578</v>
      </c>
      <c r="M283" s="25" t="s">
        <v>1240</v>
      </c>
      <c r="N283" s="30">
        <v>100</v>
      </c>
      <c r="O283" s="31">
        <v>2.5</v>
      </c>
      <c r="P283" s="31">
        <v>2</v>
      </c>
      <c r="Q283" s="31"/>
      <c r="R283" s="31"/>
      <c r="S283" s="31">
        <v>0.5</v>
      </c>
      <c r="T283" s="31"/>
      <c r="U283" s="31">
        <f t="shared" si="5"/>
        <v>5</v>
      </c>
      <c r="V283" s="31"/>
      <c r="W283" s="32" t="s">
        <v>800</v>
      </c>
      <c r="X283" s="32"/>
      <c r="Y283" s="32"/>
      <c r="Z283" s="33" t="s">
        <v>1532</v>
      </c>
      <c r="AA283" s="34" t="s">
        <v>3494</v>
      </c>
    </row>
    <row r="284" spans="1:27" s="25" customFormat="1" ht="78.75" x14ac:dyDescent="0.25">
      <c r="A284" s="24">
        <v>280</v>
      </c>
      <c r="B284" s="24" t="s">
        <v>3437</v>
      </c>
      <c r="C284" s="25" t="s">
        <v>3436</v>
      </c>
      <c r="D284" s="26" t="s">
        <v>3487</v>
      </c>
      <c r="E284" s="25" t="s">
        <v>3486</v>
      </c>
      <c r="F284" s="25" t="s">
        <v>3485</v>
      </c>
      <c r="G284" s="24"/>
      <c r="H284" s="25" t="s">
        <v>3551</v>
      </c>
      <c r="I284" s="24"/>
      <c r="J284" s="25" t="s">
        <v>3570</v>
      </c>
      <c r="K284" s="29"/>
      <c r="L284" s="29" t="s">
        <v>3577</v>
      </c>
      <c r="M284" s="25" t="s">
        <v>3528</v>
      </c>
      <c r="N284" s="30">
        <v>2080</v>
      </c>
      <c r="O284" s="31"/>
      <c r="P284" s="31">
        <v>0.5</v>
      </c>
      <c r="Q284" s="31"/>
      <c r="R284" s="31"/>
      <c r="S284" s="31"/>
      <c r="T284" s="31"/>
      <c r="U284" s="31">
        <f t="shared" si="5"/>
        <v>0.5</v>
      </c>
      <c r="V284" s="31"/>
      <c r="W284" s="32" t="s">
        <v>800</v>
      </c>
      <c r="X284" s="32"/>
      <c r="Y284" s="32"/>
      <c r="Z284" s="33" t="s">
        <v>3482</v>
      </c>
      <c r="AA284" s="34"/>
    </row>
    <row r="285" spans="1:27" s="25" customFormat="1" ht="78.75" x14ac:dyDescent="0.25">
      <c r="A285" s="24">
        <v>281</v>
      </c>
      <c r="B285" s="24" t="s">
        <v>3437</v>
      </c>
      <c r="C285" s="25" t="s">
        <v>3436</v>
      </c>
      <c r="D285" s="26" t="s">
        <v>3487</v>
      </c>
      <c r="E285" s="25" t="s">
        <v>3486</v>
      </c>
      <c r="F285" s="25" t="s">
        <v>3485</v>
      </c>
      <c r="G285" s="24"/>
      <c r="H285" s="25" t="s">
        <v>3551</v>
      </c>
      <c r="I285" s="24"/>
      <c r="J285" s="25" t="s">
        <v>3570</v>
      </c>
      <c r="K285" s="29"/>
      <c r="L285" s="29" t="s">
        <v>3576</v>
      </c>
      <c r="M285" s="25" t="s">
        <v>3575</v>
      </c>
      <c r="N285" s="30">
        <v>7800</v>
      </c>
      <c r="O285" s="31">
        <v>2</v>
      </c>
      <c r="P285" s="31">
        <v>2</v>
      </c>
      <c r="Q285" s="31"/>
      <c r="R285" s="31"/>
      <c r="S285" s="31"/>
      <c r="T285" s="31"/>
      <c r="U285" s="31">
        <f t="shared" si="5"/>
        <v>4</v>
      </c>
      <c r="V285" s="31"/>
      <c r="W285" s="32" t="s">
        <v>800</v>
      </c>
      <c r="X285" s="32"/>
      <c r="Y285" s="32"/>
      <c r="Z285" s="33" t="s">
        <v>3482</v>
      </c>
      <c r="AA285" s="34" t="s">
        <v>3494</v>
      </c>
    </row>
    <row r="286" spans="1:27" s="25" customFormat="1" ht="33.75" customHeight="1" x14ac:dyDescent="0.25">
      <c r="A286" s="24">
        <v>282</v>
      </c>
      <c r="B286" s="24" t="s">
        <v>3437</v>
      </c>
      <c r="C286" s="25" t="s">
        <v>3436</v>
      </c>
      <c r="D286" s="26" t="s">
        <v>3487</v>
      </c>
      <c r="E286" s="25" t="s">
        <v>3486</v>
      </c>
      <c r="F286" s="25" t="s">
        <v>3485</v>
      </c>
      <c r="G286" s="24"/>
      <c r="H286" s="25" t="s">
        <v>3551</v>
      </c>
      <c r="I286" s="24"/>
      <c r="J286" s="25" t="s">
        <v>3570</v>
      </c>
      <c r="K286" s="29"/>
      <c r="L286" s="29" t="s">
        <v>3574</v>
      </c>
      <c r="M286" s="25" t="s">
        <v>3573</v>
      </c>
      <c r="N286" s="30">
        <v>1040</v>
      </c>
      <c r="O286" s="31">
        <v>16</v>
      </c>
      <c r="P286" s="31">
        <v>16</v>
      </c>
      <c r="Q286" s="31"/>
      <c r="R286" s="31"/>
      <c r="S286" s="31"/>
      <c r="T286" s="31"/>
      <c r="U286" s="31">
        <f t="shared" si="5"/>
        <v>32</v>
      </c>
      <c r="V286" s="31"/>
      <c r="W286" s="32" t="s">
        <v>800</v>
      </c>
      <c r="X286" s="32"/>
      <c r="Y286" s="32"/>
      <c r="Z286" s="33" t="s">
        <v>3482</v>
      </c>
      <c r="AA286" s="34" t="s">
        <v>3494</v>
      </c>
    </row>
    <row r="287" spans="1:27" s="25" customFormat="1" ht="78.75" x14ac:dyDescent="0.25">
      <c r="A287" s="24">
        <v>283</v>
      </c>
      <c r="B287" s="24" t="s">
        <v>3437</v>
      </c>
      <c r="C287" s="25" t="s">
        <v>3436</v>
      </c>
      <c r="D287" s="26" t="s">
        <v>3487</v>
      </c>
      <c r="E287" s="25" t="s">
        <v>3486</v>
      </c>
      <c r="F287" s="25" t="s">
        <v>3485</v>
      </c>
      <c r="G287" s="24"/>
      <c r="H287" s="25" t="s">
        <v>3551</v>
      </c>
      <c r="I287" s="24"/>
      <c r="J287" s="25" t="s">
        <v>3570</v>
      </c>
      <c r="K287" s="29"/>
      <c r="L287" s="29" t="s">
        <v>3572</v>
      </c>
      <c r="M287" s="25" t="s">
        <v>3571</v>
      </c>
      <c r="N287" s="30">
        <v>40</v>
      </c>
      <c r="O287" s="31">
        <v>48</v>
      </c>
      <c r="P287" s="31">
        <v>48</v>
      </c>
      <c r="Q287" s="31"/>
      <c r="R287" s="31"/>
      <c r="S287" s="31"/>
      <c r="T287" s="31">
        <v>4</v>
      </c>
      <c r="U287" s="31">
        <f t="shared" si="5"/>
        <v>100</v>
      </c>
      <c r="V287" s="31"/>
      <c r="W287" s="32" t="s">
        <v>800</v>
      </c>
      <c r="X287" s="32"/>
      <c r="Y287" s="32"/>
      <c r="Z287" s="33" t="s">
        <v>3482</v>
      </c>
      <c r="AA287" s="34" t="s">
        <v>3494</v>
      </c>
    </row>
    <row r="288" spans="1:27" s="25" customFormat="1" ht="78.75" x14ac:dyDescent="0.25">
      <c r="A288" s="24">
        <v>284</v>
      </c>
      <c r="B288" s="24" t="s">
        <v>3437</v>
      </c>
      <c r="C288" s="25" t="s">
        <v>3436</v>
      </c>
      <c r="D288" s="26" t="s">
        <v>3487</v>
      </c>
      <c r="E288" s="25" t="s">
        <v>3486</v>
      </c>
      <c r="F288" s="25" t="s">
        <v>3485</v>
      </c>
      <c r="G288" s="24"/>
      <c r="H288" s="25" t="s">
        <v>3551</v>
      </c>
      <c r="I288" s="24"/>
      <c r="J288" s="25" t="s">
        <v>3570</v>
      </c>
      <c r="K288" s="29"/>
      <c r="L288" s="29" t="s">
        <v>3569</v>
      </c>
      <c r="M288" s="25" t="s">
        <v>3568</v>
      </c>
      <c r="N288" s="30">
        <v>6</v>
      </c>
      <c r="O288" s="31"/>
      <c r="P288" s="31">
        <v>72</v>
      </c>
      <c r="Q288" s="31"/>
      <c r="R288" s="31"/>
      <c r="S288" s="31"/>
      <c r="T288" s="31">
        <v>8</v>
      </c>
      <c r="U288" s="31">
        <f t="shared" si="5"/>
        <v>80</v>
      </c>
      <c r="V288" s="31"/>
      <c r="W288" s="32" t="s">
        <v>800</v>
      </c>
      <c r="X288" s="32"/>
      <c r="Y288" s="32"/>
      <c r="Z288" s="33" t="s">
        <v>3482</v>
      </c>
      <c r="AA288" s="34"/>
    </row>
    <row r="289" spans="1:27" s="25" customFormat="1" ht="78.75" x14ac:dyDescent="0.25">
      <c r="A289" s="24">
        <v>285</v>
      </c>
      <c r="B289" s="24" t="s">
        <v>3437</v>
      </c>
      <c r="C289" s="25" t="s">
        <v>3436</v>
      </c>
      <c r="D289" s="26" t="s">
        <v>3487</v>
      </c>
      <c r="E289" s="25" t="s">
        <v>3486</v>
      </c>
      <c r="F289" s="25" t="s">
        <v>3485</v>
      </c>
      <c r="G289" s="24"/>
      <c r="H289" s="25" t="s">
        <v>3551</v>
      </c>
      <c r="I289" s="24"/>
      <c r="J289" s="25" t="s">
        <v>3567</v>
      </c>
      <c r="K289" s="29"/>
      <c r="L289" s="29" t="s">
        <v>3566</v>
      </c>
      <c r="M289" s="25" t="s">
        <v>424</v>
      </c>
      <c r="N289" s="30">
        <v>12</v>
      </c>
      <c r="O289" s="31"/>
      <c r="P289" s="31">
        <v>64</v>
      </c>
      <c r="Q289" s="31"/>
      <c r="R289" s="31"/>
      <c r="S289" s="31">
        <v>8</v>
      </c>
      <c r="T289" s="31"/>
      <c r="U289" s="31">
        <f t="shared" si="5"/>
        <v>72</v>
      </c>
      <c r="V289" s="31"/>
      <c r="W289" s="32" t="s">
        <v>800</v>
      </c>
      <c r="X289" s="32"/>
      <c r="Y289" s="32"/>
      <c r="Z289" s="33" t="s">
        <v>3482</v>
      </c>
      <c r="AA289" s="34"/>
    </row>
    <row r="290" spans="1:27" s="25" customFormat="1" ht="78.75" x14ac:dyDescent="0.25">
      <c r="A290" s="24">
        <v>286</v>
      </c>
      <c r="B290" s="24" t="s">
        <v>3437</v>
      </c>
      <c r="C290" s="25" t="s">
        <v>3436</v>
      </c>
      <c r="D290" s="26" t="s">
        <v>3487</v>
      </c>
      <c r="E290" s="25" t="s">
        <v>3486</v>
      </c>
      <c r="F290" s="25" t="s">
        <v>3485</v>
      </c>
      <c r="G290" s="24"/>
      <c r="H290" s="25" t="s">
        <v>3551</v>
      </c>
      <c r="I290" s="24"/>
      <c r="J290" s="25" t="s">
        <v>3565</v>
      </c>
      <c r="K290" s="29"/>
      <c r="L290" s="29"/>
      <c r="N290" s="30"/>
      <c r="O290" s="31"/>
      <c r="P290" s="31"/>
      <c r="Q290" s="31"/>
      <c r="R290" s="31"/>
      <c r="S290" s="31"/>
      <c r="T290" s="31"/>
      <c r="U290" s="31">
        <f t="shared" si="5"/>
        <v>0</v>
      </c>
      <c r="V290" s="31"/>
      <c r="W290" s="32"/>
      <c r="X290" s="32"/>
      <c r="Y290" s="32"/>
      <c r="Z290" s="33"/>
      <c r="AA290" s="34"/>
    </row>
    <row r="291" spans="1:27" s="25" customFormat="1" ht="78.75" x14ac:dyDescent="0.25">
      <c r="A291" s="24">
        <v>287</v>
      </c>
      <c r="B291" s="24" t="s">
        <v>3437</v>
      </c>
      <c r="C291" s="25" t="s">
        <v>3436</v>
      </c>
      <c r="D291" s="26" t="s">
        <v>3487</v>
      </c>
      <c r="E291" s="25" t="s">
        <v>3486</v>
      </c>
      <c r="F291" s="25" t="s">
        <v>3485</v>
      </c>
      <c r="G291" s="24"/>
      <c r="H291" s="25" t="s">
        <v>3551</v>
      </c>
      <c r="I291" s="24"/>
      <c r="J291" s="25" t="s">
        <v>3563</v>
      </c>
      <c r="K291" s="29"/>
      <c r="L291" s="29" t="s">
        <v>3564</v>
      </c>
      <c r="M291" s="25" t="s">
        <v>190</v>
      </c>
      <c r="N291" s="30">
        <v>52</v>
      </c>
      <c r="O291" s="31"/>
      <c r="P291" s="31">
        <v>16</v>
      </c>
      <c r="Q291" s="31"/>
      <c r="R291" s="31"/>
      <c r="S291" s="31"/>
      <c r="T291" s="31">
        <v>1</v>
      </c>
      <c r="U291" s="31">
        <f t="shared" si="5"/>
        <v>17</v>
      </c>
      <c r="V291" s="31"/>
      <c r="W291" s="32" t="s">
        <v>800</v>
      </c>
      <c r="X291" s="32"/>
      <c r="Y291" s="32"/>
      <c r="Z291" s="33" t="s">
        <v>3482</v>
      </c>
      <c r="AA291" s="34"/>
    </row>
    <row r="292" spans="1:27" s="25" customFormat="1" ht="78.75" x14ac:dyDescent="0.25">
      <c r="A292" s="24">
        <v>288</v>
      </c>
      <c r="B292" s="24" t="s">
        <v>3437</v>
      </c>
      <c r="C292" s="25" t="s">
        <v>3436</v>
      </c>
      <c r="D292" s="26" t="s">
        <v>3487</v>
      </c>
      <c r="E292" s="25" t="s">
        <v>3486</v>
      </c>
      <c r="F292" s="25" t="s">
        <v>3485</v>
      </c>
      <c r="G292" s="24"/>
      <c r="H292" s="25" t="s">
        <v>3551</v>
      </c>
      <c r="I292" s="24"/>
      <c r="J292" s="25" t="s">
        <v>3563</v>
      </c>
      <c r="K292" s="29"/>
      <c r="L292" s="29" t="s">
        <v>3562</v>
      </c>
      <c r="M292" s="25" t="s">
        <v>1275</v>
      </c>
      <c r="N292" s="30">
        <v>2</v>
      </c>
      <c r="O292" s="31"/>
      <c r="P292" s="31">
        <v>40</v>
      </c>
      <c r="Q292" s="31"/>
      <c r="R292" s="31"/>
      <c r="S292" s="31"/>
      <c r="T292" s="31">
        <v>8</v>
      </c>
      <c r="U292" s="31">
        <f t="shared" si="5"/>
        <v>48</v>
      </c>
      <c r="V292" s="31"/>
      <c r="W292" s="32" t="s">
        <v>3491</v>
      </c>
      <c r="X292" s="32"/>
      <c r="Y292" s="32"/>
      <c r="Z292" s="33" t="s">
        <v>3488</v>
      </c>
      <c r="AA292" s="34"/>
    </row>
    <row r="293" spans="1:27" s="25" customFormat="1" ht="78.75" x14ac:dyDescent="0.25">
      <c r="A293" s="24">
        <v>289</v>
      </c>
      <c r="B293" s="24" t="s">
        <v>3437</v>
      </c>
      <c r="C293" s="25" t="s">
        <v>3436</v>
      </c>
      <c r="D293" s="26" t="s">
        <v>3487</v>
      </c>
      <c r="E293" s="25" t="s">
        <v>3486</v>
      </c>
      <c r="F293" s="25" t="s">
        <v>3485</v>
      </c>
      <c r="G293" s="24"/>
      <c r="H293" s="25" t="s">
        <v>3551</v>
      </c>
      <c r="I293" s="24"/>
      <c r="J293" s="25" t="s">
        <v>3550</v>
      </c>
      <c r="K293" s="29"/>
      <c r="L293" s="29" t="s">
        <v>3561</v>
      </c>
      <c r="N293" s="30">
        <v>240</v>
      </c>
      <c r="O293" s="31">
        <v>3</v>
      </c>
      <c r="P293" s="31">
        <v>1</v>
      </c>
      <c r="Q293" s="31">
        <v>1</v>
      </c>
      <c r="R293" s="31">
        <v>0</v>
      </c>
      <c r="S293" s="31"/>
      <c r="T293" s="31">
        <v>0</v>
      </c>
      <c r="U293" s="31">
        <f t="shared" si="5"/>
        <v>5</v>
      </c>
      <c r="V293" s="31">
        <v>1200</v>
      </c>
      <c r="W293" s="32" t="s">
        <v>22</v>
      </c>
      <c r="X293" s="32"/>
      <c r="Y293" s="32"/>
      <c r="Z293" s="33" t="s">
        <v>1008</v>
      </c>
      <c r="AA293" s="34"/>
    </row>
    <row r="294" spans="1:27" s="25" customFormat="1" ht="78.75" x14ac:dyDescent="0.25">
      <c r="A294" s="24">
        <v>290</v>
      </c>
      <c r="B294" s="24" t="s">
        <v>3437</v>
      </c>
      <c r="C294" s="25" t="s">
        <v>3436</v>
      </c>
      <c r="D294" s="26" t="s">
        <v>3487</v>
      </c>
      <c r="E294" s="25" t="s">
        <v>3486</v>
      </c>
      <c r="F294" s="25" t="s">
        <v>3485</v>
      </c>
      <c r="G294" s="24"/>
      <c r="H294" s="25" t="s">
        <v>3551</v>
      </c>
      <c r="I294" s="24"/>
      <c r="J294" s="25" t="s">
        <v>3550</v>
      </c>
      <c r="K294" s="29"/>
      <c r="L294" s="29" t="s">
        <v>3560</v>
      </c>
      <c r="M294" s="25" t="s">
        <v>3555</v>
      </c>
      <c r="N294" s="30">
        <v>42</v>
      </c>
      <c r="O294" s="31">
        <v>14</v>
      </c>
      <c r="P294" s="31">
        <v>0</v>
      </c>
      <c r="Q294" s="31">
        <v>6</v>
      </c>
      <c r="R294" s="31">
        <v>0</v>
      </c>
      <c r="S294" s="31"/>
      <c r="T294" s="31">
        <v>4</v>
      </c>
      <c r="U294" s="31">
        <f t="shared" si="5"/>
        <v>24</v>
      </c>
      <c r="V294" s="31">
        <v>1134</v>
      </c>
      <c r="W294" s="32" t="s">
        <v>800</v>
      </c>
      <c r="X294" s="32"/>
      <c r="Y294" s="32" t="s">
        <v>41</v>
      </c>
      <c r="Z294" s="33" t="s">
        <v>3553</v>
      </c>
      <c r="AA294" s="34"/>
    </row>
    <row r="295" spans="1:27" s="25" customFormat="1" ht="78.75" x14ac:dyDescent="0.25">
      <c r="A295" s="24">
        <v>291</v>
      </c>
      <c r="B295" s="24" t="s">
        <v>3437</v>
      </c>
      <c r="C295" s="25" t="s">
        <v>3436</v>
      </c>
      <c r="D295" s="26" t="s">
        <v>3487</v>
      </c>
      <c r="E295" s="25" t="s">
        <v>3486</v>
      </c>
      <c r="F295" s="25" t="s">
        <v>3485</v>
      </c>
      <c r="G295" s="24"/>
      <c r="H295" s="25" t="s">
        <v>3551</v>
      </c>
      <c r="I295" s="24"/>
      <c r="J295" s="25" t="s">
        <v>3550</v>
      </c>
      <c r="K295" s="29"/>
      <c r="L295" s="29" t="s">
        <v>3559</v>
      </c>
      <c r="M295" s="25" t="s">
        <v>3555</v>
      </c>
      <c r="N295" s="30">
        <v>65</v>
      </c>
      <c r="O295" s="31">
        <v>0</v>
      </c>
      <c r="P295" s="31">
        <v>14</v>
      </c>
      <c r="Q295" s="31">
        <v>6</v>
      </c>
      <c r="R295" s="31">
        <v>0</v>
      </c>
      <c r="S295" s="31"/>
      <c r="T295" s="31">
        <v>4</v>
      </c>
      <c r="U295" s="31">
        <f t="shared" si="5"/>
        <v>24</v>
      </c>
      <c r="V295" s="31">
        <v>1625</v>
      </c>
      <c r="W295" s="32" t="s">
        <v>800</v>
      </c>
      <c r="X295" s="32"/>
      <c r="Y295" s="32" t="s">
        <v>41</v>
      </c>
      <c r="Z295" s="33" t="s">
        <v>3553</v>
      </c>
      <c r="AA295" s="34"/>
    </row>
    <row r="296" spans="1:27" s="25" customFormat="1" ht="78.75" x14ac:dyDescent="0.25">
      <c r="A296" s="24">
        <v>292</v>
      </c>
      <c r="B296" s="24" t="s">
        <v>3437</v>
      </c>
      <c r="C296" s="25" t="s">
        <v>3436</v>
      </c>
      <c r="D296" s="26" t="s">
        <v>3487</v>
      </c>
      <c r="E296" s="25" t="s">
        <v>3486</v>
      </c>
      <c r="F296" s="25" t="s">
        <v>3485</v>
      </c>
      <c r="G296" s="24"/>
      <c r="H296" s="25" t="s">
        <v>3551</v>
      </c>
      <c r="I296" s="24"/>
      <c r="J296" s="25" t="s">
        <v>3550</v>
      </c>
      <c r="K296" s="29"/>
      <c r="L296" s="29" t="s">
        <v>3558</v>
      </c>
      <c r="M296" s="25" t="s">
        <v>3555</v>
      </c>
      <c r="N296" s="30">
        <v>82</v>
      </c>
      <c r="O296" s="31">
        <v>0</v>
      </c>
      <c r="P296" s="31">
        <v>0</v>
      </c>
      <c r="Q296" s="31">
        <v>18</v>
      </c>
      <c r="R296" s="31">
        <v>0</v>
      </c>
      <c r="S296" s="31"/>
      <c r="T296" s="31">
        <v>4</v>
      </c>
      <c r="U296" s="31">
        <f t="shared" si="5"/>
        <v>22</v>
      </c>
      <c r="V296" s="31">
        <v>2132</v>
      </c>
      <c r="W296" s="32" t="s">
        <v>800</v>
      </c>
      <c r="X296" s="32"/>
      <c r="Y296" s="32" t="s">
        <v>41</v>
      </c>
      <c r="Z296" s="33" t="s">
        <v>3553</v>
      </c>
      <c r="AA296" s="34"/>
    </row>
    <row r="297" spans="1:27" s="25" customFormat="1" ht="45" customHeight="1" x14ac:dyDescent="0.25">
      <c r="A297" s="24">
        <v>293</v>
      </c>
      <c r="B297" s="24" t="s">
        <v>3437</v>
      </c>
      <c r="C297" s="25" t="s">
        <v>3436</v>
      </c>
      <c r="D297" s="26" t="s">
        <v>3487</v>
      </c>
      <c r="E297" s="25" t="s">
        <v>3486</v>
      </c>
      <c r="F297" s="25" t="s">
        <v>3485</v>
      </c>
      <c r="G297" s="24"/>
      <c r="H297" s="25" t="s">
        <v>3551</v>
      </c>
      <c r="I297" s="24"/>
      <c r="J297" s="25" t="s">
        <v>3550</v>
      </c>
      <c r="K297" s="29"/>
      <c r="L297" s="29" t="s">
        <v>3557</v>
      </c>
      <c r="M297" s="25" t="s">
        <v>3555</v>
      </c>
      <c r="N297" s="30">
        <v>12</v>
      </c>
      <c r="O297" s="31">
        <v>18</v>
      </c>
      <c r="P297" s="31">
        <v>22</v>
      </c>
      <c r="Q297" s="31">
        <v>8</v>
      </c>
      <c r="R297" s="31">
        <v>0</v>
      </c>
      <c r="S297" s="31"/>
      <c r="T297" s="31">
        <v>8</v>
      </c>
      <c r="U297" s="31">
        <f t="shared" si="5"/>
        <v>56</v>
      </c>
      <c r="V297" s="31">
        <v>672</v>
      </c>
      <c r="W297" s="32" t="s">
        <v>22</v>
      </c>
      <c r="X297" s="32"/>
      <c r="Y297" s="32"/>
      <c r="Z297" s="33" t="s">
        <v>1008</v>
      </c>
      <c r="AA297" s="34"/>
    </row>
    <row r="298" spans="1:27" s="25" customFormat="1" ht="36" customHeight="1" x14ac:dyDescent="0.25">
      <c r="A298" s="24">
        <v>294</v>
      </c>
      <c r="B298" s="24" t="s">
        <v>3437</v>
      </c>
      <c r="C298" s="25" t="s">
        <v>3436</v>
      </c>
      <c r="D298" s="26" t="s">
        <v>3487</v>
      </c>
      <c r="E298" s="25" t="s">
        <v>3486</v>
      </c>
      <c r="F298" s="25" t="s">
        <v>3485</v>
      </c>
      <c r="G298" s="24"/>
      <c r="H298" s="25" t="s">
        <v>3551</v>
      </c>
      <c r="I298" s="24"/>
      <c r="J298" s="25" t="s">
        <v>3550</v>
      </c>
      <c r="K298" s="29"/>
      <c r="L298" s="29" t="s">
        <v>3556</v>
      </c>
      <c r="M298" s="25" t="s">
        <v>3555</v>
      </c>
      <c r="N298" s="30">
        <v>36</v>
      </c>
      <c r="O298" s="31">
        <v>14</v>
      </c>
      <c r="P298" s="31">
        <v>14</v>
      </c>
      <c r="Q298" s="31">
        <v>4</v>
      </c>
      <c r="R298" s="31"/>
      <c r="S298" s="31"/>
      <c r="T298" s="31">
        <v>1</v>
      </c>
      <c r="U298" s="31">
        <f t="shared" si="5"/>
        <v>33</v>
      </c>
      <c r="V298" s="31">
        <v>1188</v>
      </c>
      <c r="W298" s="32" t="s">
        <v>800</v>
      </c>
      <c r="X298" s="32"/>
      <c r="Y298" s="32" t="s">
        <v>41</v>
      </c>
      <c r="Z298" s="33" t="s">
        <v>3553</v>
      </c>
      <c r="AA298" s="34"/>
    </row>
    <row r="299" spans="1:27" s="25" customFormat="1" ht="78.75" x14ac:dyDescent="0.25">
      <c r="A299" s="24">
        <v>295</v>
      </c>
      <c r="B299" s="24" t="s">
        <v>3437</v>
      </c>
      <c r="C299" s="25" t="s">
        <v>3436</v>
      </c>
      <c r="D299" s="26" t="s">
        <v>3487</v>
      </c>
      <c r="E299" s="25" t="s">
        <v>3486</v>
      </c>
      <c r="F299" s="25" t="s">
        <v>3485</v>
      </c>
      <c r="G299" s="24"/>
      <c r="H299" s="25" t="s">
        <v>3551</v>
      </c>
      <c r="I299" s="24"/>
      <c r="J299" s="25" t="s">
        <v>3550</v>
      </c>
      <c r="K299" s="29"/>
      <c r="L299" s="29" t="s">
        <v>3554</v>
      </c>
      <c r="M299" s="25" t="s">
        <v>190</v>
      </c>
      <c r="N299" s="30">
        <v>2</v>
      </c>
      <c r="O299" s="31">
        <v>40</v>
      </c>
      <c r="P299" s="31">
        <v>56</v>
      </c>
      <c r="Q299" s="31">
        <v>28</v>
      </c>
      <c r="R299" s="31">
        <v>0</v>
      </c>
      <c r="S299" s="31"/>
      <c r="T299" s="31">
        <v>4</v>
      </c>
      <c r="U299" s="31">
        <f t="shared" si="5"/>
        <v>128</v>
      </c>
      <c r="V299" s="31">
        <v>496</v>
      </c>
      <c r="W299" s="32" t="s">
        <v>800</v>
      </c>
      <c r="X299" s="32"/>
      <c r="Y299" s="32" t="s">
        <v>41</v>
      </c>
      <c r="Z299" s="33" t="s">
        <v>3553</v>
      </c>
      <c r="AA299" s="34"/>
    </row>
    <row r="300" spans="1:27" s="25" customFormat="1" ht="54.75" customHeight="1" x14ac:dyDescent="0.25">
      <c r="A300" s="24">
        <v>296</v>
      </c>
      <c r="B300" s="24" t="s">
        <v>3437</v>
      </c>
      <c r="C300" s="25" t="s">
        <v>3436</v>
      </c>
      <c r="D300" s="26" t="s">
        <v>3487</v>
      </c>
      <c r="E300" s="25" t="s">
        <v>3486</v>
      </c>
      <c r="F300" s="25" t="s">
        <v>3485</v>
      </c>
      <c r="G300" s="24"/>
      <c r="H300" s="25" t="s">
        <v>3551</v>
      </c>
      <c r="I300" s="24"/>
      <c r="J300" s="25" t="s">
        <v>3550</v>
      </c>
      <c r="K300" s="29"/>
      <c r="L300" s="29" t="s">
        <v>3552</v>
      </c>
      <c r="M300" s="25" t="s">
        <v>190</v>
      </c>
      <c r="N300" s="30">
        <v>2</v>
      </c>
      <c r="O300" s="31">
        <v>32</v>
      </c>
      <c r="P300" s="31">
        <v>21</v>
      </c>
      <c r="Q300" s="31">
        <v>10</v>
      </c>
      <c r="R300" s="31">
        <v>0</v>
      </c>
      <c r="S300" s="31"/>
      <c r="T300" s="31">
        <v>4</v>
      </c>
      <c r="U300" s="31">
        <f t="shared" si="5"/>
        <v>67</v>
      </c>
      <c r="V300" s="31">
        <v>316</v>
      </c>
      <c r="W300" s="32" t="s">
        <v>800</v>
      </c>
      <c r="X300" s="32"/>
      <c r="Y300" s="32" t="s">
        <v>41</v>
      </c>
      <c r="Z300" s="33" t="s">
        <v>1008</v>
      </c>
      <c r="AA300" s="34"/>
    </row>
    <row r="301" spans="1:27" s="25" customFormat="1" ht="35.25" customHeight="1" x14ac:dyDescent="0.25">
      <c r="A301" s="24">
        <v>297</v>
      </c>
      <c r="B301" s="24" t="s">
        <v>3437</v>
      </c>
      <c r="C301" s="25" t="s">
        <v>3436</v>
      </c>
      <c r="D301" s="26" t="s">
        <v>3487</v>
      </c>
      <c r="E301" s="25" t="s">
        <v>3486</v>
      </c>
      <c r="F301" s="25" t="s">
        <v>3485</v>
      </c>
      <c r="G301" s="24"/>
      <c r="H301" s="25" t="s">
        <v>3551</v>
      </c>
      <c r="I301" s="24"/>
      <c r="J301" s="25" t="s">
        <v>3550</v>
      </c>
      <c r="K301" s="29"/>
      <c r="L301" s="29" t="s">
        <v>3549</v>
      </c>
      <c r="M301" s="25" t="s">
        <v>190</v>
      </c>
      <c r="N301" s="30">
        <v>1</v>
      </c>
      <c r="O301" s="31">
        <v>176</v>
      </c>
      <c r="P301" s="31">
        <v>240</v>
      </c>
      <c r="Q301" s="31">
        <v>120</v>
      </c>
      <c r="R301" s="31">
        <v>0</v>
      </c>
      <c r="S301" s="31"/>
      <c r="T301" s="31">
        <v>40</v>
      </c>
      <c r="U301" s="31">
        <f t="shared" si="5"/>
        <v>576</v>
      </c>
      <c r="V301" s="31">
        <v>788</v>
      </c>
      <c r="W301" s="32" t="s">
        <v>22</v>
      </c>
      <c r="X301" s="32"/>
      <c r="Y301" s="32"/>
      <c r="Z301" s="33" t="s">
        <v>1008</v>
      </c>
      <c r="AA301" s="34"/>
    </row>
    <row r="302" spans="1:27" s="25" customFormat="1" ht="78.75" x14ac:dyDescent="0.25">
      <c r="A302" s="24">
        <v>298</v>
      </c>
      <c r="B302" s="24" t="s">
        <v>3437</v>
      </c>
      <c r="C302" s="25" t="s">
        <v>3436</v>
      </c>
      <c r="D302" s="26" t="s">
        <v>3487</v>
      </c>
      <c r="E302" s="25" t="s">
        <v>3486</v>
      </c>
      <c r="F302" s="25" t="s">
        <v>3485</v>
      </c>
      <c r="G302" s="24"/>
      <c r="H302" s="25" t="s">
        <v>3532</v>
      </c>
      <c r="I302" s="24"/>
      <c r="J302" s="25" t="s">
        <v>3548</v>
      </c>
      <c r="K302" s="29"/>
      <c r="L302" s="29"/>
      <c r="N302" s="30"/>
      <c r="O302" s="31"/>
      <c r="P302" s="31"/>
      <c r="Q302" s="31"/>
      <c r="R302" s="31"/>
      <c r="S302" s="31"/>
      <c r="T302" s="31"/>
      <c r="U302" s="31">
        <f t="shared" si="5"/>
        <v>0</v>
      </c>
      <c r="V302" s="31"/>
      <c r="W302" s="32"/>
      <c r="X302" s="32"/>
      <c r="Y302" s="32"/>
      <c r="Z302" s="33"/>
      <c r="AA302" s="34"/>
    </row>
    <row r="303" spans="1:27" s="25" customFormat="1" ht="33.75" customHeight="1" x14ac:dyDescent="0.25">
      <c r="A303" s="24">
        <v>299</v>
      </c>
      <c r="B303" s="24" t="s">
        <v>3437</v>
      </c>
      <c r="C303" s="25" t="s">
        <v>3436</v>
      </c>
      <c r="D303" s="26" t="s">
        <v>3487</v>
      </c>
      <c r="E303" s="25" t="s">
        <v>3486</v>
      </c>
      <c r="F303" s="25" t="s">
        <v>3485</v>
      </c>
      <c r="G303" s="24"/>
      <c r="H303" s="25" t="s">
        <v>3532</v>
      </c>
      <c r="I303" s="24"/>
      <c r="J303" s="25" t="s">
        <v>3546</v>
      </c>
      <c r="K303" s="29"/>
      <c r="L303" s="29" t="s">
        <v>3547</v>
      </c>
      <c r="M303" s="25" t="s">
        <v>2000</v>
      </c>
      <c r="N303" s="30">
        <v>912</v>
      </c>
      <c r="O303" s="31"/>
      <c r="P303" s="31">
        <v>0.5</v>
      </c>
      <c r="Q303" s="31"/>
      <c r="R303" s="31"/>
      <c r="S303" s="31"/>
      <c r="T303" s="31"/>
      <c r="U303" s="31">
        <f t="shared" si="5"/>
        <v>0.5</v>
      </c>
      <c r="V303" s="31"/>
      <c r="W303" s="32" t="s">
        <v>275</v>
      </c>
      <c r="X303" s="32"/>
      <c r="Y303" s="32"/>
      <c r="Z303" s="33" t="s">
        <v>3488</v>
      </c>
      <c r="AA303" s="34"/>
    </row>
    <row r="304" spans="1:27" s="25" customFormat="1" ht="33.75" customHeight="1" x14ac:dyDescent="0.25">
      <c r="A304" s="24">
        <v>300</v>
      </c>
      <c r="B304" s="24" t="s">
        <v>3437</v>
      </c>
      <c r="C304" s="25" t="s">
        <v>3436</v>
      </c>
      <c r="D304" s="26" t="s">
        <v>3487</v>
      </c>
      <c r="E304" s="25" t="s">
        <v>3486</v>
      </c>
      <c r="F304" s="25" t="s">
        <v>3485</v>
      </c>
      <c r="G304" s="24"/>
      <c r="H304" s="25" t="s">
        <v>3532</v>
      </c>
      <c r="I304" s="24"/>
      <c r="J304" s="25" t="s">
        <v>3546</v>
      </c>
      <c r="K304" s="29"/>
      <c r="L304" s="29" t="s">
        <v>3545</v>
      </c>
      <c r="M304" s="25" t="s">
        <v>2000</v>
      </c>
      <c r="N304" s="30">
        <v>48</v>
      </c>
      <c r="O304" s="31"/>
      <c r="P304" s="31"/>
      <c r="Q304" s="31"/>
      <c r="R304" s="31"/>
      <c r="S304" s="31">
        <v>1</v>
      </c>
      <c r="T304" s="31">
        <v>1</v>
      </c>
      <c r="U304" s="31">
        <f t="shared" si="5"/>
        <v>2</v>
      </c>
      <c r="V304" s="31"/>
      <c r="W304" s="32" t="s">
        <v>275</v>
      </c>
      <c r="X304" s="32"/>
      <c r="Y304" s="32"/>
      <c r="Z304" s="33" t="s">
        <v>3488</v>
      </c>
      <c r="AA304" s="34"/>
    </row>
    <row r="305" spans="1:27" s="25" customFormat="1" ht="78.75" x14ac:dyDescent="0.25">
      <c r="A305" s="24">
        <v>301</v>
      </c>
      <c r="B305" s="24" t="s">
        <v>3437</v>
      </c>
      <c r="C305" s="25" t="s">
        <v>3436</v>
      </c>
      <c r="D305" s="26" t="s">
        <v>3487</v>
      </c>
      <c r="E305" s="25" t="s">
        <v>3486</v>
      </c>
      <c r="F305" s="25" t="s">
        <v>3485</v>
      </c>
      <c r="G305" s="24"/>
      <c r="H305" s="25" t="s">
        <v>3532</v>
      </c>
      <c r="I305" s="24"/>
      <c r="J305" s="25" t="s">
        <v>3536</v>
      </c>
      <c r="K305" s="29"/>
      <c r="L305" s="29" t="s">
        <v>3544</v>
      </c>
      <c r="M305" s="25" t="s">
        <v>1240</v>
      </c>
      <c r="N305" s="30">
        <v>25</v>
      </c>
      <c r="O305" s="31">
        <v>2</v>
      </c>
      <c r="P305" s="31">
        <v>1.5</v>
      </c>
      <c r="Q305" s="31"/>
      <c r="R305" s="31"/>
      <c r="S305" s="31">
        <v>0.1</v>
      </c>
      <c r="T305" s="31"/>
      <c r="U305" s="31">
        <f t="shared" si="5"/>
        <v>3.6</v>
      </c>
      <c r="V305" s="31"/>
      <c r="W305" s="32" t="s">
        <v>834</v>
      </c>
      <c r="X305" s="32"/>
      <c r="Y305" s="32"/>
      <c r="Z305" s="33" t="s">
        <v>3488</v>
      </c>
      <c r="AA305" s="34"/>
    </row>
    <row r="306" spans="1:27" s="25" customFormat="1" ht="78.75" x14ac:dyDescent="0.25">
      <c r="A306" s="24">
        <v>302</v>
      </c>
      <c r="B306" s="24" t="s">
        <v>3437</v>
      </c>
      <c r="C306" s="25" t="s">
        <v>3436</v>
      </c>
      <c r="D306" s="26" t="s">
        <v>3487</v>
      </c>
      <c r="E306" s="25" t="s">
        <v>3486</v>
      </c>
      <c r="F306" s="25" t="s">
        <v>3485</v>
      </c>
      <c r="G306" s="24"/>
      <c r="H306" s="25" t="s">
        <v>3532</v>
      </c>
      <c r="I306" s="24"/>
      <c r="J306" s="25" t="s">
        <v>3536</v>
      </c>
      <c r="K306" s="29"/>
      <c r="L306" s="29" t="s">
        <v>3543</v>
      </c>
      <c r="M306" s="25" t="s">
        <v>3534</v>
      </c>
      <c r="N306" s="30">
        <v>48</v>
      </c>
      <c r="O306" s="31"/>
      <c r="P306" s="31">
        <v>2</v>
      </c>
      <c r="Q306" s="31"/>
      <c r="R306" s="31"/>
      <c r="S306" s="31"/>
      <c r="T306" s="31"/>
      <c r="U306" s="31">
        <f t="shared" si="5"/>
        <v>2</v>
      </c>
      <c r="V306" s="31"/>
      <c r="W306" s="32" t="s">
        <v>834</v>
      </c>
      <c r="X306" s="32"/>
      <c r="Y306" s="32"/>
      <c r="Z306" s="33" t="s">
        <v>3488</v>
      </c>
      <c r="AA306" s="34"/>
    </row>
    <row r="307" spans="1:27" s="25" customFormat="1" ht="78.75" x14ac:dyDescent="0.25">
      <c r="A307" s="24">
        <v>303</v>
      </c>
      <c r="B307" s="24" t="s">
        <v>3437</v>
      </c>
      <c r="C307" s="25" t="s">
        <v>3436</v>
      </c>
      <c r="D307" s="26" t="s">
        <v>3487</v>
      </c>
      <c r="E307" s="25" t="s">
        <v>3486</v>
      </c>
      <c r="F307" s="25" t="s">
        <v>3485</v>
      </c>
      <c r="G307" s="24"/>
      <c r="H307" s="25" t="s">
        <v>3532</v>
      </c>
      <c r="I307" s="24"/>
      <c r="J307" s="25" t="s">
        <v>3536</v>
      </c>
      <c r="K307" s="29"/>
      <c r="L307" s="29" t="s">
        <v>3542</v>
      </c>
      <c r="M307" s="25" t="s">
        <v>835</v>
      </c>
      <c r="N307" s="30">
        <v>4</v>
      </c>
      <c r="O307" s="31"/>
      <c r="P307" s="31">
        <v>6.5</v>
      </c>
      <c r="Q307" s="31"/>
      <c r="R307" s="31"/>
      <c r="S307" s="31">
        <v>1</v>
      </c>
      <c r="T307" s="31"/>
      <c r="U307" s="31">
        <f t="shared" si="5"/>
        <v>7.5</v>
      </c>
      <c r="V307" s="31"/>
      <c r="W307" s="32" t="s">
        <v>834</v>
      </c>
      <c r="X307" s="32"/>
      <c r="Y307" s="32"/>
      <c r="Z307" s="33" t="s">
        <v>3488</v>
      </c>
      <c r="AA307" s="34"/>
    </row>
    <row r="308" spans="1:27" s="25" customFormat="1" ht="78.75" x14ac:dyDescent="0.25">
      <c r="A308" s="24">
        <v>304</v>
      </c>
      <c r="B308" s="24" t="s">
        <v>3437</v>
      </c>
      <c r="C308" s="25" t="s">
        <v>3436</v>
      </c>
      <c r="D308" s="26" t="s">
        <v>3487</v>
      </c>
      <c r="E308" s="25" t="s">
        <v>3486</v>
      </c>
      <c r="F308" s="25" t="s">
        <v>3485</v>
      </c>
      <c r="G308" s="24"/>
      <c r="H308" s="25" t="s">
        <v>3532</v>
      </c>
      <c r="I308" s="24"/>
      <c r="J308" s="25" t="s">
        <v>3536</v>
      </c>
      <c r="K308" s="29"/>
      <c r="L308" s="29" t="s">
        <v>3541</v>
      </c>
      <c r="M308" s="25" t="s">
        <v>280</v>
      </c>
      <c r="N308" s="30">
        <v>4</v>
      </c>
      <c r="O308" s="31">
        <v>14</v>
      </c>
      <c r="P308" s="31">
        <v>34.5</v>
      </c>
      <c r="Q308" s="31"/>
      <c r="R308" s="31"/>
      <c r="S308" s="31">
        <v>4</v>
      </c>
      <c r="T308" s="31"/>
      <c r="U308" s="31">
        <f t="shared" si="5"/>
        <v>52.5</v>
      </c>
      <c r="V308" s="31"/>
      <c r="W308" s="32" t="s">
        <v>834</v>
      </c>
      <c r="X308" s="32"/>
      <c r="Y308" s="32"/>
      <c r="Z308" s="33" t="s">
        <v>3488</v>
      </c>
      <c r="AA308" s="34"/>
    </row>
    <row r="309" spans="1:27" s="25" customFormat="1" ht="78.75" x14ac:dyDescent="0.25">
      <c r="A309" s="24">
        <v>305</v>
      </c>
      <c r="B309" s="24" t="s">
        <v>3437</v>
      </c>
      <c r="C309" s="25" t="s">
        <v>3436</v>
      </c>
      <c r="D309" s="26" t="s">
        <v>3487</v>
      </c>
      <c r="E309" s="25" t="s">
        <v>3486</v>
      </c>
      <c r="F309" s="25" t="s">
        <v>3485</v>
      </c>
      <c r="G309" s="24"/>
      <c r="H309" s="25" t="s">
        <v>3532</v>
      </c>
      <c r="I309" s="24"/>
      <c r="J309" s="25" t="s">
        <v>3536</v>
      </c>
      <c r="K309" s="29"/>
      <c r="L309" s="29" t="s">
        <v>3540</v>
      </c>
      <c r="M309" s="25" t="s">
        <v>280</v>
      </c>
      <c r="N309" s="30">
        <v>24</v>
      </c>
      <c r="O309" s="31"/>
      <c r="P309" s="31">
        <v>1.5</v>
      </c>
      <c r="Q309" s="31"/>
      <c r="R309" s="31"/>
      <c r="S309" s="31">
        <v>0.5</v>
      </c>
      <c r="T309" s="31"/>
      <c r="U309" s="31">
        <f t="shared" si="5"/>
        <v>2</v>
      </c>
      <c r="V309" s="31"/>
      <c r="W309" s="32" t="s">
        <v>834</v>
      </c>
      <c r="X309" s="32"/>
      <c r="Y309" s="32"/>
      <c r="Z309" s="33" t="s">
        <v>3488</v>
      </c>
      <c r="AA309" s="34"/>
    </row>
    <row r="310" spans="1:27" s="25" customFormat="1" ht="78.75" x14ac:dyDescent="0.25">
      <c r="A310" s="24">
        <v>306</v>
      </c>
      <c r="B310" s="24" t="s">
        <v>3437</v>
      </c>
      <c r="C310" s="25" t="s">
        <v>3436</v>
      </c>
      <c r="D310" s="26" t="s">
        <v>3487</v>
      </c>
      <c r="E310" s="25" t="s">
        <v>3486</v>
      </c>
      <c r="F310" s="25" t="s">
        <v>3485</v>
      </c>
      <c r="G310" s="24"/>
      <c r="H310" s="25" t="s">
        <v>3532</v>
      </c>
      <c r="I310" s="24"/>
      <c r="J310" s="25" t="s">
        <v>3536</v>
      </c>
      <c r="K310" s="29"/>
      <c r="L310" s="29" t="s">
        <v>3539</v>
      </c>
      <c r="M310" s="25" t="s">
        <v>314</v>
      </c>
      <c r="N310" s="30">
        <v>3</v>
      </c>
      <c r="O310" s="31"/>
      <c r="P310" s="31">
        <v>50</v>
      </c>
      <c r="Q310" s="31"/>
      <c r="R310" s="31"/>
      <c r="S310" s="31">
        <v>3</v>
      </c>
      <c r="T310" s="31"/>
      <c r="U310" s="31">
        <f t="shared" si="5"/>
        <v>53</v>
      </c>
      <c r="V310" s="31"/>
      <c r="W310" s="32" t="s">
        <v>834</v>
      </c>
      <c r="X310" s="32"/>
      <c r="Y310" s="32"/>
      <c r="Z310" s="33" t="s">
        <v>3488</v>
      </c>
      <c r="AA310" s="34"/>
    </row>
    <row r="311" spans="1:27" s="25" customFormat="1" ht="78.75" x14ac:dyDescent="0.25">
      <c r="A311" s="24">
        <v>307</v>
      </c>
      <c r="B311" s="24" t="s">
        <v>3437</v>
      </c>
      <c r="C311" s="25" t="s">
        <v>3436</v>
      </c>
      <c r="D311" s="26" t="s">
        <v>3487</v>
      </c>
      <c r="E311" s="25" t="s">
        <v>3486</v>
      </c>
      <c r="F311" s="25" t="s">
        <v>3485</v>
      </c>
      <c r="G311" s="24"/>
      <c r="H311" s="25" t="s">
        <v>3532</v>
      </c>
      <c r="I311" s="24"/>
      <c r="J311" s="25" t="s">
        <v>3536</v>
      </c>
      <c r="K311" s="29"/>
      <c r="L311" s="29" t="s">
        <v>3538</v>
      </c>
      <c r="M311" s="25" t="s">
        <v>314</v>
      </c>
      <c r="N311" s="30">
        <v>2</v>
      </c>
      <c r="O311" s="31"/>
      <c r="P311" s="31">
        <v>40</v>
      </c>
      <c r="Q311" s="31"/>
      <c r="R311" s="31"/>
      <c r="S311" s="31">
        <v>5</v>
      </c>
      <c r="T311" s="31"/>
      <c r="U311" s="31">
        <f t="shared" si="5"/>
        <v>45</v>
      </c>
      <c r="V311" s="31"/>
      <c r="W311" s="32" t="s">
        <v>834</v>
      </c>
      <c r="X311" s="32"/>
      <c r="Y311" s="32"/>
      <c r="Z311" s="33" t="s">
        <v>3488</v>
      </c>
      <c r="AA311" s="34"/>
    </row>
    <row r="312" spans="1:27" s="25" customFormat="1" ht="78.75" x14ac:dyDescent="0.25">
      <c r="A312" s="24">
        <v>308</v>
      </c>
      <c r="B312" s="24" t="s">
        <v>3437</v>
      </c>
      <c r="C312" s="25" t="s">
        <v>3436</v>
      </c>
      <c r="D312" s="26" t="s">
        <v>3487</v>
      </c>
      <c r="E312" s="25" t="s">
        <v>3486</v>
      </c>
      <c r="F312" s="25" t="s">
        <v>3485</v>
      </c>
      <c r="G312" s="24"/>
      <c r="H312" s="25" t="s">
        <v>3532</v>
      </c>
      <c r="I312" s="24"/>
      <c r="J312" s="25" t="s">
        <v>3536</v>
      </c>
      <c r="K312" s="29"/>
      <c r="L312" s="29" t="s">
        <v>3537</v>
      </c>
      <c r="M312" s="25" t="s">
        <v>314</v>
      </c>
      <c r="N312" s="30">
        <v>4</v>
      </c>
      <c r="O312" s="31"/>
      <c r="P312" s="31"/>
      <c r="Q312" s="31">
        <v>17</v>
      </c>
      <c r="R312" s="31"/>
      <c r="S312" s="31">
        <v>2</v>
      </c>
      <c r="T312" s="31"/>
      <c r="U312" s="31">
        <f t="shared" si="5"/>
        <v>19</v>
      </c>
      <c r="V312" s="31"/>
      <c r="W312" s="32" t="s">
        <v>834</v>
      </c>
      <c r="X312" s="32"/>
      <c r="Y312" s="32"/>
      <c r="Z312" s="33" t="s">
        <v>3488</v>
      </c>
      <c r="AA312" s="34"/>
    </row>
    <row r="313" spans="1:27" s="25" customFormat="1" ht="78.75" x14ac:dyDescent="0.25">
      <c r="A313" s="24">
        <v>309</v>
      </c>
      <c r="B313" s="24" t="s">
        <v>3437</v>
      </c>
      <c r="C313" s="25" t="s">
        <v>3436</v>
      </c>
      <c r="D313" s="26" t="s">
        <v>3487</v>
      </c>
      <c r="E313" s="25" t="s">
        <v>3486</v>
      </c>
      <c r="F313" s="25" t="s">
        <v>3485</v>
      </c>
      <c r="G313" s="24"/>
      <c r="H313" s="25" t="s">
        <v>3532</v>
      </c>
      <c r="I313" s="24"/>
      <c r="J313" s="25" t="s">
        <v>3536</v>
      </c>
      <c r="K313" s="29"/>
      <c r="L313" s="29" t="s">
        <v>3535</v>
      </c>
      <c r="M313" s="25" t="s">
        <v>3534</v>
      </c>
      <c r="N313" s="30">
        <v>30</v>
      </c>
      <c r="O313" s="31"/>
      <c r="P313" s="31">
        <v>1</v>
      </c>
      <c r="Q313" s="31"/>
      <c r="R313" s="31"/>
      <c r="S313" s="31"/>
      <c r="T313" s="31"/>
      <c r="U313" s="31">
        <f t="shared" si="5"/>
        <v>1</v>
      </c>
      <c r="V313" s="31"/>
      <c r="W313" s="32" t="s">
        <v>834</v>
      </c>
      <c r="X313" s="32"/>
      <c r="Y313" s="32"/>
      <c r="Z313" s="33" t="s">
        <v>3488</v>
      </c>
      <c r="AA313" s="34"/>
    </row>
    <row r="314" spans="1:27" s="25" customFormat="1" ht="46.5" customHeight="1" x14ac:dyDescent="0.25">
      <c r="A314" s="24">
        <v>310</v>
      </c>
      <c r="B314" s="24" t="s">
        <v>3437</v>
      </c>
      <c r="C314" s="25" t="s">
        <v>3436</v>
      </c>
      <c r="D314" s="26" t="s">
        <v>3487</v>
      </c>
      <c r="E314" s="25" t="s">
        <v>3486</v>
      </c>
      <c r="F314" s="25" t="s">
        <v>3485</v>
      </c>
      <c r="G314" s="24"/>
      <c r="H314" s="25" t="s">
        <v>3532</v>
      </c>
      <c r="I314" s="24"/>
      <c r="J314" s="25" t="s">
        <v>3531</v>
      </c>
      <c r="K314" s="29"/>
      <c r="L314" s="29" t="s">
        <v>3533</v>
      </c>
      <c r="M314" s="25" t="s">
        <v>1275</v>
      </c>
      <c r="N314" s="30">
        <v>4</v>
      </c>
      <c r="O314" s="31"/>
      <c r="P314" s="31">
        <v>56</v>
      </c>
      <c r="Q314" s="31"/>
      <c r="R314" s="31"/>
      <c r="S314" s="31">
        <v>8</v>
      </c>
      <c r="T314" s="31"/>
      <c r="U314" s="31">
        <f t="shared" si="5"/>
        <v>64</v>
      </c>
      <c r="V314" s="31"/>
      <c r="W314" s="32" t="s">
        <v>834</v>
      </c>
      <c r="X314" s="32"/>
      <c r="Y314" s="32"/>
      <c r="Z314" s="33" t="s">
        <v>3488</v>
      </c>
      <c r="AA314" s="34"/>
    </row>
    <row r="315" spans="1:27" s="25" customFormat="1" ht="46.5" customHeight="1" x14ac:dyDescent="0.25">
      <c r="A315" s="24">
        <v>311</v>
      </c>
      <c r="B315" s="24" t="s">
        <v>3437</v>
      </c>
      <c r="C315" s="25" t="s">
        <v>3436</v>
      </c>
      <c r="D315" s="26" t="s">
        <v>3487</v>
      </c>
      <c r="E315" s="25" t="s">
        <v>3486</v>
      </c>
      <c r="F315" s="25" t="s">
        <v>3485</v>
      </c>
      <c r="G315" s="24"/>
      <c r="H315" s="25" t="s">
        <v>3532</v>
      </c>
      <c r="I315" s="24"/>
      <c r="J315" s="25" t="s">
        <v>3531</v>
      </c>
      <c r="K315" s="29"/>
      <c r="L315" s="29" t="s">
        <v>3530</v>
      </c>
      <c r="M315" s="25" t="s">
        <v>1240</v>
      </c>
      <c r="N315" s="30">
        <v>200</v>
      </c>
      <c r="O315" s="31">
        <v>2</v>
      </c>
      <c r="P315" s="31">
        <v>1.5</v>
      </c>
      <c r="Q315" s="31"/>
      <c r="R315" s="31"/>
      <c r="S315" s="31">
        <v>0.25</v>
      </c>
      <c r="T315" s="31"/>
      <c r="U315" s="31">
        <f t="shared" si="5"/>
        <v>3.75</v>
      </c>
      <c r="V315" s="31"/>
      <c r="W315" s="32" t="s">
        <v>800</v>
      </c>
      <c r="X315" s="32"/>
      <c r="Y315" s="32"/>
      <c r="Z315" s="33" t="s">
        <v>3482</v>
      </c>
      <c r="AA315" s="34"/>
    </row>
    <row r="316" spans="1:27" s="25" customFormat="1" ht="78.75" x14ac:dyDescent="0.25">
      <c r="A316" s="24">
        <v>312</v>
      </c>
      <c r="B316" s="24" t="s">
        <v>3437</v>
      </c>
      <c r="C316" s="25" t="s">
        <v>3436</v>
      </c>
      <c r="D316" s="26" t="s">
        <v>3487</v>
      </c>
      <c r="E316" s="25" t="s">
        <v>3486</v>
      </c>
      <c r="F316" s="25" t="s">
        <v>3485</v>
      </c>
      <c r="G316" s="24"/>
      <c r="H316" s="25" t="s">
        <v>3501</v>
      </c>
      <c r="I316" s="24"/>
      <c r="J316" s="25" t="s">
        <v>3520</v>
      </c>
      <c r="K316" s="29"/>
      <c r="L316" s="29" t="s">
        <v>3529</v>
      </c>
      <c r="M316" s="25" t="s">
        <v>3528</v>
      </c>
      <c r="N316" s="30">
        <v>13000</v>
      </c>
      <c r="O316" s="31"/>
      <c r="P316" s="31">
        <v>0.16666666666666666</v>
      </c>
      <c r="Q316" s="31"/>
      <c r="R316" s="31"/>
      <c r="S316" s="31"/>
      <c r="T316" s="31"/>
      <c r="U316" s="31">
        <f t="shared" si="5"/>
        <v>0.16666666666666666</v>
      </c>
      <c r="V316" s="31"/>
      <c r="W316" s="32" t="s">
        <v>848</v>
      </c>
      <c r="X316" s="32"/>
      <c r="Y316" s="32"/>
      <c r="Z316" s="33" t="s">
        <v>158</v>
      </c>
      <c r="AA316" s="34"/>
    </row>
    <row r="317" spans="1:27" s="25" customFormat="1" ht="78.75" x14ac:dyDescent="0.25">
      <c r="A317" s="24">
        <v>313</v>
      </c>
      <c r="B317" s="24" t="s">
        <v>3437</v>
      </c>
      <c r="C317" s="25" t="s">
        <v>3436</v>
      </c>
      <c r="D317" s="26" t="s">
        <v>3487</v>
      </c>
      <c r="E317" s="25" t="s">
        <v>3486</v>
      </c>
      <c r="F317" s="25" t="s">
        <v>3485</v>
      </c>
      <c r="G317" s="24"/>
      <c r="H317" s="25" t="s">
        <v>3501</v>
      </c>
      <c r="I317" s="24"/>
      <c r="J317" s="25" t="s">
        <v>3520</v>
      </c>
      <c r="K317" s="29"/>
      <c r="L317" s="29" t="s">
        <v>3527</v>
      </c>
      <c r="M317" s="25" t="s">
        <v>424</v>
      </c>
      <c r="N317" s="30">
        <v>16</v>
      </c>
      <c r="O317" s="31"/>
      <c r="P317" s="31">
        <v>38</v>
      </c>
      <c r="Q317" s="31">
        <v>4</v>
      </c>
      <c r="R317" s="31"/>
      <c r="S317" s="31">
        <v>1</v>
      </c>
      <c r="T317" s="31">
        <v>1</v>
      </c>
      <c r="U317" s="31">
        <f t="shared" si="5"/>
        <v>44</v>
      </c>
      <c r="V317" s="31"/>
      <c r="W317" s="32" t="s">
        <v>848</v>
      </c>
      <c r="X317" s="32" t="s">
        <v>3498</v>
      </c>
      <c r="Y317" s="32"/>
      <c r="Z317" s="33" t="s">
        <v>158</v>
      </c>
      <c r="AA317" s="34"/>
    </row>
    <row r="318" spans="1:27" s="25" customFormat="1" ht="78.75" x14ac:dyDescent="0.25">
      <c r="A318" s="24">
        <v>314</v>
      </c>
      <c r="B318" s="24" t="s">
        <v>3437</v>
      </c>
      <c r="C318" s="25" t="s">
        <v>3436</v>
      </c>
      <c r="D318" s="26" t="s">
        <v>3487</v>
      </c>
      <c r="E318" s="25" t="s">
        <v>3486</v>
      </c>
      <c r="F318" s="25" t="s">
        <v>3485</v>
      </c>
      <c r="G318" s="24"/>
      <c r="H318" s="25" t="s">
        <v>3501</v>
      </c>
      <c r="I318" s="24"/>
      <c r="J318" s="25" t="s">
        <v>3520</v>
      </c>
      <c r="K318" s="29"/>
      <c r="L318" s="29" t="s">
        <v>3526</v>
      </c>
      <c r="M318" s="25" t="s">
        <v>424</v>
      </c>
      <c r="N318" s="30">
        <v>4</v>
      </c>
      <c r="O318" s="31"/>
      <c r="P318" s="31">
        <v>38</v>
      </c>
      <c r="Q318" s="31">
        <v>4</v>
      </c>
      <c r="R318" s="31"/>
      <c r="S318" s="31">
        <v>1</v>
      </c>
      <c r="T318" s="31">
        <v>1</v>
      </c>
      <c r="U318" s="31">
        <f t="shared" si="5"/>
        <v>44</v>
      </c>
      <c r="V318" s="31"/>
      <c r="W318" s="32" t="s">
        <v>848</v>
      </c>
      <c r="X318" s="32" t="s">
        <v>3498</v>
      </c>
      <c r="Y318" s="32"/>
      <c r="Z318" s="33" t="s">
        <v>158</v>
      </c>
      <c r="AA318" s="34"/>
    </row>
    <row r="319" spans="1:27" s="25" customFormat="1" ht="78.75" x14ac:dyDescent="0.25">
      <c r="A319" s="24">
        <v>315</v>
      </c>
      <c r="B319" s="24" t="s">
        <v>3437</v>
      </c>
      <c r="C319" s="25" t="s">
        <v>3436</v>
      </c>
      <c r="D319" s="26" t="s">
        <v>3487</v>
      </c>
      <c r="E319" s="25" t="s">
        <v>3486</v>
      </c>
      <c r="F319" s="25" t="s">
        <v>3485</v>
      </c>
      <c r="G319" s="24"/>
      <c r="H319" s="25" t="s">
        <v>3501</v>
      </c>
      <c r="I319" s="24"/>
      <c r="J319" s="25" t="s">
        <v>3520</v>
      </c>
      <c r="K319" s="29"/>
      <c r="L319" s="29" t="s">
        <v>3525</v>
      </c>
      <c r="M319" s="25" t="s">
        <v>424</v>
      </c>
      <c r="N319" s="30">
        <v>70</v>
      </c>
      <c r="O319" s="31"/>
      <c r="P319" s="31">
        <v>38</v>
      </c>
      <c r="Q319" s="31">
        <v>4</v>
      </c>
      <c r="R319" s="31"/>
      <c r="S319" s="31">
        <v>1</v>
      </c>
      <c r="T319" s="31">
        <v>1</v>
      </c>
      <c r="U319" s="31">
        <f t="shared" si="5"/>
        <v>44</v>
      </c>
      <c r="V319" s="31"/>
      <c r="W319" s="32" t="s">
        <v>848</v>
      </c>
      <c r="X319" s="32" t="s">
        <v>3498</v>
      </c>
      <c r="Y319" s="32"/>
      <c r="Z319" s="33" t="s">
        <v>158</v>
      </c>
      <c r="AA319" s="34"/>
    </row>
    <row r="320" spans="1:27" s="25" customFormat="1" ht="78.75" x14ac:dyDescent="0.25">
      <c r="A320" s="24">
        <v>316</v>
      </c>
      <c r="B320" s="24" t="s">
        <v>3437</v>
      </c>
      <c r="C320" s="25" t="s">
        <v>3436</v>
      </c>
      <c r="D320" s="26" t="s">
        <v>3487</v>
      </c>
      <c r="E320" s="25" t="s">
        <v>3486</v>
      </c>
      <c r="F320" s="25" t="s">
        <v>3485</v>
      </c>
      <c r="G320" s="24"/>
      <c r="H320" s="25" t="s">
        <v>3501</v>
      </c>
      <c r="I320" s="24"/>
      <c r="J320" s="25" t="s">
        <v>3520</v>
      </c>
      <c r="K320" s="29"/>
      <c r="L320" s="29" t="s">
        <v>3524</v>
      </c>
      <c r="M320" s="25" t="s">
        <v>592</v>
      </c>
      <c r="N320" s="30">
        <v>1</v>
      </c>
      <c r="O320" s="31"/>
      <c r="P320" s="31">
        <v>20</v>
      </c>
      <c r="Q320" s="31">
        <v>30</v>
      </c>
      <c r="R320" s="31"/>
      <c r="S320" s="31">
        <v>10</v>
      </c>
      <c r="T320" s="31">
        <v>4</v>
      </c>
      <c r="U320" s="31">
        <f t="shared" si="5"/>
        <v>64</v>
      </c>
      <c r="V320" s="31"/>
      <c r="W320" s="32" t="s">
        <v>22</v>
      </c>
      <c r="X320" s="32" t="s">
        <v>3517</v>
      </c>
      <c r="Y320" s="32"/>
      <c r="Z320" s="33" t="s">
        <v>158</v>
      </c>
      <c r="AA320" s="34"/>
    </row>
    <row r="321" spans="1:27" s="25" customFormat="1" ht="78.75" x14ac:dyDescent="0.25">
      <c r="A321" s="24">
        <v>317</v>
      </c>
      <c r="B321" s="24" t="s">
        <v>3437</v>
      </c>
      <c r="C321" s="25" t="s">
        <v>3436</v>
      </c>
      <c r="D321" s="26" t="s">
        <v>3487</v>
      </c>
      <c r="E321" s="25" t="s">
        <v>3486</v>
      </c>
      <c r="F321" s="25" t="s">
        <v>3485</v>
      </c>
      <c r="G321" s="24"/>
      <c r="H321" s="25" t="s">
        <v>3501</v>
      </c>
      <c r="I321" s="24"/>
      <c r="J321" s="25" t="s">
        <v>3520</v>
      </c>
      <c r="K321" s="29"/>
      <c r="L321" s="29" t="s">
        <v>3523</v>
      </c>
      <c r="M321" s="25" t="s">
        <v>424</v>
      </c>
      <c r="N321" s="30">
        <v>90</v>
      </c>
      <c r="O321" s="31"/>
      <c r="P321" s="31">
        <v>30</v>
      </c>
      <c r="Q321" s="31">
        <v>16</v>
      </c>
      <c r="R321" s="31"/>
      <c r="S321" s="31">
        <v>4</v>
      </c>
      <c r="T321" s="31">
        <v>4</v>
      </c>
      <c r="U321" s="31">
        <f t="shared" si="5"/>
        <v>54</v>
      </c>
      <c r="V321" s="31"/>
      <c r="W321" s="32" t="s">
        <v>848</v>
      </c>
      <c r="X321" s="32" t="s">
        <v>3498</v>
      </c>
      <c r="Y321" s="32"/>
      <c r="Z321" s="33" t="s">
        <v>158</v>
      </c>
      <c r="AA321" s="34"/>
    </row>
    <row r="322" spans="1:27" s="25" customFormat="1" ht="78.75" x14ac:dyDescent="0.25">
      <c r="A322" s="24">
        <v>318</v>
      </c>
      <c r="B322" s="24" t="s">
        <v>3437</v>
      </c>
      <c r="C322" s="25" t="s">
        <v>3436</v>
      </c>
      <c r="D322" s="26" t="s">
        <v>3487</v>
      </c>
      <c r="E322" s="25" t="s">
        <v>3486</v>
      </c>
      <c r="F322" s="25" t="s">
        <v>3485</v>
      </c>
      <c r="G322" s="24"/>
      <c r="H322" s="25" t="s">
        <v>3501</v>
      </c>
      <c r="I322" s="24"/>
      <c r="J322" s="25" t="s">
        <v>3520</v>
      </c>
      <c r="K322" s="29"/>
      <c r="L322" s="29" t="s">
        <v>3522</v>
      </c>
      <c r="M322" s="25" t="s">
        <v>190</v>
      </c>
      <c r="N322" s="30">
        <v>90</v>
      </c>
      <c r="O322" s="31"/>
      <c r="P322" s="31">
        <v>45.5</v>
      </c>
      <c r="Q322" s="31">
        <v>2</v>
      </c>
      <c r="R322" s="31"/>
      <c r="S322" s="31">
        <v>1</v>
      </c>
      <c r="T322" s="31">
        <v>1</v>
      </c>
      <c r="U322" s="31">
        <f t="shared" si="5"/>
        <v>49.5</v>
      </c>
      <c r="V322" s="31"/>
      <c r="W322" s="32" t="s">
        <v>848</v>
      </c>
      <c r="X322" s="32" t="s">
        <v>3498</v>
      </c>
      <c r="Y322" s="32"/>
      <c r="Z322" s="33" t="s">
        <v>158</v>
      </c>
      <c r="AA322" s="34"/>
    </row>
    <row r="323" spans="1:27" s="25" customFormat="1" ht="78.75" x14ac:dyDescent="0.25">
      <c r="A323" s="24">
        <v>319</v>
      </c>
      <c r="B323" s="24" t="s">
        <v>3437</v>
      </c>
      <c r="C323" s="25" t="s">
        <v>3436</v>
      </c>
      <c r="D323" s="26" t="s">
        <v>3487</v>
      </c>
      <c r="E323" s="25" t="s">
        <v>3486</v>
      </c>
      <c r="F323" s="25" t="s">
        <v>3485</v>
      </c>
      <c r="G323" s="24"/>
      <c r="H323" s="25" t="s">
        <v>3501</v>
      </c>
      <c r="I323" s="24"/>
      <c r="J323" s="25" t="s">
        <v>3520</v>
      </c>
      <c r="K323" s="29"/>
      <c r="L323" s="29" t="s">
        <v>3521</v>
      </c>
      <c r="M323" s="25" t="s">
        <v>190</v>
      </c>
      <c r="N323" s="30">
        <v>12</v>
      </c>
      <c r="O323" s="31"/>
      <c r="P323" s="31">
        <v>2.5</v>
      </c>
      <c r="Q323" s="31">
        <v>40</v>
      </c>
      <c r="R323" s="31"/>
      <c r="S323" s="31">
        <v>1</v>
      </c>
      <c r="T323" s="31">
        <v>0.5</v>
      </c>
      <c r="U323" s="31">
        <f t="shared" si="5"/>
        <v>44</v>
      </c>
      <c r="V323" s="31"/>
      <c r="W323" s="32" t="s">
        <v>848</v>
      </c>
      <c r="X323" s="32" t="s">
        <v>3498</v>
      </c>
      <c r="Y323" s="32"/>
      <c r="Z323" s="33" t="s">
        <v>158</v>
      </c>
      <c r="AA323" s="34"/>
    </row>
    <row r="324" spans="1:27" s="25" customFormat="1" ht="78.75" x14ac:dyDescent="0.25">
      <c r="A324" s="24">
        <v>320</v>
      </c>
      <c r="B324" s="24" t="s">
        <v>3437</v>
      </c>
      <c r="C324" s="25" t="s">
        <v>3436</v>
      </c>
      <c r="D324" s="26" t="s">
        <v>3487</v>
      </c>
      <c r="E324" s="25" t="s">
        <v>3486</v>
      </c>
      <c r="F324" s="25" t="s">
        <v>3485</v>
      </c>
      <c r="G324" s="24"/>
      <c r="H324" s="25" t="s">
        <v>3501</v>
      </c>
      <c r="I324" s="24"/>
      <c r="J324" s="25" t="s">
        <v>3520</v>
      </c>
      <c r="K324" s="29"/>
      <c r="L324" s="29" t="s">
        <v>3519</v>
      </c>
      <c r="M324" s="25" t="s">
        <v>3518</v>
      </c>
      <c r="N324" s="30">
        <v>1</v>
      </c>
      <c r="O324" s="31"/>
      <c r="P324" s="31">
        <v>12</v>
      </c>
      <c r="Q324" s="31">
        <v>56</v>
      </c>
      <c r="R324" s="31"/>
      <c r="S324" s="31">
        <v>8</v>
      </c>
      <c r="T324" s="31">
        <v>8</v>
      </c>
      <c r="U324" s="31">
        <f t="shared" si="5"/>
        <v>84</v>
      </c>
      <c r="V324" s="31"/>
      <c r="W324" s="32" t="s">
        <v>22</v>
      </c>
      <c r="X324" s="32" t="s">
        <v>3517</v>
      </c>
      <c r="Y324" s="32"/>
      <c r="Z324" s="33" t="s">
        <v>158</v>
      </c>
      <c r="AA324" s="34"/>
    </row>
    <row r="325" spans="1:27" s="25" customFormat="1" ht="39" customHeight="1" x14ac:dyDescent="0.25">
      <c r="A325" s="24">
        <v>321</v>
      </c>
      <c r="B325" s="24" t="s">
        <v>3437</v>
      </c>
      <c r="C325" s="25" t="s">
        <v>3436</v>
      </c>
      <c r="D325" s="26" t="s">
        <v>3487</v>
      </c>
      <c r="E325" s="25" t="s">
        <v>3486</v>
      </c>
      <c r="F325" s="25" t="s">
        <v>3485</v>
      </c>
      <c r="G325" s="24"/>
      <c r="H325" s="25" t="s">
        <v>3501</v>
      </c>
      <c r="I325" s="24"/>
      <c r="J325" s="25" t="s">
        <v>3513</v>
      </c>
      <c r="K325" s="29"/>
      <c r="L325" s="29" t="s">
        <v>3516</v>
      </c>
      <c r="M325" s="25" t="s">
        <v>3515</v>
      </c>
      <c r="N325" s="30">
        <v>36</v>
      </c>
      <c r="O325" s="31">
        <v>40</v>
      </c>
      <c r="P325" s="31">
        <v>40</v>
      </c>
      <c r="Q325" s="31"/>
      <c r="R325" s="31"/>
      <c r="S325" s="31"/>
      <c r="T325" s="31">
        <v>2</v>
      </c>
      <c r="U325" s="31">
        <f t="shared" si="5"/>
        <v>82</v>
      </c>
      <c r="V325" s="31"/>
      <c r="W325" s="32" t="s">
        <v>800</v>
      </c>
      <c r="X325" s="32"/>
      <c r="Y325" s="32"/>
      <c r="Z325" s="33" t="s">
        <v>3482</v>
      </c>
      <c r="AA325" s="34"/>
    </row>
    <row r="326" spans="1:27" s="25" customFormat="1" ht="78.75" x14ac:dyDescent="0.25">
      <c r="A326" s="24">
        <v>322</v>
      </c>
      <c r="B326" s="24" t="s">
        <v>3437</v>
      </c>
      <c r="C326" s="25" t="s">
        <v>3436</v>
      </c>
      <c r="D326" s="26" t="s">
        <v>3487</v>
      </c>
      <c r="E326" s="25" t="s">
        <v>3486</v>
      </c>
      <c r="F326" s="25" t="s">
        <v>3485</v>
      </c>
      <c r="G326" s="24"/>
      <c r="H326" s="25" t="s">
        <v>3501</v>
      </c>
      <c r="I326" s="24"/>
      <c r="J326" s="25" t="s">
        <v>3513</v>
      </c>
      <c r="K326" s="29"/>
      <c r="L326" s="29" t="s">
        <v>3514</v>
      </c>
      <c r="M326" s="25" t="s">
        <v>209</v>
      </c>
      <c r="N326" s="30">
        <v>20</v>
      </c>
      <c r="O326" s="31"/>
      <c r="P326" s="31"/>
      <c r="Q326" s="31">
        <v>4.5</v>
      </c>
      <c r="R326" s="31"/>
      <c r="S326" s="31">
        <v>0.5</v>
      </c>
      <c r="T326" s="31">
        <v>0.5</v>
      </c>
      <c r="U326" s="31">
        <f t="shared" ref="U326:U389" si="6">SUM(O326:T326)</f>
        <v>5.5</v>
      </c>
      <c r="V326" s="31"/>
      <c r="W326" s="32" t="s">
        <v>238</v>
      </c>
      <c r="X326" s="32" t="s">
        <v>3498</v>
      </c>
      <c r="Y326" s="32"/>
      <c r="Z326" s="33" t="s">
        <v>3488</v>
      </c>
      <c r="AA326" s="34"/>
    </row>
    <row r="327" spans="1:27" s="25" customFormat="1" ht="78.75" x14ac:dyDescent="0.25">
      <c r="A327" s="24">
        <v>323</v>
      </c>
      <c r="B327" s="24" t="s">
        <v>3437</v>
      </c>
      <c r="C327" s="25" t="s">
        <v>3436</v>
      </c>
      <c r="D327" s="26" t="s">
        <v>3487</v>
      </c>
      <c r="E327" s="25" t="s">
        <v>3486</v>
      </c>
      <c r="F327" s="25" t="s">
        <v>3485</v>
      </c>
      <c r="G327" s="24"/>
      <c r="H327" s="25" t="s">
        <v>3501</v>
      </c>
      <c r="I327" s="24"/>
      <c r="J327" s="25" t="s">
        <v>3513</v>
      </c>
      <c r="K327" s="29"/>
      <c r="L327" s="29" t="s">
        <v>3512</v>
      </c>
      <c r="M327" s="25" t="s">
        <v>3511</v>
      </c>
      <c r="N327" s="30">
        <v>6</v>
      </c>
      <c r="O327" s="31"/>
      <c r="P327" s="31">
        <v>32</v>
      </c>
      <c r="Q327" s="31">
        <v>20</v>
      </c>
      <c r="R327" s="31"/>
      <c r="S327" s="31">
        <v>6</v>
      </c>
      <c r="T327" s="31">
        <v>8</v>
      </c>
      <c r="U327" s="31">
        <f t="shared" si="6"/>
        <v>66</v>
      </c>
      <c r="V327" s="31"/>
      <c r="W327" s="32" t="s">
        <v>848</v>
      </c>
      <c r="X327" s="32" t="s">
        <v>3498</v>
      </c>
      <c r="Y327" s="32"/>
      <c r="Z327" s="33" t="s">
        <v>158</v>
      </c>
      <c r="AA327" s="34"/>
    </row>
    <row r="328" spans="1:27" s="25" customFormat="1" ht="78.75" x14ac:dyDescent="0.25">
      <c r="A328" s="24">
        <v>324</v>
      </c>
      <c r="B328" s="24" t="s">
        <v>3437</v>
      </c>
      <c r="C328" s="25" t="s">
        <v>3436</v>
      </c>
      <c r="D328" s="26" t="s">
        <v>3487</v>
      </c>
      <c r="E328" s="25" t="s">
        <v>3486</v>
      </c>
      <c r="F328" s="25" t="s">
        <v>3485</v>
      </c>
      <c r="G328" s="24"/>
      <c r="H328" s="25" t="s">
        <v>3501</v>
      </c>
      <c r="I328" s="24"/>
      <c r="J328" s="25" t="s">
        <v>3505</v>
      </c>
      <c r="K328" s="29"/>
      <c r="L328" s="29" t="s">
        <v>3510</v>
      </c>
      <c r="M328" s="25" t="s">
        <v>3503</v>
      </c>
      <c r="N328" s="30">
        <v>2</v>
      </c>
      <c r="O328" s="31"/>
      <c r="P328" s="31">
        <v>26</v>
      </c>
      <c r="Q328" s="31">
        <v>24</v>
      </c>
      <c r="R328" s="31"/>
      <c r="S328" s="31">
        <v>10</v>
      </c>
      <c r="T328" s="31">
        <v>10</v>
      </c>
      <c r="U328" s="31">
        <f t="shared" si="6"/>
        <v>70</v>
      </c>
      <c r="V328" s="31"/>
      <c r="W328" s="32" t="s">
        <v>848</v>
      </c>
      <c r="X328" s="32" t="s">
        <v>3498</v>
      </c>
      <c r="Y328" s="32"/>
      <c r="Z328" s="33" t="s">
        <v>3509</v>
      </c>
      <c r="AA328" s="34"/>
    </row>
    <row r="329" spans="1:27" s="25" customFormat="1" ht="78.75" x14ac:dyDescent="0.25">
      <c r="A329" s="24">
        <v>325</v>
      </c>
      <c r="B329" s="24" t="s">
        <v>3437</v>
      </c>
      <c r="C329" s="25" t="s">
        <v>3436</v>
      </c>
      <c r="D329" s="26" t="s">
        <v>3487</v>
      </c>
      <c r="E329" s="25" t="s">
        <v>3486</v>
      </c>
      <c r="F329" s="25" t="s">
        <v>3485</v>
      </c>
      <c r="G329" s="24"/>
      <c r="H329" s="25" t="s">
        <v>3501</v>
      </c>
      <c r="I329" s="24"/>
      <c r="J329" s="25" t="s">
        <v>3505</v>
      </c>
      <c r="K329" s="29"/>
      <c r="L329" s="29" t="s">
        <v>3508</v>
      </c>
      <c r="M329" s="25" t="s">
        <v>1275</v>
      </c>
      <c r="N329" s="30">
        <v>3</v>
      </c>
      <c r="O329" s="31"/>
      <c r="P329" s="31">
        <v>12</v>
      </c>
      <c r="Q329" s="31">
        <v>24</v>
      </c>
      <c r="R329" s="31"/>
      <c r="S329" s="31">
        <v>24</v>
      </c>
      <c r="T329" s="31">
        <v>24</v>
      </c>
      <c r="U329" s="31">
        <f t="shared" si="6"/>
        <v>84</v>
      </c>
      <c r="V329" s="31"/>
      <c r="W329" s="32" t="s">
        <v>848</v>
      </c>
      <c r="X329" s="32" t="s">
        <v>3498</v>
      </c>
      <c r="Y329" s="32"/>
      <c r="Z329" s="33" t="s">
        <v>158</v>
      </c>
      <c r="AA329" s="34"/>
    </row>
    <row r="330" spans="1:27" s="25" customFormat="1" ht="78.75" x14ac:dyDescent="0.25">
      <c r="A330" s="24">
        <v>326</v>
      </c>
      <c r="B330" s="24" t="s">
        <v>3437</v>
      </c>
      <c r="C330" s="25" t="s">
        <v>3436</v>
      </c>
      <c r="D330" s="26" t="s">
        <v>3487</v>
      </c>
      <c r="E330" s="25" t="s">
        <v>3486</v>
      </c>
      <c r="F330" s="25" t="s">
        <v>3485</v>
      </c>
      <c r="G330" s="24"/>
      <c r="H330" s="25" t="s">
        <v>3501</v>
      </c>
      <c r="I330" s="24"/>
      <c r="J330" s="25" t="s">
        <v>3505</v>
      </c>
      <c r="K330" s="29"/>
      <c r="L330" s="29" t="s">
        <v>3507</v>
      </c>
      <c r="M330" s="25" t="s">
        <v>190</v>
      </c>
      <c r="N330" s="30">
        <v>312</v>
      </c>
      <c r="O330" s="31"/>
      <c r="P330" s="31">
        <v>2</v>
      </c>
      <c r="Q330" s="31">
        <v>1</v>
      </c>
      <c r="R330" s="31"/>
      <c r="S330" s="31">
        <v>0.2</v>
      </c>
      <c r="T330" s="31">
        <v>0.2</v>
      </c>
      <c r="U330" s="31">
        <f t="shared" si="6"/>
        <v>3.4000000000000004</v>
      </c>
      <c r="V330" s="31"/>
      <c r="W330" s="32" t="s">
        <v>22</v>
      </c>
      <c r="X330" s="32" t="s">
        <v>3498</v>
      </c>
      <c r="Y330" s="32"/>
      <c r="Z330" s="33" t="s">
        <v>158</v>
      </c>
      <c r="AA330" s="34"/>
    </row>
    <row r="331" spans="1:27" s="25" customFormat="1" ht="78.75" x14ac:dyDescent="0.25">
      <c r="A331" s="24">
        <v>327</v>
      </c>
      <c r="B331" s="24" t="s">
        <v>3437</v>
      </c>
      <c r="C331" s="25" t="s">
        <v>3436</v>
      </c>
      <c r="D331" s="26" t="s">
        <v>3487</v>
      </c>
      <c r="E331" s="25" t="s">
        <v>3486</v>
      </c>
      <c r="F331" s="25" t="s">
        <v>3485</v>
      </c>
      <c r="G331" s="24"/>
      <c r="H331" s="25" t="s">
        <v>3501</v>
      </c>
      <c r="I331" s="24"/>
      <c r="J331" s="25" t="s">
        <v>3505</v>
      </c>
      <c r="K331" s="29"/>
      <c r="L331" s="29" t="s">
        <v>3506</v>
      </c>
      <c r="M331" s="25" t="s">
        <v>190</v>
      </c>
      <c r="N331" s="30">
        <v>332</v>
      </c>
      <c r="O331" s="31"/>
      <c r="P331" s="31">
        <v>10</v>
      </c>
      <c r="Q331" s="31">
        <v>2</v>
      </c>
      <c r="R331" s="31"/>
      <c r="S331" s="31">
        <v>0.5</v>
      </c>
      <c r="T331" s="31">
        <v>0.5</v>
      </c>
      <c r="U331" s="31">
        <f t="shared" si="6"/>
        <v>13</v>
      </c>
      <c r="V331" s="31"/>
      <c r="W331" s="32" t="s">
        <v>3496</v>
      </c>
      <c r="X331" s="32" t="s">
        <v>3498</v>
      </c>
      <c r="Y331" s="32"/>
      <c r="Z331" s="33" t="s">
        <v>189</v>
      </c>
      <c r="AA331" s="34"/>
    </row>
    <row r="332" spans="1:27" s="25" customFormat="1" ht="78.75" x14ac:dyDescent="0.25">
      <c r="A332" s="24">
        <v>328</v>
      </c>
      <c r="B332" s="24" t="s">
        <v>3437</v>
      </c>
      <c r="C332" s="25" t="s">
        <v>3436</v>
      </c>
      <c r="D332" s="26" t="s">
        <v>3487</v>
      </c>
      <c r="E332" s="25" t="s">
        <v>3486</v>
      </c>
      <c r="F332" s="25" t="s">
        <v>3485</v>
      </c>
      <c r="G332" s="24"/>
      <c r="H332" s="25" t="s">
        <v>3501</v>
      </c>
      <c r="I332" s="24"/>
      <c r="J332" s="25" t="s">
        <v>3505</v>
      </c>
      <c r="K332" s="29"/>
      <c r="L332" s="29" t="s">
        <v>3504</v>
      </c>
      <c r="M332" s="25" t="s">
        <v>3503</v>
      </c>
      <c r="N332" s="30">
        <v>2</v>
      </c>
      <c r="O332" s="31"/>
      <c r="P332" s="31">
        <v>10</v>
      </c>
      <c r="Q332" s="31">
        <v>20</v>
      </c>
      <c r="R332" s="31"/>
      <c r="S332" s="31">
        <v>10</v>
      </c>
      <c r="T332" s="31"/>
      <c r="U332" s="31">
        <f t="shared" si="6"/>
        <v>40</v>
      </c>
      <c r="V332" s="31"/>
      <c r="W332" s="32" t="s">
        <v>800</v>
      </c>
      <c r="X332" s="32"/>
      <c r="Y332" s="32"/>
      <c r="Z332" s="33" t="s">
        <v>3502</v>
      </c>
      <c r="AA332" s="34"/>
    </row>
    <row r="333" spans="1:27" s="25" customFormat="1" ht="78.75" x14ac:dyDescent="0.25">
      <c r="A333" s="24">
        <v>329</v>
      </c>
      <c r="B333" s="24" t="s">
        <v>3437</v>
      </c>
      <c r="C333" s="25" t="s">
        <v>3436</v>
      </c>
      <c r="D333" s="26" t="s">
        <v>3487</v>
      </c>
      <c r="E333" s="25" t="s">
        <v>3486</v>
      </c>
      <c r="F333" s="25" t="s">
        <v>3485</v>
      </c>
      <c r="G333" s="24"/>
      <c r="H333" s="25" t="s">
        <v>3501</v>
      </c>
      <c r="I333" s="24"/>
      <c r="J333" s="25" t="s">
        <v>3500</v>
      </c>
      <c r="K333" s="29"/>
      <c r="L333" s="29" t="s">
        <v>3499</v>
      </c>
      <c r="M333" s="25" t="s">
        <v>431</v>
      </c>
      <c r="N333" s="30">
        <v>84</v>
      </c>
      <c r="O333" s="31"/>
      <c r="P333" s="31">
        <v>84</v>
      </c>
      <c r="Q333" s="31"/>
      <c r="R333" s="31"/>
      <c r="S333" s="31">
        <v>2</v>
      </c>
      <c r="T333" s="31">
        <v>2</v>
      </c>
      <c r="U333" s="31">
        <f t="shared" si="6"/>
        <v>88</v>
      </c>
      <c r="V333" s="31"/>
      <c r="W333" s="32" t="s">
        <v>848</v>
      </c>
      <c r="X333" s="32" t="s">
        <v>3498</v>
      </c>
      <c r="Y333" s="32"/>
      <c r="Z333" s="33" t="s">
        <v>158</v>
      </c>
      <c r="AA333" s="34"/>
    </row>
    <row r="334" spans="1:27" s="25" customFormat="1" ht="78.75" x14ac:dyDescent="0.25">
      <c r="A334" s="24">
        <v>330</v>
      </c>
      <c r="B334" s="24" t="s">
        <v>3437</v>
      </c>
      <c r="C334" s="25" t="s">
        <v>3436</v>
      </c>
      <c r="D334" s="26" t="s">
        <v>3487</v>
      </c>
      <c r="E334" s="25" t="s">
        <v>3486</v>
      </c>
      <c r="F334" s="25" t="s">
        <v>3485</v>
      </c>
      <c r="G334" s="24"/>
      <c r="H334" s="25" t="s">
        <v>3484</v>
      </c>
      <c r="I334" s="24"/>
      <c r="J334" s="25" t="s">
        <v>3484</v>
      </c>
      <c r="K334" s="29"/>
      <c r="L334" s="29" t="s">
        <v>3497</v>
      </c>
      <c r="M334" s="25" t="s">
        <v>1240</v>
      </c>
      <c r="N334" s="30">
        <v>50</v>
      </c>
      <c r="O334" s="31">
        <v>2.5</v>
      </c>
      <c r="P334" s="31">
        <v>2</v>
      </c>
      <c r="Q334" s="31"/>
      <c r="R334" s="31"/>
      <c r="S334" s="31">
        <v>0.5</v>
      </c>
      <c r="T334" s="31"/>
      <c r="U334" s="31">
        <f t="shared" si="6"/>
        <v>5</v>
      </c>
      <c r="V334" s="31"/>
      <c r="W334" s="32" t="s">
        <v>3496</v>
      </c>
      <c r="X334" s="32"/>
      <c r="Y334" s="32"/>
      <c r="Z334" s="33" t="s">
        <v>3495</v>
      </c>
      <c r="AA334" s="33" t="s">
        <v>3494</v>
      </c>
    </row>
    <row r="335" spans="1:27" s="25" customFormat="1" ht="78.75" x14ac:dyDescent="0.25">
      <c r="A335" s="24">
        <v>331</v>
      </c>
      <c r="B335" s="24" t="s">
        <v>3437</v>
      </c>
      <c r="C335" s="25" t="s">
        <v>3436</v>
      </c>
      <c r="D335" s="26" t="s">
        <v>3487</v>
      </c>
      <c r="E335" s="25" t="s">
        <v>3486</v>
      </c>
      <c r="F335" s="25" t="s">
        <v>3485</v>
      </c>
      <c r="G335" s="24"/>
      <c r="H335" s="25" t="s">
        <v>3484</v>
      </c>
      <c r="I335" s="24"/>
      <c r="J335" s="25" t="s">
        <v>3484</v>
      </c>
      <c r="K335" s="29"/>
      <c r="L335" s="29" t="s">
        <v>3493</v>
      </c>
      <c r="M335" s="25" t="s">
        <v>190</v>
      </c>
      <c r="N335" s="30">
        <v>12</v>
      </c>
      <c r="O335" s="31"/>
      <c r="P335" s="31">
        <v>1</v>
      </c>
      <c r="Q335" s="31"/>
      <c r="R335" s="31"/>
      <c r="S335" s="31">
        <v>0.25</v>
      </c>
      <c r="T335" s="31"/>
      <c r="U335" s="31">
        <f t="shared" si="6"/>
        <v>1.25</v>
      </c>
      <c r="V335" s="31"/>
      <c r="W335" s="32" t="s">
        <v>22</v>
      </c>
      <c r="X335" s="32"/>
      <c r="Y335" s="32"/>
      <c r="Z335" s="33" t="s">
        <v>3482</v>
      </c>
      <c r="AA335" s="34"/>
    </row>
    <row r="336" spans="1:27" s="25" customFormat="1" ht="78.75" x14ac:dyDescent="0.25">
      <c r="A336" s="24">
        <v>332</v>
      </c>
      <c r="B336" s="24" t="s">
        <v>3437</v>
      </c>
      <c r="C336" s="25" t="s">
        <v>3436</v>
      </c>
      <c r="D336" s="26" t="s">
        <v>3487</v>
      </c>
      <c r="E336" s="25" t="s">
        <v>3486</v>
      </c>
      <c r="F336" s="25" t="s">
        <v>3485</v>
      </c>
      <c r="G336" s="24"/>
      <c r="H336" s="25" t="s">
        <v>3484</v>
      </c>
      <c r="I336" s="24"/>
      <c r="J336" s="25" t="s">
        <v>3484</v>
      </c>
      <c r="K336" s="29"/>
      <c r="L336" s="29" t="s">
        <v>3492</v>
      </c>
      <c r="M336" s="25" t="s">
        <v>190</v>
      </c>
      <c r="N336" s="30">
        <v>12</v>
      </c>
      <c r="O336" s="31"/>
      <c r="P336" s="31">
        <v>1.5</v>
      </c>
      <c r="Q336" s="31"/>
      <c r="R336" s="31"/>
      <c r="S336" s="31"/>
      <c r="T336" s="31">
        <v>1</v>
      </c>
      <c r="U336" s="31">
        <f t="shared" si="6"/>
        <v>2.5</v>
      </c>
      <c r="V336" s="31"/>
      <c r="W336" s="32" t="s">
        <v>3491</v>
      </c>
      <c r="X336" s="32"/>
      <c r="Y336" s="32"/>
      <c r="Z336" s="33" t="s">
        <v>3488</v>
      </c>
      <c r="AA336" s="34"/>
    </row>
    <row r="337" spans="1:27" s="25" customFormat="1" ht="78.75" x14ac:dyDescent="0.25">
      <c r="A337" s="24">
        <v>333</v>
      </c>
      <c r="B337" s="24" t="s">
        <v>3437</v>
      </c>
      <c r="C337" s="25" t="s">
        <v>3436</v>
      </c>
      <c r="D337" s="26" t="s">
        <v>3487</v>
      </c>
      <c r="E337" s="25" t="s">
        <v>3486</v>
      </c>
      <c r="F337" s="25" t="s">
        <v>3485</v>
      </c>
      <c r="G337" s="24"/>
      <c r="H337" s="25" t="s">
        <v>3484</v>
      </c>
      <c r="I337" s="24"/>
      <c r="J337" s="25" t="s">
        <v>3484</v>
      </c>
      <c r="K337" s="29"/>
      <c r="L337" s="29" t="s">
        <v>3490</v>
      </c>
      <c r="M337" s="25" t="s">
        <v>190</v>
      </c>
      <c r="N337" s="30">
        <v>12</v>
      </c>
      <c r="O337" s="31"/>
      <c r="P337" s="31">
        <v>2</v>
      </c>
      <c r="Q337" s="31"/>
      <c r="R337" s="31"/>
      <c r="S337" s="31">
        <v>0.5</v>
      </c>
      <c r="T337" s="31"/>
      <c r="U337" s="31">
        <f t="shared" si="6"/>
        <v>2.5</v>
      </c>
      <c r="V337" s="31"/>
      <c r="W337" s="32" t="s">
        <v>3489</v>
      </c>
      <c r="X337" s="32"/>
      <c r="Y337" s="32"/>
      <c r="Z337" s="33" t="s">
        <v>3488</v>
      </c>
      <c r="AA337" s="34"/>
    </row>
    <row r="338" spans="1:27" s="25" customFormat="1" ht="78.75" x14ac:dyDescent="0.25">
      <c r="A338" s="24">
        <v>334</v>
      </c>
      <c r="B338" s="24" t="s">
        <v>3437</v>
      </c>
      <c r="C338" s="25" t="s">
        <v>3436</v>
      </c>
      <c r="D338" s="26" t="s">
        <v>3487</v>
      </c>
      <c r="E338" s="25" t="s">
        <v>3486</v>
      </c>
      <c r="F338" s="25" t="s">
        <v>3485</v>
      </c>
      <c r="G338" s="24"/>
      <c r="H338" s="25" t="s">
        <v>3484</v>
      </c>
      <c r="I338" s="24"/>
      <c r="J338" s="25" t="s">
        <v>3484</v>
      </c>
      <c r="K338" s="29"/>
      <c r="L338" s="29" t="s">
        <v>3483</v>
      </c>
      <c r="M338" s="25" t="s">
        <v>1253</v>
      </c>
      <c r="N338" s="30">
        <v>52</v>
      </c>
      <c r="O338" s="31"/>
      <c r="P338" s="31">
        <v>1.5</v>
      </c>
      <c r="Q338" s="31"/>
      <c r="R338" s="31"/>
      <c r="S338" s="31"/>
      <c r="T338" s="31">
        <v>0.5</v>
      </c>
      <c r="U338" s="31">
        <f t="shared" si="6"/>
        <v>2</v>
      </c>
      <c r="V338" s="31"/>
      <c r="W338" s="32" t="s">
        <v>800</v>
      </c>
      <c r="X338" s="32"/>
      <c r="Y338" s="32"/>
      <c r="Z338" s="33" t="s">
        <v>3482</v>
      </c>
      <c r="AA338" s="34"/>
    </row>
    <row r="339" spans="1:27" s="25" customFormat="1" ht="56.25" customHeight="1" x14ac:dyDescent="0.25">
      <c r="A339" s="24">
        <v>335</v>
      </c>
      <c r="B339" s="24" t="s">
        <v>3437</v>
      </c>
      <c r="C339" s="25" t="s">
        <v>3436</v>
      </c>
      <c r="D339" s="26" t="s">
        <v>3478</v>
      </c>
      <c r="E339" s="25" t="s">
        <v>3477</v>
      </c>
      <c r="F339" s="25" t="s">
        <v>3476</v>
      </c>
      <c r="G339" s="24"/>
      <c r="H339" s="25" t="s">
        <v>3480</v>
      </c>
      <c r="I339" s="24"/>
      <c r="J339" s="25" t="s">
        <v>3481</v>
      </c>
      <c r="K339" s="29"/>
      <c r="L339" s="29"/>
      <c r="N339" s="30"/>
      <c r="O339" s="31"/>
      <c r="P339" s="31"/>
      <c r="Q339" s="31"/>
      <c r="R339" s="31"/>
      <c r="S339" s="31"/>
      <c r="T339" s="31"/>
      <c r="U339" s="31">
        <f t="shared" si="6"/>
        <v>0</v>
      </c>
      <c r="V339" s="31"/>
      <c r="W339" s="32"/>
      <c r="X339" s="32"/>
      <c r="Y339" s="32"/>
      <c r="Z339" s="33"/>
      <c r="AA339" s="34"/>
    </row>
    <row r="340" spans="1:27" s="25" customFormat="1" ht="101.25" x14ac:dyDescent="0.25">
      <c r="A340" s="24">
        <v>336</v>
      </c>
      <c r="B340" s="24" t="s">
        <v>3437</v>
      </c>
      <c r="C340" s="25" t="s">
        <v>3436</v>
      </c>
      <c r="D340" s="26" t="s">
        <v>3478</v>
      </c>
      <c r="E340" s="25" t="s">
        <v>3477</v>
      </c>
      <c r="F340" s="25" t="s">
        <v>3476</v>
      </c>
      <c r="G340" s="24"/>
      <c r="H340" s="25" t="s">
        <v>3480</v>
      </c>
      <c r="I340" s="24"/>
      <c r="J340" s="25" t="s">
        <v>3479</v>
      </c>
      <c r="K340" s="29"/>
      <c r="L340" s="29"/>
      <c r="N340" s="30"/>
      <c r="O340" s="31"/>
      <c r="P340" s="31"/>
      <c r="Q340" s="31"/>
      <c r="R340" s="31"/>
      <c r="S340" s="31"/>
      <c r="T340" s="31"/>
      <c r="U340" s="31">
        <f t="shared" si="6"/>
        <v>0</v>
      </c>
      <c r="V340" s="31"/>
      <c r="W340" s="32"/>
      <c r="X340" s="32"/>
      <c r="Y340" s="32"/>
      <c r="Z340" s="33"/>
      <c r="AA340" s="34"/>
    </row>
    <row r="341" spans="1:27" s="25" customFormat="1" ht="78.75" x14ac:dyDescent="0.25">
      <c r="A341" s="24">
        <v>337</v>
      </c>
      <c r="B341" s="24" t="s">
        <v>3437</v>
      </c>
      <c r="C341" s="25" t="s">
        <v>3436</v>
      </c>
      <c r="D341" s="26" t="s">
        <v>3478</v>
      </c>
      <c r="E341" s="25" t="s">
        <v>3477</v>
      </c>
      <c r="F341" s="25" t="s">
        <v>3476</v>
      </c>
      <c r="G341" s="24"/>
      <c r="H341" s="25" t="s">
        <v>3475</v>
      </c>
      <c r="I341" s="24"/>
      <c r="J341" s="25" t="s">
        <v>3475</v>
      </c>
      <c r="K341" s="29"/>
      <c r="L341" s="29"/>
      <c r="N341" s="30"/>
      <c r="O341" s="31"/>
      <c r="P341" s="31"/>
      <c r="Q341" s="31"/>
      <c r="R341" s="31"/>
      <c r="S341" s="31"/>
      <c r="T341" s="31"/>
      <c r="U341" s="31">
        <f t="shared" si="6"/>
        <v>0</v>
      </c>
      <c r="V341" s="31"/>
      <c r="W341" s="32"/>
      <c r="X341" s="32"/>
      <c r="Y341" s="32"/>
      <c r="Z341" s="33"/>
      <c r="AA341" s="34"/>
    </row>
    <row r="342" spans="1:27" s="25" customFormat="1" ht="78.75" x14ac:dyDescent="0.25">
      <c r="A342" s="24">
        <v>338</v>
      </c>
      <c r="B342" s="24" t="s">
        <v>3437</v>
      </c>
      <c r="C342" s="25" t="s">
        <v>3436</v>
      </c>
      <c r="D342" s="26" t="s">
        <v>3473</v>
      </c>
      <c r="E342" s="25" t="s">
        <v>3443</v>
      </c>
      <c r="F342" s="25" t="s">
        <v>3442</v>
      </c>
      <c r="G342" s="24"/>
      <c r="H342" s="25" t="s">
        <v>3472</v>
      </c>
      <c r="I342" s="24"/>
      <c r="J342" s="25" t="s">
        <v>3474</v>
      </c>
      <c r="K342" s="29"/>
      <c r="L342" s="29"/>
      <c r="N342" s="30"/>
      <c r="O342" s="31"/>
      <c r="P342" s="31"/>
      <c r="Q342" s="31"/>
      <c r="R342" s="31"/>
      <c r="S342" s="31"/>
      <c r="T342" s="31"/>
      <c r="U342" s="31">
        <f t="shared" si="6"/>
        <v>0</v>
      </c>
      <c r="V342" s="31"/>
      <c r="W342" s="32"/>
      <c r="X342" s="32"/>
      <c r="Y342" s="32"/>
      <c r="Z342" s="33"/>
      <c r="AA342" s="34"/>
    </row>
    <row r="343" spans="1:27" s="25" customFormat="1" ht="78.75" x14ac:dyDescent="0.25">
      <c r="A343" s="24">
        <v>339</v>
      </c>
      <c r="B343" s="24" t="s">
        <v>3437</v>
      </c>
      <c r="C343" s="25" t="s">
        <v>3436</v>
      </c>
      <c r="D343" s="26" t="s">
        <v>3473</v>
      </c>
      <c r="E343" s="25" t="s">
        <v>3443</v>
      </c>
      <c r="F343" s="25" t="s">
        <v>3442</v>
      </c>
      <c r="G343" s="24"/>
      <c r="H343" s="25" t="s">
        <v>3472</v>
      </c>
      <c r="I343" s="24"/>
      <c r="J343" s="25" t="s">
        <v>3471</v>
      </c>
      <c r="K343" s="29"/>
      <c r="L343" s="29"/>
      <c r="N343" s="30"/>
      <c r="O343" s="31"/>
      <c r="P343" s="31"/>
      <c r="Q343" s="31"/>
      <c r="R343" s="31"/>
      <c r="S343" s="31"/>
      <c r="T343" s="31"/>
      <c r="U343" s="31">
        <f t="shared" si="6"/>
        <v>0</v>
      </c>
      <c r="V343" s="31"/>
      <c r="W343" s="32"/>
      <c r="X343" s="32"/>
      <c r="Y343" s="32"/>
      <c r="Z343" s="33"/>
      <c r="AA343" s="34"/>
    </row>
    <row r="344" spans="1:27" s="25" customFormat="1" ht="78.75" x14ac:dyDescent="0.25">
      <c r="A344" s="24">
        <v>340</v>
      </c>
      <c r="B344" s="24" t="s">
        <v>3437</v>
      </c>
      <c r="C344" s="25" t="s">
        <v>3436</v>
      </c>
      <c r="D344" s="26">
        <v>61</v>
      </c>
      <c r="E344" s="25" t="s">
        <v>3443</v>
      </c>
      <c r="F344" s="25" t="s">
        <v>3442</v>
      </c>
      <c r="G344" s="24"/>
      <c r="H344" s="25" t="s">
        <v>3459</v>
      </c>
      <c r="I344" s="24"/>
      <c r="J344" s="25" t="s">
        <v>3470</v>
      </c>
      <c r="K344" s="29"/>
      <c r="L344" s="29"/>
      <c r="N344" s="30"/>
      <c r="O344" s="31"/>
      <c r="P344" s="31"/>
      <c r="Q344" s="31"/>
      <c r="R344" s="31"/>
      <c r="S344" s="31"/>
      <c r="T344" s="31"/>
      <c r="U344" s="31">
        <f t="shared" si="6"/>
        <v>0</v>
      </c>
      <c r="V344" s="31"/>
      <c r="W344" s="32"/>
      <c r="X344" s="32"/>
      <c r="Y344" s="32"/>
      <c r="Z344" s="33"/>
      <c r="AA344" s="34"/>
    </row>
    <row r="345" spans="1:27" s="25" customFormat="1" ht="78.75" x14ac:dyDescent="0.25">
      <c r="A345" s="24">
        <v>341</v>
      </c>
      <c r="B345" s="24" t="s">
        <v>3437</v>
      </c>
      <c r="C345" s="25" t="s">
        <v>3436</v>
      </c>
      <c r="D345" s="26">
        <v>61</v>
      </c>
      <c r="E345" s="25" t="s">
        <v>3443</v>
      </c>
      <c r="F345" s="25" t="s">
        <v>3442</v>
      </c>
      <c r="G345" s="24"/>
      <c r="H345" s="25" t="s">
        <v>3459</v>
      </c>
      <c r="I345" s="24"/>
      <c r="J345" s="25" t="s">
        <v>3469</v>
      </c>
      <c r="K345" s="29"/>
      <c r="L345" s="29"/>
      <c r="N345" s="30"/>
      <c r="O345" s="31"/>
      <c r="P345" s="31"/>
      <c r="Q345" s="31"/>
      <c r="R345" s="31"/>
      <c r="S345" s="31"/>
      <c r="T345" s="31"/>
      <c r="U345" s="31">
        <f t="shared" si="6"/>
        <v>0</v>
      </c>
      <c r="V345" s="31"/>
      <c r="W345" s="32"/>
      <c r="X345" s="32"/>
      <c r="Y345" s="32"/>
      <c r="Z345" s="33"/>
      <c r="AA345" s="34"/>
    </row>
    <row r="346" spans="1:27" s="25" customFormat="1" ht="78.75" x14ac:dyDescent="0.25">
      <c r="A346" s="24">
        <v>342</v>
      </c>
      <c r="B346" s="24" t="s">
        <v>3437</v>
      </c>
      <c r="C346" s="25" t="s">
        <v>3436</v>
      </c>
      <c r="D346" s="26">
        <v>61</v>
      </c>
      <c r="E346" s="25" t="s">
        <v>3443</v>
      </c>
      <c r="F346" s="25" t="s">
        <v>3442</v>
      </c>
      <c r="G346" s="24"/>
      <c r="H346" s="25" t="s">
        <v>3459</v>
      </c>
      <c r="I346" s="24"/>
      <c r="J346" s="25" t="s">
        <v>3468</v>
      </c>
      <c r="K346" s="29"/>
      <c r="L346" s="29"/>
      <c r="N346" s="30"/>
      <c r="O346" s="31"/>
      <c r="P346" s="31"/>
      <c r="Q346" s="31"/>
      <c r="R346" s="31"/>
      <c r="S346" s="31"/>
      <c r="T346" s="31"/>
      <c r="U346" s="31">
        <f t="shared" si="6"/>
        <v>0</v>
      </c>
      <c r="V346" s="31"/>
      <c r="W346" s="32"/>
      <c r="X346" s="32"/>
      <c r="Y346" s="32"/>
      <c r="Z346" s="33"/>
      <c r="AA346" s="34"/>
    </row>
    <row r="347" spans="1:27" s="25" customFormat="1" ht="78.75" x14ac:dyDescent="0.25">
      <c r="A347" s="24">
        <v>343</v>
      </c>
      <c r="B347" s="24" t="s">
        <v>3437</v>
      </c>
      <c r="C347" s="25" t="s">
        <v>3436</v>
      </c>
      <c r="D347" s="26">
        <v>61</v>
      </c>
      <c r="E347" s="25" t="s">
        <v>3443</v>
      </c>
      <c r="F347" s="25" t="s">
        <v>3442</v>
      </c>
      <c r="G347" s="24"/>
      <c r="H347" s="25" t="s">
        <v>3459</v>
      </c>
      <c r="I347" s="24"/>
      <c r="J347" s="25" t="s">
        <v>3467</v>
      </c>
      <c r="K347" s="29"/>
      <c r="L347" s="29"/>
      <c r="N347" s="30"/>
      <c r="O347" s="31"/>
      <c r="P347" s="31"/>
      <c r="Q347" s="31"/>
      <c r="R347" s="31"/>
      <c r="S347" s="31"/>
      <c r="T347" s="31"/>
      <c r="U347" s="31">
        <f t="shared" si="6"/>
        <v>0</v>
      </c>
      <c r="V347" s="31"/>
      <c r="W347" s="32"/>
      <c r="X347" s="32"/>
      <c r="Y347" s="32"/>
      <c r="Z347" s="33"/>
      <c r="AA347" s="34"/>
    </row>
    <row r="348" spans="1:27" s="25" customFormat="1" ht="78.75" x14ac:dyDescent="0.25">
      <c r="A348" s="24">
        <v>344</v>
      </c>
      <c r="B348" s="24" t="s">
        <v>3437</v>
      </c>
      <c r="C348" s="25" t="s">
        <v>3436</v>
      </c>
      <c r="D348" s="26">
        <v>61</v>
      </c>
      <c r="E348" s="25" t="s">
        <v>3443</v>
      </c>
      <c r="F348" s="25" t="s">
        <v>3442</v>
      </c>
      <c r="G348" s="24"/>
      <c r="H348" s="25" t="s">
        <v>3466</v>
      </c>
      <c r="I348" s="24"/>
      <c r="J348" s="25" t="s">
        <v>3465</v>
      </c>
      <c r="K348" s="29"/>
      <c r="L348" s="29"/>
      <c r="N348" s="30"/>
      <c r="O348" s="31"/>
      <c r="P348" s="31"/>
      <c r="Q348" s="31"/>
      <c r="R348" s="31"/>
      <c r="S348" s="31"/>
      <c r="T348" s="31"/>
      <c r="U348" s="31">
        <f t="shared" si="6"/>
        <v>0</v>
      </c>
      <c r="V348" s="31"/>
      <c r="W348" s="32"/>
      <c r="X348" s="32"/>
      <c r="Y348" s="32"/>
      <c r="Z348" s="33"/>
      <c r="AA348" s="34"/>
    </row>
    <row r="349" spans="1:27" s="25" customFormat="1" ht="78.75" x14ac:dyDescent="0.25">
      <c r="A349" s="24">
        <v>345</v>
      </c>
      <c r="B349" s="24" t="s">
        <v>3437</v>
      </c>
      <c r="C349" s="25" t="s">
        <v>3436</v>
      </c>
      <c r="D349" s="26">
        <v>61</v>
      </c>
      <c r="E349" s="25" t="s">
        <v>3443</v>
      </c>
      <c r="F349" s="25" t="s">
        <v>3442</v>
      </c>
      <c r="G349" s="24"/>
      <c r="H349" s="25" t="s">
        <v>3459</v>
      </c>
      <c r="I349" s="24"/>
      <c r="J349" s="25" t="s">
        <v>3464</v>
      </c>
      <c r="K349" s="29"/>
      <c r="L349" s="29"/>
      <c r="N349" s="30"/>
      <c r="O349" s="31"/>
      <c r="P349" s="31"/>
      <c r="Q349" s="31"/>
      <c r="R349" s="31"/>
      <c r="S349" s="31"/>
      <c r="T349" s="31"/>
      <c r="U349" s="31">
        <f t="shared" si="6"/>
        <v>0</v>
      </c>
      <c r="V349" s="31"/>
      <c r="W349" s="32"/>
      <c r="X349" s="32"/>
      <c r="Y349" s="32"/>
      <c r="Z349" s="33"/>
      <c r="AA349" s="34"/>
    </row>
    <row r="350" spans="1:27" s="25" customFormat="1" ht="78.75" x14ac:dyDescent="0.25">
      <c r="A350" s="24">
        <v>346</v>
      </c>
      <c r="B350" s="24" t="s">
        <v>3437</v>
      </c>
      <c r="C350" s="25" t="s">
        <v>3436</v>
      </c>
      <c r="D350" s="26">
        <v>61</v>
      </c>
      <c r="E350" s="25" t="s">
        <v>3443</v>
      </c>
      <c r="F350" s="25" t="s">
        <v>3442</v>
      </c>
      <c r="G350" s="24"/>
      <c r="H350" s="25" t="s">
        <v>3459</v>
      </c>
      <c r="I350" s="24"/>
      <c r="J350" s="25" t="s">
        <v>3463</v>
      </c>
      <c r="K350" s="29"/>
      <c r="L350" s="29"/>
      <c r="N350" s="30"/>
      <c r="O350" s="31"/>
      <c r="P350" s="31"/>
      <c r="Q350" s="31"/>
      <c r="R350" s="31"/>
      <c r="S350" s="31"/>
      <c r="T350" s="31"/>
      <c r="U350" s="31">
        <f t="shared" si="6"/>
        <v>0</v>
      </c>
      <c r="V350" s="31"/>
      <c r="W350" s="32"/>
      <c r="X350" s="32"/>
      <c r="Y350" s="32"/>
      <c r="Z350" s="33"/>
      <c r="AA350" s="34"/>
    </row>
    <row r="351" spans="1:27" s="25" customFormat="1" ht="78.75" x14ac:dyDescent="0.25">
      <c r="A351" s="24">
        <v>347</v>
      </c>
      <c r="B351" s="24" t="s">
        <v>3437</v>
      </c>
      <c r="C351" s="25" t="s">
        <v>3436</v>
      </c>
      <c r="D351" s="26">
        <v>61</v>
      </c>
      <c r="E351" s="25" t="s">
        <v>3443</v>
      </c>
      <c r="F351" s="25" t="s">
        <v>3442</v>
      </c>
      <c r="G351" s="24"/>
      <c r="H351" s="25" t="s">
        <v>3459</v>
      </c>
      <c r="I351" s="24"/>
      <c r="J351" s="25" t="s">
        <v>3462</v>
      </c>
      <c r="K351" s="29"/>
      <c r="L351" s="29"/>
      <c r="N351" s="30"/>
      <c r="O351" s="31"/>
      <c r="P351" s="31"/>
      <c r="Q351" s="31"/>
      <c r="R351" s="31"/>
      <c r="S351" s="31"/>
      <c r="T351" s="31"/>
      <c r="U351" s="31">
        <f t="shared" si="6"/>
        <v>0</v>
      </c>
      <c r="V351" s="31"/>
      <c r="W351" s="32"/>
      <c r="X351" s="32"/>
      <c r="Y351" s="32"/>
      <c r="Z351" s="33"/>
      <c r="AA351" s="34"/>
    </row>
    <row r="352" spans="1:27" s="25" customFormat="1" ht="78.75" x14ac:dyDescent="0.25">
      <c r="A352" s="24">
        <v>348</v>
      </c>
      <c r="B352" s="24" t="s">
        <v>3437</v>
      </c>
      <c r="C352" s="25" t="s">
        <v>3436</v>
      </c>
      <c r="D352" s="26">
        <v>61</v>
      </c>
      <c r="E352" s="25" t="s">
        <v>3443</v>
      </c>
      <c r="F352" s="25" t="s">
        <v>3442</v>
      </c>
      <c r="G352" s="24"/>
      <c r="H352" s="25" t="s">
        <v>3459</v>
      </c>
      <c r="I352" s="24"/>
      <c r="J352" s="25" t="s">
        <v>3461</v>
      </c>
      <c r="K352" s="29"/>
      <c r="L352" s="29"/>
      <c r="N352" s="30"/>
      <c r="O352" s="31"/>
      <c r="P352" s="31"/>
      <c r="Q352" s="31"/>
      <c r="R352" s="31"/>
      <c r="S352" s="31"/>
      <c r="T352" s="31"/>
      <c r="U352" s="31">
        <f t="shared" si="6"/>
        <v>0</v>
      </c>
      <c r="V352" s="31"/>
      <c r="W352" s="32"/>
      <c r="X352" s="32"/>
      <c r="Y352" s="32"/>
      <c r="Z352" s="33"/>
      <c r="AA352" s="34"/>
    </row>
    <row r="353" spans="1:27" s="25" customFormat="1" ht="78.75" x14ac:dyDescent="0.25">
      <c r="A353" s="24">
        <v>349</v>
      </c>
      <c r="B353" s="24" t="s">
        <v>3437</v>
      </c>
      <c r="C353" s="25" t="s">
        <v>3436</v>
      </c>
      <c r="D353" s="26">
        <v>61</v>
      </c>
      <c r="E353" s="25" t="s">
        <v>3443</v>
      </c>
      <c r="F353" s="25" t="s">
        <v>3442</v>
      </c>
      <c r="G353" s="24"/>
      <c r="H353" s="25" t="s">
        <v>3459</v>
      </c>
      <c r="I353" s="24"/>
      <c r="J353" s="25" t="s">
        <v>3460</v>
      </c>
      <c r="K353" s="29"/>
      <c r="L353" s="29"/>
      <c r="N353" s="30"/>
      <c r="O353" s="31"/>
      <c r="P353" s="31"/>
      <c r="Q353" s="31"/>
      <c r="R353" s="31"/>
      <c r="S353" s="31"/>
      <c r="T353" s="31"/>
      <c r="U353" s="31">
        <f t="shared" si="6"/>
        <v>0</v>
      </c>
      <c r="V353" s="31"/>
      <c r="W353" s="32"/>
      <c r="X353" s="32"/>
      <c r="Y353" s="32"/>
      <c r="Z353" s="33"/>
      <c r="AA353" s="34"/>
    </row>
    <row r="354" spans="1:27" s="25" customFormat="1" ht="78.75" x14ac:dyDescent="0.25">
      <c r="A354" s="24">
        <v>350</v>
      </c>
      <c r="B354" s="24" t="s">
        <v>3437</v>
      </c>
      <c r="C354" s="25" t="s">
        <v>3436</v>
      </c>
      <c r="D354" s="26">
        <v>61</v>
      </c>
      <c r="E354" s="25" t="s">
        <v>3443</v>
      </c>
      <c r="F354" s="25" t="s">
        <v>3442</v>
      </c>
      <c r="G354" s="24"/>
      <c r="H354" s="25" t="s">
        <v>3459</v>
      </c>
      <c r="I354" s="24"/>
      <c r="J354" s="25" t="s">
        <v>3458</v>
      </c>
      <c r="K354" s="29"/>
      <c r="L354" s="29"/>
      <c r="N354" s="30"/>
      <c r="O354" s="31"/>
      <c r="P354" s="31"/>
      <c r="Q354" s="31"/>
      <c r="R354" s="31"/>
      <c r="S354" s="31"/>
      <c r="T354" s="31"/>
      <c r="U354" s="31">
        <f t="shared" si="6"/>
        <v>0</v>
      </c>
      <c r="V354" s="31"/>
      <c r="W354" s="32"/>
      <c r="X354" s="32"/>
      <c r="Y354" s="32"/>
      <c r="Z354" s="33"/>
      <c r="AA354" s="34"/>
    </row>
    <row r="355" spans="1:27" s="25" customFormat="1" ht="78.75" x14ac:dyDescent="0.25">
      <c r="A355" s="24">
        <v>351</v>
      </c>
      <c r="B355" s="24" t="s">
        <v>3437</v>
      </c>
      <c r="C355" s="25" t="s">
        <v>3436</v>
      </c>
      <c r="D355" s="26">
        <v>61</v>
      </c>
      <c r="E355" s="25" t="s">
        <v>3443</v>
      </c>
      <c r="F355" s="25" t="s">
        <v>3442</v>
      </c>
      <c r="G355" s="24"/>
      <c r="H355" s="25" t="s">
        <v>3455</v>
      </c>
      <c r="I355" s="24"/>
      <c r="J355" s="25" t="s">
        <v>3457</v>
      </c>
      <c r="K355" s="29"/>
      <c r="L355" s="29"/>
      <c r="N355" s="30"/>
      <c r="O355" s="31"/>
      <c r="P355" s="31"/>
      <c r="Q355" s="31"/>
      <c r="R355" s="31"/>
      <c r="S355" s="31"/>
      <c r="T355" s="31"/>
      <c r="U355" s="31">
        <f t="shared" si="6"/>
        <v>0</v>
      </c>
      <c r="V355" s="31"/>
      <c r="W355" s="32"/>
      <c r="X355" s="32"/>
      <c r="Y355" s="32"/>
      <c r="Z355" s="33"/>
      <c r="AA355" s="34"/>
    </row>
    <row r="356" spans="1:27" s="25" customFormat="1" ht="78.75" x14ac:dyDescent="0.25">
      <c r="A356" s="24">
        <v>352</v>
      </c>
      <c r="B356" s="24" t="s">
        <v>3437</v>
      </c>
      <c r="C356" s="25" t="s">
        <v>3436</v>
      </c>
      <c r="D356" s="26">
        <v>61</v>
      </c>
      <c r="E356" s="25" t="s">
        <v>3443</v>
      </c>
      <c r="F356" s="25" t="s">
        <v>3442</v>
      </c>
      <c r="G356" s="24"/>
      <c r="H356" s="25" t="s">
        <v>3455</v>
      </c>
      <c r="I356" s="24"/>
      <c r="J356" s="25" t="s">
        <v>3456</v>
      </c>
      <c r="K356" s="29"/>
      <c r="L356" s="29"/>
      <c r="N356" s="30"/>
      <c r="O356" s="31"/>
      <c r="P356" s="31"/>
      <c r="Q356" s="31"/>
      <c r="R356" s="31"/>
      <c r="S356" s="31"/>
      <c r="T356" s="31"/>
      <c r="U356" s="31">
        <f t="shared" si="6"/>
        <v>0</v>
      </c>
      <c r="V356" s="31"/>
      <c r="W356" s="32"/>
      <c r="X356" s="32"/>
      <c r="Y356" s="32"/>
      <c r="Z356" s="33"/>
      <c r="AA356" s="34"/>
    </row>
    <row r="357" spans="1:27" s="25" customFormat="1" ht="78.75" x14ac:dyDescent="0.25">
      <c r="A357" s="24">
        <v>353</v>
      </c>
      <c r="B357" s="24" t="s">
        <v>3437</v>
      </c>
      <c r="C357" s="25" t="s">
        <v>3436</v>
      </c>
      <c r="D357" s="26">
        <v>61</v>
      </c>
      <c r="E357" s="25" t="s">
        <v>3443</v>
      </c>
      <c r="F357" s="25" t="s">
        <v>3442</v>
      </c>
      <c r="G357" s="24"/>
      <c r="H357" s="25" t="s">
        <v>3455</v>
      </c>
      <c r="I357" s="24"/>
      <c r="J357" s="25" t="s">
        <v>3454</v>
      </c>
      <c r="K357" s="29"/>
      <c r="L357" s="29"/>
      <c r="N357" s="30"/>
      <c r="O357" s="31"/>
      <c r="P357" s="31"/>
      <c r="Q357" s="31"/>
      <c r="R357" s="31"/>
      <c r="S357" s="31"/>
      <c r="T357" s="31"/>
      <c r="U357" s="31">
        <f t="shared" si="6"/>
        <v>0</v>
      </c>
      <c r="V357" s="31"/>
      <c r="W357" s="32"/>
      <c r="X357" s="32"/>
      <c r="Y357" s="32"/>
      <c r="Z357" s="33"/>
      <c r="AA357" s="34"/>
    </row>
    <row r="358" spans="1:27" s="25" customFormat="1" ht="78.75" x14ac:dyDescent="0.25">
      <c r="A358" s="24">
        <v>354</v>
      </c>
      <c r="B358" s="24" t="s">
        <v>3437</v>
      </c>
      <c r="C358" s="25" t="s">
        <v>3436</v>
      </c>
      <c r="D358" s="26">
        <v>61</v>
      </c>
      <c r="E358" s="25" t="s">
        <v>3443</v>
      </c>
      <c r="F358" s="25" t="s">
        <v>3442</v>
      </c>
      <c r="G358" s="24"/>
      <c r="H358" s="25" t="s">
        <v>3445</v>
      </c>
      <c r="I358" s="24"/>
      <c r="J358" s="25" t="s">
        <v>3453</v>
      </c>
      <c r="K358" s="29"/>
      <c r="L358" s="29"/>
      <c r="N358" s="30"/>
      <c r="O358" s="31"/>
      <c r="P358" s="31"/>
      <c r="Q358" s="31"/>
      <c r="R358" s="31"/>
      <c r="S358" s="31"/>
      <c r="T358" s="31"/>
      <c r="U358" s="31">
        <f t="shared" si="6"/>
        <v>0</v>
      </c>
      <c r="V358" s="31"/>
      <c r="W358" s="32"/>
      <c r="X358" s="32"/>
      <c r="Y358" s="32"/>
      <c r="Z358" s="33"/>
      <c r="AA358" s="34"/>
    </row>
    <row r="359" spans="1:27" s="25" customFormat="1" ht="78.75" x14ac:dyDescent="0.25">
      <c r="A359" s="24">
        <v>355</v>
      </c>
      <c r="B359" s="24" t="s">
        <v>3437</v>
      </c>
      <c r="C359" s="25" t="s">
        <v>3436</v>
      </c>
      <c r="D359" s="26">
        <v>61</v>
      </c>
      <c r="E359" s="25" t="s">
        <v>3443</v>
      </c>
      <c r="F359" s="25" t="s">
        <v>3442</v>
      </c>
      <c r="G359" s="24"/>
      <c r="H359" s="25" t="s">
        <v>3445</v>
      </c>
      <c r="I359" s="24"/>
      <c r="J359" s="25" t="s">
        <v>3452</v>
      </c>
      <c r="K359" s="29"/>
      <c r="L359" s="29"/>
      <c r="N359" s="30"/>
      <c r="O359" s="31"/>
      <c r="P359" s="31"/>
      <c r="Q359" s="31"/>
      <c r="R359" s="31"/>
      <c r="S359" s="31"/>
      <c r="T359" s="31"/>
      <c r="U359" s="31">
        <f t="shared" si="6"/>
        <v>0</v>
      </c>
      <c r="V359" s="31"/>
      <c r="W359" s="32"/>
      <c r="X359" s="32"/>
      <c r="Y359" s="32"/>
      <c r="Z359" s="33"/>
      <c r="AA359" s="34"/>
    </row>
    <row r="360" spans="1:27" s="25" customFormat="1" ht="78.75" x14ac:dyDescent="0.25">
      <c r="A360" s="24">
        <v>356</v>
      </c>
      <c r="B360" s="24" t="s">
        <v>3437</v>
      </c>
      <c r="C360" s="25" t="s">
        <v>3436</v>
      </c>
      <c r="D360" s="26">
        <v>61</v>
      </c>
      <c r="E360" s="25" t="s">
        <v>3443</v>
      </c>
      <c r="F360" s="25" t="s">
        <v>3442</v>
      </c>
      <c r="G360" s="24"/>
      <c r="H360" s="25" t="s">
        <v>3445</v>
      </c>
      <c r="I360" s="24"/>
      <c r="J360" s="25" t="s">
        <v>3451</v>
      </c>
      <c r="K360" s="29"/>
      <c r="L360" s="29"/>
      <c r="N360" s="30"/>
      <c r="O360" s="31"/>
      <c r="P360" s="31"/>
      <c r="Q360" s="31"/>
      <c r="R360" s="31"/>
      <c r="S360" s="31"/>
      <c r="T360" s="31"/>
      <c r="U360" s="31">
        <f t="shared" si="6"/>
        <v>0</v>
      </c>
      <c r="V360" s="31"/>
      <c r="W360" s="32"/>
      <c r="X360" s="32"/>
      <c r="Y360" s="32"/>
      <c r="Z360" s="33"/>
      <c r="AA360" s="34"/>
    </row>
    <row r="361" spans="1:27" s="25" customFormat="1" ht="78.75" x14ac:dyDescent="0.25">
      <c r="A361" s="24">
        <v>357</v>
      </c>
      <c r="B361" s="24" t="s">
        <v>3437</v>
      </c>
      <c r="C361" s="25" t="s">
        <v>3436</v>
      </c>
      <c r="D361" s="26">
        <v>61</v>
      </c>
      <c r="E361" s="25" t="s">
        <v>3443</v>
      </c>
      <c r="F361" s="25" t="s">
        <v>3442</v>
      </c>
      <c r="G361" s="24"/>
      <c r="H361" s="25" t="s">
        <v>3445</v>
      </c>
      <c r="I361" s="24"/>
      <c r="J361" s="25" t="s">
        <v>3450</v>
      </c>
      <c r="K361" s="29"/>
      <c r="L361" s="29"/>
      <c r="N361" s="30"/>
      <c r="O361" s="31"/>
      <c r="P361" s="31"/>
      <c r="Q361" s="31"/>
      <c r="R361" s="31"/>
      <c r="S361" s="31"/>
      <c r="T361" s="31"/>
      <c r="U361" s="31">
        <f t="shared" si="6"/>
        <v>0</v>
      </c>
      <c r="V361" s="31"/>
      <c r="W361" s="32"/>
      <c r="X361" s="32"/>
      <c r="Y361" s="32"/>
      <c r="Z361" s="33"/>
      <c r="AA361" s="34"/>
    </row>
    <row r="362" spans="1:27" s="25" customFormat="1" ht="78.75" x14ac:dyDescent="0.25">
      <c r="A362" s="24">
        <v>358</v>
      </c>
      <c r="B362" s="24" t="s">
        <v>3437</v>
      </c>
      <c r="C362" s="25" t="s">
        <v>3436</v>
      </c>
      <c r="D362" s="26">
        <v>61</v>
      </c>
      <c r="E362" s="25" t="s">
        <v>3443</v>
      </c>
      <c r="F362" s="25" t="s">
        <v>3442</v>
      </c>
      <c r="G362" s="24"/>
      <c r="H362" s="25" t="s">
        <v>3445</v>
      </c>
      <c r="I362" s="24"/>
      <c r="J362" s="25" t="s">
        <v>3449</v>
      </c>
      <c r="K362" s="29"/>
      <c r="L362" s="29"/>
      <c r="N362" s="30"/>
      <c r="O362" s="31"/>
      <c r="P362" s="31"/>
      <c r="Q362" s="31"/>
      <c r="R362" s="31"/>
      <c r="S362" s="31"/>
      <c r="T362" s="31"/>
      <c r="U362" s="31">
        <f t="shared" si="6"/>
        <v>0</v>
      </c>
      <c r="V362" s="31"/>
      <c r="W362" s="32"/>
      <c r="X362" s="32"/>
      <c r="Y362" s="32"/>
      <c r="Z362" s="33"/>
      <c r="AA362" s="34"/>
    </row>
    <row r="363" spans="1:27" s="25" customFormat="1" ht="78.75" x14ac:dyDescent="0.25">
      <c r="A363" s="24">
        <v>359</v>
      </c>
      <c r="B363" s="24" t="s">
        <v>3437</v>
      </c>
      <c r="C363" s="25" t="s">
        <v>3436</v>
      </c>
      <c r="D363" s="26">
        <v>61</v>
      </c>
      <c r="E363" s="25" t="s">
        <v>3443</v>
      </c>
      <c r="F363" s="25" t="s">
        <v>3442</v>
      </c>
      <c r="G363" s="24"/>
      <c r="H363" s="25" t="s">
        <v>3445</v>
      </c>
      <c r="I363" s="24"/>
      <c r="J363" s="25" t="s">
        <v>3448</v>
      </c>
      <c r="K363" s="29"/>
      <c r="L363" s="29"/>
      <c r="N363" s="30"/>
      <c r="O363" s="31"/>
      <c r="P363" s="31"/>
      <c r="Q363" s="31"/>
      <c r="R363" s="31"/>
      <c r="S363" s="31"/>
      <c r="T363" s="31"/>
      <c r="U363" s="31">
        <f t="shared" si="6"/>
        <v>0</v>
      </c>
      <c r="V363" s="31"/>
      <c r="W363" s="32"/>
      <c r="X363" s="32"/>
      <c r="Y363" s="32"/>
      <c r="Z363" s="33"/>
      <c r="AA363" s="34"/>
    </row>
    <row r="364" spans="1:27" s="25" customFormat="1" ht="78.75" x14ac:dyDescent="0.25">
      <c r="A364" s="24">
        <v>360</v>
      </c>
      <c r="B364" s="24" t="s">
        <v>3437</v>
      </c>
      <c r="C364" s="25" t="s">
        <v>3436</v>
      </c>
      <c r="D364" s="26">
        <v>61</v>
      </c>
      <c r="E364" s="25" t="s">
        <v>3443</v>
      </c>
      <c r="F364" s="25" t="s">
        <v>3442</v>
      </c>
      <c r="G364" s="24"/>
      <c r="H364" s="25" t="s">
        <v>3445</v>
      </c>
      <c r="I364" s="24"/>
      <c r="J364" s="25" t="s">
        <v>3447</v>
      </c>
      <c r="K364" s="29"/>
      <c r="L364" s="29"/>
      <c r="N364" s="30"/>
      <c r="O364" s="31"/>
      <c r="P364" s="31"/>
      <c r="Q364" s="31"/>
      <c r="R364" s="31"/>
      <c r="S364" s="31"/>
      <c r="T364" s="31"/>
      <c r="U364" s="31">
        <f t="shared" si="6"/>
        <v>0</v>
      </c>
      <c r="V364" s="31"/>
      <c r="W364" s="32"/>
      <c r="X364" s="32"/>
      <c r="Y364" s="32"/>
      <c r="Z364" s="33"/>
      <c r="AA364" s="34"/>
    </row>
    <row r="365" spans="1:27" s="25" customFormat="1" ht="78.75" x14ac:dyDescent="0.25">
      <c r="A365" s="24">
        <v>361</v>
      </c>
      <c r="B365" s="24" t="s">
        <v>3437</v>
      </c>
      <c r="C365" s="25" t="s">
        <v>3436</v>
      </c>
      <c r="D365" s="26">
        <v>61</v>
      </c>
      <c r="E365" s="25" t="s">
        <v>3443</v>
      </c>
      <c r="F365" s="25" t="s">
        <v>3442</v>
      </c>
      <c r="G365" s="24"/>
      <c r="H365" s="25" t="s">
        <v>3445</v>
      </c>
      <c r="I365" s="24"/>
      <c r="J365" s="25" t="s">
        <v>3446</v>
      </c>
      <c r="K365" s="29"/>
      <c r="L365" s="29"/>
      <c r="N365" s="30"/>
      <c r="O365" s="31"/>
      <c r="P365" s="31"/>
      <c r="Q365" s="31"/>
      <c r="R365" s="31"/>
      <c r="S365" s="31"/>
      <c r="T365" s="31"/>
      <c r="U365" s="31">
        <f t="shared" si="6"/>
        <v>0</v>
      </c>
      <c r="V365" s="31"/>
      <c r="W365" s="32"/>
      <c r="X365" s="32"/>
      <c r="Y365" s="32"/>
      <c r="Z365" s="33"/>
      <c r="AA365" s="34"/>
    </row>
    <row r="366" spans="1:27" s="25" customFormat="1" ht="78.75" x14ac:dyDescent="0.25">
      <c r="A366" s="24">
        <v>362</v>
      </c>
      <c r="B366" s="24" t="s">
        <v>3437</v>
      </c>
      <c r="C366" s="25" t="s">
        <v>3436</v>
      </c>
      <c r="D366" s="26">
        <v>61</v>
      </c>
      <c r="E366" s="25" t="s">
        <v>3443</v>
      </c>
      <c r="F366" s="25" t="s">
        <v>3442</v>
      </c>
      <c r="G366" s="24"/>
      <c r="H366" s="25" t="s">
        <v>3445</v>
      </c>
      <c r="I366" s="24"/>
      <c r="J366" s="25" t="s">
        <v>3444</v>
      </c>
      <c r="K366" s="29"/>
      <c r="L366" s="29"/>
      <c r="N366" s="30"/>
      <c r="O366" s="31"/>
      <c r="P366" s="31"/>
      <c r="Q366" s="31"/>
      <c r="R366" s="31"/>
      <c r="S366" s="31"/>
      <c r="T366" s="31"/>
      <c r="U366" s="31">
        <f t="shared" si="6"/>
        <v>0</v>
      </c>
      <c r="V366" s="31"/>
      <c r="W366" s="32"/>
      <c r="X366" s="32"/>
      <c r="Y366" s="32"/>
      <c r="Z366" s="33"/>
      <c r="AA366" s="34"/>
    </row>
    <row r="367" spans="1:27" s="25" customFormat="1" ht="78.75" x14ac:dyDescent="0.25">
      <c r="A367" s="24">
        <v>363</v>
      </c>
      <c r="B367" s="24" t="s">
        <v>3437</v>
      </c>
      <c r="C367" s="25" t="s">
        <v>3436</v>
      </c>
      <c r="D367" s="26">
        <v>61</v>
      </c>
      <c r="E367" s="25" t="s">
        <v>3443</v>
      </c>
      <c r="F367" s="25" t="s">
        <v>3442</v>
      </c>
      <c r="G367" s="24"/>
      <c r="H367" s="25" t="s">
        <v>3441</v>
      </c>
      <c r="I367" s="24"/>
      <c r="J367" s="25" t="s">
        <v>3441</v>
      </c>
      <c r="K367" s="29"/>
      <c r="L367" s="29"/>
      <c r="N367" s="30"/>
      <c r="O367" s="31"/>
      <c r="P367" s="31"/>
      <c r="Q367" s="31"/>
      <c r="R367" s="31"/>
      <c r="S367" s="31"/>
      <c r="T367" s="31"/>
      <c r="U367" s="31">
        <f t="shared" si="6"/>
        <v>0</v>
      </c>
      <c r="V367" s="31"/>
      <c r="W367" s="32"/>
      <c r="X367" s="32"/>
      <c r="Y367" s="32"/>
      <c r="Z367" s="33"/>
      <c r="AA367" s="34"/>
    </row>
    <row r="368" spans="1:27" s="70" customFormat="1" ht="78.75" x14ac:dyDescent="0.2">
      <c r="A368" s="24">
        <v>364</v>
      </c>
      <c r="B368" s="52" t="s">
        <v>3437</v>
      </c>
      <c r="C368" s="53" t="s">
        <v>3436</v>
      </c>
      <c r="D368" s="54" t="s">
        <v>3440</v>
      </c>
      <c r="E368" s="53" t="s">
        <v>3439</v>
      </c>
      <c r="F368" s="53" t="s">
        <v>3438</v>
      </c>
      <c r="G368" s="52"/>
      <c r="H368" s="53"/>
      <c r="I368" s="52"/>
      <c r="J368" s="53"/>
      <c r="K368" s="52"/>
      <c r="L368" s="25"/>
      <c r="M368" s="25"/>
      <c r="N368" s="25"/>
      <c r="O368" s="25"/>
      <c r="P368" s="25"/>
      <c r="Q368" s="25"/>
      <c r="R368" s="25"/>
      <c r="S368" s="25"/>
      <c r="T368" s="25"/>
      <c r="U368" s="31">
        <f t="shared" si="6"/>
        <v>0</v>
      </c>
      <c r="V368" s="25"/>
      <c r="W368" s="33"/>
      <c r="X368" s="33"/>
      <c r="Y368" s="33"/>
      <c r="Z368" s="33"/>
      <c r="AA368" s="33"/>
    </row>
    <row r="369" spans="1:27" s="70" customFormat="1" ht="78.75" x14ac:dyDescent="0.2">
      <c r="A369" s="24">
        <v>365</v>
      </c>
      <c r="B369" s="52" t="s">
        <v>3437</v>
      </c>
      <c r="C369" s="53" t="s">
        <v>3436</v>
      </c>
      <c r="D369" s="54" t="s">
        <v>3435</v>
      </c>
      <c r="E369" s="53" t="s">
        <v>3434</v>
      </c>
      <c r="F369" s="53" t="s">
        <v>3067</v>
      </c>
      <c r="G369" s="52"/>
      <c r="H369" s="53"/>
      <c r="I369" s="52"/>
      <c r="J369" s="53"/>
      <c r="K369" s="52"/>
      <c r="L369" s="25"/>
      <c r="M369" s="25"/>
      <c r="N369" s="25"/>
      <c r="O369" s="25"/>
      <c r="P369" s="25"/>
      <c r="Q369" s="25"/>
      <c r="R369" s="25"/>
      <c r="S369" s="25"/>
      <c r="T369" s="25"/>
      <c r="U369" s="31">
        <f t="shared" si="6"/>
        <v>0</v>
      </c>
      <c r="V369" s="25"/>
      <c r="W369" s="33"/>
      <c r="X369" s="33"/>
      <c r="Y369" s="33"/>
      <c r="Z369" s="33"/>
      <c r="AA369" s="33"/>
    </row>
    <row r="370" spans="1:27" s="70" customFormat="1" ht="33.75" x14ac:dyDescent="0.2">
      <c r="A370" s="24">
        <v>366</v>
      </c>
      <c r="B370" s="52" t="s">
        <v>3052</v>
      </c>
      <c r="C370" s="53" t="s">
        <v>3051</v>
      </c>
      <c r="D370" s="54" t="s">
        <v>3433</v>
      </c>
      <c r="E370" s="53" t="s">
        <v>3432</v>
      </c>
      <c r="F370" s="53" t="s">
        <v>3431</v>
      </c>
      <c r="G370" s="52"/>
      <c r="H370" s="53"/>
      <c r="I370" s="52"/>
      <c r="J370" s="53"/>
      <c r="K370" s="52"/>
      <c r="L370" s="25"/>
      <c r="M370" s="25"/>
      <c r="N370" s="25"/>
      <c r="O370" s="25"/>
      <c r="P370" s="25"/>
      <c r="Q370" s="25"/>
      <c r="R370" s="25"/>
      <c r="S370" s="25"/>
      <c r="T370" s="25"/>
      <c r="U370" s="31">
        <f t="shared" si="6"/>
        <v>0</v>
      </c>
      <c r="V370" s="25"/>
      <c r="W370" s="33"/>
      <c r="X370" s="33"/>
      <c r="Y370" s="33"/>
      <c r="Z370" s="33"/>
      <c r="AA370" s="33"/>
    </row>
    <row r="371" spans="1:27" s="70" customFormat="1" ht="56.25" x14ac:dyDescent="0.2">
      <c r="A371" s="24">
        <v>367</v>
      </c>
      <c r="B371" s="24" t="s">
        <v>3052</v>
      </c>
      <c r="C371" s="25" t="s">
        <v>3051</v>
      </c>
      <c r="D371" s="26" t="s">
        <v>3310</v>
      </c>
      <c r="E371" s="25" t="s">
        <v>3309</v>
      </c>
      <c r="F371" s="25" t="s">
        <v>3308</v>
      </c>
      <c r="G371" s="24"/>
      <c r="H371" s="25" t="s">
        <v>3333</v>
      </c>
      <c r="I371" s="27"/>
      <c r="J371" s="28" t="s">
        <v>3402</v>
      </c>
      <c r="K371" s="27"/>
      <c r="L371" s="25" t="s">
        <v>3430</v>
      </c>
      <c r="M371" s="25" t="s">
        <v>1692</v>
      </c>
      <c r="N371" s="25">
        <v>1</v>
      </c>
      <c r="O371" s="25"/>
      <c r="P371" s="25">
        <v>43.2</v>
      </c>
      <c r="Q371" s="25">
        <v>18</v>
      </c>
      <c r="R371" s="25"/>
      <c r="S371" s="25">
        <v>7.2</v>
      </c>
      <c r="T371" s="25">
        <v>3.6</v>
      </c>
      <c r="U371" s="31">
        <f t="shared" si="6"/>
        <v>72</v>
      </c>
      <c r="V371" s="25"/>
      <c r="W371" s="33" t="s">
        <v>22</v>
      </c>
      <c r="X371" s="33" t="s">
        <v>3354</v>
      </c>
      <c r="Y371" s="33" t="s">
        <v>38</v>
      </c>
      <c r="Z371" s="33" t="s">
        <v>3144</v>
      </c>
      <c r="AA371" s="33"/>
    </row>
    <row r="372" spans="1:27" s="70" customFormat="1" ht="56.25" x14ac:dyDescent="0.2">
      <c r="A372" s="24">
        <v>368</v>
      </c>
      <c r="B372" s="24" t="s">
        <v>3052</v>
      </c>
      <c r="C372" s="25" t="s">
        <v>3051</v>
      </c>
      <c r="D372" s="26" t="s">
        <v>3310</v>
      </c>
      <c r="E372" s="25" t="s">
        <v>3309</v>
      </c>
      <c r="F372" s="25" t="s">
        <v>3308</v>
      </c>
      <c r="G372" s="24"/>
      <c r="H372" s="25" t="s">
        <v>3333</v>
      </c>
      <c r="I372" s="27"/>
      <c r="J372" s="28" t="s">
        <v>3402</v>
      </c>
      <c r="K372" s="27"/>
      <c r="L372" s="25" t="s">
        <v>3429</v>
      </c>
      <c r="M372" s="25" t="s">
        <v>3340</v>
      </c>
      <c r="N372" s="25">
        <v>2</v>
      </c>
      <c r="O372" s="25">
        <v>86.4</v>
      </c>
      <c r="P372" s="25"/>
      <c r="Q372" s="25">
        <v>36</v>
      </c>
      <c r="R372" s="25"/>
      <c r="S372" s="25">
        <v>14.4</v>
      </c>
      <c r="T372" s="25">
        <v>7.2</v>
      </c>
      <c r="U372" s="31">
        <f t="shared" si="6"/>
        <v>144</v>
      </c>
      <c r="V372" s="25"/>
      <c r="W372" s="33" t="s">
        <v>22</v>
      </c>
      <c r="X372" s="33" t="s">
        <v>3429</v>
      </c>
      <c r="Y372" s="33" t="s">
        <v>38</v>
      </c>
      <c r="Z372" s="33" t="s">
        <v>3144</v>
      </c>
      <c r="AA372" s="33"/>
    </row>
    <row r="373" spans="1:27" s="70" customFormat="1" ht="56.25" x14ac:dyDescent="0.2">
      <c r="A373" s="24">
        <v>369</v>
      </c>
      <c r="B373" s="24" t="s">
        <v>3052</v>
      </c>
      <c r="C373" s="25" t="s">
        <v>3051</v>
      </c>
      <c r="D373" s="26" t="s">
        <v>3310</v>
      </c>
      <c r="E373" s="25" t="s">
        <v>3309</v>
      </c>
      <c r="F373" s="25" t="s">
        <v>3308</v>
      </c>
      <c r="G373" s="24"/>
      <c r="H373" s="25" t="s">
        <v>3333</v>
      </c>
      <c r="I373" s="27"/>
      <c r="J373" s="28" t="s">
        <v>3402</v>
      </c>
      <c r="K373" s="27"/>
      <c r="L373" s="25" t="s">
        <v>3428</v>
      </c>
      <c r="M373" s="25" t="s">
        <v>3340</v>
      </c>
      <c r="N373" s="25">
        <v>1</v>
      </c>
      <c r="O373" s="25"/>
      <c r="P373" s="25">
        <v>352.8</v>
      </c>
      <c r="Q373" s="25">
        <v>147</v>
      </c>
      <c r="R373" s="25"/>
      <c r="S373" s="25">
        <v>58.8</v>
      </c>
      <c r="T373" s="25">
        <v>29.4</v>
      </c>
      <c r="U373" s="31">
        <f t="shared" si="6"/>
        <v>588</v>
      </c>
      <c r="V373" s="25"/>
      <c r="W373" s="33" t="s">
        <v>22</v>
      </c>
      <c r="X373" s="33" t="s">
        <v>3427</v>
      </c>
      <c r="Y373" s="33" t="s">
        <v>38</v>
      </c>
      <c r="Z373" s="33" t="s">
        <v>3144</v>
      </c>
      <c r="AA373" s="33"/>
    </row>
    <row r="374" spans="1:27" s="70" customFormat="1" ht="56.25" x14ac:dyDescent="0.2">
      <c r="A374" s="24">
        <v>370</v>
      </c>
      <c r="B374" s="24" t="s">
        <v>3052</v>
      </c>
      <c r="C374" s="25" t="s">
        <v>3051</v>
      </c>
      <c r="D374" s="26" t="s">
        <v>3310</v>
      </c>
      <c r="E374" s="25" t="s">
        <v>3309</v>
      </c>
      <c r="F374" s="25" t="s">
        <v>3308</v>
      </c>
      <c r="G374" s="24"/>
      <c r="H374" s="25" t="s">
        <v>3333</v>
      </c>
      <c r="I374" s="27"/>
      <c r="J374" s="28" t="s">
        <v>3402</v>
      </c>
      <c r="K374" s="27"/>
      <c r="L374" s="25" t="s">
        <v>3426</v>
      </c>
      <c r="M374" s="25" t="s">
        <v>3340</v>
      </c>
      <c r="N374" s="25">
        <v>1</v>
      </c>
      <c r="O374" s="25"/>
      <c r="P374" s="25">
        <v>352.8</v>
      </c>
      <c r="Q374" s="25">
        <v>147</v>
      </c>
      <c r="R374" s="25"/>
      <c r="S374" s="25">
        <v>58.8</v>
      </c>
      <c r="T374" s="25">
        <v>29.4</v>
      </c>
      <c r="U374" s="31">
        <f t="shared" si="6"/>
        <v>588</v>
      </c>
      <c r="V374" s="25"/>
      <c r="W374" s="33" t="s">
        <v>22</v>
      </c>
      <c r="X374" s="33" t="s">
        <v>3425</v>
      </c>
      <c r="Y374" s="33" t="s">
        <v>38</v>
      </c>
      <c r="Z374" s="33" t="s">
        <v>3144</v>
      </c>
      <c r="AA374" s="33"/>
    </row>
    <row r="375" spans="1:27" s="70" customFormat="1" ht="56.25" x14ac:dyDescent="0.2">
      <c r="A375" s="24">
        <v>371</v>
      </c>
      <c r="B375" s="24" t="s">
        <v>3052</v>
      </c>
      <c r="C375" s="25" t="s">
        <v>3051</v>
      </c>
      <c r="D375" s="26" t="s">
        <v>3310</v>
      </c>
      <c r="E375" s="25" t="s">
        <v>3309</v>
      </c>
      <c r="F375" s="25" t="s">
        <v>3308</v>
      </c>
      <c r="G375" s="24"/>
      <c r="H375" s="25" t="s">
        <v>3333</v>
      </c>
      <c r="I375" s="27"/>
      <c r="J375" s="28" t="s">
        <v>3402</v>
      </c>
      <c r="K375" s="27"/>
      <c r="L375" s="25" t="s">
        <v>3424</v>
      </c>
      <c r="M375" s="25" t="s">
        <v>3340</v>
      </c>
      <c r="N375" s="25">
        <v>1</v>
      </c>
      <c r="O375" s="25">
        <v>86.4</v>
      </c>
      <c r="P375" s="25"/>
      <c r="Q375" s="25">
        <v>36</v>
      </c>
      <c r="R375" s="25"/>
      <c r="S375" s="25">
        <v>14.4</v>
      </c>
      <c r="T375" s="25">
        <v>7.2</v>
      </c>
      <c r="U375" s="31">
        <f t="shared" si="6"/>
        <v>144</v>
      </c>
      <c r="V375" s="25"/>
      <c r="W375" s="33" t="s">
        <v>22</v>
      </c>
      <c r="X375" s="33" t="s">
        <v>3423</v>
      </c>
      <c r="Y375" s="33" t="s">
        <v>38</v>
      </c>
      <c r="Z375" s="33" t="s">
        <v>3144</v>
      </c>
      <c r="AA375" s="33"/>
    </row>
    <row r="376" spans="1:27" s="70" customFormat="1" ht="56.25" x14ac:dyDescent="0.2">
      <c r="A376" s="24">
        <v>372</v>
      </c>
      <c r="B376" s="24" t="s">
        <v>3052</v>
      </c>
      <c r="C376" s="25" t="s">
        <v>3051</v>
      </c>
      <c r="D376" s="26" t="s">
        <v>3310</v>
      </c>
      <c r="E376" s="25" t="s">
        <v>3309</v>
      </c>
      <c r="F376" s="25" t="s">
        <v>3308</v>
      </c>
      <c r="G376" s="24"/>
      <c r="H376" s="25" t="s">
        <v>3333</v>
      </c>
      <c r="I376" s="27"/>
      <c r="J376" s="28" t="s">
        <v>3402</v>
      </c>
      <c r="K376" s="27"/>
      <c r="L376" s="25" t="s">
        <v>3422</v>
      </c>
      <c r="M376" s="25" t="s">
        <v>3421</v>
      </c>
      <c r="N376" s="25">
        <v>1</v>
      </c>
      <c r="O376" s="25"/>
      <c r="P376" s="25">
        <v>2</v>
      </c>
      <c r="Q376" s="25">
        <v>34</v>
      </c>
      <c r="R376" s="25"/>
      <c r="S376" s="25">
        <v>4</v>
      </c>
      <c r="T376" s="25"/>
      <c r="U376" s="31">
        <f t="shared" si="6"/>
        <v>40</v>
      </c>
      <c r="V376" s="25"/>
      <c r="W376" s="33" t="s">
        <v>22</v>
      </c>
      <c r="X376" s="33" t="s">
        <v>3389</v>
      </c>
      <c r="Y376" s="33" t="s">
        <v>38</v>
      </c>
      <c r="Z376" s="33" t="s">
        <v>3144</v>
      </c>
      <c r="AA376" s="33"/>
    </row>
    <row r="377" spans="1:27" s="70" customFormat="1" ht="56.25" x14ac:dyDescent="0.2">
      <c r="A377" s="24">
        <v>373</v>
      </c>
      <c r="B377" s="24" t="s">
        <v>3052</v>
      </c>
      <c r="C377" s="25" t="s">
        <v>3051</v>
      </c>
      <c r="D377" s="26" t="s">
        <v>3310</v>
      </c>
      <c r="E377" s="25" t="s">
        <v>3309</v>
      </c>
      <c r="F377" s="25" t="s">
        <v>3308</v>
      </c>
      <c r="G377" s="24"/>
      <c r="H377" s="25" t="s">
        <v>3333</v>
      </c>
      <c r="I377" s="27"/>
      <c r="J377" s="28" t="s">
        <v>3402</v>
      </c>
      <c r="K377" s="27"/>
      <c r="L377" s="25" t="s">
        <v>3420</v>
      </c>
      <c r="M377" s="25" t="s">
        <v>3419</v>
      </c>
      <c r="N377" s="25">
        <v>1</v>
      </c>
      <c r="O377" s="25"/>
      <c r="P377" s="25">
        <v>78</v>
      </c>
      <c r="Q377" s="25"/>
      <c r="R377" s="25"/>
      <c r="S377" s="25">
        <v>34</v>
      </c>
      <c r="T377" s="25">
        <v>12</v>
      </c>
      <c r="U377" s="31">
        <f t="shared" si="6"/>
        <v>124</v>
      </c>
      <c r="V377" s="25"/>
      <c r="W377" s="33" t="s">
        <v>22</v>
      </c>
      <c r="X377" s="33" t="s">
        <v>3418</v>
      </c>
      <c r="Y377" s="33" t="s">
        <v>38</v>
      </c>
      <c r="Z377" s="33" t="s">
        <v>3144</v>
      </c>
      <c r="AA377" s="33"/>
    </row>
    <row r="378" spans="1:27" s="70" customFormat="1" ht="56.25" x14ac:dyDescent="0.2">
      <c r="A378" s="24">
        <v>374</v>
      </c>
      <c r="B378" s="24" t="s">
        <v>3052</v>
      </c>
      <c r="C378" s="25" t="s">
        <v>3051</v>
      </c>
      <c r="D378" s="26" t="s">
        <v>3310</v>
      </c>
      <c r="E378" s="25" t="s">
        <v>3309</v>
      </c>
      <c r="F378" s="25" t="s">
        <v>3308</v>
      </c>
      <c r="G378" s="24"/>
      <c r="H378" s="25" t="s">
        <v>3333</v>
      </c>
      <c r="I378" s="27"/>
      <c r="J378" s="28" t="s">
        <v>3402</v>
      </c>
      <c r="K378" s="27"/>
      <c r="L378" s="25" t="s">
        <v>3417</v>
      </c>
      <c r="M378" s="25" t="s">
        <v>3416</v>
      </c>
      <c r="N378" s="25">
        <v>1</v>
      </c>
      <c r="O378" s="25"/>
      <c r="P378" s="25">
        <v>122.4</v>
      </c>
      <c r="Q378" s="25"/>
      <c r="R378" s="25"/>
      <c r="S378" s="25">
        <v>14.4</v>
      </c>
      <c r="T378" s="25">
        <v>7.2</v>
      </c>
      <c r="U378" s="31">
        <f t="shared" si="6"/>
        <v>144</v>
      </c>
      <c r="V378" s="25"/>
      <c r="W378" s="33" t="s">
        <v>22</v>
      </c>
      <c r="X378" s="33" t="s">
        <v>3414</v>
      </c>
      <c r="Y378" s="33" t="s">
        <v>38</v>
      </c>
      <c r="Z378" s="33" t="s">
        <v>3144</v>
      </c>
      <c r="AA378" s="33"/>
    </row>
    <row r="379" spans="1:27" s="70" customFormat="1" ht="56.25" x14ac:dyDescent="0.2">
      <c r="A379" s="24">
        <v>375</v>
      </c>
      <c r="B379" s="24" t="s">
        <v>3052</v>
      </c>
      <c r="C379" s="25" t="s">
        <v>3051</v>
      </c>
      <c r="D379" s="26" t="s">
        <v>3310</v>
      </c>
      <c r="E379" s="25" t="s">
        <v>3309</v>
      </c>
      <c r="F379" s="25" t="s">
        <v>3308</v>
      </c>
      <c r="G379" s="24"/>
      <c r="H379" s="25" t="s">
        <v>3333</v>
      </c>
      <c r="I379" s="27"/>
      <c r="J379" s="28" t="s">
        <v>3402</v>
      </c>
      <c r="K379" s="27"/>
      <c r="L379" s="25" t="s">
        <v>3415</v>
      </c>
      <c r="M379" s="25" t="s">
        <v>3384</v>
      </c>
      <c r="N379" s="25">
        <v>1</v>
      </c>
      <c r="O379" s="25"/>
      <c r="P379" s="25">
        <v>163.19999999999999</v>
      </c>
      <c r="Q379" s="25"/>
      <c r="R379" s="25"/>
      <c r="S379" s="25">
        <v>19.2</v>
      </c>
      <c r="T379" s="25">
        <v>9.6</v>
      </c>
      <c r="U379" s="31">
        <f t="shared" si="6"/>
        <v>191.99999999999997</v>
      </c>
      <c r="V379" s="25"/>
      <c r="W379" s="33" t="s">
        <v>22</v>
      </c>
      <c r="X379" s="33" t="s">
        <v>3414</v>
      </c>
      <c r="Y379" s="33" t="s">
        <v>38</v>
      </c>
      <c r="Z379" s="33" t="s">
        <v>3144</v>
      </c>
      <c r="AA379" s="33"/>
    </row>
    <row r="380" spans="1:27" s="70" customFormat="1" ht="56.25" x14ac:dyDescent="0.2">
      <c r="A380" s="24">
        <v>376</v>
      </c>
      <c r="B380" s="24" t="s">
        <v>3052</v>
      </c>
      <c r="C380" s="25" t="s">
        <v>3051</v>
      </c>
      <c r="D380" s="26" t="s">
        <v>3310</v>
      </c>
      <c r="E380" s="25" t="s">
        <v>3309</v>
      </c>
      <c r="F380" s="25" t="s">
        <v>3308</v>
      </c>
      <c r="G380" s="24"/>
      <c r="H380" s="25" t="s">
        <v>3333</v>
      </c>
      <c r="I380" s="27"/>
      <c r="J380" s="28" t="s">
        <v>3402</v>
      </c>
      <c r="K380" s="27"/>
      <c r="L380" s="25" t="s">
        <v>3413</v>
      </c>
      <c r="M380" s="25" t="s">
        <v>3345</v>
      </c>
      <c r="N380" s="25">
        <v>1</v>
      </c>
      <c r="O380" s="25">
        <v>315</v>
      </c>
      <c r="P380" s="25"/>
      <c r="Q380" s="25">
        <v>42</v>
      </c>
      <c r="R380" s="25"/>
      <c r="S380" s="25">
        <v>42</v>
      </c>
      <c r="T380" s="25">
        <v>21</v>
      </c>
      <c r="U380" s="31">
        <f t="shared" si="6"/>
        <v>420</v>
      </c>
      <c r="V380" s="25"/>
      <c r="W380" s="33" t="s">
        <v>22</v>
      </c>
      <c r="X380" s="33" t="s">
        <v>3412</v>
      </c>
      <c r="Y380" s="33" t="s">
        <v>38</v>
      </c>
      <c r="Z380" s="33" t="s">
        <v>3144</v>
      </c>
      <c r="AA380" s="33"/>
    </row>
    <row r="381" spans="1:27" s="70" customFormat="1" ht="56.25" x14ac:dyDescent="0.2">
      <c r="A381" s="24">
        <v>377</v>
      </c>
      <c r="B381" s="24" t="s">
        <v>3052</v>
      </c>
      <c r="C381" s="25" t="s">
        <v>3051</v>
      </c>
      <c r="D381" s="26" t="s">
        <v>3310</v>
      </c>
      <c r="E381" s="25" t="s">
        <v>3309</v>
      </c>
      <c r="F381" s="25" t="s">
        <v>3308</v>
      </c>
      <c r="G381" s="24"/>
      <c r="H381" s="25" t="s">
        <v>3333</v>
      </c>
      <c r="I381" s="27"/>
      <c r="J381" s="28" t="s">
        <v>3402</v>
      </c>
      <c r="K381" s="27"/>
      <c r="L381" s="25" t="s">
        <v>3411</v>
      </c>
      <c r="M381" s="25" t="s">
        <v>3345</v>
      </c>
      <c r="N381" s="25">
        <v>1</v>
      </c>
      <c r="O381" s="25">
        <v>84</v>
      </c>
      <c r="P381" s="25"/>
      <c r="Q381" s="25">
        <v>11.2</v>
      </c>
      <c r="R381" s="25"/>
      <c r="S381" s="25">
        <v>11.2</v>
      </c>
      <c r="T381" s="25">
        <v>5.6</v>
      </c>
      <c r="U381" s="31">
        <f t="shared" si="6"/>
        <v>112</v>
      </c>
      <c r="V381" s="25"/>
      <c r="W381" s="33" t="s">
        <v>22</v>
      </c>
      <c r="X381" s="33" t="s">
        <v>3411</v>
      </c>
      <c r="Y381" s="33" t="s">
        <v>38</v>
      </c>
      <c r="Z381" s="33" t="s">
        <v>3144</v>
      </c>
      <c r="AA381" s="33"/>
    </row>
    <row r="382" spans="1:27" s="70" customFormat="1" ht="56.25" x14ac:dyDescent="0.2">
      <c r="A382" s="24">
        <v>378</v>
      </c>
      <c r="B382" s="24" t="s">
        <v>3052</v>
      </c>
      <c r="C382" s="25" t="s">
        <v>3051</v>
      </c>
      <c r="D382" s="26" t="s">
        <v>3310</v>
      </c>
      <c r="E382" s="25" t="s">
        <v>3309</v>
      </c>
      <c r="F382" s="25" t="s">
        <v>3308</v>
      </c>
      <c r="G382" s="24"/>
      <c r="H382" s="25" t="s">
        <v>3333</v>
      </c>
      <c r="I382" s="27"/>
      <c r="J382" s="28" t="s">
        <v>3402</v>
      </c>
      <c r="K382" s="27"/>
      <c r="L382" s="25" t="s">
        <v>3410</v>
      </c>
      <c r="M382" s="25" t="s">
        <v>3342</v>
      </c>
      <c r="N382" s="25">
        <v>1</v>
      </c>
      <c r="O382" s="25"/>
      <c r="P382" s="25">
        <v>332</v>
      </c>
      <c r="Q382" s="25">
        <v>120</v>
      </c>
      <c r="R382" s="25"/>
      <c r="S382" s="25">
        <v>80</v>
      </c>
      <c r="T382" s="25">
        <v>6</v>
      </c>
      <c r="U382" s="31">
        <f t="shared" si="6"/>
        <v>538</v>
      </c>
      <c r="V382" s="25"/>
      <c r="W382" s="33" t="s">
        <v>22</v>
      </c>
      <c r="X382" s="33" t="s">
        <v>3145</v>
      </c>
      <c r="Y382" s="33" t="s">
        <v>38</v>
      </c>
      <c r="Z382" s="33" t="s">
        <v>3144</v>
      </c>
      <c r="AA382" s="33"/>
    </row>
    <row r="383" spans="1:27" s="70" customFormat="1" ht="56.25" x14ac:dyDescent="0.2">
      <c r="A383" s="24">
        <v>379</v>
      </c>
      <c r="B383" s="24" t="s">
        <v>3052</v>
      </c>
      <c r="C383" s="25" t="s">
        <v>3051</v>
      </c>
      <c r="D383" s="26" t="s">
        <v>3310</v>
      </c>
      <c r="E383" s="25" t="s">
        <v>3309</v>
      </c>
      <c r="F383" s="25" t="s">
        <v>3308</v>
      </c>
      <c r="G383" s="24"/>
      <c r="H383" s="25" t="s">
        <v>3333</v>
      </c>
      <c r="I383" s="27"/>
      <c r="J383" s="28" t="s">
        <v>3402</v>
      </c>
      <c r="K383" s="27"/>
      <c r="L383" s="25" t="s">
        <v>3409</v>
      </c>
      <c r="M383" s="25" t="s">
        <v>3340</v>
      </c>
      <c r="N383" s="25">
        <v>1</v>
      </c>
      <c r="O383" s="25"/>
      <c r="P383" s="25">
        <v>182.4</v>
      </c>
      <c r="Q383" s="25">
        <v>76</v>
      </c>
      <c r="R383" s="25"/>
      <c r="S383" s="25">
        <v>30.4</v>
      </c>
      <c r="T383" s="25">
        <v>15.2</v>
      </c>
      <c r="U383" s="31">
        <f t="shared" si="6"/>
        <v>303.99999999999994</v>
      </c>
      <c r="V383" s="25"/>
      <c r="W383" s="33" t="s">
        <v>22</v>
      </c>
      <c r="X383" s="33" t="s">
        <v>3408</v>
      </c>
      <c r="Y383" s="33" t="s">
        <v>38</v>
      </c>
      <c r="Z383" s="33" t="s">
        <v>3144</v>
      </c>
      <c r="AA383" s="33"/>
    </row>
    <row r="384" spans="1:27" s="70" customFormat="1" ht="67.5" x14ac:dyDescent="0.2">
      <c r="A384" s="24">
        <v>380</v>
      </c>
      <c r="B384" s="24" t="s">
        <v>3052</v>
      </c>
      <c r="C384" s="25" t="s">
        <v>3051</v>
      </c>
      <c r="D384" s="26" t="s">
        <v>3310</v>
      </c>
      <c r="E384" s="25" t="s">
        <v>3309</v>
      </c>
      <c r="F384" s="25" t="s">
        <v>3308</v>
      </c>
      <c r="G384" s="24"/>
      <c r="H384" s="25" t="s">
        <v>3333</v>
      </c>
      <c r="I384" s="27"/>
      <c r="J384" s="28" t="s">
        <v>3402</v>
      </c>
      <c r="K384" s="27"/>
      <c r="L384" s="25" t="s">
        <v>3407</v>
      </c>
      <c r="M384" s="25" t="s">
        <v>3340</v>
      </c>
      <c r="N384" s="25">
        <v>1</v>
      </c>
      <c r="O384" s="25"/>
      <c r="P384" s="25">
        <v>330</v>
      </c>
      <c r="Q384" s="25">
        <v>137.5</v>
      </c>
      <c r="R384" s="25"/>
      <c r="S384" s="25">
        <v>55</v>
      </c>
      <c r="T384" s="25">
        <v>27.5</v>
      </c>
      <c r="U384" s="31">
        <f t="shared" si="6"/>
        <v>550</v>
      </c>
      <c r="V384" s="25"/>
      <c r="W384" s="33" t="s">
        <v>22</v>
      </c>
      <c r="X384" s="33" t="s">
        <v>3406</v>
      </c>
      <c r="Y384" s="33" t="s">
        <v>38</v>
      </c>
      <c r="Z384" s="33" t="s">
        <v>3144</v>
      </c>
      <c r="AA384" s="33"/>
    </row>
    <row r="385" spans="1:27" s="70" customFormat="1" ht="56.25" x14ac:dyDescent="0.2">
      <c r="A385" s="24">
        <v>381</v>
      </c>
      <c r="B385" s="24" t="s">
        <v>3052</v>
      </c>
      <c r="C385" s="25" t="s">
        <v>3051</v>
      </c>
      <c r="D385" s="26" t="s">
        <v>3310</v>
      </c>
      <c r="E385" s="25" t="s">
        <v>3309</v>
      </c>
      <c r="F385" s="25" t="s">
        <v>3308</v>
      </c>
      <c r="G385" s="24"/>
      <c r="H385" s="25" t="s">
        <v>3333</v>
      </c>
      <c r="I385" s="27"/>
      <c r="J385" s="28" t="s">
        <v>3402</v>
      </c>
      <c r="K385" s="27"/>
      <c r="L385" s="25" t="s">
        <v>3405</v>
      </c>
      <c r="M385" s="25" t="s">
        <v>3340</v>
      </c>
      <c r="N385" s="25">
        <v>1</v>
      </c>
      <c r="O385" s="25"/>
      <c r="P385" s="25">
        <v>214.2</v>
      </c>
      <c r="Q385" s="25"/>
      <c r="R385" s="25"/>
      <c r="S385" s="25">
        <v>25.2</v>
      </c>
      <c r="T385" s="25">
        <v>12.6</v>
      </c>
      <c r="U385" s="31">
        <f t="shared" si="6"/>
        <v>251.99999999999997</v>
      </c>
      <c r="V385" s="25"/>
      <c r="W385" s="33" t="s">
        <v>22</v>
      </c>
      <c r="X385" s="33"/>
      <c r="Y385" s="33" t="s">
        <v>38</v>
      </c>
      <c r="Z385" s="33" t="s">
        <v>3144</v>
      </c>
      <c r="AA385" s="33"/>
    </row>
    <row r="386" spans="1:27" s="70" customFormat="1" ht="56.25" x14ac:dyDescent="0.2">
      <c r="A386" s="24">
        <v>382</v>
      </c>
      <c r="B386" s="24" t="s">
        <v>3052</v>
      </c>
      <c r="C386" s="25" t="s">
        <v>3051</v>
      </c>
      <c r="D386" s="26" t="s">
        <v>3310</v>
      </c>
      <c r="E386" s="25" t="s">
        <v>3309</v>
      </c>
      <c r="F386" s="25" t="s">
        <v>3308</v>
      </c>
      <c r="G386" s="24"/>
      <c r="H386" s="25" t="s">
        <v>3333</v>
      </c>
      <c r="I386" s="27"/>
      <c r="J386" s="28" t="s">
        <v>3402</v>
      </c>
      <c r="K386" s="27"/>
      <c r="L386" s="25" t="s">
        <v>3404</v>
      </c>
      <c r="M386" s="25" t="s">
        <v>3342</v>
      </c>
      <c r="N386" s="25">
        <v>1</v>
      </c>
      <c r="O386" s="25"/>
      <c r="P386" s="25">
        <v>118</v>
      </c>
      <c r="Q386" s="25">
        <v>46</v>
      </c>
      <c r="R386" s="25"/>
      <c r="S386" s="25">
        <v>20</v>
      </c>
      <c r="T386" s="25">
        <v>10</v>
      </c>
      <c r="U386" s="31">
        <f t="shared" si="6"/>
        <v>194</v>
      </c>
      <c r="V386" s="25"/>
      <c r="W386" s="33" t="s">
        <v>22</v>
      </c>
      <c r="X386" s="33" t="s">
        <v>3145</v>
      </c>
      <c r="Y386" s="33" t="s">
        <v>38</v>
      </c>
      <c r="Z386" s="33" t="s">
        <v>3144</v>
      </c>
      <c r="AA386" s="33"/>
    </row>
    <row r="387" spans="1:27" s="70" customFormat="1" ht="56.25" x14ac:dyDescent="0.2">
      <c r="A387" s="24">
        <v>383</v>
      </c>
      <c r="B387" s="24" t="s">
        <v>3052</v>
      </c>
      <c r="C387" s="25" t="s">
        <v>3051</v>
      </c>
      <c r="D387" s="26" t="s">
        <v>3310</v>
      </c>
      <c r="E387" s="25" t="s">
        <v>3309</v>
      </c>
      <c r="F387" s="25" t="s">
        <v>3308</v>
      </c>
      <c r="G387" s="24"/>
      <c r="H387" s="25" t="s">
        <v>3333</v>
      </c>
      <c r="I387" s="27"/>
      <c r="J387" s="28" t="s">
        <v>3402</v>
      </c>
      <c r="K387" s="27"/>
      <c r="L387" s="25" t="s">
        <v>3403</v>
      </c>
      <c r="M387" s="25" t="s">
        <v>1692</v>
      </c>
      <c r="N387" s="25">
        <v>1</v>
      </c>
      <c r="O387" s="25"/>
      <c r="P387" s="25"/>
      <c r="Q387" s="25">
        <v>122.4</v>
      </c>
      <c r="R387" s="25"/>
      <c r="S387" s="25">
        <v>14.4</v>
      </c>
      <c r="T387" s="25">
        <v>7.2</v>
      </c>
      <c r="U387" s="31">
        <f t="shared" si="6"/>
        <v>144</v>
      </c>
      <c r="V387" s="25"/>
      <c r="W387" s="33" t="s">
        <v>22</v>
      </c>
      <c r="X387" s="33" t="s">
        <v>3403</v>
      </c>
      <c r="Y387" s="33" t="s">
        <v>38</v>
      </c>
      <c r="Z387" s="33" t="s">
        <v>3144</v>
      </c>
      <c r="AA387" s="33"/>
    </row>
    <row r="388" spans="1:27" s="70" customFormat="1" ht="56.25" x14ac:dyDescent="0.2">
      <c r="A388" s="24">
        <v>384</v>
      </c>
      <c r="B388" s="24" t="s">
        <v>3052</v>
      </c>
      <c r="C388" s="25" t="s">
        <v>3051</v>
      </c>
      <c r="D388" s="26" t="s">
        <v>3310</v>
      </c>
      <c r="E388" s="25" t="s">
        <v>3309</v>
      </c>
      <c r="F388" s="25" t="s">
        <v>3308</v>
      </c>
      <c r="G388" s="24"/>
      <c r="H388" s="25" t="s">
        <v>3333</v>
      </c>
      <c r="I388" s="27"/>
      <c r="J388" s="28" t="s">
        <v>3402</v>
      </c>
      <c r="K388" s="27"/>
      <c r="L388" s="25" t="s">
        <v>3401</v>
      </c>
      <c r="M388" s="25" t="s">
        <v>3128</v>
      </c>
      <c r="N388" s="25">
        <v>1</v>
      </c>
      <c r="O388" s="25"/>
      <c r="P388" s="25">
        <v>57.6</v>
      </c>
      <c r="Q388" s="25">
        <v>24</v>
      </c>
      <c r="R388" s="25"/>
      <c r="S388" s="25">
        <v>9.6</v>
      </c>
      <c r="T388" s="25">
        <v>4.8</v>
      </c>
      <c r="U388" s="31">
        <f t="shared" si="6"/>
        <v>95.999999999999986</v>
      </c>
      <c r="V388" s="25"/>
      <c r="W388" s="33" t="s">
        <v>22</v>
      </c>
      <c r="X388" s="33" t="s">
        <v>3145</v>
      </c>
      <c r="Y388" s="33" t="s">
        <v>38</v>
      </c>
      <c r="Z388" s="33" t="s">
        <v>3144</v>
      </c>
      <c r="AA388" s="33"/>
    </row>
    <row r="389" spans="1:27" s="70" customFormat="1" ht="56.25" x14ac:dyDescent="0.2">
      <c r="A389" s="24">
        <v>385</v>
      </c>
      <c r="B389" s="24" t="s">
        <v>3052</v>
      </c>
      <c r="C389" s="25" t="s">
        <v>3051</v>
      </c>
      <c r="D389" s="26" t="s">
        <v>3310</v>
      </c>
      <c r="E389" s="25" t="s">
        <v>3309</v>
      </c>
      <c r="F389" s="25" t="s">
        <v>3308</v>
      </c>
      <c r="G389" s="24"/>
      <c r="H389" s="25" t="s">
        <v>3333</v>
      </c>
      <c r="I389" s="27"/>
      <c r="J389" s="28" t="s">
        <v>3393</v>
      </c>
      <c r="K389" s="27"/>
      <c r="L389" s="25" t="s">
        <v>3400</v>
      </c>
      <c r="M389" s="25" t="s">
        <v>592</v>
      </c>
      <c r="N389" s="25">
        <v>1</v>
      </c>
      <c r="O389" s="25"/>
      <c r="P389" s="25">
        <v>416</v>
      </c>
      <c r="Q389" s="25">
        <v>168</v>
      </c>
      <c r="R389" s="25"/>
      <c r="S389" s="25">
        <v>64</v>
      </c>
      <c r="T389" s="25">
        <v>32</v>
      </c>
      <c r="U389" s="31">
        <f t="shared" si="6"/>
        <v>680</v>
      </c>
      <c r="V389" s="25"/>
      <c r="W389" s="33" t="s">
        <v>22</v>
      </c>
      <c r="X389" s="33" t="s">
        <v>3358</v>
      </c>
      <c r="Y389" s="33" t="s">
        <v>38</v>
      </c>
      <c r="Z389" s="33" t="s">
        <v>3144</v>
      </c>
      <c r="AA389" s="33"/>
    </row>
    <row r="390" spans="1:27" s="70" customFormat="1" ht="56.25" x14ac:dyDescent="0.2">
      <c r="A390" s="24">
        <v>386</v>
      </c>
      <c r="B390" s="24" t="s">
        <v>3052</v>
      </c>
      <c r="C390" s="25" t="s">
        <v>3051</v>
      </c>
      <c r="D390" s="26" t="s">
        <v>3310</v>
      </c>
      <c r="E390" s="25" t="s">
        <v>3309</v>
      </c>
      <c r="F390" s="25" t="s">
        <v>3308</v>
      </c>
      <c r="G390" s="24"/>
      <c r="H390" s="25" t="s">
        <v>3333</v>
      </c>
      <c r="I390" s="27"/>
      <c r="J390" s="28" t="s">
        <v>3393</v>
      </c>
      <c r="K390" s="27"/>
      <c r="L390" s="25" t="s">
        <v>3399</v>
      </c>
      <c r="M390" s="25" t="s">
        <v>422</v>
      </c>
      <c r="N390" s="25">
        <v>1</v>
      </c>
      <c r="O390" s="25"/>
      <c r="P390" s="25">
        <v>341</v>
      </c>
      <c r="Q390" s="25">
        <v>40</v>
      </c>
      <c r="R390" s="25"/>
      <c r="S390" s="25">
        <v>20</v>
      </c>
      <c r="T390" s="25">
        <v>10</v>
      </c>
      <c r="U390" s="31">
        <f t="shared" ref="U390:U453" si="7">SUM(O390:T390)</f>
        <v>411</v>
      </c>
      <c r="V390" s="25"/>
      <c r="W390" s="33" t="s">
        <v>22</v>
      </c>
      <c r="X390" s="33" t="s">
        <v>3358</v>
      </c>
      <c r="Y390" s="33" t="s">
        <v>38</v>
      </c>
      <c r="Z390" s="33" t="s">
        <v>3144</v>
      </c>
      <c r="AA390" s="33"/>
    </row>
    <row r="391" spans="1:27" s="70" customFormat="1" ht="56.25" x14ac:dyDescent="0.2">
      <c r="A391" s="24">
        <v>387</v>
      </c>
      <c r="B391" s="24" t="s">
        <v>3052</v>
      </c>
      <c r="C391" s="25" t="s">
        <v>3051</v>
      </c>
      <c r="D391" s="26" t="s">
        <v>3310</v>
      </c>
      <c r="E391" s="25" t="s">
        <v>3309</v>
      </c>
      <c r="F391" s="25" t="s">
        <v>3308</v>
      </c>
      <c r="G391" s="24"/>
      <c r="H391" s="25" t="s">
        <v>3333</v>
      </c>
      <c r="I391" s="27"/>
      <c r="J391" s="28" t="s">
        <v>3393</v>
      </c>
      <c r="K391" s="27"/>
      <c r="L391" s="25" t="s">
        <v>3398</v>
      </c>
      <c r="M391" s="25" t="s">
        <v>3397</v>
      </c>
      <c r="N391" s="25">
        <v>1</v>
      </c>
      <c r="O391" s="25"/>
      <c r="P391" s="25">
        <v>31.2</v>
      </c>
      <c r="Q391" s="25">
        <v>13</v>
      </c>
      <c r="R391" s="25"/>
      <c r="S391" s="25">
        <v>5.2</v>
      </c>
      <c r="T391" s="25">
        <v>2.6</v>
      </c>
      <c r="U391" s="31">
        <f t="shared" si="7"/>
        <v>52.000000000000007</v>
      </c>
      <c r="V391" s="25"/>
      <c r="W391" s="33" t="s">
        <v>22</v>
      </c>
      <c r="X391" s="33" t="s">
        <v>3396</v>
      </c>
      <c r="Y391" s="33" t="s">
        <v>38</v>
      </c>
      <c r="Z391" s="33" t="s">
        <v>3144</v>
      </c>
      <c r="AA391" s="33"/>
    </row>
    <row r="392" spans="1:27" s="70" customFormat="1" ht="56.25" x14ac:dyDescent="0.2">
      <c r="A392" s="24">
        <v>388</v>
      </c>
      <c r="B392" s="24" t="s">
        <v>3052</v>
      </c>
      <c r="C392" s="25" t="s">
        <v>3051</v>
      </c>
      <c r="D392" s="26" t="s">
        <v>3310</v>
      </c>
      <c r="E392" s="25" t="s">
        <v>3309</v>
      </c>
      <c r="F392" s="25" t="s">
        <v>3308</v>
      </c>
      <c r="G392" s="24"/>
      <c r="H392" s="25" t="s">
        <v>3333</v>
      </c>
      <c r="I392" s="27"/>
      <c r="J392" s="28" t="s">
        <v>3393</v>
      </c>
      <c r="K392" s="27"/>
      <c r="L392" s="25" t="s">
        <v>3395</v>
      </c>
      <c r="M392" s="25" t="s">
        <v>3394</v>
      </c>
      <c r="N392" s="25">
        <v>1</v>
      </c>
      <c r="O392" s="25"/>
      <c r="P392" s="25">
        <v>72</v>
      </c>
      <c r="Q392" s="25">
        <v>30</v>
      </c>
      <c r="R392" s="25"/>
      <c r="S392" s="25">
        <v>12</v>
      </c>
      <c r="T392" s="25">
        <v>6</v>
      </c>
      <c r="U392" s="31">
        <f t="shared" si="7"/>
        <v>120</v>
      </c>
      <c r="V392" s="25"/>
      <c r="W392" s="33" t="s">
        <v>22</v>
      </c>
      <c r="X392" s="33" t="s">
        <v>3367</v>
      </c>
      <c r="Y392" s="33" t="s">
        <v>38</v>
      </c>
      <c r="Z392" s="33" t="s">
        <v>3144</v>
      </c>
      <c r="AA392" s="33"/>
    </row>
    <row r="393" spans="1:27" s="70" customFormat="1" ht="56.25" x14ac:dyDescent="0.2">
      <c r="A393" s="24">
        <v>389</v>
      </c>
      <c r="B393" s="24" t="s">
        <v>3052</v>
      </c>
      <c r="C393" s="25" t="s">
        <v>3051</v>
      </c>
      <c r="D393" s="26" t="s">
        <v>3310</v>
      </c>
      <c r="E393" s="25" t="s">
        <v>3309</v>
      </c>
      <c r="F393" s="25" t="s">
        <v>3308</v>
      </c>
      <c r="G393" s="24"/>
      <c r="H393" s="25" t="s">
        <v>3333</v>
      </c>
      <c r="I393" s="27"/>
      <c r="J393" s="28" t="s">
        <v>3393</v>
      </c>
      <c r="K393" s="27"/>
      <c r="L393" s="25" t="s">
        <v>3392</v>
      </c>
      <c r="M393" s="25" t="s">
        <v>3128</v>
      </c>
      <c r="N393" s="25">
        <v>1</v>
      </c>
      <c r="O393" s="25"/>
      <c r="P393" s="25">
        <v>16</v>
      </c>
      <c r="Q393" s="25">
        <v>52</v>
      </c>
      <c r="R393" s="25"/>
      <c r="S393" s="25"/>
      <c r="T393" s="25">
        <v>10</v>
      </c>
      <c r="U393" s="31">
        <f t="shared" si="7"/>
        <v>78</v>
      </c>
      <c r="V393" s="25"/>
      <c r="W393" s="33"/>
      <c r="X393" s="33"/>
      <c r="Y393" s="33"/>
      <c r="Z393" s="33"/>
      <c r="AA393" s="33"/>
    </row>
    <row r="394" spans="1:27" s="70" customFormat="1" ht="56.25" x14ac:dyDescent="0.2">
      <c r="A394" s="24">
        <v>390</v>
      </c>
      <c r="B394" s="24" t="s">
        <v>3052</v>
      </c>
      <c r="C394" s="25" t="s">
        <v>3051</v>
      </c>
      <c r="D394" s="26" t="s">
        <v>3310</v>
      </c>
      <c r="E394" s="25" t="s">
        <v>3309</v>
      </c>
      <c r="F394" s="25" t="s">
        <v>3308</v>
      </c>
      <c r="G394" s="24"/>
      <c r="H394" s="25" t="s">
        <v>3333</v>
      </c>
      <c r="I394" s="27"/>
      <c r="J394" s="28" t="s">
        <v>3380</v>
      </c>
      <c r="K394" s="27"/>
      <c r="L394" s="25" t="s">
        <v>3391</v>
      </c>
      <c r="M394" s="25" t="s">
        <v>3390</v>
      </c>
      <c r="N394" s="25">
        <v>1</v>
      </c>
      <c r="O394" s="25"/>
      <c r="P394" s="25">
        <v>7.2</v>
      </c>
      <c r="Q394" s="25">
        <v>3</v>
      </c>
      <c r="R394" s="25"/>
      <c r="S394" s="25">
        <v>1.2</v>
      </c>
      <c r="T394" s="25">
        <v>0.6</v>
      </c>
      <c r="U394" s="31">
        <f t="shared" si="7"/>
        <v>11.999999999999998</v>
      </c>
      <c r="V394" s="25"/>
      <c r="W394" s="33" t="s">
        <v>22</v>
      </c>
      <c r="X394" s="33" t="s">
        <v>3389</v>
      </c>
      <c r="Y394" s="33" t="s">
        <v>38</v>
      </c>
      <c r="Z394" s="33" t="s">
        <v>3144</v>
      </c>
      <c r="AA394" s="33"/>
    </row>
    <row r="395" spans="1:27" s="70" customFormat="1" ht="56.25" x14ac:dyDescent="0.2">
      <c r="A395" s="24">
        <v>391</v>
      </c>
      <c r="B395" s="24" t="s">
        <v>3052</v>
      </c>
      <c r="C395" s="25" t="s">
        <v>3051</v>
      </c>
      <c r="D395" s="26" t="s">
        <v>3310</v>
      </c>
      <c r="E395" s="25" t="s">
        <v>3309</v>
      </c>
      <c r="F395" s="25" t="s">
        <v>3308</v>
      </c>
      <c r="G395" s="24"/>
      <c r="H395" s="25" t="s">
        <v>3333</v>
      </c>
      <c r="I395" s="27"/>
      <c r="J395" s="28" t="s">
        <v>3380</v>
      </c>
      <c r="K395" s="27"/>
      <c r="L395" s="25" t="s">
        <v>3388</v>
      </c>
      <c r="M395" s="25" t="s">
        <v>3378</v>
      </c>
      <c r="N395" s="25">
        <v>1</v>
      </c>
      <c r="O395" s="25"/>
      <c r="P395" s="25">
        <v>58</v>
      </c>
      <c r="Q395" s="25">
        <v>22</v>
      </c>
      <c r="R395" s="25"/>
      <c r="S395" s="25">
        <v>0</v>
      </c>
      <c r="T395" s="25">
        <v>0</v>
      </c>
      <c r="U395" s="31">
        <f t="shared" si="7"/>
        <v>80</v>
      </c>
      <c r="V395" s="25"/>
      <c r="W395" s="33" t="s">
        <v>22</v>
      </c>
      <c r="X395" s="33" t="s">
        <v>3145</v>
      </c>
      <c r="Y395" s="33" t="s">
        <v>38</v>
      </c>
      <c r="Z395" s="33" t="s">
        <v>3144</v>
      </c>
      <c r="AA395" s="33"/>
    </row>
    <row r="396" spans="1:27" s="70" customFormat="1" ht="56.25" x14ac:dyDescent="0.2">
      <c r="A396" s="24">
        <v>392</v>
      </c>
      <c r="B396" s="24" t="s">
        <v>3052</v>
      </c>
      <c r="C396" s="25" t="s">
        <v>3051</v>
      </c>
      <c r="D396" s="26" t="s">
        <v>3310</v>
      </c>
      <c r="E396" s="25" t="s">
        <v>3309</v>
      </c>
      <c r="F396" s="25" t="s">
        <v>3308</v>
      </c>
      <c r="G396" s="24"/>
      <c r="H396" s="25" t="s">
        <v>3333</v>
      </c>
      <c r="I396" s="27"/>
      <c r="J396" s="28" t="s">
        <v>3380</v>
      </c>
      <c r="K396" s="27"/>
      <c r="L396" s="25" t="s">
        <v>3387</v>
      </c>
      <c r="M396" s="25" t="s">
        <v>3378</v>
      </c>
      <c r="N396" s="25">
        <v>1</v>
      </c>
      <c r="O396" s="25"/>
      <c r="P396" s="25">
        <v>61</v>
      </c>
      <c r="Q396" s="25">
        <v>12</v>
      </c>
      <c r="R396" s="25"/>
      <c r="S396" s="25">
        <v>7</v>
      </c>
      <c r="T396" s="25">
        <v>3.5</v>
      </c>
      <c r="U396" s="31">
        <f t="shared" si="7"/>
        <v>83.5</v>
      </c>
      <c r="V396" s="25"/>
      <c r="W396" s="33" t="s">
        <v>22</v>
      </c>
      <c r="X396" s="33" t="s">
        <v>3386</v>
      </c>
      <c r="Y396" s="33" t="s">
        <v>38</v>
      </c>
      <c r="Z396" s="33" t="s">
        <v>3144</v>
      </c>
      <c r="AA396" s="33"/>
    </row>
    <row r="397" spans="1:27" s="70" customFormat="1" ht="56.25" x14ac:dyDescent="0.2">
      <c r="A397" s="24">
        <v>393</v>
      </c>
      <c r="B397" s="24" t="s">
        <v>3052</v>
      </c>
      <c r="C397" s="25" t="s">
        <v>3051</v>
      </c>
      <c r="D397" s="26" t="s">
        <v>3310</v>
      </c>
      <c r="E397" s="25" t="s">
        <v>3309</v>
      </c>
      <c r="F397" s="25" t="s">
        <v>3308</v>
      </c>
      <c r="G397" s="24"/>
      <c r="H397" s="25" t="s">
        <v>3333</v>
      </c>
      <c r="I397" s="27"/>
      <c r="J397" s="28" t="s">
        <v>3380</v>
      </c>
      <c r="K397" s="27"/>
      <c r="L397" s="25" t="s">
        <v>3385</v>
      </c>
      <c r="M397" s="25" t="s">
        <v>3384</v>
      </c>
      <c r="N397" s="25">
        <v>1</v>
      </c>
      <c r="O397" s="25">
        <v>24</v>
      </c>
      <c r="P397" s="25"/>
      <c r="Q397" s="25">
        <v>10</v>
      </c>
      <c r="R397" s="25"/>
      <c r="S397" s="25">
        <v>4</v>
      </c>
      <c r="T397" s="25">
        <v>2</v>
      </c>
      <c r="U397" s="31">
        <f t="shared" si="7"/>
        <v>40</v>
      </c>
      <c r="V397" s="25"/>
      <c r="W397" s="33" t="s">
        <v>22</v>
      </c>
      <c r="X397" s="33" t="s">
        <v>3383</v>
      </c>
      <c r="Y397" s="33" t="s">
        <v>38</v>
      </c>
      <c r="Z397" s="33" t="s">
        <v>3144</v>
      </c>
      <c r="AA397" s="33"/>
    </row>
    <row r="398" spans="1:27" s="70" customFormat="1" ht="56.25" x14ac:dyDescent="0.2">
      <c r="A398" s="24">
        <v>394</v>
      </c>
      <c r="B398" s="24" t="s">
        <v>3052</v>
      </c>
      <c r="C398" s="25" t="s">
        <v>3051</v>
      </c>
      <c r="D398" s="26" t="s">
        <v>3310</v>
      </c>
      <c r="E398" s="25" t="s">
        <v>3309</v>
      </c>
      <c r="F398" s="25" t="s">
        <v>3308</v>
      </c>
      <c r="G398" s="24"/>
      <c r="H398" s="25" t="s">
        <v>3333</v>
      </c>
      <c r="I398" s="27"/>
      <c r="J398" s="28" t="s">
        <v>3380</v>
      </c>
      <c r="K398" s="27"/>
      <c r="L398" s="25" t="s">
        <v>3382</v>
      </c>
      <c r="M398" s="25" t="s">
        <v>3378</v>
      </c>
      <c r="N398" s="25"/>
      <c r="O398" s="25">
        <v>90</v>
      </c>
      <c r="P398" s="25"/>
      <c r="Q398" s="25">
        <v>42</v>
      </c>
      <c r="R398" s="25"/>
      <c r="S398" s="25">
        <v>16</v>
      </c>
      <c r="T398" s="25">
        <v>7</v>
      </c>
      <c r="U398" s="31">
        <f t="shared" si="7"/>
        <v>155</v>
      </c>
      <c r="V398" s="25"/>
      <c r="W398" s="33" t="s">
        <v>22</v>
      </c>
      <c r="X398" s="33" t="s">
        <v>3145</v>
      </c>
      <c r="Y398" s="33" t="s">
        <v>38</v>
      </c>
      <c r="Z398" s="33" t="s">
        <v>3144</v>
      </c>
      <c r="AA398" s="33"/>
    </row>
    <row r="399" spans="1:27" s="70" customFormat="1" ht="56.25" x14ac:dyDescent="0.2">
      <c r="A399" s="24">
        <v>395</v>
      </c>
      <c r="B399" s="24" t="s">
        <v>3052</v>
      </c>
      <c r="C399" s="25" t="s">
        <v>3051</v>
      </c>
      <c r="D399" s="26" t="s">
        <v>3310</v>
      </c>
      <c r="E399" s="25" t="s">
        <v>3309</v>
      </c>
      <c r="F399" s="25" t="s">
        <v>3308</v>
      </c>
      <c r="G399" s="24"/>
      <c r="H399" s="25" t="s">
        <v>3333</v>
      </c>
      <c r="I399" s="27"/>
      <c r="J399" s="28" t="s">
        <v>3380</v>
      </c>
      <c r="K399" s="27"/>
      <c r="L399" s="25" t="s">
        <v>3381</v>
      </c>
      <c r="M399" s="25" t="s">
        <v>3378</v>
      </c>
      <c r="N399" s="25">
        <v>1</v>
      </c>
      <c r="O399" s="25">
        <v>60</v>
      </c>
      <c r="P399" s="25">
        <v>100</v>
      </c>
      <c r="Q399" s="25">
        <v>63</v>
      </c>
      <c r="R399" s="25"/>
      <c r="S399" s="25">
        <v>25.2</v>
      </c>
      <c r="T399" s="25">
        <v>12.6</v>
      </c>
      <c r="U399" s="31">
        <f t="shared" si="7"/>
        <v>260.8</v>
      </c>
      <c r="V399" s="25"/>
      <c r="W399" s="33" t="s">
        <v>22</v>
      </c>
      <c r="X399" s="33" t="s">
        <v>3377</v>
      </c>
      <c r="Y399" s="33" t="s">
        <v>38</v>
      </c>
      <c r="Z399" s="33" t="s">
        <v>3144</v>
      </c>
      <c r="AA399" s="33"/>
    </row>
    <row r="400" spans="1:27" s="70" customFormat="1" ht="56.25" x14ac:dyDescent="0.2">
      <c r="A400" s="24">
        <v>396</v>
      </c>
      <c r="B400" s="24" t="s">
        <v>3052</v>
      </c>
      <c r="C400" s="25" t="s">
        <v>3051</v>
      </c>
      <c r="D400" s="26" t="s">
        <v>3310</v>
      </c>
      <c r="E400" s="25" t="s">
        <v>3309</v>
      </c>
      <c r="F400" s="25" t="s">
        <v>3308</v>
      </c>
      <c r="G400" s="24"/>
      <c r="H400" s="25" t="s">
        <v>3333</v>
      </c>
      <c r="I400" s="27"/>
      <c r="J400" s="28" t="s">
        <v>3380</v>
      </c>
      <c r="K400" s="27"/>
      <c r="L400" s="25" t="s">
        <v>3379</v>
      </c>
      <c r="M400" s="25" t="s">
        <v>3378</v>
      </c>
      <c r="N400" s="25"/>
      <c r="O400" s="25">
        <v>43</v>
      </c>
      <c r="P400" s="25">
        <v>15</v>
      </c>
      <c r="Q400" s="25">
        <v>10</v>
      </c>
      <c r="R400" s="25"/>
      <c r="S400" s="25">
        <v>4</v>
      </c>
      <c r="T400" s="25"/>
      <c r="U400" s="31">
        <f t="shared" si="7"/>
        <v>72</v>
      </c>
      <c r="V400" s="25"/>
      <c r="W400" s="33" t="s">
        <v>22</v>
      </c>
      <c r="X400" s="33" t="s">
        <v>3377</v>
      </c>
      <c r="Y400" s="33" t="s">
        <v>38</v>
      </c>
      <c r="Z400" s="33" t="s">
        <v>3144</v>
      </c>
      <c r="AA400" s="33"/>
    </row>
    <row r="401" spans="1:27" s="70" customFormat="1" ht="56.25" x14ac:dyDescent="0.2">
      <c r="A401" s="24">
        <v>397</v>
      </c>
      <c r="B401" s="24" t="s">
        <v>3052</v>
      </c>
      <c r="C401" s="25" t="s">
        <v>3051</v>
      </c>
      <c r="D401" s="26" t="s">
        <v>3310</v>
      </c>
      <c r="E401" s="25" t="s">
        <v>3309</v>
      </c>
      <c r="F401" s="25" t="s">
        <v>3308</v>
      </c>
      <c r="G401" s="24"/>
      <c r="H401" s="25" t="s">
        <v>3333</v>
      </c>
      <c r="I401" s="27"/>
      <c r="J401" s="28" t="s">
        <v>3376</v>
      </c>
      <c r="K401" s="27"/>
      <c r="L401" s="25"/>
      <c r="M401" s="25"/>
      <c r="N401" s="25"/>
      <c r="O401" s="25"/>
      <c r="P401" s="25"/>
      <c r="Q401" s="25"/>
      <c r="R401" s="25"/>
      <c r="S401" s="25"/>
      <c r="T401" s="25"/>
      <c r="U401" s="31">
        <f t="shared" si="7"/>
        <v>0</v>
      </c>
      <c r="V401" s="25"/>
      <c r="W401" s="33"/>
      <c r="X401" s="33"/>
      <c r="Y401" s="33"/>
      <c r="Z401" s="33"/>
      <c r="AA401" s="33"/>
    </row>
    <row r="402" spans="1:27" s="70" customFormat="1" ht="56.25" x14ac:dyDescent="0.2">
      <c r="A402" s="24">
        <v>398</v>
      </c>
      <c r="B402" s="24" t="s">
        <v>3052</v>
      </c>
      <c r="C402" s="25" t="s">
        <v>3051</v>
      </c>
      <c r="D402" s="26" t="s">
        <v>3310</v>
      </c>
      <c r="E402" s="25" t="s">
        <v>3309</v>
      </c>
      <c r="F402" s="25" t="s">
        <v>3308</v>
      </c>
      <c r="G402" s="24"/>
      <c r="H402" s="25" t="s">
        <v>3333</v>
      </c>
      <c r="I402" s="27"/>
      <c r="J402" s="28" t="s">
        <v>3375</v>
      </c>
      <c r="K402" s="27"/>
      <c r="L402" s="25"/>
      <c r="M402" s="25"/>
      <c r="N402" s="25"/>
      <c r="O402" s="25"/>
      <c r="P402" s="25"/>
      <c r="Q402" s="25"/>
      <c r="R402" s="25"/>
      <c r="S402" s="25"/>
      <c r="T402" s="25"/>
      <c r="U402" s="31">
        <f t="shared" si="7"/>
        <v>0</v>
      </c>
      <c r="V402" s="25"/>
      <c r="W402" s="33"/>
      <c r="X402" s="33"/>
      <c r="Y402" s="33"/>
      <c r="Z402" s="33"/>
      <c r="AA402" s="33"/>
    </row>
    <row r="403" spans="1:27" s="70" customFormat="1" ht="56.25" x14ac:dyDescent="0.2">
      <c r="A403" s="24">
        <v>399</v>
      </c>
      <c r="B403" s="24" t="s">
        <v>3052</v>
      </c>
      <c r="C403" s="25" t="s">
        <v>3051</v>
      </c>
      <c r="D403" s="26" t="s">
        <v>3310</v>
      </c>
      <c r="E403" s="25" t="s">
        <v>3309</v>
      </c>
      <c r="F403" s="25" t="s">
        <v>3308</v>
      </c>
      <c r="G403" s="24"/>
      <c r="H403" s="25" t="s">
        <v>3333</v>
      </c>
      <c r="I403" s="27"/>
      <c r="J403" s="28" t="s">
        <v>3366</v>
      </c>
      <c r="K403" s="27"/>
      <c r="L403" s="25" t="s">
        <v>3374</v>
      </c>
      <c r="M403" s="25" t="s">
        <v>412</v>
      </c>
      <c r="N403" s="25">
        <v>4</v>
      </c>
      <c r="O403" s="25">
        <v>2</v>
      </c>
      <c r="P403" s="25"/>
      <c r="Q403" s="25"/>
      <c r="R403" s="25"/>
      <c r="S403" s="25"/>
      <c r="T403" s="25"/>
      <c r="U403" s="31">
        <f t="shared" si="7"/>
        <v>2</v>
      </c>
      <c r="V403" s="25"/>
      <c r="W403" s="33" t="s">
        <v>22</v>
      </c>
      <c r="X403" s="33" t="s">
        <v>3371</v>
      </c>
      <c r="Y403" s="33" t="s">
        <v>38</v>
      </c>
      <c r="Z403" s="33" t="s">
        <v>3144</v>
      </c>
      <c r="AA403" s="33"/>
    </row>
    <row r="404" spans="1:27" s="70" customFormat="1" ht="56.25" x14ac:dyDescent="0.2">
      <c r="A404" s="24">
        <v>400</v>
      </c>
      <c r="B404" s="24" t="s">
        <v>3052</v>
      </c>
      <c r="C404" s="25" t="s">
        <v>3051</v>
      </c>
      <c r="D404" s="26" t="s">
        <v>3310</v>
      </c>
      <c r="E404" s="25" t="s">
        <v>3309</v>
      </c>
      <c r="F404" s="25" t="s">
        <v>3308</v>
      </c>
      <c r="G404" s="24"/>
      <c r="H404" s="25" t="s">
        <v>3333</v>
      </c>
      <c r="I404" s="27"/>
      <c r="J404" s="28" t="s">
        <v>3366</v>
      </c>
      <c r="K404" s="27"/>
      <c r="L404" s="25" t="s">
        <v>3373</v>
      </c>
      <c r="M404" s="25" t="s">
        <v>3372</v>
      </c>
      <c r="N404" s="25">
        <v>4</v>
      </c>
      <c r="O404" s="25">
        <v>9</v>
      </c>
      <c r="P404" s="25">
        <v>15</v>
      </c>
      <c r="Q404" s="25">
        <v>10</v>
      </c>
      <c r="R404" s="25"/>
      <c r="S404" s="25">
        <v>4</v>
      </c>
      <c r="T404" s="25">
        <v>2</v>
      </c>
      <c r="U404" s="31">
        <f t="shared" si="7"/>
        <v>40</v>
      </c>
      <c r="V404" s="25"/>
      <c r="W404" s="33" t="s">
        <v>22</v>
      </c>
      <c r="X404" s="33" t="s">
        <v>3371</v>
      </c>
      <c r="Y404" s="33" t="s">
        <v>38</v>
      </c>
      <c r="Z404" s="33" t="s">
        <v>3144</v>
      </c>
      <c r="AA404" s="33"/>
    </row>
    <row r="405" spans="1:27" s="70" customFormat="1" ht="56.25" x14ac:dyDescent="0.2">
      <c r="A405" s="24">
        <v>401</v>
      </c>
      <c r="B405" s="24" t="s">
        <v>3052</v>
      </c>
      <c r="C405" s="25" t="s">
        <v>3051</v>
      </c>
      <c r="D405" s="26" t="s">
        <v>3310</v>
      </c>
      <c r="E405" s="25" t="s">
        <v>3309</v>
      </c>
      <c r="F405" s="25" t="s">
        <v>3308</v>
      </c>
      <c r="G405" s="24"/>
      <c r="H405" s="25" t="s">
        <v>3333</v>
      </c>
      <c r="I405" s="27"/>
      <c r="J405" s="28" t="s">
        <v>3366</v>
      </c>
      <c r="K405" s="27"/>
      <c r="L405" s="25" t="s">
        <v>3370</v>
      </c>
      <c r="M405" s="25" t="s">
        <v>2688</v>
      </c>
      <c r="N405" s="25">
        <v>4</v>
      </c>
      <c r="O405" s="25"/>
      <c r="P405" s="25">
        <v>33</v>
      </c>
      <c r="Q405" s="25">
        <v>14</v>
      </c>
      <c r="R405" s="25"/>
      <c r="S405" s="25">
        <v>6</v>
      </c>
      <c r="T405" s="25">
        <v>3</v>
      </c>
      <c r="U405" s="31">
        <f t="shared" si="7"/>
        <v>56</v>
      </c>
      <c r="V405" s="25"/>
      <c r="W405" s="33" t="s">
        <v>22</v>
      </c>
      <c r="X405" s="33" t="s">
        <v>3369</v>
      </c>
      <c r="Y405" s="33" t="s">
        <v>38</v>
      </c>
      <c r="Z405" s="33" t="s">
        <v>3144</v>
      </c>
      <c r="AA405" s="33"/>
    </row>
    <row r="406" spans="1:27" s="70" customFormat="1" ht="56.25" x14ac:dyDescent="0.2">
      <c r="A406" s="24">
        <v>402</v>
      </c>
      <c r="B406" s="24" t="s">
        <v>3052</v>
      </c>
      <c r="C406" s="25" t="s">
        <v>3051</v>
      </c>
      <c r="D406" s="26" t="s">
        <v>3310</v>
      </c>
      <c r="E406" s="25" t="s">
        <v>3309</v>
      </c>
      <c r="F406" s="25" t="s">
        <v>3308</v>
      </c>
      <c r="G406" s="24"/>
      <c r="H406" s="25" t="s">
        <v>3333</v>
      </c>
      <c r="I406" s="27"/>
      <c r="J406" s="28" t="s">
        <v>3366</v>
      </c>
      <c r="K406" s="27"/>
      <c r="L406" s="25" t="s">
        <v>3368</v>
      </c>
      <c r="M406" s="25" t="s">
        <v>2688</v>
      </c>
      <c r="N406" s="25">
        <v>4</v>
      </c>
      <c r="O406" s="25"/>
      <c r="P406" s="25">
        <v>24</v>
      </c>
      <c r="Q406" s="25">
        <v>10</v>
      </c>
      <c r="R406" s="25"/>
      <c r="S406" s="25">
        <v>4</v>
      </c>
      <c r="T406" s="25">
        <v>2</v>
      </c>
      <c r="U406" s="31">
        <f t="shared" si="7"/>
        <v>40</v>
      </c>
      <c r="V406" s="25"/>
      <c r="W406" s="33" t="s">
        <v>22</v>
      </c>
      <c r="X406" s="33" t="s">
        <v>3367</v>
      </c>
      <c r="Y406" s="33" t="s">
        <v>38</v>
      </c>
      <c r="Z406" s="33" t="s">
        <v>3144</v>
      </c>
      <c r="AA406" s="33"/>
    </row>
    <row r="407" spans="1:27" s="70" customFormat="1" ht="56.25" x14ac:dyDescent="0.2">
      <c r="A407" s="24">
        <v>403</v>
      </c>
      <c r="B407" s="24" t="s">
        <v>3052</v>
      </c>
      <c r="C407" s="25" t="s">
        <v>3051</v>
      </c>
      <c r="D407" s="26" t="s">
        <v>3310</v>
      </c>
      <c r="E407" s="25" t="s">
        <v>3309</v>
      </c>
      <c r="F407" s="25" t="s">
        <v>3308</v>
      </c>
      <c r="G407" s="24"/>
      <c r="H407" s="25" t="s">
        <v>3333</v>
      </c>
      <c r="I407" s="27"/>
      <c r="J407" s="28" t="s">
        <v>3366</v>
      </c>
      <c r="K407" s="27"/>
      <c r="L407" s="25" t="s">
        <v>3365</v>
      </c>
      <c r="M407" s="25" t="s">
        <v>3364</v>
      </c>
      <c r="N407" s="25">
        <v>1</v>
      </c>
      <c r="O407" s="25"/>
      <c r="P407" s="25">
        <v>19.2</v>
      </c>
      <c r="Q407" s="25">
        <v>8</v>
      </c>
      <c r="R407" s="25"/>
      <c r="S407" s="25">
        <v>3.2</v>
      </c>
      <c r="T407" s="25">
        <v>1.6</v>
      </c>
      <c r="U407" s="31">
        <f t="shared" si="7"/>
        <v>32</v>
      </c>
      <c r="V407" s="25"/>
      <c r="W407" s="33" t="s">
        <v>22</v>
      </c>
      <c r="X407" s="33" t="s">
        <v>3363</v>
      </c>
      <c r="Y407" s="33" t="s">
        <v>38</v>
      </c>
      <c r="Z407" s="33" t="s">
        <v>3144</v>
      </c>
      <c r="AA407" s="33"/>
    </row>
    <row r="408" spans="1:27" s="70" customFormat="1" ht="56.25" x14ac:dyDescent="0.2">
      <c r="A408" s="24">
        <v>404</v>
      </c>
      <c r="B408" s="24" t="s">
        <v>3052</v>
      </c>
      <c r="C408" s="25" t="s">
        <v>3051</v>
      </c>
      <c r="D408" s="26" t="s">
        <v>3310</v>
      </c>
      <c r="E408" s="25" t="s">
        <v>3309</v>
      </c>
      <c r="F408" s="25" t="s">
        <v>3308</v>
      </c>
      <c r="G408" s="24"/>
      <c r="H408" s="25" t="s">
        <v>3333</v>
      </c>
      <c r="I408" s="27"/>
      <c r="J408" s="28" t="s">
        <v>3362</v>
      </c>
      <c r="K408" s="27"/>
      <c r="L408" s="25"/>
      <c r="M408" s="25"/>
      <c r="N408" s="25"/>
      <c r="O408" s="25"/>
      <c r="P408" s="25"/>
      <c r="Q408" s="25"/>
      <c r="R408" s="25"/>
      <c r="S408" s="25"/>
      <c r="T408" s="25"/>
      <c r="U408" s="31">
        <f t="shared" si="7"/>
        <v>0</v>
      </c>
      <c r="V408" s="25"/>
      <c r="W408" s="33"/>
      <c r="X408" s="33"/>
      <c r="Y408" s="33"/>
      <c r="Z408" s="33"/>
      <c r="AA408" s="33"/>
    </row>
    <row r="409" spans="1:27" s="70" customFormat="1" ht="56.25" x14ac:dyDescent="0.2">
      <c r="A409" s="24">
        <v>405</v>
      </c>
      <c r="B409" s="24" t="s">
        <v>3052</v>
      </c>
      <c r="C409" s="25" t="s">
        <v>3051</v>
      </c>
      <c r="D409" s="26" t="s">
        <v>3310</v>
      </c>
      <c r="E409" s="25" t="s">
        <v>3309</v>
      </c>
      <c r="F409" s="25" t="s">
        <v>3308</v>
      </c>
      <c r="G409" s="24"/>
      <c r="H409" s="25" t="s">
        <v>3333</v>
      </c>
      <c r="I409" s="27"/>
      <c r="J409" s="28" t="s">
        <v>3361</v>
      </c>
      <c r="K409" s="27"/>
      <c r="L409" s="25" t="s">
        <v>3360</v>
      </c>
      <c r="M409" s="25" t="s">
        <v>3322</v>
      </c>
      <c r="N409" s="25">
        <v>1</v>
      </c>
      <c r="O409" s="25"/>
      <c r="P409" s="25">
        <v>41</v>
      </c>
      <c r="Q409" s="25">
        <v>12</v>
      </c>
      <c r="R409" s="25"/>
      <c r="S409" s="25">
        <v>7</v>
      </c>
      <c r="T409" s="25">
        <v>3.5</v>
      </c>
      <c r="U409" s="31">
        <f t="shared" si="7"/>
        <v>63.5</v>
      </c>
      <c r="V409" s="25"/>
      <c r="W409" s="33" t="s">
        <v>22</v>
      </c>
      <c r="X409" s="33"/>
      <c r="Y409" s="33" t="s">
        <v>38</v>
      </c>
      <c r="Z409" s="33" t="s">
        <v>3144</v>
      </c>
      <c r="AA409" s="33"/>
    </row>
    <row r="410" spans="1:27" s="70" customFormat="1" ht="56.25" x14ac:dyDescent="0.2">
      <c r="A410" s="24">
        <v>406</v>
      </c>
      <c r="B410" s="24" t="s">
        <v>3052</v>
      </c>
      <c r="C410" s="25" t="s">
        <v>3051</v>
      </c>
      <c r="D410" s="26" t="s">
        <v>3310</v>
      </c>
      <c r="E410" s="25" t="s">
        <v>3309</v>
      </c>
      <c r="F410" s="25" t="s">
        <v>3308</v>
      </c>
      <c r="G410" s="24"/>
      <c r="H410" s="25" t="s">
        <v>3333</v>
      </c>
      <c r="I410" s="27"/>
      <c r="J410" s="28" t="s">
        <v>3338</v>
      </c>
      <c r="K410" s="27"/>
      <c r="L410" s="25" t="s">
        <v>3359</v>
      </c>
      <c r="M410" s="25" t="s">
        <v>1696</v>
      </c>
      <c r="N410" s="25">
        <v>3</v>
      </c>
      <c r="O410" s="25">
        <v>64</v>
      </c>
      <c r="P410" s="25"/>
      <c r="Q410" s="25">
        <v>32</v>
      </c>
      <c r="R410" s="25"/>
      <c r="S410" s="25">
        <v>16</v>
      </c>
      <c r="T410" s="25">
        <v>8</v>
      </c>
      <c r="U410" s="31">
        <f t="shared" si="7"/>
        <v>120</v>
      </c>
      <c r="V410" s="25"/>
      <c r="W410" s="33" t="s">
        <v>22</v>
      </c>
      <c r="X410" s="33" t="s">
        <v>3358</v>
      </c>
      <c r="Y410" s="33" t="s">
        <v>38</v>
      </c>
      <c r="Z410" s="33" t="s">
        <v>3144</v>
      </c>
      <c r="AA410" s="33"/>
    </row>
    <row r="411" spans="1:27" s="70" customFormat="1" ht="56.25" x14ac:dyDescent="0.2">
      <c r="A411" s="24">
        <v>407</v>
      </c>
      <c r="B411" s="24" t="s">
        <v>3052</v>
      </c>
      <c r="C411" s="25" t="s">
        <v>3051</v>
      </c>
      <c r="D411" s="26" t="s">
        <v>3310</v>
      </c>
      <c r="E411" s="25" t="s">
        <v>3309</v>
      </c>
      <c r="F411" s="25" t="s">
        <v>3308</v>
      </c>
      <c r="G411" s="24"/>
      <c r="H411" s="25" t="s">
        <v>3333</v>
      </c>
      <c r="I411" s="27"/>
      <c r="J411" s="28" t="s">
        <v>3338</v>
      </c>
      <c r="K411" s="27"/>
      <c r="L411" s="25" t="s">
        <v>3357</v>
      </c>
      <c r="M411" s="25" t="s">
        <v>1692</v>
      </c>
      <c r="N411" s="25">
        <v>1</v>
      </c>
      <c r="O411" s="25"/>
      <c r="P411" s="25">
        <v>72</v>
      </c>
      <c r="Q411" s="25">
        <v>30</v>
      </c>
      <c r="R411" s="25"/>
      <c r="S411" s="25">
        <v>12</v>
      </c>
      <c r="T411" s="25">
        <v>6</v>
      </c>
      <c r="U411" s="31">
        <f t="shared" si="7"/>
        <v>120</v>
      </c>
      <c r="V411" s="25"/>
      <c r="W411" s="33" t="s">
        <v>22</v>
      </c>
      <c r="X411" s="33" t="s">
        <v>3356</v>
      </c>
      <c r="Y411" s="33" t="s">
        <v>38</v>
      </c>
      <c r="Z411" s="33" t="s">
        <v>3144</v>
      </c>
      <c r="AA411" s="33"/>
    </row>
    <row r="412" spans="1:27" s="70" customFormat="1" ht="56.25" x14ac:dyDescent="0.2">
      <c r="A412" s="24">
        <v>408</v>
      </c>
      <c r="B412" s="24" t="s">
        <v>3052</v>
      </c>
      <c r="C412" s="25" t="s">
        <v>3051</v>
      </c>
      <c r="D412" s="26" t="s">
        <v>3310</v>
      </c>
      <c r="E412" s="25" t="s">
        <v>3309</v>
      </c>
      <c r="F412" s="25" t="s">
        <v>3308</v>
      </c>
      <c r="G412" s="24"/>
      <c r="H412" s="25" t="s">
        <v>3333</v>
      </c>
      <c r="I412" s="27"/>
      <c r="J412" s="28" t="s">
        <v>3338</v>
      </c>
      <c r="K412" s="27"/>
      <c r="L412" s="25" t="s">
        <v>3355</v>
      </c>
      <c r="M412" s="25" t="s">
        <v>1692</v>
      </c>
      <c r="N412" s="25">
        <v>1</v>
      </c>
      <c r="O412" s="25"/>
      <c r="P412" s="25">
        <v>19.2</v>
      </c>
      <c r="Q412" s="25">
        <v>8</v>
      </c>
      <c r="R412" s="25"/>
      <c r="S412" s="25">
        <v>3.2</v>
      </c>
      <c r="T412" s="25">
        <v>1.6</v>
      </c>
      <c r="U412" s="31">
        <f t="shared" si="7"/>
        <v>32</v>
      </c>
      <c r="V412" s="25"/>
      <c r="W412" s="33" t="s">
        <v>22</v>
      </c>
      <c r="X412" s="33" t="s">
        <v>3354</v>
      </c>
      <c r="Y412" s="33" t="s">
        <v>38</v>
      </c>
      <c r="Z412" s="33" t="s">
        <v>3144</v>
      </c>
      <c r="AA412" s="33"/>
    </row>
    <row r="413" spans="1:27" s="70" customFormat="1" ht="56.25" x14ac:dyDescent="0.2">
      <c r="A413" s="24">
        <v>409</v>
      </c>
      <c r="B413" s="24" t="s">
        <v>3052</v>
      </c>
      <c r="C413" s="25" t="s">
        <v>3051</v>
      </c>
      <c r="D413" s="26" t="s">
        <v>3310</v>
      </c>
      <c r="E413" s="25" t="s">
        <v>3309</v>
      </c>
      <c r="F413" s="25" t="s">
        <v>3308</v>
      </c>
      <c r="G413" s="24"/>
      <c r="H413" s="25" t="s">
        <v>3333</v>
      </c>
      <c r="I413" s="27"/>
      <c r="J413" s="28" t="s">
        <v>3338</v>
      </c>
      <c r="K413" s="27"/>
      <c r="L413" s="25" t="s">
        <v>3353</v>
      </c>
      <c r="M413" s="25" t="s">
        <v>3345</v>
      </c>
      <c r="N413" s="25">
        <v>1</v>
      </c>
      <c r="O413" s="25"/>
      <c r="P413" s="25">
        <v>48</v>
      </c>
      <c r="Q413" s="25">
        <v>20</v>
      </c>
      <c r="R413" s="25"/>
      <c r="S413" s="25">
        <v>8</v>
      </c>
      <c r="T413" s="25">
        <v>4</v>
      </c>
      <c r="U413" s="31">
        <f t="shared" si="7"/>
        <v>80</v>
      </c>
      <c r="V413" s="25"/>
      <c r="W413" s="33" t="s">
        <v>22</v>
      </c>
      <c r="X413" s="33" t="s">
        <v>3352</v>
      </c>
      <c r="Y413" s="33" t="s">
        <v>38</v>
      </c>
      <c r="Z413" s="33" t="s">
        <v>3144</v>
      </c>
      <c r="AA413" s="33"/>
    </row>
    <row r="414" spans="1:27" s="70" customFormat="1" ht="56.25" x14ac:dyDescent="0.2">
      <c r="A414" s="24">
        <v>410</v>
      </c>
      <c r="B414" s="24" t="s">
        <v>3052</v>
      </c>
      <c r="C414" s="25" t="s">
        <v>3051</v>
      </c>
      <c r="D414" s="26" t="s">
        <v>3310</v>
      </c>
      <c r="E414" s="25" t="s">
        <v>3309</v>
      </c>
      <c r="F414" s="25" t="s">
        <v>3308</v>
      </c>
      <c r="G414" s="24"/>
      <c r="H414" s="25" t="s">
        <v>3333</v>
      </c>
      <c r="I414" s="27"/>
      <c r="J414" s="28" t="s">
        <v>3338</v>
      </c>
      <c r="K414" s="27"/>
      <c r="L414" s="25" t="s">
        <v>3351</v>
      </c>
      <c r="M414" s="25" t="s">
        <v>3350</v>
      </c>
      <c r="N414" s="25">
        <v>1</v>
      </c>
      <c r="O414" s="25"/>
      <c r="P414" s="25">
        <v>19.2</v>
      </c>
      <c r="Q414" s="25">
        <v>8</v>
      </c>
      <c r="R414" s="25"/>
      <c r="S414" s="25">
        <v>3.2</v>
      </c>
      <c r="T414" s="25">
        <v>1.6</v>
      </c>
      <c r="U414" s="31">
        <f t="shared" si="7"/>
        <v>32</v>
      </c>
      <c r="V414" s="25"/>
      <c r="W414" s="33" t="s">
        <v>22</v>
      </c>
      <c r="X414" s="33" t="s">
        <v>3349</v>
      </c>
      <c r="Y414" s="33" t="s">
        <v>38</v>
      </c>
      <c r="Z414" s="33" t="s">
        <v>3144</v>
      </c>
      <c r="AA414" s="33"/>
    </row>
    <row r="415" spans="1:27" s="70" customFormat="1" ht="56.25" x14ac:dyDescent="0.2">
      <c r="A415" s="24">
        <v>411</v>
      </c>
      <c r="B415" s="24" t="s">
        <v>3052</v>
      </c>
      <c r="C415" s="25" t="s">
        <v>3051</v>
      </c>
      <c r="D415" s="26" t="s">
        <v>3310</v>
      </c>
      <c r="E415" s="25" t="s">
        <v>3309</v>
      </c>
      <c r="F415" s="25" t="s">
        <v>3308</v>
      </c>
      <c r="G415" s="24"/>
      <c r="H415" s="25" t="s">
        <v>3333</v>
      </c>
      <c r="I415" s="27"/>
      <c r="J415" s="28" t="s">
        <v>3338</v>
      </c>
      <c r="K415" s="27"/>
      <c r="L415" s="25" t="s">
        <v>3348</v>
      </c>
      <c r="M415" s="25" t="s">
        <v>3345</v>
      </c>
      <c r="N415" s="25">
        <v>1</v>
      </c>
      <c r="O415" s="25"/>
      <c r="P415" s="25">
        <v>49.44</v>
      </c>
      <c r="Q415" s="25">
        <v>20.6</v>
      </c>
      <c r="R415" s="25"/>
      <c r="S415" s="25">
        <v>8.24</v>
      </c>
      <c r="T415" s="25">
        <v>4.12</v>
      </c>
      <c r="U415" s="31">
        <f t="shared" si="7"/>
        <v>82.399999999999991</v>
      </c>
      <c r="V415" s="25"/>
      <c r="W415" s="33" t="s">
        <v>22</v>
      </c>
      <c r="X415" s="33" t="s">
        <v>3347</v>
      </c>
      <c r="Y415" s="33" t="s">
        <v>38</v>
      </c>
      <c r="Z415" s="33" t="s">
        <v>3144</v>
      </c>
      <c r="AA415" s="33"/>
    </row>
    <row r="416" spans="1:27" s="70" customFormat="1" ht="56.25" x14ac:dyDescent="0.2">
      <c r="A416" s="24">
        <v>412</v>
      </c>
      <c r="B416" s="24" t="s">
        <v>3052</v>
      </c>
      <c r="C416" s="25" t="s">
        <v>3051</v>
      </c>
      <c r="D416" s="26" t="s">
        <v>3310</v>
      </c>
      <c r="E416" s="25" t="s">
        <v>3309</v>
      </c>
      <c r="F416" s="25" t="s">
        <v>3308</v>
      </c>
      <c r="G416" s="24"/>
      <c r="H416" s="25" t="s">
        <v>3333</v>
      </c>
      <c r="I416" s="27"/>
      <c r="J416" s="28" t="s">
        <v>3338</v>
      </c>
      <c r="K416" s="27"/>
      <c r="L416" s="25" t="s">
        <v>3346</v>
      </c>
      <c r="M416" s="25" t="s">
        <v>3345</v>
      </c>
      <c r="N416" s="25">
        <v>1</v>
      </c>
      <c r="O416" s="25"/>
      <c r="P416" s="25">
        <v>72</v>
      </c>
      <c r="Q416" s="25">
        <v>30</v>
      </c>
      <c r="R416" s="25"/>
      <c r="S416" s="25">
        <v>12</v>
      </c>
      <c r="T416" s="25">
        <v>6</v>
      </c>
      <c r="U416" s="31">
        <f t="shared" si="7"/>
        <v>120</v>
      </c>
      <c r="V416" s="25"/>
      <c r="W416" s="33" t="s">
        <v>22</v>
      </c>
      <c r="X416" s="33" t="s">
        <v>3344</v>
      </c>
      <c r="Y416" s="33" t="s">
        <v>38</v>
      </c>
      <c r="Z416" s="33" t="s">
        <v>3144</v>
      </c>
      <c r="AA416" s="33"/>
    </row>
    <row r="417" spans="1:27" s="70" customFormat="1" ht="56.25" x14ac:dyDescent="0.2">
      <c r="A417" s="24">
        <v>413</v>
      </c>
      <c r="B417" s="24" t="s">
        <v>3052</v>
      </c>
      <c r="C417" s="25" t="s">
        <v>3051</v>
      </c>
      <c r="D417" s="26" t="s">
        <v>3310</v>
      </c>
      <c r="E417" s="25" t="s">
        <v>3309</v>
      </c>
      <c r="F417" s="25" t="s">
        <v>3308</v>
      </c>
      <c r="G417" s="24"/>
      <c r="H417" s="25" t="s">
        <v>3333</v>
      </c>
      <c r="I417" s="27"/>
      <c r="J417" s="28" t="s">
        <v>3338</v>
      </c>
      <c r="K417" s="27"/>
      <c r="L417" s="25" t="s">
        <v>3343</v>
      </c>
      <c r="M417" s="25" t="s">
        <v>3342</v>
      </c>
      <c r="N417" s="25">
        <v>1</v>
      </c>
      <c r="O417" s="25"/>
      <c r="P417" s="25">
        <v>92</v>
      </c>
      <c r="Q417" s="25">
        <v>24</v>
      </c>
      <c r="R417" s="25"/>
      <c r="S417" s="25">
        <v>16</v>
      </c>
      <c r="T417" s="25">
        <v>8</v>
      </c>
      <c r="U417" s="31">
        <f t="shared" si="7"/>
        <v>140</v>
      </c>
      <c r="V417" s="25"/>
      <c r="W417" s="33" t="s">
        <v>22</v>
      </c>
      <c r="X417" s="33" t="s">
        <v>3145</v>
      </c>
      <c r="Y417" s="33" t="s">
        <v>38</v>
      </c>
      <c r="Z417" s="33" t="s">
        <v>3144</v>
      </c>
      <c r="AA417" s="33"/>
    </row>
    <row r="418" spans="1:27" s="70" customFormat="1" ht="56.25" x14ac:dyDescent="0.2">
      <c r="A418" s="24">
        <v>414</v>
      </c>
      <c r="B418" s="24" t="s">
        <v>3052</v>
      </c>
      <c r="C418" s="25" t="s">
        <v>3051</v>
      </c>
      <c r="D418" s="26" t="s">
        <v>3310</v>
      </c>
      <c r="E418" s="25" t="s">
        <v>3309</v>
      </c>
      <c r="F418" s="25" t="s">
        <v>3308</v>
      </c>
      <c r="G418" s="24"/>
      <c r="H418" s="25" t="s">
        <v>3333</v>
      </c>
      <c r="I418" s="27"/>
      <c r="J418" s="28" t="s">
        <v>3338</v>
      </c>
      <c r="K418" s="27"/>
      <c r="L418" s="25" t="s">
        <v>3341</v>
      </c>
      <c r="M418" s="25" t="s">
        <v>3340</v>
      </c>
      <c r="N418" s="25">
        <v>1</v>
      </c>
      <c r="O418" s="25"/>
      <c r="P418" s="25">
        <v>201.6</v>
      </c>
      <c r="Q418" s="25">
        <v>84</v>
      </c>
      <c r="R418" s="25"/>
      <c r="S418" s="25">
        <v>33.6</v>
      </c>
      <c r="T418" s="25">
        <v>16.8</v>
      </c>
      <c r="U418" s="31">
        <f t="shared" si="7"/>
        <v>336.00000000000006</v>
      </c>
      <c r="V418" s="25"/>
      <c r="W418" s="33" t="s">
        <v>22</v>
      </c>
      <c r="X418" s="33" t="s">
        <v>3339</v>
      </c>
      <c r="Y418" s="33" t="s">
        <v>38</v>
      </c>
      <c r="Z418" s="33" t="s">
        <v>3144</v>
      </c>
      <c r="AA418" s="33"/>
    </row>
    <row r="419" spans="1:27" s="70" customFormat="1" ht="56.25" x14ac:dyDescent="0.2">
      <c r="A419" s="24">
        <v>415</v>
      </c>
      <c r="B419" s="24" t="s">
        <v>3052</v>
      </c>
      <c r="C419" s="25" t="s">
        <v>3051</v>
      </c>
      <c r="D419" s="26" t="s">
        <v>3310</v>
      </c>
      <c r="E419" s="25" t="s">
        <v>3309</v>
      </c>
      <c r="F419" s="25" t="s">
        <v>3308</v>
      </c>
      <c r="G419" s="24"/>
      <c r="H419" s="25" t="s">
        <v>3333</v>
      </c>
      <c r="I419" s="27"/>
      <c r="J419" s="28" t="s">
        <v>3338</v>
      </c>
      <c r="K419" s="27"/>
      <c r="L419" s="25" t="s">
        <v>3337</v>
      </c>
      <c r="M419" s="25" t="s">
        <v>431</v>
      </c>
      <c r="N419" s="25">
        <v>1</v>
      </c>
      <c r="O419" s="25"/>
      <c r="P419" s="25">
        <v>56</v>
      </c>
      <c r="Q419" s="25">
        <v>22</v>
      </c>
      <c r="R419" s="25"/>
      <c r="S419" s="25">
        <v>8</v>
      </c>
      <c r="T419" s="25">
        <v>4</v>
      </c>
      <c r="U419" s="31">
        <f t="shared" si="7"/>
        <v>90</v>
      </c>
      <c r="V419" s="25"/>
      <c r="W419" s="33" t="s">
        <v>22</v>
      </c>
      <c r="X419" s="33" t="s">
        <v>3145</v>
      </c>
      <c r="Y419" s="33" t="s">
        <v>38</v>
      </c>
      <c r="Z419" s="33" t="s">
        <v>3144</v>
      </c>
      <c r="AA419" s="33"/>
    </row>
    <row r="420" spans="1:27" s="70" customFormat="1" ht="78.75" x14ac:dyDescent="0.2">
      <c r="A420" s="24">
        <v>416</v>
      </c>
      <c r="B420" s="24" t="s">
        <v>3052</v>
      </c>
      <c r="C420" s="25" t="s">
        <v>3051</v>
      </c>
      <c r="D420" s="26" t="s">
        <v>3310</v>
      </c>
      <c r="E420" s="25" t="s">
        <v>3309</v>
      </c>
      <c r="F420" s="25" t="s">
        <v>3308</v>
      </c>
      <c r="G420" s="24"/>
      <c r="H420" s="25" t="s">
        <v>3333</v>
      </c>
      <c r="I420" s="27"/>
      <c r="J420" s="28" t="s">
        <v>3332</v>
      </c>
      <c r="K420" s="27"/>
      <c r="L420" s="25" t="s">
        <v>3336</v>
      </c>
      <c r="M420" s="25" t="s">
        <v>199</v>
      </c>
      <c r="N420" s="25">
        <v>1</v>
      </c>
      <c r="O420" s="25">
        <v>3</v>
      </c>
      <c r="P420" s="25">
        <v>9</v>
      </c>
      <c r="Q420" s="25">
        <v>8</v>
      </c>
      <c r="R420" s="25"/>
      <c r="S420" s="25"/>
      <c r="T420" s="25"/>
      <c r="U420" s="31">
        <f t="shared" si="7"/>
        <v>20</v>
      </c>
      <c r="V420" s="25"/>
      <c r="W420" s="33" t="s">
        <v>3330</v>
      </c>
      <c r="X420" s="33"/>
      <c r="Y420" s="33"/>
      <c r="Z420" s="33"/>
      <c r="AA420" s="33"/>
    </row>
    <row r="421" spans="1:27" s="70" customFormat="1" ht="78.75" x14ac:dyDescent="0.2">
      <c r="A421" s="24">
        <v>417</v>
      </c>
      <c r="B421" s="24" t="s">
        <v>3052</v>
      </c>
      <c r="C421" s="25" t="s">
        <v>3051</v>
      </c>
      <c r="D421" s="26" t="s">
        <v>3310</v>
      </c>
      <c r="E421" s="25" t="s">
        <v>3309</v>
      </c>
      <c r="F421" s="25" t="s">
        <v>3308</v>
      </c>
      <c r="G421" s="24"/>
      <c r="H421" s="25" t="s">
        <v>3333</v>
      </c>
      <c r="I421" s="27"/>
      <c r="J421" s="28" t="s">
        <v>3332</v>
      </c>
      <c r="K421" s="27"/>
      <c r="L421" s="25" t="s">
        <v>3335</v>
      </c>
      <c r="M421" s="25" t="s">
        <v>199</v>
      </c>
      <c r="N421" s="25">
        <v>3</v>
      </c>
      <c r="O421" s="25">
        <v>3</v>
      </c>
      <c r="P421" s="25">
        <v>3</v>
      </c>
      <c r="Q421" s="25">
        <v>8</v>
      </c>
      <c r="R421" s="25"/>
      <c r="S421" s="25">
        <v>1</v>
      </c>
      <c r="T421" s="25"/>
      <c r="U421" s="31">
        <f t="shared" si="7"/>
        <v>15</v>
      </c>
      <c r="V421" s="25"/>
      <c r="W421" s="33" t="s">
        <v>3330</v>
      </c>
      <c r="X421" s="33"/>
      <c r="Y421" s="33"/>
      <c r="Z421" s="33"/>
      <c r="AA421" s="33"/>
    </row>
    <row r="422" spans="1:27" s="70" customFormat="1" ht="78.75" x14ac:dyDescent="0.2">
      <c r="A422" s="24">
        <v>418</v>
      </c>
      <c r="B422" s="24" t="s">
        <v>3052</v>
      </c>
      <c r="C422" s="25" t="s">
        <v>3051</v>
      </c>
      <c r="D422" s="26" t="s">
        <v>3310</v>
      </c>
      <c r="E422" s="25" t="s">
        <v>3309</v>
      </c>
      <c r="F422" s="25" t="s">
        <v>3308</v>
      </c>
      <c r="G422" s="24"/>
      <c r="H422" s="25" t="s">
        <v>3333</v>
      </c>
      <c r="I422" s="27"/>
      <c r="J422" s="28" t="s">
        <v>3332</v>
      </c>
      <c r="K422" s="27"/>
      <c r="L422" s="25" t="s">
        <v>3334</v>
      </c>
      <c r="M422" s="25" t="s">
        <v>209</v>
      </c>
      <c r="N422" s="25">
        <v>3</v>
      </c>
      <c r="O422" s="25"/>
      <c r="P422" s="25"/>
      <c r="Q422" s="25">
        <v>8</v>
      </c>
      <c r="R422" s="25"/>
      <c r="S422" s="25"/>
      <c r="T422" s="25"/>
      <c r="U422" s="31">
        <f t="shared" si="7"/>
        <v>8</v>
      </c>
      <c r="V422" s="25"/>
      <c r="W422" s="33" t="s">
        <v>3330</v>
      </c>
      <c r="X422" s="33"/>
      <c r="Y422" s="33"/>
      <c r="Z422" s="33"/>
      <c r="AA422" s="33"/>
    </row>
    <row r="423" spans="1:27" s="70" customFormat="1" ht="78.75" x14ac:dyDescent="0.2">
      <c r="A423" s="24">
        <v>419</v>
      </c>
      <c r="B423" s="24" t="s">
        <v>3052</v>
      </c>
      <c r="C423" s="25" t="s">
        <v>3051</v>
      </c>
      <c r="D423" s="26" t="s">
        <v>3310</v>
      </c>
      <c r="E423" s="25" t="s">
        <v>3309</v>
      </c>
      <c r="F423" s="25" t="s">
        <v>3308</v>
      </c>
      <c r="G423" s="24"/>
      <c r="H423" s="25" t="s">
        <v>3333</v>
      </c>
      <c r="I423" s="27"/>
      <c r="J423" s="28" t="s">
        <v>3332</v>
      </c>
      <c r="K423" s="27"/>
      <c r="L423" s="25" t="s">
        <v>3331</v>
      </c>
      <c r="M423" s="25" t="s">
        <v>199</v>
      </c>
      <c r="N423" s="25">
        <v>1</v>
      </c>
      <c r="O423" s="25">
        <v>3</v>
      </c>
      <c r="P423" s="25">
        <v>9</v>
      </c>
      <c r="Q423" s="25">
        <v>12</v>
      </c>
      <c r="R423" s="25"/>
      <c r="S423" s="25">
        <v>4</v>
      </c>
      <c r="T423" s="25"/>
      <c r="U423" s="31">
        <f t="shared" si="7"/>
        <v>28</v>
      </c>
      <c r="V423" s="25"/>
      <c r="W423" s="33" t="s">
        <v>3330</v>
      </c>
      <c r="X423" s="33"/>
      <c r="Y423" s="33"/>
      <c r="Z423" s="33"/>
      <c r="AA423" s="33"/>
    </row>
    <row r="424" spans="1:27" s="70" customFormat="1" ht="67.5" x14ac:dyDescent="0.2">
      <c r="A424" s="24">
        <v>420</v>
      </c>
      <c r="B424" s="24" t="s">
        <v>3052</v>
      </c>
      <c r="C424" s="25" t="s">
        <v>3051</v>
      </c>
      <c r="D424" s="26" t="s">
        <v>3310</v>
      </c>
      <c r="E424" s="25" t="s">
        <v>3309</v>
      </c>
      <c r="F424" s="25" t="s">
        <v>3308</v>
      </c>
      <c r="G424" s="24"/>
      <c r="H424" s="25" t="s">
        <v>3314</v>
      </c>
      <c r="I424" s="27"/>
      <c r="J424" s="28" t="s">
        <v>3329</v>
      </c>
      <c r="K424" s="27"/>
      <c r="L424" s="25" t="s">
        <v>3328</v>
      </c>
      <c r="M424" s="25" t="s">
        <v>3322</v>
      </c>
      <c r="N424" s="25">
        <v>1</v>
      </c>
      <c r="O424" s="25"/>
      <c r="P424" s="25">
        <v>201.6</v>
      </c>
      <c r="Q424" s="25">
        <v>84</v>
      </c>
      <c r="R424" s="25"/>
      <c r="S424" s="25">
        <v>33.6</v>
      </c>
      <c r="T424" s="25">
        <v>16.8</v>
      </c>
      <c r="U424" s="31">
        <f t="shared" si="7"/>
        <v>336.00000000000006</v>
      </c>
      <c r="V424" s="25"/>
      <c r="W424" s="33" t="s">
        <v>22</v>
      </c>
      <c r="X424" s="33"/>
      <c r="Y424" s="33" t="s">
        <v>38</v>
      </c>
      <c r="Z424" s="33" t="s">
        <v>3144</v>
      </c>
      <c r="AA424" s="33"/>
    </row>
    <row r="425" spans="1:27" s="70" customFormat="1" ht="67.5" x14ac:dyDescent="0.2">
      <c r="A425" s="24">
        <v>421</v>
      </c>
      <c r="B425" s="24" t="s">
        <v>3052</v>
      </c>
      <c r="C425" s="25" t="s">
        <v>3051</v>
      </c>
      <c r="D425" s="26" t="s">
        <v>3310</v>
      </c>
      <c r="E425" s="25" t="s">
        <v>3309</v>
      </c>
      <c r="F425" s="25" t="s">
        <v>3308</v>
      </c>
      <c r="G425" s="24"/>
      <c r="H425" s="25" t="s">
        <v>3314</v>
      </c>
      <c r="I425" s="27"/>
      <c r="J425" s="28" t="s">
        <v>3326</v>
      </c>
      <c r="K425" s="27"/>
      <c r="L425" s="25" t="s">
        <v>3327</v>
      </c>
      <c r="M425" s="25" t="s">
        <v>3322</v>
      </c>
      <c r="N425" s="25">
        <v>5</v>
      </c>
      <c r="O425" s="25"/>
      <c r="P425" s="25">
        <v>41</v>
      </c>
      <c r="Q425" s="25">
        <v>12</v>
      </c>
      <c r="R425" s="25"/>
      <c r="S425" s="25">
        <v>7</v>
      </c>
      <c r="T425" s="25">
        <v>3.5</v>
      </c>
      <c r="U425" s="31">
        <f t="shared" si="7"/>
        <v>63.5</v>
      </c>
      <c r="V425" s="25"/>
      <c r="W425" s="33" t="s">
        <v>22</v>
      </c>
      <c r="X425" s="33"/>
      <c r="Y425" s="33" t="s">
        <v>38</v>
      </c>
      <c r="Z425" s="33" t="s">
        <v>3144</v>
      </c>
      <c r="AA425" s="33"/>
    </row>
    <row r="426" spans="1:27" s="70" customFormat="1" ht="67.5" x14ac:dyDescent="0.2">
      <c r="A426" s="24">
        <v>422</v>
      </c>
      <c r="B426" s="24" t="s">
        <v>3052</v>
      </c>
      <c r="C426" s="25" t="s">
        <v>3051</v>
      </c>
      <c r="D426" s="26" t="s">
        <v>3310</v>
      </c>
      <c r="E426" s="25" t="s">
        <v>3309</v>
      </c>
      <c r="F426" s="25" t="s">
        <v>3308</v>
      </c>
      <c r="G426" s="24"/>
      <c r="H426" s="25" t="s">
        <v>3314</v>
      </c>
      <c r="I426" s="27"/>
      <c r="J426" s="28" t="s">
        <v>3326</v>
      </c>
      <c r="K426" s="27"/>
      <c r="L426" s="25" t="s">
        <v>3325</v>
      </c>
      <c r="M426" s="25" t="s">
        <v>3322</v>
      </c>
      <c r="N426" s="25">
        <v>1</v>
      </c>
      <c r="O426" s="25"/>
      <c r="P426" s="25">
        <v>40</v>
      </c>
      <c r="Q426" s="25">
        <v>4</v>
      </c>
      <c r="R426" s="25"/>
      <c r="S426" s="25">
        <v>2</v>
      </c>
      <c r="T426" s="25">
        <v>1</v>
      </c>
      <c r="U426" s="31">
        <f t="shared" si="7"/>
        <v>47</v>
      </c>
      <c r="V426" s="25"/>
      <c r="W426" s="33" t="s">
        <v>22</v>
      </c>
      <c r="X426" s="33"/>
      <c r="Y426" s="33" t="s">
        <v>38</v>
      </c>
      <c r="Z426" s="33" t="s">
        <v>3144</v>
      </c>
      <c r="AA426" s="33"/>
    </row>
    <row r="427" spans="1:27" s="70" customFormat="1" ht="67.5" x14ac:dyDescent="0.2">
      <c r="A427" s="24">
        <v>423</v>
      </c>
      <c r="B427" s="24" t="s">
        <v>3052</v>
      </c>
      <c r="C427" s="25" t="s">
        <v>3051</v>
      </c>
      <c r="D427" s="26" t="s">
        <v>3310</v>
      </c>
      <c r="E427" s="25" t="s">
        <v>3309</v>
      </c>
      <c r="F427" s="25" t="s">
        <v>3308</v>
      </c>
      <c r="G427" s="24"/>
      <c r="H427" s="25" t="s">
        <v>3314</v>
      </c>
      <c r="I427" s="27"/>
      <c r="J427" s="28" t="s">
        <v>3324</v>
      </c>
      <c r="K427" s="27"/>
      <c r="L427" s="25" t="s">
        <v>3323</v>
      </c>
      <c r="M427" s="25" t="s">
        <v>3322</v>
      </c>
      <c r="N427" s="25">
        <v>1</v>
      </c>
      <c r="O427" s="25"/>
      <c r="P427" s="25">
        <v>41</v>
      </c>
      <c r="Q427" s="25">
        <v>12</v>
      </c>
      <c r="R427" s="25"/>
      <c r="S427" s="25">
        <v>7</v>
      </c>
      <c r="T427" s="25">
        <v>3.5</v>
      </c>
      <c r="U427" s="31">
        <f t="shared" si="7"/>
        <v>63.5</v>
      </c>
      <c r="V427" s="25"/>
      <c r="W427" s="33" t="s">
        <v>22</v>
      </c>
      <c r="X427" s="33"/>
      <c r="Y427" s="33" t="s">
        <v>38</v>
      </c>
      <c r="Z427" s="33" t="s">
        <v>3144</v>
      </c>
      <c r="AA427" s="33"/>
    </row>
    <row r="428" spans="1:27" s="70" customFormat="1" ht="67.5" x14ac:dyDescent="0.2">
      <c r="A428" s="24">
        <v>424</v>
      </c>
      <c r="B428" s="24" t="s">
        <v>3052</v>
      </c>
      <c r="C428" s="25" t="s">
        <v>3051</v>
      </c>
      <c r="D428" s="26" t="s">
        <v>3310</v>
      </c>
      <c r="E428" s="25" t="s">
        <v>3309</v>
      </c>
      <c r="F428" s="25" t="s">
        <v>3308</v>
      </c>
      <c r="G428" s="24"/>
      <c r="H428" s="25" t="s">
        <v>3314</v>
      </c>
      <c r="I428" s="27"/>
      <c r="J428" s="28" t="s">
        <v>3321</v>
      </c>
      <c r="K428" s="27"/>
      <c r="L428" s="25"/>
      <c r="M428" s="25"/>
      <c r="N428" s="25"/>
      <c r="O428" s="25"/>
      <c r="P428" s="25"/>
      <c r="Q428" s="25"/>
      <c r="R428" s="25"/>
      <c r="S428" s="25"/>
      <c r="T428" s="25"/>
      <c r="U428" s="31">
        <f t="shared" si="7"/>
        <v>0</v>
      </c>
      <c r="V428" s="25"/>
      <c r="W428" s="33"/>
      <c r="X428" s="33"/>
      <c r="Y428" s="33"/>
      <c r="Z428" s="33"/>
      <c r="AA428" s="33"/>
    </row>
    <row r="429" spans="1:27" s="70" customFormat="1" ht="67.5" x14ac:dyDescent="0.2">
      <c r="A429" s="24">
        <v>425</v>
      </c>
      <c r="B429" s="24" t="s">
        <v>3052</v>
      </c>
      <c r="C429" s="25" t="s">
        <v>3051</v>
      </c>
      <c r="D429" s="26" t="s">
        <v>3310</v>
      </c>
      <c r="E429" s="25" t="s">
        <v>3309</v>
      </c>
      <c r="F429" s="25" t="s">
        <v>3308</v>
      </c>
      <c r="G429" s="24"/>
      <c r="H429" s="25" t="s">
        <v>3314</v>
      </c>
      <c r="I429" s="27"/>
      <c r="J429" s="28" t="s">
        <v>3320</v>
      </c>
      <c r="K429" s="27"/>
      <c r="L429" s="25"/>
      <c r="M429" s="25"/>
      <c r="N429" s="25"/>
      <c r="O429" s="25"/>
      <c r="P429" s="25"/>
      <c r="Q429" s="25"/>
      <c r="R429" s="25"/>
      <c r="S429" s="25"/>
      <c r="T429" s="25"/>
      <c r="U429" s="31">
        <f t="shared" si="7"/>
        <v>0</v>
      </c>
      <c r="V429" s="25"/>
      <c r="W429" s="33"/>
      <c r="X429" s="33"/>
      <c r="Y429" s="33"/>
      <c r="Z429" s="33"/>
      <c r="AA429" s="33"/>
    </row>
    <row r="430" spans="1:27" s="70" customFormat="1" ht="78.75" x14ac:dyDescent="0.2">
      <c r="A430" s="24">
        <v>426</v>
      </c>
      <c r="B430" s="24" t="s">
        <v>3052</v>
      </c>
      <c r="C430" s="25" t="s">
        <v>3051</v>
      </c>
      <c r="D430" s="26" t="s">
        <v>3310</v>
      </c>
      <c r="E430" s="25" t="s">
        <v>3309</v>
      </c>
      <c r="F430" s="25" t="s">
        <v>3308</v>
      </c>
      <c r="G430" s="24"/>
      <c r="H430" s="25" t="s">
        <v>3314</v>
      </c>
      <c r="I430" s="27"/>
      <c r="J430" s="28" t="s">
        <v>3319</v>
      </c>
      <c r="K430" s="27"/>
      <c r="L430" s="25" t="s">
        <v>3318</v>
      </c>
      <c r="M430" s="25" t="s">
        <v>199</v>
      </c>
      <c r="N430" s="25">
        <v>1</v>
      </c>
      <c r="O430" s="25"/>
      <c r="P430" s="25">
        <v>180</v>
      </c>
      <c r="Q430" s="25">
        <v>28</v>
      </c>
      <c r="R430" s="25"/>
      <c r="S430" s="25">
        <v>24</v>
      </c>
      <c r="T430" s="25">
        <v>8</v>
      </c>
      <c r="U430" s="31">
        <f t="shared" si="7"/>
        <v>240</v>
      </c>
      <c r="V430" s="25"/>
      <c r="W430" s="33" t="s">
        <v>22</v>
      </c>
      <c r="X430" s="33"/>
      <c r="Y430" s="33" t="s">
        <v>38</v>
      </c>
      <c r="Z430" s="33" t="s">
        <v>3144</v>
      </c>
      <c r="AA430" s="33"/>
    </row>
    <row r="431" spans="1:27" s="70" customFormat="1" ht="67.5" x14ac:dyDescent="0.2">
      <c r="A431" s="24">
        <v>427</v>
      </c>
      <c r="B431" s="24" t="s">
        <v>3052</v>
      </c>
      <c r="C431" s="25" t="s">
        <v>3051</v>
      </c>
      <c r="D431" s="26" t="s">
        <v>3310</v>
      </c>
      <c r="E431" s="25" t="s">
        <v>3309</v>
      </c>
      <c r="F431" s="25" t="s">
        <v>3308</v>
      </c>
      <c r="G431" s="24"/>
      <c r="H431" s="25" t="s">
        <v>3314</v>
      </c>
      <c r="I431" s="27"/>
      <c r="J431" s="28" t="s">
        <v>3317</v>
      </c>
      <c r="K431" s="27"/>
      <c r="L431" s="25"/>
      <c r="M431" s="25"/>
      <c r="N431" s="25"/>
      <c r="O431" s="25"/>
      <c r="P431" s="25"/>
      <c r="Q431" s="25"/>
      <c r="R431" s="25"/>
      <c r="S431" s="25"/>
      <c r="T431" s="25"/>
      <c r="U431" s="31">
        <f t="shared" si="7"/>
        <v>0</v>
      </c>
      <c r="V431" s="25"/>
      <c r="W431" s="33"/>
      <c r="X431" s="33"/>
      <c r="Y431" s="33"/>
      <c r="Z431" s="33"/>
      <c r="AA431" s="33"/>
    </row>
    <row r="432" spans="1:27" s="70" customFormat="1" ht="67.5" x14ac:dyDescent="0.2">
      <c r="A432" s="24">
        <v>428</v>
      </c>
      <c r="B432" s="24" t="s">
        <v>3052</v>
      </c>
      <c r="C432" s="25" t="s">
        <v>3051</v>
      </c>
      <c r="D432" s="26" t="s">
        <v>3310</v>
      </c>
      <c r="E432" s="25" t="s">
        <v>3309</v>
      </c>
      <c r="F432" s="25" t="s">
        <v>3308</v>
      </c>
      <c r="G432" s="24"/>
      <c r="H432" s="25" t="s">
        <v>3314</v>
      </c>
      <c r="I432" s="27"/>
      <c r="J432" s="28" t="s">
        <v>3313</v>
      </c>
      <c r="K432" s="27"/>
      <c r="L432" s="25" t="s">
        <v>3316</v>
      </c>
      <c r="M432" s="25" t="s">
        <v>3142</v>
      </c>
      <c r="N432" s="25"/>
      <c r="O432" s="25">
        <v>504</v>
      </c>
      <c r="P432" s="25">
        <v>1890</v>
      </c>
      <c r="Q432" s="25">
        <v>504</v>
      </c>
      <c r="R432" s="25"/>
      <c r="S432" s="25"/>
      <c r="T432" s="25"/>
      <c r="U432" s="31">
        <f t="shared" si="7"/>
        <v>2898</v>
      </c>
      <c r="V432" s="25"/>
      <c r="W432" s="33" t="s">
        <v>22</v>
      </c>
      <c r="X432" s="33"/>
      <c r="Y432" s="33" t="s">
        <v>38</v>
      </c>
      <c r="Z432" s="33" t="s">
        <v>3144</v>
      </c>
      <c r="AA432" s="33"/>
    </row>
    <row r="433" spans="1:27" s="70" customFormat="1" ht="67.5" x14ac:dyDescent="0.2">
      <c r="A433" s="24">
        <v>429</v>
      </c>
      <c r="B433" s="24" t="s">
        <v>3052</v>
      </c>
      <c r="C433" s="25" t="s">
        <v>3051</v>
      </c>
      <c r="D433" s="26" t="s">
        <v>3310</v>
      </c>
      <c r="E433" s="25" t="s">
        <v>3309</v>
      </c>
      <c r="F433" s="25" t="s">
        <v>3308</v>
      </c>
      <c r="G433" s="24"/>
      <c r="H433" s="25" t="s">
        <v>3314</v>
      </c>
      <c r="I433" s="27"/>
      <c r="J433" s="28" t="s">
        <v>3313</v>
      </c>
      <c r="K433" s="27"/>
      <c r="L433" s="25" t="s">
        <v>3315</v>
      </c>
      <c r="M433" s="25" t="s">
        <v>199</v>
      </c>
      <c r="N433" s="25">
        <v>96</v>
      </c>
      <c r="O433" s="25">
        <v>1.2</v>
      </c>
      <c r="P433" s="25"/>
      <c r="Q433" s="25">
        <v>0.4</v>
      </c>
      <c r="R433" s="25"/>
      <c r="S433" s="25">
        <v>0.3</v>
      </c>
      <c r="T433" s="25">
        <v>0.1</v>
      </c>
      <c r="U433" s="31">
        <f t="shared" si="7"/>
        <v>2</v>
      </c>
      <c r="V433" s="25"/>
      <c r="W433" s="33" t="s">
        <v>22</v>
      </c>
      <c r="X433" s="33"/>
      <c r="Y433" s="33" t="s">
        <v>38</v>
      </c>
      <c r="Z433" s="33" t="s">
        <v>3144</v>
      </c>
      <c r="AA433" s="33"/>
    </row>
    <row r="434" spans="1:27" s="70" customFormat="1" ht="67.5" x14ac:dyDescent="0.2">
      <c r="A434" s="24">
        <v>430</v>
      </c>
      <c r="B434" s="24" t="s">
        <v>3052</v>
      </c>
      <c r="C434" s="25" t="s">
        <v>3051</v>
      </c>
      <c r="D434" s="26" t="s">
        <v>3310</v>
      </c>
      <c r="E434" s="25" t="s">
        <v>3309</v>
      </c>
      <c r="F434" s="25" t="s">
        <v>3308</v>
      </c>
      <c r="G434" s="24"/>
      <c r="H434" s="25" t="s">
        <v>3314</v>
      </c>
      <c r="I434" s="27"/>
      <c r="J434" s="28" t="s">
        <v>3313</v>
      </c>
      <c r="K434" s="27"/>
      <c r="L434" s="25" t="s">
        <v>3312</v>
      </c>
      <c r="M434" s="25" t="s">
        <v>199</v>
      </c>
      <c r="N434" s="25">
        <v>12</v>
      </c>
      <c r="O434" s="25"/>
      <c r="P434" s="25">
        <v>1.2</v>
      </c>
      <c r="Q434" s="25">
        <v>0.5</v>
      </c>
      <c r="R434" s="25"/>
      <c r="S434" s="25">
        <v>0.2</v>
      </c>
      <c r="T434" s="25">
        <v>0.1</v>
      </c>
      <c r="U434" s="31">
        <f t="shared" si="7"/>
        <v>2</v>
      </c>
      <c r="V434" s="25"/>
      <c r="W434" s="33" t="s">
        <v>22</v>
      </c>
      <c r="X434" s="33"/>
      <c r="Y434" s="33" t="s">
        <v>38</v>
      </c>
      <c r="Z434" s="33" t="s">
        <v>3144</v>
      </c>
      <c r="AA434" s="33"/>
    </row>
    <row r="435" spans="1:27" s="70" customFormat="1" ht="33.75" x14ac:dyDescent="0.2">
      <c r="A435" s="24">
        <v>431</v>
      </c>
      <c r="B435" s="24" t="s">
        <v>3052</v>
      </c>
      <c r="C435" s="25" t="s">
        <v>3051</v>
      </c>
      <c r="D435" s="26" t="s">
        <v>3310</v>
      </c>
      <c r="E435" s="25" t="s">
        <v>3309</v>
      </c>
      <c r="F435" s="25" t="s">
        <v>3308</v>
      </c>
      <c r="G435" s="24"/>
      <c r="H435" s="25" t="s">
        <v>3307</v>
      </c>
      <c r="I435" s="27"/>
      <c r="J435" s="25" t="s">
        <v>3307</v>
      </c>
      <c r="K435" s="27"/>
      <c r="L435" s="25" t="s">
        <v>3311</v>
      </c>
      <c r="M435" s="25" t="s">
        <v>355</v>
      </c>
      <c r="N435" s="25">
        <v>1</v>
      </c>
      <c r="O435" s="25"/>
      <c r="P435" s="25">
        <v>16</v>
      </c>
      <c r="Q435" s="25">
        <v>89</v>
      </c>
      <c r="R435" s="25"/>
      <c r="S435" s="25"/>
      <c r="T435" s="25"/>
      <c r="U435" s="31">
        <f t="shared" si="7"/>
        <v>105</v>
      </c>
      <c r="V435" s="25"/>
      <c r="W435" s="33" t="s">
        <v>22</v>
      </c>
      <c r="X435" s="33"/>
      <c r="Y435" s="33" t="s">
        <v>38</v>
      </c>
      <c r="Z435" s="33" t="s">
        <v>3144</v>
      </c>
      <c r="AA435" s="33"/>
    </row>
    <row r="436" spans="1:27" s="70" customFormat="1" ht="33.75" x14ac:dyDescent="0.2">
      <c r="A436" s="24">
        <v>432</v>
      </c>
      <c r="B436" s="24" t="s">
        <v>3052</v>
      </c>
      <c r="C436" s="25" t="s">
        <v>3051</v>
      </c>
      <c r="D436" s="26" t="s">
        <v>3310</v>
      </c>
      <c r="E436" s="25" t="s">
        <v>3309</v>
      </c>
      <c r="F436" s="25" t="s">
        <v>3308</v>
      </c>
      <c r="G436" s="24"/>
      <c r="H436" s="25" t="s">
        <v>3307</v>
      </c>
      <c r="I436" s="27"/>
      <c r="J436" s="25" t="s">
        <v>3307</v>
      </c>
      <c r="K436" s="27"/>
      <c r="L436" s="25" t="s">
        <v>3159</v>
      </c>
      <c r="M436" s="25" t="s">
        <v>355</v>
      </c>
      <c r="N436" s="25">
        <v>1</v>
      </c>
      <c r="O436" s="25"/>
      <c r="P436" s="25">
        <v>39</v>
      </c>
      <c r="Q436" s="25">
        <v>44</v>
      </c>
      <c r="R436" s="25"/>
      <c r="S436" s="25">
        <v>8</v>
      </c>
      <c r="T436" s="25"/>
      <c r="U436" s="31">
        <f t="shared" si="7"/>
        <v>91</v>
      </c>
      <c r="V436" s="25"/>
      <c r="W436" s="33" t="s">
        <v>22</v>
      </c>
      <c r="X436" s="33"/>
      <c r="Y436" s="33" t="s">
        <v>38</v>
      </c>
      <c r="Z436" s="33" t="s">
        <v>3144</v>
      </c>
      <c r="AA436" s="33"/>
    </row>
    <row r="437" spans="1:27" s="70" customFormat="1" ht="33.75" x14ac:dyDescent="0.2">
      <c r="A437" s="24">
        <v>433</v>
      </c>
      <c r="B437" s="24" t="s">
        <v>3052</v>
      </c>
      <c r="C437" s="25" t="s">
        <v>3051</v>
      </c>
      <c r="D437" s="26" t="s">
        <v>3310</v>
      </c>
      <c r="E437" s="25" t="s">
        <v>3309</v>
      </c>
      <c r="F437" s="25" t="s">
        <v>3308</v>
      </c>
      <c r="G437" s="24"/>
      <c r="H437" s="25" t="s">
        <v>3307</v>
      </c>
      <c r="I437" s="27"/>
      <c r="J437" s="25" t="s">
        <v>3307</v>
      </c>
      <c r="K437" s="27"/>
      <c r="L437" s="25" t="s">
        <v>3158</v>
      </c>
      <c r="M437" s="25" t="s">
        <v>3157</v>
      </c>
      <c r="N437" s="25">
        <v>12</v>
      </c>
      <c r="O437" s="25">
        <v>4</v>
      </c>
      <c r="P437" s="25">
        <v>12</v>
      </c>
      <c r="Q437" s="25">
        <v>2</v>
      </c>
      <c r="R437" s="25"/>
      <c r="S437" s="25"/>
      <c r="T437" s="25"/>
      <c r="U437" s="31">
        <f t="shared" si="7"/>
        <v>18</v>
      </c>
      <c r="V437" s="25"/>
      <c r="W437" s="33" t="s">
        <v>22</v>
      </c>
      <c r="X437" s="33" t="s">
        <v>3156</v>
      </c>
      <c r="Y437" s="33" t="s">
        <v>38</v>
      </c>
      <c r="Z437" s="33" t="s">
        <v>3144</v>
      </c>
      <c r="AA437" s="33"/>
    </row>
    <row r="438" spans="1:27" s="70" customFormat="1" ht="33.75" x14ac:dyDescent="0.2">
      <c r="A438" s="24">
        <v>434</v>
      </c>
      <c r="B438" s="24" t="s">
        <v>3052</v>
      </c>
      <c r="C438" s="25" t="s">
        <v>3051</v>
      </c>
      <c r="D438" s="26" t="s">
        <v>3310</v>
      </c>
      <c r="E438" s="25" t="s">
        <v>3309</v>
      </c>
      <c r="F438" s="25" t="s">
        <v>3308</v>
      </c>
      <c r="G438" s="24"/>
      <c r="H438" s="25" t="s">
        <v>3307</v>
      </c>
      <c r="I438" s="27"/>
      <c r="J438" s="25" t="s">
        <v>3307</v>
      </c>
      <c r="K438" s="27"/>
      <c r="L438" s="25" t="s">
        <v>3155</v>
      </c>
      <c r="M438" s="25" t="s">
        <v>412</v>
      </c>
      <c r="N438" s="25">
        <v>44</v>
      </c>
      <c r="O438" s="25">
        <v>3</v>
      </c>
      <c r="P438" s="25">
        <v>6.6</v>
      </c>
      <c r="Q438" s="25">
        <v>4</v>
      </c>
      <c r="R438" s="25"/>
      <c r="S438" s="25">
        <v>1.6</v>
      </c>
      <c r="T438" s="25">
        <v>0.8</v>
      </c>
      <c r="U438" s="31">
        <f t="shared" si="7"/>
        <v>16</v>
      </c>
      <c r="V438" s="25"/>
      <c r="W438" s="33" t="s">
        <v>22</v>
      </c>
      <c r="X438" s="33"/>
      <c r="Y438" s="33" t="s">
        <v>38</v>
      </c>
      <c r="Z438" s="33" t="s">
        <v>3144</v>
      </c>
      <c r="AA438" s="33"/>
    </row>
    <row r="439" spans="1:27" s="70" customFormat="1" ht="33.75" x14ac:dyDescent="0.2">
      <c r="A439" s="24">
        <v>435</v>
      </c>
      <c r="B439" s="24" t="s">
        <v>3052</v>
      </c>
      <c r="C439" s="25" t="s">
        <v>3051</v>
      </c>
      <c r="D439" s="26" t="s">
        <v>3310</v>
      </c>
      <c r="E439" s="25" t="s">
        <v>3309</v>
      </c>
      <c r="F439" s="25" t="s">
        <v>3308</v>
      </c>
      <c r="G439" s="24"/>
      <c r="H439" s="25" t="s">
        <v>3307</v>
      </c>
      <c r="I439" s="27"/>
      <c r="J439" s="25" t="s">
        <v>3307</v>
      </c>
      <c r="K439" s="27"/>
      <c r="L439" s="25" t="s">
        <v>3154</v>
      </c>
      <c r="M439" s="25" t="s">
        <v>3128</v>
      </c>
      <c r="N439" s="25">
        <v>1</v>
      </c>
      <c r="O439" s="25"/>
      <c r="P439" s="25">
        <v>8</v>
      </c>
      <c r="Q439" s="25">
        <v>1</v>
      </c>
      <c r="R439" s="25"/>
      <c r="S439" s="25">
        <v>2</v>
      </c>
      <c r="T439" s="25">
        <v>2</v>
      </c>
      <c r="U439" s="31">
        <f t="shared" si="7"/>
        <v>13</v>
      </c>
      <c r="V439" s="25"/>
      <c r="W439" s="33"/>
      <c r="X439" s="33"/>
      <c r="Y439" s="33" t="s">
        <v>38</v>
      </c>
      <c r="Z439" s="33" t="s">
        <v>3144</v>
      </c>
      <c r="AA439" s="33"/>
    </row>
    <row r="440" spans="1:27" s="70" customFormat="1" ht="33.75" x14ac:dyDescent="0.2">
      <c r="A440" s="24">
        <v>436</v>
      </c>
      <c r="B440" s="24" t="s">
        <v>3052</v>
      </c>
      <c r="C440" s="25" t="s">
        <v>3051</v>
      </c>
      <c r="D440" s="26" t="s">
        <v>3310</v>
      </c>
      <c r="E440" s="25" t="s">
        <v>3309</v>
      </c>
      <c r="F440" s="25" t="s">
        <v>3308</v>
      </c>
      <c r="G440" s="24"/>
      <c r="H440" s="25" t="s">
        <v>3307</v>
      </c>
      <c r="I440" s="27"/>
      <c r="J440" s="25" t="s">
        <v>3307</v>
      </c>
      <c r="K440" s="27"/>
      <c r="L440" s="25" t="s">
        <v>3153</v>
      </c>
      <c r="M440" s="25" t="s">
        <v>3128</v>
      </c>
      <c r="N440" s="25">
        <v>1</v>
      </c>
      <c r="O440" s="25"/>
      <c r="P440" s="25">
        <v>12</v>
      </c>
      <c r="Q440" s="25">
        <v>5</v>
      </c>
      <c r="R440" s="25"/>
      <c r="S440" s="25">
        <v>2</v>
      </c>
      <c r="T440" s="25">
        <v>1</v>
      </c>
      <c r="U440" s="31">
        <f t="shared" si="7"/>
        <v>20</v>
      </c>
      <c r="V440" s="25"/>
      <c r="W440" s="33" t="s">
        <v>22</v>
      </c>
      <c r="X440" s="33" t="s">
        <v>3145</v>
      </c>
      <c r="Y440" s="33" t="s">
        <v>38</v>
      </c>
      <c r="Z440" s="33" t="s">
        <v>3144</v>
      </c>
      <c r="AA440" s="33"/>
    </row>
    <row r="441" spans="1:27" s="70" customFormat="1" ht="33.75" x14ac:dyDescent="0.2">
      <c r="A441" s="24">
        <v>437</v>
      </c>
      <c r="B441" s="24" t="s">
        <v>3052</v>
      </c>
      <c r="C441" s="25" t="s">
        <v>3051</v>
      </c>
      <c r="D441" s="26" t="s">
        <v>3310</v>
      </c>
      <c r="E441" s="25" t="s">
        <v>3309</v>
      </c>
      <c r="F441" s="25" t="s">
        <v>3308</v>
      </c>
      <c r="G441" s="24"/>
      <c r="H441" s="25" t="s">
        <v>3307</v>
      </c>
      <c r="I441" s="27"/>
      <c r="J441" s="25" t="s">
        <v>3307</v>
      </c>
      <c r="K441" s="27"/>
      <c r="L441" s="25" t="s">
        <v>3152</v>
      </c>
      <c r="M441" s="25" t="s">
        <v>1275</v>
      </c>
      <c r="N441" s="25">
        <v>1</v>
      </c>
      <c r="O441" s="25"/>
      <c r="P441" s="25">
        <v>3</v>
      </c>
      <c r="Q441" s="25"/>
      <c r="R441" s="25"/>
      <c r="S441" s="25">
        <v>1</v>
      </c>
      <c r="T441" s="25"/>
      <c r="U441" s="31">
        <f t="shared" si="7"/>
        <v>4</v>
      </c>
      <c r="V441" s="25"/>
      <c r="W441" s="33" t="s">
        <v>22</v>
      </c>
      <c r="X441" s="33"/>
      <c r="Y441" s="33" t="s">
        <v>38</v>
      </c>
      <c r="Z441" s="33" t="s">
        <v>3144</v>
      </c>
      <c r="AA441" s="33"/>
    </row>
    <row r="442" spans="1:27" s="70" customFormat="1" ht="33.75" x14ac:dyDescent="0.2">
      <c r="A442" s="24">
        <v>438</v>
      </c>
      <c r="B442" s="24" t="s">
        <v>3052</v>
      </c>
      <c r="C442" s="25" t="s">
        <v>3051</v>
      </c>
      <c r="D442" s="26" t="s">
        <v>3310</v>
      </c>
      <c r="E442" s="25" t="s">
        <v>3309</v>
      </c>
      <c r="F442" s="25" t="s">
        <v>3308</v>
      </c>
      <c r="G442" s="24"/>
      <c r="H442" s="25" t="s">
        <v>3307</v>
      </c>
      <c r="I442" s="27"/>
      <c r="J442" s="25" t="s">
        <v>3307</v>
      </c>
      <c r="K442" s="27"/>
      <c r="L442" s="25" t="s">
        <v>3151</v>
      </c>
      <c r="M442" s="25" t="s">
        <v>3128</v>
      </c>
      <c r="N442" s="25">
        <v>1</v>
      </c>
      <c r="O442" s="25"/>
      <c r="P442" s="25">
        <v>72</v>
      </c>
      <c r="Q442" s="25">
        <v>30</v>
      </c>
      <c r="R442" s="25"/>
      <c r="S442" s="25">
        <v>12</v>
      </c>
      <c r="T442" s="25">
        <v>6</v>
      </c>
      <c r="U442" s="31">
        <f t="shared" si="7"/>
        <v>120</v>
      </c>
      <c r="V442" s="25"/>
      <c r="W442" s="33" t="s">
        <v>22</v>
      </c>
      <c r="X442" s="33" t="s">
        <v>3150</v>
      </c>
      <c r="Y442" s="33" t="s">
        <v>38</v>
      </c>
      <c r="Z442" s="33" t="s">
        <v>3144</v>
      </c>
      <c r="AA442" s="33"/>
    </row>
    <row r="443" spans="1:27" s="70" customFormat="1" ht="33.75" x14ac:dyDescent="0.2">
      <c r="A443" s="24">
        <v>439</v>
      </c>
      <c r="B443" s="24" t="s">
        <v>3052</v>
      </c>
      <c r="C443" s="25" t="s">
        <v>3051</v>
      </c>
      <c r="D443" s="26" t="s">
        <v>3310</v>
      </c>
      <c r="E443" s="25" t="s">
        <v>3309</v>
      </c>
      <c r="F443" s="25" t="s">
        <v>3308</v>
      </c>
      <c r="G443" s="24"/>
      <c r="H443" s="25" t="s">
        <v>3307</v>
      </c>
      <c r="I443" s="27"/>
      <c r="J443" s="25" t="s">
        <v>3307</v>
      </c>
      <c r="K443" s="27"/>
      <c r="L443" s="25" t="s">
        <v>3149</v>
      </c>
      <c r="M443" s="25" t="s">
        <v>1692</v>
      </c>
      <c r="N443" s="25">
        <v>1</v>
      </c>
      <c r="O443" s="25"/>
      <c r="P443" s="25"/>
      <c r="Q443" s="25">
        <v>54</v>
      </c>
      <c r="R443" s="25"/>
      <c r="S443" s="25">
        <v>12</v>
      </c>
      <c r="T443" s="25">
        <v>6</v>
      </c>
      <c r="U443" s="31">
        <f t="shared" si="7"/>
        <v>72</v>
      </c>
      <c r="V443" s="25"/>
      <c r="W443" s="33"/>
      <c r="X443" s="33"/>
      <c r="Y443" s="33"/>
      <c r="Z443" s="33"/>
      <c r="AA443" s="33"/>
    </row>
    <row r="444" spans="1:27" s="70" customFormat="1" ht="33.75" x14ac:dyDescent="0.2">
      <c r="A444" s="24">
        <v>440</v>
      </c>
      <c r="B444" s="24" t="s">
        <v>3052</v>
      </c>
      <c r="C444" s="25" t="s">
        <v>3051</v>
      </c>
      <c r="D444" s="26" t="s">
        <v>3310</v>
      </c>
      <c r="E444" s="25" t="s">
        <v>3309</v>
      </c>
      <c r="F444" s="25" t="s">
        <v>3308</v>
      </c>
      <c r="G444" s="24"/>
      <c r="H444" s="25" t="s">
        <v>3307</v>
      </c>
      <c r="I444" s="27"/>
      <c r="J444" s="25" t="s">
        <v>3307</v>
      </c>
      <c r="K444" s="27"/>
      <c r="L444" s="25" t="s">
        <v>3148</v>
      </c>
      <c r="M444" s="25" t="s">
        <v>431</v>
      </c>
      <c r="N444" s="25">
        <v>1</v>
      </c>
      <c r="O444" s="25"/>
      <c r="P444" s="25">
        <v>28</v>
      </c>
      <c r="Q444" s="25">
        <v>10</v>
      </c>
      <c r="R444" s="25"/>
      <c r="S444" s="25">
        <v>4</v>
      </c>
      <c r="T444" s="25">
        <v>2</v>
      </c>
      <c r="U444" s="31">
        <f t="shared" si="7"/>
        <v>44</v>
      </c>
      <c r="V444" s="25"/>
      <c r="W444" s="33" t="s">
        <v>22</v>
      </c>
      <c r="X444" s="33" t="s">
        <v>3145</v>
      </c>
      <c r="Y444" s="33" t="s">
        <v>38</v>
      </c>
      <c r="Z444" s="33" t="s">
        <v>3144</v>
      </c>
      <c r="AA444" s="33"/>
    </row>
    <row r="445" spans="1:27" s="70" customFormat="1" ht="56.25" x14ac:dyDescent="0.2">
      <c r="A445" s="24">
        <v>441</v>
      </c>
      <c r="B445" s="24" t="s">
        <v>3052</v>
      </c>
      <c r="C445" s="25" t="s">
        <v>3051</v>
      </c>
      <c r="D445" s="26" t="s">
        <v>3310</v>
      </c>
      <c r="E445" s="25" t="s">
        <v>3309</v>
      </c>
      <c r="F445" s="25" t="s">
        <v>3308</v>
      </c>
      <c r="G445" s="24"/>
      <c r="H445" s="25" t="s">
        <v>3307</v>
      </c>
      <c r="I445" s="27"/>
      <c r="J445" s="25" t="s">
        <v>3307</v>
      </c>
      <c r="K445" s="27"/>
      <c r="L445" s="25" t="s">
        <v>3147</v>
      </c>
      <c r="M445" s="25" t="s">
        <v>3146</v>
      </c>
      <c r="N445" s="25">
        <v>1</v>
      </c>
      <c r="O445" s="25"/>
      <c r="P445" s="25">
        <v>80</v>
      </c>
      <c r="Q445" s="25">
        <v>12</v>
      </c>
      <c r="R445" s="25"/>
      <c r="S445" s="25">
        <v>4</v>
      </c>
      <c r="T445" s="25"/>
      <c r="U445" s="31">
        <f t="shared" si="7"/>
        <v>96</v>
      </c>
      <c r="V445" s="25"/>
      <c r="W445" s="33" t="s">
        <v>22</v>
      </c>
      <c r="X445" s="33" t="s">
        <v>3145</v>
      </c>
      <c r="Y445" s="33" t="s">
        <v>38</v>
      </c>
      <c r="Z445" s="33" t="s">
        <v>3144</v>
      </c>
      <c r="AA445" s="33"/>
    </row>
    <row r="446" spans="1:27" s="70" customFormat="1" ht="33.75" x14ac:dyDescent="0.2">
      <c r="A446" s="24">
        <v>442</v>
      </c>
      <c r="B446" s="24" t="s">
        <v>3052</v>
      </c>
      <c r="C446" s="25" t="s">
        <v>3051</v>
      </c>
      <c r="D446" s="26" t="s">
        <v>3310</v>
      </c>
      <c r="E446" s="25" t="s">
        <v>3309</v>
      </c>
      <c r="F446" s="25" t="s">
        <v>3308</v>
      </c>
      <c r="G446" s="24"/>
      <c r="H446" s="25" t="s">
        <v>3307</v>
      </c>
      <c r="I446" s="27"/>
      <c r="J446" s="25" t="s">
        <v>3307</v>
      </c>
      <c r="K446" s="27"/>
      <c r="L446" s="25" t="s">
        <v>3143</v>
      </c>
      <c r="M446" s="25" t="s">
        <v>3142</v>
      </c>
      <c r="N446" s="25">
        <v>104</v>
      </c>
      <c r="O446" s="25"/>
      <c r="P446" s="25"/>
      <c r="Q446" s="25"/>
      <c r="R446" s="25"/>
      <c r="S446" s="25">
        <v>2</v>
      </c>
      <c r="T446" s="25"/>
      <c r="U446" s="31">
        <f t="shared" si="7"/>
        <v>2</v>
      </c>
      <c r="V446" s="25"/>
      <c r="W446" s="33" t="s">
        <v>3141</v>
      </c>
      <c r="X446" s="33"/>
      <c r="Y446" s="33"/>
      <c r="Z446" s="33"/>
      <c r="AA446" s="33"/>
    </row>
    <row r="447" spans="1:27" s="70" customFormat="1" ht="33.75" x14ac:dyDescent="0.2">
      <c r="A447" s="24">
        <v>443</v>
      </c>
      <c r="B447" s="24" t="s">
        <v>3052</v>
      </c>
      <c r="C447" s="25" t="s">
        <v>3051</v>
      </c>
      <c r="D447" s="26" t="s">
        <v>3296</v>
      </c>
      <c r="E447" s="25" t="s">
        <v>3295</v>
      </c>
      <c r="F447" s="25" t="s">
        <v>3294</v>
      </c>
      <c r="G447" s="24"/>
      <c r="H447" s="25" t="s">
        <v>3305</v>
      </c>
      <c r="I447" s="27"/>
      <c r="J447" s="28" t="s">
        <v>3306</v>
      </c>
      <c r="K447" s="27"/>
      <c r="L447" s="25"/>
      <c r="M447" s="25"/>
      <c r="N447" s="25"/>
      <c r="O447" s="25"/>
      <c r="P447" s="25"/>
      <c r="Q447" s="25"/>
      <c r="R447" s="25"/>
      <c r="S447" s="25"/>
      <c r="T447" s="25"/>
      <c r="U447" s="31">
        <f t="shared" si="7"/>
        <v>0</v>
      </c>
      <c r="V447" s="25"/>
      <c r="W447" s="33"/>
      <c r="X447" s="33"/>
      <c r="Y447" s="33"/>
      <c r="Z447" s="33"/>
      <c r="AA447" s="33"/>
    </row>
    <row r="448" spans="1:27" s="70" customFormat="1" ht="33.75" x14ac:dyDescent="0.2">
      <c r="A448" s="24">
        <v>444</v>
      </c>
      <c r="B448" s="24" t="s">
        <v>3052</v>
      </c>
      <c r="C448" s="25" t="s">
        <v>3051</v>
      </c>
      <c r="D448" s="26" t="s">
        <v>3296</v>
      </c>
      <c r="E448" s="25" t="s">
        <v>3295</v>
      </c>
      <c r="F448" s="25" t="s">
        <v>3294</v>
      </c>
      <c r="G448" s="24"/>
      <c r="H448" s="25" t="s">
        <v>3305</v>
      </c>
      <c r="I448" s="27"/>
      <c r="J448" s="28" t="s">
        <v>3304</v>
      </c>
      <c r="K448" s="27"/>
      <c r="L448" s="25"/>
      <c r="M448" s="25"/>
      <c r="N448" s="25"/>
      <c r="O448" s="25"/>
      <c r="P448" s="25"/>
      <c r="Q448" s="25"/>
      <c r="R448" s="25"/>
      <c r="S448" s="25"/>
      <c r="T448" s="25"/>
      <c r="U448" s="31">
        <f t="shared" si="7"/>
        <v>0</v>
      </c>
      <c r="V448" s="25"/>
      <c r="W448" s="33"/>
      <c r="X448" s="33"/>
      <c r="Y448" s="33"/>
      <c r="Z448" s="33"/>
      <c r="AA448" s="33"/>
    </row>
    <row r="449" spans="1:27" s="70" customFormat="1" ht="45" x14ac:dyDescent="0.2">
      <c r="A449" s="24">
        <v>445</v>
      </c>
      <c r="B449" s="24" t="s">
        <v>3052</v>
      </c>
      <c r="C449" s="25" t="s">
        <v>3051</v>
      </c>
      <c r="D449" s="26" t="s">
        <v>3296</v>
      </c>
      <c r="E449" s="25" t="s">
        <v>3295</v>
      </c>
      <c r="F449" s="25" t="s">
        <v>3294</v>
      </c>
      <c r="G449" s="24"/>
      <c r="H449" s="25" t="s">
        <v>3298</v>
      </c>
      <c r="I449" s="27"/>
      <c r="J449" s="28" t="s">
        <v>3303</v>
      </c>
      <c r="K449" s="27"/>
      <c r="L449" s="25"/>
      <c r="M449" s="25"/>
      <c r="N449" s="25"/>
      <c r="O449" s="25"/>
      <c r="P449" s="25"/>
      <c r="Q449" s="25"/>
      <c r="R449" s="25"/>
      <c r="S449" s="25"/>
      <c r="T449" s="25"/>
      <c r="U449" s="31">
        <f t="shared" si="7"/>
        <v>0</v>
      </c>
      <c r="V449" s="25"/>
      <c r="W449" s="33"/>
      <c r="X449" s="33"/>
      <c r="Y449" s="33"/>
      <c r="Z449" s="33"/>
      <c r="AA449" s="33"/>
    </row>
    <row r="450" spans="1:27" s="70" customFormat="1" ht="45" x14ac:dyDescent="0.2">
      <c r="A450" s="24">
        <v>446</v>
      </c>
      <c r="B450" s="24" t="s">
        <v>3052</v>
      </c>
      <c r="C450" s="25" t="s">
        <v>3051</v>
      </c>
      <c r="D450" s="26" t="s">
        <v>3296</v>
      </c>
      <c r="E450" s="25" t="s">
        <v>3295</v>
      </c>
      <c r="F450" s="25" t="s">
        <v>3294</v>
      </c>
      <c r="G450" s="24"/>
      <c r="H450" s="25" t="s">
        <v>3298</v>
      </c>
      <c r="I450" s="27"/>
      <c r="J450" s="28" t="s">
        <v>3302</v>
      </c>
      <c r="K450" s="27"/>
      <c r="L450" s="25"/>
      <c r="M450" s="25"/>
      <c r="N450" s="25"/>
      <c r="O450" s="25"/>
      <c r="P450" s="25"/>
      <c r="Q450" s="25"/>
      <c r="R450" s="25"/>
      <c r="S450" s="25"/>
      <c r="T450" s="25"/>
      <c r="U450" s="31">
        <f t="shared" si="7"/>
        <v>0</v>
      </c>
      <c r="V450" s="25"/>
      <c r="W450" s="33"/>
      <c r="X450" s="33"/>
      <c r="Y450" s="33"/>
      <c r="Z450" s="33"/>
      <c r="AA450" s="33"/>
    </row>
    <row r="451" spans="1:27" s="70" customFormat="1" ht="45" x14ac:dyDescent="0.2">
      <c r="A451" s="24">
        <v>447</v>
      </c>
      <c r="B451" s="24" t="s">
        <v>3052</v>
      </c>
      <c r="C451" s="25" t="s">
        <v>3051</v>
      </c>
      <c r="D451" s="26" t="s">
        <v>3296</v>
      </c>
      <c r="E451" s="25" t="s">
        <v>3295</v>
      </c>
      <c r="F451" s="25" t="s">
        <v>3294</v>
      </c>
      <c r="G451" s="24"/>
      <c r="H451" s="25" t="s">
        <v>3298</v>
      </c>
      <c r="I451" s="27"/>
      <c r="J451" s="28" t="s">
        <v>3301</v>
      </c>
      <c r="K451" s="27"/>
      <c r="L451" s="25"/>
      <c r="M451" s="25"/>
      <c r="N451" s="25"/>
      <c r="O451" s="25"/>
      <c r="P451" s="25"/>
      <c r="Q451" s="25"/>
      <c r="R451" s="25"/>
      <c r="S451" s="25"/>
      <c r="T451" s="25"/>
      <c r="U451" s="31">
        <f t="shared" si="7"/>
        <v>0</v>
      </c>
      <c r="V451" s="25"/>
      <c r="W451" s="33"/>
      <c r="X451" s="33"/>
      <c r="Y451" s="33"/>
      <c r="Z451" s="33"/>
      <c r="AA451" s="33"/>
    </row>
    <row r="452" spans="1:27" s="70" customFormat="1" ht="101.25" x14ac:dyDescent="0.2">
      <c r="A452" s="24">
        <v>448</v>
      </c>
      <c r="B452" s="24" t="s">
        <v>3052</v>
      </c>
      <c r="C452" s="25" t="s">
        <v>3051</v>
      </c>
      <c r="D452" s="26" t="s">
        <v>3296</v>
      </c>
      <c r="E452" s="25" t="s">
        <v>3295</v>
      </c>
      <c r="F452" s="25" t="s">
        <v>3294</v>
      </c>
      <c r="G452" s="24"/>
      <c r="H452" s="25" t="s">
        <v>3298</v>
      </c>
      <c r="I452" s="27"/>
      <c r="J452" s="28" t="s">
        <v>3300</v>
      </c>
      <c r="K452" s="27"/>
      <c r="L452" s="25"/>
      <c r="M452" s="25"/>
      <c r="N452" s="25"/>
      <c r="O452" s="25"/>
      <c r="P452" s="25"/>
      <c r="Q452" s="25"/>
      <c r="R452" s="25"/>
      <c r="S452" s="25"/>
      <c r="T452" s="25"/>
      <c r="U452" s="31">
        <f t="shared" si="7"/>
        <v>0</v>
      </c>
      <c r="V452" s="25"/>
      <c r="W452" s="33"/>
      <c r="X452" s="33"/>
      <c r="Y452" s="33"/>
      <c r="Z452" s="33"/>
      <c r="AA452" s="33"/>
    </row>
    <row r="453" spans="1:27" s="70" customFormat="1" ht="45" x14ac:dyDescent="0.2">
      <c r="A453" s="24">
        <v>449</v>
      </c>
      <c r="B453" s="24" t="s">
        <v>3052</v>
      </c>
      <c r="C453" s="25" t="s">
        <v>3051</v>
      </c>
      <c r="D453" s="26" t="s">
        <v>3296</v>
      </c>
      <c r="E453" s="25" t="s">
        <v>3295</v>
      </c>
      <c r="F453" s="25" t="s">
        <v>3294</v>
      </c>
      <c r="G453" s="24"/>
      <c r="H453" s="25" t="s">
        <v>3298</v>
      </c>
      <c r="I453" s="27"/>
      <c r="J453" s="28" t="s">
        <v>3299</v>
      </c>
      <c r="K453" s="27"/>
      <c r="L453" s="25"/>
      <c r="M453" s="25"/>
      <c r="N453" s="25"/>
      <c r="O453" s="25"/>
      <c r="P453" s="25"/>
      <c r="Q453" s="25"/>
      <c r="R453" s="25"/>
      <c r="S453" s="25"/>
      <c r="T453" s="25"/>
      <c r="U453" s="31">
        <f t="shared" si="7"/>
        <v>0</v>
      </c>
      <c r="V453" s="25"/>
      <c r="W453" s="33"/>
      <c r="X453" s="33"/>
      <c r="Y453" s="33"/>
      <c r="Z453" s="33"/>
      <c r="AA453" s="33"/>
    </row>
    <row r="454" spans="1:27" s="70" customFormat="1" ht="45" x14ac:dyDescent="0.2">
      <c r="A454" s="24">
        <v>450</v>
      </c>
      <c r="B454" s="24" t="s">
        <v>3052</v>
      </c>
      <c r="C454" s="25" t="s">
        <v>3051</v>
      </c>
      <c r="D454" s="26" t="s">
        <v>3296</v>
      </c>
      <c r="E454" s="25" t="s">
        <v>3295</v>
      </c>
      <c r="F454" s="25" t="s">
        <v>3294</v>
      </c>
      <c r="G454" s="24"/>
      <c r="H454" s="25" t="s">
        <v>3298</v>
      </c>
      <c r="I454" s="27"/>
      <c r="J454" s="28" t="s">
        <v>3297</v>
      </c>
      <c r="K454" s="27"/>
      <c r="L454" s="25"/>
      <c r="M454" s="25"/>
      <c r="N454" s="25"/>
      <c r="O454" s="25"/>
      <c r="P454" s="25"/>
      <c r="Q454" s="25"/>
      <c r="R454" s="25"/>
      <c r="S454" s="25"/>
      <c r="T454" s="25"/>
      <c r="U454" s="31">
        <f t="shared" ref="U454:U517" si="8">SUM(O454:T454)</f>
        <v>0</v>
      </c>
      <c r="V454" s="25"/>
      <c r="W454" s="33"/>
      <c r="X454" s="33"/>
      <c r="Y454" s="33"/>
      <c r="Z454" s="33"/>
      <c r="AA454" s="33"/>
    </row>
    <row r="455" spans="1:27" s="70" customFormat="1" ht="56.25" x14ac:dyDescent="0.2">
      <c r="A455" s="24">
        <v>451</v>
      </c>
      <c r="B455" s="24" t="s">
        <v>3052</v>
      </c>
      <c r="C455" s="25" t="s">
        <v>3051</v>
      </c>
      <c r="D455" s="26" t="s">
        <v>3296</v>
      </c>
      <c r="E455" s="25" t="s">
        <v>3295</v>
      </c>
      <c r="F455" s="25" t="s">
        <v>3294</v>
      </c>
      <c r="G455" s="24"/>
      <c r="H455" s="25" t="s">
        <v>3293</v>
      </c>
      <c r="I455" s="27"/>
      <c r="J455" s="25" t="s">
        <v>3293</v>
      </c>
      <c r="K455" s="27"/>
      <c r="L455" s="25" t="s">
        <v>3108</v>
      </c>
      <c r="M455" s="25" t="s">
        <v>3105</v>
      </c>
      <c r="N455" s="25">
        <v>9</v>
      </c>
      <c r="O455" s="25">
        <v>0.44444444444444442</v>
      </c>
      <c r="P455" s="25">
        <v>2.6666666666666665</v>
      </c>
      <c r="Q455" s="25">
        <v>0.44444444444444442</v>
      </c>
      <c r="R455" s="25">
        <v>0.44444444444444442</v>
      </c>
      <c r="S455" s="25">
        <v>1</v>
      </c>
      <c r="T455" s="25">
        <v>1</v>
      </c>
      <c r="U455" s="31">
        <f t="shared" si="8"/>
        <v>6</v>
      </c>
      <c r="V455" s="25"/>
      <c r="W455" s="33" t="s">
        <v>198</v>
      </c>
      <c r="X455" s="33" t="s">
        <v>3104</v>
      </c>
      <c r="Y455" s="33" t="s">
        <v>3103</v>
      </c>
      <c r="Z455" s="33" t="s">
        <v>3102</v>
      </c>
      <c r="AA455" s="33"/>
    </row>
    <row r="456" spans="1:27" s="70" customFormat="1" ht="56.25" x14ac:dyDescent="0.2">
      <c r="A456" s="24">
        <v>452</v>
      </c>
      <c r="B456" s="24" t="s">
        <v>3052</v>
      </c>
      <c r="C456" s="25" t="s">
        <v>3051</v>
      </c>
      <c r="D456" s="26" t="s">
        <v>3296</v>
      </c>
      <c r="E456" s="25" t="s">
        <v>3295</v>
      </c>
      <c r="F456" s="25" t="s">
        <v>3294</v>
      </c>
      <c r="G456" s="24"/>
      <c r="H456" s="25" t="s">
        <v>3293</v>
      </c>
      <c r="I456" s="27"/>
      <c r="J456" s="25" t="s">
        <v>3293</v>
      </c>
      <c r="K456" s="27"/>
      <c r="L456" s="25" t="s">
        <v>3106</v>
      </c>
      <c r="M456" s="25" t="s">
        <v>3105</v>
      </c>
      <c r="N456" s="25">
        <v>3</v>
      </c>
      <c r="O456" s="25">
        <v>0</v>
      </c>
      <c r="P456" s="25">
        <v>6.666666666666667</v>
      </c>
      <c r="Q456" s="25">
        <v>6.666666666666667</v>
      </c>
      <c r="R456" s="25">
        <v>6.666666666666667</v>
      </c>
      <c r="S456" s="25">
        <v>2</v>
      </c>
      <c r="T456" s="25">
        <v>2</v>
      </c>
      <c r="U456" s="31">
        <f t="shared" si="8"/>
        <v>24</v>
      </c>
      <c r="V456" s="25"/>
      <c r="W456" s="33" t="s">
        <v>198</v>
      </c>
      <c r="X456" s="33" t="s">
        <v>3104</v>
      </c>
      <c r="Y456" s="33" t="s">
        <v>3103</v>
      </c>
      <c r="Z456" s="33" t="s">
        <v>3102</v>
      </c>
      <c r="AA456" s="33"/>
    </row>
    <row r="457" spans="1:27" s="70" customFormat="1" ht="33.75" x14ac:dyDescent="0.2">
      <c r="A457" s="24">
        <v>453</v>
      </c>
      <c r="B457" s="24" t="s">
        <v>3052</v>
      </c>
      <c r="C457" s="25" t="s">
        <v>3051</v>
      </c>
      <c r="D457" s="26" t="s">
        <v>3238</v>
      </c>
      <c r="E457" s="25" t="s">
        <v>3237</v>
      </c>
      <c r="F457" s="25" t="s">
        <v>3236</v>
      </c>
      <c r="G457" s="24"/>
      <c r="H457" s="25" t="s">
        <v>3280</v>
      </c>
      <c r="I457" s="27"/>
      <c r="J457" s="28" t="s">
        <v>3292</v>
      </c>
      <c r="K457" s="27"/>
      <c r="L457" s="25"/>
      <c r="M457" s="25"/>
      <c r="N457" s="25"/>
      <c r="O457" s="25"/>
      <c r="P457" s="25"/>
      <c r="Q457" s="25"/>
      <c r="R457" s="25"/>
      <c r="S457" s="25"/>
      <c r="T457" s="25"/>
      <c r="U457" s="31">
        <f t="shared" si="8"/>
        <v>0</v>
      </c>
      <c r="V457" s="25"/>
      <c r="W457" s="33"/>
      <c r="X457" s="33"/>
      <c r="Y457" s="33"/>
      <c r="Z457" s="33"/>
      <c r="AA457" s="33"/>
    </row>
    <row r="458" spans="1:27" s="70" customFormat="1" ht="55.5" customHeight="1" x14ac:dyDescent="0.2">
      <c r="A458" s="24">
        <v>454</v>
      </c>
      <c r="B458" s="24" t="s">
        <v>3052</v>
      </c>
      <c r="C458" s="25" t="s">
        <v>3051</v>
      </c>
      <c r="D458" s="26" t="s">
        <v>3238</v>
      </c>
      <c r="E458" s="25" t="s">
        <v>3237</v>
      </c>
      <c r="F458" s="25" t="s">
        <v>3236</v>
      </c>
      <c r="G458" s="24"/>
      <c r="H458" s="25" t="s">
        <v>3280</v>
      </c>
      <c r="I458" s="27"/>
      <c r="J458" s="28" t="s">
        <v>3283</v>
      </c>
      <c r="K458" s="27"/>
      <c r="L458" s="25" t="s">
        <v>3291</v>
      </c>
      <c r="M458" s="25" t="s">
        <v>3105</v>
      </c>
      <c r="N458" s="25">
        <v>330</v>
      </c>
      <c r="O458" s="25">
        <v>0.33939393939393941</v>
      </c>
      <c r="P458" s="25">
        <v>3.2727272727272729</v>
      </c>
      <c r="Q458" s="25">
        <v>0.19393939393939394</v>
      </c>
      <c r="R458" s="25">
        <v>0.19393939393939394</v>
      </c>
      <c r="S458" s="25">
        <v>0</v>
      </c>
      <c r="T458" s="25">
        <v>0</v>
      </c>
      <c r="U458" s="31">
        <f t="shared" si="8"/>
        <v>4</v>
      </c>
      <c r="V458" s="25"/>
      <c r="W458" s="33" t="s">
        <v>198</v>
      </c>
      <c r="X458" s="33" t="s">
        <v>3104</v>
      </c>
      <c r="Y458" s="33" t="s">
        <v>3103</v>
      </c>
      <c r="Z458" s="33" t="s">
        <v>3281</v>
      </c>
      <c r="AA458" s="33"/>
    </row>
    <row r="459" spans="1:27" s="70" customFormat="1" ht="55.5" customHeight="1" x14ac:dyDescent="0.2">
      <c r="A459" s="24">
        <v>455</v>
      </c>
      <c r="B459" s="24" t="s">
        <v>3052</v>
      </c>
      <c r="C459" s="25" t="s">
        <v>3051</v>
      </c>
      <c r="D459" s="26" t="s">
        <v>3238</v>
      </c>
      <c r="E459" s="25" t="s">
        <v>3237</v>
      </c>
      <c r="F459" s="25" t="s">
        <v>3236</v>
      </c>
      <c r="G459" s="24"/>
      <c r="H459" s="25" t="s">
        <v>3280</v>
      </c>
      <c r="I459" s="27"/>
      <c r="J459" s="28" t="s">
        <v>3283</v>
      </c>
      <c r="K459" s="27"/>
      <c r="L459" s="25" t="s">
        <v>3290</v>
      </c>
      <c r="M459" s="25" t="s">
        <v>3105</v>
      </c>
      <c r="N459" s="25">
        <v>330</v>
      </c>
      <c r="O459" s="25">
        <v>0.33939393939393941</v>
      </c>
      <c r="P459" s="25">
        <v>3.2727272727272729</v>
      </c>
      <c r="Q459" s="25">
        <v>0.19393939393939394</v>
      </c>
      <c r="R459" s="25">
        <v>0.19393939393939394</v>
      </c>
      <c r="S459" s="25">
        <v>0</v>
      </c>
      <c r="T459" s="25">
        <v>0</v>
      </c>
      <c r="U459" s="31">
        <f t="shared" si="8"/>
        <v>4</v>
      </c>
      <c r="V459" s="25"/>
      <c r="W459" s="33" t="s">
        <v>198</v>
      </c>
      <c r="X459" s="33" t="s">
        <v>3104</v>
      </c>
      <c r="Y459" s="33" t="s">
        <v>3103</v>
      </c>
      <c r="Z459" s="33" t="s">
        <v>3281</v>
      </c>
      <c r="AA459" s="33"/>
    </row>
    <row r="460" spans="1:27" s="70" customFormat="1" ht="55.5" customHeight="1" x14ac:dyDescent="0.2">
      <c r="A460" s="24">
        <v>456</v>
      </c>
      <c r="B460" s="24" t="s">
        <v>3052</v>
      </c>
      <c r="C460" s="25" t="s">
        <v>3051</v>
      </c>
      <c r="D460" s="26" t="s">
        <v>3238</v>
      </c>
      <c r="E460" s="25" t="s">
        <v>3237</v>
      </c>
      <c r="F460" s="25" t="s">
        <v>3236</v>
      </c>
      <c r="G460" s="24"/>
      <c r="H460" s="25" t="s">
        <v>3280</v>
      </c>
      <c r="I460" s="27"/>
      <c r="J460" s="28" t="s">
        <v>3283</v>
      </c>
      <c r="K460" s="27"/>
      <c r="L460" s="25" t="s">
        <v>3289</v>
      </c>
      <c r="M460" s="25" t="s">
        <v>3105</v>
      </c>
      <c r="N460" s="25">
        <v>165</v>
      </c>
      <c r="O460" s="25">
        <v>0.67878787878787883</v>
      </c>
      <c r="P460" s="25">
        <v>6.5454545454545459</v>
      </c>
      <c r="Q460" s="25">
        <v>0.38787878787878788</v>
      </c>
      <c r="R460" s="25">
        <v>0.38787878787878788</v>
      </c>
      <c r="S460" s="25">
        <v>0</v>
      </c>
      <c r="T460" s="25">
        <v>0</v>
      </c>
      <c r="U460" s="31">
        <f t="shared" si="8"/>
        <v>8</v>
      </c>
      <c r="V460" s="25"/>
      <c r="W460" s="33" t="s">
        <v>198</v>
      </c>
      <c r="X460" s="33" t="s">
        <v>3104</v>
      </c>
      <c r="Y460" s="33" t="s">
        <v>3188</v>
      </c>
      <c r="Z460" s="33" t="s">
        <v>3281</v>
      </c>
      <c r="AA460" s="33"/>
    </row>
    <row r="461" spans="1:27" s="70" customFormat="1" ht="55.5" customHeight="1" x14ac:dyDescent="0.2">
      <c r="A461" s="24">
        <v>457</v>
      </c>
      <c r="B461" s="24" t="s">
        <v>3052</v>
      </c>
      <c r="C461" s="25" t="s">
        <v>3051</v>
      </c>
      <c r="D461" s="26" t="s">
        <v>3238</v>
      </c>
      <c r="E461" s="25" t="s">
        <v>3237</v>
      </c>
      <c r="F461" s="25" t="s">
        <v>3236</v>
      </c>
      <c r="G461" s="24"/>
      <c r="H461" s="25" t="s">
        <v>3280</v>
      </c>
      <c r="I461" s="27"/>
      <c r="J461" s="28" t="s">
        <v>3283</v>
      </c>
      <c r="K461" s="27"/>
      <c r="L461" s="25" t="s">
        <v>3288</v>
      </c>
      <c r="M461" s="25" t="s">
        <v>3105</v>
      </c>
      <c r="N461" s="25">
        <v>110</v>
      </c>
      <c r="O461" s="25">
        <v>0.72727272727272729</v>
      </c>
      <c r="P461" s="25">
        <v>6.5454545454545459</v>
      </c>
      <c r="Q461" s="25">
        <v>0.72727272727272729</v>
      </c>
      <c r="R461" s="25">
        <v>2.8363636363636364</v>
      </c>
      <c r="S461" s="25">
        <v>0.8</v>
      </c>
      <c r="T461" s="25">
        <v>0</v>
      </c>
      <c r="U461" s="31">
        <f t="shared" si="8"/>
        <v>11.636363636363637</v>
      </c>
      <c r="V461" s="25"/>
      <c r="W461" s="33" t="s">
        <v>198</v>
      </c>
      <c r="X461" s="33" t="s">
        <v>3104</v>
      </c>
      <c r="Y461" s="33" t="s">
        <v>3188</v>
      </c>
      <c r="Z461" s="33" t="s">
        <v>3281</v>
      </c>
      <c r="AA461" s="33"/>
    </row>
    <row r="462" spans="1:27" s="70" customFormat="1" ht="55.5" customHeight="1" x14ac:dyDescent="0.2">
      <c r="A462" s="24">
        <v>458</v>
      </c>
      <c r="B462" s="24" t="s">
        <v>3052</v>
      </c>
      <c r="C462" s="25" t="s">
        <v>3051</v>
      </c>
      <c r="D462" s="26" t="s">
        <v>3238</v>
      </c>
      <c r="E462" s="25" t="s">
        <v>3237</v>
      </c>
      <c r="F462" s="25" t="s">
        <v>3236</v>
      </c>
      <c r="G462" s="24"/>
      <c r="H462" s="25" t="s">
        <v>3280</v>
      </c>
      <c r="I462" s="27"/>
      <c r="J462" s="28" t="s">
        <v>3283</v>
      </c>
      <c r="K462" s="27"/>
      <c r="L462" s="25" t="s">
        <v>3287</v>
      </c>
      <c r="M462" s="25" t="s">
        <v>3105</v>
      </c>
      <c r="N462" s="25">
        <v>55</v>
      </c>
      <c r="O462" s="25">
        <v>1.1636363636363636</v>
      </c>
      <c r="P462" s="25">
        <v>13.090909090909092</v>
      </c>
      <c r="Q462" s="25">
        <v>1.4545454545454546</v>
      </c>
      <c r="R462" s="25">
        <v>5.8181818181818183</v>
      </c>
      <c r="S462" s="25">
        <v>1.4545454545454546</v>
      </c>
      <c r="T462" s="25">
        <v>0</v>
      </c>
      <c r="U462" s="31">
        <f t="shared" si="8"/>
        <v>22.981818181818184</v>
      </c>
      <c r="V462" s="25"/>
      <c r="W462" s="33" t="s">
        <v>198</v>
      </c>
      <c r="X462" s="33" t="s">
        <v>3104</v>
      </c>
      <c r="Y462" s="33" t="s">
        <v>3188</v>
      </c>
      <c r="Z462" s="33" t="s">
        <v>3281</v>
      </c>
      <c r="AA462" s="33"/>
    </row>
    <row r="463" spans="1:27" s="70" customFormat="1" ht="55.5" customHeight="1" x14ac:dyDescent="0.2">
      <c r="A463" s="24">
        <v>459</v>
      </c>
      <c r="B463" s="24" t="s">
        <v>3052</v>
      </c>
      <c r="C463" s="25" t="s">
        <v>3051</v>
      </c>
      <c r="D463" s="26" t="s">
        <v>3238</v>
      </c>
      <c r="E463" s="25" t="s">
        <v>3237</v>
      </c>
      <c r="F463" s="25" t="s">
        <v>3236</v>
      </c>
      <c r="G463" s="24"/>
      <c r="H463" s="25" t="s">
        <v>3280</v>
      </c>
      <c r="I463" s="27"/>
      <c r="J463" s="28" t="s">
        <v>3283</v>
      </c>
      <c r="K463" s="27"/>
      <c r="L463" s="25" t="s">
        <v>3286</v>
      </c>
      <c r="M463" s="25" t="s">
        <v>3105</v>
      </c>
      <c r="N463" s="25">
        <v>160</v>
      </c>
      <c r="O463" s="25">
        <v>0.6</v>
      </c>
      <c r="P463" s="25">
        <v>7.4</v>
      </c>
      <c r="Q463" s="25">
        <v>1.5</v>
      </c>
      <c r="R463" s="25">
        <v>1.5</v>
      </c>
      <c r="S463" s="25">
        <v>2</v>
      </c>
      <c r="T463" s="25">
        <v>0</v>
      </c>
      <c r="U463" s="31">
        <f t="shared" si="8"/>
        <v>13</v>
      </c>
      <c r="V463" s="25"/>
      <c r="W463" s="33" t="s">
        <v>198</v>
      </c>
      <c r="X463" s="33" t="s">
        <v>3104</v>
      </c>
      <c r="Y463" s="33" t="s">
        <v>3188</v>
      </c>
      <c r="Z463" s="33" t="s">
        <v>3281</v>
      </c>
      <c r="AA463" s="33"/>
    </row>
    <row r="464" spans="1:27" s="70" customFormat="1" ht="55.5" customHeight="1" x14ac:dyDescent="0.2">
      <c r="A464" s="24">
        <v>460</v>
      </c>
      <c r="B464" s="24" t="s">
        <v>3052</v>
      </c>
      <c r="C464" s="25" t="s">
        <v>3051</v>
      </c>
      <c r="D464" s="26" t="s">
        <v>3238</v>
      </c>
      <c r="E464" s="25" t="s">
        <v>3237</v>
      </c>
      <c r="F464" s="25" t="s">
        <v>3236</v>
      </c>
      <c r="G464" s="24"/>
      <c r="H464" s="25" t="s">
        <v>3280</v>
      </c>
      <c r="I464" s="27"/>
      <c r="J464" s="28" t="s">
        <v>3283</v>
      </c>
      <c r="K464" s="27"/>
      <c r="L464" s="25" t="s">
        <v>3285</v>
      </c>
      <c r="M464" s="25" t="s">
        <v>3105</v>
      </c>
      <c r="N464" s="25">
        <v>60</v>
      </c>
      <c r="O464" s="25">
        <v>0.8</v>
      </c>
      <c r="P464" s="25">
        <v>4.2666666666666666</v>
      </c>
      <c r="Q464" s="25">
        <v>1.4666666666666666</v>
      </c>
      <c r="R464" s="25">
        <v>1.4666666666666666</v>
      </c>
      <c r="S464" s="25">
        <v>2.5</v>
      </c>
      <c r="T464" s="25">
        <v>2</v>
      </c>
      <c r="U464" s="31">
        <f t="shared" si="8"/>
        <v>12.5</v>
      </c>
      <c r="V464" s="25"/>
      <c r="W464" s="33" t="s">
        <v>198</v>
      </c>
      <c r="X464" s="33" t="s">
        <v>3104</v>
      </c>
      <c r="Y464" s="33" t="s">
        <v>3188</v>
      </c>
      <c r="Z464" s="33" t="s">
        <v>3281</v>
      </c>
      <c r="AA464" s="33"/>
    </row>
    <row r="465" spans="1:27" s="70" customFormat="1" ht="55.5" customHeight="1" x14ac:dyDescent="0.2">
      <c r="A465" s="24">
        <v>461</v>
      </c>
      <c r="B465" s="24" t="s">
        <v>3052</v>
      </c>
      <c r="C465" s="25" t="s">
        <v>3051</v>
      </c>
      <c r="D465" s="26" t="s">
        <v>3238</v>
      </c>
      <c r="E465" s="25" t="s">
        <v>3237</v>
      </c>
      <c r="F465" s="25" t="s">
        <v>3236</v>
      </c>
      <c r="G465" s="24"/>
      <c r="H465" s="25" t="s">
        <v>3280</v>
      </c>
      <c r="I465" s="27"/>
      <c r="J465" s="28" t="s">
        <v>3283</v>
      </c>
      <c r="K465" s="27"/>
      <c r="L465" s="25" t="s">
        <v>3284</v>
      </c>
      <c r="M465" s="25" t="s">
        <v>3105</v>
      </c>
      <c r="N465" s="25">
        <v>80</v>
      </c>
      <c r="O465" s="25">
        <v>1.05</v>
      </c>
      <c r="P465" s="25">
        <v>10.95</v>
      </c>
      <c r="Q465" s="25">
        <v>1.5</v>
      </c>
      <c r="R465" s="25">
        <v>1.5</v>
      </c>
      <c r="S465" s="25">
        <v>0.21875</v>
      </c>
      <c r="T465" s="25">
        <v>1.03125</v>
      </c>
      <c r="U465" s="31">
        <f t="shared" si="8"/>
        <v>16.25</v>
      </c>
      <c r="V465" s="25"/>
      <c r="W465" s="33" t="s">
        <v>198</v>
      </c>
      <c r="X465" s="33" t="s">
        <v>3104</v>
      </c>
      <c r="Y465" s="33" t="s">
        <v>3188</v>
      </c>
      <c r="Z465" s="33" t="s">
        <v>3281</v>
      </c>
      <c r="AA465" s="33"/>
    </row>
    <row r="466" spans="1:27" s="70" customFormat="1" ht="55.5" customHeight="1" x14ac:dyDescent="0.2">
      <c r="A466" s="24">
        <v>462</v>
      </c>
      <c r="B466" s="24" t="s">
        <v>3052</v>
      </c>
      <c r="C466" s="25" t="s">
        <v>3051</v>
      </c>
      <c r="D466" s="26" t="s">
        <v>3238</v>
      </c>
      <c r="E466" s="25" t="s">
        <v>3237</v>
      </c>
      <c r="F466" s="25" t="s">
        <v>3236</v>
      </c>
      <c r="G466" s="24"/>
      <c r="H466" s="25" t="s">
        <v>3280</v>
      </c>
      <c r="I466" s="27"/>
      <c r="J466" s="28" t="s">
        <v>3283</v>
      </c>
      <c r="K466" s="27"/>
      <c r="L466" s="25" t="s">
        <v>3282</v>
      </c>
      <c r="M466" s="25" t="s">
        <v>3105</v>
      </c>
      <c r="N466" s="25">
        <v>30</v>
      </c>
      <c r="O466" s="25">
        <v>1.2</v>
      </c>
      <c r="P466" s="25">
        <v>6.8</v>
      </c>
      <c r="Q466" s="25">
        <v>2</v>
      </c>
      <c r="R466" s="25">
        <v>2</v>
      </c>
      <c r="S466" s="25">
        <v>3</v>
      </c>
      <c r="T466" s="25">
        <v>2.5</v>
      </c>
      <c r="U466" s="31">
        <f t="shared" si="8"/>
        <v>17.5</v>
      </c>
      <c r="V466" s="25"/>
      <c r="W466" s="33" t="s">
        <v>198</v>
      </c>
      <c r="X466" s="33" t="s">
        <v>3104</v>
      </c>
      <c r="Y466" s="33" t="s">
        <v>3188</v>
      </c>
      <c r="Z466" s="33" t="s">
        <v>3281</v>
      </c>
      <c r="AA466" s="33"/>
    </row>
    <row r="467" spans="1:27" s="70" customFormat="1" ht="33.75" x14ac:dyDescent="0.2">
      <c r="A467" s="24">
        <v>463</v>
      </c>
      <c r="B467" s="24" t="s">
        <v>3052</v>
      </c>
      <c r="C467" s="25" t="s">
        <v>3051</v>
      </c>
      <c r="D467" s="26" t="s">
        <v>3238</v>
      </c>
      <c r="E467" s="25" t="s">
        <v>3237</v>
      </c>
      <c r="F467" s="25" t="s">
        <v>3236</v>
      </c>
      <c r="G467" s="24"/>
      <c r="H467" s="25" t="s">
        <v>3280</v>
      </c>
      <c r="I467" s="27"/>
      <c r="J467" s="28" t="s">
        <v>3279</v>
      </c>
      <c r="K467" s="27"/>
      <c r="L467" s="25"/>
      <c r="M467" s="25"/>
      <c r="N467" s="25"/>
      <c r="O467" s="25"/>
      <c r="P467" s="25"/>
      <c r="Q467" s="25"/>
      <c r="R467" s="25"/>
      <c r="S467" s="25"/>
      <c r="T467" s="25"/>
      <c r="U467" s="31">
        <f t="shared" si="8"/>
        <v>0</v>
      </c>
      <c r="V467" s="25"/>
      <c r="W467" s="33"/>
      <c r="X467" s="33"/>
      <c r="Y467" s="33"/>
      <c r="Z467" s="33"/>
      <c r="AA467" s="33"/>
    </row>
    <row r="468" spans="1:27" s="70" customFormat="1" ht="45" x14ac:dyDescent="0.2">
      <c r="A468" s="24">
        <v>464</v>
      </c>
      <c r="B468" s="24" t="s">
        <v>3052</v>
      </c>
      <c r="C468" s="25" t="s">
        <v>3051</v>
      </c>
      <c r="D468" s="26" t="s">
        <v>3238</v>
      </c>
      <c r="E468" s="25" t="s">
        <v>3237</v>
      </c>
      <c r="F468" s="25" t="s">
        <v>3236</v>
      </c>
      <c r="G468" s="24"/>
      <c r="H468" s="25" t="s">
        <v>3240</v>
      </c>
      <c r="I468" s="27"/>
      <c r="J468" s="28" t="s">
        <v>3260</v>
      </c>
      <c r="K468" s="27"/>
      <c r="L468" s="25" t="s">
        <v>3278</v>
      </c>
      <c r="M468" s="25" t="s">
        <v>190</v>
      </c>
      <c r="N468" s="25">
        <v>12</v>
      </c>
      <c r="O468" s="25"/>
      <c r="P468" s="25">
        <v>2</v>
      </c>
      <c r="Q468" s="25"/>
      <c r="R468" s="25"/>
      <c r="S468" s="25">
        <v>0.1</v>
      </c>
      <c r="T468" s="25"/>
      <c r="U468" s="31">
        <f t="shared" si="8"/>
        <v>2.1</v>
      </c>
      <c r="V468" s="25"/>
      <c r="W468" s="33" t="s">
        <v>2138</v>
      </c>
      <c r="X468" s="33" t="s">
        <v>3247</v>
      </c>
      <c r="Y468" s="33" t="s">
        <v>38</v>
      </c>
      <c r="Z468" s="33"/>
      <c r="AA468" s="33"/>
    </row>
    <row r="469" spans="1:27" s="70" customFormat="1" ht="45" x14ac:dyDescent="0.2">
      <c r="A469" s="24">
        <v>465</v>
      </c>
      <c r="B469" s="24" t="s">
        <v>3052</v>
      </c>
      <c r="C469" s="25" t="s">
        <v>3051</v>
      </c>
      <c r="D469" s="26" t="s">
        <v>3238</v>
      </c>
      <c r="E469" s="25" t="s">
        <v>3237</v>
      </c>
      <c r="F469" s="25" t="s">
        <v>3236</v>
      </c>
      <c r="G469" s="24"/>
      <c r="H469" s="25" t="s">
        <v>3240</v>
      </c>
      <c r="I469" s="27"/>
      <c r="J469" s="28" t="s">
        <v>3260</v>
      </c>
      <c r="K469" s="27"/>
      <c r="L469" s="25" t="s">
        <v>3277</v>
      </c>
      <c r="M469" s="25" t="s">
        <v>190</v>
      </c>
      <c r="N469" s="25">
        <v>12</v>
      </c>
      <c r="O469" s="25"/>
      <c r="P469" s="25">
        <v>1</v>
      </c>
      <c r="Q469" s="25"/>
      <c r="R469" s="25"/>
      <c r="S469" s="25">
        <v>0.1</v>
      </c>
      <c r="T469" s="25"/>
      <c r="U469" s="31">
        <f t="shared" si="8"/>
        <v>1.1000000000000001</v>
      </c>
      <c r="V469" s="25"/>
      <c r="W469" s="33" t="s">
        <v>2138</v>
      </c>
      <c r="X469" s="33" t="s">
        <v>3247</v>
      </c>
      <c r="Y469" s="33" t="s">
        <v>38</v>
      </c>
      <c r="Z469" s="33"/>
      <c r="AA469" s="33"/>
    </row>
    <row r="470" spans="1:27" s="70" customFormat="1" ht="45" x14ac:dyDescent="0.2">
      <c r="A470" s="24">
        <v>466</v>
      </c>
      <c r="B470" s="24" t="s">
        <v>3052</v>
      </c>
      <c r="C470" s="25" t="s">
        <v>3051</v>
      </c>
      <c r="D470" s="26" t="s">
        <v>3238</v>
      </c>
      <c r="E470" s="25" t="s">
        <v>3237</v>
      </c>
      <c r="F470" s="25" t="s">
        <v>3236</v>
      </c>
      <c r="G470" s="24"/>
      <c r="H470" s="25" t="s">
        <v>3240</v>
      </c>
      <c r="I470" s="27"/>
      <c r="J470" s="28" t="s">
        <v>3260</v>
      </c>
      <c r="K470" s="27"/>
      <c r="L470" s="25" t="s">
        <v>3276</v>
      </c>
      <c r="M470" s="25" t="s">
        <v>190</v>
      </c>
      <c r="N470" s="25">
        <v>12</v>
      </c>
      <c r="O470" s="25"/>
      <c r="P470" s="25">
        <v>1.5</v>
      </c>
      <c r="Q470" s="25"/>
      <c r="R470" s="25"/>
      <c r="S470" s="25">
        <v>0.1</v>
      </c>
      <c r="T470" s="25"/>
      <c r="U470" s="31">
        <f t="shared" si="8"/>
        <v>1.6</v>
      </c>
      <c r="V470" s="25"/>
      <c r="W470" s="33" t="s">
        <v>22</v>
      </c>
      <c r="X470" s="33" t="s">
        <v>3247</v>
      </c>
      <c r="Y470" s="33" t="s">
        <v>38</v>
      </c>
      <c r="Z470" s="33"/>
      <c r="AA470" s="33"/>
    </row>
    <row r="471" spans="1:27" s="70" customFormat="1" ht="45" x14ac:dyDescent="0.2">
      <c r="A471" s="24">
        <v>467</v>
      </c>
      <c r="B471" s="24" t="s">
        <v>3052</v>
      </c>
      <c r="C471" s="25" t="s">
        <v>3051</v>
      </c>
      <c r="D471" s="26" t="s">
        <v>3238</v>
      </c>
      <c r="E471" s="25" t="s">
        <v>3237</v>
      </c>
      <c r="F471" s="25" t="s">
        <v>3236</v>
      </c>
      <c r="G471" s="24"/>
      <c r="H471" s="25" t="s">
        <v>3240</v>
      </c>
      <c r="I471" s="27"/>
      <c r="J471" s="28" t="s">
        <v>3260</v>
      </c>
      <c r="K471" s="27"/>
      <c r="L471" s="25" t="s">
        <v>3275</v>
      </c>
      <c r="M471" s="25" t="s">
        <v>190</v>
      </c>
      <c r="N471" s="25">
        <v>300</v>
      </c>
      <c r="O471" s="25">
        <v>0.15</v>
      </c>
      <c r="P471" s="25"/>
      <c r="Q471" s="25"/>
      <c r="R471" s="25"/>
      <c r="S471" s="25"/>
      <c r="T471" s="25"/>
      <c r="U471" s="31">
        <f t="shared" si="8"/>
        <v>0.15</v>
      </c>
      <c r="V471" s="25"/>
      <c r="W471" s="33" t="s">
        <v>1918</v>
      </c>
      <c r="X471" s="33" t="s">
        <v>3247</v>
      </c>
      <c r="Y471" s="33" t="s">
        <v>38</v>
      </c>
      <c r="Z471" s="33"/>
      <c r="AA471" s="33"/>
    </row>
    <row r="472" spans="1:27" s="70" customFormat="1" ht="45" x14ac:dyDescent="0.2">
      <c r="A472" s="24">
        <v>468</v>
      </c>
      <c r="B472" s="24" t="s">
        <v>3052</v>
      </c>
      <c r="C472" s="25" t="s">
        <v>3051</v>
      </c>
      <c r="D472" s="26" t="s">
        <v>3238</v>
      </c>
      <c r="E472" s="25" t="s">
        <v>3237</v>
      </c>
      <c r="F472" s="25" t="s">
        <v>3236</v>
      </c>
      <c r="G472" s="24"/>
      <c r="H472" s="25" t="s">
        <v>3240</v>
      </c>
      <c r="I472" s="27"/>
      <c r="J472" s="28" t="s">
        <v>3260</v>
      </c>
      <c r="K472" s="27"/>
      <c r="L472" s="25" t="s">
        <v>3274</v>
      </c>
      <c r="M472" s="25" t="s">
        <v>190</v>
      </c>
      <c r="N472" s="25">
        <v>12</v>
      </c>
      <c r="O472" s="25">
        <v>0.2</v>
      </c>
      <c r="P472" s="25">
        <v>0.1</v>
      </c>
      <c r="Q472" s="25"/>
      <c r="R472" s="25"/>
      <c r="S472" s="25">
        <v>0.1</v>
      </c>
      <c r="T472" s="25"/>
      <c r="U472" s="31">
        <f t="shared" si="8"/>
        <v>0.4</v>
      </c>
      <c r="V472" s="25"/>
      <c r="W472" s="33" t="s">
        <v>1793</v>
      </c>
      <c r="X472" s="33" t="s">
        <v>3251</v>
      </c>
      <c r="Y472" s="33" t="s">
        <v>38</v>
      </c>
      <c r="Z472" s="33"/>
      <c r="AA472" s="33"/>
    </row>
    <row r="473" spans="1:27" s="70" customFormat="1" ht="45" x14ac:dyDescent="0.2">
      <c r="A473" s="24">
        <v>469</v>
      </c>
      <c r="B473" s="24" t="s">
        <v>3052</v>
      </c>
      <c r="C473" s="25" t="s">
        <v>3051</v>
      </c>
      <c r="D473" s="26" t="s">
        <v>3238</v>
      </c>
      <c r="E473" s="25" t="s">
        <v>3237</v>
      </c>
      <c r="F473" s="25" t="s">
        <v>3236</v>
      </c>
      <c r="G473" s="24"/>
      <c r="H473" s="25" t="s">
        <v>3240</v>
      </c>
      <c r="I473" s="27"/>
      <c r="J473" s="28" t="s">
        <v>3260</v>
      </c>
      <c r="K473" s="27"/>
      <c r="L473" s="25" t="s">
        <v>3273</v>
      </c>
      <c r="M473" s="25" t="s">
        <v>190</v>
      </c>
      <c r="N473" s="25">
        <v>12</v>
      </c>
      <c r="O473" s="25">
        <v>0.15</v>
      </c>
      <c r="P473" s="25">
        <v>0.1</v>
      </c>
      <c r="Q473" s="25"/>
      <c r="R473" s="25"/>
      <c r="S473" s="25">
        <v>0.1</v>
      </c>
      <c r="T473" s="25"/>
      <c r="U473" s="31">
        <f t="shared" si="8"/>
        <v>0.35</v>
      </c>
      <c r="V473" s="25"/>
      <c r="W473" s="33" t="s">
        <v>3272</v>
      </c>
      <c r="X473" s="33" t="s">
        <v>3251</v>
      </c>
      <c r="Y473" s="33" t="s">
        <v>38</v>
      </c>
      <c r="Z473" s="33"/>
      <c r="AA473" s="33"/>
    </row>
    <row r="474" spans="1:27" s="70" customFormat="1" ht="45" x14ac:dyDescent="0.2">
      <c r="A474" s="24">
        <v>470</v>
      </c>
      <c r="B474" s="24" t="s">
        <v>3052</v>
      </c>
      <c r="C474" s="25" t="s">
        <v>3051</v>
      </c>
      <c r="D474" s="26" t="s">
        <v>3238</v>
      </c>
      <c r="E474" s="25" t="s">
        <v>3237</v>
      </c>
      <c r="F474" s="25" t="s">
        <v>3236</v>
      </c>
      <c r="G474" s="24"/>
      <c r="H474" s="25" t="s">
        <v>3240</v>
      </c>
      <c r="I474" s="27"/>
      <c r="J474" s="28" t="s">
        <v>3260</v>
      </c>
      <c r="K474" s="27"/>
      <c r="L474" s="25" t="s">
        <v>3271</v>
      </c>
      <c r="M474" s="25" t="s">
        <v>190</v>
      </c>
      <c r="N474" s="25">
        <v>12</v>
      </c>
      <c r="O474" s="25">
        <v>1</v>
      </c>
      <c r="P474" s="25">
        <v>0.2</v>
      </c>
      <c r="Q474" s="25"/>
      <c r="R474" s="25"/>
      <c r="S474" s="25">
        <v>0.2</v>
      </c>
      <c r="T474" s="25"/>
      <c r="U474" s="31">
        <f t="shared" si="8"/>
        <v>1.4</v>
      </c>
      <c r="V474" s="25"/>
      <c r="W474" s="33" t="s">
        <v>193</v>
      </c>
      <c r="X474" s="33" t="s">
        <v>3247</v>
      </c>
      <c r="Y474" s="33" t="s">
        <v>38</v>
      </c>
      <c r="Z474" s="33"/>
      <c r="AA474" s="33"/>
    </row>
    <row r="475" spans="1:27" s="70" customFormat="1" ht="45" x14ac:dyDescent="0.2">
      <c r="A475" s="24">
        <v>471</v>
      </c>
      <c r="B475" s="24" t="s">
        <v>3052</v>
      </c>
      <c r="C475" s="25" t="s">
        <v>3051</v>
      </c>
      <c r="D475" s="26" t="s">
        <v>3238</v>
      </c>
      <c r="E475" s="25" t="s">
        <v>3237</v>
      </c>
      <c r="F475" s="25" t="s">
        <v>3236</v>
      </c>
      <c r="G475" s="24"/>
      <c r="H475" s="25" t="s">
        <v>3240</v>
      </c>
      <c r="I475" s="27"/>
      <c r="J475" s="28" t="s">
        <v>3260</v>
      </c>
      <c r="K475" s="27"/>
      <c r="L475" s="25" t="s">
        <v>3270</v>
      </c>
      <c r="M475" s="25" t="s">
        <v>190</v>
      </c>
      <c r="N475" s="25">
        <v>12</v>
      </c>
      <c r="O475" s="25"/>
      <c r="P475" s="25">
        <v>0.3</v>
      </c>
      <c r="Q475" s="25"/>
      <c r="R475" s="25"/>
      <c r="S475" s="25">
        <v>0.1</v>
      </c>
      <c r="T475" s="25"/>
      <c r="U475" s="31">
        <f t="shared" si="8"/>
        <v>0.4</v>
      </c>
      <c r="V475" s="25"/>
      <c r="W475" s="33" t="s">
        <v>1908</v>
      </c>
      <c r="X475" s="33" t="s">
        <v>3245</v>
      </c>
      <c r="Y475" s="33" t="s">
        <v>38</v>
      </c>
      <c r="Z475" s="33"/>
      <c r="AA475" s="33"/>
    </row>
    <row r="476" spans="1:27" s="70" customFormat="1" ht="45" x14ac:dyDescent="0.2">
      <c r="A476" s="24">
        <v>472</v>
      </c>
      <c r="B476" s="24" t="s">
        <v>3052</v>
      </c>
      <c r="C476" s="25" t="s">
        <v>3051</v>
      </c>
      <c r="D476" s="26" t="s">
        <v>3238</v>
      </c>
      <c r="E476" s="25" t="s">
        <v>3237</v>
      </c>
      <c r="F476" s="25" t="s">
        <v>3236</v>
      </c>
      <c r="G476" s="24"/>
      <c r="H476" s="25" t="s">
        <v>3240</v>
      </c>
      <c r="I476" s="27"/>
      <c r="J476" s="28" t="s">
        <v>3260</v>
      </c>
      <c r="K476" s="27"/>
      <c r="L476" s="25" t="s">
        <v>3269</v>
      </c>
      <c r="M476" s="25" t="s">
        <v>190</v>
      </c>
      <c r="N476" s="25">
        <v>12</v>
      </c>
      <c r="O476" s="25"/>
      <c r="P476" s="25">
        <v>1</v>
      </c>
      <c r="Q476" s="25"/>
      <c r="R476" s="25"/>
      <c r="S476" s="25">
        <v>0.1</v>
      </c>
      <c r="T476" s="25"/>
      <c r="U476" s="31">
        <f t="shared" si="8"/>
        <v>1.1000000000000001</v>
      </c>
      <c r="V476" s="25"/>
      <c r="W476" s="33" t="s">
        <v>3268</v>
      </c>
      <c r="X476" s="33" t="s">
        <v>3247</v>
      </c>
      <c r="Y476" s="33" t="s">
        <v>38</v>
      </c>
      <c r="Z476" s="33"/>
      <c r="AA476" s="33"/>
    </row>
    <row r="477" spans="1:27" s="70" customFormat="1" ht="45" x14ac:dyDescent="0.2">
      <c r="A477" s="24">
        <v>473</v>
      </c>
      <c r="B477" s="24" t="s">
        <v>3052</v>
      </c>
      <c r="C477" s="25" t="s">
        <v>3051</v>
      </c>
      <c r="D477" s="26" t="s">
        <v>3238</v>
      </c>
      <c r="E477" s="25" t="s">
        <v>3237</v>
      </c>
      <c r="F477" s="25" t="s">
        <v>3236</v>
      </c>
      <c r="G477" s="24"/>
      <c r="H477" s="25" t="s">
        <v>3240</v>
      </c>
      <c r="I477" s="27"/>
      <c r="J477" s="28" t="s">
        <v>3260</v>
      </c>
      <c r="K477" s="27"/>
      <c r="L477" s="25" t="s">
        <v>3267</v>
      </c>
      <c r="M477" s="25" t="s">
        <v>190</v>
      </c>
      <c r="N477" s="25">
        <v>12</v>
      </c>
      <c r="O477" s="25">
        <v>0.5</v>
      </c>
      <c r="P477" s="25">
        <v>0.1</v>
      </c>
      <c r="Q477" s="25"/>
      <c r="R477" s="25"/>
      <c r="S477" s="25">
        <v>0.1</v>
      </c>
      <c r="T477" s="25"/>
      <c r="U477" s="31">
        <f t="shared" si="8"/>
        <v>0.7</v>
      </c>
      <c r="V477" s="25"/>
      <c r="W477" s="33" t="s">
        <v>2138</v>
      </c>
      <c r="X477" s="33" t="s">
        <v>3247</v>
      </c>
      <c r="Y477" s="33" t="s">
        <v>38</v>
      </c>
      <c r="Z477" s="33"/>
      <c r="AA477" s="33"/>
    </row>
    <row r="478" spans="1:27" s="70" customFormat="1" ht="45" x14ac:dyDescent="0.2">
      <c r="A478" s="24">
        <v>474</v>
      </c>
      <c r="B478" s="24" t="s">
        <v>3052</v>
      </c>
      <c r="C478" s="25" t="s">
        <v>3051</v>
      </c>
      <c r="D478" s="26" t="s">
        <v>3238</v>
      </c>
      <c r="E478" s="25" t="s">
        <v>3237</v>
      </c>
      <c r="F478" s="25" t="s">
        <v>3236</v>
      </c>
      <c r="G478" s="24"/>
      <c r="H478" s="25" t="s">
        <v>3240</v>
      </c>
      <c r="I478" s="27"/>
      <c r="J478" s="28" t="s">
        <v>3260</v>
      </c>
      <c r="K478" s="27"/>
      <c r="L478" s="25" t="s">
        <v>3266</v>
      </c>
      <c r="M478" s="25" t="s">
        <v>190</v>
      </c>
      <c r="N478" s="25">
        <v>12</v>
      </c>
      <c r="O478" s="25">
        <v>0.5</v>
      </c>
      <c r="P478" s="25">
        <v>0.1</v>
      </c>
      <c r="Q478" s="25"/>
      <c r="R478" s="25"/>
      <c r="S478" s="25">
        <v>0.1</v>
      </c>
      <c r="T478" s="25"/>
      <c r="U478" s="31">
        <f t="shared" si="8"/>
        <v>0.7</v>
      </c>
      <c r="V478" s="25"/>
      <c r="W478" s="33" t="s">
        <v>1793</v>
      </c>
      <c r="X478" s="33" t="s">
        <v>3251</v>
      </c>
      <c r="Y478" s="33" t="s">
        <v>38</v>
      </c>
      <c r="Z478" s="33"/>
      <c r="AA478" s="33"/>
    </row>
    <row r="479" spans="1:27" s="70" customFormat="1" ht="45" x14ac:dyDescent="0.2">
      <c r="A479" s="24">
        <v>475</v>
      </c>
      <c r="B479" s="24" t="s">
        <v>3052</v>
      </c>
      <c r="C479" s="25" t="s">
        <v>3051</v>
      </c>
      <c r="D479" s="26" t="s">
        <v>3238</v>
      </c>
      <c r="E479" s="25" t="s">
        <v>3237</v>
      </c>
      <c r="F479" s="25" t="s">
        <v>3236</v>
      </c>
      <c r="G479" s="24"/>
      <c r="H479" s="25" t="s">
        <v>3240</v>
      </c>
      <c r="I479" s="27"/>
      <c r="J479" s="28" t="s">
        <v>3260</v>
      </c>
      <c r="K479" s="27"/>
      <c r="L479" s="25" t="s">
        <v>3265</v>
      </c>
      <c r="M479" s="25" t="s">
        <v>190</v>
      </c>
      <c r="N479" s="25">
        <v>12</v>
      </c>
      <c r="O479" s="25">
        <v>0.3</v>
      </c>
      <c r="P479" s="25">
        <v>0.1</v>
      </c>
      <c r="Q479" s="25"/>
      <c r="R479" s="25"/>
      <c r="S479" s="25">
        <v>0.1</v>
      </c>
      <c r="T479" s="25"/>
      <c r="U479" s="31">
        <f t="shared" si="8"/>
        <v>0.5</v>
      </c>
      <c r="V479" s="25"/>
      <c r="W479" s="33" t="s">
        <v>1793</v>
      </c>
      <c r="X479" s="33" t="s">
        <v>3251</v>
      </c>
      <c r="Y479" s="33" t="s">
        <v>38</v>
      </c>
      <c r="Z479" s="33"/>
      <c r="AA479" s="33"/>
    </row>
    <row r="480" spans="1:27" s="70" customFormat="1" ht="45" x14ac:dyDescent="0.2">
      <c r="A480" s="24">
        <v>476</v>
      </c>
      <c r="B480" s="24" t="s">
        <v>3052</v>
      </c>
      <c r="C480" s="25" t="s">
        <v>3051</v>
      </c>
      <c r="D480" s="26" t="s">
        <v>3238</v>
      </c>
      <c r="E480" s="25" t="s">
        <v>3237</v>
      </c>
      <c r="F480" s="25" t="s">
        <v>3236</v>
      </c>
      <c r="G480" s="24"/>
      <c r="H480" s="25" t="s">
        <v>3240</v>
      </c>
      <c r="I480" s="27"/>
      <c r="J480" s="28" t="s">
        <v>3260</v>
      </c>
      <c r="K480" s="27"/>
      <c r="L480" s="25" t="s">
        <v>3264</v>
      </c>
      <c r="M480" s="25" t="s">
        <v>190</v>
      </c>
      <c r="N480" s="25">
        <v>12</v>
      </c>
      <c r="O480" s="25">
        <v>0.3</v>
      </c>
      <c r="P480" s="25">
        <v>0.1</v>
      </c>
      <c r="Q480" s="25"/>
      <c r="R480" s="25"/>
      <c r="S480" s="25">
        <v>0.1</v>
      </c>
      <c r="T480" s="25"/>
      <c r="U480" s="31">
        <f t="shared" si="8"/>
        <v>0.5</v>
      </c>
      <c r="V480" s="25"/>
      <c r="W480" s="33" t="s">
        <v>22</v>
      </c>
      <c r="X480" s="33" t="s">
        <v>2790</v>
      </c>
      <c r="Y480" s="33" t="s">
        <v>38</v>
      </c>
      <c r="Z480" s="33"/>
      <c r="AA480" s="33"/>
    </row>
    <row r="481" spans="1:27" s="70" customFormat="1" ht="45" x14ac:dyDescent="0.2">
      <c r="A481" s="24">
        <v>477</v>
      </c>
      <c r="B481" s="24" t="s">
        <v>3052</v>
      </c>
      <c r="C481" s="25" t="s">
        <v>3051</v>
      </c>
      <c r="D481" s="26" t="s">
        <v>3238</v>
      </c>
      <c r="E481" s="25" t="s">
        <v>3237</v>
      </c>
      <c r="F481" s="25" t="s">
        <v>3236</v>
      </c>
      <c r="G481" s="24"/>
      <c r="H481" s="25" t="s">
        <v>3240</v>
      </c>
      <c r="I481" s="27"/>
      <c r="J481" s="28" t="s">
        <v>3260</v>
      </c>
      <c r="K481" s="27"/>
      <c r="L481" s="25" t="s">
        <v>3263</v>
      </c>
      <c r="M481" s="25" t="s">
        <v>190</v>
      </c>
      <c r="N481" s="25">
        <v>12</v>
      </c>
      <c r="O481" s="25">
        <v>0.5</v>
      </c>
      <c r="P481" s="25">
        <v>0.1</v>
      </c>
      <c r="Q481" s="25"/>
      <c r="R481" s="25"/>
      <c r="S481" s="25">
        <v>0.1</v>
      </c>
      <c r="T481" s="25"/>
      <c r="U481" s="31">
        <f t="shared" si="8"/>
        <v>0.7</v>
      </c>
      <c r="V481" s="25"/>
      <c r="W481" s="33" t="s">
        <v>1908</v>
      </c>
      <c r="X481" s="33" t="s">
        <v>3247</v>
      </c>
      <c r="Y481" s="33" t="s">
        <v>38</v>
      </c>
      <c r="Z481" s="33"/>
      <c r="AA481" s="33"/>
    </row>
    <row r="482" spans="1:27" s="70" customFormat="1" ht="45" x14ac:dyDescent="0.2">
      <c r="A482" s="24">
        <v>478</v>
      </c>
      <c r="B482" s="24" t="s">
        <v>3052</v>
      </c>
      <c r="C482" s="25" t="s">
        <v>3051</v>
      </c>
      <c r="D482" s="26" t="s">
        <v>3238</v>
      </c>
      <c r="E482" s="25" t="s">
        <v>3237</v>
      </c>
      <c r="F482" s="25" t="s">
        <v>3236</v>
      </c>
      <c r="G482" s="24"/>
      <c r="H482" s="25" t="s">
        <v>3240</v>
      </c>
      <c r="I482" s="27"/>
      <c r="J482" s="28" t="s">
        <v>3260</v>
      </c>
      <c r="K482" s="27"/>
      <c r="L482" s="25" t="s">
        <v>3262</v>
      </c>
      <c r="M482" s="25" t="s">
        <v>190</v>
      </c>
      <c r="N482" s="25">
        <v>12</v>
      </c>
      <c r="O482" s="25">
        <v>0.8</v>
      </c>
      <c r="P482" s="25">
        <v>0.1</v>
      </c>
      <c r="Q482" s="25"/>
      <c r="R482" s="25"/>
      <c r="S482" s="25">
        <v>0.1</v>
      </c>
      <c r="T482" s="25"/>
      <c r="U482" s="31">
        <f t="shared" si="8"/>
        <v>1</v>
      </c>
      <c r="V482" s="25"/>
      <c r="W482" s="33" t="s">
        <v>22</v>
      </c>
      <c r="X482" s="33" t="s">
        <v>3251</v>
      </c>
      <c r="Y482" s="33" t="s">
        <v>38</v>
      </c>
      <c r="Z482" s="33"/>
      <c r="AA482" s="33"/>
    </row>
    <row r="483" spans="1:27" s="70" customFormat="1" ht="45" x14ac:dyDescent="0.2">
      <c r="A483" s="24">
        <v>479</v>
      </c>
      <c r="B483" s="24" t="s">
        <v>3052</v>
      </c>
      <c r="C483" s="25" t="s">
        <v>3051</v>
      </c>
      <c r="D483" s="26" t="s">
        <v>3238</v>
      </c>
      <c r="E483" s="25" t="s">
        <v>3237</v>
      </c>
      <c r="F483" s="25" t="s">
        <v>3236</v>
      </c>
      <c r="G483" s="24"/>
      <c r="H483" s="25" t="s">
        <v>3240</v>
      </c>
      <c r="I483" s="27"/>
      <c r="J483" s="28" t="s">
        <v>3260</v>
      </c>
      <c r="K483" s="27"/>
      <c r="L483" s="25" t="s">
        <v>3261</v>
      </c>
      <c r="M483" s="25" t="s">
        <v>190</v>
      </c>
      <c r="N483" s="25">
        <v>4</v>
      </c>
      <c r="O483" s="25">
        <v>0.4</v>
      </c>
      <c r="P483" s="25">
        <v>0.1</v>
      </c>
      <c r="Q483" s="25"/>
      <c r="R483" s="25"/>
      <c r="S483" s="25">
        <v>0.1</v>
      </c>
      <c r="T483" s="25"/>
      <c r="U483" s="31">
        <f t="shared" si="8"/>
        <v>0.6</v>
      </c>
      <c r="V483" s="25"/>
      <c r="W483" s="33" t="s">
        <v>1793</v>
      </c>
      <c r="X483" s="33" t="s">
        <v>3251</v>
      </c>
      <c r="Y483" s="33" t="s">
        <v>38</v>
      </c>
      <c r="Z483" s="33"/>
      <c r="AA483" s="33"/>
    </row>
    <row r="484" spans="1:27" s="70" customFormat="1" ht="45" x14ac:dyDescent="0.2">
      <c r="A484" s="24">
        <v>480</v>
      </c>
      <c r="B484" s="24" t="s">
        <v>3052</v>
      </c>
      <c r="C484" s="25" t="s">
        <v>3051</v>
      </c>
      <c r="D484" s="26" t="s">
        <v>3238</v>
      </c>
      <c r="E484" s="25" t="s">
        <v>3237</v>
      </c>
      <c r="F484" s="25" t="s">
        <v>3236</v>
      </c>
      <c r="G484" s="24"/>
      <c r="H484" s="25" t="s">
        <v>3240</v>
      </c>
      <c r="I484" s="27"/>
      <c r="J484" s="28" t="s">
        <v>3260</v>
      </c>
      <c r="K484" s="27"/>
      <c r="L484" s="25" t="s">
        <v>3259</v>
      </c>
      <c r="M484" s="25" t="s">
        <v>190</v>
      </c>
      <c r="N484" s="25">
        <v>4</v>
      </c>
      <c r="O484" s="25">
        <v>0.4</v>
      </c>
      <c r="P484" s="25">
        <v>0.1</v>
      </c>
      <c r="Q484" s="25"/>
      <c r="R484" s="25"/>
      <c r="S484" s="25">
        <v>0.1</v>
      </c>
      <c r="T484" s="25"/>
      <c r="U484" s="31">
        <f t="shared" si="8"/>
        <v>0.6</v>
      </c>
      <c r="V484" s="25"/>
      <c r="W484" s="33" t="s">
        <v>1908</v>
      </c>
      <c r="X484" s="33" t="s">
        <v>3247</v>
      </c>
      <c r="Y484" s="33" t="s">
        <v>38</v>
      </c>
      <c r="Z484" s="33"/>
      <c r="AA484" s="33"/>
    </row>
    <row r="485" spans="1:27" s="70" customFormat="1" ht="67.5" x14ac:dyDescent="0.2">
      <c r="A485" s="24">
        <v>481</v>
      </c>
      <c r="B485" s="24" t="s">
        <v>3052</v>
      </c>
      <c r="C485" s="25" t="s">
        <v>3051</v>
      </c>
      <c r="D485" s="26" t="s">
        <v>3238</v>
      </c>
      <c r="E485" s="25" t="s">
        <v>3237</v>
      </c>
      <c r="F485" s="25" t="s">
        <v>3236</v>
      </c>
      <c r="G485" s="24"/>
      <c r="H485" s="25" t="s">
        <v>3240</v>
      </c>
      <c r="I485" s="27"/>
      <c r="J485" s="28" t="s">
        <v>3243</v>
      </c>
      <c r="K485" s="27"/>
      <c r="L485" s="25" t="s">
        <v>3258</v>
      </c>
      <c r="M485" s="25" t="s">
        <v>190</v>
      </c>
      <c r="N485" s="25">
        <v>6</v>
      </c>
      <c r="O485" s="25"/>
      <c r="P485" s="25">
        <v>18</v>
      </c>
      <c r="Q485" s="25"/>
      <c r="R485" s="25"/>
      <c r="S485" s="25">
        <v>0.5</v>
      </c>
      <c r="T485" s="25"/>
      <c r="U485" s="31">
        <f t="shared" si="8"/>
        <v>18.5</v>
      </c>
      <c r="V485" s="25"/>
      <c r="W485" s="33" t="s">
        <v>22</v>
      </c>
      <c r="X485" s="33" t="s">
        <v>3247</v>
      </c>
      <c r="Y485" s="33" t="s">
        <v>38</v>
      </c>
      <c r="Z485" s="33" t="s">
        <v>189</v>
      </c>
      <c r="AA485" s="33"/>
    </row>
    <row r="486" spans="1:27" s="70" customFormat="1" ht="67.5" x14ac:dyDescent="0.2">
      <c r="A486" s="24">
        <v>482</v>
      </c>
      <c r="B486" s="24" t="s">
        <v>3052</v>
      </c>
      <c r="C486" s="25" t="s">
        <v>3051</v>
      </c>
      <c r="D486" s="26" t="s">
        <v>3238</v>
      </c>
      <c r="E486" s="25" t="s">
        <v>3237</v>
      </c>
      <c r="F486" s="25" t="s">
        <v>3236</v>
      </c>
      <c r="G486" s="24"/>
      <c r="H486" s="25" t="s">
        <v>3240</v>
      </c>
      <c r="I486" s="27"/>
      <c r="J486" s="28" t="s">
        <v>3243</v>
      </c>
      <c r="K486" s="27"/>
      <c r="L486" s="25" t="s">
        <v>3257</v>
      </c>
      <c r="M486" s="25" t="s">
        <v>1341</v>
      </c>
      <c r="N486" s="25">
        <v>16</v>
      </c>
      <c r="O486" s="25"/>
      <c r="P486" s="25">
        <v>4</v>
      </c>
      <c r="Q486" s="25"/>
      <c r="R486" s="25"/>
      <c r="S486" s="25">
        <v>0.2</v>
      </c>
      <c r="T486" s="25"/>
      <c r="U486" s="31">
        <f t="shared" si="8"/>
        <v>4.2</v>
      </c>
      <c r="V486" s="25"/>
      <c r="W486" s="33" t="s">
        <v>22</v>
      </c>
      <c r="X486" s="33" t="s">
        <v>3247</v>
      </c>
      <c r="Y486" s="33" t="s">
        <v>38</v>
      </c>
      <c r="Z486" s="33" t="s">
        <v>189</v>
      </c>
      <c r="AA486" s="33"/>
    </row>
    <row r="487" spans="1:27" s="70" customFormat="1" ht="67.5" x14ac:dyDescent="0.2">
      <c r="A487" s="24">
        <v>483</v>
      </c>
      <c r="B487" s="24" t="s">
        <v>3052</v>
      </c>
      <c r="C487" s="25" t="s">
        <v>3051</v>
      </c>
      <c r="D487" s="26" t="s">
        <v>3238</v>
      </c>
      <c r="E487" s="25" t="s">
        <v>3237</v>
      </c>
      <c r="F487" s="25" t="s">
        <v>3236</v>
      </c>
      <c r="G487" s="24"/>
      <c r="H487" s="25" t="s">
        <v>3240</v>
      </c>
      <c r="I487" s="27"/>
      <c r="J487" s="28" t="s">
        <v>3243</v>
      </c>
      <c r="K487" s="27"/>
      <c r="L487" s="25" t="s">
        <v>3256</v>
      </c>
      <c r="M487" s="25" t="s">
        <v>3128</v>
      </c>
      <c r="N487" s="25">
        <v>10</v>
      </c>
      <c r="O487" s="25"/>
      <c r="P487" s="25">
        <v>4</v>
      </c>
      <c r="Q487" s="25"/>
      <c r="R487" s="25"/>
      <c r="S487" s="25">
        <v>0.2</v>
      </c>
      <c r="T487" s="25"/>
      <c r="U487" s="31">
        <f t="shared" si="8"/>
        <v>4.2</v>
      </c>
      <c r="V487" s="25"/>
      <c r="W487" s="33" t="s">
        <v>22</v>
      </c>
      <c r="X487" s="33" t="s">
        <v>3247</v>
      </c>
      <c r="Y487" s="33" t="s">
        <v>38</v>
      </c>
      <c r="Z487" s="33" t="s">
        <v>189</v>
      </c>
      <c r="AA487" s="33"/>
    </row>
    <row r="488" spans="1:27" s="70" customFormat="1" ht="67.5" x14ac:dyDescent="0.2">
      <c r="A488" s="24">
        <v>484</v>
      </c>
      <c r="B488" s="24" t="s">
        <v>3052</v>
      </c>
      <c r="C488" s="25" t="s">
        <v>3051</v>
      </c>
      <c r="D488" s="26" t="s">
        <v>3238</v>
      </c>
      <c r="E488" s="25" t="s">
        <v>3237</v>
      </c>
      <c r="F488" s="25" t="s">
        <v>3236</v>
      </c>
      <c r="G488" s="24"/>
      <c r="H488" s="25" t="s">
        <v>3240</v>
      </c>
      <c r="I488" s="27"/>
      <c r="J488" s="28" t="s">
        <v>3243</v>
      </c>
      <c r="K488" s="27"/>
      <c r="L488" s="25" t="s">
        <v>3255</v>
      </c>
      <c r="M488" s="25" t="s">
        <v>190</v>
      </c>
      <c r="N488" s="25">
        <v>2</v>
      </c>
      <c r="O488" s="25"/>
      <c r="P488" s="25">
        <v>20</v>
      </c>
      <c r="Q488" s="25"/>
      <c r="R488" s="25"/>
      <c r="S488" s="25">
        <v>0.5</v>
      </c>
      <c r="T488" s="25"/>
      <c r="U488" s="31">
        <f t="shared" si="8"/>
        <v>20.5</v>
      </c>
      <c r="V488" s="25"/>
      <c r="W488" s="33" t="s">
        <v>22</v>
      </c>
      <c r="X488" s="33" t="s">
        <v>3247</v>
      </c>
      <c r="Y488" s="33" t="s">
        <v>38</v>
      </c>
      <c r="Z488" s="33" t="s">
        <v>189</v>
      </c>
      <c r="AA488" s="33"/>
    </row>
    <row r="489" spans="1:27" s="70" customFormat="1" ht="67.5" x14ac:dyDescent="0.2">
      <c r="A489" s="24">
        <v>485</v>
      </c>
      <c r="B489" s="24" t="s">
        <v>3052</v>
      </c>
      <c r="C489" s="25" t="s">
        <v>3051</v>
      </c>
      <c r="D489" s="26" t="s">
        <v>3238</v>
      </c>
      <c r="E489" s="25" t="s">
        <v>3237</v>
      </c>
      <c r="F489" s="25" t="s">
        <v>3236</v>
      </c>
      <c r="G489" s="24"/>
      <c r="H489" s="25" t="s">
        <v>3240</v>
      </c>
      <c r="I489" s="27"/>
      <c r="J489" s="28" t="s">
        <v>3243</v>
      </c>
      <c r="K489" s="27"/>
      <c r="L489" s="25" t="s">
        <v>3254</v>
      </c>
      <c r="M489" s="25" t="s">
        <v>3128</v>
      </c>
      <c r="N489" s="25">
        <v>5</v>
      </c>
      <c r="O489" s="25"/>
      <c r="P489" s="25">
        <v>8</v>
      </c>
      <c r="Q489" s="25"/>
      <c r="R489" s="25"/>
      <c r="S489" s="25">
        <v>0.4</v>
      </c>
      <c r="T489" s="25"/>
      <c r="U489" s="31">
        <f t="shared" si="8"/>
        <v>8.4</v>
      </c>
      <c r="V489" s="25"/>
      <c r="W489" s="33" t="s">
        <v>22</v>
      </c>
      <c r="X489" s="33" t="s">
        <v>3247</v>
      </c>
      <c r="Y489" s="33" t="s">
        <v>38</v>
      </c>
      <c r="Z489" s="33" t="s">
        <v>189</v>
      </c>
      <c r="AA489" s="33"/>
    </row>
    <row r="490" spans="1:27" s="70" customFormat="1" ht="67.5" x14ac:dyDescent="0.2">
      <c r="A490" s="24">
        <v>486</v>
      </c>
      <c r="B490" s="24" t="s">
        <v>3052</v>
      </c>
      <c r="C490" s="25" t="s">
        <v>3051</v>
      </c>
      <c r="D490" s="26" t="s">
        <v>3238</v>
      </c>
      <c r="E490" s="25" t="s">
        <v>3237</v>
      </c>
      <c r="F490" s="25" t="s">
        <v>3236</v>
      </c>
      <c r="G490" s="24"/>
      <c r="H490" s="25" t="s">
        <v>3240</v>
      </c>
      <c r="I490" s="27"/>
      <c r="J490" s="28" t="s">
        <v>3243</v>
      </c>
      <c r="K490" s="27"/>
      <c r="L490" s="25" t="s">
        <v>3253</v>
      </c>
      <c r="M490" s="25" t="s">
        <v>3128</v>
      </c>
      <c r="N490" s="25">
        <v>16</v>
      </c>
      <c r="O490" s="25"/>
      <c r="P490" s="25">
        <v>2</v>
      </c>
      <c r="Q490" s="25"/>
      <c r="R490" s="25"/>
      <c r="S490" s="25"/>
      <c r="T490" s="25"/>
      <c r="U490" s="31">
        <f t="shared" si="8"/>
        <v>2</v>
      </c>
      <c r="V490" s="25"/>
      <c r="W490" s="33" t="s">
        <v>22</v>
      </c>
      <c r="X490" s="33" t="s">
        <v>3251</v>
      </c>
      <c r="Y490" s="33" t="s">
        <v>38</v>
      </c>
      <c r="Z490" s="33" t="s">
        <v>189</v>
      </c>
      <c r="AA490" s="33"/>
    </row>
    <row r="491" spans="1:27" s="70" customFormat="1" ht="67.5" x14ac:dyDescent="0.2">
      <c r="A491" s="24">
        <v>487</v>
      </c>
      <c r="B491" s="24" t="s">
        <v>3052</v>
      </c>
      <c r="C491" s="25" t="s">
        <v>3051</v>
      </c>
      <c r="D491" s="26" t="s">
        <v>3238</v>
      </c>
      <c r="E491" s="25" t="s">
        <v>3237</v>
      </c>
      <c r="F491" s="25" t="s">
        <v>3236</v>
      </c>
      <c r="G491" s="24"/>
      <c r="H491" s="25" t="s">
        <v>3240</v>
      </c>
      <c r="I491" s="27"/>
      <c r="J491" s="28" t="s">
        <v>3243</v>
      </c>
      <c r="K491" s="27"/>
      <c r="L491" s="25" t="s">
        <v>3252</v>
      </c>
      <c r="M491" s="25" t="s">
        <v>3128</v>
      </c>
      <c r="N491" s="25">
        <v>2</v>
      </c>
      <c r="O491" s="25"/>
      <c r="P491" s="25">
        <v>20</v>
      </c>
      <c r="Q491" s="25"/>
      <c r="R491" s="25"/>
      <c r="S491" s="25">
        <v>0.5</v>
      </c>
      <c r="T491" s="25"/>
      <c r="U491" s="31">
        <f t="shared" si="8"/>
        <v>20.5</v>
      </c>
      <c r="V491" s="25"/>
      <c r="W491" s="33" t="s">
        <v>22</v>
      </c>
      <c r="X491" s="33" t="s">
        <v>3251</v>
      </c>
      <c r="Y491" s="33" t="s">
        <v>38</v>
      </c>
      <c r="Z491" s="33" t="s">
        <v>189</v>
      </c>
      <c r="AA491" s="33"/>
    </row>
    <row r="492" spans="1:27" s="70" customFormat="1" ht="67.5" x14ac:dyDescent="0.2">
      <c r="A492" s="24">
        <v>488</v>
      </c>
      <c r="B492" s="24" t="s">
        <v>3052</v>
      </c>
      <c r="C492" s="25" t="s">
        <v>3051</v>
      </c>
      <c r="D492" s="26" t="s">
        <v>3238</v>
      </c>
      <c r="E492" s="25" t="s">
        <v>3237</v>
      </c>
      <c r="F492" s="25" t="s">
        <v>3236</v>
      </c>
      <c r="G492" s="24"/>
      <c r="H492" s="25" t="s">
        <v>3240</v>
      </c>
      <c r="I492" s="27"/>
      <c r="J492" s="28" t="s">
        <v>3243</v>
      </c>
      <c r="K492" s="27"/>
      <c r="L492" s="25" t="s">
        <v>3250</v>
      </c>
      <c r="M492" s="25" t="s">
        <v>3128</v>
      </c>
      <c r="N492" s="25">
        <v>10</v>
      </c>
      <c r="O492" s="25"/>
      <c r="P492" s="25">
        <v>4</v>
      </c>
      <c r="Q492" s="25"/>
      <c r="R492" s="25"/>
      <c r="S492" s="25">
        <v>0.2</v>
      </c>
      <c r="T492" s="25"/>
      <c r="U492" s="31">
        <f t="shared" si="8"/>
        <v>4.2</v>
      </c>
      <c r="V492" s="25"/>
      <c r="W492" s="33" t="s">
        <v>22</v>
      </c>
      <c r="X492" s="33" t="s">
        <v>3245</v>
      </c>
      <c r="Y492" s="33" t="s">
        <v>38</v>
      </c>
      <c r="Z492" s="33" t="s">
        <v>189</v>
      </c>
      <c r="AA492" s="33"/>
    </row>
    <row r="493" spans="1:27" s="70" customFormat="1" ht="67.5" x14ac:dyDescent="0.2">
      <c r="A493" s="24">
        <v>489</v>
      </c>
      <c r="B493" s="24" t="s">
        <v>3052</v>
      </c>
      <c r="C493" s="25" t="s">
        <v>3051</v>
      </c>
      <c r="D493" s="26" t="s">
        <v>3238</v>
      </c>
      <c r="E493" s="25" t="s">
        <v>3237</v>
      </c>
      <c r="F493" s="25" t="s">
        <v>3236</v>
      </c>
      <c r="G493" s="24"/>
      <c r="H493" s="25" t="s">
        <v>3240</v>
      </c>
      <c r="I493" s="27"/>
      <c r="J493" s="28" t="s">
        <v>3243</v>
      </c>
      <c r="K493" s="27"/>
      <c r="L493" s="25" t="s">
        <v>3249</v>
      </c>
      <c r="M493" s="25" t="s">
        <v>3128</v>
      </c>
      <c r="N493" s="25">
        <v>5</v>
      </c>
      <c r="O493" s="25"/>
      <c r="P493" s="25">
        <v>6</v>
      </c>
      <c r="Q493" s="25"/>
      <c r="R493" s="25"/>
      <c r="S493" s="25"/>
      <c r="T493" s="25"/>
      <c r="U493" s="31">
        <f t="shared" si="8"/>
        <v>6</v>
      </c>
      <c r="V493" s="25"/>
      <c r="W493" s="33" t="s">
        <v>22</v>
      </c>
      <c r="X493" s="33" t="s">
        <v>2790</v>
      </c>
      <c r="Y493" s="33" t="s">
        <v>38</v>
      </c>
      <c r="Z493" s="33" t="s">
        <v>189</v>
      </c>
      <c r="AA493" s="33"/>
    </row>
    <row r="494" spans="1:27" s="70" customFormat="1" ht="67.5" x14ac:dyDescent="0.2">
      <c r="A494" s="24">
        <v>490</v>
      </c>
      <c r="B494" s="24" t="s">
        <v>3052</v>
      </c>
      <c r="C494" s="25" t="s">
        <v>3051</v>
      </c>
      <c r="D494" s="26" t="s">
        <v>3238</v>
      </c>
      <c r="E494" s="25" t="s">
        <v>3237</v>
      </c>
      <c r="F494" s="25" t="s">
        <v>3236</v>
      </c>
      <c r="G494" s="24"/>
      <c r="H494" s="25" t="s">
        <v>3240</v>
      </c>
      <c r="I494" s="27"/>
      <c r="J494" s="28" t="s">
        <v>3243</v>
      </c>
      <c r="K494" s="27"/>
      <c r="L494" s="25" t="s">
        <v>3248</v>
      </c>
      <c r="M494" s="25" t="s">
        <v>3128</v>
      </c>
      <c r="N494" s="25">
        <v>12</v>
      </c>
      <c r="O494" s="25"/>
      <c r="P494" s="25">
        <v>4</v>
      </c>
      <c r="Q494" s="25"/>
      <c r="R494" s="25"/>
      <c r="S494" s="25">
        <v>0.2</v>
      </c>
      <c r="T494" s="25"/>
      <c r="U494" s="31">
        <f t="shared" si="8"/>
        <v>4.2</v>
      </c>
      <c r="V494" s="25"/>
      <c r="W494" s="33" t="s">
        <v>22</v>
      </c>
      <c r="X494" s="33" t="s">
        <v>3247</v>
      </c>
      <c r="Y494" s="33" t="s">
        <v>38</v>
      </c>
      <c r="Z494" s="33" t="s">
        <v>189</v>
      </c>
      <c r="AA494" s="33"/>
    </row>
    <row r="495" spans="1:27" s="70" customFormat="1" ht="67.5" x14ac:dyDescent="0.2">
      <c r="A495" s="24">
        <v>491</v>
      </c>
      <c r="B495" s="24" t="s">
        <v>3052</v>
      </c>
      <c r="C495" s="25" t="s">
        <v>3051</v>
      </c>
      <c r="D495" s="26" t="s">
        <v>3238</v>
      </c>
      <c r="E495" s="25" t="s">
        <v>3237</v>
      </c>
      <c r="F495" s="25" t="s">
        <v>3236</v>
      </c>
      <c r="G495" s="24"/>
      <c r="H495" s="25" t="s">
        <v>3240</v>
      </c>
      <c r="I495" s="27"/>
      <c r="J495" s="28" t="s">
        <v>3243</v>
      </c>
      <c r="K495" s="27"/>
      <c r="L495" s="25" t="s">
        <v>3246</v>
      </c>
      <c r="M495" s="25" t="s">
        <v>3128</v>
      </c>
      <c r="N495" s="25">
        <v>1</v>
      </c>
      <c r="O495" s="25"/>
      <c r="P495" s="25">
        <v>16</v>
      </c>
      <c r="Q495" s="25"/>
      <c r="R495" s="25"/>
      <c r="S495" s="25">
        <v>0.5</v>
      </c>
      <c r="T495" s="25"/>
      <c r="U495" s="31">
        <f t="shared" si="8"/>
        <v>16.5</v>
      </c>
      <c r="V495" s="25"/>
      <c r="W495" s="33" t="s">
        <v>22</v>
      </c>
      <c r="X495" s="33" t="s">
        <v>3245</v>
      </c>
      <c r="Y495" s="33" t="s">
        <v>38</v>
      </c>
      <c r="Z495" s="33" t="s">
        <v>189</v>
      </c>
      <c r="AA495" s="33"/>
    </row>
    <row r="496" spans="1:27" s="70" customFormat="1" ht="67.5" x14ac:dyDescent="0.2">
      <c r="A496" s="24">
        <v>492</v>
      </c>
      <c r="B496" s="24" t="s">
        <v>3052</v>
      </c>
      <c r="C496" s="25" t="s">
        <v>3051</v>
      </c>
      <c r="D496" s="26" t="s">
        <v>3238</v>
      </c>
      <c r="E496" s="25" t="s">
        <v>3237</v>
      </c>
      <c r="F496" s="25" t="s">
        <v>3236</v>
      </c>
      <c r="G496" s="24"/>
      <c r="H496" s="25" t="s">
        <v>3240</v>
      </c>
      <c r="I496" s="27"/>
      <c r="J496" s="28" t="s">
        <v>3243</v>
      </c>
      <c r="K496" s="27"/>
      <c r="L496" s="25" t="s">
        <v>3244</v>
      </c>
      <c r="M496" s="25" t="s">
        <v>3128</v>
      </c>
      <c r="N496" s="25">
        <v>5</v>
      </c>
      <c r="O496" s="25"/>
      <c r="P496" s="25">
        <v>4</v>
      </c>
      <c r="Q496" s="25"/>
      <c r="R496" s="25"/>
      <c r="S496" s="25">
        <v>0.2</v>
      </c>
      <c r="T496" s="25"/>
      <c r="U496" s="31">
        <f t="shared" si="8"/>
        <v>4.2</v>
      </c>
      <c r="V496" s="25"/>
      <c r="W496" s="33" t="s">
        <v>22</v>
      </c>
      <c r="X496" s="33" t="s">
        <v>3241</v>
      </c>
      <c r="Y496" s="33" t="s">
        <v>38</v>
      </c>
      <c r="Z496" s="33" t="s">
        <v>189</v>
      </c>
      <c r="AA496" s="33"/>
    </row>
    <row r="497" spans="1:27" s="70" customFormat="1" ht="67.5" x14ac:dyDescent="0.2">
      <c r="A497" s="24">
        <v>493</v>
      </c>
      <c r="B497" s="24" t="s">
        <v>3052</v>
      </c>
      <c r="C497" s="25" t="s">
        <v>3051</v>
      </c>
      <c r="D497" s="26" t="s">
        <v>3238</v>
      </c>
      <c r="E497" s="25" t="s">
        <v>3237</v>
      </c>
      <c r="F497" s="25" t="s">
        <v>3236</v>
      </c>
      <c r="G497" s="24"/>
      <c r="H497" s="25" t="s">
        <v>3240</v>
      </c>
      <c r="I497" s="27"/>
      <c r="J497" s="28" t="s">
        <v>3243</v>
      </c>
      <c r="K497" s="27"/>
      <c r="L497" s="25" t="s">
        <v>3242</v>
      </c>
      <c r="M497" s="25" t="s">
        <v>1499</v>
      </c>
      <c r="N497" s="25">
        <v>40</v>
      </c>
      <c r="O497" s="25"/>
      <c r="P497" s="25">
        <v>6</v>
      </c>
      <c r="Q497" s="25"/>
      <c r="R497" s="25"/>
      <c r="S497" s="25">
        <v>0.5</v>
      </c>
      <c r="T497" s="25"/>
      <c r="U497" s="31">
        <f t="shared" si="8"/>
        <v>6.5</v>
      </c>
      <c r="V497" s="25"/>
      <c r="W497" s="33" t="s">
        <v>198</v>
      </c>
      <c r="X497" s="33" t="s">
        <v>3241</v>
      </c>
      <c r="Y497" s="33" t="s">
        <v>38</v>
      </c>
      <c r="Z497" s="33" t="s">
        <v>1499</v>
      </c>
      <c r="AA497" s="33"/>
    </row>
    <row r="498" spans="1:27" s="70" customFormat="1" ht="45" x14ac:dyDescent="0.2">
      <c r="A498" s="24">
        <v>494</v>
      </c>
      <c r="B498" s="24" t="s">
        <v>3052</v>
      </c>
      <c r="C498" s="25" t="s">
        <v>3051</v>
      </c>
      <c r="D498" s="26" t="s">
        <v>3238</v>
      </c>
      <c r="E498" s="25" t="s">
        <v>3237</v>
      </c>
      <c r="F498" s="25" t="s">
        <v>3236</v>
      </c>
      <c r="G498" s="24"/>
      <c r="H498" s="25" t="s">
        <v>3240</v>
      </c>
      <c r="I498" s="27"/>
      <c r="J498" s="28" t="s">
        <v>3239</v>
      </c>
      <c r="K498" s="27"/>
      <c r="L498" s="25"/>
      <c r="M498" s="25"/>
      <c r="N498" s="25"/>
      <c r="O498" s="25"/>
      <c r="P498" s="25"/>
      <c r="Q498" s="25"/>
      <c r="R498" s="25"/>
      <c r="S498" s="25"/>
      <c r="T498" s="25"/>
      <c r="U498" s="31">
        <f t="shared" si="8"/>
        <v>0</v>
      </c>
      <c r="V498" s="25"/>
      <c r="W498" s="33"/>
      <c r="X498" s="33"/>
      <c r="Y498" s="33"/>
      <c r="Z498" s="33"/>
      <c r="AA498" s="33"/>
    </row>
    <row r="499" spans="1:27" s="70" customFormat="1" ht="33.75" x14ac:dyDescent="0.2">
      <c r="A499" s="24">
        <v>495</v>
      </c>
      <c r="B499" s="24" t="s">
        <v>3052</v>
      </c>
      <c r="C499" s="25" t="s">
        <v>3051</v>
      </c>
      <c r="D499" s="26" t="s">
        <v>3238</v>
      </c>
      <c r="E499" s="25" t="s">
        <v>3237</v>
      </c>
      <c r="F499" s="25" t="s">
        <v>3236</v>
      </c>
      <c r="G499" s="24"/>
      <c r="H499" s="25" t="s">
        <v>3235</v>
      </c>
      <c r="I499" s="27"/>
      <c r="J499" s="25" t="s">
        <v>3235</v>
      </c>
      <c r="K499" s="27"/>
      <c r="L499" s="25"/>
      <c r="M499" s="25"/>
      <c r="N499" s="25"/>
      <c r="O499" s="25"/>
      <c r="P499" s="25"/>
      <c r="Q499" s="25"/>
      <c r="R499" s="25"/>
      <c r="S499" s="25"/>
      <c r="T499" s="25"/>
      <c r="U499" s="31">
        <f t="shared" si="8"/>
        <v>0</v>
      </c>
      <c r="V499" s="25"/>
      <c r="W499" s="33"/>
      <c r="X499" s="33"/>
      <c r="Y499" s="33"/>
      <c r="Z499" s="33"/>
      <c r="AA499" s="33"/>
    </row>
    <row r="500" spans="1:27" s="70" customFormat="1" ht="33.75" x14ac:dyDescent="0.2">
      <c r="A500" s="24">
        <v>496</v>
      </c>
      <c r="B500" s="24" t="s">
        <v>3052</v>
      </c>
      <c r="C500" s="25" t="s">
        <v>3051</v>
      </c>
      <c r="D500" s="26" t="s">
        <v>3116</v>
      </c>
      <c r="E500" s="25" t="s">
        <v>3115</v>
      </c>
      <c r="F500" s="25" t="s">
        <v>3114</v>
      </c>
      <c r="G500" s="24"/>
      <c r="H500" s="25" t="s">
        <v>3206</v>
      </c>
      <c r="I500" s="24"/>
      <c r="J500" s="25" t="s">
        <v>3234</v>
      </c>
      <c r="K500" s="24"/>
      <c r="L500" s="25"/>
      <c r="M500" s="25"/>
      <c r="N500" s="25"/>
      <c r="O500" s="25"/>
      <c r="P500" s="25"/>
      <c r="Q500" s="25"/>
      <c r="R500" s="25"/>
      <c r="S500" s="25"/>
      <c r="T500" s="25"/>
      <c r="U500" s="31">
        <f t="shared" si="8"/>
        <v>0</v>
      </c>
      <c r="V500" s="25"/>
      <c r="W500" s="33"/>
      <c r="X500" s="33"/>
      <c r="Y500" s="33"/>
      <c r="Z500" s="33"/>
      <c r="AA500" s="33"/>
    </row>
    <row r="501" spans="1:27" s="70" customFormat="1" ht="33.75" x14ac:dyDescent="0.2">
      <c r="A501" s="24">
        <v>497</v>
      </c>
      <c r="B501" s="24" t="s">
        <v>3052</v>
      </c>
      <c r="C501" s="25" t="s">
        <v>3051</v>
      </c>
      <c r="D501" s="26" t="s">
        <v>3116</v>
      </c>
      <c r="E501" s="25" t="s">
        <v>3115</v>
      </c>
      <c r="F501" s="25" t="s">
        <v>3114</v>
      </c>
      <c r="G501" s="24"/>
      <c r="H501" s="25" t="s">
        <v>3206</v>
      </c>
      <c r="I501" s="24"/>
      <c r="J501" s="25" t="s">
        <v>3233</v>
      </c>
      <c r="K501" s="24"/>
      <c r="L501" s="25"/>
      <c r="M501" s="25"/>
      <c r="N501" s="25"/>
      <c r="O501" s="25"/>
      <c r="P501" s="25"/>
      <c r="Q501" s="25"/>
      <c r="R501" s="25"/>
      <c r="S501" s="25"/>
      <c r="T501" s="25"/>
      <c r="U501" s="31">
        <f t="shared" si="8"/>
        <v>0</v>
      </c>
      <c r="V501" s="25"/>
      <c r="W501" s="33"/>
      <c r="X501" s="33"/>
      <c r="Y501" s="33"/>
      <c r="Z501" s="33"/>
      <c r="AA501" s="33"/>
    </row>
    <row r="502" spans="1:27" s="70" customFormat="1" ht="45" x14ac:dyDescent="0.2">
      <c r="A502" s="24">
        <v>498</v>
      </c>
      <c r="B502" s="24" t="s">
        <v>3052</v>
      </c>
      <c r="C502" s="25" t="s">
        <v>3051</v>
      </c>
      <c r="D502" s="26" t="s">
        <v>3116</v>
      </c>
      <c r="E502" s="25" t="s">
        <v>3115</v>
      </c>
      <c r="F502" s="25" t="s">
        <v>3114</v>
      </c>
      <c r="G502" s="24"/>
      <c r="H502" s="25" t="s">
        <v>3206</v>
      </c>
      <c r="I502" s="24"/>
      <c r="J502" s="25" t="s">
        <v>3228</v>
      </c>
      <c r="K502" s="24"/>
      <c r="L502" s="25" t="s">
        <v>3232</v>
      </c>
      <c r="M502" s="25" t="s">
        <v>3231</v>
      </c>
      <c r="N502" s="25">
        <v>2100</v>
      </c>
      <c r="O502" s="25">
        <v>0.99199999999999988</v>
      </c>
      <c r="P502" s="25">
        <v>1.488</v>
      </c>
      <c r="Q502" s="25">
        <v>2</v>
      </c>
      <c r="R502" s="25">
        <v>0</v>
      </c>
      <c r="S502" s="25">
        <v>2</v>
      </c>
      <c r="T502" s="25">
        <v>2</v>
      </c>
      <c r="U502" s="31">
        <f t="shared" si="8"/>
        <v>8.48</v>
      </c>
      <c r="V502" s="25"/>
      <c r="W502" s="33" t="s">
        <v>198</v>
      </c>
      <c r="X502" s="33" t="s">
        <v>3230</v>
      </c>
      <c r="Y502" s="33" t="s">
        <v>38</v>
      </c>
      <c r="Z502" s="33" t="s">
        <v>3229</v>
      </c>
      <c r="AA502" s="33"/>
    </row>
    <row r="503" spans="1:27" s="70" customFormat="1" ht="33.75" x14ac:dyDescent="0.2">
      <c r="A503" s="24">
        <v>499</v>
      </c>
      <c r="B503" s="24" t="s">
        <v>3052</v>
      </c>
      <c r="C503" s="25" t="s">
        <v>3051</v>
      </c>
      <c r="D503" s="26" t="s">
        <v>3116</v>
      </c>
      <c r="E503" s="25" t="s">
        <v>3115</v>
      </c>
      <c r="F503" s="25" t="s">
        <v>3114</v>
      </c>
      <c r="G503" s="24"/>
      <c r="H503" s="25" t="s">
        <v>3206</v>
      </c>
      <c r="I503" s="24"/>
      <c r="J503" s="25" t="s">
        <v>3228</v>
      </c>
      <c r="K503" s="24"/>
      <c r="L503" s="25" t="s">
        <v>3227</v>
      </c>
      <c r="M503" s="25" t="s">
        <v>3226</v>
      </c>
      <c r="N503" s="25">
        <v>4</v>
      </c>
      <c r="O503" s="25"/>
      <c r="P503" s="25">
        <v>40</v>
      </c>
      <c r="Q503" s="25">
        <v>40</v>
      </c>
      <c r="R503" s="25"/>
      <c r="S503" s="25">
        <v>12</v>
      </c>
      <c r="T503" s="25">
        <v>8</v>
      </c>
      <c r="U503" s="31">
        <f t="shared" si="8"/>
        <v>100</v>
      </c>
      <c r="V503" s="25"/>
      <c r="W503" s="33" t="s">
        <v>198</v>
      </c>
      <c r="X503" s="33"/>
      <c r="Y503" s="33" t="s">
        <v>38</v>
      </c>
      <c r="Z503" s="33" t="s">
        <v>189</v>
      </c>
      <c r="AA503" s="33"/>
    </row>
    <row r="504" spans="1:27" s="70" customFormat="1" ht="56.25" x14ac:dyDescent="0.2">
      <c r="A504" s="24">
        <v>500</v>
      </c>
      <c r="B504" s="24" t="s">
        <v>3052</v>
      </c>
      <c r="C504" s="25" t="s">
        <v>3051</v>
      </c>
      <c r="D504" s="26" t="s">
        <v>3116</v>
      </c>
      <c r="E504" s="25" t="s">
        <v>3115</v>
      </c>
      <c r="F504" s="25" t="s">
        <v>3114</v>
      </c>
      <c r="G504" s="24"/>
      <c r="H504" s="25" t="s">
        <v>3206</v>
      </c>
      <c r="I504" s="24"/>
      <c r="J504" s="25" t="s">
        <v>3222</v>
      </c>
      <c r="K504" s="24"/>
      <c r="L504" s="25" t="s">
        <v>2559</v>
      </c>
      <c r="M504" s="25" t="s">
        <v>3220</v>
      </c>
      <c r="N504" s="25">
        <v>120</v>
      </c>
      <c r="O504" s="25">
        <v>3.6666666666666665</v>
      </c>
      <c r="P504" s="25">
        <v>4.333333333333333</v>
      </c>
      <c r="Q504" s="25">
        <v>2</v>
      </c>
      <c r="R504" s="25">
        <v>0</v>
      </c>
      <c r="S504" s="25">
        <v>1</v>
      </c>
      <c r="T504" s="25">
        <v>1</v>
      </c>
      <c r="U504" s="31">
        <f t="shared" si="8"/>
        <v>12</v>
      </c>
      <c r="V504" s="25"/>
      <c r="W504" s="33" t="s">
        <v>198</v>
      </c>
      <c r="X504" s="33"/>
      <c r="Y504" s="33" t="s">
        <v>38</v>
      </c>
      <c r="Z504" s="33" t="s">
        <v>189</v>
      </c>
      <c r="AA504" s="33"/>
    </row>
    <row r="505" spans="1:27" s="70" customFormat="1" ht="33.75" x14ac:dyDescent="0.2">
      <c r="A505" s="24">
        <v>501</v>
      </c>
      <c r="B505" s="24" t="s">
        <v>3052</v>
      </c>
      <c r="C505" s="25" t="s">
        <v>3051</v>
      </c>
      <c r="D505" s="26" t="s">
        <v>3116</v>
      </c>
      <c r="E505" s="25" t="s">
        <v>3115</v>
      </c>
      <c r="F505" s="25" t="s">
        <v>3114</v>
      </c>
      <c r="G505" s="24"/>
      <c r="H505" s="25" t="s">
        <v>3206</v>
      </c>
      <c r="I505" s="24"/>
      <c r="J505" s="25" t="s">
        <v>3222</v>
      </c>
      <c r="K505" s="24"/>
      <c r="L505" s="25" t="s">
        <v>3225</v>
      </c>
      <c r="M505" s="25" t="s">
        <v>3223</v>
      </c>
      <c r="N505" s="25">
        <v>315</v>
      </c>
      <c r="O505" s="25">
        <v>0.88888888888888884</v>
      </c>
      <c r="P505" s="25">
        <v>0.83333333333333337</v>
      </c>
      <c r="Q505" s="25">
        <v>1</v>
      </c>
      <c r="R505" s="25">
        <v>0</v>
      </c>
      <c r="S505" s="25">
        <v>0.5</v>
      </c>
      <c r="T505" s="25">
        <v>0.25</v>
      </c>
      <c r="U505" s="31">
        <f t="shared" si="8"/>
        <v>3.4722222222222223</v>
      </c>
      <c r="V505" s="25"/>
      <c r="W505" s="33" t="s">
        <v>198</v>
      </c>
      <c r="X505" s="33" t="s">
        <v>1789</v>
      </c>
      <c r="Y505" s="33" t="s">
        <v>38</v>
      </c>
      <c r="Z505" s="33" t="s">
        <v>3219</v>
      </c>
      <c r="AA505" s="33"/>
    </row>
    <row r="506" spans="1:27" s="70" customFormat="1" ht="33.75" x14ac:dyDescent="0.2">
      <c r="A506" s="24">
        <v>502</v>
      </c>
      <c r="B506" s="24" t="s">
        <v>3052</v>
      </c>
      <c r="C506" s="25" t="s">
        <v>3051</v>
      </c>
      <c r="D506" s="26" t="s">
        <v>3116</v>
      </c>
      <c r="E506" s="25" t="s">
        <v>3115</v>
      </c>
      <c r="F506" s="25" t="s">
        <v>3114</v>
      </c>
      <c r="G506" s="24"/>
      <c r="H506" s="25" t="s">
        <v>3206</v>
      </c>
      <c r="I506" s="24"/>
      <c r="J506" s="25" t="s">
        <v>3222</v>
      </c>
      <c r="K506" s="24"/>
      <c r="L506" s="25" t="s">
        <v>3224</v>
      </c>
      <c r="M506" s="25" t="s">
        <v>3223</v>
      </c>
      <c r="N506" s="25">
        <v>315</v>
      </c>
      <c r="O506" s="25">
        <v>0.88888888888888884</v>
      </c>
      <c r="P506" s="25">
        <v>0.83333333333333337</v>
      </c>
      <c r="Q506" s="25">
        <v>1</v>
      </c>
      <c r="R506" s="25">
        <v>0</v>
      </c>
      <c r="S506" s="25">
        <v>1</v>
      </c>
      <c r="T506" s="25">
        <v>1</v>
      </c>
      <c r="U506" s="31">
        <f t="shared" si="8"/>
        <v>4.7222222222222223</v>
      </c>
      <c r="V506" s="25"/>
      <c r="W506" s="33" t="s">
        <v>198</v>
      </c>
      <c r="X506" s="33" t="s">
        <v>1789</v>
      </c>
      <c r="Y506" s="33" t="s">
        <v>38</v>
      </c>
      <c r="Z506" s="33" t="s">
        <v>3219</v>
      </c>
      <c r="AA506" s="33"/>
    </row>
    <row r="507" spans="1:27" s="70" customFormat="1" ht="33.75" x14ac:dyDescent="0.2">
      <c r="A507" s="24">
        <v>503</v>
      </c>
      <c r="B507" s="24" t="s">
        <v>3052</v>
      </c>
      <c r="C507" s="25" t="s">
        <v>3051</v>
      </c>
      <c r="D507" s="26" t="s">
        <v>3116</v>
      </c>
      <c r="E507" s="25" t="s">
        <v>3115</v>
      </c>
      <c r="F507" s="25" t="s">
        <v>3114</v>
      </c>
      <c r="G507" s="24"/>
      <c r="H507" s="25" t="s">
        <v>3206</v>
      </c>
      <c r="I507" s="24"/>
      <c r="J507" s="25" t="s">
        <v>3222</v>
      </c>
      <c r="K507" s="24"/>
      <c r="L507" s="25" t="s">
        <v>3221</v>
      </c>
      <c r="M507" s="25" t="s">
        <v>3220</v>
      </c>
      <c r="N507" s="25">
        <v>50</v>
      </c>
      <c r="O507" s="25">
        <v>1.38</v>
      </c>
      <c r="P507" s="25">
        <v>1.08</v>
      </c>
      <c r="Q507" s="25">
        <v>1.5</v>
      </c>
      <c r="R507" s="25">
        <v>0</v>
      </c>
      <c r="S507" s="25">
        <v>1</v>
      </c>
      <c r="T507" s="25">
        <v>1</v>
      </c>
      <c r="U507" s="31">
        <f t="shared" si="8"/>
        <v>5.96</v>
      </c>
      <c r="V507" s="25"/>
      <c r="W507" s="33" t="s">
        <v>198</v>
      </c>
      <c r="X507" s="33" t="s">
        <v>1789</v>
      </c>
      <c r="Y507" s="33" t="s">
        <v>38</v>
      </c>
      <c r="Z507" s="33" t="s">
        <v>3219</v>
      </c>
      <c r="AA507" s="33"/>
    </row>
    <row r="508" spans="1:27" s="70" customFormat="1" ht="90" x14ac:dyDescent="0.2">
      <c r="A508" s="24">
        <v>504</v>
      </c>
      <c r="B508" s="24" t="s">
        <v>3052</v>
      </c>
      <c r="C508" s="25" t="s">
        <v>3051</v>
      </c>
      <c r="D508" s="26" t="s">
        <v>3116</v>
      </c>
      <c r="E508" s="25" t="s">
        <v>3115</v>
      </c>
      <c r="F508" s="25" t="s">
        <v>3114</v>
      </c>
      <c r="G508" s="24"/>
      <c r="H508" s="25" t="s">
        <v>3206</v>
      </c>
      <c r="I508" s="24"/>
      <c r="J508" s="25" t="s">
        <v>3205</v>
      </c>
      <c r="K508" s="24"/>
      <c r="L508" s="25" t="s">
        <v>3218</v>
      </c>
      <c r="M508" s="25" t="s">
        <v>1499</v>
      </c>
      <c r="N508" s="25">
        <v>60</v>
      </c>
      <c r="O508" s="25">
        <v>0.16666666666666666</v>
      </c>
      <c r="P508" s="25">
        <v>0.33333333333333331</v>
      </c>
      <c r="Q508" s="25">
        <v>0.5</v>
      </c>
      <c r="R508" s="25">
        <v>0</v>
      </c>
      <c r="S508" s="25">
        <v>0.5</v>
      </c>
      <c r="T508" s="25">
        <v>0</v>
      </c>
      <c r="U508" s="31">
        <f t="shared" si="8"/>
        <v>1.5</v>
      </c>
      <c r="V508" s="25"/>
      <c r="W508" s="33" t="s">
        <v>198</v>
      </c>
      <c r="X508" s="33" t="s">
        <v>3217</v>
      </c>
      <c r="Y508" s="33" t="s">
        <v>3216</v>
      </c>
      <c r="Z508" s="33" t="s">
        <v>3201</v>
      </c>
      <c r="AA508" s="33"/>
    </row>
    <row r="509" spans="1:27" s="70" customFormat="1" ht="90" x14ac:dyDescent="0.2">
      <c r="A509" s="24">
        <v>505</v>
      </c>
      <c r="B509" s="24" t="s">
        <v>3052</v>
      </c>
      <c r="C509" s="25" t="s">
        <v>3051</v>
      </c>
      <c r="D509" s="26" t="s">
        <v>3116</v>
      </c>
      <c r="E509" s="25" t="s">
        <v>3115</v>
      </c>
      <c r="F509" s="25" t="s">
        <v>3114</v>
      </c>
      <c r="G509" s="24"/>
      <c r="H509" s="25" t="s">
        <v>3206</v>
      </c>
      <c r="I509" s="24"/>
      <c r="J509" s="25" t="s">
        <v>3205</v>
      </c>
      <c r="K509" s="24"/>
      <c r="L509" s="25" t="s">
        <v>3215</v>
      </c>
      <c r="M509" s="25" t="s">
        <v>1499</v>
      </c>
      <c r="N509" s="25">
        <v>40</v>
      </c>
      <c r="O509" s="25">
        <v>1.5</v>
      </c>
      <c r="P509" s="25">
        <v>2.5</v>
      </c>
      <c r="Q509" s="25">
        <v>0.5</v>
      </c>
      <c r="R509" s="25">
        <v>0</v>
      </c>
      <c r="S509" s="25">
        <v>0.5</v>
      </c>
      <c r="T509" s="25">
        <v>0</v>
      </c>
      <c r="U509" s="31">
        <f t="shared" si="8"/>
        <v>5</v>
      </c>
      <c r="V509" s="25"/>
      <c r="W509" s="33" t="s">
        <v>198</v>
      </c>
      <c r="X509" s="33" t="s">
        <v>3214</v>
      </c>
      <c r="Y509" s="33" t="s">
        <v>3213</v>
      </c>
      <c r="Z509" s="33" t="s">
        <v>3201</v>
      </c>
      <c r="AA509" s="33"/>
    </row>
    <row r="510" spans="1:27" s="70" customFormat="1" ht="90" x14ac:dyDescent="0.2">
      <c r="A510" s="24">
        <v>506</v>
      </c>
      <c r="B510" s="24" t="s">
        <v>3052</v>
      </c>
      <c r="C510" s="25" t="s">
        <v>3051</v>
      </c>
      <c r="D510" s="26" t="s">
        <v>3116</v>
      </c>
      <c r="E510" s="25" t="s">
        <v>3115</v>
      </c>
      <c r="F510" s="25" t="s">
        <v>3114</v>
      </c>
      <c r="G510" s="24"/>
      <c r="H510" s="25" t="s">
        <v>3206</v>
      </c>
      <c r="I510" s="24"/>
      <c r="J510" s="25" t="s">
        <v>3205</v>
      </c>
      <c r="K510" s="24"/>
      <c r="L510" s="25" t="s">
        <v>3212</v>
      </c>
      <c r="M510" s="25" t="s">
        <v>1499</v>
      </c>
      <c r="N510" s="25">
        <v>36</v>
      </c>
      <c r="O510" s="25">
        <v>2.6666666666666665</v>
      </c>
      <c r="P510" s="25">
        <v>3.3333333333333335</v>
      </c>
      <c r="Q510" s="25">
        <v>0.5</v>
      </c>
      <c r="R510" s="25">
        <v>0</v>
      </c>
      <c r="S510" s="25">
        <v>0.5</v>
      </c>
      <c r="T510" s="25">
        <v>0</v>
      </c>
      <c r="U510" s="31">
        <f t="shared" si="8"/>
        <v>7</v>
      </c>
      <c r="V510" s="25"/>
      <c r="W510" s="33" t="s">
        <v>198</v>
      </c>
      <c r="X510" s="33" t="s">
        <v>3211</v>
      </c>
      <c r="Y510" s="33" t="s">
        <v>3208</v>
      </c>
      <c r="Z510" s="33" t="s">
        <v>3201</v>
      </c>
      <c r="AA510" s="33"/>
    </row>
    <row r="511" spans="1:27" s="70" customFormat="1" ht="90" x14ac:dyDescent="0.2">
      <c r="A511" s="24">
        <v>507</v>
      </c>
      <c r="B511" s="24" t="s">
        <v>3052</v>
      </c>
      <c r="C511" s="25" t="s">
        <v>3051</v>
      </c>
      <c r="D511" s="26" t="s">
        <v>3116</v>
      </c>
      <c r="E511" s="25" t="s">
        <v>3115</v>
      </c>
      <c r="F511" s="25" t="s">
        <v>3114</v>
      </c>
      <c r="G511" s="24"/>
      <c r="H511" s="25" t="s">
        <v>3206</v>
      </c>
      <c r="I511" s="24"/>
      <c r="J511" s="25" t="s">
        <v>3205</v>
      </c>
      <c r="K511" s="24"/>
      <c r="L511" s="25" t="s">
        <v>3210</v>
      </c>
      <c r="M511" s="25" t="s">
        <v>1499</v>
      </c>
      <c r="N511" s="25">
        <v>100</v>
      </c>
      <c r="O511" s="25">
        <v>2</v>
      </c>
      <c r="P511" s="25">
        <v>3</v>
      </c>
      <c r="Q511" s="25">
        <v>0</v>
      </c>
      <c r="R511" s="25">
        <v>0</v>
      </c>
      <c r="S511" s="25">
        <v>0.5</v>
      </c>
      <c r="T511" s="25">
        <v>0</v>
      </c>
      <c r="U511" s="31">
        <f t="shared" si="8"/>
        <v>5.5</v>
      </c>
      <c r="V511" s="25"/>
      <c r="W511" s="33" t="s">
        <v>198</v>
      </c>
      <c r="X511" s="33"/>
      <c r="Y511" s="33" t="s">
        <v>3208</v>
      </c>
      <c r="Z511" s="33" t="s">
        <v>3201</v>
      </c>
      <c r="AA511" s="33"/>
    </row>
    <row r="512" spans="1:27" s="70" customFormat="1" ht="90" x14ac:dyDescent="0.2">
      <c r="A512" s="24">
        <v>508</v>
      </c>
      <c r="B512" s="24" t="s">
        <v>3052</v>
      </c>
      <c r="C512" s="25" t="s">
        <v>3051</v>
      </c>
      <c r="D512" s="26" t="s">
        <v>3116</v>
      </c>
      <c r="E512" s="25" t="s">
        <v>3115</v>
      </c>
      <c r="F512" s="25" t="s">
        <v>3114</v>
      </c>
      <c r="G512" s="24"/>
      <c r="H512" s="25" t="s">
        <v>3206</v>
      </c>
      <c r="I512" s="24"/>
      <c r="J512" s="25" t="s">
        <v>3205</v>
      </c>
      <c r="K512" s="24"/>
      <c r="L512" s="25" t="s">
        <v>3209</v>
      </c>
      <c r="M512" s="25" t="s">
        <v>1104</v>
      </c>
      <c r="N512" s="25">
        <v>1</v>
      </c>
      <c r="O512" s="25">
        <v>1.6</v>
      </c>
      <c r="P512" s="25">
        <v>2.4</v>
      </c>
      <c r="Q512" s="25">
        <v>0.5</v>
      </c>
      <c r="R512" s="25">
        <v>0</v>
      </c>
      <c r="S512" s="25">
        <v>0.5</v>
      </c>
      <c r="T512" s="25">
        <v>0</v>
      </c>
      <c r="U512" s="31">
        <f t="shared" si="8"/>
        <v>5</v>
      </c>
      <c r="V512" s="25"/>
      <c r="W512" s="33" t="s">
        <v>198</v>
      </c>
      <c r="X512" s="33"/>
      <c r="Y512" s="33" t="s">
        <v>3208</v>
      </c>
      <c r="Z512" s="33" t="s">
        <v>3201</v>
      </c>
      <c r="AA512" s="33"/>
    </row>
    <row r="513" spans="1:27" s="70" customFormat="1" ht="90" x14ac:dyDescent="0.2">
      <c r="A513" s="24">
        <v>509</v>
      </c>
      <c r="B513" s="24" t="s">
        <v>3052</v>
      </c>
      <c r="C513" s="25" t="s">
        <v>3051</v>
      </c>
      <c r="D513" s="26" t="s">
        <v>3116</v>
      </c>
      <c r="E513" s="25" t="s">
        <v>3115</v>
      </c>
      <c r="F513" s="25" t="s">
        <v>3114</v>
      </c>
      <c r="G513" s="24"/>
      <c r="H513" s="25" t="s">
        <v>3206</v>
      </c>
      <c r="I513" s="24"/>
      <c r="J513" s="25" t="s">
        <v>3205</v>
      </c>
      <c r="K513" s="24"/>
      <c r="L513" s="25" t="s">
        <v>3207</v>
      </c>
      <c r="M513" s="25" t="s">
        <v>1499</v>
      </c>
      <c r="N513" s="25">
        <v>80</v>
      </c>
      <c r="O513" s="25">
        <v>1.875</v>
      </c>
      <c r="P513" s="25">
        <v>2.5</v>
      </c>
      <c r="Q513" s="25">
        <v>2</v>
      </c>
      <c r="R513" s="25">
        <v>0</v>
      </c>
      <c r="S513" s="25">
        <v>1</v>
      </c>
      <c r="T513" s="25">
        <v>0.5</v>
      </c>
      <c r="U513" s="31">
        <f t="shared" si="8"/>
        <v>7.875</v>
      </c>
      <c r="V513" s="25"/>
      <c r="W513" s="33" t="s">
        <v>198</v>
      </c>
      <c r="X513" s="33" t="s">
        <v>3203</v>
      </c>
      <c r="Y513" s="33" t="s">
        <v>3202</v>
      </c>
      <c r="Z513" s="33" t="s">
        <v>3201</v>
      </c>
      <c r="AA513" s="33"/>
    </row>
    <row r="514" spans="1:27" s="70" customFormat="1" ht="90" x14ac:dyDescent="0.2">
      <c r="A514" s="24">
        <v>510</v>
      </c>
      <c r="B514" s="24" t="s">
        <v>3052</v>
      </c>
      <c r="C514" s="25" t="s">
        <v>3051</v>
      </c>
      <c r="D514" s="26" t="s">
        <v>3116</v>
      </c>
      <c r="E514" s="25" t="s">
        <v>3115</v>
      </c>
      <c r="F514" s="25" t="s">
        <v>3114</v>
      </c>
      <c r="G514" s="24"/>
      <c r="H514" s="25" t="s">
        <v>3206</v>
      </c>
      <c r="I514" s="24"/>
      <c r="J514" s="25" t="s">
        <v>3205</v>
      </c>
      <c r="K514" s="24"/>
      <c r="L514" s="25" t="s">
        <v>3204</v>
      </c>
      <c r="M514" s="25" t="s">
        <v>1499</v>
      </c>
      <c r="N514" s="25">
        <v>80</v>
      </c>
      <c r="O514" s="25">
        <v>3</v>
      </c>
      <c r="P514" s="25">
        <v>3.75</v>
      </c>
      <c r="Q514" s="25">
        <v>2</v>
      </c>
      <c r="R514" s="25">
        <v>0</v>
      </c>
      <c r="S514" s="25">
        <v>1</v>
      </c>
      <c r="T514" s="25">
        <v>0.5</v>
      </c>
      <c r="U514" s="31">
        <f t="shared" si="8"/>
        <v>10.25</v>
      </c>
      <c r="V514" s="25"/>
      <c r="W514" s="33" t="s">
        <v>198</v>
      </c>
      <c r="X514" s="33" t="s">
        <v>3203</v>
      </c>
      <c r="Y514" s="33" t="s">
        <v>3202</v>
      </c>
      <c r="Z514" s="33" t="s">
        <v>3201</v>
      </c>
      <c r="AA514" s="33"/>
    </row>
    <row r="515" spans="1:27" s="70" customFormat="1" ht="33.75" x14ac:dyDescent="0.2">
      <c r="A515" s="24">
        <v>511</v>
      </c>
      <c r="B515" s="24" t="s">
        <v>3052</v>
      </c>
      <c r="C515" s="25" t="s">
        <v>3051</v>
      </c>
      <c r="D515" s="26" t="s">
        <v>3116</v>
      </c>
      <c r="E515" s="25" t="s">
        <v>3115</v>
      </c>
      <c r="F515" s="25" t="s">
        <v>3114</v>
      </c>
      <c r="G515" s="24"/>
      <c r="H515" s="25" t="s">
        <v>3198</v>
      </c>
      <c r="I515" s="24"/>
      <c r="J515" s="25" t="s">
        <v>3200</v>
      </c>
      <c r="K515" s="24"/>
      <c r="L515" s="25"/>
      <c r="M515" s="25"/>
      <c r="N515" s="25"/>
      <c r="O515" s="25"/>
      <c r="P515" s="25"/>
      <c r="Q515" s="25"/>
      <c r="R515" s="25"/>
      <c r="S515" s="25"/>
      <c r="T515" s="25"/>
      <c r="U515" s="31">
        <f t="shared" si="8"/>
        <v>0</v>
      </c>
      <c r="V515" s="25"/>
      <c r="W515" s="33"/>
      <c r="X515" s="33"/>
      <c r="Y515" s="33"/>
      <c r="Z515" s="33"/>
      <c r="AA515" s="33"/>
    </row>
    <row r="516" spans="1:27" s="70" customFormat="1" ht="33.75" x14ac:dyDescent="0.2">
      <c r="A516" s="24">
        <v>512</v>
      </c>
      <c r="B516" s="24" t="s">
        <v>3052</v>
      </c>
      <c r="C516" s="25" t="s">
        <v>3051</v>
      </c>
      <c r="D516" s="26" t="s">
        <v>3116</v>
      </c>
      <c r="E516" s="25" t="s">
        <v>3115</v>
      </c>
      <c r="F516" s="25" t="s">
        <v>3114</v>
      </c>
      <c r="G516" s="24"/>
      <c r="H516" s="25" t="s">
        <v>3198</v>
      </c>
      <c r="I516" s="24"/>
      <c r="J516" s="25" t="s">
        <v>3199</v>
      </c>
      <c r="K516" s="24"/>
      <c r="L516" s="25"/>
      <c r="M516" s="25"/>
      <c r="N516" s="25"/>
      <c r="O516" s="25"/>
      <c r="P516" s="25"/>
      <c r="Q516" s="25"/>
      <c r="R516" s="25"/>
      <c r="S516" s="25"/>
      <c r="T516" s="25"/>
      <c r="U516" s="31">
        <f t="shared" si="8"/>
        <v>0</v>
      </c>
      <c r="V516" s="25"/>
      <c r="W516" s="33"/>
      <c r="X516" s="33"/>
      <c r="Y516" s="33"/>
      <c r="Z516" s="33"/>
      <c r="AA516" s="33"/>
    </row>
    <row r="517" spans="1:27" s="70" customFormat="1" ht="33.75" x14ac:dyDescent="0.2">
      <c r="A517" s="24">
        <v>513</v>
      </c>
      <c r="B517" s="24" t="s">
        <v>3052</v>
      </c>
      <c r="C517" s="25" t="s">
        <v>3051</v>
      </c>
      <c r="D517" s="26" t="s">
        <v>3116</v>
      </c>
      <c r="E517" s="25" t="s">
        <v>3115</v>
      </c>
      <c r="F517" s="25" t="s">
        <v>3114</v>
      </c>
      <c r="G517" s="24"/>
      <c r="H517" s="25" t="s">
        <v>3198</v>
      </c>
      <c r="I517" s="24"/>
      <c r="J517" s="25" t="s">
        <v>3197</v>
      </c>
      <c r="K517" s="24"/>
      <c r="L517" s="25"/>
      <c r="M517" s="25"/>
      <c r="N517" s="25"/>
      <c r="O517" s="25"/>
      <c r="P517" s="25"/>
      <c r="Q517" s="25"/>
      <c r="R517" s="25"/>
      <c r="S517" s="25"/>
      <c r="T517" s="25"/>
      <c r="U517" s="31">
        <f t="shared" si="8"/>
        <v>0</v>
      </c>
      <c r="V517" s="25"/>
      <c r="W517" s="33"/>
      <c r="X517" s="33"/>
      <c r="Y517" s="33"/>
      <c r="Z517" s="33"/>
      <c r="AA517" s="33"/>
    </row>
    <row r="518" spans="1:27" s="70" customFormat="1" ht="56.25" x14ac:dyDescent="0.2">
      <c r="A518" s="24">
        <v>514</v>
      </c>
      <c r="B518" s="24" t="s">
        <v>3052</v>
      </c>
      <c r="C518" s="25" t="s">
        <v>3051</v>
      </c>
      <c r="D518" s="26" t="s">
        <v>3116</v>
      </c>
      <c r="E518" s="25" t="s">
        <v>3115</v>
      </c>
      <c r="F518" s="25" t="s">
        <v>3114</v>
      </c>
      <c r="G518" s="24"/>
      <c r="H518" s="25" t="s">
        <v>3166</v>
      </c>
      <c r="I518" s="24"/>
      <c r="J518" s="25" t="s">
        <v>3185</v>
      </c>
      <c r="K518" s="24"/>
      <c r="L518" s="25" t="s">
        <v>3196</v>
      </c>
      <c r="M518" s="25" t="s">
        <v>3194</v>
      </c>
      <c r="N518" s="25">
        <v>3</v>
      </c>
      <c r="O518" s="25"/>
      <c r="P518" s="25"/>
      <c r="Q518" s="25">
        <v>200</v>
      </c>
      <c r="R518" s="25"/>
      <c r="S518" s="25">
        <v>24</v>
      </c>
      <c r="T518" s="25">
        <v>16</v>
      </c>
      <c r="U518" s="31">
        <f t="shared" ref="U518:U581" si="9">SUM(O518:T518)</f>
        <v>240</v>
      </c>
      <c r="V518" s="25"/>
      <c r="W518" s="33" t="s">
        <v>238</v>
      </c>
      <c r="X518" s="33" t="s">
        <v>3104</v>
      </c>
      <c r="Y518" s="33" t="s">
        <v>3188</v>
      </c>
      <c r="Z518" s="33" t="s">
        <v>3187</v>
      </c>
      <c r="AA518" s="33"/>
    </row>
    <row r="519" spans="1:27" s="70" customFormat="1" ht="56.25" x14ac:dyDescent="0.2">
      <c r="A519" s="24">
        <v>515</v>
      </c>
      <c r="B519" s="24" t="s">
        <v>3052</v>
      </c>
      <c r="C519" s="25" t="s">
        <v>3051</v>
      </c>
      <c r="D519" s="26" t="s">
        <v>3116</v>
      </c>
      <c r="E519" s="25" t="s">
        <v>3115</v>
      </c>
      <c r="F519" s="25" t="s">
        <v>3114</v>
      </c>
      <c r="G519" s="24"/>
      <c r="H519" s="25" t="s">
        <v>3166</v>
      </c>
      <c r="I519" s="24"/>
      <c r="J519" s="25" t="s">
        <v>3185</v>
      </c>
      <c r="K519" s="24"/>
      <c r="L519" s="25" t="s">
        <v>3195</v>
      </c>
      <c r="M519" s="25" t="s">
        <v>3194</v>
      </c>
      <c r="N519" s="25">
        <v>3</v>
      </c>
      <c r="O519" s="25"/>
      <c r="P519" s="25"/>
      <c r="Q519" s="25">
        <v>24</v>
      </c>
      <c r="R519" s="25"/>
      <c r="S519" s="25"/>
      <c r="T519" s="25"/>
      <c r="U519" s="31">
        <f t="shared" si="9"/>
        <v>24</v>
      </c>
      <c r="V519" s="25"/>
      <c r="W519" s="33" t="s">
        <v>238</v>
      </c>
      <c r="X519" s="33" t="s">
        <v>3104</v>
      </c>
      <c r="Y519" s="33" t="s">
        <v>3188</v>
      </c>
      <c r="Z519" s="33" t="s">
        <v>3187</v>
      </c>
      <c r="AA519" s="33"/>
    </row>
    <row r="520" spans="1:27" s="70" customFormat="1" ht="56.25" x14ac:dyDescent="0.2">
      <c r="A520" s="24">
        <v>516</v>
      </c>
      <c r="B520" s="24" t="s">
        <v>3052</v>
      </c>
      <c r="C520" s="25" t="s">
        <v>3051</v>
      </c>
      <c r="D520" s="26" t="s">
        <v>3116</v>
      </c>
      <c r="E520" s="25" t="s">
        <v>3115</v>
      </c>
      <c r="F520" s="25" t="s">
        <v>3114</v>
      </c>
      <c r="G520" s="24"/>
      <c r="H520" s="25" t="s">
        <v>3166</v>
      </c>
      <c r="I520" s="24"/>
      <c r="J520" s="25" t="s">
        <v>3185</v>
      </c>
      <c r="K520" s="24"/>
      <c r="L520" s="25" t="s">
        <v>3193</v>
      </c>
      <c r="M520" s="25" t="s">
        <v>3191</v>
      </c>
      <c r="N520" s="25">
        <v>3</v>
      </c>
      <c r="O520" s="25"/>
      <c r="P520" s="25"/>
      <c r="Q520" s="25">
        <v>20</v>
      </c>
      <c r="R520" s="25"/>
      <c r="S520" s="25"/>
      <c r="T520" s="25"/>
      <c r="U520" s="31">
        <f t="shared" si="9"/>
        <v>20</v>
      </c>
      <c r="V520" s="25"/>
      <c r="W520" s="33" t="s">
        <v>238</v>
      </c>
      <c r="X520" s="33" t="s">
        <v>3104</v>
      </c>
      <c r="Y520" s="33" t="s">
        <v>3188</v>
      </c>
      <c r="Z520" s="33" t="s">
        <v>3187</v>
      </c>
      <c r="AA520" s="33"/>
    </row>
    <row r="521" spans="1:27" s="70" customFormat="1" ht="56.25" x14ac:dyDescent="0.2">
      <c r="A521" s="24">
        <v>517</v>
      </c>
      <c r="B521" s="24" t="s">
        <v>3052</v>
      </c>
      <c r="C521" s="25" t="s">
        <v>3051</v>
      </c>
      <c r="D521" s="26" t="s">
        <v>3116</v>
      </c>
      <c r="E521" s="25" t="s">
        <v>3115</v>
      </c>
      <c r="F521" s="25" t="s">
        <v>3114</v>
      </c>
      <c r="G521" s="24"/>
      <c r="H521" s="25" t="s">
        <v>3166</v>
      </c>
      <c r="I521" s="24"/>
      <c r="J521" s="25" t="s">
        <v>3185</v>
      </c>
      <c r="K521" s="24"/>
      <c r="L521" s="25" t="s">
        <v>3192</v>
      </c>
      <c r="M521" s="25" t="s">
        <v>3191</v>
      </c>
      <c r="N521" s="25">
        <v>4</v>
      </c>
      <c r="O521" s="25"/>
      <c r="P521" s="25"/>
      <c r="Q521" s="25">
        <v>20</v>
      </c>
      <c r="R521" s="25"/>
      <c r="S521" s="25"/>
      <c r="T521" s="25"/>
      <c r="U521" s="31">
        <f t="shared" si="9"/>
        <v>20</v>
      </c>
      <c r="V521" s="25"/>
      <c r="W521" s="33" t="s">
        <v>238</v>
      </c>
      <c r="X521" s="33" t="s">
        <v>3104</v>
      </c>
      <c r="Y521" s="33" t="s">
        <v>3188</v>
      </c>
      <c r="Z521" s="33" t="s">
        <v>3187</v>
      </c>
      <c r="AA521" s="33"/>
    </row>
    <row r="522" spans="1:27" s="70" customFormat="1" ht="56.25" x14ac:dyDescent="0.2">
      <c r="A522" s="24">
        <v>518</v>
      </c>
      <c r="B522" s="24" t="s">
        <v>3052</v>
      </c>
      <c r="C522" s="25" t="s">
        <v>3051</v>
      </c>
      <c r="D522" s="26" t="s">
        <v>3116</v>
      </c>
      <c r="E522" s="25" t="s">
        <v>3115</v>
      </c>
      <c r="F522" s="25" t="s">
        <v>3114</v>
      </c>
      <c r="G522" s="24"/>
      <c r="H522" s="25" t="s">
        <v>3166</v>
      </c>
      <c r="I522" s="24"/>
      <c r="J522" s="25" t="s">
        <v>3185</v>
      </c>
      <c r="K522" s="24"/>
      <c r="L522" s="25" t="s">
        <v>3190</v>
      </c>
      <c r="M522" s="25" t="s">
        <v>3189</v>
      </c>
      <c r="N522" s="25">
        <v>1</v>
      </c>
      <c r="O522" s="25"/>
      <c r="P522" s="25"/>
      <c r="Q522" s="25">
        <v>56</v>
      </c>
      <c r="R522" s="25"/>
      <c r="S522" s="25"/>
      <c r="T522" s="25"/>
      <c r="U522" s="31">
        <f t="shared" si="9"/>
        <v>56</v>
      </c>
      <c r="V522" s="25"/>
      <c r="W522" s="33" t="s">
        <v>238</v>
      </c>
      <c r="X522" s="33" t="s">
        <v>3104</v>
      </c>
      <c r="Y522" s="33" t="s">
        <v>3188</v>
      </c>
      <c r="Z522" s="33" t="s">
        <v>3187</v>
      </c>
      <c r="AA522" s="33"/>
    </row>
    <row r="523" spans="1:27" s="70" customFormat="1" ht="33.75" x14ac:dyDescent="0.2">
      <c r="A523" s="24">
        <v>519</v>
      </c>
      <c r="B523" s="24" t="s">
        <v>3052</v>
      </c>
      <c r="C523" s="25" t="s">
        <v>3051</v>
      </c>
      <c r="D523" s="26" t="s">
        <v>3116</v>
      </c>
      <c r="E523" s="25" t="s">
        <v>3115</v>
      </c>
      <c r="F523" s="25" t="s">
        <v>3114</v>
      </c>
      <c r="G523" s="24"/>
      <c r="H523" s="25" t="s">
        <v>3166</v>
      </c>
      <c r="I523" s="24"/>
      <c r="J523" s="25" t="s">
        <v>3185</v>
      </c>
      <c r="K523" s="24"/>
      <c r="L523" s="25" t="s">
        <v>3186</v>
      </c>
      <c r="M523" s="25" t="s">
        <v>1187</v>
      </c>
      <c r="N523" s="25">
        <v>8</v>
      </c>
      <c r="O523" s="25"/>
      <c r="P523" s="25">
        <v>10</v>
      </c>
      <c r="Q523" s="25">
        <v>10</v>
      </c>
      <c r="R523" s="25"/>
      <c r="S523" s="25">
        <v>6</v>
      </c>
      <c r="T523" s="25">
        <v>4</v>
      </c>
      <c r="U523" s="31">
        <f t="shared" si="9"/>
        <v>30</v>
      </c>
      <c r="V523" s="25"/>
      <c r="W523" s="33" t="s">
        <v>198</v>
      </c>
      <c r="X523" s="33" t="s">
        <v>3162</v>
      </c>
      <c r="Y523" s="33" t="s">
        <v>38</v>
      </c>
      <c r="Z523" s="33" t="s">
        <v>189</v>
      </c>
      <c r="AA523" s="33"/>
    </row>
    <row r="524" spans="1:27" s="70" customFormat="1" ht="45" x14ac:dyDescent="0.2">
      <c r="A524" s="24">
        <v>520</v>
      </c>
      <c r="B524" s="24" t="s">
        <v>3052</v>
      </c>
      <c r="C524" s="25" t="s">
        <v>3051</v>
      </c>
      <c r="D524" s="26" t="s">
        <v>3116</v>
      </c>
      <c r="E524" s="25" t="s">
        <v>3115</v>
      </c>
      <c r="F524" s="25" t="s">
        <v>3114</v>
      </c>
      <c r="G524" s="24"/>
      <c r="H524" s="25" t="s">
        <v>3166</v>
      </c>
      <c r="I524" s="24"/>
      <c r="J524" s="25" t="s">
        <v>3185</v>
      </c>
      <c r="K524" s="24"/>
      <c r="L524" s="25" t="s">
        <v>3184</v>
      </c>
      <c r="M524" s="25" t="s">
        <v>3183</v>
      </c>
      <c r="N524" s="25">
        <v>2</v>
      </c>
      <c r="O524" s="25"/>
      <c r="P524" s="25">
        <v>40</v>
      </c>
      <c r="Q524" s="25">
        <v>40</v>
      </c>
      <c r="R524" s="25"/>
      <c r="S524" s="25">
        <v>12</v>
      </c>
      <c r="T524" s="25">
        <v>8</v>
      </c>
      <c r="U524" s="31">
        <f t="shared" si="9"/>
        <v>100</v>
      </c>
      <c r="V524" s="25"/>
      <c r="W524" s="33" t="s">
        <v>3162</v>
      </c>
      <c r="X524" s="33"/>
      <c r="Y524" s="33" t="s">
        <v>38</v>
      </c>
      <c r="Z524" s="33" t="s">
        <v>1187</v>
      </c>
      <c r="AA524" s="33"/>
    </row>
    <row r="525" spans="1:27" s="70" customFormat="1" ht="33.75" x14ac:dyDescent="0.2">
      <c r="A525" s="24">
        <v>521</v>
      </c>
      <c r="B525" s="24" t="s">
        <v>3052</v>
      </c>
      <c r="C525" s="25" t="s">
        <v>3051</v>
      </c>
      <c r="D525" s="26" t="s">
        <v>3116</v>
      </c>
      <c r="E525" s="25" t="s">
        <v>3115</v>
      </c>
      <c r="F525" s="25" t="s">
        <v>3114</v>
      </c>
      <c r="G525" s="24"/>
      <c r="H525" s="25" t="s">
        <v>3166</v>
      </c>
      <c r="I525" s="24"/>
      <c r="J525" s="25" t="s">
        <v>3169</v>
      </c>
      <c r="K525" s="24"/>
      <c r="L525" s="25" t="s">
        <v>3182</v>
      </c>
      <c r="M525" s="25" t="s">
        <v>3128</v>
      </c>
      <c r="N525" s="25">
        <v>2</v>
      </c>
      <c r="O525" s="25"/>
      <c r="P525" s="25">
        <v>4</v>
      </c>
      <c r="Q525" s="25"/>
      <c r="R525" s="25"/>
      <c r="S525" s="25"/>
      <c r="T525" s="25"/>
      <c r="U525" s="31">
        <f t="shared" si="9"/>
        <v>4</v>
      </c>
      <c r="V525" s="25"/>
      <c r="W525" s="33" t="s">
        <v>198</v>
      </c>
      <c r="X525" s="33"/>
      <c r="Y525" s="33" t="s">
        <v>38</v>
      </c>
      <c r="Z525" s="33" t="s">
        <v>189</v>
      </c>
      <c r="AA525" s="33"/>
    </row>
    <row r="526" spans="1:27" s="70" customFormat="1" ht="33.75" x14ac:dyDescent="0.2">
      <c r="A526" s="24">
        <v>522</v>
      </c>
      <c r="B526" s="24" t="s">
        <v>3052</v>
      </c>
      <c r="C526" s="25" t="s">
        <v>3051</v>
      </c>
      <c r="D526" s="26" t="s">
        <v>3116</v>
      </c>
      <c r="E526" s="25" t="s">
        <v>3115</v>
      </c>
      <c r="F526" s="25" t="s">
        <v>3114</v>
      </c>
      <c r="G526" s="24"/>
      <c r="H526" s="25" t="s">
        <v>3166</v>
      </c>
      <c r="I526" s="24"/>
      <c r="J526" s="25" t="s">
        <v>3169</v>
      </c>
      <c r="K526" s="24"/>
      <c r="L526" s="25" t="s">
        <v>3181</v>
      </c>
      <c r="M526" s="25" t="s">
        <v>3128</v>
      </c>
      <c r="N526" s="25">
        <v>24</v>
      </c>
      <c r="O526" s="25"/>
      <c r="P526" s="25">
        <v>6</v>
      </c>
      <c r="Q526" s="25"/>
      <c r="R526" s="25"/>
      <c r="S526" s="25"/>
      <c r="T526" s="25"/>
      <c r="U526" s="31">
        <f t="shared" si="9"/>
        <v>6</v>
      </c>
      <c r="V526" s="25"/>
      <c r="W526" s="33" t="s">
        <v>198</v>
      </c>
      <c r="X526" s="33"/>
      <c r="Y526" s="33" t="s">
        <v>38</v>
      </c>
      <c r="Z526" s="33" t="s">
        <v>189</v>
      </c>
      <c r="AA526" s="33"/>
    </row>
    <row r="527" spans="1:27" s="70" customFormat="1" ht="33.75" x14ac:dyDescent="0.2">
      <c r="A527" s="24">
        <v>523</v>
      </c>
      <c r="B527" s="24" t="s">
        <v>3052</v>
      </c>
      <c r="C527" s="25" t="s">
        <v>3051</v>
      </c>
      <c r="D527" s="26" t="s">
        <v>3116</v>
      </c>
      <c r="E527" s="25" t="s">
        <v>3115</v>
      </c>
      <c r="F527" s="25" t="s">
        <v>3114</v>
      </c>
      <c r="G527" s="24"/>
      <c r="H527" s="25" t="s">
        <v>3166</v>
      </c>
      <c r="I527" s="24"/>
      <c r="J527" s="25" t="s">
        <v>3169</v>
      </c>
      <c r="K527" s="24"/>
      <c r="L527" s="25" t="s">
        <v>3180</v>
      </c>
      <c r="M527" s="25" t="s">
        <v>3128</v>
      </c>
      <c r="N527" s="25">
        <v>12</v>
      </c>
      <c r="O527" s="25"/>
      <c r="P527" s="25">
        <v>56</v>
      </c>
      <c r="Q527" s="25"/>
      <c r="R527" s="25"/>
      <c r="S527" s="25"/>
      <c r="T527" s="25"/>
      <c r="U527" s="31">
        <f t="shared" si="9"/>
        <v>56</v>
      </c>
      <c r="V527" s="25"/>
      <c r="W527" s="33" t="s">
        <v>198</v>
      </c>
      <c r="X527" s="33"/>
      <c r="Y527" s="33" t="s">
        <v>38</v>
      </c>
      <c r="Z527" s="33" t="s">
        <v>189</v>
      </c>
      <c r="AA527" s="33"/>
    </row>
    <row r="528" spans="1:27" s="70" customFormat="1" ht="33.75" x14ac:dyDescent="0.2">
      <c r="A528" s="24">
        <v>524</v>
      </c>
      <c r="B528" s="24" t="s">
        <v>3052</v>
      </c>
      <c r="C528" s="25" t="s">
        <v>3051</v>
      </c>
      <c r="D528" s="26" t="s">
        <v>3116</v>
      </c>
      <c r="E528" s="25" t="s">
        <v>3115</v>
      </c>
      <c r="F528" s="25" t="s">
        <v>3114</v>
      </c>
      <c r="G528" s="24"/>
      <c r="H528" s="25" t="s">
        <v>3166</v>
      </c>
      <c r="I528" s="24"/>
      <c r="J528" s="25" t="s">
        <v>3169</v>
      </c>
      <c r="K528" s="24"/>
      <c r="L528" s="25" t="s">
        <v>3179</v>
      </c>
      <c r="M528" s="25" t="s">
        <v>3128</v>
      </c>
      <c r="N528" s="25">
        <v>12</v>
      </c>
      <c r="O528" s="25"/>
      <c r="P528" s="25">
        <v>2</v>
      </c>
      <c r="Q528" s="25"/>
      <c r="R528" s="25"/>
      <c r="S528" s="25"/>
      <c r="T528" s="25"/>
      <c r="U528" s="31">
        <f t="shared" si="9"/>
        <v>2</v>
      </c>
      <c r="V528" s="25"/>
      <c r="W528" s="33" t="s">
        <v>198</v>
      </c>
      <c r="X528" s="33"/>
      <c r="Y528" s="33" t="s">
        <v>38</v>
      </c>
      <c r="Z528" s="33" t="s">
        <v>189</v>
      </c>
      <c r="AA528" s="33"/>
    </row>
    <row r="529" spans="1:27" s="70" customFormat="1" ht="33.75" x14ac:dyDescent="0.2">
      <c r="A529" s="24">
        <v>525</v>
      </c>
      <c r="B529" s="24" t="s">
        <v>3052</v>
      </c>
      <c r="C529" s="25" t="s">
        <v>3051</v>
      </c>
      <c r="D529" s="26" t="s">
        <v>3116</v>
      </c>
      <c r="E529" s="25" t="s">
        <v>3115</v>
      </c>
      <c r="F529" s="25" t="s">
        <v>3114</v>
      </c>
      <c r="G529" s="24"/>
      <c r="H529" s="25" t="s">
        <v>3166</v>
      </c>
      <c r="I529" s="24"/>
      <c r="J529" s="25" t="s">
        <v>3169</v>
      </c>
      <c r="K529" s="24"/>
      <c r="L529" s="25" t="s">
        <v>3178</v>
      </c>
      <c r="M529" s="25" t="s">
        <v>3128</v>
      </c>
      <c r="N529" s="25">
        <v>12</v>
      </c>
      <c r="O529" s="25"/>
      <c r="P529" s="25">
        <v>2</v>
      </c>
      <c r="Q529" s="25"/>
      <c r="R529" s="25"/>
      <c r="S529" s="25"/>
      <c r="T529" s="25"/>
      <c r="U529" s="31">
        <f t="shared" si="9"/>
        <v>2</v>
      </c>
      <c r="V529" s="25"/>
      <c r="W529" s="33" t="s">
        <v>198</v>
      </c>
      <c r="X529" s="33"/>
      <c r="Y529" s="33" t="s">
        <v>38</v>
      </c>
      <c r="Z529" s="33" t="s">
        <v>189</v>
      </c>
      <c r="AA529" s="33"/>
    </row>
    <row r="530" spans="1:27" s="70" customFormat="1" ht="33.75" x14ac:dyDescent="0.2">
      <c r="A530" s="24">
        <v>526</v>
      </c>
      <c r="B530" s="24" t="s">
        <v>3052</v>
      </c>
      <c r="C530" s="25" t="s">
        <v>3051</v>
      </c>
      <c r="D530" s="26" t="s">
        <v>3116</v>
      </c>
      <c r="E530" s="25" t="s">
        <v>3115</v>
      </c>
      <c r="F530" s="25" t="s">
        <v>3114</v>
      </c>
      <c r="G530" s="24"/>
      <c r="H530" s="25" t="s">
        <v>3166</v>
      </c>
      <c r="I530" s="24"/>
      <c r="J530" s="25" t="s">
        <v>3169</v>
      </c>
      <c r="K530" s="24"/>
      <c r="L530" s="25" t="s">
        <v>3177</v>
      </c>
      <c r="M530" s="25" t="s">
        <v>3128</v>
      </c>
      <c r="N530" s="25">
        <v>12</v>
      </c>
      <c r="O530" s="25"/>
      <c r="P530" s="25">
        <v>12</v>
      </c>
      <c r="Q530" s="25"/>
      <c r="R530" s="25"/>
      <c r="S530" s="25"/>
      <c r="T530" s="25"/>
      <c r="U530" s="31">
        <f t="shared" si="9"/>
        <v>12</v>
      </c>
      <c r="V530" s="25"/>
      <c r="W530" s="33" t="s">
        <v>198</v>
      </c>
      <c r="X530" s="33"/>
      <c r="Y530" s="33" t="s">
        <v>38</v>
      </c>
      <c r="Z530" s="33" t="s">
        <v>189</v>
      </c>
      <c r="AA530" s="33"/>
    </row>
    <row r="531" spans="1:27" s="70" customFormat="1" ht="33.75" x14ac:dyDescent="0.2">
      <c r="A531" s="24">
        <v>527</v>
      </c>
      <c r="B531" s="24" t="s">
        <v>3052</v>
      </c>
      <c r="C531" s="25" t="s">
        <v>3051</v>
      </c>
      <c r="D531" s="26" t="s">
        <v>3116</v>
      </c>
      <c r="E531" s="25" t="s">
        <v>3115</v>
      </c>
      <c r="F531" s="25" t="s">
        <v>3114</v>
      </c>
      <c r="G531" s="24"/>
      <c r="H531" s="25" t="s">
        <v>3166</v>
      </c>
      <c r="I531" s="24"/>
      <c r="J531" s="25" t="s">
        <v>3169</v>
      </c>
      <c r="K531" s="24"/>
      <c r="L531" s="25" t="s">
        <v>3176</v>
      </c>
      <c r="M531" s="25" t="s">
        <v>431</v>
      </c>
      <c r="N531" s="25">
        <v>12</v>
      </c>
      <c r="O531" s="25"/>
      <c r="P531" s="25">
        <v>2</v>
      </c>
      <c r="Q531" s="25"/>
      <c r="R531" s="25"/>
      <c r="S531" s="25"/>
      <c r="T531" s="25"/>
      <c r="U531" s="31">
        <f t="shared" si="9"/>
        <v>2</v>
      </c>
      <c r="V531" s="25"/>
      <c r="W531" s="33" t="s">
        <v>198</v>
      </c>
      <c r="X531" s="33"/>
      <c r="Y531" s="33" t="s">
        <v>38</v>
      </c>
      <c r="Z531" s="33" t="s">
        <v>189</v>
      </c>
      <c r="AA531" s="33"/>
    </row>
    <row r="532" spans="1:27" s="70" customFormat="1" ht="33.75" x14ac:dyDescent="0.2">
      <c r="A532" s="24">
        <v>528</v>
      </c>
      <c r="B532" s="24" t="s">
        <v>3052</v>
      </c>
      <c r="C532" s="25" t="s">
        <v>3051</v>
      </c>
      <c r="D532" s="26" t="s">
        <v>3116</v>
      </c>
      <c r="E532" s="25" t="s">
        <v>3115</v>
      </c>
      <c r="F532" s="25" t="s">
        <v>3114</v>
      </c>
      <c r="G532" s="24"/>
      <c r="H532" s="25" t="s">
        <v>3166</v>
      </c>
      <c r="I532" s="24"/>
      <c r="J532" s="25" t="s">
        <v>3169</v>
      </c>
      <c r="K532" s="24"/>
      <c r="L532" s="25" t="s">
        <v>3175</v>
      </c>
      <c r="M532" s="25" t="s">
        <v>190</v>
      </c>
      <c r="N532" s="25">
        <v>12</v>
      </c>
      <c r="O532" s="25"/>
      <c r="P532" s="25">
        <v>8</v>
      </c>
      <c r="Q532" s="25"/>
      <c r="R532" s="25"/>
      <c r="S532" s="25"/>
      <c r="T532" s="25"/>
      <c r="U532" s="31">
        <f t="shared" si="9"/>
        <v>8</v>
      </c>
      <c r="V532" s="25"/>
      <c r="W532" s="33" t="s">
        <v>198</v>
      </c>
      <c r="X532" s="33"/>
      <c r="Y532" s="33" t="s">
        <v>38</v>
      </c>
      <c r="Z532" s="33" t="s">
        <v>189</v>
      </c>
      <c r="AA532" s="33"/>
    </row>
    <row r="533" spans="1:27" s="70" customFormat="1" ht="33.75" x14ac:dyDescent="0.2">
      <c r="A533" s="24">
        <v>529</v>
      </c>
      <c r="B533" s="24" t="s">
        <v>3052</v>
      </c>
      <c r="C533" s="25" t="s">
        <v>3051</v>
      </c>
      <c r="D533" s="26" t="s">
        <v>3116</v>
      </c>
      <c r="E533" s="25" t="s">
        <v>3115</v>
      </c>
      <c r="F533" s="25" t="s">
        <v>3114</v>
      </c>
      <c r="G533" s="24"/>
      <c r="H533" s="25" t="s">
        <v>3166</v>
      </c>
      <c r="I533" s="24"/>
      <c r="J533" s="25" t="s">
        <v>3169</v>
      </c>
      <c r="K533" s="24"/>
      <c r="L533" s="25" t="s">
        <v>3174</v>
      </c>
      <c r="M533" s="25" t="s">
        <v>3128</v>
      </c>
      <c r="N533" s="25">
        <v>12</v>
      </c>
      <c r="O533" s="25"/>
      <c r="P533" s="25">
        <v>8</v>
      </c>
      <c r="Q533" s="25"/>
      <c r="R533" s="25"/>
      <c r="S533" s="25"/>
      <c r="T533" s="25"/>
      <c r="U533" s="31">
        <f t="shared" si="9"/>
        <v>8</v>
      </c>
      <c r="V533" s="25"/>
      <c r="W533" s="33" t="s">
        <v>198</v>
      </c>
      <c r="X533" s="33"/>
      <c r="Y533" s="33" t="s">
        <v>38</v>
      </c>
      <c r="Z533" s="33" t="s">
        <v>189</v>
      </c>
      <c r="AA533" s="33"/>
    </row>
    <row r="534" spans="1:27" s="70" customFormat="1" ht="33.75" x14ac:dyDescent="0.2">
      <c r="A534" s="24">
        <v>530</v>
      </c>
      <c r="B534" s="24" t="s">
        <v>3052</v>
      </c>
      <c r="C534" s="25" t="s">
        <v>3051</v>
      </c>
      <c r="D534" s="26" t="s">
        <v>3116</v>
      </c>
      <c r="E534" s="25" t="s">
        <v>3115</v>
      </c>
      <c r="F534" s="25" t="s">
        <v>3114</v>
      </c>
      <c r="G534" s="24"/>
      <c r="H534" s="25" t="s">
        <v>3166</v>
      </c>
      <c r="I534" s="24"/>
      <c r="J534" s="25" t="s">
        <v>3169</v>
      </c>
      <c r="K534" s="24"/>
      <c r="L534" s="25" t="s">
        <v>3173</v>
      </c>
      <c r="M534" s="25" t="s">
        <v>3128</v>
      </c>
      <c r="N534" s="25">
        <v>1</v>
      </c>
      <c r="O534" s="25"/>
      <c r="P534" s="25">
        <v>24</v>
      </c>
      <c r="Q534" s="25"/>
      <c r="R534" s="25"/>
      <c r="S534" s="25"/>
      <c r="T534" s="25"/>
      <c r="U534" s="31">
        <f t="shared" si="9"/>
        <v>24</v>
      </c>
      <c r="V534" s="25"/>
      <c r="W534" s="33" t="s">
        <v>198</v>
      </c>
      <c r="X534" s="33"/>
      <c r="Y534" s="33" t="s">
        <v>38</v>
      </c>
      <c r="Z534" s="33" t="s">
        <v>189</v>
      </c>
      <c r="AA534" s="33"/>
    </row>
    <row r="535" spans="1:27" s="70" customFormat="1" ht="33.75" x14ac:dyDescent="0.2">
      <c r="A535" s="24">
        <v>531</v>
      </c>
      <c r="B535" s="24" t="s">
        <v>3052</v>
      </c>
      <c r="C535" s="25" t="s">
        <v>3051</v>
      </c>
      <c r="D535" s="26" t="s">
        <v>3116</v>
      </c>
      <c r="E535" s="25" t="s">
        <v>3115</v>
      </c>
      <c r="F535" s="25" t="s">
        <v>3114</v>
      </c>
      <c r="G535" s="24"/>
      <c r="H535" s="25" t="s">
        <v>3166</v>
      </c>
      <c r="I535" s="24"/>
      <c r="J535" s="25" t="s">
        <v>3169</v>
      </c>
      <c r="K535" s="24"/>
      <c r="L535" s="25" t="s">
        <v>3172</v>
      </c>
      <c r="M535" s="25" t="s">
        <v>3128</v>
      </c>
      <c r="N535" s="25">
        <v>1</v>
      </c>
      <c r="O535" s="25"/>
      <c r="P535" s="25">
        <v>24</v>
      </c>
      <c r="Q535" s="25"/>
      <c r="R535" s="25"/>
      <c r="S535" s="25"/>
      <c r="T535" s="25"/>
      <c r="U535" s="31">
        <f t="shared" si="9"/>
        <v>24</v>
      </c>
      <c r="V535" s="25"/>
      <c r="W535" s="33" t="s">
        <v>198</v>
      </c>
      <c r="X535" s="33"/>
      <c r="Y535" s="33" t="s">
        <v>38</v>
      </c>
      <c r="Z535" s="33" t="s">
        <v>189</v>
      </c>
      <c r="AA535" s="33"/>
    </row>
    <row r="536" spans="1:27" s="70" customFormat="1" ht="33.75" x14ac:dyDescent="0.2">
      <c r="A536" s="24">
        <v>532</v>
      </c>
      <c r="B536" s="24" t="s">
        <v>3052</v>
      </c>
      <c r="C536" s="25" t="s">
        <v>3051</v>
      </c>
      <c r="D536" s="26" t="s">
        <v>3116</v>
      </c>
      <c r="E536" s="25" t="s">
        <v>3115</v>
      </c>
      <c r="F536" s="25" t="s">
        <v>3114</v>
      </c>
      <c r="G536" s="24"/>
      <c r="H536" s="25" t="s">
        <v>3166</v>
      </c>
      <c r="I536" s="24"/>
      <c r="J536" s="25" t="s">
        <v>3169</v>
      </c>
      <c r="K536" s="24"/>
      <c r="L536" s="25" t="s">
        <v>3171</v>
      </c>
      <c r="M536" s="25" t="s">
        <v>3128</v>
      </c>
      <c r="N536" s="25">
        <v>1</v>
      </c>
      <c r="O536" s="25"/>
      <c r="P536" s="25">
        <v>4</v>
      </c>
      <c r="Q536" s="25"/>
      <c r="R536" s="25"/>
      <c r="S536" s="25"/>
      <c r="T536" s="25"/>
      <c r="U536" s="31">
        <f t="shared" si="9"/>
        <v>4</v>
      </c>
      <c r="V536" s="25"/>
      <c r="W536" s="33" t="s">
        <v>198</v>
      </c>
      <c r="X536" s="33"/>
      <c r="Y536" s="33" t="s">
        <v>38</v>
      </c>
      <c r="Z536" s="33" t="s">
        <v>189</v>
      </c>
      <c r="AA536" s="33"/>
    </row>
    <row r="537" spans="1:27" s="70" customFormat="1" ht="33.75" x14ac:dyDescent="0.2">
      <c r="A537" s="24">
        <v>533</v>
      </c>
      <c r="B537" s="24" t="s">
        <v>3052</v>
      </c>
      <c r="C537" s="25" t="s">
        <v>3051</v>
      </c>
      <c r="D537" s="26" t="s">
        <v>3116</v>
      </c>
      <c r="E537" s="25" t="s">
        <v>3115</v>
      </c>
      <c r="F537" s="25" t="s">
        <v>3114</v>
      </c>
      <c r="G537" s="24"/>
      <c r="H537" s="25" t="s">
        <v>3166</v>
      </c>
      <c r="I537" s="24"/>
      <c r="J537" s="25" t="s">
        <v>3169</v>
      </c>
      <c r="K537" s="24"/>
      <c r="L537" s="25" t="s">
        <v>3170</v>
      </c>
      <c r="M537" s="25" t="s">
        <v>3128</v>
      </c>
      <c r="N537" s="25">
        <v>1</v>
      </c>
      <c r="O537" s="25"/>
      <c r="P537" s="25">
        <v>80</v>
      </c>
      <c r="Q537" s="25"/>
      <c r="R537" s="25"/>
      <c r="S537" s="25"/>
      <c r="T537" s="25"/>
      <c r="U537" s="31">
        <f t="shared" si="9"/>
        <v>80</v>
      </c>
      <c r="V537" s="25"/>
      <c r="W537" s="33" t="s">
        <v>198</v>
      </c>
      <c r="X537" s="33"/>
      <c r="Y537" s="33" t="s">
        <v>38</v>
      </c>
      <c r="Z537" s="33" t="s">
        <v>189</v>
      </c>
      <c r="AA537" s="33"/>
    </row>
    <row r="538" spans="1:27" s="70" customFormat="1" ht="33.75" x14ac:dyDescent="0.2">
      <c r="A538" s="24">
        <v>534</v>
      </c>
      <c r="B538" s="24" t="s">
        <v>3052</v>
      </c>
      <c r="C538" s="25" t="s">
        <v>3051</v>
      </c>
      <c r="D538" s="26" t="s">
        <v>3116</v>
      </c>
      <c r="E538" s="25" t="s">
        <v>3115</v>
      </c>
      <c r="F538" s="25" t="s">
        <v>3114</v>
      </c>
      <c r="G538" s="24"/>
      <c r="H538" s="25" t="s">
        <v>3166</v>
      </c>
      <c r="I538" s="24"/>
      <c r="J538" s="25" t="s">
        <v>3169</v>
      </c>
      <c r="K538" s="24"/>
      <c r="L538" s="25" t="s">
        <v>3168</v>
      </c>
      <c r="M538" s="25" t="s">
        <v>190</v>
      </c>
      <c r="N538" s="25">
        <v>12</v>
      </c>
      <c r="O538" s="25"/>
      <c r="P538" s="25">
        <v>0.5</v>
      </c>
      <c r="Q538" s="25"/>
      <c r="R538" s="25"/>
      <c r="S538" s="25"/>
      <c r="T538" s="25"/>
      <c r="U538" s="31">
        <f t="shared" si="9"/>
        <v>0.5</v>
      </c>
      <c r="V538" s="25"/>
      <c r="W538" s="33" t="s">
        <v>198</v>
      </c>
      <c r="X538" s="33" t="s">
        <v>2790</v>
      </c>
      <c r="Y538" s="33" t="s">
        <v>38</v>
      </c>
      <c r="Z538" s="33" t="s">
        <v>2702</v>
      </c>
      <c r="AA538" s="33"/>
    </row>
    <row r="539" spans="1:27" s="70" customFormat="1" ht="33.75" x14ac:dyDescent="0.2">
      <c r="A539" s="24">
        <v>535</v>
      </c>
      <c r="B539" s="24" t="s">
        <v>3052</v>
      </c>
      <c r="C539" s="25" t="s">
        <v>3051</v>
      </c>
      <c r="D539" s="26" t="s">
        <v>3116</v>
      </c>
      <c r="E539" s="25" t="s">
        <v>3115</v>
      </c>
      <c r="F539" s="25" t="s">
        <v>3114</v>
      </c>
      <c r="G539" s="24"/>
      <c r="H539" s="25" t="s">
        <v>3166</v>
      </c>
      <c r="I539" s="24"/>
      <c r="J539" s="25" t="s">
        <v>3165</v>
      </c>
      <c r="K539" s="24"/>
      <c r="L539" s="25" t="s">
        <v>3167</v>
      </c>
      <c r="M539" s="25" t="s">
        <v>3163</v>
      </c>
      <c r="N539" s="25">
        <v>8</v>
      </c>
      <c r="O539" s="25"/>
      <c r="P539" s="25">
        <v>20</v>
      </c>
      <c r="Q539" s="25">
        <v>20</v>
      </c>
      <c r="R539" s="25"/>
      <c r="S539" s="25">
        <v>12</v>
      </c>
      <c r="T539" s="25">
        <v>8</v>
      </c>
      <c r="U539" s="31">
        <f t="shared" si="9"/>
        <v>60</v>
      </c>
      <c r="V539" s="25"/>
      <c r="W539" s="33" t="s">
        <v>3162</v>
      </c>
      <c r="X539" s="33"/>
      <c r="Y539" s="33" t="s">
        <v>38</v>
      </c>
      <c r="Z539" s="33" t="s">
        <v>3161</v>
      </c>
      <c r="AA539" s="33"/>
    </row>
    <row r="540" spans="1:27" s="70" customFormat="1" ht="33.75" x14ac:dyDescent="0.2">
      <c r="A540" s="24">
        <v>536</v>
      </c>
      <c r="B540" s="24" t="s">
        <v>3052</v>
      </c>
      <c r="C540" s="25" t="s">
        <v>3051</v>
      </c>
      <c r="D540" s="26" t="s">
        <v>3116</v>
      </c>
      <c r="E540" s="25" t="s">
        <v>3115</v>
      </c>
      <c r="F540" s="25" t="s">
        <v>3114</v>
      </c>
      <c r="G540" s="24"/>
      <c r="H540" s="25" t="s">
        <v>3166</v>
      </c>
      <c r="I540" s="24"/>
      <c r="J540" s="25" t="s">
        <v>3165</v>
      </c>
      <c r="K540" s="24"/>
      <c r="L540" s="25" t="s">
        <v>3164</v>
      </c>
      <c r="M540" s="25" t="s">
        <v>3163</v>
      </c>
      <c r="N540" s="25">
        <v>24</v>
      </c>
      <c r="O540" s="25"/>
      <c r="P540" s="25">
        <v>10</v>
      </c>
      <c r="Q540" s="25">
        <v>10</v>
      </c>
      <c r="R540" s="25"/>
      <c r="S540" s="25">
        <v>8</v>
      </c>
      <c r="T540" s="25">
        <v>6</v>
      </c>
      <c r="U540" s="31">
        <f t="shared" si="9"/>
        <v>34</v>
      </c>
      <c r="V540" s="25"/>
      <c r="W540" s="33" t="s">
        <v>3162</v>
      </c>
      <c r="X540" s="33"/>
      <c r="Y540" s="33" t="s">
        <v>38</v>
      </c>
      <c r="Z540" s="33" t="s">
        <v>3161</v>
      </c>
      <c r="AA540" s="33"/>
    </row>
    <row r="541" spans="1:27" s="70" customFormat="1" ht="56.25" x14ac:dyDescent="0.2">
      <c r="A541" s="24">
        <v>537</v>
      </c>
      <c r="B541" s="24" t="s">
        <v>3052</v>
      </c>
      <c r="C541" s="25" t="s">
        <v>3051</v>
      </c>
      <c r="D541" s="26" t="s">
        <v>3116</v>
      </c>
      <c r="E541" s="25" t="s">
        <v>3115</v>
      </c>
      <c r="F541" s="25" t="s">
        <v>3114</v>
      </c>
      <c r="G541" s="24"/>
      <c r="H541" s="25" t="s">
        <v>3113</v>
      </c>
      <c r="I541" s="24"/>
      <c r="J541" s="25" t="s">
        <v>3113</v>
      </c>
      <c r="K541" s="24"/>
      <c r="L541" s="25" t="s">
        <v>3160</v>
      </c>
      <c r="M541" s="25" t="s">
        <v>3138</v>
      </c>
      <c r="N541" s="25">
        <v>48</v>
      </c>
      <c r="O541" s="25">
        <v>1</v>
      </c>
      <c r="P541" s="25">
        <v>1</v>
      </c>
      <c r="Q541" s="25">
        <v>1</v>
      </c>
      <c r="R541" s="25">
        <v>1</v>
      </c>
      <c r="S541" s="25">
        <v>0</v>
      </c>
      <c r="T541" s="25">
        <v>0</v>
      </c>
      <c r="U541" s="31">
        <f t="shared" si="9"/>
        <v>4</v>
      </c>
      <c r="V541" s="25"/>
      <c r="W541" s="33" t="s">
        <v>198</v>
      </c>
      <c r="X541" s="33" t="s">
        <v>3104</v>
      </c>
      <c r="Y541" s="33" t="s">
        <v>3103</v>
      </c>
      <c r="Z541" s="33" t="s">
        <v>3137</v>
      </c>
      <c r="AA541" s="33"/>
    </row>
    <row r="542" spans="1:27" s="70" customFormat="1" ht="33.75" x14ac:dyDescent="0.2">
      <c r="A542" s="24">
        <v>538</v>
      </c>
      <c r="B542" s="24" t="s">
        <v>3052</v>
      </c>
      <c r="C542" s="25" t="s">
        <v>3051</v>
      </c>
      <c r="D542" s="26" t="s">
        <v>3116</v>
      </c>
      <c r="E542" s="25" t="s">
        <v>3115</v>
      </c>
      <c r="F542" s="25" t="s">
        <v>3114</v>
      </c>
      <c r="G542" s="24"/>
      <c r="H542" s="25" t="s">
        <v>3113</v>
      </c>
      <c r="I542" s="24"/>
      <c r="J542" s="25" t="s">
        <v>3113</v>
      </c>
      <c r="K542" s="24"/>
      <c r="L542" s="25" t="s">
        <v>3159</v>
      </c>
      <c r="M542" s="25" t="s">
        <v>355</v>
      </c>
      <c r="N542" s="25">
        <v>1</v>
      </c>
      <c r="O542" s="25"/>
      <c r="P542" s="25">
        <v>39</v>
      </c>
      <c r="Q542" s="25">
        <v>44</v>
      </c>
      <c r="R542" s="25"/>
      <c r="S542" s="25">
        <v>8</v>
      </c>
      <c r="T542" s="25"/>
      <c r="U542" s="31">
        <f t="shared" si="9"/>
        <v>91</v>
      </c>
      <c r="V542" s="25"/>
      <c r="W542" s="33" t="s">
        <v>22</v>
      </c>
      <c r="X542" s="33"/>
      <c r="Y542" s="33" t="s">
        <v>38</v>
      </c>
      <c r="Z542" s="33" t="s">
        <v>3144</v>
      </c>
      <c r="AA542" s="33"/>
    </row>
    <row r="543" spans="1:27" s="70" customFormat="1" ht="33.75" x14ac:dyDescent="0.2">
      <c r="A543" s="24">
        <v>539</v>
      </c>
      <c r="B543" s="24" t="s">
        <v>3052</v>
      </c>
      <c r="C543" s="25" t="s">
        <v>3051</v>
      </c>
      <c r="D543" s="26" t="s">
        <v>3116</v>
      </c>
      <c r="E543" s="25" t="s">
        <v>3115</v>
      </c>
      <c r="F543" s="25" t="s">
        <v>3114</v>
      </c>
      <c r="G543" s="24"/>
      <c r="H543" s="25" t="s">
        <v>3113</v>
      </c>
      <c r="I543" s="24"/>
      <c r="J543" s="25" t="s">
        <v>3113</v>
      </c>
      <c r="K543" s="24"/>
      <c r="L543" s="25" t="s">
        <v>3158</v>
      </c>
      <c r="M543" s="25" t="s">
        <v>3157</v>
      </c>
      <c r="N543" s="25">
        <v>12</v>
      </c>
      <c r="O543" s="25">
        <v>4</v>
      </c>
      <c r="P543" s="25">
        <v>12</v>
      </c>
      <c r="Q543" s="25">
        <v>2</v>
      </c>
      <c r="R543" s="25"/>
      <c r="S543" s="25"/>
      <c r="T543" s="25"/>
      <c r="U543" s="31">
        <f t="shared" si="9"/>
        <v>18</v>
      </c>
      <c r="V543" s="25"/>
      <c r="W543" s="33" t="s">
        <v>22</v>
      </c>
      <c r="X543" s="33" t="s">
        <v>3156</v>
      </c>
      <c r="Y543" s="33" t="s">
        <v>38</v>
      </c>
      <c r="Z543" s="33" t="s">
        <v>3144</v>
      </c>
      <c r="AA543" s="33"/>
    </row>
    <row r="544" spans="1:27" s="70" customFormat="1" ht="33.75" x14ac:dyDescent="0.2">
      <c r="A544" s="24">
        <v>540</v>
      </c>
      <c r="B544" s="24" t="s">
        <v>3052</v>
      </c>
      <c r="C544" s="25" t="s">
        <v>3051</v>
      </c>
      <c r="D544" s="26" t="s">
        <v>3116</v>
      </c>
      <c r="E544" s="25" t="s">
        <v>3115</v>
      </c>
      <c r="F544" s="25" t="s">
        <v>3114</v>
      </c>
      <c r="G544" s="24"/>
      <c r="H544" s="25" t="s">
        <v>3113</v>
      </c>
      <c r="I544" s="24"/>
      <c r="J544" s="25" t="s">
        <v>3113</v>
      </c>
      <c r="K544" s="24"/>
      <c r="L544" s="25" t="s">
        <v>3155</v>
      </c>
      <c r="M544" s="25" t="s">
        <v>412</v>
      </c>
      <c r="N544" s="25">
        <v>44</v>
      </c>
      <c r="O544" s="25">
        <v>3</v>
      </c>
      <c r="P544" s="25">
        <v>6.6</v>
      </c>
      <c r="Q544" s="25">
        <v>4</v>
      </c>
      <c r="R544" s="25"/>
      <c r="S544" s="25">
        <v>1.6</v>
      </c>
      <c r="T544" s="25">
        <v>0.8</v>
      </c>
      <c r="U544" s="31">
        <f t="shared" si="9"/>
        <v>16</v>
      </c>
      <c r="V544" s="25"/>
      <c r="W544" s="33" t="s">
        <v>22</v>
      </c>
      <c r="X544" s="33"/>
      <c r="Y544" s="33" t="s">
        <v>38</v>
      </c>
      <c r="Z544" s="33" t="s">
        <v>3144</v>
      </c>
      <c r="AA544" s="33"/>
    </row>
    <row r="545" spans="1:27" s="70" customFormat="1" ht="33.75" x14ac:dyDescent="0.2">
      <c r="A545" s="24">
        <v>541</v>
      </c>
      <c r="B545" s="24" t="s">
        <v>3052</v>
      </c>
      <c r="C545" s="25" t="s">
        <v>3051</v>
      </c>
      <c r="D545" s="26" t="s">
        <v>3116</v>
      </c>
      <c r="E545" s="25" t="s">
        <v>3115</v>
      </c>
      <c r="F545" s="25" t="s">
        <v>3114</v>
      </c>
      <c r="G545" s="24"/>
      <c r="H545" s="25" t="s">
        <v>3113</v>
      </c>
      <c r="I545" s="24"/>
      <c r="J545" s="25" t="s">
        <v>3113</v>
      </c>
      <c r="K545" s="24"/>
      <c r="L545" s="25" t="s">
        <v>3154</v>
      </c>
      <c r="M545" s="25" t="s">
        <v>3128</v>
      </c>
      <c r="N545" s="25">
        <v>1</v>
      </c>
      <c r="O545" s="25"/>
      <c r="P545" s="25">
        <v>8</v>
      </c>
      <c r="Q545" s="25">
        <v>1</v>
      </c>
      <c r="R545" s="25"/>
      <c r="S545" s="25">
        <v>2</v>
      </c>
      <c r="T545" s="25">
        <v>2</v>
      </c>
      <c r="U545" s="31">
        <f t="shared" si="9"/>
        <v>13</v>
      </c>
      <c r="V545" s="25"/>
      <c r="W545" s="33"/>
      <c r="X545" s="33"/>
      <c r="Y545" s="33" t="s">
        <v>38</v>
      </c>
      <c r="Z545" s="33" t="s">
        <v>3144</v>
      </c>
      <c r="AA545" s="33"/>
    </row>
    <row r="546" spans="1:27" s="70" customFormat="1" ht="33.75" x14ac:dyDescent="0.2">
      <c r="A546" s="24">
        <v>542</v>
      </c>
      <c r="B546" s="24" t="s">
        <v>3052</v>
      </c>
      <c r="C546" s="25" t="s">
        <v>3051</v>
      </c>
      <c r="D546" s="26" t="s">
        <v>3116</v>
      </c>
      <c r="E546" s="25" t="s">
        <v>3115</v>
      </c>
      <c r="F546" s="25" t="s">
        <v>3114</v>
      </c>
      <c r="G546" s="24"/>
      <c r="H546" s="25" t="s">
        <v>3113</v>
      </c>
      <c r="I546" s="24"/>
      <c r="J546" s="25" t="s">
        <v>3113</v>
      </c>
      <c r="K546" s="24"/>
      <c r="L546" s="25" t="s">
        <v>3153</v>
      </c>
      <c r="M546" s="25" t="s">
        <v>3128</v>
      </c>
      <c r="N546" s="25">
        <v>1</v>
      </c>
      <c r="O546" s="25"/>
      <c r="P546" s="25">
        <v>12</v>
      </c>
      <c r="Q546" s="25">
        <v>5</v>
      </c>
      <c r="R546" s="25"/>
      <c r="S546" s="25">
        <v>2</v>
      </c>
      <c r="T546" s="25">
        <v>1</v>
      </c>
      <c r="U546" s="31">
        <f t="shared" si="9"/>
        <v>20</v>
      </c>
      <c r="V546" s="25"/>
      <c r="W546" s="33" t="s">
        <v>22</v>
      </c>
      <c r="X546" s="33" t="s">
        <v>3145</v>
      </c>
      <c r="Y546" s="33" t="s">
        <v>38</v>
      </c>
      <c r="Z546" s="33" t="s">
        <v>3144</v>
      </c>
      <c r="AA546" s="33"/>
    </row>
    <row r="547" spans="1:27" s="70" customFormat="1" ht="33.75" x14ac:dyDescent="0.2">
      <c r="A547" s="24">
        <v>543</v>
      </c>
      <c r="B547" s="24" t="s">
        <v>3052</v>
      </c>
      <c r="C547" s="25" t="s">
        <v>3051</v>
      </c>
      <c r="D547" s="26" t="s">
        <v>3116</v>
      </c>
      <c r="E547" s="25" t="s">
        <v>3115</v>
      </c>
      <c r="F547" s="25" t="s">
        <v>3114</v>
      </c>
      <c r="G547" s="24"/>
      <c r="H547" s="25" t="s">
        <v>3113</v>
      </c>
      <c r="I547" s="24"/>
      <c r="J547" s="25" t="s">
        <v>3113</v>
      </c>
      <c r="K547" s="24"/>
      <c r="L547" s="25" t="s">
        <v>3152</v>
      </c>
      <c r="M547" s="25" t="s">
        <v>1275</v>
      </c>
      <c r="N547" s="25">
        <v>1</v>
      </c>
      <c r="O547" s="25"/>
      <c r="P547" s="25">
        <v>3</v>
      </c>
      <c r="Q547" s="25"/>
      <c r="R547" s="25"/>
      <c r="S547" s="25">
        <v>1</v>
      </c>
      <c r="T547" s="25"/>
      <c r="U547" s="31">
        <f t="shared" si="9"/>
        <v>4</v>
      </c>
      <c r="V547" s="25"/>
      <c r="W547" s="33" t="s">
        <v>22</v>
      </c>
      <c r="X547" s="33"/>
      <c r="Y547" s="33" t="s">
        <v>38</v>
      </c>
      <c r="Z547" s="33" t="s">
        <v>3144</v>
      </c>
      <c r="AA547" s="33"/>
    </row>
    <row r="548" spans="1:27" s="70" customFormat="1" ht="33.75" x14ac:dyDescent="0.2">
      <c r="A548" s="24">
        <v>544</v>
      </c>
      <c r="B548" s="24" t="s">
        <v>3052</v>
      </c>
      <c r="C548" s="25" t="s">
        <v>3051</v>
      </c>
      <c r="D548" s="26" t="s">
        <v>3116</v>
      </c>
      <c r="E548" s="25" t="s">
        <v>3115</v>
      </c>
      <c r="F548" s="25" t="s">
        <v>3114</v>
      </c>
      <c r="G548" s="24"/>
      <c r="H548" s="25" t="s">
        <v>3113</v>
      </c>
      <c r="I548" s="24"/>
      <c r="J548" s="25" t="s">
        <v>3113</v>
      </c>
      <c r="K548" s="24"/>
      <c r="L548" s="25" t="s">
        <v>3151</v>
      </c>
      <c r="M548" s="25" t="s">
        <v>3128</v>
      </c>
      <c r="N548" s="25">
        <v>1</v>
      </c>
      <c r="O548" s="25"/>
      <c r="P548" s="25">
        <v>72</v>
      </c>
      <c r="Q548" s="25">
        <v>30</v>
      </c>
      <c r="R548" s="25"/>
      <c r="S548" s="25">
        <v>12</v>
      </c>
      <c r="T548" s="25">
        <v>6</v>
      </c>
      <c r="U548" s="31">
        <f t="shared" si="9"/>
        <v>120</v>
      </c>
      <c r="V548" s="25"/>
      <c r="W548" s="33" t="s">
        <v>22</v>
      </c>
      <c r="X548" s="33" t="s">
        <v>3150</v>
      </c>
      <c r="Y548" s="33" t="s">
        <v>38</v>
      </c>
      <c r="Z548" s="33" t="s">
        <v>3144</v>
      </c>
      <c r="AA548" s="33"/>
    </row>
    <row r="549" spans="1:27" s="70" customFormat="1" ht="33.75" x14ac:dyDescent="0.2">
      <c r="A549" s="24">
        <v>545</v>
      </c>
      <c r="B549" s="24" t="s">
        <v>3052</v>
      </c>
      <c r="C549" s="25" t="s">
        <v>3051</v>
      </c>
      <c r="D549" s="26" t="s">
        <v>3116</v>
      </c>
      <c r="E549" s="25" t="s">
        <v>3115</v>
      </c>
      <c r="F549" s="25" t="s">
        <v>3114</v>
      </c>
      <c r="G549" s="24"/>
      <c r="H549" s="25" t="s">
        <v>3113</v>
      </c>
      <c r="I549" s="24"/>
      <c r="J549" s="25" t="s">
        <v>3113</v>
      </c>
      <c r="K549" s="24"/>
      <c r="L549" s="25" t="s">
        <v>3149</v>
      </c>
      <c r="M549" s="25" t="s">
        <v>1692</v>
      </c>
      <c r="N549" s="25">
        <v>1</v>
      </c>
      <c r="O549" s="25"/>
      <c r="P549" s="25"/>
      <c r="Q549" s="25">
        <v>54</v>
      </c>
      <c r="R549" s="25"/>
      <c r="S549" s="25">
        <v>12</v>
      </c>
      <c r="T549" s="25">
        <v>6</v>
      </c>
      <c r="U549" s="31">
        <f t="shared" si="9"/>
        <v>72</v>
      </c>
      <c r="V549" s="25"/>
      <c r="W549" s="33"/>
      <c r="X549" s="33"/>
      <c r="Y549" s="33"/>
      <c r="Z549" s="33"/>
      <c r="AA549" s="33"/>
    </row>
    <row r="550" spans="1:27" s="70" customFormat="1" ht="33.75" x14ac:dyDescent="0.2">
      <c r="A550" s="24">
        <v>546</v>
      </c>
      <c r="B550" s="24" t="s">
        <v>3052</v>
      </c>
      <c r="C550" s="25" t="s">
        <v>3051</v>
      </c>
      <c r="D550" s="26" t="s">
        <v>3116</v>
      </c>
      <c r="E550" s="25" t="s">
        <v>3115</v>
      </c>
      <c r="F550" s="25" t="s">
        <v>3114</v>
      </c>
      <c r="G550" s="24"/>
      <c r="H550" s="25" t="s">
        <v>3113</v>
      </c>
      <c r="I550" s="24"/>
      <c r="J550" s="25" t="s">
        <v>3113</v>
      </c>
      <c r="K550" s="24"/>
      <c r="L550" s="25" t="s">
        <v>3148</v>
      </c>
      <c r="M550" s="25" t="s">
        <v>431</v>
      </c>
      <c r="N550" s="25">
        <v>1</v>
      </c>
      <c r="O550" s="25"/>
      <c r="P550" s="25">
        <v>28</v>
      </c>
      <c r="Q550" s="25">
        <v>10</v>
      </c>
      <c r="R550" s="25"/>
      <c r="S550" s="25">
        <v>4</v>
      </c>
      <c r="T550" s="25">
        <v>2</v>
      </c>
      <c r="U550" s="31">
        <f t="shared" si="9"/>
        <v>44</v>
      </c>
      <c r="V550" s="25"/>
      <c r="W550" s="33" t="s">
        <v>22</v>
      </c>
      <c r="X550" s="33" t="s">
        <v>3145</v>
      </c>
      <c r="Y550" s="33" t="s">
        <v>38</v>
      </c>
      <c r="Z550" s="33" t="s">
        <v>3144</v>
      </c>
      <c r="AA550" s="33"/>
    </row>
    <row r="551" spans="1:27" s="70" customFormat="1" ht="56.25" x14ac:dyDescent="0.2">
      <c r="A551" s="24">
        <v>547</v>
      </c>
      <c r="B551" s="24" t="s">
        <v>3052</v>
      </c>
      <c r="C551" s="25" t="s">
        <v>3051</v>
      </c>
      <c r="D551" s="26" t="s">
        <v>3116</v>
      </c>
      <c r="E551" s="25" t="s">
        <v>3115</v>
      </c>
      <c r="F551" s="25" t="s">
        <v>3114</v>
      </c>
      <c r="G551" s="24"/>
      <c r="H551" s="25" t="s">
        <v>3113</v>
      </c>
      <c r="I551" s="24"/>
      <c r="J551" s="25" t="s">
        <v>3113</v>
      </c>
      <c r="K551" s="24"/>
      <c r="L551" s="25" t="s">
        <v>3147</v>
      </c>
      <c r="M551" s="25" t="s">
        <v>3146</v>
      </c>
      <c r="N551" s="25">
        <v>1</v>
      </c>
      <c r="O551" s="25"/>
      <c r="P551" s="25">
        <v>80</v>
      </c>
      <c r="Q551" s="25">
        <v>12</v>
      </c>
      <c r="R551" s="25"/>
      <c r="S551" s="25">
        <v>4</v>
      </c>
      <c r="T551" s="25"/>
      <c r="U551" s="31">
        <f t="shared" si="9"/>
        <v>96</v>
      </c>
      <c r="V551" s="25"/>
      <c r="W551" s="33" t="s">
        <v>22</v>
      </c>
      <c r="X551" s="33" t="s">
        <v>3145</v>
      </c>
      <c r="Y551" s="33" t="s">
        <v>38</v>
      </c>
      <c r="Z551" s="33" t="s">
        <v>3144</v>
      </c>
      <c r="AA551" s="33"/>
    </row>
    <row r="552" spans="1:27" s="70" customFormat="1" ht="33.75" x14ac:dyDescent="0.2">
      <c r="A552" s="24">
        <v>548</v>
      </c>
      <c r="B552" s="24" t="s">
        <v>3052</v>
      </c>
      <c r="C552" s="25" t="s">
        <v>3051</v>
      </c>
      <c r="D552" s="26" t="s">
        <v>3116</v>
      </c>
      <c r="E552" s="25" t="s">
        <v>3115</v>
      </c>
      <c r="F552" s="25" t="s">
        <v>3114</v>
      </c>
      <c r="G552" s="24"/>
      <c r="H552" s="25" t="s">
        <v>3113</v>
      </c>
      <c r="I552" s="24"/>
      <c r="J552" s="25" t="s">
        <v>3113</v>
      </c>
      <c r="K552" s="24"/>
      <c r="L552" s="25" t="s">
        <v>3143</v>
      </c>
      <c r="M552" s="25" t="s">
        <v>3142</v>
      </c>
      <c r="N552" s="25">
        <v>104</v>
      </c>
      <c r="O552" s="25"/>
      <c r="P552" s="25"/>
      <c r="Q552" s="25"/>
      <c r="R552" s="25"/>
      <c r="S552" s="25">
        <v>2</v>
      </c>
      <c r="T552" s="25"/>
      <c r="U552" s="31">
        <f t="shared" si="9"/>
        <v>2</v>
      </c>
      <c r="V552" s="25"/>
      <c r="W552" s="33" t="s">
        <v>3141</v>
      </c>
      <c r="X552" s="33"/>
      <c r="Y552" s="33"/>
      <c r="Z552" s="33"/>
      <c r="AA552" s="33"/>
    </row>
    <row r="553" spans="1:27" s="70" customFormat="1" ht="56.25" x14ac:dyDescent="0.2">
      <c r="A553" s="24">
        <v>549</v>
      </c>
      <c r="B553" s="24" t="s">
        <v>3052</v>
      </c>
      <c r="C553" s="25" t="s">
        <v>3051</v>
      </c>
      <c r="D553" s="26" t="s">
        <v>3116</v>
      </c>
      <c r="E553" s="25" t="s">
        <v>3115</v>
      </c>
      <c r="F553" s="25" t="s">
        <v>3114</v>
      </c>
      <c r="G553" s="24"/>
      <c r="H553" s="25" t="s">
        <v>3113</v>
      </c>
      <c r="I553" s="24"/>
      <c r="J553" s="25" t="s">
        <v>3113</v>
      </c>
      <c r="K553" s="24"/>
      <c r="L553" s="25" t="s">
        <v>3140</v>
      </c>
      <c r="M553" s="25" t="s">
        <v>3138</v>
      </c>
      <c r="N553" s="25">
        <v>48</v>
      </c>
      <c r="O553" s="25">
        <v>1</v>
      </c>
      <c r="P553" s="25">
        <v>1</v>
      </c>
      <c r="Q553" s="25">
        <v>1</v>
      </c>
      <c r="R553" s="25">
        <v>1</v>
      </c>
      <c r="S553" s="25">
        <v>0</v>
      </c>
      <c r="T553" s="25">
        <v>0</v>
      </c>
      <c r="U553" s="31">
        <f t="shared" si="9"/>
        <v>4</v>
      </c>
      <c r="V553" s="25"/>
      <c r="W553" s="33" t="s">
        <v>198</v>
      </c>
      <c r="X553" s="33" t="s">
        <v>3104</v>
      </c>
      <c r="Y553" s="33" t="s">
        <v>3103</v>
      </c>
      <c r="Z553" s="33" t="s">
        <v>3137</v>
      </c>
      <c r="AA553" s="33"/>
    </row>
    <row r="554" spans="1:27" s="70" customFormat="1" ht="56.25" x14ac:dyDescent="0.2">
      <c r="A554" s="24">
        <v>550</v>
      </c>
      <c r="B554" s="24" t="s">
        <v>3052</v>
      </c>
      <c r="C554" s="25" t="s">
        <v>3051</v>
      </c>
      <c r="D554" s="26" t="s">
        <v>3116</v>
      </c>
      <c r="E554" s="25" t="s">
        <v>3115</v>
      </c>
      <c r="F554" s="25" t="s">
        <v>3114</v>
      </c>
      <c r="G554" s="24"/>
      <c r="H554" s="25" t="s">
        <v>3113</v>
      </c>
      <c r="I554" s="24"/>
      <c r="J554" s="25" t="s">
        <v>3113</v>
      </c>
      <c r="K554" s="24"/>
      <c r="L554" s="25" t="s">
        <v>3139</v>
      </c>
      <c r="M554" s="25" t="s">
        <v>3138</v>
      </c>
      <c r="N554" s="25">
        <v>1200</v>
      </c>
      <c r="O554" s="25">
        <v>6.25E-2</v>
      </c>
      <c r="P554" s="25">
        <v>6.25E-2</v>
      </c>
      <c r="Q554" s="25">
        <v>6.25E-2</v>
      </c>
      <c r="R554" s="25">
        <v>6.25E-2</v>
      </c>
      <c r="S554" s="25">
        <v>0</v>
      </c>
      <c r="T554" s="25">
        <v>0</v>
      </c>
      <c r="U554" s="31">
        <f t="shared" si="9"/>
        <v>0.25</v>
      </c>
      <c r="V554" s="25"/>
      <c r="W554" s="33" t="s">
        <v>198</v>
      </c>
      <c r="X554" s="33" t="s">
        <v>3104</v>
      </c>
      <c r="Y554" s="33" t="s">
        <v>3103</v>
      </c>
      <c r="Z554" s="33" t="s">
        <v>3137</v>
      </c>
      <c r="AA554" s="33"/>
    </row>
    <row r="555" spans="1:27" s="70" customFormat="1" ht="33.75" x14ac:dyDescent="0.2">
      <c r="A555" s="24">
        <v>551</v>
      </c>
      <c r="B555" s="24" t="s">
        <v>3052</v>
      </c>
      <c r="C555" s="25" t="s">
        <v>3051</v>
      </c>
      <c r="D555" s="26" t="s">
        <v>3116</v>
      </c>
      <c r="E555" s="25" t="s">
        <v>3115</v>
      </c>
      <c r="F555" s="25" t="s">
        <v>3114</v>
      </c>
      <c r="G555" s="24"/>
      <c r="H555" s="25" t="s">
        <v>3113</v>
      </c>
      <c r="I555" s="24"/>
      <c r="J555" s="25" t="s">
        <v>3113</v>
      </c>
      <c r="K555" s="24"/>
      <c r="L555" s="25" t="s">
        <v>3136</v>
      </c>
      <c r="M555" s="25" t="s">
        <v>3135</v>
      </c>
      <c r="N555" s="25">
        <v>2807</v>
      </c>
      <c r="O555" s="25">
        <v>0.25</v>
      </c>
      <c r="P555" s="25">
        <v>0.13888888888888887</v>
      </c>
      <c r="Q555" s="25">
        <v>8.3333333333333329E-2</v>
      </c>
      <c r="R555" s="25"/>
      <c r="S555" s="25"/>
      <c r="T555" s="25"/>
      <c r="U555" s="31">
        <f t="shared" si="9"/>
        <v>0.47222222222222215</v>
      </c>
      <c r="V555" s="25"/>
      <c r="W555" s="33" t="s">
        <v>198</v>
      </c>
      <c r="X555" s="33" t="s">
        <v>3132</v>
      </c>
      <c r="Y555" s="33" t="s">
        <v>3131</v>
      </c>
      <c r="Z555" s="33" t="s">
        <v>1499</v>
      </c>
      <c r="AA555" s="33"/>
    </row>
    <row r="556" spans="1:27" s="70" customFormat="1" ht="33.75" x14ac:dyDescent="0.2">
      <c r="A556" s="24">
        <v>552</v>
      </c>
      <c r="B556" s="24" t="s">
        <v>3052</v>
      </c>
      <c r="C556" s="25" t="s">
        <v>3051</v>
      </c>
      <c r="D556" s="26" t="s">
        <v>3116</v>
      </c>
      <c r="E556" s="25" t="s">
        <v>3115</v>
      </c>
      <c r="F556" s="25" t="s">
        <v>3114</v>
      </c>
      <c r="G556" s="24"/>
      <c r="H556" s="25" t="s">
        <v>3113</v>
      </c>
      <c r="I556" s="24"/>
      <c r="J556" s="25" t="s">
        <v>3113</v>
      </c>
      <c r="K556" s="24"/>
      <c r="L556" s="25" t="s">
        <v>3134</v>
      </c>
      <c r="M556" s="25" t="s">
        <v>190</v>
      </c>
      <c r="N556" s="25">
        <v>312</v>
      </c>
      <c r="O556" s="25"/>
      <c r="P556" s="25">
        <v>0.25</v>
      </c>
      <c r="Q556" s="25">
        <v>0.16666666666666666</v>
      </c>
      <c r="R556" s="25"/>
      <c r="S556" s="25"/>
      <c r="T556" s="25"/>
      <c r="U556" s="31">
        <f t="shared" si="9"/>
        <v>0.41666666666666663</v>
      </c>
      <c r="V556" s="25"/>
      <c r="W556" s="33" t="s">
        <v>198</v>
      </c>
      <c r="X556" s="33" t="s">
        <v>3132</v>
      </c>
      <c r="Y556" s="33" t="s">
        <v>3131</v>
      </c>
      <c r="Z556" s="33" t="s">
        <v>1499</v>
      </c>
      <c r="AA556" s="33"/>
    </row>
    <row r="557" spans="1:27" s="70" customFormat="1" ht="33.75" x14ac:dyDescent="0.2">
      <c r="A557" s="24">
        <v>553</v>
      </c>
      <c r="B557" s="24" t="s">
        <v>3052</v>
      </c>
      <c r="C557" s="25" t="s">
        <v>3051</v>
      </c>
      <c r="D557" s="26" t="s">
        <v>3116</v>
      </c>
      <c r="E557" s="25" t="s">
        <v>3115</v>
      </c>
      <c r="F557" s="25" t="s">
        <v>3114</v>
      </c>
      <c r="G557" s="24"/>
      <c r="H557" s="25" t="s">
        <v>3113</v>
      </c>
      <c r="I557" s="24"/>
      <c r="J557" s="25" t="s">
        <v>3113</v>
      </c>
      <c r="K557" s="24"/>
      <c r="L557" s="25" t="s">
        <v>3133</v>
      </c>
      <c r="M557" s="25" t="s">
        <v>3128</v>
      </c>
      <c r="N557" s="25">
        <v>1</v>
      </c>
      <c r="O557" s="25"/>
      <c r="P557" s="25"/>
      <c r="Q557" s="25">
        <v>176</v>
      </c>
      <c r="R557" s="25"/>
      <c r="S557" s="25"/>
      <c r="T557" s="25"/>
      <c r="U557" s="31">
        <f t="shared" si="9"/>
        <v>176</v>
      </c>
      <c r="V557" s="25"/>
      <c r="W557" s="33" t="s">
        <v>198</v>
      </c>
      <c r="X557" s="33" t="s">
        <v>3132</v>
      </c>
      <c r="Y557" s="33" t="s">
        <v>3131</v>
      </c>
      <c r="Z557" s="33" t="s">
        <v>189</v>
      </c>
      <c r="AA557" s="33"/>
    </row>
    <row r="558" spans="1:27" s="70" customFormat="1" ht="33.75" x14ac:dyDescent="0.2">
      <c r="A558" s="24">
        <v>554</v>
      </c>
      <c r="B558" s="24" t="s">
        <v>3052</v>
      </c>
      <c r="C558" s="25" t="s">
        <v>3051</v>
      </c>
      <c r="D558" s="26" t="s">
        <v>3116</v>
      </c>
      <c r="E558" s="25" t="s">
        <v>3115</v>
      </c>
      <c r="F558" s="25" t="s">
        <v>3114</v>
      </c>
      <c r="G558" s="24"/>
      <c r="H558" s="25" t="s">
        <v>3113</v>
      </c>
      <c r="I558" s="24"/>
      <c r="J558" s="25" t="s">
        <v>3113</v>
      </c>
      <c r="K558" s="24"/>
      <c r="L558" s="25" t="s">
        <v>3130</v>
      </c>
      <c r="M558" s="25" t="s">
        <v>3128</v>
      </c>
      <c r="N558" s="25">
        <v>12</v>
      </c>
      <c r="O558" s="25">
        <v>0.25</v>
      </c>
      <c r="P558" s="25"/>
      <c r="Q558" s="25"/>
      <c r="R558" s="25"/>
      <c r="S558" s="25">
        <v>0.15</v>
      </c>
      <c r="T558" s="25"/>
      <c r="U558" s="31">
        <f t="shared" si="9"/>
        <v>0.4</v>
      </c>
      <c r="V558" s="25"/>
      <c r="W558" s="33" t="s">
        <v>1793</v>
      </c>
      <c r="X558" s="33" t="s">
        <v>2790</v>
      </c>
      <c r="Y558" s="33" t="s">
        <v>38</v>
      </c>
      <c r="Z558" s="33"/>
      <c r="AA558" s="33"/>
    </row>
    <row r="559" spans="1:27" s="70" customFormat="1" ht="33.75" x14ac:dyDescent="0.2">
      <c r="A559" s="24">
        <v>555</v>
      </c>
      <c r="B559" s="24" t="s">
        <v>3052</v>
      </c>
      <c r="C559" s="25" t="s">
        <v>3051</v>
      </c>
      <c r="D559" s="26" t="s">
        <v>3116</v>
      </c>
      <c r="E559" s="25" t="s">
        <v>3115</v>
      </c>
      <c r="F559" s="25" t="s">
        <v>3114</v>
      </c>
      <c r="G559" s="24"/>
      <c r="H559" s="25" t="s">
        <v>3113</v>
      </c>
      <c r="I559" s="24"/>
      <c r="J559" s="25" t="s">
        <v>3113</v>
      </c>
      <c r="K559" s="24"/>
      <c r="L559" s="25" t="s">
        <v>3129</v>
      </c>
      <c r="M559" s="25" t="s">
        <v>3128</v>
      </c>
      <c r="N559" s="25">
        <v>12</v>
      </c>
      <c r="O559" s="25"/>
      <c r="P559" s="25">
        <v>2</v>
      </c>
      <c r="Q559" s="25"/>
      <c r="R559" s="25"/>
      <c r="S559" s="25"/>
      <c r="T559" s="25"/>
      <c r="U559" s="31">
        <f t="shared" si="9"/>
        <v>2</v>
      </c>
      <c r="V559" s="25"/>
      <c r="W559" s="33" t="s">
        <v>1116</v>
      </c>
      <c r="X559" s="33" t="s">
        <v>3127</v>
      </c>
      <c r="Y559" s="33" t="s">
        <v>38</v>
      </c>
      <c r="Z559" s="33" t="s">
        <v>189</v>
      </c>
      <c r="AA559" s="33"/>
    </row>
    <row r="560" spans="1:27" s="70" customFormat="1" ht="67.5" x14ac:dyDescent="0.2">
      <c r="A560" s="24">
        <v>556</v>
      </c>
      <c r="B560" s="24" t="s">
        <v>3052</v>
      </c>
      <c r="C560" s="25" t="s">
        <v>3051</v>
      </c>
      <c r="D560" s="26" t="s">
        <v>3116</v>
      </c>
      <c r="E560" s="25" t="s">
        <v>3115</v>
      </c>
      <c r="F560" s="25" t="s">
        <v>3114</v>
      </c>
      <c r="G560" s="24"/>
      <c r="H560" s="25" t="s">
        <v>3113</v>
      </c>
      <c r="I560" s="24"/>
      <c r="J560" s="25" t="s">
        <v>3113</v>
      </c>
      <c r="K560" s="24"/>
      <c r="L560" s="25" t="s">
        <v>3126</v>
      </c>
      <c r="M560" s="25" t="s">
        <v>23</v>
      </c>
      <c r="N560" s="25">
        <v>1</v>
      </c>
      <c r="O560" s="25"/>
      <c r="P560" s="25"/>
      <c r="Q560" s="25">
        <v>88</v>
      </c>
      <c r="R560" s="25"/>
      <c r="S560" s="25"/>
      <c r="T560" s="25"/>
      <c r="U560" s="31">
        <f t="shared" si="9"/>
        <v>88</v>
      </c>
      <c r="V560" s="25"/>
      <c r="W560" s="33" t="s">
        <v>3125</v>
      </c>
      <c r="X560" s="33"/>
      <c r="Y560" s="33" t="s">
        <v>38</v>
      </c>
      <c r="Z560" s="33"/>
      <c r="AA560" s="33"/>
    </row>
    <row r="561" spans="1:27" s="70" customFormat="1" ht="56.25" x14ac:dyDescent="0.2">
      <c r="A561" s="24">
        <v>557</v>
      </c>
      <c r="B561" s="24" t="s">
        <v>3052</v>
      </c>
      <c r="C561" s="25" t="s">
        <v>3051</v>
      </c>
      <c r="D561" s="26" t="s">
        <v>3116</v>
      </c>
      <c r="E561" s="25" t="s">
        <v>3115</v>
      </c>
      <c r="F561" s="25" t="s">
        <v>3114</v>
      </c>
      <c r="G561" s="24"/>
      <c r="H561" s="25" t="s">
        <v>3113</v>
      </c>
      <c r="I561" s="24"/>
      <c r="J561" s="25" t="s">
        <v>3113</v>
      </c>
      <c r="K561" s="24"/>
      <c r="L561" s="25" t="s">
        <v>3124</v>
      </c>
      <c r="M561" s="25" t="s">
        <v>23</v>
      </c>
      <c r="N561" s="25">
        <v>1</v>
      </c>
      <c r="O561" s="25"/>
      <c r="P561" s="25">
        <v>176</v>
      </c>
      <c r="Q561" s="25">
        <v>132</v>
      </c>
      <c r="R561" s="25"/>
      <c r="S561" s="25"/>
      <c r="T561" s="25"/>
      <c r="U561" s="31">
        <f t="shared" si="9"/>
        <v>308</v>
      </c>
      <c r="V561" s="25"/>
      <c r="W561" s="33" t="s">
        <v>3123</v>
      </c>
      <c r="X561" s="33" t="s">
        <v>2790</v>
      </c>
      <c r="Y561" s="33" t="s">
        <v>38</v>
      </c>
      <c r="Z561" s="33"/>
      <c r="AA561" s="33"/>
    </row>
    <row r="562" spans="1:27" s="70" customFormat="1" ht="33.75" x14ac:dyDescent="0.2">
      <c r="A562" s="24">
        <v>558</v>
      </c>
      <c r="B562" s="24" t="s">
        <v>3052</v>
      </c>
      <c r="C562" s="25" t="s">
        <v>3051</v>
      </c>
      <c r="D562" s="26" t="s">
        <v>3116</v>
      </c>
      <c r="E562" s="25" t="s">
        <v>3115</v>
      </c>
      <c r="F562" s="25" t="s">
        <v>3114</v>
      </c>
      <c r="G562" s="24"/>
      <c r="H562" s="25" t="s">
        <v>3113</v>
      </c>
      <c r="I562" s="24"/>
      <c r="J562" s="25" t="s">
        <v>3113</v>
      </c>
      <c r="K562" s="24"/>
      <c r="L562" s="25" t="s">
        <v>3122</v>
      </c>
      <c r="M562" s="25" t="s">
        <v>3121</v>
      </c>
      <c r="N562" s="25">
        <v>60</v>
      </c>
      <c r="O562" s="25"/>
      <c r="P562" s="25"/>
      <c r="Q562" s="25">
        <v>0.75</v>
      </c>
      <c r="R562" s="25"/>
      <c r="S562" s="25"/>
      <c r="T562" s="25">
        <v>0.5</v>
      </c>
      <c r="U562" s="31">
        <f t="shared" si="9"/>
        <v>1.25</v>
      </c>
      <c r="V562" s="25"/>
      <c r="W562" s="33" t="s">
        <v>375</v>
      </c>
      <c r="X562" s="33"/>
      <c r="Y562" s="33" t="s">
        <v>38</v>
      </c>
      <c r="Z562" s="33"/>
      <c r="AA562" s="33"/>
    </row>
    <row r="563" spans="1:27" s="70" customFormat="1" ht="33.75" x14ac:dyDescent="0.2">
      <c r="A563" s="24">
        <v>559</v>
      </c>
      <c r="B563" s="24" t="s">
        <v>3052</v>
      </c>
      <c r="C563" s="25" t="s">
        <v>3051</v>
      </c>
      <c r="D563" s="26" t="s">
        <v>3116</v>
      </c>
      <c r="E563" s="25" t="s">
        <v>3115</v>
      </c>
      <c r="F563" s="25" t="s">
        <v>3114</v>
      </c>
      <c r="G563" s="24"/>
      <c r="H563" s="25" t="s">
        <v>3113</v>
      </c>
      <c r="I563" s="24"/>
      <c r="J563" s="25" t="s">
        <v>3113</v>
      </c>
      <c r="K563" s="24"/>
      <c r="L563" s="25" t="s">
        <v>3120</v>
      </c>
      <c r="M563" s="25" t="s">
        <v>3119</v>
      </c>
      <c r="N563" s="25">
        <v>160</v>
      </c>
      <c r="O563" s="25"/>
      <c r="P563" s="25">
        <v>2.6666666666666665</v>
      </c>
      <c r="Q563" s="25">
        <v>2</v>
      </c>
      <c r="R563" s="25"/>
      <c r="S563" s="25"/>
      <c r="T563" s="25">
        <v>2</v>
      </c>
      <c r="U563" s="31">
        <f t="shared" si="9"/>
        <v>6.6666666666666661</v>
      </c>
      <c r="V563" s="25"/>
      <c r="W563" s="33" t="s">
        <v>3118</v>
      </c>
      <c r="X563" s="33"/>
      <c r="Y563" s="33" t="s">
        <v>38</v>
      </c>
      <c r="Z563" s="33" t="s">
        <v>3117</v>
      </c>
      <c r="AA563" s="33"/>
    </row>
    <row r="564" spans="1:27" s="70" customFormat="1" ht="33.75" x14ac:dyDescent="0.2">
      <c r="A564" s="24">
        <v>560</v>
      </c>
      <c r="B564" s="24" t="s">
        <v>3052</v>
      </c>
      <c r="C564" s="25" t="s">
        <v>3051</v>
      </c>
      <c r="D564" s="26" t="s">
        <v>3116</v>
      </c>
      <c r="E564" s="25" t="s">
        <v>3115</v>
      </c>
      <c r="F564" s="25" t="s">
        <v>3114</v>
      </c>
      <c r="G564" s="24"/>
      <c r="H564" s="25" t="s">
        <v>3113</v>
      </c>
      <c r="I564" s="24"/>
      <c r="J564" s="25" t="s">
        <v>3113</v>
      </c>
      <c r="K564" s="24"/>
      <c r="L564" s="25" t="s">
        <v>3112</v>
      </c>
      <c r="M564" s="25" t="s">
        <v>3111</v>
      </c>
      <c r="N564" s="25"/>
      <c r="O564" s="25"/>
      <c r="P564" s="25">
        <v>2</v>
      </c>
      <c r="Q564" s="25">
        <v>2</v>
      </c>
      <c r="R564" s="25"/>
      <c r="S564" s="25">
        <v>2</v>
      </c>
      <c r="T564" s="25">
        <v>2</v>
      </c>
      <c r="U564" s="31">
        <f t="shared" si="9"/>
        <v>8</v>
      </c>
      <c r="V564" s="25"/>
      <c r="W564" s="33" t="s">
        <v>198</v>
      </c>
      <c r="X564" s="33"/>
      <c r="Y564" s="33" t="s">
        <v>38</v>
      </c>
      <c r="Z564" s="33" t="s">
        <v>3110</v>
      </c>
      <c r="AA564" s="33"/>
    </row>
    <row r="565" spans="1:27" s="70" customFormat="1" ht="56.25" x14ac:dyDescent="0.2">
      <c r="A565" s="24">
        <v>561</v>
      </c>
      <c r="B565" s="24" t="s">
        <v>3052</v>
      </c>
      <c r="C565" s="25" t="s">
        <v>3051</v>
      </c>
      <c r="D565" s="26"/>
      <c r="E565" s="25" t="s">
        <v>3050</v>
      </c>
      <c r="F565" s="25" t="s">
        <v>3049</v>
      </c>
      <c r="G565" s="24"/>
      <c r="H565" s="25" t="s">
        <v>3101</v>
      </c>
      <c r="I565" s="27"/>
      <c r="J565" s="28" t="s">
        <v>3109</v>
      </c>
      <c r="K565" s="27"/>
      <c r="L565" s="25" t="s">
        <v>3108</v>
      </c>
      <c r="M565" s="25" t="s">
        <v>3105</v>
      </c>
      <c r="N565" s="25">
        <v>9</v>
      </c>
      <c r="O565" s="25">
        <v>0.44444444444444442</v>
      </c>
      <c r="P565" s="25">
        <v>2.6666666666666665</v>
      </c>
      <c r="Q565" s="25">
        <v>0.44444444444444442</v>
      </c>
      <c r="R565" s="25">
        <v>0.44444444444444442</v>
      </c>
      <c r="S565" s="25">
        <v>1</v>
      </c>
      <c r="T565" s="25">
        <v>1</v>
      </c>
      <c r="U565" s="31">
        <f t="shared" si="9"/>
        <v>6</v>
      </c>
      <c r="V565" s="25"/>
      <c r="W565" s="33" t="s">
        <v>198</v>
      </c>
      <c r="X565" s="33" t="s">
        <v>3104</v>
      </c>
      <c r="Y565" s="33" t="s">
        <v>3103</v>
      </c>
      <c r="Z565" s="33" t="s">
        <v>3102</v>
      </c>
      <c r="AA565" s="33"/>
    </row>
    <row r="566" spans="1:27" s="70" customFormat="1" ht="56.25" x14ac:dyDescent="0.2">
      <c r="A566" s="24">
        <v>562</v>
      </c>
      <c r="B566" s="24" t="s">
        <v>3052</v>
      </c>
      <c r="C566" s="25" t="s">
        <v>3051</v>
      </c>
      <c r="D566" s="26"/>
      <c r="E566" s="25" t="s">
        <v>3050</v>
      </c>
      <c r="F566" s="25" t="s">
        <v>3049</v>
      </c>
      <c r="G566" s="24"/>
      <c r="H566" s="25" t="s">
        <v>3101</v>
      </c>
      <c r="I566" s="27"/>
      <c r="J566" s="28" t="s">
        <v>3107</v>
      </c>
      <c r="K566" s="27"/>
      <c r="L566" s="25" t="s">
        <v>3106</v>
      </c>
      <c r="M566" s="25" t="s">
        <v>3105</v>
      </c>
      <c r="N566" s="25">
        <v>3</v>
      </c>
      <c r="O566" s="25">
        <v>0</v>
      </c>
      <c r="P566" s="25">
        <v>6.666666666666667</v>
      </c>
      <c r="Q566" s="25">
        <v>6.666666666666667</v>
      </c>
      <c r="R566" s="25">
        <v>6.666666666666667</v>
      </c>
      <c r="S566" s="25">
        <v>2</v>
      </c>
      <c r="T566" s="25">
        <v>2</v>
      </c>
      <c r="U566" s="31">
        <f t="shared" si="9"/>
        <v>24</v>
      </c>
      <c r="V566" s="25"/>
      <c r="W566" s="33" t="s">
        <v>198</v>
      </c>
      <c r="X566" s="33" t="s">
        <v>3104</v>
      </c>
      <c r="Y566" s="33" t="s">
        <v>3103</v>
      </c>
      <c r="Z566" s="33" t="s">
        <v>3102</v>
      </c>
      <c r="AA566" s="33"/>
    </row>
    <row r="567" spans="1:27" s="70" customFormat="1" ht="45" x14ac:dyDescent="0.2">
      <c r="A567" s="24">
        <v>563</v>
      </c>
      <c r="B567" s="24" t="s">
        <v>3052</v>
      </c>
      <c r="C567" s="25" t="s">
        <v>3051</v>
      </c>
      <c r="D567" s="26"/>
      <c r="E567" s="25" t="s">
        <v>3050</v>
      </c>
      <c r="F567" s="25" t="s">
        <v>3049</v>
      </c>
      <c r="G567" s="24"/>
      <c r="H567" s="25" t="s">
        <v>3101</v>
      </c>
      <c r="I567" s="27"/>
      <c r="J567" s="28" t="s">
        <v>3100</v>
      </c>
      <c r="K567" s="27"/>
      <c r="L567" s="25"/>
      <c r="M567" s="25"/>
      <c r="N567" s="25"/>
      <c r="O567" s="25"/>
      <c r="P567" s="25"/>
      <c r="Q567" s="25"/>
      <c r="R567" s="25"/>
      <c r="S567" s="25"/>
      <c r="T567" s="25"/>
      <c r="U567" s="31">
        <f t="shared" si="9"/>
        <v>0</v>
      </c>
      <c r="V567" s="25"/>
      <c r="W567" s="33"/>
      <c r="X567" s="33"/>
      <c r="Y567" s="33"/>
      <c r="Z567" s="33"/>
      <c r="AA567" s="33"/>
    </row>
    <row r="568" spans="1:27" s="70" customFormat="1" ht="45" x14ac:dyDescent="0.2">
      <c r="A568" s="24">
        <v>564</v>
      </c>
      <c r="B568" s="24" t="s">
        <v>3052</v>
      </c>
      <c r="C568" s="25" t="s">
        <v>3051</v>
      </c>
      <c r="D568" s="26"/>
      <c r="E568" s="25" t="s">
        <v>3050</v>
      </c>
      <c r="F568" s="25" t="s">
        <v>3049</v>
      </c>
      <c r="G568" s="24"/>
      <c r="H568" s="25" t="s">
        <v>3060</v>
      </c>
      <c r="I568" s="27"/>
      <c r="J568" s="28" t="s">
        <v>3099</v>
      </c>
      <c r="K568" s="27"/>
      <c r="L568" s="25" t="s">
        <v>3098</v>
      </c>
      <c r="M568" s="25" t="s">
        <v>190</v>
      </c>
      <c r="N568" s="25">
        <v>48</v>
      </c>
      <c r="O568" s="25"/>
      <c r="P568" s="25">
        <v>1.8333333333333333</v>
      </c>
      <c r="Q568" s="25">
        <v>4</v>
      </c>
      <c r="R568" s="25"/>
      <c r="S568" s="25"/>
      <c r="T568" s="25"/>
      <c r="U568" s="31">
        <f t="shared" si="9"/>
        <v>5.833333333333333</v>
      </c>
      <c r="V568" s="25"/>
      <c r="W568" s="33" t="s">
        <v>198</v>
      </c>
      <c r="X568" s="33"/>
      <c r="Y568" s="33" t="s">
        <v>38</v>
      </c>
      <c r="Z568" s="33" t="s">
        <v>189</v>
      </c>
      <c r="AA568" s="33"/>
    </row>
    <row r="569" spans="1:27" s="70" customFormat="1" ht="45" x14ac:dyDescent="0.2">
      <c r="A569" s="24">
        <v>565</v>
      </c>
      <c r="B569" s="24" t="s">
        <v>3052</v>
      </c>
      <c r="C569" s="25" t="s">
        <v>3051</v>
      </c>
      <c r="D569" s="26"/>
      <c r="E569" s="25" t="s">
        <v>3050</v>
      </c>
      <c r="F569" s="25" t="s">
        <v>3049</v>
      </c>
      <c r="G569" s="24"/>
      <c r="H569" s="25" t="s">
        <v>3060</v>
      </c>
      <c r="I569" s="27"/>
      <c r="J569" s="28" t="s">
        <v>3099</v>
      </c>
      <c r="K569" s="27"/>
      <c r="L569" s="25" t="s">
        <v>3097</v>
      </c>
      <c r="M569" s="25" t="s">
        <v>431</v>
      </c>
      <c r="N569" s="25">
        <v>12</v>
      </c>
      <c r="O569" s="25"/>
      <c r="P569" s="25">
        <v>4</v>
      </c>
      <c r="Q569" s="25">
        <v>3</v>
      </c>
      <c r="R569" s="25"/>
      <c r="S569" s="25">
        <v>0.5</v>
      </c>
      <c r="T569" s="25">
        <v>0.5</v>
      </c>
      <c r="U569" s="31">
        <f t="shared" si="9"/>
        <v>8</v>
      </c>
      <c r="V569" s="25"/>
      <c r="W569" s="33" t="s">
        <v>198</v>
      </c>
      <c r="X569" s="33"/>
      <c r="Y569" s="33" t="s">
        <v>38</v>
      </c>
      <c r="Z569" s="33" t="s">
        <v>189</v>
      </c>
      <c r="AA569" s="33"/>
    </row>
    <row r="570" spans="1:27" s="70" customFormat="1" ht="45" x14ac:dyDescent="0.2">
      <c r="A570" s="24">
        <v>566</v>
      </c>
      <c r="B570" s="24" t="s">
        <v>3052</v>
      </c>
      <c r="C570" s="25" t="s">
        <v>3051</v>
      </c>
      <c r="D570" s="26"/>
      <c r="E570" s="25" t="s">
        <v>3050</v>
      </c>
      <c r="F570" s="25" t="s">
        <v>3049</v>
      </c>
      <c r="G570" s="24"/>
      <c r="H570" s="25" t="s">
        <v>3060</v>
      </c>
      <c r="I570" s="27"/>
      <c r="J570" s="28" t="s">
        <v>3096</v>
      </c>
      <c r="K570" s="27"/>
      <c r="L570" s="25" t="s">
        <v>3095</v>
      </c>
      <c r="M570" s="25" t="s">
        <v>190</v>
      </c>
      <c r="N570" s="25">
        <v>12</v>
      </c>
      <c r="O570" s="25"/>
      <c r="P570" s="25">
        <v>12</v>
      </c>
      <c r="Q570" s="25"/>
      <c r="R570" s="25"/>
      <c r="S570" s="25"/>
      <c r="T570" s="25"/>
      <c r="U570" s="31">
        <f t="shared" si="9"/>
        <v>12</v>
      </c>
      <c r="V570" s="25"/>
      <c r="W570" s="33" t="s">
        <v>193</v>
      </c>
      <c r="X570" s="33"/>
      <c r="Y570" s="33" t="s">
        <v>38</v>
      </c>
      <c r="Z570" s="33"/>
      <c r="AA570" s="33"/>
    </row>
    <row r="571" spans="1:27" s="70" customFormat="1" ht="45" x14ac:dyDescent="0.2">
      <c r="A571" s="24">
        <v>567</v>
      </c>
      <c r="B571" s="24" t="s">
        <v>3052</v>
      </c>
      <c r="C571" s="25" t="s">
        <v>3051</v>
      </c>
      <c r="D571" s="26"/>
      <c r="E571" s="25" t="s">
        <v>3050</v>
      </c>
      <c r="F571" s="25" t="s">
        <v>3049</v>
      </c>
      <c r="G571" s="24"/>
      <c r="H571" s="25" t="s">
        <v>3060</v>
      </c>
      <c r="I571" s="27"/>
      <c r="J571" s="28" t="s">
        <v>3059</v>
      </c>
      <c r="K571" s="27"/>
      <c r="L571" s="25" t="s">
        <v>3094</v>
      </c>
      <c r="M571" s="25" t="s">
        <v>190</v>
      </c>
      <c r="N571" s="25">
        <v>300</v>
      </c>
      <c r="O571" s="25"/>
      <c r="P571" s="25">
        <v>0.5</v>
      </c>
      <c r="Q571" s="25"/>
      <c r="R571" s="25"/>
      <c r="S571" s="25"/>
      <c r="T571" s="25"/>
      <c r="U571" s="31">
        <f t="shared" si="9"/>
        <v>0.5</v>
      </c>
      <c r="V571" s="25"/>
      <c r="W571" s="33" t="s">
        <v>198</v>
      </c>
      <c r="X571" s="33" t="s">
        <v>2790</v>
      </c>
      <c r="Y571" s="33" t="s">
        <v>38</v>
      </c>
      <c r="Z571" s="33" t="s">
        <v>189</v>
      </c>
      <c r="AA571" s="33"/>
    </row>
    <row r="572" spans="1:27" s="70" customFormat="1" ht="45" x14ac:dyDescent="0.2">
      <c r="A572" s="24">
        <v>568</v>
      </c>
      <c r="B572" s="24" t="s">
        <v>3052</v>
      </c>
      <c r="C572" s="25" t="s">
        <v>3051</v>
      </c>
      <c r="D572" s="26"/>
      <c r="E572" s="25" t="s">
        <v>3050</v>
      </c>
      <c r="F572" s="25" t="s">
        <v>3049</v>
      </c>
      <c r="G572" s="24"/>
      <c r="H572" s="25" t="s">
        <v>3060</v>
      </c>
      <c r="I572" s="27"/>
      <c r="J572" s="28" t="s">
        <v>3059</v>
      </c>
      <c r="K572" s="27"/>
      <c r="L572" s="25" t="s">
        <v>3093</v>
      </c>
      <c r="M572" s="25" t="s">
        <v>190</v>
      </c>
      <c r="N572" s="25">
        <v>12</v>
      </c>
      <c r="O572" s="25"/>
      <c r="P572" s="25">
        <v>4</v>
      </c>
      <c r="Q572" s="25"/>
      <c r="R572" s="25"/>
      <c r="S572" s="25"/>
      <c r="T572" s="25"/>
      <c r="U572" s="31">
        <f t="shared" si="9"/>
        <v>4</v>
      </c>
      <c r="V572" s="25"/>
      <c r="W572" s="33" t="s">
        <v>198</v>
      </c>
      <c r="X572" s="33" t="s">
        <v>2790</v>
      </c>
      <c r="Y572" s="33" t="s">
        <v>38</v>
      </c>
      <c r="Z572" s="33" t="s">
        <v>189</v>
      </c>
      <c r="AA572" s="33"/>
    </row>
    <row r="573" spans="1:27" s="70" customFormat="1" ht="45" x14ac:dyDescent="0.2">
      <c r="A573" s="24">
        <v>569</v>
      </c>
      <c r="B573" s="24" t="s">
        <v>3052</v>
      </c>
      <c r="C573" s="25" t="s">
        <v>3051</v>
      </c>
      <c r="D573" s="26"/>
      <c r="E573" s="25" t="s">
        <v>3050</v>
      </c>
      <c r="F573" s="25" t="s">
        <v>3049</v>
      </c>
      <c r="G573" s="24"/>
      <c r="H573" s="25" t="s">
        <v>3060</v>
      </c>
      <c r="I573" s="27"/>
      <c r="J573" s="28" t="s">
        <v>3059</v>
      </c>
      <c r="K573" s="27"/>
      <c r="L573" s="25" t="s">
        <v>3092</v>
      </c>
      <c r="M573" s="25" t="s">
        <v>190</v>
      </c>
      <c r="N573" s="25">
        <v>12</v>
      </c>
      <c r="O573" s="25"/>
      <c r="P573" s="25">
        <v>0.5</v>
      </c>
      <c r="Q573" s="25"/>
      <c r="R573" s="25"/>
      <c r="S573" s="25"/>
      <c r="T573" s="25"/>
      <c r="U573" s="31">
        <f t="shared" si="9"/>
        <v>0.5</v>
      </c>
      <c r="V573" s="25"/>
      <c r="W573" s="33" t="s">
        <v>1918</v>
      </c>
      <c r="X573" s="33" t="s">
        <v>2790</v>
      </c>
      <c r="Y573" s="33" t="s">
        <v>38</v>
      </c>
      <c r="Z573" s="33"/>
      <c r="AA573" s="33"/>
    </row>
    <row r="574" spans="1:27" s="70" customFormat="1" ht="45" x14ac:dyDescent="0.2">
      <c r="A574" s="24">
        <v>570</v>
      </c>
      <c r="B574" s="24" t="s">
        <v>3052</v>
      </c>
      <c r="C574" s="25" t="s">
        <v>3051</v>
      </c>
      <c r="D574" s="26"/>
      <c r="E574" s="25" t="s">
        <v>3050</v>
      </c>
      <c r="F574" s="25" t="s">
        <v>3049</v>
      </c>
      <c r="G574" s="24"/>
      <c r="H574" s="25" t="s">
        <v>3060</v>
      </c>
      <c r="I574" s="27"/>
      <c r="J574" s="28" t="s">
        <v>3059</v>
      </c>
      <c r="K574" s="27"/>
      <c r="L574" s="25" t="s">
        <v>3091</v>
      </c>
      <c r="M574" s="25" t="s">
        <v>190</v>
      </c>
      <c r="N574" s="25">
        <v>12</v>
      </c>
      <c r="O574" s="25"/>
      <c r="P574" s="25">
        <v>0.5</v>
      </c>
      <c r="Q574" s="25"/>
      <c r="R574" s="25"/>
      <c r="S574" s="25"/>
      <c r="T574" s="25"/>
      <c r="U574" s="31">
        <f t="shared" si="9"/>
        <v>0.5</v>
      </c>
      <c r="V574" s="25"/>
      <c r="W574" s="33" t="s">
        <v>22</v>
      </c>
      <c r="X574" s="33" t="s">
        <v>2790</v>
      </c>
      <c r="Y574" s="33" t="s">
        <v>38</v>
      </c>
      <c r="Z574" s="33" t="s">
        <v>189</v>
      </c>
      <c r="AA574" s="33"/>
    </row>
    <row r="575" spans="1:27" s="70" customFormat="1" ht="45" x14ac:dyDescent="0.2">
      <c r="A575" s="24">
        <v>571</v>
      </c>
      <c r="B575" s="24" t="s">
        <v>3052</v>
      </c>
      <c r="C575" s="25" t="s">
        <v>3051</v>
      </c>
      <c r="D575" s="26"/>
      <c r="E575" s="25" t="s">
        <v>3050</v>
      </c>
      <c r="F575" s="25" t="s">
        <v>3049</v>
      </c>
      <c r="G575" s="24"/>
      <c r="H575" s="25" t="s">
        <v>3060</v>
      </c>
      <c r="I575" s="27"/>
      <c r="J575" s="28" t="s">
        <v>3059</v>
      </c>
      <c r="K575" s="27"/>
      <c r="L575" s="25" t="s">
        <v>3090</v>
      </c>
      <c r="M575" s="25" t="s">
        <v>190</v>
      </c>
      <c r="N575" s="25">
        <v>6</v>
      </c>
      <c r="O575" s="25"/>
      <c r="P575" s="25">
        <v>0.5</v>
      </c>
      <c r="Q575" s="25"/>
      <c r="R575" s="25"/>
      <c r="S575" s="25"/>
      <c r="T575" s="25"/>
      <c r="U575" s="31">
        <f t="shared" si="9"/>
        <v>0.5</v>
      </c>
      <c r="V575" s="25"/>
      <c r="W575" s="33" t="s">
        <v>2138</v>
      </c>
      <c r="X575" s="33" t="s">
        <v>2790</v>
      </c>
      <c r="Y575" s="33" t="s">
        <v>38</v>
      </c>
      <c r="Z575" s="33"/>
      <c r="AA575" s="33"/>
    </row>
    <row r="576" spans="1:27" s="70" customFormat="1" ht="45" x14ac:dyDescent="0.2">
      <c r="A576" s="24">
        <v>572</v>
      </c>
      <c r="B576" s="24" t="s">
        <v>3052</v>
      </c>
      <c r="C576" s="25" t="s">
        <v>3051</v>
      </c>
      <c r="D576" s="26"/>
      <c r="E576" s="25" t="s">
        <v>3050</v>
      </c>
      <c r="F576" s="25" t="s">
        <v>3049</v>
      </c>
      <c r="G576" s="24"/>
      <c r="H576" s="25" t="s">
        <v>3060</v>
      </c>
      <c r="I576" s="27"/>
      <c r="J576" s="28" t="s">
        <v>3059</v>
      </c>
      <c r="K576" s="27"/>
      <c r="L576" s="25" t="s">
        <v>3089</v>
      </c>
      <c r="M576" s="25" t="s">
        <v>190</v>
      </c>
      <c r="N576" s="25">
        <v>12</v>
      </c>
      <c r="O576" s="25"/>
      <c r="P576" s="25">
        <v>0.75</v>
      </c>
      <c r="Q576" s="25"/>
      <c r="R576" s="25"/>
      <c r="S576" s="25"/>
      <c r="T576" s="25"/>
      <c r="U576" s="31">
        <f t="shared" si="9"/>
        <v>0.75</v>
      </c>
      <c r="V576" s="25"/>
      <c r="W576" s="33" t="s">
        <v>22</v>
      </c>
      <c r="X576" s="33" t="s">
        <v>2790</v>
      </c>
      <c r="Y576" s="33" t="s">
        <v>38</v>
      </c>
      <c r="Z576" s="33" t="s">
        <v>189</v>
      </c>
      <c r="AA576" s="33"/>
    </row>
    <row r="577" spans="1:27" s="70" customFormat="1" ht="45" x14ac:dyDescent="0.2">
      <c r="A577" s="24">
        <v>573</v>
      </c>
      <c r="B577" s="24" t="s">
        <v>3052</v>
      </c>
      <c r="C577" s="25" t="s">
        <v>3051</v>
      </c>
      <c r="D577" s="26"/>
      <c r="E577" s="25" t="s">
        <v>3050</v>
      </c>
      <c r="F577" s="25" t="s">
        <v>3049</v>
      </c>
      <c r="G577" s="24"/>
      <c r="H577" s="25" t="s">
        <v>3060</v>
      </c>
      <c r="I577" s="27"/>
      <c r="J577" s="28" t="s">
        <v>3059</v>
      </c>
      <c r="K577" s="27"/>
      <c r="L577" s="25" t="s">
        <v>3088</v>
      </c>
      <c r="M577" s="25" t="s">
        <v>190</v>
      </c>
      <c r="N577" s="25">
        <v>12</v>
      </c>
      <c r="O577" s="25"/>
      <c r="P577" s="25">
        <v>0.2</v>
      </c>
      <c r="Q577" s="25"/>
      <c r="R577" s="25"/>
      <c r="S577" s="25"/>
      <c r="T577" s="25"/>
      <c r="U577" s="31">
        <f t="shared" si="9"/>
        <v>0.2</v>
      </c>
      <c r="V577" s="25"/>
      <c r="W577" s="33" t="s">
        <v>22</v>
      </c>
      <c r="X577" s="33" t="s">
        <v>2790</v>
      </c>
      <c r="Y577" s="33" t="s">
        <v>38</v>
      </c>
      <c r="Z577" s="33" t="s">
        <v>189</v>
      </c>
      <c r="AA577" s="33"/>
    </row>
    <row r="578" spans="1:27" s="70" customFormat="1" ht="45" x14ac:dyDescent="0.2">
      <c r="A578" s="24">
        <v>574</v>
      </c>
      <c r="B578" s="24" t="s">
        <v>3052</v>
      </c>
      <c r="C578" s="25" t="s">
        <v>3051</v>
      </c>
      <c r="D578" s="26"/>
      <c r="E578" s="25" t="s">
        <v>3050</v>
      </c>
      <c r="F578" s="25" t="s">
        <v>3049</v>
      </c>
      <c r="G578" s="24"/>
      <c r="H578" s="25" t="s">
        <v>3060</v>
      </c>
      <c r="I578" s="27"/>
      <c r="J578" s="28" t="s">
        <v>3059</v>
      </c>
      <c r="K578" s="27"/>
      <c r="L578" s="25" t="s">
        <v>3087</v>
      </c>
      <c r="M578" s="25" t="s">
        <v>190</v>
      </c>
      <c r="N578" s="25">
        <v>4</v>
      </c>
      <c r="O578" s="25"/>
      <c r="P578" s="25">
        <v>0.2</v>
      </c>
      <c r="Q578" s="25"/>
      <c r="R578" s="25"/>
      <c r="S578" s="25"/>
      <c r="T578" s="25"/>
      <c r="U578" s="31">
        <f t="shared" si="9"/>
        <v>0.2</v>
      </c>
      <c r="V578" s="25"/>
      <c r="W578" s="33" t="s">
        <v>22</v>
      </c>
      <c r="X578" s="33" t="s">
        <v>2790</v>
      </c>
      <c r="Y578" s="33" t="s">
        <v>38</v>
      </c>
      <c r="Z578" s="33" t="s">
        <v>189</v>
      </c>
      <c r="AA578" s="33"/>
    </row>
    <row r="579" spans="1:27" s="70" customFormat="1" ht="45" x14ac:dyDescent="0.2">
      <c r="A579" s="24">
        <v>575</v>
      </c>
      <c r="B579" s="24" t="s">
        <v>3052</v>
      </c>
      <c r="C579" s="25" t="s">
        <v>3051</v>
      </c>
      <c r="D579" s="26"/>
      <c r="E579" s="25" t="s">
        <v>3050</v>
      </c>
      <c r="F579" s="25" t="s">
        <v>3049</v>
      </c>
      <c r="G579" s="24"/>
      <c r="H579" s="25" t="s">
        <v>3060</v>
      </c>
      <c r="I579" s="27"/>
      <c r="J579" s="28" t="s">
        <v>3059</v>
      </c>
      <c r="K579" s="27"/>
      <c r="L579" s="25" t="s">
        <v>3086</v>
      </c>
      <c r="M579" s="25" t="s">
        <v>190</v>
      </c>
      <c r="N579" s="25">
        <v>4</v>
      </c>
      <c r="O579" s="25"/>
      <c r="P579" s="25">
        <v>0.2</v>
      </c>
      <c r="Q579" s="25"/>
      <c r="R579" s="25"/>
      <c r="S579" s="25"/>
      <c r="T579" s="25"/>
      <c r="U579" s="31">
        <f t="shared" si="9"/>
        <v>0.2</v>
      </c>
      <c r="V579" s="25"/>
      <c r="W579" s="33" t="s">
        <v>22</v>
      </c>
      <c r="X579" s="33" t="s">
        <v>2790</v>
      </c>
      <c r="Y579" s="33" t="s">
        <v>38</v>
      </c>
      <c r="Z579" s="33" t="s">
        <v>189</v>
      </c>
      <c r="AA579" s="33"/>
    </row>
    <row r="580" spans="1:27" s="70" customFormat="1" ht="45" x14ac:dyDescent="0.2">
      <c r="A580" s="24">
        <v>576</v>
      </c>
      <c r="B580" s="24" t="s">
        <v>3052</v>
      </c>
      <c r="C580" s="25" t="s">
        <v>3051</v>
      </c>
      <c r="D580" s="26"/>
      <c r="E580" s="25" t="s">
        <v>3050</v>
      </c>
      <c r="F580" s="25" t="s">
        <v>3049</v>
      </c>
      <c r="G580" s="24"/>
      <c r="H580" s="25" t="s">
        <v>3060</v>
      </c>
      <c r="I580" s="27"/>
      <c r="J580" s="28" t="s">
        <v>3059</v>
      </c>
      <c r="K580" s="27"/>
      <c r="L580" s="25" t="s">
        <v>3085</v>
      </c>
      <c r="M580" s="25" t="s">
        <v>190</v>
      </c>
      <c r="N580" s="25">
        <v>4</v>
      </c>
      <c r="O580" s="25"/>
      <c r="P580" s="25">
        <v>0.2</v>
      </c>
      <c r="Q580" s="25"/>
      <c r="R580" s="25"/>
      <c r="S580" s="25"/>
      <c r="T580" s="25"/>
      <c r="U580" s="31">
        <f t="shared" si="9"/>
        <v>0.2</v>
      </c>
      <c r="V580" s="25"/>
      <c r="W580" s="33" t="s">
        <v>22</v>
      </c>
      <c r="X580" s="33" t="s">
        <v>2790</v>
      </c>
      <c r="Y580" s="33" t="s">
        <v>38</v>
      </c>
      <c r="Z580" s="33" t="s">
        <v>189</v>
      </c>
      <c r="AA580" s="33"/>
    </row>
    <row r="581" spans="1:27" s="70" customFormat="1" ht="45" x14ac:dyDescent="0.2">
      <c r="A581" s="24">
        <v>577</v>
      </c>
      <c r="B581" s="24" t="s">
        <v>3052</v>
      </c>
      <c r="C581" s="25" t="s">
        <v>3051</v>
      </c>
      <c r="D581" s="26"/>
      <c r="E581" s="25" t="s">
        <v>3050</v>
      </c>
      <c r="F581" s="25" t="s">
        <v>3049</v>
      </c>
      <c r="G581" s="24"/>
      <c r="H581" s="25" t="s">
        <v>3060</v>
      </c>
      <c r="I581" s="27"/>
      <c r="J581" s="28" t="s">
        <v>3059</v>
      </c>
      <c r="K581" s="27"/>
      <c r="L581" s="25" t="s">
        <v>3084</v>
      </c>
      <c r="M581" s="25" t="s">
        <v>190</v>
      </c>
      <c r="N581" s="25">
        <v>4</v>
      </c>
      <c r="O581" s="25"/>
      <c r="P581" s="25">
        <v>0.5</v>
      </c>
      <c r="Q581" s="25"/>
      <c r="R581" s="25"/>
      <c r="S581" s="25"/>
      <c r="T581" s="25"/>
      <c r="U581" s="31">
        <f t="shared" si="9"/>
        <v>0.5</v>
      </c>
      <c r="V581" s="25"/>
      <c r="W581" s="33" t="s">
        <v>2705</v>
      </c>
      <c r="X581" s="33" t="s">
        <v>2790</v>
      </c>
      <c r="Y581" s="33" t="s">
        <v>38</v>
      </c>
      <c r="Z581" s="33"/>
      <c r="AA581" s="33"/>
    </row>
    <row r="582" spans="1:27" s="70" customFormat="1" ht="45" x14ac:dyDescent="0.2">
      <c r="A582" s="24">
        <v>578</v>
      </c>
      <c r="B582" s="24" t="s">
        <v>3052</v>
      </c>
      <c r="C582" s="25" t="s">
        <v>3051</v>
      </c>
      <c r="D582" s="26"/>
      <c r="E582" s="25" t="s">
        <v>3050</v>
      </c>
      <c r="F582" s="25" t="s">
        <v>3049</v>
      </c>
      <c r="G582" s="24"/>
      <c r="H582" s="25" t="s">
        <v>3060</v>
      </c>
      <c r="I582" s="27"/>
      <c r="J582" s="28" t="s">
        <v>3059</v>
      </c>
      <c r="K582" s="27"/>
      <c r="L582" s="25" t="s">
        <v>3083</v>
      </c>
      <c r="M582" s="25" t="s">
        <v>190</v>
      </c>
      <c r="N582" s="25">
        <v>2</v>
      </c>
      <c r="O582" s="25"/>
      <c r="P582" s="25">
        <v>2</v>
      </c>
      <c r="Q582" s="25">
        <v>1</v>
      </c>
      <c r="R582" s="25"/>
      <c r="S582" s="25">
        <v>1</v>
      </c>
      <c r="T582" s="25"/>
      <c r="U582" s="31">
        <f t="shared" ref="U582:U645" si="10">SUM(O582:T582)</f>
        <v>4</v>
      </c>
      <c r="V582" s="25"/>
      <c r="W582" s="33" t="s">
        <v>22</v>
      </c>
      <c r="X582" s="33" t="s">
        <v>2790</v>
      </c>
      <c r="Y582" s="33" t="s">
        <v>3082</v>
      </c>
      <c r="Z582" s="33" t="s">
        <v>189</v>
      </c>
      <c r="AA582" s="33"/>
    </row>
    <row r="583" spans="1:27" s="70" customFormat="1" ht="45" x14ac:dyDescent="0.2">
      <c r="A583" s="24">
        <v>579</v>
      </c>
      <c r="B583" s="24" t="s">
        <v>3052</v>
      </c>
      <c r="C583" s="25" t="s">
        <v>3051</v>
      </c>
      <c r="D583" s="26"/>
      <c r="E583" s="25" t="s">
        <v>3050</v>
      </c>
      <c r="F583" s="25" t="s">
        <v>3049</v>
      </c>
      <c r="G583" s="24"/>
      <c r="H583" s="25" t="s">
        <v>3060</v>
      </c>
      <c r="I583" s="27"/>
      <c r="J583" s="28" t="s">
        <v>3059</v>
      </c>
      <c r="K583" s="27"/>
      <c r="L583" s="25" t="s">
        <v>3081</v>
      </c>
      <c r="M583" s="25" t="s">
        <v>190</v>
      </c>
      <c r="N583" s="25">
        <v>2</v>
      </c>
      <c r="O583" s="25"/>
      <c r="P583" s="25">
        <v>0.75</v>
      </c>
      <c r="Q583" s="25"/>
      <c r="R583" s="25"/>
      <c r="S583" s="25"/>
      <c r="T583" s="25"/>
      <c r="U583" s="31">
        <f t="shared" si="10"/>
        <v>0.75</v>
      </c>
      <c r="V583" s="25"/>
      <c r="W583" s="33" t="s">
        <v>22</v>
      </c>
      <c r="X583" s="33" t="s">
        <v>2790</v>
      </c>
      <c r="Y583" s="33" t="s">
        <v>38</v>
      </c>
      <c r="Z583" s="33" t="s">
        <v>189</v>
      </c>
      <c r="AA583" s="33"/>
    </row>
    <row r="584" spans="1:27" s="70" customFormat="1" ht="45" x14ac:dyDescent="0.2">
      <c r="A584" s="24">
        <v>580</v>
      </c>
      <c r="B584" s="24" t="s">
        <v>3052</v>
      </c>
      <c r="C584" s="25" t="s">
        <v>3051</v>
      </c>
      <c r="D584" s="26"/>
      <c r="E584" s="25" t="s">
        <v>3050</v>
      </c>
      <c r="F584" s="25" t="s">
        <v>3049</v>
      </c>
      <c r="G584" s="24"/>
      <c r="H584" s="25" t="s">
        <v>3060</v>
      </c>
      <c r="I584" s="27"/>
      <c r="J584" s="28" t="s">
        <v>3059</v>
      </c>
      <c r="K584" s="27"/>
      <c r="L584" s="25" t="s">
        <v>3080</v>
      </c>
      <c r="M584" s="25" t="s">
        <v>190</v>
      </c>
      <c r="N584" s="25">
        <v>12</v>
      </c>
      <c r="O584" s="25"/>
      <c r="P584" s="25">
        <v>1</v>
      </c>
      <c r="Q584" s="25"/>
      <c r="R584" s="25"/>
      <c r="S584" s="25">
        <v>8.3333333333333329E-2</v>
      </c>
      <c r="T584" s="25"/>
      <c r="U584" s="31">
        <f t="shared" si="10"/>
        <v>1.0833333333333333</v>
      </c>
      <c r="V584" s="25"/>
      <c r="W584" s="33" t="s">
        <v>22</v>
      </c>
      <c r="X584" s="33" t="s">
        <v>2790</v>
      </c>
      <c r="Y584" s="33" t="s">
        <v>38</v>
      </c>
      <c r="Z584" s="33" t="s">
        <v>189</v>
      </c>
      <c r="AA584" s="33"/>
    </row>
    <row r="585" spans="1:27" s="70" customFormat="1" ht="45" x14ac:dyDescent="0.2">
      <c r="A585" s="24">
        <v>581</v>
      </c>
      <c r="B585" s="24" t="s">
        <v>3052</v>
      </c>
      <c r="C585" s="25" t="s">
        <v>3051</v>
      </c>
      <c r="D585" s="26"/>
      <c r="E585" s="25" t="s">
        <v>3050</v>
      </c>
      <c r="F585" s="25" t="s">
        <v>3049</v>
      </c>
      <c r="G585" s="24"/>
      <c r="H585" s="25" t="s">
        <v>3060</v>
      </c>
      <c r="I585" s="27"/>
      <c r="J585" s="28" t="s">
        <v>3059</v>
      </c>
      <c r="K585" s="27"/>
      <c r="L585" s="25" t="s">
        <v>3079</v>
      </c>
      <c r="M585" s="25" t="s">
        <v>190</v>
      </c>
      <c r="N585" s="25">
        <v>12</v>
      </c>
      <c r="O585" s="25"/>
      <c r="P585" s="25">
        <v>1</v>
      </c>
      <c r="Q585" s="25"/>
      <c r="R585" s="25"/>
      <c r="S585" s="25">
        <v>8.3333333333333329E-2</v>
      </c>
      <c r="T585" s="25"/>
      <c r="U585" s="31">
        <f t="shared" si="10"/>
        <v>1.0833333333333333</v>
      </c>
      <c r="V585" s="25"/>
      <c r="W585" s="33" t="s">
        <v>22</v>
      </c>
      <c r="X585" s="33" t="s">
        <v>2790</v>
      </c>
      <c r="Y585" s="33" t="s">
        <v>38</v>
      </c>
      <c r="Z585" s="33" t="s">
        <v>189</v>
      </c>
      <c r="AA585" s="33"/>
    </row>
    <row r="586" spans="1:27" s="70" customFormat="1" ht="45" x14ac:dyDescent="0.2">
      <c r="A586" s="24">
        <v>582</v>
      </c>
      <c r="B586" s="24" t="s">
        <v>3052</v>
      </c>
      <c r="C586" s="25" t="s">
        <v>3051</v>
      </c>
      <c r="D586" s="26"/>
      <c r="E586" s="25" t="s">
        <v>3050</v>
      </c>
      <c r="F586" s="25" t="s">
        <v>3049</v>
      </c>
      <c r="G586" s="24"/>
      <c r="H586" s="25" t="s">
        <v>3060</v>
      </c>
      <c r="I586" s="27"/>
      <c r="J586" s="28" t="s">
        <v>3059</v>
      </c>
      <c r="K586" s="27"/>
      <c r="L586" s="25" t="s">
        <v>3078</v>
      </c>
      <c r="M586" s="25" t="s">
        <v>190</v>
      </c>
      <c r="N586" s="25">
        <v>12</v>
      </c>
      <c r="O586" s="25"/>
      <c r="P586" s="25">
        <v>1</v>
      </c>
      <c r="Q586" s="25"/>
      <c r="R586" s="25"/>
      <c r="S586" s="25">
        <v>8.3333333333333329E-2</v>
      </c>
      <c r="T586" s="25"/>
      <c r="U586" s="31">
        <f t="shared" si="10"/>
        <v>1.0833333333333333</v>
      </c>
      <c r="V586" s="25"/>
      <c r="W586" s="33" t="s">
        <v>22</v>
      </c>
      <c r="X586" s="33" t="s">
        <v>2790</v>
      </c>
      <c r="Y586" s="33" t="s">
        <v>38</v>
      </c>
      <c r="Z586" s="33" t="s">
        <v>189</v>
      </c>
      <c r="AA586" s="33"/>
    </row>
    <row r="587" spans="1:27" s="70" customFormat="1" ht="45" x14ac:dyDescent="0.2">
      <c r="A587" s="24">
        <v>583</v>
      </c>
      <c r="B587" s="24" t="s">
        <v>3052</v>
      </c>
      <c r="C587" s="25" t="s">
        <v>3051</v>
      </c>
      <c r="D587" s="26"/>
      <c r="E587" s="25" t="s">
        <v>3050</v>
      </c>
      <c r="F587" s="25" t="s">
        <v>3049</v>
      </c>
      <c r="G587" s="24"/>
      <c r="H587" s="25" t="s">
        <v>3060</v>
      </c>
      <c r="I587" s="27"/>
      <c r="J587" s="28" t="s">
        <v>3059</v>
      </c>
      <c r="K587" s="27"/>
      <c r="L587" s="25" t="s">
        <v>3077</v>
      </c>
      <c r="M587" s="25" t="s">
        <v>190</v>
      </c>
      <c r="N587" s="25">
        <v>300</v>
      </c>
      <c r="O587" s="25"/>
      <c r="P587" s="25">
        <v>3</v>
      </c>
      <c r="Q587" s="25"/>
      <c r="R587" s="25"/>
      <c r="S587" s="25"/>
      <c r="T587" s="25"/>
      <c r="U587" s="31">
        <f t="shared" si="10"/>
        <v>3</v>
      </c>
      <c r="V587" s="25"/>
      <c r="W587" s="33" t="s">
        <v>198</v>
      </c>
      <c r="X587" s="33" t="s">
        <v>3076</v>
      </c>
      <c r="Y587" s="33" t="s">
        <v>38</v>
      </c>
      <c r="Z587" s="33" t="s">
        <v>189</v>
      </c>
      <c r="AA587" s="33"/>
    </row>
    <row r="588" spans="1:27" s="70" customFormat="1" ht="45" x14ac:dyDescent="0.2">
      <c r="A588" s="24">
        <v>584</v>
      </c>
      <c r="B588" s="24" t="s">
        <v>3052</v>
      </c>
      <c r="C588" s="25" t="s">
        <v>3051</v>
      </c>
      <c r="D588" s="26"/>
      <c r="E588" s="25" t="s">
        <v>3050</v>
      </c>
      <c r="F588" s="25" t="s">
        <v>3049</v>
      </c>
      <c r="G588" s="24"/>
      <c r="H588" s="25" t="s">
        <v>3060</v>
      </c>
      <c r="I588" s="27"/>
      <c r="J588" s="28" t="s">
        <v>3059</v>
      </c>
      <c r="K588" s="27"/>
      <c r="L588" s="25" t="s">
        <v>3075</v>
      </c>
      <c r="M588" s="25" t="s">
        <v>190</v>
      </c>
      <c r="N588" s="25">
        <v>12</v>
      </c>
      <c r="O588" s="25"/>
      <c r="P588" s="25">
        <v>24</v>
      </c>
      <c r="Q588" s="25">
        <v>0.5</v>
      </c>
      <c r="R588" s="25"/>
      <c r="S588" s="25"/>
      <c r="T588" s="25"/>
      <c r="U588" s="31">
        <f t="shared" si="10"/>
        <v>24.5</v>
      </c>
      <c r="V588" s="25"/>
      <c r="W588" s="33" t="s">
        <v>1393</v>
      </c>
      <c r="X588" s="33" t="s">
        <v>61</v>
      </c>
      <c r="Y588" s="33" t="s">
        <v>38</v>
      </c>
      <c r="Z588" s="33"/>
      <c r="AA588" s="33"/>
    </row>
    <row r="589" spans="1:27" s="70" customFormat="1" ht="45" x14ac:dyDescent="0.2">
      <c r="A589" s="24">
        <v>585</v>
      </c>
      <c r="B589" s="24" t="s">
        <v>3052</v>
      </c>
      <c r="C589" s="25" t="s">
        <v>3051</v>
      </c>
      <c r="D589" s="26"/>
      <c r="E589" s="25" t="s">
        <v>3050</v>
      </c>
      <c r="F589" s="25" t="s">
        <v>3049</v>
      </c>
      <c r="G589" s="24"/>
      <c r="H589" s="25" t="s">
        <v>3060</v>
      </c>
      <c r="I589" s="27"/>
      <c r="J589" s="28" t="s">
        <v>3059</v>
      </c>
      <c r="K589" s="27"/>
      <c r="L589" s="25" t="s">
        <v>3074</v>
      </c>
      <c r="M589" s="25" t="s">
        <v>190</v>
      </c>
      <c r="N589" s="25">
        <v>12</v>
      </c>
      <c r="O589" s="25"/>
      <c r="P589" s="25">
        <v>0.25</v>
      </c>
      <c r="Q589" s="25"/>
      <c r="R589" s="25"/>
      <c r="S589" s="25"/>
      <c r="T589" s="25"/>
      <c r="U589" s="31">
        <f t="shared" si="10"/>
        <v>0.25</v>
      </c>
      <c r="V589" s="25"/>
      <c r="W589" s="33" t="s">
        <v>3071</v>
      </c>
      <c r="X589" s="33" t="s">
        <v>61</v>
      </c>
      <c r="Y589" s="33" t="s">
        <v>38</v>
      </c>
      <c r="Z589" s="33"/>
      <c r="AA589" s="33"/>
    </row>
    <row r="590" spans="1:27" s="70" customFormat="1" ht="45" x14ac:dyDescent="0.2">
      <c r="A590" s="24">
        <v>586</v>
      </c>
      <c r="B590" s="24" t="s">
        <v>3052</v>
      </c>
      <c r="C590" s="25" t="s">
        <v>3051</v>
      </c>
      <c r="D590" s="26"/>
      <c r="E590" s="25" t="s">
        <v>3050</v>
      </c>
      <c r="F590" s="25" t="s">
        <v>3049</v>
      </c>
      <c r="G590" s="24"/>
      <c r="H590" s="25" t="s">
        <v>3060</v>
      </c>
      <c r="I590" s="27"/>
      <c r="J590" s="28" t="s">
        <v>3059</v>
      </c>
      <c r="K590" s="27"/>
      <c r="L590" s="25" t="s">
        <v>3073</v>
      </c>
      <c r="M590" s="25" t="s">
        <v>190</v>
      </c>
      <c r="N590" s="25">
        <v>12</v>
      </c>
      <c r="O590" s="25"/>
      <c r="P590" s="25">
        <v>1</v>
      </c>
      <c r="Q590" s="25"/>
      <c r="R590" s="25"/>
      <c r="S590" s="25"/>
      <c r="T590" s="25"/>
      <c r="U590" s="31">
        <f t="shared" si="10"/>
        <v>1</v>
      </c>
      <c r="V590" s="25"/>
      <c r="W590" s="33" t="s">
        <v>3071</v>
      </c>
      <c r="X590" s="33" t="s">
        <v>61</v>
      </c>
      <c r="Y590" s="33" t="s">
        <v>38</v>
      </c>
      <c r="Z590" s="33"/>
      <c r="AA590" s="33"/>
    </row>
    <row r="591" spans="1:27" s="70" customFormat="1" ht="45" x14ac:dyDescent="0.2">
      <c r="A591" s="24">
        <v>587</v>
      </c>
      <c r="B591" s="24" t="s">
        <v>3052</v>
      </c>
      <c r="C591" s="25" t="s">
        <v>3051</v>
      </c>
      <c r="D591" s="26"/>
      <c r="E591" s="25" t="s">
        <v>3050</v>
      </c>
      <c r="F591" s="25" t="s">
        <v>3049</v>
      </c>
      <c r="G591" s="24"/>
      <c r="H591" s="25" t="s">
        <v>3060</v>
      </c>
      <c r="I591" s="27"/>
      <c r="J591" s="28" t="s">
        <v>3059</v>
      </c>
      <c r="K591" s="27"/>
      <c r="L591" s="25" t="s">
        <v>3072</v>
      </c>
      <c r="M591" s="25" t="s">
        <v>190</v>
      </c>
      <c r="N591" s="25">
        <v>4</v>
      </c>
      <c r="O591" s="25"/>
      <c r="P591" s="25">
        <v>0.25</v>
      </c>
      <c r="Q591" s="25"/>
      <c r="R591" s="25"/>
      <c r="S591" s="25"/>
      <c r="T591" s="25"/>
      <c r="U591" s="31">
        <f t="shared" si="10"/>
        <v>0.25</v>
      </c>
      <c r="V591" s="25"/>
      <c r="W591" s="33" t="s">
        <v>3071</v>
      </c>
      <c r="X591" s="33" t="s">
        <v>61</v>
      </c>
      <c r="Y591" s="33" t="s">
        <v>38</v>
      </c>
      <c r="Z591" s="33"/>
      <c r="AA591" s="33"/>
    </row>
    <row r="592" spans="1:27" s="70" customFormat="1" ht="45" x14ac:dyDescent="0.2">
      <c r="A592" s="24">
        <v>588</v>
      </c>
      <c r="B592" s="24" t="s">
        <v>3052</v>
      </c>
      <c r="C592" s="25" t="s">
        <v>3051</v>
      </c>
      <c r="D592" s="26"/>
      <c r="E592" s="25" t="s">
        <v>3050</v>
      </c>
      <c r="F592" s="25" t="s">
        <v>3049</v>
      </c>
      <c r="G592" s="24"/>
      <c r="H592" s="25" t="s">
        <v>3060</v>
      </c>
      <c r="I592" s="27"/>
      <c r="J592" s="28" t="s">
        <v>3059</v>
      </c>
      <c r="K592" s="27"/>
      <c r="L592" s="25" t="s">
        <v>3070</v>
      </c>
      <c r="M592" s="25" t="s">
        <v>190</v>
      </c>
      <c r="N592" s="25">
        <v>12</v>
      </c>
      <c r="O592" s="25"/>
      <c r="P592" s="25">
        <v>2</v>
      </c>
      <c r="Q592" s="25"/>
      <c r="R592" s="25"/>
      <c r="S592" s="25"/>
      <c r="T592" s="25"/>
      <c r="U592" s="31">
        <f t="shared" si="10"/>
        <v>2</v>
      </c>
      <c r="V592" s="25"/>
      <c r="W592" s="33" t="s">
        <v>22</v>
      </c>
      <c r="X592" s="33" t="s">
        <v>3069</v>
      </c>
      <c r="Y592" s="33" t="s">
        <v>38</v>
      </c>
      <c r="Z592" s="33" t="s">
        <v>189</v>
      </c>
      <c r="AA592" s="33"/>
    </row>
    <row r="593" spans="1:27" s="70" customFormat="1" ht="45" x14ac:dyDescent="0.2">
      <c r="A593" s="24">
        <v>589</v>
      </c>
      <c r="B593" s="24" t="s">
        <v>3052</v>
      </c>
      <c r="C593" s="25" t="s">
        <v>3051</v>
      </c>
      <c r="D593" s="26"/>
      <c r="E593" s="25" t="s">
        <v>3050</v>
      </c>
      <c r="F593" s="25" t="s">
        <v>3049</v>
      </c>
      <c r="G593" s="24"/>
      <c r="H593" s="25" t="s">
        <v>3060</v>
      </c>
      <c r="I593" s="27"/>
      <c r="J593" s="28" t="s">
        <v>3059</v>
      </c>
      <c r="K593" s="27"/>
      <c r="L593" s="25" t="s">
        <v>3068</v>
      </c>
      <c r="M593" s="25" t="s">
        <v>190</v>
      </c>
      <c r="N593" s="25">
        <v>12</v>
      </c>
      <c r="O593" s="25"/>
      <c r="P593" s="25">
        <v>2</v>
      </c>
      <c r="Q593" s="25"/>
      <c r="R593" s="25"/>
      <c r="S593" s="25"/>
      <c r="T593" s="25"/>
      <c r="U593" s="31">
        <f t="shared" si="10"/>
        <v>2</v>
      </c>
      <c r="V593" s="25"/>
      <c r="W593" s="33" t="s">
        <v>3067</v>
      </c>
      <c r="X593" s="33" t="s">
        <v>3066</v>
      </c>
      <c r="Y593" s="33" t="s">
        <v>38</v>
      </c>
      <c r="Z593" s="33"/>
      <c r="AA593" s="33"/>
    </row>
    <row r="594" spans="1:27" s="70" customFormat="1" ht="45" x14ac:dyDescent="0.2">
      <c r="A594" s="24">
        <v>590</v>
      </c>
      <c r="B594" s="24" t="s">
        <v>3052</v>
      </c>
      <c r="C594" s="25" t="s">
        <v>3051</v>
      </c>
      <c r="D594" s="26"/>
      <c r="E594" s="25" t="s">
        <v>3050</v>
      </c>
      <c r="F594" s="25" t="s">
        <v>3049</v>
      </c>
      <c r="G594" s="24"/>
      <c r="H594" s="25" t="s">
        <v>3060</v>
      </c>
      <c r="I594" s="27"/>
      <c r="J594" s="28" t="s">
        <v>3059</v>
      </c>
      <c r="K594" s="27"/>
      <c r="L594" s="25" t="s">
        <v>3065</v>
      </c>
      <c r="M594" s="25" t="s">
        <v>190</v>
      </c>
      <c r="N594" s="25">
        <v>12</v>
      </c>
      <c r="O594" s="25"/>
      <c r="P594" s="25">
        <v>4</v>
      </c>
      <c r="Q594" s="25">
        <v>0.5</v>
      </c>
      <c r="R594" s="25"/>
      <c r="S594" s="25"/>
      <c r="T594" s="25"/>
      <c r="U594" s="31">
        <f t="shared" si="10"/>
        <v>4.5</v>
      </c>
      <c r="V594" s="25"/>
      <c r="W594" s="33" t="s">
        <v>1393</v>
      </c>
      <c r="X594" s="33" t="s">
        <v>21</v>
      </c>
      <c r="Y594" s="33" t="s">
        <v>38</v>
      </c>
      <c r="Z594" s="33"/>
      <c r="AA594" s="33"/>
    </row>
    <row r="595" spans="1:27" s="70" customFormat="1" ht="45" x14ac:dyDescent="0.2">
      <c r="A595" s="24">
        <v>591</v>
      </c>
      <c r="B595" s="24" t="s">
        <v>3052</v>
      </c>
      <c r="C595" s="25" t="s">
        <v>3051</v>
      </c>
      <c r="D595" s="26"/>
      <c r="E595" s="25" t="s">
        <v>3050</v>
      </c>
      <c r="F595" s="25" t="s">
        <v>3049</v>
      </c>
      <c r="G595" s="24"/>
      <c r="H595" s="25" t="s">
        <v>3060</v>
      </c>
      <c r="I595" s="27"/>
      <c r="J595" s="28" t="s">
        <v>3059</v>
      </c>
      <c r="K595" s="27"/>
      <c r="L595" s="25" t="s">
        <v>696</v>
      </c>
      <c r="M595" s="25" t="s">
        <v>190</v>
      </c>
      <c r="N595" s="25">
        <v>12</v>
      </c>
      <c r="O595" s="25">
        <v>0.16666666666666666</v>
      </c>
      <c r="P595" s="25"/>
      <c r="Q595" s="25"/>
      <c r="R595" s="25"/>
      <c r="S595" s="25">
        <v>8.3333333333333329E-2</v>
      </c>
      <c r="T595" s="25"/>
      <c r="U595" s="31">
        <f t="shared" si="10"/>
        <v>0.25</v>
      </c>
      <c r="V595" s="25"/>
      <c r="W595" s="33" t="s">
        <v>1395</v>
      </c>
      <c r="X595" s="33"/>
      <c r="Y595" s="33" t="s">
        <v>38</v>
      </c>
      <c r="Z595" s="33"/>
      <c r="AA595" s="33"/>
    </row>
    <row r="596" spans="1:27" s="70" customFormat="1" ht="45" x14ac:dyDescent="0.2">
      <c r="A596" s="24">
        <v>592</v>
      </c>
      <c r="B596" s="24" t="s">
        <v>3052</v>
      </c>
      <c r="C596" s="25" t="s">
        <v>3051</v>
      </c>
      <c r="D596" s="26"/>
      <c r="E596" s="25" t="s">
        <v>3050</v>
      </c>
      <c r="F596" s="25" t="s">
        <v>3049</v>
      </c>
      <c r="G596" s="24"/>
      <c r="H596" s="25" t="s">
        <v>3060</v>
      </c>
      <c r="I596" s="27"/>
      <c r="J596" s="28" t="s">
        <v>3059</v>
      </c>
      <c r="K596" s="27"/>
      <c r="L596" s="25" t="s">
        <v>3064</v>
      </c>
      <c r="M596" s="25" t="s">
        <v>190</v>
      </c>
      <c r="N596" s="25">
        <v>12</v>
      </c>
      <c r="O596" s="25"/>
      <c r="P596" s="25">
        <v>8</v>
      </c>
      <c r="Q596" s="25"/>
      <c r="R596" s="25"/>
      <c r="S596" s="25"/>
      <c r="T596" s="25"/>
      <c r="U596" s="31">
        <f t="shared" si="10"/>
        <v>8</v>
      </c>
      <c r="V596" s="25"/>
      <c r="W596" s="33" t="s">
        <v>198</v>
      </c>
      <c r="X596" s="33"/>
      <c r="Y596" s="33" t="s">
        <v>38</v>
      </c>
      <c r="Z596" s="33" t="s">
        <v>189</v>
      </c>
      <c r="AA596" s="33"/>
    </row>
    <row r="597" spans="1:27" s="70" customFormat="1" ht="45" x14ac:dyDescent="0.2">
      <c r="A597" s="24">
        <v>593</v>
      </c>
      <c r="B597" s="24" t="s">
        <v>3052</v>
      </c>
      <c r="C597" s="25" t="s">
        <v>3051</v>
      </c>
      <c r="D597" s="26"/>
      <c r="E597" s="25" t="s">
        <v>3050</v>
      </c>
      <c r="F597" s="25" t="s">
        <v>3049</v>
      </c>
      <c r="G597" s="24"/>
      <c r="H597" s="25" t="s">
        <v>3060</v>
      </c>
      <c r="I597" s="27"/>
      <c r="J597" s="28" t="s">
        <v>3059</v>
      </c>
      <c r="K597" s="27"/>
      <c r="L597" s="25" t="s">
        <v>3063</v>
      </c>
      <c r="M597" s="25" t="s">
        <v>190</v>
      </c>
      <c r="N597" s="25">
        <v>3</v>
      </c>
      <c r="O597" s="25"/>
      <c r="P597" s="25">
        <v>2</v>
      </c>
      <c r="Q597" s="25"/>
      <c r="R597" s="25"/>
      <c r="S597" s="25"/>
      <c r="T597" s="25"/>
      <c r="U597" s="31">
        <f t="shared" si="10"/>
        <v>2</v>
      </c>
      <c r="V597" s="25"/>
      <c r="W597" s="33" t="s">
        <v>1395</v>
      </c>
      <c r="X597" s="33"/>
      <c r="Y597" s="33" t="s">
        <v>38</v>
      </c>
      <c r="Z597" s="33"/>
      <c r="AA597" s="33"/>
    </row>
    <row r="598" spans="1:27" s="70" customFormat="1" ht="45" x14ac:dyDescent="0.2">
      <c r="A598" s="24">
        <v>594</v>
      </c>
      <c r="B598" s="24" t="s">
        <v>3052</v>
      </c>
      <c r="C598" s="25" t="s">
        <v>3051</v>
      </c>
      <c r="D598" s="26"/>
      <c r="E598" s="25" t="s">
        <v>3050</v>
      </c>
      <c r="F598" s="25" t="s">
        <v>3049</v>
      </c>
      <c r="G598" s="24"/>
      <c r="H598" s="25" t="s">
        <v>3060</v>
      </c>
      <c r="I598" s="27"/>
      <c r="J598" s="28" t="s">
        <v>3059</v>
      </c>
      <c r="K598" s="27"/>
      <c r="L598" s="25" t="s">
        <v>3062</v>
      </c>
      <c r="M598" s="25" t="s">
        <v>3061</v>
      </c>
      <c r="N598" s="25"/>
      <c r="O598" s="25"/>
      <c r="P598" s="25">
        <v>7.333333333333333</v>
      </c>
      <c r="Q598" s="25">
        <v>16</v>
      </c>
      <c r="R598" s="25"/>
      <c r="S598" s="25"/>
      <c r="T598" s="25"/>
      <c r="U598" s="31">
        <f t="shared" si="10"/>
        <v>23.333333333333332</v>
      </c>
      <c r="V598" s="25"/>
      <c r="W598" s="33" t="s">
        <v>2458</v>
      </c>
      <c r="X598" s="33"/>
      <c r="Y598" s="33" t="s">
        <v>38</v>
      </c>
      <c r="Z598" s="33"/>
      <c r="AA598" s="33"/>
    </row>
    <row r="599" spans="1:27" s="70" customFormat="1" ht="45" x14ac:dyDescent="0.2">
      <c r="A599" s="24">
        <v>595</v>
      </c>
      <c r="B599" s="24" t="s">
        <v>3052</v>
      </c>
      <c r="C599" s="25" t="s">
        <v>3051</v>
      </c>
      <c r="D599" s="26"/>
      <c r="E599" s="25" t="s">
        <v>3050</v>
      </c>
      <c r="F599" s="25" t="s">
        <v>3049</v>
      </c>
      <c r="G599" s="24"/>
      <c r="H599" s="25" t="s">
        <v>3060</v>
      </c>
      <c r="I599" s="27"/>
      <c r="J599" s="28" t="s">
        <v>3059</v>
      </c>
      <c r="K599" s="27"/>
      <c r="L599" s="25" t="s">
        <v>3058</v>
      </c>
      <c r="M599" s="25" t="s">
        <v>3057</v>
      </c>
      <c r="N599" s="25">
        <v>180</v>
      </c>
      <c r="O599" s="25">
        <v>0.5</v>
      </c>
      <c r="P599" s="25">
        <v>0.75</v>
      </c>
      <c r="Q599" s="25">
        <v>0.5</v>
      </c>
      <c r="R599" s="25">
        <v>0</v>
      </c>
      <c r="S599" s="25">
        <v>0.20833333333333334</v>
      </c>
      <c r="T599" s="25">
        <v>0</v>
      </c>
      <c r="U599" s="31">
        <f t="shared" si="10"/>
        <v>1.9583333333333333</v>
      </c>
      <c r="V599" s="25"/>
      <c r="W599" s="33" t="s">
        <v>198</v>
      </c>
      <c r="X599" s="33"/>
      <c r="Y599" s="33" t="s">
        <v>38</v>
      </c>
      <c r="Z599" s="33" t="s">
        <v>3056</v>
      </c>
      <c r="AA599" s="33"/>
    </row>
    <row r="600" spans="1:27" s="70" customFormat="1" ht="45" x14ac:dyDescent="0.2">
      <c r="A600" s="24">
        <v>596</v>
      </c>
      <c r="B600" s="24" t="s">
        <v>3052</v>
      </c>
      <c r="C600" s="25" t="s">
        <v>3051</v>
      </c>
      <c r="D600" s="26"/>
      <c r="E600" s="25" t="s">
        <v>3050</v>
      </c>
      <c r="F600" s="25" t="s">
        <v>3049</v>
      </c>
      <c r="G600" s="24"/>
      <c r="H600" s="25" t="s">
        <v>3054</v>
      </c>
      <c r="I600" s="27"/>
      <c r="J600" s="28" t="s">
        <v>3055</v>
      </c>
      <c r="K600" s="27"/>
      <c r="L600" s="25"/>
      <c r="M600" s="25"/>
      <c r="N600" s="25"/>
      <c r="O600" s="25"/>
      <c r="P600" s="25"/>
      <c r="Q600" s="25"/>
      <c r="R600" s="25"/>
      <c r="S600" s="25"/>
      <c r="T600" s="25"/>
      <c r="U600" s="31">
        <f t="shared" si="10"/>
        <v>0</v>
      </c>
      <c r="V600" s="25"/>
      <c r="W600" s="33"/>
      <c r="X600" s="33"/>
      <c r="Y600" s="33"/>
      <c r="Z600" s="33"/>
      <c r="AA600" s="33"/>
    </row>
    <row r="601" spans="1:27" s="70" customFormat="1" ht="45" x14ac:dyDescent="0.2">
      <c r="A601" s="24">
        <v>597</v>
      </c>
      <c r="B601" s="24" t="s">
        <v>3052</v>
      </c>
      <c r="C601" s="25" t="s">
        <v>3051</v>
      </c>
      <c r="D601" s="26"/>
      <c r="E601" s="25" t="s">
        <v>3050</v>
      </c>
      <c r="F601" s="25" t="s">
        <v>3049</v>
      </c>
      <c r="G601" s="24"/>
      <c r="H601" s="25" t="s">
        <v>3054</v>
      </c>
      <c r="I601" s="27"/>
      <c r="J601" s="28" t="s">
        <v>3053</v>
      </c>
      <c r="K601" s="27"/>
      <c r="L601" s="25"/>
      <c r="M601" s="25"/>
      <c r="N601" s="25"/>
      <c r="O601" s="25"/>
      <c r="P601" s="25"/>
      <c r="Q601" s="25"/>
      <c r="R601" s="25"/>
      <c r="S601" s="25"/>
      <c r="T601" s="25"/>
      <c r="U601" s="31">
        <f t="shared" si="10"/>
        <v>0</v>
      </c>
      <c r="V601" s="25"/>
      <c r="W601" s="33"/>
      <c r="X601" s="33"/>
      <c r="Y601" s="33"/>
      <c r="Z601" s="33"/>
      <c r="AA601" s="33"/>
    </row>
    <row r="602" spans="1:27" s="70" customFormat="1" ht="33.75" x14ac:dyDescent="0.2">
      <c r="A602" s="24">
        <v>598</v>
      </c>
      <c r="B602" s="24" t="s">
        <v>3052</v>
      </c>
      <c r="C602" s="25" t="s">
        <v>3051</v>
      </c>
      <c r="D602" s="26"/>
      <c r="E602" s="25" t="s">
        <v>3050</v>
      </c>
      <c r="F602" s="25" t="s">
        <v>3049</v>
      </c>
      <c r="G602" s="24"/>
      <c r="H602" s="25" t="s">
        <v>3048</v>
      </c>
      <c r="I602" s="27"/>
      <c r="J602" s="25" t="s">
        <v>3048</v>
      </c>
      <c r="K602" s="27"/>
      <c r="L602" s="25"/>
      <c r="M602" s="25"/>
      <c r="N602" s="25"/>
      <c r="O602" s="25"/>
      <c r="P602" s="25"/>
      <c r="Q602" s="25"/>
      <c r="R602" s="25"/>
      <c r="S602" s="25"/>
      <c r="T602" s="25"/>
      <c r="U602" s="31">
        <f t="shared" si="10"/>
        <v>0</v>
      </c>
      <c r="V602" s="25"/>
      <c r="W602" s="33"/>
      <c r="X602" s="33"/>
      <c r="Y602" s="33"/>
      <c r="Z602" s="33"/>
      <c r="AA602" s="33"/>
    </row>
    <row r="603" spans="1:27" s="70" customFormat="1" ht="56.25" x14ac:dyDescent="0.2">
      <c r="A603" s="24">
        <v>599</v>
      </c>
      <c r="B603" s="24" t="s">
        <v>2788</v>
      </c>
      <c r="C603" s="25" t="s">
        <v>2787</v>
      </c>
      <c r="D603" s="26" t="s">
        <v>3006</v>
      </c>
      <c r="E603" s="25" t="s">
        <v>3005</v>
      </c>
      <c r="F603" s="25" t="s">
        <v>1074</v>
      </c>
      <c r="G603" s="24"/>
      <c r="H603" s="25" t="s">
        <v>3027</v>
      </c>
      <c r="I603" s="27"/>
      <c r="J603" s="28" t="s">
        <v>3047</v>
      </c>
      <c r="K603" s="27"/>
      <c r="L603" s="25"/>
      <c r="M603" s="25"/>
      <c r="N603" s="25"/>
      <c r="O603" s="25"/>
      <c r="P603" s="25"/>
      <c r="Q603" s="25"/>
      <c r="R603" s="25"/>
      <c r="S603" s="25"/>
      <c r="T603" s="25"/>
      <c r="U603" s="31">
        <f t="shared" si="10"/>
        <v>0</v>
      </c>
      <c r="V603" s="25"/>
      <c r="W603" s="33"/>
      <c r="X603" s="33"/>
      <c r="Y603" s="33"/>
      <c r="Z603" s="33"/>
      <c r="AA603" s="33"/>
    </row>
    <row r="604" spans="1:27" s="70" customFormat="1" ht="56.25" x14ac:dyDescent="0.2">
      <c r="A604" s="24">
        <v>600</v>
      </c>
      <c r="B604" s="24" t="s">
        <v>2788</v>
      </c>
      <c r="C604" s="25" t="s">
        <v>2787</v>
      </c>
      <c r="D604" s="26" t="s">
        <v>3006</v>
      </c>
      <c r="E604" s="25" t="s">
        <v>3005</v>
      </c>
      <c r="F604" s="25" t="s">
        <v>1074</v>
      </c>
      <c r="G604" s="24"/>
      <c r="H604" s="25" t="s">
        <v>3027</v>
      </c>
      <c r="I604" s="27"/>
      <c r="J604" s="28" t="s">
        <v>3046</v>
      </c>
      <c r="K604" s="27"/>
      <c r="L604" s="25"/>
      <c r="M604" s="25"/>
      <c r="N604" s="25"/>
      <c r="O604" s="25"/>
      <c r="P604" s="25"/>
      <c r="Q604" s="25"/>
      <c r="R604" s="25"/>
      <c r="S604" s="25"/>
      <c r="T604" s="25"/>
      <c r="U604" s="31">
        <f t="shared" si="10"/>
        <v>0</v>
      </c>
      <c r="V604" s="25"/>
      <c r="W604" s="33"/>
      <c r="X604" s="33"/>
      <c r="Y604" s="33"/>
      <c r="Z604" s="33"/>
      <c r="AA604" s="33"/>
    </row>
    <row r="605" spans="1:27" s="70" customFormat="1" ht="56.25" x14ac:dyDescent="0.2">
      <c r="A605" s="24">
        <v>601</v>
      </c>
      <c r="B605" s="24" t="s">
        <v>2788</v>
      </c>
      <c r="C605" s="25" t="s">
        <v>2787</v>
      </c>
      <c r="D605" s="26" t="s">
        <v>3006</v>
      </c>
      <c r="E605" s="25" t="s">
        <v>3005</v>
      </c>
      <c r="F605" s="25" t="s">
        <v>1074</v>
      </c>
      <c r="G605" s="24"/>
      <c r="H605" s="25" t="s">
        <v>3027</v>
      </c>
      <c r="I605" s="27"/>
      <c r="J605" s="28" t="s">
        <v>3045</v>
      </c>
      <c r="K605" s="27"/>
      <c r="L605" s="25"/>
      <c r="M605" s="25"/>
      <c r="N605" s="25"/>
      <c r="O605" s="25"/>
      <c r="P605" s="25"/>
      <c r="Q605" s="25"/>
      <c r="R605" s="25"/>
      <c r="S605" s="25"/>
      <c r="T605" s="25"/>
      <c r="U605" s="31">
        <f t="shared" si="10"/>
        <v>0</v>
      </c>
      <c r="V605" s="25"/>
      <c r="W605" s="33"/>
      <c r="X605" s="33"/>
      <c r="Y605" s="33"/>
      <c r="Z605" s="33"/>
      <c r="AA605" s="33"/>
    </row>
    <row r="606" spans="1:27" s="70" customFormat="1" ht="56.25" x14ac:dyDescent="0.2">
      <c r="A606" s="24">
        <v>602</v>
      </c>
      <c r="B606" s="24" t="s">
        <v>2788</v>
      </c>
      <c r="C606" s="25" t="s">
        <v>2787</v>
      </c>
      <c r="D606" s="26" t="s">
        <v>3006</v>
      </c>
      <c r="E606" s="25" t="s">
        <v>3005</v>
      </c>
      <c r="F606" s="25" t="s">
        <v>1074</v>
      </c>
      <c r="G606" s="24"/>
      <c r="H606" s="25" t="s">
        <v>3027</v>
      </c>
      <c r="I606" s="27"/>
      <c r="J606" s="28" t="s">
        <v>3044</v>
      </c>
      <c r="K606" s="27"/>
      <c r="L606" s="25" t="s">
        <v>3043</v>
      </c>
      <c r="M606" s="25" t="s">
        <v>3042</v>
      </c>
      <c r="N606" s="25">
        <v>80000</v>
      </c>
      <c r="O606" s="25">
        <v>0.1</v>
      </c>
      <c r="P606" s="25">
        <v>0.1</v>
      </c>
      <c r="Q606" s="25">
        <v>0.1</v>
      </c>
      <c r="R606" s="25"/>
      <c r="S606" s="25">
        <v>0.1</v>
      </c>
      <c r="T606" s="25"/>
      <c r="U606" s="31">
        <f t="shared" si="10"/>
        <v>0.4</v>
      </c>
      <c r="V606" s="25"/>
      <c r="W606" s="33" t="s">
        <v>3041</v>
      </c>
      <c r="X606" s="33" t="s">
        <v>3040</v>
      </c>
      <c r="Y606" s="33" t="s">
        <v>3039</v>
      </c>
      <c r="Z606" s="33" t="s">
        <v>3038</v>
      </c>
      <c r="AA606" s="33"/>
    </row>
    <row r="607" spans="1:27" s="70" customFormat="1" ht="56.25" x14ac:dyDescent="0.2">
      <c r="A607" s="24">
        <v>603</v>
      </c>
      <c r="B607" s="24" t="s">
        <v>2788</v>
      </c>
      <c r="C607" s="25" t="s">
        <v>2787</v>
      </c>
      <c r="D607" s="26" t="s">
        <v>3006</v>
      </c>
      <c r="E607" s="25" t="s">
        <v>3005</v>
      </c>
      <c r="F607" s="25" t="s">
        <v>1074</v>
      </c>
      <c r="G607" s="24"/>
      <c r="H607" s="25" t="s">
        <v>3027</v>
      </c>
      <c r="I607" s="27"/>
      <c r="J607" s="28" t="s">
        <v>3034</v>
      </c>
      <c r="K607" s="27"/>
      <c r="L607" s="25" t="s">
        <v>3037</v>
      </c>
      <c r="M607" s="25" t="s">
        <v>3036</v>
      </c>
      <c r="N607" s="25">
        <v>120</v>
      </c>
      <c r="O607" s="25">
        <v>5</v>
      </c>
      <c r="P607" s="25">
        <v>5</v>
      </c>
      <c r="Q607" s="25">
        <v>5</v>
      </c>
      <c r="R607" s="25"/>
      <c r="S607" s="25">
        <v>5</v>
      </c>
      <c r="T607" s="25">
        <v>5</v>
      </c>
      <c r="U607" s="31">
        <f t="shared" si="10"/>
        <v>25</v>
      </c>
      <c r="V607" s="25"/>
      <c r="W607" s="33" t="s">
        <v>198</v>
      </c>
      <c r="X607" s="33"/>
      <c r="Y607" s="33"/>
      <c r="Z607" s="33" t="s">
        <v>3035</v>
      </c>
      <c r="AA607" s="33"/>
    </row>
    <row r="608" spans="1:27" s="70" customFormat="1" ht="56.25" x14ac:dyDescent="0.2">
      <c r="A608" s="24">
        <v>604</v>
      </c>
      <c r="B608" s="24" t="s">
        <v>2788</v>
      </c>
      <c r="C608" s="25" t="s">
        <v>2787</v>
      </c>
      <c r="D608" s="26" t="s">
        <v>3006</v>
      </c>
      <c r="E608" s="25" t="s">
        <v>3005</v>
      </c>
      <c r="F608" s="25" t="s">
        <v>1074</v>
      </c>
      <c r="G608" s="24"/>
      <c r="H608" s="25" t="s">
        <v>3027</v>
      </c>
      <c r="I608" s="27"/>
      <c r="J608" s="28" t="s">
        <v>3034</v>
      </c>
      <c r="K608" s="27"/>
      <c r="L608" s="25" t="s">
        <v>3033</v>
      </c>
      <c r="M608" s="25" t="s">
        <v>3032</v>
      </c>
      <c r="N608" s="25">
        <v>60</v>
      </c>
      <c r="O608" s="25">
        <v>10</v>
      </c>
      <c r="P608" s="25">
        <v>10</v>
      </c>
      <c r="Q608" s="25">
        <v>10</v>
      </c>
      <c r="R608" s="25"/>
      <c r="S608" s="25">
        <v>5</v>
      </c>
      <c r="T608" s="25">
        <v>5</v>
      </c>
      <c r="U608" s="31">
        <f t="shared" si="10"/>
        <v>40</v>
      </c>
      <c r="V608" s="25"/>
      <c r="W608" s="33" t="s">
        <v>3031</v>
      </c>
      <c r="X608" s="33"/>
      <c r="Y608" s="33"/>
      <c r="Z608" s="33" t="s">
        <v>3030</v>
      </c>
      <c r="AA608" s="33"/>
    </row>
    <row r="609" spans="1:27" s="70" customFormat="1" ht="56.25" x14ac:dyDescent="0.2">
      <c r="A609" s="24">
        <v>605</v>
      </c>
      <c r="B609" s="24" t="s">
        <v>2788</v>
      </c>
      <c r="C609" s="25" t="s">
        <v>2787</v>
      </c>
      <c r="D609" s="26" t="s">
        <v>3006</v>
      </c>
      <c r="E609" s="25" t="s">
        <v>3005</v>
      </c>
      <c r="F609" s="25" t="s">
        <v>1074</v>
      </c>
      <c r="G609" s="24"/>
      <c r="H609" s="25" t="s">
        <v>3027</v>
      </c>
      <c r="I609" s="27"/>
      <c r="J609" s="28" t="s">
        <v>3029</v>
      </c>
      <c r="K609" s="27"/>
      <c r="L609" s="25"/>
      <c r="M609" s="25"/>
      <c r="N609" s="25"/>
      <c r="O609" s="25"/>
      <c r="P609" s="25"/>
      <c r="Q609" s="25"/>
      <c r="R609" s="25"/>
      <c r="S609" s="25"/>
      <c r="T609" s="25"/>
      <c r="U609" s="31">
        <f t="shared" si="10"/>
        <v>0</v>
      </c>
      <c r="V609" s="25"/>
      <c r="W609" s="33"/>
      <c r="X609" s="33"/>
      <c r="Y609" s="33"/>
      <c r="Z609" s="33"/>
      <c r="AA609" s="33"/>
    </row>
    <row r="610" spans="1:27" s="70" customFormat="1" ht="56.25" x14ac:dyDescent="0.2">
      <c r="A610" s="24">
        <v>606</v>
      </c>
      <c r="B610" s="24" t="s">
        <v>2788</v>
      </c>
      <c r="C610" s="25" t="s">
        <v>2787</v>
      </c>
      <c r="D610" s="26" t="s">
        <v>3006</v>
      </c>
      <c r="E610" s="25" t="s">
        <v>3005</v>
      </c>
      <c r="F610" s="25" t="s">
        <v>1074</v>
      </c>
      <c r="G610" s="24"/>
      <c r="H610" s="25" t="s">
        <v>3027</v>
      </c>
      <c r="I610" s="27"/>
      <c r="J610" s="28" t="s">
        <v>3028</v>
      </c>
      <c r="K610" s="27"/>
      <c r="L610" s="25"/>
      <c r="M610" s="25"/>
      <c r="N610" s="25"/>
      <c r="O610" s="25"/>
      <c r="P610" s="25"/>
      <c r="Q610" s="25"/>
      <c r="R610" s="25"/>
      <c r="S610" s="25"/>
      <c r="T610" s="25"/>
      <c r="U610" s="31">
        <f t="shared" si="10"/>
        <v>0</v>
      </c>
      <c r="V610" s="25"/>
      <c r="W610" s="33"/>
      <c r="X610" s="33"/>
      <c r="Y610" s="33"/>
      <c r="Z610" s="33"/>
      <c r="AA610" s="33"/>
    </row>
    <row r="611" spans="1:27" s="70" customFormat="1" ht="56.25" x14ac:dyDescent="0.2">
      <c r="A611" s="24">
        <v>607</v>
      </c>
      <c r="B611" s="24" t="s">
        <v>2788</v>
      </c>
      <c r="C611" s="25" t="s">
        <v>2787</v>
      </c>
      <c r="D611" s="26" t="s">
        <v>3006</v>
      </c>
      <c r="E611" s="25" t="s">
        <v>3005</v>
      </c>
      <c r="F611" s="25" t="s">
        <v>1074</v>
      </c>
      <c r="G611" s="24"/>
      <c r="H611" s="25" t="s">
        <v>3027</v>
      </c>
      <c r="I611" s="27"/>
      <c r="J611" s="28" t="s">
        <v>3026</v>
      </c>
      <c r="K611" s="27"/>
      <c r="L611" s="25" t="s">
        <v>3025</v>
      </c>
      <c r="M611" s="25" t="s">
        <v>3024</v>
      </c>
      <c r="N611" s="25">
        <v>30</v>
      </c>
      <c r="O611" s="25">
        <v>10</v>
      </c>
      <c r="P611" s="25">
        <v>10</v>
      </c>
      <c r="Q611" s="25">
        <v>20</v>
      </c>
      <c r="R611" s="25"/>
      <c r="S611" s="25">
        <v>5</v>
      </c>
      <c r="T611" s="25">
        <v>5</v>
      </c>
      <c r="U611" s="31">
        <f t="shared" si="10"/>
        <v>50</v>
      </c>
      <c r="V611" s="25"/>
      <c r="W611" s="33" t="s">
        <v>3023</v>
      </c>
      <c r="X611" s="33" t="s">
        <v>3022</v>
      </c>
      <c r="Y611" s="33"/>
      <c r="Z611" s="33" t="s">
        <v>3021</v>
      </c>
      <c r="AA611" s="33"/>
    </row>
    <row r="612" spans="1:27" s="70" customFormat="1" ht="78.75" x14ac:dyDescent="0.2">
      <c r="A612" s="24">
        <v>608</v>
      </c>
      <c r="B612" s="24" t="s">
        <v>2788</v>
      </c>
      <c r="C612" s="25" t="s">
        <v>2787</v>
      </c>
      <c r="D612" s="26" t="s">
        <v>3006</v>
      </c>
      <c r="E612" s="25" t="s">
        <v>3005</v>
      </c>
      <c r="F612" s="25" t="s">
        <v>1074</v>
      </c>
      <c r="G612" s="24"/>
      <c r="H612" s="25" t="s">
        <v>3018</v>
      </c>
      <c r="I612" s="27"/>
      <c r="J612" s="28" t="s">
        <v>3020</v>
      </c>
      <c r="K612" s="27"/>
      <c r="L612" s="25"/>
      <c r="M612" s="25"/>
      <c r="N612" s="25"/>
      <c r="O612" s="25"/>
      <c r="P612" s="25"/>
      <c r="Q612" s="25"/>
      <c r="R612" s="25"/>
      <c r="S612" s="25"/>
      <c r="T612" s="25"/>
      <c r="U612" s="31">
        <f t="shared" si="10"/>
        <v>0</v>
      </c>
      <c r="V612" s="25"/>
      <c r="W612" s="33"/>
      <c r="X612" s="33"/>
      <c r="Y612" s="33"/>
      <c r="Z612" s="33"/>
      <c r="AA612" s="33"/>
    </row>
    <row r="613" spans="1:27" s="70" customFormat="1" ht="78.75" x14ac:dyDescent="0.2">
      <c r="A613" s="24">
        <v>609</v>
      </c>
      <c r="B613" s="24" t="s">
        <v>2788</v>
      </c>
      <c r="C613" s="25" t="s">
        <v>2787</v>
      </c>
      <c r="D613" s="26" t="s">
        <v>3006</v>
      </c>
      <c r="E613" s="25" t="s">
        <v>3005</v>
      </c>
      <c r="F613" s="25" t="s">
        <v>1074</v>
      </c>
      <c r="G613" s="24"/>
      <c r="H613" s="25" t="s">
        <v>3018</v>
      </c>
      <c r="I613" s="27"/>
      <c r="J613" s="28" t="s">
        <v>3019</v>
      </c>
      <c r="K613" s="27"/>
      <c r="L613" s="25"/>
      <c r="M613" s="25"/>
      <c r="N613" s="25"/>
      <c r="O613" s="25"/>
      <c r="P613" s="25"/>
      <c r="Q613" s="25"/>
      <c r="R613" s="25"/>
      <c r="S613" s="25"/>
      <c r="T613" s="25"/>
      <c r="U613" s="31">
        <f t="shared" si="10"/>
        <v>0</v>
      </c>
      <c r="V613" s="25"/>
      <c r="W613" s="33"/>
      <c r="X613" s="33"/>
      <c r="Y613" s="33"/>
      <c r="Z613" s="33"/>
      <c r="AA613" s="33"/>
    </row>
    <row r="614" spans="1:27" s="70" customFormat="1" ht="78.75" x14ac:dyDescent="0.2">
      <c r="A614" s="24">
        <v>610</v>
      </c>
      <c r="B614" s="24" t="s">
        <v>2788</v>
      </c>
      <c r="C614" s="25" t="s">
        <v>2787</v>
      </c>
      <c r="D614" s="26" t="s">
        <v>3006</v>
      </c>
      <c r="E614" s="25" t="s">
        <v>3005</v>
      </c>
      <c r="F614" s="25" t="s">
        <v>1074</v>
      </c>
      <c r="G614" s="24"/>
      <c r="H614" s="25" t="s">
        <v>3018</v>
      </c>
      <c r="I614" s="27"/>
      <c r="J614" s="28" t="s">
        <v>3017</v>
      </c>
      <c r="K614" s="27"/>
      <c r="L614" s="25"/>
      <c r="M614" s="25"/>
      <c r="N614" s="25"/>
      <c r="O614" s="25"/>
      <c r="P614" s="25"/>
      <c r="Q614" s="25"/>
      <c r="R614" s="25"/>
      <c r="S614" s="25"/>
      <c r="T614" s="25"/>
      <c r="U614" s="31">
        <f t="shared" si="10"/>
        <v>0</v>
      </c>
      <c r="V614" s="25"/>
      <c r="W614" s="33"/>
      <c r="X614" s="33"/>
      <c r="Y614" s="33"/>
      <c r="Z614" s="33"/>
      <c r="AA614" s="33"/>
    </row>
    <row r="615" spans="1:27" s="70" customFormat="1" ht="56.25" x14ac:dyDescent="0.2">
      <c r="A615" s="24">
        <v>611</v>
      </c>
      <c r="B615" s="24" t="s">
        <v>2788</v>
      </c>
      <c r="C615" s="25" t="s">
        <v>2787</v>
      </c>
      <c r="D615" s="26" t="s">
        <v>3006</v>
      </c>
      <c r="E615" s="25" t="s">
        <v>3005</v>
      </c>
      <c r="F615" s="25" t="s">
        <v>1074</v>
      </c>
      <c r="G615" s="24"/>
      <c r="H615" s="25" t="s">
        <v>3015</v>
      </c>
      <c r="I615" s="27"/>
      <c r="J615" s="28" t="s">
        <v>3016</v>
      </c>
      <c r="K615" s="27"/>
      <c r="L615" s="25"/>
      <c r="M615" s="25"/>
      <c r="N615" s="25"/>
      <c r="O615" s="25"/>
      <c r="P615" s="25"/>
      <c r="Q615" s="25"/>
      <c r="R615" s="25"/>
      <c r="S615" s="25"/>
      <c r="T615" s="25"/>
      <c r="U615" s="31">
        <f t="shared" si="10"/>
        <v>0</v>
      </c>
      <c r="V615" s="25"/>
      <c r="W615" s="33"/>
      <c r="X615" s="33"/>
      <c r="Y615" s="33"/>
      <c r="Z615" s="33"/>
      <c r="AA615" s="33"/>
    </row>
    <row r="616" spans="1:27" s="70" customFormat="1" ht="45" x14ac:dyDescent="0.2">
      <c r="A616" s="24">
        <v>612</v>
      </c>
      <c r="B616" s="24" t="s">
        <v>2788</v>
      </c>
      <c r="C616" s="25" t="s">
        <v>2787</v>
      </c>
      <c r="D616" s="26" t="s">
        <v>3006</v>
      </c>
      <c r="E616" s="25" t="s">
        <v>3005</v>
      </c>
      <c r="F616" s="25" t="s">
        <v>1074</v>
      </c>
      <c r="G616" s="24"/>
      <c r="H616" s="25" t="s">
        <v>3015</v>
      </c>
      <c r="I616" s="27"/>
      <c r="J616" s="28" t="s">
        <v>3014</v>
      </c>
      <c r="K616" s="27"/>
      <c r="L616" s="25"/>
      <c r="M616" s="25"/>
      <c r="N616" s="25"/>
      <c r="O616" s="25"/>
      <c r="P616" s="25"/>
      <c r="Q616" s="25"/>
      <c r="R616" s="25"/>
      <c r="S616" s="25"/>
      <c r="T616" s="25"/>
      <c r="U616" s="31">
        <f t="shared" si="10"/>
        <v>0</v>
      </c>
      <c r="V616" s="25"/>
      <c r="W616" s="33"/>
      <c r="X616" s="33"/>
      <c r="Y616" s="33"/>
      <c r="Z616" s="33"/>
      <c r="AA616" s="33"/>
    </row>
    <row r="617" spans="1:27" s="70" customFormat="1" ht="45" x14ac:dyDescent="0.2">
      <c r="A617" s="24">
        <v>613</v>
      </c>
      <c r="B617" s="24" t="s">
        <v>2788</v>
      </c>
      <c r="C617" s="25" t="s">
        <v>2787</v>
      </c>
      <c r="D617" s="26" t="s">
        <v>3006</v>
      </c>
      <c r="E617" s="25" t="s">
        <v>3005</v>
      </c>
      <c r="F617" s="25" t="s">
        <v>1074</v>
      </c>
      <c r="G617" s="24"/>
      <c r="H617" s="25" t="s">
        <v>3004</v>
      </c>
      <c r="I617" s="27"/>
      <c r="J617" s="25" t="s">
        <v>3004</v>
      </c>
      <c r="K617" s="27"/>
      <c r="L617" s="25" t="s">
        <v>3013</v>
      </c>
      <c r="M617" s="25" t="s">
        <v>3012</v>
      </c>
      <c r="N617" s="25">
        <v>1200</v>
      </c>
      <c r="O617" s="25">
        <v>0.5</v>
      </c>
      <c r="P617" s="25"/>
      <c r="Q617" s="25">
        <v>0.5</v>
      </c>
      <c r="R617" s="25"/>
      <c r="S617" s="25">
        <v>0.5</v>
      </c>
      <c r="T617" s="25">
        <v>0.5</v>
      </c>
      <c r="U617" s="31">
        <f t="shared" si="10"/>
        <v>2</v>
      </c>
      <c r="V617" s="25"/>
      <c r="W617" s="33" t="s">
        <v>1116</v>
      </c>
      <c r="X617" s="33"/>
      <c r="Y617" s="33"/>
      <c r="Z617" s="33" t="s">
        <v>3009</v>
      </c>
      <c r="AA617" s="33"/>
    </row>
    <row r="618" spans="1:27" s="70" customFormat="1" ht="45" x14ac:dyDescent="0.2">
      <c r="A618" s="24">
        <v>614</v>
      </c>
      <c r="B618" s="24" t="s">
        <v>2788</v>
      </c>
      <c r="C618" s="25" t="s">
        <v>2787</v>
      </c>
      <c r="D618" s="26" t="s">
        <v>3006</v>
      </c>
      <c r="E618" s="25" t="s">
        <v>3005</v>
      </c>
      <c r="F618" s="25" t="s">
        <v>1074</v>
      </c>
      <c r="G618" s="24"/>
      <c r="H618" s="25" t="s">
        <v>3004</v>
      </c>
      <c r="I618" s="27"/>
      <c r="J618" s="25" t="s">
        <v>3004</v>
      </c>
      <c r="K618" s="27"/>
      <c r="L618" s="25" t="s">
        <v>3011</v>
      </c>
      <c r="M618" s="25" t="s">
        <v>3010</v>
      </c>
      <c r="N618" s="25">
        <v>130000</v>
      </c>
      <c r="O618" s="25">
        <v>0.2</v>
      </c>
      <c r="P618" s="25"/>
      <c r="Q618" s="25">
        <v>0.2</v>
      </c>
      <c r="R618" s="25"/>
      <c r="S618" s="25">
        <v>0.2</v>
      </c>
      <c r="T618" s="25"/>
      <c r="U618" s="31">
        <f t="shared" si="10"/>
        <v>0.60000000000000009</v>
      </c>
      <c r="V618" s="25"/>
      <c r="W618" s="33" t="s">
        <v>198</v>
      </c>
      <c r="X618" s="33"/>
      <c r="Y618" s="33"/>
      <c r="Z618" s="33" t="s">
        <v>3009</v>
      </c>
      <c r="AA618" s="33"/>
    </row>
    <row r="619" spans="1:27" s="70" customFormat="1" ht="45" x14ac:dyDescent="0.2">
      <c r="A619" s="24">
        <v>615</v>
      </c>
      <c r="B619" s="24" t="s">
        <v>2788</v>
      </c>
      <c r="C619" s="25" t="s">
        <v>2787</v>
      </c>
      <c r="D619" s="26" t="s">
        <v>3006</v>
      </c>
      <c r="E619" s="25" t="s">
        <v>3005</v>
      </c>
      <c r="F619" s="25" t="s">
        <v>1074</v>
      </c>
      <c r="G619" s="24"/>
      <c r="H619" s="25" t="s">
        <v>3004</v>
      </c>
      <c r="I619" s="27"/>
      <c r="J619" s="25" t="s">
        <v>3004</v>
      </c>
      <c r="K619" s="27"/>
      <c r="L619" s="25" t="s">
        <v>3008</v>
      </c>
      <c r="M619" s="25" t="s">
        <v>2978</v>
      </c>
      <c r="N619" s="25">
        <v>12</v>
      </c>
      <c r="O619" s="25"/>
      <c r="P619" s="25"/>
      <c r="Q619" s="25">
        <v>5</v>
      </c>
      <c r="R619" s="25"/>
      <c r="S619" s="25">
        <v>5</v>
      </c>
      <c r="T619" s="25">
        <v>5</v>
      </c>
      <c r="U619" s="31">
        <f t="shared" si="10"/>
        <v>15</v>
      </c>
      <c r="V619" s="25"/>
      <c r="W619" s="33" t="s">
        <v>1025</v>
      </c>
      <c r="X619" s="33"/>
      <c r="Y619" s="33"/>
      <c r="Z619" s="33" t="s">
        <v>3007</v>
      </c>
      <c r="AA619" s="33"/>
    </row>
    <row r="620" spans="1:27" s="70" customFormat="1" ht="45" x14ac:dyDescent="0.2">
      <c r="A620" s="24">
        <v>616</v>
      </c>
      <c r="B620" s="24" t="s">
        <v>2788</v>
      </c>
      <c r="C620" s="25" t="s">
        <v>2787</v>
      </c>
      <c r="D620" s="26" t="s">
        <v>3006</v>
      </c>
      <c r="E620" s="25" t="s">
        <v>3005</v>
      </c>
      <c r="F620" s="25" t="s">
        <v>1074</v>
      </c>
      <c r="G620" s="24"/>
      <c r="H620" s="25" t="s">
        <v>3004</v>
      </c>
      <c r="I620" s="27"/>
      <c r="J620" s="25" t="s">
        <v>3004</v>
      </c>
      <c r="K620" s="27"/>
      <c r="L620" s="25" t="s">
        <v>3003</v>
      </c>
      <c r="M620" s="25" t="s">
        <v>3002</v>
      </c>
      <c r="N620" s="25">
        <v>500</v>
      </c>
      <c r="O620" s="25">
        <v>2</v>
      </c>
      <c r="P620" s="25"/>
      <c r="Q620" s="25">
        <v>2</v>
      </c>
      <c r="R620" s="25"/>
      <c r="S620" s="25">
        <v>0.2</v>
      </c>
      <c r="T620" s="25">
        <v>0.2</v>
      </c>
      <c r="U620" s="31">
        <f t="shared" si="10"/>
        <v>4.4000000000000004</v>
      </c>
      <c r="V620" s="25"/>
      <c r="W620" s="33" t="s">
        <v>3001</v>
      </c>
      <c r="X620" s="33" t="s">
        <v>190</v>
      </c>
      <c r="Y620" s="33"/>
      <c r="Z620" s="33" t="s">
        <v>3000</v>
      </c>
      <c r="AA620" s="33"/>
    </row>
    <row r="621" spans="1:27" s="70" customFormat="1" ht="45" x14ac:dyDescent="0.2">
      <c r="A621" s="24">
        <v>617</v>
      </c>
      <c r="B621" s="24" t="s">
        <v>2788</v>
      </c>
      <c r="C621" s="25" t="s">
        <v>2787</v>
      </c>
      <c r="D621" s="26" t="s">
        <v>2890</v>
      </c>
      <c r="E621" s="25" t="s">
        <v>2889</v>
      </c>
      <c r="F621" s="25" t="s">
        <v>1071</v>
      </c>
      <c r="G621" s="24"/>
      <c r="H621" s="28" t="s">
        <v>2996</v>
      </c>
      <c r="I621" s="27"/>
      <c r="J621" s="28" t="s">
        <v>2999</v>
      </c>
      <c r="K621" s="27"/>
      <c r="L621" s="25"/>
      <c r="M621" s="25"/>
      <c r="N621" s="25"/>
      <c r="O621" s="25"/>
      <c r="P621" s="25"/>
      <c r="Q621" s="25"/>
      <c r="R621" s="25"/>
      <c r="S621" s="25"/>
      <c r="T621" s="25"/>
      <c r="U621" s="31">
        <f t="shared" si="10"/>
        <v>0</v>
      </c>
      <c r="V621" s="25"/>
      <c r="W621" s="33"/>
      <c r="X621" s="33"/>
      <c r="Y621" s="33"/>
      <c r="Z621" s="33"/>
      <c r="AA621" s="33"/>
    </row>
    <row r="622" spans="1:27" s="70" customFormat="1" ht="45" x14ac:dyDescent="0.2">
      <c r="A622" s="24">
        <v>618</v>
      </c>
      <c r="B622" s="24" t="s">
        <v>2788</v>
      </c>
      <c r="C622" s="25" t="s">
        <v>2787</v>
      </c>
      <c r="D622" s="26" t="s">
        <v>2890</v>
      </c>
      <c r="E622" s="25" t="s">
        <v>2889</v>
      </c>
      <c r="F622" s="25" t="s">
        <v>1071</v>
      </c>
      <c r="G622" s="24"/>
      <c r="H622" s="28" t="s">
        <v>2996</v>
      </c>
      <c r="I622" s="27"/>
      <c r="J622" s="28" t="s">
        <v>2998</v>
      </c>
      <c r="K622" s="27"/>
      <c r="L622" s="25"/>
      <c r="M622" s="25"/>
      <c r="N622" s="25"/>
      <c r="O622" s="25"/>
      <c r="P622" s="25"/>
      <c r="Q622" s="25"/>
      <c r="R622" s="25"/>
      <c r="S622" s="25"/>
      <c r="T622" s="25"/>
      <c r="U622" s="31">
        <f t="shared" si="10"/>
        <v>0</v>
      </c>
      <c r="V622" s="25"/>
      <c r="W622" s="33"/>
      <c r="X622" s="33"/>
      <c r="Y622" s="33"/>
      <c r="Z622" s="33"/>
      <c r="AA622" s="33"/>
    </row>
    <row r="623" spans="1:27" s="70" customFormat="1" ht="45" x14ac:dyDescent="0.2">
      <c r="A623" s="24">
        <v>619</v>
      </c>
      <c r="B623" s="24" t="s">
        <v>2788</v>
      </c>
      <c r="C623" s="25" t="s">
        <v>2787</v>
      </c>
      <c r="D623" s="26" t="s">
        <v>2890</v>
      </c>
      <c r="E623" s="25" t="s">
        <v>2889</v>
      </c>
      <c r="F623" s="25" t="s">
        <v>1071</v>
      </c>
      <c r="G623" s="24"/>
      <c r="H623" s="28" t="s">
        <v>2996</v>
      </c>
      <c r="I623" s="27"/>
      <c r="J623" s="28" t="s">
        <v>2997</v>
      </c>
      <c r="K623" s="27"/>
      <c r="L623" s="25"/>
      <c r="M623" s="25"/>
      <c r="N623" s="25"/>
      <c r="O623" s="25"/>
      <c r="P623" s="25"/>
      <c r="Q623" s="25"/>
      <c r="R623" s="25"/>
      <c r="S623" s="25"/>
      <c r="T623" s="25"/>
      <c r="U623" s="31">
        <f t="shared" si="10"/>
        <v>0</v>
      </c>
      <c r="V623" s="25"/>
      <c r="W623" s="33"/>
      <c r="X623" s="33"/>
      <c r="Y623" s="33"/>
      <c r="Z623" s="33"/>
      <c r="AA623" s="33"/>
    </row>
    <row r="624" spans="1:27" s="70" customFormat="1" ht="56.25" x14ac:dyDescent="0.2">
      <c r="A624" s="24">
        <v>620</v>
      </c>
      <c r="B624" s="24" t="s">
        <v>2788</v>
      </c>
      <c r="C624" s="25" t="s">
        <v>2787</v>
      </c>
      <c r="D624" s="26" t="s">
        <v>2890</v>
      </c>
      <c r="E624" s="25" t="s">
        <v>2889</v>
      </c>
      <c r="F624" s="25" t="s">
        <v>1071</v>
      </c>
      <c r="G624" s="24"/>
      <c r="H624" s="28" t="s">
        <v>2996</v>
      </c>
      <c r="I624" s="27"/>
      <c r="J624" s="28" t="s">
        <v>2995</v>
      </c>
      <c r="K624" s="27"/>
      <c r="L624" s="25"/>
      <c r="M624" s="25"/>
      <c r="N624" s="25"/>
      <c r="O624" s="25"/>
      <c r="P624" s="25"/>
      <c r="Q624" s="25"/>
      <c r="R624" s="25"/>
      <c r="S624" s="25"/>
      <c r="T624" s="25"/>
      <c r="U624" s="31">
        <f t="shared" si="10"/>
        <v>0</v>
      </c>
      <c r="V624" s="25"/>
      <c r="W624" s="33"/>
      <c r="X624" s="33"/>
      <c r="Y624" s="33"/>
      <c r="Z624" s="33"/>
      <c r="AA624" s="33"/>
    </row>
    <row r="625" spans="1:27" s="70" customFormat="1" ht="45" x14ac:dyDescent="0.2">
      <c r="A625" s="24">
        <v>621</v>
      </c>
      <c r="B625" s="24" t="s">
        <v>2788</v>
      </c>
      <c r="C625" s="25" t="s">
        <v>2787</v>
      </c>
      <c r="D625" s="26" t="s">
        <v>2890</v>
      </c>
      <c r="E625" s="25" t="s">
        <v>2889</v>
      </c>
      <c r="F625" s="25" t="s">
        <v>1071</v>
      </c>
      <c r="G625" s="24"/>
      <c r="H625" s="28" t="s">
        <v>2936</v>
      </c>
      <c r="I625" s="27"/>
      <c r="J625" s="28" t="s">
        <v>2966</v>
      </c>
      <c r="K625" s="27"/>
      <c r="L625" s="25" t="s">
        <v>2994</v>
      </c>
      <c r="M625" s="25" t="s">
        <v>2993</v>
      </c>
      <c r="N625" s="25">
        <v>1</v>
      </c>
      <c r="O625" s="25">
        <v>25</v>
      </c>
      <c r="P625" s="25"/>
      <c r="Q625" s="25">
        <v>19</v>
      </c>
      <c r="R625" s="25"/>
      <c r="S625" s="25">
        <v>10</v>
      </c>
      <c r="T625" s="25">
        <v>4</v>
      </c>
      <c r="U625" s="31">
        <f t="shared" si="10"/>
        <v>58</v>
      </c>
      <c r="V625" s="25">
        <v>58</v>
      </c>
      <c r="W625" s="33" t="s">
        <v>281</v>
      </c>
      <c r="X625" s="33" t="s">
        <v>2963</v>
      </c>
      <c r="Y625" s="33" t="s">
        <v>41</v>
      </c>
      <c r="Z625" s="33" t="s">
        <v>2992</v>
      </c>
      <c r="AA625" s="33"/>
    </row>
    <row r="626" spans="1:27" s="70" customFormat="1" ht="45" x14ac:dyDescent="0.2">
      <c r="A626" s="24">
        <v>622</v>
      </c>
      <c r="B626" s="24" t="s">
        <v>2788</v>
      </c>
      <c r="C626" s="25" t="s">
        <v>2787</v>
      </c>
      <c r="D626" s="26" t="s">
        <v>2890</v>
      </c>
      <c r="E626" s="25" t="s">
        <v>2889</v>
      </c>
      <c r="F626" s="25" t="s">
        <v>1071</v>
      </c>
      <c r="G626" s="24"/>
      <c r="H626" s="28" t="s">
        <v>2936</v>
      </c>
      <c r="I626" s="27"/>
      <c r="J626" s="28" t="s">
        <v>2966</v>
      </c>
      <c r="K626" s="27"/>
      <c r="L626" s="25" t="s">
        <v>2991</v>
      </c>
      <c r="M626" s="25" t="s">
        <v>898</v>
      </c>
      <c r="N626" s="25">
        <v>1400</v>
      </c>
      <c r="O626" s="25">
        <v>0.5</v>
      </c>
      <c r="P626" s="25"/>
      <c r="Q626" s="25">
        <v>0.5</v>
      </c>
      <c r="R626" s="25"/>
      <c r="S626" s="25">
        <v>0.3</v>
      </c>
      <c r="T626" s="25"/>
      <c r="U626" s="31">
        <f t="shared" si="10"/>
        <v>1.3</v>
      </c>
      <c r="V626" s="25">
        <v>1820</v>
      </c>
      <c r="W626" s="33" t="s">
        <v>281</v>
      </c>
      <c r="X626" s="33" t="s">
        <v>2963</v>
      </c>
      <c r="Y626" s="33" t="s">
        <v>41</v>
      </c>
      <c r="Z626" s="33" t="s">
        <v>2990</v>
      </c>
      <c r="AA626" s="33"/>
    </row>
    <row r="627" spans="1:27" s="70" customFormat="1" ht="45" x14ac:dyDescent="0.2">
      <c r="A627" s="24">
        <v>623</v>
      </c>
      <c r="B627" s="24" t="s">
        <v>2788</v>
      </c>
      <c r="C627" s="25" t="s">
        <v>2787</v>
      </c>
      <c r="D627" s="26" t="s">
        <v>2890</v>
      </c>
      <c r="E627" s="25" t="s">
        <v>2889</v>
      </c>
      <c r="F627" s="25" t="s">
        <v>1071</v>
      </c>
      <c r="G627" s="24"/>
      <c r="H627" s="28" t="s">
        <v>2936</v>
      </c>
      <c r="I627" s="27"/>
      <c r="J627" s="28" t="s">
        <v>2966</v>
      </c>
      <c r="K627" s="27"/>
      <c r="L627" s="25" t="s">
        <v>2989</v>
      </c>
      <c r="M627" s="25" t="s">
        <v>2982</v>
      </c>
      <c r="N627" s="25">
        <v>4</v>
      </c>
      <c r="O627" s="25">
        <v>2</v>
      </c>
      <c r="P627" s="25">
        <v>1.5</v>
      </c>
      <c r="Q627" s="25"/>
      <c r="R627" s="25">
        <v>0.5</v>
      </c>
      <c r="S627" s="25">
        <v>0.5</v>
      </c>
      <c r="T627" s="25">
        <v>0.2</v>
      </c>
      <c r="U627" s="31">
        <f t="shared" si="10"/>
        <v>4.7</v>
      </c>
      <c r="V627" s="25">
        <v>18.8</v>
      </c>
      <c r="W627" s="33" t="s">
        <v>281</v>
      </c>
      <c r="X627" s="33" t="s">
        <v>2963</v>
      </c>
      <c r="Y627" s="33" t="s">
        <v>41</v>
      </c>
      <c r="Z627" s="33"/>
      <c r="AA627" s="33"/>
    </row>
    <row r="628" spans="1:27" s="70" customFormat="1" ht="45" x14ac:dyDescent="0.2">
      <c r="A628" s="24">
        <v>624</v>
      </c>
      <c r="B628" s="24" t="s">
        <v>2788</v>
      </c>
      <c r="C628" s="25" t="s">
        <v>2787</v>
      </c>
      <c r="D628" s="26" t="s">
        <v>2890</v>
      </c>
      <c r="E628" s="25" t="s">
        <v>2889</v>
      </c>
      <c r="F628" s="25" t="s">
        <v>1071</v>
      </c>
      <c r="G628" s="24"/>
      <c r="H628" s="28" t="s">
        <v>2936</v>
      </c>
      <c r="I628" s="27"/>
      <c r="J628" s="28" t="s">
        <v>2966</v>
      </c>
      <c r="K628" s="27"/>
      <c r="L628" s="25" t="s">
        <v>2988</v>
      </c>
      <c r="M628" s="25" t="s">
        <v>2982</v>
      </c>
      <c r="N628" s="25">
        <v>4</v>
      </c>
      <c r="O628" s="25">
        <v>2</v>
      </c>
      <c r="P628" s="25">
        <v>1.5</v>
      </c>
      <c r="Q628" s="25"/>
      <c r="R628" s="25">
        <v>0.5</v>
      </c>
      <c r="S628" s="25">
        <v>0.5</v>
      </c>
      <c r="T628" s="25">
        <v>0.2</v>
      </c>
      <c r="U628" s="31">
        <f t="shared" si="10"/>
        <v>4.7</v>
      </c>
      <c r="V628" s="25">
        <v>18.8</v>
      </c>
      <c r="W628" s="33" t="s">
        <v>281</v>
      </c>
      <c r="X628" s="33" t="s">
        <v>2963</v>
      </c>
      <c r="Y628" s="33" t="s">
        <v>41</v>
      </c>
      <c r="Z628" s="33"/>
      <c r="AA628" s="33"/>
    </row>
    <row r="629" spans="1:27" s="70" customFormat="1" ht="45" x14ac:dyDescent="0.2">
      <c r="A629" s="24">
        <v>625</v>
      </c>
      <c r="B629" s="24" t="s">
        <v>2788</v>
      </c>
      <c r="C629" s="25" t="s">
        <v>2787</v>
      </c>
      <c r="D629" s="26" t="s">
        <v>2890</v>
      </c>
      <c r="E629" s="25" t="s">
        <v>2889</v>
      </c>
      <c r="F629" s="25" t="s">
        <v>1071</v>
      </c>
      <c r="G629" s="24"/>
      <c r="H629" s="28" t="s">
        <v>2936</v>
      </c>
      <c r="I629" s="27"/>
      <c r="J629" s="28" t="s">
        <v>2966</v>
      </c>
      <c r="K629" s="27"/>
      <c r="L629" s="25" t="s">
        <v>2987</v>
      </c>
      <c r="M629" s="25" t="s">
        <v>2982</v>
      </c>
      <c r="N629" s="25">
        <v>2</v>
      </c>
      <c r="O629" s="25">
        <v>5</v>
      </c>
      <c r="P629" s="25"/>
      <c r="Q629" s="25">
        <v>4</v>
      </c>
      <c r="R629" s="25"/>
      <c r="S629" s="25">
        <v>2</v>
      </c>
      <c r="T629" s="25">
        <v>0.5</v>
      </c>
      <c r="U629" s="31">
        <f t="shared" si="10"/>
        <v>11.5</v>
      </c>
      <c r="V629" s="25">
        <v>23</v>
      </c>
      <c r="W629" s="33" t="s">
        <v>281</v>
      </c>
      <c r="X629" s="33" t="s">
        <v>2963</v>
      </c>
      <c r="Y629" s="33" t="s">
        <v>41</v>
      </c>
      <c r="Z629" s="33"/>
      <c r="AA629" s="33"/>
    </row>
    <row r="630" spans="1:27" s="70" customFormat="1" ht="45" x14ac:dyDescent="0.2">
      <c r="A630" s="24">
        <v>626</v>
      </c>
      <c r="B630" s="24" t="s">
        <v>2788</v>
      </c>
      <c r="C630" s="25" t="s">
        <v>2787</v>
      </c>
      <c r="D630" s="26" t="s">
        <v>2890</v>
      </c>
      <c r="E630" s="25" t="s">
        <v>2889</v>
      </c>
      <c r="F630" s="25" t="s">
        <v>1071</v>
      </c>
      <c r="G630" s="24"/>
      <c r="H630" s="28" t="s">
        <v>2936</v>
      </c>
      <c r="I630" s="27"/>
      <c r="J630" s="28" t="s">
        <v>2966</v>
      </c>
      <c r="K630" s="27"/>
      <c r="L630" s="25" t="s">
        <v>2986</v>
      </c>
      <c r="M630" s="25" t="s">
        <v>2982</v>
      </c>
      <c r="N630" s="25">
        <v>2</v>
      </c>
      <c r="O630" s="25">
        <v>5</v>
      </c>
      <c r="P630" s="25"/>
      <c r="Q630" s="25">
        <v>4</v>
      </c>
      <c r="R630" s="25"/>
      <c r="S630" s="25">
        <v>2</v>
      </c>
      <c r="T630" s="25">
        <v>0.5</v>
      </c>
      <c r="U630" s="31">
        <f t="shared" si="10"/>
        <v>11.5</v>
      </c>
      <c r="V630" s="25">
        <v>23</v>
      </c>
      <c r="W630" s="33" t="s">
        <v>281</v>
      </c>
      <c r="X630" s="33" t="s">
        <v>2963</v>
      </c>
      <c r="Y630" s="33" t="s">
        <v>41</v>
      </c>
      <c r="Z630" s="33"/>
      <c r="AA630" s="33"/>
    </row>
    <row r="631" spans="1:27" s="70" customFormat="1" ht="45" x14ac:dyDescent="0.2">
      <c r="A631" s="24">
        <v>627</v>
      </c>
      <c r="B631" s="24" t="s">
        <v>2788</v>
      </c>
      <c r="C631" s="25" t="s">
        <v>2787</v>
      </c>
      <c r="D631" s="26" t="s">
        <v>2890</v>
      </c>
      <c r="E631" s="25" t="s">
        <v>2889</v>
      </c>
      <c r="F631" s="25" t="s">
        <v>1071</v>
      </c>
      <c r="G631" s="24"/>
      <c r="H631" s="28" t="s">
        <v>2936</v>
      </c>
      <c r="I631" s="27"/>
      <c r="J631" s="28" t="s">
        <v>2966</v>
      </c>
      <c r="K631" s="27"/>
      <c r="L631" s="25" t="s">
        <v>2985</v>
      </c>
      <c r="M631" s="25" t="s">
        <v>2982</v>
      </c>
      <c r="N631" s="25">
        <v>12</v>
      </c>
      <c r="O631" s="25">
        <v>2</v>
      </c>
      <c r="P631" s="25"/>
      <c r="Q631" s="25">
        <v>1</v>
      </c>
      <c r="R631" s="25"/>
      <c r="S631" s="25">
        <v>0.5</v>
      </c>
      <c r="T631" s="25">
        <v>0.5</v>
      </c>
      <c r="U631" s="31">
        <f t="shared" si="10"/>
        <v>4</v>
      </c>
      <c r="V631" s="25">
        <v>48</v>
      </c>
      <c r="W631" s="33" t="s">
        <v>281</v>
      </c>
      <c r="X631" s="33" t="s">
        <v>2963</v>
      </c>
      <c r="Y631" s="33" t="s">
        <v>41</v>
      </c>
      <c r="Z631" s="33"/>
      <c r="AA631" s="33"/>
    </row>
    <row r="632" spans="1:27" s="70" customFormat="1" ht="45" x14ac:dyDescent="0.2">
      <c r="A632" s="24">
        <v>628</v>
      </c>
      <c r="B632" s="24" t="s">
        <v>2788</v>
      </c>
      <c r="C632" s="25" t="s">
        <v>2787</v>
      </c>
      <c r="D632" s="26" t="s">
        <v>2890</v>
      </c>
      <c r="E632" s="25" t="s">
        <v>2889</v>
      </c>
      <c r="F632" s="25" t="s">
        <v>1071</v>
      </c>
      <c r="G632" s="24"/>
      <c r="H632" s="28" t="s">
        <v>2936</v>
      </c>
      <c r="I632" s="27"/>
      <c r="J632" s="28" t="s">
        <v>2966</v>
      </c>
      <c r="K632" s="27"/>
      <c r="L632" s="25" t="s">
        <v>2984</v>
      </c>
      <c r="M632" s="25" t="s">
        <v>2982</v>
      </c>
      <c r="N632" s="25">
        <v>12</v>
      </c>
      <c r="O632" s="25">
        <v>0.5</v>
      </c>
      <c r="P632" s="25"/>
      <c r="Q632" s="25">
        <v>0.3</v>
      </c>
      <c r="R632" s="25"/>
      <c r="S632" s="25">
        <v>0.25</v>
      </c>
      <c r="T632" s="25">
        <v>0.25</v>
      </c>
      <c r="U632" s="31">
        <f t="shared" si="10"/>
        <v>1.3</v>
      </c>
      <c r="V632" s="25">
        <v>15.600000000000001</v>
      </c>
      <c r="W632" s="33" t="s">
        <v>281</v>
      </c>
      <c r="X632" s="33" t="s">
        <v>2963</v>
      </c>
      <c r="Y632" s="33" t="s">
        <v>41</v>
      </c>
      <c r="Z632" s="33"/>
      <c r="AA632" s="33"/>
    </row>
    <row r="633" spans="1:27" s="70" customFormat="1" ht="45" x14ac:dyDescent="0.2">
      <c r="A633" s="24">
        <v>629</v>
      </c>
      <c r="B633" s="24" t="s">
        <v>2788</v>
      </c>
      <c r="C633" s="25" t="s">
        <v>2787</v>
      </c>
      <c r="D633" s="26" t="s">
        <v>2890</v>
      </c>
      <c r="E633" s="25" t="s">
        <v>2889</v>
      </c>
      <c r="F633" s="25" t="s">
        <v>1071</v>
      </c>
      <c r="G633" s="24"/>
      <c r="H633" s="28" t="s">
        <v>2936</v>
      </c>
      <c r="I633" s="27"/>
      <c r="J633" s="28" t="s">
        <v>2966</v>
      </c>
      <c r="K633" s="27"/>
      <c r="L633" s="25" t="s">
        <v>2983</v>
      </c>
      <c r="M633" s="25" t="s">
        <v>2982</v>
      </c>
      <c r="N633" s="25">
        <v>4</v>
      </c>
      <c r="O633" s="25">
        <v>2</v>
      </c>
      <c r="P633" s="25"/>
      <c r="Q633" s="25">
        <v>1</v>
      </c>
      <c r="R633" s="25"/>
      <c r="S633" s="25">
        <v>0.5</v>
      </c>
      <c r="T633" s="25">
        <v>0.25</v>
      </c>
      <c r="U633" s="31">
        <f t="shared" si="10"/>
        <v>3.75</v>
      </c>
      <c r="V633" s="25">
        <v>15</v>
      </c>
      <c r="W633" s="33" t="s">
        <v>281</v>
      </c>
      <c r="X633" s="33" t="s">
        <v>2963</v>
      </c>
      <c r="Y633" s="33" t="s">
        <v>41</v>
      </c>
      <c r="Z633" s="33"/>
      <c r="AA633" s="33"/>
    </row>
    <row r="634" spans="1:27" s="70" customFormat="1" ht="45" x14ac:dyDescent="0.2">
      <c r="A634" s="24">
        <v>630</v>
      </c>
      <c r="B634" s="24" t="s">
        <v>2788</v>
      </c>
      <c r="C634" s="25" t="s">
        <v>2787</v>
      </c>
      <c r="D634" s="26" t="s">
        <v>2890</v>
      </c>
      <c r="E634" s="25" t="s">
        <v>2889</v>
      </c>
      <c r="F634" s="25" t="s">
        <v>1071</v>
      </c>
      <c r="G634" s="24"/>
      <c r="H634" s="28" t="s">
        <v>2936</v>
      </c>
      <c r="I634" s="27"/>
      <c r="J634" s="28" t="s">
        <v>2966</v>
      </c>
      <c r="K634" s="27"/>
      <c r="L634" s="25" t="s">
        <v>2981</v>
      </c>
      <c r="M634" s="25" t="s">
        <v>2980</v>
      </c>
      <c r="N634" s="25">
        <v>2</v>
      </c>
      <c r="O634" s="25">
        <v>3</v>
      </c>
      <c r="P634" s="25"/>
      <c r="Q634" s="25">
        <v>2</v>
      </c>
      <c r="R634" s="25"/>
      <c r="S634" s="25">
        <v>1</v>
      </c>
      <c r="T634" s="25">
        <v>1</v>
      </c>
      <c r="U634" s="31">
        <f t="shared" si="10"/>
        <v>7</v>
      </c>
      <c r="V634" s="25">
        <v>14</v>
      </c>
      <c r="W634" s="33" t="s">
        <v>281</v>
      </c>
      <c r="X634" s="33" t="s">
        <v>2963</v>
      </c>
      <c r="Y634" s="33" t="s">
        <v>41</v>
      </c>
      <c r="Z634" s="33"/>
      <c r="AA634" s="33"/>
    </row>
    <row r="635" spans="1:27" s="70" customFormat="1" ht="45" x14ac:dyDescent="0.2">
      <c r="A635" s="24">
        <v>631</v>
      </c>
      <c r="B635" s="24" t="s">
        <v>2788</v>
      </c>
      <c r="C635" s="25" t="s">
        <v>2787</v>
      </c>
      <c r="D635" s="26" t="s">
        <v>2890</v>
      </c>
      <c r="E635" s="25" t="s">
        <v>2889</v>
      </c>
      <c r="F635" s="25" t="s">
        <v>1071</v>
      </c>
      <c r="G635" s="24"/>
      <c r="H635" s="28" t="s">
        <v>2936</v>
      </c>
      <c r="I635" s="27"/>
      <c r="J635" s="28" t="s">
        <v>2966</v>
      </c>
      <c r="K635" s="27"/>
      <c r="L635" s="25" t="s">
        <v>2979</v>
      </c>
      <c r="M635" s="25" t="s">
        <v>2978</v>
      </c>
      <c r="N635" s="25">
        <v>14</v>
      </c>
      <c r="O635" s="25">
        <v>3</v>
      </c>
      <c r="P635" s="25"/>
      <c r="Q635" s="25">
        <v>3</v>
      </c>
      <c r="R635" s="25"/>
      <c r="S635" s="25">
        <v>3</v>
      </c>
      <c r="T635" s="25"/>
      <c r="U635" s="31">
        <f t="shared" si="10"/>
        <v>9</v>
      </c>
      <c r="V635" s="25">
        <v>126</v>
      </c>
      <c r="W635" s="33" t="s">
        <v>281</v>
      </c>
      <c r="X635" s="33" t="s">
        <v>2963</v>
      </c>
      <c r="Y635" s="33" t="s">
        <v>41</v>
      </c>
      <c r="Z635" s="33"/>
      <c r="AA635" s="33"/>
    </row>
    <row r="636" spans="1:27" s="70" customFormat="1" ht="45" x14ac:dyDescent="0.2">
      <c r="A636" s="24">
        <v>632</v>
      </c>
      <c r="B636" s="24" t="s">
        <v>2788</v>
      </c>
      <c r="C636" s="25" t="s">
        <v>2787</v>
      </c>
      <c r="D636" s="26" t="s">
        <v>2890</v>
      </c>
      <c r="E636" s="25" t="s">
        <v>2889</v>
      </c>
      <c r="F636" s="25" t="s">
        <v>1071</v>
      </c>
      <c r="G636" s="24"/>
      <c r="H636" s="28" t="s">
        <v>2936</v>
      </c>
      <c r="I636" s="27"/>
      <c r="J636" s="28" t="s">
        <v>2966</v>
      </c>
      <c r="K636" s="27"/>
      <c r="L636" s="25" t="s">
        <v>2977</v>
      </c>
      <c r="M636" s="25" t="s">
        <v>2976</v>
      </c>
      <c r="N636" s="25">
        <v>5</v>
      </c>
      <c r="O636" s="25">
        <v>1</v>
      </c>
      <c r="P636" s="25"/>
      <c r="Q636" s="25">
        <v>1</v>
      </c>
      <c r="R636" s="25"/>
      <c r="S636" s="25">
        <v>0.5</v>
      </c>
      <c r="T636" s="25">
        <v>0.5</v>
      </c>
      <c r="U636" s="31">
        <f t="shared" si="10"/>
        <v>3</v>
      </c>
      <c r="V636" s="25">
        <v>15</v>
      </c>
      <c r="W636" s="33" t="s">
        <v>281</v>
      </c>
      <c r="X636" s="33" t="s">
        <v>2963</v>
      </c>
      <c r="Y636" s="33" t="s">
        <v>41</v>
      </c>
      <c r="Z636" s="33"/>
      <c r="AA636" s="33"/>
    </row>
    <row r="637" spans="1:27" s="70" customFormat="1" ht="45" x14ac:dyDescent="0.2">
      <c r="A637" s="24">
        <v>633</v>
      </c>
      <c r="B637" s="24" t="s">
        <v>2788</v>
      </c>
      <c r="C637" s="25" t="s">
        <v>2787</v>
      </c>
      <c r="D637" s="26" t="s">
        <v>2890</v>
      </c>
      <c r="E637" s="25" t="s">
        <v>2889</v>
      </c>
      <c r="F637" s="25" t="s">
        <v>1071</v>
      </c>
      <c r="G637" s="24"/>
      <c r="H637" s="28" t="s">
        <v>2936</v>
      </c>
      <c r="I637" s="27"/>
      <c r="J637" s="28" t="s">
        <v>2966</v>
      </c>
      <c r="K637" s="27"/>
      <c r="L637" s="25" t="s">
        <v>2975</v>
      </c>
      <c r="M637" s="25" t="s">
        <v>2974</v>
      </c>
      <c r="N637" s="25">
        <v>10</v>
      </c>
      <c r="O637" s="25">
        <v>0.5</v>
      </c>
      <c r="P637" s="25"/>
      <c r="Q637" s="25">
        <v>0.5</v>
      </c>
      <c r="R637" s="25"/>
      <c r="S637" s="25">
        <v>0.25</v>
      </c>
      <c r="T637" s="25"/>
      <c r="U637" s="31">
        <f t="shared" si="10"/>
        <v>1.25</v>
      </c>
      <c r="V637" s="25">
        <v>12.5</v>
      </c>
      <c r="W637" s="33" t="s">
        <v>281</v>
      </c>
      <c r="X637" s="33" t="s">
        <v>2963</v>
      </c>
      <c r="Y637" s="33" t="s">
        <v>41</v>
      </c>
      <c r="Z637" s="33"/>
      <c r="AA637" s="33"/>
    </row>
    <row r="638" spans="1:27" s="70" customFormat="1" ht="45" x14ac:dyDescent="0.2">
      <c r="A638" s="24">
        <v>634</v>
      </c>
      <c r="B638" s="24" t="s">
        <v>2788</v>
      </c>
      <c r="C638" s="25" t="s">
        <v>2787</v>
      </c>
      <c r="D638" s="26" t="s">
        <v>2890</v>
      </c>
      <c r="E638" s="25" t="s">
        <v>2889</v>
      </c>
      <c r="F638" s="25" t="s">
        <v>1071</v>
      </c>
      <c r="G638" s="24"/>
      <c r="H638" s="28" t="s">
        <v>2936</v>
      </c>
      <c r="I638" s="27"/>
      <c r="J638" s="28" t="s">
        <v>2966</v>
      </c>
      <c r="K638" s="27"/>
      <c r="L638" s="25" t="s">
        <v>2973</v>
      </c>
      <c r="M638" s="25" t="s">
        <v>2972</v>
      </c>
      <c r="N638" s="25">
        <v>1</v>
      </c>
      <c r="O638" s="25"/>
      <c r="P638" s="25"/>
      <c r="Q638" s="25">
        <v>8</v>
      </c>
      <c r="R638" s="25"/>
      <c r="S638" s="25">
        <v>4</v>
      </c>
      <c r="T638" s="25"/>
      <c r="U638" s="31">
        <f t="shared" si="10"/>
        <v>12</v>
      </c>
      <c r="V638" s="25">
        <v>12</v>
      </c>
      <c r="W638" s="33" t="s">
        <v>281</v>
      </c>
      <c r="X638" s="33" t="s">
        <v>2963</v>
      </c>
      <c r="Y638" s="33" t="s">
        <v>41</v>
      </c>
      <c r="Z638" s="33"/>
      <c r="AA638" s="33"/>
    </row>
    <row r="639" spans="1:27" s="70" customFormat="1" ht="45" x14ac:dyDescent="0.2">
      <c r="A639" s="24">
        <v>635</v>
      </c>
      <c r="B639" s="24" t="s">
        <v>2788</v>
      </c>
      <c r="C639" s="25" t="s">
        <v>2787</v>
      </c>
      <c r="D639" s="26" t="s">
        <v>2890</v>
      </c>
      <c r="E639" s="25" t="s">
        <v>2889</v>
      </c>
      <c r="F639" s="25" t="s">
        <v>1071</v>
      </c>
      <c r="G639" s="24"/>
      <c r="H639" s="28" t="s">
        <v>2936</v>
      </c>
      <c r="I639" s="27"/>
      <c r="J639" s="28" t="s">
        <v>2966</v>
      </c>
      <c r="K639" s="27"/>
      <c r="L639" s="25" t="s">
        <v>2971</v>
      </c>
      <c r="M639" s="25" t="s">
        <v>2969</v>
      </c>
      <c r="N639" s="25">
        <v>1</v>
      </c>
      <c r="O639" s="25"/>
      <c r="P639" s="25"/>
      <c r="Q639" s="25">
        <v>3</v>
      </c>
      <c r="R639" s="25"/>
      <c r="S639" s="25">
        <v>1.5</v>
      </c>
      <c r="T639" s="25">
        <v>1</v>
      </c>
      <c r="U639" s="31">
        <f t="shared" si="10"/>
        <v>5.5</v>
      </c>
      <c r="V639" s="25">
        <v>5.5</v>
      </c>
      <c r="W639" s="33" t="s">
        <v>281</v>
      </c>
      <c r="X639" s="33" t="s">
        <v>2963</v>
      </c>
      <c r="Y639" s="33" t="s">
        <v>41</v>
      </c>
      <c r="Z639" s="33"/>
      <c r="AA639" s="33"/>
    </row>
    <row r="640" spans="1:27" s="70" customFormat="1" ht="45" x14ac:dyDescent="0.2">
      <c r="A640" s="24">
        <v>636</v>
      </c>
      <c r="B640" s="24" t="s">
        <v>2788</v>
      </c>
      <c r="C640" s="25" t="s">
        <v>2787</v>
      </c>
      <c r="D640" s="26" t="s">
        <v>2890</v>
      </c>
      <c r="E640" s="25" t="s">
        <v>2889</v>
      </c>
      <c r="F640" s="25" t="s">
        <v>1071</v>
      </c>
      <c r="G640" s="24"/>
      <c r="H640" s="28" t="s">
        <v>2936</v>
      </c>
      <c r="I640" s="27"/>
      <c r="J640" s="28" t="s">
        <v>2966</v>
      </c>
      <c r="K640" s="27"/>
      <c r="L640" s="25" t="s">
        <v>2970</v>
      </c>
      <c r="M640" s="25" t="s">
        <v>2969</v>
      </c>
      <c r="N640" s="25">
        <v>1</v>
      </c>
      <c r="O640" s="25"/>
      <c r="P640" s="25"/>
      <c r="Q640" s="25">
        <v>3</v>
      </c>
      <c r="R640" s="25"/>
      <c r="S640" s="25">
        <v>1.5</v>
      </c>
      <c r="T640" s="25">
        <v>1</v>
      </c>
      <c r="U640" s="31">
        <f t="shared" si="10"/>
        <v>5.5</v>
      </c>
      <c r="V640" s="25">
        <v>5.5</v>
      </c>
      <c r="W640" s="33" t="s">
        <v>281</v>
      </c>
      <c r="X640" s="33" t="s">
        <v>2963</v>
      </c>
      <c r="Y640" s="33" t="s">
        <v>41</v>
      </c>
      <c r="Z640" s="33"/>
      <c r="AA640" s="33"/>
    </row>
    <row r="641" spans="1:27" s="70" customFormat="1" ht="45" x14ac:dyDescent="0.2">
      <c r="A641" s="24">
        <v>637</v>
      </c>
      <c r="B641" s="24" t="s">
        <v>2788</v>
      </c>
      <c r="C641" s="25" t="s">
        <v>2787</v>
      </c>
      <c r="D641" s="26" t="s">
        <v>2890</v>
      </c>
      <c r="E641" s="25" t="s">
        <v>2889</v>
      </c>
      <c r="F641" s="25" t="s">
        <v>1071</v>
      </c>
      <c r="G641" s="24"/>
      <c r="H641" s="28" t="s">
        <v>2936</v>
      </c>
      <c r="I641" s="27"/>
      <c r="J641" s="28" t="s">
        <v>2966</v>
      </c>
      <c r="K641" s="27"/>
      <c r="L641" s="25" t="s">
        <v>2968</v>
      </c>
      <c r="M641" s="25" t="s">
        <v>898</v>
      </c>
      <c r="N641" s="25">
        <v>2000</v>
      </c>
      <c r="O641" s="25">
        <v>0.1</v>
      </c>
      <c r="P641" s="25"/>
      <c r="Q641" s="25">
        <v>0.1</v>
      </c>
      <c r="R641" s="25"/>
      <c r="S641" s="25"/>
      <c r="T641" s="25"/>
      <c r="U641" s="31">
        <f t="shared" si="10"/>
        <v>0.2</v>
      </c>
      <c r="V641" s="25">
        <v>400</v>
      </c>
      <c r="W641" s="33" t="s">
        <v>281</v>
      </c>
      <c r="X641" s="33" t="s">
        <v>2963</v>
      </c>
      <c r="Y641" s="33" t="s">
        <v>41</v>
      </c>
      <c r="Z641" s="33"/>
      <c r="AA641" s="33"/>
    </row>
    <row r="642" spans="1:27" s="70" customFormat="1" ht="45" x14ac:dyDescent="0.2">
      <c r="A642" s="24">
        <v>638</v>
      </c>
      <c r="B642" s="24" t="s">
        <v>2788</v>
      </c>
      <c r="C642" s="25" t="s">
        <v>2787</v>
      </c>
      <c r="D642" s="26" t="s">
        <v>2890</v>
      </c>
      <c r="E642" s="25" t="s">
        <v>2889</v>
      </c>
      <c r="F642" s="25" t="s">
        <v>1071</v>
      </c>
      <c r="G642" s="24"/>
      <c r="H642" s="28" t="s">
        <v>2936</v>
      </c>
      <c r="I642" s="27"/>
      <c r="J642" s="28" t="s">
        <v>2966</v>
      </c>
      <c r="K642" s="27"/>
      <c r="L642" s="25" t="s">
        <v>2967</v>
      </c>
      <c r="M642" s="25" t="s">
        <v>898</v>
      </c>
      <c r="N642" s="25">
        <v>4000</v>
      </c>
      <c r="O642" s="25">
        <v>0.1</v>
      </c>
      <c r="P642" s="25"/>
      <c r="Q642" s="25">
        <v>0.1</v>
      </c>
      <c r="R642" s="25"/>
      <c r="S642" s="25">
        <v>0.15</v>
      </c>
      <c r="T642" s="25">
        <v>0.1</v>
      </c>
      <c r="U642" s="31">
        <f t="shared" si="10"/>
        <v>0.44999999999999996</v>
      </c>
      <c r="V642" s="25">
        <v>1799.9999999999998</v>
      </c>
      <c r="W642" s="33" t="s">
        <v>281</v>
      </c>
      <c r="X642" s="33" t="s">
        <v>2963</v>
      </c>
      <c r="Y642" s="33" t="s">
        <v>41</v>
      </c>
      <c r="Z642" s="33"/>
      <c r="AA642" s="33"/>
    </row>
    <row r="643" spans="1:27" s="70" customFormat="1" ht="45" x14ac:dyDescent="0.2">
      <c r="A643" s="24">
        <v>639</v>
      </c>
      <c r="B643" s="24" t="s">
        <v>2788</v>
      </c>
      <c r="C643" s="25" t="s">
        <v>2787</v>
      </c>
      <c r="D643" s="26" t="s">
        <v>2890</v>
      </c>
      <c r="E643" s="25" t="s">
        <v>2889</v>
      </c>
      <c r="F643" s="25" t="s">
        <v>1071</v>
      </c>
      <c r="G643" s="24"/>
      <c r="H643" s="28" t="s">
        <v>2936</v>
      </c>
      <c r="I643" s="27"/>
      <c r="J643" s="28" t="s">
        <v>2966</v>
      </c>
      <c r="K643" s="27"/>
      <c r="L643" s="25" t="s">
        <v>2965</v>
      </c>
      <c r="M643" s="25" t="s">
        <v>2964</v>
      </c>
      <c r="N643" s="25">
        <v>80</v>
      </c>
      <c r="O643" s="25">
        <v>0.3</v>
      </c>
      <c r="P643" s="25"/>
      <c r="Q643" s="25">
        <v>0.3</v>
      </c>
      <c r="R643" s="25"/>
      <c r="S643" s="25">
        <v>0.1</v>
      </c>
      <c r="T643" s="25"/>
      <c r="U643" s="31">
        <f t="shared" si="10"/>
        <v>0.7</v>
      </c>
      <c r="V643" s="25">
        <v>56</v>
      </c>
      <c r="W643" s="33" t="s">
        <v>281</v>
      </c>
      <c r="X643" s="33" t="s">
        <v>2963</v>
      </c>
      <c r="Y643" s="33" t="s">
        <v>41</v>
      </c>
      <c r="Z643" s="33"/>
      <c r="AA643" s="33"/>
    </row>
    <row r="644" spans="1:27" s="70" customFormat="1" ht="45" x14ac:dyDescent="0.2">
      <c r="A644" s="24">
        <v>640</v>
      </c>
      <c r="B644" s="24" t="s">
        <v>2788</v>
      </c>
      <c r="C644" s="25" t="s">
        <v>2787</v>
      </c>
      <c r="D644" s="26" t="s">
        <v>2890</v>
      </c>
      <c r="E644" s="25" t="s">
        <v>2889</v>
      </c>
      <c r="F644" s="25" t="s">
        <v>1071</v>
      </c>
      <c r="G644" s="24"/>
      <c r="H644" s="28" t="s">
        <v>2936</v>
      </c>
      <c r="I644" s="27"/>
      <c r="J644" s="28" t="s">
        <v>2962</v>
      </c>
      <c r="K644" s="27"/>
      <c r="L644" s="25"/>
      <c r="M644" s="25"/>
      <c r="N644" s="25"/>
      <c r="O644" s="25"/>
      <c r="P644" s="25"/>
      <c r="Q644" s="25"/>
      <c r="R644" s="25"/>
      <c r="S644" s="25"/>
      <c r="T644" s="25"/>
      <c r="U644" s="31">
        <f t="shared" si="10"/>
        <v>0</v>
      </c>
      <c r="V644" s="25"/>
      <c r="W644" s="33"/>
      <c r="X644" s="33"/>
      <c r="Y644" s="33"/>
      <c r="Z644" s="33"/>
      <c r="AA644" s="33"/>
    </row>
    <row r="645" spans="1:27" s="70" customFormat="1" ht="45" x14ac:dyDescent="0.2">
      <c r="A645" s="24">
        <v>641</v>
      </c>
      <c r="B645" s="24" t="s">
        <v>2788</v>
      </c>
      <c r="C645" s="25" t="s">
        <v>2787</v>
      </c>
      <c r="D645" s="26" t="s">
        <v>2890</v>
      </c>
      <c r="E645" s="25" t="s">
        <v>2889</v>
      </c>
      <c r="F645" s="25" t="s">
        <v>1071</v>
      </c>
      <c r="G645" s="24"/>
      <c r="H645" s="28" t="s">
        <v>2936</v>
      </c>
      <c r="I645" s="27"/>
      <c r="J645" s="28" t="s">
        <v>2961</v>
      </c>
      <c r="K645" s="27"/>
      <c r="L645" s="25"/>
      <c r="M645" s="25"/>
      <c r="N645" s="25"/>
      <c r="O645" s="25"/>
      <c r="P645" s="25"/>
      <c r="Q645" s="25"/>
      <c r="R645" s="25"/>
      <c r="S645" s="25"/>
      <c r="T645" s="25"/>
      <c r="U645" s="31">
        <f t="shared" si="10"/>
        <v>0</v>
      </c>
      <c r="V645" s="25"/>
      <c r="W645" s="33"/>
      <c r="X645" s="33"/>
      <c r="Y645" s="33"/>
      <c r="Z645" s="33"/>
      <c r="AA645" s="33"/>
    </row>
    <row r="646" spans="1:27" s="70" customFormat="1" ht="45" x14ac:dyDescent="0.2">
      <c r="A646" s="24">
        <v>642</v>
      </c>
      <c r="B646" s="24" t="s">
        <v>2788</v>
      </c>
      <c r="C646" s="25" t="s">
        <v>2787</v>
      </c>
      <c r="D646" s="26" t="s">
        <v>2890</v>
      </c>
      <c r="E646" s="25" t="s">
        <v>2889</v>
      </c>
      <c r="F646" s="25" t="s">
        <v>1071</v>
      </c>
      <c r="G646" s="24"/>
      <c r="H646" s="28" t="s">
        <v>2936</v>
      </c>
      <c r="I646" s="27"/>
      <c r="J646" s="28" t="s">
        <v>2935</v>
      </c>
      <c r="K646" s="27"/>
      <c r="L646" s="25" t="s">
        <v>2960</v>
      </c>
      <c r="M646" s="25" t="s">
        <v>2925</v>
      </c>
      <c r="N646" s="25">
        <v>303</v>
      </c>
      <c r="O646" s="25"/>
      <c r="P646" s="25">
        <v>0.1</v>
      </c>
      <c r="Q646" s="25">
        <v>0.1</v>
      </c>
      <c r="R646" s="25"/>
      <c r="S646" s="25">
        <v>0.1</v>
      </c>
      <c r="T646" s="25">
        <v>0.1</v>
      </c>
      <c r="U646" s="31">
        <f t="shared" ref="U646:U709" si="11">SUM(O646:T646)</f>
        <v>0.4</v>
      </c>
      <c r="V646" s="25">
        <v>121.2</v>
      </c>
      <c r="W646" s="33" t="s">
        <v>2900</v>
      </c>
      <c r="X646" s="33" t="s">
        <v>2923</v>
      </c>
      <c r="Y646" s="33"/>
      <c r="Z646" s="33" t="s">
        <v>2898</v>
      </c>
      <c r="AA646" s="33"/>
    </row>
    <row r="647" spans="1:27" s="70" customFormat="1" ht="45" x14ac:dyDescent="0.2">
      <c r="A647" s="24">
        <v>643</v>
      </c>
      <c r="B647" s="24" t="s">
        <v>2788</v>
      </c>
      <c r="C647" s="25" t="s">
        <v>2787</v>
      </c>
      <c r="D647" s="26" t="s">
        <v>2890</v>
      </c>
      <c r="E647" s="25" t="s">
        <v>2889</v>
      </c>
      <c r="F647" s="25" t="s">
        <v>1071</v>
      </c>
      <c r="G647" s="24"/>
      <c r="H647" s="28" t="s">
        <v>2936</v>
      </c>
      <c r="I647" s="27"/>
      <c r="J647" s="28" t="s">
        <v>2935</v>
      </c>
      <c r="K647" s="27"/>
      <c r="L647" s="25" t="s">
        <v>2959</v>
      </c>
      <c r="M647" s="25" t="s">
        <v>2925</v>
      </c>
      <c r="N647" s="25">
        <v>12</v>
      </c>
      <c r="O647" s="25"/>
      <c r="P647" s="25">
        <v>0.5</v>
      </c>
      <c r="Q647" s="25">
        <v>0.4</v>
      </c>
      <c r="R647" s="25"/>
      <c r="S647" s="25">
        <v>0.2</v>
      </c>
      <c r="T647" s="25">
        <v>0.1</v>
      </c>
      <c r="U647" s="31">
        <f t="shared" si="11"/>
        <v>1.2000000000000002</v>
      </c>
      <c r="V647" s="25">
        <v>14.400000000000002</v>
      </c>
      <c r="W647" s="33" t="s">
        <v>1116</v>
      </c>
      <c r="X647" s="33" t="s">
        <v>2923</v>
      </c>
      <c r="Y647" s="33"/>
      <c r="Z647" s="33"/>
      <c r="AA647" s="33"/>
    </row>
    <row r="648" spans="1:27" s="70" customFormat="1" ht="45" x14ac:dyDescent="0.2">
      <c r="A648" s="24">
        <v>644</v>
      </c>
      <c r="B648" s="24" t="s">
        <v>2788</v>
      </c>
      <c r="C648" s="25" t="s">
        <v>2787</v>
      </c>
      <c r="D648" s="26" t="s">
        <v>2890</v>
      </c>
      <c r="E648" s="25" t="s">
        <v>2889</v>
      </c>
      <c r="F648" s="25" t="s">
        <v>1071</v>
      </c>
      <c r="G648" s="24"/>
      <c r="H648" s="28" t="s">
        <v>2936</v>
      </c>
      <c r="I648" s="27"/>
      <c r="J648" s="28" t="s">
        <v>2935</v>
      </c>
      <c r="K648" s="27"/>
      <c r="L648" s="25" t="s">
        <v>2958</v>
      </c>
      <c r="M648" s="25" t="s">
        <v>2925</v>
      </c>
      <c r="N648" s="25">
        <v>303</v>
      </c>
      <c r="O648" s="25"/>
      <c r="P648" s="25">
        <v>0.5</v>
      </c>
      <c r="Q648" s="25">
        <v>0.4</v>
      </c>
      <c r="R648" s="25"/>
      <c r="S648" s="25">
        <v>0.2</v>
      </c>
      <c r="T648" s="25">
        <v>0.1</v>
      </c>
      <c r="U648" s="31">
        <f t="shared" si="11"/>
        <v>1.2000000000000002</v>
      </c>
      <c r="V648" s="25">
        <v>363.60000000000008</v>
      </c>
      <c r="W648" s="33" t="s">
        <v>2957</v>
      </c>
      <c r="X648" s="33" t="s">
        <v>2923</v>
      </c>
      <c r="Y648" s="33"/>
      <c r="Z648" s="33"/>
      <c r="AA648" s="33"/>
    </row>
    <row r="649" spans="1:27" s="70" customFormat="1" ht="45" x14ac:dyDescent="0.2">
      <c r="A649" s="24">
        <v>645</v>
      </c>
      <c r="B649" s="24" t="s">
        <v>2788</v>
      </c>
      <c r="C649" s="25" t="s">
        <v>2787</v>
      </c>
      <c r="D649" s="26" t="s">
        <v>2890</v>
      </c>
      <c r="E649" s="25" t="s">
        <v>2889</v>
      </c>
      <c r="F649" s="25" t="s">
        <v>1071</v>
      </c>
      <c r="G649" s="24"/>
      <c r="H649" s="28" t="s">
        <v>2936</v>
      </c>
      <c r="I649" s="27"/>
      <c r="J649" s="28" t="s">
        <v>2935</v>
      </c>
      <c r="K649" s="27"/>
      <c r="L649" s="25" t="s">
        <v>2956</v>
      </c>
      <c r="M649" s="25" t="s">
        <v>2925</v>
      </c>
      <c r="N649" s="25">
        <v>303</v>
      </c>
      <c r="O649" s="25"/>
      <c r="P649" s="25">
        <v>0.2</v>
      </c>
      <c r="Q649" s="25">
        <v>0.15</v>
      </c>
      <c r="R649" s="25"/>
      <c r="S649" s="25">
        <v>0.1</v>
      </c>
      <c r="T649" s="25">
        <v>0.1</v>
      </c>
      <c r="U649" s="31">
        <f t="shared" si="11"/>
        <v>0.54999999999999993</v>
      </c>
      <c r="V649" s="25">
        <v>166.64999999999998</v>
      </c>
      <c r="W649" s="33" t="s">
        <v>2900</v>
      </c>
      <c r="X649" s="33" t="s">
        <v>2923</v>
      </c>
      <c r="Y649" s="33"/>
      <c r="Z649" s="33" t="s">
        <v>2898</v>
      </c>
      <c r="AA649" s="33"/>
    </row>
    <row r="650" spans="1:27" s="70" customFormat="1" ht="45" x14ac:dyDescent="0.2">
      <c r="A650" s="24">
        <v>646</v>
      </c>
      <c r="B650" s="24" t="s">
        <v>2788</v>
      </c>
      <c r="C650" s="25" t="s">
        <v>2787</v>
      </c>
      <c r="D650" s="26" t="s">
        <v>2890</v>
      </c>
      <c r="E650" s="25" t="s">
        <v>2889</v>
      </c>
      <c r="F650" s="25" t="s">
        <v>1071</v>
      </c>
      <c r="G650" s="24"/>
      <c r="H650" s="28" t="s">
        <v>2936</v>
      </c>
      <c r="I650" s="27"/>
      <c r="J650" s="28" t="s">
        <v>2935</v>
      </c>
      <c r="K650" s="27"/>
      <c r="L650" s="25" t="s">
        <v>2955</v>
      </c>
      <c r="M650" s="25" t="s">
        <v>2925</v>
      </c>
      <c r="N650" s="25">
        <v>303</v>
      </c>
      <c r="O650" s="25"/>
      <c r="P650" s="25"/>
      <c r="Q650" s="25">
        <v>0.5</v>
      </c>
      <c r="R650" s="25"/>
      <c r="S650" s="25">
        <v>0.25</v>
      </c>
      <c r="T650" s="25">
        <v>0.25</v>
      </c>
      <c r="U650" s="31">
        <f t="shared" si="11"/>
        <v>1</v>
      </c>
      <c r="V650" s="25">
        <v>303</v>
      </c>
      <c r="W650" s="33" t="s">
        <v>2954</v>
      </c>
      <c r="X650" s="33" t="s">
        <v>2899</v>
      </c>
      <c r="Y650" s="33"/>
      <c r="Z650" s="33"/>
      <c r="AA650" s="33"/>
    </row>
    <row r="651" spans="1:27" s="70" customFormat="1" ht="45" x14ac:dyDescent="0.2">
      <c r="A651" s="24">
        <v>647</v>
      </c>
      <c r="B651" s="24" t="s">
        <v>2788</v>
      </c>
      <c r="C651" s="25" t="s">
        <v>2787</v>
      </c>
      <c r="D651" s="26" t="s">
        <v>2890</v>
      </c>
      <c r="E651" s="25" t="s">
        <v>2889</v>
      </c>
      <c r="F651" s="25" t="s">
        <v>1071</v>
      </c>
      <c r="G651" s="24"/>
      <c r="H651" s="28" t="s">
        <v>2936</v>
      </c>
      <c r="I651" s="27"/>
      <c r="J651" s="28" t="s">
        <v>2935</v>
      </c>
      <c r="K651" s="27"/>
      <c r="L651" s="25" t="s">
        <v>2953</v>
      </c>
      <c r="M651" s="25" t="s">
        <v>2925</v>
      </c>
      <c r="N651" s="25">
        <v>12</v>
      </c>
      <c r="O651" s="25"/>
      <c r="P651" s="25"/>
      <c r="Q651" s="25">
        <v>0.5</v>
      </c>
      <c r="R651" s="25"/>
      <c r="S651" s="25">
        <v>0.25</v>
      </c>
      <c r="T651" s="25">
        <v>0.25</v>
      </c>
      <c r="U651" s="31">
        <f t="shared" si="11"/>
        <v>1</v>
      </c>
      <c r="V651" s="25">
        <v>12</v>
      </c>
      <c r="W651" s="33" t="s">
        <v>193</v>
      </c>
      <c r="X651" s="33" t="s">
        <v>2899</v>
      </c>
      <c r="Y651" s="33"/>
      <c r="Z651" s="33"/>
      <c r="AA651" s="33"/>
    </row>
    <row r="652" spans="1:27" s="70" customFormat="1" ht="45" x14ac:dyDescent="0.2">
      <c r="A652" s="24">
        <v>648</v>
      </c>
      <c r="B652" s="24" t="s">
        <v>2788</v>
      </c>
      <c r="C652" s="25" t="s">
        <v>2787</v>
      </c>
      <c r="D652" s="26" t="s">
        <v>2890</v>
      </c>
      <c r="E652" s="25" t="s">
        <v>2889</v>
      </c>
      <c r="F652" s="25" t="s">
        <v>1071</v>
      </c>
      <c r="G652" s="24"/>
      <c r="H652" s="28" t="s">
        <v>2936</v>
      </c>
      <c r="I652" s="27"/>
      <c r="J652" s="28" t="s">
        <v>2935</v>
      </c>
      <c r="K652" s="27"/>
      <c r="L652" s="25" t="s">
        <v>2952</v>
      </c>
      <c r="M652" s="25" t="s">
        <v>2925</v>
      </c>
      <c r="N652" s="25">
        <v>12</v>
      </c>
      <c r="O652" s="25"/>
      <c r="P652" s="25"/>
      <c r="Q652" s="25">
        <v>0.5</v>
      </c>
      <c r="R652" s="25"/>
      <c r="S652" s="25">
        <v>0.25</v>
      </c>
      <c r="T652" s="25">
        <v>0.25</v>
      </c>
      <c r="U652" s="31">
        <f t="shared" si="11"/>
        <v>1</v>
      </c>
      <c r="V652" s="25">
        <v>12</v>
      </c>
      <c r="W652" s="33" t="s">
        <v>193</v>
      </c>
      <c r="X652" s="33" t="s">
        <v>2899</v>
      </c>
      <c r="Y652" s="33"/>
      <c r="Z652" s="33"/>
      <c r="AA652" s="33"/>
    </row>
    <row r="653" spans="1:27" s="70" customFormat="1" ht="45" x14ac:dyDescent="0.2">
      <c r="A653" s="24">
        <v>649</v>
      </c>
      <c r="B653" s="24" t="s">
        <v>2788</v>
      </c>
      <c r="C653" s="25" t="s">
        <v>2787</v>
      </c>
      <c r="D653" s="26" t="s">
        <v>2890</v>
      </c>
      <c r="E653" s="25" t="s">
        <v>2889</v>
      </c>
      <c r="F653" s="25" t="s">
        <v>1071</v>
      </c>
      <c r="G653" s="24"/>
      <c r="H653" s="28" t="s">
        <v>2936</v>
      </c>
      <c r="I653" s="27"/>
      <c r="J653" s="28" t="s">
        <v>2935</v>
      </c>
      <c r="K653" s="27"/>
      <c r="L653" s="25" t="s">
        <v>2951</v>
      </c>
      <c r="M653" s="25" t="s">
        <v>2925</v>
      </c>
      <c r="N653" s="25">
        <v>303</v>
      </c>
      <c r="O653" s="25"/>
      <c r="P653" s="25"/>
      <c r="Q653" s="25">
        <v>0.5</v>
      </c>
      <c r="R653" s="25"/>
      <c r="S653" s="25">
        <v>0.25</v>
      </c>
      <c r="T653" s="25">
        <v>0.25</v>
      </c>
      <c r="U653" s="31">
        <f t="shared" si="11"/>
        <v>1</v>
      </c>
      <c r="V653" s="25">
        <v>303</v>
      </c>
      <c r="W653" s="33" t="s">
        <v>2950</v>
      </c>
      <c r="X653" s="33" t="s">
        <v>2899</v>
      </c>
      <c r="Y653" s="33"/>
      <c r="Z653" s="33"/>
      <c r="AA653" s="33"/>
    </row>
    <row r="654" spans="1:27" s="70" customFormat="1" ht="45" x14ac:dyDescent="0.2">
      <c r="A654" s="24">
        <v>650</v>
      </c>
      <c r="B654" s="24" t="s">
        <v>2788</v>
      </c>
      <c r="C654" s="25" t="s">
        <v>2787</v>
      </c>
      <c r="D654" s="26" t="s">
        <v>2890</v>
      </c>
      <c r="E654" s="25" t="s">
        <v>2889</v>
      </c>
      <c r="F654" s="25" t="s">
        <v>1071</v>
      </c>
      <c r="G654" s="24"/>
      <c r="H654" s="28" t="s">
        <v>2936</v>
      </c>
      <c r="I654" s="27"/>
      <c r="J654" s="28" t="s">
        <v>2935</v>
      </c>
      <c r="K654" s="27"/>
      <c r="L654" s="25" t="s">
        <v>2949</v>
      </c>
      <c r="M654" s="25" t="s">
        <v>2925</v>
      </c>
      <c r="N654" s="25">
        <v>12</v>
      </c>
      <c r="O654" s="25"/>
      <c r="P654" s="25"/>
      <c r="Q654" s="25">
        <v>0.5</v>
      </c>
      <c r="R654" s="25"/>
      <c r="S654" s="25">
        <v>0.25</v>
      </c>
      <c r="T654" s="25">
        <v>0.25</v>
      </c>
      <c r="U654" s="31">
        <f t="shared" si="11"/>
        <v>1</v>
      </c>
      <c r="V654" s="25">
        <v>12</v>
      </c>
      <c r="W654" s="33" t="s">
        <v>2900</v>
      </c>
      <c r="X654" s="33" t="s">
        <v>2899</v>
      </c>
      <c r="Y654" s="33"/>
      <c r="Z654" s="33" t="s">
        <v>2898</v>
      </c>
      <c r="AA654" s="33"/>
    </row>
    <row r="655" spans="1:27" s="70" customFormat="1" ht="45" x14ac:dyDescent="0.2">
      <c r="A655" s="24">
        <v>651</v>
      </c>
      <c r="B655" s="24" t="s">
        <v>2788</v>
      </c>
      <c r="C655" s="25" t="s">
        <v>2787</v>
      </c>
      <c r="D655" s="26" t="s">
        <v>2890</v>
      </c>
      <c r="E655" s="25" t="s">
        <v>2889</v>
      </c>
      <c r="F655" s="25" t="s">
        <v>1071</v>
      </c>
      <c r="G655" s="24"/>
      <c r="H655" s="28" t="s">
        <v>2936</v>
      </c>
      <c r="I655" s="27"/>
      <c r="J655" s="28" t="s">
        <v>2935</v>
      </c>
      <c r="K655" s="27"/>
      <c r="L655" s="25" t="s">
        <v>2948</v>
      </c>
      <c r="M655" s="25" t="s">
        <v>2925</v>
      </c>
      <c r="N655" s="25">
        <v>1</v>
      </c>
      <c r="O655" s="25"/>
      <c r="P655" s="25"/>
      <c r="Q655" s="25">
        <v>1</v>
      </c>
      <c r="R655" s="25"/>
      <c r="S655" s="25">
        <v>0.5</v>
      </c>
      <c r="T655" s="25">
        <v>0.5</v>
      </c>
      <c r="U655" s="31">
        <f t="shared" si="11"/>
        <v>2</v>
      </c>
      <c r="V655" s="25">
        <v>2</v>
      </c>
      <c r="W655" s="33" t="s">
        <v>2900</v>
      </c>
      <c r="X655" s="33" t="s">
        <v>2899</v>
      </c>
      <c r="Y655" s="33"/>
      <c r="Z655" s="33" t="s">
        <v>2898</v>
      </c>
      <c r="AA655" s="33"/>
    </row>
    <row r="656" spans="1:27" s="70" customFormat="1" ht="45" x14ac:dyDescent="0.2">
      <c r="A656" s="24">
        <v>652</v>
      </c>
      <c r="B656" s="24" t="s">
        <v>2788</v>
      </c>
      <c r="C656" s="25" t="s">
        <v>2787</v>
      </c>
      <c r="D656" s="26" t="s">
        <v>2890</v>
      </c>
      <c r="E656" s="25" t="s">
        <v>2889</v>
      </c>
      <c r="F656" s="25" t="s">
        <v>1071</v>
      </c>
      <c r="G656" s="24"/>
      <c r="H656" s="28" t="s">
        <v>2936</v>
      </c>
      <c r="I656" s="27"/>
      <c r="J656" s="28" t="s">
        <v>2935</v>
      </c>
      <c r="K656" s="27"/>
      <c r="L656" s="25" t="s">
        <v>2947</v>
      </c>
      <c r="M656" s="25" t="s">
        <v>2925</v>
      </c>
      <c r="N656" s="25">
        <v>2</v>
      </c>
      <c r="O656" s="25"/>
      <c r="P656" s="25"/>
      <c r="Q656" s="25">
        <v>0.25</v>
      </c>
      <c r="R656" s="25"/>
      <c r="S656" s="25">
        <v>0.1</v>
      </c>
      <c r="T656" s="25">
        <v>0.1</v>
      </c>
      <c r="U656" s="31">
        <f t="shared" si="11"/>
        <v>0.44999999999999996</v>
      </c>
      <c r="V656" s="25">
        <v>0.89999999999999991</v>
      </c>
      <c r="W656" s="33" t="s">
        <v>2900</v>
      </c>
      <c r="X656" s="33" t="s">
        <v>2899</v>
      </c>
      <c r="Y656" s="33"/>
      <c r="Z656" s="33" t="s">
        <v>2898</v>
      </c>
      <c r="AA656" s="33"/>
    </row>
    <row r="657" spans="1:27" s="70" customFormat="1" ht="45" x14ac:dyDescent="0.2">
      <c r="A657" s="24">
        <v>653</v>
      </c>
      <c r="B657" s="24" t="s">
        <v>2788</v>
      </c>
      <c r="C657" s="25" t="s">
        <v>2787</v>
      </c>
      <c r="D657" s="26" t="s">
        <v>2890</v>
      </c>
      <c r="E657" s="25" t="s">
        <v>2889</v>
      </c>
      <c r="F657" s="25" t="s">
        <v>1071</v>
      </c>
      <c r="G657" s="24"/>
      <c r="H657" s="28" t="s">
        <v>2936</v>
      </c>
      <c r="I657" s="27"/>
      <c r="J657" s="28" t="s">
        <v>2935</v>
      </c>
      <c r="K657" s="27"/>
      <c r="L657" s="25" t="s">
        <v>2946</v>
      </c>
      <c r="M657" s="25" t="s">
        <v>2925</v>
      </c>
      <c r="N657" s="25">
        <v>1</v>
      </c>
      <c r="O657" s="25"/>
      <c r="P657" s="25"/>
      <c r="Q657" s="25">
        <v>0.25</v>
      </c>
      <c r="R657" s="25"/>
      <c r="S657" s="25">
        <v>0.1</v>
      </c>
      <c r="T657" s="25">
        <v>0.1</v>
      </c>
      <c r="U657" s="31">
        <f t="shared" si="11"/>
        <v>0.44999999999999996</v>
      </c>
      <c r="V657" s="25">
        <v>0.44999999999999996</v>
      </c>
      <c r="W657" s="33" t="s">
        <v>2900</v>
      </c>
      <c r="X657" s="33" t="s">
        <v>2899</v>
      </c>
      <c r="Y657" s="33"/>
      <c r="Z657" s="33" t="s">
        <v>2898</v>
      </c>
      <c r="AA657" s="33"/>
    </row>
    <row r="658" spans="1:27" s="70" customFormat="1" ht="45" x14ac:dyDescent="0.2">
      <c r="A658" s="24">
        <v>654</v>
      </c>
      <c r="B658" s="24" t="s">
        <v>2788</v>
      </c>
      <c r="C658" s="25" t="s">
        <v>2787</v>
      </c>
      <c r="D658" s="26" t="s">
        <v>2890</v>
      </c>
      <c r="E658" s="25" t="s">
        <v>2889</v>
      </c>
      <c r="F658" s="25" t="s">
        <v>1071</v>
      </c>
      <c r="G658" s="24"/>
      <c r="H658" s="28" t="s">
        <v>2936</v>
      </c>
      <c r="I658" s="27"/>
      <c r="J658" s="28" t="s">
        <v>2935</v>
      </c>
      <c r="K658" s="27"/>
      <c r="L658" s="25" t="s">
        <v>2945</v>
      </c>
      <c r="M658" s="25" t="s">
        <v>2925</v>
      </c>
      <c r="N658" s="25">
        <v>4</v>
      </c>
      <c r="O658" s="25"/>
      <c r="P658" s="25"/>
      <c r="Q658" s="25">
        <v>3</v>
      </c>
      <c r="R658" s="25"/>
      <c r="S658" s="25">
        <v>1</v>
      </c>
      <c r="T658" s="25">
        <v>0.5</v>
      </c>
      <c r="U658" s="31">
        <f t="shared" si="11"/>
        <v>4.5</v>
      </c>
      <c r="V658" s="25">
        <v>18</v>
      </c>
      <c r="W658" s="33" t="s">
        <v>2900</v>
      </c>
      <c r="X658" s="33" t="s">
        <v>2899</v>
      </c>
      <c r="Y658" s="33"/>
      <c r="Z658" s="33" t="s">
        <v>2898</v>
      </c>
      <c r="AA658" s="33"/>
    </row>
    <row r="659" spans="1:27" s="70" customFormat="1" ht="45" x14ac:dyDescent="0.2">
      <c r="A659" s="24">
        <v>655</v>
      </c>
      <c r="B659" s="24" t="s">
        <v>2788</v>
      </c>
      <c r="C659" s="25" t="s">
        <v>2787</v>
      </c>
      <c r="D659" s="26" t="s">
        <v>2890</v>
      </c>
      <c r="E659" s="25" t="s">
        <v>2889</v>
      </c>
      <c r="F659" s="25" t="s">
        <v>1071</v>
      </c>
      <c r="G659" s="24"/>
      <c r="H659" s="28" t="s">
        <v>2936</v>
      </c>
      <c r="I659" s="27"/>
      <c r="J659" s="28" t="s">
        <v>2935</v>
      </c>
      <c r="K659" s="27"/>
      <c r="L659" s="25" t="s">
        <v>2944</v>
      </c>
      <c r="M659" s="25" t="s">
        <v>2925</v>
      </c>
      <c r="N659" s="25">
        <v>1</v>
      </c>
      <c r="O659" s="25"/>
      <c r="P659" s="25"/>
      <c r="Q659" s="25">
        <v>4</v>
      </c>
      <c r="R659" s="25"/>
      <c r="S659" s="25">
        <v>1.5</v>
      </c>
      <c r="T659" s="25">
        <v>1</v>
      </c>
      <c r="U659" s="31">
        <f t="shared" si="11"/>
        <v>6.5</v>
      </c>
      <c r="V659" s="25">
        <v>6.5</v>
      </c>
      <c r="W659" s="33" t="s">
        <v>2900</v>
      </c>
      <c r="X659" s="33" t="s">
        <v>2899</v>
      </c>
      <c r="Y659" s="33"/>
      <c r="Z659" s="33" t="s">
        <v>2898</v>
      </c>
      <c r="AA659" s="33"/>
    </row>
    <row r="660" spans="1:27" s="70" customFormat="1" ht="45" x14ac:dyDescent="0.2">
      <c r="A660" s="24">
        <v>656</v>
      </c>
      <c r="B660" s="24" t="s">
        <v>2788</v>
      </c>
      <c r="C660" s="25" t="s">
        <v>2787</v>
      </c>
      <c r="D660" s="26" t="s">
        <v>2890</v>
      </c>
      <c r="E660" s="25" t="s">
        <v>2889</v>
      </c>
      <c r="F660" s="25" t="s">
        <v>1071</v>
      </c>
      <c r="G660" s="24"/>
      <c r="H660" s="28" t="s">
        <v>2936</v>
      </c>
      <c r="I660" s="27"/>
      <c r="J660" s="28" t="s">
        <v>2935</v>
      </c>
      <c r="K660" s="27"/>
      <c r="L660" s="25" t="s">
        <v>2943</v>
      </c>
      <c r="M660" s="25" t="s">
        <v>2925</v>
      </c>
      <c r="N660" s="25">
        <v>12</v>
      </c>
      <c r="O660" s="25"/>
      <c r="P660" s="25">
        <v>0.3</v>
      </c>
      <c r="Q660" s="25"/>
      <c r="R660" s="25"/>
      <c r="S660" s="25">
        <v>0.1</v>
      </c>
      <c r="T660" s="25">
        <v>0.1</v>
      </c>
      <c r="U660" s="31">
        <f t="shared" si="11"/>
        <v>0.5</v>
      </c>
      <c r="V660" s="25">
        <v>6</v>
      </c>
      <c r="W660" s="33" t="s">
        <v>38</v>
      </c>
      <c r="X660" s="33"/>
      <c r="Y660" s="33"/>
      <c r="Z660" s="33"/>
      <c r="AA660" s="33"/>
    </row>
    <row r="661" spans="1:27" s="70" customFormat="1" ht="45" x14ac:dyDescent="0.2">
      <c r="A661" s="24">
        <v>657</v>
      </c>
      <c r="B661" s="24" t="s">
        <v>2788</v>
      </c>
      <c r="C661" s="25" t="s">
        <v>2787</v>
      </c>
      <c r="D661" s="26" t="s">
        <v>2890</v>
      </c>
      <c r="E661" s="25" t="s">
        <v>2889</v>
      </c>
      <c r="F661" s="25" t="s">
        <v>1071</v>
      </c>
      <c r="G661" s="24"/>
      <c r="H661" s="28" t="s">
        <v>2936</v>
      </c>
      <c r="I661" s="27"/>
      <c r="J661" s="28" t="s">
        <v>2935</v>
      </c>
      <c r="K661" s="27"/>
      <c r="L661" s="25" t="s">
        <v>2942</v>
      </c>
      <c r="M661" s="25" t="s">
        <v>2925</v>
      </c>
      <c r="N661" s="25">
        <v>12</v>
      </c>
      <c r="O661" s="25"/>
      <c r="P661" s="25">
        <v>1</v>
      </c>
      <c r="Q661" s="25"/>
      <c r="R661" s="25"/>
      <c r="S661" s="25">
        <v>0.5</v>
      </c>
      <c r="T661" s="25"/>
      <c r="U661" s="31">
        <f t="shared" si="11"/>
        <v>1.5</v>
      </c>
      <c r="V661" s="25">
        <v>18</v>
      </c>
      <c r="W661" s="33" t="s">
        <v>193</v>
      </c>
      <c r="X661" s="33" t="s">
        <v>2941</v>
      </c>
      <c r="Y661" s="33" t="s">
        <v>2922</v>
      </c>
      <c r="Z661" s="33"/>
      <c r="AA661" s="33"/>
    </row>
    <row r="662" spans="1:27" s="70" customFormat="1" ht="45" x14ac:dyDescent="0.2">
      <c r="A662" s="24">
        <v>658</v>
      </c>
      <c r="B662" s="24" t="s">
        <v>2788</v>
      </c>
      <c r="C662" s="25" t="s">
        <v>2787</v>
      </c>
      <c r="D662" s="26" t="s">
        <v>2890</v>
      </c>
      <c r="E662" s="25" t="s">
        <v>2889</v>
      </c>
      <c r="F662" s="25" t="s">
        <v>1071</v>
      </c>
      <c r="G662" s="24"/>
      <c r="H662" s="28" t="s">
        <v>2936</v>
      </c>
      <c r="I662" s="27"/>
      <c r="J662" s="28" t="s">
        <v>2935</v>
      </c>
      <c r="K662" s="27"/>
      <c r="L662" s="25" t="s">
        <v>2940</v>
      </c>
      <c r="M662" s="25" t="s">
        <v>2925</v>
      </c>
      <c r="N662" s="25">
        <v>12</v>
      </c>
      <c r="O662" s="25"/>
      <c r="P662" s="25">
        <v>0.25</v>
      </c>
      <c r="Q662" s="25"/>
      <c r="R662" s="25"/>
      <c r="S662" s="25">
        <v>0.1</v>
      </c>
      <c r="T662" s="25"/>
      <c r="U662" s="31">
        <f t="shared" si="11"/>
        <v>0.35</v>
      </c>
      <c r="V662" s="25">
        <v>4.1999999999999993</v>
      </c>
      <c r="W662" s="33" t="s">
        <v>2933</v>
      </c>
      <c r="X662" s="33"/>
      <c r="Y662" s="33"/>
      <c r="Z662" s="33"/>
      <c r="AA662" s="33"/>
    </row>
    <row r="663" spans="1:27" s="70" customFormat="1" ht="45" x14ac:dyDescent="0.2">
      <c r="A663" s="24">
        <v>659</v>
      </c>
      <c r="B663" s="24" t="s">
        <v>2788</v>
      </c>
      <c r="C663" s="25" t="s">
        <v>2787</v>
      </c>
      <c r="D663" s="26" t="s">
        <v>2890</v>
      </c>
      <c r="E663" s="25" t="s">
        <v>2889</v>
      </c>
      <c r="F663" s="25" t="s">
        <v>1071</v>
      </c>
      <c r="G663" s="24"/>
      <c r="H663" s="28" t="s">
        <v>2936</v>
      </c>
      <c r="I663" s="27"/>
      <c r="J663" s="28" t="s">
        <v>2935</v>
      </c>
      <c r="K663" s="27"/>
      <c r="L663" s="25" t="s">
        <v>2939</v>
      </c>
      <c r="M663" s="25" t="s">
        <v>2938</v>
      </c>
      <c r="N663" s="25">
        <v>24</v>
      </c>
      <c r="O663" s="25"/>
      <c r="P663" s="25">
        <v>1</v>
      </c>
      <c r="Q663" s="25"/>
      <c r="R663" s="25"/>
      <c r="S663" s="25">
        <v>0.5</v>
      </c>
      <c r="T663" s="25">
        <v>0.5</v>
      </c>
      <c r="U663" s="31">
        <f t="shared" si="11"/>
        <v>2</v>
      </c>
      <c r="V663" s="25">
        <v>48</v>
      </c>
      <c r="W663" s="33" t="s">
        <v>2937</v>
      </c>
      <c r="X663" s="33"/>
      <c r="Y663" s="33"/>
      <c r="Z663" s="33"/>
      <c r="AA663" s="33"/>
    </row>
    <row r="664" spans="1:27" s="70" customFormat="1" ht="45" x14ac:dyDescent="0.2">
      <c r="A664" s="24">
        <v>660</v>
      </c>
      <c r="B664" s="24" t="s">
        <v>2788</v>
      </c>
      <c r="C664" s="25" t="s">
        <v>2787</v>
      </c>
      <c r="D664" s="26" t="s">
        <v>2890</v>
      </c>
      <c r="E664" s="25" t="s">
        <v>2889</v>
      </c>
      <c r="F664" s="25" t="s">
        <v>1071</v>
      </c>
      <c r="G664" s="24"/>
      <c r="H664" s="28" t="s">
        <v>2936</v>
      </c>
      <c r="I664" s="27"/>
      <c r="J664" s="28" t="s">
        <v>2935</v>
      </c>
      <c r="K664" s="27"/>
      <c r="L664" s="25" t="s">
        <v>2934</v>
      </c>
      <c r="M664" s="25" t="s">
        <v>2925</v>
      </c>
      <c r="N664" s="25">
        <v>46</v>
      </c>
      <c r="O664" s="25"/>
      <c r="P664" s="25">
        <v>0.25</v>
      </c>
      <c r="Q664" s="25"/>
      <c r="R664" s="25"/>
      <c r="S664" s="25">
        <v>0.25</v>
      </c>
      <c r="T664" s="25">
        <v>0.25</v>
      </c>
      <c r="U664" s="31">
        <f t="shared" si="11"/>
        <v>0.75</v>
      </c>
      <c r="V664" s="25">
        <v>34.5</v>
      </c>
      <c r="W664" s="33" t="s">
        <v>2933</v>
      </c>
      <c r="X664" s="33"/>
      <c r="Y664" s="33"/>
      <c r="Z664" s="33"/>
      <c r="AA664" s="33"/>
    </row>
    <row r="665" spans="1:27" s="70" customFormat="1" ht="45" x14ac:dyDescent="0.2">
      <c r="A665" s="24">
        <v>661</v>
      </c>
      <c r="B665" s="24" t="s">
        <v>2788</v>
      </c>
      <c r="C665" s="25" t="s">
        <v>2787</v>
      </c>
      <c r="D665" s="26" t="s">
        <v>2890</v>
      </c>
      <c r="E665" s="25" t="s">
        <v>2889</v>
      </c>
      <c r="F665" s="25" t="s">
        <v>1071</v>
      </c>
      <c r="G665" s="24"/>
      <c r="H665" s="28" t="s">
        <v>2928</v>
      </c>
      <c r="I665" s="27"/>
      <c r="J665" s="28" t="s">
        <v>2932</v>
      </c>
      <c r="K665" s="27"/>
      <c r="L665" s="25"/>
      <c r="M665" s="25"/>
      <c r="N665" s="25"/>
      <c r="O665" s="25"/>
      <c r="P665" s="25"/>
      <c r="Q665" s="25"/>
      <c r="R665" s="25"/>
      <c r="S665" s="25"/>
      <c r="T665" s="25"/>
      <c r="U665" s="31">
        <f t="shared" si="11"/>
        <v>0</v>
      </c>
      <c r="V665" s="25"/>
      <c r="W665" s="33"/>
      <c r="X665" s="33"/>
      <c r="Y665" s="33"/>
      <c r="Z665" s="33"/>
      <c r="AA665" s="33"/>
    </row>
    <row r="666" spans="1:27" s="70" customFormat="1" ht="45" x14ac:dyDescent="0.2">
      <c r="A666" s="24">
        <v>662</v>
      </c>
      <c r="B666" s="24" t="s">
        <v>2788</v>
      </c>
      <c r="C666" s="25" t="s">
        <v>2787</v>
      </c>
      <c r="D666" s="26" t="s">
        <v>2890</v>
      </c>
      <c r="E666" s="25" t="s">
        <v>2889</v>
      </c>
      <c r="F666" s="25" t="s">
        <v>1071</v>
      </c>
      <c r="G666" s="24"/>
      <c r="H666" s="28" t="s">
        <v>2928</v>
      </c>
      <c r="I666" s="27"/>
      <c r="J666" s="28" t="s">
        <v>2931</v>
      </c>
      <c r="K666" s="27"/>
      <c r="L666" s="25"/>
      <c r="M666" s="25"/>
      <c r="N666" s="25"/>
      <c r="O666" s="25"/>
      <c r="P666" s="25"/>
      <c r="Q666" s="25"/>
      <c r="R666" s="25"/>
      <c r="S666" s="25"/>
      <c r="T666" s="25"/>
      <c r="U666" s="31">
        <f t="shared" si="11"/>
        <v>0</v>
      </c>
      <c r="V666" s="25"/>
      <c r="W666" s="33"/>
      <c r="X666" s="33"/>
      <c r="Y666" s="33"/>
      <c r="Z666" s="33"/>
      <c r="AA666" s="33"/>
    </row>
    <row r="667" spans="1:27" s="70" customFormat="1" ht="45" x14ac:dyDescent="0.2">
      <c r="A667" s="24">
        <v>663</v>
      </c>
      <c r="B667" s="24" t="s">
        <v>2788</v>
      </c>
      <c r="C667" s="25" t="s">
        <v>2787</v>
      </c>
      <c r="D667" s="26" t="s">
        <v>2890</v>
      </c>
      <c r="E667" s="25" t="s">
        <v>2889</v>
      </c>
      <c r="F667" s="25" t="s">
        <v>1071</v>
      </c>
      <c r="G667" s="24"/>
      <c r="H667" s="28" t="s">
        <v>2928</v>
      </c>
      <c r="I667" s="27"/>
      <c r="J667" s="28" t="s">
        <v>2927</v>
      </c>
      <c r="K667" s="27"/>
      <c r="L667" s="25" t="s">
        <v>2930</v>
      </c>
      <c r="M667" s="25" t="s">
        <v>2925</v>
      </c>
      <c r="N667" s="25">
        <v>303</v>
      </c>
      <c r="O667" s="25"/>
      <c r="P667" s="25"/>
      <c r="Q667" s="25">
        <v>0.25</v>
      </c>
      <c r="R667" s="25"/>
      <c r="S667" s="25">
        <v>0.1</v>
      </c>
      <c r="T667" s="25">
        <v>0.1</v>
      </c>
      <c r="U667" s="31">
        <f t="shared" si="11"/>
        <v>0.44999999999999996</v>
      </c>
      <c r="V667" s="25">
        <v>136.35</v>
      </c>
      <c r="W667" s="33" t="s">
        <v>2929</v>
      </c>
      <c r="X667" s="33" t="s">
        <v>2899</v>
      </c>
      <c r="Y667" s="33"/>
      <c r="Z667" s="33"/>
      <c r="AA667" s="33"/>
    </row>
    <row r="668" spans="1:27" s="70" customFormat="1" ht="45" x14ac:dyDescent="0.2">
      <c r="A668" s="24">
        <v>664</v>
      </c>
      <c r="B668" s="24" t="s">
        <v>2788</v>
      </c>
      <c r="C668" s="25" t="s">
        <v>2787</v>
      </c>
      <c r="D668" s="26" t="s">
        <v>2890</v>
      </c>
      <c r="E668" s="25" t="s">
        <v>2889</v>
      </c>
      <c r="F668" s="25" t="s">
        <v>1071</v>
      </c>
      <c r="G668" s="24"/>
      <c r="H668" s="28" t="s">
        <v>2928</v>
      </c>
      <c r="I668" s="27"/>
      <c r="J668" s="28" t="s">
        <v>2927</v>
      </c>
      <c r="K668" s="27"/>
      <c r="L668" s="25" t="s">
        <v>2926</v>
      </c>
      <c r="M668" s="25" t="s">
        <v>2925</v>
      </c>
      <c r="N668" s="25">
        <v>303</v>
      </c>
      <c r="O668" s="25"/>
      <c r="P668" s="25">
        <v>0.2</v>
      </c>
      <c r="Q668" s="25">
        <v>0.15</v>
      </c>
      <c r="R668" s="25"/>
      <c r="S668" s="25">
        <v>0.1</v>
      </c>
      <c r="T668" s="25">
        <v>0.1</v>
      </c>
      <c r="U668" s="31">
        <f t="shared" si="11"/>
        <v>0.54999999999999993</v>
      </c>
      <c r="V668" s="25">
        <v>166.64999999999998</v>
      </c>
      <c r="W668" s="33" t="s">
        <v>2924</v>
      </c>
      <c r="X668" s="33" t="s">
        <v>2923</v>
      </c>
      <c r="Y668" s="33" t="s">
        <v>2922</v>
      </c>
      <c r="Z668" s="33"/>
      <c r="AA668" s="33"/>
    </row>
    <row r="669" spans="1:27" s="70" customFormat="1" ht="67.5" x14ac:dyDescent="0.2">
      <c r="A669" s="24">
        <v>665</v>
      </c>
      <c r="B669" s="24" t="s">
        <v>2788</v>
      </c>
      <c r="C669" s="25" t="s">
        <v>2787</v>
      </c>
      <c r="D669" s="26" t="s">
        <v>2890</v>
      </c>
      <c r="E669" s="25" t="s">
        <v>2889</v>
      </c>
      <c r="F669" s="25" t="s">
        <v>1071</v>
      </c>
      <c r="G669" s="24"/>
      <c r="H669" s="28" t="s">
        <v>2910</v>
      </c>
      <c r="I669" s="27"/>
      <c r="J669" s="28" t="s">
        <v>2912</v>
      </c>
      <c r="K669" s="27"/>
      <c r="L669" s="25" t="s">
        <v>2915</v>
      </c>
      <c r="M669" s="25" t="s">
        <v>2921</v>
      </c>
      <c r="N669" s="25" t="s">
        <v>2920</v>
      </c>
      <c r="O669" s="25">
        <v>5</v>
      </c>
      <c r="P669" s="25"/>
      <c r="Q669" s="25"/>
      <c r="R669" s="25">
        <v>0.2</v>
      </c>
      <c r="S669" s="25"/>
      <c r="T669" s="25">
        <v>0.1</v>
      </c>
      <c r="U669" s="31">
        <f t="shared" si="11"/>
        <v>5.3</v>
      </c>
      <c r="V669" s="25">
        <v>0.4</v>
      </c>
      <c r="W669" s="33">
        <v>2</v>
      </c>
      <c r="X669" s="33" t="s">
        <v>1116</v>
      </c>
      <c r="Y669" s="33" t="s">
        <v>2899</v>
      </c>
      <c r="Z669" s="33"/>
      <c r="AA669" s="33"/>
    </row>
    <row r="670" spans="1:27" s="70" customFormat="1" ht="67.5" x14ac:dyDescent="0.2">
      <c r="A670" s="24">
        <v>666</v>
      </c>
      <c r="B670" s="24" t="s">
        <v>2788</v>
      </c>
      <c r="C670" s="25" t="s">
        <v>2787</v>
      </c>
      <c r="D670" s="26" t="s">
        <v>2890</v>
      </c>
      <c r="E670" s="25" t="s">
        <v>2889</v>
      </c>
      <c r="F670" s="25" t="s">
        <v>1071</v>
      </c>
      <c r="G670" s="24"/>
      <c r="H670" s="28" t="s">
        <v>2910</v>
      </c>
      <c r="I670" s="27"/>
      <c r="J670" s="28" t="s">
        <v>2912</v>
      </c>
      <c r="K670" s="27"/>
      <c r="L670" s="25" t="s">
        <v>2915</v>
      </c>
      <c r="M670" s="25" t="s">
        <v>2919</v>
      </c>
      <c r="N670" s="25" t="s">
        <v>2916</v>
      </c>
      <c r="O670" s="25">
        <v>252</v>
      </c>
      <c r="P670" s="25"/>
      <c r="Q670" s="25"/>
      <c r="R670" s="25">
        <v>0.3</v>
      </c>
      <c r="S670" s="25"/>
      <c r="T670" s="25">
        <v>0.1</v>
      </c>
      <c r="U670" s="31">
        <f t="shared" si="11"/>
        <v>252.4</v>
      </c>
      <c r="V670" s="25">
        <v>0.5</v>
      </c>
      <c r="W670" s="33">
        <v>126</v>
      </c>
      <c r="X670" s="33" t="s">
        <v>2900</v>
      </c>
      <c r="Y670" s="33" t="s">
        <v>2899</v>
      </c>
      <c r="Z670" s="33"/>
      <c r="AA670" s="33" t="s">
        <v>2898</v>
      </c>
    </row>
    <row r="671" spans="1:27" s="70" customFormat="1" ht="67.5" x14ac:dyDescent="0.2">
      <c r="A671" s="24">
        <v>667</v>
      </c>
      <c r="B671" s="24" t="s">
        <v>2788</v>
      </c>
      <c r="C671" s="25" t="s">
        <v>2787</v>
      </c>
      <c r="D671" s="26" t="s">
        <v>2890</v>
      </c>
      <c r="E671" s="25" t="s">
        <v>2889</v>
      </c>
      <c r="F671" s="25" t="s">
        <v>1071</v>
      </c>
      <c r="G671" s="24"/>
      <c r="H671" s="28" t="s">
        <v>2910</v>
      </c>
      <c r="I671" s="27"/>
      <c r="J671" s="28" t="s">
        <v>2912</v>
      </c>
      <c r="K671" s="27"/>
      <c r="L671" s="25" t="s">
        <v>2915</v>
      </c>
      <c r="M671" s="25" t="s">
        <v>2918</v>
      </c>
      <c r="N671" s="25" t="s">
        <v>2916</v>
      </c>
      <c r="O671" s="25">
        <v>252</v>
      </c>
      <c r="P671" s="25"/>
      <c r="Q671" s="25"/>
      <c r="R671" s="25">
        <v>0.3</v>
      </c>
      <c r="S671" s="25"/>
      <c r="T671" s="25">
        <v>0.1</v>
      </c>
      <c r="U671" s="31">
        <f t="shared" si="11"/>
        <v>252.4</v>
      </c>
      <c r="V671" s="25">
        <v>0.5</v>
      </c>
      <c r="W671" s="33">
        <v>126</v>
      </c>
      <c r="X671" s="33" t="s">
        <v>2900</v>
      </c>
      <c r="Y671" s="33" t="s">
        <v>2899</v>
      </c>
      <c r="Z671" s="33"/>
      <c r="AA671" s="33" t="s">
        <v>2898</v>
      </c>
    </row>
    <row r="672" spans="1:27" s="70" customFormat="1" ht="67.5" x14ac:dyDescent="0.2">
      <c r="A672" s="24">
        <v>668</v>
      </c>
      <c r="B672" s="24" t="s">
        <v>2788</v>
      </c>
      <c r="C672" s="25" t="s">
        <v>2787</v>
      </c>
      <c r="D672" s="26" t="s">
        <v>2890</v>
      </c>
      <c r="E672" s="25" t="s">
        <v>2889</v>
      </c>
      <c r="F672" s="25" t="s">
        <v>1071</v>
      </c>
      <c r="G672" s="24"/>
      <c r="H672" s="28" t="s">
        <v>2910</v>
      </c>
      <c r="I672" s="27"/>
      <c r="J672" s="28" t="s">
        <v>2912</v>
      </c>
      <c r="K672" s="27"/>
      <c r="L672" s="25" t="s">
        <v>2915</v>
      </c>
      <c r="M672" s="25" t="s">
        <v>2917</v>
      </c>
      <c r="N672" s="25" t="s">
        <v>2916</v>
      </c>
      <c r="O672" s="25">
        <v>252</v>
      </c>
      <c r="P672" s="25"/>
      <c r="Q672" s="25"/>
      <c r="R672" s="25">
        <v>1.5</v>
      </c>
      <c r="S672" s="25"/>
      <c r="T672" s="25">
        <v>1.5</v>
      </c>
      <c r="U672" s="31">
        <f t="shared" si="11"/>
        <v>255</v>
      </c>
      <c r="V672" s="25">
        <v>4.5</v>
      </c>
      <c r="W672" s="33">
        <v>1134</v>
      </c>
      <c r="X672" s="33" t="s">
        <v>2900</v>
      </c>
      <c r="Y672" s="33" t="s">
        <v>2899</v>
      </c>
      <c r="Z672" s="33"/>
      <c r="AA672" s="33" t="s">
        <v>2898</v>
      </c>
    </row>
    <row r="673" spans="1:27" s="70" customFormat="1" ht="67.5" x14ac:dyDescent="0.2">
      <c r="A673" s="24">
        <v>669</v>
      </c>
      <c r="B673" s="24" t="s">
        <v>2788</v>
      </c>
      <c r="C673" s="25" t="s">
        <v>2787</v>
      </c>
      <c r="D673" s="26" t="s">
        <v>2890</v>
      </c>
      <c r="E673" s="25" t="s">
        <v>2889</v>
      </c>
      <c r="F673" s="25" t="s">
        <v>1071</v>
      </c>
      <c r="G673" s="24"/>
      <c r="H673" s="28" t="s">
        <v>2910</v>
      </c>
      <c r="I673" s="27"/>
      <c r="J673" s="28" t="s">
        <v>2912</v>
      </c>
      <c r="K673" s="27"/>
      <c r="L673" s="25" t="s">
        <v>2915</v>
      </c>
      <c r="M673" s="25" t="s">
        <v>2914</v>
      </c>
      <c r="N673" s="25" t="s">
        <v>898</v>
      </c>
      <c r="O673" s="25">
        <v>5</v>
      </c>
      <c r="P673" s="25"/>
      <c r="Q673" s="25">
        <v>2</v>
      </c>
      <c r="R673" s="25"/>
      <c r="S673" s="25"/>
      <c r="T673" s="25">
        <v>0.5</v>
      </c>
      <c r="U673" s="31">
        <f t="shared" si="11"/>
        <v>7.5</v>
      </c>
      <c r="V673" s="25">
        <v>3</v>
      </c>
      <c r="W673" s="33">
        <v>15</v>
      </c>
      <c r="X673" s="33" t="s">
        <v>38</v>
      </c>
      <c r="Y673" s="33" t="s">
        <v>2913</v>
      </c>
      <c r="Z673" s="33"/>
      <c r="AA673" s="33"/>
    </row>
    <row r="674" spans="1:27" s="70" customFormat="1" ht="78.75" x14ac:dyDescent="0.2">
      <c r="A674" s="24">
        <v>670</v>
      </c>
      <c r="B674" s="24" t="s">
        <v>2788</v>
      </c>
      <c r="C674" s="25" t="s">
        <v>2787</v>
      </c>
      <c r="D674" s="26" t="s">
        <v>2890</v>
      </c>
      <c r="E674" s="25" t="s">
        <v>2889</v>
      </c>
      <c r="F674" s="25" t="s">
        <v>1071</v>
      </c>
      <c r="G674" s="24"/>
      <c r="H674" s="28" t="s">
        <v>2910</v>
      </c>
      <c r="I674" s="27"/>
      <c r="J674" s="28" t="s">
        <v>2912</v>
      </c>
      <c r="K674" s="27"/>
      <c r="L674" s="25" t="s">
        <v>2911</v>
      </c>
      <c r="M674" s="25" t="s">
        <v>2908</v>
      </c>
      <c r="N674" s="25" t="s">
        <v>2907</v>
      </c>
      <c r="O674" s="25">
        <v>298</v>
      </c>
      <c r="P674" s="25"/>
      <c r="Q674" s="25">
        <v>0.25</v>
      </c>
      <c r="R674" s="25">
        <v>0.15</v>
      </c>
      <c r="S674" s="25"/>
      <c r="T674" s="25">
        <v>8.3000000000000004E-2</v>
      </c>
      <c r="U674" s="31">
        <f t="shared" si="11"/>
        <v>298.483</v>
      </c>
      <c r="V674" s="25">
        <v>0.48300000000000004</v>
      </c>
      <c r="W674" s="33">
        <v>143.93400000000003</v>
      </c>
      <c r="X674" s="33" t="s">
        <v>1116</v>
      </c>
      <c r="Y674" s="33" t="s">
        <v>2906</v>
      </c>
      <c r="Z674" s="33"/>
      <c r="AA674" s="33" t="s">
        <v>2905</v>
      </c>
    </row>
    <row r="675" spans="1:27" s="70" customFormat="1" ht="56.25" x14ac:dyDescent="0.2">
      <c r="A675" s="24">
        <v>671</v>
      </c>
      <c r="B675" s="24" t="s">
        <v>2788</v>
      </c>
      <c r="C675" s="25" t="s">
        <v>2787</v>
      </c>
      <c r="D675" s="26" t="s">
        <v>2890</v>
      </c>
      <c r="E675" s="25" t="s">
        <v>2889</v>
      </c>
      <c r="F675" s="25" t="s">
        <v>1071</v>
      </c>
      <c r="G675" s="24"/>
      <c r="H675" s="28" t="s">
        <v>2910</v>
      </c>
      <c r="I675" s="27"/>
      <c r="J675" s="28" t="s">
        <v>2909</v>
      </c>
      <c r="K675" s="27"/>
      <c r="L675" s="25" t="s">
        <v>2908</v>
      </c>
      <c r="M675" s="25" t="s">
        <v>2907</v>
      </c>
      <c r="N675" s="25">
        <v>298</v>
      </c>
      <c r="O675" s="25"/>
      <c r="P675" s="25">
        <v>0.25</v>
      </c>
      <c r="Q675" s="25">
        <v>0.15</v>
      </c>
      <c r="R675" s="25"/>
      <c r="S675" s="25">
        <v>8.3000000000000004E-2</v>
      </c>
      <c r="T675" s="25"/>
      <c r="U675" s="31">
        <f t="shared" si="11"/>
        <v>0.48300000000000004</v>
      </c>
      <c r="V675" s="25">
        <v>143.93400000000003</v>
      </c>
      <c r="W675" s="33" t="s">
        <v>1116</v>
      </c>
      <c r="X675" s="33" t="s">
        <v>2906</v>
      </c>
      <c r="Y675" s="33"/>
      <c r="Z675" s="33" t="s">
        <v>2905</v>
      </c>
      <c r="AA675" s="33"/>
    </row>
    <row r="676" spans="1:27" s="70" customFormat="1" ht="45" x14ac:dyDescent="0.2">
      <c r="A676" s="24">
        <v>672</v>
      </c>
      <c r="B676" s="24" t="s">
        <v>2788</v>
      </c>
      <c r="C676" s="25" t="s">
        <v>2787</v>
      </c>
      <c r="D676" s="26" t="s">
        <v>2890</v>
      </c>
      <c r="E676" s="25" t="s">
        <v>2889</v>
      </c>
      <c r="F676" s="25" t="s">
        <v>1071</v>
      </c>
      <c r="G676" s="24"/>
      <c r="H676" s="28" t="s">
        <v>2888</v>
      </c>
      <c r="I676" s="27"/>
      <c r="J676" s="28" t="s">
        <v>2888</v>
      </c>
      <c r="K676" s="27"/>
      <c r="L676" s="25" t="s">
        <v>2904</v>
      </c>
      <c r="M676" s="25" t="s">
        <v>2903</v>
      </c>
      <c r="N676" s="25">
        <v>10</v>
      </c>
      <c r="O676" s="25"/>
      <c r="P676" s="25"/>
      <c r="Q676" s="25">
        <v>3</v>
      </c>
      <c r="R676" s="25"/>
      <c r="S676" s="25">
        <v>2</v>
      </c>
      <c r="T676" s="25">
        <v>1.5</v>
      </c>
      <c r="U676" s="31">
        <f t="shared" si="11"/>
        <v>6.5</v>
      </c>
      <c r="V676" s="25">
        <v>65</v>
      </c>
      <c r="W676" s="33" t="s">
        <v>2900</v>
      </c>
      <c r="X676" s="33" t="s">
        <v>2899</v>
      </c>
      <c r="Y676" s="33"/>
      <c r="Z676" s="33" t="s">
        <v>2898</v>
      </c>
      <c r="AA676" s="33"/>
    </row>
    <row r="677" spans="1:27" s="70" customFormat="1" ht="45" x14ac:dyDescent="0.2">
      <c r="A677" s="24">
        <v>673</v>
      </c>
      <c r="B677" s="24" t="s">
        <v>2788</v>
      </c>
      <c r="C677" s="25" t="s">
        <v>2787</v>
      </c>
      <c r="D677" s="26" t="s">
        <v>2890</v>
      </c>
      <c r="E677" s="25" t="s">
        <v>2889</v>
      </c>
      <c r="F677" s="25" t="s">
        <v>1071</v>
      </c>
      <c r="G677" s="24"/>
      <c r="H677" s="28" t="s">
        <v>2888</v>
      </c>
      <c r="I677" s="27"/>
      <c r="J677" s="28" t="s">
        <v>2888</v>
      </c>
      <c r="K677" s="27"/>
      <c r="L677" s="25" t="s">
        <v>2902</v>
      </c>
      <c r="M677" s="25" t="s">
        <v>2901</v>
      </c>
      <c r="N677" s="25">
        <v>5</v>
      </c>
      <c r="O677" s="25"/>
      <c r="P677" s="25"/>
      <c r="Q677" s="25">
        <v>0.2</v>
      </c>
      <c r="R677" s="25"/>
      <c r="S677" s="25">
        <v>0.1</v>
      </c>
      <c r="T677" s="25">
        <v>0.1</v>
      </c>
      <c r="U677" s="31">
        <f t="shared" si="11"/>
        <v>0.4</v>
      </c>
      <c r="V677" s="25">
        <v>2</v>
      </c>
      <c r="W677" s="33" t="s">
        <v>2900</v>
      </c>
      <c r="X677" s="33" t="s">
        <v>2899</v>
      </c>
      <c r="Y677" s="33"/>
      <c r="Z677" s="33" t="s">
        <v>2898</v>
      </c>
      <c r="AA677" s="33"/>
    </row>
    <row r="678" spans="1:27" s="70" customFormat="1" ht="45" x14ac:dyDescent="0.2">
      <c r="A678" s="24">
        <v>674</v>
      </c>
      <c r="B678" s="24" t="s">
        <v>2788</v>
      </c>
      <c r="C678" s="25" t="s">
        <v>2787</v>
      </c>
      <c r="D678" s="26" t="s">
        <v>2890</v>
      </c>
      <c r="E678" s="25" t="s">
        <v>2889</v>
      </c>
      <c r="F678" s="25" t="s">
        <v>1071</v>
      </c>
      <c r="G678" s="24"/>
      <c r="H678" s="28" t="s">
        <v>2888</v>
      </c>
      <c r="I678" s="27"/>
      <c r="J678" s="28" t="s">
        <v>2888</v>
      </c>
      <c r="K678" s="27"/>
      <c r="L678" s="25" t="s">
        <v>2897</v>
      </c>
      <c r="M678" s="25" t="s">
        <v>987</v>
      </c>
      <c r="N678" s="25">
        <v>2</v>
      </c>
      <c r="O678" s="25"/>
      <c r="P678" s="25">
        <v>0.3</v>
      </c>
      <c r="Q678" s="25"/>
      <c r="R678" s="25"/>
      <c r="S678" s="25">
        <v>0.17</v>
      </c>
      <c r="T678" s="25">
        <v>0.1</v>
      </c>
      <c r="U678" s="31">
        <f t="shared" si="11"/>
        <v>0.56999999999999995</v>
      </c>
      <c r="V678" s="25">
        <v>1.1399999999999999</v>
      </c>
      <c r="W678" s="33" t="s">
        <v>38</v>
      </c>
      <c r="X678" s="33"/>
      <c r="Y678" s="33"/>
      <c r="Z678" s="33"/>
      <c r="AA678" s="33"/>
    </row>
    <row r="679" spans="1:27" s="70" customFormat="1" ht="45" x14ac:dyDescent="0.2">
      <c r="A679" s="24">
        <v>675</v>
      </c>
      <c r="B679" s="24" t="s">
        <v>2788</v>
      </c>
      <c r="C679" s="25" t="s">
        <v>2787</v>
      </c>
      <c r="D679" s="26" t="s">
        <v>2890</v>
      </c>
      <c r="E679" s="25" t="s">
        <v>2889</v>
      </c>
      <c r="F679" s="25" t="s">
        <v>1071</v>
      </c>
      <c r="G679" s="24"/>
      <c r="H679" s="28" t="s">
        <v>2888</v>
      </c>
      <c r="I679" s="27"/>
      <c r="J679" s="28" t="s">
        <v>2888</v>
      </c>
      <c r="K679" s="27"/>
      <c r="L679" s="25" t="s">
        <v>2896</v>
      </c>
      <c r="M679" s="25" t="s">
        <v>2895</v>
      </c>
      <c r="N679" s="25">
        <v>10</v>
      </c>
      <c r="O679" s="25"/>
      <c r="P679" s="25">
        <v>2</v>
      </c>
      <c r="Q679" s="25"/>
      <c r="R679" s="25"/>
      <c r="S679" s="25">
        <v>2</v>
      </c>
      <c r="T679" s="25">
        <v>1</v>
      </c>
      <c r="U679" s="31">
        <f t="shared" si="11"/>
        <v>5</v>
      </c>
      <c r="V679" s="25">
        <v>50</v>
      </c>
      <c r="W679" s="33" t="s">
        <v>2894</v>
      </c>
      <c r="X679" s="33" t="s">
        <v>2893</v>
      </c>
      <c r="Y679" s="33" t="s">
        <v>198</v>
      </c>
      <c r="Z679" s="33"/>
      <c r="AA679" s="33"/>
    </row>
    <row r="680" spans="1:27" s="70" customFormat="1" ht="45" x14ac:dyDescent="0.2">
      <c r="A680" s="24">
        <v>676</v>
      </c>
      <c r="B680" s="24" t="s">
        <v>2788</v>
      </c>
      <c r="C680" s="25" t="s">
        <v>2787</v>
      </c>
      <c r="D680" s="26" t="s">
        <v>2890</v>
      </c>
      <c r="E680" s="25" t="s">
        <v>2889</v>
      </c>
      <c r="F680" s="25" t="s">
        <v>1071</v>
      </c>
      <c r="G680" s="24"/>
      <c r="H680" s="28" t="s">
        <v>2888</v>
      </c>
      <c r="I680" s="27"/>
      <c r="J680" s="28" t="s">
        <v>2888</v>
      </c>
      <c r="K680" s="27"/>
      <c r="L680" s="25" t="s">
        <v>2892</v>
      </c>
      <c r="M680" s="25"/>
      <c r="N680" s="25">
        <v>10</v>
      </c>
      <c r="O680" s="25"/>
      <c r="P680" s="25"/>
      <c r="Q680" s="25">
        <v>2</v>
      </c>
      <c r="R680" s="25"/>
      <c r="S680" s="25">
        <v>2</v>
      </c>
      <c r="T680" s="25">
        <v>1</v>
      </c>
      <c r="U680" s="31">
        <f t="shared" si="11"/>
        <v>5</v>
      </c>
      <c r="V680" s="25">
        <v>50</v>
      </c>
      <c r="W680" s="33" t="s">
        <v>2891</v>
      </c>
      <c r="X680" s="33"/>
      <c r="Y680" s="33"/>
      <c r="Z680" s="33"/>
      <c r="AA680" s="33"/>
    </row>
    <row r="681" spans="1:27" s="70" customFormat="1" ht="45" x14ac:dyDescent="0.2">
      <c r="A681" s="24">
        <v>677</v>
      </c>
      <c r="B681" s="24" t="s">
        <v>2788</v>
      </c>
      <c r="C681" s="25" t="s">
        <v>2787</v>
      </c>
      <c r="D681" s="26" t="s">
        <v>2890</v>
      </c>
      <c r="E681" s="25" t="s">
        <v>2889</v>
      </c>
      <c r="F681" s="25" t="s">
        <v>1071</v>
      </c>
      <c r="G681" s="24"/>
      <c r="H681" s="28" t="s">
        <v>2888</v>
      </c>
      <c r="I681" s="27"/>
      <c r="J681" s="28" t="s">
        <v>2888</v>
      </c>
      <c r="K681" s="27"/>
      <c r="L681" s="25" t="s">
        <v>2887</v>
      </c>
      <c r="M681" s="25" t="s">
        <v>2886</v>
      </c>
      <c r="N681" s="25">
        <v>10</v>
      </c>
      <c r="O681" s="25"/>
      <c r="P681" s="25"/>
      <c r="Q681" s="25"/>
      <c r="R681" s="25"/>
      <c r="S681" s="25"/>
      <c r="T681" s="25">
        <v>3</v>
      </c>
      <c r="U681" s="31">
        <f t="shared" si="11"/>
        <v>3</v>
      </c>
      <c r="V681" s="25">
        <v>30</v>
      </c>
      <c r="W681" s="33" t="s">
        <v>2885</v>
      </c>
      <c r="X681" s="33"/>
      <c r="Y681" s="33"/>
      <c r="Z681" s="33"/>
      <c r="AA681" s="33"/>
    </row>
    <row r="682" spans="1:27" s="70" customFormat="1" ht="45" x14ac:dyDescent="0.2">
      <c r="A682" s="24">
        <v>678</v>
      </c>
      <c r="B682" s="24" t="s">
        <v>2788</v>
      </c>
      <c r="C682" s="25" t="s">
        <v>2787</v>
      </c>
      <c r="D682" s="26" t="s">
        <v>2856</v>
      </c>
      <c r="E682" s="25" t="s">
        <v>2855</v>
      </c>
      <c r="F682" s="25" t="s">
        <v>2854</v>
      </c>
      <c r="G682" s="24"/>
      <c r="H682" s="28" t="s">
        <v>2871</v>
      </c>
      <c r="I682" s="27"/>
      <c r="J682" s="28" t="s">
        <v>2880</v>
      </c>
      <c r="K682" s="27"/>
      <c r="L682" s="25" t="s">
        <v>2884</v>
      </c>
      <c r="M682" s="25" t="s">
        <v>2878</v>
      </c>
      <c r="N682" s="25">
        <v>250</v>
      </c>
      <c r="O682" s="25"/>
      <c r="P682" s="25">
        <v>2</v>
      </c>
      <c r="Q682" s="25">
        <v>2</v>
      </c>
      <c r="R682" s="25"/>
      <c r="S682" s="25"/>
      <c r="T682" s="25">
        <v>0.5</v>
      </c>
      <c r="U682" s="31">
        <f t="shared" si="11"/>
        <v>4.5</v>
      </c>
      <c r="V682" s="25"/>
      <c r="W682" s="33" t="s">
        <v>2867</v>
      </c>
      <c r="X682" s="33"/>
      <c r="Y682" s="33"/>
      <c r="Z682" s="33" t="s">
        <v>2866</v>
      </c>
      <c r="AA682" s="33"/>
    </row>
    <row r="683" spans="1:27" s="70" customFormat="1" ht="45" x14ac:dyDescent="0.2">
      <c r="A683" s="24">
        <v>679</v>
      </c>
      <c r="B683" s="24" t="s">
        <v>2788</v>
      </c>
      <c r="C683" s="25" t="s">
        <v>2787</v>
      </c>
      <c r="D683" s="26" t="s">
        <v>2856</v>
      </c>
      <c r="E683" s="25" t="s">
        <v>2855</v>
      </c>
      <c r="F683" s="25" t="s">
        <v>2854</v>
      </c>
      <c r="G683" s="24"/>
      <c r="H683" s="28" t="s">
        <v>2871</v>
      </c>
      <c r="I683" s="27"/>
      <c r="J683" s="28" t="s">
        <v>2880</v>
      </c>
      <c r="K683" s="27"/>
      <c r="L683" s="25" t="s">
        <v>2883</v>
      </c>
      <c r="M683" s="25" t="s">
        <v>2878</v>
      </c>
      <c r="N683" s="25">
        <v>50</v>
      </c>
      <c r="O683" s="25"/>
      <c r="P683" s="25">
        <v>10</v>
      </c>
      <c r="Q683" s="25">
        <v>24</v>
      </c>
      <c r="R683" s="25"/>
      <c r="S683" s="25"/>
      <c r="T683" s="25">
        <v>14</v>
      </c>
      <c r="U683" s="31">
        <f t="shared" si="11"/>
        <v>48</v>
      </c>
      <c r="V683" s="25"/>
      <c r="W683" s="33" t="s">
        <v>2867</v>
      </c>
      <c r="X683" s="33"/>
      <c r="Y683" s="33"/>
      <c r="Z683" s="33" t="s">
        <v>2866</v>
      </c>
      <c r="AA683" s="33"/>
    </row>
    <row r="684" spans="1:27" s="70" customFormat="1" ht="45" x14ac:dyDescent="0.2">
      <c r="A684" s="24">
        <v>680</v>
      </c>
      <c r="B684" s="24" t="s">
        <v>2788</v>
      </c>
      <c r="C684" s="25" t="s">
        <v>2787</v>
      </c>
      <c r="D684" s="26" t="s">
        <v>2856</v>
      </c>
      <c r="E684" s="25" t="s">
        <v>2855</v>
      </c>
      <c r="F684" s="25" t="s">
        <v>2854</v>
      </c>
      <c r="G684" s="24"/>
      <c r="H684" s="28" t="s">
        <v>2871</v>
      </c>
      <c r="I684" s="27"/>
      <c r="J684" s="28" t="s">
        <v>2880</v>
      </c>
      <c r="K684" s="27"/>
      <c r="L684" s="25" t="s">
        <v>2882</v>
      </c>
      <c r="M684" s="25" t="s">
        <v>2878</v>
      </c>
      <c r="N684" s="25">
        <v>12</v>
      </c>
      <c r="O684" s="25"/>
      <c r="P684" s="25">
        <v>12</v>
      </c>
      <c r="Q684" s="25">
        <v>26</v>
      </c>
      <c r="R684" s="25"/>
      <c r="S684" s="25"/>
      <c r="T684" s="25">
        <v>14</v>
      </c>
      <c r="U684" s="31">
        <f t="shared" si="11"/>
        <v>52</v>
      </c>
      <c r="V684" s="25"/>
      <c r="W684" s="33" t="s">
        <v>2867</v>
      </c>
      <c r="X684" s="33"/>
      <c r="Y684" s="33"/>
      <c r="Z684" s="33" t="s">
        <v>2866</v>
      </c>
      <c r="AA684" s="33"/>
    </row>
    <row r="685" spans="1:27" s="70" customFormat="1" ht="45" x14ac:dyDescent="0.2">
      <c r="A685" s="24">
        <v>681</v>
      </c>
      <c r="B685" s="24" t="s">
        <v>2788</v>
      </c>
      <c r="C685" s="25" t="s">
        <v>2787</v>
      </c>
      <c r="D685" s="26" t="s">
        <v>2856</v>
      </c>
      <c r="E685" s="25" t="s">
        <v>2855</v>
      </c>
      <c r="F685" s="25" t="s">
        <v>2854</v>
      </c>
      <c r="G685" s="24"/>
      <c r="H685" s="28" t="s">
        <v>2871</v>
      </c>
      <c r="I685" s="27"/>
      <c r="J685" s="28" t="s">
        <v>2880</v>
      </c>
      <c r="K685" s="27"/>
      <c r="L685" s="25" t="s">
        <v>2881</v>
      </c>
      <c r="M685" s="25" t="s">
        <v>2878</v>
      </c>
      <c r="N685" s="25">
        <v>4</v>
      </c>
      <c r="O685" s="25"/>
      <c r="P685" s="25">
        <v>14</v>
      </c>
      <c r="Q685" s="25">
        <v>28</v>
      </c>
      <c r="R685" s="25"/>
      <c r="S685" s="25"/>
      <c r="T685" s="25">
        <v>14</v>
      </c>
      <c r="U685" s="31">
        <f t="shared" si="11"/>
        <v>56</v>
      </c>
      <c r="V685" s="25"/>
      <c r="W685" s="33" t="s">
        <v>2867</v>
      </c>
      <c r="X685" s="33"/>
      <c r="Y685" s="33"/>
      <c r="Z685" s="33" t="s">
        <v>2866</v>
      </c>
      <c r="AA685" s="33"/>
    </row>
    <row r="686" spans="1:27" s="70" customFormat="1" ht="45" x14ac:dyDescent="0.2">
      <c r="A686" s="24">
        <v>682</v>
      </c>
      <c r="B686" s="24" t="s">
        <v>2788</v>
      </c>
      <c r="C686" s="25" t="s">
        <v>2787</v>
      </c>
      <c r="D686" s="26" t="s">
        <v>2856</v>
      </c>
      <c r="E686" s="25" t="s">
        <v>2855</v>
      </c>
      <c r="F686" s="25" t="s">
        <v>2854</v>
      </c>
      <c r="G686" s="24"/>
      <c r="H686" s="28" t="s">
        <v>2871</v>
      </c>
      <c r="I686" s="27"/>
      <c r="J686" s="28" t="s">
        <v>2880</v>
      </c>
      <c r="K686" s="27"/>
      <c r="L686" s="25" t="s">
        <v>2879</v>
      </c>
      <c r="M686" s="25" t="s">
        <v>2878</v>
      </c>
      <c r="N686" s="25">
        <v>1</v>
      </c>
      <c r="O686" s="25"/>
      <c r="P686" s="25">
        <v>15</v>
      </c>
      <c r="Q686" s="25">
        <v>30</v>
      </c>
      <c r="R686" s="25"/>
      <c r="S686" s="25"/>
      <c r="T686" s="25">
        <v>21</v>
      </c>
      <c r="U686" s="31">
        <f t="shared" si="11"/>
        <v>66</v>
      </c>
      <c r="V686" s="25"/>
      <c r="W686" s="33" t="s">
        <v>2867</v>
      </c>
      <c r="X686" s="33"/>
      <c r="Y686" s="33"/>
      <c r="Z686" s="33" t="s">
        <v>2866</v>
      </c>
      <c r="AA686" s="33"/>
    </row>
    <row r="687" spans="1:27" s="70" customFormat="1" ht="45" x14ac:dyDescent="0.2">
      <c r="A687" s="24">
        <v>683</v>
      </c>
      <c r="B687" s="24" t="s">
        <v>2788</v>
      </c>
      <c r="C687" s="25" t="s">
        <v>2787</v>
      </c>
      <c r="D687" s="26" t="s">
        <v>2856</v>
      </c>
      <c r="E687" s="25" t="s">
        <v>2855</v>
      </c>
      <c r="F687" s="25" t="s">
        <v>2854</v>
      </c>
      <c r="G687" s="24"/>
      <c r="H687" s="28" t="s">
        <v>2871</v>
      </c>
      <c r="I687" s="27"/>
      <c r="J687" s="28" t="s">
        <v>2877</v>
      </c>
      <c r="K687" s="27"/>
      <c r="L687" s="25" t="s">
        <v>2876</v>
      </c>
      <c r="M687" s="25" t="s">
        <v>2872</v>
      </c>
      <c r="N687" s="25">
        <v>840</v>
      </c>
      <c r="O687" s="25"/>
      <c r="P687" s="25">
        <v>0.2</v>
      </c>
      <c r="Q687" s="25">
        <v>0.2</v>
      </c>
      <c r="R687" s="25"/>
      <c r="S687" s="25"/>
      <c r="T687" s="25">
        <v>0.2</v>
      </c>
      <c r="U687" s="31">
        <f t="shared" si="11"/>
        <v>0.60000000000000009</v>
      </c>
      <c r="V687" s="25"/>
      <c r="W687" s="33" t="s">
        <v>2867</v>
      </c>
      <c r="X687" s="33"/>
      <c r="Y687" s="33"/>
      <c r="Z687" s="33" t="s">
        <v>2866</v>
      </c>
      <c r="AA687" s="33"/>
    </row>
    <row r="688" spans="1:27" s="70" customFormat="1" ht="45" x14ac:dyDescent="0.2">
      <c r="A688" s="24">
        <v>684</v>
      </c>
      <c r="B688" s="24" t="s">
        <v>2788</v>
      </c>
      <c r="C688" s="25" t="s">
        <v>2787</v>
      </c>
      <c r="D688" s="26" t="s">
        <v>2856</v>
      </c>
      <c r="E688" s="25" t="s">
        <v>2855</v>
      </c>
      <c r="F688" s="25" t="s">
        <v>2854</v>
      </c>
      <c r="G688" s="24"/>
      <c r="H688" s="28" t="s">
        <v>2871</v>
      </c>
      <c r="I688" s="27"/>
      <c r="J688" s="28" t="s">
        <v>2875</v>
      </c>
      <c r="K688" s="27"/>
      <c r="L688" s="25"/>
      <c r="M688" s="25"/>
      <c r="N688" s="25"/>
      <c r="O688" s="25"/>
      <c r="P688" s="25"/>
      <c r="Q688" s="25"/>
      <c r="R688" s="25"/>
      <c r="S688" s="25"/>
      <c r="T688" s="25"/>
      <c r="U688" s="31">
        <f t="shared" si="11"/>
        <v>0</v>
      </c>
      <c r="V688" s="25"/>
      <c r="W688" s="33"/>
      <c r="X688" s="33"/>
      <c r="Y688" s="33"/>
      <c r="Z688" s="33"/>
      <c r="AA688" s="33"/>
    </row>
    <row r="689" spans="1:27" s="70" customFormat="1" ht="45" x14ac:dyDescent="0.2">
      <c r="A689" s="24">
        <v>685</v>
      </c>
      <c r="B689" s="24" t="s">
        <v>2788</v>
      </c>
      <c r="C689" s="25" t="s">
        <v>2787</v>
      </c>
      <c r="D689" s="26" t="s">
        <v>2856</v>
      </c>
      <c r="E689" s="25" t="s">
        <v>2855</v>
      </c>
      <c r="F689" s="25" t="s">
        <v>2854</v>
      </c>
      <c r="G689" s="24"/>
      <c r="H689" s="28" t="s">
        <v>2871</v>
      </c>
      <c r="I689" s="27"/>
      <c r="J689" s="28" t="s">
        <v>2874</v>
      </c>
      <c r="K689" s="27"/>
      <c r="L689" s="25" t="s">
        <v>2873</v>
      </c>
      <c r="M689" s="25" t="s">
        <v>2872</v>
      </c>
      <c r="N689" s="25">
        <v>36</v>
      </c>
      <c r="O689" s="25"/>
      <c r="P689" s="25">
        <v>0.25</v>
      </c>
      <c r="Q689" s="25">
        <v>0.25</v>
      </c>
      <c r="R689" s="25"/>
      <c r="S689" s="25"/>
      <c r="T689" s="25">
        <v>0.25</v>
      </c>
      <c r="U689" s="31">
        <f t="shared" si="11"/>
        <v>0.75</v>
      </c>
      <c r="V689" s="25"/>
      <c r="W689" s="33" t="s">
        <v>2867</v>
      </c>
      <c r="X689" s="33"/>
      <c r="Y689" s="33"/>
      <c r="Z689" s="33" t="s">
        <v>2866</v>
      </c>
      <c r="AA689" s="33"/>
    </row>
    <row r="690" spans="1:27" s="70" customFormat="1" ht="45" x14ac:dyDescent="0.2">
      <c r="A690" s="24">
        <v>686</v>
      </c>
      <c r="B690" s="24" t="s">
        <v>2788</v>
      </c>
      <c r="C690" s="25" t="s">
        <v>2787</v>
      </c>
      <c r="D690" s="26" t="s">
        <v>2856</v>
      </c>
      <c r="E690" s="25" t="s">
        <v>2855</v>
      </c>
      <c r="F690" s="25" t="s">
        <v>2854</v>
      </c>
      <c r="G690" s="24"/>
      <c r="H690" s="28" t="s">
        <v>2871</v>
      </c>
      <c r="I690" s="27"/>
      <c r="J690" s="28" t="s">
        <v>2870</v>
      </c>
      <c r="K690" s="27"/>
      <c r="L690" s="25" t="s">
        <v>2869</v>
      </c>
      <c r="M690" s="25" t="s">
        <v>2868</v>
      </c>
      <c r="N690" s="25">
        <v>3</v>
      </c>
      <c r="O690" s="25"/>
      <c r="P690" s="25">
        <v>2</v>
      </c>
      <c r="Q690" s="25">
        <v>2</v>
      </c>
      <c r="R690" s="25"/>
      <c r="S690" s="25"/>
      <c r="T690" s="25">
        <v>1</v>
      </c>
      <c r="U690" s="31">
        <f t="shared" si="11"/>
        <v>5</v>
      </c>
      <c r="V690" s="25"/>
      <c r="W690" s="33" t="s">
        <v>2867</v>
      </c>
      <c r="X690" s="33"/>
      <c r="Y690" s="33"/>
      <c r="Z690" s="33" t="s">
        <v>2866</v>
      </c>
      <c r="AA690" s="33"/>
    </row>
    <row r="691" spans="1:27" s="70" customFormat="1" ht="45" x14ac:dyDescent="0.2">
      <c r="A691" s="24">
        <v>687</v>
      </c>
      <c r="B691" s="24" t="s">
        <v>2788</v>
      </c>
      <c r="C691" s="25" t="s">
        <v>2787</v>
      </c>
      <c r="D691" s="26" t="s">
        <v>2856</v>
      </c>
      <c r="E691" s="25" t="s">
        <v>2855</v>
      </c>
      <c r="F691" s="25" t="s">
        <v>2854</v>
      </c>
      <c r="G691" s="24"/>
      <c r="H691" s="28" t="s">
        <v>2862</v>
      </c>
      <c r="I691" s="27"/>
      <c r="J691" s="28" t="s">
        <v>2865</v>
      </c>
      <c r="K691" s="27"/>
      <c r="L691" s="25"/>
      <c r="M691" s="25"/>
      <c r="N691" s="25"/>
      <c r="O691" s="25"/>
      <c r="P691" s="25"/>
      <c r="Q691" s="25"/>
      <c r="R691" s="25"/>
      <c r="S691" s="25"/>
      <c r="T691" s="25"/>
      <c r="U691" s="31">
        <f t="shared" si="11"/>
        <v>0</v>
      </c>
      <c r="V691" s="25"/>
      <c r="W691" s="33"/>
      <c r="X691" s="33"/>
      <c r="Y691" s="33"/>
      <c r="Z691" s="33"/>
      <c r="AA691" s="33"/>
    </row>
    <row r="692" spans="1:27" s="70" customFormat="1" ht="45" x14ac:dyDescent="0.2">
      <c r="A692" s="24">
        <v>688</v>
      </c>
      <c r="B692" s="24" t="s">
        <v>2788</v>
      </c>
      <c r="C692" s="25" t="s">
        <v>2787</v>
      </c>
      <c r="D692" s="26" t="s">
        <v>2856</v>
      </c>
      <c r="E692" s="25" t="s">
        <v>2855</v>
      </c>
      <c r="F692" s="25" t="s">
        <v>2854</v>
      </c>
      <c r="G692" s="24"/>
      <c r="H692" s="28" t="s">
        <v>2862</v>
      </c>
      <c r="I692" s="27"/>
      <c r="J692" s="28" t="s">
        <v>2864</v>
      </c>
      <c r="K692" s="27"/>
      <c r="L692" s="25"/>
      <c r="M692" s="25"/>
      <c r="N692" s="25"/>
      <c r="O692" s="25"/>
      <c r="P692" s="25"/>
      <c r="Q692" s="25"/>
      <c r="R692" s="25"/>
      <c r="S692" s="25"/>
      <c r="T692" s="25"/>
      <c r="U692" s="31">
        <f t="shared" si="11"/>
        <v>0</v>
      </c>
      <c r="V692" s="25"/>
      <c r="W692" s="33"/>
      <c r="X692" s="33"/>
      <c r="Y692" s="33"/>
      <c r="Z692" s="33"/>
      <c r="AA692" s="33"/>
    </row>
    <row r="693" spans="1:27" s="70" customFormat="1" ht="45" x14ac:dyDescent="0.2">
      <c r="A693" s="24">
        <v>689</v>
      </c>
      <c r="B693" s="24" t="s">
        <v>2788</v>
      </c>
      <c r="C693" s="25" t="s">
        <v>2787</v>
      </c>
      <c r="D693" s="26" t="s">
        <v>2856</v>
      </c>
      <c r="E693" s="25" t="s">
        <v>2855</v>
      </c>
      <c r="F693" s="25" t="s">
        <v>2854</v>
      </c>
      <c r="G693" s="24"/>
      <c r="H693" s="28" t="s">
        <v>2862</v>
      </c>
      <c r="I693" s="27"/>
      <c r="J693" s="28" t="s">
        <v>2863</v>
      </c>
      <c r="K693" s="27"/>
      <c r="L693" s="25"/>
      <c r="M693" s="25"/>
      <c r="N693" s="25"/>
      <c r="O693" s="25"/>
      <c r="P693" s="25"/>
      <c r="Q693" s="25"/>
      <c r="R693" s="25"/>
      <c r="S693" s="25"/>
      <c r="T693" s="25"/>
      <c r="U693" s="31">
        <f t="shared" si="11"/>
        <v>0</v>
      </c>
      <c r="V693" s="25"/>
      <c r="W693" s="33"/>
      <c r="X693" s="33"/>
      <c r="Y693" s="33"/>
      <c r="Z693" s="33"/>
      <c r="AA693" s="33"/>
    </row>
    <row r="694" spans="1:27" s="70" customFormat="1" ht="45" x14ac:dyDescent="0.2">
      <c r="A694" s="24">
        <v>690</v>
      </c>
      <c r="B694" s="24" t="s">
        <v>2788</v>
      </c>
      <c r="C694" s="25" t="s">
        <v>2787</v>
      </c>
      <c r="D694" s="26" t="s">
        <v>2856</v>
      </c>
      <c r="E694" s="25" t="s">
        <v>2855</v>
      </c>
      <c r="F694" s="25" t="s">
        <v>2854</v>
      </c>
      <c r="G694" s="24"/>
      <c r="H694" s="28" t="s">
        <v>2862</v>
      </c>
      <c r="I694" s="27"/>
      <c r="J694" s="28" t="s">
        <v>2861</v>
      </c>
      <c r="K694" s="27"/>
      <c r="L694" s="25"/>
      <c r="M694" s="25"/>
      <c r="N694" s="25"/>
      <c r="O694" s="25"/>
      <c r="P694" s="25"/>
      <c r="Q694" s="25"/>
      <c r="R694" s="25"/>
      <c r="S694" s="25"/>
      <c r="T694" s="25"/>
      <c r="U694" s="31">
        <f t="shared" si="11"/>
        <v>0</v>
      </c>
      <c r="V694" s="25"/>
      <c r="W694" s="33"/>
      <c r="X694" s="33"/>
      <c r="Y694" s="33"/>
      <c r="Z694" s="33"/>
      <c r="AA694" s="33"/>
    </row>
    <row r="695" spans="1:27" s="70" customFormat="1" ht="45" x14ac:dyDescent="0.2">
      <c r="A695" s="24">
        <v>691</v>
      </c>
      <c r="B695" s="24" t="s">
        <v>2788</v>
      </c>
      <c r="C695" s="25" t="s">
        <v>2787</v>
      </c>
      <c r="D695" s="26" t="s">
        <v>2856</v>
      </c>
      <c r="E695" s="25" t="s">
        <v>2855</v>
      </c>
      <c r="F695" s="25" t="s">
        <v>2854</v>
      </c>
      <c r="G695" s="24"/>
      <c r="H695" s="28" t="s">
        <v>2858</v>
      </c>
      <c r="I695" s="27"/>
      <c r="J695" s="28" t="s">
        <v>2860</v>
      </c>
      <c r="K695" s="27"/>
      <c r="L695" s="25"/>
      <c r="M695" s="25"/>
      <c r="N695" s="25"/>
      <c r="O695" s="25"/>
      <c r="P695" s="25"/>
      <c r="Q695" s="25"/>
      <c r="R695" s="25"/>
      <c r="S695" s="25"/>
      <c r="T695" s="25"/>
      <c r="U695" s="31">
        <f t="shared" si="11"/>
        <v>0</v>
      </c>
      <c r="V695" s="25"/>
      <c r="W695" s="33"/>
      <c r="X695" s="33"/>
      <c r="Y695" s="33"/>
      <c r="Z695" s="33"/>
      <c r="AA695" s="33"/>
    </row>
    <row r="696" spans="1:27" s="70" customFormat="1" ht="45" x14ac:dyDescent="0.2">
      <c r="A696" s="24">
        <v>692</v>
      </c>
      <c r="B696" s="24" t="s">
        <v>2788</v>
      </c>
      <c r="C696" s="25" t="s">
        <v>2787</v>
      </c>
      <c r="D696" s="26" t="s">
        <v>2856</v>
      </c>
      <c r="E696" s="25" t="s">
        <v>2855</v>
      </c>
      <c r="F696" s="25" t="s">
        <v>2854</v>
      </c>
      <c r="G696" s="24"/>
      <c r="H696" s="28" t="s">
        <v>2858</v>
      </c>
      <c r="I696" s="27"/>
      <c r="J696" s="28" t="s">
        <v>2859</v>
      </c>
      <c r="K696" s="27"/>
      <c r="L696" s="25"/>
      <c r="M696" s="25"/>
      <c r="N696" s="25"/>
      <c r="O696" s="25"/>
      <c r="P696" s="25"/>
      <c r="Q696" s="25"/>
      <c r="R696" s="25"/>
      <c r="S696" s="25"/>
      <c r="T696" s="25"/>
      <c r="U696" s="31">
        <f t="shared" si="11"/>
        <v>0</v>
      </c>
      <c r="V696" s="25"/>
      <c r="W696" s="33"/>
      <c r="X696" s="33"/>
      <c r="Y696" s="33"/>
      <c r="Z696" s="33"/>
      <c r="AA696" s="33"/>
    </row>
    <row r="697" spans="1:27" s="70" customFormat="1" ht="45" x14ac:dyDescent="0.2">
      <c r="A697" s="24">
        <v>693</v>
      </c>
      <c r="B697" s="24" t="s">
        <v>2788</v>
      </c>
      <c r="C697" s="25" t="s">
        <v>2787</v>
      </c>
      <c r="D697" s="26" t="s">
        <v>2856</v>
      </c>
      <c r="E697" s="25" t="s">
        <v>2855</v>
      </c>
      <c r="F697" s="25" t="s">
        <v>2854</v>
      </c>
      <c r="G697" s="24"/>
      <c r="H697" s="28" t="s">
        <v>2858</v>
      </c>
      <c r="I697" s="27"/>
      <c r="J697" s="28" t="s">
        <v>2857</v>
      </c>
      <c r="K697" s="27"/>
      <c r="L697" s="25"/>
      <c r="M697" s="25"/>
      <c r="N697" s="25"/>
      <c r="O697" s="25"/>
      <c r="P697" s="25"/>
      <c r="Q697" s="25"/>
      <c r="R697" s="25"/>
      <c r="S697" s="25"/>
      <c r="T697" s="25"/>
      <c r="U697" s="31">
        <f t="shared" si="11"/>
        <v>0</v>
      </c>
      <c r="V697" s="25"/>
      <c r="W697" s="33"/>
      <c r="X697" s="33"/>
      <c r="Y697" s="33"/>
      <c r="Z697" s="33"/>
      <c r="AA697" s="33"/>
    </row>
    <row r="698" spans="1:27" s="70" customFormat="1" ht="45" x14ac:dyDescent="0.2">
      <c r="A698" s="24">
        <v>694</v>
      </c>
      <c r="B698" s="24" t="s">
        <v>2788</v>
      </c>
      <c r="C698" s="25" t="s">
        <v>2787</v>
      </c>
      <c r="D698" s="26" t="s">
        <v>2856</v>
      </c>
      <c r="E698" s="25" t="s">
        <v>2855</v>
      </c>
      <c r="F698" s="25" t="s">
        <v>2854</v>
      </c>
      <c r="G698" s="24"/>
      <c r="H698" s="28" t="s">
        <v>2853</v>
      </c>
      <c r="I698" s="27"/>
      <c r="J698" s="28" t="s">
        <v>2853</v>
      </c>
      <c r="K698" s="27"/>
      <c r="L698" s="25" t="s">
        <v>2852</v>
      </c>
      <c r="M698" s="25" t="s">
        <v>1387</v>
      </c>
      <c r="N698" s="25">
        <v>1</v>
      </c>
      <c r="O698" s="25"/>
      <c r="P698" s="25"/>
      <c r="Q698" s="25">
        <v>1144</v>
      </c>
      <c r="R698" s="25"/>
      <c r="S698" s="25">
        <v>1144</v>
      </c>
      <c r="T698" s="25">
        <v>858</v>
      </c>
      <c r="U698" s="31">
        <f t="shared" si="11"/>
        <v>3146</v>
      </c>
      <c r="V698" s="25"/>
      <c r="W698" s="33" t="s">
        <v>2851</v>
      </c>
      <c r="X698" s="33"/>
      <c r="Y698" s="33"/>
      <c r="Z698" s="33" t="s">
        <v>2850</v>
      </c>
      <c r="AA698" s="33"/>
    </row>
    <row r="699" spans="1:27" s="70" customFormat="1" ht="45" x14ac:dyDescent="0.2">
      <c r="A699" s="24">
        <v>695</v>
      </c>
      <c r="B699" s="24" t="s">
        <v>2788</v>
      </c>
      <c r="C699" s="25" t="s">
        <v>2787</v>
      </c>
      <c r="D699" s="26" t="s">
        <v>2786</v>
      </c>
      <c r="E699" s="25" t="s">
        <v>2785</v>
      </c>
      <c r="F699" s="25" t="s">
        <v>1902</v>
      </c>
      <c r="G699" s="24"/>
      <c r="H699" s="28" t="s">
        <v>2807</v>
      </c>
      <c r="I699" s="27"/>
      <c r="J699" s="28" t="s">
        <v>2847</v>
      </c>
      <c r="K699" s="27"/>
      <c r="L699" s="25" t="s">
        <v>2849</v>
      </c>
      <c r="M699" s="25" t="s">
        <v>2845</v>
      </c>
      <c r="N699" s="25">
        <v>1</v>
      </c>
      <c r="O699" s="25">
        <v>480</v>
      </c>
      <c r="P699" s="25">
        <v>480</v>
      </c>
      <c r="Q699" s="25"/>
      <c r="R699" s="25"/>
      <c r="S699" s="25">
        <v>480</v>
      </c>
      <c r="T699" s="25"/>
      <c r="U699" s="31">
        <f t="shared" si="11"/>
        <v>1440</v>
      </c>
      <c r="V699" s="25"/>
      <c r="W699" s="33" t="s">
        <v>2837</v>
      </c>
      <c r="X699" s="33"/>
      <c r="Y699" s="33" t="s">
        <v>2848</v>
      </c>
      <c r="Z699" s="33" t="s">
        <v>2835</v>
      </c>
      <c r="AA699" s="33"/>
    </row>
    <row r="700" spans="1:27" s="70" customFormat="1" ht="101.25" x14ac:dyDescent="0.2">
      <c r="A700" s="24">
        <v>696</v>
      </c>
      <c r="B700" s="24" t="s">
        <v>2788</v>
      </c>
      <c r="C700" s="25" t="s">
        <v>2787</v>
      </c>
      <c r="D700" s="26" t="s">
        <v>2786</v>
      </c>
      <c r="E700" s="25" t="s">
        <v>2785</v>
      </c>
      <c r="F700" s="25" t="s">
        <v>1902</v>
      </c>
      <c r="G700" s="24"/>
      <c r="H700" s="28" t="s">
        <v>2807</v>
      </c>
      <c r="I700" s="27"/>
      <c r="J700" s="28" t="s">
        <v>2847</v>
      </c>
      <c r="K700" s="27"/>
      <c r="L700" s="25" t="s">
        <v>2846</v>
      </c>
      <c r="M700" s="25" t="s">
        <v>2845</v>
      </c>
      <c r="N700" s="25">
        <v>1</v>
      </c>
      <c r="O700" s="25">
        <v>384</v>
      </c>
      <c r="P700" s="25">
        <v>384</v>
      </c>
      <c r="Q700" s="25"/>
      <c r="R700" s="25"/>
      <c r="S700" s="25">
        <v>384</v>
      </c>
      <c r="T700" s="25"/>
      <c r="U700" s="31">
        <f t="shared" si="11"/>
        <v>1152</v>
      </c>
      <c r="V700" s="25"/>
      <c r="W700" s="33" t="s">
        <v>2844</v>
      </c>
      <c r="X700" s="33" t="s">
        <v>2843</v>
      </c>
      <c r="Y700" s="33" t="s">
        <v>38</v>
      </c>
      <c r="Z700" s="33" t="s">
        <v>2842</v>
      </c>
      <c r="AA700" s="33"/>
    </row>
    <row r="701" spans="1:27" s="70" customFormat="1" ht="45" x14ac:dyDescent="0.2">
      <c r="A701" s="24">
        <v>697</v>
      </c>
      <c r="B701" s="24" t="s">
        <v>2788</v>
      </c>
      <c r="C701" s="25" t="s">
        <v>2787</v>
      </c>
      <c r="D701" s="26" t="s">
        <v>2786</v>
      </c>
      <c r="E701" s="25" t="s">
        <v>2785</v>
      </c>
      <c r="F701" s="25" t="s">
        <v>1902</v>
      </c>
      <c r="G701" s="24"/>
      <c r="H701" s="28" t="s">
        <v>2807</v>
      </c>
      <c r="I701" s="27"/>
      <c r="J701" s="28" t="s">
        <v>2841</v>
      </c>
      <c r="K701" s="27"/>
      <c r="L701" s="25"/>
      <c r="M701" s="25"/>
      <c r="N701" s="25"/>
      <c r="O701" s="25"/>
      <c r="P701" s="25"/>
      <c r="Q701" s="25"/>
      <c r="R701" s="25"/>
      <c r="S701" s="25"/>
      <c r="T701" s="25"/>
      <c r="U701" s="31">
        <f t="shared" si="11"/>
        <v>0</v>
      </c>
      <c r="V701" s="25"/>
      <c r="W701" s="33"/>
      <c r="X701" s="33"/>
      <c r="Y701" s="33"/>
      <c r="Z701" s="33"/>
      <c r="AA701" s="33"/>
    </row>
    <row r="702" spans="1:27" s="70" customFormat="1" ht="45" x14ac:dyDescent="0.2">
      <c r="A702" s="24">
        <v>698</v>
      </c>
      <c r="B702" s="24" t="s">
        <v>2788</v>
      </c>
      <c r="C702" s="25" t="s">
        <v>2787</v>
      </c>
      <c r="D702" s="26" t="s">
        <v>2786</v>
      </c>
      <c r="E702" s="25" t="s">
        <v>2785</v>
      </c>
      <c r="F702" s="25" t="s">
        <v>1902</v>
      </c>
      <c r="G702" s="24"/>
      <c r="H702" s="28" t="s">
        <v>2807</v>
      </c>
      <c r="I702" s="27"/>
      <c r="J702" s="28" t="s">
        <v>2840</v>
      </c>
      <c r="K702" s="27"/>
      <c r="L702" s="25"/>
      <c r="M702" s="25"/>
      <c r="N702" s="25"/>
      <c r="O702" s="25"/>
      <c r="P702" s="25"/>
      <c r="Q702" s="25"/>
      <c r="R702" s="25"/>
      <c r="S702" s="25"/>
      <c r="T702" s="25"/>
      <c r="U702" s="31">
        <f t="shared" si="11"/>
        <v>0</v>
      </c>
      <c r="V702" s="25"/>
      <c r="W702" s="33"/>
      <c r="X702" s="33"/>
      <c r="Y702" s="33"/>
      <c r="Z702" s="33"/>
      <c r="AA702" s="33"/>
    </row>
    <row r="703" spans="1:27" s="70" customFormat="1" ht="67.5" x14ac:dyDescent="0.2">
      <c r="A703" s="24">
        <v>699</v>
      </c>
      <c r="B703" s="24" t="s">
        <v>2788</v>
      </c>
      <c r="C703" s="25" t="s">
        <v>2787</v>
      </c>
      <c r="D703" s="26" t="s">
        <v>2786</v>
      </c>
      <c r="E703" s="25" t="s">
        <v>2785</v>
      </c>
      <c r="F703" s="25" t="s">
        <v>1902</v>
      </c>
      <c r="G703" s="24"/>
      <c r="H703" s="28" t="s">
        <v>2807</v>
      </c>
      <c r="I703" s="27"/>
      <c r="J703" s="28" t="s">
        <v>2834</v>
      </c>
      <c r="K703" s="27"/>
      <c r="L703" s="25" t="s">
        <v>2839</v>
      </c>
      <c r="M703" s="25" t="s">
        <v>2838</v>
      </c>
      <c r="N703" s="25">
        <v>200</v>
      </c>
      <c r="O703" s="25">
        <v>3</v>
      </c>
      <c r="P703" s="25">
        <v>3</v>
      </c>
      <c r="Q703" s="25"/>
      <c r="R703" s="25"/>
      <c r="S703" s="25">
        <v>3</v>
      </c>
      <c r="T703" s="25"/>
      <c r="U703" s="31">
        <f t="shared" si="11"/>
        <v>9</v>
      </c>
      <c r="V703" s="25"/>
      <c r="W703" s="33" t="s">
        <v>2837</v>
      </c>
      <c r="X703" s="33" t="s">
        <v>2836</v>
      </c>
      <c r="Y703" s="33"/>
      <c r="Z703" s="33" t="s">
        <v>2835</v>
      </c>
      <c r="AA703" s="33"/>
    </row>
    <row r="704" spans="1:27" s="70" customFormat="1" ht="45" x14ac:dyDescent="0.2">
      <c r="A704" s="24">
        <v>700</v>
      </c>
      <c r="B704" s="24" t="s">
        <v>2788</v>
      </c>
      <c r="C704" s="25" t="s">
        <v>2787</v>
      </c>
      <c r="D704" s="26" t="s">
        <v>2786</v>
      </c>
      <c r="E704" s="25" t="s">
        <v>2785</v>
      </c>
      <c r="F704" s="25" t="s">
        <v>1902</v>
      </c>
      <c r="G704" s="24"/>
      <c r="H704" s="28" t="s">
        <v>2807</v>
      </c>
      <c r="I704" s="27"/>
      <c r="J704" s="28" t="s">
        <v>2834</v>
      </c>
      <c r="K704" s="27"/>
      <c r="L704" s="25" t="s">
        <v>2833</v>
      </c>
      <c r="M704" s="25" t="s">
        <v>2832</v>
      </c>
      <c r="N704" s="25" t="s">
        <v>2799</v>
      </c>
      <c r="O704" s="25">
        <v>4</v>
      </c>
      <c r="P704" s="25">
        <v>4</v>
      </c>
      <c r="Q704" s="25"/>
      <c r="R704" s="25"/>
      <c r="S704" s="25">
        <v>4</v>
      </c>
      <c r="T704" s="25"/>
      <c r="U704" s="31">
        <f t="shared" si="11"/>
        <v>12</v>
      </c>
      <c r="V704" s="25"/>
      <c r="W704" s="33" t="s">
        <v>22</v>
      </c>
      <c r="X704" s="33" t="s">
        <v>2811</v>
      </c>
      <c r="Y704" s="33" t="s">
        <v>2831</v>
      </c>
      <c r="Z704" s="33" t="s">
        <v>2810</v>
      </c>
      <c r="AA704" s="33"/>
    </row>
    <row r="705" spans="1:27" s="70" customFormat="1" ht="56.25" x14ac:dyDescent="0.2">
      <c r="A705" s="24">
        <v>701</v>
      </c>
      <c r="B705" s="24" t="s">
        <v>2788</v>
      </c>
      <c r="C705" s="25" t="s">
        <v>2787</v>
      </c>
      <c r="D705" s="26" t="s">
        <v>2786</v>
      </c>
      <c r="E705" s="25" t="s">
        <v>2785</v>
      </c>
      <c r="F705" s="25" t="s">
        <v>1902</v>
      </c>
      <c r="G705" s="24"/>
      <c r="H705" s="28" t="s">
        <v>2807</v>
      </c>
      <c r="I705" s="27"/>
      <c r="J705" s="28" t="s">
        <v>2826</v>
      </c>
      <c r="K705" s="27"/>
      <c r="L705" s="25" t="s">
        <v>2830</v>
      </c>
      <c r="M705" s="25" t="s">
        <v>2813</v>
      </c>
      <c r="N705" s="25" t="s">
        <v>2829</v>
      </c>
      <c r="O705" s="25">
        <v>4</v>
      </c>
      <c r="P705" s="25">
        <v>4</v>
      </c>
      <c r="Q705" s="25"/>
      <c r="R705" s="25"/>
      <c r="S705" s="25">
        <v>4</v>
      </c>
      <c r="T705" s="25"/>
      <c r="U705" s="31">
        <f t="shared" si="11"/>
        <v>12</v>
      </c>
      <c r="V705" s="25"/>
      <c r="W705" s="33" t="s">
        <v>2828</v>
      </c>
      <c r="X705" s="33"/>
      <c r="Y705" s="33"/>
      <c r="Z705" s="33" t="s">
        <v>2827</v>
      </c>
      <c r="AA705" s="33"/>
    </row>
    <row r="706" spans="1:27" s="70" customFormat="1" ht="56.25" x14ac:dyDescent="0.2">
      <c r="A706" s="24">
        <v>702</v>
      </c>
      <c r="B706" s="24" t="s">
        <v>2788</v>
      </c>
      <c r="C706" s="25" t="s">
        <v>2787</v>
      </c>
      <c r="D706" s="26" t="s">
        <v>2786</v>
      </c>
      <c r="E706" s="25" t="s">
        <v>2785</v>
      </c>
      <c r="F706" s="25" t="s">
        <v>1902</v>
      </c>
      <c r="G706" s="24"/>
      <c r="H706" s="28" t="s">
        <v>2807</v>
      </c>
      <c r="I706" s="27"/>
      <c r="J706" s="28" t="s">
        <v>2826</v>
      </c>
      <c r="K706" s="27"/>
      <c r="L706" s="25" t="s">
        <v>2825</v>
      </c>
      <c r="M706" s="25" t="s">
        <v>2824</v>
      </c>
      <c r="N706" s="25">
        <v>1</v>
      </c>
      <c r="O706" s="25">
        <v>1</v>
      </c>
      <c r="P706" s="25">
        <v>1</v>
      </c>
      <c r="Q706" s="25"/>
      <c r="R706" s="25"/>
      <c r="S706" s="25">
        <v>1</v>
      </c>
      <c r="T706" s="25"/>
      <c r="U706" s="31">
        <f t="shared" si="11"/>
        <v>3</v>
      </c>
      <c r="V706" s="25"/>
      <c r="W706" s="33" t="s">
        <v>1565</v>
      </c>
      <c r="X706" s="33"/>
      <c r="Y706" s="33"/>
      <c r="Z706" s="33" t="s">
        <v>2797</v>
      </c>
      <c r="AA706" s="33"/>
    </row>
    <row r="707" spans="1:27" s="70" customFormat="1" ht="45" x14ac:dyDescent="0.2">
      <c r="A707" s="24">
        <v>703</v>
      </c>
      <c r="B707" s="24" t="s">
        <v>2788</v>
      </c>
      <c r="C707" s="25" t="s">
        <v>2787</v>
      </c>
      <c r="D707" s="26" t="s">
        <v>2786</v>
      </c>
      <c r="E707" s="25" t="s">
        <v>2785</v>
      </c>
      <c r="F707" s="25" t="s">
        <v>1902</v>
      </c>
      <c r="G707" s="24"/>
      <c r="H707" s="28" t="s">
        <v>2807</v>
      </c>
      <c r="I707" s="27"/>
      <c r="J707" s="28" t="s">
        <v>2823</v>
      </c>
      <c r="K707" s="27"/>
      <c r="L707" s="25" t="s">
        <v>2822</v>
      </c>
      <c r="M707" s="25" t="s">
        <v>2821</v>
      </c>
      <c r="N707" s="25" t="s">
        <v>2820</v>
      </c>
      <c r="O707" s="25">
        <v>4</v>
      </c>
      <c r="P707" s="25">
        <v>4</v>
      </c>
      <c r="Q707" s="25"/>
      <c r="R707" s="25"/>
      <c r="S707" s="25">
        <v>4</v>
      </c>
      <c r="T707" s="25"/>
      <c r="U707" s="31">
        <f t="shared" si="11"/>
        <v>12</v>
      </c>
      <c r="V707" s="25"/>
      <c r="W707" s="33" t="s">
        <v>22</v>
      </c>
      <c r="X707" s="33"/>
      <c r="Y707" s="33"/>
      <c r="Z707" s="33" t="s">
        <v>2797</v>
      </c>
      <c r="AA707" s="33"/>
    </row>
    <row r="708" spans="1:27" s="70" customFormat="1" ht="45" x14ac:dyDescent="0.2">
      <c r="A708" s="24">
        <v>704</v>
      </c>
      <c r="B708" s="24" t="s">
        <v>2788</v>
      </c>
      <c r="C708" s="25" t="s">
        <v>2787</v>
      </c>
      <c r="D708" s="26" t="s">
        <v>2786</v>
      </c>
      <c r="E708" s="25" t="s">
        <v>2785</v>
      </c>
      <c r="F708" s="25" t="s">
        <v>1902</v>
      </c>
      <c r="G708" s="24"/>
      <c r="H708" s="28" t="s">
        <v>2807</v>
      </c>
      <c r="I708" s="27"/>
      <c r="J708" s="28" t="s">
        <v>2815</v>
      </c>
      <c r="K708" s="27"/>
      <c r="L708" s="25" t="s">
        <v>2819</v>
      </c>
      <c r="M708" s="25" t="s">
        <v>2813</v>
      </c>
      <c r="N708" s="25" t="s">
        <v>2818</v>
      </c>
      <c r="O708" s="25">
        <v>8</v>
      </c>
      <c r="P708" s="25">
        <v>8</v>
      </c>
      <c r="Q708" s="25"/>
      <c r="R708" s="25"/>
      <c r="S708" s="25">
        <v>8</v>
      </c>
      <c r="T708" s="25"/>
      <c r="U708" s="31">
        <f t="shared" si="11"/>
        <v>24</v>
      </c>
      <c r="V708" s="25"/>
      <c r="W708" s="33" t="s">
        <v>2817</v>
      </c>
      <c r="X708" s="33"/>
      <c r="Y708" s="33" t="s">
        <v>1902</v>
      </c>
      <c r="Z708" s="33" t="s">
        <v>2816</v>
      </c>
      <c r="AA708" s="33"/>
    </row>
    <row r="709" spans="1:27" s="70" customFormat="1" ht="45" x14ac:dyDescent="0.2">
      <c r="A709" s="24">
        <v>705</v>
      </c>
      <c r="B709" s="24" t="s">
        <v>2788</v>
      </c>
      <c r="C709" s="25" t="s">
        <v>2787</v>
      </c>
      <c r="D709" s="26" t="s">
        <v>2786</v>
      </c>
      <c r="E709" s="25" t="s">
        <v>2785</v>
      </c>
      <c r="F709" s="25" t="s">
        <v>1902</v>
      </c>
      <c r="G709" s="24"/>
      <c r="H709" s="28" t="s">
        <v>2807</v>
      </c>
      <c r="I709" s="27"/>
      <c r="J709" s="28" t="s">
        <v>2815</v>
      </c>
      <c r="K709" s="27"/>
      <c r="L709" s="25" t="s">
        <v>2814</v>
      </c>
      <c r="M709" s="25" t="s">
        <v>2813</v>
      </c>
      <c r="N709" s="25" t="s">
        <v>2812</v>
      </c>
      <c r="O709" s="25">
        <v>4</v>
      </c>
      <c r="P709" s="25">
        <v>4</v>
      </c>
      <c r="Q709" s="25"/>
      <c r="R709" s="25"/>
      <c r="S709" s="25">
        <v>4</v>
      </c>
      <c r="T709" s="25"/>
      <c r="U709" s="31">
        <f t="shared" si="11"/>
        <v>12</v>
      </c>
      <c r="V709" s="25"/>
      <c r="W709" s="33" t="s">
        <v>1565</v>
      </c>
      <c r="X709" s="33" t="s">
        <v>2811</v>
      </c>
      <c r="Y709" s="33" t="s">
        <v>38</v>
      </c>
      <c r="Z709" s="33" t="s">
        <v>2810</v>
      </c>
      <c r="AA709" s="33"/>
    </row>
    <row r="710" spans="1:27" s="70" customFormat="1" ht="45" x14ac:dyDescent="0.2">
      <c r="A710" s="24">
        <v>706</v>
      </c>
      <c r="B710" s="24" t="s">
        <v>2788</v>
      </c>
      <c r="C710" s="25" t="s">
        <v>2787</v>
      </c>
      <c r="D710" s="26" t="s">
        <v>2786</v>
      </c>
      <c r="E710" s="25" t="s">
        <v>2785</v>
      </c>
      <c r="F710" s="25" t="s">
        <v>1902</v>
      </c>
      <c r="G710" s="24"/>
      <c r="H710" s="28" t="s">
        <v>2807</v>
      </c>
      <c r="I710" s="27"/>
      <c r="J710" s="28" t="s">
        <v>2809</v>
      </c>
      <c r="K710" s="27"/>
      <c r="L710" s="25"/>
      <c r="M710" s="25"/>
      <c r="N710" s="25"/>
      <c r="O710" s="25"/>
      <c r="P710" s="25"/>
      <c r="Q710" s="25"/>
      <c r="R710" s="25"/>
      <c r="S710" s="25"/>
      <c r="T710" s="25"/>
      <c r="U710" s="31">
        <f t="shared" ref="U710:U773" si="12">SUM(O710:T710)</f>
        <v>0</v>
      </c>
      <c r="V710" s="25"/>
      <c r="W710" s="33"/>
      <c r="X710" s="33"/>
      <c r="Y710" s="33"/>
      <c r="Z710" s="33"/>
      <c r="AA710" s="33"/>
    </row>
    <row r="711" spans="1:27" s="70" customFormat="1" ht="45" x14ac:dyDescent="0.2">
      <c r="A711" s="24">
        <v>707</v>
      </c>
      <c r="B711" s="24" t="s">
        <v>2788</v>
      </c>
      <c r="C711" s="25" t="s">
        <v>2787</v>
      </c>
      <c r="D711" s="26" t="s">
        <v>2786</v>
      </c>
      <c r="E711" s="25" t="s">
        <v>2785</v>
      </c>
      <c r="F711" s="25" t="s">
        <v>1902</v>
      </c>
      <c r="G711" s="24"/>
      <c r="H711" s="28" t="s">
        <v>2807</v>
      </c>
      <c r="I711" s="27"/>
      <c r="J711" s="28" t="s">
        <v>2808</v>
      </c>
      <c r="K711" s="27"/>
      <c r="L711" s="25"/>
      <c r="M711" s="25"/>
      <c r="N711" s="25"/>
      <c r="O711" s="25"/>
      <c r="P711" s="25"/>
      <c r="Q711" s="25"/>
      <c r="R711" s="25"/>
      <c r="S711" s="25"/>
      <c r="T711" s="25"/>
      <c r="U711" s="31">
        <f t="shared" si="12"/>
        <v>0</v>
      </c>
      <c r="V711" s="25"/>
      <c r="W711" s="33"/>
      <c r="X711" s="33"/>
      <c r="Y711" s="33"/>
      <c r="Z711" s="33"/>
      <c r="AA711" s="33"/>
    </row>
    <row r="712" spans="1:27" s="70" customFormat="1" ht="45" x14ac:dyDescent="0.2">
      <c r="A712" s="24">
        <v>708</v>
      </c>
      <c r="B712" s="24" t="s">
        <v>2788</v>
      </c>
      <c r="C712" s="25" t="s">
        <v>2787</v>
      </c>
      <c r="D712" s="26" t="s">
        <v>2786</v>
      </c>
      <c r="E712" s="25" t="s">
        <v>2785</v>
      </c>
      <c r="F712" s="25" t="s">
        <v>1902</v>
      </c>
      <c r="G712" s="24"/>
      <c r="H712" s="28" t="s">
        <v>2807</v>
      </c>
      <c r="I712" s="27"/>
      <c r="J712" s="28" t="s">
        <v>2806</v>
      </c>
      <c r="K712" s="27"/>
      <c r="L712" s="25" t="s">
        <v>2805</v>
      </c>
      <c r="M712" s="25" t="s">
        <v>2804</v>
      </c>
      <c r="N712" s="25" t="s">
        <v>2799</v>
      </c>
      <c r="O712" s="25">
        <v>2</v>
      </c>
      <c r="P712" s="25">
        <v>2</v>
      </c>
      <c r="Q712" s="25"/>
      <c r="R712" s="25"/>
      <c r="S712" s="25">
        <v>1</v>
      </c>
      <c r="T712" s="25"/>
      <c r="U712" s="31">
        <f t="shared" si="12"/>
        <v>5</v>
      </c>
      <c r="V712" s="25"/>
      <c r="W712" s="33" t="s">
        <v>800</v>
      </c>
      <c r="X712" s="33"/>
      <c r="Y712" s="33"/>
      <c r="Z712" s="33" t="s">
        <v>2803</v>
      </c>
      <c r="AA712" s="33"/>
    </row>
    <row r="713" spans="1:27" s="70" customFormat="1" ht="101.25" x14ac:dyDescent="0.2">
      <c r="A713" s="24">
        <v>709</v>
      </c>
      <c r="B713" s="24" t="s">
        <v>2788</v>
      </c>
      <c r="C713" s="25" t="s">
        <v>2787</v>
      </c>
      <c r="D713" s="26" t="s">
        <v>2786</v>
      </c>
      <c r="E713" s="25" t="s">
        <v>2785</v>
      </c>
      <c r="F713" s="25" t="s">
        <v>1902</v>
      </c>
      <c r="G713" s="24"/>
      <c r="H713" s="28" t="s">
        <v>2795</v>
      </c>
      <c r="I713" s="27"/>
      <c r="J713" s="28" t="s">
        <v>2802</v>
      </c>
      <c r="K713" s="27"/>
      <c r="L713" s="25" t="s">
        <v>2801</v>
      </c>
      <c r="M713" s="25" t="s">
        <v>2800</v>
      </c>
      <c r="N713" s="25" t="s">
        <v>2799</v>
      </c>
      <c r="O713" s="25">
        <v>8</v>
      </c>
      <c r="P713" s="25">
        <v>8</v>
      </c>
      <c r="Q713" s="25"/>
      <c r="R713" s="25"/>
      <c r="S713" s="25">
        <v>8</v>
      </c>
      <c r="T713" s="25"/>
      <c r="U713" s="31">
        <f t="shared" si="12"/>
        <v>24</v>
      </c>
      <c r="V713" s="25"/>
      <c r="W713" s="33" t="s">
        <v>22</v>
      </c>
      <c r="X713" s="33" t="s">
        <v>2798</v>
      </c>
      <c r="Y713" s="33" t="s">
        <v>38</v>
      </c>
      <c r="Z713" s="33" t="s">
        <v>2797</v>
      </c>
      <c r="AA713" s="33"/>
    </row>
    <row r="714" spans="1:27" s="70" customFormat="1" ht="56.25" x14ac:dyDescent="0.2">
      <c r="A714" s="24">
        <v>710</v>
      </c>
      <c r="B714" s="24" t="s">
        <v>2788</v>
      </c>
      <c r="C714" s="25" t="s">
        <v>2787</v>
      </c>
      <c r="D714" s="26" t="s">
        <v>2786</v>
      </c>
      <c r="E714" s="25" t="s">
        <v>2785</v>
      </c>
      <c r="F714" s="25" t="s">
        <v>1902</v>
      </c>
      <c r="G714" s="24"/>
      <c r="H714" s="28" t="s">
        <v>2795</v>
      </c>
      <c r="I714" s="27"/>
      <c r="J714" s="28" t="s">
        <v>2796</v>
      </c>
      <c r="K714" s="27"/>
      <c r="L714" s="25"/>
      <c r="M714" s="25"/>
      <c r="N714" s="25"/>
      <c r="O714" s="25"/>
      <c r="P714" s="25"/>
      <c r="Q714" s="25"/>
      <c r="R714" s="25"/>
      <c r="S714" s="25"/>
      <c r="T714" s="25"/>
      <c r="U714" s="31">
        <f t="shared" si="12"/>
        <v>0</v>
      </c>
      <c r="V714" s="25"/>
      <c r="W714" s="33"/>
      <c r="X714" s="33"/>
      <c r="Y714" s="33"/>
      <c r="Z714" s="33"/>
      <c r="AA714" s="33"/>
    </row>
    <row r="715" spans="1:27" s="70" customFormat="1" ht="45" x14ac:dyDescent="0.2">
      <c r="A715" s="24">
        <v>711</v>
      </c>
      <c r="B715" s="24" t="s">
        <v>2788</v>
      </c>
      <c r="C715" s="25" t="s">
        <v>2787</v>
      </c>
      <c r="D715" s="26" t="s">
        <v>2786</v>
      </c>
      <c r="E715" s="25" t="s">
        <v>2785</v>
      </c>
      <c r="F715" s="25" t="s">
        <v>1902</v>
      </c>
      <c r="G715" s="24"/>
      <c r="H715" s="28" t="s">
        <v>2795</v>
      </c>
      <c r="I715" s="27"/>
      <c r="J715" s="28" t="s">
        <v>2794</v>
      </c>
      <c r="K715" s="27"/>
      <c r="L715" s="25"/>
      <c r="M715" s="25"/>
      <c r="N715" s="25"/>
      <c r="O715" s="25"/>
      <c r="P715" s="25"/>
      <c r="Q715" s="25"/>
      <c r="R715" s="25"/>
      <c r="S715" s="25"/>
      <c r="T715" s="25"/>
      <c r="U715" s="31">
        <f t="shared" si="12"/>
        <v>0</v>
      </c>
      <c r="V715" s="25"/>
      <c r="W715" s="33"/>
      <c r="X715" s="33"/>
      <c r="Y715" s="33"/>
      <c r="Z715" s="33"/>
      <c r="AA715" s="33"/>
    </row>
    <row r="716" spans="1:27" s="70" customFormat="1" ht="45" x14ac:dyDescent="0.2">
      <c r="A716" s="24">
        <v>712</v>
      </c>
      <c r="B716" s="24" t="s">
        <v>2788</v>
      </c>
      <c r="C716" s="25" t="s">
        <v>2787</v>
      </c>
      <c r="D716" s="26" t="s">
        <v>2786</v>
      </c>
      <c r="E716" s="25" t="s">
        <v>2785</v>
      </c>
      <c r="F716" s="25" t="s">
        <v>1902</v>
      </c>
      <c r="G716" s="24"/>
      <c r="H716" s="28" t="s">
        <v>2784</v>
      </c>
      <c r="I716" s="27"/>
      <c r="J716" s="28" t="s">
        <v>2784</v>
      </c>
      <c r="K716" s="27"/>
      <c r="L716" s="25" t="s">
        <v>2793</v>
      </c>
      <c r="M716" s="25" t="s">
        <v>1487</v>
      </c>
      <c r="N716" s="25" t="s">
        <v>2792</v>
      </c>
      <c r="O716" s="25">
        <v>2</v>
      </c>
      <c r="P716" s="25">
        <v>2</v>
      </c>
      <c r="Q716" s="25"/>
      <c r="R716" s="25"/>
      <c r="S716" s="25">
        <v>1</v>
      </c>
      <c r="T716" s="25"/>
      <c r="U716" s="31">
        <f t="shared" si="12"/>
        <v>5</v>
      </c>
      <c r="V716" s="25"/>
      <c r="W716" s="33" t="s">
        <v>2791</v>
      </c>
      <c r="X716" s="33" t="s">
        <v>2790</v>
      </c>
      <c r="Y716" s="33" t="s">
        <v>41</v>
      </c>
      <c r="Z716" s="33" t="s">
        <v>2789</v>
      </c>
      <c r="AA716" s="33"/>
    </row>
    <row r="717" spans="1:27" s="70" customFormat="1" ht="93.75" customHeight="1" x14ac:dyDescent="0.2">
      <c r="A717" s="24">
        <v>713</v>
      </c>
      <c r="B717" s="24" t="s">
        <v>2788</v>
      </c>
      <c r="C717" s="25" t="s">
        <v>2787</v>
      </c>
      <c r="D717" s="26" t="s">
        <v>2786</v>
      </c>
      <c r="E717" s="25" t="s">
        <v>2785</v>
      </c>
      <c r="F717" s="25" t="s">
        <v>1902</v>
      </c>
      <c r="G717" s="24"/>
      <c r="H717" s="28" t="s">
        <v>2784</v>
      </c>
      <c r="I717" s="27"/>
      <c r="J717" s="28" t="s">
        <v>2784</v>
      </c>
      <c r="K717" s="27"/>
      <c r="L717" s="25" t="s">
        <v>2783</v>
      </c>
      <c r="M717" s="25" t="s">
        <v>2782</v>
      </c>
      <c r="N717" s="25">
        <v>30</v>
      </c>
      <c r="O717" s="25">
        <v>4</v>
      </c>
      <c r="P717" s="25">
        <v>4</v>
      </c>
      <c r="Q717" s="25"/>
      <c r="R717" s="25"/>
      <c r="S717" s="25">
        <v>4</v>
      </c>
      <c r="T717" s="25"/>
      <c r="U717" s="31">
        <f t="shared" si="12"/>
        <v>12</v>
      </c>
      <c r="V717" s="25"/>
      <c r="W717" s="33" t="s">
        <v>22</v>
      </c>
      <c r="X717" s="33"/>
      <c r="Y717" s="33"/>
      <c r="Z717" s="33" t="s">
        <v>2781</v>
      </c>
      <c r="AA717" s="33"/>
    </row>
    <row r="718" spans="1:27" s="70" customFormat="1" ht="56.25" x14ac:dyDescent="0.2">
      <c r="A718" s="24">
        <v>714</v>
      </c>
      <c r="B718" s="27" t="s">
        <v>2709</v>
      </c>
      <c r="C718" s="28" t="s">
        <v>2708</v>
      </c>
      <c r="D718" s="71" t="s">
        <v>2763</v>
      </c>
      <c r="E718" s="28" t="s">
        <v>2762</v>
      </c>
      <c r="F718" s="28" t="s">
        <v>2720</v>
      </c>
      <c r="G718" s="27"/>
      <c r="H718" s="28" t="s">
        <v>2769</v>
      </c>
      <c r="I718" s="27"/>
      <c r="J718" s="28" t="s">
        <v>2780</v>
      </c>
      <c r="K718" s="27"/>
      <c r="L718" s="25"/>
      <c r="M718" s="25"/>
      <c r="N718" s="25"/>
      <c r="O718" s="25"/>
      <c r="P718" s="25"/>
      <c r="Q718" s="25"/>
      <c r="R718" s="25"/>
      <c r="S718" s="25"/>
      <c r="T718" s="25"/>
      <c r="U718" s="31">
        <f t="shared" si="12"/>
        <v>0</v>
      </c>
      <c r="V718" s="25"/>
      <c r="W718" s="33"/>
      <c r="X718" s="33"/>
      <c r="Y718" s="33"/>
      <c r="Z718" s="33"/>
      <c r="AA718" s="33"/>
    </row>
    <row r="719" spans="1:27" s="70" customFormat="1" ht="56.25" x14ac:dyDescent="0.2">
      <c r="A719" s="24">
        <v>715</v>
      </c>
      <c r="B719" s="27" t="s">
        <v>2709</v>
      </c>
      <c r="C719" s="28" t="s">
        <v>2708</v>
      </c>
      <c r="D719" s="71" t="s">
        <v>2763</v>
      </c>
      <c r="E719" s="28" t="s">
        <v>2762</v>
      </c>
      <c r="F719" s="28" t="s">
        <v>2720</v>
      </c>
      <c r="G719" s="27"/>
      <c r="H719" s="28" t="s">
        <v>2769</v>
      </c>
      <c r="I719" s="27"/>
      <c r="J719" s="28" t="s">
        <v>2779</v>
      </c>
      <c r="K719" s="27"/>
      <c r="L719" s="25"/>
      <c r="M719" s="25"/>
      <c r="N719" s="25"/>
      <c r="O719" s="25"/>
      <c r="P719" s="25"/>
      <c r="Q719" s="25"/>
      <c r="R719" s="25"/>
      <c r="S719" s="25"/>
      <c r="T719" s="25"/>
      <c r="U719" s="31">
        <f t="shared" si="12"/>
        <v>0</v>
      </c>
      <c r="V719" s="25"/>
      <c r="W719" s="33"/>
      <c r="X719" s="33"/>
      <c r="Y719" s="33"/>
      <c r="Z719" s="33"/>
      <c r="AA719" s="33"/>
    </row>
    <row r="720" spans="1:27" s="70" customFormat="1" ht="56.25" x14ac:dyDescent="0.2">
      <c r="A720" s="24">
        <v>716</v>
      </c>
      <c r="B720" s="27" t="s">
        <v>2709</v>
      </c>
      <c r="C720" s="28" t="s">
        <v>2708</v>
      </c>
      <c r="D720" s="71" t="s">
        <v>2763</v>
      </c>
      <c r="E720" s="28" t="s">
        <v>2762</v>
      </c>
      <c r="F720" s="28" t="s">
        <v>2720</v>
      </c>
      <c r="G720" s="27"/>
      <c r="H720" s="28" t="s">
        <v>2769</v>
      </c>
      <c r="I720" s="27"/>
      <c r="J720" s="28" t="s">
        <v>2778</v>
      </c>
      <c r="K720" s="27"/>
      <c r="L720" s="25" t="s">
        <v>2777</v>
      </c>
      <c r="M720" s="25" t="s">
        <v>199</v>
      </c>
      <c r="N720" s="25"/>
      <c r="O720" s="25">
        <v>2</v>
      </c>
      <c r="P720" s="25"/>
      <c r="Q720" s="25">
        <v>1</v>
      </c>
      <c r="R720" s="25"/>
      <c r="S720" s="25">
        <v>1</v>
      </c>
      <c r="T720" s="25">
        <v>0</v>
      </c>
      <c r="U720" s="31">
        <f t="shared" si="12"/>
        <v>4</v>
      </c>
      <c r="V720" s="25"/>
      <c r="W720" s="33" t="s">
        <v>198</v>
      </c>
      <c r="X720" s="33"/>
      <c r="Y720" s="33"/>
      <c r="Z720" s="33" t="s">
        <v>2702</v>
      </c>
      <c r="AA720" s="33"/>
    </row>
    <row r="721" spans="1:27" s="70" customFormat="1" ht="56.25" x14ac:dyDescent="0.2">
      <c r="A721" s="24">
        <v>717</v>
      </c>
      <c r="B721" s="27" t="s">
        <v>2709</v>
      </c>
      <c r="C721" s="28" t="s">
        <v>2708</v>
      </c>
      <c r="D721" s="71" t="s">
        <v>2763</v>
      </c>
      <c r="E721" s="28" t="s">
        <v>2762</v>
      </c>
      <c r="F721" s="28" t="s">
        <v>2720</v>
      </c>
      <c r="G721" s="27"/>
      <c r="H721" s="28" t="s">
        <v>2769</v>
      </c>
      <c r="I721" s="27"/>
      <c r="J721" s="28" t="s">
        <v>2776</v>
      </c>
      <c r="K721" s="27"/>
      <c r="L721" s="25" t="s">
        <v>2775</v>
      </c>
      <c r="M721" s="25" t="s">
        <v>199</v>
      </c>
      <c r="N721" s="25"/>
      <c r="O721" s="25">
        <v>4</v>
      </c>
      <c r="P721" s="25"/>
      <c r="Q721" s="25">
        <v>2</v>
      </c>
      <c r="R721" s="25"/>
      <c r="S721" s="25">
        <v>1</v>
      </c>
      <c r="T721" s="25">
        <v>1</v>
      </c>
      <c r="U721" s="31">
        <f t="shared" si="12"/>
        <v>8</v>
      </c>
      <c r="V721" s="25"/>
      <c r="W721" s="33" t="s">
        <v>198</v>
      </c>
      <c r="X721" s="33"/>
      <c r="Y721" s="33"/>
      <c r="Z721" s="33" t="s">
        <v>2702</v>
      </c>
      <c r="AA721" s="33"/>
    </row>
    <row r="722" spans="1:27" s="70" customFormat="1" ht="56.25" x14ac:dyDescent="0.2">
      <c r="A722" s="24">
        <v>718</v>
      </c>
      <c r="B722" s="27" t="s">
        <v>2709</v>
      </c>
      <c r="C722" s="28" t="s">
        <v>2708</v>
      </c>
      <c r="D722" s="71" t="s">
        <v>2763</v>
      </c>
      <c r="E722" s="28" t="s">
        <v>2762</v>
      </c>
      <c r="F722" s="28" t="s">
        <v>2720</v>
      </c>
      <c r="G722" s="27"/>
      <c r="H722" s="28" t="s">
        <v>2769</v>
      </c>
      <c r="I722" s="27"/>
      <c r="J722" s="28" t="s">
        <v>2774</v>
      </c>
      <c r="K722" s="27"/>
      <c r="L722" s="25" t="s">
        <v>2718</v>
      </c>
      <c r="M722" s="25" t="s">
        <v>199</v>
      </c>
      <c r="N722" s="25"/>
      <c r="O722" s="25">
        <v>8</v>
      </c>
      <c r="P722" s="25"/>
      <c r="Q722" s="25">
        <v>4</v>
      </c>
      <c r="R722" s="25"/>
      <c r="S722" s="25">
        <v>2</v>
      </c>
      <c r="T722" s="25">
        <v>1</v>
      </c>
      <c r="U722" s="31">
        <f t="shared" si="12"/>
        <v>15</v>
      </c>
      <c r="V722" s="25"/>
      <c r="W722" s="33" t="s">
        <v>198</v>
      </c>
      <c r="X722" s="33"/>
      <c r="Y722" s="33"/>
      <c r="Z722" s="33" t="s">
        <v>2702</v>
      </c>
      <c r="AA722" s="33"/>
    </row>
    <row r="723" spans="1:27" s="70" customFormat="1" ht="56.25" x14ac:dyDescent="0.2">
      <c r="A723" s="24">
        <v>719</v>
      </c>
      <c r="B723" s="27" t="s">
        <v>2709</v>
      </c>
      <c r="C723" s="28" t="s">
        <v>2708</v>
      </c>
      <c r="D723" s="71" t="s">
        <v>2763</v>
      </c>
      <c r="E723" s="28" t="s">
        <v>2762</v>
      </c>
      <c r="F723" s="28" t="s">
        <v>2720</v>
      </c>
      <c r="G723" s="27"/>
      <c r="H723" s="28" t="s">
        <v>2769</v>
      </c>
      <c r="I723" s="27"/>
      <c r="J723" s="28" t="s">
        <v>2773</v>
      </c>
      <c r="K723" s="27"/>
      <c r="L723" s="25"/>
      <c r="M723" s="25"/>
      <c r="N723" s="25"/>
      <c r="O723" s="25"/>
      <c r="P723" s="25"/>
      <c r="Q723" s="25"/>
      <c r="R723" s="25"/>
      <c r="S723" s="25"/>
      <c r="T723" s="25"/>
      <c r="U723" s="31">
        <f t="shared" si="12"/>
        <v>0</v>
      </c>
      <c r="V723" s="25"/>
      <c r="W723" s="33"/>
      <c r="X723" s="33"/>
      <c r="Y723" s="33"/>
      <c r="Z723" s="33"/>
      <c r="AA723" s="33"/>
    </row>
    <row r="724" spans="1:27" s="70" customFormat="1" ht="56.25" x14ac:dyDescent="0.2">
      <c r="A724" s="24">
        <v>720</v>
      </c>
      <c r="B724" s="27" t="s">
        <v>2709</v>
      </c>
      <c r="C724" s="28" t="s">
        <v>2708</v>
      </c>
      <c r="D724" s="71" t="s">
        <v>2763</v>
      </c>
      <c r="E724" s="28" t="s">
        <v>2762</v>
      </c>
      <c r="F724" s="28" t="s">
        <v>2720</v>
      </c>
      <c r="G724" s="27"/>
      <c r="H724" s="28" t="s">
        <v>2769</v>
      </c>
      <c r="I724" s="27"/>
      <c r="J724" s="28" t="s">
        <v>2772</v>
      </c>
      <c r="K724" s="27"/>
      <c r="L724" s="25"/>
      <c r="M724" s="25"/>
      <c r="N724" s="25"/>
      <c r="O724" s="25"/>
      <c r="P724" s="25"/>
      <c r="Q724" s="25"/>
      <c r="R724" s="25"/>
      <c r="S724" s="25"/>
      <c r="T724" s="25"/>
      <c r="U724" s="31">
        <f t="shared" si="12"/>
        <v>0</v>
      </c>
      <c r="V724" s="25"/>
      <c r="W724" s="33"/>
      <c r="X724" s="33"/>
      <c r="Y724" s="33"/>
      <c r="Z724" s="33"/>
      <c r="AA724" s="33"/>
    </row>
    <row r="725" spans="1:27" s="70" customFormat="1" ht="56.25" x14ac:dyDescent="0.2">
      <c r="A725" s="24">
        <v>721</v>
      </c>
      <c r="B725" s="27" t="s">
        <v>2709</v>
      </c>
      <c r="C725" s="28" t="s">
        <v>2708</v>
      </c>
      <c r="D725" s="71" t="s">
        <v>2763</v>
      </c>
      <c r="E725" s="28" t="s">
        <v>2762</v>
      </c>
      <c r="F725" s="28" t="s">
        <v>2720</v>
      </c>
      <c r="G725" s="27"/>
      <c r="H725" s="28" t="s">
        <v>2769</v>
      </c>
      <c r="I725" s="27"/>
      <c r="J725" s="28" t="s">
        <v>2771</v>
      </c>
      <c r="K725" s="27"/>
      <c r="L725" s="25"/>
      <c r="M725" s="25"/>
      <c r="N725" s="25"/>
      <c r="O725" s="25"/>
      <c r="P725" s="25"/>
      <c r="Q725" s="25"/>
      <c r="R725" s="25"/>
      <c r="S725" s="25"/>
      <c r="T725" s="25"/>
      <c r="U725" s="31">
        <f t="shared" si="12"/>
        <v>0</v>
      </c>
      <c r="V725" s="25"/>
      <c r="W725" s="33"/>
      <c r="X725" s="33"/>
      <c r="Y725" s="33"/>
      <c r="Z725" s="33"/>
      <c r="AA725" s="33"/>
    </row>
    <row r="726" spans="1:27" s="70" customFormat="1" ht="56.25" x14ac:dyDescent="0.2">
      <c r="A726" s="24">
        <v>722</v>
      </c>
      <c r="B726" s="27" t="s">
        <v>2709</v>
      </c>
      <c r="C726" s="28" t="s">
        <v>2708</v>
      </c>
      <c r="D726" s="71" t="s">
        <v>2763</v>
      </c>
      <c r="E726" s="28" t="s">
        <v>2762</v>
      </c>
      <c r="F726" s="28" t="s">
        <v>2720</v>
      </c>
      <c r="G726" s="27"/>
      <c r="H726" s="28" t="s">
        <v>2769</v>
      </c>
      <c r="I726" s="27"/>
      <c r="J726" s="28" t="s">
        <v>2770</v>
      </c>
      <c r="K726" s="27"/>
      <c r="L726" s="25"/>
      <c r="M726" s="25"/>
      <c r="N726" s="25"/>
      <c r="O726" s="25"/>
      <c r="P726" s="25"/>
      <c r="Q726" s="25"/>
      <c r="R726" s="25"/>
      <c r="S726" s="25"/>
      <c r="T726" s="25"/>
      <c r="U726" s="31">
        <f t="shared" si="12"/>
        <v>0</v>
      </c>
      <c r="V726" s="25"/>
      <c r="W726" s="33"/>
      <c r="X726" s="33"/>
      <c r="Y726" s="33"/>
      <c r="Z726" s="33"/>
      <c r="AA726" s="33"/>
    </row>
    <row r="727" spans="1:27" s="70" customFormat="1" ht="56.25" x14ac:dyDescent="0.2">
      <c r="A727" s="24">
        <v>723</v>
      </c>
      <c r="B727" s="27" t="s">
        <v>2709</v>
      </c>
      <c r="C727" s="28" t="s">
        <v>2708</v>
      </c>
      <c r="D727" s="71" t="s">
        <v>2763</v>
      </c>
      <c r="E727" s="28" t="s">
        <v>2762</v>
      </c>
      <c r="F727" s="28" t="s">
        <v>2720</v>
      </c>
      <c r="G727" s="27"/>
      <c r="H727" s="28" t="s">
        <v>2769</v>
      </c>
      <c r="I727" s="27"/>
      <c r="J727" s="28" t="s">
        <v>2768</v>
      </c>
      <c r="K727" s="27"/>
      <c r="L727" s="25"/>
      <c r="M727" s="25"/>
      <c r="N727" s="25"/>
      <c r="O727" s="25"/>
      <c r="P727" s="25"/>
      <c r="Q727" s="25"/>
      <c r="R727" s="25"/>
      <c r="S727" s="25"/>
      <c r="T727" s="25"/>
      <c r="U727" s="31">
        <f t="shared" si="12"/>
        <v>0</v>
      </c>
      <c r="V727" s="25"/>
      <c r="W727" s="33"/>
      <c r="X727" s="33"/>
      <c r="Y727" s="33"/>
      <c r="Z727" s="33"/>
      <c r="AA727" s="33"/>
    </row>
    <row r="728" spans="1:27" s="70" customFormat="1" ht="45" x14ac:dyDescent="0.2">
      <c r="A728" s="24">
        <v>724</v>
      </c>
      <c r="B728" s="27" t="s">
        <v>2709</v>
      </c>
      <c r="C728" s="28" t="s">
        <v>2708</v>
      </c>
      <c r="D728" s="71" t="s">
        <v>2763</v>
      </c>
      <c r="E728" s="28" t="s">
        <v>2762</v>
      </c>
      <c r="F728" s="28" t="s">
        <v>2720</v>
      </c>
      <c r="G728" s="27"/>
      <c r="H728" s="28" t="s">
        <v>2766</v>
      </c>
      <c r="I728" s="27"/>
      <c r="J728" s="28" t="s">
        <v>2766</v>
      </c>
      <c r="K728" s="27"/>
      <c r="L728" s="25" t="s">
        <v>2767</v>
      </c>
      <c r="M728" s="25" t="s">
        <v>199</v>
      </c>
      <c r="N728" s="25"/>
      <c r="O728" s="25">
        <v>5.33</v>
      </c>
      <c r="P728" s="25">
        <v>2</v>
      </c>
      <c r="Q728" s="25">
        <v>4</v>
      </c>
      <c r="R728" s="25"/>
      <c r="S728" s="25">
        <v>2</v>
      </c>
      <c r="T728" s="25">
        <v>1</v>
      </c>
      <c r="U728" s="31">
        <f t="shared" si="12"/>
        <v>14.33</v>
      </c>
      <c r="V728" s="25"/>
      <c r="W728" s="33" t="s">
        <v>198</v>
      </c>
      <c r="X728" s="33"/>
      <c r="Y728" s="33"/>
      <c r="Z728" s="33" t="s">
        <v>2702</v>
      </c>
      <c r="AA728" s="33"/>
    </row>
    <row r="729" spans="1:27" s="70" customFormat="1" ht="45" x14ac:dyDescent="0.2">
      <c r="A729" s="24">
        <v>725</v>
      </c>
      <c r="B729" s="27" t="s">
        <v>2709</v>
      </c>
      <c r="C729" s="28" t="s">
        <v>2708</v>
      </c>
      <c r="D729" s="71" t="s">
        <v>2763</v>
      </c>
      <c r="E729" s="28" t="s">
        <v>2762</v>
      </c>
      <c r="F729" s="28" t="s">
        <v>2720</v>
      </c>
      <c r="G729" s="27"/>
      <c r="H729" s="28" t="s">
        <v>2766</v>
      </c>
      <c r="I729" s="27"/>
      <c r="J729" s="28" t="s">
        <v>2766</v>
      </c>
      <c r="K729" s="27"/>
      <c r="L729" s="25" t="s">
        <v>2765</v>
      </c>
      <c r="M729" s="25" t="s">
        <v>199</v>
      </c>
      <c r="N729" s="25"/>
      <c r="O729" s="25">
        <v>8</v>
      </c>
      <c r="P729" s="25"/>
      <c r="Q729" s="25">
        <v>4</v>
      </c>
      <c r="R729" s="25"/>
      <c r="S729" s="25">
        <v>2</v>
      </c>
      <c r="T729" s="25">
        <v>1</v>
      </c>
      <c r="U729" s="31">
        <f t="shared" si="12"/>
        <v>15</v>
      </c>
      <c r="V729" s="25"/>
      <c r="W729" s="33" t="s">
        <v>2764</v>
      </c>
      <c r="X729" s="33"/>
      <c r="Y729" s="33"/>
      <c r="Z729" s="33" t="s">
        <v>2702</v>
      </c>
      <c r="AA729" s="33"/>
    </row>
    <row r="730" spans="1:27" s="70" customFormat="1" ht="33.75" x14ac:dyDescent="0.2">
      <c r="A730" s="24">
        <v>726</v>
      </c>
      <c r="B730" s="27" t="s">
        <v>2709</v>
      </c>
      <c r="C730" s="28" t="s">
        <v>2708</v>
      </c>
      <c r="D730" s="71" t="s">
        <v>2763</v>
      </c>
      <c r="E730" s="28" t="s">
        <v>2762</v>
      </c>
      <c r="F730" s="28" t="s">
        <v>2720</v>
      </c>
      <c r="G730" s="27"/>
      <c r="H730" s="28" t="s">
        <v>2761</v>
      </c>
      <c r="I730" s="27"/>
      <c r="J730" s="28" t="s">
        <v>2761</v>
      </c>
      <c r="K730" s="27"/>
      <c r="L730" s="25" t="s">
        <v>2710</v>
      </c>
      <c r="M730" s="25" t="s">
        <v>209</v>
      </c>
      <c r="N730" s="25"/>
      <c r="O730" s="25"/>
      <c r="P730" s="25">
        <v>36</v>
      </c>
      <c r="Q730" s="25">
        <v>12</v>
      </c>
      <c r="R730" s="25"/>
      <c r="S730" s="25">
        <v>8</v>
      </c>
      <c r="T730" s="25">
        <v>4</v>
      </c>
      <c r="U730" s="31">
        <f t="shared" si="12"/>
        <v>60</v>
      </c>
      <c r="V730" s="25"/>
      <c r="W730" s="33" t="s">
        <v>1438</v>
      </c>
      <c r="X730" s="33"/>
      <c r="Y730" s="33"/>
      <c r="Z730" s="33"/>
      <c r="AA730" s="33"/>
    </row>
    <row r="731" spans="1:27" s="70" customFormat="1" ht="56.25" x14ac:dyDescent="0.2">
      <c r="A731" s="24">
        <v>727</v>
      </c>
      <c r="B731" s="27" t="s">
        <v>2709</v>
      </c>
      <c r="C731" s="28" t="s">
        <v>2708</v>
      </c>
      <c r="D731" s="71" t="s">
        <v>2736</v>
      </c>
      <c r="E731" s="28" t="s">
        <v>2735</v>
      </c>
      <c r="F731" s="28" t="s">
        <v>2734</v>
      </c>
      <c r="G731" s="27"/>
      <c r="H731" s="28" t="s">
        <v>2745</v>
      </c>
      <c r="I731" s="27"/>
      <c r="J731" s="28" t="s">
        <v>2760</v>
      </c>
      <c r="K731" s="27"/>
      <c r="L731" s="25"/>
      <c r="M731" s="25"/>
      <c r="N731" s="25"/>
      <c r="O731" s="25"/>
      <c r="P731" s="25"/>
      <c r="Q731" s="25"/>
      <c r="R731" s="25"/>
      <c r="S731" s="25"/>
      <c r="T731" s="25"/>
      <c r="U731" s="31">
        <f t="shared" si="12"/>
        <v>0</v>
      </c>
      <c r="V731" s="25"/>
      <c r="W731" s="33"/>
      <c r="X731" s="33"/>
      <c r="Y731" s="33"/>
      <c r="Z731" s="33"/>
      <c r="AA731" s="33"/>
    </row>
    <row r="732" spans="1:27" s="70" customFormat="1" ht="56.25" x14ac:dyDescent="0.2">
      <c r="A732" s="24">
        <v>728</v>
      </c>
      <c r="B732" s="27" t="s">
        <v>2709</v>
      </c>
      <c r="C732" s="28" t="s">
        <v>2708</v>
      </c>
      <c r="D732" s="71" t="s">
        <v>2736</v>
      </c>
      <c r="E732" s="28" t="s">
        <v>2735</v>
      </c>
      <c r="F732" s="28" t="s">
        <v>2734</v>
      </c>
      <c r="G732" s="27"/>
      <c r="H732" s="28" t="s">
        <v>2745</v>
      </c>
      <c r="I732" s="27"/>
      <c r="J732" s="28" t="s">
        <v>2759</v>
      </c>
      <c r="K732" s="27"/>
      <c r="L732" s="25"/>
      <c r="M732" s="25"/>
      <c r="N732" s="25"/>
      <c r="O732" s="25"/>
      <c r="P732" s="25"/>
      <c r="Q732" s="25"/>
      <c r="R732" s="25"/>
      <c r="S732" s="25"/>
      <c r="T732" s="25"/>
      <c r="U732" s="31">
        <f t="shared" si="12"/>
        <v>0</v>
      </c>
      <c r="V732" s="25"/>
      <c r="W732" s="33"/>
      <c r="X732" s="33"/>
      <c r="Y732" s="33"/>
      <c r="Z732" s="33"/>
      <c r="AA732" s="33"/>
    </row>
    <row r="733" spans="1:27" s="70" customFormat="1" ht="67.5" x14ac:dyDescent="0.2">
      <c r="A733" s="24">
        <v>729</v>
      </c>
      <c r="B733" s="27" t="s">
        <v>2709</v>
      </c>
      <c r="C733" s="28" t="s">
        <v>2708</v>
      </c>
      <c r="D733" s="71" t="s">
        <v>2736</v>
      </c>
      <c r="E733" s="28" t="s">
        <v>2735</v>
      </c>
      <c r="F733" s="28" t="s">
        <v>2734</v>
      </c>
      <c r="G733" s="27"/>
      <c r="H733" s="28" t="s">
        <v>2745</v>
      </c>
      <c r="I733" s="27"/>
      <c r="J733" s="28" t="s">
        <v>2758</v>
      </c>
      <c r="K733" s="27"/>
      <c r="L733" s="25"/>
      <c r="M733" s="25"/>
      <c r="N733" s="25"/>
      <c r="O733" s="25"/>
      <c r="P733" s="25"/>
      <c r="Q733" s="25"/>
      <c r="R733" s="25"/>
      <c r="S733" s="25"/>
      <c r="T733" s="25"/>
      <c r="U733" s="31">
        <f t="shared" si="12"/>
        <v>0</v>
      </c>
      <c r="V733" s="25"/>
      <c r="W733" s="33"/>
      <c r="X733" s="33"/>
      <c r="Y733" s="33"/>
      <c r="Z733" s="33"/>
      <c r="AA733" s="33"/>
    </row>
    <row r="734" spans="1:27" s="70" customFormat="1" ht="56.25" x14ac:dyDescent="0.2">
      <c r="A734" s="24">
        <v>730</v>
      </c>
      <c r="B734" s="27" t="s">
        <v>2709</v>
      </c>
      <c r="C734" s="28" t="s">
        <v>2708</v>
      </c>
      <c r="D734" s="71" t="s">
        <v>2736</v>
      </c>
      <c r="E734" s="28" t="s">
        <v>2735</v>
      </c>
      <c r="F734" s="28" t="s">
        <v>2734</v>
      </c>
      <c r="G734" s="27"/>
      <c r="H734" s="28" t="s">
        <v>2745</v>
      </c>
      <c r="I734" s="27"/>
      <c r="J734" s="28" t="s">
        <v>2757</v>
      </c>
      <c r="K734" s="27"/>
      <c r="L734" s="25"/>
      <c r="M734" s="25"/>
      <c r="N734" s="25"/>
      <c r="O734" s="25"/>
      <c r="P734" s="25"/>
      <c r="Q734" s="25"/>
      <c r="R734" s="25"/>
      <c r="S734" s="25"/>
      <c r="T734" s="25"/>
      <c r="U734" s="31">
        <f t="shared" si="12"/>
        <v>0</v>
      </c>
      <c r="V734" s="25"/>
      <c r="W734" s="33"/>
      <c r="X734" s="33"/>
      <c r="Y734" s="33"/>
      <c r="Z734" s="33"/>
      <c r="AA734" s="33"/>
    </row>
    <row r="735" spans="1:27" s="70" customFormat="1" ht="56.25" x14ac:dyDescent="0.2">
      <c r="A735" s="24">
        <v>731</v>
      </c>
      <c r="B735" s="27" t="s">
        <v>2709</v>
      </c>
      <c r="C735" s="28" t="s">
        <v>2708</v>
      </c>
      <c r="D735" s="71" t="s">
        <v>2736</v>
      </c>
      <c r="E735" s="28" t="s">
        <v>2735</v>
      </c>
      <c r="F735" s="28" t="s">
        <v>2734</v>
      </c>
      <c r="G735" s="27"/>
      <c r="H735" s="28" t="s">
        <v>2745</v>
      </c>
      <c r="I735" s="27"/>
      <c r="J735" s="28" t="s">
        <v>2756</v>
      </c>
      <c r="K735" s="27"/>
      <c r="L735" s="25"/>
      <c r="M735" s="25"/>
      <c r="N735" s="25"/>
      <c r="O735" s="25"/>
      <c r="P735" s="25"/>
      <c r="Q735" s="25"/>
      <c r="R735" s="25"/>
      <c r="S735" s="25"/>
      <c r="T735" s="25"/>
      <c r="U735" s="31">
        <f t="shared" si="12"/>
        <v>0</v>
      </c>
      <c r="V735" s="25"/>
      <c r="W735" s="33"/>
      <c r="X735" s="33"/>
      <c r="Y735" s="33"/>
      <c r="Z735" s="33"/>
      <c r="AA735" s="33"/>
    </row>
    <row r="736" spans="1:27" s="70" customFormat="1" ht="56.25" x14ac:dyDescent="0.2">
      <c r="A736" s="24">
        <v>732</v>
      </c>
      <c r="B736" s="27" t="s">
        <v>2709</v>
      </c>
      <c r="C736" s="28" t="s">
        <v>2708</v>
      </c>
      <c r="D736" s="71" t="s">
        <v>2736</v>
      </c>
      <c r="E736" s="28" t="s">
        <v>2735</v>
      </c>
      <c r="F736" s="28" t="s">
        <v>2734</v>
      </c>
      <c r="G736" s="27"/>
      <c r="H736" s="28" t="s">
        <v>2745</v>
      </c>
      <c r="I736" s="27"/>
      <c r="J736" s="28" t="s">
        <v>2755</v>
      </c>
      <c r="K736" s="27"/>
      <c r="L736" s="25"/>
      <c r="M736" s="25"/>
      <c r="N736" s="25"/>
      <c r="O736" s="25"/>
      <c r="P736" s="25"/>
      <c r="Q736" s="25"/>
      <c r="R736" s="25"/>
      <c r="S736" s="25"/>
      <c r="T736" s="25"/>
      <c r="U736" s="31">
        <f t="shared" si="12"/>
        <v>0</v>
      </c>
      <c r="V736" s="25"/>
      <c r="W736" s="33"/>
      <c r="X736" s="33"/>
      <c r="Y736" s="33"/>
      <c r="Z736" s="33"/>
      <c r="AA736" s="33"/>
    </row>
    <row r="737" spans="1:27" s="70" customFormat="1" ht="56.25" x14ac:dyDescent="0.2">
      <c r="A737" s="24">
        <v>733</v>
      </c>
      <c r="B737" s="27" t="s">
        <v>2709</v>
      </c>
      <c r="C737" s="28" t="s">
        <v>2708</v>
      </c>
      <c r="D737" s="71" t="s">
        <v>2736</v>
      </c>
      <c r="E737" s="28" t="s">
        <v>2735</v>
      </c>
      <c r="F737" s="28" t="s">
        <v>2734</v>
      </c>
      <c r="G737" s="27"/>
      <c r="H737" s="28" t="s">
        <v>2745</v>
      </c>
      <c r="I737" s="27"/>
      <c r="J737" s="28" t="s">
        <v>2754</v>
      </c>
      <c r="K737" s="27"/>
      <c r="L737" s="25"/>
      <c r="M737" s="25"/>
      <c r="N737" s="25"/>
      <c r="O737" s="25"/>
      <c r="P737" s="25"/>
      <c r="Q737" s="25"/>
      <c r="R737" s="25"/>
      <c r="S737" s="25"/>
      <c r="T737" s="25"/>
      <c r="U737" s="31">
        <f t="shared" si="12"/>
        <v>0</v>
      </c>
      <c r="V737" s="25"/>
      <c r="W737" s="33"/>
      <c r="X737" s="33"/>
      <c r="Y737" s="33"/>
      <c r="Z737" s="33"/>
      <c r="AA737" s="33"/>
    </row>
    <row r="738" spans="1:27" s="70" customFormat="1" ht="56.25" x14ac:dyDescent="0.2">
      <c r="A738" s="24">
        <v>734</v>
      </c>
      <c r="B738" s="27" t="s">
        <v>2709</v>
      </c>
      <c r="C738" s="28" t="s">
        <v>2708</v>
      </c>
      <c r="D738" s="71" t="s">
        <v>2736</v>
      </c>
      <c r="E738" s="28" t="s">
        <v>2735</v>
      </c>
      <c r="F738" s="28" t="s">
        <v>2734</v>
      </c>
      <c r="G738" s="27"/>
      <c r="H738" s="28" t="s">
        <v>2745</v>
      </c>
      <c r="I738" s="27"/>
      <c r="J738" s="28" t="s">
        <v>2753</v>
      </c>
      <c r="K738" s="27"/>
      <c r="L738" s="25"/>
      <c r="M738" s="25"/>
      <c r="N738" s="25"/>
      <c r="O738" s="25"/>
      <c r="P738" s="25"/>
      <c r="Q738" s="25"/>
      <c r="R738" s="25"/>
      <c r="S738" s="25"/>
      <c r="T738" s="25"/>
      <c r="U738" s="31">
        <f t="shared" si="12"/>
        <v>0</v>
      </c>
      <c r="V738" s="25"/>
      <c r="W738" s="33"/>
      <c r="X738" s="33"/>
      <c r="Y738" s="33"/>
      <c r="Z738" s="33"/>
      <c r="AA738" s="33"/>
    </row>
    <row r="739" spans="1:27" s="70" customFormat="1" ht="56.25" x14ac:dyDescent="0.2">
      <c r="A739" s="24">
        <v>735</v>
      </c>
      <c r="B739" s="27" t="s">
        <v>2709</v>
      </c>
      <c r="C739" s="28" t="s">
        <v>2708</v>
      </c>
      <c r="D739" s="71" t="s">
        <v>2736</v>
      </c>
      <c r="E739" s="28" t="s">
        <v>2735</v>
      </c>
      <c r="F739" s="28" t="s">
        <v>2734</v>
      </c>
      <c r="G739" s="27"/>
      <c r="H739" s="28" t="s">
        <v>2745</v>
      </c>
      <c r="I739" s="27"/>
      <c r="J739" s="28" t="s">
        <v>2752</v>
      </c>
      <c r="K739" s="27"/>
      <c r="L739" s="25"/>
      <c r="M739" s="25"/>
      <c r="N739" s="25"/>
      <c r="O739" s="25"/>
      <c r="P739" s="25"/>
      <c r="Q739" s="25"/>
      <c r="R739" s="25"/>
      <c r="S739" s="25"/>
      <c r="T739" s="25"/>
      <c r="U739" s="31">
        <f t="shared" si="12"/>
        <v>0</v>
      </c>
      <c r="V739" s="25"/>
      <c r="W739" s="33"/>
      <c r="X739" s="33"/>
      <c r="Y739" s="33"/>
      <c r="Z739" s="33"/>
      <c r="AA739" s="33"/>
    </row>
    <row r="740" spans="1:27" s="70" customFormat="1" ht="56.25" x14ac:dyDescent="0.2">
      <c r="A740" s="24">
        <v>736</v>
      </c>
      <c r="B740" s="27" t="s">
        <v>2709</v>
      </c>
      <c r="C740" s="28" t="s">
        <v>2708</v>
      </c>
      <c r="D740" s="71" t="s">
        <v>2736</v>
      </c>
      <c r="E740" s="28" t="s">
        <v>2735</v>
      </c>
      <c r="F740" s="28" t="s">
        <v>2734</v>
      </c>
      <c r="G740" s="27"/>
      <c r="H740" s="28" t="s">
        <v>2745</v>
      </c>
      <c r="I740" s="27"/>
      <c r="J740" s="28" t="s">
        <v>2751</v>
      </c>
      <c r="K740" s="27"/>
      <c r="L740" s="25"/>
      <c r="M740" s="25"/>
      <c r="N740" s="25"/>
      <c r="O740" s="25"/>
      <c r="P740" s="25"/>
      <c r="Q740" s="25"/>
      <c r="R740" s="25"/>
      <c r="S740" s="25"/>
      <c r="T740" s="25"/>
      <c r="U740" s="31">
        <f t="shared" si="12"/>
        <v>0</v>
      </c>
      <c r="V740" s="25"/>
      <c r="W740" s="33"/>
      <c r="X740" s="33"/>
      <c r="Y740" s="33"/>
      <c r="Z740" s="33"/>
      <c r="AA740" s="33"/>
    </row>
    <row r="741" spans="1:27" s="70" customFormat="1" ht="56.25" x14ac:dyDescent="0.2">
      <c r="A741" s="24">
        <v>737</v>
      </c>
      <c r="B741" s="27" t="s">
        <v>2709</v>
      </c>
      <c r="C741" s="28" t="s">
        <v>2708</v>
      </c>
      <c r="D741" s="71" t="s">
        <v>2736</v>
      </c>
      <c r="E741" s="28" t="s">
        <v>2735</v>
      </c>
      <c r="F741" s="28" t="s">
        <v>2734</v>
      </c>
      <c r="G741" s="27"/>
      <c r="H741" s="28" t="s">
        <v>2745</v>
      </c>
      <c r="I741" s="27"/>
      <c r="J741" s="28" t="s">
        <v>2750</v>
      </c>
      <c r="K741" s="27"/>
      <c r="L741" s="25"/>
      <c r="M741" s="25"/>
      <c r="N741" s="25"/>
      <c r="O741" s="25"/>
      <c r="P741" s="25"/>
      <c r="Q741" s="25"/>
      <c r="R741" s="25"/>
      <c r="S741" s="25"/>
      <c r="T741" s="25"/>
      <c r="U741" s="31">
        <f t="shared" si="12"/>
        <v>0</v>
      </c>
      <c r="V741" s="25"/>
      <c r="W741" s="33"/>
      <c r="X741" s="33"/>
      <c r="Y741" s="33"/>
      <c r="Z741" s="33"/>
      <c r="AA741" s="33"/>
    </row>
    <row r="742" spans="1:27" s="70" customFormat="1" ht="56.25" x14ac:dyDescent="0.2">
      <c r="A742" s="24">
        <v>738</v>
      </c>
      <c r="B742" s="27" t="s">
        <v>2709</v>
      </c>
      <c r="C742" s="28" t="s">
        <v>2708</v>
      </c>
      <c r="D742" s="71" t="s">
        <v>2736</v>
      </c>
      <c r="E742" s="28" t="s">
        <v>2735</v>
      </c>
      <c r="F742" s="28" t="s">
        <v>2734</v>
      </c>
      <c r="G742" s="27"/>
      <c r="H742" s="28" t="s">
        <v>2745</v>
      </c>
      <c r="I742" s="27"/>
      <c r="J742" s="28" t="s">
        <v>2749</v>
      </c>
      <c r="K742" s="27"/>
      <c r="L742" s="25"/>
      <c r="M742" s="25"/>
      <c r="N742" s="25"/>
      <c r="O742" s="25"/>
      <c r="P742" s="25"/>
      <c r="Q742" s="25"/>
      <c r="R742" s="25"/>
      <c r="S742" s="25"/>
      <c r="T742" s="25"/>
      <c r="U742" s="31">
        <f t="shared" si="12"/>
        <v>0</v>
      </c>
      <c r="V742" s="25"/>
      <c r="W742" s="33"/>
      <c r="X742" s="33"/>
      <c r="Y742" s="33"/>
      <c r="Z742" s="33"/>
      <c r="AA742" s="33"/>
    </row>
    <row r="743" spans="1:27" s="70" customFormat="1" ht="56.25" x14ac:dyDescent="0.2">
      <c r="A743" s="24">
        <v>739</v>
      </c>
      <c r="B743" s="27" t="s">
        <v>2709</v>
      </c>
      <c r="C743" s="28" t="s">
        <v>2708</v>
      </c>
      <c r="D743" s="71" t="s">
        <v>2736</v>
      </c>
      <c r="E743" s="28" t="s">
        <v>2735</v>
      </c>
      <c r="F743" s="28" t="s">
        <v>2734</v>
      </c>
      <c r="G743" s="27"/>
      <c r="H743" s="28" t="s">
        <v>2745</v>
      </c>
      <c r="I743" s="27"/>
      <c r="J743" s="28" t="s">
        <v>2748</v>
      </c>
      <c r="K743" s="27"/>
      <c r="L743" s="25"/>
      <c r="M743" s="25"/>
      <c r="N743" s="25"/>
      <c r="O743" s="25"/>
      <c r="P743" s="25"/>
      <c r="Q743" s="25"/>
      <c r="R743" s="25"/>
      <c r="S743" s="25"/>
      <c r="T743" s="25"/>
      <c r="U743" s="31">
        <f t="shared" si="12"/>
        <v>0</v>
      </c>
      <c r="V743" s="25"/>
      <c r="W743" s="33"/>
      <c r="X743" s="33"/>
      <c r="Y743" s="33"/>
      <c r="Z743" s="33"/>
      <c r="AA743" s="33"/>
    </row>
    <row r="744" spans="1:27" s="70" customFormat="1" ht="56.25" x14ac:dyDescent="0.2">
      <c r="A744" s="24">
        <v>740</v>
      </c>
      <c r="B744" s="27" t="s">
        <v>2709</v>
      </c>
      <c r="C744" s="28" t="s">
        <v>2708</v>
      </c>
      <c r="D744" s="71" t="s">
        <v>2736</v>
      </c>
      <c r="E744" s="28" t="s">
        <v>2735</v>
      </c>
      <c r="F744" s="28" t="s">
        <v>2734</v>
      </c>
      <c r="G744" s="27"/>
      <c r="H744" s="28" t="s">
        <v>2745</v>
      </c>
      <c r="I744" s="27"/>
      <c r="J744" s="28" t="s">
        <v>2747</v>
      </c>
      <c r="K744" s="27"/>
      <c r="L744" s="25"/>
      <c r="M744" s="25"/>
      <c r="N744" s="25"/>
      <c r="O744" s="25"/>
      <c r="P744" s="25"/>
      <c r="Q744" s="25"/>
      <c r="R744" s="25"/>
      <c r="S744" s="25"/>
      <c r="T744" s="25"/>
      <c r="U744" s="31">
        <f t="shared" si="12"/>
        <v>0</v>
      </c>
      <c r="V744" s="25"/>
      <c r="W744" s="33"/>
      <c r="X744" s="33"/>
      <c r="Y744" s="33"/>
      <c r="Z744" s="33"/>
      <c r="AA744" s="33"/>
    </row>
    <row r="745" spans="1:27" s="70" customFormat="1" ht="56.25" x14ac:dyDescent="0.2">
      <c r="A745" s="24">
        <v>741</v>
      </c>
      <c r="B745" s="27" t="s">
        <v>2709</v>
      </c>
      <c r="C745" s="28" t="s">
        <v>2708</v>
      </c>
      <c r="D745" s="71" t="s">
        <v>2736</v>
      </c>
      <c r="E745" s="28" t="s">
        <v>2735</v>
      </c>
      <c r="F745" s="28" t="s">
        <v>2734</v>
      </c>
      <c r="G745" s="27"/>
      <c r="H745" s="28" t="s">
        <v>2745</v>
      </c>
      <c r="I745" s="27"/>
      <c r="J745" s="28" t="s">
        <v>2746</v>
      </c>
      <c r="K745" s="27"/>
      <c r="L745" s="25"/>
      <c r="M745" s="25"/>
      <c r="N745" s="25"/>
      <c r="O745" s="25"/>
      <c r="P745" s="25"/>
      <c r="Q745" s="25"/>
      <c r="R745" s="25"/>
      <c r="S745" s="25"/>
      <c r="T745" s="25"/>
      <c r="U745" s="31">
        <f t="shared" si="12"/>
        <v>0</v>
      </c>
      <c r="V745" s="25"/>
      <c r="W745" s="33"/>
      <c r="X745" s="33"/>
      <c r="Y745" s="33"/>
      <c r="Z745" s="33"/>
      <c r="AA745" s="33"/>
    </row>
    <row r="746" spans="1:27" s="70" customFormat="1" ht="56.25" x14ac:dyDescent="0.2">
      <c r="A746" s="24">
        <v>742</v>
      </c>
      <c r="B746" s="27" t="s">
        <v>2709</v>
      </c>
      <c r="C746" s="28" t="s">
        <v>2708</v>
      </c>
      <c r="D746" s="71" t="s">
        <v>2736</v>
      </c>
      <c r="E746" s="28" t="s">
        <v>2735</v>
      </c>
      <c r="F746" s="28" t="s">
        <v>2734</v>
      </c>
      <c r="G746" s="27"/>
      <c r="H746" s="28" t="s">
        <v>2745</v>
      </c>
      <c r="I746" s="27"/>
      <c r="J746" s="28" t="s">
        <v>2744</v>
      </c>
      <c r="K746" s="27"/>
      <c r="L746" s="25"/>
      <c r="M746" s="25"/>
      <c r="N746" s="25"/>
      <c r="O746" s="25"/>
      <c r="P746" s="25"/>
      <c r="Q746" s="25"/>
      <c r="R746" s="25"/>
      <c r="S746" s="25"/>
      <c r="T746" s="25"/>
      <c r="U746" s="31">
        <f t="shared" si="12"/>
        <v>0</v>
      </c>
      <c r="V746" s="25"/>
      <c r="W746" s="33"/>
      <c r="X746" s="33"/>
      <c r="Y746" s="33"/>
      <c r="Z746" s="33"/>
      <c r="AA746" s="33"/>
    </row>
    <row r="747" spans="1:27" s="70" customFormat="1" ht="33.75" x14ac:dyDescent="0.2">
      <c r="A747" s="24">
        <v>743</v>
      </c>
      <c r="B747" s="27" t="s">
        <v>2709</v>
      </c>
      <c r="C747" s="28" t="s">
        <v>2708</v>
      </c>
      <c r="D747" s="71" t="s">
        <v>2736</v>
      </c>
      <c r="E747" s="28" t="s">
        <v>2735</v>
      </c>
      <c r="F747" s="28" t="s">
        <v>2734</v>
      </c>
      <c r="G747" s="27"/>
      <c r="H747" s="28" t="s">
        <v>2738</v>
      </c>
      <c r="I747" s="27"/>
      <c r="J747" s="28" t="s">
        <v>2743</v>
      </c>
      <c r="K747" s="27"/>
      <c r="L747" s="25"/>
      <c r="M747" s="25"/>
      <c r="N747" s="25"/>
      <c r="O747" s="25"/>
      <c r="P747" s="25"/>
      <c r="Q747" s="25"/>
      <c r="R747" s="25"/>
      <c r="S747" s="25"/>
      <c r="T747" s="25"/>
      <c r="U747" s="31">
        <f t="shared" si="12"/>
        <v>0</v>
      </c>
      <c r="V747" s="25"/>
      <c r="W747" s="33"/>
      <c r="X747" s="33"/>
      <c r="Y747" s="33"/>
      <c r="Z747" s="33"/>
      <c r="AA747" s="33"/>
    </row>
    <row r="748" spans="1:27" s="70" customFormat="1" ht="33.75" x14ac:dyDescent="0.2">
      <c r="A748" s="24">
        <v>744</v>
      </c>
      <c r="B748" s="27" t="s">
        <v>2709</v>
      </c>
      <c r="C748" s="28" t="s">
        <v>2708</v>
      </c>
      <c r="D748" s="71" t="s">
        <v>2736</v>
      </c>
      <c r="E748" s="28" t="s">
        <v>2735</v>
      </c>
      <c r="F748" s="28" t="s">
        <v>2734</v>
      </c>
      <c r="G748" s="27"/>
      <c r="H748" s="28" t="s">
        <v>2738</v>
      </c>
      <c r="I748" s="27"/>
      <c r="J748" s="28" t="s">
        <v>2742</v>
      </c>
      <c r="K748" s="27"/>
      <c r="L748" s="25"/>
      <c r="M748" s="25"/>
      <c r="N748" s="25"/>
      <c r="O748" s="25"/>
      <c r="P748" s="25"/>
      <c r="Q748" s="25"/>
      <c r="R748" s="25"/>
      <c r="S748" s="25"/>
      <c r="T748" s="25"/>
      <c r="U748" s="31">
        <f t="shared" si="12"/>
        <v>0</v>
      </c>
      <c r="V748" s="25"/>
      <c r="W748" s="33"/>
      <c r="X748" s="33"/>
      <c r="Y748" s="33"/>
      <c r="Z748" s="33"/>
      <c r="AA748" s="33"/>
    </row>
    <row r="749" spans="1:27" s="70" customFormat="1" ht="33.75" x14ac:dyDescent="0.2">
      <c r="A749" s="24">
        <v>745</v>
      </c>
      <c r="B749" s="27" t="s">
        <v>2709</v>
      </c>
      <c r="C749" s="28" t="s">
        <v>2708</v>
      </c>
      <c r="D749" s="71" t="s">
        <v>2736</v>
      </c>
      <c r="E749" s="28" t="s">
        <v>2735</v>
      </c>
      <c r="F749" s="28" t="s">
        <v>2734</v>
      </c>
      <c r="G749" s="27"/>
      <c r="H749" s="28" t="s">
        <v>2738</v>
      </c>
      <c r="I749" s="27"/>
      <c r="J749" s="28" t="s">
        <v>2741</v>
      </c>
      <c r="K749" s="27"/>
      <c r="L749" s="25"/>
      <c r="M749" s="25"/>
      <c r="N749" s="25"/>
      <c r="O749" s="25"/>
      <c r="P749" s="25"/>
      <c r="Q749" s="25"/>
      <c r="R749" s="25"/>
      <c r="S749" s="25"/>
      <c r="T749" s="25"/>
      <c r="U749" s="31">
        <f t="shared" si="12"/>
        <v>0</v>
      </c>
      <c r="V749" s="25"/>
      <c r="W749" s="33"/>
      <c r="X749" s="33"/>
      <c r="Y749" s="33"/>
      <c r="Z749" s="33"/>
      <c r="AA749" s="33"/>
    </row>
    <row r="750" spans="1:27" s="70" customFormat="1" ht="33.75" x14ac:dyDescent="0.2">
      <c r="A750" s="24">
        <v>746</v>
      </c>
      <c r="B750" s="27" t="s">
        <v>2709</v>
      </c>
      <c r="C750" s="28" t="s">
        <v>2708</v>
      </c>
      <c r="D750" s="71" t="s">
        <v>2736</v>
      </c>
      <c r="E750" s="28" t="s">
        <v>2735</v>
      </c>
      <c r="F750" s="28" t="s">
        <v>2734</v>
      </c>
      <c r="G750" s="27"/>
      <c r="H750" s="28" t="s">
        <v>2738</v>
      </c>
      <c r="I750" s="27"/>
      <c r="J750" s="28" t="s">
        <v>2740</v>
      </c>
      <c r="K750" s="27"/>
      <c r="L750" s="25"/>
      <c r="M750" s="25"/>
      <c r="N750" s="25"/>
      <c r="O750" s="25"/>
      <c r="P750" s="25"/>
      <c r="Q750" s="25"/>
      <c r="R750" s="25"/>
      <c r="S750" s="25"/>
      <c r="T750" s="25"/>
      <c r="U750" s="31">
        <f t="shared" si="12"/>
        <v>0</v>
      </c>
      <c r="V750" s="25"/>
      <c r="W750" s="33"/>
      <c r="X750" s="33"/>
      <c r="Y750" s="33"/>
      <c r="Z750" s="33"/>
      <c r="AA750" s="33"/>
    </row>
    <row r="751" spans="1:27" s="70" customFormat="1" ht="33.75" x14ac:dyDescent="0.2">
      <c r="A751" s="24">
        <v>747</v>
      </c>
      <c r="B751" s="27" t="s">
        <v>2709</v>
      </c>
      <c r="C751" s="28" t="s">
        <v>2708</v>
      </c>
      <c r="D751" s="71" t="s">
        <v>2736</v>
      </c>
      <c r="E751" s="28" t="s">
        <v>2735</v>
      </c>
      <c r="F751" s="28" t="s">
        <v>2734</v>
      </c>
      <c r="G751" s="27"/>
      <c r="H751" s="28" t="s">
        <v>2738</v>
      </c>
      <c r="I751" s="27"/>
      <c r="J751" s="28" t="s">
        <v>2739</v>
      </c>
      <c r="K751" s="27"/>
      <c r="L751" s="25"/>
      <c r="M751" s="25"/>
      <c r="N751" s="25"/>
      <c r="O751" s="25"/>
      <c r="P751" s="25"/>
      <c r="Q751" s="25"/>
      <c r="R751" s="25"/>
      <c r="S751" s="25"/>
      <c r="T751" s="25"/>
      <c r="U751" s="31">
        <f t="shared" si="12"/>
        <v>0</v>
      </c>
      <c r="V751" s="25"/>
      <c r="W751" s="33"/>
      <c r="X751" s="33"/>
      <c r="Y751" s="33"/>
      <c r="Z751" s="33"/>
      <c r="AA751" s="33"/>
    </row>
    <row r="752" spans="1:27" s="70" customFormat="1" ht="67.5" x14ac:dyDescent="0.2">
      <c r="A752" s="24">
        <v>748</v>
      </c>
      <c r="B752" s="27" t="s">
        <v>2709</v>
      </c>
      <c r="C752" s="28" t="s">
        <v>2708</v>
      </c>
      <c r="D752" s="71" t="s">
        <v>2736</v>
      </c>
      <c r="E752" s="28" t="s">
        <v>2735</v>
      </c>
      <c r="F752" s="28" t="s">
        <v>2734</v>
      </c>
      <c r="G752" s="27"/>
      <c r="H752" s="28" t="s">
        <v>2738</v>
      </c>
      <c r="I752" s="27"/>
      <c r="J752" s="28" t="s">
        <v>2737</v>
      </c>
      <c r="K752" s="27"/>
      <c r="L752" s="25"/>
      <c r="M752" s="25"/>
      <c r="N752" s="25"/>
      <c r="O752" s="25"/>
      <c r="P752" s="25"/>
      <c r="Q752" s="25"/>
      <c r="R752" s="25"/>
      <c r="S752" s="25"/>
      <c r="T752" s="25"/>
      <c r="U752" s="31">
        <f t="shared" si="12"/>
        <v>0</v>
      </c>
      <c r="V752" s="25"/>
      <c r="W752" s="33"/>
      <c r="X752" s="33"/>
      <c r="Y752" s="33"/>
      <c r="Z752" s="33"/>
      <c r="AA752" s="33"/>
    </row>
    <row r="753" spans="1:27" s="70" customFormat="1" ht="22.5" x14ac:dyDescent="0.2">
      <c r="A753" s="24">
        <v>749</v>
      </c>
      <c r="B753" s="27" t="s">
        <v>2709</v>
      </c>
      <c r="C753" s="28" t="s">
        <v>2708</v>
      </c>
      <c r="D753" s="71" t="s">
        <v>2736</v>
      </c>
      <c r="E753" s="28" t="s">
        <v>2735</v>
      </c>
      <c r="F753" s="28" t="s">
        <v>2734</v>
      </c>
      <c r="G753" s="27"/>
      <c r="H753" s="28" t="s">
        <v>2733</v>
      </c>
      <c r="I753" s="27"/>
      <c r="J753" s="28" t="s">
        <v>2733</v>
      </c>
      <c r="K753" s="27"/>
      <c r="L753" s="25"/>
      <c r="M753" s="25"/>
      <c r="N753" s="25"/>
      <c r="O753" s="25"/>
      <c r="P753" s="25"/>
      <c r="Q753" s="25"/>
      <c r="R753" s="25"/>
      <c r="S753" s="25"/>
      <c r="T753" s="25"/>
      <c r="U753" s="31">
        <f t="shared" si="12"/>
        <v>0</v>
      </c>
      <c r="V753" s="25"/>
      <c r="W753" s="33"/>
      <c r="X753" s="33"/>
      <c r="Y753" s="33"/>
      <c r="Z753" s="33"/>
      <c r="AA753" s="33"/>
    </row>
    <row r="754" spans="1:27" s="70" customFormat="1" ht="45" x14ac:dyDescent="0.2">
      <c r="A754" s="24">
        <v>750</v>
      </c>
      <c r="B754" s="27" t="s">
        <v>2709</v>
      </c>
      <c r="C754" s="28" t="s">
        <v>2708</v>
      </c>
      <c r="D754" s="71" t="s">
        <v>2707</v>
      </c>
      <c r="E754" s="28" t="s">
        <v>2706</v>
      </c>
      <c r="F754" s="28" t="s">
        <v>2705</v>
      </c>
      <c r="G754" s="27"/>
      <c r="H754" s="28" t="s">
        <v>2725</v>
      </c>
      <c r="I754" s="27"/>
      <c r="J754" s="28" t="s">
        <v>2732</v>
      </c>
      <c r="K754" s="27"/>
      <c r="L754" s="25" t="s">
        <v>2731</v>
      </c>
      <c r="M754" s="25" t="s">
        <v>363</v>
      </c>
      <c r="N754" s="25"/>
      <c r="O754" s="25">
        <v>52</v>
      </c>
      <c r="P754" s="25">
        <v>140</v>
      </c>
      <c r="Q754" s="25">
        <v>40</v>
      </c>
      <c r="R754" s="25"/>
      <c r="S754" s="25">
        <v>10</v>
      </c>
      <c r="T754" s="25">
        <v>10</v>
      </c>
      <c r="U754" s="31">
        <f t="shared" si="12"/>
        <v>252</v>
      </c>
      <c r="V754" s="25"/>
      <c r="W754" s="33" t="s">
        <v>22</v>
      </c>
      <c r="X754" s="33"/>
      <c r="Y754" s="33"/>
      <c r="Z754" s="33" t="s">
        <v>2730</v>
      </c>
      <c r="AA754" s="33"/>
    </row>
    <row r="755" spans="1:27" s="70" customFormat="1" ht="45" x14ac:dyDescent="0.2">
      <c r="A755" s="24">
        <v>751</v>
      </c>
      <c r="B755" s="27" t="s">
        <v>2709</v>
      </c>
      <c r="C755" s="28" t="s">
        <v>2708</v>
      </c>
      <c r="D755" s="71" t="s">
        <v>2707</v>
      </c>
      <c r="E755" s="28" t="s">
        <v>2706</v>
      </c>
      <c r="F755" s="28" t="s">
        <v>2705</v>
      </c>
      <c r="G755" s="27"/>
      <c r="H755" s="28" t="s">
        <v>2725</v>
      </c>
      <c r="I755" s="27"/>
      <c r="J755" s="28" t="s">
        <v>2729</v>
      </c>
      <c r="K755" s="27"/>
      <c r="L755" s="25"/>
      <c r="M755" s="25"/>
      <c r="N755" s="25"/>
      <c r="O755" s="25"/>
      <c r="P755" s="25"/>
      <c r="Q755" s="25"/>
      <c r="R755" s="25"/>
      <c r="S755" s="25"/>
      <c r="T755" s="25"/>
      <c r="U755" s="31">
        <f t="shared" si="12"/>
        <v>0</v>
      </c>
      <c r="V755" s="25"/>
      <c r="W755" s="33"/>
      <c r="X755" s="33"/>
      <c r="Y755" s="33"/>
      <c r="Z755" s="33"/>
      <c r="AA755" s="33"/>
    </row>
    <row r="756" spans="1:27" s="70" customFormat="1" ht="56.25" x14ac:dyDescent="0.2">
      <c r="A756" s="24">
        <v>752</v>
      </c>
      <c r="B756" s="27" t="s">
        <v>2709</v>
      </c>
      <c r="C756" s="28" t="s">
        <v>2708</v>
      </c>
      <c r="D756" s="71" t="s">
        <v>2707</v>
      </c>
      <c r="E756" s="28" t="s">
        <v>2706</v>
      </c>
      <c r="F756" s="28" t="s">
        <v>2705</v>
      </c>
      <c r="G756" s="27"/>
      <c r="H756" s="28" t="s">
        <v>2725</v>
      </c>
      <c r="I756" s="27"/>
      <c r="J756" s="28" t="s">
        <v>2728</v>
      </c>
      <c r="K756" s="27"/>
      <c r="L756" s="25"/>
      <c r="M756" s="25"/>
      <c r="N756" s="25"/>
      <c r="O756" s="25"/>
      <c r="P756" s="25"/>
      <c r="Q756" s="25"/>
      <c r="R756" s="25"/>
      <c r="S756" s="25"/>
      <c r="T756" s="25"/>
      <c r="U756" s="31">
        <f t="shared" si="12"/>
        <v>0</v>
      </c>
      <c r="V756" s="25"/>
      <c r="W756" s="33"/>
      <c r="X756" s="33"/>
      <c r="Y756" s="33"/>
      <c r="Z756" s="33"/>
      <c r="AA756" s="33"/>
    </row>
    <row r="757" spans="1:27" s="70" customFormat="1" ht="56.25" x14ac:dyDescent="0.2">
      <c r="A757" s="24">
        <v>753</v>
      </c>
      <c r="B757" s="27" t="s">
        <v>2709</v>
      </c>
      <c r="C757" s="28" t="s">
        <v>2708</v>
      </c>
      <c r="D757" s="71" t="s">
        <v>2707</v>
      </c>
      <c r="E757" s="28" t="s">
        <v>2706</v>
      </c>
      <c r="F757" s="28" t="s">
        <v>2705</v>
      </c>
      <c r="G757" s="27"/>
      <c r="H757" s="28" t="s">
        <v>2725</v>
      </c>
      <c r="I757" s="27"/>
      <c r="J757" s="28" t="s">
        <v>2727</v>
      </c>
      <c r="K757" s="27"/>
      <c r="L757" s="25"/>
      <c r="M757" s="25"/>
      <c r="N757" s="25"/>
      <c r="O757" s="25"/>
      <c r="P757" s="25"/>
      <c r="Q757" s="25"/>
      <c r="R757" s="25"/>
      <c r="S757" s="25"/>
      <c r="T757" s="25"/>
      <c r="U757" s="31">
        <f t="shared" si="12"/>
        <v>0</v>
      </c>
      <c r="V757" s="25"/>
      <c r="W757" s="33"/>
      <c r="X757" s="33"/>
      <c r="Y757" s="33"/>
      <c r="Z757" s="33"/>
      <c r="AA757" s="33"/>
    </row>
    <row r="758" spans="1:27" s="70" customFormat="1" ht="56.25" x14ac:dyDescent="0.2">
      <c r="A758" s="24">
        <v>754</v>
      </c>
      <c r="B758" s="27" t="s">
        <v>2709</v>
      </c>
      <c r="C758" s="28" t="s">
        <v>2708</v>
      </c>
      <c r="D758" s="71" t="s">
        <v>2707</v>
      </c>
      <c r="E758" s="28" t="s">
        <v>2706</v>
      </c>
      <c r="F758" s="28" t="s">
        <v>2705</v>
      </c>
      <c r="G758" s="27"/>
      <c r="H758" s="28" t="s">
        <v>2725</v>
      </c>
      <c r="I758" s="27"/>
      <c r="J758" s="28" t="s">
        <v>2726</v>
      </c>
      <c r="K758" s="27"/>
      <c r="L758" s="25"/>
      <c r="M758" s="25"/>
      <c r="N758" s="25"/>
      <c r="O758" s="25"/>
      <c r="P758" s="25"/>
      <c r="Q758" s="25"/>
      <c r="R758" s="25"/>
      <c r="S758" s="25"/>
      <c r="T758" s="25"/>
      <c r="U758" s="31">
        <f t="shared" si="12"/>
        <v>0</v>
      </c>
      <c r="V758" s="25"/>
      <c r="W758" s="33"/>
      <c r="X758" s="33"/>
      <c r="Y758" s="33"/>
      <c r="Z758" s="33"/>
      <c r="AA758" s="33"/>
    </row>
    <row r="759" spans="1:27" s="70" customFormat="1" ht="33.75" x14ac:dyDescent="0.2">
      <c r="A759" s="24">
        <v>755</v>
      </c>
      <c r="B759" s="27" t="s">
        <v>2709</v>
      </c>
      <c r="C759" s="28" t="s">
        <v>2708</v>
      </c>
      <c r="D759" s="71" t="s">
        <v>2707</v>
      </c>
      <c r="E759" s="28" t="s">
        <v>2706</v>
      </c>
      <c r="F759" s="28" t="s">
        <v>2705</v>
      </c>
      <c r="G759" s="27"/>
      <c r="H759" s="28" t="s">
        <v>2725</v>
      </c>
      <c r="I759" s="27"/>
      <c r="J759" s="28" t="s">
        <v>2724</v>
      </c>
      <c r="K759" s="27"/>
      <c r="L759" s="25"/>
      <c r="M759" s="25"/>
      <c r="N759" s="25"/>
      <c r="O759" s="25"/>
      <c r="P759" s="25"/>
      <c r="Q759" s="25"/>
      <c r="R759" s="25"/>
      <c r="S759" s="25"/>
      <c r="T759" s="25"/>
      <c r="U759" s="31">
        <f t="shared" si="12"/>
        <v>0</v>
      </c>
      <c r="V759" s="25"/>
      <c r="W759" s="33"/>
      <c r="X759" s="33"/>
      <c r="Y759" s="33"/>
      <c r="Z759" s="33"/>
      <c r="AA759" s="33"/>
    </row>
    <row r="760" spans="1:27" s="70" customFormat="1" ht="45" x14ac:dyDescent="0.2">
      <c r="A760" s="24">
        <v>756</v>
      </c>
      <c r="B760" s="27" t="s">
        <v>2709</v>
      </c>
      <c r="C760" s="28" t="s">
        <v>2708</v>
      </c>
      <c r="D760" s="71" t="s">
        <v>2707</v>
      </c>
      <c r="E760" s="28" t="s">
        <v>2706</v>
      </c>
      <c r="F760" s="28" t="s">
        <v>2705</v>
      </c>
      <c r="G760" s="27"/>
      <c r="H760" s="28" t="s">
        <v>2723</v>
      </c>
      <c r="I760" s="27"/>
      <c r="J760" s="28" t="s">
        <v>2722</v>
      </c>
      <c r="K760" s="27"/>
      <c r="L760" s="25" t="s">
        <v>2721</v>
      </c>
      <c r="M760" s="25" t="s">
        <v>199</v>
      </c>
      <c r="N760" s="25"/>
      <c r="O760" s="25">
        <v>3.75</v>
      </c>
      <c r="P760" s="25">
        <v>2.625</v>
      </c>
      <c r="Q760" s="25">
        <v>3</v>
      </c>
      <c r="R760" s="25"/>
      <c r="S760" s="25">
        <v>1.5</v>
      </c>
      <c r="T760" s="25">
        <v>1.125</v>
      </c>
      <c r="U760" s="31">
        <f t="shared" si="12"/>
        <v>12</v>
      </c>
      <c r="V760" s="25"/>
      <c r="W760" s="33" t="s">
        <v>2720</v>
      </c>
      <c r="X760" s="33"/>
      <c r="Y760" s="33"/>
      <c r="Z760" s="33" t="s">
        <v>2702</v>
      </c>
      <c r="AA760" s="33"/>
    </row>
    <row r="761" spans="1:27" s="70" customFormat="1" ht="33.75" x14ac:dyDescent="0.2">
      <c r="A761" s="24">
        <v>757</v>
      </c>
      <c r="B761" s="27" t="s">
        <v>2709</v>
      </c>
      <c r="C761" s="28" t="s">
        <v>2708</v>
      </c>
      <c r="D761" s="71" t="s">
        <v>2707</v>
      </c>
      <c r="E761" s="28" t="s">
        <v>2706</v>
      </c>
      <c r="F761" s="28" t="s">
        <v>2705</v>
      </c>
      <c r="G761" s="27"/>
      <c r="H761" s="28" t="s">
        <v>2712</v>
      </c>
      <c r="I761" s="27"/>
      <c r="J761" s="28" t="s">
        <v>2719</v>
      </c>
      <c r="K761" s="27"/>
      <c r="L761" s="25"/>
      <c r="M761" s="25"/>
      <c r="N761" s="25"/>
      <c r="O761" s="25"/>
      <c r="P761" s="25"/>
      <c r="Q761" s="25"/>
      <c r="R761" s="25"/>
      <c r="S761" s="25"/>
      <c r="T761" s="25"/>
      <c r="U761" s="31">
        <f t="shared" si="12"/>
        <v>0</v>
      </c>
      <c r="V761" s="25"/>
      <c r="W761" s="33"/>
      <c r="X761" s="33"/>
      <c r="Y761" s="33"/>
      <c r="Z761" s="33"/>
      <c r="AA761" s="33"/>
    </row>
    <row r="762" spans="1:27" s="70" customFormat="1" ht="33.75" x14ac:dyDescent="0.2">
      <c r="A762" s="24">
        <v>758</v>
      </c>
      <c r="B762" s="27" t="s">
        <v>2709</v>
      </c>
      <c r="C762" s="28" t="s">
        <v>2708</v>
      </c>
      <c r="D762" s="71" t="s">
        <v>2707</v>
      </c>
      <c r="E762" s="28" t="s">
        <v>2706</v>
      </c>
      <c r="F762" s="28" t="s">
        <v>2705</v>
      </c>
      <c r="G762" s="27"/>
      <c r="H762" s="28" t="s">
        <v>2712</v>
      </c>
      <c r="I762" s="27"/>
      <c r="J762" s="28" t="s">
        <v>2717</v>
      </c>
      <c r="K762" s="27"/>
      <c r="L762" s="25" t="s">
        <v>2718</v>
      </c>
      <c r="M762" s="25" t="s">
        <v>199</v>
      </c>
      <c r="N762" s="25"/>
      <c r="O762" s="25">
        <v>5</v>
      </c>
      <c r="P762" s="25">
        <v>3.5</v>
      </c>
      <c r="Q762" s="25">
        <v>4</v>
      </c>
      <c r="R762" s="25">
        <v>0</v>
      </c>
      <c r="S762" s="25">
        <v>2</v>
      </c>
      <c r="T762" s="25">
        <v>1.5</v>
      </c>
      <c r="U762" s="31">
        <f t="shared" si="12"/>
        <v>16</v>
      </c>
      <c r="V762" s="25"/>
      <c r="W762" s="33" t="s">
        <v>198</v>
      </c>
      <c r="X762" s="33"/>
      <c r="Y762" s="33"/>
      <c r="Z762" s="33" t="s">
        <v>2702</v>
      </c>
      <c r="AA762" s="33"/>
    </row>
    <row r="763" spans="1:27" s="70" customFormat="1" ht="33.75" x14ac:dyDescent="0.2">
      <c r="A763" s="24">
        <v>759</v>
      </c>
      <c r="B763" s="27" t="s">
        <v>2709</v>
      </c>
      <c r="C763" s="28" t="s">
        <v>2708</v>
      </c>
      <c r="D763" s="71" t="s">
        <v>2707</v>
      </c>
      <c r="E763" s="28" t="s">
        <v>2706</v>
      </c>
      <c r="F763" s="28" t="s">
        <v>2705</v>
      </c>
      <c r="G763" s="27"/>
      <c r="H763" s="28" t="s">
        <v>2712</v>
      </c>
      <c r="I763" s="27"/>
      <c r="J763" s="28" t="s">
        <v>2717</v>
      </c>
      <c r="K763" s="27"/>
      <c r="L763" s="25" t="s">
        <v>2716</v>
      </c>
      <c r="M763" s="25" t="s">
        <v>199</v>
      </c>
      <c r="N763" s="25"/>
      <c r="O763" s="25">
        <v>3.75</v>
      </c>
      <c r="P763" s="25">
        <v>2.625</v>
      </c>
      <c r="Q763" s="25">
        <v>3</v>
      </c>
      <c r="R763" s="25">
        <v>0</v>
      </c>
      <c r="S763" s="25">
        <v>1.5</v>
      </c>
      <c r="T763" s="25">
        <v>1.125</v>
      </c>
      <c r="U763" s="31">
        <f t="shared" si="12"/>
        <v>12</v>
      </c>
      <c r="V763" s="25"/>
      <c r="W763" s="33" t="s">
        <v>198</v>
      </c>
      <c r="X763" s="33"/>
      <c r="Y763" s="33"/>
      <c r="Z763" s="33" t="s">
        <v>2702</v>
      </c>
      <c r="AA763" s="33"/>
    </row>
    <row r="764" spans="1:27" s="70" customFormat="1" ht="45" x14ac:dyDescent="0.2">
      <c r="A764" s="24">
        <v>760</v>
      </c>
      <c r="B764" s="27" t="s">
        <v>2709</v>
      </c>
      <c r="C764" s="28" t="s">
        <v>2708</v>
      </c>
      <c r="D764" s="71" t="s">
        <v>2707</v>
      </c>
      <c r="E764" s="28" t="s">
        <v>2706</v>
      </c>
      <c r="F764" s="28" t="s">
        <v>2705</v>
      </c>
      <c r="G764" s="27"/>
      <c r="H764" s="28" t="s">
        <v>2712</v>
      </c>
      <c r="I764" s="27"/>
      <c r="J764" s="28" t="s">
        <v>2715</v>
      </c>
      <c r="K764" s="27"/>
      <c r="L764" s="25"/>
      <c r="M764" s="25"/>
      <c r="N764" s="25"/>
      <c r="O764" s="25"/>
      <c r="P764" s="25"/>
      <c r="Q764" s="25"/>
      <c r="R764" s="25"/>
      <c r="S764" s="25"/>
      <c r="T764" s="25"/>
      <c r="U764" s="31">
        <f t="shared" si="12"/>
        <v>0</v>
      </c>
      <c r="V764" s="25"/>
      <c r="W764" s="33"/>
      <c r="X764" s="33"/>
      <c r="Y764" s="33"/>
      <c r="Z764" s="33"/>
      <c r="AA764" s="33"/>
    </row>
    <row r="765" spans="1:27" s="70" customFormat="1" ht="78.75" x14ac:dyDescent="0.2">
      <c r="A765" s="24">
        <v>761</v>
      </c>
      <c r="B765" s="27" t="s">
        <v>2709</v>
      </c>
      <c r="C765" s="28" t="s">
        <v>2708</v>
      </c>
      <c r="D765" s="71" t="s">
        <v>2707</v>
      </c>
      <c r="E765" s="28" t="s">
        <v>2706</v>
      </c>
      <c r="F765" s="28" t="s">
        <v>2705</v>
      </c>
      <c r="G765" s="27"/>
      <c r="H765" s="28" t="s">
        <v>2712</v>
      </c>
      <c r="I765" s="27"/>
      <c r="J765" s="28" t="s">
        <v>2714</v>
      </c>
      <c r="K765" s="27"/>
      <c r="L765" s="25"/>
      <c r="M765" s="25"/>
      <c r="N765" s="25"/>
      <c r="O765" s="25"/>
      <c r="P765" s="25"/>
      <c r="Q765" s="25"/>
      <c r="R765" s="25"/>
      <c r="S765" s="25"/>
      <c r="T765" s="25"/>
      <c r="U765" s="31">
        <f t="shared" si="12"/>
        <v>0</v>
      </c>
      <c r="V765" s="25"/>
      <c r="W765" s="33"/>
      <c r="X765" s="33"/>
      <c r="Y765" s="33"/>
      <c r="Z765" s="33"/>
      <c r="AA765" s="33"/>
    </row>
    <row r="766" spans="1:27" s="70" customFormat="1" ht="33.75" x14ac:dyDescent="0.2">
      <c r="A766" s="24">
        <v>762</v>
      </c>
      <c r="B766" s="27" t="s">
        <v>2709</v>
      </c>
      <c r="C766" s="28" t="s">
        <v>2708</v>
      </c>
      <c r="D766" s="71" t="s">
        <v>2707</v>
      </c>
      <c r="E766" s="28" t="s">
        <v>2706</v>
      </c>
      <c r="F766" s="28" t="s">
        <v>2705</v>
      </c>
      <c r="G766" s="27"/>
      <c r="H766" s="28" t="s">
        <v>2712</v>
      </c>
      <c r="I766" s="27"/>
      <c r="J766" s="28" t="s">
        <v>2713</v>
      </c>
      <c r="K766" s="27"/>
      <c r="L766" s="25"/>
      <c r="M766" s="25"/>
      <c r="N766" s="25"/>
      <c r="O766" s="25"/>
      <c r="P766" s="25"/>
      <c r="Q766" s="25"/>
      <c r="R766" s="25"/>
      <c r="S766" s="25"/>
      <c r="T766" s="25"/>
      <c r="U766" s="31">
        <f t="shared" si="12"/>
        <v>0</v>
      </c>
      <c r="V766" s="25"/>
      <c r="W766" s="33"/>
      <c r="X766" s="33"/>
      <c r="Y766" s="33"/>
      <c r="Z766" s="33"/>
      <c r="AA766" s="33"/>
    </row>
    <row r="767" spans="1:27" s="70" customFormat="1" ht="33.75" x14ac:dyDescent="0.2">
      <c r="A767" s="24">
        <v>763</v>
      </c>
      <c r="B767" s="27" t="s">
        <v>2709</v>
      </c>
      <c r="C767" s="28" t="s">
        <v>2708</v>
      </c>
      <c r="D767" s="71" t="s">
        <v>2707</v>
      </c>
      <c r="E767" s="28" t="s">
        <v>2706</v>
      </c>
      <c r="F767" s="28" t="s">
        <v>2705</v>
      </c>
      <c r="G767" s="27"/>
      <c r="H767" s="28" t="s">
        <v>2712</v>
      </c>
      <c r="I767" s="27"/>
      <c r="J767" s="28" t="s">
        <v>2711</v>
      </c>
      <c r="K767" s="27"/>
      <c r="L767" s="25"/>
      <c r="M767" s="25"/>
      <c r="N767" s="25"/>
      <c r="O767" s="25"/>
      <c r="P767" s="25"/>
      <c r="Q767" s="25"/>
      <c r="R767" s="25"/>
      <c r="S767" s="25"/>
      <c r="T767" s="25"/>
      <c r="U767" s="31">
        <f t="shared" si="12"/>
        <v>0</v>
      </c>
      <c r="V767" s="25"/>
      <c r="W767" s="33"/>
      <c r="X767" s="33"/>
      <c r="Y767" s="33"/>
      <c r="Z767" s="33"/>
      <c r="AA767" s="33"/>
    </row>
    <row r="768" spans="1:27" s="70" customFormat="1" ht="33.75" x14ac:dyDescent="0.2">
      <c r="A768" s="24">
        <v>764</v>
      </c>
      <c r="B768" s="27" t="s">
        <v>2709</v>
      </c>
      <c r="C768" s="28" t="s">
        <v>2708</v>
      </c>
      <c r="D768" s="71" t="s">
        <v>2707</v>
      </c>
      <c r="E768" s="28" t="s">
        <v>2706</v>
      </c>
      <c r="F768" s="28" t="s">
        <v>2705</v>
      </c>
      <c r="G768" s="27"/>
      <c r="H768" s="28" t="s">
        <v>2704</v>
      </c>
      <c r="I768" s="27"/>
      <c r="J768" s="28" t="s">
        <v>2704</v>
      </c>
      <c r="K768" s="27"/>
      <c r="L768" s="25" t="s">
        <v>2710</v>
      </c>
      <c r="M768" s="25" t="s">
        <v>209</v>
      </c>
      <c r="N768" s="25"/>
      <c r="O768" s="25"/>
      <c r="P768" s="25">
        <v>36</v>
      </c>
      <c r="Q768" s="25">
        <v>12</v>
      </c>
      <c r="R768" s="25"/>
      <c r="S768" s="25">
        <v>8</v>
      </c>
      <c r="T768" s="25">
        <v>4</v>
      </c>
      <c r="U768" s="31">
        <f t="shared" si="12"/>
        <v>60</v>
      </c>
      <c r="V768" s="25"/>
      <c r="W768" s="33" t="s">
        <v>1438</v>
      </c>
      <c r="X768" s="33"/>
      <c r="Y768" s="33"/>
      <c r="Z768" s="33"/>
      <c r="AA768" s="33"/>
    </row>
    <row r="769" spans="1:28" s="70" customFormat="1" ht="33.75" x14ac:dyDescent="0.2">
      <c r="A769" s="24">
        <v>765</v>
      </c>
      <c r="B769" s="27" t="s">
        <v>2709</v>
      </c>
      <c r="C769" s="28" t="s">
        <v>2708</v>
      </c>
      <c r="D769" s="71" t="s">
        <v>2707</v>
      </c>
      <c r="E769" s="28" t="s">
        <v>2706</v>
      </c>
      <c r="F769" s="28" t="s">
        <v>2705</v>
      </c>
      <c r="G769" s="27"/>
      <c r="H769" s="28" t="s">
        <v>2704</v>
      </c>
      <c r="I769" s="27"/>
      <c r="J769" s="28" t="s">
        <v>2704</v>
      </c>
      <c r="K769" s="27"/>
      <c r="L769" s="25" t="s">
        <v>2703</v>
      </c>
      <c r="M769" s="25" t="s">
        <v>1968</v>
      </c>
      <c r="N769" s="25"/>
      <c r="O769" s="25">
        <v>10</v>
      </c>
      <c r="P769" s="25">
        <v>7</v>
      </c>
      <c r="Q769" s="25">
        <v>8</v>
      </c>
      <c r="R769" s="25">
        <v>0</v>
      </c>
      <c r="S769" s="25">
        <v>4</v>
      </c>
      <c r="T769" s="25">
        <v>3</v>
      </c>
      <c r="U769" s="31">
        <f t="shared" si="12"/>
        <v>32</v>
      </c>
      <c r="V769" s="25"/>
      <c r="W769" s="33" t="s">
        <v>22</v>
      </c>
      <c r="X769" s="33"/>
      <c r="Y769" s="33"/>
      <c r="Z769" s="33" t="s">
        <v>2702</v>
      </c>
      <c r="AA769" s="33"/>
    </row>
    <row r="770" spans="1:28" s="70" customFormat="1" ht="56.25" x14ac:dyDescent="0.2">
      <c r="A770" s="24">
        <v>766</v>
      </c>
      <c r="B770" s="27" t="s">
        <v>2376</v>
      </c>
      <c r="C770" s="28" t="s">
        <v>2375</v>
      </c>
      <c r="D770" s="71" t="s">
        <v>2647</v>
      </c>
      <c r="E770" s="28" t="s">
        <v>2646</v>
      </c>
      <c r="F770" s="28" t="s">
        <v>1116</v>
      </c>
      <c r="G770" s="27"/>
      <c r="H770" s="28" t="s">
        <v>2700</v>
      </c>
      <c r="I770" s="27"/>
      <c r="J770" s="28" t="s">
        <v>2390</v>
      </c>
      <c r="K770" s="27"/>
      <c r="L770" s="25" t="s">
        <v>2701</v>
      </c>
      <c r="M770" s="25" t="s">
        <v>190</v>
      </c>
      <c r="N770" s="25">
        <v>12</v>
      </c>
      <c r="O770" s="25"/>
      <c r="P770" s="25">
        <v>16</v>
      </c>
      <c r="Q770" s="25">
        <v>8</v>
      </c>
      <c r="R770" s="25">
        <v>6</v>
      </c>
      <c r="S770" s="25">
        <v>4</v>
      </c>
      <c r="T770" s="25">
        <v>2</v>
      </c>
      <c r="U770" s="31">
        <f t="shared" si="12"/>
        <v>36</v>
      </c>
      <c r="V770" s="25"/>
      <c r="W770" s="33" t="s">
        <v>22</v>
      </c>
      <c r="X770" s="33"/>
      <c r="Y770" s="33"/>
      <c r="Z770" s="33" t="s">
        <v>158</v>
      </c>
      <c r="AA770" s="33"/>
    </row>
    <row r="771" spans="1:28" s="70" customFormat="1" ht="56.25" x14ac:dyDescent="0.2">
      <c r="A771" s="24">
        <v>767</v>
      </c>
      <c r="B771" s="27" t="s">
        <v>2376</v>
      </c>
      <c r="C771" s="28" t="s">
        <v>2375</v>
      </c>
      <c r="D771" s="71" t="s">
        <v>2647</v>
      </c>
      <c r="E771" s="28" t="s">
        <v>2646</v>
      </c>
      <c r="F771" s="28" t="s">
        <v>1116</v>
      </c>
      <c r="G771" s="27"/>
      <c r="H771" s="28" t="s">
        <v>2700</v>
      </c>
      <c r="I771" s="27"/>
      <c r="J771" s="28" t="s">
        <v>2388</v>
      </c>
      <c r="K771" s="27"/>
      <c r="L771" s="25" t="s">
        <v>2699</v>
      </c>
      <c r="M771" s="25" t="s">
        <v>2698</v>
      </c>
      <c r="N771" s="25">
        <v>303</v>
      </c>
      <c r="O771" s="25"/>
      <c r="P771" s="25"/>
      <c r="Q771" s="25">
        <v>4</v>
      </c>
      <c r="R771" s="25">
        <v>1</v>
      </c>
      <c r="S771" s="25"/>
      <c r="T771" s="25"/>
      <c r="U771" s="31">
        <f t="shared" si="12"/>
        <v>5</v>
      </c>
      <c r="V771" s="25"/>
      <c r="W771" s="33" t="s">
        <v>22</v>
      </c>
      <c r="X771" s="33"/>
      <c r="Y771" s="33"/>
      <c r="Z771" s="33" t="s">
        <v>158</v>
      </c>
      <c r="AA771" s="33"/>
    </row>
    <row r="772" spans="1:28" s="70" customFormat="1" ht="33.75" x14ac:dyDescent="0.2">
      <c r="A772" s="24">
        <v>768</v>
      </c>
      <c r="B772" s="27" t="s">
        <v>2376</v>
      </c>
      <c r="C772" s="28" t="s">
        <v>2375</v>
      </c>
      <c r="D772" s="71" t="s">
        <v>2647</v>
      </c>
      <c r="E772" s="28" t="s">
        <v>2646</v>
      </c>
      <c r="F772" s="28" t="s">
        <v>1116</v>
      </c>
      <c r="G772" s="27"/>
      <c r="H772" s="28" t="s">
        <v>2679</v>
      </c>
      <c r="I772" s="27"/>
      <c r="J772" s="28" t="s">
        <v>2695</v>
      </c>
      <c r="K772" s="27"/>
      <c r="L772" s="25" t="s">
        <v>2697</v>
      </c>
      <c r="M772" s="25" t="s">
        <v>2696</v>
      </c>
      <c r="N772" s="25">
        <v>1</v>
      </c>
      <c r="O772" s="25"/>
      <c r="P772" s="25"/>
      <c r="Q772" s="25"/>
      <c r="R772" s="25">
        <v>40</v>
      </c>
      <c r="S772" s="25"/>
      <c r="T772" s="25">
        <v>20</v>
      </c>
      <c r="U772" s="31">
        <f t="shared" si="12"/>
        <v>60</v>
      </c>
      <c r="V772" s="25"/>
      <c r="W772" s="33" t="s">
        <v>2665</v>
      </c>
      <c r="X772" s="33"/>
      <c r="Y772" s="33"/>
      <c r="Z772" s="33" t="s">
        <v>2664</v>
      </c>
      <c r="AA772" s="33"/>
    </row>
    <row r="773" spans="1:28" s="70" customFormat="1" ht="22.5" x14ac:dyDescent="0.2">
      <c r="A773" s="24">
        <v>769</v>
      </c>
      <c r="B773" s="27" t="s">
        <v>2376</v>
      </c>
      <c r="C773" s="28" t="s">
        <v>2375</v>
      </c>
      <c r="D773" s="71" t="s">
        <v>2647</v>
      </c>
      <c r="E773" s="28" t="s">
        <v>2646</v>
      </c>
      <c r="F773" s="28" t="s">
        <v>1116</v>
      </c>
      <c r="G773" s="27"/>
      <c r="H773" s="28" t="s">
        <v>2679</v>
      </c>
      <c r="I773" s="27"/>
      <c r="J773" s="28" t="s">
        <v>2695</v>
      </c>
      <c r="K773" s="27"/>
      <c r="L773" s="25" t="s">
        <v>2694</v>
      </c>
      <c r="M773" s="25" t="s">
        <v>2666</v>
      </c>
      <c r="N773" s="25">
        <v>303</v>
      </c>
      <c r="O773" s="25"/>
      <c r="P773" s="25">
        <v>4</v>
      </c>
      <c r="Q773" s="25">
        <v>2</v>
      </c>
      <c r="R773" s="25">
        <v>1</v>
      </c>
      <c r="S773" s="25"/>
      <c r="T773" s="25"/>
      <c r="U773" s="31">
        <f t="shared" si="12"/>
        <v>7</v>
      </c>
      <c r="V773" s="25"/>
      <c r="W773" s="33" t="s">
        <v>22</v>
      </c>
      <c r="X773" s="33"/>
      <c r="Y773" s="33"/>
      <c r="Z773" s="33" t="s">
        <v>158</v>
      </c>
      <c r="AA773" s="33"/>
    </row>
    <row r="774" spans="1:28" s="70" customFormat="1" ht="33.75" x14ac:dyDescent="0.2">
      <c r="A774" s="24">
        <v>770</v>
      </c>
      <c r="B774" s="27" t="s">
        <v>2376</v>
      </c>
      <c r="C774" s="28" t="s">
        <v>2375</v>
      </c>
      <c r="D774" s="71" t="s">
        <v>2647</v>
      </c>
      <c r="E774" s="28" t="s">
        <v>2646</v>
      </c>
      <c r="F774" s="28" t="s">
        <v>1116</v>
      </c>
      <c r="G774" s="27"/>
      <c r="H774" s="28" t="s">
        <v>2679</v>
      </c>
      <c r="I774" s="27"/>
      <c r="J774" s="28" t="s">
        <v>2693</v>
      </c>
      <c r="K774" s="27"/>
      <c r="L774" s="25" t="s">
        <v>2692</v>
      </c>
      <c r="M774" s="25" t="s">
        <v>190</v>
      </c>
      <c r="N774" s="25">
        <v>12</v>
      </c>
      <c r="O774" s="25"/>
      <c r="P774" s="25">
        <v>24</v>
      </c>
      <c r="Q774" s="25">
        <v>24</v>
      </c>
      <c r="R774" s="25"/>
      <c r="S774" s="25"/>
      <c r="T774" s="25">
        <v>8</v>
      </c>
      <c r="U774" s="31">
        <f t="shared" ref="U774:U837" si="13">SUM(O774:T774)</f>
        <v>56</v>
      </c>
      <c r="V774" s="25"/>
      <c r="W774" s="33" t="s">
        <v>22</v>
      </c>
      <c r="X774" s="33"/>
      <c r="Y774" s="33"/>
      <c r="Z774" s="33" t="s">
        <v>158</v>
      </c>
      <c r="AA774" s="33"/>
    </row>
    <row r="775" spans="1:28" s="70" customFormat="1" ht="56.25" x14ac:dyDescent="0.2">
      <c r="A775" s="24">
        <v>771</v>
      </c>
      <c r="B775" s="27" t="s">
        <v>2376</v>
      </c>
      <c r="C775" s="28" t="s">
        <v>2375</v>
      </c>
      <c r="D775" s="71" t="s">
        <v>2647</v>
      </c>
      <c r="E775" s="28" t="s">
        <v>2646</v>
      </c>
      <c r="F775" s="28" t="s">
        <v>1116</v>
      </c>
      <c r="G775" s="27"/>
      <c r="H775" s="28" t="s">
        <v>2679</v>
      </c>
      <c r="I775" s="27"/>
      <c r="J775" s="28" t="s">
        <v>2690</v>
      </c>
      <c r="K775" s="27"/>
      <c r="L775" s="25" t="s">
        <v>2691</v>
      </c>
      <c r="M775" s="25" t="s">
        <v>190</v>
      </c>
      <c r="N775" s="25">
        <v>12</v>
      </c>
      <c r="O775" s="25"/>
      <c r="P775" s="25">
        <v>36</v>
      </c>
      <c r="Q775" s="25">
        <v>8</v>
      </c>
      <c r="R775" s="25"/>
      <c r="S775" s="25">
        <v>1</v>
      </c>
      <c r="T775" s="25">
        <v>1</v>
      </c>
      <c r="U775" s="31">
        <f t="shared" si="13"/>
        <v>46</v>
      </c>
      <c r="V775" s="25"/>
      <c r="W775" s="33" t="s">
        <v>22</v>
      </c>
      <c r="X775" s="33"/>
      <c r="Y775" s="33"/>
      <c r="Z775" s="33" t="s">
        <v>158</v>
      </c>
      <c r="AA775" s="33"/>
    </row>
    <row r="776" spans="1:28" s="70" customFormat="1" ht="56.25" x14ac:dyDescent="0.2">
      <c r="A776" s="24">
        <v>772</v>
      </c>
      <c r="B776" s="27" t="s">
        <v>2376</v>
      </c>
      <c r="C776" s="28" t="s">
        <v>2375</v>
      </c>
      <c r="D776" s="71" t="s">
        <v>2647</v>
      </c>
      <c r="E776" s="28" t="s">
        <v>2646</v>
      </c>
      <c r="F776" s="28" t="s">
        <v>1116</v>
      </c>
      <c r="G776" s="27"/>
      <c r="H776" s="28" t="s">
        <v>2679</v>
      </c>
      <c r="I776" s="27"/>
      <c r="J776" s="28" t="s">
        <v>2690</v>
      </c>
      <c r="K776" s="27"/>
      <c r="L776" s="25" t="s">
        <v>2689</v>
      </c>
      <c r="M776" s="25" t="s">
        <v>2688</v>
      </c>
      <c r="N776" s="25">
        <v>52</v>
      </c>
      <c r="O776" s="25"/>
      <c r="P776" s="25"/>
      <c r="Q776" s="25"/>
      <c r="R776" s="25">
        <v>4</v>
      </c>
      <c r="S776" s="25">
        <v>1</v>
      </c>
      <c r="T776" s="25">
        <v>1</v>
      </c>
      <c r="U776" s="31">
        <f t="shared" si="13"/>
        <v>6</v>
      </c>
      <c r="V776" s="25"/>
      <c r="W776" s="33" t="s">
        <v>2665</v>
      </c>
      <c r="X776" s="33"/>
      <c r="Y776" s="33"/>
      <c r="Z776" s="33" t="s">
        <v>2664</v>
      </c>
      <c r="AA776" s="33"/>
    </row>
    <row r="777" spans="1:28" s="70" customFormat="1" ht="22.5" x14ac:dyDescent="0.2">
      <c r="A777" s="24">
        <v>773</v>
      </c>
      <c r="B777" s="27" t="s">
        <v>2376</v>
      </c>
      <c r="C777" s="28" t="s">
        <v>2375</v>
      </c>
      <c r="D777" s="71" t="s">
        <v>2647</v>
      </c>
      <c r="E777" s="28" t="s">
        <v>2646</v>
      </c>
      <c r="F777" s="28" t="s">
        <v>1116</v>
      </c>
      <c r="G777" s="27"/>
      <c r="H777" s="28" t="s">
        <v>2679</v>
      </c>
      <c r="I777" s="27"/>
      <c r="J777" s="28" t="s">
        <v>2687</v>
      </c>
      <c r="K777" s="27"/>
      <c r="L777" s="25" t="s">
        <v>2686</v>
      </c>
      <c r="M777" s="25" t="s">
        <v>2685</v>
      </c>
      <c r="N777" s="25">
        <v>52</v>
      </c>
      <c r="O777" s="25"/>
      <c r="P777" s="25">
        <v>0.25</v>
      </c>
      <c r="Q777" s="25">
        <v>0.25</v>
      </c>
      <c r="R777" s="25">
        <v>0.25</v>
      </c>
      <c r="S777" s="25"/>
      <c r="T777" s="25"/>
      <c r="U777" s="31">
        <f t="shared" si="13"/>
        <v>0.75</v>
      </c>
      <c r="V777" s="25"/>
      <c r="W777" s="33" t="s">
        <v>22</v>
      </c>
      <c r="X777" s="33"/>
      <c r="Y777" s="33"/>
      <c r="Z777" s="33" t="s">
        <v>158</v>
      </c>
      <c r="AA777" s="33"/>
    </row>
    <row r="778" spans="1:28" s="70" customFormat="1" ht="33.75" x14ac:dyDescent="0.2">
      <c r="A778" s="24">
        <v>774</v>
      </c>
      <c r="B778" s="27" t="s">
        <v>2376</v>
      </c>
      <c r="C778" s="28" t="s">
        <v>2375</v>
      </c>
      <c r="D778" s="71" t="s">
        <v>2647</v>
      </c>
      <c r="E778" s="28" t="s">
        <v>2646</v>
      </c>
      <c r="F778" s="28" t="s">
        <v>1116</v>
      </c>
      <c r="G778" s="27"/>
      <c r="H778" s="28" t="s">
        <v>2679</v>
      </c>
      <c r="I778" s="27"/>
      <c r="J778" s="28" t="s">
        <v>2684</v>
      </c>
      <c r="K778" s="27"/>
      <c r="L778" s="25" t="s">
        <v>2683</v>
      </c>
      <c r="M778" s="25" t="s">
        <v>2671</v>
      </c>
      <c r="N778" s="25" t="s">
        <v>2657</v>
      </c>
      <c r="O778" s="25"/>
      <c r="P778" s="25">
        <v>0.03</v>
      </c>
      <c r="Q778" s="25"/>
      <c r="R778" s="25"/>
      <c r="S778" s="25">
        <v>0.03</v>
      </c>
      <c r="T778" s="25">
        <v>0.03</v>
      </c>
      <c r="U778" s="31">
        <f t="shared" si="13"/>
        <v>0.09</v>
      </c>
      <c r="V778" s="25"/>
      <c r="W778" s="33" t="s">
        <v>800</v>
      </c>
      <c r="X778" s="33"/>
      <c r="Y778" s="33"/>
      <c r="Z778" s="33" t="s">
        <v>2670</v>
      </c>
      <c r="AA778" s="33"/>
    </row>
    <row r="779" spans="1:28" s="70" customFormat="1" ht="33.75" x14ac:dyDescent="0.2">
      <c r="A779" s="24">
        <v>775</v>
      </c>
      <c r="B779" s="27" t="s">
        <v>2376</v>
      </c>
      <c r="C779" s="28" t="s">
        <v>2375</v>
      </c>
      <c r="D779" s="71" t="s">
        <v>2647</v>
      </c>
      <c r="E779" s="28" t="s">
        <v>2646</v>
      </c>
      <c r="F779" s="28" t="s">
        <v>1116</v>
      </c>
      <c r="G779" s="27"/>
      <c r="H779" s="28" t="s">
        <v>2679</v>
      </c>
      <c r="I779" s="27"/>
      <c r="J779" s="28" t="s">
        <v>2678</v>
      </c>
      <c r="K779" s="27"/>
      <c r="L779" s="25" t="s">
        <v>2682</v>
      </c>
      <c r="M779" s="25" t="s">
        <v>1275</v>
      </c>
      <c r="N779" s="25" t="s">
        <v>2657</v>
      </c>
      <c r="O779" s="25"/>
      <c r="P779" s="25">
        <v>2</v>
      </c>
      <c r="Q779" s="25">
        <v>1</v>
      </c>
      <c r="R779" s="25"/>
      <c r="S779" s="25">
        <v>0.5</v>
      </c>
      <c r="T779" s="25">
        <v>0.5</v>
      </c>
      <c r="U779" s="31">
        <f t="shared" si="13"/>
        <v>4</v>
      </c>
      <c r="V779" s="25"/>
      <c r="W779" s="33" t="s">
        <v>800</v>
      </c>
      <c r="X779" s="33"/>
      <c r="Y779" s="33"/>
      <c r="Z779" s="33" t="s">
        <v>2681</v>
      </c>
      <c r="AA779" s="33"/>
    </row>
    <row r="780" spans="1:28" s="70" customFormat="1" ht="22.5" x14ac:dyDescent="0.2">
      <c r="A780" s="24">
        <v>776</v>
      </c>
      <c r="B780" s="27" t="s">
        <v>2376</v>
      </c>
      <c r="C780" s="28" t="s">
        <v>2375</v>
      </c>
      <c r="D780" s="71" t="s">
        <v>2647</v>
      </c>
      <c r="E780" s="28" t="s">
        <v>2646</v>
      </c>
      <c r="F780" s="28" t="s">
        <v>1116</v>
      </c>
      <c r="G780" s="27"/>
      <c r="H780" s="28" t="s">
        <v>2679</v>
      </c>
      <c r="I780" s="27"/>
      <c r="J780" s="28" t="s">
        <v>2678</v>
      </c>
      <c r="K780" s="27"/>
      <c r="L780" s="25" t="s">
        <v>2680</v>
      </c>
      <c r="M780" s="25" t="s">
        <v>190</v>
      </c>
      <c r="N780" s="25">
        <v>52</v>
      </c>
      <c r="O780" s="25"/>
      <c r="P780" s="25">
        <v>1</v>
      </c>
      <c r="Q780" s="25"/>
      <c r="R780" s="25"/>
      <c r="S780" s="25">
        <v>0.5</v>
      </c>
      <c r="T780" s="25">
        <v>0.5</v>
      </c>
      <c r="U780" s="31">
        <f t="shared" si="13"/>
        <v>2</v>
      </c>
      <c r="V780" s="25"/>
      <c r="W780" s="33" t="s">
        <v>22</v>
      </c>
      <c r="X780" s="33"/>
      <c r="Y780" s="33"/>
      <c r="Z780" s="33" t="s">
        <v>158</v>
      </c>
      <c r="AA780" s="33"/>
    </row>
    <row r="781" spans="1:28" s="70" customFormat="1" ht="22.5" x14ac:dyDescent="0.2">
      <c r="A781" s="24">
        <v>777</v>
      </c>
      <c r="B781" s="27" t="s">
        <v>2376</v>
      </c>
      <c r="C781" s="28" t="s">
        <v>2375</v>
      </c>
      <c r="D781" s="71" t="s">
        <v>2647</v>
      </c>
      <c r="E781" s="28" t="s">
        <v>2646</v>
      </c>
      <c r="F781" s="28" t="s">
        <v>1116</v>
      </c>
      <c r="G781" s="27"/>
      <c r="H781" s="28" t="s">
        <v>2679</v>
      </c>
      <c r="I781" s="27"/>
      <c r="J781" s="28" t="s">
        <v>2678</v>
      </c>
      <c r="K781" s="27"/>
      <c r="L781" s="25" t="s">
        <v>2677</v>
      </c>
      <c r="M781" s="25" t="s">
        <v>190</v>
      </c>
      <c r="N781" s="25">
        <v>12</v>
      </c>
      <c r="O781" s="25"/>
      <c r="P781" s="25">
        <v>24</v>
      </c>
      <c r="Q781" s="25">
        <v>8</v>
      </c>
      <c r="R781" s="25"/>
      <c r="S781" s="25">
        <v>4</v>
      </c>
      <c r="T781" s="25">
        <v>4</v>
      </c>
      <c r="U781" s="31">
        <f t="shared" si="13"/>
        <v>40</v>
      </c>
      <c r="V781" s="25"/>
      <c r="W781" s="33" t="s">
        <v>22</v>
      </c>
      <c r="X781" s="33"/>
      <c r="Y781" s="33"/>
      <c r="Z781" s="33" t="s">
        <v>158</v>
      </c>
      <c r="AA781" s="33"/>
    </row>
    <row r="782" spans="1:28" s="70" customFormat="1" ht="56.25" x14ac:dyDescent="0.2">
      <c r="A782" s="24">
        <v>778</v>
      </c>
      <c r="B782" s="27" t="s">
        <v>2376</v>
      </c>
      <c r="C782" s="28" t="s">
        <v>2375</v>
      </c>
      <c r="D782" s="71" t="s">
        <v>2647</v>
      </c>
      <c r="E782" s="28" t="s">
        <v>2646</v>
      </c>
      <c r="F782" s="28" t="s">
        <v>1116</v>
      </c>
      <c r="G782" s="27"/>
      <c r="H782" s="28" t="s">
        <v>2661</v>
      </c>
      <c r="I782" s="27"/>
      <c r="J782" s="28" t="s">
        <v>2676</v>
      </c>
      <c r="K782" s="27"/>
      <c r="L782" s="25"/>
      <c r="M782" s="25"/>
      <c r="N782" s="25"/>
      <c r="O782" s="25"/>
      <c r="P782" s="25"/>
      <c r="Q782" s="25"/>
      <c r="R782" s="25"/>
      <c r="S782" s="25"/>
      <c r="T782" s="25"/>
      <c r="U782" s="31">
        <f t="shared" si="13"/>
        <v>0</v>
      </c>
      <c r="V782" s="25"/>
      <c r="W782" s="33"/>
      <c r="X782" s="33"/>
      <c r="Y782" s="33"/>
      <c r="Z782" s="33"/>
      <c r="AA782" s="33"/>
      <c r="AB782" s="72" t="s">
        <v>2675</v>
      </c>
    </row>
    <row r="783" spans="1:28" s="70" customFormat="1" ht="56.25" x14ac:dyDescent="0.2">
      <c r="A783" s="24">
        <v>779</v>
      </c>
      <c r="B783" s="27" t="s">
        <v>2376</v>
      </c>
      <c r="C783" s="28" t="s">
        <v>2375</v>
      </c>
      <c r="D783" s="71" t="s">
        <v>2647</v>
      </c>
      <c r="E783" s="28" t="s">
        <v>2646</v>
      </c>
      <c r="F783" s="28" t="s">
        <v>1116</v>
      </c>
      <c r="G783" s="27"/>
      <c r="H783" s="28" t="s">
        <v>2661</v>
      </c>
      <c r="I783" s="27"/>
      <c r="J783" s="28" t="s">
        <v>2674</v>
      </c>
      <c r="K783" s="27"/>
      <c r="L783" s="25"/>
      <c r="M783" s="25"/>
      <c r="N783" s="25"/>
      <c r="O783" s="25"/>
      <c r="P783" s="25"/>
      <c r="Q783" s="25"/>
      <c r="R783" s="25"/>
      <c r="S783" s="25"/>
      <c r="T783" s="25"/>
      <c r="U783" s="31">
        <f t="shared" si="13"/>
        <v>0</v>
      </c>
      <c r="V783" s="25"/>
      <c r="W783" s="33"/>
      <c r="X783" s="33"/>
      <c r="Y783" s="33"/>
      <c r="Z783" s="33"/>
      <c r="AA783" s="33"/>
      <c r="AB783" s="72"/>
    </row>
    <row r="784" spans="1:28" s="70" customFormat="1" ht="67.5" x14ac:dyDescent="0.2">
      <c r="A784" s="24">
        <v>780</v>
      </c>
      <c r="B784" s="27" t="s">
        <v>2376</v>
      </c>
      <c r="C784" s="28" t="s">
        <v>2375</v>
      </c>
      <c r="D784" s="71" t="s">
        <v>2647</v>
      </c>
      <c r="E784" s="28" t="s">
        <v>2646</v>
      </c>
      <c r="F784" s="28" t="s">
        <v>1116</v>
      </c>
      <c r="G784" s="27"/>
      <c r="H784" s="28" t="s">
        <v>2661</v>
      </c>
      <c r="I784" s="27"/>
      <c r="J784" s="28" t="s">
        <v>2673</v>
      </c>
      <c r="K784" s="27"/>
      <c r="L784" s="25" t="s">
        <v>2672</v>
      </c>
      <c r="M784" s="25" t="s">
        <v>2671</v>
      </c>
      <c r="N784" s="25" t="s">
        <v>2657</v>
      </c>
      <c r="O784" s="25"/>
      <c r="P784" s="25">
        <v>0.03</v>
      </c>
      <c r="Q784" s="25"/>
      <c r="R784" s="25"/>
      <c r="S784" s="25">
        <v>0.03</v>
      </c>
      <c r="T784" s="25">
        <v>0.03</v>
      </c>
      <c r="U784" s="31">
        <f t="shared" si="13"/>
        <v>0.09</v>
      </c>
      <c r="V784" s="25"/>
      <c r="W784" s="33" t="s">
        <v>800</v>
      </c>
      <c r="X784" s="33"/>
      <c r="Y784" s="33"/>
      <c r="Z784" s="33" t="s">
        <v>2670</v>
      </c>
      <c r="AA784" s="33"/>
    </row>
    <row r="785" spans="1:28" s="70" customFormat="1" ht="45" x14ac:dyDescent="0.2">
      <c r="A785" s="24">
        <v>781</v>
      </c>
      <c r="B785" s="27" t="s">
        <v>2376</v>
      </c>
      <c r="C785" s="28" t="s">
        <v>2375</v>
      </c>
      <c r="D785" s="71" t="s">
        <v>2647</v>
      </c>
      <c r="E785" s="28" t="s">
        <v>2646</v>
      </c>
      <c r="F785" s="28" t="s">
        <v>1116</v>
      </c>
      <c r="G785" s="27"/>
      <c r="H785" s="28" t="s">
        <v>2661</v>
      </c>
      <c r="I785" s="27"/>
      <c r="J785" s="28" t="s">
        <v>2669</v>
      </c>
      <c r="K785" s="27"/>
      <c r="L785" s="25"/>
      <c r="M785" s="25"/>
      <c r="N785" s="25"/>
      <c r="O785" s="25"/>
      <c r="P785" s="25"/>
      <c r="Q785" s="25"/>
      <c r="R785" s="25"/>
      <c r="S785" s="25"/>
      <c r="T785" s="25"/>
      <c r="U785" s="31">
        <f t="shared" si="13"/>
        <v>0</v>
      </c>
      <c r="V785" s="25"/>
      <c r="W785" s="33"/>
      <c r="X785" s="33"/>
      <c r="Y785" s="33"/>
      <c r="Z785" s="33"/>
      <c r="AA785" s="33"/>
      <c r="AB785" s="72"/>
    </row>
    <row r="786" spans="1:28" s="70" customFormat="1" ht="33.75" x14ac:dyDescent="0.2">
      <c r="A786" s="24">
        <v>782</v>
      </c>
      <c r="B786" s="27" t="s">
        <v>2376</v>
      </c>
      <c r="C786" s="28" t="s">
        <v>2375</v>
      </c>
      <c r="D786" s="71" t="s">
        <v>2647</v>
      </c>
      <c r="E786" s="28" t="s">
        <v>2646</v>
      </c>
      <c r="F786" s="28" t="s">
        <v>1116</v>
      </c>
      <c r="G786" s="27"/>
      <c r="H786" s="28" t="s">
        <v>2661</v>
      </c>
      <c r="I786" s="27"/>
      <c r="J786" s="28" t="s">
        <v>2668</v>
      </c>
      <c r="K786" s="27"/>
      <c r="L786" s="25" t="s">
        <v>2667</v>
      </c>
      <c r="M786" s="25" t="s">
        <v>2666</v>
      </c>
      <c r="N786" s="25">
        <v>303</v>
      </c>
      <c r="O786" s="25"/>
      <c r="P786" s="25">
        <v>4</v>
      </c>
      <c r="Q786" s="25"/>
      <c r="R786" s="25"/>
      <c r="S786" s="25">
        <v>2</v>
      </c>
      <c r="T786" s="25">
        <v>1</v>
      </c>
      <c r="U786" s="31">
        <f t="shared" si="13"/>
        <v>7</v>
      </c>
      <c r="V786" s="25"/>
      <c r="W786" s="33" t="s">
        <v>2665</v>
      </c>
      <c r="X786" s="33"/>
      <c r="Y786" s="33"/>
      <c r="Z786" s="33" t="s">
        <v>2664</v>
      </c>
      <c r="AA786" s="33"/>
    </row>
    <row r="787" spans="1:28" s="70" customFormat="1" ht="22.5" x14ac:dyDescent="0.2">
      <c r="A787" s="24">
        <v>783</v>
      </c>
      <c r="B787" s="27" t="s">
        <v>2376</v>
      </c>
      <c r="C787" s="28" t="s">
        <v>2375</v>
      </c>
      <c r="D787" s="71" t="s">
        <v>2647</v>
      </c>
      <c r="E787" s="28" t="s">
        <v>2646</v>
      </c>
      <c r="F787" s="28" t="s">
        <v>1116</v>
      </c>
      <c r="G787" s="27"/>
      <c r="H787" s="28" t="s">
        <v>2661</v>
      </c>
      <c r="I787" s="27"/>
      <c r="J787" s="28" t="s">
        <v>2663</v>
      </c>
      <c r="K787" s="27"/>
      <c r="L787" s="25" t="s">
        <v>2662</v>
      </c>
      <c r="M787" s="25" t="s">
        <v>190</v>
      </c>
      <c r="N787" s="25">
        <v>12</v>
      </c>
      <c r="O787" s="25"/>
      <c r="P787" s="25">
        <v>4</v>
      </c>
      <c r="Q787" s="25"/>
      <c r="R787" s="25"/>
      <c r="S787" s="25">
        <v>1</v>
      </c>
      <c r="T787" s="25">
        <v>0.5</v>
      </c>
      <c r="U787" s="31">
        <f t="shared" si="13"/>
        <v>5.5</v>
      </c>
      <c r="V787" s="25"/>
      <c r="W787" s="33" t="s">
        <v>22</v>
      </c>
      <c r="X787" s="33"/>
      <c r="Y787" s="33"/>
      <c r="Z787" s="33" t="s">
        <v>158</v>
      </c>
      <c r="AA787" s="33"/>
    </row>
    <row r="788" spans="1:28" s="70" customFormat="1" ht="45" x14ac:dyDescent="0.2">
      <c r="A788" s="24">
        <v>784</v>
      </c>
      <c r="B788" s="27" t="s">
        <v>2376</v>
      </c>
      <c r="C788" s="28" t="s">
        <v>2375</v>
      </c>
      <c r="D788" s="71" t="s">
        <v>2647</v>
      </c>
      <c r="E788" s="28" t="s">
        <v>2646</v>
      </c>
      <c r="F788" s="28" t="s">
        <v>1116</v>
      </c>
      <c r="G788" s="27"/>
      <c r="H788" s="28" t="s">
        <v>2661</v>
      </c>
      <c r="I788" s="27"/>
      <c r="J788" s="28" t="s">
        <v>2660</v>
      </c>
      <c r="K788" s="27"/>
      <c r="L788" s="25"/>
      <c r="M788" s="25"/>
      <c r="N788" s="25"/>
      <c r="O788" s="25"/>
      <c r="P788" s="25"/>
      <c r="Q788" s="25"/>
      <c r="R788" s="25"/>
      <c r="S788" s="25"/>
      <c r="T788" s="25"/>
      <c r="U788" s="31">
        <f t="shared" si="13"/>
        <v>0</v>
      </c>
      <c r="V788" s="25"/>
      <c r="W788" s="33"/>
      <c r="X788" s="33"/>
      <c r="Y788" s="33"/>
      <c r="Z788" s="33"/>
      <c r="AA788" s="33"/>
      <c r="AB788" s="70" t="s">
        <v>2151</v>
      </c>
    </row>
    <row r="789" spans="1:28" s="72" customFormat="1" ht="22.5" x14ac:dyDescent="0.2">
      <c r="A789" s="24">
        <v>785</v>
      </c>
      <c r="B789" s="24"/>
      <c r="C789" s="28" t="s">
        <v>2375</v>
      </c>
      <c r="D789" s="71" t="s">
        <v>2647</v>
      </c>
      <c r="E789" s="28" t="s">
        <v>2646</v>
      </c>
      <c r="F789" s="28" t="s">
        <v>1116</v>
      </c>
      <c r="G789" s="27"/>
      <c r="H789" s="28" t="s">
        <v>2645</v>
      </c>
      <c r="I789" s="27"/>
      <c r="J789" s="28" t="s">
        <v>2645</v>
      </c>
      <c r="K789" s="24"/>
      <c r="L789" s="25" t="s">
        <v>2659</v>
      </c>
      <c r="M789" s="25" t="s">
        <v>2658</v>
      </c>
      <c r="N789" s="25" t="s">
        <v>2657</v>
      </c>
      <c r="O789" s="25"/>
      <c r="P789" s="25">
        <v>1</v>
      </c>
      <c r="Q789" s="25"/>
      <c r="R789" s="25"/>
      <c r="S789" s="25"/>
      <c r="T789" s="25"/>
      <c r="U789" s="31">
        <f t="shared" si="13"/>
        <v>1</v>
      </c>
      <c r="V789" s="25"/>
      <c r="W789" s="33" t="s">
        <v>22</v>
      </c>
      <c r="X789" s="33"/>
      <c r="Y789" s="33"/>
      <c r="Z789" s="33" t="s">
        <v>2656</v>
      </c>
      <c r="AA789" s="33"/>
    </row>
    <row r="790" spans="1:28" s="72" customFormat="1" ht="22.5" x14ac:dyDescent="0.2">
      <c r="A790" s="24">
        <v>786</v>
      </c>
      <c r="B790" s="24"/>
      <c r="C790" s="28" t="s">
        <v>2375</v>
      </c>
      <c r="D790" s="71" t="s">
        <v>2647</v>
      </c>
      <c r="E790" s="28" t="s">
        <v>2646</v>
      </c>
      <c r="F790" s="28" t="s">
        <v>1116</v>
      </c>
      <c r="G790" s="27"/>
      <c r="H790" s="28" t="s">
        <v>2645</v>
      </c>
      <c r="I790" s="27"/>
      <c r="J790" s="28" t="s">
        <v>2645</v>
      </c>
      <c r="K790" s="24"/>
      <c r="L790" s="25" t="s">
        <v>2655</v>
      </c>
      <c r="M790" s="25" t="s">
        <v>2654</v>
      </c>
      <c r="N790" s="25">
        <v>1</v>
      </c>
      <c r="O790" s="25"/>
      <c r="P790" s="25"/>
      <c r="Q790" s="25">
        <v>8</v>
      </c>
      <c r="R790" s="25">
        <v>4</v>
      </c>
      <c r="S790" s="25"/>
      <c r="T790" s="25">
        <v>2</v>
      </c>
      <c r="U790" s="31">
        <f t="shared" si="13"/>
        <v>14</v>
      </c>
      <c r="V790" s="25"/>
      <c r="W790" s="33" t="s">
        <v>800</v>
      </c>
      <c r="X790" s="33"/>
      <c r="Y790" s="33"/>
      <c r="Z790" s="33" t="s">
        <v>158</v>
      </c>
      <c r="AA790" s="33"/>
    </row>
    <row r="791" spans="1:28" s="72" customFormat="1" ht="22.5" x14ac:dyDescent="0.2">
      <c r="A791" s="24">
        <v>787</v>
      </c>
      <c r="B791" s="24"/>
      <c r="C791" s="28" t="s">
        <v>2375</v>
      </c>
      <c r="D791" s="71" t="s">
        <v>2647</v>
      </c>
      <c r="E791" s="28" t="s">
        <v>2646</v>
      </c>
      <c r="F791" s="28" t="s">
        <v>1116</v>
      </c>
      <c r="G791" s="27"/>
      <c r="H791" s="28" t="s">
        <v>2645</v>
      </c>
      <c r="I791" s="27"/>
      <c r="J791" s="28" t="s">
        <v>2645</v>
      </c>
      <c r="K791" s="24"/>
      <c r="L791" s="25" t="s">
        <v>2653</v>
      </c>
      <c r="M791" s="25" t="s">
        <v>190</v>
      </c>
      <c r="N791" s="25">
        <v>12</v>
      </c>
      <c r="O791" s="25"/>
      <c r="P791" s="25">
        <v>24</v>
      </c>
      <c r="Q791" s="25">
        <v>24</v>
      </c>
      <c r="R791" s="25">
        <v>24</v>
      </c>
      <c r="S791" s="25"/>
      <c r="T791" s="25"/>
      <c r="U791" s="31">
        <f t="shared" si="13"/>
        <v>72</v>
      </c>
      <c r="V791" s="25"/>
      <c r="W791" s="33" t="s">
        <v>2652</v>
      </c>
      <c r="X791" s="33"/>
      <c r="Y791" s="33"/>
      <c r="Z791" s="33">
        <v>1</v>
      </c>
      <c r="AA791" s="33"/>
    </row>
    <row r="792" spans="1:28" s="72" customFormat="1" ht="22.5" x14ac:dyDescent="0.2">
      <c r="A792" s="24">
        <v>788</v>
      </c>
      <c r="B792" s="24"/>
      <c r="C792" s="28" t="s">
        <v>2375</v>
      </c>
      <c r="D792" s="71" t="s">
        <v>2647</v>
      </c>
      <c r="E792" s="28" t="s">
        <v>2646</v>
      </c>
      <c r="F792" s="28" t="s">
        <v>1116</v>
      </c>
      <c r="G792" s="27"/>
      <c r="H792" s="28" t="s">
        <v>2645</v>
      </c>
      <c r="I792" s="27"/>
      <c r="J792" s="28" t="s">
        <v>2645</v>
      </c>
      <c r="K792" s="24"/>
      <c r="L792" s="25" t="s">
        <v>2651</v>
      </c>
      <c r="M792" s="25" t="s">
        <v>2650</v>
      </c>
      <c r="N792" s="25">
        <v>2</v>
      </c>
      <c r="O792" s="25"/>
      <c r="P792" s="25">
        <v>96</v>
      </c>
      <c r="Q792" s="25">
        <v>96</v>
      </c>
      <c r="R792" s="25"/>
      <c r="S792" s="25">
        <v>72</v>
      </c>
      <c r="T792" s="25">
        <v>72</v>
      </c>
      <c r="U792" s="31">
        <f t="shared" si="13"/>
        <v>336</v>
      </c>
      <c r="V792" s="25"/>
      <c r="W792" s="33" t="s">
        <v>22</v>
      </c>
      <c r="X792" s="33"/>
      <c r="Y792" s="33"/>
      <c r="Z792" s="33" t="s">
        <v>158</v>
      </c>
      <c r="AA792" s="33"/>
    </row>
    <row r="793" spans="1:28" s="72" customFormat="1" ht="22.5" x14ac:dyDescent="0.2">
      <c r="A793" s="24">
        <v>789</v>
      </c>
      <c r="B793" s="24"/>
      <c r="C793" s="28" t="s">
        <v>2375</v>
      </c>
      <c r="D793" s="71" t="s">
        <v>2647</v>
      </c>
      <c r="E793" s="28" t="s">
        <v>2646</v>
      </c>
      <c r="F793" s="28" t="s">
        <v>1116</v>
      </c>
      <c r="G793" s="27"/>
      <c r="H793" s="28" t="s">
        <v>2645</v>
      </c>
      <c r="I793" s="27"/>
      <c r="J793" s="28" t="s">
        <v>2645</v>
      </c>
      <c r="K793" s="24"/>
      <c r="L793" s="25" t="s">
        <v>2649</v>
      </c>
      <c r="M793" s="25" t="s">
        <v>190</v>
      </c>
      <c r="N793" s="25">
        <v>36</v>
      </c>
      <c r="O793" s="25"/>
      <c r="P793" s="25">
        <v>1</v>
      </c>
      <c r="Q793" s="25"/>
      <c r="R793" s="25"/>
      <c r="S793" s="25"/>
      <c r="T793" s="25"/>
      <c r="U793" s="31">
        <f t="shared" si="13"/>
        <v>1</v>
      </c>
      <c r="V793" s="25"/>
      <c r="W793" s="33" t="s">
        <v>879</v>
      </c>
      <c r="X793" s="33"/>
      <c r="Y793" s="33"/>
      <c r="Z793" s="33" t="s">
        <v>986</v>
      </c>
      <c r="AA793" s="33"/>
    </row>
    <row r="794" spans="1:28" s="72" customFormat="1" ht="22.5" x14ac:dyDescent="0.2">
      <c r="A794" s="24">
        <v>790</v>
      </c>
      <c r="B794" s="24"/>
      <c r="C794" s="28" t="s">
        <v>2375</v>
      </c>
      <c r="D794" s="71" t="s">
        <v>2647</v>
      </c>
      <c r="E794" s="28" t="s">
        <v>2646</v>
      </c>
      <c r="F794" s="28" t="s">
        <v>1116</v>
      </c>
      <c r="G794" s="27"/>
      <c r="H794" s="28" t="s">
        <v>2645</v>
      </c>
      <c r="I794" s="27"/>
      <c r="J794" s="28" t="s">
        <v>2645</v>
      </c>
      <c r="K794" s="24"/>
      <c r="L794" s="25" t="s">
        <v>2648</v>
      </c>
      <c r="M794" s="25" t="s">
        <v>190</v>
      </c>
      <c r="N794" s="25">
        <v>434</v>
      </c>
      <c r="O794" s="25"/>
      <c r="P794" s="25">
        <v>0.5</v>
      </c>
      <c r="Q794" s="25">
        <v>0.5</v>
      </c>
      <c r="R794" s="25">
        <v>0.5</v>
      </c>
      <c r="S794" s="25">
        <v>0.1</v>
      </c>
      <c r="T794" s="25">
        <v>0.1</v>
      </c>
      <c r="U794" s="31">
        <f t="shared" si="13"/>
        <v>1.7000000000000002</v>
      </c>
      <c r="V794" s="25"/>
      <c r="W794" s="33" t="s">
        <v>22</v>
      </c>
      <c r="X794" s="33"/>
      <c r="Y794" s="33"/>
      <c r="Z794" s="33" t="s">
        <v>158</v>
      </c>
      <c r="AA794" s="33"/>
    </row>
    <row r="795" spans="1:28" s="70" customFormat="1" ht="22.5" x14ac:dyDescent="0.2">
      <c r="A795" s="24">
        <v>791</v>
      </c>
      <c r="B795" s="27" t="s">
        <v>2376</v>
      </c>
      <c r="C795" s="28" t="s">
        <v>2375</v>
      </c>
      <c r="D795" s="71" t="s">
        <v>2647</v>
      </c>
      <c r="E795" s="28" t="s">
        <v>2646</v>
      </c>
      <c r="F795" s="28" t="s">
        <v>1116</v>
      </c>
      <c r="G795" s="27"/>
      <c r="H795" s="28" t="s">
        <v>2645</v>
      </c>
      <c r="I795" s="27"/>
      <c r="J795" s="28" t="s">
        <v>2645</v>
      </c>
      <c r="K795" s="27"/>
      <c r="L795" s="25" t="s">
        <v>2644</v>
      </c>
      <c r="M795" s="25" t="s">
        <v>190</v>
      </c>
      <c r="N795" s="25">
        <v>96</v>
      </c>
      <c r="O795" s="25"/>
      <c r="P795" s="25">
        <v>2.2000000000000002</v>
      </c>
      <c r="Q795" s="25"/>
      <c r="R795" s="25"/>
      <c r="S795" s="25"/>
      <c r="T795" s="25"/>
      <c r="U795" s="31">
        <f t="shared" si="13"/>
        <v>2.2000000000000002</v>
      </c>
      <c r="V795" s="25"/>
      <c r="W795" s="33" t="s">
        <v>22</v>
      </c>
      <c r="X795" s="33"/>
      <c r="Y795" s="33"/>
      <c r="Z795" s="33" t="s">
        <v>158</v>
      </c>
      <c r="AA795" s="33"/>
    </row>
    <row r="796" spans="1:28" s="70" customFormat="1" ht="56.25" x14ac:dyDescent="0.2">
      <c r="A796" s="24">
        <v>792</v>
      </c>
      <c r="B796" s="27" t="s">
        <v>2376</v>
      </c>
      <c r="C796" s="28" t="s">
        <v>2375</v>
      </c>
      <c r="D796" s="71" t="s">
        <v>2572</v>
      </c>
      <c r="E796" s="28" t="s">
        <v>2571</v>
      </c>
      <c r="F796" s="28" t="s">
        <v>1918</v>
      </c>
      <c r="G796" s="27"/>
      <c r="H796" s="28" t="s">
        <v>2631</v>
      </c>
      <c r="I796" s="27"/>
      <c r="J796" s="28" t="s">
        <v>2641</v>
      </c>
      <c r="K796" s="27"/>
      <c r="L796" s="25" t="s">
        <v>2643</v>
      </c>
      <c r="M796" s="25" t="s">
        <v>190</v>
      </c>
      <c r="N796" s="25">
        <v>252</v>
      </c>
      <c r="O796" s="25"/>
      <c r="P796" s="25">
        <v>1.2</v>
      </c>
      <c r="Q796" s="25"/>
      <c r="R796" s="25"/>
      <c r="S796" s="25">
        <v>0.5</v>
      </c>
      <c r="T796" s="25">
        <v>0.5</v>
      </c>
      <c r="U796" s="31">
        <f t="shared" si="13"/>
        <v>2.2000000000000002</v>
      </c>
      <c r="V796" s="25"/>
      <c r="W796" s="33" t="s">
        <v>22</v>
      </c>
      <c r="X796" s="33"/>
      <c r="Y796" s="33"/>
      <c r="Z796" s="33" t="s">
        <v>353</v>
      </c>
      <c r="AA796" s="33"/>
    </row>
    <row r="797" spans="1:28" s="70" customFormat="1" ht="56.25" x14ac:dyDescent="0.2">
      <c r="A797" s="24">
        <v>793</v>
      </c>
      <c r="B797" s="27" t="s">
        <v>2376</v>
      </c>
      <c r="C797" s="28" t="s">
        <v>2375</v>
      </c>
      <c r="D797" s="71" t="s">
        <v>2572</v>
      </c>
      <c r="E797" s="28" t="s">
        <v>2571</v>
      </c>
      <c r="F797" s="28" t="s">
        <v>1918</v>
      </c>
      <c r="G797" s="27"/>
      <c r="H797" s="28" t="s">
        <v>2631</v>
      </c>
      <c r="I797" s="27"/>
      <c r="J797" s="28" t="s">
        <v>2641</v>
      </c>
      <c r="K797" s="27"/>
      <c r="L797" s="25" t="s">
        <v>2642</v>
      </c>
      <c r="M797" s="25" t="s">
        <v>190</v>
      </c>
      <c r="N797" s="25">
        <v>4</v>
      </c>
      <c r="O797" s="25"/>
      <c r="P797" s="25">
        <v>35</v>
      </c>
      <c r="Q797" s="25"/>
      <c r="R797" s="25"/>
      <c r="S797" s="25"/>
      <c r="T797" s="25">
        <v>8</v>
      </c>
      <c r="U797" s="31">
        <f t="shared" si="13"/>
        <v>43</v>
      </c>
      <c r="V797" s="25"/>
      <c r="W797" s="33" t="s">
        <v>22</v>
      </c>
      <c r="X797" s="33"/>
      <c r="Y797" s="33"/>
      <c r="Z797" s="33" t="s">
        <v>353</v>
      </c>
      <c r="AA797" s="33"/>
    </row>
    <row r="798" spans="1:28" s="70" customFormat="1" ht="56.25" x14ac:dyDescent="0.2">
      <c r="A798" s="24">
        <v>794</v>
      </c>
      <c r="B798" s="27" t="s">
        <v>2376</v>
      </c>
      <c r="C798" s="28" t="s">
        <v>2375</v>
      </c>
      <c r="D798" s="71" t="s">
        <v>2572</v>
      </c>
      <c r="E798" s="28" t="s">
        <v>2571</v>
      </c>
      <c r="F798" s="28" t="s">
        <v>1918</v>
      </c>
      <c r="G798" s="27"/>
      <c r="H798" s="28" t="s">
        <v>2631</v>
      </c>
      <c r="I798" s="27"/>
      <c r="J798" s="28" t="s">
        <v>2641</v>
      </c>
      <c r="K798" s="27"/>
      <c r="L798" s="25" t="s">
        <v>2640</v>
      </c>
      <c r="M798" s="25" t="s">
        <v>190</v>
      </c>
      <c r="N798" s="25">
        <v>1</v>
      </c>
      <c r="O798" s="25"/>
      <c r="P798" s="25">
        <v>20</v>
      </c>
      <c r="Q798" s="25"/>
      <c r="R798" s="25"/>
      <c r="S798" s="25"/>
      <c r="T798" s="25">
        <v>2</v>
      </c>
      <c r="U798" s="31">
        <f t="shared" si="13"/>
        <v>22</v>
      </c>
      <c r="V798" s="25"/>
      <c r="W798" s="33" t="s">
        <v>22</v>
      </c>
      <c r="X798" s="33"/>
      <c r="Y798" s="33"/>
      <c r="Z798" s="33" t="s">
        <v>353</v>
      </c>
      <c r="AA798" s="33"/>
    </row>
    <row r="799" spans="1:28" s="70" customFormat="1" ht="56.25" x14ac:dyDescent="0.2">
      <c r="A799" s="24">
        <v>795</v>
      </c>
      <c r="B799" s="27" t="s">
        <v>2376</v>
      </c>
      <c r="C799" s="28" t="s">
        <v>2375</v>
      </c>
      <c r="D799" s="71" t="s">
        <v>2572</v>
      </c>
      <c r="E799" s="28" t="s">
        <v>2571</v>
      </c>
      <c r="F799" s="28" t="s">
        <v>1918</v>
      </c>
      <c r="G799" s="27"/>
      <c r="H799" s="28" t="s">
        <v>2631</v>
      </c>
      <c r="I799" s="27"/>
      <c r="J799" s="28" t="s">
        <v>2639</v>
      </c>
      <c r="K799" s="27"/>
      <c r="L799" s="25" t="s">
        <v>2638</v>
      </c>
      <c r="M799" s="25" t="s">
        <v>190</v>
      </c>
      <c r="N799" s="25">
        <v>252</v>
      </c>
      <c r="O799" s="25"/>
      <c r="P799" s="25">
        <v>3.2</v>
      </c>
      <c r="Q799" s="25"/>
      <c r="R799" s="25"/>
      <c r="S799" s="25">
        <v>0.5</v>
      </c>
      <c r="T799" s="25">
        <v>0.5</v>
      </c>
      <c r="U799" s="31">
        <f t="shared" si="13"/>
        <v>4.2</v>
      </c>
      <c r="V799" s="25"/>
      <c r="W799" s="33" t="s">
        <v>22</v>
      </c>
      <c r="X799" s="33"/>
      <c r="Y799" s="33"/>
      <c r="Z799" s="33" t="s">
        <v>353</v>
      </c>
      <c r="AA799" s="33"/>
    </row>
    <row r="800" spans="1:28" s="70" customFormat="1" ht="56.25" x14ac:dyDescent="0.2">
      <c r="A800" s="24">
        <v>796</v>
      </c>
      <c r="B800" s="27" t="s">
        <v>2376</v>
      </c>
      <c r="C800" s="28" t="s">
        <v>2375</v>
      </c>
      <c r="D800" s="71" t="s">
        <v>2572</v>
      </c>
      <c r="E800" s="28" t="s">
        <v>2571</v>
      </c>
      <c r="F800" s="28" t="s">
        <v>1918</v>
      </c>
      <c r="G800" s="27"/>
      <c r="H800" s="28" t="s">
        <v>2631</v>
      </c>
      <c r="I800" s="27"/>
      <c r="J800" s="28" t="s">
        <v>2637</v>
      </c>
      <c r="K800" s="27"/>
      <c r="L800" s="25" t="s">
        <v>2636</v>
      </c>
      <c r="M800" s="25" t="s">
        <v>190</v>
      </c>
      <c r="N800" s="25">
        <v>12</v>
      </c>
      <c r="O800" s="25"/>
      <c r="P800" s="25">
        <v>68</v>
      </c>
      <c r="Q800" s="25">
        <v>27</v>
      </c>
      <c r="R800" s="25"/>
      <c r="S800" s="25">
        <v>20</v>
      </c>
      <c r="T800" s="25">
        <v>20</v>
      </c>
      <c r="U800" s="31">
        <f t="shared" si="13"/>
        <v>135</v>
      </c>
      <c r="V800" s="25"/>
      <c r="W800" s="33" t="s">
        <v>22</v>
      </c>
      <c r="X800" s="33"/>
      <c r="Y800" s="33"/>
      <c r="Z800" s="33" t="s">
        <v>353</v>
      </c>
      <c r="AA800" s="33"/>
    </row>
    <row r="801" spans="1:27" s="70" customFormat="1" ht="56.25" x14ac:dyDescent="0.2">
      <c r="A801" s="24">
        <v>797</v>
      </c>
      <c r="B801" s="27" t="s">
        <v>2376</v>
      </c>
      <c r="C801" s="28" t="s">
        <v>2375</v>
      </c>
      <c r="D801" s="71" t="s">
        <v>2572</v>
      </c>
      <c r="E801" s="28" t="s">
        <v>2571</v>
      </c>
      <c r="F801" s="28" t="s">
        <v>1918</v>
      </c>
      <c r="G801" s="27"/>
      <c r="H801" s="28" t="s">
        <v>2631</v>
      </c>
      <c r="I801" s="27"/>
      <c r="J801" s="28" t="s">
        <v>2635</v>
      </c>
      <c r="K801" s="27"/>
      <c r="L801" s="25" t="s">
        <v>2634</v>
      </c>
      <c r="M801" s="25" t="s">
        <v>190</v>
      </c>
      <c r="N801" s="25">
        <v>12</v>
      </c>
      <c r="O801" s="25"/>
      <c r="P801" s="25">
        <v>34</v>
      </c>
      <c r="Q801" s="25">
        <v>13.5</v>
      </c>
      <c r="R801" s="25"/>
      <c r="S801" s="25">
        <v>8</v>
      </c>
      <c r="T801" s="25">
        <v>4</v>
      </c>
      <c r="U801" s="31">
        <f t="shared" si="13"/>
        <v>59.5</v>
      </c>
      <c r="V801" s="25"/>
      <c r="W801" s="33" t="s">
        <v>22</v>
      </c>
      <c r="X801" s="33"/>
      <c r="Y801" s="33"/>
      <c r="Z801" s="33" t="s">
        <v>353</v>
      </c>
      <c r="AA801" s="33"/>
    </row>
    <row r="802" spans="1:27" s="70" customFormat="1" ht="56.25" x14ac:dyDescent="0.2">
      <c r="A802" s="24">
        <v>798</v>
      </c>
      <c r="B802" s="27" t="s">
        <v>2376</v>
      </c>
      <c r="C802" s="28" t="s">
        <v>2375</v>
      </c>
      <c r="D802" s="71" t="s">
        <v>2572</v>
      </c>
      <c r="E802" s="28" t="s">
        <v>2571</v>
      </c>
      <c r="F802" s="28" t="s">
        <v>1918</v>
      </c>
      <c r="G802" s="27"/>
      <c r="H802" s="28" t="s">
        <v>2631</v>
      </c>
      <c r="I802" s="27"/>
      <c r="J802" s="28" t="s">
        <v>2633</v>
      </c>
      <c r="K802" s="27"/>
      <c r="L802" s="25"/>
      <c r="M802" s="25"/>
      <c r="N802" s="25"/>
      <c r="O802" s="25"/>
      <c r="P802" s="25"/>
      <c r="Q802" s="25"/>
      <c r="R802" s="25"/>
      <c r="S802" s="25"/>
      <c r="T802" s="25"/>
      <c r="U802" s="31">
        <f t="shared" si="13"/>
        <v>0</v>
      </c>
      <c r="V802" s="25"/>
      <c r="W802" s="33"/>
      <c r="X802" s="33"/>
      <c r="Y802" s="33"/>
      <c r="Z802" s="33"/>
      <c r="AA802" s="33"/>
    </row>
    <row r="803" spans="1:27" s="70" customFormat="1" ht="56.25" x14ac:dyDescent="0.2">
      <c r="A803" s="24">
        <v>799</v>
      </c>
      <c r="B803" s="27" t="s">
        <v>2376</v>
      </c>
      <c r="C803" s="28" t="s">
        <v>2375</v>
      </c>
      <c r="D803" s="71" t="s">
        <v>2572</v>
      </c>
      <c r="E803" s="28" t="s">
        <v>2571</v>
      </c>
      <c r="F803" s="28" t="s">
        <v>1918</v>
      </c>
      <c r="G803" s="27"/>
      <c r="H803" s="28" t="s">
        <v>2631</v>
      </c>
      <c r="I803" s="27"/>
      <c r="J803" s="28" t="s">
        <v>2630</v>
      </c>
      <c r="K803" s="27"/>
      <c r="L803" s="25" t="s">
        <v>2632</v>
      </c>
      <c r="M803" s="25" t="s">
        <v>190</v>
      </c>
      <c r="N803" s="25">
        <v>48</v>
      </c>
      <c r="O803" s="25"/>
      <c r="P803" s="25">
        <v>1.2</v>
      </c>
      <c r="Q803" s="25"/>
      <c r="R803" s="25"/>
      <c r="S803" s="25"/>
      <c r="T803" s="25">
        <v>0.5</v>
      </c>
      <c r="U803" s="31">
        <f t="shared" si="13"/>
        <v>1.7</v>
      </c>
      <c r="V803" s="25"/>
      <c r="W803" s="33" t="s">
        <v>22</v>
      </c>
      <c r="X803" s="33"/>
      <c r="Y803" s="33"/>
      <c r="Z803" s="33" t="s">
        <v>353</v>
      </c>
      <c r="AA803" s="33"/>
    </row>
    <row r="804" spans="1:27" s="70" customFormat="1" ht="56.25" x14ac:dyDescent="0.2">
      <c r="A804" s="24">
        <v>800</v>
      </c>
      <c r="B804" s="27" t="s">
        <v>2376</v>
      </c>
      <c r="C804" s="28" t="s">
        <v>2375</v>
      </c>
      <c r="D804" s="71" t="s">
        <v>2572</v>
      </c>
      <c r="E804" s="28" t="s">
        <v>2571</v>
      </c>
      <c r="F804" s="28" t="s">
        <v>1918</v>
      </c>
      <c r="G804" s="27"/>
      <c r="H804" s="28" t="s">
        <v>2631</v>
      </c>
      <c r="I804" s="27"/>
      <c r="J804" s="28" t="s">
        <v>2630</v>
      </c>
      <c r="K804" s="27"/>
      <c r="L804" s="25" t="s">
        <v>2629</v>
      </c>
      <c r="M804" s="25" t="s">
        <v>190</v>
      </c>
      <c r="N804" s="25">
        <v>8</v>
      </c>
      <c r="O804" s="25"/>
      <c r="P804" s="25"/>
      <c r="Q804" s="25">
        <v>8</v>
      </c>
      <c r="R804" s="25"/>
      <c r="S804" s="25"/>
      <c r="T804" s="25">
        <v>2</v>
      </c>
      <c r="U804" s="31">
        <f t="shared" si="13"/>
        <v>10</v>
      </c>
      <c r="V804" s="25"/>
      <c r="W804" s="33" t="s">
        <v>22</v>
      </c>
      <c r="X804" s="33"/>
      <c r="Y804" s="33"/>
      <c r="Z804" s="33" t="s">
        <v>353</v>
      </c>
      <c r="AA804" s="33"/>
    </row>
    <row r="805" spans="1:27" s="70" customFormat="1" ht="22.5" x14ac:dyDescent="0.2">
      <c r="A805" s="24">
        <v>801</v>
      </c>
      <c r="B805" s="27" t="s">
        <v>2376</v>
      </c>
      <c r="C805" s="28" t="s">
        <v>2375</v>
      </c>
      <c r="D805" s="71" t="s">
        <v>2572</v>
      </c>
      <c r="E805" s="28" t="s">
        <v>2571</v>
      </c>
      <c r="F805" s="28" t="s">
        <v>1918</v>
      </c>
      <c r="G805" s="27"/>
      <c r="H805" s="28" t="s">
        <v>2615</v>
      </c>
      <c r="I805" s="27"/>
      <c r="J805" s="28" t="s">
        <v>2628</v>
      </c>
      <c r="K805" s="27"/>
      <c r="L805" s="25" t="s">
        <v>2627</v>
      </c>
      <c r="M805" s="25" t="s">
        <v>2579</v>
      </c>
      <c r="N805" s="25">
        <v>1</v>
      </c>
      <c r="O805" s="25"/>
      <c r="P805" s="25"/>
      <c r="Q805" s="25">
        <v>302.39999999999998</v>
      </c>
      <c r="R805" s="25"/>
      <c r="S805" s="25">
        <v>40</v>
      </c>
      <c r="T805" s="25">
        <v>20</v>
      </c>
      <c r="U805" s="31">
        <f t="shared" si="13"/>
        <v>362.4</v>
      </c>
      <c r="V805" s="25"/>
      <c r="W805" s="33" t="s">
        <v>22</v>
      </c>
      <c r="X805" s="33"/>
      <c r="Y805" s="33"/>
      <c r="Z805" s="33" t="s">
        <v>353</v>
      </c>
      <c r="AA805" s="33"/>
    </row>
    <row r="806" spans="1:27" s="70" customFormat="1" ht="22.5" x14ac:dyDescent="0.2">
      <c r="A806" s="24">
        <v>802</v>
      </c>
      <c r="B806" s="27" t="s">
        <v>2376</v>
      </c>
      <c r="C806" s="28" t="s">
        <v>2375</v>
      </c>
      <c r="D806" s="71" t="s">
        <v>2572</v>
      </c>
      <c r="E806" s="28" t="s">
        <v>2571</v>
      </c>
      <c r="F806" s="28" t="s">
        <v>1918</v>
      </c>
      <c r="G806" s="27"/>
      <c r="H806" s="28" t="s">
        <v>2615</v>
      </c>
      <c r="I806" s="27"/>
      <c r="J806" s="28" t="s">
        <v>2626</v>
      </c>
      <c r="K806" s="27"/>
      <c r="L806" s="25" t="s">
        <v>2625</v>
      </c>
      <c r="M806" s="25" t="s">
        <v>2579</v>
      </c>
      <c r="N806" s="25">
        <v>1</v>
      </c>
      <c r="O806" s="25"/>
      <c r="P806" s="25"/>
      <c r="Q806" s="25">
        <v>44</v>
      </c>
      <c r="R806" s="25"/>
      <c r="S806" s="25">
        <v>4</v>
      </c>
      <c r="T806" s="25">
        <v>2</v>
      </c>
      <c r="U806" s="31">
        <f t="shared" si="13"/>
        <v>50</v>
      </c>
      <c r="V806" s="25"/>
      <c r="W806" s="33" t="s">
        <v>22</v>
      </c>
      <c r="X806" s="33"/>
      <c r="Y806" s="33"/>
      <c r="Z806" s="33" t="s">
        <v>353</v>
      </c>
      <c r="AA806" s="33"/>
    </row>
    <row r="807" spans="1:27" s="70" customFormat="1" ht="22.5" x14ac:dyDescent="0.2">
      <c r="A807" s="24">
        <v>803</v>
      </c>
      <c r="B807" s="27" t="s">
        <v>2376</v>
      </c>
      <c r="C807" s="28" t="s">
        <v>2375</v>
      </c>
      <c r="D807" s="71" t="s">
        <v>2572</v>
      </c>
      <c r="E807" s="28" t="s">
        <v>2571</v>
      </c>
      <c r="F807" s="28" t="s">
        <v>1918</v>
      </c>
      <c r="G807" s="27"/>
      <c r="H807" s="28" t="s">
        <v>2615</v>
      </c>
      <c r="I807" s="27"/>
      <c r="J807" s="28" t="s">
        <v>2623</v>
      </c>
      <c r="K807" s="27"/>
      <c r="L807" s="25" t="s">
        <v>2624</v>
      </c>
      <c r="M807" s="25" t="s">
        <v>2579</v>
      </c>
      <c r="N807" s="25">
        <v>1</v>
      </c>
      <c r="O807" s="25"/>
      <c r="P807" s="25"/>
      <c r="Q807" s="25">
        <v>100.8</v>
      </c>
      <c r="R807" s="25"/>
      <c r="S807" s="25">
        <v>40</v>
      </c>
      <c r="T807" s="25">
        <v>10</v>
      </c>
      <c r="U807" s="31">
        <f t="shared" si="13"/>
        <v>150.80000000000001</v>
      </c>
      <c r="V807" s="25"/>
      <c r="W807" s="33" t="s">
        <v>22</v>
      </c>
      <c r="X807" s="33"/>
      <c r="Y807" s="33"/>
      <c r="Z807" s="33" t="s">
        <v>353</v>
      </c>
      <c r="AA807" s="33"/>
    </row>
    <row r="808" spans="1:27" s="70" customFormat="1" ht="22.5" x14ac:dyDescent="0.2">
      <c r="A808" s="24">
        <v>804</v>
      </c>
      <c r="B808" s="27" t="s">
        <v>2376</v>
      </c>
      <c r="C808" s="28" t="s">
        <v>2375</v>
      </c>
      <c r="D808" s="71" t="s">
        <v>2572</v>
      </c>
      <c r="E808" s="28" t="s">
        <v>2571</v>
      </c>
      <c r="F808" s="28" t="s">
        <v>1918</v>
      </c>
      <c r="G808" s="27"/>
      <c r="H808" s="28" t="s">
        <v>2615</v>
      </c>
      <c r="I808" s="27"/>
      <c r="J808" s="28" t="s">
        <v>2623</v>
      </c>
      <c r="K808" s="27"/>
      <c r="L808" s="25" t="s">
        <v>2622</v>
      </c>
      <c r="M808" s="25" t="s">
        <v>2579</v>
      </c>
      <c r="N808" s="25">
        <v>1</v>
      </c>
      <c r="O808" s="25"/>
      <c r="P808" s="25"/>
      <c r="Q808" s="25">
        <v>201.6</v>
      </c>
      <c r="R808" s="25"/>
      <c r="S808" s="25">
        <v>40</v>
      </c>
      <c r="T808" s="25">
        <v>20</v>
      </c>
      <c r="U808" s="31">
        <f t="shared" si="13"/>
        <v>261.60000000000002</v>
      </c>
      <c r="V808" s="25"/>
      <c r="W808" s="33" t="s">
        <v>22</v>
      </c>
      <c r="X808" s="33"/>
      <c r="Y808" s="33"/>
      <c r="Z808" s="33" t="s">
        <v>353</v>
      </c>
      <c r="AA808" s="33"/>
    </row>
    <row r="809" spans="1:27" s="70" customFormat="1" ht="45" x14ac:dyDescent="0.2">
      <c r="A809" s="24">
        <v>805</v>
      </c>
      <c r="B809" s="27" t="s">
        <v>2376</v>
      </c>
      <c r="C809" s="28" t="s">
        <v>2375</v>
      </c>
      <c r="D809" s="71" t="s">
        <v>2572</v>
      </c>
      <c r="E809" s="28" t="s">
        <v>2571</v>
      </c>
      <c r="F809" s="28" t="s">
        <v>1918</v>
      </c>
      <c r="G809" s="27"/>
      <c r="H809" s="28" t="s">
        <v>2615</v>
      </c>
      <c r="I809" s="27"/>
      <c r="J809" s="28" t="s">
        <v>2614</v>
      </c>
      <c r="K809" s="27"/>
      <c r="L809" s="25" t="s">
        <v>2621</v>
      </c>
      <c r="M809" s="25" t="s">
        <v>2579</v>
      </c>
      <c r="N809" s="25">
        <v>1</v>
      </c>
      <c r="O809" s="25"/>
      <c r="P809" s="25">
        <v>232</v>
      </c>
      <c r="Q809" s="25"/>
      <c r="R809" s="25"/>
      <c r="S809" s="25">
        <v>80</v>
      </c>
      <c r="T809" s="25">
        <v>40</v>
      </c>
      <c r="U809" s="31">
        <f t="shared" si="13"/>
        <v>352</v>
      </c>
      <c r="V809" s="25"/>
      <c r="W809" s="33" t="s">
        <v>22</v>
      </c>
      <c r="X809" s="33"/>
      <c r="Y809" s="33"/>
      <c r="Z809" s="33" t="s">
        <v>353</v>
      </c>
      <c r="AA809" s="33"/>
    </row>
    <row r="810" spans="1:27" s="70" customFormat="1" ht="33.75" x14ac:dyDescent="0.2">
      <c r="A810" s="24">
        <v>806</v>
      </c>
      <c r="B810" s="27" t="s">
        <v>2376</v>
      </c>
      <c r="C810" s="28" t="s">
        <v>2375</v>
      </c>
      <c r="D810" s="71" t="s">
        <v>2572</v>
      </c>
      <c r="E810" s="28" t="s">
        <v>2571</v>
      </c>
      <c r="F810" s="28" t="s">
        <v>1918</v>
      </c>
      <c r="G810" s="27"/>
      <c r="H810" s="28" t="s">
        <v>2615</v>
      </c>
      <c r="I810" s="27"/>
      <c r="J810" s="28" t="s">
        <v>2614</v>
      </c>
      <c r="K810" s="27"/>
      <c r="L810" s="25" t="s">
        <v>2620</v>
      </c>
      <c r="M810" s="25" t="s">
        <v>190</v>
      </c>
      <c r="N810" s="25">
        <v>252</v>
      </c>
      <c r="O810" s="25"/>
      <c r="P810" s="25"/>
      <c r="Q810" s="25">
        <v>1.2</v>
      </c>
      <c r="R810" s="25"/>
      <c r="S810" s="25">
        <v>0.5</v>
      </c>
      <c r="T810" s="25">
        <v>0.5</v>
      </c>
      <c r="U810" s="31">
        <f t="shared" si="13"/>
        <v>2.2000000000000002</v>
      </c>
      <c r="V810" s="25"/>
      <c r="W810" s="33" t="s">
        <v>22</v>
      </c>
      <c r="X810" s="33"/>
      <c r="Y810" s="33"/>
      <c r="Z810" s="33" t="s">
        <v>353</v>
      </c>
      <c r="AA810" s="33"/>
    </row>
    <row r="811" spans="1:27" s="70" customFormat="1" ht="33.75" x14ac:dyDescent="0.2">
      <c r="A811" s="24">
        <v>807</v>
      </c>
      <c r="B811" s="27" t="s">
        <v>2376</v>
      </c>
      <c r="C811" s="28" t="s">
        <v>2375</v>
      </c>
      <c r="D811" s="71" t="s">
        <v>2572</v>
      </c>
      <c r="E811" s="28" t="s">
        <v>2571</v>
      </c>
      <c r="F811" s="28" t="s">
        <v>1918</v>
      </c>
      <c r="G811" s="27"/>
      <c r="H811" s="28" t="s">
        <v>2615</v>
      </c>
      <c r="I811" s="27"/>
      <c r="J811" s="28" t="s">
        <v>2614</v>
      </c>
      <c r="K811" s="27"/>
      <c r="L811" s="25" t="s">
        <v>2619</v>
      </c>
      <c r="M811" s="25" t="s">
        <v>190</v>
      </c>
      <c r="N811" s="25">
        <v>252</v>
      </c>
      <c r="O811" s="25"/>
      <c r="P811" s="25"/>
      <c r="Q811" s="25">
        <v>1.2</v>
      </c>
      <c r="R811" s="25"/>
      <c r="S811" s="25">
        <v>0.5</v>
      </c>
      <c r="T811" s="25">
        <v>0.5</v>
      </c>
      <c r="U811" s="31">
        <f t="shared" si="13"/>
        <v>2.2000000000000002</v>
      </c>
      <c r="V811" s="25"/>
      <c r="W811" s="33" t="s">
        <v>22</v>
      </c>
      <c r="X811" s="33"/>
      <c r="Y811" s="33"/>
      <c r="Z811" s="33" t="s">
        <v>353</v>
      </c>
      <c r="AA811" s="33"/>
    </row>
    <row r="812" spans="1:27" s="70" customFormat="1" ht="33.75" x14ac:dyDescent="0.2">
      <c r="A812" s="24">
        <v>808</v>
      </c>
      <c r="B812" s="27" t="s">
        <v>2376</v>
      </c>
      <c r="C812" s="28" t="s">
        <v>2375</v>
      </c>
      <c r="D812" s="71" t="s">
        <v>2572</v>
      </c>
      <c r="E812" s="28" t="s">
        <v>2571</v>
      </c>
      <c r="F812" s="28" t="s">
        <v>1918</v>
      </c>
      <c r="G812" s="27"/>
      <c r="H812" s="28" t="s">
        <v>2615</v>
      </c>
      <c r="I812" s="27"/>
      <c r="J812" s="28" t="s">
        <v>2614</v>
      </c>
      <c r="K812" s="27"/>
      <c r="L812" s="25" t="s">
        <v>2618</v>
      </c>
      <c r="M812" s="25" t="s">
        <v>190</v>
      </c>
      <c r="N812" s="25">
        <v>252</v>
      </c>
      <c r="O812" s="25"/>
      <c r="P812" s="25"/>
      <c r="Q812" s="25">
        <v>1.2</v>
      </c>
      <c r="R812" s="25"/>
      <c r="S812" s="25">
        <v>0.5</v>
      </c>
      <c r="T812" s="25">
        <v>0.5</v>
      </c>
      <c r="U812" s="31">
        <f t="shared" si="13"/>
        <v>2.2000000000000002</v>
      </c>
      <c r="V812" s="25"/>
      <c r="W812" s="33" t="s">
        <v>22</v>
      </c>
      <c r="X812" s="33"/>
      <c r="Y812" s="33"/>
      <c r="Z812" s="33" t="s">
        <v>353</v>
      </c>
      <c r="AA812" s="33"/>
    </row>
    <row r="813" spans="1:27" s="70" customFormat="1" ht="33.75" x14ac:dyDescent="0.2">
      <c r="A813" s="24">
        <v>809</v>
      </c>
      <c r="B813" s="27" t="s">
        <v>2376</v>
      </c>
      <c r="C813" s="28" t="s">
        <v>2375</v>
      </c>
      <c r="D813" s="71" t="s">
        <v>2572</v>
      </c>
      <c r="E813" s="28" t="s">
        <v>2571</v>
      </c>
      <c r="F813" s="28" t="s">
        <v>1918</v>
      </c>
      <c r="G813" s="27"/>
      <c r="H813" s="28" t="s">
        <v>2615</v>
      </c>
      <c r="I813" s="27"/>
      <c r="J813" s="28" t="s">
        <v>2614</v>
      </c>
      <c r="K813" s="27"/>
      <c r="L813" s="25" t="s">
        <v>2617</v>
      </c>
      <c r="M813" s="25" t="s">
        <v>190</v>
      </c>
      <c r="N813" s="25">
        <v>252</v>
      </c>
      <c r="O813" s="25"/>
      <c r="P813" s="25"/>
      <c r="Q813" s="25">
        <v>1.2</v>
      </c>
      <c r="R813" s="25"/>
      <c r="S813" s="25">
        <v>0.5</v>
      </c>
      <c r="T813" s="25">
        <v>0.5</v>
      </c>
      <c r="U813" s="31">
        <f t="shared" si="13"/>
        <v>2.2000000000000002</v>
      </c>
      <c r="V813" s="25"/>
      <c r="W813" s="33" t="s">
        <v>22</v>
      </c>
      <c r="X813" s="33"/>
      <c r="Y813" s="33"/>
      <c r="Z813" s="33" t="s">
        <v>353</v>
      </c>
      <c r="AA813" s="33"/>
    </row>
    <row r="814" spans="1:27" s="70" customFormat="1" ht="33.75" x14ac:dyDescent="0.2">
      <c r="A814" s="24">
        <v>810</v>
      </c>
      <c r="B814" s="27" t="s">
        <v>2376</v>
      </c>
      <c r="C814" s="28" t="s">
        <v>2375</v>
      </c>
      <c r="D814" s="71" t="s">
        <v>2572</v>
      </c>
      <c r="E814" s="28" t="s">
        <v>2571</v>
      </c>
      <c r="F814" s="28" t="s">
        <v>1918</v>
      </c>
      <c r="G814" s="27"/>
      <c r="H814" s="28" t="s">
        <v>2615</v>
      </c>
      <c r="I814" s="27"/>
      <c r="J814" s="28" t="s">
        <v>2614</v>
      </c>
      <c r="K814" s="27"/>
      <c r="L814" s="25" t="s">
        <v>2616</v>
      </c>
      <c r="M814" s="25" t="s">
        <v>190</v>
      </c>
      <c r="N814" s="25">
        <v>252</v>
      </c>
      <c r="O814" s="25"/>
      <c r="P814" s="25"/>
      <c r="Q814" s="25">
        <v>0.79999999999999993</v>
      </c>
      <c r="R814" s="25"/>
      <c r="S814" s="25">
        <v>0.5</v>
      </c>
      <c r="T814" s="25">
        <v>0.2</v>
      </c>
      <c r="U814" s="31">
        <f t="shared" si="13"/>
        <v>1.4999999999999998</v>
      </c>
      <c r="V814" s="25"/>
      <c r="W814" s="33" t="s">
        <v>22</v>
      </c>
      <c r="X814" s="33"/>
      <c r="Y814" s="33"/>
      <c r="Z814" s="33" t="s">
        <v>353</v>
      </c>
      <c r="AA814" s="33"/>
    </row>
    <row r="815" spans="1:27" s="70" customFormat="1" ht="33.75" x14ac:dyDescent="0.2">
      <c r="A815" s="24">
        <v>811</v>
      </c>
      <c r="B815" s="27" t="s">
        <v>2376</v>
      </c>
      <c r="C815" s="28" t="s">
        <v>2375</v>
      </c>
      <c r="D815" s="71" t="s">
        <v>2572</v>
      </c>
      <c r="E815" s="28" t="s">
        <v>2571</v>
      </c>
      <c r="F815" s="28" t="s">
        <v>1918</v>
      </c>
      <c r="G815" s="27"/>
      <c r="H815" s="28" t="s">
        <v>2615</v>
      </c>
      <c r="I815" s="27"/>
      <c r="J815" s="28" t="s">
        <v>2614</v>
      </c>
      <c r="K815" s="27"/>
      <c r="L815" s="25" t="s">
        <v>2613</v>
      </c>
      <c r="M815" s="25" t="s">
        <v>1275</v>
      </c>
      <c r="N815" s="25">
        <v>4</v>
      </c>
      <c r="O815" s="25"/>
      <c r="P815" s="25"/>
      <c r="Q815" s="25">
        <v>24</v>
      </c>
      <c r="R815" s="25"/>
      <c r="S815" s="25">
        <v>10</v>
      </c>
      <c r="T815" s="25">
        <v>5</v>
      </c>
      <c r="U815" s="31">
        <f t="shared" si="13"/>
        <v>39</v>
      </c>
      <c r="V815" s="25"/>
      <c r="W815" s="33" t="s">
        <v>22</v>
      </c>
      <c r="X815" s="33"/>
      <c r="Y815" s="33"/>
      <c r="Z815" s="33" t="s">
        <v>353</v>
      </c>
      <c r="AA815" s="33"/>
    </row>
    <row r="816" spans="1:27" s="70" customFormat="1" ht="45" x14ac:dyDescent="0.2">
      <c r="A816" s="24">
        <v>812</v>
      </c>
      <c r="B816" s="27" t="s">
        <v>2376</v>
      </c>
      <c r="C816" s="28" t="s">
        <v>2375</v>
      </c>
      <c r="D816" s="71" t="s">
        <v>2572</v>
      </c>
      <c r="E816" s="28" t="s">
        <v>2571</v>
      </c>
      <c r="F816" s="28" t="s">
        <v>1918</v>
      </c>
      <c r="G816" s="27"/>
      <c r="H816" s="28" t="s">
        <v>2601</v>
      </c>
      <c r="I816" s="27"/>
      <c r="J816" s="28" t="s">
        <v>2611</v>
      </c>
      <c r="K816" s="27"/>
      <c r="L816" s="25" t="s">
        <v>2612</v>
      </c>
      <c r="M816" s="25" t="s">
        <v>190</v>
      </c>
      <c r="N816" s="25">
        <v>48</v>
      </c>
      <c r="O816" s="25"/>
      <c r="P816" s="25">
        <v>12.6</v>
      </c>
      <c r="Q816" s="25"/>
      <c r="R816" s="25"/>
      <c r="S816" s="25">
        <v>2</v>
      </c>
      <c r="T816" s="25">
        <v>1</v>
      </c>
      <c r="U816" s="31">
        <f t="shared" si="13"/>
        <v>15.6</v>
      </c>
      <c r="V816" s="25"/>
      <c r="W816" s="33" t="s">
        <v>2575</v>
      </c>
      <c r="X816" s="33"/>
      <c r="Y816" s="33"/>
      <c r="Z816" s="33" t="s">
        <v>2574</v>
      </c>
      <c r="AA816" s="33"/>
    </row>
    <row r="817" spans="1:27" s="70" customFormat="1" ht="33.75" x14ac:dyDescent="0.2">
      <c r="A817" s="24">
        <v>813</v>
      </c>
      <c r="B817" s="27" t="s">
        <v>2376</v>
      </c>
      <c r="C817" s="28" t="s">
        <v>2375</v>
      </c>
      <c r="D817" s="71" t="s">
        <v>2572</v>
      </c>
      <c r="E817" s="28" t="s">
        <v>2571</v>
      </c>
      <c r="F817" s="28" t="s">
        <v>1918</v>
      </c>
      <c r="G817" s="27"/>
      <c r="H817" s="28" t="s">
        <v>2601</v>
      </c>
      <c r="I817" s="27"/>
      <c r="J817" s="28" t="s">
        <v>2611</v>
      </c>
      <c r="K817" s="27"/>
      <c r="L817" s="25" t="s">
        <v>2610</v>
      </c>
      <c r="M817" s="25" t="s">
        <v>1275</v>
      </c>
      <c r="N817" s="25">
        <v>5</v>
      </c>
      <c r="O817" s="25"/>
      <c r="P817" s="25">
        <v>2</v>
      </c>
      <c r="Q817" s="25">
        <v>2</v>
      </c>
      <c r="R817" s="25"/>
      <c r="S817" s="25">
        <v>100</v>
      </c>
      <c r="T817" s="25">
        <v>50</v>
      </c>
      <c r="U817" s="31">
        <f t="shared" si="13"/>
        <v>154</v>
      </c>
      <c r="V817" s="25"/>
      <c r="W817" s="33" t="s">
        <v>41</v>
      </c>
      <c r="X817" s="33"/>
      <c r="Y817" s="33"/>
      <c r="Z817" s="33" t="s">
        <v>2578</v>
      </c>
      <c r="AA817" s="33"/>
    </row>
    <row r="818" spans="1:27" s="70" customFormat="1" ht="33.75" x14ac:dyDescent="0.2">
      <c r="A818" s="24">
        <v>814</v>
      </c>
      <c r="B818" s="27" t="s">
        <v>2376</v>
      </c>
      <c r="C818" s="28" t="s">
        <v>2375</v>
      </c>
      <c r="D818" s="71" t="s">
        <v>2572</v>
      </c>
      <c r="E818" s="28" t="s">
        <v>2571</v>
      </c>
      <c r="F818" s="28" t="s">
        <v>1918</v>
      </c>
      <c r="G818" s="27"/>
      <c r="H818" s="28" t="s">
        <v>2601</v>
      </c>
      <c r="I818" s="27"/>
      <c r="J818" s="28" t="s">
        <v>2609</v>
      </c>
      <c r="K818" s="27"/>
      <c r="L818" s="25" t="s">
        <v>2608</v>
      </c>
      <c r="M818" s="25" t="s">
        <v>2579</v>
      </c>
      <c r="N818" s="25">
        <v>1</v>
      </c>
      <c r="O818" s="25"/>
      <c r="P818" s="25">
        <v>80.64</v>
      </c>
      <c r="Q818" s="25">
        <v>320</v>
      </c>
      <c r="R818" s="25"/>
      <c r="S818" s="25">
        <v>40</v>
      </c>
      <c r="T818" s="25">
        <v>20</v>
      </c>
      <c r="U818" s="31">
        <f t="shared" si="13"/>
        <v>460.64</v>
      </c>
      <c r="V818" s="25"/>
      <c r="W818" s="33" t="s">
        <v>22</v>
      </c>
      <c r="X818" s="33"/>
      <c r="Y818" s="33"/>
      <c r="Z818" s="33" t="s">
        <v>353</v>
      </c>
      <c r="AA818" s="33"/>
    </row>
    <row r="819" spans="1:27" s="70" customFormat="1" ht="22.5" x14ac:dyDescent="0.2">
      <c r="A819" s="24">
        <v>815</v>
      </c>
      <c r="B819" s="27" t="s">
        <v>2376</v>
      </c>
      <c r="C819" s="28" t="s">
        <v>2375</v>
      </c>
      <c r="D819" s="71" t="s">
        <v>2572</v>
      </c>
      <c r="E819" s="28" t="s">
        <v>2571</v>
      </c>
      <c r="F819" s="28" t="s">
        <v>1918</v>
      </c>
      <c r="G819" s="27"/>
      <c r="H819" s="28" t="s">
        <v>2601</v>
      </c>
      <c r="I819" s="27"/>
      <c r="J819" s="28" t="s">
        <v>2607</v>
      </c>
      <c r="K819" s="27"/>
      <c r="L819" s="25" t="s">
        <v>2606</v>
      </c>
      <c r="M819" s="25" t="s">
        <v>2579</v>
      </c>
      <c r="N819" s="25">
        <v>1</v>
      </c>
      <c r="O819" s="25"/>
      <c r="P819" s="25">
        <v>302.39999999999998</v>
      </c>
      <c r="Q819" s="25">
        <v>302.39999999999998</v>
      </c>
      <c r="R819" s="25"/>
      <c r="S819" s="25">
        <v>40</v>
      </c>
      <c r="T819" s="25">
        <v>20</v>
      </c>
      <c r="U819" s="31">
        <f t="shared" si="13"/>
        <v>664.8</v>
      </c>
      <c r="V819" s="25"/>
      <c r="W819" s="33" t="s">
        <v>22</v>
      </c>
      <c r="X819" s="33"/>
      <c r="Y819" s="33"/>
      <c r="Z819" s="33" t="s">
        <v>353</v>
      </c>
      <c r="AA819" s="33"/>
    </row>
    <row r="820" spans="1:27" s="70" customFormat="1" ht="45" x14ac:dyDescent="0.2">
      <c r="A820" s="24">
        <v>816</v>
      </c>
      <c r="B820" s="27" t="s">
        <v>2376</v>
      </c>
      <c r="C820" s="28" t="s">
        <v>2375</v>
      </c>
      <c r="D820" s="71" t="s">
        <v>2572</v>
      </c>
      <c r="E820" s="28" t="s">
        <v>2571</v>
      </c>
      <c r="F820" s="28" t="s">
        <v>1918</v>
      </c>
      <c r="G820" s="27"/>
      <c r="H820" s="28" t="s">
        <v>2601</v>
      </c>
      <c r="I820" s="27"/>
      <c r="J820" s="28" t="s">
        <v>2605</v>
      </c>
      <c r="K820" s="27"/>
      <c r="L820" s="25" t="s">
        <v>2604</v>
      </c>
      <c r="M820" s="25" t="s">
        <v>2579</v>
      </c>
      <c r="N820" s="25">
        <v>1</v>
      </c>
      <c r="O820" s="25"/>
      <c r="P820" s="25">
        <v>100.8</v>
      </c>
      <c r="Q820" s="25"/>
      <c r="R820" s="25"/>
      <c r="S820" s="25">
        <v>40</v>
      </c>
      <c r="T820" s="25">
        <v>10</v>
      </c>
      <c r="U820" s="31">
        <f t="shared" si="13"/>
        <v>150.80000000000001</v>
      </c>
      <c r="V820" s="25"/>
      <c r="W820" s="33" t="s">
        <v>2575</v>
      </c>
      <c r="X820" s="33"/>
      <c r="Y820" s="33"/>
      <c r="Z820" s="33" t="s">
        <v>2574</v>
      </c>
      <c r="AA820" s="33"/>
    </row>
    <row r="821" spans="1:27" s="70" customFormat="1" ht="45" x14ac:dyDescent="0.2">
      <c r="A821" s="24">
        <v>817</v>
      </c>
      <c r="B821" s="27" t="s">
        <v>2376</v>
      </c>
      <c r="C821" s="28" t="s">
        <v>2375</v>
      </c>
      <c r="D821" s="71" t="s">
        <v>2572</v>
      </c>
      <c r="E821" s="28" t="s">
        <v>2571</v>
      </c>
      <c r="F821" s="28" t="s">
        <v>1918</v>
      </c>
      <c r="G821" s="27"/>
      <c r="H821" s="28" t="s">
        <v>2601</v>
      </c>
      <c r="I821" s="27"/>
      <c r="J821" s="28" t="s">
        <v>2600</v>
      </c>
      <c r="K821" s="27"/>
      <c r="L821" s="25" t="s">
        <v>2603</v>
      </c>
      <c r="M821" s="25" t="s">
        <v>2579</v>
      </c>
      <c r="N821" s="25">
        <v>2</v>
      </c>
      <c r="O821" s="25"/>
      <c r="P821" s="25">
        <v>201.6</v>
      </c>
      <c r="Q821" s="25"/>
      <c r="R821" s="25"/>
      <c r="S821" s="25">
        <v>100</v>
      </c>
      <c r="T821" s="25">
        <v>10</v>
      </c>
      <c r="U821" s="31">
        <f t="shared" si="13"/>
        <v>311.60000000000002</v>
      </c>
      <c r="V821" s="25"/>
      <c r="W821" s="33" t="s">
        <v>2575</v>
      </c>
      <c r="X821" s="33"/>
      <c r="Y821" s="33"/>
      <c r="Z821" s="33" t="s">
        <v>2574</v>
      </c>
      <c r="AA821" s="33"/>
    </row>
    <row r="822" spans="1:27" s="70" customFormat="1" ht="45" x14ac:dyDescent="0.2">
      <c r="A822" s="24">
        <v>818</v>
      </c>
      <c r="B822" s="27" t="s">
        <v>2376</v>
      </c>
      <c r="C822" s="28" t="s">
        <v>2375</v>
      </c>
      <c r="D822" s="71" t="s">
        <v>2572</v>
      </c>
      <c r="E822" s="28" t="s">
        <v>2571</v>
      </c>
      <c r="F822" s="28" t="s">
        <v>1918</v>
      </c>
      <c r="G822" s="27"/>
      <c r="H822" s="28" t="s">
        <v>2601</v>
      </c>
      <c r="I822" s="27"/>
      <c r="J822" s="28" t="s">
        <v>2600</v>
      </c>
      <c r="K822" s="27"/>
      <c r="L822" s="25" t="s">
        <v>2602</v>
      </c>
      <c r="M822" s="25" t="s">
        <v>190</v>
      </c>
      <c r="N822" s="25">
        <v>12</v>
      </c>
      <c r="O822" s="25"/>
      <c r="P822" s="25">
        <v>16.8</v>
      </c>
      <c r="Q822" s="25"/>
      <c r="R822" s="25"/>
      <c r="S822" s="25">
        <v>2</v>
      </c>
      <c r="T822" s="25">
        <v>1</v>
      </c>
      <c r="U822" s="31">
        <f t="shared" si="13"/>
        <v>19.8</v>
      </c>
      <c r="V822" s="25"/>
      <c r="W822" s="33" t="s">
        <v>2575</v>
      </c>
      <c r="X822" s="33"/>
      <c r="Y822" s="33"/>
      <c r="Z822" s="33" t="s">
        <v>2574</v>
      </c>
      <c r="AA822" s="33"/>
    </row>
    <row r="823" spans="1:27" s="70" customFormat="1" ht="33.75" x14ac:dyDescent="0.2">
      <c r="A823" s="24">
        <v>819</v>
      </c>
      <c r="B823" s="27" t="s">
        <v>2376</v>
      </c>
      <c r="C823" s="28" t="s">
        <v>2375</v>
      </c>
      <c r="D823" s="71" t="s">
        <v>2572</v>
      </c>
      <c r="E823" s="28" t="s">
        <v>2571</v>
      </c>
      <c r="F823" s="28" t="s">
        <v>1918</v>
      </c>
      <c r="G823" s="27"/>
      <c r="H823" s="28" t="s">
        <v>2601</v>
      </c>
      <c r="I823" s="27"/>
      <c r="J823" s="28" t="s">
        <v>2600</v>
      </c>
      <c r="K823" s="27"/>
      <c r="L823" s="25" t="s">
        <v>2599</v>
      </c>
      <c r="M823" s="25" t="s">
        <v>190</v>
      </c>
      <c r="N823" s="25">
        <v>4</v>
      </c>
      <c r="O823" s="25"/>
      <c r="P823" s="25">
        <v>50.4</v>
      </c>
      <c r="Q823" s="25"/>
      <c r="R823" s="25"/>
      <c r="S823" s="25">
        <v>4</v>
      </c>
      <c r="T823" s="25">
        <v>1</v>
      </c>
      <c r="U823" s="31">
        <f t="shared" si="13"/>
        <v>55.4</v>
      </c>
      <c r="V823" s="25"/>
      <c r="W823" s="33" t="s">
        <v>22</v>
      </c>
      <c r="X823" s="33"/>
      <c r="Y823" s="33"/>
      <c r="Z823" s="33" t="s">
        <v>353</v>
      </c>
      <c r="AA823" s="33"/>
    </row>
    <row r="824" spans="1:27" s="70" customFormat="1" ht="123.75" x14ac:dyDescent="0.2">
      <c r="A824" s="24">
        <v>820</v>
      </c>
      <c r="B824" s="27" t="s">
        <v>2376</v>
      </c>
      <c r="C824" s="28" t="s">
        <v>2375</v>
      </c>
      <c r="D824" s="71" t="s">
        <v>2572</v>
      </c>
      <c r="E824" s="28" t="s">
        <v>2571</v>
      </c>
      <c r="F824" s="28" t="s">
        <v>1918</v>
      </c>
      <c r="G824" s="27"/>
      <c r="H824" s="28" t="s">
        <v>2583</v>
      </c>
      <c r="I824" s="27"/>
      <c r="J824" s="28" t="s">
        <v>2595</v>
      </c>
      <c r="K824" s="27"/>
      <c r="L824" s="25" t="s">
        <v>2598</v>
      </c>
      <c r="M824" s="25" t="s">
        <v>2579</v>
      </c>
      <c r="N824" s="25">
        <v>1</v>
      </c>
      <c r="O824" s="25"/>
      <c r="P824" s="25">
        <v>206</v>
      </c>
      <c r="Q824" s="25">
        <v>500</v>
      </c>
      <c r="R824" s="25"/>
      <c r="S824" s="25"/>
      <c r="T824" s="25">
        <v>40</v>
      </c>
      <c r="U824" s="31">
        <f t="shared" si="13"/>
        <v>746</v>
      </c>
      <c r="V824" s="25"/>
      <c r="W824" s="33" t="s">
        <v>22</v>
      </c>
      <c r="X824" s="33"/>
      <c r="Y824" s="33"/>
      <c r="Z824" s="33" t="s">
        <v>353</v>
      </c>
      <c r="AA824" s="33"/>
    </row>
    <row r="825" spans="1:27" s="70" customFormat="1" ht="123.75" x14ac:dyDescent="0.2">
      <c r="A825" s="24">
        <v>821</v>
      </c>
      <c r="B825" s="27" t="s">
        <v>2376</v>
      </c>
      <c r="C825" s="28" t="s">
        <v>2375</v>
      </c>
      <c r="D825" s="71" t="s">
        <v>2572</v>
      </c>
      <c r="E825" s="28" t="s">
        <v>2571</v>
      </c>
      <c r="F825" s="28" t="s">
        <v>1918</v>
      </c>
      <c r="G825" s="27"/>
      <c r="H825" s="28" t="s">
        <v>2583</v>
      </c>
      <c r="I825" s="27"/>
      <c r="J825" s="28" t="s">
        <v>2595</v>
      </c>
      <c r="K825" s="27"/>
      <c r="L825" s="25" t="s">
        <v>2597</v>
      </c>
      <c r="M825" s="25" t="s">
        <v>2579</v>
      </c>
      <c r="N825" s="25">
        <v>1</v>
      </c>
      <c r="O825" s="25"/>
      <c r="P825" s="25">
        <v>102</v>
      </c>
      <c r="Q825" s="25">
        <v>200</v>
      </c>
      <c r="R825" s="25"/>
      <c r="S825" s="25"/>
      <c r="T825" s="25">
        <v>200</v>
      </c>
      <c r="U825" s="31">
        <f t="shared" si="13"/>
        <v>502</v>
      </c>
      <c r="V825" s="25"/>
      <c r="W825" s="33" t="s">
        <v>22</v>
      </c>
      <c r="X825" s="33"/>
      <c r="Y825" s="33"/>
      <c r="Z825" s="33" t="s">
        <v>353</v>
      </c>
      <c r="AA825" s="33"/>
    </row>
    <row r="826" spans="1:27" s="70" customFormat="1" ht="123.75" x14ac:dyDescent="0.2">
      <c r="A826" s="24">
        <v>822</v>
      </c>
      <c r="B826" s="27" t="s">
        <v>2376</v>
      </c>
      <c r="C826" s="28" t="s">
        <v>2375</v>
      </c>
      <c r="D826" s="71" t="s">
        <v>2572</v>
      </c>
      <c r="E826" s="28" t="s">
        <v>2571</v>
      </c>
      <c r="F826" s="28" t="s">
        <v>1918</v>
      </c>
      <c r="G826" s="27"/>
      <c r="H826" s="28" t="s">
        <v>2583</v>
      </c>
      <c r="I826" s="27"/>
      <c r="J826" s="28" t="s">
        <v>2595</v>
      </c>
      <c r="K826" s="27"/>
      <c r="L826" s="25" t="s">
        <v>2596</v>
      </c>
      <c r="M826" s="25" t="s">
        <v>2579</v>
      </c>
      <c r="N826" s="25">
        <v>1</v>
      </c>
      <c r="O826" s="25"/>
      <c r="P826" s="25">
        <v>225</v>
      </c>
      <c r="Q826" s="25"/>
      <c r="R826" s="25"/>
      <c r="S826" s="25"/>
      <c r="T826" s="25">
        <v>10</v>
      </c>
      <c r="U826" s="31">
        <f t="shared" si="13"/>
        <v>235</v>
      </c>
      <c r="V826" s="25"/>
      <c r="W826" s="33" t="s">
        <v>22</v>
      </c>
      <c r="X826" s="33"/>
      <c r="Y826" s="33"/>
      <c r="Z826" s="33" t="s">
        <v>353</v>
      </c>
      <c r="AA826" s="33"/>
    </row>
    <row r="827" spans="1:27" s="70" customFormat="1" ht="123.75" x14ac:dyDescent="0.2">
      <c r="A827" s="24">
        <v>823</v>
      </c>
      <c r="B827" s="27" t="s">
        <v>2376</v>
      </c>
      <c r="C827" s="28" t="s">
        <v>2375</v>
      </c>
      <c r="D827" s="71" t="s">
        <v>2572</v>
      </c>
      <c r="E827" s="28" t="s">
        <v>2571</v>
      </c>
      <c r="F827" s="28" t="s">
        <v>1918</v>
      </c>
      <c r="G827" s="27"/>
      <c r="H827" s="28" t="s">
        <v>2583</v>
      </c>
      <c r="I827" s="27"/>
      <c r="J827" s="28" t="s">
        <v>2595</v>
      </c>
      <c r="K827" s="27"/>
      <c r="L827" s="25" t="s">
        <v>2594</v>
      </c>
      <c r="M827" s="25" t="s">
        <v>1275</v>
      </c>
      <c r="N827" s="25">
        <v>1</v>
      </c>
      <c r="O827" s="25"/>
      <c r="P827" s="25"/>
      <c r="Q827" s="25">
        <v>56</v>
      </c>
      <c r="R827" s="25"/>
      <c r="S827" s="25"/>
      <c r="T827" s="25">
        <v>10</v>
      </c>
      <c r="U827" s="31">
        <f t="shared" si="13"/>
        <v>66</v>
      </c>
      <c r="V827" s="25"/>
      <c r="W827" s="33" t="s">
        <v>22</v>
      </c>
      <c r="X827" s="33"/>
      <c r="Y827" s="33"/>
      <c r="Z827" s="33" t="s">
        <v>353</v>
      </c>
      <c r="AA827" s="33"/>
    </row>
    <row r="828" spans="1:27" s="70" customFormat="1" ht="123.75" x14ac:dyDescent="0.2">
      <c r="A828" s="24">
        <v>824</v>
      </c>
      <c r="B828" s="27" t="s">
        <v>2376</v>
      </c>
      <c r="C828" s="28" t="s">
        <v>2375</v>
      </c>
      <c r="D828" s="71" t="s">
        <v>2572</v>
      </c>
      <c r="E828" s="28" t="s">
        <v>2571</v>
      </c>
      <c r="F828" s="28" t="s">
        <v>1918</v>
      </c>
      <c r="G828" s="27"/>
      <c r="H828" s="28" t="s">
        <v>2583</v>
      </c>
      <c r="I828" s="27"/>
      <c r="J828" s="28" t="s">
        <v>2592</v>
      </c>
      <c r="K828" s="27"/>
      <c r="L828" s="25" t="s">
        <v>2593</v>
      </c>
      <c r="M828" s="25" t="s">
        <v>2579</v>
      </c>
      <c r="N828" s="25">
        <v>1</v>
      </c>
      <c r="O828" s="25"/>
      <c r="P828" s="25">
        <v>153</v>
      </c>
      <c r="Q828" s="25">
        <v>250</v>
      </c>
      <c r="R828" s="25"/>
      <c r="S828" s="25"/>
      <c r="T828" s="25">
        <v>20</v>
      </c>
      <c r="U828" s="31">
        <f t="shared" si="13"/>
        <v>423</v>
      </c>
      <c r="V828" s="25"/>
      <c r="W828" s="33" t="s">
        <v>22</v>
      </c>
      <c r="X828" s="33"/>
      <c r="Y828" s="33"/>
      <c r="Z828" s="33" t="s">
        <v>353</v>
      </c>
      <c r="AA828" s="33"/>
    </row>
    <row r="829" spans="1:27" s="70" customFormat="1" ht="123.75" x14ac:dyDescent="0.2">
      <c r="A829" s="24">
        <v>825</v>
      </c>
      <c r="B829" s="27" t="s">
        <v>2376</v>
      </c>
      <c r="C829" s="28" t="s">
        <v>2375</v>
      </c>
      <c r="D829" s="71" t="s">
        <v>2572</v>
      </c>
      <c r="E829" s="28" t="s">
        <v>2571</v>
      </c>
      <c r="F829" s="28" t="s">
        <v>1918</v>
      </c>
      <c r="G829" s="27"/>
      <c r="H829" s="28" t="s">
        <v>2583</v>
      </c>
      <c r="I829" s="27"/>
      <c r="J829" s="28" t="s">
        <v>2592</v>
      </c>
      <c r="K829" s="27"/>
      <c r="L829" s="25" t="s">
        <v>2591</v>
      </c>
      <c r="M829" s="25" t="s">
        <v>2579</v>
      </c>
      <c r="N829" s="25">
        <v>1</v>
      </c>
      <c r="O829" s="25"/>
      <c r="P829" s="25"/>
      <c r="Q829" s="25">
        <v>302</v>
      </c>
      <c r="R829" s="25"/>
      <c r="S829" s="25"/>
      <c r="T829" s="25">
        <v>20</v>
      </c>
      <c r="U829" s="31">
        <f t="shared" si="13"/>
        <v>322</v>
      </c>
      <c r="V829" s="25"/>
      <c r="W829" s="33" t="s">
        <v>22</v>
      </c>
      <c r="X829" s="33"/>
      <c r="Y829" s="33"/>
      <c r="Z829" s="33" t="s">
        <v>353</v>
      </c>
      <c r="AA829" s="33"/>
    </row>
    <row r="830" spans="1:27" s="70" customFormat="1" ht="123.75" x14ac:dyDescent="0.2">
      <c r="A830" s="24">
        <v>826</v>
      </c>
      <c r="B830" s="27" t="s">
        <v>2376</v>
      </c>
      <c r="C830" s="28" t="s">
        <v>2375</v>
      </c>
      <c r="D830" s="71" t="s">
        <v>2572</v>
      </c>
      <c r="E830" s="28" t="s">
        <v>2571</v>
      </c>
      <c r="F830" s="28" t="s">
        <v>1918</v>
      </c>
      <c r="G830" s="27"/>
      <c r="H830" s="28" t="s">
        <v>2583</v>
      </c>
      <c r="I830" s="27"/>
      <c r="J830" s="28" t="s">
        <v>2587</v>
      </c>
      <c r="K830" s="27"/>
      <c r="L830" s="25" t="s">
        <v>2590</v>
      </c>
      <c r="M830" s="25" t="s">
        <v>190</v>
      </c>
      <c r="N830" s="25">
        <v>252</v>
      </c>
      <c r="O830" s="25"/>
      <c r="P830" s="25">
        <v>3.2</v>
      </c>
      <c r="Q830" s="25"/>
      <c r="R830" s="25"/>
      <c r="S830" s="25"/>
      <c r="T830" s="25">
        <v>1</v>
      </c>
      <c r="U830" s="31">
        <f t="shared" si="13"/>
        <v>4.2</v>
      </c>
      <c r="V830" s="25"/>
      <c r="W830" s="33" t="s">
        <v>22</v>
      </c>
      <c r="X830" s="33"/>
      <c r="Y830" s="33"/>
      <c r="Z830" s="33" t="s">
        <v>353</v>
      </c>
      <c r="AA830" s="33"/>
    </row>
    <row r="831" spans="1:27" s="70" customFormat="1" ht="123.75" x14ac:dyDescent="0.2">
      <c r="A831" s="24">
        <v>827</v>
      </c>
      <c r="B831" s="27" t="s">
        <v>2376</v>
      </c>
      <c r="C831" s="28" t="s">
        <v>2375</v>
      </c>
      <c r="D831" s="71" t="s">
        <v>2572</v>
      </c>
      <c r="E831" s="28" t="s">
        <v>2571</v>
      </c>
      <c r="F831" s="28" t="s">
        <v>1918</v>
      </c>
      <c r="G831" s="27"/>
      <c r="H831" s="28" t="s">
        <v>2583</v>
      </c>
      <c r="I831" s="27"/>
      <c r="J831" s="28" t="s">
        <v>2587</v>
      </c>
      <c r="K831" s="27"/>
      <c r="L831" s="25" t="s">
        <v>2589</v>
      </c>
      <c r="M831" s="25" t="s">
        <v>190</v>
      </c>
      <c r="N831" s="25">
        <v>252</v>
      </c>
      <c r="O831" s="25"/>
      <c r="P831" s="25">
        <v>0.8</v>
      </c>
      <c r="Q831" s="25"/>
      <c r="R831" s="25"/>
      <c r="S831" s="25"/>
      <c r="T831" s="25">
        <v>0.5</v>
      </c>
      <c r="U831" s="31">
        <f t="shared" si="13"/>
        <v>1.3</v>
      </c>
      <c r="V831" s="25"/>
      <c r="W831" s="33" t="s">
        <v>22</v>
      </c>
      <c r="X831" s="33"/>
      <c r="Y831" s="33"/>
      <c r="Z831" s="33" t="s">
        <v>353</v>
      </c>
      <c r="AA831" s="33"/>
    </row>
    <row r="832" spans="1:27" s="70" customFormat="1" ht="123.75" x14ac:dyDescent="0.2">
      <c r="A832" s="24">
        <v>828</v>
      </c>
      <c r="B832" s="27" t="s">
        <v>2376</v>
      </c>
      <c r="C832" s="28" t="s">
        <v>2375</v>
      </c>
      <c r="D832" s="71" t="s">
        <v>2572</v>
      </c>
      <c r="E832" s="28" t="s">
        <v>2571</v>
      </c>
      <c r="F832" s="28" t="s">
        <v>1918</v>
      </c>
      <c r="G832" s="27"/>
      <c r="H832" s="28" t="s">
        <v>2583</v>
      </c>
      <c r="I832" s="27"/>
      <c r="J832" s="28" t="s">
        <v>2587</v>
      </c>
      <c r="K832" s="27"/>
      <c r="L832" s="25" t="s">
        <v>2588</v>
      </c>
      <c r="M832" s="25" t="s">
        <v>190</v>
      </c>
      <c r="N832" s="25">
        <v>12</v>
      </c>
      <c r="O832" s="25"/>
      <c r="P832" s="25">
        <v>12.6</v>
      </c>
      <c r="Q832" s="25">
        <v>4.2</v>
      </c>
      <c r="R832" s="25"/>
      <c r="S832" s="25"/>
      <c r="T832" s="25">
        <v>2</v>
      </c>
      <c r="U832" s="31">
        <f t="shared" si="13"/>
        <v>18.8</v>
      </c>
      <c r="V832" s="25"/>
      <c r="W832" s="33" t="s">
        <v>22</v>
      </c>
      <c r="X832" s="33"/>
      <c r="Y832" s="33"/>
      <c r="Z832" s="33" t="s">
        <v>353</v>
      </c>
      <c r="AA832" s="33"/>
    </row>
    <row r="833" spans="1:27" s="70" customFormat="1" ht="123.75" x14ac:dyDescent="0.2">
      <c r="A833" s="24">
        <v>829</v>
      </c>
      <c r="B833" s="27" t="s">
        <v>2376</v>
      </c>
      <c r="C833" s="28" t="s">
        <v>2375</v>
      </c>
      <c r="D833" s="71" t="s">
        <v>2572</v>
      </c>
      <c r="E833" s="28" t="s">
        <v>2571</v>
      </c>
      <c r="F833" s="28" t="s">
        <v>1918</v>
      </c>
      <c r="G833" s="27"/>
      <c r="H833" s="28" t="s">
        <v>2583</v>
      </c>
      <c r="I833" s="27"/>
      <c r="J833" s="28" t="s">
        <v>2587</v>
      </c>
      <c r="K833" s="27"/>
      <c r="L833" s="25" t="s">
        <v>2586</v>
      </c>
      <c r="M833" s="25"/>
      <c r="N833" s="25">
        <v>10</v>
      </c>
      <c r="O833" s="25"/>
      <c r="P833" s="25">
        <v>153</v>
      </c>
      <c r="Q833" s="25">
        <v>250</v>
      </c>
      <c r="R833" s="25"/>
      <c r="S833" s="25"/>
      <c r="T833" s="25">
        <v>1</v>
      </c>
      <c r="U833" s="31">
        <f t="shared" si="13"/>
        <v>404</v>
      </c>
      <c r="V833" s="25"/>
      <c r="W833" s="33" t="s">
        <v>22</v>
      </c>
      <c r="X833" s="33"/>
      <c r="Y833" s="33"/>
      <c r="Z833" s="33" t="s">
        <v>353</v>
      </c>
      <c r="AA833" s="33"/>
    </row>
    <row r="834" spans="1:27" s="70" customFormat="1" ht="123.75" x14ac:dyDescent="0.2">
      <c r="A834" s="24">
        <v>830</v>
      </c>
      <c r="B834" s="27" t="s">
        <v>2376</v>
      </c>
      <c r="C834" s="28" t="s">
        <v>2375</v>
      </c>
      <c r="D834" s="71" t="s">
        <v>2572</v>
      </c>
      <c r="E834" s="28" t="s">
        <v>2571</v>
      </c>
      <c r="F834" s="28" t="s">
        <v>1918</v>
      </c>
      <c r="G834" s="27"/>
      <c r="H834" s="28" t="s">
        <v>2583</v>
      </c>
      <c r="I834" s="27"/>
      <c r="J834" s="28" t="s">
        <v>2585</v>
      </c>
      <c r="K834" s="27"/>
      <c r="L834" s="25"/>
      <c r="M834" s="25"/>
      <c r="N834" s="25"/>
      <c r="O834" s="25"/>
      <c r="P834" s="25"/>
      <c r="Q834" s="25"/>
      <c r="R834" s="25"/>
      <c r="S834" s="25"/>
      <c r="T834" s="25"/>
      <c r="U834" s="31">
        <f t="shared" si="13"/>
        <v>0</v>
      </c>
      <c r="V834" s="25"/>
      <c r="W834" s="33"/>
      <c r="X834" s="33"/>
      <c r="Y834" s="33"/>
      <c r="Z834" s="33"/>
      <c r="AA834" s="33"/>
    </row>
    <row r="835" spans="1:27" s="70" customFormat="1" ht="123.75" x14ac:dyDescent="0.2">
      <c r="A835" s="24">
        <v>831</v>
      </c>
      <c r="B835" s="27" t="s">
        <v>2376</v>
      </c>
      <c r="C835" s="28" t="s">
        <v>2375</v>
      </c>
      <c r="D835" s="71" t="s">
        <v>2572</v>
      </c>
      <c r="E835" s="28" t="s">
        <v>2571</v>
      </c>
      <c r="F835" s="28" t="s">
        <v>1918</v>
      </c>
      <c r="G835" s="27"/>
      <c r="H835" s="28" t="s">
        <v>2583</v>
      </c>
      <c r="I835" s="27"/>
      <c r="J835" s="28" t="s">
        <v>2584</v>
      </c>
      <c r="K835" s="27"/>
      <c r="L835" s="25"/>
      <c r="M835" s="25"/>
      <c r="N835" s="25"/>
      <c r="O835" s="25"/>
      <c r="P835" s="25"/>
      <c r="Q835" s="25"/>
      <c r="R835" s="25"/>
      <c r="S835" s="25"/>
      <c r="T835" s="25"/>
      <c r="U835" s="31">
        <f t="shared" si="13"/>
        <v>0</v>
      </c>
      <c r="V835" s="25"/>
      <c r="W835" s="33"/>
      <c r="X835" s="33"/>
      <c r="Y835" s="33"/>
      <c r="Z835" s="33"/>
      <c r="AA835" s="33"/>
    </row>
    <row r="836" spans="1:27" s="70" customFormat="1" ht="123.75" x14ac:dyDescent="0.2">
      <c r="A836" s="24">
        <v>832</v>
      </c>
      <c r="B836" s="27" t="s">
        <v>2376</v>
      </c>
      <c r="C836" s="28" t="s">
        <v>2375</v>
      </c>
      <c r="D836" s="71" t="s">
        <v>2572</v>
      </c>
      <c r="E836" s="28" t="s">
        <v>2571</v>
      </c>
      <c r="F836" s="28" t="s">
        <v>1918</v>
      </c>
      <c r="G836" s="27"/>
      <c r="H836" s="28" t="s">
        <v>2583</v>
      </c>
      <c r="I836" s="27"/>
      <c r="J836" s="28" t="s">
        <v>2582</v>
      </c>
      <c r="K836" s="27"/>
      <c r="L836" s="25"/>
      <c r="M836" s="25"/>
      <c r="N836" s="25"/>
      <c r="O836" s="25"/>
      <c r="P836" s="25"/>
      <c r="Q836" s="25"/>
      <c r="R836" s="25"/>
      <c r="S836" s="25"/>
      <c r="T836" s="25"/>
      <c r="U836" s="31">
        <f t="shared" si="13"/>
        <v>0</v>
      </c>
      <c r="V836" s="25"/>
      <c r="W836" s="33"/>
      <c r="X836" s="33"/>
      <c r="Y836" s="33"/>
      <c r="Z836" s="33"/>
      <c r="AA836" s="33"/>
    </row>
    <row r="837" spans="1:27" s="70" customFormat="1" ht="33.75" x14ac:dyDescent="0.2">
      <c r="A837" s="24">
        <v>833</v>
      </c>
      <c r="B837" s="27" t="s">
        <v>2376</v>
      </c>
      <c r="C837" s="28" t="s">
        <v>2375</v>
      </c>
      <c r="D837" s="71" t="s">
        <v>2572</v>
      </c>
      <c r="E837" s="28" t="s">
        <v>2571</v>
      </c>
      <c r="F837" s="28" t="s">
        <v>1918</v>
      </c>
      <c r="G837" s="27"/>
      <c r="H837" s="28" t="s">
        <v>2570</v>
      </c>
      <c r="I837" s="27"/>
      <c r="J837" s="28" t="s">
        <v>2570</v>
      </c>
      <c r="K837" s="27"/>
      <c r="L837" s="25" t="s">
        <v>2581</v>
      </c>
      <c r="M837" s="25" t="s">
        <v>2579</v>
      </c>
      <c r="N837" s="25">
        <v>1</v>
      </c>
      <c r="O837" s="25"/>
      <c r="P837" s="25">
        <v>16</v>
      </c>
      <c r="Q837" s="25">
        <v>16</v>
      </c>
      <c r="R837" s="25"/>
      <c r="S837" s="25">
        <v>20</v>
      </c>
      <c r="T837" s="25">
        <v>20</v>
      </c>
      <c r="U837" s="31">
        <f t="shared" si="13"/>
        <v>72</v>
      </c>
      <c r="V837" s="25"/>
      <c r="W837" s="33" t="s">
        <v>22</v>
      </c>
      <c r="X837" s="33"/>
      <c r="Y837" s="33"/>
      <c r="Z837" s="33" t="s">
        <v>353</v>
      </c>
      <c r="AA837" s="33"/>
    </row>
    <row r="838" spans="1:27" s="70" customFormat="1" ht="22.5" x14ac:dyDescent="0.2">
      <c r="A838" s="24">
        <v>834</v>
      </c>
      <c r="B838" s="27" t="s">
        <v>2376</v>
      </c>
      <c r="C838" s="28" t="s">
        <v>2375</v>
      </c>
      <c r="D838" s="71" t="s">
        <v>2572</v>
      </c>
      <c r="E838" s="28" t="s">
        <v>2571</v>
      </c>
      <c r="F838" s="28" t="s">
        <v>1918</v>
      </c>
      <c r="G838" s="27"/>
      <c r="H838" s="28" t="s">
        <v>2570</v>
      </c>
      <c r="I838" s="27"/>
      <c r="J838" s="28" t="s">
        <v>2570</v>
      </c>
      <c r="K838" s="27"/>
      <c r="L838" s="25" t="s">
        <v>2580</v>
      </c>
      <c r="M838" s="25" t="s">
        <v>2579</v>
      </c>
      <c r="N838" s="25">
        <v>1</v>
      </c>
      <c r="O838" s="25"/>
      <c r="P838" s="25">
        <v>40</v>
      </c>
      <c r="Q838" s="25"/>
      <c r="R838" s="25"/>
      <c r="S838" s="25">
        <v>100</v>
      </c>
      <c r="T838" s="25">
        <v>100</v>
      </c>
      <c r="U838" s="31">
        <f t="shared" ref="U838:U901" si="14">SUM(O838:T838)</f>
        <v>240</v>
      </c>
      <c r="V838" s="25"/>
      <c r="W838" s="33" t="s">
        <v>41</v>
      </c>
      <c r="X838" s="33"/>
      <c r="Y838" s="33"/>
      <c r="Z838" s="33" t="s">
        <v>2578</v>
      </c>
      <c r="AA838" s="33"/>
    </row>
    <row r="839" spans="1:27" s="70" customFormat="1" ht="33.75" x14ac:dyDescent="0.2">
      <c r="A839" s="24">
        <v>835</v>
      </c>
      <c r="B839" s="27" t="s">
        <v>2376</v>
      </c>
      <c r="C839" s="28" t="s">
        <v>2375</v>
      </c>
      <c r="D839" s="71" t="s">
        <v>2572</v>
      </c>
      <c r="E839" s="28" t="s">
        <v>2571</v>
      </c>
      <c r="F839" s="28" t="s">
        <v>1918</v>
      </c>
      <c r="G839" s="27"/>
      <c r="H839" s="28" t="s">
        <v>2570</v>
      </c>
      <c r="I839" s="27"/>
      <c r="J839" s="28" t="s">
        <v>2570</v>
      </c>
      <c r="K839" s="27"/>
      <c r="L839" s="25" t="s">
        <v>2577</v>
      </c>
      <c r="M839" s="25" t="s">
        <v>1275</v>
      </c>
      <c r="N839" s="25">
        <v>1</v>
      </c>
      <c r="O839" s="25"/>
      <c r="P839" s="25"/>
      <c r="Q839" s="25">
        <v>24</v>
      </c>
      <c r="R839" s="25"/>
      <c r="S839" s="25">
        <v>10</v>
      </c>
      <c r="T839" s="25">
        <v>5</v>
      </c>
      <c r="U839" s="31">
        <f t="shared" si="14"/>
        <v>39</v>
      </c>
      <c r="V839" s="25"/>
      <c r="W839" s="33" t="s">
        <v>22</v>
      </c>
      <c r="X839" s="33"/>
      <c r="Y839" s="33"/>
      <c r="Z839" s="33" t="s">
        <v>353</v>
      </c>
      <c r="AA839" s="33"/>
    </row>
    <row r="840" spans="1:27" s="70" customFormat="1" ht="45" x14ac:dyDescent="0.2">
      <c r="A840" s="24">
        <v>836</v>
      </c>
      <c r="B840" s="27" t="s">
        <v>2376</v>
      </c>
      <c r="C840" s="28" t="s">
        <v>2375</v>
      </c>
      <c r="D840" s="71" t="s">
        <v>2572</v>
      </c>
      <c r="E840" s="28" t="s">
        <v>2571</v>
      </c>
      <c r="F840" s="28" t="s">
        <v>1918</v>
      </c>
      <c r="G840" s="27"/>
      <c r="H840" s="28" t="s">
        <v>2570</v>
      </c>
      <c r="I840" s="27"/>
      <c r="J840" s="28" t="s">
        <v>2570</v>
      </c>
      <c r="K840" s="27"/>
      <c r="L840" s="25" t="s">
        <v>2576</v>
      </c>
      <c r="M840" s="25" t="s">
        <v>190</v>
      </c>
      <c r="N840" s="25">
        <v>1</v>
      </c>
      <c r="O840" s="25"/>
      <c r="P840" s="25">
        <v>24</v>
      </c>
      <c r="Q840" s="25">
        <v>24</v>
      </c>
      <c r="R840" s="25"/>
      <c r="S840" s="25">
        <v>10</v>
      </c>
      <c r="T840" s="25">
        <v>5</v>
      </c>
      <c r="U840" s="31">
        <f t="shared" si="14"/>
        <v>63</v>
      </c>
      <c r="V840" s="25"/>
      <c r="W840" s="33" t="s">
        <v>2575</v>
      </c>
      <c r="X840" s="33"/>
      <c r="Y840" s="33"/>
      <c r="Z840" s="33" t="s">
        <v>2574</v>
      </c>
      <c r="AA840" s="33"/>
    </row>
    <row r="841" spans="1:27" s="70" customFormat="1" ht="22.5" x14ac:dyDescent="0.2">
      <c r="A841" s="24">
        <v>837</v>
      </c>
      <c r="B841" s="27" t="s">
        <v>2376</v>
      </c>
      <c r="C841" s="28" t="s">
        <v>2375</v>
      </c>
      <c r="D841" s="71" t="s">
        <v>2572</v>
      </c>
      <c r="E841" s="28" t="s">
        <v>2571</v>
      </c>
      <c r="F841" s="28" t="s">
        <v>1918</v>
      </c>
      <c r="G841" s="27"/>
      <c r="H841" s="28" t="s">
        <v>2570</v>
      </c>
      <c r="I841" s="27"/>
      <c r="J841" s="28" t="s">
        <v>2570</v>
      </c>
      <c r="K841" s="27"/>
      <c r="L841" s="25" t="s">
        <v>2573</v>
      </c>
      <c r="M841" s="25" t="s">
        <v>1275</v>
      </c>
      <c r="N841" s="25">
        <v>1</v>
      </c>
      <c r="O841" s="25"/>
      <c r="P841" s="25"/>
      <c r="Q841" s="25">
        <v>56</v>
      </c>
      <c r="R841" s="25"/>
      <c r="S841" s="25">
        <v>10</v>
      </c>
      <c r="T841" s="25">
        <v>5</v>
      </c>
      <c r="U841" s="31">
        <f t="shared" si="14"/>
        <v>71</v>
      </c>
      <c r="V841" s="25"/>
      <c r="W841" s="33" t="s">
        <v>22</v>
      </c>
      <c r="X841" s="33"/>
      <c r="Y841" s="33"/>
      <c r="Z841" s="33" t="s">
        <v>353</v>
      </c>
      <c r="AA841" s="33"/>
    </row>
    <row r="842" spans="1:27" s="70" customFormat="1" ht="33.75" x14ac:dyDescent="0.2">
      <c r="A842" s="24">
        <v>838</v>
      </c>
      <c r="B842" s="27" t="s">
        <v>2376</v>
      </c>
      <c r="C842" s="28" t="s">
        <v>2375</v>
      </c>
      <c r="D842" s="71" t="s">
        <v>2572</v>
      </c>
      <c r="E842" s="28" t="s">
        <v>2571</v>
      </c>
      <c r="F842" s="28" t="s">
        <v>1918</v>
      </c>
      <c r="G842" s="27"/>
      <c r="H842" s="28" t="s">
        <v>2570</v>
      </c>
      <c r="I842" s="27"/>
      <c r="J842" s="28" t="s">
        <v>2570</v>
      </c>
      <c r="K842" s="27"/>
      <c r="L842" s="25" t="s">
        <v>2569</v>
      </c>
      <c r="M842" s="25" t="s">
        <v>1275</v>
      </c>
      <c r="N842" s="25">
        <v>1</v>
      </c>
      <c r="O842" s="25"/>
      <c r="P842" s="25"/>
      <c r="Q842" s="25">
        <v>16</v>
      </c>
      <c r="R842" s="25"/>
      <c r="S842" s="25"/>
      <c r="T842" s="25">
        <v>5</v>
      </c>
      <c r="U842" s="31">
        <f t="shared" si="14"/>
        <v>21</v>
      </c>
      <c r="V842" s="25"/>
      <c r="W842" s="33" t="s">
        <v>22</v>
      </c>
      <c r="X842" s="33"/>
      <c r="Y842" s="33"/>
      <c r="Z842" s="33" t="s">
        <v>353</v>
      </c>
      <c r="AA842" s="33"/>
    </row>
    <row r="843" spans="1:27" s="70" customFormat="1" ht="67.5" x14ac:dyDescent="0.2">
      <c r="A843" s="24">
        <v>839</v>
      </c>
      <c r="B843" s="27" t="s">
        <v>2376</v>
      </c>
      <c r="C843" s="28" t="s">
        <v>2375</v>
      </c>
      <c r="D843" s="71" t="s">
        <v>2460</v>
      </c>
      <c r="E843" s="28" t="s">
        <v>2459</v>
      </c>
      <c r="F843" s="28" t="s">
        <v>2458</v>
      </c>
      <c r="G843" s="27"/>
      <c r="H843" s="28" t="s">
        <v>2541</v>
      </c>
      <c r="I843" s="27"/>
      <c r="J843" s="28" t="s">
        <v>2565</v>
      </c>
      <c r="K843" s="27"/>
      <c r="L843" s="25" t="s">
        <v>2568</v>
      </c>
      <c r="M843" s="25" t="s">
        <v>265</v>
      </c>
      <c r="N843" s="25">
        <v>360</v>
      </c>
      <c r="O843" s="25">
        <v>2</v>
      </c>
      <c r="P843" s="25">
        <v>1</v>
      </c>
      <c r="Q843" s="25"/>
      <c r="R843" s="25"/>
      <c r="S843" s="25">
        <v>0.5</v>
      </c>
      <c r="T843" s="25">
        <v>0.5</v>
      </c>
      <c r="U843" s="31">
        <f t="shared" si="14"/>
        <v>4</v>
      </c>
      <c r="V843" s="25"/>
      <c r="W843" s="33" t="s">
        <v>22</v>
      </c>
      <c r="X843" s="33"/>
      <c r="Y843" s="33"/>
      <c r="Z843" s="33" t="s">
        <v>1008</v>
      </c>
      <c r="AA843" s="33"/>
    </row>
    <row r="844" spans="1:27" s="70" customFormat="1" ht="67.5" x14ac:dyDescent="0.2">
      <c r="A844" s="24">
        <v>840</v>
      </c>
      <c r="B844" s="27" t="s">
        <v>2376</v>
      </c>
      <c r="C844" s="28" t="s">
        <v>2375</v>
      </c>
      <c r="D844" s="71" t="s">
        <v>2460</v>
      </c>
      <c r="E844" s="28" t="s">
        <v>2459</v>
      </c>
      <c r="F844" s="28" t="s">
        <v>2458</v>
      </c>
      <c r="G844" s="27"/>
      <c r="H844" s="28" t="s">
        <v>2541</v>
      </c>
      <c r="I844" s="27"/>
      <c r="J844" s="28" t="s">
        <v>2565</v>
      </c>
      <c r="K844" s="27"/>
      <c r="L844" s="25" t="s">
        <v>2567</v>
      </c>
      <c r="M844" s="25" t="s">
        <v>190</v>
      </c>
      <c r="N844" s="25">
        <v>15</v>
      </c>
      <c r="O844" s="25">
        <v>24</v>
      </c>
      <c r="P844" s="25">
        <v>16</v>
      </c>
      <c r="Q844" s="25"/>
      <c r="R844" s="25"/>
      <c r="S844" s="25">
        <v>8</v>
      </c>
      <c r="T844" s="25">
        <v>4</v>
      </c>
      <c r="U844" s="31">
        <f t="shared" si="14"/>
        <v>52</v>
      </c>
      <c r="V844" s="25"/>
      <c r="W844" s="33" t="s">
        <v>22</v>
      </c>
      <c r="X844" s="33"/>
      <c r="Y844" s="33"/>
      <c r="Z844" s="33" t="s">
        <v>1008</v>
      </c>
      <c r="AA844" s="33"/>
    </row>
    <row r="845" spans="1:27" s="70" customFormat="1" ht="67.5" x14ac:dyDescent="0.2">
      <c r="A845" s="24">
        <v>841</v>
      </c>
      <c r="B845" s="27" t="s">
        <v>2376</v>
      </c>
      <c r="C845" s="28" t="s">
        <v>2375</v>
      </c>
      <c r="D845" s="71" t="s">
        <v>2460</v>
      </c>
      <c r="E845" s="28" t="s">
        <v>2459</v>
      </c>
      <c r="F845" s="28" t="s">
        <v>2458</v>
      </c>
      <c r="G845" s="27"/>
      <c r="H845" s="28" t="s">
        <v>2541</v>
      </c>
      <c r="I845" s="27"/>
      <c r="J845" s="28" t="s">
        <v>2565</v>
      </c>
      <c r="K845" s="27"/>
      <c r="L845" s="25" t="s">
        <v>2566</v>
      </c>
      <c r="M845" s="25" t="s">
        <v>190</v>
      </c>
      <c r="N845" s="25">
        <v>3</v>
      </c>
      <c r="O845" s="25">
        <v>72</v>
      </c>
      <c r="P845" s="25">
        <v>48</v>
      </c>
      <c r="Q845" s="25"/>
      <c r="R845" s="25"/>
      <c r="S845" s="25">
        <v>24</v>
      </c>
      <c r="T845" s="25">
        <v>16</v>
      </c>
      <c r="U845" s="31">
        <f t="shared" si="14"/>
        <v>160</v>
      </c>
      <c r="V845" s="25"/>
      <c r="W845" s="33" t="s">
        <v>22</v>
      </c>
      <c r="X845" s="33"/>
      <c r="Y845" s="33"/>
      <c r="Z845" s="33" t="s">
        <v>1008</v>
      </c>
      <c r="AA845" s="33"/>
    </row>
    <row r="846" spans="1:27" s="70" customFormat="1" ht="67.5" x14ac:dyDescent="0.2">
      <c r="A846" s="24">
        <v>842</v>
      </c>
      <c r="B846" s="27" t="s">
        <v>2376</v>
      </c>
      <c r="C846" s="28" t="s">
        <v>2375</v>
      </c>
      <c r="D846" s="71" t="s">
        <v>2460</v>
      </c>
      <c r="E846" s="28" t="s">
        <v>2459</v>
      </c>
      <c r="F846" s="28" t="s">
        <v>2458</v>
      </c>
      <c r="G846" s="27"/>
      <c r="H846" s="28" t="s">
        <v>2541</v>
      </c>
      <c r="I846" s="27"/>
      <c r="J846" s="28" t="s">
        <v>2565</v>
      </c>
      <c r="K846" s="27"/>
      <c r="L846" s="25" t="s">
        <v>2564</v>
      </c>
      <c r="M846" s="25" t="s">
        <v>265</v>
      </c>
      <c r="N846" s="25">
        <v>6</v>
      </c>
      <c r="O846" s="25">
        <v>2</v>
      </c>
      <c r="P846" s="25">
        <v>1</v>
      </c>
      <c r="Q846" s="25"/>
      <c r="R846" s="25"/>
      <c r="S846" s="25">
        <v>1</v>
      </c>
      <c r="T846" s="25">
        <v>1</v>
      </c>
      <c r="U846" s="31">
        <f t="shared" si="14"/>
        <v>5</v>
      </c>
      <c r="V846" s="25"/>
      <c r="W846" s="33" t="s">
        <v>22</v>
      </c>
      <c r="X846" s="33"/>
      <c r="Y846" s="33"/>
      <c r="Z846" s="33" t="s">
        <v>1008</v>
      </c>
      <c r="AA846" s="33"/>
    </row>
    <row r="847" spans="1:27" s="70" customFormat="1" ht="45" x14ac:dyDescent="0.2">
      <c r="A847" s="24">
        <v>843</v>
      </c>
      <c r="B847" s="27" t="s">
        <v>2376</v>
      </c>
      <c r="C847" s="28" t="s">
        <v>2375</v>
      </c>
      <c r="D847" s="71" t="s">
        <v>2460</v>
      </c>
      <c r="E847" s="28" t="s">
        <v>2459</v>
      </c>
      <c r="F847" s="28" t="s">
        <v>2458</v>
      </c>
      <c r="G847" s="27"/>
      <c r="H847" s="28" t="s">
        <v>2541</v>
      </c>
      <c r="I847" s="27"/>
      <c r="J847" s="28" t="s">
        <v>2558</v>
      </c>
      <c r="K847" s="27"/>
      <c r="L847" s="25" t="s">
        <v>2563</v>
      </c>
      <c r="M847" s="25" t="s">
        <v>190</v>
      </c>
      <c r="N847" s="25">
        <v>1</v>
      </c>
      <c r="O847" s="25">
        <v>32</v>
      </c>
      <c r="P847" s="25">
        <v>24</v>
      </c>
      <c r="Q847" s="25"/>
      <c r="R847" s="25"/>
      <c r="S847" s="25">
        <v>12</v>
      </c>
      <c r="T847" s="25">
        <v>8</v>
      </c>
      <c r="U847" s="31">
        <f t="shared" si="14"/>
        <v>76</v>
      </c>
      <c r="V847" s="25"/>
      <c r="W847" s="33" t="s">
        <v>22</v>
      </c>
      <c r="X847" s="33"/>
      <c r="Y847" s="33"/>
      <c r="Z847" s="33" t="s">
        <v>1008</v>
      </c>
      <c r="AA847" s="33"/>
    </row>
    <row r="848" spans="1:27" s="70" customFormat="1" ht="45" x14ac:dyDescent="0.2">
      <c r="A848" s="24">
        <v>844</v>
      </c>
      <c r="B848" s="27" t="s">
        <v>2376</v>
      </c>
      <c r="C848" s="28" t="s">
        <v>2375</v>
      </c>
      <c r="D848" s="71" t="s">
        <v>2460</v>
      </c>
      <c r="E848" s="28" t="s">
        <v>2459</v>
      </c>
      <c r="F848" s="28" t="s">
        <v>2458</v>
      </c>
      <c r="G848" s="27"/>
      <c r="H848" s="28" t="s">
        <v>2541</v>
      </c>
      <c r="I848" s="27"/>
      <c r="J848" s="28" t="s">
        <v>2558</v>
      </c>
      <c r="K848" s="27"/>
      <c r="L848" s="25" t="s">
        <v>2562</v>
      </c>
      <c r="M848" s="25" t="s">
        <v>190</v>
      </c>
      <c r="N848" s="25">
        <v>1</v>
      </c>
      <c r="O848" s="25">
        <v>16</v>
      </c>
      <c r="P848" s="25">
        <v>8</v>
      </c>
      <c r="Q848" s="25"/>
      <c r="R848" s="25"/>
      <c r="S848" s="25">
        <v>6</v>
      </c>
      <c r="T848" s="25">
        <v>4</v>
      </c>
      <c r="U848" s="31">
        <f t="shared" si="14"/>
        <v>34</v>
      </c>
      <c r="V848" s="25"/>
      <c r="W848" s="33" t="s">
        <v>22</v>
      </c>
      <c r="X848" s="33"/>
      <c r="Y848" s="33" t="s">
        <v>2561</v>
      </c>
      <c r="Z848" s="33" t="s">
        <v>1008</v>
      </c>
      <c r="AA848" s="33"/>
    </row>
    <row r="849" spans="1:27" s="70" customFormat="1" ht="90" x14ac:dyDescent="0.2">
      <c r="A849" s="24">
        <v>845</v>
      </c>
      <c r="B849" s="27" t="s">
        <v>2376</v>
      </c>
      <c r="C849" s="28" t="s">
        <v>2375</v>
      </c>
      <c r="D849" s="71" t="s">
        <v>2460</v>
      </c>
      <c r="E849" s="28" t="s">
        <v>2459</v>
      </c>
      <c r="F849" s="28" t="s">
        <v>2458</v>
      </c>
      <c r="G849" s="27"/>
      <c r="H849" s="28" t="s">
        <v>2541</v>
      </c>
      <c r="I849" s="27"/>
      <c r="J849" s="28" t="s">
        <v>2558</v>
      </c>
      <c r="K849" s="27"/>
      <c r="L849" s="25" t="s">
        <v>2560</v>
      </c>
      <c r="M849" s="25" t="s">
        <v>2559</v>
      </c>
      <c r="N849" s="25">
        <v>10</v>
      </c>
      <c r="O849" s="25">
        <v>16</v>
      </c>
      <c r="P849" s="25">
        <v>12</v>
      </c>
      <c r="Q849" s="25"/>
      <c r="R849" s="25"/>
      <c r="S849" s="25">
        <v>8</v>
      </c>
      <c r="T849" s="25">
        <v>4</v>
      </c>
      <c r="U849" s="31">
        <f t="shared" si="14"/>
        <v>40</v>
      </c>
      <c r="V849" s="25"/>
      <c r="W849" s="33" t="s">
        <v>22</v>
      </c>
      <c r="X849" s="33"/>
      <c r="Y849" s="33"/>
      <c r="Z849" s="33" t="s">
        <v>1008</v>
      </c>
      <c r="AA849" s="33"/>
    </row>
    <row r="850" spans="1:27" s="70" customFormat="1" ht="45" x14ac:dyDescent="0.2">
      <c r="A850" s="24">
        <v>846</v>
      </c>
      <c r="B850" s="27" t="s">
        <v>2376</v>
      </c>
      <c r="C850" s="28" t="s">
        <v>2375</v>
      </c>
      <c r="D850" s="71" t="s">
        <v>2460</v>
      </c>
      <c r="E850" s="28" t="s">
        <v>2459</v>
      </c>
      <c r="F850" s="28" t="s">
        <v>2458</v>
      </c>
      <c r="G850" s="27"/>
      <c r="H850" s="28" t="s">
        <v>2541</v>
      </c>
      <c r="I850" s="27"/>
      <c r="J850" s="28" t="s">
        <v>2558</v>
      </c>
      <c r="K850" s="27"/>
      <c r="L850" s="25" t="s">
        <v>2557</v>
      </c>
      <c r="M850" s="25" t="s">
        <v>265</v>
      </c>
      <c r="N850" s="25">
        <v>80</v>
      </c>
      <c r="O850" s="25">
        <v>2</v>
      </c>
      <c r="P850" s="25">
        <v>2</v>
      </c>
      <c r="Q850" s="25"/>
      <c r="R850" s="25"/>
      <c r="S850" s="25">
        <v>1</v>
      </c>
      <c r="T850" s="25">
        <v>1</v>
      </c>
      <c r="U850" s="31">
        <f t="shared" si="14"/>
        <v>6</v>
      </c>
      <c r="V850" s="25"/>
      <c r="W850" s="33" t="s">
        <v>22</v>
      </c>
      <c r="X850" s="33"/>
      <c r="Y850" s="33"/>
      <c r="Z850" s="33" t="s">
        <v>1008</v>
      </c>
      <c r="AA850" s="33"/>
    </row>
    <row r="851" spans="1:27" s="70" customFormat="1" ht="33.75" x14ac:dyDescent="0.2">
      <c r="A851" s="24">
        <v>847</v>
      </c>
      <c r="B851" s="27" t="s">
        <v>2376</v>
      </c>
      <c r="C851" s="28" t="s">
        <v>2375</v>
      </c>
      <c r="D851" s="71" t="s">
        <v>2460</v>
      </c>
      <c r="E851" s="28" t="s">
        <v>2459</v>
      </c>
      <c r="F851" s="28" t="s">
        <v>2458</v>
      </c>
      <c r="G851" s="27"/>
      <c r="H851" s="28" t="s">
        <v>2541</v>
      </c>
      <c r="I851" s="27"/>
      <c r="J851" s="28" t="s">
        <v>2545</v>
      </c>
      <c r="K851" s="27"/>
      <c r="L851" s="25" t="s">
        <v>2556</v>
      </c>
      <c r="M851" s="25"/>
      <c r="N851" s="25"/>
      <c r="O851" s="25"/>
      <c r="P851" s="25"/>
      <c r="Q851" s="25"/>
      <c r="R851" s="25"/>
      <c r="S851" s="25"/>
      <c r="T851" s="25"/>
      <c r="U851" s="31">
        <f t="shared" si="14"/>
        <v>0</v>
      </c>
      <c r="V851" s="25"/>
      <c r="W851" s="33"/>
      <c r="X851" s="33"/>
      <c r="Y851" s="33"/>
      <c r="Z851" s="33"/>
      <c r="AA851" s="33"/>
    </row>
    <row r="852" spans="1:27" s="70" customFormat="1" ht="33.75" x14ac:dyDescent="0.2">
      <c r="A852" s="24">
        <v>848</v>
      </c>
      <c r="B852" s="27" t="s">
        <v>2376</v>
      </c>
      <c r="C852" s="28" t="s">
        <v>2375</v>
      </c>
      <c r="D852" s="71" t="s">
        <v>2460</v>
      </c>
      <c r="E852" s="28" t="s">
        <v>2459</v>
      </c>
      <c r="F852" s="28" t="s">
        <v>2458</v>
      </c>
      <c r="G852" s="27"/>
      <c r="H852" s="28" t="s">
        <v>2541</v>
      </c>
      <c r="I852" s="27"/>
      <c r="J852" s="28" t="s">
        <v>2545</v>
      </c>
      <c r="K852" s="27"/>
      <c r="L852" s="25" t="s">
        <v>2555</v>
      </c>
      <c r="M852" s="25"/>
      <c r="N852" s="25"/>
      <c r="O852" s="25"/>
      <c r="P852" s="25"/>
      <c r="Q852" s="25"/>
      <c r="R852" s="25"/>
      <c r="S852" s="25"/>
      <c r="T852" s="25"/>
      <c r="U852" s="31">
        <f t="shared" si="14"/>
        <v>0</v>
      </c>
      <c r="V852" s="25"/>
      <c r="W852" s="33"/>
      <c r="X852" s="33"/>
      <c r="Y852" s="33"/>
      <c r="Z852" s="33"/>
      <c r="AA852" s="33"/>
    </row>
    <row r="853" spans="1:27" s="70" customFormat="1" ht="33.75" x14ac:dyDescent="0.2">
      <c r="A853" s="24">
        <v>849</v>
      </c>
      <c r="B853" s="27" t="s">
        <v>2376</v>
      </c>
      <c r="C853" s="28" t="s">
        <v>2375</v>
      </c>
      <c r="D853" s="71" t="s">
        <v>2460</v>
      </c>
      <c r="E853" s="28" t="s">
        <v>2459</v>
      </c>
      <c r="F853" s="28" t="s">
        <v>2458</v>
      </c>
      <c r="G853" s="27"/>
      <c r="H853" s="28" t="s">
        <v>2541</v>
      </c>
      <c r="I853" s="27"/>
      <c r="J853" s="28" t="s">
        <v>2545</v>
      </c>
      <c r="K853" s="27"/>
      <c r="L853" s="25" t="s">
        <v>2554</v>
      </c>
      <c r="M853" s="25"/>
      <c r="N853" s="25"/>
      <c r="O853" s="25"/>
      <c r="P853" s="25"/>
      <c r="Q853" s="25"/>
      <c r="R853" s="25"/>
      <c r="S853" s="25"/>
      <c r="T853" s="25"/>
      <c r="U853" s="31">
        <f t="shared" si="14"/>
        <v>0</v>
      </c>
      <c r="V853" s="25"/>
      <c r="W853" s="33"/>
      <c r="X853" s="33"/>
      <c r="Y853" s="33"/>
      <c r="Z853" s="33"/>
      <c r="AA853" s="33"/>
    </row>
    <row r="854" spans="1:27" s="70" customFormat="1" ht="33.75" x14ac:dyDescent="0.2">
      <c r="A854" s="24">
        <v>850</v>
      </c>
      <c r="B854" s="27" t="s">
        <v>2376</v>
      </c>
      <c r="C854" s="28" t="s">
        <v>2375</v>
      </c>
      <c r="D854" s="71" t="s">
        <v>2460</v>
      </c>
      <c r="E854" s="28" t="s">
        <v>2459</v>
      </c>
      <c r="F854" s="28" t="s">
        <v>2458</v>
      </c>
      <c r="G854" s="27"/>
      <c r="H854" s="28" t="s">
        <v>2541</v>
      </c>
      <c r="I854" s="27"/>
      <c r="J854" s="28" t="s">
        <v>2545</v>
      </c>
      <c r="K854" s="27"/>
      <c r="L854" s="25" t="s">
        <v>2553</v>
      </c>
      <c r="M854" s="25"/>
      <c r="N854" s="25"/>
      <c r="O854" s="25"/>
      <c r="P854" s="25"/>
      <c r="Q854" s="25"/>
      <c r="R854" s="25"/>
      <c r="S854" s="25"/>
      <c r="T854" s="25"/>
      <c r="U854" s="31">
        <f t="shared" si="14"/>
        <v>0</v>
      </c>
      <c r="V854" s="25"/>
      <c r="W854" s="33"/>
      <c r="X854" s="33"/>
      <c r="Y854" s="33"/>
      <c r="Z854" s="33"/>
      <c r="AA854" s="33"/>
    </row>
    <row r="855" spans="1:27" s="70" customFormat="1" ht="33.75" x14ac:dyDescent="0.2">
      <c r="A855" s="24">
        <v>851</v>
      </c>
      <c r="B855" s="27" t="s">
        <v>2376</v>
      </c>
      <c r="C855" s="28" t="s">
        <v>2375</v>
      </c>
      <c r="D855" s="71" t="s">
        <v>2460</v>
      </c>
      <c r="E855" s="28" t="s">
        <v>2459</v>
      </c>
      <c r="F855" s="28" t="s">
        <v>2458</v>
      </c>
      <c r="G855" s="27"/>
      <c r="H855" s="28" t="s">
        <v>2541</v>
      </c>
      <c r="I855" s="27"/>
      <c r="J855" s="28" t="s">
        <v>2545</v>
      </c>
      <c r="K855" s="27"/>
      <c r="L855" s="25" t="s">
        <v>2552</v>
      </c>
      <c r="M855" s="25"/>
      <c r="N855" s="25"/>
      <c r="O855" s="25"/>
      <c r="P855" s="25"/>
      <c r="Q855" s="25"/>
      <c r="R855" s="25"/>
      <c r="S855" s="25"/>
      <c r="T855" s="25"/>
      <c r="U855" s="31">
        <f t="shared" si="14"/>
        <v>0</v>
      </c>
      <c r="V855" s="25"/>
      <c r="W855" s="33"/>
      <c r="X855" s="33"/>
      <c r="Y855" s="33"/>
      <c r="Z855" s="33"/>
      <c r="AA855" s="33"/>
    </row>
    <row r="856" spans="1:27" s="70" customFormat="1" ht="33.75" x14ac:dyDescent="0.2">
      <c r="A856" s="24">
        <v>852</v>
      </c>
      <c r="B856" s="27" t="s">
        <v>2376</v>
      </c>
      <c r="C856" s="28" t="s">
        <v>2375</v>
      </c>
      <c r="D856" s="71" t="s">
        <v>2460</v>
      </c>
      <c r="E856" s="28" t="s">
        <v>2459</v>
      </c>
      <c r="F856" s="28" t="s">
        <v>2458</v>
      </c>
      <c r="G856" s="27"/>
      <c r="H856" s="28" t="s">
        <v>2541</v>
      </c>
      <c r="I856" s="27"/>
      <c r="J856" s="28" t="s">
        <v>2545</v>
      </c>
      <c r="K856" s="27"/>
      <c r="L856" s="25" t="s">
        <v>2551</v>
      </c>
      <c r="M856" s="25"/>
      <c r="N856" s="25"/>
      <c r="O856" s="25"/>
      <c r="P856" s="25"/>
      <c r="Q856" s="25"/>
      <c r="R856" s="25"/>
      <c r="S856" s="25"/>
      <c r="T856" s="25"/>
      <c r="U856" s="31">
        <f t="shared" si="14"/>
        <v>0</v>
      </c>
      <c r="V856" s="25"/>
      <c r="W856" s="33"/>
      <c r="X856" s="33"/>
      <c r="Y856" s="33"/>
      <c r="Z856" s="33"/>
      <c r="AA856" s="33"/>
    </row>
    <row r="857" spans="1:27" s="70" customFormat="1" ht="33.75" x14ac:dyDescent="0.2">
      <c r="A857" s="24">
        <v>853</v>
      </c>
      <c r="B857" s="27" t="s">
        <v>2376</v>
      </c>
      <c r="C857" s="28" t="s">
        <v>2375</v>
      </c>
      <c r="D857" s="71" t="s">
        <v>2460</v>
      </c>
      <c r="E857" s="28" t="s">
        <v>2459</v>
      </c>
      <c r="F857" s="28" t="s">
        <v>2458</v>
      </c>
      <c r="G857" s="27"/>
      <c r="H857" s="28" t="s">
        <v>2541</v>
      </c>
      <c r="I857" s="27"/>
      <c r="J857" s="28" t="s">
        <v>2545</v>
      </c>
      <c r="K857" s="27"/>
      <c r="L857" s="25" t="s">
        <v>2550</v>
      </c>
      <c r="M857" s="25"/>
      <c r="N857" s="25"/>
      <c r="O857" s="25"/>
      <c r="P857" s="25"/>
      <c r="Q857" s="25"/>
      <c r="R857" s="25"/>
      <c r="S857" s="25"/>
      <c r="T857" s="25"/>
      <c r="U857" s="31">
        <f t="shared" si="14"/>
        <v>0</v>
      </c>
      <c r="V857" s="25"/>
      <c r="W857" s="33"/>
      <c r="X857" s="33"/>
      <c r="Y857" s="33"/>
      <c r="Z857" s="33"/>
      <c r="AA857" s="33"/>
    </row>
    <row r="858" spans="1:27" s="70" customFormat="1" ht="33.75" x14ac:dyDescent="0.2">
      <c r="A858" s="24">
        <v>854</v>
      </c>
      <c r="B858" s="27" t="s">
        <v>2376</v>
      </c>
      <c r="C858" s="28" t="s">
        <v>2375</v>
      </c>
      <c r="D858" s="71" t="s">
        <v>2460</v>
      </c>
      <c r="E858" s="28" t="s">
        <v>2459</v>
      </c>
      <c r="F858" s="28" t="s">
        <v>2458</v>
      </c>
      <c r="G858" s="27"/>
      <c r="H858" s="28" t="s">
        <v>2541</v>
      </c>
      <c r="I858" s="27"/>
      <c r="J858" s="28" t="s">
        <v>2545</v>
      </c>
      <c r="K858" s="27"/>
      <c r="L858" s="25" t="s">
        <v>2549</v>
      </c>
      <c r="M858" s="25"/>
      <c r="N858" s="25"/>
      <c r="O858" s="25"/>
      <c r="P858" s="25"/>
      <c r="Q858" s="25"/>
      <c r="R858" s="25"/>
      <c r="S858" s="25"/>
      <c r="T858" s="25"/>
      <c r="U858" s="31">
        <f t="shared" si="14"/>
        <v>0</v>
      </c>
      <c r="V858" s="25"/>
      <c r="W858" s="33"/>
      <c r="X858" s="33"/>
      <c r="Y858" s="33"/>
      <c r="Z858" s="33"/>
      <c r="AA858" s="33"/>
    </row>
    <row r="859" spans="1:27" s="70" customFormat="1" ht="33.75" x14ac:dyDescent="0.2">
      <c r="A859" s="24">
        <v>855</v>
      </c>
      <c r="B859" s="27" t="s">
        <v>2376</v>
      </c>
      <c r="C859" s="28" t="s">
        <v>2375</v>
      </c>
      <c r="D859" s="71" t="s">
        <v>2460</v>
      </c>
      <c r="E859" s="28" t="s">
        <v>2459</v>
      </c>
      <c r="F859" s="28" t="s">
        <v>2458</v>
      </c>
      <c r="G859" s="27"/>
      <c r="H859" s="28" t="s">
        <v>2541</v>
      </c>
      <c r="I859" s="27"/>
      <c r="J859" s="28" t="s">
        <v>2545</v>
      </c>
      <c r="K859" s="27"/>
      <c r="L859" s="25" t="s">
        <v>2549</v>
      </c>
      <c r="M859" s="25"/>
      <c r="N859" s="25"/>
      <c r="O859" s="25"/>
      <c r="P859" s="25"/>
      <c r="Q859" s="25"/>
      <c r="R859" s="25"/>
      <c r="S859" s="25"/>
      <c r="T859" s="25"/>
      <c r="U859" s="31">
        <f t="shared" si="14"/>
        <v>0</v>
      </c>
      <c r="V859" s="25"/>
      <c r="W859" s="33"/>
      <c r="X859" s="33"/>
      <c r="Y859" s="33"/>
      <c r="Z859" s="33"/>
      <c r="AA859" s="33"/>
    </row>
    <row r="860" spans="1:27" s="70" customFormat="1" ht="33.75" x14ac:dyDescent="0.2">
      <c r="A860" s="24">
        <v>856</v>
      </c>
      <c r="B860" s="27" t="s">
        <v>2376</v>
      </c>
      <c r="C860" s="28" t="s">
        <v>2375</v>
      </c>
      <c r="D860" s="71" t="s">
        <v>2460</v>
      </c>
      <c r="E860" s="28" t="s">
        <v>2459</v>
      </c>
      <c r="F860" s="28" t="s">
        <v>2458</v>
      </c>
      <c r="G860" s="27"/>
      <c r="H860" s="28" t="s">
        <v>2541</v>
      </c>
      <c r="I860" s="27"/>
      <c r="J860" s="28" t="s">
        <v>2545</v>
      </c>
      <c r="K860" s="27"/>
      <c r="L860" s="25" t="s">
        <v>2548</v>
      </c>
      <c r="M860" s="25"/>
      <c r="N860" s="25"/>
      <c r="O860" s="25"/>
      <c r="P860" s="25"/>
      <c r="Q860" s="25"/>
      <c r="R860" s="25"/>
      <c r="S860" s="25"/>
      <c r="T860" s="25"/>
      <c r="U860" s="31">
        <f t="shared" si="14"/>
        <v>0</v>
      </c>
      <c r="V860" s="25"/>
      <c r="W860" s="33"/>
      <c r="X860" s="33"/>
      <c r="Y860" s="33"/>
      <c r="Z860" s="33"/>
      <c r="AA860" s="33"/>
    </row>
    <row r="861" spans="1:27" s="70" customFormat="1" ht="33.75" x14ac:dyDescent="0.2">
      <c r="A861" s="24">
        <v>857</v>
      </c>
      <c r="B861" s="27" t="s">
        <v>2376</v>
      </c>
      <c r="C861" s="28" t="s">
        <v>2375</v>
      </c>
      <c r="D861" s="71" t="s">
        <v>2460</v>
      </c>
      <c r="E861" s="28" t="s">
        <v>2459</v>
      </c>
      <c r="F861" s="28" t="s">
        <v>2458</v>
      </c>
      <c r="G861" s="27"/>
      <c r="H861" s="28" t="s">
        <v>2541</v>
      </c>
      <c r="I861" s="27"/>
      <c r="J861" s="28" t="s">
        <v>2545</v>
      </c>
      <c r="K861" s="27"/>
      <c r="L861" s="25" t="s">
        <v>2547</v>
      </c>
      <c r="M861" s="25"/>
      <c r="N861" s="25"/>
      <c r="O861" s="25"/>
      <c r="P861" s="25"/>
      <c r="Q861" s="25"/>
      <c r="R861" s="25"/>
      <c r="S861" s="25"/>
      <c r="T861" s="25"/>
      <c r="U861" s="31">
        <f t="shared" si="14"/>
        <v>0</v>
      </c>
      <c r="V861" s="25"/>
      <c r="W861" s="33"/>
      <c r="X861" s="33"/>
      <c r="Y861" s="33"/>
      <c r="Z861" s="33"/>
      <c r="AA861" s="33"/>
    </row>
    <row r="862" spans="1:27" s="70" customFormat="1" ht="33.75" x14ac:dyDescent="0.2">
      <c r="A862" s="24">
        <v>858</v>
      </c>
      <c r="B862" s="27" t="s">
        <v>2376</v>
      </c>
      <c r="C862" s="28" t="s">
        <v>2375</v>
      </c>
      <c r="D862" s="71" t="s">
        <v>2460</v>
      </c>
      <c r="E862" s="28" t="s">
        <v>2459</v>
      </c>
      <c r="F862" s="28" t="s">
        <v>2458</v>
      </c>
      <c r="G862" s="27"/>
      <c r="H862" s="28" t="s">
        <v>2541</v>
      </c>
      <c r="I862" s="27"/>
      <c r="J862" s="28" t="s">
        <v>2545</v>
      </c>
      <c r="K862" s="27"/>
      <c r="L862" s="25" t="s">
        <v>2546</v>
      </c>
      <c r="M862" s="25"/>
      <c r="N862" s="25"/>
      <c r="O862" s="25"/>
      <c r="P862" s="25"/>
      <c r="Q862" s="25"/>
      <c r="R862" s="25"/>
      <c r="S862" s="25"/>
      <c r="T862" s="25"/>
      <c r="U862" s="31">
        <f t="shared" si="14"/>
        <v>0</v>
      </c>
      <c r="V862" s="25"/>
      <c r="W862" s="33"/>
      <c r="X862" s="33"/>
      <c r="Y862" s="33"/>
      <c r="Z862" s="33"/>
      <c r="AA862" s="33"/>
    </row>
    <row r="863" spans="1:27" s="70" customFormat="1" ht="33.75" x14ac:dyDescent="0.2">
      <c r="A863" s="24">
        <v>859</v>
      </c>
      <c r="B863" s="27" t="s">
        <v>2376</v>
      </c>
      <c r="C863" s="28" t="s">
        <v>2375</v>
      </c>
      <c r="D863" s="71" t="s">
        <v>2460</v>
      </c>
      <c r="E863" s="28" t="s">
        <v>2459</v>
      </c>
      <c r="F863" s="28" t="s">
        <v>2458</v>
      </c>
      <c r="G863" s="27"/>
      <c r="H863" s="28" t="s">
        <v>2541</v>
      </c>
      <c r="I863" s="27"/>
      <c r="J863" s="28" t="s">
        <v>2545</v>
      </c>
      <c r="K863" s="27"/>
      <c r="L863" s="25" t="s">
        <v>2544</v>
      </c>
      <c r="M863" s="25"/>
      <c r="N863" s="25"/>
      <c r="O863" s="25"/>
      <c r="P863" s="25"/>
      <c r="Q863" s="25"/>
      <c r="R863" s="25"/>
      <c r="S863" s="25"/>
      <c r="T863" s="25"/>
      <c r="U863" s="31">
        <f t="shared" si="14"/>
        <v>0</v>
      </c>
      <c r="V863" s="25"/>
      <c r="W863" s="33"/>
      <c r="X863" s="33"/>
      <c r="Y863" s="33"/>
      <c r="Z863" s="33"/>
      <c r="AA863" s="33"/>
    </row>
    <row r="864" spans="1:27" s="70" customFormat="1" ht="56.25" x14ac:dyDescent="0.2">
      <c r="A864" s="24">
        <v>860</v>
      </c>
      <c r="B864" s="27" t="s">
        <v>2376</v>
      </c>
      <c r="C864" s="28" t="s">
        <v>2375</v>
      </c>
      <c r="D864" s="71" t="s">
        <v>2460</v>
      </c>
      <c r="E864" s="28" t="s">
        <v>2459</v>
      </c>
      <c r="F864" s="28" t="s">
        <v>2458</v>
      </c>
      <c r="G864" s="27"/>
      <c r="H864" s="28" t="s">
        <v>2541</v>
      </c>
      <c r="I864" s="27"/>
      <c r="J864" s="28" t="s">
        <v>2543</v>
      </c>
      <c r="K864" s="27"/>
      <c r="L864" s="25" t="s">
        <v>2542</v>
      </c>
      <c r="M864" s="25" t="s">
        <v>190</v>
      </c>
      <c r="N864" s="25">
        <v>20</v>
      </c>
      <c r="O864" s="25">
        <v>4</v>
      </c>
      <c r="P864" s="25">
        <v>3</v>
      </c>
      <c r="Q864" s="25"/>
      <c r="R864" s="25">
        <v>3</v>
      </c>
      <c r="S864" s="25"/>
      <c r="T864" s="25">
        <v>1</v>
      </c>
      <c r="U864" s="31">
        <f t="shared" si="14"/>
        <v>11</v>
      </c>
      <c r="V864" s="25"/>
      <c r="W864" s="33" t="s">
        <v>22</v>
      </c>
      <c r="X864" s="33"/>
      <c r="Y864" s="33"/>
      <c r="Z864" s="33" t="s">
        <v>1008</v>
      </c>
      <c r="AA864" s="33"/>
    </row>
    <row r="865" spans="1:28" s="70" customFormat="1" ht="33.75" x14ac:dyDescent="0.2">
      <c r="A865" s="24">
        <v>861</v>
      </c>
      <c r="B865" s="27" t="s">
        <v>2376</v>
      </c>
      <c r="C865" s="28" t="s">
        <v>2375</v>
      </c>
      <c r="D865" s="71" t="s">
        <v>2460</v>
      </c>
      <c r="E865" s="28" t="s">
        <v>2459</v>
      </c>
      <c r="F865" s="28" t="s">
        <v>2458</v>
      </c>
      <c r="G865" s="27"/>
      <c r="H865" s="28" t="s">
        <v>2541</v>
      </c>
      <c r="I865" s="27"/>
      <c r="J865" s="28" t="s">
        <v>2540</v>
      </c>
      <c r="K865" s="27"/>
      <c r="L865" s="25"/>
      <c r="M865" s="25"/>
      <c r="N865" s="25"/>
      <c r="O865" s="25"/>
      <c r="P865" s="25"/>
      <c r="Q865" s="25"/>
      <c r="R865" s="25"/>
      <c r="S865" s="25"/>
      <c r="T865" s="25"/>
      <c r="U865" s="31">
        <f t="shared" si="14"/>
        <v>0</v>
      </c>
      <c r="V865" s="25"/>
      <c r="W865" s="33"/>
      <c r="X865" s="33"/>
      <c r="Y865" s="33"/>
      <c r="Z865" s="33"/>
      <c r="AA865" s="33"/>
    </row>
    <row r="866" spans="1:28" s="70" customFormat="1" ht="78.75" x14ac:dyDescent="0.2">
      <c r="A866" s="24">
        <v>862</v>
      </c>
      <c r="B866" s="27" t="s">
        <v>2376</v>
      </c>
      <c r="C866" s="28" t="s">
        <v>2375</v>
      </c>
      <c r="D866" s="71" t="s">
        <v>2460</v>
      </c>
      <c r="E866" s="28" t="s">
        <v>2459</v>
      </c>
      <c r="F866" s="28" t="s">
        <v>2458</v>
      </c>
      <c r="G866" s="27"/>
      <c r="H866" s="28" t="s">
        <v>2535</v>
      </c>
      <c r="I866" s="27"/>
      <c r="J866" s="28" t="s">
        <v>2539</v>
      </c>
      <c r="K866" s="27"/>
      <c r="L866" s="25"/>
      <c r="M866" s="25"/>
      <c r="N866" s="25"/>
      <c r="O866" s="25"/>
      <c r="P866" s="25"/>
      <c r="Q866" s="25"/>
      <c r="R866" s="25"/>
      <c r="S866" s="25"/>
      <c r="T866" s="25"/>
      <c r="U866" s="31">
        <f t="shared" si="14"/>
        <v>0</v>
      </c>
      <c r="V866" s="25"/>
      <c r="W866" s="33"/>
      <c r="X866" s="33"/>
      <c r="Y866" s="33"/>
      <c r="Z866" s="33"/>
      <c r="AA866" s="33"/>
    </row>
    <row r="867" spans="1:28" s="70" customFormat="1" ht="33.75" x14ac:dyDescent="0.2">
      <c r="A867" s="24">
        <v>863</v>
      </c>
      <c r="B867" s="27" t="s">
        <v>2376</v>
      </c>
      <c r="C867" s="28" t="s">
        <v>2375</v>
      </c>
      <c r="D867" s="71" t="s">
        <v>2460</v>
      </c>
      <c r="E867" s="28" t="s">
        <v>2459</v>
      </c>
      <c r="F867" s="28" t="s">
        <v>2458</v>
      </c>
      <c r="G867" s="27"/>
      <c r="H867" s="28" t="s">
        <v>2535</v>
      </c>
      <c r="I867" s="27"/>
      <c r="J867" s="28" t="s">
        <v>2534</v>
      </c>
      <c r="K867" s="27"/>
      <c r="L867" s="25" t="s">
        <v>2538</v>
      </c>
      <c r="M867" s="25" t="s">
        <v>190</v>
      </c>
      <c r="N867" s="25" t="s">
        <v>2532</v>
      </c>
      <c r="O867" s="25">
        <v>8</v>
      </c>
      <c r="P867" s="25">
        <v>5</v>
      </c>
      <c r="Q867" s="25"/>
      <c r="R867" s="25"/>
      <c r="S867" s="25">
        <v>2</v>
      </c>
      <c r="T867" s="25">
        <v>1</v>
      </c>
      <c r="U867" s="31">
        <f t="shared" si="14"/>
        <v>16</v>
      </c>
      <c r="V867" s="25"/>
      <c r="W867" s="33" t="s">
        <v>22</v>
      </c>
      <c r="X867" s="33"/>
      <c r="Y867" s="33"/>
      <c r="Z867" s="33" t="s">
        <v>1008</v>
      </c>
      <c r="AA867" s="33"/>
    </row>
    <row r="868" spans="1:28" s="70" customFormat="1" ht="33.75" x14ac:dyDescent="0.2">
      <c r="A868" s="24">
        <v>864</v>
      </c>
      <c r="B868" s="27" t="s">
        <v>2376</v>
      </c>
      <c r="C868" s="28" t="s">
        <v>2375</v>
      </c>
      <c r="D868" s="71" t="s">
        <v>2460</v>
      </c>
      <c r="E868" s="28" t="s">
        <v>2459</v>
      </c>
      <c r="F868" s="28" t="s">
        <v>2458</v>
      </c>
      <c r="G868" s="27"/>
      <c r="H868" s="28" t="s">
        <v>2535</v>
      </c>
      <c r="I868" s="27"/>
      <c r="J868" s="28" t="s">
        <v>2534</v>
      </c>
      <c r="K868" s="27"/>
      <c r="L868" s="25" t="s">
        <v>2537</v>
      </c>
      <c r="M868" s="25" t="s">
        <v>190</v>
      </c>
      <c r="N868" s="25" t="s">
        <v>2532</v>
      </c>
      <c r="O868" s="25">
        <v>16</v>
      </c>
      <c r="P868" s="25">
        <v>12</v>
      </c>
      <c r="Q868" s="25"/>
      <c r="R868" s="25"/>
      <c r="S868" s="25">
        <v>4</v>
      </c>
      <c r="T868" s="25">
        <v>2</v>
      </c>
      <c r="U868" s="31">
        <f t="shared" si="14"/>
        <v>34</v>
      </c>
      <c r="V868" s="25"/>
      <c r="W868" s="33" t="s">
        <v>22</v>
      </c>
      <c r="X868" s="33"/>
      <c r="Y868" s="33"/>
      <c r="Z868" s="33" t="s">
        <v>1008</v>
      </c>
      <c r="AA868" s="33"/>
    </row>
    <row r="869" spans="1:28" s="70" customFormat="1" ht="33.75" x14ac:dyDescent="0.2">
      <c r="A869" s="24">
        <v>865</v>
      </c>
      <c r="B869" s="27" t="s">
        <v>2376</v>
      </c>
      <c r="C869" s="28" t="s">
        <v>2375</v>
      </c>
      <c r="D869" s="71" t="s">
        <v>2460</v>
      </c>
      <c r="E869" s="28" t="s">
        <v>2459</v>
      </c>
      <c r="F869" s="28" t="s">
        <v>2458</v>
      </c>
      <c r="G869" s="27"/>
      <c r="H869" s="28" t="s">
        <v>2535</v>
      </c>
      <c r="I869" s="27"/>
      <c r="J869" s="28" t="s">
        <v>2534</v>
      </c>
      <c r="K869" s="27"/>
      <c r="L869" s="25" t="s">
        <v>2536</v>
      </c>
      <c r="M869" s="25" t="s">
        <v>190</v>
      </c>
      <c r="N869" s="25" t="s">
        <v>2532</v>
      </c>
      <c r="O869" s="25">
        <v>24</v>
      </c>
      <c r="P869" s="25">
        <v>16</v>
      </c>
      <c r="Q869" s="25"/>
      <c r="R869" s="25"/>
      <c r="S869" s="25">
        <v>8</v>
      </c>
      <c r="T869" s="25">
        <v>4</v>
      </c>
      <c r="U869" s="31">
        <f t="shared" si="14"/>
        <v>52</v>
      </c>
      <c r="V869" s="25"/>
      <c r="W869" s="33" t="s">
        <v>22</v>
      </c>
      <c r="X869" s="33"/>
      <c r="Y869" s="33"/>
      <c r="Z869" s="33" t="s">
        <v>1008</v>
      </c>
      <c r="AA869" s="33"/>
    </row>
    <row r="870" spans="1:28" s="70" customFormat="1" ht="33.75" x14ac:dyDescent="0.2">
      <c r="A870" s="24">
        <v>866</v>
      </c>
      <c r="B870" s="27" t="s">
        <v>2376</v>
      </c>
      <c r="C870" s="28" t="s">
        <v>2375</v>
      </c>
      <c r="D870" s="71" t="s">
        <v>2460</v>
      </c>
      <c r="E870" s="28" t="s">
        <v>2459</v>
      </c>
      <c r="F870" s="28" t="s">
        <v>2458</v>
      </c>
      <c r="G870" s="27"/>
      <c r="H870" s="28" t="s">
        <v>2535</v>
      </c>
      <c r="I870" s="27"/>
      <c r="J870" s="28" t="s">
        <v>2534</v>
      </c>
      <c r="K870" s="27"/>
      <c r="L870" s="25" t="s">
        <v>2533</v>
      </c>
      <c r="M870" s="25" t="s">
        <v>190</v>
      </c>
      <c r="N870" s="25" t="s">
        <v>2532</v>
      </c>
      <c r="O870" s="25">
        <v>32</v>
      </c>
      <c r="P870" s="25">
        <v>24</v>
      </c>
      <c r="Q870" s="25"/>
      <c r="R870" s="25"/>
      <c r="S870" s="25">
        <v>16</v>
      </c>
      <c r="T870" s="25">
        <v>8</v>
      </c>
      <c r="U870" s="31">
        <f t="shared" si="14"/>
        <v>80</v>
      </c>
      <c r="V870" s="25"/>
      <c r="W870" s="33" t="s">
        <v>22</v>
      </c>
      <c r="X870" s="33"/>
      <c r="Y870" s="33"/>
      <c r="Z870" s="33" t="s">
        <v>1008</v>
      </c>
      <c r="AA870" s="33"/>
    </row>
    <row r="871" spans="1:28" s="70" customFormat="1" ht="33.75" x14ac:dyDescent="0.2">
      <c r="A871" s="24">
        <v>867</v>
      </c>
      <c r="B871" s="27" t="s">
        <v>2376</v>
      </c>
      <c r="C871" s="28" t="s">
        <v>2375</v>
      </c>
      <c r="D871" s="71" t="s">
        <v>2460</v>
      </c>
      <c r="E871" s="28" t="s">
        <v>2459</v>
      </c>
      <c r="F871" s="28" t="s">
        <v>2458</v>
      </c>
      <c r="G871" s="27"/>
      <c r="H871" s="28" t="s">
        <v>2512</v>
      </c>
      <c r="I871" s="27"/>
      <c r="J871" s="28" t="s">
        <v>2531</v>
      </c>
      <c r="K871" s="27"/>
      <c r="L871" s="25" t="s">
        <v>2530</v>
      </c>
      <c r="M871" s="25" t="s">
        <v>265</v>
      </c>
      <c r="N871" s="25">
        <v>4</v>
      </c>
      <c r="O871" s="25"/>
      <c r="P871" s="25">
        <v>8</v>
      </c>
      <c r="Q871" s="25"/>
      <c r="R871" s="25"/>
      <c r="S871" s="25"/>
      <c r="T871" s="25">
        <v>4</v>
      </c>
      <c r="U871" s="31">
        <f t="shared" si="14"/>
        <v>12</v>
      </c>
      <c r="V871" s="25"/>
      <c r="W871" s="33" t="s">
        <v>22</v>
      </c>
      <c r="X871" s="33"/>
      <c r="Y871" s="33"/>
      <c r="Z871" s="33" t="s">
        <v>1008</v>
      </c>
      <c r="AA871" s="33"/>
    </row>
    <row r="872" spans="1:28" s="73" customFormat="1" ht="33.75" x14ac:dyDescent="0.25">
      <c r="A872" s="24">
        <v>868</v>
      </c>
      <c r="B872" s="27" t="s">
        <v>2376</v>
      </c>
      <c r="C872" s="28" t="s">
        <v>2375</v>
      </c>
      <c r="D872" s="71" t="s">
        <v>2460</v>
      </c>
      <c r="E872" s="28" t="s">
        <v>2459</v>
      </c>
      <c r="F872" s="28" t="s">
        <v>2458</v>
      </c>
      <c r="G872" s="27"/>
      <c r="H872" s="28" t="s">
        <v>2512</v>
      </c>
      <c r="I872" s="27"/>
      <c r="J872" s="28" t="s">
        <v>2529</v>
      </c>
      <c r="K872" s="27"/>
      <c r="L872" s="25"/>
      <c r="M872" s="25"/>
      <c r="N872" s="25"/>
      <c r="O872" s="25"/>
      <c r="P872" s="25"/>
      <c r="Q872" s="25"/>
      <c r="R872" s="25"/>
      <c r="S872" s="25"/>
      <c r="T872" s="25"/>
      <c r="U872" s="31">
        <f t="shared" si="14"/>
        <v>0</v>
      </c>
      <c r="V872" s="25"/>
      <c r="W872" s="33"/>
      <c r="X872" s="33"/>
      <c r="Y872" s="33"/>
      <c r="Z872" s="33"/>
      <c r="AA872" s="33"/>
      <c r="AB872" s="73" t="s">
        <v>2151</v>
      </c>
    </row>
    <row r="873" spans="1:28" s="70" customFormat="1" ht="45" x14ac:dyDescent="0.2">
      <c r="A873" s="24">
        <v>869</v>
      </c>
      <c r="B873" s="27" t="s">
        <v>2376</v>
      </c>
      <c r="C873" s="28" t="s">
        <v>2375</v>
      </c>
      <c r="D873" s="71" t="s">
        <v>2460</v>
      </c>
      <c r="E873" s="28" t="s">
        <v>2459</v>
      </c>
      <c r="F873" s="28" t="s">
        <v>2458</v>
      </c>
      <c r="G873" s="27"/>
      <c r="H873" s="28" t="s">
        <v>2512</v>
      </c>
      <c r="I873" s="27"/>
      <c r="J873" s="28" t="s">
        <v>2527</v>
      </c>
      <c r="K873" s="27"/>
      <c r="L873" s="25" t="s">
        <v>2528</v>
      </c>
      <c r="M873" s="25" t="s">
        <v>2518</v>
      </c>
      <c r="N873" s="25" t="s">
        <v>2488</v>
      </c>
      <c r="O873" s="25"/>
      <c r="P873" s="25">
        <v>1</v>
      </c>
      <c r="Q873" s="25"/>
      <c r="R873" s="25"/>
      <c r="S873" s="25"/>
      <c r="T873" s="25">
        <v>0.2</v>
      </c>
      <c r="U873" s="31">
        <f t="shared" si="14"/>
        <v>1.2</v>
      </c>
      <c r="V873" s="25"/>
      <c r="W873" s="33" t="s">
        <v>79</v>
      </c>
      <c r="X873" s="33"/>
      <c r="Y873" s="33"/>
      <c r="Z873" s="33" t="s">
        <v>2503</v>
      </c>
      <c r="AA873" s="33"/>
    </row>
    <row r="874" spans="1:28" s="70" customFormat="1" ht="45" x14ac:dyDescent="0.2">
      <c r="A874" s="24">
        <v>870</v>
      </c>
      <c r="B874" s="27" t="s">
        <v>2376</v>
      </c>
      <c r="C874" s="28" t="s">
        <v>2375</v>
      </c>
      <c r="D874" s="71" t="s">
        <v>2460</v>
      </c>
      <c r="E874" s="28" t="s">
        <v>2459</v>
      </c>
      <c r="F874" s="28" t="s">
        <v>2458</v>
      </c>
      <c r="G874" s="27"/>
      <c r="H874" s="28" t="s">
        <v>2512</v>
      </c>
      <c r="I874" s="27"/>
      <c r="J874" s="28" t="s">
        <v>2527</v>
      </c>
      <c r="K874" s="27"/>
      <c r="L874" s="25" t="s">
        <v>2526</v>
      </c>
      <c r="M874" s="25" t="s">
        <v>265</v>
      </c>
      <c r="N874" s="25" t="s">
        <v>2488</v>
      </c>
      <c r="O874" s="25"/>
      <c r="P874" s="25">
        <v>0.5</v>
      </c>
      <c r="Q874" s="25"/>
      <c r="R874" s="25"/>
      <c r="S874" s="25"/>
      <c r="T874" s="25"/>
      <c r="U874" s="31">
        <f t="shared" si="14"/>
        <v>0.5</v>
      </c>
      <c r="V874" s="25"/>
      <c r="W874" s="33" t="s">
        <v>79</v>
      </c>
      <c r="X874" s="33"/>
      <c r="Y874" s="33"/>
      <c r="Z874" s="33" t="s">
        <v>2503</v>
      </c>
      <c r="AA874" s="33"/>
    </row>
    <row r="875" spans="1:28" s="70" customFormat="1" ht="33.75" x14ac:dyDescent="0.2">
      <c r="A875" s="24">
        <v>871</v>
      </c>
      <c r="B875" s="27" t="s">
        <v>2376</v>
      </c>
      <c r="C875" s="28" t="s">
        <v>2375</v>
      </c>
      <c r="D875" s="71" t="s">
        <v>2460</v>
      </c>
      <c r="E875" s="28" t="s">
        <v>2459</v>
      </c>
      <c r="F875" s="28" t="s">
        <v>2458</v>
      </c>
      <c r="G875" s="27"/>
      <c r="H875" s="28" t="s">
        <v>2512</v>
      </c>
      <c r="I875" s="27"/>
      <c r="J875" s="28" t="s">
        <v>2525</v>
      </c>
      <c r="K875" s="27"/>
      <c r="L875" s="25" t="s">
        <v>2524</v>
      </c>
      <c r="M875" s="25" t="s">
        <v>265</v>
      </c>
      <c r="N875" s="25">
        <v>3</v>
      </c>
      <c r="O875" s="25"/>
      <c r="P875" s="25">
        <v>80</v>
      </c>
      <c r="Q875" s="25"/>
      <c r="R875" s="25"/>
      <c r="S875" s="25"/>
      <c r="T875" s="25">
        <v>40</v>
      </c>
      <c r="U875" s="31">
        <f t="shared" si="14"/>
        <v>120</v>
      </c>
      <c r="V875" s="25"/>
      <c r="W875" s="33" t="s">
        <v>22</v>
      </c>
      <c r="X875" s="33"/>
      <c r="Y875" s="33"/>
      <c r="Z875" s="33" t="s">
        <v>1008</v>
      </c>
      <c r="AA875" s="33"/>
    </row>
    <row r="876" spans="1:28" s="70" customFormat="1" ht="45" x14ac:dyDescent="0.2">
      <c r="A876" s="24">
        <v>872</v>
      </c>
      <c r="B876" s="27" t="s">
        <v>2376</v>
      </c>
      <c r="C876" s="28" t="s">
        <v>2375</v>
      </c>
      <c r="D876" s="71" t="s">
        <v>2460</v>
      </c>
      <c r="E876" s="28" t="s">
        <v>2459</v>
      </c>
      <c r="F876" s="28" t="s">
        <v>2458</v>
      </c>
      <c r="G876" s="27"/>
      <c r="H876" s="28" t="s">
        <v>2512</v>
      </c>
      <c r="I876" s="27"/>
      <c r="J876" s="28" t="s">
        <v>2523</v>
      </c>
      <c r="K876" s="27"/>
      <c r="L876" s="25" t="s">
        <v>2522</v>
      </c>
      <c r="M876" s="25" t="s">
        <v>265</v>
      </c>
      <c r="N876" s="25">
        <v>4</v>
      </c>
      <c r="O876" s="25"/>
      <c r="P876" s="25">
        <v>8</v>
      </c>
      <c r="Q876" s="25"/>
      <c r="R876" s="25"/>
      <c r="S876" s="25"/>
      <c r="T876" s="25">
        <v>4</v>
      </c>
      <c r="U876" s="31">
        <f t="shared" si="14"/>
        <v>12</v>
      </c>
      <c r="V876" s="25"/>
      <c r="W876" s="33" t="s">
        <v>22</v>
      </c>
      <c r="X876" s="33"/>
      <c r="Y876" s="33"/>
      <c r="Z876" s="33" t="s">
        <v>1008</v>
      </c>
      <c r="AA876" s="33"/>
    </row>
    <row r="877" spans="1:28" s="70" customFormat="1" ht="33.75" x14ac:dyDescent="0.2">
      <c r="A877" s="24">
        <v>873</v>
      </c>
      <c r="B877" s="27" t="s">
        <v>2376</v>
      </c>
      <c r="C877" s="28" t="s">
        <v>2375</v>
      </c>
      <c r="D877" s="71" t="s">
        <v>2460</v>
      </c>
      <c r="E877" s="28" t="s">
        <v>2459</v>
      </c>
      <c r="F877" s="28" t="s">
        <v>2458</v>
      </c>
      <c r="G877" s="27"/>
      <c r="H877" s="28" t="s">
        <v>2512</v>
      </c>
      <c r="I877" s="27"/>
      <c r="J877" s="28" t="s">
        <v>2521</v>
      </c>
      <c r="K877" s="27"/>
      <c r="L877" s="25"/>
      <c r="M877" s="25"/>
      <c r="N877" s="25"/>
      <c r="O877" s="25"/>
      <c r="P877" s="25"/>
      <c r="Q877" s="25"/>
      <c r="R877" s="25"/>
      <c r="S877" s="25"/>
      <c r="T877" s="25"/>
      <c r="U877" s="31">
        <f t="shared" si="14"/>
        <v>0</v>
      </c>
      <c r="V877" s="25"/>
      <c r="W877" s="33"/>
      <c r="X877" s="33"/>
      <c r="Y877" s="33"/>
      <c r="Z877" s="33"/>
      <c r="AA877" s="33"/>
    </row>
    <row r="878" spans="1:28" s="70" customFormat="1" ht="56.25" x14ac:dyDescent="0.2">
      <c r="A878" s="24">
        <v>874</v>
      </c>
      <c r="B878" s="27" t="s">
        <v>2376</v>
      </c>
      <c r="C878" s="28" t="s">
        <v>2375</v>
      </c>
      <c r="D878" s="71" t="s">
        <v>2460</v>
      </c>
      <c r="E878" s="28" t="s">
        <v>2459</v>
      </c>
      <c r="F878" s="28" t="s">
        <v>2458</v>
      </c>
      <c r="G878" s="27"/>
      <c r="H878" s="28" t="s">
        <v>2512</v>
      </c>
      <c r="I878" s="27"/>
      <c r="J878" s="28" t="s">
        <v>2517</v>
      </c>
      <c r="K878" s="27"/>
      <c r="L878" s="25" t="s">
        <v>2520</v>
      </c>
      <c r="M878" s="25" t="s">
        <v>2518</v>
      </c>
      <c r="N878" s="25" t="s">
        <v>2488</v>
      </c>
      <c r="O878" s="25"/>
      <c r="P878" s="25">
        <v>4</v>
      </c>
      <c r="Q878" s="25"/>
      <c r="R878" s="25"/>
      <c r="S878" s="25"/>
      <c r="T878" s="25">
        <v>1</v>
      </c>
      <c r="U878" s="31">
        <f t="shared" si="14"/>
        <v>5</v>
      </c>
      <c r="V878" s="25"/>
      <c r="W878" s="33" t="s">
        <v>22</v>
      </c>
      <c r="X878" s="33"/>
      <c r="Y878" s="33"/>
      <c r="Z878" s="33" t="s">
        <v>1008</v>
      </c>
      <c r="AA878" s="33"/>
    </row>
    <row r="879" spans="1:28" s="70" customFormat="1" ht="56.25" x14ac:dyDescent="0.2">
      <c r="A879" s="24">
        <v>875</v>
      </c>
      <c r="B879" s="27" t="s">
        <v>2376</v>
      </c>
      <c r="C879" s="28" t="s">
        <v>2375</v>
      </c>
      <c r="D879" s="71" t="s">
        <v>2460</v>
      </c>
      <c r="E879" s="28" t="s">
        <v>2459</v>
      </c>
      <c r="F879" s="28" t="s">
        <v>2458</v>
      </c>
      <c r="G879" s="27"/>
      <c r="H879" s="28" t="s">
        <v>2512</v>
      </c>
      <c r="I879" s="27"/>
      <c r="J879" s="28" t="s">
        <v>2517</v>
      </c>
      <c r="K879" s="27"/>
      <c r="L879" s="25" t="s">
        <v>2519</v>
      </c>
      <c r="M879" s="25" t="s">
        <v>2518</v>
      </c>
      <c r="N879" s="25" t="s">
        <v>2488</v>
      </c>
      <c r="O879" s="25"/>
      <c r="P879" s="25">
        <v>4</v>
      </c>
      <c r="Q879" s="25"/>
      <c r="R879" s="25"/>
      <c r="S879" s="25"/>
      <c r="T879" s="25">
        <v>1</v>
      </c>
      <c r="U879" s="31">
        <f t="shared" si="14"/>
        <v>5</v>
      </c>
      <c r="V879" s="25"/>
      <c r="W879" s="33" t="s">
        <v>22</v>
      </c>
      <c r="X879" s="33"/>
      <c r="Y879" s="33"/>
      <c r="Z879" s="33" t="s">
        <v>1008</v>
      </c>
      <c r="AA879" s="33"/>
    </row>
    <row r="880" spans="1:28" s="70" customFormat="1" ht="56.25" x14ac:dyDescent="0.2">
      <c r="A880" s="24">
        <v>876</v>
      </c>
      <c r="B880" s="27" t="s">
        <v>2376</v>
      </c>
      <c r="C880" s="28" t="s">
        <v>2375</v>
      </c>
      <c r="D880" s="71" t="s">
        <v>2460</v>
      </c>
      <c r="E880" s="28" t="s">
        <v>2459</v>
      </c>
      <c r="F880" s="28" t="s">
        <v>2458</v>
      </c>
      <c r="G880" s="27"/>
      <c r="H880" s="28" t="s">
        <v>2512</v>
      </c>
      <c r="I880" s="27"/>
      <c r="J880" s="28" t="s">
        <v>2517</v>
      </c>
      <c r="K880" s="27"/>
      <c r="L880" s="25" t="s">
        <v>2516</v>
      </c>
      <c r="M880" s="25" t="s">
        <v>265</v>
      </c>
      <c r="N880" s="25">
        <v>1</v>
      </c>
      <c r="O880" s="25"/>
      <c r="P880" s="25">
        <v>4</v>
      </c>
      <c r="Q880" s="25"/>
      <c r="R880" s="25"/>
      <c r="S880" s="25"/>
      <c r="T880" s="25"/>
      <c r="U880" s="31">
        <f t="shared" si="14"/>
        <v>4</v>
      </c>
      <c r="V880" s="25"/>
      <c r="W880" s="33" t="s">
        <v>22</v>
      </c>
      <c r="X880" s="33"/>
      <c r="Y880" s="33"/>
      <c r="Z880" s="33" t="s">
        <v>1008</v>
      </c>
      <c r="AA880" s="33"/>
    </row>
    <row r="881" spans="1:27" s="70" customFormat="1" ht="45" x14ac:dyDescent="0.2">
      <c r="A881" s="24">
        <v>877</v>
      </c>
      <c r="B881" s="27" t="s">
        <v>2376</v>
      </c>
      <c r="C881" s="28" t="s">
        <v>2375</v>
      </c>
      <c r="D881" s="71" t="s">
        <v>2460</v>
      </c>
      <c r="E881" s="28" t="s">
        <v>2459</v>
      </c>
      <c r="F881" s="28" t="s">
        <v>2458</v>
      </c>
      <c r="G881" s="27"/>
      <c r="H881" s="28" t="s">
        <v>2512</v>
      </c>
      <c r="I881" s="27"/>
      <c r="J881" s="28" t="s">
        <v>2514</v>
      </c>
      <c r="K881" s="27"/>
      <c r="L881" s="25" t="s">
        <v>2515</v>
      </c>
      <c r="M881" s="25" t="s">
        <v>265</v>
      </c>
      <c r="N881" s="25">
        <v>4</v>
      </c>
      <c r="O881" s="25"/>
      <c r="P881" s="25">
        <v>16</v>
      </c>
      <c r="Q881" s="25"/>
      <c r="R881" s="25"/>
      <c r="S881" s="25"/>
      <c r="T881" s="25">
        <v>2</v>
      </c>
      <c r="U881" s="31">
        <f t="shared" si="14"/>
        <v>18</v>
      </c>
      <c r="V881" s="25"/>
      <c r="W881" s="33" t="s">
        <v>22</v>
      </c>
      <c r="X881" s="33"/>
      <c r="Y881" s="33"/>
      <c r="Z881" s="33" t="s">
        <v>1008</v>
      </c>
      <c r="AA881" s="33"/>
    </row>
    <row r="882" spans="1:27" s="70" customFormat="1" ht="45" x14ac:dyDescent="0.2">
      <c r="A882" s="24">
        <v>878</v>
      </c>
      <c r="B882" s="27" t="s">
        <v>2376</v>
      </c>
      <c r="C882" s="28" t="s">
        <v>2375</v>
      </c>
      <c r="D882" s="71" t="s">
        <v>2460</v>
      </c>
      <c r="E882" s="28" t="s">
        <v>2459</v>
      </c>
      <c r="F882" s="28" t="s">
        <v>2458</v>
      </c>
      <c r="G882" s="27"/>
      <c r="H882" s="28" t="s">
        <v>2512</v>
      </c>
      <c r="I882" s="27"/>
      <c r="J882" s="28" t="s">
        <v>2514</v>
      </c>
      <c r="K882" s="27"/>
      <c r="L882" s="25" t="s">
        <v>2513</v>
      </c>
      <c r="M882" s="25" t="s">
        <v>265</v>
      </c>
      <c r="N882" s="25">
        <v>12</v>
      </c>
      <c r="O882" s="25"/>
      <c r="P882" s="25">
        <v>48</v>
      </c>
      <c r="Q882" s="25"/>
      <c r="R882" s="25"/>
      <c r="S882" s="25"/>
      <c r="T882" s="25">
        <v>2</v>
      </c>
      <c r="U882" s="31">
        <f t="shared" si="14"/>
        <v>50</v>
      </c>
      <c r="V882" s="25"/>
      <c r="W882" s="33" t="s">
        <v>22</v>
      </c>
      <c r="X882" s="33"/>
      <c r="Y882" s="33"/>
      <c r="Z882" s="33" t="s">
        <v>1008</v>
      </c>
      <c r="AA882" s="33"/>
    </row>
    <row r="883" spans="1:27" s="70" customFormat="1" ht="33.75" x14ac:dyDescent="0.2">
      <c r="A883" s="24">
        <v>879</v>
      </c>
      <c r="B883" s="27" t="s">
        <v>2376</v>
      </c>
      <c r="C883" s="28" t="s">
        <v>2375</v>
      </c>
      <c r="D883" s="71" t="s">
        <v>2460</v>
      </c>
      <c r="E883" s="28" t="s">
        <v>2459</v>
      </c>
      <c r="F883" s="28" t="s">
        <v>2458</v>
      </c>
      <c r="G883" s="27"/>
      <c r="H883" s="28" t="s">
        <v>2512</v>
      </c>
      <c r="I883" s="27"/>
      <c r="J883" s="28" t="s">
        <v>2511</v>
      </c>
      <c r="K883" s="27"/>
      <c r="L883" s="25"/>
      <c r="M883" s="25"/>
      <c r="N883" s="25"/>
      <c r="O883" s="25"/>
      <c r="P883" s="25"/>
      <c r="Q883" s="25"/>
      <c r="R883" s="25"/>
      <c r="S883" s="25"/>
      <c r="T883" s="25"/>
      <c r="U883" s="31">
        <f t="shared" si="14"/>
        <v>0</v>
      </c>
      <c r="V883" s="25"/>
      <c r="W883" s="33"/>
      <c r="X883" s="33"/>
      <c r="Y883" s="33"/>
      <c r="Z883" s="33"/>
      <c r="AA883" s="33"/>
    </row>
    <row r="884" spans="1:27" s="70" customFormat="1" ht="33.75" x14ac:dyDescent="0.2">
      <c r="A884" s="24">
        <v>880</v>
      </c>
      <c r="B884" s="27" t="s">
        <v>2376</v>
      </c>
      <c r="C884" s="28" t="s">
        <v>2375</v>
      </c>
      <c r="D884" s="71" t="s">
        <v>2460</v>
      </c>
      <c r="E884" s="28" t="s">
        <v>2459</v>
      </c>
      <c r="F884" s="28" t="s">
        <v>2458</v>
      </c>
      <c r="G884" s="27"/>
      <c r="H884" s="28" t="s">
        <v>2476</v>
      </c>
      <c r="I884" s="27"/>
      <c r="J884" s="28" t="s">
        <v>2502</v>
      </c>
      <c r="K884" s="27"/>
      <c r="L884" s="25" t="s">
        <v>2510</v>
      </c>
      <c r="M884" s="25" t="s">
        <v>235</v>
      </c>
      <c r="N884" s="25">
        <v>303</v>
      </c>
      <c r="O884" s="25">
        <v>2</v>
      </c>
      <c r="P884" s="25">
        <v>1.5</v>
      </c>
      <c r="Q884" s="25">
        <v>1</v>
      </c>
      <c r="R884" s="25">
        <v>1</v>
      </c>
      <c r="S884" s="25"/>
      <c r="T884" s="25"/>
      <c r="U884" s="31">
        <f t="shared" si="14"/>
        <v>5.5</v>
      </c>
      <c r="V884" s="25"/>
      <c r="W884" s="33" t="s">
        <v>22</v>
      </c>
      <c r="X884" s="33"/>
      <c r="Y884" s="33"/>
      <c r="Z884" s="33" t="s">
        <v>1008</v>
      </c>
      <c r="AA884" s="33"/>
    </row>
    <row r="885" spans="1:27" s="70" customFormat="1" ht="45" x14ac:dyDescent="0.2">
      <c r="A885" s="24">
        <v>881</v>
      </c>
      <c r="B885" s="27" t="s">
        <v>2376</v>
      </c>
      <c r="C885" s="28" t="s">
        <v>2375</v>
      </c>
      <c r="D885" s="71" t="s">
        <v>2460</v>
      </c>
      <c r="E885" s="28" t="s">
        <v>2459</v>
      </c>
      <c r="F885" s="28" t="s">
        <v>2458</v>
      </c>
      <c r="G885" s="27"/>
      <c r="H885" s="28" t="s">
        <v>2476</v>
      </c>
      <c r="I885" s="27"/>
      <c r="J885" s="28" t="s">
        <v>2502</v>
      </c>
      <c r="K885" s="27"/>
      <c r="L885" s="25" t="s">
        <v>2509</v>
      </c>
      <c r="M885" s="25" t="s">
        <v>265</v>
      </c>
      <c r="N885" s="25" t="s">
        <v>2508</v>
      </c>
      <c r="O885" s="25">
        <v>3</v>
      </c>
      <c r="P885" s="25">
        <v>2</v>
      </c>
      <c r="Q885" s="25">
        <v>1</v>
      </c>
      <c r="R885" s="25">
        <v>1</v>
      </c>
      <c r="S885" s="25"/>
      <c r="T885" s="25"/>
      <c r="U885" s="31">
        <f t="shared" si="14"/>
        <v>7</v>
      </c>
      <c r="V885" s="25"/>
      <c r="W885" s="33" t="s">
        <v>22</v>
      </c>
      <c r="X885" s="33"/>
      <c r="Y885" s="33"/>
      <c r="Z885" s="33" t="s">
        <v>1008</v>
      </c>
      <c r="AA885" s="33"/>
    </row>
    <row r="886" spans="1:27" s="70" customFormat="1" ht="45" x14ac:dyDescent="0.2">
      <c r="A886" s="24">
        <v>882</v>
      </c>
      <c r="B886" s="27" t="s">
        <v>2376</v>
      </c>
      <c r="C886" s="28" t="s">
        <v>2375</v>
      </c>
      <c r="D886" s="71" t="s">
        <v>2460</v>
      </c>
      <c r="E886" s="28" t="s">
        <v>2459</v>
      </c>
      <c r="F886" s="28" t="s">
        <v>2458</v>
      </c>
      <c r="G886" s="27"/>
      <c r="H886" s="28" t="s">
        <v>2476</v>
      </c>
      <c r="I886" s="27"/>
      <c r="J886" s="28" t="s">
        <v>2502</v>
      </c>
      <c r="K886" s="27"/>
      <c r="L886" s="25" t="s">
        <v>2507</v>
      </c>
      <c r="M886" s="25" t="s">
        <v>235</v>
      </c>
      <c r="N886" s="25">
        <v>303</v>
      </c>
      <c r="O886" s="25">
        <v>3</v>
      </c>
      <c r="P886" s="25">
        <v>2</v>
      </c>
      <c r="Q886" s="25">
        <v>1</v>
      </c>
      <c r="R886" s="25">
        <v>1</v>
      </c>
      <c r="S886" s="25"/>
      <c r="T886" s="25"/>
      <c r="U886" s="31">
        <f t="shared" si="14"/>
        <v>7</v>
      </c>
      <c r="V886" s="25"/>
      <c r="W886" s="33" t="s">
        <v>22</v>
      </c>
      <c r="X886" s="33"/>
      <c r="Y886" s="33"/>
      <c r="Z886" s="33" t="s">
        <v>1008</v>
      </c>
      <c r="AA886" s="33"/>
    </row>
    <row r="887" spans="1:27" s="70" customFormat="1" ht="33.75" x14ac:dyDescent="0.2">
      <c r="A887" s="24">
        <v>883</v>
      </c>
      <c r="B887" s="27" t="s">
        <v>2376</v>
      </c>
      <c r="C887" s="28" t="s">
        <v>2375</v>
      </c>
      <c r="D887" s="71" t="s">
        <v>2460</v>
      </c>
      <c r="E887" s="28" t="s">
        <v>2459</v>
      </c>
      <c r="F887" s="28" t="s">
        <v>2458</v>
      </c>
      <c r="G887" s="27"/>
      <c r="H887" s="28" t="s">
        <v>2476</v>
      </c>
      <c r="I887" s="27"/>
      <c r="J887" s="28" t="s">
        <v>2502</v>
      </c>
      <c r="K887" s="27"/>
      <c r="L887" s="25" t="s">
        <v>2506</v>
      </c>
      <c r="M887" s="25" t="s">
        <v>235</v>
      </c>
      <c r="N887" s="25">
        <v>303</v>
      </c>
      <c r="O887" s="25">
        <v>2</v>
      </c>
      <c r="P887" s="25">
        <v>1.5</v>
      </c>
      <c r="Q887" s="25">
        <v>0.5</v>
      </c>
      <c r="R887" s="25">
        <v>0.5</v>
      </c>
      <c r="S887" s="25"/>
      <c r="T887" s="25"/>
      <c r="U887" s="31">
        <f t="shared" si="14"/>
        <v>4.5</v>
      </c>
      <c r="V887" s="25"/>
      <c r="W887" s="33" t="s">
        <v>22</v>
      </c>
      <c r="X887" s="33"/>
      <c r="Y887" s="33"/>
      <c r="Z887" s="33" t="s">
        <v>1008</v>
      </c>
      <c r="AA887" s="33"/>
    </row>
    <row r="888" spans="1:27" s="70" customFormat="1" ht="33.75" x14ac:dyDescent="0.2">
      <c r="A888" s="24">
        <v>884</v>
      </c>
      <c r="B888" s="27" t="s">
        <v>2376</v>
      </c>
      <c r="C888" s="28" t="s">
        <v>2375</v>
      </c>
      <c r="D888" s="71" t="s">
        <v>2460</v>
      </c>
      <c r="E888" s="28" t="s">
        <v>2459</v>
      </c>
      <c r="F888" s="28" t="s">
        <v>2458</v>
      </c>
      <c r="G888" s="27"/>
      <c r="H888" s="28" t="s">
        <v>2476</v>
      </c>
      <c r="I888" s="27"/>
      <c r="J888" s="28" t="s">
        <v>2502</v>
      </c>
      <c r="K888" s="27"/>
      <c r="L888" s="25" t="s">
        <v>2505</v>
      </c>
      <c r="M888" s="25" t="s">
        <v>265</v>
      </c>
      <c r="N888" s="25">
        <v>4</v>
      </c>
      <c r="O888" s="25">
        <v>24</v>
      </c>
      <c r="P888" s="25">
        <v>20</v>
      </c>
      <c r="Q888" s="25">
        <v>10</v>
      </c>
      <c r="R888" s="25">
        <v>10</v>
      </c>
      <c r="S888" s="25"/>
      <c r="T888" s="25"/>
      <c r="U888" s="31">
        <f t="shared" si="14"/>
        <v>64</v>
      </c>
      <c r="V888" s="25"/>
      <c r="W888" s="33" t="s">
        <v>22</v>
      </c>
      <c r="X888" s="33"/>
      <c r="Y888" s="33"/>
      <c r="Z888" s="33" t="s">
        <v>1008</v>
      </c>
      <c r="AA888" s="33"/>
    </row>
    <row r="889" spans="1:27" s="70" customFormat="1" ht="33.75" x14ac:dyDescent="0.2">
      <c r="A889" s="24">
        <v>885</v>
      </c>
      <c r="B889" s="27" t="s">
        <v>2376</v>
      </c>
      <c r="C889" s="28" t="s">
        <v>2375</v>
      </c>
      <c r="D889" s="71" t="s">
        <v>2460</v>
      </c>
      <c r="E889" s="28" t="s">
        <v>2459</v>
      </c>
      <c r="F889" s="28" t="s">
        <v>2458</v>
      </c>
      <c r="G889" s="27"/>
      <c r="H889" s="28" t="s">
        <v>2476</v>
      </c>
      <c r="I889" s="27"/>
      <c r="J889" s="28" t="s">
        <v>2502</v>
      </c>
      <c r="K889" s="27"/>
      <c r="L889" s="25" t="s">
        <v>2504</v>
      </c>
      <c r="M889" s="25" t="s">
        <v>265</v>
      </c>
      <c r="N889" s="25" t="s">
        <v>2488</v>
      </c>
      <c r="O889" s="25">
        <v>0.1</v>
      </c>
      <c r="P889" s="25">
        <v>0.1</v>
      </c>
      <c r="Q889" s="25">
        <v>0.1</v>
      </c>
      <c r="R889" s="25">
        <v>0.1</v>
      </c>
      <c r="S889" s="25"/>
      <c r="T889" s="25"/>
      <c r="U889" s="31">
        <f t="shared" si="14"/>
        <v>0.4</v>
      </c>
      <c r="V889" s="25"/>
      <c r="W889" s="33" t="s">
        <v>79</v>
      </c>
      <c r="X889" s="33"/>
      <c r="Y889" s="33"/>
      <c r="Z889" s="33" t="s">
        <v>2503</v>
      </c>
      <c r="AA889" s="33"/>
    </row>
    <row r="890" spans="1:27" s="70" customFormat="1" ht="33.75" x14ac:dyDescent="0.2">
      <c r="A890" s="24">
        <v>886</v>
      </c>
      <c r="B890" s="27" t="s">
        <v>2376</v>
      </c>
      <c r="C890" s="28" t="s">
        <v>2375</v>
      </c>
      <c r="D890" s="71" t="s">
        <v>2460</v>
      </c>
      <c r="E890" s="28" t="s">
        <v>2459</v>
      </c>
      <c r="F890" s="28" t="s">
        <v>2458</v>
      </c>
      <c r="G890" s="27"/>
      <c r="H890" s="28" t="s">
        <v>2476</v>
      </c>
      <c r="I890" s="27"/>
      <c r="J890" s="28" t="s">
        <v>2502</v>
      </c>
      <c r="K890" s="27"/>
      <c r="L890" s="25" t="s">
        <v>2501</v>
      </c>
      <c r="M890" s="25" t="s">
        <v>265</v>
      </c>
      <c r="N890" s="25"/>
      <c r="O890" s="25"/>
      <c r="P890" s="25"/>
      <c r="Q890" s="25"/>
      <c r="R890" s="25"/>
      <c r="S890" s="25"/>
      <c r="T890" s="25"/>
      <c r="U890" s="31">
        <f t="shared" si="14"/>
        <v>0</v>
      </c>
      <c r="V890" s="25"/>
      <c r="W890" s="33" t="s">
        <v>22</v>
      </c>
      <c r="X890" s="33"/>
      <c r="Y890" s="33"/>
      <c r="Z890" s="33" t="s">
        <v>1008</v>
      </c>
      <c r="AA890" s="33"/>
    </row>
    <row r="891" spans="1:27" s="70" customFormat="1" ht="33.75" x14ac:dyDescent="0.2">
      <c r="A891" s="24">
        <v>887</v>
      </c>
      <c r="B891" s="27" t="s">
        <v>2376</v>
      </c>
      <c r="C891" s="28" t="s">
        <v>2375</v>
      </c>
      <c r="D891" s="71" t="s">
        <v>2460</v>
      </c>
      <c r="E891" s="28" t="s">
        <v>2459</v>
      </c>
      <c r="F891" s="28" t="s">
        <v>2458</v>
      </c>
      <c r="G891" s="27"/>
      <c r="H891" s="28" t="s">
        <v>2476</v>
      </c>
      <c r="I891" s="27"/>
      <c r="J891" s="28" t="s">
        <v>2498</v>
      </c>
      <c r="K891" s="27"/>
      <c r="L891" s="25" t="s">
        <v>2500</v>
      </c>
      <c r="M891" s="25" t="s">
        <v>265</v>
      </c>
      <c r="N891" s="25" t="s">
        <v>2488</v>
      </c>
      <c r="O891" s="25"/>
      <c r="P891" s="25"/>
      <c r="Q891" s="25"/>
      <c r="R891" s="25"/>
      <c r="S891" s="25"/>
      <c r="T891" s="25"/>
      <c r="U891" s="31">
        <f t="shared" si="14"/>
        <v>0</v>
      </c>
      <c r="V891" s="25"/>
      <c r="W891" s="33" t="s">
        <v>22</v>
      </c>
      <c r="X891" s="33"/>
      <c r="Y891" s="33"/>
      <c r="Z891" s="33" t="s">
        <v>1008</v>
      </c>
      <c r="AA891" s="33"/>
    </row>
    <row r="892" spans="1:27" s="70" customFormat="1" ht="33.75" x14ac:dyDescent="0.2">
      <c r="A892" s="24">
        <v>888</v>
      </c>
      <c r="B892" s="27" t="s">
        <v>2376</v>
      </c>
      <c r="C892" s="28" t="s">
        <v>2375</v>
      </c>
      <c r="D892" s="71" t="s">
        <v>2460</v>
      </c>
      <c r="E892" s="28" t="s">
        <v>2459</v>
      </c>
      <c r="F892" s="28" t="s">
        <v>2458</v>
      </c>
      <c r="G892" s="27"/>
      <c r="H892" s="28" t="s">
        <v>2476</v>
      </c>
      <c r="I892" s="27"/>
      <c r="J892" s="28" t="s">
        <v>2498</v>
      </c>
      <c r="K892" s="27"/>
      <c r="L892" s="25" t="s">
        <v>2499</v>
      </c>
      <c r="M892" s="25" t="s">
        <v>265</v>
      </c>
      <c r="N892" s="25" t="s">
        <v>2488</v>
      </c>
      <c r="O892" s="25">
        <v>1.5</v>
      </c>
      <c r="P892" s="25">
        <v>1</v>
      </c>
      <c r="Q892" s="25">
        <v>0.5</v>
      </c>
      <c r="R892" s="25">
        <v>0.5</v>
      </c>
      <c r="S892" s="25"/>
      <c r="T892" s="25"/>
      <c r="U892" s="31">
        <f t="shared" si="14"/>
        <v>3.5</v>
      </c>
      <c r="V892" s="25"/>
      <c r="W892" s="33" t="s">
        <v>22</v>
      </c>
      <c r="X892" s="33"/>
      <c r="Y892" s="33"/>
      <c r="Z892" s="33" t="s">
        <v>1008</v>
      </c>
      <c r="AA892" s="33"/>
    </row>
    <row r="893" spans="1:27" s="70" customFormat="1" ht="33.75" x14ac:dyDescent="0.2">
      <c r="A893" s="24">
        <v>889</v>
      </c>
      <c r="B893" s="27" t="s">
        <v>2376</v>
      </c>
      <c r="C893" s="28" t="s">
        <v>2375</v>
      </c>
      <c r="D893" s="71" t="s">
        <v>2460</v>
      </c>
      <c r="E893" s="28" t="s">
        <v>2459</v>
      </c>
      <c r="F893" s="28" t="s">
        <v>2458</v>
      </c>
      <c r="G893" s="27"/>
      <c r="H893" s="28" t="s">
        <v>2476</v>
      </c>
      <c r="I893" s="27"/>
      <c r="J893" s="28" t="s">
        <v>2498</v>
      </c>
      <c r="K893" s="27"/>
      <c r="L893" s="25" t="s">
        <v>2497</v>
      </c>
      <c r="M893" s="25" t="s">
        <v>265</v>
      </c>
      <c r="N893" s="25" t="s">
        <v>2488</v>
      </c>
      <c r="O893" s="25">
        <v>4</v>
      </c>
      <c r="P893" s="25">
        <v>3</v>
      </c>
      <c r="Q893" s="25">
        <v>0.5</v>
      </c>
      <c r="R893" s="25">
        <v>0.5</v>
      </c>
      <c r="S893" s="25"/>
      <c r="T893" s="25"/>
      <c r="U893" s="31">
        <f t="shared" si="14"/>
        <v>8</v>
      </c>
      <c r="V893" s="25"/>
      <c r="W893" s="33" t="s">
        <v>22</v>
      </c>
      <c r="X893" s="33"/>
      <c r="Y893" s="33"/>
      <c r="Z893" s="33" t="s">
        <v>1008</v>
      </c>
      <c r="AA893" s="33"/>
    </row>
    <row r="894" spans="1:27" s="70" customFormat="1" ht="33.75" x14ac:dyDescent="0.2">
      <c r="A894" s="24">
        <v>890</v>
      </c>
      <c r="B894" s="27" t="s">
        <v>2376</v>
      </c>
      <c r="C894" s="28" t="s">
        <v>2375</v>
      </c>
      <c r="D894" s="71" t="s">
        <v>2460</v>
      </c>
      <c r="E894" s="28" t="s">
        <v>2459</v>
      </c>
      <c r="F894" s="28" t="s">
        <v>2458</v>
      </c>
      <c r="G894" s="27"/>
      <c r="H894" s="28" t="s">
        <v>2476</v>
      </c>
      <c r="I894" s="27"/>
      <c r="J894" s="28" t="s">
        <v>2494</v>
      </c>
      <c r="K894" s="27"/>
      <c r="L894" s="25" t="s">
        <v>2496</v>
      </c>
      <c r="M894" s="25" t="s">
        <v>265</v>
      </c>
      <c r="N894" s="25">
        <v>1</v>
      </c>
      <c r="O894" s="25">
        <v>56</v>
      </c>
      <c r="P894" s="25">
        <v>48</v>
      </c>
      <c r="Q894" s="25">
        <v>8</v>
      </c>
      <c r="R894" s="25">
        <v>8</v>
      </c>
      <c r="S894" s="25"/>
      <c r="T894" s="25">
        <v>8</v>
      </c>
      <c r="U894" s="31">
        <f t="shared" si="14"/>
        <v>128</v>
      </c>
      <c r="V894" s="25"/>
      <c r="W894" s="33" t="s">
        <v>22</v>
      </c>
      <c r="X894" s="33"/>
      <c r="Y894" s="33"/>
      <c r="Z894" s="33" t="s">
        <v>1008</v>
      </c>
      <c r="AA894" s="33"/>
    </row>
    <row r="895" spans="1:27" s="70" customFormat="1" ht="33.75" x14ac:dyDescent="0.2">
      <c r="A895" s="24">
        <v>891</v>
      </c>
      <c r="B895" s="27" t="s">
        <v>2376</v>
      </c>
      <c r="C895" s="28" t="s">
        <v>2375</v>
      </c>
      <c r="D895" s="71" t="s">
        <v>2460</v>
      </c>
      <c r="E895" s="28" t="s">
        <v>2459</v>
      </c>
      <c r="F895" s="28" t="s">
        <v>2458</v>
      </c>
      <c r="G895" s="27"/>
      <c r="H895" s="28" t="s">
        <v>2476</v>
      </c>
      <c r="I895" s="27"/>
      <c r="J895" s="28" t="s">
        <v>2494</v>
      </c>
      <c r="K895" s="27"/>
      <c r="L895" s="25" t="s">
        <v>2495</v>
      </c>
      <c r="M895" s="25" t="s">
        <v>2463</v>
      </c>
      <c r="N895" s="25">
        <v>1</v>
      </c>
      <c r="O895" s="25"/>
      <c r="P895" s="25"/>
      <c r="Q895" s="25"/>
      <c r="R895" s="25">
        <v>112</v>
      </c>
      <c r="S895" s="25"/>
      <c r="T895" s="25">
        <v>32</v>
      </c>
      <c r="U895" s="31">
        <f t="shared" si="14"/>
        <v>144</v>
      </c>
      <c r="V895" s="25"/>
      <c r="W895" s="33" t="s">
        <v>22</v>
      </c>
      <c r="X895" s="33"/>
      <c r="Y895" s="33"/>
      <c r="Z895" s="33" t="s">
        <v>1008</v>
      </c>
      <c r="AA895" s="33"/>
    </row>
    <row r="896" spans="1:27" s="70" customFormat="1" ht="33.75" x14ac:dyDescent="0.2">
      <c r="A896" s="24">
        <v>892</v>
      </c>
      <c r="B896" s="27" t="s">
        <v>2376</v>
      </c>
      <c r="C896" s="28" t="s">
        <v>2375</v>
      </c>
      <c r="D896" s="71" t="s">
        <v>2460</v>
      </c>
      <c r="E896" s="28" t="s">
        <v>2459</v>
      </c>
      <c r="F896" s="28" t="s">
        <v>2458</v>
      </c>
      <c r="G896" s="27"/>
      <c r="H896" s="28" t="s">
        <v>2476</v>
      </c>
      <c r="I896" s="27"/>
      <c r="J896" s="28" t="s">
        <v>2494</v>
      </c>
      <c r="K896" s="27"/>
      <c r="L896" s="25" t="s">
        <v>2493</v>
      </c>
      <c r="M896" s="25" t="s">
        <v>265</v>
      </c>
      <c r="N896" s="25" t="s">
        <v>2455</v>
      </c>
      <c r="O896" s="25">
        <v>24</v>
      </c>
      <c r="P896" s="25">
        <v>12</v>
      </c>
      <c r="Q896" s="25">
        <v>6</v>
      </c>
      <c r="R896" s="25">
        <v>4</v>
      </c>
      <c r="S896" s="25">
        <v>2</v>
      </c>
      <c r="T896" s="25">
        <v>2</v>
      </c>
      <c r="U896" s="31">
        <f t="shared" si="14"/>
        <v>50</v>
      </c>
      <c r="V896" s="25"/>
      <c r="W896" s="33" t="s">
        <v>22</v>
      </c>
      <c r="X896" s="33"/>
      <c r="Y896" s="33"/>
      <c r="Z896" s="33" t="s">
        <v>1008</v>
      </c>
      <c r="AA896" s="33"/>
    </row>
    <row r="897" spans="1:27" s="70" customFormat="1" ht="67.5" x14ac:dyDescent="0.2">
      <c r="A897" s="24">
        <v>893</v>
      </c>
      <c r="B897" s="27" t="s">
        <v>2376</v>
      </c>
      <c r="C897" s="28" t="s">
        <v>2375</v>
      </c>
      <c r="D897" s="71" t="s">
        <v>2460</v>
      </c>
      <c r="E897" s="28" t="s">
        <v>2459</v>
      </c>
      <c r="F897" s="28" t="s">
        <v>2458</v>
      </c>
      <c r="G897" s="27"/>
      <c r="H897" s="28" t="s">
        <v>2476</v>
      </c>
      <c r="I897" s="27"/>
      <c r="J897" s="28" t="s">
        <v>2483</v>
      </c>
      <c r="K897" s="27"/>
      <c r="L897" s="25" t="s">
        <v>2492</v>
      </c>
      <c r="M897" s="25" t="s">
        <v>2491</v>
      </c>
      <c r="N897" s="25" t="s">
        <v>2491</v>
      </c>
      <c r="O897" s="25">
        <v>16</v>
      </c>
      <c r="P897" s="25">
        <v>14</v>
      </c>
      <c r="Q897" s="25">
        <v>3</v>
      </c>
      <c r="R897" s="25">
        <v>3</v>
      </c>
      <c r="S897" s="25"/>
      <c r="T897" s="25"/>
      <c r="U897" s="31">
        <f t="shared" si="14"/>
        <v>36</v>
      </c>
      <c r="V897" s="25"/>
      <c r="W897" s="33" t="s">
        <v>2490</v>
      </c>
      <c r="X897" s="33"/>
      <c r="Y897" s="33"/>
      <c r="Z897" s="33" t="s">
        <v>1008</v>
      </c>
      <c r="AA897" s="33"/>
    </row>
    <row r="898" spans="1:27" s="70" customFormat="1" ht="67.5" x14ac:dyDescent="0.2">
      <c r="A898" s="24">
        <v>894</v>
      </c>
      <c r="B898" s="27" t="s">
        <v>2376</v>
      </c>
      <c r="C898" s="28" t="s">
        <v>2375</v>
      </c>
      <c r="D898" s="71" t="s">
        <v>2460</v>
      </c>
      <c r="E898" s="28" t="s">
        <v>2459</v>
      </c>
      <c r="F898" s="28" t="s">
        <v>2458</v>
      </c>
      <c r="G898" s="27"/>
      <c r="H898" s="28" t="s">
        <v>2476</v>
      </c>
      <c r="I898" s="27"/>
      <c r="J898" s="28" t="s">
        <v>2483</v>
      </c>
      <c r="K898" s="27"/>
      <c r="L898" s="25" t="s">
        <v>2489</v>
      </c>
      <c r="M898" s="25" t="s">
        <v>265</v>
      </c>
      <c r="N898" s="25" t="s">
        <v>2488</v>
      </c>
      <c r="O898" s="25">
        <v>1</v>
      </c>
      <c r="P898" s="25">
        <v>1</v>
      </c>
      <c r="Q898" s="25">
        <v>0.5</v>
      </c>
      <c r="R898" s="25">
        <v>0.5</v>
      </c>
      <c r="S898" s="25"/>
      <c r="T898" s="25"/>
      <c r="U898" s="31">
        <f t="shared" si="14"/>
        <v>3</v>
      </c>
      <c r="V898" s="25"/>
      <c r="W898" s="33" t="s">
        <v>22</v>
      </c>
      <c r="X898" s="33"/>
      <c r="Y898" s="33"/>
      <c r="Z898" s="33" t="s">
        <v>1008</v>
      </c>
      <c r="AA898" s="33"/>
    </row>
    <row r="899" spans="1:27" s="70" customFormat="1" ht="67.5" x14ac:dyDescent="0.2">
      <c r="A899" s="24">
        <v>895</v>
      </c>
      <c r="B899" s="27" t="s">
        <v>2376</v>
      </c>
      <c r="C899" s="28" t="s">
        <v>2375</v>
      </c>
      <c r="D899" s="71" t="s">
        <v>2460</v>
      </c>
      <c r="E899" s="28" t="s">
        <v>2459</v>
      </c>
      <c r="F899" s="28" t="s">
        <v>2458</v>
      </c>
      <c r="G899" s="27"/>
      <c r="H899" s="28" t="s">
        <v>2476</v>
      </c>
      <c r="I899" s="27"/>
      <c r="J899" s="28" t="s">
        <v>2483</v>
      </c>
      <c r="K899" s="27"/>
      <c r="L899" s="25" t="s">
        <v>2487</v>
      </c>
      <c r="M899" s="25" t="s">
        <v>265</v>
      </c>
      <c r="N899" s="25">
        <v>1</v>
      </c>
      <c r="O899" s="25">
        <v>4</v>
      </c>
      <c r="P899" s="25">
        <v>3</v>
      </c>
      <c r="Q899" s="25">
        <v>1</v>
      </c>
      <c r="R899" s="25">
        <v>1</v>
      </c>
      <c r="S899" s="25"/>
      <c r="T899" s="25"/>
      <c r="U899" s="31">
        <f t="shared" si="14"/>
        <v>9</v>
      </c>
      <c r="V899" s="25"/>
      <c r="W899" s="33" t="s">
        <v>22</v>
      </c>
      <c r="X899" s="33"/>
      <c r="Y899" s="33"/>
      <c r="Z899" s="33" t="s">
        <v>1008</v>
      </c>
      <c r="AA899" s="33"/>
    </row>
    <row r="900" spans="1:27" s="70" customFormat="1" ht="67.5" x14ac:dyDescent="0.2">
      <c r="A900" s="24">
        <v>896</v>
      </c>
      <c r="B900" s="27" t="s">
        <v>2376</v>
      </c>
      <c r="C900" s="28" t="s">
        <v>2375</v>
      </c>
      <c r="D900" s="71" t="s">
        <v>2460</v>
      </c>
      <c r="E900" s="28" t="s">
        <v>2459</v>
      </c>
      <c r="F900" s="28" t="s">
        <v>2458</v>
      </c>
      <c r="G900" s="27"/>
      <c r="H900" s="28" t="s">
        <v>2476</v>
      </c>
      <c r="I900" s="27"/>
      <c r="J900" s="28" t="s">
        <v>2483</v>
      </c>
      <c r="K900" s="27"/>
      <c r="L900" s="25" t="s">
        <v>2486</v>
      </c>
      <c r="M900" s="25" t="s">
        <v>265</v>
      </c>
      <c r="N900" s="25">
        <v>1</v>
      </c>
      <c r="O900" s="25">
        <v>8</v>
      </c>
      <c r="P900" s="25">
        <v>6</v>
      </c>
      <c r="Q900" s="25">
        <v>4</v>
      </c>
      <c r="R900" s="25">
        <v>3</v>
      </c>
      <c r="S900" s="25"/>
      <c r="T900" s="25"/>
      <c r="U900" s="31">
        <f t="shared" si="14"/>
        <v>21</v>
      </c>
      <c r="V900" s="25"/>
      <c r="W900" s="33" t="s">
        <v>22</v>
      </c>
      <c r="X900" s="33"/>
      <c r="Y900" s="33"/>
      <c r="Z900" s="33" t="s">
        <v>1008</v>
      </c>
      <c r="AA900" s="33"/>
    </row>
    <row r="901" spans="1:27" s="70" customFormat="1" ht="67.5" x14ac:dyDescent="0.2">
      <c r="A901" s="24">
        <v>897</v>
      </c>
      <c r="B901" s="27" t="s">
        <v>2376</v>
      </c>
      <c r="C901" s="28" t="s">
        <v>2375</v>
      </c>
      <c r="D901" s="71" t="s">
        <v>2460</v>
      </c>
      <c r="E901" s="28" t="s">
        <v>2459</v>
      </c>
      <c r="F901" s="28" t="s">
        <v>2458</v>
      </c>
      <c r="G901" s="27"/>
      <c r="H901" s="28" t="s">
        <v>2476</v>
      </c>
      <c r="I901" s="27"/>
      <c r="J901" s="28" t="s">
        <v>2483</v>
      </c>
      <c r="K901" s="27"/>
      <c r="L901" s="25" t="s">
        <v>2485</v>
      </c>
      <c r="M901" s="25" t="s">
        <v>265</v>
      </c>
      <c r="N901" s="25">
        <v>1</v>
      </c>
      <c r="O901" s="25">
        <v>4</v>
      </c>
      <c r="P901" s="25">
        <v>3</v>
      </c>
      <c r="Q901" s="25">
        <v>3</v>
      </c>
      <c r="R901" s="25">
        <v>2</v>
      </c>
      <c r="S901" s="25"/>
      <c r="T901" s="25"/>
      <c r="U901" s="31">
        <f t="shared" si="14"/>
        <v>12</v>
      </c>
      <c r="V901" s="25"/>
      <c r="W901" s="33" t="s">
        <v>22</v>
      </c>
      <c r="X901" s="33"/>
      <c r="Y901" s="33"/>
      <c r="Z901" s="33" t="s">
        <v>1008</v>
      </c>
      <c r="AA901" s="33"/>
    </row>
    <row r="902" spans="1:27" s="70" customFormat="1" ht="67.5" x14ac:dyDescent="0.2">
      <c r="A902" s="24">
        <v>898</v>
      </c>
      <c r="B902" s="27" t="s">
        <v>2376</v>
      </c>
      <c r="C902" s="28" t="s">
        <v>2375</v>
      </c>
      <c r="D902" s="71" t="s">
        <v>2460</v>
      </c>
      <c r="E902" s="28" t="s">
        <v>2459</v>
      </c>
      <c r="F902" s="28" t="s">
        <v>2458</v>
      </c>
      <c r="G902" s="27"/>
      <c r="H902" s="28" t="s">
        <v>2476</v>
      </c>
      <c r="I902" s="27"/>
      <c r="J902" s="28" t="s">
        <v>2483</v>
      </c>
      <c r="K902" s="27"/>
      <c r="L902" s="25" t="s">
        <v>2484</v>
      </c>
      <c r="M902" s="25" t="s">
        <v>2463</v>
      </c>
      <c r="N902" s="25">
        <v>1</v>
      </c>
      <c r="O902" s="25"/>
      <c r="P902" s="25">
        <v>80</v>
      </c>
      <c r="Q902" s="25"/>
      <c r="R902" s="25">
        <v>40</v>
      </c>
      <c r="S902" s="25"/>
      <c r="T902" s="25">
        <v>2</v>
      </c>
      <c r="U902" s="31">
        <f t="shared" ref="U902:U965" si="15">SUM(O902:T902)</f>
        <v>122</v>
      </c>
      <c r="V902" s="25"/>
      <c r="W902" s="33" t="s">
        <v>22</v>
      </c>
      <c r="X902" s="33"/>
      <c r="Y902" s="33"/>
      <c r="Z902" s="33" t="s">
        <v>1008</v>
      </c>
      <c r="AA902" s="33"/>
    </row>
    <row r="903" spans="1:27" s="70" customFormat="1" ht="67.5" x14ac:dyDescent="0.2">
      <c r="A903" s="24">
        <v>899</v>
      </c>
      <c r="B903" s="27" t="s">
        <v>2376</v>
      </c>
      <c r="C903" s="28" t="s">
        <v>2375</v>
      </c>
      <c r="D903" s="71" t="s">
        <v>2460</v>
      </c>
      <c r="E903" s="28" t="s">
        <v>2459</v>
      </c>
      <c r="F903" s="28" t="s">
        <v>2458</v>
      </c>
      <c r="G903" s="27"/>
      <c r="H903" s="28" t="s">
        <v>2476</v>
      </c>
      <c r="I903" s="27"/>
      <c r="J903" s="28" t="s">
        <v>2483</v>
      </c>
      <c r="K903" s="27"/>
      <c r="L903" s="25" t="s">
        <v>2482</v>
      </c>
      <c r="M903" s="25" t="s">
        <v>2463</v>
      </c>
      <c r="N903" s="25">
        <v>1</v>
      </c>
      <c r="O903" s="25">
        <v>240</v>
      </c>
      <c r="P903" s="25">
        <v>160</v>
      </c>
      <c r="Q903" s="25">
        <v>120</v>
      </c>
      <c r="R903" s="25">
        <v>120</v>
      </c>
      <c r="S903" s="25"/>
      <c r="T903" s="25"/>
      <c r="U903" s="31">
        <f t="shared" si="15"/>
        <v>640</v>
      </c>
      <c r="V903" s="25"/>
      <c r="W903" s="33" t="s">
        <v>22</v>
      </c>
      <c r="X903" s="33"/>
      <c r="Y903" s="33"/>
      <c r="Z903" s="33" t="s">
        <v>1008</v>
      </c>
      <c r="AA903" s="33"/>
    </row>
    <row r="904" spans="1:27" s="70" customFormat="1" ht="45" x14ac:dyDescent="0.2">
      <c r="A904" s="24">
        <v>900</v>
      </c>
      <c r="B904" s="27" t="s">
        <v>2376</v>
      </c>
      <c r="C904" s="28" t="s">
        <v>2375</v>
      </c>
      <c r="D904" s="71" t="s">
        <v>2460</v>
      </c>
      <c r="E904" s="28" t="s">
        <v>2459</v>
      </c>
      <c r="F904" s="28" t="s">
        <v>2458</v>
      </c>
      <c r="G904" s="27"/>
      <c r="H904" s="28" t="s">
        <v>2476</v>
      </c>
      <c r="I904" s="27"/>
      <c r="J904" s="28" t="s">
        <v>2475</v>
      </c>
      <c r="K904" s="27"/>
      <c r="L904" s="25" t="s">
        <v>2481</v>
      </c>
      <c r="M904" s="25" t="s">
        <v>265</v>
      </c>
      <c r="N904" s="25">
        <v>2</v>
      </c>
      <c r="O904" s="25"/>
      <c r="P904" s="25">
        <v>48</v>
      </c>
      <c r="Q904" s="25"/>
      <c r="R904" s="25"/>
      <c r="S904" s="25">
        <v>48</v>
      </c>
      <c r="T904" s="25">
        <v>8</v>
      </c>
      <c r="U904" s="31">
        <f t="shared" si="15"/>
        <v>104</v>
      </c>
      <c r="V904" s="25"/>
      <c r="W904" s="33" t="s">
        <v>2480</v>
      </c>
      <c r="X904" s="33"/>
      <c r="Y904" s="33"/>
      <c r="Z904" s="33"/>
      <c r="AA904" s="33"/>
    </row>
    <row r="905" spans="1:27" s="70" customFormat="1" ht="45" x14ac:dyDescent="0.2">
      <c r="A905" s="24">
        <v>901</v>
      </c>
      <c r="B905" s="27" t="s">
        <v>2376</v>
      </c>
      <c r="C905" s="28" t="s">
        <v>2375</v>
      </c>
      <c r="D905" s="71" t="s">
        <v>2460</v>
      </c>
      <c r="E905" s="28" t="s">
        <v>2459</v>
      </c>
      <c r="F905" s="28" t="s">
        <v>2458</v>
      </c>
      <c r="G905" s="27"/>
      <c r="H905" s="28" t="s">
        <v>2476</v>
      </c>
      <c r="I905" s="27"/>
      <c r="J905" s="28" t="s">
        <v>2475</v>
      </c>
      <c r="K905" s="27"/>
      <c r="L905" s="25" t="s">
        <v>2479</v>
      </c>
      <c r="M905" s="25" t="s">
        <v>265</v>
      </c>
      <c r="N905" s="25">
        <v>1</v>
      </c>
      <c r="O905" s="25"/>
      <c r="P905" s="25">
        <v>24</v>
      </c>
      <c r="Q905" s="25"/>
      <c r="R905" s="25">
        <v>24</v>
      </c>
      <c r="S905" s="25"/>
      <c r="T905" s="25">
        <v>8</v>
      </c>
      <c r="U905" s="31">
        <f t="shared" si="15"/>
        <v>56</v>
      </c>
      <c r="V905" s="25"/>
      <c r="W905" s="33" t="s">
        <v>2473</v>
      </c>
      <c r="X905" s="33"/>
      <c r="Y905" s="33"/>
      <c r="Z905" s="33" t="s">
        <v>1008</v>
      </c>
      <c r="AA905" s="33"/>
    </row>
    <row r="906" spans="1:27" s="70" customFormat="1" ht="45" x14ac:dyDescent="0.2">
      <c r="A906" s="24">
        <v>902</v>
      </c>
      <c r="B906" s="27" t="s">
        <v>2376</v>
      </c>
      <c r="C906" s="28" t="s">
        <v>2375</v>
      </c>
      <c r="D906" s="71" t="s">
        <v>2460</v>
      </c>
      <c r="E906" s="28" t="s">
        <v>2459</v>
      </c>
      <c r="F906" s="28" t="s">
        <v>2458</v>
      </c>
      <c r="G906" s="27"/>
      <c r="H906" s="28" t="s">
        <v>2476</v>
      </c>
      <c r="I906" s="27"/>
      <c r="J906" s="28" t="s">
        <v>2475</v>
      </c>
      <c r="K906" s="27"/>
      <c r="L906" s="25" t="s">
        <v>2478</v>
      </c>
      <c r="M906" s="25" t="s">
        <v>2477</v>
      </c>
      <c r="N906" s="25">
        <v>1</v>
      </c>
      <c r="O906" s="25">
        <v>80</v>
      </c>
      <c r="P906" s="25">
        <v>80</v>
      </c>
      <c r="Q906" s="25">
        <v>80</v>
      </c>
      <c r="R906" s="25">
        <v>80</v>
      </c>
      <c r="S906" s="25"/>
      <c r="T906" s="25">
        <v>8</v>
      </c>
      <c r="U906" s="31">
        <f t="shared" si="15"/>
        <v>328</v>
      </c>
      <c r="V906" s="25"/>
      <c r="W906" s="33" t="s">
        <v>208</v>
      </c>
      <c r="X906" s="33"/>
      <c r="Y906" s="33"/>
      <c r="Z906" s="33" t="s">
        <v>1008</v>
      </c>
      <c r="AA906" s="33"/>
    </row>
    <row r="907" spans="1:27" s="70" customFormat="1" ht="45" x14ac:dyDescent="0.2">
      <c r="A907" s="24">
        <v>903</v>
      </c>
      <c r="B907" s="27" t="s">
        <v>2376</v>
      </c>
      <c r="C907" s="28" t="s">
        <v>2375</v>
      </c>
      <c r="D907" s="71" t="s">
        <v>2460</v>
      </c>
      <c r="E907" s="28" t="s">
        <v>2459</v>
      </c>
      <c r="F907" s="28" t="s">
        <v>2458</v>
      </c>
      <c r="G907" s="27"/>
      <c r="H907" s="28" t="s">
        <v>2476</v>
      </c>
      <c r="I907" s="27"/>
      <c r="J907" s="28" t="s">
        <v>2475</v>
      </c>
      <c r="K907" s="27"/>
      <c r="L907" s="25" t="s">
        <v>2474</v>
      </c>
      <c r="M907" s="25" t="s">
        <v>265</v>
      </c>
      <c r="N907" s="25">
        <v>1</v>
      </c>
      <c r="O907" s="25"/>
      <c r="P907" s="25">
        <v>32</v>
      </c>
      <c r="Q907" s="25"/>
      <c r="R907" s="25"/>
      <c r="S907" s="25"/>
      <c r="T907" s="25">
        <v>8</v>
      </c>
      <c r="U907" s="31">
        <f t="shared" si="15"/>
        <v>40</v>
      </c>
      <c r="V907" s="25"/>
      <c r="W907" s="33" t="s">
        <v>2473</v>
      </c>
      <c r="X907" s="33"/>
      <c r="Y907" s="33"/>
      <c r="Z907" s="33"/>
      <c r="AA907" s="33"/>
    </row>
    <row r="908" spans="1:27" s="70" customFormat="1" ht="33.75" x14ac:dyDescent="0.2">
      <c r="A908" s="24">
        <v>904</v>
      </c>
      <c r="B908" s="27" t="s">
        <v>2376</v>
      </c>
      <c r="C908" s="28" t="s">
        <v>2375</v>
      </c>
      <c r="D908" s="71" t="s">
        <v>2460</v>
      </c>
      <c r="E908" s="28" t="s">
        <v>2459</v>
      </c>
      <c r="F908" s="28" t="s">
        <v>2458</v>
      </c>
      <c r="G908" s="27"/>
      <c r="H908" s="28" t="s">
        <v>2457</v>
      </c>
      <c r="I908" s="27"/>
      <c r="J908" s="28" t="s">
        <v>2457</v>
      </c>
      <c r="K908" s="27"/>
      <c r="L908" s="25" t="s">
        <v>2472</v>
      </c>
      <c r="M908" s="25" t="s">
        <v>265</v>
      </c>
      <c r="N908" s="25">
        <v>12</v>
      </c>
      <c r="O908" s="25">
        <v>24</v>
      </c>
      <c r="P908" s="25">
        <v>12</v>
      </c>
      <c r="Q908" s="25"/>
      <c r="R908" s="25"/>
      <c r="S908" s="25">
        <v>4</v>
      </c>
      <c r="T908" s="25">
        <v>2</v>
      </c>
      <c r="U908" s="31">
        <f t="shared" si="15"/>
        <v>42</v>
      </c>
      <c r="V908" s="25"/>
      <c r="W908" s="33" t="s">
        <v>22</v>
      </c>
      <c r="X908" s="33"/>
      <c r="Y908" s="33"/>
      <c r="Z908" s="33" t="s">
        <v>1008</v>
      </c>
      <c r="AA908" s="33"/>
    </row>
    <row r="909" spans="1:27" s="70" customFormat="1" ht="33.75" x14ac:dyDescent="0.2">
      <c r="A909" s="24">
        <v>905</v>
      </c>
      <c r="B909" s="27" t="s">
        <v>2376</v>
      </c>
      <c r="C909" s="28" t="s">
        <v>2375</v>
      </c>
      <c r="D909" s="71" t="s">
        <v>2460</v>
      </c>
      <c r="E909" s="28" t="s">
        <v>2459</v>
      </c>
      <c r="F909" s="28" t="s">
        <v>2458</v>
      </c>
      <c r="G909" s="27"/>
      <c r="H909" s="28" t="s">
        <v>2457</v>
      </c>
      <c r="I909" s="27"/>
      <c r="J909" s="28" t="s">
        <v>2457</v>
      </c>
      <c r="K909" s="27"/>
      <c r="L909" s="25" t="s">
        <v>2471</v>
      </c>
      <c r="M909" s="25" t="s">
        <v>2470</v>
      </c>
      <c r="N909" s="25">
        <v>1</v>
      </c>
      <c r="O909" s="25">
        <v>160</v>
      </c>
      <c r="P909" s="25">
        <v>120</v>
      </c>
      <c r="Q909" s="25"/>
      <c r="R909" s="25"/>
      <c r="S909" s="25">
        <v>80</v>
      </c>
      <c r="T909" s="25">
        <v>64</v>
      </c>
      <c r="U909" s="31">
        <f t="shared" si="15"/>
        <v>424</v>
      </c>
      <c r="V909" s="25"/>
      <c r="W909" s="33" t="s">
        <v>22</v>
      </c>
      <c r="X909" s="33"/>
      <c r="Y909" s="33"/>
      <c r="Z909" s="33" t="s">
        <v>1008</v>
      </c>
      <c r="AA909" s="33"/>
    </row>
    <row r="910" spans="1:27" s="70" customFormat="1" ht="33.75" x14ac:dyDescent="0.2">
      <c r="A910" s="24">
        <v>906</v>
      </c>
      <c r="B910" s="27" t="s">
        <v>2376</v>
      </c>
      <c r="C910" s="28" t="s">
        <v>2375</v>
      </c>
      <c r="D910" s="71" t="s">
        <v>2460</v>
      </c>
      <c r="E910" s="28" t="s">
        <v>2459</v>
      </c>
      <c r="F910" s="28" t="s">
        <v>2458</v>
      </c>
      <c r="G910" s="27"/>
      <c r="H910" s="28" t="s">
        <v>2457</v>
      </c>
      <c r="I910" s="27"/>
      <c r="J910" s="28" t="s">
        <v>2457</v>
      </c>
      <c r="K910" s="27"/>
      <c r="L910" s="25" t="s">
        <v>2469</v>
      </c>
      <c r="M910" s="25" t="s">
        <v>265</v>
      </c>
      <c r="N910" s="25">
        <v>4</v>
      </c>
      <c r="O910" s="25">
        <v>24</v>
      </c>
      <c r="P910" s="25">
        <v>12</v>
      </c>
      <c r="Q910" s="25"/>
      <c r="R910" s="25"/>
      <c r="S910" s="25">
        <v>8</v>
      </c>
      <c r="T910" s="25">
        <v>4</v>
      </c>
      <c r="U910" s="31">
        <f t="shared" si="15"/>
        <v>48</v>
      </c>
      <c r="V910" s="25"/>
      <c r="W910" s="33" t="s">
        <v>22</v>
      </c>
      <c r="X910" s="33"/>
      <c r="Y910" s="33"/>
      <c r="Z910" s="33" t="s">
        <v>1008</v>
      </c>
      <c r="AA910" s="33"/>
    </row>
    <row r="911" spans="1:27" s="70" customFormat="1" ht="33.75" x14ac:dyDescent="0.2">
      <c r="A911" s="24">
        <v>907</v>
      </c>
      <c r="B911" s="27" t="s">
        <v>2376</v>
      </c>
      <c r="C911" s="28" t="s">
        <v>2375</v>
      </c>
      <c r="D911" s="71" t="s">
        <v>2460</v>
      </c>
      <c r="E911" s="28" t="s">
        <v>2459</v>
      </c>
      <c r="F911" s="28" t="s">
        <v>2458</v>
      </c>
      <c r="G911" s="27"/>
      <c r="H911" s="28" t="s">
        <v>2457</v>
      </c>
      <c r="I911" s="27"/>
      <c r="J911" s="28" t="s">
        <v>2457</v>
      </c>
      <c r="K911" s="27"/>
      <c r="L911" s="25" t="s">
        <v>2468</v>
      </c>
      <c r="M911" s="25" t="s">
        <v>190</v>
      </c>
      <c r="N911" s="25">
        <v>15</v>
      </c>
      <c r="O911" s="25">
        <v>8</v>
      </c>
      <c r="P911" s="25">
        <v>6</v>
      </c>
      <c r="Q911" s="25"/>
      <c r="R911" s="25"/>
      <c r="S911" s="25">
        <v>4</v>
      </c>
      <c r="T911" s="25">
        <v>2</v>
      </c>
      <c r="U911" s="31">
        <f t="shared" si="15"/>
        <v>20</v>
      </c>
      <c r="V911" s="25"/>
      <c r="W911" s="33" t="s">
        <v>22</v>
      </c>
      <c r="X911" s="33"/>
      <c r="Y911" s="33"/>
      <c r="Z911" s="33" t="s">
        <v>1008</v>
      </c>
      <c r="AA911" s="33"/>
    </row>
    <row r="912" spans="1:27" s="70" customFormat="1" ht="33.75" x14ac:dyDescent="0.2">
      <c r="A912" s="24">
        <v>908</v>
      </c>
      <c r="B912" s="27" t="s">
        <v>2376</v>
      </c>
      <c r="C912" s="28" t="s">
        <v>2375</v>
      </c>
      <c r="D912" s="71" t="s">
        <v>2460</v>
      </c>
      <c r="E912" s="28" t="s">
        <v>2459</v>
      </c>
      <c r="F912" s="28" t="s">
        <v>2458</v>
      </c>
      <c r="G912" s="27"/>
      <c r="H912" s="28" t="s">
        <v>2457</v>
      </c>
      <c r="I912" s="27"/>
      <c r="J912" s="28" t="s">
        <v>2457</v>
      </c>
      <c r="K912" s="27"/>
      <c r="L912" s="25" t="s">
        <v>2467</v>
      </c>
      <c r="M912" s="25" t="s">
        <v>265</v>
      </c>
      <c r="N912" s="25">
        <v>4</v>
      </c>
      <c r="O912" s="25">
        <v>8</v>
      </c>
      <c r="P912" s="25">
        <v>6</v>
      </c>
      <c r="Q912" s="25">
        <v>2</v>
      </c>
      <c r="R912" s="25">
        <v>2</v>
      </c>
      <c r="S912" s="25"/>
      <c r="T912" s="25"/>
      <c r="U912" s="31">
        <f t="shared" si="15"/>
        <v>18</v>
      </c>
      <c r="V912" s="25"/>
      <c r="W912" s="33" t="s">
        <v>800</v>
      </c>
      <c r="X912" s="33"/>
      <c r="Y912" s="33"/>
      <c r="Z912" s="33" t="s">
        <v>1008</v>
      </c>
      <c r="AA912" s="33"/>
    </row>
    <row r="913" spans="1:27" s="70" customFormat="1" ht="33.75" x14ac:dyDescent="0.2">
      <c r="A913" s="24">
        <v>909</v>
      </c>
      <c r="B913" s="27" t="s">
        <v>2376</v>
      </c>
      <c r="C913" s="28" t="s">
        <v>2375</v>
      </c>
      <c r="D913" s="71" t="s">
        <v>2460</v>
      </c>
      <c r="E913" s="28" t="s">
        <v>2459</v>
      </c>
      <c r="F913" s="28" t="s">
        <v>2458</v>
      </c>
      <c r="G913" s="27"/>
      <c r="H913" s="28" t="s">
        <v>2457</v>
      </c>
      <c r="I913" s="27"/>
      <c r="J913" s="28" t="s">
        <v>2457</v>
      </c>
      <c r="K913" s="27"/>
      <c r="L913" s="25" t="s">
        <v>2466</v>
      </c>
      <c r="M913" s="25" t="s">
        <v>2463</v>
      </c>
      <c r="N913" s="25">
        <v>1</v>
      </c>
      <c r="O913" s="25" t="s">
        <v>2462</v>
      </c>
      <c r="P913" s="25" t="s">
        <v>2462</v>
      </c>
      <c r="Q913" s="25" t="s">
        <v>2462</v>
      </c>
      <c r="R913" s="25" t="s">
        <v>2462</v>
      </c>
      <c r="S913" s="25" t="s">
        <v>2462</v>
      </c>
      <c r="T913" s="25" t="s">
        <v>2462</v>
      </c>
      <c r="U913" s="31">
        <f t="shared" si="15"/>
        <v>0</v>
      </c>
      <c r="V913" s="25"/>
      <c r="W913" s="33" t="s">
        <v>2465</v>
      </c>
      <c r="X913" s="33"/>
      <c r="Y913" s="33"/>
      <c r="Z913" s="33">
        <v>1</v>
      </c>
      <c r="AA913" s="33"/>
    </row>
    <row r="914" spans="1:27" s="70" customFormat="1" ht="33.75" x14ac:dyDescent="0.2">
      <c r="A914" s="24">
        <v>910</v>
      </c>
      <c r="B914" s="27" t="s">
        <v>2376</v>
      </c>
      <c r="C914" s="28" t="s">
        <v>2375</v>
      </c>
      <c r="D914" s="71" t="s">
        <v>2460</v>
      </c>
      <c r="E914" s="28" t="s">
        <v>2459</v>
      </c>
      <c r="F914" s="28" t="s">
        <v>2458</v>
      </c>
      <c r="G914" s="27"/>
      <c r="H914" s="28" t="s">
        <v>2457</v>
      </c>
      <c r="I914" s="27"/>
      <c r="J914" s="28" t="s">
        <v>2457</v>
      </c>
      <c r="K914" s="27"/>
      <c r="L914" s="25" t="s">
        <v>2464</v>
      </c>
      <c r="M914" s="25" t="s">
        <v>2463</v>
      </c>
      <c r="N914" s="25">
        <v>1</v>
      </c>
      <c r="O914" s="25" t="s">
        <v>2462</v>
      </c>
      <c r="P914" s="25" t="s">
        <v>2462</v>
      </c>
      <c r="Q914" s="25" t="s">
        <v>2462</v>
      </c>
      <c r="R914" s="25" t="s">
        <v>2462</v>
      </c>
      <c r="S914" s="25" t="s">
        <v>2462</v>
      </c>
      <c r="T914" s="25" t="s">
        <v>2462</v>
      </c>
      <c r="U914" s="31">
        <f t="shared" si="15"/>
        <v>0</v>
      </c>
      <c r="V914" s="25"/>
      <c r="W914" s="33" t="s">
        <v>2461</v>
      </c>
      <c r="X914" s="33"/>
      <c r="Y914" s="33"/>
      <c r="Z914" s="33">
        <v>1</v>
      </c>
      <c r="AA914" s="33"/>
    </row>
    <row r="915" spans="1:27" s="70" customFormat="1" ht="33.75" x14ac:dyDescent="0.2">
      <c r="A915" s="24">
        <v>911</v>
      </c>
      <c r="B915" s="27" t="s">
        <v>2376</v>
      </c>
      <c r="C915" s="28" t="s">
        <v>2375</v>
      </c>
      <c r="D915" s="71" t="s">
        <v>2460</v>
      </c>
      <c r="E915" s="28" t="s">
        <v>2459</v>
      </c>
      <c r="F915" s="28" t="s">
        <v>2458</v>
      </c>
      <c r="G915" s="27"/>
      <c r="H915" s="28" t="s">
        <v>2457</v>
      </c>
      <c r="I915" s="27"/>
      <c r="J915" s="28" t="s">
        <v>2457</v>
      </c>
      <c r="K915" s="27"/>
      <c r="L915" s="25" t="s">
        <v>2456</v>
      </c>
      <c r="M915" s="25" t="s">
        <v>265</v>
      </c>
      <c r="N915" s="25" t="s">
        <v>2455</v>
      </c>
      <c r="O915" s="25">
        <v>2</v>
      </c>
      <c r="P915" s="25">
        <v>2</v>
      </c>
      <c r="Q915" s="25">
        <v>2</v>
      </c>
      <c r="R915" s="25"/>
      <c r="S915" s="25">
        <v>2</v>
      </c>
      <c r="T915" s="25">
        <v>1</v>
      </c>
      <c r="U915" s="31">
        <f t="shared" si="15"/>
        <v>9</v>
      </c>
      <c r="V915" s="25"/>
      <c r="W915" s="33" t="s">
        <v>79</v>
      </c>
      <c r="X915" s="33"/>
      <c r="Y915" s="33"/>
      <c r="Z915" s="33" t="s">
        <v>976</v>
      </c>
      <c r="AA915" s="33"/>
    </row>
    <row r="916" spans="1:27" s="70" customFormat="1" ht="45" x14ac:dyDescent="0.2">
      <c r="A916" s="24">
        <v>912</v>
      </c>
      <c r="B916" s="24" t="s">
        <v>2376</v>
      </c>
      <c r="C916" s="25" t="s">
        <v>2375</v>
      </c>
      <c r="D916" s="26" t="s">
        <v>2394</v>
      </c>
      <c r="E916" s="25" t="s">
        <v>2393</v>
      </c>
      <c r="F916" s="25" t="s">
        <v>2392</v>
      </c>
      <c r="G916" s="24"/>
      <c r="H916" s="28" t="s">
        <v>2443</v>
      </c>
      <c r="I916" s="27"/>
      <c r="J916" s="28" t="s">
        <v>2450</v>
      </c>
      <c r="K916" s="27"/>
      <c r="L916" s="25" t="s">
        <v>2454</v>
      </c>
      <c r="M916" s="25" t="s">
        <v>1387</v>
      </c>
      <c r="N916" s="25">
        <v>1</v>
      </c>
      <c r="O916" s="25">
        <v>0</v>
      </c>
      <c r="P916" s="25">
        <v>0</v>
      </c>
      <c r="Q916" s="25">
        <v>0</v>
      </c>
      <c r="R916" s="25">
        <v>0</v>
      </c>
      <c r="S916" s="25">
        <v>0</v>
      </c>
      <c r="T916" s="25">
        <v>0</v>
      </c>
      <c r="U916" s="31">
        <f t="shared" si="15"/>
        <v>0</v>
      </c>
      <c r="V916" s="25"/>
      <c r="W916" s="33" t="s">
        <v>22</v>
      </c>
      <c r="X916" s="33"/>
      <c r="Y916" s="33"/>
      <c r="Z916" s="33">
        <v>1</v>
      </c>
      <c r="AA916" s="33"/>
    </row>
    <row r="917" spans="1:27" s="70" customFormat="1" ht="33.75" x14ac:dyDescent="0.2">
      <c r="A917" s="24">
        <v>913</v>
      </c>
      <c r="B917" s="24" t="s">
        <v>2376</v>
      </c>
      <c r="C917" s="25" t="s">
        <v>2375</v>
      </c>
      <c r="D917" s="26" t="s">
        <v>2394</v>
      </c>
      <c r="E917" s="25" t="s">
        <v>2393</v>
      </c>
      <c r="F917" s="25" t="s">
        <v>2392</v>
      </c>
      <c r="G917" s="24"/>
      <c r="H917" s="28" t="s">
        <v>2443</v>
      </c>
      <c r="I917" s="27"/>
      <c r="J917" s="28" t="s">
        <v>2450</v>
      </c>
      <c r="K917" s="27"/>
      <c r="L917" s="25" t="s">
        <v>2453</v>
      </c>
      <c r="M917" s="25" t="s">
        <v>2453</v>
      </c>
      <c r="N917" s="25">
        <v>1</v>
      </c>
      <c r="O917" s="25">
        <v>12</v>
      </c>
      <c r="P917" s="25">
        <v>0</v>
      </c>
      <c r="Q917" s="25">
        <v>0</v>
      </c>
      <c r="R917" s="25">
        <v>0</v>
      </c>
      <c r="S917" s="25">
        <v>8</v>
      </c>
      <c r="T917" s="25">
        <v>0</v>
      </c>
      <c r="U917" s="31">
        <f t="shared" si="15"/>
        <v>20</v>
      </c>
      <c r="V917" s="25"/>
      <c r="W917" s="33" t="s">
        <v>22</v>
      </c>
      <c r="X917" s="33"/>
      <c r="Y917" s="33"/>
      <c r="Z917" s="33">
        <v>1</v>
      </c>
      <c r="AA917" s="33"/>
    </row>
    <row r="918" spans="1:27" s="70" customFormat="1" ht="33.75" x14ac:dyDescent="0.2">
      <c r="A918" s="24">
        <v>914</v>
      </c>
      <c r="B918" s="24" t="s">
        <v>2376</v>
      </c>
      <c r="C918" s="25" t="s">
        <v>2375</v>
      </c>
      <c r="D918" s="26" t="s">
        <v>2394</v>
      </c>
      <c r="E918" s="25" t="s">
        <v>2393</v>
      </c>
      <c r="F918" s="25" t="s">
        <v>2392</v>
      </c>
      <c r="G918" s="24"/>
      <c r="H918" s="28" t="s">
        <v>2443</v>
      </c>
      <c r="I918" s="27"/>
      <c r="J918" s="28" t="s">
        <v>2450</v>
      </c>
      <c r="K918" s="27"/>
      <c r="L918" s="25" t="s">
        <v>2452</v>
      </c>
      <c r="M918" s="25" t="s">
        <v>2451</v>
      </c>
      <c r="N918" s="25">
        <v>1</v>
      </c>
      <c r="O918" s="25">
        <v>12</v>
      </c>
      <c r="P918" s="25">
        <v>0</v>
      </c>
      <c r="Q918" s="25">
        <v>0</v>
      </c>
      <c r="R918" s="25">
        <v>0</v>
      </c>
      <c r="S918" s="25">
        <v>0</v>
      </c>
      <c r="T918" s="25">
        <v>0</v>
      </c>
      <c r="U918" s="31">
        <f t="shared" si="15"/>
        <v>12</v>
      </c>
      <c r="V918" s="25"/>
      <c r="W918" s="33" t="s">
        <v>22</v>
      </c>
      <c r="X918" s="33"/>
      <c r="Y918" s="33"/>
      <c r="Z918" s="33">
        <v>1</v>
      </c>
      <c r="AA918" s="33"/>
    </row>
    <row r="919" spans="1:27" s="70" customFormat="1" ht="33.75" x14ac:dyDescent="0.2">
      <c r="A919" s="24">
        <v>915</v>
      </c>
      <c r="B919" s="24" t="s">
        <v>2376</v>
      </c>
      <c r="C919" s="25" t="s">
        <v>2375</v>
      </c>
      <c r="D919" s="26" t="s">
        <v>2394</v>
      </c>
      <c r="E919" s="25" t="s">
        <v>2393</v>
      </c>
      <c r="F919" s="25" t="s">
        <v>2392</v>
      </c>
      <c r="G919" s="24"/>
      <c r="H919" s="28" t="s">
        <v>2443</v>
      </c>
      <c r="I919" s="27"/>
      <c r="J919" s="28" t="s">
        <v>2450</v>
      </c>
      <c r="K919" s="27"/>
      <c r="L919" s="25" t="s">
        <v>2449</v>
      </c>
      <c r="M919" s="25" t="s">
        <v>2448</v>
      </c>
      <c r="N919" s="25">
        <v>1</v>
      </c>
      <c r="O919" s="25">
        <v>12</v>
      </c>
      <c r="P919" s="25">
        <v>0</v>
      </c>
      <c r="Q919" s="25">
        <v>0</v>
      </c>
      <c r="R919" s="25">
        <v>0</v>
      </c>
      <c r="S919" s="25">
        <v>0</v>
      </c>
      <c r="T919" s="25">
        <v>0</v>
      </c>
      <c r="U919" s="31">
        <f t="shared" si="15"/>
        <v>12</v>
      </c>
      <c r="V919" s="25"/>
      <c r="W919" s="33" t="s">
        <v>22</v>
      </c>
      <c r="X919" s="33"/>
      <c r="Y919" s="33"/>
      <c r="Z919" s="33">
        <v>1</v>
      </c>
      <c r="AA919" s="33"/>
    </row>
    <row r="920" spans="1:27" s="70" customFormat="1" ht="56.25" x14ac:dyDescent="0.2">
      <c r="A920" s="24">
        <v>916</v>
      </c>
      <c r="B920" s="24" t="s">
        <v>2376</v>
      </c>
      <c r="C920" s="25" t="s">
        <v>2375</v>
      </c>
      <c r="D920" s="26" t="s">
        <v>2394</v>
      </c>
      <c r="E920" s="25" t="s">
        <v>2393</v>
      </c>
      <c r="F920" s="25" t="s">
        <v>2392</v>
      </c>
      <c r="G920" s="24"/>
      <c r="H920" s="28" t="s">
        <v>2443</v>
      </c>
      <c r="I920" s="27"/>
      <c r="J920" s="28" t="s">
        <v>2447</v>
      </c>
      <c r="K920" s="27"/>
      <c r="L920" s="25"/>
      <c r="M920" s="25"/>
      <c r="N920" s="25"/>
      <c r="O920" s="25"/>
      <c r="P920" s="25"/>
      <c r="Q920" s="25"/>
      <c r="R920" s="25"/>
      <c r="S920" s="25"/>
      <c r="T920" s="25"/>
      <c r="U920" s="31">
        <f t="shared" si="15"/>
        <v>0</v>
      </c>
      <c r="V920" s="25"/>
      <c r="W920" s="33"/>
      <c r="X920" s="33"/>
      <c r="Y920" s="33"/>
      <c r="Z920" s="33"/>
      <c r="AA920" s="33"/>
    </row>
    <row r="921" spans="1:27" s="70" customFormat="1" ht="33.75" x14ac:dyDescent="0.2">
      <c r="A921" s="24">
        <v>917</v>
      </c>
      <c r="B921" s="24" t="s">
        <v>2376</v>
      </c>
      <c r="C921" s="25" t="s">
        <v>2375</v>
      </c>
      <c r="D921" s="26" t="s">
        <v>2394</v>
      </c>
      <c r="E921" s="25" t="s">
        <v>2393</v>
      </c>
      <c r="F921" s="25" t="s">
        <v>2392</v>
      </c>
      <c r="G921" s="24"/>
      <c r="H921" s="28" t="s">
        <v>2443</v>
      </c>
      <c r="I921" s="27"/>
      <c r="J921" s="28" t="s">
        <v>2446</v>
      </c>
      <c r="K921" s="27"/>
      <c r="L921" s="25" t="s">
        <v>2445</v>
      </c>
      <c r="M921" s="25" t="s">
        <v>68</v>
      </c>
      <c r="N921" s="25">
        <v>2</v>
      </c>
      <c r="O921" s="25">
        <v>45</v>
      </c>
      <c r="P921" s="25">
        <v>0</v>
      </c>
      <c r="Q921" s="25">
        <v>120</v>
      </c>
      <c r="R921" s="25">
        <v>0</v>
      </c>
      <c r="S921" s="25">
        <v>0</v>
      </c>
      <c r="T921" s="25">
        <v>0</v>
      </c>
      <c r="U921" s="31">
        <f t="shared" si="15"/>
        <v>165</v>
      </c>
      <c r="V921" s="25"/>
      <c r="W921" s="33" t="s">
        <v>22</v>
      </c>
      <c r="X921" s="33"/>
      <c r="Y921" s="33"/>
      <c r="Z921" s="33">
        <v>1</v>
      </c>
      <c r="AA921" s="33"/>
    </row>
    <row r="922" spans="1:27" s="70" customFormat="1" ht="33.75" x14ac:dyDescent="0.2">
      <c r="A922" s="24">
        <v>918</v>
      </c>
      <c r="B922" s="24" t="s">
        <v>2376</v>
      </c>
      <c r="C922" s="25" t="s">
        <v>2375</v>
      </c>
      <c r="D922" s="26" t="s">
        <v>2394</v>
      </c>
      <c r="E922" s="25" t="s">
        <v>2393</v>
      </c>
      <c r="F922" s="25" t="s">
        <v>2392</v>
      </c>
      <c r="G922" s="24"/>
      <c r="H922" s="28" t="s">
        <v>2443</v>
      </c>
      <c r="I922" s="27"/>
      <c r="J922" s="28" t="s">
        <v>2442</v>
      </c>
      <c r="K922" s="27"/>
      <c r="L922" s="25" t="s">
        <v>2444</v>
      </c>
      <c r="M922" s="25" t="s">
        <v>190</v>
      </c>
      <c r="N922" s="25">
        <v>1</v>
      </c>
      <c r="O922" s="25">
        <v>0</v>
      </c>
      <c r="P922" s="25">
        <v>96</v>
      </c>
      <c r="Q922" s="25">
        <v>0</v>
      </c>
      <c r="R922" s="25">
        <v>0</v>
      </c>
      <c r="S922" s="25">
        <v>8</v>
      </c>
      <c r="T922" s="25">
        <v>0</v>
      </c>
      <c r="U922" s="31">
        <f t="shared" si="15"/>
        <v>104</v>
      </c>
      <c r="V922" s="25"/>
      <c r="W922" s="33" t="s">
        <v>22</v>
      </c>
      <c r="X922" s="33"/>
      <c r="Y922" s="33"/>
      <c r="Z922" s="33">
        <v>1</v>
      </c>
      <c r="AA922" s="33"/>
    </row>
    <row r="923" spans="1:27" s="70" customFormat="1" ht="33.75" x14ac:dyDescent="0.2">
      <c r="A923" s="24">
        <v>919</v>
      </c>
      <c r="B923" s="24" t="s">
        <v>2376</v>
      </c>
      <c r="C923" s="25" t="s">
        <v>2375</v>
      </c>
      <c r="D923" s="26" t="s">
        <v>2394</v>
      </c>
      <c r="E923" s="25" t="s">
        <v>2393</v>
      </c>
      <c r="F923" s="25" t="s">
        <v>2392</v>
      </c>
      <c r="G923" s="24"/>
      <c r="H923" s="28" t="s">
        <v>2443</v>
      </c>
      <c r="I923" s="27"/>
      <c r="J923" s="28" t="s">
        <v>2442</v>
      </c>
      <c r="K923" s="27"/>
      <c r="L923" s="25" t="s">
        <v>2441</v>
      </c>
      <c r="M923" s="25" t="s">
        <v>190</v>
      </c>
      <c r="N923" s="25">
        <v>1</v>
      </c>
      <c r="O923" s="25">
        <v>0</v>
      </c>
      <c r="P923" s="25">
        <v>15</v>
      </c>
      <c r="Q923" s="25">
        <v>0</v>
      </c>
      <c r="R923" s="25">
        <v>5</v>
      </c>
      <c r="S923" s="25">
        <v>0</v>
      </c>
      <c r="T923" s="25">
        <v>0</v>
      </c>
      <c r="U923" s="31">
        <f t="shared" si="15"/>
        <v>20</v>
      </c>
      <c r="V923" s="25"/>
      <c r="W923" s="33" t="s">
        <v>22</v>
      </c>
      <c r="X923" s="33"/>
      <c r="Y923" s="33"/>
      <c r="Z923" s="33">
        <v>1</v>
      </c>
      <c r="AA923" s="33"/>
    </row>
    <row r="924" spans="1:27" s="70" customFormat="1" ht="45" x14ac:dyDescent="0.2">
      <c r="A924" s="24">
        <v>920</v>
      </c>
      <c r="B924" s="24" t="s">
        <v>2376</v>
      </c>
      <c r="C924" s="25" t="s">
        <v>2375</v>
      </c>
      <c r="D924" s="26" t="s">
        <v>2394</v>
      </c>
      <c r="E924" s="25" t="s">
        <v>2393</v>
      </c>
      <c r="F924" s="25" t="s">
        <v>2392</v>
      </c>
      <c r="G924" s="24"/>
      <c r="H924" s="28" t="s">
        <v>2416</v>
      </c>
      <c r="I924" s="27"/>
      <c r="J924" s="28" t="s">
        <v>2437</v>
      </c>
      <c r="K924" s="27"/>
      <c r="L924" s="25" t="s">
        <v>2440</v>
      </c>
      <c r="M924" s="25" t="s">
        <v>2431</v>
      </c>
      <c r="N924" s="25">
        <v>1</v>
      </c>
      <c r="O924" s="25">
        <v>0</v>
      </c>
      <c r="P924" s="25">
        <v>24</v>
      </c>
      <c r="Q924" s="25">
        <v>0</v>
      </c>
      <c r="R924" s="25">
        <v>24</v>
      </c>
      <c r="S924" s="25">
        <v>0</v>
      </c>
      <c r="T924" s="25">
        <v>0</v>
      </c>
      <c r="U924" s="31">
        <f t="shared" si="15"/>
        <v>48</v>
      </c>
      <c r="V924" s="25"/>
      <c r="W924" s="33" t="s">
        <v>22</v>
      </c>
      <c r="X924" s="33"/>
      <c r="Y924" s="33"/>
      <c r="Z924" s="33">
        <v>1</v>
      </c>
      <c r="AA924" s="33"/>
    </row>
    <row r="925" spans="1:27" s="70" customFormat="1" ht="45" x14ac:dyDescent="0.2">
      <c r="A925" s="24">
        <v>921</v>
      </c>
      <c r="B925" s="24" t="s">
        <v>2376</v>
      </c>
      <c r="C925" s="25" t="s">
        <v>2375</v>
      </c>
      <c r="D925" s="26" t="s">
        <v>2394</v>
      </c>
      <c r="E925" s="25" t="s">
        <v>2393</v>
      </c>
      <c r="F925" s="25" t="s">
        <v>2392</v>
      </c>
      <c r="G925" s="24"/>
      <c r="H925" s="28" t="s">
        <v>2416</v>
      </c>
      <c r="I925" s="27"/>
      <c r="J925" s="28" t="s">
        <v>2437</v>
      </c>
      <c r="K925" s="27"/>
      <c r="L925" s="25" t="s">
        <v>2439</v>
      </c>
      <c r="M925" s="25" t="s">
        <v>1387</v>
      </c>
      <c r="N925" s="25">
        <v>1</v>
      </c>
      <c r="O925" s="25">
        <v>0</v>
      </c>
      <c r="P925" s="25">
        <v>0</v>
      </c>
      <c r="Q925" s="25">
        <v>0</v>
      </c>
      <c r="R925" s="25">
        <v>0</v>
      </c>
      <c r="S925" s="25">
        <v>0</v>
      </c>
      <c r="T925" s="25">
        <v>0</v>
      </c>
      <c r="U925" s="31">
        <f t="shared" si="15"/>
        <v>0</v>
      </c>
      <c r="V925" s="25"/>
      <c r="W925" s="33" t="s">
        <v>281</v>
      </c>
      <c r="X925" s="33"/>
      <c r="Y925" s="33"/>
      <c r="Z925" s="33" t="s">
        <v>189</v>
      </c>
      <c r="AA925" s="33"/>
    </row>
    <row r="926" spans="1:27" s="70" customFormat="1" ht="45" x14ac:dyDescent="0.2">
      <c r="A926" s="24">
        <v>922</v>
      </c>
      <c r="B926" s="24" t="s">
        <v>2376</v>
      </c>
      <c r="C926" s="25" t="s">
        <v>2375</v>
      </c>
      <c r="D926" s="26" t="s">
        <v>2394</v>
      </c>
      <c r="E926" s="25" t="s">
        <v>2393</v>
      </c>
      <c r="F926" s="25" t="s">
        <v>2392</v>
      </c>
      <c r="G926" s="24"/>
      <c r="H926" s="28" t="s">
        <v>2416</v>
      </c>
      <c r="I926" s="27"/>
      <c r="J926" s="28" t="s">
        <v>2437</v>
      </c>
      <c r="K926" s="27"/>
      <c r="L926" s="25" t="s">
        <v>2438</v>
      </c>
      <c r="M926" s="25" t="s">
        <v>978</v>
      </c>
      <c r="N926" s="25">
        <v>4</v>
      </c>
      <c r="O926" s="25">
        <v>0</v>
      </c>
      <c r="P926" s="25">
        <v>4</v>
      </c>
      <c r="Q926" s="25">
        <v>0</v>
      </c>
      <c r="R926" s="25">
        <v>2</v>
      </c>
      <c r="S926" s="25">
        <v>0</v>
      </c>
      <c r="T926" s="25">
        <v>0</v>
      </c>
      <c r="U926" s="31">
        <f t="shared" si="15"/>
        <v>6</v>
      </c>
      <c r="V926" s="25"/>
      <c r="W926" s="33" t="s">
        <v>281</v>
      </c>
      <c r="X926" s="33"/>
      <c r="Y926" s="33"/>
      <c r="Z926" s="33" t="s">
        <v>189</v>
      </c>
      <c r="AA926" s="33"/>
    </row>
    <row r="927" spans="1:27" s="70" customFormat="1" ht="45" x14ac:dyDescent="0.2">
      <c r="A927" s="24">
        <v>923</v>
      </c>
      <c r="B927" s="24" t="s">
        <v>2376</v>
      </c>
      <c r="C927" s="25" t="s">
        <v>2375</v>
      </c>
      <c r="D927" s="26" t="s">
        <v>2394</v>
      </c>
      <c r="E927" s="25" t="s">
        <v>2393</v>
      </c>
      <c r="F927" s="25" t="s">
        <v>2392</v>
      </c>
      <c r="G927" s="24"/>
      <c r="H927" s="28" t="s">
        <v>2416</v>
      </c>
      <c r="I927" s="27"/>
      <c r="J927" s="28" t="s">
        <v>2437</v>
      </c>
      <c r="K927" s="27"/>
      <c r="L927" s="25" t="s">
        <v>2436</v>
      </c>
      <c r="M927" s="25" t="s">
        <v>2425</v>
      </c>
      <c r="N927" s="25">
        <v>4</v>
      </c>
      <c r="O927" s="25">
        <v>8</v>
      </c>
      <c r="P927" s="25">
        <v>8</v>
      </c>
      <c r="Q927" s="25">
        <v>0</v>
      </c>
      <c r="R927" s="25">
        <v>4</v>
      </c>
      <c r="S927" s="25">
        <v>0</v>
      </c>
      <c r="T927" s="25">
        <v>0</v>
      </c>
      <c r="U927" s="31">
        <f t="shared" si="15"/>
        <v>20</v>
      </c>
      <c r="V927" s="25"/>
      <c r="W927" s="33" t="s">
        <v>281</v>
      </c>
      <c r="X927" s="33"/>
      <c r="Y927" s="33"/>
      <c r="Z927" s="33" t="s">
        <v>189</v>
      </c>
      <c r="AA927" s="33"/>
    </row>
    <row r="928" spans="1:27" s="70" customFormat="1" ht="45" x14ac:dyDescent="0.2">
      <c r="A928" s="24">
        <v>924</v>
      </c>
      <c r="B928" s="24" t="s">
        <v>2376</v>
      </c>
      <c r="C928" s="25" t="s">
        <v>2375</v>
      </c>
      <c r="D928" s="26" t="s">
        <v>2394</v>
      </c>
      <c r="E928" s="25" t="s">
        <v>2393</v>
      </c>
      <c r="F928" s="25" t="s">
        <v>2392</v>
      </c>
      <c r="G928" s="24"/>
      <c r="H928" s="28" t="s">
        <v>2416</v>
      </c>
      <c r="I928" s="27"/>
      <c r="J928" s="28" t="s">
        <v>2427</v>
      </c>
      <c r="K928" s="27"/>
      <c r="L928" s="25" t="s">
        <v>2435</v>
      </c>
      <c r="M928" s="25" t="s">
        <v>1387</v>
      </c>
      <c r="N928" s="25">
        <v>1</v>
      </c>
      <c r="O928" s="25">
        <v>0</v>
      </c>
      <c r="P928" s="25">
        <v>0</v>
      </c>
      <c r="Q928" s="25">
        <v>0</v>
      </c>
      <c r="R928" s="25">
        <v>0</v>
      </c>
      <c r="S928" s="25">
        <v>0</v>
      </c>
      <c r="T928" s="25">
        <v>0</v>
      </c>
      <c r="U928" s="31">
        <f t="shared" si="15"/>
        <v>0</v>
      </c>
      <c r="V928" s="25"/>
      <c r="W928" s="33" t="s">
        <v>22</v>
      </c>
      <c r="X928" s="33"/>
      <c r="Y928" s="33"/>
      <c r="Z928" s="33">
        <v>1</v>
      </c>
      <c r="AA928" s="33"/>
    </row>
    <row r="929" spans="1:27" s="70" customFormat="1" ht="45" x14ac:dyDescent="0.2">
      <c r="A929" s="24">
        <v>925</v>
      </c>
      <c r="B929" s="24" t="s">
        <v>2376</v>
      </c>
      <c r="C929" s="25" t="s">
        <v>2375</v>
      </c>
      <c r="D929" s="26" t="s">
        <v>2394</v>
      </c>
      <c r="E929" s="25" t="s">
        <v>2393</v>
      </c>
      <c r="F929" s="25" t="s">
        <v>2392</v>
      </c>
      <c r="G929" s="24"/>
      <c r="H929" s="28" t="s">
        <v>2416</v>
      </c>
      <c r="I929" s="27"/>
      <c r="J929" s="28" t="s">
        <v>2427</v>
      </c>
      <c r="K929" s="27"/>
      <c r="L929" s="25" t="s">
        <v>2434</v>
      </c>
      <c r="M929" s="25" t="s">
        <v>1275</v>
      </c>
      <c r="N929" s="25">
        <v>1</v>
      </c>
      <c r="O929" s="25">
        <v>0</v>
      </c>
      <c r="P929" s="25">
        <v>6</v>
      </c>
      <c r="Q929" s="25">
        <v>0</v>
      </c>
      <c r="R929" s="25">
        <v>3</v>
      </c>
      <c r="S929" s="25">
        <v>0</v>
      </c>
      <c r="T929" s="25">
        <v>0</v>
      </c>
      <c r="U929" s="31">
        <f t="shared" si="15"/>
        <v>9</v>
      </c>
      <c r="V929" s="25"/>
      <c r="W929" s="33" t="s">
        <v>22</v>
      </c>
      <c r="X929" s="33"/>
      <c r="Y929" s="33"/>
      <c r="Z929" s="33">
        <v>1</v>
      </c>
      <c r="AA929" s="33"/>
    </row>
    <row r="930" spans="1:27" s="70" customFormat="1" ht="45" x14ac:dyDescent="0.2">
      <c r="A930" s="24">
        <v>926</v>
      </c>
      <c r="B930" s="24" t="s">
        <v>2376</v>
      </c>
      <c r="C930" s="25" t="s">
        <v>2375</v>
      </c>
      <c r="D930" s="26" t="s">
        <v>2394</v>
      </c>
      <c r="E930" s="25" t="s">
        <v>2393</v>
      </c>
      <c r="F930" s="25" t="s">
        <v>2392</v>
      </c>
      <c r="G930" s="24"/>
      <c r="H930" s="28" t="s">
        <v>2416</v>
      </c>
      <c r="I930" s="27"/>
      <c r="J930" s="28" t="s">
        <v>2427</v>
      </c>
      <c r="K930" s="27"/>
      <c r="L930" s="25" t="s">
        <v>2433</v>
      </c>
      <c r="M930" s="25" t="s">
        <v>1387</v>
      </c>
      <c r="N930" s="25">
        <v>1</v>
      </c>
      <c r="O930" s="25">
        <v>0</v>
      </c>
      <c r="P930" s="25">
        <v>1</v>
      </c>
      <c r="Q930" s="25">
        <v>0</v>
      </c>
      <c r="R930" s="25">
        <v>1</v>
      </c>
      <c r="S930" s="25">
        <v>0</v>
      </c>
      <c r="T930" s="25">
        <v>0</v>
      </c>
      <c r="U930" s="31">
        <f t="shared" si="15"/>
        <v>2</v>
      </c>
      <c r="V930" s="25"/>
      <c r="W930" s="33" t="s">
        <v>22</v>
      </c>
      <c r="X930" s="33"/>
      <c r="Y930" s="33"/>
      <c r="Z930" s="33">
        <v>1</v>
      </c>
      <c r="AA930" s="33"/>
    </row>
    <row r="931" spans="1:27" s="70" customFormat="1" ht="45" x14ac:dyDescent="0.2">
      <c r="A931" s="24">
        <v>927</v>
      </c>
      <c r="B931" s="24" t="s">
        <v>2376</v>
      </c>
      <c r="C931" s="25" t="s">
        <v>2375</v>
      </c>
      <c r="D931" s="26" t="s">
        <v>2394</v>
      </c>
      <c r="E931" s="25" t="s">
        <v>2393</v>
      </c>
      <c r="F931" s="25" t="s">
        <v>2392</v>
      </c>
      <c r="G931" s="24"/>
      <c r="H931" s="28" t="s">
        <v>2416</v>
      </c>
      <c r="I931" s="27"/>
      <c r="J931" s="28" t="s">
        <v>2427</v>
      </c>
      <c r="K931" s="27"/>
      <c r="L931" s="25" t="s">
        <v>2432</v>
      </c>
      <c r="M931" s="25" t="s">
        <v>2431</v>
      </c>
      <c r="N931" s="25">
        <v>1</v>
      </c>
      <c r="O931" s="25">
        <v>24</v>
      </c>
      <c r="P931" s="25">
        <v>84</v>
      </c>
      <c r="Q931" s="25">
        <v>0</v>
      </c>
      <c r="R931" s="25">
        <v>48</v>
      </c>
      <c r="S931" s="25">
        <v>0</v>
      </c>
      <c r="T931" s="25">
        <v>0</v>
      </c>
      <c r="U931" s="31">
        <f t="shared" si="15"/>
        <v>156</v>
      </c>
      <c r="V931" s="25"/>
      <c r="W931" s="33" t="s">
        <v>22</v>
      </c>
      <c r="X931" s="33"/>
      <c r="Y931" s="33"/>
      <c r="Z931" s="33">
        <v>1</v>
      </c>
      <c r="AA931" s="33"/>
    </row>
    <row r="932" spans="1:27" s="70" customFormat="1" ht="45" x14ac:dyDescent="0.2">
      <c r="A932" s="24">
        <v>928</v>
      </c>
      <c r="B932" s="24" t="s">
        <v>2376</v>
      </c>
      <c r="C932" s="25" t="s">
        <v>2375</v>
      </c>
      <c r="D932" s="26" t="s">
        <v>2394</v>
      </c>
      <c r="E932" s="25" t="s">
        <v>2393</v>
      </c>
      <c r="F932" s="25" t="s">
        <v>2392</v>
      </c>
      <c r="G932" s="24"/>
      <c r="H932" s="28" t="s">
        <v>2416</v>
      </c>
      <c r="I932" s="27"/>
      <c r="J932" s="28" t="s">
        <v>2427</v>
      </c>
      <c r="K932" s="27"/>
      <c r="L932" s="25" t="s">
        <v>2430</v>
      </c>
      <c r="M932" s="25" t="s">
        <v>1387</v>
      </c>
      <c r="N932" s="25">
        <v>0.3</v>
      </c>
      <c r="O932" s="25">
        <v>0</v>
      </c>
      <c r="P932" s="25">
        <v>0</v>
      </c>
      <c r="Q932" s="25">
        <v>0</v>
      </c>
      <c r="R932" s="25">
        <v>0</v>
      </c>
      <c r="S932" s="25">
        <v>0</v>
      </c>
      <c r="T932" s="25">
        <v>0</v>
      </c>
      <c r="U932" s="31">
        <f t="shared" si="15"/>
        <v>0</v>
      </c>
      <c r="V932" s="25"/>
      <c r="W932" s="33" t="s">
        <v>281</v>
      </c>
      <c r="X932" s="33"/>
      <c r="Y932" s="33"/>
      <c r="Z932" s="33" t="s">
        <v>189</v>
      </c>
      <c r="AA932" s="33"/>
    </row>
    <row r="933" spans="1:27" s="70" customFormat="1" ht="45" x14ac:dyDescent="0.2">
      <c r="A933" s="24">
        <v>929</v>
      </c>
      <c r="B933" s="24" t="s">
        <v>2376</v>
      </c>
      <c r="C933" s="25" t="s">
        <v>2375</v>
      </c>
      <c r="D933" s="26" t="s">
        <v>2394</v>
      </c>
      <c r="E933" s="25" t="s">
        <v>2393</v>
      </c>
      <c r="F933" s="25" t="s">
        <v>2392</v>
      </c>
      <c r="G933" s="24"/>
      <c r="H933" s="28" t="s">
        <v>2416</v>
      </c>
      <c r="I933" s="27"/>
      <c r="J933" s="28" t="s">
        <v>2427</v>
      </c>
      <c r="K933" s="27"/>
      <c r="L933" s="25" t="s">
        <v>2429</v>
      </c>
      <c r="M933" s="25" t="s">
        <v>431</v>
      </c>
      <c r="N933" s="25">
        <v>1</v>
      </c>
      <c r="O933" s="25">
        <v>8</v>
      </c>
      <c r="P933" s="25">
        <v>16</v>
      </c>
      <c r="Q933" s="25">
        <v>0</v>
      </c>
      <c r="R933" s="25">
        <v>4</v>
      </c>
      <c r="S933" s="25">
        <v>0</v>
      </c>
      <c r="T933" s="25">
        <v>0</v>
      </c>
      <c r="U933" s="31">
        <f t="shared" si="15"/>
        <v>28</v>
      </c>
      <c r="V933" s="25"/>
      <c r="W933" s="33" t="s">
        <v>281</v>
      </c>
      <c r="X933" s="33"/>
      <c r="Y933" s="33"/>
      <c r="Z933" s="33" t="s">
        <v>189</v>
      </c>
      <c r="AA933" s="33"/>
    </row>
    <row r="934" spans="1:27" s="70" customFormat="1" ht="45" x14ac:dyDescent="0.2">
      <c r="A934" s="24">
        <v>930</v>
      </c>
      <c r="B934" s="24" t="s">
        <v>2376</v>
      </c>
      <c r="C934" s="25" t="s">
        <v>2375</v>
      </c>
      <c r="D934" s="26" t="s">
        <v>2394</v>
      </c>
      <c r="E934" s="25" t="s">
        <v>2393</v>
      </c>
      <c r="F934" s="25" t="s">
        <v>2392</v>
      </c>
      <c r="G934" s="24"/>
      <c r="H934" s="28" t="s">
        <v>2416</v>
      </c>
      <c r="I934" s="27"/>
      <c r="J934" s="28" t="s">
        <v>2427</v>
      </c>
      <c r="K934" s="27"/>
      <c r="L934" s="25" t="s">
        <v>2428</v>
      </c>
      <c r="M934" s="25" t="s">
        <v>978</v>
      </c>
      <c r="N934" s="25">
        <v>4</v>
      </c>
      <c r="O934" s="25">
        <v>0</v>
      </c>
      <c r="P934" s="25">
        <v>4</v>
      </c>
      <c r="Q934" s="25">
        <v>0</v>
      </c>
      <c r="R934" s="25">
        <v>2</v>
      </c>
      <c r="S934" s="25">
        <v>0</v>
      </c>
      <c r="T934" s="25">
        <v>0</v>
      </c>
      <c r="U934" s="31">
        <f t="shared" si="15"/>
        <v>6</v>
      </c>
      <c r="V934" s="25"/>
      <c r="W934" s="33" t="s">
        <v>281</v>
      </c>
      <c r="X934" s="33"/>
      <c r="Y934" s="33"/>
      <c r="Z934" s="33" t="s">
        <v>189</v>
      </c>
      <c r="AA934" s="33"/>
    </row>
    <row r="935" spans="1:27" s="70" customFormat="1" ht="45" x14ac:dyDescent="0.2">
      <c r="A935" s="24">
        <v>931</v>
      </c>
      <c r="B935" s="24" t="s">
        <v>2376</v>
      </c>
      <c r="C935" s="25" t="s">
        <v>2375</v>
      </c>
      <c r="D935" s="26" t="s">
        <v>2394</v>
      </c>
      <c r="E935" s="25" t="s">
        <v>2393</v>
      </c>
      <c r="F935" s="25" t="s">
        <v>2392</v>
      </c>
      <c r="G935" s="24"/>
      <c r="H935" s="28" t="s">
        <v>2416</v>
      </c>
      <c r="I935" s="27"/>
      <c r="J935" s="28" t="s">
        <v>2427</v>
      </c>
      <c r="K935" s="27"/>
      <c r="L935" s="25" t="s">
        <v>2426</v>
      </c>
      <c r="M935" s="25" t="s">
        <v>2425</v>
      </c>
      <c r="N935" s="25">
        <v>4</v>
      </c>
      <c r="O935" s="25">
        <v>8</v>
      </c>
      <c r="P935" s="25">
        <v>8</v>
      </c>
      <c r="Q935" s="25">
        <v>0</v>
      </c>
      <c r="R935" s="25">
        <v>4</v>
      </c>
      <c r="S935" s="25">
        <v>0</v>
      </c>
      <c r="T935" s="25">
        <v>0</v>
      </c>
      <c r="U935" s="31">
        <f t="shared" si="15"/>
        <v>20</v>
      </c>
      <c r="V935" s="25"/>
      <c r="W935" s="33" t="s">
        <v>281</v>
      </c>
      <c r="X935" s="33"/>
      <c r="Y935" s="33"/>
      <c r="Z935" s="33" t="s">
        <v>189</v>
      </c>
      <c r="AA935" s="33"/>
    </row>
    <row r="936" spans="1:27" s="70" customFormat="1" ht="45" x14ac:dyDescent="0.2">
      <c r="A936" s="24">
        <v>932</v>
      </c>
      <c r="B936" s="24" t="s">
        <v>2376</v>
      </c>
      <c r="C936" s="25" t="s">
        <v>2375</v>
      </c>
      <c r="D936" s="26" t="s">
        <v>2394</v>
      </c>
      <c r="E936" s="25" t="s">
        <v>2393</v>
      </c>
      <c r="F936" s="25" t="s">
        <v>2392</v>
      </c>
      <c r="G936" s="24"/>
      <c r="H936" s="28" t="s">
        <v>2416</v>
      </c>
      <c r="I936" s="27"/>
      <c r="J936" s="28" t="s">
        <v>2422</v>
      </c>
      <c r="K936" s="27"/>
      <c r="L936" s="25" t="s">
        <v>2424</v>
      </c>
      <c r="M936" s="25" t="s">
        <v>68</v>
      </c>
      <c r="N936" s="25">
        <v>12</v>
      </c>
      <c r="O936" s="25">
        <v>0</v>
      </c>
      <c r="P936" s="25">
        <v>16</v>
      </c>
      <c r="Q936" s="25">
        <v>0</v>
      </c>
      <c r="R936" s="25">
        <v>4</v>
      </c>
      <c r="S936" s="25">
        <v>0</v>
      </c>
      <c r="T936" s="25">
        <v>0</v>
      </c>
      <c r="U936" s="31">
        <f t="shared" si="15"/>
        <v>20</v>
      </c>
      <c r="V936" s="25"/>
      <c r="W936" s="33" t="s">
        <v>22</v>
      </c>
      <c r="X936" s="33"/>
      <c r="Y936" s="33"/>
      <c r="Z936" s="33">
        <v>1</v>
      </c>
      <c r="AA936" s="33"/>
    </row>
    <row r="937" spans="1:27" s="70" customFormat="1" ht="45" x14ac:dyDescent="0.2">
      <c r="A937" s="24">
        <v>933</v>
      </c>
      <c r="B937" s="24" t="s">
        <v>2376</v>
      </c>
      <c r="C937" s="25" t="s">
        <v>2375</v>
      </c>
      <c r="D937" s="26" t="s">
        <v>2394</v>
      </c>
      <c r="E937" s="25" t="s">
        <v>2393</v>
      </c>
      <c r="F937" s="25" t="s">
        <v>2392</v>
      </c>
      <c r="G937" s="24"/>
      <c r="H937" s="28" t="s">
        <v>2416</v>
      </c>
      <c r="I937" s="27"/>
      <c r="J937" s="28" t="s">
        <v>2422</v>
      </c>
      <c r="K937" s="27"/>
      <c r="L937" s="25" t="s">
        <v>2423</v>
      </c>
      <c r="M937" s="25" t="s">
        <v>68</v>
      </c>
      <c r="N937" s="25">
        <v>12</v>
      </c>
      <c r="O937" s="25">
        <v>0</v>
      </c>
      <c r="P937" s="25">
        <v>24</v>
      </c>
      <c r="Q937" s="25">
        <v>0</v>
      </c>
      <c r="R937" s="25">
        <v>3</v>
      </c>
      <c r="S937" s="25">
        <v>0</v>
      </c>
      <c r="T937" s="25">
        <v>0</v>
      </c>
      <c r="U937" s="31">
        <f t="shared" si="15"/>
        <v>27</v>
      </c>
      <c r="V937" s="25"/>
      <c r="W937" s="33" t="s">
        <v>22</v>
      </c>
      <c r="X937" s="33"/>
      <c r="Y937" s="33"/>
      <c r="Z937" s="33">
        <v>1</v>
      </c>
      <c r="AA937" s="33"/>
    </row>
    <row r="938" spans="1:27" s="70" customFormat="1" ht="45" x14ac:dyDescent="0.2">
      <c r="A938" s="24">
        <v>934</v>
      </c>
      <c r="B938" s="24" t="s">
        <v>2376</v>
      </c>
      <c r="C938" s="25" t="s">
        <v>2375</v>
      </c>
      <c r="D938" s="26" t="s">
        <v>2394</v>
      </c>
      <c r="E938" s="25" t="s">
        <v>2393</v>
      </c>
      <c r="F938" s="25" t="s">
        <v>2392</v>
      </c>
      <c r="G938" s="24"/>
      <c r="H938" s="28" t="s">
        <v>2416</v>
      </c>
      <c r="I938" s="27"/>
      <c r="J938" s="28" t="s">
        <v>2422</v>
      </c>
      <c r="K938" s="27"/>
      <c r="L938" s="25" t="s">
        <v>2421</v>
      </c>
      <c r="M938" s="25" t="s">
        <v>68</v>
      </c>
      <c r="N938" s="25">
        <v>7</v>
      </c>
      <c r="O938" s="25">
        <v>45</v>
      </c>
      <c r="P938" s="25">
        <v>21</v>
      </c>
      <c r="Q938" s="25">
        <v>0</v>
      </c>
      <c r="R938" s="25">
        <v>6</v>
      </c>
      <c r="S938" s="25">
        <v>0</v>
      </c>
      <c r="T938" s="25">
        <v>0</v>
      </c>
      <c r="U938" s="31">
        <f t="shared" si="15"/>
        <v>72</v>
      </c>
      <c r="V938" s="25"/>
      <c r="W938" s="33" t="s">
        <v>22</v>
      </c>
      <c r="X938" s="33"/>
      <c r="Y938" s="33"/>
      <c r="Z938" s="33">
        <v>1</v>
      </c>
      <c r="AA938" s="33"/>
    </row>
    <row r="939" spans="1:27" s="70" customFormat="1" ht="45" x14ac:dyDescent="0.2">
      <c r="A939" s="24">
        <v>935</v>
      </c>
      <c r="B939" s="24" t="s">
        <v>2376</v>
      </c>
      <c r="C939" s="25" t="s">
        <v>2375</v>
      </c>
      <c r="D939" s="26" t="s">
        <v>2394</v>
      </c>
      <c r="E939" s="25" t="s">
        <v>2393</v>
      </c>
      <c r="F939" s="25" t="s">
        <v>2392</v>
      </c>
      <c r="G939" s="24"/>
      <c r="H939" s="28" t="s">
        <v>2416</v>
      </c>
      <c r="I939" s="27"/>
      <c r="J939" s="28" t="s">
        <v>2418</v>
      </c>
      <c r="K939" s="27"/>
      <c r="L939" s="25" t="s">
        <v>2420</v>
      </c>
      <c r="M939" s="25" t="s">
        <v>282</v>
      </c>
      <c r="N939" s="25">
        <v>12</v>
      </c>
      <c r="O939" s="25">
        <v>0</v>
      </c>
      <c r="P939" s="25">
        <v>10</v>
      </c>
      <c r="Q939" s="25">
        <v>0</v>
      </c>
      <c r="R939" s="25">
        <v>0</v>
      </c>
      <c r="S939" s="25">
        <v>0</v>
      </c>
      <c r="T939" s="25">
        <v>0</v>
      </c>
      <c r="U939" s="31">
        <f t="shared" si="15"/>
        <v>10</v>
      </c>
      <c r="V939" s="25"/>
      <c r="W939" s="33" t="s">
        <v>2419</v>
      </c>
      <c r="X939" s="33"/>
      <c r="Y939" s="33"/>
      <c r="Z939" s="33" t="s">
        <v>189</v>
      </c>
      <c r="AA939" s="33"/>
    </row>
    <row r="940" spans="1:27" s="70" customFormat="1" ht="45" x14ac:dyDescent="0.2">
      <c r="A940" s="24">
        <v>936</v>
      </c>
      <c r="B940" s="24" t="s">
        <v>2376</v>
      </c>
      <c r="C940" s="25" t="s">
        <v>2375</v>
      </c>
      <c r="D940" s="26" t="s">
        <v>2394</v>
      </c>
      <c r="E940" s="25" t="s">
        <v>2393</v>
      </c>
      <c r="F940" s="25" t="s">
        <v>2392</v>
      </c>
      <c r="G940" s="24"/>
      <c r="H940" s="28" t="s">
        <v>2416</v>
      </c>
      <c r="I940" s="27"/>
      <c r="J940" s="28" t="s">
        <v>2418</v>
      </c>
      <c r="K940" s="27"/>
      <c r="L940" s="25" t="s">
        <v>2417</v>
      </c>
      <c r="M940" s="25" t="s">
        <v>68</v>
      </c>
      <c r="N940" s="25">
        <v>2</v>
      </c>
      <c r="O940" s="25">
        <v>0</v>
      </c>
      <c r="P940" s="25">
        <v>24</v>
      </c>
      <c r="Q940" s="25">
        <v>0</v>
      </c>
      <c r="R940" s="25">
        <v>24</v>
      </c>
      <c r="S940" s="25">
        <v>0</v>
      </c>
      <c r="T940" s="25">
        <v>0</v>
      </c>
      <c r="U940" s="31">
        <f t="shared" si="15"/>
        <v>48</v>
      </c>
      <c r="V940" s="25"/>
      <c r="W940" s="33" t="s">
        <v>22</v>
      </c>
      <c r="X940" s="33"/>
      <c r="Y940" s="33"/>
      <c r="Z940" s="33">
        <v>1</v>
      </c>
      <c r="AA940" s="33"/>
    </row>
    <row r="941" spans="1:27" s="70" customFormat="1" ht="45" x14ac:dyDescent="0.2">
      <c r="A941" s="24">
        <v>937</v>
      </c>
      <c r="B941" s="24" t="s">
        <v>2376</v>
      </c>
      <c r="C941" s="25" t="s">
        <v>2375</v>
      </c>
      <c r="D941" s="26" t="s">
        <v>2394</v>
      </c>
      <c r="E941" s="25" t="s">
        <v>2393</v>
      </c>
      <c r="F941" s="25" t="s">
        <v>2392</v>
      </c>
      <c r="G941" s="24"/>
      <c r="H941" s="28" t="s">
        <v>2416</v>
      </c>
      <c r="I941" s="27"/>
      <c r="J941" s="28" t="s">
        <v>2415</v>
      </c>
      <c r="K941" s="27"/>
      <c r="L941" s="25"/>
      <c r="M941" s="25"/>
      <c r="N941" s="25"/>
      <c r="O941" s="25"/>
      <c r="P941" s="25"/>
      <c r="Q941" s="25"/>
      <c r="R941" s="25"/>
      <c r="S941" s="25"/>
      <c r="T941" s="25"/>
      <c r="U941" s="31">
        <f t="shared" si="15"/>
        <v>0</v>
      </c>
      <c r="V941" s="25"/>
      <c r="W941" s="33"/>
      <c r="X941" s="33"/>
      <c r="Y941" s="33"/>
      <c r="Z941" s="33"/>
      <c r="AA941" s="33"/>
    </row>
    <row r="942" spans="1:27" s="70" customFormat="1" ht="45" x14ac:dyDescent="0.2">
      <c r="A942" s="24">
        <v>938</v>
      </c>
      <c r="B942" s="24" t="s">
        <v>2376</v>
      </c>
      <c r="C942" s="25" t="s">
        <v>2375</v>
      </c>
      <c r="D942" s="26" t="s">
        <v>2394</v>
      </c>
      <c r="E942" s="25" t="s">
        <v>2393</v>
      </c>
      <c r="F942" s="25" t="s">
        <v>2392</v>
      </c>
      <c r="G942" s="24"/>
      <c r="H942" s="28" t="s">
        <v>2396</v>
      </c>
      <c r="I942" s="27"/>
      <c r="J942" s="28" t="s">
        <v>2412</v>
      </c>
      <c r="K942" s="27"/>
      <c r="L942" s="25" t="s">
        <v>2414</v>
      </c>
      <c r="M942" s="25" t="s">
        <v>68</v>
      </c>
      <c r="N942" s="25">
        <v>4</v>
      </c>
      <c r="O942" s="25">
        <v>0</v>
      </c>
      <c r="P942" s="25">
        <v>0</v>
      </c>
      <c r="Q942" s="25">
        <v>8</v>
      </c>
      <c r="R942" s="25">
        <v>0</v>
      </c>
      <c r="S942" s="25">
        <v>6</v>
      </c>
      <c r="T942" s="25">
        <v>0</v>
      </c>
      <c r="U942" s="31">
        <f t="shared" si="15"/>
        <v>14</v>
      </c>
      <c r="V942" s="25"/>
      <c r="W942" s="33" t="s">
        <v>22</v>
      </c>
      <c r="X942" s="33"/>
      <c r="Y942" s="33"/>
      <c r="Z942" s="33">
        <v>1</v>
      </c>
      <c r="AA942" s="33"/>
    </row>
    <row r="943" spans="1:27" s="70" customFormat="1" ht="45" x14ac:dyDescent="0.2">
      <c r="A943" s="24">
        <v>939</v>
      </c>
      <c r="B943" s="24"/>
      <c r="C943" s="25" t="s">
        <v>2375</v>
      </c>
      <c r="D943" s="26" t="s">
        <v>2394</v>
      </c>
      <c r="E943" s="25" t="s">
        <v>2393</v>
      </c>
      <c r="F943" s="25" t="s">
        <v>2392</v>
      </c>
      <c r="G943" s="24"/>
      <c r="H943" s="28" t="s">
        <v>2396</v>
      </c>
      <c r="I943" s="27"/>
      <c r="J943" s="28" t="s">
        <v>2412</v>
      </c>
      <c r="K943" s="27"/>
      <c r="L943" s="25" t="s">
        <v>2413</v>
      </c>
      <c r="M943" s="25" t="s">
        <v>68</v>
      </c>
      <c r="N943" s="25">
        <v>4</v>
      </c>
      <c r="O943" s="25">
        <v>0</v>
      </c>
      <c r="P943" s="25">
        <v>0</v>
      </c>
      <c r="Q943" s="25">
        <v>12</v>
      </c>
      <c r="R943" s="25">
        <v>0</v>
      </c>
      <c r="S943" s="25">
        <v>6</v>
      </c>
      <c r="T943" s="25">
        <v>0</v>
      </c>
      <c r="U943" s="31">
        <f t="shared" si="15"/>
        <v>18</v>
      </c>
      <c r="V943" s="25"/>
      <c r="W943" s="33" t="s">
        <v>22</v>
      </c>
      <c r="X943" s="33"/>
      <c r="Y943" s="33"/>
      <c r="Z943" s="33">
        <v>1</v>
      </c>
      <c r="AA943" s="33"/>
    </row>
    <row r="944" spans="1:27" s="70" customFormat="1" ht="45" x14ac:dyDescent="0.2">
      <c r="A944" s="24">
        <v>940</v>
      </c>
      <c r="B944" s="24"/>
      <c r="C944" s="25" t="s">
        <v>2375</v>
      </c>
      <c r="D944" s="26" t="s">
        <v>2394</v>
      </c>
      <c r="E944" s="25" t="s">
        <v>2393</v>
      </c>
      <c r="F944" s="25" t="s">
        <v>2392</v>
      </c>
      <c r="G944" s="24"/>
      <c r="H944" s="28" t="s">
        <v>2396</v>
      </c>
      <c r="I944" s="27"/>
      <c r="J944" s="28" t="s">
        <v>2412</v>
      </c>
      <c r="K944" s="27"/>
      <c r="L944" s="25" t="s">
        <v>2411</v>
      </c>
      <c r="M944" s="25" t="s">
        <v>68</v>
      </c>
      <c r="N944" s="25">
        <v>12</v>
      </c>
      <c r="O944" s="25">
        <v>0</v>
      </c>
      <c r="P944" s="25">
        <v>8</v>
      </c>
      <c r="Q944" s="25">
        <v>0</v>
      </c>
      <c r="R944" s="25">
        <v>0</v>
      </c>
      <c r="S944" s="25">
        <v>4</v>
      </c>
      <c r="T944" s="25">
        <v>0</v>
      </c>
      <c r="U944" s="31">
        <f t="shared" si="15"/>
        <v>12</v>
      </c>
      <c r="V944" s="25"/>
      <c r="W944" s="33" t="s">
        <v>22</v>
      </c>
      <c r="X944" s="33"/>
      <c r="Y944" s="33"/>
      <c r="Z944" s="33">
        <v>1</v>
      </c>
      <c r="AA944" s="33"/>
    </row>
    <row r="945" spans="1:27" s="70" customFormat="1" ht="45" x14ac:dyDescent="0.2">
      <c r="A945" s="24">
        <v>941</v>
      </c>
      <c r="B945" s="24" t="s">
        <v>2376</v>
      </c>
      <c r="C945" s="25" t="s">
        <v>2375</v>
      </c>
      <c r="D945" s="26" t="s">
        <v>2394</v>
      </c>
      <c r="E945" s="25" t="s">
        <v>2393</v>
      </c>
      <c r="F945" s="25" t="s">
        <v>2392</v>
      </c>
      <c r="G945" s="24"/>
      <c r="H945" s="28" t="s">
        <v>2396</v>
      </c>
      <c r="I945" s="27"/>
      <c r="J945" s="28" t="s">
        <v>2399</v>
      </c>
      <c r="K945" s="27"/>
      <c r="L945" s="25" t="s">
        <v>2410</v>
      </c>
      <c r="M945" s="25" t="s">
        <v>68</v>
      </c>
      <c r="N945" s="25">
        <v>12</v>
      </c>
      <c r="O945" s="25">
        <v>0</v>
      </c>
      <c r="P945" s="25">
        <v>0</v>
      </c>
      <c r="Q945" s="25">
        <v>24</v>
      </c>
      <c r="R945" s="25">
        <v>0</v>
      </c>
      <c r="S945" s="25">
        <v>10</v>
      </c>
      <c r="T945" s="25">
        <v>0</v>
      </c>
      <c r="U945" s="31">
        <f t="shared" si="15"/>
        <v>34</v>
      </c>
      <c r="V945" s="25"/>
      <c r="W945" s="33" t="s">
        <v>22</v>
      </c>
      <c r="X945" s="33"/>
      <c r="Y945" s="33"/>
      <c r="Z945" s="33">
        <v>1</v>
      </c>
      <c r="AA945" s="33"/>
    </row>
    <row r="946" spans="1:27" s="70" customFormat="1" ht="45" x14ac:dyDescent="0.2">
      <c r="A946" s="24">
        <v>942</v>
      </c>
      <c r="B946" s="24" t="s">
        <v>2376</v>
      </c>
      <c r="C946" s="25" t="s">
        <v>2375</v>
      </c>
      <c r="D946" s="26" t="s">
        <v>2394</v>
      </c>
      <c r="E946" s="25" t="s">
        <v>2393</v>
      </c>
      <c r="F946" s="25" t="s">
        <v>2392</v>
      </c>
      <c r="G946" s="24"/>
      <c r="H946" s="28" t="s">
        <v>2396</v>
      </c>
      <c r="I946" s="27"/>
      <c r="J946" s="28" t="s">
        <v>2399</v>
      </c>
      <c r="K946" s="27"/>
      <c r="L946" s="25" t="s">
        <v>2409</v>
      </c>
      <c r="M946" s="25" t="s">
        <v>68</v>
      </c>
      <c r="N946" s="25">
        <v>12</v>
      </c>
      <c r="O946" s="25">
        <v>0</v>
      </c>
      <c r="P946" s="25">
        <v>8</v>
      </c>
      <c r="Q946" s="25">
        <v>0</v>
      </c>
      <c r="R946" s="25">
        <v>0</v>
      </c>
      <c r="S946" s="25">
        <v>4</v>
      </c>
      <c r="T946" s="25">
        <v>0</v>
      </c>
      <c r="U946" s="31">
        <f t="shared" si="15"/>
        <v>12</v>
      </c>
      <c r="V946" s="25"/>
      <c r="W946" s="33" t="s">
        <v>22</v>
      </c>
      <c r="X946" s="33"/>
      <c r="Y946" s="33"/>
      <c r="Z946" s="33">
        <v>1</v>
      </c>
      <c r="AA946" s="33"/>
    </row>
    <row r="947" spans="1:27" s="70" customFormat="1" ht="45" x14ac:dyDescent="0.2">
      <c r="A947" s="24">
        <v>943</v>
      </c>
      <c r="B947" s="24" t="s">
        <v>2376</v>
      </c>
      <c r="C947" s="25" t="s">
        <v>2375</v>
      </c>
      <c r="D947" s="26" t="s">
        <v>2394</v>
      </c>
      <c r="E947" s="25" t="s">
        <v>2393</v>
      </c>
      <c r="F947" s="25" t="s">
        <v>2392</v>
      </c>
      <c r="G947" s="24"/>
      <c r="H947" s="28" t="s">
        <v>2396</v>
      </c>
      <c r="I947" s="27"/>
      <c r="J947" s="28" t="s">
        <v>2399</v>
      </c>
      <c r="K947" s="27"/>
      <c r="L947" s="25" t="s">
        <v>2408</v>
      </c>
      <c r="M947" s="25" t="s">
        <v>68</v>
      </c>
      <c r="N947" s="25">
        <v>4</v>
      </c>
      <c r="O947" s="25">
        <v>0</v>
      </c>
      <c r="P947" s="25">
        <v>0</v>
      </c>
      <c r="Q947" s="25">
        <v>8</v>
      </c>
      <c r="R947" s="25">
        <v>0</v>
      </c>
      <c r="S947" s="25">
        <v>6</v>
      </c>
      <c r="T947" s="25">
        <v>0</v>
      </c>
      <c r="U947" s="31">
        <f t="shared" si="15"/>
        <v>14</v>
      </c>
      <c r="V947" s="25"/>
      <c r="W947" s="33" t="s">
        <v>22</v>
      </c>
      <c r="X947" s="33"/>
      <c r="Y947" s="33"/>
      <c r="Z947" s="33">
        <v>1</v>
      </c>
      <c r="AA947" s="33"/>
    </row>
    <row r="948" spans="1:27" s="70" customFormat="1" ht="45" x14ac:dyDescent="0.2">
      <c r="A948" s="24">
        <v>944</v>
      </c>
      <c r="B948" s="24" t="s">
        <v>2376</v>
      </c>
      <c r="C948" s="25" t="s">
        <v>2375</v>
      </c>
      <c r="D948" s="26" t="s">
        <v>2394</v>
      </c>
      <c r="E948" s="25" t="s">
        <v>2393</v>
      </c>
      <c r="F948" s="25" t="s">
        <v>2392</v>
      </c>
      <c r="G948" s="24"/>
      <c r="H948" s="28" t="s">
        <v>2396</v>
      </c>
      <c r="I948" s="27"/>
      <c r="J948" s="28" t="s">
        <v>2399</v>
      </c>
      <c r="K948" s="27"/>
      <c r="L948" s="25" t="s">
        <v>2407</v>
      </c>
      <c r="M948" s="25" t="s">
        <v>68</v>
      </c>
      <c r="N948" s="25">
        <v>12</v>
      </c>
      <c r="O948" s="25">
        <v>0</v>
      </c>
      <c r="P948" s="25">
        <v>8</v>
      </c>
      <c r="Q948" s="25">
        <v>0</v>
      </c>
      <c r="R948" s="25">
        <v>0</v>
      </c>
      <c r="S948" s="25">
        <v>2</v>
      </c>
      <c r="T948" s="25">
        <v>0</v>
      </c>
      <c r="U948" s="31">
        <f t="shared" si="15"/>
        <v>10</v>
      </c>
      <c r="V948" s="25"/>
      <c r="W948" s="33" t="s">
        <v>22</v>
      </c>
      <c r="X948" s="33"/>
      <c r="Y948" s="33"/>
      <c r="Z948" s="33">
        <v>1</v>
      </c>
      <c r="AA948" s="33"/>
    </row>
    <row r="949" spans="1:27" s="70" customFormat="1" ht="45" x14ac:dyDescent="0.2">
      <c r="A949" s="24">
        <v>945</v>
      </c>
      <c r="B949" s="24" t="s">
        <v>2376</v>
      </c>
      <c r="C949" s="25" t="s">
        <v>2375</v>
      </c>
      <c r="D949" s="26" t="s">
        <v>2394</v>
      </c>
      <c r="E949" s="25" t="s">
        <v>2393</v>
      </c>
      <c r="F949" s="25" t="s">
        <v>2392</v>
      </c>
      <c r="G949" s="24"/>
      <c r="H949" s="28" t="s">
        <v>2396</v>
      </c>
      <c r="I949" s="27"/>
      <c r="J949" s="28" t="s">
        <v>2399</v>
      </c>
      <c r="K949" s="27"/>
      <c r="L949" s="25" t="s">
        <v>2406</v>
      </c>
      <c r="M949" s="25" t="s">
        <v>68</v>
      </c>
      <c r="N949" s="25">
        <v>12</v>
      </c>
      <c r="O949" s="25">
        <v>0</v>
      </c>
      <c r="P949" s="25">
        <v>20</v>
      </c>
      <c r="Q949" s="25">
        <v>0</v>
      </c>
      <c r="R949" s="25">
        <v>0</v>
      </c>
      <c r="S949" s="25">
        <v>4</v>
      </c>
      <c r="T949" s="25">
        <v>0</v>
      </c>
      <c r="U949" s="31">
        <f t="shared" si="15"/>
        <v>24</v>
      </c>
      <c r="V949" s="25"/>
      <c r="W949" s="33" t="s">
        <v>22</v>
      </c>
      <c r="X949" s="33"/>
      <c r="Y949" s="33"/>
      <c r="Z949" s="33">
        <v>1</v>
      </c>
      <c r="AA949" s="33"/>
    </row>
    <row r="950" spans="1:27" s="70" customFormat="1" ht="45" x14ac:dyDescent="0.2">
      <c r="A950" s="24">
        <v>946</v>
      </c>
      <c r="B950" s="24" t="s">
        <v>2376</v>
      </c>
      <c r="C950" s="25" t="s">
        <v>2375</v>
      </c>
      <c r="D950" s="26" t="s">
        <v>2394</v>
      </c>
      <c r="E950" s="25" t="s">
        <v>2393</v>
      </c>
      <c r="F950" s="25" t="s">
        <v>2392</v>
      </c>
      <c r="G950" s="24"/>
      <c r="H950" s="28" t="s">
        <v>2396</v>
      </c>
      <c r="I950" s="27"/>
      <c r="J950" s="28" t="s">
        <v>2399</v>
      </c>
      <c r="K950" s="27"/>
      <c r="L950" s="25" t="s">
        <v>2405</v>
      </c>
      <c r="M950" s="25" t="s">
        <v>68</v>
      </c>
      <c r="N950" s="25">
        <v>12</v>
      </c>
      <c r="O950" s="25">
        <v>0</v>
      </c>
      <c r="P950" s="25">
        <v>20</v>
      </c>
      <c r="Q950" s="25">
        <v>0</v>
      </c>
      <c r="R950" s="25">
        <v>0</v>
      </c>
      <c r="S950" s="25">
        <v>4</v>
      </c>
      <c r="T950" s="25">
        <v>0</v>
      </c>
      <c r="U950" s="31">
        <f t="shared" si="15"/>
        <v>24</v>
      </c>
      <c r="V950" s="25"/>
      <c r="W950" s="33" t="s">
        <v>22</v>
      </c>
      <c r="X950" s="33"/>
      <c r="Y950" s="33"/>
      <c r="Z950" s="33">
        <v>1</v>
      </c>
      <c r="AA950" s="33"/>
    </row>
    <row r="951" spans="1:27" s="70" customFormat="1" ht="45" x14ac:dyDescent="0.2">
      <c r="A951" s="24">
        <v>947</v>
      </c>
      <c r="B951" s="24" t="s">
        <v>2376</v>
      </c>
      <c r="C951" s="25" t="s">
        <v>2375</v>
      </c>
      <c r="D951" s="26" t="s">
        <v>2394</v>
      </c>
      <c r="E951" s="25" t="s">
        <v>2393</v>
      </c>
      <c r="F951" s="25" t="s">
        <v>2392</v>
      </c>
      <c r="G951" s="24"/>
      <c r="H951" s="28" t="s">
        <v>2396</v>
      </c>
      <c r="I951" s="27"/>
      <c r="J951" s="28" t="s">
        <v>2399</v>
      </c>
      <c r="K951" s="27"/>
      <c r="L951" s="25" t="s">
        <v>2404</v>
      </c>
      <c r="M951" s="25" t="s">
        <v>68</v>
      </c>
      <c r="N951" s="25">
        <v>1</v>
      </c>
      <c r="O951" s="25">
        <v>0</v>
      </c>
      <c r="P951" s="25">
        <v>8</v>
      </c>
      <c r="Q951" s="25">
        <v>0</v>
      </c>
      <c r="R951" s="25">
        <v>0</v>
      </c>
      <c r="S951" s="25">
        <v>2</v>
      </c>
      <c r="T951" s="25">
        <v>0</v>
      </c>
      <c r="U951" s="31">
        <f t="shared" si="15"/>
        <v>10</v>
      </c>
      <c r="V951" s="25"/>
      <c r="W951" s="33" t="s">
        <v>22</v>
      </c>
      <c r="X951" s="33"/>
      <c r="Y951" s="33"/>
      <c r="Z951" s="33">
        <v>1</v>
      </c>
      <c r="AA951" s="33"/>
    </row>
    <row r="952" spans="1:27" s="70" customFormat="1" ht="45" x14ac:dyDescent="0.2">
      <c r="A952" s="24">
        <v>948</v>
      </c>
      <c r="B952" s="24" t="s">
        <v>2376</v>
      </c>
      <c r="C952" s="25" t="s">
        <v>2375</v>
      </c>
      <c r="D952" s="26" t="s">
        <v>2394</v>
      </c>
      <c r="E952" s="25" t="s">
        <v>2393</v>
      </c>
      <c r="F952" s="25" t="s">
        <v>2392</v>
      </c>
      <c r="G952" s="24"/>
      <c r="H952" s="28" t="s">
        <v>2396</v>
      </c>
      <c r="I952" s="27"/>
      <c r="J952" s="28" t="s">
        <v>2399</v>
      </c>
      <c r="K952" s="27"/>
      <c r="L952" s="25" t="s">
        <v>2403</v>
      </c>
      <c r="M952" s="25" t="s">
        <v>68</v>
      </c>
      <c r="N952" s="25">
        <v>6</v>
      </c>
      <c r="O952" s="25">
        <v>0</v>
      </c>
      <c r="P952" s="25">
        <v>8</v>
      </c>
      <c r="Q952" s="25">
        <v>0</v>
      </c>
      <c r="R952" s="25">
        <v>0</v>
      </c>
      <c r="S952" s="25">
        <v>2</v>
      </c>
      <c r="T952" s="25">
        <v>0</v>
      </c>
      <c r="U952" s="31">
        <f t="shared" si="15"/>
        <v>10</v>
      </c>
      <c r="V952" s="25"/>
      <c r="W952" s="33" t="s">
        <v>22</v>
      </c>
      <c r="X952" s="33"/>
      <c r="Y952" s="33"/>
      <c r="Z952" s="33">
        <v>1</v>
      </c>
      <c r="AA952" s="33"/>
    </row>
    <row r="953" spans="1:27" s="70" customFormat="1" ht="45" x14ac:dyDescent="0.2">
      <c r="A953" s="24">
        <v>949</v>
      </c>
      <c r="B953" s="24" t="s">
        <v>2376</v>
      </c>
      <c r="C953" s="25" t="s">
        <v>2375</v>
      </c>
      <c r="D953" s="26" t="s">
        <v>2394</v>
      </c>
      <c r="E953" s="25" t="s">
        <v>2393</v>
      </c>
      <c r="F953" s="25" t="s">
        <v>2392</v>
      </c>
      <c r="G953" s="24"/>
      <c r="H953" s="28" t="s">
        <v>2396</v>
      </c>
      <c r="I953" s="27"/>
      <c r="J953" s="28" t="s">
        <v>2399</v>
      </c>
      <c r="K953" s="27"/>
      <c r="L953" s="25" t="s">
        <v>2402</v>
      </c>
      <c r="M953" s="25" t="s">
        <v>68</v>
      </c>
      <c r="N953" s="25">
        <v>4</v>
      </c>
      <c r="O953" s="25">
        <v>0</v>
      </c>
      <c r="P953" s="25">
        <v>8</v>
      </c>
      <c r="Q953" s="25">
        <v>0</v>
      </c>
      <c r="R953" s="25">
        <v>0</v>
      </c>
      <c r="S953" s="25">
        <v>2</v>
      </c>
      <c r="T953" s="25">
        <v>0</v>
      </c>
      <c r="U953" s="31">
        <f t="shared" si="15"/>
        <v>10</v>
      </c>
      <c r="V953" s="25"/>
      <c r="W953" s="33" t="s">
        <v>22</v>
      </c>
      <c r="X953" s="33"/>
      <c r="Y953" s="33"/>
      <c r="Z953" s="33">
        <v>1</v>
      </c>
      <c r="AA953" s="33"/>
    </row>
    <row r="954" spans="1:27" s="70" customFormat="1" ht="45" x14ac:dyDescent="0.2">
      <c r="A954" s="24">
        <v>950</v>
      </c>
      <c r="B954" s="24" t="s">
        <v>2376</v>
      </c>
      <c r="C954" s="25" t="s">
        <v>2375</v>
      </c>
      <c r="D954" s="26" t="s">
        <v>2394</v>
      </c>
      <c r="E954" s="25" t="s">
        <v>2393</v>
      </c>
      <c r="F954" s="25" t="s">
        <v>2392</v>
      </c>
      <c r="G954" s="24"/>
      <c r="H954" s="28" t="s">
        <v>2396</v>
      </c>
      <c r="I954" s="27"/>
      <c r="J954" s="28" t="s">
        <v>2399</v>
      </c>
      <c r="K954" s="27"/>
      <c r="L954" s="25" t="s">
        <v>2401</v>
      </c>
      <c r="M954" s="25" t="s">
        <v>68</v>
      </c>
      <c r="N954" s="25">
        <v>351</v>
      </c>
      <c r="O954" s="25">
        <v>0</v>
      </c>
      <c r="P954" s="25">
        <v>2.5</v>
      </c>
      <c r="Q954" s="25">
        <v>0</v>
      </c>
      <c r="R954" s="25">
        <v>0</v>
      </c>
      <c r="S954" s="25">
        <v>0.5</v>
      </c>
      <c r="T954" s="25">
        <v>0</v>
      </c>
      <c r="U954" s="31">
        <f t="shared" si="15"/>
        <v>3</v>
      </c>
      <c r="V954" s="25"/>
      <c r="W954" s="33" t="s">
        <v>22</v>
      </c>
      <c r="X954" s="33"/>
      <c r="Y954" s="33"/>
      <c r="Z954" s="33">
        <v>1</v>
      </c>
      <c r="AA954" s="33"/>
    </row>
    <row r="955" spans="1:27" s="70" customFormat="1" ht="45" x14ac:dyDescent="0.2">
      <c r="A955" s="24">
        <v>951</v>
      </c>
      <c r="B955" s="24" t="s">
        <v>2376</v>
      </c>
      <c r="C955" s="25" t="s">
        <v>2375</v>
      </c>
      <c r="D955" s="26" t="s">
        <v>2394</v>
      </c>
      <c r="E955" s="25" t="s">
        <v>2393</v>
      </c>
      <c r="F955" s="25" t="s">
        <v>2392</v>
      </c>
      <c r="G955" s="24"/>
      <c r="H955" s="28" t="s">
        <v>2396</v>
      </c>
      <c r="I955" s="27"/>
      <c r="J955" s="28" t="s">
        <v>2399</v>
      </c>
      <c r="K955" s="27"/>
      <c r="L955" s="25" t="s">
        <v>2400</v>
      </c>
      <c r="M955" s="25" t="s">
        <v>402</v>
      </c>
      <c r="N955" s="25">
        <v>1</v>
      </c>
      <c r="O955" s="25">
        <v>0</v>
      </c>
      <c r="P955" s="25">
        <v>0</v>
      </c>
      <c r="Q955" s="25">
        <v>16</v>
      </c>
      <c r="R955" s="25">
        <v>0</v>
      </c>
      <c r="S955" s="25">
        <v>8</v>
      </c>
      <c r="T955" s="25">
        <v>0</v>
      </c>
      <c r="U955" s="31">
        <f t="shared" si="15"/>
        <v>24</v>
      </c>
      <c r="V955" s="25"/>
      <c r="W955" s="33" t="s">
        <v>22</v>
      </c>
      <c r="X955" s="33"/>
      <c r="Y955" s="33"/>
      <c r="Z955" s="33">
        <v>1</v>
      </c>
      <c r="AA955" s="33"/>
    </row>
    <row r="956" spans="1:27" s="70" customFormat="1" ht="45" x14ac:dyDescent="0.2">
      <c r="A956" s="24">
        <v>952</v>
      </c>
      <c r="B956" s="24" t="s">
        <v>2376</v>
      </c>
      <c r="C956" s="25" t="s">
        <v>2375</v>
      </c>
      <c r="D956" s="26" t="s">
        <v>2394</v>
      </c>
      <c r="E956" s="25" t="s">
        <v>2393</v>
      </c>
      <c r="F956" s="25" t="s">
        <v>2392</v>
      </c>
      <c r="G956" s="24"/>
      <c r="H956" s="28" t="s">
        <v>2396</v>
      </c>
      <c r="I956" s="27"/>
      <c r="J956" s="28" t="s">
        <v>2399</v>
      </c>
      <c r="K956" s="27"/>
      <c r="L956" s="25" t="s">
        <v>2398</v>
      </c>
      <c r="M956" s="25" t="s">
        <v>2397</v>
      </c>
      <c r="N956" s="25">
        <v>16</v>
      </c>
      <c r="O956" s="25">
        <v>0</v>
      </c>
      <c r="P956" s="25">
        <v>0</v>
      </c>
      <c r="Q956" s="25">
        <v>0</v>
      </c>
      <c r="R956" s="25">
        <v>0</v>
      </c>
      <c r="S956" s="25">
        <v>0</v>
      </c>
      <c r="T956" s="25">
        <v>0</v>
      </c>
      <c r="U956" s="31">
        <f t="shared" si="15"/>
        <v>0</v>
      </c>
      <c r="V956" s="25"/>
      <c r="W956" s="33" t="s">
        <v>22</v>
      </c>
      <c r="X956" s="33"/>
      <c r="Y956" s="33"/>
      <c r="Z956" s="33">
        <v>1</v>
      </c>
      <c r="AA956" s="33"/>
    </row>
    <row r="957" spans="1:27" s="70" customFormat="1" ht="45" x14ac:dyDescent="0.2">
      <c r="A957" s="24">
        <v>953</v>
      </c>
      <c r="B957" s="24" t="s">
        <v>2376</v>
      </c>
      <c r="C957" s="25" t="s">
        <v>2375</v>
      </c>
      <c r="D957" s="26" t="s">
        <v>2394</v>
      </c>
      <c r="E957" s="25" t="s">
        <v>2393</v>
      </c>
      <c r="F957" s="25" t="s">
        <v>2392</v>
      </c>
      <c r="G957" s="24"/>
      <c r="H957" s="28" t="s">
        <v>2396</v>
      </c>
      <c r="I957" s="27"/>
      <c r="J957" s="28" t="s">
        <v>2395</v>
      </c>
      <c r="K957" s="27"/>
      <c r="L957" s="25"/>
      <c r="M957" s="25"/>
      <c r="N957" s="25"/>
      <c r="O957" s="25"/>
      <c r="P957" s="25"/>
      <c r="Q957" s="25"/>
      <c r="R957" s="25"/>
      <c r="S957" s="25"/>
      <c r="T957" s="25"/>
      <c r="U957" s="31">
        <f t="shared" si="15"/>
        <v>0</v>
      </c>
      <c r="V957" s="25"/>
      <c r="W957" s="33"/>
      <c r="X957" s="33"/>
      <c r="Y957" s="33"/>
      <c r="Z957" s="33"/>
      <c r="AA957" s="33"/>
    </row>
    <row r="958" spans="1:27" s="70" customFormat="1" ht="22.5" x14ac:dyDescent="0.2">
      <c r="A958" s="24">
        <v>954</v>
      </c>
      <c r="B958" s="24" t="s">
        <v>2376</v>
      </c>
      <c r="C958" s="25" t="s">
        <v>2375</v>
      </c>
      <c r="D958" s="26" t="s">
        <v>2394</v>
      </c>
      <c r="E958" s="25" t="s">
        <v>2393</v>
      </c>
      <c r="F958" s="25" t="s">
        <v>2392</v>
      </c>
      <c r="G958" s="24"/>
      <c r="H958" s="25" t="s">
        <v>2391</v>
      </c>
      <c r="I958" s="27"/>
      <c r="J958" s="25" t="s">
        <v>2391</v>
      </c>
      <c r="K958" s="27"/>
      <c r="L958" s="25"/>
      <c r="M958" s="25"/>
      <c r="N958" s="25"/>
      <c r="O958" s="25"/>
      <c r="P958" s="25"/>
      <c r="Q958" s="25"/>
      <c r="R958" s="25"/>
      <c r="S958" s="25"/>
      <c r="T958" s="25"/>
      <c r="U958" s="31">
        <f t="shared" si="15"/>
        <v>0</v>
      </c>
      <c r="V958" s="25"/>
      <c r="W958" s="33"/>
      <c r="X958" s="33"/>
      <c r="Y958" s="33"/>
      <c r="Z958" s="33"/>
      <c r="AA958" s="33"/>
    </row>
    <row r="959" spans="1:27" s="70" customFormat="1" ht="56.25" x14ac:dyDescent="0.2">
      <c r="A959" s="24">
        <v>955</v>
      </c>
      <c r="B959" s="24" t="s">
        <v>2376</v>
      </c>
      <c r="C959" s="25" t="s">
        <v>2375</v>
      </c>
      <c r="D959" s="26" t="s">
        <v>2374</v>
      </c>
      <c r="E959" s="25" t="s">
        <v>2373</v>
      </c>
      <c r="F959" s="25" t="s">
        <v>2372</v>
      </c>
      <c r="G959" s="24"/>
      <c r="H959" s="25" t="s">
        <v>2389</v>
      </c>
      <c r="I959" s="27"/>
      <c r="J959" s="28" t="s">
        <v>2390</v>
      </c>
      <c r="K959" s="27"/>
      <c r="L959" s="25"/>
      <c r="M959" s="25"/>
      <c r="N959" s="25"/>
      <c r="O959" s="25"/>
      <c r="P959" s="25"/>
      <c r="Q959" s="25"/>
      <c r="R959" s="25"/>
      <c r="S959" s="25"/>
      <c r="T959" s="25"/>
      <c r="U959" s="31">
        <f t="shared" si="15"/>
        <v>0</v>
      </c>
      <c r="V959" s="25"/>
      <c r="W959" s="33"/>
      <c r="X959" s="33"/>
      <c r="Y959" s="33"/>
      <c r="Z959" s="33"/>
      <c r="AA959" s="33"/>
    </row>
    <row r="960" spans="1:27" s="70" customFormat="1" ht="56.25" x14ac:dyDescent="0.2">
      <c r="A960" s="24">
        <v>956</v>
      </c>
      <c r="B960" s="24" t="s">
        <v>2376</v>
      </c>
      <c r="C960" s="25" t="s">
        <v>2375</v>
      </c>
      <c r="D960" s="26" t="s">
        <v>2374</v>
      </c>
      <c r="E960" s="25" t="s">
        <v>2373</v>
      </c>
      <c r="F960" s="25" t="s">
        <v>2372</v>
      </c>
      <c r="G960" s="24"/>
      <c r="H960" s="25" t="s">
        <v>2389</v>
      </c>
      <c r="I960" s="27"/>
      <c r="J960" s="28" t="s">
        <v>2388</v>
      </c>
      <c r="K960" s="27"/>
      <c r="L960" s="25"/>
      <c r="M960" s="25"/>
      <c r="N960" s="25"/>
      <c r="O960" s="25"/>
      <c r="P960" s="25"/>
      <c r="Q960" s="25"/>
      <c r="R960" s="25"/>
      <c r="S960" s="25"/>
      <c r="T960" s="25"/>
      <c r="U960" s="31">
        <f t="shared" si="15"/>
        <v>0</v>
      </c>
      <c r="V960" s="25"/>
      <c r="W960" s="33"/>
      <c r="X960" s="33"/>
      <c r="Y960" s="33"/>
      <c r="Z960" s="33"/>
      <c r="AA960" s="33"/>
    </row>
    <row r="961" spans="1:27" s="70" customFormat="1" ht="22.5" x14ac:dyDescent="0.2">
      <c r="A961" s="24">
        <v>957</v>
      </c>
      <c r="B961" s="24" t="s">
        <v>2376</v>
      </c>
      <c r="C961" s="25" t="s">
        <v>2375</v>
      </c>
      <c r="D961" s="26" t="s">
        <v>2374</v>
      </c>
      <c r="E961" s="25" t="s">
        <v>2373</v>
      </c>
      <c r="F961" s="25" t="s">
        <v>2372</v>
      </c>
      <c r="G961" s="24"/>
      <c r="H961" s="25" t="s">
        <v>2378</v>
      </c>
      <c r="I961" s="27"/>
      <c r="J961" s="28" t="s">
        <v>2383</v>
      </c>
      <c r="K961" s="27"/>
      <c r="L961" s="25" t="s">
        <v>2387</v>
      </c>
      <c r="M961" s="25"/>
      <c r="N961" s="25"/>
      <c r="O961" s="25"/>
      <c r="P961" s="25"/>
      <c r="Q961" s="25"/>
      <c r="R961" s="25"/>
      <c r="S961" s="25"/>
      <c r="T961" s="25"/>
      <c r="U961" s="31">
        <f t="shared" si="15"/>
        <v>0</v>
      </c>
      <c r="V961" s="25"/>
      <c r="W961" s="33"/>
      <c r="X961" s="33"/>
      <c r="Y961" s="33"/>
      <c r="Z961" s="33"/>
      <c r="AA961" s="33"/>
    </row>
    <row r="962" spans="1:27" s="70" customFormat="1" ht="22.5" x14ac:dyDescent="0.2">
      <c r="A962" s="24">
        <v>958</v>
      </c>
      <c r="B962" s="24" t="s">
        <v>2376</v>
      </c>
      <c r="C962" s="25" t="s">
        <v>2375</v>
      </c>
      <c r="D962" s="26" t="s">
        <v>2374</v>
      </c>
      <c r="E962" s="25" t="s">
        <v>2373</v>
      </c>
      <c r="F962" s="25" t="s">
        <v>2372</v>
      </c>
      <c r="G962" s="24"/>
      <c r="H962" s="25" t="s">
        <v>2378</v>
      </c>
      <c r="I962" s="27"/>
      <c r="J962" s="28" t="s">
        <v>2383</v>
      </c>
      <c r="K962" s="27"/>
      <c r="L962" s="25" t="s">
        <v>2386</v>
      </c>
      <c r="M962" s="25"/>
      <c r="N962" s="25"/>
      <c r="O962" s="25"/>
      <c r="P962" s="25"/>
      <c r="Q962" s="25"/>
      <c r="R962" s="25"/>
      <c r="S962" s="25"/>
      <c r="T962" s="25"/>
      <c r="U962" s="31">
        <f t="shared" si="15"/>
        <v>0</v>
      </c>
      <c r="V962" s="25"/>
      <c r="W962" s="33"/>
      <c r="X962" s="33"/>
      <c r="Y962" s="33"/>
      <c r="Z962" s="33"/>
      <c r="AA962" s="33"/>
    </row>
    <row r="963" spans="1:27" s="70" customFormat="1" ht="22.5" x14ac:dyDescent="0.2">
      <c r="A963" s="24">
        <v>959</v>
      </c>
      <c r="B963" s="24" t="s">
        <v>2376</v>
      </c>
      <c r="C963" s="25" t="s">
        <v>2375</v>
      </c>
      <c r="D963" s="26" t="s">
        <v>2374</v>
      </c>
      <c r="E963" s="25" t="s">
        <v>2373</v>
      </c>
      <c r="F963" s="25" t="s">
        <v>2372</v>
      </c>
      <c r="G963" s="24"/>
      <c r="H963" s="25" t="s">
        <v>2378</v>
      </c>
      <c r="I963" s="27"/>
      <c r="J963" s="28" t="s">
        <v>2383</v>
      </c>
      <c r="K963" s="27"/>
      <c r="L963" s="25" t="s">
        <v>2385</v>
      </c>
      <c r="M963" s="25"/>
      <c r="N963" s="25"/>
      <c r="O963" s="25"/>
      <c r="P963" s="25"/>
      <c r="Q963" s="25"/>
      <c r="R963" s="25"/>
      <c r="S963" s="25"/>
      <c r="T963" s="25"/>
      <c r="U963" s="31">
        <f t="shared" si="15"/>
        <v>0</v>
      </c>
      <c r="V963" s="25"/>
      <c r="W963" s="33"/>
      <c r="X963" s="33"/>
      <c r="Y963" s="33"/>
      <c r="Z963" s="33"/>
      <c r="AA963" s="33"/>
    </row>
    <row r="964" spans="1:27" s="70" customFormat="1" ht="22.5" x14ac:dyDescent="0.2">
      <c r="A964" s="24">
        <v>960</v>
      </c>
      <c r="B964" s="24" t="s">
        <v>2376</v>
      </c>
      <c r="C964" s="25" t="s">
        <v>2375</v>
      </c>
      <c r="D964" s="26" t="s">
        <v>2374</v>
      </c>
      <c r="E964" s="25" t="s">
        <v>2373</v>
      </c>
      <c r="F964" s="25" t="s">
        <v>2372</v>
      </c>
      <c r="G964" s="24"/>
      <c r="H964" s="25" t="s">
        <v>2378</v>
      </c>
      <c r="I964" s="27"/>
      <c r="J964" s="28" t="s">
        <v>2383</v>
      </c>
      <c r="K964" s="27"/>
      <c r="L964" s="25" t="s">
        <v>2384</v>
      </c>
      <c r="M964" s="25"/>
      <c r="N964" s="25"/>
      <c r="O964" s="25"/>
      <c r="P964" s="25"/>
      <c r="Q964" s="25"/>
      <c r="R964" s="25"/>
      <c r="S964" s="25"/>
      <c r="T964" s="25"/>
      <c r="U964" s="31">
        <f t="shared" si="15"/>
        <v>0</v>
      </c>
      <c r="V964" s="25"/>
      <c r="W964" s="33"/>
      <c r="X964" s="33"/>
      <c r="Y964" s="33"/>
      <c r="Z964" s="33"/>
      <c r="AA964" s="33"/>
    </row>
    <row r="965" spans="1:27" s="70" customFormat="1" ht="22.5" x14ac:dyDescent="0.2">
      <c r="A965" s="24">
        <v>961</v>
      </c>
      <c r="B965" s="24" t="s">
        <v>2376</v>
      </c>
      <c r="C965" s="25" t="s">
        <v>2375</v>
      </c>
      <c r="D965" s="26" t="s">
        <v>2374</v>
      </c>
      <c r="E965" s="25" t="s">
        <v>2373</v>
      </c>
      <c r="F965" s="25" t="s">
        <v>2372</v>
      </c>
      <c r="G965" s="24"/>
      <c r="H965" s="25" t="s">
        <v>2378</v>
      </c>
      <c r="I965" s="27"/>
      <c r="J965" s="28" t="s">
        <v>2383</v>
      </c>
      <c r="K965" s="27"/>
      <c r="L965" s="25" t="s">
        <v>2382</v>
      </c>
      <c r="M965" s="25"/>
      <c r="N965" s="25"/>
      <c r="O965" s="25"/>
      <c r="P965" s="25"/>
      <c r="Q965" s="25"/>
      <c r="R965" s="25"/>
      <c r="S965" s="25"/>
      <c r="T965" s="25"/>
      <c r="U965" s="31">
        <f t="shared" si="15"/>
        <v>0</v>
      </c>
      <c r="V965" s="25"/>
      <c r="W965" s="33"/>
      <c r="X965" s="33"/>
      <c r="Y965" s="33"/>
      <c r="Z965" s="33"/>
      <c r="AA965" s="33"/>
    </row>
    <row r="966" spans="1:27" s="70" customFormat="1" ht="22.5" x14ac:dyDescent="0.2">
      <c r="A966" s="24">
        <v>962</v>
      </c>
      <c r="B966" s="24" t="s">
        <v>2376</v>
      </c>
      <c r="C966" s="25" t="s">
        <v>2375</v>
      </c>
      <c r="D966" s="26" t="s">
        <v>2374</v>
      </c>
      <c r="E966" s="25" t="s">
        <v>2373</v>
      </c>
      <c r="F966" s="25" t="s">
        <v>2372</v>
      </c>
      <c r="G966" s="24"/>
      <c r="H966" s="25" t="s">
        <v>2378</v>
      </c>
      <c r="I966" s="27"/>
      <c r="J966" s="28" t="s">
        <v>2381</v>
      </c>
      <c r="K966" s="27"/>
      <c r="L966" s="25"/>
      <c r="M966" s="25"/>
      <c r="N966" s="25"/>
      <c r="O966" s="25"/>
      <c r="P966" s="25"/>
      <c r="Q966" s="25"/>
      <c r="R966" s="25"/>
      <c r="S966" s="25"/>
      <c r="T966" s="25"/>
      <c r="U966" s="31">
        <f t="shared" ref="U966:U1029" si="16">SUM(O966:T966)</f>
        <v>0</v>
      </c>
      <c r="V966" s="25"/>
      <c r="W966" s="33"/>
      <c r="X966" s="33"/>
      <c r="Y966" s="33"/>
      <c r="Z966" s="33"/>
      <c r="AA966" s="33"/>
    </row>
    <row r="967" spans="1:27" s="70" customFormat="1" ht="22.5" x14ac:dyDescent="0.2">
      <c r="A967" s="24">
        <v>963</v>
      </c>
      <c r="B967" s="24" t="s">
        <v>2376</v>
      </c>
      <c r="C967" s="25" t="s">
        <v>2375</v>
      </c>
      <c r="D967" s="26" t="s">
        <v>2374</v>
      </c>
      <c r="E967" s="25" t="s">
        <v>2373</v>
      </c>
      <c r="F967" s="25" t="s">
        <v>2372</v>
      </c>
      <c r="G967" s="24"/>
      <c r="H967" s="25" t="s">
        <v>2378</v>
      </c>
      <c r="I967" s="27"/>
      <c r="J967" s="28" t="s">
        <v>2380</v>
      </c>
      <c r="K967" s="27"/>
      <c r="L967" s="25"/>
      <c r="M967" s="25"/>
      <c r="N967" s="25"/>
      <c r="O967" s="25"/>
      <c r="P967" s="25"/>
      <c r="Q967" s="25"/>
      <c r="R967" s="25"/>
      <c r="S967" s="25"/>
      <c r="T967" s="25"/>
      <c r="U967" s="31">
        <f t="shared" si="16"/>
        <v>0</v>
      </c>
      <c r="V967" s="25"/>
      <c r="W967" s="33"/>
      <c r="X967" s="33"/>
      <c r="Y967" s="33"/>
      <c r="Z967" s="33"/>
      <c r="AA967" s="33"/>
    </row>
    <row r="968" spans="1:27" s="70" customFormat="1" ht="33.75" x14ac:dyDescent="0.2">
      <c r="A968" s="24">
        <v>964</v>
      </c>
      <c r="B968" s="24" t="s">
        <v>2376</v>
      </c>
      <c r="C968" s="25" t="s">
        <v>2375</v>
      </c>
      <c r="D968" s="26" t="s">
        <v>2374</v>
      </c>
      <c r="E968" s="25" t="s">
        <v>2373</v>
      </c>
      <c r="F968" s="25" t="s">
        <v>2372</v>
      </c>
      <c r="G968" s="24"/>
      <c r="H968" s="25" t="s">
        <v>2378</v>
      </c>
      <c r="I968" s="27"/>
      <c r="J968" s="28" t="s">
        <v>2379</v>
      </c>
      <c r="K968" s="27"/>
      <c r="L968" s="25"/>
      <c r="M968" s="25"/>
      <c r="N968" s="25"/>
      <c r="O968" s="25"/>
      <c r="P968" s="25"/>
      <c r="Q968" s="25"/>
      <c r="R968" s="25"/>
      <c r="S968" s="25"/>
      <c r="T968" s="25"/>
      <c r="U968" s="31">
        <f t="shared" si="16"/>
        <v>0</v>
      </c>
      <c r="V968" s="25"/>
      <c r="W968" s="33"/>
      <c r="X968" s="33"/>
      <c r="Y968" s="33"/>
      <c r="Z968" s="33"/>
      <c r="AA968" s="33"/>
    </row>
    <row r="969" spans="1:27" s="70" customFormat="1" ht="22.5" x14ac:dyDescent="0.2">
      <c r="A969" s="24">
        <v>965</v>
      </c>
      <c r="B969" s="24" t="s">
        <v>2376</v>
      </c>
      <c r="C969" s="25" t="s">
        <v>2375</v>
      </c>
      <c r="D969" s="26" t="s">
        <v>2374</v>
      </c>
      <c r="E969" s="25" t="s">
        <v>2373</v>
      </c>
      <c r="F969" s="25" t="s">
        <v>2372</v>
      </c>
      <c r="G969" s="24"/>
      <c r="H969" s="25" t="s">
        <v>2378</v>
      </c>
      <c r="I969" s="27"/>
      <c r="J969" s="28" t="s">
        <v>2377</v>
      </c>
      <c r="K969" s="27"/>
      <c r="L969" s="25"/>
      <c r="M969" s="25"/>
      <c r="N969" s="25"/>
      <c r="O969" s="25"/>
      <c r="P969" s="25"/>
      <c r="Q969" s="25"/>
      <c r="R969" s="25"/>
      <c r="S969" s="25"/>
      <c r="T969" s="25"/>
      <c r="U969" s="31">
        <f t="shared" si="16"/>
        <v>0</v>
      </c>
      <c r="V969" s="25"/>
      <c r="W969" s="33"/>
      <c r="X969" s="33"/>
      <c r="Y969" s="33"/>
      <c r="Z969" s="33"/>
      <c r="AA969" s="33"/>
    </row>
    <row r="970" spans="1:27" s="70" customFormat="1" ht="22.5" x14ac:dyDescent="0.2">
      <c r="A970" s="24">
        <v>966</v>
      </c>
      <c r="B970" s="24" t="s">
        <v>2376</v>
      </c>
      <c r="C970" s="25" t="s">
        <v>2375</v>
      </c>
      <c r="D970" s="26" t="s">
        <v>2374</v>
      </c>
      <c r="E970" s="25" t="s">
        <v>2373</v>
      </c>
      <c r="F970" s="25" t="s">
        <v>2372</v>
      </c>
      <c r="G970" s="24"/>
      <c r="H970" s="25" t="s">
        <v>2371</v>
      </c>
      <c r="I970" s="27"/>
      <c r="J970" s="25" t="s">
        <v>2371</v>
      </c>
      <c r="K970" s="27"/>
      <c r="L970" s="25"/>
      <c r="M970" s="25"/>
      <c r="N970" s="25"/>
      <c r="O970" s="25"/>
      <c r="P970" s="25"/>
      <c r="Q970" s="25"/>
      <c r="R970" s="25"/>
      <c r="S970" s="25"/>
      <c r="T970" s="25"/>
      <c r="U970" s="31">
        <f t="shared" si="16"/>
        <v>0</v>
      </c>
      <c r="V970" s="25"/>
      <c r="W970" s="33"/>
      <c r="X970" s="33"/>
      <c r="Y970" s="33"/>
      <c r="Z970" s="33"/>
      <c r="AA970" s="33"/>
    </row>
    <row r="971" spans="1:27" s="70" customFormat="1" ht="33.75" x14ac:dyDescent="0.2">
      <c r="A971" s="24">
        <v>967</v>
      </c>
      <c r="B971" s="24" t="s">
        <v>1991</v>
      </c>
      <c r="C971" s="25" t="s">
        <v>1990</v>
      </c>
      <c r="D971" s="26" t="s">
        <v>2193</v>
      </c>
      <c r="E971" s="25" t="s">
        <v>2192</v>
      </c>
      <c r="F971" s="25" t="s">
        <v>2191</v>
      </c>
      <c r="G971" s="24"/>
      <c r="H971" s="25" t="s">
        <v>2350</v>
      </c>
      <c r="I971" s="27"/>
      <c r="J971" s="28" t="s">
        <v>2370</v>
      </c>
      <c r="K971" s="27"/>
      <c r="L971" s="25"/>
      <c r="M971" s="25"/>
      <c r="N971" s="25"/>
      <c r="O971" s="25"/>
      <c r="P971" s="25"/>
      <c r="Q971" s="25"/>
      <c r="R971" s="25"/>
      <c r="S971" s="25"/>
      <c r="T971" s="25"/>
      <c r="U971" s="31">
        <f t="shared" si="16"/>
        <v>0</v>
      </c>
      <c r="V971" s="25"/>
      <c r="W971" s="33"/>
      <c r="X971" s="33"/>
      <c r="Y971" s="33"/>
      <c r="Z971" s="33"/>
      <c r="AA971" s="33"/>
    </row>
    <row r="972" spans="1:27" s="70" customFormat="1" ht="33.75" x14ac:dyDescent="0.2">
      <c r="A972" s="24">
        <v>968</v>
      </c>
      <c r="B972" s="24" t="s">
        <v>1991</v>
      </c>
      <c r="C972" s="25" t="s">
        <v>1990</v>
      </c>
      <c r="D972" s="26" t="s">
        <v>2193</v>
      </c>
      <c r="E972" s="25" t="s">
        <v>2192</v>
      </c>
      <c r="F972" s="25" t="s">
        <v>2191</v>
      </c>
      <c r="G972" s="24"/>
      <c r="H972" s="25" t="s">
        <v>2350</v>
      </c>
      <c r="I972" s="27"/>
      <c r="J972" s="28" t="s">
        <v>2369</v>
      </c>
      <c r="K972" s="27"/>
      <c r="L972" s="25"/>
      <c r="M972" s="25"/>
      <c r="N972" s="25"/>
      <c r="O972" s="25"/>
      <c r="P972" s="25"/>
      <c r="Q972" s="25"/>
      <c r="R972" s="25"/>
      <c r="S972" s="25"/>
      <c r="T972" s="25"/>
      <c r="U972" s="31">
        <f t="shared" si="16"/>
        <v>0</v>
      </c>
      <c r="V972" s="25"/>
      <c r="W972" s="33"/>
      <c r="X972" s="33"/>
      <c r="Y972" s="33"/>
      <c r="Z972" s="33"/>
      <c r="AA972" s="33"/>
    </row>
    <row r="973" spans="1:27" s="70" customFormat="1" ht="33.75" x14ac:dyDescent="0.2">
      <c r="A973" s="24">
        <v>969</v>
      </c>
      <c r="B973" s="24" t="s">
        <v>1991</v>
      </c>
      <c r="C973" s="25" t="s">
        <v>1990</v>
      </c>
      <c r="D973" s="26" t="s">
        <v>2193</v>
      </c>
      <c r="E973" s="25" t="s">
        <v>2192</v>
      </c>
      <c r="F973" s="25" t="s">
        <v>2191</v>
      </c>
      <c r="G973" s="24"/>
      <c r="H973" s="25" t="s">
        <v>2350</v>
      </c>
      <c r="I973" s="27"/>
      <c r="J973" s="28" t="s">
        <v>2368</v>
      </c>
      <c r="K973" s="27"/>
      <c r="L973" s="25"/>
      <c r="M973" s="25"/>
      <c r="N973" s="25"/>
      <c r="O973" s="25"/>
      <c r="P973" s="25"/>
      <c r="Q973" s="25"/>
      <c r="R973" s="25"/>
      <c r="S973" s="25"/>
      <c r="T973" s="25"/>
      <c r="U973" s="31">
        <f t="shared" si="16"/>
        <v>0</v>
      </c>
      <c r="V973" s="25"/>
      <c r="W973" s="33"/>
      <c r="X973" s="33"/>
      <c r="Y973" s="33"/>
      <c r="Z973" s="33"/>
      <c r="AA973" s="33"/>
    </row>
    <row r="974" spans="1:27" s="70" customFormat="1" ht="45" x14ac:dyDescent="0.2">
      <c r="A974" s="24">
        <v>970</v>
      </c>
      <c r="B974" s="24" t="s">
        <v>1991</v>
      </c>
      <c r="C974" s="25" t="s">
        <v>1990</v>
      </c>
      <c r="D974" s="26" t="s">
        <v>2193</v>
      </c>
      <c r="E974" s="25" t="s">
        <v>2192</v>
      </c>
      <c r="F974" s="25" t="s">
        <v>2191</v>
      </c>
      <c r="G974" s="24"/>
      <c r="H974" s="25" t="s">
        <v>2350</v>
      </c>
      <c r="I974" s="27"/>
      <c r="J974" s="28" t="s">
        <v>2364</v>
      </c>
      <c r="K974" s="27"/>
      <c r="L974" s="25" t="s">
        <v>2367</v>
      </c>
      <c r="M974" s="25" t="s">
        <v>2366</v>
      </c>
      <c r="N974" s="25">
        <v>12</v>
      </c>
      <c r="O974" s="25"/>
      <c r="P974" s="25">
        <v>3</v>
      </c>
      <c r="Q974" s="25"/>
      <c r="R974" s="25">
        <v>0.25</v>
      </c>
      <c r="S974" s="25"/>
      <c r="T974" s="25"/>
      <c r="U974" s="31">
        <f t="shared" si="16"/>
        <v>3.25</v>
      </c>
      <c r="V974" s="25"/>
      <c r="W974" s="33" t="s">
        <v>22</v>
      </c>
      <c r="X974" s="33"/>
      <c r="Y974" s="33"/>
      <c r="Z974" s="33" t="s">
        <v>189</v>
      </c>
      <c r="AA974" s="33"/>
    </row>
    <row r="975" spans="1:27" s="70" customFormat="1" ht="33.75" x14ac:dyDescent="0.2">
      <c r="A975" s="24">
        <v>971</v>
      </c>
      <c r="B975" s="24" t="s">
        <v>1991</v>
      </c>
      <c r="C975" s="25" t="s">
        <v>1990</v>
      </c>
      <c r="D975" s="26" t="s">
        <v>2193</v>
      </c>
      <c r="E975" s="25" t="s">
        <v>2192</v>
      </c>
      <c r="F975" s="25" t="s">
        <v>2191</v>
      </c>
      <c r="G975" s="24"/>
      <c r="H975" s="25" t="s">
        <v>2350</v>
      </c>
      <c r="I975" s="27"/>
      <c r="J975" s="28" t="s">
        <v>2364</v>
      </c>
      <c r="K975" s="27"/>
      <c r="L975" s="25" t="s">
        <v>2365</v>
      </c>
      <c r="M975" s="25" t="s">
        <v>190</v>
      </c>
      <c r="N975" s="25">
        <v>12</v>
      </c>
      <c r="O975" s="25"/>
      <c r="P975" s="25">
        <v>6</v>
      </c>
      <c r="Q975" s="25"/>
      <c r="R975" s="25">
        <v>0.5</v>
      </c>
      <c r="S975" s="25"/>
      <c r="T975" s="25"/>
      <c r="U975" s="31">
        <f t="shared" si="16"/>
        <v>6.5</v>
      </c>
      <c r="V975" s="25"/>
      <c r="W975" s="33" t="s">
        <v>848</v>
      </c>
      <c r="X975" s="33"/>
      <c r="Y975" s="33"/>
      <c r="Z975" s="33" t="s">
        <v>189</v>
      </c>
      <c r="AA975" s="33"/>
    </row>
    <row r="976" spans="1:27" s="70" customFormat="1" ht="33.75" x14ac:dyDescent="0.2">
      <c r="A976" s="24">
        <v>972</v>
      </c>
      <c r="B976" s="24" t="s">
        <v>1991</v>
      </c>
      <c r="C976" s="25" t="s">
        <v>1990</v>
      </c>
      <c r="D976" s="26" t="s">
        <v>2193</v>
      </c>
      <c r="E976" s="25" t="s">
        <v>2192</v>
      </c>
      <c r="F976" s="25" t="s">
        <v>2191</v>
      </c>
      <c r="G976" s="24"/>
      <c r="H976" s="25" t="s">
        <v>2350</v>
      </c>
      <c r="I976" s="27"/>
      <c r="J976" s="28" t="s">
        <v>2364</v>
      </c>
      <c r="K976" s="27"/>
      <c r="L976" s="72"/>
      <c r="M976" s="74"/>
      <c r="N976" s="72"/>
      <c r="O976" s="72"/>
      <c r="P976" s="72"/>
      <c r="Q976" s="72"/>
      <c r="R976" s="72"/>
      <c r="S976" s="72"/>
      <c r="T976" s="72"/>
      <c r="U976" s="31">
        <f t="shared" si="16"/>
        <v>0</v>
      </c>
      <c r="V976" s="72"/>
      <c r="W976" s="34"/>
      <c r="X976" s="34"/>
      <c r="Y976" s="34"/>
      <c r="Z976" s="34"/>
      <c r="AA976" s="34"/>
    </row>
    <row r="977" spans="1:28" s="70" customFormat="1" ht="33.75" x14ac:dyDescent="0.2">
      <c r="A977" s="24">
        <v>973</v>
      </c>
      <c r="B977" s="24" t="s">
        <v>1991</v>
      </c>
      <c r="C977" s="25" t="s">
        <v>1990</v>
      </c>
      <c r="D977" s="26" t="s">
        <v>2193</v>
      </c>
      <c r="E977" s="25" t="s">
        <v>2192</v>
      </c>
      <c r="F977" s="25" t="s">
        <v>2191</v>
      </c>
      <c r="G977" s="24"/>
      <c r="H977" s="25" t="s">
        <v>2350</v>
      </c>
      <c r="I977" s="27"/>
      <c r="J977" s="28" t="s">
        <v>2364</v>
      </c>
      <c r="K977" s="27"/>
      <c r="L977" s="72"/>
      <c r="M977" s="74"/>
      <c r="N977" s="72"/>
      <c r="O977" s="72"/>
      <c r="P977" s="72"/>
      <c r="Q977" s="72"/>
      <c r="R977" s="72"/>
      <c r="S977" s="72"/>
      <c r="T977" s="72"/>
      <c r="U977" s="31">
        <f t="shared" si="16"/>
        <v>0</v>
      </c>
      <c r="V977" s="72"/>
      <c r="W977" s="34"/>
      <c r="X977" s="34"/>
      <c r="Y977" s="34"/>
      <c r="Z977" s="34"/>
      <c r="AA977" s="34"/>
    </row>
    <row r="978" spans="1:28" s="70" customFormat="1" ht="33.75" x14ac:dyDescent="0.2">
      <c r="A978" s="24">
        <v>974</v>
      </c>
      <c r="B978" s="24" t="s">
        <v>1991</v>
      </c>
      <c r="C978" s="25" t="s">
        <v>1990</v>
      </c>
      <c r="D978" s="26" t="s">
        <v>2193</v>
      </c>
      <c r="E978" s="25" t="s">
        <v>2192</v>
      </c>
      <c r="F978" s="25" t="s">
        <v>2191</v>
      </c>
      <c r="G978" s="24"/>
      <c r="H978" s="25" t="s">
        <v>2350</v>
      </c>
      <c r="I978" s="27"/>
      <c r="J978" s="28" t="s">
        <v>2364</v>
      </c>
      <c r="K978" s="27"/>
      <c r="L978" s="72"/>
      <c r="M978" s="74"/>
      <c r="N978" s="72"/>
      <c r="O978" s="72"/>
      <c r="P978" s="72"/>
      <c r="Q978" s="72"/>
      <c r="R978" s="72"/>
      <c r="S978" s="72"/>
      <c r="T978" s="72"/>
      <c r="U978" s="31">
        <f t="shared" si="16"/>
        <v>0</v>
      </c>
      <c r="V978" s="72"/>
      <c r="W978" s="34"/>
      <c r="X978" s="34"/>
      <c r="Y978" s="34"/>
      <c r="Z978" s="34"/>
      <c r="AA978" s="34"/>
    </row>
    <row r="979" spans="1:28" s="70" customFormat="1" ht="33.75" x14ac:dyDescent="0.2">
      <c r="A979" s="24">
        <v>975</v>
      </c>
      <c r="B979" s="24" t="s">
        <v>1991</v>
      </c>
      <c r="C979" s="25" t="s">
        <v>1990</v>
      </c>
      <c r="D979" s="26" t="s">
        <v>2193</v>
      </c>
      <c r="E979" s="25" t="s">
        <v>2192</v>
      </c>
      <c r="F979" s="25" t="s">
        <v>2191</v>
      </c>
      <c r="G979" s="24"/>
      <c r="H979" s="25" t="s">
        <v>2350</v>
      </c>
      <c r="I979" s="27"/>
      <c r="J979" s="28" t="s">
        <v>2360</v>
      </c>
      <c r="K979" s="27"/>
      <c r="L979" s="25" t="s">
        <v>2363</v>
      </c>
      <c r="M979" s="25" t="s">
        <v>190</v>
      </c>
      <c r="N979" s="25">
        <v>327</v>
      </c>
      <c r="O979" s="25"/>
      <c r="P979" s="25">
        <v>6.25E-2</v>
      </c>
      <c r="Q979" s="25"/>
      <c r="R979" s="25"/>
      <c r="S979" s="25"/>
      <c r="T979" s="25"/>
      <c r="U979" s="31">
        <f t="shared" si="16"/>
        <v>6.25E-2</v>
      </c>
      <c r="V979" s="25"/>
      <c r="W979" s="33" t="s">
        <v>22</v>
      </c>
      <c r="X979" s="33"/>
      <c r="Y979" s="33"/>
      <c r="Z979" s="33" t="s">
        <v>189</v>
      </c>
      <c r="AA979" s="33"/>
    </row>
    <row r="980" spans="1:28" s="70" customFormat="1" ht="33.75" x14ac:dyDescent="0.2">
      <c r="A980" s="24">
        <v>976</v>
      </c>
      <c r="B980" s="24" t="s">
        <v>1991</v>
      </c>
      <c r="C980" s="25" t="s">
        <v>1990</v>
      </c>
      <c r="D980" s="26" t="s">
        <v>2193</v>
      </c>
      <c r="E980" s="25" t="s">
        <v>2192</v>
      </c>
      <c r="F980" s="25" t="s">
        <v>2191</v>
      </c>
      <c r="G980" s="24"/>
      <c r="H980" s="25" t="s">
        <v>2350</v>
      </c>
      <c r="I980" s="27"/>
      <c r="J980" s="28" t="s">
        <v>2360</v>
      </c>
      <c r="K980" s="27"/>
      <c r="L980" s="25" t="s">
        <v>2362</v>
      </c>
      <c r="M980" s="25" t="s">
        <v>190</v>
      </c>
      <c r="N980" s="25">
        <v>327</v>
      </c>
      <c r="O980" s="25"/>
      <c r="P980" s="25">
        <v>6.25E-2</v>
      </c>
      <c r="Q980" s="25"/>
      <c r="R980" s="25"/>
      <c r="S980" s="25"/>
      <c r="T980" s="25"/>
      <c r="U980" s="31">
        <f t="shared" si="16"/>
        <v>6.25E-2</v>
      </c>
      <c r="V980" s="25"/>
      <c r="W980" s="33" t="s">
        <v>22</v>
      </c>
      <c r="X980" s="33"/>
      <c r="Y980" s="33"/>
      <c r="Z980" s="33" t="s">
        <v>189</v>
      </c>
      <c r="AA980" s="33"/>
    </row>
    <row r="981" spans="1:28" s="70" customFormat="1" ht="33.75" x14ac:dyDescent="0.2">
      <c r="A981" s="24">
        <v>977</v>
      </c>
      <c r="B981" s="24" t="s">
        <v>1991</v>
      </c>
      <c r="C981" s="25" t="s">
        <v>1990</v>
      </c>
      <c r="D981" s="26" t="s">
        <v>2193</v>
      </c>
      <c r="E981" s="25" t="s">
        <v>2192</v>
      </c>
      <c r="F981" s="25" t="s">
        <v>2191</v>
      </c>
      <c r="G981" s="24"/>
      <c r="H981" s="25" t="s">
        <v>2350</v>
      </c>
      <c r="I981" s="27"/>
      <c r="J981" s="28" t="s">
        <v>2360</v>
      </c>
      <c r="K981" s="27"/>
      <c r="L981" s="25" t="s">
        <v>2361</v>
      </c>
      <c r="M981" s="25" t="s">
        <v>190</v>
      </c>
      <c r="N981" s="25">
        <v>3220</v>
      </c>
      <c r="O981" s="25"/>
      <c r="P981" s="25">
        <v>6.25E-2</v>
      </c>
      <c r="Q981" s="25"/>
      <c r="R981" s="25"/>
      <c r="S981" s="25"/>
      <c r="T981" s="25"/>
      <c r="U981" s="31">
        <f t="shared" si="16"/>
        <v>6.25E-2</v>
      </c>
      <c r="V981" s="25"/>
      <c r="W981" s="33" t="s">
        <v>22</v>
      </c>
      <c r="X981" s="33"/>
      <c r="Y981" s="33"/>
      <c r="Z981" s="33" t="s">
        <v>189</v>
      </c>
      <c r="AA981" s="33"/>
    </row>
    <row r="982" spans="1:28" s="70" customFormat="1" ht="33.75" x14ac:dyDescent="0.2">
      <c r="A982" s="24">
        <v>978</v>
      </c>
      <c r="B982" s="24" t="s">
        <v>1991</v>
      </c>
      <c r="C982" s="25" t="s">
        <v>1990</v>
      </c>
      <c r="D982" s="26" t="s">
        <v>2193</v>
      </c>
      <c r="E982" s="25" t="s">
        <v>2192</v>
      </c>
      <c r="F982" s="25" t="s">
        <v>2191</v>
      </c>
      <c r="G982" s="24"/>
      <c r="H982" s="25" t="s">
        <v>2350</v>
      </c>
      <c r="I982" s="27"/>
      <c r="J982" s="28" t="s">
        <v>2360</v>
      </c>
      <c r="K982" s="27"/>
      <c r="L982" s="25" t="s">
        <v>2359</v>
      </c>
      <c r="M982" s="25" t="s">
        <v>190</v>
      </c>
      <c r="N982" s="25">
        <v>310</v>
      </c>
      <c r="O982" s="25"/>
      <c r="P982" s="25">
        <v>6.25E-2</v>
      </c>
      <c r="Q982" s="25"/>
      <c r="R982" s="25"/>
      <c r="S982" s="25"/>
      <c r="T982" s="25"/>
      <c r="U982" s="31">
        <f t="shared" si="16"/>
        <v>6.25E-2</v>
      </c>
      <c r="V982" s="25"/>
      <c r="W982" s="33" t="s">
        <v>22</v>
      </c>
      <c r="X982" s="33"/>
      <c r="Y982" s="33"/>
      <c r="Z982" s="33" t="s">
        <v>189</v>
      </c>
      <c r="AA982" s="33"/>
    </row>
    <row r="983" spans="1:28" s="70" customFormat="1" ht="33.75" x14ac:dyDescent="0.2">
      <c r="A983" s="24">
        <v>979</v>
      </c>
      <c r="B983" s="24" t="s">
        <v>1991</v>
      </c>
      <c r="C983" s="25" t="s">
        <v>1990</v>
      </c>
      <c r="D983" s="26" t="s">
        <v>2193</v>
      </c>
      <c r="E983" s="25" t="s">
        <v>2192</v>
      </c>
      <c r="F983" s="25" t="s">
        <v>2191</v>
      </c>
      <c r="G983" s="24"/>
      <c r="H983" s="25" t="s">
        <v>2350</v>
      </c>
      <c r="I983" s="27"/>
      <c r="J983" s="28" t="s">
        <v>2358</v>
      </c>
      <c r="K983" s="27"/>
      <c r="L983" s="25"/>
      <c r="M983" s="25"/>
      <c r="N983" s="25"/>
      <c r="O983" s="25"/>
      <c r="P983" s="25"/>
      <c r="Q983" s="25"/>
      <c r="R983" s="25"/>
      <c r="S983" s="25"/>
      <c r="T983" s="25"/>
      <c r="U983" s="31">
        <f t="shared" si="16"/>
        <v>0</v>
      </c>
      <c r="V983" s="25"/>
      <c r="W983" s="33"/>
      <c r="X983" s="33"/>
      <c r="Y983" s="33"/>
      <c r="Z983" s="33"/>
      <c r="AA983" s="33"/>
    </row>
    <row r="984" spans="1:28" s="70" customFormat="1" ht="45" x14ac:dyDescent="0.2">
      <c r="A984" s="24">
        <v>980</v>
      </c>
      <c r="B984" s="24" t="s">
        <v>1991</v>
      </c>
      <c r="C984" s="25" t="s">
        <v>1990</v>
      </c>
      <c r="D984" s="26" t="s">
        <v>2193</v>
      </c>
      <c r="E984" s="25" t="s">
        <v>2192</v>
      </c>
      <c r="F984" s="25" t="s">
        <v>2191</v>
      </c>
      <c r="G984" s="24"/>
      <c r="H984" s="25" t="s">
        <v>2350</v>
      </c>
      <c r="I984" s="27"/>
      <c r="J984" s="28" t="s">
        <v>2355</v>
      </c>
      <c r="K984" s="27"/>
      <c r="L984" s="25" t="s">
        <v>2357</v>
      </c>
      <c r="M984" s="25" t="s">
        <v>2356</v>
      </c>
      <c r="N984" s="25">
        <v>70</v>
      </c>
      <c r="O984" s="25"/>
      <c r="P984" s="25">
        <v>10</v>
      </c>
      <c r="Q984" s="25"/>
      <c r="R984" s="25">
        <v>5</v>
      </c>
      <c r="S984" s="25"/>
      <c r="T984" s="25"/>
      <c r="U984" s="31">
        <f t="shared" si="16"/>
        <v>15</v>
      </c>
      <c r="V984" s="25"/>
      <c r="W984" s="33" t="s">
        <v>2352</v>
      </c>
      <c r="X984" s="33"/>
      <c r="Y984" s="33"/>
      <c r="Z984" s="33"/>
      <c r="AA984" s="33"/>
    </row>
    <row r="985" spans="1:28" s="70" customFormat="1" ht="45" x14ac:dyDescent="0.2">
      <c r="A985" s="24">
        <v>981</v>
      </c>
      <c r="B985" s="24" t="s">
        <v>1991</v>
      </c>
      <c r="C985" s="25" t="s">
        <v>1990</v>
      </c>
      <c r="D985" s="26" t="s">
        <v>2193</v>
      </c>
      <c r="E985" s="25" t="s">
        <v>2192</v>
      </c>
      <c r="F985" s="25" t="s">
        <v>2191</v>
      </c>
      <c r="G985" s="24"/>
      <c r="H985" s="25" t="s">
        <v>2350</v>
      </c>
      <c r="I985" s="27"/>
      <c r="J985" s="28" t="s">
        <v>2355</v>
      </c>
      <c r="K985" s="27"/>
      <c r="L985" s="25" t="s">
        <v>2354</v>
      </c>
      <c r="M985" s="25" t="s">
        <v>2353</v>
      </c>
      <c r="N985" s="25">
        <v>120</v>
      </c>
      <c r="O985" s="25"/>
      <c r="P985" s="25">
        <v>3</v>
      </c>
      <c r="Q985" s="25"/>
      <c r="R985" s="25">
        <v>3</v>
      </c>
      <c r="S985" s="25"/>
      <c r="T985" s="25"/>
      <c r="U985" s="31">
        <f t="shared" si="16"/>
        <v>6</v>
      </c>
      <c r="V985" s="25"/>
      <c r="W985" s="33" t="s">
        <v>2352</v>
      </c>
      <c r="X985" s="33"/>
      <c r="Y985" s="33"/>
      <c r="Z985" s="33"/>
      <c r="AA985" s="33"/>
    </row>
    <row r="986" spans="1:28" s="70" customFormat="1" ht="33.75" x14ac:dyDescent="0.2">
      <c r="A986" s="24">
        <v>982</v>
      </c>
      <c r="B986" s="24" t="s">
        <v>1991</v>
      </c>
      <c r="C986" s="25" t="s">
        <v>1990</v>
      </c>
      <c r="D986" s="26" t="s">
        <v>2193</v>
      </c>
      <c r="E986" s="25" t="s">
        <v>2192</v>
      </c>
      <c r="F986" s="25" t="s">
        <v>2191</v>
      </c>
      <c r="G986" s="24"/>
      <c r="H986" s="25" t="s">
        <v>2350</v>
      </c>
      <c r="I986" s="27"/>
      <c r="J986" s="28" t="s">
        <v>2351</v>
      </c>
      <c r="K986" s="27"/>
      <c r="L986" s="25"/>
      <c r="M986" s="25"/>
      <c r="N986" s="25"/>
      <c r="O986" s="25"/>
      <c r="P986" s="25"/>
      <c r="Q986" s="25"/>
      <c r="R986" s="25"/>
      <c r="S986" s="25"/>
      <c r="T986" s="25"/>
      <c r="U986" s="31">
        <f t="shared" si="16"/>
        <v>0</v>
      </c>
      <c r="V986" s="25"/>
      <c r="W986" s="33"/>
      <c r="X986" s="33"/>
      <c r="Y986" s="33"/>
      <c r="Z986" s="33"/>
      <c r="AA986" s="33"/>
      <c r="AB986" s="70" t="s">
        <v>2151</v>
      </c>
    </row>
    <row r="987" spans="1:28" s="70" customFormat="1" ht="33.75" x14ac:dyDescent="0.2">
      <c r="A987" s="24">
        <v>983</v>
      </c>
      <c r="B987" s="24" t="s">
        <v>1991</v>
      </c>
      <c r="C987" s="25" t="s">
        <v>1990</v>
      </c>
      <c r="D987" s="26" t="s">
        <v>2193</v>
      </c>
      <c r="E987" s="25" t="s">
        <v>2192</v>
      </c>
      <c r="F987" s="25" t="s">
        <v>2191</v>
      </c>
      <c r="G987" s="24"/>
      <c r="H987" s="25" t="s">
        <v>2350</v>
      </c>
      <c r="I987" s="27"/>
      <c r="J987" s="28" t="s">
        <v>2349</v>
      </c>
      <c r="K987" s="27"/>
      <c r="L987" s="25" t="s">
        <v>2348</v>
      </c>
      <c r="M987" s="25" t="s">
        <v>2347</v>
      </c>
      <c r="N987" s="25">
        <v>3</v>
      </c>
      <c r="O987" s="25"/>
      <c r="P987" s="25">
        <v>24</v>
      </c>
      <c r="Q987" s="25"/>
      <c r="R987" s="25">
        <v>36</v>
      </c>
      <c r="S987" s="25"/>
      <c r="T987" s="25">
        <v>2</v>
      </c>
      <c r="U987" s="31">
        <f t="shared" si="16"/>
        <v>62</v>
      </c>
      <c r="V987" s="25"/>
      <c r="W987" s="33" t="s">
        <v>2346</v>
      </c>
      <c r="X987" s="33"/>
      <c r="Y987" s="33"/>
      <c r="Z987" s="33" t="s">
        <v>2289</v>
      </c>
      <c r="AA987" s="33"/>
    </row>
    <row r="988" spans="1:28" s="70" customFormat="1" ht="56.25" x14ac:dyDescent="0.2">
      <c r="A988" s="24">
        <v>984</v>
      </c>
      <c r="B988" s="24" t="s">
        <v>1991</v>
      </c>
      <c r="C988" s="25" t="s">
        <v>1990</v>
      </c>
      <c r="D988" s="26" t="s">
        <v>2193</v>
      </c>
      <c r="E988" s="25" t="s">
        <v>2192</v>
      </c>
      <c r="F988" s="25" t="s">
        <v>2191</v>
      </c>
      <c r="G988" s="24"/>
      <c r="H988" s="25" t="s">
        <v>2282</v>
      </c>
      <c r="I988" s="27"/>
      <c r="J988" s="28" t="s">
        <v>2320</v>
      </c>
      <c r="K988" s="27"/>
      <c r="L988" s="25" t="s">
        <v>2345</v>
      </c>
      <c r="M988" s="25" t="s">
        <v>2293</v>
      </c>
      <c r="N988" s="25">
        <v>54</v>
      </c>
      <c r="O988" s="25"/>
      <c r="P988" s="25">
        <v>6</v>
      </c>
      <c r="Q988" s="25"/>
      <c r="R988" s="25">
        <v>3</v>
      </c>
      <c r="S988" s="25"/>
      <c r="T988" s="25">
        <v>0.3</v>
      </c>
      <c r="U988" s="31">
        <f t="shared" si="16"/>
        <v>9.3000000000000007</v>
      </c>
      <c r="V988" s="25"/>
      <c r="W988" s="33" t="s">
        <v>848</v>
      </c>
      <c r="X988" s="33"/>
      <c r="Y988" s="33"/>
      <c r="Z988" s="33" t="s">
        <v>189</v>
      </c>
      <c r="AA988" s="33"/>
    </row>
    <row r="989" spans="1:28" s="70" customFormat="1" ht="56.25" x14ac:dyDescent="0.2">
      <c r="A989" s="24">
        <v>985</v>
      </c>
      <c r="B989" s="24" t="s">
        <v>1991</v>
      </c>
      <c r="C989" s="25" t="s">
        <v>1990</v>
      </c>
      <c r="D989" s="26" t="s">
        <v>2193</v>
      </c>
      <c r="E989" s="25" t="s">
        <v>2192</v>
      </c>
      <c r="F989" s="25" t="s">
        <v>2191</v>
      </c>
      <c r="G989" s="24"/>
      <c r="H989" s="25" t="s">
        <v>2282</v>
      </c>
      <c r="I989" s="27"/>
      <c r="J989" s="28" t="s">
        <v>2320</v>
      </c>
      <c r="K989" s="27"/>
      <c r="L989" s="25" t="s">
        <v>2344</v>
      </c>
      <c r="M989" s="25" t="s">
        <v>2326</v>
      </c>
      <c r="N989" s="25">
        <v>54</v>
      </c>
      <c r="O989" s="25"/>
      <c r="P989" s="25">
        <v>72</v>
      </c>
      <c r="Q989" s="25"/>
      <c r="R989" s="25">
        <v>18</v>
      </c>
      <c r="S989" s="25"/>
      <c r="T989" s="25">
        <v>0.5</v>
      </c>
      <c r="U989" s="31">
        <f t="shared" si="16"/>
        <v>90.5</v>
      </c>
      <c r="V989" s="25"/>
      <c r="W989" s="33" t="s">
        <v>22</v>
      </c>
      <c r="X989" s="33"/>
      <c r="Y989" s="33"/>
      <c r="Z989" s="33" t="s">
        <v>189</v>
      </c>
      <c r="AA989" s="33"/>
    </row>
    <row r="990" spans="1:28" s="70" customFormat="1" ht="56.25" x14ac:dyDescent="0.2">
      <c r="A990" s="24">
        <v>986</v>
      </c>
      <c r="B990" s="24" t="s">
        <v>1991</v>
      </c>
      <c r="C990" s="25" t="s">
        <v>1990</v>
      </c>
      <c r="D990" s="26" t="s">
        <v>2193</v>
      </c>
      <c r="E990" s="25" t="s">
        <v>2192</v>
      </c>
      <c r="F990" s="25" t="s">
        <v>2191</v>
      </c>
      <c r="G990" s="24"/>
      <c r="H990" s="25" t="s">
        <v>2282</v>
      </c>
      <c r="I990" s="27"/>
      <c r="J990" s="28" t="s">
        <v>2320</v>
      </c>
      <c r="K990" s="27"/>
      <c r="L990" s="25" t="s">
        <v>2343</v>
      </c>
      <c r="M990" s="25" t="s">
        <v>2326</v>
      </c>
      <c r="N990" s="25">
        <v>16</v>
      </c>
      <c r="O990" s="25"/>
      <c r="P990" s="25">
        <v>768</v>
      </c>
      <c r="Q990" s="25"/>
      <c r="R990" s="25">
        <v>480</v>
      </c>
      <c r="S990" s="25"/>
      <c r="T990" s="25">
        <v>6</v>
      </c>
      <c r="U990" s="31">
        <f t="shared" si="16"/>
        <v>1254</v>
      </c>
      <c r="V990" s="25"/>
      <c r="W990" s="33" t="s">
        <v>2342</v>
      </c>
      <c r="X990" s="33"/>
      <c r="Y990" s="33"/>
      <c r="Z990" s="33" t="s">
        <v>189</v>
      </c>
      <c r="AA990" s="33"/>
    </row>
    <row r="991" spans="1:28" s="70" customFormat="1" ht="56.25" x14ac:dyDescent="0.2">
      <c r="A991" s="24">
        <v>987</v>
      </c>
      <c r="B991" s="24" t="s">
        <v>1991</v>
      </c>
      <c r="C991" s="25" t="s">
        <v>1990</v>
      </c>
      <c r="D991" s="26" t="s">
        <v>2193</v>
      </c>
      <c r="E991" s="25" t="s">
        <v>2192</v>
      </c>
      <c r="F991" s="25" t="s">
        <v>2191</v>
      </c>
      <c r="G991" s="24"/>
      <c r="H991" s="25" t="s">
        <v>2282</v>
      </c>
      <c r="I991" s="27"/>
      <c r="J991" s="28" t="s">
        <v>2320</v>
      </c>
      <c r="K991" s="27"/>
      <c r="L991" s="25" t="s">
        <v>2341</v>
      </c>
      <c r="M991" s="25" t="s">
        <v>2283</v>
      </c>
      <c r="N991" s="25">
        <v>12</v>
      </c>
      <c r="O991" s="25"/>
      <c r="P991" s="25">
        <v>80</v>
      </c>
      <c r="Q991" s="25"/>
      <c r="R991" s="25">
        <v>16</v>
      </c>
      <c r="S991" s="25"/>
      <c r="T991" s="25">
        <v>6</v>
      </c>
      <c r="U991" s="31">
        <f t="shared" si="16"/>
        <v>102</v>
      </c>
      <c r="V991" s="25"/>
      <c r="W991" s="33" t="s">
        <v>22</v>
      </c>
      <c r="X991" s="33"/>
      <c r="Y991" s="33"/>
      <c r="Z991" s="33" t="s">
        <v>189</v>
      </c>
      <c r="AA991" s="33"/>
    </row>
    <row r="992" spans="1:28" s="70" customFormat="1" ht="56.25" x14ac:dyDescent="0.2">
      <c r="A992" s="24">
        <v>988</v>
      </c>
      <c r="B992" s="24" t="s">
        <v>1991</v>
      </c>
      <c r="C992" s="25" t="s">
        <v>1990</v>
      </c>
      <c r="D992" s="26" t="s">
        <v>2193</v>
      </c>
      <c r="E992" s="25" t="s">
        <v>2192</v>
      </c>
      <c r="F992" s="25" t="s">
        <v>2191</v>
      </c>
      <c r="G992" s="24"/>
      <c r="H992" s="25" t="s">
        <v>2282</v>
      </c>
      <c r="I992" s="27"/>
      <c r="J992" s="28" t="s">
        <v>2320</v>
      </c>
      <c r="K992" s="27"/>
      <c r="L992" s="25" t="s">
        <v>2340</v>
      </c>
      <c r="M992" s="25" t="s">
        <v>2283</v>
      </c>
      <c r="N992" s="25">
        <v>12</v>
      </c>
      <c r="O992" s="25"/>
      <c r="P992" s="25">
        <v>16</v>
      </c>
      <c r="Q992" s="25"/>
      <c r="R992" s="25">
        <v>16</v>
      </c>
      <c r="S992" s="25"/>
      <c r="T992" s="25">
        <v>4</v>
      </c>
      <c r="U992" s="31">
        <f t="shared" si="16"/>
        <v>36</v>
      </c>
      <c r="V992" s="25"/>
      <c r="W992" s="33" t="s">
        <v>2339</v>
      </c>
      <c r="X992" s="33"/>
      <c r="Y992" s="33"/>
      <c r="Z992" s="33" t="s">
        <v>189</v>
      </c>
      <c r="AA992" s="33"/>
    </row>
    <row r="993" spans="1:27" s="70" customFormat="1" ht="56.25" x14ac:dyDescent="0.2">
      <c r="A993" s="24">
        <v>989</v>
      </c>
      <c r="B993" s="24" t="s">
        <v>1991</v>
      </c>
      <c r="C993" s="25" t="s">
        <v>1990</v>
      </c>
      <c r="D993" s="26" t="s">
        <v>2193</v>
      </c>
      <c r="E993" s="25" t="s">
        <v>2192</v>
      </c>
      <c r="F993" s="25" t="s">
        <v>2191</v>
      </c>
      <c r="G993" s="24"/>
      <c r="H993" s="25" t="s">
        <v>2282</v>
      </c>
      <c r="I993" s="27"/>
      <c r="J993" s="28" t="s">
        <v>2320</v>
      </c>
      <c r="K993" s="27"/>
      <c r="L993" s="25" t="s">
        <v>2338</v>
      </c>
      <c r="M993" s="25" t="s">
        <v>2283</v>
      </c>
      <c r="N993" s="25">
        <v>12</v>
      </c>
      <c r="O993" s="25"/>
      <c r="P993" s="25">
        <v>64</v>
      </c>
      <c r="Q993" s="25"/>
      <c r="R993" s="25">
        <v>8</v>
      </c>
      <c r="S993" s="25"/>
      <c r="T993" s="25">
        <v>4</v>
      </c>
      <c r="U993" s="31">
        <f t="shared" si="16"/>
        <v>76</v>
      </c>
      <c r="V993" s="25"/>
      <c r="W993" s="33" t="s">
        <v>22</v>
      </c>
      <c r="X993" s="33"/>
      <c r="Y993" s="33"/>
      <c r="Z993" s="33" t="s">
        <v>189</v>
      </c>
      <c r="AA993" s="33"/>
    </row>
    <row r="994" spans="1:27" s="70" customFormat="1" ht="56.25" x14ac:dyDescent="0.2">
      <c r="A994" s="24">
        <v>990</v>
      </c>
      <c r="B994" s="24" t="s">
        <v>1991</v>
      </c>
      <c r="C994" s="25" t="s">
        <v>1990</v>
      </c>
      <c r="D994" s="26" t="s">
        <v>2193</v>
      </c>
      <c r="E994" s="25" t="s">
        <v>2192</v>
      </c>
      <c r="F994" s="25" t="s">
        <v>2191</v>
      </c>
      <c r="G994" s="24"/>
      <c r="H994" s="25" t="s">
        <v>2282</v>
      </c>
      <c r="I994" s="27"/>
      <c r="J994" s="28" t="s">
        <v>2320</v>
      </c>
      <c r="K994" s="27"/>
      <c r="L994" s="25" t="s">
        <v>2337</v>
      </c>
      <c r="M994" s="25" t="s">
        <v>2283</v>
      </c>
      <c r="N994" s="25">
        <v>12</v>
      </c>
      <c r="O994" s="25"/>
      <c r="P994" s="25">
        <v>80</v>
      </c>
      <c r="Q994" s="25"/>
      <c r="R994" s="25">
        <v>24</v>
      </c>
      <c r="S994" s="25"/>
      <c r="T994" s="25">
        <v>2</v>
      </c>
      <c r="U994" s="31">
        <f t="shared" si="16"/>
        <v>106</v>
      </c>
      <c r="V994" s="25"/>
      <c r="W994" s="33" t="s">
        <v>2278</v>
      </c>
      <c r="X994" s="33"/>
      <c r="Y994" s="33"/>
      <c r="Z994" s="33" t="s">
        <v>2000</v>
      </c>
      <c r="AA994" s="33"/>
    </row>
    <row r="995" spans="1:27" s="70" customFormat="1" ht="56.25" x14ac:dyDescent="0.2">
      <c r="A995" s="24">
        <v>991</v>
      </c>
      <c r="B995" s="24" t="s">
        <v>1991</v>
      </c>
      <c r="C995" s="25" t="s">
        <v>1990</v>
      </c>
      <c r="D995" s="26" t="s">
        <v>2193</v>
      </c>
      <c r="E995" s="25" t="s">
        <v>2192</v>
      </c>
      <c r="F995" s="25" t="s">
        <v>2191</v>
      </c>
      <c r="G995" s="24"/>
      <c r="H995" s="25" t="s">
        <v>2282</v>
      </c>
      <c r="I995" s="27"/>
      <c r="J995" s="28" t="s">
        <v>2320</v>
      </c>
      <c r="K995" s="27"/>
      <c r="L995" s="25" t="s">
        <v>2336</v>
      </c>
      <c r="M995" s="25" t="s">
        <v>2283</v>
      </c>
      <c r="N995" s="25">
        <v>12</v>
      </c>
      <c r="O995" s="25"/>
      <c r="P995" s="25">
        <v>32</v>
      </c>
      <c r="Q995" s="25"/>
      <c r="R995" s="25">
        <v>8</v>
      </c>
      <c r="S995" s="25"/>
      <c r="T995" s="25">
        <v>0.5</v>
      </c>
      <c r="U995" s="31">
        <f t="shared" si="16"/>
        <v>40.5</v>
      </c>
      <c r="V995" s="25"/>
      <c r="W995" s="33" t="s">
        <v>2278</v>
      </c>
      <c r="X995" s="33"/>
      <c r="Y995" s="33"/>
      <c r="Z995" s="33" t="s">
        <v>189</v>
      </c>
      <c r="AA995" s="33"/>
    </row>
    <row r="996" spans="1:27" s="70" customFormat="1" ht="56.25" x14ac:dyDescent="0.2">
      <c r="A996" s="24">
        <v>992</v>
      </c>
      <c r="B996" s="24" t="s">
        <v>1991</v>
      </c>
      <c r="C996" s="25" t="s">
        <v>1990</v>
      </c>
      <c r="D996" s="26" t="s">
        <v>2193</v>
      </c>
      <c r="E996" s="25" t="s">
        <v>2192</v>
      </c>
      <c r="F996" s="25" t="s">
        <v>2191</v>
      </c>
      <c r="G996" s="24"/>
      <c r="H996" s="25" t="s">
        <v>2282</v>
      </c>
      <c r="I996" s="27"/>
      <c r="J996" s="28" t="s">
        <v>2320</v>
      </c>
      <c r="K996" s="27"/>
      <c r="L996" s="25" t="s">
        <v>2335</v>
      </c>
      <c r="M996" s="25" t="s">
        <v>2283</v>
      </c>
      <c r="N996" s="25">
        <v>12</v>
      </c>
      <c r="O996" s="25"/>
      <c r="P996" s="25">
        <v>80</v>
      </c>
      <c r="Q996" s="25"/>
      <c r="R996" s="25">
        <v>24</v>
      </c>
      <c r="S996" s="25"/>
      <c r="T996" s="25">
        <v>2</v>
      </c>
      <c r="U996" s="31">
        <f t="shared" si="16"/>
        <v>106</v>
      </c>
      <c r="V996" s="25"/>
      <c r="W996" s="33" t="s">
        <v>22</v>
      </c>
      <c r="X996" s="33"/>
      <c r="Y996" s="33"/>
      <c r="Z996" s="33" t="s">
        <v>189</v>
      </c>
      <c r="AA996" s="33"/>
    </row>
    <row r="997" spans="1:27" s="70" customFormat="1" ht="56.25" x14ac:dyDescent="0.2">
      <c r="A997" s="24">
        <v>993</v>
      </c>
      <c r="B997" s="24" t="s">
        <v>1991</v>
      </c>
      <c r="C997" s="25" t="s">
        <v>1990</v>
      </c>
      <c r="D997" s="26" t="s">
        <v>2193</v>
      </c>
      <c r="E997" s="25" t="s">
        <v>2192</v>
      </c>
      <c r="F997" s="25" t="s">
        <v>2191</v>
      </c>
      <c r="G997" s="24"/>
      <c r="H997" s="25" t="s">
        <v>2282</v>
      </c>
      <c r="I997" s="27"/>
      <c r="J997" s="28" t="s">
        <v>2320</v>
      </c>
      <c r="K997" s="27"/>
      <c r="L997" s="25" t="s">
        <v>2334</v>
      </c>
      <c r="M997" s="25" t="s">
        <v>2283</v>
      </c>
      <c r="N997" s="25">
        <v>480</v>
      </c>
      <c r="O997" s="25"/>
      <c r="P997" s="25">
        <v>6</v>
      </c>
      <c r="Q997" s="25"/>
      <c r="R997" s="25">
        <v>2</v>
      </c>
      <c r="S997" s="25"/>
      <c r="T997" s="25">
        <v>0.5</v>
      </c>
      <c r="U997" s="31">
        <f t="shared" si="16"/>
        <v>8.5</v>
      </c>
      <c r="V997" s="25"/>
      <c r="W997" s="33" t="s">
        <v>22</v>
      </c>
      <c r="X997" s="33"/>
      <c r="Y997" s="33"/>
      <c r="Z997" s="33" t="s">
        <v>189</v>
      </c>
      <c r="AA997" s="33"/>
    </row>
    <row r="998" spans="1:27" s="70" customFormat="1" ht="56.25" x14ac:dyDescent="0.2">
      <c r="A998" s="24">
        <v>994</v>
      </c>
      <c r="B998" s="24" t="s">
        <v>1991</v>
      </c>
      <c r="C998" s="25" t="s">
        <v>1990</v>
      </c>
      <c r="D998" s="26" t="s">
        <v>2193</v>
      </c>
      <c r="E998" s="25" t="s">
        <v>2192</v>
      </c>
      <c r="F998" s="25" t="s">
        <v>2191</v>
      </c>
      <c r="G998" s="24"/>
      <c r="H998" s="25" t="s">
        <v>2282</v>
      </c>
      <c r="I998" s="27"/>
      <c r="J998" s="28" t="s">
        <v>2320</v>
      </c>
      <c r="K998" s="27"/>
      <c r="L998" s="25" t="s">
        <v>2333</v>
      </c>
      <c r="M998" s="25" t="s">
        <v>2283</v>
      </c>
      <c r="N998" s="25">
        <v>12</v>
      </c>
      <c r="O998" s="25"/>
      <c r="P998" s="25">
        <v>0.2</v>
      </c>
      <c r="Q998" s="25"/>
      <c r="R998" s="25">
        <v>0.2</v>
      </c>
      <c r="S998" s="25"/>
      <c r="T998" s="25"/>
      <c r="U998" s="31">
        <f t="shared" si="16"/>
        <v>0.4</v>
      </c>
      <c r="V998" s="25"/>
      <c r="W998" s="33" t="s">
        <v>22</v>
      </c>
      <c r="X998" s="33"/>
      <c r="Y998" s="33"/>
      <c r="Z998" s="33" t="s">
        <v>189</v>
      </c>
      <c r="AA998" s="33"/>
    </row>
    <row r="999" spans="1:27" s="70" customFormat="1" ht="56.25" x14ac:dyDescent="0.2">
      <c r="A999" s="24">
        <v>995</v>
      </c>
      <c r="B999" s="24" t="s">
        <v>1991</v>
      </c>
      <c r="C999" s="25" t="s">
        <v>1990</v>
      </c>
      <c r="D999" s="26" t="s">
        <v>2193</v>
      </c>
      <c r="E999" s="25" t="s">
        <v>2192</v>
      </c>
      <c r="F999" s="25" t="s">
        <v>2191</v>
      </c>
      <c r="G999" s="24"/>
      <c r="H999" s="25" t="s">
        <v>2282</v>
      </c>
      <c r="I999" s="27"/>
      <c r="J999" s="28" t="s">
        <v>2320</v>
      </c>
      <c r="K999" s="27"/>
      <c r="L999" s="25" t="s">
        <v>2332</v>
      </c>
      <c r="M999" s="25" t="s">
        <v>2283</v>
      </c>
      <c r="N999" s="25">
        <v>12</v>
      </c>
      <c r="O999" s="25"/>
      <c r="P999" s="25">
        <v>240</v>
      </c>
      <c r="Q999" s="25"/>
      <c r="R999" s="25">
        <v>48</v>
      </c>
      <c r="S999" s="25"/>
      <c r="T999" s="25">
        <v>2</v>
      </c>
      <c r="U999" s="31">
        <f t="shared" si="16"/>
        <v>290</v>
      </c>
      <c r="V999" s="25"/>
      <c r="W999" s="33" t="s">
        <v>22</v>
      </c>
      <c r="X999" s="33"/>
      <c r="Y999" s="33"/>
      <c r="Z999" s="33" t="s">
        <v>189</v>
      </c>
      <c r="AA999" s="33"/>
    </row>
    <row r="1000" spans="1:27" s="70" customFormat="1" ht="56.25" x14ac:dyDescent="0.2">
      <c r="A1000" s="24">
        <v>996</v>
      </c>
      <c r="B1000" s="24" t="s">
        <v>1991</v>
      </c>
      <c r="C1000" s="25" t="s">
        <v>1990</v>
      </c>
      <c r="D1000" s="26" t="s">
        <v>2193</v>
      </c>
      <c r="E1000" s="25" t="s">
        <v>2192</v>
      </c>
      <c r="F1000" s="25" t="s">
        <v>2191</v>
      </c>
      <c r="G1000" s="24"/>
      <c r="H1000" s="25" t="s">
        <v>2282</v>
      </c>
      <c r="I1000" s="27"/>
      <c r="J1000" s="28" t="s">
        <v>2320</v>
      </c>
      <c r="K1000" s="27"/>
      <c r="L1000" s="25" t="s">
        <v>2331</v>
      </c>
      <c r="M1000" s="25" t="s">
        <v>2326</v>
      </c>
      <c r="N1000" s="25">
        <v>54</v>
      </c>
      <c r="O1000" s="25"/>
      <c r="P1000" s="25">
        <v>192</v>
      </c>
      <c r="Q1000" s="25"/>
      <c r="R1000" s="25">
        <v>12</v>
      </c>
      <c r="S1000" s="25"/>
      <c r="T1000" s="25">
        <v>0.5</v>
      </c>
      <c r="U1000" s="31">
        <f t="shared" si="16"/>
        <v>204.5</v>
      </c>
      <c r="V1000" s="25"/>
      <c r="W1000" s="33" t="s">
        <v>2329</v>
      </c>
      <c r="X1000" s="33"/>
      <c r="Y1000" s="33"/>
      <c r="Z1000" s="33" t="s">
        <v>189</v>
      </c>
      <c r="AA1000" s="33"/>
    </row>
    <row r="1001" spans="1:27" s="70" customFormat="1" ht="56.25" x14ac:dyDescent="0.2">
      <c r="A1001" s="24">
        <v>997</v>
      </c>
      <c r="B1001" s="24" t="s">
        <v>1991</v>
      </c>
      <c r="C1001" s="25" t="s">
        <v>1990</v>
      </c>
      <c r="D1001" s="26" t="s">
        <v>2193</v>
      </c>
      <c r="E1001" s="25" t="s">
        <v>2192</v>
      </c>
      <c r="F1001" s="25" t="s">
        <v>2191</v>
      </c>
      <c r="G1001" s="24"/>
      <c r="H1001" s="25" t="s">
        <v>2282</v>
      </c>
      <c r="I1001" s="27"/>
      <c r="J1001" s="28" t="s">
        <v>2320</v>
      </c>
      <c r="K1001" s="27"/>
      <c r="L1001" s="25" t="s">
        <v>2330</v>
      </c>
      <c r="M1001" s="25" t="s">
        <v>2326</v>
      </c>
      <c r="N1001" s="25">
        <v>54</v>
      </c>
      <c r="O1001" s="25"/>
      <c r="P1001" s="25">
        <v>9.6000000000000014</v>
      </c>
      <c r="Q1001" s="25"/>
      <c r="R1001" s="25">
        <v>4.8000000000000007</v>
      </c>
      <c r="S1001" s="25"/>
      <c r="T1001" s="25">
        <v>2.88</v>
      </c>
      <c r="U1001" s="31">
        <f t="shared" si="16"/>
        <v>17.28</v>
      </c>
      <c r="V1001" s="25"/>
      <c r="W1001" s="33" t="s">
        <v>2329</v>
      </c>
      <c r="X1001" s="33"/>
      <c r="Y1001" s="33"/>
      <c r="Z1001" s="33" t="s">
        <v>189</v>
      </c>
      <c r="AA1001" s="33"/>
    </row>
    <row r="1002" spans="1:27" s="70" customFormat="1" ht="56.25" x14ac:dyDescent="0.2">
      <c r="A1002" s="24">
        <v>998</v>
      </c>
      <c r="B1002" s="24" t="s">
        <v>1991</v>
      </c>
      <c r="C1002" s="25" t="s">
        <v>1990</v>
      </c>
      <c r="D1002" s="26" t="s">
        <v>2193</v>
      </c>
      <c r="E1002" s="25" t="s">
        <v>2192</v>
      </c>
      <c r="F1002" s="25" t="s">
        <v>2191</v>
      </c>
      <c r="G1002" s="24"/>
      <c r="H1002" s="25" t="s">
        <v>2282</v>
      </c>
      <c r="I1002" s="27"/>
      <c r="J1002" s="28" t="s">
        <v>2320</v>
      </c>
      <c r="K1002" s="27"/>
      <c r="L1002" s="25" t="s">
        <v>2328</v>
      </c>
      <c r="M1002" s="25" t="s">
        <v>2283</v>
      </c>
      <c r="N1002" s="25">
        <v>4</v>
      </c>
      <c r="O1002" s="25"/>
      <c r="P1002" s="25">
        <v>40</v>
      </c>
      <c r="Q1002" s="25"/>
      <c r="R1002" s="25">
        <v>12</v>
      </c>
      <c r="S1002" s="25"/>
      <c r="T1002" s="25">
        <v>2</v>
      </c>
      <c r="U1002" s="31">
        <f t="shared" si="16"/>
        <v>54</v>
      </c>
      <c r="V1002" s="25"/>
      <c r="W1002" s="33" t="s">
        <v>22</v>
      </c>
      <c r="X1002" s="33"/>
      <c r="Y1002" s="33"/>
      <c r="Z1002" s="33" t="s">
        <v>189</v>
      </c>
      <c r="AA1002" s="33"/>
    </row>
    <row r="1003" spans="1:27" s="70" customFormat="1" ht="56.25" x14ac:dyDescent="0.2">
      <c r="A1003" s="24">
        <v>999</v>
      </c>
      <c r="B1003" s="24" t="s">
        <v>1991</v>
      </c>
      <c r="C1003" s="25" t="s">
        <v>1990</v>
      </c>
      <c r="D1003" s="26" t="s">
        <v>2193</v>
      </c>
      <c r="E1003" s="25" t="s">
        <v>2192</v>
      </c>
      <c r="F1003" s="25" t="s">
        <v>2191</v>
      </c>
      <c r="G1003" s="24"/>
      <c r="H1003" s="25" t="s">
        <v>2282</v>
      </c>
      <c r="I1003" s="27"/>
      <c r="J1003" s="28" t="s">
        <v>2320</v>
      </c>
      <c r="K1003" s="27"/>
      <c r="L1003" s="25" t="s">
        <v>2327</v>
      </c>
      <c r="M1003" s="25" t="s">
        <v>2326</v>
      </c>
      <c r="N1003" s="25">
        <v>17</v>
      </c>
      <c r="O1003" s="25"/>
      <c r="P1003" s="25">
        <v>128</v>
      </c>
      <c r="Q1003" s="25"/>
      <c r="R1003" s="25">
        <v>16</v>
      </c>
      <c r="S1003" s="25"/>
      <c r="T1003" s="25">
        <v>1</v>
      </c>
      <c r="U1003" s="31">
        <f t="shared" si="16"/>
        <v>145</v>
      </c>
      <c r="V1003" s="25"/>
      <c r="W1003" s="33" t="s">
        <v>2278</v>
      </c>
      <c r="X1003" s="33"/>
      <c r="Y1003" s="33"/>
      <c r="Z1003" s="33" t="s">
        <v>189</v>
      </c>
      <c r="AA1003" s="33"/>
    </row>
    <row r="1004" spans="1:27" s="70" customFormat="1" ht="56.25" x14ac:dyDescent="0.2">
      <c r="A1004" s="24">
        <v>1000</v>
      </c>
      <c r="B1004" s="24" t="s">
        <v>1991</v>
      </c>
      <c r="C1004" s="25" t="s">
        <v>1990</v>
      </c>
      <c r="D1004" s="26" t="s">
        <v>2193</v>
      </c>
      <c r="E1004" s="25" t="s">
        <v>2192</v>
      </c>
      <c r="F1004" s="25" t="s">
        <v>2191</v>
      </c>
      <c r="G1004" s="24"/>
      <c r="H1004" s="25" t="s">
        <v>2282</v>
      </c>
      <c r="I1004" s="27"/>
      <c r="J1004" s="28" t="s">
        <v>2320</v>
      </c>
      <c r="K1004" s="27"/>
      <c r="L1004" s="25" t="s">
        <v>2325</v>
      </c>
      <c r="M1004" s="25" t="s">
        <v>2283</v>
      </c>
      <c r="N1004" s="25">
        <v>4</v>
      </c>
      <c r="O1004" s="25"/>
      <c r="P1004" s="25">
        <v>8</v>
      </c>
      <c r="Q1004" s="25"/>
      <c r="R1004" s="25">
        <v>8</v>
      </c>
      <c r="S1004" s="25"/>
      <c r="T1004" s="25">
        <v>1</v>
      </c>
      <c r="U1004" s="31">
        <f t="shared" si="16"/>
        <v>17</v>
      </c>
      <c r="V1004" s="25"/>
      <c r="W1004" s="33" t="s">
        <v>22</v>
      </c>
      <c r="X1004" s="33"/>
      <c r="Y1004" s="33"/>
      <c r="Z1004" s="33" t="s">
        <v>189</v>
      </c>
      <c r="AA1004" s="33"/>
    </row>
    <row r="1005" spans="1:27" s="70" customFormat="1" ht="56.25" x14ac:dyDescent="0.2">
      <c r="A1005" s="24">
        <v>1001</v>
      </c>
      <c r="B1005" s="24" t="s">
        <v>1991</v>
      </c>
      <c r="C1005" s="25" t="s">
        <v>1990</v>
      </c>
      <c r="D1005" s="26" t="s">
        <v>2193</v>
      </c>
      <c r="E1005" s="25" t="s">
        <v>2192</v>
      </c>
      <c r="F1005" s="25" t="s">
        <v>2191</v>
      </c>
      <c r="G1005" s="24"/>
      <c r="H1005" s="25" t="s">
        <v>2282</v>
      </c>
      <c r="I1005" s="27"/>
      <c r="J1005" s="28" t="s">
        <v>2320</v>
      </c>
      <c r="K1005" s="27"/>
      <c r="L1005" s="25" t="s">
        <v>2324</v>
      </c>
      <c r="M1005" s="25" t="s">
        <v>2283</v>
      </c>
      <c r="N1005" s="25">
        <v>1</v>
      </c>
      <c r="O1005" s="25"/>
      <c r="P1005" s="25">
        <v>24</v>
      </c>
      <c r="Q1005" s="25"/>
      <c r="R1005" s="25">
        <v>12</v>
      </c>
      <c r="S1005" s="25"/>
      <c r="T1005" s="25">
        <v>1</v>
      </c>
      <c r="U1005" s="31">
        <f t="shared" si="16"/>
        <v>37</v>
      </c>
      <c r="V1005" s="25"/>
      <c r="W1005" s="33" t="s">
        <v>2278</v>
      </c>
      <c r="X1005" s="33"/>
      <c r="Y1005" s="33"/>
      <c r="Z1005" s="33" t="s">
        <v>189</v>
      </c>
      <c r="AA1005" s="33"/>
    </row>
    <row r="1006" spans="1:27" s="70" customFormat="1" ht="56.25" x14ac:dyDescent="0.2">
      <c r="A1006" s="24">
        <v>1002</v>
      </c>
      <c r="B1006" s="24" t="s">
        <v>1991</v>
      </c>
      <c r="C1006" s="25" t="s">
        <v>1990</v>
      </c>
      <c r="D1006" s="26" t="s">
        <v>2193</v>
      </c>
      <c r="E1006" s="25" t="s">
        <v>2192</v>
      </c>
      <c r="F1006" s="25" t="s">
        <v>2191</v>
      </c>
      <c r="G1006" s="24"/>
      <c r="H1006" s="25" t="s">
        <v>2282</v>
      </c>
      <c r="I1006" s="27"/>
      <c r="J1006" s="28" t="s">
        <v>2320</v>
      </c>
      <c r="K1006" s="27"/>
      <c r="L1006" s="25" t="s">
        <v>2323</v>
      </c>
      <c r="M1006" s="25" t="s">
        <v>265</v>
      </c>
      <c r="N1006" s="25">
        <v>5</v>
      </c>
      <c r="O1006" s="25"/>
      <c r="P1006" s="25">
        <v>4</v>
      </c>
      <c r="Q1006" s="25"/>
      <c r="R1006" s="25">
        <v>1</v>
      </c>
      <c r="S1006" s="25"/>
      <c r="T1006" s="25">
        <v>0.1</v>
      </c>
      <c r="U1006" s="31">
        <f t="shared" si="16"/>
        <v>5.0999999999999996</v>
      </c>
      <c r="V1006" s="25"/>
      <c r="W1006" s="33" t="s">
        <v>2322</v>
      </c>
      <c r="X1006" s="33"/>
      <c r="Y1006" s="33"/>
      <c r="Z1006" s="33" t="s">
        <v>2321</v>
      </c>
      <c r="AA1006" s="33"/>
    </row>
    <row r="1007" spans="1:27" s="70" customFormat="1" ht="56.25" x14ac:dyDescent="0.2">
      <c r="A1007" s="24">
        <v>1003</v>
      </c>
      <c r="B1007" s="24" t="s">
        <v>1991</v>
      </c>
      <c r="C1007" s="25" t="s">
        <v>1990</v>
      </c>
      <c r="D1007" s="26" t="s">
        <v>2193</v>
      </c>
      <c r="E1007" s="25" t="s">
        <v>2192</v>
      </c>
      <c r="F1007" s="25" t="s">
        <v>2191</v>
      </c>
      <c r="G1007" s="24"/>
      <c r="H1007" s="25" t="s">
        <v>2282</v>
      </c>
      <c r="I1007" s="27"/>
      <c r="J1007" s="28" t="s">
        <v>2320</v>
      </c>
      <c r="K1007" s="27"/>
      <c r="L1007" s="25" t="s">
        <v>2319</v>
      </c>
      <c r="M1007" s="25" t="s">
        <v>2283</v>
      </c>
      <c r="N1007" s="25">
        <v>4</v>
      </c>
      <c r="O1007" s="25"/>
      <c r="P1007" s="25">
        <v>16</v>
      </c>
      <c r="Q1007" s="25"/>
      <c r="R1007" s="25">
        <v>4</v>
      </c>
      <c r="S1007" s="25"/>
      <c r="T1007" s="25">
        <v>0.5</v>
      </c>
      <c r="U1007" s="31">
        <f t="shared" si="16"/>
        <v>20.5</v>
      </c>
      <c r="V1007" s="25"/>
      <c r="W1007" s="33" t="s">
        <v>2318</v>
      </c>
      <c r="X1007" s="33"/>
      <c r="Y1007" s="33"/>
      <c r="Z1007" s="33" t="s">
        <v>59</v>
      </c>
      <c r="AA1007" s="33"/>
    </row>
    <row r="1008" spans="1:27" s="70" customFormat="1" ht="56.25" x14ac:dyDescent="0.2">
      <c r="A1008" s="24">
        <v>1004</v>
      </c>
      <c r="B1008" s="24" t="s">
        <v>1991</v>
      </c>
      <c r="C1008" s="25" t="s">
        <v>1990</v>
      </c>
      <c r="D1008" s="26" t="s">
        <v>2193</v>
      </c>
      <c r="E1008" s="25" t="s">
        <v>2192</v>
      </c>
      <c r="F1008" s="25" t="s">
        <v>2191</v>
      </c>
      <c r="G1008" s="24"/>
      <c r="H1008" s="25" t="s">
        <v>2282</v>
      </c>
      <c r="I1008" s="27"/>
      <c r="J1008" s="28" t="s">
        <v>2316</v>
      </c>
      <c r="K1008" s="27"/>
      <c r="L1008" s="25" t="s">
        <v>2317</v>
      </c>
      <c r="M1008" s="25" t="s">
        <v>2301</v>
      </c>
      <c r="N1008" s="25">
        <v>4</v>
      </c>
      <c r="O1008" s="25"/>
      <c r="P1008" s="25">
        <v>64</v>
      </c>
      <c r="Q1008" s="25"/>
      <c r="R1008" s="25">
        <v>32</v>
      </c>
      <c r="S1008" s="25"/>
      <c r="T1008" s="25">
        <v>2</v>
      </c>
      <c r="U1008" s="31">
        <f t="shared" si="16"/>
        <v>98</v>
      </c>
      <c r="V1008" s="25"/>
      <c r="W1008" s="33" t="s">
        <v>22</v>
      </c>
      <c r="X1008" s="33"/>
      <c r="Y1008" s="33"/>
      <c r="Z1008" s="33" t="s">
        <v>189</v>
      </c>
      <c r="AA1008" s="33"/>
    </row>
    <row r="1009" spans="1:27" s="70" customFormat="1" ht="56.25" x14ac:dyDescent="0.2">
      <c r="A1009" s="24">
        <v>1005</v>
      </c>
      <c r="B1009" s="24" t="s">
        <v>1991</v>
      </c>
      <c r="C1009" s="25" t="s">
        <v>1990</v>
      </c>
      <c r="D1009" s="26" t="s">
        <v>2193</v>
      </c>
      <c r="E1009" s="25" t="s">
        <v>2192</v>
      </c>
      <c r="F1009" s="25" t="s">
        <v>2191</v>
      </c>
      <c r="G1009" s="24"/>
      <c r="H1009" s="25" t="s">
        <v>2282</v>
      </c>
      <c r="I1009" s="27"/>
      <c r="J1009" s="28" t="s">
        <v>2316</v>
      </c>
      <c r="K1009" s="27"/>
      <c r="L1009" s="25" t="s">
        <v>2315</v>
      </c>
      <c r="M1009" s="25" t="s">
        <v>2301</v>
      </c>
      <c r="N1009" s="25">
        <v>1</v>
      </c>
      <c r="O1009" s="25"/>
      <c r="P1009" s="25">
        <v>120</v>
      </c>
      <c r="Q1009" s="25"/>
      <c r="R1009" s="25">
        <v>40</v>
      </c>
      <c r="S1009" s="25"/>
      <c r="T1009" s="25"/>
      <c r="U1009" s="31">
        <f t="shared" si="16"/>
        <v>160</v>
      </c>
      <c r="V1009" s="25"/>
      <c r="W1009" s="33" t="s">
        <v>22</v>
      </c>
      <c r="X1009" s="33"/>
      <c r="Y1009" s="33"/>
      <c r="Z1009" s="33" t="s">
        <v>189</v>
      </c>
      <c r="AA1009" s="33"/>
    </row>
    <row r="1010" spans="1:27" s="70" customFormat="1" ht="56.25" x14ac:dyDescent="0.2">
      <c r="A1010" s="24">
        <v>1006</v>
      </c>
      <c r="B1010" s="24" t="s">
        <v>1991</v>
      </c>
      <c r="C1010" s="25" t="s">
        <v>1990</v>
      </c>
      <c r="D1010" s="26" t="s">
        <v>2193</v>
      </c>
      <c r="E1010" s="25" t="s">
        <v>2192</v>
      </c>
      <c r="F1010" s="25" t="s">
        <v>2191</v>
      </c>
      <c r="G1010" s="24"/>
      <c r="H1010" s="25" t="s">
        <v>2282</v>
      </c>
      <c r="I1010" s="27"/>
      <c r="J1010" s="28" t="s">
        <v>2305</v>
      </c>
      <c r="K1010" s="27"/>
      <c r="L1010" s="25" t="s">
        <v>2314</v>
      </c>
      <c r="M1010" s="25" t="s">
        <v>412</v>
      </c>
      <c r="N1010" s="25">
        <v>30</v>
      </c>
      <c r="O1010" s="25"/>
      <c r="P1010" s="25">
        <v>4</v>
      </c>
      <c r="Q1010" s="25"/>
      <c r="R1010" s="25">
        <v>2.5</v>
      </c>
      <c r="S1010" s="25"/>
      <c r="T1010" s="25">
        <v>0.5</v>
      </c>
      <c r="U1010" s="31">
        <f t="shared" si="16"/>
        <v>7</v>
      </c>
      <c r="V1010" s="25"/>
      <c r="W1010" s="33" t="s">
        <v>2313</v>
      </c>
      <c r="X1010" s="33"/>
      <c r="Y1010" s="33"/>
      <c r="Z1010" s="33" t="s">
        <v>189</v>
      </c>
      <c r="AA1010" s="33"/>
    </row>
    <row r="1011" spans="1:27" s="70" customFormat="1" ht="56.25" x14ac:dyDescent="0.2">
      <c r="A1011" s="24">
        <v>1007</v>
      </c>
      <c r="B1011" s="24" t="s">
        <v>1991</v>
      </c>
      <c r="C1011" s="25" t="s">
        <v>1990</v>
      </c>
      <c r="D1011" s="26" t="s">
        <v>2193</v>
      </c>
      <c r="E1011" s="25" t="s">
        <v>2192</v>
      </c>
      <c r="F1011" s="25" t="s">
        <v>2191</v>
      </c>
      <c r="G1011" s="24"/>
      <c r="H1011" s="25" t="s">
        <v>2282</v>
      </c>
      <c r="I1011" s="27"/>
      <c r="J1011" s="28" t="s">
        <v>2305</v>
      </c>
      <c r="K1011" s="27"/>
      <c r="L1011" s="25" t="s">
        <v>2312</v>
      </c>
      <c r="M1011" s="25" t="s">
        <v>2311</v>
      </c>
      <c r="N1011" s="25">
        <v>1296</v>
      </c>
      <c r="O1011" s="25"/>
      <c r="P1011" s="25">
        <v>2</v>
      </c>
      <c r="Q1011" s="25"/>
      <c r="R1011" s="25">
        <v>0.5</v>
      </c>
      <c r="S1011" s="25"/>
      <c r="T1011" s="25">
        <v>0.25</v>
      </c>
      <c r="U1011" s="31">
        <f t="shared" si="16"/>
        <v>2.75</v>
      </c>
      <c r="V1011" s="25"/>
      <c r="W1011" s="33" t="s">
        <v>2310</v>
      </c>
      <c r="X1011" s="33"/>
      <c r="Y1011" s="33"/>
      <c r="Z1011" s="33" t="s">
        <v>1020</v>
      </c>
      <c r="AA1011" s="33"/>
    </row>
    <row r="1012" spans="1:27" s="70" customFormat="1" ht="56.25" x14ac:dyDescent="0.2">
      <c r="A1012" s="24">
        <v>1008</v>
      </c>
      <c r="B1012" s="24" t="s">
        <v>1991</v>
      </c>
      <c r="C1012" s="25" t="s">
        <v>1990</v>
      </c>
      <c r="D1012" s="26" t="s">
        <v>2193</v>
      </c>
      <c r="E1012" s="25" t="s">
        <v>2192</v>
      </c>
      <c r="F1012" s="25" t="s">
        <v>2191</v>
      </c>
      <c r="G1012" s="24"/>
      <c r="H1012" s="25" t="s">
        <v>2282</v>
      </c>
      <c r="I1012" s="27"/>
      <c r="J1012" s="28" t="s">
        <v>2305</v>
      </c>
      <c r="K1012" s="27"/>
      <c r="L1012" s="25" t="s">
        <v>2309</v>
      </c>
      <c r="M1012" s="25" t="s">
        <v>412</v>
      </c>
      <c r="N1012" s="25">
        <v>40</v>
      </c>
      <c r="O1012" s="25"/>
      <c r="P1012" s="25">
        <v>0.4</v>
      </c>
      <c r="Q1012" s="25"/>
      <c r="R1012" s="25"/>
      <c r="S1012" s="25"/>
      <c r="T1012" s="25"/>
      <c r="U1012" s="31">
        <f t="shared" si="16"/>
        <v>0.4</v>
      </c>
      <c r="V1012" s="25"/>
      <c r="W1012" s="33" t="s">
        <v>22</v>
      </c>
      <c r="X1012" s="33"/>
      <c r="Y1012" s="33"/>
      <c r="Z1012" s="33" t="s">
        <v>189</v>
      </c>
      <c r="AA1012" s="33"/>
    </row>
    <row r="1013" spans="1:27" s="70" customFormat="1" ht="56.25" x14ac:dyDescent="0.2">
      <c r="A1013" s="24">
        <v>1009</v>
      </c>
      <c r="B1013" s="24" t="s">
        <v>1991</v>
      </c>
      <c r="C1013" s="25" t="s">
        <v>1990</v>
      </c>
      <c r="D1013" s="26" t="s">
        <v>2193</v>
      </c>
      <c r="E1013" s="25" t="s">
        <v>2192</v>
      </c>
      <c r="F1013" s="25" t="s">
        <v>2191</v>
      </c>
      <c r="G1013" s="24"/>
      <c r="H1013" s="25" t="s">
        <v>2282</v>
      </c>
      <c r="I1013" s="27"/>
      <c r="J1013" s="28" t="s">
        <v>2305</v>
      </c>
      <c r="K1013" s="27"/>
      <c r="L1013" s="25" t="s">
        <v>2308</v>
      </c>
      <c r="M1013" s="25" t="s">
        <v>2307</v>
      </c>
      <c r="N1013" s="25">
        <v>500</v>
      </c>
      <c r="O1013" s="25"/>
      <c r="P1013" s="25">
        <v>0.4</v>
      </c>
      <c r="Q1013" s="25"/>
      <c r="R1013" s="25">
        <v>0.2</v>
      </c>
      <c r="S1013" s="25"/>
      <c r="T1013" s="25"/>
      <c r="U1013" s="31">
        <f t="shared" si="16"/>
        <v>0.60000000000000009</v>
      </c>
      <c r="V1013" s="25"/>
      <c r="W1013" s="33" t="s">
        <v>2278</v>
      </c>
      <c r="X1013" s="33"/>
      <c r="Y1013" s="33"/>
      <c r="Z1013" s="33" t="s">
        <v>2306</v>
      </c>
      <c r="AA1013" s="33"/>
    </row>
    <row r="1014" spans="1:27" s="70" customFormat="1" ht="56.25" x14ac:dyDescent="0.2">
      <c r="A1014" s="24">
        <v>1010</v>
      </c>
      <c r="B1014" s="24" t="s">
        <v>1991</v>
      </c>
      <c r="C1014" s="25" t="s">
        <v>1990</v>
      </c>
      <c r="D1014" s="26" t="s">
        <v>2193</v>
      </c>
      <c r="E1014" s="25" t="s">
        <v>2192</v>
      </c>
      <c r="F1014" s="25" t="s">
        <v>2191</v>
      </c>
      <c r="G1014" s="24"/>
      <c r="H1014" s="25" t="s">
        <v>2282</v>
      </c>
      <c r="I1014" s="27"/>
      <c r="J1014" s="28" t="s">
        <v>2305</v>
      </c>
      <c r="K1014" s="27"/>
      <c r="L1014" s="25" t="s">
        <v>2304</v>
      </c>
      <c r="M1014" s="25" t="s">
        <v>412</v>
      </c>
      <c r="N1014" s="25">
        <v>20</v>
      </c>
      <c r="O1014" s="25"/>
      <c r="P1014" s="25">
        <v>8</v>
      </c>
      <c r="Q1014" s="25"/>
      <c r="R1014" s="25">
        <v>4</v>
      </c>
      <c r="S1014" s="25"/>
      <c r="T1014" s="25">
        <v>1</v>
      </c>
      <c r="U1014" s="31">
        <f t="shared" si="16"/>
        <v>13</v>
      </c>
      <c r="V1014" s="25"/>
      <c r="W1014" s="33" t="s">
        <v>22</v>
      </c>
      <c r="X1014" s="33"/>
      <c r="Y1014" s="33"/>
      <c r="Z1014" s="33" t="s">
        <v>189</v>
      </c>
      <c r="AA1014" s="33"/>
    </row>
    <row r="1015" spans="1:27" s="70" customFormat="1" ht="22.5" x14ac:dyDescent="0.2">
      <c r="A1015" s="24">
        <v>1011</v>
      </c>
      <c r="B1015" s="24" t="s">
        <v>1991</v>
      </c>
      <c r="C1015" s="25" t="s">
        <v>1990</v>
      </c>
      <c r="D1015" s="26" t="s">
        <v>2193</v>
      </c>
      <c r="E1015" s="25" t="s">
        <v>2192</v>
      </c>
      <c r="F1015" s="25" t="s">
        <v>2191</v>
      </c>
      <c r="G1015" s="24"/>
      <c r="H1015" s="25" t="s">
        <v>2282</v>
      </c>
      <c r="I1015" s="27"/>
      <c r="J1015" s="28" t="s">
        <v>2303</v>
      </c>
      <c r="K1015" s="27"/>
      <c r="L1015" s="25" t="s">
        <v>2302</v>
      </c>
      <c r="M1015" s="25" t="s">
        <v>2301</v>
      </c>
      <c r="N1015" s="25">
        <v>4</v>
      </c>
      <c r="O1015" s="25"/>
      <c r="P1015" s="25">
        <v>64</v>
      </c>
      <c r="Q1015" s="25"/>
      <c r="R1015" s="25">
        <v>16</v>
      </c>
      <c r="S1015" s="25"/>
      <c r="T1015" s="25">
        <v>1</v>
      </c>
      <c r="U1015" s="31">
        <f t="shared" si="16"/>
        <v>81</v>
      </c>
      <c r="V1015" s="25"/>
      <c r="W1015" s="33" t="s">
        <v>22</v>
      </c>
      <c r="X1015" s="33"/>
      <c r="Y1015" s="33"/>
      <c r="Z1015" s="33" t="s">
        <v>189</v>
      </c>
      <c r="AA1015" s="33"/>
    </row>
    <row r="1016" spans="1:27" s="70" customFormat="1" ht="45" x14ac:dyDescent="0.2">
      <c r="A1016" s="24">
        <v>1012</v>
      </c>
      <c r="B1016" s="24" t="s">
        <v>1991</v>
      </c>
      <c r="C1016" s="25" t="s">
        <v>1990</v>
      </c>
      <c r="D1016" s="26" t="s">
        <v>2193</v>
      </c>
      <c r="E1016" s="25" t="s">
        <v>2192</v>
      </c>
      <c r="F1016" s="25" t="s">
        <v>2191</v>
      </c>
      <c r="G1016" s="24"/>
      <c r="H1016" s="25" t="s">
        <v>2282</v>
      </c>
      <c r="I1016" s="27"/>
      <c r="J1016" s="28" t="s">
        <v>2300</v>
      </c>
      <c r="K1016" s="27"/>
      <c r="L1016" s="25"/>
      <c r="M1016" s="25"/>
      <c r="N1016" s="25"/>
      <c r="O1016" s="25"/>
      <c r="P1016" s="25"/>
      <c r="Q1016" s="25"/>
      <c r="R1016" s="25"/>
      <c r="S1016" s="25"/>
      <c r="T1016" s="25"/>
      <c r="U1016" s="31">
        <f t="shared" si="16"/>
        <v>0</v>
      </c>
      <c r="V1016" s="25"/>
      <c r="W1016" s="33"/>
      <c r="X1016" s="33"/>
      <c r="Y1016" s="33"/>
      <c r="Z1016" s="33"/>
      <c r="AA1016" s="33"/>
    </row>
    <row r="1017" spans="1:27" s="70" customFormat="1" ht="45" x14ac:dyDescent="0.2">
      <c r="A1017" s="24">
        <v>1013</v>
      </c>
      <c r="B1017" s="24" t="s">
        <v>1991</v>
      </c>
      <c r="C1017" s="25" t="s">
        <v>1990</v>
      </c>
      <c r="D1017" s="26" t="s">
        <v>2193</v>
      </c>
      <c r="E1017" s="25" t="s">
        <v>2192</v>
      </c>
      <c r="F1017" s="25" t="s">
        <v>2191</v>
      </c>
      <c r="G1017" s="24"/>
      <c r="H1017" s="25" t="s">
        <v>2282</v>
      </c>
      <c r="I1017" s="27"/>
      <c r="J1017" s="28" t="s">
        <v>2299</v>
      </c>
      <c r="K1017" s="27"/>
      <c r="L1017" s="25"/>
      <c r="M1017" s="25"/>
      <c r="N1017" s="25"/>
      <c r="O1017" s="25"/>
      <c r="P1017" s="25"/>
      <c r="Q1017" s="25"/>
      <c r="R1017" s="25"/>
      <c r="S1017" s="25"/>
      <c r="T1017" s="25"/>
      <c r="U1017" s="31">
        <f t="shared" si="16"/>
        <v>0</v>
      </c>
      <c r="V1017" s="25"/>
      <c r="W1017" s="33"/>
      <c r="X1017" s="33"/>
      <c r="Y1017" s="33"/>
      <c r="Z1017" s="33"/>
      <c r="AA1017" s="33"/>
    </row>
    <row r="1018" spans="1:27" s="70" customFormat="1" ht="45" x14ac:dyDescent="0.2">
      <c r="A1018" s="24">
        <v>1014</v>
      </c>
      <c r="B1018" s="24" t="s">
        <v>1991</v>
      </c>
      <c r="C1018" s="25" t="s">
        <v>1990</v>
      </c>
      <c r="D1018" s="26" t="s">
        <v>2193</v>
      </c>
      <c r="E1018" s="25" t="s">
        <v>2192</v>
      </c>
      <c r="F1018" s="25" t="s">
        <v>2191</v>
      </c>
      <c r="G1018" s="24"/>
      <c r="H1018" s="25" t="s">
        <v>2282</v>
      </c>
      <c r="I1018" s="27"/>
      <c r="J1018" s="28" t="s">
        <v>2291</v>
      </c>
      <c r="K1018" s="27"/>
      <c r="L1018" s="25" t="s">
        <v>2298</v>
      </c>
      <c r="M1018" s="25" t="s">
        <v>2297</v>
      </c>
      <c r="N1018" s="25">
        <v>240</v>
      </c>
      <c r="O1018" s="25"/>
      <c r="P1018" s="25">
        <v>200</v>
      </c>
      <c r="Q1018" s="25"/>
      <c r="R1018" s="25">
        <v>35</v>
      </c>
      <c r="S1018" s="25"/>
      <c r="T1018" s="25">
        <v>5</v>
      </c>
      <c r="U1018" s="31">
        <f t="shared" si="16"/>
        <v>240</v>
      </c>
      <c r="V1018" s="25"/>
      <c r="W1018" s="33" t="s">
        <v>22</v>
      </c>
      <c r="X1018" s="33"/>
      <c r="Y1018" s="33"/>
      <c r="Z1018" s="33" t="s">
        <v>189</v>
      </c>
      <c r="AA1018" s="33"/>
    </row>
    <row r="1019" spans="1:27" s="70" customFormat="1" ht="45" x14ac:dyDescent="0.2">
      <c r="A1019" s="24">
        <v>1015</v>
      </c>
      <c r="B1019" s="24" t="s">
        <v>1991</v>
      </c>
      <c r="C1019" s="25" t="s">
        <v>1990</v>
      </c>
      <c r="D1019" s="26" t="s">
        <v>2193</v>
      </c>
      <c r="E1019" s="25" t="s">
        <v>2192</v>
      </c>
      <c r="F1019" s="25" t="s">
        <v>2191</v>
      </c>
      <c r="G1019" s="24"/>
      <c r="H1019" s="25" t="s">
        <v>2282</v>
      </c>
      <c r="I1019" s="27"/>
      <c r="J1019" s="28" t="s">
        <v>2291</v>
      </c>
      <c r="K1019" s="27"/>
      <c r="L1019" s="25" t="s">
        <v>2296</v>
      </c>
      <c r="M1019" s="25" t="s">
        <v>2293</v>
      </c>
      <c r="N1019" s="25">
        <v>1</v>
      </c>
      <c r="O1019" s="25"/>
      <c r="P1019" s="25">
        <v>30</v>
      </c>
      <c r="Q1019" s="25"/>
      <c r="R1019" s="25">
        <v>8</v>
      </c>
      <c r="S1019" s="25"/>
      <c r="T1019" s="25">
        <v>0.2</v>
      </c>
      <c r="U1019" s="31">
        <f t="shared" si="16"/>
        <v>38.200000000000003</v>
      </c>
      <c r="V1019" s="25"/>
      <c r="W1019" s="33" t="s">
        <v>22</v>
      </c>
      <c r="X1019" s="33"/>
      <c r="Y1019" s="33"/>
      <c r="Z1019" s="33" t="s">
        <v>189</v>
      </c>
      <c r="AA1019" s="33"/>
    </row>
    <row r="1020" spans="1:27" s="70" customFormat="1" ht="45" x14ac:dyDescent="0.2">
      <c r="A1020" s="24">
        <v>1016</v>
      </c>
      <c r="B1020" s="24" t="s">
        <v>1991</v>
      </c>
      <c r="C1020" s="25" t="s">
        <v>1990</v>
      </c>
      <c r="D1020" s="26" t="s">
        <v>2193</v>
      </c>
      <c r="E1020" s="25" t="s">
        <v>2192</v>
      </c>
      <c r="F1020" s="25" t="s">
        <v>2191</v>
      </c>
      <c r="G1020" s="24"/>
      <c r="H1020" s="25" t="s">
        <v>2282</v>
      </c>
      <c r="I1020" s="27"/>
      <c r="J1020" s="28" t="s">
        <v>2291</v>
      </c>
      <c r="K1020" s="27"/>
      <c r="L1020" s="25" t="s">
        <v>2295</v>
      </c>
      <c r="M1020" s="25" t="s">
        <v>2293</v>
      </c>
      <c r="N1020" s="25">
        <v>54</v>
      </c>
      <c r="O1020" s="25"/>
      <c r="P1020" s="25">
        <v>8</v>
      </c>
      <c r="Q1020" s="25"/>
      <c r="R1020" s="25">
        <v>2</v>
      </c>
      <c r="S1020" s="25"/>
      <c r="T1020" s="25">
        <v>0.5</v>
      </c>
      <c r="U1020" s="31">
        <f t="shared" si="16"/>
        <v>10.5</v>
      </c>
      <c r="V1020" s="25"/>
      <c r="W1020" s="33" t="s">
        <v>848</v>
      </c>
      <c r="X1020" s="33"/>
      <c r="Y1020" s="33"/>
      <c r="Z1020" s="33" t="s">
        <v>189</v>
      </c>
      <c r="AA1020" s="33"/>
    </row>
    <row r="1021" spans="1:27" s="70" customFormat="1" ht="45" x14ac:dyDescent="0.2">
      <c r="A1021" s="24">
        <v>1017</v>
      </c>
      <c r="B1021" s="24" t="s">
        <v>1991</v>
      </c>
      <c r="C1021" s="25" t="s">
        <v>1990</v>
      </c>
      <c r="D1021" s="26" t="s">
        <v>2193</v>
      </c>
      <c r="E1021" s="25" t="s">
        <v>2192</v>
      </c>
      <c r="F1021" s="25" t="s">
        <v>2191</v>
      </c>
      <c r="G1021" s="24"/>
      <c r="H1021" s="25" t="s">
        <v>2282</v>
      </c>
      <c r="I1021" s="27"/>
      <c r="J1021" s="28" t="s">
        <v>2291</v>
      </c>
      <c r="K1021" s="27"/>
      <c r="L1021" s="25" t="s">
        <v>2294</v>
      </c>
      <c r="M1021" s="25" t="s">
        <v>2293</v>
      </c>
      <c r="N1021" s="25">
        <v>17</v>
      </c>
      <c r="O1021" s="25"/>
      <c r="P1021" s="25">
        <v>4</v>
      </c>
      <c r="Q1021" s="25"/>
      <c r="R1021" s="25">
        <v>2</v>
      </c>
      <c r="S1021" s="25"/>
      <c r="T1021" s="25">
        <v>0.2</v>
      </c>
      <c r="U1021" s="31">
        <f t="shared" si="16"/>
        <v>6.2</v>
      </c>
      <c r="V1021" s="25"/>
      <c r="W1021" s="33" t="s">
        <v>2292</v>
      </c>
      <c r="X1021" s="33"/>
      <c r="Y1021" s="33"/>
      <c r="Z1021" s="33" t="s">
        <v>189</v>
      </c>
      <c r="AA1021" s="33"/>
    </row>
    <row r="1022" spans="1:27" s="70" customFormat="1" ht="45" x14ac:dyDescent="0.2">
      <c r="A1022" s="24">
        <v>1018</v>
      </c>
      <c r="B1022" s="24" t="s">
        <v>1991</v>
      </c>
      <c r="C1022" s="25" t="s">
        <v>1990</v>
      </c>
      <c r="D1022" s="26" t="s">
        <v>2193</v>
      </c>
      <c r="E1022" s="25" t="s">
        <v>2192</v>
      </c>
      <c r="F1022" s="25" t="s">
        <v>2191</v>
      </c>
      <c r="G1022" s="24"/>
      <c r="H1022" s="25" t="s">
        <v>2282</v>
      </c>
      <c r="I1022" s="27"/>
      <c r="J1022" s="28" t="s">
        <v>2291</v>
      </c>
      <c r="K1022" s="27"/>
      <c r="L1022" s="25" t="s">
        <v>2290</v>
      </c>
      <c r="M1022" s="25" t="s">
        <v>355</v>
      </c>
      <c r="N1022" s="25">
        <v>1</v>
      </c>
      <c r="O1022" s="25"/>
      <c r="P1022" s="25">
        <v>2100</v>
      </c>
      <c r="Q1022" s="25"/>
      <c r="R1022" s="25">
        <v>525</v>
      </c>
      <c r="S1022" s="25"/>
      <c r="T1022" s="25">
        <v>87.5</v>
      </c>
      <c r="U1022" s="31">
        <f t="shared" si="16"/>
        <v>2712.5</v>
      </c>
      <c r="V1022" s="25"/>
      <c r="W1022" s="33" t="s">
        <v>355</v>
      </c>
      <c r="X1022" s="33"/>
      <c r="Y1022" s="33"/>
      <c r="Z1022" s="33" t="s">
        <v>2289</v>
      </c>
      <c r="AA1022" s="33"/>
    </row>
    <row r="1023" spans="1:27" s="70" customFormat="1" ht="90" x14ac:dyDescent="0.2">
      <c r="A1023" s="24">
        <v>1019</v>
      </c>
      <c r="B1023" s="24" t="s">
        <v>1991</v>
      </c>
      <c r="C1023" s="25" t="s">
        <v>1990</v>
      </c>
      <c r="D1023" s="26" t="s">
        <v>2193</v>
      </c>
      <c r="E1023" s="25" t="s">
        <v>2192</v>
      </c>
      <c r="F1023" s="25" t="s">
        <v>2191</v>
      </c>
      <c r="G1023" s="24"/>
      <c r="H1023" s="25" t="s">
        <v>2282</v>
      </c>
      <c r="I1023" s="27"/>
      <c r="J1023" s="28" t="s">
        <v>2288</v>
      </c>
      <c r="K1023" s="27"/>
      <c r="L1023" s="25" t="s">
        <v>2287</v>
      </c>
      <c r="M1023" s="25" t="s">
        <v>2283</v>
      </c>
      <c r="N1023" s="25">
        <v>12</v>
      </c>
      <c r="O1023" s="25"/>
      <c r="P1023" s="25">
        <v>480</v>
      </c>
      <c r="Q1023" s="25"/>
      <c r="R1023" s="25">
        <v>120</v>
      </c>
      <c r="S1023" s="25"/>
      <c r="T1023" s="25">
        <v>5</v>
      </c>
      <c r="U1023" s="31">
        <f t="shared" si="16"/>
        <v>605</v>
      </c>
      <c r="V1023" s="25"/>
      <c r="W1023" s="33" t="s">
        <v>2278</v>
      </c>
      <c r="X1023" s="33"/>
      <c r="Y1023" s="33"/>
      <c r="Z1023" s="33"/>
      <c r="AA1023" s="33"/>
    </row>
    <row r="1024" spans="1:27" s="70" customFormat="1" ht="22.5" x14ac:dyDescent="0.2">
      <c r="A1024" s="24">
        <v>1020</v>
      </c>
      <c r="B1024" s="24" t="s">
        <v>1991</v>
      </c>
      <c r="C1024" s="25" t="s">
        <v>1990</v>
      </c>
      <c r="D1024" s="26" t="s">
        <v>2193</v>
      </c>
      <c r="E1024" s="25" t="s">
        <v>2192</v>
      </c>
      <c r="F1024" s="25" t="s">
        <v>2191</v>
      </c>
      <c r="G1024" s="24"/>
      <c r="H1024" s="25" t="s">
        <v>2282</v>
      </c>
      <c r="I1024" s="27"/>
      <c r="J1024" s="28" t="s">
        <v>2285</v>
      </c>
      <c r="K1024" s="27"/>
      <c r="L1024" s="25" t="s">
        <v>2286</v>
      </c>
      <c r="M1024" s="25" t="s">
        <v>2283</v>
      </c>
      <c r="N1024" s="25">
        <v>1</v>
      </c>
      <c r="O1024" s="25"/>
      <c r="P1024" s="25">
        <v>360</v>
      </c>
      <c r="Q1024" s="25"/>
      <c r="R1024" s="25">
        <v>240</v>
      </c>
      <c r="S1024" s="25"/>
      <c r="T1024" s="25">
        <v>24</v>
      </c>
      <c r="U1024" s="31">
        <f t="shared" si="16"/>
        <v>624</v>
      </c>
      <c r="V1024" s="25"/>
      <c r="W1024" s="33" t="s">
        <v>22</v>
      </c>
      <c r="X1024" s="33"/>
      <c r="Y1024" s="33"/>
      <c r="Z1024" s="33" t="s">
        <v>189</v>
      </c>
      <c r="AA1024" s="33"/>
    </row>
    <row r="1025" spans="1:27" s="70" customFormat="1" ht="45" x14ac:dyDescent="0.2">
      <c r="A1025" s="24">
        <v>1021</v>
      </c>
      <c r="B1025" s="24" t="s">
        <v>1991</v>
      </c>
      <c r="C1025" s="25" t="s">
        <v>1990</v>
      </c>
      <c r="D1025" s="26" t="s">
        <v>2193</v>
      </c>
      <c r="E1025" s="25" t="s">
        <v>2192</v>
      </c>
      <c r="F1025" s="25" t="s">
        <v>2191</v>
      </c>
      <c r="G1025" s="24"/>
      <c r="H1025" s="25" t="s">
        <v>2282</v>
      </c>
      <c r="I1025" s="27"/>
      <c r="J1025" s="28" t="s">
        <v>2285</v>
      </c>
      <c r="K1025" s="27"/>
      <c r="L1025" s="25" t="s">
        <v>2284</v>
      </c>
      <c r="M1025" s="25" t="s">
        <v>2283</v>
      </c>
      <c r="N1025" s="25">
        <v>1</v>
      </c>
      <c r="O1025" s="25"/>
      <c r="P1025" s="25">
        <v>960</v>
      </c>
      <c r="Q1025" s="25"/>
      <c r="R1025" s="25">
        <v>480</v>
      </c>
      <c r="S1025" s="25"/>
      <c r="T1025" s="25">
        <v>40</v>
      </c>
      <c r="U1025" s="31">
        <f t="shared" si="16"/>
        <v>1480</v>
      </c>
      <c r="V1025" s="25"/>
      <c r="W1025" s="33" t="s">
        <v>2278</v>
      </c>
      <c r="X1025" s="33"/>
      <c r="Y1025" s="33"/>
      <c r="Z1025" s="33" t="s">
        <v>2000</v>
      </c>
      <c r="AA1025" s="33"/>
    </row>
    <row r="1026" spans="1:27" s="70" customFormat="1" ht="45" x14ac:dyDescent="0.2">
      <c r="A1026" s="24">
        <v>1022</v>
      </c>
      <c r="B1026" s="24" t="s">
        <v>1991</v>
      </c>
      <c r="C1026" s="25" t="s">
        <v>1990</v>
      </c>
      <c r="D1026" s="26" t="s">
        <v>2193</v>
      </c>
      <c r="E1026" s="25" t="s">
        <v>2192</v>
      </c>
      <c r="F1026" s="25" t="s">
        <v>2191</v>
      </c>
      <c r="G1026" s="24"/>
      <c r="H1026" s="25" t="s">
        <v>2282</v>
      </c>
      <c r="I1026" s="27"/>
      <c r="J1026" s="28" t="s">
        <v>2281</v>
      </c>
      <c r="K1026" s="27"/>
      <c r="L1026" s="25" t="s">
        <v>2280</v>
      </c>
      <c r="M1026" s="25" t="s">
        <v>2279</v>
      </c>
      <c r="N1026" s="25">
        <v>1000</v>
      </c>
      <c r="O1026" s="25"/>
      <c r="P1026" s="25">
        <v>1</v>
      </c>
      <c r="Q1026" s="25"/>
      <c r="R1026" s="25">
        <v>0.5</v>
      </c>
      <c r="S1026" s="25"/>
      <c r="T1026" s="25">
        <v>0.1</v>
      </c>
      <c r="U1026" s="31">
        <f t="shared" si="16"/>
        <v>1.6</v>
      </c>
      <c r="V1026" s="25"/>
      <c r="W1026" s="33" t="s">
        <v>2278</v>
      </c>
      <c r="X1026" s="33"/>
      <c r="Y1026" s="33"/>
      <c r="Z1026" s="33" t="s">
        <v>2277</v>
      </c>
      <c r="AA1026" s="33"/>
    </row>
    <row r="1027" spans="1:27" s="70" customFormat="1" ht="22.5" x14ac:dyDescent="0.2">
      <c r="A1027" s="24">
        <v>1023</v>
      </c>
      <c r="B1027" s="24" t="s">
        <v>1991</v>
      </c>
      <c r="C1027" s="25" t="s">
        <v>1990</v>
      </c>
      <c r="D1027" s="26" t="s">
        <v>2193</v>
      </c>
      <c r="E1027" s="25" t="s">
        <v>2192</v>
      </c>
      <c r="F1027" s="25" t="s">
        <v>2191</v>
      </c>
      <c r="G1027" s="24"/>
      <c r="H1027" s="25" t="s">
        <v>2270</v>
      </c>
      <c r="I1027" s="27"/>
      <c r="J1027" s="28" t="s">
        <v>2276</v>
      </c>
      <c r="K1027" s="27"/>
      <c r="L1027" s="25"/>
      <c r="M1027" s="25"/>
      <c r="N1027" s="25"/>
      <c r="O1027" s="25"/>
      <c r="P1027" s="25"/>
      <c r="Q1027" s="25"/>
      <c r="R1027" s="25"/>
      <c r="S1027" s="25"/>
      <c r="T1027" s="25"/>
      <c r="U1027" s="31">
        <f t="shared" si="16"/>
        <v>0</v>
      </c>
      <c r="V1027" s="25"/>
      <c r="W1027" s="33"/>
      <c r="X1027" s="33"/>
      <c r="Y1027" s="33"/>
      <c r="Z1027" s="33"/>
      <c r="AA1027" s="33"/>
    </row>
    <row r="1028" spans="1:27" s="70" customFormat="1" ht="33.75" x14ac:dyDescent="0.2">
      <c r="A1028" s="24">
        <v>1024</v>
      </c>
      <c r="B1028" s="24" t="s">
        <v>1991</v>
      </c>
      <c r="C1028" s="25" t="s">
        <v>1990</v>
      </c>
      <c r="D1028" s="26" t="s">
        <v>2193</v>
      </c>
      <c r="E1028" s="25" t="s">
        <v>2192</v>
      </c>
      <c r="F1028" s="25" t="s">
        <v>2191</v>
      </c>
      <c r="G1028" s="24"/>
      <c r="H1028" s="25" t="s">
        <v>2270</v>
      </c>
      <c r="I1028" s="27"/>
      <c r="J1028" s="28" t="s">
        <v>2275</v>
      </c>
      <c r="K1028" s="27"/>
      <c r="L1028" s="25"/>
      <c r="M1028" s="25"/>
      <c r="N1028" s="25"/>
      <c r="O1028" s="25"/>
      <c r="P1028" s="25"/>
      <c r="Q1028" s="25"/>
      <c r="R1028" s="25"/>
      <c r="S1028" s="25"/>
      <c r="T1028" s="25"/>
      <c r="U1028" s="31">
        <f t="shared" si="16"/>
        <v>0</v>
      </c>
      <c r="V1028" s="25"/>
      <c r="W1028" s="33"/>
      <c r="X1028" s="33"/>
      <c r="Y1028" s="33"/>
      <c r="Z1028" s="33"/>
      <c r="AA1028" s="33"/>
    </row>
    <row r="1029" spans="1:27" s="70" customFormat="1" ht="22.5" x14ac:dyDescent="0.2">
      <c r="A1029" s="24">
        <v>1025</v>
      </c>
      <c r="B1029" s="24" t="s">
        <v>1991</v>
      </c>
      <c r="C1029" s="25" t="s">
        <v>1990</v>
      </c>
      <c r="D1029" s="26" t="s">
        <v>2193</v>
      </c>
      <c r="E1029" s="25" t="s">
        <v>2192</v>
      </c>
      <c r="F1029" s="25" t="s">
        <v>2191</v>
      </c>
      <c r="G1029" s="24"/>
      <c r="H1029" s="25" t="s">
        <v>2270</v>
      </c>
      <c r="I1029" s="27"/>
      <c r="J1029" s="28" t="s">
        <v>2274</v>
      </c>
      <c r="K1029" s="27"/>
      <c r="L1029" s="25"/>
      <c r="M1029" s="25"/>
      <c r="N1029" s="25"/>
      <c r="O1029" s="25"/>
      <c r="P1029" s="25"/>
      <c r="Q1029" s="25"/>
      <c r="R1029" s="25"/>
      <c r="S1029" s="25"/>
      <c r="T1029" s="25"/>
      <c r="U1029" s="31">
        <f t="shared" si="16"/>
        <v>0</v>
      </c>
      <c r="V1029" s="25"/>
      <c r="W1029" s="33"/>
      <c r="X1029" s="33"/>
      <c r="Y1029" s="33"/>
      <c r="Z1029" s="33"/>
      <c r="AA1029" s="33"/>
    </row>
    <row r="1030" spans="1:27" s="70" customFormat="1" ht="22.5" x14ac:dyDescent="0.2">
      <c r="A1030" s="24">
        <v>1026</v>
      </c>
      <c r="B1030" s="24" t="s">
        <v>1991</v>
      </c>
      <c r="C1030" s="25" t="s">
        <v>1990</v>
      </c>
      <c r="D1030" s="26" t="s">
        <v>2193</v>
      </c>
      <c r="E1030" s="25" t="s">
        <v>2192</v>
      </c>
      <c r="F1030" s="25" t="s">
        <v>2191</v>
      </c>
      <c r="G1030" s="24"/>
      <c r="H1030" s="25" t="s">
        <v>2270</v>
      </c>
      <c r="I1030" s="27"/>
      <c r="J1030" s="28" t="s">
        <v>2273</v>
      </c>
      <c r="K1030" s="27"/>
      <c r="L1030" s="25"/>
      <c r="M1030" s="25"/>
      <c r="N1030" s="25"/>
      <c r="O1030" s="25"/>
      <c r="P1030" s="25"/>
      <c r="Q1030" s="25"/>
      <c r="R1030" s="25"/>
      <c r="S1030" s="25"/>
      <c r="T1030" s="25"/>
      <c r="U1030" s="31">
        <f t="shared" ref="U1030:U1093" si="17">SUM(O1030:T1030)</f>
        <v>0</v>
      </c>
      <c r="V1030" s="25"/>
      <c r="W1030" s="33"/>
      <c r="X1030" s="33"/>
      <c r="Y1030" s="33"/>
      <c r="Z1030" s="33"/>
      <c r="AA1030" s="33"/>
    </row>
    <row r="1031" spans="1:27" s="70" customFormat="1" ht="22.5" x14ac:dyDescent="0.2">
      <c r="A1031" s="24">
        <v>1027</v>
      </c>
      <c r="B1031" s="24" t="s">
        <v>1991</v>
      </c>
      <c r="C1031" s="25" t="s">
        <v>1990</v>
      </c>
      <c r="D1031" s="26" t="s">
        <v>2193</v>
      </c>
      <c r="E1031" s="25" t="s">
        <v>2192</v>
      </c>
      <c r="F1031" s="25" t="s">
        <v>2191</v>
      </c>
      <c r="G1031" s="24"/>
      <c r="H1031" s="25" t="s">
        <v>2270</v>
      </c>
      <c r="I1031" s="27"/>
      <c r="J1031" s="28" t="s">
        <v>2272</v>
      </c>
      <c r="K1031" s="27"/>
      <c r="L1031" s="25"/>
      <c r="M1031" s="25"/>
      <c r="N1031" s="25"/>
      <c r="O1031" s="25"/>
      <c r="P1031" s="25"/>
      <c r="Q1031" s="25"/>
      <c r="R1031" s="25"/>
      <c r="S1031" s="25"/>
      <c r="T1031" s="25"/>
      <c r="U1031" s="31">
        <f t="shared" si="17"/>
        <v>0</v>
      </c>
      <c r="V1031" s="25"/>
      <c r="W1031" s="33"/>
      <c r="X1031" s="33"/>
      <c r="Y1031" s="33"/>
      <c r="Z1031" s="33"/>
      <c r="AA1031" s="33"/>
    </row>
    <row r="1032" spans="1:27" s="70" customFormat="1" ht="22.5" x14ac:dyDescent="0.2">
      <c r="A1032" s="24">
        <v>1028</v>
      </c>
      <c r="B1032" s="24" t="s">
        <v>1991</v>
      </c>
      <c r="C1032" s="25" t="s">
        <v>1990</v>
      </c>
      <c r="D1032" s="26" t="s">
        <v>2193</v>
      </c>
      <c r="E1032" s="25" t="s">
        <v>2192</v>
      </c>
      <c r="F1032" s="25" t="s">
        <v>2191</v>
      </c>
      <c r="G1032" s="24"/>
      <c r="H1032" s="25" t="s">
        <v>2270</v>
      </c>
      <c r="I1032" s="27"/>
      <c r="J1032" s="28" t="s">
        <v>2271</v>
      </c>
      <c r="K1032" s="27"/>
      <c r="L1032" s="25"/>
      <c r="M1032" s="25"/>
      <c r="N1032" s="25"/>
      <c r="O1032" s="25"/>
      <c r="P1032" s="25"/>
      <c r="Q1032" s="25"/>
      <c r="R1032" s="25"/>
      <c r="S1032" s="25"/>
      <c r="T1032" s="25"/>
      <c r="U1032" s="31">
        <f t="shared" si="17"/>
        <v>0</v>
      </c>
      <c r="V1032" s="25"/>
      <c r="W1032" s="33"/>
      <c r="X1032" s="33"/>
      <c r="Y1032" s="33"/>
      <c r="Z1032" s="33"/>
      <c r="AA1032" s="33"/>
    </row>
    <row r="1033" spans="1:27" s="70" customFormat="1" ht="22.5" x14ac:dyDescent="0.2">
      <c r="A1033" s="24">
        <v>1029</v>
      </c>
      <c r="B1033" s="24" t="s">
        <v>1991</v>
      </c>
      <c r="C1033" s="25" t="s">
        <v>1990</v>
      </c>
      <c r="D1033" s="26" t="s">
        <v>2193</v>
      </c>
      <c r="E1033" s="25" t="s">
        <v>2192</v>
      </c>
      <c r="F1033" s="25" t="s">
        <v>2191</v>
      </c>
      <c r="G1033" s="24"/>
      <c r="H1033" s="25" t="s">
        <v>2270</v>
      </c>
      <c r="I1033" s="27"/>
      <c r="J1033" s="28" t="s">
        <v>2269</v>
      </c>
      <c r="K1033" s="27"/>
      <c r="L1033" s="25"/>
      <c r="M1033" s="25"/>
      <c r="N1033" s="25"/>
      <c r="O1033" s="25"/>
      <c r="P1033" s="25"/>
      <c r="Q1033" s="25"/>
      <c r="R1033" s="25"/>
      <c r="S1033" s="25"/>
      <c r="T1033" s="25"/>
      <c r="U1033" s="31">
        <f t="shared" si="17"/>
        <v>0</v>
      </c>
      <c r="V1033" s="25"/>
      <c r="W1033" s="33"/>
      <c r="X1033" s="33"/>
      <c r="Y1033" s="33"/>
      <c r="Z1033" s="33"/>
      <c r="AA1033" s="33"/>
    </row>
    <row r="1034" spans="1:27" s="70" customFormat="1" ht="45" x14ac:dyDescent="0.2">
      <c r="A1034" s="24">
        <v>1030</v>
      </c>
      <c r="B1034" s="24" t="s">
        <v>1991</v>
      </c>
      <c r="C1034" s="25" t="s">
        <v>1990</v>
      </c>
      <c r="D1034" s="26" t="s">
        <v>2193</v>
      </c>
      <c r="E1034" s="25" t="s">
        <v>2192</v>
      </c>
      <c r="F1034" s="25" t="s">
        <v>2191</v>
      </c>
      <c r="G1034" s="24"/>
      <c r="H1034" s="25" t="s">
        <v>2200</v>
      </c>
      <c r="I1034" s="27"/>
      <c r="J1034" s="28" t="s">
        <v>2265</v>
      </c>
      <c r="K1034" s="27"/>
      <c r="L1034" s="25" t="s">
        <v>2268</v>
      </c>
      <c r="M1034" s="25" t="s">
        <v>190</v>
      </c>
      <c r="N1034" s="25">
        <v>40</v>
      </c>
      <c r="O1034" s="25"/>
      <c r="P1034" s="25">
        <v>3</v>
      </c>
      <c r="Q1034" s="25"/>
      <c r="R1034" s="25">
        <v>1.5</v>
      </c>
      <c r="S1034" s="25"/>
      <c r="T1034" s="25"/>
      <c r="U1034" s="31">
        <f t="shared" si="17"/>
        <v>4.5</v>
      </c>
      <c r="V1034" s="25"/>
      <c r="W1034" s="33" t="s">
        <v>22</v>
      </c>
      <c r="X1034" s="33"/>
      <c r="Y1034" s="33"/>
      <c r="Z1034" s="33" t="s">
        <v>189</v>
      </c>
      <c r="AA1034" s="33"/>
    </row>
    <row r="1035" spans="1:27" s="70" customFormat="1" ht="45" x14ac:dyDescent="0.2">
      <c r="A1035" s="24">
        <v>1031</v>
      </c>
      <c r="B1035" s="24" t="s">
        <v>1991</v>
      </c>
      <c r="C1035" s="25" t="s">
        <v>1990</v>
      </c>
      <c r="D1035" s="26" t="s">
        <v>2193</v>
      </c>
      <c r="E1035" s="25" t="s">
        <v>2192</v>
      </c>
      <c r="F1035" s="25" t="s">
        <v>2191</v>
      </c>
      <c r="G1035" s="24"/>
      <c r="H1035" s="25" t="s">
        <v>2200</v>
      </c>
      <c r="I1035" s="27"/>
      <c r="J1035" s="28" t="s">
        <v>2265</v>
      </c>
      <c r="K1035" s="27"/>
      <c r="L1035" s="25" t="s">
        <v>2267</v>
      </c>
      <c r="M1035" s="25" t="s">
        <v>190</v>
      </c>
      <c r="N1035" s="25">
        <v>20</v>
      </c>
      <c r="O1035" s="25"/>
      <c r="P1035" s="25">
        <v>5</v>
      </c>
      <c r="Q1035" s="25"/>
      <c r="R1035" s="25">
        <v>1.5</v>
      </c>
      <c r="S1035" s="25"/>
      <c r="T1035" s="25"/>
      <c r="U1035" s="31">
        <f t="shared" si="17"/>
        <v>6.5</v>
      </c>
      <c r="V1035" s="25"/>
      <c r="W1035" s="33" t="s">
        <v>22</v>
      </c>
      <c r="X1035" s="33"/>
      <c r="Y1035" s="33"/>
      <c r="Z1035" s="33" t="s">
        <v>189</v>
      </c>
      <c r="AA1035" s="33"/>
    </row>
    <row r="1036" spans="1:27" s="70" customFormat="1" ht="45" x14ac:dyDescent="0.2">
      <c r="A1036" s="24">
        <v>1032</v>
      </c>
      <c r="B1036" s="24" t="s">
        <v>1991</v>
      </c>
      <c r="C1036" s="25" t="s">
        <v>1990</v>
      </c>
      <c r="D1036" s="26" t="s">
        <v>2193</v>
      </c>
      <c r="E1036" s="25" t="s">
        <v>2192</v>
      </c>
      <c r="F1036" s="25" t="s">
        <v>2191</v>
      </c>
      <c r="G1036" s="24"/>
      <c r="H1036" s="25" t="s">
        <v>2200</v>
      </c>
      <c r="I1036" s="27"/>
      <c r="J1036" s="28" t="s">
        <v>2265</v>
      </c>
      <c r="K1036" s="27"/>
      <c r="L1036" s="25" t="s">
        <v>2266</v>
      </c>
      <c r="M1036" s="25" t="s">
        <v>190</v>
      </c>
      <c r="N1036" s="25">
        <v>8</v>
      </c>
      <c r="O1036" s="25"/>
      <c r="P1036" s="25">
        <v>4</v>
      </c>
      <c r="Q1036" s="25"/>
      <c r="R1036" s="25">
        <v>1</v>
      </c>
      <c r="S1036" s="25"/>
      <c r="T1036" s="25"/>
      <c r="U1036" s="31">
        <f t="shared" si="17"/>
        <v>5</v>
      </c>
      <c r="V1036" s="25"/>
      <c r="W1036" s="33" t="s">
        <v>22</v>
      </c>
      <c r="X1036" s="33"/>
      <c r="Y1036" s="33"/>
      <c r="Z1036" s="33" t="s">
        <v>189</v>
      </c>
      <c r="AA1036" s="33"/>
    </row>
    <row r="1037" spans="1:27" s="70" customFormat="1" ht="45" x14ac:dyDescent="0.2">
      <c r="A1037" s="24">
        <v>1033</v>
      </c>
      <c r="B1037" s="24" t="s">
        <v>1991</v>
      </c>
      <c r="C1037" s="25" t="s">
        <v>1990</v>
      </c>
      <c r="D1037" s="26" t="s">
        <v>2193</v>
      </c>
      <c r="E1037" s="25" t="s">
        <v>2192</v>
      </c>
      <c r="F1037" s="25" t="s">
        <v>2191</v>
      </c>
      <c r="G1037" s="24"/>
      <c r="H1037" s="25" t="s">
        <v>2200</v>
      </c>
      <c r="I1037" s="27"/>
      <c r="J1037" s="28" t="s">
        <v>2265</v>
      </c>
      <c r="K1037" s="27"/>
      <c r="L1037" s="25" t="s">
        <v>2264</v>
      </c>
      <c r="M1037" s="25" t="s">
        <v>190</v>
      </c>
      <c r="N1037" s="25">
        <v>1</v>
      </c>
      <c r="O1037" s="25"/>
      <c r="P1037" s="25">
        <v>48</v>
      </c>
      <c r="Q1037" s="25"/>
      <c r="R1037" s="25">
        <v>4</v>
      </c>
      <c r="S1037" s="25"/>
      <c r="T1037" s="25"/>
      <c r="U1037" s="31">
        <f t="shared" si="17"/>
        <v>52</v>
      </c>
      <c r="V1037" s="25"/>
      <c r="W1037" s="33" t="s">
        <v>22</v>
      </c>
      <c r="X1037" s="33"/>
      <c r="Y1037" s="33"/>
      <c r="Z1037" s="33" t="s">
        <v>189</v>
      </c>
      <c r="AA1037" s="33"/>
    </row>
    <row r="1038" spans="1:27" s="70" customFormat="1" ht="33.75" x14ac:dyDescent="0.2">
      <c r="A1038" s="24">
        <v>1034</v>
      </c>
      <c r="B1038" s="24" t="s">
        <v>1991</v>
      </c>
      <c r="C1038" s="25" t="s">
        <v>1990</v>
      </c>
      <c r="D1038" s="26" t="s">
        <v>2193</v>
      </c>
      <c r="E1038" s="25" t="s">
        <v>2192</v>
      </c>
      <c r="F1038" s="25" t="s">
        <v>2191</v>
      </c>
      <c r="G1038" s="24"/>
      <c r="H1038" s="25" t="s">
        <v>2200</v>
      </c>
      <c r="I1038" s="27"/>
      <c r="J1038" s="28" t="s">
        <v>2235</v>
      </c>
      <c r="K1038" s="27"/>
      <c r="L1038" s="25" t="s">
        <v>2263</v>
      </c>
      <c r="M1038" s="25" t="s">
        <v>235</v>
      </c>
      <c r="N1038" s="25">
        <v>303</v>
      </c>
      <c r="O1038" s="25">
        <v>4</v>
      </c>
      <c r="P1038" s="25"/>
      <c r="Q1038" s="25"/>
      <c r="R1038" s="25"/>
      <c r="S1038" s="25"/>
      <c r="T1038" s="25"/>
      <c r="U1038" s="31">
        <f t="shared" si="17"/>
        <v>4</v>
      </c>
      <c r="V1038" s="25"/>
      <c r="W1038" s="33" t="s">
        <v>22</v>
      </c>
      <c r="X1038" s="33"/>
      <c r="Y1038" s="33"/>
      <c r="Z1038" s="33" t="s">
        <v>2244</v>
      </c>
      <c r="AA1038" s="33"/>
    </row>
    <row r="1039" spans="1:27" s="70" customFormat="1" ht="33.75" x14ac:dyDescent="0.2">
      <c r="A1039" s="24">
        <v>1035</v>
      </c>
      <c r="B1039" s="24" t="s">
        <v>1991</v>
      </c>
      <c r="C1039" s="25" t="s">
        <v>1990</v>
      </c>
      <c r="D1039" s="26" t="s">
        <v>2193</v>
      </c>
      <c r="E1039" s="25" t="s">
        <v>2192</v>
      </c>
      <c r="F1039" s="25" t="s">
        <v>2191</v>
      </c>
      <c r="G1039" s="24"/>
      <c r="H1039" s="25" t="s">
        <v>2200</v>
      </c>
      <c r="I1039" s="27"/>
      <c r="J1039" s="28" t="s">
        <v>2235</v>
      </c>
      <c r="K1039" s="27"/>
      <c r="L1039" s="25" t="s">
        <v>2262</v>
      </c>
      <c r="M1039" s="25" t="s">
        <v>235</v>
      </c>
      <c r="N1039" s="25">
        <v>303</v>
      </c>
      <c r="O1039" s="25">
        <v>1</v>
      </c>
      <c r="P1039" s="25"/>
      <c r="Q1039" s="25"/>
      <c r="R1039" s="25"/>
      <c r="S1039" s="25"/>
      <c r="T1039" s="25"/>
      <c r="U1039" s="31">
        <f t="shared" si="17"/>
        <v>1</v>
      </c>
      <c r="V1039" s="25"/>
      <c r="W1039" s="33" t="s">
        <v>22</v>
      </c>
      <c r="X1039" s="33"/>
      <c r="Y1039" s="33"/>
      <c r="Z1039" s="33" t="s">
        <v>2244</v>
      </c>
      <c r="AA1039" s="33"/>
    </row>
    <row r="1040" spans="1:27" s="70" customFormat="1" ht="33.75" x14ac:dyDescent="0.2">
      <c r="A1040" s="24">
        <v>1036</v>
      </c>
      <c r="B1040" s="24" t="s">
        <v>1991</v>
      </c>
      <c r="C1040" s="25" t="s">
        <v>1990</v>
      </c>
      <c r="D1040" s="26" t="s">
        <v>2193</v>
      </c>
      <c r="E1040" s="25" t="s">
        <v>2192</v>
      </c>
      <c r="F1040" s="25" t="s">
        <v>2191</v>
      </c>
      <c r="G1040" s="24"/>
      <c r="H1040" s="25" t="s">
        <v>2200</v>
      </c>
      <c r="I1040" s="27"/>
      <c r="J1040" s="28" t="s">
        <v>2235</v>
      </c>
      <c r="K1040" s="27"/>
      <c r="L1040" s="25" t="s">
        <v>2261</v>
      </c>
      <c r="M1040" s="25" t="s">
        <v>2260</v>
      </c>
      <c r="N1040" s="25">
        <v>52</v>
      </c>
      <c r="O1040" s="25">
        <v>4</v>
      </c>
      <c r="P1040" s="25"/>
      <c r="Q1040" s="25"/>
      <c r="R1040" s="25"/>
      <c r="S1040" s="25"/>
      <c r="T1040" s="25"/>
      <c r="U1040" s="31">
        <f t="shared" si="17"/>
        <v>4</v>
      </c>
      <c r="V1040" s="25"/>
      <c r="W1040" s="33" t="s">
        <v>22</v>
      </c>
      <c r="X1040" s="33"/>
      <c r="Y1040" s="33"/>
      <c r="Z1040" s="33" t="s">
        <v>2244</v>
      </c>
      <c r="AA1040" s="33"/>
    </row>
    <row r="1041" spans="1:27" s="70" customFormat="1" ht="33.75" x14ac:dyDescent="0.2">
      <c r="A1041" s="24">
        <v>1037</v>
      </c>
      <c r="B1041" s="24" t="s">
        <v>1991</v>
      </c>
      <c r="C1041" s="25" t="s">
        <v>1990</v>
      </c>
      <c r="D1041" s="26" t="s">
        <v>2193</v>
      </c>
      <c r="E1041" s="25" t="s">
        <v>2192</v>
      </c>
      <c r="F1041" s="25" t="s">
        <v>2191</v>
      </c>
      <c r="G1041" s="24"/>
      <c r="H1041" s="25" t="s">
        <v>2200</v>
      </c>
      <c r="I1041" s="27"/>
      <c r="J1041" s="28" t="s">
        <v>2235</v>
      </c>
      <c r="K1041" s="27"/>
      <c r="L1041" s="25" t="s">
        <v>2259</v>
      </c>
      <c r="M1041" s="25" t="s">
        <v>265</v>
      </c>
      <c r="N1041" s="25">
        <v>24</v>
      </c>
      <c r="O1041" s="25">
        <v>4</v>
      </c>
      <c r="P1041" s="25"/>
      <c r="Q1041" s="25"/>
      <c r="R1041" s="25"/>
      <c r="S1041" s="25"/>
      <c r="T1041" s="25"/>
      <c r="U1041" s="31">
        <f t="shared" si="17"/>
        <v>4</v>
      </c>
      <c r="V1041" s="25"/>
      <c r="W1041" s="33" t="s">
        <v>22</v>
      </c>
      <c r="X1041" s="33"/>
      <c r="Y1041" s="33"/>
      <c r="Z1041" s="33" t="s">
        <v>2244</v>
      </c>
      <c r="AA1041" s="33"/>
    </row>
    <row r="1042" spans="1:27" s="70" customFormat="1" ht="33.75" x14ac:dyDescent="0.2">
      <c r="A1042" s="24">
        <v>1038</v>
      </c>
      <c r="B1042" s="24" t="s">
        <v>1991</v>
      </c>
      <c r="C1042" s="25" t="s">
        <v>1990</v>
      </c>
      <c r="D1042" s="26" t="s">
        <v>2193</v>
      </c>
      <c r="E1042" s="25" t="s">
        <v>2192</v>
      </c>
      <c r="F1042" s="25" t="s">
        <v>2191</v>
      </c>
      <c r="G1042" s="24"/>
      <c r="H1042" s="25" t="s">
        <v>2200</v>
      </c>
      <c r="I1042" s="27"/>
      <c r="J1042" s="28" t="s">
        <v>2235</v>
      </c>
      <c r="K1042" s="27"/>
      <c r="L1042" s="25" t="s">
        <v>2258</v>
      </c>
      <c r="M1042" s="25" t="s">
        <v>190</v>
      </c>
      <c r="N1042" s="25">
        <v>1830</v>
      </c>
      <c r="O1042" s="25">
        <v>0.17</v>
      </c>
      <c r="P1042" s="25"/>
      <c r="Q1042" s="25"/>
      <c r="R1042" s="25"/>
      <c r="S1042" s="25"/>
      <c r="T1042" s="25"/>
      <c r="U1042" s="31">
        <f t="shared" si="17"/>
        <v>0.17</v>
      </c>
      <c r="V1042" s="25"/>
      <c r="W1042" s="33" t="s">
        <v>22</v>
      </c>
      <c r="X1042" s="33"/>
      <c r="Y1042" s="33"/>
      <c r="Z1042" s="33" t="s">
        <v>2244</v>
      </c>
      <c r="AA1042" s="33"/>
    </row>
    <row r="1043" spans="1:27" s="70" customFormat="1" ht="33.75" x14ac:dyDescent="0.2">
      <c r="A1043" s="24">
        <v>1039</v>
      </c>
      <c r="B1043" s="24" t="s">
        <v>1991</v>
      </c>
      <c r="C1043" s="25" t="s">
        <v>1990</v>
      </c>
      <c r="D1043" s="26" t="s">
        <v>2193</v>
      </c>
      <c r="E1043" s="25" t="s">
        <v>2192</v>
      </c>
      <c r="F1043" s="25" t="s">
        <v>2191</v>
      </c>
      <c r="G1043" s="24"/>
      <c r="H1043" s="25" t="s">
        <v>2200</v>
      </c>
      <c r="I1043" s="27"/>
      <c r="J1043" s="28" t="s">
        <v>2235</v>
      </c>
      <c r="K1043" s="27"/>
      <c r="L1043" s="25" t="s">
        <v>2257</v>
      </c>
      <c r="M1043" s="25" t="s">
        <v>265</v>
      </c>
      <c r="N1043" s="25">
        <v>6</v>
      </c>
      <c r="O1043" s="25">
        <v>8</v>
      </c>
      <c r="P1043" s="25"/>
      <c r="Q1043" s="25">
        <v>8</v>
      </c>
      <c r="R1043" s="25"/>
      <c r="S1043" s="25"/>
      <c r="T1043" s="25"/>
      <c r="U1043" s="31">
        <f t="shared" si="17"/>
        <v>16</v>
      </c>
      <c r="V1043" s="25"/>
      <c r="W1043" s="33" t="s">
        <v>22</v>
      </c>
      <c r="X1043" s="33"/>
      <c r="Y1043" s="33"/>
      <c r="Z1043" s="33" t="s">
        <v>2244</v>
      </c>
      <c r="AA1043" s="33"/>
    </row>
    <row r="1044" spans="1:27" s="70" customFormat="1" ht="33.75" x14ac:dyDescent="0.2">
      <c r="A1044" s="24">
        <v>1040</v>
      </c>
      <c r="B1044" s="24" t="s">
        <v>1991</v>
      </c>
      <c r="C1044" s="25" t="s">
        <v>1990</v>
      </c>
      <c r="D1044" s="26" t="s">
        <v>2193</v>
      </c>
      <c r="E1044" s="25" t="s">
        <v>2192</v>
      </c>
      <c r="F1044" s="25" t="s">
        <v>2191</v>
      </c>
      <c r="G1044" s="24"/>
      <c r="H1044" s="25" t="s">
        <v>2200</v>
      </c>
      <c r="I1044" s="27"/>
      <c r="J1044" s="28" t="s">
        <v>2235</v>
      </c>
      <c r="K1044" s="27"/>
      <c r="L1044" s="25" t="s">
        <v>2256</v>
      </c>
      <c r="M1044" s="25" t="s">
        <v>235</v>
      </c>
      <c r="N1044" s="25">
        <v>303</v>
      </c>
      <c r="O1044" s="25">
        <v>1</v>
      </c>
      <c r="P1044" s="25"/>
      <c r="Q1044" s="25"/>
      <c r="R1044" s="25"/>
      <c r="S1044" s="25"/>
      <c r="T1044" s="25"/>
      <c r="U1044" s="31">
        <f t="shared" si="17"/>
        <v>1</v>
      </c>
      <c r="V1044" s="25"/>
      <c r="W1044" s="33" t="s">
        <v>22</v>
      </c>
      <c r="X1044" s="33"/>
      <c r="Y1044" s="33"/>
      <c r="Z1044" s="33" t="s">
        <v>2244</v>
      </c>
      <c r="AA1044" s="33"/>
    </row>
    <row r="1045" spans="1:27" s="70" customFormat="1" ht="33.75" x14ac:dyDescent="0.2">
      <c r="A1045" s="24">
        <v>1041</v>
      </c>
      <c r="B1045" s="24" t="s">
        <v>1991</v>
      </c>
      <c r="C1045" s="25" t="s">
        <v>1990</v>
      </c>
      <c r="D1045" s="26" t="s">
        <v>2193</v>
      </c>
      <c r="E1045" s="25" t="s">
        <v>2192</v>
      </c>
      <c r="F1045" s="25" t="s">
        <v>2191</v>
      </c>
      <c r="G1045" s="24"/>
      <c r="H1045" s="25" t="s">
        <v>2200</v>
      </c>
      <c r="I1045" s="27"/>
      <c r="J1045" s="28" t="s">
        <v>2235</v>
      </c>
      <c r="K1045" s="27"/>
      <c r="L1045" s="25" t="s">
        <v>2255</v>
      </c>
      <c r="M1045" s="25" t="s">
        <v>235</v>
      </c>
      <c r="N1045" s="25">
        <v>303</v>
      </c>
      <c r="O1045" s="25">
        <v>7</v>
      </c>
      <c r="P1045" s="25"/>
      <c r="Q1045" s="25"/>
      <c r="R1045" s="25"/>
      <c r="S1045" s="25"/>
      <c r="T1045" s="25"/>
      <c r="U1045" s="31">
        <f t="shared" si="17"/>
        <v>7</v>
      </c>
      <c r="V1045" s="25"/>
      <c r="W1045" s="33" t="s">
        <v>22</v>
      </c>
      <c r="X1045" s="33"/>
      <c r="Y1045" s="33"/>
      <c r="Z1045" s="33" t="s">
        <v>2244</v>
      </c>
      <c r="AA1045" s="33"/>
    </row>
    <row r="1046" spans="1:27" s="70" customFormat="1" ht="33.75" x14ac:dyDescent="0.2">
      <c r="A1046" s="24">
        <v>1042</v>
      </c>
      <c r="B1046" s="24" t="s">
        <v>1991</v>
      </c>
      <c r="C1046" s="25" t="s">
        <v>1990</v>
      </c>
      <c r="D1046" s="26" t="s">
        <v>2193</v>
      </c>
      <c r="E1046" s="25" t="s">
        <v>2192</v>
      </c>
      <c r="F1046" s="25" t="s">
        <v>2191</v>
      </c>
      <c r="G1046" s="24"/>
      <c r="H1046" s="25" t="s">
        <v>2200</v>
      </c>
      <c r="I1046" s="27"/>
      <c r="J1046" s="28" t="s">
        <v>2235</v>
      </c>
      <c r="K1046" s="27"/>
      <c r="L1046" s="25" t="s">
        <v>2254</v>
      </c>
      <c r="M1046" s="25" t="s">
        <v>1812</v>
      </c>
      <c r="N1046" s="25">
        <v>10</v>
      </c>
      <c r="O1046" s="25">
        <v>0.5</v>
      </c>
      <c r="P1046" s="25"/>
      <c r="Q1046" s="25"/>
      <c r="R1046" s="25"/>
      <c r="S1046" s="25"/>
      <c r="T1046" s="25"/>
      <c r="U1046" s="31">
        <f t="shared" si="17"/>
        <v>0.5</v>
      </c>
      <c r="V1046" s="25"/>
      <c r="W1046" s="33" t="s">
        <v>22</v>
      </c>
      <c r="X1046" s="33"/>
      <c r="Y1046" s="33"/>
      <c r="Z1046" s="33" t="s">
        <v>2244</v>
      </c>
      <c r="AA1046" s="33"/>
    </row>
    <row r="1047" spans="1:27" s="70" customFormat="1" ht="33.75" x14ac:dyDescent="0.2">
      <c r="A1047" s="24">
        <v>1043</v>
      </c>
      <c r="B1047" s="24" t="s">
        <v>1991</v>
      </c>
      <c r="C1047" s="25" t="s">
        <v>1990</v>
      </c>
      <c r="D1047" s="26" t="s">
        <v>2193</v>
      </c>
      <c r="E1047" s="25" t="s">
        <v>2192</v>
      </c>
      <c r="F1047" s="25" t="s">
        <v>2191</v>
      </c>
      <c r="G1047" s="24"/>
      <c r="H1047" s="25" t="s">
        <v>2200</v>
      </c>
      <c r="I1047" s="27"/>
      <c r="J1047" s="28" t="s">
        <v>2235</v>
      </c>
      <c r="K1047" s="27"/>
      <c r="L1047" s="25" t="s">
        <v>2253</v>
      </c>
      <c r="M1047" s="25" t="s">
        <v>235</v>
      </c>
      <c r="N1047" s="25">
        <v>303</v>
      </c>
      <c r="O1047" s="25">
        <v>1</v>
      </c>
      <c r="P1047" s="25"/>
      <c r="Q1047" s="25"/>
      <c r="R1047" s="25"/>
      <c r="S1047" s="25"/>
      <c r="T1047" s="25"/>
      <c r="U1047" s="31">
        <f t="shared" si="17"/>
        <v>1</v>
      </c>
      <c r="V1047" s="25"/>
      <c r="W1047" s="33" t="s">
        <v>22</v>
      </c>
      <c r="X1047" s="33"/>
      <c r="Y1047" s="33"/>
      <c r="Z1047" s="33" t="s">
        <v>2244</v>
      </c>
      <c r="AA1047" s="33"/>
    </row>
    <row r="1048" spans="1:27" s="70" customFormat="1" ht="33.75" x14ac:dyDescent="0.2">
      <c r="A1048" s="24">
        <v>1044</v>
      </c>
      <c r="B1048" s="24" t="s">
        <v>1991</v>
      </c>
      <c r="C1048" s="25" t="s">
        <v>1990</v>
      </c>
      <c r="D1048" s="26" t="s">
        <v>2193</v>
      </c>
      <c r="E1048" s="25" t="s">
        <v>2192</v>
      </c>
      <c r="F1048" s="25" t="s">
        <v>2191</v>
      </c>
      <c r="G1048" s="24"/>
      <c r="H1048" s="25" t="s">
        <v>2200</v>
      </c>
      <c r="I1048" s="27"/>
      <c r="J1048" s="28" t="s">
        <v>2235</v>
      </c>
      <c r="K1048" s="27"/>
      <c r="L1048" s="25" t="s">
        <v>2252</v>
      </c>
      <c r="M1048" s="25" t="s">
        <v>235</v>
      </c>
      <c r="N1048" s="25">
        <v>303</v>
      </c>
      <c r="O1048" s="25"/>
      <c r="P1048" s="25"/>
      <c r="Q1048" s="25">
        <v>5</v>
      </c>
      <c r="R1048" s="25"/>
      <c r="S1048" s="25"/>
      <c r="T1048" s="25"/>
      <c r="U1048" s="31">
        <f t="shared" si="17"/>
        <v>5</v>
      </c>
      <c r="V1048" s="25"/>
      <c r="W1048" s="33" t="s">
        <v>22</v>
      </c>
      <c r="X1048" s="33"/>
      <c r="Y1048" s="33"/>
      <c r="Z1048" s="33" t="s">
        <v>2244</v>
      </c>
      <c r="AA1048" s="33"/>
    </row>
    <row r="1049" spans="1:27" s="70" customFormat="1" ht="33.75" x14ac:dyDescent="0.2">
      <c r="A1049" s="24">
        <v>1045</v>
      </c>
      <c r="B1049" s="24" t="s">
        <v>1991</v>
      </c>
      <c r="C1049" s="25" t="s">
        <v>1990</v>
      </c>
      <c r="D1049" s="26" t="s">
        <v>2193</v>
      </c>
      <c r="E1049" s="25" t="s">
        <v>2192</v>
      </c>
      <c r="F1049" s="25" t="s">
        <v>2191</v>
      </c>
      <c r="G1049" s="24"/>
      <c r="H1049" s="25" t="s">
        <v>2200</v>
      </c>
      <c r="I1049" s="27"/>
      <c r="J1049" s="28" t="s">
        <v>2235</v>
      </c>
      <c r="K1049" s="27"/>
      <c r="L1049" s="25" t="s">
        <v>2251</v>
      </c>
      <c r="M1049" s="25" t="s">
        <v>235</v>
      </c>
      <c r="N1049" s="25">
        <v>303</v>
      </c>
      <c r="O1049" s="25"/>
      <c r="P1049" s="25"/>
      <c r="Q1049" s="25">
        <v>0.5</v>
      </c>
      <c r="R1049" s="25"/>
      <c r="S1049" s="25"/>
      <c r="T1049" s="25"/>
      <c r="U1049" s="31">
        <f t="shared" si="17"/>
        <v>0.5</v>
      </c>
      <c r="V1049" s="25"/>
      <c r="W1049" s="33" t="s">
        <v>22</v>
      </c>
      <c r="X1049" s="33"/>
      <c r="Y1049" s="33"/>
      <c r="Z1049" s="33" t="s">
        <v>2244</v>
      </c>
      <c r="AA1049" s="33"/>
    </row>
    <row r="1050" spans="1:27" s="70" customFormat="1" ht="56.25" x14ac:dyDescent="0.2">
      <c r="A1050" s="24">
        <v>1046</v>
      </c>
      <c r="B1050" s="24" t="s">
        <v>1991</v>
      </c>
      <c r="C1050" s="25" t="s">
        <v>1990</v>
      </c>
      <c r="D1050" s="26" t="s">
        <v>2193</v>
      </c>
      <c r="E1050" s="25" t="s">
        <v>2192</v>
      </c>
      <c r="F1050" s="25" t="s">
        <v>2191</v>
      </c>
      <c r="G1050" s="24"/>
      <c r="H1050" s="25" t="s">
        <v>2200</v>
      </c>
      <c r="I1050" s="27"/>
      <c r="J1050" s="28" t="s">
        <v>2235</v>
      </c>
      <c r="K1050" s="27"/>
      <c r="L1050" s="25" t="s">
        <v>2250</v>
      </c>
      <c r="M1050" s="25" t="s">
        <v>1812</v>
      </c>
      <c r="N1050" s="25">
        <v>303</v>
      </c>
      <c r="O1050" s="25"/>
      <c r="P1050" s="25"/>
      <c r="Q1050" s="25">
        <v>0.17</v>
      </c>
      <c r="R1050" s="25"/>
      <c r="S1050" s="25"/>
      <c r="T1050" s="25"/>
      <c r="U1050" s="31">
        <f t="shared" si="17"/>
        <v>0.17</v>
      </c>
      <c r="V1050" s="25"/>
      <c r="W1050" s="33" t="s">
        <v>2249</v>
      </c>
      <c r="X1050" s="33"/>
      <c r="Y1050" s="33"/>
      <c r="Z1050" s="33" t="s">
        <v>2244</v>
      </c>
      <c r="AA1050" s="33"/>
    </row>
    <row r="1051" spans="1:27" s="70" customFormat="1" ht="33.75" x14ac:dyDescent="0.2">
      <c r="A1051" s="24">
        <v>1047</v>
      </c>
      <c r="B1051" s="24" t="s">
        <v>1991</v>
      </c>
      <c r="C1051" s="25" t="s">
        <v>1990</v>
      </c>
      <c r="D1051" s="26" t="s">
        <v>2193</v>
      </c>
      <c r="E1051" s="25" t="s">
        <v>2192</v>
      </c>
      <c r="F1051" s="25" t="s">
        <v>2191</v>
      </c>
      <c r="G1051" s="24"/>
      <c r="H1051" s="25" t="s">
        <v>2200</v>
      </c>
      <c r="I1051" s="27"/>
      <c r="J1051" s="28" t="s">
        <v>2235</v>
      </c>
      <c r="K1051" s="27"/>
      <c r="L1051" s="25" t="s">
        <v>2248</v>
      </c>
      <c r="M1051" s="25" t="s">
        <v>265</v>
      </c>
      <c r="N1051" s="25">
        <v>303</v>
      </c>
      <c r="O1051" s="25"/>
      <c r="P1051" s="25"/>
      <c r="Q1051" s="25">
        <v>0.5</v>
      </c>
      <c r="R1051" s="25"/>
      <c r="S1051" s="25"/>
      <c r="T1051" s="25"/>
      <c r="U1051" s="31">
        <f t="shared" si="17"/>
        <v>0.5</v>
      </c>
      <c r="V1051" s="25"/>
      <c r="W1051" s="33" t="s">
        <v>2247</v>
      </c>
      <c r="X1051" s="33"/>
      <c r="Y1051" s="33"/>
      <c r="Z1051" s="33" t="s">
        <v>2237</v>
      </c>
      <c r="AA1051" s="33"/>
    </row>
    <row r="1052" spans="1:27" s="70" customFormat="1" ht="33.75" x14ac:dyDescent="0.2">
      <c r="A1052" s="24">
        <v>1048</v>
      </c>
      <c r="B1052" s="24" t="s">
        <v>1991</v>
      </c>
      <c r="C1052" s="25" t="s">
        <v>1990</v>
      </c>
      <c r="D1052" s="26" t="s">
        <v>2193</v>
      </c>
      <c r="E1052" s="25" t="s">
        <v>2192</v>
      </c>
      <c r="F1052" s="25" t="s">
        <v>2191</v>
      </c>
      <c r="G1052" s="24"/>
      <c r="H1052" s="25" t="s">
        <v>2200</v>
      </c>
      <c r="I1052" s="27"/>
      <c r="J1052" s="28" t="s">
        <v>2235</v>
      </c>
      <c r="K1052" s="27"/>
      <c r="L1052" s="25" t="s">
        <v>2246</v>
      </c>
      <c r="M1052" s="25" t="s">
        <v>190</v>
      </c>
      <c r="N1052" s="25">
        <v>12</v>
      </c>
      <c r="O1052" s="25"/>
      <c r="P1052" s="25"/>
      <c r="Q1052" s="25">
        <v>16</v>
      </c>
      <c r="R1052" s="25"/>
      <c r="S1052" s="25"/>
      <c r="T1052" s="25"/>
      <c r="U1052" s="31">
        <f t="shared" si="17"/>
        <v>16</v>
      </c>
      <c r="V1052" s="25"/>
      <c r="W1052" s="33" t="s">
        <v>22</v>
      </c>
      <c r="X1052" s="33"/>
      <c r="Y1052" s="33"/>
      <c r="Z1052" s="33" t="s">
        <v>2244</v>
      </c>
      <c r="AA1052" s="33"/>
    </row>
    <row r="1053" spans="1:27" s="70" customFormat="1" ht="33.75" x14ac:dyDescent="0.2">
      <c r="A1053" s="24">
        <v>1049</v>
      </c>
      <c r="B1053" s="24" t="s">
        <v>1991</v>
      </c>
      <c r="C1053" s="25" t="s">
        <v>1990</v>
      </c>
      <c r="D1053" s="26" t="s">
        <v>2193</v>
      </c>
      <c r="E1053" s="25" t="s">
        <v>2192</v>
      </c>
      <c r="F1053" s="25" t="s">
        <v>2191</v>
      </c>
      <c r="G1053" s="24"/>
      <c r="H1053" s="25" t="s">
        <v>2200</v>
      </c>
      <c r="I1053" s="27"/>
      <c r="J1053" s="28" t="s">
        <v>2235</v>
      </c>
      <c r="K1053" s="27"/>
      <c r="L1053" s="25" t="s">
        <v>2245</v>
      </c>
      <c r="M1053" s="25" t="s">
        <v>235</v>
      </c>
      <c r="N1053" s="25">
        <v>303</v>
      </c>
      <c r="O1053" s="25"/>
      <c r="P1053" s="25"/>
      <c r="Q1053" s="25">
        <v>0.5</v>
      </c>
      <c r="R1053" s="25"/>
      <c r="S1053" s="25"/>
      <c r="T1053" s="25"/>
      <c r="U1053" s="31">
        <f t="shared" si="17"/>
        <v>0.5</v>
      </c>
      <c r="V1053" s="25"/>
      <c r="W1053" s="33" t="s">
        <v>22</v>
      </c>
      <c r="X1053" s="33"/>
      <c r="Y1053" s="33"/>
      <c r="Z1053" s="33" t="s">
        <v>2244</v>
      </c>
      <c r="AA1053" s="33"/>
    </row>
    <row r="1054" spans="1:27" s="70" customFormat="1" ht="33.75" x14ac:dyDescent="0.2">
      <c r="A1054" s="24">
        <v>1050</v>
      </c>
      <c r="B1054" s="24" t="s">
        <v>1991</v>
      </c>
      <c r="C1054" s="25" t="s">
        <v>1990</v>
      </c>
      <c r="D1054" s="26" t="s">
        <v>2193</v>
      </c>
      <c r="E1054" s="25" t="s">
        <v>2192</v>
      </c>
      <c r="F1054" s="25" t="s">
        <v>2191</v>
      </c>
      <c r="G1054" s="24"/>
      <c r="H1054" s="25" t="s">
        <v>2200</v>
      </c>
      <c r="I1054" s="27"/>
      <c r="J1054" s="28" t="s">
        <v>2235</v>
      </c>
      <c r="K1054" s="27"/>
      <c r="L1054" s="25" t="s">
        <v>2243</v>
      </c>
      <c r="M1054" s="25" t="s">
        <v>235</v>
      </c>
      <c r="N1054" s="25">
        <v>303</v>
      </c>
      <c r="O1054" s="25"/>
      <c r="P1054" s="25"/>
      <c r="Q1054" s="25">
        <v>0.5</v>
      </c>
      <c r="R1054" s="25"/>
      <c r="S1054" s="25"/>
      <c r="T1054" s="25"/>
      <c r="U1054" s="31">
        <f t="shared" si="17"/>
        <v>0.5</v>
      </c>
      <c r="V1054" s="25"/>
      <c r="W1054" s="33" t="s">
        <v>22</v>
      </c>
      <c r="X1054" s="33"/>
      <c r="Y1054" s="33"/>
      <c r="Z1054" s="33" t="s">
        <v>2242</v>
      </c>
      <c r="AA1054" s="33"/>
    </row>
    <row r="1055" spans="1:27" s="70" customFormat="1" ht="33.75" x14ac:dyDescent="0.2">
      <c r="A1055" s="24">
        <v>1051</v>
      </c>
      <c r="B1055" s="24" t="s">
        <v>1991</v>
      </c>
      <c r="C1055" s="25" t="s">
        <v>1990</v>
      </c>
      <c r="D1055" s="26" t="s">
        <v>2193</v>
      </c>
      <c r="E1055" s="25" t="s">
        <v>2192</v>
      </c>
      <c r="F1055" s="25" t="s">
        <v>2191</v>
      </c>
      <c r="G1055" s="24"/>
      <c r="H1055" s="25" t="s">
        <v>2200</v>
      </c>
      <c r="I1055" s="27"/>
      <c r="J1055" s="28" t="s">
        <v>2235</v>
      </c>
      <c r="K1055" s="27"/>
      <c r="L1055" s="25" t="s">
        <v>2241</v>
      </c>
      <c r="M1055" s="25" t="s">
        <v>265</v>
      </c>
      <c r="N1055" s="25">
        <v>2</v>
      </c>
      <c r="O1055" s="25"/>
      <c r="P1055" s="25"/>
      <c r="Q1055" s="25">
        <v>40</v>
      </c>
      <c r="R1055" s="25"/>
      <c r="S1055" s="25"/>
      <c r="T1055" s="25"/>
      <c r="U1055" s="31">
        <f t="shared" si="17"/>
        <v>40</v>
      </c>
      <c r="V1055" s="25"/>
      <c r="W1055" s="33" t="s">
        <v>2240</v>
      </c>
      <c r="X1055" s="33"/>
      <c r="Y1055" s="33"/>
      <c r="Z1055" s="33" t="s">
        <v>189</v>
      </c>
      <c r="AA1055" s="33"/>
    </row>
    <row r="1056" spans="1:27" s="70" customFormat="1" ht="33.75" x14ac:dyDescent="0.2">
      <c r="A1056" s="24">
        <v>1052</v>
      </c>
      <c r="B1056" s="24" t="s">
        <v>1991</v>
      </c>
      <c r="C1056" s="25" t="s">
        <v>1990</v>
      </c>
      <c r="D1056" s="26" t="s">
        <v>2193</v>
      </c>
      <c r="E1056" s="25" t="s">
        <v>2192</v>
      </c>
      <c r="F1056" s="25" t="s">
        <v>2191</v>
      </c>
      <c r="G1056" s="24"/>
      <c r="H1056" s="25" t="s">
        <v>2200</v>
      </c>
      <c r="I1056" s="27"/>
      <c r="J1056" s="28" t="s">
        <v>2235</v>
      </c>
      <c r="K1056" s="27"/>
      <c r="L1056" s="25" t="s">
        <v>2239</v>
      </c>
      <c r="M1056" s="25" t="s">
        <v>265</v>
      </c>
      <c r="N1056" s="25">
        <v>12</v>
      </c>
      <c r="O1056" s="25"/>
      <c r="P1056" s="25"/>
      <c r="Q1056" s="25">
        <v>4</v>
      </c>
      <c r="R1056" s="25"/>
      <c r="S1056" s="25"/>
      <c r="T1056" s="25"/>
      <c r="U1056" s="31">
        <f t="shared" si="17"/>
        <v>4</v>
      </c>
      <c r="V1056" s="25"/>
      <c r="W1056" s="33" t="s">
        <v>2238</v>
      </c>
      <c r="X1056" s="33"/>
      <c r="Y1056" s="33"/>
      <c r="Z1056" s="33" t="s">
        <v>2237</v>
      </c>
      <c r="AA1056" s="33"/>
    </row>
    <row r="1057" spans="1:27" s="70" customFormat="1" ht="33.75" x14ac:dyDescent="0.2">
      <c r="A1057" s="24">
        <v>1053</v>
      </c>
      <c r="B1057" s="24" t="s">
        <v>1991</v>
      </c>
      <c r="C1057" s="25" t="s">
        <v>1990</v>
      </c>
      <c r="D1057" s="26" t="s">
        <v>2193</v>
      </c>
      <c r="E1057" s="25" t="s">
        <v>2192</v>
      </c>
      <c r="F1057" s="25" t="s">
        <v>2191</v>
      </c>
      <c r="G1057" s="24"/>
      <c r="H1057" s="25" t="s">
        <v>2200</v>
      </c>
      <c r="I1057" s="27"/>
      <c r="J1057" s="28" t="s">
        <v>2235</v>
      </c>
      <c r="K1057" s="27"/>
      <c r="L1057" s="25" t="s">
        <v>2236</v>
      </c>
      <c r="M1057" s="25" t="s">
        <v>235</v>
      </c>
      <c r="N1057" s="25">
        <v>1248</v>
      </c>
      <c r="O1057" s="25">
        <v>3</v>
      </c>
      <c r="P1057" s="25"/>
      <c r="Q1057" s="25">
        <v>1</v>
      </c>
      <c r="R1057" s="25"/>
      <c r="S1057" s="25"/>
      <c r="T1057" s="25"/>
      <c r="U1057" s="31">
        <f t="shared" si="17"/>
        <v>4</v>
      </c>
      <c r="V1057" s="25"/>
      <c r="W1057" s="33" t="s">
        <v>22</v>
      </c>
      <c r="X1057" s="33" t="s">
        <v>2087</v>
      </c>
      <c r="Y1057" s="33" t="s">
        <v>2086</v>
      </c>
      <c r="Z1057" s="33" t="s">
        <v>189</v>
      </c>
      <c r="AA1057" s="33"/>
    </row>
    <row r="1058" spans="1:27" s="70" customFormat="1" ht="33.75" x14ac:dyDescent="0.2">
      <c r="A1058" s="24">
        <v>1054</v>
      </c>
      <c r="B1058" s="24" t="s">
        <v>1991</v>
      </c>
      <c r="C1058" s="25" t="s">
        <v>1990</v>
      </c>
      <c r="D1058" s="26" t="s">
        <v>2193</v>
      </c>
      <c r="E1058" s="25" t="s">
        <v>2192</v>
      </c>
      <c r="F1058" s="25" t="s">
        <v>2191</v>
      </c>
      <c r="G1058" s="24"/>
      <c r="H1058" s="25" t="s">
        <v>2200</v>
      </c>
      <c r="I1058" s="27"/>
      <c r="J1058" s="28" t="s">
        <v>2235</v>
      </c>
      <c r="K1058" s="27"/>
      <c r="L1058" s="25" t="s">
        <v>2234</v>
      </c>
      <c r="M1058" s="25" t="s">
        <v>2233</v>
      </c>
      <c r="N1058" s="25">
        <v>303</v>
      </c>
      <c r="O1058" s="25">
        <v>1</v>
      </c>
      <c r="P1058" s="25"/>
      <c r="Q1058" s="25"/>
      <c r="R1058" s="25"/>
      <c r="S1058" s="25"/>
      <c r="T1058" s="25"/>
      <c r="U1058" s="31">
        <f t="shared" si="17"/>
        <v>1</v>
      </c>
      <c r="V1058" s="25"/>
      <c r="W1058" s="33" t="s">
        <v>22</v>
      </c>
      <c r="X1058" s="33"/>
      <c r="Y1058" s="33"/>
      <c r="Z1058" s="33" t="s">
        <v>189</v>
      </c>
      <c r="AA1058" s="33"/>
    </row>
    <row r="1059" spans="1:27" s="70" customFormat="1" ht="45" x14ac:dyDescent="0.2">
      <c r="A1059" s="24">
        <v>1055</v>
      </c>
      <c r="B1059" s="24" t="s">
        <v>1991</v>
      </c>
      <c r="C1059" s="25" t="s">
        <v>1990</v>
      </c>
      <c r="D1059" s="26" t="s">
        <v>2193</v>
      </c>
      <c r="E1059" s="25" t="s">
        <v>2192</v>
      </c>
      <c r="F1059" s="25" t="s">
        <v>2191</v>
      </c>
      <c r="G1059" s="24"/>
      <c r="H1059" s="25" t="s">
        <v>2200</v>
      </c>
      <c r="I1059" s="27"/>
      <c r="J1059" s="28" t="s">
        <v>2232</v>
      </c>
      <c r="K1059" s="27"/>
      <c r="L1059" s="25" t="s">
        <v>2231</v>
      </c>
      <c r="M1059" s="25" t="s">
        <v>431</v>
      </c>
      <c r="N1059" s="25">
        <v>4</v>
      </c>
      <c r="O1059" s="25"/>
      <c r="P1059" s="25">
        <v>10</v>
      </c>
      <c r="Q1059" s="25"/>
      <c r="R1059" s="25">
        <v>8</v>
      </c>
      <c r="S1059" s="25"/>
      <c r="T1059" s="25"/>
      <c r="U1059" s="31">
        <f t="shared" si="17"/>
        <v>18</v>
      </c>
      <c r="V1059" s="25"/>
      <c r="W1059" s="33" t="s">
        <v>22</v>
      </c>
      <c r="X1059" s="33"/>
      <c r="Y1059" s="33"/>
      <c r="Z1059" s="33" t="s">
        <v>189</v>
      </c>
      <c r="AA1059" s="33"/>
    </row>
    <row r="1060" spans="1:27" s="70" customFormat="1" ht="33.75" x14ac:dyDescent="0.2">
      <c r="A1060" s="24">
        <v>1056</v>
      </c>
      <c r="B1060" s="24" t="s">
        <v>1991</v>
      </c>
      <c r="C1060" s="25" t="s">
        <v>1990</v>
      </c>
      <c r="D1060" s="26" t="s">
        <v>2193</v>
      </c>
      <c r="E1060" s="25" t="s">
        <v>2192</v>
      </c>
      <c r="F1060" s="25" t="s">
        <v>2191</v>
      </c>
      <c r="G1060" s="24"/>
      <c r="H1060" s="25" t="s">
        <v>2200</v>
      </c>
      <c r="I1060" s="27"/>
      <c r="J1060" s="28" t="s">
        <v>2230</v>
      </c>
      <c r="K1060" s="27"/>
      <c r="L1060" s="25" t="s">
        <v>2229</v>
      </c>
      <c r="M1060" s="25" t="s">
        <v>2073</v>
      </c>
      <c r="N1060" s="25">
        <v>1</v>
      </c>
      <c r="O1060" s="25">
        <v>32</v>
      </c>
      <c r="P1060" s="25"/>
      <c r="Q1060" s="25"/>
      <c r="R1060" s="25"/>
      <c r="S1060" s="25">
        <v>0.08</v>
      </c>
      <c r="T1060" s="25"/>
      <c r="U1060" s="31">
        <f t="shared" si="17"/>
        <v>32.08</v>
      </c>
      <c r="V1060" s="25"/>
      <c r="W1060" s="33" t="s">
        <v>22</v>
      </c>
      <c r="X1060" s="33"/>
      <c r="Y1060" s="33"/>
      <c r="Z1060" s="33" t="s">
        <v>189</v>
      </c>
      <c r="AA1060" s="33"/>
    </row>
    <row r="1061" spans="1:27" s="70" customFormat="1" ht="33.75" x14ac:dyDescent="0.2">
      <c r="A1061" s="24">
        <v>1057</v>
      </c>
      <c r="B1061" s="24" t="s">
        <v>1991</v>
      </c>
      <c r="C1061" s="25" t="s">
        <v>1990</v>
      </c>
      <c r="D1061" s="26" t="s">
        <v>2193</v>
      </c>
      <c r="E1061" s="25" t="s">
        <v>2192</v>
      </c>
      <c r="F1061" s="25" t="s">
        <v>2191</v>
      </c>
      <c r="G1061" s="24"/>
      <c r="H1061" s="25" t="s">
        <v>2200</v>
      </c>
      <c r="I1061" s="27"/>
      <c r="J1061" s="28" t="s">
        <v>2216</v>
      </c>
      <c r="K1061" s="27"/>
      <c r="L1061" s="25" t="s">
        <v>2228</v>
      </c>
      <c r="M1061" s="25" t="s">
        <v>235</v>
      </c>
      <c r="N1061" s="25">
        <v>313</v>
      </c>
      <c r="O1061" s="25"/>
      <c r="P1061" s="25">
        <v>2</v>
      </c>
      <c r="Q1061" s="25"/>
      <c r="R1061" s="25"/>
      <c r="S1061" s="25"/>
      <c r="T1061" s="25"/>
      <c r="U1061" s="31">
        <f t="shared" si="17"/>
        <v>2</v>
      </c>
      <c r="V1061" s="25"/>
      <c r="W1061" s="33" t="s">
        <v>22</v>
      </c>
      <c r="X1061" s="33"/>
      <c r="Y1061" s="33"/>
      <c r="Z1061" s="33" t="s">
        <v>189</v>
      </c>
      <c r="AA1061" s="33"/>
    </row>
    <row r="1062" spans="1:27" s="70" customFormat="1" ht="33.75" x14ac:dyDescent="0.2">
      <c r="A1062" s="24">
        <v>1058</v>
      </c>
      <c r="B1062" s="24" t="s">
        <v>1991</v>
      </c>
      <c r="C1062" s="25" t="s">
        <v>1990</v>
      </c>
      <c r="D1062" s="26" t="s">
        <v>2193</v>
      </c>
      <c r="E1062" s="25" t="s">
        <v>2192</v>
      </c>
      <c r="F1062" s="25" t="s">
        <v>2191</v>
      </c>
      <c r="G1062" s="24"/>
      <c r="H1062" s="25" t="s">
        <v>2200</v>
      </c>
      <c r="I1062" s="27"/>
      <c r="J1062" s="28" t="s">
        <v>2216</v>
      </c>
      <c r="K1062" s="27"/>
      <c r="L1062" s="25" t="s">
        <v>2227</v>
      </c>
      <c r="M1062" s="25" t="s">
        <v>190</v>
      </c>
      <c r="N1062" s="25">
        <v>24</v>
      </c>
      <c r="O1062" s="25"/>
      <c r="P1062" s="25">
        <v>2</v>
      </c>
      <c r="Q1062" s="25"/>
      <c r="R1062" s="25"/>
      <c r="S1062" s="25"/>
      <c r="T1062" s="25"/>
      <c r="U1062" s="31">
        <f t="shared" si="17"/>
        <v>2</v>
      </c>
      <c r="V1062" s="25"/>
      <c r="W1062" s="33" t="s">
        <v>22</v>
      </c>
      <c r="X1062" s="33"/>
      <c r="Y1062" s="33"/>
      <c r="Z1062" s="33" t="s">
        <v>189</v>
      </c>
      <c r="AA1062" s="33"/>
    </row>
    <row r="1063" spans="1:27" s="70" customFormat="1" ht="33.75" x14ac:dyDescent="0.2">
      <c r="A1063" s="24">
        <v>1059</v>
      </c>
      <c r="B1063" s="24" t="s">
        <v>1991</v>
      </c>
      <c r="C1063" s="25" t="s">
        <v>1990</v>
      </c>
      <c r="D1063" s="26" t="s">
        <v>2193</v>
      </c>
      <c r="E1063" s="25" t="s">
        <v>2192</v>
      </c>
      <c r="F1063" s="25" t="s">
        <v>2191</v>
      </c>
      <c r="G1063" s="24"/>
      <c r="H1063" s="25" t="s">
        <v>2200</v>
      </c>
      <c r="I1063" s="27"/>
      <c r="J1063" s="28" t="s">
        <v>2216</v>
      </c>
      <c r="K1063" s="27"/>
      <c r="L1063" s="25" t="s">
        <v>2226</v>
      </c>
      <c r="M1063" s="25" t="s">
        <v>190</v>
      </c>
      <c r="N1063" s="25">
        <v>313</v>
      </c>
      <c r="O1063" s="25"/>
      <c r="P1063" s="25">
        <v>1.5</v>
      </c>
      <c r="Q1063" s="25"/>
      <c r="R1063" s="25">
        <v>0.17</v>
      </c>
      <c r="S1063" s="25"/>
      <c r="T1063" s="25"/>
      <c r="U1063" s="31">
        <f t="shared" si="17"/>
        <v>1.67</v>
      </c>
      <c r="V1063" s="25"/>
      <c r="W1063" s="33" t="s">
        <v>22</v>
      </c>
      <c r="X1063" s="33"/>
      <c r="Y1063" s="33"/>
      <c r="Z1063" s="33" t="s">
        <v>189</v>
      </c>
      <c r="AA1063" s="33"/>
    </row>
    <row r="1064" spans="1:27" s="70" customFormat="1" ht="33.75" x14ac:dyDescent="0.2">
      <c r="A1064" s="24">
        <v>1060</v>
      </c>
      <c r="B1064" s="24" t="s">
        <v>1991</v>
      </c>
      <c r="C1064" s="25" t="s">
        <v>1990</v>
      </c>
      <c r="D1064" s="26" t="s">
        <v>2193</v>
      </c>
      <c r="E1064" s="25" t="s">
        <v>2192</v>
      </c>
      <c r="F1064" s="25" t="s">
        <v>2191</v>
      </c>
      <c r="G1064" s="24"/>
      <c r="H1064" s="25" t="s">
        <v>2200</v>
      </c>
      <c r="I1064" s="27"/>
      <c r="J1064" s="28" t="s">
        <v>2216</v>
      </c>
      <c r="K1064" s="27"/>
      <c r="L1064" s="25" t="s">
        <v>2225</v>
      </c>
      <c r="M1064" s="25" t="s">
        <v>190</v>
      </c>
      <c r="N1064" s="25">
        <v>12</v>
      </c>
      <c r="O1064" s="25"/>
      <c r="P1064" s="25">
        <v>1.5</v>
      </c>
      <c r="Q1064" s="25"/>
      <c r="R1064" s="25">
        <v>0.5</v>
      </c>
      <c r="S1064" s="25"/>
      <c r="T1064" s="25"/>
      <c r="U1064" s="31">
        <f t="shared" si="17"/>
        <v>2</v>
      </c>
      <c r="V1064" s="25"/>
      <c r="W1064" s="33" t="s">
        <v>22</v>
      </c>
      <c r="X1064" s="33"/>
      <c r="Y1064" s="33"/>
      <c r="Z1064" s="33" t="s">
        <v>189</v>
      </c>
      <c r="AA1064" s="33"/>
    </row>
    <row r="1065" spans="1:27" s="70" customFormat="1" ht="33.75" x14ac:dyDescent="0.2">
      <c r="A1065" s="24">
        <v>1061</v>
      </c>
      <c r="B1065" s="24" t="s">
        <v>1991</v>
      </c>
      <c r="C1065" s="25" t="s">
        <v>1990</v>
      </c>
      <c r="D1065" s="26" t="s">
        <v>2193</v>
      </c>
      <c r="E1065" s="25" t="s">
        <v>2192</v>
      </c>
      <c r="F1065" s="25" t="s">
        <v>2191</v>
      </c>
      <c r="G1065" s="24"/>
      <c r="H1065" s="25" t="s">
        <v>2200</v>
      </c>
      <c r="I1065" s="27"/>
      <c r="J1065" s="28" t="s">
        <v>2216</v>
      </c>
      <c r="K1065" s="27"/>
      <c r="L1065" s="25" t="s">
        <v>2224</v>
      </c>
      <c r="M1065" s="25" t="s">
        <v>190</v>
      </c>
      <c r="N1065" s="25">
        <v>12</v>
      </c>
      <c r="O1065" s="25"/>
      <c r="P1065" s="25">
        <v>1.5</v>
      </c>
      <c r="Q1065" s="25"/>
      <c r="R1065" s="25">
        <v>0.5</v>
      </c>
      <c r="S1065" s="25"/>
      <c r="T1065" s="25"/>
      <c r="U1065" s="31">
        <f t="shared" si="17"/>
        <v>2</v>
      </c>
      <c r="V1065" s="25"/>
      <c r="W1065" s="33" t="s">
        <v>22</v>
      </c>
      <c r="X1065" s="33"/>
      <c r="Y1065" s="33"/>
      <c r="Z1065" s="33" t="s">
        <v>189</v>
      </c>
      <c r="AA1065" s="33"/>
    </row>
    <row r="1066" spans="1:27" s="70" customFormat="1" ht="33.75" x14ac:dyDescent="0.2">
      <c r="A1066" s="24">
        <v>1062</v>
      </c>
      <c r="B1066" s="24" t="s">
        <v>1991</v>
      </c>
      <c r="C1066" s="25" t="s">
        <v>1990</v>
      </c>
      <c r="D1066" s="26" t="s">
        <v>2193</v>
      </c>
      <c r="E1066" s="25" t="s">
        <v>2192</v>
      </c>
      <c r="F1066" s="25" t="s">
        <v>2191</v>
      </c>
      <c r="G1066" s="24"/>
      <c r="H1066" s="25" t="s">
        <v>2200</v>
      </c>
      <c r="I1066" s="27"/>
      <c r="J1066" s="28" t="s">
        <v>2216</v>
      </c>
      <c r="K1066" s="27"/>
      <c r="L1066" s="25" t="s">
        <v>2223</v>
      </c>
      <c r="M1066" s="25" t="s">
        <v>190</v>
      </c>
      <c r="N1066" s="25">
        <v>12</v>
      </c>
      <c r="O1066" s="25"/>
      <c r="P1066" s="25">
        <v>2</v>
      </c>
      <c r="Q1066" s="25"/>
      <c r="R1066" s="25">
        <v>0.25</v>
      </c>
      <c r="S1066" s="25"/>
      <c r="T1066" s="25"/>
      <c r="U1066" s="31">
        <f t="shared" si="17"/>
        <v>2.25</v>
      </c>
      <c r="V1066" s="25"/>
      <c r="W1066" s="33" t="s">
        <v>22</v>
      </c>
      <c r="X1066" s="33"/>
      <c r="Y1066" s="33"/>
      <c r="Z1066" s="33" t="s">
        <v>189</v>
      </c>
      <c r="AA1066" s="33"/>
    </row>
    <row r="1067" spans="1:27" s="70" customFormat="1" ht="33.75" x14ac:dyDescent="0.2">
      <c r="A1067" s="24">
        <v>1063</v>
      </c>
      <c r="B1067" s="24" t="s">
        <v>1991</v>
      </c>
      <c r="C1067" s="25" t="s">
        <v>1990</v>
      </c>
      <c r="D1067" s="26" t="s">
        <v>2193</v>
      </c>
      <c r="E1067" s="25" t="s">
        <v>2192</v>
      </c>
      <c r="F1067" s="25" t="s">
        <v>2191</v>
      </c>
      <c r="G1067" s="24"/>
      <c r="H1067" s="25" t="s">
        <v>2200</v>
      </c>
      <c r="I1067" s="27"/>
      <c r="J1067" s="28" t="s">
        <v>2216</v>
      </c>
      <c r="K1067" s="27"/>
      <c r="L1067" s="25" t="s">
        <v>2222</v>
      </c>
      <c r="M1067" s="25" t="s">
        <v>190</v>
      </c>
      <c r="N1067" s="25">
        <v>12</v>
      </c>
      <c r="O1067" s="25"/>
      <c r="P1067" s="25">
        <v>2</v>
      </c>
      <c r="Q1067" s="25"/>
      <c r="R1067" s="25">
        <v>0.25</v>
      </c>
      <c r="S1067" s="25"/>
      <c r="T1067" s="25"/>
      <c r="U1067" s="31">
        <f t="shared" si="17"/>
        <v>2.25</v>
      </c>
      <c r="V1067" s="25"/>
      <c r="W1067" s="33" t="s">
        <v>22</v>
      </c>
      <c r="X1067" s="33"/>
      <c r="Y1067" s="33"/>
      <c r="Z1067" s="33" t="s">
        <v>189</v>
      </c>
      <c r="AA1067" s="33"/>
    </row>
    <row r="1068" spans="1:27" s="70" customFormat="1" ht="33.75" x14ac:dyDescent="0.2">
      <c r="A1068" s="24">
        <v>1064</v>
      </c>
      <c r="B1068" s="24" t="s">
        <v>1991</v>
      </c>
      <c r="C1068" s="25" t="s">
        <v>1990</v>
      </c>
      <c r="D1068" s="26" t="s">
        <v>2193</v>
      </c>
      <c r="E1068" s="25" t="s">
        <v>2192</v>
      </c>
      <c r="F1068" s="25" t="s">
        <v>2191</v>
      </c>
      <c r="G1068" s="24"/>
      <c r="H1068" s="25" t="s">
        <v>2200</v>
      </c>
      <c r="I1068" s="27"/>
      <c r="J1068" s="28" t="s">
        <v>2216</v>
      </c>
      <c r="K1068" s="27"/>
      <c r="L1068" s="25" t="s">
        <v>2221</v>
      </c>
      <c r="M1068" s="25" t="s">
        <v>2220</v>
      </c>
      <c r="N1068" s="25">
        <v>12</v>
      </c>
      <c r="O1068" s="25"/>
      <c r="P1068" s="25">
        <v>4</v>
      </c>
      <c r="Q1068" s="25"/>
      <c r="R1068" s="25"/>
      <c r="S1068" s="25"/>
      <c r="T1068" s="25"/>
      <c r="U1068" s="31">
        <f t="shared" si="17"/>
        <v>4</v>
      </c>
      <c r="V1068" s="25"/>
      <c r="W1068" s="33" t="s">
        <v>848</v>
      </c>
      <c r="X1068" s="33"/>
      <c r="Y1068" s="33"/>
      <c r="Z1068" s="33" t="s">
        <v>189</v>
      </c>
      <c r="AA1068" s="33"/>
    </row>
    <row r="1069" spans="1:27" s="70" customFormat="1" ht="33.75" x14ac:dyDescent="0.2">
      <c r="A1069" s="24">
        <v>1065</v>
      </c>
      <c r="B1069" s="24" t="s">
        <v>1991</v>
      </c>
      <c r="C1069" s="25" t="s">
        <v>1990</v>
      </c>
      <c r="D1069" s="26" t="s">
        <v>2193</v>
      </c>
      <c r="E1069" s="25" t="s">
        <v>2192</v>
      </c>
      <c r="F1069" s="25" t="s">
        <v>2191</v>
      </c>
      <c r="G1069" s="24"/>
      <c r="H1069" s="25" t="s">
        <v>2200</v>
      </c>
      <c r="I1069" s="27"/>
      <c r="J1069" s="28" t="s">
        <v>2216</v>
      </c>
      <c r="K1069" s="27"/>
      <c r="L1069" s="25" t="s">
        <v>2219</v>
      </c>
      <c r="M1069" s="25" t="s">
        <v>190</v>
      </c>
      <c r="N1069" s="25">
        <v>4</v>
      </c>
      <c r="O1069" s="25"/>
      <c r="P1069" s="25">
        <v>40</v>
      </c>
      <c r="Q1069" s="25"/>
      <c r="R1069" s="25">
        <v>16</v>
      </c>
      <c r="S1069" s="25"/>
      <c r="T1069" s="25"/>
      <c r="U1069" s="31">
        <f t="shared" si="17"/>
        <v>56</v>
      </c>
      <c r="V1069" s="25"/>
      <c r="W1069" s="33" t="s">
        <v>22</v>
      </c>
      <c r="X1069" s="33"/>
      <c r="Y1069" s="33"/>
      <c r="Z1069" s="33" t="s">
        <v>189</v>
      </c>
      <c r="AA1069" s="33"/>
    </row>
    <row r="1070" spans="1:27" s="70" customFormat="1" ht="33.75" x14ac:dyDescent="0.2">
      <c r="A1070" s="24">
        <v>1066</v>
      </c>
      <c r="B1070" s="24" t="s">
        <v>1991</v>
      </c>
      <c r="C1070" s="25" t="s">
        <v>1990</v>
      </c>
      <c r="D1070" s="26" t="s">
        <v>2193</v>
      </c>
      <c r="E1070" s="25" t="s">
        <v>2192</v>
      </c>
      <c r="F1070" s="25" t="s">
        <v>2191</v>
      </c>
      <c r="G1070" s="24"/>
      <c r="H1070" s="25" t="s">
        <v>2200</v>
      </c>
      <c r="I1070" s="27"/>
      <c r="J1070" s="28" t="s">
        <v>2216</v>
      </c>
      <c r="K1070" s="27"/>
      <c r="L1070" s="25" t="s">
        <v>2218</v>
      </c>
      <c r="M1070" s="25" t="s">
        <v>190</v>
      </c>
      <c r="N1070" s="25">
        <v>4</v>
      </c>
      <c r="O1070" s="25"/>
      <c r="P1070" s="25"/>
      <c r="Q1070" s="25"/>
      <c r="R1070" s="25">
        <v>24</v>
      </c>
      <c r="S1070" s="25"/>
      <c r="T1070" s="25"/>
      <c r="U1070" s="31">
        <f t="shared" si="17"/>
        <v>24</v>
      </c>
      <c r="V1070" s="25"/>
      <c r="W1070" s="33" t="s">
        <v>22</v>
      </c>
      <c r="X1070" s="33"/>
      <c r="Y1070" s="33"/>
      <c r="Z1070" s="33" t="s">
        <v>189</v>
      </c>
      <c r="AA1070" s="33"/>
    </row>
    <row r="1071" spans="1:27" s="70" customFormat="1" ht="33.75" x14ac:dyDescent="0.2">
      <c r="A1071" s="24">
        <v>1067</v>
      </c>
      <c r="B1071" s="24" t="s">
        <v>1991</v>
      </c>
      <c r="C1071" s="25" t="s">
        <v>1990</v>
      </c>
      <c r="D1071" s="26" t="s">
        <v>2193</v>
      </c>
      <c r="E1071" s="25" t="s">
        <v>2192</v>
      </c>
      <c r="F1071" s="25" t="s">
        <v>2191</v>
      </c>
      <c r="G1071" s="24"/>
      <c r="H1071" s="25" t="s">
        <v>2200</v>
      </c>
      <c r="I1071" s="27"/>
      <c r="J1071" s="28" t="s">
        <v>2216</v>
      </c>
      <c r="K1071" s="27"/>
      <c r="L1071" s="25" t="s">
        <v>2217</v>
      </c>
      <c r="M1071" s="25" t="s">
        <v>190</v>
      </c>
      <c r="N1071" s="25">
        <v>1</v>
      </c>
      <c r="O1071" s="25"/>
      <c r="P1071" s="25">
        <v>56</v>
      </c>
      <c r="Q1071" s="25"/>
      <c r="R1071" s="25">
        <v>16</v>
      </c>
      <c r="S1071" s="25"/>
      <c r="T1071" s="25"/>
      <c r="U1071" s="31">
        <f t="shared" si="17"/>
        <v>72</v>
      </c>
      <c r="V1071" s="25"/>
      <c r="W1071" s="33" t="s">
        <v>22</v>
      </c>
      <c r="X1071" s="33"/>
      <c r="Y1071" s="33"/>
      <c r="Z1071" s="33" t="s">
        <v>189</v>
      </c>
      <c r="AA1071" s="33"/>
    </row>
    <row r="1072" spans="1:27" s="70" customFormat="1" ht="33.75" x14ac:dyDescent="0.2">
      <c r="A1072" s="24">
        <v>1068</v>
      </c>
      <c r="B1072" s="24" t="s">
        <v>1991</v>
      </c>
      <c r="C1072" s="25" t="s">
        <v>1990</v>
      </c>
      <c r="D1072" s="26" t="s">
        <v>2193</v>
      </c>
      <c r="E1072" s="25" t="s">
        <v>2192</v>
      </c>
      <c r="F1072" s="25" t="s">
        <v>2191</v>
      </c>
      <c r="G1072" s="24"/>
      <c r="H1072" s="25" t="s">
        <v>2200</v>
      </c>
      <c r="I1072" s="27"/>
      <c r="J1072" s="28" t="s">
        <v>2216</v>
      </c>
      <c r="K1072" s="27"/>
      <c r="L1072" s="25" t="s">
        <v>2215</v>
      </c>
      <c r="M1072" s="25" t="s">
        <v>190</v>
      </c>
      <c r="N1072" s="25">
        <v>1</v>
      </c>
      <c r="O1072" s="25"/>
      <c r="P1072" s="25"/>
      <c r="Q1072" s="25"/>
      <c r="R1072" s="25">
        <v>24</v>
      </c>
      <c r="S1072" s="25"/>
      <c r="T1072" s="25"/>
      <c r="U1072" s="31">
        <f t="shared" si="17"/>
        <v>24</v>
      </c>
      <c r="V1072" s="25"/>
      <c r="W1072" s="33" t="s">
        <v>22</v>
      </c>
      <c r="X1072" s="33"/>
      <c r="Y1072" s="33"/>
      <c r="Z1072" s="33" t="s">
        <v>189</v>
      </c>
      <c r="AA1072" s="33"/>
    </row>
    <row r="1073" spans="1:27" s="70" customFormat="1" ht="33.75" x14ac:dyDescent="0.2">
      <c r="A1073" s="24">
        <v>1069</v>
      </c>
      <c r="B1073" s="24" t="s">
        <v>1991</v>
      </c>
      <c r="C1073" s="25" t="s">
        <v>1990</v>
      </c>
      <c r="D1073" s="26" t="s">
        <v>2193</v>
      </c>
      <c r="E1073" s="25" t="s">
        <v>2192</v>
      </c>
      <c r="F1073" s="25" t="s">
        <v>2191</v>
      </c>
      <c r="G1073" s="24"/>
      <c r="H1073" s="25" t="s">
        <v>2200</v>
      </c>
      <c r="I1073" s="27"/>
      <c r="J1073" s="28" t="s">
        <v>2212</v>
      </c>
      <c r="K1073" s="27"/>
      <c r="L1073" s="25" t="s">
        <v>2214</v>
      </c>
      <c r="M1073" s="25" t="s">
        <v>190</v>
      </c>
      <c r="N1073" s="25">
        <v>12</v>
      </c>
      <c r="O1073" s="25"/>
      <c r="P1073" s="25">
        <v>8</v>
      </c>
      <c r="Q1073" s="25"/>
      <c r="R1073" s="25">
        <v>0.5</v>
      </c>
      <c r="S1073" s="25"/>
      <c r="T1073" s="25"/>
      <c r="U1073" s="31">
        <f t="shared" si="17"/>
        <v>8.5</v>
      </c>
      <c r="V1073" s="25"/>
      <c r="W1073" s="33" t="s">
        <v>848</v>
      </c>
      <c r="X1073" s="33"/>
      <c r="Y1073" s="33"/>
      <c r="Z1073" s="33" t="s">
        <v>189</v>
      </c>
      <c r="AA1073" s="33"/>
    </row>
    <row r="1074" spans="1:27" s="70" customFormat="1" ht="33.75" x14ac:dyDescent="0.2">
      <c r="A1074" s="24">
        <v>1070</v>
      </c>
      <c r="B1074" s="24"/>
      <c r="C1074" s="25" t="s">
        <v>1990</v>
      </c>
      <c r="D1074" s="26" t="s">
        <v>2193</v>
      </c>
      <c r="E1074" s="25" t="s">
        <v>2192</v>
      </c>
      <c r="F1074" s="25" t="s">
        <v>2191</v>
      </c>
      <c r="G1074" s="24"/>
      <c r="H1074" s="25" t="s">
        <v>2200</v>
      </c>
      <c r="I1074" s="27"/>
      <c r="J1074" s="28" t="s">
        <v>2212</v>
      </c>
      <c r="K1074" s="27"/>
      <c r="L1074" s="25" t="s">
        <v>2213</v>
      </c>
      <c r="M1074" s="25" t="s">
        <v>190</v>
      </c>
      <c r="N1074" s="25">
        <v>4</v>
      </c>
      <c r="O1074" s="25"/>
      <c r="P1074" s="25">
        <v>32</v>
      </c>
      <c r="Q1074" s="25"/>
      <c r="R1074" s="25">
        <v>0.5</v>
      </c>
      <c r="S1074" s="25"/>
      <c r="T1074" s="25"/>
      <c r="U1074" s="31">
        <f t="shared" si="17"/>
        <v>32.5</v>
      </c>
      <c r="V1074" s="25"/>
      <c r="W1074" s="33" t="s">
        <v>848</v>
      </c>
      <c r="X1074" s="33"/>
      <c r="Y1074" s="33"/>
      <c r="Z1074" s="33" t="s">
        <v>189</v>
      </c>
      <c r="AA1074" s="33"/>
    </row>
    <row r="1075" spans="1:27" s="70" customFormat="1" ht="33.75" x14ac:dyDescent="0.2">
      <c r="A1075" s="24">
        <v>1071</v>
      </c>
      <c r="B1075" s="24"/>
      <c r="C1075" s="25" t="s">
        <v>1990</v>
      </c>
      <c r="D1075" s="26" t="s">
        <v>2193</v>
      </c>
      <c r="E1075" s="25" t="s">
        <v>2192</v>
      </c>
      <c r="F1075" s="25" t="s">
        <v>2191</v>
      </c>
      <c r="G1075" s="24"/>
      <c r="H1075" s="25" t="s">
        <v>2200</v>
      </c>
      <c r="I1075" s="27"/>
      <c r="J1075" s="28" t="s">
        <v>2212</v>
      </c>
      <c r="K1075" s="27"/>
      <c r="L1075" s="25" t="s">
        <v>2211</v>
      </c>
      <c r="M1075" s="25" t="s">
        <v>198</v>
      </c>
      <c r="N1075" s="25">
        <v>200</v>
      </c>
      <c r="O1075" s="25"/>
      <c r="P1075" s="25">
        <v>1</v>
      </c>
      <c r="Q1075" s="25"/>
      <c r="R1075" s="25">
        <v>2</v>
      </c>
      <c r="S1075" s="25"/>
      <c r="T1075" s="25"/>
      <c r="U1075" s="31">
        <f t="shared" si="17"/>
        <v>3</v>
      </c>
      <c r="V1075" s="25"/>
      <c r="W1075" s="33" t="s">
        <v>848</v>
      </c>
      <c r="X1075" s="33"/>
      <c r="Y1075" s="33"/>
      <c r="Z1075" s="33" t="s">
        <v>189</v>
      </c>
      <c r="AA1075" s="33"/>
    </row>
    <row r="1076" spans="1:27" s="70" customFormat="1" ht="33.75" x14ac:dyDescent="0.2">
      <c r="A1076" s="24">
        <v>1072</v>
      </c>
      <c r="B1076" s="24" t="s">
        <v>1991</v>
      </c>
      <c r="C1076" s="25" t="s">
        <v>1990</v>
      </c>
      <c r="D1076" s="26" t="s">
        <v>2193</v>
      </c>
      <c r="E1076" s="25" t="s">
        <v>2192</v>
      </c>
      <c r="F1076" s="25" t="s">
        <v>2191</v>
      </c>
      <c r="G1076" s="24"/>
      <c r="H1076" s="25" t="s">
        <v>2200</v>
      </c>
      <c r="I1076" s="27"/>
      <c r="J1076" s="28" t="s">
        <v>2199</v>
      </c>
      <c r="K1076" s="27"/>
      <c r="L1076" s="25" t="s">
        <v>2210</v>
      </c>
      <c r="M1076" s="25" t="s">
        <v>190</v>
      </c>
      <c r="N1076" s="25">
        <v>2</v>
      </c>
      <c r="O1076" s="25">
        <v>40</v>
      </c>
      <c r="P1076" s="25">
        <v>35</v>
      </c>
      <c r="Q1076" s="25"/>
      <c r="R1076" s="25"/>
      <c r="S1076" s="25">
        <v>8</v>
      </c>
      <c r="T1076" s="25"/>
      <c r="U1076" s="31">
        <f t="shared" si="17"/>
        <v>83</v>
      </c>
      <c r="V1076" s="25"/>
      <c r="W1076" s="33" t="s">
        <v>22</v>
      </c>
      <c r="X1076" s="33"/>
      <c r="Y1076" s="33"/>
      <c r="Z1076" s="33" t="s">
        <v>189</v>
      </c>
      <c r="AA1076" s="33"/>
    </row>
    <row r="1077" spans="1:27" s="70" customFormat="1" ht="33.75" x14ac:dyDescent="0.2">
      <c r="A1077" s="24">
        <v>1073</v>
      </c>
      <c r="B1077" s="24" t="s">
        <v>1991</v>
      </c>
      <c r="C1077" s="25" t="s">
        <v>1990</v>
      </c>
      <c r="D1077" s="26" t="s">
        <v>2193</v>
      </c>
      <c r="E1077" s="25" t="s">
        <v>2192</v>
      </c>
      <c r="F1077" s="25" t="s">
        <v>2191</v>
      </c>
      <c r="G1077" s="24"/>
      <c r="H1077" s="25" t="s">
        <v>2200</v>
      </c>
      <c r="I1077" s="27"/>
      <c r="J1077" s="28" t="s">
        <v>2199</v>
      </c>
      <c r="K1077" s="27"/>
      <c r="L1077" s="25" t="s">
        <v>2209</v>
      </c>
      <c r="M1077" s="25" t="s">
        <v>2073</v>
      </c>
      <c r="N1077" s="25">
        <v>2</v>
      </c>
      <c r="O1077" s="25">
        <v>32</v>
      </c>
      <c r="P1077" s="25"/>
      <c r="Q1077" s="25"/>
      <c r="R1077" s="25"/>
      <c r="S1077" s="25">
        <v>5</v>
      </c>
      <c r="T1077" s="25"/>
      <c r="U1077" s="31">
        <f t="shared" si="17"/>
        <v>37</v>
      </c>
      <c r="V1077" s="25"/>
      <c r="W1077" s="33" t="s">
        <v>22</v>
      </c>
      <c r="X1077" s="33"/>
      <c r="Y1077" s="33"/>
      <c r="Z1077" s="33" t="s">
        <v>189</v>
      </c>
      <c r="AA1077" s="33"/>
    </row>
    <row r="1078" spans="1:27" s="70" customFormat="1" ht="33.75" x14ac:dyDescent="0.2">
      <c r="A1078" s="24">
        <v>1074</v>
      </c>
      <c r="B1078" s="24" t="s">
        <v>1991</v>
      </c>
      <c r="C1078" s="25" t="s">
        <v>1990</v>
      </c>
      <c r="D1078" s="26" t="s">
        <v>2193</v>
      </c>
      <c r="E1078" s="25" t="s">
        <v>2192</v>
      </c>
      <c r="F1078" s="25" t="s">
        <v>2191</v>
      </c>
      <c r="G1078" s="24"/>
      <c r="H1078" s="25" t="s">
        <v>2200</v>
      </c>
      <c r="I1078" s="27"/>
      <c r="J1078" s="28" t="s">
        <v>2199</v>
      </c>
      <c r="K1078" s="27"/>
      <c r="L1078" s="25" t="s">
        <v>2208</v>
      </c>
      <c r="M1078" s="25" t="s">
        <v>2207</v>
      </c>
      <c r="N1078" s="25">
        <v>1</v>
      </c>
      <c r="O1078" s="25"/>
      <c r="P1078" s="25">
        <v>192</v>
      </c>
      <c r="Q1078" s="25"/>
      <c r="R1078" s="25"/>
      <c r="S1078" s="25"/>
      <c r="T1078" s="25"/>
      <c r="U1078" s="31">
        <f t="shared" si="17"/>
        <v>192</v>
      </c>
      <c r="V1078" s="25"/>
      <c r="W1078" s="33" t="s">
        <v>22</v>
      </c>
      <c r="X1078" s="33"/>
      <c r="Y1078" s="33"/>
      <c r="Z1078" s="33" t="s">
        <v>189</v>
      </c>
      <c r="AA1078" s="33"/>
    </row>
    <row r="1079" spans="1:27" s="70" customFormat="1" ht="33.75" x14ac:dyDescent="0.2">
      <c r="A1079" s="24">
        <v>1075</v>
      </c>
      <c r="B1079" s="24" t="s">
        <v>1991</v>
      </c>
      <c r="C1079" s="25" t="s">
        <v>1990</v>
      </c>
      <c r="D1079" s="26" t="s">
        <v>2193</v>
      </c>
      <c r="E1079" s="25" t="s">
        <v>2192</v>
      </c>
      <c r="F1079" s="25" t="s">
        <v>2191</v>
      </c>
      <c r="G1079" s="24"/>
      <c r="H1079" s="25" t="s">
        <v>2200</v>
      </c>
      <c r="I1079" s="27"/>
      <c r="J1079" s="28" t="s">
        <v>2199</v>
      </c>
      <c r="K1079" s="27"/>
      <c r="L1079" s="25" t="s">
        <v>2206</v>
      </c>
      <c r="M1079" s="25" t="s">
        <v>2205</v>
      </c>
      <c r="N1079" s="25">
        <v>1</v>
      </c>
      <c r="O1079" s="25"/>
      <c r="P1079" s="25">
        <v>360</v>
      </c>
      <c r="Q1079" s="25"/>
      <c r="R1079" s="25"/>
      <c r="S1079" s="25"/>
      <c r="T1079" s="25"/>
      <c r="U1079" s="31">
        <f t="shared" si="17"/>
        <v>360</v>
      </c>
      <c r="V1079" s="25"/>
      <c r="W1079" s="33" t="s">
        <v>22</v>
      </c>
      <c r="X1079" s="33"/>
      <c r="Y1079" s="33"/>
      <c r="Z1079" s="33" t="s">
        <v>189</v>
      </c>
      <c r="AA1079" s="33"/>
    </row>
    <row r="1080" spans="1:27" s="70" customFormat="1" ht="33.75" x14ac:dyDescent="0.2">
      <c r="A1080" s="24">
        <v>1076</v>
      </c>
      <c r="B1080" s="24" t="s">
        <v>1991</v>
      </c>
      <c r="C1080" s="25" t="s">
        <v>1990</v>
      </c>
      <c r="D1080" s="26" t="s">
        <v>2193</v>
      </c>
      <c r="E1080" s="25" t="s">
        <v>2192</v>
      </c>
      <c r="F1080" s="25" t="s">
        <v>2191</v>
      </c>
      <c r="G1080" s="24"/>
      <c r="H1080" s="25" t="s">
        <v>2200</v>
      </c>
      <c r="I1080" s="27"/>
      <c r="J1080" s="28" t="s">
        <v>2199</v>
      </c>
      <c r="K1080" s="27"/>
      <c r="L1080" s="25" t="s">
        <v>2204</v>
      </c>
      <c r="M1080" s="25" t="s">
        <v>190</v>
      </c>
      <c r="N1080" s="25">
        <v>2</v>
      </c>
      <c r="O1080" s="25"/>
      <c r="P1080" s="25">
        <v>40</v>
      </c>
      <c r="Q1080" s="25"/>
      <c r="R1080" s="25">
        <v>8</v>
      </c>
      <c r="S1080" s="25"/>
      <c r="T1080" s="25"/>
      <c r="U1080" s="31">
        <f t="shared" si="17"/>
        <v>48</v>
      </c>
      <c r="V1080" s="25"/>
      <c r="W1080" s="33" t="s">
        <v>22</v>
      </c>
      <c r="X1080" s="33"/>
      <c r="Y1080" s="33"/>
      <c r="Z1080" s="33" t="s">
        <v>189</v>
      </c>
      <c r="AA1080" s="33"/>
    </row>
    <row r="1081" spans="1:27" s="70" customFormat="1" ht="33.75" x14ac:dyDescent="0.2">
      <c r="A1081" s="24">
        <v>1077</v>
      </c>
      <c r="B1081" s="24" t="s">
        <v>1991</v>
      </c>
      <c r="C1081" s="25" t="s">
        <v>1990</v>
      </c>
      <c r="D1081" s="26" t="s">
        <v>2193</v>
      </c>
      <c r="E1081" s="25" t="s">
        <v>2192</v>
      </c>
      <c r="F1081" s="25" t="s">
        <v>2191</v>
      </c>
      <c r="G1081" s="24"/>
      <c r="H1081" s="25" t="s">
        <v>2200</v>
      </c>
      <c r="I1081" s="27"/>
      <c r="J1081" s="28" t="s">
        <v>2199</v>
      </c>
      <c r="K1081" s="27"/>
      <c r="L1081" s="25" t="s">
        <v>2203</v>
      </c>
      <c r="M1081" s="25" t="s">
        <v>190</v>
      </c>
      <c r="N1081" s="25">
        <v>2</v>
      </c>
      <c r="O1081" s="25"/>
      <c r="P1081" s="25">
        <v>40</v>
      </c>
      <c r="Q1081" s="25"/>
      <c r="R1081" s="25">
        <v>8</v>
      </c>
      <c r="S1081" s="25"/>
      <c r="T1081" s="25"/>
      <c r="U1081" s="31">
        <f t="shared" si="17"/>
        <v>48</v>
      </c>
      <c r="V1081" s="25"/>
      <c r="W1081" s="33" t="s">
        <v>22</v>
      </c>
      <c r="X1081" s="33"/>
      <c r="Y1081" s="33"/>
      <c r="Z1081" s="33" t="s">
        <v>189</v>
      </c>
      <c r="AA1081" s="33"/>
    </row>
    <row r="1082" spans="1:27" s="70" customFormat="1" ht="33.75" x14ac:dyDescent="0.2">
      <c r="A1082" s="24">
        <v>1078</v>
      </c>
      <c r="B1082" s="24" t="s">
        <v>1991</v>
      </c>
      <c r="C1082" s="25" t="s">
        <v>1990</v>
      </c>
      <c r="D1082" s="26" t="s">
        <v>2193</v>
      </c>
      <c r="E1082" s="25" t="s">
        <v>2192</v>
      </c>
      <c r="F1082" s="25" t="s">
        <v>2191</v>
      </c>
      <c r="G1082" s="24"/>
      <c r="H1082" s="25" t="s">
        <v>2200</v>
      </c>
      <c r="I1082" s="27"/>
      <c r="J1082" s="28" t="s">
        <v>2199</v>
      </c>
      <c r="K1082" s="27"/>
      <c r="L1082" s="25" t="s">
        <v>2202</v>
      </c>
      <c r="M1082" s="25" t="s">
        <v>190</v>
      </c>
      <c r="N1082" s="25">
        <v>2</v>
      </c>
      <c r="O1082" s="25"/>
      <c r="P1082" s="25"/>
      <c r="Q1082" s="25"/>
      <c r="R1082" s="25">
        <v>6</v>
      </c>
      <c r="S1082" s="25"/>
      <c r="T1082" s="25"/>
      <c r="U1082" s="31">
        <f t="shared" si="17"/>
        <v>6</v>
      </c>
      <c r="V1082" s="25"/>
      <c r="W1082" s="33" t="s">
        <v>22</v>
      </c>
      <c r="X1082" s="33"/>
      <c r="Y1082" s="33"/>
      <c r="Z1082" s="33" t="s">
        <v>189</v>
      </c>
      <c r="AA1082" s="33"/>
    </row>
    <row r="1083" spans="1:27" s="70" customFormat="1" ht="33.75" x14ac:dyDescent="0.2">
      <c r="A1083" s="24">
        <v>1079</v>
      </c>
      <c r="B1083" s="24" t="s">
        <v>1991</v>
      </c>
      <c r="C1083" s="25" t="s">
        <v>1990</v>
      </c>
      <c r="D1083" s="26" t="s">
        <v>2193</v>
      </c>
      <c r="E1083" s="25" t="s">
        <v>2192</v>
      </c>
      <c r="F1083" s="25" t="s">
        <v>2191</v>
      </c>
      <c r="G1083" s="24"/>
      <c r="H1083" s="25" t="s">
        <v>2200</v>
      </c>
      <c r="I1083" s="27"/>
      <c r="J1083" s="28" t="s">
        <v>2199</v>
      </c>
      <c r="K1083" s="27"/>
      <c r="L1083" s="25" t="s">
        <v>2201</v>
      </c>
      <c r="M1083" s="25" t="s">
        <v>190</v>
      </c>
      <c r="N1083" s="25">
        <v>2</v>
      </c>
      <c r="O1083" s="25"/>
      <c r="P1083" s="25"/>
      <c r="Q1083" s="25"/>
      <c r="R1083" s="25">
        <v>6</v>
      </c>
      <c r="S1083" s="25"/>
      <c r="T1083" s="25"/>
      <c r="U1083" s="31">
        <f t="shared" si="17"/>
        <v>6</v>
      </c>
      <c r="V1083" s="25"/>
      <c r="W1083" s="33" t="s">
        <v>22</v>
      </c>
      <c r="X1083" s="33"/>
      <c r="Y1083" s="33"/>
      <c r="Z1083" s="33" t="s">
        <v>189</v>
      </c>
      <c r="AA1083" s="33"/>
    </row>
    <row r="1084" spans="1:27" s="70" customFormat="1" ht="33.75" x14ac:dyDescent="0.2">
      <c r="A1084" s="24">
        <v>1080</v>
      </c>
      <c r="B1084" s="24" t="s">
        <v>1991</v>
      </c>
      <c r="C1084" s="25" t="s">
        <v>1990</v>
      </c>
      <c r="D1084" s="26" t="s">
        <v>2193</v>
      </c>
      <c r="E1084" s="25" t="s">
        <v>2192</v>
      </c>
      <c r="F1084" s="25" t="s">
        <v>2191</v>
      </c>
      <c r="G1084" s="24"/>
      <c r="H1084" s="25" t="s">
        <v>2200</v>
      </c>
      <c r="I1084" s="27"/>
      <c r="J1084" s="28" t="s">
        <v>2199</v>
      </c>
      <c r="K1084" s="27"/>
      <c r="L1084" s="25" t="s">
        <v>2198</v>
      </c>
      <c r="M1084" s="25" t="s">
        <v>190</v>
      </c>
      <c r="N1084" s="25">
        <v>1</v>
      </c>
      <c r="O1084" s="25"/>
      <c r="P1084" s="25"/>
      <c r="Q1084" s="25"/>
      <c r="R1084" s="25">
        <v>8</v>
      </c>
      <c r="S1084" s="25"/>
      <c r="T1084" s="25"/>
      <c r="U1084" s="31">
        <f t="shared" si="17"/>
        <v>8</v>
      </c>
      <c r="V1084" s="25"/>
      <c r="W1084" s="33" t="s">
        <v>22</v>
      </c>
      <c r="X1084" s="33"/>
      <c r="Y1084" s="33"/>
      <c r="Z1084" s="33" t="s">
        <v>189</v>
      </c>
      <c r="AA1084" s="33"/>
    </row>
    <row r="1085" spans="1:27" s="70" customFormat="1" ht="56.25" x14ac:dyDescent="0.2">
      <c r="A1085" s="24">
        <v>1081</v>
      </c>
      <c r="B1085" s="24" t="s">
        <v>1991</v>
      </c>
      <c r="C1085" s="25" t="s">
        <v>1990</v>
      </c>
      <c r="D1085" s="26" t="s">
        <v>2193</v>
      </c>
      <c r="E1085" s="25" t="s">
        <v>2192</v>
      </c>
      <c r="F1085" s="25" t="s">
        <v>2191</v>
      </c>
      <c r="G1085" s="24"/>
      <c r="H1085" s="25" t="s">
        <v>2195</v>
      </c>
      <c r="I1085" s="27"/>
      <c r="J1085" s="28" t="s">
        <v>2197</v>
      </c>
      <c r="K1085" s="27"/>
      <c r="L1085" s="25"/>
      <c r="M1085" s="25"/>
      <c r="N1085" s="25"/>
      <c r="O1085" s="25"/>
      <c r="P1085" s="25"/>
      <c r="Q1085" s="25"/>
      <c r="R1085" s="25"/>
      <c r="S1085" s="25"/>
      <c r="T1085" s="25"/>
      <c r="U1085" s="31">
        <f t="shared" si="17"/>
        <v>0</v>
      </c>
      <c r="V1085" s="25"/>
      <c r="W1085" s="33"/>
      <c r="X1085" s="33"/>
      <c r="Y1085" s="33"/>
      <c r="Z1085" s="33"/>
      <c r="AA1085" s="33"/>
    </row>
    <row r="1086" spans="1:27" s="70" customFormat="1" ht="45" x14ac:dyDescent="0.2">
      <c r="A1086" s="24">
        <v>1082</v>
      </c>
      <c r="B1086" s="24" t="s">
        <v>1991</v>
      </c>
      <c r="C1086" s="25" t="s">
        <v>1990</v>
      </c>
      <c r="D1086" s="26" t="s">
        <v>2193</v>
      </c>
      <c r="E1086" s="25" t="s">
        <v>2192</v>
      </c>
      <c r="F1086" s="25" t="s">
        <v>2191</v>
      </c>
      <c r="G1086" s="24"/>
      <c r="H1086" s="25" t="s">
        <v>2195</v>
      </c>
      <c r="I1086" s="27"/>
      <c r="J1086" s="28" t="s">
        <v>2196</v>
      </c>
      <c r="K1086" s="27"/>
      <c r="L1086" s="25"/>
      <c r="M1086" s="25"/>
      <c r="N1086" s="25"/>
      <c r="O1086" s="25"/>
      <c r="P1086" s="25"/>
      <c r="Q1086" s="25"/>
      <c r="R1086" s="25"/>
      <c r="S1086" s="25"/>
      <c r="T1086" s="25"/>
      <c r="U1086" s="31">
        <f t="shared" si="17"/>
        <v>0</v>
      </c>
      <c r="V1086" s="25"/>
      <c r="W1086" s="33"/>
      <c r="X1086" s="33"/>
      <c r="Y1086" s="33"/>
      <c r="Z1086" s="33"/>
      <c r="AA1086" s="33"/>
    </row>
    <row r="1087" spans="1:27" s="70" customFormat="1" ht="45" x14ac:dyDescent="0.2">
      <c r="A1087" s="24">
        <v>1083</v>
      </c>
      <c r="B1087" s="24" t="s">
        <v>1991</v>
      </c>
      <c r="C1087" s="25" t="s">
        <v>1990</v>
      </c>
      <c r="D1087" s="26" t="s">
        <v>2193</v>
      </c>
      <c r="E1087" s="25" t="s">
        <v>2192</v>
      </c>
      <c r="F1087" s="25" t="s">
        <v>2191</v>
      </c>
      <c r="G1087" s="24"/>
      <c r="H1087" s="25" t="s">
        <v>2195</v>
      </c>
      <c r="I1087" s="27"/>
      <c r="J1087" s="28" t="s">
        <v>2194</v>
      </c>
      <c r="K1087" s="27"/>
      <c r="L1087" s="25"/>
      <c r="M1087" s="25"/>
      <c r="N1087" s="25"/>
      <c r="O1087" s="25"/>
      <c r="P1087" s="25"/>
      <c r="Q1087" s="25"/>
      <c r="R1087" s="25"/>
      <c r="S1087" s="25"/>
      <c r="T1087" s="25"/>
      <c r="U1087" s="31">
        <f t="shared" si="17"/>
        <v>0</v>
      </c>
      <c r="V1087" s="25"/>
      <c r="W1087" s="33"/>
      <c r="X1087" s="33"/>
      <c r="Y1087" s="33"/>
      <c r="Z1087" s="33"/>
      <c r="AA1087" s="33"/>
    </row>
    <row r="1088" spans="1:27" s="70" customFormat="1" ht="22.5" x14ac:dyDescent="0.2">
      <c r="A1088" s="24">
        <v>1084</v>
      </c>
      <c r="B1088" s="24" t="s">
        <v>1991</v>
      </c>
      <c r="C1088" s="25" t="s">
        <v>1990</v>
      </c>
      <c r="D1088" s="26" t="s">
        <v>2193</v>
      </c>
      <c r="E1088" s="25" t="s">
        <v>2192</v>
      </c>
      <c r="F1088" s="25" t="s">
        <v>2191</v>
      </c>
      <c r="G1088" s="24"/>
      <c r="H1088" s="25" t="s">
        <v>2190</v>
      </c>
      <c r="I1088" s="27"/>
      <c r="J1088" s="25" t="s">
        <v>2190</v>
      </c>
      <c r="K1088" s="27"/>
      <c r="L1088" s="25"/>
      <c r="M1088" s="25"/>
      <c r="N1088" s="25"/>
      <c r="O1088" s="25"/>
      <c r="P1088" s="25"/>
      <c r="Q1088" s="25"/>
      <c r="R1088" s="25"/>
      <c r="S1088" s="25"/>
      <c r="T1088" s="25"/>
      <c r="U1088" s="31">
        <f t="shared" si="17"/>
        <v>0</v>
      </c>
      <c r="V1088" s="25"/>
      <c r="W1088" s="33"/>
      <c r="X1088" s="33"/>
      <c r="Y1088" s="33"/>
      <c r="Z1088" s="33"/>
      <c r="AA1088" s="33"/>
    </row>
    <row r="1089" spans="1:28" s="70" customFormat="1" ht="45" x14ac:dyDescent="0.2">
      <c r="A1089" s="24">
        <v>1085</v>
      </c>
      <c r="B1089" s="24" t="s">
        <v>1991</v>
      </c>
      <c r="C1089" s="25" t="s">
        <v>1990</v>
      </c>
      <c r="D1089" s="26" t="s">
        <v>2140</v>
      </c>
      <c r="E1089" s="25" t="s">
        <v>2139</v>
      </c>
      <c r="F1089" s="25" t="s">
        <v>2138</v>
      </c>
      <c r="G1089" s="24"/>
      <c r="H1089" s="25" t="s">
        <v>2171</v>
      </c>
      <c r="I1089" s="27"/>
      <c r="J1089" s="28" t="s">
        <v>2179</v>
      </c>
      <c r="K1089" s="27"/>
      <c r="L1089" s="25" t="s">
        <v>2189</v>
      </c>
      <c r="M1089" s="25" t="s">
        <v>68</v>
      </c>
      <c r="N1089" s="25">
        <v>100</v>
      </c>
      <c r="O1089" s="25">
        <v>1.2</v>
      </c>
      <c r="P1089" s="25"/>
      <c r="Q1089" s="25"/>
      <c r="R1089" s="25">
        <v>0.8</v>
      </c>
      <c r="S1089" s="25">
        <v>0.5</v>
      </c>
      <c r="T1089" s="25">
        <v>0.3</v>
      </c>
      <c r="U1089" s="31">
        <f t="shared" si="17"/>
        <v>2.8</v>
      </c>
      <c r="V1089" s="25"/>
      <c r="W1089" s="33" t="s">
        <v>22</v>
      </c>
      <c r="X1089" s="33"/>
      <c r="Y1089" s="33"/>
      <c r="Z1089" s="33" t="s">
        <v>1008</v>
      </c>
      <c r="AA1089" s="33"/>
    </row>
    <row r="1090" spans="1:28" s="70" customFormat="1" ht="45" x14ac:dyDescent="0.2">
      <c r="A1090" s="24">
        <v>1086</v>
      </c>
      <c r="B1090" s="24" t="s">
        <v>1991</v>
      </c>
      <c r="C1090" s="25" t="s">
        <v>1990</v>
      </c>
      <c r="D1090" s="26" t="s">
        <v>2140</v>
      </c>
      <c r="E1090" s="25" t="s">
        <v>2139</v>
      </c>
      <c r="F1090" s="25" t="s">
        <v>2138</v>
      </c>
      <c r="G1090" s="24"/>
      <c r="H1090" s="25" t="s">
        <v>2171</v>
      </c>
      <c r="I1090" s="27"/>
      <c r="J1090" s="28" t="s">
        <v>2179</v>
      </c>
      <c r="K1090" s="27"/>
      <c r="L1090" s="25" t="s">
        <v>2188</v>
      </c>
      <c r="M1090" s="25" t="s">
        <v>68</v>
      </c>
      <c r="N1090" s="25">
        <v>110</v>
      </c>
      <c r="O1090" s="25"/>
      <c r="P1090" s="25">
        <v>1.2</v>
      </c>
      <c r="Q1090" s="25"/>
      <c r="R1090" s="25">
        <v>0.8</v>
      </c>
      <c r="S1090" s="25">
        <v>0.5</v>
      </c>
      <c r="T1090" s="25">
        <v>0.2</v>
      </c>
      <c r="U1090" s="31">
        <f t="shared" si="17"/>
        <v>2.7</v>
      </c>
      <c r="V1090" s="25"/>
      <c r="W1090" s="33" t="s">
        <v>22</v>
      </c>
      <c r="X1090" s="33"/>
      <c r="Y1090" s="33"/>
      <c r="Z1090" s="33" t="s">
        <v>1008</v>
      </c>
      <c r="AA1090" s="33"/>
    </row>
    <row r="1091" spans="1:28" s="70" customFormat="1" ht="45" x14ac:dyDescent="0.2">
      <c r="A1091" s="24">
        <v>1087</v>
      </c>
      <c r="B1091" s="24" t="s">
        <v>1991</v>
      </c>
      <c r="C1091" s="25" t="s">
        <v>1990</v>
      </c>
      <c r="D1091" s="26" t="s">
        <v>2140</v>
      </c>
      <c r="E1091" s="25" t="s">
        <v>2139</v>
      </c>
      <c r="F1091" s="25" t="s">
        <v>2138</v>
      </c>
      <c r="G1091" s="24"/>
      <c r="H1091" s="25" t="s">
        <v>2171</v>
      </c>
      <c r="I1091" s="27"/>
      <c r="J1091" s="28" t="s">
        <v>2179</v>
      </c>
      <c r="K1091" s="27"/>
      <c r="L1091" s="25" t="s">
        <v>2187</v>
      </c>
      <c r="M1091" s="25" t="s">
        <v>68</v>
      </c>
      <c r="N1091" s="25">
        <v>70</v>
      </c>
      <c r="O1091" s="25">
        <v>1.5</v>
      </c>
      <c r="P1091" s="25"/>
      <c r="Q1091" s="25"/>
      <c r="R1091" s="25">
        <v>0.8</v>
      </c>
      <c r="S1091" s="25">
        <v>0.5</v>
      </c>
      <c r="T1091" s="25">
        <v>0.2</v>
      </c>
      <c r="U1091" s="31">
        <f t="shared" si="17"/>
        <v>3</v>
      </c>
      <c r="V1091" s="25"/>
      <c r="W1091" s="33" t="s">
        <v>22</v>
      </c>
      <c r="X1091" s="33"/>
      <c r="Y1091" s="33"/>
      <c r="Z1091" s="33" t="s">
        <v>1008</v>
      </c>
      <c r="AA1091" s="33"/>
    </row>
    <row r="1092" spans="1:28" s="70" customFormat="1" ht="45" x14ac:dyDescent="0.2">
      <c r="A1092" s="24">
        <v>1088</v>
      </c>
      <c r="B1092" s="24" t="s">
        <v>1991</v>
      </c>
      <c r="C1092" s="25" t="s">
        <v>1990</v>
      </c>
      <c r="D1092" s="26" t="s">
        <v>2140</v>
      </c>
      <c r="E1092" s="25" t="s">
        <v>2139</v>
      </c>
      <c r="F1092" s="25" t="s">
        <v>2138</v>
      </c>
      <c r="G1092" s="24"/>
      <c r="H1092" s="25" t="s">
        <v>2171</v>
      </c>
      <c r="I1092" s="27"/>
      <c r="J1092" s="28" t="s">
        <v>2179</v>
      </c>
      <c r="K1092" s="27"/>
      <c r="L1092" s="25" t="s">
        <v>2186</v>
      </c>
      <c r="M1092" s="25" t="s">
        <v>68</v>
      </c>
      <c r="N1092" s="25">
        <v>80</v>
      </c>
      <c r="O1092" s="25"/>
      <c r="P1092" s="25">
        <v>1.5</v>
      </c>
      <c r="Q1092" s="25"/>
      <c r="R1092" s="25">
        <v>1</v>
      </c>
      <c r="S1092" s="25">
        <v>0.5</v>
      </c>
      <c r="T1092" s="25">
        <v>0.2</v>
      </c>
      <c r="U1092" s="31">
        <f t="shared" si="17"/>
        <v>3.2</v>
      </c>
      <c r="V1092" s="25"/>
      <c r="W1092" s="33" t="s">
        <v>22</v>
      </c>
      <c r="X1092" s="33"/>
      <c r="Y1092" s="33"/>
      <c r="Z1092" s="33" t="s">
        <v>1008</v>
      </c>
      <c r="AA1092" s="33"/>
    </row>
    <row r="1093" spans="1:28" s="70" customFormat="1" ht="45" x14ac:dyDescent="0.2">
      <c r="A1093" s="24">
        <v>1089</v>
      </c>
      <c r="B1093" s="24" t="s">
        <v>1991</v>
      </c>
      <c r="C1093" s="25" t="s">
        <v>1990</v>
      </c>
      <c r="D1093" s="26" t="s">
        <v>2140</v>
      </c>
      <c r="E1093" s="25" t="s">
        <v>2139</v>
      </c>
      <c r="F1093" s="25" t="s">
        <v>2138</v>
      </c>
      <c r="G1093" s="24"/>
      <c r="H1093" s="25" t="s">
        <v>2171</v>
      </c>
      <c r="I1093" s="27"/>
      <c r="J1093" s="28" t="s">
        <v>2179</v>
      </c>
      <c r="K1093" s="27"/>
      <c r="L1093" s="25" t="s">
        <v>2185</v>
      </c>
      <c r="M1093" s="25" t="s">
        <v>68</v>
      </c>
      <c r="N1093" s="25">
        <v>228</v>
      </c>
      <c r="O1093" s="25">
        <v>1</v>
      </c>
      <c r="P1093" s="25">
        <v>1.5</v>
      </c>
      <c r="Q1093" s="25">
        <v>0.7</v>
      </c>
      <c r="R1093" s="25">
        <v>0.7</v>
      </c>
      <c r="S1093" s="25">
        <v>0.3</v>
      </c>
      <c r="T1093" s="25"/>
      <c r="U1093" s="31">
        <f t="shared" si="17"/>
        <v>4.2</v>
      </c>
      <c r="V1093" s="25"/>
      <c r="W1093" s="33" t="s">
        <v>22</v>
      </c>
      <c r="X1093" s="33"/>
      <c r="Y1093" s="33"/>
      <c r="Z1093" s="33" t="s">
        <v>1008</v>
      </c>
      <c r="AA1093" s="33"/>
    </row>
    <row r="1094" spans="1:28" s="70" customFormat="1" ht="45" x14ac:dyDescent="0.2">
      <c r="A1094" s="24">
        <v>1090</v>
      </c>
      <c r="B1094" s="24" t="s">
        <v>1991</v>
      </c>
      <c r="C1094" s="25" t="s">
        <v>1990</v>
      </c>
      <c r="D1094" s="26" t="s">
        <v>2140</v>
      </c>
      <c r="E1094" s="25" t="s">
        <v>2139</v>
      </c>
      <c r="F1094" s="25" t="s">
        <v>2138</v>
      </c>
      <c r="G1094" s="24"/>
      <c r="H1094" s="25" t="s">
        <v>2171</v>
      </c>
      <c r="I1094" s="27"/>
      <c r="J1094" s="28" t="s">
        <v>2179</v>
      </c>
      <c r="K1094" s="27"/>
      <c r="L1094" s="25" t="s">
        <v>2184</v>
      </c>
      <c r="M1094" s="25" t="s">
        <v>68</v>
      </c>
      <c r="N1094" s="25">
        <v>48</v>
      </c>
      <c r="O1094" s="25"/>
      <c r="P1094" s="25">
        <v>1.5</v>
      </c>
      <c r="Q1094" s="25">
        <v>1.2</v>
      </c>
      <c r="R1094" s="25"/>
      <c r="S1094" s="25">
        <v>0.5</v>
      </c>
      <c r="T1094" s="25"/>
      <c r="U1094" s="31">
        <f t="shared" ref="U1094:U1157" si="18">SUM(O1094:T1094)</f>
        <v>3.2</v>
      </c>
      <c r="V1094" s="25"/>
      <c r="W1094" s="33" t="s">
        <v>800</v>
      </c>
      <c r="X1094" s="33"/>
      <c r="Y1094" s="33"/>
      <c r="Z1094" s="33" t="s">
        <v>2183</v>
      </c>
      <c r="AA1094" s="33"/>
    </row>
    <row r="1095" spans="1:28" s="70" customFormat="1" ht="45" x14ac:dyDescent="0.2">
      <c r="A1095" s="24">
        <v>1091</v>
      </c>
      <c r="B1095" s="24" t="s">
        <v>1991</v>
      </c>
      <c r="C1095" s="25" t="s">
        <v>1990</v>
      </c>
      <c r="D1095" s="26" t="s">
        <v>2140</v>
      </c>
      <c r="E1095" s="25" t="s">
        <v>2139</v>
      </c>
      <c r="F1095" s="25" t="s">
        <v>2138</v>
      </c>
      <c r="G1095" s="24"/>
      <c r="H1095" s="25" t="s">
        <v>2171</v>
      </c>
      <c r="I1095" s="27"/>
      <c r="J1095" s="28" t="s">
        <v>2179</v>
      </c>
      <c r="K1095" s="27"/>
      <c r="L1095" s="25" t="s">
        <v>2182</v>
      </c>
      <c r="M1095" s="25" t="s">
        <v>68</v>
      </c>
      <c r="N1095" s="25">
        <v>4</v>
      </c>
      <c r="O1095" s="25"/>
      <c r="P1095" s="25">
        <v>1.5</v>
      </c>
      <c r="Q1095" s="25"/>
      <c r="R1095" s="25">
        <v>1</v>
      </c>
      <c r="S1095" s="25">
        <v>0.5</v>
      </c>
      <c r="T1095" s="25">
        <v>0.5</v>
      </c>
      <c r="U1095" s="31">
        <f t="shared" si="18"/>
        <v>3.5</v>
      </c>
      <c r="V1095" s="25"/>
      <c r="W1095" s="33" t="s">
        <v>22</v>
      </c>
      <c r="X1095" s="33"/>
      <c r="Y1095" s="33"/>
      <c r="Z1095" s="33" t="s">
        <v>1008</v>
      </c>
      <c r="AA1095" s="33"/>
    </row>
    <row r="1096" spans="1:28" s="70" customFormat="1" ht="45" x14ac:dyDescent="0.2">
      <c r="A1096" s="24">
        <v>1092</v>
      </c>
      <c r="B1096" s="24" t="s">
        <v>1991</v>
      </c>
      <c r="C1096" s="25" t="s">
        <v>1990</v>
      </c>
      <c r="D1096" s="26" t="s">
        <v>2140</v>
      </c>
      <c r="E1096" s="25" t="s">
        <v>2139</v>
      </c>
      <c r="F1096" s="25" t="s">
        <v>2138</v>
      </c>
      <c r="G1096" s="24"/>
      <c r="H1096" s="25" t="s">
        <v>2171</v>
      </c>
      <c r="I1096" s="27"/>
      <c r="J1096" s="28" t="s">
        <v>2179</v>
      </c>
      <c r="K1096" s="27"/>
      <c r="L1096" s="25" t="s">
        <v>2181</v>
      </c>
      <c r="M1096" s="25" t="s">
        <v>68</v>
      </c>
      <c r="N1096" s="25">
        <v>4</v>
      </c>
      <c r="O1096" s="25"/>
      <c r="P1096" s="25">
        <v>1.5</v>
      </c>
      <c r="Q1096" s="25">
        <v>1.2</v>
      </c>
      <c r="R1096" s="25"/>
      <c r="S1096" s="25">
        <v>0.8</v>
      </c>
      <c r="T1096" s="25"/>
      <c r="U1096" s="31">
        <f t="shared" si="18"/>
        <v>3.5</v>
      </c>
      <c r="V1096" s="25"/>
      <c r="W1096" s="33" t="s">
        <v>22</v>
      </c>
      <c r="X1096" s="33"/>
      <c r="Y1096" s="33"/>
      <c r="Z1096" s="33" t="s">
        <v>1008</v>
      </c>
      <c r="AA1096" s="33"/>
    </row>
    <row r="1097" spans="1:28" s="70" customFormat="1" ht="45" x14ac:dyDescent="0.2">
      <c r="A1097" s="24">
        <v>1093</v>
      </c>
      <c r="B1097" s="24" t="s">
        <v>1991</v>
      </c>
      <c r="C1097" s="25" t="s">
        <v>1990</v>
      </c>
      <c r="D1097" s="26" t="s">
        <v>2140</v>
      </c>
      <c r="E1097" s="25" t="s">
        <v>2139</v>
      </c>
      <c r="F1097" s="25" t="s">
        <v>2138</v>
      </c>
      <c r="G1097" s="24"/>
      <c r="H1097" s="25" t="s">
        <v>2171</v>
      </c>
      <c r="I1097" s="27"/>
      <c r="J1097" s="28" t="s">
        <v>2179</v>
      </c>
      <c r="K1097" s="27"/>
      <c r="L1097" s="25" t="s">
        <v>2180</v>
      </c>
      <c r="M1097" s="25" t="s">
        <v>68</v>
      </c>
      <c r="N1097" s="25">
        <v>6504</v>
      </c>
      <c r="O1097" s="25">
        <v>1</v>
      </c>
      <c r="P1097" s="25">
        <v>1.4</v>
      </c>
      <c r="Q1097" s="25">
        <v>0.8</v>
      </c>
      <c r="R1097" s="25">
        <v>0.6</v>
      </c>
      <c r="S1097" s="25">
        <v>0.4</v>
      </c>
      <c r="T1097" s="25"/>
      <c r="U1097" s="31">
        <f t="shared" si="18"/>
        <v>4.2</v>
      </c>
      <c r="V1097" s="25"/>
      <c r="W1097" s="33" t="s">
        <v>22</v>
      </c>
      <c r="X1097" s="33"/>
      <c r="Y1097" s="33"/>
      <c r="Z1097" s="33" t="s">
        <v>1008</v>
      </c>
      <c r="AA1097" s="33"/>
    </row>
    <row r="1098" spans="1:28" s="70" customFormat="1" ht="45" x14ac:dyDescent="0.2">
      <c r="A1098" s="24">
        <v>1094</v>
      </c>
      <c r="B1098" s="24" t="s">
        <v>1991</v>
      </c>
      <c r="C1098" s="25" t="s">
        <v>1990</v>
      </c>
      <c r="D1098" s="26" t="s">
        <v>2140</v>
      </c>
      <c r="E1098" s="25" t="s">
        <v>2139</v>
      </c>
      <c r="F1098" s="25" t="s">
        <v>2138</v>
      </c>
      <c r="G1098" s="24"/>
      <c r="H1098" s="25" t="s">
        <v>2171</v>
      </c>
      <c r="I1098" s="27"/>
      <c r="J1098" s="28" t="s">
        <v>2179</v>
      </c>
      <c r="K1098" s="27"/>
      <c r="L1098" s="25" t="s">
        <v>2178</v>
      </c>
      <c r="M1098" s="25" t="s">
        <v>68</v>
      </c>
      <c r="N1098" s="25">
        <v>552</v>
      </c>
      <c r="O1098" s="25"/>
      <c r="P1098" s="25">
        <v>2.2000000000000002</v>
      </c>
      <c r="Q1098" s="25">
        <v>1</v>
      </c>
      <c r="R1098" s="25"/>
      <c r="S1098" s="25">
        <v>0.5</v>
      </c>
      <c r="T1098" s="25">
        <v>0.5</v>
      </c>
      <c r="U1098" s="31">
        <f t="shared" si="18"/>
        <v>4.2</v>
      </c>
      <c r="V1098" s="25"/>
      <c r="W1098" s="33" t="s">
        <v>22</v>
      </c>
      <c r="X1098" s="33"/>
      <c r="Y1098" s="33"/>
      <c r="Z1098" s="33" t="s">
        <v>1008</v>
      </c>
      <c r="AA1098" s="33"/>
    </row>
    <row r="1099" spans="1:28" s="70" customFormat="1" ht="90" x14ac:dyDescent="0.2">
      <c r="A1099" s="24">
        <v>1095</v>
      </c>
      <c r="B1099" s="24" t="s">
        <v>1991</v>
      </c>
      <c r="C1099" s="25" t="s">
        <v>1990</v>
      </c>
      <c r="D1099" s="26" t="s">
        <v>2140</v>
      </c>
      <c r="E1099" s="25" t="s">
        <v>2139</v>
      </c>
      <c r="F1099" s="25" t="s">
        <v>2138</v>
      </c>
      <c r="G1099" s="24"/>
      <c r="H1099" s="25" t="s">
        <v>2171</v>
      </c>
      <c r="I1099" s="27"/>
      <c r="J1099" s="28" t="s">
        <v>2177</v>
      </c>
      <c r="K1099" s="27"/>
      <c r="L1099" s="25" t="s">
        <v>2176</v>
      </c>
      <c r="M1099" s="25" t="s">
        <v>68</v>
      </c>
      <c r="N1099" s="25">
        <v>1200</v>
      </c>
      <c r="O1099" s="25">
        <v>0.8</v>
      </c>
      <c r="P1099" s="25">
        <v>0.8</v>
      </c>
      <c r="Q1099" s="25">
        <v>0.5</v>
      </c>
      <c r="R1099" s="25"/>
      <c r="S1099" s="25">
        <v>0.2</v>
      </c>
      <c r="T1099" s="25"/>
      <c r="U1099" s="31">
        <f t="shared" si="18"/>
        <v>2.3000000000000003</v>
      </c>
      <c r="V1099" s="25"/>
      <c r="W1099" s="33" t="s">
        <v>22</v>
      </c>
      <c r="X1099" s="33"/>
      <c r="Y1099" s="33"/>
      <c r="Z1099" s="33" t="s">
        <v>1008</v>
      </c>
      <c r="AA1099" s="33"/>
    </row>
    <row r="1100" spans="1:28" s="70" customFormat="1" ht="45" x14ac:dyDescent="0.2">
      <c r="A1100" s="24">
        <v>1096</v>
      </c>
      <c r="B1100" s="24" t="s">
        <v>1991</v>
      </c>
      <c r="C1100" s="25" t="s">
        <v>1990</v>
      </c>
      <c r="D1100" s="26" t="s">
        <v>2140</v>
      </c>
      <c r="E1100" s="25" t="s">
        <v>2139</v>
      </c>
      <c r="F1100" s="25" t="s">
        <v>2138</v>
      </c>
      <c r="G1100" s="24"/>
      <c r="H1100" s="25" t="s">
        <v>2171</v>
      </c>
      <c r="I1100" s="27"/>
      <c r="J1100" s="28" t="s">
        <v>2174</v>
      </c>
      <c r="K1100" s="27"/>
      <c r="L1100" s="25" t="s">
        <v>2175</v>
      </c>
      <c r="M1100" s="25" t="s">
        <v>2148</v>
      </c>
      <c r="N1100" s="25">
        <v>1</v>
      </c>
      <c r="O1100" s="25"/>
      <c r="P1100" s="25">
        <v>50</v>
      </c>
      <c r="Q1100" s="25">
        <v>10</v>
      </c>
      <c r="R1100" s="25"/>
      <c r="S1100" s="25">
        <v>5</v>
      </c>
      <c r="T1100" s="25"/>
      <c r="U1100" s="31">
        <f t="shared" si="18"/>
        <v>65</v>
      </c>
      <c r="V1100" s="25"/>
      <c r="W1100" s="33" t="s">
        <v>22</v>
      </c>
      <c r="X1100" s="33"/>
      <c r="Y1100" s="33"/>
      <c r="Z1100" s="33" t="s">
        <v>1008</v>
      </c>
      <c r="AA1100" s="33"/>
    </row>
    <row r="1101" spans="1:28" s="70" customFormat="1" ht="45" x14ac:dyDescent="0.2">
      <c r="A1101" s="24">
        <v>1097</v>
      </c>
      <c r="B1101" s="24" t="s">
        <v>1991</v>
      </c>
      <c r="C1101" s="25" t="s">
        <v>1990</v>
      </c>
      <c r="D1101" s="26" t="s">
        <v>2140</v>
      </c>
      <c r="E1101" s="25" t="s">
        <v>2139</v>
      </c>
      <c r="F1101" s="25" t="s">
        <v>2138</v>
      </c>
      <c r="G1101" s="24"/>
      <c r="H1101" s="25" t="s">
        <v>2171</v>
      </c>
      <c r="I1101" s="27"/>
      <c r="J1101" s="28" t="s">
        <v>2174</v>
      </c>
      <c r="K1101" s="27"/>
      <c r="L1101" s="25" t="s">
        <v>2173</v>
      </c>
      <c r="M1101" s="25" t="s">
        <v>1387</v>
      </c>
      <c r="N1101" s="25">
        <v>1</v>
      </c>
      <c r="O1101" s="25">
        <v>40</v>
      </c>
      <c r="P1101" s="25"/>
      <c r="Q1101" s="25"/>
      <c r="R1101" s="25"/>
      <c r="S1101" s="25">
        <v>30</v>
      </c>
      <c r="T1101" s="25"/>
      <c r="U1101" s="31">
        <f t="shared" si="18"/>
        <v>70</v>
      </c>
      <c r="V1101" s="25"/>
      <c r="W1101" s="33" t="s">
        <v>355</v>
      </c>
      <c r="X1101" s="33"/>
      <c r="Y1101" s="33"/>
      <c r="Z1101" s="59">
        <v>1</v>
      </c>
      <c r="AA1101" s="33"/>
    </row>
    <row r="1102" spans="1:28" s="70" customFormat="1" ht="45" x14ac:dyDescent="0.2">
      <c r="A1102" s="24">
        <v>1098</v>
      </c>
      <c r="B1102" s="24" t="s">
        <v>1991</v>
      </c>
      <c r="C1102" s="25" t="s">
        <v>1990</v>
      </c>
      <c r="D1102" s="26" t="s">
        <v>2140</v>
      </c>
      <c r="E1102" s="25" t="s">
        <v>2139</v>
      </c>
      <c r="F1102" s="25" t="s">
        <v>2138</v>
      </c>
      <c r="G1102" s="24"/>
      <c r="H1102" s="25" t="s">
        <v>2171</v>
      </c>
      <c r="I1102" s="27"/>
      <c r="J1102" s="28" t="s">
        <v>2172</v>
      </c>
      <c r="K1102" s="27"/>
      <c r="L1102" s="25"/>
      <c r="M1102" s="25"/>
      <c r="N1102" s="25"/>
      <c r="O1102" s="25"/>
      <c r="P1102" s="25"/>
      <c r="Q1102" s="25"/>
      <c r="R1102" s="25"/>
      <c r="S1102" s="25"/>
      <c r="T1102" s="25"/>
      <c r="U1102" s="31">
        <f t="shared" si="18"/>
        <v>0</v>
      </c>
      <c r="V1102" s="25"/>
      <c r="W1102" s="33"/>
      <c r="X1102" s="33"/>
      <c r="Y1102" s="33"/>
      <c r="Z1102" s="33"/>
      <c r="AA1102" s="33"/>
      <c r="AB1102" s="70" t="s">
        <v>2151</v>
      </c>
    </row>
    <row r="1103" spans="1:28" s="70" customFormat="1" ht="33.75" x14ac:dyDescent="0.2">
      <c r="A1103" s="24">
        <v>1099</v>
      </c>
      <c r="B1103" s="24" t="s">
        <v>1991</v>
      </c>
      <c r="C1103" s="25" t="s">
        <v>1990</v>
      </c>
      <c r="D1103" s="26" t="s">
        <v>2140</v>
      </c>
      <c r="E1103" s="25" t="s">
        <v>2139</v>
      </c>
      <c r="F1103" s="25" t="s">
        <v>2138</v>
      </c>
      <c r="G1103" s="24"/>
      <c r="H1103" s="25" t="s">
        <v>2171</v>
      </c>
      <c r="I1103" s="27"/>
      <c r="J1103" s="28" t="s">
        <v>2170</v>
      </c>
      <c r="K1103" s="27"/>
      <c r="L1103" s="25" t="s">
        <v>2169</v>
      </c>
      <c r="M1103" s="25" t="s">
        <v>2168</v>
      </c>
      <c r="N1103" s="25">
        <v>20</v>
      </c>
      <c r="O1103" s="25"/>
      <c r="P1103" s="25">
        <v>1</v>
      </c>
      <c r="Q1103" s="25"/>
      <c r="R1103" s="25"/>
      <c r="S1103" s="25">
        <v>1</v>
      </c>
      <c r="T1103" s="25"/>
      <c r="U1103" s="31">
        <f t="shared" si="18"/>
        <v>2</v>
      </c>
      <c r="V1103" s="25"/>
      <c r="W1103" s="33" t="s">
        <v>22</v>
      </c>
      <c r="X1103" s="33"/>
      <c r="Y1103" s="33"/>
      <c r="Z1103" s="33" t="s">
        <v>1008</v>
      </c>
      <c r="AA1103" s="33"/>
    </row>
    <row r="1104" spans="1:28" s="70" customFormat="1" ht="67.5" x14ac:dyDescent="0.2">
      <c r="A1104" s="24">
        <v>1100</v>
      </c>
      <c r="B1104" s="24" t="s">
        <v>1991</v>
      </c>
      <c r="C1104" s="25" t="s">
        <v>1990</v>
      </c>
      <c r="D1104" s="26" t="s">
        <v>2140</v>
      </c>
      <c r="E1104" s="25" t="s">
        <v>2139</v>
      </c>
      <c r="F1104" s="25" t="s">
        <v>2138</v>
      </c>
      <c r="G1104" s="24"/>
      <c r="H1104" s="25" t="s">
        <v>2155</v>
      </c>
      <c r="I1104" s="27"/>
      <c r="J1104" s="28" t="s">
        <v>2162</v>
      </c>
      <c r="K1104" s="27"/>
      <c r="L1104" s="25" t="s">
        <v>2167</v>
      </c>
      <c r="M1104" s="25" t="s">
        <v>68</v>
      </c>
      <c r="N1104" s="25">
        <v>100</v>
      </c>
      <c r="O1104" s="25">
        <v>1</v>
      </c>
      <c r="P1104" s="25"/>
      <c r="Q1104" s="25"/>
      <c r="R1104" s="25">
        <v>0.8</v>
      </c>
      <c r="S1104" s="25">
        <v>0.5</v>
      </c>
      <c r="T1104" s="25">
        <v>0.3</v>
      </c>
      <c r="U1104" s="31">
        <f t="shared" si="18"/>
        <v>2.5999999999999996</v>
      </c>
      <c r="V1104" s="25"/>
      <c r="W1104" s="33" t="s">
        <v>22</v>
      </c>
      <c r="X1104" s="33"/>
      <c r="Y1104" s="33"/>
      <c r="Z1104" s="33" t="s">
        <v>1008</v>
      </c>
      <c r="AA1104" s="33"/>
    </row>
    <row r="1105" spans="1:28" s="70" customFormat="1" ht="67.5" x14ac:dyDescent="0.2">
      <c r="A1105" s="24">
        <v>1101</v>
      </c>
      <c r="B1105" s="24" t="s">
        <v>1991</v>
      </c>
      <c r="C1105" s="25" t="s">
        <v>1990</v>
      </c>
      <c r="D1105" s="26" t="s">
        <v>2140</v>
      </c>
      <c r="E1105" s="25" t="s">
        <v>2139</v>
      </c>
      <c r="F1105" s="25" t="s">
        <v>2138</v>
      </c>
      <c r="G1105" s="24"/>
      <c r="H1105" s="25" t="s">
        <v>2155</v>
      </c>
      <c r="I1105" s="27"/>
      <c r="J1105" s="28" t="s">
        <v>2162</v>
      </c>
      <c r="K1105" s="27"/>
      <c r="L1105" s="25" t="s">
        <v>2166</v>
      </c>
      <c r="M1105" s="25" t="s">
        <v>68</v>
      </c>
      <c r="N1105" s="25">
        <v>128</v>
      </c>
      <c r="O1105" s="25"/>
      <c r="P1105" s="25">
        <v>1.2</v>
      </c>
      <c r="Q1105" s="25"/>
      <c r="R1105" s="25">
        <v>1</v>
      </c>
      <c r="S1105" s="25">
        <v>0.5</v>
      </c>
      <c r="T1105" s="25">
        <v>0.3</v>
      </c>
      <c r="U1105" s="31">
        <f t="shared" si="18"/>
        <v>3</v>
      </c>
      <c r="V1105" s="25"/>
      <c r="W1105" s="33" t="s">
        <v>22</v>
      </c>
      <c r="X1105" s="33"/>
      <c r="Y1105" s="33"/>
      <c r="Z1105" s="33" t="s">
        <v>1008</v>
      </c>
      <c r="AA1105" s="33"/>
    </row>
    <row r="1106" spans="1:28" s="70" customFormat="1" ht="67.5" x14ac:dyDescent="0.2">
      <c r="A1106" s="24">
        <v>1102</v>
      </c>
      <c r="B1106" s="24" t="s">
        <v>1991</v>
      </c>
      <c r="C1106" s="25" t="s">
        <v>1990</v>
      </c>
      <c r="D1106" s="26" t="s">
        <v>2140</v>
      </c>
      <c r="E1106" s="25" t="s">
        <v>2139</v>
      </c>
      <c r="F1106" s="25" t="s">
        <v>2138</v>
      </c>
      <c r="G1106" s="24"/>
      <c r="H1106" s="25" t="s">
        <v>2155</v>
      </c>
      <c r="I1106" s="27"/>
      <c r="J1106" s="28" t="s">
        <v>2162</v>
      </c>
      <c r="K1106" s="27"/>
      <c r="L1106" s="25" t="s">
        <v>2165</v>
      </c>
      <c r="M1106" s="25" t="s">
        <v>68</v>
      </c>
      <c r="N1106" s="25">
        <v>120</v>
      </c>
      <c r="O1106" s="25"/>
      <c r="P1106" s="25">
        <v>1</v>
      </c>
      <c r="Q1106" s="25"/>
      <c r="R1106" s="25">
        <v>0.8</v>
      </c>
      <c r="S1106" s="25">
        <v>0.5</v>
      </c>
      <c r="T1106" s="25">
        <v>0.3</v>
      </c>
      <c r="U1106" s="31">
        <f t="shared" si="18"/>
        <v>2.5999999999999996</v>
      </c>
      <c r="V1106" s="25"/>
      <c r="W1106" s="33" t="s">
        <v>22</v>
      </c>
      <c r="X1106" s="33"/>
      <c r="Y1106" s="33"/>
      <c r="Z1106" s="33" t="s">
        <v>1008</v>
      </c>
      <c r="AA1106" s="33"/>
    </row>
    <row r="1107" spans="1:28" s="70" customFormat="1" ht="67.5" x14ac:dyDescent="0.2">
      <c r="A1107" s="24">
        <v>1103</v>
      </c>
      <c r="B1107" s="24" t="s">
        <v>1991</v>
      </c>
      <c r="C1107" s="25" t="s">
        <v>1990</v>
      </c>
      <c r="D1107" s="26" t="s">
        <v>2140</v>
      </c>
      <c r="E1107" s="25" t="s">
        <v>2139</v>
      </c>
      <c r="F1107" s="25" t="s">
        <v>2138</v>
      </c>
      <c r="G1107" s="24"/>
      <c r="H1107" s="25" t="s">
        <v>2155</v>
      </c>
      <c r="I1107" s="27"/>
      <c r="J1107" s="28" t="s">
        <v>2162</v>
      </c>
      <c r="K1107" s="27"/>
      <c r="L1107" s="25" t="s">
        <v>2164</v>
      </c>
      <c r="M1107" s="25" t="s">
        <v>68</v>
      </c>
      <c r="N1107" s="25">
        <v>72</v>
      </c>
      <c r="O1107" s="25"/>
      <c r="P1107" s="25">
        <v>1</v>
      </c>
      <c r="Q1107" s="25"/>
      <c r="R1107" s="25">
        <v>0.8</v>
      </c>
      <c r="S1107" s="25">
        <v>0.5</v>
      </c>
      <c r="T1107" s="25">
        <v>0.2</v>
      </c>
      <c r="U1107" s="31">
        <f t="shared" si="18"/>
        <v>2.5</v>
      </c>
      <c r="V1107" s="25"/>
      <c r="W1107" s="33" t="s">
        <v>22</v>
      </c>
      <c r="X1107" s="33"/>
      <c r="Y1107" s="33"/>
      <c r="Z1107" s="33" t="s">
        <v>1008</v>
      </c>
      <c r="AA1107" s="33"/>
    </row>
    <row r="1108" spans="1:28" s="70" customFormat="1" ht="67.5" x14ac:dyDescent="0.2">
      <c r="A1108" s="24">
        <v>1104</v>
      </c>
      <c r="B1108" s="24" t="s">
        <v>1991</v>
      </c>
      <c r="C1108" s="25" t="s">
        <v>1990</v>
      </c>
      <c r="D1108" s="26" t="s">
        <v>2140</v>
      </c>
      <c r="E1108" s="25" t="s">
        <v>2139</v>
      </c>
      <c r="F1108" s="25" t="s">
        <v>2138</v>
      </c>
      <c r="G1108" s="24"/>
      <c r="H1108" s="25" t="s">
        <v>2155</v>
      </c>
      <c r="I1108" s="27"/>
      <c r="J1108" s="28" t="s">
        <v>2162</v>
      </c>
      <c r="K1108" s="27"/>
      <c r="L1108" s="25" t="s">
        <v>2163</v>
      </c>
      <c r="M1108" s="25" t="s">
        <v>68</v>
      </c>
      <c r="N1108" s="25">
        <v>12</v>
      </c>
      <c r="O1108" s="25"/>
      <c r="P1108" s="25">
        <v>1</v>
      </c>
      <c r="Q1108" s="25"/>
      <c r="R1108" s="25">
        <v>0.8</v>
      </c>
      <c r="S1108" s="25">
        <v>0.5</v>
      </c>
      <c r="T1108" s="25">
        <v>0.2</v>
      </c>
      <c r="U1108" s="31">
        <f t="shared" si="18"/>
        <v>2.5</v>
      </c>
      <c r="V1108" s="25"/>
      <c r="W1108" s="33" t="s">
        <v>22</v>
      </c>
      <c r="X1108" s="33"/>
      <c r="Y1108" s="33"/>
      <c r="Z1108" s="33" t="s">
        <v>1008</v>
      </c>
      <c r="AA1108" s="33"/>
    </row>
    <row r="1109" spans="1:28" s="70" customFormat="1" ht="67.5" x14ac:dyDescent="0.2">
      <c r="A1109" s="24">
        <v>1105</v>
      </c>
      <c r="B1109" s="24" t="s">
        <v>1991</v>
      </c>
      <c r="C1109" s="25" t="s">
        <v>1990</v>
      </c>
      <c r="D1109" s="26" t="s">
        <v>2140</v>
      </c>
      <c r="E1109" s="25" t="s">
        <v>2139</v>
      </c>
      <c r="F1109" s="25" t="s">
        <v>2138</v>
      </c>
      <c r="G1109" s="24"/>
      <c r="H1109" s="25" t="s">
        <v>2155</v>
      </c>
      <c r="I1109" s="27"/>
      <c r="J1109" s="28" t="s">
        <v>2162</v>
      </c>
      <c r="K1109" s="27"/>
      <c r="L1109" s="25" t="s">
        <v>2161</v>
      </c>
      <c r="M1109" s="25" t="s">
        <v>68</v>
      </c>
      <c r="N1109" s="25">
        <v>432</v>
      </c>
      <c r="O1109" s="25"/>
      <c r="P1109" s="25">
        <v>0.8</v>
      </c>
      <c r="Q1109" s="25"/>
      <c r="R1109" s="25"/>
      <c r="S1109" s="25">
        <v>0.3</v>
      </c>
      <c r="T1109" s="25">
        <v>0.2</v>
      </c>
      <c r="U1109" s="31">
        <f t="shared" si="18"/>
        <v>1.3</v>
      </c>
      <c r="V1109" s="25"/>
      <c r="W1109" s="33" t="s">
        <v>22</v>
      </c>
      <c r="X1109" s="33"/>
      <c r="Y1109" s="33"/>
      <c r="Z1109" s="33" t="s">
        <v>1008</v>
      </c>
      <c r="AA1109" s="33"/>
    </row>
    <row r="1110" spans="1:28" s="70" customFormat="1" ht="33.75" x14ac:dyDescent="0.2">
      <c r="A1110" s="24">
        <v>1106</v>
      </c>
      <c r="B1110" s="24" t="s">
        <v>1991</v>
      </c>
      <c r="C1110" s="25" t="s">
        <v>1990</v>
      </c>
      <c r="D1110" s="26" t="s">
        <v>2140</v>
      </c>
      <c r="E1110" s="25" t="s">
        <v>2139</v>
      </c>
      <c r="F1110" s="25" t="s">
        <v>2138</v>
      </c>
      <c r="G1110" s="24"/>
      <c r="H1110" s="25" t="s">
        <v>2155</v>
      </c>
      <c r="I1110" s="27"/>
      <c r="J1110" s="28" t="s">
        <v>2160</v>
      </c>
      <c r="K1110" s="27"/>
      <c r="L1110" s="25"/>
      <c r="M1110" s="25"/>
      <c r="N1110" s="25"/>
      <c r="O1110" s="25"/>
      <c r="P1110" s="25"/>
      <c r="Q1110" s="25"/>
      <c r="R1110" s="25"/>
      <c r="S1110" s="25"/>
      <c r="T1110" s="25"/>
      <c r="U1110" s="31">
        <f t="shared" si="18"/>
        <v>0</v>
      </c>
      <c r="V1110" s="25"/>
      <c r="W1110" s="33"/>
      <c r="X1110" s="33"/>
      <c r="Y1110" s="33"/>
      <c r="Z1110" s="33"/>
      <c r="AA1110" s="33"/>
      <c r="AB1110" s="70" t="s">
        <v>2151</v>
      </c>
    </row>
    <row r="1111" spans="1:28" s="70" customFormat="1" ht="45" x14ac:dyDescent="0.2">
      <c r="A1111" s="24">
        <v>1107</v>
      </c>
      <c r="B1111" s="24" t="s">
        <v>1991</v>
      </c>
      <c r="C1111" s="25" t="s">
        <v>1990</v>
      </c>
      <c r="D1111" s="26" t="s">
        <v>2140</v>
      </c>
      <c r="E1111" s="25" t="s">
        <v>2139</v>
      </c>
      <c r="F1111" s="25" t="s">
        <v>2138</v>
      </c>
      <c r="G1111" s="24"/>
      <c r="H1111" s="25" t="s">
        <v>2155</v>
      </c>
      <c r="I1111" s="27"/>
      <c r="J1111" s="28" t="s">
        <v>2157</v>
      </c>
      <c r="K1111" s="27"/>
      <c r="L1111" s="25" t="s">
        <v>2159</v>
      </c>
      <c r="M1111" s="25" t="s">
        <v>2158</v>
      </c>
      <c r="N1111" s="25">
        <v>100</v>
      </c>
      <c r="O1111" s="25">
        <v>8</v>
      </c>
      <c r="P1111" s="25">
        <v>7</v>
      </c>
      <c r="Q1111" s="25">
        <v>2</v>
      </c>
      <c r="R1111" s="25">
        <v>2</v>
      </c>
      <c r="S1111" s="25">
        <v>1</v>
      </c>
      <c r="T1111" s="25"/>
      <c r="U1111" s="31">
        <f t="shared" si="18"/>
        <v>20</v>
      </c>
      <c r="V1111" s="25"/>
      <c r="W1111" s="33" t="s">
        <v>22</v>
      </c>
      <c r="X1111" s="33"/>
      <c r="Y1111" s="33"/>
      <c r="Z1111" s="33" t="s">
        <v>1008</v>
      </c>
      <c r="AA1111" s="33"/>
    </row>
    <row r="1112" spans="1:28" s="70" customFormat="1" ht="45" x14ac:dyDescent="0.2">
      <c r="A1112" s="24">
        <v>1108</v>
      </c>
      <c r="B1112" s="24" t="s">
        <v>1991</v>
      </c>
      <c r="C1112" s="25" t="s">
        <v>1990</v>
      </c>
      <c r="D1112" s="26" t="s">
        <v>2140</v>
      </c>
      <c r="E1112" s="25" t="s">
        <v>2139</v>
      </c>
      <c r="F1112" s="25" t="s">
        <v>2138</v>
      </c>
      <c r="G1112" s="24"/>
      <c r="H1112" s="25" t="s">
        <v>2155</v>
      </c>
      <c r="I1112" s="27"/>
      <c r="J1112" s="28" t="s">
        <v>2157</v>
      </c>
      <c r="K1112" s="27"/>
      <c r="L1112" s="25" t="s">
        <v>2156</v>
      </c>
      <c r="M1112" s="25" t="s">
        <v>1387</v>
      </c>
      <c r="N1112" s="25">
        <v>1</v>
      </c>
      <c r="O1112" s="25"/>
      <c r="P1112" s="25">
        <v>30</v>
      </c>
      <c r="Q1112" s="25">
        <v>20</v>
      </c>
      <c r="R1112" s="25">
        <v>5</v>
      </c>
      <c r="S1112" s="25">
        <v>5</v>
      </c>
      <c r="T1112" s="25">
        <v>2</v>
      </c>
      <c r="U1112" s="31">
        <f t="shared" si="18"/>
        <v>62</v>
      </c>
      <c r="V1112" s="25"/>
      <c r="W1112" s="33" t="s">
        <v>22</v>
      </c>
      <c r="X1112" s="33"/>
      <c r="Y1112" s="33"/>
      <c r="Z1112" s="33" t="s">
        <v>1008</v>
      </c>
      <c r="AA1112" s="33"/>
    </row>
    <row r="1113" spans="1:28" s="70" customFormat="1" ht="45" x14ac:dyDescent="0.2">
      <c r="A1113" s="24">
        <v>1109</v>
      </c>
      <c r="B1113" s="24" t="s">
        <v>1991</v>
      </c>
      <c r="C1113" s="25" t="s">
        <v>1990</v>
      </c>
      <c r="D1113" s="26" t="s">
        <v>2140</v>
      </c>
      <c r="E1113" s="25" t="s">
        <v>2139</v>
      </c>
      <c r="F1113" s="25" t="s">
        <v>2138</v>
      </c>
      <c r="G1113" s="24"/>
      <c r="H1113" s="25" t="s">
        <v>2155</v>
      </c>
      <c r="I1113" s="27"/>
      <c r="J1113" s="28" t="s">
        <v>2154</v>
      </c>
      <c r="K1113" s="27"/>
      <c r="L1113" s="25" t="s">
        <v>2153</v>
      </c>
      <c r="M1113" s="25" t="s">
        <v>68</v>
      </c>
      <c r="N1113" s="25">
        <v>5</v>
      </c>
      <c r="O1113" s="25"/>
      <c r="P1113" s="25">
        <v>100</v>
      </c>
      <c r="Q1113" s="25"/>
      <c r="R1113" s="25"/>
      <c r="S1113" s="25">
        <v>10</v>
      </c>
      <c r="T1113" s="25">
        <v>3</v>
      </c>
      <c r="U1113" s="31">
        <f t="shared" si="18"/>
        <v>113</v>
      </c>
      <c r="V1113" s="25"/>
      <c r="W1113" s="33" t="s">
        <v>22</v>
      </c>
      <c r="X1113" s="33"/>
      <c r="Y1113" s="33"/>
      <c r="Z1113" s="33" t="s">
        <v>1008</v>
      </c>
      <c r="AA1113" s="33"/>
    </row>
    <row r="1114" spans="1:28" s="70" customFormat="1" ht="33.75" x14ac:dyDescent="0.2">
      <c r="A1114" s="24">
        <v>1110</v>
      </c>
      <c r="B1114" s="24" t="s">
        <v>1991</v>
      </c>
      <c r="C1114" s="25" t="s">
        <v>1990</v>
      </c>
      <c r="D1114" s="26" t="s">
        <v>2140</v>
      </c>
      <c r="E1114" s="25" t="s">
        <v>2139</v>
      </c>
      <c r="F1114" s="25" t="s">
        <v>2138</v>
      </c>
      <c r="G1114" s="24"/>
      <c r="H1114" s="25" t="s">
        <v>2143</v>
      </c>
      <c r="I1114" s="27"/>
      <c r="J1114" s="28" t="s">
        <v>2152</v>
      </c>
      <c r="K1114" s="27"/>
      <c r="L1114" s="25"/>
      <c r="M1114" s="25"/>
      <c r="N1114" s="25"/>
      <c r="O1114" s="25"/>
      <c r="P1114" s="25"/>
      <c r="Q1114" s="25"/>
      <c r="R1114" s="25"/>
      <c r="S1114" s="25"/>
      <c r="T1114" s="25"/>
      <c r="U1114" s="31">
        <f t="shared" si="18"/>
        <v>0</v>
      </c>
      <c r="V1114" s="25"/>
      <c r="W1114" s="33"/>
      <c r="X1114" s="33"/>
      <c r="Y1114" s="33"/>
      <c r="Z1114" s="33"/>
      <c r="AA1114" s="33"/>
      <c r="AB1114" s="70" t="s">
        <v>2151</v>
      </c>
    </row>
    <row r="1115" spans="1:28" s="70" customFormat="1" ht="56.25" x14ac:dyDescent="0.2">
      <c r="A1115" s="24">
        <v>1111</v>
      </c>
      <c r="B1115" s="24" t="s">
        <v>1991</v>
      </c>
      <c r="C1115" s="25" t="s">
        <v>1990</v>
      </c>
      <c r="D1115" s="26" t="s">
        <v>2140</v>
      </c>
      <c r="E1115" s="25" t="s">
        <v>2139</v>
      </c>
      <c r="F1115" s="25" t="s">
        <v>2138</v>
      </c>
      <c r="G1115" s="24"/>
      <c r="H1115" s="25" t="s">
        <v>2143</v>
      </c>
      <c r="I1115" s="27"/>
      <c r="J1115" s="28" t="s">
        <v>2150</v>
      </c>
      <c r="K1115" s="27"/>
      <c r="L1115" s="25" t="s">
        <v>2149</v>
      </c>
      <c r="M1115" s="25" t="s">
        <v>2148</v>
      </c>
      <c r="N1115" s="25">
        <v>1</v>
      </c>
      <c r="O1115" s="25"/>
      <c r="P1115" s="25">
        <v>50</v>
      </c>
      <c r="Q1115" s="25">
        <v>30</v>
      </c>
      <c r="R1115" s="25"/>
      <c r="S1115" s="25">
        <v>20</v>
      </c>
      <c r="T1115" s="25"/>
      <c r="U1115" s="31">
        <f t="shared" si="18"/>
        <v>100</v>
      </c>
      <c r="V1115" s="25"/>
      <c r="W1115" s="33" t="s">
        <v>22</v>
      </c>
      <c r="X1115" s="33"/>
      <c r="Y1115" s="33"/>
      <c r="Z1115" s="33" t="s">
        <v>1008</v>
      </c>
      <c r="AA1115" s="33"/>
    </row>
    <row r="1116" spans="1:28" s="70" customFormat="1" ht="56.25" x14ac:dyDescent="0.2">
      <c r="A1116" s="24">
        <v>1112</v>
      </c>
      <c r="B1116" s="24" t="s">
        <v>1991</v>
      </c>
      <c r="C1116" s="25" t="s">
        <v>1990</v>
      </c>
      <c r="D1116" s="26" t="s">
        <v>2140</v>
      </c>
      <c r="E1116" s="25" t="s">
        <v>2139</v>
      </c>
      <c r="F1116" s="25" t="s">
        <v>2138</v>
      </c>
      <c r="G1116" s="24"/>
      <c r="H1116" s="25" t="s">
        <v>2143</v>
      </c>
      <c r="I1116" s="27"/>
      <c r="J1116" s="28" t="s">
        <v>2147</v>
      </c>
      <c r="K1116" s="27"/>
      <c r="L1116" s="25"/>
      <c r="M1116" s="25"/>
      <c r="N1116" s="25"/>
      <c r="O1116" s="25"/>
      <c r="P1116" s="25"/>
      <c r="Q1116" s="25"/>
      <c r="R1116" s="25"/>
      <c r="S1116" s="25"/>
      <c r="T1116" s="25"/>
      <c r="U1116" s="31">
        <f t="shared" si="18"/>
        <v>0</v>
      </c>
      <c r="V1116" s="25"/>
      <c r="W1116" s="33"/>
      <c r="X1116" s="33"/>
      <c r="Y1116" s="33"/>
      <c r="Z1116" s="33"/>
      <c r="AA1116" s="33"/>
    </row>
    <row r="1117" spans="1:28" s="70" customFormat="1" ht="33.75" x14ac:dyDescent="0.2">
      <c r="A1117" s="24">
        <v>1113</v>
      </c>
      <c r="B1117" s="24" t="s">
        <v>1991</v>
      </c>
      <c r="C1117" s="25" t="s">
        <v>1990</v>
      </c>
      <c r="D1117" s="26" t="s">
        <v>2140</v>
      </c>
      <c r="E1117" s="25" t="s">
        <v>2139</v>
      </c>
      <c r="F1117" s="25" t="s">
        <v>2138</v>
      </c>
      <c r="G1117" s="24"/>
      <c r="H1117" s="25" t="s">
        <v>2143</v>
      </c>
      <c r="I1117" s="27"/>
      <c r="J1117" s="28" t="s">
        <v>2146</v>
      </c>
      <c r="K1117" s="27"/>
      <c r="L1117" s="25"/>
      <c r="M1117" s="25"/>
      <c r="N1117" s="25"/>
      <c r="O1117" s="25"/>
      <c r="P1117" s="25"/>
      <c r="Q1117" s="25"/>
      <c r="R1117" s="25"/>
      <c r="S1117" s="25"/>
      <c r="T1117" s="25"/>
      <c r="U1117" s="31">
        <f t="shared" si="18"/>
        <v>0</v>
      </c>
      <c r="V1117" s="25"/>
      <c r="W1117" s="33"/>
      <c r="X1117" s="33"/>
      <c r="Y1117" s="33"/>
      <c r="Z1117" s="33"/>
      <c r="AA1117" s="33"/>
    </row>
    <row r="1118" spans="1:28" s="70" customFormat="1" ht="45" x14ac:dyDescent="0.2">
      <c r="A1118" s="24">
        <v>1114</v>
      </c>
      <c r="B1118" s="24" t="s">
        <v>1991</v>
      </c>
      <c r="C1118" s="25" t="s">
        <v>1990</v>
      </c>
      <c r="D1118" s="26" t="s">
        <v>2140</v>
      </c>
      <c r="E1118" s="25" t="s">
        <v>2139</v>
      </c>
      <c r="F1118" s="25" t="s">
        <v>2138</v>
      </c>
      <c r="G1118" s="24"/>
      <c r="H1118" s="25" t="s">
        <v>2143</v>
      </c>
      <c r="I1118" s="27"/>
      <c r="J1118" s="28" t="s">
        <v>2145</v>
      </c>
      <c r="K1118" s="27"/>
      <c r="L1118" s="25"/>
      <c r="M1118" s="25"/>
      <c r="N1118" s="25"/>
      <c r="O1118" s="25"/>
      <c r="P1118" s="25"/>
      <c r="Q1118" s="25"/>
      <c r="R1118" s="25"/>
      <c r="S1118" s="25"/>
      <c r="T1118" s="25"/>
      <c r="U1118" s="31">
        <f t="shared" si="18"/>
        <v>0</v>
      </c>
      <c r="V1118" s="25"/>
      <c r="W1118" s="33"/>
      <c r="X1118" s="33"/>
      <c r="Y1118" s="33"/>
      <c r="Z1118" s="33"/>
      <c r="AA1118" s="33"/>
    </row>
    <row r="1119" spans="1:28" s="70" customFormat="1" ht="45" x14ac:dyDescent="0.2">
      <c r="A1119" s="24">
        <v>1115</v>
      </c>
      <c r="B1119" s="24" t="s">
        <v>1991</v>
      </c>
      <c r="C1119" s="25" t="s">
        <v>1990</v>
      </c>
      <c r="D1119" s="26" t="s">
        <v>2140</v>
      </c>
      <c r="E1119" s="25" t="s">
        <v>2139</v>
      </c>
      <c r="F1119" s="25" t="s">
        <v>2138</v>
      </c>
      <c r="G1119" s="24"/>
      <c r="H1119" s="25" t="s">
        <v>2143</v>
      </c>
      <c r="I1119" s="27"/>
      <c r="J1119" s="28" t="s">
        <v>2144</v>
      </c>
      <c r="K1119" s="27"/>
      <c r="L1119" s="25"/>
      <c r="M1119" s="25"/>
      <c r="N1119" s="25"/>
      <c r="O1119" s="25"/>
      <c r="P1119" s="25"/>
      <c r="Q1119" s="25"/>
      <c r="R1119" s="25"/>
      <c r="S1119" s="25"/>
      <c r="T1119" s="25"/>
      <c r="U1119" s="31">
        <f t="shared" si="18"/>
        <v>0</v>
      </c>
      <c r="V1119" s="25"/>
      <c r="W1119" s="33"/>
      <c r="X1119" s="33"/>
      <c r="Y1119" s="33"/>
      <c r="Z1119" s="33"/>
      <c r="AA1119" s="33"/>
    </row>
    <row r="1120" spans="1:28" s="70" customFormat="1" ht="22.5" x14ac:dyDescent="0.2">
      <c r="A1120" s="24">
        <v>1116</v>
      </c>
      <c r="B1120" s="24" t="s">
        <v>1991</v>
      </c>
      <c r="C1120" s="25" t="s">
        <v>1990</v>
      </c>
      <c r="D1120" s="26" t="s">
        <v>2140</v>
      </c>
      <c r="E1120" s="25" t="s">
        <v>2139</v>
      </c>
      <c r="F1120" s="25" t="s">
        <v>2138</v>
      </c>
      <c r="G1120" s="24"/>
      <c r="H1120" s="25" t="s">
        <v>2143</v>
      </c>
      <c r="I1120" s="27"/>
      <c r="J1120" s="28" t="s">
        <v>2142</v>
      </c>
      <c r="K1120" s="27"/>
      <c r="L1120" s="25"/>
      <c r="M1120" s="25"/>
      <c r="N1120" s="25"/>
      <c r="O1120" s="25"/>
      <c r="P1120" s="25"/>
      <c r="Q1120" s="25"/>
      <c r="R1120" s="25"/>
      <c r="S1120" s="25"/>
      <c r="T1120" s="25"/>
      <c r="U1120" s="31">
        <f t="shared" si="18"/>
        <v>0</v>
      </c>
      <c r="V1120" s="25"/>
      <c r="W1120" s="33"/>
      <c r="X1120" s="33"/>
      <c r="Y1120" s="33"/>
      <c r="Z1120" s="33"/>
      <c r="AA1120" s="33"/>
    </row>
    <row r="1121" spans="1:27" s="70" customFormat="1" ht="22.5" x14ac:dyDescent="0.2">
      <c r="A1121" s="24">
        <v>1117</v>
      </c>
      <c r="B1121" s="24" t="s">
        <v>1991</v>
      </c>
      <c r="C1121" s="25" t="s">
        <v>1990</v>
      </c>
      <c r="D1121" s="26" t="s">
        <v>2140</v>
      </c>
      <c r="E1121" s="25" t="s">
        <v>2139</v>
      </c>
      <c r="F1121" s="25" t="s">
        <v>2138</v>
      </c>
      <c r="G1121" s="24"/>
      <c r="H1121" s="25" t="s">
        <v>2137</v>
      </c>
      <c r="I1121" s="27"/>
      <c r="J1121" s="25" t="s">
        <v>2137</v>
      </c>
      <c r="K1121" s="27"/>
      <c r="L1121" s="25" t="s">
        <v>2141</v>
      </c>
      <c r="M1121" s="25" t="s">
        <v>2135</v>
      </c>
      <c r="N1121" s="25">
        <v>10</v>
      </c>
      <c r="O1121" s="25"/>
      <c r="P1121" s="25">
        <v>1</v>
      </c>
      <c r="Q1121" s="25">
        <v>2</v>
      </c>
      <c r="R1121" s="25">
        <v>1</v>
      </c>
      <c r="S1121" s="25">
        <v>2</v>
      </c>
      <c r="T1121" s="25">
        <v>2</v>
      </c>
      <c r="U1121" s="31">
        <f t="shared" si="18"/>
        <v>8</v>
      </c>
      <c r="V1121" s="25"/>
      <c r="W1121" s="33" t="s">
        <v>344</v>
      </c>
      <c r="X1121" s="33"/>
      <c r="Y1121" s="33"/>
      <c r="Z1121" s="33">
        <v>1</v>
      </c>
      <c r="AA1121" s="33"/>
    </row>
    <row r="1122" spans="1:27" s="70" customFormat="1" ht="33.75" x14ac:dyDescent="0.2">
      <c r="A1122" s="24">
        <v>1118</v>
      </c>
      <c r="B1122" s="24" t="s">
        <v>1991</v>
      </c>
      <c r="C1122" s="25" t="s">
        <v>1990</v>
      </c>
      <c r="D1122" s="26" t="s">
        <v>2140</v>
      </c>
      <c r="E1122" s="25" t="s">
        <v>2139</v>
      </c>
      <c r="F1122" s="25" t="s">
        <v>2138</v>
      </c>
      <c r="G1122" s="24"/>
      <c r="H1122" s="25" t="s">
        <v>2137</v>
      </c>
      <c r="I1122" s="27"/>
      <c r="J1122" s="25" t="s">
        <v>2137</v>
      </c>
      <c r="K1122" s="27"/>
      <c r="L1122" s="25" t="s">
        <v>2136</v>
      </c>
      <c r="M1122" s="25" t="s">
        <v>2135</v>
      </c>
      <c r="N1122" s="25">
        <v>10</v>
      </c>
      <c r="O1122" s="25"/>
      <c r="P1122" s="25">
        <v>8</v>
      </c>
      <c r="Q1122" s="25">
        <v>8</v>
      </c>
      <c r="R1122" s="25"/>
      <c r="S1122" s="25">
        <v>8</v>
      </c>
      <c r="T1122" s="25">
        <v>8</v>
      </c>
      <c r="U1122" s="31">
        <f t="shared" si="18"/>
        <v>32</v>
      </c>
      <c r="V1122" s="25"/>
      <c r="W1122" s="33" t="s">
        <v>22</v>
      </c>
      <c r="X1122" s="33"/>
      <c r="Y1122" s="33"/>
      <c r="Z1122" s="33" t="s">
        <v>1008</v>
      </c>
      <c r="AA1122" s="33"/>
    </row>
    <row r="1123" spans="1:27" s="70" customFormat="1" ht="33.75" x14ac:dyDescent="0.2">
      <c r="A1123" s="24">
        <v>1119</v>
      </c>
      <c r="B1123" s="24" t="s">
        <v>1991</v>
      </c>
      <c r="C1123" s="25" t="s">
        <v>1990</v>
      </c>
      <c r="D1123" s="26" t="s">
        <v>1989</v>
      </c>
      <c r="E1123" s="25" t="s">
        <v>1988</v>
      </c>
      <c r="F1123" s="25" t="s">
        <v>1987</v>
      </c>
      <c r="G1123" s="24"/>
      <c r="H1123" s="25" t="s">
        <v>2081</v>
      </c>
      <c r="I1123" s="27"/>
      <c r="J1123" s="28" t="s">
        <v>2134</v>
      </c>
      <c r="K1123" s="27"/>
      <c r="L1123" s="25"/>
      <c r="M1123" s="25"/>
      <c r="N1123" s="25"/>
      <c r="O1123" s="25"/>
      <c r="P1123" s="25"/>
      <c r="Q1123" s="25"/>
      <c r="R1123" s="25"/>
      <c r="S1123" s="25"/>
      <c r="T1123" s="25"/>
      <c r="U1123" s="31">
        <f t="shared" si="18"/>
        <v>0</v>
      </c>
      <c r="V1123" s="25"/>
      <c r="W1123" s="33"/>
      <c r="X1123" s="33"/>
      <c r="Y1123" s="33"/>
      <c r="Z1123" s="33"/>
      <c r="AA1123" s="33"/>
    </row>
    <row r="1124" spans="1:27" s="70" customFormat="1" ht="56.25" x14ac:dyDescent="0.2">
      <c r="A1124" s="24">
        <v>1120</v>
      </c>
      <c r="B1124" s="24" t="s">
        <v>1991</v>
      </c>
      <c r="C1124" s="25" t="s">
        <v>1990</v>
      </c>
      <c r="D1124" s="26" t="s">
        <v>1989</v>
      </c>
      <c r="E1124" s="25" t="s">
        <v>1988</v>
      </c>
      <c r="F1124" s="25" t="s">
        <v>1987</v>
      </c>
      <c r="G1124" s="24"/>
      <c r="H1124" s="25" t="s">
        <v>2081</v>
      </c>
      <c r="I1124" s="27"/>
      <c r="J1124" s="28" t="s">
        <v>2133</v>
      </c>
      <c r="K1124" s="27"/>
      <c r="L1124" s="25"/>
      <c r="M1124" s="25"/>
      <c r="N1124" s="25"/>
      <c r="O1124" s="25"/>
      <c r="P1124" s="25"/>
      <c r="Q1124" s="25"/>
      <c r="R1124" s="25"/>
      <c r="S1124" s="25"/>
      <c r="T1124" s="25"/>
      <c r="U1124" s="31">
        <f t="shared" si="18"/>
        <v>0</v>
      </c>
      <c r="V1124" s="25"/>
      <c r="W1124" s="33"/>
      <c r="X1124" s="33"/>
      <c r="Y1124" s="33"/>
      <c r="Z1124" s="33"/>
      <c r="AA1124" s="33"/>
    </row>
    <row r="1125" spans="1:27" s="70" customFormat="1" ht="33.75" x14ac:dyDescent="0.2">
      <c r="A1125" s="24">
        <v>1121</v>
      </c>
      <c r="B1125" s="24" t="s">
        <v>1991</v>
      </c>
      <c r="C1125" s="25" t="s">
        <v>1990</v>
      </c>
      <c r="D1125" s="26" t="s">
        <v>1989</v>
      </c>
      <c r="E1125" s="25" t="s">
        <v>1988</v>
      </c>
      <c r="F1125" s="25" t="s">
        <v>1987</v>
      </c>
      <c r="G1125" s="24"/>
      <c r="H1125" s="25" t="s">
        <v>2081</v>
      </c>
      <c r="I1125" s="27"/>
      <c r="J1125" s="28" t="s">
        <v>2096</v>
      </c>
      <c r="K1125" s="27"/>
      <c r="L1125" s="25" t="s">
        <v>2132</v>
      </c>
      <c r="M1125" s="25" t="s">
        <v>199</v>
      </c>
      <c r="N1125" s="25">
        <v>1320</v>
      </c>
      <c r="O1125" s="25">
        <v>1</v>
      </c>
      <c r="P1125" s="25"/>
      <c r="Q1125" s="25"/>
      <c r="R1125" s="25"/>
      <c r="S1125" s="25">
        <v>0.13</v>
      </c>
      <c r="T1125" s="25"/>
      <c r="U1125" s="31">
        <f t="shared" si="18"/>
        <v>1.1299999999999999</v>
      </c>
      <c r="V1125" s="25"/>
      <c r="W1125" s="33" t="s">
        <v>2101</v>
      </c>
      <c r="X1125" s="33"/>
      <c r="Y1125" s="33"/>
      <c r="Z1125" s="33" t="s">
        <v>2130</v>
      </c>
      <c r="AA1125" s="33"/>
    </row>
    <row r="1126" spans="1:27" s="70" customFormat="1" ht="33.75" x14ac:dyDescent="0.2">
      <c r="A1126" s="24">
        <v>1122</v>
      </c>
      <c r="B1126" s="24" t="s">
        <v>1991</v>
      </c>
      <c r="C1126" s="25" t="s">
        <v>1990</v>
      </c>
      <c r="D1126" s="26" t="s">
        <v>1989</v>
      </c>
      <c r="E1126" s="25" t="s">
        <v>1988</v>
      </c>
      <c r="F1126" s="25" t="s">
        <v>1987</v>
      </c>
      <c r="G1126" s="24"/>
      <c r="H1126" s="25" t="s">
        <v>2081</v>
      </c>
      <c r="I1126" s="27"/>
      <c r="J1126" s="28" t="s">
        <v>2096</v>
      </c>
      <c r="K1126" s="27"/>
      <c r="L1126" s="25" t="s">
        <v>2131</v>
      </c>
      <c r="M1126" s="25" t="s">
        <v>199</v>
      </c>
      <c r="N1126" s="25">
        <v>960</v>
      </c>
      <c r="O1126" s="25">
        <v>0.75</v>
      </c>
      <c r="P1126" s="25"/>
      <c r="Q1126" s="25"/>
      <c r="R1126" s="25"/>
      <c r="S1126" s="25">
        <v>0.16</v>
      </c>
      <c r="T1126" s="25"/>
      <c r="U1126" s="31">
        <f t="shared" si="18"/>
        <v>0.91</v>
      </c>
      <c r="V1126" s="25"/>
      <c r="W1126" s="33" t="s">
        <v>2101</v>
      </c>
      <c r="X1126" s="33"/>
      <c r="Y1126" s="33"/>
      <c r="Z1126" s="33" t="s">
        <v>2130</v>
      </c>
      <c r="AA1126" s="33"/>
    </row>
    <row r="1127" spans="1:27" s="70" customFormat="1" ht="33.75" x14ac:dyDescent="0.2">
      <c r="A1127" s="24">
        <v>1123</v>
      </c>
      <c r="B1127" s="24" t="s">
        <v>1991</v>
      </c>
      <c r="C1127" s="25" t="s">
        <v>1990</v>
      </c>
      <c r="D1127" s="26" t="s">
        <v>1989</v>
      </c>
      <c r="E1127" s="25" t="s">
        <v>1988</v>
      </c>
      <c r="F1127" s="25" t="s">
        <v>1987</v>
      </c>
      <c r="G1127" s="24"/>
      <c r="H1127" s="25" t="s">
        <v>2081</v>
      </c>
      <c r="I1127" s="27"/>
      <c r="J1127" s="28" t="s">
        <v>2096</v>
      </c>
      <c r="K1127" s="27"/>
      <c r="L1127" s="25" t="s">
        <v>2129</v>
      </c>
      <c r="M1127" s="25" t="s">
        <v>199</v>
      </c>
      <c r="N1127" s="25">
        <v>60</v>
      </c>
      <c r="O1127" s="25">
        <v>12</v>
      </c>
      <c r="P1127" s="25"/>
      <c r="Q1127" s="25"/>
      <c r="R1127" s="25"/>
      <c r="S1127" s="25">
        <v>0.75</v>
      </c>
      <c r="T1127" s="25"/>
      <c r="U1127" s="31">
        <f t="shared" si="18"/>
        <v>12.75</v>
      </c>
      <c r="V1127" s="25"/>
      <c r="W1127" s="33" t="s">
        <v>2128</v>
      </c>
      <c r="X1127" s="33"/>
      <c r="Y1127" s="33"/>
      <c r="Z1127" s="33" t="s">
        <v>189</v>
      </c>
      <c r="AA1127" s="33"/>
    </row>
    <row r="1128" spans="1:27" s="70" customFormat="1" ht="33.75" x14ac:dyDescent="0.2">
      <c r="A1128" s="24">
        <v>1124</v>
      </c>
      <c r="B1128" s="24" t="s">
        <v>1991</v>
      </c>
      <c r="C1128" s="25" t="s">
        <v>1990</v>
      </c>
      <c r="D1128" s="26" t="s">
        <v>1989</v>
      </c>
      <c r="E1128" s="25" t="s">
        <v>1988</v>
      </c>
      <c r="F1128" s="25" t="s">
        <v>1987</v>
      </c>
      <c r="G1128" s="24"/>
      <c r="H1128" s="25" t="s">
        <v>2081</v>
      </c>
      <c r="I1128" s="27"/>
      <c r="J1128" s="28" t="s">
        <v>2096</v>
      </c>
      <c r="K1128" s="27"/>
      <c r="L1128" s="25" t="s">
        <v>2127</v>
      </c>
      <c r="M1128" s="25" t="s">
        <v>199</v>
      </c>
      <c r="N1128" s="25">
        <v>364</v>
      </c>
      <c r="O1128" s="25">
        <v>3</v>
      </c>
      <c r="P1128" s="25"/>
      <c r="Q1128" s="25"/>
      <c r="R1128" s="25"/>
      <c r="S1128" s="25">
        <v>0.33</v>
      </c>
      <c r="T1128" s="25"/>
      <c r="U1128" s="31">
        <f t="shared" si="18"/>
        <v>3.33</v>
      </c>
      <c r="V1128" s="25"/>
      <c r="W1128" s="33" t="s">
        <v>2106</v>
      </c>
      <c r="X1128" s="33"/>
      <c r="Y1128" s="33"/>
      <c r="Z1128" s="33" t="s">
        <v>2126</v>
      </c>
      <c r="AA1128" s="33"/>
    </row>
    <row r="1129" spans="1:27" s="70" customFormat="1" ht="33.75" x14ac:dyDescent="0.2">
      <c r="A1129" s="24">
        <v>1125</v>
      </c>
      <c r="B1129" s="24" t="s">
        <v>1991</v>
      </c>
      <c r="C1129" s="25" t="s">
        <v>1990</v>
      </c>
      <c r="D1129" s="26" t="s">
        <v>1989</v>
      </c>
      <c r="E1129" s="25" t="s">
        <v>1988</v>
      </c>
      <c r="F1129" s="25" t="s">
        <v>1987</v>
      </c>
      <c r="G1129" s="24"/>
      <c r="H1129" s="25" t="s">
        <v>2081</v>
      </c>
      <c r="I1129" s="27"/>
      <c r="J1129" s="28" t="s">
        <v>2096</v>
      </c>
      <c r="K1129" s="27"/>
      <c r="L1129" s="25" t="s">
        <v>2125</v>
      </c>
      <c r="M1129" s="25" t="s">
        <v>199</v>
      </c>
      <c r="N1129" s="25">
        <v>36</v>
      </c>
      <c r="O1129" s="25">
        <v>3</v>
      </c>
      <c r="P1129" s="25"/>
      <c r="Q1129" s="25"/>
      <c r="R1129" s="25"/>
      <c r="S1129" s="25">
        <v>0.33</v>
      </c>
      <c r="T1129" s="25"/>
      <c r="U1129" s="31">
        <f t="shared" si="18"/>
        <v>3.33</v>
      </c>
      <c r="V1129" s="25"/>
      <c r="W1129" s="33" t="s">
        <v>2124</v>
      </c>
      <c r="X1129" s="33"/>
      <c r="Y1129" s="33"/>
      <c r="Z1129" s="33" t="s">
        <v>2123</v>
      </c>
      <c r="AA1129" s="33"/>
    </row>
    <row r="1130" spans="1:27" s="70" customFormat="1" ht="33.75" x14ac:dyDescent="0.2">
      <c r="A1130" s="24">
        <v>1126</v>
      </c>
      <c r="B1130" s="24" t="s">
        <v>1991</v>
      </c>
      <c r="C1130" s="25" t="s">
        <v>1990</v>
      </c>
      <c r="D1130" s="26" t="s">
        <v>1989</v>
      </c>
      <c r="E1130" s="25" t="s">
        <v>1988</v>
      </c>
      <c r="F1130" s="25" t="s">
        <v>1987</v>
      </c>
      <c r="G1130" s="24"/>
      <c r="H1130" s="25" t="s">
        <v>2081</v>
      </c>
      <c r="I1130" s="27"/>
      <c r="J1130" s="28" t="s">
        <v>2096</v>
      </c>
      <c r="K1130" s="27"/>
      <c r="L1130" s="25" t="s">
        <v>2122</v>
      </c>
      <c r="M1130" s="25" t="s">
        <v>199</v>
      </c>
      <c r="N1130" s="25">
        <v>24</v>
      </c>
      <c r="O1130" s="25">
        <v>16</v>
      </c>
      <c r="P1130" s="25"/>
      <c r="Q1130" s="25"/>
      <c r="R1130" s="25"/>
      <c r="S1130" s="25">
        <v>1</v>
      </c>
      <c r="T1130" s="25"/>
      <c r="U1130" s="31">
        <f t="shared" si="18"/>
        <v>17</v>
      </c>
      <c r="V1130" s="25" t="s">
        <v>2119</v>
      </c>
      <c r="W1130" s="33" t="s">
        <v>2101</v>
      </c>
      <c r="X1130" s="33"/>
      <c r="Y1130" s="33"/>
      <c r="Z1130" s="33" t="s">
        <v>2121</v>
      </c>
      <c r="AA1130" s="33"/>
    </row>
    <row r="1131" spans="1:27" s="70" customFormat="1" ht="33.75" x14ac:dyDescent="0.2">
      <c r="A1131" s="24">
        <v>1127</v>
      </c>
      <c r="B1131" s="24" t="s">
        <v>1991</v>
      </c>
      <c r="C1131" s="25" t="s">
        <v>1990</v>
      </c>
      <c r="D1131" s="26" t="s">
        <v>1989</v>
      </c>
      <c r="E1131" s="25" t="s">
        <v>1988</v>
      </c>
      <c r="F1131" s="25" t="s">
        <v>1987</v>
      </c>
      <c r="G1131" s="24"/>
      <c r="H1131" s="25" t="s">
        <v>2081</v>
      </c>
      <c r="I1131" s="27"/>
      <c r="J1131" s="28" t="s">
        <v>2096</v>
      </c>
      <c r="K1131" s="27"/>
      <c r="L1131" s="25" t="s">
        <v>2120</v>
      </c>
      <c r="M1131" s="25" t="s">
        <v>199</v>
      </c>
      <c r="N1131" s="25">
        <v>48</v>
      </c>
      <c r="O1131" s="25">
        <v>16</v>
      </c>
      <c r="P1131" s="25"/>
      <c r="Q1131" s="25"/>
      <c r="R1131" s="25"/>
      <c r="S1131" s="25">
        <v>1</v>
      </c>
      <c r="T1131" s="25"/>
      <c r="U1131" s="31">
        <f t="shared" si="18"/>
        <v>17</v>
      </c>
      <c r="V1131" s="25" t="s">
        <v>2119</v>
      </c>
      <c r="W1131" s="33" t="s">
        <v>2116</v>
      </c>
      <c r="X1131" s="33"/>
      <c r="Y1131" s="33"/>
      <c r="Z1131" s="33" t="s">
        <v>2118</v>
      </c>
      <c r="AA1131" s="33"/>
    </row>
    <row r="1132" spans="1:27" s="70" customFormat="1" ht="33.75" x14ac:dyDescent="0.2">
      <c r="A1132" s="24">
        <v>1128</v>
      </c>
      <c r="B1132" s="24" t="s">
        <v>1991</v>
      </c>
      <c r="C1132" s="25" t="s">
        <v>1990</v>
      </c>
      <c r="D1132" s="26" t="s">
        <v>1989</v>
      </c>
      <c r="E1132" s="25" t="s">
        <v>1988</v>
      </c>
      <c r="F1132" s="25" t="s">
        <v>1987</v>
      </c>
      <c r="G1132" s="24"/>
      <c r="H1132" s="25" t="s">
        <v>2081</v>
      </c>
      <c r="I1132" s="27"/>
      <c r="J1132" s="28" t="s">
        <v>2096</v>
      </c>
      <c r="K1132" s="27"/>
      <c r="L1132" s="25" t="s">
        <v>2117</v>
      </c>
      <c r="M1132" s="25" t="s">
        <v>199</v>
      </c>
      <c r="N1132" s="25">
        <v>72</v>
      </c>
      <c r="O1132" s="25">
        <v>6</v>
      </c>
      <c r="P1132" s="25"/>
      <c r="Q1132" s="25"/>
      <c r="R1132" s="25"/>
      <c r="S1132" s="25">
        <v>0.33</v>
      </c>
      <c r="T1132" s="25"/>
      <c r="U1132" s="31">
        <f t="shared" si="18"/>
        <v>6.33</v>
      </c>
      <c r="V1132" s="25"/>
      <c r="W1132" s="33" t="s">
        <v>2116</v>
      </c>
      <c r="X1132" s="33"/>
      <c r="Y1132" s="33"/>
      <c r="Z1132" s="33" t="s">
        <v>1068</v>
      </c>
      <c r="AA1132" s="33"/>
    </row>
    <row r="1133" spans="1:27" s="70" customFormat="1" ht="33.75" x14ac:dyDescent="0.2">
      <c r="A1133" s="24">
        <v>1129</v>
      </c>
      <c r="B1133" s="24" t="s">
        <v>1991</v>
      </c>
      <c r="C1133" s="25" t="s">
        <v>1990</v>
      </c>
      <c r="D1133" s="26" t="s">
        <v>1989</v>
      </c>
      <c r="E1133" s="25" t="s">
        <v>1988</v>
      </c>
      <c r="F1133" s="25" t="s">
        <v>1987</v>
      </c>
      <c r="G1133" s="24"/>
      <c r="H1133" s="25" t="s">
        <v>2081</v>
      </c>
      <c r="I1133" s="27"/>
      <c r="J1133" s="28" t="s">
        <v>2096</v>
      </c>
      <c r="K1133" s="27"/>
      <c r="L1133" s="25" t="s">
        <v>2115</v>
      </c>
      <c r="M1133" s="25" t="s">
        <v>199</v>
      </c>
      <c r="N1133" s="25">
        <v>24</v>
      </c>
      <c r="O1133" s="25">
        <v>6</v>
      </c>
      <c r="P1133" s="25"/>
      <c r="Q1133" s="25"/>
      <c r="R1133" s="25"/>
      <c r="S1133" s="25">
        <v>0.33</v>
      </c>
      <c r="T1133" s="25"/>
      <c r="U1133" s="31">
        <f t="shared" si="18"/>
        <v>6.33</v>
      </c>
      <c r="V1133" s="25"/>
      <c r="W1133" s="33" t="s">
        <v>2114</v>
      </c>
      <c r="X1133" s="33"/>
      <c r="Y1133" s="33"/>
      <c r="Z1133" s="33" t="s">
        <v>2113</v>
      </c>
      <c r="AA1133" s="33"/>
    </row>
    <row r="1134" spans="1:27" s="70" customFormat="1" ht="33.75" x14ac:dyDescent="0.2">
      <c r="A1134" s="24">
        <v>1130</v>
      </c>
      <c r="B1134" s="24" t="s">
        <v>1991</v>
      </c>
      <c r="C1134" s="25" t="s">
        <v>1990</v>
      </c>
      <c r="D1134" s="26" t="s">
        <v>1989</v>
      </c>
      <c r="E1134" s="25" t="s">
        <v>1988</v>
      </c>
      <c r="F1134" s="25" t="s">
        <v>1987</v>
      </c>
      <c r="G1134" s="24"/>
      <c r="H1134" s="25" t="s">
        <v>2081</v>
      </c>
      <c r="I1134" s="27"/>
      <c r="J1134" s="28" t="s">
        <v>2096</v>
      </c>
      <c r="K1134" s="27"/>
      <c r="L1134" s="25" t="s">
        <v>2112</v>
      </c>
      <c r="M1134" s="25" t="s">
        <v>199</v>
      </c>
      <c r="N1134" s="25">
        <v>24</v>
      </c>
      <c r="O1134" s="25">
        <v>6</v>
      </c>
      <c r="P1134" s="25"/>
      <c r="Q1134" s="25"/>
      <c r="R1134" s="25"/>
      <c r="S1134" s="25">
        <v>0.33</v>
      </c>
      <c r="T1134" s="25"/>
      <c r="U1134" s="31">
        <f t="shared" si="18"/>
        <v>6.33</v>
      </c>
      <c r="V1134" s="25"/>
      <c r="W1134" s="33" t="s">
        <v>2111</v>
      </c>
      <c r="X1134" s="33"/>
      <c r="Y1134" s="33"/>
      <c r="Z1134" s="33" t="s">
        <v>1068</v>
      </c>
      <c r="AA1134" s="33"/>
    </row>
    <row r="1135" spans="1:27" s="70" customFormat="1" ht="33.75" x14ac:dyDescent="0.2">
      <c r="A1135" s="24">
        <v>1131</v>
      </c>
      <c r="B1135" s="24" t="s">
        <v>1991</v>
      </c>
      <c r="C1135" s="25" t="s">
        <v>1990</v>
      </c>
      <c r="D1135" s="26" t="s">
        <v>1989</v>
      </c>
      <c r="E1135" s="25" t="s">
        <v>1988</v>
      </c>
      <c r="F1135" s="25" t="s">
        <v>1987</v>
      </c>
      <c r="G1135" s="24"/>
      <c r="H1135" s="25" t="s">
        <v>2081</v>
      </c>
      <c r="I1135" s="27"/>
      <c r="J1135" s="28" t="s">
        <v>2096</v>
      </c>
      <c r="K1135" s="27"/>
      <c r="L1135" s="25" t="s">
        <v>2110</v>
      </c>
      <c r="M1135" s="25" t="s">
        <v>199</v>
      </c>
      <c r="N1135" s="25">
        <v>3000</v>
      </c>
      <c r="O1135" s="25">
        <v>1.5</v>
      </c>
      <c r="P1135" s="25"/>
      <c r="Q1135" s="25"/>
      <c r="R1135" s="25"/>
      <c r="S1135" s="25">
        <v>0.25</v>
      </c>
      <c r="T1135" s="25"/>
      <c r="U1135" s="31">
        <f t="shared" si="18"/>
        <v>1.75</v>
      </c>
      <c r="V1135" s="25"/>
      <c r="W1135" s="33" t="s">
        <v>2101</v>
      </c>
      <c r="X1135" s="33"/>
      <c r="Y1135" s="33"/>
      <c r="Z1135" s="33" t="s">
        <v>189</v>
      </c>
      <c r="AA1135" s="33"/>
    </row>
    <row r="1136" spans="1:27" s="70" customFormat="1" ht="33.75" x14ac:dyDescent="0.2">
      <c r="A1136" s="24">
        <v>1132</v>
      </c>
      <c r="B1136" s="24" t="s">
        <v>1991</v>
      </c>
      <c r="C1136" s="25" t="s">
        <v>1990</v>
      </c>
      <c r="D1136" s="26" t="s">
        <v>1989</v>
      </c>
      <c r="E1136" s="25" t="s">
        <v>1988</v>
      </c>
      <c r="F1136" s="25" t="s">
        <v>1987</v>
      </c>
      <c r="G1136" s="24"/>
      <c r="H1136" s="25" t="s">
        <v>2081</v>
      </c>
      <c r="I1136" s="27"/>
      <c r="J1136" s="28" t="s">
        <v>2096</v>
      </c>
      <c r="K1136" s="27"/>
      <c r="L1136" s="25" t="s">
        <v>2109</v>
      </c>
      <c r="M1136" s="25" t="s">
        <v>199</v>
      </c>
      <c r="N1136" s="25">
        <v>360</v>
      </c>
      <c r="O1136" s="25">
        <v>1.5</v>
      </c>
      <c r="P1136" s="25"/>
      <c r="Q1136" s="25"/>
      <c r="R1136" s="25"/>
      <c r="S1136" s="25">
        <v>0.33</v>
      </c>
      <c r="T1136" s="25"/>
      <c r="U1136" s="31">
        <f t="shared" si="18"/>
        <v>1.83</v>
      </c>
      <c r="V1136" s="25"/>
      <c r="W1136" s="33" t="s">
        <v>22</v>
      </c>
      <c r="X1136" s="33"/>
      <c r="Y1136" s="33"/>
      <c r="Z1136" s="33" t="s">
        <v>2094</v>
      </c>
      <c r="AA1136" s="33"/>
    </row>
    <row r="1137" spans="1:27" s="70" customFormat="1" ht="33.75" x14ac:dyDescent="0.2">
      <c r="A1137" s="24">
        <v>1133</v>
      </c>
      <c r="B1137" s="24" t="s">
        <v>1991</v>
      </c>
      <c r="C1137" s="25" t="s">
        <v>1990</v>
      </c>
      <c r="D1137" s="26" t="s">
        <v>1989</v>
      </c>
      <c r="E1137" s="25" t="s">
        <v>1988</v>
      </c>
      <c r="F1137" s="25" t="s">
        <v>1987</v>
      </c>
      <c r="G1137" s="24"/>
      <c r="H1137" s="25" t="s">
        <v>2081</v>
      </c>
      <c r="I1137" s="27"/>
      <c r="J1137" s="28" t="s">
        <v>2096</v>
      </c>
      <c r="K1137" s="27"/>
      <c r="L1137" s="25" t="s">
        <v>2108</v>
      </c>
      <c r="M1137" s="25" t="s">
        <v>199</v>
      </c>
      <c r="N1137" s="25">
        <v>180</v>
      </c>
      <c r="O1137" s="25">
        <v>2.5</v>
      </c>
      <c r="P1137" s="25"/>
      <c r="Q1137" s="25"/>
      <c r="R1137" s="25"/>
      <c r="S1137" s="25">
        <v>0.42</v>
      </c>
      <c r="T1137" s="25"/>
      <c r="U1137" s="31">
        <f t="shared" si="18"/>
        <v>2.92</v>
      </c>
      <c r="V1137" s="25"/>
      <c r="W1137" s="33" t="s">
        <v>22</v>
      </c>
      <c r="X1137" s="33"/>
      <c r="Y1137" s="33"/>
      <c r="Z1137" s="33" t="s">
        <v>2094</v>
      </c>
      <c r="AA1137" s="33"/>
    </row>
    <row r="1138" spans="1:27" s="70" customFormat="1" ht="33.75" x14ac:dyDescent="0.2">
      <c r="A1138" s="24">
        <v>1134</v>
      </c>
      <c r="B1138" s="24" t="s">
        <v>1991</v>
      </c>
      <c r="C1138" s="25" t="s">
        <v>1990</v>
      </c>
      <c r="D1138" s="26" t="s">
        <v>1989</v>
      </c>
      <c r="E1138" s="25" t="s">
        <v>1988</v>
      </c>
      <c r="F1138" s="25" t="s">
        <v>1987</v>
      </c>
      <c r="G1138" s="24"/>
      <c r="H1138" s="25" t="s">
        <v>2081</v>
      </c>
      <c r="I1138" s="27"/>
      <c r="J1138" s="28" t="s">
        <v>2096</v>
      </c>
      <c r="K1138" s="27"/>
      <c r="L1138" s="25" t="s">
        <v>2107</v>
      </c>
      <c r="M1138" s="25" t="s">
        <v>199</v>
      </c>
      <c r="N1138" s="25">
        <v>420</v>
      </c>
      <c r="O1138" s="25">
        <v>1.5</v>
      </c>
      <c r="P1138" s="25"/>
      <c r="Q1138" s="25"/>
      <c r="R1138" s="25"/>
      <c r="S1138" s="25">
        <v>0.25</v>
      </c>
      <c r="T1138" s="25"/>
      <c r="U1138" s="31">
        <f t="shared" si="18"/>
        <v>1.75</v>
      </c>
      <c r="V1138" s="25"/>
      <c r="W1138" s="33" t="s">
        <v>2106</v>
      </c>
      <c r="X1138" s="33"/>
      <c r="Y1138" s="33"/>
      <c r="Z1138" s="33" t="s">
        <v>2094</v>
      </c>
      <c r="AA1138" s="33"/>
    </row>
    <row r="1139" spans="1:27" s="70" customFormat="1" ht="33.75" x14ac:dyDescent="0.2">
      <c r="A1139" s="24">
        <v>1135</v>
      </c>
      <c r="B1139" s="24" t="s">
        <v>1991</v>
      </c>
      <c r="C1139" s="25" t="s">
        <v>1990</v>
      </c>
      <c r="D1139" s="26" t="s">
        <v>1989</v>
      </c>
      <c r="E1139" s="25" t="s">
        <v>1988</v>
      </c>
      <c r="F1139" s="25" t="s">
        <v>1987</v>
      </c>
      <c r="G1139" s="24"/>
      <c r="H1139" s="25" t="s">
        <v>2081</v>
      </c>
      <c r="I1139" s="27"/>
      <c r="J1139" s="28" t="s">
        <v>2096</v>
      </c>
      <c r="K1139" s="27"/>
      <c r="L1139" s="25" t="s">
        <v>2105</v>
      </c>
      <c r="M1139" s="25" t="s">
        <v>199</v>
      </c>
      <c r="N1139" s="25">
        <v>36</v>
      </c>
      <c r="O1139" s="25">
        <v>1.5</v>
      </c>
      <c r="P1139" s="25"/>
      <c r="Q1139" s="25"/>
      <c r="R1139" s="25"/>
      <c r="S1139" s="25">
        <v>0.25</v>
      </c>
      <c r="T1139" s="25"/>
      <c r="U1139" s="31">
        <f t="shared" si="18"/>
        <v>1.75</v>
      </c>
      <c r="V1139" s="25"/>
      <c r="W1139" s="33" t="s">
        <v>2104</v>
      </c>
      <c r="X1139" s="33"/>
      <c r="Y1139" s="33"/>
      <c r="Z1139" s="33" t="s">
        <v>189</v>
      </c>
      <c r="AA1139" s="33"/>
    </row>
    <row r="1140" spans="1:27" s="70" customFormat="1" ht="33.75" x14ac:dyDescent="0.2">
      <c r="A1140" s="24">
        <v>1136</v>
      </c>
      <c r="B1140" s="24" t="s">
        <v>1991</v>
      </c>
      <c r="C1140" s="25" t="s">
        <v>1990</v>
      </c>
      <c r="D1140" s="26" t="s">
        <v>1989</v>
      </c>
      <c r="E1140" s="25" t="s">
        <v>1988</v>
      </c>
      <c r="F1140" s="25" t="s">
        <v>1987</v>
      </c>
      <c r="G1140" s="24"/>
      <c r="H1140" s="25" t="s">
        <v>2081</v>
      </c>
      <c r="I1140" s="27"/>
      <c r="J1140" s="28" t="s">
        <v>2096</v>
      </c>
      <c r="K1140" s="27"/>
      <c r="L1140" s="25" t="s">
        <v>2103</v>
      </c>
      <c r="M1140" s="25" t="s">
        <v>199</v>
      </c>
      <c r="N1140" s="25">
        <v>12</v>
      </c>
      <c r="O1140" s="25">
        <v>4</v>
      </c>
      <c r="P1140" s="25"/>
      <c r="Q1140" s="25"/>
      <c r="R1140" s="25"/>
      <c r="S1140" s="25">
        <v>0.03</v>
      </c>
      <c r="T1140" s="25"/>
      <c r="U1140" s="31">
        <f t="shared" si="18"/>
        <v>4.03</v>
      </c>
      <c r="V1140" s="25"/>
      <c r="W1140" s="33" t="s">
        <v>2099</v>
      </c>
      <c r="X1140" s="33"/>
      <c r="Y1140" s="33"/>
      <c r="Z1140" s="33" t="s">
        <v>189</v>
      </c>
      <c r="AA1140" s="33"/>
    </row>
    <row r="1141" spans="1:27" s="70" customFormat="1" ht="33.75" x14ac:dyDescent="0.2">
      <c r="A1141" s="24">
        <v>1137</v>
      </c>
      <c r="B1141" s="24" t="s">
        <v>1991</v>
      </c>
      <c r="C1141" s="25" t="s">
        <v>1990</v>
      </c>
      <c r="D1141" s="26" t="s">
        <v>1989</v>
      </c>
      <c r="E1141" s="25" t="s">
        <v>1988</v>
      </c>
      <c r="F1141" s="25" t="s">
        <v>1987</v>
      </c>
      <c r="G1141" s="24"/>
      <c r="H1141" s="25" t="s">
        <v>2081</v>
      </c>
      <c r="I1141" s="27"/>
      <c r="J1141" s="28" t="s">
        <v>2096</v>
      </c>
      <c r="K1141" s="27"/>
      <c r="L1141" s="25" t="s">
        <v>2102</v>
      </c>
      <c r="M1141" s="25" t="s">
        <v>199</v>
      </c>
      <c r="N1141" s="25">
        <v>312</v>
      </c>
      <c r="O1141" s="25">
        <v>8.3000000000000004E-2</v>
      </c>
      <c r="P1141" s="25"/>
      <c r="Q1141" s="25"/>
      <c r="R1141" s="25"/>
      <c r="S1141" s="25">
        <v>0.03</v>
      </c>
      <c r="T1141" s="25"/>
      <c r="U1141" s="31">
        <f t="shared" si="18"/>
        <v>0.113</v>
      </c>
      <c r="V1141" s="25"/>
      <c r="W1141" s="33" t="s">
        <v>2101</v>
      </c>
      <c r="X1141" s="33"/>
      <c r="Y1141" s="33"/>
      <c r="Z1141" s="33" t="s">
        <v>2098</v>
      </c>
      <c r="AA1141" s="33"/>
    </row>
    <row r="1142" spans="1:27" s="70" customFormat="1" ht="33.75" x14ac:dyDescent="0.2">
      <c r="A1142" s="24">
        <v>1138</v>
      </c>
      <c r="B1142" s="24" t="s">
        <v>1991</v>
      </c>
      <c r="C1142" s="25" t="s">
        <v>1990</v>
      </c>
      <c r="D1142" s="26" t="s">
        <v>1989</v>
      </c>
      <c r="E1142" s="25" t="s">
        <v>1988</v>
      </c>
      <c r="F1142" s="25" t="s">
        <v>1987</v>
      </c>
      <c r="G1142" s="24"/>
      <c r="H1142" s="25" t="s">
        <v>2081</v>
      </c>
      <c r="I1142" s="27"/>
      <c r="J1142" s="28" t="s">
        <v>2096</v>
      </c>
      <c r="K1142" s="27"/>
      <c r="L1142" s="25" t="s">
        <v>2100</v>
      </c>
      <c r="M1142" s="25" t="s">
        <v>199</v>
      </c>
      <c r="N1142" s="25">
        <v>24</v>
      </c>
      <c r="O1142" s="25">
        <v>0.5</v>
      </c>
      <c r="P1142" s="25"/>
      <c r="Q1142" s="25"/>
      <c r="R1142" s="25"/>
      <c r="S1142" s="25">
        <v>0.03</v>
      </c>
      <c r="T1142" s="25"/>
      <c r="U1142" s="31">
        <f t="shared" si="18"/>
        <v>0.53</v>
      </c>
      <c r="V1142" s="25"/>
      <c r="W1142" s="33" t="s">
        <v>2099</v>
      </c>
      <c r="X1142" s="33"/>
      <c r="Y1142" s="33"/>
      <c r="Z1142" s="33" t="s">
        <v>2098</v>
      </c>
      <c r="AA1142" s="33"/>
    </row>
    <row r="1143" spans="1:27" s="70" customFormat="1" ht="33.75" x14ac:dyDescent="0.2">
      <c r="A1143" s="24">
        <v>1139</v>
      </c>
      <c r="B1143" s="24" t="s">
        <v>1991</v>
      </c>
      <c r="C1143" s="25" t="s">
        <v>1990</v>
      </c>
      <c r="D1143" s="26" t="s">
        <v>1989</v>
      </c>
      <c r="E1143" s="25" t="s">
        <v>1988</v>
      </c>
      <c r="F1143" s="25" t="s">
        <v>1987</v>
      </c>
      <c r="G1143" s="24"/>
      <c r="H1143" s="25" t="s">
        <v>2081</v>
      </c>
      <c r="I1143" s="27"/>
      <c r="J1143" s="28" t="s">
        <v>2096</v>
      </c>
      <c r="K1143" s="27"/>
      <c r="L1143" s="25" t="s">
        <v>2097</v>
      </c>
      <c r="M1143" s="25" t="s">
        <v>265</v>
      </c>
      <c r="N1143" s="25">
        <v>10</v>
      </c>
      <c r="O1143" s="25">
        <v>32</v>
      </c>
      <c r="P1143" s="25"/>
      <c r="Q1143" s="25"/>
      <c r="R1143" s="25"/>
      <c r="S1143" s="25">
        <v>3</v>
      </c>
      <c r="T1143" s="25"/>
      <c r="U1143" s="31">
        <f t="shared" si="18"/>
        <v>35</v>
      </c>
      <c r="V1143" s="25"/>
      <c r="W1143" s="33" t="s">
        <v>848</v>
      </c>
      <c r="X1143" s="33"/>
      <c r="Y1143" s="33"/>
      <c r="Z1143" s="33" t="s">
        <v>189</v>
      </c>
      <c r="AA1143" s="33"/>
    </row>
    <row r="1144" spans="1:27" s="70" customFormat="1" ht="33.75" x14ac:dyDescent="0.2">
      <c r="A1144" s="24">
        <v>1140</v>
      </c>
      <c r="B1144" s="24" t="s">
        <v>1991</v>
      </c>
      <c r="C1144" s="25" t="s">
        <v>1990</v>
      </c>
      <c r="D1144" s="26" t="s">
        <v>1989</v>
      </c>
      <c r="E1144" s="25" t="s">
        <v>1988</v>
      </c>
      <c r="F1144" s="25" t="s">
        <v>1987</v>
      </c>
      <c r="G1144" s="24"/>
      <c r="H1144" s="25" t="s">
        <v>2081</v>
      </c>
      <c r="I1144" s="27"/>
      <c r="J1144" s="28" t="s">
        <v>2096</v>
      </c>
      <c r="K1144" s="27"/>
      <c r="L1144" s="25" t="s">
        <v>2095</v>
      </c>
      <c r="M1144" s="25" t="s">
        <v>199</v>
      </c>
      <c r="N1144" s="25">
        <v>5760</v>
      </c>
      <c r="O1144" s="25">
        <v>0.08</v>
      </c>
      <c r="P1144" s="25"/>
      <c r="Q1144" s="25"/>
      <c r="R1144" s="25"/>
      <c r="S1144" s="25">
        <v>0.03</v>
      </c>
      <c r="T1144" s="25"/>
      <c r="U1144" s="31">
        <f t="shared" si="18"/>
        <v>0.11</v>
      </c>
      <c r="V1144" s="25"/>
      <c r="W1144" s="33" t="s">
        <v>251</v>
      </c>
      <c r="X1144" s="33"/>
      <c r="Y1144" s="33"/>
      <c r="Z1144" s="33" t="s">
        <v>2094</v>
      </c>
      <c r="AA1144" s="33"/>
    </row>
    <row r="1145" spans="1:27" s="70" customFormat="1" ht="56.25" x14ac:dyDescent="0.2">
      <c r="A1145" s="24">
        <v>1141</v>
      </c>
      <c r="B1145" s="24" t="s">
        <v>1991</v>
      </c>
      <c r="C1145" s="25" t="s">
        <v>1990</v>
      </c>
      <c r="D1145" s="26" t="s">
        <v>1989</v>
      </c>
      <c r="E1145" s="25" t="s">
        <v>1988</v>
      </c>
      <c r="F1145" s="25" t="s">
        <v>1987</v>
      </c>
      <c r="G1145" s="24"/>
      <c r="H1145" s="25" t="s">
        <v>2081</v>
      </c>
      <c r="I1145" s="27"/>
      <c r="J1145" s="28" t="s">
        <v>2093</v>
      </c>
      <c r="K1145" s="27"/>
      <c r="L1145" s="25"/>
      <c r="M1145" s="25"/>
      <c r="N1145" s="25"/>
      <c r="O1145" s="25"/>
      <c r="P1145" s="25"/>
      <c r="Q1145" s="25"/>
      <c r="R1145" s="25"/>
      <c r="S1145" s="25"/>
      <c r="T1145" s="25"/>
      <c r="U1145" s="31">
        <f t="shared" si="18"/>
        <v>0</v>
      </c>
      <c r="V1145" s="25"/>
      <c r="W1145" s="33"/>
      <c r="X1145" s="33"/>
      <c r="Y1145" s="33"/>
      <c r="Z1145" s="33"/>
      <c r="AA1145" s="33"/>
    </row>
    <row r="1146" spans="1:27" s="70" customFormat="1" ht="45" x14ac:dyDescent="0.2">
      <c r="A1146" s="24">
        <v>1142</v>
      </c>
      <c r="B1146" s="24" t="s">
        <v>1991</v>
      </c>
      <c r="C1146" s="25" t="s">
        <v>1990</v>
      </c>
      <c r="D1146" s="26" t="s">
        <v>1989</v>
      </c>
      <c r="E1146" s="25" t="s">
        <v>1988</v>
      </c>
      <c r="F1146" s="25" t="s">
        <v>1987</v>
      </c>
      <c r="G1146" s="24"/>
      <c r="H1146" s="25" t="s">
        <v>2081</v>
      </c>
      <c r="I1146" s="27"/>
      <c r="J1146" s="28" t="s">
        <v>2089</v>
      </c>
      <c r="K1146" s="27"/>
      <c r="L1146" s="25" t="s">
        <v>2092</v>
      </c>
      <c r="M1146" s="25" t="s">
        <v>190</v>
      </c>
      <c r="N1146" s="25">
        <v>12</v>
      </c>
      <c r="O1146" s="25">
        <v>40</v>
      </c>
      <c r="P1146" s="25"/>
      <c r="Q1146" s="25"/>
      <c r="R1146" s="25"/>
      <c r="S1146" s="25">
        <v>0.75</v>
      </c>
      <c r="T1146" s="25"/>
      <c r="U1146" s="31">
        <f t="shared" si="18"/>
        <v>40.75</v>
      </c>
      <c r="V1146" s="25"/>
      <c r="W1146" s="33" t="s">
        <v>22</v>
      </c>
      <c r="X1146" s="33"/>
      <c r="Y1146" s="33"/>
      <c r="Z1146" s="33" t="s">
        <v>189</v>
      </c>
      <c r="AA1146" s="33"/>
    </row>
    <row r="1147" spans="1:27" s="70" customFormat="1" ht="45" x14ac:dyDescent="0.2">
      <c r="A1147" s="24">
        <v>1143</v>
      </c>
      <c r="B1147" s="24" t="s">
        <v>1991</v>
      </c>
      <c r="C1147" s="25" t="s">
        <v>1990</v>
      </c>
      <c r="D1147" s="26" t="s">
        <v>1989</v>
      </c>
      <c r="E1147" s="25" t="s">
        <v>1988</v>
      </c>
      <c r="F1147" s="25" t="s">
        <v>1987</v>
      </c>
      <c r="G1147" s="24"/>
      <c r="H1147" s="25" t="s">
        <v>2081</v>
      </c>
      <c r="I1147" s="27"/>
      <c r="J1147" s="28" t="s">
        <v>2089</v>
      </c>
      <c r="K1147" s="27"/>
      <c r="L1147" s="25" t="s">
        <v>2091</v>
      </c>
      <c r="M1147" s="25" t="s">
        <v>190</v>
      </c>
      <c r="N1147" s="25">
        <v>12</v>
      </c>
      <c r="O1147" s="25">
        <v>40</v>
      </c>
      <c r="P1147" s="25"/>
      <c r="Q1147" s="25"/>
      <c r="R1147" s="25"/>
      <c r="S1147" s="25">
        <v>0.75</v>
      </c>
      <c r="T1147" s="25"/>
      <c r="U1147" s="31">
        <f t="shared" si="18"/>
        <v>40.75</v>
      </c>
      <c r="V1147" s="25"/>
      <c r="W1147" s="33" t="s">
        <v>22</v>
      </c>
      <c r="X1147" s="33"/>
      <c r="Y1147" s="33"/>
      <c r="Z1147" s="33" t="s">
        <v>189</v>
      </c>
      <c r="AA1147" s="33"/>
    </row>
    <row r="1148" spans="1:27" s="70" customFormat="1" ht="45" x14ac:dyDescent="0.2">
      <c r="A1148" s="24">
        <v>1144</v>
      </c>
      <c r="B1148" s="24" t="s">
        <v>1991</v>
      </c>
      <c r="C1148" s="25" t="s">
        <v>1990</v>
      </c>
      <c r="D1148" s="26" t="s">
        <v>1989</v>
      </c>
      <c r="E1148" s="25" t="s">
        <v>1988</v>
      </c>
      <c r="F1148" s="25" t="s">
        <v>1987</v>
      </c>
      <c r="G1148" s="24"/>
      <c r="H1148" s="25" t="s">
        <v>2081</v>
      </c>
      <c r="I1148" s="27"/>
      <c r="J1148" s="28" t="s">
        <v>2089</v>
      </c>
      <c r="K1148" s="27"/>
      <c r="L1148" s="25" t="s">
        <v>2090</v>
      </c>
      <c r="M1148" s="25" t="s">
        <v>190</v>
      </c>
      <c r="N1148" s="25">
        <v>12</v>
      </c>
      <c r="O1148" s="25">
        <v>12</v>
      </c>
      <c r="P1148" s="25"/>
      <c r="Q1148" s="25"/>
      <c r="R1148" s="25"/>
      <c r="S1148" s="25"/>
      <c r="T1148" s="25"/>
      <c r="U1148" s="31">
        <f t="shared" si="18"/>
        <v>12</v>
      </c>
      <c r="V1148" s="25"/>
      <c r="W1148" s="33" t="s">
        <v>22</v>
      </c>
      <c r="X1148" s="33"/>
      <c r="Y1148" s="33"/>
      <c r="Z1148" s="33" t="s">
        <v>189</v>
      </c>
      <c r="AA1148" s="33"/>
    </row>
    <row r="1149" spans="1:27" s="70" customFormat="1" ht="45" x14ac:dyDescent="0.2">
      <c r="A1149" s="24">
        <v>1145</v>
      </c>
      <c r="B1149" s="24" t="s">
        <v>1991</v>
      </c>
      <c r="C1149" s="25" t="s">
        <v>1990</v>
      </c>
      <c r="D1149" s="26" t="s">
        <v>1989</v>
      </c>
      <c r="E1149" s="25" t="s">
        <v>1988</v>
      </c>
      <c r="F1149" s="25" t="s">
        <v>1987</v>
      </c>
      <c r="G1149" s="24"/>
      <c r="H1149" s="25" t="s">
        <v>2081</v>
      </c>
      <c r="I1149" s="27"/>
      <c r="J1149" s="28" t="s">
        <v>2089</v>
      </c>
      <c r="K1149" s="27"/>
      <c r="L1149" s="25" t="s">
        <v>2088</v>
      </c>
      <c r="M1149" s="25" t="s">
        <v>190</v>
      </c>
      <c r="N1149" s="25">
        <v>12</v>
      </c>
      <c r="O1149" s="25">
        <v>5</v>
      </c>
      <c r="P1149" s="25"/>
      <c r="Q1149" s="25"/>
      <c r="R1149" s="25"/>
      <c r="S1149" s="25"/>
      <c r="T1149" s="25"/>
      <c r="U1149" s="31">
        <f t="shared" si="18"/>
        <v>5</v>
      </c>
      <c r="V1149" s="25"/>
      <c r="W1149" s="33" t="s">
        <v>22</v>
      </c>
      <c r="X1149" s="33" t="s">
        <v>2087</v>
      </c>
      <c r="Y1149" s="33" t="s">
        <v>2086</v>
      </c>
      <c r="Z1149" s="33" t="s">
        <v>189</v>
      </c>
      <c r="AA1149" s="33"/>
    </row>
    <row r="1150" spans="1:27" s="70" customFormat="1" ht="33.75" x14ac:dyDescent="0.2">
      <c r="A1150" s="24">
        <v>1146</v>
      </c>
      <c r="B1150" s="24" t="s">
        <v>1991</v>
      </c>
      <c r="C1150" s="25" t="s">
        <v>1990</v>
      </c>
      <c r="D1150" s="26" t="s">
        <v>1989</v>
      </c>
      <c r="E1150" s="25" t="s">
        <v>1988</v>
      </c>
      <c r="F1150" s="25" t="s">
        <v>1987</v>
      </c>
      <c r="G1150" s="24"/>
      <c r="H1150" s="25" t="s">
        <v>2081</v>
      </c>
      <c r="I1150" s="27"/>
      <c r="J1150" s="28" t="s">
        <v>2084</v>
      </c>
      <c r="K1150" s="27"/>
      <c r="L1150" s="25" t="s">
        <v>2085</v>
      </c>
      <c r="M1150" s="25" t="s">
        <v>265</v>
      </c>
      <c r="N1150" s="25">
        <v>14</v>
      </c>
      <c r="O1150" s="25">
        <v>16</v>
      </c>
      <c r="P1150" s="25"/>
      <c r="Q1150" s="25"/>
      <c r="R1150" s="25"/>
      <c r="S1150" s="25"/>
      <c r="T1150" s="25"/>
      <c r="U1150" s="31">
        <f t="shared" si="18"/>
        <v>16</v>
      </c>
      <c r="V1150" s="25"/>
      <c r="W1150" s="33" t="s">
        <v>22</v>
      </c>
      <c r="X1150" s="33"/>
      <c r="Y1150" s="33"/>
      <c r="Z1150" s="33" t="s">
        <v>189</v>
      </c>
      <c r="AA1150" s="33"/>
    </row>
    <row r="1151" spans="1:27" s="70" customFormat="1" ht="33.75" x14ac:dyDescent="0.2">
      <c r="A1151" s="24">
        <v>1147</v>
      </c>
      <c r="B1151" s="24" t="s">
        <v>1991</v>
      </c>
      <c r="C1151" s="25" t="s">
        <v>1990</v>
      </c>
      <c r="D1151" s="26" t="s">
        <v>1989</v>
      </c>
      <c r="E1151" s="25" t="s">
        <v>1988</v>
      </c>
      <c r="F1151" s="25" t="s">
        <v>1987</v>
      </c>
      <c r="G1151" s="24"/>
      <c r="H1151" s="25" t="s">
        <v>2081</v>
      </c>
      <c r="I1151" s="27"/>
      <c r="J1151" s="28" t="s">
        <v>2084</v>
      </c>
      <c r="K1151" s="27"/>
      <c r="L1151" s="25" t="s">
        <v>2085</v>
      </c>
      <c r="M1151" s="25" t="s">
        <v>235</v>
      </c>
      <c r="N1151" s="25">
        <v>6</v>
      </c>
      <c r="O1151" s="25"/>
      <c r="P1151" s="25"/>
      <c r="Q1151" s="25"/>
      <c r="R1151" s="25"/>
      <c r="S1151" s="25">
        <v>8</v>
      </c>
      <c r="T1151" s="25"/>
      <c r="U1151" s="31">
        <f t="shared" si="18"/>
        <v>8</v>
      </c>
      <c r="V1151" s="25"/>
      <c r="W1151" s="33" t="s">
        <v>22</v>
      </c>
      <c r="X1151" s="33"/>
      <c r="Y1151" s="33"/>
      <c r="Z1151" s="33" t="s">
        <v>189</v>
      </c>
      <c r="AA1151" s="33"/>
    </row>
    <row r="1152" spans="1:27" s="70" customFormat="1" ht="33.75" x14ac:dyDescent="0.2">
      <c r="A1152" s="24">
        <v>1148</v>
      </c>
      <c r="B1152" s="24" t="s">
        <v>1991</v>
      </c>
      <c r="C1152" s="25" t="s">
        <v>1990</v>
      </c>
      <c r="D1152" s="26" t="s">
        <v>1989</v>
      </c>
      <c r="E1152" s="25" t="s">
        <v>1988</v>
      </c>
      <c r="F1152" s="25" t="s">
        <v>1987</v>
      </c>
      <c r="G1152" s="24"/>
      <c r="H1152" s="25" t="s">
        <v>2081</v>
      </c>
      <c r="I1152" s="27"/>
      <c r="J1152" s="28" t="s">
        <v>2084</v>
      </c>
      <c r="K1152" s="27"/>
      <c r="L1152" s="25" t="s">
        <v>2083</v>
      </c>
      <c r="M1152" s="25" t="s">
        <v>265</v>
      </c>
      <c r="N1152" s="25">
        <v>312</v>
      </c>
      <c r="O1152" s="25">
        <v>10</v>
      </c>
      <c r="P1152" s="25"/>
      <c r="Q1152" s="25"/>
      <c r="R1152" s="25"/>
      <c r="S1152" s="25"/>
      <c r="T1152" s="25"/>
      <c r="U1152" s="31">
        <f t="shared" si="18"/>
        <v>10</v>
      </c>
      <c r="V1152" s="25"/>
      <c r="W1152" s="33" t="s">
        <v>848</v>
      </c>
      <c r="X1152" s="33"/>
      <c r="Y1152" s="33"/>
      <c r="Z1152" s="33" t="s">
        <v>189</v>
      </c>
      <c r="AA1152" s="33"/>
    </row>
    <row r="1153" spans="1:27" s="70" customFormat="1" ht="45" x14ac:dyDescent="0.2">
      <c r="A1153" s="24">
        <v>1149</v>
      </c>
      <c r="B1153" s="24" t="s">
        <v>1991</v>
      </c>
      <c r="C1153" s="25" t="s">
        <v>1990</v>
      </c>
      <c r="D1153" s="26" t="s">
        <v>1989</v>
      </c>
      <c r="E1153" s="25" t="s">
        <v>1988</v>
      </c>
      <c r="F1153" s="25" t="s">
        <v>1987</v>
      </c>
      <c r="G1153" s="24"/>
      <c r="H1153" s="25" t="s">
        <v>2081</v>
      </c>
      <c r="I1153" s="27"/>
      <c r="J1153" s="28" t="s">
        <v>2082</v>
      </c>
      <c r="K1153" s="27"/>
      <c r="L1153" s="25"/>
      <c r="M1153" s="25"/>
      <c r="N1153" s="25"/>
      <c r="O1153" s="25"/>
      <c r="P1153" s="25"/>
      <c r="Q1153" s="25"/>
      <c r="R1153" s="25"/>
      <c r="S1153" s="25"/>
      <c r="T1153" s="25"/>
      <c r="U1153" s="31">
        <f t="shared" si="18"/>
        <v>0</v>
      </c>
      <c r="V1153" s="25"/>
      <c r="W1153" s="33"/>
      <c r="X1153" s="33"/>
      <c r="Y1153" s="33"/>
      <c r="Z1153" s="33"/>
      <c r="AA1153" s="33"/>
    </row>
    <row r="1154" spans="1:27" s="70" customFormat="1" ht="22.5" x14ac:dyDescent="0.2">
      <c r="A1154" s="24">
        <v>1150</v>
      </c>
      <c r="B1154" s="24" t="s">
        <v>1991</v>
      </c>
      <c r="C1154" s="25" t="s">
        <v>1990</v>
      </c>
      <c r="D1154" s="26" t="s">
        <v>1989</v>
      </c>
      <c r="E1154" s="25" t="s">
        <v>1988</v>
      </c>
      <c r="F1154" s="25" t="s">
        <v>1987</v>
      </c>
      <c r="G1154" s="24"/>
      <c r="H1154" s="25" t="s">
        <v>2081</v>
      </c>
      <c r="I1154" s="27"/>
      <c r="J1154" s="28" t="s">
        <v>2080</v>
      </c>
      <c r="K1154" s="27"/>
      <c r="L1154" s="25"/>
      <c r="M1154" s="25"/>
      <c r="N1154" s="25"/>
      <c r="O1154" s="25"/>
      <c r="P1154" s="25"/>
      <c r="Q1154" s="25"/>
      <c r="R1154" s="25"/>
      <c r="S1154" s="25"/>
      <c r="T1154" s="25"/>
      <c r="U1154" s="31">
        <f t="shared" si="18"/>
        <v>0</v>
      </c>
      <c r="V1154" s="25"/>
      <c r="W1154" s="33"/>
      <c r="X1154" s="33"/>
      <c r="Y1154" s="33"/>
      <c r="Z1154" s="33"/>
      <c r="AA1154" s="33"/>
    </row>
    <row r="1155" spans="1:27" s="70" customFormat="1" ht="45" x14ac:dyDescent="0.2">
      <c r="A1155" s="24">
        <v>1151</v>
      </c>
      <c r="B1155" s="24" t="s">
        <v>1991</v>
      </c>
      <c r="C1155" s="25" t="s">
        <v>1990</v>
      </c>
      <c r="D1155" s="26" t="s">
        <v>1989</v>
      </c>
      <c r="E1155" s="25" t="s">
        <v>1988</v>
      </c>
      <c r="F1155" s="25" t="s">
        <v>1987</v>
      </c>
      <c r="G1155" s="24"/>
      <c r="H1155" s="25" t="s">
        <v>2038</v>
      </c>
      <c r="I1155" s="27"/>
      <c r="J1155" s="28" t="s">
        <v>2079</v>
      </c>
      <c r="K1155" s="27"/>
      <c r="L1155" s="25"/>
      <c r="M1155" s="25"/>
      <c r="N1155" s="25"/>
      <c r="O1155" s="25"/>
      <c r="P1155" s="25"/>
      <c r="Q1155" s="25"/>
      <c r="R1155" s="25"/>
      <c r="S1155" s="25"/>
      <c r="T1155" s="25"/>
      <c r="U1155" s="31">
        <f t="shared" si="18"/>
        <v>0</v>
      </c>
      <c r="V1155" s="25"/>
      <c r="W1155" s="33"/>
      <c r="X1155" s="33"/>
      <c r="Y1155" s="33"/>
      <c r="Z1155" s="33"/>
      <c r="AA1155" s="33"/>
    </row>
    <row r="1156" spans="1:27" s="70" customFormat="1" ht="45" x14ac:dyDescent="0.2">
      <c r="A1156" s="24">
        <v>1152</v>
      </c>
      <c r="B1156" s="24" t="s">
        <v>1991</v>
      </c>
      <c r="C1156" s="25" t="s">
        <v>1990</v>
      </c>
      <c r="D1156" s="26" t="s">
        <v>1989</v>
      </c>
      <c r="E1156" s="25" t="s">
        <v>1988</v>
      </c>
      <c r="F1156" s="25" t="s">
        <v>1987</v>
      </c>
      <c r="G1156" s="24"/>
      <c r="H1156" s="25" t="s">
        <v>2038</v>
      </c>
      <c r="I1156" s="27"/>
      <c r="J1156" s="28" t="s">
        <v>2078</v>
      </c>
      <c r="K1156" s="27"/>
      <c r="L1156" s="25"/>
      <c r="M1156" s="25"/>
      <c r="N1156" s="25"/>
      <c r="O1156" s="25"/>
      <c r="P1156" s="25"/>
      <c r="Q1156" s="25"/>
      <c r="R1156" s="25"/>
      <c r="S1156" s="25"/>
      <c r="T1156" s="25"/>
      <c r="U1156" s="31">
        <f t="shared" si="18"/>
        <v>0</v>
      </c>
      <c r="V1156" s="25"/>
      <c r="W1156" s="33"/>
      <c r="X1156" s="33"/>
      <c r="Y1156" s="33"/>
      <c r="Z1156" s="33"/>
      <c r="AA1156" s="33"/>
    </row>
    <row r="1157" spans="1:27" s="70" customFormat="1" ht="45" x14ac:dyDescent="0.2">
      <c r="A1157" s="24">
        <v>1153</v>
      </c>
      <c r="B1157" s="24" t="s">
        <v>1991</v>
      </c>
      <c r="C1157" s="25" t="s">
        <v>1990</v>
      </c>
      <c r="D1157" s="26" t="s">
        <v>1989</v>
      </c>
      <c r="E1157" s="25" t="s">
        <v>1988</v>
      </c>
      <c r="F1157" s="25" t="s">
        <v>1987</v>
      </c>
      <c r="G1157" s="24"/>
      <c r="H1157" s="25" t="s">
        <v>2038</v>
      </c>
      <c r="I1157" s="27"/>
      <c r="J1157" s="28" t="s">
        <v>2077</v>
      </c>
      <c r="K1157" s="27"/>
      <c r="L1157" s="25"/>
      <c r="M1157" s="25"/>
      <c r="N1157" s="25"/>
      <c r="O1157" s="25"/>
      <c r="P1157" s="25"/>
      <c r="Q1157" s="25"/>
      <c r="R1157" s="25"/>
      <c r="S1157" s="25"/>
      <c r="T1157" s="25"/>
      <c r="U1157" s="31">
        <f t="shared" si="18"/>
        <v>0</v>
      </c>
      <c r="V1157" s="25"/>
      <c r="W1157" s="33"/>
      <c r="X1157" s="33"/>
      <c r="Y1157" s="33"/>
      <c r="Z1157" s="33"/>
      <c r="AA1157" s="33"/>
    </row>
    <row r="1158" spans="1:27" s="70" customFormat="1" ht="45" x14ac:dyDescent="0.2">
      <c r="A1158" s="24">
        <v>1154</v>
      </c>
      <c r="B1158" s="24" t="s">
        <v>1991</v>
      </c>
      <c r="C1158" s="25" t="s">
        <v>1990</v>
      </c>
      <c r="D1158" s="26" t="s">
        <v>1989</v>
      </c>
      <c r="E1158" s="25" t="s">
        <v>1988</v>
      </c>
      <c r="F1158" s="25" t="s">
        <v>1987</v>
      </c>
      <c r="G1158" s="24"/>
      <c r="H1158" s="25" t="s">
        <v>2038</v>
      </c>
      <c r="I1158" s="27"/>
      <c r="J1158" s="28" t="s">
        <v>2076</v>
      </c>
      <c r="K1158" s="27"/>
      <c r="L1158" s="25"/>
      <c r="M1158" s="25"/>
      <c r="N1158" s="25"/>
      <c r="O1158" s="25"/>
      <c r="P1158" s="25"/>
      <c r="Q1158" s="25"/>
      <c r="R1158" s="25"/>
      <c r="S1158" s="25"/>
      <c r="T1158" s="25"/>
      <c r="U1158" s="31">
        <f t="shared" ref="U1158:U1221" si="19">SUM(O1158:T1158)</f>
        <v>0</v>
      </c>
      <c r="V1158" s="25"/>
      <c r="W1158" s="33"/>
      <c r="X1158" s="33"/>
      <c r="Y1158" s="33"/>
      <c r="Z1158" s="33"/>
      <c r="AA1158" s="33"/>
    </row>
    <row r="1159" spans="1:27" s="70" customFormat="1" ht="45" x14ac:dyDescent="0.2">
      <c r="A1159" s="24">
        <v>1155</v>
      </c>
      <c r="B1159" s="24" t="s">
        <v>1991</v>
      </c>
      <c r="C1159" s="25" t="s">
        <v>1990</v>
      </c>
      <c r="D1159" s="26" t="s">
        <v>1989</v>
      </c>
      <c r="E1159" s="25" t="s">
        <v>1988</v>
      </c>
      <c r="F1159" s="25" t="s">
        <v>1987</v>
      </c>
      <c r="G1159" s="24"/>
      <c r="H1159" s="25" t="s">
        <v>2038</v>
      </c>
      <c r="I1159" s="27"/>
      <c r="J1159" s="28" t="s">
        <v>2066</v>
      </c>
      <c r="K1159" s="27"/>
      <c r="L1159" s="25" t="s">
        <v>2075</v>
      </c>
      <c r="M1159" s="25" t="s">
        <v>2067</v>
      </c>
      <c r="N1159" s="25">
        <v>864</v>
      </c>
      <c r="O1159" s="25">
        <v>0.15</v>
      </c>
      <c r="P1159" s="25"/>
      <c r="Q1159" s="25"/>
      <c r="R1159" s="25"/>
      <c r="S1159" s="25">
        <v>0.5</v>
      </c>
      <c r="T1159" s="25"/>
      <c r="U1159" s="31">
        <f t="shared" si="19"/>
        <v>0.65</v>
      </c>
      <c r="V1159" s="25"/>
      <c r="W1159" s="33" t="s">
        <v>22</v>
      </c>
      <c r="X1159" s="33"/>
      <c r="Y1159" s="33"/>
      <c r="Z1159" s="33" t="s">
        <v>189</v>
      </c>
      <c r="AA1159" s="33"/>
    </row>
    <row r="1160" spans="1:27" s="70" customFormat="1" ht="45" x14ac:dyDescent="0.2">
      <c r="A1160" s="24">
        <v>1156</v>
      </c>
      <c r="B1160" s="24" t="s">
        <v>1991</v>
      </c>
      <c r="C1160" s="25" t="s">
        <v>1990</v>
      </c>
      <c r="D1160" s="26" t="s">
        <v>1989</v>
      </c>
      <c r="E1160" s="25" t="s">
        <v>1988</v>
      </c>
      <c r="F1160" s="25" t="s">
        <v>1987</v>
      </c>
      <c r="G1160" s="24"/>
      <c r="H1160" s="25" t="s">
        <v>2038</v>
      </c>
      <c r="I1160" s="27"/>
      <c r="J1160" s="28" t="s">
        <v>2066</v>
      </c>
      <c r="K1160" s="27"/>
      <c r="L1160" s="25" t="s">
        <v>2074</v>
      </c>
      <c r="M1160" s="25" t="s">
        <v>2073</v>
      </c>
      <c r="N1160" s="25">
        <v>310</v>
      </c>
      <c r="O1160" s="25">
        <v>0.3</v>
      </c>
      <c r="P1160" s="25"/>
      <c r="Q1160" s="25"/>
      <c r="R1160" s="25"/>
      <c r="S1160" s="25">
        <v>0.15</v>
      </c>
      <c r="T1160" s="25"/>
      <c r="U1160" s="31">
        <f t="shared" si="19"/>
        <v>0.44999999999999996</v>
      </c>
      <c r="V1160" s="25"/>
      <c r="W1160" s="33" t="s">
        <v>22</v>
      </c>
      <c r="X1160" s="33"/>
      <c r="Y1160" s="33"/>
      <c r="Z1160" s="33" t="s">
        <v>189</v>
      </c>
      <c r="AA1160" s="33"/>
    </row>
    <row r="1161" spans="1:27" s="70" customFormat="1" ht="45" x14ac:dyDescent="0.2">
      <c r="A1161" s="24">
        <v>1157</v>
      </c>
      <c r="B1161" s="24" t="s">
        <v>1991</v>
      </c>
      <c r="C1161" s="25" t="s">
        <v>1990</v>
      </c>
      <c r="D1161" s="26" t="s">
        <v>1989</v>
      </c>
      <c r="E1161" s="25" t="s">
        <v>1988</v>
      </c>
      <c r="F1161" s="25" t="s">
        <v>1987</v>
      </c>
      <c r="G1161" s="24"/>
      <c r="H1161" s="25" t="s">
        <v>2038</v>
      </c>
      <c r="I1161" s="27"/>
      <c r="J1161" s="28" t="s">
        <v>2066</v>
      </c>
      <c r="K1161" s="27"/>
      <c r="L1161" s="25" t="s">
        <v>2072</v>
      </c>
      <c r="M1161" s="25" t="s">
        <v>2067</v>
      </c>
      <c r="N1161" s="25">
        <v>36</v>
      </c>
      <c r="O1161" s="25">
        <v>8</v>
      </c>
      <c r="P1161" s="25"/>
      <c r="Q1161" s="25"/>
      <c r="R1161" s="25"/>
      <c r="S1161" s="25">
        <v>3</v>
      </c>
      <c r="T1161" s="25"/>
      <c r="U1161" s="31">
        <f t="shared" si="19"/>
        <v>11</v>
      </c>
      <c r="V1161" s="25"/>
      <c r="W1161" s="33" t="s">
        <v>22</v>
      </c>
      <c r="X1161" s="33"/>
      <c r="Y1161" s="33"/>
      <c r="Z1161" s="33" t="s">
        <v>189</v>
      </c>
      <c r="AA1161" s="33"/>
    </row>
    <row r="1162" spans="1:27" s="70" customFormat="1" ht="45" x14ac:dyDescent="0.2">
      <c r="A1162" s="24">
        <v>1158</v>
      </c>
      <c r="B1162" s="24" t="s">
        <v>1991</v>
      </c>
      <c r="C1162" s="25" t="s">
        <v>1990</v>
      </c>
      <c r="D1162" s="26" t="s">
        <v>1989</v>
      </c>
      <c r="E1162" s="25" t="s">
        <v>1988</v>
      </c>
      <c r="F1162" s="25" t="s">
        <v>1987</v>
      </c>
      <c r="G1162" s="24"/>
      <c r="H1162" s="25" t="s">
        <v>2038</v>
      </c>
      <c r="I1162" s="27"/>
      <c r="J1162" s="28" t="s">
        <v>2066</v>
      </c>
      <c r="K1162" s="27"/>
      <c r="L1162" s="25" t="s">
        <v>2071</v>
      </c>
      <c r="M1162" s="25" t="s">
        <v>2067</v>
      </c>
      <c r="N1162" s="25">
        <v>36</v>
      </c>
      <c r="O1162" s="25">
        <v>16</v>
      </c>
      <c r="P1162" s="25"/>
      <c r="Q1162" s="25"/>
      <c r="R1162" s="25"/>
      <c r="S1162" s="25">
        <v>2.5</v>
      </c>
      <c r="T1162" s="25"/>
      <c r="U1162" s="31">
        <f t="shared" si="19"/>
        <v>18.5</v>
      </c>
      <c r="V1162" s="25"/>
      <c r="W1162" s="33" t="s">
        <v>22</v>
      </c>
      <c r="X1162" s="33"/>
      <c r="Y1162" s="33"/>
      <c r="Z1162" s="33" t="s">
        <v>189</v>
      </c>
      <c r="AA1162" s="33"/>
    </row>
    <row r="1163" spans="1:27" s="70" customFormat="1" ht="45" x14ac:dyDescent="0.2">
      <c r="A1163" s="24">
        <v>1159</v>
      </c>
      <c r="B1163" s="24" t="s">
        <v>1991</v>
      </c>
      <c r="C1163" s="25" t="s">
        <v>1990</v>
      </c>
      <c r="D1163" s="26" t="s">
        <v>1989</v>
      </c>
      <c r="E1163" s="25" t="s">
        <v>1988</v>
      </c>
      <c r="F1163" s="25" t="s">
        <v>1987</v>
      </c>
      <c r="G1163" s="24"/>
      <c r="H1163" s="25" t="s">
        <v>2038</v>
      </c>
      <c r="I1163" s="27"/>
      <c r="J1163" s="28" t="s">
        <v>2066</v>
      </c>
      <c r="K1163" s="27"/>
      <c r="L1163" s="25" t="s">
        <v>2070</v>
      </c>
      <c r="M1163" s="25" t="s">
        <v>2067</v>
      </c>
      <c r="N1163" s="25">
        <v>36</v>
      </c>
      <c r="O1163" s="25">
        <v>1</v>
      </c>
      <c r="P1163" s="25"/>
      <c r="Q1163" s="25"/>
      <c r="R1163" s="25"/>
      <c r="S1163" s="25"/>
      <c r="T1163" s="25"/>
      <c r="U1163" s="31">
        <f t="shared" si="19"/>
        <v>1</v>
      </c>
      <c r="V1163" s="25"/>
      <c r="W1163" s="33" t="s">
        <v>22</v>
      </c>
      <c r="X1163" s="33"/>
      <c r="Y1163" s="33"/>
      <c r="Z1163" s="33" t="s">
        <v>189</v>
      </c>
      <c r="AA1163" s="33"/>
    </row>
    <row r="1164" spans="1:27" s="70" customFormat="1" ht="45" x14ac:dyDescent="0.2">
      <c r="A1164" s="24">
        <v>1160</v>
      </c>
      <c r="B1164" s="24" t="s">
        <v>1991</v>
      </c>
      <c r="C1164" s="25" t="s">
        <v>1990</v>
      </c>
      <c r="D1164" s="26" t="s">
        <v>1989</v>
      </c>
      <c r="E1164" s="25" t="s">
        <v>1988</v>
      </c>
      <c r="F1164" s="25" t="s">
        <v>1987</v>
      </c>
      <c r="G1164" s="24"/>
      <c r="H1164" s="25" t="s">
        <v>2038</v>
      </c>
      <c r="I1164" s="27"/>
      <c r="J1164" s="28" t="s">
        <v>2066</v>
      </c>
      <c r="K1164" s="27"/>
      <c r="L1164" s="25" t="s">
        <v>2069</v>
      </c>
      <c r="M1164" s="25" t="s">
        <v>2067</v>
      </c>
      <c r="N1164" s="25">
        <v>12</v>
      </c>
      <c r="O1164" s="25">
        <v>6</v>
      </c>
      <c r="P1164" s="25"/>
      <c r="Q1164" s="25"/>
      <c r="R1164" s="25"/>
      <c r="S1164" s="25">
        <v>0.17</v>
      </c>
      <c r="T1164" s="25"/>
      <c r="U1164" s="31">
        <f t="shared" si="19"/>
        <v>6.17</v>
      </c>
      <c r="V1164" s="25"/>
      <c r="W1164" s="33" t="s">
        <v>22</v>
      </c>
      <c r="X1164" s="33"/>
      <c r="Y1164" s="33"/>
      <c r="Z1164" s="33" t="s">
        <v>189</v>
      </c>
      <c r="AA1164" s="33"/>
    </row>
    <row r="1165" spans="1:27" s="70" customFormat="1" ht="45" x14ac:dyDescent="0.2">
      <c r="A1165" s="24">
        <v>1161</v>
      </c>
      <c r="B1165" s="24" t="s">
        <v>1991</v>
      </c>
      <c r="C1165" s="25" t="s">
        <v>1990</v>
      </c>
      <c r="D1165" s="26" t="s">
        <v>1989</v>
      </c>
      <c r="E1165" s="25" t="s">
        <v>1988</v>
      </c>
      <c r="F1165" s="25" t="s">
        <v>1987</v>
      </c>
      <c r="G1165" s="24"/>
      <c r="H1165" s="25" t="s">
        <v>2038</v>
      </c>
      <c r="I1165" s="27"/>
      <c r="J1165" s="28" t="s">
        <v>2066</v>
      </c>
      <c r="K1165" s="27"/>
      <c r="L1165" s="25" t="s">
        <v>2068</v>
      </c>
      <c r="M1165" s="25" t="s">
        <v>2067</v>
      </c>
      <c r="N1165" s="25">
        <v>12</v>
      </c>
      <c r="O1165" s="25">
        <v>32</v>
      </c>
      <c r="P1165" s="25"/>
      <c r="Q1165" s="25"/>
      <c r="R1165" s="25"/>
      <c r="S1165" s="25">
        <v>0.17</v>
      </c>
      <c r="T1165" s="25"/>
      <c r="U1165" s="31">
        <f t="shared" si="19"/>
        <v>32.17</v>
      </c>
      <c r="V1165" s="25"/>
      <c r="W1165" s="33" t="s">
        <v>22</v>
      </c>
      <c r="X1165" s="33"/>
      <c r="Y1165" s="33"/>
      <c r="Z1165" s="33" t="s">
        <v>189</v>
      </c>
      <c r="AA1165" s="33"/>
    </row>
    <row r="1166" spans="1:27" s="70" customFormat="1" ht="45" x14ac:dyDescent="0.2">
      <c r="A1166" s="24">
        <v>1162</v>
      </c>
      <c r="B1166" s="24" t="s">
        <v>1991</v>
      </c>
      <c r="C1166" s="25" t="s">
        <v>1990</v>
      </c>
      <c r="D1166" s="26" t="s">
        <v>1989</v>
      </c>
      <c r="E1166" s="25" t="s">
        <v>1988</v>
      </c>
      <c r="F1166" s="25" t="s">
        <v>1987</v>
      </c>
      <c r="G1166" s="24"/>
      <c r="H1166" s="25" t="s">
        <v>2038</v>
      </c>
      <c r="I1166" s="27"/>
      <c r="J1166" s="28" t="s">
        <v>2066</v>
      </c>
      <c r="K1166" s="27"/>
      <c r="L1166" s="25" t="s">
        <v>2065</v>
      </c>
      <c r="M1166" s="25"/>
      <c r="N1166" s="25">
        <v>1</v>
      </c>
      <c r="O1166" s="25">
        <v>90</v>
      </c>
      <c r="P1166" s="25"/>
      <c r="Q1166" s="25"/>
      <c r="R1166" s="25"/>
      <c r="S1166" s="25">
        <v>1</v>
      </c>
      <c r="T1166" s="25"/>
      <c r="U1166" s="31">
        <f t="shared" si="19"/>
        <v>91</v>
      </c>
      <c r="V1166" s="25"/>
      <c r="W1166" s="33" t="s">
        <v>2064</v>
      </c>
      <c r="X1166" s="33"/>
      <c r="Y1166" s="33"/>
      <c r="Z1166" s="33" t="s">
        <v>2063</v>
      </c>
      <c r="AA1166" s="33"/>
    </row>
    <row r="1167" spans="1:27" s="70" customFormat="1" ht="45" x14ac:dyDescent="0.2">
      <c r="A1167" s="24">
        <v>1163</v>
      </c>
      <c r="B1167" s="24" t="s">
        <v>1991</v>
      </c>
      <c r="C1167" s="25" t="s">
        <v>1990</v>
      </c>
      <c r="D1167" s="26" t="s">
        <v>1989</v>
      </c>
      <c r="E1167" s="25" t="s">
        <v>1988</v>
      </c>
      <c r="F1167" s="25" t="s">
        <v>1987</v>
      </c>
      <c r="G1167" s="24"/>
      <c r="H1167" s="25" t="s">
        <v>2038</v>
      </c>
      <c r="I1167" s="27"/>
      <c r="J1167" s="28" t="s">
        <v>2042</v>
      </c>
      <c r="K1167" s="27"/>
      <c r="L1167" s="25" t="s">
        <v>2062</v>
      </c>
      <c r="M1167" s="25" t="s">
        <v>2046</v>
      </c>
      <c r="N1167" s="25">
        <v>633</v>
      </c>
      <c r="O1167" s="25">
        <v>0.5</v>
      </c>
      <c r="P1167" s="25"/>
      <c r="Q1167" s="25"/>
      <c r="R1167" s="25"/>
      <c r="S1167" s="25">
        <v>0.15</v>
      </c>
      <c r="T1167" s="25"/>
      <c r="U1167" s="31">
        <f t="shared" si="19"/>
        <v>0.65</v>
      </c>
      <c r="V1167" s="25"/>
      <c r="W1167" s="33" t="s">
        <v>2005</v>
      </c>
      <c r="X1167" s="33"/>
      <c r="Y1167" s="33"/>
      <c r="Z1167" s="33" t="s">
        <v>2059</v>
      </c>
      <c r="AA1167" s="33"/>
    </row>
    <row r="1168" spans="1:27" s="70" customFormat="1" ht="45" x14ac:dyDescent="0.2">
      <c r="A1168" s="24">
        <v>1164</v>
      </c>
      <c r="B1168" s="24" t="s">
        <v>1991</v>
      </c>
      <c r="C1168" s="25" t="s">
        <v>1990</v>
      </c>
      <c r="D1168" s="26" t="s">
        <v>1989</v>
      </c>
      <c r="E1168" s="25" t="s">
        <v>1988</v>
      </c>
      <c r="F1168" s="25" t="s">
        <v>1987</v>
      </c>
      <c r="G1168" s="24"/>
      <c r="H1168" s="25" t="s">
        <v>2038</v>
      </c>
      <c r="I1168" s="27"/>
      <c r="J1168" s="28" t="s">
        <v>2042</v>
      </c>
      <c r="K1168" s="27"/>
      <c r="L1168" s="25" t="s">
        <v>2061</v>
      </c>
      <c r="M1168" s="25" t="s">
        <v>2046</v>
      </c>
      <c r="N1168" s="25">
        <v>600</v>
      </c>
      <c r="O1168" s="25">
        <v>1</v>
      </c>
      <c r="P1168" s="25"/>
      <c r="Q1168" s="25"/>
      <c r="R1168" s="25"/>
      <c r="S1168" s="25">
        <v>0.3</v>
      </c>
      <c r="T1168" s="25"/>
      <c r="U1168" s="31">
        <f t="shared" si="19"/>
        <v>1.3</v>
      </c>
      <c r="V1168" s="25"/>
      <c r="W1168" s="33" t="s">
        <v>251</v>
      </c>
      <c r="X1168" s="33"/>
      <c r="Y1168" s="33"/>
      <c r="Z1168" s="33" t="s">
        <v>2059</v>
      </c>
      <c r="AA1168" s="33"/>
    </row>
    <row r="1169" spans="1:27" s="70" customFormat="1" ht="45" x14ac:dyDescent="0.2">
      <c r="A1169" s="24">
        <v>1165</v>
      </c>
      <c r="B1169" s="24" t="s">
        <v>1991</v>
      </c>
      <c r="C1169" s="25" t="s">
        <v>1990</v>
      </c>
      <c r="D1169" s="26" t="s">
        <v>1989</v>
      </c>
      <c r="E1169" s="25" t="s">
        <v>1988</v>
      </c>
      <c r="F1169" s="25" t="s">
        <v>1987</v>
      </c>
      <c r="G1169" s="24"/>
      <c r="H1169" s="25" t="s">
        <v>2038</v>
      </c>
      <c r="I1169" s="27"/>
      <c r="J1169" s="28" t="s">
        <v>2042</v>
      </c>
      <c r="K1169" s="27"/>
      <c r="L1169" s="25" t="s">
        <v>2060</v>
      </c>
      <c r="M1169" s="25" t="s">
        <v>2046</v>
      </c>
      <c r="N1169" s="25">
        <v>600</v>
      </c>
      <c r="O1169" s="25">
        <v>2</v>
      </c>
      <c r="P1169" s="25"/>
      <c r="Q1169" s="25"/>
      <c r="R1169" s="25"/>
      <c r="S1169" s="25">
        <v>0.3</v>
      </c>
      <c r="T1169" s="25"/>
      <c r="U1169" s="31">
        <f t="shared" si="19"/>
        <v>2.2999999999999998</v>
      </c>
      <c r="V1169" s="25"/>
      <c r="W1169" s="33" t="s">
        <v>251</v>
      </c>
      <c r="X1169" s="33"/>
      <c r="Y1169" s="33"/>
      <c r="Z1169" s="33" t="s">
        <v>2059</v>
      </c>
      <c r="AA1169" s="33"/>
    </row>
    <row r="1170" spans="1:27" s="70" customFormat="1" ht="45" x14ac:dyDescent="0.2">
      <c r="A1170" s="24">
        <v>1166</v>
      </c>
      <c r="B1170" s="24" t="s">
        <v>1991</v>
      </c>
      <c r="C1170" s="25" t="s">
        <v>1990</v>
      </c>
      <c r="D1170" s="26" t="s">
        <v>1989</v>
      </c>
      <c r="E1170" s="25" t="s">
        <v>1988</v>
      </c>
      <c r="F1170" s="25" t="s">
        <v>1987</v>
      </c>
      <c r="G1170" s="24"/>
      <c r="H1170" s="25" t="s">
        <v>2038</v>
      </c>
      <c r="I1170" s="27"/>
      <c r="J1170" s="28" t="s">
        <v>2042</v>
      </c>
      <c r="K1170" s="27"/>
      <c r="L1170" s="25" t="s">
        <v>2058</v>
      </c>
      <c r="M1170" s="25" t="s">
        <v>2046</v>
      </c>
      <c r="N1170" s="25">
        <v>1095</v>
      </c>
      <c r="O1170" s="25">
        <v>1</v>
      </c>
      <c r="P1170" s="25"/>
      <c r="Q1170" s="25"/>
      <c r="R1170" s="25"/>
      <c r="S1170" s="25">
        <v>0.3</v>
      </c>
      <c r="T1170" s="25"/>
      <c r="U1170" s="31">
        <f t="shared" si="19"/>
        <v>1.3</v>
      </c>
      <c r="V1170" s="25"/>
      <c r="W1170" s="33" t="s">
        <v>251</v>
      </c>
      <c r="X1170" s="33"/>
      <c r="Y1170" s="33"/>
      <c r="Z1170" s="33" t="s">
        <v>2054</v>
      </c>
      <c r="AA1170" s="33"/>
    </row>
    <row r="1171" spans="1:27" s="70" customFormat="1" ht="45" x14ac:dyDescent="0.2">
      <c r="A1171" s="24">
        <v>1167</v>
      </c>
      <c r="B1171" s="24" t="s">
        <v>1991</v>
      </c>
      <c r="C1171" s="25" t="s">
        <v>1990</v>
      </c>
      <c r="D1171" s="26" t="s">
        <v>1989</v>
      </c>
      <c r="E1171" s="25" t="s">
        <v>1988</v>
      </c>
      <c r="F1171" s="25" t="s">
        <v>1987</v>
      </c>
      <c r="G1171" s="24"/>
      <c r="H1171" s="25" t="s">
        <v>2038</v>
      </c>
      <c r="I1171" s="27"/>
      <c r="J1171" s="28" t="s">
        <v>2042</v>
      </c>
      <c r="K1171" s="27"/>
      <c r="L1171" s="25" t="s">
        <v>2057</v>
      </c>
      <c r="M1171" s="25" t="s">
        <v>2040</v>
      </c>
      <c r="N1171" s="25">
        <v>4000</v>
      </c>
      <c r="O1171" s="25">
        <v>0.1</v>
      </c>
      <c r="P1171" s="25"/>
      <c r="Q1171" s="25"/>
      <c r="R1171" s="25"/>
      <c r="S1171" s="25">
        <v>0.05</v>
      </c>
      <c r="T1171" s="25"/>
      <c r="U1171" s="31">
        <f t="shared" si="19"/>
        <v>0.15000000000000002</v>
      </c>
      <c r="V1171" s="25"/>
      <c r="W1171" s="33" t="s">
        <v>251</v>
      </c>
      <c r="X1171" s="33"/>
      <c r="Y1171" s="33"/>
      <c r="Z1171" s="33" t="s">
        <v>2054</v>
      </c>
      <c r="AA1171" s="33"/>
    </row>
    <row r="1172" spans="1:27" s="70" customFormat="1" ht="45" x14ac:dyDescent="0.2">
      <c r="A1172" s="24">
        <v>1168</v>
      </c>
      <c r="B1172" s="24" t="s">
        <v>1991</v>
      </c>
      <c r="C1172" s="25" t="s">
        <v>1990</v>
      </c>
      <c r="D1172" s="26" t="s">
        <v>1989</v>
      </c>
      <c r="E1172" s="25" t="s">
        <v>1988</v>
      </c>
      <c r="F1172" s="25" t="s">
        <v>1987</v>
      </c>
      <c r="G1172" s="24"/>
      <c r="H1172" s="25" t="s">
        <v>2038</v>
      </c>
      <c r="I1172" s="27"/>
      <c r="J1172" s="28" t="s">
        <v>2042</v>
      </c>
      <c r="K1172" s="27"/>
      <c r="L1172" s="25" t="s">
        <v>2056</v>
      </c>
      <c r="M1172" s="25" t="s">
        <v>2040</v>
      </c>
      <c r="N1172" s="25">
        <v>6000</v>
      </c>
      <c r="O1172" s="25">
        <v>0.1</v>
      </c>
      <c r="P1172" s="25"/>
      <c r="Q1172" s="25"/>
      <c r="R1172" s="25"/>
      <c r="S1172" s="25">
        <v>0.05</v>
      </c>
      <c r="T1172" s="25"/>
      <c r="U1172" s="31">
        <f t="shared" si="19"/>
        <v>0.15000000000000002</v>
      </c>
      <c r="V1172" s="25"/>
      <c r="W1172" s="33" t="s">
        <v>251</v>
      </c>
      <c r="X1172" s="33"/>
      <c r="Y1172" s="33"/>
      <c r="Z1172" s="33" t="s">
        <v>2054</v>
      </c>
      <c r="AA1172" s="33"/>
    </row>
    <row r="1173" spans="1:27" s="70" customFormat="1" ht="45" x14ac:dyDescent="0.2">
      <c r="A1173" s="24">
        <v>1169</v>
      </c>
      <c r="B1173" s="24" t="s">
        <v>1991</v>
      </c>
      <c r="C1173" s="25" t="s">
        <v>1990</v>
      </c>
      <c r="D1173" s="26" t="s">
        <v>1989</v>
      </c>
      <c r="E1173" s="25" t="s">
        <v>1988</v>
      </c>
      <c r="F1173" s="25" t="s">
        <v>1987</v>
      </c>
      <c r="G1173" s="24"/>
      <c r="H1173" s="25" t="s">
        <v>2038</v>
      </c>
      <c r="I1173" s="27"/>
      <c r="J1173" s="28" t="s">
        <v>2042</v>
      </c>
      <c r="K1173" s="27"/>
      <c r="L1173" s="25" t="s">
        <v>2055</v>
      </c>
      <c r="M1173" s="25" t="s">
        <v>2046</v>
      </c>
      <c r="N1173" s="25">
        <v>300</v>
      </c>
      <c r="O1173" s="25">
        <v>4.5</v>
      </c>
      <c r="P1173" s="25"/>
      <c r="Q1173" s="25"/>
      <c r="R1173" s="25"/>
      <c r="S1173" s="25">
        <v>1.5</v>
      </c>
      <c r="T1173" s="25"/>
      <c r="U1173" s="31">
        <f t="shared" si="19"/>
        <v>6</v>
      </c>
      <c r="V1173" s="25"/>
      <c r="W1173" s="33" t="s">
        <v>251</v>
      </c>
      <c r="X1173" s="33"/>
      <c r="Y1173" s="33"/>
      <c r="Z1173" s="33" t="s">
        <v>2054</v>
      </c>
      <c r="AA1173" s="33"/>
    </row>
    <row r="1174" spans="1:27" s="70" customFormat="1" ht="45" x14ac:dyDescent="0.2">
      <c r="A1174" s="24">
        <v>1170</v>
      </c>
      <c r="B1174" s="24" t="s">
        <v>1991</v>
      </c>
      <c r="C1174" s="25" t="s">
        <v>1990</v>
      </c>
      <c r="D1174" s="26" t="s">
        <v>1989</v>
      </c>
      <c r="E1174" s="25" t="s">
        <v>1988</v>
      </c>
      <c r="F1174" s="25" t="s">
        <v>1987</v>
      </c>
      <c r="G1174" s="24"/>
      <c r="H1174" s="25" t="s">
        <v>2038</v>
      </c>
      <c r="I1174" s="27"/>
      <c r="J1174" s="28" t="s">
        <v>2042</v>
      </c>
      <c r="K1174" s="27"/>
      <c r="L1174" s="25" t="s">
        <v>2053</v>
      </c>
      <c r="M1174" s="25" t="s">
        <v>2046</v>
      </c>
      <c r="N1174" s="25">
        <v>5</v>
      </c>
      <c r="O1174" s="25">
        <v>24</v>
      </c>
      <c r="P1174" s="25"/>
      <c r="Q1174" s="25"/>
      <c r="R1174" s="25"/>
      <c r="S1174" s="25">
        <v>3</v>
      </c>
      <c r="T1174" s="25"/>
      <c r="U1174" s="31">
        <f t="shared" si="19"/>
        <v>27</v>
      </c>
      <c r="V1174" s="25"/>
      <c r="W1174" s="33" t="s">
        <v>2048</v>
      </c>
      <c r="X1174" s="33"/>
      <c r="Y1174" s="33"/>
      <c r="Z1174" s="33">
        <v>1</v>
      </c>
      <c r="AA1174" s="33"/>
    </row>
    <row r="1175" spans="1:27" s="70" customFormat="1" ht="45" x14ac:dyDescent="0.2">
      <c r="A1175" s="24">
        <v>1171</v>
      </c>
      <c r="B1175" s="24" t="s">
        <v>1991</v>
      </c>
      <c r="C1175" s="25" t="s">
        <v>1990</v>
      </c>
      <c r="D1175" s="26" t="s">
        <v>1989</v>
      </c>
      <c r="E1175" s="25" t="s">
        <v>1988</v>
      </c>
      <c r="F1175" s="25" t="s">
        <v>1987</v>
      </c>
      <c r="G1175" s="24"/>
      <c r="H1175" s="25" t="s">
        <v>2038</v>
      </c>
      <c r="I1175" s="27"/>
      <c r="J1175" s="28" t="s">
        <v>2042</v>
      </c>
      <c r="K1175" s="27"/>
      <c r="L1175" s="25" t="s">
        <v>2052</v>
      </c>
      <c r="M1175" s="25" t="s">
        <v>2046</v>
      </c>
      <c r="N1175" s="25">
        <v>15</v>
      </c>
      <c r="O1175" s="25">
        <v>0.5</v>
      </c>
      <c r="P1175" s="25"/>
      <c r="Q1175" s="25"/>
      <c r="R1175" s="25"/>
      <c r="S1175" s="25">
        <v>0.05</v>
      </c>
      <c r="T1175" s="25"/>
      <c r="U1175" s="31">
        <f t="shared" si="19"/>
        <v>0.55000000000000004</v>
      </c>
      <c r="V1175" s="25"/>
      <c r="W1175" s="33" t="s">
        <v>2048</v>
      </c>
      <c r="X1175" s="33"/>
      <c r="Y1175" s="33"/>
      <c r="Z1175" s="33">
        <v>1</v>
      </c>
      <c r="AA1175" s="33"/>
    </row>
    <row r="1176" spans="1:27" s="70" customFormat="1" ht="45" x14ac:dyDescent="0.2">
      <c r="A1176" s="24">
        <v>1172</v>
      </c>
      <c r="B1176" s="24" t="s">
        <v>1991</v>
      </c>
      <c r="C1176" s="25" t="s">
        <v>1990</v>
      </c>
      <c r="D1176" s="26" t="s">
        <v>1989</v>
      </c>
      <c r="E1176" s="25" t="s">
        <v>1988</v>
      </c>
      <c r="F1176" s="25" t="s">
        <v>1987</v>
      </c>
      <c r="G1176" s="24"/>
      <c r="H1176" s="25" t="s">
        <v>2038</v>
      </c>
      <c r="I1176" s="27"/>
      <c r="J1176" s="28" t="s">
        <v>2042</v>
      </c>
      <c r="K1176" s="27"/>
      <c r="L1176" s="25" t="s">
        <v>2051</v>
      </c>
      <c r="M1176" s="25" t="s">
        <v>2046</v>
      </c>
      <c r="N1176" s="25">
        <v>10</v>
      </c>
      <c r="O1176" s="25">
        <v>0.5</v>
      </c>
      <c r="P1176" s="25"/>
      <c r="Q1176" s="25"/>
      <c r="R1176" s="25"/>
      <c r="S1176" s="25">
        <v>0.05</v>
      </c>
      <c r="T1176" s="25"/>
      <c r="U1176" s="31">
        <f t="shared" si="19"/>
        <v>0.55000000000000004</v>
      </c>
      <c r="V1176" s="25"/>
      <c r="W1176" s="33" t="s">
        <v>2005</v>
      </c>
      <c r="X1176" s="33"/>
      <c r="Y1176" s="33"/>
      <c r="Z1176" s="33" t="s">
        <v>2050</v>
      </c>
      <c r="AA1176" s="33"/>
    </row>
    <row r="1177" spans="1:27" s="70" customFormat="1" ht="45" x14ac:dyDescent="0.2">
      <c r="A1177" s="24">
        <v>1173</v>
      </c>
      <c r="B1177" s="24" t="s">
        <v>1991</v>
      </c>
      <c r="C1177" s="25" t="s">
        <v>1990</v>
      </c>
      <c r="D1177" s="26" t="s">
        <v>1989</v>
      </c>
      <c r="E1177" s="25" t="s">
        <v>1988</v>
      </c>
      <c r="F1177" s="25" t="s">
        <v>1987</v>
      </c>
      <c r="G1177" s="24"/>
      <c r="H1177" s="25" t="s">
        <v>2038</v>
      </c>
      <c r="I1177" s="27"/>
      <c r="J1177" s="28" t="s">
        <v>2042</v>
      </c>
      <c r="K1177" s="27"/>
      <c r="L1177" s="25" t="s">
        <v>2049</v>
      </c>
      <c r="M1177" s="25" t="s">
        <v>2046</v>
      </c>
      <c r="N1177" s="25">
        <v>4</v>
      </c>
      <c r="O1177" s="25">
        <v>1</v>
      </c>
      <c r="P1177" s="25"/>
      <c r="Q1177" s="25"/>
      <c r="R1177" s="25"/>
      <c r="S1177" s="25">
        <v>0.5</v>
      </c>
      <c r="T1177" s="25"/>
      <c r="U1177" s="31">
        <f t="shared" si="19"/>
        <v>1.5</v>
      </c>
      <c r="V1177" s="25"/>
      <c r="W1177" s="33" t="s">
        <v>2048</v>
      </c>
      <c r="X1177" s="33"/>
      <c r="Y1177" s="33"/>
      <c r="Z1177" s="33">
        <v>1</v>
      </c>
      <c r="AA1177" s="33"/>
    </row>
    <row r="1178" spans="1:27" s="70" customFormat="1" ht="45" x14ac:dyDescent="0.2">
      <c r="A1178" s="24">
        <v>1174</v>
      </c>
      <c r="B1178" s="24" t="s">
        <v>1991</v>
      </c>
      <c r="C1178" s="25" t="s">
        <v>1990</v>
      </c>
      <c r="D1178" s="26" t="s">
        <v>1989</v>
      </c>
      <c r="E1178" s="25" t="s">
        <v>1988</v>
      </c>
      <c r="F1178" s="25" t="s">
        <v>1987</v>
      </c>
      <c r="G1178" s="24"/>
      <c r="H1178" s="25" t="s">
        <v>2038</v>
      </c>
      <c r="I1178" s="27"/>
      <c r="J1178" s="28" t="s">
        <v>2042</v>
      </c>
      <c r="K1178" s="27"/>
      <c r="L1178" s="25" t="s">
        <v>2047</v>
      </c>
      <c r="M1178" s="25" t="s">
        <v>2046</v>
      </c>
      <c r="N1178" s="25">
        <v>350</v>
      </c>
      <c r="O1178" s="25">
        <v>1.5</v>
      </c>
      <c r="P1178" s="25"/>
      <c r="Q1178" s="25"/>
      <c r="R1178" s="25"/>
      <c r="S1178" s="25">
        <v>0.33</v>
      </c>
      <c r="T1178" s="25"/>
      <c r="U1178" s="31">
        <f t="shared" si="19"/>
        <v>1.83</v>
      </c>
      <c r="V1178" s="25"/>
      <c r="W1178" s="33" t="s">
        <v>2045</v>
      </c>
      <c r="X1178" s="33"/>
      <c r="Y1178" s="33"/>
      <c r="Z1178" s="33">
        <v>1</v>
      </c>
      <c r="AA1178" s="33"/>
    </row>
    <row r="1179" spans="1:27" s="70" customFormat="1" ht="45" x14ac:dyDescent="0.2">
      <c r="A1179" s="24">
        <v>1175</v>
      </c>
      <c r="B1179" s="24" t="s">
        <v>1991</v>
      </c>
      <c r="C1179" s="25" t="s">
        <v>1990</v>
      </c>
      <c r="D1179" s="26" t="s">
        <v>1989</v>
      </c>
      <c r="E1179" s="25" t="s">
        <v>1988</v>
      </c>
      <c r="F1179" s="25" t="s">
        <v>1987</v>
      </c>
      <c r="G1179" s="24"/>
      <c r="H1179" s="25" t="s">
        <v>2038</v>
      </c>
      <c r="I1179" s="27"/>
      <c r="J1179" s="28" t="s">
        <v>2042</v>
      </c>
      <c r="K1179" s="27"/>
      <c r="L1179" s="25" t="s">
        <v>2044</v>
      </c>
      <c r="M1179" s="25" t="s">
        <v>2040</v>
      </c>
      <c r="N1179" s="25">
        <v>600</v>
      </c>
      <c r="O1179" s="25">
        <v>0.3</v>
      </c>
      <c r="P1179" s="25"/>
      <c r="Q1179" s="25"/>
      <c r="R1179" s="25"/>
      <c r="S1179" s="25">
        <v>0.05</v>
      </c>
      <c r="T1179" s="25"/>
      <c r="U1179" s="31">
        <f t="shared" si="19"/>
        <v>0.35</v>
      </c>
      <c r="V1179" s="25"/>
      <c r="W1179" s="33" t="s">
        <v>251</v>
      </c>
      <c r="X1179" s="33"/>
      <c r="Y1179" s="33"/>
      <c r="Z1179" s="33" t="s">
        <v>2043</v>
      </c>
      <c r="AA1179" s="33"/>
    </row>
    <row r="1180" spans="1:27" s="70" customFormat="1" ht="45" x14ac:dyDescent="0.2">
      <c r="A1180" s="24">
        <v>1176</v>
      </c>
      <c r="B1180" s="24" t="s">
        <v>1991</v>
      </c>
      <c r="C1180" s="25" t="s">
        <v>1990</v>
      </c>
      <c r="D1180" s="26" t="s">
        <v>1989</v>
      </c>
      <c r="E1180" s="25" t="s">
        <v>1988</v>
      </c>
      <c r="F1180" s="25" t="s">
        <v>1987</v>
      </c>
      <c r="G1180" s="24"/>
      <c r="H1180" s="25" t="s">
        <v>2038</v>
      </c>
      <c r="I1180" s="27"/>
      <c r="J1180" s="28" t="s">
        <v>2042</v>
      </c>
      <c r="K1180" s="27"/>
      <c r="L1180" s="25" t="s">
        <v>2041</v>
      </c>
      <c r="M1180" s="25" t="s">
        <v>2040</v>
      </c>
      <c r="N1180" s="25">
        <v>150</v>
      </c>
      <c r="O1180" s="25">
        <v>0.3</v>
      </c>
      <c r="P1180" s="25"/>
      <c r="Q1180" s="25"/>
      <c r="R1180" s="25"/>
      <c r="S1180" s="25">
        <v>0.15</v>
      </c>
      <c r="T1180" s="25"/>
      <c r="U1180" s="31">
        <f t="shared" si="19"/>
        <v>0.44999999999999996</v>
      </c>
      <c r="V1180" s="25"/>
      <c r="W1180" s="33" t="s">
        <v>251</v>
      </c>
      <c r="X1180" s="33"/>
      <c r="Y1180" s="33"/>
      <c r="Z1180" s="33" t="s">
        <v>2039</v>
      </c>
      <c r="AA1180" s="33"/>
    </row>
    <row r="1181" spans="1:27" s="70" customFormat="1" ht="45" x14ac:dyDescent="0.2">
      <c r="A1181" s="24">
        <v>1177</v>
      </c>
      <c r="B1181" s="24" t="s">
        <v>1991</v>
      </c>
      <c r="C1181" s="25" t="s">
        <v>1990</v>
      </c>
      <c r="D1181" s="26" t="s">
        <v>1989</v>
      </c>
      <c r="E1181" s="25" t="s">
        <v>1988</v>
      </c>
      <c r="F1181" s="25" t="s">
        <v>1987</v>
      </c>
      <c r="G1181" s="24"/>
      <c r="H1181" s="25" t="s">
        <v>2038</v>
      </c>
      <c r="I1181" s="27"/>
      <c r="J1181" s="28" t="s">
        <v>2037</v>
      </c>
      <c r="K1181" s="27"/>
      <c r="L1181" s="25"/>
      <c r="M1181" s="25"/>
      <c r="N1181" s="25"/>
      <c r="O1181" s="25"/>
      <c r="P1181" s="25"/>
      <c r="Q1181" s="25"/>
      <c r="R1181" s="25"/>
      <c r="S1181" s="25"/>
      <c r="T1181" s="25"/>
      <c r="U1181" s="31">
        <f t="shared" si="19"/>
        <v>0</v>
      </c>
      <c r="V1181" s="25"/>
      <c r="W1181" s="33"/>
      <c r="X1181" s="33"/>
      <c r="Y1181" s="33"/>
      <c r="Z1181" s="33"/>
      <c r="AA1181" s="33"/>
    </row>
    <row r="1182" spans="1:27" s="70" customFormat="1" ht="56.25" x14ac:dyDescent="0.2">
      <c r="A1182" s="24">
        <v>1178</v>
      </c>
      <c r="B1182" s="24" t="s">
        <v>1991</v>
      </c>
      <c r="C1182" s="25" t="s">
        <v>1990</v>
      </c>
      <c r="D1182" s="26" t="s">
        <v>1989</v>
      </c>
      <c r="E1182" s="25" t="s">
        <v>1988</v>
      </c>
      <c r="F1182" s="25" t="s">
        <v>1987</v>
      </c>
      <c r="G1182" s="24"/>
      <c r="H1182" s="25" t="s">
        <v>2004</v>
      </c>
      <c r="I1182" s="27"/>
      <c r="J1182" s="28" t="s">
        <v>2032</v>
      </c>
      <c r="K1182" s="27"/>
      <c r="L1182" s="25" t="s">
        <v>2036</v>
      </c>
      <c r="M1182" s="25" t="s">
        <v>2001</v>
      </c>
      <c r="N1182" s="25">
        <v>120</v>
      </c>
      <c r="O1182" s="25">
        <v>8</v>
      </c>
      <c r="P1182" s="25">
        <v>7</v>
      </c>
      <c r="Q1182" s="25"/>
      <c r="R1182" s="25"/>
      <c r="S1182" s="25">
        <v>3</v>
      </c>
      <c r="T1182" s="25"/>
      <c r="U1182" s="31">
        <f t="shared" si="19"/>
        <v>18</v>
      </c>
      <c r="V1182" s="25"/>
      <c r="W1182" s="33" t="s">
        <v>251</v>
      </c>
      <c r="X1182" s="33"/>
      <c r="Y1182" s="33"/>
      <c r="Z1182" s="33" t="s">
        <v>2000</v>
      </c>
      <c r="AA1182" s="33"/>
    </row>
    <row r="1183" spans="1:27" s="70" customFormat="1" ht="56.25" x14ac:dyDescent="0.2">
      <c r="A1183" s="24">
        <v>1179</v>
      </c>
      <c r="B1183" s="24" t="s">
        <v>1991</v>
      </c>
      <c r="C1183" s="25" t="s">
        <v>1990</v>
      </c>
      <c r="D1183" s="26" t="s">
        <v>1989</v>
      </c>
      <c r="E1183" s="25" t="s">
        <v>1988</v>
      </c>
      <c r="F1183" s="25" t="s">
        <v>1987</v>
      </c>
      <c r="G1183" s="24"/>
      <c r="H1183" s="25" t="s">
        <v>2004</v>
      </c>
      <c r="I1183" s="27"/>
      <c r="J1183" s="28" t="s">
        <v>2032</v>
      </c>
      <c r="K1183" s="27"/>
      <c r="L1183" s="25" t="s">
        <v>2035</v>
      </c>
      <c r="M1183" s="25" t="s">
        <v>2001</v>
      </c>
      <c r="N1183" s="25">
        <v>12</v>
      </c>
      <c r="O1183" s="25">
        <v>4</v>
      </c>
      <c r="P1183" s="25">
        <v>3</v>
      </c>
      <c r="Q1183" s="25"/>
      <c r="R1183" s="25"/>
      <c r="S1183" s="25">
        <v>2</v>
      </c>
      <c r="T1183" s="25"/>
      <c r="U1183" s="31">
        <f t="shared" si="19"/>
        <v>9</v>
      </c>
      <c r="V1183" s="25"/>
      <c r="W1183" s="33" t="s">
        <v>251</v>
      </c>
      <c r="X1183" s="33"/>
      <c r="Y1183" s="33"/>
      <c r="Z1183" s="33" t="s">
        <v>2000</v>
      </c>
      <c r="AA1183" s="33"/>
    </row>
    <row r="1184" spans="1:27" s="70" customFormat="1" ht="56.25" x14ac:dyDescent="0.2">
      <c r="A1184" s="24">
        <v>1180</v>
      </c>
      <c r="B1184" s="24" t="s">
        <v>1991</v>
      </c>
      <c r="C1184" s="25" t="s">
        <v>1990</v>
      </c>
      <c r="D1184" s="26" t="s">
        <v>1989</v>
      </c>
      <c r="E1184" s="25" t="s">
        <v>1988</v>
      </c>
      <c r="F1184" s="25" t="s">
        <v>1987</v>
      </c>
      <c r="G1184" s="24"/>
      <c r="H1184" s="25" t="s">
        <v>2004</v>
      </c>
      <c r="I1184" s="27"/>
      <c r="J1184" s="28" t="s">
        <v>2032</v>
      </c>
      <c r="K1184" s="27"/>
      <c r="L1184" s="25" t="s">
        <v>2034</v>
      </c>
      <c r="M1184" s="25" t="s">
        <v>2001</v>
      </c>
      <c r="N1184" s="25">
        <v>13</v>
      </c>
      <c r="O1184" s="25">
        <v>5</v>
      </c>
      <c r="P1184" s="25">
        <v>4</v>
      </c>
      <c r="Q1184" s="25"/>
      <c r="R1184" s="25"/>
      <c r="S1184" s="25">
        <v>2</v>
      </c>
      <c r="T1184" s="25"/>
      <c r="U1184" s="31">
        <f t="shared" si="19"/>
        <v>11</v>
      </c>
      <c r="V1184" s="25"/>
      <c r="W1184" s="33" t="s">
        <v>251</v>
      </c>
      <c r="X1184" s="33"/>
      <c r="Y1184" s="33"/>
      <c r="Z1184" s="33" t="s">
        <v>2033</v>
      </c>
      <c r="AA1184" s="33"/>
    </row>
    <row r="1185" spans="1:27" s="70" customFormat="1" ht="135" x14ac:dyDescent="0.2">
      <c r="A1185" s="24">
        <v>1181</v>
      </c>
      <c r="B1185" s="24" t="s">
        <v>1991</v>
      </c>
      <c r="C1185" s="25" t="s">
        <v>1990</v>
      </c>
      <c r="D1185" s="26" t="s">
        <v>1989</v>
      </c>
      <c r="E1185" s="25" t="s">
        <v>1988</v>
      </c>
      <c r="F1185" s="25" t="s">
        <v>1987</v>
      </c>
      <c r="G1185" s="24"/>
      <c r="H1185" s="25" t="s">
        <v>2004</v>
      </c>
      <c r="I1185" s="27"/>
      <c r="J1185" s="28" t="s">
        <v>2032</v>
      </c>
      <c r="K1185" s="27"/>
      <c r="L1185" s="25" t="s">
        <v>2020</v>
      </c>
      <c r="M1185" s="25" t="s">
        <v>2001</v>
      </c>
      <c r="N1185" s="25">
        <v>180</v>
      </c>
      <c r="O1185" s="25">
        <v>16</v>
      </c>
      <c r="P1185" s="25">
        <v>14</v>
      </c>
      <c r="Q1185" s="25"/>
      <c r="R1185" s="25"/>
      <c r="S1185" s="25">
        <v>3</v>
      </c>
      <c r="T1185" s="25"/>
      <c r="U1185" s="31">
        <f t="shared" si="19"/>
        <v>33</v>
      </c>
      <c r="V1185" s="25"/>
      <c r="W1185" s="33" t="s">
        <v>251</v>
      </c>
      <c r="X1185" s="33"/>
      <c r="Y1185" s="33"/>
      <c r="Z1185" s="33" t="s">
        <v>2000</v>
      </c>
      <c r="AA1185" s="33"/>
    </row>
    <row r="1186" spans="1:27" s="70" customFormat="1" ht="56.25" x14ac:dyDescent="0.2">
      <c r="A1186" s="24">
        <v>1182</v>
      </c>
      <c r="B1186" s="24" t="s">
        <v>1991</v>
      </c>
      <c r="C1186" s="25" t="s">
        <v>1990</v>
      </c>
      <c r="D1186" s="26" t="s">
        <v>1989</v>
      </c>
      <c r="E1186" s="25" t="s">
        <v>1988</v>
      </c>
      <c r="F1186" s="25" t="s">
        <v>1987</v>
      </c>
      <c r="G1186" s="24"/>
      <c r="H1186" s="25" t="s">
        <v>2004</v>
      </c>
      <c r="I1186" s="27"/>
      <c r="J1186" s="28" t="s">
        <v>2018</v>
      </c>
      <c r="K1186" s="27"/>
      <c r="L1186" s="25" t="s">
        <v>2031</v>
      </c>
      <c r="M1186" s="25" t="s">
        <v>2030</v>
      </c>
      <c r="N1186" s="25">
        <v>120</v>
      </c>
      <c r="O1186" s="25">
        <v>0.75</v>
      </c>
      <c r="P1186" s="25">
        <v>0.5</v>
      </c>
      <c r="Q1186" s="25"/>
      <c r="R1186" s="25"/>
      <c r="S1186" s="25">
        <v>0.08</v>
      </c>
      <c r="T1186" s="25"/>
      <c r="U1186" s="31">
        <f t="shared" si="19"/>
        <v>1.33</v>
      </c>
      <c r="V1186" s="25"/>
      <c r="W1186" s="33" t="s">
        <v>251</v>
      </c>
      <c r="X1186" s="33"/>
      <c r="Y1186" s="33"/>
      <c r="Z1186" s="33" t="s">
        <v>2029</v>
      </c>
      <c r="AA1186" s="33"/>
    </row>
    <row r="1187" spans="1:27" s="70" customFormat="1" ht="56.25" x14ac:dyDescent="0.2">
      <c r="A1187" s="24">
        <v>1183</v>
      </c>
      <c r="B1187" s="24" t="s">
        <v>1991</v>
      </c>
      <c r="C1187" s="25" t="s">
        <v>1990</v>
      </c>
      <c r="D1187" s="26" t="s">
        <v>1989</v>
      </c>
      <c r="E1187" s="25" t="s">
        <v>1988</v>
      </c>
      <c r="F1187" s="25" t="s">
        <v>1987</v>
      </c>
      <c r="G1187" s="24"/>
      <c r="H1187" s="25" t="s">
        <v>2004</v>
      </c>
      <c r="I1187" s="27"/>
      <c r="J1187" s="28" t="s">
        <v>2018</v>
      </c>
      <c r="K1187" s="27"/>
      <c r="L1187" s="25" t="s">
        <v>2028</v>
      </c>
      <c r="M1187" s="25" t="s">
        <v>2001</v>
      </c>
      <c r="N1187" s="25">
        <v>12</v>
      </c>
      <c r="O1187" s="25">
        <v>4</v>
      </c>
      <c r="P1187" s="25">
        <v>3.5</v>
      </c>
      <c r="Q1187" s="25"/>
      <c r="R1187" s="25"/>
      <c r="S1187" s="25">
        <v>0.33</v>
      </c>
      <c r="T1187" s="25"/>
      <c r="U1187" s="31">
        <f t="shared" si="19"/>
        <v>7.83</v>
      </c>
      <c r="V1187" s="25"/>
      <c r="W1187" s="33" t="s">
        <v>2005</v>
      </c>
      <c r="X1187" s="33"/>
      <c r="Y1187" s="33"/>
      <c r="Z1187" s="33" t="s">
        <v>2000</v>
      </c>
      <c r="AA1187" s="33"/>
    </row>
    <row r="1188" spans="1:27" s="70" customFormat="1" ht="56.25" x14ac:dyDescent="0.2">
      <c r="A1188" s="24">
        <v>1184</v>
      </c>
      <c r="B1188" s="24" t="s">
        <v>1991</v>
      </c>
      <c r="C1188" s="25" t="s">
        <v>1990</v>
      </c>
      <c r="D1188" s="26" t="s">
        <v>1989</v>
      </c>
      <c r="E1188" s="25" t="s">
        <v>1988</v>
      </c>
      <c r="F1188" s="25" t="s">
        <v>1987</v>
      </c>
      <c r="G1188" s="24"/>
      <c r="H1188" s="25" t="s">
        <v>2004</v>
      </c>
      <c r="I1188" s="27"/>
      <c r="J1188" s="28" t="s">
        <v>2018</v>
      </c>
      <c r="K1188" s="27"/>
      <c r="L1188" s="25" t="s">
        <v>2027</v>
      </c>
      <c r="M1188" s="25" t="s">
        <v>2001</v>
      </c>
      <c r="N1188" s="25">
        <v>30</v>
      </c>
      <c r="O1188" s="25">
        <v>3</v>
      </c>
      <c r="P1188" s="25">
        <v>2.5</v>
      </c>
      <c r="Q1188" s="25"/>
      <c r="R1188" s="25"/>
      <c r="S1188" s="25">
        <v>0.5</v>
      </c>
      <c r="T1188" s="25"/>
      <c r="U1188" s="31">
        <f t="shared" si="19"/>
        <v>6</v>
      </c>
      <c r="V1188" s="25"/>
      <c r="W1188" s="33" t="s">
        <v>2005</v>
      </c>
      <c r="X1188" s="33"/>
      <c r="Y1188" s="33"/>
      <c r="Z1188" s="33" t="s">
        <v>2000</v>
      </c>
      <c r="AA1188" s="33"/>
    </row>
    <row r="1189" spans="1:27" s="70" customFormat="1" ht="56.25" x14ac:dyDescent="0.2">
      <c r="A1189" s="24">
        <v>1185</v>
      </c>
      <c r="B1189" s="24" t="s">
        <v>1991</v>
      </c>
      <c r="C1189" s="25" t="s">
        <v>1990</v>
      </c>
      <c r="D1189" s="26" t="s">
        <v>1989</v>
      </c>
      <c r="E1189" s="25" t="s">
        <v>1988</v>
      </c>
      <c r="F1189" s="25" t="s">
        <v>1987</v>
      </c>
      <c r="G1189" s="24"/>
      <c r="H1189" s="25" t="s">
        <v>2004</v>
      </c>
      <c r="I1189" s="27"/>
      <c r="J1189" s="28" t="s">
        <v>2018</v>
      </c>
      <c r="K1189" s="27"/>
      <c r="L1189" s="25" t="s">
        <v>2026</v>
      </c>
      <c r="M1189" s="25" t="s">
        <v>2001</v>
      </c>
      <c r="N1189" s="25">
        <v>2</v>
      </c>
      <c r="O1189" s="25">
        <v>2</v>
      </c>
      <c r="P1189" s="25">
        <v>1.5</v>
      </c>
      <c r="Q1189" s="25"/>
      <c r="R1189" s="25"/>
      <c r="S1189" s="25">
        <v>0.5</v>
      </c>
      <c r="T1189" s="25"/>
      <c r="U1189" s="31">
        <f t="shared" si="19"/>
        <v>4</v>
      </c>
      <c r="V1189" s="25"/>
      <c r="W1189" s="33" t="s">
        <v>251</v>
      </c>
      <c r="X1189" s="33"/>
      <c r="Y1189" s="33"/>
      <c r="Z1189" s="33" t="s">
        <v>2025</v>
      </c>
      <c r="AA1189" s="33"/>
    </row>
    <row r="1190" spans="1:27" s="70" customFormat="1" ht="56.25" x14ac:dyDescent="0.2">
      <c r="A1190" s="24">
        <v>1186</v>
      </c>
      <c r="B1190" s="24" t="s">
        <v>1991</v>
      </c>
      <c r="C1190" s="25" t="s">
        <v>1990</v>
      </c>
      <c r="D1190" s="26" t="s">
        <v>1989</v>
      </c>
      <c r="E1190" s="25" t="s">
        <v>1988</v>
      </c>
      <c r="F1190" s="25" t="s">
        <v>1987</v>
      </c>
      <c r="G1190" s="24"/>
      <c r="H1190" s="25" t="s">
        <v>2004</v>
      </c>
      <c r="I1190" s="27"/>
      <c r="J1190" s="28" t="s">
        <v>2018</v>
      </c>
      <c r="K1190" s="27"/>
      <c r="L1190" s="25" t="s">
        <v>2024</v>
      </c>
      <c r="M1190" s="25" t="s">
        <v>2001</v>
      </c>
      <c r="N1190" s="25">
        <v>10</v>
      </c>
      <c r="O1190" s="25">
        <v>2</v>
      </c>
      <c r="P1190" s="25">
        <v>1.5</v>
      </c>
      <c r="Q1190" s="25"/>
      <c r="R1190" s="25"/>
      <c r="S1190" s="25">
        <v>0.5</v>
      </c>
      <c r="T1190" s="25"/>
      <c r="U1190" s="31">
        <f t="shared" si="19"/>
        <v>4</v>
      </c>
      <c r="V1190" s="25"/>
      <c r="W1190" s="33" t="s">
        <v>251</v>
      </c>
      <c r="X1190" s="33"/>
      <c r="Y1190" s="33"/>
      <c r="Z1190" s="33" t="s">
        <v>2023</v>
      </c>
      <c r="AA1190" s="33"/>
    </row>
    <row r="1191" spans="1:27" s="70" customFormat="1" ht="56.25" x14ac:dyDescent="0.2">
      <c r="A1191" s="24">
        <v>1187</v>
      </c>
      <c r="B1191" s="24" t="s">
        <v>1991</v>
      </c>
      <c r="C1191" s="25" t="s">
        <v>1990</v>
      </c>
      <c r="D1191" s="26" t="s">
        <v>1989</v>
      </c>
      <c r="E1191" s="25" t="s">
        <v>1988</v>
      </c>
      <c r="F1191" s="25" t="s">
        <v>1987</v>
      </c>
      <c r="G1191" s="24"/>
      <c r="H1191" s="25" t="s">
        <v>2004</v>
      </c>
      <c r="I1191" s="27"/>
      <c r="J1191" s="28" t="s">
        <v>2018</v>
      </c>
      <c r="K1191" s="27"/>
      <c r="L1191" s="25" t="s">
        <v>2022</v>
      </c>
      <c r="M1191" s="25" t="s">
        <v>2001</v>
      </c>
      <c r="N1191" s="25">
        <v>140</v>
      </c>
      <c r="O1191" s="25">
        <v>5</v>
      </c>
      <c r="P1191" s="25">
        <v>4</v>
      </c>
      <c r="Q1191" s="25"/>
      <c r="R1191" s="25"/>
      <c r="S1191" s="25">
        <v>1</v>
      </c>
      <c r="T1191" s="25"/>
      <c r="U1191" s="31">
        <f t="shared" si="19"/>
        <v>10</v>
      </c>
      <c r="V1191" s="25"/>
      <c r="W1191" s="33" t="s">
        <v>2005</v>
      </c>
      <c r="X1191" s="33"/>
      <c r="Y1191" s="33"/>
      <c r="Z1191" s="33" t="s">
        <v>2021</v>
      </c>
      <c r="AA1191" s="33"/>
    </row>
    <row r="1192" spans="1:27" s="70" customFormat="1" ht="135" x14ac:dyDescent="0.2">
      <c r="A1192" s="24">
        <v>1188</v>
      </c>
      <c r="B1192" s="24" t="s">
        <v>1991</v>
      </c>
      <c r="C1192" s="25" t="s">
        <v>1990</v>
      </c>
      <c r="D1192" s="26" t="s">
        <v>1989</v>
      </c>
      <c r="E1192" s="25" t="s">
        <v>1988</v>
      </c>
      <c r="F1192" s="25" t="s">
        <v>1987</v>
      </c>
      <c r="G1192" s="24"/>
      <c r="H1192" s="25" t="s">
        <v>2004</v>
      </c>
      <c r="I1192" s="27"/>
      <c r="J1192" s="28" t="s">
        <v>2018</v>
      </c>
      <c r="K1192" s="27"/>
      <c r="L1192" s="25" t="s">
        <v>2020</v>
      </c>
      <c r="M1192" s="25" t="s">
        <v>2001</v>
      </c>
      <c r="N1192" s="25">
        <v>180</v>
      </c>
      <c r="O1192" s="25">
        <v>16</v>
      </c>
      <c r="P1192" s="25">
        <v>14</v>
      </c>
      <c r="Q1192" s="25"/>
      <c r="R1192" s="25"/>
      <c r="S1192" s="25">
        <v>3</v>
      </c>
      <c r="T1192" s="25"/>
      <c r="U1192" s="31">
        <f t="shared" si="19"/>
        <v>33</v>
      </c>
      <c r="V1192" s="25"/>
      <c r="W1192" s="33" t="s">
        <v>251</v>
      </c>
      <c r="X1192" s="33"/>
      <c r="Y1192" s="33"/>
      <c r="Z1192" s="33" t="s">
        <v>2000</v>
      </c>
      <c r="AA1192" s="33"/>
    </row>
    <row r="1193" spans="1:27" s="70" customFormat="1" ht="56.25" x14ac:dyDescent="0.2">
      <c r="A1193" s="24">
        <v>1189</v>
      </c>
      <c r="B1193" s="24" t="s">
        <v>1991</v>
      </c>
      <c r="C1193" s="25" t="s">
        <v>1990</v>
      </c>
      <c r="D1193" s="26" t="s">
        <v>1989</v>
      </c>
      <c r="E1193" s="25" t="s">
        <v>1988</v>
      </c>
      <c r="F1193" s="25" t="s">
        <v>1987</v>
      </c>
      <c r="G1193" s="24"/>
      <c r="H1193" s="25" t="s">
        <v>2004</v>
      </c>
      <c r="I1193" s="27"/>
      <c r="J1193" s="28" t="s">
        <v>2018</v>
      </c>
      <c r="K1193" s="27"/>
      <c r="L1193" s="25" t="s">
        <v>2019</v>
      </c>
      <c r="M1193" s="25" t="s">
        <v>2001</v>
      </c>
      <c r="N1193" s="25">
        <v>4</v>
      </c>
      <c r="O1193" s="25">
        <v>4</v>
      </c>
      <c r="P1193" s="25">
        <v>3</v>
      </c>
      <c r="Q1193" s="25"/>
      <c r="R1193" s="25"/>
      <c r="S1193" s="25">
        <v>1.5</v>
      </c>
      <c r="T1193" s="25"/>
      <c r="U1193" s="31">
        <f t="shared" si="19"/>
        <v>8.5</v>
      </c>
      <c r="V1193" s="25"/>
      <c r="W1193" s="33" t="s">
        <v>251</v>
      </c>
      <c r="X1193" s="33"/>
      <c r="Y1193" s="33"/>
      <c r="Z1193" s="33" t="s">
        <v>2000</v>
      </c>
      <c r="AA1193" s="33"/>
    </row>
    <row r="1194" spans="1:27" s="70" customFormat="1" ht="56.25" x14ac:dyDescent="0.2">
      <c r="A1194" s="24">
        <v>1190</v>
      </c>
      <c r="B1194" s="24" t="s">
        <v>1991</v>
      </c>
      <c r="C1194" s="25" t="s">
        <v>1990</v>
      </c>
      <c r="D1194" s="26" t="s">
        <v>1989</v>
      </c>
      <c r="E1194" s="25" t="s">
        <v>1988</v>
      </c>
      <c r="F1194" s="25" t="s">
        <v>1987</v>
      </c>
      <c r="G1194" s="24"/>
      <c r="H1194" s="25" t="s">
        <v>2004</v>
      </c>
      <c r="I1194" s="27"/>
      <c r="J1194" s="28" t="s">
        <v>2018</v>
      </c>
      <c r="K1194" s="27"/>
      <c r="L1194" s="25" t="s">
        <v>2017</v>
      </c>
      <c r="M1194" s="25" t="s">
        <v>265</v>
      </c>
      <c r="N1194" s="25">
        <v>288</v>
      </c>
      <c r="O1194" s="25">
        <v>2</v>
      </c>
      <c r="P1194" s="25">
        <v>1.75</v>
      </c>
      <c r="Q1194" s="25"/>
      <c r="R1194" s="25"/>
      <c r="S1194" s="25">
        <v>0.5</v>
      </c>
      <c r="T1194" s="25"/>
      <c r="U1194" s="31">
        <f t="shared" si="19"/>
        <v>4.25</v>
      </c>
      <c r="V1194" s="25"/>
      <c r="W1194" s="33" t="s">
        <v>251</v>
      </c>
      <c r="X1194" s="33"/>
      <c r="Y1194" s="33"/>
      <c r="Z1194" s="33" t="s">
        <v>2016</v>
      </c>
      <c r="AA1194" s="33"/>
    </row>
    <row r="1195" spans="1:27" s="70" customFormat="1" ht="123.75" x14ac:dyDescent="0.2">
      <c r="A1195" s="24">
        <v>1191</v>
      </c>
      <c r="B1195" s="24" t="s">
        <v>1991</v>
      </c>
      <c r="C1195" s="25" t="s">
        <v>1990</v>
      </c>
      <c r="D1195" s="26" t="s">
        <v>1989</v>
      </c>
      <c r="E1195" s="25" t="s">
        <v>1988</v>
      </c>
      <c r="F1195" s="25" t="s">
        <v>1987</v>
      </c>
      <c r="G1195" s="24"/>
      <c r="H1195" s="25" t="s">
        <v>2004</v>
      </c>
      <c r="I1195" s="27"/>
      <c r="J1195" s="28" t="s">
        <v>2015</v>
      </c>
      <c r="K1195" s="27"/>
      <c r="L1195" s="25" t="s">
        <v>2014</v>
      </c>
      <c r="M1195" s="25" t="s">
        <v>475</v>
      </c>
      <c r="N1195" s="25">
        <v>96</v>
      </c>
      <c r="O1195" s="25">
        <v>1.5</v>
      </c>
      <c r="P1195" s="25">
        <v>1.2</v>
      </c>
      <c r="Q1195" s="25"/>
      <c r="R1195" s="25"/>
      <c r="S1195" s="25">
        <v>0.33</v>
      </c>
      <c r="T1195" s="25"/>
      <c r="U1195" s="31">
        <f t="shared" si="19"/>
        <v>3.0300000000000002</v>
      </c>
      <c r="V1195" s="25"/>
      <c r="W1195" s="33" t="s">
        <v>251</v>
      </c>
      <c r="X1195" s="33" t="s">
        <v>2013</v>
      </c>
      <c r="Y1195" s="33" t="s">
        <v>2012</v>
      </c>
      <c r="Z1195" s="33" t="s">
        <v>2011</v>
      </c>
      <c r="AA1195" s="33"/>
    </row>
    <row r="1196" spans="1:27" s="70" customFormat="1" ht="56.25" x14ac:dyDescent="0.2">
      <c r="A1196" s="24">
        <v>1192</v>
      </c>
      <c r="B1196" s="24" t="s">
        <v>1991</v>
      </c>
      <c r="C1196" s="25" t="s">
        <v>1990</v>
      </c>
      <c r="D1196" s="26" t="s">
        <v>1989</v>
      </c>
      <c r="E1196" s="25" t="s">
        <v>1988</v>
      </c>
      <c r="F1196" s="25" t="s">
        <v>1987</v>
      </c>
      <c r="G1196" s="24"/>
      <c r="H1196" s="25" t="s">
        <v>2004</v>
      </c>
      <c r="I1196" s="27"/>
      <c r="J1196" s="28" t="s">
        <v>2010</v>
      </c>
      <c r="K1196" s="27"/>
      <c r="L1196" s="25"/>
      <c r="M1196" s="25"/>
      <c r="N1196" s="25"/>
      <c r="O1196" s="25"/>
      <c r="P1196" s="25"/>
      <c r="Q1196" s="25"/>
      <c r="R1196" s="25"/>
      <c r="S1196" s="25"/>
      <c r="T1196" s="25"/>
      <c r="U1196" s="31">
        <f t="shared" si="19"/>
        <v>0</v>
      </c>
      <c r="V1196" s="25"/>
      <c r="W1196" s="33"/>
      <c r="X1196" s="33"/>
      <c r="Y1196" s="33"/>
      <c r="Z1196" s="33"/>
      <c r="AA1196" s="33"/>
    </row>
    <row r="1197" spans="1:27" s="70" customFormat="1" ht="56.25" x14ac:dyDescent="0.2">
      <c r="A1197" s="24">
        <v>1193</v>
      </c>
      <c r="B1197" s="24" t="s">
        <v>1991</v>
      </c>
      <c r="C1197" s="25" t="s">
        <v>1990</v>
      </c>
      <c r="D1197" s="26" t="s">
        <v>1989</v>
      </c>
      <c r="E1197" s="25" t="s">
        <v>1988</v>
      </c>
      <c r="F1197" s="25" t="s">
        <v>1987</v>
      </c>
      <c r="G1197" s="24"/>
      <c r="H1197" s="25" t="s">
        <v>2004</v>
      </c>
      <c r="I1197" s="27"/>
      <c r="J1197" s="28" t="s">
        <v>2009</v>
      </c>
      <c r="K1197" s="27"/>
      <c r="L1197" s="25"/>
      <c r="M1197" s="25"/>
      <c r="N1197" s="25"/>
      <c r="O1197" s="25"/>
      <c r="P1197" s="25"/>
      <c r="Q1197" s="25"/>
      <c r="R1197" s="25"/>
      <c r="S1197" s="25"/>
      <c r="T1197" s="25"/>
      <c r="U1197" s="31">
        <f t="shared" si="19"/>
        <v>0</v>
      </c>
      <c r="V1197" s="25"/>
      <c r="W1197" s="33"/>
      <c r="X1197" s="33"/>
      <c r="Y1197" s="33"/>
      <c r="Z1197" s="33"/>
      <c r="AA1197" s="33"/>
    </row>
    <row r="1198" spans="1:27" s="70" customFormat="1" ht="56.25" x14ac:dyDescent="0.2">
      <c r="A1198" s="24">
        <v>1194</v>
      </c>
      <c r="B1198" s="24" t="s">
        <v>1991</v>
      </c>
      <c r="C1198" s="25" t="s">
        <v>1990</v>
      </c>
      <c r="D1198" s="26" t="s">
        <v>1989</v>
      </c>
      <c r="E1198" s="25" t="s">
        <v>1988</v>
      </c>
      <c r="F1198" s="25" t="s">
        <v>1987</v>
      </c>
      <c r="G1198" s="24"/>
      <c r="H1198" s="25" t="s">
        <v>2004</v>
      </c>
      <c r="I1198" s="27"/>
      <c r="J1198" s="28" t="s">
        <v>2008</v>
      </c>
      <c r="K1198" s="27"/>
      <c r="L1198" s="25"/>
      <c r="M1198" s="25"/>
      <c r="N1198" s="25"/>
      <c r="O1198" s="25"/>
      <c r="P1198" s="25"/>
      <c r="Q1198" s="25"/>
      <c r="R1198" s="25"/>
      <c r="S1198" s="25"/>
      <c r="T1198" s="25"/>
      <c r="U1198" s="31">
        <f t="shared" si="19"/>
        <v>0</v>
      </c>
      <c r="V1198" s="25"/>
      <c r="W1198" s="33"/>
      <c r="X1198" s="33"/>
      <c r="Y1198" s="33"/>
      <c r="Z1198" s="33"/>
      <c r="AA1198" s="33"/>
    </row>
    <row r="1199" spans="1:27" s="70" customFormat="1" ht="56.25" x14ac:dyDescent="0.2">
      <c r="A1199" s="24">
        <v>1195</v>
      </c>
      <c r="B1199" s="24" t="s">
        <v>1991</v>
      </c>
      <c r="C1199" s="25" t="s">
        <v>1990</v>
      </c>
      <c r="D1199" s="26" t="s">
        <v>1989</v>
      </c>
      <c r="E1199" s="25" t="s">
        <v>1988</v>
      </c>
      <c r="F1199" s="25" t="s">
        <v>1987</v>
      </c>
      <c r="G1199" s="24"/>
      <c r="H1199" s="25" t="s">
        <v>2004</v>
      </c>
      <c r="I1199" s="27"/>
      <c r="J1199" s="28" t="s">
        <v>2003</v>
      </c>
      <c r="K1199" s="27"/>
      <c r="L1199" s="25" t="s">
        <v>2007</v>
      </c>
      <c r="M1199" s="25" t="s">
        <v>2001</v>
      </c>
      <c r="N1199" s="25">
        <v>2</v>
      </c>
      <c r="O1199" s="25">
        <v>24</v>
      </c>
      <c r="P1199" s="25">
        <v>21</v>
      </c>
      <c r="Q1199" s="25"/>
      <c r="R1199" s="25"/>
      <c r="S1199" s="25">
        <v>2</v>
      </c>
      <c r="T1199" s="25"/>
      <c r="U1199" s="31">
        <f t="shared" si="19"/>
        <v>47</v>
      </c>
      <c r="V1199" s="25"/>
      <c r="W1199" s="33" t="s">
        <v>251</v>
      </c>
      <c r="X1199" s="33"/>
      <c r="Y1199" s="33"/>
      <c r="Z1199" s="33" t="s">
        <v>2000</v>
      </c>
      <c r="AA1199" s="33"/>
    </row>
    <row r="1200" spans="1:27" s="70" customFormat="1" ht="56.25" x14ac:dyDescent="0.2">
      <c r="A1200" s="24">
        <v>1196</v>
      </c>
      <c r="B1200" s="24" t="s">
        <v>1991</v>
      </c>
      <c r="C1200" s="25" t="s">
        <v>1990</v>
      </c>
      <c r="D1200" s="26" t="s">
        <v>1989</v>
      </c>
      <c r="E1200" s="25" t="s">
        <v>1988</v>
      </c>
      <c r="F1200" s="25" t="s">
        <v>1987</v>
      </c>
      <c r="G1200" s="24"/>
      <c r="H1200" s="25" t="s">
        <v>2004</v>
      </c>
      <c r="I1200" s="27"/>
      <c r="J1200" s="28" t="s">
        <v>2003</v>
      </c>
      <c r="K1200" s="27"/>
      <c r="L1200" s="25" t="s">
        <v>2006</v>
      </c>
      <c r="M1200" s="25" t="s">
        <v>2001</v>
      </c>
      <c r="N1200" s="25">
        <v>65</v>
      </c>
      <c r="O1200" s="25">
        <v>3</v>
      </c>
      <c r="P1200" s="25">
        <v>2.5</v>
      </c>
      <c r="Q1200" s="25"/>
      <c r="R1200" s="25"/>
      <c r="S1200" s="25">
        <v>0.5</v>
      </c>
      <c r="T1200" s="25"/>
      <c r="U1200" s="31">
        <f t="shared" si="19"/>
        <v>6</v>
      </c>
      <c r="V1200" s="25"/>
      <c r="W1200" s="33" t="s">
        <v>2005</v>
      </c>
      <c r="X1200" s="33"/>
      <c r="Y1200" s="33"/>
      <c r="Z1200" s="33" t="s">
        <v>2000</v>
      </c>
      <c r="AA1200" s="33"/>
    </row>
    <row r="1201" spans="1:27" s="70" customFormat="1" ht="56.25" x14ac:dyDescent="0.2">
      <c r="A1201" s="24">
        <v>1197</v>
      </c>
      <c r="B1201" s="24" t="s">
        <v>1991</v>
      </c>
      <c r="C1201" s="25" t="s">
        <v>1990</v>
      </c>
      <c r="D1201" s="26" t="s">
        <v>1989</v>
      </c>
      <c r="E1201" s="25" t="s">
        <v>1988</v>
      </c>
      <c r="F1201" s="25" t="s">
        <v>1987</v>
      </c>
      <c r="G1201" s="24"/>
      <c r="H1201" s="25" t="s">
        <v>2004</v>
      </c>
      <c r="I1201" s="27"/>
      <c r="J1201" s="28" t="s">
        <v>2003</v>
      </c>
      <c r="K1201" s="27"/>
      <c r="L1201" s="25" t="s">
        <v>2002</v>
      </c>
      <c r="M1201" s="25" t="s">
        <v>2001</v>
      </c>
      <c r="N1201" s="25">
        <v>232</v>
      </c>
      <c r="O1201" s="25">
        <v>2</v>
      </c>
      <c r="P1201" s="25">
        <v>1.75</v>
      </c>
      <c r="Q1201" s="25"/>
      <c r="R1201" s="25"/>
      <c r="S1201" s="25">
        <v>0.5</v>
      </c>
      <c r="T1201" s="25"/>
      <c r="U1201" s="31">
        <f t="shared" si="19"/>
        <v>4.25</v>
      </c>
      <c r="V1201" s="25"/>
      <c r="W1201" s="33" t="s">
        <v>251</v>
      </c>
      <c r="X1201" s="33"/>
      <c r="Y1201" s="33"/>
      <c r="Z1201" s="33" t="s">
        <v>2000</v>
      </c>
      <c r="AA1201" s="33"/>
    </row>
    <row r="1202" spans="1:27" s="70" customFormat="1" ht="45" x14ac:dyDescent="0.2">
      <c r="A1202" s="24">
        <v>1198</v>
      </c>
      <c r="B1202" s="24" t="s">
        <v>1991</v>
      </c>
      <c r="C1202" s="25" t="s">
        <v>1990</v>
      </c>
      <c r="D1202" s="26" t="s">
        <v>1989</v>
      </c>
      <c r="E1202" s="25" t="s">
        <v>1988</v>
      </c>
      <c r="F1202" s="25" t="s">
        <v>1987</v>
      </c>
      <c r="G1202" s="24"/>
      <c r="H1202" s="25" t="s">
        <v>1998</v>
      </c>
      <c r="I1202" s="27"/>
      <c r="J1202" s="28" t="s">
        <v>1999</v>
      </c>
      <c r="K1202" s="27"/>
      <c r="L1202" s="25"/>
      <c r="M1202" s="25"/>
      <c r="N1202" s="25"/>
      <c r="O1202" s="25"/>
      <c r="P1202" s="25"/>
      <c r="Q1202" s="25"/>
      <c r="R1202" s="25"/>
      <c r="S1202" s="25"/>
      <c r="T1202" s="25"/>
      <c r="U1202" s="31">
        <f t="shared" si="19"/>
        <v>0</v>
      </c>
      <c r="V1202" s="25"/>
      <c r="W1202" s="33"/>
      <c r="X1202" s="33"/>
      <c r="Y1202" s="33"/>
      <c r="Z1202" s="33"/>
      <c r="AA1202" s="33"/>
    </row>
    <row r="1203" spans="1:27" s="70" customFormat="1" ht="33.75" x14ac:dyDescent="0.2">
      <c r="A1203" s="24">
        <v>1199</v>
      </c>
      <c r="B1203" s="24" t="s">
        <v>1991</v>
      </c>
      <c r="C1203" s="25" t="s">
        <v>1990</v>
      </c>
      <c r="D1203" s="26" t="s">
        <v>1989</v>
      </c>
      <c r="E1203" s="25" t="s">
        <v>1988</v>
      </c>
      <c r="F1203" s="25" t="s">
        <v>1987</v>
      </c>
      <c r="G1203" s="24"/>
      <c r="H1203" s="25" t="s">
        <v>1998</v>
      </c>
      <c r="I1203" s="27"/>
      <c r="J1203" s="28" t="s">
        <v>1997</v>
      </c>
      <c r="K1203" s="27"/>
      <c r="L1203" s="25"/>
      <c r="M1203" s="25"/>
      <c r="N1203" s="25"/>
      <c r="O1203" s="25"/>
      <c r="P1203" s="25"/>
      <c r="Q1203" s="25"/>
      <c r="R1203" s="25"/>
      <c r="S1203" s="25"/>
      <c r="T1203" s="25"/>
      <c r="U1203" s="31">
        <f t="shared" si="19"/>
        <v>0</v>
      </c>
      <c r="V1203" s="25"/>
      <c r="W1203" s="33"/>
      <c r="X1203" s="33"/>
      <c r="Y1203" s="33"/>
      <c r="Z1203" s="33"/>
      <c r="AA1203" s="33"/>
    </row>
    <row r="1204" spans="1:27" s="70" customFormat="1" ht="33.75" x14ac:dyDescent="0.2">
      <c r="A1204" s="24">
        <v>1200</v>
      </c>
      <c r="B1204" s="24" t="s">
        <v>1991</v>
      </c>
      <c r="C1204" s="25" t="s">
        <v>1990</v>
      </c>
      <c r="D1204" s="26" t="s">
        <v>1989</v>
      </c>
      <c r="E1204" s="25" t="s">
        <v>1988</v>
      </c>
      <c r="F1204" s="25" t="s">
        <v>1987</v>
      </c>
      <c r="G1204" s="24"/>
      <c r="H1204" s="25" t="s">
        <v>1993</v>
      </c>
      <c r="I1204" s="27"/>
      <c r="J1204" s="28" t="s">
        <v>1996</v>
      </c>
      <c r="K1204" s="27"/>
      <c r="L1204" s="25"/>
      <c r="M1204" s="25"/>
      <c r="N1204" s="25"/>
      <c r="O1204" s="25"/>
      <c r="P1204" s="25"/>
      <c r="Q1204" s="25"/>
      <c r="R1204" s="25"/>
      <c r="S1204" s="25"/>
      <c r="T1204" s="25"/>
      <c r="U1204" s="31">
        <f t="shared" si="19"/>
        <v>0</v>
      </c>
      <c r="V1204" s="25"/>
      <c r="W1204" s="33"/>
      <c r="X1204" s="33"/>
      <c r="Y1204" s="33"/>
      <c r="Z1204" s="33"/>
      <c r="AA1204" s="33"/>
    </row>
    <row r="1205" spans="1:27" s="70" customFormat="1" ht="33.75" x14ac:dyDescent="0.2">
      <c r="A1205" s="24">
        <v>1201</v>
      </c>
      <c r="B1205" s="24" t="s">
        <v>1991</v>
      </c>
      <c r="C1205" s="25" t="s">
        <v>1990</v>
      </c>
      <c r="D1205" s="26" t="s">
        <v>1989</v>
      </c>
      <c r="E1205" s="25" t="s">
        <v>1988</v>
      </c>
      <c r="F1205" s="25" t="s">
        <v>1987</v>
      </c>
      <c r="G1205" s="24"/>
      <c r="H1205" s="25" t="s">
        <v>1993</v>
      </c>
      <c r="I1205" s="27"/>
      <c r="J1205" s="28" t="s">
        <v>1995</v>
      </c>
      <c r="K1205" s="27"/>
      <c r="L1205" s="25"/>
      <c r="M1205" s="25"/>
      <c r="N1205" s="25"/>
      <c r="O1205" s="25"/>
      <c r="P1205" s="25"/>
      <c r="Q1205" s="25"/>
      <c r="R1205" s="25"/>
      <c r="S1205" s="25"/>
      <c r="T1205" s="25"/>
      <c r="U1205" s="31">
        <f t="shared" si="19"/>
        <v>0</v>
      </c>
      <c r="V1205" s="25"/>
      <c r="W1205" s="33"/>
      <c r="X1205" s="33"/>
      <c r="Y1205" s="33"/>
      <c r="Z1205" s="33"/>
      <c r="AA1205" s="33"/>
    </row>
    <row r="1206" spans="1:27" s="70" customFormat="1" ht="45" x14ac:dyDescent="0.2">
      <c r="A1206" s="24">
        <v>1202</v>
      </c>
      <c r="B1206" s="24" t="s">
        <v>1991</v>
      </c>
      <c r="C1206" s="25" t="s">
        <v>1990</v>
      </c>
      <c r="D1206" s="26" t="s">
        <v>1989</v>
      </c>
      <c r="E1206" s="25" t="s">
        <v>1988</v>
      </c>
      <c r="F1206" s="25" t="s">
        <v>1987</v>
      </c>
      <c r="G1206" s="24"/>
      <c r="H1206" s="25" t="s">
        <v>1993</v>
      </c>
      <c r="I1206" s="27"/>
      <c r="J1206" s="28" t="s">
        <v>1994</v>
      </c>
      <c r="K1206" s="27"/>
      <c r="L1206" s="25"/>
      <c r="M1206" s="25"/>
      <c r="N1206" s="25"/>
      <c r="O1206" s="25"/>
      <c r="P1206" s="25"/>
      <c r="Q1206" s="25"/>
      <c r="R1206" s="25"/>
      <c r="S1206" s="25"/>
      <c r="T1206" s="25"/>
      <c r="U1206" s="31">
        <f t="shared" si="19"/>
        <v>0</v>
      </c>
      <c r="V1206" s="25"/>
      <c r="W1206" s="33"/>
      <c r="X1206" s="33"/>
      <c r="Y1206" s="33"/>
      <c r="Z1206" s="33"/>
      <c r="AA1206" s="33"/>
    </row>
    <row r="1207" spans="1:27" s="70" customFormat="1" ht="33.75" x14ac:dyDescent="0.2">
      <c r="A1207" s="24">
        <v>1203</v>
      </c>
      <c r="B1207" s="24" t="s">
        <v>1991</v>
      </c>
      <c r="C1207" s="25" t="s">
        <v>1990</v>
      </c>
      <c r="D1207" s="26" t="s">
        <v>1989</v>
      </c>
      <c r="E1207" s="25" t="s">
        <v>1988</v>
      </c>
      <c r="F1207" s="25" t="s">
        <v>1987</v>
      </c>
      <c r="G1207" s="24"/>
      <c r="H1207" s="25" t="s">
        <v>1993</v>
      </c>
      <c r="I1207" s="27"/>
      <c r="J1207" s="28" t="s">
        <v>1992</v>
      </c>
      <c r="K1207" s="27"/>
      <c r="L1207" s="25"/>
      <c r="M1207" s="25"/>
      <c r="N1207" s="25"/>
      <c r="O1207" s="25"/>
      <c r="P1207" s="25"/>
      <c r="Q1207" s="25"/>
      <c r="R1207" s="25"/>
      <c r="S1207" s="25"/>
      <c r="T1207" s="25"/>
      <c r="U1207" s="31">
        <f t="shared" si="19"/>
        <v>0</v>
      </c>
      <c r="V1207" s="25"/>
      <c r="W1207" s="33"/>
      <c r="X1207" s="33"/>
      <c r="Y1207" s="33"/>
      <c r="Z1207" s="33"/>
      <c r="AA1207" s="33"/>
    </row>
    <row r="1208" spans="1:27" s="70" customFormat="1" ht="22.5" x14ac:dyDescent="0.2">
      <c r="A1208" s="24">
        <v>1204</v>
      </c>
      <c r="B1208" s="24" t="s">
        <v>1991</v>
      </c>
      <c r="C1208" s="25" t="s">
        <v>1990</v>
      </c>
      <c r="D1208" s="26" t="s">
        <v>1989</v>
      </c>
      <c r="E1208" s="25" t="s">
        <v>1988</v>
      </c>
      <c r="F1208" s="25" t="s">
        <v>1987</v>
      </c>
      <c r="G1208" s="24"/>
      <c r="H1208" s="25" t="s">
        <v>1986</v>
      </c>
      <c r="I1208" s="27"/>
      <c r="J1208" s="25" t="s">
        <v>1986</v>
      </c>
      <c r="K1208" s="27"/>
      <c r="L1208" s="25"/>
      <c r="M1208" s="25"/>
      <c r="N1208" s="25"/>
      <c r="O1208" s="25"/>
      <c r="P1208" s="25"/>
      <c r="Q1208" s="25"/>
      <c r="R1208" s="25"/>
      <c r="S1208" s="25"/>
      <c r="T1208" s="25"/>
      <c r="U1208" s="31">
        <f t="shared" si="19"/>
        <v>0</v>
      </c>
      <c r="V1208" s="25"/>
      <c r="W1208" s="33"/>
      <c r="X1208" s="33"/>
      <c r="Y1208" s="33"/>
      <c r="Z1208" s="33"/>
      <c r="AA1208" s="33"/>
    </row>
    <row r="1209" spans="1:27" s="70" customFormat="1" ht="33.75" x14ac:dyDescent="0.2">
      <c r="A1209" s="24">
        <v>1205</v>
      </c>
      <c r="B1209" s="27" t="s">
        <v>1552</v>
      </c>
      <c r="C1209" s="28" t="s">
        <v>1551</v>
      </c>
      <c r="D1209" s="71" t="s">
        <v>1795</v>
      </c>
      <c r="E1209" s="28" t="s">
        <v>1794</v>
      </c>
      <c r="F1209" s="28" t="s">
        <v>1793</v>
      </c>
      <c r="G1209" s="27"/>
      <c r="H1209" s="28" t="s">
        <v>1975</v>
      </c>
      <c r="I1209" s="27"/>
      <c r="J1209" s="28" t="s">
        <v>1983</v>
      </c>
      <c r="K1209" s="27"/>
      <c r="L1209" s="25" t="s">
        <v>1985</v>
      </c>
      <c r="M1209" s="25" t="s">
        <v>1849</v>
      </c>
      <c r="N1209" s="25">
        <v>1</v>
      </c>
      <c r="O1209" s="25"/>
      <c r="P1209" s="25"/>
      <c r="Q1209" s="25">
        <v>24</v>
      </c>
      <c r="R1209" s="25"/>
      <c r="S1209" s="25"/>
      <c r="T1209" s="25">
        <v>1</v>
      </c>
      <c r="U1209" s="31">
        <f t="shared" si="19"/>
        <v>25</v>
      </c>
      <c r="V1209" s="25"/>
      <c r="W1209" s="33" t="s">
        <v>22</v>
      </c>
      <c r="X1209" s="33" t="s">
        <v>1789</v>
      </c>
      <c r="Y1209" s="33" t="s">
        <v>1788</v>
      </c>
      <c r="Z1209" s="33" t="s">
        <v>1787</v>
      </c>
      <c r="AA1209" s="33"/>
    </row>
    <row r="1210" spans="1:27" s="70" customFormat="1" ht="33.75" x14ac:dyDescent="0.2">
      <c r="A1210" s="24">
        <v>1206</v>
      </c>
      <c r="B1210" s="27" t="s">
        <v>1552</v>
      </c>
      <c r="C1210" s="28" t="s">
        <v>1551</v>
      </c>
      <c r="D1210" s="71" t="s">
        <v>1795</v>
      </c>
      <c r="E1210" s="28" t="s">
        <v>1794</v>
      </c>
      <c r="F1210" s="28" t="s">
        <v>1793</v>
      </c>
      <c r="G1210" s="27"/>
      <c r="H1210" s="28" t="s">
        <v>1975</v>
      </c>
      <c r="I1210" s="27"/>
      <c r="J1210" s="28" t="s">
        <v>1983</v>
      </c>
      <c r="K1210" s="27"/>
      <c r="L1210" s="25" t="s">
        <v>1984</v>
      </c>
      <c r="M1210" s="25" t="s">
        <v>1849</v>
      </c>
      <c r="N1210" s="25">
        <v>1</v>
      </c>
      <c r="O1210" s="25"/>
      <c r="P1210" s="25"/>
      <c r="Q1210" s="25">
        <v>24</v>
      </c>
      <c r="R1210" s="25"/>
      <c r="S1210" s="25"/>
      <c r="T1210" s="25">
        <v>1</v>
      </c>
      <c r="U1210" s="31">
        <f t="shared" si="19"/>
        <v>25</v>
      </c>
      <c r="V1210" s="25"/>
      <c r="W1210" s="33" t="s">
        <v>22</v>
      </c>
      <c r="X1210" s="33" t="s">
        <v>1789</v>
      </c>
      <c r="Y1210" s="33" t="s">
        <v>1788</v>
      </c>
      <c r="Z1210" s="33" t="s">
        <v>1787</v>
      </c>
      <c r="AA1210" s="33"/>
    </row>
    <row r="1211" spans="1:27" s="70" customFormat="1" ht="33.75" x14ac:dyDescent="0.2">
      <c r="A1211" s="24">
        <v>1207</v>
      </c>
      <c r="B1211" s="27" t="s">
        <v>1552</v>
      </c>
      <c r="C1211" s="28" t="s">
        <v>1551</v>
      </c>
      <c r="D1211" s="71" t="s">
        <v>1795</v>
      </c>
      <c r="E1211" s="28" t="s">
        <v>1794</v>
      </c>
      <c r="F1211" s="28" t="s">
        <v>1793</v>
      </c>
      <c r="G1211" s="27"/>
      <c r="H1211" s="28" t="s">
        <v>1975</v>
      </c>
      <c r="I1211" s="27"/>
      <c r="J1211" s="28" t="s">
        <v>1983</v>
      </c>
      <c r="K1211" s="27"/>
      <c r="L1211" s="25" t="s">
        <v>1982</v>
      </c>
      <c r="M1211" s="25" t="s">
        <v>1849</v>
      </c>
      <c r="N1211" s="25">
        <v>1</v>
      </c>
      <c r="O1211" s="25"/>
      <c r="P1211" s="25"/>
      <c r="Q1211" s="25">
        <v>24</v>
      </c>
      <c r="R1211" s="25"/>
      <c r="S1211" s="25"/>
      <c r="T1211" s="25">
        <v>1</v>
      </c>
      <c r="U1211" s="31">
        <f t="shared" si="19"/>
        <v>25</v>
      </c>
      <c r="V1211" s="25"/>
      <c r="W1211" s="33" t="s">
        <v>22</v>
      </c>
      <c r="X1211" s="33" t="s">
        <v>1789</v>
      </c>
      <c r="Y1211" s="33" t="s">
        <v>1788</v>
      </c>
      <c r="Z1211" s="33" t="s">
        <v>1787</v>
      </c>
      <c r="AA1211" s="33"/>
    </row>
    <row r="1212" spans="1:27" s="70" customFormat="1" ht="33.75" x14ac:dyDescent="0.2">
      <c r="A1212" s="24">
        <v>1208</v>
      </c>
      <c r="B1212" s="27" t="s">
        <v>1552</v>
      </c>
      <c r="C1212" s="28" t="s">
        <v>1551</v>
      </c>
      <c r="D1212" s="71" t="s">
        <v>1795</v>
      </c>
      <c r="E1212" s="28" t="s">
        <v>1794</v>
      </c>
      <c r="F1212" s="28" t="s">
        <v>1793</v>
      </c>
      <c r="G1212" s="27"/>
      <c r="H1212" s="28" t="s">
        <v>1975</v>
      </c>
      <c r="I1212" s="27"/>
      <c r="J1212" s="28" t="s">
        <v>1974</v>
      </c>
      <c r="K1212" s="27"/>
      <c r="L1212" s="25" t="s">
        <v>1981</v>
      </c>
      <c r="M1212" s="25" t="s">
        <v>190</v>
      </c>
      <c r="N1212" s="25">
        <v>4</v>
      </c>
      <c r="O1212" s="25"/>
      <c r="P1212" s="25"/>
      <c r="Q1212" s="25">
        <v>8</v>
      </c>
      <c r="R1212" s="25"/>
      <c r="S1212" s="25"/>
      <c r="T1212" s="25">
        <v>1</v>
      </c>
      <c r="U1212" s="31">
        <f t="shared" si="19"/>
        <v>9</v>
      </c>
      <c r="V1212" s="25"/>
      <c r="W1212" s="33" t="s">
        <v>22</v>
      </c>
      <c r="X1212" s="33" t="s">
        <v>1789</v>
      </c>
      <c r="Y1212" s="33" t="s">
        <v>1788</v>
      </c>
      <c r="Z1212" s="33" t="s">
        <v>1787</v>
      </c>
      <c r="AA1212" s="33"/>
    </row>
    <row r="1213" spans="1:27" s="70" customFormat="1" ht="33.75" x14ac:dyDescent="0.2">
      <c r="A1213" s="24">
        <v>1209</v>
      </c>
      <c r="B1213" s="27" t="s">
        <v>1552</v>
      </c>
      <c r="C1213" s="28" t="s">
        <v>1551</v>
      </c>
      <c r="D1213" s="71" t="s">
        <v>1795</v>
      </c>
      <c r="E1213" s="28" t="s">
        <v>1794</v>
      </c>
      <c r="F1213" s="28" t="s">
        <v>1793</v>
      </c>
      <c r="G1213" s="27"/>
      <c r="H1213" s="28" t="s">
        <v>1975</v>
      </c>
      <c r="I1213" s="27"/>
      <c r="J1213" s="28" t="s">
        <v>1974</v>
      </c>
      <c r="K1213" s="27"/>
      <c r="L1213" s="25" t="s">
        <v>1980</v>
      </c>
      <c r="M1213" s="25" t="s">
        <v>1720</v>
      </c>
      <c r="N1213" s="25">
        <v>1</v>
      </c>
      <c r="O1213" s="25"/>
      <c r="P1213" s="25"/>
      <c r="Q1213" s="25">
        <v>120</v>
      </c>
      <c r="R1213" s="25"/>
      <c r="S1213" s="25"/>
      <c r="T1213" s="25">
        <v>16</v>
      </c>
      <c r="U1213" s="31">
        <f t="shared" si="19"/>
        <v>136</v>
      </c>
      <c r="V1213" s="25"/>
      <c r="W1213" s="33" t="s">
        <v>22</v>
      </c>
      <c r="X1213" s="33" t="s">
        <v>1789</v>
      </c>
      <c r="Y1213" s="33" t="s">
        <v>1788</v>
      </c>
      <c r="Z1213" s="33" t="s">
        <v>1787</v>
      </c>
      <c r="AA1213" s="33"/>
    </row>
    <row r="1214" spans="1:27" s="70" customFormat="1" ht="33.75" x14ac:dyDescent="0.2">
      <c r="A1214" s="24">
        <v>1210</v>
      </c>
      <c r="B1214" s="27" t="s">
        <v>1552</v>
      </c>
      <c r="C1214" s="28" t="s">
        <v>1551</v>
      </c>
      <c r="D1214" s="71" t="s">
        <v>1795</v>
      </c>
      <c r="E1214" s="28" t="s">
        <v>1794</v>
      </c>
      <c r="F1214" s="28" t="s">
        <v>1793</v>
      </c>
      <c r="G1214" s="27"/>
      <c r="H1214" s="28" t="s">
        <v>1975</v>
      </c>
      <c r="I1214" s="27"/>
      <c r="J1214" s="28" t="s">
        <v>1974</v>
      </c>
      <c r="K1214" s="27"/>
      <c r="L1214" s="25" t="s">
        <v>1979</v>
      </c>
      <c r="M1214" s="25" t="s">
        <v>1849</v>
      </c>
      <c r="N1214" s="25">
        <v>1</v>
      </c>
      <c r="O1214" s="25"/>
      <c r="P1214" s="25"/>
      <c r="Q1214" s="25">
        <v>24</v>
      </c>
      <c r="R1214" s="25"/>
      <c r="S1214" s="25"/>
      <c r="T1214" s="25">
        <v>1</v>
      </c>
      <c r="U1214" s="31">
        <f t="shared" si="19"/>
        <v>25</v>
      </c>
      <c r="V1214" s="25"/>
      <c r="W1214" s="33" t="s">
        <v>22</v>
      </c>
      <c r="X1214" s="33" t="s">
        <v>1789</v>
      </c>
      <c r="Y1214" s="33" t="s">
        <v>1788</v>
      </c>
      <c r="Z1214" s="33" t="s">
        <v>1787</v>
      </c>
      <c r="AA1214" s="33"/>
    </row>
    <row r="1215" spans="1:27" s="70" customFormat="1" ht="33.75" x14ac:dyDescent="0.2">
      <c r="A1215" s="24">
        <v>1211</v>
      </c>
      <c r="B1215" s="27" t="s">
        <v>1552</v>
      </c>
      <c r="C1215" s="28" t="s">
        <v>1551</v>
      </c>
      <c r="D1215" s="71" t="s">
        <v>1795</v>
      </c>
      <c r="E1215" s="28" t="s">
        <v>1794</v>
      </c>
      <c r="F1215" s="28" t="s">
        <v>1793</v>
      </c>
      <c r="G1215" s="27"/>
      <c r="H1215" s="28" t="s">
        <v>1975</v>
      </c>
      <c r="I1215" s="27"/>
      <c r="J1215" s="28" t="s">
        <v>1974</v>
      </c>
      <c r="K1215" s="27"/>
      <c r="L1215" s="25" t="s">
        <v>1978</v>
      </c>
      <c r="M1215" s="25" t="s">
        <v>1849</v>
      </c>
      <c r="N1215" s="25">
        <v>1</v>
      </c>
      <c r="O1215" s="25"/>
      <c r="P1215" s="25"/>
      <c r="Q1215" s="25">
        <v>24</v>
      </c>
      <c r="R1215" s="25"/>
      <c r="S1215" s="25"/>
      <c r="T1215" s="25">
        <v>1</v>
      </c>
      <c r="U1215" s="31">
        <f t="shared" si="19"/>
        <v>25</v>
      </c>
      <c r="V1215" s="25"/>
      <c r="W1215" s="33" t="s">
        <v>22</v>
      </c>
      <c r="X1215" s="33" t="s">
        <v>1789</v>
      </c>
      <c r="Y1215" s="33" t="s">
        <v>1788</v>
      </c>
      <c r="Z1215" s="33" t="s">
        <v>1787</v>
      </c>
      <c r="AA1215" s="33"/>
    </row>
    <row r="1216" spans="1:27" s="70" customFormat="1" ht="33.75" x14ac:dyDescent="0.2">
      <c r="A1216" s="24">
        <v>1212</v>
      </c>
      <c r="B1216" s="27" t="s">
        <v>1552</v>
      </c>
      <c r="C1216" s="28" t="s">
        <v>1551</v>
      </c>
      <c r="D1216" s="71" t="s">
        <v>1795</v>
      </c>
      <c r="E1216" s="28" t="s">
        <v>1794</v>
      </c>
      <c r="F1216" s="28" t="s">
        <v>1793</v>
      </c>
      <c r="G1216" s="27"/>
      <c r="H1216" s="28" t="s">
        <v>1975</v>
      </c>
      <c r="I1216" s="27"/>
      <c r="J1216" s="28" t="s">
        <v>1974</v>
      </c>
      <c r="K1216" s="27"/>
      <c r="L1216" s="25" t="s">
        <v>1977</v>
      </c>
      <c r="M1216" s="25" t="s">
        <v>1849</v>
      </c>
      <c r="N1216" s="25">
        <v>1</v>
      </c>
      <c r="O1216" s="25"/>
      <c r="P1216" s="25"/>
      <c r="Q1216" s="25">
        <v>8</v>
      </c>
      <c r="R1216" s="25"/>
      <c r="S1216" s="25">
        <v>1</v>
      </c>
      <c r="T1216" s="25"/>
      <c r="U1216" s="31">
        <f t="shared" si="19"/>
        <v>9</v>
      </c>
      <c r="V1216" s="25"/>
      <c r="W1216" s="33" t="s">
        <v>22</v>
      </c>
      <c r="X1216" s="33" t="s">
        <v>1789</v>
      </c>
      <c r="Y1216" s="33" t="s">
        <v>1788</v>
      </c>
      <c r="Z1216" s="33" t="s">
        <v>1787</v>
      </c>
      <c r="AA1216" s="33"/>
    </row>
    <row r="1217" spans="1:27" s="70" customFormat="1" ht="33.75" x14ac:dyDescent="0.2">
      <c r="A1217" s="24">
        <v>1213</v>
      </c>
      <c r="B1217" s="27" t="s">
        <v>1552</v>
      </c>
      <c r="C1217" s="28" t="s">
        <v>1551</v>
      </c>
      <c r="D1217" s="71" t="s">
        <v>1795</v>
      </c>
      <c r="E1217" s="28" t="s">
        <v>1794</v>
      </c>
      <c r="F1217" s="28" t="s">
        <v>1793</v>
      </c>
      <c r="G1217" s="27"/>
      <c r="H1217" s="28" t="s">
        <v>1975</v>
      </c>
      <c r="I1217" s="27"/>
      <c r="J1217" s="28" t="s">
        <v>1974</v>
      </c>
      <c r="K1217" s="27"/>
      <c r="L1217" s="25" t="s">
        <v>1976</v>
      </c>
      <c r="M1217" s="25" t="s">
        <v>1849</v>
      </c>
      <c r="N1217" s="25">
        <v>1</v>
      </c>
      <c r="O1217" s="25"/>
      <c r="P1217" s="25"/>
      <c r="Q1217" s="25"/>
      <c r="R1217" s="25"/>
      <c r="S1217" s="25">
        <v>56</v>
      </c>
      <c r="T1217" s="25"/>
      <c r="U1217" s="31">
        <f t="shared" si="19"/>
        <v>56</v>
      </c>
      <c r="V1217" s="25"/>
      <c r="W1217" s="33" t="s">
        <v>22</v>
      </c>
      <c r="X1217" s="33" t="s">
        <v>1789</v>
      </c>
      <c r="Y1217" s="33" t="s">
        <v>1788</v>
      </c>
      <c r="Z1217" s="33" t="s">
        <v>1787</v>
      </c>
      <c r="AA1217" s="33"/>
    </row>
    <row r="1218" spans="1:27" s="70" customFormat="1" ht="33.75" x14ac:dyDescent="0.2">
      <c r="A1218" s="24">
        <v>1214</v>
      </c>
      <c r="B1218" s="27" t="s">
        <v>1552</v>
      </c>
      <c r="C1218" s="28" t="s">
        <v>1551</v>
      </c>
      <c r="D1218" s="71" t="s">
        <v>1795</v>
      </c>
      <c r="E1218" s="28" t="s">
        <v>1794</v>
      </c>
      <c r="F1218" s="28" t="s">
        <v>1793</v>
      </c>
      <c r="G1218" s="27"/>
      <c r="H1218" s="28" t="s">
        <v>1975</v>
      </c>
      <c r="I1218" s="27"/>
      <c r="J1218" s="28" t="s">
        <v>1974</v>
      </c>
      <c r="K1218" s="27"/>
      <c r="L1218" s="25" t="s">
        <v>1973</v>
      </c>
      <c r="M1218" s="25" t="s">
        <v>1849</v>
      </c>
      <c r="N1218" s="25">
        <v>1</v>
      </c>
      <c r="O1218" s="25"/>
      <c r="P1218" s="25"/>
      <c r="Q1218" s="25"/>
      <c r="R1218" s="25"/>
      <c r="S1218" s="25">
        <v>16</v>
      </c>
      <c r="T1218" s="25"/>
      <c r="U1218" s="31">
        <f t="shared" si="19"/>
        <v>16</v>
      </c>
      <c r="V1218" s="25"/>
      <c r="W1218" s="33" t="s">
        <v>22</v>
      </c>
      <c r="X1218" s="33" t="s">
        <v>1789</v>
      </c>
      <c r="Y1218" s="33" t="s">
        <v>1788</v>
      </c>
      <c r="Z1218" s="33" t="s">
        <v>1787</v>
      </c>
      <c r="AA1218" s="33"/>
    </row>
    <row r="1219" spans="1:27" s="70" customFormat="1" ht="56.25" x14ac:dyDescent="0.2">
      <c r="A1219" s="24">
        <v>1215</v>
      </c>
      <c r="B1219" s="27" t="s">
        <v>1552</v>
      </c>
      <c r="C1219" s="28" t="s">
        <v>1551</v>
      </c>
      <c r="D1219" s="71" t="s">
        <v>1795</v>
      </c>
      <c r="E1219" s="28" t="s">
        <v>1794</v>
      </c>
      <c r="F1219" s="28" t="s">
        <v>1793</v>
      </c>
      <c r="G1219" s="27"/>
      <c r="H1219" s="28" t="s">
        <v>1864</v>
      </c>
      <c r="I1219" s="27"/>
      <c r="J1219" s="28" t="s">
        <v>1972</v>
      </c>
      <c r="K1219" s="27"/>
      <c r="L1219" s="25" t="s">
        <v>1971</v>
      </c>
      <c r="M1219" s="25" t="s">
        <v>190</v>
      </c>
      <c r="N1219" s="25">
        <v>12</v>
      </c>
      <c r="O1219" s="25"/>
      <c r="P1219" s="25"/>
      <c r="Q1219" s="25"/>
      <c r="R1219" s="25"/>
      <c r="S1219" s="25">
        <v>1</v>
      </c>
      <c r="T1219" s="25"/>
      <c r="U1219" s="31">
        <f t="shared" si="19"/>
        <v>1</v>
      </c>
      <c r="V1219" s="25"/>
      <c r="W1219" s="33" t="s">
        <v>882</v>
      </c>
      <c r="X1219" s="33"/>
      <c r="Y1219" s="33"/>
      <c r="Z1219" s="33"/>
      <c r="AA1219" s="33"/>
    </row>
    <row r="1220" spans="1:27" s="70" customFormat="1" ht="56.25" x14ac:dyDescent="0.2">
      <c r="A1220" s="24">
        <v>1216</v>
      </c>
      <c r="B1220" s="27" t="s">
        <v>1552</v>
      </c>
      <c r="C1220" s="28" t="s">
        <v>1551</v>
      </c>
      <c r="D1220" s="71" t="s">
        <v>1795</v>
      </c>
      <c r="E1220" s="28" t="s">
        <v>1794</v>
      </c>
      <c r="F1220" s="28" t="s">
        <v>1793</v>
      </c>
      <c r="G1220" s="27"/>
      <c r="H1220" s="28" t="s">
        <v>1864</v>
      </c>
      <c r="I1220" s="27"/>
      <c r="J1220" s="28" t="s">
        <v>1970</v>
      </c>
      <c r="K1220" s="27"/>
      <c r="L1220" s="25" t="s">
        <v>1969</v>
      </c>
      <c r="M1220" s="25" t="s">
        <v>1968</v>
      </c>
      <c r="N1220" s="25">
        <v>10</v>
      </c>
      <c r="O1220" s="25"/>
      <c r="P1220" s="25">
        <v>6</v>
      </c>
      <c r="Q1220" s="25"/>
      <c r="R1220" s="25"/>
      <c r="S1220" s="25">
        <v>2</v>
      </c>
      <c r="T1220" s="25"/>
      <c r="U1220" s="31">
        <f t="shared" si="19"/>
        <v>8</v>
      </c>
      <c r="V1220" s="25"/>
      <c r="W1220" s="33" t="s">
        <v>22</v>
      </c>
      <c r="X1220" s="33" t="s">
        <v>1789</v>
      </c>
      <c r="Y1220" s="33" t="s">
        <v>1788</v>
      </c>
      <c r="Z1220" s="33" t="s">
        <v>1787</v>
      </c>
      <c r="AA1220" s="33"/>
    </row>
    <row r="1221" spans="1:27" s="70" customFormat="1" ht="56.25" x14ac:dyDescent="0.2">
      <c r="A1221" s="24">
        <v>1217</v>
      </c>
      <c r="B1221" s="27" t="s">
        <v>1552</v>
      </c>
      <c r="C1221" s="28" t="s">
        <v>1551</v>
      </c>
      <c r="D1221" s="71" t="s">
        <v>1795</v>
      </c>
      <c r="E1221" s="28" t="s">
        <v>1794</v>
      </c>
      <c r="F1221" s="28" t="s">
        <v>1793</v>
      </c>
      <c r="G1221" s="27"/>
      <c r="H1221" s="28" t="s">
        <v>1864</v>
      </c>
      <c r="I1221" s="27"/>
      <c r="J1221" s="28" t="s">
        <v>1967</v>
      </c>
      <c r="K1221" s="27"/>
      <c r="L1221" s="25" t="s">
        <v>1966</v>
      </c>
      <c r="M1221" s="25" t="s">
        <v>1965</v>
      </c>
      <c r="N1221" s="25">
        <v>4</v>
      </c>
      <c r="O1221" s="25"/>
      <c r="P1221" s="25"/>
      <c r="Q1221" s="25">
        <v>8</v>
      </c>
      <c r="R1221" s="25"/>
      <c r="S1221" s="25">
        <v>1</v>
      </c>
      <c r="T1221" s="25"/>
      <c r="U1221" s="31">
        <f t="shared" si="19"/>
        <v>9</v>
      </c>
      <c r="V1221" s="25"/>
      <c r="W1221" s="33" t="s">
        <v>22</v>
      </c>
      <c r="X1221" s="33" t="s">
        <v>1789</v>
      </c>
      <c r="Y1221" s="33" t="s">
        <v>1788</v>
      </c>
      <c r="Z1221" s="33" t="s">
        <v>1787</v>
      </c>
      <c r="AA1221" s="33"/>
    </row>
    <row r="1222" spans="1:27" s="70" customFormat="1" ht="56.25" x14ac:dyDescent="0.2">
      <c r="A1222" s="24">
        <v>1218</v>
      </c>
      <c r="B1222" s="27" t="s">
        <v>1552</v>
      </c>
      <c r="C1222" s="28" t="s">
        <v>1551</v>
      </c>
      <c r="D1222" s="71" t="s">
        <v>1795</v>
      </c>
      <c r="E1222" s="28" t="s">
        <v>1794</v>
      </c>
      <c r="F1222" s="28" t="s">
        <v>1793</v>
      </c>
      <c r="G1222" s="27"/>
      <c r="H1222" s="28" t="s">
        <v>1864</v>
      </c>
      <c r="I1222" s="27"/>
      <c r="J1222" s="28" t="s">
        <v>1963</v>
      </c>
      <c r="K1222" s="27"/>
      <c r="L1222" s="25" t="s">
        <v>1964</v>
      </c>
      <c r="M1222" s="25" t="s">
        <v>1849</v>
      </c>
      <c r="N1222" s="25">
        <v>1</v>
      </c>
      <c r="O1222" s="25"/>
      <c r="P1222" s="25"/>
      <c r="Q1222" s="25">
        <v>56</v>
      </c>
      <c r="R1222" s="25"/>
      <c r="S1222" s="25"/>
      <c r="T1222" s="25">
        <v>1</v>
      </c>
      <c r="U1222" s="31">
        <f t="shared" ref="U1222:U1285" si="20">SUM(O1222:T1222)</f>
        <v>57</v>
      </c>
      <c r="V1222" s="25"/>
      <c r="W1222" s="33" t="s">
        <v>22</v>
      </c>
      <c r="X1222" s="33" t="s">
        <v>1789</v>
      </c>
      <c r="Y1222" s="33" t="s">
        <v>1788</v>
      </c>
      <c r="Z1222" s="33" t="s">
        <v>1787</v>
      </c>
      <c r="AA1222" s="33"/>
    </row>
    <row r="1223" spans="1:27" s="70" customFormat="1" ht="56.25" x14ac:dyDescent="0.2">
      <c r="A1223" s="24">
        <v>1219</v>
      </c>
      <c r="B1223" s="27" t="s">
        <v>1552</v>
      </c>
      <c r="C1223" s="28" t="s">
        <v>1551</v>
      </c>
      <c r="D1223" s="71" t="s">
        <v>1795</v>
      </c>
      <c r="E1223" s="28" t="s">
        <v>1794</v>
      </c>
      <c r="F1223" s="28" t="s">
        <v>1793</v>
      </c>
      <c r="G1223" s="27"/>
      <c r="H1223" s="28" t="s">
        <v>1864</v>
      </c>
      <c r="I1223" s="27"/>
      <c r="J1223" s="28" t="s">
        <v>1963</v>
      </c>
      <c r="K1223" s="27"/>
      <c r="L1223" s="25" t="s">
        <v>1962</v>
      </c>
      <c r="M1223" s="25" t="s">
        <v>1849</v>
      </c>
      <c r="N1223" s="25">
        <v>1</v>
      </c>
      <c r="O1223" s="25"/>
      <c r="P1223" s="25"/>
      <c r="Q1223" s="25">
        <v>8</v>
      </c>
      <c r="R1223" s="25"/>
      <c r="S1223" s="25"/>
      <c r="T1223" s="25">
        <v>1</v>
      </c>
      <c r="U1223" s="31">
        <f t="shared" si="20"/>
        <v>9</v>
      </c>
      <c r="V1223" s="25"/>
      <c r="W1223" s="33" t="s">
        <v>22</v>
      </c>
      <c r="X1223" s="33" t="s">
        <v>1789</v>
      </c>
      <c r="Y1223" s="33" t="s">
        <v>1788</v>
      </c>
      <c r="Z1223" s="33" t="s">
        <v>1787</v>
      </c>
      <c r="AA1223" s="33"/>
    </row>
    <row r="1224" spans="1:27" s="70" customFormat="1" ht="56.25" x14ac:dyDescent="0.2">
      <c r="A1224" s="24">
        <v>1220</v>
      </c>
      <c r="B1224" s="27" t="s">
        <v>1552</v>
      </c>
      <c r="C1224" s="28" t="s">
        <v>1551</v>
      </c>
      <c r="D1224" s="71" t="s">
        <v>1795</v>
      </c>
      <c r="E1224" s="28" t="s">
        <v>1794</v>
      </c>
      <c r="F1224" s="28" t="s">
        <v>1793</v>
      </c>
      <c r="G1224" s="27"/>
      <c r="H1224" s="28" t="s">
        <v>1864</v>
      </c>
      <c r="I1224" s="27"/>
      <c r="J1224" s="28" t="s">
        <v>1961</v>
      </c>
      <c r="K1224" s="27"/>
      <c r="L1224" s="25"/>
      <c r="M1224" s="25"/>
      <c r="N1224" s="25"/>
      <c r="O1224" s="25"/>
      <c r="P1224" s="25"/>
      <c r="Q1224" s="25"/>
      <c r="R1224" s="25"/>
      <c r="S1224" s="25"/>
      <c r="T1224" s="25"/>
      <c r="U1224" s="31">
        <f t="shared" si="20"/>
        <v>0</v>
      </c>
      <c r="V1224" s="25"/>
      <c r="W1224" s="33"/>
      <c r="X1224" s="33"/>
      <c r="Y1224" s="33"/>
      <c r="Z1224" s="33"/>
      <c r="AA1224" s="33"/>
    </row>
    <row r="1225" spans="1:27" s="70" customFormat="1" ht="56.25" x14ac:dyDescent="0.2">
      <c r="A1225" s="24">
        <v>1221</v>
      </c>
      <c r="B1225" s="27" t="s">
        <v>1552</v>
      </c>
      <c r="C1225" s="28" t="s">
        <v>1551</v>
      </c>
      <c r="D1225" s="71" t="s">
        <v>1795</v>
      </c>
      <c r="E1225" s="28" t="s">
        <v>1794</v>
      </c>
      <c r="F1225" s="28" t="s">
        <v>1793</v>
      </c>
      <c r="G1225" s="27"/>
      <c r="H1225" s="28" t="s">
        <v>1864</v>
      </c>
      <c r="I1225" s="27"/>
      <c r="J1225" s="28" t="s">
        <v>1958</v>
      </c>
      <c r="K1225" s="27"/>
      <c r="L1225" s="25" t="s">
        <v>1960</v>
      </c>
      <c r="M1225" s="25" t="s">
        <v>1849</v>
      </c>
      <c r="N1225" s="25">
        <v>1</v>
      </c>
      <c r="O1225" s="25"/>
      <c r="P1225" s="25"/>
      <c r="Q1225" s="25">
        <v>48</v>
      </c>
      <c r="R1225" s="25"/>
      <c r="S1225" s="25">
        <v>4</v>
      </c>
      <c r="T1225" s="25">
        <v>2</v>
      </c>
      <c r="U1225" s="31">
        <f t="shared" si="20"/>
        <v>54</v>
      </c>
      <c r="V1225" s="25"/>
      <c r="W1225" s="33" t="s">
        <v>22</v>
      </c>
      <c r="X1225" s="33" t="s">
        <v>1789</v>
      </c>
      <c r="Y1225" s="33" t="s">
        <v>1788</v>
      </c>
      <c r="Z1225" s="33" t="s">
        <v>1787</v>
      </c>
      <c r="AA1225" s="33"/>
    </row>
    <row r="1226" spans="1:27" s="70" customFormat="1" ht="56.25" x14ac:dyDescent="0.2">
      <c r="A1226" s="24">
        <v>1222</v>
      </c>
      <c r="B1226" s="27" t="s">
        <v>1552</v>
      </c>
      <c r="C1226" s="28" t="s">
        <v>1551</v>
      </c>
      <c r="D1226" s="71" t="s">
        <v>1795</v>
      </c>
      <c r="E1226" s="28" t="s">
        <v>1794</v>
      </c>
      <c r="F1226" s="28" t="s">
        <v>1793</v>
      </c>
      <c r="G1226" s="27"/>
      <c r="H1226" s="28" t="s">
        <v>1864</v>
      </c>
      <c r="I1226" s="27"/>
      <c r="J1226" s="28" t="s">
        <v>1958</v>
      </c>
      <c r="K1226" s="27"/>
      <c r="L1226" s="25" t="s">
        <v>1959</v>
      </c>
      <c r="M1226" s="25" t="s">
        <v>1849</v>
      </c>
      <c r="N1226" s="25">
        <v>4</v>
      </c>
      <c r="O1226" s="25"/>
      <c r="P1226" s="25"/>
      <c r="Q1226" s="25">
        <v>24</v>
      </c>
      <c r="R1226" s="25"/>
      <c r="S1226" s="25">
        <v>2</v>
      </c>
      <c r="T1226" s="25">
        <v>1</v>
      </c>
      <c r="U1226" s="31">
        <f t="shared" si="20"/>
        <v>27</v>
      </c>
      <c r="V1226" s="25"/>
      <c r="W1226" s="33" t="s">
        <v>22</v>
      </c>
      <c r="X1226" s="33" t="s">
        <v>1789</v>
      </c>
      <c r="Y1226" s="33" t="s">
        <v>1788</v>
      </c>
      <c r="Z1226" s="33" t="s">
        <v>1787</v>
      </c>
      <c r="AA1226" s="33"/>
    </row>
    <row r="1227" spans="1:27" s="70" customFormat="1" ht="56.25" x14ac:dyDescent="0.2">
      <c r="A1227" s="24">
        <v>1223</v>
      </c>
      <c r="B1227" s="27" t="s">
        <v>1552</v>
      </c>
      <c r="C1227" s="28" t="s">
        <v>1551</v>
      </c>
      <c r="D1227" s="71" t="s">
        <v>1795</v>
      </c>
      <c r="E1227" s="28" t="s">
        <v>1794</v>
      </c>
      <c r="F1227" s="28" t="s">
        <v>1793</v>
      </c>
      <c r="G1227" s="27"/>
      <c r="H1227" s="28" t="s">
        <v>1864</v>
      </c>
      <c r="I1227" s="27"/>
      <c r="J1227" s="28" t="s">
        <v>1958</v>
      </c>
      <c r="K1227" s="27"/>
      <c r="L1227" s="25" t="s">
        <v>1957</v>
      </c>
      <c r="M1227" s="25" t="s">
        <v>1849</v>
      </c>
      <c r="N1227" s="25">
        <v>1</v>
      </c>
      <c r="O1227" s="25"/>
      <c r="P1227" s="25"/>
      <c r="Q1227" s="25">
        <v>48</v>
      </c>
      <c r="R1227" s="25"/>
      <c r="S1227" s="25">
        <v>4</v>
      </c>
      <c r="T1227" s="25">
        <v>2</v>
      </c>
      <c r="U1227" s="31">
        <f t="shared" si="20"/>
        <v>54</v>
      </c>
      <c r="V1227" s="25"/>
      <c r="W1227" s="33" t="s">
        <v>22</v>
      </c>
      <c r="X1227" s="33" t="s">
        <v>1789</v>
      </c>
      <c r="Y1227" s="33" t="s">
        <v>1788</v>
      </c>
      <c r="Z1227" s="33" t="s">
        <v>1787</v>
      </c>
      <c r="AA1227" s="33"/>
    </row>
    <row r="1228" spans="1:27" s="70" customFormat="1" ht="78.75" x14ac:dyDescent="0.2">
      <c r="A1228" s="24">
        <v>1224</v>
      </c>
      <c r="B1228" s="27" t="s">
        <v>1552</v>
      </c>
      <c r="C1228" s="28" t="s">
        <v>1551</v>
      </c>
      <c r="D1228" s="71" t="s">
        <v>1795</v>
      </c>
      <c r="E1228" s="28" t="s">
        <v>1794</v>
      </c>
      <c r="F1228" s="28" t="s">
        <v>1793</v>
      </c>
      <c r="G1228" s="27"/>
      <c r="H1228" s="28" t="s">
        <v>1864</v>
      </c>
      <c r="I1228" s="27"/>
      <c r="J1228" s="28" t="s">
        <v>1952</v>
      </c>
      <c r="K1228" s="27"/>
      <c r="L1228" s="25" t="s">
        <v>1956</v>
      </c>
      <c r="M1228" s="25" t="s">
        <v>431</v>
      </c>
      <c r="N1228" s="25">
        <v>6</v>
      </c>
      <c r="O1228" s="25"/>
      <c r="P1228" s="25">
        <v>2</v>
      </c>
      <c r="Q1228" s="25"/>
      <c r="R1228" s="25"/>
      <c r="S1228" s="25">
        <v>1</v>
      </c>
      <c r="T1228" s="25">
        <v>0.5</v>
      </c>
      <c r="U1228" s="31">
        <f t="shared" si="20"/>
        <v>3.5</v>
      </c>
      <c r="V1228" s="25"/>
      <c r="W1228" s="33" t="s">
        <v>22</v>
      </c>
      <c r="X1228" s="33" t="s">
        <v>1789</v>
      </c>
      <c r="Y1228" s="33" t="s">
        <v>1788</v>
      </c>
      <c r="Z1228" s="33" t="s">
        <v>1955</v>
      </c>
      <c r="AA1228" s="33"/>
    </row>
    <row r="1229" spans="1:27" s="70" customFormat="1" ht="78.75" x14ac:dyDescent="0.2">
      <c r="A1229" s="24">
        <v>1225</v>
      </c>
      <c r="B1229" s="27" t="s">
        <v>1552</v>
      </c>
      <c r="C1229" s="28" t="s">
        <v>1551</v>
      </c>
      <c r="D1229" s="71" t="s">
        <v>1795</v>
      </c>
      <c r="E1229" s="28" t="s">
        <v>1794</v>
      </c>
      <c r="F1229" s="28" t="s">
        <v>1793</v>
      </c>
      <c r="G1229" s="27"/>
      <c r="H1229" s="28" t="s">
        <v>1864</v>
      </c>
      <c r="I1229" s="27"/>
      <c r="J1229" s="28" t="s">
        <v>1952</v>
      </c>
      <c r="K1229" s="27"/>
      <c r="L1229" s="25" t="s">
        <v>1954</v>
      </c>
      <c r="M1229" s="25" t="s">
        <v>1950</v>
      </c>
      <c r="N1229" s="25">
        <v>750</v>
      </c>
      <c r="O1229" s="25"/>
      <c r="P1229" s="25">
        <v>4</v>
      </c>
      <c r="Q1229" s="25"/>
      <c r="R1229" s="25"/>
      <c r="S1229" s="25">
        <v>2</v>
      </c>
      <c r="T1229" s="25"/>
      <c r="U1229" s="31">
        <f t="shared" si="20"/>
        <v>6</v>
      </c>
      <c r="V1229" s="25"/>
      <c r="W1229" s="33" t="s">
        <v>22</v>
      </c>
      <c r="X1229" s="33" t="s">
        <v>1789</v>
      </c>
      <c r="Y1229" s="33" t="s">
        <v>1788</v>
      </c>
      <c r="Z1229" s="33" t="s">
        <v>1787</v>
      </c>
      <c r="AA1229" s="33"/>
    </row>
    <row r="1230" spans="1:27" s="70" customFormat="1" ht="78.75" x14ac:dyDescent="0.2">
      <c r="A1230" s="24">
        <v>1226</v>
      </c>
      <c r="B1230" s="27" t="s">
        <v>1552</v>
      </c>
      <c r="C1230" s="28" t="s">
        <v>1551</v>
      </c>
      <c r="D1230" s="71" t="s">
        <v>1795</v>
      </c>
      <c r="E1230" s="28" t="s">
        <v>1794</v>
      </c>
      <c r="F1230" s="28" t="s">
        <v>1793</v>
      </c>
      <c r="G1230" s="27"/>
      <c r="H1230" s="28" t="s">
        <v>1864</v>
      </c>
      <c r="I1230" s="27"/>
      <c r="J1230" s="28" t="s">
        <v>1952</v>
      </c>
      <c r="K1230" s="27"/>
      <c r="L1230" s="25" t="s">
        <v>1953</v>
      </c>
      <c r="M1230" s="25" t="s">
        <v>1950</v>
      </c>
      <c r="N1230" s="25">
        <v>240</v>
      </c>
      <c r="O1230" s="25"/>
      <c r="P1230" s="25">
        <v>4</v>
      </c>
      <c r="Q1230" s="25"/>
      <c r="R1230" s="25"/>
      <c r="S1230" s="25">
        <v>2</v>
      </c>
      <c r="T1230" s="25"/>
      <c r="U1230" s="31">
        <f t="shared" si="20"/>
        <v>6</v>
      </c>
      <c r="V1230" s="25"/>
      <c r="W1230" s="33" t="s">
        <v>22</v>
      </c>
      <c r="X1230" s="33" t="s">
        <v>1789</v>
      </c>
      <c r="Y1230" s="33" t="s">
        <v>1788</v>
      </c>
      <c r="Z1230" s="33" t="s">
        <v>1787</v>
      </c>
      <c r="AA1230" s="33"/>
    </row>
    <row r="1231" spans="1:27" s="70" customFormat="1" ht="78.75" x14ac:dyDescent="0.2">
      <c r="A1231" s="24">
        <v>1227</v>
      </c>
      <c r="B1231" s="27" t="s">
        <v>1552</v>
      </c>
      <c r="C1231" s="28" t="s">
        <v>1551</v>
      </c>
      <c r="D1231" s="71" t="s">
        <v>1795</v>
      </c>
      <c r="E1231" s="28" t="s">
        <v>1794</v>
      </c>
      <c r="F1231" s="28" t="s">
        <v>1793</v>
      </c>
      <c r="G1231" s="27"/>
      <c r="H1231" s="28" t="s">
        <v>1864</v>
      </c>
      <c r="I1231" s="27"/>
      <c r="J1231" s="28" t="s">
        <v>1952</v>
      </c>
      <c r="K1231" s="27"/>
      <c r="L1231" s="25" t="s">
        <v>1951</v>
      </c>
      <c r="M1231" s="25" t="s">
        <v>1950</v>
      </c>
      <c r="N1231" s="25">
        <v>60</v>
      </c>
      <c r="O1231" s="25"/>
      <c r="P1231" s="25">
        <v>4</v>
      </c>
      <c r="Q1231" s="25"/>
      <c r="R1231" s="25"/>
      <c r="S1231" s="25">
        <v>2</v>
      </c>
      <c r="T1231" s="25"/>
      <c r="U1231" s="31">
        <f t="shared" si="20"/>
        <v>6</v>
      </c>
      <c r="V1231" s="25"/>
      <c r="W1231" s="33" t="s">
        <v>22</v>
      </c>
      <c r="X1231" s="33" t="s">
        <v>1789</v>
      </c>
      <c r="Y1231" s="33" t="s">
        <v>1788</v>
      </c>
      <c r="Z1231" s="33" t="s">
        <v>1787</v>
      </c>
      <c r="AA1231" s="33"/>
    </row>
    <row r="1232" spans="1:27" s="70" customFormat="1" ht="56.25" x14ac:dyDescent="0.2">
      <c r="A1232" s="24">
        <v>1228</v>
      </c>
      <c r="B1232" s="27" t="s">
        <v>1552</v>
      </c>
      <c r="C1232" s="28" t="s">
        <v>1551</v>
      </c>
      <c r="D1232" s="71" t="s">
        <v>1795</v>
      </c>
      <c r="E1232" s="28" t="s">
        <v>1794</v>
      </c>
      <c r="F1232" s="28" t="s">
        <v>1793</v>
      </c>
      <c r="G1232" s="27"/>
      <c r="H1232" s="28" t="s">
        <v>1864</v>
      </c>
      <c r="I1232" s="27"/>
      <c r="J1232" s="28" t="s">
        <v>1949</v>
      </c>
      <c r="K1232" s="27"/>
      <c r="L1232" s="25"/>
      <c r="M1232" s="25"/>
      <c r="N1232" s="25"/>
      <c r="O1232" s="25"/>
      <c r="P1232" s="25"/>
      <c r="Q1232" s="25"/>
      <c r="R1232" s="25"/>
      <c r="S1232" s="25"/>
      <c r="T1232" s="25"/>
      <c r="U1232" s="31">
        <f t="shared" si="20"/>
        <v>0</v>
      </c>
      <c r="V1232" s="25"/>
      <c r="W1232" s="33"/>
      <c r="X1232" s="33"/>
      <c r="Y1232" s="33"/>
      <c r="Z1232" s="33"/>
      <c r="AA1232" s="33"/>
    </row>
    <row r="1233" spans="1:27" s="70" customFormat="1" ht="56.25" x14ac:dyDescent="0.2">
      <c r="A1233" s="24">
        <v>1229</v>
      </c>
      <c r="B1233" s="27" t="s">
        <v>1552</v>
      </c>
      <c r="C1233" s="28" t="s">
        <v>1551</v>
      </c>
      <c r="D1233" s="71" t="s">
        <v>1795</v>
      </c>
      <c r="E1233" s="28" t="s">
        <v>1794</v>
      </c>
      <c r="F1233" s="28" t="s">
        <v>1793</v>
      </c>
      <c r="G1233" s="27"/>
      <c r="H1233" s="28" t="s">
        <v>1864</v>
      </c>
      <c r="I1233" s="27"/>
      <c r="J1233" s="28" t="s">
        <v>1944</v>
      </c>
      <c r="K1233" s="27"/>
      <c r="L1233" s="25" t="s">
        <v>1948</v>
      </c>
      <c r="M1233" s="25" t="s">
        <v>314</v>
      </c>
      <c r="N1233" s="25">
        <v>40</v>
      </c>
      <c r="O1233" s="25"/>
      <c r="P1233" s="25">
        <v>8</v>
      </c>
      <c r="Q1233" s="25"/>
      <c r="R1233" s="25"/>
      <c r="S1233" s="25">
        <v>3</v>
      </c>
      <c r="T1233" s="25"/>
      <c r="U1233" s="31">
        <f t="shared" si="20"/>
        <v>11</v>
      </c>
      <c r="V1233" s="25"/>
      <c r="W1233" s="33" t="s">
        <v>22</v>
      </c>
      <c r="X1233" s="33" t="s">
        <v>1789</v>
      </c>
      <c r="Y1233" s="33" t="s">
        <v>1788</v>
      </c>
      <c r="Z1233" s="33" t="s">
        <v>1787</v>
      </c>
      <c r="AA1233" s="33"/>
    </row>
    <row r="1234" spans="1:27" s="70" customFormat="1" ht="56.25" x14ac:dyDescent="0.2">
      <c r="A1234" s="24">
        <v>1230</v>
      </c>
      <c r="B1234" s="27" t="s">
        <v>1552</v>
      </c>
      <c r="C1234" s="28" t="s">
        <v>1551</v>
      </c>
      <c r="D1234" s="71" t="s">
        <v>1795</v>
      </c>
      <c r="E1234" s="28" t="s">
        <v>1794</v>
      </c>
      <c r="F1234" s="28" t="s">
        <v>1793</v>
      </c>
      <c r="G1234" s="27"/>
      <c r="H1234" s="28" t="s">
        <v>1864</v>
      </c>
      <c r="I1234" s="27"/>
      <c r="J1234" s="28" t="s">
        <v>1944</v>
      </c>
      <c r="K1234" s="27"/>
      <c r="L1234" s="25" t="s">
        <v>1947</v>
      </c>
      <c r="M1234" s="25" t="s">
        <v>190</v>
      </c>
      <c r="N1234" s="25">
        <v>12</v>
      </c>
      <c r="O1234" s="25"/>
      <c r="P1234" s="25"/>
      <c r="Q1234" s="25">
        <v>8</v>
      </c>
      <c r="R1234" s="25"/>
      <c r="S1234" s="25">
        <v>1</v>
      </c>
      <c r="T1234" s="25">
        <v>0.5</v>
      </c>
      <c r="U1234" s="31">
        <f t="shared" si="20"/>
        <v>9.5</v>
      </c>
      <c r="V1234" s="25"/>
      <c r="W1234" s="33" t="s">
        <v>22</v>
      </c>
      <c r="X1234" s="33" t="s">
        <v>1789</v>
      </c>
      <c r="Y1234" s="33" t="s">
        <v>1788</v>
      </c>
      <c r="Z1234" s="33" t="s">
        <v>1787</v>
      </c>
      <c r="AA1234" s="33"/>
    </row>
    <row r="1235" spans="1:27" s="70" customFormat="1" ht="56.25" x14ac:dyDescent="0.2">
      <c r="A1235" s="24">
        <v>1231</v>
      </c>
      <c r="B1235" s="27" t="s">
        <v>1552</v>
      </c>
      <c r="C1235" s="28" t="s">
        <v>1551</v>
      </c>
      <c r="D1235" s="71" t="s">
        <v>1795</v>
      </c>
      <c r="E1235" s="28" t="s">
        <v>1794</v>
      </c>
      <c r="F1235" s="28" t="s">
        <v>1793</v>
      </c>
      <c r="G1235" s="27"/>
      <c r="H1235" s="28" t="s">
        <v>1864</v>
      </c>
      <c r="I1235" s="27"/>
      <c r="J1235" s="28" t="s">
        <v>1944</v>
      </c>
      <c r="K1235" s="27"/>
      <c r="L1235" s="25" t="s">
        <v>1946</v>
      </c>
      <c r="M1235" s="25" t="s">
        <v>190</v>
      </c>
      <c r="N1235" s="25">
        <v>4</v>
      </c>
      <c r="O1235" s="25"/>
      <c r="P1235" s="25"/>
      <c r="Q1235" s="25">
        <v>16</v>
      </c>
      <c r="R1235" s="25"/>
      <c r="S1235" s="25">
        <v>1</v>
      </c>
      <c r="T1235" s="25">
        <v>0.5</v>
      </c>
      <c r="U1235" s="31">
        <f t="shared" si="20"/>
        <v>17.5</v>
      </c>
      <c r="V1235" s="25"/>
      <c r="W1235" s="33" t="s">
        <v>22</v>
      </c>
      <c r="X1235" s="33" t="s">
        <v>1789</v>
      </c>
      <c r="Y1235" s="33" t="s">
        <v>1788</v>
      </c>
      <c r="Z1235" s="33" t="s">
        <v>1787</v>
      </c>
      <c r="AA1235" s="33"/>
    </row>
    <row r="1236" spans="1:27" s="70" customFormat="1" ht="56.25" x14ac:dyDescent="0.2">
      <c r="A1236" s="24">
        <v>1232</v>
      </c>
      <c r="B1236" s="27" t="s">
        <v>1552</v>
      </c>
      <c r="C1236" s="28" t="s">
        <v>1551</v>
      </c>
      <c r="D1236" s="71" t="s">
        <v>1795</v>
      </c>
      <c r="E1236" s="28" t="s">
        <v>1794</v>
      </c>
      <c r="F1236" s="28" t="s">
        <v>1793</v>
      </c>
      <c r="G1236" s="27"/>
      <c r="H1236" s="28" t="s">
        <v>1864</v>
      </c>
      <c r="I1236" s="27"/>
      <c r="J1236" s="28" t="s">
        <v>1944</v>
      </c>
      <c r="K1236" s="27"/>
      <c r="L1236" s="25" t="s">
        <v>1945</v>
      </c>
      <c r="M1236" s="25" t="s">
        <v>190</v>
      </c>
      <c r="N1236" s="25">
        <v>12</v>
      </c>
      <c r="O1236" s="25"/>
      <c r="P1236" s="25"/>
      <c r="Q1236" s="25">
        <v>24</v>
      </c>
      <c r="R1236" s="25"/>
      <c r="S1236" s="25">
        <v>4</v>
      </c>
      <c r="T1236" s="25">
        <v>1</v>
      </c>
      <c r="U1236" s="31">
        <f t="shared" si="20"/>
        <v>29</v>
      </c>
      <c r="V1236" s="25"/>
      <c r="W1236" s="33" t="s">
        <v>22</v>
      </c>
      <c r="X1236" s="33" t="s">
        <v>1789</v>
      </c>
      <c r="Y1236" s="33" t="s">
        <v>1788</v>
      </c>
      <c r="Z1236" s="33" t="s">
        <v>1787</v>
      </c>
      <c r="AA1236" s="33"/>
    </row>
    <row r="1237" spans="1:27" s="70" customFormat="1" ht="56.25" x14ac:dyDescent="0.2">
      <c r="A1237" s="24">
        <v>1233</v>
      </c>
      <c r="B1237" s="27" t="s">
        <v>1552</v>
      </c>
      <c r="C1237" s="28" t="s">
        <v>1551</v>
      </c>
      <c r="D1237" s="71" t="s">
        <v>1795</v>
      </c>
      <c r="E1237" s="28" t="s">
        <v>1794</v>
      </c>
      <c r="F1237" s="28" t="s">
        <v>1793</v>
      </c>
      <c r="G1237" s="27"/>
      <c r="H1237" s="28" t="s">
        <v>1864</v>
      </c>
      <c r="I1237" s="27"/>
      <c r="J1237" s="28" t="s">
        <v>1944</v>
      </c>
      <c r="K1237" s="27"/>
      <c r="L1237" s="25" t="s">
        <v>1943</v>
      </c>
      <c r="M1237" s="25" t="s">
        <v>190</v>
      </c>
      <c r="N1237" s="25">
        <v>4</v>
      </c>
      <c r="O1237" s="25"/>
      <c r="P1237" s="25"/>
      <c r="Q1237" s="25">
        <v>24</v>
      </c>
      <c r="R1237" s="25"/>
      <c r="S1237" s="25"/>
      <c r="T1237" s="25">
        <v>1</v>
      </c>
      <c r="U1237" s="31">
        <f t="shared" si="20"/>
        <v>25</v>
      </c>
      <c r="V1237" s="25"/>
      <c r="W1237" s="33" t="s">
        <v>22</v>
      </c>
      <c r="X1237" s="33" t="s">
        <v>1789</v>
      </c>
      <c r="Y1237" s="33" t="s">
        <v>1788</v>
      </c>
      <c r="Z1237" s="33" t="s">
        <v>1787</v>
      </c>
      <c r="AA1237" s="33"/>
    </row>
    <row r="1238" spans="1:27" s="70" customFormat="1" ht="56.25" x14ac:dyDescent="0.2">
      <c r="A1238" s="24">
        <v>1234</v>
      </c>
      <c r="B1238" s="27" t="s">
        <v>1552</v>
      </c>
      <c r="C1238" s="28" t="s">
        <v>1551</v>
      </c>
      <c r="D1238" s="71" t="s">
        <v>1795</v>
      </c>
      <c r="E1238" s="28" t="s">
        <v>1794</v>
      </c>
      <c r="F1238" s="28" t="s">
        <v>1793</v>
      </c>
      <c r="G1238" s="27"/>
      <c r="H1238" s="28" t="s">
        <v>1864</v>
      </c>
      <c r="I1238" s="27"/>
      <c r="J1238" s="28" t="s">
        <v>1879</v>
      </c>
      <c r="K1238" s="27"/>
      <c r="L1238" s="25" t="s">
        <v>1942</v>
      </c>
      <c r="M1238" s="25" t="s">
        <v>190</v>
      </c>
      <c r="N1238" s="25">
        <v>12</v>
      </c>
      <c r="O1238" s="25"/>
      <c r="P1238" s="25"/>
      <c r="Q1238" s="25">
        <v>4</v>
      </c>
      <c r="R1238" s="25"/>
      <c r="S1238" s="25">
        <v>1</v>
      </c>
      <c r="T1238" s="25"/>
      <c r="U1238" s="31">
        <f t="shared" si="20"/>
        <v>5</v>
      </c>
      <c r="V1238" s="25"/>
      <c r="W1238" s="33" t="s">
        <v>22</v>
      </c>
      <c r="X1238" s="33" t="s">
        <v>1789</v>
      </c>
      <c r="Y1238" s="33" t="s">
        <v>1941</v>
      </c>
      <c r="Z1238" s="33" t="s">
        <v>1940</v>
      </c>
      <c r="AA1238" s="33"/>
    </row>
    <row r="1239" spans="1:27" s="70" customFormat="1" ht="56.25" x14ac:dyDescent="0.2">
      <c r="A1239" s="24">
        <v>1235</v>
      </c>
      <c r="B1239" s="27" t="s">
        <v>1552</v>
      </c>
      <c r="C1239" s="28" t="s">
        <v>1551</v>
      </c>
      <c r="D1239" s="71" t="s">
        <v>1795</v>
      </c>
      <c r="E1239" s="28" t="s">
        <v>1794</v>
      </c>
      <c r="F1239" s="28" t="s">
        <v>1793</v>
      </c>
      <c r="G1239" s="27"/>
      <c r="H1239" s="28" t="s">
        <v>1864</v>
      </c>
      <c r="I1239" s="27"/>
      <c r="J1239" s="28" t="s">
        <v>1879</v>
      </c>
      <c r="K1239" s="27"/>
      <c r="L1239" s="25" t="s">
        <v>1939</v>
      </c>
      <c r="M1239" s="25" t="s">
        <v>190</v>
      </c>
      <c r="N1239" s="25">
        <v>24</v>
      </c>
      <c r="O1239" s="25"/>
      <c r="P1239" s="25"/>
      <c r="Q1239" s="25">
        <v>1</v>
      </c>
      <c r="R1239" s="25"/>
      <c r="S1239" s="25"/>
      <c r="T1239" s="25">
        <v>0.25</v>
      </c>
      <c r="U1239" s="31">
        <f t="shared" si="20"/>
        <v>1.25</v>
      </c>
      <c r="V1239" s="25"/>
      <c r="W1239" s="33" t="s">
        <v>22</v>
      </c>
      <c r="X1239" s="33" t="s">
        <v>1789</v>
      </c>
      <c r="Y1239" s="33" t="s">
        <v>1788</v>
      </c>
      <c r="Z1239" s="33" t="s">
        <v>1787</v>
      </c>
      <c r="AA1239" s="33"/>
    </row>
    <row r="1240" spans="1:27" s="70" customFormat="1" ht="56.25" x14ac:dyDescent="0.2">
      <c r="A1240" s="24">
        <v>1236</v>
      </c>
      <c r="B1240" s="27" t="s">
        <v>1552</v>
      </c>
      <c r="C1240" s="28" t="s">
        <v>1551</v>
      </c>
      <c r="D1240" s="71" t="s">
        <v>1795</v>
      </c>
      <c r="E1240" s="28" t="s">
        <v>1794</v>
      </c>
      <c r="F1240" s="28" t="s">
        <v>1793</v>
      </c>
      <c r="G1240" s="27"/>
      <c r="H1240" s="28" t="s">
        <v>1864</v>
      </c>
      <c r="I1240" s="27"/>
      <c r="J1240" s="28" t="s">
        <v>1879</v>
      </c>
      <c r="K1240" s="27"/>
      <c r="L1240" s="25" t="s">
        <v>1938</v>
      </c>
      <c r="M1240" s="25" t="s">
        <v>190</v>
      </c>
      <c r="N1240" s="25">
        <v>24</v>
      </c>
      <c r="O1240" s="25"/>
      <c r="P1240" s="25"/>
      <c r="Q1240" s="25">
        <v>1.5</v>
      </c>
      <c r="R1240" s="25"/>
      <c r="S1240" s="25"/>
      <c r="T1240" s="25">
        <v>0.25</v>
      </c>
      <c r="U1240" s="31">
        <f t="shared" si="20"/>
        <v>1.75</v>
      </c>
      <c r="V1240" s="25"/>
      <c r="W1240" s="33" t="s">
        <v>22</v>
      </c>
      <c r="X1240" s="33" t="s">
        <v>1789</v>
      </c>
      <c r="Y1240" s="33" t="s">
        <v>1788</v>
      </c>
      <c r="Z1240" s="33" t="s">
        <v>1787</v>
      </c>
      <c r="AA1240" s="33"/>
    </row>
    <row r="1241" spans="1:27" s="70" customFormat="1" ht="56.25" x14ac:dyDescent="0.2">
      <c r="A1241" s="24">
        <v>1237</v>
      </c>
      <c r="B1241" s="27" t="s">
        <v>1552</v>
      </c>
      <c r="C1241" s="28" t="s">
        <v>1551</v>
      </c>
      <c r="D1241" s="71" t="s">
        <v>1795</v>
      </c>
      <c r="E1241" s="28" t="s">
        <v>1794</v>
      </c>
      <c r="F1241" s="28" t="s">
        <v>1793</v>
      </c>
      <c r="G1241" s="27"/>
      <c r="H1241" s="28" t="s">
        <v>1864</v>
      </c>
      <c r="I1241" s="27"/>
      <c r="J1241" s="28" t="s">
        <v>1879</v>
      </c>
      <c r="K1241" s="27"/>
      <c r="L1241" s="25" t="s">
        <v>1937</v>
      </c>
      <c r="M1241" s="25" t="s">
        <v>190</v>
      </c>
      <c r="N1241" s="25">
        <v>24</v>
      </c>
      <c r="O1241" s="25"/>
      <c r="P1241" s="25"/>
      <c r="Q1241" s="25">
        <v>1.5</v>
      </c>
      <c r="R1241" s="25"/>
      <c r="S1241" s="25"/>
      <c r="T1241" s="25">
        <v>0.25</v>
      </c>
      <c r="U1241" s="31">
        <f t="shared" si="20"/>
        <v>1.75</v>
      </c>
      <c r="V1241" s="25"/>
      <c r="W1241" s="33" t="s">
        <v>22</v>
      </c>
      <c r="X1241" s="33" t="s">
        <v>1789</v>
      </c>
      <c r="Y1241" s="33" t="s">
        <v>1788</v>
      </c>
      <c r="Z1241" s="33" t="s">
        <v>1787</v>
      </c>
      <c r="AA1241" s="33"/>
    </row>
    <row r="1242" spans="1:27" s="70" customFormat="1" ht="56.25" x14ac:dyDescent="0.2">
      <c r="A1242" s="24">
        <v>1238</v>
      </c>
      <c r="B1242" s="27" t="s">
        <v>1552</v>
      </c>
      <c r="C1242" s="28" t="s">
        <v>1551</v>
      </c>
      <c r="D1242" s="71" t="s">
        <v>1795</v>
      </c>
      <c r="E1242" s="28" t="s">
        <v>1794</v>
      </c>
      <c r="F1242" s="28" t="s">
        <v>1793</v>
      </c>
      <c r="G1242" s="27"/>
      <c r="H1242" s="28" t="s">
        <v>1864</v>
      </c>
      <c r="I1242" s="27"/>
      <c r="J1242" s="28" t="s">
        <v>1879</v>
      </c>
      <c r="K1242" s="27"/>
      <c r="L1242" s="25" t="s">
        <v>1936</v>
      </c>
      <c r="M1242" s="25" t="s">
        <v>190</v>
      </c>
      <c r="N1242" s="25">
        <v>24</v>
      </c>
      <c r="O1242" s="25"/>
      <c r="P1242" s="25"/>
      <c r="Q1242" s="25">
        <v>1.5</v>
      </c>
      <c r="R1242" s="25"/>
      <c r="S1242" s="25"/>
      <c r="T1242" s="25">
        <v>0.25</v>
      </c>
      <c r="U1242" s="31">
        <f t="shared" si="20"/>
        <v>1.75</v>
      </c>
      <c r="V1242" s="25"/>
      <c r="W1242" s="33" t="s">
        <v>22</v>
      </c>
      <c r="X1242" s="33" t="s">
        <v>1789</v>
      </c>
      <c r="Y1242" s="33" t="s">
        <v>1788</v>
      </c>
      <c r="Z1242" s="33" t="s">
        <v>1787</v>
      </c>
      <c r="AA1242" s="33"/>
    </row>
    <row r="1243" spans="1:27" s="70" customFormat="1" ht="56.25" x14ac:dyDescent="0.2">
      <c r="A1243" s="24">
        <v>1239</v>
      </c>
      <c r="B1243" s="27" t="s">
        <v>1552</v>
      </c>
      <c r="C1243" s="28" t="s">
        <v>1551</v>
      </c>
      <c r="D1243" s="71" t="s">
        <v>1795</v>
      </c>
      <c r="E1243" s="28" t="s">
        <v>1794</v>
      </c>
      <c r="F1243" s="28" t="s">
        <v>1793</v>
      </c>
      <c r="G1243" s="27"/>
      <c r="H1243" s="28" t="s">
        <v>1864</v>
      </c>
      <c r="I1243" s="27"/>
      <c r="J1243" s="28" t="s">
        <v>1879</v>
      </c>
      <c r="K1243" s="27"/>
      <c r="L1243" s="25" t="s">
        <v>1935</v>
      </c>
      <c r="M1243" s="25" t="s">
        <v>190</v>
      </c>
      <c r="N1243" s="25">
        <v>24</v>
      </c>
      <c r="O1243" s="25"/>
      <c r="P1243" s="25"/>
      <c r="Q1243" s="25">
        <v>1.5</v>
      </c>
      <c r="R1243" s="25"/>
      <c r="S1243" s="25"/>
      <c r="T1243" s="25">
        <v>0.25</v>
      </c>
      <c r="U1243" s="31">
        <f t="shared" si="20"/>
        <v>1.75</v>
      </c>
      <c r="V1243" s="25"/>
      <c r="W1243" s="33" t="s">
        <v>22</v>
      </c>
      <c r="X1243" s="33" t="s">
        <v>1789</v>
      </c>
      <c r="Y1243" s="33" t="s">
        <v>1788</v>
      </c>
      <c r="Z1243" s="33" t="s">
        <v>1787</v>
      </c>
      <c r="AA1243" s="33"/>
    </row>
    <row r="1244" spans="1:27" s="70" customFormat="1" ht="56.25" x14ac:dyDescent="0.2">
      <c r="A1244" s="24">
        <v>1240</v>
      </c>
      <c r="B1244" s="27" t="s">
        <v>1552</v>
      </c>
      <c r="C1244" s="28" t="s">
        <v>1551</v>
      </c>
      <c r="D1244" s="71" t="s">
        <v>1795</v>
      </c>
      <c r="E1244" s="28" t="s">
        <v>1794</v>
      </c>
      <c r="F1244" s="28" t="s">
        <v>1793</v>
      </c>
      <c r="G1244" s="27"/>
      <c r="H1244" s="28" t="s">
        <v>1864</v>
      </c>
      <c r="I1244" s="27"/>
      <c r="J1244" s="28" t="s">
        <v>1879</v>
      </c>
      <c r="K1244" s="27"/>
      <c r="L1244" s="25" t="s">
        <v>1934</v>
      </c>
      <c r="M1244" s="25" t="s">
        <v>190</v>
      </c>
      <c r="N1244" s="25">
        <v>24</v>
      </c>
      <c r="O1244" s="25"/>
      <c r="P1244" s="25"/>
      <c r="Q1244" s="25">
        <v>1.5</v>
      </c>
      <c r="R1244" s="25"/>
      <c r="S1244" s="25"/>
      <c r="T1244" s="25">
        <v>0.25</v>
      </c>
      <c r="U1244" s="31">
        <f t="shared" si="20"/>
        <v>1.75</v>
      </c>
      <c r="V1244" s="25"/>
      <c r="W1244" s="33" t="s">
        <v>22</v>
      </c>
      <c r="X1244" s="33" t="s">
        <v>1789</v>
      </c>
      <c r="Y1244" s="33" t="s">
        <v>1788</v>
      </c>
      <c r="Z1244" s="33" t="s">
        <v>1787</v>
      </c>
      <c r="AA1244" s="33"/>
    </row>
    <row r="1245" spans="1:27" s="70" customFormat="1" ht="56.25" x14ac:dyDescent="0.2">
      <c r="A1245" s="24">
        <v>1241</v>
      </c>
      <c r="B1245" s="27" t="s">
        <v>1552</v>
      </c>
      <c r="C1245" s="28" t="s">
        <v>1551</v>
      </c>
      <c r="D1245" s="71" t="s">
        <v>1795</v>
      </c>
      <c r="E1245" s="28" t="s">
        <v>1794</v>
      </c>
      <c r="F1245" s="28" t="s">
        <v>1793</v>
      </c>
      <c r="G1245" s="27"/>
      <c r="H1245" s="28" t="s">
        <v>1864</v>
      </c>
      <c r="I1245" s="27"/>
      <c r="J1245" s="28" t="s">
        <v>1879</v>
      </c>
      <c r="K1245" s="27"/>
      <c r="L1245" s="25" t="s">
        <v>1933</v>
      </c>
      <c r="M1245" s="25" t="s">
        <v>190</v>
      </c>
      <c r="N1245" s="25">
        <v>24</v>
      </c>
      <c r="O1245" s="25"/>
      <c r="P1245" s="25"/>
      <c r="Q1245" s="25">
        <v>1.5</v>
      </c>
      <c r="R1245" s="25"/>
      <c r="S1245" s="25"/>
      <c r="T1245" s="25">
        <v>0.25</v>
      </c>
      <c r="U1245" s="31">
        <f t="shared" si="20"/>
        <v>1.75</v>
      </c>
      <c r="V1245" s="25"/>
      <c r="W1245" s="33" t="s">
        <v>22</v>
      </c>
      <c r="X1245" s="33" t="s">
        <v>1789</v>
      </c>
      <c r="Y1245" s="33" t="s">
        <v>1788</v>
      </c>
      <c r="Z1245" s="33" t="s">
        <v>1787</v>
      </c>
      <c r="AA1245" s="33"/>
    </row>
    <row r="1246" spans="1:27" s="70" customFormat="1" ht="56.25" x14ac:dyDescent="0.2">
      <c r="A1246" s="24">
        <v>1242</v>
      </c>
      <c r="B1246" s="27" t="s">
        <v>1552</v>
      </c>
      <c r="C1246" s="28" t="s">
        <v>1551</v>
      </c>
      <c r="D1246" s="71" t="s">
        <v>1795</v>
      </c>
      <c r="E1246" s="28" t="s">
        <v>1794</v>
      </c>
      <c r="F1246" s="28" t="s">
        <v>1793</v>
      </c>
      <c r="G1246" s="27"/>
      <c r="H1246" s="28" t="s">
        <v>1864</v>
      </c>
      <c r="I1246" s="27"/>
      <c r="J1246" s="28" t="s">
        <v>1879</v>
      </c>
      <c r="K1246" s="27"/>
      <c r="L1246" s="25" t="s">
        <v>1932</v>
      </c>
      <c r="M1246" s="25" t="s">
        <v>190</v>
      </c>
      <c r="N1246" s="25">
        <v>24</v>
      </c>
      <c r="O1246" s="25"/>
      <c r="P1246" s="25"/>
      <c r="Q1246" s="25">
        <v>1.5</v>
      </c>
      <c r="R1246" s="25"/>
      <c r="S1246" s="25"/>
      <c r="T1246" s="25">
        <v>0.25</v>
      </c>
      <c r="U1246" s="31">
        <f t="shared" si="20"/>
        <v>1.75</v>
      </c>
      <c r="V1246" s="25"/>
      <c r="W1246" s="33" t="s">
        <v>22</v>
      </c>
      <c r="X1246" s="33" t="s">
        <v>1789</v>
      </c>
      <c r="Y1246" s="33" t="s">
        <v>1788</v>
      </c>
      <c r="Z1246" s="33" t="s">
        <v>1787</v>
      </c>
      <c r="AA1246" s="33"/>
    </row>
    <row r="1247" spans="1:27" s="70" customFormat="1" ht="56.25" x14ac:dyDescent="0.2">
      <c r="A1247" s="24">
        <v>1243</v>
      </c>
      <c r="B1247" s="27" t="s">
        <v>1552</v>
      </c>
      <c r="C1247" s="28" t="s">
        <v>1551</v>
      </c>
      <c r="D1247" s="71" t="s">
        <v>1795</v>
      </c>
      <c r="E1247" s="28" t="s">
        <v>1794</v>
      </c>
      <c r="F1247" s="28" t="s">
        <v>1793</v>
      </c>
      <c r="G1247" s="27"/>
      <c r="H1247" s="28" t="s">
        <v>1864</v>
      </c>
      <c r="I1247" s="27"/>
      <c r="J1247" s="28" t="s">
        <v>1879</v>
      </c>
      <c r="K1247" s="27"/>
      <c r="L1247" s="25" t="s">
        <v>1931</v>
      </c>
      <c r="M1247" s="25" t="s">
        <v>190</v>
      </c>
      <c r="N1247" s="25">
        <v>24</v>
      </c>
      <c r="O1247" s="25"/>
      <c r="P1247" s="25"/>
      <c r="Q1247" s="25">
        <v>1.5</v>
      </c>
      <c r="R1247" s="25"/>
      <c r="S1247" s="25"/>
      <c r="T1247" s="25">
        <v>0.25</v>
      </c>
      <c r="U1247" s="31">
        <f t="shared" si="20"/>
        <v>1.75</v>
      </c>
      <c r="V1247" s="25"/>
      <c r="W1247" s="33" t="s">
        <v>22</v>
      </c>
      <c r="X1247" s="33" t="s">
        <v>1789</v>
      </c>
      <c r="Y1247" s="33" t="s">
        <v>1788</v>
      </c>
      <c r="Z1247" s="33" t="s">
        <v>1787</v>
      </c>
      <c r="AA1247" s="33"/>
    </row>
    <row r="1248" spans="1:27" s="70" customFormat="1" ht="56.25" x14ac:dyDescent="0.2">
      <c r="A1248" s="24">
        <v>1244</v>
      </c>
      <c r="B1248" s="27" t="s">
        <v>1552</v>
      </c>
      <c r="C1248" s="28" t="s">
        <v>1551</v>
      </c>
      <c r="D1248" s="71" t="s">
        <v>1795</v>
      </c>
      <c r="E1248" s="28" t="s">
        <v>1794</v>
      </c>
      <c r="F1248" s="28" t="s">
        <v>1793</v>
      </c>
      <c r="G1248" s="27"/>
      <c r="H1248" s="28" t="s">
        <v>1864</v>
      </c>
      <c r="I1248" s="27"/>
      <c r="J1248" s="28" t="s">
        <v>1879</v>
      </c>
      <c r="K1248" s="27"/>
      <c r="L1248" s="25" t="s">
        <v>1930</v>
      </c>
      <c r="M1248" s="25" t="s">
        <v>190</v>
      </c>
      <c r="N1248" s="25">
        <v>4</v>
      </c>
      <c r="O1248" s="25"/>
      <c r="P1248" s="25"/>
      <c r="Q1248" s="25">
        <v>2</v>
      </c>
      <c r="R1248" s="25"/>
      <c r="S1248" s="25">
        <v>0.5</v>
      </c>
      <c r="T1248" s="25"/>
      <c r="U1248" s="31">
        <f t="shared" si="20"/>
        <v>2.5</v>
      </c>
      <c r="V1248" s="25"/>
      <c r="W1248" s="33" t="s">
        <v>22</v>
      </c>
      <c r="X1248" s="33" t="s">
        <v>1789</v>
      </c>
      <c r="Y1248" s="33" t="s">
        <v>1788</v>
      </c>
      <c r="Z1248" s="33" t="s">
        <v>1787</v>
      </c>
      <c r="AA1248" s="33"/>
    </row>
    <row r="1249" spans="1:27" s="70" customFormat="1" ht="56.25" x14ac:dyDescent="0.2">
      <c r="A1249" s="24">
        <v>1245</v>
      </c>
      <c r="B1249" s="27" t="s">
        <v>1552</v>
      </c>
      <c r="C1249" s="28" t="s">
        <v>1551</v>
      </c>
      <c r="D1249" s="71" t="s">
        <v>1795</v>
      </c>
      <c r="E1249" s="28" t="s">
        <v>1794</v>
      </c>
      <c r="F1249" s="28" t="s">
        <v>1793</v>
      </c>
      <c r="G1249" s="27"/>
      <c r="H1249" s="28" t="s">
        <v>1864</v>
      </c>
      <c r="I1249" s="27"/>
      <c r="J1249" s="28" t="s">
        <v>1879</v>
      </c>
      <c r="K1249" s="27"/>
      <c r="L1249" s="25" t="s">
        <v>1929</v>
      </c>
      <c r="M1249" s="25" t="s">
        <v>190</v>
      </c>
      <c r="N1249" s="25">
        <v>12</v>
      </c>
      <c r="O1249" s="25"/>
      <c r="P1249" s="25"/>
      <c r="Q1249" s="25">
        <v>24</v>
      </c>
      <c r="R1249" s="25"/>
      <c r="S1249" s="25">
        <v>1</v>
      </c>
      <c r="T1249" s="25"/>
      <c r="U1249" s="31">
        <f t="shared" si="20"/>
        <v>25</v>
      </c>
      <c r="V1249" s="25"/>
      <c r="W1249" s="33" t="s">
        <v>22</v>
      </c>
      <c r="X1249" s="33" t="s">
        <v>1789</v>
      </c>
      <c r="Y1249" s="33" t="s">
        <v>1788</v>
      </c>
      <c r="Z1249" s="33" t="s">
        <v>1787</v>
      </c>
      <c r="AA1249" s="33"/>
    </row>
    <row r="1250" spans="1:27" s="70" customFormat="1" ht="56.25" x14ac:dyDescent="0.2">
      <c r="A1250" s="24">
        <v>1246</v>
      </c>
      <c r="B1250" s="27" t="s">
        <v>1552</v>
      </c>
      <c r="C1250" s="28" t="s">
        <v>1551</v>
      </c>
      <c r="D1250" s="71" t="s">
        <v>1795</v>
      </c>
      <c r="E1250" s="28" t="s">
        <v>1794</v>
      </c>
      <c r="F1250" s="28" t="s">
        <v>1793</v>
      </c>
      <c r="G1250" s="27"/>
      <c r="H1250" s="28" t="s">
        <v>1864</v>
      </c>
      <c r="I1250" s="27"/>
      <c r="J1250" s="28" t="s">
        <v>1879</v>
      </c>
      <c r="K1250" s="27"/>
      <c r="L1250" s="25" t="s">
        <v>1928</v>
      </c>
      <c r="M1250" s="25" t="s">
        <v>190</v>
      </c>
      <c r="N1250" s="25">
        <v>49</v>
      </c>
      <c r="O1250" s="25"/>
      <c r="P1250" s="25">
        <v>4</v>
      </c>
      <c r="Q1250" s="25"/>
      <c r="R1250" s="25"/>
      <c r="S1250" s="25">
        <v>3</v>
      </c>
      <c r="T1250" s="25">
        <v>1</v>
      </c>
      <c r="U1250" s="31">
        <f t="shared" si="20"/>
        <v>8</v>
      </c>
      <c r="V1250" s="25"/>
      <c r="W1250" s="33" t="s">
        <v>22</v>
      </c>
      <c r="X1250" s="33" t="s">
        <v>1789</v>
      </c>
      <c r="Y1250" s="33" t="s">
        <v>1788</v>
      </c>
      <c r="Z1250" s="33" t="s">
        <v>1925</v>
      </c>
      <c r="AA1250" s="33"/>
    </row>
    <row r="1251" spans="1:27" s="70" customFormat="1" ht="56.25" x14ac:dyDescent="0.2">
      <c r="A1251" s="24">
        <v>1247</v>
      </c>
      <c r="B1251" s="27" t="s">
        <v>1552</v>
      </c>
      <c r="C1251" s="28" t="s">
        <v>1551</v>
      </c>
      <c r="D1251" s="71" t="s">
        <v>1795</v>
      </c>
      <c r="E1251" s="28" t="s">
        <v>1794</v>
      </c>
      <c r="F1251" s="28" t="s">
        <v>1793</v>
      </c>
      <c r="G1251" s="27"/>
      <c r="H1251" s="28" t="s">
        <v>1864</v>
      </c>
      <c r="I1251" s="27"/>
      <c r="J1251" s="28" t="s">
        <v>1879</v>
      </c>
      <c r="K1251" s="27"/>
      <c r="L1251" s="25" t="s">
        <v>1927</v>
      </c>
      <c r="M1251" s="25" t="s">
        <v>190</v>
      </c>
      <c r="N1251" s="25">
        <v>12</v>
      </c>
      <c r="O1251" s="25"/>
      <c r="P1251" s="25">
        <v>6</v>
      </c>
      <c r="Q1251" s="25"/>
      <c r="R1251" s="25"/>
      <c r="S1251" s="25">
        <v>4</v>
      </c>
      <c r="T1251" s="25">
        <v>2</v>
      </c>
      <c r="U1251" s="31">
        <f t="shared" si="20"/>
        <v>12</v>
      </c>
      <c r="V1251" s="25"/>
      <c r="W1251" s="33" t="s">
        <v>22</v>
      </c>
      <c r="X1251" s="33" t="s">
        <v>1789</v>
      </c>
      <c r="Y1251" s="33" t="s">
        <v>1788</v>
      </c>
      <c r="Z1251" s="33" t="s">
        <v>1925</v>
      </c>
      <c r="AA1251" s="33"/>
    </row>
    <row r="1252" spans="1:27" s="70" customFormat="1" ht="56.25" x14ac:dyDescent="0.2">
      <c r="A1252" s="24">
        <v>1248</v>
      </c>
      <c r="B1252" s="27" t="s">
        <v>1552</v>
      </c>
      <c r="C1252" s="28" t="s">
        <v>1551</v>
      </c>
      <c r="D1252" s="71" t="s">
        <v>1795</v>
      </c>
      <c r="E1252" s="28" t="s">
        <v>1794</v>
      </c>
      <c r="F1252" s="28" t="s">
        <v>1793</v>
      </c>
      <c r="G1252" s="27"/>
      <c r="H1252" s="28" t="s">
        <v>1864</v>
      </c>
      <c r="I1252" s="27"/>
      <c r="J1252" s="28" t="s">
        <v>1879</v>
      </c>
      <c r="K1252" s="27"/>
      <c r="L1252" s="25" t="s">
        <v>1926</v>
      </c>
      <c r="M1252" s="25" t="s">
        <v>190</v>
      </c>
      <c r="N1252" s="25">
        <v>4</v>
      </c>
      <c r="O1252" s="25"/>
      <c r="P1252" s="25">
        <v>8</v>
      </c>
      <c r="Q1252" s="25"/>
      <c r="R1252" s="25"/>
      <c r="S1252" s="25">
        <v>5</v>
      </c>
      <c r="T1252" s="25">
        <v>2</v>
      </c>
      <c r="U1252" s="31">
        <f t="shared" si="20"/>
        <v>15</v>
      </c>
      <c r="V1252" s="25"/>
      <c r="W1252" s="33" t="s">
        <v>22</v>
      </c>
      <c r="X1252" s="33" t="s">
        <v>1789</v>
      </c>
      <c r="Y1252" s="33" t="s">
        <v>1788</v>
      </c>
      <c r="Z1252" s="33" t="s">
        <v>1925</v>
      </c>
      <c r="AA1252" s="33"/>
    </row>
    <row r="1253" spans="1:27" s="70" customFormat="1" ht="56.25" x14ac:dyDescent="0.2">
      <c r="A1253" s="24">
        <v>1249</v>
      </c>
      <c r="B1253" s="27" t="s">
        <v>1552</v>
      </c>
      <c r="C1253" s="28" t="s">
        <v>1551</v>
      </c>
      <c r="D1253" s="71" t="s">
        <v>1795</v>
      </c>
      <c r="E1253" s="28" t="s">
        <v>1794</v>
      </c>
      <c r="F1253" s="28" t="s">
        <v>1793</v>
      </c>
      <c r="G1253" s="27"/>
      <c r="H1253" s="28" t="s">
        <v>1864</v>
      </c>
      <c r="I1253" s="27"/>
      <c r="J1253" s="28" t="s">
        <v>1879</v>
      </c>
      <c r="K1253" s="27"/>
      <c r="L1253" s="25" t="s">
        <v>1924</v>
      </c>
      <c r="M1253" s="25" t="s">
        <v>190</v>
      </c>
      <c r="N1253" s="25">
        <v>12</v>
      </c>
      <c r="O1253" s="25"/>
      <c r="P1253" s="25"/>
      <c r="Q1253" s="25">
        <v>2</v>
      </c>
      <c r="R1253" s="25"/>
      <c r="S1253" s="25">
        <v>0.5</v>
      </c>
      <c r="T1253" s="25"/>
      <c r="U1253" s="31">
        <f t="shared" si="20"/>
        <v>2.5</v>
      </c>
      <c r="V1253" s="25"/>
      <c r="W1253" s="33" t="s">
        <v>22</v>
      </c>
      <c r="X1253" s="33" t="s">
        <v>1789</v>
      </c>
      <c r="Y1253" s="33" t="s">
        <v>1788</v>
      </c>
      <c r="Z1253" s="33" t="s">
        <v>1820</v>
      </c>
      <c r="AA1253" s="33"/>
    </row>
    <row r="1254" spans="1:27" s="70" customFormat="1" ht="56.25" x14ac:dyDescent="0.2">
      <c r="A1254" s="24">
        <v>1250</v>
      </c>
      <c r="B1254" s="27" t="s">
        <v>1552</v>
      </c>
      <c r="C1254" s="28" t="s">
        <v>1551</v>
      </c>
      <c r="D1254" s="71" t="s">
        <v>1795</v>
      </c>
      <c r="E1254" s="28" t="s">
        <v>1794</v>
      </c>
      <c r="F1254" s="28" t="s">
        <v>1793</v>
      </c>
      <c r="G1254" s="27"/>
      <c r="H1254" s="28" t="s">
        <v>1864</v>
      </c>
      <c r="I1254" s="27"/>
      <c r="J1254" s="28" t="s">
        <v>1879</v>
      </c>
      <c r="K1254" s="27"/>
      <c r="L1254" s="25" t="s">
        <v>1923</v>
      </c>
      <c r="M1254" s="25" t="s">
        <v>190</v>
      </c>
      <c r="N1254" s="25">
        <v>4</v>
      </c>
      <c r="O1254" s="25"/>
      <c r="P1254" s="25"/>
      <c r="Q1254" s="25">
        <v>2</v>
      </c>
      <c r="R1254" s="25"/>
      <c r="S1254" s="25">
        <v>0.5</v>
      </c>
      <c r="T1254" s="25">
        <v>0.25</v>
      </c>
      <c r="U1254" s="31">
        <f t="shared" si="20"/>
        <v>2.75</v>
      </c>
      <c r="V1254" s="25"/>
      <c r="W1254" s="33" t="s">
        <v>22</v>
      </c>
      <c r="X1254" s="33" t="s">
        <v>1789</v>
      </c>
      <c r="Y1254" s="33" t="s">
        <v>1788</v>
      </c>
      <c r="Z1254" s="33" t="s">
        <v>1787</v>
      </c>
      <c r="AA1254" s="33"/>
    </row>
    <row r="1255" spans="1:27" s="70" customFormat="1" ht="56.25" x14ac:dyDescent="0.2">
      <c r="A1255" s="24">
        <v>1251</v>
      </c>
      <c r="B1255" s="27" t="s">
        <v>1552</v>
      </c>
      <c r="C1255" s="28" t="s">
        <v>1551</v>
      </c>
      <c r="D1255" s="71" t="s">
        <v>1795</v>
      </c>
      <c r="E1255" s="28" t="s">
        <v>1794</v>
      </c>
      <c r="F1255" s="28" t="s">
        <v>1793</v>
      </c>
      <c r="G1255" s="27"/>
      <c r="H1255" s="28" t="s">
        <v>1864</v>
      </c>
      <c r="I1255" s="27"/>
      <c r="J1255" s="28" t="s">
        <v>1879</v>
      </c>
      <c r="K1255" s="27"/>
      <c r="L1255" s="25" t="s">
        <v>1922</v>
      </c>
      <c r="M1255" s="25" t="s">
        <v>190</v>
      </c>
      <c r="N1255" s="25">
        <v>12</v>
      </c>
      <c r="O1255" s="25"/>
      <c r="P1255" s="25"/>
      <c r="Q1255" s="25">
        <v>2</v>
      </c>
      <c r="R1255" s="25"/>
      <c r="S1255" s="25">
        <v>0.5</v>
      </c>
      <c r="T1255" s="25">
        <v>0.25</v>
      </c>
      <c r="U1255" s="31">
        <f t="shared" si="20"/>
        <v>2.75</v>
      </c>
      <c r="V1255" s="25"/>
      <c r="W1255" s="33" t="s">
        <v>22</v>
      </c>
      <c r="X1255" s="33" t="s">
        <v>1789</v>
      </c>
      <c r="Y1255" s="33" t="s">
        <v>1788</v>
      </c>
      <c r="Z1255" s="33" t="s">
        <v>1787</v>
      </c>
      <c r="AA1255" s="33"/>
    </row>
    <row r="1256" spans="1:27" s="70" customFormat="1" ht="56.25" x14ac:dyDescent="0.2">
      <c r="A1256" s="24">
        <v>1252</v>
      </c>
      <c r="B1256" s="27" t="s">
        <v>1552</v>
      </c>
      <c r="C1256" s="28" t="s">
        <v>1551</v>
      </c>
      <c r="D1256" s="71" t="s">
        <v>1795</v>
      </c>
      <c r="E1256" s="28" t="s">
        <v>1794</v>
      </c>
      <c r="F1256" s="28" t="s">
        <v>1793</v>
      </c>
      <c r="G1256" s="27"/>
      <c r="H1256" s="28" t="s">
        <v>1864</v>
      </c>
      <c r="I1256" s="27"/>
      <c r="J1256" s="28" t="s">
        <v>1879</v>
      </c>
      <c r="K1256" s="27"/>
      <c r="L1256" s="25" t="s">
        <v>1921</v>
      </c>
      <c r="M1256" s="25" t="s">
        <v>190</v>
      </c>
      <c r="N1256" s="25">
        <v>4</v>
      </c>
      <c r="O1256" s="25"/>
      <c r="P1256" s="25"/>
      <c r="Q1256" s="25">
        <v>52</v>
      </c>
      <c r="R1256" s="25"/>
      <c r="S1256" s="25">
        <v>4</v>
      </c>
      <c r="T1256" s="25">
        <v>2</v>
      </c>
      <c r="U1256" s="31">
        <f t="shared" si="20"/>
        <v>58</v>
      </c>
      <c r="V1256" s="25"/>
      <c r="W1256" s="33" t="s">
        <v>22</v>
      </c>
      <c r="X1256" s="33" t="s">
        <v>1789</v>
      </c>
      <c r="Y1256" s="33" t="s">
        <v>1788</v>
      </c>
      <c r="Z1256" s="33" t="s">
        <v>1787</v>
      </c>
      <c r="AA1256" s="33"/>
    </row>
    <row r="1257" spans="1:27" s="70" customFormat="1" ht="56.25" x14ac:dyDescent="0.2">
      <c r="A1257" s="24">
        <v>1253</v>
      </c>
      <c r="B1257" s="27" t="s">
        <v>1552</v>
      </c>
      <c r="C1257" s="28" t="s">
        <v>1551</v>
      </c>
      <c r="D1257" s="71" t="s">
        <v>1795</v>
      </c>
      <c r="E1257" s="28" t="s">
        <v>1794</v>
      </c>
      <c r="F1257" s="28" t="s">
        <v>1793</v>
      </c>
      <c r="G1257" s="27"/>
      <c r="H1257" s="28" t="s">
        <v>1864</v>
      </c>
      <c r="I1257" s="27"/>
      <c r="J1257" s="28" t="s">
        <v>1879</v>
      </c>
      <c r="K1257" s="27"/>
      <c r="L1257" s="25" t="s">
        <v>1920</v>
      </c>
      <c r="M1257" s="25" t="s">
        <v>190</v>
      </c>
      <c r="N1257" s="25">
        <v>12</v>
      </c>
      <c r="O1257" s="25"/>
      <c r="P1257" s="25"/>
      <c r="Q1257" s="25">
        <v>1</v>
      </c>
      <c r="R1257" s="25"/>
      <c r="S1257" s="25">
        <v>0.5</v>
      </c>
      <c r="T1257" s="25"/>
      <c r="U1257" s="31">
        <f t="shared" si="20"/>
        <v>1.5</v>
      </c>
      <c r="V1257" s="25"/>
      <c r="W1257" s="33" t="s">
        <v>1918</v>
      </c>
      <c r="X1257" s="33"/>
      <c r="Y1257" s="33"/>
      <c r="Z1257" s="33"/>
      <c r="AA1257" s="33"/>
    </row>
    <row r="1258" spans="1:27" s="70" customFormat="1" ht="56.25" x14ac:dyDescent="0.2">
      <c r="A1258" s="24">
        <v>1254</v>
      </c>
      <c r="B1258" s="27" t="s">
        <v>1552</v>
      </c>
      <c r="C1258" s="28" t="s">
        <v>1551</v>
      </c>
      <c r="D1258" s="71" t="s">
        <v>1795</v>
      </c>
      <c r="E1258" s="28" t="s">
        <v>1794</v>
      </c>
      <c r="F1258" s="28" t="s">
        <v>1793</v>
      </c>
      <c r="G1258" s="27"/>
      <c r="H1258" s="28" t="s">
        <v>1864</v>
      </c>
      <c r="I1258" s="27"/>
      <c r="J1258" s="28" t="s">
        <v>1879</v>
      </c>
      <c r="K1258" s="27"/>
      <c r="L1258" s="25" t="s">
        <v>1919</v>
      </c>
      <c r="M1258" s="25" t="s">
        <v>190</v>
      </c>
      <c r="N1258" s="25">
        <v>12</v>
      </c>
      <c r="O1258" s="25"/>
      <c r="P1258" s="25"/>
      <c r="Q1258" s="25">
        <v>1</v>
      </c>
      <c r="R1258" s="25"/>
      <c r="S1258" s="25">
        <v>0.5</v>
      </c>
      <c r="T1258" s="25"/>
      <c r="U1258" s="31">
        <f t="shared" si="20"/>
        <v>1.5</v>
      </c>
      <c r="V1258" s="25"/>
      <c r="W1258" s="33" t="s">
        <v>1918</v>
      </c>
      <c r="X1258" s="33"/>
      <c r="Y1258" s="33"/>
      <c r="Z1258" s="33"/>
      <c r="AA1258" s="33"/>
    </row>
    <row r="1259" spans="1:27" s="70" customFormat="1" ht="56.25" x14ac:dyDescent="0.2">
      <c r="A1259" s="24">
        <v>1255</v>
      </c>
      <c r="B1259" s="27" t="s">
        <v>1552</v>
      </c>
      <c r="C1259" s="28" t="s">
        <v>1551</v>
      </c>
      <c r="D1259" s="71" t="s">
        <v>1795</v>
      </c>
      <c r="E1259" s="28" t="s">
        <v>1794</v>
      </c>
      <c r="F1259" s="28" t="s">
        <v>1793</v>
      </c>
      <c r="G1259" s="27"/>
      <c r="H1259" s="28" t="s">
        <v>1864</v>
      </c>
      <c r="I1259" s="27"/>
      <c r="J1259" s="28" t="s">
        <v>1879</v>
      </c>
      <c r="K1259" s="27"/>
      <c r="L1259" s="25" t="s">
        <v>1917</v>
      </c>
      <c r="M1259" s="25" t="s">
        <v>190</v>
      </c>
      <c r="N1259" s="25">
        <v>4</v>
      </c>
      <c r="O1259" s="25"/>
      <c r="P1259" s="25"/>
      <c r="Q1259" s="25"/>
      <c r="R1259" s="25"/>
      <c r="S1259" s="25"/>
      <c r="T1259" s="25"/>
      <c r="U1259" s="31">
        <f t="shared" si="20"/>
        <v>0</v>
      </c>
      <c r="V1259" s="25"/>
      <c r="W1259" s="33"/>
      <c r="X1259" s="33"/>
      <c r="Y1259" s="33"/>
      <c r="Z1259" s="33"/>
      <c r="AA1259" s="33"/>
    </row>
    <row r="1260" spans="1:27" s="70" customFormat="1" ht="56.25" x14ac:dyDescent="0.2">
      <c r="A1260" s="24">
        <v>1256</v>
      </c>
      <c r="B1260" s="27" t="s">
        <v>1552</v>
      </c>
      <c r="C1260" s="28" t="s">
        <v>1551</v>
      </c>
      <c r="D1260" s="71" t="s">
        <v>1795</v>
      </c>
      <c r="E1260" s="28" t="s">
        <v>1794</v>
      </c>
      <c r="F1260" s="28" t="s">
        <v>1793</v>
      </c>
      <c r="G1260" s="27"/>
      <c r="H1260" s="28" t="s">
        <v>1864</v>
      </c>
      <c r="I1260" s="27"/>
      <c r="J1260" s="28" t="s">
        <v>1879</v>
      </c>
      <c r="K1260" s="27"/>
      <c r="L1260" s="25" t="s">
        <v>1916</v>
      </c>
      <c r="M1260" s="25" t="s">
        <v>190</v>
      </c>
      <c r="N1260" s="25">
        <v>12</v>
      </c>
      <c r="O1260" s="25"/>
      <c r="P1260" s="25"/>
      <c r="Q1260" s="25">
        <v>4</v>
      </c>
      <c r="R1260" s="25"/>
      <c r="S1260" s="25">
        <v>1</v>
      </c>
      <c r="T1260" s="25"/>
      <c r="U1260" s="31">
        <f t="shared" si="20"/>
        <v>5</v>
      </c>
      <c r="V1260" s="25"/>
      <c r="W1260" s="33" t="s">
        <v>22</v>
      </c>
      <c r="X1260" s="33" t="s">
        <v>1789</v>
      </c>
      <c r="Y1260" s="33" t="s">
        <v>1788</v>
      </c>
      <c r="Z1260" s="33" t="s">
        <v>1787</v>
      </c>
      <c r="AA1260" s="33"/>
    </row>
    <row r="1261" spans="1:27" s="70" customFormat="1" ht="56.25" x14ac:dyDescent="0.2">
      <c r="A1261" s="24">
        <v>1257</v>
      </c>
      <c r="B1261" s="27" t="s">
        <v>1552</v>
      </c>
      <c r="C1261" s="28" t="s">
        <v>1551</v>
      </c>
      <c r="D1261" s="71" t="s">
        <v>1795</v>
      </c>
      <c r="E1261" s="28" t="s">
        <v>1794</v>
      </c>
      <c r="F1261" s="28" t="s">
        <v>1793</v>
      </c>
      <c r="G1261" s="27"/>
      <c r="H1261" s="28" t="s">
        <v>1864</v>
      </c>
      <c r="I1261" s="27"/>
      <c r="J1261" s="28" t="s">
        <v>1879</v>
      </c>
      <c r="K1261" s="27"/>
      <c r="L1261" s="25" t="s">
        <v>1915</v>
      </c>
      <c r="M1261" s="25" t="s">
        <v>190</v>
      </c>
      <c r="N1261" s="25">
        <v>12</v>
      </c>
      <c r="O1261" s="25"/>
      <c r="P1261" s="25"/>
      <c r="Q1261" s="25">
        <v>16</v>
      </c>
      <c r="R1261" s="25"/>
      <c r="S1261" s="25">
        <v>1</v>
      </c>
      <c r="T1261" s="25"/>
      <c r="U1261" s="31">
        <f t="shared" si="20"/>
        <v>17</v>
      </c>
      <c r="V1261" s="25"/>
      <c r="W1261" s="33" t="s">
        <v>22</v>
      </c>
      <c r="X1261" s="33" t="s">
        <v>1789</v>
      </c>
      <c r="Y1261" s="33" t="s">
        <v>1788</v>
      </c>
      <c r="Z1261" s="33" t="s">
        <v>1787</v>
      </c>
      <c r="AA1261" s="33"/>
    </row>
    <row r="1262" spans="1:27" s="70" customFormat="1" ht="56.25" x14ac:dyDescent="0.2">
      <c r="A1262" s="24">
        <v>1258</v>
      </c>
      <c r="B1262" s="27" t="s">
        <v>1552</v>
      </c>
      <c r="C1262" s="28" t="s">
        <v>1551</v>
      </c>
      <c r="D1262" s="71" t="s">
        <v>1795</v>
      </c>
      <c r="E1262" s="28" t="s">
        <v>1794</v>
      </c>
      <c r="F1262" s="28" t="s">
        <v>1793</v>
      </c>
      <c r="G1262" s="27"/>
      <c r="H1262" s="28" t="s">
        <v>1864</v>
      </c>
      <c r="I1262" s="27"/>
      <c r="J1262" s="28" t="s">
        <v>1879</v>
      </c>
      <c r="K1262" s="27"/>
      <c r="L1262" s="25" t="s">
        <v>1914</v>
      </c>
      <c r="M1262" s="25" t="s">
        <v>1911</v>
      </c>
      <c r="N1262" s="25">
        <v>4</v>
      </c>
      <c r="O1262" s="25"/>
      <c r="P1262" s="25"/>
      <c r="Q1262" s="25">
        <v>24</v>
      </c>
      <c r="R1262" s="25"/>
      <c r="S1262" s="25">
        <v>1</v>
      </c>
      <c r="T1262" s="25"/>
      <c r="U1262" s="31">
        <f t="shared" si="20"/>
        <v>25</v>
      </c>
      <c r="V1262" s="25"/>
      <c r="W1262" s="33" t="s">
        <v>22</v>
      </c>
      <c r="X1262" s="33" t="s">
        <v>1789</v>
      </c>
      <c r="Y1262" s="33" t="s">
        <v>1788</v>
      </c>
      <c r="Z1262" s="33" t="s">
        <v>1787</v>
      </c>
      <c r="AA1262" s="33"/>
    </row>
    <row r="1263" spans="1:27" s="70" customFormat="1" ht="56.25" x14ac:dyDescent="0.2">
      <c r="A1263" s="24">
        <v>1259</v>
      </c>
      <c r="B1263" s="27" t="s">
        <v>1552</v>
      </c>
      <c r="C1263" s="28" t="s">
        <v>1551</v>
      </c>
      <c r="D1263" s="71" t="s">
        <v>1795</v>
      </c>
      <c r="E1263" s="28" t="s">
        <v>1794</v>
      </c>
      <c r="F1263" s="28" t="s">
        <v>1793</v>
      </c>
      <c r="G1263" s="27"/>
      <c r="H1263" s="28" t="s">
        <v>1864</v>
      </c>
      <c r="I1263" s="27"/>
      <c r="J1263" s="28" t="s">
        <v>1879</v>
      </c>
      <c r="K1263" s="27"/>
      <c r="L1263" s="25" t="s">
        <v>1913</v>
      </c>
      <c r="M1263" s="25" t="s">
        <v>190</v>
      </c>
      <c r="N1263" s="25">
        <v>12</v>
      </c>
      <c r="O1263" s="25"/>
      <c r="P1263" s="25"/>
      <c r="Q1263" s="25">
        <v>4</v>
      </c>
      <c r="R1263" s="25"/>
      <c r="S1263" s="25">
        <v>0.5</v>
      </c>
      <c r="T1263" s="25"/>
      <c r="U1263" s="31">
        <f t="shared" si="20"/>
        <v>4.5</v>
      </c>
      <c r="V1263" s="25"/>
      <c r="W1263" s="33" t="s">
        <v>22</v>
      </c>
      <c r="X1263" s="33" t="s">
        <v>1789</v>
      </c>
      <c r="Y1263" s="33" t="s">
        <v>1788</v>
      </c>
      <c r="Z1263" s="33" t="s">
        <v>1787</v>
      </c>
      <c r="AA1263" s="33"/>
    </row>
    <row r="1264" spans="1:27" s="70" customFormat="1" ht="56.25" x14ac:dyDescent="0.2">
      <c r="A1264" s="24">
        <v>1260</v>
      </c>
      <c r="B1264" s="27" t="s">
        <v>1552</v>
      </c>
      <c r="C1264" s="28" t="s">
        <v>1551</v>
      </c>
      <c r="D1264" s="71" t="s">
        <v>1795</v>
      </c>
      <c r="E1264" s="28" t="s">
        <v>1794</v>
      </c>
      <c r="F1264" s="28" t="s">
        <v>1793</v>
      </c>
      <c r="G1264" s="27"/>
      <c r="H1264" s="28" t="s">
        <v>1864</v>
      </c>
      <c r="I1264" s="27"/>
      <c r="J1264" s="28" t="s">
        <v>1879</v>
      </c>
      <c r="K1264" s="27"/>
      <c r="L1264" s="25" t="s">
        <v>1912</v>
      </c>
      <c r="M1264" s="25" t="s">
        <v>1911</v>
      </c>
      <c r="N1264" s="25">
        <v>12</v>
      </c>
      <c r="O1264" s="25"/>
      <c r="P1264" s="25"/>
      <c r="Q1264" s="25">
        <v>8</v>
      </c>
      <c r="R1264" s="25"/>
      <c r="S1264" s="25">
        <v>1</v>
      </c>
      <c r="T1264" s="25"/>
      <c r="U1264" s="31">
        <f t="shared" si="20"/>
        <v>9</v>
      </c>
      <c r="V1264" s="25"/>
      <c r="W1264" s="33" t="s">
        <v>22</v>
      </c>
      <c r="X1264" s="33" t="s">
        <v>1789</v>
      </c>
      <c r="Y1264" s="33" t="s">
        <v>1788</v>
      </c>
      <c r="Z1264" s="33" t="s">
        <v>1787</v>
      </c>
      <c r="AA1264" s="33"/>
    </row>
    <row r="1265" spans="1:27" s="70" customFormat="1" ht="56.25" x14ac:dyDescent="0.2">
      <c r="A1265" s="24">
        <v>1261</v>
      </c>
      <c r="B1265" s="27" t="s">
        <v>1552</v>
      </c>
      <c r="C1265" s="28" t="s">
        <v>1551</v>
      </c>
      <c r="D1265" s="71" t="s">
        <v>1795</v>
      </c>
      <c r="E1265" s="28" t="s">
        <v>1794</v>
      </c>
      <c r="F1265" s="28" t="s">
        <v>1793</v>
      </c>
      <c r="G1265" s="27"/>
      <c r="H1265" s="28" t="s">
        <v>1864</v>
      </c>
      <c r="I1265" s="27"/>
      <c r="J1265" s="28" t="s">
        <v>1879</v>
      </c>
      <c r="K1265" s="27"/>
      <c r="L1265" s="25" t="s">
        <v>1910</v>
      </c>
      <c r="M1265" s="25" t="s">
        <v>190</v>
      </c>
      <c r="N1265" s="25">
        <v>4</v>
      </c>
      <c r="O1265" s="25"/>
      <c r="P1265" s="25"/>
      <c r="Q1265" s="25">
        <v>4</v>
      </c>
      <c r="R1265" s="25"/>
      <c r="S1265" s="25">
        <v>0.5</v>
      </c>
      <c r="T1265" s="25"/>
      <c r="U1265" s="31">
        <f t="shared" si="20"/>
        <v>4.5</v>
      </c>
      <c r="V1265" s="25"/>
      <c r="W1265" s="33" t="s">
        <v>22</v>
      </c>
      <c r="X1265" s="33" t="s">
        <v>1825</v>
      </c>
      <c r="Y1265" s="33" t="s">
        <v>1825</v>
      </c>
      <c r="Z1265" s="33" t="s">
        <v>1787</v>
      </c>
      <c r="AA1265" s="33"/>
    </row>
    <row r="1266" spans="1:27" s="70" customFormat="1" ht="56.25" x14ac:dyDescent="0.2">
      <c r="A1266" s="24">
        <v>1262</v>
      </c>
      <c r="B1266" s="27" t="s">
        <v>1552</v>
      </c>
      <c r="C1266" s="28" t="s">
        <v>1551</v>
      </c>
      <c r="D1266" s="71" t="s">
        <v>1795</v>
      </c>
      <c r="E1266" s="28" t="s">
        <v>1794</v>
      </c>
      <c r="F1266" s="28" t="s">
        <v>1793</v>
      </c>
      <c r="G1266" s="27"/>
      <c r="H1266" s="28" t="s">
        <v>1864</v>
      </c>
      <c r="I1266" s="27"/>
      <c r="J1266" s="28" t="s">
        <v>1879</v>
      </c>
      <c r="K1266" s="27"/>
      <c r="L1266" s="25" t="s">
        <v>1909</v>
      </c>
      <c r="M1266" s="25" t="s">
        <v>190</v>
      </c>
      <c r="N1266" s="25">
        <v>4</v>
      </c>
      <c r="O1266" s="25"/>
      <c r="P1266" s="25"/>
      <c r="Q1266" s="25">
        <v>4</v>
      </c>
      <c r="R1266" s="25"/>
      <c r="S1266" s="25">
        <v>0.5</v>
      </c>
      <c r="T1266" s="25"/>
      <c r="U1266" s="31">
        <f t="shared" si="20"/>
        <v>4.5</v>
      </c>
      <c r="V1266" s="25"/>
      <c r="W1266" s="33" t="s">
        <v>1908</v>
      </c>
      <c r="X1266" s="33"/>
      <c r="Y1266" s="33"/>
      <c r="Z1266" s="33"/>
      <c r="AA1266" s="33"/>
    </row>
    <row r="1267" spans="1:27" s="70" customFormat="1" ht="56.25" x14ac:dyDescent="0.2">
      <c r="A1267" s="24">
        <v>1263</v>
      </c>
      <c r="B1267" s="27" t="s">
        <v>1552</v>
      </c>
      <c r="C1267" s="28" t="s">
        <v>1551</v>
      </c>
      <c r="D1267" s="71" t="s">
        <v>1795</v>
      </c>
      <c r="E1267" s="28" t="s">
        <v>1794</v>
      </c>
      <c r="F1267" s="28" t="s">
        <v>1793</v>
      </c>
      <c r="G1267" s="27"/>
      <c r="H1267" s="28" t="s">
        <v>1864</v>
      </c>
      <c r="I1267" s="27"/>
      <c r="J1267" s="28" t="s">
        <v>1879</v>
      </c>
      <c r="K1267" s="27"/>
      <c r="L1267" s="25" t="s">
        <v>1907</v>
      </c>
      <c r="M1267" s="25" t="s">
        <v>190</v>
      </c>
      <c r="N1267" s="25">
        <v>12</v>
      </c>
      <c r="O1267" s="25"/>
      <c r="P1267" s="25"/>
      <c r="Q1267" s="25">
        <v>8</v>
      </c>
      <c r="R1267" s="25"/>
      <c r="S1267" s="25">
        <v>0.5</v>
      </c>
      <c r="T1267" s="25"/>
      <c r="U1267" s="31">
        <f t="shared" si="20"/>
        <v>8.5</v>
      </c>
      <c r="V1267" s="25"/>
      <c r="W1267" s="33" t="s">
        <v>193</v>
      </c>
      <c r="X1267" s="33"/>
      <c r="Y1267" s="33"/>
      <c r="Z1267" s="33"/>
      <c r="AA1267" s="33"/>
    </row>
    <row r="1268" spans="1:27" s="70" customFormat="1" ht="56.25" x14ac:dyDescent="0.2">
      <c r="A1268" s="24">
        <v>1264</v>
      </c>
      <c r="B1268" s="27" t="s">
        <v>1552</v>
      </c>
      <c r="C1268" s="28" t="s">
        <v>1551</v>
      </c>
      <c r="D1268" s="71" t="s">
        <v>1795</v>
      </c>
      <c r="E1268" s="28" t="s">
        <v>1794</v>
      </c>
      <c r="F1268" s="28" t="s">
        <v>1793</v>
      </c>
      <c r="G1268" s="27"/>
      <c r="H1268" s="28" t="s">
        <v>1864</v>
      </c>
      <c r="I1268" s="27"/>
      <c r="J1268" s="28" t="s">
        <v>1879</v>
      </c>
      <c r="K1268" s="27"/>
      <c r="L1268" s="25" t="s">
        <v>1906</v>
      </c>
      <c r="M1268" s="25" t="s">
        <v>190</v>
      </c>
      <c r="N1268" s="25">
        <v>4</v>
      </c>
      <c r="O1268" s="25"/>
      <c r="P1268" s="25"/>
      <c r="Q1268" s="25">
        <v>4</v>
      </c>
      <c r="R1268" s="25"/>
      <c r="S1268" s="25">
        <v>0.5</v>
      </c>
      <c r="T1268" s="25"/>
      <c r="U1268" s="31">
        <f t="shared" si="20"/>
        <v>4.5</v>
      </c>
      <c r="V1268" s="25"/>
      <c r="W1268" s="33" t="s">
        <v>1902</v>
      </c>
      <c r="X1268" s="33" t="s">
        <v>1789</v>
      </c>
      <c r="Y1268" s="33" t="s">
        <v>1788</v>
      </c>
      <c r="Z1268" s="33" t="s">
        <v>1787</v>
      </c>
      <c r="AA1268" s="33"/>
    </row>
    <row r="1269" spans="1:27" s="70" customFormat="1" ht="56.25" x14ac:dyDescent="0.2">
      <c r="A1269" s="24">
        <v>1265</v>
      </c>
      <c r="B1269" s="27" t="s">
        <v>1552</v>
      </c>
      <c r="C1269" s="28" t="s">
        <v>1551</v>
      </c>
      <c r="D1269" s="71" t="s">
        <v>1795</v>
      </c>
      <c r="E1269" s="28" t="s">
        <v>1794</v>
      </c>
      <c r="F1269" s="28" t="s">
        <v>1793</v>
      </c>
      <c r="G1269" s="27"/>
      <c r="H1269" s="28" t="s">
        <v>1864</v>
      </c>
      <c r="I1269" s="27"/>
      <c r="J1269" s="28" t="s">
        <v>1879</v>
      </c>
      <c r="K1269" s="27"/>
      <c r="L1269" s="25" t="s">
        <v>1905</v>
      </c>
      <c r="M1269" s="25" t="s">
        <v>190</v>
      </c>
      <c r="N1269" s="25">
        <v>12</v>
      </c>
      <c r="O1269" s="25"/>
      <c r="P1269" s="25"/>
      <c r="Q1269" s="25">
        <v>4</v>
      </c>
      <c r="R1269" s="25"/>
      <c r="S1269" s="25">
        <v>0.5</v>
      </c>
      <c r="T1269" s="25"/>
      <c r="U1269" s="31">
        <f t="shared" si="20"/>
        <v>4.5</v>
      </c>
      <c r="V1269" s="25"/>
      <c r="W1269" s="33" t="s">
        <v>193</v>
      </c>
      <c r="X1269" s="33"/>
      <c r="Y1269" s="33"/>
      <c r="Z1269" s="33"/>
      <c r="AA1269" s="33"/>
    </row>
    <row r="1270" spans="1:27" s="70" customFormat="1" ht="56.25" x14ac:dyDescent="0.2">
      <c r="A1270" s="24">
        <v>1266</v>
      </c>
      <c r="B1270" s="27" t="s">
        <v>1552</v>
      </c>
      <c r="C1270" s="28" t="s">
        <v>1551</v>
      </c>
      <c r="D1270" s="71" t="s">
        <v>1795</v>
      </c>
      <c r="E1270" s="28" t="s">
        <v>1794</v>
      </c>
      <c r="F1270" s="28" t="s">
        <v>1793</v>
      </c>
      <c r="G1270" s="27"/>
      <c r="H1270" s="28" t="s">
        <v>1864</v>
      </c>
      <c r="I1270" s="27"/>
      <c r="J1270" s="28" t="s">
        <v>1879</v>
      </c>
      <c r="K1270" s="27"/>
      <c r="L1270" s="25" t="s">
        <v>1904</v>
      </c>
      <c r="M1270" s="25" t="s">
        <v>190</v>
      </c>
      <c r="N1270" s="25">
        <v>12</v>
      </c>
      <c r="O1270" s="25"/>
      <c r="P1270" s="25"/>
      <c r="Q1270" s="25">
        <v>4</v>
      </c>
      <c r="R1270" s="25"/>
      <c r="S1270" s="25">
        <v>0.5</v>
      </c>
      <c r="T1270" s="25"/>
      <c r="U1270" s="31">
        <f t="shared" si="20"/>
        <v>4.5</v>
      </c>
      <c r="V1270" s="25"/>
      <c r="W1270" s="33" t="s">
        <v>1902</v>
      </c>
      <c r="X1270" s="33" t="s">
        <v>1789</v>
      </c>
      <c r="Y1270" s="33" t="s">
        <v>38</v>
      </c>
      <c r="Z1270" s="33" t="s">
        <v>1787</v>
      </c>
      <c r="AA1270" s="33"/>
    </row>
    <row r="1271" spans="1:27" s="70" customFormat="1" ht="56.25" x14ac:dyDescent="0.2">
      <c r="A1271" s="24">
        <v>1267</v>
      </c>
      <c r="B1271" s="27" t="s">
        <v>1552</v>
      </c>
      <c r="C1271" s="28" t="s">
        <v>1551</v>
      </c>
      <c r="D1271" s="71" t="s">
        <v>1795</v>
      </c>
      <c r="E1271" s="28" t="s">
        <v>1794</v>
      </c>
      <c r="F1271" s="28" t="s">
        <v>1793</v>
      </c>
      <c r="G1271" s="27"/>
      <c r="H1271" s="28" t="s">
        <v>1864</v>
      </c>
      <c r="I1271" s="27"/>
      <c r="J1271" s="28" t="s">
        <v>1879</v>
      </c>
      <c r="K1271" s="27"/>
      <c r="L1271" s="25" t="s">
        <v>1903</v>
      </c>
      <c r="M1271" s="25" t="s">
        <v>190</v>
      </c>
      <c r="N1271" s="25">
        <v>12</v>
      </c>
      <c r="O1271" s="25"/>
      <c r="P1271" s="25"/>
      <c r="Q1271" s="25">
        <v>4</v>
      </c>
      <c r="R1271" s="25"/>
      <c r="S1271" s="25">
        <v>0.5</v>
      </c>
      <c r="T1271" s="25"/>
      <c r="U1271" s="31">
        <f t="shared" si="20"/>
        <v>4.5</v>
      </c>
      <c r="V1271" s="25"/>
      <c r="W1271" s="33" t="s">
        <v>1902</v>
      </c>
      <c r="X1271" s="33" t="s">
        <v>1789</v>
      </c>
      <c r="Y1271" s="33" t="s">
        <v>38</v>
      </c>
      <c r="Z1271" s="33" t="s">
        <v>1787</v>
      </c>
      <c r="AA1271" s="33"/>
    </row>
    <row r="1272" spans="1:27" s="70" customFormat="1" ht="56.25" x14ac:dyDescent="0.2">
      <c r="A1272" s="24">
        <v>1268</v>
      </c>
      <c r="B1272" s="27" t="s">
        <v>1552</v>
      </c>
      <c r="C1272" s="28" t="s">
        <v>1551</v>
      </c>
      <c r="D1272" s="71" t="s">
        <v>1795</v>
      </c>
      <c r="E1272" s="28" t="s">
        <v>1794</v>
      </c>
      <c r="F1272" s="28" t="s">
        <v>1793</v>
      </c>
      <c r="G1272" s="27"/>
      <c r="H1272" s="28" t="s">
        <v>1864</v>
      </c>
      <c r="I1272" s="27"/>
      <c r="J1272" s="28" t="s">
        <v>1879</v>
      </c>
      <c r="K1272" s="27"/>
      <c r="L1272" s="25" t="s">
        <v>1901</v>
      </c>
      <c r="M1272" s="25" t="s">
        <v>190</v>
      </c>
      <c r="N1272" s="25">
        <v>4</v>
      </c>
      <c r="O1272" s="25"/>
      <c r="P1272" s="25"/>
      <c r="Q1272" s="25">
        <v>4</v>
      </c>
      <c r="R1272" s="25"/>
      <c r="S1272" s="25">
        <v>0.5</v>
      </c>
      <c r="T1272" s="25">
        <v>0.25</v>
      </c>
      <c r="U1272" s="31">
        <f t="shared" si="20"/>
        <v>4.75</v>
      </c>
      <c r="V1272" s="25"/>
      <c r="W1272" s="33" t="s">
        <v>22</v>
      </c>
      <c r="X1272" s="33" t="s">
        <v>1789</v>
      </c>
      <c r="Y1272" s="33" t="s">
        <v>1788</v>
      </c>
      <c r="Z1272" s="33" t="s">
        <v>1787</v>
      </c>
      <c r="AA1272" s="33"/>
    </row>
    <row r="1273" spans="1:27" s="70" customFormat="1" ht="56.25" x14ac:dyDescent="0.2">
      <c r="A1273" s="24">
        <v>1269</v>
      </c>
      <c r="B1273" s="27" t="s">
        <v>1552</v>
      </c>
      <c r="C1273" s="28" t="s">
        <v>1551</v>
      </c>
      <c r="D1273" s="71" t="s">
        <v>1795</v>
      </c>
      <c r="E1273" s="28" t="s">
        <v>1794</v>
      </c>
      <c r="F1273" s="28" t="s">
        <v>1793</v>
      </c>
      <c r="G1273" s="27"/>
      <c r="H1273" s="28" t="s">
        <v>1864</v>
      </c>
      <c r="I1273" s="27"/>
      <c r="J1273" s="28" t="s">
        <v>1879</v>
      </c>
      <c r="K1273" s="27"/>
      <c r="L1273" s="25" t="s">
        <v>1900</v>
      </c>
      <c r="M1273" s="25" t="s">
        <v>190</v>
      </c>
      <c r="N1273" s="25">
        <v>12</v>
      </c>
      <c r="O1273" s="25"/>
      <c r="P1273" s="25"/>
      <c r="Q1273" s="25">
        <v>2</v>
      </c>
      <c r="R1273" s="25"/>
      <c r="S1273" s="25">
        <v>0.5</v>
      </c>
      <c r="T1273" s="25">
        <v>0.25</v>
      </c>
      <c r="U1273" s="31">
        <f t="shared" si="20"/>
        <v>2.75</v>
      </c>
      <c r="V1273" s="25"/>
      <c r="W1273" s="33" t="s">
        <v>22</v>
      </c>
      <c r="X1273" s="33" t="s">
        <v>1789</v>
      </c>
      <c r="Y1273" s="33" t="s">
        <v>1788</v>
      </c>
      <c r="Z1273" s="33" t="s">
        <v>1787</v>
      </c>
      <c r="AA1273" s="33"/>
    </row>
    <row r="1274" spans="1:27" s="70" customFormat="1" ht="56.25" x14ac:dyDescent="0.2">
      <c r="A1274" s="24">
        <v>1270</v>
      </c>
      <c r="B1274" s="27" t="s">
        <v>1552</v>
      </c>
      <c r="C1274" s="28" t="s">
        <v>1551</v>
      </c>
      <c r="D1274" s="71" t="s">
        <v>1795</v>
      </c>
      <c r="E1274" s="28" t="s">
        <v>1794</v>
      </c>
      <c r="F1274" s="28" t="s">
        <v>1793</v>
      </c>
      <c r="G1274" s="27"/>
      <c r="H1274" s="28" t="s">
        <v>1864</v>
      </c>
      <c r="I1274" s="27"/>
      <c r="J1274" s="28" t="s">
        <v>1879</v>
      </c>
      <c r="K1274" s="27"/>
      <c r="L1274" s="25" t="s">
        <v>1899</v>
      </c>
      <c r="M1274" s="25" t="s">
        <v>190</v>
      </c>
      <c r="N1274" s="25">
        <v>12</v>
      </c>
      <c r="O1274" s="25"/>
      <c r="P1274" s="25"/>
      <c r="Q1274" s="25">
        <v>4</v>
      </c>
      <c r="R1274" s="25"/>
      <c r="S1274" s="25">
        <v>0.5</v>
      </c>
      <c r="T1274" s="25"/>
      <c r="U1274" s="31">
        <f t="shared" si="20"/>
        <v>4.5</v>
      </c>
      <c r="V1274" s="25"/>
      <c r="W1274" s="33" t="s">
        <v>22</v>
      </c>
      <c r="X1274" s="33" t="s">
        <v>1789</v>
      </c>
      <c r="Y1274" s="33" t="s">
        <v>1788</v>
      </c>
      <c r="Z1274" s="33" t="s">
        <v>1787</v>
      </c>
      <c r="AA1274" s="33"/>
    </row>
    <row r="1275" spans="1:27" s="70" customFormat="1" ht="56.25" x14ac:dyDescent="0.2">
      <c r="A1275" s="24">
        <v>1271</v>
      </c>
      <c r="B1275" s="27" t="s">
        <v>1552</v>
      </c>
      <c r="C1275" s="28" t="s">
        <v>1551</v>
      </c>
      <c r="D1275" s="71" t="s">
        <v>1795</v>
      </c>
      <c r="E1275" s="28" t="s">
        <v>1794</v>
      </c>
      <c r="F1275" s="28" t="s">
        <v>1793</v>
      </c>
      <c r="G1275" s="27"/>
      <c r="H1275" s="28" t="s">
        <v>1864</v>
      </c>
      <c r="I1275" s="27"/>
      <c r="J1275" s="28" t="s">
        <v>1879</v>
      </c>
      <c r="K1275" s="27"/>
      <c r="L1275" s="25" t="s">
        <v>1898</v>
      </c>
      <c r="M1275" s="25" t="s">
        <v>190</v>
      </c>
      <c r="N1275" s="25">
        <v>12</v>
      </c>
      <c r="O1275" s="25"/>
      <c r="P1275" s="25"/>
      <c r="Q1275" s="25">
        <v>1</v>
      </c>
      <c r="R1275" s="25"/>
      <c r="S1275" s="25">
        <v>0.5</v>
      </c>
      <c r="T1275" s="25"/>
      <c r="U1275" s="31">
        <f t="shared" si="20"/>
        <v>1.5</v>
      </c>
      <c r="V1275" s="25"/>
      <c r="W1275" s="33" t="s">
        <v>22</v>
      </c>
      <c r="X1275" s="33" t="s">
        <v>1789</v>
      </c>
      <c r="Y1275" s="33" t="s">
        <v>1788</v>
      </c>
      <c r="Z1275" s="33" t="s">
        <v>1787</v>
      </c>
      <c r="AA1275" s="33"/>
    </row>
    <row r="1276" spans="1:27" s="70" customFormat="1" ht="56.25" x14ac:dyDescent="0.2">
      <c r="A1276" s="24">
        <v>1272</v>
      </c>
      <c r="B1276" s="27" t="s">
        <v>1552</v>
      </c>
      <c r="C1276" s="28" t="s">
        <v>1551</v>
      </c>
      <c r="D1276" s="71" t="s">
        <v>1795</v>
      </c>
      <c r="E1276" s="28" t="s">
        <v>1794</v>
      </c>
      <c r="F1276" s="28" t="s">
        <v>1793</v>
      </c>
      <c r="G1276" s="27"/>
      <c r="H1276" s="28" t="s">
        <v>1864</v>
      </c>
      <c r="I1276" s="27"/>
      <c r="J1276" s="28" t="s">
        <v>1879</v>
      </c>
      <c r="K1276" s="27"/>
      <c r="L1276" s="25" t="s">
        <v>1897</v>
      </c>
      <c r="M1276" s="25" t="s">
        <v>190</v>
      </c>
      <c r="N1276" s="25">
        <v>12</v>
      </c>
      <c r="O1276" s="25"/>
      <c r="P1276" s="25"/>
      <c r="Q1276" s="25">
        <v>1</v>
      </c>
      <c r="R1276" s="25"/>
      <c r="S1276" s="25">
        <v>0.5</v>
      </c>
      <c r="T1276" s="25"/>
      <c r="U1276" s="31">
        <f t="shared" si="20"/>
        <v>1.5</v>
      </c>
      <c r="V1276" s="25"/>
      <c r="W1276" s="33" t="s">
        <v>22</v>
      </c>
      <c r="X1276" s="33" t="s">
        <v>1789</v>
      </c>
      <c r="Y1276" s="33" t="s">
        <v>1788</v>
      </c>
      <c r="Z1276" s="33" t="s">
        <v>1787</v>
      </c>
      <c r="AA1276" s="33"/>
    </row>
    <row r="1277" spans="1:27" s="70" customFormat="1" ht="56.25" x14ac:dyDescent="0.2">
      <c r="A1277" s="24">
        <v>1273</v>
      </c>
      <c r="B1277" s="27" t="s">
        <v>1552</v>
      </c>
      <c r="C1277" s="28" t="s">
        <v>1551</v>
      </c>
      <c r="D1277" s="71" t="s">
        <v>1795</v>
      </c>
      <c r="E1277" s="28" t="s">
        <v>1794</v>
      </c>
      <c r="F1277" s="28" t="s">
        <v>1793</v>
      </c>
      <c r="G1277" s="27"/>
      <c r="H1277" s="28" t="s">
        <v>1864</v>
      </c>
      <c r="I1277" s="27"/>
      <c r="J1277" s="28" t="s">
        <v>1879</v>
      </c>
      <c r="K1277" s="27"/>
      <c r="L1277" s="25" t="s">
        <v>1896</v>
      </c>
      <c r="M1277" s="25" t="s">
        <v>190</v>
      </c>
      <c r="N1277" s="25">
        <v>12</v>
      </c>
      <c r="O1277" s="25"/>
      <c r="P1277" s="25"/>
      <c r="Q1277" s="25">
        <v>8</v>
      </c>
      <c r="R1277" s="25"/>
      <c r="S1277" s="25">
        <v>0.5</v>
      </c>
      <c r="T1277" s="25"/>
      <c r="U1277" s="31">
        <f t="shared" si="20"/>
        <v>8.5</v>
      </c>
      <c r="V1277" s="25"/>
      <c r="W1277" s="33" t="s">
        <v>22</v>
      </c>
      <c r="X1277" s="33" t="s">
        <v>1789</v>
      </c>
      <c r="Y1277" s="33" t="s">
        <v>1788</v>
      </c>
      <c r="Z1277" s="33" t="s">
        <v>1787</v>
      </c>
      <c r="AA1277" s="33"/>
    </row>
    <row r="1278" spans="1:27" s="70" customFormat="1" ht="56.25" x14ac:dyDescent="0.2">
      <c r="A1278" s="24">
        <v>1274</v>
      </c>
      <c r="B1278" s="27" t="s">
        <v>1552</v>
      </c>
      <c r="C1278" s="28" t="s">
        <v>1551</v>
      </c>
      <c r="D1278" s="71" t="s">
        <v>1795</v>
      </c>
      <c r="E1278" s="28" t="s">
        <v>1794</v>
      </c>
      <c r="F1278" s="28" t="s">
        <v>1793</v>
      </c>
      <c r="G1278" s="27"/>
      <c r="H1278" s="28" t="s">
        <v>1864</v>
      </c>
      <c r="I1278" s="27"/>
      <c r="J1278" s="28" t="s">
        <v>1879</v>
      </c>
      <c r="K1278" s="27"/>
      <c r="L1278" s="25" t="s">
        <v>1895</v>
      </c>
      <c r="M1278" s="25" t="s">
        <v>190</v>
      </c>
      <c r="N1278" s="25">
        <v>12</v>
      </c>
      <c r="O1278" s="25"/>
      <c r="P1278" s="25"/>
      <c r="Q1278" s="25">
        <v>4</v>
      </c>
      <c r="R1278" s="25"/>
      <c r="S1278" s="25">
        <v>0.5</v>
      </c>
      <c r="T1278" s="25">
        <v>0.25</v>
      </c>
      <c r="U1278" s="31">
        <f t="shared" si="20"/>
        <v>4.75</v>
      </c>
      <c r="V1278" s="25"/>
      <c r="W1278" s="33" t="s">
        <v>22</v>
      </c>
      <c r="X1278" s="33" t="s">
        <v>1789</v>
      </c>
      <c r="Y1278" s="33" t="s">
        <v>1788</v>
      </c>
      <c r="Z1278" s="33" t="s">
        <v>1787</v>
      </c>
      <c r="AA1278" s="33"/>
    </row>
    <row r="1279" spans="1:27" s="70" customFormat="1" ht="56.25" x14ac:dyDescent="0.2">
      <c r="A1279" s="24">
        <v>1275</v>
      </c>
      <c r="B1279" s="27" t="s">
        <v>1552</v>
      </c>
      <c r="C1279" s="28" t="s">
        <v>1551</v>
      </c>
      <c r="D1279" s="71" t="s">
        <v>1795</v>
      </c>
      <c r="E1279" s="28" t="s">
        <v>1794</v>
      </c>
      <c r="F1279" s="28" t="s">
        <v>1793</v>
      </c>
      <c r="G1279" s="27"/>
      <c r="H1279" s="28" t="s">
        <v>1864</v>
      </c>
      <c r="I1279" s="27"/>
      <c r="J1279" s="28" t="s">
        <v>1879</v>
      </c>
      <c r="K1279" s="27"/>
      <c r="L1279" s="25" t="s">
        <v>1894</v>
      </c>
      <c r="M1279" s="25" t="s">
        <v>190</v>
      </c>
      <c r="N1279" s="25">
        <v>4</v>
      </c>
      <c r="O1279" s="25"/>
      <c r="P1279" s="25"/>
      <c r="Q1279" s="25">
        <v>4</v>
      </c>
      <c r="R1279" s="25"/>
      <c r="S1279" s="25">
        <v>0.5</v>
      </c>
      <c r="T1279" s="25">
        <v>0.25</v>
      </c>
      <c r="U1279" s="31">
        <f t="shared" si="20"/>
        <v>4.75</v>
      </c>
      <c r="V1279" s="25"/>
      <c r="W1279" s="33" t="s">
        <v>22</v>
      </c>
      <c r="X1279" s="33" t="s">
        <v>1789</v>
      </c>
      <c r="Y1279" s="33" t="s">
        <v>1788</v>
      </c>
      <c r="Z1279" s="33" t="s">
        <v>1787</v>
      </c>
      <c r="AA1279" s="33"/>
    </row>
    <row r="1280" spans="1:27" s="70" customFormat="1" ht="56.25" x14ac:dyDescent="0.2">
      <c r="A1280" s="24">
        <v>1276</v>
      </c>
      <c r="B1280" s="27" t="s">
        <v>1552</v>
      </c>
      <c r="C1280" s="28" t="s">
        <v>1551</v>
      </c>
      <c r="D1280" s="71" t="s">
        <v>1795</v>
      </c>
      <c r="E1280" s="28" t="s">
        <v>1794</v>
      </c>
      <c r="F1280" s="28" t="s">
        <v>1793</v>
      </c>
      <c r="G1280" s="27"/>
      <c r="H1280" s="28" t="s">
        <v>1864</v>
      </c>
      <c r="I1280" s="27"/>
      <c r="J1280" s="28" t="s">
        <v>1879</v>
      </c>
      <c r="K1280" s="27"/>
      <c r="L1280" s="25" t="s">
        <v>1893</v>
      </c>
      <c r="M1280" s="25" t="s">
        <v>190</v>
      </c>
      <c r="N1280" s="25">
        <v>12</v>
      </c>
      <c r="O1280" s="25"/>
      <c r="P1280" s="25"/>
      <c r="Q1280" s="25">
        <v>2</v>
      </c>
      <c r="R1280" s="25"/>
      <c r="S1280" s="25">
        <v>0.5</v>
      </c>
      <c r="T1280" s="25">
        <v>0.25</v>
      </c>
      <c r="U1280" s="31">
        <f t="shared" si="20"/>
        <v>2.75</v>
      </c>
      <c r="V1280" s="25"/>
      <c r="W1280" s="33" t="s">
        <v>22</v>
      </c>
      <c r="X1280" s="33" t="s">
        <v>1789</v>
      </c>
      <c r="Y1280" s="33" t="s">
        <v>1788</v>
      </c>
      <c r="Z1280" s="33" t="s">
        <v>1787</v>
      </c>
      <c r="AA1280" s="33"/>
    </row>
    <row r="1281" spans="1:27" s="70" customFormat="1" ht="56.25" x14ac:dyDescent="0.2">
      <c r="A1281" s="24">
        <v>1277</v>
      </c>
      <c r="B1281" s="27" t="s">
        <v>1552</v>
      </c>
      <c r="C1281" s="28" t="s">
        <v>1551</v>
      </c>
      <c r="D1281" s="71" t="s">
        <v>1795</v>
      </c>
      <c r="E1281" s="28" t="s">
        <v>1794</v>
      </c>
      <c r="F1281" s="28" t="s">
        <v>1793</v>
      </c>
      <c r="G1281" s="27"/>
      <c r="H1281" s="28" t="s">
        <v>1864</v>
      </c>
      <c r="I1281" s="27"/>
      <c r="J1281" s="28" t="s">
        <v>1879</v>
      </c>
      <c r="K1281" s="27"/>
      <c r="L1281" s="25" t="s">
        <v>1892</v>
      </c>
      <c r="M1281" s="25" t="s">
        <v>190</v>
      </c>
      <c r="N1281" s="25">
        <v>12</v>
      </c>
      <c r="O1281" s="25"/>
      <c r="P1281" s="25"/>
      <c r="Q1281" s="25">
        <v>4</v>
      </c>
      <c r="R1281" s="25"/>
      <c r="S1281" s="25">
        <v>0.5</v>
      </c>
      <c r="T1281" s="25">
        <v>0.25</v>
      </c>
      <c r="U1281" s="31">
        <f t="shared" si="20"/>
        <v>4.75</v>
      </c>
      <c r="V1281" s="25"/>
      <c r="W1281" s="33" t="s">
        <v>22</v>
      </c>
      <c r="X1281" s="33" t="s">
        <v>1789</v>
      </c>
      <c r="Y1281" s="33" t="s">
        <v>1788</v>
      </c>
      <c r="Z1281" s="33" t="s">
        <v>1787</v>
      </c>
      <c r="AA1281" s="33"/>
    </row>
    <row r="1282" spans="1:27" s="70" customFormat="1" ht="56.25" x14ac:dyDescent="0.2">
      <c r="A1282" s="24">
        <v>1278</v>
      </c>
      <c r="B1282" s="27" t="s">
        <v>1552</v>
      </c>
      <c r="C1282" s="28" t="s">
        <v>1551</v>
      </c>
      <c r="D1282" s="71" t="s">
        <v>1795</v>
      </c>
      <c r="E1282" s="28" t="s">
        <v>1794</v>
      </c>
      <c r="F1282" s="28" t="s">
        <v>1793</v>
      </c>
      <c r="G1282" s="27"/>
      <c r="H1282" s="28" t="s">
        <v>1864</v>
      </c>
      <c r="I1282" s="27"/>
      <c r="J1282" s="28" t="s">
        <v>1879</v>
      </c>
      <c r="K1282" s="27"/>
      <c r="L1282" s="25" t="s">
        <v>1891</v>
      </c>
      <c r="M1282" s="25" t="s">
        <v>190</v>
      </c>
      <c r="N1282" s="25">
        <v>12</v>
      </c>
      <c r="O1282" s="25"/>
      <c r="P1282" s="25"/>
      <c r="Q1282" s="25">
        <v>2</v>
      </c>
      <c r="R1282" s="25"/>
      <c r="S1282" s="25">
        <v>0.5</v>
      </c>
      <c r="T1282" s="25">
        <v>0.25</v>
      </c>
      <c r="U1282" s="31">
        <f t="shared" si="20"/>
        <v>2.75</v>
      </c>
      <c r="V1282" s="25"/>
      <c r="W1282" s="33" t="s">
        <v>22</v>
      </c>
      <c r="X1282" s="33" t="s">
        <v>1789</v>
      </c>
      <c r="Y1282" s="33" t="s">
        <v>1788</v>
      </c>
      <c r="Z1282" s="33" t="s">
        <v>1787</v>
      </c>
      <c r="AA1282" s="33"/>
    </row>
    <row r="1283" spans="1:27" s="70" customFormat="1" ht="56.25" x14ac:dyDescent="0.2">
      <c r="A1283" s="24">
        <v>1279</v>
      </c>
      <c r="B1283" s="27" t="s">
        <v>1552</v>
      </c>
      <c r="C1283" s="28" t="s">
        <v>1551</v>
      </c>
      <c r="D1283" s="71" t="s">
        <v>1795</v>
      </c>
      <c r="E1283" s="28" t="s">
        <v>1794</v>
      </c>
      <c r="F1283" s="28" t="s">
        <v>1793</v>
      </c>
      <c r="G1283" s="27"/>
      <c r="H1283" s="28" t="s">
        <v>1864</v>
      </c>
      <c r="I1283" s="27"/>
      <c r="J1283" s="28" t="s">
        <v>1879</v>
      </c>
      <c r="K1283" s="27"/>
      <c r="L1283" s="25" t="s">
        <v>1890</v>
      </c>
      <c r="M1283" s="25" t="s">
        <v>190</v>
      </c>
      <c r="N1283" s="25">
        <v>48</v>
      </c>
      <c r="O1283" s="25"/>
      <c r="P1283" s="25"/>
      <c r="Q1283" s="25">
        <v>0.5</v>
      </c>
      <c r="R1283" s="25"/>
      <c r="S1283" s="25">
        <v>0.25</v>
      </c>
      <c r="T1283" s="25"/>
      <c r="U1283" s="31">
        <f t="shared" si="20"/>
        <v>0.75</v>
      </c>
      <c r="V1283" s="25"/>
      <c r="W1283" s="33" t="s">
        <v>22</v>
      </c>
      <c r="X1283" s="33" t="s">
        <v>1789</v>
      </c>
      <c r="Y1283" s="33" t="s">
        <v>1788</v>
      </c>
      <c r="Z1283" s="33" t="s">
        <v>1787</v>
      </c>
      <c r="AA1283" s="33"/>
    </row>
    <row r="1284" spans="1:27" s="70" customFormat="1" ht="56.25" x14ac:dyDescent="0.2">
      <c r="A1284" s="24">
        <v>1280</v>
      </c>
      <c r="B1284" s="27" t="s">
        <v>1552</v>
      </c>
      <c r="C1284" s="28" t="s">
        <v>1551</v>
      </c>
      <c r="D1284" s="71" t="s">
        <v>1795</v>
      </c>
      <c r="E1284" s="28" t="s">
        <v>1794</v>
      </c>
      <c r="F1284" s="28" t="s">
        <v>1793</v>
      </c>
      <c r="G1284" s="27"/>
      <c r="H1284" s="28" t="s">
        <v>1864</v>
      </c>
      <c r="I1284" s="27"/>
      <c r="J1284" s="28" t="s">
        <v>1879</v>
      </c>
      <c r="K1284" s="27"/>
      <c r="L1284" s="25" t="s">
        <v>1889</v>
      </c>
      <c r="M1284" s="25" t="s">
        <v>190</v>
      </c>
      <c r="N1284" s="25">
        <v>4</v>
      </c>
      <c r="O1284" s="25"/>
      <c r="P1284" s="25"/>
      <c r="Q1284" s="25">
        <v>8</v>
      </c>
      <c r="R1284" s="25"/>
      <c r="S1284" s="25"/>
      <c r="T1284" s="25">
        <v>0.5</v>
      </c>
      <c r="U1284" s="31">
        <f t="shared" si="20"/>
        <v>8.5</v>
      </c>
      <c r="V1284" s="25"/>
      <c r="W1284" s="33" t="s">
        <v>22</v>
      </c>
      <c r="X1284" s="33" t="s">
        <v>1789</v>
      </c>
      <c r="Y1284" s="33" t="s">
        <v>1788</v>
      </c>
      <c r="Z1284" s="33" t="s">
        <v>1787</v>
      </c>
      <c r="AA1284" s="33"/>
    </row>
    <row r="1285" spans="1:27" s="70" customFormat="1" ht="56.25" x14ac:dyDescent="0.2">
      <c r="A1285" s="24">
        <v>1281</v>
      </c>
      <c r="B1285" s="27" t="s">
        <v>1552</v>
      </c>
      <c r="C1285" s="28" t="s">
        <v>1551</v>
      </c>
      <c r="D1285" s="71" t="s">
        <v>1795</v>
      </c>
      <c r="E1285" s="28" t="s">
        <v>1794</v>
      </c>
      <c r="F1285" s="28" t="s">
        <v>1793</v>
      </c>
      <c r="G1285" s="27"/>
      <c r="H1285" s="28" t="s">
        <v>1864</v>
      </c>
      <c r="I1285" s="27"/>
      <c r="J1285" s="28" t="s">
        <v>1879</v>
      </c>
      <c r="K1285" s="27"/>
      <c r="L1285" s="25" t="s">
        <v>1888</v>
      </c>
      <c r="M1285" s="25" t="s">
        <v>190</v>
      </c>
      <c r="N1285" s="25">
        <v>12</v>
      </c>
      <c r="O1285" s="25"/>
      <c r="P1285" s="25"/>
      <c r="Q1285" s="25">
        <v>8</v>
      </c>
      <c r="R1285" s="25"/>
      <c r="S1285" s="25"/>
      <c r="T1285" s="25">
        <v>0.5</v>
      </c>
      <c r="U1285" s="31">
        <f t="shared" si="20"/>
        <v>8.5</v>
      </c>
      <c r="V1285" s="25"/>
      <c r="W1285" s="33" t="s">
        <v>22</v>
      </c>
      <c r="X1285" s="33" t="s">
        <v>1789</v>
      </c>
      <c r="Y1285" s="33" t="s">
        <v>1788</v>
      </c>
      <c r="Z1285" s="33" t="s">
        <v>1787</v>
      </c>
      <c r="AA1285" s="33"/>
    </row>
    <row r="1286" spans="1:27" s="70" customFormat="1" ht="56.25" x14ac:dyDescent="0.2">
      <c r="A1286" s="24">
        <v>1282</v>
      </c>
      <c r="B1286" s="27" t="s">
        <v>1552</v>
      </c>
      <c r="C1286" s="28" t="s">
        <v>1551</v>
      </c>
      <c r="D1286" s="71" t="s">
        <v>1795</v>
      </c>
      <c r="E1286" s="28" t="s">
        <v>1794</v>
      </c>
      <c r="F1286" s="28" t="s">
        <v>1793</v>
      </c>
      <c r="G1286" s="27"/>
      <c r="H1286" s="28" t="s">
        <v>1864</v>
      </c>
      <c r="I1286" s="27"/>
      <c r="J1286" s="28" t="s">
        <v>1879</v>
      </c>
      <c r="K1286" s="27"/>
      <c r="L1286" s="25" t="s">
        <v>1887</v>
      </c>
      <c r="M1286" s="25" t="s">
        <v>190</v>
      </c>
      <c r="N1286" s="25">
        <v>12</v>
      </c>
      <c r="O1286" s="25"/>
      <c r="P1286" s="25"/>
      <c r="Q1286" s="25">
        <v>2</v>
      </c>
      <c r="R1286" s="25"/>
      <c r="S1286" s="25"/>
      <c r="T1286" s="25">
        <v>0.5</v>
      </c>
      <c r="U1286" s="31">
        <f t="shared" ref="U1286:U1349" si="21">SUM(O1286:T1286)</f>
        <v>2.5</v>
      </c>
      <c r="V1286" s="25"/>
      <c r="W1286" s="33" t="s">
        <v>22</v>
      </c>
      <c r="X1286" s="33" t="s">
        <v>1789</v>
      </c>
      <c r="Y1286" s="33" t="s">
        <v>1788</v>
      </c>
      <c r="Z1286" s="33" t="s">
        <v>1787</v>
      </c>
      <c r="AA1286" s="33"/>
    </row>
    <row r="1287" spans="1:27" s="70" customFormat="1" ht="56.25" x14ac:dyDescent="0.2">
      <c r="A1287" s="24">
        <v>1283</v>
      </c>
      <c r="B1287" s="27" t="s">
        <v>1552</v>
      </c>
      <c r="C1287" s="28" t="s">
        <v>1551</v>
      </c>
      <c r="D1287" s="71" t="s">
        <v>1795</v>
      </c>
      <c r="E1287" s="28" t="s">
        <v>1794</v>
      </c>
      <c r="F1287" s="28" t="s">
        <v>1793</v>
      </c>
      <c r="G1287" s="27"/>
      <c r="H1287" s="28" t="s">
        <v>1864</v>
      </c>
      <c r="I1287" s="27"/>
      <c r="J1287" s="28" t="s">
        <v>1879</v>
      </c>
      <c r="K1287" s="27"/>
      <c r="L1287" s="25" t="s">
        <v>1886</v>
      </c>
      <c r="M1287" s="25" t="s">
        <v>190</v>
      </c>
      <c r="N1287" s="25">
        <v>12</v>
      </c>
      <c r="O1287" s="25"/>
      <c r="P1287" s="25"/>
      <c r="Q1287" s="25">
        <v>2</v>
      </c>
      <c r="R1287" s="25"/>
      <c r="S1287" s="25"/>
      <c r="T1287" s="25">
        <v>0.5</v>
      </c>
      <c r="U1287" s="31">
        <f t="shared" si="21"/>
        <v>2.5</v>
      </c>
      <c r="V1287" s="25"/>
      <c r="W1287" s="33" t="s">
        <v>22</v>
      </c>
      <c r="X1287" s="33" t="s">
        <v>1789</v>
      </c>
      <c r="Y1287" s="33" t="s">
        <v>1788</v>
      </c>
      <c r="Z1287" s="33" t="s">
        <v>1787</v>
      </c>
      <c r="AA1287" s="33"/>
    </row>
    <row r="1288" spans="1:27" s="70" customFormat="1" ht="56.25" x14ac:dyDescent="0.2">
      <c r="A1288" s="24">
        <v>1284</v>
      </c>
      <c r="B1288" s="27" t="s">
        <v>1552</v>
      </c>
      <c r="C1288" s="28" t="s">
        <v>1551</v>
      </c>
      <c r="D1288" s="71" t="s">
        <v>1795</v>
      </c>
      <c r="E1288" s="28" t="s">
        <v>1794</v>
      </c>
      <c r="F1288" s="28" t="s">
        <v>1793</v>
      </c>
      <c r="G1288" s="27"/>
      <c r="H1288" s="28" t="s">
        <v>1864</v>
      </c>
      <c r="I1288" s="27"/>
      <c r="J1288" s="28" t="s">
        <v>1879</v>
      </c>
      <c r="K1288" s="27"/>
      <c r="L1288" s="25" t="s">
        <v>1885</v>
      </c>
      <c r="M1288" s="25" t="s">
        <v>190</v>
      </c>
      <c r="N1288" s="25">
        <v>12</v>
      </c>
      <c r="O1288" s="25"/>
      <c r="P1288" s="25"/>
      <c r="Q1288" s="25">
        <v>4</v>
      </c>
      <c r="R1288" s="25"/>
      <c r="S1288" s="25">
        <v>0.5</v>
      </c>
      <c r="T1288" s="25"/>
      <c r="U1288" s="31">
        <f t="shared" si="21"/>
        <v>4.5</v>
      </c>
      <c r="V1288" s="25"/>
      <c r="W1288" s="33" t="s">
        <v>22</v>
      </c>
      <c r="X1288" s="33" t="s">
        <v>1789</v>
      </c>
      <c r="Y1288" s="33" t="s">
        <v>1788</v>
      </c>
      <c r="Z1288" s="33" t="s">
        <v>1787</v>
      </c>
      <c r="AA1288" s="33"/>
    </row>
    <row r="1289" spans="1:27" s="70" customFormat="1" ht="56.25" x14ac:dyDescent="0.2">
      <c r="A1289" s="24">
        <v>1285</v>
      </c>
      <c r="B1289" s="27" t="s">
        <v>1552</v>
      </c>
      <c r="C1289" s="28" t="s">
        <v>1551</v>
      </c>
      <c r="D1289" s="71" t="s">
        <v>1795</v>
      </c>
      <c r="E1289" s="28" t="s">
        <v>1794</v>
      </c>
      <c r="F1289" s="28" t="s">
        <v>1793</v>
      </c>
      <c r="G1289" s="27"/>
      <c r="H1289" s="28" t="s">
        <v>1864</v>
      </c>
      <c r="I1289" s="27"/>
      <c r="J1289" s="28" t="s">
        <v>1879</v>
      </c>
      <c r="K1289" s="27"/>
      <c r="L1289" s="25" t="s">
        <v>1884</v>
      </c>
      <c r="M1289" s="25" t="s">
        <v>190</v>
      </c>
      <c r="N1289" s="25">
        <v>12</v>
      </c>
      <c r="O1289" s="25"/>
      <c r="P1289" s="25"/>
      <c r="Q1289" s="25">
        <v>0.5</v>
      </c>
      <c r="R1289" s="25"/>
      <c r="S1289" s="25">
        <v>0.3</v>
      </c>
      <c r="T1289" s="25"/>
      <c r="U1289" s="31">
        <f t="shared" si="21"/>
        <v>0.8</v>
      </c>
      <c r="V1289" s="25"/>
      <c r="W1289" s="33" t="s">
        <v>22</v>
      </c>
      <c r="X1289" s="33" t="s">
        <v>1789</v>
      </c>
      <c r="Y1289" s="33" t="s">
        <v>1788</v>
      </c>
      <c r="Z1289" s="33" t="s">
        <v>1787</v>
      </c>
      <c r="AA1289" s="33"/>
    </row>
    <row r="1290" spans="1:27" s="70" customFormat="1" ht="56.25" x14ac:dyDescent="0.2">
      <c r="A1290" s="24">
        <v>1286</v>
      </c>
      <c r="B1290" s="27" t="s">
        <v>1552</v>
      </c>
      <c r="C1290" s="28" t="s">
        <v>1551</v>
      </c>
      <c r="D1290" s="71" t="s">
        <v>1795</v>
      </c>
      <c r="E1290" s="28" t="s">
        <v>1794</v>
      </c>
      <c r="F1290" s="28" t="s">
        <v>1793</v>
      </c>
      <c r="G1290" s="27"/>
      <c r="H1290" s="28" t="s">
        <v>1864</v>
      </c>
      <c r="I1290" s="27"/>
      <c r="J1290" s="28" t="s">
        <v>1879</v>
      </c>
      <c r="K1290" s="27"/>
      <c r="L1290" s="25" t="s">
        <v>1883</v>
      </c>
      <c r="M1290" s="25" t="s">
        <v>190</v>
      </c>
      <c r="N1290" s="25">
        <v>12</v>
      </c>
      <c r="O1290" s="25"/>
      <c r="P1290" s="25"/>
      <c r="Q1290" s="25">
        <v>4</v>
      </c>
      <c r="R1290" s="25"/>
      <c r="S1290" s="25">
        <v>0.5</v>
      </c>
      <c r="T1290" s="25"/>
      <c r="U1290" s="31">
        <f t="shared" si="21"/>
        <v>4.5</v>
      </c>
      <c r="V1290" s="25"/>
      <c r="W1290" s="33" t="s">
        <v>22</v>
      </c>
      <c r="X1290" s="33" t="s">
        <v>1789</v>
      </c>
      <c r="Y1290" s="33" t="s">
        <v>1788</v>
      </c>
      <c r="Z1290" s="33" t="s">
        <v>1787</v>
      </c>
      <c r="AA1290" s="33"/>
    </row>
    <row r="1291" spans="1:27" s="70" customFormat="1" ht="56.25" x14ac:dyDescent="0.2">
      <c r="A1291" s="24">
        <v>1287</v>
      </c>
      <c r="B1291" s="27" t="s">
        <v>1552</v>
      </c>
      <c r="C1291" s="28" t="s">
        <v>1551</v>
      </c>
      <c r="D1291" s="71" t="s">
        <v>1795</v>
      </c>
      <c r="E1291" s="28" t="s">
        <v>1794</v>
      </c>
      <c r="F1291" s="28" t="s">
        <v>1793</v>
      </c>
      <c r="G1291" s="27"/>
      <c r="H1291" s="28" t="s">
        <v>1864</v>
      </c>
      <c r="I1291" s="27"/>
      <c r="J1291" s="28" t="s">
        <v>1879</v>
      </c>
      <c r="K1291" s="27"/>
      <c r="L1291" s="25" t="s">
        <v>1882</v>
      </c>
      <c r="M1291" s="25" t="s">
        <v>190</v>
      </c>
      <c r="N1291" s="25">
        <v>12</v>
      </c>
      <c r="O1291" s="25"/>
      <c r="P1291" s="25"/>
      <c r="Q1291" s="25">
        <v>4</v>
      </c>
      <c r="R1291" s="25"/>
      <c r="S1291" s="25">
        <v>0.5</v>
      </c>
      <c r="T1291" s="25"/>
      <c r="U1291" s="31">
        <f t="shared" si="21"/>
        <v>4.5</v>
      </c>
      <c r="V1291" s="25"/>
      <c r="W1291" s="33" t="s">
        <v>22</v>
      </c>
      <c r="X1291" s="33" t="s">
        <v>1789</v>
      </c>
      <c r="Y1291" s="33" t="s">
        <v>1788</v>
      </c>
      <c r="Z1291" s="33" t="s">
        <v>1787</v>
      </c>
      <c r="AA1291" s="33"/>
    </row>
    <row r="1292" spans="1:27" s="70" customFormat="1" ht="56.25" x14ac:dyDescent="0.2">
      <c r="A1292" s="24">
        <v>1288</v>
      </c>
      <c r="B1292" s="27" t="s">
        <v>1552</v>
      </c>
      <c r="C1292" s="28" t="s">
        <v>1551</v>
      </c>
      <c r="D1292" s="71" t="s">
        <v>1795</v>
      </c>
      <c r="E1292" s="28" t="s">
        <v>1794</v>
      </c>
      <c r="F1292" s="28" t="s">
        <v>1793</v>
      </c>
      <c r="G1292" s="27"/>
      <c r="H1292" s="28" t="s">
        <v>1864</v>
      </c>
      <c r="I1292" s="27"/>
      <c r="J1292" s="28" t="s">
        <v>1879</v>
      </c>
      <c r="K1292" s="27"/>
      <c r="L1292" s="25" t="s">
        <v>1881</v>
      </c>
      <c r="M1292" s="25" t="s">
        <v>190</v>
      </c>
      <c r="N1292" s="25">
        <v>12</v>
      </c>
      <c r="O1292" s="25"/>
      <c r="P1292" s="25"/>
      <c r="Q1292" s="25">
        <v>4</v>
      </c>
      <c r="R1292" s="25"/>
      <c r="S1292" s="25">
        <v>0.5</v>
      </c>
      <c r="T1292" s="25"/>
      <c r="U1292" s="31">
        <f t="shared" si="21"/>
        <v>4.5</v>
      </c>
      <c r="V1292" s="25"/>
      <c r="W1292" s="33" t="s">
        <v>22</v>
      </c>
      <c r="X1292" s="33" t="s">
        <v>1789</v>
      </c>
      <c r="Y1292" s="33" t="s">
        <v>1788</v>
      </c>
      <c r="Z1292" s="33" t="s">
        <v>1787</v>
      </c>
      <c r="AA1292" s="33"/>
    </row>
    <row r="1293" spans="1:27" s="70" customFormat="1" ht="56.25" x14ac:dyDescent="0.2">
      <c r="A1293" s="24">
        <v>1289</v>
      </c>
      <c r="B1293" s="27" t="s">
        <v>1552</v>
      </c>
      <c r="C1293" s="28" t="s">
        <v>1551</v>
      </c>
      <c r="D1293" s="71" t="s">
        <v>1795</v>
      </c>
      <c r="E1293" s="28" t="s">
        <v>1794</v>
      </c>
      <c r="F1293" s="28" t="s">
        <v>1793</v>
      </c>
      <c r="G1293" s="27"/>
      <c r="H1293" s="28" t="s">
        <v>1864</v>
      </c>
      <c r="I1293" s="27"/>
      <c r="J1293" s="28" t="s">
        <v>1879</v>
      </c>
      <c r="K1293" s="27"/>
      <c r="L1293" s="25" t="s">
        <v>1880</v>
      </c>
      <c r="M1293" s="25" t="s">
        <v>190</v>
      </c>
      <c r="N1293" s="25">
        <v>12</v>
      </c>
      <c r="O1293" s="25"/>
      <c r="P1293" s="25"/>
      <c r="Q1293" s="25">
        <v>0.5</v>
      </c>
      <c r="R1293" s="25"/>
      <c r="S1293" s="25">
        <v>0.3</v>
      </c>
      <c r="T1293" s="25"/>
      <c r="U1293" s="31">
        <f t="shared" si="21"/>
        <v>0.8</v>
      </c>
      <c r="V1293" s="25"/>
      <c r="W1293" s="33" t="s">
        <v>22</v>
      </c>
      <c r="X1293" s="33" t="s">
        <v>1789</v>
      </c>
      <c r="Y1293" s="33" t="s">
        <v>1788</v>
      </c>
      <c r="Z1293" s="33" t="s">
        <v>1787</v>
      </c>
      <c r="AA1293" s="33"/>
    </row>
    <row r="1294" spans="1:27" s="70" customFormat="1" ht="56.25" x14ac:dyDescent="0.2">
      <c r="A1294" s="24">
        <v>1290</v>
      </c>
      <c r="B1294" s="27" t="s">
        <v>1552</v>
      </c>
      <c r="C1294" s="28" t="s">
        <v>1551</v>
      </c>
      <c r="D1294" s="71" t="s">
        <v>1795</v>
      </c>
      <c r="E1294" s="28" t="s">
        <v>1794</v>
      </c>
      <c r="F1294" s="28" t="s">
        <v>1793</v>
      </c>
      <c r="G1294" s="27"/>
      <c r="H1294" s="28" t="s">
        <v>1864</v>
      </c>
      <c r="I1294" s="27"/>
      <c r="J1294" s="28" t="s">
        <v>1879</v>
      </c>
      <c r="K1294" s="27"/>
      <c r="L1294" s="25" t="s">
        <v>1878</v>
      </c>
      <c r="M1294" s="25" t="s">
        <v>190</v>
      </c>
      <c r="N1294" s="25">
        <v>12</v>
      </c>
      <c r="O1294" s="25"/>
      <c r="P1294" s="25"/>
      <c r="Q1294" s="25">
        <v>4</v>
      </c>
      <c r="R1294" s="25"/>
      <c r="S1294" s="25">
        <v>0.5</v>
      </c>
      <c r="T1294" s="25"/>
      <c r="U1294" s="31">
        <f t="shared" si="21"/>
        <v>4.5</v>
      </c>
      <c r="V1294" s="25"/>
      <c r="W1294" s="33" t="s">
        <v>22</v>
      </c>
      <c r="X1294" s="33" t="s">
        <v>1789</v>
      </c>
      <c r="Y1294" s="33" t="s">
        <v>1788</v>
      </c>
      <c r="Z1294" s="33" t="s">
        <v>1787</v>
      </c>
      <c r="AA1294" s="33"/>
    </row>
    <row r="1295" spans="1:27" s="70" customFormat="1" ht="56.25" x14ac:dyDescent="0.2">
      <c r="A1295" s="24">
        <v>1291</v>
      </c>
      <c r="B1295" s="27" t="s">
        <v>1552</v>
      </c>
      <c r="C1295" s="28" t="s">
        <v>1551</v>
      </c>
      <c r="D1295" s="71" t="s">
        <v>1795</v>
      </c>
      <c r="E1295" s="28" t="s">
        <v>1794</v>
      </c>
      <c r="F1295" s="28" t="s">
        <v>1793</v>
      </c>
      <c r="G1295" s="27"/>
      <c r="H1295" s="28" t="s">
        <v>1864</v>
      </c>
      <c r="I1295" s="27"/>
      <c r="J1295" s="28" t="s">
        <v>1869</v>
      </c>
      <c r="K1295" s="27"/>
      <c r="L1295" s="25" t="s">
        <v>1877</v>
      </c>
      <c r="M1295" s="25" t="s">
        <v>1876</v>
      </c>
      <c r="N1295" s="25">
        <v>1</v>
      </c>
      <c r="O1295" s="25"/>
      <c r="P1295" s="25"/>
      <c r="Q1295" s="25"/>
      <c r="R1295" s="25">
        <v>16</v>
      </c>
      <c r="S1295" s="25"/>
      <c r="T1295" s="25">
        <v>1</v>
      </c>
      <c r="U1295" s="31">
        <f t="shared" si="21"/>
        <v>17</v>
      </c>
      <c r="V1295" s="25"/>
      <c r="W1295" s="33" t="s">
        <v>22</v>
      </c>
      <c r="X1295" s="33" t="s">
        <v>1789</v>
      </c>
      <c r="Y1295" s="33" t="s">
        <v>1788</v>
      </c>
      <c r="Z1295" s="33" t="s">
        <v>1820</v>
      </c>
      <c r="AA1295" s="33"/>
    </row>
    <row r="1296" spans="1:27" s="70" customFormat="1" ht="56.25" x14ac:dyDescent="0.2">
      <c r="A1296" s="24">
        <v>1292</v>
      </c>
      <c r="B1296" s="27" t="s">
        <v>1552</v>
      </c>
      <c r="C1296" s="28" t="s">
        <v>1551</v>
      </c>
      <c r="D1296" s="71" t="s">
        <v>1795</v>
      </c>
      <c r="E1296" s="28" t="s">
        <v>1794</v>
      </c>
      <c r="F1296" s="28" t="s">
        <v>1793</v>
      </c>
      <c r="G1296" s="27"/>
      <c r="H1296" s="28" t="s">
        <v>1864</v>
      </c>
      <c r="I1296" s="27"/>
      <c r="J1296" s="28" t="s">
        <v>1869</v>
      </c>
      <c r="K1296" s="27"/>
      <c r="L1296" s="25" t="s">
        <v>1875</v>
      </c>
      <c r="M1296" s="25" t="s">
        <v>1275</v>
      </c>
      <c r="N1296" s="25">
        <v>23</v>
      </c>
      <c r="O1296" s="25"/>
      <c r="P1296" s="25"/>
      <c r="Q1296" s="25"/>
      <c r="R1296" s="25">
        <v>8</v>
      </c>
      <c r="S1296" s="25"/>
      <c r="T1296" s="25">
        <v>0.5</v>
      </c>
      <c r="U1296" s="31">
        <f t="shared" si="21"/>
        <v>8.5</v>
      </c>
      <c r="V1296" s="25"/>
      <c r="W1296" s="33" t="s">
        <v>848</v>
      </c>
      <c r="X1296" s="33" t="s">
        <v>1789</v>
      </c>
      <c r="Y1296" s="33" t="s">
        <v>1788</v>
      </c>
      <c r="Z1296" s="33" t="s">
        <v>1820</v>
      </c>
      <c r="AA1296" s="33"/>
    </row>
    <row r="1297" spans="1:27" s="70" customFormat="1" ht="56.25" x14ac:dyDescent="0.2">
      <c r="A1297" s="24">
        <v>1293</v>
      </c>
      <c r="B1297" s="27" t="s">
        <v>1552</v>
      </c>
      <c r="C1297" s="28" t="s">
        <v>1551</v>
      </c>
      <c r="D1297" s="71" t="s">
        <v>1795</v>
      </c>
      <c r="E1297" s="28" t="s">
        <v>1794</v>
      </c>
      <c r="F1297" s="28" t="s">
        <v>1793</v>
      </c>
      <c r="G1297" s="27"/>
      <c r="H1297" s="28" t="s">
        <v>1864</v>
      </c>
      <c r="I1297" s="27"/>
      <c r="J1297" s="28" t="s">
        <v>1869</v>
      </c>
      <c r="K1297" s="27"/>
      <c r="L1297" s="25" t="s">
        <v>1874</v>
      </c>
      <c r="M1297" s="25" t="s">
        <v>1275</v>
      </c>
      <c r="N1297" s="25">
        <v>23</v>
      </c>
      <c r="O1297" s="25"/>
      <c r="P1297" s="25">
        <v>2</v>
      </c>
      <c r="Q1297" s="25"/>
      <c r="R1297" s="25"/>
      <c r="S1297" s="25"/>
      <c r="T1297" s="25">
        <v>0.3</v>
      </c>
      <c r="U1297" s="31">
        <f t="shared" si="21"/>
        <v>2.2999999999999998</v>
      </c>
      <c r="V1297" s="25"/>
      <c r="W1297" s="33" t="s">
        <v>848</v>
      </c>
      <c r="X1297" s="33" t="s">
        <v>1789</v>
      </c>
      <c r="Y1297" s="33" t="s">
        <v>1788</v>
      </c>
      <c r="Z1297" s="33" t="s">
        <v>1820</v>
      </c>
      <c r="AA1297" s="33"/>
    </row>
    <row r="1298" spans="1:27" s="70" customFormat="1" ht="56.25" x14ac:dyDescent="0.2">
      <c r="A1298" s="24">
        <v>1294</v>
      </c>
      <c r="B1298" s="27" t="s">
        <v>1552</v>
      </c>
      <c r="C1298" s="28" t="s">
        <v>1551</v>
      </c>
      <c r="D1298" s="71" t="s">
        <v>1795</v>
      </c>
      <c r="E1298" s="28" t="s">
        <v>1794</v>
      </c>
      <c r="F1298" s="28" t="s">
        <v>1793</v>
      </c>
      <c r="G1298" s="27"/>
      <c r="H1298" s="28" t="s">
        <v>1864</v>
      </c>
      <c r="I1298" s="27"/>
      <c r="J1298" s="28" t="s">
        <v>1869</v>
      </c>
      <c r="K1298" s="27"/>
      <c r="L1298" s="25" t="s">
        <v>1873</v>
      </c>
      <c r="M1298" s="25" t="s">
        <v>1849</v>
      </c>
      <c r="N1298" s="25">
        <v>23</v>
      </c>
      <c r="O1298" s="25"/>
      <c r="P1298" s="25">
        <v>27</v>
      </c>
      <c r="Q1298" s="25">
        <v>27</v>
      </c>
      <c r="R1298" s="25">
        <v>27</v>
      </c>
      <c r="S1298" s="25"/>
      <c r="T1298" s="25"/>
      <c r="U1298" s="31">
        <f t="shared" si="21"/>
        <v>81</v>
      </c>
      <c r="V1298" s="25"/>
      <c r="W1298" s="33" t="s">
        <v>848</v>
      </c>
      <c r="X1298" s="33" t="s">
        <v>1789</v>
      </c>
      <c r="Y1298" s="33" t="s">
        <v>1788</v>
      </c>
      <c r="Z1298" s="33" t="s">
        <v>1820</v>
      </c>
      <c r="AA1298" s="33"/>
    </row>
    <row r="1299" spans="1:27" s="70" customFormat="1" ht="56.25" x14ac:dyDescent="0.2">
      <c r="A1299" s="24">
        <v>1295</v>
      </c>
      <c r="B1299" s="27" t="s">
        <v>1552</v>
      </c>
      <c r="C1299" s="28" t="s">
        <v>1551</v>
      </c>
      <c r="D1299" s="71" t="s">
        <v>1795</v>
      </c>
      <c r="E1299" s="28" t="s">
        <v>1794</v>
      </c>
      <c r="F1299" s="28" t="s">
        <v>1793</v>
      </c>
      <c r="G1299" s="27"/>
      <c r="H1299" s="28" t="s">
        <v>1864</v>
      </c>
      <c r="I1299" s="27"/>
      <c r="J1299" s="28" t="s">
        <v>1869</v>
      </c>
      <c r="K1299" s="27"/>
      <c r="L1299" s="25" t="s">
        <v>1872</v>
      </c>
      <c r="M1299" s="25" t="s">
        <v>190</v>
      </c>
      <c r="N1299" s="25">
        <v>23</v>
      </c>
      <c r="O1299" s="25"/>
      <c r="P1299" s="25"/>
      <c r="Q1299" s="25">
        <v>8</v>
      </c>
      <c r="R1299" s="25">
        <v>8</v>
      </c>
      <c r="S1299" s="25"/>
      <c r="T1299" s="25">
        <v>1</v>
      </c>
      <c r="U1299" s="31">
        <f t="shared" si="21"/>
        <v>17</v>
      </c>
      <c r="V1299" s="25"/>
      <c r="W1299" s="33" t="s">
        <v>848</v>
      </c>
      <c r="X1299" s="33" t="s">
        <v>1789</v>
      </c>
      <c r="Y1299" s="33" t="s">
        <v>1788</v>
      </c>
      <c r="Z1299" s="33" t="s">
        <v>1820</v>
      </c>
      <c r="AA1299" s="33"/>
    </row>
    <row r="1300" spans="1:27" s="70" customFormat="1" ht="56.25" x14ac:dyDescent="0.2">
      <c r="A1300" s="24">
        <v>1296</v>
      </c>
      <c r="B1300" s="27" t="s">
        <v>1552</v>
      </c>
      <c r="C1300" s="28" t="s">
        <v>1551</v>
      </c>
      <c r="D1300" s="71" t="s">
        <v>1795</v>
      </c>
      <c r="E1300" s="28" t="s">
        <v>1794</v>
      </c>
      <c r="F1300" s="28" t="s">
        <v>1793</v>
      </c>
      <c r="G1300" s="27"/>
      <c r="H1300" s="28" t="s">
        <v>1864</v>
      </c>
      <c r="I1300" s="27"/>
      <c r="J1300" s="28" t="s">
        <v>1869</v>
      </c>
      <c r="K1300" s="27"/>
      <c r="L1300" s="25" t="s">
        <v>1871</v>
      </c>
      <c r="M1300" s="25" t="s">
        <v>190</v>
      </c>
      <c r="N1300" s="25">
        <v>23</v>
      </c>
      <c r="O1300" s="25"/>
      <c r="P1300" s="25">
        <v>40</v>
      </c>
      <c r="Q1300" s="25"/>
      <c r="R1300" s="25">
        <v>3</v>
      </c>
      <c r="S1300" s="25"/>
      <c r="T1300" s="25">
        <v>1</v>
      </c>
      <c r="U1300" s="31">
        <f t="shared" si="21"/>
        <v>44</v>
      </c>
      <c r="V1300" s="25"/>
      <c r="W1300" s="33" t="s">
        <v>848</v>
      </c>
      <c r="X1300" s="33" t="s">
        <v>1789</v>
      </c>
      <c r="Y1300" s="33" t="s">
        <v>1788</v>
      </c>
      <c r="Z1300" s="33" t="s">
        <v>1820</v>
      </c>
      <c r="AA1300" s="33"/>
    </row>
    <row r="1301" spans="1:27" s="70" customFormat="1" ht="56.25" x14ac:dyDescent="0.2">
      <c r="A1301" s="24">
        <v>1297</v>
      </c>
      <c r="B1301" s="27" t="s">
        <v>1552</v>
      </c>
      <c r="C1301" s="28" t="s">
        <v>1551</v>
      </c>
      <c r="D1301" s="71" t="s">
        <v>1795</v>
      </c>
      <c r="E1301" s="28" t="s">
        <v>1794</v>
      </c>
      <c r="F1301" s="28" t="s">
        <v>1793</v>
      </c>
      <c r="G1301" s="27"/>
      <c r="H1301" s="28" t="s">
        <v>1864</v>
      </c>
      <c r="I1301" s="27"/>
      <c r="J1301" s="28" t="s">
        <v>1869</v>
      </c>
      <c r="K1301" s="27"/>
      <c r="L1301" s="25" t="s">
        <v>1870</v>
      </c>
      <c r="M1301" s="25" t="s">
        <v>1275</v>
      </c>
      <c r="N1301" s="25">
        <v>23</v>
      </c>
      <c r="O1301" s="25"/>
      <c r="P1301" s="25">
        <v>8</v>
      </c>
      <c r="Q1301" s="25"/>
      <c r="R1301" s="25"/>
      <c r="S1301" s="25"/>
      <c r="T1301" s="25">
        <v>0.5</v>
      </c>
      <c r="U1301" s="31">
        <f t="shared" si="21"/>
        <v>8.5</v>
      </c>
      <c r="V1301" s="25"/>
      <c r="W1301" s="33" t="s">
        <v>848</v>
      </c>
      <c r="X1301" s="33" t="s">
        <v>1789</v>
      </c>
      <c r="Y1301" s="33" t="s">
        <v>1788</v>
      </c>
      <c r="Z1301" s="33" t="s">
        <v>1820</v>
      </c>
      <c r="AA1301" s="33"/>
    </row>
    <row r="1302" spans="1:27" s="70" customFormat="1" ht="56.25" x14ac:dyDescent="0.2">
      <c r="A1302" s="24">
        <v>1298</v>
      </c>
      <c r="B1302" s="27" t="s">
        <v>1552</v>
      </c>
      <c r="C1302" s="28" t="s">
        <v>1551</v>
      </c>
      <c r="D1302" s="71" t="s">
        <v>1795</v>
      </c>
      <c r="E1302" s="28" t="s">
        <v>1794</v>
      </c>
      <c r="F1302" s="28" t="s">
        <v>1793</v>
      </c>
      <c r="G1302" s="27"/>
      <c r="H1302" s="28" t="s">
        <v>1864</v>
      </c>
      <c r="I1302" s="27"/>
      <c r="J1302" s="28" t="s">
        <v>1869</v>
      </c>
      <c r="K1302" s="27"/>
      <c r="L1302" s="25" t="s">
        <v>1868</v>
      </c>
      <c r="M1302" s="25" t="s">
        <v>190</v>
      </c>
      <c r="N1302" s="25">
        <v>23</v>
      </c>
      <c r="O1302" s="25"/>
      <c r="P1302" s="25">
        <v>40</v>
      </c>
      <c r="Q1302" s="25">
        <v>40</v>
      </c>
      <c r="R1302" s="25">
        <v>40</v>
      </c>
      <c r="S1302" s="25"/>
      <c r="T1302" s="25"/>
      <c r="U1302" s="31">
        <f t="shared" si="21"/>
        <v>120</v>
      </c>
      <c r="V1302" s="25"/>
      <c r="W1302" s="33" t="s">
        <v>848</v>
      </c>
      <c r="X1302" s="33" t="s">
        <v>1789</v>
      </c>
      <c r="Y1302" s="33" t="s">
        <v>1788</v>
      </c>
      <c r="Z1302" s="33" t="s">
        <v>1820</v>
      </c>
      <c r="AA1302" s="33"/>
    </row>
    <row r="1303" spans="1:27" s="70" customFormat="1" ht="56.25" x14ac:dyDescent="0.2">
      <c r="A1303" s="24">
        <v>1299</v>
      </c>
      <c r="B1303" s="27" t="s">
        <v>1552</v>
      </c>
      <c r="C1303" s="28" t="s">
        <v>1551</v>
      </c>
      <c r="D1303" s="71" t="s">
        <v>1795</v>
      </c>
      <c r="E1303" s="28" t="s">
        <v>1794</v>
      </c>
      <c r="F1303" s="28" t="s">
        <v>1793</v>
      </c>
      <c r="G1303" s="27"/>
      <c r="H1303" s="28" t="s">
        <v>1864</v>
      </c>
      <c r="I1303" s="27"/>
      <c r="J1303" s="28" t="s">
        <v>1683</v>
      </c>
      <c r="K1303" s="27"/>
      <c r="L1303" s="25"/>
      <c r="M1303" s="25"/>
      <c r="N1303" s="25"/>
      <c r="O1303" s="25"/>
      <c r="P1303" s="25"/>
      <c r="Q1303" s="25"/>
      <c r="R1303" s="25"/>
      <c r="S1303" s="25"/>
      <c r="T1303" s="25"/>
      <c r="U1303" s="31">
        <f t="shared" si="21"/>
        <v>0</v>
      </c>
      <c r="V1303" s="25"/>
      <c r="W1303" s="33"/>
      <c r="X1303" s="33"/>
      <c r="Y1303" s="33"/>
      <c r="Z1303" s="33"/>
      <c r="AA1303" s="33"/>
    </row>
    <row r="1304" spans="1:27" s="70" customFormat="1" ht="56.25" x14ac:dyDescent="0.2">
      <c r="A1304" s="24">
        <v>1300</v>
      </c>
      <c r="B1304" s="27" t="s">
        <v>1552</v>
      </c>
      <c r="C1304" s="28" t="s">
        <v>1551</v>
      </c>
      <c r="D1304" s="71" t="s">
        <v>1795</v>
      </c>
      <c r="E1304" s="28" t="s">
        <v>1794</v>
      </c>
      <c r="F1304" s="28" t="s">
        <v>1793</v>
      </c>
      <c r="G1304" s="27"/>
      <c r="H1304" s="28" t="s">
        <v>1864</v>
      </c>
      <c r="I1304" s="27"/>
      <c r="J1304" s="28" t="s">
        <v>1867</v>
      </c>
      <c r="K1304" s="27"/>
      <c r="L1304" s="25"/>
      <c r="M1304" s="25"/>
      <c r="N1304" s="25"/>
      <c r="O1304" s="25"/>
      <c r="P1304" s="25"/>
      <c r="Q1304" s="25"/>
      <c r="R1304" s="25"/>
      <c r="S1304" s="25"/>
      <c r="T1304" s="25"/>
      <c r="U1304" s="31">
        <f t="shared" si="21"/>
        <v>0</v>
      </c>
      <c r="V1304" s="25"/>
      <c r="W1304" s="33"/>
      <c r="X1304" s="33"/>
      <c r="Y1304" s="33"/>
      <c r="Z1304" s="33"/>
      <c r="AA1304" s="33"/>
    </row>
    <row r="1305" spans="1:27" s="70" customFormat="1" ht="56.25" x14ac:dyDescent="0.2">
      <c r="A1305" s="24">
        <v>1301</v>
      </c>
      <c r="B1305" s="27" t="s">
        <v>1552</v>
      </c>
      <c r="C1305" s="28" t="s">
        <v>1551</v>
      </c>
      <c r="D1305" s="71" t="s">
        <v>1795</v>
      </c>
      <c r="E1305" s="28" t="s">
        <v>1794</v>
      </c>
      <c r="F1305" s="28" t="s">
        <v>1793</v>
      </c>
      <c r="G1305" s="27"/>
      <c r="H1305" s="28" t="s">
        <v>1864</v>
      </c>
      <c r="I1305" s="27"/>
      <c r="J1305" s="28" t="s">
        <v>1866</v>
      </c>
      <c r="K1305" s="27"/>
      <c r="L1305" s="25"/>
      <c r="M1305" s="25"/>
      <c r="N1305" s="25"/>
      <c r="O1305" s="25"/>
      <c r="P1305" s="25"/>
      <c r="Q1305" s="25"/>
      <c r="R1305" s="25"/>
      <c r="S1305" s="25"/>
      <c r="T1305" s="25"/>
      <c r="U1305" s="31">
        <f t="shared" si="21"/>
        <v>0</v>
      </c>
      <c r="V1305" s="25"/>
      <c r="W1305" s="33"/>
      <c r="X1305" s="33"/>
      <c r="Y1305" s="33"/>
      <c r="Z1305" s="33"/>
      <c r="AA1305" s="33"/>
    </row>
    <row r="1306" spans="1:27" s="70" customFormat="1" ht="78.75" x14ac:dyDescent="0.2">
      <c r="A1306" s="24">
        <v>1302</v>
      </c>
      <c r="B1306" s="27" t="s">
        <v>1552</v>
      </c>
      <c r="C1306" s="28" t="s">
        <v>1551</v>
      </c>
      <c r="D1306" s="71" t="s">
        <v>1795</v>
      </c>
      <c r="E1306" s="28" t="s">
        <v>1794</v>
      </c>
      <c r="F1306" s="28" t="s">
        <v>1793</v>
      </c>
      <c r="G1306" s="27"/>
      <c r="H1306" s="28" t="s">
        <v>1864</v>
      </c>
      <c r="I1306" s="27"/>
      <c r="J1306" s="28" t="s">
        <v>1865</v>
      </c>
      <c r="K1306" s="27"/>
      <c r="L1306" s="25"/>
      <c r="M1306" s="25"/>
      <c r="N1306" s="25"/>
      <c r="O1306" s="25"/>
      <c r="P1306" s="25"/>
      <c r="Q1306" s="25"/>
      <c r="R1306" s="25"/>
      <c r="S1306" s="25"/>
      <c r="T1306" s="25"/>
      <c r="U1306" s="31">
        <f t="shared" si="21"/>
        <v>0</v>
      </c>
      <c r="V1306" s="25"/>
      <c r="W1306" s="33"/>
      <c r="X1306" s="33"/>
      <c r="Y1306" s="33"/>
      <c r="Z1306" s="33"/>
      <c r="AA1306" s="33"/>
    </row>
    <row r="1307" spans="1:27" s="70" customFormat="1" ht="56.25" x14ac:dyDescent="0.2">
      <c r="A1307" s="24">
        <v>1303</v>
      </c>
      <c r="B1307" s="27" t="s">
        <v>1552</v>
      </c>
      <c r="C1307" s="28" t="s">
        <v>1551</v>
      </c>
      <c r="D1307" s="71" t="s">
        <v>1795</v>
      </c>
      <c r="E1307" s="28" t="s">
        <v>1794</v>
      </c>
      <c r="F1307" s="28" t="s">
        <v>1793</v>
      </c>
      <c r="G1307" s="27"/>
      <c r="H1307" s="28" t="s">
        <v>1864</v>
      </c>
      <c r="I1307" s="27"/>
      <c r="J1307" s="28" t="s">
        <v>1863</v>
      </c>
      <c r="K1307" s="27"/>
      <c r="L1307" s="25"/>
      <c r="M1307" s="25"/>
      <c r="N1307" s="25"/>
      <c r="O1307" s="25"/>
      <c r="P1307" s="25"/>
      <c r="Q1307" s="25"/>
      <c r="R1307" s="25"/>
      <c r="S1307" s="25"/>
      <c r="T1307" s="25"/>
      <c r="U1307" s="31">
        <f t="shared" si="21"/>
        <v>0</v>
      </c>
      <c r="V1307" s="25"/>
      <c r="W1307" s="33"/>
      <c r="X1307" s="33"/>
      <c r="Y1307" s="33"/>
      <c r="Z1307" s="33"/>
      <c r="AA1307" s="33"/>
    </row>
    <row r="1308" spans="1:27" s="70" customFormat="1" ht="33.75" x14ac:dyDescent="0.2">
      <c r="A1308" s="24">
        <v>1304</v>
      </c>
      <c r="B1308" s="27" t="s">
        <v>1552</v>
      </c>
      <c r="C1308" s="28" t="s">
        <v>1551</v>
      </c>
      <c r="D1308" s="71" t="s">
        <v>1795</v>
      </c>
      <c r="E1308" s="28" t="s">
        <v>1794</v>
      </c>
      <c r="F1308" s="28" t="s">
        <v>1793</v>
      </c>
      <c r="G1308" s="27"/>
      <c r="H1308" s="28" t="s">
        <v>1859</v>
      </c>
      <c r="I1308" s="27"/>
      <c r="J1308" s="28" t="s">
        <v>1862</v>
      </c>
      <c r="K1308" s="27"/>
      <c r="L1308" s="25"/>
      <c r="M1308" s="25"/>
      <c r="N1308" s="25"/>
      <c r="O1308" s="25"/>
      <c r="P1308" s="25"/>
      <c r="Q1308" s="25"/>
      <c r="R1308" s="25"/>
      <c r="S1308" s="25"/>
      <c r="T1308" s="25"/>
      <c r="U1308" s="31">
        <f t="shared" si="21"/>
        <v>0</v>
      </c>
      <c r="V1308" s="25"/>
      <c r="W1308" s="33"/>
      <c r="X1308" s="33"/>
      <c r="Y1308" s="33"/>
      <c r="Z1308" s="33"/>
      <c r="AA1308" s="33"/>
    </row>
    <row r="1309" spans="1:27" s="70" customFormat="1" ht="33.75" x14ac:dyDescent="0.2">
      <c r="A1309" s="24">
        <v>1305</v>
      </c>
      <c r="B1309" s="27" t="s">
        <v>1552</v>
      </c>
      <c r="C1309" s="28" t="s">
        <v>1551</v>
      </c>
      <c r="D1309" s="71" t="s">
        <v>1795</v>
      </c>
      <c r="E1309" s="28" t="s">
        <v>1794</v>
      </c>
      <c r="F1309" s="28" t="s">
        <v>1793</v>
      </c>
      <c r="G1309" s="27"/>
      <c r="H1309" s="28" t="s">
        <v>1859</v>
      </c>
      <c r="I1309" s="27"/>
      <c r="J1309" s="28" t="s">
        <v>1861</v>
      </c>
      <c r="K1309" s="27"/>
      <c r="L1309" s="25"/>
      <c r="M1309" s="25"/>
      <c r="N1309" s="25"/>
      <c r="O1309" s="25"/>
      <c r="P1309" s="25"/>
      <c r="Q1309" s="25"/>
      <c r="R1309" s="25"/>
      <c r="S1309" s="25"/>
      <c r="T1309" s="25"/>
      <c r="U1309" s="31">
        <f t="shared" si="21"/>
        <v>0</v>
      </c>
      <c r="V1309" s="25"/>
      <c r="W1309" s="33"/>
      <c r="X1309" s="33"/>
      <c r="Y1309" s="33"/>
      <c r="Z1309" s="33"/>
      <c r="AA1309" s="33"/>
    </row>
    <row r="1310" spans="1:27" s="70" customFormat="1" ht="33.75" x14ac:dyDescent="0.2">
      <c r="A1310" s="24">
        <v>1306</v>
      </c>
      <c r="B1310" s="27" t="s">
        <v>1552</v>
      </c>
      <c r="C1310" s="28" t="s">
        <v>1551</v>
      </c>
      <c r="D1310" s="71" t="s">
        <v>1795</v>
      </c>
      <c r="E1310" s="28" t="s">
        <v>1794</v>
      </c>
      <c r="F1310" s="28" t="s">
        <v>1793</v>
      </c>
      <c r="G1310" s="27"/>
      <c r="H1310" s="28" t="s">
        <v>1859</v>
      </c>
      <c r="I1310" s="27"/>
      <c r="J1310" s="28" t="s">
        <v>1860</v>
      </c>
      <c r="K1310" s="27"/>
      <c r="L1310" s="25"/>
      <c r="M1310" s="25"/>
      <c r="N1310" s="25"/>
      <c r="O1310" s="25"/>
      <c r="P1310" s="25"/>
      <c r="Q1310" s="25"/>
      <c r="R1310" s="25"/>
      <c r="S1310" s="25"/>
      <c r="T1310" s="25"/>
      <c r="U1310" s="31">
        <f t="shared" si="21"/>
        <v>0</v>
      </c>
      <c r="V1310" s="25"/>
      <c r="W1310" s="33"/>
      <c r="X1310" s="33"/>
      <c r="Y1310" s="33"/>
      <c r="Z1310" s="33"/>
      <c r="AA1310" s="33"/>
    </row>
    <row r="1311" spans="1:27" s="70" customFormat="1" ht="33.75" x14ac:dyDescent="0.2">
      <c r="A1311" s="24">
        <v>1307</v>
      </c>
      <c r="B1311" s="27" t="s">
        <v>1552</v>
      </c>
      <c r="C1311" s="28" t="s">
        <v>1551</v>
      </c>
      <c r="D1311" s="71" t="s">
        <v>1795</v>
      </c>
      <c r="E1311" s="28" t="s">
        <v>1794</v>
      </c>
      <c r="F1311" s="28" t="s">
        <v>1793</v>
      </c>
      <c r="G1311" s="27"/>
      <c r="H1311" s="28" t="s">
        <v>1859</v>
      </c>
      <c r="I1311" s="27"/>
      <c r="J1311" s="28" t="s">
        <v>1858</v>
      </c>
      <c r="K1311" s="27"/>
      <c r="L1311" s="25" t="s">
        <v>1857</v>
      </c>
      <c r="M1311" s="25" t="s">
        <v>1856</v>
      </c>
      <c r="N1311" s="25">
        <v>24</v>
      </c>
      <c r="O1311" s="25"/>
      <c r="P1311" s="25">
        <v>12</v>
      </c>
      <c r="Q1311" s="25"/>
      <c r="R1311" s="25"/>
      <c r="S1311" s="25">
        <v>2</v>
      </c>
      <c r="T1311" s="25">
        <v>1</v>
      </c>
      <c r="U1311" s="31">
        <f t="shared" si="21"/>
        <v>15</v>
      </c>
      <c r="V1311" s="25"/>
      <c r="W1311" s="33" t="s">
        <v>22</v>
      </c>
      <c r="X1311" s="33" t="s">
        <v>1789</v>
      </c>
      <c r="Y1311" s="33" t="s">
        <v>1788</v>
      </c>
      <c r="Z1311" s="33" t="s">
        <v>1787</v>
      </c>
      <c r="AA1311" s="33"/>
    </row>
    <row r="1312" spans="1:27" s="70" customFormat="1" ht="33.75" x14ac:dyDescent="0.2">
      <c r="A1312" s="24">
        <v>1308</v>
      </c>
      <c r="B1312" s="27" t="s">
        <v>1552</v>
      </c>
      <c r="C1312" s="28" t="s">
        <v>1551</v>
      </c>
      <c r="D1312" s="71" t="s">
        <v>1795</v>
      </c>
      <c r="E1312" s="28" t="s">
        <v>1794</v>
      </c>
      <c r="F1312" s="28" t="s">
        <v>1793</v>
      </c>
      <c r="G1312" s="27"/>
      <c r="H1312" s="28" t="s">
        <v>1792</v>
      </c>
      <c r="I1312" s="27"/>
      <c r="J1312" s="28" t="s">
        <v>1792</v>
      </c>
      <c r="K1312" s="27"/>
      <c r="L1312" s="25" t="s">
        <v>1855</v>
      </c>
      <c r="M1312" s="25" t="s">
        <v>1854</v>
      </c>
      <c r="N1312" s="25">
        <v>12</v>
      </c>
      <c r="O1312" s="25"/>
      <c r="P1312" s="25">
        <v>24</v>
      </c>
      <c r="Q1312" s="25"/>
      <c r="R1312" s="25"/>
      <c r="S1312" s="25">
        <v>4</v>
      </c>
      <c r="T1312" s="25">
        <v>2</v>
      </c>
      <c r="U1312" s="31">
        <f t="shared" si="21"/>
        <v>30</v>
      </c>
      <c r="V1312" s="25"/>
      <c r="W1312" s="33" t="s">
        <v>22</v>
      </c>
      <c r="X1312" s="33" t="s">
        <v>1789</v>
      </c>
      <c r="Y1312" s="33" t="s">
        <v>1788</v>
      </c>
      <c r="Z1312" s="33" t="s">
        <v>1787</v>
      </c>
      <c r="AA1312" s="33"/>
    </row>
    <row r="1313" spans="1:27" s="70" customFormat="1" ht="33.75" x14ac:dyDescent="0.2">
      <c r="A1313" s="24">
        <v>1309</v>
      </c>
      <c r="B1313" s="27" t="s">
        <v>1552</v>
      </c>
      <c r="C1313" s="28" t="s">
        <v>1551</v>
      </c>
      <c r="D1313" s="71" t="s">
        <v>1795</v>
      </c>
      <c r="E1313" s="28" t="s">
        <v>1794</v>
      </c>
      <c r="F1313" s="28" t="s">
        <v>1793</v>
      </c>
      <c r="G1313" s="27"/>
      <c r="H1313" s="28" t="s">
        <v>1792</v>
      </c>
      <c r="I1313" s="27"/>
      <c r="J1313" s="28" t="s">
        <v>1792</v>
      </c>
      <c r="K1313" s="27"/>
      <c r="L1313" s="25" t="s">
        <v>1853</v>
      </c>
      <c r="M1313" s="25" t="s">
        <v>1622</v>
      </c>
      <c r="N1313" s="25">
        <v>12</v>
      </c>
      <c r="O1313" s="25"/>
      <c r="P1313" s="25">
        <v>24</v>
      </c>
      <c r="Q1313" s="25"/>
      <c r="R1313" s="25"/>
      <c r="S1313" s="25">
        <v>4</v>
      </c>
      <c r="T1313" s="25">
        <v>2</v>
      </c>
      <c r="U1313" s="31">
        <f t="shared" si="21"/>
        <v>30</v>
      </c>
      <c r="V1313" s="25"/>
      <c r="W1313" s="33" t="s">
        <v>22</v>
      </c>
      <c r="X1313" s="33" t="s">
        <v>1789</v>
      </c>
      <c r="Y1313" s="33" t="s">
        <v>1788</v>
      </c>
      <c r="Z1313" s="33" t="s">
        <v>1787</v>
      </c>
      <c r="AA1313" s="33"/>
    </row>
    <row r="1314" spans="1:27" s="70" customFormat="1" ht="33.75" x14ac:dyDescent="0.2">
      <c r="A1314" s="24">
        <v>1310</v>
      </c>
      <c r="B1314" s="27" t="s">
        <v>1552</v>
      </c>
      <c r="C1314" s="28" t="s">
        <v>1551</v>
      </c>
      <c r="D1314" s="71" t="s">
        <v>1795</v>
      </c>
      <c r="E1314" s="28" t="s">
        <v>1794</v>
      </c>
      <c r="F1314" s="28" t="s">
        <v>1793</v>
      </c>
      <c r="G1314" s="27"/>
      <c r="H1314" s="28" t="s">
        <v>1792</v>
      </c>
      <c r="I1314" s="27"/>
      <c r="J1314" s="28" t="s">
        <v>1792</v>
      </c>
      <c r="K1314" s="27"/>
      <c r="L1314" s="25" t="s">
        <v>1852</v>
      </c>
      <c r="M1314" s="25" t="s">
        <v>190</v>
      </c>
      <c r="N1314" s="25">
        <v>10</v>
      </c>
      <c r="O1314" s="25"/>
      <c r="P1314" s="25">
        <v>2</v>
      </c>
      <c r="Q1314" s="25"/>
      <c r="R1314" s="25"/>
      <c r="S1314" s="25">
        <v>3</v>
      </c>
      <c r="T1314" s="25">
        <v>1</v>
      </c>
      <c r="U1314" s="31">
        <f t="shared" si="21"/>
        <v>6</v>
      </c>
      <c r="V1314" s="25"/>
      <c r="W1314" s="33" t="s">
        <v>22</v>
      </c>
      <c r="X1314" s="33" t="s">
        <v>1789</v>
      </c>
      <c r="Y1314" s="33" t="s">
        <v>1788</v>
      </c>
      <c r="Z1314" s="33" t="s">
        <v>1787</v>
      </c>
      <c r="AA1314" s="33"/>
    </row>
    <row r="1315" spans="1:27" s="70" customFormat="1" ht="33.75" x14ac:dyDescent="0.2">
      <c r="A1315" s="24">
        <v>1311</v>
      </c>
      <c r="B1315" s="27" t="s">
        <v>1552</v>
      </c>
      <c r="C1315" s="28" t="s">
        <v>1551</v>
      </c>
      <c r="D1315" s="71" t="s">
        <v>1795</v>
      </c>
      <c r="E1315" s="28" t="s">
        <v>1794</v>
      </c>
      <c r="F1315" s="28" t="s">
        <v>1793</v>
      </c>
      <c r="G1315" s="27"/>
      <c r="H1315" s="28" t="s">
        <v>1792</v>
      </c>
      <c r="I1315" s="27"/>
      <c r="J1315" s="28" t="s">
        <v>1792</v>
      </c>
      <c r="K1315" s="27"/>
      <c r="L1315" s="25" t="s">
        <v>1851</v>
      </c>
      <c r="M1315" s="25" t="s">
        <v>190</v>
      </c>
      <c r="N1315" s="25">
        <v>12</v>
      </c>
      <c r="O1315" s="25"/>
      <c r="P1315" s="25"/>
      <c r="Q1315" s="25">
        <v>160</v>
      </c>
      <c r="R1315" s="25"/>
      <c r="S1315" s="25">
        <v>8</v>
      </c>
      <c r="T1315" s="25">
        <v>1</v>
      </c>
      <c r="U1315" s="31">
        <f t="shared" si="21"/>
        <v>169</v>
      </c>
      <c r="V1315" s="25"/>
      <c r="W1315" s="33" t="s">
        <v>22</v>
      </c>
      <c r="X1315" s="33" t="s">
        <v>1789</v>
      </c>
      <c r="Y1315" s="33" t="s">
        <v>1788</v>
      </c>
      <c r="Z1315" s="33" t="s">
        <v>1787</v>
      </c>
      <c r="AA1315" s="33"/>
    </row>
    <row r="1316" spans="1:27" s="70" customFormat="1" ht="33.75" x14ac:dyDescent="0.2">
      <c r="A1316" s="24">
        <v>1312</v>
      </c>
      <c r="B1316" s="27" t="s">
        <v>1552</v>
      </c>
      <c r="C1316" s="28" t="s">
        <v>1551</v>
      </c>
      <c r="D1316" s="71" t="s">
        <v>1795</v>
      </c>
      <c r="E1316" s="28" t="s">
        <v>1794</v>
      </c>
      <c r="F1316" s="28" t="s">
        <v>1793</v>
      </c>
      <c r="G1316" s="27"/>
      <c r="H1316" s="28" t="s">
        <v>1792</v>
      </c>
      <c r="I1316" s="27"/>
      <c r="J1316" s="28" t="s">
        <v>1792</v>
      </c>
      <c r="K1316" s="27"/>
      <c r="L1316" s="25" t="s">
        <v>1850</v>
      </c>
      <c r="M1316" s="25" t="s">
        <v>1849</v>
      </c>
      <c r="N1316" s="25">
        <v>1</v>
      </c>
      <c r="O1316" s="25"/>
      <c r="P1316" s="25">
        <v>120</v>
      </c>
      <c r="Q1316" s="25"/>
      <c r="R1316" s="25"/>
      <c r="S1316" s="25"/>
      <c r="T1316" s="25">
        <v>16</v>
      </c>
      <c r="U1316" s="31">
        <f t="shared" si="21"/>
        <v>136</v>
      </c>
      <c r="V1316" s="25"/>
      <c r="W1316" s="33" t="s">
        <v>22</v>
      </c>
      <c r="X1316" s="33" t="s">
        <v>1789</v>
      </c>
      <c r="Y1316" s="33" t="s">
        <v>1788</v>
      </c>
      <c r="Z1316" s="33" t="s">
        <v>1787</v>
      </c>
      <c r="AA1316" s="33"/>
    </row>
    <row r="1317" spans="1:27" s="70" customFormat="1" ht="33.75" x14ac:dyDescent="0.2">
      <c r="A1317" s="24">
        <v>1313</v>
      </c>
      <c r="B1317" s="27" t="s">
        <v>1552</v>
      </c>
      <c r="C1317" s="28" t="s">
        <v>1551</v>
      </c>
      <c r="D1317" s="71" t="s">
        <v>1795</v>
      </c>
      <c r="E1317" s="28" t="s">
        <v>1794</v>
      </c>
      <c r="F1317" s="28" t="s">
        <v>1793</v>
      </c>
      <c r="G1317" s="27"/>
      <c r="H1317" s="28" t="s">
        <v>1792</v>
      </c>
      <c r="I1317" s="27"/>
      <c r="J1317" s="28" t="s">
        <v>1792</v>
      </c>
      <c r="K1317" s="27"/>
      <c r="L1317" s="25" t="s">
        <v>1848</v>
      </c>
      <c r="M1317" s="25" t="s">
        <v>199</v>
      </c>
      <c r="N1317" s="25">
        <v>65</v>
      </c>
      <c r="O1317" s="25"/>
      <c r="P1317" s="25"/>
      <c r="Q1317" s="25">
        <v>2</v>
      </c>
      <c r="R1317" s="25"/>
      <c r="S1317" s="25"/>
      <c r="T1317" s="25">
        <v>0.5</v>
      </c>
      <c r="U1317" s="31">
        <f t="shared" si="21"/>
        <v>2.5</v>
      </c>
      <c r="V1317" s="25"/>
      <c r="W1317" s="33" t="s">
        <v>848</v>
      </c>
      <c r="X1317" s="33" t="s">
        <v>1789</v>
      </c>
      <c r="Y1317" s="33" t="s">
        <v>1788</v>
      </c>
      <c r="Z1317" s="33" t="s">
        <v>1787</v>
      </c>
      <c r="AA1317" s="33"/>
    </row>
    <row r="1318" spans="1:27" s="70" customFormat="1" ht="33.75" x14ac:dyDescent="0.2">
      <c r="A1318" s="24">
        <v>1314</v>
      </c>
      <c r="B1318" s="27" t="s">
        <v>1552</v>
      </c>
      <c r="C1318" s="28" t="s">
        <v>1551</v>
      </c>
      <c r="D1318" s="71" t="s">
        <v>1795</v>
      </c>
      <c r="E1318" s="28" t="s">
        <v>1794</v>
      </c>
      <c r="F1318" s="28" t="s">
        <v>1793</v>
      </c>
      <c r="G1318" s="27"/>
      <c r="H1318" s="28" t="s">
        <v>1792</v>
      </c>
      <c r="I1318" s="27"/>
      <c r="J1318" s="28" t="s">
        <v>1792</v>
      </c>
      <c r="K1318" s="27"/>
      <c r="L1318" s="25" t="s">
        <v>1847</v>
      </c>
      <c r="M1318" s="25" t="s">
        <v>199</v>
      </c>
      <c r="N1318" s="25">
        <v>65</v>
      </c>
      <c r="O1318" s="25"/>
      <c r="P1318" s="25"/>
      <c r="Q1318" s="25">
        <v>2</v>
      </c>
      <c r="R1318" s="25"/>
      <c r="S1318" s="25"/>
      <c r="T1318" s="25">
        <v>0.5</v>
      </c>
      <c r="U1318" s="31">
        <f t="shared" si="21"/>
        <v>2.5</v>
      </c>
      <c r="V1318" s="25"/>
      <c r="W1318" s="33" t="s">
        <v>848</v>
      </c>
      <c r="X1318" s="33" t="s">
        <v>1789</v>
      </c>
      <c r="Y1318" s="33" t="s">
        <v>1788</v>
      </c>
      <c r="Z1318" s="33" t="s">
        <v>1787</v>
      </c>
      <c r="AA1318" s="33"/>
    </row>
    <row r="1319" spans="1:27" s="70" customFormat="1" ht="33.75" x14ac:dyDescent="0.2">
      <c r="A1319" s="24">
        <v>1315</v>
      </c>
      <c r="B1319" s="27" t="s">
        <v>1552</v>
      </c>
      <c r="C1319" s="28" t="s">
        <v>1551</v>
      </c>
      <c r="D1319" s="71" t="s">
        <v>1795</v>
      </c>
      <c r="E1319" s="28" t="s">
        <v>1794</v>
      </c>
      <c r="F1319" s="28" t="s">
        <v>1793</v>
      </c>
      <c r="G1319" s="27"/>
      <c r="H1319" s="28" t="s">
        <v>1792</v>
      </c>
      <c r="I1319" s="27"/>
      <c r="J1319" s="28" t="s">
        <v>1792</v>
      </c>
      <c r="K1319" s="27"/>
      <c r="L1319" s="25" t="s">
        <v>1846</v>
      </c>
      <c r="M1319" s="25" t="s">
        <v>199</v>
      </c>
      <c r="N1319" s="25">
        <v>65</v>
      </c>
      <c r="O1319" s="25"/>
      <c r="P1319" s="25"/>
      <c r="Q1319" s="25">
        <v>2</v>
      </c>
      <c r="R1319" s="25"/>
      <c r="S1319" s="25"/>
      <c r="T1319" s="25">
        <v>0.5</v>
      </c>
      <c r="U1319" s="31">
        <f t="shared" si="21"/>
        <v>2.5</v>
      </c>
      <c r="V1319" s="25"/>
      <c r="W1319" s="33" t="s">
        <v>848</v>
      </c>
      <c r="X1319" s="33" t="s">
        <v>1789</v>
      </c>
      <c r="Y1319" s="33" t="s">
        <v>1788</v>
      </c>
      <c r="Z1319" s="33" t="s">
        <v>1787</v>
      </c>
      <c r="AA1319" s="33"/>
    </row>
    <row r="1320" spans="1:27" s="70" customFormat="1" ht="33.75" x14ac:dyDescent="0.2">
      <c r="A1320" s="24">
        <v>1316</v>
      </c>
      <c r="B1320" s="27" t="s">
        <v>1552</v>
      </c>
      <c r="C1320" s="28" t="s">
        <v>1551</v>
      </c>
      <c r="D1320" s="71" t="s">
        <v>1795</v>
      </c>
      <c r="E1320" s="28" t="s">
        <v>1794</v>
      </c>
      <c r="F1320" s="28" t="s">
        <v>1793</v>
      </c>
      <c r="G1320" s="27"/>
      <c r="H1320" s="28" t="s">
        <v>1792</v>
      </c>
      <c r="I1320" s="27"/>
      <c r="J1320" s="28" t="s">
        <v>1792</v>
      </c>
      <c r="K1320" s="27"/>
      <c r="L1320" s="25" t="s">
        <v>1845</v>
      </c>
      <c r="M1320" s="25" t="s">
        <v>199</v>
      </c>
      <c r="N1320" s="25">
        <v>65</v>
      </c>
      <c r="O1320" s="25"/>
      <c r="P1320" s="25"/>
      <c r="Q1320" s="25">
        <v>2</v>
      </c>
      <c r="R1320" s="25"/>
      <c r="S1320" s="25"/>
      <c r="T1320" s="25">
        <v>0.5</v>
      </c>
      <c r="U1320" s="31">
        <f t="shared" si="21"/>
        <v>2.5</v>
      </c>
      <c r="V1320" s="25"/>
      <c r="W1320" s="33" t="s">
        <v>848</v>
      </c>
      <c r="X1320" s="33" t="s">
        <v>1789</v>
      </c>
      <c r="Y1320" s="33" t="s">
        <v>1788</v>
      </c>
      <c r="Z1320" s="33" t="s">
        <v>1787</v>
      </c>
      <c r="AA1320" s="33"/>
    </row>
    <row r="1321" spans="1:27" s="70" customFormat="1" ht="33.75" x14ac:dyDescent="0.2">
      <c r="A1321" s="24">
        <v>1317</v>
      </c>
      <c r="B1321" s="27" t="s">
        <v>1552</v>
      </c>
      <c r="C1321" s="28" t="s">
        <v>1551</v>
      </c>
      <c r="D1321" s="71" t="s">
        <v>1795</v>
      </c>
      <c r="E1321" s="28" t="s">
        <v>1794</v>
      </c>
      <c r="F1321" s="28" t="s">
        <v>1793</v>
      </c>
      <c r="G1321" s="27"/>
      <c r="H1321" s="28" t="s">
        <v>1792</v>
      </c>
      <c r="I1321" s="27"/>
      <c r="J1321" s="28" t="s">
        <v>1792</v>
      </c>
      <c r="K1321" s="27"/>
      <c r="L1321" s="25" t="s">
        <v>1844</v>
      </c>
      <c r="M1321" s="25" t="s">
        <v>199</v>
      </c>
      <c r="N1321" s="25">
        <v>65</v>
      </c>
      <c r="O1321" s="25"/>
      <c r="P1321" s="25"/>
      <c r="Q1321" s="25">
        <v>4</v>
      </c>
      <c r="R1321" s="25"/>
      <c r="S1321" s="25">
        <v>0.5</v>
      </c>
      <c r="T1321" s="25"/>
      <c r="U1321" s="31">
        <f t="shared" si="21"/>
        <v>4.5</v>
      </c>
      <c r="V1321" s="25"/>
      <c r="W1321" s="33" t="s">
        <v>848</v>
      </c>
      <c r="X1321" s="33" t="s">
        <v>1789</v>
      </c>
      <c r="Y1321" s="33" t="s">
        <v>1788</v>
      </c>
      <c r="Z1321" s="33" t="s">
        <v>1787</v>
      </c>
      <c r="AA1321" s="33"/>
    </row>
    <row r="1322" spans="1:27" s="70" customFormat="1" ht="33.75" x14ac:dyDescent="0.2">
      <c r="A1322" s="24">
        <v>1318</v>
      </c>
      <c r="B1322" s="27" t="s">
        <v>1552</v>
      </c>
      <c r="C1322" s="28" t="s">
        <v>1551</v>
      </c>
      <c r="D1322" s="71" t="s">
        <v>1795</v>
      </c>
      <c r="E1322" s="28" t="s">
        <v>1794</v>
      </c>
      <c r="F1322" s="28" t="s">
        <v>1793</v>
      </c>
      <c r="G1322" s="27"/>
      <c r="H1322" s="28" t="s">
        <v>1792</v>
      </c>
      <c r="I1322" s="27"/>
      <c r="J1322" s="28" t="s">
        <v>1792</v>
      </c>
      <c r="K1322" s="27"/>
      <c r="L1322" s="25" t="s">
        <v>1843</v>
      </c>
      <c r="M1322" s="25" t="s">
        <v>199</v>
      </c>
      <c r="N1322" s="25">
        <v>65</v>
      </c>
      <c r="O1322" s="25"/>
      <c r="P1322" s="25"/>
      <c r="Q1322" s="25">
        <v>4</v>
      </c>
      <c r="R1322" s="25"/>
      <c r="S1322" s="25">
        <v>0.5</v>
      </c>
      <c r="T1322" s="25"/>
      <c r="U1322" s="31">
        <f t="shared" si="21"/>
        <v>4.5</v>
      </c>
      <c r="V1322" s="25"/>
      <c r="W1322" s="33" t="s">
        <v>848</v>
      </c>
      <c r="X1322" s="33" t="s">
        <v>1789</v>
      </c>
      <c r="Y1322" s="33" t="s">
        <v>1788</v>
      </c>
      <c r="Z1322" s="33" t="s">
        <v>1787</v>
      </c>
      <c r="AA1322" s="33"/>
    </row>
    <row r="1323" spans="1:27" s="70" customFormat="1" ht="33.75" x14ac:dyDescent="0.2">
      <c r="A1323" s="24">
        <v>1319</v>
      </c>
      <c r="B1323" s="27" t="s">
        <v>1552</v>
      </c>
      <c r="C1323" s="28" t="s">
        <v>1551</v>
      </c>
      <c r="D1323" s="71" t="s">
        <v>1795</v>
      </c>
      <c r="E1323" s="28" t="s">
        <v>1794</v>
      </c>
      <c r="F1323" s="28" t="s">
        <v>1793</v>
      </c>
      <c r="G1323" s="27"/>
      <c r="H1323" s="28" t="s">
        <v>1792</v>
      </c>
      <c r="I1323" s="27"/>
      <c r="J1323" s="28" t="s">
        <v>1792</v>
      </c>
      <c r="K1323" s="27"/>
      <c r="L1323" s="25" t="s">
        <v>1842</v>
      </c>
      <c r="M1323" s="25" t="s">
        <v>199</v>
      </c>
      <c r="N1323" s="25">
        <v>65</v>
      </c>
      <c r="O1323" s="25"/>
      <c r="P1323" s="25"/>
      <c r="Q1323" s="25">
        <v>4</v>
      </c>
      <c r="R1323" s="25"/>
      <c r="S1323" s="25">
        <v>0.5</v>
      </c>
      <c r="T1323" s="25"/>
      <c r="U1323" s="31">
        <f t="shared" si="21"/>
        <v>4.5</v>
      </c>
      <c r="V1323" s="25"/>
      <c r="W1323" s="33" t="s">
        <v>848</v>
      </c>
      <c r="X1323" s="33" t="s">
        <v>1789</v>
      </c>
      <c r="Y1323" s="33" t="s">
        <v>1788</v>
      </c>
      <c r="Z1323" s="33" t="s">
        <v>1787</v>
      </c>
      <c r="AA1323" s="33"/>
    </row>
    <row r="1324" spans="1:27" s="70" customFormat="1" ht="33.75" x14ac:dyDescent="0.2">
      <c r="A1324" s="24">
        <v>1320</v>
      </c>
      <c r="B1324" s="27" t="s">
        <v>1552</v>
      </c>
      <c r="C1324" s="28" t="s">
        <v>1551</v>
      </c>
      <c r="D1324" s="71" t="s">
        <v>1795</v>
      </c>
      <c r="E1324" s="28" t="s">
        <v>1794</v>
      </c>
      <c r="F1324" s="28" t="s">
        <v>1793</v>
      </c>
      <c r="G1324" s="27"/>
      <c r="H1324" s="28" t="s">
        <v>1792</v>
      </c>
      <c r="I1324" s="27"/>
      <c r="J1324" s="28" t="s">
        <v>1792</v>
      </c>
      <c r="K1324" s="27"/>
      <c r="L1324" s="25" t="s">
        <v>1841</v>
      </c>
      <c r="M1324" s="25" t="s">
        <v>199</v>
      </c>
      <c r="N1324" s="25">
        <v>65</v>
      </c>
      <c r="O1324" s="25"/>
      <c r="P1324" s="25"/>
      <c r="Q1324" s="25">
        <v>4</v>
      </c>
      <c r="R1324" s="25"/>
      <c r="S1324" s="25">
        <v>0.5</v>
      </c>
      <c r="T1324" s="25"/>
      <c r="U1324" s="31">
        <f t="shared" si="21"/>
        <v>4.5</v>
      </c>
      <c r="V1324" s="25"/>
      <c r="W1324" s="33" t="s">
        <v>848</v>
      </c>
      <c r="X1324" s="33" t="s">
        <v>1789</v>
      </c>
      <c r="Y1324" s="33" t="s">
        <v>1788</v>
      </c>
      <c r="Z1324" s="33" t="s">
        <v>1787</v>
      </c>
      <c r="AA1324" s="33"/>
    </row>
    <row r="1325" spans="1:27" s="70" customFormat="1" ht="33.75" x14ac:dyDescent="0.2">
      <c r="A1325" s="24">
        <v>1321</v>
      </c>
      <c r="B1325" s="27" t="s">
        <v>1552</v>
      </c>
      <c r="C1325" s="28" t="s">
        <v>1551</v>
      </c>
      <c r="D1325" s="71" t="s">
        <v>1795</v>
      </c>
      <c r="E1325" s="28" t="s">
        <v>1794</v>
      </c>
      <c r="F1325" s="28" t="s">
        <v>1793</v>
      </c>
      <c r="G1325" s="27"/>
      <c r="H1325" s="28" t="s">
        <v>1792</v>
      </c>
      <c r="I1325" s="27"/>
      <c r="J1325" s="28" t="s">
        <v>1792</v>
      </c>
      <c r="K1325" s="27"/>
      <c r="L1325" s="25" t="s">
        <v>1840</v>
      </c>
      <c r="M1325" s="25" t="s">
        <v>190</v>
      </c>
      <c r="N1325" s="25">
        <v>12</v>
      </c>
      <c r="O1325" s="25"/>
      <c r="P1325" s="25"/>
      <c r="Q1325" s="25">
        <v>4</v>
      </c>
      <c r="R1325" s="25"/>
      <c r="S1325" s="25">
        <v>1</v>
      </c>
      <c r="T1325" s="25">
        <v>0.5</v>
      </c>
      <c r="U1325" s="31">
        <f t="shared" si="21"/>
        <v>5.5</v>
      </c>
      <c r="V1325" s="25"/>
      <c r="W1325" s="33" t="s">
        <v>22</v>
      </c>
      <c r="X1325" s="33" t="s">
        <v>1789</v>
      </c>
      <c r="Y1325" s="33" t="s">
        <v>1788</v>
      </c>
      <c r="Z1325" s="33" t="s">
        <v>1787</v>
      </c>
      <c r="AA1325" s="33"/>
    </row>
    <row r="1326" spans="1:27" s="70" customFormat="1" ht="33.75" x14ac:dyDescent="0.2">
      <c r="A1326" s="24">
        <v>1322</v>
      </c>
      <c r="B1326" s="27" t="s">
        <v>1552</v>
      </c>
      <c r="C1326" s="28" t="s">
        <v>1551</v>
      </c>
      <c r="D1326" s="71" t="s">
        <v>1795</v>
      </c>
      <c r="E1326" s="28" t="s">
        <v>1794</v>
      </c>
      <c r="F1326" s="28" t="s">
        <v>1793</v>
      </c>
      <c r="G1326" s="27"/>
      <c r="H1326" s="28" t="s">
        <v>1792</v>
      </c>
      <c r="I1326" s="27"/>
      <c r="J1326" s="28" t="s">
        <v>1792</v>
      </c>
      <c r="K1326" s="27"/>
      <c r="L1326" s="25" t="s">
        <v>1839</v>
      </c>
      <c r="M1326" s="25" t="s">
        <v>199</v>
      </c>
      <c r="N1326" s="25">
        <v>100</v>
      </c>
      <c r="O1326" s="25"/>
      <c r="P1326" s="25"/>
      <c r="Q1326" s="25">
        <v>0.5</v>
      </c>
      <c r="R1326" s="25"/>
      <c r="S1326" s="25">
        <v>0.25</v>
      </c>
      <c r="T1326" s="25"/>
      <c r="U1326" s="31">
        <f t="shared" si="21"/>
        <v>0.75</v>
      </c>
      <c r="V1326" s="25"/>
      <c r="W1326" s="33" t="s">
        <v>848</v>
      </c>
      <c r="X1326" s="33" t="s">
        <v>1789</v>
      </c>
      <c r="Y1326" s="33" t="s">
        <v>1788</v>
      </c>
      <c r="Z1326" s="33" t="s">
        <v>1820</v>
      </c>
      <c r="AA1326" s="33"/>
    </row>
    <row r="1327" spans="1:27" s="70" customFormat="1" ht="33.75" x14ac:dyDescent="0.2">
      <c r="A1327" s="24">
        <v>1323</v>
      </c>
      <c r="B1327" s="27" t="s">
        <v>1552</v>
      </c>
      <c r="C1327" s="28" t="s">
        <v>1551</v>
      </c>
      <c r="D1327" s="71" t="s">
        <v>1795</v>
      </c>
      <c r="E1327" s="28" t="s">
        <v>1794</v>
      </c>
      <c r="F1327" s="28" t="s">
        <v>1793</v>
      </c>
      <c r="G1327" s="27"/>
      <c r="H1327" s="28" t="s">
        <v>1792</v>
      </c>
      <c r="I1327" s="27"/>
      <c r="J1327" s="28" t="s">
        <v>1792</v>
      </c>
      <c r="K1327" s="27"/>
      <c r="L1327" s="25" t="s">
        <v>1838</v>
      </c>
      <c r="M1327" s="25" t="s">
        <v>190</v>
      </c>
      <c r="N1327" s="25">
        <v>12</v>
      </c>
      <c r="O1327" s="25"/>
      <c r="P1327" s="25"/>
      <c r="Q1327" s="25">
        <v>4</v>
      </c>
      <c r="R1327" s="25"/>
      <c r="S1327" s="25">
        <v>1</v>
      </c>
      <c r="T1327" s="25">
        <v>0.5</v>
      </c>
      <c r="U1327" s="31">
        <f t="shared" si="21"/>
        <v>5.5</v>
      </c>
      <c r="V1327" s="25"/>
      <c r="W1327" s="33" t="s">
        <v>22</v>
      </c>
      <c r="X1327" s="33" t="s">
        <v>1789</v>
      </c>
      <c r="Y1327" s="33" t="s">
        <v>1788</v>
      </c>
      <c r="Z1327" s="33" t="s">
        <v>1787</v>
      </c>
      <c r="AA1327" s="33"/>
    </row>
    <row r="1328" spans="1:27" s="70" customFormat="1" ht="33.75" x14ac:dyDescent="0.2">
      <c r="A1328" s="24">
        <v>1324</v>
      </c>
      <c r="B1328" s="27" t="s">
        <v>1552</v>
      </c>
      <c r="C1328" s="28" t="s">
        <v>1551</v>
      </c>
      <c r="D1328" s="71" t="s">
        <v>1795</v>
      </c>
      <c r="E1328" s="28" t="s">
        <v>1794</v>
      </c>
      <c r="F1328" s="28" t="s">
        <v>1793</v>
      </c>
      <c r="G1328" s="27"/>
      <c r="H1328" s="28" t="s">
        <v>1792</v>
      </c>
      <c r="I1328" s="27"/>
      <c r="J1328" s="28" t="s">
        <v>1792</v>
      </c>
      <c r="K1328" s="27"/>
      <c r="L1328" s="25" t="s">
        <v>1837</v>
      </c>
      <c r="M1328" s="25" t="s">
        <v>1836</v>
      </c>
      <c r="N1328" s="25">
        <v>240</v>
      </c>
      <c r="O1328" s="25"/>
      <c r="P1328" s="25">
        <v>1</v>
      </c>
      <c r="Q1328" s="25"/>
      <c r="R1328" s="25"/>
      <c r="S1328" s="25">
        <v>1</v>
      </c>
      <c r="T1328" s="25"/>
      <c r="U1328" s="31">
        <f t="shared" si="21"/>
        <v>2</v>
      </c>
      <c r="V1328" s="25"/>
      <c r="W1328" s="33" t="s">
        <v>22</v>
      </c>
      <c r="X1328" s="33" t="s">
        <v>1789</v>
      </c>
      <c r="Y1328" s="33" t="s">
        <v>1788</v>
      </c>
      <c r="Z1328" s="33" t="s">
        <v>1787</v>
      </c>
      <c r="AA1328" s="33"/>
    </row>
    <row r="1329" spans="1:27" s="70" customFormat="1" ht="33.75" x14ac:dyDescent="0.2">
      <c r="A1329" s="24">
        <v>1325</v>
      </c>
      <c r="B1329" s="27" t="s">
        <v>1552</v>
      </c>
      <c r="C1329" s="28" t="s">
        <v>1551</v>
      </c>
      <c r="D1329" s="71" t="s">
        <v>1795</v>
      </c>
      <c r="E1329" s="28" t="s">
        <v>1794</v>
      </c>
      <c r="F1329" s="28" t="s">
        <v>1793</v>
      </c>
      <c r="G1329" s="27"/>
      <c r="H1329" s="28" t="s">
        <v>1792</v>
      </c>
      <c r="I1329" s="27"/>
      <c r="J1329" s="28" t="s">
        <v>1792</v>
      </c>
      <c r="K1329" s="27"/>
      <c r="L1329" s="25" t="s">
        <v>1835</v>
      </c>
      <c r="M1329" s="25" t="s">
        <v>190</v>
      </c>
      <c r="N1329" s="25">
        <v>12</v>
      </c>
      <c r="O1329" s="25"/>
      <c r="P1329" s="25"/>
      <c r="Q1329" s="25"/>
      <c r="R1329" s="25"/>
      <c r="S1329" s="25">
        <v>0.5</v>
      </c>
      <c r="T1329" s="25"/>
      <c r="U1329" s="31">
        <f t="shared" si="21"/>
        <v>0.5</v>
      </c>
      <c r="V1329" s="25"/>
      <c r="W1329" s="33" t="s">
        <v>882</v>
      </c>
      <c r="X1329" s="33"/>
      <c r="Y1329" s="33"/>
      <c r="Z1329" s="33"/>
      <c r="AA1329" s="33"/>
    </row>
    <row r="1330" spans="1:27" s="70" customFormat="1" ht="33.75" x14ac:dyDescent="0.2">
      <c r="A1330" s="24">
        <v>1326</v>
      </c>
      <c r="B1330" s="27" t="s">
        <v>1552</v>
      </c>
      <c r="C1330" s="28" t="s">
        <v>1551</v>
      </c>
      <c r="D1330" s="71" t="s">
        <v>1795</v>
      </c>
      <c r="E1330" s="28" t="s">
        <v>1794</v>
      </c>
      <c r="F1330" s="28" t="s">
        <v>1793</v>
      </c>
      <c r="G1330" s="27"/>
      <c r="H1330" s="28" t="s">
        <v>1792</v>
      </c>
      <c r="I1330" s="27"/>
      <c r="J1330" s="28" t="s">
        <v>1792</v>
      </c>
      <c r="K1330" s="27"/>
      <c r="L1330" s="25" t="s">
        <v>1834</v>
      </c>
      <c r="M1330" s="25" t="s">
        <v>190</v>
      </c>
      <c r="N1330" s="25">
        <v>2</v>
      </c>
      <c r="O1330" s="25"/>
      <c r="P1330" s="25"/>
      <c r="Q1330" s="25">
        <v>24</v>
      </c>
      <c r="R1330" s="25"/>
      <c r="S1330" s="25"/>
      <c r="T1330" s="25">
        <v>3</v>
      </c>
      <c r="U1330" s="31">
        <f t="shared" si="21"/>
        <v>27</v>
      </c>
      <c r="V1330" s="25"/>
      <c r="W1330" s="33" t="s">
        <v>22</v>
      </c>
      <c r="X1330" s="33" t="s">
        <v>1789</v>
      </c>
      <c r="Y1330" s="33" t="s">
        <v>1788</v>
      </c>
      <c r="Z1330" s="33" t="s">
        <v>1787</v>
      </c>
      <c r="AA1330" s="33"/>
    </row>
    <row r="1331" spans="1:27" s="70" customFormat="1" ht="33.75" x14ac:dyDescent="0.2">
      <c r="A1331" s="24">
        <v>1327</v>
      </c>
      <c r="B1331" s="27" t="s">
        <v>1552</v>
      </c>
      <c r="C1331" s="28" t="s">
        <v>1551</v>
      </c>
      <c r="D1331" s="71" t="s">
        <v>1795</v>
      </c>
      <c r="E1331" s="28" t="s">
        <v>1794</v>
      </c>
      <c r="F1331" s="28" t="s">
        <v>1793</v>
      </c>
      <c r="G1331" s="27"/>
      <c r="H1331" s="28" t="s">
        <v>1792</v>
      </c>
      <c r="I1331" s="27"/>
      <c r="J1331" s="28" t="s">
        <v>1792</v>
      </c>
      <c r="K1331" s="27"/>
      <c r="L1331" s="25" t="s">
        <v>1833</v>
      </c>
      <c r="M1331" s="25" t="s">
        <v>199</v>
      </c>
      <c r="N1331" s="25">
        <v>30</v>
      </c>
      <c r="O1331" s="25"/>
      <c r="P1331" s="25"/>
      <c r="Q1331" s="25">
        <v>1</v>
      </c>
      <c r="R1331" s="25"/>
      <c r="S1331" s="25">
        <v>0.25</v>
      </c>
      <c r="T1331" s="25"/>
      <c r="U1331" s="31">
        <f t="shared" si="21"/>
        <v>1.25</v>
      </c>
      <c r="V1331" s="25"/>
      <c r="W1331" s="33" t="s">
        <v>848</v>
      </c>
      <c r="X1331" s="33" t="s">
        <v>1789</v>
      </c>
      <c r="Y1331" s="33" t="s">
        <v>1788</v>
      </c>
      <c r="Z1331" s="33" t="s">
        <v>1820</v>
      </c>
      <c r="AA1331" s="33"/>
    </row>
    <row r="1332" spans="1:27" s="70" customFormat="1" ht="33.75" x14ac:dyDescent="0.2">
      <c r="A1332" s="24">
        <v>1328</v>
      </c>
      <c r="B1332" s="27" t="s">
        <v>1552</v>
      </c>
      <c r="C1332" s="28" t="s">
        <v>1551</v>
      </c>
      <c r="D1332" s="71" t="s">
        <v>1795</v>
      </c>
      <c r="E1332" s="28" t="s">
        <v>1794</v>
      </c>
      <c r="F1332" s="28" t="s">
        <v>1793</v>
      </c>
      <c r="G1332" s="27"/>
      <c r="H1332" s="28" t="s">
        <v>1792</v>
      </c>
      <c r="I1332" s="27"/>
      <c r="J1332" s="28" t="s">
        <v>1792</v>
      </c>
      <c r="K1332" s="27"/>
      <c r="L1332" s="25" t="s">
        <v>1832</v>
      </c>
      <c r="M1332" s="25" t="s">
        <v>199</v>
      </c>
      <c r="N1332" s="25">
        <v>30</v>
      </c>
      <c r="O1332" s="25"/>
      <c r="P1332" s="25"/>
      <c r="Q1332" s="25">
        <v>1</v>
      </c>
      <c r="R1332" s="25"/>
      <c r="S1332" s="25"/>
      <c r="T1332" s="25">
        <v>0.3</v>
      </c>
      <c r="U1332" s="31">
        <f t="shared" si="21"/>
        <v>1.3</v>
      </c>
      <c r="V1332" s="25"/>
      <c r="W1332" s="33" t="s">
        <v>22</v>
      </c>
      <c r="X1332" s="33" t="s">
        <v>1789</v>
      </c>
      <c r="Y1332" s="33" t="s">
        <v>1788</v>
      </c>
      <c r="Z1332" s="33" t="s">
        <v>1787</v>
      </c>
      <c r="AA1332" s="33"/>
    </row>
    <row r="1333" spans="1:27" s="70" customFormat="1" ht="33.75" x14ac:dyDescent="0.2">
      <c r="A1333" s="24">
        <v>1329</v>
      </c>
      <c r="B1333" s="27" t="s">
        <v>1552</v>
      </c>
      <c r="C1333" s="28" t="s">
        <v>1551</v>
      </c>
      <c r="D1333" s="71" t="s">
        <v>1795</v>
      </c>
      <c r="E1333" s="28" t="s">
        <v>1794</v>
      </c>
      <c r="F1333" s="28" t="s">
        <v>1793</v>
      </c>
      <c r="G1333" s="27"/>
      <c r="H1333" s="28" t="s">
        <v>1792</v>
      </c>
      <c r="I1333" s="27"/>
      <c r="J1333" s="28" t="s">
        <v>1792</v>
      </c>
      <c r="K1333" s="27"/>
      <c r="L1333" s="25" t="s">
        <v>1831</v>
      </c>
      <c r="M1333" s="25" t="s">
        <v>199</v>
      </c>
      <c r="N1333" s="25">
        <v>30</v>
      </c>
      <c r="O1333" s="25"/>
      <c r="P1333" s="25"/>
      <c r="Q1333" s="25">
        <v>1</v>
      </c>
      <c r="R1333" s="25"/>
      <c r="S1333" s="25">
        <v>0.25</v>
      </c>
      <c r="T1333" s="25"/>
      <c r="U1333" s="31">
        <f t="shared" si="21"/>
        <v>1.25</v>
      </c>
      <c r="V1333" s="25"/>
      <c r="W1333" s="33" t="s">
        <v>848</v>
      </c>
      <c r="X1333" s="33" t="s">
        <v>1789</v>
      </c>
      <c r="Y1333" s="33" t="s">
        <v>1788</v>
      </c>
      <c r="Z1333" s="33" t="s">
        <v>1820</v>
      </c>
      <c r="AA1333" s="33"/>
    </row>
    <row r="1334" spans="1:27" s="70" customFormat="1" ht="33.75" x14ac:dyDescent="0.2">
      <c r="A1334" s="24">
        <v>1330</v>
      </c>
      <c r="B1334" s="27" t="s">
        <v>1552</v>
      </c>
      <c r="C1334" s="28" t="s">
        <v>1551</v>
      </c>
      <c r="D1334" s="71" t="s">
        <v>1795</v>
      </c>
      <c r="E1334" s="28" t="s">
        <v>1794</v>
      </c>
      <c r="F1334" s="28" t="s">
        <v>1793</v>
      </c>
      <c r="G1334" s="27"/>
      <c r="H1334" s="28" t="s">
        <v>1792</v>
      </c>
      <c r="I1334" s="27"/>
      <c r="J1334" s="28" t="s">
        <v>1792</v>
      </c>
      <c r="K1334" s="27"/>
      <c r="L1334" s="25" t="s">
        <v>1830</v>
      </c>
      <c r="M1334" s="25" t="s">
        <v>199</v>
      </c>
      <c r="N1334" s="25">
        <v>2</v>
      </c>
      <c r="O1334" s="25"/>
      <c r="P1334" s="25"/>
      <c r="Q1334" s="25">
        <v>8</v>
      </c>
      <c r="R1334" s="25"/>
      <c r="S1334" s="25"/>
      <c r="T1334" s="25">
        <v>1</v>
      </c>
      <c r="U1334" s="31">
        <f t="shared" si="21"/>
        <v>9</v>
      </c>
      <c r="V1334" s="25"/>
      <c r="W1334" s="33" t="s">
        <v>22</v>
      </c>
      <c r="X1334" s="33" t="s">
        <v>1789</v>
      </c>
      <c r="Y1334" s="33" t="s">
        <v>1788</v>
      </c>
      <c r="Z1334" s="33" t="s">
        <v>1820</v>
      </c>
      <c r="AA1334" s="33"/>
    </row>
    <row r="1335" spans="1:27" s="70" customFormat="1" ht="33.75" x14ac:dyDescent="0.2">
      <c r="A1335" s="24">
        <v>1331</v>
      </c>
      <c r="B1335" s="27" t="s">
        <v>1552</v>
      </c>
      <c r="C1335" s="28" t="s">
        <v>1551</v>
      </c>
      <c r="D1335" s="71" t="s">
        <v>1795</v>
      </c>
      <c r="E1335" s="28" t="s">
        <v>1794</v>
      </c>
      <c r="F1335" s="28" t="s">
        <v>1793</v>
      </c>
      <c r="G1335" s="27"/>
      <c r="H1335" s="28" t="s">
        <v>1792</v>
      </c>
      <c r="I1335" s="27"/>
      <c r="J1335" s="28" t="s">
        <v>1792</v>
      </c>
      <c r="K1335" s="27"/>
      <c r="L1335" s="25" t="s">
        <v>1829</v>
      </c>
      <c r="M1335" s="25" t="s">
        <v>199</v>
      </c>
      <c r="N1335" s="25">
        <v>1</v>
      </c>
      <c r="O1335" s="25"/>
      <c r="P1335" s="25"/>
      <c r="Q1335" s="25">
        <v>4</v>
      </c>
      <c r="R1335" s="25"/>
      <c r="S1335" s="25">
        <v>0.5</v>
      </c>
      <c r="T1335" s="25"/>
      <c r="U1335" s="31">
        <f t="shared" si="21"/>
        <v>4.5</v>
      </c>
      <c r="V1335" s="25"/>
      <c r="W1335" s="33" t="s">
        <v>193</v>
      </c>
      <c r="X1335" s="33"/>
      <c r="Y1335" s="33"/>
      <c r="Z1335" s="33"/>
      <c r="AA1335" s="33"/>
    </row>
    <row r="1336" spans="1:27" s="70" customFormat="1" ht="33.75" x14ac:dyDescent="0.2">
      <c r="A1336" s="24">
        <v>1332</v>
      </c>
      <c r="B1336" s="27" t="s">
        <v>1552</v>
      </c>
      <c r="C1336" s="28" t="s">
        <v>1551</v>
      </c>
      <c r="D1336" s="71" t="s">
        <v>1795</v>
      </c>
      <c r="E1336" s="28" t="s">
        <v>1794</v>
      </c>
      <c r="F1336" s="28" t="s">
        <v>1793</v>
      </c>
      <c r="G1336" s="27"/>
      <c r="H1336" s="28" t="s">
        <v>1792</v>
      </c>
      <c r="I1336" s="27"/>
      <c r="J1336" s="28" t="s">
        <v>1792</v>
      </c>
      <c r="K1336" s="27"/>
      <c r="L1336" s="25" t="s">
        <v>1828</v>
      </c>
      <c r="M1336" s="25" t="s">
        <v>199</v>
      </c>
      <c r="N1336" s="25">
        <v>30</v>
      </c>
      <c r="O1336" s="25"/>
      <c r="P1336" s="25"/>
      <c r="Q1336" s="25">
        <v>2</v>
      </c>
      <c r="R1336" s="25"/>
      <c r="S1336" s="25">
        <v>0.25</v>
      </c>
      <c r="T1336" s="25"/>
      <c r="U1336" s="31">
        <f t="shared" si="21"/>
        <v>2.25</v>
      </c>
      <c r="V1336" s="25"/>
      <c r="W1336" s="33" t="s">
        <v>848</v>
      </c>
      <c r="X1336" s="33" t="s">
        <v>1789</v>
      </c>
      <c r="Y1336" s="33" t="s">
        <v>1788</v>
      </c>
      <c r="Z1336" s="33" t="s">
        <v>1820</v>
      </c>
      <c r="AA1336" s="33"/>
    </row>
    <row r="1337" spans="1:27" s="70" customFormat="1" ht="33.75" x14ac:dyDescent="0.2">
      <c r="A1337" s="24">
        <v>1333</v>
      </c>
      <c r="B1337" s="27" t="s">
        <v>1552</v>
      </c>
      <c r="C1337" s="28" t="s">
        <v>1551</v>
      </c>
      <c r="D1337" s="71" t="s">
        <v>1795</v>
      </c>
      <c r="E1337" s="28" t="s">
        <v>1794</v>
      </c>
      <c r="F1337" s="28" t="s">
        <v>1793</v>
      </c>
      <c r="G1337" s="27"/>
      <c r="H1337" s="28" t="s">
        <v>1792</v>
      </c>
      <c r="I1337" s="27"/>
      <c r="J1337" s="28" t="s">
        <v>1792</v>
      </c>
      <c r="K1337" s="27"/>
      <c r="L1337" s="25" t="s">
        <v>1827</v>
      </c>
      <c r="M1337" s="25" t="s">
        <v>199</v>
      </c>
      <c r="N1337" s="25">
        <v>30</v>
      </c>
      <c r="O1337" s="25"/>
      <c r="P1337" s="25"/>
      <c r="Q1337" s="25">
        <v>4</v>
      </c>
      <c r="R1337" s="25"/>
      <c r="S1337" s="25">
        <v>0.5</v>
      </c>
      <c r="T1337" s="25">
        <v>0.25</v>
      </c>
      <c r="U1337" s="31">
        <f t="shared" si="21"/>
        <v>4.75</v>
      </c>
      <c r="V1337" s="25"/>
      <c r="W1337" s="33" t="s">
        <v>848</v>
      </c>
      <c r="X1337" s="33" t="s">
        <v>1789</v>
      </c>
      <c r="Y1337" s="33" t="s">
        <v>1788</v>
      </c>
      <c r="Z1337" s="33" t="s">
        <v>1820</v>
      </c>
      <c r="AA1337" s="33"/>
    </row>
    <row r="1338" spans="1:27" s="70" customFormat="1" ht="33.75" x14ac:dyDescent="0.2">
      <c r="A1338" s="24">
        <v>1334</v>
      </c>
      <c r="B1338" s="27" t="s">
        <v>1552</v>
      </c>
      <c r="C1338" s="28" t="s">
        <v>1551</v>
      </c>
      <c r="D1338" s="71" t="s">
        <v>1795</v>
      </c>
      <c r="E1338" s="28" t="s">
        <v>1794</v>
      </c>
      <c r="F1338" s="28" t="s">
        <v>1793</v>
      </c>
      <c r="G1338" s="27"/>
      <c r="H1338" s="28" t="s">
        <v>1792</v>
      </c>
      <c r="I1338" s="27"/>
      <c r="J1338" s="28" t="s">
        <v>1792</v>
      </c>
      <c r="K1338" s="27"/>
      <c r="L1338" s="25" t="s">
        <v>1826</v>
      </c>
      <c r="M1338" s="25" t="s">
        <v>199</v>
      </c>
      <c r="N1338" s="25">
        <v>12</v>
      </c>
      <c r="O1338" s="25"/>
      <c r="P1338" s="25"/>
      <c r="Q1338" s="25">
        <v>8</v>
      </c>
      <c r="R1338" s="25"/>
      <c r="S1338" s="25">
        <v>1</v>
      </c>
      <c r="T1338" s="25"/>
      <c r="U1338" s="31">
        <f t="shared" si="21"/>
        <v>9</v>
      </c>
      <c r="V1338" s="25"/>
      <c r="W1338" s="33" t="s">
        <v>79</v>
      </c>
      <c r="X1338" s="33" t="s">
        <v>1825</v>
      </c>
      <c r="Y1338" s="33" t="s">
        <v>1825</v>
      </c>
      <c r="Z1338" s="33" t="s">
        <v>1787</v>
      </c>
      <c r="AA1338" s="33"/>
    </row>
    <row r="1339" spans="1:27" s="70" customFormat="1" ht="33.75" x14ac:dyDescent="0.2">
      <c r="A1339" s="24">
        <v>1335</v>
      </c>
      <c r="B1339" s="27" t="s">
        <v>1552</v>
      </c>
      <c r="C1339" s="28" t="s">
        <v>1551</v>
      </c>
      <c r="D1339" s="71" t="s">
        <v>1795</v>
      </c>
      <c r="E1339" s="28" t="s">
        <v>1794</v>
      </c>
      <c r="F1339" s="28" t="s">
        <v>1793</v>
      </c>
      <c r="G1339" s="27"/>
      <c r="H1339" s="28" t="s">
        <v>1792</v>
      </c>
      <c r="I1339" s="27"/>
      <c r="J1339" s="28" t="s">
        <v>1792</v>
      </c>
      <c r="K1339" s="27"/>
      <c r="L1339" s="25" t="s">
        <v>1824</v>
      </c>
      <c r="M1339" s="25" t="s">
        <v>199</v>
      </c>
      <c r="N1339" s="25">
        <v>350</v>
      </c>
      <c r="O1339" s="25"/>
      <c r="P1339" s="25"/>
      <c r="Q1339" s="25">
        <v>0.5</v>
      </c>
      <c r="R1339" s="25"/>
      <c r="S1339" s="25">
        <v>0.25</v>
      </c>
      <c r="T1339" s="25"/>
      <c r="U1339" s="31">
        <f t="shared" si="21"/>
        <v>0.75</v>
      </c>
      <c r="V1339" s="25"/>
      <c r="W1339" s="33" t="s">
        <v>848</v>
      </c>
      <c r="X1339" s="33" t="s">
        <v>1789</v>
      </c>
      <c r="Y1339" s="33" t="s">
        <v>1788</v>
      </c>
      <c r="Z1339" s="33" t="s">
        <v>1820</v>
      </c>
      <c r="AA1339" s="33"/>
    </row>
    <row r="1340" spans="1:27" s="70" customFormat="1" ht="33.75" x14ac:dyDescent="0.2">
      <c r="A1340" s="24">
        <v>1336</v>
      </c>
      <c r="B1340" s="27" t="s">
        <v>1552</v>
      </c>
      <c r="C1340" s="28" t="s">
        <v>1551</v>
      </c>
      <c r="D1340" s="71" t="s">
        <v>1795</v>
      </c>
      <c r="E1340" s="28" t="s">
        <v>1794</v>
      </c>
      <c r="F1340" s="28" t="s">
        <v>1793</v>
      </c>
      <c r="G1340" s="27"/>
      <c r="H1340" s="28" t="s">
        <v>1792</v>
      </c>
      <c r="I1340" s="27"/>
      <c r="J1340" s="28" t="s">
        <v>1792</v>
      </c>
      <c r="K1340" s="27"/>
      <c r="L1340" s="25" t="s">
        <v>1823</v>
      </c>
      <c r="M1340" s="25" t="s">
        <v>199</v>
      </c>
      <c r="N1340" s="25">
        <v>100</v>
      </c>
      <c r="O1340" s="25"/>
      <c r="P1340" s="25"/>
      <c r="Q1340" s="25">
        <v>4</v>
      </c>
      <c r="R1340" s="25"/>
      <c r="S1340" s="25">
        <v>1</v>
      </c>
      <c r="T1340" s="25">
        <v>0.5</v>
      </c>
      <c r="U1340" s="31">
        <f t="shared" si="21"/>
        <v>5.5</v>
      </c>
      <c r="V1340" s="25"/>
      <c r="W1340" s="33" t="s">
        <v>1822</v>
      </c>
      <c r="X1340" s="33" t="s">
        <v>1789</v>
      </c>
      <c r="Y1340" s="33" t="s">
        <v>1788</v>
      </c>
      <c r="Z1340" s="33" t="s">
        <v>1820</v>
      </c>
      <c r="AA1340" s="33"/>
    </row>
    <row r="1341" spans="1:27" s="70" customFormat="1" ht="33.75" x14ac:dyDescent="0.2">
      <c r="A1341" s="24">
        <v>1337</v>
      </c>
      <c r="B1341" s="27" t="s">
        <v>1552</v>
      </c>
      <c r="C1341" s="28" t="s">
        <v>1551</v>
      </c>
      <c r="D1341" s="71" t="s">
        <v>1795</v>
      </c>
      <c r="E1341" s="28" t="s">
        <v>1794</v>
      </c>
      <c r="F1341" s="28" t="s">
        <v>1793</v>
      </c>
      <c r="G1341" s="27"/>
      <c r="H1341" s="28" t="s">
        <v>1792</v>
      </c>
      <c r="I1341" s="27"/>
      <c r="J1341" s="28" t="s">
        <v>1792</v>
      </c>
      <c r="K1341" s="27"/>
      <c r="L1341" s="25" t="s">
        <v>1821</v>
      </c>
      <c r="M1341" s="25" t="s">
        <v>199</v>
      </c>
      <c r="N1341" s="25">
        <v>24</v>
      </c>
      <c r="O1341" s="25"/>
      <c r="P1341" s="25"/>
      <c r="Q1341" s="25">
        <v>4</v>
      </c>
      <c r="R1341" s="25"/>
      <c r="S1341" s="25">
        <v>1</v>
      </c>
      <c r="T1341" s="25"/>
      <c r="U1341" s="31">
        <f t="shared" si="21"/>
        <v>5</v>
      </c>
      <c r="V1341" s="25"/>
      <c r="W1341" s="33" t="s">
        <v>22</v>
      </c>
      <c r="X1341" s="33" t="s">
        <v>1789</v>
      </c>
      <c r="Y1341" s="33" t="s">
        <v>1788</v>
      </c>
      <c r="Z1341" s="33" t="s">
        <v>1820</v>
      </c>
      <c r="AA1341" s="33"/>
    </row>
    <row r="1342" spans="1:27" s="70" customFormat="1" ht="33.75" x14ac:dyDescent="0.2">
      <c r="A1342" s="24">
        <v>1338</v>
      </c>
      <c r="B1342" s="27" t="s">
        <v>1552</v>
      </c>
      <c r="C1342" s="28" t="s">
        <v>1551</v>
      </c>
      <c r="D1342" s="71" t="s">
        <v>1795</v>
      </c>
      <c r="E1342" s="28" t="s">
        <v>1794</v>
      </c>
      <c r="F1342" s="28" t="s">
        <v>1793</v>
      </c>
      <c r="G1342" s="27"/>
      <c r="H1342" s="28" t="s">
        <v>1792</v>
      </c>
      <c r="I1342" s="27"/>
      <c r="J1342" s="28" t="s">
        <v>1792</v>
      </c>
      <c r="K1342" s="27"/>
      <c r="L1342" s="25" t="s">
        <v>1819</v>
      </c>
      <c r="M1342" s="25" t="s">
        <v>190</v>
      </c>
      <c r="N1342" s="25">
        <v>12</v>
      </c>
      <c r="O1342" s="25"/>
      <c r="P1342" s="25"/>
      <c r="Q1342" s="25">
        <v>120</v>
      </c>
      <c r="R1342" s="25"/>
      <c r="S1342" s="25">
        <v>16</v>
      </c>
      <c r="T1342" s="25">
        <v>1</v>
      </c>
      <c r="U1342" s="31">
        <f t="shared" si="21"/>
        <v>137</v>
      </c>
      <c r="V1342" s="25"/>
      <c r="W1342" s="33" t="s">
        <v>22</v>
      </c>
      <c r="X1342" s="33" t="s">
        <v>1789</v>
      </c>
      <c r="Y1342" s="33" t="s">
        <v>1788</v>
      </c>
      <c r="Z1342" s="33" t="s">
        <v>1787</v>
      </c>
      <c r="AA1342" s="33"/>
    </row>
    <row r="1343" spans="1:27" s="70" customFormat="1" ht="33.75" x14ac:dyDescent="0.2">
      <c r="A1343" s="24">
        <v>1339</v>
      </c>
      <c r="B1343" s="27" t="s">
        <v>1552</v>
      </c>
      <c r="C1343" s="28" t="s">
        <v>1551</v>
      </c>
      <c r="D1343" s="71" t="s">
        <v>1795</v>
      </c>
      <c r="E1343" s="28" t="s">
        <v>1794</v>
      </c>
      <c r="F1343" s="28" t="s">
        <v>1793</v>
      </c>
      <c r="G1343" s="27"/>
      <c r="H1343" s="28" t="s">
        <v>1792</v>
      </c>
      <c r="I1343" s="27"/>
      <c r="J1343" s="28" t="s">
        <v>1792</v>
      </c>
      <c r="K1343" s="27"/>
      <c r="L1343" s="25" t="s">
        <v>1818</v>
      </c>
      <c r="M1343" s="25" t="s">
        <v>1812</v>
      </c>
      <c r="N1343" s="25">
        <v>8</v>
      </c>
      <c r="O1343" s="25"/>
      <c r="P1343" s="25"/>
      <c r="Q1343" s="25">
        <v>8</v>
      </c>
      <c r="R1343" s="25"/>
      <c r="S1343" s="25">
        <v>1</v>
      </c>
      <c r="T1343" s="25"/>
      <c r="U1343" s="31">
        <f t="shared" si="21"/>
        <v>9</v>
      </c>
      <c r="V1343" s="25"/>
      <c r="W1343" s="33" t="s">
        <v>22</v>
      </c>
      <c r="X1343" s="33" t="s">
        <v>1789</v>
      </c>
      <c r="Y1343" s="33" t="s">
        <v>1788</v>
      </c>
      <c r="Z1343" s="33" t="s">
        <v>1787</v>
      </c>
      <c r="AA1343" s="33"/>
    </row>
    <row r="1344" spans="1:27" s="70" customFormat="1" ht="45" x14ac:dyDescent="0.2">
      <c r="A1344" s="24">
        <v>1340</v>
      </c>
      <c r="B1344" s="27" t="s">
        <v>1552</v>
      </c>
      <c r="C1344" s="28" t="s">
        <v>1551</v>
      </c>
      <c r="D1344" s="71" t="s">
        <v>1795</v>
      </c>
      <c r="E1344" s="28" t="s">
        <v>1794</v>
      </c>
      <c r="F1344" s="28" t="s">
        <v>1793</v>
      </c>
      <c r="G1344" s="27"/>
      <c r="H1344" s="28" t="s">
        <v>1792</v>
      </c>
      <c r="I1344" s="27"/>
      <c r="J1344" s="28" t="s">
        <v>1792</v>
      </c>
      <c r="K1344" s="27"/>
      <c r="L1344" s="25" t="s">
        <v>1817</v>
      </c>
      <c r="M1344" s="25" t="s">
        <v>190</v>
      </c>
      <c r="N1344" s="25">
        <v>4</v>
      </c>
      <c r="O1344" s="25"/>
      <c r="P1344" s="25"/>
      <c r="Q1344" s="25">
        <v>80</v>
      </c>
      <c r="R1344" s="25"/>
      <c r="S1344" s="25">
        <v>8</v>
      </c>
      <c r="T1344" s="25"/>
      <c r="U1344" s="31">
        <f t="shared" si="21"/>
        <v>88</v>
      </c>
      <c r="V1344" s="25"/>
      <c r="W1344" s="33" t="s">
        <v>22</v>
      </c>
      <c r="X1344" s="33" t="s">
        <v>1789</v>
      </c>
      <c r="Y1344" s="33" t="s">
        <v>1788</v>
      </c>
      <c r="Z1344" s="33" t="s">
        <v>1787</v>
      </c>
      <c r="AA1344" s="33"/>
    </row>
    <row r="1345" spans="1:27" s="70" customFormat="1" ht="33.75" x14ac:dyDescent="0.2">
      <c r="A1345" s="24">
        <v>1341</v>
      </c>
      <c r="B1345" s="27" t="s">
        <v>1552</v>
      </c>
      <c r="C1345" s="28" t="s">
        <v>1551</v>
      </c>
      <c r="D1345" s="71" t="s">
        <v>1795</v>
      </c>
      <c r="E1345" s="28" t="s">
        <v>1794</v>
      </c>
      <c r="F1345" s="28" t="s">
        <v>1793</v>
      </c>
      <c r="G1345" s="27"/>
      <c r="H1345" s="28" t="s">
        <v>1792</v>
      </c>
      <c r="I1345" s="27"/>
      <c r="J1345" s="28" t="s">
        <v>1792</v>
      </c>
      <c r="K1345" s="27"/>
      <c r="L1345" s="25" t="s">
        <v>1816</v>
      </c>
      <c r="M1345" s="25" t="s">
        <v>1807</v>
      </c>
      <c r="N1345" s="25">
        <v>96</v>
      </c>
      <c r="O1345" s="25"/>
      <c r="P1345" s="25"/>
      <c r="Q1345" s="25"/>
      <c r="R1345" s="25"/>
      <c r="S1345" s="25">
        <v>2</v>
      </c>
      <c r="T1345" s="25">
        <v>2</v>
      </c>
      <c r="U1345" s="31">
        <f t="shared" si="21"/>
        <v>4</v>
      </c>
      <c r="V1345" s="25"/>
      <c r="W1345" s="33" t="s">
        <v>22</v>
      </c>
      <c r="X1345" s="33" t="s">
        <v>1789</v>
      </c>
      <c r="Y1345" s="33" t="s">
        <v>1788</v>
      </c>
      <c r="Z1345" s="33" t="s">
        <v>1787</v>
      </c>
      <c r="AA1345" s="33"/>
    </row>
    <row r="1346" spans="1:27" s="70" customFormat="1" ht="33.75" x14ac:dyDescent="0.2">
      <c r="A1346" s="24">
        <v>1342</v>
      </c>
      <c r="B1346" s="27" t="s">
        <v>1552</v>
      </c>
      <c r="C1346" s="28" t="s">
        <v>1551</v>
      </c>
      <c r="D1346" s="71" t="s">
        <v>1795</v>
      </c>
      <c r="E1346" s="28" t="s">
        <v>1794</v>
      </c>
      <c r="F1346" s="28" t="s">
        <v>1793</v>
      </c>
      <c r="G1346" s="27"/>
      <c r="H1346" s="28" t="s">
        <v>1792</v>
      </c>
      <c r="I1346" s="27"/>
      <c r="J1346" s="28" t="s">
        <v>1792</v>
      </c>
      <c r="K1346" s="27"/>
      <c r="L1346" s="25" t="s">
        <v>1815</v>
      </c>
      <c r="M1346" s="25" t="s">
        <v>190</v>
      </c>
      <c r="N1346" s="25">
        <v>4</v>
      </c>
      <c r="O1346" s="25"/>
      <c r="P1346" s="25"/>
      <c r="Q1346" s="25">
        <v>2</v>
      </c>
      <c r="R1346" s="25"/>
      <c r="S1346" s="25"/>
      <c r="T1346" s="25"/>
      <c r="U1346" s="31">
        <f t="shared" si="21"/>
        <v>2</v>
      </c>
      <c r="V1346" s="25"/>
      <c r="W1346" s="33" t="s">
        <v>22</v>
      </c>
      <c r="X1346" s="33" t="s">
        <v>1789</v>
      </c>
      <c r="Y1346" s="33" t="s">
        <v>1788</v>
      </c>
      <c r="Z1346" s="33" t="s">
        <v>1787</v>
      </c>
      <c r="AA1346" s="33"/>
    </row>
    <row r="1347" spans="1:27" s="70" customFormat="1" ht="33.75" x14ac:dyDescent="0.2">
      <c r="A1347" s="24">
        <v>1343</v>
      </c>
      <c r="B1347" s="27" t="s">
        <v>1552</v>
      </c>
      <c r="C1347" s="28" t="s">
        <v>1551</v>
      </c>
      <c r="D1347" s="71" t="s">
        <v>1795</v>
      </c>
      <c r="E1347" s="28" t="s">
        <v>1794</v>
      </c>
      <c r="F1347" s="28" t="s">
        <v>1793</v>
      </c>
      <c r="G1347" s="27"/>
      <c r="H1347" s="28" t="s">
        <v>1792</v>
      </c>
      <c r="I1347" s="27"/>
      <c r="J1347" s="28" t="s">
        <v>1792</v>
      </c>
      <c r="K1347" s="27"/>
      <c r="L1347" s="25" t="s">
        <v>1814</v>
      </c>
      <c r="M1347" s="25" t="s">
        <v>190</v>
      </c>
      <c r="N1347" s="25">
        <v>1</v>
      </c>
      <c r="O1347" s="25"/>
      <c r="P1347" s="25"/>
      <c r="Q1347" s="25">
        <v>48</v>
      </c>
      <c r="R1347" s="25"/>
      <c r="S1347" s="25">
        <v>2</v>
      </c>
      <c r="T1347" s="25">
        <v>1</v>
      </c>
      <c r="U1347" s="31">
        <f t="shared" si="21"/>
        <v>51</v>
      </c>
      <c r="V1347" s="25"/>
      <c r="W1347" s="33" t="s">
        <v>22</v>
      </c>
      <c r="X1347" s="33" t="s">
        <v>1789</v>
      </c>
      <c r="Y1347" s="33" t="s">
        <v>1788</v>
      </c>
      <c r="Z1347" s="33" t="s">
        <v>1787</v>
      </c>
      <c r="AA1347" s="33"/>
    </row>
    <row r="1348" spans="1:27" s="70" customFormat="1" ht="33.75" x14ac:dyDescent="0.2">
      <c r="A1348" s="24">
        <v>1344</v>
      </c>
      <c r="B1348" s="27" t="s">
        <v>1552</v>
      </c>
      <c r="C1348" s="28" t="s">
        <v>1551</v>
      </c>
      <c r="D1348" s="71" t="s">
        <v>1795</v>
      </c>
      <c r="E1348" s="28" t="s">
        <v>1794</v>
      </c>
      <c r="F1348" s="28" t="s">
        <v>1793</v>
      </c>
      <c r="G1348" s="27"/>
      <c r="H1348" s="28" t="s">
        <v>1792</v>
      </c>
      <c r="I1348" s="27"/>
      <c r="J1348" s="28" t="s">
        <v>1792</v>
      </c>
      <c r="K1348" s="27"/>
      <c r="L1348" s="25" t="s">
        <v>1813</v>
      </c>
      <c r="M1348" s="25" t="s">
        <v>1812</v>
      </c>
      <c r="N1348" s="25">
        <v>4</v>
      </c>
      <c r="O1348" s="25"/>
      <c r="P1348" s="25"/>
      <c r="Q1348" s="25">
        <v>1.5</v>
      </c>
      <c r="R1348" s="25"/>
      <c r="S1348" s="25"/>
      <c r="T1348" s="25"/>
      <c r="U1348" s="31">
        <f t="shared" si="21"/>
        <v>1.5</v>
      </c>
      <c r="V1348" s="25"/>
      <c r="W1348" s="33" t="s">
        <v>22</v>
      </c>
      <c r="X1348" s="33" t="s">
        <v>1789</v>
      </c>
      <c r="Y1348" s="33" t="s">
        <v>1788</v>
      </c>
      <c r="Z1348" s="33" t="s">
        <v>1787</v>
      </c>
      <c r="AA1348" s="33"/>
    </row>
    <row r="1349" spans="1:27" s="70" customFormat="1" ht="33.75" x14ac:dyDescent="0.2">
      <c r="A1349" s="24">
        <v>1345</v>
      </c>
      <c r="B1349" s="27" t="s">
        <v>1552</v>
      </c>
      <c r="C1349" s="28" t="s">
        <v>1551</v>
      </c>
      <c r="D1349" s="71" t="s">
        <v>1795</v>
      </c>
      <c r="E1349" s="28" t="s">
        <v>1794</v>
      </c>
      <c r="F1349" s="28" t="s">
        <v>1793</v>
      </c>
      <c r="G1349" s="27"/>
      <c r="H1349" s="28" t="s">
        <v>1792</v>
      </c>
      <c r="I1349" s="27"/>
      <c r="J1349" s="28" t="s">
        <v>1792</v>
      </c>
      <c r="K1349" s="27"/>
      <c r="L1349" s="25" t="s">
        <v>1811</v>
      </c>
      <c r="M1349" s="25" t="s">
        <v>1810</v>
      </c>
      <c r="N1349" s="25">
        <v>1</v>
      </c>
      <c r="O1349" s="25"/>
      <c r="P1349" s="25">
        <v>112</v>
      </c>
      <c r="Q1349" s="25"/>
      <c r="R1349" s="25"/>
      <c r="S1349" s="25">
        <v>8</v>
      </c>
      <c r="T1349" s="25"/>
      <c r="U1349" s="31">
        <f t="shared" si="21"/>
        <v>120</v>
      </c>
      <c r="V1349" s="25"/>
      <c r="W1349" s="33" t="s">
        <v>22</v>
      </c>
      <c r="X1349" s="33" t="s">
        <v>1789</v>
      </c>
      <c r="Y1349" s="33" t="s">
        <v>1788</v>
      </c>
      <c r="Z1349" s="33" t="s">
        <v>1787</v>
      </c>
      <c r="AA1349" s="33"/>
    </row>
    <row r="1350" spans="1:27" s="70" customFormat="1" ht="33.75" x14ac:dyDescent="0.2">
      <c r="A1350" s="24">
        <v>1346</v>
      </c>
      <c r="B1350" s="27" t="s">
        <v>1552</v>
      </c>
      <c r="C1350" s="28" t="s">
        <v>1551</v>
      </c>
      <c r="D1350" s="71" t="s">
        <v>1795</v>
      </c>
      <c r="E1350" s="28" t="s">
        <v>1794</v>
      </c>
      <c r="F1350" s="28" t="s">
        <v>1793</v>
      </c>
      <c r="G1350" s="27"/>
      <c r="H1350" s="28" t="s">
        <v>1792</v>
      </c>
      <c r="I1350" s="27"/>
      <c r="J1350" s="28" t="s">
        <v>1792</v>
      </c>
      <c r="K1350" s="27"/>
      <c r="L1350" s="25" t="s">
        <v>1809</v>
      </c>
      <c r="M1350" s="25" t="s">
        <v>1807</v>
      </c>
      <c r="N1350" s="25">
        <v>5</v>
      </c>
      <c r="O1350" s="25"/>
      <c r="P1350" s="25">
        <v>3</v>
      </c>
      <c r="Q1350" s="25"/>
      <c r="R1350" s="25"/>
      <c r="S1350" s="25">
        <v>3</v>
      </c>
      <c r="T1350" s="25"/>
      <c r="U1350" s="31">
        <f t="shared" ref="U1350:U1413" si="22">SUM(O1350:T1350)</f>
        <v>6</v>
      </c>
      <c r="V1350" s="25"/>
      <c r="W1350" s="33" t="s">
        <v>22</v>
      </c>
      <c r="X1350" s="33" t="s">
        <v>1789</v>
      </c>
      <c r="Y1350" s="33" t="s">
        <v>1788</v>
      </c>
      <c r="Z1350" s="33" t="s">
        <v>1787</v>
      </c>
      <c r="AA1350" s="33"/>
    </row>
    <row r="1351" spans="1:27" s="70" customFormat="1" ht="33.75" x14ac:dyDescent="0.2">
      <c r="A1351" s="24">
        <v>1347</v>
      </c>
      <c r="B1351" s="27" t="s">
        <v>1552</v>
      </c>
      <c r="C1351" s="28" t="s">
        <v>1551</v>
      </c>
      <c r="D1351" s="71" t="s">
        <v>1795</v>
      </c>
      <c r="E1351" s="28" t="s">
        <v>1794</v>
      </c>
      <c r="F1351" s="28" t="s">
        <v>1793</v>
      </c>
      <c r="G1351" s="27"/>
      <c r="H1351" s="28" t="s">
        <v>1792</v>
      </c>
      <c r="I1351" s="27"/>
      <c r="J1351" s="28" t="s">
        <v>1792</v>
      </c>
      <c r="K1351" s="27"/>
      <c r="L1351" s="25" t="s">
        <v>1808</v>
      </c>
      <c r="M1351" s="25" t="s">
        <v>1807</v>
      </c>
      <c r="N1351" s="25">
        <v>4</v>
      </c>
      <c r="O1351" s="25"/>
      <c r="P1351" s="25"/>
      <c r="Q1351" s="25">
        <v>1.5</v>
      </c>
      <c r="R1351" s="25"/>
      <c r="S1351" s="25">
        <v>1.5</v>
      </c>
      <c r="T1351" s="25"/>
      <c r="U1351" s="31">
        <f t="shared" si="22"/>
        <v>3</v>
      </c>
      <c r="V1351" s="25"/>
      <c r="W1351" s="33" t="s">
        <v>22</v>
      </c>
      <c r="X1351" s="33" t="s">
        <v>1789</v>
      </c>
      <c r="Y1351" s="33" t="s">
        <v>1788</v>
      </c>
      <c r="Z1351" s="33" t="s">
        <v>1787</v>
      </c>
      <c r="AA1351" s="33"/>
    </row>
    <row r="1352" spans="1:27" s="70" customFormat="1" ht="33.75" x14ac:dyDescent="0.2">
      <c r="A1352" s="24">
        <v>1348</v>
      </c>
      <c r="B1352" s="27" t="s">
        <v>1552</v>
      </c>
      <c r="C1352" s="28" t="s">
        <v>1551</v>
      </c>
      <c r="D1352" s="71" t="s">
        <v>1795</v>
      </c>
      <c r="E1352" s="28" t="s">
        <v>1794</v>
      </c>
      <c r="F1352" s="28" t="s">
        <v>1793</v>
      </c>
      <c r="G1352" s="27"/>
      <c r="H1352" s="28" t="s">
        <v>1792</v>
      </c>
      <c r="I1352" s="27"/>
      <c r="J1352" s="28" t="s">
        <v>1792</v>
      </c>
      <c r="K1352" s="27"/>
      <c r="L1352" s="25" t="s">
        <v>1806</v>
      </c>
      <c r="M1352" s="25" t="s">
        <v>190</v>
      </c>
      <c r="N1352" s="25">
        <v>1</v>
      </c>
      <c r="O1352" s="25"/>
      <c r="P1352" s="25"/>
      <c r="Q1352" s="25">
        <v>48</v>
      </c>
      <c r="R1352" s="25"/>
      <c r="S1352" s="25">
        <v>4</v>
      </c>
      <c r="T1352" s="25">
        <v>2</v>
      </c>
      <c r="U1352" s="31">
        <f t="shared" si="22"/>
        <v>54</v>
      </c>
      <c r="V1352" s="25"/>
      <c r="W1352" s="33" t="s">
        <v>22</v>
      </c>
      <c r="X1352" s="33" t="s">
        <v>1789</v>
      </c>
      <c r="Y1352" s="33" t="s">
        <v>1788</v>
      </c>
      <c r="Z1352" s="33" t="s">
        <v>1787</v>
      </c>
      <c r="AA1352" s="33"/>
    </row>
    <row r="1353" spans="1:27" s="70" customFormat="1" ht="33.75" x14ac:dyDescent="0.2">
      <c r="A1353" s="24">
        <v>1349</v>
      </c>
      <c r="B1353" s="27" t="s">
        <v>1552</v>
      </c>
      <c r="C1353" s="28" t="s">
        <v>1551</v>
      </c>
      <c r="D1353" s="71" t="s">
        <v>1795</v>
      </c>
      <c r="E1353" s="28" t="s">
        <v>1794</v>
      </c>
      <c r="F1353" s="28" t="s">
        <v>1793</v>
      </c>
      <c r="G1353" s="27"/>
      <c r="H1353" s="28" t="s">
        <v>1792</v>
      </c>
      <c r="I1353" s="27"/>
      <c r="J1353" s="28" t="s">
        <v>1792</v>
      </c>
      <c r="K1353" s="27"/>
      <c r="L1353" s="25" t="s">
        <v>1805</v>
      </c>
      <c r="M1353" s="25" t="s">
        <v>209</v>
      </c>
      <c r="N1353" s="25">
        <v>4</v>
      </c>
      <c r="O1353" s="25"/>
      <c r="P1353" s="25"/>
      <c r="Q1353" s="25"/>
      <c r="R1353" s="25"/>
      <c r="S1353" s="25">
        <v>8</v>
      </c>
      <c r="T1353" s="25"/>
      <c r="U1353" s="31">
        <f t="shared" si="22"/>
        <v>8</v>
      </c>
      <c r="V1353" s="25"/>
      <c r="W1353" s="33" t="s">
        <v>22</v>
      </c>
      <c r="X1353" s="33" t="s">
        <v>1789</v>
      </c>
      <c r="Y1353" s="33" t="s">
        <v>1788</v>
      </c>
      <c r="Z1353" s="33" t="s">
        <v>1787</v>
      </c>
      <c r="AA1353" s="33"/>
    </row>
    <row r="1354" spans="1:27" s="70" customFormat="1" ht="33.75" x14ac:dyDescent="0.2">
      <c r="A1354" s="24">
        <v>1350</v>
      </c>
      <c r="B1354" s="27" t="s">
        <v>1552</v>
      </c>
      <c r="C1354" s="28" t="s">
        <v>1551</v>
      </c>
      <c r="D1354" s="71" t="s">
        <v>1795</v>
      </c>
      <c r="E1354" s="28" t="s">
        <v>1794</v>
      </c>
      <c r="F1354" s="28" t="s">
        <v>1793</v>
      </c>
      <c r="G1354" s="27"/>
      <c r="H1354" s="28" t="s">
        <v>1792</v>
      </c>
      <c r="I1354" s="27"/>
      <c r="J1354" s="28" t="s">
        <v>1792</v>
      </c>
      <c r="K1354" s="27"/>
      <c r="L1354" s="25" t="s">
        <v>1804</v>
      </c>
      <c r="M1354" s="25" t="s">
        <v>209</v>
      </c>
      <c r="N1354" s="25">
        <v>4</v>
      </c>
      <c r="O1354" s="25"/>
      <c r="P1354" s="25"/>
      <c r="Q1354" s="25">
        <v>16</v>
      </c>
      <c r="R1354" s="25"/>
      <c r="S1354" s="25">
        <v>1</v>
      </c>
      <c r="T1354" s="25">
        <v>0.5</v>
      </c>
      <c r="U1354" s="31">
        <f t="shared" si="22"/>
        <v>17.5</v>
      </c>
      <c r="V1354" s="25"/>
      <c r="W1354" s="33" t="s">
        <v>22</v>
      </c>
      <c r="X1354" s="33" t="s">
        <v>1789</v>
      </c>
      <c r="Y1354" s="33" t="s">
        <v>1788</v>
      </c>
      <c r="Z1354" s="33" t="s">
        <v>1787</v>
      </c>
      <c r="AA1354" s="33"/>
    </row>
    <row r="1355" spans="1:27" s="70" customFormat="1" ht="33.75" x14ac:dyDescent="0.2">
      <c r="A1355" s="24">
        <v>1351</v>
      </c>
      <c r="B1355" s="27" t="s">
        <v>1552</v>
      </c>
      <c r="C1355" s="28" t="s">
        <v>1551</v>
      </c>
      <c r="D1355" s="71" t="s">
        <v>1795</v>
      </c>
      <c r="E1355" s="28" t="s">
        <v>1794</v>
      </c>
      <c r="F1355" s="28" t="s">
        <v>1793</v>
      </c>
      <c r="G1355" s="27"/>
      <c r="H1355" s="28" t="s">
        <v>1792</v>
      </c>
      <c r="I1355" s="27"/>
      <c r="J1355" s="28" t="s">
        <v>1792</v>
      </c>
      <c r="K1355" s="27"/>
      <c r="L1355" s="25" t="s">
        <v>1803</v>
      </c>
      <c r="M1355" s="25" t="s">
        <v>209</v>
      </c>
      <c r="N1355" s="25">
        <v>2</v>
      </c>
      <c r="O1355" s="25"/>
      <c r="P1355" s="25"/>
      <c r="Q1355" s="25"/>
      <c r="R1355" s="25"/>
      <c r="S1355" s="25">
        <v>88</v>
      </c>
      <c r="T1355" s="25"/>
      <c r="U1355" s="31">
        <f t="shared" si="22"/>
        <v>88</v>
      </c>
      <c r="V1355" s="25"/>
      <c r="W1355" s="33" t="s">
        <v>22</v>
      </c>
      <c r="X1355" s="33" t="s">
        <v>1789</v>
      </c>
      <c r="Y1355" s="33" t="s">
        <v>1788</v>
      </c>
      <c r="Z1355" s="33" t="s">
        <v>1787</v>
      </c>
      <c r="AA1355" s="33"/>
    </row>
    <row r="1356" spans="1:27" s="70" customFormat="1" ht="33.75" x14ac:dyDescent="0.2">
      <c r="A1356" s="24">
        <v>1352</v>
      </c>
      <c r="B1356" s="27" t="s">
        <v>1552</v>
      </c>
      <c r="C1356" s="28" t="s">
        <v>1551</v>
      </c>
      <c r="D1356" s="71" t="s">
        <v>1795</v>
      </c>
      <c r="E1356" s="28" t="s">
        <v>1794</v>
      </c>
      <c r="F1356" s="28" t="s">
        <v>1793</v>
      </c>
      <c r="G1356" s="27"/>
      <c r="H1356" s="28" t="s">
        <v>1792</v>
      </c>
      <c r="I1356" s="27"/>
      <c r="J1356" s="28" t="s">
        <v>1792</v>
      </c>
      <c r="K1356" s="27"/>
      <c r="L1356" s="25" t="s">
        <v>1802</v>
      </c>
      <c r="M1356" s="25" t="s">
        <v>1801</v>
      </c>
      <c r="N1356" s="25">
        <v>2</v>
      </c>
      <c r="O1356" s="25"/>
      <c r="P1356" s="25"/>
      <c r="Q1356" s="25">
        <v>8</v>
      </c>
      <c r="R1356" s="25"/>
      <c r="S1356" s="25"/>
      <c r="T1356" s="25">
        <v>1</v>
      </c>
      <c r="U1356" s="31">
        <f t="shared" si="22"/>
        <v>9</v>
      </c>
      <c r="V1356" s="25"/>
      <c r="W1356" s="33" t="s">
        <v>22</v>
      </c>
      <c r="X1356" s="33" t="s">
        <v>1789</v>
      </c>
      <c r="Y1356" s="33" t="s">
        <v>1788</v>
      </c>
      <c r="Z1356" s="33" t="s">
        <v>1787</v>
      </c>
      <c r="AA1356" s="33"/>
    </row>
    <row r="1357" spans="1:27" s="70" customFormat="1" ht="33.75" x14ac:dyDescent="0.2">
      <c r="A1357" s="24">
        <v>1353</v>
      </c>
      <c r="B1357" s="27" t="s">
        <v>1552</v>
      </c>
      <c r="C1357" s="28" t="s">
        <v>1551</v>
      </c>
      <c r="D1357" s="71" t="s">
        <v>1795</v>
      </c>
      <c r="E1357" s="28" t="s">
        <v>1794</v>
      </c>
      <c r="F1357" s="28" t="s">
        <v>1793</v>
      </c>
      <c r="G1357" s="27"/>
      <c r="H1357" s="28" t="s">
        <v>1792</v>
      </c>
      <c r="I1357" s="27"/>
      <c r="J1357" s="28" t="s">
        <v>1792</v>
      </c>
      <c r="K1357" s="27"/>
      <c r="L1357" s="25" t="s">
        <v>1800</v>
      </c>
      <c r="M1357" s="25" t="s">
        <v>1799</v>
      </c>
      <c r="N1357" s="25">
        <v>20</v>
      </c>
      <c r="O1357" s="25"/>
      <c r="P1357" s="25">
        <v>4</v>
      </c>
      <c r="Q1357" s="25"/>
      <c r="R1357" s="25"/>
      <c r="S1357" s="25"/>
      <c r="T1357" s="25">
        <v>0.5</v>
      </c>
      <c r="U1357" s="31">
        <f t="shared" si="22"/>
        <v>4.5</v>
      </c>
      <c r="V1357" s="25"/>
      <c r="W1357" s="33" t="s">
        <v>22</v>
      </c>
      <c r="X1357" s="33" t="s">
        <v>1789</v>
      </c>
      <c r="Y1357" s="33" t="s">
        <v>1788</v>
      </c>
      <c r="Z1357" s="33" t="s">
        <v>1787</v>
      </c>
      <c r="AA1357" s="33"/>
    </row>
    <row r="1358" spans="1:27" s="70" customFormat="1" ht="33.75" x14ac:dyDescent="0.2">
      <c r="A1358" s="24">
        <v>1354</v>
      </c>
      <c r="B1358" s="27" t="s">
        <v>1552</v>
      </c>
      <c r="C1358" s="28" t="s">
        <v>1551</v>
      </c>
      <c r="D1358" s="71" t="s">
        <v>1795</v>
      </c>
      <c r="E1358" s="28" t="s">
        <v>1794</v>
      </c>
      <c r="F1358" s="28" t="s">
        <v>1793</v>
      </c>
      <c r="G1358" s="27"/>
      <c r="H1358" s="28" t="s">
        <v>1792</v>
      </c>
      <c r="I1358" s="27"/>
      <c r="J1358" s="28" t="s">
        <v>1792</v>
      </c>
      <c r="K1358" s="27"/>
      <c r="L1358" s="25" t="s">
        <v>1798</v>
      </c>
      <c r="M1358" s="25" t="s">
        <v>1797</v>
      </c>
      <c r="N1358" s="25">
        <v>50</v>
      </c>
      <c r="O1358" s="25"/>
      <c r="P1358" s="25">
        <v>1</v>
      </c>
      <c r="Q1358" s="25"/>
      <c r="R1358" s="25"/>
      <c r="S1358" s="25">
        <v>0.3</v>
      </c>
      <c r="T1358" s="25"/>
      <c r="U1358" s="31">
        <f t="shared" si="22"/>
        <v>1.3</v>
      </c>
      <c r="V1358" s="25"/>
      <c r="W1358" s="33" t="s">
        <v>22</v>
      </c>
      <c r="X1358" s="33" t="s">
        <v>1789</v>
      </c>
      <c r="Y1358" s="33" t="s">
        <v>1788</v>
      </c>
      <c r="Z1358" s="33" t="s">
        <v>1787</v>
      </c>
      <c r="AA1358" s="33"/>
    </row>
    <row r="1359" spans="1:27" s="70" customFormat="1" ht="33.75" x14ac:dyDescent="0.2">
      <c r="A1359" s="24">
        <v>1355</v>
      </c>
      <c r="B1359" s="27" t="s">
        <v>1552</v>
      </c>
      <c r="C1359" s="28" t="s">
        <v>1551</v>
      </c>
      <c r="D1359" s="71" t="s">
        <v>1795</v>
      </c>
      <c r="E1359" s="28" t="s">
        <v>1794</v>
      </c>
      <c r="F1359" s="28" t="s">
        <v>1793</v>
      </c>
      <c r="G1359" s="27"/>
      <c r="H1359" s="28" t="s">
        <v>1792</v>
      </c>
      <c r="I1359" s="27"/>
      <c r="J1359" s="28" t="s">
        <v>1792</v>
      </c>
      <c r="K1359" s="27"/>
      <c r="L1359" s="25" t="s">
        <v>1796</v>
      </c>
      <c r="M1359" s="25" t="s">
        <v>835</v>
      </c>
      <c r="N1359" s="25">
        <v>2</v>
      </c>
      <c r="O1359" s="25"/>
      <c r="P1359" s="25"/>
      <c r="Q1359" s="25"/>
      <c r="R1359" s="25"/>
      <c r="S1359" s="25">
        <v>16</v>
      </c>
      <c r="T1359" s="25">
        <v>0.5</v>
      </c>
      <c r="U1359" s="31">
        <f t="shared" si="22"/>
        <v>16.5</v>
      </c>
      <c r="V1359" s="25"/>
      <c r="W1359" s="33" t="s">
        <v>238</v>
      </c>
      <c r="X1359" s="33" t="s">
        <v>1789</v>
      </c>
      <c r="Y1359" s="33" t="s">
        <v>1788</v>
      </c>
      <c r="Z1359" s="33" t="s">
        <v>1787</v>
      </c>
      <c r="AA1359" s="33"/>
    </row>
    <row r="1360" spans="1:27" s="70" customFormat="1" ht="33.75" x14ac:dyDescent="0.2">
      <c r="A1360" s="24">
        <v>1356</v>
      </c>
      <c r="B1360" s="27" t="s">
        <v>1552</v>
      </c>
      <c r="C1360" s="28" t="s">
        <v>1551</v>
      </c>
      <c r="D1360" s="71" t="s">
        <v>1795</v>
      </c>
      <c r="E1360" s="28" t="s">
        <v>1794</v>
      </c>
      <c r="F1360" s="28" t="s">
        <v>1793</v>
      </c>
      <c r="G1360" s="27"/>
      <c r="H1360" s="28" t="s">
        <v>1792</v>
      </c>
      <c r="I1360" s="27"/>
      <c r="J1360" s="28" t="s">
        <v>1792</v>
      </c>
      <c r="K1360" s="27"/>
      <c r="L1360" s="25" t="s">
        <v>1791</v>
      </c>
      <c r="M1360" s="25" t="s">
        <v>1790</v>
      </c>
      <c r="N1360" s="25">
        <v>2850</v>
      </c>
      <c r="O1360" s="25"/>
      <c r="P1360" s="25"/>
      <c r="Q1360" s="25">
        <v>0.5</v>
      </c>
      <c r="R1360" s="25"/>
      <c r="S1360" s="25"/>
      <c r="T1360" s="25"/>
      <c r="U1360" s="31">
        <f t="shared" si="22"/>
        <v>0.5</v>
      </c>
      <c r="V1360" s="25"/>
      <c r="W1360" s="33" t="s">
        <v>22</v>
      </c>
      <c r="X1360" s="33" t="s">
        <v>1789</v>
      </c>
      <c r="Y1360" s="33" t="s">
        <v>1788</v>
      </c>
      <c r="Z1360" s="33" t="s">
        <v>1787</v>
      </c>
      <c r="AA1360" s="33"/>
    </row>
    <row r="1361" spans="1:27" s="70" customFormat="1" ht="45" x14ac:dyDescent="0.2">
      <c r="A1361" s="24">
        <v>1357</v>
      </c>
      <c r="B1361" s="27" t="s">
        <v>1552</v>
      </c>
      <c r="C1361" s="28" t="s">
        <v>1551</v>
      </c>
      <c r="D1361" s="71" t="s">
        <v>1730</v>
      </c>
      <c r="E1361" s="28" t="s">
        <v>1729</v>
      </c>
      <c r="F1361" s="28" t="s">
        <v>1728</v>
      </c>
      <c r="G1361" s="27"/>
      <c r="H1361" s="28" t="s">
        <v>1780</v>
      </c>
      <c r="I1361" s="27"/>
      <c r="J1361" s="28" t="s">
        <v>1786</v>
      </c>
      <c r="K1361" s="27"/>
      <c r="L1361" s="25" t="s">
        <v>1785</v>
      </c>
      <c r="M1361" s="25" t="s">
        <v>190</v>
      </c>
      <c r="N1361" s="25">
        <v>240</v>
      </c>
      <c r="O1361" s="25"/>
      <c r="P1361" s="25"/>
      <c r="Q1361" s="25"/>
      <c r="R1361" s="25"/>
      <c r="S1361" s="25">
        <v>2</v>
      </c>
      <c r="T1361" s="25">
        <v>2</v>
      </c>
      <c r="U1361" s="31">
        <f t="shared" si="22"/>
        <v>4</v>
      </c>
      <c r="V1361" s="25"/>
      <c r="W1361" s="33" t="s">
        <v>22</v>
      </c>
      <c r="X1361" s="33"/>
      <c r="Y1361" s="33"/>
      <c r="Z1361" s="33"/>
      <c r="AA1361" s="33"/>
    </row>
    <row r="1362" spans="1:27" s="70" customFormat="1" ht="78.75" x14ac:dyDescent="0.2">
      <c r="A1362" s="24">
        <v>1358</v>
      </c>
      <c r="B1362" s="27" t="s">
        <v>1552</v>
      </c>
      <c r="C1362" s="28" t="s">
        <v>1551</v>
      </c>
      <c r="D1362" s="71" t="s">
        <v>1730</v>
      </c>
      <c r="E1362" s="28" t="s">
        <v>1729</v>
      </c>
      <c r="F1362" s="28" t="s">
        <v>1728</v>
      </c>
      <c r="G1362" s="27"/>
      <c r="H1362" s="28" t="s">
        <v>1780</v>
      </c>
      <c r="I1362" s="27"/>
      <c r="J1362" s="28" t="s">
        <v>1779</v>
      </c>
      <c r="K1362" s="27"/>
      <c r="L1362" s="25" t="s">
        <v>1784</v>
      </c>
      <c r="M1362" s="25" t="s">
        <v>190</v>
      </c>
      <c r="N1362" s="25">
        <v>6</v>
      </c>
      <c r="O1362" s="25"/>
      <c r="P1362" s="25">
        <v>16</v>
      </c>
      <c r="Q1362" s="25">
        <v>4</v>
      </c>
      <c r="R1362" s="25"/>
      <c r="S1362" s="25">
        <v>4</v>
      </c>
      <c r="T1362" s="25">
        <v>4</v>
      </c>
      <c r="U1362" s="31">
        <f t="shared" si="22"/>
        <v>28</v>
      </c>
      <c r="V1362" s="25"/>
      <c r="W1362" s="33" t="s">
        <v>22</v>
      </c>
      <c r="X1362" s="33"/>
      <c r="Y1362" s="33"/>
      <c r="Z1362" s="33"/>
      <c r="AA1362" s="33"/>
    </row>
    <row r="1363" spans="1:27" s="70" customFormat="1" ht="33.75" x14ac:dyDescent="0.2">
      <c r="A1363" s="24">
        <v>1359</v>
      </c>
      <c r="B1363" s="27" t="s">
        <v>1552</v>
      </c>
      <c r="C1363" s="28" t="s">
        <v>1551</v>
      </c>
      <c r="D1363" s="71" t="s">
        <v>1730</v>
      </c>
      <c r="E1363" s="28" t="s">
        <v>1729</v>
      </c>
      <c r="F1363" s="28" t="s">
        <v>1728</v>
      </c>
      <c r="G1363" s="27"/>
      <c r="H1363" s="28" t="s">
        <v>1780</v>
      </c>
      <c r="I1363" s="27"/>
      <c r="J1363" s="28" t="s">
        <v>1779</v>
      </c>
      <c r="K1363" s="27"/>
      <c r="L1363" s="25" t="s">
        <v>1783</v>
      </c>
      <c r="M1363" s="25" t="s">
        <v>592</v>
      </c>
      <c r="N1363" s="25">
        <v>1</v>
      </c>
      <c r="O1363" s="25"/>
      <c r="P1363" s="25">
        <v>120</v>
      </c>
      <c r="Q1363" s="25"/>
      <c r="R1363" s="25"/>
      <c r="S1363" s="25">
        <v>20</v>
      </c>
      <c r="T1363" s="25">
        <v>20</v>
      </c>
      <c r="U1363" s="31">
        <f t="shared" si="22"/>
        <v>160</v>
      </c>
      <c r="V1363" s="25"/>
      <c r="W1363" s="33" t="s">
        <v>22</v>
      </c>
      <c r="X1363" s="33"/>
      <c r="Y1363" s="33"/>
      <c r="Z1363" s="33"/>
      <c r="AA1363" s="33"/>
    </row>
    <row r="1364" spans="1:27" s="70" customFormat="1" ht="33.75" x14ac:dyDescent="0.2">
      <c r="A1364" s="24">
        <v>1360</v>
      </c>
      <c r="B1364" s="27" t="s">
        <v>1552</v>
      </c>
      <c r="C1364" s="28" t="s">
        <v>1551</v>
      </c>
      <c r="D1364" s="71" t="s">
        <v>1730</v>
      </c>
      <c r="E1364" s="28" t="s">
        <v>1729</v>
      </c>
      <c r="F1364" s="28" t="s">
        <v>1728</v>
      </c>
      <c r="G1364" s="27"/>
      <c r="H1364" s="28" t="s">
        <v>1780</v>
      </c>
      <c r="I1364" s="27"/>
      <c r="J1364" s="28" t="s">
        <v>1779</v>
      </c>
      <c r="K1364" s="27"/>
      <c r="L1364" s="25" t="s">
        <v>1782</v>
      </c>
      <c r="M1364" s="25" t="s">
        <v>1696</v>
      </c>
      <c r="N1364" s="25">
        <v>1</v>
      </c>
      <c r="O1364" s="25"/>
      <c r="P1364" s="25"/>
      <c r="Q1364" s="25"/>
      <c r="R1364" s="25"/>
      <c r="S1364" s="25"/>
      <c r="T1364" s="25">
        <v>120</v>
      </c>
      <c r="U1364" s="31">
        <f t="shared" si="22"/>
        <v>120</v>
      </c>
      <c r="V1364" s="25"/>
      <c r="W1364" s="33" t="s">
        <v>22</v>
      </c>
      <c r="X1364" s="33"/>
      <c r="Y1364" s="33"/>
      <c r="Z1364" s="33"/>
      <c r="AA1364" s="33"/>
    </row>
    <row r="1365" spans="1:27" s="70" customFormat="1" ht="33.75" x14ac:dyDescent="0.2">
      <c r="A1365" s="24">
        <v>1361</v>
      </c>
      <c r="B1365" s="27" t="s">
        <v>1552</v>
      </c>
      <c r="C1365" s="28" t="s">
        <v>1551</v>
      </c>
      <c r="D1365" s="71" t="s">
        <v>1730</v>
      </c>
      <c r="E1365" s="28" t="s">
        <v>1729</v>
      </c>
      <c r="F1365" s="28" t="s">
        <v>1728</v>
      </c>
      <c r="G1365" s="27"/>
      <c r="H1365" s="28" t="s">
        <v>1780</v>
      </c>
      <c r="I1365" s="27"/>
      <c r="J1365" s="28" t="s">
        <v>1779</v>
      </c>
      <c r="K1365" s="27"/>
      <c r="L1365" s="25" t="s">
        <v>1781</v>
      </c>
      <c r="M1365" s="25" t="s">
        <v>592</v>
      </c>
      <c r="N1365" s="25">
        <v>1</v>
      </c>
      <c r="O1365" s="25"/>
      <c r="P1365" s="25">
        <v>120</v>
      </c>
      <c r="Q1365" s="25">
        <v>40</v>
      </c>
      <c r="R1365" s="25"/>
      <c r="S1365" s="25">
        <v>20</v>
      </c>
      <c r="T1365" s="25">
        <v>20</v>
      </c>
      <c r="U1365" s="31">
        <f t="shared" si="22"/>
        <v>200</v>
      </c>
      <c r="V1365" s="25"/>
      <c r="W1365" s="33" t="s">
        <v>22</v>
      </c>
      <c r="X1365" s="33"/>
      <c r="Y1365" s="33"/>
      <c r="Z1365" s="33"/>
      <c r="AA1365" s="33"/>
    </row>
    <row r="1366" spans="1:27" s="70" customFormat="1" ht="33.75" x14ac:dyDescent="0.2">
      <c r="A1366" s="24">
        <v>1362</v>
      </c>
      <c r="B1366" s="27" t="s">
        <v>1552</v>
      </c>
      <c r="C1366" s="28" t="s">
        <v>1551</v>
      </c>
      <c r="D1366" s="71" t="s">
        <v>1730</v>
      </c>
      <c r="E1366" s="28" t="s">
        <v>1729</v>
      </c>
      <c r="F1366" s="28" t="s">
        <v>1728</v>
      </c>
      <c r="G1366" s="27"/>
      <c r="H1366" s="28" t="s">
        <v>1780</v>
      </c>
      <c r="I1366" s="27"/>
      <c r="J1366" s="28" t="s">
        <v>1779</v>
      </c>
      <c r="K1366" s="27"/>
      <c r="L1366" s="25" t="s">
        <v>1778</v>
      </c>
      <c r="M1366" s="25" t="s">
        <v>592</v>
      </c>
      <c r="N1366" s="25">
        <v>1</v>
      </c>
      <c r="O1366" s="25"/>
      <c r="P1366" s="25">
        <v>120</v>
      </c>
      <c r="Q1366" s="25">
        <v>40</v>
      </c>
      <c r="R1366" s="25"/>
      <c r="S1366" s="25">
        <v>20</v>
      </c>
      <c r="T1366" s="25">
        <v>20</v>
      </c>
      <c r="U1366" s="31">
        <f t="shared" si="22"/>
        <v>200</v>
      </c>
      <c r="V1366" s="25"/>
      <c r="W1366" s="33" t="s">
        <v>22</v>
      </c>
      <c r="X1366" s="33"/>
      <c r="Y1366" s="33"/>
      <c r="Z1366" s="33"/>
      <c r="AA1366" s="33"/>
    </row>
    <row r="1367" spans="1:27" s="70" customFormat="1" ht="56.25" x14ac:dyDescent="0.2">
      <c r="A1367" s="24">
        <v>1363</v>
      </c>
      <c r="B1367" s="27" t="s">
        <v>1552</v>
      </c>
      <c r="C1367" s="28" t="s">
        <v>1551</v>
      </c>
      <c r="D1367" s="71" t="s">
        <v>1730</v>
      </c>
      <c r="E1367" s="28" t="s">
        <v>1729</v>
      </c>
      <c r="F1367" s="28" t="s">
        <v>1728</v>
      </c>
      <c r="G1367" s="27"/>
      <c r="H1367" s="28" t="s">
        <v>1746</v>
      </c>
      <c r="I1367" s="27"/>
      <c r="J1367" s="28" t="s">
        <v>1777</v>
      </c>
      <c r="K1367" s="27"/>
      <c r="L1367" s="25"/>
      <c r="M1367" s="25"/>
      <c r="N1367" s="25"/>
      <c r="O1367" s="25"/>
      <c r="P1367" s="25"/>
      <c r="Q1367" s="25"/>
      <c r="R1367" s="25"/>
      <c r="S1367" s="25"/>
      <c r="T1367" s="25"/>
      <c r="U1367" s="31">
        <f t="shared" si="22"/>
        <v>0</v>
      </c>
      <c r="V1367" s="25"/>
      <c r="W1367" s="33"/>
      <c r="X1367" s="33"/>
      <c r="Y1367" s="33"/>
      <c r="Z1367" s="33"/>
      <c r="AA1367" s="33"/>
    </row>
    <row r="1368" spans="1:27" s="70" customFormat="1" ht="90" x14ac:dyDescent="0.2">
      <c r="A1368" s="24">
        <v>1364</v>
      </c>
      <c r="B1368" s="27" t="s">
        <v>1552</v>
      </c>
      <c r="C1368" s="28" t="s">
        <v>1551</v>
      </c>
      <c r="D1368" s="71" t="s">
        <v>1730</v>
      </c>
      <c r="E1368" s="28" t="s">
        <v>1729</v>
      </c>
      <c r="F1368" s="28" t="s">
        <v>1728</v>
      </c>
      <c r="G1368" s="27"/>
      <c r="H1368" s="28" t="s">
        <v>1746</v>
      </c>
      <c r="I1368" s="27"/>
      <c r="J1368" s="28" t="s">
        <v>1776</v>
      </c>
      <c r="K1368" s="27"/>
      <c r="L1368" s="25" t="s">
        <v>1775</v>
      </c>
      <c r="M1368" s="25" t="s">
        <v>1087</v>
      </c>
      <c r="N1368" s="25">
        <v>1</v>
      </c>
      <c r="O1368" s="25"/>
      <c r="P1368" s="25">
        <v>200</v>
      </c>
      <c r="Q1368" s="25">
        <v>50</v>
      </c>
      <c r="R1368" s="25"/>
      <c r="S1368" s="25"/>
      <c r="T1368" s="25">
        <v>25</v>
      </c>
      <c r="U1368" s="31">
        <f t="shared" si="22"/>
        <v>275</v>
      </c>
      <c r="V1368" s="25"/>
      <c r="W1368" s="33" t="s">
        <v>22</v>
      </c>
      <c r="X1368" s="33"/>
      <c r="Y1368" s="33"/>
      <c r="Z1368" s="33"/>
      <c r="AA1368" s="33"/>
    </row>
    <row r="1369" spans="1:27" s="70" customFormat="1" ht="56.25" x14ac:dyDescent="0.2">
      <c r="A1369" s="24">
        <v>1365</v>
      </c>
      <c r="B1369" s="27" t="s">
        <v>1552</v>
      </c>
      <c r="C1369" s="28" t="s">
        <v>1551</v>
      </c>
      <c r="D1369" s="71" t="s">
        <v>1730</v>
      </c>
      <c r="E1369" s="28" t="s">
        <v>1729</v>
      </c>
      <c r="F1369" s="28" t="s">
        <v>1728</v>
      </c>
      <c r="G1369" s="27"/>
      <c r="H1369" s="28" t="s">
        <v>1746</v>
      </c>
      <c r="I1369" s="27"/>
      <c r="J1369" s="28" t="s">
        <v>1774</v>
      </c>
      <c r="K1369" s="27"/>
      <c r="L1369" s="25" t="s">
        <v>1773</v>
      </c>
      <c r="M1369" s="25" t="s">
        <v>190</v>
      </c>
      <c r="N1369" s="25">
        <v>240</v>
      </c>
      <c r="O1369" s="25"/>
      <c r="P1369" s="25">
        <v>2</v>
      </c>
      <c r="Q1369" s="25"/>
      <c r="R1369" s="25"/>
      <c r="S1369" s="25">
        <v>0.5</v>
      </c>
      <c r="T1369" s="25">
        <v>0.5</v>
      </c>
      <c r="U1369" s="31">
        <f t="shared" si="22"/>
        <v>3</v>
      </c>
      <c r="V1369" s="25"/>
      <c r="W1369" s="33" t="s">
        <v>1772</v>
      </c>
      <c r="X1369" s="33"/>
      <c r="Y1369" s="33"/>
      <c r="Z1369" s="33" t="s">
        <v>189</v>
      </c>
      <c r="AA1369" s="33"/>
    </row>
    <row r="1370" spans="1:27" s="70" customFormat="1" ht="56.25" x14ac:dyDescent="0.2">
      <c r="A1370" s="24">
        <v>1366</v>
      </c>
      <c r="B1370" s="27" t="s">
        <v>1552</v>
      </c>
      <c r="C1370" s="28" t="s">
        <v>1551</v>
      </c>
      <c r="D1370" s="71" t="s">
        <v>1730</v>
      </c>
      <c r="E1370" s="28" t="s">
        <v>1729</v>
      </c>
      <c r="F1370" s="28" t="s">
        <v>1728</v>
      </c>
      <c r="G1370" s="27"/>
      <c r="H1370" s="28" t="s">
        <v>1746</v>
      </c>
      <c r="I1370" s="27"/>
      <c r="J1370" s="28" t="s">
        <v>1771</v>
      </c>
      <c r="K1370" s="27"/>
      <c r="L1370" s="25"/>
      <c r="M1370" s="25"/>
      <c r="N1370" s="25"/>
      <c r="O1370" s="25"/>
      <c r="P1370" s="25"/>
      <c r="Q1370" s="25"/>
      <c r="R1370" s="25"/>
      <c r="S1370" s="25"/>
      <c r="T1370" s="25"/>
      <c r="U1370" s="31">
        <f t="shared" si="22"/>
        <v>0</v>
      </c>
      <c r="V1370" s="25"/>
      <c r="W1370" s="33"/>
      <c r="X1370" s="33"/>
      <c r="Y1370" s="33"/>
      <c r="Z1370" s="33"/>
      <c r="AA1370" s="33"/>
    </row>
    <row r="1371" spans="1:27" s="70" customFormat="1" ht="56.25" x14ac:dyDescent="0.2">
      <c r="A1371" s="24">
        <v>1367</v>
      </c>
      <c r="B1371" s="27" t="s">
        <v>1552</v>
      </c>
      <c r="C1371" s="28" t="s">
        <v>1551</v>
      </c>
      <c r="D1371" s="71" t="s">
        <v>1730</v>
      </c>
      <c r="E1371" s="28" t="s">
        <v>1729</v>
      </c>
      <c r="F1371" s="28" t="s">
        <v>1728</v>
      </c>
      <c r="G1371" s="27"/>
      <c r="H1371" s="28" t="s">
        <v>1746</v>
      </c>
      <c r="I1371" s="27"/>
      <c r="J1371" s="28" t="s">
        <v>1770</v>
      </c>
      <c r="K1371" s="27"/>
      <c r="L1371" s="25"/>
      <c r="M1371" s="25"/>
      <c r="N1371" s="25"/>
      <c r="O1371" s="25"/>
      <c r="P1371" s="25"/>
      <c r="Q1371" s="25"/>
      <c r="R1371" s="25"/>
      <c r="S1371" s="25"/>
      <c r="T1371" s="25"/>
      <c r="U1371" s="31">
        <f t="shared" si="22"/>
        <v>0</v>
      </c>
      <c r="V1371" s="25"/>
      <c r="W1371" s="33"/>
      <c r="X1371" s="33"/>
      <c r="Y1371" s="33"/>
      <c r="Z1371" s="33"/>
      <c r="AA1371" s="33"/>
    </row>
    <row r="1372" spans="1:27" s="70" customFormat="1" ht="56.25" x14ac:dyDescent="0.2">
      <c r="A1372" s="24">
        <v>1368</v>
      </c>
      <c r="B1372" s="27" t="s">
        <v>1552</v>
      </c>
      <c r="C1372" s="28" t="s">
        <v>1551</v>
      </c>
      <c r="D1372" s="71" t="s">
        <v>1730</v>
      </c>
      <c r="E1372" s="28" t="s">
        <v>1729</v>
      </c>
      <c r="F1372" s="28" t="s">
        <v>1728</v>
      </c>
      <c r="G1372" s="27"/>
      <c r="H1372" s="28" t="s">
        <v>1746</v>
      </c>
      <c r="I1372" s="27"/>
      <c r="J1372" s="28" t="s">
        <v>1769</v>
      </c>
      <c r="K1372" s="27"/>
      <c r="L1372" s="25"/>
      <c r="M1372" s="25"/>
      <c r="N1372" s="25"/>
      <c r="O1372" s="25"/>
      <c r="P1372" s="25"/>
      <c r="Q1372" s="25"/>
      <c r="R1372" s="25"/>
      <c r="S1372" s="25"/>
      <c r="T1372" s="25"/>
      <c r="U1372" s="31">
        <f t="shared" si="22"/>
        <v>0</v>
      </c>
      <c r="V1372" s="25"/>
      <c r="W1372" s="33"/>
      <c r="X1372" s="33"/>
      <c r="Y1372" s="33"/>
      <c r="Z1372" s="33"/>
      <c r="AA1372" s="33"/>
    </row>
    <row r="1373" spans="1:27" s="70" customFormat="1" ht="56.25" x14ac:dyDescent="0.2">
      <c r="A1373" s="24">
        <v>1369</v>
      </c>
      <c r="B1373" s="27" t="s">
        <v>1552</v>
      </c>
      <c r="C1373" s="28" t="s">
        <v>1551</v>
      </c>
      <c r="D1373" s="71" t="s">
        <v>1730</v>
      </c>
      <c r="E1373" s="28" t="s">
        <v>1729</v>
      </c>
      <c r="F1373" s="28" t="s">
        <v>1728</v>
      </c>
      <c r="G1373" s="27"/>
      <c r="H1373" s="28" t="s">
        <v>1746</v>
      </c>
      <c r="I1373" s="27"/>
      <c r="J1373" s="28" t="s">
        <v>1768</v>
      </c>
      <c r="K1373" s="27"/>
      <c r="L1373" s="25"/>
      <c r="M1373" s="25"/>
      <c r="N1373" s="25"/>
      <c r="O1373" s="25"/>
      <c r="P1373" s="25"/>
      <c r="Q1373" s="25"/>
      <c r="R1373" s="25"/>
      <c r="S1373" s="25"/>
      <c r="T1373" s="25"/>
      <c r="U1373" s="31">
        <f t="shared" si="22"/>
        <v>0</v>
      </c>
      <c r="V1373" s="25"/>
      <c r="W1373" s="33"/>
      <c r="X1373" s="33"/>
      <c r="Y1373" s="33"/>
      <c r="Z1373" s="33"/>
      <c r="AA1373" s="33"/>
    </row>
    <row r="1374" spans="1:27" s="70" customFormat="1" ht="56.25" x14ac:dyDescent="0.2">
      <c r="A1374" s="24">
        <v>1370</v>
      </c>
      <c r="B1374" s="27" t="s">
        <v>1552</v>
      </c>
      <c r="C1374" s="28" t="s">
        <v>1551</v>
      </c>
      <c r="D1374" s="71" t="s">
        <v>1730</v>
      </c>
      <c r="E1374" s="28" t="s">
        <v>1729</v>
      </c>
      <c r="F1374" s="28" t="s">
        <v>1728</v>
      </c>
      <c r="G1374" s="27"/>
      <c r="H1374" s="28" t="s">
        <v>1746</v>
      </c>
      <c r="I1374" s="27"/>
      <c r="J1374" s="28" t="s">
        <v>1763</v>
      </c>
      <c r="K1374" s="27"/>
      <c r="L1374" s="25" t="s">
        <v>1767</v>
      </c>
      <c r="M1374" s="25" t="s">
        <v>1766</v>
      </c>
      <c r="N1374" s="25">
        <v>239</v>
      </c>
      <c r="O1374" s="25"/>
      <c r="P1374" s="25">
        <v>3</v>
      </c>
      <c r="Q1374" s="25"/>
      <c r="R1374" s="25"/>
      <c r="S1374" s="25">
        <v>0.5</v>
      </c>
      <c r="T1374" s="25">
        <v>0.5</v>
      </c>
      <c r="U1374" s="31">
        <f t="shared" si="22"/>
        <v>4</v>
      </c>
      <c r="V1374" s="25"/>
      <c r="W1374" s="33" t="s">
        <v>800</v>
      </c>
      <c r="X1374" s="33" t="s">
        <v>1074</v>
      </c>
      <c r="Y1374" s="33"/>
      <c r="Z1374" s="33" t="s">
        <v>189</v>
      </c>
      <c r="AA1374" s="33"/>
    </row>
    <row r="1375" spans="1:27" s="70" customFormat="1" ht="56.25" x14ac:dyDescent="0.2">
      <c r="A1375" s="24">
        <v>1371</v>
      </c>
      <c r="B1375" s="27" t="s">
        <v>1552</v>
      </c>
      <c r="C1375" s="28" t="s">
        <v>1551</v>
      </c>
      <c r="D1375" s="71" t="s">
        <v>1730</v>
      </c>
      <c r="E1375" s="28" t="s">
        <v>1729</v>
      </c>
      <c r="F1375" s="28" t="s">
        <v>1728</v>
      </c>
      <c r="G1375" s="27"/>
      <c r="H1375" s="28" t="s">
        <v>1746</v>
      </c>
      <c r="I1375" s="27"/>
      <c r="J1375" s="28" t="s">
        <v>1763</v>
      </c>
      <c r="K1375" s="27"/>
      <c r="L1375" s="25" t="s">
        <v>1765</v>
      </c>
      <c r="M1375" s="25" t="s">
        <v>1761</v>
      </c>
      <c r="N1375" s="25">
        <v>23</v>
      </c>
      <c r="O1375" s="25"/>
      <c r="P1375" s="25">
        <v>80</v>
      </c>
      <c r="Q1375" s="25"/>
      <c r="R1375" s="25"/>
      <c r="S1375" s="25"/>
      <c r="T1375" s="25"/>
      <c r="U1375" s="31">
        <f t="shared" si="22"/>
        <v>80</v>
      </c>
      <c r="V1375" s="25"/>
      <c r="W1375" s="33" t="s">
        <v>800</v>
      </c>
      <c r="X1375" s="33"/>
      <c r="Y1375" s="33"/>
      <c r="Z1375" s="33" t="s">
        <v>1764</v>
      </c>
      <c r="AA1375" s="33"/>
    </row>
    <row r="1376" spans="1:27" s="70" customFormat="1" ht="56.25" x14ac:dyDescent="0.2">
      <c r="A1376" s="24">
        <v>1372</v>
      </c>
      <c r="B1376" s="27" t="s">
        <v>1552</v>
      </c>
      <c r="C1376" s="28" t="s">
        <v>1551</v>
      </c>
      <c r="D1376" s="71" t="s">
        <v>1730</v>
      </c>
      <c r="E1376" s="28" t="s">
        <v>1729</v>
      </c>
      <c r="F1376" s="28" t="s">
        <v>1728</v>
      </c>
      <c r="G1376" s="27"/>
      <c r="H1376" s="28" t="s">
        <v>1746</v>
      </c>
      <c r="I1376" s="27"/>
      <c r="J1376" s="28" t="s">
        <v>1763</v>
      </c>
      <c r="K1376" s="27"/>
      <c r="L1376" s="25" t="s">
        <v>1762</v>
      </c>
      <c r="M1376" s="25" t="s">
        <v>1761</v>
      </c>
      <c r="N1376" s="25">
        <v>2</v>
      </c>
      <c r="O1376" s="25"/>
      <c r="P1376" s="25">
        <v>80</v>
      </c>
      <c r="Q1376" s="25"/>
      <c r="R1376" s="25"/>
      <c r="S1376" s="25"/>
      <c r="T1376" s="25"/>
      <c r="U1376" s="31">
        <f t="shared" si="22"/>
        <v>80</v>
      </c>
      <c r="V1376" s="25"/>
      <c r="W1376" s="33" t="s">
        <v>1760</v>
      </c>
      <c r="X1376" s="33"/>
      <c r="Y1376" s="33"/>
      <c r="Z1376" s="33" t="s">
        <v>189</v>
      </c>
      <c r="AA1376" s="33"/>
    </row>
    <row r="1377" spans="1:27" s="70" customFormat="1" ht="56.25" x14ac:dyDescent="0.2">
      <c r="A1377" s="24">
        <v>1373</v>
      </c>
      <c r="B1377" s="27" t="s">
        <v>1552</v>
      </c>
      <c r="C1377" s="28" t="s">
        <v>1551</v>
      </c>
      <c r="D1377" s="71" t="s">
        <v>1730</v>
      </c>
      <c r="E1377" s="28" t="s">
        <v>1729</v>
      </c>
      <c r="F1377" s="28" t="s">
        <v>1728</v>
      </c>
      <c r="G1377" s="27"/>
      <c r="H1377" s="28" t="s">
        <v>1746</v>
      </c>
      <c r="I1377" s="27"/>
      <c r="J1377" s="28" t="s">
        <v>1683</v>
      </c>
      <c r="K1377" s="27"/>
      <c r="L1377" s="25" t="s">
        <v>1759</v>
      </c>
      <c r="M1377" s="25" t="s">
        <v>1758</v>
      </c>
      <c r="N1377" s="25">
        <v>1</v>
      </c>
      <c r="O1377" s="25"/>
      <c r="P1377" s="25">
        <v>200</v>
      </c>
      <c r="Q1377" s="25">
        <v>50</v>
      </c>
      <c r="R1377" s="25"/>
      <c r="S1377" s="25"/>
      <c r="T1377" s="25">
        <v>25</v>
      </c>
      <c r="U1377" s="31">
        <f t="shared" si="22"/>
        <v>275</v>
      </c>
      <c r="V1377" s="25"/>
      <c r="W1377" s="33" t="s">
        <v>22</v>
      </c>
      <c r="X1377" s="33"/>
      <c r="Y1377" s="33"/>
      <c r="Z1377" s="33"/>
      <c r="AA1377" s="33"/>
    </row>
    <row r="1378" spans="1:27" s="70" customFormat="1" ht="56.25" x14ac:dyDescent="0.2">
      <c r="A1378" s="24">
        <v>1374</v>
      </c>
      <c r="B1378" s="27" t="s">
        <v>1552</v>
      </c>
      <c r="C1378" s="28" t="s">
        <v>1551</v>
      </c>
      <c r="D1378" s="71" t="s">
        <v>1730</v>
      </c>
      <c r="E1378" s="28" t="s">
        <v>1729</v>
      </c>
      <c r="F1378" s="28" t="s">
        <v>1728</v>
      </c>
      <c r="G1378" s="27"/>
      <c r="H1378" s="28" t="s">
        <v>1746</v>
      </c>
      <c r="I1378" s="27"/>
      <c r="J1378" s="28" t="s">
        <v>1754</v>
      </c>
      <c r="K1378" s="27"/>
      <c r="L1378" s="25" t="s">
        <v>1757</v>
      </c>
      <c r="M1378" s="25" t="s">
        <v>190</v>
      </c>
      <c r="N1378" s="25">
        <v>240</v>
      </c>
      <c r="O1378" s="25"/>
      <c r="P1378" s="25">
        <v>2.5</v>
      </c>
      <c r="Q1378" s="25"/>
      <c r="R1378" s="25"/>
      <c r="S1378" s="25"/>
      <c r="T1378" s="25">
        <v>0.5</v>
      </c>
      <c r="U1378" s="31">
        <f t="shared" si="22"/>
        <v>3</v>
      </c>
      <c r="V1378" s="25"/>
      <c r="W1378" s="33" t="s">
        <v>22</v>
      </c>
      <c r="X1378" s="33"/>
      <c r="Y1378" s="33"/>
      <c r="Z1378" s="33"/>
      <c r="AA1378" s="33"/>
    </row>
    <row r="1379" spans="1:27" s="70" customFormat="1" ht="56.25" x14ac:dyDescent="0.2">
      <c r="A1379" s="24">
        <v>1375</v>
      </c>
      <c r="B1379" s="27" t="s">
        <v>1552</v>
      </c>
      <c r="C1379" s="28" t="s">
        <v>1551</v>
      </c>
      <c r="D1379" s="71" t="s">
        <v>1730</v>
      </c>
      <c r="E1379" s="28" t="s">
        <v>1729</v>
      </c>
      <c r="F1379" s="28" t="s">
        <v>1728</v>
      </c>
      <c r="G1379" s="27"/>
      <c r="H1379" s="28" t="s">
        <v>1746</v>
      </c>
      <c r="I1379" s="27"/>
      <c r="J1379" s="28" t="s">
        <v>1754</v>
      </c>
      <c r="K1379" s="27"/>
      <c r="L1379" s="25" t="s">
        <v>1756</v>
      </c>
      <c r="M1379" s="25" t="s">
        <v>190</v>
      </c>
      <c r="N1379" s="25">
        <v>12</v>
      </c>
      <c r="O1379" s="25"/>
      <c r="P1379" s="25">
        <v>20</v>
      </c>
      <c r="Q1379" s="25"/>
      <c r="R1379" s="25"/>
      <c r="S1379" s="25">
        <v>8</v>
      </c>
      <c r="T1379" s="25">
        <v>8</v>
      </c>
      <c r="U1379" s="31">
        <f t="shared" si="22"/>
        <v>36</v>
      </c>
      <c r="V1379" s="25"/>
      <c r="W1379" s="33" t="s">
        <v>22</v>
      </c>
      <c r="X1379" s="33"/>
      <c r="Y1379" s="33"/>
      <c r="Z1379" s="33"/>
      <c r="AA1379" s="33"/>
    </row>
    <row r="1380" spans="1:27" s="70" customFormat="1" ht="56.25" x14ac:dyDescent="0.2">
      <c r="A1380" s="24">
        <v>1376</v>
      </c>
      <c r="B1380" s="27" t="s">
        <v>1552</v>
      </c>
      <c r="C1380" s="28" t="s">
        <v>1551</v>
      </c>
      <c r="D1380" s="71" t="s">
        <v>1730</v>
      </c>
      <c r="E1380" s="28" t="s">
        <v>1729</v>
      </c>
      <c r="F1380" s="28" t="s">
        <v>1728</v>
      </c>
      <c r="G1380" s="27"/>
      <c r="H1380" s="28" t="s">
        <v>1746</v>
      </c>
      <c r="I1380" s="27"/>
      <c r="J1380" s="28" t="s">
        <v>1754</v>
      </c>
      <c r="K1380" s="27"/>
      <c r="L1380" s="25" t="s">
        <v>1755</v>
      </c>
      <c r="M1380" s="25" t="s">
        <v>190</v>
      </c>
      <c r="N1380" s="25">
        <v>12</v>
      </c>
      <c r="O1380" s="25"/>
      <c r="P1380" s="25">
        <v>20</v>
      </c>
      <c r="Q1380" s="25"/>
      <c r="R1380" s="25"/>
      <c r="S1380" s="25">
        <v>8</v>
      </c>
      <c r="T1380" s="25">
        <v>8</v>
      </c>
      <c r="U1380" s="31">
        <f t="shared" si="22"/>
        <v>36</v>
      </c>
      <c r="V1380" s="25"/>
      <c r="W1380" s="33" t="s">
        <v>22</v>
      </c>
      <c r="X1380" s="33"/>
      <c r="Y1380" s="33"/>
      <c r="Z1380" s="33"/>
      <c r="AA1380" s="33"/>
    </row>
    <row r="1381" spans="1:27" s="70" customFormat="1" ht="56.25" x14ac:dyDescent="0.2">
      <c r="A1381" s="24">
        <v>1377</v>
      </c>
      <c r="B1381" s="27" t="s">
        <v>1552</v>
      </c>
      <c r="C1381" s="28" t="s">
        <v>1551</v>
      </c>
      <c r="D1381" s="71" t="s">
        <v>1730</v>
      </c>
      <c r="E1381" s="28" t="s">
        <v>1729</v>
      </c>
      <c r="F1381" s="28" t="s">
        <v>1728</v>
      </c>
      <c r="G1381" s="27"/>
      <c r="H1381" s="28" t="s">
        <v>1746</v>
      </c>
      <c r="I1381" s="27"/>
      <c r="J1381" s="28" t="s">
        <v>1754</v>
      </c>
      <c r="K1381" s="27"/>
      <c r="L1381" s="25" t="s">
        <v>1753</v>
      </c>
      <c r="M1381" s="25" t="s">
        <v>190</v>
      </c>
      <c r="N1381" s="25">
        <v>16</v>
      </c>
      <c r="O1381" s="25"/>
      <c r="P1381" s="25">
        <v>8</v>
      </c>
      <c r="Q1381" s="25"/>
      <c r="R1381" s="25"/>
      <c r="S1381" s="25">
        <v>1</v>
      </c>
      <c r="T1381" s="25">
        <v>1</v>
      </c>
      <c r="U1381" s="31">
        <f t="shared" si="22"/>
        <v>10</v>
      </c>
      <c r="V1381" s="25"/>
      <c r="W1381" s="33" t="s">
        <v>22</v>
      </c>
      <c r="X1381" s="33"/>
      <c r="Y1381" s="33"/>
      <c r="Z1381" s="33"/>
      <c r="AA1381" s="33"/>
    </row>
    <row r="1382" spans="1:27" s="70" customFormat="1" ht="56.25" x14ac:dyDescent="0.2">
      <c r="A1382" s="24">
        <v>1378</v>
      </c>
      <c r="B1382" s="27" t="s">
        <v>1552</v>
      </c>
      <c r="C1382" s="28" t="s">
        <v>1551</v>
      </c>
      <c r="D1382" s="71" t="s">
        <v>1730</v>
      </c>
      <c r="E1382" s="28" t="s">
        <v>1729</v>
      </c>
      <c r="F1382" s="28" t="s">
        <v>1728</v>
      </c>
      <c r="G1382" s="27"/>
      <c r="H1382" s="28" t="s">
        <v>1746</v>
      </c>
      <c r="I1382" s="27"/>
      <c r="J1382" s="28" t="s">
        <v>1752</v>
      </c>
      <c r="K1382" s="27"/>
      <c r="L1382" s="25" t="s">
        <v>1751</v>
      </c>
      <c r="M1382" s="25" t="s">
        <v>1750</v>
      </c>
      <c r="N1382" s="25">
        <v>9</v>
      </c>
      <c r="O1382" s="25"/>
      <c r="P1382" s="25">
        <v>60</v>
      </c>
      <c r="Q1382" s="25">
        <v>60</v>
      </c>
      <c r="R1382" s="25"/>
      <c r="S1382" s="25">
        <v>20</v>
      </c>
      <c r="T1382" s="25">
        <v>20</v>
      </c>
      <c r="U1382" s="31">
        <f t="shared" si="22"/>
        <v>160</v>
      </c>
      <c r="V1382" s="25"/>
      <c r="W1382" s="33" t="s">
        <v>22</v>
      </c>
      <c r="X1382" s="33"/>
      <c r="Y1382" s="33"/>
      <c r="Z1382" s="33"/>
      <c r="AA1382" s="33"/>
    </row>
    <row r="1383" spans="1:27" s="70" customFormat="1" ht="56.25" x14ac:dyDescent="0.2">
      <c r="A1383" s="24">
        <v>1379</v>
      </c>
      <c r="B1383" s="27" t="s">
        <v>1552</v>
      </c>
      <c r="C1383" s="28" t="s">
        <v>1551</v>
      </c>
      <c r="D1383" s="71" t="s">
        <v>1730</v>
      </c>
      <c r="E1383" s="28" t="s">
        <v>1729</v>
      </c>
      <c r="F1383" s="28" t="s">
        <v>1728</v>
      </c>
      <c r="G1383" s="27"/>
      <c r="H1383" s="28" t="s">
        <v>1746</v>
      </c>
      <c r="I1383" s="27"/>
      <c r="J1383" s="28" t="s">
        <v>1749</v>
      </c>
      <c r="K1383" s="27"/>
      <c r="L1383" s="25" t="s">
        <v>1748</v>
      </c>
      <c r="M1383" s="25" t="s">
        <v>1747</v>
      </c>
      <c r="N1383" s="25">
        <v>1</v>
      </c>
      <c r="O1383" s="25"/>
      <c r="P1383" s="25">
        <v>200</v>
      </c>
      <c r="Q1383" s="25"/>
      <c r="R1383" s="25"/>
      <c r="S1383" s="25"/>
      <c r="T1383" s="25">
        <v>200</v>
      </c>
      <c r="U1383" s="31">
        <f t="shared" si="22"/>
        <v>400</v>
      </c>
      <c r="V1383" s="25"/>
      <c r="W1383" s="33" t="s">
        <v>22</v>
      </c>
      <c r="X1383" s="33"/>
      <c r="Y1383" s="33"/>
      <c r="Z1383" s="33"/>
      <c r="AA1383" s="33"/>
    </row>
    <row r="1384" spans="1:27" s="70" customFormat="1" ht="67.5" x14ac:dyDescent="0.2">
      <c r="A1384" s="24">
        <v>1380</v>
      </c>
      <c r="B1384" s="27" t="s">
        <v>1552</v>
      </c>
      <c r="C1384" s="28" t="s">
        <v>1551</v>
      </c>
      <c r="D1384" s="71" t="s">
        <v>1730</v>
      </c>
      <c r="E1384" s="28" t="s">
        <v>1729</v>
      </c>
      <c r="F1384" s="28" t="s">
        <v>1728</v>
      </c>
      <c r="G1384" s="27"/>
      <c r="H1384" s="28" t="s">
        <v>1746</v>
      </c>
      <c r="I1384" s="27"/>
      <c r="J1384" s="28" t="s">
        <v>1745</v>
      </c>
      <c r="K1384" s="27"/>
      <c r="L1384" s="25"/>
      <c r="M1384" s="25"/>
      <c r="N1384" s="25"/>
      <c r="O1384" s="25"/>
      <c r="P1384" s="25"/>
      <c r="Q1384" s="25"/>
      <c r="R1384" s="25"/>
      <c r="S1384" s="25"/>
      <c r="T1384" s="25"/>
      <c r="U1384" s="31">
        <f t="shared" si="22"/>
        <v>0</v>
      </c>
      <c r="V1384" s="25"/>
      <c r="W1384" s="33"/>
      <c r="X1384" s="33"/>
      <c r="Y1384" s="33"/>
      <c r="Z1384" s="33"/>
      <c r="AA1384" s="33"/>
    </row>
    <row r="1385" spans="1:27" s="70" customFormat="1" ht="33.75" x14ac:dyDescent="0.2">
      <c r="A1385" s="24">
        <v>1381</v>
      </c>
      <c r="B1385" s="27" t="s">
        <v>1552</v>
      </c>
      <c r="C1385" s="28" t="s">
        <v>1551</v>
      </c>
      <c r="D1385" s="71" t="s">
        <v>1730</v>
      </c>
      <c r="E1385" s="28" t="s">
        <v>1729</v>
      </c>
      <c r="F1385" s="28" t="s">
        <v>1728</v>
      </c>
      <c r="G1385" s="27"/>
      <c r="H1385" s="28" t="s">
        <v>1740</v>
      </c>
      <c r="I1385" s="27"/>
      <c r="J1385" s="28" t="s">
        <v>1744</v>
      </c>
      <c r="K1385" s="27"/>
      <c r="L1385" s="25"/>
      <c r="M1385" s="25"/>
      <c r="N1385" s="25"/>
      <c r="O1385" s="25"/>
      <c r="P1385" s="25"/>
      <c r="Q1385" s="25"/>
      <c r="R1385" s="25"/>
      <c r="S1385" s="25"/>
      <c r="T1385" s="25"/>
      <c r="U1385" s="31">
        <f t="shared" si="22"/>
        <v>0</v>
      </c>
      <c r="V1385" s="25"/>
      <c r="W1385" s="33"/>
      <c r="X1385" s="33"/>
      <c r="Y1385" s="33"/>
      <c r="Z1385" s="33"/>
      <c r="AA1385" s="33"/>
    </row>
    <row r="1386" spans="1:27" s="70" customFormat="1" ht="33.75" x14ac:dyDescent="0.2">
      <c r="A1386" s="24">
        <v>1382</v>
      </c>
      <c r="B1386" s="27" t="s">
        <v>1552</v>
      </c>
      <c r="C1386" s="28" t="s">
        <v>1551</v>
      </c>
      <c r="D1386" s="71" t="s">
        <v>1730</v>
      </c>
      <c r="E1386" s="28" t="s">
        <v>1729</v>
      </c>
      <c r="F1386" s="28" t="s">
        <v>1728</v>
      </c>
      <c r="G1386" s="27"/>
      <c r="H1386" s="28" t="s">
        <v>1740</v>
      </c>
      <c r="I1386" s="27"/>
      <c r="J1386" s="28" t="s">
        <v>1743</v>
      </c>
      <c r="K1386" s="27"/>
      <c r="L1386" s="25"/>
      <c r="M1386" s="25"/>
      <c r="N1386" s="25"/>
      <c r="O1386" s="25"/>
      <c r="P1386" s="25"/>
      <c r="Q1386" s="25"/>
      <c r="R1386" s="25"/>
      <c r="S1386" s="25"/>
      <c r="T1386" s="25"/>
      <c r="U1386" s="31">
        <f t="shared" si="22"/>
        <v>0</v>
      </c>
      <c r="V1386" s="25"/>
      <c r="W1386" s="33"/>
      <c r="X1386" s="33"/>
      <c r="Y1386" s="33"/>
      <c r="Z1386" s="33"/>
      <c r="AA1386" s="33"/>
    </row>
    <row r="1387" spans="1:27" s="70" customFormat="1" ht="33.75" x14ac:dyDescent="0.2">
      <c r="A1387" s="24">
        <v>1383</v>
      </c>
      <c r="B1387" s="27" t="s">
        <v>1552</v>
      </c>
      <c r="C1387" s="28" t="s">
        <v>1551</v>
      </c>
      <c r="D1387" s="71" t="s">
        <v>1730</v>
      </c>
      <c r="E1387" s="28" t="s">
        <v>1729</v>
      </c>
      <c r="F1387" s="28" t="s">
        <v>1728</v>
      </c>
      <c r="G1387" s="27"/>
      <c r="H1387" s="28" t="s">
        <v>1740</v>
      </c>
      <c r="I1387" s="27"/>
      <c r="J1387" s="28" t="s">
        <v>1742</v>
      </c>
      <c r="K1387" s="27"/>
      <c r="L1387" s="25"/>
      <c r="M1387" s="25"/>
      <c r="N1387" s="25"/>
      <c r="O1387" s="25"/>
      <c r="P1387" s="25"/>
      <c r="Q1387" s="25"/>
      <c r="R1387" s="25"/>
      <c r="S1387" s="25"/>
      <c r="T1387" s="25"/>
      <c r="U1387" s="31">
        <f t="shared" si="22"/>
        <v>0</v>
      </c>
      <c r="V1387" s="25"/>
      <c r="W1387" s="33"/>
      <c r="X1387" s="33"/>
      <c r="Y1387" s="33"/>
      <c r="Z1387" s="33"/>
      <c r="AA1387" s="33"/>
    </row>
    <row r="1388" spans="1:27" s="70" customFormat="1" ht="45" x14ac:dyDescent="0.2">
      <c r="A1388" s="24">
        <v>1384</v>
      </c>
      <c r="B1388" s="27" t="s">
        <v>1552</v>
      </c>
      <c r="C1388" s="28" t="s">
        <v>1551</v>
      </c>
      <c r="D1388" s="71" t="s">
        <v>1730</v>
      </c>
      <c r="E1388" s="28" t="s">
        <v>1729</v>
      </c>
      <c r="F1388" s="28" t="s">
        <v>1728</v>
      </c>
      <c r="G1388" s="27"/>
      <c r="H1388" s="28" t="s">
        <v>1740</v>
      </c>
      <c r="I1388" s="27"/>
      <c r="J1388" s="28" t="s">
        <v>1741</v>
      </c>
      <c r="K1388" s="27"/>
      <c r="L1388" s="25"/>
      <c r="M1388" s="25"/>
      <c r="N1388" s="25"/>
      <c r="O1388" s="25"/>
      <c r="P1388" s="25"/>
      <c r="Q1388" s="25"/>
      <c r="R1388" s="25"/>
      <c r="S1388" s="25"/>
      <c r="T1388" s="25"/>
      <c r="U1388" s="31">
        <f t="shared" si="22"/>
        <v>0</v>
      </c>
      <c r="V1388" s="25"/>
      <c r="W1388" s="33"/>
      <c r="X1388" s="33"/>
      <c r="Y1388" s="33"/>
      <c r="Z1388" s="33"/>
      <c r="AA1388" s="33"/>
    </row>
    <row r="1389" spans="1:27" s="70" customFormat="1" ht="45" x14ac:dyDescent="0.2">
      <c r="A1389" s="24">
        <v>1385</v>
      </c>
      <c r="B1389" s="27" t="s">
        <v>1552</v>
      </c>
      <c r="C1389" s="28" t="s">
        <v>1551</v>
      </c>
      <c r="D1389" s="71" t="s">
        <v>1730</v>
      </c>
      <c r="E1389" s="28" t="s">
        <v>1729</v>
      </c>
      <c r="F1389" s="28" t="s">
        <v>1728</v>
      </c>
      <c r="G1389" s="27"/>
      <c r="H1389" s="28" t="s">
        <v>1740</v>
      </c>
      <c r="I1389" s="27"/>
      <c r="J1389" s="28" t="s">
        <v>1739</v>
      </c>
      <c r="K1389" s="27"/>
      <c r="L1389" s="25"/>
      <c r="M1389" s="25"/>
      <c r="N1389" s="25"/>
      <c r="O1389" s="25"/>
      <c r="P1389" s="25"/>
      <c r="Q1389" s="25"/>
      <c r="R1389" s="25"/>
      <c r="S1389" s="25"/>
      <c r="T1389" s="25"/>
      <c r="U1389" s="31">
        <f t="shared" si="22"/>
        <v>0</v>
      </c>
      <c r="V1389" s="25"/>
      <c r="W1389" s="33"/>
      <c r="X1389" s="33"/>
      <c r="Y1389" s="33"/>
      <c r="Z1389" s="33"/>
      <c r="AA1389" s="33"/>
    </row>
    <row r="1390" spans="1:27" s="70" customFormat="1" ht="33.75" x14ac:dyDescent="0.2">
      <c r="A1390" s="24">
        <v>1386</v>
      </c>
      <c r="B1390" s="27" t="s">
        <v>1552</v>
      </c>
      <c r="C1390" s="28" t="s">
        <v>1551</v>
      </c>
      <c r="D1390" s="71" t="s">
        <v>1730</v>
      </c>
      <c r="E1390" s="28" t="s">
        <v>1729</v>
      </c>
      <c r="F1390" s="28" t="s">
        <v>1728</v>
      </c>
      <c r="G1390" s="27"/>
      <c r="H1390" s="28" t="s">
        <v>1727</v>
      </c>
      <c r="I1390" s="27"/>
      <c r="J1390" s="28" t="s">
        <v>1727</v>
      </c>
      <c r="K1390" s="27"/>
      <c r="L1390" s="25" t="s">
        <v>1738</v>
      </c>
      <c r="M1390" s="25" t="s">
        <v>1736</v>
      </c>
      <c r="N1390" s="25">
        <v>36</v>
      </c>
      <c r="O1390" s="25"/>
      <c r="P1390" s="25">
        <v>12</v>
      </c>
      <c r="Q1390" s="25">
        <v>8</v>
      </c>
      <c r="R1390" s="25"/>
      <c r="S1390" s="25">
        <v>8</v>
      </c>
      <c r="T1390" s="25">
        <v>8</v>
      </c>
      <c r="U1390" s="31">
        <f t="shared" si="22"/>
        <v>36</v>
      </c>
      <c r="V1390" s="25"/>
      <c r="W1390" s="33" t="s">
        <v>1553</v>
      </c>
      <c r="X1390" s="33"/>
      <c r="Y1390" s="33"/>
      <c r="Z1390" s="33"/>
      <c r="AA1390" s="33"/>
    </row>
    <row r="1391" spans="1:27" s="70" customFormat="1" ht="33.75" x14ac:dyDescent="0.2">
      <c r="A1391" s="24">
        <v>1387</v>
      </c>
      <c r="B1391" s="27" t="s">
        <v>1552</v>
      </c>
      <c r="C1391" s="28" t="s">
        <v>1551</v>
      </c>
      <c r="D1391" s="71" t="s">
        <v>1730</v>
      </c>
      <c r="E1391" s="28" t="s">
        <v>1729</v>
      </c>
      <c r="F1391" s="28" t="s">
        <v>1728</v>
      </c>
      <c r="G1391" s="27"/>
      <c r="H1391" s="28" t="s">
        <v>1727</v>
      </c>
      <c r="I1391" s="27"/>
      <c r="J1391" s="28" t="s">
        <v>1727</v>
      </c>
      <c r="K1391" s="27"/>
      <c r="L1391" s="25" t="s">
        <v>1737</v>
      </c>
      <c r="M1391" s="25" t="s">
        <v>1736</v>
      </c>
      <c r="N1391" s="25">
        <v>30</v>
      </c>
      <c r="O1391" s="25"/>
      <c r="P1391" s="25">
        <v>8</v>
      </c>
      <c r="Q1391" s="25">
        <v>4</v>
      </c>
      <c r="R1391" s="25"/>
      <c r="S1391" s="25">
        <v>4</v>
      </c>
      <c r="T1391" s="25">
        <v>4</v>
      </c>
      <c r="U1391" s="31">
        <f t="shared" si="22"/>
        <v>20</v>
      </c>
      <c r="V1391" s="25"/>
      <c r="W1391" s="33" t="s">
        <v>22</v>
      </c>
      <c r="X1391" s="33"/>
      <c r="Y1391" s="33"/>
      <c r="Z1391" s="33"/>
      <c r="AA1391" s="33"/>
    </row>
    <row r="1392" spans="1:27" s="70" customFormat="1" ht="33.75" x14ac:dyDescent="0.2">
      <c r="A1392" s="24">
        <v>1388</v>
      </c>
      <c r="B1392" s="27" t="s">
        <v>1552</v>
      </c>
      <c r="C1392" s="28" t="s">
        <v>1551</v>
      </c>
      <c r="D1392" s="71" t="s">
        <v>1730</v>
      </c>
      <c r="E1392" s="28" t="s">
        <v>1729</v>
      </c>
      <c r="F1392" s="28" t="s">
        <v>1728</v>
      </c>
      <c r="G1392" s="27"/>
      <c r="H1392" s="28" t="s">
        <v>1727</v>
      </c>
      <c r="I1392" s="27"/>
      <c r="J1392" s="28" t="s">
        <v>1727</v>
      </c>
      <c r="K1392" s="27"/>
      <c r="L1392" s="25" t="s">
        <v>1735</v>
      </c>
      <c r="M1392" s="25" t="s">
        <v>355</v>
      </c>
      <c r="N1392" s="25">
        <v>1</v>
      </c>
      <c r="O1392" s="25"/>
      <c r="P1392" s="25"/>
      <c r="Q1392" s="25">
        <v>1800</v>
      </c>
      <c r="R1392" s="25"/>
      <c r="S1392" s="25">
        <v>1200</v>
      </c>
      <c r="T1392" s="25">
        <v>1200</v>
      </c>
      <c r="U1392" s="31">
        <f t="shared" si="22"/>
        <v>4200</v>
      </c>
      <c r="V1392" s="25"/>
      <c r="W1392" s="33" t="s">
        <v>1734</v>
      </c>
      <c r="X1392" s="33"/>
      <c r="Y1392" s="33"/>
      <c r="Z1392" s="33" t="s">
        <v>1733</v>
      </c>
      <c r="AA1392" s="33"/>
    </row>
    <row r="1393" spans="1:27" s="70" customFormat="1" ht="33.75" x14ac:dyDescent="0.2">
      <c r="A1393" s="24">
        <v>1389</v>
      </c>
      <c r="B1393" s="27" t="s">
        <v>1552</v>
      </c>
      <c r="C1393" s="28" t="s">
        <v>1551</v>
      </c>
      <c r="D1393" s="71" t="s">
        <v>1730</v>
      </c>
      <c r="E1393" s="28" t="s">
        <v>1729</v>
      </c>
      <c r="F1393" s="28" t="s">
        <v>1728</v>
      </c>
      <c r="G1393" s="27"/>
      <c r="H1393" s="28" t="s">
        <v>1727</v>
      </c>
      <c r="I1393" s="27"/>
      <c r="J1393" s="28" t="s">
        <v>1727</v>
      </c>
      <c r="K1393" s="27"/>
      <c r="L1393" s="25" t="s">
        <v>1732</v>
      </c>
      <c r="M1393" s="25" t="s">
        <v>355</v>
      </c>
      <c r="N1393" s="25">
        <v>1</v>
      </c>
      <c r="O1393" s="25"/>
      <c r="P1393" s="25"/>
      <c r="Q1393" s="25">
        <v>100</v>
      </c>
      <c r="R1393" s="25"/>
      <c r="S1393" s="25">
        <v>60</v>
      </c>
      <c r="T1393" s="25">
        <v>60</v>
      </c>
      <c r="U1393" s="31">
        <f t="shared" si="22"/>
        <v>220</v>
      </c>
      <c r="V1393" s="25"/>
      <c r="W1393" s="33" t="s">
        <v>1731</v>
      </c>
      <c r="X1393" s="33"/>
      <c r="Y1393" s="33"/>
      <c r="Z1393" s="33"/>
      <c r="AA1393" s="33"/>
    </row>
    <row r="1394" spans="1:27" s="70" customFormat="1" ht="33.75" x14ac:dyDescent="0.2">
      <c r="A1394" s="24">
        <v>1390</v>
      </c>
      <c r="B1394" s="27" t="s">
        <v>1552</v>
      </c>
      <c r="C1394" s="28" t="s">
        <v>1551</v>
      </c>
      <c r="D1394" s="71" t="s">
        <v>1730</v>
      </c>
      <c r="E1394" s="28" t="s">
        <v>1729</v>
      </c>
      <c r="F1394" s="28" t="s">
        <v>1728</v>
      </c>
      <c r="G1394" s="27"/>
      <c r="H1394" s="28" t="s">
        <v>1727</v>
      </c>
      <c r="I1394" s="27"/>
      <c r="J1394" s="28" t="s">
        <v>1727</v>
      </c>
      <c r="K1394" s="27"/>
      <c r="L1394" s="25" t="s">
        <v>1726</v>
      </c>
      <c r="M1394" s="25" t="s">
        <v>355</v>
      </c>
      <c r="N1394" s="25">
        <v>1</v>
      </c>
      <c r="O1394" s="25"/>
      <c r="P1394" s="25">
        <v>300</v>
      </c>
      <c r="Q1394" s="25"/>
      <c r="R1394" s="25"/>
      <c r="S1394" s="25">
        <v>150</v>
      </c>
      <c r="T1394" s="25">
        <v>150</v>
      </c>
      <c r="U1394" s="31">
        <f t="shared" si="22"/>
        <v>600</v>
      </c>
      <c r="V1394" s="25"/>
      <c r="W1394" s="33" t="s">
        <v>1725</v>
      </c>
      <c r="X1394" s="33"/>
      <c r="Y1394" s="33"/>
      <c r="Z1394" s="33"/>
      <c r="AA1394" s="33"/>
    </row>
    <row r="1395" spans="1:27" s="70" customFormat="1" ht="33.75" x14ac:dyDescent="0.2">
      <c r="A1395" s="24">
        <v>1391</v>
      </c>
      <c r="B1395" s="27" t="s">
        <v>1552</v>
      </c>
      <c r="C1395" s="28" t="s">
        <v>1551</v>
      </c>
      <c r="D1395" s="71" t="s">
        <v>1617</v>
      </c>
      <c r="E1395" s="28" t="s">
        <v>1616</v>
      </c>
      <c r="F1395" s="28" t="s">
        <v>1615</v>
      </c>
      <c r="G1395" s="27"/>
      <c r="H1395" s="28" t="s">
        <v>1707</v>
      </c>
      <c r="I1395" s="27"/>
      <c r="J1395" s="28" t="s">
        <v>1724</v>
      </c>
      <c r="K1395" s="27"/>
      <c r="L1395" s="25"/>
      <c r="M1395" s="25"/>
      <c r="N1395" s="25"/>
      <c r="O1395" s="25"/>
      <c r="P1395" s="25"/>
      <c r="Q1395" s="25"/>
      <c r="R1395" s="25"/>
      <c r="S1395" s="25"/>
      <c r="T1395" s="25"/>
      <c r="U1395" s="31">
        <f t="shared" si="22"/>
        <v>0</v>
      </c>
      <c r="V1395" s="25"/>
      <c r="W1395" s="33"/>
      <c r="X1395" s="33"/>
      <c r="Y1395" s="33"/>
      <c r="Z1395" s="33"/>
      <c r="AA1395" s="33"/>
    </row>
    <row r="1396" spans="1:27" s="70" customFormat="1" ht="33.75" x14ac:dyDescent="0.2">
      <c r="A1396" s="24">
        <v>1392</v>
      </c>
      <c r="B1396" s="27" t="s">
        <v>1552</v>
      </c>
      <c r="C1396" s="28" t="s">
        <v>1551</v>
      </c>
      <c r="D1396" s="71" t="s">
        <v>1617</v>
      </c>
      <c r="E1396" s="28" t="s">
        <v>1616</v>
      </c>
      <c r="F1396" s="28" t="s">
        <v>1615</v>
      </c>
      <c r="G1396" s="27"/>
      <c r="H1396" s="28" t="s">
        <v>1707</v>
      </c>
      <c r="I1396" s="27"/>
      <c r="J1396" s="28" t="s">
        <v>1723</v>
      </c>
      <c r="K1396" s="27"/>
      <c r="L1396" s="25"/>
      <c r="M1396" s="25"/>
      <c r="N1396" s="25"/>
      <c r="O1396" s="25"/>
      <c r="P1396" s="25"/>
      <c r="Q1396" s="25"/>
      <c r="R1396" s="25"/>
      <c r="S1396" s="25"/>
      <c r="T1396" s="25"/>
      <c r="U1396" s="31">
        <f t="shared" si="22"/>
        <v>0</v>
      </c>
      <c r="V1396" s="25"/>
      <c r="W1396" s="33"/>
      <c r="X1396" s="33"/>
      <c r="Y1396" s="33"/>
      <c r="Z1396" s="33"/>
      <c r="AA1396" s="33"/>
    </row>
    <row r="1397" spans="1:27" s="70" customFormat="1" ht="33.75" x14ac:dyDescent="0.2">
      <c r="A1397" s="24">
        <v>1393</v>
      </c>
      <c r="B1397" s="27" t="s">
        <v>1552</v>
      </c>
      <c r="C1397" s="28" t="s">
        <v>1551</v>
      </c>
      <c r="D1397" s="71" t="s">
        <v>1617</v>
      </c>
      <c r="E1397" s="28" t="s">
        <v>1616</v>
      </c>
      <c r="F1397" s="28" t="s">
        <v>1615</v>
      </c>
      <c r="G1397" s="27"/>
      <c r="H1397" s="28" t="s">
        <v>1707</v>
      </c>
      <c r="I1397" s="27"/>
      <c r="J1397" s="28" t="s">
        <v>1706</v>
      </c>
      <c r="K1397" s="27"/>
      <c r="L1397" s="25" t="s">
        <v>1722</v>
      </c>
      <c r="M1397" s="25" t="s">
        <v>199</v>
      </c>
      <c r="N1397" s="25">
        <v>3</v>
      </c>
      <c r="O1397" s="25">
        <v>200</v>
      </c>
      <c r="P1397" s="25">
        <v>200</v>
      </c>
      <c r="Q1397" s="25">
        <v>200</v>
      </c>
      <c r="R1397" s="25">
        <v>200</v>
      </c>
      <c r="S1397" s="25">
        <v>20</v>
      </c>
      <c r="T1397" s="25">
        <v>20</v>
      </c>
      <c r="U1397" s="31">
        <f t="shared" si="22"/>
        <v>840</v>
      </c>
      <c r="V1397" s="25"/>
      <c r="W1397" s="33" t="s">
        <v>22</v>
      </c>
      <c r="X1397" s="33"/>
      <c r="Y1397" s="33"/>
      <c r="Z1397" s="33"/>
      <c r="AA1397" s="33"/>
    </row>
    <row r="1398" spans="1:27" s="70" customFormat="1" ht="33.75" x14ac:dyDescent="0.2">
      <c r="A1398" s="24">
        <v>1394</v>
      </c>
      <c r="B1398" s="27" t="s">
        <v>1552</v>
      </c>
      <c r="C1398" s="28" t="s">
        <v>1551</v>
      </c>
      <c r="D1398" s="71" t="s">
        <v>1617</v>
      </c>
      <c r="E1398" s="28" t="s">
        <v>1616</v>
      </c>
      <c r="F1398" s="28" t="s">
        <v>1615</v>
      </c>
      <c r="G1398" s="27"/>
      <c r="H1398" s="28" t="s">
        <v>1707</v>
      </c>
      <c r="I1398" s="27"/>
      <c r="J1398" s="28" t="s">
        <v>1706</v>
      </c>
      <c r="K1398" s="27"/>
      <c r="L1398" s="25" t="s">
        <v>1721</v>
      </c>
      <c r="M1398" s="25" t="s">
        <v>1720</v>
      </c>
      <c r="N1398" s="25">
        <v>1</v>
      </c>
      <c r="O1398" s="25">
        <v>32</v>
      </c>
      <c r="P1398" s="25">
        <v>352</v>
      </c>
      <c r="Q1398" s="25">
        <v>312</v>
      </c>
      <c r="R1398" s="25">
        <v>32</v>
      </c>
      <c r="S1398" s="25">
        <v>32</v>
      </c>
      <c r="T1398" s="25">
        <v>16</v>
      </c>
      <c r="U1398" s="31">
        <f t="shared" si="22"/>
        <v>776</v>
      </c>
      <c r="V1398" s="25"/>
      <c r="W1398" s="33" t="s">
        <v>22</v>
      </c>
      <c r="X1398" s="33"/>
      <c r="Y1398" s="33"/>
      <c r="Z1398" s="33" t="s">
        <v>1627</v>
      </c>
      <c r="AA1398" s="33"/>
    </row>
    <row r="1399" spans="1:27" s="70" customFormat="1" ht="45" x14ac:dyDescent="0.2">
      <c r="A1399" s="24">
        <v>1395</v>
      </c>
      <c r="B1399" s="27" t="s">
        <v>1552</v>
      </c>
      <c r="C1399" s="28" t="s">
        <v>1551</v>
      </c>
      <c r="D1399" s="71" t="s">
        <v>1617</v>
      </c>
      <c r="E1399" s="28" t="s">
        <v>1616</v>
      </c>
      <c r="F1399" s="28" t="s">
        <v>1615</v>
      </c>
      <c r="G1399" s="27"/>
      <c r="H1399" s="28" t="s">
        <v>1707</v>
      </c>
      <c r="I1399" s="27"/>
      <c r="J1399" s="28" t="s">
        <v>1706</v>
      </c>
      <c r="K1399" s="27"/>
      <c r="L1399" s="25" t="s">
        <v>1719</v>
      </c>
      <c r="M1399" s="25" t="s">
        <v>1718</v>
      </c>
      <c r="N1399" s="25">
        <v>1</v>
      </c>
      <c r="O1399" s="25">
        <v>176</v>
      </c>
      <c r="P1399" s="25">
        <v>176</v>
      </c>
      <c r="Q1399" s="25">
        <v>176</v>
      </c>
      <c r="R1399" s="25"/>
      <c r="S1399" s="25">
        <v>28</v>
      </c>
      <c r="T1399" s="25">
        <v>8</v>
      </c>
      <c r="U1399" s="31">
        <f t="shared" si="22"/>
        <v>564</v>
      </c>
      <c r="V1399" s="25"/>
      <c r="W1399" s="33" t="s">
        <v>1717</v>
      </c>
      <c r="X1399" s="33"/>
      <c r="Y1399" s="33"/>
      <c r="Z1399" s="33" t="s">
        <v>1712</v>
      </c>
      <c r="AA1399" s="33"/>
    </row>
    <row r="1400" spans="1:27" s="70" customFormat="1" ht="45" x14ac:dyDescent="0.2">
      <c r="A1400" s="24">
        <v>1396</v>
      </c>
      <c r="B1400" s="27" t="s">
        <v>1552</v>
      </c>
      <c r="C1400" s="28" t="s">
        <v>1551</v>
      </c>
      <c r="D1400" s="71" t="s">
        <v>1617</v>
      </c>
      <c r="E1400" s="28" t="s">
        <v>1616</v>
      </c>
      <c r="F1400" s="28" t="s">
        <v>1615</v>
      </c>
      <c r="G1400" s="27"/>
      <c r="H1400" s="28" t="s">
        <v>1707</v>
      </c>
      <c r="I1400" s="27"/>
      <c r="J1400" s="28" t="s">
        <v>1706</v>
      </c>
      <c r="K1400" s="27"/>
      <c r="L1400" s="25" t="s">
        <v>1716</v>
      </c>
      <c r="M1400" s="25" t="s">
        <v>355</v>
      </c>
      <c r="N1400" s="25">
        <v>1</v>
      </c>
      <c r="O1400" s="25">
        <v>250</v>
      </c>
      <c r="P1400" s="25">
        <v>200</v>
      </c>
      <c r="Q1400" s="25">
        <v>30</v>
      </c>
      <c r="R1400" s="25">
        <v>30</v>
      </c>
      <c r="S1400" s="25">
        <v>30</v>
      </c>
      <c r="T1400" s="25">
        <v>30</v>
      </c>
      <c r="U1400" s="31">
        <f t="shared" si="22"/>
        <v>570</v>
      </c>
      <c r="V1400" s="25"/>
      <c r="W1400" s="33" t="s">
        <v>1715</v>
      </c>
      <c r="X1400" s="33"/>
      <c r="Y1400" s="33"/>
      <c r="Z1400" s="33"/>
      <c r="AA1400" s="33"/>
    </row>
    <row r="1401" spans="1:27" s="70" customFormat="1" ht="56.25" x14ac:dyDescent="0.2">
      <c r="A1401" s="24">
        <v>1397</v>
      </c>
      <c r="B1401" s="27" t="s">
        <v>1552</v>
      </c>
      <c r="C1401" s="28" t="s">
        <v>1551</v>
      </c>
      <c r="D1401" s="71" t="s">
        <v>1617</v>
      </c>
      <c r="E1401" s="28" t="s">
        <v>1616</v>
      </c>
      <c r="F1401" s="28" t="s">
        <v>1615</v>
      </c>
      <c r="G1401" s="27"/>
      <c r="H1401" s="28" t="s">
        <v>1707</v>
      </c>
      <c r="I1401" s="27"/>
      <c r="J1401" s="28" t="s">
        <v>1706</v>
      </c>
      <c r="K1401" s="27"/>
      <c r="L1401" s="25" t="s">
        <v>1714</v>
      </c>
      <c r="M1401" s="25" t="s">
        <v>190</v>
      </c>
      <c r="N1401" s="25">
        <v>1</v>
      </c>
      <c r="O1401" s="25">
        <v>176</v>
      </c>
      <c r="P1401" s="25">
        <v>176</v>
      </c>
      <c r="Q1401" s="25">
        <v>176</v>
      </c>
      <c r="R1401" s="25"/>
      <c r="S1401" s="25">
        <v>28</v>
      </c>
      <c r="T1401" s="25">
        <v>8</v>
      </c>
      <c r="U1401" s="31">
        <f t="shared" si="22"/>
        <v>564</v>
      </c>
      <c r="V1401" s="25"/>
      <c r="W1401" s="33" t="s">
        <v>1713</v>
      </c>
      <c r="X1401" s="33"/>
      <c r="Y1401" s="33"/>
      <c r="Z1401" s="33" t="s">
        <v>1712</v>
      </c>
      <c r="AA1401" s="33"/>
    </row>
    <row r="1402" spans="1:27" s="70" customFormat="1" ht="33.75" x14ac:dyDescent="0.2">
      <c r="A1402" s="24">
        <v>1398</v>
      </c>
      <c r="B1402" s="27" t="s">
        <v>1552</v>
      </c>
      <c r="C1402" s="28" t="s">
        <v>1551</v>
      </c>
      <c r="D1402" s="71" t="s">
        <v>1617</v>
      </c>
      <c r="E1402" s="28" t="s">
        <v>1616</v>
      </c>
      <c r="F1402" s="28" t="s">
        <v>1615</v>
      </c>
      <c r="G1402" s="27"/>
      <c r="H1402" s="28" t="s">
        <v>1707</v>
      </c>
      <c r="I1402" s="27"/>
      <c r="J1402" s="28" t="s">
        <v>1706</v>
      </c>
      <c r="K1402" s="27"/>
      <c r="L1402" s="25" t="s">
        <v>1711</v>
      </c>
      <c r="M1402" s="25" t="s">
        <v>1692</v>
      </c>
      <c r="N1402" s="25">
        <v>1</v>
      </c>
      <c r="O1402" s="25">
        <v>176</v>
      </c>
      <c r="P1402" s="25">
        <v>176</v>
      </c>
      <c r="Q1402" s="25">
        <v>176</v>
      </c>
      <c r="R1402" s="25"/>
      <c r="S1402" s="25">
        <v>28</v>
      </c>
      <c r="T1402" s="25">
        <v>8</v>
      </c>
      <c r="U1402" s="31">
        <f t="shared" si="22"/>
        <v>564</v>
      </c>
      <c r="V1402" s="25"/>
      <c r="W1402" s="33" t="s">
        <v>1710</v>
      </c>
      <c r="X1402" s="33"/>
      <c r="Y1402" s="33"/>
      <c r="Z1402" s="33" t="s">
        <v>1627</v>
      </c>
      <c r="AA1402" s="33"/>
    </row>
    <row r="1403" spans="1:27" s="70" customFormat="1" ht="33.75" x14ac:dyDescent="0.2">
      <c r="A1403" s="24">
        <v>1399</v>
      </c>
      <c r="B1403" s="27" t="s">
        <v>1552</v>
      </c>
      <c r="C1403" s="28" t="s">
        <v>1551</v>
      </c>
      <c r="D1403" s="71" t="s">
        <v>1617</v>
      </c>
      <c r="E1403" s="28" t="s">
        <v>1616</v>
      </c>
      <c r="F1403" s="28" t="s">
        <v>1615</v>
      </c>
      <c r="G1403" s="27"/>
      <c r="H1403" s="28" t="s">
        <v>1707</v>
      </c>
      <c r="I1403" s="27"/>
      <c r="J1403" s="28" t="s">
        <v>1706</v>
      </c>
      <c r="K1403" s="27"/>
      <c r="L1403" s="25" t="s">
        <v>1709</v>
      </c>
      <c r="M1403" s="25" t="s">
        <v>355</v>
      </c>
      <c r="N1403" s="25">
        <v>1</v>
      </c>
      <c r="O1403" s="25"/>
      <c r="P1403" s="25"/>
      <c r="Q1403" s="25">
        <v>80</v>
      </c>
      <c r="R1403" s="25"/>
      <c r="S1403" s="25"/>
      <c r="T1403" s="25">
        <v>40</v>
      </c>
      <c r="U1403" s="31">
        <f t="shared" si="22"/>
        <v>120</v>
      </c>
      <c r="V1403" s="25"/>
      <c r="W1403" s="33" t="s">
        <v>1708</v>
      </c>
      <c r="X1403" s="33"/>
      <c r="Y1403" s="33"/>
      <c r="Z1403" s="33" t="s">
        <v>1627</v>
      </c>
      <c r="AA1403" s="33"/>
    </row>
    <row r="1404" spans="1:27" s="70" customFormat="1" ht="33.75" x14ac:dyDescent="0.2">
      <c r="A1404" s="24">
        <v>1400</v>
      </c>
      <c r="B1404" s="27" t="s">
        <v>1552</v>
      </c>
      <c r="C1404" s="28" t="s">
        <v>1551</v>
      </c>
      <c r="D1404" s="71" t="s">
        <v>1617</v>
      </c>
      <c r="E1404" s="28" t="s">
        <v>1616</v>
      </c>
      <c r="F1404" s="28" t="s">
        <v>1615</v>
      </c>
      <c r="G1404" s="27"/>
      <c r="H1404" s="28" t="s">
        <v>1707</v>
      </c>
      <c r="I1404" s="27"/>
      <c r="J1404" s="28" t="s">
        <v>1706</v>
      </c>
      <c r="K1404" s="27"/>
      <c r="L1404" s="25" t="s">
        <v>1705</v>
      </c>
      <c r="M1404" s="25" t="s">
        <v>190</v>
      </c>
      <c r="N1404" s="25">
        <v>1</v>
      </c>
      <c r="O1404" s="25">
        <v>76</v>
      </c>
      <c r="P1404" s="25">
        <v>88</v>
      </c>
      <c r="Q1404" s="25">
        <v>112</v>
      </c>
      <c r="R1404" s="25"/>
      <c r="S1404" s="25">
        <v>76</v>
      </c>
      <c r="T1404" s="25">
        <v>22</v>
      </c>
      <c r="U1404" s="31">
        <f t="shared" si="22"/>
        <v>374</v>
      </c>
      <c r="V1404" s="25"/>
      <c r="W1404" s="33" t="s">
        <v>22</v>
      </c>
      <c r="X1404" s="33"/>
      <c r="Y1404" s="33"/>
      <c r="Z1404" s="33" t="s">
        <v>1627</v>
      </c>
      <c r="AA1404" s="33"/>
    </row>
    <row r="1405" spans="1:27" s="70" customFormat="1" ht="67.5" x14ac:dyDescent="0.2">
      <c r="A1405" s="24">
        <v>1401</v>
      </c>
      <c r="B1405" s="27" t="s">
        <v>1552</v>
      </c>
      <c r="C1405" s="28" t="s">
        <v>1551</v>
      </c>
      <c r="D1405" s="71" t="s">
        <v>1617</v>
      </c>
      <c r="E1405" s="28" t="s">
        <v>1616</v>
      </c>
      <c r="F1405" s="28" t="s">
        <v>1615</v>
      </c>
      <c r="G1405" s="27"/>
      <c r="H1405" s="28" t="s">
        <v>1671</v>
      </c>
      <c r="I1405" s="27"/>
      <c r="J1405" s="28" t="s">
        <v>1704</v>
      </c>
      <c r="K1405" s="27"/>
      <c r="L1405" s="25"/>
      <c r="M1405" s="25"/>
      <c r="N1405" s="25"/>
      <c r="O1405" s="25"/>
      <c r="P1405" s="25"/>
      <c r="Q1405" s="25"/>
      <c r="R1405" s="25"/>
      <c r="S1405" s="25"/>
      <c r="T1405" s="25"/>
      <c r="U1405" s="31">
        <f t="shared" si="22"/>
        <v>0</v>
      </c>
      <c r="V1405" s="25"/>
      <c r="W1405" s="33"/>
      <c r="X1405" s="33"/>
      <c r="Y1405" s="33"/>
      <c r="Z1405" s="33"/>
      <c r="AA1405" s="33"/>
    </row>
    <row r="1406" spans="1:27" s="70" customFormat="1" ht="67.5" x14ac:dyDescent="0.2">
      <c r="A1406" s="24">
        <v>1402</v>
      </c>
      <c r="B1406" s="27" t="s">
        <v>1552</v>
      </c>
      <c r="C1406" s="28" t="s">
        <v>1551</v>
      </c>
      <c r="D1406" s="71" t="s">
        <v>1617</v>
      </c>
      <c r="E1406" s="28" t="s">
        <v>1616</v>
      </c>
      <c r="F1406" s="28" t="s">
        <v>1615</v>
      </c>
      <c r="G1406" s="27"/>
      <c r="H1406" s="28" t="s">
        <v>1671</v>
      </c>
      <c r="I1406" s="27"/>
      <c r="J1406" s="28" t="s">
        <v>1703</v>
      </c>
      <c r="K1406" s="27"/>
      <c r="L1406" s="25"/>
      <c r="M1406" s="25"/>
      <c r="N1406" s="25"/>
      <c r="O1406" s="25"/>
      <c r="P1406" s="25"/>
      <c r="Q1406" s="25"/>
      <c r="R1406" s="25"/>
      <c r="S1406" s="25"/>
      <c r="T1406" s="25"/>
      <c r="U1406" s="31">
        <f t="shared" si="22"/>
        <v>0</v>
      </c>
      <c r="V1406" s="25"/>
      <c r="W1406" s="33"/>
      <c r="X1406" s="33"/>
      <c r="Y1406" s="33"/>
      <c r="Z1406" s="33"/>
      <c r="AA1406" s="33"/>
    </row>
    <row r="1407" spans="1:27" s="70" customFormat="1" ht="112.5" x14ac:dyDescent="0.2">
      <c r="A1407" s="24">
        <v>1403</v>
      </c>
      <c r="B1407" s="27" t="s">
        <v>1552</v>
      </c>
      <c r="C1407" s="28" t="s">
        <v>1551</v>
      </c>
      <c r="D1407" s="71" t="s">
        <v>1617</v>
      </c>
      <c r="E1407" s="28" t="s">
        <v>1616</v>
      </c>
      <c r="F1407" s="28" t="s">
        <v>1615</v>
      </c>
      <c r="G1407" s="27"/>
      <c r="H1407" s="28" t="s">
        <v>1671</v>
      </c>
      <c r="I1407" s="27"/>
      <c r="J1407" s="28" t="s">
        <v>1702</v>
      </c>
      <c r="K1407" s="27"/>
      <c r="L1407" s="25" t="s">
        <v>1701</v>
      </c>
      <c r="M1407" s="25" t="s">
        <v>1700</v>
      </c>
      <c r="N1407" s="25">
        <v>50</v>
      </c>
      <c r="O1407" s="25">
        <v>2</v>
      </c>
      <c r="P1407" s="25">
        <v>4</v>
      </c>
      <c r="Q1407" s="25">
        <v>6</v>
      </c>
      <c r="R1407" s="25"/>
      <c r="S1407" s="25">
        <v>2</v>
      </c>
      <c r="T1407" s="25">
        <v>1</v>
      </c>
      <c r="U1407" s="31">
        <f t="shared" si="22"/>
        <v>15</v>
      </c>
      <c r="V1407" s="25"/>
      <c r="W1407" s="33" t="s">
        <v>79</v>
      </c>
      <c r="X1407" s="33"/>
      <c r="Y1407" s="33"/>
      <c r="Z1407" s="33"/>
      <c r="AA1407" s="33"/>
    </row>
    <row r="1408" spans="1:27" s="70" customFormat="1" ht="67.5" x14ac:dyDescent="0.2">
      <c r="A1408" s="24">
        <v>1404</v>
      </c>
      <c r="B1408" s="27" t="s">
        <v>1552</v>
      </c>
      <c r="C1408" s="28" t="s">
        <v>1551</v>
      </c>
      <c r="D1408" s="71" t="s">
        <v>1617</v>
      </c>
      <c r="E1408" s="28" t="s">
        <v>1616</v>
      </c>
      <c r="F1408" s="28" t="s">
        <v>1615</v>
      </c>
      <c r="G1408" s="27"/>
      <c r="H1408" s="28" t="s">
        <v>1671</v>
      </c>
      <c r="I1408" s="27"/>
      <c r="J1408" s="28" t="s">
        <v>1699</v>
      </c>
      <c r="K1408" s="27"/>
      <c r="L1408" s="25" t="s">
        <v>1698</v>
      </c>
      <c r="M1408" s="25" t="s">
        <v>802</v>
      </c>
      <c r="N1408" s="25">
        <v>25</v>
      </c>
      <c r="O1408" s="25">
        <v>80</v>
      </c>
      <c r="P1408" s="25">
        <v>80</v>
      </c>
      <c r="Q1408" s="25">
        <v>80</v>
      </c>
      <c r="R1408" s="25">
        <v>80</v>
      </c>
      <c r="S1408" s="25"/>
      <c r="T1408" s="25"/>
      <c r="U1408" s="31">
        <f t="shared" si="22"/>
        <v>320</v>
      </c>
      <c r="V1408" s="25"/>
      <c r="W1408" s="33" t="s">
        <v>22</v>
      </c>
      <c r="X1408" s="33"/>
      <c r="Y1408" s="33"/>
      <c r="Z1408" s="33"/>
      <c r="AA1408" s="33"/>
    </row>
    <row r="1409" spans="1:27" s="70" customFormat="1" ht="67.5" x14ac:dyDescent="0.2">
      <c r="A1409" s="24">
        <v>1405</v>
      </c>
      <c r="B1409" s="27" t="s">
        <v>1552</v>
      </c>
      <c r="C1409" s="28" t="s">
        <v>1551</v>
      </c>
      <c r="D1409" s="71" t="s">
        <v>1617</v>
      </c>
      <c r="E1409" s="28" t="s">
        <v>1616</v>
      </c>
      <c r="F1409" s="28" t="s">
        <v>1615</v>
      </c>
      <c r="G1409" s="27"/>
      <c r="H1409" s="28" t="s">
        <v>1671</v>
      </c>
      <c r="I1409" s="27"/>
      <c r="J1409" s="28" t="s">
        <v>1694</v>
      </c>
      <c r="K1409" s="27"/>
      <c r="L1409" s="25" t="s">
        <v>1697</v>
      </c>
      <c r="M1409" s="25" t="s">
        <v>1696</v>
      </c>
      <c r="N1409" s="25">
        <v>1</v>
      </c>
      <c r="O1409" s="25">
        <v>128</v>
      </c>
      <c r="P1409" s="25">
        <v>128</v>
      </c>
      <c r="Q1409" s="25">
        <v>176</v>
      </c>
      <c r="R1409" s="25"/>
      <c r="S1409" s="25">
        <v>136</v>
      </c>
      <c r="T1409" s="25">
        <v>68</v>
      </c>
      <c r="U1409" s="31">
        <f t="shared" si="22"/>
        <v>636</v>
      </c>
      <c r="V1409" s="25"/>
      <c r="W1409" s="33" t="s">
        <v>22</v>
      </c>
      <c r="X1409" s="33"/>
      <c r="Y1409" s="33"/>
      <c r="Z1409" s="33"/>
      <c r="AA1409" s="33"/>
    </row>
    <row r="1410" spans="1:27" s="70" customFormat="1" ht="67.5" x14ac:dyDescent="0.2">
      <c r="A1410" s="24">
        <v>1406</v>
      </c>
      <c r="B1410" s="27" t="s">
        <v>1552</v>
      </c>
      <c r="C1410" s="28" t="s">
        <v>1551</v>
      </c>
      <c r="D1410" s="71" t="s">
        <v>1617</v>
      </c>
      <c r="E1410" s="28" t="s">
        <v>1616</v>
      </c>
      <c r="F1410" s="28" t="s">
        <v>1615</v>
      </c>
      <c r="G1410" s="27"/>
      <c r="H1410" s="28" t="s">
        <v>1671</v>
      </c>
      <c r="I1410" s="27"/>
      <c r="J1410" s="28" t="s">
        <v>1694</v>
      </c>
      <c r="K1410" s="27"/>
      <c r="L1410" s="25" t="s">
        <v>1695</v>
      </c>
      <c r="M1410" s="25" t="s">
        <v>424</v>
      </c>
      <c r="N1410" s="25">
        <v>1</v>
      </c>
      <c r="O1410" s="25">
        <v>192</v>
      </c>
      <c r="P1410" s="25">
        <v>192</v>
      </c>
      <c r="Q1410" s="25">
        <v>264</v>
      </c>
      <c r="R1410" s="25">
        <v>0</v>
      </c>
      <c r="S1410" s="25">
        <v>204</v>
      </c>
      <c r="T1410" s="25">
        <v>102</v>
      </c>
      <c r="U1410" s="31">
        <f t="shared" si="22"/>
        <v>954</v>
      </c>
      <c r="V1410" s="25"/>
      <c r="W1410" s="33" t="s">
        <v>22</v>
      </c>
      <c r="X1410" s="33"/>
      <c r="Y1410" s="33"/>
      <c r="Z1410" s="33"/>
      <c r="AA1410" s="33"/>
    </row>
    <row r="1411" spans="1:27" s="70" customFormat="1" ht="67.5" x14ac:dyDescent="0.2">
      <c r="A1411" s="24">
        <v>1407</v>
      </c>
      <c r="B1411" s="27" t="s">
        <v>1552</v>
      </c>
      <c r="C1411" s="28" t="s">
        <v>1551</v>
      </c>
      <c r="D1411" s="71" t="s">
        <v>1617</v>
      </c>
      <c r="E1411" s="28" t="s">
        <v>1616</v>
      </c>
      <c r="F1411" s="28" t="s">
        <v>1615</v>
      </c>
      <c r="G1411" s="27"/>
      <c r="H1411" s="28" t="s">
        <v>1671</v>
      </c>
      <c r="I1411" s="27"/>
      <c r="J1411" s="28" t="s">
        <v>1694</v>
      </c>
      <c r="K1411" s="27"/>
      <c r="L1411" s="25" t="s">
        <v>1693</v>
      </c>
      <c r="M1411" s="25" t="s">
        <v>1692</v>
      </c>
      <c r="N1411" s="25">
        <v>1</v>
      </c>
      <c r="O1411" s="25">
        <v>76</v>
      </c>
      <c r="P1411" s="25">
        <v>88</v>
      </c>
      <c r="Q1411" s="25">
        <v>112</v>
      </c>
      <c r="R1411" s="25"/>
      <c r="S1411" s="25">
        <v>76</v>
      </c>
      <c r="T1411" s="25">
        <v>22</v>
      </c>
      <c r="U1411" s="31">
        <f t="shared" si="22"/>
        <v>374</v>
      </c>
      <c r="V1411" s="25"/>
      <c r="W1411" s="33" t="s">
        <v>22</v>
      </c>
      <c r="X1411" s="33"/>
      <c r="Y1411" s="33"/>
      <c r="Z1411" s="33"/>
      <c r="AA1411" s="33"/>
    </row>
    <row r="1412" spans="1:27" s="70" customFormat="1" ht="67.5" x14ac:dyDescent="0.2">
      <c r="A1412" s="24">
        <v>1408</v>
      </c>
      <c r="B1412" s="27" t="s">
        <v>1552</v>
      </c>
      <c r="C1412" s="28" t="s">
        <v>1551</v>
      </c>
      <c r="D1412" s="71" t="s">
        <v>1617</v>
      </c>
      <c r="E1412" s="28" t="s">
        <v>1616</v>
      </c>
      <c r="F1412" s="28" t="s">
        <v>1615</v>
      </c>
      <c r="G1412" s="27"/>
      <c r="H1412" s="28" t="s">
        <v>1671</v>
      </c>
      <c r="I1412" s="27"/>
      <c r="J1412" s="28" t="s">
        <v>1691</v>
      </c>
      <c r="K1412" s="27"/>
      <c r="L1412" s="25"/>
      <c r="M1412" s="25"/>
      <c r="N1412" s="25"/>
      <c r="O1412" s="25"/>
      <c r="P1412" s="25"/>
      <c r="Q1412" s="25"/>
      <c r="R1412" s="25"/>
      <c r="S1412" s="25"/>
      <c r="T1412" s="25"/>
      <c r="U1412" s="31">
        <f t="shared" si="22"/>
        <v>0</v>
      </c>
      <c r="V1412" s="25"/>
      <c r="W1412" s="33"/>
      <c r="X1412" s="33"/>
      <c r="Y1412" s="33"/>
      <c r="Z1412" s="33"/>
      <c r="AA1412" s="33"/>
    </row>
    <row r="1413" spans="1:27" s="70" customFormat="1" ht="67.5" x14ac:dyDescent="0.2">
      <c r="A1413" s="24">
        <v>1409</v>
      </c>
      <c r="B1413" s="27" t="s">
        <v>1552</v>
      </c>
      <c r="C1413" s="28" t="s">
        <v>1551</v>
      </c>
      <c r="D1413" s="71" t="s">
        <v>1617</v>
      </c>
      <c r="E1413" s="28" t="s">
        <v>1616</v>
      </c>
      <c r="F1413" s="28" t="s">
        <v>1615</v>
      </c>
      <c r="G1413" s="27"/>
      <c r="H1413" s="28" t="s">
        <v>1671</v>
      </c>
      <c r="I1413" s="27"/>
      <c r="J1413" s="28" t="s">
        <v>1690</v>
      </c>
      <c r="K1413" s="27"/>
      <c r="L1413" s="25"/>
      <c r="M1413" s="25"/>
      <c r="N1413" s="25"/>
      <c r="O1413" s="25"/>
      <c r="P1413" s="25"/>
      <c r="Q1413" s="25"/>
      <c r="R1413" s="25"/>
      <c r="S1413" s="25"/>
      <c r="T1413" s="25"/>
      <c r="U1413" s="31">
        <f t="shared" si="22"/>
        <v>0</v>
      </c>
      <c r="V1413" s="25"/>
      <c r="W1413" s="33"/>
      <c r="X1413" s="33"/>
      <c r="Y1413" s="33"/>
      <c r="Z1413" s="33"/>
      <c r="AA1413" s="33"/>
    </row>
    <row r="1414" spans="1:27" s="70" customFormat="1" ht="67.5" x14ac:dyDescent="0.2">
      <c r="A1414" s="24">
        <v>1410</v>
      </c>
      <c r="B1414" s="27" t="s">
        <v>1552</v>
      </c>
      <c r="C1414" s="28" t="s">
        <v>1551</v>
      </c>
      <c r="D1414" s="71" t="s">
        <v>1617</v>
      </c>
      <c r="E1414" s="28" t="s">
        <v>1616</v>
      </c>
      <c r="F1414" s="28" t="s">
        <v>1615</v>
      </c>
      <c r="G1414" s="27"/>
      <c r="H1414" s="28" t="s">
        <v>1671</v>
      </c>
      <c r="I1414" s="27"/>
      <c r="J1414" s="28" t="s">
        <v>1689</v>
      </c>
      <c r="K1414" s="27"/>
      <c r="L1414" s="25"/>
      <c r="M1414" s="25"/>
      <c r="N1414" s="25"/>
      <c r="O1414" s="25"/>
      <c r="P1414" s="25"/>
      <c r="Q1414" s="25"/>
      <c r="R1414" s="25"/>
      <c r="S1414" s="25"/>
      <c r="T1414" s="25"/>
      <c r="U1414" s="31">
        <f t="shared" ref="U1414:U1477" si="23">SUM(O1414:T1414)</f>
        <v>0</v>
      </c>
      <c r="V1414" s="25"/>
      <c r="W1414" s="33"/>
      <c r="X1414" s="33"/>
      <c r="Y1414" s="33"/>
      <c r="Z1414" s="33"/>
      <c r="AA1414" s="33"/>
    </row>
    <row r="1415" spans="1:27" s="70" customFormat="1" ht="78.75" x14ac:dyDescent="0.2">
      <c r="A1415" s="24">
        <v>1411</v>
      </c>
      <c r="B1415" s="27" t="s">
        <v>1552</v>
      </c>
      <c r="C1415" s="28" t="s">
        <v>1551</v>
      </c>
      <c r="D1415" s="71" t="s">
        <v>1617</v>
      </c>
      <c r="E1415" s="28" t="s">
        <v>1616</v>
      </c>
      <c r="F1415" s="28" t="s">
        <v>1615</v>
      </c>
      <c r="G1415" s="27"/>
      <c r="H1415" s="28" t="s">
        <v>1671</v>
      </c>
      <c r="I1415" s="27"/>
      <c r="J1415" s="28" t="s">
        <v>1688</v>
      </c>
      <c r="K1415" s="27"/>
      <c r="L1415" s="25"/>
      <c r="M1415" s="25"/>
      <c r="N1415" s="25"/>
      <c r="O1415" s="25"/>
      <c r="P1415" s="25"/>
      <c r="Q1415" s="25"/>
      <c r="R1415" s="25"/>
      <c r="S1415" s="25"/>
      <c r="T1415" s="25"/>
      <c r="U1415" s="31">
        <f t="shared" si="23"/>
        <v>0</v>
      </c>
      <c r="V1415" s="25"/>
      <c r="W1415" s="33"/>
      <c r="X1415" s="33"/>
      <c r="Y1415" s="33"/>
      <c r="Z1415" s="33"/>
      <c r="AA1415" s="33"/>
    </row>
    <row r="1416" spans="1:27" s="70" customFormat="1" ht="67.5" x14ac:dyDescent="0.2">
      <c r="A1416" s="24">
        <v>1412</v>
      </c>
      <c r="B1416" s="27" t="s">
        <v>1552</v>
      </c>
      <c r="C1416" s="28" t="s">
        <v>1551</v>
      </c>
      <c r="D1416" s="71" t="s">
        <v>1617</v>
      </c>
      <c r="E1416" s="28" t="s">
        <v>1616</v>
      </c>
      <c r="F1416" s="28" t="s">
        <v>1615</v>
      </c>
      <c r="G1416" s="27"/>
      <c r="H1416" s="28" t="s">
        <v>1671</v>
      </c>
      <c r="I1416" s="27"/>
      <c r="J1416" s="28" t="s">
        <v>1687</v>
      </c>
      <c r="K1416" s="27"/>
      <c r="L1416" s="25"/>
      <c r="M1416" s="25"/>
      <c r="N1416" s="25"/>
      <c r="O1416" s="25"/>
      <c r="P1416" s="25"/>
      <c r="Q1416" s="25"/>
      <c r="R1416" s="25"/>
      <c r="S1416" s="25"/>
      <c r="T1416" s="25"/>
      <c r="U1416" s="31">
        <f t="shared" si="23"/>
        <v>0</v>
      </c>
      <c r="V1416" s="25"/>
      <c r="W1416" s="33"/>
      <c r="X1416" s="33"/>
      <c r="Y1416" s="33"/>
      <c r="Z1416" s="33"/>
      <c r="AA1416" s="33"/>
    </row>
    <row r="1417" spans="1:27" s="70" customFormat="1" ht="67.5" x14ac:dyDescent="0.2">
      <c r="A1417" s="24">
        <v>1413</v>
      </c>
      <c r="B1417" s="27" t="s">
        <v>1552</v>
      </c>
      <c r="C1417" s="28" t="s">
        <v>1551</v>
      </c>
      <c r="D1417" s="71" t="s">
        <v>1617</v>
      </c>
      <c r="E1417" s="28" t="s">
        <v>1616</v>
      </c>
      <c r="F1417" s="28" t="s">
        <v>1615</v>
      </c>
      <c r="G1417" s="27"/>
      <c r="H1417" s="28" t="s">
        <v>1671</v>
      </c>
      <c r="I1417" s="27"/>
      <c r="J1417" s="28" t="s">
        <v>1686</v>
      </c>
      <c r="K1417" s="27"/>
      <c r="L1417" s="25"/>
      <c r="M1417" s="25"/>
      <c r="N1417" s="25"/>
      <c r="O1417" s="25"/>
      <c r="P1417" s="25"/>
      <c r="Q1417" s="25"/>
      <c r="R1417" s="25"/>
      <c r="S1417" s="25"/>
      <c r="T1417" s="25"/>
      <c r="U1417" s="31">
        <f t="shared" si="23"/>
        <v>0</v>
      </c>
      <c r="V1417" s="25"/>
      <c r="W1417" s="33"/>
      <c r="X1417" s="33"/>
      <c r="Y1417" s="33"/>
      <c r="Z1417" s="33"/>
      <c r="AA1417" s="33"/>
    </row>
    <row r="1418" spans="1:27" s="70" customFormat="1" ht="67.5" x14ac:dyDescent="0.2">
      <c r="A1418" s="24">
        <v>1414</v>
      </c>
      <c r="B1418" s="27" t="s">
        <v>1552</v>
      </c>
      <c r="C1418" s="28" t="s">
        <v>1551</v>
      </c>
      <c r="D1418" s="71" t="s">
        <v>1617</v>
      </c>
      <c r="E1418" s="28" t="s">
        <v>1616</v>
      </c>
      <c r="F1418" s="28" t="s">
        <v>1615</v>
      </c>
      <c r="G1418" s="27"/>
      <c r="H1418" s="28" t="s">
        <v>1671</v>
      </c>
      <c r="I1418" s="27"/>
      <c r="J1418" s="28" t="s">
        <v>1685</v>
      </c>
      <c r="K1418" s="27"/>
      <c r="L1418" s="25"/>
      <c r="M1418" s="25"/>
      <c r="N1418" s="25"/>
      <c r="O1418" s="25"/>
      <c r="P1418" s="25"/>
      <c r="Q1418" s="25"/>
      <c r="R1418" s="25"/>
      <c r="S1418" s="25"/>
      <c r="T1418" s="25"/>
      <c r="U1418" s="31">
        <f t="shared" si="23"/>
        <v>0</v>
      </c>
      <c r="V1418" s="25"/>
      <c r="W1418" s="33"/>
      <c r="X1418" s="33"/>
      <c r="Y1418" s="33"/>
      <c r="Z1418" s="33"/>
      <c r="AA1418" s="33"/>
    </row>
    <row r="1419" spans="1:27" s="70" customFormat="1" ht="67.5" x14ac:dyDescent="0.2">
      <c r="A1419" s="24">
        <v>1415</v>
      </c>
      <c r="B1419" s="27" t="s">
        <v>1552</v>
      </c>
      <c r="C1419" s="28" t="s">
        <v>1551</v>
      </c>
      <c r="D1419" s="71" t="s">
        <v>1617</v>
      </c>
      <c r="E1419" s="28" t="s">
        <v>1616</v>
      </c>
      <c r="F1419" s="28" t="s">
        <v>1615</v>
      </c>
      <c r="G1419" s="27"/>
      <c r="H1419" s="28" t="s">
        <v>1671</v>
      </c>
      <c r="I1419" s="27"/>
      <c r="J1419" s="28" t="s">
        <v>1684</v>
      </c>
      <c r="K1419" s="27"/>
      <c r="L1419" s="25"/>
      <c r="M1419" s="25"/>
      <c r="N1419" s="25"/>
      <c r="O1419" s="25"/>
      <c r="P1419" s="25"/>
      <c r="Q1419" s="25"/>
      <c r="R1419" s="25"/>
      <c r="S1419" s="25"/>
      <c r="T1419" s="25"/>
      <c r="U1419" s="31">
        <f t="shared" si="23"/>
        <v>0</v>
      </c>
      <c r="V1419" s="25"/>
      <c r="W1419" s="33"/>
      <c r="X1419" s="33"/>
      <c r="Y1419" s="33"/>
      <c r="Z1419" s="33"/>
      <c r="AA1419" s="33"/>
    </row>
    <row r="1420" spans="1:27" s="70" customFormat="1" ht="67.5" x14ac:dyDescent="0.2">
      <c r="A1420" s="24">
        <v>1416</v>
      </c>
      <c r="B1420" s="27" t="s">
        <v>1552</v>
      </c>
      <c r="C1420" s="28" t="s">
        <v>1551</v>
      </c>
      <c r="D1420" s="71" t="s">
        <v>1617</v>
      </c>
      <c r="E1420" s="28" t="s">
        <v>1616</v>
      </c>
      <c r="F1420" s="28" t="s">
        <v>1615</v>
      </c>
      <c r="G1420" s="27"/>
      <c r="H1420" s="28" t="s">
        <v>1671</v>
      </c>
      <c r="I1420" s="27"/>
      <c r="J1420" s="28" t="s">
        <v>1683</v>
      </c>
      <c r="K1420" s="27"/>
      <c r="L1420" s="25"/>
      <c r="M1420" s="25"/>
      <c r="N1420" s="25"/>
      <c r="O1420" s="25"/>
      <c r="P1420" s="25"/>
      <c r="Q1420" s="25"/>
      <c r="R1420" s="25"/>
      <c r="S1420" s="25"/>
      <c r="T1420" s="25"/>
      <c r="U1420" s="31">
        <f t="shared" si="23"/>
        <v>0</v>
      </c>
      <c r="V1420" s="25"/>
      <c r="W1420" s="33"/>
      <c r="X1420" s="33"/>
      <c r="Y1420" s="33"/>
      <c r="Z1420" s="33"/>
      <c r="AA1420" s="33"/>
    </row>
    <row r="1421" spans="1:27" s="70" customFormat="1" ht="67.5" x14ac:dyDescent="0.2">
      <c r="A1421" s="24">
        <v>1417</v>
      </c>
      <c r="B1421" s="27" t="s">
        <v>1552</v>
      </c>
      <c r="C1421" s="28" t="s">
        <v>1551</v>
      </c>
      <c r="D1421" s="71" t="s">
        <v>1617</v>
      </c>
      <c r="E1421" s="28" t="s">
        <v>1616</v>
      </c>
      <c r="F1421" s="28" t="s">
        <v>1615</v>
      </c>
      <c r="G1421" s="27"/>
      <c r="H1421" s="28" t="s">
        <v>1671</v>
      </c>
      <c r="I1421" s="27"/>
      <c r="J1421" s="28" t="s">
        <v>1682</v>
      </c>
      <c r="K1421" s="27"/>
      <c r="L1421" s="25"/>
      <c r="M1421" s="25"/>
      <c r="N1421" s="25"/>
      <c r="O1421" s="25"/>
      <c r="P1421" s="25"/>
      <c r="Q1421" s="25"/>
      <c r="R1421" s="25"/>
      <c r="S1421" s="25"/>
      <c r="T1421" s="25"/>
      <c r="U1421" s="31">
        <f t="shared" si="23"/>
        <v>0</v>
      </c>
      <c r="V1421" s="25"/>
      <c r="W1421" s="33"/>
      <c r="X1421" s="33"/>
      <c r="Y1421" s="33"/>
      <c r="Z1421" s="33"/>
      <c r="AA1421" s="33"/>
    </row>
    <row r="1422" spans="1:27" s="70" customFormat="1" ht="67.5" x14ac:dyDescent="0.2">
      <c r="A1422" s="24">
        <v>1418</v>
      </c>
      <c r="B1422" s="27" t="s">
        <v>1552</v>
      </c>
      <c r="C1422" s="28" t="s">
        <v>1551</v>
      </c>
      <c r="D1422" s="71" t="s">
        <v>1617</v>
      </c>
      <c r="E1422" s="28" t="s">
        <v>1616</v>
      </c>
      <c r="F1422" s="28" t="s">
        <v>1615</v>
      </c>
      <c r="G1422" s="27"/>
      <c r="H1422" s="28" t="s">
        <v>1671</v>
      </c>
      <c r="I1422" s="27"/>
      <c r="J1422" s="28" t="s">
        <v>1681</v>
      </c>
      <c r="K1422" s="27"/>
      <c r="L1422" s="25"/>
      <c r="M1422" s="25"/>
      <c r="N1422" s="25"/>
      <c r="O1422" s="25"/>
      <c r="P1422" s="25"/>
      <c r="Q1422" s="25"/>
      <c r="R1422" s="25"/>
      <c r="S1422" s="25"/>
      <c r="T1422" s="25"/>
      <c r="U1422" s="31">
        <f t="shared" si="23"/>
        <v>0</v>
      </c>
      <c r="V1422" s="25"/>
      <c r="W1422" s="33"/>
      <c r="X1422" s="33"/>
      <c r="Y1422" s="33"/>
      <c r="Z1422" s="33"/>
      <c r="AA1422" s="33"/>
    </row>
    <row r="1423" spans="1:27" s="70" customFormat="1" ht="67.5" x14ac:dyDescent="0.2">
      <c r="A1423" s="24">
        <v>1419</v>
      </c>
      <c r="B1423" s="27" t="s">
        <v>1552</v>
      </c>
      <c r="C1423" s="28" t="s">
        <v>1551</v>
      </c>
      <c r="D1423" s="71" t="s">
        <v>1617</v>
      </c>
      <c r="E1423" s="28" t="s">
        <v>1616</v>
      </c>
      <c r="F1423" s="28" t="s">
        <v>1615</v>
      </c>
      <c r="G1423" s="27"/>
      <c r="H1423" s="28" t="s">
        <v>1671</v>
      </c>
      <c r="I1423" s="27"/>
      <c r="J1423" s="28" t="s">
        <v>1676</v>
      </c>
      <c r="K1423" s="27"/>
      <c r="L1423" s="25" t="s">
        <v>1680</v>
      </c>
      <c r="M1423" s="25" t="s">
        <v>199</v>
      </c>
      <c r="N1423" s="25">
        <v>5</v>
      </c>
      <c r="O1423" s="25">
        <v>80</v>
      </c>
      <c r="P1423" s="25">
        <v>70</v>
      </c>
      <c r="Q1423" s="25">
        <v>60</v>
      </c>
      <c r="R1423" s="25">
        <v>40</v>
      </c>
      <c r="S1423" s="25">
        <v>30</v>
      </c>
      <c r="T1423" s="25">
        <v>20</v>
      </c>
      <c r="U1423" s="31">
        <f t="shared" si="23"/>
        <v>300</v>
      </c>
      <c r="V1423" s="25"/>
      <c r="W1423" s="33" t="s">
        <v>22</v>
      </c>
      <c r="X1423" s="33"/>
      <c r="Y1423" s="33"/>
      <c r="Z1423" s="33"/>
      <c r="AA1423" s="33"/>
    </row>
    <row r="1424" spans="1:27" s="70" customFormat="1" ht="67.5" x14ac:dyDescent="0.2">
      <c r="A1424" s="24">
        <v>1420</v>
      </c>
      <c r="B1424" s="27" t="s">
        <v>1552</v>
      </c>
      <c r="C1424" s="28" t="s">
        <v>1551</v>
      </c>
      <c r="D1424" s="71" t="s">
        <v>1617</v>
      </c>
      <c r="E1424" s="28" t="s">
        <v>1616</v>
      </c>
      <c r="F1424" s="28" t="s">
        <v>1615</v>
      </c>
      <c r="G1424" s="27"/>
      <c r="H1424" s="28" t="s">
        <v>1671</v>
      </c>
      <c r="I1424" s="27"/>
      <c r="J1424" s="28" t="s">
        <v>1676</v>
      </c>
      <c r="K1424" s="27"/>
      <c r="L1424" s="25" t="s">
        <v>1679</v>
      </c>
      <c r="M1424" s="25"/>
      <c r="N1424" s="25"/>
      <c r="O1424" s="25"/>
      <c r="P1424" s="25"/>
      <c r="Q1424" s="25"/>
      <c r="R1424" s="25"/>
      <c r="S1424" s="25"/>
      <c r="T1424" s="25"/>
      <c r="U1424" s="31">
        <f t="shared" si="23"/>
        <v>0</v>
      </c>
      <c r="V1424" s="25"/>
      <c r="W1424" s="33"/>
      <c r="X1424" s="33"/>
      <c r="Y1424" s="33"/>
      <c r="Z1424" s="33"/>
      <c r="AA1424" s="33"/>
    </row>
    <row r="1425" spans="1:27" s="70" customFormat="1" ht="67.5" x14ac:dyDescent="0.2">
      <c r="A1425" s="24">
        <v>1421</v>
      </c>
      <c r="B1425" s="27" t="s">
        <v>1552</v>
      </c>
      <c r="C1425" s="28" t="s">
        <v>1551</v>
      </c>
      <c r="D1425" s="71" t="s">
        <v>1617</v>
      </c>
      <c r="E1425" s="28" t="s">
        <v>1616</v>
      </c>
      <c r="F1425" s="28" t="s">
        <v>1615</v>
      </c>
      <c r="G1425" s="27"/>
      <c r="H1425" s="28" t="s">
        <v>1671</v>
      </c>
      <c r="I1425" s="27"/>
      <c r="J1425" s="28" t="s">
        <v>1676</v>
      </c>
      <c r="K1425" s="27"/>
      <c r="L1425" s="25" t="s">
        <v>1678</v>
      </c>
      <c r="M1425" s="25" t="s">
        <v>190</v>
      </c>
      <c r="N1425" s="25">
        <v>12</v>
      </c>
      <c r="O1425" s="25">
        <v>24</v>
      </c>
      <c r="P1425" s="25">
        <v>24</v>
      </c>
      <c r="Q1425" s="25">
        <v>16</v>
      </c>
      <c r="R1425" s="25"/>
      <c r="S1425" s="25">
        <v>8</v>
      </c>
      <c r="T1425" s="25">
        <v>4</v>
      </c>
      <c r="U1425" s="31">
        <f t="shared" si="23"/>
        <v>76</v>
      </c>
      <c r="V1425" s="25"/>
      <c r="W1425" s="33" t="s">
        <v>22</v>
      </c>
      <c r="X1425" s="33"/>
      <c r="Y1425" s="33"/>
      <c r="Z1425" s="33" t="s">
        <v>1627</v>
      </c>
      <c r="AA1425" s="33"/>
    </row>
    <row r="1426" spans="1:27" s="70" customFormat="1" ht="67.5" x14ac:dyDescent="0.2">
      <c r="A1426" s="24">
        <v>1422</v>
      </c>
      <c r="B1426" s="27" t="s">
        <v>1552</v>
      </c>
      <c r="C1426" s="28" t="s">
        <v>1551</v>
      </c>
      <c r="D1426" s="71" t="s">
        <v>1617</v>
      </c>
      <c r="E1426" s="28" t="s">
        <v>1616</v>
      </c>
      <c r="F1426" s="28" t="s">
        <v>1615</v>
      </c>
      <c r="G1426" s="27"/>
      <c r="H1426" s="28" t="s">
        <v>1671</v>
      </c>
      <c r="I1426" s="27"/>
      <c r="J1426" s="28" t="s">
        <v>1676</v>
      </c>
      <c r="K1426" s="27"/>
      <c r="L1426" s="25" t="s">
        <v>1677</v>
      </c>
      <c r="M1426" s="25" t="s">
        <v>190</v>
      </c>
      <c r="N1426" s="25">
        <v>50</v>
      </c>
      <c r="O1426" s="25">
        <v>2</v>
      </c>
      <c r="P1426" s="25">
        <v>4</v>
      </c>
      <c r="Q1426" s="25">
        <v>6</v>
      </c>
      <c r="R1426" s="25"/>
      <c r="S1426" s="25">
        <v>2</v>
      </c>
      <c r="T1426" s="25">
        <v>1</v>
      </c>
      <c r="U1426" s="31">
        <f t="shared" si="23"/>
        <v>15</v>
      </c>
      <c r="V1426" s="25"/>
      <c r="W1426" s="33" t="s">
        <v>1618</v>
      </c>
      <c r="X1426" s="33"/>
      <c r="Y1426" s="33"/>
      <c r="Z1426" s="33" t="s">
        <v>1618</v>
      </c>
      <c r="AA1426" s="33"/>
    </row>
    <row r="1427" spans="1:27" s="70" customFormat="1" ht="67.5" x14ac:dyDescent="0.2">
      <c r="A1427" s="24">
        <v>1423</v>
      </c>
      <c r="B1427" s="27" t="s">
        <v>1552</v>
      </c>
      <c r="C1427" s="28" t="s">
        <v>1551</v>
      </c>
      <c r="D1427" s="71" t="s">
        <v>1617</v>
      </c>
      <c r="E1427" s="28" t="s">
        <v>1616</v>
      </c>
      <c r="F1427" s="28" t="s">
        <v>1615</v>
      </c>
      <c r="G1427" s="27"/>
      <c r="H1427" s="28" t="s">
        <v>1671</v>
      </c>
      <c r="I1427" s="27"/>
      <c r="J1427" s="28" t="s">
        <v>1676</v>
      </c>
      <c r="K1427" s="27"/>
      <c r="L1427" s="25" t="s">
        <v>1675</v>
      </c>
      <c r="M1427" s="25" t="s">
        <v>190</v>
      </c>
      <c r="N1427" s="25">
        <v>37</v>
      </c>
      <c r="O1427" s="25">
        <v>22</v>
      </c>
      <c r="P1427" s="25">
        <v>28</v>
      </c>
      <c r="Q1427" s="25">
        <v>19</v>
      </c>
      <c r="R1427" s="25">
        <v>0</v>
      </c>
      <c r="S1427" s="25">
        <v>10</v>
      </c>
      <c r="T1427" s="25">
        <v>5</v>
      </c>
      <c r="U1427" s="31">
        <f t="shared" si="23"/>
        <v>84</v>
      </c>
      <c r="V1427" s="25"/>
      <c r="W1427" s="33" t="s">
        <v>22</v>
      </c>
      <c r="X1427" s="33"/>
      <c r="Y1427" s="33"/>
      <c r="Z1427" s="33"/>
      <c r="AA1427" s="33"/>
    </row>
    <row r="1428" spans="1:27" s="70" customFormat="1" ht="67.5" x14ac:dyDescent="0.2">
      <c r="A1428" s="24">
        <v>1424</v>
      </c>
      <c r="B1428" s="27" t="s">
        <v>1552</v>
      </c>
      <c r="C1428" s="28" t="s">
        <v>1551</v>
      </c>
      <c r="D1428" s="71" t="s">
        <v>1617</v>
      </c>
      <c r="E1428" s="28" t="s">
        <v>1616</v>
      </c>
      <c r="F1428" s="28" t="s">
        <v>1615</v>
      </c>
      <c r="G1428" s="27"/>
      <c r="H1428" s="28" t="s">
        <v>1671</v>
      </c>
      <c r="I1428" s="27"/>
      <c r="J1428" s="28" t="s">
        <v>1673</v>
      </c>
      <c r="K1428" s="27"/>
      <c r="L1428" s="25" t="s">
        <v>1674</v>
      </c>
      <c r="M1428" s="25" t="s">
        <v>431</v>
      </c>
      <c r="N1428" s="25">
        <v>12</v>
      </c>
      <c r="O1428" s="25"/>
      <c r="P1428" s="25">
        <v>2</v>
      </c>
      <c r="Q1428" s="25">
        <v>6</v>
      </c>
      <c r="R1428" s="25"/>
      <c r="S1428" s="25">
        <v>2</v>
      </c>
      <c r="T1428" s="25">
        <v>1</v>
      </c>
      <c r="U1428" s="31">
        <f t="shared" si="23"/>
        <v>11</v>
      </c>
      <c r="V1428" s="25"/>
      <c r="W1428" s="33" t="s">
        <v>22</v>
      </c>
      <c r="X1428" s="33"/>
      <c r="Y1428" s="33"/>
      <c r="Z1428" s="33"/>
      <c r="AA1428" s="33"/>
    </row>
    <row r="1429" spans="1:27" s="70" customFormat="1" ht="67.5" x14ac:dyDescent="0.2">
      <c r="A1429" s="24">
        <v>1425</v>
      </c>
      <c r="B1429" s="27" t="s">
        <v>1552</v>
      </c>
      <c r="C1429" s="28" t="s">
        <v>1551</v>
      </c>
      <c r="D1429" s="71" t="s">
        <v>1617</v>
      </c>
      <c r="E1429" s="28" t="s">
        <v>1616</v>
      </c>
      <c r="F1429" s="28" t="s">
        <v>1615</v>
      </c>
      <c r="G1429" s="27"/>
      <c r="H1429" s="28" t="s">
        <v>1671</v>
      </c>
      <c r="I1429" s="27"/>
      <c r="J1429" s="28" t="s">
        <v>1673</v>
      </c>
      <c r="K1429" s="27"/>
      <c r="L1429" s="25" t="s">
        <v>1672</v>
      </c>
      <c r="M1429" s="25" t="s">
        <v>1258</v>
      </c>
      <c r="N1429" s="25">
        <v>1</v>
      </c>
      <c r="O1429" s="25">
        <v>176</v>
      </c>
      <c r="P1429" s="25">
        <v>176</v>
      </c>
      <c r="Q1429" s="25">
        <v>176</v>
      </c>
      <c r="R1429" s="25"/>
      <c r="S1429" s="25">
        <v>28</v>
      </c>
      <c r="T1429" s="25">
        <v>8</v>
      </c>
      <c r="U1429" s="31">
        <f t="shared" si="23"/>
        <v>564</v>
      </c>
      <c r="V1429" s="25"/>
      <c r="W1429" s="33" t="s">
        <v>22</v>
      </c>
      <c r="X1429" s="33"/>
      <c r="Y1429" s="33"/>
      <c r="Z1429" s="33"/>
      <c r="AA1429" s="33"/>
    </row>
    <row r="1430" spans="1:27" s="70" customFormat="1" ht="67.5" x14ac:dyDescent="0.2">
      <c r="A1430" s="24">
        <v>1426</v>
      </c>
      <c r="B1430" s="27" t="s">
        <v>1552</v>
      </c>
      <c r="C1430" s="28" t="s">
        <v>1551</v>
      </c>
      <c r="D1430" s="71" t="s">
        <v>1617</v>
      </c>
      <c r="E1430" s="28" t="s">
        <v>1616</v>
      </c>
      <c r="F1430" s="28" t="s">
        <v>1615</v>
      </c>
      <c r="G1430" s="27"/>
      <c r="H1430" s="28" t="s">
        <v>1671</v>
      </c>
      <c r="I1430" s="27"/>
      <c r="J1430" s="28" t="s">
        <v>1670</v>
      </c>
      <c r="K1430" s="27"/>
      <c r="L1430" s="25"/>
      <c r="M1430" s="25"/>
      <c r="N1430" s="25"/>
      <c r="O1430" s="25"/>
      <c r="P1430" s="25"/>
      <c r="Q1430" s="25"/>
      <c r="R1430" s="25"/>
      <c r="S1430" s="25"/>
      <c r="T1430" s="25"/>
      <c r="U1430" s="31">
        <f t="shared" si="23"/>
        <v>0</v>
      </c>
      <c r="V1430" s="25"/>
      <c r="W1430" s="33"/>
      <c r="X1430" s="33"/>
      <c r="Y1430" s="33"/>
      <c r="Z1430" s="33"/>
      <c r="AA1430" s="33"/>
    </row>
    <row r="1431" spans="1:27" s="70" customFormat="1" ht="33.75" x14ac:dyDescent="0.2">
      <c r="A1431" s="24">
        <v>1427</v>
      </c>
      <c r="B1431" s="27" t="s">
        <v>1552</v>
      </c>
      <c r="C1431" s="28" t="s">
        <v>1551</v>
      </c>
      <c r="D1431" s="71" t="s">
        <v>1617</v>
      </c>
      <c r="E1431" s="28" t="s">
        <v>1616</v>
      </c>
      <c r="F1431" s="28" t="s">
        <v>1615</v>
      </c>
      <c r="G1431" s="27"/>
      <c r="H1431" s="28" t="s">
        <v>1663</v>
      </c>
      <c r="I1431" s="27"/>
      <c r="J1431" s="28" t="s">
        <v>1669</v>
      </c>
      <c r="K1431" s="27"/>
      <c r="L1431" s="25"/>
      <c r="M1431" s="25"/>
      <c r="N1431" s="25"/>
      <c r="O1431" s="25"/>
      <c r="P1431" s="25"/>
      <c r="Q1431" s="25"/>
      <c r="R1431" s="25"/>
      <c r="S1431" s="25"/>
      <c r="T1431" s="25"/>
      <c r="U1431" s="31">
        <f t="shared" si="23"/>
        <v>0</v>
      </c>
      <c r="V1431" s="25"/>
      <c r="W1431" s="33"/>
      <c r="X1431" s="33"/>
      <c r="Y1431" s="33"/>
      <c r="Z1431" s="33"/>
      <c r="AA1431" s="33"/>
    </row>
    <row r="1432" spans="1:27" s="70" customFormat="1" ht="56.25" x14ac:dyDescent="0.2">
      <c r="A1432" s="24">
        <v>1428</v>
      </c>
      <c r="B1432" s="27" t="s">
        <v>1552</v>
      </c>
      <c r="C1432" s="28" t="s">
        <v>1551</v>
      </c>
      <c r="D1432" s="71" t="s">
        <v>1617</v>
      </c>
      <c r="E1432" s="28" t="s">
        <v>1616</v>
      </c>
      <c r="F1432" s="28" t="s">
        <v>1615</v>
      </c>
      <c r="G1432" s="27"/>
      <c r="H1432" s="28" t="s">
        <v>1663</v>
      </c>
      <c r="I1432" s="27"/>
      <c r="J1432" s="28" t="s">
        <v>1668</v>
      </c>
      <c r="K1432" s="27"/>
      <c r="L1432" s="25"/>
      <c r="M1432" s="25"/>
      <c r="N1432" s="25"/>
      <c r="O1432" s="25"/>
      <c r="P1432" s="25"/>
      <c r="Q1432" s="25"/>
      <c r="R1432" s="25"/>
      <c r="S1432" s="25"/>
      <c r="T1432" s="25"/>
      <c r="U1432" s="31">
        <f t="shared" si="23"/>
        <v>0</v>
      </c>
      <c r="V1432" s="25"/>
      <c r="W1432" s="33"/>
      <c r="X1432" s="33"/>
      <c r="Y1432" s="33"/>
      <c r="Z1432" s="33"/>
      <c r="AA1432" s="33"/>
    </row>
    <row r="1433" spans="1:27" s="70" customFormat="1" ht="56.25" x14ac:dyDescent="0.2">
      <c r="A1433" s="24">
        <v>1429</v>
      </c>
      <c r="B1433" s="27" t="s">
        <v>1552</v>
      </c>
      <c r="C1433" s="28" t="s">
        <v>1551</v>
      </c>
      <c r="D1433" s="71" t="s">
        <v>1617</v>
      </c>
      <c r="E1433" s="28" t="s">
        <v>1616</v>
      </c>
      <c r="F1433" s="28" t="s">
        <v>1615</v>
      </c>
      <c r="G1433" s="27"/>
      <c r="H1433" s="28" t="s">
        <v>1663</v>
      </c>
      <c r="I1433" s="27"/>
      <c r="J1433" s="28" t="s">
        <v>1667</v>
      </c>
      <c r="K1433" s="27"/>
      <c r="L1433" s="25"/>
      <c r="M1433" s="25"/>
      <c r="N1433" s="25"/>
      <c r="O1433" s="25"/>
      <c r="P1433" s="25"/>
      <c r="Q1433" s="25"/>
      <c r="R1433" s="25"/>
      <c r="S1433" s="25"/>
      <c r="T1433" s="25"/>
      <c r="U1433" s="31">
        <f t="shared" si="23"/>
        <v>0</v>
      </c>
      <c r="V1433" s="25"/>
      <c r="W1433" s="33"/>
      <c r="X1433" s="33"/>
      <c r="Y1433" s="33"/>
      <c r="Z1433" s="33"/>
      <c r="AA1433" s="33"/>
    </row>
    <row r="1434" spans="1:27" s="70" customFormat="1" ht="56.25" x14ac:dyDescent="0.2">
      <c r="A1434" s="24">
        <v>1430</v>
      </c>
      <c r="B1434" s="27" t="s">
        <v>1552</v>
      </c>
      <c r="C1434" s="28" t="s">
        <v>1551</v>
      </c>
      <c r="D1434" s="71" t="s">
        <v>1617</v>
      </c>
      <c r="E1434" s="28" t="s">
        <v>1616</v>
      </c>
      <c r="F1434" s="28" t="s">
        <v>1615</v>
      </c>
      <c r="G1434" s="27"/>
      <c r="H1434" s="28" t="s">
        <v>1663</v>
      </c>
      <c r="I1434" s="27"/>
      <c r="J1434" s="28" t="s">
        <v>1666</v>
      </c>
      <c r="K1434" s="27"/>
      <c r="L1434" s="25"/>
      <c r="M1434" s="25"/>
      <c r="N1434" s="25"/>
      <c r="O1434" s="25"/>
      <c r="P1434" s="25"/>
      <c r="Q1434" s="25"/>
      <c r="R1434" s="25"/>
      <c r="S1434" s="25"/>
      <c r="T1434" s="25"/>
      <c r="U1434" s="31">
        <f t="shared" si="23"/>
        <v>0</v>
      </c>
      <c r="V1434" s="25"/>
      <c r="W1434" s="33"/>
      <c r="X1434" s="33"/>
      <c r="Y1434" s="33"/>
      <c r="Z1434" s="33"/>
      <c r="AA1434" s="33"/>
    </row>
    <row r="1435" spans="1:27" s="70" customFormat="1" ht="33.75" x14ac:dyDescent="0.2">
      <c r="A1435" s="24">
        <v>1431</v>
      </c>
      <c r="B1435" s="27" t="s">
        <v>1552</v>
      </c>
      <c r="C1435" s="28" t="s">
        <v>1551</v>
      </c>
      <c r="D1435" s="71" t="s">
        <v>1617</v>
      </c>
      <c r="E1435" s="28" t="s">
        <v>1616</v>
      </c>
      <c r="F1435" s="28" t="s">
        <v>1615</v>
      </c>
      <c r="G1435" s="27"/>
      <c r="H1435" s="28" t="s">
        <v>1663</v>
      </c>
      <c r="I1435" s="27"/>
      <c r="J1435" s="28" t="s">
        <v>1665</v>
      </c>
      <c r="K1435" s="27"/>
      <c r="L1435" s="25"/>
      <c r="M1435" s="25"/>
      <c r="N1435" s="25"/>
      <c r="O1435" s="25"/>
      <c r="P1435" s="25"/>
      <c r="Q1435" s="25"/>
      <c r="R1435" s="25"/>
      <c r="S1435" s="25"/>
      <c r="T1435" s="25"/>
      <c r="U1435" s="31">
        <f t="shared" si="23"/>
        <v>0</v>
      </c>
      <c r="V1435" s="25"/>
      <c r="W1435" s="33"/>
      <c r="X1435" s="33"/>
      <c r="Y1435" s="33"/>
      <c r="Z1435" s="33"/>
      <c r="AA1435" s="33"/>
    </row>
    <row r="1436" spans="1:27" s="70" customFormat="1" ht="33.75" x14ac:dyDescent="0.2">
      <c r="A1436" s="24">
        <v>1432</v>
      </c>
      <c r="B1436" s="27" t="s">
        <v>1552</v>
      </c>
      <c r="C1436" s="28" t="s">
        <v>1551</v>
      </c>
      <c r="D1436" s="71" t="s">
        <v>1617</v>
      </c>
      <c r="E1436" s="28" t="s">
        <v>1616</v>
      </c>
      <c r="F1436" s="28" t="s">
        <v>1615</v>
      </c>
      <c r="G1436" s="27"/>
      <c r="H1436" s="28" t="s">
        <v>1663</v>
      </c>
      <c r="I1436" s="27"/>
      <c r="J1436" s="28" t="s">
        <v>1664</v>
      </c>
      <c r="K1436" s="27"/>
      <c r="L1436" s="25"/>
      <c r="M1436" s="25"/>
      <c r="N1436" s="25"/>
      <c r="O1436" s="25"/>
      <c r="P1436" s="25"/>
      <c r="Q1436" s="25"/>
      <c r="R1436" s="25"/>
      <c r="S1436" s="25"/>
      <c r="T1436" s="25"/>
      <c r="U1436" s="31">
        <f t="shared" si="23"/>
        <v>0</v>
      </c>
      <c r="V1436" s="25"/>
      <c r="W1436" s="33"/>
      <c r="X1436" s="33"/>
      <c r="Y1436" s="33"/>
      <c r="Z1436" s="33"/>
      <c r="AA1436" s="33"/>
    </row>
    <row r="1437" spans="1:27" s="70" customFormat="1" ht="67.5" x14ac:dyDescent="0.2">
      <c r="A1437" s="24">
        <v>1433</v>
      </c>
      <c r="B1437" s="27" t="s">
        <v>1552</v>
      </c>
      <c r="C1437" s="28" t="s">
        <v>1551</v>
      </c>
      <c r="D1437" s="71" t="s">
        <v>1617</v>
      </c>
      <c r="E1437" s="28" t="s">
        <v>1616</v>
      </c>
      <c r="F1437" s="28" t="s">
        <v>1615</v>
      </c>
      <c r="G1437" s="27"/>
      <c r="H1437" s="28" t="s">
        <v>1663</v>
      </c>
      <c r="I1437" s="27"/>
      <c r="J1437" s="28" t="s">
        <v>1662</v>
      </c>
      <c r="K1437" s="27"/>
      <c r="L1437" s="25"/>
      <c r="M1437" s="25"/>
      <c r="N1437" s="25"/>
      <c r="O1437" s="25"/>
      <c r="P1437" s="25"/>
      <c r="Q1437" s="25"/>
      <c r="R1437" s="25"/>
      <c r="S1437" s="25"/>
      <c r="T1437" s="25"/>
      <c r="U1437" s="31">
        <f t="shared" si="23"/>
        <v>0</v>
      </c>
      <c r="V1437" s="25"/>
      <c r="W1437" s="33"/>
      <c r="X1437" s="33"/>
      <c r="Y1437" s="33"/>
      <c r="Z1437" s="33"/>
      <c r="AA1437" s="33"/>
    </row>
    <row r="1438" spans="1:27" s="70" customFormat="1" ht="56.25" x14ac:dyDescent="0.2">
      <c r="A1438" s="24">
        <v>1434</v>
      </c>
      <c r="B1438" s="27" t="s">
        <v>1552</v>
      </c>
      <c r="C1438" s="28" t="s">
        <v>1551</v>
      </c>
      <c r="D1438" s="71" t="s">
        <v>1617</v>
      </c>
      <c r="E1438" s="28" t="s">
        <v>1616</v>
      </c>
      <c r="F1438" s="28" t="s">
        <v>1615</v>
      </c>
      <c r="G1438" s="27"/>
      <c r="H1438" s="28" t="s">
        <v>1641</v>
      </c>
      <c r="I1438" s="27"/>
      <c r="J1438" s="28" t="s">
        <v>1659</v>
      </c>
      <c r="K1438" s="27"/>
      <c r="L1438" s="25" t="s">
        <v>1661</v>
      </c>
      <c r="M1438" s="25" t="s">
        <v>802</v>
      </c>
      <c r="N1438" s="25">
        <v>5</v>
      </c>
      <c r="O1438" s="25">
        <v>40</v>
      </c>
      <c r="P1438" s="25">
        <v>30</v>
      </c>
      <c r="Q1438" s="25">
        <v>20</v>
      </c>
      <c r="R1438" s="25">
        <v>10</v>
      </c>
      <c r="S1438" s="25">
        <v>5</v>
      </c>
      <c r="T1438" s="25">
        <v>5</v>
      </c>
      <c r="U1438" s="31">
        <f t="shared" si="23"/>
        <v>110</v>
      </c>
      <c r="V1438" s="25"/>
      <c r="W1438" s="33" t="s">
        <v>22</v>
      </c>
      <c r="X1438" s="33"/>
      <c r="Y1438" s="33"/>
      <c r="Z1438" s="33"/>
      <c r="AA1438" s="33"/>
    </row>
    <row r="1439" spans="1:27" s="70" customFormat="1" ht="56.25" x14ac:dyDescent="0.2">
      <c r="A1439" s="24">
        <v>1435</v>
      </c>
      <c r="B1439" s="27"/>
      <c r="C1439" s="28" t="s">
        <v>1551</v>
      </c>
      <c r="D1439" s="71" t="s">
        <v>1617</v>
      </c>
      <c r="E1439" s="28" t="s">
        <v>1616</v>
      </c>
      <c r="F1439" s="28" t="s">
        <v>1615</v>
      </c>
      <c r="G1439" s="27"/>
      <c r="H1439" s="28" t="s">
        <v>1641</v>
      </c>
      <c r="I1439" s="27"/>
      <c r="J1439" s="28" t="s">
        <v>1659</v>
      </c>
      <c r="K1439" s="27"/>
      <c r="L1439" s="25" t="s">
        <v>1660</v>
      </c>
      <c r="M1439" s="25" t="s">
        <v>802</v>
      </c>
      <c r="N1439" s="25">
        <v>300</v>
      </c>
      <c r="O1439" s="25">
        <v>30</v>
      </c>
      <c r="P1439" s="25">
        <v>30</v>
      </c>
      <c r="Q1439" s="25">
        <v>30</v>
      </c>
      <c r="R1439" s="25">
        <v>30</v>
      </c>
      <c r="S1439" s="25">
        <v>15</v>
      </c>
      <c r="T1439" s="25">
        <v>10</v>
      </c>
      <c r="U1439" s="31">
        <f t="shared" si="23"/>
        <v>145</v>
      </c>
      <c r="V1439" s="25"/>
      <c r="W1439" s="33" t="s">
        <v>22</v>
      </c>
      <c r="X1439" s="33"/>
      <c r="Y1439" s="33"/>
      <c r="Z1439" s="33"/>
      <c r="AA1439" s="33"/>
    </row>
    <row r="1440" spans="1:27" s="70" customFormat="1" ht="56.25" x14ac:dyDescent="0.2">
      <c r="A1440" s="24">
        <v>1436</v>
      </c>
      <c r="B1440" s="27"/>
      <c r="C1440" s="28" t="s">
        <v>1551</v>
      </c>
      <c r="D1440" s="71" t="s">
        <v>1617</v>
      </c>
      <c r="E1440" s="28" t="s">
        <v>1616</v>
      </c>
      <c r="F1440" s="28" t="s">
        <v>1615</v>
      </c>
      <c r="G1440" s="27"/>
      <c r="H1440" s="28" t="s">
        <v>1641</v>
      </c>
      <c r="I1440" s="27"/>
      <c r="J1440" s="28" t="s">
        <v>1659</v>
      </c>
      <c r="K1440" s="27"/>
      <c r="L1440" s="25" t="s">
        <v>1658</v>
      </c>
      <c r="M1440" s="25" t="s">
        <v>802</v>
      </c>
      <c r="N1440" s="25">
        <v>5</v>
      </c>
      <c r="O1440" s="25">
        <v>40</v>
      </c>
      <c r="P1440" s="25">
        <v>30</v>
      </c>
      <c r="Q1440" s="25">
        <v>20</v>
      </c>
      <c r="R1440" s="25">
        <v>10</v>
      </c>
      <c r="S1440" s="25">
        <v>10</v>
      </c>
      <c r="T1440" s="25">
        <v>10</v>
      </c>
      <c r="U1440" s="31">
        <f t="shared" si="23"/>
        <v>120</v>
      </c>
      <c r="V1440" s="25"/>
      <c r="W1440" s="33" t="s">
        <v>22</v>
      </c>
      <c r="X1440" s="33"/>
      <c r="Y1440" s="33"/>
      <c r="Z1440" s="33"/>
      <c r="AA1440" s="33"/>
    </row>
    <row r="1441" spans="1:27" s="70" customFormat="1" ht="56.25" x14ac:dyDescent="0.2">
      <c r="A1441" s="24">
        <v>1437</v>
      </c>
      <c r="B1441" s="27" t="s">
        <v>1552</v>
      </c>
      <c r="C1441" s="28" t="s">
        <v>1551</v>
      </c>
      <c r="D1441" s="71" t="s">
        <v>1617</v>
      </c>
      <c r="E1441" s="28" t="s">
        <v>1616</v>
      </c>
      <c r="F1441" s="28" t="s">
        <v>1615</v>
      </c>
      <c r="G1441" s="27"/>
      <c r="H1441" s="28" t="s">
        <v>1641</v>
      </c>
      <c r="I1441" s="27"/>
      <c r="J1441" s="28" t="s">
        <v>1657</v>
      </c>
      <c r="K1441" s="27"/>
      <c r="L1441" s="25"/>
      <c r="M1441" s="25"/>
      <c r="N1441" s="25"/>
      <c r="O1441" s="25"/>
      <c r="P1441" s="25"/>
      <c r="Q1441" s="25"/>
      <c r="R1441" s="25"/>
      <c r="S1441" s="25"/>
      <c r="T1441" s="25"/>
      <c r="U1441" s="31">
        <f t="shared" si="23"/>
        <v>0</v>
      </c>
      <c r="V1441" s="25"/>
      <c r="W1441" s="33"/>
      <c r="X1441" s="33"/>
      <c r="Y1441" s="33"/>
      <c r="Z1441" s="33"/>
      <c r="AA1441" s="33"/>
    </row>
    <row r="1442" spans="1:27" s="70" customFormat="1" ht="90" x14ac:dyDescent="0.2">
      <c r="A1442" s="24">
        <v>1438</v>
      </c>
      <c r="B1442" s="27" t="s">
        <v>1552</v>
      </c>
      <c r="C1442" s="28" t="s">
        <v>1551</v>
      </c>
      <c r="D1442" s="71" t="s">
        <v>1617</v>
      </c>
      <c r="E1442" s="28" t="s">
        <v>1616</v>
      </c>
      <c r="F1442" s="28" t="s">
        <v>1615</v>
      </c>
      <c r="G1442" s="27"/>
      <c r="H1442" s="28" t="s">
        <v>1641</v>
      </c>
      <c r="I1442" s="27"/>
      <c r="J1442" s="28" t="s">
        <v>1656</v>
      </c>
      <c r="K1442" s="27"/>
      <c r="L1442" s="25" t="s">
        <v>1655</v>
      </c>
      <c r="M1442" s="25" t="s">
        <v>402</v>
      </c>
      <c r="N1442" s="25">
        <v>8</v>
      </c>
      <c r="O1442" s="25"/>
      <c r="P1442" s="25">
        <v>418</v>
      </c>
      <c r="Q1442" s="25">
        <v>209</v>
      </c>
      <c r="R1442" s="25"/>
      <c r="S1442" s="25">
        <v>104.5</v>
      </c>
      <c r="T1442" s="25"/>
      <c r="U1442" s="31">
        <f t="shared" si="23"/>
        <v>731.5</v>
      </c>
      <c r="V1442" s="25"/>
      <c r="W1442" s="33" t="s">
        <v>1565</v>
      </c>
      <c r="X1442" s="33"/>
      <c r="Y1442" s="33"/>
      <c r="Z1442" s="33" t="s">
        <v>1654</v>
      </c>
      <c r="AA1442" s="33"/>
    </row>
    <row r="1443" spans="1:27" s="70" customFormat="1" ht="56.25" x14ac:dyDescent="0.2">
      <c r="A1443" s="24">
        <v>1439</v>
      </c>
      <c r="B1443" s="27" t="s">
        <v>1552</v>
      </c>
      <c r="C1443" s="28" t="s">
        <v>1551</v>
      </c>
      <c r="D1443" s="71" t="s">
        <v>1617</v>
      </c>
      <c r="E1443" s="28" t="s">
        <v>1616</v>
      </c>
      <c r="F1443" s="28" t="s">
        <v>1615</v>
      </c>
      <c r="G1443" s="27"/>
      <c r="H1443" s="28" t="s">
        <v>1641</v>
      </c>
      <c r="I1443" s="27"/>
      <c r="J1443" s="28" t="s">
        <v>1647</v>
      </c>
      <c r="K1443" s="27"/>
      <c r="L1443" s="25" t="s">
        <v>1653</v>
      </c>
      <c r="M1443" s="25" t="s">
        <v>1652</v>
      </c>
      <c r="N1443" s="25">
        <v>168</v>
      </c>
      <c r="O1443" s="25"/>
      <c r="P1443" s="25">
        <v>1.7142857142857142</v>
      </c>
      <c r="Q1443" s="25">
        <v>0.8571428571428571</v>
      </c>
      <c r="R1443" s="25"/>
      <c r="S1443" s="25">
        <v>0.14285714285714285</v>
      </c>
      <c r="T1443" s="25"/>
      <c r="U1443" s="31">
        <f t="shared" si="23"/>
        <v>2.714285714285714</v>
      </c>
      <c r="V1443" s="25"/>
      <c r="W1443" s="33" t="s">
        <v>1565</v>
      </c>
      <c r="X1443" s="33"/>
      <c r="Y1443" s="33"/>
      <c r="Z1443" s="33" t="s">
        <v>1008</v>
      </c>
      <c r="AA1443" s="33"/>
    </row>
    <row r="1444" spans="1:27" s="70" customFormat="1" ht="56.25" x14ac:dyDescent="0.2">
      <c r="A1444" s="24">
        <v>1440</v>
      </c>
      <c r="B1444" s="27"/>
      <c r="C1444" s="28" t="s">
        <v>1551</v>
      </c>
      <c r="D1444" s="71" t="s">
        <v>1617</v>
      </c>
      <c r="E1444" s="28" t="s">
        <v>1616</v>
      </c>
      <c r="F1444" s="28" t="s">
        <v>1615</v>
      </c>
      <c r="G1444" s="27"/>
      <c r="H1444" s="28" t="s">
        <v>1641</v>
      </c>
      <c r="I1444" s="27"/>
      <c r="J1444" s="28" t="s">
        <v>1647</v>
      </c>
      <c r="K1444" s="27"/>
      <c r="L1444" s="25" t="s">
        <v>1651</v>
      </c>
      <c r="M1444" s="25" t="s">
        <v>402</v>
      </c>
      <c r="N1444" s="25">
        <v>24</v>
      </c>
      <c r="O1444" s="25"/>
      <c r="P1444" s="25">
        <v>4</v>
      </c>
      <c r="Q1444" s="25">
        <v>2</v>
      </c>
      <c r="R1444" s="25"/>
      <c r="S1444" s="25">
        <v>0.5</v>
      </c>
      <c r="T1444" s="25"/>
      <c r="U1444" s="31">
        <f t="shared" si="23"/>
        <v>6.5</v>
      </c>
      <c r="V1444" s="25"/>
      <c r="W1444" s="33" t="s">
        <v>1565</v>
      </c>
      <c r="X1444" s="33"/>
      <c r="Y1444" s="33"/>
      <c r="Z1444" s="33" t="s">
        <v>1008</v>
      </c>
      <c r="AA1444" s="33"/>
    </row>
    <row r="1445" spans="1:27" s="70" customFormat="1" ht="56.25" x14ac:dyDescent="0.2">
      <c r="A1445" s="24">
        <v>1441</v>
      </c>
      <c r="B1445" s="27"/>
      <c r="C1445" s="28" t="s">
        <v>1551</v>
      </c>
      <c r="D1445" s="71" t="s">
        <v>1617</v>
      </c>
      <c r="E1445" s="28" t="s">
        <v>1616</v>
      </c>
      <c r="F1445" s="28" t="s">
        <v>1615</v>
      </c>
      <c r="G1445" s="27"/>
      <c r="H1445" s="28" t="s">
        <v>1641</v>
      </c>
      <c r="I1445" s="27"/>
      <c r="J1445" s="28" t="s">
        <v>1647</v>
      </c>
      <c r="K1445" s="27"/>
      <c r="L1445" s="25" t="s">
        <v>1650</v>
      </c>
      <c r="M1445" s="25" t="s">
        <v>402</v>
      </c>
      <c r="N1445" s="25">
        <v>24</v>
      </c>
      <c r="O1445" s="25"/>
      <c r="P1445" s="25">
        <v>2</v>
      </c>
      <c r="Q1445" s="25">
        <v>1</v>
      </c>
      <c r="R1445" s="25"/>
      <c r="S1445" s="25"/>
      <c r="T1445" s="25"/>
      <c r="U1445" s="31">
        <f t="shared" si="23"/>
        <v>3</v>
      </c>
      <c r="V1445" s="25"/>
      <c r="W1445" s="33" t="s">
        <v>1565</v>
      </c>
      <c r="X1445" s="33"/>
      <c r="Y1445" s="33"/>
      <c r="Z1445" s="33" t="s">
        <v>1008</v>
      </c>
      <c r="AA1445" s="33"/>
    </row>
    <row r="1446" spans="1:27" s="70" customFormat="1" ht="56.25" x14ac:dyDescent="0.2">
      <c r="A1446" s="24">
        <v>1442</v>
      </c>
      <c r="B1446" s="27"/>
      <c r="C1446" s="28" t="s">
        <v>1551</v>
      </c>
      <c r="D1446" s="71" t="s">
        <v>1617</v>
      </c>
      <c r="E1446" s="28" t="s">
        <v>1616</v>
      </c>
      <c r="F1446" s="28" t="s">
        <v>1615</v>
      </c>
      <c r="G1446" s="27"/>
      <c r="H1446" s="28" t="s">
        <v>1641</v>
      </c>
      <c r="I1446" s="27"/>
      <c r="J1446" s="28" t="s">
        <v>1647</v>
      </c>
      <c r="K1446" s="27"/>
      <c r="L1446" s="25" t="s">
        <v>1649</v>
      </c>
      <c r="M1446" s="25" t="s">
        <v>402</v>
      </c>
      <c r="N1446" s="25">
        <v>2</v>
      </c>
      <c r="O1446" s="25"/>
      <c r="P1446" s="25">
        <v>48</v>
      </c>
      <c r="Q1446" s="25">
        <v>24</v>
      </c>
      <c r="R1446" s="25"/>
      <c r="S1446" s="25"/>
      <c r="T1446" s="25"/>
      <c r="U1446" s="31">
        <f t="shared" si="23"/>
        <v>72</v>
      </c>
      <c r="V1446" s="25"/>
      <c r="W1446" s="33" t="s">
        <v>1565</v>
      </c>
      <c r="X1446" s="33"/>
      <c r="Y1446" s="33"/>
      <c r="Z1446" s="33" t="s">
        <v>1008</v>
      </c>
      <c r="AA1446" s="33"/>
    </row>
    <row r="1447" spans="1:27" s="70" customFormat="1" ht="56.25" x14ac:dyDescent="0.2">
      <c r="A1447" s="24">
        <v>1443</v>
      </c>
      <c r="B1447" s="27"/>
      <c r="C1447" s="28" t="s">
        <v>1551</v>
      </c>
      <c r="D1447" s="71" t="s">
        <v>1617</v>
      </c>
      <c r="E1447" s="28" t="s">
        <v>1616</v>
      </c>
      <c r="F1447" s="28" t="s">
        <v>1615</v>
      </c>
      <c r="G1447" s="27"/>
      <c r="H1447" s="28" t="s">
        <v>1641</v>
      </c>
      <c r="I1447" s="27"/>
      <c r="J1447" s="28" t="s">
        <v>1647</v>
      </c>
      <c r="K1447" s="27"/>
      <c r="L1447" s="25" t="s">
        <v>1648</v>
      </c>
      <c r="M1447" s="25" t="s">
        <v>402</v>
      </c>
      <c r="N1447" s="25">
        <v>2</v>
      </c>
      <c r="O1447" s="25"/>
      <c r="P1447" s="25">
        <v>16</v>
      </c>
      <c r="Q1447" s="25">
        <v>6</v>
      </c>
      <c r="R1447" s="25"/>
      <c r="S1447" s="25"/>
      <c r="T1447" s="25"/>
      <c r="U1447" s="31">
        <f t="shared" si="23"/>
        <v>22</v>
      </c>
      <c r="V1447" s="25"/>
      <c r="W1447" s="33" t="s">
        <v>1565</v>
      </c>
      <c r="X1447" s="33"/>
      <c r="Y1447" s="33"/>
      <c r="Z1447" s="33" t="s">
        <v>1008</v>
      </c>
      <c r="AA1447" s="33"/>
    </row>
    <row r="1448" spans="1:27" s="70" customFormat="1" ht="56.25" x14ac:dyDescent="0.2">
      <c r="A1448" s="24">
        <v>1444</v>
      </c>
      <c r="B1448" s="27"/>
      <c r="C1448" s="28" t="s">
        <v>1551</v>
      </c>
      <c r="D1448" s="71" t="s">
        <v>1617</v>
      </c>
      <c r="E1448" s="28" t="s">
        <v>1616</v>
      </c>
      <c r="F1448" s="28" t="s">
        <v>1615</v>
      </c>
      <c r="G1448" s="27"/>
      <c r="H1448" s="28" t="s">
        <v>1641</v>
      </c>
      <c r="I1448" s="27"/>
      <c r="J1448" s="28" t="s">
        <v>1647</v>
      </c>
      <c r="K1448" s="27"/>
      <c r="L1448" s="25" t="s">
        <v>1646</v>
      </c>
      <c r="M1448" s="25" t="s">
        <v>402</v>
      </c>
      <c r="N1448" s="25">
        <v>2</v>
      </c>
      <c r="O1448" s="25"/>
      <c r="P1448" s="25"/>
      <c r="Q1448" s="25">
        <v>8</v>
      </c>
      <c r="R1448" s="25"/>
      <c r="S1448" s="25"/>
      <c r="T1448" s="25"/>
      <c r="U1448" s="31">
        <f t="shared" si="23"/>
        <v>8</v>
      </c>
      <c r="V1448" s="25"/>
      <c r="W1448" s="33" t="s">
        <v>1565</v>
      </c>
      <c r="X1448" s="33"/>
      <c r="Y1448" s="33"/>
      <c r="Z1448" s="33" t="s">
        <v>1008</v>
      </c>
      <c r="AA1448" s="33"/>
    </row>
    <row r="1449" spans="1:27" s="70" customFormat="1" ht="101.25" x14ac:dyDescent="0.2">
      <c r="A1449" s="24">
        <v>1445</v>
      </c>
      <c r="B1449" s="27" t="s">
        <v>1552</v>
      </c>
      <c r="C1449" s="28" t="s">
        <v>1551</v>
      </c>
      <c r="D1449" s="71" t="s">
        <v>1617</v>
      </c>
      <c r="E1449" s="28" t="s">
        <v>1616</v>
      </c>
      <c r="F1449" s="28" t="s">
        <v>1615</v>
      </c>
      <c r="G1449" s="27"/>
      <c r="H1449" s="28" t="s">
        <v>1641</v>
      </c>
      <c r="I1449" s="27"/>
      <c r="J1449" s="28" t="s">
        <v>1645</v>
      </c>
      <c r="K1449" s="27"/>
      <c r="L1449" s="25" t="s">
        <v>1644</v>
      </c>
      <c r="M1449" s="25" t="s">
        <v>1643</v>
      </c>
      <c r="N1449" s="25">
        <v>12</v>
      </c>
      <c r="O1449" s="25"/>
      <c r="P1449" s="25">
        <v>8</v>
      </c>
      <c r="Q1449" s="25"/>
      <c r="R1449" s="25"/>
      <c r="S1449" s="25">
        <v>1</v>
      </c>
      <c r="T1449" s="25"/>
      <c r="U1449" s="31">
        <f t="shared" si="23"/>
        <v>9</v>
      </c>
      <c r="V1449" s="25"/>
      <c r="W1449" s="33" t="s">
        <v>1565</v>
      </c>
      <c r="X1449" s="33"/>
      <c r="Y1449" s="33"/>
      <c r="Z1449" s="33" t="s">
        <v>1008</v>
      </c>
      <c r="AA1449" s="33"/>
    </row>
    <row r="1450" spans="1:27" s="70" customFormat="1" ht="56.25" x14ac:dyDescent="0.2">
      <c r="A1450" s="24">
        <v>1446</v>
      </c>
      <c r="B1450" s="27" t="s">
        <v>1552</v>
      </c>
      <c r="C1450" s="28" t="s">
        <v>1551</v>
      </c>
      <c r="D1450" s="71" t="s">
        <v>1617</v>
      </c>
      <c r="E1450" s="28" t="s">
        <v>1616</v>
      </c>
      <c r="F1450" s="28" t="s">
        <v>1615</v>
      </c>
      <c r="G1450" s="27"/>
      <c r="H1450" s="28" t="s">
        <v>1641</v>
      </c>
      <c r="I1450" s="27"/>
      <c r="J1450" s="28" t="s">
        <v>1642</v>
      </c>
      <c r="K1450" s="27"/>
      <c r="L1450" s="25"/>
      <c r="M1450" s="25"/>
      <c r="N1450" s="25"/>
      <c r="O1450" s="25"/>
      <c r="P1450" s="25"/>
      <c r="Q1450" s="25"/>
      <c r="R1450" s="25"/>
      <c r="S1450" s="25"/>
      <c r="T1450" s="25"/>
      <c r="U1450" s="31">
        <f t="shared" si="23"/>
        <v>0</v>
      </c>
      <c r="V1450" s="25"/>
      <c r="W1450" s="33"/>
      <c r="X1450" s="33"/>
      <c r="Y1450" s="33"/>
      <c r="Z1450" s="33"/>
      <c r="AA1450" s="33"/>
    </row>
    <row r="1451" spans="1:27" s="70" customFormat="1" ht="56.25" x14ac:dyDescent="0.2">
      <c r="A1451" s="24">
        <v>1447</v>
      </c>
      <c r="B1451" s="27" t="s">
        <v>1552</v>
      </c>
      <c r="C1451" s="28" t="s">
        <v>1551</v>
      </c>
      <c r="D1451" s="71" t="s">
        <v>1617</v>
      </c>
      <c r="E1451" s="28" t="s">
        <v>1616</v>
      </c>
      <c r="F1451" s="28" t="s">
        <v>1615</v>
      </c>
      <c r="G1451" s="27"/>
      <c r="H1451" s="28" t="s">
        <v>1641</v>
      </c>
      <c r="I1451" s="27"/>
      <c r="J1451" s="28" t="s">
        <v>1640</v>
      </c>
      <c r="K1451" s="27"/>
      <c r="L1451" s="25"/>
      <c r="M1451" s="25"/>
      <c r="N1451" s="25"/>
      <c r="O1451" s="25"/>
      <c r="P1451" s="25"/>
      <c r="Q1451" s="25"/>
      <c r="R1451" s="25"/>
      <c r="S1451" s="25"/>
      <c r="T1451" s="25"/>
      <c r="U1451" s="31">
        <f t="shared" si="23"/>
        <v>0</v>
      </c>
      <c r="V1451" s="25"/>
      <c r="W1451" s="33"/>
      <c r="X1451" s="33"/>
      <c r="Y1451" s="33"/>
      <c r="Z1451" s="33"/>
      <c r="AA1451" s="33"/>
    </row>
    <row r="1452" spans="1:27" s="70" customFormat="1" ht="33.75" x14ac:dyDescent="0.2">
      <c r="A1452" s="24">
        <v>1448</v>
      </c>
      <c r="B1452" s="27" t="s">
        <v>1552</v>
      </c>
      <c r="C1452" s="28" t="s">
        <v>1551</v>
      </c>
      <c r="D1452" s="71" t="s">
        <v>1617</v>
      </c>
      <c r="E1452" s="28" t="s">
        <v>1616</v>
      </c>
      <c r="F1452" s="28" t="s">
        <v>1615</v>
      </c>
      <c r="G1452" s="27"/>
      <c r="H1452" s="28" t="s">
        <v>1614</v>
      </c>
      <c r="I1452" s="27"/>
      <c r="J1452" s="28" t="s">
        <v>1614</v>
      </c>
      <c r="K1452" s="27"/>
      <c r="L1452" s="25" t="s">
        <v>1639</v>
      </c>
      <c r="M1452" s="25" t="s">
        <v>355</v>
      </c>
      <c r="N1452" s="25"/>
      <c r="O1452" s="25"/>
      <c r="P1452" s="25"/>
      <c r="Q1452" s="25"/>
      <c r="R1452" s="25"/>
      <c r="S1452" s="25"/>
      <c r="T1452" s="25"/>
      <c r="U1452" s="31">
        <f t="shared" si="23"/>
        <v>0</v>
      </c>
      <c r="V1452" s="25"/>
      <c r="W1452" s="33" t="s">
        <v>1638</v>
      </c>
      <c r="X1452" s="33"/>
      <c r="Y1452" s="33"/>
      <c r="Z1452" s="33"/>
      <c r="AA1452" s="33" t="s">
        <v>1637</v>
      </c>
    </row>
    <row r="1453" spans="1:27" s="70" customFormat="1" ht="33.75" x14ac:dyDescent="0.2">
      <c r="A1453" s="24">
        <v>1449</v>
      </c>
      <c r="B1453" s="27" t="s">
        <v>1552</v>
      </c>
      <c r="C1453" s="28" t="s">
        <v>1551</v>
      </c>
      <c r="D1453" s="71" t="s">
        <v>1617</v>
      </c>
      <c r="E1453" s="28" t="s">
        <v>1616</v>
      </c>
      <c r="F1453" s="28" t="s">
        <v>1615</v>
      </c>
      <c r="G1453" s="27"/>
      <c r="H1453" s="28" t="s">
        <v>1614</v>
      </c>
      <c r="I1453" s="27"/>
      <c r="J1453" s="28" t="s">
        <v>1614</v>
      </c>
      <c r="K1453" s="27"/>
      <c r="L1453" s="25" t="s">
        <v>1636</v>
      </c>
      <c r="M1453" s="25" t="s">
        <v>1635</v>
      </c>
      <c r="N1453" s="25">
        <v>1</v>
      </c>
      <c r="O1453" s="25">
        <v>80</v>
      </c>
      <c r="P1453" s="25">
        <v>80</v>
      </c>
      <c r="Q1453" s="25">
        <v>80</v>
      </c>
      <c r="R1453" s="25">
        <v>0</v>
      </c>
      <c r="S1453" s="25">
        <v>17</v>
      </c>
      <c r="T1453" s="25">
        <v>9</v>
      </c>
      <c r="U1453" s="31">
        <f t="shared" si="23"/>
        <v>266</v>
      </c>
      <c r="V1453" s="25"/>
      <c r="W1453" s="33" t="s">
        <v>1438</v>
      </c>
      <c r="X1453" s="33"/>
      <c r="Y1453" s="33"/>
      <c r="Z1453" s="33"/>
      <c r="AA1453" s="33"/>
    </row>
    <row r="1454" spans="1:27" s="70" customFormat="1" ht="33.75" x14ac:dyDescent="0.2">
      <c r="A1454" s="24">
        <v>1450</v>
      </c>
      <c r="B1454" s="27" t="s">
        <v>1552</v>
      </c>
      <c r="C1454" s="28" t="s">
        <v>1551</v>
      </c>
      <c r="D1454" s="71" t="s">
        <v>1617</v>
      </c>
      <c r="E1454" s="28" t="s">
        <v>1616</v>
      </c>
      <c r="F1454" s="28" t="s">
        <v>1615</v>
      </c>
      <c r="G1454" s="27"/>
      <c r="H1454" s="28" t="s">
        <v>1614</v>
      </c>
      <c r="I1454" s="27"/>
      <c r="J1454" s="28" t="s">
        <v>1614</v>
      </c>
      <c r="K1454" s="27"/>
      <c r="L1454" s="25" t="s">
        <v>1634</v>
      </c>
      <c r="M1454" s="25" t="s">
        <v>190</v>
      </c>
      <c r="N1454" s="25">
        <v>12</v>
      </c>
      <c r="O1454" s="25"/>
      <c r="P1454" s="25">
        <v>4</v>
      </c>
      <c r="Q1454" s="25">
        <v>4</v>
      </c>
      <c r="R1454" s="25"/>
      <c r="S1454" s="25">
        <v>1</v>
      </c>
      <c r="T1454" s="25"/>
      <c r="U1454" s="31">
        <f t="shared" si="23"/>
        <v>9</v>
      </c>
      <c r="V1454" s="25"/>
      <c r="W1454" s="33" t="s">
        <v>22</v>
      </c>
      <c r="X1454" s="33"/>
      <c r="Y1454" s="33"/>
      <c r="Z1454" s="33" t="s">
        <v>1627</v>
      </c>
      <c r="AA1454" s="33"/>
    </row>
    <row r="1455" spans="1:27" s="70" customFormat="1" ht="33.75" x14ac:dyDescent="0.2">
      <c r="A1455" s="24">
        <v>1451</v>
      </c>
      <c r="B1455" s="27" t="s">
        <v>1552</v>
      </c>
      <c r="C1455" s="28" t="s">
        <v>1551</v>
      </c>
      <c r="D1455" s="71" t="s">
        <v>1617</v>
      </c>
      <c r="E1455" s="28" t="s">
        <v>1616</v>
      </c>
      <c r="F1455" s="28" t="s">
        <v>1615</v>
      </c>
      <c r="G1455" s="27"/>
      <c r="H1455" s="28" t="s">
        <v>1614</v>
      </c>
      <c r="I1455" s="27"/>
      <c r="J1455" s="28" t="s">
        <v>1614</v>
      </c>
      <c r="K1455" s="27"/>
      <c r="L1455" s="25" t="s">
        <v>1633</v>
      </c>
      <c r="M1455" s="25" t="s">
        <v>190</v>
      </c>
      <c r="N1455" s="25">
        <v>2</v>
      </c>
      <c r="O1455" s="25">
        <v>4</v>
      </c>
      <c r="P1455" s="25">
        <v>4</v>
      </c>
      <c r="Q1455" s="25">
        <v>2</v>
      </c>
      <c r="R1455" s="25"/>
      <c r="S1455" s="25">
        <v>1</v>
      </c>
      <c r="T1455" s="25">
        <v>0.5</v>
      </c>
      <c r="U1455" s="31">
        <f t="shared" si="23"/>
        <v>11.5</v>
      </c>
      <c r="V1455" s="25"/>
      <c r="W1455" s="33" t="s">
        <v>22</v>
      </c>
      <c r="X1455" s="33"/>
      <c r="Y1455" s="33"/>
      <c r="Z1455" s="33" t="s">
        <v>1627</v>
      </c>
      <c r="AA1455" s="33"/>
    </row>
    <row r="1456" spans="1:27" s="70" customFormat="1" ht="33.75" x14ac:dyDescent="0.2">
      <c r="A1456" s="24">
        <v>1452</v>
      </c>
      <c r="B1456" s="27" t="s">
        <v>1552</v>
      </c>
      <c r="C1456" s="28" t="s">
        <v>1551</v>
      </c>
      <c r="D1456" s="71" t="s">
        <v>1617</v>
      </c>
      <c r="E1456" s="28" t="s">
        <v>1616</v>
      </c>
      <c r="F1456" s="28" t="s">
        <v>1615</v>
      </c>
      <c r="G1456" s="27"/>
      <c r="H1456" s="28" t="s">
        <v>1614</v>
      </c>
      <c r="I1456" s="27"/>
      <c r="J1456" s="28" t="s">
        <v>1614</v>
      </c>
      <c r="K1456" s="27"/>
      <c r="L1456" s="25" t="s">
        <v>1632</v>
      </c>
      <c r="M1456" s="25" t="s">
        <v>1631</v>
      </c>
      <c r="N1456" s="25">
        <v>50</v>
      </c>
      <c r="O1456" s="25">
        <v>16</v>
      </c>
      <c r="P1456" s="25">
        <v>32</v>
      </c>
      <c r="Q1456" s="25">
        <v>24</v>
      </c>
      <c r="R1456" s="25"/>
      <c r="S1456" s="25">
        <v>12</v>
      </c>
      <c r="T1456" s="25">
        <v>4</v>
      </c>
      <c r="U1456" s="31">
        <f t="shared" si="23"/>
        <v>88</v>
      </c>
      <c r="V1456" s="25"/>
      <c r="W1456" s="33" t="s">
        <v>1630</v>
      </c>
      <c r="X1456" s="33"/>
      <c r="Y1456" s="33"/>
      <c r="Z1456" s="33" t="s">
        <v>1630</v>
      </c>
      <c r="AA1456" s="33"/>
    </row>
    <row r="1457" spans="1:27" s="70" customFormat="1" ht="33.75" x14ac:dyDescent="0.2">
      <c r="A1457" s="24">
        <v>1453</v>
      </c>
      <c r="B1457" s="27" t="s">
        <v>1552</v>
      </c>
      <c r="C1457" s="28" t="s">
        <v>1551</v>
      </c>
      <c r="D1457" s="71" t="s">
        <v>1617</v>
      </c>
      <c r="E1457" s="28" t="s">
        <v>1616</v>
      </c>
      <c r="F1457" s="28" t="s">
        <v>1615</v>
      </c>
      <c r="G1457" s="27"/>
      <c r="H1457" s="28" t="s">
        <v>1614</v>
      </c>
      <c r="I1457" s="27"/>
      <c r="J1457" s="28" t="s">
        <v>1614</v>
      </c>
      <c r="K1457" s="27"/>
      <c r="L1457" s="25" t="s">
        <v>1629</v>
      </c>
      <c r="M1457" s="25" t="s">
        <v>190</v>
      </c>
      <c r="N1457" s="25">
        <v>12</v>
      </c>
      <c r="O1457" s="25" t="s">
        <v>1628</v>
      </c>
      <c r="P1457" s="25">
        <v>24</v>
      </c>
      <c r="Q1457" s="25">
        <v>16</v>
      </c>
      <c r="R1457" s="25"/>
      <c r="S1457" s="25">
        <v>8</v>
      </c>
      <c r="T1457" s="25">
        <v>4</v>
      </c>
      <c r="U1457" s="31">
        <f t="shared" si="23"/>
        <v>52</v>
      </c>
      <c r="V1457" s="25"/>
      <c r="W1457" s="33" t="s">
        <v>22</v>
      </c>
      <c r="X1457" s="33"/>
      <c r="Y1457" s="33"/>
      <c r="Z1457" s="33" t="s">
        <v>1627</v>
      </c>
      <c r="AA1457" s="33"/>
    </row>
    <row r="1458" spans="1:27" s="70" customFormat="1" ht="33.75" x14ac:dyDescent="0.2">
      <c r="A1458" s="24">
        <v>1454</v>
      </c>
      <c r="B1458" s="27" t="s">
        <v>1552</v>
      </c>
      <c r="C1458" s="28" t="s">
        <v>1551</v>
      </c>
      <c r="D1458" s="71" t="s">
        <v>1617</v>
      </c>
      <c r="E1458" s="28" t="s">
        <v>1616</v>
      </c>
      <c r="F1458" s="28" t="s">
        <v>1615</v>
      </c>
      <c r="G1458" s="27"/>
      <c r="H1458" s="28" t="s">
        <v>1614</v>
      </c>
      <c r="I1458" s="27"/>
      <c r="J1458" s="28" t="s">
        <v>1614</v>
      </c>
      <c r="K1458" s="27"/>
      <c r="L1458" s="25" t="s">
        <v>1626</v>
      </c>
      <c r="M1458" s="25" t="s">
        <v>1622</v>
      </c>
      <c r="N1458" s="25">
        <v>12</v>
      </c>
      <c r="O1458" s="25">
        <v>6</v>
      </c>
      <c r="P1458" s="25">
        <v>6</v>
      </c>
      <c r="Q1458" s="25">
        <v>6</v>
      </c>
      <c r="R1458" s="25">
        <v>6</v>
      </c>
      <c r="S1458" s="25">
        <v>8</v>
      </c>
      <c r="T1458" s="25">
        <v>8</v>
      </c>
      <c r="U1458" s="31">
        <f t="shared" si="23"/>
        <v>40</v>
      </c>
      <c r="V1458" s="25"/>
      <c r="W1458" s="33" t="s">
        <v>968</v>
      </c>
      <c r="X1458" s="33"/>
      <c r="Y1458" s="33"/>
      <c r="Z1458" s="33"/>
      <c r="AA1458" s="33"/>
    </row>
    <row r="1459" spans="1:27" s="70" customFormat="1" ht="33.75" x14ac:dyDescent="0.2">
      <c r="A1459" s="24">
        <v>1455</v>
      </c>
      <c r="B1459" s="27" t="s">
        <v>1552</v>
      </c>
      <c r="C1459" s="28" t="s">
        <v>1551</v>
      </c>
      <c r="D1459" s="71" t="s">
        <v>1617</v>
      </c>
      <c r="E1459" s="28" t="s">
        <v>1616</v>
      </c>
      <c r="F1459" s="28" t="s">
        <v>1615</v>
      </c>
      <c r="G1459" s="27"/>
      <c r="H1459" s="28" t="s">
        <v>1614</v>
      </c>
      <c r="I1459" s="27"/>
      <c r="J1459" s="28" t="s">
        <v>1614</v>
      </c>
      <c r="K1459" s="27"/>
      <c r="L1459" s="25" t="s">
        <v>1625</v>
      </c>
      <c r="M1459" s="25" t="s">
        <v>1622</v>
      </c>
      <c r="N1459" s="25">
        <v>46</v>
      </c>
      <c r="O1459" s="25">
        <v>8</v>
      </c>
      <c r="P1459" s="25">
        <v>8</v>
      </c>
      <c r="Q1459" s="25">
        <v>8</v>
      </c>
      <c r="R1459" s="25">
        <v>8</v>
      </c>
      <c r="S1459" s="25">
        <v>8</v>
      </c>
      <c r="T1459" s="25">
        <v>8</v>
      </c>
      <c r="U1459" s="31">
        <f t="shared" si="23"/>
        <v>48</v>
      </c>
      <c r="V1459" s="25"/>
      <c r="W1459" s="33" t="s">
        <v>198</v>
      </c>
      <c r="X1459" s="33"/>
      <c r="Y1459" s="33"/>
      <c r="Z1459" s="33" t="s">
        <v>1621</v>
      </c>
      <c r="AA1459" s="33"/>
    </row>
    <row r="1460" spans="1:27" s="70" customFormat="1" ht="33.75" x14ac:dyDescent="0.2">
      <c r="A1460" s="24">
        <v>1456</v>
      </c>
      <c r="B1460" s="27" t="s">
        <v>1552</v>
      </c>
      <c r="C1460" s="28" t="s">
        <v>1551</v>
      </c>
      <c r="D1460" s="71" t="s">
        <v>1617</v>
      </c>
      <c r="E1460" s="28" t="s">
        <v>1616</v>
      </c>
      <c r="F1460" s="28" t="s">
        <v>1615</v>
      </c>
      <c r="G1460" s="27"/>
      <c r="H1460" s="28" t="s">
        <v>1614</v>
      </c>
      <c r="I1460" s="27"/>
      <c r="J1460" s="28" t="s">
        <v>1614</v>
      </c>
      <c r="K1460" s="27"/>
      <c r="L1460" s="25" t="s">
        <v>1624</v>
      </c>
      <c r="M1460" s="25" t="s">
        <v>1622</v>
      </c>
      <c r="N1460" s="25">
        <v>23</v>
      </c>
      <c r="O1460" s="25">
        <v>24</v>
      </c>
      <c r="P1460" s="25">
        <v>24</v>
      </c>
      <c r="Q1460" s="25">
        <v>24</v>
      </c>
      <c r="R1460" s="25">
        <v>24</v>
      </c>
      <c r="S1460" s="25">
        <v>24</v>
      </c>
      <c r="T1460" s="25">
        <v>24</v>
      </c>
      <c r="U1460" s="31">
        <f t="shared" si="23"/>
        <v>144</v>
      </c>
      <c r="V1460" s="25"/>
      <c r="W1460" s="33" t="s">
        <v>198</v>
      </c>
      <c r="X1460" s="33"/>
      <c r="Y1460" s="33"/>
      <c r="Z1460" s="33" t="s">
        <v>1621</v>
      </c>
      <c r="AA1460" s="33"/>
    </row>
    <row r="1461" spans="1:27" s="70" customFormat="1" ht="33.75" x14ac:dyDescent="0.2">
      <c r="A1461" s="24">
        <v>1457</v>
      </c>
      <c r="B1461" s="27" t="s">
        <v>1552</v>
      </c>
      <c r="C1461" s="28" t="s">
        <v>1551</v>
      </c>
      <c r="D1461" s="71" t="s">
        <v>1617</v>
      </c>
      <c r="E1461" s="28" t="s">
        <v>1616</v>
      </c>
      <c r="F1461" s="28" t="s">
        <v>1615</v>
      </c>
      <c r="G1461" s="27"/>
      <c r="H1461" s="28" t="s">
        <v>1614</v>
      </c>
      <c r="I1461" s="27"/>
      <c r="J1461" s="28" t="s">
        <v>1614</v>
      </c>
      <c r="K1461" s="27"/>
      <c r="L1461" s="25" t="s">
        <v>1623</v>
      </c>
      <c r="M1461" s="25" t="s">
        <v>1622</v>
      </c>
      <c r="N1461" s="25">
        <v>23</v>
      </c>
      <c r="O1461" s="25">
        <v>5</v>
      </c>
      <c r="P1461" s="25">
        <v>5</v>
      </c>
      <c r="Q1461" s="25">
        <v>5</v>
      </c>
      <c r="R1461" s="25">
        <v>5</v>
      </c>
      <c r="S1461" s="25">
        <v>5</v>
      </c>
      <c r="T1461" s="25">
        <v>5</v>
      </c>
      <c r="U1461" s="31">
        <f t="shared" si="23"/>
        <v>30</v>
      </c>
      <c r="V1461" s="25"/>
      <c r="W1461" s="33" t="s">
        <v>198</v>
      </c>
      <c r="X1461" s="33"/>
      <c r="Y1461" s="33"/>
      <c r="Z1461" s="33" t="s">
        <v>1621</v>
      </c>
      <c r="AA1461" s="33"/>
    </row>
    <row r="1462" spans="1:27" s="70" customFormat="1" ht="33.75" x14ac:dyDescent="0.2">
      <c r="A1462" s="24">
        <v>1458</v>
      </c>
      <c r="B1462" s="27" t="s">
        <v>1552</v>
      </c>
      <c r="C1462" s="28" t="s">
        <v>1551</v>
      </c>
      <c r="D1462" s="71" t="s">
        <v>1617</v>
      </c>
      <c r="E1462" s="28" t="s">
        <v>1616</v>
      </c>
      <c r="F1462" s="28" t="s">
        <v>1615</v>
      </c>
      <c r="G1462" s="27"/>
      <c r="H1462" s="28" t="s">
        <v>1614</v>
      </c>
      <c r="I1462" s="27"/>
      <c r="J1462" s="28" t="s">
        <v>1614</v>
      </c>
      <c r="K1462" s="27"/>
      <c r="L1462" s="25" t="s">
        <v>1620</v>
      </c>
      <c r="M1462" s="25" t="s">
        <v>1619</v>
      </c>
      <c r="N1462" s="25">
        <v>50</v>
      </c>
      <c r="O1462" s="25"/>
      <c r="P1462" s="25">
        <v>7</v>
      </c>
      <c r="Q1462" s="25">
        <v>1</v>
      </c>
      <c r="R1462" s="25"/>
      <c r="S1462" s="25">
        <v>0.5</v>
      </c>
      <c r="T1462" s="25">
        <v>0.5</v>
      </c>
      <c r="U1462" s="31">
        <f t="shared" si="23"/>
        <v>9</v>
      </c>
      <c r="V1462" s="25"/>
      <c r="W1462" s="33" t="s">
        <v>1618</v>
      </c>
      <c r="X1462" s="33"/>
      <c r="Y1462" s="33"/>
      <c r="Z1462" s="33" t="s">
        <v>1618</v>
      </c>
      <c r="AA1462" s="33"/>
    </row>
    <row r="1463" spans="1:27" s="70" customFormat="1" ht="33.75" x14ac:dyDescent="0.2">
      <c r="A1463" s="24">
        <v>1459</v>
      </c>
      <c r="B1463" s="27" t="s">
        <v>1552</v>
      </c>
      <c r="C1463" s="28" t="s">
        <v>1551</v>
      </c>
      <c r="D1463" s="71" t="s">
        <v>1617</v>
      </c>
      <c r="E1463" s="28" t="s">
        <v>1616</v>
      </c>
      <c r="F1463" s="28" t="s">
        <v>1615</v>
      </c>
      <c r="G1463" s="27"/>
      <c r="H1463" s="28" t="s">
        <v>1614</v>
      </c>
      <c r="I1463" s="27"/>
      <c r="J1463" s="28" t="s">
        <v>1614</v>
      </c>
      <c r="K1463" s="27"/>
      <c r="L1463" s="25" t="s">
        <v>1613</v>
      </c>
      <c r="M1463" s="25" t="s">
        <v>802</v>
      </c>
      <c r="N1463" s="25">
        <v>365</v>
      </c>
      <c r="O1463" s="25">
        <v>8</v>
      </c>
      <c r="P1463" s="25">
        <v>7</v>
      </c>
      <c r="Q1463" s="25">
        <v>6</v>
      </c>
      <c r="R1463" s="25">
        <v>5</v>
      </c>
      <c r="S1463" s="25">
        <v>4</v>
      </c>
      <c r="T1463" s="25">
        <v>3</v>
      </c>
      <c r="U1463" s="31">
        <f t="shared" si="23"/>
        <v>33</v>
      </c>
      <c r="V1463" s="25"/>
      <c r="W1463" s="33" t="s">
        <v>22</v>
      </c>
      <c r="X1463" s="33"/>
      <c r="Y1463" s="33"/>
      <c r="Z1463" s="33"/>
      <c r="AA1463" s="33"/>
    </row>
    <row r="1464" spans="1:27" s="70" customFormat="1" ht="45" x14ac:dyDescent="0.2">
      <c r="A1464" s="24">
        <v>1460</v>
      </c>
      <c r="B1464" s="24" t="s">
        <v>1552</v>
      </c>
      <c r="C1464" s="25" t="s">
        <v>1551</v>
      </c>
      <c r="D1464" s="26" t="s">
        <v>1560</v>
      </c>
      <c r="E1464" s="25" t="s">
        <v>1559</v>
      </c>
      <c r="F1464" s="25" t="s">
        <v>1558</v>
      </c>
      <c r="G1464" s="24"/>
      <c r="H1464" s="28" t="s">
        <v>1601</v>
      </c>
      <c r="I1464" s="27"/>
      <c r="J1464" s="28" t="s">
        <v>1612</v>
      </c>
      <c r="K1464" s="27"/>
      <c r="L1464" s="25" t="s">
        <v>1611</v>
      </c>
      <c r="M1464" s="25" t="s">
        <v>1610</v>
      </c>
      <c r="N1464" s="25">
        <v>1</v>
      </c>
      <c r="O1464" s="25"/>
      <c r="P1464" s="25">
        <v>40</v>
      </c>
      <c r="Q1464" s="25">
        <v>16</v>
      </c>
      <c r="R1464" s="25"/>
      <c r="S1464" s="25">
        <v>5</v>
      </c>
      <c r="T1464" s="25"/>
      <c r="U1464" s="31">
        <f t="shared" si="23"/>
        <v>61</v>
      </c>
      <c r="V1464" s="25"/>
      <c r="W1464" s="33" t="s">
        <v>22</v>
      </c>
      <c r="X1464" s="33"/>
      <c r="Y1464" s="33"/>
      <c r="Z1464" s="33" t="s">
        <v>1561</v>
      </c>
      <c r="AA1464" s="33"/>
    </row>
    <row r="1465" spans="1:27" s="70" customFormat="1" ht="45" x14ac:dyDescent="0.2">
      <c r="A1465" s="24">
        <v>1461</v>
      </c>
      <c r="B1465" s="24" t="s">
        <v>1552</v>
      </c>
      <c r="C1465" s="25" t="s">
        <v>1551</v>
      </c>
      <c r="D1465" s="26" t="s">
        <v>1560</v>
      </c>
      <c r="E1465" s="25" t="s">
        <v>1559</v>
      </c>
      <c r="F1465" s="25" t="s">
        <v>1558</v>
      </c>
      <c r="G1465" s="24"/>
      <c r="H1465" s="28" t="s">
        <v>1601</v>
      </c>
      <c r="I1465" s="27"/>
      <c r="J1465" s="28" t="s">
        <v>1609</v>
      </c>
      <c r="K1465" s="27"/>
      <c r="L1465" s="25"/>
      <c r="M1465" s="25"/>
      <c r="N1465" s="25"/>
      <c r="O1465" s="25"/>
      <c r="P1465" s="25"/>
      <c r="Q1465" s="25"/>
      <c r="R1465" s="25"/>
      <c r="S1465" s="25"/>
      <c r="T1465" s="25"/>
      <c r="U1465" s="31">
        <f t="shared" si="23"/>
        <v>0</v>
      </c>
      <c r="V1465" s="25"/>
      <c r="W1465" s="33"/>
      <c r="X1465" s="33"/>
      <c r="Y1465" s="33"/>
      <c r="Z1465" s="33"/>
      <c r="AA1465" s="33"/>
    </row>
    <row r="1466" spans="1:27" s="70" customFormat="1" ht="45" x14ac:dyDescent="0.2">
      <c r="A1466" s="24">
        <v>1462</v>
      </c>
      <c r="B1466" s="24" t="s">
        <v>1552</v>
      </c>
      <c r="C1466" s="25" t="s">
        <v>1551</v>
      </c>
      <c r="D1466" s="26" t="s">
        <v>1560</v>
      </c>
      <c r="E1466" s="25" t="s">
        <v>1559</v>
      </c>
      <c r="F1466" s="25" t="s">
        <v>1558</v>
      </c>
      <c r="G1466" s="24"/>
      <c r="H1466" s="28" t="s">
        <v>1601</v>
      </c>
      <c r="I1466" s="27"/>
      <c r="J1466" s="28" t="s">
        <v>1608</v>
      </c>
      <c r="K1466" s="27"/>
      <c r="L1466" s="25"/>
      <c r="M1466" s="25"/>
      <c r="N1466" s="25"/>
      <c r="O1466" s="25"/>
      <c r="P1466" s="25"/>
      <c r="Q1466" s="25"/>
      <c r="R1466" s="25"/>
      <c r="S1466" s="25"/>
      <c r="T1466" s="25"/>
      <c r="U1466" s="31">
        <f t="shared" si="23"/>
        <v>0</v>
      </c>
      <c r="V1466" s="25"/>
      <c r="W1466" s="33"/>
      <c r="X1466" s="33"/>
      <c r="Y1466" s="33"/>
      <c r="Z1466" s="33"/>
      <c r="AA1466" s="33"/>
    </row>
    <row r="1467" spans="1:27" s="70" customFormat="1" ht="45" x14ac:dyDescent="0.2">
      <c r="A1467" s="24">
        <v>1463</v>
      </c>
      <c r="B1467" s="24" t="s">
        <v>1552</v>
      </c>
      <c r="C1467" s="25" t="s">
        <v>1551</v>
      </c>
      <c r="D1467" s="26" t="s">
        <v>1560</v>
      </c>
      <c r="E1467" s="25" t="s">
        <v>1559</v>
      </c>
      <c r="F1467" s="25" t="s">
        <v>1558</v>
      </c>
      <c r="G1467" s="24"/>
      <c r="H1467" s="28" t="s">
        <v>1601</v>
      </c>
      <c r="I1467" s="27"/>
      <c r="J1467" s="28" t="s">
        <v>1605</v>
      </c>
      <c r="K1467" s="27"/>
      <c r="L1467" s="25" t="s">
        <v>1607</v>
      </c>
      <c r="M1467" s="25" t="s">
        <v>1606</v>
      </c>
      <c r="N1467" s="25">
        <v>1</v>
      </c>
      <c r="O1467" s="25"/>
      <c r="P1467" s="25">
        <v>100</v>
      </c>
      <c r="Q1467" s="25">
        <v>8</v>
      </c>
      <c r="R1467" s="25"/>
      <c r="S1467" s="25">
        <v>4</v>
      </c>
      <c r="T1467" s="25"/>
      <c r="U1467" s="31">
        <f t="shared" si="23"/>
        <v>112</v>
      </c>
      <c r="V1467" s="25"/>
      <c r="W1467" s="33" t="s">
        <v>22</v>
      </c>
      <c r="X1467" s="33"/>
      <c r="Y1467" s="33"/>
      <c r="Z1467" s="33" t="s">
        <v>1561</v>
      </c>
      <c r="AA1467" s="33"/>
    </row>
    <row r="1468" spans="1:27" s="70" customFormat="1" ht="45" x14ac:dyDescent="0.2">
      <c r="A1468" s="24">
        <v>1464</v>
      </c>
      <c r="B1468" s="24" t="s">
        <v>1552</v>
      </c>
      <c r="C1468" s="25" t="s">
        <v>1551</v>
      </c>
      <c r="D1468" s="26" t="s">
        <v>1560</v>
      </c>
      <c r="E1468" s="25" t="s">
        <v>1559</v>
      </c>
      <c r="F1468" s="25" t="s">
        <v>1558</v>
      </c>
      <c r="G1468" s="24"/>
      <c r="H1468" s="28" t="s">
        <v>1601</v>
      </c>
      <c r="I1468" s="27"/>
      <c r="J1468" s="28" t="s">
        <v>1605</v>
      </c>
      <c r="K1468" s="27"/>
      <c r="L1468" s="25" t="s">
        <v>1604</v>
      </c>
      <c r="M1468" s="25" t="s">
        <v>1603</v>
      </c>
      <c r="N1468" s="25">
        <v>1</v>
      </c>
      <c r="O1468" s="25"/>
      <c r="P1468" s="25">
        <v>850</v>
      </c>
      <c r="Q1468" s="25">
        <v>60</v>
      </c>
      <c r="R1468" s="25"/>
      <c r="S1468" s="25">
        <v>20</v>
      </c>
      <c r="T1468" s="25"/>
      <c r="U1468" s="31">
        <f t="shared" si="23"/>
        <v>930</v>
      </c>
      <c r="V1468" s="25"/>
      <c r="W1468" s="33" t="s">
        <v>22</v>
      </c>
      <c r="X1468" s="33"/>
      <c r="Y1468" s="33"/>
      <c r="Z1468" s="33" t="s">
        <v>1561</v>
      </c>
      <c r="AA1468" s="33"/>
    </row>
    <row r="1469" spans="1:27" s="70" customFormat="1" ht="45" x14ac:dyDescent="0.2">
      <c r="A1469" s="24">
        <v>1465</v>
      </c>
      <c r="B1469" s="24" t="s">
        <v>1552</v>
      </c>
      <c r="C1469" s="25" t="s">
        <v>1551</v>
      </c>
      <c r="D1469" s="26" t="s">
        <v>1560</v>
      </c>
      <c r="E1469" s="25" t="s">
        <v>1559</v>
      </c>
      <c r="F1469" s="25" t="s">
        <v>1558</v>
      </c>
      <c r="G1469" s="24"/>
      <c r="H1469" s="28" t="s">
        <v>1601</v>
      </c>
      <c r="I1469" s="27"/>
      <c r="J1469" s="28" t="s">
        <v>1602</v>
      </c>
      <c r="K1469" s="27"/>
      <c r="L1469" s="25"/>
      <c r="M1469" s="25"/>
      <c r="N1469" s="25"/>
      <c r="O1469" s="25"/>
      <c r="P1469" s="25"/>
      <c r="Q1469" s="25"/>
      <c r="R1469" s="25"/>
      <c r="S1469" s="25"/>
      <c r="T1469" s="25"/>
      <c r="U1469" s="31">
        <f t="shared" si="23"/>
        <v>0</v>
      </c>
      <c r="V1469" s="25"/>
      <c r="W1469" s="33"/>
      <c r="X1469" s="33"/>
      <c r="Y1469" s="33"/>
      <c r="Z1469" s="33"/>
      <c r="AA1469" s="33"/>
    </row>
    <row r="1470" spans="1:27" s="70" customFormat="1" ht="45" x14ac:dyDescent="0.2">
      <c r="A1470" s="24">
        <v>1466</v>
      </c>
      <c r="B1470" s="24" t="s">
        <v>1552</v>
      </c>
      <c r="C1470" s="25" t="s">
        <v>1551</v>
      </c>
      <c r="D1470" s="26" t="s">
        <v>1560</v>
      </c>
      <c r="E1470" s="25" t="s">
        <v>1559</v>
      </c>
      <c r="F1470" s="25" t="s">
        <v>1558</v>
      </c>
      <c r="G1470" s="24"/>
      <c r="H1470" s="28" t="s">
        <v>1601</v>
      </c>
      <c r="I1470" s="27"/>
      <c r="J1470" s="28" t="s">
        <v>1600</v>
      </c>
      <c r="K1470" s="27"/>
      <c r="L1470" s="25"/>
      <c r="M1470" s="25"/>
      <c r="N1470" s="25"/>
      <c r="O1470" s="25"/>
      <c r="P1470" s="25"/>
      <c r="Q1470" s="25"/>
      <c r="R1470" s="25"/>
      <c r="S1470" s="25"/>
      <c r="T1470" s="25"/>
      <c r="U1470" s="31">
        <f t="shared" si="23"/>
        <v>0</v>
      </c>
      <c r="V1470" s="25"/>
      <c r="W1470" s="33"/>
      <c r="X1470" s="33"/>
      <c r="Y1470" s="33"/>
      <c r="Z1470" s="33"/>
      <c r="AA1470" s="33"/>
    </row>
    <row r="1471" spans="1:27" s="70" customFormat="1" ht="90" x14ac:dyDescent="0.2">
      <c r="A1471" s="24">
        <v>1467</v>
      </c>
      <c r="B1471" s="24" t="s">
        <v>1552</v>
      </c>
      <c r="C1471" s="25" t="s">
        <v>1551</v>
      </c>
      <c r="D1471" s="26" t="s">
        <v>1560</v>
      </c>
      <c r="E1471" s="25" t="s">
        <v>1559</v>
      </c>
      <c r="F1471" s="25" t="s">
        <v>1558</v>
      </c>
      <c r="G1471" s="24"/>
      <c r="H1471" s="28" t="s">
        <v>1584</v>
      </c>
      <c r="I1471" s="27"/>
      <c r="J1471" s="28" t="s">
        <v>1599</v>
      </c>
      <c r="K1471" s="27"/>
      <c r="L1471" s="25"/>
      <c r="M1471" s="25"/>
      <c r="N1471" s="25"/>
      <c r="O1471" s="25"/>
      <c r="P1471" s="25"/>
      <c r="Q1471" s="25"/>
      <c r="R1471" s="25"/>
      <c r="S1471" s="25"/>
      <c r="T1471" s="25"/>
      <c r="U1471" s="31">
        <f t="shared" si="23"/>
        <v>0</v>
      </c>
      <c r="V1471" s="25"/>
      <c r="W1471" s="33"/>
      <c r="X1471" s="33"/>
      <c r="Y1471" s="33"/>
      <c r="Z1471" s="33"/>
      <c r="AA1471" s="33"/>
    </row>
    <row r="1472" spans="1:27" s="70" customFormat="1" ht="45" x14ac:dyDescent="0.2">
      <c r="A1472" s="24">
        <v>1468</v>
      </c>
      <c r="B1472" s="24" t="s">
        <v>1552</v>
      </c>
      <c r="C1472" s="25" t="s">
        <v>1551</v>
      </c>
      <c r="D1472" s="26" t="s">
        <v>1560</v>
      </c>
      <c r="E1472" s="25" t="s">
        <v>1559</v>
      </c>
      <c r="F1472" s="25" t="s">
        <v>1558</v>
      </c>
      <c r="G1472" s="24"/>
      <c r="H1472" s="28" t="s">
        <v>1584</v>
      </c>
      <c r="I1472" s="27"/>
      <c r="J1472" s="28" t="s">
        <v>1598</v>
      </c>
      <c r="K1472" s="27"/>
      <c r="L1472" s="25" t="s">
        <v>1597</v>
      </c>
      <c r="M1472" s="25" t="s">
        <v>1596</v>
      </c>
      <c r="N1472" s="25">
        <v>4</v>
      </c>
      <c r="O1472" s="25"/>
      <c r="P1472" s="25">
        <v>130</v>
      </c>
      <c r="Q1472" s="25">
        <v>4</v>
      </c>
      <c r="R1472" s="25"/>
      <c r="S1472" s="25">
        <v>2</v>
      </c>
      <c r="T1472" s="25"/>
      <c r="U1472" s="31">
        <f t="shared" si="23"/>
        <v>136</v>
      </c>
      <c r="V1472" s="25"/>
      <c r="W1472" s="33" t="s">
        <v>22</v>
      </c>
      <c r="X1472" s="33"/>
      <c r="Y1472" s="33"/>
      <c r="Z1472" s="33" t="s">
        <v>1561</v>
      </c>
      <c r="AA1472" s="33"/>
    </row>
    <row r="1473" spans="1:27" s="70" customFormat="1" ht="56.25" x14ac:dyDescent="0.2">
      <c r="A1473" s="24">
        <v>1469</v>
      </c>
      <c r="B1473" s="24" t="s">
        <v>1552</v>
      </c>
      <c r="C1473" s="25" t="s">
        <v>1551</v>
      </c>
      <c r="D1473" s="26" t="s">
        <v>1560</v>
      </c>
      <c r="E1473" s="25" t="s">
        <v>1559</v>
      </c>
      <c r="F1473" s="25" t="s">
        <v>1558</v>
      </c>
      <c r="G1473" s="24"/>
      <c r="H1473" s="28" t="s">
        <v>1584</v>
      </c>
      <c r="I1473" s="27"/>
      <c r="J1473" s="28" t="s">
        <v>1595</v>
      </c>
      <c r="K1473" s="27"/>
      <c r="L1473" s="25"/>
      <c r="M1473" s="25"/>
      <c r="N1473" s="25"/>
      <c r="O1473" s="25"/>
      <c r="P1473" s="25"/>
      <c r="Q1473" s="25"/>
      <c r="R1473" s="25"/>
      <c r="S1473" s="25"/>
      <c r="T1473" s="25"/>
      <c r="U1473" s="31">
        <f t="shared" si="23"/>
        <v>0</v>
      </c>
      <c r="V1473" s="25"/>
      <c r="W1473" s="33"/>
      <c r="X1473" s="33"/>
      <c r="Y1473" s="33"/>
      <c r="Z1473" s="33"/>
      <c r="AA1473" s="33"/>
    </row>
    <row r="1474" spans="1:27" s="70" customFormat="1" ht="33.75" x14ac:dyDescent="0.2">
      <c r="A1474" s="24">
        <v>1470</v>
      </c>
      <c r="B1474" s="24" t="s">
        <v>1552</v>
      </c>
      <c r="C1474" s="25" t="s">
        <v>1551</v>
      </c>
      <c r="D1474" s="26" t="s">
        <v>1560</v>
      </c>
      <c r="E1474" s="25" t="s">
        <v>1559</v>
      </c>
      <c r="F1474" s="25" t="s">
        <v>1558</v>
      </c>
      <c r="G1474" s="24"/>
      <c r="H1474" s="28" t="s">
        <v>1584</v>
      </c>
      <c r="I1474" s="27"/>
      <c r="J1474" s="28" t="s">
        <v>1594</v>
      </c>
      <c r="K1474" s="27"/>
      <c r="L1474" s="25"/>
      <c r="M1474" s="25"/>
      <c r="N1474" s="25"/>
      <c r="O1474" s="25"/>
      <c r="P1474" s="25"/>
      <c r="Q1474" s="25"/>
      <c r="R1474" s="25"/>
      <c r="S1474" s="25"/>
      <c r="T1474" s="25"/>
      <c r="U1474" s="31">
        <f t="shared" si="23"/>
        <v>0</v>
      </c>
      <c r="V1474" s="25"/>
      <c r="W1474" s="33"/>
      <c r="X1474" s="33"/>
      <c r="Y1474" s="33"/>
      <c r="Z1474" s="33"/>
      <c r="AA1474" s="33"/>
    </row>
    <row r="1475" spans="1:27" s="70" customFormat="1" ht="45" x14ac:dyDescent="0.2">
      <c r="A1475" s="24">
        <v>1471</v>
      </c>
      <c r="B1475" s="24" t="s">
        <v>1552</v>
      </c>
      <c r="C1475" s="25" t="s">
        <v>1551</v>
      </c>
      <c r="D1475" s="26" t="s">
        <v>1560</v>
      </c>
      <c r="E1475" s="25" t="s">
        <v>1559</v>
      </c>
      <c r="F1475" s="25" t="s">
        <v>1558</v>
      </c>
      <c r="G1475" s="24"/>
      <c r="H1475" s="28" t="s">
        <v>1584</v>
      </c>
      <c r="I1475" s="27"/>
      <c r="J1475" s="28" t="s">
        <v>1593</v>
      </c>
      <c r="K1475" s="27"/>
      <c r="L1475" s="25" t="s">
        <v>1592</v>
      </c>
      <c r="M1475" s="25" t="s">
        <v>1591</v>
      </c>
      <c r="N1475" s="25">
        <v>4</v>
      </c>
      <c r="O1475" s="25"/>
      <c r="P1475" s="25">
        <v>24</v>
      </c>
      <c r="Q1475" s="25">
        <v>16</v>
      </c>
      <c r="R1475" s="25"/>
      <c r="S1475" s="25">
        <v>8</v>
      </c>
      <c r="T1475" s="25"/>
      <c r="U1475" s="31">
        <f t="shared" si="23"/>
        <v>48</v>
      </c>
      <c r="V1475" s="25"/>
      <c r="W1475" s="33" t="s">
        <v>22</v>
      </c>
      <c r="X1475" s="33"/>
      <c r="Y1475" s="33"/>
      <c r="Z1475" s="33" t="s">
        <v>1561</v>
      </c>
      <c r="AA1475" s="33"/>
    </row>
    <row r="1476" spans="1:27" s="70" customFormat="1" ht="33.75" x14ac:dyDescent="0.2">
      <c r="A1476" s="24">
        <v>1472</v>
      </c>
      <c r="B1476" s="24" t="s">
        <v>1552</v>
      </c>
      <c r="C1476" s="25" t="s">
        <v>1551</v>
      </c>
      <c r="D1476" s="26" t="s">
        <v>1560</v>
      </c>
      <c r="E1476" s="25" t="s">
        <v>1559</v>
      </c>
      <c r="F1476" s="25" t="s">
        <v>1558</v>
      </c>
      <c r="G1476" s="24"/>
      <c r="H1476" s="28" t="s">
        <v>1584</v>
      </c>
      <c r="I1476" s="27"/>
      <c r="J1476" s="28" t="s">
        <v>1590</v>
      </c>
      <c r="K1476" s="27"/>
      <c r="L1476" s="25"/>
      <c r="M1476" s="25"/>
      <c r="N1476" s="25"/>
      <c r="O1476" s="25"/>
      <c r="P1476" s="25"/>
      <c r="Q1476" s="25"/>
      <c r="R1476" s="25"/>
      <c r="S1476" s="25"/>
      <c r="T1476" s="25"/>
      <c r="U1476" s="31">
        <f t="shared" si="23"/>
        <v>0</v>
      </c>
      <c r="V1476" s="25"/>
      <c r="W1476" s="33"/>
      <c r="X1476" s="33"/>
      <c r="Y1476" s="33"/>
      <c r="Z1476" s="33"/>
      <c r="AA1476" s="33"/>
    </row>
    <row r="1477" spans="1:27" s="70" customFormat="1" ht="33.75" x14ac:dyDescent="0.2">
      <c r="A1477" s="24">
        <v>1473</v>
      </c>
      <c r="B1477" s="24" t="s">
        <v>1552</v>
      </c>
      <c r="C1477" s="25" t="s">
        <v>1551</v>
      </c>
      <c r="D1477" s="26" t="s">
        <v>1560</v>
      </c>
      <c r="E1477" s="25" t="s">
        <v>1559</v>
      </c>
      <c r="F1477" s="25" t="s">
        <v>1558</v>
      </c>
      <c r="G1477" s="24"/>
      <c r="H1477" s="28" t="s">
        <v>1584</v>
      </c>
      <c r="I1477" s="27"/>
      <c r="J1477" s="28" t="s">
        <v>1589</v>
      </c>
      <c r="K1477" s="27"/>
      <c r="L1477" s="25"/>
      <c r="M1477" s="25"/>
      <c r="N1477" s="25"/>
      <c r="O1477" s="25"/>
      <c r="P1477" s="25"/>
      <c r="Q1477" s="25"/>
      <c r="R1477" s="25"/>
      <c r="S1477" s="25"/>
      <c r="T1477" s="25"/>
      <c r="U1477" s="31">
        <f t="shared" si="23"/>
        <v>0</v>
      </c>
      <c r="V1477" s="25"/>
      <c r="W1477" s="33"/>
      <c r="X1477" s="33"/>
      <c r="Y1477" s="33"/>
      <c r="Z1477" s="33"/>
      <c r="AA1477" s="33"/>
    </row>
    <row r="1478" spans="1:27" s="70" customFormat="1" ht="56.25" x14ac:dyDescent="0.2">
      <c r="A1478" s="24">
        <v>1474</v>
      </c>
      <c r="B1478" s="24" t="s">
        <v>1552</v>
      </c>
      <c r="C1478" s="25" t="s">
        <v>1551</v>
      </c>
      <c r="D1478" s="26" t="s">
        <v>1560</v>
      </c>
      <c r="E1478" s="25" t="s">
        <v>1559</v>
      </c>
      <c r="F1478" s="25" t="s">
        <v>1558</v>
      </c>
      <c r="G1478" s="24"/>
      <c r="H1478" s="28" t="s">
        <v>1584</v>
      </c>
      <c r="I1478" s="27"/>
      <c r="J1478" s="28" t="s">
        <v>1588</v>
      </c>
      <c r="K1478" s="27"/>
      <c r="L1478" s="25"/>
      <c r="M1478" s="25"/>
      <c r="N1478" s="25"/>
      <c r="O1478" s="25"/>
      <c r="P1478" s="25"/>
      <c r="Q1478" s="25"/>
      <c r="R1478" s="25"/>
      <c r="S1478" s="25"/>
      <c r="T1478" s="25"/>
      <c r="U1478" s="31">
        <f t="shared" ref="U1478:U1541" si="24">SUM(O1478:T1478)</f>
        <v>0</v>
      </c>
      <c r="V1478" s="25"/>
      <c r="W1478" s="33"/>
      <c r="X1478" s="33"/>
      <c r="Y1478" s="33"/>
      <c r="Z1478" s="33"/>
      <c r="AA1478" s="33"/>
    </row>
    <row r="1479" spans="1:27" s="70" customFormat="1" ht="45" x14ac:dyDescent="0.2">
      <c r="A1479" s="24">
        <v>1475</v>
      </c>
      <c r="B1479" s="24" t="s">
        <v>1552</v>
      </c>
      <c r="C1479" s="25" t="s">
        <v>1551</v>
      </c>
      <c r="D1479" s="26" t="s">
        <v>1560</v>
      </c>
      <c r="E1479" s="25" t="s">
        <v>1559</v>
      </c>
      <c r="F1479" s="25" t="s">
        <v>1558</v>
      </c>
      <c r="G1479" s="24"/>
      <c r="H1479" s="28" t="s">
        <v>1584</v>
      </c>
      <c r="I1479" s="27"/>
      <c r="J1479" s="28" t="s">
        <v>1587</v>
      </c>
      <c r="K1479" s="27"/>
      <c r="L1479" s="25"/>
      <c r="M1479" s="25"/>
      <c r="N1479" s="25"/>
      <c r="O1479" s="25"/>
      <c r="P1479" s="25"/>
      <c r="Q1479" s="25"/>
      <c r="R1479" s="25"/>
      <c r="S1479" s="25"/>
      <c r="T1479" s="25"/>
      <c r="U1479" s="31">
        <f t="shared" si="24"/>
        <v>0</v>
      </c>
      <c r="V1479" s="25"/>
      <c r="W1479" s="33"/>
      <c r="X1479" s="33"/>
      <c r="Y1479" s="33"/>
      <c r="Z1479" s="33"/>
      <c r="AA1479" s="33"/>
    </row>
    <row r="1480" spans="1:27" s="70" customFormat="1" ht="45" x14ac:dyDescent="0.2">
      <c r="A1480" s="24">
        <v>1476</v>
      </c>
      <c r="B1480" s="24" t="s">
        <v>1552</v>
      </c>
      <c r="C1480" s="25" t="s">
        <v>1551</v>
      </c>
      <c r="D1480" s="26" t="s">
        <v>1560</v>
      </c>
      <c r="E1480" s="25" t="s">
        <v>1559</v>
      </c>
      <c r="F1480" s="25" t="s">
        <v>1558</v>
      </c>
      <c r="G1480" s="24"/>
      <c r="H1480" s="28" t="s">
        <v>1584</v>
      </c>
      <c r="I1480" s="27"/>
      <c r="J1480" s="28" t="s">
        <v>1586</v>
      </c>
      <c r="K1480" s="27"/>
      <c r="L1480" s="25"/>
      <c r="M1480" s="25"/>
      <c r="N1480" s="25"/>
      <c r="O1480" s="25"/>
      <c r="P1480" s="25"/>
      <c r="Q1480" s="25"/>
      <c r="R1480" s="25"/>
      <c r="S1480" s="25"/>
      <c r="T1480" s="25"/>
      <c r="U1480" s="31">
        <f t="shared" si="24"/>
        <v>0</v>
      </c>
      <c r="V1480" s="25"/>
      <c r="W1480" s="33"/>
      <c r="X1480" s="33"/>
      <c r="Y1480" s="33"/>
      <c r="Z1480" s="33"/>
      <c r="AA1480" s="33"/>
    </row>
    <row r="1481" spans="1:27" s="70" customFormat="1" ht="33.75" x14ac:dyDescent="0.2">
      <c r="A1481" s="24">
        <v>1477</v>
      </c>
      <c r="B1481" s="24" t="s">
        <v>1552</v>
      </c>
      <c r="C1481" s="25" t="s">
        <v>1551</v>
      </c>
      <c r="D1481" s="26" t="s">
        <v>1560</v>
      </c>
      <c r="E1481" s="25" t="s">
        <v>1559</v>
      </c>
      <c r="F1481" s="25" t="s">
        <v>1558</v>
      </c>
      <c r="G1481" s="24"/>
      <c r="H1481" s="28" t="s">
        <v>1584</v>
      </c>
      <c r="I1481" s="27"/>
      <c r="J1481" s="28" t="s">
        <v>1585</v>
      </c>
      <c r="K1481" s="27"/>
      <c r="L1481" s="25"/>
      <c r="M1481" s="25"/>
      <c r="N1481" s="25"/>
      <c r="O1481" s="25"/>
      <c r="P1481" s="25"/>
      <c r="Q1481" s="25"/>
      <c r="R1481" s="25"/>
      <c r="S1481" s="25"/>
      <c r="T1481" s="25"/>
      <c r="U1481" s="31">
        <f t="shared" si="24"/>
        <v>0</v>
      </c>
      <c r="V1481" s="25"/>
      <c r="W1481" s="33"/>
      <c r="X1481" s="33"/>
      <c r="Y1481" s="33"/>
      <c r="Z1481" s="33"/>
      <c r="AA1481" s="33"/>
    </row>
    <row r="1482" spans="1:27" s="70" customFormat="1" ht="33.75" x14ac:dyDescent="0.2">
      <c r="A1482" s="24">
        <v>1478</v>
      </c>
      <c r="B1482" s="24" t="s">
        <v>1552</v>
      </c>
      <c r="C1482" s="25" t="s">
        <v>1551</v>
      </c>
      <c r="D1482" s="26" t="s">
        <v>1560</v>
      </c>
      <c r="E1482" s="25" t="s">
        <v>1559</v>
      </c>
      <c r="F1482" s="25" t="s">
        <v>1558</v>
      </c>
      <c r="G1482" s="24"/>
      <c r="H1482" s="28" t="s">
        <v>1584</v>
      </c>
      <c r="I1482" s="27"/>
      <c r="J1482" s="28" t="s">
        <v>1583</v>
      </c>
      <c r="K1482" s="27"/>
      <c r="L1482" s="25"/>
      <c r="M1482" s="25"/>
      <c r="N1482" s="25"/>
      <c r="O1482" s="25"/>
      <c r="P1482" s="25"/>
      <c r="Q1482" s="25"/>
      <c r="R1482" s="25"/>
      <c r="S1482" s="25"/>
      <c r="T1482" s="25"/>
      <c r="U1482" s="31">
        <f t="shared" si="24"/>
        <v>0</v>
      </c>
      <c r="V1482" s="25"/>
      <c r="W1482" s="33"/>
      <c r="X1482" s="33"/>
      <c r="Y1482" s="33"/>
      <c r="Z1482" s="33"/>
      <c r="AA1482" s="33"/>
    </row>
    <row r="1483" spans="1:27" s="70" customFormat="1" ht="45" x14ac:dyDescent="0.2">
      <c r="A1483" s="24">
        <v>1479</v>
      </c>
      <c r="B1483" s="24" t="s">
        <v>1552</v>
      </c>
      <c r="C1483" s="25" t="s">
        <v>1551</v>
      </c>
      <c r="D1483" s="26" t="s">
        <v>1560</v>
      </c>
      <c r="E1483" s="25" t="s">
        <v>1559</v>
      </c>
      <c r="F1483" s="25" t="s">
        <v>1558</v>
      </c>
      <c r="G1483" s="24"/>
      <c r="H1483" s="28" t="s">
        <v>1578</v>
      </c>
      <c r="I1483" s="27"/>
      <c r="J1483" s="28" t="s">
        <v>1582</v>
      </c>
      <c r="K1483" s="27"/>
      <c r="L1483" s="25"/>
      <c r="M1483" s="25"/>
      <c r="N1483" s="25"/>
      <c r="O1483" s="25"/>
      <c r="P1483" s="25"/>
      <c r="Q1483" s="25"/>
      <c r="R1483" s="25"/>
      <c r="S1483" s="25"/>
      <c r="T1483" s="25"/>
      <c r="U1483" s="31">
        <f t="shared" si="24"/>
        <v>0</v>
      </c>
      <c r="V1483" s="25"/>
      <c r="W1483" s="33"/>
      <c r="X1483" s="33"/>
      <c r="Y1483" s="33"/>
      <c r="Z1483" s="33"/>
      <c r="AA1483" s="33"/>
    </row>
    <row r="1484" spans="1:27" s="70" customFormat="1" ht="45" x14ac:dyDescent="0.2">
      <c r="A1484" s="24">
        <v>1480</v>
      </c>
      <c r="B1484" s="24" t="s">
        <v>1552</v>
      </c>
      <c r="C1484" s="25" t="s">
        <v>1551</v>
      </c>
      <c r="D1484" s="26" t="s">
        <v>1560</v>
      </c>
      <c r="E1484" s="25" t="s">
        <v>1559</v>
      </c>
      <c r="F1484" s="25" t="s">
        <v>1558</v>
      </c>
      <c r="G1484" s="24"/>
      <c r="H1484" s="28" t="s">
        <v>1578</v>
      </c>
      <c r="I1484" s="27"/>
      <c r="J1484" s="28" t="s">
        <v>1581</v>
      </c>
      <c r="K1484" s="27"/>
      <c r="L1484" s="25" t="s">
        <v>1580</v>
      </c>
      <c r="M1484" s="25" t="s">
        <v>1579</v>
      </c>
      <c r="N1484" s="25">
        <v>1</v>
      </c>
      <c r="O1484" s="25"/>
      <c r="P1484" s="25">
        <v>600</v>
      </c>
      <c r="Q1484" s="25"/>
      <c r="R1484" s="25"/>
      <c r="S1484" s="25"/>
      <c r="T1484" s="25"/>
      <c r="U1484" s="31">
        <f t="shared" si="24"/>
        <v>600</v>
      </c>
      <c r="V1484" s="25"/>
      <c r="W1484" s="33" t="s">
        <v>355</v>
      </c>
      <c r="X1484" s="33"/>
      <c r="Y1484" s="33"/>
      <c r="Z1484" s="33"/>
      <c r="AA1484" s="33"/>
    </row>
    <row r="1485" spans="1:27" s="70" customFormat="1" ht="67.5" x14ac:dyDescent="0.2">
      <c r="A1485" s="24">
        <v>1481</v>
      </c>
      <c r="B1485" s="24" t="s">
        <v>1552</v>
      </c>
      <c r="C1485" s="25" t="s">
        <v>1551</v>
      </c>
      <c r="D1485" s="26" t="s">
        <v>1560</v>
      </c>
      <c r="E1485" s="25" t="s">
        <v>1559</v>
      </c>
      <c r="F1485" s="25" t="s">
        <v>1558</v>
      </c>
      <c r="G1485" s="24"/>
      <c r="H1485" s="28" t="s">
        <v>1578</v>
      </c>
      <c r="I1485" s="27"/>
      <c r="J1485" s="28" t="s">
        <v>1577</v>
      </c>
      <c r="K1485" s="27"/>
      <c r="L1485" s="25" t="s">
        <v>1576</v>
      </c>
      <c r="M1485" s="25" t="s">
        <v>1575</v>
      </c>
      <c r="N1485" s="25">
        <v>1</v>
      </c>
      <c r="O1485" s="25"/>
      <c r="P1485" s="25">
        <v>200</v>
      </c>
      <c r="Q1485" s="25">
        <v>400</v>
      </c>
      <c r="R1485" s="25"/>
      <c r="S1485" s="25">
        <v>400</v>
      </c>
      <c r="T1485" s="25"/>
      <c r="U1485" s="31">
        <f t="shared" si="24"/>
        <v>1000</v>
      </c>
      <c r="V1485" s="25"/>
      <c r="W1485" s="33" t="s">
        <v>22</v>
      </c>
      <c r="X1485" s="33"/>
      <c r="Y1485" s="33"/>
      <c r="Z1485" s="33" t="s">
        <v>1561</v>
      </c>
      <c r="AA1485" s="33"/>
    </row>
    <row r="1486" spans="1:27" s="70" customFormat="1" ht="45" x14ac:dyDescent="0.2">
      <c r="A1486" s="24">
        <v>1482</v>
      </c>
      <c r="B1486" s="24" t="s">
        <v>1552</v>
      </c>
      <c r="C1486" s="25" t="s">
        <v>1551</v>
      </c>
      <c r="D1486" s="26" t="s">
        <v>1560</v>
      </c>
      <c r="E1486" s="25" t="s">
        <v>1559</v>
      </c>
      <c r="F1486" s="25" t="s">
        <v>1558</v>
      </c>
      <c r="G1486" s="24"/>
      <c r="H1486" s="28" t="s">
        <v>1569</v>
      </c>
      <c r="I1486" s="27"/>
      <c r="J1486" s="28" t="s">
        <v>1574</v>
      </c>
      <c r="K1486" s="27"/>
      <c r="L1486" s="25"/>
      <c r="M1486" s="25"/>
      <c r="N1486" s="25"/>
      <c r="O1486" s="25"/>
      <c r="P1486" s="25"/>
      <c r="Q1486" s="25"/>
      <c r="R1486" s="25"/>
      <c r="S1486" s="25"/>
      <c r="T1486" s="25"/>
      <c r="U1486" s="31">
        <f t="shared" si="24"/>
        <v>0</v>
      </c>
      <c r="V1486" s="25"/>
      <c r="W1486" s="33"/>
      <c r="X1486" s="33"/>
      <c r="Y1486" s="33"/>
      <c r="Z1486" s="33"/>
      <c r="AA1486" s="33"/>
    </row>
    <row r="1487" spans="1:27" s="70" customFormat="1" ht="45" x14ac:dyDescent="0.2">
      <c r="A1487" s="24">
        <v>1483</v>
      </c>
      <c r="B1487" s="24" t="s">
        <v>1552</v>
      </c>
      <c r="C1487" s="25" t="s">
        <v>1551</v>
      </c>
      <c r="D1487" s="26" t="s">
        <v>1560</v>
      </c>
      <c r="E1487" s="25" t="s">
        <v>1559</v>
      </c>
      <c r="F1487" s="25" t="s">
        <v>1558</v>
      </c>
      <c r="G1487" s="24"/>
      <c r="H1487" s="28" t="s">
        <v>1569</v>
      </c>
      <c r="I1487" s="27"/>
      <c r="J1487" s="28" t="s">
        <v>1573</v>
      </c>
      <c r="K1487" s="27"/>
      <c r="L1487" s="25"/>
      <c r="M1487" s="25"/>
      <c r="N1487" s="25"/>
      <c r="O1487" s="25"/>
      <c r="P1487" s="25"/>
      <c r="Q1487" s="25"/>
      <c r="R1487" s="25"/>
      <c r="S1487" s="25"/>
      <c r="T1487" s="25"/>
      <c r="U1487" s="31">
        <f t="shared" si="24"/>
        <v>0</v>
      </c>
      <c r="V1487" s="25"/>
      <c r="W1487" s="33"/>
      <c r="X1487" s="33"/>
      <c r="Y1487" s="33"/>
      <c r="Z1487" s="33"/>
      <c r="AA1487" s="33"/>
    </row>
    <row r="1488" spans="1:27" s="70" customFormat="1" ht="33.75" x14ac:dyDescent="0.2">
      <c r="A1488" s="24">
        <v>1484</v>
      </c>
      <c r="B1488" s="24" t="s">
        <v>1552</v>
      </c>
      <c r="C1488" s="25" t="s">
        <v>1551</v>
      </c>
      <c r="D1488" s="26" t="s">
        <v>1560</v>
      </c>
      <c r="E1488" s="25" t="s">
        <v>1559</v>
      </c>
      <c r="F1488" s="25" t="s">
        <v>1558</v>
      </c>
      <c r="G1488" s="24"/>
      <c r="H1488" s="28" t="s">
        <v>1569</v>
      </c>
      <c r="I1488" s="27"/>
      <c r="J1488" s="28" t="s">
        <v>1572</v>
      </c>
      <c r="K1488" s="27"/>
      <c r="L1488" s="25"/>
      <c r="M1488" s="25"/>
      <c r="N1488" s="25"/>
      <c r="O1488" s="25"/>
      <c r="P1488" s="25"/>
      <c r="Q1488" s="25"/>
      <c r="R1488" s="25"/>
      <c r="S1488" s="25"/>
      <c r="T1488" s="25"/>
      <c r="U1488" s="31">
        <f t="shared" si="24"/>
        <v>0</v>
      </c>
      <c r="V1488" s="25"/>
      <c r="W1488" s="33"/>
      <c r="X1488" s="33"/>
      <c r="Y1488" s="33"/>
      <c r="Z1488" s="33"/>
      <c r="AA1488" s="33"/>
    </row>
    <row r="1489" spans="1:27" s="70" customFormat="1" ht="33.75" x14ac:dyDescent="0.2">
      <c r="A1489" s="24">
        <v>1485</v>
      </c>
      <c r="B1489" s="24" t="s">
        <v>1552</v>
      </c>
      <c r="C1489" s="25" t="s">
        <v>1551</v>
      </c>
      <c r="D1489" s="26" t="s">
        <v>1560</v>
      </c>
      <c r="E1489" s="25" t="s">
        <v>1559</v>
      </c>
      <c r="F1489" s="25" t="s">
        <v>1558</v>
      </c>
      <c r="G1489" s="24"/>
      <c r="H1489" s="28" t="s">
        <v>1569</v>
      </c>
      <c r="I1489" s="27"/>
      <c r="J1489" s="28" t="s">
        <v>1571</v>
      </c>
      <c r="K1489" s="27"/>
      <c r="L1489" s="25"/>
      <c r="M1489" s="25"/>
      <c r="N1489" s="25"/>
      <c r="O1489" s="25"/>
      <c r="P1489" s="25"/>
      <c r="Q1489" s="25"/>
      <c r="R1489" s="25"/>
      <c r="S1489" s="25"/>
      <c r="T1489" s="25"/>
      <c r="U1489" s="31">
        <f t="shared" si="24"/>
        <v>0</v>
      </c>
      <c r="V1489" s="25"/>
      <c r="W1489" s="33"/>
      <c r="X1489" s="33"/>
      <c r="Y1489" s="33"/>
      <c r="Z1489" s="33"/>
      <c r="AA1489" s="33"/>
    </row>
    <row r="1490" spans="1:27" s="70" customFormat="1" ht="45" x14ac:dyDescent="0.2">
      <c r="A1490" s="24">
        <v>1486</v>
      </c>
      <c r="B1490" s="24" t="s">
        <v>1552</v>
      </c>
      <c r="C1490" s="25" t="s">
        <v>1551</v>
      </c>
      <c r="D1490" s="26" t="s">
        <v>1560</v>
      </c>
      <c r="E1490" s="25" t="s">
        <v>1559</v>
      </c>
      <c r="F1490" s="25" t="s">
        <v>1558</v>
      </c>
      <c r="G1490" s="24"/>
      <c r="H1490" s="28" t="s">
        <v>1569</v>
      </c>
      <c r="I1490" s="27"/>
      <c r="J1490" s="28" t="s">
        <v>1570</v>
      </c>
      <c r="K1490" s="27"/>
      <c r="L1490" s="25"/>
      <c r="M1490" s="25"/>
      <c r="N1490" s="25"/>
      <c r="O1490" s="25"/>
      <c r="P1490" s="25"/>
      <c r="Q1490" s="25"/>
      <c r="R1490" s="25"/>
      <c r="S1490" s="25"/>
      <c r="T1490" s="25"/>
      <c r="U1490" s="31">
        <f t="shared" si="24"/>
        <v>0</v>
      </c>
      <c r="V1490" s="25"/>
      <c r="W1490" s="33"/>
      <c r="X1490" s="33"/>
      <c r="Y1490" s="33"/>
      <c r="Z1490" s="33"/>
      <c r="AA1490" s="33"/>
    </row>
    <row r="1491" spans="1:27" s="70" customFormat="1" ht="78.75" x14ac:dyDescent="0.2">
      <c r="A1491" s="24">
        <v>1487</v>
      </c>
      <c r="B1491" s="24" t="s">
        <v>1552</v>
      </c>
      <c r="C1491" s="25" t="s">
        <v>1551</v>
      </c>
      <c r="D1491" s="26" t="s">
        <v>1560</v>
      </c>
      <c r="E1491" s="25" t="s">
        <v>1559</v>
      </c>
      <c r="F1491" s="25" t="s">
        <v>1558</v>
      </c>
      <c r="G1491" s="24"/>
      <c r="H1491" s="28" t="s">
        <v>1569</v>
      </c>
      <c r="I1491" s="27"/>
      <c r="J1491" s="28" t="s">
        <v>1568</v>
      </c>
      <c r="K1491" s="27"/>
      <c r="L1491" s="25"/>
      <c r="M1491" s="25"/>
      <c r="N1491" s="25"/>
      <c r="O1491" s="25"/>
      <c r="P1491" s="25"/>
      <c r="Q1491" s="25"/>
      <c r="R1491" s="25"/>
      <c r="S1491" s="25"/>
      <c r="T1491" s="25"/>
      <c r="U1491" s="31">
        <f t="shared" si="24"/>
        <v>0</v>
      </c>
      <c r="V1491" s="25"/>
      <c r="W1491" s="33"/>
      <c r="X1491" s="33"/>
      <c r="Y1491" s="33"/>
      <c r="Z1491" s="33"/>
      <c r="AA1491" s="33"/>
    </row>
    <row r="1492" spans="1:27" s="70" customFormat="1" ht="33.75" x14ac:dyDescent="0.2">
      <c r="A1492" s="24">
        <v>1488</v>
      </c>
      <c r="B1492" s="24" t="s">
        <v>1552</v>
      </c>
      <c r="C1492" s="25" t="s">
        <v>1551</v>
      </c>
      <c r="D1492" s="26" t="s">
        <v>1560</v>
      </c>
      <c r="E1492" s="25" t="s">
        <v>1559</v>
      </c>
      <c r="F1492" s="25" t="s">
        <v>1558</v>
      </c>
      <c r="G1492" s="24"/>
      <c r="H1492" s="28" t="s">
        <v>1557</v>
      </c>
      <c r="I1492" s="27"/>
      <c r="J1492" s="28" t="s">
        <v>1557</v>
      </c>
      <c r="K1492" s="27"/>
      <c r="L1492" s="25" t="s">
        <v>1567</v>
      </c>
      <c r="M1492" s="25" t="s">
        <v>1566</v>
      </c>
      <c r="N1492" s="25">
        <v>24</v>
      </c>
      <c r="O1492" s="25"/>
      <c r="P1492" s="25">
        <v>3.3333333333333335</v>
      </c>
      <c r="Q1492" s="25">
        <v>1.6666666666666667</v>
      </c>
      <c r="R1492" s="25"/>
      <c r="S1492" s="25"/>
      <c r="T1492" s="25"/>
      <c r="U1492" s="31">
        <f t="shared" si="24"/>
        <v>5</v>
      </c>
      <c r="V1492" s="25"/>
      <c r="W1492" s="33" t="s">
        <v>1565</v>
      </c>
      <c r="X1492" s="33"/>
      <c r="Y1492" s="33"/>
      <c r="Z1492" s="33" t="s">
        <v>1564</v>
      </c>
      <c r="AA1492" s="33"/>
    </row>
    <row r="1493" spans="1:27" s="70" customFormat="1" ht="33.75" x14ac:dyDescent="0.2">
      <c r="A1493" s="24">
        <v>1489</v>
      </c>
      <c r="B1493" s="24" t="s">
        <v>1552</v>
      </c>
      <c r="C1493" s="25" t="s">
        <v>1551</v>
      </c>
      <c r="D1493" s="26" t="s">
        <v>1560</v>
      </c>
      <c r="E1493" s="25" t="s">
        <v>1559</v>
      </c>
      <c r="F1493" s="25" t="s">
        <v>1558</v>
      </c>
      <c r="G1493" s="24"/>
      <c r="H1493" s="28" t="s">
        <v>1557</v>
      </c>
      <c r="I1493" s="27"/>
      <c r="J1493" s="28" t="s">
        <v>1557</v>
      </c>
      <c r="K1493" s="27"/>
      <c r="L1493" s="25" t="s">
        <v>1563</v>
      </c>
      <c r="M1493" s="25" t="s">
        <v>1562</v>
      </c>
      <c r="N1493" s="25">
        <v>4</v>
      </c>
      <c r="O1493" s="25"/>
      <c r="P1493" s="25">
        <v>24</v>
      </c>
      <c r="Q1493" s="25">
        <v>16</v>
      </c>
      <c r="R1493" s="25"/>
      <c r="S1493" s="25">
        <v>8</v>
      </c>
      <c r="T1493" s="25"/>
      <c r="U1493" s="31">
        <f t="shared" si="24"/>
        <v>48</v>
      </c>
      <c r="V1493" s="25"/>
      <c r="W1493" s="33" t="s">
        <v>22</v>
      </c>
      <c r="X1493" s="33"/>
      <c r="Y1493" s="33"/>
      <c r="Z1493" s="33" t="s">
        <v>1561</v>
      </c>
      <c r="AA1493" s="33"/>
    </row>
    <row r="1494" spans="1:27" s="70" customFormat="1" ht="45" x14ac:dyDescent="0.2">
      <c r="A1494" s="24">
        <v>1490</v>
      </c>
      <c r="B1494" s="24" t="s">
        <v>1552</v>
      </c>
      <c r="C1494" s="25" t="s">
        <v>1551</v>
      </c>
      <c r="D1494" s="26" t="s">
        <v>1560</v>
      </c>
      <c r="E1494" s="25" t="s">
        <v>1559</v>
      </c>
      <c r="F1494" s="25" t="s">
        <v>1558</v>
      </c>
      <c r="G1494" s="24"/>
      <c r="H1494" s="28" t="s">
        <v>1557</v>
      </c>
      <c r="I1494" s="27"/>
      <c r="J1494" s="28" t="s">
        <v>1557</v>
      </c>
      <c r="K1494" s="27"/>
      <c r="L1494" s="25" t="s">
        <v>1556</v>
      </c>
      <c r="M1494" s="25" t="s">
        <v>1555</v>
      </c>
      <c r="N1494" s="25">
        <v>6</v>
      </c>
      <c r="O1494" s="25"/>
      <c r="P1494" s="25">
        <v>10</v>
      </c>
      <c r="Q1494" s="25">
        <v>3</v>
      </c>
      <c r="R1494" s="25"/>
      <c r="S1494" s="25">
        <v>2</v>
      </c>
      <c r="T1494" s="25"/>
      <c r="U1494" s="31">
        <f t="shared" si="24"/>
        <v>15</v>
      </c>
      <c r="V1494" s="25"/>
      <c r="W1494" s="33" t="s">
        <v>1554</v>
      </c>
      <c r="X1494" s="33"/>
      <c r="Y1494" s="33"/>
      <c r="Z1494" s="33" t="s">
        <v>1553</v>
      </c>
      <c r="AA1494" s="33"/>
    </row>
    <row r="1495" spans="1:27" s="70" customFormat="1" ht="33.75" x14ac:dyDescent="0.2">
      <c r="A1495" s="24">
        <v>1491</v>
      </c>
      <c r="B1495" s="52" t="s">
        <v>1552</v>
      </c>
      <c r="C1495" s="53" t="s">
        <v>1551</v>
      </c>
      <c r="D1495" s="54" t="s">
        <v>1550</v>
      </c>
      <c r="E1495" s="53" t="s">
        <v>1549</v>
      </c>
      <c r="F1495" s="53" t="s">
        <v>1548</v>
      </c>
      <c r="G1495" s="52"/>
      <c r="H1495" s="53"/>
      <c r="I1495" s="52"/>
      <c r="J1495" s="53"/>
      <c r="K1495" s="52"/>
      <c r="L1495" s="25"/>
      <c r="M1495" s="25"/>
      <c r="N1495" s="25"/>
      <c r="O1495" s="25"/>
      <c r="P1495" s="25"/>
      <c r="Q1495" s="25"/>
      <c r="R1495" s="25"/>
      <c r="S1495" s="25"/>
      <c r="T1495" s="25"/>
      <c r="U1495" s="31">
        <f t="shared" si="24"/>
        <v>0</v>
      </c>
      <c r="V1495" s="25"/>
      <c r="W1495" s="33"/>
      <c r="X1495" s="33"/>
      <c r="Y1495" s="33"/>
      <c r="Z1495" s="33"/>
      <c r="AA1495" s="33"/>
    </row>
    <row r="1496" spans="1:27" s="70" customFormat="1" ht="78.75" x14ac:dyDescent="0.2">
      <c r="A1496" s="24">
        <v>1492</v>
      </c>
      <c r="B1496" s="27" t="s">
        <v>1435</v>
      </c>
      <c r="C1496" s="28" t="s">
        <v>1434</v>
      </c>
      <c r="D1496" s="71" t="s">
        <v>1492</v>
      </c>
      <c r="E1496" s="28" t="s">
        <v>1491</v>
      </c>
      <c r="F1496" s="28" t="s">
        <v>1490</v>
      </c>
      <c r="G1496" s="27"/>
      <c r="H1496" s="28" t="s">
        <v>1542</v>
      </c>
      <c r="I1496" s="27"/>
      <c r="J1496" s="28" t="s">
        <v>1545</v>
      </c>
      <c r="K1496" s="27"/>
      <c r="L1496" s="25" t="s">
        <v>1547</v>
      </c>
      <c r="M1496" s="25" t="s">
        <v>1503</v>
      </c>
      <c r="N1496" s="25">
        <v>4</v>
      </c>
      <c r="O1496" s="25">
        <v>16</v>
      </c>
      <c r="P1496" s="25">
        <v>8</v>
      </c>
      <c r="Q1496" s="25"/>
      <c r="R1496" s="25"/>
      <c r="S1496" s="25">
        <v>1</v>
      </c>
      <c r="T1496" s="25">
        <v>1</v>
      </c>
      <c r="U1496" s="31">
        <f t="shared" si="24"/>
        <v>26</v>
      </c>
      <c r="V1496" s="25"/>
      <c r="W1496" s="33" t="s">
        <v>22</v>
      </c>
      <c r="X1496" s="33"/>
      <c r="Y1496" s="33"/>
      <c r="Z1496" s="33" t="s">
        <v>189</v>
      </c>
      <c r="AA1496" s="33"/>
    </row>
    <row r="1497" spans="1:27" s="70" customFormat="1" ht="78.75" x14ac:dyDescent="0.2">
      <c r="A1497" s="24">
        <v>1493</v>
      </c>
      <c r="B1497" s="27" t="s">
        <v>1435</v>
      </c>
      <c r="C1497" s="28" t="s">
        <v>1434</v>
      </c>
      <c r="D1497" s="71" t="s">
        <v>1492</v>
      </c>
      <c r="E1497" s="28" t="s">
        <v>1491</v>
      </c>
      <c r="F1497" s="28" t="s">
        <v>1490</v>
      </c>
      <c r="G1497" s="27"/>
      <c r="H1497" s="28" t="s">
        <v>1542</v>
      </c>
      <c r="I1497" s="27"/>
      <c r="J1497" s="28" t="s">
        <v>1545</v>
      </c>
      <c r="K1497" s="27"/>
      <c r="L1497" s="25" t="s">
        <v>1546</v>
      </c>
      <c r="M1497" s="25" t="s">
        <v>1503</v>
      </c>
      <c r="N1497" s="25">
        <v>2</v>
      </c>
      <c r="O1497" s="25">
        <v>12</v>
      </c>
      <c r="P1497" s="25">
        <v>8</v>
      </c>
      <c r="Q1497" s="25"/>
      <c r="R1497" s="25"/>
      <c r="S1497" s="25">
        <v>1</v>
      </c>
      <c r="T1497" s="25">
        <v>1</v>
      </c>
      <c r="U1497" s="31">
        <f t="shared" si="24"/>
        <v>22</v>
      </c>
      <c r="V1497" s="25"/>
      <c r="W1497" s="33" t="s">
        <v>22</v>
      </c>
      <c r="X1497" s="33"/>
      <c r="Y1497" s="33"/>
      <c r="Z1497" s="33" t="s">
        <v>189</v>
      </c>
      <c r="AA1497" s="33"/>
    </row>
    <row r="1498" spans="1:27" s="70" customFormat="1" ht="78.75" x14ac:dyDescent="0.2">
      <c r="A1498" s="24">
        <v>1494</v>
      </c>
      <c r="B1498" s="27" t="s">
        <v>1435</v>
      </c>
      <c r="C1498" s="28" t="s">
        <v>1434</v>
      </c>
      <c r="D1498" s="71" t="s">
        <v>1492</v>
      </c>
      <c r="E1498" s="28" t="s">
        <v>1491</v>
      </c>
      <c r="F1498" s="28" t="s">
        <v>1490</v>
      </c>
      <c r="G1498" s="27"/>
      <c r="H1498" s="28" t="s">
        <v>1542</v>
      </c>
      <c r="I1498" s="27"/>
      <c r="J1498" s="28" t="s">
        <v>1545</v>
      </c>
      <c r="K1498" s="27"/>
      <c r="L1498" s="25" t="s">
        <v>1544</v>
      </c>
      <c r="M1498" s="25" t="s">
        <v>1503</v>
      </c>
      <c r="N1498" s="25" t="s">
        <v>1543</v>
      </c>
      <c r="O1498" s="25">
        <v>12</v>
      </c>
      <c r="P1498" s="25">
        <v>8</v>
      </c>
      <c r="Q1498" s="25"/>
      <c r="R1498" s="25"/>
      <c r="S1498" s="25">
        <v>1</v>
      </c>
      <c r="T1498" s="25">
        <v>1</v>
      </c>
      <c r="U1498" s="31">
        <f t="shared" si="24"/>
        <v>22</v>
      </c>
      <c r="V1498" s="25"/>
      <c r="W1498" s="33" t="s">
        <v>22</v>
      </c>
      <c r="X1498" s="33"/>
      <c r="Y1498" s="33"/>
      <c r="Z1498" s="33" t="s">
        <v>189</v>
      </c>
      <c r="AA1498" s="33"/>
    </row>
    <row r="1499" spans="1:27" s="70" customFormat="1" ht="45" x14ac:dyDescent="0.2">
      <c r="A1499" s="24">
        <v>1495</v>
      </c>
      <c r="B1499" s="27" t="s">
        <v>1435</v>
      </c>
      <c r="C1499" s="28" t="s">
        <v>1434</v>
      </c>
      <c r="D1499" s="71" t="s">
        <v>1492</v>
      </c>
      <c r="E1499" s="28" t="s">
        <v>1491</v>
      </c>
      <c r="F1499" s="28" t="s">
        <v>1490</v>
      </c>
      <c r="G1499" s="27"/>
      <c r="H1499" s="28" t="s">
        <v>1542</v>
      </c>
      <c r="I1499" s="27"/>
      <c r="J1499" s="28" t="s">
        <v>1541</v>
      </c>
      <c r="K1499" s="27"/>
      <c r="L1499" s="25" t="s">
        <v>1540</v>
      </c>
      <c r="M1499" s="25" t="s">
        <v>1503</v>
      </c>
      <c r="N1499" s="25">
        <v>12</v>
      </c>
      <c r="O1499" s="25">
        <v>3</v>
      </c>
      <c r="P1499" s="25">
        <v>2</v>
      </c>
      <c r="Q1499" s="25"/>
      <c r="R1499" s="25"/>
      <c r="S1499" s="25">
        <v>0.5</v>
      </c>
      <c r="T1499" s="25">
        <v>0.5</v>
      </c>
      <c r="U1499" s="31">
        <f t="shared" si="24"/>
        <v>6</v>
      </c>
      <c r="V1499" s="25"/>
      <c r="W1499" s="33" t="s">
        <v>22</v>
      </c>
      <c r="X1499" s="33"/>
      <c r="Y1499" s="33"/>
      <c r="Z1499" s="33" t="s">
        <v>189</v>
      </c>
      <c r="AA1499" s="33"/>
    </row>
    <row r="1500" spans="1:27" s="70" customFormat="1" ht="112.5" x14ac:dyDescent="0.2">
      <c r="A1500" s="24">
        <v>1496</v>
      </c>
      <c r="B1500" s="27" t="s">
        <v>1435</v>
      </c>
      <c r="C1500" s="28" t="s">
        <v>1434</v>
      </c>
      <c r="D1500" s="71" t="s">
        <v>1492</v>
      </c>
      <c r="E1500" s="28" t="s">
        <v>1491</v>
      </c>
      <c r="F1500" s="28" t="s">
        <v>1490</v>
      </c>
      <c r="G1500" s="27"/>
      <c r="H1500" s="28" t="s">
        <v>1517</v>
      </c>
      <c r="I1500" s="27"/>
      <c r="J1500" s="28" t="s">
        <v>1538</v>
      </c>
      <c r="K1500" s="27"/>
      <c r="L1500" s="25" t="s">
        <v>1539</v>
      </c>
      <c r="M1500" s="25" t="s">
        <v>1503</v>
      </c>
      <c r="N1500" s="25">
        <v>20</v>
      </c>
      <c r="O1500" s="25">
        <v>25</v>
      </c>
      <c r="P1500" s="25">
        <v>15</v>
      </c>
      <c r="Q1500" s="25"/>
      <c r="R1500" s="25"/>
      <c r="S1500" s="25">
        <v>3</v>
      </c>
      <c r="T1500" s="25">
        <v>2</v>
      </c>
      <c r="U1500" s="31">
        <f t="shared" si="24"/>
        <v>45</v>
      </c>
      <c r="V1500" s="25"/>
      <c r="W1500" s="33" t="s">
        <v>1536</v>
      </c>
      <c r="X1500" s="33"/>
      <c r="Y1500" s="33"/>
      <c r="Z1500" s="33" t="s">
        <v>1535</v>
      </c>
      <c r="AA1500" s="33"/>
    </row>
    <row r="1501" spans="1:27" s="70" customFormat="1" ht="112.5" x14ac:dyDescent="0.2">
      <c r="A1501" s="24">
        <v>1497</v>
      </c>
      <c r="B1501" s="27" t="s">
        <v>1435</v>
      </c>
      <c r="C1501" s="28" t="s">
        <v>1434</v>
      </c>
      <c r="D1501" s="71" t="s">
        <v>1492</v>
      </c>
      <c r="E1501" s="28" t="s">
        <v>1491</v>
      </c>
      <c r="F1501" s="28" t="s">
        <v>1490</v>
      </c>
      <c r="G1501" s="27"/>
      <c r="H1501" s="28" t="s">
        <v>1517</v>
      </c>
      <c r="I1501" s="27"/>
      <c r="J1501" s="28" t="s">
        <v>1538</v>
      </c>
      <c r="K1501" s="27"/>
      <c r="L1501" s="25" t="s">
        <v>1537</v>
      </c>
      <c r="M1501" s="25" t="s">
        <v>1503</v>
      </c>
      <c r="N1501" s="25">
        <v>30</v>
      </c>
      <c r="O1501" s="25">
        <v>20</v>
      </c>
      <c r="P1501" s="25">
        <v>10</v>
      </c>
      <c r="Q1501" s="25"/>
      <c r="R1501" s="25"/>
      <c r="S1501" s="25">
        <v>2</v>
      </c>
      <c r="T1501" s="25">
        <v>2</v>
      </c>
      <c r="U1501" s="31">
        <f t="shared" si="24"/>
        <v>34</v>
      </c>
      <c r="V1501" s="25"/>
      <c r="W1501" s="33" t="s">
        <v>1536</v>
      </c>
      <c r="X1501" s="33"/>
      <c r="Y1501" s="33"/>
      <c r="Z1501" s="33" t="s">
        <v>1535</v>
      </c>
      <c r="AA1501" s="33"/>
    </row>
    <row r="1502" spans="1:27" s="70" customFormat="1" ht="45" x14ac:dyDescent="0.2">
      <c r="A1502" s="24">
        <v>1498</v>
      </c>
      <c r="B1502" s="27" t="s">
        <v>1435</v>
      </c>
      <c r="C1502" s="28" t="s">
        <v>1434</v>
      </c>
      <c r="D1502" s="71" t="s">
        <v>1492</v>
      </c>
      <c r="E1502" s="28" t="s">
        <v>1491</v>
      </c>
      <c r="F1502" s="28" t="s">
        <v>1490</v>
      </c>
      <c r="G1502" s="27"/>
      <c r="H1502" s="28" t="s">
        <v>1517</v>
      </c>
      <c r="I1502" s="27"/>
      <c r="J1502" s="28" t="s">
        <v>1534</v>
      </c>
      <c r="K1502" s="27"/>
      <c r="L1502" s="25"/>
      <c r="M1502" s="25"/>
      <c r="N1502" s="25"/>
      <c r="O1502" s="25"/>
      <c r="P1502" s="25"/>
      <c r="Q1502" s="25"/>
      <c r="R1502" s="25"/>
      <c r="S1502" s="25"/>
      <c r="T1502" s="25"/>
      <c r="U1502" s="31">
        <f t="shared" si="24"/>
        <v>0</v>
      </c>
      <c r="V1502" s="25"/>
      <c r="W1502" s="33"/>
      <c r="X1502" s="33"/>
      <c r="Y1502" s="33"/>
      <c r="Z1502" s="33"/>
      <c r="AA1502" s="33"/>
    </row>
    <row r="1503" spans="1:27" s="70" customFormat="1" ht="45" x14ac:dyDescent="0.2">
      <c r="A1503" s="24">
        <v>1499</v>
      </c>
      <c r="B1503" s="27" t="s">
        <v>1435</v>
      </c>
      <c r="C1503" s="28" t="s">
        <v>1434</v>
      </c>
      <c r="D1503" s="71" t="s">
        <v>1492</v>
      </c>
      <c r="E1503" s="28" t="s">
        <v>1491</v>
      </c>
      <c r="F1503" s="28" t="s">
        <v>1490</v>
      </c>
      <c r="G1503" s="27"/>
      <c r="H1503" s="28" t="s">
        <v>1517</v>
      </c>
      <c r="I1503" s="27"/>
      <c r="J1503" s="28" t="s">
        <v>1529</v>
      </c>
      <c r="K1503" s="27"/>
      <c r="L1503" s="25" t="s">
        <v>1533</v>
      </c>
      <c r="M1503" s="25" t="s">
        <v>1532</v>
      </c>
      <c r="N1503" s="25" t="s">
        <v>1532</v>
      </c>
      <c r="O1503" s="25">
        <v>0.2</v>
      </c>
      <c r="P1503" s="25">
        <v>0.2</v>
      </c>
      <c r="Q1503" s="25"/>
      <c r="R1503" s="25"/>
      <c r="S1503" s="25"/>
      <c r="T1503" s="25"/>
      <c r="U1503" s="31">
        <f t="shared" si="24"/>
        <v>0.4</v>
      </c>
      <c r="V1503" s="25"/>
      <c r="W1503" s="33" t="s">
        <v>1512</v>
      </c>
      <c r="X1503" s="33"/>
      <c r="Y1503" s="33"/>
      <c r="Z1503" s="33" t="s">
        <v>1531</v>
      </c>
      <c r="AA1503" s="33"/>
    </row>
    <row r="1504" spans="1:27" s="70" customFormat="1" ht="67.5" x14ac:dyDescent="0.2">
      <c r="A1504" s="24">
        <v>1500</v>
      </c>
      <c r="B1504" s="27" t="s">
        <v>1435</v>
      </c>
      <c r="C1504" s="28" t="s">
        <v>1434</v>
      </c>
      <c r="D1504" s="71" t="s">
        <v>1492</v>
      </c>
      <c r="E1504" s="28" t="s">
        <v>1491</v>
      </c>
      <c r="F1504" s="28" t="s">
        <v>1490</v>
      </c>
      <c r="G1504" s="27"/>
      <c r="H1504" s="28" t="s">
        <v>1517</v>
      </c>
      <c r="I1504" s="27"/>
      <c r="J1504" s="28" t="s">
        <v>1529</v>
      </c>
      <c r="K1504" s="27"/>
      <c r="L1504" s="25" t="s">
        <v>1530</v>
      </c>
      <c r="M1504" s="25" t="s">
        <v>1527</v>
      </c>
      <c r="N1504" s="25">
        <v>300</v>
      </c>
      <c r="O1504" s="25">
        <v>6</v>
      </c>
      <c r="P1504" s="25">
        <v>5</v>
      </c>
      <c r="Q1504" s="25"/>
      <c r="R1504" s="25"/>
      <c r="S1504" s="25">
        <v>3</v>
      </c>
      <c r="T1504" s="25">
        <v>2</v>
      </c>
      <c r="U1504" s="31">
        <f t="shared" si="24"/>
        <v>16</v>
      </c>
      <c r="V1504" s="25"/>
      <c r="W1504" s="33" t="s">
        <v>1512</v>
      </c>
      <c r="X1504" s="33"/>
      <c r="Y1504" s="33"/>
      <c r="Z1504" s="33" t="s">
        <v>1511</v>
      </c>
      <c r="AA1504" s="33"/>
    </row>
    <row r="1505" spans="1:27" s="70" customFormat="1" ht="45" x14ac:dyDescent="0.2">
      <c r="A1505" s="24">
        <v>1501</v>
      </c>
      <c r="B1505" s="27" t="s">
        <v>1435</v>
      </c>
      <c r="C1505" s="28" t="s">
        <v>1434</v>
      </c>
      <c r="D1505" s="71" t="s">
        <v>1492</v>
      </c>
      <c r="E1505" s="28" t="s">
        <v>1491</v>
      </c>
      <c r="F1505" s="28" t="s">
        <v>1490</v>
      </c>
      <c r="G1505" s="27"/>
      <c r="H1505" s="28" t="s">
        <v>1517</v>
      </c>
      <c r="I1505" s="27"/>
      <c r="J1505" s="28" t="s">
        <v>1529</v>
      </c>
      <c r="K1505" s="27"/>
      <c r="L1505" s="25" t="s">
        <v>1528</v>
      </c>
      <c r="M1505" s="25" t="s">
        <v>1527</v>
      </c>
      <c r="N1505" s="25">
        <v>350</v>
      </c>
      <c r="O1505" s="25">
        <v>3</v>
      </c>
      <c r="P1505" s="25">
        <v>2</v>
      </c>
      <c r="Q1505" s="25"/>
      <c r="R1505" s="25"/>
      <c r="S1505" s="25">
        <v>1</v>
      </c>
      <c r="T1505" s="25">
        <v>1</v>
      </c>
      <c r="U1505" s="31">
        <f t="shared" si="24"/>
        <v>7</v>
      </c>
      <c r="V1505" s="25"/>
      <c r="W1505" s="33" t="s">
        <v>1512</v>
      </c>
      <c r="X1505" s="33"/>
      <c r="Y1505" s="33"/>
      <c r="Z1505" s="33" t="s">
        <v>1511</v>
      </c>
      <c r="AA1505" s="33"/>
    </row>
    <row r="1506" spans="1:27" s="70" customFormat="1" ht="45" x14ac:dyDescent="0.2">
      <c r="A1506" s="24">
        <v>1502</v>
      </c>
      <c r="B1506" s="27" t="s">
        <v>1435</v>
      </c>
      <c r="C1506" s="28" t="s">
        <v>1434</v>
      </c>
      <c r="D1506" s="71" t="s">
        <v>1492</v>
      </c>
      <c r="E1506" s="28" t="s">
        <v>1491</v>
      </c>
      <c r="F1506" s="28" t="s">
        <v>1490</v>
      </c>
      <c r="G1506" s="27"/>
      <c r="H1506" s="28" t="s">
        <v>1517</v>
      </c>
      <c r="I1506" s="27"/>
      <c r="J1506" s="28" t="s">
        <v>1526</v>
      </c>
      <c r="K1506" s="27"/>
      <c r="L1506" s="25"/>
      <c r="M1506" s="25"/>
      <c r="N1506" s="25"/>
      <c r="O1506" s="25"/>
      <c r="P1506" s="25"/>
      <c r="Q1506" s="25"/>
      <c r="R1506" s="25"/>
      <c r="S1506" s="25"/>
      <c r="T1506" s="25"/>
      <c r="U1506" s="31">
        <f t="shared" si="24"/>
        <v>0</v>
      </c>
      <c r="V1506" s="25"/>
      <c r="W1506" s="33"/>
      <c r="X1506" s="33"/>
      <c r="Y1506" s="33"/>
      <c r="Z1506" s="33"/>
      <c r="AA1506" s="33"/>
    </row>
    <row r="1507" spans="1:27" s="70" customFormat="1" ht="78.75" x14ac:dyDescent="0.2">
      <c r="A1507" s="24">
        <v>1503</v>
      </c>
      <c r="B1507" s="27" t="s">
        <v>1435</v>
      </c>
      <c r="C1507" s="28" t="s">
        <v>1434</v>
      </c>
      <c r="D1507" s="71" t="s">
        <v>1492</v>
      </c>
      <c r="E1507" s="28" t="s">
        <v>1491</v>
      </c>
      <c r="F1507" s="28" t="s">
        <v>1490</v>
      </c>
      <c r="G1507" s="27"/>
      <c r="H1507" s="28" t="s">
        <v>1517</v>
      </c>
      <c r="I1507" s="27"/>
      <c r="J1507" s="28" t="s">
        <v>1524</v>
      </c>
      <c r="K1507" s="27"/>
      <c r="L1507" s="25" t="s">
        <v>1525</v>
      </c>
      <c r="M1507" s="25" t="s">
        <v>1499</v>
      </c>
      <c r="N1507" s="25">
        <v>50</v>
      </c>
      <c r="O1507" s="25">
        <v>8</v>
      </c>
      <c r="P1507" s="25">
        <v>6</v>
      </c>
      <c r="Q1507" s="25"/>
      <c r="R1507" s="25"/>
      <c r="S1507" s="25">
        <v>2</v>
      </c>
      <c r="T1507" s="25">
        <v>2</v>
      </c>
      <c r="U1507" s="31">
        <f t="shared" si="24"/>
        <v>18</v>
      </c>
      <c r="V1507" s="25"/>
      <c r="W1507" s="33" t="s">
        <v>1507</v>
      </c>
      <c r="X1507" s="33"/>
      <c r="Y1507" s="33"/>
      <c r="Z1507" s="33" t="s">
        <v>1511</v>
      </c>
      <c r="AA1507" s="33"/>
    </row>
    <row r="1508" spans="1:27" s="70" customFormat="1" ht="45" x14ac:dyDescent="0.2">
      <c r="A1508" s="24">
        <v>1504</v>
      </c>
      <c r="B1508" s="27" t="s">
        <v>1435</v>
      </c>
      <c r="C1508" s="28" t="s">
        <v>1434</v>
      </c>
      <c r="D1508" s="71" t="s">
        <v>1492</v>
      </c>
      <c r="E1508" s="28" t="s">
        <v>1491</v>
      </c>
      <c r="F1508" s="28" t="s">
        <v>1490</v>
      </c>
      <c r="G1508" s="27"/>
      <c r="H1508" s="28" t="s">
        <v>1517</v>
      </c>
      <c r="I1508" s="27"/>
      <c r="J1508" s="28" t="s">
        <v>1524</v>
      </c>
      <c r="K1508" s="27"/>
      <c r="L1508" s="25" t="s">
        <v>1523</v>
      </c>
      <c r="M1508" s="25" t="s">
        <v>1499</v>
      </c>
      <c r="N1508" s="25">
        <v>150</v>
      </c>
      <c r="O1508" s="25">
        <v>4</v>
      </c>
      <c r="P1508" s="25">
        <v>3</v>
      </c>
      <c r="Q1508" s="25"/>
      <c r="R1508" s="25"/>
      <c r="S1508" s="25">
        <v>1</v>
      </c>
      <c r="T1508" s="25">
        <v>1</v>
      </c>
      <c r="U1508" s="31">
        <f t="shared" si="24"/>
        <v>9</v>
      </c>
      <c r="V1508" s="25"/>
      <c r="W1508" s="33" t="s">
        <v>1512</v>
      </c>
      <c r="X1508" s="33"/>
      <c r="Y1508" s="33"/>
      <c r="Z1508" s="33" t="s">
        <v>1511</v>
      </c>
      <c r="AA1508" s="33"/>
    </row>
    <row r="1509" spans="1:27" s="70" customFormat="1" ht="45" x14ac:dyDescent="0.2">
      <c r="A1509" s="24">
        <v>1505</v>
      </c>
      <c r="B1509" s="27" t="s">
        <v>1435</v>
      </c>
      <c r="C1509" s="28" t="s">
        <v>1434</v>
      </c>
      <c r="D1509" s="71" t="s">
        <v>1492</v>
      </c>
      <c r="E1509" s="28" t="s">
        <v>1491</v>
      </c>
      <c r="F1509" s="28" t="s">
        <v>1490</v>
      </c>
      <c r="G1509" s="27"/>
      <c r="H1509" s="28" t="s">
        <v>1517</v>
      </c>
      <c r="I1509" s="27"/>
      <c r="J1509" s="28" t="s">
        <v>1522</v>
      </c>
      <c r="K1509" s="27"/>
      <c r="L1509" s="25"/>
      <c r="M1509" s="25"/>
      <c r="N1509" s="25"/>
      <c r="O1509" s="25"/>
      <c r="P1509" s="25"/>
      <c r="Q1509" s="25"/>
      <c r="R1509" s="25"/>
      <c r="S1509" s="25"/>
      <c r="T1509" s="25"/>
      <c r="U1509" s="31">
        <f t="shared" si="24"/>
        <v>0</v>
      </c>
      <c r="V1509" s="25"/>
      <c r="W1509" s="33"/>
      <c r="X1509" s="33"/>
      <c r="Y1509" s="33"/>
      <c r="Z1509" s="33"/>
      <c r="AA1509" s="33"/>
    </row>
    <row r="1510" spans="1:27" s="70" customFormat="1" ht="45" x14ac:dyDescent="0.2">
      <c r="A1510" s="24">
        <v>1506</v>
      </c>
      <c r="B1510" s="27" t="s">
        <v>1435</v>
      </c>
      <c r="C1510" s="28" t="s">
        <v>1434</v>
      </c>
      <c r="D1510" s="71" t="s">
        <v>1492</v>
      </c>
      <c r="E1510" s="28" t="s">
        <v>1491</v>
      </c>
      <c r="F1510" s="28" t="s">
        <v>1490</v>
      </c>
      <c r="G1510" s="27"/>
      <c r="H1510" s="28" t="s">
        <v>1517</v>
      </c>
      <c r="I1510" s="27"/>
      <c r="J1510" s="28" t="s">
        <v>1521</v>
      </c>
      <c r="K1510" s="27"/>
      <c r="L1510" s="25"/>
      <c r="M1510" s="25"/>
      <c r="N1510" s="25"/>
      <c r="O1510" s="25"/>
      <c r="P1510" s="25"/>
      <c r="Q1510" s="25"/>
      <c r="R1510" s="25"/>
      <c r="S1510" s="25"/>
      <c r="T1510" s="25"/>
      <c r="U1510" s="31">
        <f t="shared" si="24"/>
        <v>0</v>
      </c>
      <c r="V1510" s="25"/>
      <c r="W1510" s="33"/>
      <c r="X1510" s="33"/>
      <c r="Y1510" s="33"/>
      <c r="Z1510" s="33"/>
      <c r="AA1510" s="33"/>
    </row>
    <row r="1511" spans="1:27" s="70" customFormat="1" ht="67.5" x14ac:dyDescent="0.2">
      <c r="A1511" s="24">
        <v>1507</v>
      </c>
      <c r="B1511" s="27" t="s">
        <v>1435</v>
      </c>
      <c r="C1511" s="28" t="s">
        <v>1434</v>
      </c>
      <c r="D1511" s="71" t="s">
        <v>1492</v>
      </c>
      <c r="E1511" s="28" t="s">
        <v>1491</v>
      </c>
      <c r="F1511" s="28" t="s">
        <v>1490</v>
      </c>
      <c r="G1511" s="27"/>
      <c r="H1511" s="28" t="s">
        <v>1517</v>
      </c>
      <c r="I1511" s="27"/>
      <c r="J1511" s="28" t="s">
        <v>1516</v>
      </c>
      <c r="K1511" s="27"/>
      <c r="L1511" s="25" t="s">
        <v>1520</v>
      </c>
      <c r="M1511" s="25" t="s">
        <v>1501</v>
      </c>
      <c r="N1511" s="25" t="s">
        <v>1498</v>
      </c>
      <c r="O1511" s="25">
        <v>5</v>
      </c>
      <c r="P1511" s="25">
        <v>4</v>
      </c>
      <c r="Q1511" s="25"/>
      <c r="R1511" s="25"/>
      <c r="S1511" s="25">
        <v>0.5</v>
      </c>
      <c r="T1511" s="25">
        <v>0.5</v>
      </c>
      <c r="U1511" s="31">
        <f t="shared" si="24"/>
        <v>10</v>
      </c>
      <c r="V1511" s="25"/>
      <c r="W1511" s="33" t="s">
        <v>1507</v>
      </c>
      <c r="X1511" s="33"/>
      <c r="Y1511" s="33"/>
      <c r="Z1511" s="33" t="s">
        <v>1519</v>
      </c>
      <c r="AA1511" s="33"/>
    </row>
    <row r="1512" spans="1:27" s="70" customFormat="1" ht="45" x14ac:dyDescent="0.2">
      <c r="A1512" s="24">
        <v>1508</v>
      </c>
      <c r="B1512" s="27" t="s">
        <v>1435</v>
      </c>
      <c r="C1512" s="28" t="s">
        <v>1434</v>
      </c>
      <c r="D1512" s="71" t="s">
        <v>1492</v>
      </c>
      <c r="E1512" s="28" t="s">
        <v>1491</v>
      </c>
      <c r="F1512" s="28" t="s">
        <v>1490</v>
      </c>
      <c r="G1512" s="27"/>
      <c r="H1512" s="28" t="s">
        <v>1517</v>
      </c>
      <c r="I1512" s="27"/>
      <c r="J1512" s="28" t="s">
        <v>1516</v>
      </c>
      <c r="K1512" s="27"/>
      <c r="L1512" s="25" t="s">
        <v>1518</v>
      </c>
      <c r="M1512" s="25" t="s">
        <v>1501</v>
      </c>
      <c r="N1512" s="25" t="s">
        <v>1498</v>
      </c>
      <c r="O1512" s="25">
        <v>0.5</v>
      </c>
      <c r="P1512" s="25">
        <v>0.5</v>
      </c>
      <c r="Q1512" s="25"/>
      <c r="R1512" s="25"/>
      <c r="S1512" s="25">
        <v>0.5</v>
      </c>
      <c r="T1512" s="25">
        <v>0.5</v>
      </c>
      <c r="U1512" s="31">
        <f t="shared" si="24"/>
        <v>2</v>
      </c>
      <c r="V1512" s="25"/>
      <c r="W1512" s="33" t="s">
        <v>22</v>
      </c>
      <c r="X1512" s="33"/>
      <c r="Y1512" s="33"/>
      <c r="Z1512" s="33" t="s">
        <v>189</v>
      </c>
      <c r="AA1512" s="33"/>
    </row>
    <row r="1513" spans="1:27" s="70" customFormat="1" ht="45" x14ac:dyDescent="0.2">
      <c r="A1513" s="24">
        <v>1509</v>
      </c>
      <c r="B1513" s="27" t="s">
        <v>1435</v>
      </c>
      <c r="C1513" s="28" t="s">
        <v>1434</v>
      </c>
      <c r="D1513" s="71" t="s">
        <v>1492</v>
      </c>
      <c r="E1513" s="28" t="s">
        <v>1491</v>
      </c>
      <c r="F1513" s="28" t="s">
        <v>1490</v>
      </c>
      <c r="G1513" s="27"/>
      <c r="H1513" s="28" t="s">
        <v>1517</v>
      </c>
      <c r="I1513" s="27"/>
      <c r="J1513" s="28" t="s">
        <v>1516</v>
      </c>
      <c r="K1513" s="27"/>
      <c r="L1513" s="25" t="s">
        <v>1515</v>
      </c>
      <c r="M1513" s="25" t="s">
        <v>1495</v>
      </c>
      <c r="N1513" s="25" t="s">
        <v>1494</v>
      </c>
      <c r="O1513" s="25">
        <v>25</v>
      </c>
      <c r="P1513" s="25">
        <v>20</v>
      </c>
      <c r="Q1513" s="25"/>
      <c r="R1513" s="25"/>
      <c r="S1513" s="25">
        <v>5</v>
      </c>
      <c r="T1513" s="25">
        <v>5</v>
      </c>
      <c r="U1513" s="31">
        <f t="shared" si="24"/>
        <v>55</v>
      </c>
      <c r="V1513" s="25"/>
      <c r="W1513" s="33" t="s">
        <v>22</v>
      </c>
      <c r="X1513" s="33"/>
      <c r="Y1513" s="33"/>
      <c r="Z1513" s="33" t="s">
        <v>189</v>
      </c>
      <c r="AA1513" s="33"/>
    </row>
    <row r="1514" spans="1:27" s="70" customFormat="1" ht="101.25" x14ac:dyDescent="0.2">
      <c r="A1514" s="24">
        <v>1510</v>
      </c>
      <c r="B1514" s="27" t="s">
        <v>1435</v>
      </c>
      <c r="C1514" s="28" t="s">
        <v>1434</v>
      </c>
      <c r="D1514" s="71" t="s">
        <v>1492</v>
      </c>
      <c r="E1514" s="28" t="s">
        <v>1491</v>
      </c>
      <c r="F1514" s="28" t="s">
        <v>1490</v>
      </c>
      <c r="G1514" s="27"/>
      <c r="H1514" s="28" t="s">
        <v>1510</v>
      </c>
      <c r="I1514" s="27"/>
      <c r="J1514" s="28" t="s">
        <v>1514</v>
      </c>
      <c r="K1514" s="27"/>
      <c r="L1514" s="25" t="s">
        <v>1513</v>
      </c>
      <c r="M1514" s="25" t="s">
        <v>1499</v>
      </c>
      <c r="N1514" s="25" t="s">
        <v>1498</v>
      </c>
      <c r="O1514" s="25"/>
      <c r="P1514" s="25"/>
      <c r="Q1514" s="25"/>
      <c r="R1514" s="25"/>
      <c r="S1514" s="25"/>
      <c r="T1514" s="25"/>
      <c r="U1514" s="31">
        <f t="shared" si="24"/>
        <v>0</v>
      </c>
      <c r="V1514" s="25"/>
      <c r="W1514" s="33" t="s">
        <v>1512</v>
      </c>
      <c r="X1514" s="33"/>
      <c r="Y1514" s="33"/>
      <c r="Z1514" s="33" t="s">
        <v>1511</v>
      </c>
      <c r="AA1514" s="33"/>
    </row>
    <row r="1515" spans="1:27" s="70" customFormat="1" ht="56.25" x14ac:dyDescent="0.2">
      <c r="A1515" s="24">
        <v>1511</v>
      </c>
      <c r="B1515" s="27" t="s">
        <v>1435</v>
      </c>
      <c r="C1515" s="28" t="s">
        <v>1434</v>
      </c>
      <c r="D1515" s="71" t="s">
        <v>1492</v>
      </c>
      <c r="E1515" s="28" t="s">
        <v>1491</v>
      </c>
      <c r="F1515" s="28" t="s">
        <v>1490</v>
      </c>
      <c r="G1515" s="27"/>
      <c r="H1515" s="28" t="s">
        <v>1510</v>
      </c>
      <c r="I1515" s="27"/>
      <c r="J1515" s="28" t="s">
        <v>1509</v>
      </c>
      <c r="K1515" s="27"/>
      <c r="L1515" s="25" t="s">
        <v>1508</v>
      </c>
      <c r="M1515" s="25" t="s">
        <v>1499</v>
      </c>
      <c r="N1515" s="25">
        <v>30</v>
      </c>
      <c r="O1515" s="25"/>
      <c r="P1515" s="25"/>
      <c r="Q1515" s="25"/>
      <c r="R1515" s="25"/>
      <c r="S1515" s="25"/>
      <c r="T1515" s="25"/>
      <c r="U1515" s="31">
        <f t="shared" si="24"/>
        <v>0</v>
      </c>
      <c r="V1515" s="25"/>
      <c r="W1515" s="33" t="s">
        <v>1507</v>
      </c>
      <c r="X1515" s="33"/>
      <c r="Y1515" s="33"/>
      <c r="Z1515" s="33" t="s">
        <v>1505</v>
      </c>
      <c r="AA1515" s="33"/>
    </row>
    <row r="1516" spans="1:27" s="70" customFormat="1" ht="45" x14ac:dyDescent="0.2">
      <c r="A1516" s="24">
        <v>1512</v>
      </c>
      <c r="B1516" s="27" t="s">
        <v>1435</v>
      </c>
      <c r="C1516" s="28" t="s">
        <v>1434</v>
      </c>
      <c r="D1516" s="71" t="s">
        <v>1492</v>
      </c>
      <c r="E1516" s="28" t="s">
        <v>1491</v>
      </c>
      <c r="F1516" s="28" t="s">
        <v>1490</v>
      </c>
      <c r="G1516" s="27"/>
      <c r="H1516" s="28" t="s">
        <v>1489</v>
      </c>
      <c r="I1516" s="27"/>
      <c r="J1516" s="28" t="s">
        <v>1489</v>
      </c>
      <c r="K1516" s="27"/>
      <c r="L1516" s="25" t="s">
        <v>1506</v>
      </c>
      <c r="M1516" s="25" t="s">
        <v>1499</v>
      </c>
      <c r="N1516" s="25" t="s">
        <v>1498</v>
      </c>
      <c r="O1516" s="25"/>
      <c r="P1516" s="25"/>
      <c r="Q1516" s="25"/>
      <c r="R1516" s="25"/>
      <c r="S1516" s="25"/>
      <c r="T1516" s="25"/>
      <c r="U1516" s="31">
        <f t="shared" si="24"/>
        <v>0</v>
      </c>
      <c r="V1516" s="25"/>
      <c r="W1516" s="33" t="s">
        <v>198</v>
      </c>
      <c r="X1516" s="33"/>
      <c r="Y1516" s="33"/>
      <c r="Z1516" s="33" t="s">
        <v>1505</v>
      </c>
      <c r="AA1516" s="33"/>
    </row>
    <row r="1517" spans="1:27" s="70" customFormat="1" ht="45" x14ac:dyDescent="0.2">
      <c r="A1517" s="24">
        <v>1513</v>
      </c>
      <c r="B1517" s="27" t="s">
        <v>1435</v>
      </c>
      <c r="C1517" s="28" t="s">
        <v>1434</v>
      </c>
      <c r="D1517" s="71" t="s">
        <v>1492</v>
      </c>
      <c r="E1517" s="28" t="s">
        <v>1491</v>
      </c>
      <c r="F1517" s="28" t="s">
        <v>1490</v>
      </c>
      <c r="G1517" s="27"/>
      <c r="H1517" s="28" t="s">
        <v>1489</v>
      </c>
      <c r="I1517" s="27"/>
      <c r="J1517" s="28" t="s">
        <v>1489</v>
      </c>
      <c r="K1517" s="27"/>
      <c r="L1517" s="25" t="s">
        <v>1504</v>
      </c>
      <c r="M1517" s="25" t="s">
        <v>1503</v>
      </c>
      <c r="N1517" s="25">
        <v>12</v>
      </c>
      <c r="O1517" s="25">
        <v>10</v>
      </c>
      <c r="P1517" s="25">
        <v>8</v>
      </c>
      <c r="Q1517" s="25"/>
      <c r="R1517" s="25"/>
      <c r="S1517" s="25"/>
      <c r="T1517" s="25"/>
      <c r="U1517" s="31">
        <f t="shared" si="24"/>
        <v>18</v>
      </c>
      <c r="V1517" s="25"/>
      <c r="W1517" s="33" t="s">
        <v>22</v>
      </c>
      <c r="X1517" s="33"/>
      <c r="Y1517" s="33"/>
      <c r="Z1517" s="33" t="s">
        <v>189</v>
      </c>
      <c r="AA1517" s="33"/>
    </row>
    <row r="1518" spans="1:27" s="70" customFormat="1" ht="45" x14ac:dyDescent="0.2">
      <c r="A1518" s="24">
        <v>1514</v>
      </c>
      <c r="B1518" s="27" t="s">
        <v>1435</v>
      </c>
      <c r="C1518" s="28" t="s">
        <v>1434</v>
      </c>
      <c r="D1518" s="71" t="s">
        <v>1492</v>
      </c>
      <c r="E1518" s="28" t="s">
        <v>1491</v>
      </c>
      <c r="F1518" s="28" t="s">
        <v>1490</v>
      </c>
      <c r="G1518" s="27"/>
      <c r="H1518" s="28" t="s">
        <v>1489</v>
      </c>
      <c r="I1518" s="27"/>
      <c r="J1518" s="28" t="s">
        <v>1489</v>
      </c>
      <c r="K1518" s="27"/>
      <c r="L1518" s="25" t="s">
        <v>1502</v>
      </c>
      <c r="M1518" s="25" t="s">
        <v>1501</v>
      </c>
      <c r="N1518" s="25" t="s">
        <v>1498</v>
      </c>
      <c r="O1518" s="25">
        <v>0.5</v>
      </c>
      <c r="P1518" s="25">
        <v>0.5</v>
      </c>
      <c r="Q1518" s="25"/>
      <c r="R1518" s="25"/>
      <c r="S1518" s="25">
        <v>0.5</v>
      </c>
      <c r="T1518" s="25">
        <v>0.5</v>
      </c>
      <c r="U1518" s="31">
        <f t="shared" si="24"/>
        <v>2</v>
      </c>
      <c r="V1518" s="25"/>
      <c r="W1518" s="33" t="s">
        <v>22</v>
      </c>
      <c r="X1518" s="33"/>
      <c r="Y1518" s="33"/>
      <c r="Z1518" s="33" t="s">
        <v>189</v>
      </c>
      <c r="AA1518" s="33"/>
    </row>
    <row r="1519" spans="1:27" s="70" customFormat="1" ht="45" x14ac:dyDescent="0.2">
      <c r="A1519" s="24">
        <v>1515</v>
      </c>
      <c r="B1519" s="27" t="s">
        <v>1435</v>
      </c>
      <c r="C1519" s="28" t="s">
        <v>1434</v>
      </c>
      <c r="D1519" s="71" t="s">
        <v>1492</v>
      </c>
      <c r="E1519" s="28" t="s">
        <v>1491</v>
      </c>
      <c r="F1519" s="28" t="s">
        <v>1490</v>
      </c>
      <c r="G1519" s="27"/>
      <c r="H1519" s="28" t="s">
        <v>1489</v>
      </c>
      <c r="I1519" s="27"/>
      <c r="J1519" s="28" t="s">
        <v>1489</v>
      </c>
      <c r="K1519" s="27"/>
      <c r="L1519" s="25" t="s">
        <v>1500</v>
      </c>
      <c r="M1519" s="25" t="s">
        <v>1499</v>
      </c>
      <c r="N1519" s="25" t="s">
        <v>1498</v>
      </c>
      <c r="O1519" s="25"/>
      <c r="P1519" s="25"/>
      <c r="Q1519" s="25"/>
      <c r="R1519" s="25"/>
      <c r="S1519" s="25"/>
      <c r="T1519" s="25"/>
      <c r="U1519" s="31">
        <f t="shared" si="24"/>
        <v>0</v>
      </c>
      <c r="V1519" s="25"/>
      <c r="W1519" s="33" t="s">
        <v>22</v>
      </c>
      <c r="X1519" s="33"/>
      <c r="Y1519" s="33"/>
      <c r="Z1519" s="33" t="s">
        <v>189</v>
      </c>
      <c r="AA1519" s="33"/>
    </row>
    <row r="1520" spans="1:27" s="70" customFormat="1" ht="45" x14ac:dyDescent="0.2">
      <c r="A1520" s="24">
        <v>1516</v>
      </c>
      <c r="B1520" s="27" t="s">
        <v>1435</v>
      </c>
      <c r="C1520" s="28" t="s">
        <v>1434</v>
      </c>
      <c r="D1520" s="71" t="s">
        <v>1492</v>
      </c>
      <c r="E1520" s="28" t="s">
        <v>1491</v>
      </c>
      <c r="F1520" s="28" t="s">
        <v>1490</v>
      </c>
      <c r="G1520" s="27"/>
      <c r="H1520" s="28" t="s">
        <v>1489</v>
      </c>
      <c r="I1520" s="27"/>
      <c r="J1520" s="28" t="s">
        <v>1489</v>
      </c>
      <c r="K1520" s="27"/>
      <c r="L1520" s="25" t="s">
        <v>1497</v>
      </c>
      <c r="M1520" s="25" t="s">
        <v>1495</v>
      </c>
      <c r="N1520" s="25" t="s">
        <v>1494</v>
      </c>
      <c r="O1520" s="25">
        <v>10</v>
      </c>
      <c r="P1520" s="25">
        <v>5</v>
      </c>
      <c r="Q1520" s="25"/>
      <c r="R1520" s="25"/>
      <c r="S1520" s="25">
        <v>20</v>
      </c>
      <c r="T1520" s="25">
        <v>20</v>
      </c>
      <c r="U1520" s="31">
        <f t="shared" si="24"/>
        <v>55</v>
      </c>
      <c r="V1520" s="25"/>
      <c r="W1520" s="33" t="s">
        <v>22</v>
      </c>
      <c r="X1520" s="33"/>
      <c r="Y1520" s="33"/>
      <c r="Z1520" s="33" t="s">
        <v>189</v>
      </c>
      <c r="AA1520" s="33"/>
    </row>
    <row r="1521" spans="1:27" s="70" customFormat="1" ht="45" x14ac:dyDescent="0.2">
      <c r="A1521" s="24">
        <v>1517</v>
      </c>
      <c r="B1521" s="27" t="s">
        <v>1435</v>
      </c>
      <c r="C1521" s="28" t="s">
        <v>1434</v>
      </c>
      <c r="D1521" s="71" t="s">
        <v>1492</v>
      </c>
      <c r="E1521" s="28" t="s">
        <v>1491</v>
      </c>
      <c r="F1521" s="28" t="s">
        <v>1490</v>
      </c>
      <c r="G1521" s="27"/>
      <c r="H1521" s="28" t="s">
        <v>1489</v>
      </c>
      <c r="I1521" s="27"/>
      <c r="J1521" s="28" t="s">
        <v>1489</v>
      </c>
      <c r="K1521" s="27"/>
      <c r="L1521" s="25" t="s">
        <v>1496</v>
      </c>
      <c r="M1521" s="25" t="s">
        <v>1495</v>
      </c>
      <c r="N1521" s="25" t="s">
        <v>1494</v>
      </c>
      <c r="O1521" s="25">
        <v>1</v>
      </c>
      <c r="P1521" s="25">
        <v>1</v>
      </c>
      <c r="Q1521" s="25"/>
      <c r="R1521" s="25"/>
      <c r="S1521" s="25">
        <v>1</v>
      </c>
      <c r="T1521" s="25">
        <v>1</v>
      </c>
      <c r="U1521" s="31">
        <f t="shared" si="24"/>
        <v>4</v>
      </c>
      <c r="V1521" s="25"/>
      <c r="W1521" s="33" t="s">
        <v>22</v>
      </c>
      <c r="X1521" s="33"/>
      <c r="Y1521" s="33"/>
      <c r="Z1521" s="33" t="s">
        <v>189</v>
      </c>
      <c r="AA1521" s="33"/>
    </row>
    <row r="1522" spans="1:27" s="70" customFormat="1" ht="45" x14ac:dyDescent="0.2">
      <c r="A1522" s="24">
        <v>1518</v>
      </c>
      <c r="B1522" s="27" t="s">
        <v>1435</v>
      </c>
      <c r="C1522" s="28" t="s">
        <v>1434</v>
      </c>
      <c r="D1522" s="71" t="s">
        <v>1492</v>
      </c>
      <c r="E1522" s="28" t="s">
        <v>1491</v>
      </c>
      <c r="F1522" s="28" t="s">
        <v>1490</v>
      </c>
      <c r="G1522" s="27"/>
      <c r="H1522" s="28" t="s">
        <v>1489</v>
      </c>
      <c r="I1522" s="27"/>
      <c r="J1522" s="28" t="s">
        <v>1489</v>
      </c>
      <c r="K1522" s="27"/>
      <c r="L1522" s="25" t="s">
        <v>1493</v>
      </c>
      <c r="M1522" s="25" t="s">
        <v>1187</v>
      </c>
      <c r="N1522" s="25">
        <v>4</v>
      </c>
      <c r="O1522" s="25"/>
      <c r="P1522" s="25"/>
      <c r="Q1522" s="25"/>
      <c r="R1522" s="25"/>
      <c r="S1522" s="25">
        <v>2</v>
      </c>
      <c r="T1522" s="25">
        <v>2</v>
      </c>
      <c r="U1522" s="31">
        <f t="shared" si="24"/>
        <v>4</v>
      </c>
      <c r="V1522" s="25"/>
      <c r="W1522" s="33" t="s">
        <v>1025</v>
      </c>
      <c r="X1522" s="33"/>
      <c r="Y1522" s="33"/>
      <c r="Z1522" s="33" t="s">
        <v>986</v>
      </c>
      <c r="AA1522" s="33"/>
    </row>
    <row r="1523" spans="1:27" s="70" customFormat="1" ht="45" x14ac:dyDescent="0.2">
      <c r="A1523" s="24">
        <v>1519</v>
      </c>
      <c r="B1523" s="27" t="s">
        <v>1435</v>
      </c>
      <c r="C1523" s="28" t="s">
        <v>1434</v>
      </c>
      <c r="D1523" s="71" t="s">
        <v>1492</v>
      </c>
      <c r="E1523" s="28" t="s">
        <v>1491</v>
      </c>
      <c r="F1523" s="28" t="s">
        <v>1490</v>
      </c>
      <c r="G1523" s="27"/>
      <c r="H1523" s="28" t="s">
        <v>1489</v>
      </c>
      <c r="I1523" s="27"/>
      <c r="J1523" s="28" t="s">
        <v>1489</v>
      </c>
      <c r="K1523" s="27"/>
      <c r="L1523" s="25" t="s">
        <v>1488</v>
      </c>
      <c r="M1523" s="25" t="s">
        <v>1487</v>
      </c>
      <c r="N1523" s="25" t="s">
        <v>1486</v>
      </c>
      <c r="O1523" s="25"/>
      <c r="P1523" s="25"/>
      <c r="Q1523" s="25"/>
      <c r="R1523" s="25"/>
      <c r="S1523" s="25"/>
      <c r="T1523" s="25"/>
      <c r="U1523" s="31">
        <f t="shared" si="24"/>
        <v>0</v>
      </c>
      <c r="V1523" s="25"/>
      <c r="W1523" s="33" t="s">
        <v>355</v>
      </c>
      <c r="X1523" s="33"/>
      <c r="Y1523" s="33"/>
      <c r="Z1523" s="33">
        <v>1</v>
      </c>
      <c r="AA1523" s="33"/>
    </row>
    <row r="1524" spans="1:27" s="70" customFormat="1" ht="56.25" x14ac:dyDescent="0.2">
      <c r="A1524" s="24">
        <v>1520</v>
      </c>
      <c r="B1524" s="27" t="s">
        <v>1435</v>
      </c>
      <c r="C1524" s="28" t="s">
        <v>1434</v>
      </c>
      <c r="D1524" s="71" t="s">
        <v>1433</v>
      </c>
      <c r="E1524" s="28" t="s">
        <v>1432</v>
      </c>
      <c r="F1524" s="28" t="s">
        <v>1431</v>
      </c>
      <c r="G1524" s="27"/>
      <c r="H1524" s="28" t="s">
        <v>1474</v>
      </c>
      <c r="I1524" s="27"/>
      <c r="J1524" s="28" t="s">
        <v>1485</v>
      </c>
      <c r="K1524" s="27"/>
      <c r="L1524" s="25"/>
      <c r="M1524" s="25"/>
      <c r="N1524" s="25"/>
      <c r="O1524" s="25"/>
      <c r="P1524" s="25"/>
      <c r="Q1524" s="25"/>
      <c r="R1524" s="25"/>
      <c r="S1524" s="25"/>
      <c r="T1524" s="25"/>
      <c r="U1524" s="31">
        <f t="shared" si="24"/>
        <v>0</v>
      </c>
      <c r="V1524" s="25"/>
      <c r="W1524" s="33"/>
      <c r="X1524" s="33"/>
      <c r="Y1524" s="33"/>
      <c r="Z1524" s="33"/>
      <c r="AA1524" s="33"/>
    </row>
    <row r="1525" spans="1:27" s="70" customFormat="1" ht="45" x14ac:dyDescent="0.2">
      <c r="A1525" s="24">
        <v>1521</v>
      </c>
      <c r="B1525" s="27" t="s">
        <v>1435</v>
      </c>
      <c r="C1525" s="28" t="s">
        <v>1434</v>
      </c>
      <c r="D1525" s="71" t="s">
        <v>1433</v>
      </c>
      <c r="E1525" s="28" t="s">
        <v>1432</v>
      </c>
      <c r="F1525" s="28" t="s">
        <v>1431</v>
      </c>
      <c r="G1525" s="27"/>
      <c r="H1525" s="28" t="s">
        <v>1474</v>
      </c>
      <c r="I1525" s="27"/>
      <c r="J1525" s="28" t="s">
        <v>1483</v>
      </c>
      <c r="K1525" s="27"/>
      <c r="L1525" s="25" t="s">
        <v>1484</v>
      </c>
      <c r="M1525" s="25" t="s">
        <v>1428</v>
      </c>
      <c r="N1525" s="25">
        <v>100</v>
      </c>
      <c r="O1525" s="25">
        <v>16</v>
      </c>
      <c r="P1525" s="25">
        <v>16</v>
      </c>
      <c r="Q1525" s="25">
        <v>16</v>
      </c>
      <c r="R1525" s="25">
        <v>12</v>
      </c>
      <c r="S1525" s="25">
        <v>8</v>
      </c>
      <c r="T1525" s="25">
        <v>8</v>
      </c>
      <c r="U1525" s="31">
        <f t="shared" si="24"/>
        <v>76</v>
      </c>
      <c r="V1525" s="25"/>
      <c r="W1525" s="33" t="s">
        <v>198</v>
      </c>
      <c r="X1525" s="33"/>
      <c r="Y1525" s="33"/>
      <c r="Z1525" s="33" t="s">
        <v>349</v>
      </c>
      <c r="AA1525" s="33"/>
    </row>
    <row r="1526" spans="1:27" s="70" customFormat="1" ht="56.25" x14ac:dyDescent="0.2">
      <c r="A1526" s="24">
        <v>1522</v>
      </c>
      <c r="B1526" s="27" t="s">
        <v>1435</v>
      </c>
      <c r="C1526" s="28" t="s">
        <v>1434</v>
      </c>
      <c r="D1526" s="71" t="s">
        <v>1433</v>
      </c>
      <c r="E1526" s="28" t="s">
        <v>1432</v>
      </c>
      <c r="F1526" s="28" t="s">
        <v>1431</v>
      </c>
      <c r="G1526" s="27"/>
      <c r="H1526" s="28" t="s">
        <v>1474</v>
      </c>
      <c r="I1526" s="27"/>
      <c r="J1526" s="28" t="s">
        <v>1483</v>
      </c>
      <c r="K1526" s="27"/>
      <c r="L1526" s="25" t="s">
        <v>1482</v>
      </c>
      <c r="M1526" s="25" t="s">
        <v>1481</v>
      </c>
      <c r="N1526" s="25">
        <v>200</v>
      </c>
      <c r="O1526" s="25">
        <v>8</v>
      </c>
      <c r="P1526" s="25">
        <v>6</v>
      </c>
      <c r="Q1526" s="25">
        <v>4</v>
      </c>
      <c r="R1526" s="25">
        <v>4</v>
      </c>
      <c r="S1526" s="25">
        <v>3</v>
      </c>
      <c r="T1526" s="25">
        <v>2</v>
      </c>
      <c r="U1526" s="31">
        <f t="shared" si="24"/>
        <v>27</v>
      </c>
      <c r="V1526" s="25"/>
      <c r="W1526" s="33" t="s">
        <v>198</v>
      </c>
      <c r="X1526" s="33"/>
      <c r="Y1526" s="33"/>
      <c r="Z1526" s="33" t="s">
        <v>1475</v>
      </c>
      <c r="AA1526" s="33"/>
    </row>
    <row r="1527" spans="1:27" s="70" customFormat="1" ht="56.25" x14ac:dyDescent="0.2">
      <c r="A1527" s="24">
        <v>1523</v>
      </c>
      <c r="B1527" s="27" t="s">
        <v>1435</v>
      </c>
      <c r="C1527" s="28" t="s">
        <v>1434</v>
      </c>
      <c r="D1527" s="71" t="s">
        <v>1433</v>
      </c>
      <c r="E1527" s="28" t="s">
        <v>1432</v>
      </c>
      <c r="F1527" s="28" t="s">
        <v>1431</v>
      </c>
      <c r="G1527" s="27"/>
      <c r="H1527" s="28" t="s">
        <v>1474</v>
      </c>
      <c r="I1527" s="27"/>
      <c r="J1527" s="28" t="s">
        <v>1478</v>
      </c>
      <c r="K1527" s="27"/>
      <c r="L1527" s="25" t="s">
        <v>1480</v>
      </c>
      <c r="M1527" s="25" t="s">
        <v>1479</v>
      </c>
      <c r="N1527" s="25">
        <v>300</v>
      </c>
      <c r="O1527" s="25">
        <v>2</v>
      </c>
      <c r="P1527" s="25">
        <v>2</v>
      </c>
      <c r="Q1527" s="25">
        <v>2</v>
      </c>
      <c r="R1527" s="25">
        <v>2</v>
      </c>
      <c r="S1527" s="25">
        <v>1</v>
      </c>
      <c r="T1527" s="25">
        <v>1</v>
      </c>
      <c r="U1527" s="31">
        <f t="shared" si="24"/>
        <v>10</v>
      </c>
      <c r="V1527" s="25"/>
      <c r="W1527" s="33" t="s">
        <v>198</v>
      </c>
      <c r="X1527" s="33"/>
      <c r="Y1527" s="33"/>
      <c r="Z1527" s="33" t="s">
        <v>1475</v>
      </c>
      <c r="AA1527" s="33"/>
    </row>
    <row r="1528" spans="1:27" s="70" customFormat="1" ht="56.25" x14ac:dyDescent="0.2">
      <c r="A1528" s="24">
        <v>1524</v>
      </c>
      <c r="B1528" s="27" t="s">
        <v>1435</v>
      </c>
      <c r="C1528" s="28" t="s">
        <v>1434</v>
      </c>
      <c r="D1528" s="71" t="s">
        <v>1433</v>
      </c>
      <c r="E1528" s="28" t="s">
        <v>1432</v>
      </c>
      <c r="F1528" s="28" t="s">
        <v>1431</v>
      </c>
      <c r="G1528" s="27"/>
      <c r="H1528" s="28" t="s">
        <v>1474</v>
      </c>
      <c r="I1528" s="27"/>
      <c r="J1528" s="28" t="s">
        <v>1478</v>
      </c>
      <c r="K1528" s="27"/>
      <c r="L1528" s="25" t="s">
        <v>1477</v>
      </c>
      <c r="M1528" s="25" t="s">
        <v>1476</v>
      </c>
      <c r="N1528" s="25">
        <v>350</v>
      </c>
      <c r="O1528" s="25">
        <v>4</v>
      </c>
      <c r="P1528" s="25">
        <v>4</v>
      </c>
      <c r="Q1528" s="25">
        <v>4</v>
      </c>
      <c r="R1528" s="25">
        <v>4</v>
      </c>
      <c r="S1528" s="25">
        <v>4</v>
      </c>
      <c r="T1528" s="25">
        <v>4</v>
      </c>
      <c r="U1528" s="31">
        <f t="shared" si="24"/>
        <v>24</v>
      </c>
      <c r="V1528" s="25"/>
      <c r="W1528" s="33" t="s">
        <v>198</v>
      </c>
      <c r="X1528" s="33"/>
      <c r="Y1528" s="33"/>
      <c r="Z1528" s="33" t="s">
        <v>1475</v>
      </c>
      <c r="AA1528" s="33"/>
    </row>
    <row r="1529" spans="1:27" s="70" customFormat="1" ht="45" x14ac:dyDescent="0.2">
      <c r="A1529" s="24">
        <v>1525</v>
      </c>
      <c r="B1529" s="27" t="s">
        <v>1435</v>
      </c>
      <c r="C1529" s="28" t="s">
        <v>1434</v>
      </c>
      <c r="D1529" s="71" t="s">
        <v>1433</v>
      </c>
      <c r="E1529" s="28" t="s">
        <v>1432</v>
      </c>
      <c r="F1529" s="28" t="s">
        <v>1431</v>
      </c>
      <c r="G1529" s="27"/>
      <c r="H1529" s="28" t="s">
        <v>1474</v>
      </c>
      <c r="I1529" s="27"/>
      <c r="J1529" s="28" t="s">
        <v>1473</v>
      </c>
      <c r="K1529" s="27"/>
      <c r="L1529" s="25"/>
      <c r="M1529" s="25"/>
      <c r="N1529" s="25"/>
      <c r="O1529" s="25"/>
      <c r="P1529" s="25"/>
      <c r="Q1529" s="25"/>
      <c r="R1529" s="25"/>
      <c r="S1529" s="25"/>
      <c r="T1529" s="25"/>
      <c r="U1529" s="31">
        <f t="shared" si="24"/>
        <v>0</v>
      </c>
      <c r="V1529" s="25"/>
      <c r="W1529" s="33"/>
      <c r="X1529" s="33"/>
      <c r="Y1529" s="33"/>
      <c r="Z1529" s="33"/>
      <c r="AA1529" s="33"/>
    </row>
    <row r="1530" spans="1:27" s="70" customFormat="1" ht="45" x14ac:dyDescent="0.2">
      <c r="A1530" s="24">
        <v>1526</v>
      </c>
      <c r="B1530" s="27" t="s">
        <v>1435</v>
      </c>
      <c r="C1530" s="28" t="s">
        <v>1434</v>
      </c>
      <c r="D1530" s="71" t="s">
        <v>1433</v>
      </c>
      <c r="E1530" s="28" t="s">
        <v>1432</v>
      </c>
      <c r="F1530" s="28" t="s">
        <v>1431</v>
      </c>
      <c r="G1530" s="27"/>
      <c r="H1530" s="28" t="s">
        <v>1462</v>
      </c>
      <c r="I1530" s="27"/>
      <c r="J1530" s="28" t="s">
        <v>1472</v>
      </c>
      <c r="K1530" s="27"/>
      <c r="L1530" s="25"/>
      <c r="M1530" s="25"/>
      <c r="N1530" s="25"/>
      <c r="O1530" s="25"/>
      <c r="P1530" s="25"/>
      <c r="Q1530" s="25"/>
      <c r="R1530" s="25"/>
      <c r="S1530" s="25"/>
      <c r="T1530" s="25"/>
      <c r="U1530" s="31">
        <f t="shared" si="24"/>
        <v>0</v>
      </c>
      <c r="V1530" s="25"/>
      <c r="W1530" s="33"/>
      <c r="X1530" s="33"/>
      <c r="Y1530" s="33"/>
      <c r="Z1530" s="33"/>
      <c r="AA1530" s="33"/>
    </row>
    <row r="1531" spans="1:27" s="70" customFormat="1" ht="45" x14ac:dyDescent="0.2">
      <c r="A1531" s="24">
        <v>1527</v>
      </c>
      <c r="B1531" s="27" t="s">
        <v>1435</v>
      </c>
      <c r="C1531" s="28" t="s">
        <v>1434</v>
      </c>
      <c r="D1531" s="71" t="s">
        <v>1433</v>
      </c>
      <c r="E1531" s="28" t="s">
        <v>1432</v>
      </c>
      <c r="F1531" s="28" t="s">
        <v>1431</v>
      </c>
      <c r="G1531" s="27"/>
      <c r="H1531" s="28" t="s">
        <v>1462</v>
      </c>
      <c r="I1531" s="27"/>
      <c r="J1531" s="28" t="s">
        <v>1471</v>
      </c>
      <c r="K1531" s="27"/>
      <c r="L1531" s="25"/>
      <c r="M1531" s="25"/>
      <c r="N1531" s="25"/>
      <c r="O1531" s="25"/>
      <c r="P1531" s="25"/>
      <c r="Q1531" s="25"/>
      <c r="R1531" s="25"/>
      <c r="S1531" s="25"/>
      <c r="T1531" s="25"/>
      <c r="U1531" s="31">
        <f t="shared" si="24"/>
        <v>0</v>
      </c>
      <c r="V1531" s="25"/>
      <c r="W1531" s="33"/>
      <c r="X1531" s="33"/>
      <c r="Y1531" s="33"/>
      <c r="Z1531" s="33"/>
      <c r="AA1531" s="33"/>
    </row>
    <row r="1532" spans="1:27" s="70" customFormat="1" ht="90" x14ac:dyDescent="0.2">
      <c r="A1532" s="24">
        <v>1528</v>
      </c>
      <c r="B1532" s="27" t="s">
        <v>1435</v>
      </c>
      <c r="C1532" s="28" t="s">
        <v>1434</v>
      </c>
      <c r="D1532" s="71" t="s">
        <v>1433</v>
      </c>
      <c r="E1532" s="28" t="s">
        <v>1432</v>
      </c>
      <c r="F1532" s="28" t="s">
        <v>1431</v>
      </c>
      <c r="G1532" s="27"/>
      <c r="H1532" s="28" t="s">
        <v>1462</v>
      </c>
      <c r="I1532" s="27"/>
      <c r="J1532" s="28" t="s">
        <v>1470</v>
      </c>
      <c r="K1532" s="27"/>
      <c r="L1532" s="25"/>
      <c r="M1532" s="25"/>
      <c r="N1532" s="25"/>
      <c r="O1532" s="25"/>
      <c r="P1532" s="25"/>
      <c r="Q1532" s="25"/>
      <c r="R1532" s="25"/>
      <c r="S1532" s="25"/>
      <c r="T1532" s="25"/>
      <c r="U1532" s="31">
        <f t="shared" si="24"/>
        <v>0</v>
      </c>
      <c r="V1532" s="25"/>
      <c r="W1532" s="33"/>
      <c r="X1532" s="33"/>
      <c r="Y1532" s="33"/>
      <c r="Z1532" s="33"/>
      <c r="AA1532" s="33"/>
    </row>
    <row r="1533" spans="1:27" s="70" customFormat="1" ht="67.5" x14ac:dyDescent="0.2">
      <c r="A1533" s="24">
        <v>1529</v>
      </c>
      <c r="B1533" s="27" t="s">
        <v>1435</v>
      </c>
      <c r="C1533" s="28" t="s">
        <v>1434</v>
      </c>
      <c r="D1533" s="71" t="s">
        <v>1433</v>
      </c>
      <c r="E1533" s="28" t="s">
        <v>1432</v>
      </c>
      <c r="F1533" s="28" t="s">
        <v>1431</v>
      </c>
      <c r="G1533" s="27"/>
      <c r="H1533" s="28" t="s">
        <v>1462</v>
      </c>
      <c r="I1533" s="27"/>
      <c r="J1533" s="28" t="s">
        <v>1469</v>
      </c>
      <c r="K1533" s="27"/>
      <c r="L1533" s="25"/>
      <c r="M1533" s="25"/>
      <c r="N1533" s="25"/>
      <c r="O1533" s="25"/>
      <c r="P1533" s="25"/>
      <c r="Q1533" s="25"/>
      <c r="R1533" s="25"/>
      <c r="S1533" s="25"/>
      <c r="T1533" s="25"/>
      <c r="U1533" s="31">
        <f t="shared" si="24"/>
        <v>0</v>
      </c>
      <c r="V1533" s="25"/>
      <c r="W1533" s="33"/>
      <c r="X1533" s="33"/>
      <c r="Y1533" s="33"/>
      <c r="Z1533" s="33"/>
      <c r="AA1533" s="33"/>
    </row>
    <row r="1534" spans="1:27" s="70" customFormat="1" ht="45" x14ac:dyDescent="0.2">
      <c r="A1534" s="24">
        <v>1530</v>
      </c>
      <c r="B1534" s="27" t="s">
        <v>1435</v>
      </c>
      <c r="C1534" s="28" t="s">
        <v>1434</v>
      </c>
      <c r="D1534" s="71" t="s">
        <v>1433</v>
      </c>
      <c r="E1534" s="28" t="s">
        <v>1432</v>
      </c>
      <c r="F1534" s="28" t="s">
        <v>1431</v>
      </c>
      <c r="G1534" s="27"/>
      <c r="H1534" s="28" t="s">
        <v>1462</v>
      </c>
      <c r="I1534" s="27"/>
      <c r="J1534" s="28" t="s">
        <v>1468</v>
      </c>
      <c r="K1534" s="27"/>
      <c r="L1534" s="25"/>
      <c r="M1534" s="25"/>
      <c r="N1534" s="25"/>
      <c r="O1534" s="25"/>
      <c r="P1534" s="25"/>
      <c r="Q1534" s="25"/>
      <c r="R1534" s="25"/>
      <c r="S1534" s="25"/>
      <c r="T1534" s="25"/>
      <c r="U1534" s="31">
        <f t="shared" si="24"/>
        <v>0</v>
      </c>
      <c r="V1534" s="25"/>
      <c r="W1534" s="33"/>
      <c r="X1534" s="33"/>
      <c r="Y1534" s="33"/>
      <c r="Z1534" s="33"/>
      <c r="AA1534" s="33"/>
    </row>
    <row r="1535" spans="1:27" s="70" customFormat="1" ht="45" x14ac:dyDescent="0.2">
      <c r="A1535" s="24">
        <v>1531</v>
      </c>
      <c r="B1535" s="27" t="s">
        <v>1435</v>
      </c>
      <c r="C1535" s="28" t="s">
        <v>1434</v>
      </c>
      <c r="D1535" s="71" t="s">
        <v>1433</v>
      </c>
      <c r="E1535" s="28" t="s">
        <v>1432</v>
      </c>
      <c r="F1535" s="28" t="s">
        <v>1431</v>
      </c>
      <c r="G1535" s="27"/>
      <c r="H1535" s="28" t="s">
        <v>1462</v>
      </c>
      <c r="I1535" s="27"/>
      <c r="J1535" s="28" t="s">
        <v>1467</v>
      </c>
      <c r="K1535" s="27"/>
      <c r="L1535" s="25"/>
      <c r="M1535" s="25"/>
      <c r="N1535" s="25"/>
      <c r="O1535" s="25"/>
      <c r="P1535" s="25"/>
      <c r="Q1535" s="25"/>
      <c r="R1535" s="25"/>
      <c r="S1535" s="25"/>
      <c r="T1535" s="25"/>
      <c r="U1535" s="31">
        <f t="shared" si="24"/>
        <v>0</v>
      </c>
      <c r="V1535" s="25"/>
      <c r="W1535" s="33"/>
      <c r="X1535" s="33"/>
      <c r="Y1535" s="33"/>
      <c r="Z1535" s="33"/>
      <c r="AA1535" s="33"/>
    </row>
    <row r="1536" spans="1:27" s="70" customFormat="1" ht="56.25" x14ac:dyDescent="0.2">
      <c r="A1536" s="24">
        <v>1532</v>
      </c>
      <c r="B1536" s="27" t="s">
        <v>1435</v>
      </c>
      <c r="C1536" s="28" t="s">
        <v>1434</v>
      </c>
      <c r="D1536" s="71" t="s">
        <v>1433</v>
      </c>
      <c r="E1536" s="28" t="s">
        <v>1432</v>
      </c>
      <c r="F1536" s="28" t="s">
        <v>1431</v>
      </c>
      <c r="G1536" s="27"/>
      <c r="H1536" s="28" t="s">
        <v>1462</v>
      </c>
      <c r="I1536" s="27"/>
      <c r="J1536" s="28" t="s">
        <v>1466</v>
      </c>
      <c r="K1536" s="27"/>
      <c r="L1536" s="25"/>
      <c r="M1536" s="25"/>
      <c r="N1536" s="25"/>
      <c r="O1536" s="25"/>
      <c r="P1536" s="25"/>
      <c r="Q1536" s="25"/>
      <c r="R1536" s="25"/>
      <c r="S1536" s="25"/>
      <c r="T1536" s="25"/>
      <c r="U1536" s="31">
        <f t="shared" si="24"/>
        <v>0</v>
      </c>
      <c r="V1536" s="25"/>
      <c r="W1536" s="33"/>
      <c r="X1536" s="33"/>
      <c r="Y1536" s="33"/>
      <c r="Z1536" s="33"/>
      <c r="AA1536" s="33"/>
    </row>
    <row r="1537" spans="1:27" s="70" customFormat="1" ht="45" x14ac:dyDescent="0.2">
      <c r="A1537" s="24">
        <v>1533</v>
      </c>
      <c r="B1537" s="27" t="s">
        <v>1435</v>
      </c>
      <c r="C1537" s="28" t="s">
        <v>1434</v>
      </c>
      <c r="D1537" s="71" t="s">
        <v>1433</v>
      </c>
      <c r="E1537" s="28" t="s">
        <v>1432</v>
      </c>
      <c r="F1537" s="28" t="s">
        <v>1431</v>
      </c>
      <c r="G1537" s="27"/>
      <c r="H1537" s="28" t="s">
        <v>1462</v>
      </c>
      <c r="I1537" s="27"/>
      <c r="J1537" s="28" t="s">
        <v>1465</v>
      </c>
      <c r="K1537" s="27"/>
      <c r="L1537" s="25"/>
      <c r="M1537" s="25"/>
      <c r="N1537" s="25"/>
      <c r="O1537" s="25"/>
      <c r="P1537" s="25"/>
      <c r="Q1537" s="25"/>
      <c r="R1537" s="25"/>
      <c r="S1537" s="25"/>
      <c r="T1537" s="25"/>
      <c r="U1537" s="31">
        <f t="shared" si="24"/>
        <v>0</v>
      </c>
      <c r="V1537" s="25"/>
      <c r="W1537" s="33"/>
      <c r="X1537" s="33"/>
      <c r="Y1537" s="33"/>
      <c r="Z1537" s="33"/>
      <c r="AA1537" s="33"/>
    </row>
    <row r="1538" spans="1:27" s="70" customFormat="1" ht="56.25" x14ac:dyDescent="0.2">
      <c r="A1538" s="24">
        <v>1534</v>
      </c>
      <c r="B1538" s="27" t="s">
        <v>1435</v>
      </c>
      <c r="C1538" s="28" t="s">
        <v>1434</v>
      </c>
      <c r="D1538" s="71" t="s">
        <v>1433</v>
      </c>
      <c r="E1538" s="28" t="s">
        <v>1432</v>
      </c>
      <c r="F1538" s="28" t="s">
        <v>1431</v>
      </c>
      <c r="G1538" s="27"/>
      <c r="H1538" s="28" t="s">
        <v>1462</v>
      </c>
      <c r="I1538" s="27"/>
      <c r="J1538" s="28" t="s">
        <v>1464</v>
      </c>
      <c r="K1538" s="27"/>
      <c r="L1538" s="25"/>
      <c r="M1538" s="25"/>
      <c r="N1538" s="25"/>
      <c r="O1538" s="25"/>
      <c r="P1538" s="25"/>
      <c r="Q1538" s="25"/>
      <c r="R1538" s="25"/>
      <c r="S1538" s="25"/>
      <c r="T1538" s="25"/>
      <c r="U1538" s="31">
        <f t="shared" si="24"/>
        <v>0</v>
      </c>
      <c r="V1538" s="25"/>
      <c r="W1538" s="33"/>
      <c r="X1538" s="33"/>
      <c r="Y1538" s="33"/>
      <c r="Z1538" s="33"/>
      <c r="AA1538" s="33"/>
    </row>
    <row r="1539" spans="1:27" s="70" customFormat="1" ht="56.25" x14ac:dyDescent="0.2">
      <c r="A1539" s="24">
        <v>1535</v>
      </c>
      <c r="B1539" s="27" t="s">
        <v>1435</v>
      </c>
      <c r="C1539" s="28" t="s">
        <v>1434</v>
      </c>
      <c r="D1539" s="71" t="s">
        <v>1433</v>
      </c>
      <c r="E1539" s="28" t="s">
        <v>1432</v>
      </c>
      <c r="F1539" s="28" t="s">
        <v>1431</v>
      </c>
      <c r="G1539" s="27"/>
      <c r="H1539" s="28" t="s">
        <v>1462</v>
      </c>
      <c r="I1539" s="27"/>
      <c r="J1539" s="28" t="s">
        <v>1463</v>
      </c>
      <c r="K1539" s="27"/>
      <c r="L1539" s="25"/>
      <c r="M1539" s="25"/>
      <c r="N1539" s="25"/>
      <c r="O1539" s="25"/>
      <c r="P1539" s="25"/>
      <c r="Q1539" s="25"/>
      <c r="R1539" s="25"/>
      <c r="S1539" s="25"/>
      <c r="T1539" s="25"/>
      <c r="U1539" s="31">
        <f t="shared" si="24"/>
        <v>0</v>
      </c>
      <c r="V1539" s="25"/>
      <c r="W1539" s="33"/>
      <c r="X1539" s="33"/>
      <c r="Y1539" s="33"/>
      <c r="Z1539" s="33"/>
      <c r="AA1539" s="33"/>
    </row>
    <row r="1540" spans="1:27" s="70" customFormat="1" ht="45" x14ac:dyDescent="0.2">
      <c r="A1540" s="24">
        <v>1536</v>
      </c>
      <c r="B1540" s="27" t="s">
        <v>1435</v>
      </c>
      <c r="C1540" s="28" t="s">
        <v>1434</v>
      </c>
      <c r="D1540" s="71" t="s">
        <v>1433</v>
      </c>
      <c r="E1540" s="28" t="s">
        <v>1432</v>
      </c>
      <c r="F1540" s="28" t="s">
        <v>1431</v>
      </c>
      <c r="G1540" s="27"/>
      <c r="H1540" s="28" t="s">
        <v>1462</v>
      </c>
      <c r="I1540" s="27"/>
      <c r="J1540" s="28" t="s">
        <v>1461</v>
      </c>
      <c r="K1540" s="27"/>
      <c r="L1540" s="25"/>
      <c r="M1540" s="25"/>
      <c r="N1540" s="25"/>
      <c r="O1540" s="25"/>
      <c r="P1540" s="25"/>
      <c r="Q1540" s="25"/>
      <c r="R1540" s="25"/>
      <c r="S1540" s="25"/>
      <c r="T1540" s="25"/>
      <c r="U1540" s="31">
        <f t="shared" si="24"/>
        <v>0</v>
      </c>
      <c r="V1540" s="25"/>
      <c r="W1540" s="33"/>
      <c r="X1540" s="33"/>
      <c r="Y1540" s="33"/>
      <c r="Z1540" s="33"/>
      <c r="AA1540" s="33"/>
    </row>
    <row r="1541" spans="1:27" s="70" customFormat="1" ht="45" x14ac:dyDescent="0.2">
      <c r="A1541" s="24">
        <v>1537</v>
      </c>
      <c r="B1541" s="27" t="s">
        <v>1435</v>
      </c>
      <c r="C1541" s="28" t="s">
        <v>1434</v>
      </c>
      <c r="D1541" s="71" t="s">
        <v>1433</v>
      </c>
      <c r="E1541" s="28" t="s">
        <v>1432</v>
      </c>
      <c r="F1541" s="28" t="s">
        <v>1431</v>
      </c>
      <c r="G1541" s="27"/>
      <c r="H1541" s="28" t="s">
        <v>1430</v>
      </c>
      <c r="I1541" s="27"/>
      <c r="J1541" s="28" t="s">
        <v>1430</v>
      </c>
      <c r="K1541" s="27"/>
      <c r="L1541" s="25" t="s">
        <v>1460</v>
      </c>
      <c r="M1541" s="25" t="s">
        <v>1441</v>
      </c>
      <c r="N1541" s="25">
        <v>12</v>
      </c>
      <c r="O1541" s="25">
        <v>0.5</v>
      </c>
      <c r="P1541" s="25">
        <v>0.5</v>
      </c>
      <c r="Q1541" s="25"/>
      <c r="R1541" s="25"/>
      <c r="S1541" s="25"/>
      <c r="T1541" s="25"/>
      <c r="U1541" s="31">
        <f t="shared" si="24"/>
        <v>1</v>
      </c>
      <c r="V1541" s="25"/>
      <c r="W1541" s="33" t="s">
        <v>22</v>
      </c>
      <c r="X1541" s="33"/>
      <c r="Y1541" s="33"/>
      <c r="Z1541" s="33" t="s">
        <v>1455</v>
      </c>
      <c r="AA1541" s="33"/>
    </row>
    <row r="1542" spans="1:27" s="70" customFormat="1" ht="45" x14ac:dyDescent="0.2">
      <c r="A1542" s="24">
        <v>1538</v>
      </c>
      <c r="B1542" s="27" t="s">
        <v>1435</v>
      </c>
      <c r="C1542" s="28" t="s">
        <v>1434</v>
      </c>
      <c r="D1542" s="71" t="s">
        <v>1433</v>
      </c>
      <c r="E1542" s="28" t="s">
        <v>1432</v>
      </c>
      <c r="F1542" s="28" t="s">
        <v>1431</v>
      </c>
      <c r="G1542" s="27"/>
      <c r="H1542" s="28" t="s">
        <v>1430</v>
      </c>
      <c r="I1542" s="27"/>
      <c r="J1542" s="28" t="s">
        <v>1430</v>
      </c>
      <c r="K1542" s="27"/>
      <c r="L1542" s="25" t="s">
        <v>1459</v>
      </c>
      <c r="M1542" s="25" t="s">
        <v>1441</v>
      </c>
      <c r="N1542" s="25">
        <v>12</v>
      </c>
      <c r="O1542" s="25">
        <v>16</v>
      </c>
      <c r="P1542" s="25">
        <v>8</v>
      </c>
      <c r="Q1542" s="25"/>
      <c r="R1542" s="25"/>
      <c r="S1542" s="25"/>
      <c r="T1542" s="25"/>
      <c r="U1542" s="31">
        <f t="shared" ref="U1542:U1605" si="25">SUM(O1542:T1542)</f>
        <v>24</v>
      </c>
      <c r="V1542" s="25"/>
      <c r="W1542" s="33" t="s">
        <v>22</v>
      </c>
      <c r="X1542" s="33"/>
      <c r="Y1542" s="33"/>
      <c r="Z1542" s="33" t="s">
        <v>1455</v>
      </c>
      <c r="AA1542" s="33"/>
    </row>
    <row r="1543" spans="1:27" s="70" customFormat="1" ht="45" x14ac:dyDescent="0.2">
      <c r="A1543" s="24">
        <v>1539</v>
      </c>
      <c r="B1543" s="27" t="s">
        <v>1435</v>
      </c>
      <c r="C1543" s="28" t="s">
        <v>1434</v>
      </c>
      <c r="D1543" s="71" t="s">
        <v>1433</v>
      </c>
      <c r="E1543" s="28" t="s">
        <v>1432</v>
      </c>
      <c r="F1543" s="28" t="s">
        <v>1431</v>
      </c>
      <c r="G1543" s="27"/>
      <c r="H1543" s="28" t="s">
        <v>1430</v>
      </c>
      <c r="I1543" s="27"/>
      <c r="J1543" s="28" t="s">
        <v>1430</v>
      </c>
      <c r="K1543" s="27"/>
      <c r="L1543" s="25" t="s">
        <v>1458</v>
      </c>
      <c r="M1543" s="25" t="s">
        <v>1441</v>
      </c>
      <c r="N1543" s="25">
        <v>12</v>
      </c>
      <c r="O1543" s="25">
        <v>21</v>
      </c>
      <c r="P1543" s="25">
        <v>8</v>
      </c>
      <c r="Q1543" s="25"/>
      <c r="R1543" s="25"/>
      <c r="S1543" s="25"/>
      <c r="T1543" s="25"/>
      <c r="U1543" s="31">
        <f t="shared" si="25"/>
        <v>29</v>
      </c>
      <c r="V1543" s="25"/>
      <c r="W1543" s="33" t="s">
        <v>22</v>
      </c>
      <c r="X1543" s="33"/>
      <c r="Y1543" s="33"/>
      <c r="Z1543" s="33" t="s">
        <v>1455</v>
      </c>
      <c r="AA1543" s="33"/>
    </row>
    <row r="1544" spans="1:27" s="70" customFormat="1" ht="45" x14ac:dyDescent="0.2">
      <c r="A1544" s="24">
        <v>1540</v>
      </c>
      <c r="B1544" s="27" t="s">
        <v>1435</v>
      </c>
      <c r="C1544" s="28" t="s">
        <v>1434</v>
      </c>
      <c r="D1544" s="71" t="s">
        <v>1433</v>
      </c>
      <c r="E1544" s="28" t="s">
        <v>1432</v>
      </c>
      <c r="F1544" s="28" t="s">
        <v>1431</v>
      </c>
      <c r="G1544" s="27"/>
      <c r="H1544" s="28" t="s">
        <v>1430</v>
      </c>
      <c r="I1544" s="27"/>
      <c r="J1544" s="28" t="s">
        <v>1430</v>
      </c>
      <c r="K1544" s="27"/>
      <c r="L1544" s="25" t="s">
        <v>1457</v>
      </c>
      <c r="M1544" s="25" t="s">
        <v>1441</v>
      </c>
      <c r="N1544" s="25">
        <v>12</v>
      </c>
      <c r="O1544" s="25"/>
      <c r="P1544" s="25">
        <v>1</v>
      </c>
      <c r="Q1544" s="25"/>
      <c r="R1544" s="25"/>
      <c r="S1544" s="25"/>
      <c r="T1544" s="25"/>
      <c r="U1544" s="31">
        <f t="shared" si="25"/>
        <v>1</v>
      </c>
      <c r="V1544" s="25"/>
      <c r="W1544" s="33" t="s">
        <v>22</v>
      </c>
      <c r="X1544" s="33"/>
      <c r="Y1544" s="33"/>
      <c r="Z1544" s="33" t="s">
        <v>1455</v>
      </c>
      <c r="AA1544" s="33"/>
    </row>
    <row r="1545" spans="1:27" s="70" customFormat="1" ht="45" x14ac:dyDescent="0.2">
      <c r="A1545" s="24">
        <v>1541</v>
      </c>
      <c r="B1545" s="27" t="s">
        <v>1435</v>
      </c>
      <c r="C1545" s="28" t="s">
        <v>1434</v>
      </c>
      <c r="D1545" s="71" t="s">
        <v>1433</v>
      </c>
      <c r="E1545" s="28" t="s">
        <v>1432</v>
      </c>
      <c r="F1545" s="28" t="s">
        <v>1431</v>
      </c>
      <c r="G1545" s="27"/>
      <c r="H1545" s="28" t="s">
        <v>1430</v>
      </c>
      <c r="I1545" s="27"/>
      <c r="J1545" s="28" t="s">
        <v>1430</v>
      </c>
      <c r="K1545" s="27"/>
      <c r="L1545" s="25" t="s">
        <v>1456</v>
      </c>
      <c r="M1545" s="25" t="s">
        <v>1441</v>
      </c>
      <c r="N1545" s="25">
        <v>4</v>
      </c>
      <c r="O1545" s="25"/>
      <c r="P1545" s="25">
        <v>2</v>
      </c>
      <c r="Q1545" s="25"/>
      <c r="R1545" s="25"/>
      <c r="S1545" s="25"/>
      <c r="T1545" s="25"/>
      <c r="U1545" s="31">
        <f t="shared" si="25"/>
        <v>2</v>
      </c>
      <c r="V1545" s="25"/>
      <c r="W1545" s="33" t="s">
        <v>22</v>
      </c>
      <c r="X1545" s="33"/>
      <c r="Y1545" s="33"/>
      <c r="Z1545" s="33" t="s">
        <v>1455</v>
      </c>
      <c r="AA1545" s="33"/>
    </row>
    <row r="1546" spans="1:27" s="70" customFormat="1" ht="45" x14ac:dyDescent="0.2">
      <c r="A1546" s="24">
        <v>1542</v>
      </c>
      <c r="B1546" s="27" t="s">
        <v>1435</v>
      </c>
      <c r="C1546" s="28" t="s">
        <v>1434</v>
      </c>
      <c r="D1546" s="71" t="s">
        <v>1433</v>
      </c>
      <c r="E1546" s="28" t="s">
        <v>1432</v>
      </c>
      <c r="F1546" s="28" t="s">
        <v>1431</v>
      </c>
      <c r="G1546" s="27"/>
      <c r="H1546" s="28" t="s">
        <v>1430</v>
      </c>
      <c r="I1546" s="27"/>
      <c r="J1546" s="28" t="s">
        <v>1430</v>
      </c>
      <c r="K1546" s="27"/>
      <c r="L1546" s="25" t="s">
        <v>1454</v>
      </c>
      <c r="M1546" s="25" t="s">
        <v>1441</v>
      </c>
      <c r="N1546" s="25">
        <v>12</v>
      </c>
      <c r="O1546" s="25"/>
      <c r="P1546" s="25">
        <v>64</v>
      </c>
      <c r="Q1546" s="25"/>
      <c r="R1546" s="25"/>
      <c r="S1546" s="25"/>
      <c r="T1546" s="25"/>
      <c r="U1546" s="31">
        <f t="shared" si="25"/>
        <v>64</v>
      </c>
      <c r="V1546" s="25"/>
      <c r="W1546" s="33" t="s">
        <v>22</v>
      </c>
      <c r="X1546" s="33"/>
      <c r="Y1546" s="33"/>
      <c r="Z1546" s="33" t="s">
        <v>189</v>
      </c>
      <c r="AA1546" s="33"/>
    </row>
    <row r="1547" spans="1:27" s="70" customFormat="1" ht="45" x14ac:dyDescent="0.2">
      <c r="A1547" s="24">
        <v>1543</v>
      </c>
      <c r="B1547" s="27" t="s">
        <v>1435</v>
      </c>
      <c r="C1547" s="28" t="s">
        <v>1434</v>
      </c>
      <c r="D1547" s="71" t="s">
        <v>1433</v>
      </c>
      <c r="E1547" s="28" t="s">
        <v>1432</v>
      </c>
      <c r="F1547" s="28" t="s">
        <v>1431</v>
      </c>
      <c r="G1547" s="27"/>
      <c r="H1547" s="28" t="s">
        <v>1430</v>
      </c>
      <c r="I1547" s="27"/>
      <c r="J1547" s="28" t="s">
        <v>1430</v>
      </c>
      <c r="K1547" s="27"/>
      <c r="L1547" s="25" t="s">
        <v>1453</v>
      </c>
      <c r="M1547" s="25" t="s">
        <v>1441</v>
      </c>
      <c r="N1547" s="25">
        <v>12</v>
      </c>
      <c r="O1547" s="25">
        <v>24</v>
      </c>
      <c r="P1547" s="25">
        <v>16</v>
      </c>
      <c r="Q1547" s="25"/>
      <c r="R1547" s="25"/>
      <c r="S1547" s="25"/>
      <c r="T1547" s="25"/>
      <c r="U1547" s="31">
        <f t="shared" si="25"/>
        <v>40</v>
      </c>
      <c r="V1547" s="25"/>
      <c r="W1547" s="33" t="s">
        <v>22</v>
      </c>
      <c r="X1547" s="33"/>
      <c r="Y1547" s="33"/>
      <c r="Z1547" s="33" t="s">
        <v>189</v>
      </c>
      <c r="AA1547" s="33"/>
    </row>
    <row r="1548" spans="1:27" s="70" customFormat="1" ht="45" x14ac:dyDescent="0.2">
      <c r="A1548" s="24">
        <v>1544</v>
      </c>
      <c r="B1548" s="27" t="s">
        <v>1435</v>
      </c>
      <c r="C1548" s="28" t="s">
        <v>1434</v>
      </c>
      <c r="D1548" s="71" t="s">
        <v>1433</v>
      </c>
      <c r="E1548" s="28" t="s">
        <v>1432</v>
      </c>
      <c r="F1548" s="28" t="s">
        <v>1431</v>
      </c>
      <c r="G1548" s="27"/>
      <c r="H1548" s="28" t="s">
        <v>1430</v>
      </c>
      <c r="I1548" s="27"/>
      <c r="J1548" s="28" t="s">
        <v>1430</v>
      </c>
      <c r="K1548" s="27"/>
      <c r="L1548" s="25" t="s">
        <v>1452</v>
      </c>
      <c r="M1548" s="25" t="s">
        <v>1441</v>
      </c>
      <c r="N1548" s="25">
        <v>4</v>
      </c>
      <c r="O1548" s="25"/>
      <c r="P1548" s="25">
        <v>1</v>
      </c>
      <c r="Q1548" s="25"/>
      <c r="R1548" s="25"/>
      <c r="S1548" s="25"/>
      <c r="T1548" s="25"/>
      <c r="U1548" s="31">
        <f t="shared" si="25"/>
        <v>1</v>
      </c>
      <c r="V1548" s="25"/>
      <c r="W1548" s="33" t="s">
        <v>22</v>
      </c>
      <c r="X1548" s="33"/>
      <c r="Y1548" s="33"/>
      <c r="Z1548" s="33" t="s">
        <v>189</v>
      </c>
      <c r="AA1548" s="33"/>
    </row>
    <row r="1549" spans="1:27" s="70" customFormat="1" ht="45" x14ac:dyDescent="0.2">
      <c r="A1549" s="24">
        <v>1545</v>
      </c>
      <c r="B1549" s="27" t="s">
        <v>1435</v>
      </c>
      <c r="C1549" s="28" t="s">
        <v>1434</v>
      </c>
      <c r="D1549" s="71" t="s">
        <v>1433</v>
      </c>
      <c r="E1549" s="28" t="s">
        <v>1432</v>
      </c>
      <c r="F1549" s="28" t="s">
        <v>1431</v>
      </c>
      <c r="G1549" s="27"/>
      <c r="H1549" s="28" t="s">
        <v>1430</v>
      </c>
      <c r="I1549" s="27"/>
      <c r="J1549" s="28" t="s">
        <v>1430</v>
      </c>
      <c r="K1549" s="27"/>
      <c r="L1549" s="25" t="s">
        <v>1451</v>
      </c>
      <c r="M1549" s="25" t="s">
        <v>1441</v>
      </c>
      <c r="N1549" s="25">
        <v>4</v>
      </c>
      <c r="O1549" s="25"/>
      <c r="P1549" s="25">
        <v>40</v>
      </c>
      <c r="Q1549" s="25"/>
      <c r="R1549" s="25"/>
      <c r="S1549" s="25"/>
      <c r="T1549" s="25"/>
      <c r="U1549" s="31">
        <f t="shared" si="25"/>
        <v>40</v>
      </c>
      <c r="V1549" s="25"/>
      <c r="W1549" s="33" t="s">
        <v>198</v>
      </c>
      <c r="X1549" s="33"/>
      <c r="Y1549" s="33"/>
      <c r="Z1549" s="33" t="s">
        <v>1450</v>
      </c>
      <c r="AA1549" s="33"/>
    </row>
    <row r="1550" spans="1:27" s="70" customFormat="1" ht="45" x14ac:dyDescent="0.2">
      <c r="A1550" s="24">
        <v>1546</v>
      </c>
      <c r="B1550" s="27" t="s">
        <v>1435</v>
      </c>
      <c r="C1550" s="28" t="s">
        <v>1434</v>
      </c>
      <c r="D1550" s="71" t="s">
        <v>1433</v>
      </c>
      <c r="E1550" s="28" t="s">
        <v>1432</v>
      </c>
      <c r="F1550" s="28" t="s">
        <v>1431</v>
      </c>
      <c r="G1550" s="27"/>
      <c r="H1550" s="28" t="s">
        <v>1430</v>
      </c>
      <c r="I1550" s="27"/>
      <c r="J1550" s="28" t="s">
        <v>1430</v>
      </c>
      <c r="K1550" s="27"/>
      <c r="L1550" s="25" t="s">
        <v>1449</v>
      </c>
      <c r="M1550" s="25" t="s">
        <v>1441</v>
      </c>
      <c r="N1550" s="25">
        <v>24</v>
      </c>
      <c r="O1550" s="25"/>
      <c r="P1550" s="25">
        <v>3</v>
      </c>
      <c r="Q1550" s="25"/>
      <c r="R1550" s="25"/>
      <c r="S1550" s="25"/>
      <c r="T1550" s="25"/>
      <c r="U1550" s="31">
        <f t="shared" si="25"/>
        <v>3</v>
      </c>
      <c r="V1550" s="25"/>
      <c r="W1550" s="33" t="s">
        <v>1448</v>
      </c>
      <c r="X1550" s="33"/>
      <c r="Y1550" s="33"/>
      <c r="Z1550" s="33"/>
      <c r="AA1550" s="33"/>
    </row>
    <row r="1551" spans="1:27" s="70" customFormat="1" ht="67.5" x14ac:dyDescent="0.2">
      <c r="A1551" s="24">
        <v>1547</v>
      </c>
      <c r="B1551" s="27" t="s">
        <v>1435</v>
      </c>
      <c r="C1551" s="28" t="s">
        <v>1434</v>
      </c>
      <c r="D1551" s="71" t="s">
        <v>1433</v>
      </c>
      <c r="E1551" s="28" t="s">
        <v>1432</v>
      </c>
      <c r="F1551" s="28" t="s">
        <v>1431</v>
      </c>
      <c r="G1551" s="27"/>
      <c r="H1551" s="28" t="s">
        <v>1430</v>
      </c>
      <c r="I1551" s="27"/>
      <c r="J1551" s="28" t="s">
        <v>1430</v>
      </c>
      <c r="K1551" s="27"/>
      <c r="L1551" s="25" t="s">
        <v>1447</v>
      </c>
      <c r="M1551" s="25" t="s">
        <v>1441</v>
      </c>
      <c r="N1551" s="25">
        <v>12</v>
      </c>
      <c r="O1551" s="25"/>
      <c r="P1551" s="25">
        <v>2</v>
      </c>
      <c r="Q1551" s="25"/>
      <c r="R1551" s="25"/>
      <c r="S1551" s="25"/>
      <c r="T1551" s="25"/>
      <c r="U1551" s="31">
        <f t="shared" si="25"/>
        <v>2</v>
      </c>
      <c r="V1551" s="25"/>
      <c r="W1551" s="33" t="s">
        <v>1446</v>
      </c>
      <c r="X1551" s="33"/>
      <c r="Y1551" s="33"/>
      <c r="Z1551" s="33" t="s">
        <v>1445</v>
      </c>
      <c r="AA1551" s="33"/>
    </row>
    <row r="1552" spans="1:27" s="70" customFormat="1" ht="45" x14ac:dyDescent="0.2">
      <c r="A1552" s="24">
        <v>1548</v>
      </c>
      <c r="B1552" s="27" t="s">
        <v>1435</v>
      </c>
      <c r="C1552" s="28" t="s">
        <v>1434</v>
      </c>
      <c r="D1552" s="71" t="s">
        <v>1433</v>
      </c>
      <c r="E1552" s="28" t="s">
        <v>1432</v>
      </c>
      <c r="F1552" s="28" t="s">
        <v>1431</v>
      </c>
      <c r="G1552" s="27"/>
      <c r="H1552" s="28" t="s">
        <v>1430</v>
      </c>
      <c r="I1552" s="27"/>
      <c r="J1552" s="28" t="s">
        <v>1430</v>
      </c>
      <c r="K1552" s="27"/>
      <c r="L1552" s="25" t="s">
        <v>1444</v>
      </c>
      <c r="M1552" s="25" t="s">
        <v>1441</v>
      </c>
      <c r="N1552" s="25">
        <v>12</v>
      </c>
      <c r="O1552" s="25"/>
      <c r="P1552" s="25">
        <v>3</v>
      </c>
      <c r="Q1552" s="25"/>
      <c r="R1552" s="25"/>
      <c r="S1552" s="25"/>
      <c r="T1552" s="25"/>
      <c r="U1552" s="31">
        <f t="shared" si="25"/>
        <v>3</v>
      </c>
      <c r="V1552" s="25"/>
      <c r="W1552" s="33" t="s">
        <v>1443</v>
      </c>
      <c r="X1552" s="33"/>
      <c r="Y1552" s="33"/>
      <c r="Z1552" s="33"/>
      <c r="AA1552" s="33"/>
    </row>
    <row r="1553" spans="1:27" s="70" customFormat="1" ht="45" x14ac:dyDescent="0.2">
      <c r="A1553" s="24">
        <v>1549</v>
      </c>
      <c r="B1553" s="27" t="s">
        <v>1435</v>
      </c>
      <c r="C1553" s="28" t="s">
        <v>1434</v>
      </c>
      <c r="D1553" s="71" t="s">
        <v>1433</v>
      </c>
      <c r="E1553" s="28" t="s">
        <v>1432</v>
      </c>
      <c r="F1553" s="28" t="s">
        <v>1431</v>
      </c>
      <c r="G1553" s="27"/>
      <c r="H1553" s="28" t="s">
        <v>1430</v>
      </c>
      <c r="I1553" s="27"/>
      <c r="J1553" s="28" t="s">
        <v>1430</v>
      </c>
      <c r="K1553" s="27"/>
      <c r="L1553" s="25" t="s">
        <v>1442</v>
      </c>
      <c r="M1553" s="25" t="s">
        <v>1441</v>
      </c>
      <c r="N1553" s="25">
        <v>4</v>
      </c>
      <c r="O1553" s="25">
        <v>2</v>
      </c>
      <c r="P1553" s="25"/>
      <c r="Q1553" s="25"/>
      <c r="R1553" s="25"/>
      <c r="S1553" s="25"/>
      <c r="T1553" s="25"/>
      <c r="U1553" s="31">
        <f t="shared" si="25"/>
        <v>2</v>
      </c>
      <c r="V1553" s="25"/>
      <c r="W1553" s="33" t="s">
        <v>1440</v>
      </c>
      <c r="X1553" s="33"/>
      <c r="Y1553" s="33"/>
      <c r="Z1553" s="33"/>
      <c r="AA1553" s="33"/>
    </row>
    <row r="1554" spans="1:27" s="70" customFormat="1" ht="45" x14ac:dyDescent="0.2">
      <c r="A1554" s="24">
        <v>1550</v>
      </c>
      <c r="B1554" s="27" t="s">
        <v>1435</v>
      </c>
      <c r="C1554" s="28" t="s">
        <v>1434</v>
      </c>
      <c r="D1554" s="71" t="s">
        <v>1433</v>
      </c>
      <c r="E1554" s="28" t="s">
        <v>1432</v>
      </c>
      <c r="F1554" s="28" t="s">
        <v>1431</v>
      </c>
      <c r="G1554" s="27"/>
      <c r="H1554" s="28" t="s">
        <v>1430</v>
      </c>
      <c r="I1554" s="27"/>
      <c r="J1554" s="28" t="s">
        <v>1430</v>
      </c>
      <c r="K1554" s="27"/>
      <c r="L1554" s="25" t="s">
        <v>1439</v>
      </c>
      <c r="M1554" s="25" t="s">
        <v>209</v>
      </c>
      <c r="N1554" s="25">
        <v>1</v>
      </c>
      <c r="O1554" s="25">
        <v>8</v>
      </c>
      <c r="P1554" s="25"/>
      <c r="Q1554" s="25"/>
      <c r="R1554" s="25"/>
      <c r="S1554" s="25"/>
      <c r="T1554" s="25">
        <v>4</v>
      </c>
      <c r="U1554" s="31">
        <f t="shared" si="25"/>
        <v>12</v>
      </c>
      <c r="V1554" s="25"/>
      <c r="W1554" s="33" t="s">
        <v>1438</v>
      </c>
      <c r="X1554" s="33"/>
      <c r="Y1554" s="33"/>
      <c r="Z1554" s="33"/>
      <c r="AA1554" s="33"/>
    </row>
    <row r="1555" spans="1:27" s="70" customFormat="1" ht="45" x14ac:dyDescent="0.2">
      <c r="A1555" s="24">
        <v>1551</v>
      </c>
      <c r="B1555" s="27" t="s">
        <v>1435</v>
      </c>
      <c r="C1555" s="28" t="s">
        <v>1434</v>
      </c>
      <c r="D1555" s="71" t="s">
        <v>1433</v>
      </c>
      <c r="E1555" s="28" t="s">
        <v>1432</v>
      </c>
      <c r="F1555" s="28" t="s">
        <v>1431</v>
      </c>
      <c r="G1555" s="27"/>
      <c r="H1555" s="28" t="s">
        <v>1430</v>
      </c>
      <c r="I1555" s="27"/>
      <c r="J1555" s="28" t="s">
        <v>1430</v>
      </c>
      <c r="K1555" s="27"/>
      <c r="L1555" s="25" t="s">
        <v>1437</v>
      </c>
      <c r="M1555" s="25" t="s">
        <v>1436</v>
      </c>
      <c r="N1555" s="25">
        <v>2</v>
      </c>
      <c r="O1555" s="25">
        <v>144</v>
      </c>
      <c r="P1555" s="25">
        <v>5</v>
      </c>
      <c r="Q1555" s="25">
        <v>5</v>
      </c>
      <c r="R1555" s="25">
        <v>96</v>
      </c>
      <c r="S1555" s="25"/>
      <c r="T1555" s="25">
        <v>24</v>
      </c>
      <c r="U1555" s="31">
        <f t="shared" si="25"/>
        <v>274</v>
      </c>
      <c r="V1555" s="25"/>
      <c r="W1555" s="33" t="s">
        <v>22</v>
      </c>
      <c r="X1555" s="33"/>
      <c r="Y1555" s="33"/>
      <c r="Z1555" s="33" t="s">
        <v>189</v>
      </c>
      <c r="AA1555" s="33"/>
    </row>
    <row r="1556" spans="1:27" s="70" customFormat="1" ht="45" x14ac:dyDescent="0.2">
      <c r="A1556" s="24">
        <v>1552</v>
      </c>
      <c r="B1556" s="27" t="s">
        <v>1435</v>
      </c>
      <c r="C1556" s="28" t="s">
        <v>1434</v>
      </c>
      <c r="D1556" s="71" t="s">
        <v>1433</v>
      </c>
      <c r="E1556" s="28" t="s">
        <v>1432</v>
      </c>
      <c r="F1556" s="28" t="s">
        <v>1431</v>
      </c>
      <c r="G1556" s="27"/>
      <c r="H1556" s="28" t="s">
        <v>1430</v>
      </c>
      <c r="I1556" s="27"/>
      <c r="J1556" s="28" t="s">
        <v>1430</v>
      </c>
      <c r="K1556" s="27"/>
      <c r="L1556" s="25" t="s">
        <v>1429</v>
      </c>
      <c r="M1556" s="25" t="s">
        <v>1428</v>
      </c>
      <c r="N1556" s="25">
        <v>1</v>
      </c>
      <c r="O1556" s="25">
        <v>24</v>
      </c>
      <c r="P1556" s="25">
        <v>36</v>
      </c>
      <c r="Q1556" s="25"/>
      <c r="R1556" s="25"/>
      <c r="S1556" s="25"/>
      <c r="T1556" s="25"/>
      <c r="U1556" s="31">
        <f t="shared" si="25"/>
        <v>60</v>
      </c>
      <c r="V1556" s="25"/>
      <c r="W1556" s="33" t="s">
        <v>198</v>
      </c>
      <c r="X1556" s="33"/>
      <c r="Y1556" s="33"/>
      <c r="Z1556" s="33" t="s">
        <v>1427</v>
      </c>
      <c r="AA1556" s="33"/>
    </row>
    <row r="1557" spans="1:27" s="70" customFormat="1" ht="45" x14ac:dyDescent="0.2">
      <c r="A1557" s="24">
        <v>1553</v>
      </c>
      <c r="B1557" s="24" t="s">
        <v>1270</v>
      </c>
      <c r="C1557" s="25" t="s">
        <v>1269</v>
      </c>
      <c r="D1557" s="26" t="s">
        <v>1392</v>
      </c>
      <c r="E1557" s="25" t="s">
        <v>1391</v>
      </c>
      <c r="F1557" s="25" t="s">
        <v>1390</v>
      </c>
      <c r="G1557" s="24"/>
      <c r="H1557" s="28" t="s">
        <v>1398</v>
      </c>
      <c r="I1557" s="27"/>
      <c r="J1557" s="28" t="s">
        <v>1426</v>
      </c>
      <c r="K1557" s="27"/>
      <c r="L1557" s="25"/>
      <c r="M1557" s="25"/>
      <c r="N1557" s="25"/>
      <c r="O1557" s="25"/>
      <c r="P1557" s="25"/>
      <c r="Q1557" s="25"/>
      <c r="R1557" s="25"/>
      <c r="S1557" s="25"/>
      <c r="T1557" s="25"/>
      <c r="U1557" s="31">
        <f t="shared" si="25"/>
        <v>0</v>
      </c>
      <c r="V1557" s="25"/>
      <c r="W1557" s="33"/>
      <c r="X1557" s="33"/>
      <c r="Y1557" s="33"/>
      <c r="Z1557" s="33"/>
      <c r="AA1557" s="33"/>
    </row>
    <row r="1558" spans="1:27" s="70" customFormat="1" ht="78.75" x14ac:dyDescent="0.2">
      <c r="A1558" s="24">
        <v>1554</v>
      </c>
      <c r="B1558" s="24" t="s">
        <v>1270</v>
      </c>
      <c r="C1558" s="25" t="s">
        <v>1269</v>
      </c>
      <c r="D1558" s="26" t="s">
        <v>1392</v>
      </c>
      <c r="E1558" s="25" t="s">
        <v>1391</v>
      </c>
      <c r="F1558" s="25" t="s">
        <v>1390</v>
      </c>
      <c r="G1558" s="24"/>
      <c r="H1558" s="28" t="s">
        <v>1398</v>
      </c>
      <c r="I1558" s="27"/>
      <c r="J1558" s="28" t="s">
        <v>1425</v>
      </c>
      <c r="K1558" s="27"/>
      <c r="L1558" s="25"/>
      <c r="M1558" s="25"/>
      <c r="N1558" s="25"/>
      <c r="O1558" s="25"/>
      <c r="P1558" s="25"/>
      <c r="Q1558" s="25"/>
      <c r="R1558" s="25"/>
      <c r="S1558" s="25"/>
      <c r="T1558" s="25"/>
      <c r="U1558" s="31">
        <f t="shared" si="25"/>
        <v>0</v>
      </c>
      <c r="V1558" s="25"/>
      <c r="W1558" s="33"/>
      <c r="X1558" s="33"/>
      <c r="Y1558" s="33"/>
      <c r="Z1558" s="33"/>
      <c r="AA1558" s="33"/>
    </row>
    <row r="1559" spans="1:27" s="70" customFormat="1" ht="45" x14ac:dyDescent="0.2">
      <c r="A1559" s="24">
        <v>1555</v>
      </c>
      <c r="B1559" s="24" t="s">
        <v>1270</v>
      </c>
      <c r="C1559" s="25" t="s">
        <v>1269</v>
      </c>
      <c r="D1559" s="26" t="s">
        <v>1392</v>
      </c>
      <c r="E1559" s="25" t="s">
        <v>1391</v>
      </c>
      <c r="F1559" s="25" t="s">
        <v>1390</v>
      </c>
      <c r="G1559" s="24"/>
      <c r="H1559" s="28" t="s">
        <v>1398</v>
      </c>
      <c r="I1559" s="27"/>
      <c r="J1559" s="28" t="s">
        <v>1402</v>
      </c>
      <c r="K1559" s="27"/>
      <c r="L1559" s="25" t="s">
        <v>1424</v>
      </c>
      <c r="M1559" s="25" t="s">
        <v>1277</v>
      </c>
      <c r="N1559" s="25"/>
      <c r="O1559" s="25"/>
      <c r="P1559" s="25">
        <v>26</v>
      </c>
      <c r="Q1559" s="25">
        <v>17.333333333333332</v>
      </c>
      <c r="R1559" s="25"/>
      <c r="S1559" s="25">
        <v>6.5</v>
      </c>
      <c r="T1559" s="25">
        <v>6.5</v>
      </c>
      <c r="U1559" s="31">
        <f t="shared" si="25"/>
        <v>56.333333333333329</v>
      </c>
      <c r="V1559" s="25"/>
      <c r="W1559" s="33" t="s">
        <v>1413</v>
      </c>
      <c r="X1559" s="33"/>
      <c r="Y1559" s="33"/>
      <c r="Z1559" s="33"/>
      <c r="AA1559" s="33"/>
    </row>
    <row r="1560" spans="1:27" s="70" customFormat="1" ht="45" x14ac:dyDescent="0.2">
      <c r="A1560" s="24">
        <v>1556</v>
      </c>
      <c r="B1560" s="24" t="s">
        <v>1270</v>
      </c>
      <c r="C1560" s="25" t="s">
        <v>1269</v>
      </c>
      <c r="D1560" s="26" t="s">
        <v>1392</v>
      </c>
      <c r="E1560" s="25" t="s">
        <v>1391</v>
      </c>
      <c r="F1560" s="25" t="s">
        <v>1390</v>
      </c>
      <c r="G1560" s="24"/>
      <c r="H1560" s="28" t="s">
        <v>1398</v>
      </c>
      <c r="I1560" s="27"/>
      <c r="J1560" s="28" t="s">
        <v>1402</v>
      </c>
      <c r="K1560" s="27"/>
      <c r="L1560" s="25" t="s">
        <v>1423</v>
      </c>
      <c r="M1560" s="25" t="s">
        <v>1277</v>
      </c>
      <c r="N1560" s="25"/>
      <c r="O1560" s="25"/>
      <c r="P1560" s="25">
        <v>42</v>
      </c>
      <c r="Q1560" s="25">
        <v>28</v>
      </c>
      <c r="R1560" s="25"/>
      <c r="S1560" s="25">
        <v>10.5</v>
      </c>
      <c r="T1560" s="25">
        <v>10.5</v>
      </c>
      <c r="U1560" s="31">
        <f t="shared" si="25"/>
        <v>91</v>
      </c>
      <c r="V1560" s="25"/>
      <c r="W1560" s="33" t="s">
        <v>1413</v>
      </c>
      <c r="X1560" s="33"/>
      <c r="Y1560" s="33"/>
      <c r="Z1560" s="33"/>
      <c r="AA1560" s="33"/>
    </row>
    <row r="1561" spans="1:27" s="70" customFormat="1" ht="45" x14ac:dyDescent="0.2">
      <c r="A1561" s="24">
        <v>1557</v>
      </c>
      <c r="B1561" s="24" t="s">
        <v>1270</v>
      </c>
      <c r="C1561" s="25" t="s">
        <v>1269</v>
      </c>
      <c r="D1561" s="26" t="s">
        <v>1392</v>
      </c>
      <c r="E1561" s="25" t="s">
        <v>1391</v>
      </c>
      <c r="F1561" s="25" t="s">
        <v>1390</v>
      </c>
      <c r="G1561" s="24"/>
      <c r="H1561" s="28" t="s">
        <v>1398</v>
      </c>
      <c r="I1561" s="27"/>
      <c r="J1561" s="28" t="s">
        <v>1402</v>
      </c>
      <c r="K1561" s="27"/>
      <c r="L1561" s="25" t="s">
        <v>1422</v>
      </c>
      <c r="M1561" s="25" t="s">
        <v>1277</v>
      </c>
      <c r="N1561" s="25"/>
      <c r="O1561" s="25"/>
      <c r="P1561" s="25">
        <v>63</v>
      </c>
      <c r="Q1561" s="25">
        <v>42</v>
      </c>
      <c r="R1561" s="25"/>
      <c r="S1561" s="25">
        <v>15.75</v>
      </c>
      <c r="T1561" s="25">
        <v>15.75</v>
      </c>
      <c r="U1561" s="31">
        <f t="shared" si="25"/>
        <v>136.5</v>
      </c>
      <c r="V1561" s="25"/>
      <c r="W1561" s="33" t="s">
        <v>1413</v>
      </c>
      <c r="X1561" s="33"/>
      <c r="Y1561" s="33"/>
      <c r="Z1561" s="33"/>
      <c r="AA1561" s="33"/>
    </row>
    <row r="1562" spans="1:27" s="70" customFormat="1" ht="45" x14ac:dyDescent="0.2">
      <c r="A1562" s="24">
        <v>1558</v>
      </c>
      <c r="B1562" s="24" t="s">
        <v>1270</v>
      </c>
      <c r="C1562" s="25" t="s">
        <v>1269</v>
      </c>
      <c r="D1562" s="26" t="s">
        <v>1392</v>
      </c>
      <c r="E1562" s="25" t="s">
        <v>1391</v>
      </c>
      <c r="F1562" s="25" t="s">
        <v>1390</v>
      </c>
      <c r="G1562" s="24"/>
      <c r="H1562" s="28" t="s">
        <v>1398</v>
      </c>
      <c r="I1562" s="27"/>
      <c r="J1562" s="28" t="s">
        <v>1402</v>
      </c>
      <c r="K1562" s="27"/>
      <c r="L1562" s="25" t="s">
        <v>1421</v>
      </c>
      <c r="M1562" s="25" t="s">
        <v>1277</v>
      </c>
      <c r="N1562" s="25"/>
      <c r="O1562" s="25"/>
      <c r="P1562" s="25">
        <v>99</v>
      </c>
      <c r="Q1562" s="25">
        <v>66</v>
      </c>
      <c r="R1562" s="25"/>
      <c r="S1562" s="25">
        <v>24.75</v>
      </c>
      <c r="T1562" s="25">
        <v>24.75</v>
      </c>
      <c r="U1562" s="31">
        <f t="shared" si="25"/>
        <v>214.5</v>
      </c>
      <c r="V1562" s="25"/>
      <c r="W1562" s="33" t="s">
        <v>1413</v>
      </c>
      <c r="X1562" s="33"/>
      <c r="Y1562" s="33"/>
      <c r="Z1562" s="33"/>
      <c r="AA1562" s="33"/>
    </row>
    <row r="1563" spans="1:27" s="70" customFormat="1" ht="45" x14ac:dyDescent="0.2">
      <c r="A1563" s="24">
        <v>1559</v>
      </c>
      <c r="B1563" s="24" t="s">
        <v>1270</v>
      </c>
      <c r="C1563" s="25" t="s">
        <v>1269</v>
      </c>
      <c r="D1563" s="26" t="s">
        <v>1392</v>
      </c>
      <c r="E1563" s="25" t="s">
        <v>1391</v>
      </c>
      <c r="F1563" s="25" t="s">
        <v>1390</v>
      </c>
      <c r="G1563" s="24"/>
      <c r="H1563" s="28" t="s">
        <v>1398</v>
      </c>
      <c r="I1563" s="27"/>
      <c r="J1563" s="28" t="s">
        <v>1402</v>
      </c>
      <c r="K1563" s="27"/>
      <c r="L1563" s="25" t="s">
        <v>1420</v>
      </c>
      <c r="M1563" s="25" t="s">
        <v>1277</v>
      </c>
      <c r="N1563" s="25"/>
      <c r="O1563" s="25"/>
      <c r="P1563" s="25">
        <v>42</v>
      </c>
      <c r="Q1563" s="25">
        <v>28</v>
      </c>
      <c r="R1563" s="25"/>
      <c r="S1563" s="25">
        <v>10.5</v>
      </c>
      <c r="T1563" s="25">
        <v>10.5</v>
      </c>
      <c r="U1563" s="31">
        <f t="shared" si="25"/>
        <v>91</v>
      </c>
      <c r="V1563" s="25"/>
      <c r="W1563" s="33" t="s">
        <v>1413</v>
      </c>
      <c r="X1563" s="33"/>
      <c r="Y1563" s="33"/>
      <c r="Z1563" s="33"/>
      <c r="AA1563" s="33"/>
    </row>
    <row r="1564" spans="1:27" s="70" customFormat="1" ht="45" x14ac:dyDescent="0.2">
      <c r="A1564" s="24">
        <v>1560</v>
      </c>
      <c r="B1564" s="24" t="s">
        <v>1270</v>
      </c>
      <c r="C1564" s="25" t="s">
        <v>1269</v>
      </c>
      <c r="D1564" s="26" t="s">
        <v>1392</v>
      </c>
      <c r="E1564" s="25" t="s">
        <v>1391</v>
      </c>
      <c r="F1564" s="25" t="s">
        <v>1390</v>
      </c>
      <c r="G1564" s="24"/>
      <c r="H1564" s="28" t="s">
        <v>1398</v>
      </c>
      <c r="I1564" s="27"/>
      <c r="J1564" s="28" t="s">
        <v>1402</v>
      </c>
      <c r="K1564" s="27"/>
      <c r="L1564" s="25" t="s">
        <v>1419</v>
      </c>
      <c r="M1564" s="25" t="s">
        <v>1277</v>
      </c>
      <c r="N1564" s="25"/>
      <c r="O1564" s="25"/>
      <c r="P1564" s="25">
        <v>63</v>
      </c>
      <c r="Q1564" s="25">
        <v>42</v>
      </c>
      <c r="R1564" s="25"/>
      <c r="S1564" s="25">
        <v>15.75</v>
      </c>
      <c r="T1564" s="25">
        <v>15.75</v>
      </c>
      <c r="U1564" s="31">
        <f t="shared" si="25"/>
        <v>136.5</v>
      </c>
      <c r="V1564" s="25"/>
      <c r="W1564" s="33" t="s">
        <v>1413</v>
      </c>
      <c r="X1564" s="33"/>
      <c r="Y1564" s="33"/>
      <c r="Z1564" s="33"/>
      <c r="AA1564" s="33"/>
    </row>
    <row r="1565" spans="1:27" s="70" customFormat="1" ht="45" x14ac:dyDescent="0.2">
      <c r="A1565" s="24">
        <v>1561</v>
      </c>
      <c r="B1565" s="24" t="s">
        <v>1270</v>
      </c>
      <c r="C1565" s="25" t="s">
        <v>1269</v>
      </c>
      <c r="D1565" s="26" t="s">
        <v>1392</v>
      </c>
      <c r="E1565" s="25" t="s">
        <v>1391</v>
      </c>
      <c r="F1565" s="25" t="s">
        <v>1390</v>
      </c>
      <c r="G1565" s="24"/>
      <c r="H1565" s="28" t="s">
        <v>1398</v>
      </c>
      <c r="I1565" s="27"/>
      <c r="J1565" s="28" t="s">
        <v>1402</v>
      </c>
      <c r="K1565" s="27"/>
      <c r="L1565" s="25" t="s">
        <v>1418</v>
      </c>
      <c r="M1565" s="25" t="s">
        <v>1277</v>
      </c>
      <c r="N1565" s="25"/>
      <c r="O1565" s="25"/>
      <c r="P1565" s="25">
        <v>92</v>
      </c>
      <c r="Q1565" s="25">
        <v>61.333333333333329</v>
      </c>
      <c r="R1565" s="25"/>
      <c r="S1565" s="25">
        <v>23</v>
      </c>
      <c r="T1565" s="25">
        <v>23</v>
      </c>
      <c r="U1565" s="31">
        <f t="shared" si="25"/>
        <v>199.33333333333331</v>
      </c>
      <c r="V1565" s="25"/>
      <c r="W1565" s="33" t="s">
        <v>1413</v>
      </c>
      <c r="X1565" s="33"/>
      <c r="Y1565" s="33"/>
      <c r="Z1565" s="33"/>
      <c r="AA1565" s="33"/>
    </row>
    <row r="1566" spans="1:27" s="70" customFormat="1" ht="45" x14ac:dyDescent="0.2">
      <c r="A1566" s="24">
        <v>1562</v>
      </c>
      <c r="B1566" s="24" t="s">
        <v>1270</v>
      </c>
      <c r="C1566" s="25" t="s">
        <v>1269</v>
      </c>
      <c r="D1566" s="26" t="s">
        <v>1392</v>
      </c>
      <c r="E1566" s="25" t="s">
        <v>1391</v>
      </c>
      <c r="F1566" s="25" t="s">
        <v>1390</v>
      </c>
      <c r="G1566" s="24"/>
      <c r="H1566" s="28" t="s">
        <v>1398</v>
      </c>
      <c r="I1566" s="27"/>
      <c r="J1566" s="28" t="s">
        <v>1402</v>
      </c>
      <c r="K1566" s="27"/>
      <c r="L1566" s="25" t="s">
        <v>1417</v>
      </c>
      <c r="M1566" s="25" t="s">
        <v>1277</v>
      </c>
      <c r="N1566" s="25"/>
      <c r="O1566" s="25"/>
      <c r="P1566" s="25">
        <v>178</v>
      </c>
      <c r="Q1566" s="25">
        <v>118.66666666666666</v>
      </c>
      <c r="R1566" s="25"/>
      <c r="S1566" s="25">
        <v>44.5</v>
      </c>
      <c r="T1566" s="25">
        <v>44.5</v>
      </c>
      <c r="U1566" s="31">
        <f t="shared" si="25"/>
        <v>385.66666666666663</v>
      </c>
      <c r="V1566" s="25"/>
      <c r="W1566" s="33" t="s">
        <v>1413</v>
      </c>
      <c r="X1566" s="33"/>
      <c r="Y1566" s="33"/>
      <c r="Z1566" s="33"/>
      <c r="AA1566" s="33"/>
    </row>
    <row r="1567" spans="1:27" s="70" customFormat="1" ht="45" x14ac:dyDescent="0.2">
      <c r="A1567" s="24">
        <v>1563</v>
      </c>
      <c r="B1567" s="24" t="s">
        <v>1270</v>
      </c>
      <c r="C1567" s="25" t="s">
        <v>1269</v>
      </c>
      <c r="D1567" s="26" t="s">
        <v>1392</v>
      </c>
      <c r="E1567" s="25" t="s">
        <v>1391</v>
      </c>
      <c r="F1567" s="25" t="s">
        <v>1390</v>
      </c>
      <c r="G1567" s="24"/>
      <c r="H1567" s="28" t="s">
        <v>1398</v>
      </c>
      <c r="I1567" s="27"/>
      <c r="J1567" s="28" t="s">
        <v>1402</v>
      </c>
      <c r="K1567" s="27"/>
      <c r="L1567" s="25" t="s">
        <v>1416</v>
      </c>
      <c r="M1567" s="25" t="s">
        <v>1277</v>
      </c>
      <c r="N1567" s="25"/>
      <c r="O1567" s="25"/>
      <c r="P1567" s="25">
        <v>141</v>
      </c>
      <c r="Q1567" s="25">
        <v>94</v>
      </c>
      <c r="R1567" s="25"/>
      <c r="S1567" s="25">
        <v>35.25</v>
      </c>
      <c r="T1567" s="25">
        <v>35.25</v>
      </c>
      <c r="U1567" s="31">
        <f t="shared" si="25"/>
        <v>305.5</v>
      </c>
      <c r="V1567" s="25"/>
      <c r="W1567" s="33" t="s">
        <v>1413</v>
      </c>
      <c r="X1567" s="33"/>
      <c r="Y1567" s="33"/>
      <c r="Z1567" s="33"/>
      <c r="AA1567" s="33"/>
    </row>
    <row r="1568" spans="1:27" s="70" customFormat="1" ht="45" x14ac:dyDescent="0.2">
      <c r="A1568" s="24">
        <v>1564</v>
      </c>
      <c r="B1568" s="24" t="s">
        <v>1270</v>
      </c>
      <c r="C1568" s="25" t="s">
        <v>1269</v>
      </c>
      <c r="D1568" s="26" t="s">
        <v>1392</v>
      </c>
      <c r="E1568" s="25" t="s">
        <v>1391</v>
      </c>
      <c r="F1568" s="25" t="s">
        <v>1390</v>
      </c>
      <c r="G1568" s="24"/>
      <c r="H1568" s="28" t="s">
        <v>1398</v>
      </c>
      <c r="I1568" s="27"/>
      <c r="J1568" s="28" t="s">
        <v>1402</v>
      </c>
      <c r="K1568" s="27"/>
      <c r="L1568" s="25" t="s">
        <v>1415</v>
      </c>
      <c r="M1568" s="25" t="s">
        <v>1277</v>
      </c>
      <c r="N1568" s="25"/>
      <c r="O1568" s="25"/>
      <c r="P1568" s="25">
        <v>141</v>
      </c>
      <c r="Q1568" s="25">
        <v>94</v>
      </c>
      <c r="R1568" s="25"/>
      <c r="S1568" s="25">
        <v>35.25</v>
      </c>
      <c r="T1568" s="25">
        <v>35.25</v>
      </c>
      <c r="U1568" s="31">
        <f t="shared" si="25"/>
        <v>305.5</v>
      </c>
      <c r="V1568" s="25"/>
      <c r="W1568" s="33" t="s">
        <v>397</v>
      </c>
      <c r="X1568" s="33"/>
      <c r="Y1568" s="33"/>
      <c r="Z1568" s="33" t="s">
        <v>1403</v>
      </c>
      <c r="AA1568" s="33"/>
    </row>
    <row r="1569" spans="1:27" s="70" customFormat="1" ht="45" x14ac:dyDescent="0.2">
      <c r="A1569" s="24">
        <v>1565</v>
      </c>
      <c r="B1569" s="24" t="s">
        <v>1270</v>
      </c>
      <c r="C1569" s="25" t="s">
        <v>1269</v>
      </c>
      <c r="D1569" s="26" t="s">
        <v>1392</v>
      </c>
      <c r="E1569" s="25" t="s">
        <v>1391</v>
      </c>
      <c r="F1569" s="25" t="s">
        <v>1390</v>
      </c>
      <c r="G1569" s="24"/>
      <c r="H1569" s="28" t="s">
        <v>1398</v>
      </c>
      <c r="I1569" s="27"/>
      <c r="J1569" s="28" t="s">
        <v>1402</v>
      </c>
      <c r="K1569" s="27"/>
      <c r="L1569" s="25" t="s">
        <v>1414</v>
      </c>
      <c r="M1569" s="25" t="s">
        <v>1277</v>
      </c>
      <c r="N1569" s="25"/>
      <c r="O1569" s="25"/>
      <c r="P1569" s="25">
        <v>88</v>
      </c>
      <c r="Q1569" s="25">
        <v>58.666666666666664</v>
      </c>
      <c r="R1569" s="25"/>
      <c r="S1569" s="25">
        <v>22</v>
      </c>
      <c r="T1569" s="25">
        <v>22</v>
      </c>
      <c r="U1569" s="31">
        <f t="shared" si="25"/>
        <v>190.66666666666666</v>
      </c>
      <c r="V1569" s="25"/>
      <c r="W1569" s="33" t="s">
        <v>1413</v>
      </c>
      <c r="X1569" s="33"/>
      <c r="Y1569" s="33"/>
      <c r="Z1569" s="33"/>
      <c r="AA1569" s="33"/>
    </row>
    <row r="1570" spans="1:27" s="70" customFormat="1" ht="45" x14ac:dyDescent="0.2">
      <c r="A1570" s="24">
        <v>1566</v>
      </c>
      <c r="B1570" s="24" t="s">
        <v>1270</v>
      </c>
      <c r="C1570" s="25" t="s">
        <v>1269</v>
      </c>
      <c r="D1570" s="26" t="s">
        <v>1392</v>
      </c>
      <c r="E1570" s="25" t="s">
        <v>1391</v>
      </c>
      <c r="F1570" s="25" t="s">
        <v>1390</v>
      </c>
      <c r="G1570" s="24"/>
      <c r="H1570" s="28" t="s">
        <v>1398</v>
      </c>
      <c r="I1570" s="27"/>
      <c r="J1570" s="28" t="s">
        <v>1402</v>
      </c>
      <c r="K1570" s="27"/>
      <c r="L1570" s="25" t="s">
        <v>1412</v>
      </c>
      <c r="M1570" s="25" t="s">
        <v>1277</v>
      </c>
      <c r="N1570" s="25"/>
      <c r="O1570" s="25"/>
      <c r="P1570" s="25">
        <v>285</v>
      </c>
      <c r="Q1570" s="25">
        <v>190</v>
      </c>
      <c r="R1570" s="25"/>
      <c r="S1570" s="25">
        <v>71.25</v>
      </c>
      <c r="T1570" s="25">
        <v>71.25</v>
      </c>
      <c r="U1570" s="31">
        <f t="shared" si="25"/>
        <v>617.5</v>
      </c>
      <c r="V1570" s="25"/>
      <c r="W1570" s="33" t="s">
        <v>397</v>
      </c>
      <c r="X1570" s="33"/>
      <c r="Y1570" s="33"/>
      <c r="Z1570" s="33" t="s">
        <v>1403</v>
      </c>
      <c r="AA1570" s="33"/>
    </row>
    <row r="1571" spans="1:27" s="70" customFormat="1" ht="45" x14ac:dyDescent="0.2">
      <c r="A1571" s="24">
        <v>1567</v>
      </c>
      <c r="B1571" s="24" t="s">
        <v>1270</v>
      </c>
      <c r="C1571" s="25" t="s">
        <v>1269</v>
      </c>
      <c r="D1571" s="26" t="s">
        <v>1392</v>
      </c>
      <c r="E1571" s="25" t="s">
        <v>1391</v>
      </c>
      <c r="F1571" s="25" t="s">
        <v>1390</v>
      </c>
      <c r="G1571" s="24"/>
      <c r="H1571" s="28" t="s">
        <v>1398</v>
      </c>
      <c r="I1571" s="27"/>
      <c r="J1571" s="28" t="s">
        <v>1402</v>
      </c>
      <c r="K1571" s="27"/>
      <c r="L1571" s="25" t="s">
        <v>1411</v>
      </c>
      <c r="M1571" s="25" t="s">
        <v>1277</v>
      </c>
      <c r="N1571" s="25"/>
      <c r="O1571" s="25"/>
      <c r="P1571" s="25">
        <v>290</v>
      </c>
      <c r="Q1571" s="25">
        <v>193.33333333333331</v>
      </c>
      <c r="R1571" s="25"/>
      <c r="S1571" s="25">
        <v>72.5</v>
      </c>
      <c r="T1571" s="25">
        <v>72.5</v>
      </c>
      <c r="U1571" s="31">
        <f t="shared" si="25"/>
        <v>628.33333333333326</v>
      </c>
      <c r="V1571" s="25"/>
      <c r="W1571" s="33" t="s">
        <v>397</v>
      </c>
      <c r="X1571" s="33"/>
      <c r="Y1571" s="33"/>
      <c r="Z1571" s="33" t="s">
        <v>1410</v>
      </c>
      <c r="AA1571" s="33"/>
    </row>
    <row r="1572" spans="1:27" s="70" customFormat="1" ht="45" x14ac:dyDescent="0.2">
      <c r="A1572" s="24">
        <v>1568</v>
      </c>
      <c r="B1572" s="24" t="s">
        <v>1270</v>
      </c>
      <c r="C1572" s="25" t="s">
        <v>1269</v>
      </c>
      <c r="D1572" s="26" t="s">
        <v>1392</v>
      </c>
      <c r="E1572" s="25" t="s">
        <v>1391</v>
      </c>
      <c r="F1572" s="25" t="s">
        <v>1390</v>
      </c>
      <c r="G1572" s="24"/>
      <c r="H1572" s="28" t="s">
        <v>1398</v>
      </c>
      <c r="I1572" s="27"/>
      <c r="J1572" s="28" t="s">
        <v>1402</v>
      </c>
      <c r="K1572" s="27"/>
      <c r="L1572" s="25" t="s">
        <v>1409</v>
      </c>
      <c r="M1572" s="25" t="s">
        <v>1277</v>
      </c>
      <c r="N1572" s="25"/>
      <c r="O1572" s="25"/>
      <c r="P1572" s="25">
        <v>290</v>
      </c>
      <c r="Q1572" s="25">
        <v>193.33333333333331</v>
      </c>
      <c r="R1572" s="25"/>
      <c r="S1572" s="25">
        <v>72.5</v>
      </c>
      <c r="T1572" s="25">
        <v>72.5</v>
      </c>
      <c r="U1572" s="31">
        <f t="shared" si="25"/>
        <v>628.33333333333326</v>
      </c>
      <c r="V1572" s="25"/>
      <c r="W1572" s="33" t="s">
        <v>397</v>
      </c>
      <c r="X1572" s="33"/>
      <c r="Y1572" s="33"/>
      <c r="Z1572" s="33" t="s">
        <v>1403</v>
      </c>
      <c r="AA1572" s="33"/>
    </row>
    <row r="1573" spans="1:27" s="70" customFormat="1" ht="45" x14ac:dyDescent="0.2">
      <c r="A1573" s="24">
        <v>1569</v>
      </c>
      <c r="B1573" s="24" t="s">
        <v>1270</v>
      </c>
      <c r="C1573" s="25" t="s">
        <v>1269</v>
      </c>
      <c r="D1573" s="26" t="s">
        <v>1392</v>
      </c>
      <c r="E1573" s="25" t="s">
        <v>1391</v>
      </c>
      <c r="F1573" s="25" t="s">
        <v>1390</v>
      </c>
      <c r="G1573" s="24"/>
      <c r="H1573" s="28" t="s">
        <v>1398</v>
      </c>
      <c r="I1573" s="27"/>
      <c r="J1573" s="28" t="s">
        <v>1402</v>
      </c>
      <c r="K1573" s="27"/>
      <c r="L1573" s="25" t="s">
        <v>1408</v>
      </c>
      <c r="M1573" s="25" t="s">
        <v>1277</v>
      </c>
      <c r="N1573" s="25"/>
      <c r="O1573" s="25"/>
      <c r="P1573" s="25">
        <v>205</v>
      </c>
      <c r="Q1573" s="25">
        <v>136.66666666666666</v>
      </c>
      <c r="R1573" s="25"/>
      <c r="S1573" s="25">
        <v>51.25</v>
      </c>
      <c r="T1573" s="25">
        <v>51.25</v>
      </c>
      <c r="U1573" s="31">
        <f t="shared" si="25"/>
        <v>444.16666666666663</v>
      </c>
      <c r="V1573" s="25"/>
      <c r="W1573" s="33" t="s">
        <v>1400</v>
      </c>
      <c r="X1573" s="33"/>
      <c r="Y1573" s="33"/>
      <c r="Z1573" s="33" t="s">
        <v>1403</v>
      </c>
      <c r="AA1573" s="33"/>
    </row>
    <row r="1574" spans="1:27" s="70" customFormat="1" ht="45" x14ac:dyDescent="0.2">
      <c r="A1574" s="24">
        <v>1570</v>
      </c>
      <c r="B1574" s="24" t="s">
        <v>1270</v>
      </c>
      <c r="C1574" s="25" t="s">
        <v>1269</v>
      </c>
      <c r="D1574" s="26" t="s">
        <v>1392</v>
      </c>
      <c r="E1574" s="25" t="s">
        <v>1391</v>
      </c>
      <c r="F1574" s="25" t="s">
        <v>1390</v>
      </c>
      <c r="G1574" s="24"/>
      <c r="H1574" s="28" t="s">
        <v>1398</v>
      </c>
      <c r="I1574" s="27"/>
      <c r="J1574" s="28" t="s">
        <v>1402</v>
      </c>
      <c r="K1574" s="27"/>
      <c r="L1574" s="25" t="s">
        <v>1407</v>
      </c>
      <c r="M1574" s="25" t="s">
        <v>1277</v>
      </c>
      <c r="N1574" s="25"/>
      <c r="O1574" s="25"/>
      <c r="P1574" s="25">
        <v>205</v>
      </c>
      <c r="Q1574" s="25">
        <v>136.66666666666666</v>
      </c>
      <c r="R1574" s="25"/>
      <c r="S1574" s="25">
        <v>51.25</v>
      </c>
      <c r="T1574" s="25">
        <v>51.25</v>
      </c>
      <c r="U1574" s="31">
        <f t="shared" si="25"/>
        <v>444.16666666666663</v>
      </c>
      <c r="V1574" s="25"/>
      <c r="W1574" s="33" t="s">
        <v>1400</v>
      </c>
      <c r="X1574" s="33"/>
      <c r="Y1574" s="33"/>
      <c r="Z1574" s="33" t="s">
        <v>1403</v>
      </c>
      <c r="AA1574" s="33"/>
    </row>
    <row r="1575" spans="1:27" s="70" customFormat="1" ht="45" x14ac:dyDescent="0.2">
      <c r="A1575" s="24">
        <v>1571</v>
      </c>
      <c r="B1575" s="24" t="s">
        <v>1270</v>
      </c>
      <c r="C1575" s="25" t="s">
        <v>1269</v>
      </c>
      <c r="D1575" s="26" t="s">
        <v>1392</v>
      </c>
      <c r="E1575" s="25" t="s">
        <v>1391</v>
      </c>
      <c r="F1575" s="25" t="s">
        <v>1390</v>
      </c>
      <c r="G1575" s="24"/>
      <c r="H1575" s="28" t="s">
        <v>1398</v>
      </c>
      <c r="I1575" s="27"/>
      <c r="J1575" s="28" t="s">
        <v>1402</v>
      </c>
      <c r="K1575" s="27"/>
      <c r="L1575" s="25" t="s">
        <v>1406</v>
      </c>
      <c r="M1575" s="25" t="s">
        <v>1277</v>
      </c>
      <c r="N1575" s="25"/>
      <c r="O1575" s="25"/>
      <c r="P1575" s="25">
        <v>201</v>
      </c>
      <c r="Q1575" s="25">
        <v>134</v>
      </c>
      <c r="R1575" s="25"/>
      <c r="S1575" s="25">
        <v>50.25</v>
      </c>
      <c r="T1575" s="25">
        <v>50.25</v>
      </c>
      <c r="U1575" s="31">
        <f t="shared" si="25"/>
        <v>435.5</v>
      </c>
      <c r="V1575" s="25"/>
      <c r="W1575" s="33" t="s">
        <v>397</v>
      </c>
      <c r="X1575" s="33"/>
      <c r="Y1575" s="33"/>
      <c r="Z1575" s="33" t="s">
        <v>1403</v>
      </c>
      <c r="AA1575" s="33"/>
    </row>
    <row r="1576" spans="1:27" s="70" customFormat="1" ht="45" x14ac:dyDescent="0.2">
      <c r="A1576" s="24">
        <v>1572</v>
      </c>
      <c r="B1576" s="24" t="s">
        <v>1270</v>
      </c>
      <c r="C1576" s="25" t="s">
        <v>1269</v>
      </c>
      <c r="D1576" s="26" t="s">
        <v>1392</v>
      </c>
      <c r="E1576" s="25" t="s">
        <v>1391</v>
      </c>
      <c r="F1576" s="25" t="s">
        <v>1390</v>
      </c>
      <c r="G1576" s="24"/>
      <c r="H1576" s="28" t="s">
        <v>1398</v>
      </c>
      <c r="I1576" s="27"/>
      <c r="J1576" s="28" t="s">
        <v>1402</v>
      </c>
      <c r="K1576" s="27"/>
      <c r="L1576" s="25" t="s">
        <v>1405</v>
      </c>
      <c r="M1576" s="25" t="s">
        <v>1277</v>
      </c>
      <c r="N1576" s="25"/>
      <c r="O1576" s="25"/>
      <c r="P1576" s="25">
        <v>100</v>
      </c>
      <c r="Q1576" s="25">
        <v>66.666666666666657</v>
      </c>
      <c r="R1576" s="25"/>
      <c r="S1576" s="25">
        <v>25</v>
      </c>
      <c r="T1576" s="25">
        <v>25</v>
      </c>
      <c r="U1576" s="31">
        <f t="shared" si="25"/>
        <v>216.66666666666666</v>
      </c>
      <c r="V1576" s="25"/>
      <c r="W1576" s="33" t="s">
        <v>22</v>
      </c>
      <c r="X1576" s="33"/>
      <c r="Y1576" s="33"/>
      <c r="Z1576" s="33"/>
      <c r="AA1576" s="33"/>
    </row>
    <row r="1577" spans="1:27" s="70" customFormat="1" ht="45" x14ac:dyDescent="0.2">
      <c r="A1577" s="24">
        <v>1573</v>
      </c>
      <c r="B1577" s="24" t="s">
        <v>1270</v>
      </c>
      <c r="C1577" s="25" t="s">
        <v>1269</v>
      </c>
      <c r="D1577" s="26" t="s">
        <v>1392</v>
      </c>
      <c r="E1577" s="25" t="s">
        <v>1391</v>
      </c>
      <c r="F1577" s="25" t="s">
        <v>1390</v>
      </c>
      <c r="G1577" s="24"/>
      <c r="H1577" s="28" t="s">
        <v>1398</v>
      </c>
      <c r="I1577" s="27"/>
      <c r="J1577" s="28" t="s">
        <v>1402</v>
      </c>
      <c r="K1577" s="27"/>
      <c r="L1577" s="25" t="s">
        <v>1404</v>
      </c>
      <c r="M1577" s="25" t="s">
        <v>1277</v>
      </c>
      <c r="N1577" s="25"/>
      <c r="O1577" s="25"/>
      <c r="P1577" s="25">
        <v>290</v>
      </c>
      <c r="Q1577" s="25">
        <v>193.33333333333331</v>
      </c>
      <c r="R1577" s="25"/>
      <c r="S1577" s="25">
        <v>72.5</v>
      </c>
      <c r="T1577" s="25">
        <v>72.5</v>
      </c>
      <c r="U1577" s="31">
        <f t="shared" si="25"/>
        <v>628.33333333333326</v>
      </c>
      <c r="V1577" s="25"/>
      <c r="W1577" s="33" t="s">
        <v>397</v>
      </c>
      <c r="X1577" s="33"/>
      <c r="Y1577" s="33"/>
      <c r="Z1577" s="33" t="s">
        <v>1403</v>
      </c>
      <c r="AA1577" s="33"/>
    </row>
    <row r="1578" spans="1:27" s="70" customFormat="1" ht="45" x14ac:dyDescent="0.2">
      <c r="A1578" s="24">
        <v>1574</v>
      </c>
      <c r="B1578" s="24" t="s">
        <v>1270</v>
      </c>
      <c r="C1578" s="25" t="s">
        <v>1269</v>
      </c>
      <c r="D1578" s="26" t="s">
        <v>1392</v>
      </c>
      <c r="E1578" s="25" t="s">
        <v>1391</v>
      </c>
      <c r="F1578" s="25" t="s">
        <v>1390</v>
      </c>
      <c r="G1578" s="24"/>
      <c r="H1578" s="28" t="s">
        <v>1398</v>
      </c>
      <c r="I1578" s="27"/>
      <c r="J1578" s="28" t="s">
        <v>1402</v>
      </c>
      <c r="K1578" s="27"/>
      <c r="L1578" s="25" t="s">
        <v>1401</v>
      </c>
      <c r="M1578" s="25" t="s">
        <v>1277</v>
      </c>
      <c r="N1578" s="25"/>
      <c r="O1578" s="25"/>
      <c r="P1578" s="25">
        <v>290</v>
      </c>
      <c r="Q1578" s="25">
        <v>193.33333333333331</v>
      </c>
      <c r="R1578" s="25"/>
      <c r="S1578" s="25">
        <v>72.5</v>
      </c>
      <c r="T1578" s="25">
        <v>72.5</v>
      </c>
      <c r="U1578" s="31">
        <f t="shared" si="25"/>
        <v>628.33333333333326</v>
      </c>
      <c r="V1578" s="25"/>
      <c r="W1578" s="33" t="s">
        <v>1400</v>
      </c>
      <c r="X1578" s="33"/>
      <c r="Y1578" s="33"/>
      <c r="Z1578" s="33"/>
      <c r="AA1578" s="33"/>
    </row>
    <row r="1579" spans="1:27" s="70" customFormat="1" ht="45" x14ac:dyDescent="0.2">
      <c r="A1579" s="24">
        <v>1575</v>
      </c>
      <c r="B1579" s="24" t="s">
        <v>1270</v>
      </c>
      <c r="C1579" s="25" t="s">
        <v>1269</v>
      </c>
      <c r="D1579" s="26" t="s">
        <v>1392</v>
      </c>
      <c r="E1579" s="25" t="s">
        <v>1391</v>
      </c>
      <c r="F1579" s="25" t="s">
        <v>1390</v>
      </c>
      <c r="G1579" s="24"/>
      <c r="H1579" s="28" t="s">
        <v>1398</v>
      </c>
      <c r="I1579" s="27"/>
      <c r="J1579" s="28" t="s">
        <v>1399</v>
      </c>
      <c r="K1579" s="27"/>
      <c r="L1579" s="25"/>
      <c r="M1579" s="25"/>
      <c r="N1579" s="25"/>
      <c r="O1579" s="25"/>
      <c r="P1579" s="25"/>
      <c r="Q1579" s="25"/>
      <c r="R1579" s="25"/>
      <c r="S1579" s="25"/>
      <c r="T1579" s="25"/>
      <c r="U1579" s="31">
        <f t="shared" si="25"/>
        <v>0</v>
      </c>
      <c r="V1579" s="25"/>
      <c r="W1579" s="33"/>
      <c r="X1579" s="33"/>
      <c r="Y1579" s="33"/>
      <c r="Z1579" s="33"/>
      <c r="AA1579" s="33"/>
    </row>
    <row r="1580" spans="1:27" s="70" customFormat="1" ht="56.25" x14ac:dyDescent="0.2">
      <c r="A1580" s="24">
        <v>1576</v>
      </c>
      <c r="B1580" s="24" t="s">
        <v>1270</v>
      </c>
      <c r="C1580" s="25" t="s">
        <v>1269</v>
      </c>
      <c r="D1580" s="26" t="s">
        <v>1392</v>
      </c>
      <c r="E1580" s="25" t="s">
        <v>1391</v>
      </c>
      <c r="F1580" s="25" t="s">
        <v>1390</v>
      </c>
      <c r="G1580" s="24"/>
      <c r="H1580" s="28" t="s">
        <v>1398</v>
      </c>
      <c r="I1580" s="27"/>
      <c r="J1580" s="28" t="s">
        <v>1397</v>
      </c>
      <c r="K1580" s="27"/>
      <c r="L1580" s="25"/>
      <c r="M1580" s="25"/>
      <c r="N1580" s="25"/>
      <c r="O1580" s="25"/>
      <c r="P1580" s="25"/>
      <c r="Q1580" s="25"/>
      <c r="R1580" s="25"/>
      <c r="S1580" s="25"/>
      <c r="T1580" s="25"/>
      <c r="U1580" s="31">
        <f t="shared" si="25"/>
        <v>0</v>
      </c>
      <c r="V1580" s="25"/>
      <c r="W1580" s="33"/>
      <c r="X1580" s="33"/>
      <c r="Y1580" s="33"/>
      <c r="Z1580" s="33"/>
      <c r="AA1580" s="33"/>
    </row>
    <row r="1581" spans="1:27" s="70" customFormat="1" ht="22.5" x14ac:dyDescent="0.2">
      <c r="A1581" s="24">
        <v>1577</v>
      </c>
      <c r="B1581" s="24" t="s">
        <v>1270</v>
      </c>
      <c r="C1581" s="25" t="s">
        <v>1269</v>
      </c>
      <c r="D1581" s="26" t="s">
        <v>1392</v>
      </c>
      <c r="E1581" s="25" t="s">
        <v>1391</v>
      </c>
      <c r="F1581" s="25" t="s">
        <v>1390</v>
      </c>
      <c r="G1581" s="24"/>
      <c r="H1581" s="28" t="s">
        <v>1389</v>
      </c>
      <c r="I1581" s="27"/>
      <c r="J1581" s="28" t="s">
        <v>1389</v>
      </c>
      <c r="K1581" s="27"/>
      <c r="L1581" s="25" t="s">
        <v>1396</v>
      </c>
      <c r="M1581" s="25" t="s">
        <v>190</v>
      </c>
      <c r="N1581" s="25">
        <v>12</v>
      </c>
      <c r="O1581" s="25"/>
      <c r="P1581" s="25"/>
      <c r="Q1581" s="25"/>
      <c r="R1581" s="25">
        <v>10</v>
      </c>
      <c r="S1581" s="25"/>
      <c r="T1581" s="25">
        <v>2.5</v>
      </c>
      <c r="U1581" s="31">
        <f t="shared" si="25"/>
        <v>12.5</v>
      </c>
      <c r="V1581" s="25"/>
      <c r="W1581" s="33" t="s">
        <v>1116</v>
      </c>
      <c r="X1581" s="33"/>
      <c r="Y1581" s="33"/>
      <c r="Z1581" s="33"/>
      <c r="AA1581" s="33"/>
    </row>
    <row r="1582" spans="1:27" s="70" customFormat="1" ht="22.5" x14ac:dyDescent="0.2">
      <c r="A1582" s="24">
        <v>1578</v>
      </c>
      <c r="B1582" s="24" t="s">
        <v>1270</v>
      </c>
      <c r="C1582" s="25" t="s">
        <v>1269</v>
      </c>
      <c r="D1582" s="26" t="s">
        <v>1392</v>
      </c>
      <c r="E1582" s="25" t="s">
        <v>1391</v>
      </c>
      <c r="F1582" s="25" t="s">
        <v>1390</v>
      </c>
      <c r="G1582" s="24"/>
      <c r="H1582" s="28" t="s">
        <v>1389</v>
      </c>
      <c r="I1582" s="27"/>
      <c r="J1582" s="28" t="s">
        <v>1389</v>
      </c>
      <c r="K1582" s="27"/>
      <c r="L1582" s="25" t="s">
        <v>696</v>
      </c>
      <c r="M1582" s="25" t="s">
        <v>190</v>
      </c>
      <c r="N1582" s="25">
        <v>12</v>
      </c>
      <c r="O1582" s="25"/>
      <c r="P1582" s="25"/>
      <c r="Q1582" s="25"/>
      <c r="R1582" s="25">
        <v>8</v>
      </c>
      <c r="S1582" s="25"/>
      <c r="T1582" s="25">
        <v>2</v>
      </c>
      <c r="U1582" s="31">
        <f t="shared" si="25"/>
        <v>10</v>
      </c>
      <c r="V1582" s="25"/>
      <c r="W1582" s="33" t="s">
        <v>1395</v>
      </c>
      <c r="X1582" s="33"/>
      <c r="Y1582" s="33"/>
      <c r="Z1582" s="33"/>
      <c r="AA1582" s="33"/>
    </row>
    <row r="1583" spans="1:27" s="70" customFormat="1" ht="22.5" x14ac:dyDescent="0.2">
      <c r="A1583" s="24">
        <v>1579</v>
      </c>
      <c r="B1583" s="24" t="s">
        <v>1270</v>
      </c>
      <c r="C1583" s="25" t="s">
        <v>1269</v>
      </c>
      <c r="D1583" s="26" t="s">
        <v>1392</v>
      </c>
      <c r="E1583" s="25" t="s">
        <v>1391</v>
      </c>
      <c r="F1583" s="25" t="s">
        <v>1390</v>
      </c>
      <c r="G1583" s="24"/>
      <c r="H1583" s="28" t="s">
        <v>1389</v>
      </c>
      <c r="I1583" s="27"/>
      <c r="J1583" s="28" t="s">
        <v>1389</v>
      </c>
      <c r="K1583" s="27"/>
      <c r="L1583" s="25" t="s">
        <v>1394</v>
      </c>
      <c r="M1583" s="25" t="s">
        <v>190</v>
      </c>
      <c r="N1583" s="25">
        <v>12</v>
      </c>
      <c r="O1583" s="25"/>
      <c r="P1583" s="25"/>
      <c r="Q1583" s="25"/>
      <c r="R1583" s="25">
        <v>16</v>
      </c>
      <c r="S1583" s="25"/>
      <c r="T1583" s="25">
        <v>4</v>
      </c>
      <c r="U1583" s="31">
        <f t="shared" si="25"/>
        <v>20</v>
      </c>
      <c r="V1583" s="25"/>
      <c r="W1583" s="33" t="s">
        <v>1393</v>
      </c>
      <c r="X1583" s="33"/>
      <c r="Y1583" s="33"/>
      <c r="Z1583" s="33"/>
      <c r="AA1583" s="33"/>
    </row>
    <row r="1584" spans="1:27" s="70" customFormat="1" ht="22.5" x14ac:dyDescent="0.2">
      <c r="A1584" s="24">
        <v>1580</v>
      </c>
      <c r="B1584" s="24" t="s">
        <v>1270</v>
      </c>
      <c r="C1584" s="25" t="s">
        <v>1269</v>
      </c>
      <c r="D1584" s="26" t="s">
        <v>1392</v>
      </c>
      <c r="E1584" s="25" t="s">
        <v>1391</v>
      </c>
      <c r="F1584" s="25" t="s">
        <v>1390</v>
      </c>
      <c r="G1584" s="24"/>
      <c r="H1584" s="28" t="s">
        <v>1389</v>
      </c>
      <c r="I1584" s="27"/>
      <c r="J1584" s="28" t="s">
        <v>1389</v>
      </c>
      <c r="K1584" s="27"/>
      <c r="L1584" s="25" t="s">
        <v>1388</v>
      </c>
      <c r="M1584" s="25" t="s">
        <v>1387</v>
      </c>
      <c r="N1584" s="25">
        <v>1</v>
      </c>
      <c r="O1584" s="25"/>
      <c r="P1584" s="25"/>
      <c r="Q1584" s="25"/>
      <c r="R1584" s="25"/>
      <c r="S1584" s="25"/>
      <c r="T1584" s="25"/>
      <c r="U1584" s="31">
        <f t="shared" si="25"/>
        <v>0</v>
      </c>
      <c r="V1584" s="25"/>
      <c r="W1584" s="33" t="s">
        <v>1386</v>
      </c>
      <c r="X1584" s="33"/>
      <c r="Y1584" s="33"/>
      <c r="Z1584" s="33"/>
      <c r="AA1584" s="33"/>
    </row>
    <row r="1585" spans="1:27" s="70" customFormat="1" ht="78.75" x14ac:dyDescent="0.2">
      <c r="A1585" s="24">
        <v>1581</v>
      </c>
      <c r="B1585" s="24" t="s">
        <v>1270</v>
      </c>
      <c r="C1585" s="25" t="s">
        <v>1269</v>
      </c>
      <c r="D1585" s="26" t="s">
        <v>1268</v>
      </c>
      <c r="E1585" s="25" t="s">
        <v>1267</v>
      </c>
      <c r="F1585" s="25" t="s">
        <v>1266</v>
      </c>
      <c r="G1585" s="24"/>
      <c r="H1585" s="28" t="s">
        <v>1354</v>
      </c>
      <c r="I1585" s="27"/>
      <c r="J1585" s="28" t="s">
        <v>1385</v>
      </c>
      <c r="K1585" s="27"/>
      <c r="L1585" s="25"/>
      <c r="M1585" s="25"/>
      <c r="N1585" s="25"/>
      <c r="O1585" s="25"/>
      <c r="P1585" s="25"/>
      <c r="Q1585" s="25"/>
      <c r="R1585" s="25"/>
      <c r="S1585" s="25"/>
      <c r="T1585" s="25"/>
      <c r="U1585" s="31">
        <f t="shared" si="25"/>
        <v>0</v>
      </c>
      <c r="V1585" s="25"/>
      <c r="W1585" s="33"/>
      <c r="X1585" s="33"/>
      <c r="Y1585" s="33"/>
      <c r="Z1585" s="33"/>
      <c r="AA1585" s="33"/>
    </row>
    <row r="1586" spans="1:27" s="70" customFormat="1" ht="90" x14ac:dyDescent="0.2">
      <c r="A1586" s="24">
        <v>1582</v>
      </c>
      <c r="B1586" s="24" t="s">
        <v>1270</v>
      </c>
      <c r="C1586" s="25" t="s">
        <v>1269</v>
      </c>
      <c r="D1586" s="26" t="s">
        <v>1268</v>
      </c>
      <c r="E1586" s="25" t="s">
        <v>1267</v>
      </c>
      <c r="F1586" s="25" t="s">
        <v>1266</v>
      </c>
      <c r="G1586" s="24"/>
      <c r="H1586" s="28" t="s">
        <v>1354</v>
      </c>
      <c r="I1586" s="27"/>
      <c r="J1586" s="28" t="s">
        <v>1384</v>
      </c>
      <c r="K1586" s="27"/>
      <c r="L1586" s="25" t="s">
        <v>1383</v>
      </c>
      <c r="M1586" s="25" t="s">
        <v>1382</v>
      </c>
      <c r="N1586" s="25">
        <v>10000</v>
      </c>
      <c r="O1586" s="25">
        <v>0.1</v>
      </c>
      <c r="P1586" s="25"/>
      <c r="Q1586" s="25"/>
      <c r="R1586" s="25"/>
      <c r="S1586" s="25">
        <v>0.05</v>
      </c>
      <c r="T1586" s="25"/>
      <c r="U1586" s="31">
        <f t="shared" si="25"/>
        <v>0.15000000000000002</v>
      </c>
      <c r="V1586" s="25"/>
      <c r="W1586" s="33"/>
      <c r="X1586" s="33" t="s">
        <v>22</v>
      </c>
      <c r="Y1586" s="33"/>
      <c r="Z1586" s="33"/>
      <c r="AA1586" s="33"/>
    </row>
    <row r="1587" spans="1:27" s="70" customFormat="1" ht="45" x14ac:dyDescent="0.2">
      <c r="A1587" s="24">
        <v>1583</v>
      </c>
      <c r="B1587" s="24" t="s">
        <v>1270</v>
      </c>
      <c r="C1587" s="25" t="s">
        <v>1269</v>
      </c>
      <c r="D1587" s="26" t="s">
        <v>1268</v>
      </c>
      <c r="E1587" s="25" t="s">
        <v>1267</v>
      </c>
      <c r="F1587" s="25" t="s">
        <v>1266</v>
      </c>
      <c r="G1587" s="24"/>
      <c r="H1587" s="28" t="s">
        <v>1354</v>
      </c>
      <c r="I1587" s="27"/>
      <c r="J1587" s="28" t="s">
        <v>1375</v>
      </c>
      <c r="K1587" s="27"/>
      <c r="L1587" s="25" t="s">
        <v>1381</v>
      </c>
      <c r="M1587" s="25" t="s">
        <v>1379</v>
      </c>
      <c r="N1587" s="25">
        <v>200</v>
      </c>
      <c r="O1587" s="25">
        <v>48</v>
      </c>
      <c r="P1587" s="25"/>
      <c r="Q1587" s="25">
        <v>2</v>
      </c>
      <c r="R1587" s="25"/>
      <c r="S1587" s="25">
        <v>1</v>
      </c>
      <c r="T1587" s="25"/>
      <c r="U1587" s="31">
        <f t="shared" si="25"/>
        <v>51</v>
      </c>
      <c r="V1587" s="25"/>
      <c r="W1587" s="33" t="s">
        <v>1366</v>
      </c>
      <c r="X1587" s="33"/>
      <c r="Y1587" s="33"/>
      <c r="Z1587" s="33" t="s">
        <v>1377</v>
      </c>
      <c r="AA1587" s="33" t="s">
        <v>1376</v>
      </c>
    </row>
    <row r="1588" spans="1:27" s="70" customFormat="1" ht="45" x14ac:dyDescent="0.2">
      <c r="A1588" s="24">
        <v>1584</v>
      </c>
      <c r="B1588" s="24" t="s">
        <v>1270</v>
      </c>
      <c r="C1588" s="25" t="s">
        <v>1269</v>
      </c>
      <c r="D1588" s="26" t="s">
        <v>1268</v>
      </c>
      <c r="E1588" s="25" t="s">
        <v>1267</v>
      </c>
      <c r="F1588" s="25" t="s">
        <v>1266</v>
      </c>
      <c r="G1588" s="24"/>
      <c r="H1588" s="28" t="s">
        <v>1354</v>
      </c>
      <c r="I1588" s="27"/>
      <c r="J1588" s="28" t="s">
        <v>1375</v>
      </c>
      <c r="K1588" s="27"/>
      <c r="L1588" s="25" t="s">
        <v>1380</v>
      </c>
      <c r="M1588" s="25" t="s">
        <v>1379</v>
      </c>
      <c r="N1588" s="25">
        <v>220</v>
      </c>
      <c r="O1588" s="25">
        <v>8</v>
      </c>
      <c r="P1588" s="25"/>
      <c r="Q1588" s="25">
        <v>2</v>
      </c>
      <c r="R1588" s="25"/>
      <c r="S1588" s="25">
        <v>1</v>
      </c>
      <c r="T1588" s="25"/>
      <c r="U1588" s="31">
        <f t="shared" si="25"/>
        <v>11</v>
      </c>
      <c r="V1588" s="25"/>
      <c r="W1588" s="33" t="s">
        <v>1378</v>
      </c>
      <c r="X1588" s="33"/>
      <c r="Y1588" s="33"/>
      <c r="Z1588" s="33" t="s">
        <v>1377</v>
      </c>
      <c r="AA1588" s="33" t="s">
        <v>1376</v>
      </c>
    </row>
    <row r="1589" spans="1:27" s="70" customFormat="1" ht="45" x14ac:dyDescent="0.2">
      <c r="A1589" s="24">
        <v>1585</v>
      </c>
      <c r="B1589" s="24" t="s">
        <v>1270</v>
      </c>
      <c r="C1589" s="25" t="s">
        <v>1269</v>
      </c>
      <c r="D1589" s="26" t="s">
        <v>1268</v>
      </c>
      <c r="E1589" s="25" t="s">
        <v>1267</v>
      </c>
      <c r="F1589" s="25" t="s">
        <v>1266</v>
      </c>
      <c r="G1589" s="24"/>
      <c r="H1589" s="28" t="s">
        <v>1354</v>
      </c>
      <c r="I1589" s="27"/>
      <c r="J1589" s="28" t="s">
        <v>1375</v>
      </c>
      <c r="K1589" s="27"/>
      <c r="L1589" s="25" t="s">
        <v>1374</v>
      </c>
      <c r="M1589" s="25" t="s">
        <v>255</v>
      </c>
      <c r="N1589" s="25">
        <v>6000</v>
      </c>
      <c r="O1589" s="25">
        <v>4</v>
      </c>
      <c r="P1589" s="25"/>
      <c r="Q1589" s="25">
        <v>1</v>
      </c>
      <c r="R1589" s="25"/>
      <c r="S1589" s="25">
        <v>1</v>
      </c>
      <c r="T1589" s="25"/>
      <c r="U1589" s="31">
        <f t="shared" si="25"/>
        <v>6</v>
      </c>
      <c r="V1589" s="25"/>
      <c r="W1589" s="33" t="s">
        <v>1366</v>
      </c>
      <c r="X1589" s="33"/>
      <c r="Y1589" s="33"/>
      <c r="Z1589" s="33" t="s">
        <v>1370</v>
      </c>
      <c r="AA1589" s="33" t="s">
        <v>1373</v>
      </c>
    </row>
    <row r="1590" spans="1:27" s="70" customFormat="1" ht="45" x14ac:dyDescent="0.2">
      <c r="A1590" s="24">
        <v>1586</v>
      </c>
      <c r="B1590" s="24" t="s">
        <v>1270</v>
      </c>
      <c r="C1590" s="25" t="s">
        <v>1269</v>
      </c>
      <c r="D1590" s="26" t="s">
        <v>1268</v>
      </c>
      <c r="E1590" s="25" t="s">
        <v>1267</v>
      </c>
      <c r="F1590" s="25" t="s">
        <v>1266</v>
      </c>
      <c r="G1590" s="24"/>
      <c r="H1590" s="28" t="s">
        <v>1354</v>
      </c>
      <c r="I1590" s="27"/>
      <c r="J1590" s="28" t="s">
        <v>1368</v>
      </c>
      <c r="K1590" s="27"/>
      <c r="L1590" s="25" t="s">
        <v>1372</v>
      </c>
      <c r="M1590" s="25" t="s">
        <v>1371</v>
      </c>
      <c r="N1590" s="25">
        <v>12</v>
      </c>
      <c r="O1590" s="25">
        <v>2</v>
      </c>
      <c r="P1590" s="25"/>
      <c r="Q1590" s="25">
        <v>0.1</v>
      </c>
      <c r="R1590" s="25"/>
      <c r="S1590" s="25">
        <v>0.1</v>
      </c>
      <c r="T1590" s="25"/>
      <c r="U1590" s="31">
        <f t="shared" si="25"/>
        <v>2.2000000000000002</v>
      </c>
      <c r="V1590" s="25"/>
      <c r="W1590" s="33" t="s">
        <v>1366</v>
      </c>
      <c r="X1590" s="33"/>
      <c r="Y1590" s="33"/>
      <c r="Z1590" s="33" t="s">
        <v>1370</v>
      </c>
      <c r="AA1590" s="33" t="s">
        <v>1369</v>
      </c>
    </row>
    <row r="1591" spans="1:27" s="70" customFormat="1" ht="45" x14ac:dyDescent="0.2">
      <c r="A1591" s="24">
        <v>1587</v>
      </c>
      <c r="B1591" s="24" t="s">
        <v>1270</v>
      </c>
      <c r="C1591" s="25" t="s">
        <v>1269</v>
      </c>
      <c r="D1591" s="26" t="s">
        <v>1268</v>
      </c>
      <c r="E1591" s="25" t="s">
        <v>1267</v>
      </c>
      <c r="F1591" s="25" t="s">
        <v>1266</v>
      </c>
      <c r="G1591" s="24"/>
      <c r="H1591" s="28" t="s">
        <v>1354</v>
      </c>
      <c r="I1591" s="27"/>
      <c r="J1591" s="28" t="s">
        <v>1368</v>
      </c>
      <c r="K1591" s="27"/>
      <c r="L1591" s="25" t="s">
        <v>1367</v>
      </c>
      <c r="M1591" s="25" t="s">
        <v>255</v>
      </c>
      <c r="N1591" s="25">
        <v>300</v>
      </c>
      <c r="O1591" s="25">
        <v>3</v>
      </c>
      <c r="P1591" s="25"/>
      <c r="Q1591" s="25">
        <v>0.1</v>
      </c>
      <c r="R1591" s="25"/>
      <c r="S1591" s="25">
        <v>0.1</v>
      </c>
      <c r="T1591" s="25"/>
      <c r="U1591" s="31">
        <f t="shared" si="25"/>
        <v>3.2</v>
      </c>
      <c r="V1591" s="25"/>
      <c r="W1591" s="33" t="s">
        <v>1366</v>
      </c>
      <c r="X1591" s="33"/>
      <c r="Y1591" s="33"/>
      <c r="Z1591" s="33" t="s">
        <v>1365</v>
      </c>
      <c r="AA1591" s="33"/>
    </row>
    <row r="1592" spans="1:27" s="70" customFormat="1" ht="33.75" x14ac:dyDescent="0.2">
      <c r="A1592" s="24">
        <v>1588</v>
      </c>
      <c r="B1592" s="24" t="s">
        <v>1270</v>
      </c>
      <c r="C1592" s="25" t="s">
        <v>1269</v>
      </c>
      <c r="D1592" s="26" t="s">
        <v>1268</v>
      </c>
      <c r="E1592" s="25" t="s">
        <v>1267</v>
      </c>
      <c r="F1592" s="25" t="s">
        <v>1266</v>
      </c>
      <c r="G1592" s="24"/>
      <c r="H1592" s="28" t="s">
        <v>1354</v>
      </c>
      <c r="I1592" s="27"/>
      <c r="J1592" s="28" t="s">
        <v>1364</v>
      </c>
      <c r="K1592" s="27"/>
      <c r="L1592" s="25" t="s">
        <v>1363</v>
      </c>
      <c r="M1592" s="25" t="s">
        <v>1362</v>
      </c>
      <c r="N1592" s="25">
        <v>200</v>
      </c>
      <c r="O1592" s="25">
        <v>1</v>
      </c>
      <c r="P1592" s="25"/>
      <c r="Q1592" s="25"/>
      <c r="R1592" s="25"/>
      <c r="S1592" s="25"/>
      <c r="T1592" s="25"/>
      <c r="U1592" s="31">
        <f t="shared" si="25"/>
        <v>1</v>
      </c>
      <c r="V1592" s="25"/>
      <c r="W1592" s="33" t="s">
        <v>419</v>
      </c>
      <c r="X1592" s="33"/>
      <c r="Y1592" s="33"/>
      <c r="Z1592" s="33"/>
      <c r="AA1592" s="33"/>
    </row>
    <row r="1593" spans="1:27" s="70" customFormat="1" ht="33.75" x14ac:dyDescent="0.2">
      <c r="A1593" s="24">
        <v>1589</v>
      </c>
      <c r="B1593" s="24" t="s">
        <v>1270</v>
      </c>
      <c r="C1593" s="25" t="s">
        <v>1269</v>
      </c>
      <c r="D1593" s="26" t="s">
        <v>1268</v>
      </c>
      <c r="E1593" s="25" t="s">
        <v>1267</v>
      </c>
      <c r="F1593" s="25" t="s">
        <v>1266</v>
      </c>
      <c r="G1593" s="24"/>
      <c r="H1593" s="28" t="s">
        <v>1354</v>
      </c>
      <c r="I1593" s="27"/>
      <c r="J1593" s="28" t="s">
        <v>1361</v>
      </c>
      <c r="K1593" s="27"/>
      <c r="L1593" s="25"/>
      <c r="M1593" s="25"/>
      <c r="N1593" s="25"/>
      <c r="O1593" s="25"/>
      <c r="P1593" s="25"/>
      <c r="Q1593" s="25"/>
      <c r="R1593" s="25"/>
      <c r="S1593" s="25"/>
      <c r="T1593" s="25"/>
      <c r="U1593" s="31">
        <f t="shared" si="25"/>
        <v>0</v>
      </c>
      <c r="V1593" s="25"/>
      <c r="W1593" s="33"/>
      <c r="X1593" s="33"/>
      <c r="Y1593" s="33"/>
      <c r="Z1593" s="33"/>
      <c r="AA1593" s="33"/>
    </row>
    <row r="1594" spans="1:27" s="70" customFormat="1" ht="22.5" x14ac:dyDescent="0.2">
      <c r="A1594" s="24">
        <v>1590</v>
      </c>
      <c r="B1594" s="24" t="s">
        <v>1270</v>
      </c>
      <c r="C1594" s="25" t="s">
        <v>1269</v>
      </c>
      <c r="D1594" s="26" t="s">
        <v>1268</v>
      </c>
      <c r="E1594" s="25" t="s">
        <v>1267</v>
      </c>
      <c r="F1594" s="25" t="s">
        <v>1266</v>
      </c>
      <c r="G1594" s="24"/>
      <c r="H1594" s="28" t="s">
        <v>1354</v>
      </c>
      <c r="I1594" s="27"/>
      <c r="J1594" s="28" t="s">
        <v>1357</v>
      </c>
      <c r="K1594" s="27"/>
      <c r="L1594" s="25" t="s">
        <v>1360</v>
      </c>
      <c r="M1594" s="25" t="s">
        <v>1359</v>
      </c>
      <c r="N1594" s="25">
        <v>500</v>
      </c>
      <c r="O1594" s="25">
        <v>0.2</v>
      </c>
      <c r="P1594" s="25"/>
      <c r="Q1594" s="25"/>
      <c r="R1594" s="25"/>
      <c r="S1594" s="25">
        <v>0.1</v>
      </c>
      <c r="T1594" s="25"/>
      <c r="U1594" s="31">
        <f t="shared" si="25"/>
        <v>0.30000000000000004</v>
      </c>
      <c r="V1594" s="25"/>
      <c r="W1594" s="33" t="s">
        <v>419</v>
      </c>
      <c r="X1594" s="33"/>
      <c r="Y1594" s="33"/>
      <c r="Z1594" s="33"/>
      <c r="AA1594" s="33"/>
    </row>
    <row r="1595" spans="1:27" s="70" customFormat="1" ht="22.5" x14ac:dyDescent="0.2">
      <c r="A1595" s="24">
        <v>1591</v>
      </c>
      <c r="B1595" s="24" t="s">
        <v>1270</v>
      </c>
      <c r="C1595" s="25" t="s">
        <v>1269</v>
      </c>
      <c r="D1595" s="26" t="s">
        <v>1268</v>
      </c>
      <c r="E1595" s="25" t="s">
        <v>1267</v>
      </c>
      <c r="F1595" s="25" t="s">
        <v>1266</v>
      </c>
      <c r="G1595" s="24"/>
      <c r="H1595" s="28" t="s">
        <v>1354</v>
      </c>
      <c r="I1595" s="27"/>
      <c r="J1595" s="28" t="s">
        <v>1357</v>
      </c>
      <c r="K1595" s="27"/>
      <c r="L1595" s="25" t="s">
        <v>1358</v>
      </c>
      <c r="M1595" s="25" t="s">
        <v>1275</v>
      </c>
      <c r="N1595" s="25">
        <v>100</v>
      </c>
      <c r="O1595" s="25"/>
      <c r="P1595" s="25">
        <v>8</v>
      </c>
      <c r="Q1595" s="25">
        <v>0.5</v>
      </c>
      <c r="R1595" s="25"/>
      <c r="S1595" s="25">
        <v>0.1</v>
      </c>
      <c r="T1595" s="25"/>
      <c r="U1595" s="31">
        <f t="shared" si="25"/>
        <v>8.6</v>
      </c>
      <c r="V1595" s="25"/>
      <c r="W1595" s="33" t="s">
        <v>1348</v>
      </c>
      <c r="X1595" s="33"/>
      <c r="Y1595" s="33"/>
      <c r="Z1595" s="33"/>
      <c r="AA1595" s="33"/>
    </row>
    <row r="1596" spans="1:27" s="70" customFormat="1" ht="22.5" x14ac:dyDescent="0.2">
      <c r="A1596" s="24">
        <v>1592</v>
      </c>
      <c r="B1596" s="24" t="s">
        <v>1270</v>
      </c>
      <c r="C1596" s="25" t="s">
        <v>1269</v>
      </c>
      <c r="D1596" s="26" t="s">
        <v>1268</v>
      </c>
      <c r="E1596" s="25" t="s">
        <v>1267</v>
      </c>
      <c r="F1596" s="25" t="s">
        <v>1266</v>
      </c>
      <c r="G1596" s="24"/>
      <c r="H1596" s="28" t="s">
        <v>1354</v>
      </c>
      <c r="I1596" s="27"/>
      <c r="J1596" s="28" t="s">
        <v>1357</v>
      </c>
      <c r="K1596" s="27"/>
      <c r="L1596" s="25" t="s">
        <v>1356</v>
      </c>
      <c r="M1596" s="25" t="s">
        <v>190</v>
      </c>
      <c r="N1596" s="25">
        <v>4</v>
      </c>
      <c r="O1596" s="25">
        <v>24</v>
      </c>
      <c r="P1596" s="25"/>
      <c r="Q1596" s="25">
        <v>0.5</v>
      </c>
      <c r="R1596" s="25"/>
      <c r="S1596" s="25">
        <v>0.2</v>
      </c>
      <c r="T1596" s="25"/>
      <c r="U1596" s="31">
        <f t="shared" si="25"/>
        <v>24.7</v>
      </c>
      <c r="V1596" s="25"/>
      <c r="W1596" s="33" t="s">
        <v>22</v>
      </c>
      <c r="X1596" s="33"/>
      <c r="Y1596" s="33"/>
      <c r="Z1596" s="33"/>
      <c r="AA1596" s="33"/>
    </row>
    <row r="1597" spans="1:27" s="70" customFormat="1" ht="22.5" x14ac:dyDescent="0.2">
      <c r="A1597" s="24">
        <v>1593</v>
      </c>
      <c r="B1597" s="24" t="s">
        <v>1270</v>
      </c>
      <c r="C1597" s="25" t="s">
        <v>1269</v>
      </c>
      <c r="D1597" s="26" t="s">
        <v>1268</v>
      </c>
      <c r="E1597" s="25" t="s">
        <v>1267</v>
      </c>
      <c r="F1597" s="25" t="s">
        <v>1266</v>
      </c>
      <c r="G1597" s="24"/>
      <c r="H1597" s="28" t="s">
        <v>1354</v>
      </c>
      <c r="I1597" s="27"/>
      <c r="J1597" s="28" t="s">
        <v>1355</v>
      </c>
      <c r="K1597" s="27"/>
      <c r="L1597" s="25"/>
      <c r="M1597" s="25"/>
      <c r="N1597" s="25"/>
      <c r="O1597" s="25"/>
      <c r="P1597" s="25"/>
      <c r="Q1597" s="25"/>
      <c r="R1597" s="25"/>
      <c r="S1597" s="25"/>
      <c r="T1597" s="25"/>
      <c r="U1597" s="31">
        <f t="shared" si="25"/>
        <v>0</v>
      </c>
      <c r="V1597" s="25"/>
      <c r="W1597" s="33"/>
      <c r="X1597" s="33"/>
      <c r="Y1597" s="33"/>
      <c r="Z1597" s="33"/>
      <c r="AA1597" s="33"/>
    </row>
    <row r="1598" spans="1:27" s="70" customFormat="1" ht="45" x14ac:dyDescent="0.2">
      <c r="A1598" s="24">
        <v>1594</v>
      </c>
      <c r="B1598" s="24" t="s">
        <v>1270</v>
      </c>
      <c r="C1598" s="25" t="s">
        <v>1269</v>
      </c>
      <c r="D1598" s="26" t="s">
        <v>1268</v>
      </c>
      <c r="E1598" s="25" t="s">
        <v>1267</v>
      </c>
      <c r="F1598" s="25" t="s">
        <v>1266</v>
      </c>
      <c r="G1598" s="24"/>
      <c r="H1598" s="28" t="s">
        <v>1354</v>
      </c>
      <c r="I1598" s="27"/>
      <c r="J1598" s="28" t="s">
        <v>1353</v>
      </c>
      <c r="K1598" s="27"/>
      <c r="L1598" s="25"/>
      <c r="M1598" s="25"/>
      <c r="N1598" s="25"/>
      <c r="O1598" s="25"/>
      <c r="P1598" s="25"/>
      <c r="Q1598" s="25"/>
      <c r="R1598" s="25"/>
      <c r="S1598" s="25"/>
      <c r="T1598" s="25"/>
      <c r="U1598" s="31">
        <f t="shared" si="25"/>
        <v>0</v>
      </c>
      <c r="V1598" s="25"/>
      <c r="W1598" s="33"/>
      <c r="X1598" s="33"/>
      <c r="Y1598" s="33"/>
      <c r="Z1598" s="33"/>
      <c r="AA1598" s="33"/>
    </row>
    <row r="1599" spans="1:27" s="70" customFormat="1" ht="45" x14ac:dyDescent="0.2">
      <c r="A1599" s="24">
        <v>1595</v>
      </c>
      <c r="B1599" s="24" t="s">
        <v>1270</v>
      </c>
      <c r="C1599" s="25" t="s">
        <v>1269</v>
      </c>
      <c r="D1599" s="26" t="s">
        <v>1268</v>
      </c>
      <c r="E1599" s="25" t="s">
        <v>1267</v>
      </c>
      <c r="F1599" s="25" t="s">
        <v>1266</v>
      </c>
      <c r="G1599" s="24"/>
      <c r="H1599" s="28" t="s">
        <v>1335</v>
      </c>
      <c r="I1599" s="27"/>
      <c r="J1599" s="28" t="s">
        <v>1351</v>
      </c>
      <c r="K1599" s="27"/>
      <c r="L1599" s="25" t="s">
        <v>1352</v>
      </c>
      <c r="M1599" s="25" t="s">
        <v>1349</v>
      </c>
      <c r="N1599" s="25"/>
      <c r="O1599" s="25">
        <v>8</v>
      </c>
      <c r="P1599" s="25">
        <v>4</v>
      </c>
      <c r="Q1599" s="25">
        <v>1</v>
      </c>
      <c r="R1599" s="25"/>
      <c r="S1599" s="25">
        <v>1</v>
      </c>
      <c r="T1599" s="25"/>
      <c r="U1599" s="31">
        <f t="shared" si="25"/>
        <v>14</v>
      </c>
      <c r="V1599" s="25"/>
      <c r="W1599" s="33" t="s">
        <v>1348</v>
      </c>
      <c r="X1599" s="33"/>
      <c r="Y1599" s="33"/>
      <c r="Z1599" s="33" t="s">
        <v>1347</v>
      </c>
      <c r="AA1599" s="33"/>
    </row>
    <row r="1600" spans="1:27" s="70" customFormat="1" ht="45" x14ac:dyDescent="0.2">
      <c r="A1600" s="24">
        <v>1596</v>
      </c>
      <c r="B1600" s="24" t="s">
        <v>1270</v>
      </c>
      <c r="C1600" s="25" t="s">
        <v>1269</v>
      </c>
      <c r="D1600" s="26" t="s">
        <v>1268</v>
      </c>
      <c r="E1600" s="25" t="s">
        <v>1267</v>
      </c>
      <c r="F1600" s="25" t="s">
        <v>1266</v>
      </c>
      <c r="G1600" s="24"/>
      <c r="H1600" s="28" t="s">
        <v>1335</v>
      </c>
      <c r="I1600" s="27"/>
      <c r="J1600" s="28" t="s">
        <v>1351</v>
      </c>
      <c r="K1600" s="27"/>
      <c r="L1600" s="25" t="s">
        <v>1350</v>
      </c>
      <c r="M1600" s="25" t="s">
        <v>1349</v>
      </c>
      <c r="N1600" s="25"/>
      <c r="O1600" s="25">
        <v>24</v>
      </c>
      <c r="P1600" s="25"/>
      <c r="Q1600" s="25">
        <v>16</v>
      </c>
      <c r="R1600" s="25"/>
      <c r="S1600" s="25">
        <v>8</v>
      </c>
      <c r="T1600" s="25"/>
      <c r="U1600" s="31">
        <f t="shared" si="25"/>
        <v>48</v>
      </c>
      <c r="V1600" s="25"/>
      <c r="W1600" s="33" t="s">
        <v>1348</v>
      </c>
      <c r="X1600" s="33"/>
      <c r="Y1600" s="33"/>
      <c r="Z1600" s="33" t="s">
        <v>1347</v>
      </c>
      <c r="AA1600" s="33"/>
    </row>
    <row r="1601" spans="1:27" s="70" customFormat="1" ht="33.75" x14ac:dyDescent="0.2">
      <c r="A1601" s="24">
        <v>1597</v>
      </c>
      <c r="B1601" s="24" t="s">
        <v>1270</v>
      </c>
      <c r="C1601" s="25" t="s">
        <v>1269</v>
      </c>
      <c r="D1601" s="26" t="s">
        <v>1268</v>
      </c>
      <c r="E1601" s="25" t="s">
        <v>1267</v>
      </c>
      <c r="F1601" s="25" t="s">
        <v>1266</v>
      </c>
      <c r="G1601" s="24"/>
      <c r="H1601" s="28" t="s">
        <v>1335</v>
      </c>
      <c r="I1601" s="27"/>
      <c r="J1601" s="28" t="s">
        <v>1346</v>
      </c>
      <c r="K1601" s="27"/>
      <c r="L1601" s="25"/>
      <c r="M1601" s="25"/>
      <c r="N1601" s="25"/>
      <c r="O1601" s="25"/>
      <c r="P1601" s="25"/>
      <c r="Q1601" s="25"/>
      <c r="R1601" s="25"/>
      <c r="S1601" s="25"/>
      <c r="T1601" s="25"/>
      <c r="U1601" s="31">
        <f t="shared" si="25"/>
        <v>0</v>
      </c>
      <c r="V1601" s="25"/>
      <c r="W1601" s="33"/>
      <c r="X1601" s="33"/>
      <c r="Y1601" s="33"/>
      <c r="Z1601" s="33"/>
      <c r="AA1601" s="33"/>
    </row>
    <row r="1602" spans="1:27" s="70" customFormat="1" ht="33.75" x14ac:dyDescent="0.2">
      <c r="A1602" s="24">
        <v>1598</v>
      </c>
      <c r="B1602" s="24" t="s">
        <v>1270</v>
      </c>
      <c r="C1602" s="25" t="s">
        <v>1269</v>
      </c>
      <c r="D1602" s="26" t="s">
        <v>1268</v>
      </c>
      <c r="E1602" s="25" t="s">
        <v>1267</v>
      </c>
      <c r="F1602" s="25" t="s">
        <v>1266</v>
      </c>
      <c r="G1602" s="24"/>
      <c r="H1602" s="28" t="s">
        <v>1335</v>
      </c>
      <c r="I1602" s="27"/>
      <c r="J1602" s="28" t="s">
        <v>1345</v>
      </c>
      <c r="K1602" s="27"/>
      <c r="L1602" s="25"/>
      <c r="M1602" s="25"/>
      <c r="N1602" s="25"/>
      <c r="O1602" s="25"/>
      <c r="P1602" s="25"/>
      <c r="Q1602" s="25"/>
      <c r="R1602" s="25"/>
      <c r="S1602" s="25"/>
      <c r="T1602" s="25"/>
      <c r="U1602" s="31">
        <f t="shared" si="25"/>
        <v>0</v>
      </c>
      <c r="V1602" s="25"/>
      <c r="W1602" s="33"/>
      <c r="X1602" s="33"/>
      <c r="Y1602" s="33"/>
      <c r="Z1602" s="33"/>
      <c r="AA1602" s="33"/>
    </row>
    <row r="1603" spans="1:27" s="70" customFormat="1" ht="45" x14ac:dyDescent="0.2">
      <c r="A1603" s="24">
        <v>1599</v>
      </c>
      <c r="B1603" s="24" t="s">
        <v>1270</v>
      </c>
      <c r="C1603" s="25" t="s">
        <v>1269</v>
      </c>
      <c r="D1603" s="26" t="s">
        <v>1268</v>
      </c>
      <c r="E1603" s="25" t="s">
        <v>1267</v>
      </c>
      <c r="F1603" s="25" t="s">
        <v>1266</v>
      </c>
      <c r="G1603" s="24"/>
      <c r="H1603" s="28" t="s">
        <v>1335</v>
      </c>
      <c r="I1603" s="27"/>
      <c r="J1603" s="28" t="s">
        <v>1343</v>
      </c>
      <c r="K1603" s="27"/>
      <c r="L1603" s="25" t="s">
        <v>1344</v>
      </c>
      <c r="M1603" s="25" t="s">
        <v>1341</v>
      </c>
      <c r="N1603" s="25"/>
      <c r="O1603" s="25">
        <v>0.2</v>
      </c>
      <c r="P1603" s="25"/>
      <c r="Q1603" s="25"/>
      <c r="R1603" s="25"/>
      <c r="S1603" s="25">
        <v>0.1</v>
      </c>
      <c r="T1603" s="25"/>
      <c r="U1603" s="31">
        <f t="shared" si="25"/>
        <v>0.30000000000000004</v>
      </c>
      <c r="V1603" s="25"/>
      <c r="W1603" s="33" t="s">
        <v>1337</v>
      </c>
      <c r="X1603" s="33"/>
      <c r="Y1603" s="33"/>
      <c r="Z1603" s="33" t="s">
        <v>1168</v>
      </c>
      <c r="AA1603" s="33"/>
    </row>
    <row r="1604" spans="1:27" s="70" customFormat="1" ht="45" x14ac:dyDescent="0.2">
      <c r="A1604" s="24">
        <v>1600</v>
      </c>
      <c r="B1604" s="24" t="s">
        <v>1270</v>
      </c>
      <c r="C1604" s="25" t="s">
        <v>1269</v>
      </c>
      <c r="D1604" s="26" t="s">
        <v>1268</v>
      </c>
      <c r="E1604" s="25" t="s">
        <v>1267</v>
      </c>
      <c r="F1604" s="25" t="s">
        <v>1266</v>
      </c>
      <c r="G1604" s="24"/>
      <c r="H1604" s="28" t="s">
        <v>1335</v>
      </c>
      <c r="I1604" s="27"/>
      <c r="J1604" s="28" t="s">
        <v>1343</v>
      </c>
      <c r="K1604" s="27"/>
      <c r="L1604" s="25" t="s">
        <v>1342</v>
      </c>
      <c r="M1604" s="25" t="s">
        <v>1341</v>
      </c>
      <c r="N1604" s="25"/>
      <c r="O1604" s="25">
        <v>2</v>
      </c>
      <c r="P1604" s="25"/>
      <c r="Q1604" s="25">
        <v>0.5</v>
      </c>
      <c r="R1604" s="25"/>
      <c r="S1604" s="25">
        <v>0.5</v>
      </c>
      <c r="T1604" s="25"/>
      <c r="U1604" s="31">
        <f t="shared" si="25"/>
        <v>3</v>
      </c>
      <c r="V1604" s="25"/>
      <c r="W1604" s="33" t="s">
        <v>1327</v>
      </c>
      <c r="X1604" s="33"/>
      <c r="Y1604" s="33"/>
      <c r="Z1604" s="33" t="s">
        <v>1340</v>
      </c>
      <c r="AA1604" s="33"/>
    </row>
    <row r="1605" spans="1:27" s="70" customFormat="1" ht="45" x14ac:dyDescent="0.2">
      <c r="A1605" s="24">
        <v>1601</v>
      </c>
      <c r="B1605" s="24" t="s">
        <v>1270</v>
      </c>
      <c r="C1605" s="25" t="s">
        <v>1269</v>
      </c>
      <c r="D1605" s="26" t="s">
        <v>1268</v>
      </c>
      <c r="E1605" s="25" t="s">
        <v>1267</v>
      </c>
      <c r="F1605" s="25" t="s">
        <v>1266</v>
      </c>
      <c r="G1605" s="24"/>
      <c r="H1605" s="28" t="s">
        <v>1335</v>
      </c>
      <c r="I1605" s="27"/>
      <c r="J1605" s="28" t="s">
        <v>1339</v>
      </c>
      <c r="K1605" s="27"/>
      <c r="L1605" s="25" t="s">
        <v>1338</v>
      </c>
      <c r="M1605" s="25" t="s">
        <v>978</v>
      </c>
      <c r="N1605" s="25">
        <v>1</v>
      </c>
      <c r="O1605" s="25"/>
      <c r="P1605" s="25">
        <v>1</v>
      </c>
      <c r="Q1605" s="25"/>
      <c r="R1605" s="25"/>
      <c r="S1605" s="25">
        <v>0.5</v>
      </c>
      <c r="T1605" s="25"/>
      <c r="U1605" s="31">
        <f t="shared" si="25"/>
        <v>1.5</v>
      </c>
      <c r="V1605" s="25"/>
      <c r="W1605" s="33" t="s">
        <v>1337</v>
      </c>
      <c r="X1605" s="33"/>
      <c r="Y1605" s="33"/>
      <c r="Z1605" s="33" t="s">
        <v>1336</v>
      </c>
      <c r="AA1605" s="33"/>
    </row>
    <row r="1606" spans="1:27" s="70" customFormat="1" ht="56.25" x14ac:dyDescent="0.2">
      <c r="A1606" s="24">
        <v>1602</v>
      </c>
      <c r="B1606" s="24" t="s">
        <v>1270</v>
      </c>
      <c r="C1606" s="25" t="s">
        <v>1269</v>
      </c>
      <c r="D1606" s="26" t="s">
        <v>1268</v>
      </c>
      <c r="E1606" s="25" t="s">
        <v>1267</v>
      </c>
      <c r="F1606" s="25" t="s">
        <v>1266</v>
      </c>
      <c r="G1606" s="24"/>
      <c r="H1606" s="28" t="s">
        <v>1335</v>
      </c>
      <c r="I1606" s="27"/>
      <c r="J1606" s="28" t="s">
        <v>1334</v>
      </c>
      <c r="K1606" s="27"/>
      <c r="L1606" s="25"/>
      <c r="M1606" s="25"/>
      <c r="N1606" s="25"/>
      <c r="O1606" s="25"/>
      <c r="P1606" s="25"/>
      <c r="Q1606" s="25"/>
      <c r="R1606" s="25"/>
      <c r="S1606" s="25"/>
      <c r="T1606" s="25"/>
      <c r="U1606" s="31">
        <f t="shared" ref="U1606:U1669" si="26">SUM(O1606:T1606)</f>
        <v>0</v>
      </c>
      <c r="V1606" s="25"/>
      <c r="W1606" s="33"/>
      <c r="X1606" s="33"/>
      <c r="Y1606" s="33"/>
      <c r="Z1606" s="33"/>
      <c r="AA1606" s="33"/>
    </row>
    <row r="1607" spans="1:27" s="70" customFormat="1" ht="45" x14ac:dyDescent="0.2">
      <c r="A1607" s="24">
        <v>1603</v>
      </c>
      <c r="B1607" s="24" t="s">
        <v>1270</v>
      </c>
      <c r="C1607" s="25" t="s">
        <v>1269</v>
      </c>
      <c r="D1607" s="26" t="s">
        <v>1268</v>
      </c>
      <c r="E1607" s="25" t="s">
        <v>1267</v>
      </c>
      <c r="F1607" s="25" t="s">
        <v>1266</v>
      </c>
      <c r="G1607" s="24"/>
      <c r="H1607" s="28" t="s">
        <v>1317</v>
      </c>
      <c r="I1607" s="27"/>
      <c r="J1607" s="28" t="s">
        <v>1333</v>
      </c>
      <c r="K1607" s="27"/>
      <c r="L1607" s="25"/>
      <c r="M1607" s="25"/>
      <c r="N1607" s="25"/>
      <c r="O1607" s="25"/>
      <c r="P1607" s="25"/>
      <c r="Q1607" s="25"/>
      <c r="R1607" s="25"/>
      <c r="S1607" s="25"/>
      <c r="T1607" s="25"/>
      <c r="U1607" s="31">
        <f t="shared" si="26"/>
        <v>0</v>
      </c>
      <c r="V1607" s="25"/>
      <c r="W1607" s="33"/>
      <c r="X1607" s="33"/>
      <c r="Y1607" s="33"/>
      <c r="Z1607" s="33"/>
      <c r="AA1607" s="33"/>
    </row>
    <row r="1608" spans="1:27" s="70" customFormat="1" ht="33.75" x14ac:dyDescent="0.2">
      <c r="A1608" s="24">
        <v>1604</v>
      </c>
      <c r="B1608" s="24" t="s">
        <v>1270</v>
      </c>
      <c r="C1608" s="25" t="s">
        <v>1269</v>
      </c>
      <c r="D1608" s="26" t="s">
        <v>1268</v>
      </c>
      <c r="E1608" s="25" t="s">
        <v>1267</v>
      </c>
      <c r="F1608" s="25" t="s">
        <v>1266</v>
      </c>
      <c r="G1608" s="24"/>
      <c r="H1608" s="28" t="s">
        <v>1317</v>
      </c>
      <c r="I1608" s="27"/>
      <c r="J1608" s="28" t="s">
        <v>1332</v>
      </c>
      <c r="K1608" s="27"/>
      <c r="L1608" s="25"/>
      <c r="M1608" s="25"/>
      <c r="N1608" s="25"/>
      <c r="O1608" s="25"/>
      <c r="P1608" s="25"/>
      <c r="Q1608" s="25"/>
      <c r="R1608" s="25"/>
      <c r="S1608" s="25"/>
      <c r="T1608" s="25"/>
      <c r="U1608" s="31">
        <f t="shared" si="26"/>
        <v>0</v>
      </c>
      <c r="V1608" s="25"/>
      <c r="W1608" s="33"/>
      <c r="X1608" s="33"/>
      <c r="Y1608" s="33"/>
      <c r="Z1608" s="33"/>
      <c r="AA1608" s="33"/>
    </row>
    <row r="1609" spans="1:27" s="70" customFormat="1" ht="33.75" x14ac:dyDescent="0.2">
      <c r="A1609" s="24">
        <v>1605</v>
      </c>
      <c r="B1609" s="24" t="s">
        <v>1270</v>
      </c>
      <c r="C1609" s="25" t="s">
        <v>1269</v>
      </c>
      <c r="D1609" s="26" t="s">
        <v>1268</v>
      </c>
      <c r="E1609" s="25" t="s">
        <v>1267</v>
      </c>
      <c r="F1609" s="25" t="s">
        <v>1266</v>
      </c>
      <c r="G1609" s="24"/>
      <c r="H1609" s="28" t="s">
        <v>1317</v>
      </c>
      <c r="I1609" s="27"/>
      <c r="J1609" s="28" t="s">
        <v>1330</v>
      </c>
      <c r="K1609" s="27"/>
      <c r="L1609" s="25" t="s">
        <v>1331</v>
      </c>
      <c r="M1609" s="25" t="s">
        <v>1328</v>
      </c>
      <c r="N1609" s="25"/>
      <c r="O1609" s="25">
        <v>16</v>
      </c>
      <c r="P1609" s="25"/>
      <c r="Q1609" s="25"/>
      <c r="R1609" s="25"/>
      <c r="S1609" s="25">
        <v>0.5</v>
      </c>
      <c r="T1609" s="25"/>
      <c r="U1609" s="31">
        <f t="shared" si="26"/>
        <v>16.5</v>
      </c>
      <c r="V1609" s="25"/>
      <c r="W1609" s="33" t="s">
        <v>1327</v>
      </c>
      <c r="X1609" s="33"/>
      <c r="Y1609" s="33"/>
      <c r="Z1609" s="33" t="s">
        <v>1326</v>
      </c>
      <c r="AA1609" s="33"/>
    </row>
    <row r="1610" spans="1:27" s="70" customFormat="1" ht="33.75" x14ac:dyDescent="0.2">
      <c r="A1610" s="24">
        <v>1606</v>
      </c>
      <c r="B1610" s="24" t="s">
        <v>1270</v>
      </c>
      <c r="C1610" s="25" t="s">
        <v>1269</v>
      </c>
      <c r="D1610" s="26" t="s">
        <v>1268</v>
      </c>
      <c r="E1610" s="25" t="s">
        <v>1267</v>
      </c>
      <c r="F1610" s="25" t="s">
        <v>1266</v>
      </c>
      <c r="G1610" s="24"/>
      <c r="H1610" s="28" t="s">
        <v>1317</v>
      </c>
      <c r="I1610" s="27"/>
      <c r="J1610" s="28" t="s">
        <v>1330</v>
      </c>
      <c r="K1610" s="27"/>
      <c r="L1610" s="25" t="s">
        <v>1329</v>
      </c>
      <c r="M1610" s="25" t="s">
        <v>1328</v>
      </c>
      <c r="N1610" s="25"/>
      <c r="O1610" s="25">
        <v>10</v>
      </c>
      <c r="P1610" s="25"/>
      <c r="Q1610" s="25"/>
      <c r="R1610" s="25"/>
      <c r="S1610" s="25">
        <v>0.5</v>
      </c>
      <c r="T1610" s="25"/>
      <c r="U1610" s="31">
        <f t="shared" si="26"/>
        <v>10.5</v>
      </c>
      <c r="V1610" s="25"/>
      <c r="W1610" s="33" t="s">
        <v>1327</v>
      </c>
      <c r="X1610" s="33"/>
      <c r="Y1610" s="33"/>
      <c r="Z1610" s="33" t="s">
        <v>1326</v>
      </c>
      <c r="AA1610" s="33"/>
    </row>
    <row r="1611" spans="1:27" s="70" customFormat="1" ht="33.75" x14ac:dyDescent="0.2">
      <c r="A1611" s="24">
        <v>1607</v>
      </c>
      <c r="B1611" s="24" t="s">
        <v>1270</v>
      </c>
      <c r="C1611" s="25" t="s">
        <v>1269</v>
      </c>
      <c r="D1611" s="26" t="s">
        <v>1268</v>
      </c>
      <c r="E1611" s="25" t="s">
        <v>1267</v>
      </c>
      <c r="F1611" s="25" t="s">
        <v>1266</v>
      </c>
      <c r="G1611" s="24"/>
      <c r="H1611" s="28" t="s">
        <v>1317</v>
      </c>
      <c r="I1611" s="27"/>
      <c r="J1611" s="28" t="s">
        <v>1325</v>
      </c>
      <c r="K1611" s="27"/>
      <c r="L1611" s="25"/>
      <c r="M1611" s="25"/>
      <c r="N1611" s="25"/>
      <c r="O1611" s="25"/>
      <c r="P1611" s="25"/>
      <c r="Q1611" s="25"/>
      <c r="R1611" s="25"/>
      <c r="S1611" s="25"/>
      <c r="T1611" s="25"/>
      <c r="U1611" s="31">
        <f t="shared" si="26"/>
        <v>0</v>
      </c>
      <c r="V1611" s="25"/>
      <c r="W1611" s="33"/>
      <c r="X1611" s="33"/>
      <c r="Y1611" s="33"/>
      <c r="Z1611" s="33"/>
      <c r="AA1611" s="33"/>
    </row>
    <row r="1612" spans="1:27" s="70" customFormat="1" ht="22.5" x14ac:dyDescent="0.2">
      <c r="A1612" s="24">
        <v>1608</v>
      </c>
      <c r="B1612" s="24" t="s">
        <v>1270</v>
      </c>
      <c r="C1612" s="25" t="s">
        <v>1269</v>
      </c>
      <c r="D1612" s="26" t="s">
        <v>1268</v>
      </c>
      <c r="E1612" s="25" t="s">
        <v>1267</v>
      </c>
      <c r="F1612" s="25" t="s">
        <v>1266</v>
      </c>
      <c r="G1612" s="24"/>
      <c r="H1612" s="28" t="s">
        <v>1317</v>
      </c>
      <c r="I1612" s="27"/>
      <c r="J1612" s="28" t="s">
        <v>1324</v>
      </c>
      <c r="K1612" s="27"/>
      <c r="L1612" s="25"/>
      <c r="M1612" s="25"/>
      <c r="N1612" s="25"/>
      <c r="O1612" s="25"/>
      <c r="P1612" s="25"/>
      <c r="Q1612" s="25"/>
      <c r="R1612" s="25"/>
      <c r="S1612" s="25"/>
      <c r="T1612" s="25"/>
      <c r="U1612" s="31">
        <f t="shared" si="26"/>
        <v>0</v>
      </c>
      <c r="V1612" s="25"/>
      <c r="W1612" s="33"/>
      <c r="X1612" s="33"/>
      <c r="Y1612" s="33"/>
      <c r="Z1612" s="33"/>
      <c r="AA1612" s="33"/>
    </row>
    <row r="1613" spans="1:27" s="70" customFormat="1" ht="45" x14ac:dyDescent="0.2">
      <c r="A1613" s="24">
        <v>1609</v>
      </c>
      <c r="B1613" s="24" t="s">
        <v>1270</v>
      </c>
      <c r="C1613" s="25" t="s">
        <v>1269</v>
      </c>
      <c r="D1613" s="26" t="s">
        <v>1268</v>
      </c>
      <c r="E1613" s="25" t="s">
        <v>1267</v>
      </c>
      <c r="F1613" s="25" t="s">
        <v>1266</v>
      </c>
      <c r="G1613" s="24"/>
      <c r="H1613" s="28" t="s">
        <v>1317</v>
      </c>
      <c r="I1613" s="27"/>
      <c r="J1613" s="28" t="s">
        <v>1323</v>
      </c>
      <c r="K1613" s="27"/>
      <c r="L1613" s="25"/>
      <c r="M1613" s="25"/>
      <c r="N1613" s="25"/>
      <c r="O1613" s="25"/>
      <c r="P1613" s="25"/>
      <c r="Q1613" s="25"/>
      <c r="R1613" s="25"/>
      <c r="S1613" s="25"/>
      <c r="T1613" s="25"/>
      <c r="U1613" s="31">
        <f t="shared" si="26"/>
        <v>0</v>
      </c>
      <c r="V1613" s="25"/>
      <c r="W1613" s="33"/>
      <c r="X1613" s="33"/>
      <c r="Y1613" s="33"/>
      <c r="Z1613" s="33"/>
      <c r="AA1613" s="33"/>
    </row>
    <row r="1614" spans="1:27" s="70" customFormat="1" ht="56.25" x14ac:dyDescent="0.2">
      <c r="A1614" s="24">
        <v>1610</v>
      </c>
      <c r="B1614" s="24" t="s">
        <v>1270</v>
      </c>
      <c r="C1614" s="25" t="s">
        <v>1269</v>
      </c>
      <c r="D1614" s="26" t="s">
        <v>1268</v>
      </c>
      <c r="E1614" s="25" t="s">
        <v>1267</v>
      </c>
      <c r="F1614" s="25" t="s">
        <v>1266</v>
      </c>
      <c r="G1614" s="24"/>
      <c r="H1614" s="28" t="s">
        <v>1317</v>
      </c>
      <c r="I1614" s="27"/>
      <c r="J1614" s="28" t="s">
        <v>1322</v>
      </c>
      <c r="K1614" s="27"/>
      <c r="L1614" s="25"/>
      <c r="M1614" s="25"/>
      <c r="N1614" s="25"/>
      <c r="O1614" s="25"/>
      <c r="P1614" s="25"/>
      <c r="Q1614" s="25"/>
      <c r="R1614" s="25"/>
      <c r="S1614" s="25"/>
      <c r="T1614" s="25"/>
      <c r="U1614" s="31">
        <f t="shared" si="26"/>
        <v>0</v>
      </c>
      <c r="V1614" s="25"/>
      <c r="W1614" s="33"/>
      <c r="X1614" s="33"/>
      <c r="Y1614" s="33"/>
      <c r="Z1614" s="33"/>
      <c r="AA1614" s="33"/>
    </row>
    <row r="1615" spans="1:27" s="70" customFormat="1" ht="56.25" x14ac:dyDescent="0.2">
      <c r="A1615" s="24">
        <v>1611</v>
      </c>
      <c r="B1615" s="24" t="s">
        <v>1270</v>
      </c>
      <c r="C1615" s="25" t="s">
        <v>1269</v>
      </c>
      <c r="D1615" s="26" t="s">
        <v>1268</v>
      </c>
      <c r="E1615" s="25" t="s">
        <v>1267</v>
      </c>
      <c r="F1615" s="25" t="s">
        <v>1266</v>
      </c>
      <c r="G1615" s="24"/>
      <c r="H1615" s="28" t="s">
        <v>1317</v>
      </c>
      <c r="I1615" s="27"/>
      <c r="J1615" s="28" t="s">
        <v>1316</v>
      </c>
      <c r="K1615" s="27"/>
      <c r="L1615" s="25" t="s">
        <v>1321</v>
      </c>
      <c r="M1615" s="25" t="s">
        <v>1320</v>
      </c>
      <c r="N1615" s="25">
        <v>2</v>
      </c>
      <c r="O1615" s="25">
        <v>16</v>
      </c>
      <c r="P1615" s="25"/>
      <c r="Q1615" s="25">
        <v>4</v>
      </c>
      <c r="R1615" s="25"/>
      <c r="S1615" s="25"/>
      <c r="T1615" s="25"/>
      <c r="U1615" s="31">
        <f t="shared" si="26"/>
        <v>20</v>
      </c>
      <c r="V1615" s="25"/>
      <c r="W1615" s="33" t="s">
        <v>1319</v>
      </c>
      <c r="X1615" s="33"/>
      <c r="Y1615" s="33"/>
      <c r="Z1615" s="33" t="s">
        <v>1318</v>
      </c>
      <c r="AA1615" s="33"/>
    </row>
    <row r="1616" spans="1:27" s="70" customFormat="1" ht="56.25" x14ac:dyDescent="0.2">
      <c r="A1616" s="24">
        <v>1612</v>
      </c>
      <c r="B1616" s="24" t="s">
        <v>1270</v>
      </c>
      <c r="C1616" s="25" t="s">
        <v>1269</v>
      </c>
      <c r="D1616" s="26" t="s">
        <v>1268</v>
      </c>
      <c r="E1616" s="25" t="s">
        <v>1267</v>
      </c>
      <c r="F1616" s="25" t="s">
        <v>1266</v>
      </c>
      <c r="G1616" s="24"/>
      <c r="H1616" s="28" t="s">
        <v>1317</v>
      </c>
      <c r="I1616" s="27"/>
      <c r="J1616" s="28" t="s">
        <v>1316</v>
      </c>
      <c r="K1616" s="27"/>
      <c r="L1616" s="25" t="s">
        <v>1315</v>
      </c>
      <c r="M1616" s="25" t="s">
        <v>255</v>
      </c>
      <c r="N1616" s="25">
        <v>2</v>
      </c>
      <c r="O1616" s="25">
        <v>2</v>
      </c>
      <c r="P1616" s="25"/>
      <c r="Q1616" s="25"/>
      <c r="R1616" s="25"/>
      <c r="S1616" s="25">
        <v>0.2</v>
      </c>
      <c r="T1616" s="25"/>
      <c r="U1616" s="31">
        <f t="shared" si="26"/>
        <v>2.2000000000000002</v>
      </c>
      <c r="V1616" s="25"/>
      <c r="W1616" s="33" t="s">
        <v>255</v>
      </c>
      <c r="X1616" s="33"/>
      <c r="Y1616" s="33"/>
      <c r="Z1616" s="33" t="s">
        <v>1314</v>
      </c>
      <c r="AA1616" s="33"/>
    </row>
    <row r="1617" spans="1:27" s="70" customFormat="1" ht="56.25" x14ac:dyDescent="0.2">
      <c r="A1617" s="24">
        <v>1613</v>
      </c>
      <c r="B1617" s="24" t="s">
        <v>1270</v>
      </c>
      <c r="C1617" s="25" t="s">
        <v>1269</v>
      </c>
      <c r="D1617" s="26" t="s">
        <v>1268</v>
      </c>
      <c r="E1617" s="25" t="s">
        <v>1267</v>
      </c>
      <c r="F1617" s="25" t="s">
        <v>1266</v>
      </c>
      <c r="G1617" s="24"/>
      <c r="H1617" s="28" t="s">
        <v>1293</v>
      </c>
      <c r="I1617" s="27"/>
      <c r="J1617" s="28" t="s">
        <v>1303</v>
      </c>
      <c r="K1617" s="27"/>
      <c r="L1617" s="25" t="s">
        <v>1313</v>
      </c>
      <c r="M1617" s="25" t="s">
        <v>1308</v>
      </c>
      <c r="N1617" s="25">
        <v>5</v>
      </c>
      <c r="O1617" s="25"/>
      <c r="P1617" s="25">
        <v>300</v>
      </c>
      <c r="Q1617" s="25">
        <v>300</v>
      </c>
      <c r="R1617" s="25"/>
      <c r="S1617" s="25">
        <v>100</v>
      </c>
      <c r="T1617" s="25">
        <v>50</v>
      </c>
      <c r="U1617" s="31">
        <f t="shared" si="26"/>
        <v>750</v>
      </c>
      <c r="V1617" s="25"/>
      <c r="W1617" s="33" t="s">
        <v>848</v>
      </c>
      <c r="X1617" s="33"/>
      <c r="Y1617" s="33"/>
      <c r="Z1617" s="33"/>
      <c r="AA1617" s="33" t="s">
        <v>1312</v>
      </c>
    </row>
    <row r="1618" spans="1:27" s="70" customFormat="1" ht="78.75" x14ac:dyDescent="0.2">
      <c r="A1618" s="24">
        <v>1614</v>
      </c>
      <c r="B1618" s="24" t="s">
        <v>1270</v>
      </c>
      <c r="C1618" s="25" t="s">
        <v>1269</v>
      </c>
      <c r="D1618" s="26" t="s">
        <v>1268</v>
      </c>
      <c r="E1618" s="25" t="s">
        <v>1267</v>
      </c>
      <c r="F1618" s="25" t="s">
        <v>1266</v>
      </c>
      <c r="G1618" s="24"/>
      <c r="H1618" s="28" t="s">
        <v>1293</v>
      </c>
      <c r="I1618" s="27"/>
      <c r="J1618" s="28" t="s">
        <v>1303</v>
      </c>
      <c r="K1618" s="27"/>
      <c r="L1618" s="25" t="s">
        <v>1311</v>
      </c>
      <c r="M1618" s="25" t="s">
        <v>1308</v>
      </c>
      <c r="N1618" s="25">
        <v>39</v>
      </c>
      <c r="O1618" s="25">
        <v>25</v>
      </c>
      <c r="P1618" s="25">
        <v>75</v>
      </c>
      <c r="Q1618" s="25">
        <v>75</v>
      </c>
      <c r="R1618" s="25"/>
      <c r="S1618" s="25">
        <v>15</v>
      </c>
      <c r="T1618" s="25">
        <v>10</v>
      </c>
      <c r="U1618" s="31">
        <f t="shared" si="26"/>
        <v>200</v>
      </c>
      <c r="V1618" s="25"/>
      <c r="W1618" s="33" t="s">
        <v>848</v>
      </c>
      <c r="X1618" s="33"/>
      <c r="Y1618" s="33"/>
      <c r="Z1618" s="33"/>
      <c r="AA1618" s="33" t="s">
        <v>1310</v>
      </c>
    </row>
    <row r="1619" spans="1:27" s="70" customFormat="1" ht="90" x14ac:dyDescent="0.2">
      <c r="A1619" s="24">
        <v>1615</v>
      </c>
      <c r="B1619" s="24" t="s">
        <v>1270</v>
      </c>
      <c r="C1619" s="25" t="s">
        <v>1269</v>
      </c>
      <c r="D1619" s="26" t="s">
        <v>1268</v>
      </c>
      <c r="E1619" s="25" t="s">
        <v>1267</v>
      </c>
      <c r="F1619" s="25" t="s">
        <v>1266</v>
      </c>
      <c r="G1619" s="24"/>
      <c r="H1619" s="28" t="s">
        <v>1293</v>
      </c>
      <c r="I1619" s="27"/>
      <c r="J1619" s="28" t="s">
        <v>1303</v>
      </c>
      <c r="K1619" s="27"/>
      <c r="L1619" s="25" t="s">
        <v>1309</v>
      </c>
      <c r="M1619" s="25" t="s">
        <v>1308</v>
      </c>
      <c r="N1619" s="25">
        <v>40</v>
      </c>
      <c r="O1619" s="25">
        <v>25</v>
      </c>
      <c r="P1619" s="25">
        <v>75</v>
      </c>
      <c r="Q1619" s="25">
        <v>75</v>
      </c>
      <c r="R1619" s="25"/>
      <c r="S1619" s="25">
        <v>15</v>
      </c>
      <c r="T1619" s="25">
        <v>10</v>
      </c>
      <c r="U1619" s="31">
        <f t="shared" si="26"/>
        <v>200</v>
      </c>
      <c r="V1619" s="25"/>
      <c r="W1619" s="33" t="s">
        <v>848</v>
      </c>
      <c r="X1619" s="33"/>
      <c r="Y1619" s="33"/>
      <c r="Z1619" s="33"/>
      <c r="AA1619" s="33" t="s">
        <v>1307</v>
      </c>
    </row>
    <row r="1620" spans="1:27" s="70" customFormat="1" ht="22.5" x14ac:dyDescent="0.2">
      <c r="A1620" s="24">
        <v>1616</v>
      </c>
      <c r="B1620" s="24" t="s">
        <v>1270</v>
      </c>
      <c r="C1620" s="25" t="s">
        <v>1269</v>
      </c>
      <c r="D1620" s="26" t="s">
        <v>1268</v>
      </c>
      <c r="E1620" s="25" t="s">
        <v>1267</v>
      </c>
      <c r="F1620" s="25" t="s">
        <v>1266</v>
      </c>
      <c r="G1620" s="24"/>
      <c r="H1620" s="28" t="s">
        <v>1293</v>
      </c>
      <c r="I1620" s="27"/>
      <c r="J1620" s="28" t="s">
        <v>1303</v>
      </c>
      <c r="K1620" s="27"/>
      <c r="L1620" s="25" t="s">
        <v>1306</v>
      </c>
      <c r="M1620" s="25" t="s">
        <v>1275</v>
      </c>
      <c r="N1620" s="25">
        <v>50</v>
      </c>
      <c r="O1620" s="25"/>
      <c r="P1620" s="25">
        <v>10</v>
      </c>
      <c r="Q1620" s="25">
        <v>10</v>
      </c>
      <c r="R1620" s="25"/>
      <c r="S1620" s="25">
        <v>4</v>
      </c>
      <c r="T1620" s="25">
        <v>2</v>
      </c>
      <c r="U1620" s="31">
        <f t="shared" si="26"/>
        <v>26</v>
      </c>
      <c r="V1620" s="25"/>
      <c r="W1620" s="33" t="s">
        <v>848</v>
      </c>
      <c r="X1620" s="33"/>
      <c r="Y1620" s="33"/>
      <c r="Z1620" s="33"/>
      <c r="AA1620" s="33"/>
    </row>
    <row r="1621" spans="1:27" s="70" customFormat="1" ht="22.5" x14ac:dyDescent="0.2">
      <c r="A1621" s="24">
        <v>1617</v>
      </c>
      <c r="B1621" s="24" t="s">
        <v>1270</v>
      </c>
      <c r="C1621" s="25" t="s">
        <v>1269</v>
      </c>
      <c r="D1621" s="26" t="s">
        <v>1268</v>
      </c>
      <c r="E1621" s="25" t="s">
        <v>1267</v>
      </c>
      <c r="F1621" s="25" t="s">
        <v>1266</v>
      </c>
      <c r="G1621" s="24"/>
      <c r="H1621" s="28" t="s">
        <v>1293</v>
      </c>
      <c r="I1621" s="27"/>
      <c r="J1621" s="28" t="s">
        <v>1303</v>
      </c>
      <c r="K1621" s="27"/>
      <c r="L1621" s="25" t="s">
        <v>1305</v>
      </c>
      <c r="M1621" s="25" t="s">
        <v>1304</v>
      </c>
      <c r="N1621" s="25">
        <v>10</v>
      </c>
      <c r="O1621" s="25"/>
      <c r="P1621" s="25"/>
      <c r="Q1621" s="25">
        <v>15</v>
      </c>
      <c r="R1621" s="25"/>
      <c r="S1621" s="25">
        <v>4</v>
      </c>
      <c r="T1621" s="25">
        <v>2</v>
      </c>
      <c r="U1621" s="31">
        <f t="shared" si="26"/>
        <v>21</v>
      </c>
      <c r="V1621" s="25"/>
      <c r="W1621" s="33" t="s">
        <v>419</v>
      </c>
      <c r="X1621" s="33"/>
      <c r="Y1621" s="33"/>
      <c r="Z1621" s="33"/>
      <c r="AA1621" s="33"/>
    </row>
    <row r="1622" spans="1:27" s="70" customFormat="1" ht="22.5" x14ac:dyDescent="0.2">
      <c r="A1622" s="24">
        <v>1618</v>
      </c>
      <c r="B1622" s="24" t="s">
        <v>1270</v>
      </c>
      <c r="C1622" s="25" t="s">
        <v>1269</v>
      </c>
      <c r="D1622" s="26" t="s">
        <v>1268</v>
      </c>
      <c r="E1622" s="25" t="s">
        <v>1267</v>
      </c>
      <c r="F1622" s="25" t="s">
        <v>1266</v>
      </c>
      <c r="G1622" s="24"/>
      <c r="H1622" s="28" t="s">
        <v>1293</v>
      </c>
      <c r="I1622" s="27"/>
      <c r="J1622" s="28" t="s">
        <v>1303</v>
      </c>
      <c r="K1622" s="27"/>
      <c r="L1622" s="25" t="s">
        <v>1302</v>
      </c>
      <c r="M1622" s="25" t="s">
        <v>592</v>
      </c>
      <c r="N1622" s="25">
        <v>1</v>
      </c>
      <c r="O1622" s="25"/>
      <c r="P1622" s="25"/>
      <c r="Q1622" s="25">
        <v>50</v>
      </c>
      <c r="R1622" s="25"/>
      <c r="S1622" s="25">
        <v>10</v>
      </c>
      <c r="T1622" s="25">
        <v>10</v>
      </c>
      <c r="U1622" s="31">
        <f t="shared" si="26"/>
        <v>70</v>
      </c>
      <c r="V1622" s="25"/>
      <c r="W1622" s="33" t="s">
        <v>22</v>
      </c>
      <c r="X1622" s="33"/>
      <c r="Y1622" s="33"/>
      <c r="Z1622" s="33"/>
      <c r="AA1622" s="33"/>
    </row>
    <row r="1623" spans="1:27" s="70" customFormat="1" ht="33.75" x14ac:dyDescent="0.2">
      <c r="A1623" s="24">
        <v>1619</v>
      </c>
      <c r="B1623" s="24" t="s">
        <v>1270</v>
      </c>
      <c r="C1623" s="25" t="s">
        <v>1269</v>
      </c>
      <c r="D1623" s="26" t="s">
        <v>1268</v>
      </c>
      <c r="E1623" s="25" t="s">
        <v>1267</v>
      </c>
      <c r="F1623" s="25" t="s">
        <v>1266</v>
      </c>
      <c r="G1623" s="24"/>
      <c r="H1623" s="28" t="s">
        <v>1293</v>
      </c>
      <c r="I1623" s="27"/>
      <c r="J1623" s="28" t="s">
        <v>1301</v>
      </c>
      <c r="K1623" s="27"/>
      <c r="L1623" s="25" t="s">
        <v>1300</v>
      </c>
      <c r="M1623" s="25" t="s">
        <v>1275</v>
      </c>
      <c r="N1623" s="25">
        <v>200</v>
      </c>
      <c r="O1623" s="25">
        <v>10</v>
      </c>
      <c r="P1623" s="25">
        <v>6</v>
      </c>
      <c r="Q1623" s="25">
        <v>4</v>
      </c>
      <c r="R1623" s="25"/>
      <c r="S1623" s="25">
        <v>2</v>
      </c>
      <c r="T1623" s="25">
        <v>1</v>
      </c>
      <c r="U1623" s="31">
        <f t="shared" si="26"/>
        <v>23</v>
      </c>
      <c r="V1623" s="25"/>
      <c r="W1623" s="33" t="s">
        <v>22</v>
      </c>
      <c r="X1623" s="33"/>
      <c r="Y1623" s="33"/>
      <c r="Z1623" s="33"/>
      <c r="AA1623" s="33"/>
    </row>
    <row r="1624" spans="1:27" s="70" customFormat="1" ht="45" x14ac:dyDescent="0.2">
      <c r="A1624" s="24">
        <v>1620</v>
      </c>
      <c r="B1624" s="24" t="s">
        <v>1270</v>
      </c>
      <c r="C1624" s="25" t="s">
        <v>1269</v>
      </c>
      <c r="D1624" s="26" t="s">
        <v>1268</v>
      </c>
      <c r="E1624" s="25" t="s">
        <v>1267</v>
      </c>
      <c r="F1624" s="25" t="s">
        <v>1266</v>
      </c>
      <c r="G1624" s="24"/>
      <c r="H1624" s="28" t="s">
        <v>1293</v>
      </c>
      <c r="I1624" s="27"/>
      <c r="J1624" s="28" t="s">
        <v>1297</v>
      </c>
      <c r="K1624" s="27"/>
      <c r="L1624" s="25" t="s">
        <v>1299</v>
      </c>
      <c r="M1624" s="25" t="s">
        <v>190</v>
      </c>
      <c r="N1624" s="25">
        <v>4</v>
      </c>
      <c r="O1624" s="25"/>
      <c r="P1624" s="25">
        <v>24</v>
      </c>
      <c r="Q1624" s="25">
        <v>8</v>
      </c>
      <c r="R1624" s="25"/>
      <c r="S1624" s="25">
        <v>4</v>
      </c>
      <c r="T1624" s="25"/>
      <c r="U1624" s="31">
        <f t="shared" si="26"/>
        <v>36</v>
      </c>
      <c r="V1624" s="25"/>
      <c r="W1624" s="33" t="s">
        <v>22</v>
      </c>
      <c r="X1624" s="33"/>
      <c r="Y1624" s="33"/>
      <c r="Z1624" s="33"/>
      <c r="AA1624" s="33" t="s">
        <v>1298</v>
      </c>
    </row>
    <row r="1625" spans="1:27" s="70" customFormat="1" ht="45" x14ac:dyDescent="0.2">
      <c r="A1625" s="24">
        <v>1621</v>
      </c>
      <c r="B1625" s="24" t="s">
        <v>1270</v>
      </c>
      <c r="C1625" s="25" t="s">
        <v>1269</v>
      </c>
      <c r="D1625" s="26" t="s">
        <v>1268</v>
      </c>
      <c r="E1625" s="25" t="s">
        <v>1267</v>
      </c>
      <c r="F1625" s="25" t="s">
        <v>1266</v>
      </c>
      <c r="G1625" s="24"/>
      <c r="H1625" s="28" t="s">
        <v>1293</v>
      </c>
      <c r="I1625" s="27"/>
      <c r="J1625" s="28" t="s">
        <v>1297</v>
      </c>
      <c r="K1625" s="27"/>
      <c r="L1625" s="25" t="s">
        <v>1296</v>
      </c>
      <c r="M1625" s="25" t="s">
        <v>1295</v>
      </c>
      <c r="N1625" s="25">
        <v>20</v>
      </c>
      <c r="O1625" s="25">
        <v>4</v>
      </c>
      <c r="P1625" s="25"/>
      <c r="Q1625" s="25">
        <v>1</v>
      </c>
      <c r="R1625" s="25"/>
      <c r="S1625" s="25">
        <v>0.2</v>
      </c>
      <c r="T1625" s="25"/>
      <c r="U1625" s="31">
        <f t="shared" si="26"/>
        <v>5.2</v>
      </c>
      <c r="V1625" s="25"/>
      <c r="W1625" s="33" t="s">
        <v>848</v>
      </c>
      <c r="X1625" s="33"/>
      <c r="Y1625" s="33"/>
      <c r="Z1625" s="33" t="s">
        <v>1294</v>
      </c>
      <c r="AA1625" s="33"/>
    </row>
    <row r="1626" spans="1:27" s="70" customFormat="1" ht="33.75" x14ac:dyDescent="0.2">
      <c r="A1626" s="24">
        <v>1622</v>
      </c>
      <c r="B1626" s="24" t="s">
        <v>1270</v>
      </c>
      <c r="C1626" s="25" t="s">
        <v>1269</v>
      </c>
      <c r="D1626" s="26" t="s">
        <v>1268</v>
      </c>
      <c r="E1626" s="25" t="s">
        <v>1267</v>
      </c>
      <c r="F1626" s="25" t="s">
        <v>1266</v>
      </c>
      <c r="G1626" s="24"/>
      <c r="H1626" s="28" t="s">
        <v>1293</v>
      </c>
      <c r="I1626" s="27"/>
      <c r="J1626" s="28" t="s">
        <v>1292</v>
      </c>
      <c r="K1626" s="27"/>
      <c r="L1626" s="25"/>
      <c r="M1626" s="25"/>
      <c r="N1626" s="25"/>
      <c r="O1626" s="25"/>
      <c r="P1626" s="25"/>
      <c r="Q1626" s="25"/>
      <c r="R1626" s="25"/>
      <c r="S1626" s="25"/>
      <c r="T1626" s="25"/>
      <c r="U1626" s="31">
        <f t="shared" si="26"/>
        <v>0</v>
      </c>
      <c r="V1626" s="25"/>
      <c r="W1626" s="33"/>
      <c r="X1626" s="33"/>
      <c r="Y1626" s="33"/>
      <c r="Z1626" s="33"/>
      <c r="AA1626" s="33"/>
    </row>
    <row r="1627" spans="1:27" s="70" customFormat="1" ht="56.25" x14ac:dyDescent="0.2">
      <c r="A1627" s="24">
        <v>1623</v>
      </c>
      <c r="B1627" s="24" t="s">
        <v>1270</v>
      </c>
      <c r="C1627" s="25" t="s">
        <v>1269</v>
      </c>
      <c r="D1627" s="26" t="s">
        <v>1268</v>
      </c>
      <c r="E1627" s="25" t="s">
        <v>1267</v>
      </c>
      <c r="F1627" s="25" t="s">
        <v>1266</v>
      </c>
      <c r="G1627" s="24"/>
      <c r="H1627" s="28" t="s">
        <v>1272</v>
      </c>
      <c r="I1627" s="27"/>
      <c r="J1627" s="28" t="s">
        <v>1291</v>
      </c>
      <c r="K1627" s="27"/>
      <c r="L1627" s="25"/>
      <c r="M1627" s="25"/>
      <c r="N1627" s="25"/>
      <c r="O1627" s="25"/>
      <c r="P1627" s="25"/>
      <c r="Q1627" s="25"/>
      <c r="R1627" s="25"/>
      <c r="S1627" s="25"/>
      <c r="T1627" s="25"/>
      <c r="U1627" s="31">
        <f t="shared" si="26"/>
        <v>0</v>
      </c>
      <c r="V1627" s="25"/>
      <c r="W1627" s="33"/>
      <c r="X1627" s="33"/>
      <c r="Y1627" s="33"/>
      <c r="Z1627" s="33"/>
      <c r="AA1627" s="33"/>
    </row>
    <row r="1628" spans="1:27" s="70" customFormat="1" ht="45" x14ac:dyDescent="0.2">
      <c r="A1628" s="24">
        <v>1624</v>
      </c>
      <c r="B1628" s="24" t="s">
        <v>1270</v>
      </c>
      <c r="C1628" s="25" t="s">
        <v>1269</v>
      </c>
      <c r="D1628" s="26" t="s">
        <v>1268</v>
      </c>
      <c r="E1628" s="25" t="s">
        <v>1267</v>
      </c>
      <c r="F1628" s="25" t="s">
        <v>1266</v>
      </c>
      <c r="G1628" s="24"/>
      <c r="H1628" s="28" t="s">
        <v>1272</v>
      </c>
      <c r="I1628" s="27"/>
      <c r="J1628" s="28" t="s">
        <v>1285</v>
      </c>
      <c r="K1628" s="27"/>
      <c r="L1628" s="25" t="s">
        <v>1290</v>
      </c>
      <c r="M1628" s="25" t="s">
        <v>1289</v>
      </c>
      <c r="N1628" s="25">
        <v>4</v>
      </c>
      <c r="O1628" s="25">
        <v>30</v>
      </c>
      <c r="P1628" s="25">
        <v>40</v>
      </c>
      <c r="Q1628" s="25">
        <v>60</v>
      </c>
      <c r="R1628" s="25"/>
      <c r="S1628" s="25">
        <v>30</v>
      </c>
      <c r="T1628" s="25">
        <v>10</v>
      </c>
      <c r="U1628" s="31">
        <f t="shared" si="26"/>
        <v>170</v>
      </c>
      <c r="V1628" s="25"/>
      <c r="W1628" s="33" t="s">
        <v>22</v>
      </c>
      <c r="X1628" s="33"/>
      <c r="Y1628" s="33"/>
      <c r="Z1628" s="33"/>
      <c r="AA1628" s="33"/>
    </row>
    <row r="1629" spans="1:27" s="70" customFormat="1" ht="45" x14ac:dyDescent="0.2">
      <c r="A1629" s="24">
        <v>1625</v>
      </c>
      <c r="B1629" s="24" t="s">
        <v>1270</v>
      </c>
      <c r="C1629" s="25" t="s">
        <v>1269</v>
      </c>
      <c r="D1629" s="26" t="s">
        <v>1268</v>
      </c>
      <c r="E1629" s="25" t="s">
        <v>1267</v>
      </c>
      <c r="F1629" s="25" t="s">
        <v>1266</v>
      </c>
      <c r="G1629" s="24"/>
      <c r="H1629" s="28" t="s">
        <v>1272</v>
      </c>
      <c r="I1629" s="27"/>
      <c r="J1629" s="28" t="s">
        <v>1285</v>
      </c>
      <c r="K1629" s="27"/>
      <c r="L1629" s="25" t="s">
        <v>1288</v>
      </c>
      <c r="M1629" s="25" t="s">
        <v>1287</v>
      </c>
      <c r="N1629" s="25">
        <v>120</v>
      </c>
      <c r="O1629" s="25">
        <v>4</v>
      </c>
      <c r="P1629" s="25">
        <v>5</v>
      </c>
      <c r="Q1629" s="25">
        <v>5</v>
      </c>
      <c r="R1629" s="25"/>
      <c r="S1629" s="25">
        <v>2</v>
      </c>
      <c r="T1629" s="25">
        <v>1</v>
      </c>
      <c r="U1629" s="31">
        <f t="shared" si="26"/>
        <v>17</v>
      </c>
      <c r="V1629" s="25"/>
      <c r="W1629" s="33" t="s">
        <v>1280</v>
      </c>
      <c r="X1629" s="33"/>
      <c r="Y1629" s="33"/>
      <c r="Z1629" s="33" t="s">
        <v>1286</v>
      </c>
      <c r="AA1629" s="33"/>
    </row>
    <row r="1630" spans="1:27" s="70" customFormat="1" ht="45" x14ac:dyDescent="0.2">
      <c r="A1630" s="24">
        <v>1626</v>
      </c>
      <c r="B1630" s="24" t="s">
        <v>1270</v>
      </c>
      <c r="C1630" s="25" t="s">
        <v>1269</v>
      </c>
      <c r="D1630" s="26" t="s">
        <v>1268</v>
      </c>
      <c r="E1630" s="25" t="s">
        <v>1267</v>
      </c>
      <c r="F1630" s="25" t="s">
        <v>1266</v>
      </c>
      <c r="G1630" s="24"/>
      <c r="H1630" s="28" t="s">
        <v>1272</v>
      </c>
      <c r="I1630" s="27"/>
      <c r="J1630" s="28" t="s">
        <v>1285</v>
      </c>
      <c r="K1630" s="27"/>
      <c r="L1630" s="25" t="s">
        <v>1284</v>
      </c>
      <c r="M1630" s="25" t="s">
        <v>592</v>
      </c>
      <c r="N1630" s="25">
        <v>1</v>
      </c>
      <c r="O1630" s="25"/>
      <c r="P1630" s="25"/>
      <c r="Q1630" s="25">
        <v>60</v>
      </c>
      <c r="R1630" s="25"/>
      <c r="S1630" s="25">
        <v>20</v>
      </c>
      <c r="T1630" s="25">
        <v>10</v>
      </c>
      <c r="U1630" s="31">
        <f t="shared" si="26"/>
        <v>90</v>
      </c>
      <c r="V1630" s="25"/>
      <c r="W1630" s="33" t="s">
        <v>22</v>
      </c>
      <c r="X1630" s="33"/>
      <c r="Y1630" s="33"/>
      <c r="Z1630" s="33"/>
      <c r="AA1630" s="33"/>
    </row>
    <row r="1631" spans="1:27" s="70" customFormat="1" ht="56.25" x14ac:dyDescent="0.2">
      <c r="A1631" s="24">
        <v>1627</v>
      </c>
      <c r="B1631" s="24" t="s">
        <v>1270</v>
      </c>
      <c r="C1631" s="25" t="s">
        <v>1269</v>
      </c>
      <c r="D1631" s="26" t="s">
        <v>1268</v>
      </c>
      <c r="E1631" s="25" t="s">
        <v>1267</v>
      </c>
      <c r="F1631" s="25" t="s">
        <v>1266</v>
      </c>
      <c r="G1631" s="24"/>
      <c r="H1631" s="28" t="s">
        <v>1272</v>
      </c>
      <c r="I1631" s="27"/>
      <c r="J1631" s="28" t="s">
        <v>1283</v>
      </c>
      <c r="K1631" s="27"/>
      <c r="L1631" s="25" t="s">
        <v>1282</v>
      </c>
      <c r="M1631" s="25" t="s">
        <v>1281</v>
      </c>
      <c r="N1631" s="25">
        <v>100</v>
      </c>
      <c r="O1631" s="25">
        <v>6</v>
      </c>
      <c r="P1631" s="25">
        <v>8</v>
      </c>
      <c r="Q1631" s="25">
        <v>5</v>
      </c>
      <c r="R1631" s="25"/>
      <c r="S1631" s="25">
        <v>2</v>
      </c>
      <c r="T1631" s="25">
        <v>1</v>
      </c>
      <c r="U1631" s="31">
        <f t="shared" si="26"/>
        <v>22</v>
      </c>
      <c r="V1631" s="25"/>
      <c r="W1631" s="33" t="s">
        <v>1280</v>
      </c>
      <c r="X1631" s="33"/>
      <c r="Y1631" s="33"/>
      <c r="Z1631" s="33" t="s">
        <v>1279</v>
      </c>
      <c r="AA1631" s="33"/>
    </row>
    <row r="1632" spans="1:27" s="70" customFormat="1" ht="56.25" x14ac:dyDescent="0.2">
      <c r="A1632" s="24">
        <v>1628</v>
      </c>
      <c r="B1632" s="24" t="s">
        <v>1270</v>
      </c>
      <c r="C1632" s="25" t="s">
        <v>1269</v>
      </c>
      <c r="D1632" s="26" t="s">
        <v>1268</v>
      </c>
      <c r="E1632" s="25" t="s">
        <v>1267</v>
      </c>
      <c r="F1632" s="25" t="s">
        <v>1266</v>
      </c>
      <c r="G1632" s="24"/>
      <c r="H1632" s="28" t="s">
        <v>1272</v>
      </c>
      <c r="I1632" s="27"/>
      <c r="J1632" s="28" t="s">
        <v>1274</v>
      </c>
      <c r="K1632" s="27"/>
      <c r="L1632" s="25" t="s">
        <v>1278</v>
      </c>
      <c r="M1632" s="25" t="s">
        <v>1277</v>
      </c>
      <c r="N1632" s="25">
        <v>8</v>
      </c>
      <c r="O1632" s="25">
        <v>30</v>
      </c>
      <c r="P1632" s="25">
        <v>60</v>
      </c>
      <c r="Q1632" s="25">
        <v>40</v>
      </c>
      <c r="R1632" s="25"/>
      <c r="S1632" s="25">
        <v>20</v>
      </c>
      <c r="T1632" s="25">
        <v>10</v>
      </c>
      <c r="U1632" s="31">
        <f t="shared" si="26"/>
        <v>160</v>
      </c>
      <c r="V1632" s="25"/>
      <c r="W1632" s="33" t="s">
        <v>22</v>
      </c>
      <c r="X1632" s="33"/>
      <c r="Y1632" s="33"/>
      <c r="Z1632" s="33"/>
      <c r="AA1632" s="33"/>
    </row>
    <row r="1633" spans="1:27" s="70" customFormat="1" ht="56.25" x14ac:dyDescent="0.2">
      <c r="A1633" s="24">
        <v>1629</v>
      </c>
      <c r="B1633" s="24" t="s">
        <v>1270</v>
      </c>
      <c r="C1633" s="25" t="s">
        <v>1269</v>
      </c>
      <c r="D1633" s="26" t="s">
        <v>1268</v>
      </c>
      <c r="E1633" s="25" t="s">
        <v>1267</v>
      </c>
      <c r="F1633" s="25" t="s">
        <v>1266</v>
      </c>
      <c r="G1633" s="24"/>
      <c r="H1633" s="28" t="s">
        <v>1272</v>
      </c>
      <c r="I1633" s="27"/>
      <c r="J1633" s="28" t="s">
        <v>1274</v>
      </c>
      <c r="K1633" s="27"/>
      <c r="L1633" s="25" t="s">
        <v>1276</v>
      </c>
      <c r="M1633" s="25" t="s">
        <v>1275</v>
      </c>
      <c r="N1633" s="25">
        <v>50</v>
      </c>
      <c r="O1633" s="25">
        <v>4</v>
      </c>
      <c r="P1633" s="25"/>
      <c r="Q1633" s="25">
        <v>1</v>
      </c>
      <c r="R1633" s="25"/>
      <c r="S1633" s="25">
        <v>0.5</v>
      </c>
      <c r="T1633" s="25"/>
      <c r="U1633" s="31">
        <f t="shared" si="26"/>
        <v>5.5</v>
      </c>
      <c r="V1633" s="25"/>
      <c r="W1633" s="33" t="s">
        <v>22</v>
      </c>
      <c r="X1633" s="33"/>
      <c r="Y1633" s="33"/>
      <c r="Z1633" s="33"/>
      <c r="AA1633" s="33"/>
    </row>
    <row r="1634" spans="1:27" s="70" customFormat="1" ht="56.25" x14ac:dyDescent="0.2">
      <c r="A1634" s="24">
        <v>1630</v>
      </c>
      <c r="B1634" s="24" t="s">
        <v>1270</v>
      </c>
      <c r="C1634" s="25" t="s">
        <v>1269</v>
      </c>
      <c r="D1634" s="26" t="s">
        <v>1268</v>
      </c>
      <c r="E1634" s="25" t="s">
        <v>1267</v>
      </c>
      <c r="F1634" s="25" t="s">
        <v>1266</v>
      </c>
      <c r="G1634" s="24"/>
      <c r="H1634" s="28" t="s">
        <v>1272</v>
      </c>
      <c r="I1634" s="27"/>
      <c r="J1634" s="28" t="s">
        <v>1274</v>
      </c>
      <c r="K1634" s="27"/>
      <c r="L1634" s="25" t="s">
        <v>1273</v>
      </c>
      <c r="M1634" s="25" t="s">
        <v>402</v>
      </c>
      <c r="N1634" s="25">
        <v>12</v>
      </c>
      <c r="O1634" s="25"/>
      <c r="P1634" s="25">
        <v>16</v>
      </c>
      <c r="Q1634" s="25"/>
      <c r="R1634" s="25"/>
      <c r="S1634" s="25">
        <v>2</v>
      </c>
      <c r="T1634" s="25"/>
      <c r="U1634" s="31">
        <f t="shared" si="26"/>
        <v>18</v>
      </c>
      <c r="V1634" s="25"/>
      <c r="W1634" s="33" t="s">
        <v>22</v>
      </c>
      <c r="X1634" s="33"/>
      <c r="Y1634" s="33"/>
      <c r="Z1634" s="33"/>
      <c r="AA1634" s="33"/>
    </row>
    <row r="1635" spans="1:27" s="70" customFormat="1" ht="45" x14ac:dyDescent="0.2">
      <c r="A1635" s="24">
        <v>1631</v>
      </c>
      <c r="B1635" s="24" t="s">
        <v>1270</v>
      </c>
      <c r="C1635" s="25" t="s">
        <v>1269</v>
      </c>
      <c r="D1635" s="26" t="s">
        <v>1268</v>
      </c>
      <c r="E1635" s="25" t="s">
        <v>1267</v>
      </c>
      <c r="F1635" s="25" t="s">
        <v>1266</v>
      </c>
      <c r="G1635" s="24"/>
      <c r="H1635" s="28" t="s">
        <v>1272</v>
      </c>
      <c r="I1635" s="27"/>
      <c r="J1635" s="28" t="s">
        <v>1271</v>
      </c>
      <c r="K1635" s="27"/>
      <c r="L1635" s="25"/>
      <c r="M1635" s="25"/>
      <c r="N1635" s="25"/>
      <c r="O1635" s="25"/>
      <c r="P1635" s="25"/>
      <c r="Q1635" s="25"/>
      <c r="R1635" s="25"/>
      <c r="S1635" s="25"/>
      <c r="T1635" s="25"/>
      <c r="U1635" s="31">
        <f t="shared" si="26"/>
        <v>0</v>
      </c>
      <c r="V1635" s="25"/>
      <c r="W1635" s="33"/>
      <c r="X1635" s="33"/>
      <c r="Y1635" s="33"/>
      <c r="Z1635" s="33"/>
      <c r="AA1635" s="33"/>
    </row>
    <row r="1636" spans="1:27" s="70" customFormat="1" ht="22.5" x14ac:dyDescent="0.2">
      <c r="A1636" s="24">
        <v>1632</v>
      </c>
      <c r="B1636" s="24" t="s">
        <v>1270</v>
      </c>
      <c r="C1636" s="25" t="s">
        <v>1269</v>
      </c>
      <c r="D1636" s="26" t="s">
        <v>1268</v>
      </c>
      <c r="E1636" s="25" t="s">
        <v>1267</v>
      </c>
      <c r="F1636" s="25" t="s">
        <v>1266</v>
      </c>
      <c r="G1636" s="24"/>
      <c r="H1636" s="28" t="s">
        <v>1265</v>
      </c>
      <c r="I1636" s="27"/>
      <c r="J1636" s="28" t="s">
        <v>1265</v>
      </c>
      <c r="K1636" s="27"/>
      <c r="L1636" s="25" t="s">
        <v>1264</v>
      </c>
      <c r="M1636" s="25" t="s">
        <v>1263</v>
      </c>
      <c r="N1636" s="25">
        <v>2</v>
      </c>
      <c r="O1636" s="25"/>
      <c r="P1636" s="25"/>
      <c r="Q1636" s="25">
        <v>60</v>
      </c>
      <c r="R1636" s="25"/>
      <c r="S1636" s="25">
        <v>8</v>
      </c>
      <c r="T1636" s="25">
        <v>8</v>
      </c>
      <c r="U1636" s="31">
        <f t="shared" si="26"/>
        <v>76</v>
      </c>
      <c r="V1636" s="25"/>
      <c r="W1636" s="33" t="s">
        <v>22</v>
      </c>
      <c r="X1636" s="33"/>
      <c r="Y1636" s="33"/>
      <c r="Z1636" s="33"/>
      <c r="AA1636" s="33"/>
    </row>
    <row r="1637" spans="1:27" s="70" customFormat="1" ht="45" x14ac:dyDescent="0.2">
      <c r="A1637" s="24">
        <v>1633</v>
      </c>
      <c r="B1637" s="24" t="s">
        <v>790</v>
      </c>
      <c r="C1637" s="25" t="s">
        <v>789</v>
      </c>
      <c r="D1637" s="26" t="s">
        <v>1231</v>
      </c>
      <c r="E1637" s="25" t="s">
        <v>1230</v>
      </c>
      <c r="F1637" s="25" t="s">
        <v>1229</v>
      </c>
      <c r="G1637" s="24"/>
      <c r="H1637" s="25" t="s">
        <v>1256</v>
      </c>
      <c r="I1637" s="27"/>
      <c r="J1637" s="28" t="s">
        <v>1262</v>
      </c>
      <c r="K1637" s="27"/>
      <c r="L1637" s="25"/>
      <c r="M1637" s="25"/>
      <c r="N1637" s="25"/>
      <c r="O1637" s="25"/>
      <c r="P1637" s="25"/>
      <c r="Q1637" s="25"/>
      <c r="R1637" s="25"/>
      <c r="S1637" s="25"/>
      <c r="T1637" s="25"/>
      <c r="U1637" s="31">
        <f t="shared" si="26"/>
        <v>0</v>
      </c>
      <c r="V1637" s="25"/>
      <c r="W1637" s="33"/>
      <c r="X1637" s="33"/>
      <c r="Y1637" s="33"/>
      <c r="Z1637" s="33"/>
      <c r="AA1637" s="33"/>
    </row>
    <row r="1638" spans="1:27" s="70" customFormat="1" ht="45" x14ac:dyDescent="0.2">
      <c r="A1638" s="24">
        <v>1634</v>
      </c>
      <c r="B1638" s="24" t="s">
        <v>790</v>
      </c>
      <c r="C1638" s="25" t="s">
        <v>789</v>
      </c>
      <c r="D1638" s="26" t="s">
        <v>1231</v>
      </c>
      <c r="E1638" s="25" t="s">
        <v>1230</v>
      </c>
      <c r="F1638" s="25" t="s">
        <v>1229</v>
      </c>
      <c r="G1638" s="24"/>
      <c r="H1638" s="25" t="s">
        <v>1256</v>
      </c>
      <c r="I1638" s="27"/>
      <c r="J1638" s="28" t="s">
        <v>1255</v>
      </c>
      <c r="K1638" s="27"/>
      <c r="L1638" s="25" t="s">
        <v>1261</v>
      </c>
      <c r="M1638" s="25" t="s">
        <v>1260</v>
      </c>
      <c r="N1638" s="25">
        <v>50</v>
      </c>
      <c r="O1638" s="25">
        <v>16</v>
      </c>
      <c r="P1638" s="25">
        <v>16</v>
      </c>
      <c r="Q1638" s="25">
        <v>4</v>
      </c>
      <c r="R1638" s="25"/>
      <c r="S1638" s="25">
        <v>2</v>
      </c>
      <c r="T1638" s="25">
        <v>2</v>
      </c>
      <c r="U1638" s="31">
        <f t="shared" si="26"/>
        <v>40</v>
      </c>
      <c r="V1638" s="25"/>
      <c r="W1638" s="33" t="s">
        <v>848</v>
      </c>
      <c r="X1638" s="33"/>
      <c r="Y1638" s="33"/>
      <c r="Z1638" s="33"/>
      <c r="AA1638" s="33"/>
    </row>
    <row r="1639" spans="1:27" s="70" customFormat="1" ht="45" x14ac:dyDescent="0.2">
      <c r="A1639" s="24">
        <v>1635</v>
      </c>
      <c r="B1639" s="24" t="s">
        <v>790</v>
      </c>
      <c r="C1639" s="25" t="s">
        <v>789</v>
      </c>
      <c r="D1639" s="26" t="s">
        <v>1231</v>
      </c>
      <c r="E1639" s="25" t="s">
        <v>1230</v>
      </c>
      <c r="F1639" s="25" t="s">
        <v>1229</v>
      </c>
      <c r="G1639" s="24"/>
      <c r="H1639" s="25" t="s">
        <v>1256</v>
      </c>
      <c r="I1639" s="27"/>
      <c r="J1639" s="28" t="s">
        <v>1255</v>
      </c>
      <c r="K1639" s="27"/>
      <c r="L1639" s="25" t="s">
        <v>1259</v>
      </c>
      <c r="M1639" s="25" t="s">
        <v>1258</v>
      </c>
      <c r="N1639" s="25">
        <v>1</v>
      </c>
      <c r="O1639" s="25">
        <v>576</v>
      </c>
      <c r="P1639" s="25">
        <v>576</v>
      </c>
      <c r="Q1639" s="25">
        <v>288</v>
      </c>
      <c r="R1639" s="25"/>
      <c r="S1639" s="25">
        <v>144</v>
      </c>
      <c r="T1639" s="25">
        <v>144</v>
      </c>
      <c r="U1639" s="31">
        <f t="shared" si="26"/>
        <v>1728</v>
      </c>
      <c r="V1639" s="25"/>
      <c r="W1639" s="33" t="s">
        <v>848</v>
      </c>
      <c r="X1639" s="33"/>
      <c r="Y1639" s="33"/>
      <c r="Z1639" s="33"/>
      <c r="AA1639" s="33"/>
    </row>
    <row r="1640" spans="1:27" s="70" customFormat="1" ht="45" x14ac:dyDescent="0.2">
      <c r="A1640" s="24">
        <v>1636</v>
      </c>
      <c r="B1640" s="24" t="s">
        <v>790</v>
      </c>
      <c r="C1640" s="25" t="s">
        <v>789</v>
      </c>
      <c r="D1640" s="26" t="s">
        <v>1231</v>
      </c>
      <c r="E1640" s="25" t="s">
        <v>1230</v>
      </c>
      <c r="F1640" s="25" t="s">
        <v>1229</v>
      </c>
      <c r="G1640" s="24"/>
      <c r="H1640" s="25" t="s">
        <v>1256</v>
      </c>
      <c r="I1640" s="27"/>
      <c r="J1640" s="28" t="s">
        <v>1255</v>
      </c>
      <c r="K1640" s="27"/>
      <c r="L1640" s="25" t="s">
        <v>1257</v>
      </c>
      <c r="M1640" s="25" t="s">
        <v>424</v>
      </c>
      <c r="N1640" s="25">
        <v>2</v>
      </c>
      <c r="O1640" s="25">
        <v>192</v>
      </c>
      <c r="P1640" s="25">
        <v>192</v>
      </c>
      <c r="Q1640" s="25">
        <v>96</v>
      </c>
      <c r="R1640" s="25"/>
      <c r="S1640" s="25">
        <v>48</v>
      </c>
      <c r="T1640" s="25">
        <v>48</v>
      </c>
      <c r="U1640" s="31">
        <f t="shared" si="26"/>
        <v>576</v>
      </c>
      <c r="V1640" s="25"/>
      <c r="W1640" s="33" t="s">
        <v>848</v>
      </c>
      <c r="X1640" s="33"/>
      <c r="Y1640" s="33"/>
      <c r="Z1640" s="33"/>
      <c r="AA1640" s="33"/>
    </row>
    <row r="1641" spans="1:27" s="70" customFormat="1" ht="45" x14ac:dyDescent="0.2">
      <c r="A1641" s="24">
        <v>1637</v>
      </c>
      <c r="B1641" s="24" t="s">
        <v>790</v>
      </c>
      <c r="C1641" s="25" t="s">
        <v>789</v>
      </c>
      <c r="D1641" s="26" t="s">
        <v>1231</v>
      </c>
      <c r="E1641" s="25" t="s">
        <v>1230</v>
      </c>
      <c r="F1641" s="25" t="s">
        <v>1229</v>
      </c>
      <c r="G1641" s="24"/>
      <c r="H1641" s="25" t="s">
        <v>1256</v>
      </c>
      <c r="I1641" s="27"/>
      <c r="J1641" s="28" t="s">
        <v>1255</v>
      </c>
      <c r="K1641" s="27"/>
      <c r="L1641" s="25" t="s">
        <v>1254</v>
      </c>
      <c r="M1641" s="25" t="s">
        <v>1253</v>
      </c>
      <c r="N1641" s="25">
        <v>1523</v>
      </c>
      <c r="O1641" s="25"/>
      <c r="P1641" s="25">
        <v>8</v>
      </c>
      <c r="Q1641" s="25"/>
      <c r="R1641" s="25"/>
      <c r="S1641" s="25">
        <v>0.5</v>
      </c>
      <c r="T1641" s="25">
        <v>0.5</v>
      </c>
      <c r="U1641" s="31">
        <f t="shared" si="26"/>
        <v>9</v>
      </c>
      <c r="V1641" s="25"/>
      <c r="W1641" s="33" t="s">
        <v>848</v>
      </c>
      <c r="X1641" s="33"/>
      <c r="Y1641" s="33"/>
      <c r="Z1641" s="33" t="s">
        <v>189</v>
      </c>
      <c r="AA1641" s="33"/>
    </row>
    <row r="1642" spans="1:27" s="70" customFormat="1" ht="45" x14ac:dyDescent="0.2">
      <c r="A1642" s="24">
        <v>1638</v>
      </c>
      <c r="B1642" s="24" t="s">
        <v>790</v>
      </c>
      <c r="C1642" s="25" t="s">
        <v>789</v>
      </c>
      <c r="D1642" s="26" t="s">
        <v>1231</v>
      </c>
      <c r="E1642" s="25" t="s">
        <v>1230</v>
      </c>
      <c r="F1642" s="25" t="s">
        <v>1229</v>
      </c>
      <c r="G1642" s="24"/>
      <c r="H1642" s="25" t="s">
        <v>1233</v>
      </c>
      <c r="I1642" s="27"/>
      <c r="J1642" s="28" t="s">
        <v>1252</v>
      </c>
      <c r="K1642" s="27"/>
      <c r="L1642" s="25"/>
      <c r="M1642" s="25"/>
      <c r="N1642" s="25"/>
      <c r="O1642" s="25"/>
      <c r="P1642" s="25"/>
      <c r="Q1642" s="25"/>
      <c r="R1642" s="25"/>
      <c r="S1642" s="25"/>
      <c r="T1642" s="25"/>
      <c r="U1642" s="31">
        <f t="shared" si="26"/>
        <v>0</v>
      </c>
      <c r="V1642" s="25"/>
      <c r="W1642" s="33"/>
      <c r="X1642" s="33"/>
      <c r="Y1642" s="33"/>
      <c r="Z1642" s="33"/>
      <c r="AA1642" s="33"/>
    </row>
    <row r="1643" spans="1:27" s="70" customFormat="1" ht="45" x14ac:dyDescent="0.2">
      <c r="A1643" s="24">
        <v>1639</v>
      </c>
      <c r="B1643" s="24" t="s">
        <v>790</v>
      </c>
      <c r="C1643" s="25" t="s">
        <v>789</v>
      </c>
      <c r="D1643" s="26" t="s">
        <v>1231</v>
      </c>
      <c r="E1643" s="25" t="s">
        <v>1230</v>
      </c>
      <c r="F1643" s="25" t="s">
        <v>1229</v>
      </c>
      <c r="G1643" s="24"/>
      <c r="H1643" s="25" t="s">
        <v>1233</v>
      </c>
      <c r="I1643" s="27"/>
      <c r="J1643" s="28" t="s">
        <v>1237</v>
      </c>
      <c r="K1643" s="27"/>
      <c r="L1643" s="25" t="s">
        <v>1251</v>
      </c>
      <c r="M1643" s="25" t="s">
        <v>1250</v>
      </c>
      <c r="N1643" s="25">
        <v>4</v>
      </c>
      <c r="O1643" s="25">
        <v>192</v>
      </c>
      <c r="P1643" s="25">
        <v>192</v>
      </c>
      <c r="Q1643" s="25">
        <v>96</v>
      </c>
      <c r="R1643" s="25"/>
      <c r="S1643" s="25">
        <v>48</v>
      </c>
      <c r="T1643" s="25">
        <v>48</v>
      </c>
      <c r="U1643" s="31">
        <f t="shared" si="26"/>
        <v>576</v>
      </c>
      <c r="V1643" s="25"/>
      <c r="W1643" s="33" t="s">
        <v>848</v>
      </c>
      <c r="X1643" s="33"/>
      <c r="Y1643" s="33"/>
      <c r="Z1643" s="33" t="s">
        <v>189</v>
      </c>
      <c r="AA1643" s="33"/>
    </row>
    <row r="1644" spans="1:27" s="70" customFormat="1" ht="45" x14ac:dyDescent="0.2">
      <c r="A1644" s="24">
        <v>1640</v>
      </c>
      <c r="B1644" s="24" t="s">
        <v>790</v>
      </c>
      <c r="C1644" s="25" t="s">
        <v>789</v>
      </c>
      <c r="D1644" s="26" t="s">
        <v>1231</v>
      </c>
      <c r="E1644" s="25" t="s">
        <v>1230</v>
      </c>
      <c r="F1644" s="25" t="s">
        <v>1229</v>
      </c>
      <c r="G1644" s="24"/>
      <c r="H1644" s="25" t="s">
        <v>1233</v>
      </c>
      <c r="I1644" s="27"/>
      <c r="J1644" s="28" t="s">
        <v>1237</v>
      </c>
      <c r="K1644" s="27"/>
      <c r="L1644" s="25" t="s">
        <v>1249</v>
      </c>
      <c r="M1644" s="25" t="s">
        <v>424</v>
      </c>
      <c r="N1644" s="25">
        <v>1</v>
      </c>
      <c r="O1644" s="25">
        <v>192</v>
      </c>
      <c r="P1644" s="25">
        <v>192</v>
      </c>
      <c r="Q1644" s="25">
        <v>96</v>
      </c>
      <c r="R1644" s="25"/>
      <c r="S1644" s="25">
        <v>48</v>
      </c>
      <c r="T1644" s="25">
        <v>48</v>
      </c>
      <c r="U1644" s="31">
        <f t="shared" si="26"/>
        <v>576</v>
      </c>
      <c r="V1644" s="25"/>
      <c r="W1644" s="33" t="s">
        <v>848</v>
      </c>
      <c r="X1644" s="33"/>
      <c r="Y1644" s="33"/>
      <c r="Z1644" s="33" t="s">
        <v>189</v>
      </c>
      <c r="AA1644" s="33"/>
    </row>
    <row r="1645" spans="1:27" s="70" customFormat="1" ht="45" x14ac:dyDescent="0.2">
      <c r="A1645" s="24">
        <v>1641</v>
      </c>
      <c r="B1645" s="24" t="s">
        <v>790</v>
      </c>
      <c r="C1645" s="25" t="s">
        <v>789</v>
      </c>
      <c r="D1645" s="26" t="s">
        <v>1231</v>
      </c>
      <c r="E1645" s="25" t="s">
        <v>1230</v>
      </c>
      <c r="F1645" s="25" t="s">
        <v>1229</v>
      </c>
      <c r="G1645" s="24"/>
      <c r="H1645" s="25" t="s">
        <v>1233</v>
      </c>
      <c r="I1645" s="27"/>
      <c r="J1645" s="28" t="s">
        <v>1237</v>
      </c>
      <c r="K1645" s="27"/>
      <c r="L1645" s="25" t="s">
        <v>1248</v>
      </c>
      <c r="M1645" s="25" t="s">
        <v>424</v>
      </c>
      <c r="N1645" s="25">
        <v>1</v>
      </c>
      <c r="O1645" s="25">
        <v>384</v>
      </c>
      <c r="P1645" s="25">
        <v>384</v>
      </c>
      <c r="Q1645" s="25">
        <v>192</v>
      </c>
      <c r="R1645" s="25"/>
      <c r="S1645" s="25">
        <v>96</v>
      </c>
      <c r="T1645" s="25">
        <v>96</v>
      </c>
      <c r="U1645" s="31">
        <f t="shared" si="26"/>
        <v>1152</v>
      </c>
      <c r="V1645" s="25"/>
      <c r="W1645" s="33" t="s">
        <v>848</v>
      </c>
      <c r="X1645" s="33"/>
      <c r="Y1645" s="33"/>
      <c r="Z1645" s="33" t="s">
        <v>189</v>
      </c>
      <c r="AA1645" s="33"/>
    </row>
    <row r="1646" spans="1:27" s="70" customFormat="1" ht="45" x14ac:dyDescent="0.2">
      <c r="A1646" s="24">
        <v>1642</v>
      </c>
      <c r="B1646" s="24" t="s">
        <v>790</v>
      </c>
      <c r="C1646" s="25" t="s">
        <v>789</v>
      </c>
      <c r="D1646" s="26" t="s">
        <v>1231</v>
      </c>
      <c r="E1646" s="25" t="s">
        <v>1230</v>
      </c>
      <c r="F1646" s="25" t="s">
        <v>1229</v>
      </c>
      <c r="G1646" s="24"/>
      <c r="H1646" s="25" t="s">
        <v>1233</v>
      </c>
      <c r="I1646" s="27"/>
      <c r="J1646" s="28" t="s">
        <v>1237</v>
      </c>
      <c r="K1646" s="27"/>
      <c r="L1646" s="25" t="s">
        <v>1247</v>
      </c>
      <c r="M1646" s="25" t="s">
        <v>424</v>
      </c>
      <c r="N1646" s="25">
        <v>1</v>
      </c>
      <c r="O1646" s="25">
        <v>384</v>
      </c>
      <c r="P1646" s="25">
        <v>384</v>
      </c>
      <c r="Q1646" s="25">
        <v>192</v>
      </c>
      <c r="R1646" s="25"/>
      <c r="S1646" s="25">
        <v>96</v>
      </c>
      <c r="T1646" s="25">
        <v>96</v>
      </c>
      <c r="U1646" s="31">
        <f t="shared" si="26"/>
        <v>1152</v>
      </c>
      <c r="V1646" s="25"/>
      <c r="W1646" s="33" t="s">
        <v>848</v>
      </c>
      <c r="X1646" s="33"/>
      <c r="Y1646" s="33"/>
      <c r="Z1646" s="33" t="s">
        <v>189</v>
      </c>
      <c r="AA1646" s="33"/>
    </row>
    <row r="1647" spans="1:27" s="70" customFormat="1" ht="45" x14ac:dyDescent="0.2">
      <c r="A1647" s="24">
        <v>1643</v>
      </c>
      <c r="B1647" s="24" t="s">
        <v>790</v>
      </c>
      <c r="C1647" s="25" t="s">
        <v>789</v>
      </c>
      <c r="D1647" s="26" t="s">
        <v>1231</v>
      </c>
      <c r="E1647" s="25" t="s">
        <v>1230</v>
      </c>
      <c r="F1647" s="25" t="s">
        <v>1229</v>
      </c>
      <c r="G1647" s="24"/>
      <c r="H1647" s="25" t="s">
        <v>1233</v>
      </c>
      <c r="I1647" s="27"/>
      <c r="J1647" s="28" t="s">
        <v>1237</v>
      </c>
      <c r="K1647" s="27"/>
      <c r="L1647" s="25" t="s">
        <v>1246</v>
      </c>
      <c r="M1647" s="25" t="s">
        <v>424</v>
      </c>
      <c r="N1647" s="25">
        <v>1</v>
      </c>
      <c r="O1647" s="25">
        <v>192</v>
      </c>
      <c r="P1647" s="25">
        <v>192</v>
      </c>
      <c r="Q1647" s="25">
        <v>96</v>
      </c>
      <c r="R1647" s="25"/>
      <c r="S1647" s="25">
        <v>48</v>
      </c>
      <c r="T1647" s="25">
        <v>48</v>
      </c>
      <c r="U1647" s="31">
        <f t="shared" si="26"/>
        <v>576</v>
      </c>
      <c r="V1647" s="25"/>
      <c r="W1647" s="33" t="s">
        <v>848</v>
      </c>
      <c r="X1647" s="33"/>
      <c r="Y1647" s="33"/>
      <c r="Z1647" s="33"/>
      <c r="AA1647" s="33"/>
    </row>
    <row r="1648" spans="1:27" s="70" customFormat="1" ht="45" x14ac:dyDescent="0.2">
      <c r="A1648" s="24">
        <v>1644</v>
      </c>
      <c r="B1648" s="24" t="s">
        <v>790</v>
      </c>
      <c r="C1648" s="25" t="s">
        <v>789</v>
      </c>
      <c r="D1648" s="26" t="s">
        <v>1231</v>
      </c>
      <c r="E1648" s="25" t="s">
        <v>1230</v>
      </c>
      <c r="F1648" s="25" t="s">
        <v>1229</v>
      </c>
      <c r="G1648" s="24"/>
      <c r="H1648" s="25" t="s">
        <v>1233</v>
      </c>
      <c r="I1648" s="27"/>
      <c r="J1648" s="28" t="s">
        <v>1237</v>
      </c>
      <c r="K1648" s="27"/>
      <c r="L1648" s="25" t="s">
        <v>1245</v>
      </c>
      <c r="M1648" s="25" t="s">
        <v>424</v>
      </c>
      <c r="N1648" s="25">
        <v>1</v>
      </c>
      <c r="O1648" s="25">
        <v>192</v>
      </c>
      <c r="P1648" s="25">
        <v>192</v>
      </c>
      <c r="Q1648" s="25">
        <v>96</v>
      </c>
      <c r="R1648" s="25"/>
      <c r="S1648" s="25">
        <v>48</v>
      </c>
      <c r="T1648" s="25">
        <v>48</v>
      </c>
      <c r="U1648" s="31">
        <f t="shared" si="26"/>
        <v>576</v>
      </c>
      <c r="V1648" s="25"/>
      <c r="W1648" s="33" t="s">
        <v>848</v>
      </c>
      <c r="X1648" s="33"/>
      <c r="Y1648" s="33"/>
      <c r="Z1648" s="33" t="s">
        <v>189</v>
      </c>
      <c r="AA1648" s="33"/>
    </row>
    <row r="1649" spans="1:27" s="70" customFormat="1" ht="45" x14ac:dyDescent="0.2">
      <c r="A1649" s="24">
        <v>1645</v>
      </c>
      <c r="B1649" s="24" t="s">
        <v>790</v>
      </c>
      <c r="C1649" s="25" t="s">
        <v>789</v>
      </c>
      <c r="D1649" s="26" t="s">
        <v>1231</v>
      </c>
      <c r="E1649" s="25" t="s">
        <v>1230</v>
      </c>
      <c r="F1649" s="25" t="s">
        <v>1229</v>
      </c>
      <c r="G1649" s="24"/>
      <c r="H1649" s="25" t="s">
        <v>1233</v>
      </c>
      <c r="I1649" s="27"/>
      <c r="J1649" s="28" t="s">
        <v>1237</v>
      </c>
      <c r="K1649" s="27"/>
      <c r="L1649" s="25" t="s">
        <v>1244</v>
      </c>
      <c r="M1649" s="25" t="s">
        <v>412</v>
      </c>
      <c r="N1649" s="25">
        <v>1</v>
      </c>
      <c r="O1649" s="25">
        <v>64</v>
      </c>
      <c r="P1649" s="25">
        <v>64</v>
      </c>
      <c r="Q1649" s="25"/>
      <c r="R1649" s="25"/>
      <c r="S1649" s="25">
        <v>16</v>
      </c>
      <c r="T1649" s="25">
        <v>16</v>
      </c>
      <c r="U1649" s="31">
        <f t="shared" si="26"/>
        <v>160</v>
      </c>
      <c r="V1649" s="25"/>
      <c r="W1649" s="33" t="s">
        <v>848</v>
      </c>
      <c r="X1649" s="33"/>
      <c r="Y1649" s="33"/>
      <c r="Z1649" s="33" t="s">
        <v>189</v>
      </c>
      <c r="AA1649" s="33"/>
    </row>
    <row r="1650" spans="1:27" s="70" customFormat="1" ht="45" x14ac:dyDescent="0.2">
      <c r="A1650" s="24">
        <v>1646</v>
      </c>
      <c r="B1650" s="24" t="s">
        <v>790</v>
      </c>
      <c r="C1650" s="25" t="s">
        <v>789</v>
      </c>
      <c r="D1650" s="26" t="s">
        <v>1231</v>
      </c>
      <c r="E1650" s="25" t="s">
        <v>1230</v>
      </c>
      <c r="F1650" s="25" t="s">
        <v>1229</v>
      </c>
      <c r="G1650" s="24"/>
      <c r="H1650" s="25" t="s">
        <v>1233</v>
      </c>
      <c r="I1650" s="27"/>
      <c r="J1650" s="28" t="s">
        <v>1237</v>
      </c>
      <c r="K1650" s="27"/>
      <c r="L1650" s="25" t="s">
        <v>1243</v>
      </c>
      <c r="M1650" s="25" t="s">
        <v>1242</v>
      </c>
      <c r="N1650" s="25">
        <v>10</v>
      </c>
      <c r="O1650" s="25">
        <v>40</v>
      </c>
      <c r="P1650" s="25">
        <v>72</v>
      </c>
      <c r="Q1650" s="25"/>
      <c r="R1650" s="25"/>
      <c r="S1650" s="25">
        <v>40</v>
      </c>
      <c r="T1650" s="25">
        <v>40</v>
      </c>
      <c r="U1650" s="31">
        <f t="shared" si="26"/>
        <v>192</v>
      </c>
      <c r="V1650" s="25"/>
      <c r="W1650" s="33" t="s">
        <v>848</v>
      </c>
      <c r="X1650" s="33"/>
      <c r="Y1650" s="33"/>
      <c r="Z1650" s="33" t="s">
        <v>189</v>
      </c>
      <c r="AA1650" s="33"/>
    </row>
    <row r="1651" spans="1:27" s="70" customFormat="1" ht="45" x14ac:dyDescent="0.2">
      <c r="A1651" s="24">
        <v>1647</v>
      </c>
      <c r="B1651" s="24" t="s">
        <v>790</v>
      </c>
      <c r="C1651" s="25" t="s">
        <v>789</v>
      </c>
      <c r="D1651" s="26" t="s">
        <v>1231</v>
      </c>
      <c r="E1651" s="25" t="s">
        <v>1230</v>
      </c>
      <c r="F1651" s="25" t="s">
        <v>1229</v>
      </c>
      <c r="G1651" s="24"/>
      <c r="H1651" s="25" t="s">
        <v>1233</v>
      </c>
      <c r="I1651" s="27"/>
      <c r="J1651" s="28" t="s">
        <v>1237</v>
      </c>
      <c r="K1651" s="27"/>
      <c r="L1651" s="25" t="s">
        <v>1241</v>
      </c>
      <c r="M1651" s="25" t="s">
        <v>1240</v>
      </c>
      <c r="N1651" s="25">
        <v>50</v>
      </c>
      <c r="O1651" s="25">
        <v>3</v>
      </c>
      <c r="P1651" s="25">
        <v>2</v>
      </c>
      <c r="Q1651" s="25">
        <v>2</v>
      </c>
      <c r="R1651" s="25"/>
      <c r="S1651" s="25">
        <v>1</v>
      </c>
      <c r="T1651" s="25">
        <v>1</v>
      </c>
      <c r="U1651" s="31">
        <f t="shared" si="26"/>
        <v>9</v>
      </c>
      <c r="V1651" s="25"/>
      <c r="W1651" s="33" t="s">
        <v>1239</v>
      </c>
      <c r="X1651" s="33"/>
      <c r="Y1651" s="33"/>
      <c r="Z1651" s="33"/>
      <c r="AA1651" s="33"/>
    </row>
    <row r="1652" spans="1:27" s="70" customFormat="1" ht="45" x14ac:dyDescent="0.2">
      <c r="A1652" s="24">
        <v>1648</v>
      </c>
      <c r="B1652" s="24" t="s">
        <v>790</v>
      </c>
      <c r="C1652" s="25" t="s">
        <v>789</v>
      </c>
      <c r="D1652" s="26" t="s">
        <v>1231</v>
      </c>
      <c r="E1652" s="25" t="s">
        <v>1230</v>
      </c>
      <c r="F1652" s="25" t="s">
        <v>1229</v>
      </c>
      <c r="G1652" s="24"/>
      <c r="H1652" s="25" t="s">
        <v>1233</v>
      </c>
      <c r="I1652" s="27"/>
      <c r="J1652" s="28" t="s">
        <v>1237</v>
      </c>
      <c r="K1652" s="27"/>
      <c r="L1652" s="25" t="s">
        <v>1243</v>
      </c>
      <c r="M1652" s="25" t="s">
        <v>1242</v>
      </c>
      <c r="N1652" s="25">
        <v>10</v>
      </c>
      <c r="O1652" s="25">
        <v>40</v>
      </c>
      <c r="P1652" s="25">
        <v>72</v>
      </c>
      <c r="Q1652" s="25"/>
      <c r="R1652" s="25"/>
      <c r="S1652" s="25">
        <v>40</v>
      </c>
      <c r="T1652" s="25">
        <v>40</v>
      </c>
      <c r="U1652" s="31">
        <f t="shared" si="26"/>
        <v>192</v>
      </c>
      <c r="V1652" s="25"/>
      <c r="W1652" s="33" t="s">
        <v>848</v>
      </c>
      <c r="X1652" s="33"/>
      <c r="Y1652" s="33"/>
      <c r="Z1652" s="33" t="s">
        <v>189</v>
      </c>
      <c r="AA1652" s="33"/>
    </row>
    <row r="1653" spans="1:27" s="70" customFormat="1" ht="45" x14ac:dyDescent="0.2">
      <c r="A1653" s="24">
        <v>1649</v>
      </c>
      <c r="B1653" s="24" t="s">
        <v>790</v>
      </c>
      <c r="C1653" s="25" t="s">
        <v>789</v>
      </c>
      <c r="D1653" s="26" t="s">
        <v>1231</v>
      </c>
      <c r="E1653" s="25" t="s">
        <v>1230</v>
      </c>
      <c r="F1653" s="25" t="s">
        <v>1229</v>
      </c>
      <c r="G1653" s="24"/>
      <c r="H1653" s="25" t="s">
        <v>1233</v>
      </c>
      <c r="I1653" s="27"/>
      <c r="J1653" s="28" t="s">
        <v>1237</v>
      </c>
      <c r="K1653" s="27"/>
      <c r="L1653" s="25" t="s">
        <v>1241</v>
      </c>
      <c r="M1653" s="25" t="s">
        <v>1240</v>
      </c>
      <c r="N1653" s="25">
        <v>50</v>
      </c>
      <c r="O1653" s="25">
        <v>3</v>
      </c>
      <c r="P1653" s="25">
        <v>2</v>
      </c>
      <c r="Q1653" s="25">
        <v>2</v>
      </c>
      <c r="R1653" s="25"/>
      <c r="S1653" s="25">
        <v>1</v>
      </c>
      <c r="T1653" s="25">
        <v>1</v>
      </c>
      <c r="U1653" s="31">
        <f t="shared" si="26"/>
        <v>9</v>
      </c>
      <c r="V1653" s="25"/>
      <c r="W1653" s="33" t="s">
        <v>1239</v>
      </c>
      <c r="X1653" s="33"/>
      <c r="Y1653" s="33"/>
      <c r="Z1653" s="33"/>
      <c r="AA1653" s="33"/>
    </row>
    <row r="1654" spans="1:27" s="70" customFormat="1" ht="45" x14ac:dyDescent="0.2">
      <c r="A1654" s="24">
        <v>1650</v>
      </c>
      <c r="B1654" s="24" t="s">
        <v>790</v>
      </c>
      <c r="C1654" s="25" t="s">
        <v>789</v>
      </c>
      <c r="D1654" s="26" t="s">
        <v>1231</v>
      </c>
      <c r="E1654" s="25" t="s">
        <v>1230</v>
      </c>
      <c r="F1654" s="25" t="s">
        <v>1229</v>
      </c>
      <c r="G1654" s="24"/>
      <c r="H1654" s="25" t="s">
        <v>1233</v>
      </c>
      <c r="I1654" s="27"/>
      <c r="J1654" s="28" t="s">
        <v>1237</v>
      </c>
      <c r="K1654" s="27"/>
      <c r="L1654" s="25" t="s">
        <v>1238</v>
      </c>
      <c r="M1654" s="25" t="s">
        <v>845</v>
      </c>
      <c r="N1654" s="25">
        <v>1</v>
      </c>
      <c r="O1654" s="25">
        <v>40</v>
      </c>
      <c r="P1654" s="25">
        <v>24</v>
      </c>
      <c r="Q1654" s="25"/>
      <c r="R1654" s="25"/>
      <c r="S1654" s="25">
        <v>8</v>
      </c>
      <c r="T1654" s="25">
        <v>8</v>
      </c>
      <c r="U1654" s="31">
        <f t="shared" si="26"/>
        <v>80</v>
      </c>
      <c r="V1654" s="25"/>
      <c r="W1654" s="33" t="s">
        <v>22</v>
      </c>
      <c r="X1654" s="33"/>
      <c r="Y1654" s="33"/>
      <c r="Z1654" s="33"/>
      <c r="AA1654" s="33"/>
    </row>
    <row r="1655" spans="1:27" s="70" customFormat="1" ht="45" x14ac:dyDescent="0.2">
      <c r="A1655" s="24">
        <v>1651</v>
      </c>
      <c r="B1655" s="24" t="s">
        <v>790</v>
      </c>
      <c r="C1655" s="25" t="s">
        <v>789</v>
      </c>
      <c r="D1655" s="26" t="s">
        <v>1231</v>
      </c>
      <c r="E1655" s="25" t="s">
        <v>1230</v>
      </c>
      <c r="F1655" s="25" t="s">
        <v>1229</v>
      </c>
      <c r="G1655" s="24"/>
      <c r="H1655" s="25" t="s">
        <v>1233</v>
      </c>
      <c r="I1655" s="27"/>
      <c r="J1655" s="28" t="s">
        <v>1237</v>
      </c>
      <c r="K1655" s="27"/>
      <c r="L1655" s="25" t="s">
        <v>1236</v>
      </c>
      <c r="M1655" s="25" t="s">
        <v>845</v>
      </c>
      <c r="N1655" s="25">
        <v>1</v>
      </c>
      <c r="O1655" s="25"/>
      <c r="P1655" s="25">
        <v>96</v>
      </c>
      <c r="Q1655" s="25"/>
      <c r="R1655" s="25"/>
      <c r="S1655" s="25">
        <v>96</v>
      </c>
      <c r="T1655" s="25">
        <v>96</v>
      </c>
      <c r="U1655" s="31">
        <f t="shared" si="26"/>
        <v>288</v>
      </c>
      <c r="V1655" s="25"/>
      <c r="W1655" s="33" t="s">
        <v>1235</v>
      </c>
      <c r="X1655" s="33"/>
      <c r="Y1655" s="33"/>
      <c r="Z1655" s="33"/>
      <c r="AA1655" s="33"/>
    </row>
    <row r="1656" spans="1:27" s="70" customFormat="1" ht="45" x14ac:dyDescent="0.2">
      <c r="A1656" s="24">
        <v>1652</v>
      </c>
      <c r="B1656" s="24" t="s">
        <v>790</v>
      </c>
      <c r="C1656" s="25" t="s">
        <v>789</v>
      </c>
      <c r="D1656" s="26" t="s">
        <v>1231</v>
      </c>
      <c r="E1656" s="25" t="s">
        <v>1230</v>
      </c>
      <c r="F1656" s="25" t="s">
        <v>1229</v>
      </c>
      <c r="G1656" s="24"/>
      <c r="H1656" s="25" t="s">
        <v>1233</v>
      </c>
      <c r="I1656" s="27"/>
      <c r="J1656" s="28" t="s">
        <v>1234</v>
      </c>
      <c r="K1656" s="27"/>
      <c r="L1656" s="25"/>
      <c r="M1656" s="25"/>
      <c r="N1656" s="25"/>
      <c r="O1656" s="25"/>
      <c r="P1656" s="25"/>
      <c r="Q1656" s="25"/>
      <c r="R1656" s="25"/>
      <c r="S1656" s="25"/>
      <c r="T1656" s="25"/>
      <c r="U1656" s="31">
        <f t="shared" si="26"/>
        <v>0</v>
      </c>
      <c r="V1656" s="25"/>
      <c r="W1656" s="33"/>
      <c r="X1656" s="33"/>
      <c r="Y1656" s="33"/>
      <c r="Z1656" s="33"/>
      <c r="AA1656" s="33"/>
    </row>
    <row r="1657" spans="1:27" s="70" customFormat="1" ht="45" x14ac:dyDescent="0.2">
      <c r="A1657" s="24">
        <v>1653</v>
      </c>
      <c r="B1657" s="24" t="s">
        <v>790</v>
      </c>
      <c r="C1657" s="25" t="s">
        <v>789</v>
      </c>
      <c r="D1657" s="26" t="s">
        <v>1231</v>
      </c>
      <c r="E1657" s="25" t="s">
        <v>1230</v>
      </c>
      <c r="F1657" s="25" t="s">
        <v>1229</v>
      </c>
      <c r="G1657" s="24"/>
      <c r="H1657" s="25" t="s">
        <v>1233</v>
      </c>
      <c r="I1657" s="27"/>
      <c r="J1657" s="28" t="s">
        <v>1232</v>
      </c>
      <c r="K1657" s="27"/>
      <c r="L1657" s="25"/>
      <c r="M1657" s="25"/>
      <c r="N1657" s="25"/>
      <c r="O1657" s="25"/>
      <c r="P1657" s="25"/>
      <c r="Q1657" s="25"/>
      <c r="R1657" s="25"/>
      <c r="S1657" s="25"/>
      <c r="T1657" s="25"/>
      <c r="U1657" s="31">
        <f t="shared" si="26"/>
        <v>0</v>
      </c>
      <c r="V1657" s="25"/>
      <c r="W1657" s="33"/>
      <c r="X1657" s="33"/>
      <c r="Y1657" s="33"/>
      <c r="Z1657" s="33"/>
      <c r="AA1657" s="33"/>
    </row>
    <row r="1658" spans="1:27" s="70" customFormat="1" ht="45" x14ac:dyDescent="0.2">
      <c r="A1658" s="24">
        <v>1654</v>
      </c>
      <c r="B1658" s="24" t="s">
        <v>790</v>
      </c>
      <c r="C1658" s="25" t="s">
        <v>789</v>
      </c>
      <c r="D1658" s="26" t="s">
        <v>1231</v>
      </c>
      <c r="E1658" s="25" t="s">
        <v>1230</v>
      </c>
      <c r="F1658" s="25" t="s">
        <v>1229</v>
      </c>
      <c r="G1658" s="24"/>
      <c r="H1658" s="25" t="s">
        <v>1228</v>
      </c>
      <c r="I1658" s="27"/>
      <c r="J1658" s="25" t="s">
        <v>1228</v>
      </c>
      <c r="K1658" s="27"/>
      <c r="L1658" s="25"/>
      <c r="M1658" s="25"/>
      <c r="N1658" s="25"/>
      <c r="O1658" s="25"/>
      <c r="P1658" s="25"/>
      <c r="Q1658" s="25"/>
      <c r="R1658" s="25"/>
      <c r="S1658" s="25"/>
      <c r="T1658" s="25"/>
      <c r="U1658" s="31">
        <f t="shared" si="26"/>
        <v>0</v>
      </c>
      <c r="V1658" s="25"/>
      <c r="W1658" s="33"/>
      <c r="X1658" s="33"/>
      <c r="Y1658" s="33"/>
      <c r="Z1658" s="33"/>
      <c r="AA1658" s="33"/>
    </row>
    <row r="1659" spans="1:27" s="70" customFormat="1" ht="45" x14ac:dyDescent="0.2">
      <c r="A1659" s="24">
        <v>1655</v>
      </c>
      <c r="B1659" s="24" t="s">
        <v>790</v>
      </c>
      <c r="C1659" s="25" t="s">
        <v>789</v>
      </c>
      <c r="D1659" s="26" t="s">
        <v>1175</v>
      </c>
      <c r="E1659" s="25" t="s">
        <v>1174</v>
      </c>
      <c r="F1659" s="25" t="s">
        <v>1173</v>
      </c>
      <c r="G1659" s="24"/>
      <c r="H1659" s="25" t="s">
        <v>1203</v>
      </c>
      <c r="I1659" s="24"/>
      <c r="J1659" s="25" t="s">
        <v>1203</v>
      </c>
      <c r="K1659" s="24"/>
      <c r="L1659" s="25"/>
      <c r="M1659" s="25"/>
      <c r="N1659" s="25"/>
      <c r="O1659" s="25"/>
      <c r="P1659" s="25"/>
      <c r="Q1659" s="25"/>
      <c r="R1659" s="25"/>
      <c r="S1659" s="25"/>
      <c r="T1659" s="25"/>
      <c r="U1659" s="31">
        <f t="shared" si="26"/>
        <v>0</v>
      </c>
      <c r="V1659" s="25"/>
      <c r="W1659" s="33"/>
      <c r="X1659" s="33"/>
      <c r="Y1659" s="33"/>
      <c r="Z1659" s="33"/>
      <c r="AA1659" s="33"/>
    </row>
    <row r="1660" spans="1:27" s="70" customFormat="1" ht="101.25" x14ac:dyDescent="0.2">
      <c r="A1660" s="24">
        <v>1656</v>
      </c>
      <c r="B1660" s="24" t="s">
        <v>790</v>
      </c>
      <c r="C1660" s="25" t="s">
        <v>789</v>
      </c>
      <c r="D1660" s="26" t="s">
        <v>1175</v>
      </c>
      <c r="E1660" s="25" t="s">
        <v>1174</v>
      </c>
      <c r="F1660" s="25" t="s">
        <v>1173</v>
      </c>
      <c r="G1660" s="24"/>
      <c r="H1660" s="25" t="s">
        <v>1203</v>
      </c>
      <c r="I1660" s="24"/>
      <c r="J1660" s="25" t="s">
        <v>1212</v>
      </c>
      <c r="K1660" s="24"/>
      <c r="L1660" s="25" t="s">
        <v>1227</v>
      </c>
      <c r="M1660" s="25" t="s">
        <v>1226</v>
      </c>
      <c r="N1660" s="25">
        <v>287000</v>
      </c>
      <c r="O1660" s="25">
        <v>0.1</v>
      </c>
      <c r="P1660" s="25">
        <v>0.05</v>
      </c>
      <c r="Q1660" s="25">
        <v>0.04</v>
      </c>
      <c r="R1660" s="25"/>
      <c r="S1660" s="25">
        <v>0.02</v>
      </c>
      <c r="T1660" s="25"/>
      <c r="U1660" s="31">
        <f t="shared" si="26"/>
        <v>0.21000000000000002</v>
      </c>
      <c r="V1660" s="25"/>
      <c r="W1660" s="33" t="s">
        <v>848</v>
      </c>
      <c r="X1660" s="33" t="s">
        <v>1225</v>
      </c>
      <c r="Y1660" s="33" t="s">
        <v>1195</v>
      </c>
      <c r="Z1660" s="33" t="s">
        <v>1224</v>
      </c>
      <c r="AA1660" s="33"/>
    </row>
    <row r="1661" spans="1:27" s="70" customFormat="1" ht="45" x14ac:dyDescent="0.2">
      <c r="A1661" s="24">
        <v>1657</v>
      </c>
      <c r="B1661" s="24" t="s">
        <v>790</v>
      </c>
      <c r="C1661" s="25" t="s">
        <v>789</v>
      </c>
      <c r="D1661" s="26" t="s">
        <v>1175</v>
      </c>
      <c r="E1661" s="25" t="s">
        <v>1174</v>
      </c>
      <c r="F1661" s="25" t="s">
        <v>1173</v>
      </c>
      <c r="G1661" s="24"/>
      <c r="H1661" s="25" t="s">
        <v>1203</v>
      </c>
      <c r="I1661" s="24"/>
      <c r="J1661" s="25" t="s">
        <v>1212</v>
      </c>
      <c r="K1661" s="24"/>
      <c r="L1661" s="25" t="s">
        <v>1223</v>
      </c>
      <c r="M1661" s="25" t="s">
        <v>1220</v>
      </c>
      <c r="N1661" s="25">
        <v>2600</v>
      </c>
      <c r="O1661" s="25">
        <v>0.1</v>
      </c>
      <c r="P1661" s="25"/>
      <c r="Q1661" s="25">
        <v>0.05</v>
      </c>
      <c r="R1661" s="25"/>
      <c r="S1661" s="25">
        <v>0.01</v>
      </c>
      <c r="T1661" s="25"/>
      <c r="U1661" s="31">
        <f t="shared" si="26"/>
        <v>0.16000000000000003</v>
      </c>
      <c r="V1661" s="25"/>
      <c r="W1661" s="33" t="s">
        <v>848</v>
      </c>
      <c r="X1661" s="33" t="s">
        <v>1218</v>
      </c>
      <c r="Y1661" s="33" t="s">
        <v>1195</v>
      </c>
      <c r="Z1661" s="33" t="s">
        <v>1222</v>
      </c>
      <c r="AA1661" s="33"/>
    </row>
    <row r="1662" spans="1:27" s="70" customFormat="1" ht="45" x14ac:dyDescent="0.2">
      <c r="A1662" s="24">
        <v>1658</v>
      </c>
      <c r="B1662" s="24" t="s">
        <v>790</v>
      </c>
      <c r="C1662" s="25" t="s">
        <v>789</v>
      </c>
      <c r="D1662" s="26" t="s">
        <v>1175</v>
      </c>
      <c r="E1662" s="25" t="s">
        <v>1174</v>
      </c>
      <c r="F1662" s="25" t="s">
        <v>1173</v>
      </c>
      <c r="G1662" s="24"/>
      <c r="H1662" s="25" t="s">
        <v>1203</v>
      </c>
      <c r="I1662" s="24"/>
      <c r="J1662" s="25" t="s">
        <v>1212</v>
      </c>
      <c r="K1662" s="24"/>
      <c r="L1662" s="25" t="s">
        <v>1221</v>
      </c>
      <c r="M1662" s="25" t="s">
        <v>1220</v>
      </c>
      <c r="N1662" s="25">
        <v>16600</v>
      </c>
      <c r="O1662" s="25">
        <v>0.1</v>
      </c>
      <c r="P1662" s="25"/>
      <c r="Q1662" s="25">
        <v>0.05</v>
      </c>
      <c r="R1662" s="25"/>
      <c r="S1662" s="25">
        <v>0.01</v>
      </c>
      <c r="T1662" s="25"/>
      <c r="U1662" s="31">
        <f t="shared" si="26"/>
        <v>0.16000000000000003</v>
      </c>
      <c r="V1662" s="25"/>
      <c r="W1662" s="33" t="s">
        <v>848</v>
      </c>
      <c r="X1662" s="33" t="s">
        <v>1218</v>
      </c>
      <c r="Y1662" s="33" t="s">
        <v>1195</v>
      </c>
      <c r="Z1662" s="33" t="s">
        <v>1208</v>
      </c>
      <c r="AA1662" s="33"/>
    </row>
    <row r="1663" spans="1:27" s="70" customFormat="1" ht="45" x14ac:dyDescent="0.2">
      <c r="A1663" s="24">
        <v>1659</v>
      </c>
      <c r="B1663" s="24" t="s">
        <v>790</v>
      </c>
      <c r="C1663" s="25" t="s">
        <v>789</v>
      </c>
      <c r="D1663" s="26" t="s">
        <v>1175</v>
      </c>
      <c r="E1663" s="25" t="s">
        <v>1174</v>
      </c>
      <c r="F1663" s="25" t="s">
        <v>1173</v>
      </c>
      <c r="G1663" s="24"/>
      <c r="H1663" s="25" t="s">
        <v>1203</v>
      </c>
      <c r="I1663" s="24"/>
      <c r="J1663" s="25" t="s">
        <v>1212</v>
      </c>
      <c r="K1663" s="24"/>
      <c r="L1663" s="25" t="s">
        <v>1219</v>
      </c>
      <c r="M1663" s="25" t="s">
        <v>1210</v>
      </c>
      <c r="N1663" s="25">
        <v>15000</v>
      </c>
      <c r="O1663" s="25">
        <v>0.1</v>
      </c>
      <c r="P1663" s="25"/>
      <c r="Q1663" s="25">
        <v>0.05</v>
      </c>
      <c r="R1663" s="25"/>
      <c r="S1663" s="25">
        <v>0.01</v>
      </c>
      <c r="T1663" s="25"/>
      <c r="U1663" s="31">
        <f t="shared" si="26"/>
        <v>0.16000000000000003</v>
      </c>
      <c r="V1663" s="25"/>
      <c r="W1663" s="33" t="s">
        <v>848</v>
      </c>
      <c r="X1663" s="33" t="s">
        <v>1218</v>
      </c>
      <c r="Y1663" s="33" t="s">
        <v>1195</v>
      </c>
      <c r="Z1663" s="33" t="s">
        <v>1217</v>
      </c>
      <c r="AA1663" s="33"/>
    </row>
    <row r="1664" spans="1:27" s="70" customFormat="1" ht="45" x14ac:dyDescent="0.2">
      <c r="A1664" s="24">
        <v>1660</v>
      </c>
      <c r="B1664" s="24" t="s">
        <v>790</v>
      </c>
      <c r="C1664" s="25" t="s">
        <v>789</v>
      </c>
      <c r="D1664" s="26" t="s">
        <v>1175</v>
      </c>
      <c r="E1664" s="25" t="s">
        <v>1174</v>
      </c>
      <c r="F1664" s="25" t="s">
        <v>1173</v>
      </c>
      <c r="G1664" s="24"/>
      <c r="H1664" s="25" t="s">
        <v>1203</v>
      </c>
      <c r="I1664" s="24"/>
      <c r="J1664" s="25" t="s">
        <v>1212</v>
      </c>
      <c r="K1664" s="24"/>
      <c r="L1664" s="25" t="s">
        <v>1216</v>
      </c>
      <c r="M1664" s="25" t="s">
        <v>1210</v>
      </c>
      <c r="N1664" s="25">
        <v>9500</v>
      </c>
      <c r="O1664" s="25">
        <v>0.1</v>
      </c>
      <c r="P1664" s="25"/>
      <c r="Q1664" s="25">
        <v>0.05</v>
      </c>
      <c r="R1664" s="25"/>
      <c r="S1664" s="25">
        <v>0.01</v>
      </c>
      <c r="T1664" s="25"/>
      <c r="U1664" s="31">
        <f t="shared" si="26"/>
        <v>0.16000000000000003</v>
      </c>
      <c r="V1664" s="25"/>
      <c r="W1664" s="33" t="s">
        <v>848</v>
      </c>
      <c r="X1664" s="33" t="s">
        <v>1215</v>
      </c>
      <c r="Y1664" s="33" t="s">
        <v>1195</v>
      </c>
      <c r="Z1664" s="33" t="s">
        <v>158</v>
      </c>
      <c r="AA1664" s="33"/>
    </row>
    <row r="1665" spans="1:27" s="70" customFormat="1" ht="45" x14ac:dyDescent="0.2">
      <c r="A1665" s="24">
        <v>1661</v>
      </c>
      <c r="B1665" s="24" t="s">
        <v>790</v>
      </c>
      <c r="C1665" s="25" t="s">
        <v>789</v>
      </c>
      <c r="D1665" s="26" t="s">
        <v>1175</v>
      </c>
      <c r="E1665" s="25" t="s">
        <v>1174</v>
      </c>
      <c r="F1665" s="25" t="s">
        <v>1173</v>
      </c>
      <c r="G1665" s="24"/>
      <c r="H1665" s="25" t="s">
        <v>1203</v>
      </c>
      <c r="I1665" s="24"/>
      <c r="J1665" s="25" t="s">
        <v>1212</v>
      </c>
      <c r="K1665" s="24"/>
      <c r="L1665" s="25" t="s">
        <v>1214</v>
      </c>
      <c r="M1665" s="25" t="s">
        <v>1210</v>
      </c>
      <c r="N1665" s="25">
        <v>14000</v>
      </c>
      <c r="O1665" s="25">
        <v>0.1</v>
      </c>
      <c r="P1665" s="25"/>
      <c r="Q1665" s="25">
        <v>0.05</v>
      </c>
      <c r="R1665" s="25"/>
      <c r="S1665" s="25">
        <v>0.01</v>
      </c>
      <c r="T1665" s="25"/>
      <c r="U1665" s="31">
        <f t="shared" si="26"/>
        <v>0.16000000000000003</v>
      </c>
      <c r="V1665" s="25"/>
      <c r="W1665" s="33" t="s">
        <v>848</v>
      </c>
      <c r="X1665" s="33"/>
      <c r="Y1665" s="33" t="s">
        <v>1195</v>
      </c>
      <c r="Z1665" s="33" t="s">
        <v>1213</v>
      </c>
      <c r="AA1665" s="33"/>
    </row>
    <row r="1666" spans="1:27" s="70" customFormat="1" ht="45" x14ac:dyDescent="0.2">
      <c r="A1666" s="24">
        <v>1662</v>
      </c>
      <c r="B1666" s="24" t="s">
        <v>790</v>
      </c>
      <c r="C1666" s="25" t="s">
        <v>789</v>
      </c>
      <c r="D1666" s="26" t="s">
        <v>1175</v>
      </c>
      <c r="E1666" s="25" t="s">
        <v>1174</v>
      </c>
      <c r="F1666" s="25" t="s">
        <v>1173</v>
      </c>
      <c r="G1666" s="24"/>
      <c r="H1666" s="25" t="s">
        <v>1203</v>
      </c>
      <c r="I1666" s="24"/>
      <c r="J1666" s="25" t="s">
        <v>1212</v>
      </c>
      <c r="K1666" s="24"/>
      <c r="L1666" s="25" t="s">
        <v>1211</v>
      </c>
      <c r="M1666" s="25" t="s">
        <v>1210</v>
      </c>
      <c r="N1666" s="25">
        <v>5000</v>
      </c>
      <c r="O1666" s="25">
        <v>0.15</v>
      </c>
      <c r="P1666" s="25"/>
      <c r="Q1666" s="25">
        <v>0.05</v>
      </c>
      <c r="R1666" s="25"/>
      <c r="S1666" s="25">
        <v>0.01</v>
      </c>
      <c r="T1666" s="25"/>
      <c r="U1666" s="31">
        <f t="shared" si="26"/>
        <v>0.21000000000000002</v>
      </c>
      <c r="V1666" s="25"/>
      <c r="W1666" s="33" t="s">
        <v>848</v>
      </c>
      <c r="X1666" s="33" t="s">
        <v>1209</v>
      </c>
      <c r="Y1666" s="33" t="s">
        <v>1195</v>
      </c>
      <c r="Z1666" s="33" t="s">
        <v>1208</v>
      </c>
      <c r="AA1666" s="33"/>
    </row>
    <row r="1667" spans="1:27" s="70" customFormat="1" ht="45" x14ac:dyDescent="0.2">
      <c r="A1667" s="24">
        <v>1663</v>
      </c>
      <c r="B1667" s="24" t="s">
        <v>790</v>
      </c>
      <c r="C1667" s="25" t="s">
        <v>789</v>
      </c>
      <c r="D1667" s="26" t="s">
        <v>1175</v>
      </c>
      <c r="E1667" s="25" t="s">
        <v>1174</v>
      </c>
      <c r="F1667" s="25" t="s">
        <v>1173</v>
      </c>
      <c r="G1667" s="24"/>
      <c r="H1667" s="25" t="s">
        <v>1203</v>
      </c>
      <c r="I1667" s="24"/>
      <c r="J1667" s="25" t="s">
        <v>1207</v>
      </c>
      <c r="K1667" s="24"/>
      <c r="L1667" s="25"/>
      <c r="M1667" s="25"/>
      <c r="N1667" s="25"/>
      <c r="O1667" s="25"/>
      <c r="P1667" s="25"/>
      <c r="Q1667" s="25"/>
      <c r="R1667" s="25"/>
      <c r="S1667" s="25"/>
      <c r="T1667" s="25"/>
      <c r="U1667" s="31">
        <f t="shared" si="26"/>
        <v>0</v>
      </c>
      <c r="V1667" s="25"/>
      <c r="W1667" s="33"/>
      <c r="X1667" s="33"/>
      <c r="Y1667" s="33"/>
      <c r="Z1667" s="33"/>
      <c r="AA1667" s="33"/>
    </row>
    <row r="1668" spans="1:27" s="70" customFormat="1" ht="101.25" x14ac:dyDescent="0.2">
      <c r="A1668" s="24">
        <v>1664</v>
      </c>
      <c r="B1668" s="24" t="s">
        <v>790</v>
      </c>
      <c r="C1668" s="25" t="s">
        <v>789</v>
      </c>
      <c r="D1668" s="26" t="s">
        <v>1175</v>
      </c>
      <c r="E1668" s="25" t="s">
        <v>1174</v>
      </c>
      <c r="F1668" s="25" t="s">
        <v>1173</v>
      </c>
      <c r="G1668" s="24"/>
      <c r="H1668" s="25" t="s">
        <v>1203</v>
      </c>
      <c r="I1668" s="24"/>
      <c r="J1668" s="25" t="s">
        <v>1206</v>
      </c>
      <c r="K1668" s="24"/>
      <c r="L1668" s="25"/>
      <c r="M1668" s="25"/>
      <c r="N1668" s="25"/>
      <c r="O1668" s="25"/>
      <c r="P1668" s="25"/>
      <c r="Q1668" s="25"/>
      <c r="R1668" s="25"/>
      <c r="S1668" s="25"/>
      <c r="T1668" s="25"/>
      <c r="U1668" s="31">
        <f t="shared" si="26"/>
        <v>0</v>
      </c>
      <c r="V1668" s="25"/>
      <c r="W1668" s="33"/>
      <c r="X1668" s="33"/>
      <c r="Y1668" s="33"/>
      <c r="Z1668" s="33"/>
      <c r="AA1668" s="33"/>
    </row>
    <row r="1669" spans="1:27" s="70" customFormat="1" ht="45" x14ac:dyDescent="0.2">
      <c r="A1669" s="24">
        <v>1665</v>
      </c>
      <c r="B1669" s="24" t="s">
        <v>790</v>
      </c>
      <c r="C1669" s="25" t="s">
        <v>789</v>
      </c>
      <c r="D1669" s="26" t="s">
        <v>1175</v>
      </c>
      <c r="E1669" s="25" t="s">
        <v>1174</v>
      </c>
      <c r="F1669" s="25" t="s">
        <v>1173</v>
      </c>
      <c r="G1669" s="24"/>
      <c r="H1669" s="25" t="s">
        <v>1203</v>
      </c>
      <c r="I1669" s="24"/>
      <c r="J1669" s="25" t="s">
        <v>1205</v>
      </c>
      <c r="K1669" s="24"/>
      <c r="L1669" s="25"/>
      <c r="M1669" s="25"/>
      <c r="N1669" s="25"/>
      <c r="O1669" s="25"/>
      <c r="P1669" s="25"/>
      <c r="Q1669" s="25"/>
      <c r="R1669" s="25"/>
      <c r="S1669" s="25"/>
      <c r="T1669" s="25"/>
      <c r="U1669" s="31">
        <f t="shared" si="26"/>
        <v>0</v>
      </c>
      <c r="V1669" s="25"/>
      <c r="W1669" s="33"/>
      <c r="X1669" s="33"/>
      <c r="Y1669" s="33"/>
      <c r="Z1669" s="33"/>
      <c r="AA1669" s="33"/>
    </row>
    <row r="1670" spans="1:27" s="70" customFormat="1" ht="45" x14ac:dyDescent="0.2">
      <c r="A1670" s="24">
        <v>1666</v>
      </c>
      <c r="B1670" s="24" t="s">
        <v>790</v>
      </c>
      <c r="C1670" s="25" t="s">
        <v>789</v>
      </c>
      <c r="D1670" s="26" t="s">
        <v>1175</v>
      </c>
      <c r="E1670" s="25" t="s">
        <v>1174</v>
      </c>
      <c r="F1670" s="25" t="s">
        <v>1173</v>
      </c>
      <c r="G1670" s="24"/>
      <c r="H1670" s="25" t="s">
        <v>1203</v>
      </c>
      <c r="I1670" s="24"/>
      <c r="J1670" s="25" t="s">
        <v>1204</v>
      </c>
      <c r="K1670" s="24"/>
      <c r="L1670" s="25"/>
      <c r="M1670" s="25"/>
      <c r="N1670" s="25"/>
      <c r="O1670" s="25"/>
      <c r="P1670" s="25"/>
      <c r="Q1670" s="25"/>
      <c r="R1670" s="25"/>
      <c r="S1670" s="25"/>
      <c r="T1670" s="25"/>
      <c r="U1670" s="31">
        <f t="shared" ref="U1670:U1733" si="27">SUM(O1670:T1670)</f>
        <v>0</v>
      </c>
      <c r="V1670" s="25"/>
      <c r="W1670" s="33"/>
      <c r="X1670" s="33"/>
      <c r="Y1670" s="33"/>
      <c r="Z1670" s="33"/>
      <c r="AA1670" s="33"/>
    </row>
    <row r="1671" spans="1:27" s="70" customFormat="1" ht="45" x14ac:dyDescent="0.2">
      <c r="A1671" s="24">
        <v>1667</v>
      </c>
      <c r="B1671" s="24" t="s">
        <v>790</v>
      </c>
      <c r="C1671" s="25" t="s">
        <v>789</v>
      </c>
      <c r="D1671" s="26" t="s">
        <v>1175</v>
      </c>
      <c r="E1671" s="25" t="s">
        <v>1174</v>
      </c>
      <c r="F1671" s="25" t="s">
        <v>1173</v>
      </c>
      <c r="G1671" s="24"/>
      <c r="H1671" s="25" t="s">
        <v>1203</v>
      </c>
      <c r="I1671" s="24"/>
      <c r="J1671" s="25" t="s">
        <v>1202</v>
      </c>
      <c r="K1671" s="24"/>
      <c r="L1671" s="25"/>
      <c r="M1671" s="25"/>
      <c r="N1671" s="25"/>
      <c r="O1671" s="25"/>
      <c r="P1671" s="25"/>
      <c r="Q1671" s="25"/>
      <c r="R1671" s="25"/>
      <c r="S1671" s="25"/>
      <c r="T1671" s="25"/>
      <c r="U1671" s="31">
        <f t="shared" si="27"/>
        <v>0</v>
      </c>
      <c r="V1671" s="25"/>
      <c r="W1671" s="33"/>
      <c r="X1671" s="33"/>
      <c r="Y1671" s="33"/>
      <c r="Z1671" s="33"/>
      <c r="AA1671" s="33"/>
    </row>
    <row r="1672" spans="1:27" s="70" customFormat="1" ht="45" x14ac:dyDescent="0.2">
      <c r="A1672" s="24">
        <v>1668</v>
      </c>
      <c r="B1672" s="24" t="s">
        <v>790</v>
      </c>
      <c r="C1672" s="25" t="s">
        <v>789</v>
      </c>
      <c r="D1672" s="26" t="s">
        <v>1175</v>
      </c>
      <c r="E1672" s="25" t="s">
        <v>1174</v>
      </c>
      <c r="F1672" s="25" t="s">
        <v>1173</v>
      </c>
      <c r="G1672" s="24"/>
      <c r="H1672" s="25" t="s">
        <v>1192</v>
      </c>
      <c r="I1672" s="24"/>
      <c r="J1672" s="25" t="s">
        <v>1201</v>
      </c>
      <c r="K1672" s="24"/>
      <c r="L1672" s="25"/>
      <c r="M1672" s="25"/>
      <c r="N1672" s="25"/>
      <c r="O1672" s="25"/>
      <c r="P1672" s="25"/>
      <c r="Q1672" s="25"/>
      <c r="R1672" s="25"/>
      <c r="S1672" s="25"/>
      <c r="T1672" s="25"/>
      <c r="U1672" s="31">
        <f t="shared" si="27"/>
        <v>0</v>
      </c>
      <c r="V1672" s="25"/>
      <c r="W1672" s="33"/>
      <c r="X1672" s="33"/>
      <c r="Y1672" s="33"/>
      <c r="Z1672" s="33"/>
      <c r="AA1672" s="33"/>
    </row>
    <row r="1673" spans="1:27" s="70" customFormat="1" ht="67.5" x14ac:dyDescent="0.2">
      <c r="A1673" s="24">
        <v>1669</v>
      </c>
      <c r="B1673" s="24" t="s">
        <v>790</v>
      </c>
      <c r="C1673" s="25" t="s">
        <v>789</v>
      </c>
      <c r="D1673" s="26" t="s">
        <v>1175</v>
      </c>
      <c r="E1673" s="25" t="s">
        <v>1174</v>
      </c>
      <c r="F1673" s="25" t="s">
        <v>1173</v>
      </c>
      <c r="G1673" s="24"/>
      <c r="H1673" s="25" t="s">
        <v>1192</v>
      </c>
      <c r="I1673" s="24"/>
      <c r="J1673" s="25" t="s">
        <v>1200</v>
      </c>
      <c r="K1673" s="24"/>
      <c r="L1673" s="25" t="s">
        <v>1199</v>
      </c>
      <c r="M1673" s="25" t="s">
        <v>1198</v>
      </c>
      <c r="N1673" s="25">
        <v>18</v>
      </c>
      <c r="O1673" s="25"/>
      <c r="P1673" s="25">
        <v>4</v>
      </c>
      <c r="Q1673" s="25"/>
      <c r="R1673" s="25"/>
      <c r="S1673" s="25">
        <v>1</v>
      </c>
      <c r="T1673" s="25"/>
      <c r="U1673" s="31">
        <f t="shared" si="27"/>
        <v>5</v>
      </c>
      <c r="V1673" s="25"/>
      <c r="W1673" s="33" t="s">
        <v>848</v>
      </c>
      <c r="X1673" s="33"/>
      <c r="Y1673" s="33" t="s">
        <v>1195</v>
      </c>
      <c r="Z1673" s="33"/>
      <c r="AA1673" s="33"/>
    </row>
    <row r="1674" spans="1:27" s="70" customFormat="1" ht="45" x14ac:dyDescent="0.2">
      <c r="A1674" s="24">
        <v>1670</v>
      </c>
      <c r="B1674" s="24" t="s">
        <v>790</v>
      </c>
      <c r="C1674" s="25" t="s">
        <v>789</v>
      </c>
      <c r="D1674" s="26" t="s">
        <v>1175</v>
      </c>
      <c r="E1674" s="25" t="s">
        <v>1174</v>
      </c>
      <c r="F1674" s="25" t="s">
        <v>1173</v>
      </c>
      <c r="G1674" s="24"/>
      <c r="H1674" s="25" t="s">
        <v>1192</v>
      </c>
      <c r="I1674" s="24"/>
      <c r="J1674" s="25" t="s">
        <v>1197</v>
      </c>
      <c r="K1674" s="24"/>
      <c r="L1674" s="25" t="s">
        <v>1196</v>
      </c>
      <c r="M1674" s="25" t="s">
        <v>424</v>
      </c>
      <c r="N1674" s="25">
        <v>1</v>
      </c>
      <c r="O1674" s="25">
        <v>672</v>
      </c>
      <c r="P1674" s="25"/>
      <c r="Q1674" s="25">
        <v>96</v>
      </c>
      <c r="R1674" s="25"/>
      <c r="S1674" s="25">
        <v>24</v>
      </c>
      <c r="T1674" s="25"/>
      <c r="U1674" s="31">
        <f t="shared" si="27"/>
        <v>792</v>
      </c>
      <c r="V1674" s="25"/>
      <c r="W1674" s="33" t="s">
        <v>22</v>
      </c>
      <c r="X1674" s="33"/>
      <c r="Y1674" s="33" t="s">
        <v>1195</v>
      </c>
      <c r="Z1674" s="33"/>
      <c r="AA1674" s="33"/>
    </row>
    <row r="1675" spans="1:27" s="70" customFormat="1" ht="45" x14ac:dyDescent="0.2">
      <c r="A1675" s="24">
        <v>1671</v>
      </c>
      <c r="B1675" s="24" t="s">
        <v>790</v>
      </c>
      <c r="C1675" s="25" t="s">
        <v>789</v>
      </c>
      <c r="D1675" s="26" t="s">
        <v>1175</v>
      </c>
      <c r="E1675" s="25" t="s">
        <v>1174</v>
      </c>
      <c r="F1675" s="25" t="s">
        <v>1173</v>
      </c>
      <c r="G1675" s="24"/>
      <c r="H1675" s="25" t="s">
        <v>1192</v>
      </c>
      <c r="I1675" s="24"/>
      <c r="J1675" s="25" t="s">
        <v>1194</v>
      </c>
      <c r="K1675" s="24"/>
      <c r="L1675" s="25"/>
      <c r="M1675" s="25"/>
      <c r="N1675" s="25"/>
      <c r="O1675" s="25"/>
      <c r="P1675" s="25"/>
      <c r="Q1675" s="25"/>
      <c r="R1675" s="25"/>
      <c r="S1675" s="25"/>
      <c r="T1675" s="25"/>
      <c r="U1675" s="31">
        <f t="shared" si="27"/>
        <v>0</v>
      </c>
      <c r="V1675" s="25"/>
      <c r="W1675" s="33"/>
      <c r="X1675" s="33"/>
      <c r="Y1675" s="33"/>
      <c r="Z1675" s="33"/>
      <c r="AA1675" s="33"/>
    </row>
    <row r="1676" spans="1:27" s="70" customFormat="1" ht="45" x14ac:dyDescent="0.2">
      <c r="A1676" s="24">
        <v>1672</v>
      </c>
      <c r="B1676" s="24" t="s">
        <v>790</v>
      </c>
      <c r="C1676" s="25" t="s">
        <v>789</v>
      </c>
      <c r="D1676" s="26" t="s">
        <v>1175</v>
      </c>
      <c r="E1676" s="25" t="s">
        <v>1174</v>
      </c>
      <c r="F1676" s="25" t="s">
        <v>1173</v>
      </c>
      <c r="G1676" s="24"/>
      <c r="H1676" s="25" t="s">
        <v>1192</v>
      </c>
      <c r="I1676" s="24"/>
      <c r="J1676" s="25" t="s">
        <v>1193</v>
      </c>
      <c r="K1676" s="24"/>
      <c r="L1676" s="25"/>
      <c r="M1676" s="25"/>
      <c r="N1676" s="25"/>
      <c r="O1676" s="25"/>
      <c r="P1676" s="25"/>
      <c r="Q1676" s="25"/>
      <c r="R1676" s="25"/>
      <c r="S1676" s="25"/>
      <c r="T1676" s="25"/>
      <c r="U1676" s="31">
        <f t="shared" si="27"/>
        <v>0</v>
      </c>
      <c r="V1676" s="25"/>
      <c r="W1676" s="33"/>
      <c r="X1676" s="33"/>
      <c r="Y1676" s="33"/>
      <c r="Z1676" s="33"/>
      <c r="AA1676" s="33"/>
    </row>
    <row r="1677" spans="1:27" s="70" customFormat="1" ht="45" x14ac:dyDescent="0.2">
      <c r="A1677" s="24">
        <v>1673</v>
      </c>
      <c r="B1677" s="24" t="s">
        <v>790</v>
      </c>
      <c r="C1677" s="25" t="s">
        <v>789</v>
      </c>
      <c r="D1677" s="26" t="s">
        <v>1175</v>
      </c>
      <c r="E1677" s="25" t="s">
        <v>1174</v>
      </c>
      <c r="F1677" s="25" t="s">
        <v>1173</v>
      </c>
      <c r="G1677" s="24"/>
      <c r="H1677" s="25" t="s">
        <v>1192</v>
      </c>
      <c r="I1677" s="24"/>
      <c r="J1677" s="25" t="s">
        <v>1191</v>
      </c>
      <c r="K1677" s="24"/>
      <c r="L1677" s="25"/>
      <c r="M1677" s="25"/>
      <c r="N1677" s="25"/>
      <c r="O1677" s="25"/>
      <c r="P1677" s="25"/>
      <c r="Q1677" s="25"/>
      <c r="R1677" s="25"/>
      <c r="S1677" s="25"/>
      <c r="T1677" s="25"/>
      <c r="U1677" s="31">
        <f t="shared" si="27"/>
        <v>0</v>
      </c>
      <c r="V1677" s="25"/>
      <c r="W1677" s="33"/>
      <c r="X1677" s="33"/>
      <c r="Y1677" s="33"/>
      <c r="Z1677" s="33"/>
      <c r="AA1677" s="33"/>
    </row>
    <row r="1678" spans="1:27" s="70" customFormat="1" ht="45" x14ac:dyDescent="0.2">
      <c r="A1678" s="24">
        <v>1674</v>
      </c>
      <c r="B1678" s="24" t="s">
        <v>790</v>
      </c>
      <c r="C1678" s="25" t="s">
        <v>789</v>
      </c>
      <c r="D1678" s="26" t="s">
        <v>1175</v>
      </c>
      <c r="E1678" s="25" t="s">
        <v>1174</v>
      </c>
      <c r="F1678" s="25" t="s">
        <v>1173</v>
      </c>
      <c r="G1678" s="24"/>
      <c r="H1678" s="25" t="s">
        <v>1172</v>
      </c>
      <c r="I1678" s="24"/>
      <c r="J1678" s="25" t="s">
        <v>1172</v>
      </c>
      <c r="K1678" s="24"/>
      <c r="L1678" s="25" t="s">
        <v>1190</v>
      </c>
      <c r="M1678" s="25" t="s">
        <v>1189</v>
      </c>
      <c r="N1678" s="25">
        <v>24</v>
      </c>
      <c r="O1678" s="25"/>
      <c r="P1678" s="25"/>
      <c r="Q1678" s="25">
        <v>0.5</v>
      </c>
      <c r="R1678" s="25"/>
      <c r="S1678" s="25">
        <v>0.25</v>
      </c>
      <c r="T1678" s="25"/>
      <c r="U1678" s="31">
        <f t="shared" si="27"/>
        <v>0.75</v>
      </c>
      <c r="V1678" s="25"/>
      <c r="W1678" s="33" t="s">
        <v>375</v>
      </c>
      <c r="X1678" s="33"/>
      <c r="Y1678" s="33"/>
      <c r="Z1678" s="33"/>
      <c r="AA1678" s="33"/>
    </row>
    <row r="1679" spans="1:27" s="70" customFormat="1" ht="45" x14ac:dyDescent="0.2">
      <c r="A1679" s="24">
        <v>1675</v>
      </c>
      <c r="B1679" s="24" t="s">
        <v>790</v>
      </c>
      <c r="C1679" s="25" t="s">
        <v>789</v>
      </c>
      <c r="D1679" s="26" t="s">
        <v>1175</v>
      </c>
      <c r="E1679" s="25" t="s">
        <v>1174</v>
      </c>
      <c r="F1679" s="25" t="s">
        <v>1173</v>
      </c>
      <c r="G1679" s="24"/>
      <c r="H1679" s="25" t="s">
        <v>1172</v>
      </c>
      <c r="I1679" s="24"/>
      <c r="J1679" s="25" t="s">
        <v>1172</v>
      </c>
      <c r="K1679" s="24"/>
      <c r="L1679" s="25" t="s">
        <v>1188</v>
      </c>
      <c r="M1679" s="25" t="s">
        <v>1187</v>
      </c>
      <c r="N1679" s="25">
        <v>30</v>
      </c>
      <c r="O1679" s="25"/>
      <c r="P1679" s="25">
        <v>12</v>
      </c>
      <c r="Q1679" s="25">
        <v>8</v>
      </c>
      <c r="R1679" s="25"/>
      <c r="S1679" s="25"/>
      <c r="T1679" s="25"/>
      <c r="U1679" s="31">
        <f t="shared" si="27"/>
        <v>20</v>
      </c>
      <c r="V1679" s="25"/>
      <c r="W1679" s="33" t="s">
        <v>344</v>
      </c>
      <c r="X1679" s="33" t="s">
        <v>1181</v>
      </c>
      <c r="Y1679" s="33"/>
      <c r="Z1679" s="33"/>
      <c r="AA1679" s="33"/>
    </row>
    <row r="1680" spans="1:27" s="70" customFormat="1" ht="45" x14ac:dyDescent="0.2">
      <c r="A1680" s="24">
        <v>1676</v>
      </c>
      <c r="B1680" s="24" t="s">
        <v>790</v>
      </c>
      <c r="C1680" s="25" t="s">
        <v>789</v>
      </c>
      <c r="D1680" s="26" t="s">
        <v>1175</v>
      </c>
      <c r="E1680" s="25" t="s">
        <v>1174</v>
      </c>
      <c r="F1680" s="25" t="s">
        <v>1173</v>
      </c>
      <c r="G1680" s="24"/>
      <c r="H1680" s="25" t="s">
        <v>1172</v>
      </c>
      <c r="I1680" s="24"/>
      <c r="J1680" s="25" t="s">
        <v>1172</v>
      </c>
      <c r="K1680" s="24"/>
      <c r="L1680" s="25" t="s">
        <v>1186</v>
      </c>
      <c r="M1680" s="25" t="s">
        <v>978</v>
      </c>
      <c r="N1680" s="25">
        <v>36</v>
      </c>
      <c r="O1680" s="25"/>
      <c r="P1680" s="25">
        <v>0.5</v>
      </c>
      <c r="Q1680" s="25"/>
      <c r="R1680" s="25"/>
      <c r="S1680" s="25">
        <v>0.3</v>
      </c>
      <c r="T1680" s="25"/>
      <c r="U1680" s="31">
        <f t="shared" si="27"/>
        <v>0.8</v>
      </c>
      <c r="V1680" s="25"/>
      <c r="W1680" s="33" t="s">
        <v>22</v>
      </c>
      <c r="X1680" s="33" t="s">
        <v>1185</v>
      </c>
      <c r="Y1680" s="33" t="s">
        <v>41</v>
      </c>
      <c r="Z1680" s="33" t="s">
        <v>1184</v>
      </c>
      <c r="AA1680" s="33"/>
    </row>
    <row r="1681" spans="1:27" s="70" customFormat="1" ht="45" x14ac:dyDescent="0.2">
      <c r="A1681" s="24">
        <v>1677</v>
      </c>
      <c r="B1681" s="24" t="s">
        <v>790</v>
      </c>
      <c r="C1681" s="25" t="s">
        <v>789</v>
      </c>
      <c r="D1681" s="26" t="s">
        <v>1175</v>
      </c>
      <c r="E1681" s="25" t="s">
        <v>1174</v>
      </c>
      <c r="F1681" s="25" t="s">
        <v>1173</v>
      </c>
      <c r="G1681" s="24"/>
      <c r="H1681" s="25" t="s">
        <v>1172</v>
      </c>
      <c r="I1681" s="24"/>
      <c r="J1681" s="25" t="s">
        <v>1172</v>
      </c>
      <c r="K1681" s="24"/>
      <c r="L1681" s="25" t="s">
        <v>1183</v>
      </c>
      <c r="M1681" s="25" t="s">
        <v>1182</v>
      </c>
      <c r="N1681" s="25">
        <v>24</v>
      </c>
      <c r="O1681" s="25"/>
      <c r="P1681" s="25">
        <v>0.5</v>
      </c>
      <c r="Q1681" s="25"/>
      <c r="R1681" s="25"/>
      <c r="S1681" s="25">
        <v>0.3</v>
      </c>
      <c r="T1681" s="25"/>
      <c r="U1681" s="31">
        <f t="shared" si="27"/>
        <v>0.8</v>
      </c>
      <c r="V1681" s="25"/>
      <c r="W1681" s="33" t="s">
        <v>22</v>
      </c>
      <c r="X1681" s="33" t="s">
        <v>1181</v>
      </c>
      <c r="Y1681" s="33" t="s">
        <v>41</v>
      </c>
      <c r="Z1681" s="33" t="s">
        <v>1180</v>
      </c>
      <c r="AA1681" s="33"/>
    </row>
    <row r="1682" spans="1:27" s="70" customFormat="1" ht="45" x14ac:dyDescent="0.2">
      <c r="A1682" s="24">
        <v>1678</v>
      </c>
      <c r="B1682" s="24" t="s">
        <v>790</v>
      </c>
      <c r="C1682" s="25" t="s">
        <v>789</v>
      </c>
      <c r="D1682" s="26" t="s">
        <v>1175</v>
      </c>
      <c r="E1682" s="25" t="s">
        <v>1174</v>
      </c>
      <c r="F1682" s="25" t="s">
        <v>1173</v>
      </c>
      <c r="G1682" s="24"/>
      <c r="H1682" s="25" t="s">
        <v>1172</v>
      </c>
      <c r="I1682" s="24"/>
      <c r="J1682" s="25" t="s">
        <v>1172</v>
      </c>
      <c r="K1682" s="24"/>
      <c r="L1682" s="25" t="s">
        <v>1179</v>
      </c>
      <c r="M1682" s="25" t="s">
        <v>1178</v>
      </c>
      <c r="N1682" s="25">
        <v>24</v>
      </c>
      <c r="O1682" s="25"/>
      <c r="P1682" s="25"/>
      <c r="Q1682" s="25">
        <v>2</v>
      </c>
      <c r="R1682" s="25"/>
      <c r="S1682" s="25">
        <v>1</v>
      </c>
      <c r="T1682" s="25"/>
      <c r="U1682" s="31">
        <f t="shared" si="27"/>
        <v>3</v>
      </c>
      <c r="V1682" s="25"/>
      <c r="W1682" s="33" t="s">
        <v>1177</v>
      </c>
      <c r="X1682" s="33"/>
      <c r="Y1682" s="33" t="s">
        <v>41</v>
      </c>
      <c r="Z1682" s="33" t="s">
        <v>1176</v>
      </c>
      <c r="AA1682" s="33"/>
    </row>
    <row r="1683" spans="1:27" s="70" customFormat="1" ht="45" x14ac:dyDescent="0.2">
      <c r="A1683" s="24">
        <v>1679</v>
      </c>
      <c r="B1683" s="24" t="s">
        <v>790</v>
      </c>
      <c r="C1683" s="25" t="s">
        <v>789</v>
      </c>
      <c r="D1683" s="26" t="s">
        <v>1175</v>
      </c>
      <c r="E1683" s="25" t="s">
        <v>1174</v>
      </c>
      <c r="F1683" s="25" t="s">
        <v>1173</v>
      </c>
      <c r="G1683" s="24"/>
      <c r="H1683" s="25" t="s">
        <v>1172</v>
      </c>
      <c r="I1683" s="24"/>
      <c r="J1683" s="25" t="s">
        <v>1172</v>
      </c>
      <c r="K1683" s="24"/>
      <c r="L1683" s="25" t="s">
        <v>1171</v>
      </c>
      <c r="M1683" s="25" t="s">
        <v>1170</v>
      </c>
      <c r="N1683" s="25">
        <v>60</v>
      </c>
      <c r="O1683" s="25"/>
      <c r="P1683" s="25"/>
      <c r="Q1683" s="25">
        <v>0.5</v>
      </c>
      <c r="R1683" s="25"/>
      <c r="S1683" s="25">
        <v>1.5</v>
      </c>
      <c r="T1683" s="25"/>
      <c r="U1683" s="31">
        <f t="shared" si="27"/>
        <v>2</v>
      </c>
      <c r="V1683" s="25"/>
      <c r="W1683" s="33" t="s">
        <v>1169</v>
      </c>
      <c r="X1683" s="33"/>
      <c r="Y1683" s="33" t="s">
        <v>41</v>
      </c>
      <c r="Z1683" s="33" t="s">
        <v>1168</v>
      </c>
      <c r="AA1683" s="33"/>
    </row>
    <row r="1684" spans="1:27" s="70" customFormat="1" ht="45" x14ac:dyDescent="0.2">
      <c r="A1684" s="24">
        <v>1680</v>
      </c>
      <c r="B1684" s="24" t="s">
        <v>790</v>
      </c>
      <c r="C1684" s="25" t="s">
        <v>789</v>
      </c>
      <c r="D1684" s="26" t="s">
        <v>1099</v>
      </c>
      <c r="E1684" s="25" t="s">
        <v>1098</v>
      </c>
      <c r="F1684" s="25" t="s">
        <v>1097</v>
      </c>
      <c r="G1684" s="24"/>
      <c r="H1684" s="25" t="s">
        <v>1147</v>
      </c>
      <c r="I1684" s="27"/>
      <c r="J1684" s="28" t="s">
        <v>1165</v>
      </c>
      <c r="K1684" s="27"/>
      <c r="L1684" s="25" t="s">
        <v>1167</v>
      </c>
      <c r="M1684" s="25" t="s">
        <v>1152</v>
      </c>
      <c r="N1684" s="25">
        <v>1</v>
      </c>
      <c r="O1684" s="25"/>
      <c r="P1684" s="25">
        <v>4</v>
      </c>
      <c r="Q1684" s="25">
        <v>80</v>
      </c>
      <c r="R1684" s="25"/>
      <c r="S1684" s="25">
        <v>50</v>
      </c>
      <c r="T1684" s="25">
        <v>50</v>
      </c>
      <c r="U1684" s="31">
        <f t="shared" si="27"/>
        <v>184</v>
      </c>
      <c r="V1684" s="25"/>
      <c r="W1684" s="33" t="s">
        <v>1166</v>
      </c>
      <c r="X1684" s="33"/>
      <c r="Y1684" s="33"/>
      <c r="Z1684" s="33" t="s">
        <v>189</v>
      </c>
      <c r="AA1684" s="33"/>
    </row>
    <row r="1685" spans="1:27" s="70" customFormat="1" ht="45" x14ac:dyDescent="0.2">
      <c r="A1685" s="24">
        <v>1681</v>
      </c>
      <c r="B1685" s="24" t="s">
        <v>790</v>
      </c>
      <c r="C1685" s="25" t="s">
        <v>789</v>
      </c>
      <c r="D1685" s="26" t="s">
        <v>1099</v>
      </c>
      <c r="E1685" s="25" t="s">
        <v>1098</v>
      </c>
      <c r="F1685" s="25" t="s">
        <v>1097</v>
      </c>
      <c r="G1685" s="24"/>
      <c r="H1685" s="25" t="s">
        <v>1147</v>
      </c>
      <c r="I1685" s="27"/>
      <c r="J1685" s="28" t="s">
        <v>1165</v>
      </c>
      <c r="K1685" s="27"/>
      <c r="L1685" s="25" t="s">
        <v>1164</v>
      </c>
      <c r="M1685" s="25" t="s">
        <v>1152</v>
      </c>
      <c r="N1685" s="25">
        <v>1</v>
      </c>
      <c r="O1685" s="25"/>
      <c r="P1685" s="25"/>
      <c r="Q1685" s="25">
        <v>80</v>
      </c>
      <c r="R1685" s="25"/>
      <c r="S1685" s="25"/>
      <c r="T1685" s="25">
        <v>80</v>
      </c>
      <c r="U1685" s="31">
        <f t="shared" si="27"/>
        <v>160</v>
      </c>
      <c r="V1685" s="25"/>
      <c r="W1685" s="33" t="s">
        <v>1163</v>
      </c>
      <c r="X1685" s="33"/>
      <c r="Y1685" s="33"/>
      <c r="Z1685" s="33" t="s">
        <v>1152</v>
      </c>
      <c r="AA1685" s="33"/>
    </row>
    <row r="1686" spans="1:27" s="70" customFormat="1" ht="90" x14ac:dyDescent="0.2">
      <c r="A1686" s="24">
        <v>1682</v>
      </c>
      <c r="B1686" s="24" t="s">
        <v>790</v>
      </c>
      <c r="C1686" s="25" t="s">
        <v>789</v>
      </c>
      <c r="D1686" s="26" t="s">
        <v>1099</v>
      </c>
      <c r="E1686" s="25" t="s">
        <v>1098</v>
      </c>
      <c r="F1686" s="25" t="s">
        <v>1097</v>
      </c>
      <c r="G1686" s="24"/>
      <c r="H1686" s="25" t="s">
        <v>1147</v>
      </c>
      <c r="I1686" s="27"/>
      <c r="J1686" s="28" t="s">
        <v>1155</v>
      </c>
      <c r="K1686" s="27"/>
      <c r="L1686" s="25" t="s">
        <v>1162</v>
      </c>
      <c r="M1686" s="25" t="s">
        <v>209</v>
      </c>
      <c r="N1686" s="25">
        <v>10</v>
      </c>
      <c r="O1686" s="25"/>
      <c r="P1686" s="25">
        <v>4</v>
      </c>
      <c r="Q1686" s="25">
        <v>40</v>
      </c>
      <c r="R1686" s="25"/>
      <c r="S1686" s="25">
        <v>4</v>
      </c>
      <c r="T1686" s="25">
        <v>4</v>
      </c>
      <c r="U1686" s="31">
        <f t="shared" si="27"/>
        <v>52</v>
      </c>
      <c r="V1686" s="25"/>
      <c r="W1686" s="33" t="s">
        <v>344</v>
      </c>
      <c r="X1686" s="33"/>
      <c r="Y1686" s="33"/>
      <c r="Z1686" s="33" t="s">
        <v>1161</v>
      </c>
      <c r="AA1686" s="33"/>
    </row>
    <row r="1687" spans="1:27" s="70" customFormat="1" ht="90" x14ac:dyDescent="0.2">
      <c r="A1687" s="24">
        <v>1683</v>
      </c>
      <c r="B1687" s="24" t="s">
        <v>790</v>
      </c>
      <c r="C1687" s="25" t="s">
        <v>789</v>
      </c>
      <c r="D1687" s="26" t="s">
        <v>1099</v>
      </c>
      <c r="E1687" s="25" t="s">
        <v>1098</v>
      </c>
      <c r="F1687" s="25" t="s">
        <v>1097</v>
      </c>
      <c r="G1687" s="24"/>
      <c r="H1687" s="25" t="s">
        <v>1147</v>
      </c>
      <c r="I1687" s="27"/>
      <c r="J1687" s="28" t="s">
        <v>1155</v>
      </c>
      <c r="K1687" s="27"/>
      <c r="L1687" s="25" t="s">
        <v>1160</v>
      </c>
      <c r="M1687" s="25" t="s">
        <v>1159</v>
      </c>
      <c r="N1687" s="25">
        <v>2</v>
      </c>
      <c r="O1687" s="25"/>
      <c r="P1687" s="25">
        <v>4</v>
      </c>
      <c r="Q1687" s="25">
        <v>30</v>
      </c>
      <c r="R1687" s="25"/>
      <c r="S1687" s="25">
        <v>8</v>
      </c>
      <c r="T1687" s="25">
        <v>8</v>
      </c>
      <c r="U1687" s="31">
        <f t="shared" si="27"/>
        <v>50</v>
      </c>
      <c r="V1687" s="25"/>
      <c r="W1687" s="33" t="s">
        <v>344</v>
      </c>
      <c r="X1687" s="33"/>
      <c r="Y1687" s="33"/>
      <c r="Z1687" s="33" t="s">
        <v>1158</v>
      </c>
      <c r="AA1687" s="33"/>
    </row>
    <row r="1688" spans="1:27" s="70" customFormat="1" ht="90" x14ac:dyDescent="0.2">
      <c r="A1688" s="24">
        <v>1684</v>
      </c>
      <c r="B1688" s="24" t="s">
        <v>790</v>
      </c>
      <c r="C1688" s="25" t="s">
        <v>789</v>
      </c>
      <c r="D1688" s="26" t="s">
        <v>1099</v>
      </c>
      <c r="E1688" s="25" t="s">
        <v>1098</v>
      </c>
      <c r="F1688" s="25" t="s">
        <v>1097</v>
      </c>
      <c r="G1688" s="24"/>
      <c r="H1688" s="25" t="s">
        <v>1147</v>
      </c>
      <c r="I1688" s="27"/>
      <c r="J1688" s="28" t="s">
        <v>1155</v>
      </c>
      <c r="K1688" s="27"/>
      <c r="L1688" s="25" t="s">
        <v>1157</v>
      </c>
      <c r="M1688" s="25" t="s">
        <v>1152</v>
      </c>
      <c r="N1688" s="25">
        <v>1</v>
      </c>
      <c r="O1688" s="25"/>
      <c r="P1688" s="25"/>
      <c r="Q1688" s="25">
        <v>30</v>
      </c>
      <c r="R1688" s="25"/>
      <c r="S1688" s="25"/>
      <c r="T1688" s="25">
        <v>8</v>
      </c>
      <c r="U1688" s="31">
        <f t="shared" si="27"/>
        <v>38</v>
      </c>
      <c r="V1688" s="25"/>
      <c r="W1688" s="33" t="s">
        <v>1156</v>
      </c>
      <c r="X1688" s="33"/>
      <c r="Y1688" s="33"/>
      <c r="Z1688" s="33" t="s">
        <v>1152</v>
      </c>
      <c r="AA1688" s="33"/>
    </row>
    <row r="1689" spans="1:27" s="70" customFormat="1" ht="90" x14ac:dyDescent="0.2">
      <c r="A1689" s="24">
        <v>1685</v>
      </c>
      <c r="B1689" s="24" t="s">
        <v>790</v>
      </c>
      <c r="C1689" s="25" t="s">
        <v>789</v>
      </c>
      <c r="D1689" s="26" t="s">
        <v>1099</v>
      </c>
      <c r="E1689" s="25" t="s">
        <v>1098</v>
      </c>
      <c r="F1689" s="25" t="s">
        <v>1097</v>
      </c>
      <c r="G1689" s="24"/>
      <c r="H1689" s="25" t="s">
        <v>1147</v>
      </c>
      <c r="I1689" s="27"/>
      <c r="J1689" s="28" t="s">
        <v>1155</v>
      </c>
      <c r="K1689" s="27"/>
      <c r="L1689" s="25" t="s">
        <v>1154</v>
      </c>
      <c r="M1689" s="25" t="s">
        <v>1152</v>
      </c>
      <c r="N1689" s="25">
        <v>1</v>
      </c>
      <c r="O1689" s="25"/>
      <c r="P1689" s="25"/>
      <c r="Q1689" s="25">
        <v>20</v>
      </c>
      <c r="R1689" s="25"/>
      <c r="S1689" s="25"/>
      <c r="T1689" s="25">
        <v>4</v>
      </c>
      <c r="U1689" s="31">
        <f t="shared" si="27"/>
        <v>24</v>
      </c>
      <c r="V1689" s="25"/>
      <c r="W1689" s="33" t="s">
        <v>1153</v>
      </c>
      <c r="X1689" s="33"/>
      <c r="Y1689" s="33"/>
      <c r="Z1689" s="33" t="s">
        <v>1152</v>
      </c>
      <c r="AA1689" s="33"/>
    </row>
    <row r="1690" spans="1:27" s="70" customFormat="1" ht="45" x14ac:dyDescent="0.2">
      <c r="A1690" s="24">
        <v>1686</v>
      </c>
      <c r="B1690" s="24" t="s">
        <v>790</v>
      </c>
      <c r="C1690" s="25" t="s">
        <v>789</v>
      </c>
      <c r="D1690" s="26" t="s">
        <v>1099</v>
      </c>
      <c r="E1690" s="25" t="s">
        <v>1098</v>
      </c>
      <c r="F1690" s="25" t="s">
        <v>1097</v>
      </c>
      <c r="G1690" s="24"/>
      <c r="H1690" s="25" t="s">
        <v>1147</v>
      </c>
      <c r="I1690" s="27"/>
      <c r="J1690" s="28" t="s">
        <v>1151</v>
      </c>
      <c r="K1690" s="27"/>
      <c r="L1690" s="25"/>
      <c r="M1690" s="25"/>
      <c r="N1690" s="25"/>
      <c r="O1690" s="25"/>
      <c r="P1690" s="25"/>
      <c r="Q1690" s="25"/>
      <c r="R1690" s="25"/>
      <c r="S1690" s="25"/>
      <c r="T1690" s="25"/>
      <c r="U1690" s="31">
        <f t="shared" si="27"/>
        <v>0</v>
      </c>
      <c r="V1690" s="25"/>
      <c r="W1690" s="33"/>
      <c r="X1690" s="33"/>
      <c r="Y1690" s="33"/>
      <c r="Z1690" s="33"/>
      <c r="AA1690" s="33"/>
    </row>
    <row r="1691" spans="1:27" s="70" customFormat="1" ht="45" x14ac:dyDescent="0.2">
      <c r="A1691" s="24">
        <v>1687</v>
      </c>
      <c r="B1691" s="24" t="s">
        <v>790</v>
      </c>
      <c r="C1691" s="25" t="s">
        <v>789</v>
      </c>
      <c r="D1691" s="26" t="s">
        <v>1099</v>
      </c>
      <c r="E1691" s="25" t="s">
        <v>1098</v>
      </c>
      <c r="F1691" s="25" t="s">
        <v>1097</v>
      </c>
      <c r="G1691" s="24"/>
      <c r="H1691" s="25" t="s">
        <v>1147</v>
      </c>
      <c r="I1691" s="27"/>
      <c r="J1691" s="28" t="s">
        <v>1150</v>
      </c>
      <c r="K1691" s="27"/>
      <c r="L1691" s="25"/>
      <c r="M1691" s="25"/>
      <c r="N1691" s="25"/>
      <c r="O1691" s="25"/>
      <c r="P1691" s="25"/>
      <c r="Q1691" s="25"/>
      <c r="R1691" s="25"/>
      <c r="S1691" s="25"/>
      <c r="T1691" s="25"/>
      <c r="U1691" s="31">
        <f t="shared" si="27"/>
        <v>0</v>
      </c>
      <c r="V1691" s="25"/>
      <c r="W1691" s="33"/>
      <c r="X1691" s="33"/>
      <c r="Y1691" s="33"/>
      <c r="Z1691" s="33"/>
      <c r="AA1691" s="33"/>
    </row>
    <row r="1692" spans="1:27" s="70" customFormat="1" ht="45" x14ac:dyDescent="0.2">
      <c r="A1692" s="24">
        <v>1688</v>
      </c>
      <c r="B1692" s="24" t="s">
        <v>790</v>
      </c>
      <c r="C1692" s="25" t="s">
        <v>789</v>
      </c>
      <c r="D1692" s="26" t="s">
        <v>1099</v>
      </c>
      <c r="E1692" s="25" t="s">
        <v>1098</v>
      </c>
      <c r="F1692" s="25" t="s">
        <v>1097</v>
      </c>
      <c r="G1692" s="24"/>
      <c r="H1692" s="25" t="s">
        <v>1147</v>
      </c>
      <c r="I1692" s="27"/>
      <c r="J1692" s="28" t="s">
        <v>1149</v>
      </c>
      <c r="K1692" s="27"/>
      <c r="L1692" s="25"/>
      <c r="M1692" s="25"/>
      <c r="N1692" s="25"/>
      <c r="O1692" s="25"/>
      <c r="P1692" s="25"/>
      <c r="Q1692" s="25"/>
      <c r="R1692" s="25"/>
      <c r="S1692" s="25"/>
      <c r="T1692" s="25"/>
      <c r="U1692" s="31">
        <f t="shared" si="27"/>
        <v>0</v>
      </c>
      <c r="V1692" s="25"/>
      <c r="W1692" s="33"/>
      <c r="X1692" s="33"/>
      <c r="Y1692" s="33"/>
      <c r="Z1692" s="33"/>
      <c r="AA1692" s="33"/>
    </row>
    <row r="1693" spans="1:27" s="70" customFormat="1" ht="78.75" x14ac:dyDescent="0.2">
      <c r="A1693" s="24">
        <v>1689</v>
      </c>
      <c r="B1693" s="24" t="s">
        <v>790</v>
      </c>
      <c r="C1693" s="25" t="s">
        <v>789</v>
      </c>
      <c r="D1693" s="26" t="s">
        <v>1099</v>
      </c>
      <c r="E1693" s="25" t="s">
        <v>1098</v>
      </c>
      <c r="F1693" s="25" t="s">
        <v>1097</v>
      </c>
      <c r="G1693" s="24"/>
      <c r="H1693" s="25" t="s">
        <v>1147</v>
      </c>
      <c r="I1693" s="27"/>
      <c r="J1693" s="28" t="s">
        <v>1148</v>
      </c>
      <c r="K1693" s="27"/>
      <c r="L1693" s="25"/>
      <c r="M1693" s="25"/>
      <c r="N1693" s="25"/>
      <c r="O1693" s="25"/>
      <c r="P1693" s="25"/>
      <c r="Q1693" s="25"/>
      <c r="R1693" s="25"/>
      <c r="S1693" s="25"/>
      <c r="T1693" s="25"/>
      <c r="U1693" s="31">
        <f t="shared" si="27"/>
        <v>0</v>
      </c>
      <c r="V1693" s="25"/>
      <c r="W1693" s="33"/>
      <c r="X1693" s="33"/>
      <c r="Y1693" s="33"/>
      <c r="Z1693" s="33"/>
      <c r="AA1693" s="33"/>
    </row>
    <row r="1694" spans="1:27" s="70" customFormat="1" ht="45" x14ac:dyDescent="0.2">
      <c r="A1694" s="24">
        <v>1690</v>
      </c>
      <c r="B1694" s="24" t="s">
        <v>790</v>
      </c>
      <c r="C1694" s="25" t="s">
        <v>789</v>
      </c>
      <c r="D1694" s="26" t="s">
        <v>1099</v>
      </c>
      <c r="E1694" s="25" t="s">
        <v>1098</v>
      </c>
      <c r="F1694" s="25" t="s">
        <v>1097</v>
      </c>
      <c r="G1694" s="24"/>
      <c r="H1694" s="25" t="s">
        <v>1147</v>
      </c>
      <c r="I1694" s="27"/>
      <c r="J1694" s="28" t="s">
        <v>1146</v>
      </c>
      <c r="K1694" s="27"/>
      <c r="L1694" s="25"/>
      <c r="M1694" s="25"/>
      <c r="N1694" s="25"/>
      <c r="O1694" s="25"/>
      <c r="P1694" s="25"/>
      <c r="Q1694" s="25"/>
      <c r="R1694" s="25"/>
      <c r="S1694" s="25"/>
      <c r="T1694" s="25"/>
      <c r="U1694" s="31">
        <f t="shared" si="27"/>
        <v>0</v>
      </c>
      <c r="V1694" s="25"/>
      <c r="W1694" s="33"/>
      <c r="X1694" s="33"/>
      <c r="Y1694" s="33"/>
      <c r="Z1694" s="33"/>
      <c r="AA1694" s="33"/>
    </row>
    <row r="1695" spans="1:27" s="70" customFormat="1" ht="56.25" x14ac:dyDescent="0.2">
      <c r="A1695" s="24">
        <v>1691</v>
      </c>
      <c r="B1695" s="24" t="s">
        <v>790</v>
      </c>
      <c r="C1695" s="25" t="s">
        <v>789</v>
      </c>
      <c r="D1695" s="26" t="s">
        <v>1099</v>
      </c>
      <c r="E1695" s="25" t="s">
        <v>1098</v>
      </c>
      <c r="F1695" s="25" t="s">
        <v>1097</v>
      </c>
      <c r="G1695" s="24"/>
      <c r="H1695" s="25" t="s">
        <v>1126</v>
      </c>
      <c r="I1695" s="27"/>
      <c r="J1695" s="28" t="s">
        <v>1145</v>
      </c>
      <c r="K1695" s="27"/>
      <c r="L1695" s="25" t="s">
        <v>1144</v>
      </c>
      <c r="M1695" s="25" t="s">
        <v>1143</v>
      </c>
      <c r="N1695" s="25">
        <v>1625000</v>
      </c>
      <c r="O1695" s="25">
        <v>5.5555555555555558E-3</v>
      </c>
      <c r="P1695" s="25">
        <v>6.9444444444444441E-3</v>
      </c>
      <c r="Q1695" s="25">
        <v>4.4444444444444444E-3</v>
      </c>
      <c r="R1695" s="25"/>
      <c r="S1695" s="25">
        <v>2.2222222222222222E-3</v>
      </c>
      <c r="T1695" s="25">
        <v>8.3333333333333339E-4</v>
      </c>
      <c r="U1695" s="31">
        <f t="shared" si="27"/>
        <v>0.02</v>
      </c>
      <c r="V1695" s="25"/>
      <c r="W1695" s="33" t="s">
        <v>1134</v>
      </c>
      <c r="X1695" s="33"/>
      <c r="Y1695" s="33"/>
      <c r="Z1695" s="33" t="s">
        <v>1142</v>
      </c>
      <c r="AA1695" s="33"/>
    </row>
    <row r="1696" spans="1:27" s="70" customFormat="1" ht="67.5" x14ac:dyDescent="0.2">
      <c r="A1696" s="24">
        <v>1692</v>
      </c>
      <c r="B1696" s="24" t="s">
        <v>790</v>
      </c>
      <c r="C1696" s="25" t="s">
        <v>789</v>
      </c>
      <c r="D1696" s="26" t="s">
        <v>1099</v>
      </c>
      <c r="E1696" s="25" t="s">
        <v>1098</v>
      </c>
      <c r="F1696" s="25" t="s">
        <v>1097</v>
      </c>
      <c r="G1696" s="24"/>
      <c r="H1696" s="25" t="s">
        <v>1126</v>
      </c>
      <c r="I1696" s="27"/>
      <c r="J1696" s="28" t="s">
        <v>1141</v>
      </c>
      <c r="K1696" s="27"/>
      <c r="L1696" s="25" t="s">
        <v>1140</v>
      </c>
      <c r="M1696" s="25" t="s">
        <v>1108</v>
      </c>
      <c r="N1696" s="25">
        <v>100</v>
      </c>
      <c r="O1696" s="25">
        <v>0.2</v>
      </c>
      <c r="P1696" s="25">
        <v>0.2</v>
      </c>
      <c r="Q1696" s="25">
        <v>0.08</v>
      </c>
      <c r="R1696" s="25"/>
      <c r="S1696" s="25">
        <v>0.05</v>
      </c>
      <c r="T1696" s="25">
        <v>0.05</v>
      </c>
      <c r="U1696" s="31">
        <f t="shared" si="27"/>
        <v>0.58000000000000007</v>
      </c>
      <c r="V1696" s="25"/>
      <c r="W1696" s="33" t="s">
        <v>22</v>
      </c>
      <c r="X1696" s="33"/>
      <c r="Y1696" s="33"/>
      <c r="Z1696" s="33" t="s">
        <v>1115</v>
      </c>
      <c r="AA1696" s="33"/>
    </row>
    <row r="1697" spans="1:27" s="70" customFormat="1" ht="45" x14ac:dyDescent="0.2">
      <c r="A1697" s="24">
        <v>1693</v>
      </c>
      <c r="B1697" s="24" t="s">
        <v>790</v>
      </c>
      <c r="C1697" s="25" t="s">
        <v>789</v>
      </c>
      <c r="D1697" s="26" t="s">
        <v>1099</v>
      </c>
      <c r="E1697" s="25" t="s">
        <v>1098</v>
      </c>
      <c r="F1697" s="25" t="s">
        <v>1097</v>
      </c>
      <c r="G1697" s="24"/>
      <c r="H1697" s="25" t="s">
        <v>1126</v>
      </c>
      <c r="I1697" s="27"/>
      <c r="J1697" s="28" t="s">
        <v>1139</v>
      </c>
      <c r="K1697" s="27"/>
      <c r="L1697" s="25"/>
      <c r="M1697" s="25"/>
      <c r="N1697" s="25"/>
      <c r="O1697" s="25"/>
      <c r="P1697" s="25"/>
      <c r="Q1697" s="25"/>
      <c r="R1697" s="25"/>
      <c r="S1697" s="25"/>
      <c r="T1697" s="25"/>
      <c r="U1697" s="31">
        <f t="shared" si="27"/>
        <v>0</v>
      </c>
      <c r="V1697" s="25"/>
      <c r="W1697" s="33"/>
      <c r="X1697" s="33"/>
      <c r="Y1697" s="33"/>
      <c r="Z1697" s="33"/>
      <c r="AA1697" s="33"/>
    </row>
    <row r="1698" spans="1:27" s="70" customFormat="1" ht="45" x14ac:dyDescent="0.2">
      <c r="A1698" s="24">
        <v>1694</v>
      </c>
      <c r="B1698" s="24" t="s">
        <v>790</v>
      </c>
      <c r="C1698" s="25" t="s">
        <v>789</v>
      </c>
      <c r="D1698" s="26" t="s">
        <v>1099</v>
      </c>
      <c r="E1698" s="25" t="s">
        <v>1098</v>
      </c>
      <c r="F1698" s="25" t="s">
        <v>1097</v>
      </c>
      <c r="G1698" s="24"/>
      <c r="H1698" s="25" t="s">
        <v>1126</v>
      </c>
      <c r="I1698" s="27"/>
      <c r="J1698" s="28" t="s">
        <v>1138</v>
      </c>
      <c r="K1698" s="27"/>
      <c r="L1698" s="25"/>
      <c r="M1698" s="25"/>
      <c r="N1698" s="25"/>
      <c r="O1698" s="25"/>
      <c r="P1698" s="25"/>
      <c r="Q1698" s="25"/>
      <c r="R1698" s="25"/>
      <c r="S1698" s="25"/>
      <c r="T1698" s="25"/>
      <c r="U1698" s="31">
        <f t="shared" si="27"/>
        <v>0</v>
      </c>
      <c r="V1698" s="25"/>
      <c r="W1698" s="33"/>
      <c r="X1698" s="33"/>
      <c r="Y1698" s="33"/>
      <c r="Z1698" s="33"/>
      <c r="AA1698" s="33"/>
    </row>
    <row r="1699" spans="1:27" s="70" customFormat="1" ht="45" x14ac:dyDescent="0.2">
      <c r="A1699" s="24">
        <v>1695</v>
      </c>
      <c r="B1699" s="24" t="s">
        <v>790</v>
      </c>
      <c r="C1699" s="25" t="s">
        <v>789</v>
      </c>
      <c r="D1699" s="26" t="s">
        <v>1099</v>
      </c>
      <c r="E1699" s="25" t="s">
        <v>1098</v>
      </c>
      <c r="F1699" s="25" t="s">
        <v>1097</v>
      </c>
      <c r="G1699" s="24"/>
      <c r="H1699" s="25" t="s">
        <v>1126</v>
      </c>
      <c r="I1699" s="27"/>
      <c r="J1699" s="28" t="s">
        <v>1137</v>
      </c>
      <c r="K1699" s="27"/>
      <c r="L1699" s="25" t="s">
        <v>1136</v>
      </c>
      <c r="M1699" s="25" t="s">
        <v>1135</v>
      </c>
      <c r="N1699" s="25">
        <v>25000</v>
      </c>
      <c r="O1699" s="25"/>
      <c r="P1699" s="25">
        <v>2.2222222222222223E-2</v>
      </c>
      <c r="Q1699" s="25">
        <v>1.6666666666666666E-2</v>
      </c>
      <c r="R1699" s="25"/>
      <c r="S1699" s="25">
        <v>8.3333333333333332E-3</v>
      </c>
      <c r="T1699" s="25">
        <v>8.3333333333333332E-3</v>
      </c>
      <c r="U1699" s="31">
        <f t="shared" si="27"/>
        <v>5.5555555555555552E-2</v>
      </c>
      <c r="V1699" s="25"/>
      <c r="W1699" s="33" t="s">
        <v>1134</v>
      </c>
      <c r="X1699" s="33"/>
      <c r="Y1699" s="33"/>
      <c r="Z1699" s="33" t="s">
        <v>1133</v>
      </c>
      <c r="AA1699" s="33"/>
    </row>
    <row r="1700" spans="1:27" s="70" customFormat="1" ht="56.25" x14ac:dyDescent="0.2">
      <c r="A1700" s="24">
        <v>1696</v>
      </c>
      <c r="B1700" s="24" t="s">
        <v>790</v>
      </c>
      <c r="C1700" s="25" t="s">
        <v>789</v>
      </c>
      <c r="D1700" s="26" t="s">
        <v>1099</v>
      </c>
      <c r="E1700" s="25" t="s">
        <v>1098</v>
      </c>
      <c r="F1700" s="25" t="s">
        <v>1097</v>
      </c>
      <c r="G1700" s="24"/>
      <c r="H1700" s="25" t="s">
        <v>1126</v>
      </c>
      <c r="I1700" s="27"/>
      <c r="J1700" s="28" t="s">
        <v>1132</v>
      </c>
      <c r="K1700" s="27"/>
      <c r="L1700" s="25"/>
      <c r="M1700" s="25"/>
      <c r="N1700" s="25"/>
      <c r="O1700" s="25"/>
      <c r="P1700" s="25"/>
      <c r="Q1700" s="25"/>
      <c r="R1700" s="25"/>
      <c r="S1700" s="25"/>
      <c r="T1700" s="25"/>
      <c r="U1700" s="31">
        <f t="shared" si="27"/>
        <v>0</v>
      </c>
      <c r="V1700" s="25"/>
      <c r="W1700" s="33"/>
      <c r="X1700" s="33"/>
      <c r="Y1700" s="33"/>
      <c r="Z1700" s="33"/>
      <c r="AA1700" s="33"/>
    </row>
    <row r="1701" spans="1:27" s="70" customFormat="1" ht="45" x14ac:dyDescent="0.2">
      <c r="A1701" s="24">
        <v>1697</v>
      </c>
      <c r="B1701" s="24" t="s">
        <v>790</v>
      </c>
      <c r="C1701" s="25" t="s">
        <v>789</v>
      </c>
      <c r="D1701" s="26" t="s">
        <v>1099</v>
      </c>
      <c r="E1701" s="25" t="s">
        <v>1098</v>
      </c>
      <c r="F1701" s="25" t="s">
        <v>1097</v>
      </c>
      <c r="G1701" s="24"/>
      <c r="H1701" s="25" t="s">
        <v>1126</v>
      </c>
      <c r="I1701" s="27"/>
      <c r="J1701" s="28" t="s">
        <v>1131</v>
      </c>
      <c r="K1701" s="27"/>
      <c r="L1701" s="25"/>
      <c r="M1701" s="25"/>
      <c r="N1701" s="25"/>
      <c r="O1701" s="25"/>
      <c r="P1701" s="25"/>
      <c r="Q1701" s="25"/>
      <c r="R1701" s="25"/>
      <c r="S1701" s="25"/>
      <c r="T1701" s="25"/>
      <c r="U1701" s="31">
        <f t="shared" si="27"/>
        <v>0</v>
      </c>
      <c r="V1701" s="25"/>
      <c r="W1701" s="33"/>
      <c r="X1701" s="33"/>
      <c r="Y1701" s="33"/>
      <c r="Z1701" s="33"/>
      <c r="AA1701" s="33"/>
    </row>
    <row r="1702" spans="1:27" s="70" customFormat="1" ht="45" x14ac:dyDescent="0.2">
      <c r="A1702" s="24">
        <v>1698</v>
      </c>
      <c r="B1702" s="24" t="s">
        <v>790</v>
      </c>
      <c r="C1702" s="25" t="s">
        <v>789</v>
      </c>
      <c r="D1702" s="26" t="s">
        <v>1099</v>
      </c>
      <c r="E1702" s="25" t="s">
        <v>1098</v>
      </c>
      <c r="F1702" s="25" t="s">
        <v>1097</v>
      </c>
      <c r="G1702" s="24"/>
      <c r="H1702" s="25" t="s">
        <v>1126</v>
      </c>
      <c r="I1702" s="27"/>
      <c r="J1702" s="28" t="s">
        <v>1130</v>
      </c>
      <c r="K1702" s="27"/>
      <c r="L1702" s="25"/>
      <c r="M1702" s="25"/>
      <c r="N1702" s="25"/>
      <c r="O1702" s="25"/>
      <c r="P1702" s="25"/>
      <c r="Q1702" s="25"/>
      <c r="R1702" s="25"/>
      <c r="S1702" s="25"/>
      <c r="T1702" s="25"/>
      <c r="U1702" s="31">
        <f t="shared" si="27"/>
        <v>0</v>
      </c>
      <c r="V1702" s="25"/>
      <c r="W1702" s="33"/>
      <c r="X1702" s="33"/>
      <c r="Y1702" s="33"/>
      <c r="Z1702" s="33"/>
      <c r="AA1702" s="33"/>
    </row>
    <row r="1703" spans="1:27" s="70" customFormat="1" ht="45" x14ac:dyDescent="0.2">
      <c r="A1703" s="24">
        <v>1699</v>
      </c>
      <c r="B1703" s="24" t="s">
        <v>790</v>
      </c>
      <c r="C1703" s="25" t="s">
        <v>789</v>
      </c>
      <c r="D1703" s="26" t="s">
        <v>1099</v>
      </c>
      <c r="E1703" s="25" t="s">
        <v>1098</v>
      </c>
      <c r="F1703" s="25" t="s">
        <v>1097</v>
      </c>
      <c r="G1703" s="24"/>
      <c r="H1703" s="25" t="s">
        <v>1126</v>
      </c>
      <c r="I1703" s="27"/>
      <c r="J1703" s="28" t="s">
        <v>1129</v>
      </c>
      <c r="K1703" s="27"/>
      <c r="L1703" s="25" t="s">
        <v>1128</v>
      </c>
      <c r="M1703" s="25" t="s">
        <v>978</v>
      </c>
      <c r="N1703" s="25">
        <v>5</v>
      </c>
      <c r="O1703" s="25"/>
      <c r="P1703" s="25">
        <v>16</v>
      </c>
      <c r="Q1703" s="25">
        <v>1</v>
      </c>
      <c r="R1703" s="25"/>
      <c r="S1703" s="25">
        <v>0.5</v>
      </c>
      <c r="T1703" s="25">
        <v>0.5</v>
      </c>
      <c r="U1703" s="31">
        <f t="shared" si="27"/>
        <v>18</v>
      </c>
      <c r="V1703" s="25"/>
      <c r="W1703" s="33" t="s">
        <v>1116</v>
      </c>
      <c r="X1703" s="33"/>
      <c r="Y1703" s="33"/>
      <c r="Z1703" s="33" t="s">
        <v>1127</v>
      </c>
      <c r="AA1703" s="33"/>
    </row>
    <row r="1704" spans="1:27" s="70" customFormat="1" ht="45" x14ac:dyDescent="0.2">
      <c r="A1704" s="24">
        <v>1700</v>
      </c>
      <c r="B1704" s="24" t="s">
        <v>790</v>
      </c>
      <c r="C1704" s="25" t="s">
        <v>789</v>
      </c>
      <c r="D1704" s="26" t="s">
        <v>1099</v>
      </c>
      <c r="E1704" s="25" t="s">
        <v>1098</v>
      </c>
      <c r="F1704" s="25" t="s">
        <v>1097</v>
      </c>
      <c r="G1704" s="24"/>
      <c r="H1704" s="25" t="s">
        <v>1126</v>
      </c>
      <c r="I1704" s="27"/>
      <c r="J1704" s="28" t="s">
        <v>1125</v>
      </c>
      <c r="K1704" s="27"/>
      <c r="L1704" s="25"/>
      <c r="M1704" s="25"/>
      <c r="N1704" s="25"/>
      <c r="O1704" s="25"/>
      <c r="P1704" s="25"/>
      <c r="Q1704" s="25"/>
      <c r="R1704" s="25"/>
      <c r="S1704" s="25"/>
      <c r="T1704" s="25"/>
      <c r="U1704" s="31">
        <f t="shared" si="27"/>
        <v>0</v>
      </c>
      <c r="V1704" s="25"/>
      <c r="W1704" s="33"/>
      <c r="X1704" s="33"/>
      <c r="Y1704" s="33"/>
      <c r="Z1704" s="33"/>
      <c r="AA1704" s="33"/>
    </row>
    <row r="1705" spans="1:27" s="70" customFormat="1" ht="56.25" x14ac:dyDescent="0.2">
      <c r="A1705" s="24">
        <v>1701</v>
      </c>
      <c r="B1705" s="24" t="s">
        <v>790</v>
      </c>
      <c r="C1705" s="25" t="s">
        <v>789</v>
      </c>
      <c r="D1705" s="26" t="s">
        <v>1099</v>
      </c>
      <c r="E1705" s="25" t="s">
        <v>1098</v>
      </c>
      <c r="F1705" s="25" t="s">
        <v>1097</v>
      </c>
      <c r="G1705" s="24"/>
      <c r="H1705" s="25" t="s">
        <v>1121</v>
      </c>
      <c r="I1705" s="27"/>
      <c r="J1705" s="28" t="s">
        <v>1124</v>
      </c>
      <c r="K1705" s="27"/>
      <c r="L1705" s="25" t="s">
        <v>1123</v>
      </c>
      <c r="M1705" s="25" t="s">
        <v>190</v>
      </c>
      <c r="N1705" s="25">
        <v>14</v>
      </c>
      <c r="O1705" s="25"/>
      <c r="P1705" s="25">
        <v>16</v>
      </c>
      <c r="Q1705" s="25">
        <v>10</v>
      </c>
      <c r="R1705" s="25"/>
      <c r="S1705" s="25">
        <v>0.5</v>
      </c>
      <c r="T1705" s="25">
        <v>0.5</v>
      </c>
      <c r="U1705" s="31">
        <f t="shared" si="27"/>
        <v>27</v>
      </c>
      <c r="V1705" s="25"/>
      <c r="W1705" s="33" t="s">
        <v>22</v>
      </c>
      <c r="X1705" s="33"/>
      <c r="Y1705" s="33"/>
      <c r="Z1705" s="33" t="s">
        <v>1122</v>
      </c>
      <c r="AA1705" s="33"/>
    </row>
    <row r="1706" spans="1:27" s="70" customFormat="1" ht="45" x14ac:dyDescent="0.2">
      <c r="A1706" s="24">
        <v>1702</v>
      </c>
      <c r="B1706" s="24" t="s">
        <v>790</v>
      </c>
      <c r="C1706" s="25" t="s">
        <v>789</v>
      </c>
      <c r="D1706" s="26" t="s">
        <v>1099</v>
      </c>
      <c r="E1706" s="25" t="s">
        <v>1098</v>
      </c>
      <c r="F1706" s="25" t="s">
        <v>1097</v>
      </c>
      <c r="G1706" s="24"/>
      <c r="H1706" s="25" t="s">
        <v>1121</v>
      </c>
      <c r="I1706" s="27"/>
      <c r="J1706" s="28" t="s">
        <v>1120</v>
      </c>
      <c r="K1706" s="27"/>
      <c r="L1706" s="25"/>
      <c r="M1706" s="25"/>
      <c r="N1706" s="25"/>
      <c r="O1706" s="25"/>
      <c r="P1706" s="25"/>
      <c r="Q1706" s="25"/>
      <c r="R1706" s="25"/>
      <c r="S1706" s="25"/>
      <c r="T1706" s="25"/>
      <c r="U1706" s="31">
        <f t="shared" si="27"/>
        <v>0</v>
      </c>
      <c r="V1706" s="25"/>
      <c r="W1706" s="33"/>
      <c r="X1706" s="33"/>
      <c r="Y1706" s="33"/>
      <c r="Z1706" s="33"/>
      <c r="AA1706" s="33"/>
    </row>
    <row r="1707" spans="1:27" s="70" customFormat="1" ht="45" x14ac:dyDescent="0.2">
      <c r="A1707" s="24">
        <v>1703</v>
      </c>
      <c r="B1707" s="24" t="s">
        <v>790</v>
      </c>
      <c r="C1707" s="25" t="s">
        <v>789</v>
      </c>
      <c r="D1707" s="26" t="s">
        <v>1099</v>
      </c>
      <c r="E1707" s="25" t="s">
        <v>1098</v>
      </c>
      <c r="F1707" s="25" t="s">
        <v>1097</v>
      </c>
      <c r="G1707" s="24"/>
      <c r="H1707" s="25" t="s">
        <v>1111</v>
      </c>
      <c r="I1707" s="27"/>
      <c r="J1707" s="28" t="s">
        <v>1119</v>
      </c>
      <c r="K1707" s="27"/>
      <c r="L1707" s="25"/>
      <c r="M1707" s="25"/>
      <c r="N1707" s="25"/>
      <c r="O1707" s="25"/>
      <c r="P1707" s="25"/>
      <c r="Q1707" s="25"/>
      <c r="R1707" s="25"/>
      <c r="S1707" s="25"/>
      <c r="T1707" s="25"/>
      <c r="U1707" s="31">
        <f t="shared" si="27"/>
        <v>0</v>
      </c>
      <c r="V1707" s="25"/>
      <c r="W1707" s="33"/>
      <c r="X1707" s="33"/>
      <c r="Y1707" s="33"/>
      <c r="Z1707" s="33"/>
      <c r="AA1707" s="33"/>
    </row>
    <row r="1708" spans="1:27" s="70" customFormat="1" ht="56.25" x14ac:dyDescent="0.2">
      <c r="A1708" s="24">
        <v>1704</v>
      </c>
      <c r="B1708" s="24" t="s">
        <v>790</v>
      </c>
      <c r="C1708" s="25" t="s">
        <v>789</v>
      </c>
      <c r="D1708" s="26" t="s">
        <v>1099</v>
      </c>
      <c r="E1708" s="25" t="s">
        <v>1098</v>
      </c>
      <c r="F1708" s="25" t="s">
        <v>1097</v>
      </c>
      <c r="G1708" s="24"/>
      <c r="H1708" s="25" t="s">
        <v>1111</v>
      </c>
      <c r="I1708" s="27"/>
      <c r="J1708" s="28" t="s">
        <v>1118</v>
      </c>
      <c r="K1708" s="27"/>
      <c r="L1708" s="25" t="s">
        <v>1117</v>
      </c>
      <c r="M1708" s="25" t="s">
        <v>1108</v>
      </c>
      <c r="N1708" s="25">
        <v>2500</v>
      </c>
      <c r="O1708" s="25">
        <v>0.25</v>
      </c>
      <c r="P1708" s="25">
        <v>0.16666666666666666</v>
      </c>
      <c r="Q1708" s="25">
        <v>0.1</v>
      </c>
      <c r="R1708" s="25"/>
      <c r="S1708" s="25">
        <v>8.3333333333333329E-2</v>
      </c>
      <c r="T1708" s="25">
        <v>8.3333333333333329E-2</v>
      </c>
      <c r="U1708" s="31">
        <f t="shared" si="27"/>
        <v>0.68333333333333335</v>
      </c>
      <c r="V1708" s="25"/>
      <c r="W1708" s="33" t="s">
        <v>1116</v>
      </c>
      <c r="X1708" s="33"/>
      <c r="Y1708" s="33"/>
      <c r="Z1708" s="33" t="s">
        <v>1115</v>
      </c>
      <c r="AA1708" s="33"/>
    </row>
    <row r="1709" spans="1:27" s="70" customFormat="1" ht="45" x14ac:dyDescent="0.2">
      <c r="A1709" s="24">
        <v>1705</v>
      </c>
      <c r="B1709" s="24" t="s">
        <v>790</v>
      </c>
      <c r="C1709" s="25" t="s">
        <v>789</v>
      </c>
      <c r="D1709" s="26" t="s">
        <v>1099</v>
      </c>
      <c r="E1709" s="25" t="s">
        <v>1098</v>
      </c>
      <c r="F1709" s="25" t="s">
        <v>1097</v>
      </c>
      <c r="G1709" s="24"/>
      <c r="H1709" s="25" t="s">
        <v>1111</v>
      </c>
      <c r="I1709" s="27"/>
      <c r="J1709" s="28" t="s">
        <v>1114</v>
      </c>
      <c r="K1709" s="27"/>
      <c r="L1709" s="25"/>
      <c r="M1709" s="25"/>
      <c r="N1709" s="25"/>
      <c r="O1709" s="25"/>
      <c r="P1709" s="25"/>
      <c r="Q1709" s="25"/>
      <c r="R1709" s="25"/>
      <c r="S1709" s="25"/>
      <c r="T1709" s="25"/>
      <c r="U1709" s="31">
        <f t="shared" si="27"/>
        <v>0</v>
      </c>
      <c r="V1709" s="25"/>
      <c r="W1709" s="33"/>
      <c r="X1709" s="33"/>
      <c r="Y1709" s="33"/>
      <c r="Z1709" s="33"/>
      <c r="AA1709" s="33"/>
    </row>
    <row r="1710" spans="1:27" s="70" customFormat="1" ht="45" x14ac:dyDescent="0.2">
      <c r="A1710" s="24">
        <v>1706</v>
      </c>
      <c r="B1710" s="24" t="s">
        <v>790</v>
      </c>
      <c r="C1710" s="25" t="s">
        <v>789</v>
      </c>
      <c r="D1710" s="26" t="s">
        <v>1099</v>
      </c>
      <c r="E1710" s="25" t="s">
        <v>1098</v>
      </c>
      <c r="F1710" s="25" t="s">
        <v>1097</v>
      </c>
      <c r="G1710" s="24"/>
      <c r="H1710" s="25" t="s">
        <v>1111</v>
      </c>
      <c r="I1710" s="27"/>
      <c r="J1710" s="28" t="s">
        <v>1113</v>
      </c>
      <c r="K1710" s="27"/>
      <c r="L1710" s="25"/>
      <c r="M1710" s="25"/>
      <c r="N1710" s="25"/>
      <c r="O1710" s="25"/>
      <c r="P1710" s="25"/>
      <c r="Q1710" s="25"/>
      <c r="R1710" s="25"/>
      <c r="S1710" s="25"/>
      <c r="T1710" s="25"/>
      <c r="U1710" s="31">
        <f t="shared" si="27"/>
        <v>0</v>
      </c>
      <c r="V1710" s="25"/>
      <c r="W1710" s="33"/>
      <c r="X1710" s="33"/>
      <c r="Y1710" s="33"/>
      <c r="Z1710" s="33"/>
      <c r="AA1710" s="33"/>
    </row>
    <row r="1711" spans="1:27" s="70" customFormat="1" ht="45" x14ac:dyDescent="0.2">
      <c r="A1711" s="24">
        <v>1707</v>
      </c>
      <c r="B1711" s="24" t="s">
        <v>790</v>
      </c>
      <c r="C1711" s="25" t="s">
        <v>789</v>
      </c>
      <c r="D1711" s="26" t="s">
        <v>1099</v>
      </c>
      <c r="E1711" s="25" t="s">
        <v>1098</v>
      </c>
      <c r="F1711" s="25" t="s">
        <v>1097</v>
      </c>
      <c r="G1711" s="24"/>
      <c r="H1711" s="25" t="s">
        <v>1111</v>
      </c>
      <c r="I1711" s="27"/>
      <c r="J1711" s="28" t="s">
        <v>1112</v>
      </c>
      <c r="K1711" s="27"/>
      <c r="L1711" s="25"/>
      <c r="M1711" s="25"/>
      <c r="N1711" s="25"/>
      <c r="O1711" s="25"/>
      <c r="P1711" s="25"/>
      <c r="Q1711" s="25"/>
      <c r="R1711" s="25"/>
      <c r="S1711" s="25"/>
      <c r="T1711" s="25"/>
      <c r="U1711" s="31">
        <f t="shared" si="27"/>
        <v>0</v>
      </c>
      <c r="V1711" s="25"/>
      <c r="W1711" s="33"/>
      <c r="X1711" s="33"/>
      <c r="Y1711" s="33"/>
      <c r="Z1711" s="33"/>
      <c r="AA1711" s="33"/>
    </row>
    <row r="1712" spans="1:27" s="70" customFormat="1" ht="45" x14ac:dyDescent="0.2">
      <c r="A1712" s="24">
        <v>1708</v>
      </c>
      <c r="B1712" s="24" t="s">
        <v>790</v>
      </c>
      <c r="C1712" s="25" t="s">
        <v>789</v>
      </c>
      <c r="D1712" s="26" t="s">
        <v>1099</v>
      </c>
      <c r="E1712" s="25" t="s">
        <v>1098</v>
      </c>
      <c r="F1712" s="25" t="s">
        <v>1097</v>
      </c>
      <c r="G1712" s="24"/>
      <c r="H1712" s="25" t="s">
        <v>1111</v>
      </c>
      <c r="I1712" s="27"/>
      <c r="J1712" s="28" t="s">
        <v>1110</v>
      </c>
      <c r="K1712" s="27"/>
      <c r="L1712" s="25"/>
      <c r="M1712" s="25"/>
      <c r="N1712" s="25"/>
      <c r="O1712" s="25"/>
      <c r="P1712" s="25"/>
      <c r="Q1712" s="25"/>
      <c r="R1712" s="25"/>
      <c r="S1712" s="25"/>
      <c r="T1712" s="25"/>
      <c r="U1712" s="31">
        <f t="shared" si="27"/>
        <v>0</v>
      </c>
      <c r="V1712" s="25"/>
      <c r="W1712" s="33"/>
      <c r="X1712" s="33"/>
      <c r="Y1712" s="33"/>
      <c r="Z1712" s="33"/>
      <c r="AA1712" s="33"/>
    </row>
    <row r="1713" spans="1:27" s="70" customFormat="1" ht="45" x14ac:dyDescent="0.2">
      <c r="A1713" s="24">
        <v>1709</v>
      </c>
      <c r="B1713" s="24" t="s">
        <v>790</v>
      </c>
      <c r="C1713" s="25" t="s">
        <v>789</v>
      </c>
      <c r="D1713" s="26" t="s">
        <v>1099</v>
      </c>
      <c r="E1713" s="25" t="s">
        <v>1098</v>
      </c>
      <c r="F1713" s="25" t="s">
        <v>1097</v>
      </c>
      <c r="G1713" s="24"/>
      <c r="H1713" s="25" t="s">
        <v>1096</v>
      </c>
      <c r="I1713" s="27"/>
      <c r="J1713" s="25" t="s">
        <v>1096</v>
      </c>
      <c r="K1713" s="27"/>
      <c r="L1713" s="25" t="s">
        <v>1109</v>
      </c>
      <c r="M1713" s="25" t="s">
        <v>1108</v>
      </c>
      <c r="N1713" s="25">
        <v>50</v>
      </c>
      <c r="O1713" s="25">
        <v>0.25</v>
      </c>
      <c r="P1713" s="25">
        <v>0.25</v>
      </c>
      <c r="Q1713" s="25">
        <v>0.08</v>
      </c>
      <c r="R1713" s="25"/>
      <c r="S1713" s="25">
        <v>0.05</v>
      </c>
      <c r="T1713" s="25">
        <v>0.05</v>
      </c>
      <c r="U1713" s="31">
        <f t="shared" si="27"/>
        <v>0.68</v>
      </c>
      <c r="V1713" s="25"/>
      <c r="W1713" s="33" t="s">
        <v>22</v>
      </c>
      <c r="X1713" s="33"/>
      <c r="Y1713" s="33"/>
      <c r="Z1713" s="33" t="s">
        <v>189</v>
      </c>
      <c r="AA1713" s="33"/>
    </row>
    <row r="1714" spans="1:27" s="70" customFormat="1" ht="45" x14ac:dyDescent="0.2">
      <c r="A1714" s="24">
        <v>1710</v>
      </c>
      <c r="B1714" s="24" t="s">
        <v>790</v>
      </c>
      <c r="C1714" s="25" t="s">
        <v>789</v>
      </c>
      <c r="D1714" s="26" t="s">
        <v>1099</v>
      </c>
      <c r="E1714" s="25" t="s">
        <v>1098</v>
      </c>
      <c r="F1714" s="25" t="s">
        <v>1097</v>
      </c>
      <c r="G1714" s="24"/>
      <c r="H1714" s="25" t="s">
        <v>1096</v>
      </c>
      <c r="I1714" s="27"/>
      <c r="J1714" s="25" t="s">
        <v>1096</v>
      </c>
      <c r="K1714" s="27"/>
      <c r="L1714" s="25" t="s">
        <v>1107</v>
      </c>
      <c r="M1714" s="25" t="s">
        <v>1106</v>
      </c>
      <c r="N1714" s="25">
        <v>100</v>
      </c>
      <c r="O1714" s="25">
        <v>3</v>
      </c>
      <c r="P1714" s="25">
        <v>2</v>
      </c>
      <c r="Q1714" s="25">
        <v>1.5</v>
      </c>
      <c r="R1714" s="25"/>
      <c r="S1714" s="25">
        <v>1</v>
      </c>
      <c r="T1714" s="25">
        <v>1</v>
      </c>
      <c r="U1714" s="31">
        <f t="shared" si="27"/>
        <v>8.5</v>
      </c>
      <c r="V1714" s="25"/>
      <c r="W1714" s="33" t="s">
        <v>1105</v>
      </c>
      <c r="X1714" s="33"/>
      <c r="Y1714" s="33"/>
      <c r="Z1714" s="33" t="s">
        <v>1104</v>
      </c>
      <c r="AA1714" s="33"/>
    </row>
    <row r="1715" spans="1:27" s="70" customFormat="1" ht="45" x14ac:dyDescent="0.2">
      <c r="A1715" s="24">
        <v>1711</v>
      </c>
      <c r="B1715" s="24" t="s">
        <v>790</v>
      </c>
      <c r="C1715" s="25" t="s">
        <v>789</v>
      </c>
      <c r="D1715" s="26" t="s">
        <v>1099</v>
      </c>
      <c r="E1715" s="25" t="s">
        <v>1098</v>
      </c>
      <c r="F1715" s="25" t="s">
        <v>1097</v>
      </c>
      <c r="G1715" s="24"/>
      <c r="H1715" s="25" t="s">
        <v>1096</v>
      </c>
      <c r="I1715" s="27"/>
      <c r="J1715" s="25" t="s">
        <v>1096</v>
      </c>
      <c r="K1715" s="27"/>
      <c r="L1715" s="25" t="s">
        <v>1103</v>
      </c>
      <c r="M1715" s="25" t="s">
        <v>1102</v>
      </c>
      <c r="N1715" s="25">
        <v>350</v>
      </c>
      <c r="O1715" s="25">
        <v>1</v>
      </c>
      <c r="P1715" s="25">
        <v>0.75</v>
      </c>
      <c r="Q1715" s="25">
        <v>0.5</v>
      </c>
      <c r="R1715" s="25"/>
      <c r="S1715" s="25">
        <v>0.25</v>
      </c>
      <c r="T1715" s="25">
        <v>0.25</v>
      </c>
      <c r="U1715" s="31">
        <f t="shared" si="27"/>
        <v>2.75</v>
      </c>
      <c r="V1715" s="25"/>
      <c r="W1715" s="33" t="s">
        <v>1101</v>
      </c>
      <c r="X1715" s="33"/>
      <c r="Y1715" s="33"/>
      <c r="Z1715" s="33" t="s">
        <v>1100</v>
      </c>
      <c r="AA1715" s="33"/>
    </row>
    <row r="1716" spans="1:27" s="70" customFormat="1" ht="45" x14ac:dyDescent="0.2">
      <c r="A1716" s="24">
        <v>1712</v>
      </c>
      <c r="B1716" s="24" t="s">
        <v>790</v>
      </c>
      <c r="C1716" s="25" t="s">
        <v>789</v>
      </c>
      <c r="D1716" s="26" t="s">
        <v>1099</v>
      </c>
      <c r="E1716" s="25" t="s">
        <v>1098</v>
      </c>
      <c r="F1716" s="25" t="s">
        <v>1097</v>
      </c>
      <c r="G1716" s="24"/>
      <c r="H1716" s="25" t="s">
        <v>1096</v>
      </c>
      <c r="I1716" s="27"/>
      <c r="J1716" s="25" t="s">
        <v>1096</v>
      </c>
      <c r="K1716" s="27"/>
      <c r="L1716" s="25" t="s">
        <v>1095</v>
      </c>
      <c r="M1716" s="25" t="s">
        <v>1094</v>
      </c>
      <c r="N1716" s="25">
        <v>250</v>
      </c>
      <c r="O1716" s="25">
        <v>1.5</v>
      </c>
      <c r="P1716" s="25">
        <v>1.25</v>
      </c>
      <c r="Q1716" s="25">
        <v>1</v>
      </c>
      <c r="R1716" s="25"/>
      <c r="S1716" s="25"/>
      <c r="T1716" s="25"/>
      <c r="U1716" s="31">
        <f t="shared" si="27"/>
        <v>3.75</v>
      </c>
      <c r="V1716" s="25"/>
      <c r="W1716" s="33" t="s">
        <v>22</v>
      </c>
      <c r="X1716" s="33"/>
      <c r="Y1716" s="33"/>
      <c r="Z1716" s="33" t="s">
        <v>189</v>
      </c>
      <c r="AA1716" s="33"/>
    </row>
    <row r="1717" spans="1:27" s="70" customFormat="1" ht="67.5" x14ac:dyDescent="0.2">
      <c r="A1717" s="24">
        <v>1713</v>
      </c>
      <c r="B1717" s="24" t="s">
        <v>790</v>
      </c>
      <c r="C1717" s="25" t="s">
        <v>789</v>
      </c>
      <c r="D1717" s="26" t="s">
        <v>970</v>
      </c>
      <c r="E1717" s="25" t="s">
        <v>969</v>
      </c>
      <c r="F1717" s="25" t="s">
        <v>968</v>
      </c>
      <c r="G1717" s="24"/>
      <c r="H1717" s="25" t="s">
        <v>998</v>
      </c>
      <c r="I1717" s="27"/>
      <c r="J1717" s="28" t="s">
        <v>1086</v>
      </c>
      <c r="K1717" s="27"/>
      <c r="L1717" s="25" t="s">
        <v>1093</v>
      </c>
      <c r="M1717" s="25" t="s">
        <v>978</v>
      </c>
      <c r="N1717" s="25">
        <v>700</v>
      </c>
      <c r="O1717" s="25">
        <v>0.25</v>
      </c>
      <c r="P1717" s="25"/>
      <c r="Q1717" s="25"/>
      <c r="R1717" s="25"/>
      <c r="S1717" s="25">
        <v>1</v>
      </c>
      <c r="T1717" s="25"/>
      <c r="U1717" s="31">
        <f t="shared" si="27"/>
        <v>1.25</v>
      </c>
      <c r="V1717" s="25"/>
      <c r="W1717" s="33" t="s">
        <v>1069</v>
      </c>
      <c r="X1717" s="33"/>
      <c r="Y1717" s="33"/>
      <c r="Z1717" s="33" t="s">
        <v>189</v>
      </c>
      <c r="AA1717" s="33"/>
    </row>
    <row r="1718" spans="1:27" s="70" customFormat="1" ht="67.5" x14ac:dyDescent="0.2">
      <c r="A1718" s="24">
        <v>1714</v>
      </c>
      <c r="B1718" s="24" t="s">
        <v>790</v>
      </c>
      <c r="C1718" s="25" t="s">
        <v>789</v>
      </c>
      <c r="D1718" s="26" t="s">
        <v>970</v>
      </c>
      <c r="E1718" s="25" t="s">
        <v>969</v>
      </c>
      <c r="F1718" s="25" t="s">
        <v>968</v>
      </c>
      <c r="G1718" s="24"/>
      <c r="H1718" s="25" t="s">
        <v>998</v>
      </c>
      <c r="I1718" s="27"/>
      <c r="J1718" s="28" t="s">
        <v>1086</v>
      </c>
      <c r="K1718" s="27"/>
      <c r="L1718" s="25" t="s">
        <v>1092</v>
      </c>
      <c r="M1718" s="25" t="s">
        <v>1091</v>
      </c>
      <c r="N1718" s="25">
        <v>606</v>
      </c>
      <c r="O1718" s="25">
        <v>12</v>
      </c>
      <c r="P1718" s="25"/>
      <c r="Q1718" s="25"/>
      <c r="R1718" s="25"/>
      <c r="S1718" s="25">
        <v>2</v>
      </c>
      <c r="T1718" s="25"/>
      <c r="U1718" s="31">
        <f t="shared" si="27"/>
        <v>14</v>
      </c>
      <c r="V1718" s="25"/>
      <c r="W1718" s="33" t="s">
        <v>1090</v>
      </c>
      <c r="X1718" s="33"/>
      <c r="Y1718" s="33"/>
      <c r="Z1718" s="33" t="s">
        <v>189</v>
      </c>
      <c r="AA1718" s="33"/>
    </row>
    <row r="1719" spans="1:27" s="70" customFormat="1" ht="67.5" x14ac:dyDescent="0.2">
      <c r="A1719" s="24">
        <v>1715</v>
      </c>
      <c r="B1719" s="24" t="s">
        <v>790</v>
      </c>
      <c r="C1719" s="25" t="s">
        <v>789</v>
      </c>
      <c r="D1719" s="26" t="s">
        <v>970</v>
      </c>
      <c r="E1719" s="25" t="s">
        <v>969</v>
      </c>
      <c r="F1719" s="25" t="s">
        <v>968</v>
      </c>
      <c r="G1719" s="24"/>
      <c r="H1719" s="25" t="s">
        <v>998</v>
      </c>
      <c r="I1719" s="27"/>
      <c r="J1719" s="28" t="s">
        <v>1086</v>
      </c>
      <c r="K1719" s="27"/>
      <c r="L1719" s="25" t="s">
        <v>1089</v>
      </c>
      <c r="M1719" s="25" t="s">
        <v>1054</v>
      </c>
      <c r="N1719" s="25">
        <v>1</v>
      </c>
      <c r="O1719" s="25">
        <v>192</v>
      </c>
      <c r="P1719" s="25">
        <v>576</v>
      </c>
      <c r="Q1719" s="25"/>
      <c r="R1719" s="25"/>
      <c r="S1719" s="25">
        <v>240</v>
      </c>
      <c r="T1719" s="25">
        <v>90</v>
      </c>
      <c r="U1719" s="31">
        <f t="shared" si="27"/>
        <v>1098</v>
      </c>
      <c r="V1719" s="25"/>
      <c r="W1719" s="33" t="s">
        <v>800</v>
      </c>
      <c r="X1719" s="33"/>
      <c r="Y1719" s="33"/>
      <c r="Z1719" s="33" t="s">
        <v>1008</v>
      </c>
      <c r="AA1719" s="33"/>
    </row>
    <row r="1720" spans="1:27" s="70" customFormat="1" ht="67.5" x14ac:dyDescent="0.2">
      <c r="A1720" s="24">
        <v>1716</v>
      </c>
      <c r="B1720" s="24" t="s">
        <v>790</v>
      </c>
      <c r="C1720" s="25" t="s">
        <v>789</v>
      </c>
      <c r="D1720" s="26" t="s">
        <v>970</v>
      </c>
      <c r="E1720" s="25" t="s">
        <v>969</v>
      </c>
      <c r="F1720" s="25" t="s">
        <v>968</v>
      </c>
      <c r="G1720" s="24"/>
      <c r="H1720" s="25" t="s">
        <v>998</v>
      </c>
      <c r="I1720" s="27"/>
      <c r="J1720" s="28" t="s">
        <v>1086</v>
      </c>
      <c r="K1720" s="27"/>
      <c r="L1720" s="25" t="s">
        <v>1088</v>
      </c>
      <c r="M1720" s="25" t="s">
        <v>1087</v>
      </c>
      <c r="N1720" s="25">
        <v>1</v>
      </c>
      <c r="O1720" s="25">
        <v>8</v>
      </c>
      <c r="P1720" s="25">
        <v>4</v>
      </c>
      <c r="Q1720" s="25">
        <v>4</v>
      </c>
      <c r="R1720" s="25"/>
      <c r="S1720" s="25">
        <v>100</v>
      </c>
      <c r="T1720" s="25">
        <v>52</v>
      </c>
      <c r="U1720" s="31">
        <f t="shared" si="27"/>
        <v>168</v>
      </c>
      <c r="V1720" s="25"/>
      <c r="W1720" s="33" t="s">
        <v>22</v>
      </c>
      <c r="X1720" s="33"/>
      <c r="Y1720" s="33"/>
      <c r="Z1720" s="33" t="s">
        <v>1082</v>
      </c>
      <c r="AA1720" s="33"/>
    </row>
    <row r="1721" spans="1:27" s="70" customFormat="1" ht="67.5" x14ac:dyDescent="0.2">
      <c r="A1721" s="24">
        <v>1717</v>
      </c>
      <c r="B1721" s="24" t="s">
        <v>790</v>
      </c>
      <c r="C1721" s="25" t="s">
        <v>789</v>
      </c>
      <c r="D1721" s="26" t="s">
        <v>970</v>
      </c>
      <c r="E1721" s="25" t="s">
        <v>969</v>
      </c>
      <c r="F1721" s="25" t="s">
        <v>968</v>
      </c>
      <c r="G1721" s="24"/>
      <c r="H1721" s="25" t="s">
        <v>998</v>
      </c>
      <c r="I1721" s="27"/>
      <c r="J1721" s="28" t="s">
        <v>1086</v>
      </c>
      <c r="K1721" s="27"/>
      <c r="L1721" s="25" t="s">
        <v>1085</v>
      </c>
      <c r="M1721" s="25" t="s">
        <v>1084</v>
      </c>
      <c r="N1721" s="25">
        <v>94</v>
      </c>
      <c r="O1721" s="25">
        <v>304</v>
      </c>
      <c r="P1721" s="25">
        <v>30</v>
      </c>
      <c r="Q1721" s="25">
        <v>120</v>
      </c>
      <c r="R1721" s="25">
        <v>100</v>
      </c>
      <c r="S1721" s="25">
        <v>10</v>
      </c>
      <c r="T1721" s="25"/>
      <c r="U1721" s="31">
        <f t="shared" si="27"/>
        <v>564</v>
      </c>
      <c r="V1721" s="25"/>
      <c r="W1721" s="33" t="s">
        <v>1083</v>
      </c>
      <c r="X1721" s="33"/>
      <c r="Y1721" s="33"/>
      <c r="Z1721" s="33" t="s">
        <v>1082</v>
      </c>
      <c r="AA1721" s="33"/>
    </row>
    <row r="1722" spans="1:27" s="70" customFormat="1" ht="67.5" x14ac:dyDescent="0.2">
      <c r="A1722" s="24">
        <v>1718</v>
      </c>
      <c r="B1722" s="24" t="s">
        <v>790</v>
      </c>
      <c r="C1722" s="25" t="s">
        <v>789</v>
      </c>
      <c r="D1722" s="26" t="s">
        <v>970</v>
      </c>
      <c r="E1722" s="25" t="s">
        <v>969</v>
      </c>
      <c r="F1722" s="25" t="s">
        <v>968</v>
      </c>
      <c r="G1722" s="24"/>
      <c r="H1722" s="25" t="s">
        <v>998</v>
      </c>
      <c r="I1722" s="27"/>
      <c r="J1722" s="28" t="s">
        <v>1053</v>
      </c>
      <c r="K1722" s="27"/>
      <c r="L1722" s="25" t="s">
        <v>1081</v>
      </c>
      <c r="M1722" s="25" t="s">
        <v>978</v>
      </c>
      <c r="N1722" s="25">
        <v>909</v>
      </c>
      <c r="O1722" s="25">
        <v>4</v>
      </c>
      <c r="P1722" s="25">
        <v>2</v>
      </c>
      <c r="Q1722" s="25"/>
      <c r="R1722" s="25"/>
      <c r="S1722" s="25">
        <v>1</v>
      </c>
      <c r="T1722" s="25"/>
      <c r="U1722" s="31">
        <f t="shared" si="27"/>
        <v>7</v>
      </c>
      <c r="V1722" s="25"/>
      <c r="W1722" s="33" t="s">
        <v>419</v>
      </c>
      <c r="X1722" s="33"/>
      <c r="Y1722" s="33"/>
      <c r="Z1722" s="33" t="s">
        <v>1080</v>
      </c>
      <c r="AA1722" s="33"/>
    </row>
    <row r="1723" spans="1:27" s="70" customFormat="1" ht="67.5" x14ac:dyDescent="0.2">
      <c r="A1723" s="24">
        <v>1719</v>
      </c>
      <c r="B1723" s="24" t="s">
        <v>790</v>
      </c>
      <c r="C1723" s="25" t="s">
        <v>789</v>
      </c>
      <c r="D1723" s="26" t="s">
        <v>970</v>
      </c>
      <c r="E1723" s="25" t="s">
        <v>969</v>
      </c>
      <c r="F1723" s="25" t="s">
        <v>968</v>
      </c>
      <c r="G1723" s="24"/>
      <c r="H1723" s="25" t="s">
        <v>998</v>
      </c>
      <c r="I1723" s="27"/>
      <c r="J1723" s="28" t="s">
        <v>1053</v>
      </c>
      <c r="K1723" s="27"/>
      <c r="L1723" s="25" t="s">
        <v>1079</v>
      </c>
      <c r="M1723" s="25" t="s">
        <v>1078</v>
      </c>
      <c r="N1723" s="25">
        <v>303</v>
      </c>
      <c r="O1723" s="25">
        <v>60</v>
      </c>
      <c r="P1723" s="25"/>
      <c r="Q1723" s="25"/>
      <c r="R1723" s="25"/>
      <c r="S1723" s="25"/>
      <c r="T1723" s="25"/>
      <c r="U1723" s="31">
        <f t="shared" si="27"/>
        <v>60</v>
      </c>
      <c r="V1723" s="25"/>
      <c r="W1723" s="33" t="s">
        <v>1077</v>
      </c>
      <c r="X1723" s="33"/>
      <c r="Y1723" s="33"/>
      <c r="Z1723" s="33" t="s">
        <v>189</v>
      </c>
      <c r="AA1723" s="33"/>
    </row>
    <row r="1724" spans="1:27" s="70" customFormat="1" ht="67.5" x14ac:dyDescent="0.2">
      <c r="A1724" s="24">
        <v>1720</v>
      </c>
      <c r="B1724" s="24" t="s">
        <v>790</v>
      </c>
      <c r="C1724" s="25" t="s">
        <v>789</v>
      </c>
      <c r="D1724" s="26" t="s">
        <v>970</v>
      </c>
      <c r="E1724" s="25" t="s">
        <v>969</v>
      </c>
      <c r="F1724" s="25" t="s">
        <v>968</v>
      </c>
      <c r="G1724" s="24"/>
      <c r="H1724" s="25" t="s">
        <v>998</v>
      </c>
      <c r="I1724" s="27"/>
      <c r="J1724" s="28" t="s">
        <v>1053</v>
      </c>
      <c r="K1724" s="27"/>
      <c r="L1724" s="25" t="s">
        <v>1076</v>
      </c>
      <c r="M1724" s="25" t="s">
        <v>978</v>
      </c>
      <c r="N1724" s="25">
        <v>12</v>
      </c>
      <c r="O1724" s="25">
        <v>9</v>
      </c>
      <c r="P1724" s="25"/>
      <c r="Q1724" s="25"/>
      <c r="R1724" s="25"/>
      <c r="S1724" s="25">
        <v>0.5</v>
      </c>
      <c r="T1724" s="25"/>
      <c r="U1724" s="31">
        <f t="shared" si="27"/>
        <v>9.5</v>
      </c>
      <c r="V1724" s="25"/>
      <c r="W1724" s="33" t="s">
        <v>1074</v>
      </c>
      <c r="X1724" s="33"/>
      <c r="Y1724" s="33"/>
      <c r="Z1724" s="33" t="s">
        <v>986</v>
      </c>
      <c r="AA1724" s="33"/>
    </row>
    <row r="1725" spans="1:27" s="70" customFormat="1" ht="67.5" x14ac:dyDescent="0.2">
      <c r="A1725" s="24">
        <v>1721</v>
      </c>
      <c r="B1725" s="24" t="s">
        <v>790</v>
      </c>
      <c r="C1725" s="25" t="s">
        <v>789</v>
      </c>
      <c r="D1725" s="26" t="s">
        <v>970</v>
      </c>
      <c r="E1725" s="25" t="s">
        <v>969</v>
      </c>
      <c r="F1725" s="25" t="s">
        <v>968</v>
      </c>
      <c r="G1725" s="24"/>
      <c r="H1725" s="25" t="s">
        <v>998</v>
      </c>
      <c r="I1725" s="27"/>
      <c r="J1725" s="28" t="s">
        <v>1053</v>
      </c>
      <c r="K1725" s="27"/>
      <c r="L1725" s="25" t="s">
        <v>1075</v>
      </c>
      <c r="M1725" s="25" t="s">
        <v>978</v>
      </c>
      <c r="N1725" s="25">
        <v>24</v>
      </c>
      <c r="O1725" s="25">
        <v>2</v>
      </c>
      <c r="P1725" s="25"/>
      <c r="Q1725" s="25"/>
      <c r="R1725" s="25"/>
      <c r="S1725" s="25"/>
      <c r="T1725" s="25"/>
      <c r="U1725" s="31">
        <f t="shared" si="27"/>
        <v>2</v>
      </c>
      <c r="V1725" s="25"/>
      <c r="W1725" s="33" t="s">
        <v>1074</v>
      </c>
      <c r="X1725" s="33"/>
      <c r="Y1725" s="33"/>
      <c r="Z1725" s="33" t="s">
        <v>986</v>
      </c>
      <c r="AA1725" s="33"/>
    </row>
    <row r="1726" spans="1:27" s="70" customFormat="1" ht="67.5" x14ac:dyDescent="0.2">
      <c r="A1726" s="24">
        <v>1722</v>
      </c>
      <c r="B1726" s="24" t="s">
        <v>790</v>
      </c>
      <c r="C1726" s="25" t="s">
        <v>789</v>
      </c>
      <c r="D1726" s="26" t="s">
        <v>970</v>
      </c>
      <c r="E1726" s="25" t="s">
        <v>969</v>
      </c>
      <c r="F1726" s="25" t="s">
        <v>968</v>
      </c>
      <c r="G1726" s="24"/>
      <c r="H1726" s="25" t="s">
        <v>998</v>
      </c>
      <c r="I1726" s="27"/>
      <c r="J1726" s="28" t="s">
        <v>1053</v>
      </c>
      <c r="K1726" s="27"/>
      <c r="L1726" s="25" t="s">
        <v>1073</v>
      </c>
      <c r="M1726" s="25" t="s">
        <v>978</v>
      </c>
      <c r="N1726" s="25">
        <v>120</v>
      </c>
      <c r="O1726" s="25">
        <v>12</v>
      </c>
      <c r="P1726" s="25"/>
      <c r="Q1726" s="25"/>
      <c r="R1726" s="25"/>
      <c r="S1726" s="25">
        <v>0.5</v>
      </c>
      <c r="T1726" s="25"/>
      <c r="U1726" s="31">
        <f t="shared" si="27"/>
        <v>12.5</v>
      </c>
      <c r="V1726" s="25"/>
      <c r="W1726" s="33" t="s">
        <v>1071</v>
      </c>
      <c r="X1726" s="33"/>
      <c r="Y1726" s="33"/>
      <c r="Z1726" s="33" t="s">
        <v>986</v>
      </c>
      <c r="AA1726" s="33"/>
    </row>
    <row r="1727" spans="1:27" s="70" customFormat="1" ht="67.5" x14ac:dyDescent="0.2">
      <c r="A1727" s="24">
        <v>1723</v>
      </c>
      <c r="B1727" s="24" t="s">
        <v>790</v>
      </c>
      <c r="C1727" s="25" t="s">
        <v>789</v>
      </c>
      <c r="D1727" s="26" t="s">
        <v>970</v>
      </c>
      <c r="E1727" s="25" t="s">
        <v>969</v>
      </c>
      <c r="F1727" s="25" t="s">
        <v>968</v>
      </c>
      <c r="G1727" s="24"/>
      <c r="H1727" s="25" t="s">
        <v>998</v>
      </c>
      <c r="I1727" s="27"/>
      <c r="J1727" s="28" t="s">
        <v>1053</v>
      </c>
      <c r="K1727" s="27"/>
      <c r="L1727" s="25" t="s">
        <v>1072</v>
      </c>
      <c r="M1727" s="25" t="s">
        <v>978</v>
      </c>
      <c r="N1727" s="25">
        <v>120</v>
      </c>
      <c r="O1727" s="25">
        <v>12</v>
      </c>
      <c r="P1727" s="25"/>
      <c r="Q1727" s="25"/>
      <c r="R1727" s="25"/>
      <c r="S1727" s="25">
        <v>0.5</v>
      </c>
      <c r="T1727" s="25"/>
      <c r="U1727" s="31">
        <f t="shared" si="27"/>
        <v>12.5</v>
      </c>
      <c r="V1727" s="25"/>
      <c r="W1727" s="33" t="s">
        <v>1071</v>
      </c>
      <c r="X1727" s="33"/>
      <c r="Y1727" s="33"/>
      <c r="Z1727" s="33" t="s">
        <v>986</v>
      </c>
      <c r="AA1727" s="33"/>
    </row>
    <row r="1728" spans="1:27" s="70" customFormat="1" ht="67.5" x14ac:dyDescent="0.2">
      <c r="A1728" s="24">
        <v>1724</v>
      </c>
      <c r="B1728" s="24" t="s">
        <v>790</v>
      </c>
      <c r="C1728" s="25" t="s">
        <v>789</v>
      </c>
      <c r="D1728" s="26" t="s">
        <v>970</v>
      </c>
      <c r="E1728" s="25" t="s">
        <v>969</v>
      </c>
      <c r="F1728" s="25" t="s">
        <v>968</v>
      </c>
      <c r="G1728" s="24"/>
      <c r="H1728" s="25" t="s">
        <v>998</v>
      </c>
      <c r="I1728" s="27"/>
      <c r="J1728" s="28" t="s">
        <v>1053</v>
      </c>
      <c r="K1728" s="27"/>
      <c r="L1728" s="25" t="s">
        <v>1070</v>
      </c>
      <c r="M1728" s="25" t="s">
        <v>1031</v>
      </c>
      <c r="N1728" s="25">
        <v>303</v>
      </c>
      <c r="O1728" s="25">
        <v>90</v>
      </c>
      <c r="P1728" s="25">
        <v>6</v>
      </c>
      <c r="Q1728" s="25"/>
      <c r="R1728" s="25"/>
      <c r="S1728" s="25">
        <v>4</v>
      </c>
      <c r="T1728" s="25"/>
      <c r="U1728" s="31">
        <f t="shared" si="27"/>
        <v>100</v>
      </c>
      <c r="V1728" s="25"/>
      <c r="W1728" s="33" t="s">
        <v>1069</v>
      </c>
      <c r="X1728" s="33"/>
      <c r="Y1728" s="33"/>
      <c r="Z1728" s="33" t="s">
        <v>1068</v>
      </c>
      <c r="AA1728" s="33"/>
    </row>
    <row r="1729" spans="1:27" s="70" customFormat="1" ht="67.5" x14ac:dyDescent="0.2">
      <c r="A1729" s="24">
        <v>1725</v>
      </c>
      <c r="B1729" s="24" t="s">
        <v>790</v>
      </c>
      <c r="C1729" s="25" t="s">
        <v>789</v>
      </c>
      <c r="D1729" s="26" t="s">
        <v>970</v>
      </c>
      <c r="E1729" s="25" t="s">
        <v>969</v>
      </c>
      <c r="F1729" s="25" t="s">
        <v>968</v>
      </c>
      <c r="G1729" s="24"/>
      <c r="H1729" s="25" t="s">
        <v>998</v>
      </c>
      <c r="I1729" s="27"/>
      <c r="J1729" s="28" t="s">
        <v>1053</v>
      </c>
      <c r="K1729" s="27"/>
      <c r="L1729" s="25" t="s">
        <v>1067</v>
      </c>
      <c r="M1729" s="25" t="s">
        <v>978</v>
      </c>
      <c r="N1729" s="25">
        <v>12</v>
      </c>
      <c r="O1729" s="25">
        <v>16</v>
      </c>
      <c r="P1729" s="25"/>
      <c r="Q1729" s="25"/>
      <c r="R1729" s="25"/>
      <c r="S1729" s="25">
        <v>2</v>
      </c>
      <c r="T1729" s="25"/>
      <c r="U1729" s="31">
        <f t="shared" si="27"/>
        <v>18</v>
      </c>
      <c r="V1729" s="25"/>
      <c r="W1729" s="33" t="s">
        <v>22</v>
      </c>
      <c r="X1729" s="33"/>
      <c r="Y1729" s="33"/>
      <c r="Z1729" s="33" t="s">
        <v>189</v>
      </c>
      <c r="AA1729" s="33"/>
    </row>
    <row r="1730" spans="1:27" s="70" customFormat="1" ht="67.5" x14ac:dyDescent="0.2">
      <c r="A1730" s="24">
        <v>1726</v>
      </c>
      <c r="B1730" s="24" t="s">
        <v>790</v>
      </c>
      <c r="C1730" s="25" t="s">
        <v>789</v>
      </c>
      <c r="D1730" s="26" t="s">
        <v>970</v>
      </c>
      <c r="E1730" s="25" t="s">
        <v>969</v>
      </c>
      <c r="F1730" s="25" t="s">
        <v>968</v>
      </c>
      <c r="G1730" s="24"/>
      <c r="H1730" s="25" t="s">
        <v>998</v>
      </c>
      <c r="I1730" s="27"/>
      <c r="J1730" s="28" t="s">
        <v>1053</v>
      </c>
      <c r="K1730" s="27"/>
      <c r="L1730" s="25" t="s">
        <v>1066</v>
      </c>
      <c r="M1730" s="25" t="s">
        <v>895</v>
      </c>
      <c r="N1730" s="25">
        <v>1515</v>
      </c>
      <c r="O1730" s="25"/>
      <c r="P1730" s="25">
        <v>0.16666666666666666</v>
      </c>
      <c r="Q1730" s="25"/>
      <c r="R1730" s="25"/>
      <c r="S1730" s="25"/>
      <c r="T1730" s="25"/>
      <c r="U1730" s="31">
        <f t="shared" si="27"/>
        <v>0.16666666666666666</v>
      </c>
      <c r="V1730" s="25"/>
      <c r="W1730" s="33" t="s">
        <v>1063</v>
      </c>
      <c r="X1730" s="33"/>
      <c r="Y1730" s="33"/>
      <c r="Z1730" s="33"/>
      <c r="AA1730" s="33"/>
    </row>
    <row r="1731" spans="1:27" s="70" customFormat="1" ht="67.5" x14ac:dyDescent="0.2">
      <c r="A1731" s="24">
        <v>1727</v>
      </c>
      <c r="B1731" s="24" t="s">
        <v>790</v>
      </c>
      <c r="C1731" s="25" t="s">
        <v>789</v>
      </c>
      <c r="D1731" s="26" t="s">
        <v>970</v>
      </c>
      <c r="E1731" s="25" t="s">
        <v>969</v>
      </c>
      <c r="F1731" s="25" t="s">
        <v>968</v>
      </c>
      <c r="G1731" s="24"/>
      <c r="H1731" s="25" t="s">
        <v>998</v>
      </c>
      <c r="I1731" s="27"/>
      <c r="J1731" s="28" t="s">
        <v>1053</v>
      </c>
      <c r="K1731" s="27"/>
      <c r="L1731" s="25" t="s">
        <v>1065</v>
      </c>
      <c r="M1731" s="25" t="s">
        <v>895</v>
      </c>
      <c r="N1731" s="25">
        <v>230</v>
      </c>
      <c r="O1731" s="25"/>
      <c r="P1731" s="25">
        <v>8.3333333333333329E-2</v>
      </c>
      <c r="Q1731" s="25"/>
      <c r="R1731" s="25"/>
      <c r="S1731" s="25"/>
      <c r="T1731" s="25"/>
      <c r="U1731" s="31">
        <f t="shared" si="27"/>
        <v>8.3333333333333329E-2</v>
      </c>
      <c r="V1731" s="25"/>
      <c r="W1731" s="33" t="s">
        <v>1063</v>
      </c>
      <c r="X1731" s="33"/>
      <c r="Y1731" s="33"/>
      <c r="Z1731" s="33"/>
      <c r="AA1731" s="33"/>
    </row>
    <row r="1732" spans="1:27" s="70" customFormat="1" ht="67.5" x14ac:dyDescent="0.2">
      <c r="A1732" s="24">
        <v>1728</v>
      </c>
      <c r="B1732" s="24" t="s">
        <v>790</v>
      </c>
      <c r="C1732" s="25" t="s">
        <v>789</v>
      </c>
      <c r="D1732" s="26" t="s">
        <v>970</v>
      </c>
      <c r="E1732" s="25" t="s">
        <v>969</v>
      </c>
      <c r="F1732" s="25" t="s">
        <v>968</v>
      </c>
      <c r="G1732" s="24"/>
      <c r="H1732" s="25" t="s">
        <v>998</v>
      </c>
      <c r="I1732" s="27"/>
      <c r="J1732" s="28" t="s">
        <v>1053</v>
      </c>
      <c r="K1732" s="27"/>
      <c r="L1732" s="25" t="s">
        <v>1064</v>
      </c>
      <c r="M1732" s="25" t="s">
        <v>895</v>
      </c>
      <c r="N1732" s="25">
        <v>230</v>
      </c>
      <c r="O1732" s="25"/>
      <c r="P1732" s="25">
        <v>8.3333333333333329E-2</v>
      </c>
      <c r="Q1732" s="25"/>
      <c r="R1732" s="25"/>
      <c r="S1732" s="25"/>
      <c r="T1732" s="25"/>
      <c r="U1732" s="31">
        <f t="shared" si="27"/>
        <v>8.3333333333333329E-2</v>
      </c>
      <c r="V1732" s="25"/>
      <c r="W1732" s="33" t="s">
        <v>1063</v>
      </c>
      <c r="X1732" s="33"/>
      <c r="Y1732" s="33"/>
      <c r="Z1732" s="33"/>
      <c r="AA1732" s="33"/>
    </row>
    <row r="1733" spans="1:27" s="70" customFormat="1" ht="67.5" x14ac:dyDescent="0.2">
      <c r="A1733" s="24">
        <v>1729</v>
      </c>
      <c r="B1733" s="24" t="s">
        <v>790</v>
      </c>
      <c r="C1733" s="25" t="s">
        <v>789</v>
      </c>
      <c r="D1733" s="26" t="s">
        <v>970</v>
      </c>
      <c r="E1733" s="25" t="s">
        <v>969</v>
      </c>
      <c r="F1733" s="25" t="s">
        <v>968</v>
      </c>
      <c r="G1733" s="24"/>
      <c r="H1733" s="25" t="s">
        <v>998</v>
      </c>
      <c r="I1733" s="27"/>
      <c r="J1733" s="28" t="s">
        <v>1053</v>
      </c>
      <c r="K1733" s="27"/>
      <c r="L1733" s="25" t="s">
        <v>1062</v>
      </c>
      <c r="M1733" s="25" t="s">
        <v>1031</v>
      </c>
      <c r="N1733" s="25">
        <v>20</v>
      </c>
      <c r="O1733" s="25">
        <v>16</v>
      </c>
      <c r="P1733" s="25">
        <v>8</v>
      </c>
      <c r="Q1733" s="25"/>
      <c r="R1733" s="25"/>
      <c r="S1733" s="25">
        <v>0</v>
      </c>
      <c r="T1733" s="25"/>
      <c r="U1733" s="31">
        <f t="shared" si="27"/>
        <v>24</v>
      </c>
      <c r="V1733" s="25"/>
      <c r="W1733" s="33" t="s">
        <v>198</v>
      </c>
      <c r="X1733" s="33"/>
      <c r="Y1733" s="33"/>
      <c r="Z1733" s="33" t="s">
        <v>353</v>
      </c>
      <c r="AA1733" s="33"/>
    </row>
    <row r="1734" spans="1:27" s="70" customFormat="1" ht="67.5" x14ac:dyDescent="0.2">
      <c r="A1734" s="24">
        <v>1730</v>
      </c>
      <c r="B1734" s="24" t="s">
        <v>790</v>
      </c>
      <c r="C1734" s="25" t="s">
        <v>789</v>
      </c>
      <c r="D1734" s="26" t="s">
        <v>970</v>
      </c>
      <c r="E1734" s="25" t="s">
        <v>969</v>
      </c>
      <c r="F1734" s="25" t="s">
        <v>968</v>
      </c>
      <c r="G1734" s="24"/>
      <c r="H1734" s="25" t="s">
        <v>998</v>
      </c>
      <c r="I1734" s="27"/>
      <c r="J1734" s="28" t="s">
        <v>1053</v>
      </c>
      <c r="K1734" s="27"/>
      <c r="L1734" s="25" t="s">
        <v>1061</v>
      </c>
      <c r="M1734" s="25" t="s">
        <v>1031</v>
      </c>
      <c r="N1734" s="25">
        <v>240</v>
      </c>
      <c r="O1734" s="25">
        <v>40</v>
      </c>
      <c r="P1734" s="25">
        <v>8</v>
      </c>
      <c r="Q1734" s="25"/>
      <c r="R1734" s="25"/>
      <c r="S1734" s="25"/>
      <c r="T1734" s="25"/>
      <c r="U1734" s="31">
        <f t="shared" ref="U1734:U1797" si="28">SUM(O1734:T1734)</f>
        <v>48</v>
      </c>
      <c r="V1734" s="25"/>
      <c r="W1734" s="33" t="s">
        <v>198</v>
      </c>
      <c r="X1734" s="33"/>
      <c r="Y1734" s="33"/>
      <c r="Z1734" s="33" t="s">
        <v>1059</v>
      </c>
      <c r="AA1734" s="33"/>
    </row>
    <row r="1735" spans="1:27" s="70" customFormat="1" ht="67.5" x14ac:dyDescent="0.2">
      <c r="A1735" s="24">
        <v>1731</v>
      </c>
      <c r="B1735" s="24" t="s">
        <v>790</v>
      </c>
      <c r="C1735" s="25" t="s">
        <v>789</v>
      </c>
      <c r="D1735" s="26" t="s">
        <v>970</v>
      </c>
      <c r="E1735" s="25" t="s">
        <v>969</v>
      </c>
      <c r="F1735" s="25" t="s">
        <v>968</v>
      </c>
      <c r="G1735" s="24"/>
      <c r="H1735" s="25" t="s">
        <v>998</v>
      </c>
      <c r="I1735" s="27"/>
      <c r="J1735" s="28" t="s">
        <v>1053</v>
      </c>
      <c r="K1735" s="27"/>
      <c r="L1735" s="25" t="s">
        <v>1060</v>
      </c>
      <c r="M1735" s="25" t="s">
        <v>895</v>
      </c>
      <c r="N1735" s="25">
        <v>12</v>
      </c>
      <c r="O1735" s="25">
        <v>16</v>
      </c>
      <c r="P1735" s="25">
        <v>8</v>
      </c>
      <c r="Q1735" s="25"/>
      <c r="R1735" s="25"/>
      <c r="S1735" s="25"/>
      <c r="T1735" s="25">
        <v>8</v>
      </c>
      <c r="U1735" s="31">
        <f t="shared" si="28"/>
        <v>32</v>
      </c>
      <c r="V1735" s="25"/>
      <c r="W1735" s="33" t="s">
        <v>198</v>
      </c>
      <c r="X1735" s="33"/>
      <c r="Y1735" s="33"/>
      <c r="Z1735" s="33" t="s">
        <v>1059</v>
      </c>
      <c r="AA1735" s="33"/>
    </row>
    <row r="1736" spans="1:27" s="70" customFormat="1" ht="67.5" x14ac:dyDescent="0.2">
      <c r="A1736" s="24">
        <v>1732</v>
      </c>
      <c r="B1736" s="24" t="s">
        <v>790</v>
      </c>
      <c r="C1736" s="25" t="s">
        <v>789</v>
      </c>
      <c r="D1736" s="26" t="s">
        <v>970</v>
      </c>
      <c r="E1736" s="25" t="s">
        <v>969</v>
      </c>
      <c r="F1736" s="25" t="s">
        <v>968</v>
      </c>
      <c r="G1736" s="24"/>
      <c r="H1736" s="25" t="s">
        <v>998</v>
      </c>
      <c r="I1736" s="27"/>
      <c r="J1736" s="28" t="s">
        <v>1053</v>
      </c>
      <c r="K1736" s="27"/>
      <c r="L1736" s="25" t="s">
        <v>1058</v>
      </c>
      <c r="M1736" s="25" t="s">
        <v>978</v>
      </c>
      <c r="N1736" s="25">
        <v>4</v>
      </c>
      <c r="O1736" s="25">
        <v>80</v>
      </c>
      <c r="P1736" s="25">
        <v>16</v>
      </c>
      <c r="Q1736" s="25"/>
      <c r="R1736" s="25"/>
      <c r="S1736" s="25"/>
      <c r="T1736" s="25"/>
      <c r="U1736" s="31">
        <f t="shared" si="28"/>
        <v>96</v>
      </c>
      <c r="V1736" s="25"/>
      <c r="W1736" s="33" t="s">
        <v>198</v>
      </c>
      <c r="X1736" s="33"/>
      <c r="Y1736" s="33"/>
      <c r="Z1736" s="33" t="s">
        <v>353</v>
      </c>
      <c r="AA1736" s="33"/>
    </row>
    <row r="1737" spans="1:27" s="70" customFormat="1" ht="67.5" x14ac:dyDescent="0.2">
      <c r="A1737" s="24">
        <v>1733</v>
      </c>
      <c r="B1737" s="24" t="s">
        <v>790</v>
      </c>
      <c r="C1737" s="25" t="s">
        <v>789</v>
      </c>
      <c r="D1737" s="26" t="s">
        <v>970</v>
      </c>
      <c r="E1737" s="25" t="s">
        <v>969</v>
      </c>
      <c r="F1737" s="25" t="s">
        <v>968</v>
      </c>
      <c r="G1737" s="24"/>
      <c r="H1737" s="25" t="s">
        <v>998</v>
      </c>
      <c r="I1737" s="27"/>
      <c r="J1737" s="28" t="s">
        <v>1053</v>
      </c>
      <c r="K1737" s="27"/>
      <c r="L1737" s="25" t="s">
        <v>1057</v>
      </c>
      <c r="M1737" s="25" t="s">
        <v>978</v>
      </c>
      <c r="N1737" s="25">
        <v>1</v>
      </c>
      <c r="O1737" s="25">
        <v>160</v>
      </c>
      <c r="P1737" s="25">
        <v>32</v>
      </c>
      <c r="Q1737" s="25"/>
      <c r="R1737" s="25"/>
      <c r="S1737" s="25">
        <v>32</v>
      </c>
      <c r="T1737" s="25"/>
      <c r="U1737" s="31">
        <f t="shared" si="28"/>
        <v>224</v>
      </c>
      <c r="V1737" s="25"/>
      <c r="W1737" s="33" t="s">
        <v>22</v>
      </c>
      <c r="X1737" s="33"/>
      <c r="Y1737" s="33"/>
      <c r="Z1737" s="33" t="s">
        <v>189</v>
      </c>
      <c r="AA1737" s="33"/>
    </row>
    <row r="1738" spans="1:27" s="70" customFormat="1" ht="67.5" x14ac:dyDescent="0.2">
      <c r="A1738" s="24">
        <v>1734</v>
      </c>
      <c r="B1738" s="24" t="s">
        <v>790</v>
      </c>
      <c r="C1738" s="25" t="s">
        <v>789</v>
      </c>
      <c r="D1738" s="26" t="s">
        <v>970</v>
      </c>
      <c r="E1738" s="25" t="s">
        <v>969</v>
      </c>
      <c r="F1738" s="25" t="s">
        <v>968</v>
      </c>
      <c r="G1738" s="24"/>
      <c r="H1738" s="25" t="s">
        <v>998</v>
      </c>
      <c r="I1738" s="27"/>
      <c r="J1738" s="28" t="s">
        <v>1053</v>
      </c>
      <c r="K1738" s="27"/>
      <c r="L1738" s="25" t="s">
        <v>1056</v>
      </c>
      <c r="M1738" s="25" t="s">
        <v>1054</v>
      </c>
      <c r="N1738" s="25">
        <v>1</v>
      </c>
      <c r="O1738" s="25"/>
      <c r="P1738" s="25">
        <v>360</v>
      </c>
      <c r="Q1738" s="25"/>
      <c r="R1738" s="25"/>
      <c r="S1738" s="25">
        <v>160</v>
      </c>
      <c r="T1738" s="25">
        <v>96</v>
      </c>
      <c r="U1738" s="31">
        <f t="shared" si="28"/>
        <v>616</v>
      </c>
      <c r="V1738" s="25"/>
      <c r="W1738" s="33" t="s">
        <v>198</v>
      </c>
      <c r="X1738" s="33"/>
      <c r="Y1738" s="33"/>
      <c r="Z1738" s="33" t="s">
        <v>353</v>
      </c>
      <c r="AA1738" s="33"/>
    </row>
    <row r="1739" spans="1:27" s="70" customFormat="1" ht="67.5" x14ac:dyDescent="0.2">
      <c r="A1739" s="24">
        <v>1735</v>
      </c>
      <c r="B1739" s="24" t="s">
        <v>790</v>
      </c>
      <c r="C1739" s="25" t="s">
        <v>789</v>
      </c>
      <c r="D1739" s="26" t="s">
        <v>970</v>
      </c>
      <c r="E1739" s="25" t="s">
        <v>969</v>
      </c>
      <c r="F1739" s="25" t="s">
        <v>968</v>
      </c>
      <c r="G1739" s="24"/>
      <c r="H1739" s="25" t="s">
        <v>998</v>
      </c>
      <c r="I1739" s="27"/>
      <c r="J1739" s="28" t="s">
        <v>1053</v>
      </c>
      <c r="K1739" s="27"/>
      <c r="L1739" s="25" t="s">
        <v>1055</v>
      </c>
      <c r="M1739" s="25" t="s">
        <v>1054</v>
      </c>
      <c r="N1739" s="25">
        <v>1</v>
      </c>
      <c r="O1739" s="25">
        <v>632</v>
      </c>
      <c r="P1739" s="25">
        <v>208</v>
      </c>
      <c r="Q1739" s="25"/>
      <c r="R1739" s="25"/>
      <c r="S1739" s="25">
        <v>44</v>
      </c>
      <c r="T1739" s="25">
        <v>22</v>
      </c>
      <c r="U1739" s="31">
        <f t="shared" si="28"/>
        <v>906</v>
      </c>
      <c r="V1739" s="25"/>
      <c r="W1739" s="33" t="s">
        <v>800</v>
      </c>
      <c r="X1739" s="33"/>
      <c r="Y1739" s="33"/>
      <c r="Z1739" s="33" t="s">
        <v>353</v>
      </c>
      <c r="AA1739" s="33"/>
    </row>
    <row r="1740" spans="1:27" s="70" customFormat="1" ht="67.5" x14ac:dyDescent="0.2">
      <c r="A1740" s="24">
        <v>1736</v>
      </c>
      <c r="B1740" s="24" t="s">
        <v>790</v>
      </c>
      <c r="C1740" s="25" t="s">
        <v>789</v>
      </c>
      <c r="D1740" s="26" t="s">
        <v>970</v>
      </c>
      <c r="E1740" s="25" t="s">
        <v>969</v>
      </c>
      <c r="F1740" s="25" t="s">
        <v>968</v>
      </c>
      <c r="G1740" s="24"/>
      <c r="H1740" s="25" t="s">
        <v>998</v>
      </c>
      <c r="I1740" s="27"/>
      <c r="J1740" s="28" t="s">
        <v>1053</v>
      </c>
      <c r="K1740" s="27"/>
      <c r="L1740" s="25" t="s">
        <v>1052</v>
      </c>
      <c r="M1740" s="25" t="s">
        <v>190</v>
      </c>
      <c r="N1740" s="25">
        <v>4</v>
      </c>
      <c r="O1740" s="25"/>
      <c r="P1740" s="25">
        <v>1</v>
      </c>
      <c r="Q1740" s="25"/>
      <c r="R1740" s="25"/>
      <c r="S1740" s="25">
        <v>0.25</v>
      </c>
      <c r="T1740" s="25">
        <v>0.25</v>
      </c>
      <c r="U1740" s="31">
        <f t="shared" si="28"/>
        <v>1.5</v>
      </c>
      <c r="V1740" s="25"/>
      <c r="W1740" s="33" t="s">
        <v>22</v>
      </c>
      <c r="X1740" s="33"/>
      <c r="Y1740" s="33"/>
      <c r="Z1740" s="33" t="s">
        <v>189</v>
      </c>
      <c r="AA1740" s="33"/>
    </row>
    <row r="1741" spans="1:27" s="70" customFormat="1" ht="67.5" x14ac:dyDescent="0.2">
      <c r="A1741" s="24">
        <v>1737</v>
      </c>
      <c r="B1741" s="24" t="s">
        <v>790</v>
      </c>
      <c r="C1741" s="25" t="s">
        <v>789</v>
      </c>
      <c r="D1741" s="26" t="s">
        <v>970</v>
      </c>
      <c r="E1741" s="25" t="s">
        <v>969</v>
      </c>
      <c r="F1741" s="25" t="s">
        <v>968</v>
      </c>
      <c r="G1741" s="24"/>
      <c r="H1741" s="25" t="s">
        <v>998</v>
      </c>
      <c r="I1741" s="27"/>
      <c r="J1741" s="28" t="s">
        <v>1043</v>
      </c>
      <c r="K1741" s="27"/>
      <c r="L1741" s="25" t="s">
        <v>1051</v>
      </c>
      <c r="M1741" s="25" t="s">
        <v>412</v>
      </c>
      <c r="N1741" s="25">
        <v>1</v>
      </c>
      <c r="O1741" s="25"/>
      <c r="P1741" s="25">
        <v>192</v>
      </c>
      <c r="Q1741" s="25">
        <v>88</v>
      </c>
      <c r="R1741" s="25"/>
      <c r="S1741" s="25">
        <v>44</v>
      </c>
      <c r="T1741" s="25">
        <v>44</v>
      </c>
      <c r="U1741" s="31">
        <f t="shared" si="28"/>
        <v>368</v>
      </c>
      <c r="V1741" s="25"/>
      <c r="W1741" s="33" t="s">
        <v>800</v>
      </c>
      <c r="X1741" s="33"/>
      <c r="Y1741" s="33"/>
      <c r="Z1741" s="33" t="s">
        <v>189</v>
      </c>
      <c r="AA1741" s="33"/>
    </row>
    <row r="1742" spans="1:27" s="70" customFormat="1" ht="67.5" x14ac:dyDescent="0.2">
      <c r="A1742" s="24">
        <v>1738</v>
      </c>
      <c r="B1742" s="24" t="s">
        <v>790</v>
      </c>
      <c r="C1742" s="25" t="s">
        <v>789</v>
      </c>
      <c r="D1742" s="26" t="s">
        <v>970</v>
      </c>
      <c r="E1742" s="25" t="s">
        <v>969</v>
      </c>
      <c r="F1742" s="25" t="s">
        <v>968</v>
      </c>
      <c r="G1742" s="24"/>
      <c r="H1742" s="25" t="s">
        <v>998</v>
      </c>
      <c r="I1742" s="27"/>
      <c r="J1742" s="28" t="s">
        <v>1043</v>
      </c>
      <c r="K1742" s="27"/>
      <c r="L1742" s="25" t="s">
        <v>1050</v>
      </c>
      <c r="M1742" s="25" t="s">
        <v>412</v>
      </c>
      <c r="N1742" s="25">
        <v>18</v>
      </c>
      <c r="O1742" s="25"/>
      <c r="P1742" s="25">
        <v>16</v>
      </c>
      <c r="Q1742" s="25">
        <v>8</v>
      </c>
      <c r="R1742" s="25"/>
      <c r="S1742" s="25">
        <v>12</v>
      </c>
      <c r="T1742" s="25">
        <v>8</v>
      </c>
      <c r="U1742" s="31">
        <f t="shared" si="28"/>
        <v>44</v>
      </c>
      <c r="V1742" s="25"/>
      <c r="W1742" s="33" t="s">
        <v>800</v>
      </c>
      <c r="X1742" s="33"/>
      <c r="Y1742" s="33"/>
      <c r="Z1742" s="33" t="s">
        <v>189</v>
      </c>
      <c r="AA1742" s="33"/>
    </row>
    <row r="1743" spans="1:27" s="70" customFormat="1" ht="67.5" x14ac:dyDescent="0.2">
      <c r="A1743" s="24">
        <v>1739</v>
      </c>
      <c r="B1743" s="24" t="s">
        <v>790</v>
      </c>
      <c r="C1743" s="25" t="s">
        <v>789</v>
      </c>
      <c r="D1743" s="26" t="s">
        <v>970</v>
      </c>
      <c r="E1743" s="25" t="s">
        <v>969</v>
      </c>
      <c r="F1743" s="25" t="s">
        <v>968</v>
      </c>
      <c r="G1743" s="24"/>
      <c r="H1743" s="25" t="s">
        <v>998</v>
      </c>
      <c r="I1743" s="27"/>
      <c r="J1743" s="28" t="s">
        <v>1043</v>
      </c>
      <c r="K1743" s="27"/>
      <c r="L1743" s="25" t="s">
        <v>1049</v>
      </c>
      <c r="M1743" s="25" t="s">
        <v>412</v>
      </c>
      <c r="N1743" s="25">
        <v>26</v>
      </c>
      <c r="O1743" s="25"/>
      <c r="P1743" s="25">
        <v>16</v>
      </c>
      <c r="Q1743" s="25">
        <v>8</v>
      </c>
      <c r="R1743" s="25"/>
      <c r="S1743" s="25">
        <v>16</v>
      </c>
      <c r="T1743" s="25">
        <v>12</v>
      </c>
      <c r="U1743" s="31">
        <f t="shared" si="28"/>
        <v>52</v>
      </c>
      <c r="V1743" s="25"/>
      <c r="W1743" s="33" t="s">
        <v>800</v>
      </c>
      <c r="X1743" s="33"/>
      <c r="Y1743" s="33"/>
      <c r="Z1743" s="33" t="s">
        <v>1008</v>
      </c>
      <c r="AA1743" s="33"/>
    </row>
    <row r="1744" spans="1:27" s="70" customFormat="1" ht="67.5" x14ac:dyDescent="0.2">
      <c r="A1744" s="24">
        <v>1740</v>
      </c>
      <c r="B1744" s="24" t="s">
        <v>790</v>
      </c>
      <c r="C1744" s="25" t="s">
        <v>789</v>
      </c>
      <c r="D1744" s="26" t="s">
        <v>970</v>
      </c>
      <c r="E1744" s="25" t="s">
        <v>969</v>
      </c>
      <c r="F1744" s="25" t="s">
        <v>968</v>
      </c>
      <c r="G1744" s="24"/>
      <c r="H1744" s="25" t="s">
        <v>998</v>
      </c>
      <c r="I1744" s="27"/>
      <c r="J1744" s="28" t="s">
        <v>1043</v>
      </c>
      <c r="K1744" s="27"/>
      <c r="L1744" s="25" t="s">
        <v>1048</v>
      </c>
      <c r="M1744" s="25" t="s">
        <v>363</v>
      </c>
      <c r="N1744" s="25">
        <v>1</v>
      </c>
      <c r="O1744" s="25"/>
      <c r="P1744" s="25">
        <v>44</v>
      </c>
      <c r="Q1744" s="25">
        <v>32</v>
      </c>
      <c r="R1744" s="25"/>
      <c r="S1744" s="25">
        <v>24</v>
      </c>
      <c r="T1744" s="25">
        <v>24</v>
      </c>
      <c r="U1744" s="31">
        <f t="shared" si="28"/>
        <v>124</v>
      </c>
      <c r="V1744" s="25"/>
      <c r="W1744" s="33" t="s">
        <v>800</v>
      </c>
      <c r="X1744" s="33"/>
      <c r="Y1744" s="33"/>
      <c r="Z1744" s="33" t="s">
        <v>1008</v>
      </c>
      <c r="AA1744" s="33"/>
    </row>
    <row r="1745" spans="1:27" s="70" customFormat="1" ht="67.5" x14ac:dyDescent="0.2">
      <c r="A1745" s="24">
        <v>1741</v>
      </c>
      <c r="B1745" s="24" t="s">
        <v>790</v>
      </c>
      <c r="C1745" s="25" t="s">
        <v>789</v>
      </c>
      <c r="D1745" s="26" t="s">
        <v>970</v>
      </c>
      <c r="E1745" s="25" t="s">
        <v>969</v>
      </c>
      <c r="F1745" s="25" t="s">
        <v>968</v>
      </c>
      <c r="G1745" s="24"/>
      <c r="H1745" s="25" t="s">
        <v>998</v>
      </c>
      <c r="I1745" s="27"/>
      <c r="J1745" s="28" t="s">
        <v>1043</v>
      </c>
      <c r="K1745" s="27"/>
      <c r="L1745" s="25" t="s">
        <v>1047</v>
      </c>
      <c r="M1745" s="25" t="s">
        <v>363</v>
      </c>
      <c r="N1745" s="25">
        <v>1</v>
      </c>
      <c r="O1745" s="25"/>
      <c r="P1745" s="25">
        <v>88</v>
      </c>
      <c r="Q1745" s="25">
        <v>64</v>
      </c>
      <c r="R1745" s="25"/>
      <c r="S1745" s="25">
        <v>44</v>
      </c>
      <c r="T1745" s="25">
        <v>44</v>
      </c>
      <c r="U1745" s="31">
        <f t="shared" si="28"/>
        <v>240</v>
      </c>
      <c r="V1745" s="25"/>
      <c r="W1745" s="33" t="s">
        <v>1046</v>
      </c>
      <c r="X1745" s="33"/>
      <c r="Y1745" s="33"/>
      <c r="Z1745" s="33" t="s">
        <v>1045</v>
      </c>
      <c r="AA1745" s="33"/>
    </row>
    <row r="1746" spans="1:27" s="70" customFormat="1" ht="67.5" x14ac:dyDescent="0.2">
      <c r="A1746" s="24">
        <v>1742</v>
      </c>
      <c r="B1746" s="24" t="s">
        <v>790</v>
      </c>
      <c r="C1746" s="25" t="s">
        <v>789</v>
      </c>
      <c r="D1746" s="26" t="s">
        <v>970</v>
      </c>
      <c r="E1746" s="25" t="s">
        <v>969</v>
      </c>
      <c r="F1746" s="25" t="s">
        <v>968</v>
      </c>
      <c r="G1746" s="24"/>
      <c r="H1746" s="25" t="s">
        <v>998</v>
      </c>
      <c r="I1746" s="27"/>
      <c r="J1746" s="28" t="s">
        <v>1043</v>
      </c>
      <c r="K1746" s="27"/>
      <c r="L1746" s="25" t="s">
        <v>1044</v>
      </c>
      <c r="M1746" s="25" t="s">
        <v>363</v>
      </c>
      <c r="N1746" s="25">
        <v>1</v>
      </c>
      <c r="O1746" s="25"/>
      <c r="P1746" s="25">
        <v>88</v>
      </c>
      <c r="Q1746" s="25">
        <v>64</v>
      </c>
      <c r="R1746" s="25"/>
      <c r="S1746" s="25">
        <v>44</v>
      </c>
      <c r="T1746" s="25">
        <v>44</v>
      </c>
      <c r="U1746" s="31">
        <f t="shared" si="28"/>
        <v>240</v>
      </c>
      <c r="V1746" s="25"/>
      <c r="W1746" s="33" t="s">
        <v>800</v>
      </c>
      <c r="X1746" s="33"/>
      <c r="Y1746" s="33"/>
      <c r="Z1746" s="33" t="s">
        <v>1008</v>
      </c>
      <c r="AA1746" s="33"/>
    </row>
    <row r="1747" spans="1:27" s="70" customFormat="1" ht="67.5" x14ac:dyDescent="0.2">
      <c r="A1747" s="24">
        <v>1743</v>
      </c>
      <c r="B1747" s="24" t="s">
        <v>790</v>
      </c>
      <c r="C1747" s="25" t="s">
        <v>789</v>
      </c>
      <c r="D1747" s="26" t="s">
        <v>970</v>
      </c>
      <c r="E1747" s="25" t="s">
        <v>969</v>
      </c>
      <c r="F1747" s="25" t="s">
        <v>968</v>
      </c>
      <c r="G1747" s="24"/>
      <c r="H1747" s="25" t="s">
        <v>998</v>
      </c>
      <c r="I1747" s="27"/>
      <c r="J1747" s="28" t="s">
        <v>1043</v>
      </c>
      <c r="K1747" s="27"/>
      <c r="L1747" s="25" t="s">
        <v>1042</v>
      </c>
      <c r="M1747" s="25" t="s">
        <v>363</v>
      </c>
      <c r="N1747" s="25">
        <v>1</v>
      </c>
      <c r="O1747" s="25"/>
      <c r="P1747" s="25">
        <v>150</v>
      </c>
      <c r="Q1747" s="25"/>
      <c r="R1747" s="25"/>
      <c r="S1747" s="25">
        <v>50</v>
      </c>
      <c r="T1747" s="25">
        <v>25</v>
      </c>
      <c r="U1747" s="31">
        <f t="shared" si="28"/>
        <v>225</v>
      </c>
      <c r="V1747" s="25"/>
      <c r="W1747" s="33" t="s">
        <v>1041</v>
      </c>
      <c r="X1747" s="33"/>
      <c r="Y1747" s="33"/>
      <c r="Z1747" s="33" t="s">
        <v>1008</v>
      </c>
      <c r="AA1747" s="33"/>
    </row>
    <row r="1748" spans="1:27" s="70" customFormat="1" ht="101.25" x14ac:dyDescent="0.2">
      <c r="A1748" s="24">
        <v>1744</v>
      </c>
      <c r="B1748" s="24" t="s">
        <v>790</v>
      </c>
      <c r="C1748" s="25" t="s">
        <v>789</v>
      </c>
      <c r="D1748" s="26" t="s">
        <v>970</v>
      </c>
      <c r="E1748" s="25" t="s">
        <v>969</v>
      </c>
      <c r="F1748" s="25" t="s">
        <v>968</v>
      </c>
      <c r="G1748" s="24"/>
      <c r="H1748" s="25" t="s">
        <v>998</v>
      </c>
      <c r="I1748" s="27"/>
      <c r="J1748" s="28" t="s">
        <v>1040</v>
      </c>
      <c r="K1748" s="27"/>
      <c r="L1748" s="25"/>
      <c r="M1748" s="25"/>
      <c r="N1748" s="25"/>
      <c r="O1748" s="25"/>
      <c r="P1748" s="25"/>
      <c r="Q1748" s="25"/>
      <c r="R1748" s="25"/>
      <c r="S1748" s="25"/>
      <c r="T1748" s="25"/>
      <c r="U1748" s="31">
        <f t="shared" si="28"/>
        <v>0</v>
      </c>
      <c r="V1748" s="25"/>
      <c r="W1748" s="33"/>
      <c r="X1748" s="33"/>
      <c r="Y1748" s="33"/>
      <c r="Z1748" s="33"/>
      <c r="AA1748" s="33"/>
    </row>
    <row r="1749" spans="1:27" s="70" customFormat="1" ht="112.5" x14ac:dyDescent="0.2">
      <c r="A1749" s="24">
        <v>1745</v>
      </c>
      <c r="B1749" s="24" t="s">
        <v>790</v>
      </c>
      <c r="C1749" s="25" t="s">
        <v>789</v>
      </c>
      <c r="D1749" s="26" t="s">
        <v>970</v>
      </c>
      <c r="E1749" s="25" t="s">
        <v>969</v>
      </c>
      <c r="F1749" s="25" t="s">
        <v>968</v>
      </c>
      <c r="G1749" s="24"/>
      <c r="H1749" s="25" t="s">
        <v>998</v>
      </c>
      <c r="I1749" s="27"/>
      <c r="J1749" s="28" t="s">
        <v>1012</v>
      </c>
      <c r="K1749" s="27"/>
      <c r="L1749" s="25" t="s">
        <v>1039</v>
      </c>
      <c r="M1749" s="25" t="s">
        <v>1003</v>
      </c>
      <c r="N1749" s="25">
        <v>80</v>
      </c>
      <c r="O1749" s="25"/>
      <c r="P1749" s="25">
        <v>28</v>
      </c>
      <c r="Q1749" s="25"/>
      <c r="R1749" s="25"/>
      <c r="S1749" s="25">
        <v>2</v>
      </c>
      <c r="T1749" s="25">
        <v>1</v>
      </c>
      <c r="U1749" s="31">
        <f t="shared" si="28"/>
        <v>31</v>
      </c>
      <c r="V1749" s="25"/>
      <c r="W1749" s="33" t="s">
        <v>1038</v>
      </c>
      <c r="X1749" s="33"/>
      <c r="Y1749" s="33"/>
      <c r="Z1749" s="33" t="s">
        <v>189</v>
      </c>
      <c r="AA1749" s="33"/>
    </row>
    <row r="1750" spans="1:27" s="70" customFormat="1" ht="112.5" x14ac:dyDescent="0.2">
      <c r="A1750" s="24">
        <v>1746</v>
      </c>
      <c r="B1750" s="24" t="s">
        <v>790</v>
      </c>
      <c r="C1750" s="25" t="s">
        <v>789</v>
      </c>
      <c r="D1750" s="26" t="s">
        <v>970</v>
      </c>
      <c r="E1750" s="25" t="s">
        <v>969</v>
      </c>
      <c r="F1750" s="25" t="s">
        <v>968</v>
      </c>
      <c r="G1750" s="24"/>
      <c r="H1750" s="25" t="s">
        <v>998</v>
      </c>
      <c r="I1750" s="27"/>
      <c r="J1750" s="28" t="s">
        <v>1012</v>
      </c>
      <c r="K1750" s="27"/>
      <c r="L1750" s="25" t="s">
        <v>1037</v>
      </c>
      <c r="M1750" s="25" t="s">
        <v>1003</v>
      </c>
      <c r="N1750" s="25">
        <v>20</v>
      </c>
      <c r="O1750" s="25"/>
      <c r="P1750" s="25"/>
      <c r="Q1750" s="25">
        <v>44</v>
      </c>
      <c r="R1750" s="25"/>
      <c r="S1750" s="25">
        <v>2</v>
      </c>
      <c r="T1750" s="25">
        <v>1</v>
      </c>
      <c r="U1750" s="31">
        <f t="shared" si="28"/>
        <v>47</v>
      </c>
      <c r="V1750" s="25"/>
      <c r="W1750" s="33" t="s">
        <v>1036</v>
      </c>
      <c r="X1750" s="33"/>
      <c r="Y1750" s="33"/>
      <c r="Z1750" s="33" t="s">
        <v>189</v>
      </c>
      <c r="AA1750" s="33"/>
    </row>
    <row r="1751" spans="1:27" s="70" customFormat="1" ht="112.5" x14ac:dyDescent="0.2">
      <c r="A1751" s="24">
        <v>1747</v>
      </c>
      <c r="B1751" s="24" t="s">
        <v>790</v>
      </c>
      <c r="C1751" s="25" t="s">
        <v>789</v>
      </c>
      <c r="D1751" s="26" t="s">
        <v>970</v>
      </c>
      <c r="E1751" s="25" t="s">
        <v>969</v>
      </c>
      <c r="F1751" s="25" t="s">
        <v>968</v>
      </c>
      <c r="G1751" s="24"/>
      <c r="H1751" s="25" t="s">
        <v>998</v>
      </c>
      <c r="I1751" s="27"/>
      <c r="J1751" s="28" t="s">
        <v>1012</v>
      </c>
      <c r="K1751" s="27"/>
      <c r="L1751" s="25" t="s">
        <v>1035</v>
      </c>
      <c r="M1751" s="25" t="s">
        <v>1034</v>
      </c>
      <c r="N1751" s="25">
        <v>22</v>
      </c>
      <c r="O1751" s="25"/>
      <c r="P1751" s="25">
        <v>36</v>
      </c>
      <c r="Q1751" s="25"/>
      <c r="R1751" s="25"/>
      <c r="S1751" s="25">
        <v>8</v>
      </c>
      <c r="T1751" s="25">
        <v>4</v>
      </c>
      <c r="U1751" s="31">
        <f t="shared" si="28"/>
        <v>48</v>
      </c>
      <c r="V1751" s="25"/>
      <c r="W1751" s="33" t="s">
        <v>1033</v>
      </c>
      <c r="X1751" s="33"/>
      <c r="Y1751" s="33"/>
      <c r="Z1751" s="33" t="s">
        <v>189</v>
      </c>
      <c r="AA1751" s="33"/>
    </row>
    <row r="1752" spans="1:27" s="70" customFormat="1" ht="112.5" x14ac:dyDescent="0.2">
      <c r="A1752" s="24">
        <v>1748</v>
      </c>
      <c r="B1752" s="24" t="s">
        <v>790</v>
      </c>
      <c r="C1752" s="25" t="s">
        <v>789</v>
      </c>
      <c r="D1752" s="26" t="s">
        <v>970</v>
      </c>
      <c r="E1752" s="25" t="s">
        <v>969</v>
      </c>
      <c r="F1752" s="25" t="s">
        <v>968</v>
      </c>
      <c r="G1752" s="24"/>
      <c r="H1752" s="25" t="s">
        <v>998</v>
      </c>
      <c r="I1752" s="27"/>
      <c r="J1752" s="28" t="s">
        <v>1012</v>
      </c>
      <c r="K1752" s="27"/>
      <c r="L1752" s="25" t="s">
        <v>1032</v>
      </c>
      <c r="M1752" s="25" t="s">
        <v>1031</v>
      </c>
      <c r="N1752" s="25">
        <v>480</v>
      </c>
      <c r="O1752" s="25">
        <v>8</v>
      </c>
      <c r="P1752" s="25"/>
      <c r="Q1752" s="25"/>
      <c r="R1752" s="25"/>
      <c r="S1752" s="25"/>
      <c r="T1752" s="25"/>
      <c r="U1752" s="31">
        <f t="shared" si="28"/>
        <v>8</v>
      </c>
      <c r="V1752" s="25"/>
      <c r="W1752" s="33" t="s">
        <v>1030</v>
      </c>
      <c r="X1752" s="33"/>
      <c r="Y1752" s="33"/>
      <c r="Z1752" s="33" t="s">
        <v>1029</v>
      </c>
      <c r="AA1752" s="33"/>
    </row>
    <row r="1753" spans="1:27" s="70" customFormat="1" ht="112.5" x14ac:dyDescent="0.2">
      <c r="A1753" s="24">
        <v>1749</v>
      </c>
      <c r="B1753" s="24" t="s">
        <v>790</v>
      </c>
      <c r="C1753" s="25" t="s">
        <v>789</v>
      </c>
      <c r="D1753" s="26" t="s">
        <v>970</v>
      </c>
      <c r="E1753" s="25" t="s">
        <v>969</v>
      </c>
      <c r="F1753" s="25" t="s">
        <v>968</v>
      </c>
      <c r="G1753" s="24"/>
      <c r="H1753" s="25" t="s">
        <v>998</v>
      </c>
      <c r="I1753" s="27"/>
      <c r="J1753" s="28" t="s">
        <v>1012</v>
      </c>
      <c r="K1753" s="27"/>
      <c r="L1753" s="25" t="s">
        <v>1028</v>
      </c>
      <c r="M1753" s="25" t="s">
        <v>1027</v>
      </c>
      <c r="N1753" s="25">
        <v>3</v>
      </c>
      <c r="O1753" s="25"/>
      <c r="P1753" s="25">
        <v>88</v>
      </c>
      <c r="Q1753" s="25">
        <v>44</v>
      </c>
      <c r="R1753" s="25"/>
      <c r="S1753" s="25">
        <v>40</v>
      </c>
      <c r="T1753" s="25">
        <v>20</v>
      </c>
      <c r="U1753" s="31">
        <f t="shared" si="28"/>
        <v>192</v>
      </c>
      <c r="V1753" s="25"/>
      <c r="W1753" s="33" t="s">
        <v>344</v>
      </c>
      <c r="X1753" s="33"/>
      <c r="Y1753" s="33"/>
      <c r="Z1753" s="33" t="s">
        <v>986</v>
      </c>
      <c r="AA1753" s="33"/>
    </row>
    <row r="1754" spans="1:27" s="70" customFormat="1" ht="112.5" x14ac:dyDescent="0.2">
      <c r="A1754" s="24">
        <v>1750</v>
      </c>
      <c r="B1754" s="24" t="s">
        <v>790</v>
      </c>
      <c r="C1754" s="25" t="s">
        <v>789</v>
      </c>
      <c r="D1754" s="26" t="s">
        <v>970</v>
      </c>
      <c r="E1754" s="25" t="s">
        <v>969</v>
      </c>
      <c r="F1754" s="25" t="s">
        <v>968</v>
      </c>
      <c r="G1754" s="24"/>
      <c r="H1754" s="25" t="s">
        <v>998</v>
      </c>
      <c r="I1754" s="27"/>
      <c r="J1754" s="28" t="s">
        <v>1012</v>
      </c>
      <c r="K1754" s="27"/>
      <c r="L1754" s="25" t="s">
        <v>1026</v>
      </c>
      <c r="M1754" s="25" t="s">
        <v>177</v>
      </c>
      <c r="N1754" s="25">
        <v>10</v>
      </c>
      <c r="O1754" s="25"/>
      <c r="P1754" s="25">
        <v>44</v>
      </c>
      <c r="Q1754" s="25">
        <v>32</v>
      </c>
      <c r="R1754" s="25"/>
      <c r="S1754" s="25">
        <v>24</v>
      </c>
      <c r="T1754" s="25">
        <v>16</v>
      </c>
      <c r="U1754" s="31">
        <f t="shared" si="28"/>
        <v>116</v>
      </c>
      <c r="V1754" s="25"/>
      <c r="W1754" s="33" t="s">
        <v>1025</v>
      </c>
      <c r="X1754" s="33"/>
      <c r="Y1754" s="33"/>
      <c r="Z1754" s="33" t="s">
        <v>986</v>
      </c>
      <c r="AA1754" s="33"/>
    </row>
    <row r="1755" spans="1:27" s="70" customFormat="1" ht="112.5" x14ac:dyDescent="0.2">
      <c r="A1755" s="24">
        <v>1751</v>
      </c>
      <c r="B1755" s="24" t="s">
        <v>790</v>
      </c>
      <c r="C1755" s="25" t="s">
        <v>789</v>
      </c>
      <c r="D1755" s="26" t="s">
        <v>970</v>
      </c>
      <c r="E1755" s="25" t="s">
        <v>969</v>
      </c>
      <c r="F1755" s="25" t="s">
        <v>968</v>
      </c>
      <c r="G1755" s="24"/>
      <c r="H1755" s="25" t="s">
        <v>998</v>
      </c>
      <c r="I1755" s="27"/>
      <c r="J1755" s="28" t="s">
        <v>1012</v>
      </c>
      <c r="K1755" s="27"/>
      <c r="L1755" s="25" t="s">
        <v>1024</v>
      </c>
      <c r="M1755" s="25" t="s">
        <v>314</v>
      </c>
      <c r="N1755" s="25">
        <v>1</v>
      </c>
      <c r="O1755" s="25">
        <v>286</v>
      </c>
      <c r="P1755" s="25">
        <v>75</v>
      </c>
      <c r="Q1755" s="25">
        <v>555</v>
      </c>
      <c r="R1755" s="25"/>
      <c r="S1755" s="25">
        <v>271</v>
      </c>
      <c r="T1755" s="25">
        <v>240</v>
      </c>
      <c r="U1755" s="31">
        <f t="shared" si="28"/>
        <v>1427</v>
      </c>
      <c r="V1755" s="25"/>
      <c r="W1755" s="33" t="s">
        <v>344</v>
      </c>
      <c r="X1755" s="33"/>
      <c r="Y1755" s="33"/>
      <c r="Z1755" s="33" t="s">
        <v>986</v>
      </c>
      <c r="AA1755" s="33"/>
    </row>
    <row r="1756" spans="1:27" s="70" customFormat="1" ht="112.5" x14ac:dyDescent="0.2">
      <c r="A1756" s="24">
        <v>1752</v>
      </c>
      <c r="B1756" s="24" t="s">
        <v>790</v>
      </c>
      <c r="C1756" s="25" t="s">
        <v>789</v>
      </c>
      <c r="D1756" s="26" t="s">
        <v>970</v>
      </c>
      <c r="E1756" s="25" t="s">
        <v>969</v>
      </c>
      <c r="F1756" s="25" t="s">
        <v>968</v>
      </c>
      <c r="G1756" s="24"/>
      <c r="H1756" s="25" t="s">
        <v>998</v>
      </c>
      <c r="I1756" s="27"/>
      <c r="J1756" s="28" t="s">
        <v>1012</v>
      </c>
      <c r="K1756" s="27"/>
      <c r="L1756" s="25" t="s">
        <v>1023</v>
      </c>
      <c r="M1756" s="25" t="s">
        <v>314</v>
      </c>
      <c r="N1756" s="25">
        <v>1</v>
      </c>
      <c r="O1756" s="25"/>
      <c r="P1756" s="25">
        <v>88</v>
      </c>
      <c r="Q1756" s="25">
        <v>44</v>
      </c>
      <c r="R1756" s="25"/>
      <c r="S1756" s="25">
        <v>44</v>
      </c>
      <c r="T1756" s="25">
        <v>44</v>
      </c>
      <c r="U1756" s="31">
        <f t="shared" si="28"/>
        <v>220</v>
      </c>
      <c r="V1756" s="25"/>
      <c r="W1756" s="33" t="s">
        <v>344</v>
      </c>
      <c r="X1756" s="33"/>
      <c r="Y1756" s="33"/>
      <c r="Z1756" s="33" t="s">
        <v>986</v>
      </c>
      <c r="AA1756" s="33"/>
    </row>
    <row r="1757" spans="1:27" s="70" customFormat="1" ht="112.5" x14ac:dyDescent="0.2">
      <c r="A1757" s="24">
        <v>1753</v>
      </c>
      <c r="B1757" s="24" t="s">
        <v>790</v>
      </c>
      <c r="C1757" s="25" t="s">
        <v>789</v>
      </c>
      <c r="D1757" s="26" t="s">
        <v>970</v>
      </c>
      <c r="E1757" s="25" t="s">
        <v>969</v>
      </c>
      <c r="F1757" s="25" t="s">
        <v>968</v>
      </c>
      <c r="G1757" s="24"/>
      <c r="H1757" s="25" t="s">
        <v>998</v>
      </c>
      <c r="I1757" s="27"/>
      <c r="J1757" s="28" t="s">
        <v>1012</v>
      </c>
      <c r="K1757" s="27"/>
      <c r="L1757" s="25" t="s">
        <v>1022</v>
      </c>
      <c r="M1757" s="25" t="s">
        <v>314</v>
      </c>
      <c r="N1757" s="25">
        <v>1</v>
      </c>
      <c r="O1757" s="25"/>
      <c r="P1757" s="25">
        <v>144</v>
      </c>
      <c r="Q1757" s="25"/>
      <c r="R1757" s="25"/>
      <c r="S1757" s="25">
        <v>44</v>
      </c>
      <c r="T1757" s="25">
        <v>24</v>
      </c>
      <c r="U1757" s="31">
        <f t="shared" si="28"/>
        <v>212</v>
      </c>
      <c r="V1757" s="25"/>
      <c r="W1757" s="33" t="s">
        <v>344</v>
      </c>
      <c r="X1757" s="33"/>
      <c r="Y1757" s="33"/>
      <c r="Z1757" s="33" t="s">
        <v>986</v>
      </c>
      <c r="AA1757" s="33"/>
    </row>
    <row r="1758" spans="1:27" s="70" customFormat="1" ht="112.5" x14ac:dyDescent="0.2">
      <c r="A1758" s="24">
        <v>1754</v>
      </c>
      <c r="B1758" s="24" t="s">
        <v>790</v>
      </c>
      <c r="C1758" s="25" t="s">
        <v>789</v>
      </c>
      <c r="D1758" s="26" t="s">
        <v>970</v>
      </c>
      <c r="E1758" s="25" t="s">
        <v>969</v>
      </c>
      <c r="F1758" s="25" t="s">
        <v>968</v>
      </c>
      <c r="G1758" s="24"/>
      <c r="H1758" s="25" t="s">
        <v>998</v>
      </c>
      <c r="I1758" s="27"/>
      <c r="J1758" s="28" t="s">
        <v>1012</v>
      </c>
      <c r="K1758" s="27"/>
      <c r="L1758" s="25" t="s">
        <v>1021</v>
      </c>
      <c r="M1758" s="25" t="s">
        <v>1020</v>
      </c>
      <c r="N1758" s="25">
        <v>15</v>
      </c>
      <c r="O1758" s="25"/>
      <c r="P1758" s="25">
        <v>8</v>
      </c>
      <c r="Q1758" s="25">
        <v>4</v>
      </c>
      <c r="R1758" s="25"/>
      <c r="S1758" s="25">
        <v>4</v>
      </c>
      <c r="T1758" s="25">
        <v>4</v>
      </c>
      <c r="U1758" s="31">
        <f t="shared" si="28"/>
        <v>20</v>
      </c>
      <c r="V1758" s="25"/>
      <c r="W1758" s="33" t="s">
        <v>344</v>
      </c>
      <c r="X1758" s="33"/>
      <c r="Y1758" s="33"/>
      <c r="Z1758" s="33" t="s">
        <v>986</v>
      </c>
      <c r="AA1758" s="33"/>
    </row>
    <row r="1759" spans="1:27" s="70" customFormat="1" ht="112.5" x14ac:dyDescent="0.2">
      <c r="A1759" s="24">
        <v>1755</v>
      </c>
      <c r="B1759" s="24" t="s">
        <v>790</v>
      </c>
      <c r="C1759" s="25" t="s">
        <v>789</v>
      </c>
      <c r="D1759" s="26" t="s">
        <v>970</v>
      </c>
      <c r="E1759" s="25" t="s">
        <v>969</v>
      </c>
      <c r="F1759" s="25" t="s">
        <v>968</v>
      </c>
      <c r="G1759" s="24"/>
      <c r="H1759" s="25" t="s">
        <v>998</v>
      </c>
      <c r="I1759" s="27"/>
      <c r="J1759" s="28" t="s">
        <v>1012</v>
      </c>
      <c r="K1759" s="27"/>
      <c r="L1759" s="25" t="s">
        <v>1019</v>
      </c>
      <c r="M1759" s="25" t="s">
        <v>314</v>
      </c>
      <c r="N1759" s="25">
        <v>2</v>
      </c>
      <c r="O1759" s="25"/>
      <c r="P1759" s="25">
        <v>40</v>
      </c>
      <c r="Q1759" s="25">
        <v>32</v>
      </c>
      <c r="R1759" s="25"/>
      <c r="S1759" s="25">
        <v>24</v>
      </c>
      <c r="T1759" s="25">
        <v>16</v>
      </c>
      <c r="U1759" s="31">
        <f t="shared" si="28"/>
        <v>112</v>
      </c>
      <c r="V1759" s="25"/>
      <c r="W1759" s="33" t="s">
        <v>344</v>
      </c>
      <c r="X1759" s="33"/>
      <c r="Y1759" s="33"/>
      <c r="Z1759" s="33" t="s">
        <v>986</v>
      </c>
      <c r="AA1759" s="33"/>
    </row>
    <row r="1760" spans="1:27" s="70" customFormat="1" ht="112.5" x14ac:dyDescent="0.2">
      <c r="A1760" s="24">
        <v>1756</v>
      </c>
      <c r="B1760" s="24" t="s">
        <v>790</v>
      </c>
      <c r="C1760" s="25" t="s">
        <v>789</v>
      </c>
      <c r="D1760" s="26" t="s">
        <v>970</v>
      </c>
      <c r="E1760" s="25" t="s">
        <v>969</v>
      </c>
      <c r="F1760" s="25" t="s">
        <v>968</v>
      </c>
      <c r="G1760" s="24"/>
      <c r="H1760" s="25" t="s">
        <v>998</v>
      </c>
      <c r="I1760" s="27"/>
      <c r="J1760" s="28" t="s">
        <v>1012</v>
      </c>
      <c r="K1760" s="27"/>
      <c r="L1760" s="25" t="s">
        <v>1018</v>
      </c>
      <c r="M1760" s="25" t="s">
        <v>1017</v>
      </c>
      <c r="N1760" s="25">
        <v>2</v>
      </c>
      <c r="O1760" s="25"/>
      <c r="P1760" s="25"/>
      <c r="Q1760" s="25">
        <v>160</v>
      </c>
      <c r="R1760" s="25"/>
      <c r="S1760" s="25">
        <v>120</v>
      </c>
      <c r="T1760" s="25">
        <v>120</v>
      </c>
      <c r="U1760" s="31">
        <f t="shared" si="28"/>
        <v>400</v>
      </c>
      <c r="V1760" s="25"/>
      <c r="W1760" s="33" t="s">
        <v>344</v>
      </c>
      <c r="X1760" s="33"/>
      <c r="Y1760" s="33"/>
      <c r="Z1760" s="33" t="s">
        <v>986</v>
      </c>
      <c r="AA1760" s="33"/>
    </row>
    <row r="1761" spans="1:27" s="70" customFormat="1" ht="112.5" x14ac:dyDescent="0.2">
      <c r="A1761" s="24">
        <v>1757</v>
      </c>
      <c r="B1761" s="24" t="s">
        <v>790</v>
      </c>
      <c r="C1761" s="25" t="s">
        <v>789</v>
      </c>
      <c r="D1761" s="26" t="s">
        <v>970</v>
      </c>
      <c r="E1761" s="25" t="s">
        <v>969</v>
      </c>
      <c r="F1761" s="25" t="s">
        <v>968</v>
      </c>
      <c r="G1761" s="24"/>
      <c r="H1761" s="25" t="s">
        <v>998</v>
      </c>
      <c r="I1761" s="27"/>
      <c r="J1761" s="28" t="s">
        <v>1012</v>
      </c>
      <c r="K1761" s="27"/>
      <c r="L1761" s="25" t="s">
        <v>1016</v>
      </c>
      <c r="M1761" s="25" t="s">
        <v>280</v>
      </c>
      <c r="N1761" s="25">
        <v>1</v>
      </c>
      <c r="O1761" s="25"/>
      <c r="P1761" s="25">
        <v>88</v>
      </c>
      <c r="Q1761" s="25">
        <v>132</v>
      </c>
      <c r="R1761" s="25"/>
      <c r="S1761" s="25">
        <v>132</v>
      </c>
      <c r="T1761" s="25">
        <v>132</v>
      </c>
      <c r="U1761" s="31">
        <f t="shared" si="28"/>
        <v>484</v>
      </c>
      <c r="V1761" s="25"/>
      <c r="W1761" s="33" t="s">
        <v>344</v>
      </c>
      <c r="X1761" s="33"/>
      <c r="Y1761" s="33"/>
      <c r="Z1761" s="33" t="s">
        <v>986</v>
      </c>
      <c r="AA1761" s="33"/>
    </row>
    <row r="1762" spans="1:27" s="70" customFormat="1" ht="112.5" x14ac:dyDescent="0.2">
      <c r="A1762" s="24">
        <v>1758</v>
      </c>
      <c r="B1762" s="24" t="s">
        <v>790</v>
      </c>
      <c r="C1762" s="25" t="s">
        <v>789</v>
      </c>
      <c r="D1762" s="26" t="s">
        <v>970</v>
      </c>
      <c r="E1762" s="25" t="s">
        <v>969</v>
      </c>
      <c r="F1762" s="25" t="s">
        <v>968</v>
      </c>
      <c r="G1762" s="24"/>
      <c r="H1762" s="25" t="s">
        <v>998</v>
      </c>
      <c r="I1762" s="27"/>
      <c r="J1762" s="28" t="s">
        <v>1012</v>
      </c>
      <c r="K1762" s="27"/>
      <c r="L1762" s="25" t="s">
        <v>1015</v>
      </c>
      <c r="M1762" s="25" t="s">
        <v>209</v>
      </c>
      <c r="N1762" s="25">
        <v>4</v>
      </c>
      <c r="O1762" s="25"/>
      <c r="P1762" s="25">
        <v>8</v>
      </c>
      <c r="Q1762" s="25">
        <v>16</v>
      </c>
      <c r="R1762" s="25"/>
      <c r="S1762" s="25"/>
      <c r="T1762" s="25"/>
      <c r="U1762" s="31">
        <f t="shared" si="28"/>
        <v>24</v>
      </c>
      <c r="V1762" s="25"/>
      <c r="W1762" s="33" t="s">
        <v>344</v>
      </c>
      <c r="X1762" s="33"/>
      <c r="Y1762" s="33"/>
      <c r="Z1762" s="33" t="s">
        <v>986</v>
      </c>
      <c r="AA1762" s="33"/>
    </row>
    <row r="1763" spans="1:27" s="70" customFormat="1" ht="112.5" x14ac:dyDescent="0.2">
      <c r="A1763" s="24">
        <v>1759</v>
      </c>
      <c r="B1763" s="24" t="s">
        <v>790</v>
      </c>
      <c r="C1763" s="25" t="s">
        <v>789</v>
      </c>
      <c r="D1763" s="26" t="s">
        <v>970</v>
      </c>
      <c r="E1763" s="25" t="s">
        <v>969</v>
      </c>
      <c r="F1763" s="25" t="s">
        <v>968</v>
      </c>
      <c r="G1763" s="24"/>
      <c r="H1763" s="25" t="s">
        <v>998</v>
      </c>
      <c r="I1763" s="27"/>
      <c r="J1763" s="28" t="s">
        <v>1012</v>
      </c>
      <c r="K1763" s="27"/>
      <c r="L1763" s="25" t="s">
        <v>1014</v>
      </c>
      <c r="M1763" s="25" t="s">
        <v>209</v>
      </c>
      <c r="N1763" s="25">
        <v>9</v>
      </c>
      <c r="O1763" s="25"/>
      <c r="P1763" s="25">
        <v>8</v>
      </c>
      <c r="Q1763" s="25"/>
      <c r="R1763" s="25"/>
      <c r="S1763" s="25">
        <v>8</v>
      </c>
      <c r="T1763" s="25"/>
      <c r="U1763" s="31">
        <f t="shared" si="28"/>
        <v>16</v>
      </c>
      <c r="V1763" s="25"/>
      <c r="W1763" s="33" t="s">
        <v>344</v>
      </c>
      <c r="X1763" s="33"/>
      <c r="Y1763" s="33"/>
      <c r="Z1763" s="33" t="s">
        <v>986</v>
      </c>
      <c r="AA1763" s="33"/>
    </row>
    <row r="1764" spans="1:27" s="70" customFormat="1" ht="112.5" x14ac:dyDescent="0.2">
      <c r="A1764" s="24">
        <v>1760</v>
      </c>
      <c r="B1764" s="24" t="s">
        <v>790</v>
      </c>
      <c r="C1764" s="25" t="s">
        <v>789</v>
      </c>
      <c r="D1764" s="26" t="s">
        <v>970</v>
      </c>
      <c r="E1764" s="25" t="s">
        <v>969</v>
      </c>
      <c r="F1764" s="25" t="s">
        <v>968</v>
      </c>
      <c r="G1764" s="24"/>
      <c r="H1764" s="25" t="s">
        <v>998</v>
      </c>
      <c r="I1764" s="27"/>
      <c r="J1764" s="28" t="s">
        <v>1012</v>
      </c>
      <c r="K1764" s="27"/>
      <c r="L1764" s="25" t="s">
        <v>1013</v>
      </c>
      <c r="M1764" s="25" t="s">
        <v>209</v>
      </c>
      <c r="N1764" s="25">
        <v>10</v>
      </c>
      <c r="O1764" s="25"/>
      <c r="P1764" s="25"/>
      <c r="Q1764" s="25"/>
      <c r="R1764" s="25"/>
      <c r="S1764" s="25"/>
      <c r="T1764" s="25">
        <v>8</v>
      </c>
      <c r="U1764" s="31">
        <f t="shared" si="28"/>
        <v>8</v>
      </c>
      <c r="V1764" s="25"/>
      <c r="W1764" s="33" t="s">
        <v>344</v>
      </c>
      <c r="X1764" s="33"/>
      <c r="Y1764" s="33"/>
      <c r="Z1764" s="33" t="s">
        <v>986</v>
      </c>
      <c r="AA1764" s="33"/>
    </row>
    <row r="1765" spans="1:27" s="70" customFormat="1" ht="112.5" x14ac:dyDescent="0.2">
      <c r="A1765" s="24">
        <v>1761</v>
      </c>
      <c r="B1765" s="24" t="s">
        <v>790</v>
      </c>
      <c r="C1765" s="25" t="s">
        <v>789</v>
      </c>
      <c r="D1765" s="26" t="s">
        <v>970</v>
      </c>
      <c r="E1765" s="25" t="s">
        <v>969</v>
      </c>
      <c r="F1765" s="25" t="s">
        <v>968</v>
      </c>
      <c r="G1765" s="24"/>
      <c r="H1765" s="25" t="s">
        <v>998</v>
      </c>
      <c r="I1765" s="27"/>
      <c r="J1765" s="28" t="s">
        <v>1012</v>
      </c>
      <c r="K1765" s="27"/>
      <c r="L1765" s="25" t="s">
        <v>1011</v>
      </c>
      <c r="M1765" s="25" t="s">
        <v>209</v>
      </c>
      <c r="N1765" s="25">
        <v>15</v>
      </c>
      <c r="O1765" s="25"/>
      <c r="P1765" s="25">
        <v>8</v>
      </c>
      <c r="Q1765" s="25">
        <v>8</v>
      </c>
      <c r="R1765" s="25"/>
      <c r="S1765" s="25"/>
      <c r="T1765" s="25"/>
      <c r="U1765" s="31">
        <f t="shared" si="28"/>
        <v>16</v>
      </c>
      <c r="V1765" s="25"/>
      <c r="W1765" s="33" t="s">
        <v>344</v>
      </c>
      <c r="X1765" s="33"/>
      <c r="Y1765" s="33"/>
      <c r="Z1765" s="33" t="s">
        <v>986</v>
      </c>
      <c r="AA1765" s="33"/>
    </row>
    <row r="1766" spans="1:27" s="70" customFormat="1" ht="67.5" x14ac:dyDescent="0.2">
      <c r="A1766" s="24">
        <v>1762</v>
      </c>
      <c r="B1766" s="24" t="s">
        <v>790</v>
      </c>
      <c r="C1766" s="25" t="s">
        <v>789</v>
      </c>
      <c r="D1766" s="26" t="s">
        <v>970</v>
      </c>
      <c r="E1766" s="25" t="s">
        <v>969</v>
      </c>
      <c r="F1766" s="25" t="s">
        <v>968</v>
      </c>
      <c r="G1766" s="24"/>
      <c r="H1766" s="25" t="s">
        <v>998</v>
      </c>
      <c r="I1766" s="27"/>
      <c r="J1766" s="28" t="s">
        <v>1010</v>
      </c>
      <c r="K1766" s="27"/>
      <c r="L1766" s="25" t="s">
        <v>1009</v>
      </c>
      <c r="M1766" s="25" t="s">
        <v>177</v>
      </c>
      <c r="N1766" s="25">
        <v>20</v>
      </c>
      <c r="O1766" s="25"/>
      <c r="P1766" s="25">
        <v>16</v>
      </c>
      <c r="Q1766" s="25">
        <v>8</v>
      </c>
      <c r="R1766" s="25"/>
      <c r="S1766" s="25">
        <v>4</v>
      </c>
      <c r="T1766" s="25">
        <v>4</v>
      </c>
      <c r="U1766" s="31">
        <f t="shared" si="28"/>
        <v>32</v>
      </c>
      <c r="V1766" s="25"/>
      <c r="W1766" s="33" t="s">
        <v>800</v>
      </c>
      <c r="X1766" s="33"/>
      <c r="Y1766" s="33"/>
      <c r="Z1766" s="33" t="s">
        <v>1008</v>
      </c>
      <c r="AA1766" s="33"/>
    </row>
    <row r="1767" spans="1:27" s="70" customFormat="1" ht="67.5" x14ac:dyDescent="0.2">
      <c r="A1767" s="24">
        <v>1763</v>
      </c>
      <c r="B1767" s="24" t="s">
        <v>790</v>
      </c>
      <c r="C1767" s="25" t="s">
        <v>789</v>
      </c>
      <c r="D1767" s="26" t="s">
        <v>970</v>
      </c>
      <c r="E1767" s="25" t="s">
        <v>969</v>
      </c>
      <c r="F1767" s="25" t="s">
        <v>968</v>
      </c>
      <c r="G1767" s="24"/>
      <c r="H1767" s="25" t="s">
        <v>998</v>
      </c>
      <c r="I1767" s="27"/>
      <c r="J1767" s="28" t="s">
        <v>997</v>
      </c>
      <c r="K1767" s="27"/>
      <c r="L1767" s="25" t="s">
        <v>1007</v>
      </c>
      <c r="M1767" s="25" t="s">
        <v>1003</v>
      </c>
      <c r="N1767" s="25">
        <v>48</v>
      </c>
      <c r="O1767" s="25">
        <v>8</v>
      </c>
      <c r="P1767" s="25">
        <v>12</v>
      </c>
      <c r="Q1767" s="25"/>
      <c r="R1767" s="25"/>
      <c r="S1767" s="25">
        <v>10</v>
      </c>
      <c r="T1767" s="25">
        <v>1</v>
      </c>
      <c r="U1767" s="31">
        <f t="shared" si="28"/>
        <v>31</v>
      </c>
      <c r="V1767" s="25"/>
      <c r="W1767" s="33" t="s">
        <v>1002</v>
      </c>
      <c r="X1767" s="33"/>
      <c r="Y1767" s="33"/>
      <c r="Z1767" s="33" t="s">
        <v>189</v>
      </c>
      <c r="AA1767" s="33"/>
    </row>
    <row r="1768" spans="1:27" s="70" customFormat="1" ht="67.5" x14ac:dyDescent="0.2">
      <c r="A1768" s="24">
        <v>1764</v>
      </c>
      <c r="B1768" s="24" t="s">
        <v>790</v>
      </c>
      <c r="C1768" s="25" t="s">
        <v>789</v>
      </c>
      <c r="D1768" s="26" t="s">
        <v>970</v>
      </c>
      <c r="E1768" s="25" t="s">
        <v>969</v>
      </c>
      <c r="F1768" s="25" t="s">
        <v>968</v>
      </c>
      <c r="G1768" s="24"/>
      <c r="H1768" s="25" t="s">
        <v>998</v>
      </c>
      <c r="I1768" s="27"/>
      <c r="J1768" s="28" t="s">
        <v>997</v>
      </c>
      <c r="K1768" s="27"/>
      <c r="L1768" s="25" t="s">
        <v>1006</v>
      </c>
      <c r="M1768" s="25" t="s">
        <v>1003</v>
      </c>
      <c r="N1768" s="25">
        <v>12</v>
      </c>
      <c r="O1768" s="25"/>
      <c r="P1768" s="25">
        <v>40</v>
      </c>
      <c r="Q1768" s="25">
        <v>44</v>
      </c>
      <c r="R1768" s="25"/>
      <c r="S1768" s="25">
        <v>42</v>
      </c>
      <c r="T1768" s="25">
        <v>1</v>
      </c>
      <c r="U1768" s="31">
        <f t="shared" si="28"/>
        <v>127</v>
      </c>
      <c r="V1768" s="25"/>
      <c r="W1768" s="33" t="s">
        <v>1005</v>
      </c>
      <c r="X1768" s="33"/>
      <c r="Y1768" s="33"/>
      <c r="Z1768" s="33" t="s">
        <v>189</v>
      </c>
      <c r="AA1768" s="33"/>
    </row>
    <row r="1769" spans="1:27" s="70" customFormat="1" ht="67.5" x14ac:dyDescent="0.2">
      <c r="A1769" s="24">
        <v>1765</v>
      </c>
      <c r="B1769" s="24" t="s">
        <v>790</v>
      </c>
      <c r="C1769" s="25" t="s">
        <v>789</v>
      </c>
      <c r="D1769" s="26" t="s">
        <v>970</v>
      </c>
      <c r="E1769" s="25" t="s">
        <v>969</v>
      </c>
      <c r="F1769" s="25" t="s">
        <v>968</v>
      </c>
      <c r="G1769" s="24"/>
      <c r="H1769" s="25" t="s">
        <v>998</v>
      </c>
      <c r="I1769" s="27"/>
      <c r="J1769" s="28" t="s">
        <v>997</v>
      </c>
      <c r="K1769" s="27"/>
      <c r="L1769" s="25" t="s">
        <v>1004</v>
      </c>
      <c r="M1769" s="25" t="s">
        <v>1003</v>
      </c>
      <c r="N1769" s="25">
        <v>202</v>
      </c>
      <c r="O1769" s="25">
        <v>12</v>
      </c>
      <c r="P1769" s="25"/>
      <c r="Q1769" s="25">
        <v>4</v>
      </c>
      <c r="R1769" s="25"/>
      <c r="S1769" s="25">
        <v>1</v>
      </c>
      <c r="T1769" s="25">
        <v>1</v>
      </c>
      <c r="U1769" s="31">
        <f t="shared" si="28"/>
        <v>18</v>
      </c>
      <c r="V1769" s="25"/>
      <c r="W1769" s="33" t="s">
        <v>1002</v>
      </c>
      <c r="X1769" s="33"/>
      <c r="Y1769" s="33"/>
      <c r="Z1769" s="33" t="s">
        <v>189</v>
      </c>
      <c r="AA1769" s="33"/>
    </row>
    <row r="1770" spans="1:27" s="70" customFormat="1" ht="67.5" x14ac:dyDescent="0.2">
      <c r="A1770" s="24">
        <v>1766</v>
      </c>
      <c r="B1770" s="24" t="s">
        <v>790</v>
      </c>
      <c r="C1770" s="25" t="s">
        <v>789</v>
      </c>
      <c r="D1770" s="26" t="s">
        <v>970</v>
      </c>
      <c r="E1770" s="25" t="s">
        <v>969</v>
      </c>
      <c r="F1770" s="25" t="s">
        <v>968</v>
      </c>
      <c r="G1770" s="24"/>
      <c r="H1770" s="25" t="s">
        <v>998</v>
      </c>
      <c r="I1770" s="27"/>
      <c r="J1770" s="28" t="s">
        <v>997</v>
      </c>
      <c r="K1770" s="27"/>
      <c r="L1770" s="25" t="s">
        <v>1001</v>
      </c>
      <c r="M1770" s="25" t="s">
        <v>978</v>
      </c>
      <c r="N1770" s="25">
        <v>12</v>
      </c>
      <c r="O1770" s="25">
        <v>4</v>
      </c>
      <c r="P1770" s="25">
        <v>1</v>
      </c>
      <c r="Q1770" s="25">
        <v>1</v>
      </c>
      <c r="R1770" s="25"/>
      <c r="S1770" s="25">
        <v>3</v>
      </c>
      <c r="T1770" s="25">
        <v>3</v>
      </c>
      <c r="U1770" s="31">
        <f t="shared" si="28"/>
        <v>12</v>
      </c>
      <c r="V1770" s="25"/>
      <c r="W1770" s="33" t="s">
        <v>22</v>
      </c>
      <c r="X1770" s="33"/>
      <c r="Y1770" s="33"/>
      <c r="Z1770" s="33" t="s">
        <v>189</v>
      </c>
      <c r="AA1770" s="33"/>
    </row>
    <row r="1771" spans="1:27" s="70" customFormat="1" ht="67.5" x14ac:dyDescent="0.2">
      <c r="A1771" s="24">
        <v>1767</v>
      </c>
      <c r="B1771" s="24" t="s">
        <v>790</v>
      </c>
      <c r="C1771" s="25" t="s">
        <v>789</v>
      </c>
      <c r="D1771" s="26" t="s">
        <v>970</v>
      </c>
      <c r="E1771" s="25" t="s">
        <v>969</v>
      </c>
      <c r="F1771" s="25" t="s">
        <v>968</v>
      </c>
      <c r="G1771" s="24"/>
      <c r="H1771" s="25" t="s">
        <v>998</v>
      </c>
      <c r="I1771" s="27"/>
      <c r="J1771" s="28" t="s">
        <v>997</v>
      </c>
      <c r="K1771" s="27"/>
      <c r="L1771" s="25" t="s">
        <v>1000</v>
      </c>
      <c r="M1771" s="25" t="s">
        <v>978</v>
      </c>
      <c r="N1771" s="25">
        <v>255</v>
      </c>
      <c r="O1771" s="25">
        <v>2</v>
      </c>
      <c r="P1771" s="25"/>
      <c r="Q1771" s="25"/>
      <c r="R1771" s="25"/>
      <c r="S1771" s="25">
        <v>0.5</v>
      </c>
      <c r="T1771" s="25"/>
      <c r="U1771" s="31">
        <f t="shared" si="28"/>
        <v>2.5</v>
      </c>
      <c r="V1771" s="25"/>
      <c r="W1771" s="33" t="s">
        <v>22</v>
      </c>
      <c r="X1771" s="33"/>
      <c r="Y1771" s="33"/>
      <c r="Z1771" s="33" t="s">
        <v>189</v>
      </c>
      <c r="AA1771" s="33"/>
    </row>
    <row r="1772" spans="1:27" s="70" customFormat="1" ht="67.5" x14ac:dyDescent="0.2">
      <c r="A1772" s="24">
        <v>1768</v>
      </c>
      <c r="B1772" s="24" t="s">
        <v>790</v>
      </c>
      <c r="C1772" s="25" t="s">
        <v>789</v>
      </c>
      <c r="D1772" s="26" t="s">
        <v>970</v>
      </c>
      <c r="E1772" s="25" t="s">
        <v>969</v>
      </c>
      <c r="F1772" s="25" t="s">
        <v>968</v>
      </c>
      <c r="G1772" s="24"/>
      <c r="H1772" s="25" t="s">
        <v>998</v>
      </c>
      <c r="I1772" s="27"/>
      <c r="J1772" s="28" t="s">
        <v>997</v>
      </c>
      <c r="K1772" s="27"/>
      <c r="L1772" s="25" t="s">
        <v>999</v>
      </c>
      <c r="M1772" s="25" t="s">
        <v>978</v>
      </c>
      <c r="N1772" s="25">
        <v>303</v>
      </c>
      <c r="O1772" s="25">
        <v>3</v>
      </c>
      <c r="P1772" s="25">
        <v>1</v>
      </c>
      <c r="Q1772" s="25">
        <v>1</v>
      </c>
      <c r="R1772" s="25"/>
      <c r="S1772" s="25">
        <v>1</v>
      </c>
      <c r="T1772" s="25"/>
      <c r="U1772" s="31">
        <f t="shared" si="28"/>
        <v>6</v>
      </c>
      <c r="V1772" s="25"/>
      <c r="W1772" s="33" t="s">
        <v>22</v>
      </c>
      <c r="X1772" s="33"/>
      <c r="Y1772" s="33"/>
      <c r="Z1772" s="33" t="s">
        <v>189</v>
      </c>
      <c r="AA1772" s="33"/>
    </row>
    <row r="1773" spans="1:27" s="70" customFormat="1" ht="67.5" x14ac:dyDescent="0.2">
      <c r="A1773" s="24">
        <v>1769</v>
      </c>
      <c r="B1773" s="24" t="s">
        <v>790</v>
      </c>
      <c r="C1773" s="25" t="s">
        <v>789</v>
      </c>
      <c r="D1773" s="26" t="s">
        <v>970</v>
      </c>
      <c r="E1773" s="25" t="s">
        <v>969</v>
      </c>
      <c r="F1773" s="25" t="s">
        <v>968</v>
      </c>
      <c r="G1773" s="24"/>
      <c r="H1773" s="25" t="s">
        <v>998</v>
      </c>
      <c r="I1773" s="27"/>
      <c r="J1773" s="28" t="s">
        <v>997</v>
      </c>
      <c r="K1773" s="27"/>
      <c r="L1773" s="25" t="s">
        <v>996</v>
      </c>
      <c r="M1773" s="25" t="s">
        <v>978</v>
      </c>
      <c r="N1773" s="25">
        <v>12</v>
      </c>
      <c r="O1773" s="25">
        <v>0.5</v>
      </c>
      <c r="P1773" s="25"/>
      <c r="Q1773" s="25"/>
      <c r="R1773" s="25"/>
      <c r="S1773" s="25">
        <v>1</v>
      </c>
      <c r="T1773" s="25"/>
      <c r="U1773" s="31">
        <f t="shared" si="28"/>
        <v>1.5</v>
      </c>
      <c r="V1773" s="25"/>
      <c r="W1773" s="33" t="s">
        <v>22</v>
      </c>
      <c r="X1773" s="33"/>
      <c r="Y1773" s="33"/>
      <c r="Z1773" s="33" t="s">
        <v>189</v>
      </c>
      <c r="AA1773" s="33"/>
    </row>
    <row r="1774" spans="1:27" s="70" customFormat="1" ht="101.25" x14ac:dyDescent="0.2">
      <c r="A1774" s="24">
        <v>1770</v>
      </c>
      <c r="B1774" s="24" t="s">
        <v>790</v>
      </c>
      <c r="C1774" s="25" t="s">
        <v>789</v>
      </c>
      <c r="D1774" s="26" t="s">
        <v>970</v>
      </c>
      <c r="E1774" s="25" t="s">
        <v>969</v>
      </c>
      <c r="F1774" s="25" t="s">
        <v>968</v>
      </c>
      <c r="G1774" s="24"/>
      <c r="H1774" s="25" t="s">
        <v>993</v>
      </c>
      <c r="I1774" s="27"/>
      <c r="J1774" s="28" t="s">
        <v>995</v>
      </c>
      <c r="K1774" s="27"/>
      <c r="L1774" s="25"/>
      <c r="M1774" s="25"/>
      <c r="N1774" s="25"/>
      <c r="O1774" s="25"/>
      <c r="P1774" s="25"/>
      <c r="Q1774" s="25"/>
      <c r="R1774" s="25"/>
      <c r="S1774" s="25"/>
      <c r="T1774" s="25"/>
      <c r="U1774" s="31">
        <f t="shared" si="28"/>
        <v>0</v>
      </c>
      <c r="V1774" s="25"/>
      <c r="W1774" s="33"/>
      <c r="X1774" s="33"/>
      <c r="Y1774" s="33"/>
      <c r="Z1774" s="33"/>
      <c r="AA1774" s="33"/>
    </row>
    <row r="1775" spans="1:27" s="70" customFormat="1" ht="56.25" x14ac:dyDescent="0.2">
      <c r="A1775" s="24">
        <v>1771</v>
      </c>
      <c r="B1775" s="24" t="s">
        <v>790</v>
      </c>
      <c r="C1775" s="25" t="s">
        <v>789</v>
      </c>
      <c r="D1775" s="26" t="s">
        <v>970</v>
      </c>
      <c r="E1775" s="25" t="s">
        <v>969</v>
      </c>
      <c r="F1775" s="25" t="s">
        <v>968</v>
      </c>
      <c r="G1775" s="24"/>
      <c r="H1775" s="25" t="s">
        <v>993</v>
      </c>
      <c r="I1775" s="27"/>
      <c r="J1775" s="28" t="s">
        <v>994</v>
      </c>
      <c r="K1775" s="27"/>
      <c r="L1775" s="25"/>
      <c r="M1775" s="25"/>
      <c r="N1775" s="25"/>
      <c r="O1775" s="25"/>
      <c r="P1775" s="25"/>
      <c r="Q1775" s="25"/>
      <c r="R1775" s="25"/>
      <c r="S1775" s="25"/>
      <c r="T1775" s="25"/>
      <c r="U1775" s="31">
        <f t="shared" si="28"/>
        <v>0</v>
      </c>
      <c r="V1775" s="25"/>
      <c r="W1775" s="33"/>
      <c r="X1775" s="33"/>
      <c r="Y1775" s="33"/>
      <c r="Z1775" s="33"/>
      <c r="AA1775" s="33"/>
    </row>
    <row r="1776" spans="1:27" s="70" customFormat="1" ht="56.25" x14ac:dyDescent="0.2">
      <c r="A1776" s="24">
        <v>1772</v>
      </c>
      <c r="B1776" s="24" t="s">
        <v>790</v>
      </c>
      <c r="C1776" s="25" t="s">
        <v>789</v>
      </c>
      <c r="D1776" s="26" t="s">
        <v>970</v>
      </c>
      <c r="E1776" s="25" t="s">
        <v>969</v>
      </c>
      <c r="F1776" s="25" t="s">
        <v>968</v>
      </c>
      <c r="G1776" s="24"/>
      <c r="H1776" s="25" t="s">
        <v>993</v>
      </c>
      <c r="I1776" s="27"/>
      <c r="J1776" s="28" t="s">
        <v>992</v>
      </c>
      <c r="K1776" s="27"/>
      <c r="L1776" s="25"/>
      <c r="M1776" s="25"/>
      <c r="N1776" s="25"/>
      <c r="O1776" s="25"/>
      <c r="P1776" s="25"/>
      <c r="Q1776" s="25"/>
      <c r="R1776" s="25"/>
      <c r="S1776" s="25"/>
      <c r="T1776" s="25"/>
      <c r="U1776" s="31">
        <f t="shared" si="28"/>
        <v>0</v>
      </c>
      <c r="V1776" s="25"/>
      <c r="W1776" s="33"/>
      <c r="X1776" s="33"/>
      <c r="Y1776" s="33"/>
      <c r="Z1776" s="33"/>
      <c r="AA1776" s="33"/>
    </row>
    <row r="1777" spans="1:27" s="70" customFormat="1" ht="45" x14ac:dyDescent="0.2">
      <c r="A1777" s="24">
        <v>1773</v>
      </c>
      <c r="B1777" s="24" t="s">
        <v>790</v>
      </c>
      <c r="C1777" s="25" t="s">
        <v>789</v>
      </c>
      <c r="D1777" s="26" t="s">
        <v>970</v>
      </c>
      <c r="E1777" s="25" t="s">
        <v>969</v>
      </c>
      <c r="F1777" s="25" t="s">
        <v>968</v>
      </c>
      <c r="G1777" s="24"/>
      <c r="H1777" s="25" t="s">
        <v>967</v>
      </c>
      <c r="I1777" s="27"/>
      <c r="J1777" s="25" t="s">
        <v>967</v>
      </c>
      <c r="K1777" s="27"/>
      <c r="L1777" s="25" t="s">
        <v>991</v>
      </c>
      <c r="M1777" s="25" t="s">
        <v>978</v>
      </c>
      <c r="N1777" s="25">
        <v>303</v>
      </c>
      <c r="O1777" s="25">
        <v>0.5</v>
      </c>
      <c r="P1777" s="25"/>
      <c r="Q1777" s="25"/>
      <c r="R1777" s="25"/>
      <c r="S1777" s="25"/>
      <c r="T1777" s="25"/>
      <c r="U1777" s="31">
        <f t="shared" si="28"/>
        <v>0.5</v>
      </c>
      <c r="V1777" s="25"/>
      <c r="W1777" s="33" t="s">
        <v>990</v>
      </c>
      <c r="X1777" s="33"/>
      <c r="Y1777" s="33"/>
      <c r="Z1777" s="33" t="s">
        <v>189</v>
      </c>
      <c r="AA1777" s="33"/>
    </row>
    <row r="1778" spans="1:27" s="70" customFormat="1" ht="45" x14ac:dyDescent="0.2">
      <c r="A1778" s="24">
        <v>1774</v>
      </c>
      <c r="B1778" s="24" t="s">
        <v>790</v>
      </c>
      <c r="C1778" s="25" t="s">
        <v>789</v>
      </c>
      <c r="D1778" s="26" t="s">
        <v>970</v>
      </c>
      <c r="E1778" s="25" t="s">
        <v>969</v>
      </c>
      <c r="F1778" s="25" t="s">
        <v>968</v>
      </c>
      <c r="G1778" s="24"/>
      <c r="H1778" s="25" t="s">
        <v>967</v>
      </c>
      <c r="I1778" s="27"/>
      <c r="J1778" s="25" t="s">
        <v>967</v>
      </c>
      <c r="K1778" s="27"/>
      <c r="L1778" s="25" t="s">
        <v>989</v>
      </c>
      <c r="M1778" s="25" t="s">
        <v>978</v>
      </c>
      <c r="N1778" s="25">
        <v>60</v>
      </c>
      <c r="O1778" s="25"/>
      <c r="P1778" s="25"/>
      <c r="Q1778" s="25"/>
      <c r="R1778" s="25"/>
      <c r="S1778" s="25"/>
      <c r="T1778" s="25">
        <v>2</v>
      </c>
      <c r="U1778" s="31">
        <f t="shared" si="28"/>
        <v>2</v>
      </c>
      <c r="V1778" s="25"/>
      <c r="W1778" s="33" t="s">
        <v>375</v>
      </c>
      <c r="X1778" s="33"/>
      <c r="Y1778" s="33"/>
      <c r="Z1778" s="33" t="s">
        <v>986</v>
      </c>
      <c r="AA1778" s="33"/>
    </row>
    <row r="1779" spans="1:27" s="70" customFormat="1" ht="45" x14ac:dyDescent="0.2">
      <c r="A1779" s="24">
        <v>1775</v>
      </c>
      <c r="B1779" s="24" t="s">
        <v>790</v>
      </c>
      <c r="C1779" s="25" t="s">
        <v>789</v>
      </c>
      <c r="D1779" s="26" t="s">
        <v>970</v>
      </c>
      <c r="E1779" s="25" t="s">
        <v>969</v>
      </c>
      <c r="F1779" s="25" t="s">
        <v>968</v>
      </c>
      <c r="G1779" s="24"/>
      <c r="H1779" s="25" t="s">
        <v>967</v>
      </c>
      <c r="I1779" s="27"/>
      <c r="J1779" s="25" t="s">
        <v>967</v>
      </c>
      <c r="K1779" s="27"/>
      <c r="L1779" s="25" t="s">
        <v>988</v>
      </c>
      <c r="M1779" s="25" t="s">
        <v>987</v>
      </c>
      <c r="N1779" s="25">
        <v>24</v>
      </c>
      <c r="O1779" s="25"/>
      <c r="P1779" s="25"/>
      <c r="Q1779" s="25"/>
      <c r="R1779" s="25"/>
      <c r="S1779" s="25"/>
      <c r="T1779" s="25">
        <v>1</v>
      </c>
      <c r="U1779" s="31">
        <f t="shared" si="28"/>
        <v>1</v>
      </c>
      <c r="V1779" s="25"/>
      <c r="W1779" s="33" t="s">
        <v>375</v>
      </c>
      <c r="X1779" s="33"/>
      <c r="Y1779" s="33"/>
      <c r="Z1779" s="33" t="s">
        <v>986</v>
      </c>
      <c r="AA1779" s="33"/>
    </row>
    <row r="1780" spans="1:27" s="70" customFormat="1" ht="45" x14ac:dyDescent="0.2">
      <c r="A1780" s="24">
        <v>1776</v>
      </c>
      <c r="B1780" s="24" t="s">
        <v>790</v>
      </c>
      <c r="C1780" s="25" t="s">
        <v>789</v>
      </c>
      <c r="D1780" s="26" t="s">
        <v>970</v>
      </c>
      <c r="E1780" s="25" t="s">
        <v>969</v>
      </c>
      <c r="F1780" s="25" t="s">
        <v>968</v>
      </c>
      <c r="G1780" s="24"/>
      <c r="H1780" s="25" t="s">
        <v>967</v>
      </c>
      <c r="I1780" s="27"/>
      <c r="J1780" s="25" t="s">
        <v>967</v>
      </c>
      <c r="K1780" s="27"/>
      <c r="L1780" s="25" t="s">
        <v>985</v>
      </c>
      <c r="M1780" s="25" t="s">
        <v>265</v>
      </c>
      <c r="N1780" s="25">
        <v>2</v>
      </c>
      <c r="O1780" s="25">
        <v>2</v>
      </c>
      <c r="P1780" s="25">
        <v>4</v>
      </c>
      <c r="Q1780" s="25"/>
      <c r="R1780" s="25"/>
      <c r="S1780" s="25"/>
      <c r="T1780" s="25"/>
      <c r="U1780" s="31">
        <f t="shared" si="28"/>
        <v>6</v>
      </c>
      <c r="V1780" s="25"/>
      <c r="W1780" s="33" t="s">
        <v>22</v>
      </c>
      <c r="X1780" s="33"/>
      <c r="Y1780" s="33"/>
      <c r="Z1780" s="33" t="s">
        <v>984</v>
      </c>
      <c r="AA1780" s="33"/>
    </row>
    <row r="1781" spans="1:27" s="70" customFormat="1" ht="45" x14ac:dyDescent="0.2">
      <c r="A1781" s="24">
        <v>1777</v>
      </c>
      <c r="B1781" s="24" t="s">
        <v>790</v>
      </c>
      <c r="C1781" s="25" t="s">
        <v>789</v>
      </c>
      <c r="D1781" s="26" t="s">
        <v>970</v>
      </c>
      <c r="E1781" s="25" t="s">
        <v>969</v>
      </c>
      <c r="F1781" s="25" t="s">
        <v>968</v>
      </c>
      <c r="G1781" s="24"/>
      <c r="H1781" s="25" t="s">
        <v>967</v>
      </c>
      <c r="I1781" s="27"/>
      <c r="J1781" s="25" t="s">
        <v>967</v>
      </c>
      <c r="K1781" s="27"/>
      <c r="L1781" s="25" t="s">
        <v>983</v>
      </c>
      <c r="M1781" s="25" t="s">
        <v>982</v>
      </c>
      <c r="N1781" s="25">
        <v>50</v>
      </c>
      <c r="O1781" s="25"/>
      <c r="P1781" s="25">
        <v>16</v>
      </c>
      <c r="Q1781" s="25">
        <v>12</v>
      </c>
      <c r="R1781" s="25"/>
      <c r="S1781" s="25">
        <v>8</v>
      </c>
      <c r="T1781" s="25">
        <v>6</v>
      </c>
      <c r="U1781" s="31">
        <f t="shared" si="28"/>
        <v>42</v>
      </c>
      <c r="V1781" s="25"/>
      <c r="W1781" s="33" t="s">
        <v>981</v>
      </c>
      <c r="X1781" s="33"/>
      <c r="Y1781" s="33"/>
      <c r="Z1781" s="33" t="s">
        <v>980</v>
      </c>
      <c r="AA1781" s="33"/>
    </row>
    <row r="1782" spans="1:27" s="70" customFormat="1" ht="45" x14ac:dyDescent="0.2">
      <c r="A1782" s="24">
        <v>1778</v>
      </c>
      <c r="B1782" s="24" t="s">
        <v>790</v>
      </c>
      <c r="C1782" s="25" t="s">
        <v>789</v>
      </c>
      <c r="D1782" s="26" t="s">
        <v>970</v>
      </c>
      <c r="E1782" s="25" t="s">
        <v>969</v>
      </c>
      <c r="F1782" s="25" t="s">
        <v>968</v>
      </c>
      <c r="G1782" s="24"/>
      <c r="H1782" s="25" t="s">
        <v>967</v>
      </c>
      <c r="I1782" s="27"/>
      <c r="J1782" s="25" t="s">
        <v>967</v>
      </c>
      <c r="K1782" s="27"/>
      <c r="L1782" s="25" t="s">
        <v>979</v>
      </c>
      <c r="M1782" s="25" t="s">
        <v>978</v>
      </c>
      <c r="N1782" s="25">
        <v>36</v>
      </c>
      <c r="O1782" s="25"/>
      <c r="P1782" s="25"/>
      <c r="Q1782" s="25"/>
      <c r="R1782" s="25"/>
      <c r="S1782" s="25">
        <v>3</v>
      </c>
      <c r="T1782" s="25">
        <v>3</v>
      </c>
      <c r="U1782" s="31">
        <f t="shared" si="28"/>
        <v>6</v>
      </c>
      <c r="V1782" s="25"/>
      <c r="W1782" s="33" t="s">
        <v>977</v>
      </c>
      <c r="X1782" s="33"/>
      <c r="Y1782" s="33"/>
      <c r="Z1782" s="33" t="s">
        <v>976</v>
      </c>
      <c r="AA1782" s="33"/>
    </row>
    <row r="1783" spans="1:27" s="70" customFormat="1" ht="45" x14ac:dyDescent="0.2">
      <c r="A1783" s="24">
        <v>1779</v>
      </c>
      <c r="B1783" s="24" t="s">
        <v>790</v>
      </c>
      <c r="C1783" s="25" t="s">
        <v>789</v>
      </c>
      <c r="D1783" s="26" t="s">
        <v>970</v>
      </c>
      <c r="E1783" s="25" t="s">
        <v>969</v>
      </c>
      <c r="F1783" s="25" t="s">
        <v>968</v>
      </c>
      <c r="G1783" s="24"/>
      <c r="H1783" s="25" t="s">
        <v>967</v>
      </c>
      <c r="I1783" s="27"/>
      <c r="J1783" s="25" t="s">
        <v>967</v>
      </c>
      <c r="K1783" s="27"/>
      <c r="L1783" s="25" t="s">
        <v>975</v>
      </c>
      <c r="M1783" s="25" t="s">
        <v>190</v>
      </c>
      <c r="N1783" s="25">
        <v>12</v>
      </c>
      <c r="O1783" s="25"/>
      <c r="P1783" s="25">
        <v>4</v>
      </c>
      <c r="Q1783" s="25"/>
      <c r="R1783" s="25"/>
      <c r="S1783" s="25">
        <v>0.5</v>
      </c>
      <c r="T1783" s="25">
        <v>1</v>
      </c>
      <c r="U1783" s="31">
        <f t="shared" si="28"/>
        <v>5.5</v>
      </c>
      <c r="V1783" s="25"/>
      <c r="W1783" s="33" t="s">
        <v>22</v>
      </c>
      <c r="X1783" s="33"/>
      <c r="Y1783" s="33"/>
      <c r="Z1783" s="33" t="s">
        <v>189</v>
      </c>
      <c r="AA1783" s="33"/>
    </row>
    <row r="1784" spans="1:27" s="70" customFormat="1" ht="45" x14ac:dyDescent="0.2">
      <c r="A1784" s="24">
        <v>1780</v>
      </c>
      <c r="B1784" s="24" t="s">
        <v>790</v>
      </c>
      <c r="C1784" s="25" t="s">
        <v>789</v>
      </c>
      <c r="D1784" s="26" t="s">
        <v>970</v>
      </c>
      <c r="E1784" s="25" t="s">
        <v>969</v>
      </c>
      <c r="F1784" s="25" t="s">
        <v>968</v>
      </c>
      <c r="G1784" s="24"/>
      <c r="H1784" s="25" t="s">
        <v>967</v>
      </c>
      <c r="I1784" s="27"/>
      <c r="J1784" s="25" t="s">
        <v>967</v>
      </c>
      <c r="K1784" s="27"/>
      <c r="L1784" s="25" t="s">
        <v>974</v>
      </c>
      <c r="M1784" s="25" t="s">
        <v>190</v>
      </c>
      <c r="N1784" s="25">
        <v>1</v>
      </c>
      <c r="O1784" s="25"/>
      <c r="P1784" s="25">
        <v>40</v>
      </c>
      <c r="Q1784" s="25"/>
      <c r="R1784" s="25"/>
      <c r="S1784" s="25">
        <v>8</v>
      </c>
      <c r="T1784" s="25">
        <v>4</v>
      </c>
      <c r="U1784" s="31">
        <f t="shared" si="28"/>
        <v>52</v>
      </c>
      <c r="V1784" s="25"/>
      <c r="W1784" s="33" t="s">
        <v>22</v>
      </c>
      <c r="X1784" s="33"/>
      <c r="Y1784" s="33"/>
      <c r="Z1784" s="33" t="s">
        <v>189</v>
      </c>
      <c r="AA1784" s="33"/>
    </row>
    <row r="1785" spans="1:27" s="70" customFormat="1" ht="45" x14ac:dyDescent="0.2">
      <c r="A1785" s="24">
        <v>1781</v>
      </c>
      <c r="B1785" s="24" t="s">
        <v>790</v>
      </c>
      <c r="C1785" s="25" t="s">
        <v>789</v>
      </c>
      <c r="D1785" s="26" t="s">
        <v>970</v>
      </c>
      <c r="E1785" s="25" t="s">
        <v>969</v>
      </c>
      <c r="F1785" s="25" t="s">
        <v>968</v>
      </c>
      <c r="G1785" s="24"/>
      <c r="H1785" s="25" t="s">
        <v>967</v>
      </c>
      <c r="I1785" s="27"/>
      <c r="J1785" s="25" t="s">
        <v>967</v>
      </c>
      <c r="K1785" s="27"/>
      <c r="L1785" s="25" t="s">
        <v>973</v>
      </c>
      <c r="M1785" s="25" t="s">
        <v>190</v>
      </c>
      <c r="N1785" s="25">
        <v>12</v>
      </c>
      <c r="O1785" s="25"/>
      <c r="P1785" s="25">
        <v>1</v>
      </c>
      <c r="Q1785" s="25"/>
      <c r="R1785" s="25"/>
      <c r="S1785" s="25">
        <v>0.25</v>
      </c>
      <c r="T1785" s="25">
        <v>0.25</v>
      </c>
      <c r="U1785" s="31">
        <f t="shared" si="28"/>
        <v>1.5</v>
      </c>
      <c r="V1785" s="25"/>
      <c r="W1785" s="33" t="s">
        <v>22</v>
      </c>
      <c r="X1785" s="33"/>
      <c r="Y1785" s="33"/>
      <c r="Z1785" s="33" t="s">
        <v>189</v>
      </c>
      <c r="AA1785" s="33"/>
    </row>
    <row r="1786" spans="1:27" s="70" customFormat="1" ht="45" x14ac:dyDescent="0.2">
      <c r="A1786" s="24">
        <v>1782</v>
      </c>
      <c r="B1786" s="24" t="s">
        <v>790</v>
      </c>
      <c r="C1786" s="25" t="s">
        <v>789</v>
      </c>
      <c r="D1786" s="26" t="s">
        <v>970</v>
      </c>
      <c r="E1786" s="25" t="s">
        <v>969</v>
      </c>
      <c r="F1786" s="25" t="s">
        <v>968</v>
      </c>
      <c r="G1786" s="24"/>
      <c r="H1786" s="25" t="s">
        <v>967</v>
      </c>
      <c r="I1786" s="27"/>
      <c r="J1786" s="25" t="s">
        <v>967</v>
      </c>
      <c r="K1786" s="27"/>
      <c r="L1786" s="25" t="s">
        <v>972</v>
      </c>
      <c r="M1786" s="25" t="s">
        <v>190</v>
      </c>
      <c r="N1786" s="25">
        <v>12</v>
      </c>
      <c r="O1786" s="25"/>
      <c r="P1786" s="25">
        <v>8</v>
      </c>
      <c r="Q1786" s="25"/>
      <c r="R1786" s="25"/>
      <c r="S1786" s="25"/>
      <c r="T1786" s="25"/>
      <c r="U1786" s="31">
        <f t="shared" si="28"/>
        <v>8</v>
      </c>
      <c r="V1786" s="25"/>
      <c r="W1786" s="33" t="s">
        <v>22</v>
      </c>
      <c r="X1786" s="33"/>
      <c r="Y1786" s="33"/>
      <c r="Z1786" s="33" t="s">
        <v>189</v>
      </c>
      <c r="AA1786" s="33"/>
    </row>
    <row r="1787" spans="1:27" s="70" customFormat="1" ht="45" x14ac:dyDescent="0.2">
      <c r="A1787" s="24">
        <v>1783</v>
      </c>
      <c r="B1787" s="24" t="s">
        <v>790</v>
      </c>
      <c r="C1787" s="25" t="s">
        <v>789</v>
      </c>
      <c r="D1787" s="26" t="s">
        <v>970</v>
      </c>
      <c r="E1787" s="25" t="s">
        <v>969</v>
      </c>
      <c r="F1787" s="25" t="s">
        <v>968</v>
      </c>
      <c r="G1787" s="24"/>
      <c r="H1787" s="25" t="s">
        <v>967</v>
      </c>
      <c r="I1787" s="27"/>
      <c r="J1787" s="25" t="s">
        <v>967</v>
      </c>
      <c r="K1787" s="27"/>
      <c r="L1787" s="25" t="s">
        <v>971</v>
      </c>
      <c r="M1787" s="25" t="s">
        <v>190</v>
      </c>
      <c r="N1787" s="25">
        <v>4</v>
      </c>
      <c r="O1787" s="25"/>
      <c r="P1787" s="25">
        <v>8</v>
      </c>
      <c r="Q1787" s="25"/>
      <c r="R1787" s="25"/>
      <c r="S1787" s="25"/>
      <c r="T1787" s="25"/>
      <c r="U1787" s="31">
        <f t="shared" si="28"/>
        <v>8</v>
      </c>
      <c r="V1787" s="25"/>
      <c r="W1787" s="33" t="s">
        <v>22</v>
      </c>
      <c r="X1787" s="33"/>
      <c r="Y1787" s="33"/>
      <c r="Z1787" s="33" t="s">
        <v>189</v>
      </c>
      <c r="AA1787" s="33"/>
    </row>
    <row r="1788" spans="1:27" s="70" customFormat="1" ht="45" x14ac:dyDescent="0.2">
      <c r="A1788" s="24">
        <v>1784</v>
      </c>
      <c r="B1788" s="24" t="s">
        <v>790</v>
      </c>
      <c r="C1788" s="25" t="s">
        <v>789</v>
      </c>
      <c r="D1788" s="26" t="s">
        <v>970</v>
      </c>
      <c r="E1788" s="25" t="s">
        <v>969</v>
      </c>
      <c r="F1788" s="25" t="s">
        <v>968</v>
      </c>
      <c r="G1788" s="24"/>
      <c r="H1788" s="25" t="s">
        <v>967</v>
      </c>
      <c r="I1788" s="27"/>
      <c r="J1788" s="25" t="s">
        <v>967</v>
      </c>
      <c r="K1788" s="27"/>
      <c r="L1788" s="25" t="s">
        <v>966</v>
      </c>
      <c r="M1788" s="25" t="s">
        <v>190</v>
      </c>
      <c r="N1788" s="25">
        <v>12</v>
      </c>
      <c r="O1788" s="25"/>
      <c r="P1788" s="25">
        <v>4</v>
      </c>
      <c r="Q1788" s="25"/>
      <c r="R1788" s="25"/>
      <c r="S1788" s="25"/>
      <c r="T1788" s="25"/>
      <c r="U1788" s="31">
        <f t="shared" si="28"/>
        <v>4</v>
      </c>
      <c r="V1788" s="25"/>
      <c r="W1788" s="33" t="s">
        <v>22</v>
      </c>
      <c r="X1788" s="33"/>
      <c r="Y1788" s="33"/>
      <c r="Z1788" s="33" t="s">
        <v>189</v>
      </c>
      <c r="AA1788" s="33"/>
    </row>
    <row r="1789" spans="1:27" s="70" customFormat="1" ht="78.75" x14ac:dyDescent="0.2">
      <c r="A1789" s="24">
        <v>1785</v>
      </c>
      <c r="B1789" s="24" t="s">
        <v>790</v>
      </c>
      <c r="C1789" s="25" t="s">
        <v>789</v>
      </c>
      <c r="D1789" s="26" t="s">
        <v>881</v>
      </c>
      <c r="E1789" s="25" t="s">
        <v>880</v>
      </c>
      <c r="F1789" s="25" t="s">
        <v>879</v>
      </c>
      <c r="G1789" s="24"/>
      <c r="H1789" s="25" t="s">
        <v>918</v>
      </c>
      <c r="I1789" s="27"/>
      <c r="J1789" s="28" t="s">
        <v>963</v>
      </c>
      <c r="K1789" s="27"/>
      <c r="L1789" s="25" t="s">
        <v>965</v>
      </c>
      <c r="M1789" s="25" t="s">
        <v>964</v>
      </c>
      <c r="N1789" s="25">
        <v>1552.5</v>
      </c>
      <c r="O1789" s="25">
        <v>0.34333333333333332</v>
      </c>
      <c r="P1789" s="25">
        <v>0.17333333333333331</v>
      </c>
      <c r="Q1789" s="25">
        <v>0</v>
      </c>
      <c r="R1789" s="25"/>
      <c r="S1789" s="25">
        <v>3.3333333333333333E-2</v>
      </c>
      <c r="T1789" s="25">
        <v>1.6666666666666666E-2</v>
      </c>
      <c r="U1789" s="31">
        <f t="shared" si="28"/>
        <v>0.56666666666666665</v>
      </c>
      <c r="V1789" s="25"/>
      <c r="W1789" s="33" t="s">
        <v>887</v>
      </c>
      <c r="X1789" s="33"/>
      <c r="Y1789" s="33"/>
      <c r="Z1789" s="33">
        <v>1</v>
      </c>
      <c r="AA1789" s="33"/>
    </row>
    <row r="1790" spans="1:27" s="70" customFormat="1" ht="78.75" x14ac:dyDescent="0.2">
      <c r="A1790" s="24">
        <v>1786</v>
      </c>
      <c r="B1790" s="24" t="s">
        <v>790</v>
      </c>
      <c r="C1790" s="25" t="s">
        <v>789</v>
      </c>
      <c r="D1790" s="26" t="s">
        <v>881</v>
      </c>
      <c r="E1790" s="25" t="s">
        <v>880</v>
      </c>
      <c r="F1790" s="25" t="s">
        <v>879</v>
      </c>
      <c r="G1790" s="24"/>
      <c r="H1790" s="25" t="s">
        <v>918</v>
      </c>
      <c r="I1790" s="27"/>
      <c r="J1790" s="28" t="s">
        <v>963</v>
      </c>
      <c r="K1790" s="27"/>
      <c r="L1790" s="25" t="s">
        <v>962</v>
      </c>
      <c r="M1790" s="25" t="s">
        <v>895</v>
      </c>
      <c r="N1790" s="25">
        <v>36</v>
      </c>
      <c r="O1790" s="25">
        <v>1.3333333333333333</v>
      </c>
      <c r="P1790" s="25">
        <v>0.5</v>
      </c>
      <c r="Q1790" s="25">
        <v>0.5</v>
      </c>
      <c r="R1790" s="25"/>
      <c r="S1790" s="25">
        <v>0.66666666666666663</v>
      </c>
      <c r="T1790" s="25">
        <v>1</v>
      </c>
      <c r="U1790" s="31">
        <f t="shared" si="28"/>
        <v>3.9999999999999996</v>
      </c>
      <c r="V1790" s="25"/>
      <c r="W1790" s="33" t="s">
        <v>961</v>
      </c>
      <c r="X1790" s="33"/>
      <c r="Y1790" s="33"/>
      <c r="Z1790" s="33" t="s">
        <v>960</v>
      </c>
      <c r="AA1790" s="33"/>
    </row>
    <row r="1791" spans="1:27" s="70" customFormat="1" ht="78.75" x14ac:dyDescent="0.2">
      <c r="A1791" s="24">
        <v>1787</v>
      </c>
      <c r="B1791" s="24" t="s">
        <v>790</v>
      </c>
      <c r="C1791" s="25" t="s">
        <v>789</v>
      </c>
      <c r="D1791" s="26" t="s">
        <v>881</v>
      </c>
      <c r="E1791" s="25" t="s">
        <v>880</v>
      </c>
      <c r="F1791" s="25" t="s">
        <v>879</v>
      </c>
      <c r="G1791" s="24"/>
      <c r="H1791" s="25" t="s">
        <v>918</v>
      </c>
      <c r="I1791" s="27"/>
      <c r="J1791" s="28" t="s">
        <v>959</v>
      </c>
      <c r="K1791" s="27"/>
      <c r="L1791" s="25"/>
      <c r="M1791" s="25"/>
      <c r="N1791" s="25"/>
      <c r="O1791" s="25"/>
      <c r="P1791" s="25"/>
      <c r="Q1791" s="25"/>
      <c r="R1791" s="25"/>
      <c r="S1791" s="25"/>
      <c r="T1791" s="25"/>
      <c r="U1791" s="31">
        <f t="shared" si="28"/>
        <v>0</v>
      </c>
      <c r="V1791" s="25"/>
      <c r="W1791" s="33"/>
      <c r="X1791" s="33"/>
      <c r="Y1791" s="33"/>
      <c r="Z1791" s="33"/>
      <c r="AA1791" s="33"/>
    </row>
    <row r="1792" spans="1:27" s="70" customFormat="1" ht="78.75" x14ac:dyDescent="0.2">
      <c r="A1792" s="24">
        <v>1788</v>
      </c>
      <c r="B1792" s="24" t="s">
        <v>790</v>
      </c>
      <c r="C1792" s="25" t="s">
        <v>789</v>
      </c>
      <c r="D1792" s="26" t="s">
        <v>881</v>
      </c>
      <c r="E1792" s="25" t="s">
        <v>880</v>
      </c>
      <c r="F1792" s="25" t="s">
        <v>879</v>
      </c>
      <c r="G1792" s="24"/>
      <c r="H1792" s="25" t="s">
        <v>918</v>
      </c>
      <c r="I1792" s="27"/>
      <c r="J1792" s="28" t="s">
        <v>958</v>
      </c>
      <c r="K1792" s="27"/>
      <c r="L1792" s="25"/>
      <c r="M1792" s="25"/>
      <c r="N1792" s="25"/>
      <c r="O1792" s="25"/>
      <c r="P1792" s="25"/>
      <c r="Q1792" s="25"/>
      <c r="R1792" s="25"/>
      <c r="S1792" s="25"/>
      <c r="T1792" s="25"/>
      <c r="U1792" s="31">
        <f t="shared" si="28"/>
        <v>0</v>
      </c>
      <c r="V1792" s="25"/>
      <c r="W1792" s="33"/>
      <c r="X1792" s="33"/>
      <c r="Y1792" s="33"/>
      <c r="Z1792" s="33"/>
      <c r="AA1792" s="33"/>
    </row>
    <row r="1793" spans="1:27" s="70" customFormat="1" ht="78.75" x14ac:dyDescent="0.2">
      <c r="A1793" s="24">
        <v>1789</v>
      </c>
      <c r="B1793" s="24" t="s">
        <v>790</v>
      </c>
      <c r="C1793" s="25" t="s">
        <v>789</v>
      </c>
      <c r="D1793" s="26" t="s">
        <v>881</v>
      </c>
      <c r="E1793" s="25" t="s">
        <v>880</v>
      </c>
      <c r="F1793" s="25" t="s">
        <v>879</v>
      </c>
      <c r="G1793" s="24"/>
      <c r="H1793" s="25" t="s">
        <v>918</v>
      </c>
      <c r="I1793" s="27"/>
      <c r="J1793" s="28" t="s">
        <v>954</v>
      </c>
      <c r="K1793" s="27"/>
      <c r="L1793" s="25" t="s">
        <v>957</v>
      </c>
      <c r="M1793" s="25" t="s">
        <v>956</v>
      </c>
      <c r="N1793" s="25">
        <v>11797.584615384616</v>
      </c>
      <c r="O1793" s="25">
        <v>9.8333333333333314E-2</v>
      </c>
      <c r="P1793" s="25">
        <v>4.3333333333333335E-2</v>
      </c>
      <c r="Q1793" s="25">
        <v>3.3333333333333333E-2</v>
      </c>
      <c r="R1793" s="25"/>
      <c r="S1793" s="25">
        <v>0.02</v>
      </c>
      <c r="T1793" s="25">
        <v>8.3333333333333332E-3</v>
      </c>
      <c r="U1793" s="31">
        <f t="shared" si="28"/>
        <v>0.20333333333333331</v>
      </c>
      <c r="V1793" s="25"/>
      <c r="W1793" s="33" t="s">
        <v>937</v>
      </c>
      <c r="X1793" s="33"/>
      <c r="Y1793" s="33"/>
      <c r="Z1793" s="33" t="s">
        <v>936</v>
      </c>
      <c r="AA1793" s="33"/>
    </row>
    <row r="1794" spans="1:27" s="70" customFormat="1" ht="78.75" x14ac:dyDescent="0.2">
      <c r="A1794" s="24">
        <v>1790</v>
      </c>
      <c r="B1794" s="24" t="s">
        <v>790</v>
      </c>
      <c r="C1794" s="25" t="s">
        <v>789</v>
      </c>
      <c r="D1794" s="26" t="s">
        <v>881</v>
      </c>
      <c r="E1794" s="25" t="s">
        <v>880</v>
      </c>
      <c r="F1794" s="25" t="s">
        <v>879</v>
      </c>
      <c r="G1794" s="24"/>
      <c r="H1794" s="25" t="s">
        <v>918</v>
      </c>
      <c r="I1794" s="27"/>
      <c r="J1794" s="28" t="s">
        <v>954</v>
      </c>
      <c r="K1794" s="27"/>
      <c r="L1794" s="25" t="s">
        <v>955</v>
      </c>
      <c r="M1794" s="25" t="s">
        <v>927</v>
      </c>
      <c r="N1794" s="25">
        <v>3450.353846153846</v>
      </c>
      <c r="O1794" s="25">
        <v>5.0970464135021105E-2</v>
      </c>
      <c r="P1794" s="25">
        <v>4.90295358649789E-2</v>
      </c>
      <c r="Q1794" s="25">
        <v>0.02</v>
      </c>
      <c r="R1794" s="25"/>
      <c r="S1794" s="25">
        <v>1.6666666666666666E-2</v>
      </c>
      <c r="T1794" s="25">
        <v>1.3333333333333334E-2</v>
      </c>
      <c r="U1794" s="31">
        <f t="shared" si="28"/>
        <v>0.15000000000000002</v>
      </c>
      <c r="V1794" s="25"/>
      <c r="W1794" s="33" t="s">
        <v>887</v>
      </c>
      <c r="X1794" s="33"/>
      <c r="Y1794" s="33"/>
      <c r="Z1794" s="33">
        <v>1</v>
      </c>
      <c r="AA1794" s="33"/>
    </row>
    <row r="1795" spans="1:27" s="70" customFormat="1" ht="78.75" x14ac:dyDescent="0.2">
      <c r="A1795" s="24">
        <v>1791</v>
      </c>
      <c r="B1795" s="24" t="s">
        <v>790</v>
      </c>
      <c r="C1795" s="25" t="s">
        <v>789</v>
      </c>
      <c r="D1795" s="26" t="s">
        <v>881</v>
      </c>
      <c r="E1795" s="25" t="s">
        <v>880</v>
      </c>
      <c r="F1795" s="25" t="s">
        <v>879</v>
      </c>
      <c r="G1795" s="24"/>
      <c r="H1795" s="25" t="s">
        <v>918</v>
      </c>
      <c r="I1795" s="27"/>
      <c r="J1795" s="28" t="s">
        <v>954</v>
      </c>
      <c r="K1795" s="27"/>
      <c r="L1795" s="25" t="s">
        <v>953</v>
      </c>
      <c r="M1795" s="25" t="s">
        <v>952</v>
      </c>
      <c r="N1795" s="25">
        <v>864</v>
      </c>
      <c r="O1795" s="25">
        <v>0.5</v>
      </c>
      <c r="P1795" s="25">
        <v>0.83333333333333337</v>
      </c>
      <c r="Q1795" s="25">
        <v>0</v>
      </c>
      <c r="R1795" s="25"/>
      <c r="S1795" s="25">
        <v>0</v>
      </c>
      <c r="T1795" s="25">
        <v>0</v>
      </c>
      <c r="U1795" s="31">
        <f t="shared" si="28"/>
        <v>1.3333333333333335</v>
      </c>
      <c r="V1795" s="25"/>
      <c r="W1795" s="33" t="s">
        <v>875</v>
      </c>
      <c r="X1795" s="33"/>
      <c r="Y1795" s="33"/>
      <c r="Z1795" s="33" t="s">
        <v>874</v>
      </c>
      <c r="AA1795" s="33"/>
    </row>
    <row r="1796" spans="1:27" s="70" customFormat="1" ht="78.75" x14ac:dyDescent="0.2">
      <c r="A1796" s="24">
        <v>1792</v>
      </c>
      <c r="B1796" s="24" t="s">
        <v>790</v>
      </c>
      <c r="C1796" s="25" t="s">
        <v>789</v>
      </c>
      <c r="D1796" s="26" t="s">
        <v>881</v>
      </c>
      <c r="E1796" s="25" t="s">
        <v>880</v>
      </c>
      <c r="F1796" s="25" t="s">
        <v>879</v>
      </c>
      <c r="G1796" s="24"/>
      <c r="H1796" s="25" t="s">
        <v>918</v>
      </c>
      <c r="I1796" s="27"/>
      <c r="J1796" s="28" t="s">
        <v>950</v>
      </c>
      <c r="K1796" s="27"/>
      <c r="L1796" s="25" t="s">
        <v>951</v>
      </c>
      <c r="M1796" s="25" t="s">
        <v>895</v>
      </c>
      <c r="N1796" s="25">
        <v>273</v>
      </c>
      <c r="O1796" s="25">
        <v>0.8</v>
      </c>
      <c r="P1796" s="25">
        <v>0.53333333333333333</v>
      </c>
      <c r="Q1796" s="25">
        <v>0.33333333333333331</v>
      </c>
      <c r="R1796" s="25"/>
      <c r="S1796" s="25">
        <v>0.25</v>
      </c>
      <c r="T1796" s="25">
        <v>8.3333333333333329E-2</v>
      </c>
      <c r="U1796" s="31">
        <f t="shared" si="28"/>
        <v>2</v>
      </c>
      <c r="V1796" s="25"/>
      <c r="W1796" s="33" t="s">
        <v>937</v>
      </c>
      <c r="X1796" s="33"/>
      <c r="Y1796" s="33"/>
      <c r="Z1796" s="33" t="s">
        <v>907</v>
      </c>
      <c r="AA1796" s="33"/>
    </row>
    <row r="1797" spans="1:27" s="70" customFormat="1" ht="78.75" x14ac:dyDescent="0.2">
      <c r="A1797" s="24">
        <v>1793</v>
      </c>
      <c r="B1797" s="24" t="s">
        <v>790</v>
      </c>
      <c r="C1797" s="25" t="s">
        <v>789</v>
      </c>
      <c r="D1797" s="26" t="s">
        <v>881</v>
      </c>
      <c r="E1797" s="25" t="s">
        <v>880</v>
      </c>
      <c r="F1797" s="25" t="s">
        <v>879</v>
      </c>
      <c r="G1797" s="24"/>
      <c r="H1797" s="25" t="s">
        <v>918</v>
      </c>
      <c r="I1797" s="27"/>
      <c r="J1797" s="28" t="s">
        <v>950</v>
      </c>
      <c r="K1797" s="27"/>
      <c r="L1797" s="25" t="s">
        <v>949</v>
      </c>
      <c r="M1797" s="25" t="s">
        <v>895</v>
      </c>
      <c r="N1797" s="25">
        <v>12</v>
      </c>
      <c r="O1797" s="25">
        <v>4</v>
      </c>
      <c r="P1797" s="25">
        <v>2.6666666666666665</v>
      </c>
      <c r="Q1797" s="25">
        <v>2.6315789473684208</v>
      </c>
      <c r="R1797" s="25"/>
      <c r="S1797" s="25">
        <v>1.3157894736842104</v>
      </c>
      <c r="T1797" s="25">
        <v>1.0526315789473686</v>
      </c>
      <c r="U1797" s="31">
        <f t="shared" si="28"/>
        <v>11.666666666666666</v>
      </c>
      <c r="V1797" s="25"/>
      <c r="W1797" s="33" t="s">
        <v>948</v>
      </c>
      <c r="X1797" s="33"/>
      <c r="Y1797" s="33"/>
      <c r="Z1797" s="33" t="s">
        <v>947</v>
      </c>
      <c r="AA1797" s="33"/>
    </row>
    <row r="1798" spans="1:27" s="70" customFormat="1" ht="78.75" x14ac:dyDescent="0.2">
      <c r="A1798" s="24">
        <v>1794</v>
      </c>
      <c r="B1798" s="24" t="s">
        <v>790</v>
      </c>
      <c r="C1798" s="25" t="s">
        <v>789</v>
      </c>
      <c r="D1798" s="26" t="s">
        <v>881</v>
      </c>
      <c r="E1798" s="25" t="s">
        <v>880</v>
      </c>
      <c r="F1798" s="25" t="s">
        <v>879</v>
      </c>
      <c r="G1798" s="24"/>
      <c r="H1798" s="25" t="s">
        <v>918</v>
      </c>
      <c r="I1798" s="27"/>
      <c r="J1798" s="28" t="s">
        <v>945</v>
      </c>
      <c r="K1798" s="27"/>
      <c r="L1798" s="25" t="s">
        <v>946</v>
      </c>
      <c r="M1798" s="25" t="s">
        <v>927</v>
      </c>
      <c r="N1798" s="25">
        <v>921.4153846153846</v>
      </c>
      <c r="O1798" s="25">
        <v>0.04</v>
      </c>
      <c r="P1798" s="25">
        <v>2.6666666666666668E-2</v>
      </c>
      <c r="Q1798" s="25">
        <v>1.5000000000000001E-2</v>
      </c>
      <c r="R1798" s="25"/>
      <c r="S1798" s="25">
        <v>1.4166666666666666E-2</v>
      </c>
      <c r="T1798" s="25">
        <v>4.1666666666666683E-3</v>
      </c>
      <c r="U1798" s="31">
        <f t="shared" ref="U1798:U1861" si="29">SUM(O1798:T1798)</f>
        <v>9.9999999999999992E-2</v>
      </c>
      <c r="V1798" s="25"/>
      <c r="W1798" s="33" t="s">
        <v>887</v>
      </c>
      <c r="X1798" s="33"/>
      <c r="Y1798" s="33"/>
      <c r="Z1798" s="33">
        <v>1</v>
      </c>
      <c r="AA1798" s="33"/>
    </row>
    <row r="1799" spans="1:27" s="70" customFormat="1" ht="78.75" x14ac:dyDescent="0.2">
      <c r="A1799" s="24">
        <v>1795</v>
      </c>
      <c r="B1799" s="24" t="s">
        <v>790</v>
      </c>
      <c r="C1799" s="25" t="s">
        <v>789</v>
      </c>
      <c r="D1799" s="26" t="s">
        <v>881</v>
      </c>
      <c r="E1799" s="25" t="s">
        <v>880</v>
      </c>
      <c r="F1799" s="25" t="s">
        <v>879</v>
      </c>
      <c r="G1799" s="24"/>
      <c r="H1799" s="25" t="s">
        <v>918</v>
      </c>
      <c r="I1799" s="27"/>
      <c r="J1799" s="28" t="s">
        <v>945</v>
      </c>
      <c r="K1799" s="27"/>
      <c r="L1799" s="25" t="s">
        <v>944</v>
      </c>
      <c r="M1799" s="25" t="s">
        <v>898</v>
      </c>
      <c r="N1799" s="25">
        <v>12</v>
      </c>
      <c r="O1799" s="25">
        <v>0.52333333333333332</v>
      </c>
      <c r="P1799" s="25">
        <v>0.32666666666666672</v>
      </c>
      <c r="Q1799" s="25">
        <v>0</v>
      </c>
      <c r="R1799" s="25"/>
      <c r="S1799" s="25">
        <v>0.21666666666666667</v>
      </c>
      <c r="T1799" s="25">
        <v>0</v>
      </c>
      <c r="U1799" s="31">
        <f t="shared" si="29"/>
        <v>1.0666666666666669</v>
      </c>
      <c r="V1799" s="25"/>
      <c r="W1799" s="33" t="s">
        <v>943</v>
      </c>
      <c r="X1799" s="33"/>
      <c r="Y1799" s="33"/>
      <c r="Z1799" s="33" t="s">
        <v>907</v>
      </c>
      <c r="AA1799" s="33"/>
    </row>
    <row r="1800" spans="1:27" s="70" customFormat="1" ht="78.75" x14ac:dyDescent="0.2">
      <c r="A1800" s="24">
        <v>1796</v>
      </c>
      <c r="B1800" s="24" t="s">
        <v>790</v>
      </c>
      <c r="C1800" s="25" t="s">
        <v>789</v>
      </c>
      <c r="D1800" s="26" t="s">
        <v>881</v>
      </c>
      <c r="E1800" s="25" t="s">
        <v>880</v>
      </c>
      <c r="F1800" s="25" t="s">
        <v>879</v>
      </c>
      <c r="G1800" s="24"/>
      <c r="H1800" s="25" t="s">
        <v>918</v>
      </c>
      <c r="I1800" s="27"/>
      <c r="J1800" s="28" t="s">
        <v>942</v>
      </c>
      <c r="K1800" s="27"/>
      <c r="L1800" s="25" t="s">
        <v>941</v>
      </c>
      <c r="M1800" s="25" t="s">
        <v>927</v>
      </c>
      <c r="N1800" s="25">
        <v>9917.5999999999985</v>
      </c>
      <c r="O1800" s="25">
        <v>0.05</v>
      </c>
      <c r="P1800" s="25">
        <v>3.3333333333333333E-2</v>
      </c>
      <c r="Q1800" s="25">
        <v>2.6315789473684213E-2</v>
      </c>
      <c r="R1800" s="25"/>
      <c r="S1800" s="25">
        <v>1.6666666666666666E-2</v>
      </c>
      <c r="T1800" s="25">
        <v>7.0175438596491221E-3</v>
      </c>
      <c r="U1800" s="31">
        <f t="shared" si="29"/>
        <v>0.13333333333333333</v>
      </c>
      <c r="V1800" s="25"/>
      <c r="W1800" s="33" t="s">
        <v>887</v>
      </c>
      <c r="X1800" s="33"/>
      <c r="Y1800" s="33"/>
      <c r="Z1800" s="33">
        <v>1</v>
      </c>
      <c r="AA1800" s="33"/>
    </row>
    <row r="1801" spans="1:27" s="70" customFormat="1" ht="78.75" x14ac:dyDescent="0.2">
      <c r="A1801" s="24">
        <v>1797</v>
      </c>
      <c r="B1801" s="24" t="s">
        <v>790</v>
      </c>
      <c r="C1801" s="25" t="s">
        <v>789</v>
      </c>
      <c r="D1801" s="26" t="s">
        <v>881</v>
      </c>
      <c r="E1801" s="25" t="s">
        <v>880</v>
      </c>
      <c r="F1801" s="25" t="s">
        <v>879</v>
      </c>
      <c r="G1801" s="24"/>
      <c r="H1801" s="25" t="s">
        <v>918</v>
      </c>
      <c r="I1801" s="27"/>
      <c r="J1801" s="28" t="s">
        <v>942</v>
      </c>
      <c r="K1801" s="27"/>
      <c r="L1801" s="25" t="s">
        <v>940</v>
      </c>
      <c r="M1801" s="25" t="s">
        <v>895</v>
      </c>
      <c r="N1801" s="25">
        <v>64</v>
      </c>
      <c r="O1801" s="25">
        <v>0.58333333333333337</v>
      </c>
      <c r="P1801" s="25">
        <v>0.25</v>
      </c>
      <c r="Q1801" s="25">
        <v>0</v>
      </c>
      <c r="R1801" s="25"/>
      <c r="S1801" s="25">
        <v>0.58333333333333337</v>
      </c>
      <c r="T1801" s="25">
        <v>0</v>
      </c>
      <c r="U1801" s="31">
        <f t="shared" si="29"/>
        <v>1.4166666666666667</v>
      </c>
      <c r="V1801" s="25"/>
      <c r="W1801" s="33" t="s">
        <v>937</v>
      </c>
      <c r="X1801" s="33"/>
      <c r="Y1801" s="33"/>
      <c r="Z1801" s="33" t="s">
        <v>907</v>
      </c>
      <c r="AA1801" s="33"/>
    </row>
    <row r="1802" spans="1:27" s="70" customFormat="1" ht="78.75" x14ac:dyDescent="0.2">
      <c r="A1802" s="24">
        <v>1798</v>
      </c>
      <c r="B1802" s="24" t="s">
        <v>790</v>
      </c>
      <c r="C1802" s="25" t="s">
        <v>789</v>
      </c>
      <c r="D1802" s="26" t="s">
        <v>881</v>
      </c>
      <c r="E1802" s="25" t="s">
        <v>880</v>
      </c>
      <c r="F1802" s="25" t="s">
        <v>879</v>
      </c>
      <c r="G1802" s="24"/>
      <c r="H1802" s="25" t="s">
        <v>918</v>
      </c>
      <c r="I1802" s="27"/>
      <c r="J1802" s="28" t="s">
        <v>934</v>
      </c>
      <c r="K1802" s="27"/>
      <c r="L1802" s="25" t="s">
        <v>939</v>
      </c>
      <c r="M1802" s="25" t="s">
        <v>938</v>
      </c>
      <c r="N1802" s="25">
        <v>27291.276923076919</v>
      </c>
      <c r="O1802" s="25">
        <v>9.7598880411908687E-2</v>
      </c>
      <c r="P1802" s="25">
        <v>3.9352045393443988E-2</v>
      </c>
      <c r="Q1802" s="25">
        <v>2.2892828784652208E-2</v>
      </c>
      <c r="R1802" s="25"/>
      <c r="S1802" s="25">
        <v>2.0711373478529849E-2</v>
      </c>
      <c r="T1802" s="25">
        <v>1.8794631289156167E-3</v>
      </c>
      <c r="U1802" s="31">
        <f t="shared" si="29"/>
        <v>0.18243459119745037</v>
      </c>
      <c r="V1802" s="25"/>
      <c r="W1802" s="33" t="s">
        <v>937</v>
      </c>
      <c r="X1802" s="33"/>
      <c r="Y1802" s="33"/>
      <c r="Z1802" s="33" t="s">
        <v>936</v>
      </c>
      <c r="AA1802" s="33"/>
    </row>
    <row r="1803" spans="1:27" s="70" customFormat="1" ht="78.75" x14ac:dyDescent="0.2">
      <c r="A1803" s="24">
        <v>1799</v>
      </c>
      <c r="B1803" s="24" t="s">
        <v>790</v>
      </c>
      <c r="C1803" s="25" t="s">
        <v>789</v>
      </c>
      <c r="D1803" s="26" t="s">
        <v>881</v>
      </c>
      <c r="E1803" s="25" t="s">
        <v>880</v>
      </c>
      <c r="F1803" s="25" t="s">
        <v>879</v>
      </c>
      <c r="G1803" s="24"/>
      <c r="H1803" s="25" t="s">
        <v>918</v>
      </c>
      <c r="I1803" s="27"/>
      <c r="J1803" s="28" t="s">
        <v>934</v>
      </c>
      <c r="K1803" s="27"/>
      <c r="L1803" s="25" t="s">
        <v>935</v>
      </c>
      <c r="M1803" s="25" t="s">
        <v>920</v>
      </c>
      <c r="N1803" s="25">
        <v>23</v>
      </c>
      <c r="O1803" s="25">
        <v>9.0000000000000011E-2</v>
      </c>
      <c r="P1803" s="25">
        <v>5.9999999999999991E-2</v>
      </c>
      <c r="Q1803" s="25">
        <v>0</v>
      </c>
      <c r="R1803" s="25"/>
      <c r="S1803" s="25">
        <v>5.8333333333333334E-2</v>
      </c>
      <c r="T1803" s="25">
        <v>2.5000000000000001E-2</v>
      </c>
      <c r="U1803" s="31">
        <f t="shared" si="29"/>
        <v>0.23333333333333331</v>
      </c>
      <c r="V1803" s="25"/>
      <c r="W1803" s="33" t="s">
        <v>902</v>
      </c>
      <c r="X1803" s="33"/>
      <c r="Y1803" s="33"/>
      <c r="Z1803" s="33">
        <v>1</v>
      </c>
      <c r="AA1803" s="33"/>
    </row>
    <row r="1804" spans="1:27" s="70" customFormat="1" ht="78.75" x14ac:dyDescent="0.2">
      <c r="A1804" s="24">
        <v>1800</v>
      </c>
      <c r="B1804" s="24" t="s">
        <v>790</v>
      </c>
      <c r="C1804" s="25" t="s">
        <v>789</v>
      </c>
      <c r="D1804" s="26" t="s">
        <v>881</v>
      </c>
      <c r="E1804" s="25" t="s">
        <v>880</v>
      </c>
      <c r="F1804" s="25" t="s">
        <v>879</v>
      </c>
      <c r="G1804" s="24"/>
      <c r="H1804" s="25" t="s">
        <v>918</v>
      </c>
      <c r="I1804" s="27"/>
      <c r="J1804" s="28" t="s">
        <v>934</v>
      </c>
      <c r="K1804" s="27"/>
      <c r="L1804" s="25" t="s">
        <v>933</v>
      </c>
      <c r="M1804" s="25" t="s">
        <v>920</v>
      </c>
      <c r="N1804" s="25">
        <v>250</v>
      </c>
      <c r="O1804" s="25">
        <v>0.2166666666666667</v>
      </c>
      <c r="P1804" s="25">
        <v>0.13333333333333333</v>
      </c>
      <c r="Q1804" s="25">
        <v>0</v>
      </c>
      <c r="R1804" s="25"/>
      <c r="S1804" s="25">
        <v>0.11666666666666667</v>
      </c>
      <c r="T1804" s="25">
        <v>0</v>
      </c>
      <c r="U1804" s="31">
        <f t="shared" si="29"/>
        <v>0.46666666666666667</v>
      </c>
      <c r="V1804" s="25"/>
      <c r="W1804" s="33" t="s">
        <v>902</v>
      </c>
      <c r="X1804" s="33"/>
      <c r="Y1804" s="33"/>
      <c r="Z1804" s="33">
        <v>1</v>
      </c>
      <c r="AA1804" s="33"/>
    </row>
    <row r="1805" spans="1:27" s="70" customFormat="1" ht="78.75" x14ac:dyDescent="0.2">
      <c r="A1805" s="24">
        <v>1801</v>
      </c>
      <c r="B1805" s="24" t="s">
        <v>790</v>
      </c>
      <c r="C1805" s="25" t="s">
        <v>789</v>
      </c>
      <c r="D1805" s="26" t="s">
        <v>881</v>
      </c>
      <c r="E1805" s="25" t="s">
        <v>880</v>
      </c>
      <c r="F1805" s="25" t="s">
        <v>879</v>
      </c>
      <c r="G1805" s="24"/>
      <c r="H1805" s="25" t="s">
        <v>918</v>
      </c>
      <c r="I1805" s="27"/>
      <c r="J1805" s="28" t="s">
        <v>932</v>
      </c>
      <c r="K1805" s="27"/>
      <c r="L1805" s="25"/>
      <c r="M1805" s="25"/>
      <c r="N1805" s="25"/>
      <c r="O1805" s="25"/>
      <c r="P1805" s="25"/>
      <c r="Q1805" s="25"/>
      <c r="R1805" s="25"/>
      <c r="S1805" s="25"/>
      <c r="T1805" s="25"/>
      <c r="U1805" s="31">
        <f t="shared" si="29"/>
        <v>0</v>
      </c>
      <c r="V1805" s="25"/>
      <c r="W1805" s="33"/>
      <c r="X1805" s="33"/>
      <c r="Y1805" s="33"/>
      <c r="Z1805" s="33"/>
      <c r="AA1805" s="33"/>
    </row>
    <row r="1806" spans="1:27" s="70" customFormat="1" ht="78.75" x14ac:dyDescent="0.2">
      <c r="A1806" s="24">
        <v>1802</v>
      </c>
      <c r="B1806" s="24" t="s">
        <v>790</v>
      </c>
      <c r="C1806" s="25" t="s">
        <v>789</v>
      </c>
      <c r="D1806" s="26" t="s">
        <v>881</v>
      </c>
      <c r="E1806" s="25" t="s">
        <v>880</v>
      </c>
      <c r="F1806" s="25" t="s">
        <v>879</v>
      </c>
      <c r="G1806" s="24"/>
      <c r="H1806" s="25" t="s">
        <v>918</v>
      </c>
      <c r="I1806" s="27"/>
      <c r="J1806" s="28" t="s">
        <v>931</v>
      </c>
      <c r="K1806" s="27"/>
      <c r="L1806" s="25" t="s">
        <v>930</v>
      </c>
      <c r="M1806" s="25" t="s">
        <v>895</v>
      </c>
      <c r="N1806" s="25">
        <v>624</v>
      </c>
      <c r="O1806" s="25">
        <v>0.11999999999999998</v>
      </c>
      <c r="P1806" s="25">
        <v>7.9999999999999988E-2</v>
      </c>
      <c r="Q1806" s="25">
        <v>0</v>
      </c>
      <c r="R1806" s="25"/>
      <c r="S1806" s="25">
        <v>3.3333333333333333E-2</v>
      </c>
      <c r="T1806" s="25">
        <v>0</v>
      </c>
      <c r="U1806" s="31">
        <f t="shared" si="29"/>
        <v>0.23333333333333328</v>
      </c>
      <c r="V1806" s="25"/>
      <c r="W1806" s="33" t="s">
        <v>926</v>
      </c>
      <c r="X1806" s="33"/>
      <c r="Y1806" s="33"/>
      <c r="Z1806" s="33">
        <v>1</v>
      </c>
      <c r="AA1806" s="33"/>
    </row>
    <row r="1807" spans="1:27" s="70" customFormat="1" ht="78.75" x14ac:dyDescent="0.2">
      <c r="A1807" s="24">
        <v>1803</v>
      </c>
      <c r="B1807" s="24" t="s">
        <v>790</v>
      </c>
      <c r="C1807" s="25" t="s">
        <v>789</v>
      </c>
      <c r="D1807" s="26" t="s">
        <v>881</v>
      </c>
      <c r="E1807" s="25" t="s">
        <v>880</v>
      </c>
      <c r="F1807" s="25" t="s">
        <v>879</v>
      </c>
      <c r="G1807" s="24"/>
      <c r="H1807" s="25" t="s">
        <v>918</v>
      </c>
      <c r="I1807" s="27"/>
      <c r="J1807" s="28" t="s">
        <v>929</v>
      </c>
      <c r="K1807" s="27"/>
      <c r="L1807" s="25" t="s">
        <v>928</v>
      </c>
      <c r="M1807" s="25" t="s">
        <v>927</v>
      </c>
      <c r="N1807" s="25">
        <v>22889.246153846154</v>
      </c>
      <c r="O1807" s="25">
        <v>0.10833333333333334</v>
      </c>
      <c r="P1807" s="25">
        <v>5.8333333333333334E-2</v>
      </c>
      <c r="Q1807" s="25">
        <v>3.3333333333333333E-2</v>
      </c>
      <c r="R1807" s="25"/>
      <c r="S1807" s="25">
        <v>2.5000000000000001E-2</v>
      </c>
      <c r="T1807" s="25">
        <v>1.3333333333333336E-2</v>
      </c>
      <c r="U1807" s="31">
        <f t="shared" si="29"/>
        <v>0.23833333333333334</v>
      </c>
      <c r="V1807" s="25"/>
      <c r="W1807" s="33" t="s">
        <v>926</v>
      </c>
      <c r="X1807" s="33"/>
      <c r="Y1807" s="33"/>
      <c r="Z1807" s="33">
        <v>1</v>
      </c>
      <c r="AA1807" s="33"/>
    </row>
    <row r="1808" spans="1:27" s="70" customFormat="1" ht="78.75" x14ac:dyDescent="0.2">
      <c r="A1808" s="24">
        <v>1804</v>
      </c>
      <c r="B1808" s="24" t="s">
        <v>790</v>
      </c>
      <c r="C1808" s="25" t="s">
        <v>789</v>
      </c>
      <c r="D1808" s="26" t="s">
        <v>881</v>
      </c>
      <c r="E1808" s="25" t="s">
        <v>880</v>
      </c>
      <c r="F1808" s="25" t="s">
        <v>879</v>
      </c>
      <c r="G1808" s="24"/>
      <c r="H1808" s="25" t="s">
        <v>918</v>
      </c>
      <c r="I1808" s="27"/>
      <c r="J1808" s="28" t="s">
        <v>924</v>
      </c>
      <c r="K1808" s="27"/>
      <c r="L1808" s="25" t="s">
        <v>925</v>
      </c>
      <c r="M1808" s="25" t="s">
        <v>920</v>
      </c>
      <c r="N1808" s="25">
        <v>273</v>
      </c>
      <c r="O1808" s="25">
        <v>0.11666666666666667</v>
      </c>
      <c r="P1808" s="25">
        <v>6.6666666666666666E-2</v>
      </c>
      <c r="Q1808" s="25">
        <v>0</v>
      </c>
      <c r="R1808" s="25"/>
      <c r="S1808" s="25">
        <v>5.8333333333333334E-2</v>
      </c>
      <c r="T1808" s="25">
        <v>0</v>
      </c>
      <c r="U1808" s="31">
        <f t="shared" si="29"/>
        <v>0.2416666666666667</v>
      </c>
      <c r="V1808" s="25"/>
      <c r="W1808" s="33" t="s">
        <v>919</v>
      </c>
      <c r="X1808" s="33"/>
      <c r="Y1808" s="33"/>
      <c r="Z1808" s="33" t="s">
        <v>907</v>
      </c>
      <c r="AA1808" s="33"/>
    </row>
    <row r="1809" spans="1:27" s="70" customFormat="1" ht="78.75" x14ac:dyDescent="0.2">
      <c r="A1809" s="24">
        <v>1805</v>
      </c>
      <c r="B1809" s="24" t="s">
        <v>790</v>
      </c>
      <c r="C1809" s="25" t="s">
        <v>789</v>
      </c>
      <c r="D1809" s="26" t="s">
        <v>881</v>
      </c>
      <c r="E1809" s="25" t="s">
        <v>880</v>
      </c>
      <c r="F1809" s="25" t="s">
        <v>879</v>
      </c>
      <c r="G1809" s="24"/>
      <c r="H1809" s="25" t="s">
        <v>918</v>
      </c>
      <c r="I1809" s="27"/>
      <c r="J1809" s="28" t="s">
        <v>924</v>
      </c>
      <c r="K1809" s="27"/>
      <c r="L1809" s="25" t="s">
        <v>923</v>
      </c>
      <c r="M1809" s="25" t="s">
        <v>920</v>
      </c>
      <c r="N1809" s="25">
        <v>40</v>
      </c>
      <c r="O1809" s="25">
        <v>0.58333333333333337</v>
      </c>
      <c r="P1809" s="25">
        <v>0.33333333333333331</v>
      </c>
      <c r="Q1809" s="25">
        <v>0</v>
      </c>
      <c r="R1809" s="25"/>
      <c r="S1809" s="25">
        <v>0.25</v>
      </c>
      <c r="T1809" s="25">
        <v>0</v>
      </c>
      <c r="U1809" s="31">
        <f t="shared" si="29"/>
        <v>1.1666666666666667</v>
      </c>
      <c r="V1809" s="25"/>
      <c r="W1809" s="33" t="s">
        <v>919</v>
      </c>
      <c r="X1809" s="33"/>
      <c r="Y1809" s="33"/>
      <c r="Z1809" s="33" t="s">
        <v>907</v>
      </c>
      <c r="AA1809" s="33"/>
    </row>
    <row r="1810" spans="1:27" s="70" customFormat="1" ht="78.75" x14ac:dyDescent="0.2">
      <c r="A1810" s="24">
        <v>1806</v>
      </c>
      <c r="B1810" s="24" t="s">
        <v>790</v>
      </c>
      <c r="C1810" s="25" t="s">
        <v>789</v>
      </c>
      <c r="D1810" s="26" t="s">
        <v>881</v>
      </c>
      <c r="E1810" s="25" t="s">
        <v>880</v>
      </c>
      <c r="F1810" s="25" t="s">
        <v>879</v>
      </c>
      <c r="G1810" s="24"/>
      <c r="H1810" s="25" t="s">
        <v>918</v>
      </c>
      <c r="I1810" s="27"/>
      <c r="J1810" s="28" t="s">
        <v>922</v>
      </c>
      <c r="K1810" s="27"/>
      <c r="L1810" s="25" t="s">
        <v>921</v>
      </c>
      <c r="M1810" s="25" t="s">
        <v>920</v>
      </c>
      <c r="N1810" s="25">
        <v>15</v>
      </c>
      <c r="O1810" s="25">
        <v>0.42</v>
      </c>
      <c r="P1810" s="25">
        <v>0.28000000000000003</v>
      </c>
      <c r="Q1810" s="25">
        <v>0</v>
      </c>
      <c r="R1810" s="25"/>
      <c r="S1810" s="25">
        <v>0.11666666666666667</v>
      </c>
      <c r="T1810" s="25">
        <v>0.05</v>
      </c>
      <c r="U1810" s="31">
        <f t="shared" si="29"/>
        <v>0.8666666666666667</v>
      </c>
      <c r="V1810" s="25"/>
      <c r="W1810" s="33" t="s">
        <v>919</v>
      </c>
      <c r="X1810" s="33"/>
      <c r="Y1810" s="33"/>
      <c r="Z1810" s="33" t="s">
        <v>907</v>
      </c>
      <c r="AA1810" s="33"/>
    </row>
    <row r="1811" spans="1:27" s="70" customFormat="1" ht="78.75" x14ac:dyDescent="0.2">
      <c r="A1811" s="24">
        <v>1807</v>
      </c>
      <c r="B1811" s="24" t="s">
        <v>790</v>
      </c>
      <c r="C1811" s="25" t="s">
        <v>789</v>
      </c>
      <c r="D1811" s="26" t="s">
        <v>881</v>
      </c>
      <c r="E1811" s="25" t="s">
        <v>880</v>
      </c>
      <c r="F1811" s="25" t="s">
        <v>879</v>
      </c>
      <c r="G1811" s="24"/>
      <c r="H1811" s="25" t="s">
        <v>918</v>
      </c>
      <c r="I1811" s="27"/>
      <c r="J1811" s="28" t="s">
        <v>917</v>
      </c>
      <c r="K1811" s="27"/>
      <c r="L1811" s="25" t="s">
        <v>916</v>
      </c>
      <c r="M1811" s="25" t="s">
        <v>895</v>
      </c>
      <c r="N1811" s="25">
        <v>273</v>
      </c>
      <c r="O1811" s="25">
        <v>0.16666666666666666</v>
      </c>
      <c r="P1811" s="25">
        <v>8.3333333333333329E-2</v>
      </c>
      <c r="Q1811" s="25">
        <v>0</v>
      </c>
      <c r="R1811" s="25"/>
      <c r="S1811" s="25">
        <v>8.3333333333333329E-2</v>
      </c>
      <c r="T1811" s="25">
        <v>0</v>
      </c>
      <c r="U1811" s="31">
        <f t="shared" si="29"/>
        <v>0.33333333333333331</v>
      </c>
      <c r="V1811" s="25"/>
      <c r="W1811" s="33" t="s">
        <v>887</v>
      </c>
      <c r="X1811" s="33"/>
      <c r="Y1811" s="33"/>
      <c r="Z1811" s="33">
        <v>1</v>
      </c>
      <c r="AA1811" s="33"/>
    </row>
    <row r="1812" spans="1:27" s="70" customFormat="1" ht="56.25" x14ac:dyDescent="0.2">
      <c r="A1812" s="24">
        <v>1808</v>
      </c>
      <c r="B1812" s="24" t="s">
        <v>790</v>
      </c>
      <c r="C1812" s="25" t="s">
        <v>789</v>
      </c>
      <c r="D1812" s="26" t="s">
        <v>881</v>
      </c>
      <c r="E1812" s="25" t="s">
        <v>880</v>
      </c>
      <c r="F1812" s="25" t="s">
        <v>879</v>
      </c>
      <c r="G1812" s="24"/>
      <c r="H1812" s="25" t="s">
        <v>901</v>
      </c>
      <c r="I1812" s="27"/>
      <c r="J1812" s="28" t="s">
        <v>915</v>
      </c>
      <c r="K1812" s="27"/>
      <c r="L1812" s="25" t="s">
        <v>914</v>
      </c>
      <c r="M1812" s="25" t="s">
        <v>898</v>
      </c>
      <c r="N1812" s="25">
        <v>40</v>
      </c>
      <c r="O1812" s="25">
        <v>0.23333333333333328</v>
      </c>
      <c r="P1812" s="25">
        <v>0.13333333333333333</v>
      </c>
      <c r="Q1812" s="25">
        <v>0</v>
      </c>
      <c r="R1812" s="25"/>
      <c r="S1812" s="25">
        <v>0.11666666666666667</v>
      </c>
      <c r="T1812" s="25">
        <v>0</v>
      </c>
      <c r="U1812" s="31">
        <f t="shared" si="29"/>
        <v>0.48333333333333328</v>
      </c>
      <c r="V1812" s="25"/>
      <c r="W1812" s="33" t="s">
        <v>913</v>
      </c>
      <c r="X1812" s="33"/>
      <c r="Y1812" s="33"/>
      <c r="Z1812" s="33">
        <v>1</v>
      </c>
      <c r="AA1812" s="33"/>
    </row>
    <row r="1813" spans="1:27" s="70" customFormat="1" ht="56.25" x14ac:dyDescent="0.2">
      <c r="A1813" s="24">
        <v>1809</v>
      </c>
      <c r="B1813" s="24" t="s">
        <v>790</v>
      </c>
      <c r="C1813" s="25" t="s">
        <v>789</v>
      </c>
      <c r="D1813" s="26" t="s">
        <v>881</v>
      </c>
      <c r="E1813" s="25" t="s">
        <v>880</v>
      </c>
      <c r="F1813" s="25" t="s">
        <v>879</v>
      </c>
      <c r="G1813" s="24"/>
      <c r="H1813" s="25" t="s">
        <v>901</v>
      </c>
      <c r="I1813" s="27"/>
      <c r="J1813" s="28" t="s">
        <v>912</v>
      </c>
      <c r="K1813" s="27"/>
      <c r="L1813" s="25"/>
      <c r="M1813" s="25"/>
      <c r="N1813" s="25"/>
      <c r="O1813" s="25"/>
      <c r="P1813" s="25"/>
      <c r="Q1813" s="25"/>
      <c r="R1813" s="25"/>
      <c r="S1813" s="25"/>
      <c r="T1813" s="25"/>
      <c r="U1813" s="31">
        <f t="shared" si="29"/>
        <v>0</v>
      </c>
      <c r="V1813" s="25"/>
      <c r="W1813" s="33"/>
      <c r="X1813" s="33"/>
      <c r="Y1813" s="33"/>
      <c r="Z1813" s="33"/>
      <c r="AA1813" s="33"/>
    </row>
    <row r="1814" spans="1:27" s="70" customFormat="1" ht="56.25" x14ac:dyDescent="0.2">
      <c r="A1814" s="24">
        <v>1810</v>
      </c>
      <c r="B1814" s="24" t="s">
        <v>790</v>
      </c>
      <c r="C1814" s="25" t="s">
        <v>789</v>
      </c>
      <c r="D1814" s="26" t="s">
        <v>881</v>
      </c>
      <c r="E1814" s="25" t="s">
        <v>880</v>
      </c>
      <c r="F1814" s="25" t="s">
        <v>879</v>
      </c>
      <c r="G1814" s="24"/>
      <c r="H1814" s="25" t="s">
        <v>901</v>
      </c>
      <c r="I1814" s="27"/>
      <c r="J1814" s="28" t="s">
        <v>911</v>
      </c>
      <c r="K1814" s="27"/>
      <c r="L1814" s="25"/>
      <c r="M1814" s="25"/>
      <c r="N1814" s="25"/>
      <c r="O1814" s="25"/>
      <c r="P1814" s="25"/>
      <c r="Q1814" s="25"/>
      <c r="R1814" s="25"/>
      <c r="S1814" s="25"/>
      <c r="T1814" s="25"/>
      <c r="U1814" s="31">
        <f t="shared" si="29"/>
        <v>0</v>
      </c>
      <c r="V1814" s="25"/>
      <c r="W1814" s="33"/>
      <c r="X1814" s="33"/>
      <c r="Y1814" s="33"/>
      <c r="Z1814" s="33"/>
      <c r="AA1814" s="33"/>
    </row>
    <row r="1815" spans="1:27" s="70" customFormat="1" ht="56.25" x14ac:dyDescent="0.2">
      <c r="A1815" s="24">
        <v>1811</v>
      </c>
      <c r="B1815" s="24" t="s">
        <v>790</v>
      </c>
      <c r="C1815" s="25" t="s">
        <v>789</v>
      </c>
      <c r="D1815" s="26" t="s">
        <v>881</v>
      </c>
      <c r="E1815" s="25" t="s">
        <v>880</v>
      </c>
      <c r="F1815" s="25" t="s">
        <v>879</v>
      </c>
      <c r="G1815" s="24"/>
      <c r="H1815" s="25" t="s">
        <v>901</v>
      </c>
      <c r="I1815" s="27"/>
      <c r="J1815" s="28" t="s">
        <v>910</v>
      </c>
      <c r="K1815" s="27"/>
      <c r="L1815" s="25" t="s">
        <v>909</v>
      </c>
      <c r="M1815" s="25" t="s">
        <v>898</v>
      </c>
      <c r="N1815" s="25">
        <v>20</v>
      </c>
      <c r="O1815" s="25">
        <v>0.17</v>
      </c>
      <c r="P1815" s="25">
        <v>0.11333333333333331</v>
      </c>
      <c r="Q1815" s="25">
        <v>0</v>
      </c>
      <c r="R1815" s="25"/>
      <c r="S1815" s="25">
        <v>4.6296296296296294E-2</v>
      </c>
      <c r="T1815" s="25">
        <v>0.17037037037037037</v>
      </c>
      <c r="U1815" s="31">
        <f t="shared" si="29"/>
        <v>0.5</v>
      </c>
      <c r="V1815" s="25"/>
      <c r="W1815" s="33" t="s">
        <v>908</v>
      </c>
      <c r="X1815" s="33"/>
      <c r="Y1815" s="33"/>
      <c r="Z1815" s="33" t="s">
        <v>907</v>
      </c>
      <c r="AA1815" s="33"/>
    </row>
    <row r="1816" spans="1:27" s="70" customFormat="1" ht="56.25" x14ac:dyDescent="0.2">
      <c r="A1816" s="24">
        <v>1812</v>
      </c>
      <c r="B1816" s="24" t="s">
        <v>790</v>
      </c>
      <c r="C1816" s="25" t="s">
        <v>789</v>
      </c>
      <c r="D1816" s="26" t="s">
        <v>881</v>
      </c>
      <c r="E1816" s="25" t="s">
        <v>880</v>
      </c>
      <c r="F1816" s="25" t="s">
        <v>879</v>
      </c>
      <c r="G1816" s="24"/>
      <c r="H1816" s="25" t="s">
        <v>901</v>
      </c>
      <c r="I1816" s="27"/>
      <c r="J1816" s="28" t="s">
        <v>906</v>
      </c>
      <c r="K1816" s="27"/>
      <c r="L1816" s="25"/>
      <c r="M1816" s="25"/>
      <c r="N1816" s="25"/>
      <c r="O1816" s="25"/>
      <c r="P1816" s="25"/>
      <c r="Q1816" s="25"/>
      <c r="R1816" s="25"/>
      <c r="S1816" s="25"/>
      <c r="T1816" s="25"/>
      <c r="U1816" s="31">
        <f t="shared" si="29"/>
        <v>0</v>
      </c>
      <c r="V1816" s="25"/>
      <c r="W1816" s="33"/>
      <c r="X1816" s="33"/>
      <c r="Y1816" s="33"/>
      <c r="Z1816" s="33"/>
      <c r="AA1816" s="33"/>
    </row>
    <row r="1817" spans="1:27" s="70" customFormat="1" ht="56.25" x14ac:dyDescent="0.2">
      <c r="A1817" s="24">
        <v>1813</v>
      </c>
      <c r="B1817" s="24" t="s">
        <v>790</v>
      </c>
      <c r="C1817" s="25" t="s">
        <v>789</v>
      </c>
      <c r="D1817" s="26" t="s">
        <v>881</v>
      </c>
      <c r="E1817" s="25" t="s">
        <v>880</v>
      </c>
      <c r="F1817" s="25" t="s">
        <v>879</v>
      </c>
      <c r="G1817" s="24"/>
      <c r="H1817" s="25" t="s">
        <v>901</v>
      </c>
      <c r="I1817" s="27"/>
      <c r="J1817" s="28" t="s">
        <v>905</v>
      </c>
      <c r="K1817" s="27"/>
      <c r="L1817" s="25"/>
      <c r="M1817" s="25"/>
      <c r="N1817" s="25"/>
      <c r="O1817" s="25"/>
      <c r="P1817" s="25"/>
      <c r="Q1817" s="25"/>
      <c r="R1817" s="25"/>
      <c r="S1817" s="25"/>
      <c r="T1817" s="25"/>
      <c r="U1817" s="31">
        <f t="shared" si="29"/>
        <v>0</v>
      </c>
      <c r="V1817" s="25"/>
      <c r="W1817" s="33"/>
      <c r="X1817" s="33"/>
      <c r="Y1817" s="33"/>
      <c r="Z1817" s="33"/>
      <c r="AA1817" s="33"/>
    </row>
    <row r="1818" spans="1:27" s="70" customFormat="1" ht="56.25" x14ac:dyDescent="0.2">
      <c r="A1818" s="24">
        <v>1814</v>
      </c>
      <c r="B1818" s="24" t="s">
        <v>790</v>
      </c>
      <c r="C1818" s="25" t="s">
        <v>789</v>
      </c>
      <c r="D1818" s="26" t="s">
        <v>881</v>
      </c>
      <c r="E1818" s="25" t="s">
        <v>880</v>
      </c>
      <c r="F1818" s="25" t="s">
        <v>879</v>
      </c>
      <c r="G1818" s="24"/>
      <c r="H1818" s="25" t="s">
        <v>901</v>
      </c>
      <c r="I1818" s="27"/>
      <c r="J1818" s="28" t="s">
        <v>904</v>
      </c>
      <c r="K1818" s="27"/>
      <c r="L1818" s="25" t="s">
        <v>903</v>
      </c>
      <c r="M1818" s="25" t="s">
        <v>898</v>
      </c>
      <c r="N1818" s="25">
        <v>280</v>
      </c>
      <c r="O1818" s="25">
        <v>0.11</v>
      </c>
      <c r="P1818" s="25">
        <v>7.3333333333333334E-2</v>
      </c>
      <c r="Q1818" s="25">
        <v>6.9444444444444434E-2</v>
      </c>
      <c r="R1818" s="25"/>
      <c r="S1818" s="25">
        <v>8.0555555555555561E-2</v>
      </c>
      <c r="T1818" s="25">
        <v>8.3333333333333332E-3</v>
      </c>
      <c r="U1818" s="31">
        <f t="shared" si="29"/>
        <v>0.34166666666666667</v>
      </c>
      <c r="V1818" s="25"/>
      <c r="W1818" s="33" t="s">
        <v>902</v>
      </c>
      <c r="X1818" s="33"/>
      <c r="Y1818" s="33"/>
      <c r="Z1818" s="33">
        <v>1</v>
      </c>
      <c r="AA1818" s="33"/>
    </row>
    <row r="1819" spans="1:27" s="70" customFormat="1" ht="56.25" x14ac:dyDescent="0.2">
      <c r="A1819" s="24">
        <v>1815</v>
      </c>
      <c r="B1819" s="24" t="s">
        <v>790</v>
      </c>
      <c r="C1819" s="25" t="s">
        <v>789</v>
      </c>
      <c r="D1819" s="26" t="s">
        <v>881</v>
      </c>
      <c r="E1819" s="25" t="s">
        <v>880</v>
      </c>
      <c r="F1819" s="25" t="s">
        <v>879</v>
      </c>
      <c r="G1819" s="24"/>
      <c r="H1819" s="25" t="s">
        <v>901</v>
      </c>
      <c r="I1819" s="27"/>
      <c r="J1819" s="28" t="s">
        <v>900</v>
      </c>
      <c r="K1819" s="27"/>
      <c r="L1819" s="25" t="s">
        <v>899</v>
      </c>
      <c r="M1819" s="25" t="s">
        <v>898</v>
      </c>
      <c r="N1819" s="25">
        <v>20</v>
      </c>
      <c r="O1819" s="25">
        <v>0.26</v>
      </c>
      <c r="P1819" s="25">
        <v>0.17333333333333331</v>
      </c>
      <c r="Q1819" s="25">
        <v>0</v>
      </c>
      <c r="R1819" s="25"/>
      <c r="S1819" s="25">
        <v>0.15740740740740741</v>
      </c>
      <c r="T1819" s="25">
        <v>0.12592592592592594</v>
      </c>
      <c r="U1819" s="31">
        <f t="shared" si="29"/>
        <v>0.71666666666666679</v>
      </c>
      <c r="V1819" s="25"/>
      <c r="W1819" s="33" t="s">
        <v>897</v>
      </c>
      <c r="X1819" s="33"/>
      <c r="Y1819" s="33"/>
      <c r="Z1819" s="33">
        <v>1</v>
      </c>
      <c r="AA1819" s="33"/>
    </row>
    <row r="1820" spans="1:27" s="70" customFormat="1" ht="101.25" x14ac:dyDescent="0.2">
      <c r="A1820" s="24">
        <v>1816</v>
      </c>
      <c r="B1820" s="24" t="s">
        <v>790</v>
      </c>
      <c r="C1820" s="25" t="s">
        <v>789</v>
      </c>
      <c r="D1820" s="26" t="s">
        <v>881</v>
      </c>
      <c r="E1820" s="25" t="s">
        <v>880</v>
      </c>
      <c r="F1820" s="25" t="s">
        <v>879</v>
      </c>
      <c r="G1820" s="24"/>
      <c r="H1820" s="25" t="s">
        <v>878</v>
      </c>
      <c r="I1820" s="27"/>
      <c r="J1820" s="25" t="s">
        <v>878</v>
      </c>
      <c r="K1820" s="27"/>
      <c r="L1820" s="25" t="s">
        <v>896</v>
      </c>
      <c r="M1820" s="25" t="s">
        <v>895</v>
      </c>
      <c r="N1820" s="25">
        <v>4603</v>
      </c>
      <c r="O1820" s="25">
        <v>0.52392787312622202</v>
      </c>
      <c r="P1820" s="25">
        <v>9.9795785357375641E-2</v>
      </c>
      <c r="Q1820" s="25">
        <v>0</v>
      </c>
      <c r="R1820" s="25"/>
      <c r="S1820" s="25">
        <v>0.22617194100465879</v>
      </c>
      <c r="T1820" s="25">
        <v>4.5234388200931792E-2</v>
      </c>
      <c r="U1820" s="31">
        <f t="shared" si="29"/>
        <v>0.89512998768918828</v>
      </c>
      <c r="V1820" s="25"/>
      <c r="W1820" s="33" t="s">
        <v>894</v>
      </c>
      <c r="X1820" s="33"/>
      <c r="Y1820" s="33"/>
      <c r="Z1820" s="33" t="s">
        <v>893</v>
      </c>
      <c r="AA1820" s="33"/>
    </row>
    <row r="1821" spans="1:27" s="70" customFormat="1" ht="45" x14ac:dyDescent="0.2">
      <c r="A1821" s="24">
        <v>1817</v>
      </c>
      <c r="B1821" s="24" t="s">
        <v>790</v>
      </c>
      <c r="C1821" s="25" t="s">
        <v>789</v>
      </c>
      <c r="D1821" s="26" t="s">
        <v>881</v>
      </c>
      <c r="E1821" s="25" t="s">
        <v>880</v>
      </c>
      <c r="F1821" s="25" t="s">
        <v>879</v>
      </c>
      <c r="G1821" s="24"/>
      <c r="H1821" s="25" t="s">
        <v>878</v>
      </c>
      <c r="I1821" s="27"/>
      <c r="J1821" s="25" t="s">
        <v>878</v>
      </c>
      <c r="K1821" s="27"/>
      <c r="L1821" s="25" t="s">
        <v>892</v>
      </c>
      <c r="M1821" s="25" t="s">
        <v>891</v>
      </c>
      <c r="N1821" s="25">
        <v>1</v>
      </c>
      <c r="O1821" s="25">
        <v>1991.8080000000002</v>
      </c>
      <c r="P1821" s="25">
        <v>1269.5040000000001</v>
      </c>
      <c r="Q1821" s="25">
        <v>0</v>
      </c>
      <c r="R1821" s="25"/>
      <c r="S1821" s="25">
        <v>1313.28</v>
      </c>
      <c r="T1821" s="25">
        <v>1192.896</v>
      </c>
      <c r="U1821" s="31">
        <f t="shared" si="29"/>
        <v>5767.4880000000003</v>
      </c>
      <c r="V1821" s="25"/>
      <c r="W1821" s="33" t="s">
        <v>890</v>
      </c>
      <c r="X1821" s="33"/>
      <c r="Y1821" s="33"/>
      <c r="Z1821" s="33">
        <v>1</v>
      </c>
      <c r="AA1821" s="33"/>
    </row>
    <row r="1822" spans="1:27" s="70" customFormat="1" ht="45" x14ac:dyDescent="0.2">
      <c r="A1822" s="24">
        <v>1818</v>
      </c>
      <c r="B1822" s="24" t="s">
        <v>790</v>
      </c>
      <c r="C1822" s="25" t="s">
        <v>789</v>
      </c>
      <c r="D1822" s="26" t="s">
        <v>881</v>
      </c>
      <c r="E1822" s="25" t="s">
        <v>880</v>
      </c>
      <c r="F1822" s="25" t="s">
        <v>879</v>
      </c>
      <c r="G1822" s="24"/>
      <c r="H1822" s="25" t="s">
        <v>878</v>
      </c>
      <c r="I1822" s="27"/>
      <c r="J1822" s="25" t="s">
        <v>878</v>
      </c>
      <c r="K1822" s="27"/>
      <c r="L1822" s="25" t="s">
        <v>889</v>
      </c>
      <c r="M1822" s="25" t="s">
        <v>888</v>
      </c>
      <c r="N1822" s="25">
        <v>72</v>
      </c>
      <c r="O1822" s="25">
        <v>0.5</v>
      </c>
      <c r="P1822" s="25">
        <v>0</v>
      </c>
      <c r="Q1822" s="25">
        <v>0</v>
      </c>
      <c r="R1822" s="25"/>
      <c r="S1822" s="25">
        <v>0.25</v>
      </c>
      <c r="T1822" s="25">
        <v>0.16666666666666666</v>
      </c>
      <c r="U1822" s="31">
        <f t="shared" si="29"/>
        <v>0.91666666666666663</v>
      </c>
      <c r="V1822" s="25"/>
      <c r="W1822" s="33" t="s">
        <v>887</v>
      </c>
      <c r="X1822" s="33"/>
      <c r="Y1822" s="33"/>
      <c r="Z1822" s="33">
        <v>1</v>
      </c>
      <c r="AA1822" s="33"/>
    </row>
    <row r="1823" spans="1:27" s="70" customFormat="1" ht="67.5" x14ac:dyDescent="0.2">
      <c r="A1823" s="24">
        <v>1819</v>
      </c>
      <c r="B1823" s="24" t="s">
        <v>790</v>
      </c>
      <c r="C1823" s="25" t="s">
        <v>789</v>
      </c>
      <c r="D1823" s="26" t="s">
        <v>881</v>
      </c>
      <c r="E1823" s="25" t="s">
        <v>880</v>
      </c>
      <c r="F1823" s="25" t="s">
        <v>879</v>
      </c>
      <c r="G1823" s="24"/>
      <c r="H1823" s="25" t="s">
        <v>878</v>
      </c>
      <c r="I1823" s="27"/>
      <c r="J1823" s="25" t="s">
        <v>878</v>
      </c>
      <c r="K1823" s="27"/>
      <c r="L1823" s="25" t="s">
        <v>886</v>
      </c>
      <c r="M1823" s="25" t="s">
        <v>885</v>
      </c>
      <c r="N1823" s="25">
        <v>1</v>
      </c>
      <c r="O1823" s="25">
        <v>53.333333333333336</v>
      </c>
      <c r="P1823" s="25">
        <v>8.3333333333333339</v>
      </c>
      <c r="Q1823" s="25">
        <v>16.666666666666668</v>
      </c>
      <c r="R1823" s="25"/>
      <c r="S1823" s="25">
        <v>40</v>
      </c>
      <c r="T1823" s="25">
        <v>83.333333333333329</v>
      </c>
      <c r="U1823" s="31">
        <f t="shared" si="29"/>
        <v>201.66666666666669</v>
      </c>
      <c r="V1823" s="25"/>
      <c r="W1823" s="33" t="s">
        <v>875</v>
      </c>
      <c r="X1823" s="33"/>
      <c r="Y1823" s="33"/>
      <c r="Z1823" s="33" t="s">
        <v>874</v>
      </c>
      <c r="AA1823" s="33"/>
    </row>
    <row r="1824" spans="1:27" s="70" customFormat="1" ht="45" x14ac:dyDescent="0.2">
      <c r="A1824" s="24">
        <v>1820</v>
      </c>
      <c r="B1824" s="24" t="s">
        <v>790</v>
      </c>
      <c r="C1824" s="25" t="s">
        <v>789</v>
      </c>
      <c r="D1824" s="26" t="s">
        <v>881</v>
      </c>
      <c r="E1824" s="25" t="s">
        <v>880</v>
      </c>
      <c r="F1824" s="25" t="s">
        <v>879</v>
      </c>
      <c r="G1824" s="24"/>
      <c r="H1824" s="25" t="s">
        <v>878</v>
      </c>
      <c r="I1824" s="27"/>
      <c r="J1824" s="25" t="s">
        <v>878</v>
      </c>
      <c r="K1824" s="27"/>
      <c r="L1824" s="25" t="s">
        <v>884</v>
      </c>
      <c r="M1824" s="25" t="s">
        <v>883</v>
      </c>
      <c r="N1824" s="25">
        <v>12</v>
      </c>
      <c r="O1824" s="25">
        <v>0</v>
      </c>
      <c r="P1824" s="25">
        <v>0</v>
      </c>
      <c r="Q1824" s="25">
        <v>0.33333333333333331</v>
      </c>
      <c r="R1824" s="25"/>
      <c r="S1824" s="25">
        <v>0.66666666666666663</v>
      </c>
      <c r="T1824" s="25">
        <v>1</v>
      </c>
      <c r="U1824" s="31">
        <f t="shared" si="29"/>
        <v>2</v>
      </c>
      <c r="V1824" s="25"/>
      <c r="W1824" s="33" t="s">
        <v>882</v>
      </c>
      <c r="X1824" s="33"/>
      <c r="Y1824" s="33"/>
      <c r="Z1824" s="33">
        <v>1</v>
      </c>
      <c r="AA1824" s="33"/>
    </row>
    <row r="1825" spans="1:27" s="70" customFormat="1" ht="67.5" x14ac:dyDescent="0.2">
      <c r="A1825" s="24">
        <v>1821</v>
      </c>
      <c r="B1825" s="24" t="s">
        <v>790</v>
      </c>
      <c r="C1825" s="25" t="s">
        <v>789</v>
      </c>
      <c r="D1825" s="26" t="s">
        <v>881</v>
      </c>
      <c r="E1825" s="25" t="s">
        <v>880</v>
      </c>
      <c r="F1825" s="25" t="s">
        <v>879</v>
      </c>
      <c r="G1825" s="24"/>
      <c r="H1825" s="25" t="s">
        <v>878</v>
      </c>
      <c r="I1825" s="27"/>
      <c r="J1825" s="25" t="s">
        <v>878</v>
      </c>
      <c r="K1825" s="27"/>
      <c r="L1825" s="25" t="s">
        <v>877</v>
      </c>
      <c r="M1825" s="25" t="s">
        <v>876</v>
      </c>
      <c r="N1825" s="25">
        <v>4</v>
      </c>
      <c r="O1825" s="25">
        <v>1.6666666666666667</v>
      </c>
      <c r="P1825" s="25">
        <v>0.66666666666666663</v>
      </c>
      <c r="Q1825" s="25">
        <v>1.6666666666666667</v>
      </c>
      <c r="R1825" s="25"/>
      <c r="S1825" s="25">
        <v>2.5</v>
      </c>
      <c r="T1825" s="25">
        <v>0.83333333333333337</v>
      </c>
      <c r="U1825" s="31">
        <f t="shared" si="29"/>
        <v>7.333333333333333</v>
      </c>
      <c r="V1825" s="25"/>
      <c r="W1825" s="33" t="s">
        <v>875</v>
      </c>
      <c r="X1825" s="33"/>
      <c r="Y1825" s="33"/>
      <c r="Z1825" s="33" t="s">
        <v>874</v>
      </c>
      <c r="AA1825" s="33"/>
    </row>
    <row r="1826" spans="1:27" s="70" customFormat="1" ht="45" x14ac:dyDescent="0.2">
      <c r="A1826" s="24">
        <v>1822</v>
      </c>
      <c r="B1826" s="24" t="s">
        <v>790</v>
      </c>
      <c r="C1826" s="25" t="s">
        <v>789</v>
      </c>
      <c r="D1826" s="26" t="s">
        <v>855</v>
      </c>
      <c r="E1826" s="25" t="s">
        <v>854</v>
      </c>
      <c r="F1826" s="25" t="s">
        <v>853</v>
      </c>
      <c r="G1826" s="24"/>
      <c r="H1826" s="25" t="s">
        <v>871</v>
      </c>
      <c r="I1826" s="24"/>
      <c r="J1826" s="25" t="s">
        <v>873</v>
      </c>
      <c r="K1826" s="24"/>
      <c r="L1826" s="25"/>
      <c r="M1826" s="25"/>
      <c r="N1826" s="25"/>
      <c r="O1826" s="25"/>
      <c r="P1826" s="25"/>
      <c r="Q1826" s="25"/>
      <c r="R1826" s="25"/>
      <c r="S1826" s="25"/>
      <c r="T1826" s="25"/>
      <c r="U1826" s="31">
        <f t="shared" si="29"/>
        <v>0</v>
      </c>
      <c r="V1826" s="25"/>
      <c r="W1826" s="33"/>
      <c r="X1826" s="33"/>
      <c r="Y1826" s="33"/>
      <c r="Z1826" s="33"/>
      <c r="AA1826" s="33"/>
    </row>
    <row r="1827" spans="1:27" s="70" customFormat="1" ht="78.75" x14ac:dyDescent="0.2">
      <c r="A1827" s="24">
        <v>1823</v>
      </c>
      <c r="B1827" s="24" t="s">
        <v>790</v>
      </c>
      <c r="C1827" s="25" t="s">
        <v>789</v>
      </c>
      <c r="D1827" s="26" t="s">
        <v>855</v>
      </c>
      <c r="E1827" s="25" t="s">
        <v>854</v>
      </c>
      <c r="F1827" s="25" t="s">
        <v>853</v>
      </c>
      <c r="G1827" s="24"/>
      <c r="H1827" s="25" t="s">
        <v>871</v>
      </c>
      <c r="I1827" s="24"/>
      <c r="J1827" s="25" t="s">
        <v>872</v>
      </c>
      <c r="K1827" s="24"/>
      <c r="L1827" s="25"/>
      <c r="M1827" s="25"/>
      <c r="N1827" s="25"/>
      <c r="O1827" s="25"/>
      <c r="P1827" s="25"/>
      <c r="Q1827" s="25"/>
      <c r="R1827" s="25"/>
      <c r="S1827" s="25"/>
      <c r="T1827" s="25"/>
      <c r="U1827" s="31">
        <f t="shared" si="29"/>
        <v>0</v>
      </c>
      <c r="V1827" s="25"/>
      <c r="W1827" s="33"/>
      <c r="X1827" s="33"/>
      <c r="Y1827" s="33"/>
      <c r="Z1827" s="33"/>
      <c r="AA1827" s="33"/>
    </row>
    <row r="1828" spans="1:27" s="70" customFormat="1" ht="45" x14ac:dyDescent="0.2">
      <c r="A1828" s="24">
        <v>1824</v>
      </c>
      <c r="B1828" s="24" t="s">
        <v>790</v>
      </c>
      <c r="C1828" s="25" t="s">
        <v>789</v>
      </c>
      <c r="D1828" s="26" t="s">
        <v>855</v>
      </c>
      <c r="E1828" s="25" t="s">
        <v>854</v>
      </c>
      <c r="F1828" s="25" t="s">
        <v>853</v>
      </c>
      <c r="G1828" s="24"/>
      <c r="H1828" s="25" t="s">
        <v>871</v>
      </c>
      <c r="I1828" s="24"/>
      <c r="J1828" s="25" t="s">
        <v>870</v>
      </c>
      <c r="K1828" s="24"/>
      <c r="L1828" s="25"/>
      <c r="M1828" s="25"/>
      <c r="N1828" s="25"/>
      <c r="O1828" s="25"/>
      <c r="P1828" s="25"/>
      <c r="Q1828" s="25"/>
      <c r="R1828" s="25"/>
      <c r="S1828" s="25"/>
      <c r="T1828" s="25"/>
      <c r="U1828" s="31">
        <f t="shared" si="29"/>
        <v>0</v>
      </c>
      <c r="V1828" s="25"/>
      <c r="W1828" s="33"/>
      <c r="X1828" s="33"/>
      <c r="Y1828" s="33"/>
      <c r="Z1828" s="33"/>
      <c r="AA1828" s="33"/>
    </row>
    <row r="1829" spans="1:27" s="70" customFormat="1" ht="90" x14ac:dyDescent="0.2">
      <c r="A1829" s="24">
        <v>1825</v>
      </c>
      <c r="B1829" s="24" t="s">
        <v>790</v>
      </c>
      <c r="C1829" s="25" t="s">
        <v>789</v>
      </c>
      <c r="D1829" s="26" t="s">
        <v>855</v>
      </c>
      <c r="E1829" s="25" t="s">
        <v>854</v>
      </c>
      <c r="F1829" s="25" t="s">
        <v>853</v>
      </c>
      <c r="G1829" s="24"/>
      <c r="H1829" s="25" t="s">
        <v>857</v>
      </c>
      <c r="I1829" s="24"/>
      <c r="J1829" s="25" t="s">
        <v>869</v>
      </c>
      <c r="K1829" s="24"/>
      <c r="L1829" s="25"/>
      <c r="M1829" s="25"/>
      <c r="N1829" s="25"/>
      <c r="O1829" s="25"/>
      <c r="P1829" s="25"/>
      <c r="Q1829" s="25"/>
      <c r="R1829" s="25"/>
      <c r="S1829" s="25"/>
      <c r="T1829" s="25"/>
      <c r="U1829" s="31">
        <f t="shared" si="29"/>
        <v>0</v>
      </c>
      <c r="V1829" s="25"/>
      <c r="W1829" s="33"/>
      <c r="X1829" s="33"/>
      <c r="Y1829" s="33"/>
      <c r="Z1829" s="33"/>
      <c r="AA1829" s="33"/>
    </row>
    <row r="1830" spans="1:27" s="70" customFormat="1" ht="67.5" x14ac:dyDescent="0.2">
      <c r="A1830" s="24">
        <v>1826</v>
      </c>
      <c r="B1830" s="24" t="s">
        <v>790</v>
      </c>
      <c r="C1830" s="25" t="s">
        <v>789</v>
      </c>
      <c r="D1830" s="26" t="s">
        <v>855</v>
      </c>
      <c r="E1830" s="25" t="s">
        <v>854</v>
      </c>
      <c r="F1830" s="25" t="s">
        <v>853</v>
      </c>
      <c r="G1830" s="24"/>
      <c r="H1830" s="25" t="s">
        <v>857</v>
      </c>
      <c r="I1830" s="24"/>
      <c r="J1830" s="25" t="s">
        <v>868</v>
      </c>
      <c r="K1830" s="24"/>
      <c r="L1830" s="25"/>
      <c r="M1830" s="25"/>
      <c r="N1830" s="25"/>
      <c r="O1830" s="25"/>
      <c r="P1830" s="25"/>
      <c r="Q1830" s="25"/>
      <c r="R1830" s="25"/>
      <c r="S1830" s="25"/>
      <c r="T1830" s="25"/>
      <c r="U1830" s="31">
        <f t="shared" si="29"/>
        <v>0</v>
      </c>
      <c r="V1830" s="25"/>
      <c r="W1830" s="33"/>
      <c r="X1830" s="33"/>
      <c r="Y1830" s="33"/>
      <c r="Z1830" s="33"/>
      <c r="AA1830" s="33"/>
    </row>
    <row r="1831" spans="1:27" s="70" customFormat="1" ht="56.25" x14ac:dyDescent="0.2">
      <c r="A1831" s="24">
        <v>1827</v>
      </c>
      <c r="B1831" s="24" t="s">
        <v>790</v>
      </c>
      <c r="C1831" s="25" t="s">
        <v>789</v>
      </c>
      <c r="D1831" s="26" t="s">
        <v>855</v>
      </c>
      <c r="E1831" s="25" t="s">
        <v>854</v>
      </c>
      <c r="F1831" s="25" t="s">
        <v>853</v>
      </c>
      <c r="G1831" s="24"/>
      <c r="H1831" s="25" t="s">
        <v>857</v>
      </c>
      <c r="I1831" s="24"/>
      <c r="J1831" s="25" t="s">
        <v>867</v>
      </c>
      <c r="K1831" s="24"/>
      <c r="L1831" s="25"/>
      <c r="M1831" s="25"/>
      <c r="N1831" s="25"/>
      <c r="O1831" s="25"/>
      <c r="P1831" s="25"/>
      <c r="Q1831" s="25"/>
      <c r="R1831" s="25"/>
      <c r="S1831" s="25"/>
      <c r="T1831" s="25"/>
      <c r="U1831" s="31">
        <f t="shared" si="29"/>
        <v>0</v>
      </c>
      <c r="V1831" s="25"/>
      <c r="W1831" s="33"/>
      <c r="X1831" s="33"/>
      <c r="Y1831" s="33"/>
      <c r="Z1831" s="33"/>
      <c r="AA1831" s="33"/>
    </row>
    <row r="1832" spans="1:27" s="70" customFormat="1" ht="67.5" x14ac:dyDescent="0.2">
      <c r="A1832" s="24">
        <v>1828</v>
      </c>
      <c r="B1832" s="24" t="s">
        <v>790</v>
      </c>
      <c r="C1832" s="25" t="s">
        <v>789</v>
      </c>
      <c r="D1832" s="26" t="s">
        <v>855</v>
      </c>
      <c r="E1832" s="25" t="s">
        <v>854</v>
      </c>
      <c r="F1832" s="25" t="s">
        <v>853</v>
      </c>
      <c r="G1832" s="24"/>
      <c r="H1832" s="25" t="s">
        <v>857</v>
      </c>
      <c r="I1832" s="24"/>
      <c r="J1832" s="25" t="s">
        <v>866</v>
      </c>
      <c r="K1832" s="24"/>
      <c r="L1832" s="25"/>
      <c r="M1832" s="25"/>
      <c r="N1832" s="25"/>
      <c r="O1832" s="25"/>
      <c r="P1832" s="25"/>
      <c r="Q1832" s="25"/>
      <c r="R1832" s="25"/>
      <c r="S1832" s="25"/>
      <c r="T1832" s="25"/>
      <c r="U1832" s="31">
        <f t="shared" si="29"/>
        <v>0</v>
      </c>
      <c r="V1832" s="25"/>
      <c r="W1832" s="33"/>
      <c r="X1832" s="33"/>
      <c r="Y1832" s="33"/>
      <c r="Z1832" s="33"/>
      <c r="AA1832" s="33"/>
    </row>
    <row r="1833" spans="1:27" s="70" customFormat="1" ht="67.5" x14ac:dyDescent="0.2">
      <c r="A1833" s="24">
        <v>1829</v>
      </c>
      <c r="B1833" s="24" t="s">
        <v>790</v>
      </c>
      <c r="C1833" s="25" t="s">
        <v>789</v>
      </c>
      <c r="D1833" s="26" t="s">
        <v>855</v>
      </c>
      <c r="E1833" s="25" t="s">
        <v>854</v>
      </c>
      <c r="F1833" s="25" t="s">
        <v>853</v>
      </c>
      <c r="G1833" s="24"/>
      <c r="H1833" s="25" t="s">
        <v>857</v>
      </c>
      <c r="I1833" s="24"/>
      <c r="J1833" s="25" t="s">
        <v>865</v>
      </c>
      <c r="K1833" s="24"/>
      <c r="L1833" s="25"/>
      <c r="M1833" s="25"/>
      <c r="N1833" s="25"/>
      <c r="O1833" s="25"/>
      <c r="P1833" s="25"/>
      <c r="Q1833" s="25"/>
      <c r="R1833" s="25"/>
      <c r="S1833" s="25"/>
      <c r="T1833" s="25"/>
      <c r="U1833" s="31">
        <f t="shared" si="29"/>
        <v>0</v>
      </c>
      <c r="V1833" s="25"/>
      <c r="W1833" s="33"/>
      <c r="X1833" s="33"/>
      <c r="Y1833" s="33"/>
      <c r="Z1833" s="33"/>
      <c r="AA1833" s="33"/>
    </row>
    <row r="1834" spans="1:27" s="70" customFormat="1" ht="90" x14ac:dyDescent="0.2">
      <c r="A1834" s="24">
        <v>1830</v>
      </c>
      <c r="B1834" s="24" t="s">
        <v>790</v>
      </c>
      <c r="C1834" s="25" t="s">
        <v>789</v>
      </c>
      <c r="D1834" s="26" t="s">
        <v>855</v>
      </c>
      <c r="E1834" s="25" t="s">
        <v>854</v>
      </c>
      <c r="F1834" s="25" t="s">
        <v>853</v>
      </c>
      <c r="G1834" s="24"/>
      <c r="H1834" s="25" t="s">
        <v>857</v>
      </c>
      <c r="I1834" s="24"/>
      <c r="J1834" s="25" t="s">
        <v>864</v>
      </c>
      <c r="K1834" s="24"/>
      <c r="L1834" s="25"/>
      <c r="M1834" s="25"/>
      <c r="N1834" s="25"/>
      <c r="O1834" s="25"/>
      <c r="P1834" s="25"/>
      <c r="Q1834" s="25"/>
      <c r="R1834" s="25"/>
      <c r="S1834" s="25"/>
      <c r="T1834" s="25"/>
      <c r="U1834" s="31">
        <f t="shared" si="29"/>
        <v>0</v>
      </c>
      <c r="V1834" s="25"/>
      <c r="W1834" s="33"/>
      <c r="X1834" s="33"/>
      <c r="Y1834" s="33"/>
      <c r="Z1834" s="33"/>
      <c r="AA1834" s="33"/>
    </row>
    <row r="1835" spans="1:27" s="70" customFormat="1" ht="45" x14ac:dyDescent="0.2">
      <c r="A1835" s="24">
        <v>1831</v>
      </c>
      <c r="B1835" s="24" t="s">
        <v>790</v>
      </c>
      <c r="C1835" s="25" t="s">
        <v>789</v>
      </c>
      <c r="D1835" s="26" t="s">
        <v>855</v>
      </c>
      <c r="E1835" s="25" t="s">
        <v>854</v>
      </c>
      <c r="F1835" s="25" t="s">
        <v>853</v>
      </c>
      <c r="G1835" s="24"/>
      <c r="H1835" s="25" t="s">
        <v>857</v>
      </c>
      <c r="I1835" s="24"/>
      <c r="J1835" s="25" t="s">
        <v>863</v>
      </c>
      <c r="K1835" s="24"/>
      <c r="L1835" s="25"/>
      <c r="M1835" s="25"/>
      <c r="N1835" s="25"/>
      <c r="O1835" s="25"/>
      <c r="P1835" s="25"/>
      <c r="Q1835" s="25"/>
      <c r="R1835" s="25"/>
      <c r="S1835" s="25"/>
      <c r="T1835" s="25"/>
      <c r="U1835" s="31">
        <f t="shared" si="29"/>
        <v>0</v>
      </c>
      <c r="V1835" s="25"/>
      <c r="W1835" s="33"/>
      <c r="X1835" s="33"/>
      <c r="Y1835" s="33"/>
      <c r="Z1835" s="33"/>
      <c r="AA1835" s="33"/>
    </row>
    <row r="1836" spans="1:27" s="70" customFormat="1" ht="45" x14ac:dyDescent="0.2">
      <c r="A1836" s="24">
        <v>1832</v>
      </c>
      <c r="B1836" s="24" t="s">
        <v>790</v>
      </c>
      <c r="C1836" s="25" t="s">
        <v>789</v>
      </c>
      <c r="D1836" s="26" t="s">
        <v>855</v>
      </c>
      <c r="E1836" s="25" t="s">
        <v>854</v>
      </c>
      <c r="F1836" s="25" t="s">
        <v>853</v>
      </c>
      <c r="G1836" s="24"/>
      <c r="H1836" s="25" t="s">
        <v>857</v>
      </c>
      <c r="I1836" s="24"/>
      <c r="J1836" s="25" t="s">
        <v>862</v>
      </c>
      <c r="K1836" s="24"/>
      <c r="L1836" s="25"/>
      <c r="M1836" s="25"/>
      <c r="N1836" s="25"/>
      <c r="O1836" s="25"/>
      <c r="P1836" s="25"/>
      <c r="Q1836" s="25"/>
      <c r="R1836" s="25"/>
      <c r="S1836" s="25"/>
      <c r="T1836" s="25"/>
      <c r="U1836" s="31">
        <f t="shared" si="29"/>
        <v>0</v>
      </c>
      <c r="V1836" s="25"/>
      <c r="W1836" s="33"/>
      <c r="X1836" s="33"/>
      <c r="Y1836" s="33"/>
      <c r="Z1836" s="33"/>
      <c r="AA1836" s="33"/>
    </row>
    <row r="1837" spans="1:27" s="70" customFormat="1" ht="45" x14ac:dyDescent="0.2">
      <c r="A1837" s="24">
        <v>1833</v>
      </c>
      <c r="B1837" s="24" t="s">
        <v>790</v>
      </c>
      <c r="C1837" s="25" t="s">
        <v>789</v>
      </c>
      <c r="D1837" s="26" t="s">
        <v>855</v>
      </c>
      <c r="E1837" s="25" t="s">
        <v>854</v>
      </c>
      <c r="F1837" s="25" t="s">
        <v>853</v>
      </c>
      <c r="G1837" s="24"/>
      <c r="H1837" s="25" t="s">
        <v>857</v>
      </c>
      <c r="I1837" s="24"/>
      <c r="J1837" s="25" t="s">
        <v>861</v>
      </c>
      <c r="K1837" s="24"/>
      <c r="L1837" s="25"/>
      <c r="M1837" s="25"/>
      <c r="N1837" s="25"/>
      <c r="O1837" s="25"/>
      <c r="P1837" s="25"/>
      <c r="Q1837" s="25"/>
      <c r="R1837" s="25"/>
      <c r="S1837" s="25"/>
      <c r="T1837" s="25"/>
      <c r="U1837" s="31">
        <f t="shared" si="29"/>
        <v>0</v>
      </c>
      <c r="V1837" s="25"/>
      <c r="W1837" s="33"/>
      <c r="X1837" s="33"/>
      <c r="Y1837" s="33"/>
      <c r="Z1837" s="33"/>
      <c r="AA1837" s="33"/>
    </row>
    <row r="1838" spans="1:27" s="70" customFormat="1" ht="45" x14ac:dyDescent="0.2">
      <c r="A1838" s="24">
        <v>1834</v>
      </c>
      <c r="B1838" s="24" t="s">
        <v>790</v>
      </c>
      <c r="C1838" s="25" t="s">
        <v>789</v>
      </c>
      <c r="D1838" s="26" t="s">
        <v>855</v>
      </c>
      <c r="E1838" s="25" t="s">
        <v>854</v>
      </c>
      <c r="F1838" s="25" t="s">
        <v>853</v>
      </c>
      <c r="G1838" s="24"/>
      <c r="H1838" s="25" t="s">
        <v>857</v>
      </c>
      <c r="I1838" s="24"/>
      <c r="J1838" s="25" t="s">
        <v>860</v>
      </c>
      <c r="K1838" s="24"/>
      <c r="L1838" s="25"/>
      <c r="M1838" s="25"/>
      <c r="N1838" s="25"/>
      <c r="O1838" s="25"/>
      <c r="P1838" s="25"/>
      <c r="Q1838" s="25"/>
      <c r="R1838" s="25"/>
      <c r="S1838" s="25"/>
      <c r="T1838" s="25"/>
      <c r="U1838" s="31">
        <f t="shared" si="29"/>
        <v>0</v>
      </c>
      <c r="V1838" s="25"/>
      <c r="W1838" s="33"/>
      <c r="X1838" s="33"/>
      <c r="Y1838" s="33"/>
      <c r="Z1838" s="33"/>
      <c r="AA1838" s="33"/>
    </row>
    <row r="1839" spans="1:27" s="70" customFormat="1" ht="45" x14ac:dyDescent="0.2">
      <c r="A1839" s="24">
        <v>1835</v>
      </c>
      <c r="B1839" s="24" t="s">
        <v>790</v>
      </c>
      <c r="C1839" s="25" t="s">
        <v>789</v>
      </c>
      <c r="D1839" s="26" t="s">
        <v>855</v>
      </c>
      <c r="E1839" s="25" t="s">
        <v>854</v>
      </c>
      <c r="F1839" s="25" t="s">
        <v>853</v>
      </c>
      <c r="G1839" s="24"/>
      <c r="H1839" s="25" t="s">
        <v>857</v>
      </c>
      <c r="I1839" s="24"/>
      <c r="J1839" s="25" t="s">
        <v>859</v>
      </c>
      <c r="K1839" s="24"/>
      <c r="L1839" s="25"/>
      <c r="M1839" s="25"/>
      <c r="N1839" s="25"/>
      <c r="O1839" s="25"/>
      <c r="P1839" s="25"/>
      <c r="Q1839" s="25"/>
      <c r="R1839" s="25"/>
      <c r="S1839" s="25"/>
      <c r="T1839" s="25"/>
      <c r="U1839" s="31">
        <f t="shared" si="29"/>
        <v>0</v>
      </c>
      <c r="V1839" s="25"/>
      <c r="W1839" s="33"/>
      <c r="X1839" s="33"/>
      <c r="Y1839" s="33"/>
      <c r="Z1839" s="33"/>
      <c r="AA1839" s="33"/>
    </row>
    <row r="1840" spans="1:27" s="70" customFormat="1" ht="45" x14ac:dyDescent="0.2">
      <c r="A1840" s="24">
        <v>1836</v>
      </c>
      <c r="B1840" s="24" t="s">
        <v>790</v>
      </c>
      <c r="C1840" s="25" t="s">
        <v>789</v>
      </c>
      <c r="D1840" s="26" t="s">
        <v>855</v>
      </c>
      <c r="E1840" s="25" t="s">
        <v>854</v>
      </c>
      <c r="F1840" s="25" t="s">
        <v>853</v>
      </c>
      <c r="G1840" s="24"/>
      <c r="H1840" s="25" t="s">
        <v>857</v>
      </c>
      <c r="I1840" s="24"/>
      <c r="J1840" s="25" t="s">
        <v>858</v>
      </c>
      <c r="K1840" s="24"/>
      <c r="L1840" s="25"/>
      <c r="M1840" s="25"/>
      <c r="N1840" s="25"/>
      <c r="O1840" s="25"/>
      <c r="P1840" s="25"/>
      <c r="Q1840" s="25"/>
      <c r="R1840" s="25"/>
      <c r="S1840" s="25"/>
      <c r="T1840" s="25"/>
      <c r="U1840" s="31">
        <f t="shared" si="29"/>
        <v>0</v>
      </c>
      <c r="V1840" s="25"/>
      <c r="W1840" s="33"/>
      <c r="X1840" s="33"/>
      <c r="Y1840" s="33"/>
      <c r="Z1840" s="33"/>
      <c r="AA1840" s="33"/>
    </row>
    <row r="1841" spans="1:27" s="70" customFormat="1" ht="45" x14ac:dyDescent="0.2">
      <c r="A1841" s="24">
        <v>1837</v>
      </c>
      <c r="B1841" s="24" t="s">
        <v>790</v>
      </c>
      <c r="C1841" s="25" t="s">
        <v>789</v>
      </c>
      <c r="D1841" s="26" t="s">
        <v>855</v>
      </c>
      <c r="E1841" s="25" t="s">
        <v>854</v>
      </c>
      <c r="F1841" s="25" t="s">
        <v>853</v>
      </c>
      <c r="G1841" s="24"/>
      <c r="H1841" s="25" t="s">
        <v>857</v>
      </c>
      <c r="I1841" s="24"/>
      <c r="J1841" s="25" t="s">
        <v>856</v>
      </c>
      <c r="K1841" s="24"/>
      <c r="L1841" s="25"/>
      <c r="M1841" s="25"/>
      <c r="N1841" s="25"/>
      <c r="O1841" s="25"/>
      <c r="P1841" s="25"/>
      <c r="Q1841" s="25"/>
      <c r="R1841" s="25"/>
      <c r="S1841" s="25"/>
      <c r="T1841" s="25"/>
      <c r="U1841" s="31">
        <f t="shared" si="29"/>
        <v>0</v>
      </c>
      <c r="V1841" s="25"/>
      <c r="W1841" s="33"/>
      <c r="X1841" s="33"/>
      <c r="Y1841" s="33"/>
      <c r="Z1841" s="33"/>
      <c r="AA1841" s="33"/>
    </row>
    <row r="1842" spans="1:27" s="70" customFormat="1" ht="45" x14ac:dyDescent="0.2">
      <c r="A1842" s="24">
        <v>1838</v>
      </c>
      <c r="B1842" s="24" t="s">
        <v>790</v>
      </c>
      <c r="C1842" s="25" t="s">
        <v>789</v>
      </c>
      <c r="D1842" s="26" t="s">
        <v>855</v>
      </c>
      <c r="E1842" s="25" t="s">
        <v>854</v>
      </c>
      <c r="F1842" s="25" t="s">
        <v>853</v>
      </c>
      <c r="G1842" s="24"/>
      <c r="H1842" s="25" t="s">
        <v>852</v>
      </c>
      <c r="I1842" s="24"/>
      <c r="J1842" s="25" t="s">
        <v>852</v>
      </c>
      <c r="K1842" s="24"/>
      <c r="L1842" s="25"/>
      <c r="M1842" s="25"/>
      <c r="N1842" s="25"/>
      <c r="O1842" s="25"/>
      <c r="P1842" s="25"/>
      <c r="Q1842" s="25"/>
      <c r="R1842" s="25"/>
      <c r="S1842" s="25"/>
      <c r="T1842" s="25"/>
      <c r="U1842" s="31">
        <f t="shared" si="29"/>
        <v>0</v>
      </c>
      <c r="V1842" s="25"/>
      <c r="W1842" s="33"/>
      <c r="X1842" s="33"/>
      <c r="Y1842" s="33"/>
      <c r="Z1842" s="33"/>
      <c r="AA1842" s="33"/>
    </row>
    <row r="1843" spans="1:27" s="70" customFormat="1" ht="78.75" x14ac:dyDescent="0.2">
      <c r="A1843" s="24">
        <v>1839</v>
      </c>
      <c r="B1843" s="24" t="s">
        <v>790</v>
      </c>
      <c r="C1843" s="25" t="s">
        <v>789</v>
      </c>
      <c r="D1843" s="26" t="s">
        <v>788</v>
      </c>
      <c r="E1843" s="25" t="s">
        <v>787</v>
      </c>
      <c r="F1843" s="25" t="s">
        <v>786</v>
      </c>
      <c r="G1843" s="24"/>
      <c r="H1843" s="25" t="s">
        <v>827</v>
      </c>
      <c r="I1843" s="27"/>
      <c r="J1843" s="28" t="s">
        <v>847</v>
      </c>
      <c r="K1843" s="24"/>
      <c r="L1843" s="25" t="s">
        <v>851</v>
      </c>
      <c r="M1843" s="25" t="s">
        <v>177</v>
      </c>
      <c r="N1843" s="25">
        <v>1</v>
      </c>
      <c r="O1843" s="25">
        <v>32</v>
      </c>
      <c r="P1843" s="25">
        <v>32</v>
      </c>
      <c r="Q1843" s="25">
        <v>8</v>
      </c>
      <c r="R1843" s="25"/>
      <c r="S1843" s="25">
        <v>4</v>
      </c>
      <c r="T1843" s="25">
        <v>4</v>
      </c>
      <c r="U1843" s="31">
        <f t="shared" si="29"/>
        <v>80</v>
      </c>
      <c r="V1843" s="25"/>
      <c r="W1843" s="33" t="s">
        <v>848</v>
      </c>
      <c r="X1843" s="33"/>
      <c r="Y1843" s="33"/>
      <c r="Z1843" s="33" t="s">
        <v>189</v>
      </c>
      <c r="AA1843" s="33"/>
    </row>
    <row r="1844" spans="1:27" s="70" customFormat="1" ht="78.75" x14ac:dyDescent="0.2">
      <c r="A1844" s="24">
        <v>1840</v>
      </c>
      <c r="B1844" s="24" t="s">
        <v>790</v>
      </c>
      <c r="C1844" s="25" t="s">
        <v>789</v>
      </c>
      <c r="D1844" s="26" t="s">
        <v>788</v>
      </c>
      <c r="E1844" s="25" t="s">
        <v>787</v>
      </c>
      <c r="F1844" s="25" t="s">
        <v>786</v>
      </c>
      <c r="G1844" s="24"/>
      <c r="H1844" s="25" t="s">
        <v>827</v>
      </c>
      <c r="I1844" s="27"/>
      <c r="J1844" s="28" t="s">
        <v>847</v>
      </c>
      <c r="K1844" s="24"/>
      <c r="L1844" s="25" t="s">
        <v>850</v>
      </c>
      <c r="M1844" s="25" t="s">
        <v>845</v>
      </c>
      <c r="N1844" s="25">
        <v>1</v>
      </c>
      <c r="O1844" s="25">
        <v>40</v>
      </c>
      <c r="P1844" s="25">
        <v>40</v>
      </c>
      <c r="Q1844" s="25"/>
      <c r="R1844" s="25"/>
      <c r="S1844" s="25">
        <v>8</v>
      </c>
      <c r="T1844" s="25">
        <v>8</v>
      </c>
      <c r="U1844" s="31">
        <f t="shared" si="29"/>
        <v>96</v>
      </c>
      <c r="V1844" s="25"/>
      <c r="W1844" s="33" t="s">
        <v>848</v>
      </c>
      <c r="X1844" s="33"/>
      <c r="Y1844" s="33"/>
      <c r="Z1844" s="33"/>
      <c r="AA1844" s="33"/>
    </row>
    <row r="1845" spans="1:27" s="70" customFormat="1" ht="78.75" x14ac:dyDescent="0.2">
      <c r="A1845" s="24">
        <v>1841</v>
      </c>
      <c r="B1845" s="24" t="s">
        <v>790</v>
      </c>
      <c r="C1845" s="25" t="s">
        <v>789</v>
      </c>
      <c r="D1845" s="26" t="s">
        <v>788</v>
      </c>
      <c r="E1845" s="25" t="s">
        <v>787</v>
      </c>
      <c r="F1845" s="25" t="s">
        <v>786</v>
      </c>
      <c r="G1845" s="24"/>
      <c r="H1845" s="25" t="s">
        <v>827</v>
      </c>
      <c r="I1845" s="27"/>
      <c r="J1845" s="28" t="s">
        <v>847</v>
      </c>
      <c r="K1845" s="24"/>
      <c r="L1845" s="25" t="s">
        <v>849</v>
      </c>
      <c r="M1845" s="25" t="s">
        <v>845</v>
      </c>
      <c r="N1845" s="25">
        <v>288</v>
      </c>
      <c r="O1845" s="25">
        <v>0.5</v>
      </c>
      <c r="P1845" s="25">
        <v>0.5</v>
      </c>
      <c r="Q1845" s="25"/>
      <c r="R1845" s="25"/>
      <c r="S1845" s="25">
        <v>0.25</v>
      </c>
      <c r="T1845" s="25">
        <v>0.25</v>
      </c>
      <c r="U1845" s="31">
        <f t="shared" si="29"/>
        <v>1.5</v>
      </c>
      <c r="V1845" s="25"/>
      <c r="W1845" s="33" t="s">
        <v>848</v>
      </c>
      <c r="X1845" s="33"/>
      <c r="Y1845" s="33"/>
      <c r="Z1845" s="33"/>
      <c r="AA1845" s="33"/>
    </row>
    <row r="1846" spans="1:27" s="70" customFormat="1" ht="78.75" x14ac:dyDescent="0.2">
      <c r="A1846" s="24">
        <v>1842</v>
      </c>
      <c r="B1846" s="24" t="s">
        <v>790</v>
      </c>
      <c r="C1846" s="25" t="s">
        <v>789</v>
      </c>
      <c r="D1846" s="26" t="s">
        <v>788</v>
      </c>
      <c r="E1846" s="25" t="s">
        <v>787</v>
      </c>
      <c r="F1846" s="25" t="s">
        <v>786</v>
      </c>
      <c r="G1846" s="24"/>
      <c r="H1846" s="25" t="s">
        <v>827</v>
      </c>
      <c r="I1846" s="27"/>
      <c r="J1846" s="28" t="s">
        <v>847</v>
      </c>
      <c r="K1846" s="24"/>
      <c r="L1846" s="25" t="s">
        <v>846</v>
      </c>
      <c r="M1846" s="25" t="s">
        <v>845</v>
      </c>
      <c r="N1846" s="25">
        <v>1</v>
      </c>
      <c r="O1846" s="25"/>
      <c r="P1846" s="25">
        <v>96</v>
      </c>
      <c r="Q1846" s="25"/>
      <c r="R1846" s="25"/>
      <c r="S1846" s="25">
        <v>96</v>
      </c>
      <c r="T1846" s="25">
        <v>96</v>
      </c>
      <c r="U1846" s="31">
        <f t="shared" si="29"/>
        <v>288</v>
      </c>
      <c r="V1846" s="25"/>
      <c r="W1846" s="33" t="s">
        <v>844</v>
      </c>
      <c r="X1846" s="33"/>
      <c r="Y1846" s="33"/>
      <c r="Z1846" s="33"/>
      <c r="AA1846" s="33"/>
    </row>
    <row r="1847" spans="1:27" s="70" customFormat="1" ht="78.75" x14ac:dyDescent="0.2">
      <c r="A1847" s="24">
        <v>1843</v>
      </c>
      <c r="B1847" s="24" t="s">
        <v>790</v>
      </c>
      <c r="C1847" s="25" t="s">
        <v>789</v>
      </c>
      <c r="D1847" s="26" t="s">
        <v>788</v>
      </c>
      <c r="E1847" s="25" t="s">
        <v>787</v>
      </c>
      <c r="F1847" s="25" t="s">
        <v>786</v>
      </c>
      <c r="G1847" s="24"/>
      <c r="H1847" s="25" t="s">
        <v>827</v>
      </c>
      <c r="I1847" s="27"/>
      <c r="J1847" s="28" t="s">
        <v>833</v>
      </c>
      <c r="K1847" s="24"/>
      <c r="L1847" s="25" t="s">
        <v>841</v>
      </c>
      <c r="M1847" s="25" t="s">
        <v>835</v>
      </c>
      <c r="N1847" s="25">
        <v>4</v>
      </c>
      <c r="O1847" s="25"/>
      <c r="P1847" s="25">
        <v>24</v>
      </c>
      <c r="Q1847" s="25">
        <v>12</v>
      </c>
      <c r="R1847" s="25"/>
      <c r="S1847" s="25">
        <v>2</v>
      </c>
      <c r="T1847" s="25">
        <v>2</v>
      </c>
      <c r="U1847" s="31">
        <f t="shared" si="29"/>
        <v>40</v>
      </c>
      <c r="V1847" s="25"/>
      <c r="W1847" s="33" t="s">
        <v>54</v>
      </c>
      <c r="X1847" s="33"/>
      <c r="Y1847" s="33"/>
      <c r="Z1847" s="33"/>
      <c r="AA1847" s="33"/>
    </row>
    <row r="1848" spans="1:27" s="70" customFormat="1" ht="78.75" x14ac:dyDescent="0.2">
      <c r="A1848" s="24">
        <v>1844</v>
      </c>
      <c r="B1848" s="24" t="s">
        <v>790</v>
      </c>
      <c r="C1848" s="25" t="s">
        <v>789</v>
      </c>
      <c r="D1848" s="26" t="s">
        <v>788</v>
      </c>
      <c r="E1848" s="25" t="s">
        <v>787</v>
      </c>
      <c r="F1848" s="25" t="s">
        <v>786</v>
      </c>
      <c r="G1848" s="24"/>
      <c r="H1848" s="25" t="s">
        <v>827</v>
      </c>
      <c r="I1848" s="27"/>
      <c r="J1848" s="28" t="s">
        <v>833</v>
      </c>
      <c r="K1848" s="24"/>
      <c r="L1848" s="25" t="s">
        <v>843</v>
      </c>
      <c r="M1848" s="25" t="s">
        <v>301</v>
      </c>
      <c r="N1848" s="25">
        <v>60</v>
      </c>
      <c r="O1848" s="25">
        <v>8</v>
      </c>
      <c r="P1848" s="25">
        <v>8</v>
      </c>
      <c r="Q1848" s="25">
        <v>4</v>
      </c>
      <c r="R1848" s="25"/>
      <c r="S1848" s="25">
        <v>2</v>
      </c>
      <c r="T1848" s="25">
        <v>2</v>
      </c>
      <c r="U1848" s="31">
        <f t="shared" si="29"/>
        <v>24</v>
      </c>
      <c r="V1848" s="25"/>
      <c r="W1848" s="33" t="s">
        <v>54</v>
      </c>
      <c r="X1848" s="33"/>
      <c r="Y1848" s="33"/>
      <c r="Z1848" s="33"/>
      <c r="AA1848" s="33"/>
    </row>
    <row r="1849" spans="1:27" s="70" customFormat="1" ht="78.75" x14ac:dyDescent="0.2">
      <c r="A1849" s="24">
        <v>1845</v>
      </c>
      <c r="B1849" s="24" t="s">
        <v>790</v>
      </c>
      <c r="C1849" s="25" t="s">
        <v>789</v>
      </c>
      <c r="D1849" s="26" t="s">
        <v>788</v>
      </c>
      <c r="E1849" s="25" t="s">
        <v>787</v>
      </c>
      <c r="F1849" s="25" t="s">
        <v>786</v>
      </c>
      <c r="G1849" s="24"/>
      <c r="H1849" s="25" t="s">
        <v>827</v>
      </c>
      <c r="I1849" s="27"/>
      <c r="J1849" s="28" t="s">
        <v>833</v>
      </c>
      <c r="K1849" s="24"/>
      <c r="L1849" s="25" t="s">
        <v>842</v>
      </c>
      <c r="M1849" s="25" t="s">
        <v>301</v>
      </c>
      <c r="N1849" s="25">
        <v>2</v>
      </c>
      <c r="O1849" s="25">
        <v>8</v>
      </c>
      <c r="P1849" s="25">
        <v>8</v>
      </c>
      <c r="Q1849" s="25">
        <v>4</v>
      </c>
      <c r="R1849" s="25"/>
      <c r="S1849" s="25">
        <v>2</v>
      </c>
      <c r="T1849" s="25">
        <v>2</v>
      </c>
      <c r="U1849" s="31">
        <f t="shared" si="29"/>
        <v>24</v>
      </c>
      <c r="V1849" s="25"/>
      <c r="W1849" s="33" t="s">
        <v>54</v>
      </c>
      <c r="X1849" s="33"/>
      <c r="Y1849" s="33"/>
      <c r="Z1849" s="33"/>
      <c r="AA1849" s="33"/>
    </row>
    <row r="1850" spans="1:27" s="70" customFormat="1" ht="78.75" x14ac:dyDescent="0.2">
      <c r="A1850" s="24">
        <v>1846</v>
      </c>
      <c r="B1850" s="24" t="s">
        <v>790</v>
      </c>
      <c r="C1850" s="25" t="s">
        <v>789</v>
      </c>
      <c r="D1850" s="26" t="s">
        <v>788</v>
      </c>
      <c r="E1850" s="25" t="s">
        <v>787</v>
      </c>
      <c r="F1850" s="25" t="s">
        <v>786</v>
      </c>
      <c r="G1850" s="24"/>
      <c r="H1850" s="25" t="s">
        <v>827</v>
      </c>
      <c r="I1850" s="27"/>
      <c r="J1850" s="28" t="s">
        <v>833</v>
      </c>
      <c r="K1850" s="24"/>
      <c r="L1850" s="25" t="s">
        <v>841</v>
      </c>
      <c r="M1850" s="25" t="s">
        <v>835</v>
      </c>
      <c r="N1850" s="25">
        <v>20</v>
      </c>
      <c r="O1850" s="25"/>
      <c r="P1850" s="25">
        <v>6.5</v>
      </c>
      <c r="Q1850" s="25"/>
      <c r="R1850" s="25"/>
      <c r="S1850" s="25">
        <v>4</v>
      </c>
      <c r="T1850" s="25">
        <v>2</v>
      </c>
      <c r="U1850" s="31">
        <f t="shared" si="29"/>
        <v>12.5</v>
      </c>
      <c r="V1850" s="25"/>
      <c r="W1850" s="33" t="s">
        <v>54</v>
      </c>
      <c r="X1850" s="33"/>
      <c r="Y1850" s="33"/>
      <c r="Z1850" s="33"/>
      <c r="AA1850" s="33"/>
    </row>
    <row r="1851" spans="1:27" s="70" customFormat="1" ht="78.75" x14ac:dyDescent="0.2">
      <c r="A1851" s="24">
        <v>1847</v>
      </c>
      <c r="B1851" s="24" t="s">
        <v>790</v>
      </c>
      <c r="C1851" s="25" t="s">
        <v>789</v>
      </c>
      <c r="D1851" s="26" t="s">
        <v>788</v>
      </c>
      <c r="E1851" s="25" t="s">
        <v>787</v>
      </c>
      <c r="F1851" s="25" t="s">
        <v>786</v>
      </c>
      <c r="G1851" s="24"/>
      <c r="H1851" s="25" t="s">
        <v>827</v>
      </c>
      <c r="I1851" s="27"/>
      <c r="J1851" s="28" t="s">
        <v>833</v>
      </c>
      <c r="K1851" s="24"/>
      <c r="L1851" s="25" t="s">
        <v>840</v>
      </c>
      <c r="M1851" s="25" t="s">
        <v>839</v>
      </c>
      <c r="N1851" s="25">
        <v>1200</v>
      </c>
      <c r="O1851" s="25"/>
      <c r="P1851" s="25">
        <v>0.125</v>
      </c>
      <c r="Q1851" s="25"/>
      <c r="R1851" s="25"/>
      <c r="S1851" s="25">
        <v>0.125</v>
      </c>
      <c r="T1851" s="25"/>
      <c r="U1851" s="31">
        <f t="shared" si="29"/>
        <v>0.25</v>
      </c>
      <c r="V1851" s="25"/>
      <c r="W1851" s="33" t="s">
        <v>54</v>
      </c>
      <c r="X1851" s="33"/>
      <c r="Y1851" s="33"/>
      <c r="Z1851" s="33"/>
      <c r="AA1851" s="33"/>
    </row>
    <row r="1852" spans="1:27" s="70" customFormat="1" ht="78.75" x14ac:dyDescent="0.2">
      <c r="A1852" s="24">
        <v>1848</v>
      </c>
      <c r="B1852" s="24" t="s">
        <v>790</v>
      </c>
      <c r="C1852" s="25" t="s">
        <v>789</v>
      </c>
      <c r="D1852" s="26" t="s">
        <v>788</v>
      </c>
      <c r="E1852" s="25" t="s">
        <v>787</v>
      </c>
      <c r="F1852" s="25" t="s">
        <v>786</v>
      </c>
      <c r="G1852" s="24"/>
      <c r="H1852" s="25" t="s">
        <v>827</v>
      </c>
      <c r="I1852" s="27"/>
      <c r="J1852" s="28" t="s">
        <v>833</v>
      </c>
      <c r="K1852" s="24"/>
      <c r="L1852" s="25" t="s">
        <v>838</v>
      </c>
      <c r="M1852" s="25" t="s">
        <v>314</v>
      </c>
      <c r="N1852" s="25">
        <v>12</v>
      </c>
      <c r="O1852" s="25"/>
      <c r="P1852" s="25">
        <v>11</v>
      </c>
      <c r="Q1852" s="25"/>
      <c r="R1852" s="25"/>
      <c r="S1852" s="25">
        <v>4</v>
      </c>
      <c r="T1852" s="25">
        <v>4</v>
      </c>
      <c r="U1852" s="31">
        <f t="shared" si="29"/>
        <v>19</v>
      </c>
      <c r="V1852" s="25"/>
      <c r="W1852" s="33" t="s">
        <v>54</v>
      </c>
      <c r="X1852" s="33"/>
      <c r="Y1852" s="33"/>
      <c r="Z1852" s="33"/>
      <c r="AA1852" s="33"/>
    </row>
    <row r="1853" spans="1:27" s="70" customFormat="1" ht="78.75" x14ac:dyDescent="0.2">
      <c r="A1853" s="24">
        <v>1849</v>
      </c>
      <c r="B1853" s="24" t="s">
        <v>790</v>
      </c>
      <c r="C1853" s="25" t="s">
        <v>789</v>
      </c>
      <c r="D1853" s="26" t="s">
        <v>788</v>
      </c>
      <c r="E1853" s="25" t="s">
        <v>787</v>
      </c>
      <c r="F1853" s="25" t="s">
        <v>786</v>
      </c>
      <c r="G1853" s="24"/>
      <c r="H1853" s="25" t="s">
        <v>827</v>
      </c>
      <c r="I1853" s="27"/>
      <c r="J1853" s="28" t="s">
        <v>833</v>
      </c>
      <c r="K1853" s="24"/>
      <c r="L1853" s="25" t="s">
        <v>837</v>
      </c>
      <c r="M1853" s="25" t="s">
        <v>314</v>
      </c>
      <c r="N1853" s="25">
        <v>24</v>
      </c>
      <c r="O1853" s="25">
        <v>20</v>
      </c>
      <c r="P1853" s="25">
        <v>12</v>
      </c>
      <c r="Q1853" s="25"/>
      <c r="R1853" s="25"/>
      <c r="S1853" s="25">
        <v>8</v>
      </c>
      <c r="T1853" s="25">
        <v>4</v>
      </c>
      <c r="U1853" s="31">
        <f t="shared" si="29"/>
        <v>44</v>
      </c>
      <c r="V1853" s="25"/>
      <c r="W1853" s="33" t="s">
        <v>54</v>
      </c>
      <c r="X1853" s="33"/>
      <c r="Y1853" s="33"/>
      <c r="Z1853" s="33"/>
      <c r="AA1853" s="33"/>
    </row>
    <row r="1854" spans="1:27" s="70" customFormat="1" ht="78.75" x14ac:dyDescent="0.2">
      <c r="A1854" s="24">
        <v>1850</v>
      </c>
      <c r="B1854" s="24" t="s">
        <v>790</v>
      </c>
      <c r="C1854" s="25" t="s">
        <v>789</v>
      </c>
      <c r="D1854" s="26" t="s">
        <v>788</v>
      </c>
      <c r="E1854" s="25" t="s">
        <v>787</v>
      </c>
      <c r="F1854" s="25" t="s">
        <v>786</v>
      </c>
      <c r="G1854" s="24"/>
      <c r="H1854" s="25" t="s">
        <v>827</v>
      </c>
      <c r="I1854" s="27"/>
      <c r="J1854" s="28" t="s">
        <v>833</v>
      </c>
      <c r="K1854" s="24"/>
      <c r="L1854" s="25" t="s">
        <v>836</v>
      </c>
      <c r="M1854" s="25" t="s">
        <v>835</v>
      </c>
      <c r="N1854" s="25">
        <v>2</v>
      </c>
      <c r="O1854" s="25"/>
      <c r="P1854" s="25">
        <v>16</v>
      </c>
      <c r="Q1854" s="25"/>
      <c r="R1854" s="25"/>
      <c r="S1854" s="25">
        <v>16</v>
      </c>
      <c r="T1854" s="25">
        <v>8</v>
      </c>
      <c r="U1854" s="31">
        <f t="shared" si="29"/>
        <v>40</v>
      </c>
      <c r="V1854" s="25"/>
      <c r="W1854" s="33" t="s">
        <v>834</v>
      </c>
      <c r="X1854" s="33"/>
      <c r="Y1854" s="33"/>
      <c r="Z1854" s="33"/>
      <c r="AA1854" s="33"/>
    </row>
    <row r="1855" spans="1:27" s="70" customFormat="1" ht="78.75" x14ac:dyDescent="0.2">
      <c r="A1855" s="24">
        <v>1851</v>
      </c>
      <c r="B1855" s="24" t="s">
        <v>790</v>
      </c>
      <c r="C1855" s="25" t="s">
        <v>789</v>
      </c>
      <c r="D1855" s="26" t="s">
        <v>788</v>
      </c>
      <c r="E1855" s="25" t="s">
        <v>787</v>
      </c>
      <c r="F1855" s="25" t="s">
        <v>786</v>
      </c>
      <c r="G1855" s="24"/>
      <c r="H1855" s="25" t="s">
        <v>827</v>
      </c>
      <c r="I1855" s="27"/>
      <c r="J1855" s="28" t="s">
        <v>833</v>
      </c>
      <c r="K1855" s="27"/>
      <c r="L1855" s="25" t="s">
        <v>832</v>
      </c>
      <c r="M1855" s="25" t="s">
        <v>187</v>
      </c>
      <c r="N1855" s="25">
        <v>400</v>
      </c>
      <c r="O1855" s="25"/>
      <c r="P1855" s="25">
        <v>0.5</v>
      </c>
      <c r="Q1855" s="25">
        <v>0.5</v>
      </c>
      <c r="R1855" s="25"/>
      <c r="S1855" s="25">
        <v>0.5</v>
      </c>
      <c r="T1855" s="25">
        <v>0.5</v>
      </c>
      <c r="U1855" s="31">
        <f t="shared" si="29"/>
        <v>2</v>
      </c>
      <c r="V1855" s="25"/>
      <c r="W1855" s="33" t="s">
        <v>275</v>
      </c>
      <c r="X1855" s="33"/>
      <c r="Y1855" s="33"/>
      <c r="Z1855" s="33"/>
      <c r="AA1855" s="33"/>
    </row>
    <row r="1856" spans="1:27" s="70" customFormat="1" ht="78.75" x14ac:dyDescent="0.2">
      <c r="A1856" s="24">
        <v>1852</v>
      </c>
      <c r="B1856" s="24" t="s">
        <v>790</v>
      </c>
      <c r="C1856" s="25" t="s">
        <v>789</v>
      </c>
      <c r="D1856" s="26" t="s">
        <v>788</v>
      </c>
      <c r="E1856" s="25" t="s">
        <v>787</v>
      </c>
      <c r="F1856" s="25" t="s">
        <v>786</v>
      </c>
      <c r="G1856" s="24"/>
      <c r="H1856" s="25" t="s">
        <v>827</v>
      </c>
      <c r="I1856" s="27"/>
      <c r="J1856" s="28" t="s">
        <v>831</v>
      </c>
      <c r="K1856" s="27"/>
      <c r="L1856" s="25"/>
      <c r="M1856" s="25"/>
      <c r="N1856" s="25"/>
      <c r="O1856" s="25"/>
      <c r="P1856" s="25"/>
      <c r="Q1856" s="25"/>
      <c r="R1856" s="25"/>
      <c r="S1856" s="25"/>
      <c r="T1856" s="25"/>
      <c r="U1856" s="31">
        <f t="shared" si="29"/>
        <v>0</v>
      </c>
      <c r="V1856" s="25"/>
      <c r="W1856" s="33"/>
      <c r="X1856" s="33"/>
      <c r="Y1856" s="33"/>
      <c r="Z1856" s="33"/>
      <c r="AA1856" s="33"/>
    </row>
    <row r="1857" spans="1:27" s="70" customFormat="1" ht="78.75" x14ac:dyDescent="0.2">
      <c r="A1857" s="24">
        <v>1853</v>
      </c>
      <c r="B1857" s="24" t="s">
        <v>790</v>
      </c>
      <c r="C1857" s="25" t="s">
        <v>789</v>
      </c>
      <c r="D1857" s="26" t="s">
        <v>788</v>
      </c>
      <c r="E1857" s="25" t="s">
        <v>787</v>
      </c>
      <c r="F1857" s="25" t="s">
        <v>786</v>
      </c>
      <c r="G1857" s="24"/>
      <c r="H1857" s="25" t="s">
        <v>827</v>
      </c>
      <c r="I1857" s="27"/>
      <c r="J1857" s="28" t="s">
        <v>830</v>
      </c>
      <c r="K1857" s="27"/>
      <c r="L1857" s="25"/>
      <c r="M1857" s="25"/>
      <c r="N1857" s="25"/>
      <c r="O1857" s="25"/>
      <c r="P1857" s="25"/>
      <c r="Q1857" s="25"/>
      <c r="R1857" s="25"/>
      <c r="S1857" s="25"/>
      <c r="T1857" s="25"/>
      <c r="U1857" s="31">
        <f t="shared" si="29"/>
        <v>0</v>
      </c>
      <c r="V1857" s="25"/>
      <c r="W1857" s="33"/>
      <c r="X1857" s="33"/>
      <c r="Y1857" s="33"/>
      <c r="Z1857" s="33"/>
      <c r="AA1857" s="33"/>
    </row>
    <row r="1858" spans="1:27" s="70" customFormat="1" ht="78.75" x14ac:dyDescent="0.2">
      <c r="A1858" s="24">
        <v>1854</v>
      </c>
      <c r="B1858" s="24" t="s">
        <v>790</v>
      </c>
      <c r="C1858" s="25" t="s">
        <v>789</v>
      </c>
      <c r="D1858" s="26" t="s">
        <v>788</v>
      </c>
      <c r="E1858" s="25" t="s">
        <v>787</v>
      </c>
      <c r="F1858" s="25" t="s">
        <v>786</v>
      </c>
      <c r="G1858" s="24"/>
      <c r="H1858" s="25" t="s">
        <v>827</v>
      </c>
      <c r="I1858" s="27"/>
      <c r="J1858" s="28" t="s">
        <v>829</v>
      </c>
      <c r="K1858" s="27"/>
      <c r="L1858" s="25"/>
      <c r="M1858" s="25"/>
      <c r="N1858" s="25"/>
      <c r="O1858" s="25"/>
      <c r="P1858" s="25"/>
      <c r="Q1858" s="25"/>
      <c r="R1858" s="25"/>
      <c r="S1858" s="25"/>
      <c r="T1858" s="25"/>
      <c r="U1858" s="31">
        <f t="shared" si="29"/>
        <v>0</v>
      </c>
      <c r="V1858" s="25"/>
      <c r="W1858" s="33"/>
      <c r="X1858" s="33"/>
      <c r="Y1858" s="33"/>
      <c r="Z1858" s="33"/>
      <c r="AA1858" s="33"/>
    </row>
    <row r="1859" spans="1:27" s="70" customFormat="1" ht="78.75" x14ac:dyDescent="0.2">
      <c r="A1859" s="24">
        <v>1855</v>
      </c>
      <c r="B1859" s="24" t="s">
        <v>790</v>
      </c>
      <c r="C1859" s="25" t="s">
        <v>789</v>
      </c>
      <c r="D1859" s="26" t="s">
        <v>788</v>
      </c>
      <c r="E1859" s="25" t="s">
        <v>787</v>
      </c>
      <c r="F1859" s="25" t="s">
        <v>786</v>
      </c>
      <c r="G1859" s="24"/>
      <c r="H1859" s="25" t="s">
        <v>827</v>
      </c>
      <c r="I1859" s="27"/>
      <c r="J1859" s="28" t="s">
        <v>828</v>
      </c>
      <c r="K1859" s="27"/>
      <c r="L1859" s="25"/>
      <c r="M1859" s="25"/>
      <c r="N1859" s="25"/>
      <c r="O1859" s="25"/>
      <c r="P1859" s="25"/>
      <c r="Q1859" s="25"/>
      <c r="R1859" s="25"/>
      <c r="S1859" s="25"/>
      <c r="T1859" s="25"/>
      <c r="U1859" s="31">
        <f t="shared" si="29"/>
        <v>0</v>
      </c>
      <c r="V1859" s="25"/>
      <c r="W1859" s="33"/>
      <c r="X1859" s="33"/>
      <c r="Y1859" s="33"/>
      <c r="Z1859" s="33"/>
      <c r="AA1859" s="33"/>
    </row>
    <row r="1860" spans="1:27" s="70" customFormat="1" ht="78.75" x14ac:dyDescent="0.2">
      <c r="A1860" s="24">
        <v>1856</v>
      </c>
      <c r="B1860" s="24" t="s">
        <v>790</v>
      </c>
      <c r="C1860" s="25" t="s">
        <v>789</v>
      </c>
      <c r="D1860" s="26" t="s">
        <v>788</v>
      </c>
      <c r="E1860" s="25" t="s">
        <v>787</v>
      </c>
      <c r="F1860" s="25" t="s">
        <v>786</v>
      </c>
      <c r="G1860" s="24"/>
      <c r="H1860" s="25" t="s">
        <v>827</v>
      </c>
      <c r="I1860" s="27"/>
      <c r="J1860" s="28" t="s">
        <v>826</v>
      </c>
      <c r="K1860" s="27"/>
      <c r="L1860" s="25"/>
      <c r="M1860" s="25"/>
      <c r="N1860" s="25"/>
      <c r="O1860" s="25"/>
      <c r="P1860" s="25"/>
      <c r="Q1860" s="25"/>
      <c r="R1860" s="25"/>
      <c r="S1860" s="25"/>
      <c r="T1860" s="25"/>
      <c r="U1860" s="31">
        <f t="shared" si="29"/>
        <v>0</v>
      </c>
      <c r="V1860" s="25"/>
      <c r="W1860" s="33"/>
      <c r="X1860" s="33"/>
      <c r="Y1860" s="33"/>
      <c r="Z1860" s="33"/>
      <c r="AA1860" s="33"/>
    </row>
    <row r="1861" spans="1:27" s="70" customFormat="1" ht="78.75" x14ac:dyDescent="0.2">
      <c r="A1861" s="24">
        <v>1857</v>
      </c>
      <c r="B1861" s="24" t="s">
        <v>790</v>
      </c>
      <c r="C1861" s="25" t="s">
        <v>789</v>
      </c>
      <c r="D1861" s="26" t="s">
        <v>788</v>
      </c>
      <c r="E1861" s="25" t="s">
        <v>787</v>
      </c>
      <c r="F1861" s="25" t="s">
        <v>786</v>
      </c>
      <c r="G1861" s="24"/>
      <c r="H1861" s="25" t="s">
        <v>824</v>
      </c>
      <c r="I1861" s="27"/>
      <c r="J1861" s="28" t="s">
        <v>825</v>
      </c>
      <c r="K1861" s="27"/>
      <c r="L1861" s="25"/>
      <c r="M1861" s="25"/>
      <c r="N1861" s="25"/>
      <c r="O1861" s="25"/>
      <c r="P1861" s="25"/>
      <c r="Q1861" s="25"/>
      <c r="R1861" s="25"/>
      <c r="S1861" s="25"/>
      <c r="T1861" s="25"/>
      <c r="U1861" s="31">
        <f t="shared" si="29"/>
        <v>0</v>
      </c>
      <c r="V1861" s="25"/>
      <c r="W1861" s="33"/>
      <c r="X1861" s="33"/>
      <c r="Y1861" s="33"/>
      <c r="Z1861" s="33"/>
      <c r="AA1861" s="33"/>
    </row>
    <row r="1862" spans="1:27" s="70" customFormat="1" ht="67.5" x14ac:dyDescent="0.2">
      <c r="A1862" s="24">
        <v>1858</v>
      </c>
      <c r="B1862" s="24" t="s">
        <v>790</v>
      </c>
      <c r="C1862" s="25" t="s">
        <v>789</v>
      </c>
      <c r="D1862" s="26" t="s">
        <v>788</v>
      </c>
      <c r="E1862" s="25" t="s">
        <v>787</v>
      </c>
      <c r="F1862" s="25" t="s">
        <v>786</v>
      </c>
      <c r="G1862" s="24"/>
      <c r="H1862" s="25" t="s">
        <v>824</v>
      </c>
      <c r="I1862" s="27"/>
      <c r="J1862" s="28" t="s">
        <v>823</v>
      </c>
      <c r="K1862" s="27"/>
      <c r="L1862" s="25"/>
      <c r="M1862" s="25"/>
      <c r="N1862" s="25"/>
      <c r="O1862" s="25"/>
      <c r="P1862" s="25"/>
      <c r="Q1862" s="25"/>
      <c r="R1862" s="25"/>
      <c r="S1862" s="25"/>
      <c r="T1862" s="25"/>
      <c r="U1862" s="31">
        <f t="shared" ref="U1862:U1885" si="30">SUM(O1862:T1862)</f>
        <v>0</v>
      </c>
      <c r="V1862" s="25"/>
      <c r="W1862" s="33"/>
      <c r="X1862" s="33"/>
      <c r="Y1862" s="33"/>
      <c r="Z1862" s="33"/>
      <c r="AA1862" s="33"/>
    </row>
    <row r="1863" spans="1:27" s="70" customFormat="1" ht="56.25" x14ac:dyDescent="0.2">
      <c r="A1863" s="24">
        <v>1859</v>
      </c>
      <c r="B1863" s="24" t="s">
        <v>790</v>
      </c>
      <c r="C1863" s="25" t="s">
        <v>789</v>
      </c>
      <c r="D1863" s="26" t="s">
        <v>788</v>
      </c>
      <c r="E1863" s="25" t="s">
        <v>787</v>
      </c>
      <c r="F1863" s="25" t="s">
        <v>786</v>
      </c>
      <c r="G1863" s="24"/>
      <c r="H1863" s="25" t="s">
        <v>805</v>
      </c>
      <c r="I1863" s="27"/>
      <c r="J1863" s="28" t="s">
        <v>822</v>
      </c>
      <c r="K1863" s="27"/>
      <c r="L1863" s="25"/>
      <c r="M1863" s="25"/>
      <c r="N1863" s="25"/>
      <c r="O1863" s="25"/>
      <c r="P1863" s="25"/>
      <c r="Q1863" s="25"/>
      <c r="R1863" s="25"/>
      <c r="S1863" s="25"/>
      <c r="T1863" s="25"/>
      <c r="U1863" s="31">
        <f t="shared" si="30"/>
        <v>0</v>
      </c>
      <c r="V1863" s="25"/>
      <c r="W1863" s="33"/>
      <c r="X1863" s="33"/>
      <c r="Y1863" s="33"/>
      <c r="Z1863" s="33"/>
      <c r="AA1863" s="33"/>
    </row>
    <row r="1864" spans="1:27" s="70" customFormat="1" ht="56.25" x14ac:dyDescent="0.2">
      <c r="A1864" s="24">
        <v>1860</v>
      </c>
      <c r="B1864" s="24" t="s">
        <v>790</v>
      </c>
      <c r="C1864" s="25" t="s">
        <v>789</v>
      </c>
      <c r="D1864" s="26" t="s">
        <v>788</v>
      </c>
      <c r="E1864" s="25" t="s">
        <v>787</v>
      </c>
      <c r="F1864" s="25" t="s">
        <v>786</v>
      </c>
      <c r="G1864" s="24"/>
      <c r="H1864" s="25" t="s">
        <v>805</v>
      </c>
      <c r="I1864" s="27"/>
      <c r="J1864" s="28" t="s">
        <v>821</v>
      </c>
      <c r="K1864" s="27"/>
      <c r="L1864" s="25"/>
      <c r="M1864" s="25"/>
      <c r="N1864" s="25"/>
      <c r="O1864" s="25"/>
      <c r="P1864" s="25"/>
      <c r="Q1864" s="25"/>
      <c r="R1864" s="25"/>
      <c r="S1864" s="25"/>
      <c r="T1864" s="25"/>
      <c r="U1864" s="31">
        <f t="shared" si="30"/>
        <v>0</v>
      </c>
      <c r="V1864" s="25"/>
      <c r="W1864" s="33"/>
      <c r="X1864" s="33"/>
      <c r="Y1864" s="33"/>
      <c r="Z1864" s="33"/>
      <c r="AA1864" s="33"/>
    </row>
    <row r="1865" spans="1:27" s="70" customFormat="1" ht="45" x14ac:dyDescent="0.2">
      <c r="A1865" s="24">
        <v>1861</v>
      </c>
      <c r="B1865" s="24" t="s">
        <v>790</v>
      </c>
      <c r="C1865" s="25" t="s">
        <v>789</v>
      </c>
      <c r="D1865" s="26" t="s">
        <v>788</v>
      </c>
      <c r="E1865" s="25" t="s">
        <v>787</v>
      </c>
      <c r="F1865" s="25" t="s">
        <v>786</v>
      </c>
      <c r="G1865" s="24"/>
      <c r="H1865" s="25" t="s">
        <v>805</v>
      </c>
      <c r="I1865" s="27"/>
      <c r="J1865" s="28" t="s">
        <v>820</v>
      </c>
      <c r="K1865" s="27"/>
      <c r="L1865" s="25"/>
      <c r="M1865" s="25"/>
      <c r="N1865" s="25"/>
      <c r="O1865" s="25"/>
      <c r="P1865" s="25"/>
      <c r="Q1865" s="25"/>
      <c r="R1865" s="25"/>
      <c r="S1865" s="25"/>
      <c r="T1865" s="25"/>
      <c r="U1865" s="31">
        <f t="shared" si="30"/>
        <v>0</v>
      </c>
      <c r="V1865" s="25"/>
      <c r="W1865" s="33"/>
      <c r="X1865" s="33"/>
      <c r="Y1865" s="33"/>
      <c r="Z1865" s="33"/>
      <c r="AA1865" s="33"/>
    </row>
    <row r="1866" spans="1:27" s="70" customFormat="1" ht="45" x14ac:dyDescent="0.2">
      <c r="A1866" s="24">
        <v>1862</v>
      </c>
      <c r="B1866" s="24" t="s">
        <v>790</v>
      </c>
      <c r="C1866" s="25" t="s">
        <v>789</v>
      </c>
      <c r="D1866" s="26" t="s">
        <v>788</v>
      </c>
      <c r="E1866" s="25" t="s">
        <v>787</v>
      </c>
      <c r="F1866" s="25" t="s">
        <v>786</v>
      </c>
      <c r="G1866" s="24"/>
      <c r="H1866" s="25" t="s">
        <v>805</v>
      </c>
      <c r="I1866" s="27"/>
      <c r="J1866" s="28" t="s">
        <v>819</v>
      </c>
      <c r="K1866" s="27"/>
      <c r="L1866" s="25"/>
      <c r="M1866" s="25"/>
      <c r="N1866" s="25"/>
      <c r="O1866" s="25"/>
      <c r="P1866" s="25"/>
      <c r="Q1866" s="25"/>
      <c r="R1866" s="25"/>
      <c r="S1866" s="25"/>
      <c r="T1866" s="25"/>
      <c r="U1866" s="31">
        <f t="shared" si="30"/>
        <v>0</v>
      </c>
      <c r="V1866" s="25"/>
      <c r="W1866" s="33"/>
      <c r="X1866" s="33"/>
      <c r="Y1866" s="33"/>
      <c r="Z1866" s="33"/>
      <c r="AA1866" s="33"/>
    </row>
    <row r="1867" spans="1:27" s="70" customFormat="1" ht="45" x14ac:dyDescent="0.2">
      <c r="A1867" s="24">
        <v>1863</v>
      </c>
      <c r="B1867" s="24" t="s">
        <v>790</v>
      </c>
      <c r="C1867" s="25" t="s">
        <v>789</v>
      </c>
      <c r="D1867" s="26" t="s">
        <v>788</v>
      </c>
      <c r="E1867" s="25" t="s">
        <v>787</v>
      </c>
      <c r="F1867" s="25" t="s">
        <v>786</v>
      </c>
      <c r="G1867" s="24"/>
      <c r="H1867" s="25" t="s">
        <v>805</v>
      </c>
      <c r="I1867" s="27"/>
      <c r="J1867" s="28" t="s">
        <v>804</v>
      </c>
      <c r="K1867" s="27"/>
      <c r="L1867" s="25" t="s">
        <v>818</v>
      </c>
      <c r="M1867" s="25" t="s">
        <v>802</v>
      </c>
      <c r="N1867" s="25">
        <v>260</v>
      </c>
      <c r="O1867" s="25">
        <v>6.5</v>
      </c>
      <c r="P1867" s="25">
        <v>6.5</v>
      </c>
      <c r="Q1867" s="25">
        <v>3</v>
      </c>
      <c r="R1867" s="25"/>
      <c r="S1867" s="25"/>
      <c r="T1867" s="25"/>
      <c r="U1867" s="31">
        <f t="shared" si="30"/>
        <v>16</v>
      </c>
      <c r="V1867" s="25"/>
      <c r="W1867" s="33" t="s">
        <v>800</v>
      </c>
      <c r="X1867" s="33" t="s">
        <v>817</v>
      </c>
      <c r="Y1867" s="33" t="s">
        <v>41</v>
      </c>
      <c r="Z1867" s="33" t="s">
        <v>816</v>
      </c>
      <c r="AA1867" s="33"/>
    </row>
    <row r="1868" spans="1:27" s="70" customFormat="1" ht="45" x14ac:dyDescent="0.2">
      <c r="A1868" s="24">
        <v>1864</v>
      </c>
      <c r="B1868" s="24" t="s">
        <v>790</v>
      </c>
      <c r="C1868" s="25" t="s">
        <v>789</v>
      </c>
      <c r="D1868" s="26" t="s">
        <v>788</v>
      </c>
      <c r="E1868" s="25" t="s">
        <v>787</v>
      </c>
      <c r="F1868" s="25" t="s">
        <v>786</v>
      </c>
      <c r="G1868" s="24"/>
      <c r="H1868" s="25" t="s">
        <v>805</v>
      </c>
      <c r="I1868" s="27"/>
      <c r="J1868" s="28" t="s">
        <v>804</v>
      </c>
      <c r="K1868" s="27"/>
      <c r="L1868" s="25" t="s">
        <v>815</v>
      </c>
      <c r="M1868" s="25" t="s">
        <v>802</v>
      </c>
      <c r="N1868" s="25">
        <v>260</v>
      </c>
      <c r="O1868" s="25">
        <v>5.5</v>
      </c>
      <c r="P1868" s="25">
        <v>7.5</v>
      </c>
      <c r="Q1868" s="25">
        <v>2</v>
      </c>
      <c r="R1868" s="25"/>
      <c r="S1868" s="25"/>
      <c r="T1868" s="25"/>
      <c r="U1868" s="31">
        <f t="shared" si="30"/>
        <v>15</v>
      </c>
      <c r="V1868" s="25"/>
      <c r="W1868" s="33" t="s">
        <v>800</v>
      </c>
      <c r="X1868" s="33" t="s">
        <v>814</v>
      </c>
      <c r="Y1868" s="33" t="s">
        <v>798</v>
      </c>
      <c r="Z1868" s="33" t="s">
        <v>813</v>
      </c>
      <c r="AA1868" s="33"/>
    </row>
    <row r="1869" spans="1:27" s="70" customFormat="1" ht="45" x14ac:dyDescent="0.2">
      <c r="A1869" s="24">
        <v>1865</v>
      </c>
      <c r="B1869" s="24" t="s">
        <v>790</v>
      </c>
      <c r="C1869" s="25" t="s">
        <v>789</v>
      </c>
      <c r="D1869" s="26" t="s">
        <v>788</v>
      </c>
      <c r="E1869" s="25" t="s">
        <v>787</v>
      </c>
      <c r="F1869" s="25" t="s">
        <v>786</v>
      </c>
      <c r="G1869" s="24"/>
      <c r="H1869" s="25" t="s">
        <v>805</v>
      </c>
      <c r="I1869" s="27"/>
      <c r="J1869" s="28" t="s">
        <v>804</v>
      </c>
      <c r="K1869" s="27"/>
      <c r="L1869" s="25" t="s">
        <v>812</v>
      </c>
      <c r="M1869" s="25" t="s">
        <v>802</v>
      </c>
      <c r="N1869" s="25">
        <v>260</v>
      </c>
      <c r="O1869" s="25">
        <v>6.5</v>
      </c>
      <c r="P1869" s="25"/>
      <c r="Q1869" s="25">
        <v>0.75</v>
      </c>
      <c r="R1869" s="25"/>
      <c r="S1869" s="25"/>
      <c r="T1869" s="25"/>
      <c r="U1869" s="31">
        <f t="shared" si="30"/>
        <v>7.25</v>
      </c>
      <c r="V1869" s="25"/>
      <c r="W1869" s="33" t="s">
        <v>800</v>
      </c>
      <c r="X1869" s="33" t="s">
        <v>807</v>
      </c>
      <c r="Y1869" s="33" t="s">
        <v>41</v>
      </c>
      <c r="Z1869" s="33" t="s">
        <v>811</v>
      </c>
      <c r="AA1869" s="33"/>
    </row>
    <row r="1870" spans="1:27" s="70" customFormat="1" ht="45" x14ac:dyDescent="0.2">
      <c r="A1870" s="24">
        <v>1866</v>
      </c>
      <c r="B1870" s="24" t="s">
        <v>790</v>
      </c>
      <c r="C1870" s="25" t="s">
        <v>789</v>
      </c>
      <c r="D1870" s="26" t="s">
        <v>788</v>
      </c>
      <c r="E1870" s="25" t="s">
        <v>787</v>
      </c>
      <c r="F1870" s="25" t="s">
        <v>786</v>
      </c>
      <c r="G1870" s="24"/>
      <c r="H1870" s="25" t="s">
        <v>805</v>
      </c>
      <c r="I1870" s="27"/>
      <c r="J1870" s="28" t="s">
        <v>804</v>
      </c>
      <c r="K1870" s="27"/>
      <c r="L1870" s="25" t="s">
        <v>810</v>
      </c>
      <c r="M1870" s="25" t="s">
        <v>802</v>
      </c>
      <c r="N1870" s="25">
        <v>312</v>
      </c>
      <c r="O1870" s="25">
        <v>6.5</v>
      </c>
      <c r="P1870" s="25"/>
      <c r="Q1870" s="25">
        <v>1.1499999999999999</v>
      </c>
      <c r="R1870" s="25"/>
      <c r="S1870" s="25"/>
      <c r="T1870" s="25"/>
      <c r="U1870" s="31">
        <f t="shared" si="30"/>
        <v>7.65</v>
      </c>
      <c r="V1870" s="25"/>
      <c r="W1870" s="33" t="s">
        <v>800</v>
      </c>
      <c r="X1870" s="33" t="s">
        <v>61</v>
      </c>
      <c r="Y1870" s="33" t="s">
        <v>798</v>
      </c>
      <c r="Z1870" s="33" t="s">
        <v>809</v>
      </c>
      <c r="AA1870" s="33"/>
    </row>
    <row r="1871" spans="1:27" s="70" customFormat="1" ht="45" x14ac:dyDescent="0.2">
      <c r="A1871" s="24">
        <v>1867</v>
      </c>
      <c r="B1871" s="24" t="s">
        <v>790</v>
      </c>
      <c r="C1871" s="25" t="s">
        <v>789</v>
      </c>
      <c r="D1871" s="26" t="s">
        <v>788</v>
      </c>
      <c r="E1871" s="25" t="s">
        <v>787</v>
      </c>
      <c r="F1871" s="25" t="s">
        <v>786</v>
      </c>
      <c r="G1871" s="24"/>
      <c r="H1871" s="25" t="s">
        <v>805</v>
      </c>
      <c r="I1871" s="27"/>
      <c r="J1871" s="28" t="s">
        <v>804</v>
      </c>
      <c r="K1871" s="27"/>
      <c r="L1871" s="25" t="s">
        <v>808</v>
      </c>
      <c r="M1871" s="25" t="s">
        <v>802</v>
      </c>
      <c r="N1871" s="25">
        <v>12</v>
      </c>
      <c r="O1871" s="25">
        <v>60</v>
      </c>
      <c r="P1871" s="25">
        <v>24</v>
      </c>
      <c r="Q1871" s="25">
        <v>5</v>
      </c>
      <c r="R1871" s="25"/>
      <c r="S1871" s="25"/>
      <c r="T1871" s="25"/>
      <c r="U1871" s="31">
        <f t="shared" si="30"/>
        <v>89</v>
      </c>
      <c r="V1871" s="25"/>
      <c r="W1871" s="33" t="s">
        <v>800</v>
      </c>
      <c r="X1871" s="33" t="s">
        <v>807</v>
      </c>
      <c r="Y1871" s="33" t="s">
        <v>41</v>
      </c>
      <c r="Z1871" s="33" t="s">
        <v>806</v>
      </c>
      <c r="AA1871" s="33"/>
    </row>
    <row r="1872" spans="1:27" s="70" customFormat="1" ht="45" x14ac:dyDescent="0.2">
      <c r="A1872" s="24">
        <v>1868</v>
      </c>
      <c r="B1872" s="24" t="s">
        <v>790</v>
      </c>
      <c r="C1872" s="25" t="s">
        <v>789</v>
      </c>
      <c r="D1872" s="26" t="s">
        <v>788</v>
      </c>
      <c r="E1872" s="25" t="s">
        <v>787</v>
      </c>
      <c r="F1872" s="25" t="s">
        <v>786</v>
      </c>
      <c r="G1872" s="24"/>
      <c r="H1872" s="25" t="s">
        <v>805</v>
      </c>
      <c r="I1872" s="27"/>
      <c r="J1872" s="28" t="s">
        <v>804</v>
      </c>
      <c r="K1872" s="27"/>
      <c r="L1872" s="25" t="s">
        <v>803</v>
      </c>
      <c r="M1872" s="25" t="s">
        <v>802</v>
      </c>
      <c r="N1872" s="25">
        <v>12</v>
      </c>
      <c r="O1872" s="25" t="s">
        <v>801</v>
      </c>
      <c r="P1872" s="25"/>
      <c r="Q1872" s="25"/>
      <c r="R1872" s="25"/>
      <c r="S1872" s="25" t="s">
        <v>801</v>
      </c>
      <c r="T1872" s="25"/>
      <c r="U1872" s="31">
        <f t="shared" si="30"/>
        <v>0</v>
      </c>
      <c r="V1872" s="25"/>
      <c r="W1872" s="33" t="s">
        <v>800</v>
      </c>
      <c r="X1872" s="33" t="s">
        <v>799</v>
      </c>
      <c r="Y1872" s="33" t="s">
        <v>798</v>
      </c>
      <c r="Z1872" s="33" t="s">
        <v>797</v>
      </c>
      <c r="AA1872" s="33"/>
    </row>
    <row r="1873" spans="1:27" s="70" customFormat="1" ht="45" x14ac:dyDescent="0.2">
      <c r="A1873" s="24">
        <v>1869</v>
      </c>
      <c r="B1873" s="24" t="s">
        <v>790</v>
      </c>
      <c r="C1873" s="25" t="s">
        <v>789</v>
      </c>
      <c r="D1873" s="26" t="s">
        <v>788</v>
      </c>
      <c r="E1873" s="25" t="s">
        <v>787</v>
      </c>
      <c r="F1873" s="25" t="s">
        <v>786</v>
      </c>
      <c r="G1873" s="24"/>
      <c r="H1873" s="25" t="s">
        <v>792</v>
      </c>
      <c r="I1873" s="27"/>
      <c r="J1873" s="28" t="s">
        <v>796</v>
      </c>
      <c r="K1873" s="27"/>
      <c r="L1873" s="25"/>
      <c r="M1873" s="25"/>
      <c r="N1873" s="25"/>
      <c r="O1873" s="25"/>
      <c r="P1873" s="25"/>
      <c r="Q1873" s="25"/>
      <c r="R1873" s="25"/>
      <c r="S1873" s="25"/>
      <c r="T1873" s="25"/>
      <c r="U1873" s="31">
        <f t="shared" si="30"/>
        <v>0</v>
      </c>
      <c r="V1873" s="25"/>
      <c r="W1873" s="33"/>
      <c r="X1873" s="33"/>
      <c r="Y1873" s="33"/>
      <c r="Z1873" s="33"/>
      <c r="AA1873" s="33"/>
    </row>
    <row r="1874" spans="1:27" s="70" customFormat="1" ht="45" x14ac:dyDescent="0.2">
      <c r="A1874" s="24">
        <v>1870</v>
      </c>
      <c r="B1874" s="24" t="s">
        <v>790</v>
      </c>
      <c r="C1874" s="25" t="s">
        <v>789</v>
      </c>
      <c r="D1874" s="26" t="s">
        <v>788</v>
      </c>
      <c r="E1874" s="25" t="s">
        <v>787</v>
      </c>
      <c r="F1874" s="25" t="s">
        <v>786</v>
      </c>
      <c r="G1874" s="24"/>
      <c r="H1874" s="25" t="s">
        <v>792</v>
      </c>
      <c r="I1874" s="27"/>
      <c r="J1874" s="28" t="s">
        <v>795</v>
      </c>
      <c r="K1874" s="27"/>
      <c r="L1874" s="25"/>
      <c r="M1874" s="25"/>
      <c r="N1874" s="25"/>
      <c r="O1874" s="25"/>
      <c r="P1874" s="25"/>
      <c r="Q1874" s="25"/>
      <c r="R1874" s="25"/>
      <c r="S1874" s="25"/>
      <c r="T1874" s="25"/>
      <c r="U1874" s="31">
        <f t="shared" si="30"/>
        <v>0</v>
      </c>
      <c r="V1874" s="25"/>
      <c r="W1874" s="33"/>
      <c r="X1874" s="33"/>
      <c r="Y1874" s="33"/>
      <c r="Z1874" s="33"/>
      <c r="AA1874" s="33"/>
    </row>
    <row r="1875" spans="1:27" s="70" customFormat="1" ht="45" x14ac:dyDescent="0.2">
      <c r="A1875" s="24">
        <v>1871</v>
      </c>
      <c r="B1875" s="24" t="s">
        <v>790</v>
      </c>
      <c r="C1875" s="25" t="s">
        <v>789</v>
      </c>
      <c r="D1875" s="26" t="s">
        <v>788</v>
      </c>
      <c r="E1875" s="25" t="s">
        <v>787</v>
      </c>
      <c r="F1875" s="25" t="s">
        <v>786</v>
      </c>
      <c r="G1875" s="24"/>
      <c r="H1875" s="25" t="s">
        <v>792</v>
      </c>
      <c r="I1875" s="27"/>
      <c r="J1875" s="28" t="s">
        <v>794</v>
      </c>
      <c r="K1875" s="27"/>
      <c r="L1875" s="25"/>
      <c r="M1875" s="25"/>
      <c r="N1875" s="25"/>
      <c r="O1875" s="25"/>
      <c r="P1875" s="25"/>
      <c r="Q1875" s="25"/>
      <c r="R1875" s="25"/>
      <c r="S1875" s="25"/>
      <c r="T1875" s="25"/>
      <c r="U1875" s="31">
        <f t="shared" si="30"/>
        <v>0</v>
      </c>
      <c r="V1875" s="25"/>
      <c r="W1875" s="33"/>
      <c r="X1875" s="33"/>
      <c r="Y1875" s="33"/>
      <c r="Z1875" s="33"/>
      <c r="AA1875" s="33"/>
    </row>
    <row r="1876" spans="1:27" s="70" customFormat="1" ht="45" x14ac:dyDescent="0.2">
      <c r="A1876" s="24">
        <v>1872</v>
      </c>
      <c r="B1876" s="24" t="s">
        <v>790</v>
      </c>
      <c r="C1876" s="25" t="s">
        <v>789</v>
      </c>
      <c r="D1876" s="26" t="s">
        <v>788</v>
      </c>
      <c r="E1876" s="25" t="s">
        <v>787</v>
      </c>
      <c r="F1876" s="25" t="s">
        <v>786</v>
      </c>
      <c r="G1876" s="24"/>
      <c r="H1876" s="25" t="s">
        <v>792</v>
      </c>
      <c r="I1876" s="27"/>
      <c r="J1876" s="28" t="s">
        <v>793</v>
      </c>
      <c r="K1876" s="27"/>
      <c r="L1876" s="25"/>
      <c r="M1876" s="25"/>
      <c r="N1876" s="25"/>
      <c r="O1876" s="25"/>
      <c r="P1876" s="25"/>
      <c r="Q1876" s="25"/>
      <c r="R1876" s="25"/>
      <c r="S1876" s="25"/>
      <c r="T1876" s="25"/>
      <c r="U1876" s="31">
        <f t="shared" si="30"/>
        <v>0</v>
      </c>
      <c r="V1876" s="25"/>
      <c r="W1876" s="33"/>
      <c r="X1876" s="33"/>
      <c r="Y1876" s="33"/>
      <c r="Z1876" s="33"/>
      <c r="AA1876" s="33"/>
    </row>
    <row r="1877" spans="1:27" s="70" customFormat="1" ht="45" x14ac:dyDescent="0.2">
      <c r="A1877" s="24">
        <v>1873</v>
      </c>
      <c r="B1877" s="24" t="s">
        <v>790</v>
      </c>
      <c r="C1877" s="25" t="s">
        <v>789</v>
      </c>
      <c r="D1877" s="26" t="s">
        <v>788</v>
      </c>
      <c r="E1877" s="25" t="s">
        <v>787</v>
      </c>
      <c r="F1877" s="25" t="s">
        <v>786</v>
      </c>
      <c r="G1877" s="24"/>
      <c r="H1877" s="25" t="s">
        <v>792</v>
      </c>
      <c r="I1877" s="27"/>
      <c r="J1877" s="28" t="s">
        <v>791</v>
      </c>
      <c r="K1877" s="27"/>
      <c r="L1877" s="25"/>
      <c r="M1877" s="25"/>
      <c r="N1877" s="25"/>
      <c r="O1877" s="25"/>
      <c r="P1877" s="25"/>
      <c r="Q1877" s="25"/>
      <c r="R1877" s="25"/>
      <c r="S1877" s="25"/>
      <c r="T1877" s="25"/>
      <c r="U1877" s="31">
        <f t="shared" si="30"/>
        <v>0</v>
      </c>
      <c r="V1877" s="25"/>
      <c r="W1877" s="33"/>
      <c r="X1877" s="33"/>
      <c r="Y1877" s="33"/>
      <c r="Z1877" s="33"/>
      <c r="AA1877" s="33"/>
    </row>
    <row r="1878" spans="1:27" s="70" customFormat="1" ht="45" x14ac:dyDescent="0.2">
      <c r="A1878" s="24">
        <v>1874</v>
      </c>
      <c r="B1878" s="24" t="s">
        <v>790</v>
      </c>
      <c r="C1878" s="25" t="s">
        <v>789</v>
      </c>
      <c r="D1878" s="26" t="s">
        <v>788</v>
      </c>
      <c r="E1878" s="25" t="s">
        <v>787</v>
      </c>
      <c r="F1878" s="25" t="s">
        <v>786</v>
      </c>
      <c r="G1878" s="24"/>
      <c r="H1878" s="25" t="s">
        <v>785</v>
      </c>
      <c r="I1878" s="27"/>
      <c r="J1878" s="25" t="s">
        <v>785</v>
      </c>
      <c r="K1878" s="27"/>
      <c r="L1878" s="25"/>
      <c r="M1878" s="25"/>
      <c r="N1878" s="25"/>
      <c r="O1878" s="25"/>
      <c r="P1878" s="25"/>
      <c r="Q1878" s="25"/>
      <c r="R1878" s="25"/>
      <c r="S1878" s="25"/>
      <c r="T1878" s="25"/>
      <c r="U1878" s="31">
        <f t="shared" si="30"/>
        <v>0</v>
      </c>
      <c r="V1878" s="25"/>
      <c r="W1878" s="33"/>
      <c r="X1878" s="33"/>
      <c r="Y1878" s="33"/>
      <c r="Z1878" s="33"/>
      <c r="AA1878" s="33"/>
    </row>
    <row r="1879" spans="1:27" s="70" customFormat="1" ht="67.5" x14ac:dyDescent="0.2">
      <c r="A1879" s="24">
        <v>1875</v>
      </c>
      <c r="B1879" s="27" t="s">
        <v>605</v>
      </c>
      <c r="C1879" s="28" t="s">
        <v>604</v>
      </c>
      <c r="D1879" s="71" t="s">
        <v>683</v>
      </c>
      <c r="E1879" s="28" t="s">
        <v>682</v>
      </c>
      <c r="F1879" s="25" t="s">
        <v>681</v>
      </c>
      <c r="G1879" s="27"/>
      <c r="H1879" s="28" t="s">
        <v>759</v>
      </c>
      <c r="I1879" s="27"/>
      <c r="J1879" s="28" t="s">
        <v>782</v>
      </c>
      <c r="K1879" s="27"/>
      <c r="L1879" s="25" t="s">
        <v>784</v>
      </c>
      <c r="M1879" s="25"/>
      <c r="N1879" s="25"/>
      <c r="O1879" s="25"/>
      <c r="P1879" s="25"/>
      <c r="Q1879" s="25"/>
      <c r="R1879" s="25"/>
      <c r="S1879" s="25"/>
      <c r="T1879" s="25"/>
      <c r="U1879" s="31">
        <f t="shared" si="30"/>
        <v>0</v>
      </c>
      <c r="V1879" s="25"/>
      <c r="W1879" s="33"/>
      <c r="X1879" s="33"/>
      <c r="Y1879" s="33"/>
      <c r="Z1879" s="33"/>
      <c r="AA1879" s="33"/>
    </row>
    <row r="1880" spans="1:27" s="70" customFormat="1" ht="67.5" x14ac:dyDescent="0.2">
      <c r="A1880" s="24">
        <v>1876</v>
      </c>
      <c r="B1880" s="27" t="s">
        <v>605</v>
      </c>
      <c r="C1880" s="28" t="s">
        <v>604</v>
      </c>
      <c r="D1880" s="71" t="s">
        <v>683</v>
      </c>
      <c r="E1880" s="28" t="s">
        <v>682</v>
      </c>
      <c r="F1880" s="25" t="s">
        <v>681</v>
      </c>
      <c r="G1880" s="27"/>
      <c r="H1880" s="28" t="s">
        <v>759</v>
      </c>
      <c r="I1880" s="27"/>
      <c r="J1880" s="28" t="s">
        <v>782</v>
      </c>
      <c r="K1880" s="27"/>
      <c r="L1880" s="25" t="s">
        <v>783</v>
      </c>
      <c r="M1880" s="25"/>
      <c r="N1880" s="25"/>
      <c r="O1880" s="25"/>
      <c r="P1880" s="25"/>
      <c r="Q1880" s="25"/>
      <c r="R1880" s="25"/>
      <c r="S1880" s="25"/>
      <c r="T1880" s="25"/>
      <c r="U1880" s="31">
        <f t="shared" si="30"/>
        <v>0</v>
      </c>
      <c r="V1880" s="25"/>
      <c r="W1880" s="33"/>
      <c r="X1880" s="33"/>
      <c r="Y1880" s="33"/>
      <c r="Z1880" s="33"/>
      <c r="AA1880" s="33"/>
    </row>
    <row r="1881" spans="1:27" s="70" customFormat="1" ht="67.5" x14ac:dyDescent="0.2">
      <c r="A1881" s="24">
        <v>1877</v>
      </c>
      <c r="B1881" s="27" t="s">
        <v>605</v>
      </c>
      <c r="C1881" s="28" t="s">
        <v>604</v>
      </c>
      <c r="D1881" s="71" t="s">
        <v>683</v>
      </c>
      <c r="E1881" s="28" t="s">
        <v>682</v>
      </c>
      <c r="F1881" s="25" t="s">
        <v>681</v>
      </c>
      <c r="G1881" s="27"/>
      <c r="H1881" s="28" t="s">
        <v>759</v>
      </c>
      <c r="I1881" s="27"/>
      <c r="J1881" s="28" t="s">
        <v>782</v>
      </c>
      <c r="K1881" s="27"/>
      <c r="L1881" s="25" t="s">
        <v>781</v>
      </c>
      <c r="M1881" s="25"/>
      <c r="N1881" s="25"/>
      <c r="O1881" s="25"/>
      <c r="P1881" s="25"/>
      <c r="Q1881" s="25"/>
      <c r="R1881" s="25"/>
      <c r="S1881" s="25"/>
      <c r="T1881" s="25"/>
      <c r="U1881" s="31">
        <f t="shared" si="30"/>
        <v>0</v>
      </c>
      <c r="V1881" s="25"/>
      <c r="W1881" s="33"/>
      <c r="X1881" s="33"/>
      <c r="Y1881" s="33"/>
      <c r="Z1881" s="33"/>
      <c r="AA1881" s="33"/>
    </row>
    <row r="1882" spans="1:27" s="70" customFormat="1" ht="67.5" x14ac:dyDescent="0.2">
      <c r="A1882" s="24">
        <v>1878</v>
      </c>
      <c r="B1882" s="27" t="s">
        <v>605</v>
      </c>
      <c r="C1882" s="28" t="s">
        <v>604</v>
      </c>
      <c r="D1882" s="71" t="s">
        <v>683</v>
      </c>
      <c r="E1882" s="28" t="s">
        <v>682</v>
      </c>
      <c r="F1882" s="25" t="s">
        <v>681</v>
      </c>
      <c r="G1882" s="27"/>
      <c r="H1882" s="28" t="s">
        <v>759</v>
      </c>
      <c r="I1882" s="27"/>
      <c r="J1882" s="28" t="s">
        <v>780</v>
      </c>
      <c r="K1882" s="27"/>
      <c r="L1882" s="25"/>
      <c r="M1882" s="25"/>
      <c r="N1882" s="25"/>
      <c r="O1882" s="25"/>
      <c r="P1882" s="25"/>
      <c r="Q1882" s="25"/>
      <c r="R1882" s="25"/>
      <c r="S1882" s="25"/>
      <c r="T1882" s="25"/>
      <c r="U1882" s="31">
        <f t="shared" si="30"/>
        <v>0</v>
      </c>
      <c r="V1882" s="25"/>
      <c r="W1882" s="33"/>
      <c r="X1882" s="33"/>
      <c r="Y1882" s="33"/>
      <c r="Z1882" s="33"/>
      <c r="AA1882" s="33"/>
    </row>
    <row r="1883" spans="1:27" s="70" customFormat="1" ht="67.5" x14ac:dyDescent="0.2">
      <c r="A1883" s="24">
        <v>1879</v>
      </c>
      <c r="B1883" s="27" t="s">
        <v>605</v>
      </c>
      <c r="C1883" s="28" t="s">
        <v>604</v>
      </c>
      <c r="D1883" s="71" t="s">
        <v>683</v>
      </c>
      <c r="E1883" s="28" t="s">
        <v>682</v>
      </c>
      <c r="F1883" s="25" t="s">
        <v>681</v>
      </c>
      <c r="G1883" s="27"/>
      <c r="H1883" s="28" t="s">
        <v>759</v>
      </c>
      <c r="I1883" s="27"/>
      <c r="J1883" s="28" t="s">
        <v>779</v>
      </c>
      <c r="K1883" s="27"/>
      <c r="L1883" s="25"/>
      <c r="M1883" s="25"/>
      <c r="N1883" s="25"/>
      <c r="O1883" s="25"/>
      <c r="P1883" s="25"/>
      <c r="Q1883" s="25"/>
      <c r="R1883" s="25"/>
      <c r="S1883" s="25"/>
      <c r="T1883" s="25"/>
      <c r="U1883" s="31">
        <f t="shared" si="30"/>
        <v>0</v>
      </c>
      <c r="V1883" s="25"/>
      <c r="W1883" s="33"/>
      <c r="X1883" s="33"/>
      <c r="Y1883" s="33"/>
      <c r="Z1883" s="33"/>
      <c r="AA1883" s="33"/>
    </row>
    <row r="1884" spans="1:27" s="70" customFormat="1" ht="67.5" x14ac:dyDescent="0.2">
      <c r="A1884" s="24">
        <v>1880</v>
      </c>
      <c r="B1884" s="27" t="s">
        <v>605</v>
      </c>
      <c r="C1884" s="28" t="s">
        <v>604</v>
      </c>
      <c r="D1884" s="71" t="s">
        <v>683</v>
      </c>
      <c r="E1884" s="28" t="s">
        <v>682</v>
      </c>
      <c r="F1884" s="25" t="s">
        <v>681</v>
      </c>
      <c r="G1884" s="27"/>
      <c r="H1884" s="28" t="s">
        <v>759</v>
      </c>
      <c r="I1884" s="27"/>
      <c r="J1884" s="28" t="s">
        <v>768</v>
      </c>
      <c r="K1884" s="27"/>
      <c r="L1884" s="25" t="s">
        <v>778</v>
      </c>
      <c r="M1884" s="25"/>
      <c r="N1884" s="25"/>
      <c r="O1884" s="25"/>
      <c r="P1884" s="25"/>
      <c r="Q1884" s="25"/>
      <c r="R1884" s="25"/>
      <c r="S1884" s="25"/>
      <c r="T1884" s="25"/>
      <c r="U1884" s="31">
        <f t="shared" si="30"/>
        <v>0</v>
      </c>
      <c r="V1884" s="25"/>
      <c r="W1884" s="33"/>
      <c r="X1884" s="33"/>
      <c r="Y1884" s="33"/>
      <c r="Z1884" s="33"/>
      <c r="AA1884" s="33"/>
    </row>
    <row r="1885" spans="1:27" s="70" customFormat="1" ht="67.5" x14ac:dyDescent="0.2">
      <c r="A1885" s="24">
        <v>1881</v>
      </c>
      <c r="B1885" s="27" t="s">
        <v>605</v>
      </c>
      <c r="C1885" s="28" t="s">
        <v>604</v>
      </c>
      <c r="D1885" s="71" t="s">
        <v>683</v>
      </c>
      <c r="E1885" s="28" t="s">
        <v>682</v>
      </c>
      <c r="F1885" s="25" t="s">
        <v>681</v>
      </c>
      <c r="G1885" s="27"/>
      <c r="H1885" s="28" t="s">
        <v>759</v>
      </c>
      <c r="I1885" s="27"/>
      <c r="J1885" s="28" t="s">
        <v>768</v>
      </c>
      <c r="K1885" s="27"/>
      <c r="L1885" s="25" t="s">
        <v>777</v>
      </c>
      <c r="M1885" s="25"/>
      <c r="N1885" s="25"/>
      <c r="O1885" s="25"/>
      <c r="P1885" s="25"/>
      <c r="Q1885" s="25"/>
      <c r="R1885" s="25"/>
      <c r="S1885" s="25"/>
      <c r="T1885" s="25"/>
      <c r="U1885" s="31">
        <f t="shared" si="30"/>
        <v>0</v>
      </c>
      <c r="V1885" s="25"/>
      <c r="W1885" s="33"/>
      <c r="X1885" s="33"/>
      <c r="Y1885" s="33"/>
      <c r="Z1885" s="33"/>
      <c r="AA1885" s="33"/>
    </row>
    <row r="1886" spans="1:27" s="70" customFormat="1" ht="67.5" x14ac:dyDescent="0.2">
      <c r="A1886" s="24">
        <v>1882</v>
      </c>
      <c r="B1886" s="27" t="s">
        <v>605</v>
      </c>
      <c r="C1886" s="28" t="s">
        <v>604</v>
      </c>
      <c r="D1886" s="71" t="s">
        <v>683</v>
      </c>
      <c r="E1886" s="28" t="s">
        <v>682</v>
      </c>
      <c r="F1886" s="25" t="s">
        <v>681</v>
      </c>
      <c r="G1886" s="27"/>
      <c r="H1886" s="28" t="s">
        <v>759</v>
      </c>
      <c r="I1886" s="27"/>
      <c r="J1886" s="28" t="s">
        <v>768</v>
      </c>
      <c r="K1886" s="27"/>
      <c r="L1886" s="25" t="s">
        <v>776</v>
      </c>
      <c r="M1886" s="25"/>
      <c r="N1886" s="25"/>
      <c r="O1886" s="25"/>
      <c r="P1886" s="25"/>
      <c r="Q1886" s="25"/>
      <c r="R1886" s="25"/>
      <c r="S1886" s="25"/>
      <c r="T1886" s="25"/>
      <c r="U1886" s="25"/>
      <c r="V1886" s="25"/>
      <c r="W1886" s="33"/>
      <c r="X1886" s="33"/>
      <c r="Y1886" s="33"/>
      <c r="Z1886" s="33"/>
      <c r="AA1886" s="33"/>
    </row>
    <row r="1887" spans="1:27" s="70" customFormat="1" ht="67.5" x14ac:dyDescent="0.2">
      <c r="A1887" s="24">
        <v>1883</v>
      </c>
      <c r="B1887" s="27" t="s">
        <v>605</v>
      </c>
      <c r="C1887" s="28" t="s">
        <v>604</v>
      </c>
      <c r="D1887" s="71" t="s">
        <v>683</v>
      </c>
      <c r="E1887" s="28" t="s">
        <v>682</v>
      </c>
      <c r="F1887" s="25" t="s">
        <v>681</v>
      </c>
      <c r="G1887" s="27"/>
      <c r="H1887" s="28" t="s">
        <v>759</v>
      </c>
      <c r="I1887" s="27"/>
      <c r="J1887" s="28" t="s">
        <v>768</v>
      </c>
      <c r="K1887" s="27"/>
      <c r="L1887" s="25" t="s">
        <v>775</v>
      </c>
      <c r="M1887" s="25"/>
      <c r="N1887" s="25"/>
      <c r="O1887" s="25"/>
      <c r="P1887" s="25"/>
      <c r="Q1887" s="25"/>
      <c r="R1887" s="25"/>
      <c r="S1887" s="25"/>
      <c r="T1887" s="25"/>
      <c r="U1887" s="25"/>
      <c r="V1887" s="25"/>
      <c r="W1887" s="33"/>
      <c r="X1887" s="33"/>
      <c r="Y1887" s="33"/>
      <c r="Z1887" s="33"/>
      <c r="AA1887" s="33"/>
    </row>
    <row r="1888" spans="1:27" s="70" customFormat="1" ht="67.5" x14ac:dyDescent="0.2">
      <c r="A1888" s="24">
        <v>1884</v>
      </c>
      <c r="B1888" s="27" t="s">
        <v>605</v>
      </c>
      <c r="C1888" s="28" t="s">
        <v>604</v>
      </c>
      <c r="D1888" s="71" t="s">
        <v>683</v>
      </c>
      <c r="E1888" s="28" t="s">
        <v>682</v>
      </c>
      <c r="F1888" s="25" t="s">
        <v>681</v>
      </c>
      <c r="G1888" s="27"/>
      <c r="H1888" s="28" t="s">
        <v>759</v>
      </c>
      <c r="I1888" s="27"/>
      <c r="J1888" s="28" t="s">
        <v>768</v>
      </c>
      <c r="K1888" s="27"/>
      <c r="L1888" s="25" t="s">
        <v>774</v>
      </c>
      <c r="M1888" s="25"/>
      <c r="N1888" s="25"/>
      <c r="O1888" s="25"/>
      <c r="P1888" s="25"/>
      <c r="Q1888" s="25"/>
      <c r="R1888" s="25"/>
      <c r="S1888" s="25"/>
      <c r="T1888" s="25"/>
      <c r="U1888" s="25"/>
      <c r="V1888" s="25"/>
      <c r="W1888" s="33"/>
      <c r="X1888" s="33"/>
      <c r="Y1888" s="33"/>
      <c r="Z1888" s="33"/>
      <c r="AA1888" s="33"/>
    </row>
    <row r="1889" spans="1:27" s="70" customFormat="1" ht="67.5" x14ac:dyDescent="0.2">
      <c r="A1889" s="24">
        <v>1885</v>
      </c>
      <c r="B1889" s="27" t="s">
        <v>605</v>
      </c>
      <c r="C1889" s="28" t="s">
        <v>604</v>
      </c>
      <c r="D1889" s="71" t="s">
        <v>683</v>
      </c>
      <c r="E1889" s="28" t="s">
        <v>682</v>
      </c>
      <c r="F1889" s="25" t="s">
        <v>681</v>
      </c>
      <c r="G1889" s="27"/>
      <c r="H1889" s="28" t="s">
        <v>759</v>
      </c>
      <c r="I1889" s="27"/>
      <c r="J1889" s="28" t="s">
        <v>768</v>
      </c>
      <c r="K1889" s="27"/>
      <c r="L1889" s="25" t="s">
        <v>773</v>
      </c>
      <c r="M1889" s="25"/>
      <c r="N1889" s="25"/>
      <c r="O1889" s="25"/>
      <c r="P1889" s="25"/>
      <c r="Q1889" s="25"/>
      <c r="R1889" s="25"/>
      <c r="S1889" s="25"/>
      <c r="T1889" s="25"/>
      <c r="U1889" s="25"/>
      <c r="V1889" s="25"/>
      <c r="W1889" s="33"/>
      <c r="X1889" s="33"/>
      <c r="Y1889" s="33"/>
      <c r="Z1889" s="33"/>
      <c r="AA1889" s="33"/>
    </row>
    <row r="1890" spans="1:27" s="70" customFormat="1" ht="67.5" x14ac:dyDescent="0.2">
      <c r="A1890" s="24">
        <v>1886</v>
      </c>
      <c r="B1890" s="27" t="s">
        <v>605</v>
      </c>
      <c r="C1890" s="28" t="s">
        <v>604</v>
      </c>
      <c r="D1890" s="71" t="s">
        <v>683</v>
      </c>
      <c r="E1890" s="28" t="s">
        <v>682</v>
      </c>
      <c r="F1890" s="25" t="s">
        <v>681</v>
      </c>
      <c r="G1890" s="27"/>
      <c r="H1890" s="28" t="s">
        <v>759</v>
      </c>
      <c r="I1890" s="27"/>
      <c r="J1890" s="28" t="s">
        <v>768</v>
      </c>
      <c r="K1890" s="27"/>
      <c r="L1890" s="25" t="s">
        <v>772</v>
      </c>
      <c r="M1890" s="25"/>
      <c r="N1890" s="25"/>
      <c r="O1890" s="25"/>
      <c r="P1890" s="25"/>
      <c r="Q1890" s="25"/>
      <c r="R1890" s="25"/>
      <c r="S1890" s="25"/>
      <c r="T1890" s="25"/>
      <c r="U1890" s="25"/>
      <c r="V1890" s="25"/>
      <c r="W1890" s="33"/>
      <c r="X1890" s="33"/>
      <c r="Y1890" s="33"/>
      <c r="Z1890" s="33"/>
      <c r="AA1890" s="33"/>
    </row>
    <row r="1891" spans="1:27" s="70" customFormat="1" ht="67.5" x14ac:dyDescent="0.2">
      <c r="A1891" s="24">
        <v>1887</v>
      </c>
      <c r="B1891" s="27" t="s">
        <v>605</v>
      </c>
      <c r="C1891" s="28" t="s">
        <v>604</v>
      </c>
      <c r="D1891" s="71" t="s">
        <v>683</v>
      </c>
      <c r="E1891" s="28" t="s">
        <v>682</v>
      </c>
      <c r="F1891" s="25" t="s">
        <v>681</v>
      </c>
      <c r="G1891" s="27"/>
      <c r="H1891" s="28" t="s">
        <v>759</v>
      </c>
      <c r="I1891" s="27"/>
      <c r="J1891" s="28" t="s">
        <v>768</v>
      </c>
      <c r="K1891" s="27"/>
      <c r="L1891" s="25" t="s">
        <v>771</v>
      </c>
      <c r="M1891" s="25"/>
      <c r="N1891" s="25"/>
      <c r="O1891" s="25"/>
      <c r="P1891" s="25"/>
      <c r="Q1891" s="25"/>
      <c r="R1891" s="25"/>
      <c r="S1891" s="25"/>
      <c r="T1891" s="25"/>
      <c r="U1891" s="25"/>
      <c r="V1891" s="25"/>
      <c r="W1891" s="33"/>
      <c r="X1891" s="33"/>
      <c r="Y1891" s="33"/>
      <c r="Z1891" s="33"/>
      <c r="AA1891" s="33"/>
    </row>
    <row r="1892" spans="1:27" s="70" customFormat="1" ht="67.5" x14ac:dyDescent="0.2">
      <c r="A1892" s="24">
        <v>1888</v>
      </c>
      <c r="B1892" s="27" t="s">
        <v>605</v>
      </c>
      <c r="C1892" s="28" t="s">
        <v>604</v>
      </c>
      <c r="D1892" s="71" t="s">
        <v>683</v>
      </c>
      <c r="E1892" s="28" t="s">
        <v>682</v>
      </c>
      <c r="F1892" s="25" t="s">
        <v>681</v>
      </c>
      <c r="G1892" s="27"/>
      <c r="H1892" s="28" t="s">
        <v>759</v>
      </c>
      <c r="I1892" s="27"/>
      <c r="J1892" s="28" t="s">
        <v>768</v>
      </c>
      <c r="K1892" s="27"/>
      <c r="L1892" s="25" t="s">
        <v>770</v>
      </c>
      <c r="M1892" s="25"/>
      <c r="N1892" s="25"/>
      <c r="O1892" s="25"/>
      <c r="P1892" s="25"/>
      <c r="Q1892" s="25"/>
      <c r="R1892" s="25"/>
      <c r="S1892" s="25"/>
      <c r="T1892" s="25"/>
      <c r="U1892" s="25"/>
      <c r="V1892" s="25"/>
      <c r="W1892" s="33"/>
      <c r="X1892" s="33"/>
      <c r="Y1892" s="33"/>
      <c r="Z1892" s="33"/>
      <c r="AA1892" s="33"/>
    </row>
    <row r="1893" spans="1:27" s="70" customFormat="1" ht="67.5" x14ac:dyDescent="0.2">
      <c r="A1893" s="24">
        <v>1889</v>
      </c>
      <c r="B1893" s="27" t="s">
        <v>605</v>
      </c>
      <c r="C1893" s="28" t="s">
        <v>604</v>
      </c>
      <c r="D1893" s="71" t="s">
        <v>683</v>
      </c>
      <c r="E1893" s="28" t="s">
        <v>682</v>
      </c>
      <c r="F1893" s="25" t="s">
        <v>681</v>
      </c>
      <c r="G1893" s="27"/>
      <c r="H1893" s="28" t="s">
        <v>759</v>
      </c>
      <c r="I1893" s="27"/>
      <c r="J1893" s="28" t="s">
        <v>768</v>
      </c>
      <c r="K1893" s="27"/>
      <c r="L1893" s="25" t="s">
        <v>722</v>
      </c>
      <c r="M1893" s="25"/>
      <c r="N1893" s="25"/>
      <c r="O1893" s="25"/>
      <c r="P1893" s="25"/>
      <c r="Q1893" s="25"/>
      <c r="R1893" s="25"/>
      <c r="S1893" s="25"/>
      <c r="T1893" s="25"/>
      <c r="U1893" s="25"/>
      <c r="V1893" s="25"/>
      <c r="W1893" s="33"/>
      <c r="X1893" s="33"/>
      <c r="Y1893" s="33"/>
      <c r="Z1893" s="33"/>
      <c r="AA1893" s="33"/>
    </row>
    <row r="1894" spans="1:27" s="70" customFormat="1" ht="67.5" x14ac:dyDescent="0.2">
      <c r="A1894" s="24">
        <v>1890</v>
      </c>
      <c r="B1894" s="27" t="s">
        <v>605</v>
      </c>
      <c r="C1894" s="28" t="s">
        <v>604</v>
      </c>
      <c r="D1894" s="71" t="s">
        <v>683</v>
      </c>
      <c r="E1894" s="28" t="s">
        <v>682</v>
      </c>
      <c r="F1894" s="25" t="s">
        <v>681</v>
      </c>
      <c r="G1894" s="27"/>
      <c r="H1894" s="28" t="s">
        <v>759</v>
      </c>
      <c r="I1894" s="27"/>
      <c r="J1894" s="28" t="s">
        <v>768</v>
      </c>
      <c r="K1894" s="27"/>
      <c r="L1894" s="25" t="s">
        <v>769</v>
      </c>
      <c r="M1894" s="25"/>
      <c r="N1894" s="25"/>
      <c r="O1894" s="25"/>
      <c r="P1894" s="25"/>
      <c r="Q1894" s="25"/>
      <c r="R1894" s="25"/>
      <c r="S1894" s="25"/>
      <c r="T1894" s="25"/>
      <c r="U1894" s="25"/>
      <c r="V1894" s="25"/>
      <c r="W1894" s="33"/>
      <c r="X1894" s="33"/>
      <c r="Y1894" s="33"/>
      <c r="Z1894" s="33"/>
      <c r="AA1894" s="33"/>
    </row>
    <row r="1895" spans="1:27" s="70" customFormat="1" ht="67.5" x14ac:dyDescent="0.2">
      <c r="A1895" s="24">
        <v>1891</v>
      </c>
      <c r="B1895" s="27" t="s">
        <v>605</v>
      </c>
      <c r="C1895" s="28" t="s">
        <v>604</v>
      </c>
      <c r="D1895" s="71" t="s">
        <v>683</v>
      </c>
      <c r="E1895" s="28" t="s">
        <v>682</v>
      </c>
      <c r="F1895" s="25" t="s">
        <v>681</v>
      </c>
      <c r="G1895" s="27"/>
      <c r="H1895" s="28" t="s">
        <v>759</v>
      </c>
      <c r="I1895" s="27"/>
      <c r="J1895" s="28" t="s">
        <v>768</v>
      </c>
      <c r="K1895" s="27"/>
      <c r="L1895" s="25" t="s">
        <v>767</v>
      </c>
      <c r="M1895" s="25"/>
      <c r="N1895" s="25"/>
      <c r="O1895" s="25"/>
      <c r="P1895" s="25"/>
      <c r="Q1895" s="25"/>
      <c r="R1895" s="25"/>
      <c r="S1895" s="25"/>
      <c r="T1895" s="25"/>
      <c r="U1895" s="25"/>
      <c r="V1895" s="25"/>
      <c r="W1895" s="33"/>
      <c r="X1895" s="33"/>
      <c r="Y1895" s="33"/>
      <c r="Z1895" s="33"/>
      <c r="AA1895" s="33"/>
    </row>
    <row r="1896" spans="1:27" s="70" customFormat="1" ht="67.5" x14ac:dyDescent="0.2">
      <c r="A1896" s="24">
        <v>1892</v>
      </c>
      <c r="B1896" s="27" t="s">
        <v>605</v>
      </c>
      <c r="C1896" s="28" t="s">
        <v>604</v>
      </c>
      <c r="D1896" s="71" t="s">
        <v>683</v>
      </c>
      <c r="E1896" s="28" t="s">
        <v>682</v>
      </c>
      <c r="F1896" s="25" t="s">
        <v>681</v>
      </c>
      <c r="G1896" s="27"/>
      <c r="H1896" s="28" t="s">
        <v>759</v>
      </c>
      <c r="I1896" s="27"/>
      <c r="J1896" s="28" t="s">
        <v>761</v>
      </c>
      <c r="K1896" s="27"/>
      <c r="L1896" s="25" t="s">
        <v>766</v>
      </c>
      <c r="M1896" s="25"/>
      <c r="N1896" s="25"/>
      <c r="O1896" s="25"/>
      <c r="P1896" s="25"/>
      <c r="Q1896" s="25"/>
      <c r="R1896" s="25"/>
      <c r="S1896" s="25"/>
      <c r="T1896" s="25"/>
      <c r="U1896" s="25"/>
      <c r="V1896" s="25"/>
      <c r="W1896" s="33"/>
      <c r="X1896" s="33"/>
      <c r="Y1896" s="33"/>
      <c r="Z1896" s="33"/>
      <c r="AA1896" s="33"/>
    </row>
    <row r="1897" spans="1:27" s="70" customFormat="1" ht="67.5" x14ac:dyDescent="0.2">
      <c r="A1897" s="24">
        <v>1893</v>
      </c>
      <c r="B1897" s="27" t="s">
        <v>605</v>
      </c>
      <c r="C1897" s="28" t="s">
        <v>604</v>
      </c>
      <c r="D1897" s="71" t="s">
        <v>683</v>
      </c>
      <c r="E1897" s="28" t="s">
        <v>682</v>
      </c>
      <c r="F1897" s="25" t="s">
        <v>681</v>
      </c>
      <c r="G1897" s="27"/>
      <c r="H1897" s="28" t="s">
        <v>759</v>
      </c>
      <c r="I1897" s="27"/>
      <c r="J1897" s="28" t="s">
        <v>761</v>
      </c>
      <c r="K1897" s="27"/>
      <c r="L1897" s="25" t="s">
        <v>765</v>
      </c>
      <c r="M1897" s="25"/>
      <c r="N1897" s="25"/>
      <c r="O1897" s="25"/>
      <c r="P1897" s="25"/>
      <c r="Q1897" s="25"/>
      <c r="R1897" s="25"/>
      <c r="S1897" s="25"/>
      <c r="T1897" s="25"/>
      <c r="U1897" s="25"/>
      <c r="V1897" s="25"/>
      <c r="W1897" s="33"/>
      <c r="X1897" s="33"/>
      <c r="Y1897" s="33"/>
      <c r="Z1897" s="33"/>
      <c r="AA1897" s="33"/>
    </row>
    <row r="1898" spans="1:27" s="70" customFormat="1" ht="67.5" x14ac:dyDescent="0.2">
      <c r="A1898" s="24">
        <v>1894</v>
      </c>
      <c r="B1898" s="27" t="s">
        <v>605</v>
      </c>
      <c r="C1898" s="28" t="s">
        <v>604</v>
      </c>
      <c r="D1898" s="71" t="s">
        <v>683</v>
      </c>
      <c r="E1898" s="28" t="s">
        <v>682</v>
      </c>
      <c r="F1898" s="25" t="s">
        <v>681</v>
      </c>
      <c r="G1898" s="27"/>
      <c r="H1898" s="28" t="s">
        <v>759</v>
      </c>
      <c r="I1898" s="27"/>
      <c r="J1898" s="28" t="s">
        <v>761</v>
      </c>
      <c r="K1898" s="27"/>
      <c r="L1898" s="25" t="s">
        <v>764</v>
      </c>
      <c r="M1898" s="25"/>
      <c r="N1898" s="25"/>
      <c r="O1898" s="25"/>
      <c r="P1898" s="25"/>
      <c r="Q1898" s="25"/>
      <c r="R1898" s="25"/>
      <c r="S1898" s="25"/>
      <c r="T1898" s="25"/>
      <c r="U1898" s="25"/>
      <c r="V1898" s="25"/>
      <c r="W1898" s="33"/>
      <c r="X1898" s="33"/>
      <c r="Y1898" s="33"/>
      <c r="Z1898" s="33"/>
      <c r="AA1898" s="33"/>
    </row>
    <row r="1899" spans="1:27" s="70" customFormat="1" ht="67.5" x14ac:dyDescent="0.2">
      <c r="A1899" s="24">
        <v>1895</v>
      </c>
      <c r="B1899" s="27" t="s">
        <v>605</v>
      </c>
      <c r="C1899" s="28" t="s">
        <v>604</v>
      </c>
      <c r="D1899" s="71" t="s">
        <v>683</v>
      </c>
      <c r="E1899" s="28" t="s">
        <v>682</v>
      </c>
      <c r="F1899" s="25" t="s">
        <v>681</v>
      </c>
      <c r="G1899" s="27"/>
      <c r="H1899" s="28" t="s">
        <v>759</v>
      </c>
      <c r="I1899" s="27"/>
      <c r="J1899" s="28" t="s">
        <v>761</v>
      </c>
      <c r="K1899" s="27"/>
      <c r="L1899" s="25" t="s">
        <v>763</v>
      </c>
      <c r="M1899" s="25"/>
      <c r="N1899" s="25"/>
      <c r="O1899" s="25"/>
      <c r="P1899" s="25"/>
      <c r="Q1899" s="25"/>
      <c r="R1899" s="25"/>
      <c r="S1899" s="25"/>
      <c r="T1899" s="25"/>
      <c r="U1899" s="25"/>
      <c r="V1899" s="25"/>
      <c r="W1899" s="33"/>
      <c r="X1899" s="33"/>
      <c r="Y1899" s="33"/>
      <c r="Z1899" s="33"/>
      <c r="AA1899" s="33"/>
    </row>
    <row r="1900" spans="1:27" s="70" customFormat="1" ht="67.5" x14ac:dyDescent="0.2">
      <c r="A1900" s="24">
        <v>1896</v>
      </c>
      <c r="B1900" s="27" t="s">
        <v>605</v>
      </c>
      <c r="C1900" s="28" t="s">
        <v>604</v>
      </c>
      <c r="D1900" s="71" t="s">
        <v>683</v>
      </c>
      <c r="E1900" s="28" t="s">
        <v>682</v>
      </c>
      <c r="F1900" s="25" t="s">
        <v>681</v>
      </c>
      <c r="G1900" s="27"/>
      <c r="H1900" s="28" t="s">
        <v>759</v>
      </c>
      <c r="I1900" s="27"/>
      <c r="J1900" s="28" t="s">
        <v>761</v>
      </c>
      <c r="K1900" s="27"/>
      <c r="L1900" s="25" t="s">
        <v>762</v>
      </c>
      <c r="M1900" s="25"/>
      <c r="N1900" s="25"/>
      <c r="O1900" s="25"/>
      <c r="P1900" s="25"/>
      <c r="Q1900" s="25"/>
      <c r="R1900" s="25"/>
      <c r="S1900" s="25"/>
      <c r="T1900" s="25"/>
      <c r="U1900" s="25"/>
      <c r="V1900" s="25"/>
      <c r="W1900" s="33"/>
      <c r="X1900" s="33"/>
      <c r="Y1900" s="33"/>
      <c r="Z1900" s="33"/>
      <c r="AA1900" s="33"/>
    </row>
    <row r="1901" spans="1:27" s="70" customFormat="1" ht="90" x14ac:dyDescent="0.2">
      <c r="A1901" s="24">
        <v>1897</v>
      </c>
      <c r="B1901" s="27" t="s">
        <v>605</v>
      </c>
      <c r="C1901" s="28" t="s">
        <v>604</v>
      </c>
      <c r="D1901" s="71" t="s">
        <v>683</v>
      </c>
      <c r="E1901" s="28" t="s">
        <v>682</v>
      </c>
      <c r="F1901" s="25" t="s">
        <v>681</v>
      </c>
      <c r="G1901" s="27"/>
      <c r="H1901" s="28" t="s">
        <v>759</v>
      </c>
      <c r="I1901" s="27"/>
      <c r="J1901" s="28" t="s">
        <v>761</v>
      </c>
      <c r="K1901" s="27"/>
      <c r="L1901" s="25" t="s">
        <v>760</v>
      </c>
      <c r="M1901" s="25"/>
      <c r="N1901" s="25"/>
      <c r="O1901" s="25"/>
      <c r="P1901" s="25"/>
      <c r="Q1901" s="25"/>
      <c r="R1901" s="25"/>
      <c r="S1901" s="25"/>
      <c r="T1901" s="25"/>
      <c r="U1901" s="25"/>
      <c r="V1901" s="25"/>
      <c r="W1901" s="33"/>
      <c r="X1901" s="33"/>
      <c r="Y1901" s="33"/>
      <c r="Z1901" s="33"/>
      <c r="AA1901" s="33"/>
    </row>
    <row r="1902" spans="1:27" s="70" customFormat="1" ht="67.5" x14ac:dyDescent="0.2">
      <c r="A1902" s="24">
        <v>1898</v>
      </c>
      <c r="B1902" s="27" t="s">
        <v>605</v>
      </c>
      <c r="C1902" s="28" t="s">
        <v>604</v>
      </c>
      <c r="D1902" s="71" t="s">
        <v>683</v>
      </c>
      <c r="E1902" s="28" t="s">
        <v>682</v>
      </c>
      <c r="F1902" s="25" t="s">
        <v>681</v>
      </c>
      <c r="G1902" s="27"/>
      <c r="H1902" s="28" t="s">
        <v>759</v>
      </c>
      <c r="I1902" s="27"/>
      <c r="J1902" s="28" t="s">
        <v>758</v>
      </c>
      <c r="K1902" s="27"/>
      <c r="L1902" s="25"/>
      <c r="M1902" s="25"/>
      <c r="N1902" s="25"/>
      <c r="O1902" s="25"/>
      <c r="P1902" s="25"/>
      <c r="Q1902" s="25"/>
      <c r="R1902" s="25"/>
      <c r="S1902" s="25"/>
      <c r="T1902" s="25"/>
      <c r="U1902" s="25"/>
      <c r="V1902" s="25"/>
      <c r="W1902" s="33"/>
      <c r="X1902" s="33"/>
      <c r="Y1902" s="33"/>
      <c r="Z1902" s="33"/>
      <c r="AA1902" s="33"/>
    </row>
    <row r="1903" spans="1:27" s="70" customFormat="1" ht="67.5" x14ac:dyDescent="0.2">
      <c r="A1903" s="24">
        <v>1899</v>
      </c>
      <c r="B1903" s="27" t="s">
        <v>605</v>
      </c>
      <c r="C1903" s="28" t="s">
        <v>604</v>
      </c>
      <c r="D1903" s="71" t="s">
        <v>683</v>
      </c>
      <c r="E1903" s="28" t="s">
        <v>682</v>
      </c>
      <c r="F1903" s="25" t="s">
        <v>681</v>
      </c>
      <c r="G1903" s="27"/>
      <c r="H1903" s="28" t="s">
        <v>711</v>
      </c>
      <c r="I1903" s="27"/>
      <c r="J1903" s="28" t="s">
        <v>757</v>
      </c>
      <c r="K1903" s="27"/>
      <c r="L1903" s="25"/>
      <c r="M1903" s="25"/>
      <c r="N1903" s="25"/>
      <c r="O1903" s="25"/>
      <c r="P1903" s="25"/>
      <c r="Q1903" s="25"/>
      <c r="R1903" s="25"/>
      <c r="S1903" s="25"/>
      <c r="T1903" s="25"/>
      <c r="U1903" s="25"/>
      <c r="V1903" s="25"/>
      <c r="W1903" s="33"/>
      <c r="X1903" s="33"/>
      <c r="Y1903" s="33"/>
      <c r="Z1903" s="33"/>
      <c r="AA1903" s="33"/>
    </row>
    <row r="1904" spans="1:27" s="70" customFormat="1" ht="67.5" x14ac:dyDescent="0.2">
      <c r="A1904" s="24">
        <v>1900</v>
      </c>
      <c r="B1904" s="27" t="s">
        <v>605</v>
      </c>
      <c r="C1904" s="28" t="s">
        <v>604</v>
      </c>
      <c r="D1904" s="71" t="s">
        <v>683</v>
      </c>
      <c r="E1904" s="28" t="s">
        <v>682</v>
      </c>
      <c r="F1904" s="25" t="s">
        <v>681</v>
      </c>
      <c r="G1904" s="27"/>
      <c r="H1904" s="28" t="s">
        <v>711</v>
      </c>
      <c r="I1904" s="27"/>
      <c r="J1904" s="28" t="s">
        <v>756</v>
      </c>
      <c r="K1904" s="27"/>
      <c r="L1904" s="25"/>
      <c r="M1904" s="25"/>
      <c r="N1904" s="25"/>
      <c r="O1904" s="25"/>
      <c r="P1904" s="25"/>
      <c r="Q1904" s="25"/>
      <c r="R1904" s="25"/>
      <c r="S1904" s="25"/>
      <c r="T1904" s="25"/>
      <c r="U1904" s="25"/>
      <c r="V1904" s="25"/>
      <c r="W1904" s="33"/>
      <c r="X1904" s="33"/>
      <c r="Y1904" s="33"/>
      <c r="Z1904" s="33"/>
      <c r="AA1904" s="33"/>
    </row>
    <row r="1905" spans="1:27" s="70" customFormat="1" ht="67.5" x14ac:dyDescent="0.2">
      <c r="A1905" s="24">
        <v>1901</v>
      </c>
      <c r="B1905" s="27" t="s">
        <v>605</v>
      </c>
      <c r="C1905" s="28" t="s">
        <v>604</v>
      </c>
      <c r="D1905" s="71" t="s">
        <v>683</v>
      </c>
      <c r="E1905" s="28" t="s">
        <v>682</v>
      </c>
      <c r="F1905" s="25" t="s">
        <v>681</v>
      </c>
      <c r="G1905" s="27"/>
      <c r="H1905" s="28" t="s">
        <v>711</v>
      </c>
      <c r="I1905" s="27"/>
      <c r="J1905" s="28" t="s">
        <v>737</v>
      </c>
      <c r="K1905" s="27"/>
      <c r="L1905" s="25" t="s">
        <v>755</v>
      </c>
      <c r="M1905" s="25"/>
      <c r="N1905" s="25"/>
      <c r="O1905" s="25"/>
      <c r="P1905" s="25"/>
      <c r="Q1905" s="25"/>
      <c r="R1905" s="25"/>
      <c r="S1905" s="25"/>
      <c r="T1905" s="25"/>
      <c r="U1905" s="25"/>
      <c r="V1905" s="25"/>
      <c r="W1905" s="33"/>
      <c r="X1905" s="33"/>
      <c r="Y1905" s="33"/>
      <c r="Z1905" s="33"/>
      <c r="AA1905" s="33"/>
    </row>
    <row r="1906" spans="1:27" s="70" customFormat="1" ht="67.5" x14ac:dyDescent="0.2">
      <c r="A1906" s="24">
        <v>1902</v>
      </c>
      <c r="B1906" s="27" t="s">
        <v>605</v>
      </c>
      <c r="C1906" s="28" t="s">
        <v>604</v>
      </c>
      <c r="D1906" s="71" t="s">
        <v>683</v>
      </c>
      <c r="E1906" s="28" t="s">
        <v>682</v>
      </c>
      <c r="F1906" s="25" t="s">
        <v>681</v>
      </c>
      <c r="G1906" s="27"/>
      <c r="H1906" s="28" t="s">
        <v>711</v>
      </c>
      <c r="I1906" s="27"/>
      <c r="J1906" s="28" t="s">
        <v>737</v>
      </c>
      <c r="K1906" s="27"/>
      <c r="L1906" s="25" t="s">
        <v>754</v>
      </c>
      <c r="M1906" s="25"/>
      <c r="N1906" s="25"/>
      <c r="O1906" s="25"/>
      <c r="P1906" s="25"/>
      <c r="Q1906" s="25"/>
      <c r="R1906" s="25"/>
      <c r="S1906" s="25"/>
      <c r="T1906" s="25"/>
      <c r="U1906" s="25"/>
      <c r="V1906" s="25"/>
      <c r="W1906" s="33"/>
      <c r="X1906" s="33"/>
      <c r="Y1906" s="33"/>
      <c r="Z1906" s="33"/>
      <c r="AA1906" s="33"/>
    </row>
    <row r="1907" spans="1:27" s="70" customFormat="1" ht="67.5" x14ac:dyDescent="0.2">
      <c r="A1907" s="24">
        <v>1903</v>
      </c>
      <c r="B1907" s="27" t="s">
        <v>605</v>
      </c>
      <c r="C1907" s="28" t="s">
        <v>604</v>
      </c>
      <c r="D1907" s="71" t="s">
        <v>683</v>
      </c>
      <c r="E1907" s="28" t="s">
        <v>682</v>
      </c>
      <c r="F1907" s="25" t="s">
        <v>681</v>
      </c>
      <c r="G1907" s="27"/>
      <c r="H1907" s="28" t="s">
        <v>711</v>
      </c>
      <c r="I1907" s="27"/>
      <c r="J1907" s="28" t="s">
        <v>737</v>
      </c>
      <c r="K1907" s="27"/>
      <c r="L1907" s="25" t="s">
        <v>753</v>
      </c>
      <c r="M1907" s="25"/>
      <c r="N1907" s="25"/>
      <c r="O1907" s="25"/>
      <c r="P1907" s="25"/>
      <c r="Q1907" s="25"/>
      <c r="R1907" s="25"/>
      <c r="S1907" s="25"/>
      <c r="T1907" s="25"/>
      <c r="U1907" s="25"/>
      <c r="V1907" s="25"/>
      <c r="W1907" s="33"/>
      <c r="X1907" s="33"/>
      <c r="Y1907" s="33"/>
      <c r="Z1907" s="33"/>
      <c r="AA1907" s="33"/>
    </row>
    <row r="1908" spans="1:27" s="70" customFormat="1" ht="67.5" x14ac:dyDescent="0.2">
      <c r="A1908" s="24">
        <v>1904</v>
      </c>
      <c r="B1908" s="27" t="s">
        <v>605</v>
      </c>
      <c r="C1908" s="28" t="s">
        <v>604</v>
      </c>
      <c r="D1908" s="71" t="s">
        <v>683</v>
      </c>
      <c r="E1908" s="28" t="s">
        <v>682</v>
      </c>
      <c r="F1908" s="25" t="s">
        <v>681</v>
      </c>
      <c r="G1908" s="27"/>
      <c r="H1908" s="28" t="s">
        <v>711</v>
      </c>
      <c r="I1908" s="27"/>
      <c r="J1908" s="28" t="s">
        <v>737</v>
      </c>
      <c r="K1908" s="27"/>
      <c r="L1908" s="25" t="s">
        <v>752</v>
      </c>
      <c r="M1908" s="25"/>
      <c r="N1908" s="25"/>
      <c r="O1908" s="25"/>
      <c r="P1908" s="25"/>
      <c r="Q1908" s="25"/>
      <c r="R1908" s="25"/>
      <c r="S1908" s="25"/>
      <c r="T1908" s="25"/>
      <c r="U1908" s="25"/>
      <c r="V1908" s="25"/>
      <c r="W1908" s="33"/>
      <c r="X1908" s="33"/>
      <c r="Y1908" s="33"/>
      <c r="Z1908" s="33"/>
      <c r="AA1908" s="33"/>
    </row>
    <row r="1909" spans="1:27" s="70" customFormat="1" ht="67.5" x14ac:dyDescent="0.2">
      <c r="A1909" s="24">
        <v>1905</v>
      </c>
      <c r="B1909" s="27" t="s">
        <v>605</v>
      </c>
      <c r="C1909" s="28" t="s">
        <v>604</v>
      </c>
      <c r="D1909" s="71" t="s">
        <v>683</v>
      </c>
      <c r="E1909" s="28" t="s">
        <v>682</v>
      </c>
      <c r="F1909" s="25" t="s">
        <v>681</v>
      </c>
      <c r="G1909" s="27"/>
      <c r="H1909" s="28" t="s">
        <v>711</v>
      </c>
      <c r="I1909" s="27"/>
      <c r="J1909" s="28" t="s">
        <v>737</v>
      </c>
      <c r="K1909" s="27"/>
      <c r="L1909" s="25" t="s">
        <v>751</v>
      </c>
      <c r="M1909" s="25"/>
      <c r="N1909" s="25"/>
      <c r="O1909" s="25"/>
      <c r="P1909" s="25"/>
      <c r="Q1909" s="25"/>
      <c r="R1909" s="25"/>
      <c r="S1909" s="25"/>
      <c r="T1909" s="25"/>
      <c r="U1909" s="25"/>
      <c r="V1909" s="25"/>
      <c r="W1909" s="33"/>
      <c r="X1909" s="33"/>
      <c r="Y1909" s="33"/>
      <c r="Z1909" s="33"/>
      <c r="AA1909" s="33"/>
    </row>
    <row r="1910" spans="1:27" s="70" customFormat="1" ht="67.5" x14ac:dyDescent="0.2">
      <c r="A1910" s="24">
        <v>1906</v>
      </c>
      <c r="B1910" s="27" t="s">
        <v>605</v>
      </c>
      <c r="C1910" s="28" t="s">
        <v>604</v>
      </c>
      <c r="D1910" s="71" t="s">
        <v>683</v>
      </c>
      <c r="E1910" s="28" t="s">
        <v>682</v>
      </c>
      <c r="F1910" s="25" t="s">
        <v>681</v>
      </c>
      <c r="G1910" s="27"/>
      <c r="H1910" s="28" t="s">
        <v>711</v>
      </c>
      <c r="I1910" s="27"/>
      <c r="J1910" s="28" t="s">
        <v>737</v>
      </c>
      <c r="K1910" s="27"/>
      <c r="L1910" s="25" t="s">
        <v>750</v>
      </c>
      <c r="M1910" s="25"/>
      <c r="N1910" s="25"/>
      <c r="O1910" s="25"/>
      <c r="P1910" s="25"/>
      <c r="Q1910" s="25"/>
      <c r="R1910" s="25"/>
      <c r="S1910" s="25"/>
      <c r="T1910" s="25"/>
      <c r="U1910" s="25"/>
      <c r="V1910" s="25"/>
      <c r="W1910" s="33"/>
      <c r="X1910" s="33"/>
      <c r="Y1910" s="33"/>
      <c r="Z1910" s="33"/>
      <c r="AA1910" s="33"/>
    </row>
    <row r="1911" spans="1:27" s="70" customFormat="1" ht="67.5" x14ac:dyDescent="0.2">
      <c r="A1911" s="24">
        <v>1907</v>
      </c>
      <c r="B1911" s="27" t="s">
        <v>605</v>
      </c>
      <c r="C1911" s="28" t="s">
        <v>604</v>
      </c>
      <c r="D1911" s="71" t="s">
        <v>683</v>
      </c>
      <c r="E1911" s="28" t="s">
        <v>682</v>
      </c>
      <c r="F1911" s="25" t="s">
        <v>681</v>
      </c>
      <c r="G1911" s="27"/>
      <c r="H1911" s="28" t="s">
        <v>711</v>
      </c>
      <c r="I1911" s="27"/>
      <c r="J1911" s="28" t="s">
        <v>737</v>
      </c>
      <c r="K1911" s="27"/>
      <c r="L1911" s="25" t="s">
        <v>749</v>
      </c>
      <c r="M1911" s="25"/>
      <c r="N1911" s="25"/>
      <c r="O1911" s="25"/>
      <c r="P1911" s="25"/>
      <c r="Q1911" s="25"/>
      <c r="R1911" s="25"/>
      <c r="S1911" s="25"/>
      <c r="T1911" s="25"/>
      <c r="U1911" s="25"/>
      <c r="V1911" s="25"/>
      <c r="W1911" s="33"/>
      <c r="X1911" s="33"/>
      <c r="Y1911" s="33"/>
      <c r="Z1911" s="33"/>
      <c r="AA1911" s="33"/>
    </row>
    <row r="1912" spans="1:27" s="70" customFormat="1" ht="67.5" x14ac:dyDescent="0.2">
      <c r="A1912" s="24">
        <v>1908</v>
      </c>
      <c r="B1912" s="27" t="s">
        <v>605</v>
      </c>
      <c r="C1912" s="28" t="s">
        <v>604</v>
      </c>
      <c r="D1912" s="71" t="s">
        <v>683</v>
      </c>
      <c r="E1912" s="28" t="s">
        <v>682</v>
      </c>
      <c r="F1912" s="25" t="s">
        <v>681</v>
      </c>
      <c r="G1912" s="27"/>
      <c r="H1912" s="28" t="s">
        <v>711</v>
      </c>
      <c r="I1912" s="27"/>
      <c r="J1912" s="28" t="s">
        <v>737</v>
      </c>
      <c r="K1912" s="27"/>
      <c r="L1912" s="25" t="s">
        <v>748</v>
      </c>
      <c r="M1912" s="25"/>
      <c r="N1912" s="25"/>
      <c r="O1912" s="25"/>
      <c r="P1912" s="25"/>
      <c r="Q1912" s="25"/>
      <c r="R1912" s="25"/>
      <c r="S1912" s="25"/>
      <c r="T1912" s="25"/>
      <c r="U1912" s="25"/>
      <c r="V1912" s="25"/>
      <c r="W1912" s="33"/>
      <c r="X1912" s="33"/>
      <c r="Y1912" s="33"/>
      <c r="Z1912" s="33"/>
      <c r="AA1912" s="33"/>
    </row>
    <row r="1913" spans="1:27" s="70" customFormat="1" ht="67.5" x14ac:dyDescent="0.2">
      <c r="A1913" s="24">
        <v>1909</v>
      </c>
      <c r="B1913" s="27" t="s">
        <v>605</v>
      </c>
      <c r="C1913" s="28" t="s">
        <v>604</v>
      </c>
      <c r="D1913" s="71" t="s">
        <v>683</v>
      </c>
      <c r="E1913" s="28" t="s">
        <v>682</v>
      </c>
      <c r="F1913" s="25" t="s">
        <v>681</v>
      </c>
      <c r="G1913" s="27"/>
      <c r="H1913" s="28" t="s">
        <v>711</v>
      </c>
      <c r="I1913" s="27"/>
      <c r="J1913" s="28" t="s">
        <v>737</v>
      </c>
      <c r="K1913" s="27"/>
      <c r="L1913" s="25" t="s">
        <v>747</v>
      </c>
      <c r="M1913" s="25"/>
      <c r="N1913" s="25"/>
      <c r="O1913" s="25"/>
      <c r="P1913" s="25"/>
      <c r="Q1913" s="25"/>
      <c r="R1913" s="25"/>
      <c r="S1913" s="25"/>
      <c r="T1913" s="25"/>
      <c r="U1913" s="25"/>
      <c r="V1913" s="25"/>
      <c r="W1913" s="33"/>
      <c r="X1913" s="33"/>
      <c r="Y1913" s="33"/>
      <c r="Z1913" s="33"/>
      <c r="AA1913" s="33"/>
    </row>
    <row r="1914" spans="1:27" s="70" customFormat="1" ht="67.5" x14ac:dyDescent="0.2">
      <c r="A1914" s="24">
        <v>1910</v>
      </c>
      <c r="B1914" s="27" t="s">
        <v>605</v>
      </c>
      <c r="C1914" s="28" t="s">
        <v>604</v>
      </c>
      <c r="D1914" s="71" t="s">
        <v>683</v>
      </c>
      <c r="E1914" s="28" t="s">
        <v>682</v>
      </c>
      <c r="F1914" s="25" t="s">
        <v>681</v>
      </c>
      <c r="G1914" s="27"/>
      <c r="H1914" s="28" t="s">
        <v>711</v>
      </c>
      <c r="I1914" s="27"/>
      <c r="J1914" s="28" t="s">
        <v>737</v>
      </c>
      <c r="K1914" s="27"/>
      <c r="L1914" s="25" t="s">
        <v>746</v>
      </c>
      <c r="M1914" s="25"/>
      <c r="N1914" s="25"/>
      <c r="O1914" s="25"/>
      <c r="P1914" s="25"/>
      <c r="Q1914" s="25"/>
      <c r="R1914" s="25"/>
      <c r="S1914" s="25"/>
      <c r="T1914" s="25"/>
      <c r="U1914" s="25"/>
      <c r="V1914" s="25"/>
      <c r="W1914" s="33"/>
      <c r="X1914" s="33"/>
      <c r="Y1914" s="33"/>
      <c r="Z1914" s="33"/>
      <c r="AA1914" s="33"/>
    </row>
    <row r="1915" spans="1:27" s="70" customFormat="1" ht="67.5" x14ac:dyDescent="0.2">
      <c r="A1915" s="24">
        <v>1911</v>
      </c>
      <c r="B1915" s="27" t="s">
        <v>605</v>
      </c>
      <c r="C1915" s="28" t="s">
        <v>604</v>
      </c>
      <c r="D1915" s="71" t="s">
        <v>683</v>
      </c>
      <c r="E1915" s="28" t="s">
        <v>682</v>
      </c>
      <c r="F1915" s="25" t="s">
        <v>681</v>
      </c>
      <c r="G1915" s="27"/>
      <c r="H1915" s="28" t="s">
        <v>711</v>
      </c>
      <c r="I1915" s="27"/>
      <c r="J1915" s="28" t="s">
        <v>737</v>
      </c>
      <c r="K1915" s="27"/>
      <c r="L1915" s="25" t="s">
        <v>745</v>
      </c>
      <c r="M1915" s="25"/>
      <c r="N1915" s="25"/>
      <c r="O1915" s="25"/>
      <c r="P1915" s="25"/>
      <c r="Q1915" s="25"/>
      <c r="R1915" s="25"/>
      <c r="S1915" s="25"/>
      <c r="T1915" s="25"/>
      <c r="U1915" s="25"/>
      <c r="V1915" s="25"/>
      <c r="W1915" s="33"/>
      <c r="X1915" s="33"/>
      <c r="Y1915" s="33"/>
      <c r="Z1915" s="33"/>
      <c r="AA1915" s="33"/>
    </row>
    <row r="1916" spans="1:27" s="70" customFormat="1" ht="67.5" x14ac:dyDescent="0.2">
      <c r="A1916" s="24">
        <v>1912</v>
      </c>
      <c r="B1916" s="27" t="s">
        <v>605</v>
      </c>
      <c r="C1916" s="28" t="s">
        <v>604</v>
      </c>
      <c r="D1916" s="71" t="s">
        <v>683</v>
      </c>
      <c r="E1916" s="28" t="s">
        <v>682</v>
      </c>
      <c r="F1916" s="25" t="s">
        <v>681</v>
      </c>
      <c r="G1916" s="27"/>
      <c r="H1916" s="28" t="s">
        <v>711</v>
      </c>
      <c r="I1916" s="27"/>
      <c r="J1916" s="28" t="s">
        <v>737</v>
      </c>
      <c r="K1916" s="27"/>
      <c r="L1916" s="25" t="s">
        <v>744</v>
      </c>
      <c r="M1916" s="25"/>
      <c r="N1916" s="25"/>
      <c r="O1916" s="25"/>
      <c r="P1916" s="25"/>
      <c r="Q1916" s="25"/>
      <c r="R1916" s="25"/>
      <c r="S1916" s="25"/>
      <c r="T1916" s="25"/>
      <c r="U1916" s="25"/>
      <c r="V1916" s="25"/>
      <c r="W1916" s="33"/>
      <c r="X1916" s="33"/>
      <c r="Y1916" s="33"/>
      <c r="Z1916" s="33"/>
      <c r="AA1916" s="33"/>
    </row>
    <row r="1917" spans="1:27" s="70" customFormat="1" ht="67.5" x14ac:dyDescent="0.2">
      <c r="A1917" s="24">
        <v>1913</v>
      </c>
      <c r="B1917" s="27" t="s">
        <v>605</v>
      </c>
      <c r="C1917" s="28" t="s">
        <v>604</v>
      </c>
      <c r="D1917" s="71" t="s">
        <v>683</v>
      </c>
      <c r="E1917" s="28" t="s">
        <v>682</v>
      </c>
      <c r="F1917" s="25" t="s">
        <v>681</v>
      </c>
      <c r="G1917" s="27"/>
      <c r="H1917" s="28" t="s">
        <v>711</v>
      </c>
      <c r="I1917" s="27"/>
      <c r="J1917" s="28" t="s">
        <v>737</v>
      </c>
      <c r="K1917" s="27"/>
      <c r="L1917" s="25" t="s">
        <v>743</v>
      </c>
      <c r="M1917" s="25"/>
      <c r="N1917" s="25"/>
      <c r="O1917" s="25"/>
      <c r="P1917" s="25"/>
      <c r="Q1917" s="25"/>
      <c r="R1917" s="25"/>
      <c r="S1917" s="25"/>
      <c r="T1917" s="25"/>
      <c r="U1917" s="25"/>
      <c r="V1917" s="25"/>
      <c r="W1917" s="33"/>
      <c r="X1917" s="33"/>
      <c r="Y1917" s="33"/>
      <c r="Z1917" s="33"/>
      <c r="AA1917" s="33"/>
    </row>
    <row r="1918" spans="1:27" s="70" customFormat="1" ht="67.5" x14ac:dyDescent="0.2">
      <c r="A1918" s="24">
        <v>1914</v>
      </c>
      <c r="B1918" s="27" t="s">
        <v>605</v>
      </c>
      <c r="C1918" s="28" t="s">
        <v>604</v>
      </c>
      <c r="D1918" s="71" t="s">
        <v>683</v>
      </c>
      <c r="E1918" s="28" t="s">
        <v>682</v>
      </c>
      <c r="F1918" s="25" t="s">
        <v>681</v>
      </c>
      <c r="G1918" s="27"/>
      <c r="H1918" s="28" t="s">
        <v>711</v>
      </c>
      <c r="I1918" s="27"/>
      <c r="J1918" s="28" t="s">
        <v>737</v>
      </c>
      <c r="K1918" s="27"/>
      <c r="L1918" s="25" t="s">
        <v>742</v>
      </c>
      <c r="M1918" s="25"/>
      <c r="N1918" s="25"/>
      <c r="O1918" s="25"/>
      <c r="P1918" s="25"/>
      <c r="Q1918" s="25"/>
      <c r="R1918" s="25"/>
      <c r="S1918" s="25"/>
      <c r="T1918" s="25"/>
      <c r="U1918" s="25"/>
      <c r="V1918" s="25"/>
      <c r="W1918" s="33"/>
      <c r="X1918" s="33"/>
      <c r="Y1918" s="33"/>
      <c r="Z1918" s="33"/>
      <c r="AA1918" s="33"/>
    </row>
    <row r="1919" spans="1:27" s="70" customFormat="1" ht="67.5" x14ac:dyDescent="0.2">
      <c r="A1919" s="24">
        <v>1915</v>
      </c>
      <c r="B1919" s="27" t="s">
        <v>605</v>
      </c>
      <c r="C1919" s="28" t="s">
        <v>604</v>
      </c>
      <c r="D1919" s="71" t="s">
        <v>683</v>
      </c>
      <c r="E1919" s="28" t="s">
        <v>682</v>
      </c>
      <c r="F1919" s="25" t="s">
        <v>681</v>
      </c>
      <c r="G1919" s="27"/>
      <c r="H1919" s="28" t="s">
        <v>711</v>
      </c>
      <c r="I1919" s="27"/>
      <c r="J1919" s="28" t="s">
        <v>737</v>
      </c>
      <c r="K1919" s="27"/>
      <c r="L1919" s="25" t="s">
        <v>741</v>
      </c>
      <c r="M1919" s="25"/>
      <c r="N1919" s="25"/>
      <c r="O1919" s="25"/>
      <c r="P1919" s="25"/>
      <c r="Q1919" s="25"/>
      <c r="R1919" s="25"/>
      <c r="S1919" s="25"/>
      <c r="T1919" s="25"/>
      <c r="U1919" s="25"/>
      <c r="V1919" s="25"/>
      <c r="W1919" s="33"/>
      <c r="X1919" s="33"/>
      <c r="Y1919" s="33"/>
      <c r="Z1919" s="33"/>
      <c r="AA1919" s="33"/>
    </row>
    <row r="1920" spans="1:27" s="70" customFormat="1" ht="67.5" x14ac:dyDescent="0.2">
      <c r="A1920" s="24">
        <v>1916</v>
      </c>
      <c r="B1920" s="27" t="s">
        <v>605</v>
      </c>
      <c r="C1920" s="28" t="s">
        <v>604</v>
      </c>
      <c r="D1920" s="71" t="s">
        <v>683</v>
      </c>
      <c r="E1920" s="28" t="s">
        <v>682</v>
      </c>
      <c r="F1920" s="25" t="s">
        <v>681</v>
      </c>
      <c r="G1920" s="27"/>
      <c r="H1920" s="28" t="s">
        <v>711</v>
      </c>
      <c r="I1920" s="27"/>
      <c r="J1920" s="28" t="s">
        <v>737</v>
      </c>
      <c r="K1920" s="27"/>
      <c r="L1920" s="25" t="s">
        <v>740</v>
      </c>
      <c r="M1920" s="25"/>
      <c r="N1920" s="25"/>
      <c r="O1920" s="25"/>
      <c r="P1920" s="25"/>
      <c r="Q1920" s="25"/>
      <c r="R1920" s="25"/>
      <c r="S1920" s="25"/>
      <c r="T1920" s="25"/>
      <c r="U1920" s="25"/>
      <c r="V1920" s="25"/>
      <c r="W1920" s="33"/>
      <c r="X1920" s="33"/>
      <c r="Y1920" s="33"/>
      <c r="Z1920" s="33"/>
      <c r="AA1920" s="33"/>
    </row>
    <row r="1921" spans="1:27" s="70" customFormat="1" ht="67.5" x14ac:dyDescent="0.2">
      <c r="A1921" s="24">
        <v>1917</v>
      </c>
      <c r="B1921" s="27" t="s">
        <v>605</v>
      </c>
      <c r="C1921" s="28" t="s">
        <v>604</v>
      </c>
      <c r="D1921" s="71" t="s">
        <v>683</v>
      </c>
      <c r="E1921" s="28" t="s">
        <v>682</v>
      </c>
      <c r="F1921" s="25" t="s">
        <v>681</v>
      </c>
      <c r="G1921" s="27"/>
      <c r="H1921" s="28" t="s">
        <v>711</v>
      </c>
      <c r="I1921" s="27"/>
      <c r="J1921" s="28" t="s">
        <v>737</v>
      </c>
      <c r="K1921" s="27"/>
      <c r="L1921" s="25" t="s">
        <v>739</v>
      </c>
      <c r="M1921" s="25"/>
      <c r="N1921" s="25"/>
      <c r="O1921" s="25"/>
      <c r="P1921" s="25"/>
      <c r="Q1921" s="25"/>
      <c r="R1921" s="25"/>
      <c r="S1921" s="25"/>
      <c r="T1921" s="25"/>
      <c r="U1921" s="25"/>
      <c r="V1921" s="25"/>
      <c r="W1921" s="33"/>
      <c r="X1921" s="33"/>
      <c r="Y1921" s="33"/>
      <c r="Z1921" s="33"/>
      <c r="AA1921" s="33"/>
    </row>
    <row r="1922" spans="1:27" s="70" customFormat="1" ht="67.5" x14ac:dyDescent="0.2">
      <c r="A1922" s="24">
        <v>1918</v>
      </c>
      <c r="B1922" s="27" t="s">
        <v>605</v>
      </c>
      <c r="C1922" s="28" t="s">
        <v>604</v>
      </c>
      <c r="D1922" s="71" t="s">
        <v>683</v>
      </c>
      <c r="E1922" s="28" t="s">
        <v>682</v>
      </c>
      <c r="F1922" s="25" t="s">
        <v>681</v>
      </c>
      <c r="G1922" s="27"/>
      <c r="H1922" s="28" t="s">
        <v>711</v>
      </c>
      <c r="I1922" s="27"/>
      <c r="J1922" s="28" t="s">
        <v>737</v>
      </c>
      <c r="K1922" s="27"/>
      <c r="L1922" s="25" t="s">
        <v>738</v>
      </c>
      <c r="M1922" s="25"/>
      <c r="N1922" s="25"/>
      <c r="O1922" s="25"/>
      <c r="P1922" s="25"/>
      <c r="Q1922" s="25"/>
      <c r="R1922" s="25"/>
      <c r="S1922" s="25"/>
      <c r="T1922" s="25"/>
      <c r="U1922" s="25"/>
      <c r="V1922" s="25"/>
      <c r="W1922" s="33"/>
      <c r="X1922" s="33"/>
      <c r="Y1922" s="33"/>
      <c r="Z1922" s="33"/>
      <c r="AA1922" s="33"/>
    </row>
    <row r="1923" spans="1:27" s="70" customFormat="1" ht="67.5" x14ac:dyDescent="0.2">
      <c r="A1923" s="24">
        <v>1919</v>
      </c>
      <c r="B1923" s="27" t="s">
        <v>605</v>
      </c>
      <c r="C1923" s="28" t="s">
        <v>604</v>
      </c>
      <c r="D1923" s="71" t="s">
        <v>683</v>
      </c>
      <c r="E1923" s="28" t="s">
        <v>682</v>
      </c>
      <c r="F1923" s="25" t="s">
        <v>681</v>
      </c>
      <c r="G1923" s="27"/>
      <c r="H1923" s="28" t="s">
        <v>711</v>
      </c>
      <c r="I1923" s="27"/>
      <c r="J1923" s="28" t="s">
        <v>737</v>
      </c>
      <c r="K1923" s="27"/>
      <c r="L1923" s="25" t="s">
        <v>736</v>
      </c>
      <c r="M1923" s="25"/>
      <c r="N1923" s="25"/>
      <c r="O1923" s="25"/>
      <c r="P1923" s="25"/>
      <c r="Q1923" s="25"/>
      <c r="R1923" s="25"/>
      <c r="S1923" s="25"/>
      <c r="T1923" s="25"/>
      <c r="U1923" s="25"/>
      <c r="V1923" s="25"/>
      <c r="W1923" s="33"/>
      <c r="X1923" s="33"/>
      <c r="Y1923" s="33"/>
      <c r="Z1923" s="33"/>
      <c r="AA1923" s="33"/>
    </row>
    <row r="1924" spans="1:27" s="70" customFormat="1" ht="67.5" x14ac:dyDescent="0.2">
      <c r="A1924" s="24">
        <v>1920</v>
      </c>
      <c r="B1924" s="27" t="s">
        <v>605</v>
      </c>
      <c r="C1924" s="28" t="s">
        <v>604</v>
      </c>
      <c r="D1924" s="71" t="s">
        <v>683</v>
      </c>
      <c r="E1924" s="28" t="s">
        <v>682</v>
      </c>
      <c r="F1924" s="25" t="s">
        <v>681</v>
      </c>
      <c r="G1924" s="27"/>
      <c r="H1924" s="28" t="s">
        <v>711</v>
      </c>
      <c r="I1924" s="27"/>
      <c r="J1924" s="28" t="s">
        <v>735</v>
      </c>
      <c r="K1924" s="27"/>
      <c r="L1924" s="25"/>
      <c r="M1924" s="25"/>
      <c r="N1924" s="25"/>
      <c r="O1924" s="25"/>
      <c r="P1924" s="25"/>
      <c r="Q1924" s="25"/>
      <c r="R1924" s="25"/>
      <c r="S1924" s="25"/>
      <c r="T1924" s="25"/>
      <c r="U1924" s="25"/>
      <c r="V1924" s="25"/>
      <c r="W1924" s="33"/>
      <c r="X1924" s="33"/>
      <c r="Y1924" s="33"/>
      <c r="Z1924" s="33"/>
      <c r="AA1924" s="33"/>
    </row>
    <row r="1925" spans="1:27" s="70" customFormat="1" ht="90" x14ac:dyDescent="0.2">
      <c r="A1925" s="24">
        <v>1921</v>
      </c>
      <c r="B1925" s="27" t="s">
        <v>605</v>
      </c>
      <c r="C1925" s="28" t="s">
        <v>604</v>
      </c>
      <c r="D1925" s="71" t="s">
        <v>683</v>
      </c>
      <c r="E1925" s="28" t="s">
        <v>682</v>
      </c>
      <c r="F1925" s="25" t="s">
        <v>681</v>
      </c>
      <c r="G1925" s="27"/>
      <c r="H1925" s="28" t="s">
        <v>711</v>
      </c>
      <c r="I1925" s="27"/>
      <c r="J1925" s="28" t="s">
        <v>732</v>
      </c>
      <c r="K1925" s="27"/>
      <c r="L1925" s="25" t="s">
        <v>734</v>
      </c>
      <c r="M1925" s="25"/>
      <c r="N1925" s="25"/>
      <c r="O1925" s="25"/>
      <c r="P1925" s="25"/>
      <c r="Q1925" s="25"/>
      <c r="R1925" s="25"/>
      <c r="S1925" s="25"/>
      <c r="T1925" s="25"/>
      <c r="U1925" s="25"/>
      <c r="V1925" s="25"/>
      <c r="W1925" s="33"/>
      <c r="X1925" s="33"/>
      <c r="Y1925" s="33"/>
      <c r="Z1925" s="33"/>
      <c r="AA1925" s="33"/>
    </row>
    <row r="1926" spans="1:27" s="70" customFormat="1" ht="90" x14ac:dyDescent="0.2">
      <c r="A1926" s="24">
        <v>1922</v>
      </c>
      <c r="B1926" s="27" t="s">
        <v>605</v>
      </c>
      <c r="C1926" s="28" t="s">
        <v>604</v>
      </c>
      <c r="D1926" s="71" t="s">
        <v>683</v>
      </c>
      <c r="E1926" s="28" t="s">
        <v>682</v>
      </c>
      <c r="F1926" s="25" t="s">
        <v>681</v>
      </c>
      <c r="G1926" s="27"/>
      <c r="H1926" s="28" t="s">
        <v>711</v>
      </c>
      <c r="I1926" s="27"/>
      <c r="J1926" s="28" t="s">
        <v>732</v>
      </c>
      <c r="K1926" s="27"/>
      <c r="L1926" s="25" t="s">
        <v>733</v>
      </c>
      <c r="M1926" s="25"/>
      <c r="N1926" s="25"/>
      <c r="O1926" s="25"/>
      <c r="P1926" s="25"/>
      <c r="Q1926" s="25"/>
      <c r="R1926" s="25"/>
      <c r="S1926" s="25"/>
      <c r="T1926" s="25"/>
      <c r="U1926" s="25"/>
      <c r="V1926" s="25"/>
      <c r="W1926" s="33"/>
      <c r="X1926" s="33"/>
      <c r="Y1926" s="33"/>
      <c r="Z1926" s="33"/>
      <c r="AA1926" s="33"/>
    </row>
    <row r="1927" spans="1:27" s="70" customFormat="1" ht="90" x14ac:dyDescent="0.2">
      <c r="A1927" s="24">
        <v>1923</v>
      </c>
      <c r="B1927" s="27" t="s">
        <v>605</v>
      </c>
      <c r="C1927" s="28" t="s">
        <v>604</v>
      </c>
      <c r="D1927" s="71" t="s">
        <v>683</v>
      </c>
      <c r="E1927" s="28" t="s">
        <v>682</v>
      </c>
      <c r="F1927" s="25" t="s">
        <v>681</v>
      </c>
      <c r="G1927" s="27"/>
      <c r="H1927" s="28" t="s">
        <v>711</v>
      </c>
      <c r="I1927" s="27"/>
      <c r="J1927" s="28" t="s">
        <v>732</v>
      </c>
      <c r="K1927" s="27"/>
      <c r="L1927" s="25" t="s">
        <v>731</v>
      </c>
      <c r="M1927" s="25"/>
      <c r="N1927" s="25"/>
      <c r="O1927" s="25"/>
      <c r="P1927" s="25"/>
      <c r="Q1927" s="25"/>
      <c r="R1927" s="25"/>
      <c r="S1927" s="25"/>
      <c r="T1927" s="25"/>
      <c r="U1927" s="25"/>
      <c r="V1927" s="25"/>
      <c r="W1927" s="33"/>
      <c r="X1927" s="33"/>
      <c r="Y1927" s="33"/>
      <c r="Z1927" s="33"/>
      <c r="AA1927" s="33"/>
    </row>
    <row r="1928" spans="1:27" s="70" customFormat="1" ht="67.5" x14ac:dyDescent="0.2">
      <c r="A1928" s="24">
        <v>1924</v>
      </c>
      <c r="B1928" s="27" t="s">
        <v>605</v>
      </c>
      <c r="C1928" s="28" t="s">
        <v>604</v>
      </c>
      <c r="D1928" s="71" t="s">
        <v>683</v>
      </c>
      <c r="E1928" s="28" t="s">
        <v>682</v>
      </c>
      <c r="F1928" s="25" t="s">
        <v>681</v>
      </c>
      <c r="G1928" s="27"/>
      <c r="H1928" s="28" t="s">
        <v>711</v>
      </c>
      <c r="I1928" s="27"/>
      <c r="J1928" s="28" t="s">
        <v>729</v>
      </c>
      <c r="K1928" s="27"/>
      <c r="L1928" s="25" t="s">
        <v>730</v>
      </c>
      <c r="M1928" s="25"/>
      <c r="N1928" s="25"/>
      <c r="O1928" s="25"/>
      <c r="P1928" s="25"/>
      <c r="Q1928" s="25"/>
      <c r="R1928" s="25"/>
      <c r="S1928" s="25"/>
      <c r="T1928" s="25"/>
      <c r="U1928" s="25"/>
      <c r="V1928" s="25"/>
      <c r="W1928" s="33"/>
      <c r="X1928" s="33"/>
      <c r="Y1928" s="33"/>
      <c r="Z1928" s="33"/>
      <c r="AA1928" s="33"/>
    </row>
    <row r="1929" spans="1:27" s="70" customFormat="1" ht="67.5" x14ac:dyDescent="0.2">
      <c r="A1929" s="24">
        <v>1925</v>
      </c>
      <c r="B1929" s="27" t="s">
        <v>605</v>
      </c>
      <c r="C1929" s="28" t="s">
        <v>604</v>
      </c>
      <c r="D1929" s="71" t="s">
        <v>683</v>
      </c>
      <c r="E1929" s="28" t="s">
        <v>682</v>
      </c>
      <c r="F1929" s="25" t="s">
        <v>681</v>
      </c>
      <c r="G1929" s="27"/>
      <c r="H1929" s="28" t="s">
        <v>711</v>
      </c>
      <c r="I1929" s="27"/>
      <c r="J1929" s="28" t="s">
        <v>729</v>
      </c>
      <c r="K1929" s="27"/>
      <c r="L1929" s="25" t="s">
        <v>728</v>
      </c>
      <c r="M1929" s="25"/>
      <c r="N1929" s="25"/>
      <c r="O1929" s="25"/>
      <c r="P1929" s="25"/>
      <c r="Q1929" s="25"/>
      <c r="R1929" s="25"/>
      <c r="S1929" s="25"/>
      <c r="T1929" s="25"/>
      <c r="U1929" s="25"/>
      <c r="V1929" s="25"/>
      <c r="W1929" s="33"/>
      <c r="X1929" s="33"/>
      <c r="Y1929" s="33"/>
      <c r="Z1929" s="33"/>
      <c r="AA1929" s="33"/>
    </row>
    <row r="1930" spans="1:27" s="70" customFormat="1" ht="67.5" x14ac:dyDescent="0.2">
      <c r="A1930" s="24">
        <v>1926</v>
      </c>
      <c r="B1930" s="27" t="s">
        <v>605</v>
      </c>
      <c r="C1930" s="28" t="s">
        <v>604</v>
      </c>
      <c r="D1930" s="71" t="s">
        <v>683</v>
      </c>
      <c r="E1930" s="28" t="s">
        <v>682</v>
      </c>
      <c r="F1930" s="25" t="s">
        <v>681</v>
      </c>
      <c r="G1930" s="27"/>
      <c r="H1930" s="28" t="s">
        <v>711</v>
      </c>
      <c r="I1930" s="27"/>
      <c r="J1930" s="28" t="s">
        <v>727</v>
      </c>
      <c r="K1930" s="27"/>
      <c r="L1930" s="25"/>
      <c r="M1930" s="25"/>
      <c r="N1930" s="25"/>
      <c r="O1930" s="25"/>
      <c r="P1930" s="25"/>
      <c r="Q1930" s="25"/>
      <c r="R1930" s="25"/>
      <c r="S1930" s="25"/>
      <c r="T1930" s="25"/>
      <c r="U1930" s="25"/>
      <c r="V1930" s="25"/>
      <c r="W1930" s="33"/>
      <c r="X1930" s="33"/>
      <c r="Y1930" s="33"/>
      <c r="Z1930" s="33"/>
      <c r="AA1930" s="33"/>
    </row>
    <row r="1931" spans="1:27" s="70" customFormat="1" ht="67.5" x14ac:dyDescent="0.2">
      <c r="A1931" s="24">
        <v>1927</v>
      </c>
      <c r="B1931" s="27" t="s">
        <v>605</v>
      </c>
      <c r="C1931" s="28" t="s">
        <v>604</v>
      </c>
      <c r="D1931" s="71" t="s">
        <v>683</v>
      </c>
      <c r="E1931" s="28" t="s">
        <v>682</v>
      </c>
      <c r="F1931" s="25" t="s">
        <v>681</v>
      </c>
      <c r="G1931" s="27"/>
      <c r="H1931" s="28" t="s">
        <v>711</v>
      </c>
      <c r="I1931" s="27"/>
      <c r="J1931" s="28" t="s">
        <v>717</v>
      </c>
      <c r="K1931" s="27"/>
      <c r="L1931" s="25" t="s">
        <v>726</v>
      </c>
      <c r="M1931" s="25"/>
      <c r="N1931" s="25"/>
      <c r="O1931" s="25"/>
      <c r="P1931" s="25"/>
      <c r="Q1931" s="25"/>
      <c r="R1931" s="25"/>
      <c r="S1931" s="25"/>
      <c r="T1931" s="25"/>
      <c r="U1931" s="25"/>
      <c r="V1931" s="25"/>
      <c r="W1931" s="33"/>
      <c r="X1931" s="33"/>
      <c r="Y1931" s="33"/>
      <c r="Z1931" s="33"/>
      <c r="AA1931" s="33"/>
    </row>
    <row r="1932" spans="1:27" s="70" customFormat="1" ht="67.5" x14ac:dyDescent="0.2">
      <c r="A1932" s="24">
        <v>1928</v>
      </c>
      <c r="B1932" s="27" t="s">
        <v>605</v>
      </c>
      <c r="C1932" s="28" t="s">
        <v>604</v>
      </c>
      <c r="D1932" s="71" t="s">
        <v>683</v>
      </c>
      <c r="E1932" s="28" t="s">
        <v>682</v>
      </c>
      <c r="F1932" s="25" t="s">
        <v>681</v>
      </c>
      <c r="G1932" s="27"/>
      <c r="H1932" s="28" t="s">
        <v>711</v>
      </c>
      <c r="I1932" s="27"/>
      <c r="J1932" s="28" t="s">
        <v>717</v>
      </c>
      <c r="K1932" s="27"/>
      <c r="L1932" s="25" t="s">
        <v>725</v>
      </c>
      <c r="M1932" s="25"/>
      <c r="N1932" s="25"/>
      <c r="O1932" s="25"/>
      <c r="P1932" s="25"/>
      <c r="Q1932" s="25"/>
      <c r="R1932" s="25"/>
      <c r="S1932" s="25"/>
      <c r="T1932" s="25"/>
      <c r="U1932" s="25"/>
      <c r="V1932" s="25"/>
      <c r="W1932" s="33"/>
      <c r="X1932" s="33"/>
      <c r="Y1932" s="33"/>
      <c r="Z1932" s="33"/>
      <c r="AA1932" s="33"/>
    </row>
    <row r="1933" spans="1:27" s="70" customFormat="1" ht="67.5" x14ac:dyDescent="0.2">
      <c r="A1933" s="24">
        <v>1929</v>
      </c>
      <c r="B1933" s="27" t="s">
        <v>605</v>
      </c>
      <c r="C1933" s="28" t="s">
        <v>604</v>
      </c>
      <c r="D1933" s="71" t="s">
        <v>683</v>
      </c>
      <c r="E1933" s="28" t="s">
        <v>682</v>
      </c>
      <c r="F1933" s="25" t="s">
        <v>681</v>
      </c>
      <c r="G1933" s="27"/>
      <c r="H1933" s="28" t="s">
        <v>711</v>
      </c>
      <c r="I1933" s="27"/>
      <c r="J1933" s="28" t="s">
        <v>717</v>
      </c>
      <c r="K1933" s="27"/>
      <c r="L1933" s="25" t="s">
        <v>724</v>
      </c>
      <c r="M1933" s="25"/>
      <c r="N1933" s="25"/>
      <c r="O1933" s="25"/>
      <c r="P1933" s="25"/>
      <c r="Q1933" s="25"/>
      <c r="R1933" s="25"/>
      <c r="S1933" s="25"/>
      <c r="T1933" s="25"/>
      <c r="U1933" s="25"/>
      <c r="V1933" s="25"/>
      <c r="W1933" s="33"/>
      <c r="X1933" s="33"/>
      <c r="Y1933" s="33"/>
      <c r="Z1933" s="33"/>
      <c r="AA1933" s="33"/>
    </row>
    <row r="1934" spans="1:27" s="70" customFormat="1" ht="67.5" x14ac:dyDescent="0.2">
      <c r="A1934" s="24">
        <v>1930</v>
      </c>
      <c r="B1934" s="27" t="s">
        <v>605</v>
      </c>
      <c r="C1934" s="28" t="s">
        <v>604</v>
      </c>
      <c r="D1934" s="71" t="s">
        <v>683</v>
      </c>
      <c r="E1934" s="28" t="s">
        <v>682</v>
      </c>
      <c r="F1934" s="25" t="s">
        <v>681</v>
      </c>
      <c r="G1934" s="27"/>
      <c r="H1934" s="28" t="s">
        <v>711</v>
      </c>
      <c r="I1934" s="27"/>
      <c r="J1934" s="28" t="s">
        <v>717</v>
      </c>
      <c r="K1934" s="27"/>
      <c r="L1934" s="25" t="s">
        <v>723</v>
      </c>
      <c r="M1934" s="25"/>
      <c r="N1934" s="25"/>
      <c r="O1934" s="25"/>
      <c r="P1934" s="25"/>
      <c r="Q1934" s="25"/>
      <c r="R1934" s="25"/>
      <c r="S1934" s="25"/>
      <c r="T1934" s="25"/>
      <c r="U1934" s="25"/>
      <c r="V1934" s="25"/>
      <c r="W1934" s="33"/>
      <c r="X1934" s="33"/>
      <c r="Y1934" s="33"/>
      <c r="Z1934" s="33"/>
      <c r="AA1934" s="33"/>
    </row>
    <row r="1935" spans="1:27" s="70" customFormat="1" ht="67.5" x14ac:dyDescent="0.2">
      <c r="A1935" s="24">
        <v>1931</v>
      </c>
      <c r="B1935" s="27" t="s">
        <v>605</v>
      </c>
      <c r="C1935" s="28" t="s">
        <v>604</v>
      </c>
      <c r="D1935" s="71" t="s">
        <v>683</v>
      </c>
      <c r="E1935" s="28" t="s">
        <v>682</v>
      </c>
      <c r="F1935" s="25" t="s">
        <v>681</v>
      </c>
      <c r="G1935" s="27"/>
      <c r="H1935" s="28" t="s">
        <v>711</v>
      </c>
      <c r="I1935" s="27"/>
      <c r="J1935" s="28" t="s">
        <v>717</v>
      </c>
      <c r="K1935" s="27"/>
      <c r="L1935" s="25" t="s">
        <v>722</v>
      </c>
      <c r="M1935" s="25"/>
      <c r="N1935" s="25"/>
      <c r="O1935" s="25"/>
      <c r="P1935" s="25"/>
      <c r="Q1935" s="25"/>
      <c r="R1935" s="25"/>
      <c r="S1935" s="25"/>
      <c r="T1935" s="25"/>
      <c r="U1935" s="25"/>
      <c r="V1935" s="25"/>
      <c r="W1935" s="33"/>
      <c r="X1935" s="33"/>
      <c r="Y1935" s="33"/>
      <c r="Z1935" s="33"/>
      <c r="AA1935" s="33"/>
    </row>
    <row r="1936" spans="1:27" s="70" customFormat="1" ht="67.5" x14ac:dyDescent="0.2">
      <c r="A1936" s="24">
        <v>1932</v>
      </c>
      <c r="B1936" s="27" t="s">
        <v>605</v>
      </c>
      <c r="C1936" s="28" t="s">
        <v>604</v>
      </c>
      <c r="D1936" s="71" t="s">
        <v>683</v>
      </c>
      <c r="E1936" s="28" t="s">
        <v>682</v>
      </c>
      <c r="F1936" s="25" t="s">
        <v>681</v>
      </c>
      <c r="G1936" s="27"/>
      <c r="H1936" s="28" t="s">
        <v>711</v>
      </c>
      <c r="I1936" s="27"/>
      <c r="J1936" s="28" t="s">
        <v>717</v>
      </c>
      <c r="K1936" s="27"/>
      <c r="L1936" s="25" t="s">
        <v>721</v>
      </c>
      <c r="M1936" s="25"/>
      <c r="N1936" s="25"/>
      <c r="O1936" s="25"/>
      <c r="P1936" s="25"/>
      <c r="Q1936" s="25"/>
      <c r="R1936" s="25"/>
      <c r="S1936" s="25"/>
      <c r="T1936" s="25"/>
      <c r="U1936" s="25"/>
      <c r="V1936" s="25"/>
      <c r="W1936" s="33"/>
      <c r="X1936" s="33"/>
      <c r="Y1936" s="33"/>
      <c r="Z1936" s="33"/>
      <c r="AA1936" s="33"/>
    </row>
    <row r="1937" spans="1:27" s="70" customFormat="1" ht="67.5" x14ac:dyDescent="0.2">
      <c r="A1937" s="24">
        <v>1933</v>
      </c>
      <c r="B1937" s="27" t="s">
        <v>605</v>
      </c>
      <c r="C1937" s="28" t="s">
        <v>604</v>
      </c>
      <c r="D1937" s="71" t="s">
        <v>683</v>
      </c>
      <c r="E1937" s="28" t="s">
        <v>682</v>
      </c>
      <c r="F1937" s="25" t="s">
        <v>681</v>
      </c>
      <c r="G1937" s="27"/>
      <c r="H1937" s="28" t="s">
        <v>711</v>
      </c>
      <c r="I1937" s="27"/>
      <c r="J1937" s="28" t="s">
        <v>717</v>
      </c>
      <c r="K1937" s="27"/>
      <c r="L1937" s="25" t="s">
        <v>720</v>
      </c>
      <c r="M1937" s="25"/>
      <c r="N1937" s="25"/>
      <c r="O1937" s="25"/>
      <c r="P1937" s="25"/>
      <c r="Q1937" s="25"/>
      <c r="R1937" s="25"/>
      <c r="S1937" s="25"/>
      <c r="T1937" s="25"/>
      <c r="U1937" s="25"/>
      <c r="V1937" s="25"/>
      <c r="W1937" s="33"/>
      <c r="X1937" s="33"/>
      <c r="Y1937" s="33"/>
      <c r="Z1937" s="33"/>
      <c r="AA1937" s="33"/>
    </row>
    <row r="1938" spans="1:27" s="70" customFormat="1" ht="67.5" x14ac:dyDescent="0.2">
      <c r="A1938" s="24">
        <v>1934</v>
      </c>
      <c r="B1938" s="27" t="s">
        <v>605</v>
      </c>
      <c r="C1938" s="28" t="s">
        <v>604</v>
      </c>
      <c r="D1938" s="71" t="s">
        <v>683</v>
      </c>
      <c r="E1938" s="28" t="s">
        <v>682</v>
      </c>
      <c r="F1938" s="25" t="s">
        <v>681</v>
      </c>
      <c r="G1938" s="27"/>
      <c r="H1938" s="28" t="s">
        <v>711</v>
      </c>
      <c r="I1938" s="27"/>
      <c r="J1938" s="28" t="s">
        <v>717</v>
      </c>
      <c r="K1938" s="27"/>
      <c r="L1938" s="25" t="s">
        <v>719</v>
      </c>
      <c r="M1938" s="25"/>
      <c r="N1938" s="25"/>
      <c r="O1938" s="25"/>
      <c r="P1938" s="25"/>
      <c r="Q1938" s="25"/>
      <c r="R1938" s="25"/>
      <c r="S1938" s="25"/>
      <c r="T1938" s="25"/>
      <c r="U1938" s="25"/>
      <c r="V1938" s="25"/>
      <c r="W1938" s="33"/>
      <c r="X1938" s="33"/>
      <c r="Y1938" s="33"/>
      <c r="Z1938" s="33"/>
      <c r="AA1938" s="33"/>
    </row>
    <row r="1939" spans="1:27" s="70" customFormat="1" ht="67.5" x14ac:dyDescent="0.2">
      <c r="A1939" s="24">
        <v>1935</v>
      </c>
      <c r="B1939" s="27" t="s">
        <v>605</v>
      </c>
      <c r="C1939" s="28" t="s">
        <v>604</v>
      </c>
      <c r="D1939" s="71" t="s">
        <v>683</v>
      </c>
      <c r="E1939" s="28" t="s">
        <v>682</v>
      </c>
      <c r="F1939" s="25" t="s">
        <v>681</v>
      </c>
      <c r="G1939" s="27"/>
      <c r="H1939" s="28" t="s">
        <v>711</v>
      </c>
      <c r="I1939" s="27"/>
      <c r="J1939" s="28" t="s">
        <v>717</v>
      </c>
      <c r="K1939" s="27"/>
      <c r="L1939" s="25" t="s">
        <v>718</v>
      </c>
      <c r="M1939" s="25"/>
      <c r="N1939" s="25"/>
      <c r="O1939" s="25"/>
      <c r="P1939" s="25"/>
      <c r="Q1939" s="25"/>
      <c r="R1939" s="25"/>
      <c r="S1939" s="25"/>
      <c r="T1939" s="25"/>
      <c r="U1939" s="25"/>
      <c r="V1939" s="25"/>
      <c r="W1939" s="33"/>
      <c r="X1939" s="33"/>
      <c r="Y1939" s="33"/>
      <c r="Z1939" s="33"/>
      <c r="AA1939" s="33"/>
    </row>
    <row r="1940" spans="1:27" s="70" customFormat="1" ht="67.5" x14ac:dyDescent="0.2">
      <c r="A1940" s="24">
        <v>1936</v>
      </c>
      <c r="B1940" s="27" t="s">
        <v>605</v>
      </c>
      <c r="C1940" s="28" t="s">
        <v>604</v>
      </c>
      <c r="D1940" s="71" t="s">
        <v>683</v>
      </c>
      <c r="E1940" s="28" t="s">
        <v>682</v>
      </c>
      <c r="F1940" s="25" t="s">
        <v>681</v>
      </c>
      <c r="G1940" s="27"/>
      <c r="H1940" s="28" t="s">
        <v>711</v>
      </c>
      <c r="I1940" s="27"/>
      <c r="J1940" s="28" t="s">
        <v>717</v>
      </c>
      <c r="K1940" s="27"/>
      <c r="L1940" s="25" t="s">
        <v>716</v>
      </c>
      <c r="M1940" s="25"/>
      <c r="N1940" s="25"/>
      <c r="O1940" s="25"/>
      <c r="P1940" s="25"/>
      <c r="Q1940" s="25"/>
      <c r="R1940" s="25"/>
      <c r="S1940" s="25"/>
      <c r="T1940" s="25"/>
      <c r="U1940" s="25"/>
      <c r="V1940" s="25"/>
      <c r="W1940" s="33"/>
      <c r="X1940" s="33"/>
      <c r="Y1940" s="33"/>
      <c r="Z1940" s="33"/>
      <c r="AA1940" s="33"/>
    </row>
    <row r="1941" spans="1:27" s="70" customFormat="1" ht="67.5" x14ac:dyDescent="0.2">
      <c r="A1941" s="24">
        <v>1937</v>
      </c>
      <c r="B1941" s="27" t="s">
        <v>605</v>
      </c>
      <c r="C1941" s="28" t="s">
        <v>604</v>
      </c>
      <c r="D1941" s="71" t="s">
        <v>683</v>
      </c>
      <c r="E1941" s="28" t="s">
        <v>682</v>
      </c>
      <c r="F1941" s="25" t="s">
        <v>681</v>
      </c>
      <c r="G1941" s="27"/>
      <c r="H1941" s="28" t="s">
        <v>711</v>
      </c>
      <c r="I1941" s="27"/>
      <c r="J1941" s="28" t="s">
        <v>710</v>
      </c>
      <c r="K1941" s="27"/>
      <c r="L1941" s="25" t="s">
        <v>715</v>
      </c>
      <c r="M1941" s="25"/>
      <c r="N1941" s="25"/>
      <c r="O1941" s="25"/>
      <c r="P1941" s="25"/>
      <c r="Q1941" s="25"/>
      <c r="R1941" s="25"/>
      <c r="S1941" s="25"/>
      <c r="T1941" s="25"/>
      <c r="U1941" s="25"/>
      <c r="V1941" s="25"/>
      <c r="W1941" s="33"/>
      <c r="X1941" s="33"/>
      <c r="Y1941" s="33"/>
      <c r="Z1941" s="33"/>
      <c r="AA1941" s="33"/>
    </row>
    <row r="1942" spans="1:27" s="70" customFormat="1" ht="67.5" x14ac:dyDescent="0.2">
      <c r="A1942" s="24">
        <v>1938</v>
      </c>
      <c r="B1942" s="27" t="s">
        <v>605</v>
      </c>
      <c r="C1942" s="28" t="s">
        <v>604</v>
      </c>
      <c r="D1942" s="71" t="s">
        <v>683</v>
      </c>
      <c r="E1942" s="28" t="s">
        <v>682</v>
      </c>
      <c r="F1942" s="25" t="s">
        <v>681</v>
      </c>
      <c r="G1942" s="27"/>
      <c r="H1942" s="28" t="s">
        <v>711</v>
      </c>
      <c r="I1942" s="27"/>
      <c r="J1942" s="28" t="s">
        <v>710</v>
      </c>
      <c r="K1942" s="27"/>
      <c r="L1942" s="25" t="s">
        <v>714</v>
      </c>
      <c r="M1942" s="25"/>
      <c r="N1942" s="25"/>
      <c r="O1942" s="25"/>
      <c r="P1942" s="25"/>
      <c r="Q1942" s="25"/>
      <c r="R1942" s="25"/>
      <c r="S1942" s="25"/>
      <c r="T1942" s="25"/>
      <c r="U1942" s="25"/>
      <c r="V1942" s="25"/>
      <c r="W1942" s="33"/>
      <c r="X1942" s="33"/>
      <c r="Y1942" s="33"/>
      <c r="Z1942" s="33"/>
      <c r="AA1942" s="33"/>
    </row>
    <row r="1943" spans="1:27" s="70" customFormat="1" ht="67.5" x14ac:dyDescent="0.2">
      <c r="A1943" s="24">
        <v>1939</v>
      </c>
      <c r="B1943" s="27" t="s">
        <v>605</v>
      </c>
      <c r="C1943" s="28" t="s">
        <v>604</v>
      </c>
      <c r="D1943" s="71" t="s">
        <v>683</v>
      </c>
      <c r="E1943" s="28" t="s">
        <v>682</v>
      </c>
      <c r="F1943" s="25" t="s">
        <v>681</v>
      </c>
      <c r="G1943" s="27"/>
      <c r="H1943" s="28" t="s">
        <v>711</v>
      </c>
      <c r="I1943" s="27"/>
      <c r="J1943" s="28" t="s">
        <v>710</v>
      </c>
      <c r="K1943" s="27"/>
      <c r="L1943" s="25" t="s">
        <v>713</v>
      </c>
      <c r="M1943" s="25"/>
      <c r="N1943" s="25"/>
      <c r="O1943" s="25"/>
      <c r="P1943" s="25"/>
      <c r="Q1943" s="25"/>
      <c r="R1943" s="25"/>
      <c r="S1943" s="25"/>
      <c r="T1943" s="25"/>
      <c r="U1943" s="25"/>
      <c r="V1943" s="25"/>
      <c r="W1943" s="33"/>
      <c r="X1943" s="33"/>
      <c r="Y1943" s="33"/>
      <c r="Z1943" s="33"/>
      <c r="AA1943" s="33"/>
    </row>
    <row r="1944" spans="1:27" s="70" customFormat="1" ht="67.5" x14ac:dyDescent="0.2">
      <c r="A1944" s="24">
        <v>1940</v>
      </c>
      <c r="B1944" s="27" t="s">
        <v>605</v>
      </c>
      <c r="C1944" s="28" t="s">
        <v>604</v>
      </c>
      <c r="D1944" s="71" t="s">
        <v>683</v>
      </c>
      <c r="E1944" s="28" t="s">
        <v>682</v>
      </c>
      <c r="F1944" s="25" t="s">
        <v>681</v>
      </c>
      <c r="G1944" s="27"/>
      <c r="H1944" s="28" t="s">
        <v>711</v>
      </c>
      <c r="I1944" s="27"/>
      <c r="J1944" s="28" t="s">
        <v>710</v>
      </c>
      <c r="K1944" s="27"/>
      <c r="L1944" s="25" t="s">
        <v>712</v>
      </c>
      <c r="M1944" s="25"/>
      <c r="N1944" s="25"/>
      <c r="O1944" s="25"/>
      <c r="P1944" s="25"/>
      <c r="Q1944" s="25"/>
      <c r="R1944" s="25"/>
      <c r="S1944" s="25"/>
      <c r="T1944" s="25"/>
      <c r="U1944" s="25"/>
      <c r="V1944" s="25"/>
      <c r="W1944" s="33"/>
      <c r="X1944" s="33"/>
      <c r="Y1944" s="33"/>
      <c r="Z1944" s="33"/>
      <c r="AA1944" s="33"/>
    </row>
    <row r="1945" spans="1:27" s="70" customFormat="1" ht="67.5" x14ac:dyDescent="0.2">
      <c r="A1945" s="24">
        <v>1941</v>
      </c>
      <c r="B1945" s="27" t="s">
        <v>605</v>
      </c>
      <c r="C1945" s="28" t="s">
        <v>604</v>
      </c>
      <c r="D1945" s="71" t="s">
        <v>683</v>
      </c>
      <c r="E1945" s="28" t="s">
        <v>682</v>
      </c>
      <c r="F1945" s="25" t="s">
        <v>681</v>
      </c>
      <c r="G1945" s="27"/>
      <c r="H1945" s="28" t="s">
        <v>711</v>
      </c>
      <c r="I1945" s="27"/>
      <c r="J1945" s="28" t="s">
        <v>710</v>
      </c>
      <c r="K1945" s="27"/>
      <c r="L1945" s="25" t="s">
        <v>709</v>
      </c>
      <c r="M1945" s="25"/>
      <c r="N1945" s="25"/>
      <c r="O1945" s="25"/>
      <c r="P1945" s="25"/>
      <c r="Q1945" s="25"/>
      <c r="R1945" s="25"/>
      <c r="S1945" s="25"/>
      <c r="T1945" s="25"/>
      <c r="U1945" s="25"/>
      <c r="V1945" s="25"/>
      <c r="W1945" s="33"/>
      <c r="X1945" s="33"/>
      <c r="Y1945" s="33"/>
      <c r="Z1945" s="33"/>
      <c r="AA1945" s="33"/>
    </row>
    <row r="1946" spans="1:27" s="70" customFormat="1" ht="67.5" x14ac:dyDescent="0.2">
      <c r="A1946" s="24">
        <v>1942</v>
      </c>
      <c r="B1946" s="27" t="s">
        <v>605</v>
      </c>
      <c r="C1946" s="28" t="s">
        <v>604</v>
      </c>
      <c r="D1946" s="71" t="s">
        <v>683</v>
      </c>
      <c r="E1946" s="28" t="s">
        <v>682</v>
      </c>
      <c r="F1946" s="25" t="s">
        <v>681</v>
      </c>
      <c r="G1946" s="27"/>
      <c r="H1946" s="28" t="s">
        <v>680</v>
      </c>
      <c r="I1946" s="27"/>
      <c r="J1946" s="28" t="s">
        <v>680</v>
      </c>
      <c r="K1946" s="27"/>
      <c r="L1946" s="25" t="s">
        <v>708</v>
      </c>
      <c r="M1946" s="25"/>
      <c r="N1946" s="25"/>
      <c r="O1946" s="25"/>
      <c r="P1946" s="25"/>
      <c r="Q1946" s="25"/>
      <c r="R1946" s="25"/>
      <c r="S1946" s="25"/>
      <c r="T1946" s="25"/>
      <c r="U1946" s="25"/>
      <c r="V1946" s="25"/>
      <c r="W1946" s="33"/>
      <c r="X1946" s="33"/>
      <c r="Y1946" s="33"/>
      <c r="Z1946" s="33"/>
      <c r="AA1946" s="33"/>
    </row>
    <row r="1947" spans="1:27" s="70" customFormat="1" ht="67.5" x14ac:dyDescent="0.2">
      <c r="A1947" s="24">
        <v>1943</v>
      </c>
      <c r="B1947" s="27" t="s">
        <v>605</v>
      </c>
      <c r="C1947" s="28" t="s">
        <v>604</v>
      </c>
      <c r="D1947" s="71" t="s">
        <v>683</v>
      </c>
      <c r="E1947" s="28" t="s">
        <v>682</v>
      </c>
      <c r="F1947" s="25" t="s">
        <v>681</v>
      </c>
      <c r="G1947" s="27"/>
      <c r="H1947" s="28" t="s">
        <v>680</v>
      </c>
      <c r="I1947" s="27"/>
      <c r="J1947" s="28" t="s">
        <v>680</v>
      </c>
      <c r="K1947" s="27"/>
      <c r="L1947" s="25" t="s">
        <v>707</v>
      </c>
      <c r="M1947" s="25"/>
      <c r="N1947" s="25"/>
      <c r="O1947" s="25"/>
      <c r="P1947" s="25"/>
      <c r="Q1947" s="25"/>
      <c r="R1947" s="25"/>
      <c r="S1947" s="25"/>
      <c r="T1947" s="25"/>
      <c r="U1947" s="25"/>
      <c r="V1947" s="25"/>
      <c r="W1947" s="33"/>
      <c r="X1947" s="33"/>
      <c r="Y1947" s="33"/>
      <c r="Z1947" s="33"/>
      <c r="AA1947" s="33"/>
    </row>
    <row r="1948" spans="1:27" s="70" customFormat="1" ht="67.5" x14ac:dyDescent="0.2">
      <c r="A1948" s="24">
        <v>1944</v>
      </c>
      <c r="B1948" s="27" t="s">
        <v>605</v>
      </c>
      <c r="C1948" s="28" t="s">
        <v>604</v>
      </c>
      <c r="D1948" s="71" t="s">
        <v>683</v>
      </c>
      <c r="E1948" s="28" t="s">
        <v>682</v>
      </c>
      <c r="F1948" s="25" t="s">
        <v>681</v>
      </c>
      <c r="G1948" s="27"/>
      <c r="H1948" s="28" t="s">
        <v>680</v>
      </c>
      <c r="I1948" s="27"/>
      <c r="J1948" s="28" t="s">
        <v>680</v>
      </c>
      <c r="K1948" s="27"/>
      <c r="L1948" s="25" t="s">
        <v>706</v>
      </c>
      <c r="M1948" s="25"/>
      <c r="N1948" s="25"/>
      <c r="O1948" s="25"/>
      <c r="P1948" s="25"/>
      <c r="Q1948" s="25"/>
      <c r="R1948" s="25"/>
      <c r="S1948" s="25"/>
      <c r="T1948" s="25"/>
      <c r="U1948" s="25"/>
      <c r="V1948" s="25"/>
      <c r="W1948" s="33"/>
      <c r="X1948" s="33"/>
      <c r="Y1948" s="33"/>
      <c r="Z1948" s="33"/>
      <c r="AA1948" s="33"/>
    </row>
    <row r="1949" spans="1:27" s="70" customFormat="1" ht="67.5" x14ac:dyDescent="0.2">
      <c r="A1949" s="24">
        <v>1945</v>
      </c>
      <c r="B1949" s="27" t="s">
        <v>605</v>
      </c>
      <c r="C1949" s="28" t="s">
        <v>604</v>
      </c>
      <c r="D1949" s="71" t="s">
        <v>683</v>
      </c>
      <c r="E1949" s="28" t="s">
        <v>682</v>
      </c>
      <c r="F1949" s="25" t="s">
        <v>681</v>
      </c>
      <c r="G1949" s="27"/>
      <c r="H1949" s="28" t="s">
        <v>680</v>
      </c>
      <c r="I1949" s="27"/>
      <c r="J1949" s="28" t="s">
        <v>680</v>
      </c>
      <c r="K1949" s="27"/>
      <c r="L1949" s="25" t="s">
        <v>705</v>
      </c>
      <c r="M1949" s="25"/>
      <c r="N1949" s="25"/>
      <c r="O1949" s="25"/>
      <c r="P1949" s="25"/>
      <c r="Q1949" s="25"/>
      <c r="R1949" s="25"/>
      <c r="S1949" s="25"/>
      <c r="T1949" s="25"/>
      <c r="U1949" s="25"/>
      <c r="V1949" s="25"/>
      <c r="W1949" s="33"/>
      <c r="X1949" s="33"/>
      <c r="Y1949" s="33"/>
      <c r="Z1949" s="33"/>
      <c r="AA1949" s="33"/>
    </row>
    <row r="1950" spans="1:27" s="70" customFormat="1" ht="67.5" x14ac:dyDescent="0.2">
      <c r="A1950" s="24">
        <v>1946</v>
      </c>
      <c r="B1950" s="27" t="s">
        <v>605</v>
      </c>
      <c r="C1950" s="28" t="s">
        <v>604</v>
      </c>
      <c r="D1950" s="71" t="s">
        <v>683</v>
      </c>
      <c r="E1950" s="28" t="s">
        <v>682</v>
      </c>
      <c r="F1950" s="25" t="s">
        <v>681</v>
      </c>
      <c r="G1950" s="27"/>
      <c r="H1950" s="28" t="s">
        <v>680</v>
      </c>
      <c r="I1950" s="27"/>
      <c r="J1950" s="28" t="s">
        <v>680</v>
      </c>
      <c r="K1950" s="27"/>
      <c r="L1950" s="25" t="s">
        <v>704</v>
      </c>
      <c r="M1950" s="25"/>
      <c r="N1950" s="25"/>
      <c r="O1950" s="25"/>
      <c r="P1950" s="25"/>
      <c r="Q1950" s="25"/>
      <c r="R1950" s="25"/>
      <c r="S1950" s="25"/>
      <c r="T1950" s="25"/>
      <c r="U1950" s="25"/>
      <c r="V1950" s="25"/>
      <c r="W1950" s="33"/>
      <c r="X1950" s="33"/>
      <c r="Y1950" s="33"/>
      <c r="Z1950" s="33"/>
      <c r="AA1950" s="33"/>
    </row>
    <row r="1951" spans="1:27" s="70" customFormat="1" ht="67.5" x14ac:dyDescent="0.2">
      <c r="A1951" s="24">
        <v>1947</v>
      </c>
      <c r="B1951" s="27" t="s">
        <v>605</v>
      </c>
      <c r="C1951" s="28" t="s">
        <v>604</v>
      </c>
      <c r="D1951" s="71" t="s">
        <v>683</v>
      </c>
      <c r="E1951" s="28" t="s">
        <v>682</v>
      </c>
      <c r="F1951" s="25" t="s">
        <v>681</v>
      </c>
      <c r="G1951" s="27"/>
      <c r="H1951" s="28" t="s">
        <v>680</v>
      </c>
      <c r="I1951" s="27"/>
      <c r="J1951" s="28" t="s">
        <v>680</v>
      </c>
      <c r="K1951" s="27"/>
      <c r="L1951" s="25" t="s">
        <v>703</v>
      </c>
      <c r="M1951" s="25"/>
      <c r="N1951" s="25"/>
      <c r="O1951" s="25"/>
      <c r="P1951" s="25"/>
      <c r="Q1951" s="25"/>
      <c r="R1951" s="25"/>
      <c r="S1951" s="25"/>
      <c r="T1951" s="25"/>
      <c r="U1951" s="25"/>
      <c r="V1951" s="25"/>
      <c r="W1951" s="33"/>
      <c r="X1951" s="33"/>
      <c r="Y1951" s="33"/>
      <c r="Z1951" s="33"/>
      <c r="AA1951" s="33"/>
    </row>
    <row r="1952" spans="1:27" s="70" customFormat="1" ht="67.5" x14ac:dyDescent="0.2">
      <c r="A1952" s="24">
        <v>1948</v>
      </c>
      <c r="B1952" s="27" t="s">
        <v>605</v>
      </c>
      <c r="C1952" s="28" t="s">
        <v>604</v>
      </c>
      <c r="D1952" s="71" t="s">
        <v>683</v>
      </c>
      <c r="E1952" s="28" t="s">
        <v>682</v>
      </c>
      <c r="F1952" s="25" t="s">
        <v>681</v>
      </c>
      <c r="G1952" s="27"/>
      <c r="H1952" s="28" t="s">
        <v>680</v>
      </c>
      <c r="I1952" s="27"/>
      <c r="J1952" s="28" t="s">
        <v>680</v>
      </c>
      <c r="K1952" s="27"/>
      <c r="L1952" s="25" t="s">
        <v>702</v>
      </c>
      <c r="M1952" s="25"/>
      <c r="N1952" s="25"/>
      <c r="O1952" s="25"/>
      <c r="P1952" s="25"/>
      <c r="Q1952" s="25"/>
      <c r="R1952" s="25"/>
      <c r="S1952" s="25"/>
      <c r="T1952" s="25"/>
      <c r="U1952" s="25"/>
      <c r="V1952" s="25"/>
      <c r="W1952" s="33"/>
      <c r="X1952" s="33"/>
      <c r="Y1952" s="33"/>
      <c r="Z1952" s="33"/>
      <c r="AA1952" s="33"/>
    </row>
    <row r="1953" spans="1:27" s="70" customFormat="1" ht="67.5" x14ac:dyDescent="0.2">
      <c r="A1953" s="24">
        <v>1949</v>
      </c>
      <c r="B1953" s="27" t="s">
        <v>605</v>
      </c>
      <c r="C1953" s="28" t="s">
        <v>604</v>
      </c>
      <c r="D1953" s="71" t="s">
        <v>683</v>
      </c>
      <c r="E1953" s="28" t="s">
        <v>682</v>
      </c>
      <c r="F1953" s="25" t="s">
        <v>681</v>
      </c>
      <c r="G1953" s="27"/>
      <c r="H1953" s="28" t="s">
        <v>680</v>
      </c>
      <c r="I1953" s="27"/>
      <c r="J1953" s="28" t="s">
        <v>680</v>
      </c>
      <c r="K1953" s="27"/>
      <c r="L1953" s="25" t="s">
        <v>701</v>
      </c>
      <c r="M1953" s="25"/>
      <c r="N1953" s="25"/>
      <c r="O1953" s="25"/>
      <c r="P1953" s="25"/>
      <c r="Q1953" s="25"/>
      <c r="R1953" s="25"/>
      <c r="S1953" s="25"/>
      <c r="T1953" s="25"/>
      <c r="U1953" s="25"/>
      <c r="V1953" s="25"/>
      <c r="W1953" s="33"/>
      <c r="X1953" s="33"/>
      <c r="Y1953" s="33"/>
      <c r="Z1953" s="33"/>
      <c r="AA1953" s="33"/>
    </row>
    <row r="1954" spans="1:27" s="70" customFormat="1" ht="67.5" x14ac:dyDescent="0.2">
      <c r="A1954" s="24">
        <v>1950</v>
      </c>
      <c r="B1954" s="27" t="s">
        <v>605</v>
      </c>
      <c r="C1954" s="28" t="s">
        <v>604</v>
      </c>
      <c r="D1954" s="71" t="s">
        <v>683</v>
      </c>
      <c r="E1954" s="28" t="s">
        <v>682</v>
      </c>
      <c r="F1954" s="25" t="s">
        <v>681</v>
      </c>
      <c r="G1954" s="27"/>
      <c r="H1954" s="28" t="s">
        <v>680</v>
      </c>
      <c r="I1954" s="27"/>
      <c r="J1954" s="28" t="s">
        <v>680</v>
      </c>
      <c r="K1954" s="27"/>
      <c r="L1954" s="25" t="s">
        <v>700</v>
      </c>
      <c r="M1954" s="25"/>
      <c r="N1954" s="25"/>
      <c r="O1954" s="25"/>
      <c r="P1954" s="25"/>
      <c r="Q1954" s="25"/>
      <c r="R1954" s="25"/>
      <c r="S1954" s="25"/>
      <c r="T1954" s="25"/>
      <c r="U1954" s="25"/>
      <c r="V1954" s="25"/>
      <c r="W1954" s="33"/>
      <c r="X1954" s="33"/>
      <c r="Y1954" s="33"/>
      <c r="Z1954" s="33"/>
      <c r="AA1954" s="33"/>
    </row>
    <row r="1955" spans="1:27" s="70" customFormat="1" ht="67.5" x14ac:dyDescent="0.2">
      <c r="A1955" s="24">
        <v>1951</v>
      </c>
      <c r="B1955" s="27" t="s">
        <v>605</v>
      </c>
      <c r="C1955" s="28" t="s">
        <v>604</v>
      </c>
      <c r="D1955" s="71" t="s">
        <v>683</v>
      </c>
      <c r="E1955" s="28" t="s">
        <v>682</v>
      </c>
      <c r="F1955" s="25" t="s">
        <v>681</v>
      </c>
      <c r="G1955" s="27"/>
      <c r="H1955" s="28" t="s">
        <v>680</v>
      </c>
      <c r="I1955" s="27"/>
      <c r="J1955" s="28" t="s">
        <v>680</v>
      </c>
      <c r="K1955" s="27"/>
      <c r="L1955" s="25" t="s">
        <v>699</v>
      </c>
      <c r="M1955" s="25"/>
      <c r="N1955" s="25"/>
      <c r="O1955" s="25"/>
      <c r="P1955" s="25"/>
      <c r="Q1955" s="25"/>
      <c r="R1955" s="25"/>
      <c r="S1955" s="25"/>
      <c r="T1955" s="25"/>
      <c r="U1955" s="25"/>
      <c r="V1955" s="25"/>
      <c r="W1955" s="33"/>
      <c r="X1955" s="33"/>
      <c r="Y1955" s="33"/>
      <c r="Z1955" s="33"/>
      <c r="AA1955" s="33"/>
    </row>
    <row r="1956" spans="1:27" s="70" customFormat="1" ht="67.5" x14ac:dyDescent="0.2">
      <c r="A1956" s="24">
        <v>1952</v>
      </c>
      <c r="B1956" s="27" t="s">
        <v>605</v>
      </c>
      <c r="C1956" s="28" t="s">
        <v>604</v>
      </c>
      <c r="D1956" s="71" t="s">
        <v>683</v>
      </c>
      <c r="E1956" s="28" t="s">
        <v>682</v>
      </c>
      <c r="F1956" s="25" t="s">
        <v>681</v>
      </c>
      <c r="G1956" s="27"/>
      <c r="H1956" s="28" t="s">
        <v>680</v>
      </c>
      <c r="I1956" s="27"/>
      <c r="J1956" s="28" t="s">
        <v>680</v>
      </c>
      <c r="K1956" s="27"/>
      <c r="L1956" s="25" t="s">
        <v>698</v>
      </c>
      <c r="M1956" s="25"/>
      <c r="N1956" s="25"/>
      <c r="O1956" s="25"/>
      <c r="P1956" s="25"/>
      <c r="Q1956" s="25"/>
      <c r="R1956" s="25"/>
      <c r="S1956" s="25"/>
      <c r="T1956" s="25"/>
      <c r="U1956" s="25"/>
      <c r="V1956" s="25"/>
      <c r="W1956" s="33"/>
      <c r="X1956" s="33"/>
      <c r="Y1956" s="33"/>
      <c r="Z1956" s="33"/>
      <c r="AA1956" s="33"/>
    </row>
    <row r="1957" spans="1:27" s="70" customFormat="1" ht="67.5" x14ac:dyDescent="0.2">
      <c r="A1957" s="24">
        <v>1953</v>
      </c>
      <c r="B1957" s="27" t="s">
        <v>605</v>
      </c>
      <c r="C1957" s="28" t="s">
        <v>604</v>
      </c>
      <c r="D1957" s="71" t="s">
        <v>683</v>
      </c>
      <c r="E1957" s="28" t="s">
        <v>682</v>
      </c>
      <c r="F1957" s="25" t="s">
        <v>681</v>
      </c>
      <c r="G1957" s="27"/>
      <c r="H1957" s="28" t="s">
        <v>680</v>
      </c>
      <c r="I1957" s="27"/>
      <c r="J1957" s="28" t="s">
        <v>680</v>
      </c>
      <c r="K1957" s="27"/>
      <c r="L1957" s="25" t="s">
        <v>697</v>
      </c>
      <c r="M1957" s="25"/>
      <c r="N1957" s="25"/>
      <c r="O1957" s="25"/>
      <c r="P1957" s="25"/>
      <c r="Q1957" s="25"/>
      <c r="R1957" s="25"/>
      <c r="S1957" s="25"/>
      <c r="T1957" s="25"/>
      <c r="U1957" s="25"/>
      <c r="V1957" s="25"/>
      <c r="W1957" s="33"/>
      <c r="X1957" s="33"/>
      <c r="Y1957" s="33"/>
      <c r="Z1957" s="33"/>
      <c r="AA1957" s="33"/>
    </row>
    <row r="1958" spans="1:27" s="70" customFormat="1" ht="67.5" x14ac:dyDescent="0.2">
      <c r="A1958" s="24">
        <v>1954</v>
      </c>
      <c r="B1958" s="27" t="s">
        <v>605</v>
      </c>
      <c r="C1958" s="28" t="s">
        <v>604</v>
      </c>
      <c r="D1958" s="71" t="s">
        <v>683</v>
      </c>
      <c r="E1958" s="28" t="s">
        <v>682</v>
      </c>
      <c r="F1958" s="25" t="s">
        <v>681</v>
      </c>
      <c r="G1958" s="27"/>
      <c r="H1958" s="28" t="s">
        <v>680</v>
      </c>
      <c r="I1958" s="27"/>
      <c r="J1958" s="28" t="s">
        <v>680</v>
      </c>
      <c r="K1958" s="27"/>
      <c r="L1958" s="25" t="s">
        <v>696</v>
      </c>
      <c r="M1958" s="25"/>
      <c r="N1958" s="25"/>
      <c r="O1958" s="25"/>
      <c r="P1958" s="25"/>
      <c r="Q1958" s="25"/>
      <c r="R1958" s="25"/>
      <c r="S1958" s="25"/>
      <c r="T1958" s="25"/>
      <c r="U1958" s="25"/>
      <c r="V1958" s="25"/>
      <c r="W1958" s="33"/>
      <c r="X1958" s="33"/>
      <c r="Y1958" s="33"/>
      <c r="Z1958" s="33"/>
      <c r="AA1958" s="33"/>
    </row>
    <row r="1959" spans="1:27" s="70" customFormat="1" ht="67.5" x14ac:dyDescent="0.2">
      <c r="A1959" s="24">
        <v>1955</v>
      </c>
      <c r="B1959" s="27" t="s">
        <v>605</v>
      </c>
      <c r="C1959" s="28" t="s">
        <v>604</v>
      </c>
      <c r="D1959" s="71" t="s">
        <v>683</v>
      </c>
      <c r="E1959" s="28" t="s">
        <v>682</v>
      </c>
      <c r="F1959" s="25" t="s">
        <v>681</v>
      </c>
      <c r="G1959" s="27"/>
      <c r="H1959" s="28" t="s">
        <v>680</v>
      </c>
      <c r="I1959" s="27"/>
      <c r="J1959" s="28" t="s">
        <v>680</v>
      </c>
      <c r="K1959" s="27"/>
      <c r="L1959" s="25" t="s">
        <v>695</v>
      </c>
      <c r="M1959" s="25"/>
      <c r="N1959" s="25"/>
      <c r="O1959" s="25"/>
      <c r="P1959" s="25"/>
      <c r="Q1959" s="25"/>
      <c r="R1959" s="25"/>
      <c r="S1959" s="25"/>
      <c r="T1959" s="25"/>
      <c r="U1959" s="25"/>
      <c r="V1959" s="25"/>
      <c r="W1959" s="33"/>
      <c r="X1959" s="33"/>
      <c r="Y1959" s="33"/>
      <c r="Z1959" s="33"/>
      <c r="AA1959" s="33"/>
    </row>
    <row r="1960" spans="1:27" s="70" customFormat="1" ht="67.5" x14ac:dyDescent="0.2">
      <c r="A1960" s="24">
        <v>1956</v>
      </c>
      <c r="B1960" s="27" t="s">
        <v>605</v>
      </c>
      <c r="C1960" s="28" t="s">
        <v>604</v>
      </c>
      <c r="D1960" s="71" t="s">
        <v>683</v>
      </c>
      <c r="E1960" s="28" t="s">
        <v>682</v>
      </c>
      <c r="F1960" s="25" t="s">
        <v>681</v>
      </c>
      <c r="G1960" s="27"/>
      <c r="H1960" s="28" t="s">
        <v>680</v>
      </c>
      <c r="I1960" s="27"/>
      <c r="J1960" s="28" t="s">
        <v>680</v>
      </c>
      <c r="K1960" s="27"/>
      <c r="L1960" s="25" t="s">
        <v>694</v>
      </c>
      <c r="M1960" s="25"/>
      <c r="N1960" s="25"/>
      <c r="O1960" s="25"/>
      <c r="P1960" s="25"/>
      <c r="Q1960" s="25"/>
      <c r="R1960" s="25"/>
      <c r="S1960" s="25"/>
      <c r="T1960" s="25"/>
      <c r="U1960" s="25"/>
      <c r="V1960" s="25"/>
      <c r="W1960" s="33"/>
      <c r="X1960" s="33"/>
      <c r="Y1960" s="33"/>
      <c r="Z1960" s="33"/>
      <c r="AA1960" s="33"/>
    </row>
    <row r="1961" spans="1:27" s="70" customFormat="1" ht="67.5" x14ac:dyDescent="0.2">
      <c r="A1961" s="24">
        <v>1957</v>
      </c>
      <c r="B1961" s="27" t="s">
        <v>605</v>
      </c>
      <c r="C1961" s="28" t="s">
        <v>604</v>
      </c>
      <c r="D1961" s="71" t="s">
        <v>683</v>
      </c>
      <c r="E1961" s="28" t="s">
        <v>682</v>
      </c>
      <c r="F1961" s="25" t="s">
        <v>681</v>
      </c>
      <c r="G1961" s="27"/>
      <c r="H1961" s="28" t="s">
        <v>680</v>
      </c>
      <c r="I1961" s="27"/>
      <c r="J1961" s="28" t="s">
        <v>680</v>
      </c>
      <c r="K1961" s="27"/>
      <c r="L1961" s="25" t="s">
        <v>693</v>
      </c>
      <c r="M1961" s="25"/>
      <c r="N1961" s="25"/>
      <c r="O1961" s="25"/>
      <c r="P1961" s="25"/>
      <c r="Q1961" s="25"/>
      <c r="R1961" s="25"/>
      <c r="S1961" s="25"/>
      <c r="T1961" s="25"/>
      <c r="U1961" s="25"/>
      <c r="V1961" s="25"/>
      <c r="W1961" s="33"/>
      <c r="X1961" s="33"/>
      <c r="Y1961" s="33"/>
      <c r="Z1961" s="33"/>
      <c r="AA1961" s="33"/>
    </row>
    <row r="1962" spans="1:27" s="70" customFormat="1" ht="67.5" x14ac:dyDescent="0.2">
      <c r="A1962" s="24">
        <v>1958</v>
      </c>
      <c r="B1962" s="27" t="s">
        <v>605</v>
      </c>
      <c r="C1962" s="28" t="s">
        <v>604</v>
      </c>
      <c r="D1962" s="71" t="s">
        <v>683</v>
      </c>
      <c r="E1962" s="28" t="s">
        <v>682</v>
      </c>
      <c r="F1962" s="25" t="s">
        <v>681</v>
      </c>
      <c r="G1962" s="27"/>
      <c r="H1962" s="28" t="s">
        <v>680</v>
      </c>
      <c r="I1962" s="27"/>
      <c r="J1962" s="28" t="s">
        <v>680</v>
      </c>
      <c r="K1962" s="27"/>
      <c r="L1962" s="25" t="s">
        <v>692</v>
      </c>
      <c r="M1962" s="25"/>
      <c r="N1962" s="25"/>
      <c r="O1962" s="25"/>
      <c r="P1962" s="25"/>
      <c r="Q1962" s="25"/>
      <c r="R1962" s="25"/>
      <c r="S1962" s="25"/>
      <c r="T1962" s="25"/>
      <c r="U1962" s="25"/>
      <c r="V1962" s="25"/>
      <c r="W1962" s="33"/>
      <c r="X1962" s="33"/>
      <c r="Y1962" s="33"/>
      <c r="Z1962" s="33"/>
      <c r="AA1962" s="33"/>
    </row>
    <row r="1963" spans="1:27" s="70" customFormat="1" ht="67.5" x14ac:dyDescent="0.2">
      <c r="A1963" s="24">
        <v>1959</v>
      </c>
      <c r="B1963" s="27" t="s">
        <v>605</v>
      </c>
      <c r="C1963" s="28" t="s">
        <v>604</v>
      </c>
      <c r="D1963" s="71" t="s">
        <v>683</v>
      </c>
      <c r="E1963" s="28" t="s">
        <v>682</v>
      </c>
      <c r="F1963" s="25" t="s">
        <v>681</v>
      </c>
      <c r="G1963" s="27"/>
      <c r="H1963" s="28" t="s">
        <v>680</v>
      </c>
      <c r="I1963" s="27"/>
      <c r="J1963" s="28" t="s">
        <v>680</v>
      </c>
      <c r="K1963" s="27"/>
      <c r="L1963" s="25" t="s">
        <v>691</v>
      </c>
      <c r="M1963" s="25"/>
      <c r="N1963" s="25"/>
      <c r="O1963" s="25"/>
      <c r="P1963" s="25"/>
      <c r="Q1963" s="25"/>
      <c r="R1963" s="25"/>
      <c r="S1963" s="25"/>
      <c r="T1963" s="25"/>
      <c r="U1963" s="25"/>
      <c r="V1963" s="25"/>
      <c r="W1963" s="33"/>
      <c r="X1963" s="33"/>
      <c r="Y1963" s="33"/>
      <c r="Z1963" s="33"/>
      <c r="AA1963" s="33"/>
    </row>
    <row r="1964" spans="1:27" s="70" customFormat="1" ht="67.5" x14ac:dyDescent="0.2">
      <c r="A1964" s="24">
        <v>1960</v>
      </c>
      <c r="B1964" s="27" t="s">
        <v>605</v>
      </c>
      <c r="C1964" s="28" t="s">
        <v>604</v>
      </c>
      <c r="D1964" s="71" t="s">
        <v>683</v>
      </c>
      <c r="E1964" s="28" t="s">
        <v>682</v>
      </c>
      <c r="F1964" s="25" t="s">
        <v>681</v>
      </c>
      <c r="G1964" s="27"/>
      <c r="H1964" s="28" t="s">
        <v>680</v>
      </c>
      <c r="I1964" s="27"/>
      <c r="J1964" s="28" t="s">
        <v>680</v>
      </c>
      <c r="K1964" s="27"/>
      <c r="L1964" s="25" t="s">
        <v>690</v>
      </c>
      <c r="M1964" s="25"/>
      <c r="N1964" s="25"/>
      <c r="O1964" s="25"/>
      <c r="P1964" s="25"/>
      <c r="Q1964" s="25"/>
      <c r="R1964" s="25"/>
      <c r="S1964" s="25"/>
      <c r="T1964" s="25"/>
      <c r="U1964" s="25"/>
      <c r="V1964" s="25"/>
      <c r="W1964" s="33"/>
      <c r="X1964" s="33"/>
      <c r="Y1964" s="33"/>
      <c r="Z1964" s="33"/>
      <c r="AA1964" s="33"/>
    </row>
    <row r="1965" spans="1:27" s="70" customFormat="1" ht="67.5" x14ac:dyDescent="0.2">
      <c r="A1965" s="24">
        <v>1961</v>
      </c>
      <c r="B1965" s="27" t="s">
        <v>605</v>
      </c>
      <c r="C1965" s="28" t="s">
        <v>604</v>
      </c>
      <c r="D1965" s="71" t="s">
        <v>683</v>
      </c>
      <c r="E1965" s="28" t="s">
        <v>682</v>
      </c>
      <c r="F1965" s="25" t="s">
        <v>681</v>
      </c>
      <c r="G1965" s="27"/>
      <c r="H1965" s="28" t="s">
        <v>680</v>
      </c>
      <c r="I1965" s="27"/>
      <c r="J1965" s="28" t="s">
        <v>680</v>
      </c>
      <c r="K1965" s="27"/>
      <c r="L1965" s="25" t="s">
        <v>689</v>
      </c>
      <c r="M1965" s="25"/>
      <c r="N1965" s="25"/>
      <c r="O1965" s="25"/>
      <c r="P1965" s="25"/>
      <c r="Q1965" s="25"/>
      <c r="R1965" s="25"/>
      <c r="S1965" s="25"/>
      <c r="T1965" s="25"/>
      <c r="U1965" s="25"/>
      <c r="V1965" s="25"/>
      <c r="W1965" s="33"/>
      <c r="X1965" s="33"/>
      <c r="Y1965" s="33"/>
      <c r="Z1965" s="33"/>
      <c r="AA1965" s="33"/>
    </row>
    <row r="1966" spans="1:27" s="70" customFormat="1" ht="67.5" x14ac:dyDescent="0.2">
      <c r="A1966" s="24">
        <v>1962</v>
      </c>
      <c r="B1966" s="27" t="s">
        <v>605</v>
      </c>
      <c r="C1966" s="28" t="s">
        <v>604</v>
      </c>
      <c r="D1966" s="71" t="s">
        <v>683</v>
      </c>
      <c r="E1966" s="28" t="s">
        <v>682</v>
      </c>
      <c r="F1966" s="25" t="s">
        <v>681</v>
      </c>
      <c r="G1966" s="27"/>
      <c r="H1966" s="28" t="s">
        <v>680</v>
      </c>
      <c r="I1966" s="27"/>
      <c r="J1966" s="28" t="s">
        <v>680</v>
      </c>
      <c r="K1966" s="27"/>
      <c r="L1966" s="25" t="s">
        <v>688</v>
      </c>
      <c r="M1966" s="25"/>
      <c r="N1966" s="25"/>
      <c r="O1966" s="25"/>
      <c r="P1966" s="25"/>
      <c r="Q1966" s="25"/>
      <c r="R1966" s="25"/>
      <c r="S1966" s="25"/>
      <c r="T1966" s="25"/>
      <c r="U1966" s="25"/>
      <c r="V1966" s="25"/>
      <c r="W1966" s="33"/>
      <c r="X1966" s="33"/>
      <c r="Y1966" s="33"/>
      <c r="Z1966" s="33"/>
      <c r="AA1966" s="33"/>
    </row>
    <row r="1967" spans="1:27" s="70" customFormat="1" ht="67.5" x14ac:dyDescent="0.2">
      <c r="A1967" s="24">
        <v>1963</v>
      </c>
      <c r="B1967" s="27" t="s">
        <v>605</v>
      </c>
      <c r="C1967" s="28" t="s">
        <v>604</v>
      </c>
      <c r="D1967" s="71" t="s">
        <v>683</v>
      </c>
      <c r="E1967" s="28" t="s">
        <v>682</v>
      </c>
      <c r="F1967" s="25" t="s">
        <v>681</v>
      </c>
      <c r="G1967" s="27"/>
      <c r="H1967" s="28" t="s">
        <v>680</v>
      </c>
      <c r="I1967" s="27"/>
      <c r="J1967" s="28" t="s">
        <v>680</v>
      </c>
      <c r="K1967" s="27"/>
      <c r="L1967" s="25" t="s">
        <v>687</v>
      </c>
      <c r="M1967" s="25"/>
      <c r="N1967" s="25"/>
      <c r="O1967" s="25"/>
      <c r="P1967" s="25"/>
      <c r="Q1967" s="25"/>
      <c r="R1967" s="25"/>
      <c r="S1967" s="25"/>
      <c r="T1967" s="25"/>
      <c r="U1967" s="25"/>
      <c r="V1967" s="25"/>
      <c r="W1967" s="33"/>
      <c r="X1967" s="33"/>
      <c r="Y1967" s="33"/>
      <c r="Z1967" s="33"/>
      <c r="AA1967" s="33"/>
    </row>
    <row r="1968" spans="1:27" s="70" customFormat="1" ht="67.5" x14ac:dyDescent="0.2">
      <c r="A1968" s="24">
        <v>1964</v>
      </c>
      <c r="B1968" s="27" t="s">
        <v>605</v>
      </c>
      <c r="C1968" s="28" t="s">
        <v>604</v>
      </c>
      <c r="D1968" s="71" t="s">
        <v>683</v>
      </c>
      <c r="E1968" s="28" t="s">
        <v>682</v>
      </c>
      <c r="F1968" s="25" t="s">
        <v>681</v>
      </c>
      <c r="G1968" s="27"/>
      <c r="H1968" s="28" t="s">
        <v>680</v>
      </c>
      <c r="I1968" s="27"/>
      <c r="J1968" s="28" t="s">
        <v>680</v>
      </c>
      <c r="K1968" s="27"/>
      <c r="L1968" s="25" t="s">
        <v>686</v>
      </c>
      <c r="M1968" s="25"/>
      <c r="N1968" s="25"/>
      <c r="O1968" s="25"/>
      <c r="P1968" s="25"/>
      <c r="Q1968" s="25"/>
      <c r="R1968" s="25"/>
      <c r="S1968" s="25"/>
      <c r="T1968" s="25"/>
      <c r="U1968" s="25"/>
      <c r="V1968" s="25"/>
      <c r="W1968" s="33"/>
      <c r="X1968" s="33"/>
      <c r="Y1968" s="33"/>
      <c r="Z1968" s="33"/>
      <c r="AA1968" s="33"/>
    </row>
    <row r="1969" spans="1:27" s="70" customFormat="1" ht="67.5" x14ac:dyDescent="0.2">
      <c r="A1969" s="24">
        <v>1965</v>
      </c>
      <c r="B1969" s="27" t="s">
        <v>605</v>
      </c>
      <c r="C1969" s="28" t="s">
        <v>604</v>
      </c>
      <c r="D1969" s="71" t="s">
        <v>683</v>
      </c>
      <c r="E1969" s="28" t="s">
        <v>682</v>
      </c>
      <c r="F1969" s="25" t="s">
        <v>681</v>
      </c>
      <c r="G1969" s="27"/>
      <c r="H1969" s="28" t="s">
        <v>680</v>
      </c>
      <c r="I1969" s="27"/>
      <c r="J1969" s="28" t="s">
        <v>680</v>
      </c>
      <c r="K1969" s="27"/>
      <c r="L1969" s="25" t="s">
        <v>685</v>
      </c>
      <c r="M1969" s="25"/>
      <c r="N1969" s="25"/>
      <c r="O1969" s="25"/>
      <c r="P1969" s="25"/>
      <c r="Q1969" s="25"/>
      <c r="R1969" s="25"/>
      <c r="S1969" s="25"/>
      <c r="T1969" s="25"/>
      <c r="U1969" s="25"/>
      <c r="V1969" s="25"/>
      <c r="W1969" s="33"/>
      <c r="X1969" s="33"/>
      <c r="Y1969" s="33"/>
      <c r="Z1969" s="33"/>
      <c r="AA1969" s="33"/>
    </row>
    <row r="1970" spans="1:27" s="70" customFormat="1" ht="67.5" x14ac:dyDescent="0.2">
      <c r="A1970" s="24">
        <v>1966</v>
      </c>
      <c r="B1970" s="27" t="s">
        <v>605</v>
      </c>
      <c r="C1970" s="28" t="s">
        <v>604</v>
      </c>
      <c r="D1970" s="71" t="s">
        <v>683</v>
      </c>
      <c r="E1970" s="28" t="s">
        <v>682</v>
      </c>
      <c r="F1970" s="25" t="s">
        <v>681</v>
      </c>
      <c r="G1970" s="27"/>
      <c r="H1970" s="28" t="s">
        <v>680</v>
      </c>
      <c r="I1970" s="27"/>
      <c r="J1970" s="28" t="s">
        <v>680</v>
      </c>
      <c r="K1970" s="27"/>
      <c r="L1970" s="25" t="s">
        <v>684</v>
      </c>
      <c r="M1970" s="25"/>
      <c r="N1970" s="25"/>
      <c r="O1970" s="25"/>
      <c r="P1970" s="25"/>
      <c r="Q1970" s="25"/>
      <c r="R1970" s="25"/>
      <c r="S1970" s="25"/>
      <c r="T1970" s="25"/>
      <c r="U1970" s="25"/>
      <c r="V1970" s="25"/>
      <c r="W1970" s="33"/>
      <c r="X1970" s="33"/>
      <c r="Y1970" s="33"/>
      <c r="Z1970" s="33"/>
      <c r="AA1970" s="33"/>
    </row>
    <row r="1971" spans="1:27" s="70" customFormat="1" ht="67.5" x14ac:dyDescent="0.2">
      <c r="A1971" s="24">
        <v>1967</v>
      </c>
      <c r="B1971" s="27" t="s">
        <v>605</v>
      </c>
      <c r="C1971" s="28" t="s">
        <v>604</v>
      </c>
      <c r="D1971" s="71" t="s">
        <v>683</v>
      </c>
      <c r="E1971" s="28" t="s">
        <v>682</v>
      </c>
      <c r="F1971" s="25" t="s">
        <v>681</v>
      </c>
      <c r="G1971" s="27"/>
      <c r="H1971" s="28" t="s">
        <v>680</v>
      </c>
      <c r="I1971" s="27"/>
      <c r="J1971" s="28" t="s">
        <v>680</v>
      </c>
      <c r="K1971" s="27"/>
      <c r="L1971" s="25" t="s">
        <v>679</v>
      </c>
      <c r="M1971" s="25"/>
      <c r="N1971" s="25"/>
      <c r="O1971" s="25"/>
      <c r="P1971" s="25"/>
      <c r="Q1971" s="25"/>
      <c r="R1971" s="25"/>
      <c r="S1971" s="25"/>
      <c r="T1971" s="25"/>
      <c r="U1971" s="25"/>
      <c r="V1971" s="25"/>
      <c r="W1971" s="33"/>
      <c r="X1971" s="33"/>
      <c r="Y1971" s="33"/>
      <c r="Z1971" s="33"/>
      <c r="AA1971" s="33"/>
    </row>
    <row r="1972" spans="1:27" s="70" customFormat="1" ht="67.5" x14ac:dyDescent="0.2">
      <c r="A1972" s="24">
        <v>1968</v>
      </c>
      <c r="B1972" s="24" t="s">
        <v>605</v>
      </c>
      <c r="C1972" s="25" t="s">
        <v>604</v>
      </c>
      <c r="D1972" s="26" t="s">
        <v>603</v>
      </c>
      <c r="E1972" s="25" t="s">
        <v>602</v>
      </c>
      <c r="F1972" s="25" t="s">
        <v>601</v>
      </c>
      <c r="G1972" s="24"/>
      <c r="H1972" s="25" t="s">
        <v>661</v>
      </c>
      <c r="I1972" s="27"/>
      <c r="J1972" s="28" t="s">
        <v>678</v>
      </c>
      <c r="K1972" s="27"/>
      <c r="L1972" s="25"/>
      <c r="M1972" s="25"/>
      <c r="N1972" s="25"/>
      <c r="O1972" s="25"/>
      <c r="P1972" s="25"/>
      <c r="Q1972" s="25"/>
      <c r="R1972" s="25"/>
      <c r="S1972" s="25"/>
      <c r="T1972" s="25"/>
      <c r="U1972" s="25"/>
      <c r="V1972" s="25"/>
      <c r="W1972" s="33"/>
      <c r="X1972" s="33"/>
      <c r="Y1972" s="33"/>
      <c r="Z1972" s="33"/>
      <c r="AA1972" s="33"/>
    </row>
    <row r="1973" spans="1:27" s="70" customFormat="1" ht="67.5" x14ac:dyDescent="0.2">
      <c r="A1973" s="24">
        <v>1969</v>
      </c>
      <c r="B1973" s="24" t="s">
        <v>605</v>
      </c>
      <c r="C1973" s="25" t="s">
        <v>604</v>
      </c>
      <c r="D1973" s="26" t="s">
        <v>603</v>
      </c>
      <c r="E1973" s="25" t="s">
        <v>602</v>
      </c>
      <c r="F1973" s="25" t="s">
        <v>601</v>
      </c>
      <c r="G1973" s="24"/>
      <c r="H1973" s="25" t="s">
        <v>661</v>
      </c>
      <c r="I1973" s="27"/>
      <c r="J1973" s="28" t="s">
        <v>675</v>
      </c>
      <c r="K1973" s="27"/>
      <c r="L1973" s="25" t="s">
        <v>677</v>
      </c>
      <c r="M1973" s="25"/>
      <c r="N1973" s="25"/>
      <c r="O1973" s="25"/>
      <c r="P1973" s="25"/>
      <c r="Q1973" s="25"/>
      <c r="R1973" s="25"/>
      <c r="S1973" s="25"/>
      <c r="T1973" s="25"/>
      <c r="U1973" s="25"/>
      <c r="V1973" s="25"/>
      <c r="W1973" s="33"/>
      <c r="X1973" s="33"/>
      <c r="Y1973" s="33"/>
      <c r="Z1973" s="33"/>
      <c r="AA1973" s="33"/>
    </row>
    <row r="1974" spans="1:27" s="70" customFormat="1" ht="67.5" x14ac:dyDescent="0.2">
      <c r="A1974" s="24">
        <v>1970</v>
      </c>
      <c r="B1974" s="24" t="s">
        <v>605</v>
      </c>
      <c r="C1974" s="25" t="s">
        <v>604</v>
      </c>
      <c r="D1974" s="26" t="s">
        <v>603</v>
      </c>
      <c r="E1974" s="25" t="s">
        <v>602</v>
      </c>
      <c r="F1974" s="25" t="s">
        <v>601</v>
      </c>
      <c r="G1974" s="24"/>
      <c r="H1974" s="25" t="s">
        <v>661</v>
      </c>
      <c r="I1974" s="27"/>
      <c r="J1974" s="28" t="s">
        <v>675</v>
      </c>
      <c r="K1974" s="27"/>
      <c r="L1974" s="25" t="s">
        <v>676</v>
      </c>
      <c r="M1974" s="25"/>
      <c r="N1974" s="25"/>
      <c r="O1974" s="25"/>
      <c r="P1974" s="25"/>
      <c r="Q1974" s="25"/>
      <c r="R1974" s="25"/>
      <c r="S1974" s="25"/>
      <c r="T1974" s="25"/>
      <c r="U1974" s="25"/>
      <c r="V1974" s="25"/>
      <c r="W1974" s="33"/>
      <c r="X1974" s="33"/>
      <c r="Y1974" s="33"/>
      <c r="Z1974" s="33"/>
      <c r="AA1974" s="33"/>
    </row>
    <row r="1975" spans="1:27" s="70" customFormat="1" ht="67.5" x14ac:dyDescent="0.2">
      <c r="A1975" s="24">
        <v>1971</v>
      </c>
      <c r="B1975" s="24" t="s">
        <v>605</v>
      </c>
      <c r="C1975" s="25" t="s">
        <v>604</v>
      </c>
      <c r="D1975" s="26" t="s">
        <v>603</v>
      </c>
      <c r="E1975" s="25" t="s">
        <v>602</v>
      </c>
      <c r="F1975" s="25" t="s">
        <v>601</v>
      </c>
      <c r="G1975" s="24"/>
      <c r="H1975" s="25" t="s">
        <v>661</v>
      </c>
      <c r="I1975" s="27"/>
      <c r="J1975" s="28" t="s">
        <v>675</v>
      </c>
      <c r="K1975" s="27"/>
      <c r="L1975" s="25" t="s">
        <v>674</v>
      </c>
      <c r="M1975" s="25"/>
      <c r="N1975" s="25"/>
      <c r="O1975" s="25"/>
      <c r="P1975" s="25"/>
      <c r="Q1975" s="25"/>
      <c r="R1975" s="25"/>
      <c r="S1975" s="25"/>
      <c r="T1975" s="25"/>
      <c r="U1975" s="25"/>
      <c r="V1975" s="25"/>
      <c r="W1975" s="33"/>
      <c r="X1975" s="33"/>
      <c r="Y1975" s="33"/>
      <c r="Z1975" s="33"/>
      <c r="AA1975" s="33"/>
    </row>
    <row r="1976" spans="1:27" s="70" customFormat="1" ht="67.5" x14ac:dyDescent="0.2">
      <c r="A1976" s="24">
        <v>1972</v>
      </c>
      <c r="B1976" s="24" t="s">
        <v>605</v>
      </c>
      <c r="C1976" s="25" t="s">
        <v>604</v>
      </c>
      <c r="D1976" s="26" t="s">
        <v>603</v>
      </c>
      <c r="E1976" s="25" t="s">
        <v>602</v>
      </c>
      <c r="F1976" s="25" t="s">
        <v>601</v>
      </c>
      <c r="G1976" s="24"/>
      <c r="H1976" s="25" t="s">
        <v>661</v>
      </c>
      <c r="I1976" s="27"/>
      <c r="J1976" s="28" t="s">
        <v>673</v>
      </c>
      <c r="K1976" s="27"/>
      <c r="L1976" s="25" t="s">
        <v>672</v>
      </c>
      <c r="M1976" s="25"/>
      <c r="N1976" s="25"/>
      <c r="O1976" s="25"/>
      <c r="P1976" s="25"/>
      <c r="Q1976" s="25"/>
      <c r="R1976" s="25"/>
      <c r="S1976" s="25"/>
      <c r="T1976" s="25"/>
      <c r="U1976" s="25"/>
      <c r="V1976" s="25"/>
      <c r="W1976" s="33"/>
      <c r="X1976" s="33"/>
      <c r="Y1976" s="33"/>
      <c r="Z1976" s="33"/>
      <c r="AA1976" s="33"/>
    </row>
    <row r="1977" spans="1:27" s="70" customFormat="1" ht="67.5" x14ac:dyDescent="0.2">
      <c r="A1977" s="24">
        <v>1973</v>
      </c>
      <c r="B1977" s="24" t="s">
        <v>605</v>
      </c>
      <c r="C1977" s="25" t="s">
        <v>604</v>
      </c>
      <c r="D1977" s="26" t="s">
        <v>603</v>
      </c>
      <c r="E1977" s="25" t="s">
        <v>602</v>
      </c>
      <c r="F1977" s="25" t="s">
        <v>601</v>
      </c>
      <c r="G1977" s="24"/>
      <c r="H1977" s="25" t="s">
        <v>661</v>
      </c>
      <c r="I1977" s="27"/>
      <c r="J1977" s="28" t="s">
        <v>665</v>
      </c>
      <c r="K1977" s="27"/>
      <c r="L1977" s="25" t="s">
        <v>671</v>
      </c>
      <c r="M1977" s="25"/>
      <c r="N1977" s="25"/>
      <c r="O1977" s="25"/>
      <c r="P1977" s="25"/>
      <c r="Q1977" s="25"/>
      <c r="R1977" s="25"/>
      <c r="S1977" s="25"/>
      <c r="T1977" s="25"/>
      <c r="U1977" s="25"/>
      <c r="V1977" s="25"/>
      <c r="W1977" s="33"/>
      <c r="X1977" s="33"/>
      <c r="Y1977" s="33"/>
      <c r="Z1977" s="33"/>
      <c r="AA1977" s="33"/>
    </row>
    <row r="1978" spans="1:27" s="70" customFormat="1" ht="67.5" x14ac:dyDescent="0.2">
      <c r="A1978" s="24">
        <v>1974</v>
      </c>
      <c r="B1978" s="24" t="s">
        <v>605</v>
      </c>
      <c r="C1978" s="25" t="s">
        <v>604</v>
      </c>
      <c r="D1978" s="26" t="s">
        <v>603</v>
      </c>
      <c r="E1978" s="25" t="s">
        <v>602</v>
      </c>
      <c r="F1978" s="25" t="s">
        <v>601</v>
      </c>
      <c r="G1978" s="24"/>
      <c r="H1978" s="25" t="s">
        <v>661</v>
      </c>
      <c r="I1978" s="27"/>
      <c r="J1978" s="28" t="s">
        <v>665</v>
      </c>
      <c r="K1978" s="27"/>
      <c r="L1978" s="25" t="s">
        <v>670</v>
      </c>
      <c r="M1978" s="25"/>
      <c r="N1978" s="25"/>
      <c r="O1978" s="25"/>
      <c r="P1978" s="25"/>
      <c r="Q1978" s="25"/>
      <c r="R1978" s="25"/>
      <c r="S1978" s="25"/>
      <c r="T1978" s="25"/>
      <c r="U1978" s="25"/>
      <c r="V1978" s="25"/>
      <c r="W1978" s="33"/>
      <c r="X1978" s="33"/>
      <c r="Y1978" s="33"/>
      <c r="Z1978" s="33"/>
      <c r="AA1978" s="33"/>
    </row>
    <row r="1979" spans="1:27" s="70" customFormat="1" ht="67.5" x14ac:dyDescent="0.2">
      <c r="A1979" s="24">
        <v>1975</v>
      </c>
      <c r="B1979" s="24" t="s">
        <v>605</v>
      </c>
      <c r="C1979" s="25" t="s">
        <v>604</v>
      </c>
      <c r="D1979" s="26" t="s">
        <v>603</v>
      </c>
      <c r="E1979" s="25" t="s">
        <v>602</v>
      </c>
      <c r="F1979" s="25" t="s">
        <v>601</v>
      </c>
      <c r="G1979" s="24"/>
      <c r="H1979" s="25" t="s">
        <v>661</v>
      </c>
      <c r="I1979" s="27"/>
      <c r="J1979" s="28" t="s">
        <v>665</v>
      </c>
      <c r="K1979" s="27"/>
      <c r="L1979" s="25" t="s">
        <v>669</v>
      </c>
      <c r="M1979" s="25"/>
      <c r="N1979" s="25"/>
      <c r="O1979" s="25"/>
      <c r="P1979" s="25"/>
      <c r="Q1979" s="25"/>
      <c r="R1979" s="25"/>
      <c r="S1979" s="25"/>
      <c r="T1979" s="25"/>
      <c r="U1979" s="25"/>
      <c r="V1979" s="25"/>
      <c r="W1979" s="33"/>
      <c r="X1979" s="33"/>
      <c r="Y1979" s="33"/>
      <c r="Z1979" s="33"/>
      <c r="AA1979" s="33"/>
    </row>
    <row r="1980" spans="1:27" s="70" customFormat="1" ht="67.5" x14ac:dyDescent="0.2">
      <c r="A1980" s="24">
        <v>1976</v>
      </c>
      <c r="B1980" s="24" t="s">
        <v>605</v>
      </c>
      <c r="C1980" s="25" t="s">
        <v>604</v>
      </c>
      <c r="D1980" s="26" t="s">
        <v>603</v>
      </c>
      <c r="E1980" s="25" t="s">
        <v>602</v>
      </c>
      <c r="F1980" s="25" t="s">
        <v>601</v>
      </c>
      <c r="G1980" s="24"/>
      <c r="H1980" s="25" t="s">
        <v>661</v>
      </c>
      <c r="I1980" s="27"/>
      <c r="J1980" s="28" t="s">
        <v>665</v>
      </c>
      <c r="K1980" s="27"/>
      <c r="L1980" s="25" t="s">
        <v>668</v>
      </c>
      <c r="M1980" s="25"/>
      <c r="N1980" s="25"/>
      <c r="O1980" s="25"/>
      <c r="P1980" s="25"/>
      <c r="Q1980" s="25"/>
      <c r="R1980" s="25"/>
      <c r="S1980" s="25"/>
      <c r="T1980" s="25"/>
      <c r="U1980" s="25"/>
      <c r="V1980" s="25"/>
      <c r="W1980" s="33"/>
      <c r="X1980" s="33"/>
      <c r="Y1980" s="33"/>
      <c r="Z1980" s="33"/>
      <c r="AA1980" s="33"/>
    </row>
    <row r="1981" spans="1:27" s="70" customFormat="1" ht="67.5" x14ac:dyDescent="0.2">
      <c r="A1981" s="24">
        <v>1977</v>
      </c>
      <c r="B1981" s="24" t="s">
        <v>605</v>
      </c>
      <c r="C1981" s="25" t="s">
        <v>604</v>
      </c>
      <c r="D1981" s="26" t="s">
        <v>603</v>
      </c>
      <c r="E1981" s="25" t="s">
        <v>602</v>
      </c>
      <c r="F1981" s="25" t="s">
        <v>601</v>
      </c>
      <c r="G1981" s="24"/>
      <c r="H1981" s="25" t="s">
        <v>661</v>
      </c>
      <c r="I1981" s="27"/>
      <c r="J1981" s="28" t="s">
        <v>665</v>
      </c>
      <c r="K1981" s="27"/>
      <c r="L1981" s="25" t="s">
        <v>667</v>
      </c>
      <c r="M1981" s="25"/>
      <c r="N1981" s="25"/>
      <c r="O1981" s="25"/>
      <c r="P1981" s="25"/>
      <c r="Q1981" s="25"/>
      <c r="R1981" s="25"/>
      <c r="S1981" s="25"/>
      <c r="T1981" s="25"/>
      <c r="U1981" s="25"/>
      <c r="V1981" s="25"/>
      <c r="W1981" s="33"/>
      <c r="X1981" s="33"/>
      <c r="Y1981" s="33"/>
      <c r="Z1981" s="33"/>
      <c r="AA1981" s="33"/>
    </row>
    <row r="1982" spans="1:27" s="70" customFormat="1" ht="67.5" x14ac:dyDescent="0.2">
      <c r="A1982" s="24">
        <v>1978</v>
      </c>
      <c r="B1982" s="24" t="s">
        <v>605</v>
      </c>
      <c r="C1982" s="25" t="s">
        <v>604</v>
      </c>
      <c r="D1982" s="26" t="s">
        <v>603</v>
      </c>
      <c r="E1982" s="25" t="s">
        <v>602</v>
      </c>
      <c r="F1982" s="25" t="s">
        <v>601</v>
      </c>
      <c r="G1982" s="24"/>
      <c r="H1982" s="25" t="s">
        <v>661</v>
      </c>
      <c r="I1982" s="27"/>
      <c r="J1982" s="28" t="s">
        <v>665</v>
      </c>
      <c r="K1982" s="27"/>
      <c r="L1982" s="25" t="s">
        <v>666</v>
      </c>
      <c r="M1982" s="25"/>
      <c r="N1982" s="25"/>
      <c r="O1982" s="25"/>
      <c r="P1982" s="25"/>
      <c r="Q1982" s="25"/>
      <c r="R1982" s="25"/>
      <c r="S1982" s="25"/>
      <c r="T1982" s="25"/>
      <c r="U1982" s="25"/>
      <c r="V1982" s="25"/>
      <c r="W1982" s="33"/>
      <c r="X1982" s="33"/>
      <c r="Y1982" s="33"/>
      <c r="Z1982" s="33"/>
      <c r="AA1982" s="33"/>
    </row>
    <row r="1983" spans="1:27" s="70" customFormat="1" ht="67.5" x14ac:dyDescent="0.2">
      <c r="A1983" s="24">
        <v>1979</v>
      </c>
      <c r="B1983" s="24" t="s">
        <v>605</v>
      </c>
      <c r="C1983" s="25" t="s">
        <v>604</v>
      </c>
      <c r="D1983" s="26" t="s">
        <v>603</v>
      </c>
      <c r="E1983" s="25" t="s">
        <v>602</v>
      </c>
      <c r="F1983" s="25" t="s">
        <v>601</v>
      </c>
      <c r="G1983" s="24"/>
      <c r="H1983" s="25" t="s">
        <v>661</v>
      </c>
      <c r="I1983" s="27"/>
      <c r="J1983" s="28" t="s">
        <v>665</v>
      </c>
      <c r="K1983" s="27"/>
      <c r="L1983" s="25" t="s">
        <v>664</v>
      </c>
      <c r="M1983" s="25"/>
      <c r="N1983" s="25"/>
      <c r="O1983" s="25"/>
      <c r="P1983" s="25"/>
      <c r="Q1983" s="25"/>
      <c r="R1983" s="25"/>
      <c r="S1983" s="25"/>
      <c r="T1983" s="25"/>
      <c r="U1983" s="25"/>
      <c r="V1983" s="25"/>
      <c r="W1983" s="33"/>
      <c r="X1983" s="33"/>
      <c r="Y1983" s="33"/>
      <c r="Z1983" s="33"/>
      <c r="AA1983" s="33"/>
    </row>
    <row r="1984" spans="1:27" s="70" customFormat="1" ht="67.5" x14ac:dyDescent="0.2">
      <c r="A1984" s="24">
        <v>1980</v>
      </c>
      <c r="B1984" s="24" t="s">
        <v>605</v>
      </c>
      <c r="C1984" s="25" t="s">
        <v>604</v>
      </c>
      <c r="D1984" s="26" t="s">
        <v>603</v>
      </c>
      <c r="E1984" s="25" t="s">
        <v>602</v>
      </c>
      <c r="F1984" s="25" t="s">
        <v>601</v>
      </c>
      <c r="G1984" s="24"/>
      <c r="H1984" s="25" t="s">
        <v>661</v>
      </c>
      <c r="I1984" s="27"/>
      <c r="J1984" s="28" t="s">
        <v>660</v>
      </c>
      <c r="K1984" s="27"/>
      <c r="L1984" s="25" t="s">
        <v>663</v>
      </c>
      <c r="M1984" s="25"/>
      <c r="N1984" s="25"/>
      <c r="O1984" s="25"/>
      <c r="P1984" s="25"/>
      <c r="Q1984" s="25"/>
      <c r="R1984" s="25"/>
      <c r="S1984" s="25"/>
      <c r="T1984" s="25"/>
      <c r="U1984" s="25"/>
      <c r="V1984" s="25"/>
      <c r="W1984" s="33"/>
      <c r="X1984" s="33"/>
      <c r="Y1984" s="33"/>
      <c r="Z1984" s="33"/>
      <c r="AA1984" s="33"/>
    </row>
    <row r="1985" spans="1:27" s="70" customFormat="1" ht="67.5" x14ac:dyDescent="0.2">
      <c r="A1985" s="24">
        <v>1981</v>
      </c>
      <c r="B1985" s="24" t="s">
        <v>605</v>
      </c>
      <c r="C1985" s="25" t="s">
        <v>604</v>
      </c>
      <c r="D1985" s="26" t="s">
        <v>603</v>
      </c>
      <c r="E1985" s="25" t="s">
        <v>602</v>
      </c>
      <c r="F1985" s="25" t="s">
        <v>601</v>
      </c>
      <c r="G1985" s="24"/>
      <c r="H1985" s="25" t="s">
        <v>661</v>
      </c>
      <c r="I1985" s="27"/>
      <c r="J1985" s="28" t="s">
        <v>660</v>
      </c>
      <c r="K1985" s="27"/>
      <c r="L1985" s="25" t="s">
        <v>662</v>
      </c>
      <c r="M1985" s="25"/>
      <c r="N1985" s="25"/>
      <c r="O1985" s="25"/>
      <c r="P1985" s="25"/>
      <c r="Q1985" s="25"/>
      <c r="R1985" s="25"/>
      <c r="S1985" s="25"/>
      <c r="T1985" s="25"/>
      <c r="U1985" s="25"/>
      <c r="V1985" s="25"/>
      <c r="W1985" s="33"/>
      <c r="X1985" s="33"/>
      <c r="Y1985" s="33"/>
      <c r="Z1985" s="33"/>
      <c r="AA1985" s="33"/>
    </row>
    <row r="1986" spans="1:27" s="70" customFormat="1" ht="67.5" x14ac:dyDescent="0.2">
      <c r="A1986" s="24">
        <v>1982</v>
      </c>
      <c r="B1986" s="24" t="s">
        <v>605</v>
      </c>
      <c r="C1986" s="25" t="s">
        <v>604</v>
      </c>
      <c r="D1986" s="26" t="s">
        <v>603</v>
      </c>
      <c r="E1986" s="25" t="s">
        <v>602</v>
      </c>
      <c r="F1986" s="25" t="s">
        <v>601</v>
      </c>
      <c r="G1986" s="24"/>
      <c r="H1986" s="25" t="s">
        <v>661</v>
      </c>
      <c r="I1986" s="27"/>
      <c r="J1986" s="28" t="s">
        <v>660</v>
      </c>
      <c r="K1986" s="27"/>
      <c r="L1986" s="25" t="s">
        <v>659</v>
      </c>
      <c r="M1986" s="25"/>
      <c r="N1986" s="25"/>
      <c r="O1986" s="25"/>
      <c r="P1986" s="25"/>
      <c r="Q1986" s="25"/>
      <c r="R1986" s="25"/>
      <c r="S1986" s="25"/>
      <c r="T1986" s="25"/>
      <c r="U1986" s="25"/>
      <c r="V1986" s="25"/>
      <c r="W1986" s="33"/>
      <c r="X1986" s="33"/>
      <c r="Y1986" s="33"/>
      <c r="Z1986" s="33"/>
      <c r="AA1986" s="33"/>
    </row>
    <row r="1987" spans="1:27" s="70" customFormat="1" ht="67.5" x14ac:dyDescent="0.2">
      <c r="A1987" s="24">
        <v>1983</v>
      </c>
      <c r="B1987" s="24" t="s">
        <v>605</v>
      </c>
      <c r="C1987" s="25" t="s">
        <v>604</v>
      </c>
      <c r="D1987" s="26" t="s">
        <v>603</v>
      </c>
      <c r="E1987" s="25" t="s">
        <v>602</v>
      </c>
      <c r="F1987" s="25" t="s">
        <v>601</v>
      </c>
      <c r="G1987" s="24"/>
      <c r="H1987" s="25" t="s">
        <v>649</v>
      </c>
      <c r="I1987" s="27"/>
      <c r="J1987" s="28" t="s">
        <v>657</v>
      </c>
      <c r="K1987" s="27"/>
      <c r="L1987" s="25" t="s">
        <v>658</v>
      </c>
      <c r="M1987" s="25"/>
      <c r="N1987" s="25"/>
      <c r="O1987" s="25"/>
      <c r="P1987" s="25"/>
      <c r="Q1987" s="25"/>
      <c r="R1987" s="25"/>
      <c r="S1987" s="25"/>
      <c r="T1987" s="25"/>
      <c r="U1987" s="25"/>
      <c r="V1987" s="25"/>
      <c r="W1987" s="33"/>
      <c r="X1987" s="33"/>
      <c r="Y1987" s="33"/>
      <c r="Z1987" s="33"/>
      <c r="AA1987" s="33"/>
    </row>
    <row r="1988" spans="1:27" s="70" customFormat="1" ht="67.5" x14ac:dyDescent="0.2">
      <c r="A1988" s="24">
        <v>1984</v>
      </c>
      <c r="B1988" s="24" t="s">
        <v>605</v>
      </c>
      <c r="C1988" s="25" t="s">
        <v>604</v>
      </c>
      <c r="D1988" s="26" t="s">
        <v>603</v>
      </c>
      <c r="E1988" s="25" t="s">
        <v>602</v>
      </c>
      <c r="F1988" s="25" t="s">
        <v>601</v>
      </c>
      <c r="G1988" s="24"/>
      <c r="H1988" s="25" t="s">
        <v>649</v>
      </c>
      <c r="I1988" s="27"/>
      <c r="J1988" s="28" t="s">
        <v>657</v>
      </c>
      <c r="K1988" s="27"/>
      <c r="L1988" s="25" t="s">
        <v>656</v>
      </c>
      <c r="M1988" s="25"/>
      <c r="N1988" s="25"/>
      <c r="O1988" s="25"/>
      <c r="P1988" s="25"/>
      <c r="Q1988" s="25"/>
      <c r="R1988" s="25"/>
      <c r="S1988" s="25"/>
      <c r="T1988" s="25"/>
      <c r="U1988" s="25"/>
      <c r="V1988" s="25"/>
      <c r="W1988" s="33"/>
      <c r="X1988" s="33"/>
      <c r="Y1988" s="33"/>
      <c r="Z1988" s="33"/>
      <c r="AA1988" s="33"/>
    </row>
    <row r="1989" spans="1:27" s="70" customFormat="1" ht="67.5" x14ac:dyDescent="0.2">
      <c r="A1989" s="24">
        <v>1985</v>
      </c>
      <c r="B1989" s="24" t="s">
        <v>605</v>
      </c>
      <c r="C1989" s="25" t="s">
        <v>604</v>
      </c>
      <c r="D1989" s="26" t="s">
        <v>603</v>
      </c>
      <c r="E1989" s="25" t="s">
        <v>602</v>
      </c>
      <c r="F1989" s="25" t="s">
        <v>601</v>
      </c>
      <c r="G1989" s="24"/>
      <c r="H1989" s="25" t="s">
        <v>649</v>
      </c>
      <c r="I1989" s="27"/>
      <c r="J1989" s="28" t="s">
        <v>655</v>
      </c>
      <c r="K1989" s="27"/>
      <c r="L1989" s="25"/>
      <c r="M1989" s="25"/>
      <c r="N1989" s="25"/>
      <c r="O1989" s="25"/>
      <c r="P1989" s="25"/>
      <c r="Q1989" s="25"/>
      <c r="R1989" s="25"/>
      <c r="S1989" s="25"/>
      <c r="T1989" s="25"/>
      <c r="U1989" s="25"/>
      <c r="V1989" s="25"/>
      <c r="W1989" s="33"/>
      <c r="X1989" s="33"/>
      <c r="Y1989" s="33"/>
      <c r="Z1989" s="33"/>
      <c r="AA1989" s="33"/>
    </row>
    <row r="1990" spans="1:27" s="70" customFormat="1" ht="67.5" x14ac:dyDescent="0.2">
      <c r="A1990" s="24">
        <v>1986</v>
      </c>
      <c r="B1990" s="24" t="s">
        <v>605</v>
      </c>
      <c r="C1990" s="25" t="s">
        <v>604</v>
      </c>
      <c r="D1990" s="26" t="s">
        <v>603</v>
      </c>
      <c r="E1990" s="25" t="s">
        <v>602</v>
      </c>
      <c r="F1990" s="25" t="s">
        <v>601</v>
      </c>
      <c r="G1990" s="24"/>
      <c r="H1990" s="25" t="s">
        <v>649</v>
      </c>
      <c r="I1990" s="27"/>
      <c r="J1990" s="28" t="s">
        <v>654</v>
      </c>
      <c r="K1990" s="27"/>
      <c r="L1990" s="25"/>
      <c r="M1990" s="25"/>
      <c r="N1990" s="25"/>
      <c r="O1990" s="25"/>
      <c r="P1990" s="25"/>
      <c r="Q1990" s="25"/>
      <c r="R1990" s="25"/>
      <c r="S1990" s="25"/>
      <c r="T1990" s="25"/>
      <c r="U1990" s="25"/>
      <c r="V1990" s="25"/>
      <c r="W1990" s="33"/>
      <c r="X1990" s="33"/>
      <c r="Y1990" s="33"/>
      <c r="Z1990" s="33"/>
      <c r="AA1990" s="33"/>
    </row>
    <row r="1991" spans="1:27" s="70" customFormat="1" ht="67.5" x14ac:dyDescent="0.2">
      <c r="A1991" s="24">
        <v>1987</v>
      </c>
      <c r="B1991" s="24" t="s">
        <v>605</v>
      </c>
      <c r="C1991" s="25" t="s">
        <v>604</v>
      </c>
      <c r="D1991" s="26" t="s">
        <v>603</v>
      </c>
      <c r="E1991" s="25" t="s">
        <v>602</v>
      </c>
      <c r="F1991" s="25" t="s">
        <v>601</v>
      </c>
      <c r="G1991" s="24"/>
      <c r="H1991" s="25" t="s">
        <v>649</v>
      </c>
      <c r="I1991" s="27"/>
      <c r="J1991" s="28" t="s">
        <v>653</v>
      </c>
      <c r="K1991" s="27"/>
      <c r="L1991" s="25"/>
      <c r="M1991" s="25"/>
      <c r="N1991" s="25"/>
      <c r="O1991" s="25"/>
      <c r="P1991" s="25"/>
      <c r="Q1991" s="25"/>
      <c r="R1991" s="25"/>
      <c r="S1991" s="25"/>
      <c r="T1991" s="25"/>
      <c r="U1991" s="25"/>
      <c r="V1991" s="25"/>
      <c r="W1991" s="33"/>
      <c r="X1991" s="33"/>
      <c r="Y1991" s="33"/>
      <c r="Z1991" s="33"/>
      <c r="AA1991" s="33"/>
    </row>
    <row r="1992" spans="1:27" s="70" customFormat="1" ht="67.5" x14ac:dyDescent="0.2">
      <c r="A1992" s="24">
        <v>1988</v>
      </c>
      <c r="B1992" s="24" t="s">
        <v>605</v>
      </c>
      <c r="C1992" s="25" t="s">
        <v>604</v>
      </c>
      <c r="D1992" s="26" t="s">
        <v>603</v>
      </c>
      <c r="E1992" s="25" t="s">
        <v>602</v>
      </c>
      <c r="F1992" s="25" t="s">
        <v>601</v>
      </c>
      <c r="G1992" s="24"/>
      <c r="H1992" s="25" t="s">
        <v>649</v>
      </c>
      <c r="I1992" s="27"/>
      <c r="J1992" s="28" t="s">
        <v>652</v>
      </c>
      <c r="K1992" s="27"/>
      <c r="L1992" s="25" t="s">
        <v>651</v>
      </c>
      <c r="M1992" s="25"/>
      <c r="N1992" s="25"/>
      <c r="O1992" s="25"/>
      <c r="P1992" s="25"/>
      <c r="Q1992" s="25"/>
      <c r="R1992" s="25"/>
      <c r="S1992" s="25"/>
      <c r="T1992" s="25"/>
      <c r="U1992" s="25"/>
      <c r="V1992" s="25"/>
      <c r="W1992" s="33"/>
      <c r="X1992" s="33"/>
      <c r="Y1992" s="33"/>
      <c r="Z1992" s="33"/>
      <c r="AA1992" s="33"/>
    </row>
    <row r="1993" spans="1:27" s="70" customFormat="1" ht="67.5" x14ac:dyDescent="0.2">
      <c r="A1993" s="24">
        <v>1989</v>
      </c>
      <c r="B1993" s="24" t="s">
        <v>605</v>
      </c>
      <c r="C1993" s="25" t="s">
        <v>604</v>
      </c>
      <c r="D1993" s="26" t="s">
        <v>603</v>
      </c>
      <c r="E1993" s="25" t="s">
        <v>602</v>
      </c>
      <c r="F1993" s="25" t="s">
        <v>601</v>
      </c>
      <c r="G1993" s="24"/>
      <c r="H1993" s="25" t="s">
        <v>649</v>
      </c>
      <c r="I1993" s="27"/>
      <c r="J1993" s="28" t="s">
        <v>650</v>
      </c>
      <c r="K1993" s="27"/>
      <c r="L1993" s="25"/>
      <c r="M1993" s="25"/>
      <c r="N1993" s="25"/>
      <c r="O1993" s="25"/>
      <c r="P1993" s="25"/>
      <c r="Q1993" s="25"/>
      <c r="R1993" s="25"/>
      <c r="S1993" s="25"/>
      <c r="T1993" s="25"/>
      <c r="U1993" s="25"/>
      <c r="V1993" s="25"/>
      <c r="W1993" s="33"/>
      <c r="X1993" s="33"/>
      <c r="Y1993" s="33"/>
      <c r="Z1993" s="33"/>
      <c r="AA1993" s="33"/>
    </row>
    <row r="1994" spans="1:27" s="70" customFormat="1" ht="67.5" x14ac:dyDescent="0.2">
      <c r="A1994" s="24">
        <v>1990</v>
      </c>
      <c r="B1994" s="24" t="s">
        <v>605</v>
      </c>
      <c r="C1994" s="25" t="s">
        <v>604</v>
      </c>
      <c r="D1994" s="26" t="s">
        <v>603</v>
      </c>
      <c r="E1994" s="25" t="s">
        <v>602</v>
      </c>
      <c r="F1994" s="25" t="s">
        <v>601</v>
      </c>
      <c r="G1994" s="24"/>
      <c r="H1994" s="25" t="s">
        <v>649</v>
      </c>
      <c r="I1994" s="27"/>
      <c r="J1994" s="28" t="s">
        <v>648</v>
      </c>
      <c r="K1994" s="27"/>
      <c r="L1994" s="25"/>
      <c r="M1994" s="25"/>
      <c r="N1994" s="25"/>
      <c r="O1994" s="25"/>
      <c r="P1994" s="25"/>
      <c r="Q1994" s="25"/>
      <c r="R1994" s="25"/>
      <c r="S1994" s="25"/>
      <c r="T1994" s="25"/>
      <c r="U1994" s="25"/>
      <c r="V1994" s="25"/>
      <c r="W1994" s="33"/>
      <c r="X1994" s="33"/>
      <c r="Y1994" s="33"/>
      <c r="Z1994" s="33"/>
      <c r="AA1994" s="33"/>
    </row>
    <row r="1995" spans="1:27" s="70" customFormat="1" ht="67.5" x14ac:dyDescent="0.2">
      <c r="A1995" s="24">
        <v>1991</v>
      </c>
      <c r="B1995" s="24" t="s">
        <v>605</v>
      </c>
      <c r="C1995" s="25" t="s">
        <v>604</v>
      </c>
      <c r="D1995" s="26" t="s">
        <v>603</v>
      </c>
      <c r="E1995" s="25" t="s">
        <v>602</v>
      </c>
      <c r="F1995" s="25" t="s">
        <v>601</v>
      </c>
      <c r="G1995" s="24"/>
      <c r="H1995" s="25" t="s">
        <v>647</v>
      </c>
      <c r="I1995" s="27"/>
      <c r="J1995" s="28" t="s">
        <v>646</v>
      </c>
      <c r="K1995" s="27"/>
      <c r="L1995" s="25"/>
      <c r="M1995" s="25"/>
      <c r="N1995" s="25"/>
      <c r="O1995" s="25"/>
      <c r="P1995" s="25"/>
      <c r="Q1995" s="25"/>
      <c r="R1995" s="25"/>
      <c r="S1995" s="25"/>
      <c r="T1995" s="25"/>
      <c r="U1995" s="25"/>
      <c r="V1995" s="25"/>
      <c r="W1995" s="33"/>
      <c r="X1995" s="33"/>
      <c r="Y1995" s="33"/>
      <c r="Z1995" s="33"/>
      <c r="AA1995" s="33"/>
    </row>
    <row r="1996" spans="1:27" s="70" customFormat="1" ht="67.5" x14ac:dyDescent="0.2">
      <c r="A1996" s="24">
        <v>1992</v>
      </c>
      <c r="B1996" s="24" t="s">
        <v>605</v>
      </c>
      <c r="C1996" s="25" t="s">
        <v>604</v>
      </c>
      <c r="D1996" s="26" t="s">
        <v>603</v>
      </c>
      <c r="E1996" s="25" t="s">
        <v>602</v>
      </c>
      <c r="F1996" s="25" t="s">
        <v>601</v>
      </c>
      <c r="G1996" s="24"/>
      <c r="H1996" s="25" t="s">
        <v>641</v>
      </c>
      <c r="I1996" s="27"/>
      <c r="J1996" s="28" t="s">
        <v>645</v>
      </c>
      <c r="K1996" s="27"/>
      <c r="L1996" s="25"/>
      <c r="M1996" s="25"/>
      <c r="N1996" s="25"/>
      <c r="O1996" s="25"/>
      <c r="P1996" s="25"/>
      <c r="Q1996" s="25"/>
      <c r="R1996" s="25"/>
      <c r="S1996" s="25"/>
      <c r="T1996" s="25"/>
      <c r="U1996" s="25"/>
      <c r="V1996" s="25"/>
      <c r="W1996" s="33"/>
      <c r="X1996" s="33"/>
      <c r="Y1996" s="33"/>
      <c r="Z1996" s="33"/>
      <c r="AA1996" s="33"/>
    </row>
    <row r="1997" spans="1:27" s="70" customFormat="1" ht="67.5" x14ac:dyDescent="0.2">
      <c r="A1997" s="24">
        <v>1993</v>
      </c>
      <c r="B1997" s="24" t="s">
        <v>605</v>
      </c>
      <c r="C1997" s="25" t="s">
        <v>604</v>
      </c>
      <c r="D1997" s="26" t="s">
        <v>603</v>
      </c>
      <c r="E1997" s="25" t="s">
        <v>602</v>
      </c>
      <c r="F1997" s="25" t="s">
        <v>601</v>
      </c>
      <c r="G1997" s="24"/>
      <c r="H1997" s="25" t="s">
        <v>641</v>
      </c>
      <c r="I1997" s="27"/>
      <c r="J1997" s="28" t="s">
        <v>644</v>
      </c>
      <c r="K1997" s="27"/>
      <c r="L1997" s="25"/>
      <c r="M1997" s="25"/>
      <c r="N1997" s="25"/>
      <c r="O1997" s="25"/>
      <c r="P1997" s="25"/>
      <c r="Q1997" s="25"/>
      <c r="R1997" s="25"/>
      <c r="S1997" s="25"/>
      <c r="T1997" s="25"/>
      <c r="U1997" s="25"/>
      <c r="V1997" s="25"/>
      <c r="W1997" s="33"/>
      <c r="X1997" s="33"/>
      <c r="Y1997" s="33"/>
      <c r="Z1997" s="33"/>
      <c r="AA1997" s="33"/>
    </row>
    <row r="1998" spans="1:27" s="70" customFormat="1" ht="67.5" x14ac:dyDescent="0.2">
      <c r="A1998" s="24">
        <v>1994</v>
      </c>
      <c r="B1998" s="24" t="s">
        <v>605</v>
      </c>
      <c r="C1998" s="25" t="s">
        <v>604</v>
      </c>
      <c r="D1998" s="26" t="s">
        <v>603</v>
      </c>
      <c r="E1998" s="25" t="s">
        <v>602</v>
      </c>
      <c r="F1998" s="25" t="s">
        <v>601</v>
      </c>
      <c r="G1998" s="24"/>
      <c r="H1998" s="25" t="s">
        <v>641</v>
      </c>
      <c r="I1998" s="27"/>
      <c r="J1998" s="28" t="s">
        <v>643</v>
      </c>
      <c r="K1998" s="27"/>
      <c r="L1998" s="25" t="s">
        <v>642</v>
      </c>
      <c r="M1998" s="25"/>
      <c r="N1998" s="25"/>
      <c r="O1998" s="25"/>
      <c r="P1998" s="25"/>
      <c r="Q1998" s="25"/>
      <c r="R1998" s="25"/>
      <c r="S1998" s="25"/>
      <c r="T1998" s="25"/>
      <c r="U1998" s="25"/>
      <c r="V1998" s="25"/>
      <c r="W1998" s="33"/>
      <c r="X1998" s="33"/>
      <c r="Y1998" s="33"/>
      <c r="Z1998" s="33"/>
      <c r="AA1998" s="33"/>
    </row>
    <row r="1999" spans="1:27" s="70" customFormat="1" ht="67.5" x14ac:dyDescent="0.2">
      <c r="A1999" s="24">
        <v>1995</v>
      </c>
      <c r="B1999" s="24" t="s">
        <v>605</v>
      </c>
      <c r="C1999" s="25" t="s">
        <v>604</v>
      </c>
      <c r="D1999" s="26" t="s">
        <v>603</v>
      </c>
      <c r="E1999" s="25" t="s">
        <v>602</v>
      </c>
      <c r="F1999" s="25" t="s">
        <v>601</v>
      </c>
      <c r="G1999" s="24"/>
      <c r="H1999" s="25" t="s">
        <v>641</v>
      </c>
      <c r="I1999" s="27"/>
      <c r="J1999" s="28" t="s">
        <v>640</v>
      </c>
      <c r="K1999" s="27"/>
      <c r="L1999" s="25"/>
      <c r="M1999" s="25"/>
      <c r="N1999" s="25"/>
      <c r="O1999" s="25"/>
      <c r="P1999" s="25"/>
      <c r="Q1999" s="25"/>
      <c r="R1999" s="25"/>
      <c r="S1999" s="25"/>
      <c r="T1999" s="25"/>
      <c r="U1999" s="25"/>
      <c r="V1999" s="25"/>
      <c r="W1999" s="33"/>
      <c r="X1999" s="33"/>
      <c r="Y1999" s="33"/>
      <c r="Z1999" s="33"/>
      <c r="AA1999" s="33"/>
    </row>
    <row r="2000" spans="1:27" s="70" customFormat="1" ht="67.5" x14ac:dyDescent="0.2">
      <c r="A2000" s="24">
        <v>1996</v>
      </c>
      <c r="B2000" s="24" t="s">
        <v>605</v>
      </c>
      <c r="C2000" s="25" t="s">
        <v>604</v>
      </c>
      <c r="D2000" s="26" t="s">
        <v>603</v>
      </c>
      <c r="E2000" s="25" t="s">
        <v>602</v>
      </c>
      <c r="F2000" s="25" t="s">
        <v>601</v>
      </c>
      <c r="G2000" s="24"/>
      <c r="H2000" s="25" t="s">
        <v>613</v>
      </c>
      <c r="I2000" s="27"/>
      <c r="J2000" s="28" t="s">
        <v>639</v>
      </c>
      <c r="K2000" s="27"/>
      <c r="L2000" s="25"/>
      <c r="M2000" s="25"/>
      <c r="N2000" s="25"/>
      <c r="O2000" s="25"/>
      <c r="P2000" s="25"/>
      <c r="Q2000" s="25"/>
      <c r="R2000" s="25"/>
      <c r="S2000" s="25"/>
      <c r="T2000" s="25"/>
      <c r="U2000" s="25"/>
      <c r="V2000" s="25"/>
      <c r="W2000" s="33"/>
      <c r="X2000" s="33"/>
      <c r="Y2000" s="33"/>
      <c r="Z2000" s="33"/>
      <c r="AA2000" s="33"/>
    </row>
    <row r="2001" spans="1:27" s="70" customFormat="1" ht="67.5" x14ac:dyDescent="0.2">
      <c r="A2001" s="24">
        <v>1997</v>
      </c>
      <c r="B2001" s="24" t="s">
        <v>605</v>
      </c>
      <c r="C2001" s="25" t="s">
        <v>604</v>
      </c>
      <c r="D2001" s="26" t="s">
        <v>603</v>
      </c>
      <c r="E2001" s="25" t="s">
        <v>602</v>
      </c>
      <c r="F2001" s="25" t="s">
        <v>601</v>
      </c>
      <c r="G2001" s="24"/>
      <c r="H2001" s="25" t="s">
        <v>613</v>
      </c>
      <c r="I2001" s="27"/>
      <c r="J2001" s="28" t="s">
        <v>638</v>
      </c>
      <c r="K2001" s="27"/>
      <c r="L2001" s="25"/>
      <c r="M2001" s="25"/>
      <c r="N2001" s="25"/>
      <c r="O2001" s="25"/>
      <c r="P2001" s="25"/>
      <c r="Q2001" s="25"/>
      <c r="R2001" s="25"/>
      <c r="S2001" s="25"/>
      <c r="T2001" s="25"/>
      <c r="U2001" s="25"/>
      <c r="V2001" s="25"/>
      <c r="W2001" s="33"/>
      <c r="X2001" s="33"/>
      <c r="Y2001" s="33"/>
      <c r="Z2001" s="33"/>
      <c r="AA2001" s="33"/>
    </row>
    <row r="2002" spans="1:27" s="70" customFormat="1" ht="67.5" x14ac:dyDescent="0.2">
      <c r="A2002" s="24">
        <v>1998</v>
      </c>
      <c r="B2002" s="24" t="s">
        <v>605</v>
      </c>
      <c r="C2002" s="25" t="s">
        <v>604</v>
      </c>
      <c r="D2002" s="26" t="s">
        <v>603</v>
      </c>
      <c r="E2002" s="25" t="s">
        <v>602</v>
      </c>
      <c r="F2002" s="25" t="s">
        <v>601</v>
      </c>
      <c r="G2002" s="24"/>
      <c r="H2002" s="25" t="s">
        <v>613</v>
      </c>
      <c r="I2002" s="27"/>
      <c r="J2002" s="28" t="s">
        <v>636</v>
      </c>
      <c r="K2002" s="27"/>
      <c r="L2002" s="25" t="s">
        <v>637</v>
      </c>
      <c r="M2002" s="25"/>
      <c r="N2002" s="25"/>
      <c r="O2002" s="25"/>
      <c r="P2002" s="25"/>
      <c r="Q2002" s="25"/>
      <c r="R2002" s="25"/>
      <c r="S2002" s="25"/>
      <c r="T2002" s="25"/>
      <c r="U2002" s="25"/>
      <c r="V2002" s="25"/>
      <c r="W2002" s="33"/>
      <c r="X2002" s="33"/>
      <c r="Y2002" s="33"/>
      <c r="Z2002" s="33"/>
      <c r="AA2002" s="33"/>
    </row>
    <row r="2003" spans="1:27" s="70" customFormat="1" ht="67.5" x14ac:dyDescent="0.2">
      <c r="A2003" s="24">
        <v>1999</v>
      </c>
      <c r="B2003" s="24" t="s">
        <v>605</v>
      </c>
      <c r="C2003" s="25" t="s">
        <v>604</v>
      </c>
      <c r="D2003" s="26" t="s">
        <v>603</v>
      </c>
      <c r="E2003" s="25" t="s">
        <v>602</v>
      </c>
      <c r="F2003" s="25" t="s">
        <v>601</v>
      </c>
      <c r="G2003" s="24"/>
      <c r="H2003" s="25" t="s">
        <v>613</v>
      </c>
      <c r="I2003" s="27"/>
      <c r="J2003" s="28" t="s">
        <v>636</v>
      </c>
      <c r="K2003" s="27"/>
      <c r="L2003" s="25" t="s">
        <v>635</v>
      </c>
      <c r="M2003" s="25"/>
      <c r="N2003" s="25"/>
      <c r="O2003" s="25"/>
      <c r="P2003" s="25"/>
      <c r="Q2003" s="25"/>
      <c r="R2003" s="25"/>
      <c r="S2003" s="25"/>
      <c r="T2003" s="25"/>
      <c r="U2003" s="25"/>
      <c r="V2003" s="25"/>
      <c r="W2003" s="33"/>
      <c r="X2003" s="33"/>
      <c r="Y2003" s="33"/>
      <c r="Z2003" s="33"/>
      <c r="AA2003" s="33"/>
    </row>
    <row r="2004" spans="1:27" s="70" customFormat="1" ht="67.5" x14ac:dyDescent="0.2">
      <c r="A2004" s="24">
        <v>2000</v>
      </c>
      <c r="B2004" s="24" t="s">
        <v>605</v>
      </c>
      <c r="C2004" s="25" t="s">
        <v>604</v>
      </c>
      <c r="D2004" s="26" t="s">
        <v>603</v>
      </c>
      <c r="E2004" s="25" t="s">
        <v>602</v>
      </c>
      <c r="F2004" s="25" t="s">
        <v>601</v>
      </c>
      <c r="G2004" s="24"/>
      <c r="H2004" s="25" t="s">
        <v>613</v>
      </c>
      <c r="I2004" s="27"/>
      <c r="J2004" s="28" t="s">
        <v>634</v>
      </c>
      <c r="K2004" s="27"/>
      <c r="L2004" s="25" t="s">
        <v>633</v>
      </c>
      <c r="M2004" s="25"/>
      <c r="N2004" s="25"/>
      <c r="O2004" s="25"/>
      <c r="P2004" s="25"/>
      <c r="Q2004" s="25"/>
      <c r="R2004" s="25"/>
      <c r="S2004" s="25"/>
      <c r="T2004" s="25"/>
      <c r="U2004" s="25"/>
      <c r="V2004" s="25"/>
      <c r="W2004" s="33"/>
      <c r="X2004" s="33"/>
      <c r="Y2004" s="33"/>
      <c r="Z2004" s="33"/>
      <c r="AA2004" s="33"/>
    </row>
    <row r="2005" spans="1:27" s="70" customFormat="1" ht="67.5" x14ac:dyDescent="0.2">
      <c r="A2005" s="24">
        <v>2001</v>
      </c>
      <c r="B2005" s="24" t="s">
        <v>605</v>
      </c>
      <c r="C2005" s="25" t="s">
        <v>604</v>
      </c>
      <c r="D2005" s="26" t="s">
        <v>603</v>
      </c>
      <c r="E2005" s="25" t="s">
        <v>602</v>
      </c>
      <c r="F2005" s="25" t="s">
        <v>601</v>
      </c>
      <c r="G2005" s="24"/>
      <c r="H2005" s="25" t="s">
        <v>613</v>
      </c>
      <c r="I2005" s="27"/>
      <c r="J2005" s="28" t="s">
        <v>632</v>
      </c>
      <c r="K2005" s="27"/>
      <c r="L2005" s="25"/>
      <c r="M2005" s="25"/>
      <c r="N2005" s="25"/>
      <c r="O2005" s="25"/>
      <c r="P2005" s="25"/>
      <c r="Q2005" s="25"/>
      <c r="R2005" s="25"/>
      <c r="S2005" s="25"/>
      <c r="T2005" s="25"/>
      <c r="U2005" s="25"/>
      <c r="V2005" s="25"/>
      <c r="W2005" s="33"/>
      <c r="X2005" s="33"/>
      <c r="Y2005" s="33"/>
      <c r="Z2005" s="33"/>
      <c r="AA2005" s="33"/>
    </row>
    <row r="2006" spans="1:27" s="70" customFormat="1" ht="67.5" x14ac:dyDescent="0.2">
      <c r="A2006" s="24">
        <v>2002</v>
      </c>
      <c r="B2006" s="24" t="s">
        <v>605</v>
      </c>
      <c r="C2006" s="25" t="s">
        <v>604</v>
      </c>
      <c r="D2006" s="26" t="s">
        <v>603</v>
      </c>
      <c r="E2006" s="25" t="s">
        <v>602</v>
      </c>
      <c r="F2006" s="25" t="s">
        <v>601</v>
      </c>
      <c r="G2006" s="24"/>
      <c r="H2006" s="25" t="s">
        <v>613</v>
      </c>
      <c r="I2006" s="27"/>
      <c r="J2006" s="28" t="s">
        <v>631</v>
      </c>
      <c r="K2006" s="27"/>
      <c r="L2006" s="25" t="s">
        <v>630</v>
      </c>
      <c r="M2006" s="25"/>
      <c r="N2006" s="25"/>
      <c r="O2006" s="25"/>
      <c r="P2006" s="25"/>
      <c r="Q2006" s="25"/>
      <c r="R2006" s="25"/>
      <c r="S2006" s="25"/>
      <c r="T2006" s="25"/>
      <c r="U2006" s="25"/>
      <c r="V2006" s="25"/>
      <c r="W2006" s="33"/>
      <c r="X2006" s="33"/>
      <c r="Y2006" s="33"/>
      <c r="Z2006" s="33"/>
      <c r="AA2006" s="33"/>
    </row>
    <row r="2007" spans="1:27" s="70" customFormat="1" ht="67.5" x14ac:dyDescent="0.2">
      <c r="A2007" s="24">
        <v>2003</v>
      </c>
      <c r="B2007" s="24" t="s">
        <v>605</v>
      </c>
      <c r="C2007" s="25" t="s">
        <v>604</v>
      </c>
      <c r="D2007" s="26" t="s">
        <v>603</v>
      </c>
      <c r="E2007" s="25" t="s">
        <v>602</v>
      </c>
      <c r="F2007" s="25" t="s">
        <v>601</v>
      </c>
      <c r="G2007" s="24"/>
      <c r="H2007" s="25" t="s">
        <v>613</v>
      </c>
      <c r="I2007" s="27"/>
      <c r="J2007" s="28" t="s">
        <v>629</v>
      </c>
      <c r="K2007" s="27"/>
      <c r="L2007" s="25"/>
      <c r="M2007" s="25"/>
      <c r="N2007" s="25"/>
      <c r="O2007" s="25"/>
      <c r="P2007" s="25"/>
      <c r="Q2007" s="25"/>
      <c r="R2007" s="25"/>
      <c r="S2007" s="25"/>
      <c r="T2007" s="25"/>
      <c r="U2007" s="25"/>
      <c r="V2007" s="25"/>
      <c r="W2007" s="33"/>
      <c r="X2007" s="33"/>
      <c r="Y2007" s="33"/>
      <c r="Z2007" s="33"/>
      <c r="AA2007" s="33"/>
    </row>
    <row r="2008" spans="1:27" s="70" customFormat="1" ht="67.5" x14ac:dyDescent="0.2">
      <c r="A2008" s="24">
        <v>2004</v>
      </c>
      <c r="B2008" s="24" t="s">
        <v>605</v>
      </c>
      <c r="C2008" s="25" t="s">
        <v>604</v>
      </c>
      <c r="D2008" s="26" t="s">
        <v>603</v>
      </c>
      <c r="E2008" s="25" t="s">
        <v>602</v>
      </c>
      <c r="F2008" s="25" t="s">
        <v>601</v>
      </c>
      <c r="G2008" s="24"/>
      <c r="H2008" s="25" t="s">
        <v>613</v>
      </c>
      <c r="I2008" s="27"/>
      <c r="J2008" s="28" t="s">
        <v>628</v>
      </c>
      <c r="K2008" s="27"/>
      <c r="L2008" s="25"/>
      <c r="M2008" s="25"/>
      <c r="N2008" s="25"/>
      <c r="O2008" s="25"/>
      <c r="P2008" s="25"/>
      <c r="Q2008" s="25"/>
      <c r="R2008" s="25"/>
      <c r="S2008" s="25"/>
      <c r="T2008" s="25"/>
      <c r="U2008" s="25"/>
      <c r="V2008" s="25"/>
      <c r="W2008" s="33"/>
      <c r="X2008" s="33"/>
      <c r="Y2008" s="33"/>
      <c r="Z2008" s="33"/>
      <c r="AA2008" s="33"/>
    </row>
    <row r="2009" spans="1:27" s="70" customFormat="1" ht="67.5" x14ac:dyDescent="0.2">
      <c r="A2009" s="24">
        <v>2005</v>
      </c>
      <c r="B2009" s="24" t="s">
        <v>605</v>
      </c>
      <c r="C2009" s="25" t="s">
        <v>604</v>
      </c>
      <c r="D2009" s="26" t="s">
        <v>603</v>
      </c>
      <c r="E2009" s="25" t="s">
        <v>602</v>
      </c>
      <c r="F2009" s="25" t="s">
        <v>601</v>
      </c>
      <c r="G2009" s="24"/>
      <c r="H2009" s="25" t="s">
        <v>613</v>
      </c>
      <c r="I2009" s="27"/>
      <c r="J2009" s="28" t="s">
        <v>627</v>
      </c>
      <c r="K2009" s="27"/>
      <c r="L2009" s="25" t="s">
        <v>626</v>
      </c>
      <c r="M2009" s="25"/>
      <c r="N2009" s="25"/>
      <c r="O2009" s="25"/>
      <c r="P2009" s="25"/>
      <c r="Q2009" s="25"/>
      <c r="R2009" s="25"/>
      <c r="S2009" s="25"/>
      <c r="T2009" s="25"/>
      <c r="U2009" s="25"/>
      <c r="V2009" s="25"/>
      <c r="W2009" s="33"/>
      <c r="X2009" s="33"/>
      <c r="Y2009" s="33"/>
      <c r="Z2009" s="33"/>
      <c r="AA2009" s="33"/>
    </row>
    <row r="2010" spans="1:27" s="70" customFormat="1" ht="67.5" x14ac:dyDescent="0.2">
      <c r="A2010" s="24">
        <v>2006</v>
      </c>
      <c r="B2010" s="24" t="s">
        <v>605</v>
      </c>
      <c r="C2010" s="25" t="s">
        <v>604</v>
      </c>
      <c r="D2010" s="26" t="s">
        <v>603</v>
      </c>
      <c r="E2010" s="25" t="s">
        <v>602</v>
      </c>
      <c r="F2010" s="25" t="s">
        <v>601</v>
      </c>
      <c r="G2010" s="24"/>
      <c r="H2010" s="25" t="s">
        <v>613</v>
      </c>
      <c r="I2010" s="27"/>
      <c r="J2010" s="28" t="s">
        <v>622</v>
      </c>
      <c r="K2010" s="27"/>
      <c r="L2010" s="25" t="s">
        <v>625</v>
      </c>
      <c r="M2010" s="25"/>
      <c r="N2010" s="25"/>
      <c r="O2010" s="25"/>
      <c r="P2010" s="25"/>
      <c r="Q2010" s="25"/>
      <c r="R2010" s="25"/>
      <c r="S2010" s="25"/>
      <c r="T2010" s="25"/>
      <c r="U2010" s="25"/>
      <c r="V2010" s="25"/>
      <c r="W2010" s="33"/>
      <c r="X2010" s="33"/>
      <c r="Y2010" s="33"/>
      <c r="Z2010" s="33"/>
      <c r="AA2010" s="33"/>
    </row>
    <row r="2011" spans="1:27" s="70" customFormat="1" ht="67.5" x14ac:dyDescent="0.2">
      <c r="A2011" s="24">
        <v>2007</v>
      </c>
      <c r="B2011" s="24" t="s">
        <v>605</v>
      </c>
      <c r="C2011" s="25" t="s">
        <v>604</v>
      </c>
      <c r="D2011" s="26" t="s">
        <v>603</v>
      </c>
      <c r="E2011" s="25" t="s">
        <v>602</v>
      </c>
      <c r="F2011" s="25" t="s">
        <v>601</v>
      </c>
      <c r="G2011" s="24"/>
      <c r="H2011" s="25" t="s">
        <v>613</v>
      </c>
      <c r="I2011" s="27"/>
      <c r="J2011" s="28" t="s">
        <v>622</v>
      </c>
      <c r="K2011" s="27"/>
      <c r="L2011" s="25" t="s">
        <v>624</v>
      </c>
      <c r="M2011" s="25"/>
      <c r="N2011" s="25"/>
      <c r="O2011" s="25"/>
      <c r="P2011" s="25"/>
      <c r="Q2011" s="25"/>
      <c r="R2011" s="25"/>
      <c r="S2011" s="25"/>
      <c r="T2011" s="25"/>
      <c r="U2011" s="25"/>
      <c r="V2011" s="25"/>
      <c r="W2011" s="33"/>
      <c r="X2011" s="33"/>
      <c r="Y2011" s="33"/>
      <c r="Z2011" s="33"/>
      <c r="AA2011" s="33"/>
    </row>
    <row r="2012" spans="1:27" s="70" customFormat="1" ht="67.5" x14ac:dyDescent="0.2">
      <c r="A2012" s="24">
        <v>2008</v>
      </c>
      <c r="B2012" s="24" t="s">
        <v>605</v>
      </c>
      <c r="C2012" s="25" t="s">
        <v>604</v>
      </c>
      <c r="D2012" s="26" t="s">
        <v>603</v>
      </c>
      <c r="E2012" s="25" t="s">
        <v>602</v>
      </c>
      <c r="F2012" s="25" t="s">
        <v>601</v>
      </c>
      <c r="G2012" s="24"/>
      <c r="H2012" s="25" t="s">
        <v>613</v>
      </c>
      <c r="I2012" s="27"/>
      <c r="J2012" s="28" t="s">
        <v>622</v>
      </c>
      <c r="K2012" s="27"/>
      <c r="L2012" s="25" t="s">
        <v>623</v>
      </c>
      <c r="M2012" s="25"/>
      <c r="N2012" s="25"/>
      <c r="O2012" s="25"/>
      <c r="P2012" s="25"/>
      <c r="Q2012" s="25"/>
      <c r="R2012" s="25"/>
      <c r="S2012" s="25"/>
      <c r="T2012" s="25"/>
      <c r="U2012" s="25"/>
      <c r="V2012" s="25"/>
      <c r="W2012" s="33"/>
      <c r="X2012" s="33"/>
      <c r="Y2012" s="33"/>
      <c r="Z2012" s="33"/>
      <c r="AA2012" s="33"/>
    </row>
    <row r="2013" spans="1:27" s="70" customFormat="1" ht="67.5" x14ac:dyDescent="0.2">
      <c r="A2013" s="24">
        <v>2009</v>
      </c>
      <c r="B2013" s="24" t="s">
        <v>605</v>
      </c>
      <c r="C2013" s="25" t="s">
        <v>604</v>
      </c>
      <c r="D2013" s="26" t="s">
        <v>603</v>
      </c>
      <c r="E2013" s="25" t="s">
        <v>602</v>
      </c>
      <c r="F2013" s="25" t="s">
        <v>601</v>
      </c>
      <c r="G2013" s="24"/>
      <c r="H2013" s="25" t="s">
        <v>613</v>
      </c>
      <c r="I2013" s="27"/>
      <c r="J2013" s="28" t="s">
        <v>622</v>
      </c>
      <c r="K2013" s="27"/>
      <c r="L2013" s="25" t="s">
        <v>621</v>
      </c>
      <c r="M2013" s="25"/>
      <c r="N2013" s="25"/>
      <c r="O2013" s="25"/>
      <c r="P2013" s="25"/>
      <c r="Q2013" s="25"/>
      <c r="R2013" s="25"/>
      <c r="S2013" s="25"/>
      <c r="T2013" s="25"/>
      <c r="U2013" s="25"/>
      <c r="V2013" s="25"/>
      <c r="W2013" s="33"/>
      <c r="X2013" s="33"/>
      <c r="Y2013" s="33"/>
      <c r="Z2013" s="33"/>
      <c r="AA2013" s="33"/>
    </row>
    <row r="2014" spans="1:27" s="70" customFormat="1" ht="67.5" x14ac:dyDescent="0.2">
      <c r="A2014" s="24">
        <v>2010</v>
      </c>
      <c r="B2014" s="24" t="s">
        <v>605</v>
      </c>
      <c r="C2014" s="25" t="s">
        <v>604</v>
      </c>
      <c r="D2014" s="26" t="s">
        <v>603</v>
      </c>
      <c r="E2014" s="25" t="s">
        <v>602</v>
      </c>
      <c r="F2014" s="25" t="s">
        <v>601</v>
      </c>
      <c r="G2014" s="24"/>
      <c r="H2014" s="25" t="s">
        <v>613</v>
      </c>
      <c r="I2014" s="27"/>
      <c r="J2014" s="28" t="s">
        <v>620</v>
      </c>
      <c r="K2014" s="27"/>
      <c r="L2014" s="25" t="s">
        <v>619</v>
      </c>
      <c r="M2014" s="25"/>
      <c r="N2014" s="25"/>
      <c r="O2014" s="25"/>
      <c r="P2014" s="25"/>
      <c r="Q2014" s="25"/>
      <c r="R2014" s="25"/>
      <c r="S2014" s="25"/>
      <c r="T2014" s="25"/>
      <c r="U2014" s="25"/>
      <c r="V2014" s="25"/>
      <c r="W2014" s="33"/>
      <c r="X2014" s="33"/>
      <c r="Y2014" s="33"/>
      <c r="Z2014" s="33"/>
      <c r="AA2014" s="33"/>
    </row>
    <row r="2015" spans="1:27" s="70" customFormat="1" ht="67.5" x14ac:dyDescent="0.2">
      <c r="A2015" s="24">
        <v>2011</v>
      </c>
      <c r="B2015" s="24" t="s">
        <v>605</v>
      </c>
      <c r="C2015" s="25" t="s">
        <v>604</v>
      </c>
      <c r="D2015" s="26" t="s">
        <v>603</v>
      </c>
      <c r="E2015" s="25" t="s">
        <v>602</v>
      </c>
      <c r="F2015" s="25" t="s">
        <v>601</v>
      </c>
      <c r="G2015" s="24"/>
      <c r="H2015" s="25" t="s">
        <v>613</v>
      </c>
      <c r="I2015" s="27"/>
      <c r="J2015" s="28" t="s">
        <v>616</v>
      </c>
      <c r="K2015" s="27"/>
      <c r="L2015" s="25" t="s">
        <v>618</v>
      </c>
      <c r="M2015" s="25"/>
      <c r="N2015" s="25"/>
      <c r="O2015" s="25"/>
      <c r="P2015" s="25"/>
      <c r="Q2015" s="25"/>
      <c r="R2015" s="25"/>
      <c r="S2015" s="25"/>
      <c r="T2015" s="25"/>
      <c r="U2015" s="25"/>
      <c r="V2015" s="25"/>
      <c r="W2015" s="33"/>
      <c r="X2015" s="33"/>
      <c r="Y2015" s="33"/>
      <c r="Z2015" s="33"/>
      <c r="AA2015" s="33"/>
    </row>
    <row r="2016" spans="1:27" s="70" customFormat="1" ht="67.5" x14ac:dyDescent="0.2">
      <c r="A2016" s="24">
        <v>2012</v>
      </c>
      <c r="B2016" s="24" t="s">
        <v>605</v>
      </c>
      <c r="C2016" s="25" t="s">
        <v>604</v>
      </c>
      <c r="D2016" s="26" t="s">
        <v>603</v>
      </c>
      <c r="E2016" s="25" t="s">
        <v>602</v>
      </c>
      <c r="F2016" s="25" t="s">
        <v>601</v>
      </c>
      <c r="G2016" s="24"/>
      <c r="H2016" s="25" t="s">
        <v>613</v>
      </c>
      <c r="I2016" s="27"/>
      <c r="J2016" s="28" t="s">
        <v>616</v>
      </c>
      <c r="K2016" s="27"/>
      <c r="L2016" s="25" t="s">
        <v>617</v>
      </c>
      <c r="M2016" s="25"/>
      <c r="N2016" s="25"/>
      <c r="O2016" s="25"/>
      <c r="P2016" s="25"/>
      <c r="Q2016" s="25"/>
      <c r="R2016" s="25"/>
      <c r="S2016" s="25"/>
      <c r="T2016" s="25"/>
      <c r="U2016" s="25"/>
      <c r="V2016" s="25"/>
      <c r="W2016" s="33"/>
      <c r="X2016" s="33"/>
      <c r="Y2016" s="33"/>
      <c r="Z2016" s="33"/>
      <c r="AA2016" s="33"/>
    </row>
    <row r="2017" spans="1:27" s="70" customFormat="1" ht="67.5" x14ac:dyDescent="0.2">
      <c r="A2017" s="24">
        <v>2013</v>
      </c>
      <c r="B2017" s="24" t="s">
        <v>605</v>
      </c>
      <c r="C2017" s="25" t="s">
        <v>604</v>
      </c>
      <c r="D2017" s="26" t="s">
        <v>603</v>
      </c>
      <c r="E2017" s="25" t="s">
        <v>602</v>
      </c>
      <c r="F2017" s="25" t="s">
        <v>601</v>
      </c>
      <c r="G2017" s="24"/>
      <c r="H2017" s="25" t="s">
        <v>613</v>
      </c>
      <c r="I2017" s="27"/>
      <c r="J2017" s="28" t="s">
        <v>616</v>
      </c>
      <c r="K2017" s="27"/>
      <c r="L2017" s="25" t="s">
        <v>615</v>
      </c>
      <c r="M2017" s="25"/>
      <c r="N2017" s="25"/>
      <c r="O2017" s="25"/>
      <c r="P2017" s="25"/>
      <c r="Q2017" s="25"/>
      <c r="R2017" s="25"/>
      <c r="S2017" s="25"/>
      <c r="T2017" s="25"/>
      <c r="U2017" s="25"/>
      <c r="V2017" s="25"/>
      <c r="W2017" s="33"/>
      <c r="X2017" s="33"/>
      <c r="Y2017" s="33"/>
      <c r="Z2017" s="33"/>
      <c r="AA2017" s="33"/>
    </row>
    <row r="2018" spans="1:27" s="70" customFormat="1" ht="67.5" x14ac:dyDescent="0.2">
      <c r="A2018" s="24">
        <v>2014</v>
      </c>
      <c r="B2018" s="24" t="s">
        <v>605</v>
      </c>
      <c r="C2018" s="25" t="s">
        <v>604</v>
      </c>
      <c r="D2018" s="26" t="s">
        <v>603</v>
      </c>
      <c r="E2018" s="25" t="s">
        <v>602</v>
      </c>
      <c r="F2018" s="25" t="s">
        <v>601</v>
      </c>
      <c r="G2018" s="24"/>
      <c r="H2018" s="25" t="s">
        <v>613</v>
      </c>
      <c r="I2018" s="27"/>
      <c r="J2018" s="28" t="s">
        <v>614</v>
      </c>
      <c r="K2018" s="27"/>
      <c r="L2018" s="25"/>
      <c r="M2018" s="25"/>
      <c r="N2018" s="25"/>
      <c r="O2018" s="25"/>
      <c r="P2018" s="25"/>
      <c r="Q2018" s="25"/>
      <c r="R2018" s="25"/>
      <c r="S2018" s="25"/>
      <c r="T2018" s="25"/>
      <c r="U2018" s="25"/>
      <c r="V2018" s="25"/>
      <c r="W2018" s="33"/>
      <c r="X2018" s="33"/>
      <c r="Y2018" s="33"/>
      <c r="Z2018" s="33"/>
      <c r="AA2018" s="33"/>
    </row>
    <row r="2019" spans="1:27" s="70" customFormat="1" ht="67.5" x14ac:dyDescent="0.2">
      <c r="A2019" s="24">
        <v>2015</v>
      </c>
      <c r="B2019" s="24" t="s">
        <v>605</v>
      </c>
      <c r="C2019" s="25" t="s">
        <v>604</v>
      </c>
      <c r="D2019" s="26" t="s">
        <v>603</v>
      </c>
      <c r="E2019" s="25" t="s">
        <v>602</v>
      </c>
      <c r="F2019" s="25" t="s">
        <v>601</v>
      </c>
      <c r="G2019" s="24"/>
      <c r="H2019" s="25" t="s">
        <v>613</v>
      </c>
      <c r="I2019" s="27"/>
      <c r="J2019" s="28" t="s">
        <v>612</v>
      </c>
      <c r="K2019" s="27"/>
      <c r="L2019" s="25"/>
      <c r="M2019" s="25"/>
      <c r="N2019" s="25"/>
      <c r="O2019" s="25"/>
      <c r="P2019" s="25"/>
      <c r="Q2019" s="25"/>
      <c r="R2019" s="25"/>
      <c r="S2019" s="25"/>
      <c r="T2019" s="25"/>
      <c r="U2019" s="25"/>
      <c r="V2019" s="25"/>
      <c r="W2019" s="33"/>
      <c r="X2019" s="33"/>
      <c r="Y2019" s="33"/>
      <c r="Z2019" s="33"/>
      <c r="AA2019" s="33"/>
    </row>
    <row r="2020" spans="1:27" s="70" customFormat="1" ht="67.5" x14ac:dyDescent="0.2">
      <c r="A2020" s="24">
        <v>2016</v>
      </c>
      <c r="B2020" s="24" t="s">
        <v>605</v>
      </c>
      <c r="C2020" s="25" t="s">
        <v>604</v>
      </c>
      <c r="D2020" s="26"/>
      <c r="E2020" s="25" t="s">
        <v>602</v>
      </c>
      <c r="F2020" s="25" t="s">
        <v>601</v>
      </c>
      <c r="G2020" s="24"/>
      <c r="H2020" s="25" t="s">
        <v>600</v>
      </c>
      <c r="I2020" s="27"/>
      <c r="J2020" s="28" t="s">
        <v>600</v>
      </c>
      <c r="K2020" s="27"/>
      <c r="L2020" s="25" t="s">
        <v>611</v>
      </c>
      <c r="M2020" s="25"/>
      <c r="N2020" s="25"/>
      <c r="O2020" s="25"/>
      <c r="P2020" s="25"/>
      <c r="Q2020" s="25"/>
      <c r="R2020" s="25"/>
      <c r="S2020" s="25"/>
      <c r="T2020" s="25"/>
      <c r="U2020" s="25"/>
      <c r="V2020" s="25"/>
      <c r="W2020" s="33"/>
      <c r="X2020" s="33"/>
      <c r="Y2020" s="33"/>
      <c r="Z2020" s="33"/>
      <c r="AA2020" s="33"/>
    </row>
    <row r="2021" spans="1:27" s="70" customFormat="1" ht="67.5" x14ac:dyDescent="0.2">
      <c r="A2021" s="24">
        <v>2017</v>
      </c>
      <c r="B2021" s="24" t="s">
        <v>605</v>
      </c>
      <c r="C2021" s="25" t="s">
        <v>604</v>
      </c>
      <c r="D2021" s="26"/>
      <c r="E2021" s="25" t="s">
        <v>602</v>
      </c>
      <c r="F2021" s="25" t="s">
        <v>601</v>
      </c>
      <c r="G2021" s="24"/>
      <c r="H2021" s="25" t="s">
        <v>600</v>
      </c>
      <c r="I2021" s="27"/>
      <c r="J2021" s="28" t="s">
        <v>600</v>
      </c>
      <c r="K2021" s="27"/>
      <c r="L2021" s="25" t="s">
        <v>610</v>
      </c>
      <c r="M2021" s="25"/>
      <c r="N2021" s="25"/>
      <c r="O2021" s="25"/>
      <c r="P2021" s="25"/>
      <c r="Q2021" s="25"/>
      <c r="R2021" s="25"/>
      <c r="S2021" s="25"/>
      <c r="T2021" s="25"/>
      <c r="U2021" s="25"/>
      <c r="V2021" s="25"/>
      <c r="W2021" s="33"/>
      <c r="X2021" s="33"/>
      <c r="Y2021" s="33"/>
      <c r="Z2021" s="33"/>
      <c r="AA2021" s="33"/>
    </row>
    <row r="2022" spans="1:27" s="70" customFormat="1" ht="67.5" x14ac:dyDescent="0.2">
      <c r="A2022" s="24">
        <v>2018</v>
      </c>
      <c r="B2022" s="24" t="s">
        <v>605</v>
      </c>
      <c r="C2022" s="25" t="s">
        <v>604</v>
      </c>
      <c r="D2022" s="26"/>
      <c r="E2022" s="25" t="s">
        <v>602</v>
      </c>
      <c r="F2022" s="25" t="s">
        <v>601</v>
      </c>
      <c r="G2022" s="24"/>
      <c r="H2022" s="25" t="s">
        <v>600</v>
      </c>
      <c r="I2022" s="27"/>
      <c r="J2022" s="28" t="s">
        <v>600</v>
      </c>
      <c r="K2022" s="27"/>
      <c r="L2022" s="25" t="s">
        <v>609</v>
      </c>
      <c r="M2022" s="25"/>
      <c r="N2022" s="25"/>
      <c r="O2022" s="25"/>
      <c r="P2022" s="25"/>
      <c r="Q2022" s="25"/>
      <c r="R2022" s="25"/>
      <c r="S2022" s="25"/>
      <c r="T2022" s="25"/>
      <c r="U2022" s="25"/>
      <c r="V2022" s="25"/>
      <c r="W2022" s="33"/>
      <c r="X2022" s="33"/>
      <c r="Y2022" s="33"/>
      <c r="Z2022" s="33"/>
      <c r="AA2022" s="33"/>
    </row>
    <row r="2023" spans="1:27" s="70" customFormat="1" ht="67.5" x14ac:dyDescent="0.2">
      <c r="A2023" s="24">
        <v>2019</v>
      </c>
      <c r="B2023" s="24" t="s">
        <v>605</v>
      </c>
      <c r="C2023" s="25" t="s">
        <v>604</v>
      </c>
      <c r="D2023" s="26"/>
      <c r="E2023" s="25" t="s">
        <v>602</v>
      </c>
      <c r="F2023" s="25" t="s">
        <v>601</v>
      </c>
      <c r="G2023" s="24"/>
      <c r="H2023" s="25" t="s">
        <v>600</v>
      </c>
      <c r="I2023" s="27"/>
      <c r="J2023" s="28" t="s">
        <v>600</v>
      </c>
      <c r="K2023" s="27"/>
      <c r="L2023" s="25" t="s">
        <v>608</v>
      </c>
      <c r="M2023" s="25"/>
      <c r="N2023" s="25"/>
      <c r="O2023" s="25"/>
      <c r="P2023" s="25"/>
      <c r="Q2023" s="25"/>
      <c r="R2023" s="25"/>
      <c r="S2023" s="25"/>
      <c r="T2023" s="25"/>
      <c r="U2023" s="25"/>
      <c r="V2023" s="25"/>
      <c r="W2023" s="33"/>
      <c r="X2023" s="33"/>
      <c r="Y2023" s="33"/>
      <c r="Z2023" s="33"/>
      <c r="AA2023" s="33"/>
    </row>
    <row r="2024" spans="1:27" s="70" customFormat="1" ht="67.5" x14ac:dyDescent="0.2">
      <c r="A2024" s="24">
        <v>2020</v>
      </c>
      <c r="B2024" s="24" t="s">
        <v>605</v>
      </c>
      <c r="C2024" s="25" t="s">
        <v>604</v>
      </c>
      <c r="D2024" s="26"/>
      <c r="E2024" s="25" t="s">
        <v>602</v>
      </c>
      <c r="F2024" s="25" t="s">
        <v>601</v>
      </c>
      <c r="G2024" s="24"/>
      <c r="H2024" s="25" t="s">
        <v>600</v>
      </c>
      <c r="I2024" s="27"/>
      <c r="J2024" s="28" t="s">
        <v>600</v>
      </c>
      <c r="K2024" s="27"/>
      <c r="L2024" s="25" t="s">
        <v>607</v>
      </c>
      <c r="M2024" s="25"/>
      <c r="N2024" s="25"/>
      <c r="O2024" s="25"/>
      <c r="P2024" s="25"/>
      <c r="Q2024" s="25"/>
      <c r="R2024" s="25"/>
      <c r="S2024" s="25"/>
      <c r="T2024" s="25"/>
      <c r="U2024" s="25"/>
      <c r="V2024" s="25"/>
      <c r="W2024" s="33"/>
      <c r="X2024" s="33"/>
      <c r="Y2024" s="33"/>
      <c r="Z2024" s="33"/>
      <c r="AA2024" s="33"/>
    </row>
    <row r="2025" spans="1:27" s="70" customFormat="1" ht="67.5" x14ac:dyDescent="0.2">
      <c r="A2025" s="24">
        <v>2021</v>
      </c>
      <c r="B2025" s="24" t="s">
        <v>605</v>
      </c>
      <c r="C2025" s="25" t="s">
        <v>604</v>
      </c>
      <c r="D2025" s="26"/>
      <c r="E2025" s="25" t="s">
        <v>602</v>
      </c>
      <c r="F2025" s="25" t="s">
        <v>601</v>
      </c>
      <c r="G2025" s="24"/>
      <c r="H2025" s="25" t="s">
        <v>600</v>
      </c>
      <c r="I2025" s="27"/>
      <c r="J2025" s="28" t="s">
        <v>600</v>
      </c>
      <c r="K2025" s="27"/>
      <c r="L2025" s="25" t="s">
        <v>606</v>
      </c>
      <c r="M2025" s="25"/>
      <c r="N2025" s="25"/>
      <c r="O2025" s="25"/>
      <c r="P2025" s="25"/>
      <c r="Q2025" s="25"/>
      <c r="R2025" s="25"/>
      <c r="S2025" s="25"/>
      <c r="T2025" s="25"/>
      <c r="U2025" s="25"/>
      <c r="V2025" s="25"/>
      <c r="W2025" s="33"/>
      <c r="X2025" s="33"/>
      <c r="Y2025" s="33"/>
      <c r="Z2025" s="33"/>
      <c r="AA2025" s="33"/>
    </row>
    <row r="2026" spans="1:27" s="70" customFormat="1" ht="67.5" x14ac:dyDescent="0.2">
      <c r="A2026" s="24">
        <v>2022</v>
      </c>
      <c r="B2026" s="24" t="s">
        <v>605</v>
      </c>
      <c r="C2026" s="25" t="s">
        <v>604</v>
      </c>
      <c r="D2026" s="26" t="s">
        <v>603</v>
      </c>
      <c r="E2026" s="25" t="s">
        <v>602</v>
      </c>
      <c r="F2026" s="25" t="s">
        <v>601</v>
      </c>
      <c r="G2026" s="24"/>
      <c r="H2026" s="25" t="s">
        <v>600</v>
      </c>
      <c r="I2026" s="27"/>
      <c r="J2026" s="28" t="s">
        <v>600</v>
      </c>
      <c r="K2026" s="27"/>
      <c r="L2026" s="25" t="s">
        <v>599</v>
      </c>
      <c r="M2026" s="25"/>
      <c r="N2026" s="25"/>
      <c r="O2026" s="25"/>
      <c r="P2026" s="25"/>
      <c r="Q2026" s="25"/>
      <c r="R2026" s="25"/>
      <c r="S2026" s="25"/>
      <c r="T2026" s="25"/>
      <c r="U2026" s="25"/>
      <c r="V2026" s="25"/>
      <c r="W2026" s="33"/>
      <c r="X2026" s="33"/>
      <c r="Y2026" s="33"/>
      <c r="Z2026" s="33"/>
      <c r="AA2026" s="33"/>
    </row>
    <row r="2027" spans="1:27" s="70" customFormat="1" ht="56.25" x14ac:dyDescent="0.2">
      <c r="A2027" s="24">
        <v>2023</v>
      </c>
      <c r="B2027" s="27" t="s">
        <v>223</v>
      </c>
      <c r="C2027" s="28" t="s">
        <v>222</v>
      </c>
      <c r="D2027" s="71" t="s">
        <v>497</v>
      </c>
      <c r="E2027" s="28" t="s">
        <v>496</v>
      </c>
      <c r="F2027" s="28" t="s">
        <v>375</v>
      </c>
      <c r="G2027" s="27"/>
      <c r="H2027" s="28" t="s">
        <v>567</v>
      </c>
      <c r="I2027" s="27"/>
      <c r="J2027" s="28" t="s">
        <v>598</v>
      </c>
      <c r="K2027" s="27"/>
      <c r="L2027" s="25" t="s">
        <v>597</v>
      </c>
      <c r="M2027" s="25" t="s">
        <v>564</v>
      </c>
      <c r="N2027" s="25">
        <v>2</v>
      </c>
      <c r="O2027" s="25">
        <v>20</v>
      </c>
      <c r="P2027" s="25">
        <v>24</v>
      </c>
      <c r="Q2027" s="25">
        <v>48</v>
      </c>
      <c r="R2027" s="25">
        <v>0</v>
      </c>
      <c r="S2027" s="25">
        <v>8</v>
      </c>
      <c r="T2027" s="25">
        <v>3</v>
      </c>
      <c r="U2027" s="25">
        <v>103</v>
      </c>
      <c r="V2027" s="25"/>
      <c r="W2027" s="33" t="s">
        <v>22</v>
      </c>
      <c r="X2027" s="33"/>
      <c r="Y2027" s="33"/>
      <c r="Z2027" s="33"/>
      <c r="AA2027" s="33"/>
    </row>
    <row r="2028" spans="1:27" s="70" customFormat="1" ht="56.25" x14ac:dyDescent="0.2">
      <c r="A2028" s="24">
        <v>2024</v>
      </c>
      <c r="B2028" s="27" t="s">
        <v>223</v>
      </c>
      <c r="C2028" s="28" t="s">
        <v>222</v>
      </c>
      <c r="D2028" s="71" t="s">
        <v>497</v>
      </c>
      <c r="E2028" s="28" t="s">
        <v>496</v>
      </c>
      <c r="F2028" s="28" t="s">
        <v>375</v>
      </c>
      <c r="G2028" s="27"/>
      <c r="H2028" s="28" t="s">
        <v>567</v>
      </c>
      <c r="I2028" s="27"/>
      <c r="J2028" s="28" t="s">
        <v>596</v>
      </c>
      <c r="K2028" s="27"/>
      <c r="L2028" s="25" t="s">
        <v>595</v>
      </c>
      <c r="M2028" s="25" t="s">
        <v>190</v>
      </c>
      <c r="N2028" s="25">
        <v>2</v>
      </c>
      <c r="O2028" s="25">
        <v>0</v>
      </c>
      <c r="P2028" s="25">
        <v>6</v>
      </c>
      <c r="Q2028" s="25">
        <v>32</v>
      </c>
      <c r="R2028" s="25">
        <v>0</v>
      </c>
      <c r="S2028" s="25">
        <v>8</v>
      </c>
      <c r="T2028" s="25">
        <v>4</v>
      </c>
      <c r="U2028" s="25">
        <v>50</v>
      </c>
      <c r="V2028" s="25"/>
      <c r="W2028" s="33" t="s">
        <v>22</v>
      </c>
      <c r="X2028" s="33"/>
      <c r="Y2028" s="33"/>
      <c r="Z2028" s="33"/>
      <c r="AA2028" s="33"/>
    </row>
    <row r="2029" spans="1:27" s="70" customFormat="1" ht="56.25" x14ac:dyDescent="0.2">
      <c r="A2029" s="24">
        <v>2025</v>
      </c>
      <c r="B2029" s="27" t="s">
        <v>223</v>
      </c>
      <c r="C2029" s="28" t="s">
        <v>222</v>
      </c>
      <c r="D2029" s="71" t="s">
        <v>497</v>
      </c>
      <c r="E2029" s="28" t="s">
        <v>496</v>
      </c>
      <c r="F2029" s="28" t="s">
        <v>375</v>
      </c>
      <c r="G2029" s="27"/>
      <c r="H2029" s="28" t="s">
        <v>567</v>
      </c>
      <c r="I2029" s="27"/>
      <c r="J2029" s="28" t="s">
        <v>594</v>
      </c>
      <c r="K2029" s="27"/>
      <c r="L2029" s="25" t="s">
        <v>593</v>
      </c>
      <c r="M2029" s="25" t="s">
        <v>592</v>
      </c>
      <c r="N2029" s="25">
        <v>1</v>
      </c>
      <c r="O2029" s="25">
        <v>0</v>
      </c>
      <c r="P2029" s="25">
        <v>0</v>
      </c>
      <c r="Q2029" s="25">
        <v>8</v>
      </c>
      <c r="R2029" s="25">
        <v>0</v>
      </c>
      <c r="S2029" s="25">
        <v>0</v>
      </c>
      <c r="T2029" s="25">
        <v>5</v>
      </c>
      <c r="U2029" s="25">
        <v>13</v>
      </c>
      <c r="V2029" s="25"/>
      <c r="W2029" s="33" t="s">
        <v>22</v>
      </c>
      <c r="X2029" s="33"/>
      <c r="Y2029" s="33"/>
      <c r="Z2029" s="33"/>
      <c r="AA2029" s="33"/>
    </row>
    <row r="2030" spans="1:27" s="70" customFormat="1" ht="56.25" x14ac:dyDescent="0.2">
      <c r="A2030" s="24">
        <v>2026</v>
      </c>
      <c r="B2030" s="27" t="s">
        <v>223</v>
      </c>
      <c r="C2030" s="28" t="s">
        <v>222</v>
      </c>
      <c r="D2030" s="71" t="s">
        <v>497</v>
      </c>
      <c r="E2030" s="28" t="s">
        <v>496</v>
      </c>
      <c r="F2030" s="28" t="s">
        <v>375</v>
      </c>
      <c r="G2030" s="27"/>
      <c r="H2030" s="28" t="s">
        <v>567</v>
      </c>
      <c r="I2030" s="27"/>
      <c r="J2030" s="28" t="s">
        <v>591</v>
      </c>
      <c r="K2030" s="27"/>
      <c r="L2030" s="25"/>
      <c r="M2030" s="25"/>
      <c r="N2030" s="25"/>
      <c r="O2030" s="25"/>
      <c r="P2030" s="25"/>
      <c r="Q2030" s="25"/>
      <c r="R2030" s="25"/>
      <c r="S2030" s="25"/>
      <c r="T2030" s="25"/>
      <c r="U2030" s="25"/>
      <c r="V2030" s="25"/>
      <c r="W2030" s="33"/>
      <c r="X2030" s="33"/>
      <c r="Y2030" s="33"/>
      <c r="Z2030" s="33"/>
      <c r="AA2030" s="33"/>
    </row>
    <row r="2031" spans="1:27" s="70" customFormat="1" ht="56.25" x14ac:dyDescent="0.2">
      <c r="A2031" s="24">
        <v>2027</v>
      </c>
      <c r="B2031" s="27" t="s">
        <v>223</v>
      </c>
      <c r="C2031" s="28" t="s">
        <v>222</v>
      </c>
      <c r="D2031" s="71" t="s">
        <v>497</v>
      </c>
      <c r="E2031" s="28" t="s">
        <v>496</v>
      </c>
      <c r="F2031" s="28" t="s">
        <v>375</v>
      </c>
      <c r="G2031" s="27"/>
      <c r="H2031" s="28" t="s">
        <v>567</v>
      </c>
      <c r="I2031" s="27"/>
      <c r="J2031" s="28" t="s">
        <v>580</v>
      </c>
      <c r="K2031" s="27"/>
      <c r="L2031" s="25" t="s">
        <v>590</v>
      </c>
      <c r="M2031" s="25" t="s">
        <v>586</v>
      </c>
      <c r="N2031" s="25">
        <v>5</v>
      </c>
      <c r="O2031" s="25">
        <v>0</v>
      </c>
      <c r="P2031" s="25">
        <v>0</v>
      </c>
      <c r="Q2031" s="25">
        <v>81</v>
      </c>
      <c r="R2031" s="25">
        <v>0</v>
      </c>
      <c r="S2031" s="25">
        <v>4</v>
      </c>
      <c r="T2031" s="25">
        <v>2</v>
      </c>
      <c r="U2031" s="25">
        <v>87</v>
      </c>
      <c r="V2031" s="25"/>
      <c r="W2031" s="33" t="s">
        <v>494</v>
      </c>
      <c r="X2031" s="33"/>
      <c r="Y2031" s="33"/>
      <c r="Z2031" s="33" t="s">
        <v>493</v>
      </c>
      <c r="AA2031" s="33"/>
    </row>
    <row r="2032" spans="1:27" s="70" customFormat="1" ht="56.25" x14ac:dyDescent="0.2">
      <c r="A2032" s="24">
        <v>2028</v>
      </c>
      <c r="B2032" s="27" t="s">
        <v>223</v>
      </c>
      <c r="C2032" s="28" t="s">
        <v>222</v>
      </c>
      <c r="D2032" s="71" t="s">
        <v>497</v>
      </c>
      <c r="E2032" s="28" t="s">
        <v>496</v>
      </c>
      <c r="F2032" s="28" t="s">
        <v>375</v>
      </c>
      <c r="G2032" s="27"/>
      <c r="H2032" s="28" t="s">
        <v>567</v>
      </c>
      <c r="I2032" s="27"/>
      <c r="J2032" s="28" t="s">
        <v>580</v>
      </c>
      <c r="K2032" s="27"/>
      <c r="L2032" s="25" t="s">
        <v>589</v>
      </c>
      <c r="M2032" s="25" t="s">
        <v>586</v>
      </c>
      <c r="N2032" s="25">
        <v>67</v>
      </c>
      <c r="O2032" s="25">
        <v>0</v>
      </c>
      <c r="P2032" s="25">
        <v>0</v>
      </c>
      <c r="Q2032" s="25">
        <v>65</v>
      </c>
      <c r="R2032" s="25">
        <v>0</v>
      </c>
      <c r="S2032" s="25">
        <v>4</v>
      </c>
      <c r="T2032" s="25">
        <v>2</v>
      </c>
      <c r="U2032" s="25">
        <v>71</v>
      </c>
      <c r="V2032" s="25"/>
      <c r="W2032" s="33" t="s">
        <v>494</v>
      </c>
      <c r="X2032" s="33"/>
      <c r="Y2032" s="33"/>
      <c r="Z2032" s="33" t="s">
        <v>493</v>
      </c>
      <c r="AA2032" s="33"/>
    </row>
    <row r="2033" spans="1:27" s="70" customFormat="1" ht="56.25" x14ac:dyDescent="0.2">
      <c r="A2033" s="24">
        <v>2029</v>
      </c>
      <c r="B2033" s="27" t="s">
        <v>223</v>
      </c>
      <c r="C2033" s="28" t="s">
        <v>222</v>
      </c>
      <c r="D2033" s="71" t="s">
        <v>497</v>
      </c>
      <c r="E2033" s="28" t="s">
        <v>496</v>
      </c>
      <c r="F2033" s="28" t="s">
        <v>375</v>
      </c>
      <c r="G2033" s="27"/>
      <c r="H2033" s="28" t="s">
        <v>567</v>
      </c>
      <c r="I2033" s="27"/>
      <c r="J2033" s="28" t="s">
        <v>580</v>
      </c>
      <c r="K2033" s="27"/>
      <c r="L2033" s="25" t="s">
        <v>588</v>
      </c>
      <c r="M2033" s="25" t="s">
        <v>586</v>
      </c>
      <c r="N2033" s="25">
        <v>331</v>
      </c>
      <c r="O2033" s="25">
        <v>96.25</v>
      </c>
      <c r="P2033" s="25">
        <v>48.25</v>
      </c>
      <c r="Q2033" s="25">
        <v>16.25</v>
      </c>
      <c r="R2033" s="25">
        <v>0</v>
      </c>
      <c r="S2033" s="25">
        <v>1</v>
      </c>
      <c r="T2033" s="25">
        <v>1</v>
      </c>
      <c r="U2033" s="25">
        <v>162.75</v>
      </c>
      <c r="V2033" s="25"/>
      <c r="W2033" s="33" t="s">
        <v>494</v>
      </c>
      <c r="X2033" s="33"/>
      <c r="Y2033" s="33"/>
      <c r="Z2033" s="33" t="s">
        <v>493</v>
      </c>
      <c r="AA2033" s="33"/>
    </row>
    <row r="2034" spans="1:27" s="70" customFormat="1" ht="56.25" x14ac:dyDescent="0.2">
      <c r="A2034" s="24">
        <v>2030</v>
      </c>
      <c r="B2034" s="27" t="s">
        <v>223</v>
      </c>
      <c r="C2034" s="28" t="s">
        <v>222</v>
      </c>
      <c r="D2034" s="71" t="s">
        <v>497</v>
      </c>
      <c r="E2034" s="28" t="s">
        <v>496</v>
      </c>
      <c r="F2034" s="28" t="s">
        <v>375</v>
      </c>
      <c r="G2034" s="27"/>
      <c r="H2034" s="28" t="s">
        <v>567</v>
      </c>
      <c r="I2034" s="27"/>
      <c r="J2034" s="28" t="s">
        <v>580</v>
      </c>
      <c r="K2034" s="27"/>
      <c r="L2034" s="25" t="s">
        <v>587</v>
      </c>
      <c r="M2034" s="25" t="s">
        <v>586</v>
      </c>
      <c r="N2034" s="25">
        <v>1375</v>
      </c>
      <c r="O2034" s="25">
        <v>32.25</v>
      </c>
      <c r="P2034" s="25">
        <v>15.25</v>
      </c>
      <c r="Q2034" s="25">
        <v>8.25</v>
      </c>
      <c r="R2034" s="25">
        <v>0</v>
      </c>
      <c r="S2034" s="25">
        <v>0.5</v>
      </c>
      <c r="T2034" s="25">
        <v>0.5</v>
      </c>
      <c r="U2034" s="25">
        <v>56.75</v>
      </c>
      <c r="V2034" s="25"/>
      <c r="W2034" s="33" t="s">
        <v>494</v>
      </c>
      <c r="X2034" s="33"/>
      <c r="Y2034" s="33"/>
      <c r="Z2034" s="33" t="s">
        <v>493</v>
      </c>
      <c r="AA2034" s="33"/>
    </row>
    <row r="2035" spans="1:27" s="70" customFormat="1" ht="56.25" x14ac:dyDescent="0.2">
      <c r="A2035" s="24">
        <v>2031</v>
      </c>
      <c r="B2035" s="27" t="s">
        <v>223</v>
      </c>
      <c r="C2035" s="28" t="s">
        <v>222</v>
      </c>
      <c r="D2035" s="71" t="s">
        <v>497</v>
      </c>
      <c r="E2035" s="28" t="s">
        <v>496</v>
      </c>
      <c r="F2035" s="28" t="s">
        <v>375</v>
      </c>
      <c r="G2035" s="27"/>
      <c r="H2035" s="28" t="s">
        <v>567</v>
      </c>
      <c r="I2035" s="27"/>
      <c r="J2035" s="28" t="s">
        <v>580</v>
      </c>
      <c r="K2035" s="27"/>
      <c r="L2035" s="25" t="s">
        <v>585</v>
      </c>
      <c r="M2035" s="25" t="s">
        <v>584</v>
      </c>
      <c r="N2035" s="25">
        <v>1</v>
      </c>
      <c r="O2035" s="25">
        <v>10</v>
      </c>
      <c r="P2035" s="25">
        <v>0</v>
      </c>
      <c r="Q2035" s="25">
        <v>3</v>
      </c>
      <c r="R2035" s="25">
        <v>0</v>
      </c>
      <c r="S2035" s="25">
        <v>0</v>
      </c>
      <c r="T2035" s="25">
        <v>1.5</v>
      </c>
      <c r="U2035" s="25">
        <v>14.5</v>
      </c>
      <c r="V2035" s="25"/>
      <c r="W2035" s="33" t="s">
        <v>22</v>
      </c>
      <c r="X2035" s="33"/>
      <c r="Y2035" s="33"/>
      <c r="Z2035" s="33"/>
      <c r="AA2035" s="33"/>
    </row>
    <row r="2036" spans="1:27" s="70" customFormat="1" ht="56.25" x14ac:dyDescent="0.2">
      <c r="A2036" s="24">
        <v>2032</v>
      </c>
      <c r="B2036" s="27" t="s">
        <v>223</v>
      </c>
      <c r="C2036" s="28" t="s">
        <v>222</v>
      </c>
      <c r="D2036" s="71" t="s">
        <v>497</v>
      </c>
      <c r="E2036" s="28" t="s">
        <v>496</v>
      </c>
      <c r="F2036" s="28" t="s">
        <v>375</v>
      </c>
      <c r="G2036" s="27"/>
      <c r="H2036" s="28" t="s">
        <v>567</v>
      </c>
      <c r="I2036" s="27"/>
      <c r="J2036" s="28" t="s">
        <v>580</v>
      </c>
      <c r="K2036" s="27"/>
      <c r="L2036" s="25" t="s">
        <v>583</v>
      </c>
      <c r="M2036" s="25" t="s">
        <v>582</v>
      </c>
      <c r="N2036" s="25">
        <v>10</v>
      </c>
      <c r="O2036" s="25">
        <v>17</v>
      </c>
      <c r="P2036" s="25">
        <v>0</v>
      </c>
      <c r="Q2036" s="25">
        <v>7.5</v>
      </c>
      <c r="R2036" s="25">
        <v>0</v>
      </c>
      <c r="S2036" s="25">
        <v>0</v>
      </c>
      <c r="T2036" s="25">
        <v>4.5</v>
      </c>
      <c r="U2036" s="25">
        <v>29</v>
      </c>
      <c r="V2036" s="25"/>
      <c r="W2036" s="33" t="s">
        <v>22</v>
      </c>
      <c r="X2036" s="33"/>
      <c r="Y2036" s="33"/>
      <c r="Z2036" s="33"/>
      <c r="AA2036" s="33"/>
    </row>
    <row r="2037" spans="1:27" s="70" customFormat="1" ht="56.25" x14ac:dyDescent="0.2">
      <c r="A2037" s="24">
        <v>2033</v>
      </c>
      <c r="B2037" s="27" t="s">
        <v>223</v>
      </c>
      <c r="C2037" s="28" t="s">
        <v>222</v>
      </c>
      <c r="D2037" s="71" t="s">
        <v>497</v>
      </c>
      <c r="E2037" s="28" t="s">
        <v>496</v>
      </c>
      <c r="F2037" s="28" t="s">
        <v>375</v>
      </c>
      <c r="G2037" s="27"/>
      <c r="H2037" s="28" t="s">
        <v>567</v>
      </c>
      <c r="I2037" s="27"/>
      <c r="J2037" s="28" t="s">
        <v>580</v>
      </c>
      <c r="K2037" s="27"/>
      <c r="L2037" s="25" t="s">
        <v>581</v>
      </c>
      <c r="M2037" s="25" t="s">
        <v>498</v>
      </c>
      <c r="N2037" s="25">
        <v>1</v>
      </c>
      <c r="O2037" s="25">
        <v>11</v>
      </c>
      <c r="P2037" s="25">
        <v>10</v>
      </c>
      <c r="Q2037" s="25">
        <v>59</v>
      </c>
      <c r="R2037" s="25">
        <v>0</v>
      </c>
      <c r="S2037" s="25">
        <v>0</v>
      </c>
      <c r="T2037" s="25">
        <v>23.75</v>
      </c>
      <c r="U2037" s="25">
        <v>103.75</v>
      </c>
      <c r="V2037" s="25"/>
      <c r="W2037" s="33" t="s">
        <v>22</v>
      </c>
      <c r="X2037" s="33"/>
      <c r="Y2037" s="33"/>
      <c r="Z2037" s="33"/>
      <c r="AA2037" s="33"/>
    </row>
    <row r="2038" spans="1:27" s="70" customFormat="1" ht="56.25" x14ac:dyDescent="0.2">
      <c r="A2038" s="24">
        <v>2034</v>
      </c>
      <c r="B2038" s="27" t="s">
        <v>223</v>
      </c>
      <c r="C2038" s="28" t="s">
        <v>222</v>
      </c>
      <c r="D2038" s="71" t="s">
        <v>497</v>
      </c>
      <c r="E2038" s="28" t="s">
        <v>496</v>
      </c>
      <c r="F2038" s="28" t="s">
        <v>375</v>
      </c>
      <c r="G2038" s="27"/>
      <c r="H2038" s="28" t="s">
        <v>567</v>
      </c>
      <c r="I2038" s="27"/>
      <c r="J2038" s="28" t="s">
        <v>580</v>
      </c>
      <c r="K2038" s="27"/>
      <c r="L2038" s="25" t="s">
        <v>579</v>
      </c>
      <c r="M2038" s="25" t="s">
        <v>498</v>
      </c>
      <c r="N2038" s="25">
        <v>1</v>
      </c>
      <c r="O2038" s="25">
        <v>16.5</v>
      </c>
      <c r="P2038" s="25">
        <v>120</v>
      </c>
      <c r="Q2038" s="25">
        <v>138</v>
      </c>
      <c r="R2038" s="25">
        <v>0</v>
      </c>
      <c r="S2038" s="25">
        <v>0</v>
      </c>
      <c r="T2038" s="25">
        <v>16.25</v>
      </c>
      <c r="U2038" s="25">
        <v>290.75</v>
      </c>
      <c r="V2038" s="25"/>
      <c r="W2038" s="33" t="s">
        <v>578</v>
      </c>
      <c r="X2038" s="33"/>
      <c r="Y2038" s="33"/>
      <c r="Z2038" s="33" t="s">
        <v>577</v>
      </c>
      <c r="AA2038" s="33"/>
    </row>
    <row r="2039" spans="1:27" s="70" customFormat="1" ht="56.25" x14ac:dyDescent="0.2">
      <c r="A2039" s="24">
        <v>2035</v>
      </c>
      <c r="B2039" s="27" t="s">
        <v>223</v>
      </c>
      <c r="C2039" s="28" t="s">
        <v>222</v>
      </c>
      <c r="D2039" s="71" t="s">
        <v>497</v>
      </c>
      <c r="E2039" s="28" t="s">
        <v>496</v>
      </c>
      <c r="F2039" s="28" t="s">
        <v>375</v>
      </c>
      <c r="G2039" s="27"/>
      <c r="H2039" s="28" t="s">
        <v>567</v>
      </c>
      <c r="I2039" s="27"/>
      <c r="J2039" s="28" t="s">
        <v>576</v>
      </c>
      <c r="K2039" s="27"/>
      <c r="L2039" s="25" t="s">
        <v>575</v>
      </c>
      <c r="M2039" s="25" t="s">
        <v>574</v>
      </c>
      <c r="N2039" s="25">
        <v>1</v>
      </c>
      <c r="O2039" s="25">
        <v>8</v>
      </c>
      <c r="P2039" s="25">
        <v>0</v>
      </c>
      <c r="Q2039" s="25">
        <v>3</v>
      </c>
      <c r="R2039" s="25">
        <v>0</v>
      </c>
      <c r="S2039" s="25">
        <v>0</v>
      </c>
      <c r="T2039" s="25">
        <v>1.5</v>
      </c>
      <c r="U2039" s="25">
        <v>12.5</v>
      </c>
      <c r="V2039" s="25"/>
      <c r="W2039" s="33" t="s">
        <v>22</v>
      </c>
      <c r="X2039" s="33"/>
      <c r="Y2039" s="33"/>
      <c r="Z2039" s="33"/>
      <c r="AA2039" s="33"/>
    </row>
    <row r="2040" spans="1:27" s="70" customFormat="1" ht="56.25" x14ac:dyDescent="0.2">
      <c r="A2040" s="24">
        <v>2036</v>
      </c>
      <c r="B2040" s="27" t="s">
        <v>223</v>
      </c>
      <c r="C2040" s="28" t="s">
        <v>222</v>
      </c>
      <c r="D2040" s="71" t="s">
        <v>497</v>
      </c>
      <c r="E2040" s="28" t="s">
        <v>496</v>
      </c>
      <c r="F2040" s="28" t="s">
        <v>375</v>
      </c>
      <c r="G2040" s="27"/>
      <c r="H2040" s="28" t="s">
        <v>567</v>
      </c>
      <c r="I2040" s="27"/>
      <c r="J2040" s="28" t="s">
        <v>573</v>
      </c>
      <c r="K2040" s="27"/>
      <c r="L2040" s="25" t="s">
        <v>572</v>
      </c>
      <c r="M2040" s="25" t="s">
        <v>498</v>
      </c>
      <c r="N2040" s="25">
        <v>1</v>
      </c>
      <c r="O2040" s="25">
        <v>5</v>
      </c>
      <c r="P2040" s="25">
        <v>0</v>
      </c>
      <c r="Q2040" s="25">
        <v>5</v>
      </c>
      <c r="R2040" s="25">
        <v>0</v>
      </c>
      <c r="S2040" s="25">
        <v>0</v>
      </c>
      <c r="T2040" s="25">
        <v>3.5</v>
      </c>
      <c r="U2040" s="25">
        <v>13.5</v>
      </c>
      <c r="V2040" s="25"/>
      <c r="W2040" s="33" t="s">
        <v>22</v>
      </c>
      <c r="X2040" s="33"/>
      <c r="Y2040" s="33"/>
      <c r="Z2040" s="33"/>
      <c r="AA2040" s="33"/>
    </row>
    <row r="2041" spans="1:27" s="70" customFormat="1" ht="56.25" x14ac:dyDescent="0.2">
      <c r="A2041" s="24">
        <v>2037</v>
      </c>
      <c r="B2041" s="27" t="s">
        <v>223</v>
      </c>
      <c r="C2041" s="28" t="s">
        <v>222</v>
      </c>
      <c r="D2041" s="71" t="s">
        <v>497</v>
      </c>
      <c r="E2041" s="28" t="s">
        <v>496</v>
      </c>
      <c r="F2041" s="28" t="s">
        <v>375</v>
      </c>
      <c r="G2041" s="27"/>
      <c r="H2041" s="28" t="s">
        <v>567</v>
      </c>
      <c r="I2041" s="27"/>
      <c r="J2041" s="28" t="s">
        <v>571</v>
      </c>
      <c r="K2041" s="27"/>
      <c r="L2041" s="25" t="s">
        <v>570</v>
      </c>
      <c r="M2041" s="25" t="s">
        <v>569</v>
      </c>
      <c r="N2041" s="25">
        <v>2</v>
      </c>
      <c r="O2041" s="25">
        <v>14</v>
      </c>
      <c r="P2041" s="25">
        <v>0</v>
      </c>
      <c r="Q2041" s="25">
        <v>4</v>
      </c>
      <c r="R2041" s="25">
        <v>0</v>
      </c>
      <c r="S2041" s="25">
        <v>0</v>
      </c>
      <c r="T2041" s="25">
        <v>2.25</v>
      </c>
      <c r="U2041" s="25">
        <v>20.25</v>
      </c>
      <c r="V2041" s="25"/>
      <c r="W2041" s="33" t="s">
        <v>22</v>
      </c>
      <c r="X2041" s="33"/>
      <c r="Y2041" s="33"/>
      <c r="Z2041" s="33"/>
      <c r="AA2041" s="33"/>
    </row>
    <row r="2042" spans="1:27" s="70" customFormat="1" ht="56.25" x14ac:dyDescent="0.2">
      <c r="A2042" s="24">
        <v>2038</v>
      </c>
      <c r="B2042" s="27" t="s">
        <v>223</v>
      </c>
      <c r="C2042" s="28" t="s">
        <v>222</v>
      </c>
      <c r="D2042" s="71" t="s">
        <v>497</v>
      </c>
      <c r="E2042" s="28" t="s">
        <v>496</v>
      </c>
      <c r="F2042" s="28" t="s">
        <v>375</v>
      </c>
      <c r="G2042" s="27"/>
      <c r="H2042" s="28" t="s">
        <v>567</v>
      </c>
      <c r="I2042" s="27"/>
      <c r="J2042" s="28" t="s">
        <v>568</v>
      </c>
      <c r="K2042" s="27"/>
      <c r="L2042" s="25"/>
      <c r="M2042" s="25"/>
      <c r="N2042" s="25"/>
      <c r="O2042" s="25"/>
      <c r="P2042" s="25"/>
      <c r="Q2042" s="25"/>
      <c r="R2042" s="25"/>
      <c r="S2042" s="25"/>
      <c r="T2042" s="25"/>
      <c r="U2042" s="25"/>
      <c r="V2042" s="25"/>
      <c r="W2042" s="33"/>
      <c r="X2042" s="33"/>
      <c r="Y2042" s="33"/>
      <c r="Z2042" s="33"/>
      <c r="AA2042" s="33"/>
    </row>
    <row r="2043" spans="1:27" s="70" customFormat="1" ht="56.25" x14ac:dyDescent="0.2">
      <c r="A2043" s="24">
        <v>2039</v>
      </c>
      <c r="B2043" s="27" t="s">
        <v>223</v>
      </c>
      <c r="C2043" s="28" t="s">
        <v>222</v>
      </c>
      <c r="D2043" s="71" t="s">
        <v>497</v>
      </c>
      <c r="E2043" s="28" t="s">
        <v>496</v>
      </c>
      <c r="F2043" s="28" t="s">
        <v>375</v>
      </c>
      <c r="G2043" s="27"/>
      <c r="H2043" s="28" t="s">
        <v>567</v>
      </c>
      <c r="I2043" s="27"/>
      <c r="J2043" s="28" t="s">
        <v>566</v>
      </c>
      <c r="K2043" s="27"/>
      <c r="L2043" s="25"/>
      <c r="M2043" s="25"/>
      <c r="N2043" s="25"/>
      <c r="O2043" s="25"/>
      <c r="P2043" s="25"/>
      <c r="Q2043" s="25"/>
      <c r="R2043" s="25"/>
      <c r="S2043" s="25"/>
      <c r="T2043" s="25"/>
      <c r="U2043" s="25"/>
      <c r="V2043" s="25"/>
      <c r="W2043" s="33"/>
      <c r="X2043" s="33"/>
      <c r="Y2043" s="33"/>
      <c r="Z2043" s="33"/>
      <c r="AA2043" s="33"/>
    </row>
    <row r="2044" spans="1:27" s="70" customFormat="1" ht="56.25" x14ac:dyDescent="0.2">
      <c r="A2044" s="24">
        <v>2040</v>
      </c>
      <c r="B2044" s="27" t="s">
        <v>223</v>
      </c>
      <c r="C2044" s="28" t="s">
        <v>222</v>
      </c>
      <c r="D2044" s="71" t="s">
        <v>497</v>
      </c>
      <c r="E2044" s="28" t="s">
        <v>496</v>
      </c>
      <c r="F2044" s="28" t="s">
        <v>375</v>
      </c>
      <c r="G2044" s="27"/>
      <c r="H2044" s="28" t="s">
        <v>545</v>
      </c>
      <c r="I2044" s="27"/>
      <c r="J2044" s="28" t="s">
        <v>559</v>
      </c>
      <c r="K2044" s="27"/>
      <c r="L2044" s="25" t="s">
        <v>565</v>
      </c>
      <c r="M2044" s="25" t="s">
        <v>564</v>
      </c>
      <c r="N2044" s="25">
        <v>1</v>
      </c>
      <c r="O2044" s="25"/>
      <c r="P2044" s="25">
        <v>8</v>
      </c>
      <c r="Q2044" s="25">
        <v>2</v>
      </c>
      <c r="R2044" s="25"/>
      <c r="S2044" s="25">
        <v>1</v>
      </c>
      <c r="T2044" s="25">
        <v>1</v>
      </c>
      <c r="U2044" s="25">
        <v>12</v>
      </c>
      <c r="V2044" s="25"/>
      <c r="W2044" s="33" t="s">
        <v>22</v>
      </c>
      <c r="X2044" s="33"/>
      <c r="Y2044" s="33"/>
      <c r="Z2044" s="33"/>
      <c r="AA2044" s="33"/>
    </row>
    <row r="2045" spans="1:27" s="70" customFormat="1" ht="56.25" x14ac:dyDescent="0.2">
      <c r="A2045" s="24">
        <v>2041</v>
      </c>
      <c r="B2045" s="27" t="s">
        <v>223</v>
      </c>
      <c r="C2045" s="28" t="s">
        <v>222</v>
      </c>
      <c r="D2045" s="71" t="s">
        <v>497</v>
      </c>
      <c r="E2045" s="28" t="s">
        <v>496</v>
      </c>
      <c r="F2045" s="28" t="s">
        <v>375</v>
      </c>
      <c r="G2045" s="27"/>
      <c r="H2045" s="28" t="s">
        <v>545</v>
      </c>
      <c r="I2045" s="27"/>
      <c r="J2045" s="28" t="s">
        <v>559</v>
      </c>
      <c r="K2045" s="27"/>
      <c r="L2045" s="25" t="s">
        <v>563</v>
      </c>
      <c r="M2045" s="25" t="s">
        <v>561</v>
      </c>
      <c r="N2045" s="25">
        <v>1</v>
      </c>
      <c r="O2045" s="25">
        <v>8</v>
      </c>
      <c r="P2045" s="25"/>
      <c r="Q2045" s="25"/>
      <c r="R2045" s="25"/>
      <c r="S2045" s="25">
        <v>5</v>
      </c>
      <c r="T2045" s="25">
        <v>2</v>
      </c>
      <c r="U2045" s="25">
        <v>15</v>
      </c>
      <c r="V2045" s="25"/>
      <c r="W2045" s="33" t="s">
        <v>22</v>
      </c>
      <c r="X2045" s="33"/>
      <c r="Y2045" s="33"/>
      <c r="Z2045" s="33"/>
      <c r="AA2045" s="33"/>
    </row>
    <row r="2046" spans="1:27" s="70" customFormat="1" ht="56.25" x14ac:dyDescent="0.2">
      <c r="A2046" s="24">
        <v>2042</v>
      </c>
      <c r="B2046" s="27" t="s">
        <v>223</v>
      </c>
      <c r="C2046" s="28" t="s">
        <v>222</v>
      </c>
      <c r="D2046" s="71" t="s">
        <v>497</v>
      </c>
      <c r="E2046" s="28" t="s">
        <v>496</v>
      </c>
      <c r="F2046" s="28" t="s">
        <v>375</v>
      </c>
      <c r="G2046" s="27"/>
      <c r="H2046" s="28" t="s">
        <v>545</v>
      </c>
      <c r="I2046" s="27"/>
      <c r="J2046" s="28" t="s">
        <v>559</v>
      </c>
      <c r="K2046" s="27"/>
      <c r="L2046" s="25" t="s">
        <v>562</v>
      </c>
      <c r="M2046" s="25" t="s">
        <v>561</v>
      </c>
      <c r="N2046" s="25">
        <v>1</v>
      </c>
      <c r="O2046" s="25"/>
      <c r="P2046" s="25">
        <v>16</v>
      </c>
      <c r="Q2046" s="25">
        <v>8</v>
      </c>
      <c r="R2046" s="25"/>
      <c r="S2046" s="25">
        <v>1</v>
      </c>
      <c r="T2046" s="25">
        <v>1</v>
      </c>
      <c r="U2046" s="25">
        <v>26</v>
      </c>
      <c r="V2046" s="25"/>
      <c r="W2046" s="33" t="s">
        <v>560</v>
      </c>
      <c r="X2046" s="33"/>
      <c r="Y2046" s="33"/>
      <c r="Z2046" s="33"/>
      <c r="AA2046" s="33"/>
    </row>
    <row r="2047" spans="1:27" s="70" customFormat="1" ht="56.25" x14ac:dyDescent="0.2">
      <c r="A2047" s="24">
        <v>2043</v>
      </c>
      <c r="B2047" s="27" t="s">
        <v>223</v>
      </c>
      <c r="C2047" s="28" t="s">
        <v>222</v>
      </c>
      <c r="D2047" s="71" t="s">
        <v>497</v>
      </c>
      <c r="E2047" s="28" t="s">
        <v>496</v>
      </c>
      <c r="F2047" s="28" t="s">
        <v>375</v>
      </c>
      <c r="G2047" s="27"/>
      <c r="H2047" s="28" t="s">
        <v>545</v>
      </c>
      <c r="I2047" s="27"/>
      <c r="J2047" s="28" t="s">
        <v>559</v>
      </c>
      <c r="K2047" s="27"/>
      <c r="L2047" s="25" t="s">
        <v>558</v>
      </c>
      <c r="M2047" s="25" t="s">
        <v>557</v>
      </c>
      <c r="N2047" s="25">
        <v>3</v>
      </c>
      <c r="O2047" s="25"/>
      <c r="P2047" s="25">
        <v>16</v>
      </c>
      <c r="Q2047" s="25">
        <v>8</v>
      </c>
      <c r="R2047" s="25"/>
      <c r="S2047" s="25">
        <v>5</v>
      </c>
      <c r="T2047" s="25">
        <v>2</v>
      </c>
      <c r="U2047" s="25">
        <v>31</v>
      </c>
      <c r="V2047" s="25"/>
      <c r="W2047" s="33" t="s">
        <v>22</v>
      </c>
      <c r="X2047" s="33"/>
      <c r="Y2047" s="33"/>
      <c r="Z2047" s="33"/>
      <c r="AA2047" s="33"/>
    </row>
    <row r="2048" spans="1:27" s="70" customFormat="1" ht="56.25" x14ac:dyDescent="0.2">
      <c r="A2048" s="24">
        <v>2044</v>
      </c>
      <c r="B2048" s="27" t="s">
        <v>223</v>
      </c>
      <c r="C2048" s="28" t="s">
        <v>222</v>
      </c>
      <c r="D2048" s="71" t="s">
        <v>497</v>
      </c>
      <c r="E2048" s="28" t="s">
        <v>496</v>
      </c>
      <c r="F2048" s="28" t="s">
        <v>375</v>
      </c>
      <c r="G2048" s="27"/>
      <c r="H2048" s="28" t="s">
        <v>545</v>
      </c>
      <c r="I2048" s="27"/>
      <c r="J2048" s="28" t="s">
        <v>556</v>
      </c>
      <c r="K2048" s="27"/>
      <c r="L2048" s="25" t="s">
        <v>555</v>
      </c>
      <c r="M2048" s="25" t="s">
        <v>498</v>
      </c>
      <c r="N2048" s="25">
        <v>1</v>
      </c>
      <c r="O2048" s="25">
        <v>6360</v>
      </c>
      <c r="P2048" s="25">
        <v>8480</v>
      </c>
      <c r="Q2048" s="25">
        <v>2120</v>
      </c>
      <c r="R2048" s="25">
        <v>0</v>
      </c>
      <c r="S2048" s="25">
        <v>1413.3333333333319</v>
      </c>
      <c r="T2048" s="25">
        <v>706.66666666666595</v>
      </c>
      <c r="U2048" s="25">
        <v>19079.999999999996</v>
      </c>
      <c r="V2048" s="25"/>
      <c r="W2048" s="33" t="s">
        <v>494</v>
      </c>
      <c r="X2048" s="33"/>
      <c r="Y2048" s="33"/>
      <c r="Z2048" s="33" t="s">
        <v>493</v>
      </c>
      <c r="AA2048" s="33"/>
    </row>
    <row r="2049" spans="1:27" s="70" customFormat="1" ht="56.25" x14ac:dyDescent="0.2">
      <c r="A2049" s="24">
        <v>2045</v>
      </c>
      <c r="B2049" s="27" t="s">
        <v>223</v>
      </c>
      <c r="C2049" s="28" t="s">
        <v>222</v>
      </c>
      <c r="D2049" s="71" t="s">
        <v>497</v>
      </c>
      <c r="E2049" s="28" t="s">
        <v>496</v>
      </c>
      <c r="F2049" s="28" t="s">
        <v>375</v>
      </c>
      <c r="G2049" s="27"/>
      <c r="H2049" s="28" t="s">
        <v>545</v>
      </c>
      <c r="I2049" s="27"/>
      <c r="J2049" s="28" t="s">
        <v>554</v>
      </c>
      <c r="K2049" s="27"/>
      <c r="L2049" s="25"/>
      <c r="M2049" s="25"/>
      <c r="N2049" s="25"/>
      <c r="O2049" s="25"/>
      <c r="P2049" s="25"/>
      <c r="Q2049" s="25"/>
      <c r="R2049" s="25"/>
      <c r="S2049" s="25"/>
      <c r="T2049" s="25"/>
      <c r="U2049" s="25"/>
      <c r="V2049" s="25"/>
      <c r="W2049" s="33"/>
      <c r="X2049" s="33"/>
      <c r="Y2049" s="33"/>
      <c r="Z2049" s="33"/>
      <c r="AA2049" s="33"/>
    </row>
    <row r="2050" spans="1:27" s="70" customFormat="1" ht="56.25" x14ac:dyDescent="0.2">
      <c r="A2050" s="24">
        <v>2046</v>
      </c>
      <c r="B2050" s="27" t="s">
        <v>223</v>
      </c>
      <c r="C2050" s="28" t="s">
        <v>222</v>
      </c>
      <c r="D2050" s="71" t="s">
        <v>497</v>
      </c>
      <c r="E2050" s="28" t="s">
        <v>496</v>
      </c>
      <c r="F2050" s="28" t="s">
        <v>375</v>
      </c>
      <c r="G2050" s="27"/>
      <c r="H2050" s="28" t="s">
        <v>545</v>
      </c>
      <c r="I2050" s="27"/>
      <c r="J2050" s="28" t="s">
        <v>551</v>
      </c>
      <c r="K2050" s="27"/>
      <c r="L2050" s="25" t="s">
        <v>553</v>
      </c>
      <c r="M2050" s="25" t="s">
        <v>552</v>
      </c>
      <c r="N2050" s="25">
        <v>2</v>
      </c>
      <c r="O2050" s="25">
        <v>16</v>
      </c>
      <c r="P2050" s="25">
        <v>24</v>
      </c>
      <c r="Q2050" s="25">
        <v>8</v>
      </c>
      <c r="R2050" s="25"/>
      <c r="S2050" s="25">
        <v>1</v>
      </c>
      <c r="T2050" s="25">
        <v>1</v>
      </c>
      <c r="U2050" s="25">
        <v>50</v>
      </c>
      <c r="V2050" s="25"/>
      <c r="W2050" s="33" t="s">
        <v>22</v>
      </c>
      <c r="X2050" s="33"/>
      <c r="Y2050" s="33"/>
      <c r="Z2050" s="33"/>
      <c r="AA2050" s="33"/>
    </row>
    <row r="2051" spans="1:27" s="70" customFormat="1" ht="56.25" x14ac:dyDescent="0.2">
      <c r="A2051" s="24">
        <v>2047</v>
      </c>
      <c r="B2051" s="27" t="s">
        <v>223</v>
      </c>
      <c r="C2051" s="28" t="s">
        <v>222</v>
      </c>
      <c r="D2051" s="71" t="s">
        <v>497</v>
      </c>
      <c r="E2051" s="28" t="s">
        <v>496</v>
      </c>
      <c r="F2051" s="28" t="s">
        <v>375</v>
      </c>
      <c r="G2051" s="27"/>
      <c r="H2051" s="28" t="s">
        <v>545</v>
      </c>
      <c r="I2051" s="27"/>
      <c r="J2051" s="28" t="s">
        <v>551</v>
      </c>
      <c r="K2051" s="27"/>
      <c r="L2051" s="25" t="s">
        <v>550</v>
      </c>
      <c r="M2051" s="25" t="s">
        <v>549</v>
      </c>
      <c r="N2051" s="25">
        <v>1</v>
      </c>
      <c r="O2051" s="25">
        <v>2</v>
      </c>
      <c r="P2051" s="25">
        <v>2</v>
      </c>
      <c r="Q2051" s="25">
        <v>8</v>
      </c>
      <c r="R2051" s="25"/>
      <c r="S2051" s="25">
        <v>8</v>
      </c>
      <c r="T2051" s="25">
        <v>1</v>
      </c>
      <c r="U2051" s="25">
        <v>21</v>
      </c>
      <c r="V2051" s="25"/>
      <c r="W2051" s="33" t="s">
        <v>22</v>
      </c>
      <c r="X2051" s="33"/>
      <c r="Y2051" s="33"/>
      <c r="Z2051" s="33"/>
      <c r="AA2051" s="33"/>
    </row>
    <row r="2052" spans="1:27" s="70" customFormat="1" ht="56.25" x14ac:dyDescent="0.2">
      <c r="A2052" s="24">
        <v>2048</v>
      </c>
      <c r="B2052" s="27" t="s">
        <v>223</v>
      </c>
      <c r="C2052" s="28" t="s">
        <v>222</v>
      </c>
      <c r="D2052" s="71" t="s">
        <v>497</v>
      </c>
      <c r="E2052" s="28" t="s">
        <v>496</v>
      </c>
      <c r="F2052" s="28" t="s">
        <v>375</v>
      </c>
      <c r="G2052" s="27"/>
      <c r="H2052" s="28" t="s">
        <v>545</v>
      </c>
      <c r="I2052" s="27"/>
      <c r="J2052" s="28" t="s">
        <v>547</v>
      </c>
      <c r="K2052" s="27"/>
      <c r="L2052" s="25" t="s">
        <v>548</v>
      </c>
      <c r="M2052" s="25" t="s">
        <v>498</v>
      </c>
      <c r="N2052" s="25">
        <v>1</v>
      </c>
      <c r="O2052" s="25"/>
      <c r="P2052" s="25">
        <v>4</v>
      </c>
      <c r="Q2052" s="25">
        <v>2</v>
      </c>
      <c r="R2052" s="25"/>
      <c r="S2052" s="25">
        <v>0.5</v>
      </c>
      <c r="T2052" s="25">
        <v>0.5</v>
      </c>
      <c r="U2052" s="25">
        <v>7</v>
      </c>
      <c r="V2052" s="25"/>
      <c r="W2052" s="33" t="s">
        <v>22</v>
      </c>
      <c r="X2052" s="33"/>
      <c r="Y2052" s="33"/>
      <c r="Z2052" s="33"/>
      <c r="AA2052" s="33"/>
    </row>
    <row r="2053" spans="1:27" s="70" customFormat="1" ht="56.25" x14ac:dyDescent="0.2">
      <c r="A2053" s="24">
        <v>2049</v>
      </c>
      <c r="B2053" s="27" t="s">
        <v>223</v>
      </c>
      <c r="C2053" s="28" t="s">
        <v>222</v>
      </c>
      <c r="D2053" s="71" t="s">
        <v>497</v>
      </c>
      <c r="E2053" s="28" t="s">
        <v>496</v>
      </c>
      <c r="F2053" s="28" t="s">
        <v>375</v>
      </c>
      <c r="G2053" s="27"/>
      <c r="H2053" s="28" t="s">
        <v>545</v>
      </c>
      <c r="I2053" s="27"/>
      <c r="J2053" s="28" t="s">
        <v>547</v>
      </c>
      <c r="K2053" s="27"/>
      <c r="L2053" s="25" t="s">
        <v>546</v>
      </c>
      <c r="M2053" s="25" t="s">
        <v>498</v>
      </c>
      <c r="N2053" s="25">
        <v>1</v>
      </c>
      <c r="O2053" s="25">
        <v>2120</v>
      </c>
      <c r="P2053" s="25">
        <v>2120</v>
      </c>
      <c r="Q2053" s="25">
        <v>0</v>
      </c>
      <c r="R2053" s="25">
        <v>0</v>
      </c>
      <c r="S2053" s="25">
        <v>530</v>
      </c>
      <c r="T2053" s="25">
        <v>0</v>
      </c>
      <c r="U2053" s="25">
        <v>4770</v>
      </c>
      <c r="V2053" s="25"/>
      <c r="W2053" s="33" t="s">
        <v>506</v>
      </c>
      <c r="X2053" s="33"/>
      <c r="Y2053" s="33"/>
      <c r="Z2053" s="33" t="s">
        <v>505</v>
      </c>
      <c r="AA2053" s="33"/>
    </row>
    <row r="2054" spans="1:27" s="70" customFormat="1" ht="56.25" x14ac:dyDescent="0.2">
      <c r="A2054" s="24">
        <v>2050</v>
      </c>
      <c r="B2054" s="27" t="s">
        <v>223</v>
      </c>
      <c r="C2054" s="28" t="s">
        <v>222</v>
      </c>
      <c r="D2054" s="71" t="s">
        <v>497</v>
      </c>
      <c r="E2054" s="28" t="s">
        <v>496</v>
      </c>
      <c r="F2054" s="28" t="s">
        <v>375</v>
      </c>
      <c r="G2054" s="27"/>
      <c r="H2054" s="28" t="s">
        <v>545</v>
      </c>
      <c r="I2054" s="27"/>
      <c r="J2054" s="28" t="s">
        <v>544</v>
      </c>
      <c r="K2054" s="27"/>
      <c r="L2054" s="25"/>
      <c r="M2054" s="25"/>
      <c r="N2054" s="25"/>
      <c r="O2054" s="25"/>
      <c r="P2054" s="25"/>
      <c r="Q2054" s="25"/>
      <c r="R2054" s="25"/>
      <c r="S2054" s="25"/>
      <c r="T2054" s="25"/>
      <c r="U2054" s="25"/>
      <c r="V2054" s="25"/>
      <c r="W2054" s="33"/>
      <c r="X2054" s="33"/>
      <c r="Y2054" s="33"/>
      <c r="Z2054" s="33"/>
      <c r="AA2054" s="33"/>
    </row>
    <row r="2055" spans="1:27" s="70" customFormat="1" ht="56.25" x14ac:dyDescent="0.2">
      <c r="A2055" s="24">
        <v>2051</v>
      </c>
      <c r="B2055" s="27" t="s">
        <v>223</v>
      </c>
      <c r="C2055" s="28" t="s">
        <v>222</v>
      </c>
      <c r="D2055" s="71" t="s">
        <v>497</v>
      </c>
      <c r="E2055" s="28" t="s">
        <v>496</v>
      </c>
      <c r="F2055" s="28" t="s">
        <v>375</v>
      </c>
      <c r="G2055" s="27"/>
      <c r="H2055" s="28" t="s">
        <v>539</v>
      </c>
      <c r="I2055" s="27"/>
      <c r="J2055" s="28" t="s">
        <v>543</v>
      </c>
      <c r="K2055" s="27"/>
      <c r="L2055" s="25"/>
      <c r="M2055" s="25"/>
      <c r="N2055" s="25"/>
      <c r="O2055" s="25"/>
      <c r="P2055" s="25"/>
      <c r="Q2055" s="25"/>
      <c r="R2055" s="25"/>
      <c r="S2055" s="25"/>
      <c r="T2055" s="25"/>
      <c r="U2055" s="25"/>
      <c r="V2055" s="25"/>
      <c r="W2055" s="33"/>
      <c r="X2055" s="33"/>
      <c r="Y2055" s="33"/>
      <c r="Z2055" s="33"/>
      <c r="AA2055" s="33"/>
    </row>
    <row r="2056" spans="1:27" s="70" customFormat="1" ht="56.25" x14ac:dyDescent="0.2">
      <c r="A2056" s="24">
        <v>2052</v>
      </c>
      <c r="B2056" s="27" t="s">
        <v>223</v>
      </c>
      <c r="C2056" s="28" t="s">
        <v>222</v>
      </c>
      <c r="D2056" s="71" t="s">
        <v>497</v>
      </c>
      <c r="E2056" s="28" t="s">
        <v>496</v>
      </c>
      <c r="F2056" s="28" t="s">
        <v>375</v>
      </c>
      <c r="G2056" s="27"/>
      <c r="H2056" s="28" t="s">
        <v>539</v>
      </c>
      <c r="I2056" s="27"/>
      <c r="J2056" s="28" t="s">
        <v>542</v>
      </c>
      <c r="K2056" s="27"/>
      <c r="L2056" s="25" t="s">
        <v>541</v>
      </c>
      <c r="M2056" s="25" t="s">
        <v>498</v>
      </c>
      <c r="N2056" s="25">
        <v>1</v>
      </c>
      <c r="O2056" s="25"/>
      <c r="P2056" s="25">
        <v>9</v>
      </c>
      <c r="Q2056" s="25">
        <v>9</v>
      </c>
      <c r="R2056" s="25"/>
      <c r="S2056" s="25">
        <v>6</v>
      </c>
      <c r="T2056" s="25">
        <v>3</v>
      </c>
      <c r="U2056" s="25">
        <v>27</v>
      </c>
      <c r="V2056" s="25"/>
      <c r="W2056" s="33" t="s">
        <v>494</v>
      </c>
      <c r="X2056" s="33"/>
      <c r="Y2056" s="33"/>
      <c r="Z2056" s="33" t="s">
        <v>493</v>
      </c>
      <c r="AA2056" s="33"/>
    </row>
    <row r="2057" spans="1:27" s="70" customFormat="1" ht="56.25" x14ac:dyDescent="0.2">
      <c r="A2057" s="24">
        <v>2053</v>
      </c>
      <c r="B2057" s="27" t="s">
        <v>223</v>
      </c>
      <c r="C2057" s="28" t="s">
        <v>222</v>
      </c>
      <c r="D2057" s="71" t="s">
        <v>497</v>
      </c>
      <c r="E2057" s="28" t="s">
        <v>496</v>
      </c>
      <c r="F2057" s="28" t="s">
        <v>375</v>
      </c>
      <c r="G2057" s="27"/>
      <c r="H2057" s="28" t="s">
        <v>539</v>
      </c>
      <c r="I2057" s="27"/>
      <c r="J2057" s="28" t="s">
        <v>540</v>
      </c>
      <c r="K2057" s="27"/>
      <c r="L2057" s="25"/>
      <c r="M2057" s="25"/>
      <c r="N2057" s="25"/>
      <c r="O2057" s="25"/>
      <c r="P2057" s="25"/>
      <c r="Q2057" s="25"/>
      <c r="R2057" s="25"/>
      <c r="S2057" s="25"/>
      <c r="T2057" s="25"/>
      <c r="U2057" s="25"/>
      <c r="V2057" s="25"/>
      <c r="W2057" s="33"/>
      <c r="X2057" s="33"/>
      <c r="Y2057" s="33"/>
      <c r="Z2057" s="33"/>
      <c r="AA2057" s="33"/>
    </row>
    <row r="2058" spans="1:27" s="70" customFormat="1" ht="56.25" x14ac:dyDescent="0.2">
      <c r="A2058" s="24">
        <v>2054</v>
      </c>
      <c r="B2058" s="27" t="s">
        <v>223</v>
      </c>
      <c r="C2058" s="28" t="s">
        <v>222</v>
      </c>
      <c r="D2058" s="71" t="s">
        <v>497</v>
      </c>
      <c r="E2058" s="28" t="s">
        <v>496</v>
      </c>
      <c r="F2058" s="28" t="s">
        <v>375</v>
      </c>
      <c r="G2058" s="27"/>
      <c r="H2058" s="28" t="s">
        <v>539</v>
      </c>
      <c r="I2058" s="27"/>
      <c r="J2058" s="28" t="s">
        <v>538</v>
      </c>
      <c r="K2058" s="27"/>
      <c r="L2058" s="25"/>
      <c r="M2058" s="25"/>
      <c r="N2058" s="25"/>
      <c r="O2058" s="25"/>
      <c r="P2058" s="25"/>
      <c r="Q2058" s="25"/>
      <c r="R2058" s="25"/>
      <c r="S2058" s="25"/>
      <c r="T2058" s="25"/>
      <c r="U2058" s="25"/>
      <c r="V2058" s="25"/>
      <c r="W2058" s="33"/>
      <c r="X2058" s="33"/>
      <c r="Y2058" s="33"/>
      <c r="Z2058" s="33"/>
      <c r="AA2058" s="33"/>
    </row>
    <row r="2059" spans="1:27" s="70" customFormat="1" ht="56.25" x14ac:dyDescent="0.2">
      <c r="A2059" s="24">
        <v>2055</v>
      </c>
      <c r="B2059" s="27" t="s">
        <v>223</v>
      </c>
      <c r="C2059" s="28" t="s">
        <v>222</v>
      </c>
      <c r="D2059" s="71" t="s">
        <v>497</v>
      </c>
      <c r="E2059" s="28" t="s">
        <v>496</v>
      </c>
      <c r="F2059" s="28" t="s">
        <v>375</v>
      </c>
      <c r="G2059" s="27"/>
      <c r="H2059" s="28" t="s">
        <v>502</v>
      </c>
      <c r="I2059" s="27"/>
      <c r="J2059" s="28" t="s">
        <v>534</v>
      </c>
      <c r="K2059" s="27"/>
      <c r="L2059" s="25" t="s">
        <v>537</v>
      </c>
      <c r="M2059" s="25" t="s">
        <v>535</v>
      </c>
      <c r="N2059" s="25">
        <v>1</v>
      </c>
      <c r="O2059" s="25">
        <v>0.5</v>
      </c>
      <c r="P2059" s="25">
        <v>30</v>
      </c>
      <c r="Q2059" s="25">
        <v>28.5</v>
      </c>
      <c r="R2059" s="25">
        <v>28.5</v>
      </c>
      <c r="S2059" s="25">
        <v>24.5</v>
      </c>
      <c r="T2059" s="25">
        <v>24.5</v>
      </c>
      <c r="U2059" s="25">
        <v>136.5</v>
      </c>
      <c r="V2059" s="25"/>
      <c r="W2059" s="33" t="s">
        <v>22</v>
      </c>
      <c r="X2059" s="33"/>
      <c r="Y2059" s="33"/>
      <c r="Z2059" s="33"/>
      <c r="AA2059" s="33"/>
    </row>
    <row r="2060" spans="1:27" s="70" customFormat="1" ht="56.25" x14ac:dyDescent="0.2">
      <c r="A2060" s="24">
        <v>2056</v>
      </c>
      <c r="B2060" s="27" t="s">
        <v>223</v>
      </c>
      <c r="C2060" s="28" t="s">
        <v>222</v>
      </c>
      <c r="D2060" s="71" t="s">
        <v>497</v>
      </c>
      <c r="E2060" s="28" t="s">
        <v>496</v>
      </c>
      <c r="F2060" s="28" t="s">
        <v>375</v>
      </c>
      <c r="G2060" s="27"/>
      <c r="H2060" s="28" t="s">
        <v>502</v>
      </c>
      <c r="I2060" s="27"/>
      <c r="J2060" s="28" t="s">
        <v>534</v>
      </c>
      <c r="K2060" s="27"/>
      <c r="L2060" s="25" t="s">
        <v>536</v>
      </c>
      <c r="M2060" s="25" t="s">
        <v>535</v>
      </c>
      <c r="N2060" s="25">
        <v>1</v>
      </c>
      <c r="O2060" s="25">
        <v>0</v>
      </c>
      <c r="P2060" s="25">
        <v>0.5</v>
      </c>
      <c r="Q2060" s="25">
        <v>8</v>
      </c>
      <c r="R2060" s="25">
        <v>1</v>
      </c>
      <c r="S2060" s="25">
        <v>1</v>
      </c>
      <c r="T2060" s="25">
        <v>1</v>
      </c>
      <c r="U2060" s="25">
        <v>11.5</v>
      </c>
      <c r="V2060" s="25"/>
      <c r="W2060" s="33" t="s">
        <v>22</v>
      </c>
      <c r="X2060" s="33"/>
      <c r="Y2060" s="33"/>
      <c r="Z2060" s="33"/>
      <c r="AA2060" s="33"/>
    </row>
    <row r="2061" spans="1:27" s="70" customFormat="1" ht="56.25" x14ac:dyDescent="0.2">
      <c r="A2061" s="24">
        <v>2057</v>
      </c>
      <c r="B2061" s="27" t="s">
        <v>223</v>
      </c>
      <c r="C2061" s="28" t="s">
        <v>222</v>
      </c>
      <c r="D2061" s="71" t="s">
        <v>497</v>
      </c>
      <c r="E2061" s="28" t="s">
        <v>496</v>
      </c>
      <c r="F2061" s="28" t="s">
        <v>375</v>
      </c>
      <c r="G2061" s="27"/>
      <c r="H2061" s="28" t="s">
        <v>502</v>
      </c>
      <c r="I2061" s="27"/>
      <c r="J2061" s="28" t="s">
        <v>534</v>
      </c>
      <c r="K2061" s="27"/>
      <c r="L2061" s="25" t="s">
        <v>533</v>
      </c>
      <c r="M2061" s="25" t="s">
        <v>498</v>
      </c>
      <c r="N2061" s="25">
        <v>1</v>
      </c>
      <c r="O2061" s="25">
        <v>1</v>
      </c>
      <c r="P2061" s="25">
        <v>8</v>
      </c>
      <c r="Q2061" s="25">
        <v>4</v>
      </c>
      <c r="R2061" s="25">
        <v>4</v>
      </c>
      <c r="S2061" s="25">
        <v>1</v>
      </c>
      <c r="T2061" s="25">
        <v>1</v>
      </c>
      <c r="U2061" s="25">
        <v>19</v>
      </c>
      <c r="V2061" s="25"/>
      <c r="W2061" s="33" t="s">
        <v>22</v>
      </c>
      <c r="X2061" s="33"/>
      <c r="Y2061" s="33"/>
      <c r="Z2061" s="33" t="s">
        <v>532</v>
      </c>
      <c r="AA2061" s="33"/>
    </row>
    <row r="2062" spans="1:27" s="70" customFormat="1" ht="56.25" x14ac:dyDescent="0.2">
      <c r="A2062" s="24">
        <v>2058</v>
      </c>
      <c r="B2062" s="27" t="s">
        <v>223</v>
      </c>
      <c r="C2062" s="28" t="s">
        <v>222</v>
      </c>
      <c r="D2062" s="71" t="s">
        <v>497</v>
      </c>
      <c r="E2062" s="28" t="s">
        <v>496</v>
      </c>
      <c r="F2062" s="28" t="s">
        <v>375</v>
      </c>
      <c r="G2062" s="27"/>
      <c r="H2062" s="28" t="s">
        <v>502</v>
      </c>
      <c r="I2062" s="27"/>
      <c r="J2062" s="28" t="s">
        <v>531</v>
      </c>
      <c r="K2062" s="27"/>
      <c r="L2062" s="25" t="s">
        <v>530</v>
      </c>
      <c r="M2062" s="25" t="s">
        <v>498</v>
      </c>
      <c r="N2062" s="25">
        <v>1</v>
      </c>
      <c r="O2062" s="25">
        <v>0</v>
      </c>
      <c r="P2062" s="25">
        <v>16</v>
      </c>
      <c r="Q2062" s="25">
        <v>8</v>
      </c>
      <c r="R2062" s="25">
        <v>16</v>
      </c>
      <c r="S2062" s="25">
        <v>4</v>
      </c>
      <c r="T2062" s="25">
        <v>4</v>
      </c>
      <c r="U2062" s="25">
        <v>48</v>
      </c>
      <c r="V2062" s="25"/>
      <c r="W2062" s="33" t="s">
        <v>22</v>
      </c>
      <c r="X2062" s="33"/>
      <c r="Y2062" s="33"/>
      <c r="Z2062" s="33"/>
      <c r="AA2062" s="33"/>
    </row>
    <row r="2063" spans="1:27" s="70" customFormat="1" ht="56.25" x14ac:dyDescent="0.2">
      <c r="A2063" s="24">
        <v>2059</v>
      </c>
      <c r="B2063" s="27" t="s">
        <v>223</v>
      </c>
      <c r="C2063" s="28" t="s">
        <v>222</v>
      </c>
      <c r="D2063" s="71" t="s">
        <v>497</v>
      </c>
      <c r="E2063" s="28" t="s">
        <v>496</v>
      </c>
      <c r="F2063" s="28" t="s">
        <v>375</v>
      </c>
      <c r="G2063" s="27"/>
      <c r="H2063" s="28" t="s">
        <v>502</v>
      </c>
      <c r="I2063" s="27"/>
      <c r="J2063" s="28" t="s">
        <v>522</v>
      </c>
      <c r="K2063" s="27"/>
      <c r="L2063" s="25" t="s">
        <v>529</v>
      </c>
      <c r="M2063" s="25" t="s">
        <v>498</v>
      </c>
      <c r="N2063" s="25">
        <v>12</v>
      </c>
      <c r="O2063" s="25">
        <v>46</v>
      </c>
      <c r="P2063" s="25">
        <v>208</v>
      </c>
      <c r="Q2063" s="25">
        <v>36</v>
      </c>
      <c r="R2063" s="25">
        <v>36</v>
      </c>
      <c r="S2063" s="25">
        <v>8.5</v>
      </c>
      <c r="T2063" s="25">
        <v>5.5</v>
      </c>
      <c r="U2063" s="25">
        <v>340</v>
      </c>
      <c r="V2063" s="25"/>
      <c r="W2063" s="33" t="s">
        <v>506</v>
      </c>
      <c r="X2063" s="33"/>
      <c r="Y2063" s="33"/>
      <c r="Z2063" s="33" t="s">
        <v>505</v>
      </c>
      <c r="AA2063" s="33"/>
    </row>
    <row r="2064" spans="1:27" s="70" customFormat="1" ht="56.25" x14ac:dyDescent="0.2">
      <c r="A2064" s="24">
        <v>2060</v>
      </c>
      <c r="B2064" s="27" t="s">
        <v>223</v>
      </c>
      <c r="C2064" s="28" t="s">
        <v>222</v>
      </c>
      <c r="D2064" s="71" t="s">
        <v>497</v>
      </c>
      <c r="E2064" s="28" t="s">
        <v>496</v>
      </c>
      <c r="F2064" s="28" t="s">
        <v>375</v>
      </c>
      <c r="G2064" s="27"/>
      <c r="H2064" s="28" t="s">
        <v>502</v>
      </c>
      <c r="I2064" s="27"/>
      <c r="J2064" s="28" t="s">
        <v>522</v>
      </c>
      <c r="K2064" s="27"/>
      <c r="L2064" s="25" t="s">
        <v>528</v>
      </c>
      <c r="M2064" s="25" t="s">
        <v>498</v>
      </c>
      <c r="N2064" s="25">
        <v>1</v>
      </c>
      <c r="O2064" s="25">
        <v>12</v>
      </c>
      <c r="P2064" s="25">
        <v>60</v>
      </c>
      <c r="Q2064" s="25">
        <v>13</v>
      </c>
      <c r="R2064" s="25">
        <v>13</v>
      </c>
      <c r="S2064" s="25">
        <v>6</v>
      </c>
      <c r="T2064" s="25">
        <v>4</v>
      </c>
      <c r="U2064" s="25">
        <v>108</v>
      </c>
      <c r="V2064" s="25"/>
      <c r="W2064" s="33" t="s">
        <v>506</v>
      </c>
      <c r="X2064" s="33"/>
      <c r="Y2064" s="33"/>
      <c r="Z2064" s="33" t="s">
        <v>505</v>
      </c>
      <c r="AA2064" s="33"/>
    </row>
    <row r="2065" spans="1:27" s="70" customFormat="1" ht="56.25" x14ac:dyDescent="0.2">
      <c r="A2065" s="24">
        <v>2061</v>
      </c>
      <c r="B2065" s="27" t="s">
        <v>223</v>
      </c>
      <c r="C2065" s="28" t="s">
        <v>222</v>
      </c>
      <c r="D2065" s="71" t="s">
        <v>497</v>
      </c>
      <c r="E2065" s="28" t="s">
        <v>496</v>
      </c>
      <c r="F2065" s="28" t="s">
        <v>375</v>
      </c>
      <c r="G2065" s="27"/>
      <c r="H2065" s="28" t="s">
        <v>502</v>
      </c>
      <c r="I2065" s="27"/>
      <c r="J2065" s="28" t="s">
        <v>522</v>
      </c>
      <c r="K2065" s="27"/>
      <c r="L2065" s="25" t="s">
        <v>527</v>
      </c>
      <c r="M2065" s="25" t="s">
        <v>498</v>
      </c>
      <c r="N2065" s="25">
        <v>1</v>
      </c>
      <c r="O2065" s="25">
        <v>3.9999999999999956</v>
      </c>
      <c r="P2065" s="25">
        <v>3.9999999999999956</v>
      </c>
      <c r="Q2065" s="25">
        <v>0</v>
      </c>
      <c r="R2065" s="25">
        <v>0</v>
      </c>
      <c r="S2065" s="25">
        <v>0.25000000000000028</v>
      </c>
      <c r="T2065" s="25">
        <v>0.25000000000000028</v>
      </c>
      <c r="U2065" s="25">
        <v>8.4999999999999911</v>
      </c>
      <c r="V2065" s="25"/>
      <c r="W2065" s="33" t="s">
        <v>506</v>
      </c>
      <c r="X2065" s="33"/>
      <c r="Y2065" s="33"/>
      <c r="Z2065" s="33" t="s">
        <v>505</v>
      </c>
      <c r="AA2065" s="33"/>
    </row>
    <row r="2066" spans="1:27" s="70" customFormat="1" ht="56.25" x14ac:dyDescent="0.2">
      <c r="A2066" s="24">
        <v>2062</v>
      </c>
      <c r="B2066" s="27" t="s">
        <v>223</v>
      </c>
      <c r="C2066" s="28" t="s">
        <v>222</v>
      </c>
      <c r="D2066" s="71" t="s">
        <v>497</v>
      </c>
      <c r="E2066" s="28" t="s">
        <v>496</v>
      </c>
      <c r="F2066" s="28" t="s">
        <v>375</v>
      </c>
      <c r="G2066" s="27"/>
      <c r="H2066" s="28" t="s">
        <v>502</v>
      </c>
      <c r="I2066" s="27"/>
      <c r="J2066" s="28" t="s">
        <v>522</v>
      </c>
      <c r="K2066" s="27"/>
      <c r="L2066" s="25" t="s">
        <v>526</v>
      </c>
      <c r="M2066" s="25" t="s">
        <v>525</v>
      </c>
      <c r="N2066" s="25">
        <v>72</v>
      </c>
      <c r="O2066" s="25">
        <v>0</v>
      </c>
      <c r="P2066" s="25">
        <v>36</v>
      </c>
      <c r="Q2066" s="25">
        <v>0</v>
      </c>
      <c r="R2066" s="25">
        <v>0</v>
      </c>
      <c r="S2066" s="25">
        <v>3.9999999999999956</v>
      </c>
      <c r="T2066" s="25">
        <v>2</v>
      </c>
      <c r="U2066" s="25">
        <v>41.999999999999993</v>
      </c>
      <c r="V2066" s="25"/>
      <c r="W2066" s="33" t="s">
        <v>524</v>
      </c>
      <c r="X2066" s="33"/>
      <c r="Y2066" s="33"/>
      <c r="Z2066" s="33" t="s">
        <v>493</v>
      </c>
      <c r="AA2066" s="33"/>
    </row>
    <row r="2067" spans="1:27" s="70" customFormat="1" ht="56.25" x14ac:dyDescent="0.2">
      <c r="A2067" s="24">
        <v>2063</v>
      </c>
      <c r="B2067" s="27" t="s">
        <v>223</v>
      </c>
      <c r="C2067" s="28" t="s">
        <v>222</v>
      </c>
      <c r="D2067" s="71" t="s">
        <v>497</v>
      </c>
      <c r="E2067" s="28" t="s">
        <v>496</v>
      </c>
      <c r="F2067" s="28" t="s">
        <v>375</v>
      </c>
      <c r="G2067" s="27"/>
      <c r="H2067" s="28" t="s">
        <v>502</v>
      </c>
      <c r="I2067" s="27"/>
      <c r="J2067" s="28" t="s">
        <v>522</v>
      </c>
      <c r="K2067" s="27"/>
      <c r="L2067" s="25" t="s">
        <v>523</v>
      </c>
      <c r="M2067" s="25" t="s">
        <v>498</v>
      </c>
      <c r="N2067" s="25">
        <v>1</v>
      </c>
      <c r="O2067" s="25">
        <v>1</v>
      </c>
      <c r="P2067" s="25">
        <v>1</v>
      </c>
      <c r="Q2067" s="25">
        <v>1</v>
      </c>
      <c r="R2067" s="25">
        <v>1</v>
      </c>
      <c r="S2067" s="25">
        <v>0</v>
      </c>
      <c r="T2067" s="25">
        <v>0</v>
      </c>
      <c r="U2067" s="25">
        <v>4</v>
      </c>
      <c r="V2067" s="25"/>
      <c r="W2067" s="33" t="s">
        <v>22</v>
      </c>
      <c r="X2067" s="33"/>
      <c r="Y2067" s="33"/>
      <c r="Z2067" s="33" t="s">
        <v>493</v>
      </c>
      <c r="AA2067" s="33"/>
    </row>
    <row r="2068" spans="1:27" s="70" customFormat="1" ht="56.25" x14ac:dyDescent="0.2">
      <c r="A2068" s="24">
        <v>2064</v>
      </c>
      <c r="B2068" s="27" t="s">
        <v>223</v>
      </c>
      <c r="C2068" s="28" t="s">
        <v>222</v>
      </c>
      <c r="D2068" s="71" t="s">
        <v>497</v>
      </c>
      <c r="E2068" s="28" t="s">
        <v>496</v>
      </c>
      <c r="F2068" s="28" t="s">
        <v>375</v>
      </c>
      <c r="G2068" s="27"/>
      <c r="H2068" s="28" t="s">
        <v>502</v>
      </c>
      <c r="I2068" s="27"/>
      <c r="J2068" s="28" t="s">
        <v>522</v>
      </c>
      <c r="K2068" s="27"/>
      <c r="L2068" s="25" t="s">
        <v>521</v>
      </c>
      <c r="M2068" s="25" t="s">
        <v>498</v>
      </c>
      <c r="N2068" s="25">
        <v>1</v>
      </c>
      <c r="O2068" s="25">
        <v>0</v>
      </c>
      <c r="P2068" s="25">
        <v>60</v>
      </c>
      <c r="Q2068" s="25">
        <v>12.5</v>
      </c>
      <c r="R2068" s="25">
        <v>12.5</v>
      </c>
      <c r="S2068" s="25">
        <v>6</v>
      </c>
      <c r="T2068" s="25">
        <v>2.4000000000000004</v>
      </c>
      <c r="U2068" s="25">
        <v>93.4</v>
      </c>
      <c r="V2068" s="25"/>
      <c r="W2068" s="33" t="s">
        <v>22</v>
      </c>
      <c r="X2068" s="33"/>
      <c r="Y2068" s="33"/>
      <c r="Z2068" s="33" t="s">
        <v>493</v>
      </c>
      <c r="AA2068" s="33"/>
    </row>
    <row r="2069" spans="1:27" s="70" customFormat="1" ht="56.25" x14ac:dyDescent="0.2">
      <c r="A2069" s="24">
        <v>2065</v>
      </c>
      <c r="B2069" s="27" t="s">
        <v>223</v>
      </c>
      <c r="C2069" s="28" t="s">
        <v>222</v>
      </c>
      <c r="D2069" s="71" t="s">
        <v>497</v>
      </c>
      <c r="E2069" s="28" t="s">
        <v>496</v>
      </c>
      <c r="F2069" s="28" t="s">
        <v>375</v>
      </c>
      <c r="G2069" s="27"/>
      <c r="H2069" s="28" t="s">
        <v>502</v>
      </c>
      <c r="I2069" s="27"/>
      <c r="J2069" s="28" t="s">
        <v>511</v>
      </c>
      <c r="K2069" s="27"/>
      <c r="L2069" s="25" t="s">
        <v>520</v>
      </c>
      <c r="M2069" s="25" t="s">
        <v>498</v>
      </c>
      <c r="N2069" s="25">
        <v>1</v>
      </c>
      <c r="O2069" s="25">
        <v>16</v>
      </c>
      <c r="P2069" s="25">
        <v>88</v>
      </c>
      <c r="Q2069" s="25">
        <v>0</v>
      </c>
      <c r="R2069" s="25">
        <v>106</v>
      </c>
      <c r="S2069" s="25">
        <v>8</v>
      </c>
      <c r="T2069" s="25">
        <v>8</v>
      </c>
      <c r="U2069" s="25">
        <v>226</v>
      </c>
      <c r="V2069" s="25"/>
      <c r="W2069" s="33" t="s">
        <v>506</v>
      </c>
      <c r="X2069" s="33"/>
      <c r="Y2069" s="33"/>
      <c r="Z2069" s="33" t="s">
        <v>505</v>
      </c>
      <c r="AA2069" s="33"/>
    </row>
    <row r="2070" spans="1:27" s="70" customFormat="1" ht="56.25" x14ac:dyDescent="0.2">
      <c r="A2070" s="24">
        <v>2066</v>
      </c>
      <c r="B2070" s="27" t="s">
        <v>223</v>
      </c>
      <c r="C2070" s="28" t="s">
        <v>222</v>
      </c>
      <c r="D2070" s="71" t="s">
        <v>497</v>
      </c>
      <c r="E2070" s="28" t="s">
        <v>496</v>
      </c>
      <c r="F2070" s="28" t="s">
        <v>375</v>
      </c>
      <c r="G2070" s="27"/>
      <c r="H2070" s="28" t="s">
        <v>502</v>
      </c>
      <c r="I2070" s="27"/>
      <c r="J2070" s="28" t="s">
        <v>511</v>
      </c>
      <c r="K2070" s="27"/>
      <c r="L2070" s="25" t="s">
        <v>519</v>
      </c>
      <c r="M2070" s="25" t="s">
        <v>498</v>
      </c>
      <c r="N2070" s="25">
        <v>1</v>
      </c>
      <c r="O2070" s="25">
        <v>0</v>
      </c>
      <c r="P2070" s="25">
        <v>0.5</v>
      </c>
      <c r="Q2070" s="25">
        <v>0</v>
      </c>
      <c r="R2070" s="25">
        <v>0</v>
      </c>
      <c r="S2070" s="25">
        <v>0.4</v>
      </c>
      <c r="T2070" s="25">
        <v>0.4</v>
      </c>
      <c r="U2070" s="25">
        <v>1.3</v>
      </c>
      <c r="V2070" s="25"/>
      <c r="W2070" s="33" t="s">
        <v>518</v>
      </c>
      <c r="X2070" s="33"/>
      <c r="Y2070" s="33"/>
      <c r="Z2070" s="33" t="s">
        <v>505</v>
      </c>
      <c r="AA2070" s="33"/>
    </row>
    <row r="2071" spans="1:27" s="70" customFormat="1" ht="56.25" x14ac:dyDescent="0.2">
      <c r="A2071" s="24">
        <v>2067</v>
      </c>
      <c r="B2071" s="27" t="s">
        <v>223</v>
      </c>
      <c r="C2071" s="28" t="s">
        <v>222</v>
      </c>
      <c r="D2071" s="71" t="s">
        <v>497</v>
      </c>
      <c r="E2071" s="28" t="s">
        <v>496</v>
      </c>
      <c r="F2071" s="28" t="s">
        <v>375</v>
      </c>
      <c r="G2071" s="27"/>
      <c r="H2071" s="28" t="s">
        <v>502</v>
      </c>
      <c r="I2071" s="27"/>
      <c r="J2071" s="28" t="s">
        <v>511</v>
      </c>
      <c r="K2071" s="27"/>
      <c r="L2071" s="25" t="s">
        <v>517</v>
      </c>
      <c r="M2071" s="25" t="s">
        <v>516</v>
      </c>
      <c r="N2071" s="25">
        <v>3</v>
      </c>
      <c r="O2071" s="25">
        <v>0</v>
      </c>
      <c r="P2071" s="25">
        <v>28</v>
      </c>
      <c r="Q2071" s="25">
        <v>0.5</v>
      </c>
      <c r="R2071" s="25">
        <v>0.5</v>
      </c>
      <c r="S2071" s="25">
        <v>10</v>
      </c>
      <c r="T2071" s="25">
        <v>10</v>
      </c>
      <c r="U2071" s="25">
        <v>49</v>
      </c>
      <c r="V2071" s="25"/>
      <c r="W2071" s="33" t="s">
        <v>506</v>
      </c>
      <c r="X2071" s="33"/>
      <c r="Y2071" s="33"/>
      <c r="Z2071" s="33" t="s">
        <v>505</v>
      </c>
      <c r="AA2071" s="33"/>
    </row>
    <row r="2072" spans="1:27" s="70" customFormat="1" ht="56.25" x14ac:dyDescent="0.2">
      <c r="A2072" s="24">
        <v>2068</v>
      </c>
      <c r="B2072" s="27" t="s">
        <v>223</v>
      </c>
      <c r="C2072" s="28" t="s">
        <v>222</v>
      </c>
      <c r="D2072" s="71" t="s">
        <v>497</v>
      </c>
      <c r="E2072" s="28" t="s">
        <v>496</v>
      </c>
      <c r="F2072" s="28" t="s">
        <v>375</v>
      </c>
      <c r="G2072" s="27"/>
      <c r="H2072" s="28" t="s">
        <v>502</v>
      </c>
      <c r="I2072" s="27"/>
      <c r="J2072" s="28" t="s">
        <v>511</v>
      </c>
      <c r="K2072" s="27"/>
      <c r="L2072" s="25" t="s">
        <v>515</v>
      </c>
      <c r="M2072" s="25" t="s">
        <v>498</v>
      </c>
      <c r="N2072" s="25">
        <v>1</v>
      </c>
      <c r="O2072" s="25">
        <v>0</v>
      </c>
      <c r="P2072" s="25">
        <v>5</v>
      </c>
      <c r="Q2072" s="25">
        <v>0</v>
      </c>
      <c r="R2072" s="25">
        <v>0</v>
      </c>
      <c r="S2072" s="25">
        <v>0.5</v>
      </c>
      <c r="T2072" s="25">
        <v>0.5</v>
      </c>
      <c r="U2072" s="25">
        <v>6</v>
      </c>
      <c r="V2072" s="25"/>
      <c r="W2072" s="33" t="s">
        <v>514</v>
      </c>
      <c r="X2072" s="33"/>
      <c r="Y2072" s="33"/>
      <c r="Z2072" s="33" t="s">
        <v>505</v>
      </c>
      <c r="AA2072" s="33"/>
    </row>
    <row r="2073" spans="1:27" s="70" customFormat="1" ht="56.25" x14ac:dyDescent="0.2">
      <c r="A2073" s="24">
        <v>2069</v>
      </c>
      <c r="B2073" s="27" t="s">
        <v>223</v>
      </c>
      <c r="C2073" s="28" t="s">
        <v>222</v>
      </c>
      <c r="D2073" s="71" t="s">
        <v>497</v>
      </c>
      <c r="E2073" s="28" t="s">
        <v>496</v>
      </c>
      <c r="F2073" s="28" t="s">
        <v>375</v>
      </c>
      <c r="G2073" s="27"/>
      <c r="H2073" s="28" t="s">
        <v>502</v>
      </c>
      <c r="I2073" s="27"/>
      <c r="J2073" s="28" t="s">
        <v>511</v>
      </c>
      <c r="K2073" s="27"/>
      <c r="L2073" s="25" t="s">
        <v>513</v>
      </c>
      <c r="M2073" s="25" t="s">
        <v>498</v>
      </c>
      <c r="N2073" s="25">
        <v>1</v>
      </c>
      <c r="O2073" s="25">
        <v>0</v>
      </c>
      <c r="P2073" s="25">
        <v>4</v>
      </c>
      <c r="Q2073" s="25">
        <v>0</v>
      </c>
      <c r="R2073" s="25">
        <v>0</v>
      </c>
      <c r="S2073" s="25">
        <v>0.5</v>
      </c>
      <c r="T2073" s="25">
        <v>0</v>
      </c>
      <c r="U2073" s="25">
        <v>4.5</v>
      </c>
      <c r="V2073" s="25"/>
      <c r="W2073" s="33" t="s">
        <v>506</v>
      </c>
      <c r="X2073" s="33"/>
      <c r="Y2073" s="33"/>
      <c r="Z2073" s="33" t="s">
        <v>505</v>
      </c>
      <c r="AA2073" s="33"/>
    </row>
    <row r="2074" spans="1:27" s="70" customFormat="1" ht="56.25" x14ac:dyDescent="0.2">
      <c r="A2074" s="24">
        <v>2070</v>
      </c>
      <c r="B2074" s="27" t="s">
        <v>223</v>
      </c>
      <c r="C2074" s="28" t="s">
        <v>222</v>
      </c>
      <c r="D2074" s="71" t="s">
        <v>497</v>
      </c>
      <c r="E2074" s="28" t="s">
        <v>496</v>
      </c>
      <c r="F2074" s="28" t="s">
        <v>375</v>
      </c>
      <c r="G2074" s="27"/>
      <c r="H2074" s="28" t="s">
        <v>502</v>
      </c>
      <c r="I2074" s="27"/>
      <c r="J2074" s="28" t="s">
        <v>511</v>
      </c>
      <c r="K2074" s="27"/>
      <c r="L2074" s="25" t="s">
        <v>512</v>
      </c>
      <c r="M2074" s="25" t="s">
        <v>402</v>
      </c>
      <c r="N2074" s="25">
        <v>1</v>
      </c>
      <c r="O2074" s="25">
        <v>0</v>
      </c>
      <c r="P2074" s="25">
        <v>0</v>
      </c>
      <c r="Q2074" s="25">
        <v>0</v>
      </c>
      <c r="R2074" s="25">
        <v>0</v>
      </c>
      <c r="S2074" s="25">
        <v>0</v>
      </c>
      <c r="T2074" s="25">
        <v>0</v>
      </c>
      <c r="U2074" s="25">
        <v>0</v>
      </c>
      <c r="V2074" s="25"/>
      <c r="W2074" s="33" t="s">
        <v>494</v>
      </c>
      <c r="X2074" s="33"/>
      <c r="Y2074" s="33"/>
      <c r="Z2074" s="33" t="s">
        <v>493</v>
      </c>
      <c r="AA2074" s="33"/>
    </row>
    <row r="2075" spans="1:27" s="70" customFormat="1" ht="56.25" x14ac:dyDescent="0.2">
      <c r="A2075" s="24">
        <v>2071</v>
      </c>
      <c r="B2075" s="27" t="s">
        <v>223</v>
      </c>
      <c r="C2075" s="28" t="s">
        <v>222</v>
      </c>
      <c r="D2075" s="71" t="s">
        <v>497</v>
      </c>
      <c r="E2075" s="28" t="s">
        <v>496</v>
      </c>
      <c r="F2075" s="28" t="s">
        <v>375</v>
      </c>
      <c r="G2075" s="27"/>
      <c r="H2075" s="28" t="s">
        <v>502</v>
      </c>
      <c r="I2075" s="27"/>
      <c r="J2075" s="28" t="s">
        <v>511</v>
      </c>
      <c r="K2075" s="27"/>
      <c r="L2075" s="25" t="s">
        <v>510</v>
      </c>
      <c r="M2075" s="25" t="s">
        <v>498</v>
      </c>
      <c r="N2075" s="25">
        <v>1</v>
      </c>
      <c r="O2075" s="25">
        <v>0.5</v>
      </c>
      <c r="P2075" s="25">
        <v>23</v>
      </c>
      <c r="Q2075" s="25">
        <v>4</v>
      </c>
      <c r="R2075" s="25">
        <v>4</v>
      </c>
      <c r="S2075" s="25">
        <v>2</v>
      </c>
      <c r="T2075" s="25">
        <v>1</v>
      </c>
      <c r="U2075" s="25">
        <v>34.5</v>
      </c>
      <c r="V2075" s="25"/>
      <c r="W2075" s="33" t="s">
        <v>22</v>
      </c>
      <c r="X2075" s="33"/>
      <c r="Y2075" s="33"/>
      <c r="Z2075" s="33"/>
      <c r="AA2075" s="33"/>
    </row>
    <row r="2076" spans="1:27" s="70" customFormat="1" ht="56.25" x14ac:dyDescent="0.2">
      <c r="A2076" s="24">
        <v>2072</v>
      </c>
      <c r="B2076" s="27" t="s">
        <v>223</v>
      </c>
      <c r="C2076" s="28" t="s">
        <v>222</v>
      </c>
      <c r="D2076" s="71" t="s">
        <v>497</v>
      </c>
      <c r="E2076" s="28" t="s">
        <v>496</v>
      </c>
      <c r="F2076" s="28" t="s">
        <v>375</v>
      </c>
      <c r="G2076" s="27"/>
      <c r="H2076" s="28" t="s">
        <v>502</v>
      </c>
      <c r="I2076" s="27"/>
      <c r="J2076" s="28" t="s">
        <v>508</v>
      </c>
      <c r="K2076" s="27"/>
      <c r="L2076" s="25" t="s">
        <v>509</v>
      </c>
      <c r="M2076" s="25" t="s">
        <v>498</v>
      </c>
      <c r="N2076" s="25">
        <v>1</v>
      </c>
      <c r="O2076" s="25">
        <v>0</v>
      </c>
      <c r="P2076" s="25">
        <v>4240</v>
      </c>
      <c r="Q2076" s="25">
        <v>0</v>
      </c>
      <c r="R2076" s="25">
        <v>0</v>
      </c>
      <c r="S2076" s="25">
        <v>530</v>
      </c>
      <c r="T2076" s="25">
        <v>530</v>
      </c>
      <c r="U2076" s="25">
        <v>5300</v>
      </c>
      <c r="V2076" s="25"/>
      <c r="W2076" s="33" t="s">
        <v>506</v>
      </c>
      <c r="X2076" s="33"/>
      <c r="Y2076" s="33"/>
      <c r="Z2076" s="33" t="s">
        <v>505</v>
      </c>
      <c r="AA2076" s="33"/>
    </row>
    <row r="2077" spans="1:27" s="70" customFormat="1" ht="56.25" x14ac:dyDescent="0.2">
      <c r="A2077" s="24">
        <v>2073</v>
      </c>
      <c r="B2077" s="27" t="s">
        <v>223</v>
      </c>
      <c r="C2077" s="28" t="s">
        <v>222</v>
      </c>
      <c r="D2077" s="71" t="s">
        <v>497</v>
      </c>
      <c r="E2077" s="28" t="s">
        <v>496</v>
      </c>
      <c r="F2077" s="28" t="s">
        <v>375</v>
      </c>
      <c r="G2077" s="27"/>
      <c r="H2077" s="28" t="s">
        <v>502</v>
      </c>
      <c r="I2077" s="27"/>
      <c r="J2077" s="28" t="s">
        <v>508</v>
      </c>
      <c r="K2077" s="27"/>
      <c r="L2077" s="25" t="s">
        <v>507</v>
      </c>
      <c r="M2077" s="25" t="s">
        <v>498</v>
      </c>
      <c r="N2077" s="25">
        <v>1</v>
      </c>
      <c r="O2077" s="25">
        <v>0</v>
      </c>
      <c r="P2077" s="25">
        <v>8</v>
      </c>
      <c r="Q2077" s="25">
        <v>0</v>
      </c>
      <c r="R2077" s="25">
        <v>0</v>
      </c>
      <c r="S2077" s="25">
        <v>1</v>
      </c>
      <c r="T2077" s="25">
        <v>0.5</v>
      </c>
      <c r="U2077" s="25">
        <v>9.5</v>
      </c>
      <c r="V2077" s="25"/>
      <c r="W2077" s="33" t="s">
        <v>506</v>
      </c>
      <c r="X2077" s="33"/>
      <c r="Y2077" s="33"/>
      <c r="Z2077" s="33" t="s">
        <v>505</v>
      </c>
      <c r="AA2077" s="33"/>
    </row>
    <row r="2078" spans="1:27" s="70" customFormat="1" ht="56.25" x14ac:dyDescent="0.2">
      <c r="A2078" s="24">
        <v>2074</v>
      </c>
      <c r="B2078" s="27" t="s">
        <v>223</v>
      </c>
      <c r="C2078" s="28" t="s">
        <v>222</v>
      </c>
      <c r="D2078" s="71" t="s">
        <v>497</v>
      </c>
      <c r="E2078" s="28" t="s">
        <v>496</v>
      </c>
      <c r="F2078" s="28" t="s">
        <v>375</v>
      </c>
      <c r="G2078" s="27"/>
      <c r="H2078" s="28" t="s">
        <v>502</v>
      </c>
      <c r="I2078" s="27"/>
      <c r="J2078" s="28" t="s">
        <v>504</v>
      </c>
      <c r="K2078" s="27"/>
      <c r="L2078" s="25"/>
      <c r="M2078" s="25"/>
      <c r="N2078" s="25"/>
      <c r="O2078" s="25"/>
      <c r="P2078" s="25"/>
      <c r="Q2078" s="25"/>
      <c r="R2078" s="25"/>
      <c r="S2078" s="25"/>
      <c r="T2078" s="25"/>
      <c r="U2078" s="25"/>
      <c r="V2078" s="25"/>
      <c r="W2078" s="33"/>
      <c r="X2078" s="33"/>
      <c r="Y2078" s="33"/>
      <c r="Z2078" s="33"/>
      <c r="AA2078" s="33"/>
    </row>
    <row r="2079" spans="1:27" s="70" customFormat="1" ht="56.25" x14ac:dyDescent="0.2">
      <c r="A2079" s="24">
        <v>2075</v>
      </c>
      <c r="B2079" s="27" t="s">
        <v>223</v>
      </c>
      <c r="C2079" s="28" t="s">
        <v>222</v>
      </c>
      <c r="D2079" s="71" t="s">
        <v>497</v>
      </c>
      <c r="E2079" s="28" t="s">
        <v>496</v>
      </c>
      <c r="F2079" s="28" t="s">
        <v>375</v>
      </c>
      <c r="G2079" s="27"/>
      <c r="H2079" s="28" t="s">
        <v>502</v>
      </c>
      <c r="I2079" s="27"/>
      <c r="J2079" s="28" t="s">
        <v>503</v>
      </c>
      <c r="K2079" s="27"/>
      <c r="L2079" s="25"/>
      <c r="M2079" s="25"/>
      <c r="N2079" s="25"/>
      <c r="O2079" s="25"/>
      <c r="P2079" s="25"/>
      <c r="Q2079" s="25"/>
      <c r="R2079" s="25"/>
      <c r="S2079" s="25"/>
      <c r="T2079" s="25"/>
      <c r="U2079" s="25"/>
      <c r="V2079" s="25"/>
      <c r="W2079" s="33"/>
      <c r="X2079" s="33"/>
      <c r="Y2079" s="33"/>
      <c r="Z2079" s="33"/>
      <c r="AA2079" s="33"/>
    </row>
    <row r="2080" spans="1:27" s="70" customFormat="1" ht="56.25" x14ac:dyDescent="0.2">
      <c r="A2080" s="24">
        <v>2076</v>
      </c>
      <c r="B2080" s="27" t="s">
        <v>223</v>
      </c>
      <c r="C2080" s="28" t="s">
        <v>222</v>
      </c>
      <c r="D2080" s="71" t="s">
        <v>497</v>
      </c>
      <c r="E2080" s="28" t="s">
        <v>496</v>
      </c>
      <c r="F2080" s="28" t="s">
        <v>375</v>
      </c>
      <c r="G2080" s="27"/>
      <c r="H2080" s="28" t="s">
        <v>502</v>
      </c>
      <c r="I2080" s="27"/>
      <c r="J2080" s="28" t="s">
        <v>501</v>
      </c>
      <c r="K2080" s="27"/>
      <c r="L2080" s="25"/>
      <c r="M2080" s="25"/>
      <c r="N2080" s="25"/>
      <c r="O2080" s="25"/>
      <c r="P2080" s="25"/>
      <c r="Q2080" s="25"/>
      <c r="R2080" s="25"/>
      <c r="S2080" s="25"/>
      <c r="T2080" s="25"/>
      <c r="U2080" s="25"/>
      <c r="V2080" s="25"/>
      <c r="W2080" s="33"/>
      <c r="X2080" s="33"/>
      <c r="Y2080" s="33"/>
      <c r="Z2080" s="33"/>
      <c r="AA2080" s="33"/>
    </row>
    <row r="2081" spans="1:27" s="70" customFormat="1" ht="56.25" x14ac:dyDescent="0.2">
      <c r="A2081" s="24">
        <v>2077</v>
      </c>
      <c r="B2081" s="27" t="s">
        <v>223</v>
      </c>
      <c r="C2081" s="28" t="s">
        <v>222</v>
      </c>
      <c r="D2081" s="71" t="s">
        <v>497</v>
      </c>
      <c r="E2081" s="28" t="s">
        <v>496</v>
      </c>
      <c r="F2081" s="28" t="s">
        <v>375</v>
      </c>
      <c r="G2081" s="27"/>
      <c r="H2081" s="28" t="s">
        <v>346</v>
      </c>
      <c r="I2081" s="27"/>
      <c r="J2081" s="28" t="s">
        <v>346</v>
      </c>
      <c r="K2081" s="27"/>
      <c r="L2081" s="25" t="s">
        <v>500</v>
      </c>
      <c r="M2081" s="25" t="s">
        <v>498</v>
      </c>
      <c r="N2081" s="25">
        <v>4</v>
      </c>
      <c r="O2081" s="25">
        <v>1</v>
      </c>
      <c r="P2081" s="25">
        <v>1</v>
      </c>
      <c r="Q2081" s="25">
        <v>1</v>
      </c>
      <c r="R2081" s="25">
        <v>1</v>
      </c>
      <c r="S2081" s="25">
        <v>1</v>
      </c>
      <c r="T2081" s="25">
        <v>1</v>
      </c>
      <c r="U2081" s="25">
        <v>6</v>
      </c>
      <c r="V2081" s="25"/>
      <c r="W2081" s="33" t="s">
        <v>22</v>
      </c>
      <c r="X2081" s="33"/>
      <c r="Y2081" s="33"/>
      <c r="Z2081" s="33"/>
      <c r="AA2081" s="33"/>
    </row>
    <row r="2082" spans="1:27" s="70" customFormat="1" ht="56.25" x14ac:dyDescent="0.2">
      <c r="A2082" s="24">
        <v>2078</v>
      </c>
      <c r="B2082" s="27" t="s">
        <v>223</v>
      </c>
      <c r="C2082" s="28" t="s">
        <v>222</v>
      </c>
      <c r="D2082" s="71" t="s">
        <v>497</v>
      </c>
      <c r="E2082" s="28" t="s">
        <v>496</v>
      </c>
      <c r="F2082" s="28" t="s">
        <v>375</v>
      </c>
      <c r="G2082" s="27"/>
      <c r="H2082" s="28" t="s">
        <v>346</v>
      </c>
      <c r="I2082" s="27"/>
      <c r="J2082" s="28" t="s">
        <v>346</v>
      </c>
      <c r="K2082" s="27"/>
      <c r="L2082" s="25" t="s">
        <v>499</v>
      </c>
      <c r="M2082" s="25" t="s">
        <v>498</v>
      </c>
      <c r="N2082" s="25">
        <v>1</v>
      </c>
      <c r="O2082" s="25">
        <v>1</v>
      </c>
      <c r="P2082" s="25">
        <v>1</v>
      </c>
      <c r="Q2082" s="25">
        <v>1</v>
      </c>
      <c r="R2082" s="25">
        <v>1</v>
      </c>
      <c r="S2082" s="25">
        <v>1</v>
      </c>
      <c r="T2082" s="25">
        <v>1</v>
      </c>
      <c r="U2082" s="25">
        <v>6</v>
      </c>
      <c r="V2082" s="25"/>
      <c r="W2082" s="33" t="s">
        <v>22</v>
      </c>
      <c r="X2082" s="33"/>
      <c r="Y2082" s="33"/>
      <c r="Z2082" s="33" t="s">
        <v>493</v>
      </c>
      <c r="AA2082" s="33"/>
    </row>
    <row r="2083" spans="1:27" s="70" customFormat="1" ht="56.25" x14ac:dyDescent="0.2">
      <c r="A2083" s="24">
        <v>2079</v>
      </c>
      <c r="B2083" s="27" t="s">
        <v>223</v>
      </c>
      <c r="C2083" s="28" t="s">
        <v>222</v>
      </c>
      <c r="D2083" s="71" t="s">
        <v>497</v>
      </c>
      <c r="E2083" s="28" t="s">
        <v>496</v>
      </c>
      <c r="F2083" s="28" t="s">
        <v>375</v>
      </c>
      <c r="G2083" s="27"/>
      <c r="H2083" s="28" t="s">
        <v>346</v>
      </c>
      <c r="I2083" s="27"/>
      <c r="J2083" s="28" t="s">
        <v>346</v>
      </c>
      <c r="K2083" s="27"/>
      <c r="L2083" s="25" t="s">
        <v>495</v>
      </c>
      <c r="M2083" s="25" t="s">
        <v>402</v>
      </c>
      <c r="N2083" s="25">
        <v>1</v>
      </c>
      <c r="O2083" s="25">
        <v>0</v>
      </c>
      <c r="P2083" s="25">
        <v>0</v>
      </c>
      <c r="Q2083" s="25">
        <v>32</v>
      </c>
      <c r="R2083" s="25">
        <v>8</v>
      </c>
      <c r="S2083" s="25">
        <v>14</v>
      </c>
      <c r="T2083" s="25">
        <v>6</v>
      </c>
      <c r="U2083" s="25">
        <v>60</v>
      </c>
      <c r="V2083" s="25"/>
      <c r="W2083" s="33" t="s">
        <v>494</v>
      </c>
      <c r="X2083" s="33"/>
      <c r="Y2083" s="33"/>
      <c r="Z2083" s="33" t="s">
        <v>493</v>
      </c>
      <c r="AA2083" s="33"/>
    </row>
    <row r="2084" spans="1:27" s="70" customFormat="1" ht="56.25" x14ac:dyDescent="0.2">
      <c r="A2084" s="24">
        <v>2080</v>
      </c>
      <c r="B2084" s="27" t="s">
        <v>223</v>
      </c>
      <c r="C2084" s="28" t="s">
        <v>222</v>
      </c>
      <c r="D2084" s="71" t="s">
        <v>417</v>
      </c>
      <c r="E2084" s="28" t="s">
        <v>416</v>
      </c>
      <c r="F2084" s="28" t="s">
        <v>415</v>
      </c>
      <c r="G2084" s="27"/>
      <c r="H2084" s="28" t="s">
        <v>483</v>
      </c>
      <c r="I2084" s="27"/>
      <c r="J2084" s="28" t="s">
        <v>492</v>
      </c>
      <c r="K2084" s="27"/>
      <c r="L2084" s="25"/>
      <c r="M2084" s="25"/>
      <c r="N2084" s="25"/>
      <c r="O2084" s="25"/>
      <c r="P2084" s="25"/>
      <c r="Q2084" s="25"/>
      <c r="R2084" s="25"/>
      <c r="S2084" s="25"/>
      <c r="T2084" s="25"/>
      <c r="U2084" s="25"/>
      <c r="V2084" s="25"/>
      <c r="W2084" s="33"/>
      <c r="X2084" s="33"/>
      <c r="Y2084" s="33"/>
      <c r="Z2084" s="33"/>
      <c r="AA2084" s="33"/>
    </row>
    <row r="2085" spans="1:27" s="70" customFormat="1" ht="56.25" x14ac:dyDescent="0.2">
      <c r="A2085" s="24">
        <v>2081</v>
      </c>
      <c r="B2085" s="27" t="s">
        <v>223</v>
      </c>
      <c r="C2085" s="28" t="s">
        <v>222</v>
      </c>
      <c r="D2085" s="71" t="s">
        <v>417</v>
      </c>
      <c r="E2085" s="28" t="s">
        <v>416</v>
      </c>
      <c r="F2085" s="28" t="s">
        <v>415</v>
      </c>
      <c r="G2085" s="27"/>
      <c r="H2085" s="28" t="s">
        <v>483</v>
      </c>
      <c r="I2085" s="27"/>
      <c r="J2085" s="28" t="s">
        <v>489</v>
      </c>
      <c r="K2085" s="27"/>
      <c r="L2085" s="25" t="s">
        <v>491</v>
      </c>
      <c r="M2085" s="25" t="s">
        <v>296</v>
      </c>
      <c r="N2085" s="25">
        <v>4</v>
      </c>
      <c r="O2085" s="25"/>
      <c r="P2085" s="25">
        <v>11.200000000000001</v>
      </c>
      <c r="Q2085" s="25">
        <v>3.2</v>
      </c>
      <c r="R2085" s="25"/>
      <c r="S2085" s="25"/>
      <c r="T2085" s="25">
        <v>1.6</v>
      </c>
      <c r="U2085" s="25">
        <v>16.000000000000004</v>
      </c>
      <c r="V2085" s="25">
        <v>64.000000000000014</v>
      </c>
      <c r="W2085" s="33" t="s">
        <v>22</v>
      </c>
      <c r="X2085" s="33"/>
      <c r="Y2085" s="33"/>
      <c r="Z2085" s="33"/>
      <c r="AA2085" s="33"/>
    </row>
    <row r="2086" spans="1:27" s="70" customFormat="1" ht="56.25" x14ac:dyDescent="0.2">
      <c r="A2086" s="24">
        <v>2082</v>
      </c>
      <c r="B2086" s="27" t="s">
        <v>223</v>
      </c>
      <c r="C2086" s="28" t="s">
        <v>222</v>
      </c>
      <c r="D2086" s="71" t="s">
        <v>417</v>
      </c>
      <c r="E2086" s="28" t="s">
        <v>416</v>
      </c>
      <c r="F2086" s="28" t="s">
        <v>415</v>
      </c>
      <c r="G2086" s="27"/>
      <c r="H2086" s="28" t="s">
        <v>483</v>
      </c>
      <c r="I2086" s="27"/>
      <c r="J2086" s="28" t="s">
        <v>489</v>
      </c>
      <c r="K2086" s="27"/>
      <c r="L2086" s="25" t="s">
        <v>490</v>
      </c>
      <c r="M2086" s="25" t="s">
        <v>412</v>
      </c>
      <c r="N2086" s="25">
        <v>1</v>
      </c>
      <c r="O2086" s="25"/>
      <c r="P2086" s="25">
        <v>96</v>
      </c>
      <c r="Q2086" s="25">
        <v>38.4</v>
      </c>
      <c r="R2086" s="25"/>
      <c r="S2086" s="25"/>
      <c r="T2086" s="25">
        <v>19.2</v>
      </c>
      <c r="U2086" s="25">
        <v>153.6</v>
      </c>
      <c r="V2086" s="25">
        <v>153.6</v>
      </c>
      <c r="W2086" s="33" t="s">
        <v>22</v>
      </c>
      <c r="X2086" s="33"/>
      <c r="Y2086" s="33"/>
      <c r="Z2086" s="33"/>
      <c r="AA2086" s="33"/>
    </row>
    <row r="2087" spans="1:27" s="70" customFormat="1" ht="56.25" x14ac:dyDescent="0.2">
      <c r="A2087" s="24">
        <v>2083</v>
      </c>
      <c r="B2087" s="27" t="s">
        <v>223</v>
      </c>
      <c r="C2087" s="28" t="s">
        <v>222</v>
      </c>
      <c r="D2087" s="71" t="s">
        <v>417</v>
      </c>
      <c r="E2087" s="28" t="s">
        <v>416</v>
      </c>
      <c r="F2087" s="28" t="s">
        <v>415</v>
      </c>
      <c r="G2087" s="27"/>
      <c r="H2087" s="28" t="s">
        <v>483</v>
      </c>
      <c r="I2087" s="27"/>
      <c r="J2087" s="28" t="s">
        <v>489</v>
      </c>
      <c r="K2087" s="27"/>
      <c r="L2087" s="25" t="s">
        <v>488</v>
      </c>
      <c r="M2087" s="25" t="s">
        <v>296</v>
      </c>
      <c r="N2087" s="25">
        <v>1</v>
      </c>
      <c r="O2087" s="25"/>
      <c r="P2087" s="25">
        <v>84</v>
      </c>
      <c r="Q2087" s="25">
        <v>48</v>
      </c>
      <c r="R2087" s="25"/>
      <c r="S2087" s="25"/>
      <c r="T2087" s="25">
        <v>24</v>
      </c>
      <c r="U2087" s="25">
        <v>156</v>
      </c>
      <c r="V2087" s="25">
        <v>156</v>
      </c>
      <c r="W2087" s="33" t="s">
        <v>22</v>
      </c>
      <c r="X2087" s="33"/>
      <c r="Y2087" s="33"/>
      <c r="Z2087" s="33"/>
      <c r="AA2087" s="33"/>
    </row>
    <row r="2088" spans="1:27" s="70" customFormat="1" ht="56.25" x14ac:dyDescent="0.2">
      <c r="A2088" s="24">
        <v>2084</v>
      </c>
      <c r="B2088" s="27" t="s">
        <v>223</v>
      </c>
      <c r="C2088" s="28" t="s">
        <v>222</v>
      </c>
      <c r="D2088" s="71" t="s">
        <v>417</v>
      </c>
      <c r="E2088" s="28" t="s">
        <v>416</v>
      </c>
      <c r="F2088" s="28" t="s">
        <v>415</v>
      </c>
      <c r="G2088" s="27"/>
      <c r="H2088" s="28" t="s">
        <v>483</v>
      </c>
      <c r="I2088" s="27"/>
      <c r="J2088" s="28" t="s">
        <v>485</v>
      </c>
      <c r="K2088" s="27"/>
      <c r="L2088" s="25" t="s">
        <v>487</v>
      </c>
      <c r="M2088" s="25" t="s">
        <v>412</v>
      </c>
      <c r="N2088" s="25">
        <v>4</v>
      </c>
      <c r="O2088" s="25"/>
      <c r="P2088" s="25">
        <v>144</v>
      </c>
      <c r="Q2088" s="25">
        <v>96</v>
      </c>
      <c r="R2088" s="25"/>
      <c r="S2088" s="25">
        <v>84</v>
      </c>
      <c r="T2088" s="25">
        <v>48</v>
      </c>
      <c r="U2088" s="25">
        <v>372</v>
      </c>
      <c r="V2088" s="25">
        <v>1488</v>
      </c>
      <c r="W2088" s="33" t="s">
        <v>22</v>
      </c>
      <c r="X2088" s="33"/>
      <c r="Y2088" s="33"/>
      <c r="Z2088" s="33"/>
      <c r="AA2088" s="33"/>
    </row>
    <row r="2089" spans="1:27" s="70" customFormat="1" ht="56.25" x14ac:dyDescent="0.2">
      <c r="A2089" s="24">
        <v>2085</v>
      </c>
      <c r="B2089" s="27" t="s">
        <v>223</v>
      </c>
      <c r="C2089" s="28" t="s">
        <v>222</v>
      </c>
      <c r="D2089" s="71" t="s">
        <v>417</v>
      </c>
      <c r="E2089" s="28" t="s">
        <v>416</v>
      </c>
      <c r="F2089" s="28" t="s">
        <v>415</v>
      </c>
      <c r="G2089" s="27"/>
      <c r="H2089" s="28" t="s">
        <v>483</v>
      </c>
      <c r="I2089" s="27"/>
      <c r="J2089" s="28" t="s">
        <v>485</v>
      </c>
      <c r="K2089" s="27"/>
      <c r="L2089" s="25" t="s">
        <v>486</v>
      </c>
      <c r="M2089" s="25" t="s">
        <v>469</v>
      </c>
      <c r="N2089" s="25">
        <v>850</v>
      </c>
      <c r="O2089" s="25"/>
      <c r="P2089" s="25">
        <v>3</v>
      </c>
      <c r="Q2089" s="25"/>
      <c r="R2089" s="25">
        <v>1</v>
      </c>
      <c r="S2089" s="25">
        <v>0.6</v>
      </c>
      <c r="T2089" s="25">
        <v>0.2</v>
      </c>
      <c r="U2089" s="25">
        <v>4.8</v>
      </c>
      <c r="V2089" s="25">
        <v>4080</v>
      </c>
      <c r="W2089" s="33" t="s">
        <v>22</v>
      </c>
      <c r="X2089" s="33"/>
      <c r="Y2089" s="33"/>
      <c r="Z2089" s="33"/>
      <c r="AA2089" s="33"/>
    </row>
    <row r="2090" spans="1:27" s="70" customFormat="1" ht="56.25" x14ac:dyDescent="0.2">
      <c r="A2090" s="24">
        <v>2086</v>
      </c>
      <c r="B2090" s="27" t="s">
        <v>223</v>
      </c>
      <c r="C2090" s="28" t="s">
        <v>222</v>
      </c>
      <c r="D2090" s="71" t="s">
        <v>417</v>
      </c>
      <c r="E2090" s="28" t="s">
        <v>416</v>
      </c>
      <c r="F2090" s="28" t="s">
        <v>415</v>
      </c>
      <c r="G2090" s="27"/>
      <c r="H2090" s="28" t="s">
        <v>483</v>
      </c>
      <c r="I2090" s="27"/>
      <c r="J2090" s="28" t="s">
        <v>485</v>
      </c>
      <c r="K2090" s="27"/>
      <c r="L2090" s="25" t="s">
        <v>484</v>
      </c>
      <c r="M2090" s="25" t="s">
        <v>469</v>
      </c>
      <c r="N2090" s="25">
        <v>850</v>
      </c>
      <c r="O2090" s="25"/>
      <c r="P2090" s="25">
        <v>2</v>
      </c>
      <c r="Q2090" s="25">
        <v>1</v>
      </c>
      <c r="R2090" s="25">
        <v>0.5</v>
      </c>
      <c r="S2090" s="25">
        <v>0.3</v>
      </c>
      <c r="T2090" s="25">
        <v>0.2</v>
      </c>
      <c r="U2090" s="25">
        <v>4</v>
      </c>
      <c r="V2090" s="25">
        <v>3400</v>
      </c>
      <c r="W2090" s="33" t="s">
        <v>22</v>
      </c>
      <c r="X2090" s="33"/>
      <c r="Y2090" s="33"/>
      <c r="Z2090" s="33"/>
      <c r="AA2090" s="33"/>
    </row>
    <row r="2091" spans="1:27" s="70" customFormat="1" ht="56.25" x14ac:dyDescent="0.2">
      <c r="A2091" s="24">
        <v>2087</v>
      </c>
      <c r="B2091" s="27" t="s">
        <v>223</v>
      </c>
      <c r="C2091" s="28" t="s">
        <v>222</v>
      </c>
      <c r="D2091" s="71" t="s">
        <v>417</v>
      </c>
      <c r="E2091" s="28" t="s">
        <v>416</v>
      </c>
      <c r="F2091" s="28" t="s">
        <v>415</v>
      </c>
      <c r="G2091" s="27"/>
      <c r="H2091" s="28" t="s">
        <v>483</v>
      </c>
      <c r="I2091" s="27"/>
      <c r="J2091" s="28" t="s">
        <v>482</v>
      </c>
      <c r="K2091" s="27"/>
      <c r="L2091" s="25" t="s">
        <v>438</v>
      </c>
      <c r="M2091" s="25" t="s">
        <v>265</v>
      </c>
      <c r="N2091" s="25">
        <v>1560</v>
      </c>
      <c r="O2091" s="25"/>
      <c r="P2091" s="25">
        <v>0.11666666666666667</v>
      </c>
      <c r="Q2091" s="25"/>
      <c r="R2091" s="25">
        <v>8.3333333333333329E-2</v>
      </c>
      <c r="S2091" s="25"/>
      <c r="T2091" s="25"/>
      <c r="U2091" s="25">
        <v>0.2</v>
      </c>
      <c r="V2091" s="25">
        <v>312</v>
      </c>
      <c r="W2091" s="33" t="s">
        <v>22</v>
      </c>
      <c r="X2091" s="33"/>
      <c r="Y2091" s="33"/>
      <c r="Z2091" s="33"/>
      <c r="AA2091" s="33"/>
    </row>
    <row r="2092" spans="1:27" s="70" customFormat="1" ht="56.25" x14ac:dyDescent="0.2">
      <c r="A2092" s="24">
        <v>2088</v>
      </c>
      <c r="B2092" s="27" t="s">
        <v>223</v>
      </c>
      <c r="C2092" s="28" t="s">
        <v>222</v>
      </c>
      <c r="D2092" s="71" t="s">
        <v>417</v>
      </c>
      <c r="E2092" s="28" t="s">
        <v>416</v>
      </c>
      <c r="F2092" s="28" t="s">
        <v>415</v>
      </c>
      <c r="G2092" s="27"/>
      <c r="H2092" s="28" t="s">
        <v>466</v>
      </c>
      <c r="I2092" s="27"/>
      <c r="J2092" s="28" t="s">
        <v>473</v>
      </c>
      <c r="K2092" s="27"/>
      <c r="L2092" s="25" t="s">
        <v>481</v>
      </c>
      <c r="M2092" s="25" t="s">
        <v>199</v>
      </c>
      <c r="N2092" s="25">
        <v>13</v>
      </c>
      <c r="O2092" s="25"/>
      <c r="P2092" s="25"/>
      <c r="Q2092" s="25">
        <v>48</v>
      </c>
      <c r="R2092" s="25"/>
      <c r="S2092" s="25">
        <v>2.4000000000000004</v>
      </c>
      <c r="T2092" s="25">
        <v>2.4000000000000004</v>
      </c>
      <c r="U2092" s="25">
        <v>52.8</v>
      </c>
      <c r="V2092" s="25">
        <v>686.4</v>
      </c>
      <c r="W2092" s="33" t="s">
        <v>22</v>
      </c>
      <c r="X2092" s="33"/>
      <c r="Y2092" s="33"/>
      <c r="Z2092" s="33"/>
      <c r="AA2092" s="33"/>
    </row>
    <row r="2093" spans="1:27" s="70" customFormat="1" ht="56.25" x14ac:dyDescent="0.2">
      <c r="A2093" s="24">
        <v>2089</v>
      </c>
      <c r="B2093" s="27" t="s">
        <v>223</v>
      </c>
      <c r="C2093" s="28" t="s">
        <v>222</v>
      </c>
      <c r="D2093" s="71" t="s">
        <v>417</v>
      </c>
      <c r="E2093" s="28" t="s">
        <v>416</v>
      </c>
      <c r="F2093" s="28" t="s">
        <v>415</v>
      </c>
      <c r="G2093" s="27"/>
      <c r="H2093" s="28" t="s">
        <v>466</v>
      </c>
      <c r="I2093" s="27"/>
      <c r="J2093" s="28" t="s">
        <v>473</v>
      </c>
      <c r="K2093" s="27"/>
      <c r="L2093" s="25" t="s">
        <v>480</v>
      </c>
      <c r="M2093" s="25" t="s">
        <v>475</v>
      </c>
      <c r="N2093" s="25">
        <v>1</v>
      </c>
      <c r="O2093" s="25"/>
      <c r="P2093" s="25"/>
      <c r="Q2093" s="25">
        <v>360</v>
      </c>
      <c r="R2093" s="25"/>
      <c r="S2093" s="25">
        <v>24</v>
      </c>
      <c r="T2093" s="25">
        <v>24</v>
      </c>
      <c r="U2093" s="25">
        <v>408</v>
      </c>
      <c r="V2093" s="25">
        <v>408</v>
      </c>
      <c r="W2093" s="33" t="s">
        <v>198</v>
      </c>
      <c r="X2093" s="33"/>
      <c r="Y2093" s="33"/>
      <c r="Z2093" s="33" t="s">
        <v>353</v>
      </c>
      <c r="AA2093" s="33"/>
    </row>
    <row r="2094" spans="1:27" s="70" customFormat="1" ht="56.25" x14ac:dyDescent="0.2">
      <c r="A2094" s="24">
        <v>2090</v>
      </c>
      <c r="B2094" s="27" t="s">
        <v>223</v>
      </c>
      <c r="C2094" s="28" t="s">
        <v>222</v>
      </c>
      <c r="D2094" s="71" t="s">
        <v>417</v>
      </c>
      <c r="E2094" s="28" t="s">
        <v>416</v>
      </c>
      <c r="F2094" s="28" t="s">
        <v>415</v>
      </c>
      <c r="G2094" s="27"/>
      <c r="H2094" s="28" t="s">
        <v>466</v>
      </c>
      <c r="I2094" s="27"/>
      <c r="J2094" s="28" t="s">
        <v>473</v>
      </c>
      <c r="K2094" s="27"/>
      <c r="L2094" s="25" t="s">
        <v>479</v>
      </c>
      <c r="M2094" s="25" t="s">
        <v>475</v>
      </c>
      <c r="N2094" s="25">
        <v>1</v>
      </c>
      <c r="O2094" s="25"/>
      <c r="P2094" s="25"/>
      <c r="Q2094" s="25">
        <v>360</v>
      </c>
      <c r="R2094" s="25"/>
      <c r="S2094" s="25">
        <v>24</v>
      </c>
      <c r="T2094" s="25">
        <v>24</v>
      </c>
      <c r="U2094" s="25">
        <v>408</v>
      </c>
      <c r="V2094" s="25">
        <v>408</v>
      </c>
      <c r="W2094" s="33" t="s">
        <v>198</v>
      </c>
      <c r="X2094" s="33"/>
      <c r="Y2094" s="33"/>
      <c r="Z2094" s="33" t="s">
        <v>353</v>
      </c>
      <c r="AA2094" s="33"/>
    </row>
    <row r="2095" spans="1:27" s="70" customFormat="1" ht="56.25" x14ac:dyDescent="0.2">
      <c r="A2095" s="24">
        <v>2091</v>
      </c>
      <c r="B2095" s="27" t="s">
        <v>223</v>
      </c>
      <c r="C2095" s="28" t="s">
        <v>222</v>
      </c>
      <c r="D2095" s="71" t="s">
        <v>417</v>
      </c>
      <c r="E2095" s="28" t="s">
        <v>416</v>
      </c>
      <c r="F2095" s="28" t="s">
        <v>415</v>
      </c>
      <c r="G2095" s="27"/>
      <c r="H2095" s="28" t="s">
        <v>466</v>
      </c>
      <c r="I2095" s="27"/>
      <c r="J2095" s="28" t="s">
        <v>473</v>
      </c>
      <c r="K2095" s="27"/>
      <c r="L2095" s="25" t="s">
        <v>478</v>
      </c>
      <c r="M2095" s="25" t="s">
        <v>424</v>
      </c>
      <c r="N2095" s="25">
        <v>1</v>
      </c>
      <c r="O2095" s="25"/>
      <c r="P2095" s="25"/>
      <c r="Q2095" s="25">
        <v>1080</v>
      </c>
      <c r="R2095" s="25"/>
      <c r="S2095" s="25">
        <v>240</v>
      </c>
      <c r="T2095" s="25">
        <v>120</v>
      </c>
      <c r="U2095" s="25">
        <v>1440</v>
      </c>
      <c r="V2095" s="25">
        <v>1440</v>
      </c>
      <c r="W2095" s="33" t="s">
        <v>22</v>
      </c>
      <c r="X2095" s="33"/>
      <c r="Y2095" s="33"/>
      <c r="Z2095" s="33"/>
      <c r="AA2095" s="33"/>
    </row>
    <row r="2096" spans="1:27" s="70" customFormat="1" ht="56.25" x14ac:dyDescent="0.2">
      <c r="A2096" s="24">
        <v>2092</v>
      </c>
      <c r="B2096" s="27" t="s">
        <v>223</v>
      </c>
      <c r="C2096" s="28" t="s">
        <v>222</v>
      </c>
      <c r="D2096" s="71" t="s">
        <v>417</v>
      </c>
      <c r="E2096" s="28" t="s">
        <v>416</v>
      </c>
      <c r="F2096" s="28" t="s">
        <v>415</v>
      </c>
      <c r="G2096" s="27"/>
      <c r="H2096" s="28" t="s">
        <v>466</v>
      </c>
      <c r="I2096" s="27"/>
      <c r="J2096" s="28" t="s">
        <v>473</v>
      </c>
      <c r="K2096" s="27"/>
      <c r="L2096" s="25" t="s">
        <v>477</v>
      </c>
      <c r="M2096" s="25" t="s">
        <v>363</v>
      </c>
      <c r="N2096" s="25">
        <v>2</v>
      </c>
      <c r="O2096" s="25"/>
      <c r="P2096" s="25"/>
      <c r="Q2096" s="25">
        <v>240</v>
      </c>
      <c r="R2096" s="25"/>
      <c r="S2096" s="25">
        <v>24</v>
      </c>
      <c r="T2096" s="25">
        <v>12</v>
      </c>
      <c r="U2096" s="25">
        <v>276</v>
      </c>
      <c r="V2096" s="25">
        <v>552</v>
      </c>
      <c r="W2096" s="33" t="s">
        <v>22</v>
      </c>
      <c r="X2096" s="33"/>
      <c r="Y2096" s="33"/>
      <c r="Z2096" s="33"/>
      <c r="AA2096" s="33"/>
    </row>
    <row r="2097" spans="1:27" s="70" customFormat="1" ht="56.25" x14ac:dyDescent="0.2">
      <c r="A2097" s="24">
        <v>2093</v>
      </c>
      <c r="B2097" s="27" t="s">
        <v>223</v>
      </c>
      <c r="C2097" s="28" t="s">
        <v>222</v>
      </c>
      <c r="D2097" s="71" t="s">
        <v>417</v>
      </c>
      <c r="E2097" s="28" t="s">
        <v>416</v>
      </c>
      <c r="F2097" s="28" t="s">
        <v>415</v>
      </c>
      <c r="G2097" s="27"/>
      <c r="H2097" s="28" t="s">
        <v>466</v>
      </c>
      <c r="I2097" s="27"/>
      <c r="J2097" s="28" t="s">
        <v>473</v>
      </c>
      <c r="K2097" s="27"/>
      <c r="L2097" s="25" t="s">
        <v>476</v>
      </c>
      <c r="M2097" s="25" t="s">
        <v>475</v>
      </c>
      <c r="N2097" s="25">
        <v>1</v>
      </c>
      <c r="O2097" s="25"/>
      <c r="P2097" s="25"/>
      <c r="Q2097" s="25">
        <v>360</v>
      </c>
      <c r="R2097" s="25"/>
      <c r="S2097" s="25"/>
      <c r="T2097" s="25">
        <v>72</v>
      </c>
      <c r="U2097" s="25">
        <v>432</v>
      </c>
      <c r="V2097" s="25">
        <v>432</v>
      </c>
      <c r="W2097" s="33" t="s">
        <v>22</v>
      </c>
      <c r="X2097" s="33"/>
      <c r="Y2097" s="33"/>
      <c r="Z2097" s="33"/>
      <c r="AA2097" s="33"/>
    </row>
    <row r="2098" spans="1:27" s="70" customFormat="1" ht="56.25" x14ac:dyDescent="0.2">
      <c r="A2098" s="24">
        <v>2094</v>
      </c>
      <c r="B2098" s="27" t="s">
        <v>223</v>
      </c>
      <c r="C2098" s="28" t="s">
        <v>222</v>
      </c>
      <c r="D2098" s="71" t="s">
        <v>417</v>
      </c>
      <c r="E2098" s="28" t="s">
        <v>416</v>
      </c>
      <c r="F2098" s="28" t="s">
        <v>415</v>
      </c>
      <c r="G2098" s="27"/>
      <c r="H2098" s="28" t="s">
        <v>466</v>
      </c>
      <c r="I2098" s="27"/>
      <c r="J2098" s="28" t="s">
        <v>473</v>
      </c>
      <c r="K2098" s="27"/>
      <c r="L2098" s="25" t="s">
        <v>474</v>
      </c>
      <c r="M2098" s="25" t="s">
        <v>363</v>
      </c>
      <c r="N2098" s="25">
        <v>1</v>
      </c>
      <c r="O2098" s="25"/>
      <c r="P2098" s="25"/>
      <c r="Q2098" s="25">
        <v>360</v>
      </c>
      <c r="R2098" s="25"/>
      <c r="S2098" s="25"/>
      <c r="T2098" s="25">
        <v>72</v>
      </c>
      <c r="U2098" s="25">
        <v>432</v>
      </c>
      <c r="V2098" s="25">
        <v>432</v>
      </c>
      <c r="W2098" s="33" t="s">
        <v>22</v>
      </c>
      <c r="X2098" s="33"/>
      <c r="Y2098" s="33"/>
      <c r="Z2098" s="33"/>
      <c r="AA2098" s="33"/>
    </row>
    <row r="2099" spans="1:27" s="70" customFormat="1" ht="56.25" x14ac:dyDescent="0.2">
      <c r="A2099" s="24">
        <v>2095</v>
      </c>
      <c r="B2099" s="27" t="s">
        <v>223</v>
      </c>
      <c r="C2099" s="28" t="s">
        <v>222</v>
      </c>
      <c r="D2099" s="71" t="s">
        <v>417</v>
      </c>
      <c r="E2099" s="28" t="s">
        <v>416</v>
      </c>
      <c r="F2099" s="28" t="s">
        <v>415</v>
      </c>
      <c r="G2099" s="27"/>
      <c r="H2099" s="28" t="s">
        <v>466</v>
      </c>
      <c r="I2099" s="27"/>
      <c r="J2099" s="28" t="s">
        <v>473</v>
      </c>
      <c r="K2099" s="27"/>
      <c r="L2099" s="25" t="s">
        <v>472</v>
      </c>
      <c r="M2099" s="25" t="s">
        <v>440</v>
      </c>
      <c r="N2099" s="25">
        <v>1</v>
      </c>
      <c r="O2099" s="25"/>
      <c r="P2099" s="25">
        <v>96</v>
      </c>
      <c r="Q2099" s="25">
        <v>96</v>
      </c>
      <c r="R2099" s="25"/>
      <c r="S2099" s="25">
        <v>12</v>
      </c>
      <c r="T2099" s="25">
        <v>12</v>
      </c>
      <c r="U2099" s="25">
        <v>216</v>
      </c>
      <c r="V2099" s="25">
        <v>216</v>
      </c>
      <c r="W2099" s="33" t="s">
        <v>22</v>
      </c>
      <c r="X2099" s="33"/>
      <c r="Y2099" s="33"/>
      <c r="Z2099" s="33"/>
      <c r="AA2099" s="33"/>
    </row>
    <row r="2100" spans="1:27" s="70" customFormat="1" ht="56.25" x14ac:dyDescent="0.2">
      <c r="A2100" s="24">
        <v>2096</v>
      </c>
      <c r="B2100" s="27" t="s">
        <v>223</v>
      </c>
      <c r="C2100" s="28" t="s">
        <v>222</v>
      </c>
      <c r="D2100" s="71" t="s">
        <v>417</v>
      </c>
      <c r="E2100" s="28" t="s">
        <v>416</v>
      </c>
      <c r="F2100" s="28" t="s">
        <v>415</v>
      </c>
      <c r="G2100" s="27"/>
      <c r="H2100" s="28" t="s">
        <v>466</v>
      </c>
      <c r="I2100" s="27"/>
      <c r="J2100" s="28" t="s">
        <v>471</v>
      </c>
      <c r="K2100" s="27"/>
      <c r="L2100" s="25" t="s">
        <v>470</v>
      </c>
      <c r="M2100" s="25" t="s">
        <v>469</v>
      </c>
      <c r="N2100" s="25">
        <v>850</v>
      </c>
      <c r="O2100" s="25">
        <v>0.8</v>
      </c>
      <c r="P2100" s="25"/>
      <c r="Q2100" s="25">
        <v>0.8</v>
      </c>
      <c r="R2100" s="25"/>
      <c r="S2100" s="25">
        <v>0.2</v>
      </c>
      <c r="T2100" s="25">
        <v>0.2</v>
      </c>
      <c r="U2100" s="25">
        <v>2</v>
      </c>
      <c r="V2100" s="25">
        <v>1700</v>
      </c>
      <c r="W2100" s="33" t="s">
        <v>22</v>
      </c>
      <c r="X2100" s="33"/>
      <c r="Y2100" s="33"/>
      <c r="Z2100" s="33"/>
      <c r="AA2100" s="33"/>
    </row>
    <row r="2101" spans="1:27" s="70" customFormat="1" ht="56.25" x14ac:dyDescent="0.2">
      <c r="A2101" s="24">
        <v>2097</v>
      </c>
      <c r="B2101" s="27" t="s">
        <v>223</v>
      </c>
      <c r="C2101" s="28" t="s">
        <v>222</v>
      </c>
      <c r="D2101" s="71" t="s">
        <v>417</v>
      </c>
      <c r="E2101" s="28" t="s">
        <v>416</v>
      </c>
      <c r="F2101" s="28" t="s">
        <v>415</v>
      </c>
      <c r="G2101" s="27"/>
      <c r="H2101" s="28" t="s">
        <v>466</v>
      </c>
      <c r="I2101" s="27"/>
      <c r="J2101" s="28" t="s">
        <v>468</v>
      </c>
      <c r="K2101" s="27"/>
      <c r="L2101" s="25"/>
      <c r="M2101" s="25"/>
      <c r="N2101" s="25"/>
      <c r="O2101" s="25"/>
      <c r="P2101" s="25"/>
      <c r="Q2101" s="25"/>
      <c r="R2101" s="25"/>
      <c r="S2101" s="25"/>
      <c r="T2101" s="25"/>
      <c r="U2101" s="25"/>
      <c r="V2101" s="25"/>
      <c r="W2101" s="33"/>
      <c r="X2101" s="33"/>
      <c r="Y2101" s="33"/>
      <c r="Z2101" s="33"/>
      <c r="AA2101" s="33"/>
    </row>
    <row r="2102" spans="1:27" s="70" customFormat="1" ht="56.25" x14ac:dyDescent="0.2">
      <c r="A2102" s="24">
        <v>2098</v>
      </c>
      <c r="B2102" s="27" t="s">
        <v>223</v>
      </c>
      <c r="C2102" s="28" t="s">
        <v>222</v>
      </c>
      <c r="D2102" s="71" t="s">
        <v>417</v>
      </c>
      <c r="E2102" s="28" t="s">
        <v>416</v>
      </c>
      <c r="F2102" s="28" t="s">
        <v>415</v>
      </c>
      <c r="G2102" s="27"/>
      <c r="H2102" s="28" t="s">
        <v>466</v>
      </c>
      <c r="I2102" s="27"/>
      <c r="J2102" s="28" t="s">
        <v>467</v>
      </c>
      <c r="K2102" s="27"/>
      <c r="L2102" s="25"/>
      <c r="M2102" s="25"/>
      <c r="N2102" s="25"/>
      <c r="O2102" s="25"/>
      <c r="P2102" s="25"/>
      <c r="Q2102" s="25"/>
      <c r="R2102" s="25"/>
      <c r="S2102" s="25"/>
      <c r="T2102" s="25"/>
      <c r="U2102" s="25"/>
      <c r="V2102" s="25"/>
      <c r="W2102" s="33"/>
      <c r="X2102" s="33"/>
      <c r="Y2102" s="33"/>
      <c r="Z2102" s="33"/>
      <c r="AA2102" s="33"/>
    </row>
    <row r="2103" spans="1:27" s="70" customFormat="1" ht="56.25" x14ac:dyDescent="0.2">
      <c r="A2103" s="24">
        <v>2099</v>
      </c>
      <c r="B2103" s="27" t="s">
        <v>223</v>
      </c>
      <c r="C2103" s="28" t="s">
        <v>222</v>
      </c>
      <c r="D2103" s="71" t="s">
        <v>417</v>
      </c>
      <c r="E2103" s="28" t="s">
        <v>416</v>
      </c>
      <c r="F2103" s="28" t="s">
        <v>415</v>
      </c>
      <c r="G2103" s="27"/>
      <c r="H2103" s="28" t="s">
        <v>466</v>
      </c>
      <c r="I2103" s="27"/>
      <c r="J2103" s="28" t="s">
        <v>465</v>
      </c>
      <c r="K2103" s="27"/>
      <c r="L2103" s="25"/>
      <c r="M2103" s="25"/>
      <c r="N2103" s="25"/>
      <c r="O2103" s="25"/>
      <c r="P2103" s="25"/>
      <c r="Q2103" s="25"/>
      <c r="R2103" s="25"/>
      <c r="S2103" s="25"/>
      <c r="T2103" s="25"/>
      <c r="U2103" s="25"/>
      <c r="V2103" s="25"/>
      <c r="W2103" s="33"/>
      <c r="X2103" s="33"/>
      <c r="Y2103" s="33"/>
      <c r="Z2103" s="33"/>
      <c r="AA2103" s="33"/>
    </row>
    <row r="2104" spans="1:27" s="70" customFormat="1" ht="56.25" x14ac:dyDescent="0.2">
      <c r="A2104" s="24">
        <v>2100</v>
      </c>
      <c r="B2104" s="27" t="s">
        <v>223</v>
      </c>
      <c r="C2104" s="28" t="s">
        <v>222</v>
      </c>
      <c r="D2104" s="71" t="s">
        <v>417</v>
      </c>
      <c r="E2104" s="28" t="s">
        <v>416</v>
      </c>
      <c r="F2104" s="28" t="s">
        <v>415</v>
      </c>
      <c r="G2104" s="27"/>
      <c r="H2104" s="28" t="s">
        <v>457</v>
      </c>
      <c r="I2104" s="27"/>
      <c r="J2104" s="28" t="s">
        <v>462</v>
      </c>
      <c r="K2104" s="27"/>
      <c r="L2104" s="25" t="s">
        <v>464</v>
      </c>
      <c r="M2104" s="25" t="s">
        <v>412</v>
      </c>
      <c r="N2104" s="25">
        <v>1</v>
      </c>
      <c r="O2104" s="25">
        <v>240</v>
      </c>
      <c r="P2104" s="25"/>
      <c r="Q2104" s="25"/>
      <c r="R2104" s="25">
        <v>48</v>
      </c>
      <c r="S2104" s="25">
        <v>24</v>
      </c>
      <c r="T2104" s="25">
        <v>24</v>
      </c>
      <c r="U2104" s="25">
        <v>336</v>
      </c>
      <c r="V2104" s="25">
        <v>336</v>
      </c>
      <c r="W2104" s="33" t="s">
        <v>198</v>
      </c>
      <c r="X2104" s="33"/>
      <c r="Y2104" s="33"/>
      <c r="Z2104" s="33" t="s">
        <v>353</v>
      </c>
      <c r="AA2104" s="33"/>
    </row>
    <row r="2105" spans="1:27" s="70" customFormat="1" ht="56.25" x14ac:dyDescent="0.2">
      <c r="A2105" s="24">
        <v>2101</v>
      </c>
      <c r="B2105" s="27" t="s">
        <v>223</v>
      </c>
      <c r="C2105" s="28" t="s">
        <v>222</v>
      </c>
      <c r="D2105" s="71" t="s">
        <v>417</v>
      </c>
      <c r="E2105" s="28" t="s">
        <v>416</v>
      </c>
      <c r="F2105" s="28" t="s">
        <v>415</v>
      </c>
      <c r="G2105" s="27"/>
      <c r="H2105" s="28" t="s">
        <v>457</v>
      </c>
      <c r="I2105" s="27"/>
      <c r="J2105" s="28" t="s">
        <v>462</v>
      </c>
      <c r="K2105" s="27"/>
      <c r="L2105" s="25" t="s">
        <v>463</v>
      </c>
      <c r="M2105" s="25" t="s">
        <v>265</v>
      </c>
      <c r="N2105" s="25">
        <v>12</v>
      </c>
      <c r="O2105" s="25">
        <v>24</v>
      </c>
      <c r="P2105" s="25">
        <v>24</v>
      </c>
      <c r="Q2105" s="25"/>
      <c r="R2105" s="25"/>
      <c r="S2105" s="25"/>
      <c r="T2105" s="25"/>
      <c r="U2105" s="25">
        <v>48</v>
      </c>
      <c r="V2105" s="25">
        <v>576</v>
      </c>
      <c r="W2105" s="33" t="s">
        <v>198</v>
      </c>
      <c r="X2105" s="33"/>
      <c r="Y2105" s="33"/>
      <c r="Z2105" s="33" t="s">
        <v>353</v>
      </c>
      <c r="AA2105" s="33"/>
    </row>
    <row r="2106" spans="1:27" s="70" customFormat="1" ht="56.25" x14ac:dyDescent="0.2">
      <c r="A2106" s="24">
        <v>2102</v>
      </c>
      <c r="B2106" s="27" t="s">
        <v>223</v>
      </c>
      <c r="C2106" s="28" t="s">
        <v>222</v>
      </c>
      <c r="D2106" s="71" t="s">
        <v>417</v>
      </c>
      <c r="E2106" s="28" t="s">
        <v>416</v>
      </c>
      <c r="F2106" s="28" t="s">
        <v>415</v>
      </c>
      <c r="G2106" s="27"/>
      <c r="H2106" s="28" t="s">
        <v>457</v>
      </c>
      <c r="I2106" s="27"/>
      <c r="J2106" s="28" t="s">
        <v>462</v>
      </c>
      <c r="K2106" s="27"/>
      <c r="L2106" s="25" t="s">
        <v>461</v>
      </c>
      <c r="M2106" s="25" t="s">
        <v>460</v>
      </c>
      <c r="N2106" s="25">
        <v>128</v>
      </c>
      <c r="O2106" s="25">
        <v>3.2</v>
      </c>
      <c r="P2106" s="25">
        <v>3.2</v>
      </c>
      <c r="Q2106" s="25"/>
      <c r="R2106" s="25">
        <v>1.6</v>
      </c>
      <c r="S2106" s="25">
        <v>1</v>
      </c>
      <c r="T2106" s="25">
        <v>0.8</v>
      </c>
      <c r="U2106" s="25">
        <v>9.8000000000000007</v>
      </c>
      <c r="V2106" s="25">
        <v>1254.4000000000001</v>
      </c>
      <c r="W2106" s="33" t="s">
        <v>22</v>
      </c>
      <c r="X2106" s="33"/>
      <c r="Y2106" s="33"/>
      <c r="Z2106" s="33"/>
      <c r="AA2106" s="33"/>
    </row>
    <row r="2107" spans="1:27" s="70" customFormat="1" ht="56.25" x14ac:dyDescent="0.2">
      <c r="A2107" s="24">
        <v>2103</v>
      </c>
      <c r="B2107" s="27" t="s">
        <v>223</v>
      </c>
      <c r="C2107" s="28" t="s">
        <v>222</v>
      </c>
      <c r="D2107" s="71" t="s">
        <v>417</v>
      </c>
      <c r="E2107" s="28" t="s">
        <v>416</v>
      </c>
      <c r="F2107" s="28" t="s">
        <v>415</v>
      </c>
      <c r="G2107" s="27"/>
      <c r="H2107" s="28" t="s">
        <v>457</v>
      </c>
      <c r="I2107" s="27"/>
      <c r="J2107" s="28" t="s">
        <v>459</v>
      </c>
      <c r="K2107" s="27"/>
      <c r="L2107" s="25" t="s">
        <v>458</v>
      </c>
      <c r="M2107" s="25" t="s">
        <v>265</v>
      </c>
      <c r="N2107" s="25">
        <v>2</v>
      </c>
      <c r="O2107" s="25">
        <v>112</v>
      </c>
      <c r="P2107" s="25">
        <v>112</v>
      </c>
      <c r="Q2107" s="25"/>
      <c r="R2107" s="25">
        <v>112</v>
      </c>
      <c r="S2107" s="25"/>
      <c r="T2107" s="25">
        <v>112</v>
      </c>
      <c r="U2107" s="25">
        <v>448</v>
      </c>
      <c r="V2107" s="25">
        <v>896</v>
      </c>
      <c r="W2107" s="33" t="s">
        <v>22</v>
      </c>
      <c r="X2107" s="33"/>
      <c r="Y2107" s="33"/>
      <c r="Z2107" s="33"/>
      <c r="AA2107" s="33"/>
    </row>
    <row r="2108" spans="1:27" s="70" customFormat="1" ht="56.25" x14ac:dyDescent="0.2">
      <c r="A2108" s="24">
        <v>2104</v>
      </c>
      <c r="B2108" s="27" t="s">
        <v>223</v>
      </c>
      <c r="C2108" s="28" t="s">
        <v>222</v>
      </c>
      <c r="D2108" s="71" t="s">
        <v>417</v>
      </c>
      <c r="E2108" s="28" t="s">
        <v>416</v>
      </c>
      <c r="F2108" s="28" t="s">
        <v>415</v>
      </c>
      <c r="G2108" s="27"/>
      <c r="H2108" s="28" t="s">
        <v>457</v>
      </c>
      <c r="I2108" s="27"/>
      <c r="J2108" s="28" t="s">
        <v>456</v>
      </c>
      <c r="K2108" s="27"/>
      <c r="L2108" s="25"/>
      <c r="M2108" s="25"/>
      <c r="N2108" s="25"/>
      <c r="O2108" s="25"/>
      <c r="P2108" s="25"/>
      <c r="Q2108" s="25"/>
      <c r="R2108" s="25"/>
      <c r="S2108" s="25"/>
      <c r="T2108" s="25"/>
      <c r="U2108" s="25"/>
      <c r="V2108" s="25"/>
      <c r="W2108" s="33"/>
      <c r="X2108" s="33"/>
      <c r="Y2108" s="33"/>
      <c r="Z2108" s="33"/>
      <c r="AA2108" s="33"/>
    </row>
    <row r="2109" spans="1:27" s="70" customFormat="1" ht="56.25" x14ac:dyDescent="0.2">
      <c r="A2109" s="24">
        <v>2105</v>
      </c>
      <c r="B2109" s="27" t="s">
        <v>223</v>
      </c>
      <c r="C2109" s="28" t="s">
        <v>222</v>
      </c>
      <c r="D2109" s="71" t="s">
        <v>417</v>
      </c>
      <c r="E2109" s="28" t="s">
        <v>416</v>
      </c>
      <c r="F2109" s="28" t="s">
        <v>415</v>
      </c>
      <c r="G2109" s="27"/>
      <c r="H2109" s="28" t="s">
        <v>435</v>
      </c>
      <c r="I2109" s="27"/>
      <c r="J2109" s="28" t="s">
        <v>455</v>
      </c>
      <c r="K2109" s="27"/>
      <c r="L2109" s="25"/>
      <c r="M2109" s="25"/>
      <c r="N2109" s="25"/>
      <c r="O2109" s="25"/>
      <c r="P2109" s="25"/>
      <c r="Q2109" s="25"/>
      <c r="R2109" s="25"/>
      <c r="S2109" s="25"/>
      <c r="T2109" s="25"/>
      <c r="U2109" s="25"/>
      <c r="V2109" s="25"/>
      <c r="W2109" s="33"/>
      <c r="X2109" s="33"/>
      <c r="Y2109" s="33"/>
      <c r="Z2109" s="33"/>
      <c r="AA2109" s="33"/>
    </row>
    <row r="2110" spans="1:27" s="70" customFormat="1" ht="56.25" x14ac:dyDescent="0.2">
      <c r="A2110" s="24">
        <v>2106</v>
      </c>
      <c r="B2110" s="27" t="s">
        <v>223</v>
      </c>
      <c r="C2110" s="28" t="s">
        <v>222</v>
      </c>
      <c r="D2110" s="71" t="s">
        <v>417</v>
      </c>
      <c r="E2110" s="28" t="s">
        <v>416</v>
      </c>
      <c r="F2110" s="28" t="s">
        <v>415</v>
      </c>
      <c r="G2110" s="27"/>
      <c r="H2110" s="28" t="s">
        <v>435</v>
      </c>
      <c r="I2110" s="27"/>
      <c r="J2110" s="28" t="s">
        <v>454</v>
      </c>
      <c r="K2110" s="27"/>
      <c r="L2110" s="25"/>
      <c r="M2110" s="25"/>
      <c r="N2110" s="25"/>
      <c r="O2110" s="25"/>
      <c r="P2110" s="25"/>
      <c r="Q2110" s="25"/>
      <c r="R2110" s="25"/>
      <c r="S2110" s="25"/>
      <c r="T2110" s="25"/>
      <c r="U2110" s="25"/>
      <c r="V2110" s="25"/>
      <c r="W2110" s="33"/>
      <c r="X2110" s="33"/>
      <c r="Y2110" s="33"/>
      <c r="Z2110" s="33"/>
      <c r="AA2110" s="33"/>
    </row>
    <row r="2111" spans="1:27" s="70" customFormat="1" ht="56.25" x14ac:dyDescent="0.2">
      <c r="A2111" s="24">
        <v>2107</v>
      </c>
      <c r="B2111" s="27" t="s">
        <v>223</v>
      </c>
      <c r="C2111" s="28" t="s">
        <v>222</v>
      </c>
      <c r="D2111" s="71" t="s">
        <v>417</v>
      </c>
      <c r="E2111" s="28" t="s">
        <v>416</v>
      </c>
      <c r="F2111" s="28" t="s">
        <v>415</v>
      </c>
      <c r="G2111" s="27"/>
      <c r="H2111" s="28" t="s">
        <v>435</v>
      </c>
      <c r="I2111" s="27"/>
      <c r="J2111" s="28" t="s">
        <v>453</v>
      </c>
      <c r="K2111" s="27"/>
      <c r="L2111" s="25"/>
      <c r="M2111" s="25"/>
      <c r="N2111" s="25"/>
      <c r="O2111" s="25"/>
      <c r="P2111" s="25"/>
      <c r="Q2111" s="25"/>
      <c r="R2111" s="25"/>
      <c r="S2111" s="25"/>
      <c r="T2111" s="25"/>
      <c r="U2111" s="25"/>
      <c r="V2111" s="25"/>
      <c r="W2111" s="33"/>
      <c r="X2111" s="33"/>
      <c r="Y2111" s="33"/>
      <c r="Z2111" s="33"/>
      <c r="AA2111" s="33"/>
    </row>
    <row r="2112" spans="1:27" s="70" customFormat="1" ht="56.25" x14ac:dyDescent="0.2">
      <c r="A2112" s="24">
        <v>2108</v>
      </c>
      <c r="B2112" s="27" t="s">
        <v>223</v>
      </c>
      <c r="C2112" s="28" t="s">
        <v>222</v>
      </c>
      <c r="D2112" s="71" t="s">
        <v>417</v>
      </c>
      <c r="E2112" s="28" t="s">
        <v>416</v>
      </c>
      <c r="F2112" s="28" t="s">
        <v>415</v>
      </c>
      <c r="G2112" s="27"/>
      <c r="H2112" s="28" t="s">
        <v>435</v>
      </c>
      <c r="I2112" s="27"/>
      <c r="J2112" s="28" t="s">
        <v>452</v>
      </c>
      <c r="K2112" s="27"/>
      <c r="L2112" s="25"/>
      <c r="M2112" s="25"/>
      <c r="N2112" s="25"/>
      <c r="O2112" s="25"/>
      <c r="P2112" s="25"/>
      <c r="Q2112" s="25"/>
      <c r="R2112" s="25"/>
      <c r="S2112" s="25"/>
      <c r="T2112" s="25"/>
      <c r="U2112" s="25"/>
      <c r="V2112" s="25"/>
      <c r="W2112" s="33"/>
      <c r="X2112" s="33"/>
      <c r="Y2112" s="33"/>
      <c r="Z2112" s="33"/>
      <c r="AA2112" s="33"/>
    </row>
    <row r="2113" spans="1:27" s="70" customFormat="1" ht="56.25" x14ac:dyDescent="0.2">
      <c r="A2113" s="24">
        <v>2109</v>
      </c>
      <c r="B2113" s="27" t="s">
        <v>223</v>
      </c>
      <c r="C2113" s="28" t="s">
        <v>222</v>
      </c>
      <c r="D2113" s="71" t="s">
        <v>417</v>
      </c>
      <c r="E2113" s="28" t="s">
        <v>416</v>
      </c>
      <c r="F2113" s="28" t="s">
        <v>415</v>
      </c>
      <c r="G2113" s="27"/>
      <c r="H2113" s="28" t="s">
        <v>435</v>
      </c>
      <c r="I2113" s="27"/>
      <c r="J2113" s="28" t="s">
        <v>442</v>
      </c>
      <c r="K2113" s="27"/>
      <c r="L2113" s="25" t="s">
        <v>451</v>
      </c>
      <c r="M2113" s="25" t="s">
        <v>440</v>
      </c>
      <c r="N2113" s="25">
        <v>1</v>
      </c>
      <c r="O2113" s="25">
        <v>312</v>
      </c>
      <c r="P2113" s="25">
        <v>249.60000000000002</v>
      </c>
      <c r="Q2113" s="25"/>
      <c r="R2113" s="25">
        <v>748.8</v>
      </c>
      <c r="S2113" s="25">
        <v>124.80000000000001</v>
      </c>
      <c r="T2113" s="25">
        <v>249.60000000000002</v>
      </c>
      <c r="U2113" s="25">
        <v>1684.8000000000002</v>
      </c>
      <c r="V2113" s="25">
        <v>1684.8000000000002</v>
      </c>
      <c r="W2113" s="33" t="s">
        <v>397</v>
      </c>
      <c r="X2113" s="33"/>
      <c r="Y2113" s="33"/>
      <c r="Z2113" s="33" t="s">
        <v>449</v>
      </c>
      <c r="AA2113" s="33"/>
    </row>
    <row r="2114" spans="1:27" s="70" customFormat="1" ht="56.25" x14ac:dyDescent="0.2">
      <c r="A2114" s="24">
        <v>2110</v>
      </c>
      <c r="B2114" s="27" t="s">
        <v>223</v>
      </c>
      <c r="C2114" s="28" t="s">
        <v>222</v>
      </c>
      <c r="D2114" s="71" t="s">
        <v>417</v>
      </c>
      <c r="E2114" s="28" t="s">
        <v>416</v>
      </c>
      <c r="F2114" s="28" t="s">
        <v>415</v>
      </c>
      <c r="G2114" s="27"/>
      <c r="H2114" s="28" t="s">
        <v>435</v>
      </c>
      <c r="I2114" s="27"/>
      <c r="J2114" s="28" t="s">
        <v>442</v>
      </c>
      <c r="K2114" s="27"/>
      <c r="L2114" s="25" t="s">
        <v>450</v>
      </c>
      <c r="M2114" s="25" t="s">
        <v>440</v>
      </c>
      <c r="N2114" s="25">
        <v>1</v>
      </c>
      <c r="O2114" s="25">
        <v>187.2</v>
      </c>
      <c r="P2114" s="25">
        <v>187.2</v>
      </c>
      <c r="Q2114" s="25">
        <v>187.2</v>
      </c>
      <c r="R2114" s="25">
        <v>124.80000000000001</v>
      </c>
      <c r="S2114" s="25">
        <v>62.400000000000006</v>
      </c>
      <c r="T2114" s="25">
        <v>62.400000000000006</v>
      </c>
      <c r="U2114" s="25">
        <v>811.19999999999982</v>
      </c>
      <c r="V2114" s="25">
        <v>811.19999999999982</v>
      </c>
      <c r="W2114" s="33" t="s">
        <v>397</v>
      </c>
      <c r="X2114" s="33"/>
      <c r="Y2114" s="33"/>
      <c r="Z2114" s="33" t="s">
        <v>449</v>
      </c>
      <c r="AA2114" s="33"/>
    </row>
    <row r="2115" spans="1:27" s="70" customFormat="1" ht="56.25" x14ac:dyDescent="0.2">
      <c r="A2115" s="24">
        <v>2111</v>
      </c>
      <c r="B2115" s="27" t="s">
        <v>223</v>
      </c>
      <c r="C2115" s="28" t="s">
        <v>222</v>
      </c>
      <c r="D2115" s="71" t="s">
        <v>417</v>
      </c>
      <c r="E2115" s="28" t="s">
        <v>416</v>
      </c>
      <c r="F2115" s="28" t="s">
        <v>415</v>
      </c>
      <c r="G2115" s="27"/>
      <c r="H2115" s="28" t="s">
        <v>435</v>
      </c>
      <c r="I2115" s="27"/>
      <c r="J2115" s="28" t="s">
        <v>442</v>
      </c>
      <c r="K2115" s="27"/>
      <c r="L2115" s="25" t="s">
        <v>448</v>
      </c>
      <c r="M2115" s="25" t="s">
        <v>440</v>
      </c>
      <c r="N2115" s="25">
        <v>1</v>
      </c>
      <c r="O2115" s="25"/>
      <c r="P2115" s="25">
        <v>832</v>
      </c>
      <c r="Q2115" s="25"/>
      <c r="R2115" s="25">
        <v>728</v>
      </c>
      <c r="S2115" s="25">
        <v>20.8</v>
      </c>
      <c r="T2115" s="25">
        <v>83.2</v>
      </c>
      <c r="U2115" s="25">
        <v>1664</v>
      </c>
      <c r="V2115" s="25">
        <v>1664</v>
      </c>
      <c r="W2115" s="33" t="s">
        <v>445</v>
      </c>
      <c r="X2115" s="33"/>
      <c r="Y2115" s="33"/>
      <c r="Z2115" s="33" t="s">
        <v>447</v>
      </c>
      <c r="AA2115" s="33"/>
    </row>
    <row r="2116" spans="1:27" s="70" customFormat="1" ht="56.25" x14ac:dyDescent="0.2">
      <c r="A2116" s="24">
        <v>2112</v>
      </c>
      <c r="B2116" s="27" t="s">
        <v>223</v>
      </c>
      <c r="C2116" s="28" t="s">
        <v>222</v>
      </c>
      <c r="D2116" s="71" t="s">
        <v>417</v>
      </c>
      <c r="E2116" s="28" t="s">
        <v>416</v>
      </c>
      <c r="F2116" s="28" t="s">
        <v>415</v>
      </c>
      <c r="G2116" s="27"/>
      <c r="H2116" s="28" t="s">
        <v>435</v>
      </c>
      <c r="I2116" s="27"/>
      <c r="J2116" s="28" t="s">
        <v>442</v>
      </c>
      <c r="K2116" s="27"/>
      <c r="L2116" s="25" t="s">
        <v>446</v>
      </c>
      <c r="M2116" s="25" t="s">
        <v>440</v>
      </c>
      <c r="N2116" s="25">
        <v>1</v>
      </c>
      <c r="O2116" s="25"/>
      <c r="P2116" s="25">
        <v>832</v>
      </c>
      <c r="Q2116" s="25"/>
      <c r="R2116" s="25">
        <v>728</v>
      </c>
      <c r="S2116" s="25"/>
      <c r="T2116" s="25">
        <v>41.6</v>
      </c>
      <c r="U2116" s="25">
        <v>1601.6</v>
      </c>
      <c r="V2116" s="25">
        <v>1601.6</v>
      </c>
      <c r="W2116" s="33" t="s">
        <v>445</v>
      </c>
      <c r="X2116" s="33"/>
      <c r="Y2116" s="33"/>
      <c r="Z2116" s="33" t="s">
        <v>444</v>
      </c>
      <c r="AA2116" s="33"/>
    </row>
    <row r="2117" spans="1:27" s="70" customFormat="1" ht="56.25" x14ac:dyDescent="0.2">
      <c r="A2117" s="24">
        <v>2113</v>
      </c>
      <c r="B2117" s="27" t="s">
        <v>223</v>
      </c>
      <c r="C2117" s="28" t="s">
        <v>222</v>
      </c>
      <c r="D2117" s="71" t="s">
        <v>417</v>
      </c>
      <c r="E2117" s="28" t="s">
        <v>416</v>
      </c>
      <c r="F2117" s="28" t="s">
        <v>415</v>
      </c>
      <c r="G2117" s="27"/>
      <c r="H2117" s="28" t="s">
        <v>435</v>
      </c>
      <c r="I2117" s="27"/>
      <c r="J2117" s="28" t="s">
        <v>442</v>
      </c>
      <c r="K2117" s="27"/>
      <c r="L2117" s="25" t="s">
        <v>443</v>
      </c>
      <c r="M2117" s="25" t="s">
        <v>440</v>
      </c>
      <c r="N2117" s="25">
        <v>1</v>
      </c>
      <c r="O2117" s="25"/>
      <c r="P2117" s="25">
        <v>208</v>
      </c>
      <c r="Q2117" s="25"/>
      <c r="R2117" s="25">
        <v>124.8</v>
      </c>
      <c r="S2117" s="25"/>
      <c r="T2117" s="25">
        <v>41.6</v>
      </c>
      <c r="U2117" s="25">
        <v>374.40000000000003</v>
      </c>
      <c r="V2117" s="25">
        <v>374.40000000000003</v>
      </c>
      <c r="W2117" s="33" t="s">
        <v>22</v>
      </c>
      <c r="X2117" s="33"/>
      <c r="Y2117" s="33"/>
      <c r="Z2117" s="33"/>
      <c r="AA2117" s="33"/>
    </row>
    <row r="2118" spans="1:27" s="70" customFormat="1" ht="56.25" x14ac:dyDescent="0.2">
      <c r="A2118" s="24">
        <v>2114</v>
      </c>
      <c r="B2118" s="27" t="s">
        <v>223</v>
      </c>
      <c r="C2118" s="28" t="s">
        <v>222</v>
      </c>
      <c r="D2118" s="71" t="s">
        <v>417</v>
      </c>
      <c r="E2118" s="28" t="s">
        <v>416</v>
      </c>
      <c r="F2118" s="28" t="s">
        <v>415</v>
      </c>
      <c r="G2118" s="27"/>
      <c r="H2118" s="28" t="s">
        <v>435</v>
      </c>
      <c r="I2118" s="27"/>
      <c r="J2118" s="28" t="s">
        <v>442</v>
      </c>
      <c r="K2118" s="27"/>
      <c r="L2118" s="25" t="s">
        <v>441</v>
      </c>
      <c r="M2118" s="25" t="s">
        <v>440</v>
      </c>
      <c r="N2118" s="25">
        <v>1</v>
      </c>
      <c r="O2118" s="25"/>
      <c r="P2118" s="25">
        <v>208</v>
      </c>
      <c r="Q2118" s="25"/>
      <c r="R2118" s="25">
        <v>83.2</v>
      </c>
      <c r="S2118" s="25"/>
      <c r="T2118" s="25">
        <v>41.6</v>
      </c>
      <c r="U2118" s="25">
        <v>332.8</v>
      </c>
      <c r="V2118" s="25">
        <v>332.8</v>
      </c>
      <c r="W2118" s="33" t="s">
        <v>22</v>
      </c>
      <c r="X2118" s="33"/>
      <c r="Y2118" s="33"/>
      <c r="Z2118" s="33"/>
      <c r="AA2118" s="33"/>
    </row>
    <row r="2119" spans="1:27" s="70" customFormat="1" ht="56.25" x14ac:dyDescent="0.2">
      <c r="A2119" s="24">
        <v>2115</v>
      </c>
      <c r="B2119" s="27" t="s">
        <v>223</v>
      </c>
      <c r="C2119" s="28" t="s">
        <v>222</v>
      </c>
      <c r="D2119" s="71" t="s">
        <v>417</v>
      </c>
      <c r="E2119" s="28" t="s">
        <v>416</v>
      </c>
      <c r="F2119" s="28" t="s">
        <v>415</v>
      </c>
      <c r="G2119" s="27"/>
      <c r="H2119" s="28" t="s">
        <v>435</v>
      </c>
      <c r="I2119" s="27"/>
      <c r="J2119" s="28" t="s">
        <v>439</v>
      </c>
      <c r="K2119" s="27"/>
      <c r="L2119" s="25" t="s">
        <v>438</v>
      </c>
      <c r="M2119" s="25" t="s">
        <v>265</v>
      </c>
      <c r="N2119" s="25">
        <v>1560</v>
      </c>
      <c r="O2119" s="25"/>
      <c r="P2119" s="25">
        <v>0.11666666666666667</v>
      </c>
      <c r="Q2119" s="25"/>
      <c r="R2119" s="25">
        <v>8.3333333333333329E-2</v>
      </c>
      <c r="S2119" s="25"/>
      <c r="T2119" s="25"/>
      <c r="U2119" s="25">
        <v>0.2</v>
      </c>
      <c r="V2119" s="25">
        <v>312</v>
      </c>
      <c r="W2119" s="33" t="s">
        <v>22</v>
      </c>
      <c r="X2119" s="33"/>
      <c r="Y2119" s="33"/>
      <c r="Z2119" s="33"/>
      <c r="AA2119" s="33"/>
    </row>
    <row r="2120" spans="1:27" s="70" customFormat="1" ht="56.25" x14ac:dyDescent="0.2">
      <c r="A2120" s="24">
        <v>2116</v>
      </c>
      <c r="B2120" s="27" t="s">
        <v>223</v>
      </c>
      <c r="C2120" s="28" t="s">
        <v>222</v>
      </c>
      <c r="D2120" s="71" t="s">
        <v>417</v>
      </c>
      <c r="E2120" s="28" t="s">
        <v>416</v>
      </c>
      <c r="F2120" s="28" t="s">
        <v>415</v>
      </c>
      <c r="G2120" s="27"/>
      <c r="H2120" s="28" t="s">
        <v>435</v>
      </c>
      <c r="I2120" s="27"/>
      <c r="J2120" s="28" t="s">
        <v>437</v>
      </c>
      <c r="K2120" s="27"/>
      <c r="L2120" s="25"/>
      <c r="M2120" s="25"/>
      <c r="N2120" s="25"/>
      <c r="O2120" s="25"/>
      <c r="P2120" s="25"/>
      <c r="Q2120" s="25"/>
      <c r="R2120" s="25"/>
      <c r="S2120" s="25"/>
      <c r="T2120" s="25"/>
      <c r="U2120" s="25"/>
      <c r="V2120" s="25"/>
      <c r="W2120" s="33"/>
      <c r="X2120" s="33"/>
      <c r="Y2120" s="33"/>
      <c r="Z2120" s="33"/>
      <c r="AA2120" s="33"/>
    </row>
    <row r="2121" spans="1:27" s="70" customFormat="1" ht="56.25" x14ac:dyDescent="0.2">
      <c r="A2121" s="24">
        <v>2117</v>
      </c>
      <c r="B2121" s="27" t="s">
        <v>223</v>
      </c>
      <c r="C2121" s="28" t="s">
        <v>222</v>
      </c>
      <c r="D2121" s="71" t="s">
        <v>417</v>
      </c>
      <c r="E2121" s="28" t="s">
        <v>416</v>
      </c>
      <c r="F2121" s="28" t="s">
        <v>415</v>
      </c>
      <c r="G2121" s="27"/>
      <c r="H2121" s="28" t="s">
        <v>435</v>
      </c>
      <c r="I2121" s="27"/>
      <c r="J2121" s="28" t="s">
        <v>436</v>
      </c>
      <c r="K2121" s="27"/>
      <c r="L2121" s="25"/>
      <c r="M2121" s="25"/>
      <c r="N2121" s="25"/>
      <c r="O2121" s="25"/>
      <c r="P2121" s="25"/>
      <c r="Q2121" s="25"/>
      <c r="R2121" s="25"/>
      <c r="S2121" s="25"/>
      <c r="T2121" s="25"/>
      <c r="U2121" s="25"/>
      <c r="V2121" s="25"/>
      <c r="W2121" s="33"/>
      <c r="X2121" s="33"/>
      <c r="Y2121" s="33"/>
      <c r="Z2121" s="33"/>
      <c r="AA2121" s="33"/>
    </row>
    <row r="2122" spans="1:27" s="70" customFormat="1" ht="56.25" x14ac:dyDescent="0.2">
      <c r="A2122" s="24">
        <v>2118</v>
      </c>
      <c r="B2122" s="27" t="s">
        <v>223</v>
      </c>
      <c r="C2122" s="28" t="s">
        <v>222</v>
      </c>
      <c r="D2122" s="71" t="s">
        <v>417</v>
      </c>
      <c r="E2122" s="28" t="s">
        <v>416</v>
      </c>
      <c r="F2122" s="28" t="s">
        <v>415</v>
      </c>
      <c r="G2122" s="27"/>
      <c r="H2122" s="28" t="s">
        <v>435</v>
      </c>
      <c r="I2122" s="27"/>
      <c r="J2122" s="28" t="s">
        <v>434</v>
      </c>
      <c r="K2122" s="27"/>
      <c r="L2122" s="25"/>
      <c r="M2122" s="25"/>
      <c r="N2122" s="25"/>
      <c r="O2122" s="25"/>
      <c r="P2122" s="25"/>
      <c r="Q2122" s="25"/>
      <c r="R2122" s="25"/>
      <c r="S2122" s="25"/>
      <c r="T2122" s="25"/>
      <c r="U2122" s="25"/>
      <c r="V2122" s="25"/>
      <c r="W2122" s="33"/>
      <c r="X2122" s="33"/>
      <c r="Y2122" s="33"/>
      <c r="Z2122" s="33"/>
      <c r="AA2122" s="33"/>
    </row>
    <row r="2123" spans="1:27" s="70" customFormat="1" ht="56.25" x14ac:dyDescent="0.2">
      <c r="A2123" s="24">
        <v>2119</v>
      </c>
      <c r="B2123" s="27" t="s">
        <v>223</v>
      </c>
      <c r="C2123" s="28" t="s">
        <v>222</v>
      </c>
      <c r="D2123" s="71" t="s">
        <v>417</v>
      </c>
      <c r="E2123" s="28" t="s">
        <v>416</v>
      </c>
      <c r="F2123" s="28" t="s">
        <v>415</v>
      </c>
      <c r="G2123" s="27"/>
      <c r="H2123" s="28" t="s">
        <v>414</v>
      </c>
      <c r="I2123" s="27"/>
      <c r="J2123" s="28" t="s">
        <v>414</v>
      </c>
      <c r="K2123" s="27"/>
      <c r="L2123" s="25" t="s">
        <v>433</v>
      </c>
      <c r="M2123" s="25" t="s">
        <v>363</v>
      </c>
      <c r="N2123" s="25">
        <v>2</v>
      </c>
      <c r="O2123" s="25">
        <v>120</v>
      </c>
      <c r="P2123" s="25"/>
      <c r="Q2123" s="25"/>
      <c r="R2123" s="25">
        <v>120</v>
      </c>
      <c r="S2123" s="25">
        <v>24</v>
      </c>
      <c r="T2123" s="25">
        <v>24</v>
      </c>
      <c r="U2123" s="25">
        <v>288</v>
      </c>
      <c r="V2123" s="25">
        <v>576</v>
      </c>
      <c r="W2123" s="33" t="s">
        <v>198</v>
      </c>
      <c r="X2123" s="33"/>
      <c r="Y2123" s="33"/>
      <c r="Z2123" s="33" t="s">
        <v>353</v>
      </c>
      <c r="AA2123" s="33"/>
    </row>
    <row r="2124" spans="1:27" s="70" customFormat="1" ht="56.25" x14ac:dyDescent="0.2">
      <c r="A2124" s="24">
        <v>2120</v>
      </c>
      <c r="B2124" s="27" t="s">
        <v>223</v>
      </c>
      <c r="C2124" s="28" t="s">
        <v>222</v>
      </c>
      <c r="D2124" s="71" t="s">
        <v>417</v>
      </c>
      <c r="E2124" s="28" t="s">
        <v>416</v>
      </c>
      <c r="F2124" s="28" t="s">
        <v>415</v>
      </c>
      <c r="G2124" s="27"/>
      <c r="H2124" s="28" t="s">
        <v>414</v>
      </c>
      <c r="I2124" s="27"/>
      <c r="J2124" s="28" t="s">
        <v>414</v>
      </c>
      <c r="K2124" s="27"/>
      <c r="L2124" s="25" t="s">
        <v>432</v>
      </c>
      <c r="M2124" s="25" t="s">
        <v>431</v>
      </c>
      <c r="N2124" s="25">
        <v>2</v>
      </c>
      <c r="O2124" s="25"/>
      <c r="P2124" s="25"/>
      <c r="Q2124" s="25"/>
      <c r="R2124" s="25">
        <v>40</v>
      </c>
      <c r="S2124" s="25"/>
      <c r="T2124" s="25">
        <v>8</v>
      </c>
      <c r="U2124" s="25">
        <v>48</v>
      </c>
      <c r="V2124" s="25">
        <v>96</v>
      </c>
      <c r="W2124" s="33" t="s">
        <v>198</v>
      </c>
      <c r="X2124" s="33"/>
      <c r="Y2124" s="33"/>
      <c r="Z2124" s="33" t="s">
        <v>353</v>
      </c>
      <c r="AA2124" s="33"/>
    </row>
    <row r="2125" spans="1:27" s="70" customFormat="1" ht="56.25" x14ac:dyDescent="0.2">
      <c r="A2125" s="24">
        <v>2121</v>
      </c>
      <c r="B2125" s="27" t="s">
        <v>223</v>
      </c>
      <c r="C2125" s="28" t="s">
        <v>222</v>
      </c>
      <c r="D2125" s="71" t="s">
        <v>417</v>
      </c>
      <c r="E2125" s="28" t="s">
        <v>416</v>
      </c>
      <c r="F2125" s="28" t="s">
        <v>415</v>
      </c>
      <c r="G2125" s="27"/>
      <c r="H2125" s="28" t="s">
        <v>414</v>
      </c>
      <c r="I2125" s="27"/>
      <c r="J2125" s="28" t="s">
        <v>414</v>
      </c>
      <c r="K2125" s="27"/>
      <c r="L2125" s="25" t="s">
        <v>430</v>
      </c>
      <c r="M2125" s="25" t="s">
        <v>265</v>
      </c>
      <c r="N2125" s="25">
        <v>12</v>
      </c>
      <c r="O2125" s="25"/>
      <c r="P2125" s="25">
        <v>24</v>
      </c>
      <c r="Q2125" s="25"/>
      <c r="R2125" s="25"/>
      <c r="S2125" s="25"/>
      <c r="T2125" s="25">
        <v>2.4000000000000004</v>
      </c>
      <c r="U2125" s="25">
        <v>26.4</v>
      </c>
      <c r="V2125" s="25">
        <v>316.79999999999995</v>
      </c>
      <c r="W2125" s="33" t="s">
        <v>198</v>
      </c>
      <c r="X2125" s="33"/>
      <c r="Y2125" s="33"/>
      <c r="Z2125" s="33" t="s">
        <v>353</v>
      </c>
      <c r="AA2125" s="33"/>
    </row>
    <row r="2126" spans="1:27" s="70" customFormat="1" ht="56.25" x14ac:dyDescent="0.2">
      <c r="A2126" s="24">
        <v>2122</v>
      </c>
      <c r="B2126" s="27" t="s">
        <v>223</v>
      </c>
      <c r="C2126" s="28" t="s">
        <v>222</v>
      </c>
      <c r="D2126" s="71" t="s">
        <v>417</v>
      </c>
      <c r="E2126" s="28" t="s">
        <v>416</v>
      </c>
      <c r="F2126" s="28" t="s">
        <v>415</v>
      </c>
      <c r="G2126" s="27"/>
      <c r="H2126" s="28" t="s">
        <v>414</v>
      </c>
      <c r="I2126" s="27"/>
      <c r="J2126" s="28" t="s">
        <v>414</v>
      </c>
      <c r="K2126" s="27"/>
      <c r="L2126" s="25" t="s">
        <v>429</v>
      </c>
      <c r="M2126" s="25" t="s">
        <v>265</v>
      </c>
      <c r="N2126" s="25">
        <v>1</v>
      </c>
      <c r="O2126" s="25"/>
      <c r="P2126" s="25">
        <v>160</v>
      </c>
      <c r="Q2126" s="25"/>
      <c r="R2126" s="25"/>
      <c r="S2126" s="25">
        <v>11.200000000000001</v>
      </c>
      <c r="T2126" s="25">
        <v>22.400000000000002</v>
      </c>
      <c r="U2126" s="25">
        <v>193.6</v>
      </c>
      <c r="V2126" s="25">
        <v>193.6</v>
      </c>
      <c r="W2126" s="33" t="s">
        <v>22</v>
      </c>
      <c r="X2126" s="33"/>
      <c r="Y2126" s="33"/>
      <c r="Z2126" s="33"/>
      <c r="AA2126" s="33"/>
    </row>
    <row r="2127" spans="1:27" s="70" customFormat="1" ht="56.25" x14ac:dyDescent="0.2">
      <c r="A2127" s="24">
        <v>2123</v>
      </c>
      <c r="B2127" s="27" t="s">
        <v>223</v>
      </c>
      <c r="C2127" s="28" t="s">
        <v>222</v>
      </c>
      <c r="D2127" s="71" t="s">
        <v>417</v>
      </c>
      <c r="E2127" s="28" t="s">
        <v>416</v>
      </c>
      <c r="F2127" s="28" t="s">
        <v>415</v>
      </c>
      <c r="G2127" s="27"/>
      <c r="H2127" s="28" t="s">
        <v>414</v>
      </c>
      <c r="I2127" s="27"/>
      <c r="J2127" s="28" t="s">
        <v>414</v>
      </c>
      <c r="K2127" s="27"/>
      <c r="L2127" s="25" t="s">
        <v>428</v>
      </c>
      <c r="M2127" s="25" t="s">
        <v>265</v>
      </c>
      <c r="N2127" s="25">
        <v>1</v>
      </c>
      <c r="O2127" s="25"/>
      <c r="P2127" s="25">
        <v>120</v>
      </c>
      <c r="Q2127" s="25"/>
      <c r="R2127" s="25"/>
      <c r="S2127" s="25">
        <v>12</v>
      </c>
      <c r="T2127" s="25">
        <v>12</v>
      </c>
      <c r="U2127" s="25">
        <v>144</v>
      </c>
      <c r="V2127" s="25">
        <v>144</v>
      </c>
      <c r="W2127" s="33" t="s">
        <v>22</v>
      </c>
      <c r="X2127" s="33"/>
      <c r="Y2127" s="33"/>
      <c r="Z2127" s="33"/>
      <c r="AA2127" s="33"/>
    </row>
    <row r="2128" spans="1:27" s="70" customFormat="1" ht="56.25" x14ac:dyDescent="0.2">
      <c r="A2128" s="24">
        <v>2124</v>
      </c>
      <c r="B2128" s="27" t="s">
        <v>223</v>
      </c>
      <c r="C2128" s="28" t="s">
        <v>222</v>
      </c>
      <c r="D2128" s="71" t="s">
        <v>417</v>
      </c>
      <c r="E2128" s="28" t="s">
        <v>416</v>
      </c>
      <c r="F2128" s="28" t="s">
        <v>415</v>
      </c>
      <c r="G2128" s="27"/>
      <c r="H2128" s="28" t="s">
        <v>414</v>
      </c>
      <c r="I2128" s="27"/>
      <c r="J2128" s="28" t="s">
        <v>414</v>
      </c>
      <c r="K2128" s="27"/>
      <c r="L2128" s="25" t="s">
        <v>427</v>
      </c>
      <c r="M2128" s="25" t="s">
        <v>265</v>
      </c>
      <c r="N2128" s="25">
        <v>2</v>
      </c>
      <c r="O2128" s="25"/>
      <c r="P2128" s="25">
        <v>80</v>
      </c>
      <c r="Q2128" s="25">
        <v>40</v>
      </c>
      <c r="R2128" s="25"/>
      <c r="S2128" s="25">
        <v>5.6000000000000005</v>
      </c>
      <c r="T2128" s="25">
        <v>11.200000000000001</v>
      </c>
      <c r="U2128" s="25">
        <v>136.79999999999998</v>
      </c>
      <c r="V2128" s="25">
        <v>273.59999999999997</v>
      </c>
      <c r="W2128" s="33" t="s">
        <v>22</v>
      </c>
      <c r="X2128" s="33"/>
      <c r="Y2128" s="33"/>
      <c r="Z2128" s="33"/>
      <c r="AA2128" s="33"/>
    </row>
    <row r="2129" spans="1:27" s="70" customFormat="1" ht="56.25" x14ac:dyDescent="0.2">
      <c r="A2129" s="24">
        <v>2125</v>
      </c>
      <c r="B2129" s="27" t="s">
        <v>223</v>
      </c>
      <c r="C2129" s="28" t="s">
        <v>222</v>
      </c>
      <c r="D2129" s="71" t="s">
        <v>417</v>
      </c>
      <c r="E2129" s="28" t="s">
        <v>416</v>
      </c>
      <c r="F2129" s="28" t="s">
        <v>415</v>
      </c>
      <c r="G2129" s="27"/>
      <c r="H2129" s="28" t="s">
        <v>414</v>
      </c>
      <c r="I2129" s="27"/>
      <c r="J2129" s="28" t="s">
        <v>414</v>
      </c>
      <c r="K2129" s="27"/>
      <c r="L2129" s="25" t="s">
        <v>426</v>
      </c>
      <c r="M2129" s="25" t="s">
        <v>190</v>
      </c>
      <c r="N2129" s="25">
        <v>2</v>
      </c>
      <c r="O2129" s="25">
        <v>20</v>
      </c>
      <c r="P2129" s="25">
        <v>20</v>
      </c>
      <c r="Q2129" s="25"/>
      <c r="R2129" s="25">
        <v>40</v>
      </c>
      <c r="S2129" s="25"/>
      <c r="T2129" s="25">
        <v>24</v>
      </c>
      <c r="U2129" s="25">
        <v>104</v>
      </c>
      <c r="V2129" s="25">
        <v>208</v>
      </c>
      <c r="W2129" s="33" t="s">
        <v>22</v>
      </c>
      <c r="X2129" s="33"/>
      <c r="Y2129" s="33"/>
      <c r="Z2129" s="33"/>
      <c r="AA2129" s="33"/>
    </row>
    <row r="2130" spans="1:27" s="70" customFormat="1" ht="56.25" x14ac:dyDescent="0.2">
      <c r="A2130" s="24">
        <v>2126</v>
      </c>
      <c r="B2130" s="27" t="s">
        <v>223</v>
      </c>
      <c r="C2130" s="28" t="s">
        <v>222</v>
      </c>
      <c r="D2130" s="71" t="s">
        <v>417</v>
      </c>
      <c r="E2130" s="28" t="s">
        <v>416</v>
      </c>
      <c r="F2130" s="28" t="s">
        <v>415</v>
      </c>
      <c r="G2130" s="27"/>
      <c r="H2130" s="28" t="s">
        <v>414</v>
      </c>
      <c r="I2130" s="27"/>
      <c r="J2130" s="28" t="s">
        <v>414</v>
      </c>
      <c r="K2130" s="27"/>
      <c r="L2130" s="25" t="s">
        <v>425</v>
      </c>
      <c r="M2130" s="25" t="s">
        <v>424</v>
      </c>
      <c r="N2130" s="25">
        <v>1</v>
      </c>
      <c r="O2130" s="25"/>
      <c r="P2130" s="25"/>
      <c r="Q2130" s="25">
        <v>448</v>
      </c>
      <c r="R2130" s="25"/>
      <c r="S2130" s="25">
        <v>50.4</v>
      </c>
      <c r="T2130" s="25">
        <v>33.6</v>
      </c>
      <c r="U2130" s="25">
        <v>532</v>
      </c>
      <c r="V2130" s="25">
        <v>532</v>
      </c>
      <c r="W2130" s="33" t="s">
        <v>22</v>
      </c>
      <c r="X2130" s="33"/>
      <c r="Y2130" s="33"/>
      <c r="Z2130" s="33"/>
      <c r="AA2130" s="33"/>
    </row>
    <row r="2131" spans="1:27" s="70" customFormat="1" ht="56.25" x14ac:dyDescent="0.2">
      <c r="A2131" s="24">
        <v>2127</v>
      </c>
      <c r="B2131" s="27" t="s">
        <v>223</v>
      </c>
      <c r="C2131" s="28" t="s">
        <v>222</v>
      </c>
      <c r="D2131" s="71" t="s">
        <v>417</v>
      </c>
      <c r="E2131" s="28" t="s">
        <v>416</v>
      </c>
      <c r="F2131" s="28" t="s">
        <v>415</v>
      </c>
      <c r="G2131" s="27"/>
      <c r="H2131" s="28" t="s">
        <v>414</v>
      </c>
      <c r="I2131" s="27"/>
      <c r="J2131" s="28" t="s">
        <v>414</v>
      </c>
      <c r="K2131" s="27"/>
      <c r="L2131" s="25" t="s">
        <v>423</v>
      </c>
      <c r="M2131" s="25" t="s">
        <v>422</v>
      </c>
      <c r="N2131" s="25">
        <v>1</v>
      </c>
      <c r="O2131" s="25"/>
      <c r="P2131" s="25"/>
      <c r="Q2131" s="25">
        <v>240</v>
      </c>
      <c r="R2131" s="25"/>
      <c r="S2131" s="25">
        <v>240</v>
      </c>
      <c r="T2131" s="25">
        <v>120</v>
      </c>
      <c r="U2131" s="25">
        <v>600</v>
      </c>
      <c r="V2131" s="25">
        <v>600</v>
      </c>
      <c r="W2131" s="33" t="s">
        <v>22</v>
      </c>
      <c r="X2131" s="33"/>
      <c r="Y2131" s="33"/>
      <c r="Z2131" s="33"/>
      <c r="AA2131" s="33"/>
    </row>
    <row r="2132" spans="1:27" s="70" customFormat="1" ht="56.25" x14ac:dyDescent="0.2">
      <c r="A2132" s="24">
        <v>2128</v>
      </c>
      <c r="B2132" s="27" t="s">
        <v>223</v>
      </c>
      <c r="C2132" s="28" t="s">
        <v>222</v>
      </c>
      <c r="D2132" s="71" t="s">
        <v>417</v>
      </c>
      <c r="E2132" s="28" t="s">
        <v>416</v>
      </c>
      <c r="F2132" s="28" t="s">
        <v>415</v>
      </c>
      <c r="G2132" s="27"/>
      <c r="H2132" s="28" t="s">
        <v>414</v>
      </c>
      <c r="I2132" s="27"/>
      <c r="J2132" s="28" t="s">
        <v>414</v>
      </c>
      <c r="K2132" s="27"/>
      <c r="L2132" s="25" t="s">
        <v>421</v>
      </c>
      <c r="M2132" s="25" t="s">
        <v>363</v>
      </c>
      <c r="N2132" s="25">
        <v>1</v>
      </c>
      <c r="O2132" s="25"/>
      <c r="P2132" s="25">
        <v>240</v>
      </c>
      <c r="Q2132" s="25"/>
      <c r="R2132" s="25">
        <v>240</v>
      </c>
      <c r="S2132" s="25"/>
      <c r="T2132" s="25">
        <v>240</v>
      </c>
      <c r="U2132" s="25">
        <v>720</v>
      </c>
      <c r="V2132" s="25">
        <v>720</v>
      </c>
      <c r="W2132" s="33" t="s">
        <v>22</v>
      </c>
      <c r="X2132" s="33"/>
      <c r="Y2132" s="33"/>
      <c r="Z2132" s="33"/>
      <c r="AA2132" s="33"/>
    </row>
    <row r="2133" spans="1:27" s="70" customFormat="1" ht="56.25" x14ac:dyDescent="0.2">
      <c r="A2133" s="24">
        <v>2129</v>
      </c>
      <c r="B2133" s="27" t="s">
        <v>223</v>
      </c>
      <c r="C2133" s="28" t="s">
        <v>222</v>
      </c>
      <c r="D2133" s="71" t="s">
        <v>417</v>
      </c>
      <c r="E2133" s="28" t="s">
        <v>416</v>
      </c>
      <c r="F2133" s="28" t="s">
        <v>415</v>
      </c>
      <c r="G2133" s="27"/>
      <c r="H2133" s="28" t="s">
        <v>414</v>
      </c>
      <c r="I2133" s="27"/>
      <c r="J2133" s="28" t="s">
        <v>414</v>
      </c>
      <c r="K2133" s="27"/>
      <c r="L2133" s="25" t="s">
        <v>420</v>
      </c>
      <c r="M2133" s="25" t="s">
        <v>265</v>
      </c>
      <c r="N2133" s="25">
        <v>24</v>
      </c>
      <c r="O2133" s="25"/>
      <c r="P2133" s="25"/>
      <c r="Q2133" s="25">
        <v>1.5</v>
      </c>
      <c r="R2133" s="25">
        <v>1</v>
      </c>
      <c r="S2133" s="25">
        <v>0.3</v>
      </c>
      <c r="T2133" s="25">
        <v>0.2</v>
      </c>
      <c r="U2133" s="25">
        <v>3</v>
      </c>
      <c r="V2133" s="25">
        <v>72</v>
      </c>
      <c r="W2133" s="33" t="s">
        <v>419</v>
      </c>
      <c r="X2133" s="33"/>
      <c r="Y2133" s="33"/>
      <c r="Z2133" s="33"/>
      <c r="AA2133" s="33"/>
    </row>
    <row r="2134" spans="1:27" s="70" customFormat="1" ht="56.25" x14ac:dyDescent="0.2">
      <c r="A2134" s="24">
        <v>2130</v>
      </c>
      <c r="B2134" s="27" t="s">
        <v>223</v>
      </c>
      <c r="C2134" s="28" t="s">
        <v>222</v>
      </c>
      <c r="D2134" s="71" t="s">
        <v>417</v>
      </c>
      <c r="E2134" s="28" t="s">
        <v>416</v>
      </c>
      <c r="F2134" s="28" t="s">
        <v>415</v>
      </c>
      <c r="G2134" s="27"/>
      <c r="H2134" s="28" t="s">
        <v>414</v>
      </c>
      <c r="I2134" s="27"/>
      <c r="J2134" s="28" t="s">
        <v>414</v>
      </c>
      <c r="K2134" s="27"/>
      <c r="L2134" s="25" t="s">
        <v>418</v>
      </c>
      <c r="M2134" s="25" t="s">
        <v>265</v>
      </c>
      <c r="N2134" s="25">
        <v>2</v>
      </c>
      <c r="O2134" s="25"/>
      <c r="P2134" s="25">
        <v>56</v>
      </c>
      <c r="Q2134" s="25">
        <v>40</v>
      </c>
      <c r="R2134" s="25"/>
      <c r="S2134" s="25">
        <v>12</v>
      </c>
      <c r="T2134" s="25">
        <v>12</v>
      </c>
      <c r="U2134" s="25">
        <v>120</v>
      </c>
      <c r="V2134" s="25">
        <v>240</v>
      </c>
      <c r="W2134" s="33" t="s">
        <v>22</v>
      </c>
      <c r="X2134" s="33"/>
      <c r="Y2134" s="33"/>
      <c r="Z2134" s="33"/>
      <c r="AA2134" s="33"/>
    </row>
    <row r="2135" spans="1:27" s="70" customFormat="1" ht="56.25" x14ac:dyDescent="0.2">
      <c r="A2135" s="24">
        <v>2131</v>
      </c>
      <c r="B2135" s="27" t="s">
        <v>223</v>
      </c>
      <c r="C2135" s="28" t="s">
        <v>222</v>
      </c>
      <c r="D2135" s="71" t="s">
        <v>417</v>
      </c>
      <c r="E2135" s="28" t="s">
        <v>416</v>
      </c>
      <c r="F2135" s="28" t="s">
        <v>415</v>
      </c>
      <c r="G2135" s="27"/>
      <c r="H2135" s="28" t="s">
        <v>414</v>
      </c>
      <c r="I2135" s="27"/>
      <c r="J2135" s="28" t="s">
        <v>414</v>
      </c>
      <c r="K2135" s="27"/>
      <c r="L2135" s="25" t="s">
        <v>413</v>
      </c>
      <c r="M2135" s="25" t="s">
        <v>412</v>
      </c>
      <c r="N2135" s="25">
        <v>12</v>
      </c>
      <c r="O2135" s="25"/>
      <c r="P2135" s="25">
        <v>60</v>
      </c>
      <c r="Q2135" s="25">
        <v>60</v>
      </c>
      <c r="R2135" s="25">
        <v>60</v>
      </c>
      <c r="S2135" s="25">
        <v>12</v>
      </c>
      <c r="T2135" s="25">
        <v>8</v>
      </c>
      <c r="U2135" s="25">
        <v>200</v>
      </c>
      <c r="V2135" s="25">
        <v>2400</v>
      </c>
      <c r="W2135" s="33" t="s">
        <v>22</v>
      </c>
      <c r="X2135" s="33"/>
      <c r="Y2135" s="33"/>
      <c r="Z2135" s="33"/>
      <c r="AA2135" s="33"/>
    </row>
    <row r="2136" spans="1:27" s="70" customFormat="1" ht="135" x14ac:dyDescent="0.2">
      <c r="A2136" s="24">
        <v>2132</v>
      </c>
      <c r="B2136" s="24" t="s">
        <v>223</v>
      </c>
      <c r="C2136" s="25" t="s">
        <v>222</v>
      </c>
      <c r="D2136" s="26" t="s">
        <v>348</v>
      </c>
      <c r="E2136" s="25" t="s">
        <v>347</v>
      </c>
      <c r="F2136" s="25" t="s">
        <v>344</v>
      </c>
      <c r="G2136" s="24"/>
      <c r="H2136" s="25" t="s">
        <v>357</v>
      </c>
      <c r="I2136" s="27"/>
      <c r="J2136" s="28" t="s">
        <v>399</v>
      </c>
      <c r="K2136" s="27"/>
      <c r="L2136" s="25" t="s">
        <v>411</v>
      </c>
      <c r="M2136" s="25" t="s">
        <v>410</v>
      </c>
      <c r="N2136" s="25">
        <v>5</v>
      </c>
      <c r="O2136" s="25"/>
      <c r="P2136" s="25">
        <v>8</v>
      </c>
      <c r="Q2136" s="25"/>
      <c r="R2136" s="25"/>
      <c r="S2136" s="25">
        <v>1</v>
      </c>
      <c r="T2136" s="25"/>
      <c r="U2136" s="25">
        <v>9</v>
      </c>
      <c r="V2136" s="25"/>
      <c r="W2136" s="33" t="s">
        <v>334</v>
      </c>
      <c r="X2136" s="33"/>
      <c r="Y2136" s="33"/>
      <c r="Z2136" s="33" t="s">
        <v>371</v>
      </c>
      <c r="AA2136" s="33"/>
    </row>
    <row r="2137" spans="1:27" s="70" customFormat="1" ht="135" x14ac:dyDescent="0.2">
      <c r="A2137" s="24">
        <v>2133</v>
      </c>
      <c r="B2137" s="24" t="s">
        <v>223</v>
      </c>
      <c r="C2137" s="25" t="s">
        <v>222</v>
      </c>
      <c r="D2137" s="26" t="s">
        <v>348</v>
      </c>
      <c r="E2137" s="25" t="s">
        <v>347</v>
      </c>
      <c r="F2137" s="25" t="s">
        <v>344</v>
      </c>
      <c r="G2137" s="24"/>
      <c r="H2137" s="25" t="s">
        <v>357</v>
      </c>
      <c r="I2137" s="27"/>
      <c r="J2137" s="28" t="s">
        <v>399</v>
      </c>
      <c r="K2137" s="27"/>
      <c r="L2137" s="25" t="s">
        <v>409</v>
      </c>
      <c r="M2137" s="25" t="s">
        <v>190</v>
      </c>
      <c r="N2137" s="25">
        <v>2</v>
      </c>
      <c r="O2137" s="25"/>
      <c r="P2137" s="25">
        <v>10</v>
      </c>
      <c r="Q2137" s="25"/>
      <c r="R2137" s="25"/>
      <c r="S2137" s="25">
        <v>2</v>
      </c>
      <c r="T2137" s="25"/>
      <c r="U2137" s="25">
        <v>12</v>
      </c>
      <c r="V2137" s="25"/>
      <c r="W2137" s="33" t="s">
        <v>334</v>
      </c>
      <c r="X2137" s="33"/>
      <c r="Y2137" s="33"/>
      <c r="Z2137" s="33" t="s">
        <v>371</v>
      </c>
      <c r="AA2137" s="33"/>
    </row>
    <row r="2138" spans="1:27" s="70" customFormat="1" ht="135" x14ac:dyDescent="0.2">
      <c r="A2138" s="24">
        <v>2134</v>
      </c>
      <c r="B2138" s="24" t="s">
        <v>223</v>
      </c>
      <c r="C2138" s="25" t="s">
        <v>222</v>
      </c>
      <c r="D2138" s="26" t="s">
        <v>348</v>
      </c>
      <c r="E2138" s="25" t="s">
        <v>347</v>
      </c>
      <c r="F2138" s="25" t="s">
        <v>344</v>
      </c>
      <c r="G2138" s="24"/>
      <c r="H2138" s="25" t="s">
        <v>357</v>
      </c>
      <c r="I2138" s="27"/>
      <c r="J2138" s="28" t="s">
        <v>399</v>
      </c>
      <c r="K2138" s="27"/>
      <c r="L2138" s="25" t="s">
        <v>408</v>
      </c>
      <c r="M2138" s="25" t="s">
        <v>247</v>
      </c>
      <c r="N2138" s="25">
        <v>12</v>
      </c>
      <c r="O2138" s="25">
        <v>12</v>
      </c>
      <c r="P2138" s="25">
        <v>8</v>
      </c>
      <c r="Q2138" s="25"/>
      <c r="R2138" s="25"/>
      <c r="S2138" s="25">
        <v>1</v>
      </c>
      <c r="T2138" s="25"/>
      <c r="U2138" s="25">
        <v>21</v>
      </c>
      <c r="V2138" s="25"/>
      <c r="W2138" s="33" t="s">
        <v>334</v>
      </c>
      <c r="X2138" s="33"/>
      <c r="Y2138" s="33"/>
      <c r="Z2138" s="33" t="s">
        <v>371</v>
      </c>
      <c r="AA2138" s="33"/>
    </row>
    <row r="2139" spans="1:27" s="70" customFormat="1" ht="135" x14ac:dyDescent="0.2">
      <c r="A2139" s="24">
        <v>2135</v>
      </c>
      <c r="B2139" s="24" t="s">
        <v>223</v>
      </c>
      <c r="C2139" s="25" t="s">
        <v>222</v>
      </c>
      <c r="D2139" s="26" t="s">
        <v>348</v>
      </c>
      <c r="E2139" s="25" t="s">
        <v>347</v>
      </c>
      <c r="F2139" s="25" t="s">
        <v>344</v>
      </c>
      <c r="G2139" s="24"/>
      <c r="H2139" s="25" t="s">
        <v>357</v>
      </c>
      <c r="I2139" s="27"/>
      <c r="J2139" s="28" t="s">
        <v>399</v>
      </c>
      <c r="K2139" s="27"/>
      <c r="L2139" s="25" t="s">
        <v>407</v>
      </c>
      <c r="M2139" s="25" t="s">
        <v>402</v>
      </c>
      <c r="N2139" s="25">
        <v>1</v>
      </c>
      <c r="O2139" s="25">
        <v>8</v>
      </c>
      <c r="P2139" s="25">
        <v>8</v>
      </c>
      <c r="Q2139" s="25">
        <v>16</v>
      </c>
      <c r="R2139" s="25"/>
      <c r="S2139" s="25">
        <v>32</v>
      </c>
      <c r="T2139" s="25"/>
      <c r="U2139" s="25">
        <v>64</v>
      </c>
      <c r="V2139" s="25"/>
      <c r="W2139" s="33" t="s">
        <v>22</v>
      </c>
      <c r="X2139" s="33"/>
      <c r="Y2139" s="33"/>
      <c r="Z2139" s="33"/>
      <c r="AA2139" s="33"/>
    </row>
    <row r="2140" spans="1:27" s="70" customFormat="1" ht="135" x14ac:dyDescent="0.2">
      <c r="A2140" s="24">
        <v>2136</v>
      </c>
      <c r="B2140" s="24" t="s">
        <v>223</v>
      </c>
      <c r="C2140" s="25" t="s">
        <v>222</v>
      </c>
      <c r="D2140" s="26" t="s">
        <v>348</v>
      </c>
      <c r="E2140" s="25" t="s">
        <v>347</v>
      </c>
      <c r="F2140" s="25" t="s">
        <v>344</v>
      </c>
      <c r="G2140" s="24"/>
      <c r="H2140" s="25" t="s">
        <v>357</v>
      </c>
      <c r="I2140" s="27"/>
      <c r="J2140" s="28" t="s">
        <v>399</v>
      </c>
      <c r="K2140" s="27"/>
      <c r="L2140" s="25" t="s">
        <v>406</v>
      </c>
      <c r="M2140" s="25" t="s">
        <v>402</v>
      </c>
      <c r="N2140" s="25">
        <v>1</v>
      </c>
      <c r="O2140" s="25">
        <v>8</v>
      </c>
      <c r="P2140" s="25">
        <v>16</v>
      </c>
      <c r="Q2140" s="25">
        <v>16</v>
      </c>
      <c r="R2140" s="25"/>
      <c r="S2140" s="25">
        <v>32</v>
      </c>
      <c r="T2140" s="25"/>
      <c r="U2140" s="25">
        <v>72</v>
      </c>
      <c r="V2140" s="25"/>
      <c r="W2140" s="33" t="s">
        <v>22</v>
      </c>
      <c r="X2140" s="33"/>
      <c r="Y2140" s="33"/>
      <c r="Z2140" s="33"/>
      <c r="AA2140" s="33"/>
    </row>
    <row r="2141" spans="1:27" s="70" customFormat="1" ht="135" x14ac:dyDescent="0.2">
      <c r="A2141" s="24">
        <v>2137</v>
      </c>
      <c r="B2141" s="24" t="s">
        <v>223</v>
      </c>
      <c r="C2141" s="25" t="s">
        <v>222</v>
      </c>
      <c r="D2141" s="26" t="s">
        <v>348</v>
      </c>
      <c r="E2141" s="25" t="s">
        <v>347</v>
      </c>
      <c r="F2141" s="25" t="s">
        <v>344</v>
      </c>
      <c r="G2141" s="24"/>
      <c r="H2141" s="25" t="s">
        <v>357</v>
      </c>
      <c r="I2141" s="27"/>
      <c r="J2141" s="28" t="s">
        <v>399</v>
      </c>
      <c r="K2141" s="27"/>
      <c r="L2141" s="25" t="s">
        <v>405</v>
      </c>
      <c r="M2141" s="25" t="s">
        <v>402</v>
      </c>
      <c r="N2141" s="25">
        <v>12</v>
      </c>
      <c r="O2141" s="25">
        <v>8</v>
      </c>
      <c r="P2141" s="25">
        <v>8</v>
      </c>
      <c r="Q2141" s="25">
        <v>8</v>
      </c>
      <c r="R2141" s="25"/>
      <c r="S2141" s="25">
        <v>8</v>
      </c>
      <c r="T2141" s="25"/>
      <c r="U2141" s="25">
        <v>32</v>
      </c>
      <c r="V2141" s="25"/>
      <c r="W2141" s="33" t="s">
        <v>22</v>
      </c>
      <c r="X2141" s="33"/>
      <c r="Y2141" s="33"/>
      <c r="Z2141" s="33"/>
      <c r="AA2141" s="33"/>
    </row>
    <row r="2142" spans="1:27" s="70" customFormat="1" ht="135" x14ac:dyDescent="0.2">
      <c r="A2142" s="24">
        <v>2138</v>
      </c>
      <c r="B2142" s="24" t="s">
        <v>223</v>
      </c>
      <c r="C2142" s="25" t="s">
        <v>222</v>
      </c>
      <c r="D2142" s="26" t="s">
        <v>348</v>
      </c>
      <c r="E2142" s="25" t="s">
        <v>347</v>
      </c>
      <c r="F2142" s="25" t="s">
        <v>344</v>
      </c>
      <c r="G2142" s="24"/>
      <c r="H2142" s="25" t="s">
        <v>357</v>
      </c>
      <c r="I2142" s="27"/>
      <c r="J2142" s="28" t="s">
        <v>399</v>
      </c>
      <c r="K2142" s="27"/>
      <c r="L2142" s="25" t="s">
        <v>404</v>
      </c>
      <c r="M2142" s="25" t="s">
        <v>402</v>
      </c>
      <c r="N2142" s="25">
        <v>12</v>
      </c>
      <c r="O2142" s="25">
        <v>3</v>
      </c>
      <c r="P2142" s="25">
        <v>3</v>
      </c>
      <c r="Q2142" s="25">
        <v>9</v>
      </c>
      <c r="R2142" s="25"/>
      <c r="S2142" s="25">
        <v>3</v>
      </c>
      <c r="T2142" s="25"/>
      <c r="U2142" s="25">
        <v>18</v>
      </c>
      <c r="V2142" s="25"/>
      <c r="W2142" s="33" t="s">
        <v>22</v>
      </c>
      <c r="X2142" s="33"/>
      <c r="Y2142" s="33"/>
      <c r="Z2142" s="33"/>
      <c r="AA2142" s="33"/>
    </row>
    <row r="2143" spans="1:27" s="70" customFormat="1" ht="135" x14ac:dyDescent="0.2">
      <c r="A2143" s="24">
        <v>2139</v>
      </c>
      <c r="B2143" s="24" t="s">
        <v>223</v>
      </c>
      <c r="C2143" s="25" t="s">
        <v>222</v>
      </c>
      <c r="D2143" s="26" t="s">
        <v>348</v>
      </c>
      <c r="E2143" s="25" t="s">
        <v>347</v>
      </c>
      <c r="F2143" s="25" t="s">
        <v>344</v>
      </c>
      <c r="G2143" s="24"/>
      <c r="H2143" s="25" t="s">
        <v>357</v>
      </c>
      <c r="I2143" s="27"/>
      <c r="J2143" s="28" t="s">
        <v>399</v>
      </c>
      <c r="K2143" s="27"/>
      <c r="L2143" s="25" t="s">
        <v>403</v>
      </c>
      <c r="M2143" s="25" t="s">
        <v>402</v>
      </c>
      <c r="N2143" s="25">
        <v>12</v>
      </c>
      <c r="O2143" s="25">
        <v>1</v>
      </c>
      <c r="P2143" s="25">
        <v>1</v>
      </c>
      <c r="Q2143" s="25">
        <v>3</v>
      </c>
      <c r="R2143" s="25"/>
      <c r="S2143" s="25">
        <v>1</v>
      </c>
      <c r="T2143" s="25"/>
      <c r="U2143" s="25">
        <v>6</v>
      </c>
      <c r="V2143" s="25"/>
      <c r="W2143" s="33" t="s">
        <v>334</v>
      </c>
      <c r="X2143" s="33"/>
      <c r="Y2143" s="33"/>
      <c r="Z2143" s="33" t="s">
        <v>371</v>
      </c>
      <c r="AA2143" s="33"/>
    </row>
    <row r="2144" spans="1:27" s="70" customFormat="1" ht="135" x14ac:dyDescent="0.2">
      <c r="A2144" s="24">
        <v>2140</v>
      </c>
      <c r="B2144" s="24" t="s">
        <v>223</v>
      </c>
      <c r="C2144" s="25" t="s">
        <v>222</v>
      </c>
      <c r="D2144" s="26" t="s">
        <v>348</v>
      </c>
      <c r="E2144" s="25" t="s">
        <v>347</v>
      </c>
      <c r="F2144" s="25" t="s">
        <v>344</v>
      </c>
      <c r="G2144" s="24"/>
      <c r="H2144" s="25" t="s">
        <v>357</v>
      </c>
      <c r="I2144" s="27"/>
      <c r="J2144" s="28" t="s">
        <v>399</v>
      </c>
      <c r="K2144" s="27"/>
      <c r="L2144" s="25" t="s">
        <v>401</v>
      </c>
      <c r="M2144" s="25" t="s">
        <v>301</v>
      </c>
      <c r="N2144" s="25">
        <v>305</v>
      </c>
      <c r="O2144" s="25">
        <v>12</v>
      </c>
      <c r="P2144" s="25">
        <v>12</v>
      </c>
      <c r="Q2144" s="25"/>
      <c r="R2144" s="25"/>
      <c r="S2144" s="25">
        <v>2</v>
      </c>
      <c r="T2144" s="25"/>
      <c r="U2144" s="25">
        <v>26</v>
      </c>
      <c r="V2144" s="25"/>
      <c r="W2144" s="33" t="s">
        <v>397</v>
      </c>
      <c r="X2144" s="33"/>
      <c r="Y2144" s="33"/>
      <c r="Z2144" s="33" t="s">
        <v>396</v>
      </c>
      <c r="AA2144" s="33"/>
    </row>
    <row r="2145" spans="1:27" s="70" customFormat="1" ht="135" x14ac:dyDescent="0.2">
      <c r="A2145" s="24">
        <v>2141</v>
      </c>
      <c r="B2145" s="24" t="s">
        <v>223</v>
      </c>
      <c r="C2145" s="25" t="s">
        <v>222</v>
      </c>
      <c r="D2145" s="26" t="s">
        <v>348</v>
      </c>
      <c r="E2145" s="25" t="s">
        <v>347</v>
      </c>
      <c r="F2145" s="25" t="s">
        <v>344</v>
      </c>
      <c r="G2145" s="24"/>
      <c r="H2145" s="25" t="s">
        <v>357</v>
      </c>
      <c r="I2145" s="27"/>
      <c r="J2145" s="28" t="s">
        <v>399</v>
      </c>
      <c r="K2145" s="27"/>
      <c r="L2145" s="25" t="s">
        <v>400</v>
      </c>
      <c r="M2145" s="25" t="s">
        <v>301</v>
      </c>
      <c r="N2145" s="25">
        <v>45</v>
      </c>
      <c r="O2145" s="25">
        <v>12</v>
      </c>
      <c r="P2145" s="25">
        <v>12</v>
      </c>
      <c r="Q2145" s="25"/>
      <c r="R2145" s="25"/>
      <c r="S2145" s="25">
        <v>2</v>
      </c>
      <c r="T2145" s="25"/>
      <c r="U2145" s="25">
        <v>26</v>
      </c>
      <c r="V2145" s="25"/>
      <c r="W2145" s="33" t="s">
        <v>397</v>
      </c>
      <c r="X2145" s="33"/>
      <c r="Y2145" s="33"/>
      <c r="Z2145" s="33" t="s">
        <v>396</v>
      </c>
      <c r="AA2145" s="33"/>
    </row>
    <row r="2146" spans="1:27" s="70" customFormat="1" ht="135" x14ac:dyDescent="0.2">
      <c r="A2146" s="24">
        <v>2142</v>
      </c>
      <c r="B2146" s="24" t="s">
        <v>223</v>
      </c>
      <c r="C2146" s="25" t="s">
        <v>222</v>
      </c>
      <c r="D2146" s="26" t="s">
        <v>348</v>
      </c>
      <c r="E2146" s="25" t="s">
        <v>347</v>
      </c>
      <c r="F2146" s="25" t="s">
        <v>344</v>
      </c>
      <c r="G2146" s="24"/>
      <c r="H2146" s="25" t="s">
        <v>357</v>
      </c>
      <c r="I2146" s="27"/>
      <c r="J2146" s="28" t="s">
        <v>399</v>
      </c>
      <c r="K2146" s="27"/>
      <c r="L2146" s="25" t="s">
        <v>398</v>
      </c>
      <c r="M2146" s="25" t="s">
        <v>301</v>
      </c>
      <c r="N2146" s="25">
        <v>100</v>
      </c>
      <c r="O2146" s="25"/>
      <c r="P2146" s="25">
        <v>2</v>
      </c>
      <c r="Q2146" s="25"/>
      <c r="R2146" s="25"/>
      <c r="S2146" s="25">
        <v>0.5</v>
      </c>
      <c r="T2146" s="25"/>
      <c r="U2146" s="25">
        <v>2.5</v>
      </c>
      <c r="V2146" s="25"/>
      <c r="W2146" s="33" t="s">
        <v>397</v>
      </c>
      <c r="X2146" s="33"/>
      <c r="Y2146" s="33"/>
      <c r="Z2146" s="33" t="s">
        <v>396</v>
      </c>
      <c r="AA2146" s="33"/>
    </row>
    <row r="2147" spans="1:27" s="70" customFormat="1" ht="135" x14ac:dyDescent="0.2">
      <c r="A2147" s="24">
        <v>2143</v>
      </c>
      <c r="B2147" s="24" t="s">
        <v>223</v>
      </c>
      <c r="C2147" s="25" t="s">
        <v>222</v>
      </c>
      <c r="D2147" s="26" t="s">
        <v>348</v>
      </c>
      <c r="E2147" s="25" t="s">
        <v>347</v>
      </c>
      <c r="F2147" s="25" t="s">
        <v>344</v>
      </c>
      <c r="G2147" s="24"/>
      <c r="H2147" s="25" t="s">
        <v>357</v>
      </c>
      <c r="I2147" s="27"/>
      <c r="J2147" s="28" t="s">
        <v>395</v>
      </c>
      <c r="K2147" s="27"/>
      <c r="L2147" s="25"/>
      <c r="M2147" s="25"/>
      <c r="N2147" s="25"/>
      <c r="O2147" s="25"/>
      <c r="P2147" s="25"/>
      <c r="Q2147" s="25"/>
      <c r="R2147" s="25"/>
      <c r="S2147" s="25"/>
      <c r="T2147" s="25"/>
      <c r="U2147" s="25"/>
      <c r="V2147" s="25"/>
      <c r="W2147" s="33"/>
      <c r="X2147" s="33"/>
      <c r="Y2147" s="33"/>
      <c r="Z2147" s="33"/>
      <c r="AA2147" s="33"/>
    </row>
    <row r="2148" spans="1:27" s="70" customFormat="1" ht="135" x14ac:dyDescent="0.2">
      <c r="A2148" s="24">
        <v>2144</v>
      </c>
      <c r="B2148" s="24" t="s">
        <v>223</v>
      </c>
      <c r="C2148" s="25" t="s">
        <v>222</v>
      </c>
      <c r="D2148" s="26" t="s">
        <v>348</v>
      </c>
      <c r="E2148" s="25" t="s">
        <v>347</v>
      </c>
      <c r="F2148" s="25" t="s">
        <v>344</v>
      </c>
      <c r="G2148" s="24"/>
      <c r="H2148" s="25" t="s">
        <v>357</v>
      </c>
      <c r="I2148" s="27"/>
      <c r="J2148" s="28" t="s">
        <v>323</v>
      </c>
      <c r="K2148" s="27"/>
      <c r="L2148" s="25"/>
      <c r="M2148" s="25"/>
      <c r="N2148" s="25"/>
      <c r="O2148" s="25"/>
      <c r="P2148" s="25"/>
      <c r="Q2148" s="25"/>
      <c r="R2148" s="25"/>
      <c r="S2148" s="25"/>
      <c r="T2148" s="25"/>
      <c r="U2148" s="25"/>
      <c r="V2148" s="25"/>
      <c r="W2148" s="33"/>
      <c r="X2148" s="33"/>
      <c r="Y2148" s="33"/>
      <c r="Z2148" s="33"/>
      <c r="AA2148" s="33"/>
    </row>
    <row r="2149" spans="1:27" s="70" customFormat="1" ht="135" x14ac:dyDescent="0.2">
      <c r="A2149" s="24">
        <v>2145</v>
      </c>
      <c r="B2149" s="24" t="s">
        <v>223</v>
      </c>
      <c r="C2149" s="25" t="s">
        <v>222</v>
      </c>
      <c r="D2149" s="26" t="s">
        <v>348</v>
      </c>
      <c r="E2149" s="25" t="s">
        <v>347</v>
      </c>
      <c r="F2149" s="25" t="s">
        <v>344</v>
      </c>
      <c r="G2149" s="24"/>
      <c r="H2149" s="25" t="s">
        <v>357</v>
      </c>
      <c r="I2149" s="27"/>
      <c r="J2149" s="28" t="s">
        <v>322</v>
      </c>
      <c r="K2149" s="27"/>
      <c r="L2149" s="25"/>
      <c r="M2149" s="25"/>
      <c r="N2149" s="25"/>
      <c r="O2149" s="25"/>
      <c r="P2149" s="25"/>
      <c r="Q2149" s="25"/>
      <c r="R2149" s="25"/>
      <c r="S2149" s="25"/>
      <c r="T2149" s="25"/>
      <c r="U2149" s="25"/>
      <c r="V2149" s="25"/>
      <c r="W2149" s="33"/>
      <c r="X2149" s="33"/>
      <c r="Y2149" s="33"/>
      <c r="Z2149" s="33"/>
      <c r="AA2149" s="33"/>
    </row>
    <row r="2150" spans="1:27" s="70" customFormat="1" ht="135" x14ac:dyDescent="0.2">
      <c r="A2150" s="24">
        <v>2146</v>
      </c>
      <c r="B2150" s="24" t="s">
        <v>223</v>
      </c>
      <c r="C2150" s="25" t="s">
        <v>222</v>
      </c>
      <c r="D2150" s="26" t="s">
        <v>348</v>
      </c>
      <c r="E2150" s="25" t="s">
        <v>347</v>
      </c>
      <c r="F2150" s="25" t="s">
        <v>344</v>
      </c>
      <c r="G2150" s="24"/>
      <c r="H2150" s="25" t="s">
        <v>357</v>
      </c>
      <c r="I2150" s="27"/>
      <c r="J2150" s="28" t="s">
        <v>321</v>
      </c>
      <c r="K2150" s="27"/>
      <c r="L2150" s="25"/>
      <c r="M2150" s="25"/>
      <c r="N2150" s="25"/>
      <c r="O2150" s="25"/>
      <c r="P2150" s="25"/>
      <c r="Q2150" s="25"/>
      <c r="R2150" s="25"/>
      <c r="S2150" s="25"/>
      <c r="T2150" s="25"/>
      <c r="U2150" s="25"/>
      <c r="V2150" s="25"/>
      <c r="W2150" s="33"/>
      <c r="X2150" s="33"/>
      <c r="Y2150" s="33"/>
      <c r="Z2150" s="33"/>
      <c r="AA2150" s="33"/>
    </row>
    <row r="2151" spans="1:27" s="70" customFormat="1" ht="135" x14ac:dyDescent="0.2">
      <c r="A2151" s="24">
        <v>2147</v>
      </c>
      <c r="B2151" s="24" t="s">
        <v>223</v>
      </c>
      <c r="C2151" s="25" t="s">
        <v>222</v>
      </c>
      <c r="D2151" s="26" t="s">
        <v>348</v>
      </c>
      <c r="E2151" s="25" t="s">
        <v>347</v>
      </c>
      <c r="F2151" s="25" t="s">
        <v>344</v>
      </c>
      <c r="G2151" s="24"/>
      <c r="H2151" s="25" t="s">
        <v>357</v>
      </c>
      <c r="I2151" s="27"/>
      <c r="J2151" s="28" t="s">
        <v>394</v>
      </c>
      <c r="K2151" s="27"/>
      <c r="L2151" s="25"/>
      <c r="M2151" s="25"/>
      <c r="N2151" s="25"/>
      <c r="O2151" s="25"/>
      <c r="P2151" s="25"/>
      <c r="Q2151" s="25"/>
      <c r="R2151" s="25"/>
      <c r="S2151" s="25"/>
      <c r="T2151" s="25"/>
      <c r="U2151" s="25"/>
      <c r="V2151" s="25"/>
      <c r="W2151" s="33"/>
      <c r="X2151" s="33"/>
      <c r="Y2151" s="33"/>
      <c r="Z2151" s="33"/>
      <c r="AA2151" s="33"/>
    </row>
    <row r="2152" spans="1:27" s="70" customFormat="1" ht="135" x14ac:dyDescent="0.2">
      <c r="A2152" s="24">
        <v>2148</v>
      </c>
      <c r="B2152" s="24" t="s">
        <v>223</v>
      </c>
      <c r="C2152" s="25" t="s">
        <v>222</v>
      </c>
      <c r="D2152" s="26" t="s">
        <v>348</v>
      </c>
      <c r="E2152" s="25" t="s">
        <v>347</v>
      </c>
      <c r="F2152" s="25" t="s">
        <v>344</v>
      </c>
      <c r="G2152" s="24"/>
      <c r="H2152" s="25" t="s">
        <v>357</v>
      </c>
      <c r="I2152" s="27"/>
      <c r="J2152" s="28" t="s">
        <v>385</v>
      </c>
      <c r="K2152" s="27"/>
      <c r="L2152" s="25" t="s">
        <v>393</v>
      </c>
      <c r="M2152" s="25" t="s">
        <v>390</v>
      </c>
      <c r="N2152" s="25">
        <v>15</v>
      </c>
      <c r="O2152" s="25"/>
      <c r="P2152" s="25">
        <v>60</v>
      </c>
      <c r="Q2152" s="25"/>
      <c r="R2152" s="25"/>
      <c r="S2152" s="25">
        <v>2</v>
      </c>
      <c r="T2152" s="25"/>
      <c r="U2152" s="25">
        <v>62</v>
      </c>
      <c r="V2152" s="25"/>
      <c r="W2152" s="33" t="s">
        <v>334</v>
      </c>
      <c r="X2152" s="33"/>
      <c r="Y2152" s="33"/>
      <c r="Z2152" s="33" t="s">
        <v>371</v>
      </c>
      <c r="AA2152" s="33"/>
    </row>
    <row r="2153" spans="1:27" s="70" customFormat="1" ht="135" x14ac:dyDescent="0.2">
      <c r="A2153" s="24">
        <v>2149</v>
      </c>
      <c r="B2153" s="24" t="s">
        <v>223</v>
      </c>
      <c r="C2153" s="25" t="s">
        <v>222</v>
      </c>
      <c r="D2153" s="26" t="s">
        <v>348</v>
      </c>
      <c r="E2153" s="25" t="s">
        <v>347</v>
      </c>
      <c r="F2153" s="25" t="s">
        <v>344</v>
      </c>
      <c r="G2153" s="24"/>
      <c r="H2153" s="25" t="s">
        <v>357</v>
      </c>
      <c r="I2153" s="27"/>
      <c r="J2153" s="28" t="s">
        <v>385</v>
      </c>
      <c r="K2153" s="27"/>
      <c r="L2153" s="25" t="s">
        <v>392</v>
      </c>
      <c r="M2153" s="25" t="s">
        <v>390</v>
      </c>
      <c r="N2153" s="25">
        <v>15</v>
      </c>
      <c r="O2153" s="25"/>
      <c r="P2153" s="25">
        <v>120</v>
      </c>
      <c r="Q2153" s="25"/>
      <c r="R2153" s="25"/>
      <c r="S2153" s="25">
        <v>8</v>
      </c>
      <c r="T2153" s="25"/>
      <c r="U2153" s="25">
        <v>128</v>
      </c>
      <c r="V2153" s="25"/>
      <c r="W2153" s="33" t="s">
        <v>334</v>
      </c>
      <c r="X2153" s="33"/>
      <c r="Y2153" s="33"/>
      <c r="Z2153" s="33" t="s">
        <v>371</v>
      </c>
      <c r="AA2153" s="33"/>
    </row>
    <row r="2154" spans="1:27" s="70" customFormat="1" ht="135" x14ac:dyDescent="0.2">
      <c r="A2154" s="24">
        <v>2150</v>
      </c>
      <c r="B2154" s="24" t="s">
        <v>223</v>
      </c>
      <c r="C2154" s="25" t="s">
        <v>222</v>
      </c>
      <c r="D2154" s="26" t="s">
        <v>348</v>
      </c>
      <c r="E2154" s="25" t="s">
        <v>347</v>
      </c>
      <c r="F2154" s="25" t="s">
        <v>344</v>
      </c>
      <c r="G2154" s="24"/>
      <c r="H2154" s="25" t="s">
        <v>357</v>
      </c>
      <c r="I2154" s="27"/>
      <c r="J2154" s="28" t="s">
        <v>385</v>
      </c>
      <c r="K2154" s="27"/>
      <c r="L2154" s="25" t="s">
        <v>391</v>
      </c>
      <c r="M2154" s="25" t="s">
        <v>390</v>
      </c>
      <c r="N2154" s="25">
        <v>15</v>
      </c>
      <c r="O2154" s="25"/>
      <c r="P2154" s="25">
        <v>120</v>
      </c>
      <c r="Q2154" s="25"/>
      <c r="R2154" s="25"/>
      <c r="S2154" s="25">
        <v>3</v>
      </c>
      <c r="T2154" s="25"/>
      <c r="U2154" s="25">
        <v>123</v>
      </c>
      <c r="V2154" s="25"/>
      <c r="W2154" s="33" t="s">
        <v>334</v>
      </c>
      <c r="X2154" s="33"/>
      <c r="Y2154" s="33"/>
      <c r="Z2154" s="33" t="s">
        <v>371</v>
      </c>
      <c r="AA2154" s="33"/>
    </row>
    <row r="2155" spans="1:27" s="70" customFormat="1" ht="135" x14ac:dyDescent="0.2">
      <c r="A2155" s="24">
        <v>2151</v>
      </c>
      <c r="B2155" s="24" t="s">
        <v>223</v>
      </c>
      <c r="C2155" s="25" t="s">
        <v>222</v>
      </c>
      <c r="D2155" s="26" t="s">
        <v>348</v>
      </c>
      <c r="E2155" s="25" t="s">
        <v>347</v>
      </c>
      <c r="F2155" s="25" t="s">
        <v>344</v>
      </c>
      <c r="G2155" s="24"/>
      <c r="H2155" s="25" t="s">
        <v>357</v>
      </c>
      <c r="I2155" s="27"/>
      <c r="J2155" s="28" t="s">
        <v>385</v>
      </c>
      <c r="K2155" s="27"/>
      <c r="L2155" s="25" t="s">
        <v>389</v>
      </c>
      <c r="M2155" s="25" t="s">
        <v>388</v>
      </c>
      <c r="N2155" s="25">
        <v>12</v>
      </c>
      <c r="O2155" s="25"/>
      <c r="P2155" s="25">
        <v>8</v>
      </c>
      <c r="Q2155" s="25"/>
      <c r="R2155" s="25"/>
      <c r="S2155" s="25"/>
      <c r="T2155" s="25"/>
      <c r="U2155" s="25">
        <v>8</v>
      </c>
      <c r="V2155" s="25"/>
      <c r="W2155" s="33" t="s">
        <v>334</v>
      </c>
      <c r="X2155" s="33"/>
      <c r="Y2155" s="33"/>
      <c r="Z2155" s="33" t="s">
        <v>371</v>
      </c>
      <c r="AA2155" s="33"/>
    </row>
    <row r="2156" spans="1:27" s="70" customFormat="1" ht="135" x14ac:dyDescent="0.2">
      <c r="A2156" s="24">
        <v>2152</v>
      </c>
      <c r="B2156" s="24" t="s">
        <v>223</v>
      </c>
      <c r="C2156" s="25" t="s">
        <v>222</v>
      </c>
      <c r="D2156" s="26" t="s">
        <v>348</v>
      </c>
      <c r="E2156" s="25" t="s">
        <v>347</v>
      </c>
      <c r="F2156" s="25" t="s">
        <v>344</v>
      </c>
      <c r="G2156" s="24"/>
      <c r="H2156" s="25" t="s">
        <v>357</v>
      </c>
      <c r="I2156" s="27"/>
      <c r="J2156" s="28" t="s">
        <v>385</v>
      </c>
      <c r="K2156" s="27"/>
      <c r="L2156" s="25" t="s">
        <v>387</v>
      </c>
      <c r="M2156" s="25" t="s">
        <v>386</v>
      </c>
      <c r="N2156" s="25">
        <v>2</v>
      </c>
      <c r="O2156" s="25"/>
      <c r="P2156" s="25">
        <v>120</v>
      </c>
      <c r="Q2156" s="25"/>
      <c r="R2156" s="25"/>
      <c r="S2156" s="25">
        <v>25</v>
      </c>
      <c r="T2156" s="25"/>
      <c r="U2156" s="25">
        <v>145</v>
      </c>
      <c r="V2156" s="25"/>
      <c r="W2156" s="33" t="s">
        <v>334</v>
      </c>
      <c r="X2156" s="33"/>
      <c r="Y2156" s="33"/>
      <c r="Z2156" s="33" t="s">
        <v>371</v>
      </c>
      <c r="AA2156" s="33"/>
    </row>
    <row r="2157" spans="1:27" s="70" customFormat="1" ht="135" x14ac:dyDescent="0.2">
      <c r="A2157" s="24">
        <v>2153</v>
      </c>
      <c r="B2157" s="24" t="s">
        <v>223</v>
      </c>
      <c r="C2157" s="25" t="s">
        <v>222</v>
      </c>
      <c r="D2157" s="26" t="s">
        <v>348</v>
      </c>
      <c r="E2157" s="25" t="s">
        <v>347</v>
      </c>
      <c r="F2157" s="25" t="s">
        <v>344</v>
      </c>
      <c r="G2157" s="24"/>
      <c r="H2157" s="25" t="s">
        <v>357</v>
      </c>
      <c r="I2157" s="27"/>
      <c r="J2157" s="28" t="s">
        <v>385</v>
      </c>
      <c r="K2157" s="27"/>
      <c r="L2157" s="25" t="s">
        <v>384</v>
      </c>
      <c r="M2157" s="25" t="s">
        <v>383</v>
      </c>
      <c r="N2157" s="25">
        <v>50</v>
      </c>
      <c r="O2157" s="25"/>
      <c r="P2157" s="25">
        <v>1</v>
      </c>
      <c r="Q2157" s="25"/>
      <c r="R2157" s="25"/>
      <c r="S2157" s="25">
        <v>1</v>
      </c>
      <c r="T2157" s="25"/>
      <c r="U2157" s="25">
        <v>2</v>
      </c>
      <c r="V2157" s="25"/>
      <c r="W2157" s="33" t="s">
        <v>334</v>
      </c>
      <c r="X2157" s="33"/>
      <c r="Y2157" s="33"/>
      <c r="Z2157" s="33" t="s">
        <v>371</v>
      </c>
      <c r="AA2157" s="33"/>
    </row>
    <row r="2158" spans="1:27" s="70" customFormat="1" ht="135" x14ac:dyDescent="0.2">
      <c r="A2158" s="24">
        <v>2154</v>
      </c>
      <c r="B2158" s="24" t="s">
        <v>223</v>
      </c>
      <c r="C2158" s="25" t="s">
        <v>222</v>
      </c>
      <c r="D2158" s="26" t="s">
        <v>348</v>
      </c>
      <c r="E2158" s="25" t="s">
        <v>347</v>
      </c>
      <c r="F2158" s="25" t="s">
        <v>344</v>
      </c>
      <c r="G2158" s="24"/>
      <c r="H2158" s="25" t="s">
        <v>357</v>
      </c>
      <c r="I2158" s="27"/>
      <c r="J2158" s="28" t="s">
        <v>310</v>
      </c>
      <c r="K2158" s="27"/>
      <c r="L2158" s="25"/>
      <c r="M2158" s="25"/>
      <c r="N2158" s="25"/>
      <c r="O2158" s="25"/>
      <c r="P2158" s="25"/>
      <c r="Q2158" s="25"/>
      <c r="R2158" s="25"/>
      <c r="S2158" s="25"/>
      <c r="T2158" s="25"/>
      <c r="U2158" s="25"/>
      <c r="V2158" s="25"/>
      <c r="W2158" s="33"/>
      <c r="X2158" s="33"/>
      <c r="Y2158" s="33"/>
      <c r="Z2158" s="33"/>
      <c r="AA2158" s="33"/>
    </row>
    <row r="2159" spans="1:27" s="70" customFormat="1" ht="135" x14ac:dyDescent="0.2">
      <c r="A2159" s="24">
        <v>2155</v>
      </c>
      <c r="B2159" s="24" t="s">
        <v>223</v>
      </c>
      <c r="C2159" s="25" t="s">
        <v>222</v>
      </c>
      <c r="D2159" s="26" t="s">
        <v>348</v>
      </c>
      <c r="E2159" s="25" t="s">
        <v>347</v>
      </c>
      <c r="F2159" s="25" t="s">
        <v>344</v>
      </c>
      <c r="G2159" s="24"/>
      <c r="H2159" s="25" t="s">
        <v>357</v>
      </c>
      <c r="I2159" s="27"/>
      <c r="J2159" s="28" t="s">
        <v>382</v>
      </c>
      <c r="K2159" s="27"/>
      <c r="L2159" s="25"/>
      <c r="M2159" s="25"/>
      <c r="N2159" s="25"/>
      <c r="O2159" s="25"/>
      <c r="P2159" s="25"/>
      <c r="Q2159" s="25"/>
      <c r="R2159" s="25"/>
      <c r="S2159" s="25"/>
      <c r="T2159" s="25"/>
      <c r="U2159" s="25"/>
      <c r="V2159" s="25"/>
      <c r="W2159" s="33"/>
      <c r="X2159" s="33"/>
      <c r="Y2159" s="33"/>
      <c r="Z2159" s="33"/>
      <c r="AA2159" s="33"/>
    </row>
    <row r="2160" spans="1:27" s="70" customFormat="1" ht="135" x14ac:dyDescent="0.2">
      <c r="A2160" s="24">
        <v>2156</v>
      </c>
      <c r="B2160" s="24" t="s">
        <v>223</v>
      </c>
      <c r="C2160" s="25" t="s">
        <v>222</v>
      </c>
      <c r="D2160" s="26" t="s">
        <v>348</v>
      </c>
      <c r="E2160" s="25" t="s">
        <v>347</v>
      </c>
      <c r="F2160" s="25" t="s">
        <v>344</v>
      </c>
      <c r="G2160" s="24"/>
      <c r="H2160" s="25" t="s">
        <v>357</v>
      </c>
      <c r="I2160" s="27"/>
      <c r="J2160" s="28" t="s">
        <v>381</v>
      </c>
      <c r="K2160" s="27"/>
      <c r="L2160" s="25"/>
      <c r="M2160" s="25"/>
      <c r="N2160" s="25"/>
      <c r="O2160" s="25"/>
      <c r="P2160" s="25"/>
      <c r="Q2160" s="25"/>
      <c r="R2160" s="25"/>
      <c r="S2160" s="25"/>
      <c r="T2160" s="25"/>
      <c r="U2160" s="25"/>
      <c r="V2160" s="25"/>
      <c r="W2160" s="33"/>
      <c r="X2160" s="33"/>
      <c r="Y2160" s="33"/>
      <c r="Z2160" s="33"/>
      <c r="AA2160" s="33"/>
    </row>
    <row r="2161" spans="1:27" s="70" customFormat="1" ht="135" x14ac:dyDescent="0.2">
      <c r="A2161" s="24">
        <v>2157</v>
      </c>
      <c r="B2161" s="24" t="s">
        <v>223</v>
      </c>
      <c r="C2161" s="25" t="s">
        <v>222</v>
      </c>
      <c r="D2161" s="26" t="s">
        <v>348</v>
      </c>
      <c r="E2161" s="25" t="s">
        <v>347</v>
      </c>
      <c r="F2161" s="25" t="s">
        <v>344</v>
      </c>
      <c r="G2161" s="24"/>
      <c r="H2161" s="25" t="s">
        <v>357</v>
      </c>
      <c r="I2161" s="27"/>
      <c r="J2161" s="28" t="s">
        <v>307</v>
      </c>
      <c r="K2161" s="27"/>
      <c r="L2161" s="25"/>
      <c r="M2161" s="25"/>
      <c r="N2161" s="25"/>
      <c r="O2161" s="25"/>
      <c r="P2161" s="25"/>
      <c r="Q2161" s="25"/>
      <c r="R2161" s="25"/>
      <c r="S2161" s="25"/>
      <c r="T2161" s="25"/>
      <c r="U2161" s="25"/>
      <c r="V2161" s="25"/>
      <c r="W2161" s="33"/>
      <c r="X2161" s="33"/>
      <c r="Y2161" s="33"/>
      <c r="Z2161" s="33"/>
      <c r="AA2161" s="33"/>
    </row>
    <row r="2162" spans="1:27" s="70" customFormat="1" ht="135" x14ac:dyDescent="0.2">
      <c r="A2162" s="24">
        <v>2158</v>
      </c>
      <c r="B2162" s="24" t="s">
        <v>223</v>
      </c>
      <c r="C2162" s="25" t="s">
        <v>222</v>
      </c>
      <c r="D2162" s="26" t="s">
        <v>348</v>
      </c>
      <c r="E2162" s="25" t="s">
        <v>347</v>
      </c>
      <c r="F2162" s="25" t="s">
        <v>344</v>
      </c>
      <c r="G2162" s="24"/>
      <c r="H2162" s="25" t="s">
        <v>357</v>
      </c>
      <c r="I2162" s="27"/>
      <c r="J2162" s="28" t="s">
        <v>306</v>
      </c>
      <c r="K2162" s="27"/>
      <c r="L2162" s="25"/>
      <c r="M2162" s="25"/>
      <c r="N2162" s="25"/>
      <c r="O2162" s="25"/>
      <c r="P2162" s="25"/>
      <c r="Q2162" s="25"/>
      <c r="R2162" s="25"/>
      <c r="S2162" s="25"/>
      <c r="T2162" s="25"/>
      <c r="U2162" s="25"/>
      <c r="V2162" s="25"/>
      <c r="W2162" s="33"/>
      <c r="X2162" s="33"/>
      <c r="Y2162" s="33"/>
      <c r="Z2162" s="33"/>
      <c r="AA2162" s="33"/>
    </row>
    <row r="2163" spans="1:27" s="70" customFormat="1" ht="135" x14ac:dyDescent="0.2">
      <c r="A2163" s="24">
        <v>2159</v>
      </c>
      <c r="B2163" s="24" t="s">
        <v>223</v>
      </c>
      <c r="C2163" s="25" t="s">
        <v>222</v>
      </c>
      <c r="D2163" s="26" t="s">
        <v>348</v>
      </c>
      <c r="E2163" s="25" t="s">
        <v>347</v>
      </c>
      <c r="F2163" s="25" t="s">
        <v>344</v>
      </c>
      <c r="G2163" s="24"/>
      <c r="H2163" s="25" t="s">
        <v>357</v>
      </c>
      <c r="I2163" s="27"/>
      <c r="J2163" s="28" t="s">
        <v>305</v>
      </c>
      <c r="K2163" s="27"/>
      <c r="L2163" s="25" t="s">
        <v>380</v>
      </c>
      <c r="M2163" s="25" t="s">
        <v>355</v>
      </c>
      <c r="N2163" s="25">
        <v>1</v>
      </c>
      <c r="O2163" s="25"/>
      <c r="P2163" s="25">
        <v>80</v>
      </c>
      <c r="Q2163" s="25">
        <v>100</v>
      </c>
      <c r="R2163" s="25"/>
      <c r="S2163" s="25">
        <v>20</v>
      </c>
      <c r="T2163" s="25"/>
      <c r="U2163" s="25">
        <v>200</v>
      </c>
      <c r="V2163" s="25"/>
      <c r="W2163" s="33" t="s">
        <v>334</v>
      </c>
      <c r="X2163" s="33"/>
      <c r="Y2163" s="33"/>
      <c r="Z2163" s="33"/>
      <c r="AA2163" s="33"/>
    </row>
    <row r="2164" spans="1:27" s="70" customFormat="1" ht="135" x14ac:dyDescent="0.2">
      <c r="A2164" s="24">
        <v>2160</v>
      </c>
      <c r="B2164" s="24" t="s">
        <v>223</v>
      </c>
      <c r="C2164" s="25" t="s">
        <v>222</v>
      </c>
      <c r="D2164" s="26" t="s">
        <v>348</v>
      </c>
      <c r="E2164" s="25" t="s">
        <v>347</v>
      </c>
      <c r="F2164" s="25" t="s">
        <v>344</v>
      </c>
      <c r="G2164" s="24"/>
      <c r="H2164" s="25" t="s">
        <v>357</v>
      </c>
      <c r="I2164" s="27"/>
      <c r="J2164" s="28" t="s">
        <v>298</v>
      </c>
      <c r="K2164" s="27"/>
      <c r="L2164" s="25"/>
      <c r="M2164" s="25"/>
      <c r="N2164" s="25"/>
      <c r="O2164" s="25"/>
      <c r="P2164" s="25"/>
      <c r="Q2164" s="25"/>
      <c r="R2164" s="25"/>
      <c r="S2164" s="25"/>
      <c r="T2164" s="25"/>
      <c r="U2164" s="25"/>
      <c r="V2164" s="25"/>
      <c r="W2164" s="33"/>
      <c r="X2164" s="33"/>
      <c r="Y2164" s="33"/>
      <c r="Z2164" s="33"/>
      <c r="AA2164" s="33"/>
    </row>
    <row r="2165" spans="1:27" s="70" customFormat="1" ht="135" x14ac:dyDescent="0.2">
      <c r="A2165" s="24">
        <v>2161</v>
      </c>
      <c r="B2165" s="24" t="s">
        <v>223</v>
      </c>
      <c r="C2165" s="25" t="s">
        <v>222</v>
      </c>
      <c r="D2165" s="26" t="s">
        <v>348</v>
      </c>
      <c r="E2165" s="25" t="s">
        <v>347</v>
      </c>
      <c r="F2165" s="25" t="s">
        <v>344</v>
      </c>
      <c r="G2165" s="24"/>
      <c r="H2165" s="25" t="s">
        <v>357</v>
      </c>
      <c r="I2165" s="27"/>
      <c r="J2165" s="28" t="s">
        <v>295</v>
      </c>
      <c r="K2165" s="27"/>
      <c r="L2165" s="25"/>
      <c r="M2165" s="25"/>
      <c r="N2165" s="25"/>
      <c r="O2165" s="25"/>
      <c r="P2165" s="25"/>
      <c r="Q2165" s="25"/>
      <c r="R2165" s="25"/>
      <c r="S2165" s="25"/>
      <c r="T2165" s="25"/>
      <c r="U2165" s="25"/>
      <c r="V2165" s="25"/>
      <c r="W2165" s="33"/>
      <c r="X2165" s="33"/>
      <c r="Y2165" s="33"/>
      <c r="Z2165" s="33"/>
      <c r="AA2165" s="33"/>
    </row>
    <row r="2166" spans="1:27" s="70" customFormat="1" ht="135" x14ac:dyDescent="0.2">
      <c r="A2166" s="24">
        <v>2162</v>
      </c>
      <c r="B2166" s="24" t="s">
        <v>223</v>
      </c>
      <c r="C2166" s="25" t="s">
        <v>222</v>
      </c>
      <c r="D2166" s="26" t="s">
        <v>348</v>
      </c>
      <c r="E2166" s="25" t="s">
        <v>347</v>
      </c>
      <c r="F2166" s="25" t="s">
        <v>344</v>
      </c>
      <c r="G2166" s="24"/>
      <c r="H2166" s="25" t="s">
        <v>357</v>
      </c>
      <c r="I2166" s="27"/>
      <c r="J2166" s="28" t="s">
        <v>273</v>
      </c>
      <c r="K2166" s="27"/>
      <c r="L2166" s="25"/>
      <c r="M2166" s="25"/>
      <c r="N2166" s="25"/>
      <c r="O2166" s="25"/>
      <c r="P2166" s="25"/>
      <c r="Q2166" s="25"/>
      <c r="R2166" s="25"/>
      <c r="S2166" s="25"/>
      <c r="T2166" s="25"/>
      <c r="U2166" s="25"/>
      <c r="V2166" s="25"/>
      <c r="W2166" s="33"/>
      <c r="X2166" s="33"/>
      <c r="Y2166" s="33"/>
      <c r="Z2166" s="33"/>
      <c r="AA2166" s="33"/>
    </row>
    <row r="2167" spans="1:27" s="70" customFormat="1" ht="135" x14ac:dyDescent="0.2">
      <c r="A2167" s="24">
        <v>2163</v>
      </c>
      <c r="B2167" s="24" t="s">
        <v>223</v>
      </c>
      <c r="C2167" s="25" t="s">
        <v>222</v>
      </c>
      <c r="D2167" s="26" t="s">
        <v>348</v>
      </c>
      <c r="E2167" s="25" t="s">
        <v>347</v>
      </c>
      <c r="F2167" s="25" t="s">
        <v>344</v>
      </c>
      <c r="G2167" s="24"/>
      <c r="H2167" s="25" t="s">
        <v>357</v>
      </c>
      <c r="I2167" s="27"/>
      <c r="J2167" s="28" t="s">
        <v>269</v>
      </c>
      <c r="K2167" s="27"/>
      <c r="L2167" s="25" t="s">
        <v>379</v>
      </c>
      <c r="M2167" s="25" t="s">
        <v>378</v>
      </c>
      <c r="N2167" s="25">
        <v>14</v>
      </c>
      <c r="O2167" s="25"/>
      <c r="P2167" s="25"/>
      <c r="Q2167" s="25">
        <v>100</v>
      </c>
      <c r="R2167" s="25"/>
      <c r="S2167" s="25">
        <v>10</v>
      </c>
      <c r="T2167" s="25"/>
      <c r="U2167" s="25">
        <v>110</v>
      </c>
      <c r="V2167" s="25"/>
      <c r="W2167" s="33" t="s">
        <v>375</v>
      </c>
      <c r="X2167" s="33"/>
      <c r="Y2167" s="33"/>
      <c r="Z2167" s="33"/>
      <c r="AA2167" s="33"/>
    </row>
    <row r="2168" spans="1:27" s="70" customFormat="1" ht="135" x14ac:dyDescent="0.2">
      <c r="A2168" s="24">
        <v>2164</v>
      </c>
      <c r="B2168" s="24" t="s">
        <v>223</v>
      </c>
      <c r="C2168" s="25" t="s">
        <v>222</v>
      </c>
      <c r="D2168" s="26" t="s">
        <v>348</v>
      </c>
      <c r="E2168" s="25" t="s">
        <v>347</v>
      </c>
      <c r="F2168" s="25" t="s">
        <v>344</v>
      </c>
      <c r="G2168" s="24"/>
      <c r="H2168" s="25" t="s">
        <v>357</v>
      </c>
      <c r="I2168" s="27"/>
      <c r="J2168" s="28" t="s">
        <v>269</v>
      </c>
      <c r="K2168" s="27"/>
      <c r="L2168" s="25" t="s">
        <v>377</v>
      </c>
      <c r="M2168" s="25" t="s">
        <v>280</v>
      </c>
      <c r="N2168" s="25">
        <v>30</v>
      </c>
      <c r="O2168" s="25"/>
      <c r="P2168" s="25"/>
      <c r="Q2168" s="25">
        <v>20</v>
      </c>
      <c r="R2168" s="25"/>
      <c r="S2168" s="25">
        <v>1</v>
      </c>
      <c r="T2168" s="25"/>
      <c r="U2168" s="25">
        <v>21</v>
      </c>
      <c r="V2168" s="25"/>
      <c r="W2168" s="33" t="s">
        <v>375</v>
      </c>
      <c r="X2168" s="33"/>
      <c r="Y2168" s="33"/>
      <c r="Z2168" s="33"/>
      <c r="AA2168" s="33"/>
    </row>
    <row r="2169" spans="1:27" s="70" customFormat="1" ht="135" x14ac:dyDescent="0.2">
      <c r="A2169" s="24">
        <v>2165</v>
      </c>
      <c r="B2169" s="24" t="s">
        <v>223</v>
      </c>
      <c r="C2169" s="25" t="s">
        <v>222</v>
      </c>
      <c r="D2169" s="26" t="s">
        <v>348</v>
      </c>
      <c r="E2169" s="25" t="s">
        <v>347</v>
      </c>
      <c r="F2169" s="25" t="s">
        <v>344</v>
      </c>
      <c r="G2169" s="24"/>
      <c r="H2169" s="25" t="s">
        <v>357</v>
      </c>
      <c r="I2169" s="27"/>
      <c r="J2169" s="28" t="s">
        <v>269</v>
      </c>
      <c r="K2169" s="27"/>
      <c r="L2169" s="25" t="s">
        <v>376</v>
      </c>
      <c r="M2169" s="25" t="s">
        <v>280</v>
      </c>
      <c r="N2169" s="25">
        <v>30</v>
      </c>
      <c r="O2169" s="25"/>
      <c r="P2169" s="25"/>
      <c r="Q2169" s="25">
        <v>4</v>
      </c>
      <c r="R2169" s="25"/>
      <c r="S2169" s="25">
        <v>0.5</v>
      </c>
      <c r="T2169" s="25"/>
      <c r="U2169" s="25">
        <v>4.5</v>
      </c>
      <c r="V2169" s="25"/>
      <c r="W2169" s="33" t="s">
        <v>375</v>
      </c>
      <c r="X2169" s="33"/>
      <c r="Y2169" s="33"/>
      <c r="Z2169" s="33"/>
      <c r="AA2169" s="33"/>
    </row>
    <row r="2170" spans="1:27" s="70" customFormat="1" ht="135" x14ac:dyDescent="0.2">
      <c r="A2170" s="24">
        <v>2166</v>
      </c>
      <c r="B2170" s="24" t="s">
        <v>223</v>
      </c>
      <c r="C2170" s="25" t="s">
        <v>222</v>
      </c>
      <c r="D2170" s="26" t="s">
        <v>348</v>
      </c>
      <c r="E2170" s="25" t="s">
        <v>347</v>
      </c>
      <c r="F2170" s="25" t="s">
        <v>344</v>
      </c>
      <c r="G2170" s="24"/>
      <c r="H2170" s="25" t="s">
        <v>357</v>
      </c>
      <c r="I2170" s="27"/>
      <c r="J2170" s="28" t="s">
        <v>269</v>
      </c>
      <c r="K2170" s="27"/>
      <c r="L2170" s="25" t="s">
        <v>374</v>
      </c>
      <c r="M2170" s="25" t="s">
        <v>372</v>
      </c>
      <c r="N2170" s="25">
        <v>10</v>
      </c>
      <c r="O2170" s="25"/>
      <c r="P2170" s="25"/>
      <c r="Q2170" s="25">
        <v>6</v>
      </c>
      <c r="R2170" s="25"/>
      <c r="S2170" s="25">
        <v>0.5</v>
      </c>
      <c r="T2170" s="25"/>
      <c r="U2170" s="25">
        <v>6.5</v>
      </c>
      <c r="V2170" s="25"/>
      <c r="W2170" s="33" t="s">
        <v>22</v>
      </c>
      <c r="X2170" s="33"/>
      <c r="Y2170" s="33"/>
      <c r="Z2170" s="33"/>
      <c r="AA2170" s="33"/>
    </row>
    <row r="2171" spans="1:27" s="70" customFormat="1" ht="135" x14ac:dyDescent="0.2">
      <c r="A2171" s="24">
        <v>2167</v>
      </c>
      <c r="B2171" s="24" t="s">
        <v>223</v>
      </c>
      <c r="C2171" s="25" t="s">
        <v>222</v>
      </c>
      <c r="D2171" s="26" t="s">
        <v>348</v>
      </c>
      <c r="E2171" s="25" t="s">
        <v>347</v>
      </c>
      <c r="F2171" s="25" t="s">
        <v>344</v>
      </c>
      <c r="G2171" s="24"/>
      <c r="H2171" s="25" t="s">
        <v>357</v>
      </c>
      <c r="I2171" s="27"/>
      <c r="J2171" s="28" t="s">
        <v>269</v>
      </c>
      <c r="K2171" s="27"/>
      <c r="L2171" s="25" t="s">
        <v>373</v>
      </c>
      <c r="M2171" s="25" t="s">
        <v>372</v>
      </c>
      <c r="N2171" s="25">
        <v>6</v>
      </c>
      <c r="O2171" s="25"/>
      <c r="P2171" s="25"/>
      <c r="Q2171" s="25">
        <v>6</v>
      </c>
      <c r="R2171" s="25"/>
      <c r="S2171" s="25">
        <v>0.5</v>
      </c>
      <c r="T2171" s="25"/>
      <c r="U2171" s="25">
        <v>6.5</v>
      </c>
      <c r="V2171" s="25"/>
      <c r="W2171" s="33" t="s">
        <v>334</v>
      </c>
      <c r="X2171" s="33"/>
      <c r="Y2171" s="33"/>
      <c r="Z2171" s="33" t="s">
        <v>371</v>
      </c>
      <c r="AA2171" s="33"/>
    </row>
    <row r="2172" spans="1:27" s="70" customFormat="1" ht="135" x14ac:dyDescent="0.2">
      <c r="A2172" s="24">
        <v>2168</v>
      </c>
      <c r="B2172" s="24" t="s">
        <v>223</v>
      </c>
      <c r="C2172" s="25" t="s">
        <v>222</v>
      </c>
      <c r="D2172" s="26" t="s">
        <v>348</v>
      </c>
      <c r="E2172" s="25" t="s">
        <v>347</v>
      </c>
      <c r="F2172" s="25" t="s">
        <v>344</v>
      </c>
      <c r="G2172" s="24"/>
      <c r="H2172" s="25" t="s">
        <v>357</v>
      </c>
      <c r="I2172" s="27"/>
      <c r="J2172" s="28" t="s">
        <v>269</v>
      </c>
      <c r="K2172" s="27"/>
      <c r="L2172" s="25" t="s">
        <v>370</v>
      </c>
      <c r="M2172" s="25" t="s">
        <v>280</v>
      </c>
      <c r="N2172" s="25">
        <v>108</v>
      </c>
      <c r="O2172" s="25">
        <v>1</v>
      </c>
      <c r="P2172" s="25">
        <v>1</v>
      </c>
      <c r="Q2172" s="25">
        <v>2</v>
      </c>
      <c r="R2172" s="25"/>
      <c r="S2172" s="25">
        <v>0.2</v>
      </c>
      <c r="T2172" s="25"/>
      <c r="U2172" s="25">
        <v>4.2</v>
      </c>
      <c r="V2172" s="25"/>
      <c r="W2172" s="33" t="s">
        <v>22</v>
      </c>
      <c r="X2172" s="33"/>
      <c r="Y2172" s="33"/>
      <c r="Z2172" s="33"/>
      <c r="AA2172" s="33"/>
    </row>
    <row r="2173" spans="1:27" s="70" customFormat="1" ht="135" x14ac:dyDescent="0.2">
      <c r="A2173" s="24">
        <v>2169</v>
      </c>
      <c r="B2173" s="24" t="s">
        <v>223</v>
      </c>
      <c r="C2173" s="25" t="s">
        <v>222</v>
      </c>
      <c r="D2173" s="26" t="s">
        <v>348</v>
      </c>
      <c r="E2173" s="25" t="s">
        <v>347</v>
      </c>
      <c r="F2173" s="25" t="s">
        <v>344</v>
      </c>
      <c r="G2173" s="24"/>
      <c r="H2173" s="25" t="s">
        <v>357</v>
      </c>
      <c r="I2173" s="27"/>
      <c r="J2173" s="28" t="s">
        <v>269</v>
      </c>
      <c r="K2173" s="27"/>
      <c r="L2173" s="25" t="s">
        <v>369</v>
      </c>
      <c r="M2173" s="25" t="s">
        <v>280</v>
      </c>
      <c r="N2173" s="25">
        <v>7</v>
      </c>
      <c r="O2173" s="25"/>
      <c r="P2173" s="25"/>
      <c r="Q2173" s="25">
        <v>40</v>
      </c>
      <c r="R2173" s="25"/>
      <c r="S2173" s="25">
        <v>2</v>
      </c>
      <c r="T2173" s="25"/>
      <c r="U2173" s="25">
        <v>42</v>
      </c>
      <c r="V2173" s="25"/>
      <c r="W2173" s="33" t="s">
        <v>22</v>
      </c>
      <c r="X2173" s="33"/>
      <c r="Y2173" s="33"/>
      <c r="Z2173" s="33"/>
      <c r="AA2173" s="33"/>
    </row>
    <row r="2174" spans="1:27" s="70" customFormat="1" ht="135" x14ac:dyDescent="0.2">
      <c r="A2174" s="24">
        <v>2170</v>
      </c>
      <c r="B2174" s="24" t="s">
        <v>223</v>
      </c>
      <c r="C2174" s="25" t="s">
        <v>222</v>
      </c>
      <c r="D2174" s="26" t="s">
        <v>348</v>
      </c>
      <c r="E2174" s="25" t="s">
        <v>347</v>
      </c>
      <c r="F2174" s="25" t="s">
        <v>344</v>
      </c>
      <c r="G2174" s="24"/>
      <c r="H2174" s="25" t="s">
        <v>357</v>
      </c>
      <c r="I2174" s="27"/>
      <c r="J2174" s="28" t="s">
        <v>269</v>
      </c>
      <c r="K2174" s="27"/>
      <c r="L2174" s="25" t="s">
        <v>368</v>
      </c>
      <c r="M2174" s="25" t="s">
        <v>280</v>
      </c>
      <c r="N2174" s="25">
        <v>7</v>
      </c>
      <c r="O2174" s="25"/>
      <c r="P2174" s="25"/>
      <c r="Q2174" s="25">
        <v>100</v>
      </c>
      <c r="R2174" s="25"/>
      <c r="S2174" s="25">
        <v>10</v>
      </c>
      <c r="T2174" s="25"/>
      <c r="U2174" s="25">
        <v>110</v>
      </c>
      <c r="V2174" s="25"/>
      <c r="W2174" s="33" t="s">
        <v>22</v>
      </c>
      <c r="X2174" s="33"/>
      <c r="Y2174" s="33"/>
      <c r="Z2174" s="33"/>
      <c r="AA2174" s="33"/>
    </row>
    <row r="2175" spans="1:27" s="70" customFormat="1" ht="135" x14ac:dyDescent="0.2">
      <c r="A2175" s="24">
        <v>2171</v>
      </c>
      <c r="B2175" s="24" t="s">
        <v>223</v>
      </c>
      <c r="C2175" s="25" t="s">
        <v>222</v>
      </c>
      <c r="D2175" s="26" t="s">
        <v>348</v>
      </c>
      <c r="E2175" s="25" t="s">
        <v>347</v>
      </c>
      <c r="F2175" s="25" t="s">
        <v>344</v>
      </c>
      <c r="G2175" s="24"/>
      <c r="H2175" s="25" t="s">
        <v>357</v>
      </c>
      <c r="I2175" s="27"/>
      <c r="J2175" s="28" t="s">
        <v>269</v>
      </c>
      <c r="K2175" s="27"/>
      <c r="L2175" s="25" t="s">
        <v>367</v>
      </c>
      <c r="M2175" s="25" t="s">
        <v>280</v>
      </c>
      <c r="N2175" s="25">
        <v>7</v>
      </c>
      <c r="O2175" s="25"/>
      <c r="P2175" s="25"/>
      <c r="Q2175" s="25">
        <v>30</v>
      </c>
      <c r="R2175" s="25"/>
      <c r="S2175" s="25">
        <v>4</v>
      </c>
      <c r="T2175" s="25"/>
      <c r="U2175" s="25">
        <v>34</v>
      </c>
      <c r="V2175" s="25"/>
      <c r="W2175" s="33" t="s">
        <v>22</v>
      </c>
      <c r="X2175" s="33"/>
      <c r="Y2175" s="33"/>
      <c r="Z2175" s="33"/>
      <c r="AA2175" s="33"/>
    </row>
    <row r="2176" spans="1:27" s="70" customFormat="1" ht="135" x14ac:dyDescent="0.2">
      <c r="A2176" s="24">
        <v>2172</v>
      </c>
      <c r="B2176" s="24" t="s">
        <v>223</v>
      </c>
      <c r="C2176" s="25" t="s">
        <v>222</v>
      </c>
      <c r="D2176" s="26" t="s">
        <v>348</v>
      </c>
      <c r="E2176" s="25" t="s">
        <v>347</v>
      </c>
      <c r="F2176" s="25" t="s">
        <v>344</v>
      </c>
      <c r="G2176" s="24"/>
      <c r="H2176" s="25" t="s">
        <v>357</v>
      </c>
      <c r="I2176" s="27"/>
      <c r="J2176" s="28" t="s">
        <v>269</v>
      </c>
      <c r="K2176" s="27"/>
      <c r="L2176" s="25" t="s">
        <v>366</v>
      </c>
      <c r="M2176" s="25" t="s">
        <v>280</v>
      </c>
      <c r="N2176" s="25">
        <v>1</v>
      </c>
      <c r="O2176" s="25"/>
      <c r="P2176" s="25"/>
      <c r="Q2176" s="25">
        <v>100</v>
      </c>
      <c r="R2176" s="25"/>
      <c r="S2176" s="25">
        <v>10</v>
      </c>
      <c r="T2176" s="25"/>
      <c r="U2176" s="25">
        <v>110</v>
      </c>
      <c r="V2176" s="25"/>
      <c r="W2176" s="33" t="s">
        <v>365</v>
      </c>
      <c r="X2176" s="33"/>
      <c r="Y2176" s="33"/>
      <c r="Z2176" s="33"/>
      <c r="AA2176" s="33"/>
    </row>
    <row r="2177" spans="1:27" s="70" customFormat="1" ht="135" x14ac:dyDescent="0.2">
      <c r="A2177" s="24">
        <v>2173</v>
      </c>
      <c r="B2177" s="24" t="s">
        <v>223</v>
      </c>
      <c r="C2177" s="25" t="s">
        <v>222</v>
      </c>
      <c r="D2177" s="26" t="s">
        <v>348</v>
      </c>
      <c r="E2177" s="25" t="s">
        <v>347</v>
      </c>
      <c r="F2177" s="25" t="s">
        <v>344</v>
      </c>
      <c r="G2177" s="24"/>
      <c r="H2177" s="25" t="s">
        <v>357</v>
      </c>
      <c r="I2177" s="27"/>
      <c r="J2177" s="28" t="s">
        <v>269</v>
      </c>
      <c r="K2177" s="27"/>
      <c r="L2177" s="25" t="s">
        <v>364</v>
      </c>
      <c r="M2177" s="25" t="s">
        <v>363</v>
      </c>
      <c r="N2177" s="25">
        <v>1</v>
      </c>
      <c r="O2177" s="25"/>
      <c r="P2177" s="25"/>
      <c r="Q2177" s="25">
        <v>60</v>
      </c>
      <c r="R2177" s="25"/>
      <c r="S2177" s="25">
        <v>15</v>
      </c>
      <c r="T2177" s="25"/>
      <c r="U2177" s="25">
        <v>75</v>
      </c>
      <c r="V2177" s="25"/>
      <c r="W2177" s="33" t="s">
        <v>22</v>
      </c>
      <c r="X2177" s="33"/>
      <c r="Y2177" s="33"/>
      <c r="Z2177" s="33"/>
      <c r="AA2177" s="33"/>
    </row>
    <row r="2178" spans="1:27" s="70" customFormat="1" ht="135" x14ac:dyDescent="0.2">
      <c r="A2178" s="24">
        <v>2174</v>
      </c>
      <c r="B2178" s="24" t="s">
        <v>223</v>
      </c>
      <c r="C2178" s="25" t="s">
        <v>222</v>
      </c>
      <c r="D2178" s="26" t="s">
        <v>348</v>
      </c>
      <c r="E2178" s="25" t="s">
        <v>347</v>
      </c>
      <c r="F2178" s="25" t="s">
        <v>344</v>
      </c>
      <c r="G2178" s="24"/>
      <c r="H2178" s="25" t="s">
        <v>357</v>
      </c>
      <c r="I2178" s="27"/>
      <c r="J2178" s="28" t="s">
        <v>362</v>
      </c>
      <c r="K2178" s="27"/>
      <c r="L2178" s="25"/>
      <c r="M2178" s="25"/>
      <c r="N2178" s="25"/>
      <c r="O2178" s="25"/>
      <c r="P2178" s="25"/>
      <c r="Q2178" s="25"/>
      <c r="R2178" s="25"/>
      <c r="S2178" s="25"/>
      <c r="T2178" s="25"/>
      <c r="U2178" s="25"/>
      <c r="V2178" s="25"/>
      <c r="W2178" s="33"/>
      <c r="X2178" s="33"/>
      <c r="Y2178" s="33"/>
      <c r="Z2178" s="33"/>
      <c r="AA2178" s="33"/>
    </row>
    <row r="2179" spans="1:27" s="70" customFormat="1" ht="135" x14ac:dyDescent="0.2">
      <c r="A2179" s="24">
        <v>2175</v>
      </c>
      <c r="B2179" s="24" t="s">
        <v>223</v>
      </c>
      <c r="C2179" s="25" t="s">
        <v>222</v>
      </c>
      <c r="D2179" s="26" t="s">
        <v>348</v>
      </c>
      <c r="E2179" s="25" t="s">
        <v>347</v>
      </c>
      <c r="F2179" s="25" t="s">
        <v>344</v>
      </c>
      <c r="G2179" s="24"/>
      <c r="H2179" s="25" t="s">
        <v>357</v>
      </c>
      <c r="I2179" s="27"/>
      <c r="J2179" s="28" t="s">
        <v>359</v>
      </c>
      <c r="K2179" s="27"/>
      <c r="L2179" s="25" t="s">
        <v>361</v>
      </c>
      <c r="M2179" s="25" t="s">
        <v>360</v>
      </c>
      <c r="N2179" s="25">
        <v>50</v>
      </c>
      <c r="O2179" s="25"/>
      <c r="P2179" s="25"/>
      <c r="Q2179" s="25">
        <v>0.5</v>
      </c>
      <c r="R2179" s="25"/>
      <c r="S2179" s="25">
        <v>0.1</v>
      </c>
      <c r="T2179" s="25"/>
      <c r="U2179" s="25">
        <v>0.6</v>
      </c>
      <c r="V2179" s="25"/>
      <c r="W2179" s="33" t="s">
        <v>22</v>
      </c>
      <c r="X2179" s="33"/>
      <c r="Y2179" s="33"/>
      <c r="Z2179" s="33"/>
      <c r="AA2179" s="33"/>
    </row>
    <row r="2180" spans="1:27" s="70" customFormat="1" ht="135" x14ac:dyDescent="0.2">
      <c r="A2180" s="24">
        <v>2176</v>
      </c>
      <c r="B2180" s="24" t="s">
        <v>223</v>
      </c>
      <c r="C2180" s="25" t="s">
        <v>222</v>
      </c>
      <c r="D2180" s="26" t="s">
        <v>348</v>
      </c>
      <c r="E2180" s="25" t="s">
        <v>347</v>
      </c>
      <c r="F2180" s="25" t="s">
        <v>344</v>
      </c>
      <c r="G2180" s="24"/>
      <c r="H2180" s="25" t="s">
        <v>357</v>
      </c>
      <c r="I2180" s="27"/>
      <c r="J2180" s="28" t="s">
        <v>359</v>
      </c>
      <c r="K2180" s="27"/>
      <c r="L2180" s="25" t="s">
        <v>358</v>
      </c>
      <c r="M2180" s="25" t="s">
        <v>190</v>
      </c>
      <c r="N2180" s="25">
        <v>1</v>
      </c>
      <c r="O2180" s="25"/>
      <c r="P2180" s="25"/>
      <c r="Q2180" s="25">
        <v>12</v>
      </c>
      <c r="R2180" s="25"/>
      <c r="S2180" s="25">
        <v>2</v>
      </c>
      <c r="T2180" s="25"/>
      <c r="U2180" s="25">
        <v>14</v>
      </c>
      <c r="V2180" s="25"/>
      <c r="W2180" s="33" t="s">
        <v>22</v>
      </c>
      <c r="X2180" s="33"/>
      <c r="Y2180" s="33"/>
      <c r="Z2180" s="33" t="s">
        <v>353</v>
      </c>
      <c r="AA2180" s="33"/>
    </row>
    <row r="2181" spans="1:27" s="70" customFormat="1" ht="135" x14ac:dyDescent="0.2">
      <c r="A2181" s="24">
        <v>2177</v>
      </c>
      <c r="B2181" s="24" t="s">
        <v>223</v>
      </c>
      <c r="C2181" s="25" t="s">
        <v>222</v>
      </c>
      <c r="D2181" s="26" t="s">
        <v>348</v>
      </c>
      <c r="E2181" s="25" t="s">
        <v>347</v>
      </c>
      <c r="F2181" s="25" t="s">
        <v>344</v>
      </c>
      <c r="G2181" s="24"/>
      <c r="H2181" s="25" t="s">
        <v>357</v>
      </c>
      <c r="I2181" s="27"/>
      <c r="J2181" s="28" t="s">
        <v>263</v>
      </c>
      <c r="K2181" s="27"/>
      <c r="L2181" s="25"/>
      <c r="M2181" s="25"/>
      <c r="N2181" s="25"/>
      <c r="O2181" s="25"/>
      <c r="P2181" s="25"/>
      <c r="Q2181" s="25"/>
      <c r="R2181" s="25"/>
      <c r="S2181" s="25"/>
      <c r="T2181" s="25"/>
      <c r="U2181" s="25"/>
      <c r="V2181" s="25"/>
      <c r="W2181" s="33"/>
      <c r="X2181" s="33"/>
      <c r="Y2181" s="33"/>
      <c r="Z2181" s="33"/>
      <c r="AA2181" s="33"/>
    </row>
    <row r="2182" spans="1:27" s="70" customFormat="1" ht="56.25" x14ac:dyDescent="0.2">
      <c r="A2182" s="24">
        <v>2178</v>
      </c>
      <c r="B2182" s="24" t="s">
        <v>223</v>
      </c>
      <c r="C2182" s="25" t="s">
        <v>222</v>
      </c>
      <c r="D2182" s="26" t="s">
        <v>348</v>
      </c>
      <c r="E2182" s="25" t="s">
        <v>347</v>
      </c>
      <c r="F2182" s="25" t="s">
        <v>344</v>
      </c>
      <c r="G2182" s="24"/>
      <c r="H2182" s="25" t="s">
        <v>346</v>
      </c>
      <c r="I2182" s="27"/>
      <c r="J2182" s="25" t="s">
        <v>346</v>
      </c>
      <c r="K2182" s="27"/>
      <c r="L2182" s="25" t="s">
        <v>356</v>
      </c>
      <c r="M2182" s="25" t="s">
        <v>355</v>
      </c>
      <c r="N2182" s="25">
        <v>1</v>
      </c>
      <c r="O2182" s="25"/>
      <c r="P2182" s="25"/>
      <c r="Q2182" s="25">
        <v>100</v>
      </c>
      <c r="R2182" s="25"/>
      <c r="S2182" s="25">
        <v>20</v>
      </c>
      <c r="T2182" s="25"/>
      <c r="U2182" s="25">
        <v>120</v>
      </c>
      <c r="V2182" s="25"/>
      <c r="W2182" s="33" t="s">
        <v>354</v>
      </c>
      <c r="X2182" s="33"/>
      <c r="Y2182" s="33"/>
      <c r="Z2182" s="33" t="s">
        <v>353</v>
      </c>
      <c r="AA2182" s="33"/>
    </row>
    <row r="2183" spans="1:27" s="70" customFormat="1" ht="56.25" x14ac:dyDescent="0.2">
      <c r="A2183" s="24">
        <v>2179</v>
      </c>
      <c r="B2183" s="24" t="s">
        <v>223</v>
      </c>
      <c r="C2183" s="25" t="s">
        <v>222</v>
      </c>
      <c r="D2183" s="26" t="s">
        <v>348</v>
      </c>
      <c r="E2183" s="25" t="s">
        <v>347</v>
      </c>
      <c r="F2183" s="25" t="s">
        <v>344</v>
      </c>
      <c r="G2183" s="24"/>
      <c r="H2183" s="25" t="s">
        <v>346</v>
      </c>
      <c r="I2183" s="27"/>
      <c r="J2183" s="25" t="s">
        <v>346</v>
      </c>
      <c r="K2183" s="27"/>
      <c r="L2183" s="25" t="s">
        <v>352</v>
      </c>
      <c r="M2183" s="25" t="s">
        <v>199</v>
      </c>
      <c r="N2183" s="25">
        <v>12</v>
      </c>
      <c r="O2183" s="25">
        <v>2</v>
      </c>
      <c r="P2183" s="25"/>
      <c r="Q2183" s="25"/>
      <c r="R2183" s="25"/>
      <c r="S2183" s="25">
        <v>0.1</v>
      </c>
      <c r="T2183" s="25"/>
      <c r="U2183" s="25">
        <v>2.1</v>
      </c>
      <c r="V2183" s="25"/>
      <c r="W2183" s="33" t="s">
        <v>22</v>
      </c>
      <c r="X2183" s="33"/>
      <c r="Y2183" s="33"/>
      <c r="Z2183" s="33"/>
      <c r="AA2183" s="33"/>
    </row>
    <row r="2184" spans="1:27" s="70" customFormat="1" ht="56.25" x14ac:dyDescent="0.2">
      <c r="A2184" s="24">
        <v>2180</v>
      </c>
      <c r="B2184" s="24" t="s">
        <v>223</v>
      </c>
      <c r="C2184" s="25" t="s">
        <v>222</v>
      </c>
      <c r="D2184" s="26" t="s">
        <v>348</v>
      </c>
      <c r="E2184" s="25" t="s">
        <v>347</v>
      </c>
      <c r="F2184" s="25" t="s">
        <v>344</v>
      </c>
      <c r="G2184" s="24"/>
      <c r="H2184" s="25" t="s">
        <v>346</v>
      </c>
      <c r="I2184" s="27"/>
      <c r="J2184" s="25" t="s">
        <v>346</v>
      </c>
      <c r="K2184" s="27"/>
      <c r="L2184" s="25" t="s">
        <v>351</v>
      </c>
      <c r="M2184" s="25" t="s">
        <v>199</v>
      </c>
      <c r="N2184" s="25">
        <v>350</v>
      </c>
      <c r="O2184" s="25">
        <v>0.2</v>
      </c>
      <c r="P2184" s="25"/>
      <c r="Q2184" s="25"/>
      <c r="R2184" s="25"/>
      <c r="S2184" s="25"/>
      <c r="T2184" s="25"/>
      <c r="U2184" s="25">
        <v>0.2</v>
      </c>
      <c r="V2184" s="25"/>
      <c r="W2184" s="33" t="s">
        <v>350</v>
      </c>
      <c r="X2184" s="33"/>
      <c r="Y2184" s="33"/>
      <c r="Z2184" s="33" t="s">
        <v>349</v>
      </c>
      <c r="AA2184" s="33"/>
    </row>
    <row r="2185" spans="1:27" s="70" customFormat="1" ht="56.25" x14ac:dyDescent="0.2">
      <c r="A2185" s="24">
        <v>2181</v>
      </c>
      <c r="B2185" s="24" t="s">
        <v>223</v>
      </c>
      <c r="C2185" s="25" t="s">
        <v>222</v>
      </c>
      <c r="D2185" s="26" t="s">
        <v>348</v>
      </c>
      <c r="E2185" s="25" t="s">
        <v>347</v>
      </c>
      <c r="F2185" s="25" t="s">
        <v>344</v>
      </c>
      <c r="G2185" s="24"/>
      <c r="H2185" s="25" t="s">
        <v>346</v>
      </c>
      <c r="I2185" s="27"/>
      <c r="J2185" s="25" t="s">
        <v>346</v>
      </c>
      <c r="K2185" s="27"/>
      <c r="L2185" s="25" t="s">
        <v>345</v>
      </c>
      <c r="M2185" s="25" t="s">
        <v>199</v>
      </c>
      <c r="N2185" s="25">
        <v>12</v>
      </c>
      <c r="O2185" s="25">
        <v>0.5</v>
      </c>
      <c r="P2185" s="25"/>
      <c r="Q2185" s="25"/>
      <c r="R2185" s="25"/>
      <c r="S2185" s="25">
        <v>0.1</v>
      </c>
      <c r="T2185" s="25"/>
      <c r="U2185" s="25">
        <v>0.6</v>
      </c>
      <c r="V2185" s="25"/>
      <c r="W2185" s="33" t="s">
        <v>344</v>
      </c>
      <c r="X2185" s="33" t="s">
        <v>343</v>
      </c>
      <c r="Y2185" s="33" t="s">
        <v>342</v>
      </c>
      <c r="Z2185" s="33"/>
      <c r="AA2185" s="33"/>
    </row>
    <row r="2186" spans="1:27" s="70" customFormat="1" ht="135" x14ac:dyDescent="0.2">
      <c r="A2186" s="24">
        <v>2182</v>
      </c>
      <c r="B2186" s="24" t="s">
        <v>223</v>
      </c>
      <c r="C2186" s="25" t="s">
        <v>222</v>
      </c>
      <c r="D2186" s="26" t="s">
        <v>240</v>
      </c>
      <c r="E2186" s="25" t="s">
        <v>239</v>
      </c>
      <c r="F2186" s="25" t="s">
        <v>238</v>
      </c>
      <c r="G2186" s="24"/>
      <c r="H2186" s="25" t="s">
        <v>264</v>
      </c>
      <c r="I2186" s="27"/>
      <c r="J2186" s="28" t="s">
        <v>326</v>
      </c>
      <c r="K2186" s="27"/>
      <c r="L2186" s="25" t="s">
        <v>341</v>
      </c>
      <c r="M2186" s="25" t="s">
        <v>190</v>
      </c>
      <c r="N2186" s="25">
        <v>12</v>
      </c>
      <c r="O2186" s="25">
        <v>6.5</v>
      </c>
      <c r="P2186" s="25"/>
      <c r="Q2186" s="25">
        <v>24</v>
      </c>
      <c r="R2186" s="25"/>
      <c r="S2186" s="25"/>
      <c r="T2186" s="25">
        <v>3</v>
      </c>
      <c r="U2186" s="25">
        <v>33.5</v>
      </c>
      <c r="V2186" s="25"/>
      <c r="W2186" s="33" t="s">
        <v>22</v>
      </c>
      <c r="X2186" s="33"/>
      <c r="Y2186" s="33"/>
      <c r="Z2186" s="33" t="s">
        <v>244</v>
      </c>
      <c r="AA2186" s="33"/>
    </row>
    <row r="2187" spans="1:27" s="70" customFormat="1" ht="135" x14ac:dyDescent="0.2">
      <c r="A2187" s="24">
        <v>2183</v>
      </c>
      <c r="B2187" s="24" t="s">
        <v>223</v>
      </c>
      <c r="C2187" s="25" t="s">
        <v>222</v>
      </c>
      <c r="D2187" s="26" t="s">
        <v>240</v>
      </c>
      <c r="E2187" s="25" t="s">
        <v>239</v>
      </c>
      <c r="F2187" s="25" t="s">
        <v>238</v>
      </c>
      <c r="G2187" s="24"/>
      <c r="H2187" s="25" t="s">
        <v>264</v>
      </c>
      <c r="I2187" s="27"/>
      <c r="J2187" s="28" t="s">
        <v>326</v>
      </c>
      <c r="K2187" s="27"/>
      <c r="L2187" s="25" t="s">
        <v>340</v>
      </c>
      <c r="M2187" s="25" t="s">
        <v>190</v>
      </c>
      <c r="N2187" s="25">
        <v>1</v>
      </c>
      <c r="O2187" s="25"/>
      <c r="P2187" s="25"/>
      <c r="Q2187" s="25">
        <v>64</v>
      </c>
      <c r="R2187" s="25"/>
      <c r="S2187" s="25"/>
      <c r="T2187" s="25">
        <v>32</v>
      </c>
      <c r="U2187" s="25">
        <v>96</v>
      </c>
      <c r="V2187" s="25"/>
      <c r="W2187" s="33" t="s">
        <v>22</v>
      </c>
      <c r="X2187" s="33"/>
      <c r="Y2187" s="33"/>
      <c r="Z2187" s="33" t="s">
        <v>244</v>
      </c>
      <c r="AA2187" s="33"/>
    </row>
    <row r="2188" spans="1:27" s="70" customFormat="1" ht="135" x14ac:dyDescent="0.2">
      <c r="A2188" s="24">
        <v>2184</v>
      </c>
      <c r="B2188" s="24" t="s">
        <v>223</v>
      </c>
      <c r="C2188" s="25" t="s">
        <v>222</v>
      </c>
      <c r="D2188" s="26" t="s">
        <v>240</v>
      </c>
      <c r="E2188" s="25" t="s">
        <v>239</v>
      </c>
      <c r="F2188" s="25" t="s">
        <v>238</v>
      </c>
      <c r="G2188" s="24"/>
      <c r="H2188" s="25" t="s">
        <v>264</v>
      </c>
      <c r="I2188" s="27"/>
      <c r="J2188" s="28" t="s">
        <v>326</v>
      </c>
      <c r="K2188" s="27"/>
      <c r="L2188" s="25" t="s">
        <v>339</v>
      </c>
      <c r="M2188" s="25" t="s">
        <v>190</v>
      </c>
      <c r="N2188" s="25">
        <v>12</v>
      </c>
      <c r="O2188" s="25">
        <v>40</v>
      </c>
      <c r="P2188" s="25">
        <v>8</v>
      </c>
      <c r="Q2188" s="25">
        <v>56</v>
      </c>
      <c r="R2188" s="25"/>
      <c r="S2188" s="25"/>
      <c r="T2188" s="25">
        <v>3</v>
      </c>
      <c r="U2188" s="25">
        <v>107</v>
      </c>
      <c r="V2188" s="25"/>
      <c r="W2188" s="33" t="s">
        <v>22</v>
      </c>
      <c r="X2188" s="33"/>
      <c r="Y2188" s="33"/>
      <c r="Z2188" s="33" t="s">
        <v>244</v>
      </c>
      <c r="AA2188" s="33"/>
    </row>
    <row r="2189" spans="1:27" s="70" customFormat="1" ht="135" x14ac:dyDescent="0.2">
      <c r="A2189" s="24">
        <v>2185</v>
      </c>
      <c r="B2189" s="24" t="s">
        <v>223</v>
      </c>
      <c r="C2189" s="25" t="s">
        <v>222</v>
      </c>
      <c r="D2189" s="26" t="s">
        <v>240</v>
      </c>
      <c r="E2189" s="25" t="s">
        <v>239</v>
      </c>
      <c r="F2189" s="25" t="s">
        <v>238</v>
      </c>
      <c r="G2189" s="24"/>
      <c r="H2189" s="25" t="s">
        <v>264</v>
      </c>
      <c r="I2189" s="27"/>
      <c r="J2189" s="28" t="s">
        <v>326</v>
      </c>
      <c r="K2189" s="27"/>
      <c r="L2189" s="25" t="s">
        <v>338</v>
      </c>
      <c r="M2189" s="25" t="s">
        <v>301</v>
      </c>
      <c r="N2189" s="25">
        <v>20</v>
      </c>
      <c r="O2189" s="25">
        <v>10</v>
      </c>
      <c r="P2189" s="25"/>
      <c r="Q2189" s="25">
        <v>4.75</v>
      </c>
      <c r="R2189" s="25"/>
      <c r="S2189" s="25"/>
      <c r="T2189" s="25">
        <v>2.375</v>
      </c>
      <c r="U2189" s="25">
        <v>17.13</v>
      </c>
      <c r="V2189" s="25"/>
      <c r="W2189" s="33" t="s">
        <v>334</v>
      </c>
      <c r="X2189" s="33"/>
      <c r="Y2189" s="33"/>
      <c r="Z2189" s="33" t="s">
        <v>333</v>
      </c>
      <c r="AA2189" s="33"/>
    </row>
    <row r="2190" spans="1:27" s="70" customFormat="1" ht="135" x14ac:dyDescent="0.2">
      <c r="A2190" s="24">
        <v>2186</v>
      </c>
      <c r="B2190" s="24" t="s">
        <v>223</v>
      </c>
      <c r="C2190" s="25" t="s">
        <v>222</v>
      </c>
      <c r="D2190" s="26" t="s">
        <v>240</v>
      </c>
      <c r="E2190" s="25" t="s">
        <v>239</v>
      </c>
      <c r="F2190" s="25" t="s">
        <v>238</v>
      </c>
      <c r="G2190" s="24"/>
      <c r="H2190" s="25" t="s">
        <v>264</v>
      </c>
      <c r="I2190" s="27"/>
      <c r="J2190" s="28" t="s">
        <v>326</v>
      </c>
      <c r="K2190" s="27"/>
      <c r="L2190" s="25" t="s">
        <v>337</v>
      </c>
      <c r="M2190" s="25" t="s">
        <v>301</v>
      </c>
      <c r="N2190" s="25">
        <v>111</v>
      </c>
      <c r="O2190" s="25">
        <v>12</v>
      </c>
      <c r="P2190" s="25"/>
      <c r="Q2190" s="25">
        <v>8</v>
      </c>
      <c r="R2190" s="25"/>
      <c r="S2190" s="25"/>
      <c r="T2190" s="25">
        <v>3</v>
      </c>
      <c r="U2190" s="25">
        <v>23</v>
      </c>
      <c r="V2190" s="25"/>
      <c r="W2190" s="33" t="s">
        <v>334</v>
      </c>
      <c r="X2190" s="33"/>
      <c r="Y2190" s="33"/>
      <c r="Z2190" s="33" t="s">
        <v>333</v>
      </c>
      <c r="AA2190" s="33"/>
    </row>
    <row r="2191" spans="1:27" s="70" customFormat="1" ht="135" x14ac:dyDescent="0.2">
      <c r="A2191" s="24">
        <v>2187</v>
      </c>
      <c r="B2191" s="24" t="s">
        <v>223</v>
      </c>
      <c r="C2191" s="25" t="s">
        <v>222</v>
      </c>
      <c r="D2191" s="26" t="s">
        <v>240</v>
      </c>
      <c r="E2191" s="25" t="s">
        <v>239</v>
      </c>
      <c r="F2191" s="25" t="s">
        <v>238</v>
      </c>
      <c r="G2191" s="24"/>
      <c r="H2191" s="25" t="s">
        <v>264</v>
      </c>
      <c r="I2191" s="27"/>
      <c r="J2191" s="28" t="s">
        <v>326</v>
      </c>
      <c r="K2191" s="27"/>
      <c r="L2191" s="25" t="s">
        <v>336</v>
      </c>
      <c r="M2191" s="25" t="s">
        <v>301</v>
      </c>
      <c r="N2191" s="25">
        <v>32</v>
      </c>
      <c r="O2191" s="25">
        <v>14</v>
      </c>
      <c r="P2191" s="25"/>
      <c r="Q2191" s="25">
        <v>9</v>
      </c>
      <c r="R2191" s="25"/>
      <c r="S2191" s="25"/>
      <c r="T2191" s="25">
        <v>3.5</v>
      </c>
      <c r="U2191" s="25">
        <v>26.5</v>
      </c>
      <c r="V2191" s="25"/>
      <c r="W2191" s="33" t="s">
        <v>334</v>
      </c>
      <c r="X2191" s="33"/>
      <c r="Y2191" s="33"/>
      <c r="Z2191" s="33" t="s">
        <v>333</v>
      </c>
      <c r="AA2191" s="33"/>
    </row>
    <row r="2192" spans="1:27" s="70" customFormat="1" ht="135" x14ac:dyDescent="0.2">
      <c r="A2192" s="24">
        <v>2188</v>
      </c>
      <c r="B2192" s="24" t="s">
        <v>223</v>
      </c>
      <c r="C2192" s="25" t="s">
        <v>222</v>
      </c>
      <c r="D2192" s="26" t="s">
        <v>240</v>
      </c>
      <c r="E2192" s="25" t="s">
        <v>239</v>
      </c>
      <c r="F2192" s="25" t="s">
        <v>238</v>
      </c>
      <c r="G2192" s="24"/>
      <c r="H2192" s="25" t="s">
        <v>264</v>
      </c>
      <c r="I2192" s="27"/>
      <c r="J2192" s="28" t="s">
        <v>326</v>
      </c>
      <c r="K2192" s="27"/>
      <c r="L2192" s="25" t="s">
        <v>335</v>
      </c>
      <c r="M2192" s="25" t="s">
        <v>301</v>
      </c>
      <c r="N2192" s="25">
        <v>10</v>
      </c>
      <c r="O2192" s="25">
        <v>16</v>
      </c>
      <c r="P2192" s="25"/>
      <c r="Q2192" s="25">
        <v>10</v>
      </c>
      <c r="R2192" s="25"/>
      <c r="S2192" s="25"/>
      <c r="T2192" s="25">
        <v>4</v>
      </c>
      <c r="U2192" s="25">
        <v>30</v>
      </c>
      <c r="V2192" s="25"/>
      <c r="W2192" s="33" t="s">
        <v>334</v>
      </c>
      <c r="X2192" s="33"/>
      <c r="Y2192" s="33"/>
      <c r="Z2192" s="33" t="s">
        <v>333</v>
      </c>
      <c r="AA2192" s="33"/>
    </row>
    <row r="2193" spans="1:27" s="70" customFormat="1" ht="135" x14ac:dyDescent="0.2">
      <c r="A2193" s="24">
        <v>2189</v>
      </c>
      <c r="B2193" s="24" t="s">
        <v>223</v>
      </c>
      <c r="C2193" s="25" t="s">
        <v>222</v>
      </c>
      <c r="D2193" s="26" t="s">
        <v>240</v>
      </c>
      <c r="E2193" s="25" t="s">
        <v>239</v>
      </c>
      <c r="F2193" s="25" t="s">
        <v>238</v>
      </c>
      <c r="G2193" s="24"/>
      <c r="H2193" s="25" t="s">
        <v>264</v>
      </c>
      <c r="I2193" s="27"/>
      <c r="J2193" s="28" t="s">
        <v>326</v>
      </c>
      <c r="K2193" s="27"/>
      <c r="L2193" s="25" t="s">
        <v>332</v>
      </c>
      <c r="M2193" s="25" t="s">
        <v>331</v>
      </c>
      <c r="N2193" s="25">
        <v>2</v>
      </c>
      <c r="O2193" s="25">
        <v>4</v>
      </c>
      <c r="P2193" s="25">
        <v>4</v>
      </c>
      <c r="Q2193" s="25">
        <v>16</v>
      </c>
      <c r="R2193" s="25"/>
      <c r="S2193" s="25"/>
      <c r="T2193" s="25">
        <v>4</v>
      </c>
      <c r="U2193" s="25">
        <v>28</v>
      </c>
      <c r="V2193" s="25"/>
      <c r="W2193" s="33" t="s">
        <v>22</v>
      </c>
      <c r="X2193" s="33"/>
      <c r="Y2193" s="33"/>
      <c r="Z2193" s="33"/>
      <c r="AA2193" s="33"/>
    </row>
    <row r="2194" spans="1:27" s="70" customFormat="1" ht="135" x14ac:dyDescent="0.2">
      <c r="A2194" s="24">
        <v>2190</v>
      </c>
      <c r="B2194" s="24" t="s">
        <v>223</v>
      </c>
      <c r="C2194" s="25" t="s">
        <v>222</v>
      </c>
      <c r="D2194" s="26" t="s">
        <v>240</v>
      </c>
      <c r="E2194" s="25" t="s">
        <v>239</v>
      </c>
      <c r="F2194" s="25" t="s">
        <v>238</v>
      </c>
      <c r="G2194" s="24"/>
      <c r="H2194" s="25" t="s">
        <v>264</v>
      </c>
      <c r="I2194" s="27"/>
      <c r="J2194" s="28" t="s">
        <v>326</v>
      </c>
      <c r="K2194" s="27"/>
      <c r="L2194" s="25" t="s">
        <v>330</v>
      </c>
      <c r="M2194" s="25" t="s">
        <v>329</v>
      </c>
      <c r="N2194" s="25">
        <v>1</v>
      </c>
      <c r="O2194" s="25">
        <v>32</v>
      </c>
      <c r="P2194" s="25">
        <v>32</v>
      </c>
      <c r="Q2194" s="25">
        <v>96</v>
      </c>
      <c r="R2194" s="25"/>
      <c r="S2194" s="25"/>
      <c r="T2194" s="25">
        <v>16</v>
      </c>
      <c r="U2194" s="25">
        <v>176</v>
      </c>
      <c r="V2194" s="25"/>
      <c r="W2194" s="33" t="s">
        <v>22</v>
      </c>
      <c r="X2194" s="33"/>
      <c r="Y2194" s="33"/>
      <c r="Z2194" s="33"/>
      <c r="AA2194" s="33"/>
    </row>
    <row r="2195" spans="1:27" s="70" customFormat="1" ht="135" x14ac:dyDescent="0.2">
      <c r="A2195" s="24">
        <v>2191</v>
      </c>
      <c r="B2195" s="24" t="s">
        <v>223</v>
      </c>
      <c r="C2195" s="25" t="s">
        <v>222</v>
      </c>
      <c r="D2195" s="26" t="s">
        <v>240</v>
      </c>
      <c r="E2195" s="25" t="s">
        <v>239</v>
      </c>
      <c r="F2195" s="25" t="s">
        <v>238</v>
      </c>
      <c r="G2195" s="24"/>
      <c r="H2195" s="25" t="s">
        <v>264</v>
      </c>
      <c r="I2195" s="27"/>
      <c r="J2195" s="28" t="s">
        <v>326</v>
      </c>
      <c r="K2195" s="27"/>
      <c r="L2195" s="25" t="s">
        <v>328</v>
      </c>
      <c r="M2195" s="25" t="s">
        <v>327</v>
      </c>
      <c r="N2195" s="25">
        <v>1</v>
      </c>
      <c r="O2195" s="25">
        <v>8</v>
      </c>
      <c r="P2195" s="25">
        <v>8</v>
      </c>
      <c r="Q2195" s="25">
        <v>24</v>
      </c>
      <c r="R2195" s="25"/>
      <c r="S2195" s="25"/>
      <c r="T2195" s="25">
        <v>6</v>
      </c>
      <c r="U2195" s="25">
        <v>46</v>
      </c>
      <c r="V2195" s="25"/>
      <c r="W2195" s="33" t="s">
        <v>22</v>
      </c>
      <c r="X2195" s="33"/>
      <c r="Y2195" s="33"/>
      <c r="Z2195" s="33"/>
      <c r="AA2195" s="33"/>
    </row>
    <row r="2196" spans="1:27" s="70" customFormat="1" ht="135" x14ac:dyDescent="0.2">
      <c r="A2196" s="24">
        <v>2192</v>
      </c>
      <c r="B2196" s="24" t="s">
        <v>223</v>
      </c>
      <c r="C2196" s="25" t="s">
        <v>222</v>
      </c>
      <c r="D2196" s="26" t="s">
        <v>240</v>
      </c>
      <c r="E2196" s="25" t="s">
        <v>239</v>
      </c>
      <c r="F2196" s="25" t="s">
        <v>238</v>
      </c>
      <c r="G2196" s="24"/>
      <c r="H2196" s="25" t="s">
        <v>264</v>
      </c>
      <c r="I2196" s="27"/>
      <c r="J2196" s="28" t="s">
        <v>326</v>
      </c>
      <c r="K2196" s="27"/>
      <c r="L2196" s="25" t="s">
        <v>325</v>
      </c>
      <c r="M2196" s="25" t="s">
        <v>247</v>
      </c>
      <c r="N2196" s="25">
        <v>1</v>
      </c>
      <c r="O2196" s="25">
        <v>8</v>
      </c>
      <c r="P2196" s="25">
        <v>8</v>
      </c>
      <c r="Q2196" s="25">
        <v>20</v>
      </c>
      <c r="R2196" s="25"/>
      <c r="S2196" s="25"/>
      <c r="T2196" s="25">
        <v>4</v>
      </c>
      <c r="U2196" s="25">
        <v>40</v>
      </c>
      <c r="V2196" s="25"/>
      <c r="W2196" s="33"/>
      <c r="X2196" s="33"/>
      <c r="Y2196" s="33" t="s">
        <v>250</v>
      </c>
      <c r="Z2196" s="33" t="s">
        <v>281</v>
      </c>
      <c r="AA2196" s="33"/>
    </row>
    <row r="2197" spans="1:27" s="70" customFormat="1" ht="135" x14ac:dyDescent="0.2">
      <c r="A2197" s="24">
        <v>2193</v>
      </c>
      <c r="B2197" s="24" t="s">
        <v>223</v>
      </c>
      <c r="C2197" s="25" t="s">
        <v>222</v>
      </c>
      <c r="D2197" s="26" t="s">
        <v>240</v>
      </c>
      <c r="E2197" s="25" t="s">
        <v>239</v>
      </c>
      <c r="F2197" s="25" t="s">
        <v>238</v>
      </c>
      <c r="G2197" s="24"/>
      <c r="H2197" s="25" t="s">
        <v>264</v>
      </c>
      <c r="I2197" s="27"/>
      <c r="J2197" s="28" t="s">
        <v>324</v>
      </c>
      <c r="K2197" s="27"/>
      <c r="L2197" s="25"/>
      <c r="M2197" s="25"/>
      <c r="N2197" s="25"/>
      <c r="O2197" s="25"/>
      <c r="P2197" s="25"/>
      <c r="Q2197" s="25"/>
      <c r="R2197" s="25"/>
      <c r="S2197" s="25"/>
      <c r="T2197" s="25"/>
      <c r="U2197" s="25"/>
      <c r="V2197" s="25"/>
      <c r="W2197" s="33"/>
      <c r="X2197" s="33"/>
      <c r="Y2197" s="33"/>
      <c r="Z2197" s="33"/>
      <c r="AA2197" s="33"/>
    </row>
    <row r="2198" spans="1:27" s="70" customFormat="1" ht="135" x14ac:dyDescent="0.2">
      <c r="A2198" s="24">
        <v>2194</v>
      </c>
      <c r="B2198" s="24" t="s">
        <v>223</v>
      </c>
      <c r="C2198" s="25" t="s">
        <v>222</v>
      </c>
      <c r="D2198" s="26" t="s">
        <v>240</v>
      </c>
      <c r="E2198" s="25" t="s">
        <v>239</v>
      </c>
      <c r="F2198" s="25" t="s">
        <v>238</v>
      </c>
      <c r="G2198" s="24"/>
      <c r="H2198" s="25" t="s">
        <v>264</v>
      </c>
      <c r="I2198" s="27"/>
      <c r="J2198" s="28" t="s">
        <v>323</v>
      </c>
      <c r="K2198" s="27"/>
      <c r="L2198" s="25"/>
      <c r="M2198" s="25"/>
      <c r="N2198" s="25"/>
      <c r="O2198" s="25"/>
      <c r="P2198" s="25"/>
      <c r="Q2198" s="25"/>
      <c r="R2198" s="25"/>
      <c r="S2198" s="25"/>
      <c r="T2198" s="25"/>
      <c r="U2198" s="25"/>
      <c r="V2198" s="25"/>
      <c r="W2198" s="33"/>
      <c r="X2198" s="33"/>
      <c r="Y2198" s="33"/>
      <c r="Z2198" s="33"/>
      <c r="AA2198" s="33"/>
    </row>
    <row r="2199" spans="1:27" s="70" customFormat="1" ht="135" x14ac:dyDescent="0.2">
      <c r="A2199" s="24">
        <v>2195</v>
      </c>
      <c r="B2199" s="24" t="s">
        <v>223</v>
      </c>
      <c r="C2199" s="25" t="s">
        <v>222</v>
      </c>
      <c r="D2199" s="26" t="s">
        <v>240</v>
      </c>
      <c r="E2199" s="25" t="s">
        <v>239</v>
      </c>
      <c r="F2199" s="25" t="s">
        <v>238</v>
      </c>
      <c r="G2199" s="24"/>
      <c r="H2199" s="25" t="s">
        <v>264</v>
      </c>
      <c r="I2199" s="27"/>
      <c r="J2199" s="28" t="s">
        <v>322</v>
      </c>
      <c r="K2199" s="27"/>
      <c r="L2199" s="25"/>
      <c r="M2199" s="25"/>
      <c r="N2199" s="25"/>
      <c r="O2199" s="25"/>
      <c r="P2199" s="25"/>
      <c r="Q2199" s="25"/>
      <c r="R2199" s="25"/>
      <c r="S2199" s="25"/>
      <c r="T2199" s="25"/>
      <c r="U2199" s="25"/>
      <c r="V2199" s="25"/>
      <c r="W2199" s="33"/>
      <c r="X2199" s="33"/>
      <c r="Y2199" s="33"/>
      <c r="Z2199" s="33"/>
      <c r="AA2199" s="33"/>
    </row>
    <row r="2200" spans="1:27" s="70" customFormat="1" ht="135" x14ac:dyDescent="0.2">
      <c r="A2200" s="24">
        <v>2196</v>
      </c>
      <c r="B2200" s="24" t="s">
        <v>223</v>
      </c>
      <c r="C2200" s="25" t="s">
        <v>222</v>
      </c>
      <c r="D2200" s="26" t="s">
        <v>240</v>
      </c>
      <c r="E2200" s="25" t="s">
        <v>239</v>
      </c>
      <c r="F2200" s="25" t="s">
        <v>238</v>
      </c>
      <c r="G2200" s="24"/>
      <c r="H2200" s="25" t="s">
        <v>264</v>
      </c>
      <c r="I2200" s="27"/>
      <c r="J2200" s="28" t="s">
        <v>321</v>
      </c>
      <c r="K2200" s="27"/>
      <c r="L2200" s="25"/>
      <c r="M2200" s="25"/>
      <c r="N2200" s="25"/>
      <c r="O2200" s="25"/>
      <c r="P2200" s="25"/>
      <c r="Q2200" s="25"/>
      <c r="R2200" s="25"/>
      <c r="S2200" s="25"/>
      <c r="T2200" s="25"/>
      <c r="U2200" s="25"/>
      <c r="V2200" s="25"/>
      <c r="W2200" s="33"/>
      <c r="X2200" s="33"/>
      <c r="Y2200" s="33"/>
      <c r="Z2200" s="33"/>
      <c r="AA2200" s="33"/>
    </row>
    <row r="2201" spans="1:27" s="70" customFormat="1" ht="135" x14ac:dyDescent="0.2">
      <c r="A2201" s="24">
        <v>2197</v>
      </c>
      <c r="B2201" s="24" t="s">
        <v>223</v>
      </c>
      <c r="C2201" s="25" t="s">
        <v>222</v>
      </c>
      <c r="D2201" s="26" t="s">
        <v>240</v>
      </c>
      <c r="E2201" s="25" t="s">
        <v>239</v>
      </c>
      <c r="F2201" s="25" t="s">
        <v>238</v>
      </c>
      <c r="G2201" s="24"/>
      <c r="H2201" s="25" t="s">
        <v>264</v>
      </c>
      <c r="I2201" s="27"/>
      <c r="J2201" s="28" t="s">
        <v>320</v>
      </c>
      <c r="K2201" s="27"/>
      <c r="L2201" s="25"/>
      <c r="M2201" s="25"/>
      <c r="N2201" s="25"/>
      <c r="O2201" s="25"/>
      <c r="P2201" s="25"/>
      <c r="Q2201" s="25"/>
      <c r="R2201" s="25"/>
      <c r="S2201" s="25"/>
      <c r="T2201" s="25"/>
      <c r="U2201" s="25"/>
      <c r="V2201" s="25"/>
      <c r="W2201" s="33"/>
      <c r="X2201" s="33"/>
      <c r="Y2201" s="33"/>
      <c r="Z2201" s="33"/>
      <c r="AA2201" s="33"/>
    </row>
    <row r="2202" spans="1:27" s="72" customFormat="1" ht="135" x14ac:dyDescent="0.2">
      <c r="A2202" s="24">
        <v>2198</v>
      </c>
      <c r="B2202" s="24" t="s">
        <v>223</v>
      </c>
      <c r="C2202" s="25" t="s">
        <v>222</v>
      </c>
      <c r="D2202" s="26" t="s">
        <v>240</v>
      </c>
      <c r="E2202" s="25" t="s">
        <v>239</v>
      </c>
      <c r="F2202" s="25" t="s">
        <v>238</v>
      </c>
      <c r="G2202" s="24"/>
      <c r="H2202" s="25" t="s">
        <v>264</v>
      </c>
      <c r="I2202" s="27"/>
      <c r="J2202" s="28" t="s">
        <v>313</v>
      </c>
      <c r="K2202" s="24"/>
      <c r="L2202" s="25" t="s">
        <v>319</v>
      </c>
      <c r="M2202" s="25" t="s">
        <v>314</v>
      </c>
      <c r="N2202" s="25">
        <v>13</v>
      </c>
      <c r="O2202" s="25">
        <v>16</v>
      </c>
      <c r="P2202" s="25">
        <v>22</v>
      </c>
      <c r="Q2202" s="25">
        <v>18</v>
      </c>
      <c r="R2202" s="25"/>
      <c r="S2202" s="25"/>
      <c r="T2202" s="25">
        <v>2</v>
      </c>
      <c r="U2202" s="25">
        <v>58</v>
      </c>
      <c r="V2202" s="25"/>
      <c r="W2202" s="33" t="s">
        <v>22</v>
      </c>
      <c r="X2202" s="33"/>
      <c r="Y2202" s="33"/>
      <c r="Z2202" s="33" t="s">
        <v>281</v>
      </c>
      <c r="AA2202" s="33"/>
    </row>
    <row r="2203" spans="1:27" s="72" customFormat="1" ht="135" x14ac:dyDescent="0.2">
      <c r="A2203" s="24">
        <v>2199</v>
      </c>
      <c r="B2203" s="24" t="s">
        <v>223</v>
      </c>
      <c r="C2203" s="25" t="s">
        <v>222</v>
      </c>
      <c r="D2203" s="26" t="s">
        <v>240</v>
      </c>
      <c r="E2203" s="25" t="s">
        <v>239</v>
      </c>
      <c r="F2203" s="25" t="s">
        <v>238</v>
      </c>
      <c r="G2203" s="24"/>
      <c r="H2203" s="25" t="s">
        <v>264</v>
      </c>
      <c r="I2203" s="27"/>
      <c r="J2203" s="28" t="s">
        <v>313</v>
      </c>
      <c r="K2203" s="24"/>
      <c r="L2203" s="25" t="s">
        <v>318</v>
      </c>
      <c r="M2203" s="25" t="s">
        <v>314</v>
      </c>
      <c r="N2203" s="25">
        <v>9</v>
      </c>
      <c r="O2203" s="25">
        <v>24</v>
      </c>
      <c r="P2203" s="25">
        <v>24</v>
      </c>
      <c r="Q2203" s="25">
        <v>40</v>
      </c>
      <c r="R2203" s="25"/>
      <c r="S2203" s="25"/>
      <c r="T2203" s="25">
        <v>6</v>
      </c>
      <c r="U2203" s="25">
        <v>94</v>
      </c>
      <c r="V2203" s="25"/>
      <c r="W2203" s="33" t="s">
        <v>22</v>
      </c>
      <c r="X2203" s="33"/>
      <c r="Y2203" s="33"/>
      <c r="Z2203" s="33" t="s">
        <v>281</v>
      </c>
      <c r="AA2203" s="33"/>
    </row>
    <row r="2204" spans="1:27" s="72" customFormat="1" ht="135" x14ac:dyDescent="0.2">
      <c r="A2204" s="24">
        <v>2200</v>
      </c>
      <c r="B2204" s="24" t="s">
        <v>223</v>
      </c>
      <c r="C2204" s="25" t="s">
        <v>222</v>
      </c>
      <c r="D2204" s="26" t="s">
        <v>240</v>
      </c>
      <c r="E2204" s="25" t="s">
        <v>239</v>
      </c>
      <c r="F2204" s="25" t="s">
        <v>238</v>
      </c>
      <c r="G2204" s="24"/>
      <c r="H2204" s="25" t="s">
        <v>264</v>
      </c>
      <c r="I2204" s="27"/>
      <c r="J2204" s="28" t="s">
        <v>313</v>
      </c>
      <c r="K2204" s="24"/>
      <c r="L2204" s="25" t="s">
        <v>317</v>
      </c>
      <c r="M2204" s="25" t="s">
        <v>314</v>
      </c>
      <c r="N2204" s="25">
        <v>4</v>
      </c>
      <c r="O2204" s="25">
        <v>56</v>
      </c>
      <c r="P2204" s="25">
        <v>56</v>
      </c>
      <c r="Q2204" s="25">
        <v>40</v>
      </c>
      <c r="R2204" s="25"/>
      <c r="S2204" s="25"/>
      <c r="T2204" s="25">
        <v>6</v>
      </c>
      <c r="U2204" s="25">
        <v>158</v>
      </c>
      <c r="V2204" s="25"/>
      <c r="W2204" s="33" t="s">
        <v>22</v>
      </c>
      <c r="X2204" s="33"/>
      <c r="Y2204" s="33"/>
      <c r="Z2204" s="33" t="s">
        <v>281</v>
      </c>
      <c r="AA2204" s="33"/>
    </row>
    <row r="2205" spans="1:27" s="72" customFormat="1" ht="135" x14ac:dyDescent="0.2">
      <c r="A2205" s="24">
        <v>2201</v>
      </c>
      <c r="B2205" s="24" t="s">
        <v>223</v>
      </c>
      <c r="C2205" s="25" t="s">
        <v>222</v>
      </c>
      <c r="D2205" s="26" t="s">
        <v>240</v>
      </c>
      <c r="E2205" s="25" t="s">
        <v>239</v>
      </c>
      <c r="F2205" s="25" t="s">
        <v>238</v>
      </c>
      <c r="G2205" s="24"/>
      <c r="H2205" s="25" t="s">
        <v>264</v>
      </c>
      <c r="I2205" s="27"/>
      <c r="J2205" s="28" t="s">
        <v>313</v>
      </c>
      <c r="K2205" s="24"/>
      <c r="L2205" s="25" t="s">
        <v>316</v>
      </c>
      <c r="M2205" s="25" t="s">
        <v>314</v>
      </c>
      <c r="N2205" s="25">
        <v>5</v>
      </c>
      <c r="O2205" s="25">
        <v>16</v>
      </c>
      <c r="P2205" s="25">
        <v>144</v>
      </c>
      <c r="Q2205" s="25">
        <v>56</v>
      </c>
      <c r="R2205" s="25"/>
      <c r="S2205" s="25"/>
      <c r="T2205" s="25">
        <v>16</v>
      </c>
      <c r="U2205" s="25">
        <v>232</v>
      </c>
      <c r="V2205" s="25"/>
      <c r="W2205" s="33" t="s">
        <v>22</v>
      </c>
      <c r="X2205" s="33"/>
      <c r="Y2205" s="33"/>
      <c r="Z2205" s="33"/>
      <c r="AA2205" s="33"/>
    </row>
    <row r="2206" spans="1:27" s="72" customFormat="1" ht="135" x14ac:dyDescent="0.2">
      <c r="A2206" s="24">
        <v>2202</v>
      </c>
      <c r="B2206" s="24" t="s">
        <v>223</v>
      </c>
      <c r="C2206" s="25" t="s">
        <v>222</v>
      </c>
      <c r="D2206" s="26" t="s">
        <v>240</v>
      </c>
      <c r="E2206" s="25" t="s">
        <v>239</v>
      </c>
      <c r="F2206" s="25" t="s">
        <v>238</v>
      </c>
      <c r="G2206" s="24"/>
      <c r="H2206" s="25" t="s">
        <v>264</v>
      </c>
      <c r="I2206" s="27"/>
      <c r="J2206" s="28" t="s">
        <v>313</v>
      </c>
      <c r="K2206" s="24"/>
      <c r="L2206" s="25" t="s">
        <v>315</v>
      </c>
      <c r="M2206" s="25" t="s">
        <v>314</v>
      </c>
      <c r="N2206" s="25">
        <v>3</v>
      </c>
      <c r="O2206" s="25">
        <v>8</v>
      </c>
      <c r="P2206" s="25">
        <v>36</v>
      </c>
      <c r="Q2206" s="25">
        <v>16</v>
      </c>
      <c r="R2206" s="25"/>
      <c r="S2206" s="25"/>
      <c r="T2206" s="25">
        <v>4</v>
      </c>
      <c r="U2206" s="25">
        <v>64</v>
      </c>
      <c r="V2206" s="25"/>
      <c r="W2206" s="33" t="s">
        <v>22</v>
      </c>
      <c r="X2206" s="33"/>
      <c r="Y2206" s="33"/>
      <c r="Z2206" s="33"/>
      <c r="AA2206" s="33"/>
    </row>
    <row r="2207" spans="1:27" s="70" customFormat="1" ht="135" x14ac:dyDescent="0.2">
      <c r="A2207" s="24">
        <v>2203</v>
      </c>
      <c r="B2207" s="24" t="s">
        <v>223</v>
      </c>
      <c r="C2207" s="25" t="s">
        <v>222</v>
      </c>
      <c r="D2207" s="26" t="s">
        <v>240</v>
      </c>
      <c r="E2207" s="25" t="s">
        <v>239</v>
      </c>
      <c r="F2207" s="25" t="s">
        <v>238</v>
      </c>
      <c r="G2207" s="24"/>
      <c r="H2207" s="25" t="s">
        <v>264</v>
      </c>
      <c r="I2207" s="27"/>
      <c r="J2207" s="28" t="s">
        <v>313</v>
      </c>
      <c r="K2207" s="27"/>
      <c r="L2207" s="25" t="s">
        <v>312</v>
      </c>
      <c r="M2207" s="25" t="s">
        <v>245</v>
      </c>
      <c r="N2207" s="25">
        <v>1</v>
      </c>
      <c r="O2207" s="25">
        <v>168</v>
      </c>
      <c r="P2207" s="25">
        <v>56</v>
      </c>
      <c r="Q2207" s="25">
        <v>56</v>
      </c>
      <c r="R2207" s="25"/>
      <c r="S2207" s="25"/>
      <c r="T2207" s="25">
        <v>40</v>
      </c>
      <c r="U2207" s="25">
        <v>320</v>
      </c>
      <c r="V2207" s="25"/>
      <c r="W2207" s="33" t="s">
        <v>22</v>
      </c>
      <c r="X2207" s="33"/>
      <c r="Y2207" s="33"/>
      <c r="Z2207" s="33" t="s">
        <v>311</v>
      </c>
      <c r="AA2207" s="33"/>
    </row>
    <row r="2208" spans="1:27" s="70" customFormat="1" ht="135" x14ac:dyDescent="0.2">
      <c r="A2208" s="24">
        <v>2204</v>
      </c>
      <c r="B2208" s="24" t="s">
        <v>223</v>
      </c>
      <c r="C2208" s="25" t="s">
        <v>222</v>
      </c>
      <c r="D2208" s="26" t="s">
        <v>240</v>
      </c>
      <c r="E2208" s="25" t="s">
        <v>239</v>
      </c>
      <c r="F2208" s="25" t="s">
        <v>238</v>
      </c>
      <c r="G2208" s="24"/>
      <c r="H2208" s="25" t="s">
        <v>264</v>
      </c>
      <c r="I2208" s="27"/>
      <c r="J2208" s="28" t="s">
        <v>310</v>
      </c>
      <c r="K2208" s="27"/>
      <c r="L2208" s="25"/>
      <c r="M2208" s="25"/>
      <c r="N2208" s="25"/>
      <c r="O2208" s="25"/>
      <c r="P2208" s="25"/>
      <c r="Q2208" s="25"/>
      <c r="R2208" s="25"/>
      <c r="S2208" s="25"/>
      <c r="T2208" s="25"/>
      <c r="U2208" s="25"/>
      <c r="V2208" s="25"/>
      <c r="W2208" s="33"/>
      <c r="X2208" s="33"/>
      <c r="Y2208" s="33"/>
      <c r="Z2208" s="33"/>
      <c r="AA2208" s="33"/>
    </row>
    <row r="2209" spans="1:27" s="70" customFormat="1" ht="135" x14ac:dyDescent="0.2">
      <c r="A2209" s="24">
        <v>2205</v>
      </c>
      <c r="B2209" s="24" t="s">
        <v>223</v>
      </c>
      <c r="C2209" s="25" t="s">
        <v>222</v>
      </c>
      <c r="D2209" s="26" t="s">
        <v>240</v>
      </c>
      <c r="E2209" s="25" t="s">
        <v>239</v>
      </c>
      <c r="F2209" s="25" t="s">
        <v>238</v>
      </c>
      <c r="G2209" s="24"/>
      <c r="H2209" s="25" t="s">
        <v>264</v>
      </c>
      <c r="I2209" s="27"/>
      <c r="J2209" s="28" t="s">
        <v>309</v>
      </c>
      <c r="K2209" s="27"/>
      <c r="L2209" s="25"/>
      <c r="M2209" s="25"/>
      <c r="N2209" s="25"/>
      <c r="O2209" s="25"/>
      <c r="P2209" s="25"/>
      <c r="Q2209" s="25"/>
      <c r="R2209" s="25"/>
      <c r="S2209" s="25"/>
      <c r="T2209" s="25"/>
      <c r="U2209" s="25"/>
      <c r="V2209" s="25"/>
      <c r="W2209" s="33"/>
      <c r="X2209" s="33"/>
      <c r="Y2209" s="33"/>
      <c r="Z2209" s="33"/>
      <c r="AA2209" s="33"/>
    </row>
    <row r="2210" spans="1:27" s="70" customFormat="1" ht="135" x14ac:dyDescent="0.2">
      <c r="A2210" s="24">
        <v>2206</v>
      </c>
      <c r="B2210" s="24" t="s">
        <v>223</v>
      </c>
      <c r="C2210" s="25" t="s">
        <v>222</v>
      </c>
      <c r="D2210" s="26" t="s">
        <v>240</v>
      </c>
      <c r="E2210" s="25" t="s">
        <v>239</v>
      </c>
      <c r="F2210" s="25" t="s">
        <v>238</v>
      </c>
      <c r="G2210" s="24"/>
      <c r="H2210" s="25" t="s">
        <v>264</v>
      </c>
      <c r="I2210" s="27"/>
      <c r="J2210" s="28" t="s">
        <v>308</v>
      </c>
      <c r="K2210" s="27"/>
      <c r="L2210" s="25"/>
      <c r="M2210" s="25"/>
      <c r="N2210" s="25"/>
      <c r="O2210" s="25"/>
      <c r="P2210" s="25"/>
      <c r="Q2210" s="25"/>
      <c r="R2210" s="25"/>
      <c r="S2210" s="25"/>
      <c r="T2210" s="25"/>
      <c r="U2210" s="25"/>
      <c r="V2210" s="25"/>
      <c r="W2210" s="33"/>
      <c r="X2210" s="33"/>
      <c r="Y2210" s="33"/>
      <c r="Z2210" s="33"/>
      <c r="AA2210" s="33"/>
    </row>
    <row r="2211" spans="1:27" s="70" customFormat="1" ht="135" x14ac:dyDescent="0.2">
      <c r="A2211" s="24">
        <v>2207</v>
      </c>
      <c r="B2211" s="24" t="s">
        <v>223</v>
      </c>
      <c r="C2211" s="25" t="s">
        <v>222</v>
      </c>
      <c r="D2211" s="26" t="s">
        <v>240</v>
      </c>
      <c r="E2211" s="25" t="s">
        <v>239</v>
      </c>
      <c r="F2211" s="25" t="s">
        <v>238</v>
      </c>
      <c r="G2211" s="24"/>
      <c r="H2211" s="25" t="s">
        <v>264</v>
      </c>
      <c r="I2211" s="27"/>
      <c r="J2211" s="28" t="s">
        <v>307</v>
      </c>
      <c r="K2211" s="27"/>
      <c r="L2211" s="25"/>
      <c r="M2211" s="25"/>
      <c r="N2211" s="25"/>
      <c r="O2211" s="25"/>
      <c r="P2211" s="25"/>
      <c r="Q2211" s="25"/>
      <c r="R2211" s="25"/>
      <c r="S2211" s="25"/>
      <c r="T2211" s="25"/>
      <c r="U2211" s="25"/>
      <c r="V2211" s="25"/>
      <c r="W2211" s="33"/>
      <c r="X2211" s="33"/>
      <c r="Y2211" s="33"/>
      <c r="Z2211" s="33"/>
      <c r="AA2211" s="33"/>
    </row>
    <row r="2212" spans="1:27" s="70" customFormat="1" ht="135" x14ac:dyDescent="0.2">
      <c r="A2212" s="24">
        <v>2208</v>
      </c>
      <c r="B2212" s="24" t="s">
        <v>223</v>
      </c>
      <c r="C2212" s="25" t="s">
        <v>222</v>
      </c>
      <c r="D2212" s="26" t="s">
        <v>240</v>
      </c>
      <c r="E2212" s="25" t="s">
        <v>239</v>
      </c>
      <c r="F2212" s="25" t="s">
        <v>238</v>
      </c>
      <c r="G2212" s="24"/>
      <c r="H2212" s="25" t="s">
        <v>264</v>
      </c>
      <c r="I2212" s="27"/>
      <c r="J2212" s="28" t="s">
        <v>306</v>
      </c>
      <c r="K2212" s="27"/>
      <c r="L2212" s="25"/>
      <c r="M2212" s="25"/>
      <c r="N2212" s="25"/>
      <c r="O2212" s="25"/>
      <c r="P2212" s="25"/>
      <c r="Q2212" s="25"/>
      <c r="R2212" s="25"/>
      <c r="S2212" s="25"/>
      <c r="T2212" s="25"/>
      <c r="U2212" s="25"/>
      <c r="V2212" s="25"/>
      <c r="W2212" s="33"/>
      <c r="X2212" s="33"/>
      <c r="Y2212" s="33"/>
      <c r="Z2212" s="33"/>
      <c r="AA2212" s="33"/>
    </row>
    <row r="2213" spans="1:27" s="70" customFormat="1" ht="135" x14ac:dyDescent="0.2">
      <c r="A2213" s="24">
        <v>2209</v>
      </c>
      <c r="B2213" s="24" t="s">
        <v>223</v>
      </c>
      <c r="C2213" s="25" t="s">
        <v>222</v>
      </c>
      <c r="D2213" s="26" t="s">
        <v>240</v>
      </c>
      <c r="E2213" s="25" t="s">
        <v>239</v>
      </c>
      <c r="F2213" s="25" t="s">
        <v>238</v>
      </c>
      <c r="G2213" s="24"/>
      <c r="H2213" s="25" t="s">
        <v>264</v>
      </c>
      <c r="I2213" s="27"/>
      <c r="J2213" s="28" t="s">
        <v>305</v>
      </c>
      <c r="K2213" s="27"/>
      <c r="L2213" s="25" t="s">
        <v>304</v>
      </c>
      <c r="M2213" s="25" t="s">
        <v>303</v>
      </c>
      <c r="N2213" s="25">
        <v>1</v>
      </c>
      <c r="O2213" s="25">
        <v>72</v>
      </c>
      <c r="P2213" s="25">
        <v>64</v>
      </c>
      <c r="Q2213" s="25">
        <v>228</v>
      </c>
      <c r="R2213" s="25"/>
      <c r="S2213" s="25"/>
      <c r="T2213" s="25">
        <v>98</v>
      </c>
      <c r="U2213" s="25">
        <v>462</v>
      </c>
      <c r="V2213" s="25"/>
      <c r="W2213" s="33" t="s">
        <v>22</v>
      </c>
      <c r="X2213" s="33"/>
      <c r="Y2213" s="33"/>
      <c r="Z2213" s="33"/>
      <c r="AA2213" s="33"/>
    </row>
    <row r="2214" spans="1:27" s="70" customFormat="1" ht="135" x14ac:dyDescent="0.2">
      <c r="A2214" s="24">
        <v>2210</v>
      </c>
      <c r="B2214" s="24" t="s">
        <v>223</v>
      </c>
      <c r="C2214" s="25" t="s">
        <v>222</v>
      </c>
      <c r="D2214" s="26" t="s">
        <v>240</v>
      </c>
      <c r="E2214" s="25" t="s">
        <v>239</v>
      </c>
      <c r="F2214" s="25" t="s">
        <v>238</v>
      </c>
      <c r="G2214" s="24"/>
      <c r="H2214" s="25" t="s">
        <v>264</v>
      </c>
      <c r="I2214" s="27"/>
      <c r="J2214" s="28" t="s">
        <v>298</v>
      </c>
      <c r="K2214" s="27"/>
      <c r="L2214" s="25" t="s">
        <v>302</v>
      </c>
      <c r="M2214" s="25" t="s">
        <v>301</v>
      </c>
      <c r="N2214" s="25">
        <v>153</v>
      </c>
      <c r="O2214" s="25">
        <v>3.6</v>
      </c>
      <c r="P2214" s="25">
        <v>5.2</v>
      </c>
      <c r="Q2214" s="25">
        <v>3.05</v>
      </c>
      <c r="R2214" s="25"/>
      <c r="S2214" s="25"/>
      <c r="T2214" s="25">
        <v>0.75</v>
      </c>
      <c r="U2214" s="25">
        <v>12.6</v>
      </c>
      <c r="V2214" s="25"/>
      <c r="W2214" s="33" t="s">
        <v>22</v>
      </c>
      <c r="X2214" s="33"/>
      <c r="Y2214" s="33" t="s">
        <v>300</v>
      </c>
      <c r="Z2214" s="33" t="s">
        <v>290</v>
      </c>
      <c r="AA2214" s="33"/>
    </row>
    <row r="2215" spans="1:27" s="70" customFormat="1" ht="135" x14ac:dyDescent="0.2">
      <c r="A2215" s="24">
        <v>2211</v>
      </c>
      <c r="B2215" s="24" t="s">
        <v>223</v>
      </c>
      <c r="C2215" s="25" t="s">
        <v>222</v>
      </c>
      <c r="D2215" s="26" t="s">
        <v>240</v>
      </c>
      <c r="E2215" s="25" t="s">
        <v>239</v>
      </c>
      <c r="F2215" s="25" t="s">
        <v>238</v>
      </c>
      <c r="G2215" s="24"/>
      <c r="H2215" s="25" t="s">
        <v>264</v>
      </c>
      <c r="I2215" s="27"/>
      <c r="J2215" s="28" t="s">
        <v>298</v>
      </c>
      <c r="K2215" s="27"/>
      <c r="L2215" s="25" t="s">
        <v>299</v>
      </c>
      <c r="M2215" s="25" t="s">
        <v>282</v>
      </c>
      <c r="N2215" s="25">
        <v>12</v>
      </c>
      <c r="O2215" s="25">
        <v>2</v>
      </c>
      <c r="P2215" s="25">
        <v>2</v>
      </c>
      <c r="Q2215" s="25">
        <v>3</v>
      </c>
      <c r="R2215" s="25"/>
      <c r="S2215" s="25"/>
      <c r="T2215" s="25">
        <v>1</v>
      </c>
      <c r="U2215" s="25">
        <v>8</v>
      </c>
      <c r="V2215" s="25"/>
      <c r="W2215" s="33" t="s">
        <v>22</v>
      </c>
      <c r="X2215" s="33"/>
      <c r="Y2215" s="33"/>
      <c r="Z2215" s="33" t="s">
        <v>281</v>
      </c>
      <c r="AA2215" s="33"/>
    </row>
    <row r="2216" spans="1:27" s="70" customFormat="1" ht="135" x14ac:dyDescent="0.2">
      <c r="A2216" s="24">
        <v>2212</v>
      </c>
      <c r="B2216" s="24" t="s">
        <v>223</v>
      </c>
      <c r="C2216" s="25" t="s">
        <v>222</v>
      </c>
      <c r="D2216" s="26" t="s">
        <v>240</v>
      </c>
      <c r="E2216" s="25" t="s">
        <v>239</v>
      </c>
      <c r="F2216" s="25" t="s">
        <v>238</v>
      </c>
      <c r="G2216" s="24"/>
      <c r="H2216" s="25" t="s">
        <v>264</v>
      </c>
      <c r="I2216" s="27"/>
      <c r="J2216" s="28" t="s">
        <v>298</v>
      </c>
      <c r="K2216" s="27"/>
      <c r="L2216" s="25" t="s">
        <v>297</v>
      </c>
      <c r="M2216" s="25" t="s">
        <v>296</v>
      </c>
      <c r="N2216" s="25">
        <v>3</v>
      </c>
      <c r="O2216" s="25">
        <v>0</v>
      </c>
      <c r="P2216" s="25">
        <v>0</v>
      </c>
      <c r="Q2216" s="25">
        <v>24</v>
      </c>
      <c r="R2216" s="25"/>
      <c r="S2216" s="25"/>
      <c r="T2216" s="25">
        <v>5</v>
      </c>
      <c r="U2216" s="25">
        <v>29</v>
      </c>
      <c r="V2216" s="25"/>
      <c r="W2216" s="33" t="s">
        <v>22</v>
      </c>
      <c r="X2216" s="33"/>
      <c r="Y2216" s="33"/>
      <c r="Z2216" s="33" t="s">
        <v>281</v>
      </c>
      <c r="AA2216" s="33"/>
    </row>
    <row r="2217" spans="1:27" s="70" customFormat="1" ht="135" x14ac:dyDescent="0.2">
      <c r="A2217" s="24">
        <v>2213</v>
      </c>
      <c r="B2217" s="24" t="s">
        <v>223</v>
      </c>
      <c r="C2217" s="25" t="s">
        <v>222</v>
      </c>
      <c r="D2217" s="26" t="s">
        <v>240</v>
      </c>
      <c r="E2217" s="25" t="s">
        <v>239</v>
      </c>
      <c r="F2217" s="25" t="s">
        <v>238</v>
      </c>
      <c r="G2217" s="24"/>
      <c r="H2217" s="25" t="s">
        <v>264</v>
      </c>
      <c r="I2217" s="27"/>
      <c r="J2217" s="28" t="s">
        <v>295</v>
      </c>
      <c r="K2217" s="27"/>
      <c r="L2217" s="25"/>
      <c r="M2217" s="25"/>
      <c r="N2217" s="25"/>
      <c r="O2217" s="25"/>
      <c r="P2217" s="25"/>
      <c r="Q2217" s="25"/>
      <c r="R2217" s="25"/>
      <c r="S2217" s="25"/>
      <c r="T2217" s="25"/>
      <c r="U2217" s="25"/>
      <c r="V2217" s="25"/>
      <c r="W2217" s="33"/>
      <c r="X2217" s="33"/>
      <c r="Y2217" s="33"/>
      <c r="Z2217" s="33"/>
      <c r="AA2217" s="33"/>
    </row>
    <row r="2218" spans="1:27" s="70" customFormat="1" ht="135" x14ac:dyDescent="0.2">
      <c r="A2218" s="24">
        <v>2214</v>
      </c>
      <c r="B2218" s="24" t="s">
        <v>223</v>
      </c>
      <c r="C2218" s="25" t="s">
        <v>222</v>
      </c>
      <c r="D2218" s="26" t="s">
        <v>240</v>
      </c>
      <c r="E2218" s="25" t="s">
        <v>239</v>
      </c>
      <c r="F2218" s="25" t="s">
        <v>238</v>
      </c>
      <c r="G2218" s="24"/>
      <c r="H2218" s="25" t="s">
        <v>264</v>
      </c>
      <c r="I2218" s="27"/>
      <c r="J2218" s="28" t="s">
        <v>273</v>
      </c>
      <c r="K2218" s="27"/>
      <c r="L2218" s="25" t="s">
        <v>294</v>
      </c>
      <c r="M2218" s="25" t="s">
        <v>271</v>
      </c>
      <c r="N2218" s="25">
        <v>48</v>
      </c>
      <c r="O2218" s="25">
        <v>2.5</v>
      </c>
      <c r="P2218" s="25"/>
      <c r="Q2218" s="25"/>
      <c r="R2218" s="25"/>
      <c r="S2218" s="25"/>
      <c r="T2218" s="25">
        <v>0.25</v>
      </c>
      <c r="U2218" s="25">
        <v>2.75</v>
      </c>
      <c r="V2218" s="25"/>
      <c r="W2218" s="33" t="s">
        <v>275</v>
      </c>
      <c r="X2218" s="33"/>
      <c r="Y2218" s="33"/>
      <c r="Z2218" s="33" t="s">
        <v>275</v>
      </c>
      <c r="AA2218" s="33"/>
    </row>
    <row r="2219" spans="1:27" s="70" customFormat="1" ht="135" x14ac:dyDescent="0.2">
      <c r="A2219" s="24">
        <v>2215</v>
      </c>
      <c r="B2219" s="24" t="s">
        <v>223</v>
      </c>
      <c r="C2219" s="25" t="s">
        <v>222</v>
      </c>
      <c r="D2219" s="26" t="s">
        <v>240</v>
      </c>
      <c r="E2219" s="25" t="s">
        <v>239</v>
      </c>
      <c r="F2219" s="25" t="s">
        <v>238</v>
      </c>
      <c r="G2219" s="24"/>
      <c r="H2219" s="25" t="s">
        <v>264</v>
      </c>
      <c r="I2219" s="27"/>
      <c r="J2219" s="28" t="s">
        <v>273</v>
      </c>
      <c r="K2219" s="27"/>
      <c r="L2219" s="25" t="s">
        <v>293</v>
      </c>
      <c r="M2219" s="25" t="s">
        <v>271</v>
      </c>
      <c r="N2219" s="25">
        <v>12</v>
      </c>
      <c r="O2219" s="25">
        <v>2.5</v>
      </c>
      <c r="P2219" s="25"/>
      <c r="Q2219" s="25"/>
      <c r="R2219" s="25"/>
      <c r="S2219" s="25"/>
      <c r="T2219" s="25">
        <v>0.25</v>
      </c>
      <c r="U2219" s="25">
        <v>2.75</v>
      </c>
      <c r="V2219" s="25"/>
      <c r="W2219" s="33" t="s">
        <v>281</v>
      </c>
      <c r="X2219" s="33"/>
      <c r="Y2219" s="33"/>
      <c r="Z2219" s="33" t="s">
        <v>290</v>
      </c>
      <c r="AA2219" s="33"/>
    </row>
    <row r="2220" spans="1:27" s="70" customFormat="1" ht="135" x14ac:dyDescent="0.2">
      <c r="A2220" s="24">
        <v>2216</v>
      </c>
      <c r="B2220" s="24" t="s">
        <v>223</v>
      </c>
      <c r="C2220" s="25" t="s">
        <v>222</v>
      </c>
      <c r="D2220" s="26" t="s">
        <v>240</v>
      </c>
      <c r="E2220" s="25" t="s">
        <v>239</v>
      </c>
      <c r="F2220" s="25" t="s">
        <v>238</v>
      </c>
      <c r="G2220" s="24"/>
      <c r="H2220" s="25" t="s">
        <v>264</v>
      </c>
      <c r="I2220" s="27"/>
      <c r="J2220" s="28" t="s">
        <v>273</v>
      </c>
      <c r="K2220" s="27"/>
      <c r="L2220" s="25" t="s">
        <v>292</v>
      </c>
      <c r="M2220" s="25" t="s">
        <v>271</v>
      </c>
      <c r="N2220" s="25">
        <v>48</v>
      </c>
      <c r="O2220" s="25">
        <v>1</v>
      </c>
      <c r="P2220" s="25"/>
      <c r="Q2220" s="25"/>
      <c r="R2220" s="25"/>
      <c r="S2220" s="25"/>
      <c r="T2220" s="25">
        <v>0.25</v>
      </c>
      <c r="U2220" s="25">
        <v>1.25</v>
      </c>
      <c r="V2220" s="25"/>
      <c r="W2220" s="33" t="s">
        <v>281</v>
      </c>
      <c r="X2220" s="33"/>
      <c r="Y2220" s="33"/>
      <c r="Z2220" s="33" t="s">
        <v>290</v>
      </c>
      <c r="AA2220" s="33"/>
    </row>
    <row r="2221" spans="1:27" s="70" customFormat="1" ht="135" x14ac:dyDescent="0.2">
      <c r="A2221" s="24">
        <v>2217</v>
      </c>
      <c r="B2221" s="24" t="s">
        <v>223</v>
      </c>
      <c r="C2221" s="25" t="s">
        <v>222</v>
      </c>
      <c r="D2221" s="26" t="s">
        <v>240</v>
      </c>
      <c r="E2221" s="25" t="s">
        <v>239</v>
      </c>
      <c r="F2221" s="25" t="s">
        <v>238</v>
      </c>
      <c r="G2221" s="24"/>
      <c r="H2221" s="25" t="s">
        <v>264</v>
      </c>
      <c r="I2221" s="27"/>
      <c r="J2221" s="28" t="s">
        <v>273</v>
      </c>
      <c r="K2221" s="27"/>
      <c r="L2221" s="25" t="s">
        <v>291</v>
      </c>
      <c r="M2221" s="25" t="s">
        <v>271</v>
      </c>
      <c r="N2221" s="25">
        <v>4</v>
      </c>
      <c r="O2221" s="25">
        <v>2.5</v>
      </c>
      <c r="P2221" s="25"/>
      <c r="Q2221" s="25"/>
      <c r="R2221" s="25"/>
      <c r="S2221" s="25"/>
      <c r="T2221" s="25">
        <v>0.25</v>
      </c>
      <c r="U2221" s="25">
        <v>2.75</v>
      </c>
      <c r="V2221" s="25"/>
      <c r="W2221" s="33" t="s">
        <v>281</v>
      </c>
      <c r="X2221" s="33"/>
      <c r="Y2221" s="33"/>
      <c r="Z2221" s="33" t="s">
        <v>290</v>
      </c>
      <c r="AA2221" s="33"/>
    </row>
    <row r="2222" spans="1:27" s="70" customFormat="1" ht="135" x14ac:dyDescent="0.2">
      <c r="A2222" s="24">
        <v>2218</v>
      </c>
      <c r="B2222" s="24" t="s">
        <v>223</v>
      </c>
      <c r="C2222" s="25" t="s">
        <v>222</v>
      </c>
      <c r="D2222" s="26" t="s">
        <v>240</v>
      </c>
      <c r="E2222" s="25" t="s">
        <v>239</v>
      </c>
      <c r="F2222" s="25" t="s">
        <v>238</v>
      </c>
      <c r="G2222" s="24"/>
      <c r="H2222" s="25" t="s">
        <v>264</v>
      </c>
      <c r="I2222" s="27"/>
      <c r="J2222" s="28" t="s">
        <v>273</v>
      </c>
      <c r="K2222" s="27"/>
      <c r="L2222" s="25" t="s">
        <v>289</v>
      </c>
      <c r="M2222" s="25" t="s">
        <v>287</v>
      </c>
      <c r="N2222" s="25">
        <v>4</v>
      </c>
      <c r="O2222" s="25">
        <v>120</v>
      </c>
      <c r="P2222" s="25"/>
      <c r="Q2222" s="25"/>
      <c r="R2222" s="25"/>
      <c r="S2222" s="25"/>
      <c r="T2222" s="25">
        <v>4</v>
      </c>
      <c r="U2222" s="25">
        <v>124</v>
      </c>
      <c r="V2222" s="25"/>
      <c r="W2222" s="33" t="s">
        <v>22</v>
      </c>
      <c r="X2222" s="33"/>
      <c r="Y2222" s="33"/>
      <c r="Z2222" s="33" t="s">
        <v>244</v>
      </c>
      <c r="AA2222" s="33"/>
    </row>
    <row r="2223" spans="1:27" s="70" customFormat="1" ht="135" x14ac:dyDescent="0.2">
      <c r="A2223" s="24">
        <v>2219</v>
      </c>
      <c r="B2223" s="24" t="s">
        <v>223</v>
      </c>
      <c r="C2223" s="25" t="s">
        <v>222</v>
      </c>
      <c r="D2223" s="26" t="s">
        <v>240</v>
      </c>
      <c r="E2223" s="25" t="s">
        <v>239</v>
      </c>
      <c r="F2223" s="25" t="s">
        <v>238</v>
      </c>
      <c r="G2223" s="24"/>
      <c r="H2223" s="25" t="s">
        <v>264</v>
      </c>
      <c r="I2223" s="27"/>
      <c r="J2223" s="28" t="s">
        <v>273</v>
      </c>
      <c r="K2223" s="27"/>
      <c r="L2223" s="25" t="s">
        <v>288</v>
      </c>
      <c r="M2223" s="25" t="s">
        <v>287</v>
      </c>
      <c r="N2223" s="25">
        <v>4</v>
      </c>
      <c r="O2223" s="25">
        <v>64</v>
      </c>
      <c r="P2223" s="25"/>
      <c r="Q2223" s="25"/>
      <c r="R2223" s="25"/>
      <c r="S2223" s="25"/>
      <c r="T2223" s="25">
        <v>4</v>
      </c>
      <c r="U2223" s="25">
        <v>68</v>
      </c>
      <c r="V2223" s="25"/>
      <c r="W2223" s="33" t="s">
        <v>22</v>
      </c>
      <c r="X2223" s="33"/>
      <c r="Y2223" s="33"/>
      <c r="Z2223" s="33" t="s">
        <v>244</v>
      </c>
      <c r="AA2223" s="33"/>
    </row>
    <row r="2224" spans="1:27" s="70" customFormat="1" ht="135" x14ac:dyDescent="0.2">
      <c r="A2224" s="24">
        <v>2220</v>
      </c>
      <c r="B2224" s="24" t="s">
        <v>223</v>
      </c>
      <c r="C2224" s="25" t="s">
        <v>222</v>
      </c>
      <c r="D2224" s="26" t="s">
        <v>240</v>
      </c>
      <c r="E2224" s="25" t="s">
        <v>239</v>
      </c>
      <c r="F2224" s="25" t="s">
        <v>238</v>
      </c>
      <c r="G2224" s="24"/>
      <c r="H2224" s="25" t="s">
        <v>264</v>
      </c>
      <c r="I2224" s="27"/>
      <c r="J2224" s="28" t="s">
        <v>273</v>
      </c>
      <c r="K2224" s="27"/>
      <c r="L2224" s="25" t="s">
        <v>286</v>
      </c>
      <c r="M2224" s="25" t="s">
        <v>271</v>
      </c>
      <c r="N2224" s="25">
        <v>56</v>
      </c>
      <c r="O2224" s="25">
        <v>6.5</v>
      </c>
      <c r="P2224" s="25"/>
      <c r="Q2224" s="25"/>
      <c r="R2224" s="25"/>
      <c r="S2224" s="25"/>
      <c r="T2224" s="25">
        <v>0.5</v>
      </c>
      <c r="U2224" s="25">
        <v>7</v>
      </c>
      <c r="V2224" s="25"/>
      <c r="W2224" s="33" t="s">
        <v>285</v>
      </c>
      <c r="X2224" s="33" t="s">
        <v>280</v>
      </c>
      <c r="Y2224" s="33" t="s">
        <v>279</v>
      </c>
      <c r="Z2224" s="33" t="s">
        <v>284</v>
      </c>
      <c r="AA2224" s="33"/>
    </row>
    <row r="2225" spans="1:27" s="70" customFormat="1" ht="135" x14ac:dyDescent="0.2">
      <c r="A2225" s="24">
        <v>2221</v>
      </c>
      <c r="B2225" s="24" t="s">
        <v>223</v>
      </c>
      <c r="C2225" s="25" t="s">
        <v>222</v>
      </c>
      <c r="D2225" s="26" t="s">
        <v>240</v>
      </c>
      <c r="E2225" s="25" t="s">
        <v>239</v>
      </c>
      <c r="F2225" s="25" t="s">
        <v>238</v>
      </c>
      <c r="G2225" s="24"/>
      <c r="H2225" s="25" t="s">
        <v>264</v>
      </c>
      <c r="I2225" s="27"/>
      <c r="J2225" s="28" t="s">
        <v>273</v>
      </c>
      <c r="K2225" s="27"/>
      <c r="L2225" s="25" t="s">
        <v>283</v>
      </c>
      <c r="M2225" s="25" t="s">
        <v>282</v>
      </c>
      <c r="N2225" s="25">
        <v>12</v>
      </c>
      <c r="O2225" s="25">
        <v>1</v>
      </c>
      <c r="P2225" s="25"/>
      <c r="Q2225" s="25"/>
      <c r="R2225" s="25"/>
      <c r="S2225" s="25"/>
      <c r="T2225" s="25">
        <v>0</v>
      </c>
      <c r="U2225" s="25">
        <v>1</v>
      </c>
      <c r="V2225" s="25"/>
      <c r="W2225" s="33" t="s">
        <v>281</v>
      </c>
      <c r="X2225" s="33" t="s">
        <v>280</v>
      </c>
      <c r="Y2225" s="33" t="s">
        <v>279</v>
      </c>
      <c r="Z2225" s="33" t="s">
        <v>278</v>
      </c>
      <c r="AA2225" s="33"/>
    </row>
    <row r="2226" spans="1:27" s="70" customFormat="1" ht="135" x14ac:dyDescent="0.2">
      <c r="A2226" s="24">
        <v>2222</v>
      </c>
      <c r="B2226" s="24" t="s">
        <v>223</v>
      </c>
      <c r="C2226" s="25" t="s">
        <v>222</v>
      </c>
      <c r="D2226" s="26" t="s">
        <v>240</v>
      </c>
      <c r="E2226" s="25" t="s">
        <v>239</v>
      </c>
      <c r="F2226" s="25" t="s">
        <v>238</v>
      </c>
      <c r="G2226" s="24"/>
      <c r="H2226" s="25" t="s">
        <v>264</v>
      </c>
      <c r="I2226" s="27"/>
      <c r="J2226" s="28" t="s">
        <v>273</v>
      </c>
      <c r="K2226" s="27"/>
      <c r="L2226" s="25" t="s">
        <v>277</v>
      </c>
      <c r="M2226" s="25" t="s">
        <v>276</v>
      </c>
      <c r="N2226" s="25">
        <v>24</v>
      </c>
      <c r="O2226" s="25">
        <v>2</v>
      </c>
      <c r="P2226" s="25"/>
      <c r="Q2226" s="25"/>
      <c r="R2226" s="25"/>
      <c r="S2226" s="25"/>
      <c r="T2226" s="25">
        <v>0.5</v>
      </c>
      <c r="U2226" s="25">
        <v>2.5</v>
      </c>
      <c r="V2226" s="25"/>
      <c r="W2226" s="33" t="s">
        <v>275</v>
      </c>
      <c r="X2226" s="33"/>
      <c r="Y2226" s="33"/>
      <c r="Z2226" s="33" t="s">
        <v>275</v>
      </c>
      <c r="AA2226" s="33"/>
    </row>
    <row r="2227" spans="1:27" s="70" customFormat="1" ht="135" x14ac:dyDescent="0.2">
      <c r="A2227" s="24">
        <v>2223</v>
      </c>
      <c r="B2227" s="24" t="s">
        <v>223</v>
      </c>
      <c r="C2227" s="25" t="s">
        <v>222</v>
      </c>
      <c r="D2227" s="26" t="s">
        <v>240</v>
      </c>
      <c r="E2227" s="25" t="s">
        <v>239</v>
      </c>
      <c r="F2227" s="25" t="s">
        <v>238</v>
      </c>
      <c r="G2227" s="24"/>
      <c r="H2227" s="25" t="s">
        <v>264</v>
      </c>
      <c r="I2227" s="27"/>
      <c r="J2227" s="28" t="s">
        <v>273</v>
      </c>
      <c r="K2227" s="27"/>
      <c r="L2227" s="25" t="s">
        <v>274</v>
      </c>
      <c r="M2227" s="25" t="s">
        <v>271</v>
      </c>
      <c r="N2227" s="25">
        <v>4</v>
      </c>
      <c r="O2227" s="25">
        <v>32</v>
      </c>
      <c r="P2227" s="25"/>
      <c r="Q2227" s="25"/>
      <c r="R2227" s="25"/>
      <c r="S2227" s="25"/>
      <c r="T2227" s="25">
        <v>4</v>
      </c>
      <c r="U2227" s="25">
        <v>36</v>
      </c>
      <c r="V2227" s="25"/>
      <c r="W2227" s="33" t="s">
        <v>22</v>
      </c>
      <c r="X2227" s="33"/>
      <c r="Y2227" s="33"/>
      <c r="Z2227" s="33"/>
      <c r="AA2227" s="33"/>
    </row>
    <row r="2228" spans="1:27" s="70" customFormat="1" ht="135" x14ac:dyDescent="0.2">
      <c r="A2228" s="24">
        <v>2224</v>
      </c>
      <c r="B2228" s="24" t="s">
        <v>223</v>
      </c>
      <c r="C2228" s="25" t="s">
        <v>222</v>
      </c>
      <c r="D2228" s="26" t="s">
        <v>240</v>
      </c>
      <c r="E2228" s="25" t="s">
        <v>239</v>
      </c>
      <c r="F2228" s="25" t="s">
        <v>238</v>
      </c>
      <c r="G2228" s="24"/>
      <c r="H2228" s="25" t="s">
        <v>264</v>
      </c>
      <c r="I2228" s="27"/>
      <c r="J2228" s="28" t="s">
        <v>273</v>
      </c>
      <c r="K2228" s="27"/>
      <c r="L2228" s="25" t="s">
        <v>272</v>
      </c>
      <c r="M2228" s="25" t="s">
        <v>271</v>
      </c>
      <c r="N2228" s="25">
        <v>4</v>
      </c>
      <c r="O2228" s="25">
        <v>24</v>
      </c>
      <c r="P2228" s="25"/>
      <c r="Q2228" s="25"/>
      <c r="R2228" s="25"/>
      <c r="S2228" s="25"/>
      <c r="T2228" s="25">
        <v>4</v>
      </c>
      <c r="U2228" s="25">
        <v>28</v>
      </c>
      <c r="V2228" s="25"/>
      <c r="W2228" s="33" t="s">
        <v>22</v>
      </c>
      <c r="X2228" s="33"/>
      <c r="Y2228" s="33"/>
      <c r="Z2228" s="33" t="s">
        <v>270</v>
      </c>
      <c r="AA2228" s="33"/>
    </row>
    <row r="2229" spans="1:27" s="70" customFormat="1" ht="135" x14ac:dyDescent="0.2">
      <c r="A2229" s="24">
        <v>2225</v>
      </c>
      <c r="B2229" s="24" t="s">
        <v>223</v>
      </c>
      <c r="C2229" s="25" t="s">
        <v>222</v>
      </c>
      <c r="D2229" s="26" t="s">
        <v>240</v>
      </c>
      <c r="E2229" s="25" t="s">
        <v>239</v>
      </c>
      <c r="F2229" s="25" t="s">
        <v>238</v>
      </c>
      <c r="G2229" s="24"/>
      <c r="H2229" s="25" t="s">
        <v>264</v>
      </c>
      <c r="I2229" s="27"/>
      <c r="J2229" s="28" t="s">
        <v>269</v>
      </c>
      <c r="K2229" s="27"/>
      <c r="L2229" s="25"/>
      <c r="M2229" s="25"/>
      <c r="N2229" s="25"/>
      <c r="O2229" s="25"/>
      <c r="P2229" s="25"/>
      <c r="Q2229" s="25"/>
      <c r="R2229" s="25"/>
      <c r="S2229" s="25"/>
      <c r="T2229" s="25"/>
      <c r="U2229" s="25"/>
      <c r="V2229" s="25"/>
      <c r="W2229" s="33"/>
      <c r="X2229" s="33"/>
      <c r="Y2229" s="33"/>
      <c r="Z2229" s="33"/>
      <c r="AA2229" s="33"/>
    </row>
    <row r="2230" spans="1:27" s="70" customFormat="1" ht="135" x14ac:dyDescent="0.2">
      <c r="A2230" s="24">
        <v>2226</v>
      </c>
      <c r="B2230" s="24" t="s">
        <v>223</v>
      </c>
      <c r="C2230" s="25" t="s">
        <v>222</v>
      </c>
      <c r="D2230" s="26" t="s">
        <v>240</v>
      </c>
      <c r="E2230" s="25" t="s">
        <v>239</v>
      </c>
      <c r="F2230" s="25" t="s">
        <v>238</v>
      </c>
      <c r="G2230" s="24"/>
      <c r="H2230" s="25" t="s">
        <v>264</v>
      </c>
      <c r="I2230" s="27"/>
      <c r="J2230" s="28" t="s">
        <v>268</v>
      </c>
      <c r="K2230" s="27"/>
      <c r="L2230" s="25"/>
      <c r="M2230" s="25"/>
      <c r="N2230" s="25"/>
      <c r="O2230" s="25"/>
      <c r="P2230" s="25"/>
      <c r="Q2230" s="25"/>
      <c r="R2230" s="25"/>
      <c r="S2230" s="25"/>
      <c r="T2230" s="25"/>
      <c r="U2230" s="25"/>
      <c r="V2230" s="25"/>
      <c r="W2230" s="33"/>
      <c r="X2230" s="33"/>
      <c r="Y2230" s="33"/>
      <c r="Z2230" s="33"/>
      <c r="AA2230" s="33"/>
    </row>
    <row r="2231" spans="1:27" s="70" customFormat="1" ht="135" x14ac:dyDescent="0.2">
      <c r="A2231" s="24">
        <v>2227</v>
      </c>
      <c r="B2231" s="24" t="s">
        <v>223</v>
      </c>
      <c r="C2231" s="25" t="s">
        <v>222</v>
      </c>
      <c r="D2231" s="26" t="s">
        <v>240</v>
      </c>
      <c r="E2231" s="25" t="s">
        <v>239</v>
      </c>
      <c r="F2231" s="25" t="s">
        <v>238</v>
      </c>
      <c r="G2231" s="24"/>
      <c r="H2231" s="25" t="s">
        <v>264</v>
      </c>
      <c r="I2231" s="27"/>
      <c r="J2231" s="28" t="s">
        <v>267</v>
      </c>
      <c r="K2231" s="27"/>
      <c r="L2231" s="25" t="s">
        <v>266</v>
      </c>
      <c r="M2231" s="25" t="s">
        <v>265</v>
      </c>
      <c r="N2231" s="25">
        <v>1</v>
      </c>
      <c r="O2231" s="25">
        <v>16</v>
      </c>
      <c r="P2231" s="25">
        <v>8</v>
      </c>
      <c r="Q2231" s="25">
        <v>16</v>
      </c>
      <c r="R2231" s="25"/>
      <c r="S2231" s="25"/>
      <c r="T2231" s="25">
        <v>8</v>
      </c>
      <c r="U2231" s="25">
        <v>48</v>
      </c>
      <c r="V2231" s="25"/>
      <c r="W2231" s="33" t="s">
        <v>22</v>
      </c>
      <c r="X2231" s="33"/>
      <c r="Y2231" s="33"/>
      <c r="Z2231" s="33"/>
      <c r="AA2231" s="33"/>
    </row>
    <row r="2232" spans="1:27" s="70" customFormat="1" ht="135" x14ac:dyDescent="0.2">
      <c r="A2232" s="24">
        <v>2228</v>
      </c>
      <c r="B2232" s="24" t="s">
        <v>223</v>
      </c>
      <c r="C2232" s="25" t="s">
        <v>222</v>
      </c>
      <c r="D2232" s="26" t="s">
        <v>240</v>
      </c>
      <c r="E2232" s="25" t="s">
        <v>239</v>
      </c>
      <c r="F2232" s="25" t="s">
        <v>238</v>
      </c>
      <c r="G2232" s="24"/>
      <c r="H2232" s="25" t="s">
        <v>264</v>
      </c>
      <c r="I2232" s="27"/>
      <c r="J2232" s="28" t="s">
        <v>263</v>
      </c>
      <c r="K2232" s="27"/>
      <c r="L2232" s="25"/>
      <c r="M2232" s="25"/>
      <c r="N2232" s="25"/>
      <c r="O2232" s="25"/>
      <c r="P2232" s="25"/>
      <c r="Q2232" s="25"/>
      <c r="R2232" s="25"/>
      <c r="S2232" s="25"/>
      <c r="T2232" s="25"/>
      <c r="U2232" s="25"/>
      <c r="V2232" s="25"/>
      <c r="W2232" s="33"/>
      <c r="X2232" s="33"/>
      <c r="Y2232" s="33"/>
      <c r="Z2232" s="33"/>
      <c r="AA2232" s="33"/>
    </row>
    <row r="2233" spans="1:27" s="70" customFormat="1" ht="56.25" x14ac:dyDescent="0.2">
      <c r="A2233" s="24">
        <v>2229</v>
      </c>
      <c r="B2233" s="24" t="s">
        <v>223</v>
      </c>
      <c r="C2233" s="25" t="s">
        <v>222</v>
      </c>
      <c r="D2233" s="26" t="s">
        <v>240</v>
      </c>
      <c r="E2233" s="25" t="s">
        <v>239</v>
      </c>
      <c r="F2233" s="25" t="s">
        <v>238</v>
      </c>
      <c r="G2233" s="24"/>
      <c r="H2233" s="25" t="s">
        <v>237</v>
      </c>
      <c r="I2233" s="27"/>
      <c r="J2233" s="25" t="s">
        <v>237</v>
      </c>
      <c r="K2233" s="27"/>
      <c r="L2233" s="25" t="s">
        <v>262</v>
      </c>
      <c r="M2233" s="25" t="s">
        <v>259</v>
      </c>
      <c r="N2233" s="25">
        <v>260</v>
      </c>
      <c r="O2233" s="25">
        <v>0.25</v>
      </c>
      <c r="P2233" s="25"/>
      <c r="Q2233" s="25">
        <v>0.125</v>
      </c>
      <c r="R2233" s="25"/>
      <c r="S2233" s="25"/>
      <c r="T2233" s="25">
        <v>6.25E-2</v>
      </c>
      <c r="U2233" s="25">
        <v>0.4375</v>
      </c>
      <c r="V2233" s="25"/>
      <c r="W2233" s="33" t="s">
        <v>261</v>
      </c>
      <c r="X2233" s="33"/>
      <c r="Y2233" s="33"/>
      <c r="Z2233" s="33" t="s">
        <v>261</v>
      </c>
      <c r="AA2233" s="33"/>
    </row>
    <row r="2234" spans="1:27" s="70" customFormat="1" ht="56.25" x14ac:dyDescent="0.2">
      <c r="A2234" s="24">
        <v>2230</v>
      </c>
      <c r="B2234" s="24" t="s">
        <v>223</v>
      </c>
      <c r="C2234" s="25" t="s">
        <v>222</v>
      </c>
      <c r="D2234" s="26" t="s">
        <v>240</v>
      </c>
      <c r="E2234" s="25" t="s">
        <v>239</v>
      </c>
      <c r="F2234" s="25" t="s">
        <v>238</v>
      </c>
      <c r="G2234" s="24"/>
      <c r="H2234" s="25" t="s">
        <v>237</v>
      </c>
      <c r="I2234" s="27"/>
      <c r="J2234" s="25" t="s">
        <v>237</v>
      </c>
      <c r="K2234" s="27"/>
      <c r="L2234" s="25" t="s">
        <v>260</v>
      </c>
      <c r="M2234" s="25" t="s">
        <v>259</v>
      </c>
      <c r="N2234" s="25">
        <v>406</v>
      </c>
      <c r="O2234" s="25">
        <v>0.25</v>
      </c>
      <c r="P2234" s="25"/>
      <c r="Q2234" s="25">
        <v>0.125</v>
      </c>
      <c r="R2234" s="25"/>
      <c r="S2234" s="25"/>
      <c r="T2234" s="25">
        <v>6.25E-2</v>
      </c>
      <c r="U2234" s="25">
        <v>0.4375</v>
      </c>
      <c r="V2234" s="25"/>
      <c r="W2234" s="33" t="s">
        <v>258</v>
      </c>
      <c r="X2234" s="33"/>
      <c r="Y2234" s="33" t="s">
        <v>250</v>
      </c>
      <c r="Z2234" s="33" t="s">
        <v>257</v>
      </c>
      <c r="AA2234" s="33"/>
    </row>
    <row r="2235" spans="1:27" s="70" customFormat="1" ht="56.25" x14ac:dyDescent="0.2">
      <c r="A2235" s="24">
        <v>2231</v>
      </c>
      <c r="B2235" s="24" t="s">
        <v>223</v>
      </c>
      <c r="C2235" s="25" t="s">
        <v>222</v>
      </c>
      <c r="D2235" s="26" t="s">
        <v>240</v>
      </c>
      <c r="E2235" s="25" t="s">
        <v>239</v>
      </c>
      <c r="F2235" s="25" t="s">
        <v>238</v>
      </c>
      <c r="G2235" s="24"/>
      <c r="H2235" s="25" t="s">
        <v>237</v>
      </c>
      <c r="I2235" s="27"/>
      <c r="J2235" s="25" t="s">
        <v>237</v>
      </c>
      <c r="K2235" s="27"/>
      <c r="L2235" s="25" t="s">
        <v>256</v>
      </c>
      <c r="M2235" s="25" t="s">
        <v>255</v>
      </c>
      <c r="N2235" s="25">
        <v>445</v>
      </c>
      <c r="O2235" s="25">
        <v>0.25</v>
      </c>
      <c r="P2235" s="25"/>
      <c r="Q2235" s="25">
        <v>0.125</v>
      </c>
      <c r="R2235" s="25"/>
      <c r="S2235" s="25"/>
      <c r="T2235" s="25">
        <v>6.25E-2</v>
      </c>
      <c r="U2235" s="25">
        <v>0.4375</v>
      </c>
      <c r="V2235" s="25"/>
      <c r="W2235" s="33" t="s">
        <v>251</v>
      </c>
      <c r="X2235" s="33"/>
      <c r="Y2235" s="33" t="s">
        <v>250</v>
      </c>
      <c r="Z2235" s="33" t="s">
        <v>254</v>
      </c>
      <c r="AA2235" s="33"/>
    </row>
    <row r="2236" spans="1:27" s="70" customFormat="1" ht="56.25" x14ac:dyDescent="0.2">
      <c r="A2236" s="24">
        <v>2232</v>
      </c>
      <c r="B2236" s="24" t="s">
        <v>223</v>
      </c>
      <c r="C2236" s="25" t="s">
        <v>222</v>
      </c>
      <c r="D2236" s="26" t="s">
        <v>240</v>
      </c>
      <c r="E2236" s="25" t="s">
        <v>239</v>
      </c>
      <c r="F2236" s="25" t="s">
        <v>238</v>
      </c>
      <c r="G2236" s="24"/>
      <c r="H2236" s="25" t="s">
        <v>237</v>
      </c>
      <c r="I2236" s="27"/>
      <c r="J2236" s="25" t="s">
        <v>237</v>
      </c>
      <c r="K2236" s="27"/>
      <c r="L2236" s="25" t="s">
        <v>253</v>
      </c>
      <c r="M2236" s="25" t="s">
        <v>252</v>
      </c>
      <c r="N2236" s="25">
        <v>12</v>
      </c>
      <c r="O2236" s="25">
        <v>36</v>
      </c>
      <c r="P2236" s="25"/>
      <c r="Q2236" s="25">
        <v>36</v>
      </c>
      <c r="R2236" s="25"/>
      <c r="S2236" s="25"/>
      <c r="T2236" s="25">
        <v>17</v>
      </c>
      <c r="U2236" s="25">
        <v>89</v>
      </c>
      <c r="V2236" s="25"/>
      <c r="W2236" s="33" t="s">
        <v>251</v>
      </c>
      <c r="X2236" s="33"/>
      <c r="Y2236" s="33" t="s">
        <v>250</v>
      </c>
      <c r="Z2236" s="33" t="s">
        <v>244</v>
      </c>
      <c r="AA2236" s="33"/>
    </row>
    <row r="2237" spans="1:27" s="70" customFormat="1" ht="56.25" x14ac:dyDescent="0.2">
      <c r="A2237" s="24">
        <v>2233</v>
      </c>
      <c r="B2237" s="24" t="s">
        <v>223</v>
      </c>
      <c r="C2237" s="25" t="s">
        <v>222</v>
      </c>
      <c r="D2237" s="26" t="s">
        <v>240</v>
      </c>
      <c r="E2237" s="25" t="s">
        <v>239</v>
      </c>
      <c r="F2237" s="25" t="s">
        <v>238</v>
      </c>
      <c r="G2237" s="24"/>
      <c r="H2237" s="25" t="s">
        <v>237</v>
      </c>
      <c r="I2237" s="27"/>
      <c r="J2237" s="25" t="s">
        <v>237</v>
      </c>
      <c r="K2237" s="27"/>
      <c r="L2237" s="25" t="s">
        <v>249</v>
      </c>
      <c r="M2237" s="25" t="s">
        <v>247</v>
      </c>
      <c r="N2237" s="25">
        <v>1</v>
      </c>
      <c r="O2237" s="25">
        <v>21</v>
      </c>
      <c r="P2237" s="25">
        <v>21</v>
      </c>
      <c r="Q2237" s="25">
        <v>40</v>
      </c>
      <c r="R2237" s="25"/>
      <c r="S2237" s="25"/>
      <c r="T2237" s="25">
        <v>12</v>
      </c>
      <c r="U2237" s="25">
        <v>94</v>
      </c>
      <c r="V2237" s="25"/>
      <c r="W2237" s="33" t="s">
        <v>22</v>
      </c>
      <c r="X2237" s="33"/>
      <c r="Y2237" s="33"/>
      <c r="Z2237" s="33"/>
      <c r="AA2237" s="33"/>
    </row>
    <row r="2238" spans="1:27" s="70" customFormat="1" ht="56.25" x14ac:dyDescent="0.2">
      <c r="A2238" s="24">
        <v>2234</v>
      </c>
      <c r="B2238" s="24" t="s">
        <v>223</v>
      </c>
      <c r="C2238" s="25" t="s">
        <v>222</v>
      </c>
      <c r="D2238" s="26" t="s">
        <v>240</v>
      </c>
      <c r="E2238" s="25" t="s">
        <v>239</v>
      </c>
      <c r="F2238" s="25" t="s">
        <v>238</v>
      </c>
      <c r="G2238" s="24"/>
      <c r="H2238" s="25" t="s">
        <v>237</v>
      </c>
      <c r="I2238" s="27"/>
      <c r="J2238" s="25" t="s">
        <v>237</v>
      </c>
      <c r="K2238" s="27"/>
      <c r="L2238" s="25" t="s">
        <v>248</v>
      </c>
      <c r="M2238" s="25" t="s">
        <v>247</v>
      </c>
      <c r="N2238" s="25">
        <v>1</v>
      </c>
      <c r="O2238" s="25">
        <v>24</v>
      </c>
      <c r="P2238" s="25">
        <v>24</v>
      </c>
      <c r="Q2238" s="25">
        <v>120</v>
      </c>
      <c r="R2238" s="25"/>
      <c r="S2238" s="25"/>
      <c r="T2238" s="25">
        <v>56</v>
      </c>
      <c r="U2238" s="25">
        <v>224</v>
      </c>
      <c r="V2238" s="25"/>
      <c r="W2238" s="33" t="s">
        <v>22</v>
      </c>
      <c r="X2238" s="33"/>
      <c r="Y2238" s="33"/>
      <c r="Z2238" s="33"/>
      <c r="AA2238" s="33"/>
    </row>
    <row r="2239" spans="1:27" s="70" customFormat="1" ht="56.25" x14ac:dyDescent="0.2">
      <c r="A2239" s="24">
        <v>2235</v>
      </c>
      <c r="B2239" s="24" t="s">
        <v>223</v>
      </c>
      <c r="C2239" s="25" t="s">
        <v>222</v>
      </c>
      <c r="D2239" s="26" t="s">
        <v>240</v>
      </c>
      <c r="E2239" s="25" t="s">
        <v>239</v>
      </c>
      <c r="F2239" s="25" t="s">
        <v>238</v>
      </c>
      <c r="G2239" s="24"/>
      <c r="H2239" s="25" t="s">
        <v>237</v>
      </c>
      <c r="I2239" s="27"/>
      <c r="J2239" s="25" t="s">
        <v>237</v>
      </c>
      <c r="K2239" s="27"/>
      <c r="L2239" s="25" t="s">
        <v>246</v>
      </c>
      <c r="M2239" s="25" t="s">
        <v>245</v>
      </c>
      <c r="N2239" s="25">
        <v>1</v>
      </c>
      <c r="O2239" s="25">
        <v>32</v>
      </c>
      <c r="P2239" s="25">
        <v>32</v>
      </c>
      <c r="Q2239" s="25">
        <v>40</v>
      </c>
      <c r="R2239" s="25"/>
      <c r="S2239" s="25"/>
      <c r="T2239" s="25">
        <v>16</v>
      </c>
      <c r="U2239" s="25">
        <v>120</v>
      </c>
      <c r="V2239" s="25"/>
      <c r="W2239" s="33" t="s">
        <v>22</v>
      </c>
      <c r="X2239" s="33"/>
      <c r="Y2239" s="33"/>
      <c r="Z2239" s="33" t="s">
        <v>244</v>
      </c>
      <c r="AA2239" s="33"/>
    </row>
    <row r="2240" spans="1:27" s="70" customFormat="1" ht="56.25" x14ac:dyDescent="0.2">
      <c r="A2240" s="24">
        <v>2236</v>
      </c>
      <c r="B2240" s="24" t="s">
        <v>223</v>
      </c>
      <c r="C2240" s="25" t="s">
        <v>222</v>
      </c>
      <c r="D2240" s="26" t="s">
        <v>240</v>
      </c>
      <c r="E2240" s="25" t="s">
        <v>239</v>
      </c>
      <c r="F2240" s="25" t="s">
        <v>238</v>
      </c>
      <c r="G2240" s="24"/>
      <c r="H2240" s="25" t="s">
        <v>237</v>
      </c>
      <c r="I2240" s="27"/>
      <c r="J2240" s="25" t="s">
        <v>237</v>
      </c>
      <c r="K2240" s="27"/>
      <c r="L2240" s="25" t="s">
        <v>243</v>
      </c>
      <c r="M2240" s="25" t="s">
        <v>235</v>
      </c>
      <c r="N2240" s="25">
        <v>50</v>
      </c>
      <c r="O2240" s="25">
        <v>4</v>
      </c>
      <c r="P2240" s="25">
        <v>4</v>
      </c>
      <c r="Q2240" s="25">
        <v>4</v>
      </c>
      <c r="R2240" s="25"/>
      <c r="S2240" s="25"/>
      <c r="T2240" s="25">
        <v>2</v>
      </c>
      <c r="U2240" s="25">
        <v>14</v>
      </c>
      <c r="V2240" s="25"/>
      <c r="W2240" s="33" t="s">
        <v>242</v>
      </c>
      <c r="X2240" s="33"/>
      <c r="Y2240" s="33"/>
      <c r="Z2240" s="33" t="s">
        <v>241</v>
      </c>
      <c r="AA2240" s="33"/>
    </row>
    <row r="2241" spans="1:27" s="70" customFormat="1" ht="56.25" x14ac:dyDescent="0.2">
      <c r="A2241" s="24">
        <v>2237</v>
      </c>
      <c r="B2241" s="24" t="s">
        <v>223</v>
      </c>
      <c r="C2241" s="25" t="s">
        <v>222</v>
      </c>
      <c r="D2241" s="26" t="s">
        <v>240</v>
      </c>
      <c r="E2241" s="25" t="s">
        <v>239</v>
      </c>
      <c r="F2241" s="25" t="s">
        <v>238</v>
      </c>
      <c r="G2241" s="24"/>
      <c r="H2241" s="25" t="s">
        <v>237</v>
      </c>
      <c r="I2241" s="27"/>
      <c r="J2241" s="25" t="s">
        <v>237</v>
      </c>
      <c r="K2241" s="27"/>
      <c r="L2241" s="25" t="s">
        <v>236</v>
      </c>
      <c r="M2241" s="25" t="s">
        <v>235</v>
      </c>
      <c r="N2241" s="25">
        <v>90</v>
      </c>
      <c r="O2241" s="25"/>
      <c r="P2241" s="25">
        <v>8</v>
      </c>
      <c r="Q2241" s="25"/>
      <c r="R2241" s="25"/>
      <c r="S2241" s="25"/>
      <c r="T2241" s="25"/>
      <c r="U2241" s="25">
        <v>8</v>
      </c>
      <c r="V2241" s="25"/>
      <c r="W2241" s="33" t="s">
        <v>234</v>
      </c>
      <c r="X2241" s="33"/>
      <c r="Y2241" s="33"/>
      <c r="Z2241" s="33"/>
      <c r="AA2241" s="33"/>
    </row>
    <row r="2242" spans="1:27" s="70" customFormat="1" ht="56.25" x14ac:dyDescent="0.2">
      <c r="A2242" s="24">
        <v>2238</v>
      </c>
      <c r="B2242" s="24" t="s">
        <v>223</v>
      </c>
      <c r="C2242" s="25" t="s">
        <v>222</v>
      </c>
      <c r="D2242" s="26"/>
      <c r="E2242" s="25" t="s">
        <v>221</v>
      </c>
      <c r="F2242" s="25" t="s">
        <v>220</v>
      </c>
      <c r="G2242" s="24"/>
      <c r="H2242" s="25" t="s">
        <v>231</v>
      </c>
      <c r="I2242" s="27"/>
      <c r="J2242" s="28" t="s">
        <v>233</v>
      </c>
      <c r="K2242" s="27"/>
      <c r="L2242" s="25"/>
      <c r="M2242" s="25"/>
      <c r="N2242" s="25"/>
      <c r="O2242" s="25"/>
      <c r="P2242" s="25"/>
      <c r="Q2242" s="25"/>
      <c r="R2242" s="25"/>
      <c r="S2242" s="25"/>
      <c r="T2242" s="25"/>
      <c r="U2242" s="25"/>
      <c r="V2242" s="25"/>
      <c r="W2242" s="33"/>
      <c r="X2242" s="33"/>
      <c r="Y2242" s="33"/>
      <c r="Z2242" s="33"/>
      <c r="AA2242" s="33"/>
    </row>
    <row r="2243" spans="1:27" s="70" customFormat="1" ht="56.25" x14ac:dyDescent="0.2">
      <c r="A2243" s="24">
        <v>2239</v>
      </c>
      <c r="B2243" s="24" t="s">
        <v>223</v>
      </c>
      <c r="C2243" s="25" t="s">
        <v>222</v>
      </c>
      <c r="D2243" s="26"/>
      <c r="E2243" s="25" t="s">
        <v>221</v>
      </c>
      <c r="F2243" s="25" t="s">
        <v>220</v>
      </c>
      <c r="G2243" s="24"/>
      <c r="H2243" s="25" t="s">
        <v>231</v>
      </c>
      <c r="I2243" s="27"/>
      <c r="J2243" s="28" t="s">
        <v>232</v>
      </c>
      <c r="K2243" s="27"/>
      <c r="L2243" s="25"/>
      <c r="M2243" s="25"/>
      <c r="N2243" s="25"/>
      <c r="O2243" s="25"/>
      <c r="P2243" s="25"/>
      <c r="Q2243" s="25"/>
      <c r="R2243" s="25"/>
      <c r="S2243" s="25"/>
      <c r="T2243" s="25"/>
      <c r="U2243" s="25"/>
      <c r="V2243" s="25"/>
      <c r="W2243" s="33"/>
      <c r="X2243" s="33"/>
      <c r="Y2243" s="33"/>
      <c r="Z2243" s="33"/>
      <c r="AA2243" s="33"/>
    </row>
    <row r="2244" spans="1:27" s="70" customFormat="1" ht="56.25" x14ac:dyDescent="0.2">
      <c r="A2244" s="24">
        <v>2240</v>
      </c>
      <c r="B2244" s="24" t="s">
        <v>223</v>
      </c>
      <c r="C2244" s="25" t="s">
        <v>222</v>
      </c>
      <c r="D2244" s="26"/>
      <c r="E2244" s="25" t="s">
        <v>221</v>
      </c>
      <c r="F2244" s="25" t="s">
        <v>220</v>
      </c>
      <c r="G2244" s="24"/>
      <c r="H2244" s="25" t="s">
        <v>231</v>
      </c>
      <c r="I2244" s="27"/>
      <c r="J2244" s="28" t="s">
        <v>230</v>
      </c>
      <c r="K2244" s="27"/>
      <c r="L2244" s="25"/>
      <c r="M2244" s="25"/>
      <c r="N2244" s="25"/>
      <c r="O2244" s="25"/>
      <c r="P2244" s="25"/>
      <c r="Q2244" s="25"/>
      <c r="R2244" s="25"/>
      <c r="S2244" s="25"/>
      <c r="T2244" s="25"/>
      <c r="U2244" s="25"/>
      <c r="V2244" s="25"/>
      <c r="W2244" s="33"/>
      <c r="X2244" s="33"/>
      <c r="Y2244" s="33"/>
      <c r="Z2244" s="33"/>
      <c r="AA2244" s="33"/>
    </row>
    <row r="2245" spans="1:27" s="70" customFormat="1" ht="67.5" x14ac:dyDescent="0.2">
      <c r="A2245" s="24">
        <v>2241</v>
      </c>
      <c r="B2245" s="24" t="s">
        <v>223</v>
      </c>
      <c r="C2245" s="25" t="s">
        <v>222</v>
      </c>
      <c r="D2245" s="26"/>
      <c r="E2245" s="25" t="s">
        <v>221</v>
      </c>
      <c r="F2245" s="25" t="s">
        <v>220</v>
      </c>
      <c r="G2245" s="24"/>
      <c r="H2245" s="25" t="s">
        <v>225</v>
      </c>
      <c r="I2245" s="27"/>
      <c r="J2245" s="28" t="s">
        <v>229</v>
      </c>
      <c r="K2245" s="27"/>
      <c r="L2245" s="25"/>
      <c r="M2245" s="25"/>
      <c r="N2245" s="25"/>
      <c r="O2245" s="25"/>
      <c r="P2245" s="25"/>
      <c r="Q2245" s="25"/>
      <c r="R2245" s="25"/>
      <c r="S2245" s="25"/>
      <c r="T2245" s="25"/>
      <c r="U2245" s="25"/>
      <c r="V2245" s="25"/>
      <c r="W2245" s="33"/>
      <c r="X2245" s="33"/>
      <c r="Y2245" s="33"/>
      <c r="Z2245" s="33"/>
      <c r="AA2245" s="33"/>
    </row>
    <row r="2246" spans="1:27" s="70" customFormat="1" ht="67.5" x14ac:dyDescent="0.2">
      <c r="A2246" s="24">
        <v>2242</v>
      </c>
      <c r="B2246" s="24" t="s">
        <v>223</v>
      </c>
      <c r="C2246" s="25" t="s">
        <v>222</v>
      </c>
      <c r="D2246" s="26"/>
      <c r="E2246" s="25" t="s">
        <v>221</v>
      </c>
      <c r="F2246" s="25" t="s">
        <v>220</v>
      </c>
      <c r="G2246" s="24"/>
      <c r="H2246" s="25" t="s">
        <v>225</v>
      </c>
      <c r="I2246" s="27"/>
      <c r="J2246" s="28" t="s">
        <v>228</v>
      </c>
      <c r="K2246" s="27"/>
      <c r="L2246" s="25"/>
      <c r="M2246" s="25"/>
      <c r="N2246" s="25"/>
      <c r="O2246" s="25"/>
      <c r="P2246" s="25"/>
      <c r="Q2246" s="25"/>
      <c r="R2246" s="25"/>
      <c r="S2246" s="25"/>
      <c r="T2246" s="25"/>
      <c r="U2246" s="25"/>
      <c r="V2246" s="25"/>
      <c r="W2246" s="33"/>
      <c r="X2246" s="33"/>
      <c r="Y2246" s="33"/>
      <c r="Z2246" s="33"/>
      <c r="AA2246" s="33"/>
    </row>
    <row r="2247" spans="1:27" s="70" customFormat="1" ht="67.5" x14ac:dyDescent="0.2">
      <c r="A2247" s="24">
        <v>2243</v>
      </c>
      <c r="B2247" s="24" t="s">
        <v>223</v>
      </c>
      <c r="C2247" s="25" t="s">
        <v>222</v>
      </c>
      <c r="D2247" s="26"/>
      <c r="E2247" s="25" t="s">
        <v>221</v>
      </c>
      <c r="F2247" s="25" t="s">
        <v>220</v>
      </c>
      <c r="G2247" s="24"/>
      <c r="H2247" s="25" t="s">
        <v>225</v>
      </c>
      <c r="I2247" s="27"/>
      <c r="J2247" s="28" t="s">
        <v>227</v>
      </c>
      <c r="K2247" s="27"/>
      <c r="L2247" s="25"/>
      <c r="M2247" s="25"/>
      <c r="N2247" s="25"/>
      <c r="O2247" s="25"/>
      <c r="P2247" s="25"/>
      <c r="Q2247" s="25"/>
      <c r="R2247" s="25"/>
      <c r="S2247" s="25"/>
      <c r="T2247" s="25"/>
      <c r="U2247" s="25"/>
      <c r="V2247" s="25"/>
      <c r="W2247" s="33"/>
      <c r="X2247" s="33"/>
      <c r="Y2247" s="33"/>
      <c r="Z2247" s="33"/>
      <c r="AA2247" s="33"/>
    </row>
    <row r="2248" spans="1:27" s="70" customFormat="1" ht="67.5" x14ac:dyDescent="0.2">
      <c r="A2248" s="24">
        <v>2244</v>
      </c>
      <c r="B2248" s="24" t="s">
        <v>223</v>
      </c>
      <c r="C2248" s="25" t="s">
        <v>222</v>
      </c>
      <c r="D2248" s="26"/>
      <c r="E2248" s="25" t="s">
        <v>221</v>
      </c>
      <c r="F2248" s="25" t="s">
        <v>220</v>
      </c>
      <c r="G2248" s="24"/>
      <c r="H2248" s="25" t="s">
        <v>225</v>
      </c>
      <c r="I2248" s="27"/>
      <c r="J2248" s="28" t="s">
        <v>226</v>
      </c>
      <c r="K2248" s="27"/>
      <c r="L2248" s="25"/>
      <c r="M2248" s="25"/>
      <c r="N2248" s="25"/>
      <c r="O2248" s="25"/>
      <c r="P2248" s="25"/>
      <c r="Q2248" s="25"/>
      <c r="R2248" s="25"/>
      <c r="S2248" s="25"/>
      <c r="T2248" s="25"/>
      <c r="U2248" s="25"/>
      <c r="V2248" s="25"/>
      <c r="W2248" s="33"/>
      <c r="X2248" s="33"/>
      <c r="Y2248" s="33"/>
      <c r="Z2248" s="33"/>
      <c r="AA2248" s="33"/>
    </row>
    <row r="2249" spans="1:27" s="70" customFormat="1" ht="67.5" x14ac:dyDescent="0.2">
      <c r="A2249" s="24">
        <v>2245</v>
      </c>
      <c r="B2249" s="24" t="s">
        <v>223</v>
      </c>
      <c r="C2249" s="25" t="s">
        <v>222</v>
      </c>
      <c r="D2249" s="26"/>
      <c r="E2249" s="25" t="s">
        <v>221</v>
      </c>
      <c r="F2249" s="25" t="s">
        <v>220</v>
      </c>
      <c r="G2249" s="24"/>
      <c r="H2249" s="25" t="s">
        <v>225</v>
      </c>
      <c r="I2249" s="27"/>
      <c r="J2249" s="28" t="s">
        <v>224</v>
      </c>
      <c r="K2249" s="27"/>
      <c r="L2249" s="25"/>
      <c r="M2249" s="25"/>
      <c r="N2249" s="25"/>
      <c r="O2249" s="25"/>
      <c r="P2249" s="25"/>
      <c r="Q2249" s="25"/>
      <c r="R2249" s="25"/>
      <c r="S2249" s="25"/>
      <c r="T2249" s="25"/>
      <c r="U2249" s="25"/>
      <c r="V2249" s="25"/>
      <c r="W2249" s="33"/>
      <c r="X2249" s="33"/>
      <c r="Y2249" s="33"/>
      <c r="Z2249" s="33"/>
      <c r="AA2249" s="33"/>
    </row>
    <row r="2250" spans="1:27" s="70" customFormat="1" ht="56.25" x14ac:dyDescent="0.2">
      <c r="A2250" s="24">
        <v>2246</v>
      </c>
      <c r="B2250" s="24" t="s">
        <v>223</v>
      </c>
      <c r="C2250" s="25" t="s">
        <v>222</v>
      </c>
      <c r="D2250" s="26"/>
      <c r="E2250" s="25" t="s">
        <v>221</v>
      </c>
      <c r="F2250" s="25" t="s">
        <v>220</v>
      </c>
      <c r="G2250" s="24"/>
      <c r="H2250" s="25" t="s">
        <v>219</v>
      </c>
      <c r="I2250" s="27"/>
      <c r="J2250" s="25" t="s">
        <v>219</v>
      </c>
      <c r="K2250" s="27"/>
      <c r="L2250" s="25"/>
      <c r="M2250" s="25"/>
      <c r="N2250" s="25"/>
      <c r="O2250" s="25"/>
      <c r="P2250" s="25"/>
      <c r="Q2250" s="25"/>
      <c r="R2250" s="25"/>
      <c r="S2250" s="25"/>
      <c r="T2250" s="25"/>
      <c r="U2250" s="25"/>
      <c r="V2250" s="25"/>
      <c r="W2250" s="33"/>
      <c r="X2250" s="33"/>
      <c r="Y2250" s="33"/>
      <c r="Z2250" s="33"/>
      <c r="AA2250" s="33"/>
    </row>
    <row r="2251" spans="1:27" s="70" customFormat="1" ht="33.75" x14ac:dyDescent="0.2">
      <c r="A2251" s="24">
        <v>2247</v>
      </c>
      <c r="B2251" s="27" t="s">
        <v>184</v>
      </c>
      <c r="C2251" s="28" t="s">
        <v>183</v>
      </c>
      <c r="D2251" s="71" t="s">
        <v>182</v>
      </c>
      <c r="E2251" s="28" t="s">
        <v>181</v>
      </c>
      <c r="F2251" s="28" t="s">
        <v>180</v>
      </c>
      <c r="G2251" s="27"/>
      <c r="H2251" s="28" t="s">
        <v>212</v>
      </c>
      <c r="I2251" s="27"/>
      <c r="J2251" s="28" t="s">
        <v>218</v>
      </c>
      <c r="K2251" s="27"/>
      <c r="L2251" s="25"/>
      <c r="M2251" s="25"/>
      <c r="N2251" s="25"/>
      <c r="O2251" s="25"/>
      <c r="P2251" s="25"/>
      <c r="Q2251" s="25"/>
      <c r="R2251" s="25"/>
      <c r="S2251" s="25"/>
      <c r="T2251" s="25"/>
      <c r="U2251" s="25"/>
      <c r="V2251" s="25"/>
      <c r="W2251" s="33"/>
      <c r="X2251" s="33"/>
      <c r="Y2251" s="33"/>
      <c r="Z2251" s="33"/>
      <c r="AA2251" s="33"/>
    </row>
    <row r="2252" spans="1:27" s="70" customFormat="1" ht="33.75" x14ac:dyDescent="0.2">
      <c r="A2252" s="24">
        <v>2248</v>
      </c>
      <c r="B2252" s="27" t="s">
        <v>184</v>
      </c>
      <c r="C2252" s="28" t="s">
        <v>183</v>
      </c>
      <c r="D2252" s="71" t="s">
        <v>182</v>
      </c>
      <c r="E2252" s="28" t="s">
        <v>181</v>
      </c>
      <c r="F2252" s="28" t="s">
        <v>180</v>
      </c>
      <c r="G2252" s="27"/>
      <c r="H2252" s="28" t="s">
        <v>212</v>
      </c>
      <c r="I2252" s="27"/>
      <c r="J2252" s="28" t="s">
        <v>217</v>
      </c>
      <c r="K2252" s="27"/>
      <c r="L2252" s="25"/>
      <c r="M2252" s="25"/>
      <c r="N2252" s="25"/>
      <c r="O2252" s="25"/>
      <c r="P2252" s="25"/>
      <c r="Q2252" s="25"/>
      <c r="R2252" s="25"/>
      <c r="S2252" s="25"/>
      <c r="T2252" s="25"/>
      <c r="U2252" s="25"/>
      <c r="V2252" s="25"/>
      <c r="W2252" s="33"/>
      <c r="X2252" s="33"/>
      <c r="Y2252" s="33"/>
      <c r="Z2252" s="33"/>
      <c r="AA2252" s="33"/>
    </row>
    <row r="2253" spans="1:27" s="70" customFormat="1" ht="33.75" x14ac:dyDescent="0.2">
      <c r="A2253" s="24">
        <v>2249</v>
      </c>
      <c r="B2253" s="27" t="s">
        <v>184</v>
      </c>
      <c r="C2253" s="28" t="s">
        <v>183</v>
      </c>
      <c r="D2253" s="71" t="s">
        <v>182</v>
      </c>
      <c r="E2253" s="28" t="s">
        <v>181</v>
      </c>
      <c r="F2253" s="28" t="s">
        <v>180</v>
      </c>
      <c r="G2253" s="27"/>
      <c r="H2253" s="28" t="s">
        <v>212</v>
      </c>
      <c r="I2253" s="27"/>
      <c r="J2253" s="28" t="s">
        <v>215</v>
      </c>
      <c r="K2253" s="27"/>
      <c r="L2253" s="25" t="s">
        <v>216</v>
      </c>
      <c r="M2253" s="25" t="s">
        <v>199</v>
      </c>
      <c r="N2253" s="25">
        <v>12</v>
      </c>
      <c r="O2253" s="25">
        <v>2</v>
      </c>
      <c r="P2253" s="25">
        <v>2</v>
      </c>
      <c r="Q2253" s="25">
        <v>2</v>
      </c>
      <c r="R2253" s="25">
        <v>2</v>
      </c>
      <c r="S2253" s="25">
        <v>0</v>
      </c>
      <c r="T2253" s="25">
        <v>0</v>
      </c>
      <c r="U2253" s="25">
        <v>8</v>
      </c>
      <c r="V2253" s="25"/>
      <c r="W2253" s="33" t="s">
        <v>198</v>
      </c>
      <c r="X2253" s="33" t="s">
        <v>197</v>
      </c>
      <c r="Y2253" s="33" t="s">
        <v>38</v>
      </c>
      <c r="Z2253" s="33" t="s">
        <v>213</v>
      </c>
      <c r="AA2253" s="33"/>
    </row>
    <row r="2254" spans="1:27" s="70" customFormat="1" ht="33.75" x14ac:dyDescent="0.2">
      <c r="A2254" s="24">
        <v>2250</v>
      </c>
      <c r="B2254" s="27" t="s">
        <v>184</v>
      </c>
      <c r="C2254" s="28" t="s">
        <v>183</v>
      </c>
      <c r="D2254" s="71" t="s">
        <v>182</v>
      </c>
      <c r="E2254" s="28" t="s">
        <v>181</v>
      </c>
      <c r="F2254" s="28" t="s">
        <v>180</v>
      </c>
      <c r="G2254" s="27"/>
      <c r="H2254" s="28" t="s">
        <v>212</v>
      </c>
      <c r="I2254" s="27"/>
      <c r="J2254" s="28" t="s">
        <v>215</v>
      </c>
      <c r="K2254" s="27"/>
      <c r="L2254" s="25" t="s">
        <v>214</v>
      </c>
      <c r="M2254" s="25" t="s">
        <v>199</v>
      </c>
      <c r="N2254" s="25">
        <v>10</v>
      </c>
      <c r="O2254" s="25">
        <v>4</v>
      </c>
      <c r="P2254" s="25">
        <v>4</v>
      </c>
      <c r="Q2254" s="25">
        <v>4</v>
      </c>
      <c r="R2254" s="25">
        <v>0</v>
      </c>
      <c r="S2254" s="25">
        <v>4</v>
      </c>
      <c r="T2254" s="25">
        <v>0</v>
      </c>
      <c r="U2254" s="25">
        <v>16</v>
      </c>
      <c r="V2254" s="25"/>
      <c r="W2254" s="33" t="s">
        <v>198</v>
      </c>
      <c r="X2254" s="33" t="s">
        <v>197</v>
      </c>
      <c r="Y2254" s="33" t="s">
        <v>38</v>
      </c>
      <c r="Z2254" s="33" t="s">
        <v>213</v>
      </c>
      <c r="AA2254" s="33"/>
    </row>
    <row r="2255" spans="1:27" s="70" customFormat="1" ht="33.75" x14ac:dyDescent="0.2">
      <c r="A2255" s="24">
        <v>2251</v>
      </c>
      <c r="B2255" s="27" t="s">
        <v>184</v>
      </c>
      <c r="C2255" s="28" t="s">
        <v>183</v>
      </c>
      <c r="D2255" s="71" t="s">
        <v>182</v>
      </c>
      <c r="E2255" s="28" t="s">
        <v>181</v>
      </c>
      <c r="F2255" s="28" t="s">
        <v>180</v>
      </c>
      <c r="G2255" s="27"/>
      <c r="H2255" s="28" t="s">
        <v>212</v>
      </c>
      <c r="I2255" s="27"/>
      <c r="J2255" s="28" t="s">
        <v>211</v>
      </c>
      <c r="K2255" s="27"/>
      <c r="L2255" s="25" t="s">
        <v>210</v>
      </c>
      <c r="M2255" s="25" t="s">
        <v>209</v>
      </c>
      <c r="N2255" s="25">
        <v>2</v>
      </c>
      <c r="O2255" s="25"/>
      <c r="P2255" s="25"/>
      <c r="Q2255" s="25"/>
      <c r="R2255" s="25"/>
      <c r="S2255" s="25"/>
      <c r="T2255" s="25">
        <v>16</v>
      </c>
      <c r="U2255" s="25">
        <v>16</v>
      </c>
      <c r="V2255" s="25"/>
      <c r="W2255" s="33" t="s">
        <v>208</v>
      </c>
      <c r="X2255" s="33"/>
      <c r="Y2255" s="33" t="s">
        <v>38</v>
      </c>
      <c r="Z2255" s="33" t="s">
        <v>207</v>
      </c>
      <c r="AA2255" s="33"/>
    </row>
    <row r="2256" spans="1:27" s="70" customFormat="1" ht="56.25" x14ac:dyDescent="0.2">
      <c r="A2256" s="24">
        <v>2252</v>
      </c>
      <c r="B2256" s="27" t="s">
        <v>184</v>
      </c>
      <c r="C2256" s="28" t="s">
        <v>183</v>
      </c>
      <c r="D2256" s="71" t="s">
        <v>182</v>
      </c>
      <c r="E2256" s="28" t="s">
        <v>181</v>
      </c>
      <c r="F2256" s="28" t="s">
        <v>180</v>
      </c>
      <c r="G2256" s="27"/>
      <c r="H2256" s="28" t="s">
        <v>202</v>
      </c>
      <c r="I2256" s="27"/>
      <c r="J2256" s="28" t="s">
        <v>201</v>
      </c>
      <c r="K2256" s="27"/>
      <c r="L2256" s="25" t="s">
        <v>206</v>
      </c>
      <c r="M2256" s="25" t="s">
        <v>199</v>
      </c>
      <c r="N2256" s="25">
        <v>120</v>
      </c>
      <c r="O2256" s="25">
        <v>7.2</v>
      </c>
      <c r="P2256" s="25">
        <v>0.8</v>
      </c>
      <c r="Q2256" s="25">
        <v>4.5</v>
      </c>
      <c r="R2256" s="25">
        <v>0.5</v>
      </c>
      <c r="S2256" s="25">
        <v>2.7</v>
      </c>
      <c r="T2256" s="25">
        <v>0.3</v>
      </c>
      <c r="U2256" s="25">
        <v>16</v>
      </c>
      <c r="V2256" s="25"/>
      <c r="W2256" s="33" t="s">
        <v>198</v>
      </c>
      <c r="X2256" s="33" t="s">
        <v>197</v>
      </c>
      <c r="Y2256" s="33" t="s">
        <v>38</v>
      </c>
      <c r="Z2256" s="33" t="s">
        <v>195</v>
      </c>
      <c r="AA2256" s="33"/>
    </row>
    <row r="2257" spans="1:27" s="70" customFormat="1" ht="56.25" x14ac:dyDescent="0.2">
      <c r="A2257" s="24">
        <v>2253</v>
      </c>
      <c r="B2257" s="27" t="s">
        <v>184</v>
      </c>
      <c r="C2257" s="28" t="s">
        <v>183</v>
      </c>
      <c r="D2257" s="71" t="s">
        <v>182</v>
      </c>
      <c r="E2257" s="28" t="s">
        <v>181</v>
      </c>
      <c r="F2257" s="28" t="s">
        <v>180</v>
      </c>
      <c r="G2257" s="27"/>
      <c r="H2257" s="28" t="s">
        <v>202</v>
      </c>
      <c r="I2257" s="27"/>
      <c r="J2257" s="28" t="s">
        <v>201</v>
      </c>
      <c r="K2257" s="27"/>
      <c r="L2257" s="25" t="s">
        <v>205</v>
      </c>
      <c r="M2257" s="25" t="s">
        <v>199</v>
      </c>
      <c r="N2257" s="25">
        <v>160</v>
      </c>
      <c r="O2257" s="25">
        <v>6.75</v>
      </c>
      <c r="P2257" s="25">
        <v>1.25</v>
      </c>
      <c r="Q2257" s="25">
        <v>4.21875</v>
      </c>
      <c r="R2257" s="25">
        <v>0.78125</v>
      </c>
      <c r="S2257" s="25">
        <v>2.53125</v>
      </c>
      <c r="T2257" s="25">
        <v>0.46875</v>
      </c>
      <c r="U2257" s="25">
        <v>16</v>
      </c>
      <c r="V2257" s="25"/>
      <c r="W2257" s="33" t="s">
        <v>198</v>
      </c>
      <c r="X2257" s="33" t="s">
        <v>197</v>
      </c>
      <c r="Y2257" s="33" t="s">
        <v>38</v>
      </c>
      <c r="Z2257" s="33" t="s">
        <v>195</v>
      </c>
      <c r="AA2257" s="33"/>
    </row>
    <row r="2258" spans="1:27" s="70" customFormat="1" ht="56.25" x14ac:dyDescent="0.2">
      <c r="A2258" s="24">
        <v>2254</v>
      </c>
      <c r="B2258" s="27" t="s">
        <v>184</v>
      </c>
      <c r="C2258" s="28" t="s">
        <v>183</v>
      </c>
      <c r="D2258" s="71" t="s">
        <v>182</v>
      </c>
      <c r="E2258" s="28" t="s">
        <v>181</v>
      </c>
      <c r="F2258" s="28" t="s">
        <v>180</v>
      </c>
      <c r="G2258" s="27"/>
      <c r="H2258" s="28" t="s">
        <v>202</v>
      </c>
      <c r="I2258" s="27"/>
      <c r="J2258" s="28" t="s">
        <v>201</v>
      </c>
      <c r="K2258" s="27"/>
      <c r="L2258" s="25" t="s">
        <v>204</v>
      </c>
      <c r="M2258" s="25" t="s">
        <v>199</v>
      </c>
      <c r="N2258" s="25">
        <v>3</v>
      </c>
      <c r="O2258" s="25">
        <v>14</v>
      </c>
      <c r="P2258" s="25"/>
      <c r="Q2258" s="25">
        <v>6</v>
      </c>
      <c r="R2258" s="25"/>
      <c r="S2258" s="25">
        <v>4</v>
      </c>
      <c r="T2258" s="25"/>
      <c r="U2258" s="25">
        <v>24</v>
      </c>
      <c r="V2258" s="25"/>
      <c r="W2258" s="33" t="s">
        <v>198</v>
      </c>
      <c r="X2258" s="33" t="s">
        <v>197</v>
      </c>
      <c r="Y2258" s="33" t="s">
        <v>38</v>
      </c>
      <c r="Z2258" s="33" t="s">
        <v>195</v>
      </c>
      <c r="AA2258" s="33"/>
    </row>
    <row r="2259" spans="1:27" s="70" customFormat="1" ht="56.25" x14ac:dyDescent="0.2">
      <c r="A2259" s="24">
        <v>2255</v>
      </c>
      <c r="B2259" s="27" t="s">
        <v>184</v>
      </c>
      <c r="C2259" s="28" t="s">
        <v>183</v>
      </c>
      <c r="D2259" s="71" t="s">
        <v>182</v>
      </c>
      <c r="E2259" s="28" t="s">
        <v>181</v>
      </c>
      <c r="F2259" s="28" t="s">
        <v>180</v>
      </c>
      <c r="G2259" s="27"/>
      <c r="H2259" s="28" t="s">
        <v>202</v>
      </c>
      <c r="I2259" s="27"/>
      <c r="J2259" s="28" t="s">
        <v>201</v>
      </c>
      <c r="K2259" s="27"/>
      <c r="L2259" s="25" t="s">
        <v>203</v>
      </c>
      <c r="M2259" s="25" t="s">
        <v>199</v>
      </c>
      <c r="N2259" s="25">
        <v>22</v>
      </c>
      <c r="O2259" s="25">
        <v>12</v>
      </c>
      <c r="P2259" s="25">
        <v>10</v>
      </c>
      <c r="Q2259" s="25">
        <v>5.4545454545454541</v>
      </c>
      <c r="R2259" s="25">
        <v>4.5454545454545459</v>
      </c>
      <c r="S2259" s="25">
        <v>4.3636363636363633</v>
      </c>
      <c r="T2259" s="25">
        <v>3.6363636363636362</v>
      </c>
      <c r="U2259" s="25">
        <v>40</v>
      </c>
      <c r="V2259" s="25"/>
      <c r="W2259" s="33" t="s">
        <v>198</v>
      </c>
      <c r="X2259" s="33" t="s">
        <v>197</v>
      </c>
      <c r="Y2259" s="33" t="s">
        <v>38</v>
      </c>
      <c r="Z2259" s="33" t="s">
        <v>195</v>
      </c>
      <c r="AA2259" s="33"/>
    </row>
    <row r="2260" spans="1:27" s="70" customFormat="1" ht="56.25" x14ac:dyDescent="0.2">
      <c r="A2260" s="24">
        <v>2256</v>
      </c>
      <c r="B2260" s="27" t="s">
        <v>184</v>
      </c>
      <c r="C2260" s="28" t="s">
        <v>183</v>
      </c>
      <c r="D2260" s="71" t="s">
        <v>182</v>
      </c>
      <c r="E2260" s="28" t="s">
        <v>181</v>
      </c>
      <c r="F2260" s="28" t="s">
        <v>180</v>
      </c>
      <c r="G2260" s="27"/>
      <c r="H2260" s="28" t="s">
        <v>202</v>
      </c>
      <c r="I2260" s="27"/>
      <c r="J2260" s="28" t="s">
        <v>201</v>
      </c>
      <c r="K2260" s="27"/>
      <c r="L2260" s="25" t="s">
        <v>200</v>
      </c>
      <c r="M2260" s="25" t="s">
        <v>199</v>
      </c>
      <c r="N2260" s="25">
        <v>300</v>
      </c>
      <c r="O2260" s="25">
        <v>2.6666666666666665</v>
      </c>
      <c r="P2260" s="25">
        <v>5.333333333333333</v>
      </c>
      <c r="Q2260" s="25">
        <v>1.6666666666666667</v>
      </c>
      <c r="R2260" s="25">
        <v>3.3333333333333335</v>
      </c>
      <c r="S2260" s="25">
        <v>1</v>
      </c>
      <c r="T2260" s="25">
        <v>2</v>
      </c>
      <c r="U2260" s="25">
        <v>16</v>
      </c>
      <c r="V2260" s="25"/>
      <c r="W2260" s="33" t="s">
        <v>198</v>
      </c>
      <c r="X2260" s="33" t="s">
        <v>197</v>
      </c>
      <c r="Y2260" s="33" t="s">
        <v>196</v>
      </c>
      <c r="Z2260" s="33" t="s">
        <v>195</v>
      </c>
      <c r="AA2260" s="33"/>
    </row>
    <row r="2261" spans="1:27" s="70" customFormat="1" ht="33.75" x14ac:dyDescent="0.2">
      <c r="A2261" s="24">
        <v>2257</v>
      </c>
      <c r="B2261" s="27" t="s">
        <v>184</v>
      </c>
      <c r="C2261" s="28" t="s">
        <v>183</v>
      </c>
      <c r="D2261" s="71" t="s">
        <v>182</v>
      </c>
      <c r="E2261" s="28" t="s">
        <v>181</v>
      </c>
      <c r="F2261" s="28" t="s">
        <v>180</v>
      </c>
      <c r="G2261" s="27"/>
      <c r="H2261" s="28" t="s">
        <v>179</v>
      </c>
      <c r="I2261" s="27"/>
      <c r="J2261" s="28" t="s">
        <v>179</v>
      </c>
      <c r="K2261" s="27"/>
      <c r="L2261" s="25" t="s">
        <v>194</v>
      </c>
      <c r="M2261" s="25" t="s">
        <v>190</v>
      </c>
      <c r="N2261" s="25">
        <v>12</v>
      </c>
      <c r="O2261" s="25"/>
      <c r="P2261" s="25"/>
      <c r="Q2261" s="25">
        <v>16</v>
      </c>
      <c r="R2261" s="25"/>
      <c r="S2261" s="25"/>
      <c r="T2261" s="25">
        <v>8</v>
      </c>
      <c r="U2261" s="25">
        <v>24</v>
      </c>
      <c r="V2261" s="25"/>
      <c r="W2261" s="33" t="s">
        <v>193</v>
      </c>
      <c r="X2261" s="33"/>
      <c r="Y2261" s="33"/>
      <c r="Z2261" s="33" t="s">
        <v>189</v>
      </c>
      <c r="AA2261" s="33"/>
    </row>
    <row r="2262" spans="1:27" s="70" customFormat="1" ht="33.75" x14ac:dyDescent="0.2">
      <c r="A2262" s="24">
        <v>2258</v>
      </c>
      <c r="B2262" s="27" t="s">
        <v>184</v>
      </c>
      <c r="C2262" s="28" t="s">
        <v>183</v>
      </c>
      <c r="D2262" s="71" t="s">
        <v>182</v>
      </c>
      <c r="E2262" s="28" t="s">
        <v>181</v>
      </c>
      <c r="F2262" s="28" t="s">
        <v>180</v>
      </c>
      <c r="G2262" s="27"/>
      <c r="H2262" s="28" t="s">
        <v>179</v>
      </c>
      <c r="I2262" s="27"/>
      <c r="J2262" s="28" t="s">
        <v>179</v>
      </c>
      <c r="K2262" s="27"/>
      <c r="L2262" s="25" t="s">
        <v>192</v>
      </c>
      <c r="M2262" s="25" t="s">
        <v>190</v>
      </c>
      <c r="N2262" s="25">
        <v>12</v>
      </c>
      <c r="O2262" s="25"/>
      <c r="P2262" s="25"/>
      <c r="Q2262" s="25">
        <v>8</v>
      </c>
      <c r="R2262" s="25"/>
      <c r="S2262" s="25"/>
      <c r="T2262" s="25">
        <v>8</v>
      </c>
      <c r="U2262" s="25">
        <v>16</v>
      </c>
      <c r="V2262" s="25"/>
      <c r="W2262" s="33" t="s">
        <v>22</v>
      </c>
      <c r="X2262" s="33"/>
      <c r="Y2262" s="33"/>
      <c r="Z2262" s="33" t="s">
        <v>189</v>
      </c>
      <c r="AA2262" s="33"/>
    </row>
    <row r="2263" spans="1:27" s="70" customFormat="1" ht="33.75" x14ac:dyDescent="0.2">
      <c r="A2263" s="24">
        <v>2259</v>
      </c>
      <c r="B2263" s="27" t="s">
        <v>184</v>
      </c>
      <c r="C2263" s="28" t="s">
        <v>183</v>
      </c>
      <c r="D2263" s="71" t="s">
        <v>182</v>
      </c>
      <c r="E2263" s="28" t="s">
        <v>181</v>
      </c>
      <c r="F2263" s="28" t="s">
        <v>180</v>
      </c>
      <c r="G2263" s="27"/>
      <c r="H2263" s="28" t="s">
        <v>179</v>
      </c>
      <c r="I2263" s="27"/>
      <c r="J2263" s="28" t="s">
        <v>179</v>
      </c>
      <c r="K2263" s="27"/>
      <c r="L2263" s="25" t="s">
        <v>191</v>
      </c>
      <c r="M2263" s="25" t="s">
        <v>190</v>
      </c>
      <c r="N2263" s="25">
        <v>4</v>
      </c>
      <c r="O2263" s="25"/>
      <c r="P2263" s="25"/>
      <c r="Q2263" s="25">
        <v>16</v>
      </c>
      <c r="R2263" s="25"/>
      <c r="S2263" s="25"/>
      <c r="T2263" s="25">
        <v>8</v>
      </c>
      <c r="U2263" s="25">
        <v>24</v>
      </c>
      <c r="V2263" s="25"/>
      <c r="W2263" s="33" t="s">
        <v>22</v>
      </c>
      <c r="X2263" s="33"/>
      <c r="Y2263" s="33"/>
      <c r="Z2263" s="33" t="s">
        <v>189</v>
      </c>
      <c r="AA2263" s="33"/>
    </row>
    <row r="2264" spans="1:27" s="70" customFormat="1" ht="33.75" x14ac:dyDescent="0.2">
      <c r="A2264" s="24">
        <v>2260</v>
      </c>
      <c r="B2264" s="27" t="s">
        <v>184</v>
      </c>
      <c r="C2264" s="28" t="s">
        <v>183</v>
      </c>
      <c r="D2264" s="71" t="s">
        <v>182</v>
      </c>
      <c r="E2264" s="28" t="s">
        <v>181</v>
      </c>
      <c r="F2264" s="28" t="s">
        <v>180</v>
      </c>
      <c r="G2264" s="27"/>
      <c r="H2264" s="28" t="s">
        <v>179</v>
      </c>
      <c r="I2264" s="27"/>
      <c r="J2264" s="28" t="s">
        <v>179</v>
      </c>
      <c r="K2264" s="27"/>
      <c r="L2264" s="25" t="s">
        <v>188</v>
      </c>
      <c r="M2264" s="25" t="s">
        <v>187</v>
      </c>
      <c r="N2264" s="25">
        <v>24</v>
      </c>
      <c r="O2264" s="25">
        <v>0</v>
      </c>
      <c r="P2264" s="25">
        <v>0</v>
      </c>
      <c r="Q2264" s="25">
        <v>0</v>
      </c>
      <c r="R2264" s="25">
        <v>0</v>
      </c>
      <c r="S2264" s="25">
        <v>1</v>
      </c>
      <c r="T2264" s="25">
        <v>1</v>
      </c>
      <c r="U2264" s="25">
        <v>2</v>
      </c>
      <c r="V2264" s="25"/>
      <c r="W2264" s="33" t="s">
        <v>186</v>
      </c>
      <c r="X2264" s="33"/>
      <c r="Y2264" s="33"/>
      <c r="Z2264" s="33" t="s">
        <v>185</v>
      </c>
      <c r="AA2264" s="33"/>
    </row>
    <row r="2265" spans="1:27" s="70" customFormat="1" ht="33.75" x14ac:dyDescent="0.2">
      <c r="A2265" s="24">
        <v>2261</v>
      </c>
      <c r="B2265" s="27" t="s">
        <v>184</v>
      </c>
      <c r="C2265" s="28" t="s">
        <v>183</v>
      </c>
      <c r="D2265" s="71" t="s">
        <v>182</v>
      </c>
      <c r="E2265" s="28" t="s">
        <v>181</v>
      </c>
      <c r="F2265" s="28" t="s">
        <v>180</v>
      </c>
      <c r="G2265" s="27"/>
      <c r="H2265" s="28" t="s">
        <v>179</v>
      </c>
      <c r="I2265" s="27"/>
      <c r="J2265" s="28" t="s">
        <v>179</v>
      </c>
      <c r="K2265" s="27"/>
      <c r="L2265" s="25" t="s">
        <v>178</v>
      </c>
      <c r="M2265" s="25" t="s">
        <v>177</v>
      </c>
      <c r="N2265" s="25">
        <v>4</v>
      </c>
      <c r="O2265" s="25">
        <v>4</v>
      </c>
      <c r="P2265" s="25">
        <v>4</v>
      </c>
      <c r="Q2265" s="25">
        <v>4</v>
      </c>
      <c r="R2265" s="25">
        <v>4</v>
      </c>
      <c r="S2265" s="25">
        <v>4</v>
      </c>
      <c r="T2265" s="25">
        <v>4</v>
      </c>
      <c r="U2265" s="25">
        <v>24</v>
      </c>
      <c r="V2265" s="25"/>
      <c r="W2265" s="33" t="s">
        <v>22</v>
      </c>
      <c r="X2265" s="33"/>
      <c r="Y2265" s="33"/>
      <c r="Z2265" s="33" t="s">
        <v>176</v>
      </c>
      <c r="AA2265" s="33"/>
    </row>
    <row r="2266" spans="1:27" s="70" customFormat="1" ht="45" x14ac:dyDescent="0.2">
      <c r="A2266" s="24">
        <v>2262</v>
      </c>
      <c r="B2266" s="27" t="s">
        <v>5</v>
      </c>
      <c r="C2266" s="28" t="s">
        <v>4</v>
      </c>
      <c r="D2266" s="71" t="s">
        <v>28</v>
      </c>
      <c r="E2266" s="28" t="s">
        <v>27</v>
      </c>
      <c r="F2266" s="25" t="s">
        <v>26</v>
      </c>
      <c r="G2266" s="27"/>
      <c r="H2266" s="28" t="s">
        <v>151</v>
      </c>
      <c r="I2266" s="27"/>
      <c r="J2266" s="28" t="s">
        <v>175</v>
      </c>
      <c r="K2266" s="27"/>
      <c r="L2266" s="25"/>
      <c r="M2266" s="25"/>
      <c r="N2266" s="25"/>
      <c r="O2266" s="25"/>
      <c r="P2266" s="25"/>
      <c r="Q2266" s="25"/>
      <c r="R2266" s="25"/>
      <c r="S2266" s="25"/>
      <c r="T2266" s="25"/>
      <c r="U2266" s="25"/>
      <c r="V2266" s="25"/>
      <c r="W2266" s="33"/>
      <c r="X2266" s="33"/>
      <c r="Y2266" s="33"/>
      <c r="Z2266" s="33"/>
      <c r="AA2266" s="33"/>
    </row>
    <row r="2267" spans="1:27" s="70" customFormat="1" ht="45" x14ac:dyDescent="0.2">
      <c r="A2267" s="24">
        <v>2263</v>
      </c>
      <c r="B2267" s="27" t="s">
        <v>5</v>
      </c>
      <c r="C2267" s="28" t="s">
        <v>4</v>
      </c>
      <c r="D2267" s="71" t="s">
        <v>28</v>
      </c>
      <c r="E2267" s="28" t="s">
        <v>27</v>
      </c>
      <c r="F2267" s="25" t="s">
        <v>26</v>
      </c>
      <c r="G2267" s="27"/>
      <c r="H2267" s="28" t="s">
        <v>151</v>
      </c>
      <c r="I2267" s="27"/>
      <c r="J2267" s="28" t="s">
        <v>174</v>
      </c>
      <c r="K2267" s="27"/>
      <c r="L2267" s="25"/>
      <c r="M2267" s="25"/>
      <c r="N2267" s="25"/>
      <c r="O2267" s="25"/>
      <c r="P2267" s="25"/>
      <c r="Q2267" s="25"/>
      <c r="R2267" s="25"/>
      <c r="S2267" s="25"/>
      <c r="T2267" s="25"/>
      <c r="U2267" s="25"/>
      <c r="V2267" s="25"/>
      <c r="W2267" s="33"/>
      <c r="X2267" s="33"/>
      <c r="Y2267" s="33"/>
      <c r="Z2267" s="33"/>
      <c r="AA2267" s="33"/>
    </row>
    <row r="2268" spans="1:27" s="70" customFormat="1" ht="45" x14ac:dyDescent="0.2">
      <c r="A2268" s="24">
        <v>2264</v>
      </c>
      <c r="B2268" s="27" t="s">
        <v>5</v>
      </c>
      <c r="C2268" s="28" t="s">
        <v>4</v>
      </c>
      <c r="D2268" s="71" t="s">
        <v>28</v>
      </c>
      <c r="E2268" s="28" t="s">
        <v>27</v>
      </c>
      <c r="F2268" s="25" t="s">
        <v>26</v>
      </c>
      <c r="G2268" s="27"/>
      <c r="H2268" s="28" t="s">
        <v>151</v>
      </c>
      <c r="I2268" s="27"/>
      <c r="J2268" s="28" t="s">
        <v>173</v>
      </c>
      <c r="K2268" s="27"/>
      <c r="L2268" s="25"/>
      <c r="M2268" s="25"/>
      <c r="N2268" s="25"/>
      <c r="O2268" s="25"/>
      <c r="P2268" s="25"/>
      <c r="Q2268" s="25"/>
      <c r="R2268" s="25"/>
      <c r="S2268" s="25"/>
      <c r="T2268" s="25"/>
      <c r="U2268" s="25"/>
      <c r="V2268" s="25"/>
      <c r="W2268" s="33"/>
      <c r="X2268" s="33"/>
      <c r="Y2268" s="33"/>
      <c r="Z2268" s="33"/>
      <c r="AA2268" s="33"/>
    </row>
    <row r="2269" spans="1:27" s="70" customFormat="1" ht="45" x14ac:dyDescent="0.2">
      <c r="A2269" s="24">
        <v>2265</v>
      </c>
      <c r="B2269" s="27" t="s">
        <v>5</v>
      </c>
      <c r="C2269" s="28" t="s">
        <v>4</v>
      </c>
      <c r="D2269" s="71" t="s">
        <v>28</v>
      </c>
      <c r="E2269" s="28" t="s">
        <v>27</v>
      </c>
      <c r="F2269" s="25" t="s">
        <v>26</v>
      </c>
      <c r="G2269" s="27"/>
      <c r="H2269" s="28" t="s">
        <v>151</v>
      </c>
      <c r="I2269" s="27"/>
      <c r="J2269" s="28" t="s">
        <v>168</v>
      </c>
      <c r="K2269" s="27"/>
      <c r="L2269" s="25" t="s">
        <v>167</v>
      </c>
      <c r="M2269" s="25" t="s">
        <v>172</v>
      </c>
      <c r="N2269" s="25" t="s">
        <v>171</v>
      </c>
      <c r="O2269" s="25">
        <v>93227</v>
      </c>
      <c r="P2269" s="25"/>
      <c r="Q2269" s="25">
        <v>0.03</v>
      </c>
      <c r="R2269" s="25"/>
      <c r="S2269" s="25"/>
      <c r="T2269" s="25"/>
      <c r="U2269" s="25">
        <v>0.01</v>
      </c>
      <c r="V2269" s="25">
        <v>0.04</v>
      </c>
      <c r="W2269" s="33"/>
      <c r="X2269" s="33" t="s">
        <v>164</v>
      </c>
      <c r="Y2269" s="33" t="s">
        <v>170</v>
      </c>
      <c r="Z2269" s="33" t="s">
        <v>100</v>
      </c>
      <c r="AA2269" s="33" t="s">
        <v>169</v>
      </c>
    </row>
    <row r="2270" spans="1:27" s="70" customFormat="1" ht="45" x14ac:dyDescent="0.2">
      <c r="A2270" s="24">
        <v>2266</v>
      </c>
      <c r="B2270" s="27" t="s">
        <v>5</v>
      </c>
      <c r="C2270" s="28" t="s">
        <v>4</v>
      </c>
      <c r="D2270" s="71" t="s">
        <v>28</v>
      </c>
      <c r="E2270" s="28" t="s">
        <v>27</v>
      </c>
      <c r="F2270" s="25" t="s">
        <v>26</v>
      </c>
      <c r="G2270" s="27"/>
      <c r="H2270" s="28" t="s">
        <v>151</v>
      </c>
      <c r="I2270" s="27"/>
      <c r="J2270" s="28" t="s">
        <v>168</v>
      </c>
      <c r="K2270" s="27"/>
      <c r="L2270" s="25" t="s">
        <v>167</v>
      </c>
      <c r="M2270" s="25" t="s">
        <v>166</v>
      </c>
      <c r="N2270" s="25" t="s">
        <v>165</v>
      </c>
      <c r="O2270" s="25">
        <v>110</v>
      </c>
      <c r="P2270" s="25"/>
      <c r="Q2270" s="25">
        <v>16</v>
      </c>
      <c r="R2270" s="25"/>
      <c r="S2270" s="25"/>
      <c r="T2270" s="25"/>
      <c r="U2270" s="25">
        <v>1</v>
      </c>
      <c r="V2270" s="25">
        <v>17</v>
      </c>
      <c r="W2270" s="33"/>
      <c r="X2270" s="33" t="s">
        <v>164</v>
      </c>
      <c r="Y2270" s="33" t="s">
        <v>21</v>
      </c>
      <c r="Z2270" s="33" t="s">
        <v>100</v>
      </c>
      <c r="AA2270" s="33" t="s">
        <v>163</v>
      </c>
    </row>
    <row r="2271" spans="1:27" s="70" customFormat="1" ht="45" x14ac:dyDescent="0.2">
      <c r="A2271" s="24">
        <v>2267</v>
      </c>
      <c r="B2271" s="27" t="s">
        <v>5</v>
      </c>
      <c r="C2271" s="28" t="s">
        <v>4</v>
      </c>
      <c r="D2271" s="71" t="s">
        <v>28</v>
      </c>
      <c r="E2271" s="28" t="s">
        <v>27</v>
      </c>
      <c r="F2271" s="25" t="s">
        <v>26</v>
      </c>
      <c r="G2271" s="27"/>
      <c r="H2271" s="28" t="s">
        <v>151</v>
      </c>
      <c r="I2271" s="27"/>
      <c r="J2271" s="28" t="s">
        <v>162</v>
      </c>
      <c r="K2271" s="27"/>
      <c r="L2271" s="25"/>
      <c r="M2271" s="25"/>
      <c r="N2271" s="25"/>
      <c r="O2271" s="25"/>
      <c r="P2271" s="25"/>
      <c r="Q2271" s="25"/>
      <c r="R2271" s="25"/>
      <c r="S2271" s="25"/>
      <c r="T2271" s="25"/>
      <c r="U2271" s="25"/>
      <c r="V2271" s="25"/>
      <c r="W2271" s="33"/>
      <c r="X2271" s="33"/>
      <c r="Y2271" s="33"/>
      <c r="Z2271" s="33"/>
      <c r="AA2271" s="33"/>
    </row>
    <row r="2272" spans="1:27" s="70" customFormat="1" ht="56.25" x14ac:dyDescent="0.2">
      <c r="A2272" s="24">
        <v>2268</v>
      </c>
      <c r="B2272" s="27" t="s">
        <v>5</v>
      </c>
      <c r="C2272" s="28" t="s">
        <v>4</v>
      </c>
      <c r="D2272" s="71" t="s">
        <v>28</v>
      </c>
      <c r="E2272" s="28" t="s">
        <v>27</v>
      </c>
      <c r="F2272" s="25" t="s">
        <v>26</v>
      </c>
      <c r="G2272" s="27"/>
      <c r="H2272" s="28" t="s">
        <v>151</v>
      </c>
      <c r="I2272" s="27"/>
      <c r="J2272" s="28" t="s">
        <v>161</v>
      </c>
      <c r="K2272" s="27"/>
      <c r="L2272" s="25"/>
      <c r="M2272" s="25"/>
      <c r="N2272" s="25"/>
      <c r="O2272" s="25"/>
      <c r="P2272" s="25"/>
      <c r="Q2272" s="25"/>
      <c r="R2272" s="25"/>
      <c r="S2272" s="25"/>
      <c r="T2272" s="25"/>
      <c r="U2272" s="25"/>
      <c r="V2272" s="25"/>
      <c r="W2272" s="33"/>
      <c r="X2272" s="33"/>
      <c r="Y2272" s="33"/>
      <c r="Z2272" s="33"/>
      <c r="AA2272" s="33"/>
    </row>
    <row r="2273" spans="1:27" s="70" customFormat="1" ht="67.5" x14ac:dyDescent="0.2">
      <c r="A2273" s="24">
        <v>2269</v>
      </c>
      <c r="B2273" s="27" t="s">
        <v>5</v>
      </c>
      <c r="C2273" s="28" t="s">
        <v>4</v>
      </c>
      <c r="D2273" s="71" t="s">
        <v>28</v>
      </c>
      <c r="E2273" s="28" t="s">
        <v>27</v>
      </c>
      <c r="F2273" s="25" t="s">
        <v>26</v>
      </c>
      <c r="G2273" s="27"/>
      <c r="H2273" s="28" t="s">
        <v>151</v>
      </c>
      <c r="I2273" s="27"/>
      <c r="J2273" s="28" t="s">
        <v>157</v>
      </c>
      <c r="K2273" s="27"/>
      <c r="L2273" s="25" t="s">
        <v>157</v>
      </c>
      <c r="M2273" s="25" t="s">
        <v>160</v>
      </c>
      <c r="N2273" s="25" t="s">
        <v>159</v>
      </c>
      <c r="O2273" s="25">
        <v>336</v>
      </c>
      <c r="P2273" s="25"/>
      <c r="Q2273" s="25">
        <v>1</v>
      </c>
      <c r="R2273" s="25"/>
      <c r="S2273" s="25"/>
      <c r="T2273" s="25"/>
      <c r="U2273" s="25">
        <v>0.1</v>
      </c>
      <c r="V2273" s="25">
        <v>1.1000000000000001</v>
      </c>
      <c r="W2273" s="33"/>
      <c r="X2273" s="33" t="s">
        <v>22</v>
      </c>
      <c r="Y2273" s="33" t="s">
        <v>21</v>
      </c>
      <c r="Z2273" s="33" t="s">
        <v>100</v>
      </c>
      <c r="AA2273" s="33" t="s">
        <v>158</v>
      </c>
    </row>
    <row r="2274" spans="1:27" s="70" customFormat="1" ht="78.75" x14ac:dyDescent="0.2">
      <c r="A2274" s="24">
        <v>2270</v>
      </c>
      <c r="B2274" s="27" t="s">
        <v>5</v>
      </c>
      <c r="C2274" s="28" t="s">
        <v>4</v>
      </c>
      <c r="D2274" s="71" t="s">
        <v>28</v>
      </c>
      <c r="E2274" s="28" t="s">
        <v>27</v>
      </c>
      <c r="F2274" s="25" t="s">
        <v>26</v>
      </c>
      <c r="G2274" s="27"/>
      <c r="H2274" s="28" t="s">
        <v>151</v>
      </c>
      <c r="I2274" s="27"/>
      <c r="J2274" s="28" t="s">
        <v>157</v>
      </c>
      <c r="K2274" s="27"/>
      <c r="L2274" s="25" t="s">
        <v>157</v>
      </c>
      <c r="M2274" s="25" t="s">
        <v>156</v>
      </c>
      <c r="N2274" s="25" t="s">
        <v>155</v>
      </c>
      <c r="O2274" s="25">
        <v>430</v>
      </c>
      <c r="P2274" s="25">
        <v>7.0000000000000007E-2</v>
      </c>
      <c r="Q2274" s="25"/>
      <c r="R2274" s="25">
        <v>0.03</v>
      </c>
      <c r="S2274" s="25"/>
      <c r="T2274" s="25"/>
      <c r="U2274" s="25"/>
      <c r="V2274" s="25">
        <v>0.1</v>
      </c>
      <c r="W2274" s="33"/>
      <c r="X2274" s="33" t="s">
        <v>120</v>
      </c>
      <c r="Y2274" s="33" t="s">
        <v>21</v>
      </c>
      <c r="Z2274" s="33" t="s">
        <v>100</v>
      </c>
      <c r="AA2274" s="33" t="s">
        <v>154</v>
      </c>
    </row>
    <row r="2275" spans="1:27" s="70" customFormat="1" ht="45" x14ac:dyDescent="0.2">
      <c r="A2275" s="24">
        <v>2271</v>
      </c>
      <c r="B2275" s="27" t="s">
        <v>5</v>
      </c>
      <c r="C2275" s="28" t="s">
        <v>4</v>
      </c>
      <c r="D2275" s="71" t="s">
        <v>28</v>
      </c>
      <c r="E2275" s="28" t="s">
        <v>27</v>
      </c>
      <c r="F2275" s="25" t="s">
        <v>26</v>
      </c>
      <c r="G2275" s="27"/>
      <c r="H2275" s="28" t="s">
        <v>151</v>
      </c>
      <c r="I2275" s="27"/>
      <c r="J2275" s="28" t="s">
        <v>153</v>
      </c>
      <c r="K2275" s="27"/>
      <c r="L2275" s="25"/>
      <c r="M2275" s="25"/>
      <c r="N2275" s="25"/>
      <c r="O2275" s="25"/>
      <c r="P2275" s="25"/>
      <c r="Q2275" s="25"/>
      <c r="R2275" s="25"/>
      <c r="S2275" s="25"/>
      <c r="T2275" s="25"/>
      <c r="U2275" s="25"/>
      <c r="V2275" s="25"/>
      <c r="W2275" s="33"/>
      <c r="X2275" s="33"/>
      <c r="Y2275" s="33"/>
      <c r="Z2275" s="33"/>
      <c r="AA2275" s="33"/>
    </row>
    <row r="2276" spans="1:27" s="70" customFormat="1" ht="45" x14ac:dyDescent="0.2">
      <c r="A2276" s="24">
        <v>2272</v>
      </c>
      <c r="B2276" s="27" t="s">
        <v>5</v>
      </c>
      <c r="C2276" s="28" t="s">
        <v>4</v>
      </c>
      <c r="D2276" s="71" t="s">
        <v>28</v>
      </c>
      <c r="E2276" s="28" t="s">
        <v>27</v>
      </c>
      <c r="F2276" s="25" t="s">
        <v>26</v>
      </c>
      <c r="G2276" s="27"/>
      <c r="H2276" s="28" t="s">
        <v>151</v>
      </c>
      <c r="I2276" s="27"/>
      <c r="J2276" s="28" t="s">
        <v>152</v>
      </c>
      <c r="K2276" s="27"/>
      <c r="L2276" s="25"/>
      <c r="M2276" s="25"/>
      <c r="N2276" s="25"/>
      <c r="O2276" s="25"/>
      <c r="P2276" s="25"/>
      <c r="Q2276" s="25"/>
      <c r="R2276" s="25"/>
      <c r="S2276" s="25"/>
      <c r="T2276" s="25"/>
      <c r="U2276" s="25"/>
      <c r="V2276" s="25"/>
      <c r="W2276" s="33"/>
      <c r="X2276" s="33"/>
      <c r="Y2276" s="33"/>
      <c r="Z2276" s="33"/>
      <c r="AA2276" s="33"/>
    </row>
    <row r="2277" spans="1:27" s="70" customFormat="1" ht="45" x14ac:dyDescent="0.2">
      <c r="A2277" s="24">
        <v>2273</v>
      </c>
      <c r="B2277" s="27" t="s">
        <v>5</v>
      </c>
      <c r="C2277" s="28" t="s">
        <v>4</v>
      </c>
      <c r="D2277" s="71" t="s">
        <v>28</v>
      </c>
      <c r="E2277" s="28" t="s">
        <v>27</v>
      </c>
      <c r="F2277" s="25" t="s">
        <v>26</v>
      </c>
      <c r="G2277" s="27"/>
      <c r="H2277" s="28" t="s">
        <v>151</v>
      </c>
      <c r="I2277" s="27"/>
      <c r="J2277" s="28" t="s">
        <v>150</v>
      </c>
      <c r="K2277" s="27"/>
      <c r="L2277" s="25"/>
      <c r="M2277" s="25"/>
      <c r="N2277" s="25"/>
      <c r="O2277" s="25"/>
      <c r="P2277" s="25"/>
      <c r="Q2277" s="25"/>
      <c r="R2277" s="25"/>
      <c r="S2277" s="25"/>
      <c r="T2277" s="25"/>
      <c r="U2277" s="25"/>
      <c r="V2277" s="25"/>
      <c r="W2277" s="33"/>
      <c r="X2277" s="33"/>
      <c r="Y2277" s="33"/>
      <c r="Z2277" s="33"/>
      <c r="AA2277" s="33"/>
    </row>
    <row r="2278" spans="1:27" s="70" customFormat="1" ht="33.75" x14ac:dyDescent="0.2">
      <c r="A2278" s="24">
        <v>2274</v>
      </c>
      <c r="B2278" s="27" t="s">
        <v>5</v>
      </c>
      <c r="C2278" s="28" t="s">
        <v>4</v>
      </c>
      <c r="D2278" s="71" t="s">
        <v>28</v>
      </c>
      <c r="E2278" s="28" t="s">
        <v>27</v>
      </c>
      <c r="F2278" s="25" t="s">
        <v>26</v>
      </c>
      <c r="G2278" s="27"/>
      <c r="H2278" s="28" t="s">
        <v>127</v>
      </c>
      <c r="I2278" s="27"/>
      <c r="J2278" s="28" t="s">
        <v>139</v>
      </c>
      <c r="K2278" s="27"/>
      <c r="L2278" s="25" t="s">
        <v>149</v>
      </c>
      <c r="M2278" s="25" t="s">
        <v>145</v>
      </c>
      <c r="N2278" s="25">
        <v>467800</v>
      </c>
      <c r="O2278" s="25">
        <v>3.8949978623343311E-2</v>
      </c>
      <c r="P2278" s="25">
        <v>7.4179848938292717E-3</v>
      </c>
      <c r="Q2278" s="25">
        <v>1.0332193244976487E-2</v>
      </c>
      <c r="R2278" s="25"/>
      <c r="S2278" s="25"/>
      <c r="T2278" s="25">
        <v>1.3755878580589997E-3</v>
      </c>
      <c r="U2278" s="25">
        <v>5.8075744620208064E-2</v>
      </c>
      <c r="V2278" s="25"/>
      <c r="W2278" s="33" t="s">
        <v>120</v>
      </c>
      <c r="X2278" s="33" t="s">
        <v>21</v>
      </c>
      <c r="Y2278" s="33" t="s">
        <v>100</v>
      </c>
      <c r="Z2278" s="33" t="s">
        <v>144</v>
      </c>
      <c r="AA2278" s="33"/>
    </row>
    <row r="2279" spans="1:27" s="70" customFormat="1" ht="45" x14ac:dyDescent="0.2">
      <c r="A2279" s="24">
        <v>2275</v>
      </c>
      <c r="B2279" s="27" t="s">
        <v>5</v>
      </c>
      <c r="C2279" s="28" t="s">
        <v>4</v>
      </c>
      <c r="D2279" s="71" t="s">
        <v>28</v>
      </c>
      <c r="E2279" s="28" t="s">
        <v>27</v>
      </c>
      <c r="F2279" s="25" t="s">
        <v>26</v>
      </c>
      <c r="G2279" s="27"/>
      <c r="H2279" s="28" t="s">
        <v>127</v>
      </c>
      <c r="I2279" s="27"/>
      <c r="J2279" s="28" t="s">
        <v>139</v>
      </c>
      <c r="K2279" s="27"/>
      <c r="L2279" s="25" t="s">
        <v>148</v>
      </c>
      <c r="M2279" s="25" t="s">
        <v>145</v>
      </c>
      <c r="N2279" s="25">
        <v>56904</v>
      </c>
      <c r="O2279" s="25">
        <v>4.9261914803880223E-2</v>
      </c>
      <c r="P2279" s="25">
        <v>9.3818829373447672E-3</v>
      </c>
      <c r="Q2279" s="25">
        <v>1.306762266273021E-2</v>
      </c>
      <c r="R2279" s="25"/>
      <c r="S2279" s="25"/>
      <c r="T2279" s="25">
        <v>2.5130043582173483E-3</v>
      </c>
      <c r="U2279" s="25">
        <v>7.4224424762172544E-2</v>
      </c>
      <c r="V2279" s="25"/>
      <c r="W2279" s="33" t="s">
        <v>108</v>
      </c>
      <c r="X2279" s="33" t="s">
        <v>44</v>
      </c>
      <c r="Y2279" s="33" t="s">
        <v>100</v>
      </c>
      <c r="Z2279" s="33" t="s">
        <v>144</v>
      </c>
      <c r="AA2279" s="33"/>
    </row>
    <row r="2280" spans="1:27" s="70" customFormat="1" ht="33.75" x14ac:dyDescent="0.2">
      <c r="A2280" s="24">
        <v>2276</v>
      </c>
      <c r="B2280" s="27" t="s">
        <v>5</v>
      </c>
      <c r="C2280" s="28" t="s">
        <v>4</v>
      </c>
      <c r="D2280" s="71" t="s">
        <v>28</v>
      </c>
      <c r="E2280" s="28" t="s">
        <v>27</v>
      </c>
      <c r="F2280" s="25" t="s">
        <v>26</v>
      </c>
      <c r="G2280" s="27"/>
      <c r="H2280" s="28" t="s">
        <v>127</v>
      </c>
      <c r="I2280" s="27"/>
      <c r="J2280" s="28" t="s">
        <v>139</v>
      </c>
      <c r="K2280" s="27"/>
      <c r="L2280" s="25" t="s">
        <v>147</v>
      </c>
      <c r="M2280" s="25" t="s">
        <v>145</v>
      </c>
      <c r="N2280" s="25">
        <v>195258</v>
      </c>
      <c r="O2280" s="25">
        <v>4.8452816273853061E-2</v>
      </c>
      <c r="P2280" s="25">
        <v>9.2277909227790941E-3</v>
      </c>
      <c r="Q2280" s="25">
        <v>1.3805068166221103E-2</v>
      </c>
      <c r="R2280" s="25"/>
      <c r="S2280" s="25"/>
      <c r="T2280" s="25">
        <v>2.5632752563275255E-3</v>
      </c>
      <c r="U2280" s="25">
        <v>7.4048950619180792E-2</v>
      </c>
      <c r="V2280" s="25"/>
      <c r="W2280" s="33" t="s">
        <v>120</v>
      </c>
      <c r="X2280" s="33" t="s">
        <v>21</v>
      </c>
      <c r="Y2280" s="33" t="s">
        <v>100</v>
      </c>
      <c r="Z2280" s="33" t="s">
        <v>144</v>
      </c>
      <c r="AA2280" s="33"/>
    </row>
    <row r="2281" spans="1:27" s="70" customFormat="1" ht="45" x14ac:dyDescent="0.2">
      <c r="A2281" s="24">
        <v>2277</v>
      </c>
      <c r="B2281" s="27" t="s">
        <v>5</v>
      </c>
      <c r="C2281" s="28" t="s">
        <v>4</v>
      </c>
      <c r="D2281" s="71" t="s">
        <v>28</v>
      </c>
      <c r="E2281" s="28" t="s">
        <v>27</v>
      </c>
      <c r="F2281" s="25" t="s">
        <v>26</v>
      </c>
      <c r="G2281" s="27"/>
      <c r="H2281" s="28" t="s">
        <v>127</v>
      </c>
      <c r="I2281" s="27"/>
      <c r="J2281" s="28" t="s">
        <v>139</v>
      </c>
      <c r="K2281" s="27"/>
      <c r="L2281" s="25" t="s">
        <v>146</v>
      </c>
      <c r="M2281" s="25" t="s">
        <v>145</v>
      </c>
      <c r="N2281" s="25">
        <v>25000</v>
      </c>
      <c r="O2281" s="25">
        <v>4.2048000000000002E-2</v>
      </c>
      <c r="P2281" s="25">
        <v>8.0079999999999995E-3</v>
      </c>
      <c r="Q2281" s="25">
        <v>3.718E-3</v>
      </c>
      <c r="R2281" s="25"/>
      <c r="S2281" s="25"/>
      <c r="T2281" s="25">
        <v>5.7200000000000003E-3</v>
      </c>
      <c r="U2281" s="25">
        <v>5.9494000000000005E-2</v>
      </c>
      <c r="V2281" s="25"/>
      <c r="W2281" s="33" t="s">
        <v>108</v>
      </c>
      <c r="X2281" s="33" t="s">
        <v>44</v>
      </c>
      <c r="Y2281" s="33" t="s">
        <v>100</v>
      </c>
      <c r="Z2281" s="33" t="s">
        <v>144</v>
      </c>
      <c r="AA2281" s="33"/>
    </row>
    <row r="2282" spans="1:27" s="70" customFormat="1" ht="45" x14ac:dyDescent="0.2">
      <c r="A2282" s="24">
        <v>2278</v>
      </c>
      <c r="B2282" s="27" t="s">
        <v>5</v>
      </c>
      <c r="C2282" s="28" t="s">
        <v>4</v>
      </c>
      <c r="D2282" s="71" t="s">
        <v>28</v>
      </c>
      <c r="E2282" s="28" t="s">
        <v>27</v>
      </c>
      <c r="F2282" s="25" t="s">
        <v>26</v>
      </c>
      <c r="G2282" s="27"/>
      <c r="H2282" s="28" t="s">
        <v>127</v>
      </c>
      <c r="I2282" s="27"/>
      <c r="J2282" s="28" t="s">
        <v>139</v>
      </c>
      <c r="K2282" s="27"/>
      <c r="L2282" s="25" t="s">
        <v>143</v>
      </c>
      <c r="M2282" s="25" t="s">
        <v>137</v>
      </c>
      <c r="N2282" s="25">
        <v>7984</v>
      </c>
      <c r="O2282" s="25">
        <v>6.6666666666666666E-2</v>
      </c>
      <c r="P2282" s="25">
        <v>1.4999999999999999E-2</v>
      </c>
      <c r="Q2282" s="25">
        <v>1.0000000000000002E-2</v>
      </c>
      <c r="R2282" s="25"/>
      <c r="S2282" s="25"/>
      <c r="T2282" s="25">
        <v>1.4999999999999998E-3</v>
      </c>
      <c r="U2282" s="25">
        <v>9.3166666666666675E-2</v>
      </c>
      <c r="V2282" s="25"/>
      <c r="W2282" s="33" t="s">
        <v>142</v>
      </c>
      <c r="X2282" s="33" t="s">
        <v>21</v>
      </c>
      <c r="Y2282" s="33" t="s">
        <v>100</v>
      </c>
      <c r="Z2282" s="33" t="s">
        <v>140</v>
      </c>
      <c r="AA2282" s="33"/>
    </row>
    <row r="2283" spans="1:27" s="70" customFormat="1" ht="45" x14ac:dyDescent="0.2">
      <c r="A2283" s="24">
        <v>2279</v>
      </c>
      <c r="B2283" s="27" t="s">
        <v>5</v>
      </c>
      <c r="C2283" s="28" t="s">
        <v>4</v>
      </c>
      <c r="D2283" s="71" t="s">
        <v>28</v>
      </c>
      <c r="E2283" s="28" t="s">
        <v>27</v>
      </c>
      <c r="F2283" s="25" t="s">
        <v>26</v>
      </c>
      <c r="G2283" s="27"/>
      <c r="H2283" s="28" t="s">
        <v>127</v>
      </c>
      <c r="I2283" s="27"/>
      <c r="J2283" s="28" t="s">
        <v>139</v>
      </c>
      <c r="K2283" s="27"/>
      <c r="L2283" s="25" t="s">
        <v>141</v>
      </c>
      <c r="M2283" s="25" t="s">
        <v>137</v>
      </c>
      <c r="N2283" s="25">
        <v>699</v>
      </c>
      <c r="O2283" s="25">
        <v>6.6666666666666666E-2</v>
      </c>
      <c r="P2283" s="25">
        <v>1.0000000000000002E-2</v>
      </c>
      <c r="Q2283" s="25">
        <v>5.000000000000001E-3</v>
      </c>
      <c r="R2283" s="25"/>
      <c r="S2283" s="25"/>
      <c r="T2283" s="25">
        <v>5.0000000000000001E-4</v>
      </c>
      <c r="U2283" s="25">
        <v>8.2166666666666666E-2</v>
      </c>
      <c r="V2283" s="25"/>
      <c r="W2283" s="33" t="s">
        <v>108</v>
      </c>
      <c r="X2283" s="33" t="s">
        <v>44</v>
      </c>
      <c r="Y2283" s="33" t="s">
        <v>100</v>
      </c>
      <c r="Z2283" s="33" t="s">
        <v>140</v>
      </c>
      <c r="AA2283" s="33"/>
    </row>
    <row r="2284" spans="1:27" s="70" customFormat="1" ht="45" x14ac:dyDescent="0.2">
      <c r="A2284" s="24">
        <v>2280</v>
      </c>
      <c r="B2284" s="27" t="s">
        <v>5</v>
      </c>
      <c r="C2284" s="28" t="s">
        <v>4</v>
      </c>
      <c r="D2284" s="71" t="s">
        <v>28</v>
      </c>
      <c r="E2284" s="28" t="s">
        <v>27</v>
      </c>
      <c r="F2284" s="25" t="s">
        <v>26</v>
      </c>
      <c r="G2284" s="27"/>
      <c r="H2284" s="28" t="s">
        <v>127</v>
      </c>
      <c r="I2284" s="27"/>
      <c r="J2284" s="28" t="s">
        <v>139</v>
      </c>
      <c r="K2284" s="27"/>
      <c r="L2284" s="25" t="s">
        <v>138</v>
      </c>
      <c r="M2284" s="25" t="s">
        <v>137</v>
      </c>
      <c r="N2284" s="25">
        <v>3828</v>
      </c>
      <c r="O2284" s="25">
        <v>6.6666666666666666E-2</v>
      </c>
      <c r="P2284" s="25">
        <v>2.5000000000000001E-2</v>
      </c>
      <c r="Q2284" s="25">
        <v>2.5000000000000001E-2</v>
      </c>
      <c r="R2284" s="25"/>
      <c r="S2284" s="25"/>
      <c r="T2284" s="25"/>
      <c r="U2284" s="25">
        <v>0.11666666666666667</v>
      </c>
      <c r="V2284" s="25"/>
      <c r="W2284" s="33" t="s">
        <v>136</v>
      </c>
      <c r="X2284" s="33" t="s">
        <v>53</v>
      </c>
      <c r="Y2284" s="33" t="s">
        <v>100</v>
      </c>
      <c r="Z2284" s="33" t="s">
        <v>135</v>
      </c>
      <c r="AA2284" s="33"/>
    </row>
    <row r="2285" spans="1:27" s="70" customFormat="1" ht="56.25" x14ac:dyDescent="0.2">
      <c r="A2285" s="24">
        <v>2281</v>
      </c>
      <c r="B2285" s="27" t="s">
        <v>5</v>
      </c>
      <c r="C2285" s="28" t="s">
        <v>4</v>
      </c>
      <c r="D2285" s="71" t="s">
        <v>28</v>
      </c>
      <c r="E2285" s="28" t="s">
        <v>27</v>
      </c>
      <c r="F2285" s="25" t="s">
        <v>26</v>
      </c>
      <c r="G2285" s="27"/>
      <c r="H2285" s="28" t="s">
        <v>127</v>
      </c>
      <c r="I2285" s="27"/>
      <c r="J2285" s="28" t="s">
        <v>134</v>
      </c>
      <c r="K2285" s="27"/>
      <c r="L2285" s="25"/>
      <c r="M2285" s="25"/>
      <c r="N2285" s="25"/>
      <c r="O2285" s="25"/>
      <c r="P2285" s="25"/>
      <c r="Q2285" s="25"/>
      <c r="R2285" s="25"/>
      <c r="S2285" s="25"/>
      <c r="T2285" s="25"/>
      <c r="U2285" s="25"/>
      <c r="V2285" s="25"/>
      <c r="W2285" s="33"/>
      <c r="X2285" s="33"/>
      <c r="Y2285" s="33"/>
      <c r="Z2285" s="33"/>
      <c r="AA2285" s="33"/>
    </row>
    <row r="2286" spans="1:27" s="70" customFormat="1" ht="45" x14ac:dyDescent="0.2">
      <c r="A2286" s="24">
        <v>2282</v>
      </c>
      <c r="B2286" s="27" t="s">
        <v>5</v>
      </c>
      <c r="C2286" s="28" t="s">
        <v>4</v>
      </c>
      <c r="D2286" s="71" t="s">
        <v>28</v>
      </c>
      <c r="E2286" s="28" t="s">
        <v>27</v>
      </c>
      <c r="F2286" s="25" t="s">
        <v>26</v>
      </c>
      <c r="G2286" s="27"/>
      <c r="H2286" s="28" t="s">
        <v>127</v>
      </c>
      <c r="I2286" s="27"/>
      <c r="J2286" s="28" t="s">
        <v>133</v>
      </c>
      <c r="K2286" s="27"/>
      <c r="L2286" s="25"/>
      <c r="M2286" s="25"/>
      <c r="N2286" s="25"/>
      <c r="O2286" s="25"/>
      <c r="P2286" s="25"/>
      <c r="Q2286" s="25"/>
      <c r="R2286" s="25"/>
      <c r="S2286" s="25"/>
      <c r="T2286" s="25"/>
      <c r="U2286" s="25"/>
      <c r="V2286" s="25"/>
      <c r="W2286" s="33"/>
      <c r="X2286" s="33"/>
      <c r="Y2286" s="33"/>
      <c r="Z2286" s="33"/>
      <c r="AA2286" s="33"/>
    </row>
    <row r="2287" spans="1:27" s="70" customFormat="1" ht="33.75" x14ac:dyDescent="0.2">
      <c r="A2287" s="24">
        <v>2283</v>
      </c>
      <c r="B2287" s="27" t="s">
        <v>5</v>
      </c>
      <c r="C2287" s="28" t="s">
        <v>4</v>
      </c>
      <c r="D2287" s="71" t="s">
        <v>28</v>
      </c>
      <c r="E2287" s="28" t="s">
        <v>27</v>
      </c>
      <c r="F2287" s="25" t="s">
        <v>26</v>
      </c>
      <c r="G2287" s="27"/>
      <c r="H2287" s="28" t="s">
        <v>127</v>
      </c>
      <c r="I2287" s="27"/>
      <c r="J2287" s="28" t="s">
        <v>132</v>
      </c>
      <c r="K2287" s="27"/>
      <c r="L2287" s="25"/>
      <c r="M2287" s="25"/>
      <c r="N2287" s="25"/>
      <c r="O2287" s="25"/>
      <c r="P2287" s="25"/>
      <c r="Q2287" s="25"/>
      <c r="R2287" s="25"/>
      <c r="S2287" s="25"/>
      <c r="T2287" s="25"/>
      <c r="U2287" s="25"/>
      <c r="V2287" s="25"/>
      <c r="W2287" s="33"/>
      <c r="X2287" s="33"/>
      <c r="Y2287" s="33"/>
      <c r="Z2287" s="33"/>
      <c r="AA2287" s="33"/>
    </row>
    <row r="2288" spans="1:27" s="70" customFormat="1" ht="33.75" x14ac:dyDescent="0.2">
      <c r="A2288" s="24">
        <v>2284</v>
      </c>
      <c r="B2288" s="27" t="s">
        <v>5</v>
      </c>
      <c r="C2288" s="28" t="s">
        <v>4</v>
      </c>
      <c r="D2288" s="71" t="s">
        <v>28</v>
      </c>
      <c r="E2288" s="28" t="s">
        <v>27</v>
      </c>
      <c r="F2288" s="25" t="s">
        <v>26</v>
      </c>
      <c r="G2288" s="27"/>
      <c r="H2288" s="28" t="s">
        <v>127</v>
      </c>
      <c r="I2288" s="27"/>
      <c r="J2288" s="28" t="s">
        <v>131</v>
      </c>
      <c r="K2288" s="27"/>
      <c r="L2288" s="25"/>
      <c r="M2288" s="25"/>
      <c r="N2288" s="25"/>
      <c r="O2288" s="25"/>
      <c r="P2288" s="25"/>
      <c r="Q2288" s="25"/>
      <c r="R2288" s="25"/>
      <c r="S2288" s="25"/>
      <c r="T2288" s="25"/>
      <c r="U2288" s="25"/>
      <c r="V2288" s="25"/>
      <c r="W2288" s="33"/>
      <c r="X2288" s="33"/>
      <c r="Y2288" s="33"/>
      <c r="Z2288" s="33"/>
      <c r="AA2288" s="33"/>
    </row>
    <row r="2289" spans="1:27" s="70" customFormat="1" ht="33.75" x14ac:dyDescent="0.2">
      <c r="A2289" s="24">
        <v>2285</v>
      </c>
      <c r="B2289" s="27" t="s">
        <v>5</v>
      </c>
      <c r="C2289" s="28" t="s">
        <v>4</v>
      </c>
      <c r="D2289" s="71" t="s">
        <v>28</v>
      </c>
      <c r="E2289" s="28" t="s">
        <v>27</v>
      </c>
      <c r="F2289" s="25" t="s">
        <v>26</v>
      </c>
      <c r="G2289" s="27"/>
      <c r="H2289" s="28" t="s">
        <v>127</v>
      </c>
      <c r="I2289" s="27"/>
      <c r="J2289" s="28" t="s">
        <v>130</v>
      </c>
      <c r="K2289" s="27"/>
      <c r="L2289" s="25"/>
      <c r="M2289" s="25"/>
      <c r="N2289" s="25"/>
      <c r="O2289" s="25"/>
      <c r="P2289" s="25"/>
      <c r="Q2289" s="25"/>
      <c r="R2289" s="25"/>
      <c r="S2289" s="25"/>
      <c r="T2289" s="25"/>
      <c r="U2289" s="25"/>
      <c r="V2289" s="25"/>
      <c r="W2289" s="33"/>
      <c r="X2289" s="33"/>
      <c r="Y2289" s="33"/>
      <c r="Z2289" s="33"/>
      <c r="AA2289" s="33"/>
    </row>
    <row r="2290" spans="1:27" s="70" customFormat="1" ht="56.25" x14ac:dyDescent="0.2">
      <c r="A2290" s="24">
        <v>2286</v>
      </c>
      <c r="B2290" s="27" t="s">
        <v>5</v>
      </c>
      <c r="C2290" s="28" t="s">
        <v>4</v>
      </c>
      <c r="D2290" s="71" t="s">
        <v>28</v>
      </c>
      <c r="E2290" s="28" t="s">
        <v>27</v>
      </c>
      <c r="F2290" s="25" t="s">
        <v>26</v>
      </c>
      <c r="G2290" s="27"/>
      <c r="H2290" s="28" t="s">
        <v>127</v>
      </c>
      <c r="I2290" s="27"/>
      <c r="J2290" s="28" t="s">
        <v>129</v>
      </c>
      <c r="K2290" s="27"/>
      <c r="L2290" s="25"/>
      <c r="M2290" s="25"/>
      <c r="N2290" s="25"/>
      <c r="O2290" s="25"/>
      <c r="P2290" s="25"/>
      <c r="Q2290" s="25"/>
      <c r="R2290" s="25"/>
      <c r="S2290" s="25"/>
      <c r="T2290" s="25"/>
      <c r="U2290" s="25"/>
      <c r="V2290" s="25"/>
      <c r="W2290" s="33"/>
      <c r="X2290" s="33"/>
      <c r="Y2290" s="33"/>
      <c r="Z2290" s="33"/>
      <c r="AA2290" s="33"/>
    </row>
    <row r="2291" spans="1:27" s="70" customFormat="1" ht="33.75" x14ac:dyDescent="0.2">
      <c r="A2291" s="24">
        <v>2287</v>
      </c>
      <c r="B2291" s="27" t="s">
        <v>5</v>
      </c>
      <c r="C2291" s="28" t="s">
        <v>4</v>
      </c>
      <c r="D2291" s="71" t="s">
        <v>28</v>
      </c>
      <c r="E2291" s="28" t="s">
        <v>27</v>
      </c>
      <c r="F2291" s="25" t="s">
        <v>26</v>
      </c>
      <c r="G2291" s="27"/>
      <c r="H2291" s="28" t="s">
        <v>127</v>
      </c>
      <c r="I2291" s="27"/>
      <c r="J2291" s="28" t="s">
        <v>128</v>
      </c>
      <c r="K2291" s="27"/>
      <c r="L2291" s="25"/>
      <c r="M2291" s="25"/>
      <c r="N2291" s="25"/>
      <c r="O2291" s="25"/>
      <c r="P2291" s="25"/>
      <c r="Q2291" s="25"/>
      <c r="R2291" s="25"/>
      <c r="S2291" s="25"/>
      <c r="T2291" s="25"/>
      <c r="U2291" s="25"/>
      <c r="V2291" s="25"/>
      <c r="W2291" s="33"/>
      <c r="X2291" s="33"/>
      <c r="Y2291" s="33"/>
      <c r="Z2291" s="33"/>
      <c r="AA2291" s="33"/>
    </row>
    <row r="2292" spans="1:27" s="70" customFormat="1" ht="33.75" x14ac:dyDescent="0.2">
      <c r="A2292" s="24">
        <v>2288</v>
      </c>
      <c r="B2292" s="27" t="s">
        <v>5</v>
      </c>
      <c r="C2292" s="28" t="s">
        <v>4</v>
      </c>
      <c r="D2292" s="71" t="s">
        <v>28</v>
      </c>
      <c r="E2292" s="28" t="s">
        <v>27</v>
      </c>
      <c r="F2292" s="25" t="s">
        <v>26</v>
      </c>
      <c r="G2292" s="27"/>
      <c r="H2292" s="28" t="s">
        <v>127</v>
      </c>
      <c r="I2292" s="27"/>
      <c r="J2292" s="28" t="s">
        <v>126</v>
      </c>
      <c r="K2292" s="27"/>
      <c r="L2292" s="25"/>
      <c r="M2292" s="25"/>
      <c r="N2292" s="25"/>
      <c r="O2292" s="25"/>
      <c r="P2292" s="25"/>
      <c r="Q2292" s="25"/>
      <c r="R2292" s="25"/>
      <c r="S2292" s="25"/>
      <c r="T2292" s="25"/>
      <c r="U2292" s="25"/>
      <c r="V2292" s="25"/>
      <c r="W2292" s="33"/>
      <c r="X2292" s="33"/>
      <c r="Y2292" s="33"/>
      <c r="Z2292" s="33"/>
      <c r="AA2292" s="33"/>
    </row>
    <row r="2293" spans="1:27" s="70" customFormat="1" ht="33.75" x14ac:dyDescent="0.2">
      <c r="A2293" s="24">
        <v>2289</v>
      </c>
      <c r="B2293" s="27" t="s">
        <v>5</v>
      </c>
      <c r="C2293" s="28" t="s">
        <v>4</v>
      </c>
      <c r="D2293" s="71" t="s">
        <v>28</v>
      </c>
      <c r="E2293" s="28" t="s">
        <v>27</v>
      </c>
      <c r="F2293" s="25" t="s">
        <v>26</v>
      </c>
      <c r="G2293" s="27"/>
      <c r="H2293" s="28" t="s">
        <v>104</v>
      </c>
      <c r="I2293" s="27"/>
      <c r="J2293" s="28" t="s">
        <v>125</v>
      </c>
      <c r="K2293" s="27"/>
      <c r="L2293" s="25"/>
      <c r="M2293" s="25"/>
      <c r="N2293" s="25"/>
      <c r="O2293" s="25"/>
      <c r="P2293" s="25"/>
      <c r="Q2293" s="25"/>
      <c r="R2293" s="25"/>
      <c r="S2293" s="25"/>
      <c r="T2293" s="25"/>
      <c r="U2293" s="25"/>
      <c r="V2293" s="25"/>
      <c r="W2293" s="33"/>
      <c r="X2293" s="33"/>
      <c r="Y2293" s="33"/>
      <c r="Z2293" s="33"/>
      <c r="AA2293" s="33"/>
    </row>
    <row r="2294" spans="1:27" s="70" customFormat="1" ht="33.75" x14ac:dyDescent="0.2">
      <c r="A2294" s="24">
        <v>2290</v>
      </c>
      <c r="B2294" s="27" t="s">
        <v>5</v>
      </c>
      <c r="C2294" s="28" t="s">
        <v>4</v>
      </c>
      <c r="D2294" s="71" t="s">
        <v>28</v>
      </c>
      <c r="E2294" s="28" t="s">
        <v>27</v>
      </c>
      <c r="F2294" s="25" t="s">
        <v>26</v>
      </c>
      <c r="G2294" s="27"/>
      <c r="H2294" s="28" t="s">
        <v>104</v>
      </c>
      <c r="I2294" s="27"/>
      <c r="J2294" s="28" t="s">
        <v>111</v>
      </c>
      <c r="K2294" s="27"/>
      <c r="L2294" s="25" t="s">
        <v>124</v>
      </c>
      <c r="M2294" s="25" t="s">
        <v>109</v>
      </c>
      <c r="N2294" s="25">
        <v>2212</v>
      </c>
      <c r="O2294" s="25"/>
      <c r="P2294" s="25">
        <v>3</v>
      </c>
      <c r="Q2294" s="25"/>
      <c r="R2294" s="25"/>
      <c r="S2294" s="25"/>
      <c r="T2294" s="25">
        <v>0.5</v>
      </c>
      <c r="U2294" s="25">
        <v>3.5</v>
      </c>
      <c r="V2294" s="25"/>
      <c r="W2294" s="33" t="s">
        <v>120</v>
      </c>
      <c r="X2294" s="33" t="s">
        <v>123</v>
      </c>
      <c r="Y2294" s="33" t="s">
        <v>100</v>
      </c>
      <c r="Z2294" s="33" t="s">
        <v>106</v>
      </c>
      <c r="AA2294" s="33" t="s">
        <v>122</v>
      </c>
    </row>
    <row r="2295" spans="1:27" s="70" customFormat="1" ht="33.75" x14ac:dyDescent="0.2">
      <c r="A2295" s="24">
        <v>2291</v>
      </c>
      <c r="B2295" s="27" t="s">
        <v>5</v>
      </c>
      <c r="C2295" s="28" t="s">
        <v>4</v>
      </c>
      <c r="D2295" s="71" t="s">
        <v>28</v>
      </c>
      <c r="E2295" s="28" t="s">
        <v>27</v>
      </c>
      <c r="F2295" s="25" t="s">
        <v>26</v>
      </c>
      <c r="G2295" s="27"/>
      <c r="H2295" s="28" t="s">
        <v>104</v>
      </c>
      <c r="I2295" s="27"/>
      <c r="J2295" s="28" t="s">
        <v>111</v>
      </c>
      <c r="K2295" s="27"/>
      <c r="L2295" s="25" t="s">
        <v>121</v>
      </c>
      <c r="M2295" s="25" t="s">
        <v>109</v>
      </c>
      <c r="N2295" s="25">
        <v>1142.9000000000001</v>
      </c>
      <c r="O2295" s="25">
        <v>0.5</v>
      </c>
      <c r="P2295" s="25">
        <v>0.08</v>
      </c>
      <c r="Q2295" s="25"/>
      <c r="R2295" s="25"/>
      <c r="S2295" s="25"/>
      <c r="T2295" s="25">
        <v>0.01</v>
      </c>
      <c r="U2295" s="25">
        <v>0.59</v>
      </c>
      <c r="V2295" s="25"/>
      <c r="W2295" s="33" t="s">
        <v>120</v>
      </c>
      <c r="X2295" s="33" t="s">
        <v>119</v>
      </c>
      <c r="Y2295" s="33" t="s">
        <v>41</v>
      </c>
      <c r="Z2295" s="33" t="s">
        <v>106</v>
      </c>
      <c r="AA2295" s="33"/>
    </row>
    <row r="2296" spans="1:27" s="70" customFormat="1" ht="33.75" x14ac:dyDescent="0.2">
      <c r="A2296" s="24">
        <v>2292</v>
      </c>
      <c r="B2296" s="27" t="s">
        <v>5</v>
      </c>
      <c r="C2296" s="28" t="s">
        <v>4</v>
      </c>
      <c r="D2296" s="71" t="s">
        <v>28</v>
      </c>
      <c r="E2296" s="28" t="s">
        <v>27</v>
      </c>
      <c r="F2296" s="25" t="s">
        <v>26</v>
      </c>
      <c r="G2296" s="27"/>
      <c r="H2296" s="28" t="s">
        <v>104</v>
      </c>
      <c r="I2296" s="27"/>
      <c r="J2296" s="28" t="s">
        <v>111</v>
      </c>
      <c r="K2296" s="27"/>
      <c r="L2296" s="25" t="s">
        <v>118</v>
      </c>
      <c r="M2296" s="25" t="s">
        <v>109</v>
      </c>
      <c r="N2296" s="25">
        <v>1293.6000000000001</v>
      </c>
      <c r="O2296" s="25">
        <v>0.6</v>
      </c>
      <c r="P2296" s="25">
        <v>0.15</v>
      </c>
      <c r="Q2296" s="25"/>
      <c r="R2296" s="25"/>
      <c r="S2296" s="25"/>
      <c r="T2296" s="25">
        <v>0.03</v>
      </c>
      <c r="U2296" s="25">
        <v>0.78</v>
      </c>
      <c r="V2296" s="25"/>
      <c r="W2296" s="33" t="s">
        <v>117</v>
      </c>
      <c r="X2296" s="33" t="s">
        <v>116</v>
      </c>
      <c r="Y2296" s="33"/>
      <c r="Z2296" s="33" t="s">
        <v>106</v>
      </c>
      <c r="AA2296" s="33" t="s">
        <v>115</v>
      </c>
    </row>
    <row r="2297" spans="1:27" s="70" customFormat="1" ht="33.75" x14ac:dyDescent="0.2">
      <c r="A2297" s="24">
        <v>2293</v>
      </c>
      <c r="B2297" s="27" t="s">
        <v>5</v>
      </c>
      <c r="C2297" s="28" t="s">
        <v>4</v>
      </c>
      <c r="D2297" s="71" t="s">
        <v>28</v>
      </c>
      <c r="E2297" s="28" t="s">
        <v>27</v>
      </c>
      <c r="F2297" s="25" t="s">
        <v>26</v>
      </c>
      <c r="G2297" s="27"/>
      <c r="H2297" s="28" t="s">
        <v>104</v>
      </c>
      <c r="I2297" s="27"/>
      <c r="J2297" s="28" t="s">
        <v>111</v>
      </c>
      <c r="K2297" s="27"/>
      <c r="L2297" s="25" t="s">
        <v>114</v>
      </c>
      <c r="M2297" s="25" t="s">
        <v>109</v>
      </c>
      <c r="N2297" s="25">
        <v>172</v>
      </c>
      <c r="O2297" s="25"/>
      <c r="P2297" s="25">
        <v>2.8</v>
      </c>
      <c r="Q2297" s="25"/>
      <c r="R2297" s="25"/>
      <c r="S2297" s="25"/>
      <c r="T2297" s="25">
        <v>0.5</v>
      </c>
      <c r="U2297" s="25">
        <v>3.3</v>
      </c>
      <c r="V2297" s="25"/>
      <c r="W2297" s="33" t="s">
        <v>113</v>
      </c>
      <c r="X2297" s="33" t="s">
        <v>112</v>
      </c>
      <c r="Y2297" s="33"/>
      <c r="Z2297" s="33" t="s">
        <v>106</v>
      </c>
      <c r="AA2297" s="33"/>
    </row>
    <row r="2298" spans="1:27" s="70" customFormat="1" ht="45" x14ac:dyDescent="0.2">
      <c r="A2298" s="24">
        <v>2294</v>
      </c>
      <c r="B2298" s="27" t="s">
        <v>5</v>
      </c>
      <c r="C2298" s="28" t="s">
        <v>4</v>
      </c>
      <c r="D2298" s="71" t="s">
        <v>28</v>
      </c>
      <c r="E2298" s="28" t="s">
        <v>27</v>
      </c>
      <c r="F2298" s="25" t="s">
        <v>26</v>
      </c>
      <c r="G2298" s="27"/>
      <c r="H2298" s="28" t="s">
        <v>104</v>
      </c>
      <c r="I2298" s="27"/>
      <c r="J2298" s="28" t="s">
        <v>111</v>
      </c>
      <c r="K2298" s="27"/>
      <c r="L2298" s="25" t="s">
        <v>110</v>
      </c>
      <c r="M2298" s="25" t="s">
        <v>109</v>
      </c>
      <c r="N2298" s="25">
        <v>4251.5</v>
      </c>
      <c r="O2298" s="25">
        <v>0.75</v>
      </c>
      <c r="P2298" s="25">
        <v>0.03</v>
      </c>
      <c r="Q2298" s="25"/>
      <c r="R2298" s="25"/>
      <c r="S2298" s="25"/>
      <c r="T2298" s="25">
        <v>4.2000000000000003E-2</v>
      </c>
      <c r="U2298" s="25">
        <v>0.82200000000000006</v>
      </c>
      <c r="V2298" s="25"/>
      <c r="W2298" s="33" t="s">
        <v>108</v>
      </c>
      <c r="X2298" s="33" t="s">
        <v>107</v>
      </c>
      <c r="Y2298" s="33" t="s">
        <v>20</v>
      </c>
      <c r="Z2298" s="33" t="s">
        <v>106</v>
      </c>
      <c r="AA2298" s="33"/>
    </row>
    <row r="2299" spans="1:27" s="70" customFormat="1" ht="33.75" x14ac:dyDescent="0.2">
      <c r="A2299" s="24">
        <v>2295</v>
      </c>
      <c r="B2299" s="27" t="s">
        <v>5</v>
      </c>
      <c r="C2299" s="28" t="s">
        <v>4</v>
      </c>
      <c r="D2299" s="71" t="s">
        <v>28</v>
      </c>
      <c r="E2299" s="28" t="s">
        <v>27</v>
      </c>
      <c r="F2299" s="25" t="s">
        <v>26</v>
      </c>
      <c r="G2299" s="27"/>
      <c r="H2299" s="28" t="s">
        <v>104</v>
      </c>
      <c r="I2299" s="27"/>
      <c r="J2299" s="28" t="s">
        <v>105</v>
      </c>
      <c r="K2299" s="27"/>
      <c r="L2299" s="25"/>
      <c r="M2299" s="25"/>
      <c r="N2299" s="25"/>
      <c r="O2299" s="25"/>
      <c r="P2299" s="25"/>
      <c r="Q2299" s="25"/>
      <c r="R2299" s="25"/>
      <c r="S2299" s="25"/>
      <c r="T2299" s="25"/>
      <c r="U2299" s="25"/>
      <c r="V2299" s="25"/>
      <c r="W2299" s="33"/>
      <c r="X2299" s="33"/>
      <c r="Y2299" s="33"/>
      <c r="Z2299" s="33"/>
      <c r="AA2299" s="33"/>
    </row>
    <row r="2300" spans="1:27" s="70" customFormat="1" ht="56.25" x14ac:dyDescent="0.2">
      <c r="A2300" s="24">
        <v>2296</v>
      </c>
      <c r="B2300" s="27" t="s">
        <v>5</v>
      </c>
      <c r="C2300" s="28" t="s">
        <v>4</v>
      </c>
      <c r="D2300" s="71" t="s">
        <v>28</v>
      </c>
      <c r="E2300" s="28" t="s">
        <v>27</v>
      </c>
      <c r="F2300" s="25" t="s">
        <v>26</v>
      </c>
      <c r="G2300" s="27"/>
      <c r="H2300" s="28" t="s">
        <v>104</v>
      </c>
      <c r="I2300" s="27"/>
      <c r="J2300" s="28" t="s">
        <v>103</v>
      </c>
      <c r="K2300" s="27"/>
      <c r="L2300" s="25" t="s">
        <v>102</v>
      </c>
      <c r="M2300" s="25" t="s">
        <v>68</v>
      </c>
      <c r="N2300" s="25">
        <v>4</v>
      </c>
      <c r="O2300" s="25"/>
      <c r="P2300" s="25">
        <v>5</v>
      </c>
      <c r="Q2300" s="25"/>
      <c r="R2300" s="25"/>
      <c r="S2300" s="25"/>
      <c r="T2300" s="25">
        <v>1.5</v>
      </c>
      <c r="U2300" s="25">
        <v>6.5</v>
      </c>
      <c r="V2300" s="25"/>
      <c r="W2300" s="33" t="s">
        <v>101</v>
      </c>
      <c r="X2300" s="33" t="s">
        <v>53</v>
      </c>
      <c r="Y2300" s="33" t="s">
        <v>100</v>
      </c>
      <c r="Z2300" s="33" t="s">
        <v>99</v>
      </c>
      <c r="AA2300" s="33"/>
    </row>
    <row r="2301" spans="1:27" s="70" customFormat="1" ht="45" x14ac:dyDescent="0.2">
      <c r="A2301" s="24">
        <v>2297</v>
      </c>
      <c r="B2301" s="27" t="s">
        <v>5</v>
      </c>
      <c r="C2301" s="28" t="s">
        <v>4</v>
      </c>
      <c r="D2301" s="71" t="s">
        <v>28</v>
      </c>
      <c r="E2301" s="28" t="s">
        <v>27</v>
      </c>
      <c r="F2301" s="25" t="s">
        <v>26</v>
      </c>
      <c r="G2301" s="27"/>
      <c r="H2301" s="28" t="s">
        <v>25</v>
      </c>
      <c r="I2301" s="27"/>
      <c r="J2301" s="28" t="s">
        <v>25</v>
      </c>
      <c r="K2301" s="27"/>
      <c r="L2301" s="25" t="s">
        <v>98</v>
      </c>
      <c r="M2301" s="25" t="s">
        <v>97</v>
      </c>
      <c r="N2301" s="25">
        <v>46</v>
      </c>
      <c r="O2301" s="25"/>
      <c r="P2301" s="25">
        <v>1</v>
      </c>
      <c r="Q2301" s="25"/>
      <c r="R2301" s="25"/>
      <c r="S2301" s="25"/>
      <c r="T2301" s="25">
        <v>0.3</v>
      </c>
      <c r="U2301" s="25">
        <v>1.3</v>
      </c>
      <c r="V2301" s="25"/>
      <c r="W2301" s="33" t="s">
        <v>22</v>
      </c>
      <c r="X2301" s="33" t="s">
        <v>46</v>
      </c>
      <c r="Y2301" s="33" t="s">
        <v>20</v>
      </c>
      <c r="Z2301" s="33" t="s">
        <v>97</v>
      </c>
      <c r="AA2301" s="33"/>
    </row>
    <row r="2302" spans="1:27" s="70" customFormat="1" ht="56.25" x14ac:dyDescent="0.2">
      <c r="A2302" s="24">
        <v>2298</v>
      </c>
      <c r="B2302" s="27" t="s">
        <v>5</v>
      </c>
      <c r="C2302" s="28" t="s">
        <v>4</v>
      </c>
      <c r="D2302" s="71" t="s">
        <v>28</v>
      </c>
      <c r="E2302" s="28" t="s">
        <v>27</v>
      </c>
      <c r="F2302" s="25" t="s">
        <v>26</v>
      </c>
      <c r="G2302" s="27"/>
      <c r="H2302" s="28" t="s">
        <v>25</v>
      </c>
      <c r="I2302" s="27"/>
      <c r="J2302" s="28" t="s">
        <v>25</v>
      </c>
      <c r="K2302" s="27"/>
      <c r="L2302" s="25" t="s">
        <v>96</v>
      </c>
      <c r="M2302" s="25" t="s">
        <v>94</v>
      </c>
      <c r="N2302" s="25">
        <v>36</v>
      </c>
      <c r="O2302" s="25"/>
      <c r="P2302" s="25">
        <v>2</v>
      </c>
      <c r="Q2302" s="25"/>
      <c r="R2302" s="25"/>
      <c r="S2302" s="25"/>
      <c r="T2302" s="25">
        <v>1</v>
      </c>
      <c r="U2302" s="25">
        <v>3</v>
      </c>
      <c r="V2302" s="25"/>
      <c r="W2302" s="33" t="s">
        <v>95</v>
      </c>
      <c r="X2302" s="33" t="s">
        <v>46</v>
      </c>
      <c r="Y2302" s="33" t="s">
        <v>20</v>
      </c>
      <c r="Z2302" s="33" t="s">
        <v>94</v>
      </c>
      <c r="AA2302" s="33"/>
    </row>
    <row r="2303" spans="1:27" s="70" customFormat="1" ht="56.25" x14ac:dyDescent="0.2">
      <c r="A2303" s="24">
        <v>2299</v>
      </c>
      <c r="B2303" s="27" t="s">
        <v>5</v>
      </c>
      <c r="C2303" s="28" t="s">
        <v>4</v>
      </c>
      <c r="D2303" s="71" t="s">
        <v>28</v>
      </c>
      <c r="E2303" s="28" t="s">
        <v>27</v>
      </c>
      <c r="F2303" s="25" t="s">
        <v>26</v>
      </c>
      <c r="G2303" s="27"/>
      <c r="H2303" s="28" t="s">
        <v>25</v>
      </c>
      <c r="I2303" s="27"/>
      <c r="J2303" s="28" t="s">
        <v>25</v>
      </c>
      <c r="K2303" s="27"/>
      <c r="L2303" s="25" t="s">
        <v>93</v>
      </c>
      <c r="M2303" s="25" t="s">
        <v>91</v>
      </c>
      <c r="N2303" s="25">
        <v>515</v>
      </c>
      <c r="O2303" s="25"/>
      <c r="P2303" s="25">
        <v>4</v>
      </c>
      <c r="Q2303" s="25"/>
      <c r="R2303" s="25"/>
      <c r="S2303" s="25"/>
      <c r="T2303" s="25">
        <v>0.2</v>
      </c>
      <c r="U2303" s="25">
        <v>4.2</v>
      </c>
      <c r="V2303" s="25"/>
      <c r="W2303" s="33" t="s">
        <v>92</v>
      </c>
      <c r="X2303" s="33" t="s">
        <v>46</v>
      </c>
      <c r="Y2303" s="33" t="s">
        <v>20</v>
      </c>
      <c r="Z2303" s="33" t="s">
        <v>91</v>
      </c>
      <c r="AA2303" s="33"/>
    </row>
    <row r="2304" spans="1:27" s="70" customFormat="1" ht="56.25" x14ac:dyDescent="0.2">
      <c r="A2304" s="24">
        <v>2300</v>
      </c>
      <c r="B2304" s="27" t="s">
        <v>5</v>
      </c>
      <c r="C2304" s="28" t="s">
        <v>4</v>
      </c>
      <c r="D2304" s="71" t="s">
        <v>28</v>
      </c>
      <c r="E2304" s="28" t="s">
        <v>27</v>
      </c>
      <c r="F2304" s="25" t="s">
        <v>26</v>
      </c>
      <c r="G2304" s="27"/>
      <c r="H2304" s="28" t="s">
        <v>25</v>
      </c>
      <c r="I2304" s="27"/>
      <c r="J2304" s="28" t="s">
        <v>25</v>
      </c>
      <c r="K2304" s="27"/>
      <c r="L2304" s="25" t="s">
        <v>90</v>
      </c>
      <c r="M2304" s="25" t="s">
        <v>89</v>
      </c>
      <c r="N2304" s="25">
        <v>61</v>
      </c>
      <c r="O2304" s="25"/>
      <c r="P2304" s="25">
        <v>5</v>
      </c>
      <c r="Q2304" s="25"/>
      <c r="R2304" s="25"/>
      <c r="S2304" s="25"/>
      <c r="T2304" s="25">
        <v>1</v>
      </c>
      <c r="U2304" s="25">
        <v>6</v>
      </c>
      <c r="V2304" s="25"/>
      <c r="W2304" s="33" t="s">
        <v>22</v>
      </c>
      <c r="X2304" s="33" t="s">
        <v>46</v>
      </c>
      <c r="Y2304" s="33" t="s">
        <v>20</v>
      </c>
      <c r="Z2304" s="33" t="s">
        <v>89</v>
      </c>
      <c r="AA2304" s="33"/>
    </row>
    <row r="2305" spans="1:27" s="70" customFormat="1" ht="33.75" x14ac:dyDescent="0.2">
      <c r="A2305" s="24">
        <v>2301</v>
      </c>
      <c r="B2305" s="27" t="s">
        <v>5</v>
      </c>
      <c r="C2305" s="28" t="s">
        <v>4</v>
      </c>
      <c r="D2305" s="71" t="s">
        <v>28</v>
      </c>
      <c r="E2305" s="28" t="s">
        <v>27</v>
      </c>
      <c r="F2305" s="25" t="s">
        <v>26</v>
      </c>
      <c r="G2305" s="27"/>
      <c r="H2305" s="28" t="s">
        <v>25</v>
      </c>
      <c r="I2305" s="27"/>
      <c r="J2305" s="28" t="s">
        <v>25</v>
      </c>
      <c r="K2305" s="27"/>
      <c r="L2305" s="25" t="s">
        <v>88</v>
      </c>
      <c r="M2305" s="25" t="s">
        <v>86</v>
      </c>
      <c r="N2305" s="25">
        <v>45</v>
      </c>
      <c r="O2305" s="25"/>
      <c r="P2305" s="25">
        <v>0.8</v>
      </c>
      <c r="Q2305" s="25"/>
      <c r="R2305" s="25"/>
      <c r="S2305" s="25"/>
      <c r="T2305" s="25">
        <v>0.1</v>
      </c>
      <c r="U2305" s="25">
        <v>0.9</v>
      </c>
      <c r="V2305" s="25"/>
      <c r="W2305" s="33" t="s">
        <v>87</v>
      </c>
      <c r="X2305" s="33" t="s">
        <v>46</v>
      </c>
      <c r="Y2305" s="33" t="s">
        <v>20</v>
      </c>
      <c r="Z2305" s="33" t="s">
        <v>86</v>
      </c>
      <c r="AA2305" s="33"/>
    </row>
    <row r="2306" spans="1:27" s="70" customFormat="1" ht="56.25" x14ac:dyDescent="0.2">
      <c r="A2306" s="24">
        <v>2302</v>
      </c>
      <c r="B2306" s="27" t="s">
        <v>5</v>
      </c>
      <c r="C2306" s="28" t="s">
        <v>4</v>
      </c>
      <c r="D2306" s="71" t="s">
        <v>28</v>
      </c>
      <c r="E2306" s="28" t="s">
        <v>27</v>
      </c>
      <c r="F2306" s="25" t="s">
        <v>26</v>
      </c>
      <c r="G2306" s="27"/>
      <c r="H2306" s="28" t="s">
        <v>25</v>
      </c>
      <c r="I2306" s="27"/>
      <c r="J2306" s="28" t="s">
        <v>25</v>
      </c>
      <c r="K2306" s="27"/>
      <c r="L2306" s="25" t="s">
        <v>85</v>
      </c>
      <c r="M2306" s="25" t="s">
        <v>83</v>
      </c>
      <c r="N2306" s="25">
        <v>20</v>
      </c>
      <c r="O2306" s="25"/>
      <c r="P2306" s="25">
        <v>3</v>
      </c>
      <c r="Q2306" s="25">
        <v>1</v>
      </c>
      <c r="R2306" s="25"/>
      <c r="S2306" s="25"/>
      <c r="T2306" s="25">
        <v>2</v>
      </c>
      <c r="U2306" s="25">
        <v>6</v>
      </c>
      <c r="V2306" s="25"/>
      <c r="W2306" s="33" t="s">
        <v>84</v>
      </c>
      <c r="X2306" s="33" t="s">
        <v>53</v>
      </c>
      <c r="Y2306" s="33" t="s">
        <v>78</v>
      </c>
      <c r="Z2306" s="33" t="s">
        <v>83</v>
      </c>
      <c r="AA2306" s="33"/>
    </row>
    <row r="2307" spans="1:27" s="70" customFormat="1" ht="33.75" x14ac:dyDescent="0.2">
      <c r="A2307" s="24">
        <v>2303</v>
      </c>
      <c r="B2307" s="27" t="s">
        <v>5</v>
      </c>
      <c r="C2307" s="28" t="s">
        <v>4</v>
      </c>
      <c r="D2307" s="71" t="s">
        <v>28</v>
      </c>
      <c r="E2307" s="28" t="s">
        <v>27</v>
      </c>
      <c r="F2307" s="25" t="s">
        <v>26</v>
      </c>
      <c r="G2307" s="27"/>
      <c r="H2307" s="28" t="s">
        <v>25</v>
      </c>
      <c r="I2307" s="27"/>
      <c r="J2307" s="28" t="s">
        <v>25</v>
      </c>
      <c r="K2307" s="27"/>
      <c r="L2307" s="25" t="s">
        <v>82</v>
      </c>
      <c r="M2307" s="25" t="s">
        <v>77</v>
      </c>
      <c r="N2307" s="25">
        <v>20</v>
      </c>
      <c r="O2307" s="25"/>
      <c r="P2307" s="25">
        <v>2</v>
      </c>
      <c r="Q2307" s="25">
        <v>0.5</v>
      </c>
      <c r="R2307" s="25"/>
      <c r="S2307" s="25"/>
      <c r="T2307" s="25">
        <v>1</v>
      </c>
      <c r="U2307" s="25">
        <v>3.5</v>
      </c>
      <c r="V2307" s="25"/>
      <c r="W2307" s="33" t="s">
        <v>81</v>
      </c>
      <c r="X2307" s="33" t="s">
        <v>53</v>
      </c>
      <c r="Y2307" s="33" t="s">
        <v>78</v>
      </c>
      <c r="Z2307" s="33" t="s">
        <v>77</v>
      </c>
      <c r="AA2307" s="33"/>
    </row>
    <row r="2308" spans="1:27" s="70" customFormat="1" ht="33.75" x14ac:dyDescent="0.2">
      <c r="A2308" s="24">
        <v>2304</v>
      </c>
      <c r="B2308" s="27" t="s">
        <v>5</v>
      </c>
      <c r="C2308" s="28" t="s">
        <v>4</v>
      </c>
      <c r="D2308" s="71" t="s">
        <v>28</v>
      </c>
      <c r="E2308" s="28" t="s">
        <v>27</v>
      </c>
      <c r="F2308" s="25" t="s">
        <v>26</v>
      </c>
      <c r="G2308" s="27"/>
      <c r="H2308" s="28" t="s">
        <v>25</v>
      </c>
      <c r="I2308" s="27"/>
      <c r="J2308" s="28" t="s">
        <v>25</v>
      </c>
      <c r="K2308" s="27"/>
      <c r="L2308" s="25" t="s">
        <v>80</v>
      </c>
      <c r="M2308" s="25" t="s">
        <v>77</v>
      </c>
      <c r="N2308" s="25">
        <v>30</v>
      </c>
      <c r="O2308" s="25"/>
      <c r="P2308" s="25">
        <v>2</v>
      </c>
      <c r="Q2308" s="25">
        <v>0.5</v>
      </c>
      <c r="R2308" s="25"/>
      <c r="S2308" s="25"/>
      <c r="T2308" s="25">
        <v>1</v>
      </c>
      <c r="U2308" s="25">
        <v>3.5</v>
      </c>
      <c r="V2308" s="25"/>
      <c r="W2308" s="33" t="s">
        <v>79</v>
      </c>
      <c r="X2308" s="33" t="s">
        <v>53</v>
      </c>
      <c r="Y2308" s="33" t="s">
        <v>78</v>
      </c>
      <c r="Z2308" s="33" t="s">
        <v>77</v>
      </c>
      <c r="AA2308" s="33"/>
    </row>
    <row r="2309" spans="1:27" s="70" customFormat="1" ht="33.75" x14ac:dyDescent="0.2">
      <c r="A2309" s="24">
        <v>2305</v>
      </c>
      <c r="B2309" s="27" t="s">
        <v>5</v>
      </c>
      <c r="C2309" s="28" t="s">
        <v>4</v>
      </c>
      <c r="D2309" s="71" t="s">
        <v>28</v>
      </c>
      <c r="E2309" s="28" t="s">
        <v>27</v>
      </c>
      <c r="F2309" s="25" t="s">
        <v>26</v>
      </c>
      <c r="G2309" s="27"/>
      <c r="H2309" s="28" t="s">
        <v>25</v>
      </c>
      <c r="I2309" s="27"/>
      <c r="J2309" s="28" t="s">
        <v>25</v>
      </c>
      <c r="K2309" s="27"/>
      <c r="L2309" s="25" t="s">
        <v>76</v>
      </c>
      <c r="M2309" s="25" t="s">
        <v>68</v>
      </c>
      <c r="N2309" s="25">
        <v>12</v>
      </c>
      <c r="O2309" s="25"/>
      <c r="P2309" s="25">
        <v>2</v>
      </c>
      <c r="Q2309" s="25">
        <v>2</v>
      </c>
      <c r="R2309" s="25"/>
      <c r="S2309" s="25"/>
      <c r="T2309" s="25">
        <v>2</v>
      </c>
      <c r="U2309" s="25">
        <v>6</v>
      </c>
      <c r="V2309" s="25"/>
      <c r="W2309" s="33" t="s">
        <v>22</v>
      </c>
      <c r="X2309" s="33" t="s">
        <v>53</v>
      </c>
      <c r="Y2309" s="33" t="s">
        <v>20</v>
      </c>
      <c r="Z2309" s="33"/>
      <c r="AA2309" s="33"/>
    </row>
    <row r="2310" spans="1:27" s="70" customFormat="1" ht="33.75" x14ac:dyDescent="0.2">
      <c r="A2310" s="24">
        <v>2306</v>
      </c>
      <c r="B2310" s="27" t="s">
        <v>5</v>
      </c>
      <c r="C2310" s="28" t="s">
        <v>4</v>
      </c>
      <c r="D2310" s="71" t="s">
        <v>28</v>
      </c>
      <c r="E2310" s="28" t="s">
        <v>27</v>
      </c>
      <c r="F2310" s="25" t="s">
        <v>26</v>
      </c>
      <c r="G2310" s="27"/>
      <c r="H2310" s="28" t="s">
        <v>25</v>
      </c>
      <c r="I2310" s="27"/>
      <c r="J2310" s="28" t="s">
        <v>25</v>
      </c>
      <c r="K2310" s="27"/>
      <c r="L2310" s="25" t="s">
        <v>75</v>
      </c>
      <c r="M2310" s="25" t="s">
        <v>68</v>
      </c>
      <c r="N2310" s="25">
        <v>24</v>
      </c>
      <c r="O2310" s="25"/>
      <c r="P2310" s="25">
        <v>0.5</v>
      </c>
      <c r="Q2310" s="25"/>
      <c r="R2310" s="25"/>
      <c r="S2310" s="25"/>
      <c r="T2310" s="25">
        <v>0.15</v>
      </c>
      <c r="U2310" s="25">
        <v>0.65</v>
      </c>
      <c r="V2310" s="25"/>
      <c r="W2310" s="33" t="s">
        <v>74</v>
      </c>
      <c r="X2310" s="33" t="s">
        <v>53</v>
      </c>
      <c r="Y2310" s="33" t="s">
        <v>20</v>
      </c>
      <c r="Z2310" s="33" t="s">
        <v>68</v>
      </c>
      <c r="AA2310" s="33"/>
    </row>
    <row r="2311" spans="1:27" s="70" customFormat="1" ht="33.75" x14ac:dyDescent="0.2">
      <c r="A2311" s="24">
        <v>2307</v>
      </c>
      <c r="B2311" s="27" t="s">
        <v>5</v>
      </c>
      <c r="C2311" s="28" t="s">
        <v>4</v>
      </c>
      <c r="D2311" s="71" t="s">
        <v>28</v>
      </c>
      <c r="E2311" s="28" t="s">
        <v>27</v>
      </c>
      <c r="F2311" s="25" t="s">
        <v>26</v>
      </c>
      <c r="G2311" s="27"/>
      <c r="H2311" s="28" t="s">
        <v>25</v>
      </c>
      <c r="I2311" s="27"/>
      <c r="J2311" s="28" t="s">
        <v>25</v>
      </c>
      <c r="K2311" s="27"/>
      <c r="L2311" s="25" t="s">
        <v>73</v>
      </c>
      <c r="M2311" s="25" t="s">
        <v>68</v>
      </c>
      <c r="N2311" s="25">
        <v>30</v>
      </c>
      <c r="O2311" s="25"/>
      <c r="P2311" s="25">
        <v>2</v>
      </c>
      <c r="Q2311" s="25"/>
      <c r="R2311" s="25"/>
      <c r="S2311" s="25"/>
      <c r="T2311" s="25">
        <v>0.3</v>
      </c>
      <c r="U2311" s="25">
        <v>2.2999999999999998</v>
      </c>
      <c r="V2311" s="25"/>
      <c r="W2311" s="33" t="s">
        <v>22</v>
      </c>
      <c r="X2311" s="33" t="s">
        <v>53</v>
      </c>
      <c r="Y2311" s="33" t="s">
        <v>20</v>
      </c>
      <c r="Z2311" s="33" t="s">
        <v>68</v>
      </c>
      <c r="AA2311" s="33"/>
    </row>
    <row r="2312" spans="1:27" s="70" customFormat="1" ht="33.75" x14ac:dyDescent="0.2">
      <c r="A2312" s="24">
        <v>2308</v>
      </c>
      <c r="B2312" s="27" t="s">
        <v>5</v>
      </c>
      <c r="C2312" s="28" t="s">
        <v>4</v>
      </c>
      <c r="D2312" s="71" t="s">
        <v>28</v>
      </c>
      <c r="E2312" s="28" t="s">
        <v>27</v>
      </c>
      <c r="F2312" s="25" t="s">
        <v>26</v>
      </c>
      <c r="G2312" s="27"/>
      <c r="H2312" s="28" t="s">
        <v>25</v>
      </c>
      <c r="I2312" s="27"/>
      <c r="J2312" s="28" t="s">
        <v>25</v>
      </c>
      <c r="K2312" s="27"/>
      <c r="L2312" s="25" t="s">
        <v>72</v>
      </c>
      <c r="M2312" s="25" t="s">
        <v>68</v>
      </c>
      <c r="N2312" s="25">
        <v>46</v>
      </c>
      <c r="O2312" s="25"/>
      <c r="P2312" s="25">
        <v>0.5</v>
      </c>
      <c r="Q2312" s="25"/>
      <c r="R2312" s="25"/>
      <c r="S2312" s="25"/>
      <c r="T2312" s="25">
        <v>0.05</v>
      </c>
      <c r="U2312" s="25">
        <v>0.55000000000000004</v>
      </c>
      <c r="V2312" s="25"/>
      <c r="W2312" s="33" t="s">
        <v>22</v>
      </c>
      <c r="X2312" s="33" t="s">
        <v>71</v>
      </c>
      <c r="Y2312" s="33"/>
      <c r="Z2312" s="33" t="s">
        <v>68</v>
      </c>
      <c r="AA2312" s="33"/>
    </row>
    <row r="2313" spans="1:27" s="70" customFormat="1" ht="33.75" x14ac:dyDescent="0.2">
      <c r="A2313" s="24">
        <v>2309</v>
      </c>
      <c r="B2313" s="27" t="s">
        <v>5</v>
      </c>
      <c r="C2313" s="28" t="s">
        <v>4</v>
      </c>
      <c r="D2313" s="71" t="s">
        <v>28</v>
      </c>
      <c r="E2313" s="28" t="s">
        <v>27</v>
      </c>
      <c r="F2313" s="25" t="s">
        <v>26</v>
      </c>
      <c r="G2313" s="27"/>
      <c r="H2313" s="28" t="s">
        <v>25</v>
      </c>
      <c r="I2313" s="27"/>
      <c r="J2313" s="28" t="s">
        <v>25</v>
      </c>
      <c r="K2313" s="27"/>
      <c r="L2313" s="25" t="s">
        <v>70</v>
      </c>
      <c r="M2313" s="25" t="s">
        <v>68</v>
      </c>
      <c r="N2313" s="25">
        <v>54</v>
      </c>
      <c r="O2313" s="25"/>
      <c r="P2313" s="25">
        <v>0.8</v>
      </c>
      <c r="Q2313" s="25"/>
      <c r="R2313" s="25"/>
      <c r="S2313" s="25"/>
      <c r="T2313" s="25">
        <v>0.05</v>
      </c>
      <c r="U2313" s="25">
        <v>0.85000000000000009</v>
      </c>
      <c r="V2313" s="25"/>
      <c r="W2313" s="33" t="s">
        <v>22</v>
      </c>
      <c r="X2313" s="33" t="s">
        <v>33</v>
      </c>
      <c r="Y2313" s="33" t="s">
        <v>20</v>
      </c>
      <c r="Z2313" s="33" t="s">
        <v>68</v>
      </c>
      <c r="AA2313" s="33"/>
    </row>
    <row r="2314" spans="1:27" s="70" customFormat="1" ht="33.75" x14ac:dyDescent="0.2">
      <c r="A2314" s="24">
        <v>2310</v>
      </c>
      <c r="B2314" s="27" t="s">
        <v>5</v>
      </c>
      <c r="C2314" s="28" t="s">
        <v>4</v>
      </c>
      <c r="D2314" s="71" t="s">
        <v>28</v>
      </c>
      <c r="E2314" s="28" t="s">
        <v>27</v>
      </c>
      <c r="F2314" s="25" t="s">
        <v>26</v>
      </c>
      <c r="G2314" s="27"/>
      <c r="H2314" s="28" t="s">
        <v>25</v>
      </c>
      <c r="I2314" s="27"/>
      <c r="J2314" s="28" t="s">
        <v>25</v>
      </c>
      <c r="K2314" s="27"/>
      <c r="L2314" s="25" t="s">
        <v>69</v>
      </c>
      <c r="M2314" s="25" t="s">
        <v>68</v>
      </c>
      <c r="N2314" s="25">
        <v>4</v>
      </c>
      <c r="O2314" s="25"/>
      <c r="P2314" s="25">
        <v>48</v>
      </c>
      <c r="Q2314" s="25"/>
      <c r="R2314" s="25"/>
      <c r="S2314" s="25"/>
      <c r="T2314" s="25">
        <v>5</v>
      </c>
      <c r="U2314" s="25">
        <v>53</v>
      </c>
      <c r="V2314" s="25"/>
      <c r="W2314" s="33" t="s">
        <v>22</v>
      </c>
      <c r="X2314" s="33" t="s">
        <v>46</v>
      </c>
      <c r="Y2314" s="33" t="s">
        <v>20</v>
      </c>
      <c r="Z2314" s="33" t="s">
        <v>68</v>
      </c>
      <c r="AA2314" s="33"/>
    </row>
    <row r="2315" spans="1:27" s="70" customFormat="1" ht="33.75" x14ac:dyDescent="0.2">
      <c r="A2315" s="24">
        <v>2311</v>
      </c>
      <c r="B2315" s="27" t="s">
        <v>5</v>
      </c>
      <c r="C2315" s="28" t="s">
        <v>4</v>
      </c>
      <c r="D2315" s="71" t="s">
        <v>28</v>
      </c>
      <c r="E2315" s="28" t="s">
        <v>27</v>
      </c>
      <c r="F2315" s="25" t="s">
        <v>26</v>
      </c>
      <c r="G2315" s="27"/>
      <c r="H2315" s="28" t="s">
        <v>25</v>
      </c>
      <c r="I2315" s="27"/>
      <c r="J2315" s="28" t="s">
        <v>25</v>
      </c>
      <c r="K2315" s="27"/>
      <c r="L2315" s="25" t="s">
        <v>67</v>
      </c>
      <c r="M2315" s="25" t="s">
        <v>66</v>
      </c>
      <c r="N2315" s="25">
        <v>4</v>
      </c>
      <c r="O2315" s="25"/>
      <c r="P2315" s="25">
        <v>30</v>
      </c>
      <c r="Q2315" s="25">
        <v>10</v>
      </c>
      <c r="R2315" s="25"/>
      <c r="S2315" s="25"/>
      <c r="T2315" s="25">
        <v>30</v>
      </c>
      <c r="U2315" s="25">
        <v>70</v>
      </c>
      <c r="V2315" s="25"/>
      <c r="W2315" s="33" t="s">
        <v>22</v>
      </c>
      <c r="X2315" s="33" t="s">
        <v>53</v>
      </c>
      <c r="Y2315" s="33" t="s">
        <v>20</v>
      </c>
      <c r="Z2315" s="33" t="s">
        <v>19</v>
      </c>
      <c r="AA2315" s="33"/>
    </row>
    <row r="2316" spans="1:27" s="70" customFormat="1" ht="33.75" x14ac:dyDescent="0.2">
      <c r="A2316" s="24">
        <v>2312</v>
      </c>
      <c r="B2316" s="27" t="s">
        <v>5</v>
      </c>
      <c r="C2316" s="28" t="s">
        <v>4</v>
      </c>
      <c r="D2316" s="71" t="s">
        <v>28</v>
      </c>
      <c r="E2316" s="28" t="s">
        <v>27</v>
      </c>
      <c r="F2316" s="25" t="s">
        <v>26</v>
      </c>
      <c r="G2316" s="27"/>
      <c r="H2316" s="28" t="s">
        <v>25</v>
      </c>
      <c r="I2316" s="27"/>
      <c r="J2316" s="28" t="s">
        <v>25</v>
      </c>
      <c r="K2316" s="27"/>
      <c r="L2316" s="25" t="s">
        <v>65</v>
      </c>
      <c r="M2316" s="25" t="s">
        <v>64</v>
      </c>
      <c r="N2316" s="25">
        <v>4</v>
      </c>
      <c r="O2316" s="25"/>
      <c r="P2316" s="25">
        <v>4</v>
      </c>
      <c r="Q2316" s="25"/>
      <c r="R2316" s="25"/>
      <c r="S2316" s="25"/>
      <c r="T2316" s="25">
        <v>2</v>
      </c>
      <c r="U2316" s="25">
        <v>6</v>
      </c>
      <c r="V2316" s="25"/>
      <c r="W2316" s="33" t="s">
        <v>22</v>
      </c>
      <c r="X2316" s="33" t="s">
        <v>53</v>
      </c>
      <c r="Y2316" s="33" t="s">
        <v>20</v>
      </c>
      <c r="Z2316" s="33" t="s">
        <v>19</v>
      </c>
      <c r="AA2316" s="33"/>
    </row>
    <row r="2317" spans="1:27" s="70" customFormat="1" ht="33.75" x14ac:dyDescent="0.2">
      <c r="A2317" s="24">
        <v>2313</v>
      </c>
      <c r="B2317" s="27" t="s">
        <v>5</v>
      </c>
      <c r="C2317" s="28" t="s">
        <v>4</v>
      </c>
      <c r="D2317" s="71" t="s">
        <v>28</v>
      </c>
      <c r="E2317" s="28" t="s">
        <v>27</v>
      </c>
      <c r="F2317" s="25" t="s">
        <v>26</v>
      </c>
      <c r="G2317" s="27"/>
      <c r="H2317" s="28" t="s">
        <v>25</v>
      </c>
      <c r="I2317" s="27"/>
      <c r="J2317" s="28" t="s">
        <v>25</v>
      </c>
      <c r="K2317" s="27"/>
      <c r="L2317" s="25" t="s">
        <v>63</v>
      </c>
      <c r="M2317" s="25" t="s">
        <v>59</v>
      </c>
      <c r="N2317" s="25">
        <v>2</v>
      </c>
      <c r="O2317" s="25"/>
      <c r="P2317" s="25">
        <v>20</v>
      </c>
      <c r="Q2317" s="25"/>
      <c r="R2317" s="25"/>
      <c r="S2317" s="25"/>
      <c r="T2317" s="25">
        <v>4</v>
      </c>
      <c r="U2317" s="25">
        <v>24</v>
      </c>
      <c r="V2317" s="25"/>
      <c r="W2317" s="33" t="s">
        <v>22</v>
      </c>
      <c r="X2317" s="33" t="s">
        <v>46</v>
      </c>
      <c r="Y2317" s="33" t="s">
        <v>20</v>
      </c>
      <c r="Z2317" s="33" t="s">
        <v>19</v>
      </c>
      <c r="AA2317" s="33"/>
    </row>
    <row r="2318" spans="1:27" s="70" customFormat="1" ht="33.75" x14ac:dyDescent="0.2">
      <c r="A2318" s="24">
        <v>2314</v>
      </c>
      <c r="B2318" s="27" t="s">
        <v>5</v>
      </c>
      <c r="C2318" s="28" t="s">
        <v>4</v>
      </c>
      <c r="D2318" s="71" t="s">
        <v>28</v>
      </c>
      <c r="E2318" s="28" t="s">
        <v>27</v>
      </c>
      <c r="F2318" s="25" t="s">
        <v>26</v>
      </c>
      <c r="G2318" s="27"/>
      <c r="H2318" s="28" t="s">
        <v>25</v>
      </c>
      <c r="I2318" s="27"/>
      <c r="J2318" s="28" t="s">
        <v>25</v>
      </c>
      <c r="K2318" s="27"/>
      <c r="L2318" s="25" t="s">
        <v>62</v>
      </c>
      <c r="M2318" s="25" t="s">
        <v>59</v>
      </c>
      <c r="N2318" s="25">
        <v>2</v>
      </c>
      <c r="O2318" s="25"/>
      <c r="P2318" s="25">
        <v>12</v>
      </c>
      <c r="Q2318" s="25"/>
      <c r="R2318" s="25"/>
      <c r="S2318" s="25"/>
      <c r="T2318" s="25">
        <v>2.5</v>
      </c>
      <c r="U2318" s="25">
        <v>14.5</v>
      </c>
      <c r="V2318" s="25"/>
      <c r="W2318" s="33" t="s">
        <v>22</v>
      </c>
      <c r="X2318" s="33" t="s">
        <v>61</v>
      </c>
      <c r="Y2318" s="33" t="s">
        <v>20</v>
      </c>
      <c r="Z2318" s="33" t="s">
        <v>19</v>
      </c>
      <c r="AA2318" s="33"/>
    </row>
    <row r="2319" spans="1:27" s="70" customFormat="1" ht="33.75" x14ac:dyDescent="0.2">
      <c r="A2319" s="24">
        <v>2315</v>
      </c>
      <c r="B2319" s="27" t="s">
        <v>5</v>
      </c>
      <c r="C2319" s="28" t="s">
        <v>4</v>
      </c>
      <c r="D2319" s="71" t="s">
        <v>28</v>
      </c>
      <c r="E2319" s="28" t="s">
        <v>27</v>
      </c>
      <c r="F2319" s="25" t="s">
        <v>26</v>
      </c>
      <c r="G2319" s="27"/>
      <c r="H2319" s="28" t="s">
        <v>25</v>
      </c>
      <c r="I2319" s="27"/>
      <c r="J2319" s="28" t="s">
        <v>25</v>
      </c>
      <c r="K2319" s="27"/>
      <c r="L2319" s="25" t="s">
        <v>60</v>
      </c>
      <c r="M2319" s="25" t="s">
        <v>59</v>
      </c>
      <c r="N2319" s="25">
        <v>2</v>
      </c>
      <c r="O2319" s="25"/>
      <c r="P2319" s="25">
        <v>12</v>
      </c>
      <c r="Q2319" s="25"/>
      <c r="R2319" s="25"/>
      <c r="S2319" s="25"/>
      <c r="T2319" s="25">
        <v>2.5</v>
      </c>
      <c r="U2319" s="25">
        <v>14.5</v>
      </c>
      <c r="V2319" s="25"/>
      <c r="W2319" s="33" t="s">
        <v>22</v>
      </c>
      <c r="X2319" s="33" t="s">
        <v>44</v>
      </c>
      <c r="Y2319" s="33" t="s">
        <v>20</v>
      </c>
      <c r="Z2319" s="33" t="s">
        <v>19</v>
      </c>
      <c r="AA2319" s="33"/>
    </row>
    <row r="2320" spans="1:27" s="70" customFormat="1" ht="33.75" x14ac:dyDescent="0.2">
      <c r="A2320" s="24">
        <v>2316</v>
      </c>
      <c r="B2320" s="27" t="s">
        <v>5</v>
      </c>
      <c r="C2320" s="28" t="s">
        <v>4</v>
      </c>
      <c r="D2320" s="71" t="s">
        <v>28</v>
      </c>
      <c r="E2320" s="28" t="s">
        <v>27</v>
      </c>
      <c r="F2320" s="25" t="s">
        <v>26</v>
      </c>
      <c r="G2320" s="27"/>
      <c r="H2320" s="28" t="s">
        <v>25</v>
      </c>
      <c r="I2320" s="27"/>
      <c r="J2320" s="28" t="s">
        <v>25</v>
      </c>
      <c r="K2320" s="27"/>
      <c r="L2320" s="25" t="s">
        <v>58</v>
      </c>
      <c r="M2320" s="25" t="s">
        <v>57</v>
      </c>
      <c r="N2320" s="25">
        <v>1</v>
      </c>
      <c r="O2320" s="25"/>
      <c r="P2320" s="25">
        <v>40</v>
      </c>
      <c r="Q2320" s="25"/>
      <c r="R2320" s="25"/>
      <c r="S2320" s="25"/>
      <c r="T2320" s="25">
        <v>8</v>
      </c>
      <c r="U2320" s="25">
        <v>48</v>
      </c>
      <c r="V2320" s="25"/>
      <c r="W2320" s="33" t="s">
        <v>54</v>
      </c>
      <c r="X2320" s="33" t="s">
        <v>53</v>
      </c>
      <c r="Y2320" s="33" t="s">
        <v>20</v>
      </c>
      <c r="Z2320" s="33" t="s">
        <v>19</v>
      </c>
      <c r="AA2320" s="33"/>
    </row>
    <row r="2321" spans="1:27" s="70" customFormat="1" ht="33.75" x14ac:dyDescent="0.2">
      <c r="A2321" s="24">
        <v>2317</v>
      </c>
      <c r="B2321" s="27" t="s">
        <v>5</v>
      </c>
      <c r="C2321" s="28" t="s">
        <v>4</v>
      </c>
      <c r="D2321" s="71" t="s">
        <v>28</v>
      </c>
      <c r="E2321" s="28" t="s">
        <v>27</v>
      </c>
      <c r="F2321" s="25" t="s">
        <v>26</v>
      </c>
      <c r="G2321" s="27"/>
      <c r="H2321" s="28" t="s">
        <v>25</v>
      </c>
      <c r="I2321" s="27"/>
      <c r="J2321" s="28" t="s">
        <v>25</v>
      </c>
      <c r="K2321" s="27"/>
      <c r="L2321" s="25" t="s">
        <v>56</v>
      </c>
      <c r="M2321" s="25" t="s">
        <v>55</v>
      </c>
      <c r="N2321" s="25">
        <v>2</v>
      </c>
      <c r="O2321" s="25"/>
      <c r="P2321" s="25"/>
      <c r="Q2321" s="25"/>
      <c r="R2321" s="25"/>
      <c r="S2321" s="25"/>
      <c r="T2321" s="25">
        <v>4</v>
      </c>
      <c r="U2321" s="25">
        <v>4</v>
      </c>
      <c r="V2321" s="25"/>
      <c r="W2321" s="33" t="s">
        <v>54</v>
      </c>
      <c r="X2321" s="33" t="s">
        <v>53</v>
      </c>
      <c r="Y2321" s="33" t="s">
        <v>20</v>
      </c>
      <c r="Z2321" s="33" t="s">
        <v>19</v>
      </c>
      <c r="AA2321" s="33"/>
    </row>
    <row r="2322" spans="1:27" s="70" customFormat="1" ht="33.75" x14ac:dyDescent="0.2">
      <c r="A2322" s="24">
        <v>2318</v>
      </c>
      <c r="B2322" s="27" t="s">
        <v>5</v>
      </c>
      <c r="C2322" s="28" t="s">
        <v>4</v>
      </c>
      <c r="D2322" s="71" t="s">
        <v>28</v>
      </c>
      <c r="E2322" s="28" t="s">
        <v>27</v>
      </c>
      <c r="F2322" s="25" t="s">
        <v>26</v>
      </c>
      <c r="G2322" s="27"/>
      <c r="H2322" s="28" t="s">
        <v>25</v>
      </c>
      <c r="I2322" s="27"/>
      <c r="J2322" s="28" t="s">
        <v>25</v>
      </c>
      <c r="K2322" s="27"/>
      <c r="L2322" s="25" t="s">
        <v>52</v>
      </c>
      <c r="M2322" s="25" t="s">
        <v>23</v>
      </c>
      <c r="N2322" s="25">
        <v>1</v>
      </c>
      <c r="O2322" s="25"/>
      <c r="P2322" s="25">
        <v>108</v>
      </c>
      <c r="Q2322" s="25"/>
      <c r="R2322" s="25"/>
      <c r="S2322" s="25"/>
      <c r="T2322" s="25">
        <v>24</v>
      </c>
      <c r="U2322" s="25">
        <v>132</v>
      </c>
      <c r="V2322" s="25"/>
      <c r="W2322" s="33" t="s">
        <v>22</v>
      </c>
      <c r="X2322" s="33" t="s">
        <v>21</v>
      </c>
      <c r="Y2322" s="33" t="s">
        <v>20</v>
      </c>
      <c r="Z2322" s="33" t="s">
        <v>19</v>
      </c>
      <c r="AA2322" s="33"/>
    </row>
    <row r="2323" spans="1:27" s="70" customFormat="1" ht="33.75" x14ac:dyDescent="0.2">
      <c r="A2323" s="24">
        <v>2319</v>
      </c>
      <c r="B2323" s="27" t="s">
        <v>5</v>
      </c>
      <c r="C2323" s="28" t="s">
        <v>4</v>
      </c>
      <c r="D2323" s="71" t="s">
        <v>28</v>
      </c>
      <c r="E2323" s="28" t="s">
        <v>27</v>
      </c>
      <c r="F2323" s="25" t="s">
        <v>26</v>
      </c>
      <c r="G2323" s="27"/>
      <c r="H2323" s="28" t="s">
        <v>25</v>
      </c>
      <c r="I2323" s="27"/>
      <c r="J2323" s="28" t="s">
        <v>25</v>
      </c>
      <c r="K2323" s="27"/>
      <c r="L2323" s="25" t="s">
        <v>51</v>
      </c>
      <c r="M2323" s="25" t="s">
        <v>23</v>
      </c>
      <c r="N2323" s="25">
        <v>1</v>
      </c>
      <c r="O2323" s="25"/>
      <c r="P2323" s="25">
        <v>108</v>
      </c>
      <c r="Q2323" s="25"/>
      <c r="R2323" s="25"/>
      <c r="S2323" s="25"/>
      <c r="T2323" s="25">
        <v>24</v>
      </c>
      <c r="U2323" s="25">
        <v>132</v>
      </c>
      <c r="V2323" s="25"/>
      <c r="W2323" s="33" t="s">
        <v>22</v>
      </c>
      <c r="X2323" s="33" t="s">
        <v>50</v>
      </c>
      <c r="Y2323" s="33" t="s">
        <v>20</v>
      </c>
      <c r="Z2323" s="33" t="s">
        <v>19</v>
      </c>
      <c r="AA2323" s="33"/>
    </row>
    <row r="2324" spans="1:27" s="70" customFormat="1" ht="33.75" x14ac:dyDescent="0.2">
      <c r="A2324" s="24">
        <v>2320</v>
      </c>
      <c r="B2324" s="27" t="s">
        <v>5</v>
      </c>
      <c r="C2324" s="28" t="s">
        <v>4</v>
      </c>
      <c r="D2324" s="71" t="s">
        <v>28</v>
      </c>
      <c r="E2324" s="28" t="s">
        <v>27</v>
      </c>
      <c r="F2324" s="25" t="s">
        <v>26</v>
      </c>
      <c r="G2324" s="27"/>
      <c r="H2324" s="28" t="s">
        <v>25</v>
      </c>
      <c r="I2324" s="27"/>
      <c r="J2324" s="28" t="s">
        <v>25</v>
      </c>
      <c r="K2324" s="27"/>
      <c r="L2324" s="25" t="s">
        <v>49</v>
      </c>
      <c r="M2324" s="25" t="s">
        <v>48</v>
      </c>
      <c r="N2324" s="25">
        <v>4</v>
      </c>
      <c r="O2324" s="25"/>
      <c r="P2324" s="25">
        <v>12</v>
      </c>
      <c r="Q2324" s="25"/>
      <c r="R2324" s="25">
        <v>0</v>
      </c>
      <c r="S2324" s="25"/>
      <c r="T2324" s="25">
        <v>3</v>
      </c>
      <c r="U2324" s="25">
        <v>15</v>
      </c>
      <c r="V2324" s="25"/>
      <c r="W2324" s="33" t="s">
        <v>22</v>
      </c>
      <c r="X2324" s="33" t="s">
        <v>46</v>
      </c>
      <c r="Y2324" s="33" t="s">
        <v>20</v>
      </c>
      <c r="Z2324" s="33" t="s">
        <v>19</v>
      </c>
      <c r="AA2324" s="33"/>
    </row>
    <row r="2325" spans="1:27" s="70" customFormat="1" ht="33.75" x14ac:dyDescent="0.2">
      <c r="A2325" s="24">
        <v>2321</v>
      </c>
      <c r="B2325" s="27" t="s">
        <v>5</v>
      </c>
      <c r="C2325" s="28" t="s">
        <v>4</v>
      </c>
      <c r="D2325" s="71" t="s">
        <v>28</v>
      </c>
      <c r="E2325" s="28" t="s">
        <v>27</v>
      </c>
      <c r="F2325" s="25" t="s">
        <v>26</v>
      </c>
      <c r="G2325" s="27"/>
      <c r="H2325" s="28" t="s">
        <v>25</v>
      </c>
      <c r="I2325" s="27"/>
      <c r="J2325" s="28" t="s">
        <v>25</v>
      </c>
      <c r="K2325" s="27"/>
      <c r="L2325" s="25" t="s">
        <v>47</v>
      </c>
      <c r="M2325" s="25" t="s">
        <v>23</v>
      </c>
      <c r="N2325" s="25">
        <v>1</v>
      </c>
      <c r="O2325" s="25"/>
      <c r="P2325" s="25">
        <v>108</v>
      </c>
      <c r="Q2325" s="25"/>
      <c r="R2325" s="25"/>
      <c r="S2325" s="25"/>
      <c r="T2325" s="25">
        <v>36</v>
      </c>
      <c r="U2325" s="25">
        <v>144</v>
      </c>
      <c r="V2325" s="25"/>
      <c r="W2325" s="33" t="s">
        <v>22</v>
      </c>
      <c r="X2325" s="33" t="s">
        <v>46</v>
      </c>
      <c r="Y2325" s="33" t="s">
        <v>20</v>
      </c>
      <c r="Z2325" s="33" t="s">
        <v>19</v>
      </c>
      <c r="AA2325" s="33"/>
    </row>
    <row r="2326" spans="1:27" s="70" customFormat="1" ht="33.75" x14ac:dyDescent="0.2">
      <c r="A2326" s="24">
        <v>2322</v>
      </c>
      <c r="B2326" s="27" t="s">
        <v>5</v>
      </c>
      <c r="C2326" s="28" t="s">
        <v>4</v>
      </c>
      <c r="D2326" s="71" t="s">
        <v>28</v>
      </c>
      <c r="E2326" s="28" t="s">
        <v>27</v>
      </c>
      <c r="F2326" s="25" t="s">
        <v>26</v>
      </c>
      <c r="G2326" s="27"/>
      <c r="H2326" s="28" t="s">
        <v>25</v>
      </c>
      <c r="I2326" s="27"/>
      <c r="J2326" s="28" t="s">
        <v>25</v>
      </c>
      <c r="K2326" s="27"/>
      <c r="L2326" s="25" t="s">
        <v>45</v>
      </c>
      <c r="M2326" s="25" t="s">
        <v>23</v>
      </c>
      <c r="N2326" s="25">
        <v>1</v>
      </c>
      <c r="O2326" s="25"/>
      <c r="P2326" s="25">
        <v>201.6</v>
      </c>
      <c r="Q2326" s="25"/>
      <c r="R2326" s="25"/>
      <c r="S2326" s="25"/>
      <c r="T2326" s="25"/>
      <c r="U2326" s="25">
        <v>201.6</v>
      </c>
      <c r="V2326" s="25"/>
      <c r="W2326" s="33" t="s">
        <v>22</v>
      </c>
      <c r="X2326" s="33" t="s">
        <v>44</v>
      </c>
      <c r="Y2326" s="33" t="s">
        <v>20</v>
      </c>
      <c r="Z2326" s="33" t="s">
        <v>19</v>
      </c>
      <c r="AA2326" s="33"/>
    </row>
    <row r="2327" spans="1:27" s="70" customFormat="1" ht="33.75" x14ac:dyDescent="0.2">
      <c r="A2327" s="24">
        <v>2323</v>
      </c>
      <c r="B2327" s="27" t="s">
        <v>5</v>
      </c>
      <c r="C2327" s="28" t="s">
        <v>4</v>
      </c>
      <c r="D2327" s="71" t="s">
        <v>28</v>
      </c>
      <c r="E2327" s="28" t="s">
        <v>27</v>
      </c>
      <c r="F2327" s="25" t="s">
        <v>26</v>
      </c>
      <c r="G2327" s="27"/>
      <c r="H2327" s="28" t="s">
        <v>25</v>
      </c>
      <c r="I2327" s="27"/>
      <c r="J2327" s="28" t="s">
        <v>25</v>
      </c>
      <c r="K2327" s="27"/>
      <c r="L2327" s="25" t="s">
        <v>43</v>
      </c>
      <c r="M2327" s="25" t="s">
        <v>23</v>
      </c>
      <c r="N2327" s="25">
        <v>1</v>
      </c>
      <c r="O2327" s="25"/>
      <c r="P2327" s="25">
        <v>60</v>
      </c>
      <c r="Q2327" s="25">
        <v>60</v>
      </c>
      <c r="R2327" s="25"/>
      <c r="S2327" s="25"/>
      <c r="T2327" s="25">
        <v>30</v>
      </c>
      <c r="U2327" s="25">
        <v>150</v>
      </c>
      <c r="V2327" s="25"/>
      <c r="W2327" s="33" t="s">
        <v>39</v>
      </c>
      <c r="X2327" s="33" t="s">
        <v>33</v>
      </c>
      <c r="Y2327" s="33" t="s">
        <v>38</v>
      </c>
      <c r="Z2327" s="33" t="s">
        <v>37</v>
      </c>
      <c r="AA2327" s="33"/>
    </row>
    <row r="2328" spans="1:27" s="70" customFormat="1" ht="33.75" x14ac:dyDescent="0.2">
      <c r="A2328" s="24">
        <v>2324</v>
      </c>
      <c r="B2328" s="27" t="s">
        <v>5</v>
      </c>
      <c r="C2328" s="28" t="s">
        <v>4</v>
      </c>
      <c r="D2328" s="71" t="s">
        <v>28</v>
      </c>
      <c r="E2328" s="28" t="s">
        <v>27</v>
      </c>
      <c r="F2328" s="25" t="s">
        <v>26</v>
      </c>
      <c r="G2328" s="27"/>
      <c r="H2328" s="28" t="s">
        <v>25</v>
      </c>
      <c r="I2328" s="27"/>
      <c r="J2328" s="28" t="s">
        <v>25</v>
      </c>
      <c r="K2328" s="27"/>
      <c r="L2328" s="25" t="s">
        <v>42</v>
      </c>
      <c r="M2328" s="25" t="s">
        <v>23</v>
      </c>
      <c r="N2328" s="25">
        <v>1</v>
      </c>
      <c r="O2328" s="25"/>
      <c r="P2328" s="25">
        <v>60</v>
      </c>
      <c r="Q2328" s="25">
        <v>60</v>
      </c>
      <c r="R2328" s="25"/>
      <c r="S2328" s="25"/>
      <c r="T2328" s="25">
        <v>30</v>
      </c>
      <c r="U2328" s="25">
        <v>150</v>
      </c>
      <c r="V2328" s="25"/>
      <c r="W2328" s="33" t="s">
        <v>22</v>
      </c>
      <c r="X2328" s="33" t="s">
        <v>35</v>
      </c>
      <c r="Y2328" s="33" t="s">
        <v>41</v>
      </c>
      <c r="Z2328" s="33" t="s">
        <v>19</v>
      </c>
      <c r="AA2328" s="33"/>
    </row>
    <row r="2329" spans="1:27" s="70" customFormat="1" ht="33.75" x14ac:dyDescent="0.2">
      <c r="A2329" s="24">
        <v>2325</v>
      </c>
      <c r="B2329" s="27" t="s">
        <v>5</v>
      </c>
      <c r="C2329" s="28" t="s">
        <v>4</v>
      </c>
      <c r="D2329" s="71" t="s">
        <v>28</v>
      </c>
      <c r="E2329" s="28" t="s">
        <v>27</v>
      </c>
      <c r="F2329" s="25" t="s">
        <v>26</v>
      </c>
      <c r="G2329" s="27"/>
      <c r="H2329" s="28" t="s">
        <v>25</v>
      </c>
      <c r="I2329" s="27"/>
      <c r="J2329" s="28" t="s">
        <v>25</v>
      </c>
      <c r="K2329" s="27"/>
      <c r="L2329" s="25" t="s">
        <v>40</v>
      </c>
      <c r="M2329" s="25" t="s">
        <v>23</v>
      </c>
      <c r="N2329" s="25">
        <v>1</v>
      </c>
      <c r="O2329" s="25"/>
      <c r="P2329" s="25">
        <v>24</v>
      </c>
      <c r="Q2329" s="25"/>
      <c r="R2329" s="25"/>
      <c r="S2329" s="25"/>
      <c r="T2329" s="25">
        <v>12</v>
      </c>
      <c r="U2329" s="25">
        <v>36</v>
      </c>
      <c r="V2329" s="25"/>
      <c r="W2329" s="33" t="s">
        <v>39</v>
      </c>
      <c r="X2329" s="33" t="s">
        <v>33</v>
      </c>
      <c r="Y2329" s="33" t="s">
        <v>38</v>
      </c>
      <c r="Z2329" s="33" t="s">
        <v>37</v>
      </c>
      <c r="AA2329" s="33"/>
    </row>
    <row r="2330" spans="1:27" s="70" customFormat="1" ht="33.75" x14ac:dyDescent="0.2">
      <c r="A2330" s="24">
        <v>2326</v>
      </c>
      <c r="B2330" s="27" t="s">
        <v>5</v>
      </c>
      <c r="C2330" s="28" t="s">
        <v>4</v>
      </c>
      <c r="D2330" s="71" t="s">
        <v>28</v>
      </c>
      <c r="E2330" s="28" t="s">
        <v>27</v>
      </c>
      <c r="F2330" s="25" t="s">
        <v>26</v>
      </c>
      <c r="G2330" s="27"/>
      <c r="H2330" s="28" t="s">
        <v>25</v>
      </c>
      <c r="I2330" s="27"/>
      <c r="J2330" s="28" t="s">
        <v>25</v>
      </c>
      <c r="K2330" s="27"/>
      <c r="L2330" s="25" t="s">
        <v>36</v>
      </c>
      <c r="M2330" s="25" t="s">
        <v>23</v>
      </c>
      <c r="N2330" s="25">
        <v>1</v>
      </c>
      <c r="O2330" s="25"/>
      <c r="P2330" s="25">
        <v>108</v>
      </c>
      <c r="Q2330" s="25"/>
      <c r="R2330" s="25"/>
      <c r="S2330" s="25"/>
      <c r="T2330" s="25">
        <v>14.4</v>
      </c>
      <c r="U2330" s="25">
        <v>122.4</v>
      </c>
      <c r="V2330" s="25"/>
      <c r="W2330" s="33" t="s">
        <v>22</v>
      </c>
      <c r="X2330" s="33" t="s">
        <v>35</v>
      </c>
      <c r="Y2330" s="33" t="s">
        <v>20</v>
      </c>
      <c r="Z2330" s="33" t="s">
        <v>19</v>
      </c>
      <c r="AA2330" s="33"/>
    </row>
    <row r="2331" spans="1:27" s="70" customFormat="1" ht="33.75" x14ac:dyDescent="0.2">
      <c r="A2331" s="24">
        <v>2327</v>
      </c>
      <c r="B2331" s="27" t="s">
        <v>5</v>
      </c>
      <c r="C2331" s="28" t="s">
        <v>4</v>
      </c>
      <c r="D2331" s="71" t="s">
        <v>28</v>
      </c>
      <c r="E2331" s="28" t="s">
        <v>27</v>
      </c>
      <c r="F2331" s="25" t="s">
        <v>26</v>
      </c>
      <c r="G2331" s="27"/>
      <c r="H2331" s="28" t="s">
        <v>25</v>
      </c>
      <c r="I2331" s="27"/>
      <c r="J2331" s="28" t="s">
        <v>25</v>
      </c>
      <c r="K2331" s="27"/>
      <c r="L2331" s="25" t="s">
        <v>34</v>
      </c>
      <c r="M2331" s="25" t="s">
        <v>23</v>
      </c>
      <c r="N2331" s="25">
        <v>1</v>
      </c>
      <c r="O2331" s="25"/>
      <c r="P2331" s="25">
        <v>48</v>
      </c>
      <c r="Q2331" s="25">
        <v>24</v>
      </c>
      <c r="R2331" s="25"/>
      <c r="S2331" s="25"/>
      <c r="T2331" s="25">
        <v>24</v>
      </c>
      <c r="U2331" s="25">
        <v>96</v>
      </c>
      <c r="V2331" s="25"/>
      <c r="W2331" s="33" t="s">
        <v>22</v>
      </c>
      <c r="X2331" s="33" t="s">
        <v>33</v>
      </c>
      <c r="Y2331" s="33" t="s">
        <v>20</v>
      </c>
      <c r="Z2331" s="33" t="s">
        <v>19</v>
      </c>
      <c r="AA2331" s="33"/>
    </row>
    <row r="2332" spans="1:27" s="70" customFormat="1" ht="33.75" x14ac:dyDescent="0.2">
      <c r="A2332" s="24">
        <v>2328</v>
      </c>
      <c r="B2332" s="27" t="s">
        <v>5</v>
      </c>
      <c r="C2332" s="28" t="s">
        <v>4</v>
      </c>
      <c r="D2332" s="71" t="s">
        <v>28</v>
      </c>
      <c r="E2332" s="28" t="s">
        <v>27</v>
      </c>
      <c r="F2332" s="25" t="s">
        <v>26</v>
      </c>
      <c r="G2332" s="27"/>
      <c r="H2332" s="28" t="s">
        <v>25</v>
      </c>
      <c r="I2332" s="27"/>
      <c r="J2332" s="28" t="s">
        <v>25</v>
      </c>
      <c r="K2332" s="27"/>
      <c r="L2332" s="25" t="s">
        <v>32</v>
      </c>
      <c r="M2332" s="25" t="s">
        <v>23</v>
      </c>
      <c r="N2332" s="25">
        <v>1</v>
      </c>
      <c r="O2332" s="25">
        <v>24</v>
      </c>
      <c r="P2332" s="25"/>
      <c r="Q2332" s="25"/>
      <c r="R2332" s="25"/>
      <c r="S2332" s="25"/>
      <c r="T2332" s="25">
        <v>4</v>
      </c>
      <c r="U2332" s="25">
        <v>28</v>
      </c>
      <c r="V2332" s="25"/>
      <c r="W2332" s="33" t="s">
        <v>31</v>
      </c>
      <c r="X2332" s="33" t="s">
        <v>30</v>
      </c>
      <c r="Y2332" s="33" t="s">
        <v>20</v>
      </c>
      <c r="Z2332" s="33" t="s">
        <v>29</v>
      </c>
      <c r="AA2332" s="33"/>
    </row>
    <row r="2333" spans="1:27" s="70" customFormat="1" ht="33.75" x14ac:dyDescent="0.2">
      <c r="A2333" s="24">
        <v>2329</v>
      </c>
      <c r="B2333" s="27" t="s">
        <v>5</v>
      </c>
      <c r="C2333" s="28" t="s">
        <v>4</v>
      </c>
      <c r="D2333" s="71" t="s">
        <v>28</v>
      </c>
      <c r="E2333" s="28" t="s">
        <v>27</v>
      </c>
      <c r="F2333" s="25" t="s">
        <v>26</v>
      </c>
      <c r="G2333" s="27"/>
      <c r="H2333" s="28" t="s">
        <v>25</v>
      </c>
      <c r="I2333" s="27"/>
      <c r="J2333" s="28" t="s">
        <v>25</v>
      </c>
      <c r="K2333" s="27"/>
      <c r="L2333" s="25" t="s">
        <v>24</v>
      </c>
      <c r="M2333" s="25" t="s">
        <v>23</v>
      </c>
      <c r="N2333" s="25">
        <v>1</v>
      </c>
      <c r="O2333" s="25"/>
      <c r="P2333" s="25">
        <v>16</v>
      </c>
      <c r="Q2333" s="25">
        <v>16</v>
      </c>
      <c r="R2333" s="25"/>
      <c r="S2333" s="25"/>
      <c r="T2333" s="25">
        <v>8</v>
      </c>
      <c r="U2333" s="25">
        <v>40</v>
      </c>
      <c r="V2333" s="25"/>
      <c r="W2333" s="33" t="s">
        <v>22</v>
      </c>
      <c r="X2333" s="33" t="s">
        <v>21</v>
      </c>
      <c r="Y2333" s="33" t="s">
        <v>20</v>
      </c>
      <c r="Z2333" s="33" t="s">
        <v>19</v>
      </c>
      <c r="AA2333" s="33"/>
    </row>
    <row r="2334" spans="1:27" s="70" customFormat="1" ht="56.25" x14ac:dyDescent="0.2">
      <c r="A2334" s="24">
        <v>2330</v>
      </c>
      <c r="B2334" s="24" t="s">
        <v>5</v>
      </c>
      <c r="C2334" s="25" t="s">
        <v>4</v>
      </c>
      <c r="D2334" s="26" t="s">
        <v>3</v>
      </c>
      <c r="E2334" s="25" t="s">
        <v>2</v>
      </c>
      <c r="F2334" s="25" t="s">
        <v>1</v>
      </c>
      <c r="G2334" s="24"/>
      <c r="H2334" s="28" t="s">
        <v>15</v>
      </c>
      <c r="I2334" s="27"/>
      <c r="J2334" s="28" t="s">
        <v>18</v>
      </c>
      <c r="K2334" s="27"/>
      <c r="L2334" s="25" t="s">
        <v>17</v>
      </c>
      <c r="M2334" s="25"/>
      <c r="N2334" s="25"/>
      <c r="O2334" s="25"/>
      <c r="P2334" s="25"/>
      <c r="Q2334" s="25"/>
      <c r="R2334" s="25"/>
      <c r="S2334" s="25"/>
      <c r="T2334" s="25"/>
      <c r="U2334" s="25"/>
      <c r="V2334" s="25"/>
      <c r="W2334" s="33"/>
      <c r="X2334" s="33"/>
      <c r="Y2334" s="33"/>
      <c r="Z2334" s="33"/>
      <c r="AA2334" s="33"/>
    </row>
    <row r="2335" spans="1:27" s="70" customFormat="1" ht="45" x14ac:dyDescent="0.2">
      <c r="A2335" s="24">
        <v>2331</v>
      </c>
      <c r="B2335" s="24" t="s">
        <v>5</v>
      </c>
      <c r="C2335" s="25" t="s">
        <v>4</v>
      </c>
      <c r="D2335" s="26" t="s">
        <v>3</v>
      </c>
      <c r="E2335" s="25" t="s">
        <v>2</v>
      </c>
      <c r="F2335" s="25" t="s">
        <v>1</v>
      </c>
      <c r="G2335" s="24"/>
      <c r="H2335" s="28" t="s">
        <v>15</v>
      </c>
      <c r="I2335" s="27"/>
      <c r="J2335" s="28" t="s">
        <v>16</v>
      </c>
      <c r="K2335" s="27"/>
      <c r="L2335" s="25"/>
      <c r="M2335" s="25"/>
      <c r="N2335" s="25"/>
      <c r="O2335" s="25"/>
      <c r="P2335" s="25"/>
      <c r="Q2335" s="25"/>
      <c r="R2335" s="25"/>
      <c r="S2335" s="25"/>
      <c r="T2335" s="25"/>
      <c r="U2335" s="25"/>
      <c r="V2335" s="25"/>
      <c r="W2335" s="33"/>
      <c r="X2335" s="33"/>
      <c r="Y2335" s="33"/>
      <c r="Z2335" s="33"/>
      <c r="AA2335" s="33"/>
    </row>
    <row r="2336" spans="1:27" s="70" customFormat="1" ht="45" x14ac:dyDescent="0.2">
      <c r="A2336" s="24">
        <v>2332</v>
      </c>
      <c r="B2336" s="24" t="s">
        <v>5</v>
      </c>
      <c r="C2336" s="25" t="s">
        <v>4</v>
      </c>
      <c r="D2336" s="26" t="s">
        <v>3</v>
      </c>
      <c r="E2336" s="25" t="s">
        <v>2</v>
      </c>
      <c r="F2336" s="25" t="s">
        <v>1</v>
      </c>
      <c r="G2336" s="24"/>
      <c r="H2336" s="28" t="s">
        <v>15</v>
      </c>
      <c r="I2336" s="27"/>
      <c r="J2336" s="28" t="s">
        <v>14</v>
      </c>
      <c r="K2336" s="27"/>
      <c r="L2336" s="25"/>
      <c r="M2336" s="25"/>
      <c r="N2336" s="25"/>
      <c r="O2336" s="25"/>
      <c r="P2336" s="25"/>
      <c r="Q2336" s="25"/>
      <c r="R2336" s="25"/>
      <c r="S2336" s="25"/>
      <c r="T2336" s="25"/>
      <c r="U2336" s="25"/>
      <c r="V2336" s="25"/>
      <c r="W2336" s="33"/>
      <c r="X2336" s="33"/>
      <c r="Y2336" s="33"/>
      <c r="Z2336" s="33"/>
      <c r="AA2336" s="33"/>
    </row>
    <row r="2337" spans="1:27" s="70" customFormat="1" ht="45" x14ac:dyDescent="0.2">
      <c r="A2337" s="24">
        <v>2333</v>
      </c>
      <c r="B2337" s="24" t="s">
        <v>5</v>
      </c>
      <c r="C2337" s="25" t="s">
        <v>4</v>
      </c>
      <c r="D2337" s="26" t="s">
        <v>3</v>
      </c>
      <c r="E2337" s="25" t="s">
        <v>2</v>
      </c>
      <c r="F2337" s="25" t="s">
        <v>1</v>
      </c>
      <c r="G2337" s="75"/>
      <c r="H2337" s="28" t="s">
        <v>10</v>
      </c>
      <c r="I2337" s="27"/>
      <c r="J2337" s="28" t="s">
        <v>13</v>
      </c>
      <c r="K2337" s="27"/>
      <c r="L2337" s="25"/>
      <c r="M2337" s="25"/>
      <c r="N2337" s="25"/>
      <c r="O2337" s="25"/>
      <c r="P2337" s="25"/>
      <c r="Q2337" s="25"/>
      <c r="R2337" s="25"/>
      <c r="S2337" s="25"/>
      <c r="T2337" s="25"/>
      <c r="U2337" s="25"/>
      <c r="V2337" s="25"/>
      <c r="W2337" s="33"/>
      <c r="X2337" s="33"/>
      <c r="Y2337" s="33"/>
      <c r="Z2337" s="33"/>
      <c r="AA2337" s="33"/>
    </row>
    <row r="2338" spans="1:27" s="70" customFormat="1" ht="45" x14ac:dyDescent="0.2">
      <c r="A2338" s="24">
        <v>2334</v>
      </c>
      <c r="B2338" s="24" t="s">
        <v>5</v>
      </c>
      <c r="C2338" s="25" t="s">
        <v>4</v>
      </c>
      <c r="D2338" s="26" t="s">
        <v>3</v>
      </c>
      <c r="E2338" s="25" t="s">
        <v>2</v>
      </c>
      <c r="F2338" s="25" t="s">
        <v>1</v>
      </c>
      <c r="G2338" s="75"/>
      <c r="H2338" s="28" t="s">
        <v>10</v>
      </c>
      <c r="I2338" s="27"/>
      <c r="J2338" s="28" t="s">
        <v>12</v>
      </c>
      <c r="K2338" s="27"/>
      <c r="L2338" s="25"/>
      <c r="M2338" s="25"/>
      <c r="N2338" s="25"/>
      <c r="O2338" s="25"/>
      <c r="P2338" s="25"/>
      <c r="Q2338" s="25"/>
      <c r="R2338" s="25"/>
      <c r="S2338" s="25"/>
      <c r="T2338" s="25"/>
      <c r="U2338" s="25"/>
      <c r="V2338" s="25"/>
      <c r="W2338" s="33"/>
      <c r="X2338" s="33"/>
      <c r="Y2338" s="33"/>
      <c r="Z2338" s="33"/>
      <c r="AA2338" s="33"/>
    </row>
    <row r="2339" spans="1:27" s="70" customFormat="1" ht="45" x14ac:dyDescent="0.2">
      <c r="A2339" s="24">
        <v>2335</v>
      </c>
      <c r="B2339" s="24" t="s">
        <v>5</v>
      </c>
      <c r="C2339" s="25" t="s">
        <v>4</v>
      </c>
      <c r="D2339" s="26" t="s">
        <v>3</v>
      </c>
      <c r="E2339" s="25" t="s">
        <v>2</v>
      </c>
      <c r="F2339" s="25" t="s">
        <v>1</v>
      </c>
      <c r="G2339" s="75"/>
      <c r="H2339" s="28" t="s">
        <v>10</v>
      </c>
      <c r="I2339" s="27"/>
      <c r="J2339" s="28" t="s">
        <v>11</v>
      </c>
      <c r="K2339" s="27"/>
      <c r="L2339" s="25"/>
      <c r="M2339" s="25"/>
      <c r="N2339" s="25"/>
      <c r="O2339" s="25"/>
      <c r="P2339" s="25"/>
      <c r="Q2339" s="25"/>
      <c r="R2339" s="25"/>
      <c r="S2339" s="25"/>
      <c r="T2339" s="25"/>
      <c r="U2339" s="25"/>
      <c r="V2339" s="25"/>
      <c r="W2339" s="33"/>
      <c r="X2339" s="33"/>
      <c r="Y2339" s="33"/>
      <c r="Z2339" s="33"/>
      <c r="AA2339" s="33"/>
    </row>
    <row r="2340" spans="1:27" s="70" customFormat="1" ht="45" x14ac:dyDescent="0.2">
      <c r="A2340" s="24">
        <v>2336</v>
      </c>
      <c r="B2340" s="24" t="s">
        <v>5</v>
      </c>
      <c r="C2340" s="25" t="s">
        <v>4</v>
      </c>
      <c r="D2340" s="26" t="s">
        <v>3</v>
      </c>
      <c r="E2340" s="25" t="s">
        <v>2</v>
      </c>
      <c r="F2340" s="25" t="s">
        <v>1</v>
      </c>
      <c r="G2340" s="75"/>
      <c r="H2340" s="28" t="s">
        <v>10</v>
      </c>
      <c r="I2340" s="27"/>
      <c r="J2340" s="28" t="s">
        <v>9</v>
      </c>
      <c r="K2340" s="27"/>
      <c r="L2340" s="25"/>
      <c r="M2340" s="25"/>
      <c r="N2340" s="25"/>
      <c r="O2340" s="25"/>
      <c r="P2340" s="25"/>
      <c r="Q2340" s="25"/>
      <c r="R2340" s="25"/>
      <c r="S2340" s="25"/>
      <c r="T2340" s="25"/>
      <c r="U2340" s="25"/>
      <c r="V2340" s="25"/>
      <c r="W2340" s="33"/>
      <c r="X2340" s="33"/>
      <c r="Y2340" s="33"/>
      <c r="Z2340" s="33"/>
      <c r="AA2340" s="33"/>
    </row>
    <row r="2341" spans="1:27" s="70" customFormat="1" ht="33.75" x14ac:dyDescent="0.2">
      <c r="A2341" s="24">
        <v>2337</v>
      </c>
      <c r="B2341" s="24" t="s">
        <v>5</v>
      </c>
      <c r="C2341" s="25" t="s">
        <v>4</v>
      </c>
      <c r="D2341" s="26" t="s">
        <v>3</v>
      </c>
      <c r="E2341" s="25" t="s">
        <v>2</v>
      </c>
      <c r="F2341" s="25" t="s">
        <v>1</v>
      </c>
      <c r="G2341" s="75"/>
      <c r="H2341" s="28" t="s">
        <v>7</v>
      </c>
      <c r="I2341" s="27"/>
      <c r="J2341" s="28" t="s">
        <v>8</v>
      </c>
      <c r="K2341" s="27"/>
      <c r="L2341" s="25"/>
      <c r="M2341" s="25"/>
      <c r="N2341" s="25"/>
      <c r="O2341" s="25"/>
      <c r="P2341" s="25"/>
      <c r="Q2341" s="25"/>
      <c r="R2341" s="25"/>
      <c r="S2341" s="25"/>
      <c r="T2341" s="25"/>
      <c r="U2341" s="25"/>
      <c r="V2341" s="25"/>
      <c r="W2341" s="33"/>
      <c r="X2341" s="33"/>
      <c r="Y2341" s="33"/>
      <c r="Z2341" s="33"/>
      <c r="AA2341" s="33"/>
    </row>
    <row r="2342" spans="1:27" s="70" customFormat="1" ht="33.75" x14ac:dyDescent="0.2">
      <c r="A2342" s="24">
        <v>2338</v>
      </c>
      <c r="B2342" s="24" t="s">
        <v>5</v>
      </c>
      <c r="C2342" s="25" t="s">
        <v>4</v>
      </c>
      <c r="D2342" s="26" t="s">
        <v>3</v>
      </c>
      <c r="E2342" s="25" t="s">
        <v>2</v>
      </c>
      <c r="F2342" s="25" t="s">
        <v>1</v>
      </c>
      <c r="G2342" s="75"/>
      <c r="H2342" s="28" t="s">
        <v>7</v>
      </c>
      <c r="I2342" s="27"/>
      <c r="J2342" s="28" t="s">
        <v>6</v>
      </c>
      <c r="K2342" s="27"/>
      <c r="L2342" s="25"/>
      <c r="M2342" s="25"/>
      <c r="N2342" s="25"/>
      <c r="O2342" s="25"/>
      <c r="P2342" s="25"/>
      <c r="Q2342" s="25"/>
      <c r="R2342" s="25"/>
      <c r="S2342" s="25"/>
      <c r="T2342" s="25"/>
      <c r="U2342" s="25"/>
      <c r="V2342" s="25"/>
      <c r="W2342" s="33"/>
      <c r="X2342" s="33"/>
      <c r="Y2342" s="33"/>
      <c r="Z2342" s="33"/>
      <c r="AA2342" s="33"/>
    </row>
    <row r="2343" spans="1:27" s="70" customFormat="1" ht="33.75" x14ac:dyDescent="0.2">
      <c r="A2343" s="24">
        <v>2339</v>
      </c>
      <c r="B2343" s="24" t="s">
        <v>5</v>
      </c>
      <c r="C2343" s="25" t="s">
        <v>4</v>
      </c>
      <c r="D2343" s="26" t="s">
        <v>3</v>
      </c>
      <c r="E2343" s="25" t="s">
        <v>2</v>
      </c>
      <c r="F2343" s="25" t="s">
        <v>1</v>
      </c>
      <c r="G2343" s="75"/>
      <c r="H2343" s="28" t="s">
        <v>0</v>
      </c>
      <c r="I2343" s="27"/>
      <c r="J2343" s="28" t="s">
        <v>0</v>
      </c>
      <c r="K2343" s="27"/>
      <c r="L2343" s="25"/>
      <c r="M2343" s="25"/>
      <c r="N2343" s="25"/>
      <c r="O2343" s="25"/>
      <c r="P2343" s="25"/>
      <c r="Q2343" s="25"/>
      <c r="R2343" s="25"/>
      <c r="S2343" s="25"/>
      <c r="T2343" s="25"/>
      <c r="U2343" s="25"/>
      <c r="V2343" s="25"/>
      <c r="W2343" s="33"/>
      <c r="X2343" s="33"/>
      <c r="Y2343" s="33"/>
      <c r="Z2343" s="33"/>
      <c r="AA2343" s="33"/>
    </row>
  </sheetData>
  <sheetProtection algorithmName="SHA-512" hashValue="wL1eXu6yl322Yy7iHwXPB/ZtFcXSwzGMpQdgoX0zEwkX0gytNwe7w1100mmYCnb2gCJ10ylFVQAb5+5+svDYVA==" saltValue="o0UiuuM7GGIlCseMO+lmcg==" spinCount="100000" sheet="1" objects="1" scenarios="1" selectLockedCells="1" selectUnlockedCells="1"/>
  <autoFilter ref="A4:AB4"/>
  <mergeCells count="19">
    <mergeCell ref="W3:Y3"/>
    <mergeCell ref="Z3:Z4"/>
    <mergeCell ref="AA3:AA4"/>
    <mergeCell ref="A2:AA2"/>
    <mergeCell ref="A3:A4"/>
    <mergeCell ref="B3:B4"/>
    <mergeCell ref="C3:C4"/>
    <mergeCell ref="D3:D4"/>
    <mergeCell ref="E3:E4"/>
    <mergeCell ref="F3:F4"/>
    <mergeCell ref="K3:K4"/>
    <mergeCell ref="L3:L4"/>
    <mergeCell ref="M3:M4"/>
    <mergeCell ref="I3:I4"/>
    <mergeCell ref="G3:G4"/>
    <mergeCell ref="J3:J4"/>
    <mergeCell ref="H3:H4"/>
    <mergeCell ref="N3:N4"/>
    <mergeCell ref="O3:V3"/>
  </mergeCells>
  <conditionalFormatting sqref="L5">
    <cfRule type="duplicateValues" dxfId="254" priority="199"/>
    <cfRule type="duplicateValues" dxfId="253" priority="200"/>
    <cfRule type="duplicateValues" dxfId="252" priority="201"/>
  </conditionalFormatting>
  <conditionalFormatting sqref="L6">
    <cfRule type="duplicateValues" dxfId="251" priority="196"/>
    <cfRule type="duplicateValues" dxfId="250" priority="197"/>
    <cfRule type="duplicateValues" dxfId="249" priority="198"/>
  </conditionalFormatting>
  <conditionalFormatting sqref="L7">
    <cfRule type="duplicateValues" dxfId="248" priority="193"/>
    <cfRule type="duplicateValues" dxfId="247" priority="194"/>
    <cfRule type="duplicateValues" dxfId="246" priority="195"/>
  </conditionalFormatting>
  <conditionalFormatting sqref="L9">
    <cfRule type="duplicateValues" dxfId="245" priority="190"/>
    <cfRule type="duplicateValues" dxfId="244" priority="191"/>
    <cfRule type="duplicateValues" dxfId="243" priority="192"/>
  </conditionalFormatting>
  <conditionalFormatting sqref="L10">
    <cfRule type="duplicateValues" dxfId="242" priority="187"/>
    <cfRule type="duplicateValues" dxfId="241" priority="188"/>
    <cfRule type="duplicateValues" dxfId="240" priority="189"/>
  </conditionalFormatting>
  <conditionalFormatting sqref="L11">
    <cfRule type="duplicateValues" dxfId="239" priority="184"/>
    <cfRule type="duplicateValues" dxfId="238" priority="185"/>
    <cfRule type="duplicateValues" dxfId="237" priority="186"/>
  </conditionalFormatting>
  <conditionalFormatting sqref="L13">
    <cfRule type="duplicateValues" dxfId="236" priority="181"/>
    <cfRule type="duplicateValues" dxfId="235" priority="182"/>
    <cfRule type="duplicateValues" dxfId="234" priority="183"/>
  </conditionalFormatting>
  <conditionalFormatting sqref="L14">
    <cfRule type="duplicateValues" dxfId="233" priority="178"/>
    <cfRule type="duplicateValues" dxfId="232" priority="179"/>
    <cfRule type="duplicateValues" dxfId="231" priority="180"/>
  </conditionalFormatting>
  <conditionalFormatting sqref="L15">
    <cfRule type="duplicateValues" dxfId="230" priority="175"/>
    <cfRule type="duplicateValues" dxfId="229" priority="176"/>
    <cfRule type="duplicateValues" dxfId="228" priority="177"/>
  </conditionalFormatting>
  <conditionalFormatting sqref="L16">
    <cfRule type="duplicateValues" dxfId="227" priority="172"/>
    <cfRule type="duplicateValues" dxfId="226" priority="173"/>
    <cfRule type="duplicateValues" dxfId="225" priority="174"/>
  </conditionalFormatting>
  <conditionalFormatting sqref="L17">
    <cfRule type="duplicateValues" dxfId="224" priority="169"/>
    <cfRule type="duplicateValues" dxfId="223" priority="170"/>
    <cfRule type="duplicateValues" dxfId="222" priority="171"/>
  </conditionalFormatting>
  <conditionalFormatting sqref="L18">
    <cfRule type="duplicateValues" dxfId="221" priority="166"/>
    <cfRule type="duplicateValues" dxfId="220" priority="167"/>
    <cfRule type="duplicateValues" dxfId="219" priority="168"/>
  </conditionalFormatting>
  <conditionalFormatting sqref="L20">
    <cfRule type="duplicateValues" dxfId="218" priority="163"/>
    <cfRule type="duplicateValues" dxfId="217" priority="164"/>
    <cfRule type="duplicateValues" dxfId="216" priority="165"/>
  </conditionalFormatting>
  <conditionalFormatting sqref="L22">
    <cfRule type="duplicateValues" dxfId="215" priority="160"/>
    <cfRule type="duplicateValues" dxfId="214" priority="161"/>
    <cfRule type="duplicateValues" dxfId="213" priority="162"/>
  </conditionalFormatting>
  <conditionalFormatting sqref="L8">
    <cfRule type="duplicateValues" dxfId="212" priority="202"/>
    <cfRule type="duplicateValues" dxfId="211" priority="203"/>
    <cfRule type="duplicateValues" dxfId="210" priority="204"/>
  </conditionalFormatting>
  <conditionalFormatting sqref="L19">
    <cfRule type="duplicateValues" dxfId="209" priority="205"/>
    <cfRule type="duplicateValues" dxfId="208" priority="206"/>
    <cfRule type="duplicateValues" dxfId="207" priority="207"/>
  </conditionalFormatting>
  <conditionalFormatting sqref="L21">
    <cfRule type="duplicateValues" dxfId="206" priority="208"/>
    <cfRule type="duplicateValues" dxfId="205" priority="209"/>
    <cfRule type="duplicateValues" dxfId="204" priority="210"/>
  </conditionalFormatting>
  <conditionalFormatting sqref="L34">
    <cfRule type="duplicateValues" dxfId="203" priority="157"/>
    <cfRule type="duplicateValues" dxfId="202" priority="158"/>
    <cfRule type="duplicateValues" dxfId="201" priority="159"/>
  </conditionalFormatting>
  <conditionalFormatting sqref="L35">
    <cfRule type="duplicateValues" dxfId="200" priority="154"/>
    <cfRule type="duplicateValues" dxfId="199" priority="155"/>
    <cfRule type="duplicateValues" dxfId="198" priority="156"/>
  </conditionalFormatting>
  <conditionalFormatting sqref="L36">
    <cfRule type="duplicateValues" dxfId="197" priority="211"/>
    <cfRule type="duplicateValues" dxfId="196" priority="212"/>
    <cfRule type="duplicateValues" dxfId="195" priority="213"/>
  </conditionalFormatting>
  <conditionalFormatting sqref="L37">
    <cfRule type="duplicateValues" dxfId="194" priority="151"/>
    <cfRule type="duplicateValues" dxfId="193" priority="152"/>
    <cfRule type="duplicateValues" dxfId="192" priority="153"/>
  </conditionalFormatting>
  <conditionalFormatting sqref="L38">
    <cfRule type="duplicateValues" dxfId="191" priority="148"/>
    <cfRule type="duplicateValues" dxfId="190" priority="149"/>
    <cfRule type="duplicateValues" dxfId="189" priority="150"/>
  </conditionalFormatting>
  <conditionalFormatting sqref="L39">
    <cfRule type="duplicateValues" dxfId="188" priority="145"/>
    <cfRule type="duplicateValues" dxfId="187" priority="146"/>
    <cfRule type="duplicateValues" dxfId="186" priority="147"/>
  </conditionalFormatting>
  <conditionalFormatting sqref="L46">
    <cfRule type="duplicateValues" dxfId="185" priority="142"/>
    <cfRule type="duplicateValues" dxfId="184" priority="143"/>
    <cfRule type="duplicateValues" dxfId="183" priority="144"/>
  </conditionalFormatting>
  <conditionalFormatting sqref="L41">
    <cfRule type="duplicateValues" dxfId="182" priority="136"/>
    <cfRule type="duplicateValues" dxfId="181" priority="137"/>
    <cfRule type="duplicateValues" dxfId="180" priority="138"/>
  </conditionalFormatting>
  <conditionalFormatting sqref="L40 L42:L45">
    <cfRule type="duplicateValues" dxfId="179" priority="139"/>
    <cfRule type="duplicateValues" dxfId="178" priority="140"/>
    <cfRule type="duplicateValues" dxfId="177" priority="141"/>
  </conditionalFormatting>
  <conditionalFormatting sqref="L25">
    <cfRule type="duplicateValues" dxfId="176" priority="130"/>
    <cfRule type="duplicateValues" dxfId="175" priority="131"/>
    <cfRule type="duplicateValues" dxfId="174" priority="132"/>
  </conditionalFormatting>
  <conditionalFormatting sqref="L28">
    <cfRule type="duplicateValues" dxfId="173" priority="127"/>
    <cfRule type="duplicateValues" dxfId="172" priority="128"/>
    <cfRule type="duplicateValues" dxfId="171" priority="129"/>
  </conditionalFormatting>
  <conditionalFormatting sqref="L29">
    <cfRule type="duplicateValues" dxfId="170" priority="124"/>
    <cfRule type="duplicateValues" dxfId="169" priority="125"/>
    <cfRule type="duplicateValues" dxfId="168" priority="126"/>
  </conditionalFormatting>
  <conditionalFormatting sqref="M30">
    <cfRule type="duplicateValues" dxfId="167" priority="118"/>
    <cfRule type="duplicateValues" dxfId="166" priority="119"/>
    <cfRule type="duplicateValues" dxfId="165" priority="120"/>
  </conditionalFormatting>
  <conditionalFormatting sqref="L30">
    <cfRule type="duplicateValues" dxfId="164" priority="121"/>
    <cfRule type="duplicateValues" dxfId="163" priority="122"/>
    <cfRule type="duplicateValues" dxfId="162" priority="123"/>
  </conditionalFormatting>
  <conditionalFormatting sqref="L26:L27 L24">
    <cfRule type="duplicateValues" dxfId="161" priority="133"/>
    <cfRule type="duplicateValues" dxfId="160" priority="134"/>
    <cfRule type="duplicateValues" dxfId="159" priority="135"/>
  </conditionalFormatting>
  <conditionalFormatting sqref="L31">
    <cfRule type="duplicateValues" dxfId="158" priority="115"/>
    <cfRule type="duplicateValues" dxfId="157" priority="116"/>
    <cfRule type="duplicateValues" dxfId="156" priority="117"/>
  </conditionalFormatting>
  <conditionalFormatting sqref="L66">
    <cfRule type="duplicateValues" dxfId="155" priority="103"/>
    <cfRule type="duplicateValues" dxfId="154" priority="104"/>
    <cfRule type="duplicateValues" dxfId="153" priority="105"/>
  </conditionalFormatting>
  <conditionalFormatting sqref="L64">
    <cfRule type="duplicateValues" dxfId="152" priority="106"/>
    <cfRule type="duplicateValues" dxfId="151" priority="107"/>
    <cfRule type="duplicateValues" dxfId="150" priority="108"/>
  </conditionalFormatting>
  <conditionalFormatting sqref="L65">
    <cfRule type="duplicateValues" dxfId="149" priority="109"/>
    <cfRule type="duplicateValues" dxfId="148" priority="110"/>
    <cfRule type="duplicateValues" dxfId="147" priority="111"/>
  </conditionalFormatting>
  <conditionalFormatting sqref="L72">
    <cfRule type="duplicateValues" dxfId="146" priority="91"/>
    <cfRule type="duplicateValues" dxfId="145" priority="92"/>
    <cfRule type="duplicateValues" dxfId="144" priority="93"/>
  </conditionalFormatting>
  <conditionalFormatting sqref="L73">
    <cfRule type="duplicateValues" dxfId="143" priority="88"/>
    <cfRule type="duplicateValues" dxfId="142" priority="89"/>
    <cfRule type="duplicateValues" dxfId="141" priority="90"/>
  </conditionalFormatting>
  <conditionalFormatting sqref="L74">
    <cfRule type="duplicateValues" dxfId="140" priority="85"/>
    <cfRule type="duplicateValues" dxfId="139" priority="86"/>
    <cfRule type="duplicateValues" dxfId="138" priority="87"/>
  </conditionalFormatting>
  <conditionalFormatting sqref="L75">
    <cfRule type="duplicateValues" dxfId="137" priority="82"/>
    <cfRule type="duplicateValues" dxfId="136" priority="83"/>
    <cfRule type="duplicateValues" dxfId="135" priority="84"/>
  </conditionalFormatting>
  <conditionalFormatting sqref="L78">
    <cfRule type="duplicateValues" dxfId="134" priority="79"/>
    <cfRule type="duplicateValues" dxfId="133" priority="80"/>
    <cfRule type="duplicateValues" dxfId="132" priority="81"/>
  </conditionalFormatting>
  <conditionalFormatting sqref="L80">
    <cfRule type="duplicateValues" dxfId="131" priority="76"/>
    <cfRule type="duplicateValues" dxfId="130" priority="77"/>
    <cfRule type="duplicateValues" dxfId="129" priority="78"/>
  </conditionalFormatting>
  <conditionalFormatting sqref="M81">
    <cfRule type="duplicateValues" dxfId="128" priority="70"/>
    <cfRule type="duplicateValues" dxfId="127" priority="71"/>
    <cfRule type="duplicateValues" dxfId="126" priority="72"/>
  </conditionalFormatting>
  <conditionalFormatting sqref="L81">
    <cfRule type="duplicateValues" dxfId="125" priority="73"/>
    <cfRule type="duplicateValues" dxfId="124" priority="74"/>
    <cfRule type="duplicateValues" dxfId="123" priority="75"/>
  </conditionalFormatting>
  <conditionalFormatting sqref="M88">
    <cfRule type="duplicateValues" dxfId="122" priority="64"/>
    <cfRule type="duplicateValues" dxfId="121" priority="65"/>
    <cfRule type="duplicateValues" dxfId="120" priority="66"/>
  </conditionalFormatting>
  <conditionalFormatting sqref="L88">
    <cfRule type="duplicateValues" dxfId="119" priority="67"/>
    <cfRule type="duplicateValues" dxfId="118" priority="68"/>
    <cfRule type="duplicateValues" dxfId="117" priority="69"/>
  </conditionalFormatting>
  <conditionalFormatting sqref="L89 L76:L77 L79 L82:L86 L69:L71">
    <cfRule type="duplicateValues" dxfId="116" priority="94"/>
    <cfRule type="duplicateValues" dxfId="115" priority="95"/>
    <cfRule type="duplicateValues" dxfId="114" priority="96"/>
  </conditionalFormatting>
  <conditionalFormatting sqref="L68">
    <cfRule type="duplicateValues" dxfId="113" priority="97"/>
    <cfRule type="duplicateValues" dxfId="112" priority="98"/>
    <cfRule type="duplicateValues" dxfId="111" priority="99"/>
  </conditionalFormatting>
  <conditionalFormatting sqref="L87">
    <cfRule type="duplicateValues" dxfId="110" priority="100"/>
    <cfRule type="duplicateValues" dxfId="109" priority="101"/>
    <cfRule type="duplicateValues" dxfId="108" priority="102"/>
  </conditionalFormatting>
  <conditionalFormatting sqref="L67">
    <cfRule type="duplicateValues" dxfId="107" priority="112"/>
    <cfRule type="duplicateValues" dxfId="106" priority="113"/>
    <cfRule type="duplicateValues" dxfId="105" priority="114"/>
  </conditionalFormatting>
  <conditionalFormatting sqref="L114">
    <cfRule type="duplicateValues" dxfId="104" priority="58"/>
    <cfRule type="duplicateValues" dxfId="103" priority="59"/>
    <cfRule type="duplicateValues" dxfId="102" priority="60"/>
  </conditionalFormatting>
  <conditionalFormatting sqref="L97">
    <cfRule type="duplicateValues" dxfId="101" priority="55"/>
    <cfRule type="duplicateValues" dxfId="100" priority="56"/>
    <cfRule type="duplicateValues" dxfId="99" priority="57"/>
  </conditionalFormatting>
  <conditionalFormatting sqref="L98">
    <cfRule type="duplicateValues" dxfId="98" priority="52"/>
    <cfRule type="duplicateValues" dxfId="97" priority="53"/>
    <cfRule type="duplicateValues" dxfId="96" priority="54"/>
  </conditionalFormatting>
  <conditionalFormatting sqref="L113">
    <cfRule type="duplicateValues" dxfId="95" priority="49"/>
    <cfRule type="duplicateValues" dxfId="94" priority="50"/>
    <cfRule type="duplicateValues" dxfId="93" priority="51"/>
  </conditionalFormatting>
  <conditionalFormatting sqref="L111">
    <cfRule type="duplicateValues" dxfId="92" priority="46"/>
    <cfRule type="duplicateValues" dxfId="91" priority="47"/>
    <cfRule type="duplicateValues" dxfId="90" priority="48"/>
  </conditionalFormatting>
  <conditionalFormatting sqref="L102">
    <cfRule type="duplicateValues" dxfId="89" priority="43"/>
    <cfRule type="duplicateValues" dxfId="88" priority="44"/>
    <cfRule type="duplicateValues" dxfId="87" priority="45"/>
  </conditionalFormatting>
  <conditionalFormatting sqref="L115:L120 L96 L99:L101 L112 L103:L110">
    <cfRule type="duplicateValues" dxfId="86" priority="61"/>
    <cfRule type="duplicateValues" dxfId="85" priority="62"/>
    <cfRule type="duplicateValues" dxfId="84" priority="63"/>
  </conditionalFormatting>
  <conditionalFormatting sqref="L123">
    <cfRule type="duplicateValues" dxfId="83" priority="34"/>
    <cfRule type="duplicateValues" dxfId="82" priority="35"/>
    <cfRule type="duplicateValues" dxfId="81" priority="36"/>
  </conditionalFormatting>
  <conditionalFormatting sqref="L124">
    <cfRule type="duplicateValues" dxfId="80" priority="37"/>
    <cfRule type="duplicateValues" dxfId="79" priority="38"/>
    <cfRule type="duplicateValues" dxfId="78" priority="39"/>
  </conditionalFormatting>
  <conditionalFormatting sqref="L125">
    <cfRule type="duplicateValues" dxfId="77" priority="40"/>
    <cfRule type="duplicateValues" dxfId="76" priority="41"/>
    <cfRule type="duplicateValues" dxfId="75" priority="42"/>
  </conditionalFormatting>
  <conditionalFormatting sqref="L126:L131 L47:L63 L32:L33 L90:L95">
    <cfRule type="duplicateValues" dxfId="74" priority="214"/>
    <cfRule type="duplicateValues" dxfId="73" priority="215"/>
    <cfRule type="duplicateValues" dxfId="72" priority="216"/>
  </conditionalFormatting>
  <conditionalFormatting sqref="L23">
    <cfRule type="duplicateValues" dxfId="71" priority="217"/>
    <cfRule type="duplicateValues" dxfId="70" priority="218"/>
    <cfRule type="duplicateValues" dxfId="69" priority="219"/>
  </conditionalFormatting>
  <conditionalFormatting sqref="K5:K23">
    <cfRule type="duplicateValues" dxfId="68" priority="220"/>
    <cfRule type="duplicateValues" dxfId="67" priority="221"/>
    <cfRule type="duplicateValues" dxfId="66" priority="222"/>
  </conditionalFormatting>
  <conditionalFormatting sqref="K24:K131">
    <cfRule type="duplicateValues" dxfId="65" priority="223"/>
    <cfRule type="duplicateValues" dxfId="64" priority="224"/>
    <cfRule type="duplicateValues" dxfId="63" priority="225"/>
  </conditionalFormatting>
  <conditionalFormatting sqref="L157 L146 L162">
    <cfRule type="duplicateValues" dxfId="62" priority="226"/>
    <cfRule type="duplicateValues" dxfId="61" priority="227"/>
    <cfRule type="duplicateValues" dxfId="60" priority="228"/>
  </conditionalFormatting>
  <conditionalFormatting sqref="K132:K162">
    <cfRule type="duplicateValues" dxfId="59" priority="229"/>
    <cfRule type="duplicateValues" dxfId="58" priority="230"/>
    <cfRule type="duplicateValues" dxfId="57" priority="231"/>
  </conditionalFormatting>
  <conditionalFormatting sqref="L189:L206 L163 L171:L182 L209">
    <cfRule type="duplicateValues" dxfId="56" priority="31"/>
    <cfRule type="duplicateValues" dxfId="55" priority="32"/>
    <cfRule type="duplicateValues" dxfId="54" priority="33"/>
  </conditionalFormatting>
  <conditionalFormatting sqref="K209 K163:K207">
    <cfRule type="duplicateValues" dxfId="53" priority="232"/>
    <cfRule type="duplicateValues" dxfId="52" priority="233"/>
    <cfRule type="duplicateValues" dxfId="51" priority="234"/>
  </conditionalFormatting>
  <conditionalFormatting sqref="L208">
    <cfRule type="duplicateValues" dxfId="50" priority="25"/>
    <cfRule type="duplicateValues" dxfId="49" priority="26"/>
    <cfRule type="duplicateValues" dxfId="48" priority="27"/>
  </conditionalFormatting>
  <conditionalFormatting sqref="K208">
    <cfRule type="duplicateValues" dxfId="47" priority="28"/>
    <cfRule type="duplicateValues" dxfId="46" priority="29"/>
    <cfRule type="duplicateValues" dxfId="45" priority="30"/>
  </conditionalFormatting>
  <conditionalFormatting sqref="L248:L249">
    <cfRule type="duplicateValues" dxfId="44" priority="19"/>
    <cfRule type="duplicateValues" dxfId="43" priority="20"/>
    <cfRule type="duplicateValues" dxfId="42" priority="21"/>
  </conditionalFormatting>
  <conditionalFormatting sqref="K248:K249">
    <cfRule type="duplicateValues" dxfId="41" priority="22"/>
    <cfRule type="duplicateValues" dxfId="40" priority="23"/>
    <cfRule type="duplicateValues" dxfId="39" priority="24"/>
  </conditionalFormatting>
  <conditionalFormatting sqref="L250">
    <cfRule type="duplicateValues" dxfId="38" priority="13"/>
    <cfRule type="duplicateValues" dxfId="37" priority="14"/>
    <cfRule type="duplicateValues" dxfId="36" priority="15"/>
  </conditionalFormatting>
  <conditionalFormatting sqref="K250">
    <cfRule type="duplicateValues" dxfId="35" priority="16"/>
    <cfRule type="duplicateValues" dxfId="34" priority="17"/>
    <cfRule type="duplicateValues" dxfId="33" priority="18"/>
  </conditionalFormatting>
  <conditionalFormatting sqref="L210:L247">
    <cfRule type="duplicateValues" dxfId="32" priority="235"/>
    <cfRule type="duplicateValues" dxfId="31" priority="236"/>
    <cfRule type="duplicateValues" dxfId="30" priority="237"/>
  </conditionalFormatting>
  <conditionalFormatting sqref="K210:K247">
    <cfRule type="duplicateValues" dxfId="29" priority="238"/>
    <cfRule type="duplicateValues" dxfId="28" priority="239"/>
    <cfRule type="duplicateValues" dxfId="27" priority="240"/>
  </conditionalFormatting>
  <conditionalFormatting sqref="L251:L259">
    <cfRule type="duplicateValues" dxfId="26" priority="7"/>
    <cfRule type="duplicateValues" dxfId="25" priority="8"/>
    <cfRule type="duplicateValues" dxfId="24" priority="9"/>
  </conditionalFormatting>
  <conditionalFormatting sqref="K251:K259">
    <cfRule type="duplicateValues" dxfId="23" priority="10"/>
    <cfRule type="duplicateValues" dxfId="22" priority="11"/>
    <cfRule type="duplicateValues" dxfId="21" priority="12"/>
  </conditionalFormatting>
  <conditionalFormatting sqref="L260:L277">
    <cfRule type="duplicateValues" dxfId="20" priority="241"/>
    <cfRule type="duplicateValues" dxfId="19" priority="242"/>
    <cfRule type="duplicateValues" dxfId="18" priority="243"/>
  </conditionalFormatting>
  <conditionalFormatting sqref="K260:K277">
    <cfRule type="duplicateValues" dxfId="17" priority="244"/>
    <cfRule type="duplicateValues" dxfId="16" priority="245"/>
    <cfRule type="duplicateValues" dxfId="15" priority="246"/>
  </conditionalFormatting>
  <conditionalFormatting sqref="L278:L280">
    <cfRule type="duplicateValues" dxfId="14" priority="1"/>
    <cfRule type="duplicateValues" dxfId="13" priority="2"/>
    <cfRule type="duplicateValues" dxfId="12" priority="3"/>
  </conditionalFormatting>
  <conditionalFormatting sqref="K278:K280">
    <cfRule type="duplicateValues" dxfId="11" priority="4"/>
    <cfRule type="duplicateValues" dxfId="10" priority="5"/>
    <cfRule type="duplicateValues" dxfId="9" priority="6"/>
  </conditionalFormatting>
  <conditionalFormatting sqref="L290:L367 L281:L288">
    <cfRule type="duplicateValues" dxfId="8" priority="247"/>
    <cfRule type="duplicateValues" dxfId="7" priority="248"/>
    <cfRule type="duplicateValues" dxfId="6" priority="249"/>
  </conditionalFormatting>
  <conditionalFormatting sqref="K281:K367">
    <cfRule type="duplicateValues" dxfId="5" priority="250"/>
    <cfRule type="duplicateValues" dxfId="4" priority="251"/>
    <cfRule type="duplicateValues" dxfId="3" priority="252"/>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15"/>
  <sheetViews>
    <sheetView workbookViewId="0">
      <selection sqref="A1:XFD1048576"/>
    </sheetView>
  </sheetViews>
  <sheetFormatPr defaultColWidth="9.140625" defaultRowHeight="15" x14ac:dyDescent="0.25"/>
  <cols>
    <col min="1" max="1" width="56.7109375" style="14" bestFit="1" customWidth="1"/>
    <col min="2" max="16384" width="9.140625" style="14"/>
  </cols>
  <sheetData>
    <row r="1" spans="1:1" x14ac:dyDescent="0.25">
      <c r="A1" s="76" t="s">
        <v>4029</v>
      </c>
    </row>
    <row r="2" spans="1:1" x14ac:dyDescent="0.25">
      <c r="A2" s="77" t="s">
        <v>3436</v>
      </c>
    </row>
    <row r="3" spans="1:1" x14ac:dyDescent="0.25">
      <c r="A3" s="77" t="s">
        <v>3051</v>
      </c>
    </row>
    <row r="4" spans="1:1" x14ac:dyDescent="0.25">
      <c r="A4" s="77" t="s">
        <v>2787</v>
      </c>
    </row>
    <row r="5" spans="1:1" x14ac:dyDescent="0.25">
      <c r="A5" s="77" t="s">
        <v>2708</v>
      </c>
    </row>
    <row r="6" spans="1:1" x14ac:dyDescent="0.25">
      <c r="A6" s="77" t="s">
        <v>2375</v>
      </c>
    </row>
    <row r="7" spans="1:1" x14ac:dyDescent="0.25">
      <c r="A7" s="77" t="s">
        <v>1990</v>
      </c>
    </row>
    <row r="8" spans="1:1" x14ac:dyDescent="0.25">
      <c r="A8" s="77" t="s">
        <v>1551</v>
      </c>
    </row>
    <row r="9" spans="1:1" x14ac:dyDescent="0.25">
      <c r="A9" s="77" t="s">
        <v>1434</v>
      </c>
    </row>
    <row r="10" spans="1:1" x14ac:dyDescent="0.25">
      <c r="A10" s="77" t="s">
        <v>1269</v>
      </c>
    </row>
    <row r="11" spans="1:1" x14ac:dyDescent="0.25">
      <c r="A11" s="77" t="s">
        <v>789</v>
      </c>
    </row>
    <row r="12" spans="1:1" x14ac:dyDescent="0.25">
      <c r="A12" s="77" t="s">
        <v>604</v>
      </c>
    </row>
    <row r="13" spans="1:1" x14ac:dyDescent="0.25">
      <c r="A13" s="77" t="s">
        <v>222</v>
      </c>
    </row>
    <row r="14" spans="1:1" x14ac:dyDescent="0.25">
      <c r="A14" s="77" t="s">
        <v>183</v>
      </c>
    </row>
    <row r="15" spans="1:1" x14ac:dyDescent="0.25">
      <c r="A15" s="77" t="s">
        <v>4</v>
      </c>
    </row>
  </sheetData>
  <sheetProtection algorithmName="SHA-512" hashValue="eDLL3zbNZiZ/OuD+Ynm712XvntuytYyIxotgAIapojZlsuRn3w0GjKWAsFYc2cY1qJl/C+Nub0YvzEl0imbZ2A==" saltValue="WZB4OETLEexjjkdwE+fSgw==" spinCount="100000" sheet="1" objects="1" scenarios="1" selectLockedCells="1" selectUnlockedCell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G59"/>
  <sheetViews>
    <sheetView topLeftCell="A34" workbookViewId="0">
      <selection activeCell="A34" sqref="A1:XFD1048576"/>
    </sheetView>
  </sheetViews>
  <sheetFormatPr defaultColWidth="9.140625" defaultRowHeight="15" x14ac:dyDescent="0.25"/>
  <cols>
    <col min="1" max="1" width="56.7109375" style="77" bestFit="1" customWidth="1"/>
    <col min="2" max="2" width="9.140625" style="77"/>
    <col min="3" max="3" width="68.140625" style="77" bestFit="1" customWidth="1"/>
    <col min="4" max="4" width="12.5703125" style="77" customWidth="1"/>
    <col min="5" max="16384" width="9.140625" style="77"/>
  </cols>
  <sheetData>
    <row r="2" spans="1:7" s="76" customFormat="1" x14ac:dyDescent="0.25">
      <c r="A2" s="76" t="s">
        <v>4029</v>
      </c>
      <c r="C2" s="76" t="s">
        <v>4038</v>
      </c>
      <c r="E2" s="77"/>
      <c r="F2" s="77"/>
      <c r="G2" s="77"/>
    </row>
    <row r="3" spans="1:7" x14ac:dyDescent="0.25">
      <c r="A3" s="77" t="s">
        <v>3436</v>
      </c>
      <c r="B3" s="77" t="s">
        <v>4039</v>
      </c>
      <c r="C3" s="77" t="s">
        <v>3833</v>
      </c>
    </row>
    <row r="4" spans="1:7" x14ac:dyDescent="0.25">
      <c r="A4" s="77" t="s">
        <v>3436</v>
      </c>
      <c r="B4" s="77" t="s">
        <v>4039</v>
      </c>
      <c r="C4" s="77" t="s">
        <v>3779</v>
      </c>
    </row>
    <row r="5" spans="1:7" x14ac:dyDescent="0.25">
      <c r="A5" s="77" t="s">
        <v>3436</v>
      </c>
      <c r="B5" s="77" t="s">
        <v>4039</v>
      </c>
      <c r="C5" s="77" t="s">
        <v>3691</v>
      </c>
    </row>
    <row r="6" spans="1:7" x14ac:dyDescent="0.25">
      <c r="A6" s="77" t="s">
        <v>3436</v>
      </c>
      <c r="B6" s="77" t="s">
        <v>4039</v>
      </c>
      <c r="C6" s="77" t="s">
        <v>3628</v>
      </c>
    </row>
    <row r="7" spans="1:7" x14ac:dyDescent="0.25">
      <c r="A7" s="77" t="s">
        <v>3436</v>
      </c>
      <c r="B7" s="77" t="s">
        <v>4039</v>
      </c>
      <c r="C7" s="77" t="s">
        <v>3584</v>
      </c>
    </row>
    <row r="8" spans="1:7" x14ac:dyDescent="0.25">
      <c r="A8" s="77" t="s">
        <v>3436</v>
      </c>
      <c r="B8" s="77" t="s">
        <v>4039</v>
      </c>
      <c r="C8" s="77" t="s">
        <v>3486</v>
      </c>
    </row>
    <row r="9" spans="1:7" x14ac:dyDescent="0.25">
      <c r="A9" s="77" t="s">
        <v>3436</v>
      </c>
      <c r="B9" s="77" t="s">
        <v>4039</v>
      </c>
      <c r="C9" s="77" t="s">
        <v>3477</v>
      </c>
    </row>
    <row r="10" spans="1:7" x14ac:dyDescent="0.25">
      <c r="A10" s="77" t="s">
        <v>3436</v>
      </c>
      <c r="B10" s="77" t="s">
        <v>4039</v>
      </c>
      <c r="C10" s="77" t="s">
        <v>3443</v>
      </c>
    </row>
    <row r="11" spans="1:7" x14ac:dyDescent="0.25">
      <c r="A11" s="77" t="s">
        <v>3436</v>
      </c>
      <c r="B11" s="77" t="s">
        <v>4039</v>
      </c>
      <c r="C11" s="77" t="s">
        <v>3439</v>
      </c>
    </row>
    <row r="12" spans="1:7" x14ac:dyDescent="0.25">
      <c r="A12" s="77" t="s">
        <v>3436</v>
      </c>
      <c r="B12" s="77" t="s">
        <v>4039</v>
      </c>
      <c r="C12" s="77" t="s">
        <v>3434</v>
      </c>
    </row>
    <row r="13" spans="1:7" x14ac:dyDescent="0.25">
      <c r="A13" s="77" t="s">
        <v>3436</v>
      </c>
      <c r="B13" s="77" t="s">
        <v>4039</v>
      </c>
      <c r="C13" s="77" t="s">
        <v>3432</v>
      </c>
    </row>
    <row r="14" spans="1:7" x14ac:dyDescent="0.25">
      <c r="A14" s="77" t="s">
        <v>3051</v>
      </c>
      <c r="B14" s="77" t="s">
        <v>4040</v>
      </c>
      <c r="C14" s="77" t="s">
        <v>3309</v>
      </c>
    </row>
    <row r="15" spans="1:7" x14ac:dyDescent="0.25">
      <c r="A15" s="77" t="s">
        <v>3051</v>
      </c>
      <c r="B15" s="77" t="s">
        <v>4040</v>
      </c>
      <c r="C15" s="77" t="s">
        <v>3295</v>
      </c>
    </row>
    <row r="16" spans="1:7" x14ac:dyDescent="0.25">
      <c r="A16" s="77" t="s">
        <v>3051</v>
      </c>
      <c r="B16" s="77" t="s">
        <v>4040</v>
      </c>
      <c r="C16" s="77" t="s">
        <v>3237</v>
      </c>
    </row>
    <row r="17" spans="1:3" x14ac:dyDescent="0.25">
      <c r="A17" s="77" t="s">
        <v>3051</v>
      </c>
      <c r="B17" s="77" t="s">
        <v>4040</v>
      </c>
      <c r="C17" s="77" t="s">
        <v>3115</v>
      </c>
    </row>
    <row r="18" spans="1:3" x14ac:dyDescent="0.25">
      <c r="A18" s="77" t="s">
        <v>3051</v>
      </c>
      <c r="B18" s="77" t="s">
        <v>4040</v>
      </c>
      <c r="C18" s="77" t="s">
        <v>3050</v>
      </c>
    </row>
    <row r="19" spans="1:3" x14ac:dyDescent="0.25">
      <c r="A19" s="77" t="s">
        <v>2787</v>
      </c>
      <c r="B19" s="77" t="s">
        <v>4041</v>
      </c>
      <c r="C19" s="77" t="s">
        <v>3005</v>
      </c>
    </row>
    <row r="20" spans="1:3" x14ac:dyDescent="0.25">
      <c r="A20" s="77" t="s">
        <v>2787</v>
      </c>
      <c r="B20" s="77" t="s">
        <v>4041</v>
      </c>
      <c r="C20" s="77" t="s">
        <v>2889</v>
      </c>
    </row>
    <row r="21" spans="1:3" x14ac:dyDescent="0.25">
      <c r="A21" s="77" t="s">
        <v>2787</v>
      </c>
      <c r="B21" s="77" t="s">
        <v>4041</v>
      </c>
      <c r="C21" s="77" t="s">
        <v>2855</v>
      </c>
    </row>
    <row r="22" spans="1:3" x14ac:dyDescent="0.25">
      <c r="A22" s="77" t="s">
        <v>2787</v>
      </c>
      <c r="B22" s="77" t="s">
        <v>4041</v>
      </c>
      <c r="C22" s="77" t="s">
        <v>2785</v>
      </c>
    </row>
    <row r="23" spans="1:3" x14ac:dyDescent="0.25">
      <c r="A23" s="77" t="s">
        <v>2708</v>
      </c>
      <c r="B23" s="77" t="s">
        <v>4042</v>
      </c>
      <c r="C23" s="77" t="s">
        <v>2762</v>
      </c>
    </row>
    <row r="24" spans="1:3" x14ac:dyDescent="0.25">
      <c r="A24" s="77" t="s">
        <v>2708</v>
      </c>
      <c r="B24" s="77" t="s">
        <v>4042</v>
      </c>
      <c r="C24" s="77" t="s">
        <v>2735</v>
      </c>
    </row>
    <row r="25" spans="1:3" x14ac:dyDescent="0.25">
      <c r="A25" s="77" t="s">
        <v>2708</v>
      </c>
      <c r="B25" s="77" t="s">
        <v>4042</v>
      </c>
      <c r="C25" s="77" t="s">
        <v>2706</v>
      </c>
    </row>
    <row r="26" spans="1:3" x14ac:dyDescent="0.25">
      <c r="A26" s="77" t="s">
        <v>2375</v>
      </c>
      <c r="B26" s="77" t="s">
        <v>4043</v>
      </c>
      <c r="C26" s="77" t="s">
        <v>2646</v>
      </c>
    </row>
    <row r="27" spans="1:3" x14ac:dyDescent="0.25">
      <c r="A27" s="77" t="s">
        <v>2375</v>
      </c>
      <c r="B27" s="77" t="s">
        <v>4043</v>
      </c>
      <c r="C27" s="77" t="s">
        <v>2571</v>
      </c>
    </row>
    <row r="28" spans="1:3" x14ac:dyDescent="0.25">
      <c r="A28" s="77" t="s">
        <v>2375</v>
      </c>
      <c r="B28" s="77" t="s">
        <v>4043</v>
      </c>
      <c r="C28" s="77" t="s">
        <v>2459</v>
      </c>
    </row>
    <row r="29" spans="1:3" x14ac:dyDescent="0.25">
      <c r="A29" s="77" t="s">
        <v>2375</v>
      </c>
      <c r="B29" s="77" t="s">
        <v>4043</v>
      </c>
      <c r="C29" s="77" t="s">
        <v>2393</v>
      </c>
    </row>
    <row r="30" spans="1:3" x14ac:dyDescent="0.25">
      <c r="A30" s="77" t="s">
        <v>2375</v>
      </c>
      <c r="B30" s="77" t="s">
        <v>4043</v>
      </c>
      <c r="C30" s="77" t="s">
        <v>2373</v>
      </c>
    </row>
    <row r="31" spans="1:3" x14ac:dyDescent="0.25">
      <c r="A31" s="77" t="s">
        <v>1990</v>
      </c>
      <c r="B31" s="77" t="s">
        <v>4044</v>
      </c>
      <c r="C31" s="77" t="s">
        <v>2192</v>
      </c>
    </row>
    <row r="32" spans="1:3" x14ac:dyDescent="0.25">
      <c r="A32" s="77" t="s">
        <v>1990</v>
      </c>
      <c r="B32" s="77" t="s">
        <v>4044</v>
      </c>
      <c r="C32" s="77" t="s">
        <v>2139</v>
      </c>
    </row>
    <row r="33" spans="1:3" x14ac:dyDescent="0.25">
      <c r="A33" s="77" t="s">
        <v>1990</v>
      </c>
      <c r="B33" s="77" t="s">
        <v>4044</v>
      </c>
      <c r="C33" s="77" t="s">
        <v>1988</v>
      </c>
    </row>
    <row r="34" spans="1:3" x14ac:dyDescent="0.25">
      <c r="A34" s="77" t="s">
        <v>1551</v>
      </c>
      <c r="B34" s="77" t="s">
        <v>4045</v>
      </c>
      <c r="C34" s="77" t="s">
        <v>1794</v>
      </c>
    </row>
    <row r="35" spans="1:3" x14ac:dyDescent="0.25">
      <c r="A35" s="77" t="s">
        <v>1551</v>
      </c>
      <c r="B35" s="77" t="s">
        <v>4045</v>
      </c>
      <c r="C35" s="77" t="s">
        <v>1729</v>
      </c>
    </row>
    <row r="36" spans="1:3" x14ac:dyDescent="0.25">
      <c r="A36" s="77" t="s">
        <v>1551</v>
      </c>
      <c r="B36" s="77" t="s">
        <v>4045</v>
      </c>
      <c r="C36" s="77" t="s">
        <v>1616</v>
      </c>
    </row>
    <row r="37" spans="1:3" x14ac:dyDescent="0.25">
      <c r="A37" s="77" t="s">
        <v>1551</v>
      </c>
      <c r="B37" s="77" t="s">
        <v>4045</v>
      </c>
      <c r="C37" s="77" t="s">
        <v>1559</v>
      </c>
    </row>
    <row r="38" spans="1:3" x14ac:dyDescent="0.25">
      <c r="A38" s="77" t="s">
        <v>1551</v>
      </c>
      <c r="B38" s="77" t="s">
        <v>4045</v>
      </c>
      <c r="C38" s="77" t="s">
        <v>1549</v>
      </c>
    </row>
    <row r="39" spans="1:3" x14ac:dyDescent="0.25">
      <c r="A39" s="77" t="s">
        <v>1434</v>
      </c>
      <c r="B39" s="77" t="s">
        <v>4046</v>
      </c>
      <c r="C39" s="77" t="s">
        <v>1491</v>
      </c>
    </row>
    <row r="40" spans="1:3" x14ac:dyDescent="0.25">
      <c r="A40" s="77" t="s">
        <v>1434</v>
      </c>
      <c r="B40" s="77" t="s">
        <v>4046</v>
      </c>
      <c r="C40" s="77" t="s">
        <v>1432</v>
      </c>
    </row>
    <row r="41" spans="1:3" x14ac:dyDescent="0.25">
      <c r="A41" s="77" t="s">
        <v>1269</v>
      </c>
      <c r="B41" s="77" t="s">
        <v>4047</v>
      </c>
      <c r="C41" s="77" t="s">
        <v>1391</v>
      </c>
    </row>
    <row r="42" spans="1:3" x14ac:dyDescent="0.25">
      <c r="A42" s="77" t="s">
        <v>1269</v>
      </c>
      <c r="B42" s="77" t="s">
        <v>4047</v>
      </c>
      <c r="C42" s="77" t="s">
        <v>1267</v>
      </c>
    </row>
    <row r="43" spans="1:3" x14ac:dyDescent="0.25">
      <c r="A43" s="77" t="s">
        <v>789</v>
      </c>
      <c r="B43" s="77" t="s">
        <v>4048</v>
      </c>
      <c r="C43" s="77" t="s">
        <v>1230</v>
      </c>
    </row>
    <row r="44" spans="1:3" x14ac:dyDescent="0.25">
      <c r="A44" s="77" t="s">
        <v>789</v>
      </c>
      <c r="B44" s="77" t="s">
        <v>4048</v>
      </c>
      <c r="C44" s="77" t="s">
        <v>1174</v>
      </c>
    </row>
    <row r="45" spans="1:3" x14ac:dyDescent="0.25">
      <c r="A45" s="77" t="s">
        <v>789</v>
      </c>
      <c r="B45" s="77" t="s">
        <v>4048</v>
      </c>
      <c r="C45" s="77" t="s">
        <v>1098</v>
      </c>
    </row>
    <row r="46" spans="1:3" x14ac:dyDescent="0.25">
      <c r="A46" s="77" t="s">
        <v>789</v>
      </c>
      <c r="B46" s="77" t="s">
        <v>4048</v>
      </c>
      <c r="C46" s="77" t="s">
        <v>969</v>
      </c>
    </row>
    <row r="47" spans="1:3" x14ac:dyDescent="0.25">
      <c r="A47" s="77" t="s">
        <v>789</v>
      </c>
      <c r="B47" s="77" t="s">
        <v>4048</v>
      </c>
      <c r="C47" s="77" t="s">
        <v>880</v>
      </c>
    </row>
    <row r="48" spans="1:3" x14ac:dyDescent="0.25">
      <c r="A48" s="77" t="s">
        <v>789</v>
      </c>
      <c r="B48" s="77" t="s">
        <v>4048</v>
      </c>
      <c r="C48" s="77" t="s">
        <v>854</v>
      </c>
    </row>
    <row r="49" spans="1:3" x14ac:dyDescent="0.25">
      <c r="A49" s="77" t="s">
        <v>789</v>
      </c>
      <c r="B49" s="77" t="s">
        <v>4048</v>
      </c>
      <c r="C49" s="77" t="s">
        <v>787</v>
      </c>
    </row>
    <row r="50" spans="1:3" x14ac:dyDescent="0.25">
      <c r="A50" s="77" t="s">
        <v>604</v>
      </c>
      <c r="B50" s="77" t="s">
        <v>4049</v>
      </c>
      <c r="C50" s="77" t="s">
        <v>682</v>
      </c>
    </row>
    <row r="51" spans="1:3" x14ac:dyDescent="0.25">
      <c r="A51" s="77" t="s">
        <v>604</v>
      </c>
      <c r="B51" s="77" t="s">
        <v>4049</v>
      </c>
      <c r="C51" s="77" t="s">
        <v>602</v>
      </c>
    </row>
    <row r="52" spans="1:3" x14ac:dyDescent="0.25">
      <c r="A52" s="77" t="s">
        <v>222</v>
      </c>
      <c r="B52" s="77" t="s">
        <v>4050</v>
      </c>
      <c r="C52" s="77" t="s">
        <v>496</v>
      </c>
    </row>
    <row r="53" spans="1:3" x14ac:dyDescent="0.25">
      <c r="A53" s="77" t="s">
        <v>222</v>
      </c>
      <c r="B53" s="77" t="s">
        <v>4050</v>
      </c>
      <c r="C53" s="77" t="s">
        <v>416</v>
      </c>
    </row>
    <row r="54" spans="1:3" x14ac:dyDescent="0.25">
      <c r="A54" s="77" t="s">
        <v>222</v>
      </c>
      <c r="B54" s="77" t="s">
        <v>4050</v>
      </c>
      <c r="C54" s="77" t="s">
        <v>347</v>
      </c>
    </row>
    <row r="55" spans="1:3" x14ac:dyDescent="0.25">
      <c r="A55" s="77" t="s">
        <v>222</v>
      </c>
      <c r="B55" s="77" t="s">
        <v>4050</v>
      </c>
      <c r="C55" s="77" t="s">
        <v>239</v>
      </c>
    </row>
    <row r="56" spans="1:3" x14ac:dyDescent="0.25">
      <c r="A56" s="77" t="s">
        <v>222</v>
      </c>
      <c r="B56" s="77" t="s">
        <v>4050</v>
      </c>
      <c r="C56" s="77" t="s">
        <v>221</v>
      </c>
    </row>
    <row r="57" spans="1:3" x14ac:dyDescent="0.25">
      <c r="A57" s="77" t="s">
        <v>183</v>
      </c>
      <c r="B57" s="77" t="s">
        <v>4055</v>
      </c>
      <c r="C57" s="77" t="s">
        <v>181</v>
      </c>
    </row>
    <row r="58" spans="1:3" x14ac:dyDescent="0.25">
      <c r="A58" s="77" t="s">
        <v>4</v>
      </c>
      <c r="B58" s="77" t="s">
        <v>4051</v>
      </c>
      <c r="C58" s="77" t="s">
        <v>27</v>
      </c>
    </row>
    <row r="59" spans="1:3" x14ac:dyDescent="0.25">
      <c r="A59" s="77" t="s">
        <v>4</v>
      </c>
      <c r="B59" s="77" t="s">
        <v>4051</v>
      </c>
      <c r="C59" s="77" t="s">
        <v>2</v>
      </c>
    </row>
  </sheetData>
  <sheetProtection algorithmName="SHA-512" hashValue="TaalouJry3cP1n+oeteAxTWnCbcuSmafVJXO30rxu8hkXRyz2RJm+r57OoUmSeQlmTPagloA8imEqV4ETOsQMQ==" saltValue="wjcavEp3to2iXVd1hyhRVw==" spinCount="100000" sheet="1" objects="1" scenarios="1" selectLockedCells="1" selectUnlockedCells="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AB2345"/>
  <sheetViews>
    <sheetView topLeftCell="L1" workbookViewId="0">
      <selection activeCell="L1" sqref="A1:XFD1048576"/>
    </sheetView>
  </sheetViews>
  <sheetFormatPr defaultColWidth="9.140625" defaultRowHeight="15" x14ac:dyDescent="0.25"/>
  <cols>
    <col min="1" max="2" width="9.140625" style="16" customWidth="1"/>
    <col min="3" max="3" width="13.140625" style="16" customWidth="1"/>
    <col min="4" max="4" width="6.7109375" style="16" customWidth="1"/>
    <col min="5" max="5" width="18.85546875" style="16" customWidth="1"/>
    <col min="6" max="6" width="9.140625" style="16"/>
    <col min="7" max="7" width="6.85546875" style="16" customWidth="1"/>
    <col min="8" max="8" width="30" style="16" customWidth="1"/>
    <col min="9" max="9" width="8.85546875" style="16" customWidth="1"/>
    <col min="10" max="10" width="29.42578125" style="16" customWidth="1"/>
    <col min="11" max="11" width="19" style="16" customWidth="1"/>
    <col min="12" max="12" width="10" style="17" customWidth="1"/>
    <col min="13" max="13" width="21.7109375" style="17" customWidth="1"/>
    <col min="14" max="14" width="14.42578125" style="17" customWidth="1"/>
    <col min="15" max="21" width="9.140625" style="17"/>
    <col min="22" max="22" width="9.140625" style="17" customWidth="1"/>
    <col min="23" max="25" width="9.140625" style="17"/>
    <col min="26" max="26" width="17.5703125" style="17" customWidth="1"/>
    <col min="27" max="27" width="36.42578125" style="17" customWidth="1"/>
    <col min="28" max="16384" width="9.140625" style="16"/>
  </cols>
  <sheetData>
    <row r="1" spans="1:27" x14ac:dyDescent="0.25">
      <c r="A1" s="15" t="s">
        <v>4033</v>
      </c>
    </row>
    <row r="2" spans="1:27" x14ac:dyDescent="0.25">
      <c r="A2" s="332" t="s">
        <v>4032</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row>
    <row r="3" spans="1:27" ht="43.5" customHeight="1" x14ac:dyDescent="0.25">
      <c r="A3" s="338" t="s">
        <v>4036</v>
      </c>
      <c r="B3" s="338"/>
      <c r="C3" s="339" t="e">
        <f>#REF!</f>
        <v>#REF!</v>
      </c>
      <c r="D3" s="339"/>
      <c r="E3" s="339"/>
      <c r="F3" s="339"/>
      <c r="G3" s="18"/>
      <c r="H3" s="18" t="e">
        <f>VLOOKUP(C3,Name_Phong!$A$3:$B$59,2,0)</f>
        <v>#REF!</v>
      </c>
      <c r="I3" s="18"/>
      <c r="J3" s="18"/>
      <c r="K3" s="18"/>
      <c r="L3" s="18"/>
      <c r="M3" s="18"/>
      <c r="N3" s="18"/>
      <c r="O3" s="18"/>
      <c r="P3" s="18"/>
      <c r="Q3" s="18"/>
      <c r="R3" s="18"/>
      <c r="S3" s="18"/>
      <c r="T3" s="18"/>
      <c r="U3" s="18"/>
      <c r="V3" s="18"/>
      <c r="W3" s="18"/>
      <c r="X3" s="18"/>
      <c r="Y3" s="18"/>
      <c r="Z3" s="18"/>
      <c r="AA3" s="18"/>
    </row>
    <row r="4" spans="1:27" ht="48" customHeight="1" x14ac:dyDescent="0.25">
      <c r="A4" s="338" t="s">
        <v>4037</v>
      </c>
      <c r="B4" s="338"/>
      <c r="C4" s="339" t="e">
        <f>#REF!</f>
        <v>#REF!</v>
      </c>
      <c r="D4" s="339"/>
      <c r="E4" s="339"/>
      <c r="F4" s="339"/>
      <c r="G4" s="18"/>
      <c r="H4" s="18"/>
      <c r="I4" s="18"/>
      <c r="J4" s="18"/>
      <c r="K4" s="18"/>
      <c r="L4" s="18"/>
      <c r="M4" s="18"/>
      <c r="N4" s="18"/>
      <c r="O4" s="18"/>
      <c r="P4" s="18"/>
      <c r="Q4" s="18"/>
      <c r="R4" s="18"/>
      <c r="S4" s="18"/>
      <c r="T4" s="18"/>
      <c r="U4" s="18"/>
      <c r="V4" s="18"/>
      <c r="W4" s="18"/>
      <c r="X4" s="18"/>
      <c r="Y4" s="18"/>
      <c r="Z4" s="18"/>
      <c r="AA4" s="18"/>
    </row>
    <row r="5" spans="1:27" s="19" customFormat="1" ht="15" customHeight="1" x14ac:dyDescent="0.2">
      <c r="A5" s="333" t="s">
        <v>4031</v>
      </c>
      <c r="B5" s="333" t="s">
        <v>4030</v>
      </c>
      <c r="C5" s="333" t="s">
        <v>4029</v>
      </c>
      <c r="D5" s="333" t="s">
        <v>4028</v>
      </c>
      <c r="E5" s="333" t="s">
        <v>4027</v>
      </c>
      <c r="F5" s="333" t="s">
        <v>4026</v>
      </c>
      <c r="G5" s="333" t="s">
        <v>4019</v>
      </c>
      <c r="H5" s="333" t="s">
        <v>4018</v>
      </c>
      <c r="I5" s="333" t="s">
        <v>4017</v>
      </c>
      <c r="J5" s="333" t="s">
        <v>4016</v>
      </c>
      <c r="K5" s="333" t="s">
        <v>4025</v>
      </c>
      <c r="L5" s="334" t="s">
        <v>4024</v>
      </c>
      <c r="M5" s="334" t="s">
        <v>4023</v>
      </c>
      <c r="N5" s="334" t="s">
        <v>4035</v>
      </c>
      <c r="O5" s="334" t="s">
        <v>4022</v>
      </c>
      <c r="P5" s="334"/>
      <c r="Q5" s="334"/>
      <c r="R5" s="334"/>
      <c r="S5" s="334"/>
      <c r="T5" s="334"/>
      <c r="U5" s="335"/>
      <c r="V5" s="334"/>
      <c r="W5" s="334" t="s">
        <v>4021</v>
      </c>
      <c r="X5" s="334"/>
      <c r="Y5" s="334"/>
      <c r="Z5" s="336" t="s">
        <v>4020</v>
      </c>
      <c r="AA5" s="337" t="s">
        <v>4034</v>
      </c>
    </row>
    <row r="6" spans="1:27" s="19" customFormat="1" ht="31.5" x14ac:dyDescent="0.2">
      <c r="A6" s="333"/>
      <c r="B6" s="333"/>
      <c r="C6" s="333"/>
      <c r="D6" s="333"/>
      <c r="E6" s="333"/>
      <c r="F6" s="333"/>
      <c r="G6" s="333"/>
      <c r="H6" s="333"/>
      <c r="I6" s="333"/>
      <c r="J6" s="333"/>
      <c r="K6" s="333"/>
      <c r="L6" s="334"/>
      <c r="M6" s="334"/>
      <c r="N6" s="334"/>
      <c r="O6" s="20" t="s">
        <v>4015</v>
      </c>
      <c r="P6" s="21" t="s">
        <v>4014</v>
      </c>
      <c r="Q6" s="21" t="s">
        <v>4013</v>
      </c>
      <c r="R6" s="21" t="s">
        <v>4012</v>
      </c>
      <c r="S6" s="21" t="s">
        <v>4011</v>
      </c>
      <c r="T6" s="21" t="s">
        <v>4010</v>
      </c>
      <c r="U6" s="22" t="s">
        <v>4009</v>
      </c>
      <c r="V6" s="23" t="s">
        <v>4008</v>
      </c>
      <c r="W6" s="21" t="s">
        <v>4007</v>
      </c>
      <c r="X6" s="21" t="s">
        <v>3503</v>
      </c>
      <c r="Y6" s="21" t="s">
        <v>4006</v>
      </c>
      <c r="Z6" s="336"/>
      <c r="AA6" s="337"/>
    </row>
    <row r="7" spans="1:27" s="28" customFormat="1" ht="11.25" x14ac:dyDescent="0.25">
      <c r="A7" s="24">
        <v>1</v>
      </c>
      <c r="B7" s="24"/>
      <c r="C7" s="25"/>
      <c r="D7" s="26"/>
      <c r="E7" s="25"/>
      <c r="F7" s="25"/>
      <c r="G7" s="24"/>
      <c r="H7" s="25"/>
      <c r="I7" s="27"/>
      <c r="K7" s="29"/>
      <c r="L7" s="29"/>
      <c r="M7" s="25"/>
      <c r="N7" s="30"/>
      <c r="O7" s="31"/>
      <c r="P7" s="31"/>
      <c r="Q7" s="31"/>
      <c r="R7" s="31"/>
      <c r="S7" s="31"/>
      <c r="T7" s="31"/>
      <c r="U7" s="31"/>
      <c r="V7" s="31"/>
      <c r="W7" s="32"/>
      <c r="X7" s="32"/>
      <c r="Y7" s="32"/>
      <c r="Z7" s="33"/>
      <c r="AA7" s="34"/>
    </row>
    <row r="8" spans="1:27" s="28" customFormat="1" ht="52.5" customHeight="1" x14ac:dyDescent="0.25">
      <c r="A8" s="24">
        <v>2</v>
      </c>
      <c r="B8" s="24"/>
      <c r="C8" s="25"/>
      <c r="D8" s="26"/>
      <c r="E8" s="25"/>
      <c r="F8" s="25"/>
      <c r="G8" s="24"/>
      <c r="H8" s="25" t="e">
        <f t="array" aca="1" ref="H8:AA2345" ca="1">OFFSET(INDEX(data!$E$5:$E$2343,MATCH(running!$C$4,data!$E$5:$E$2343,0)),0,3,COUNTIF(data!$E$5:$E$2343,running!$C$4),20)</f>
        <v>#REF!</v>
      </c>
      <c r="I8" s="27" t="e">
        <f ca="1"/>
        <v>#REF!</v>
      </c>
      <c r="J8" s="28" t="e">
        <f ca="1"/>
        <v>#REF!</v>
      </c>
      <c r="K8" s="29" t="e">
        <f ca="1"/>
        <v>#REF!</v>
      </c>
      <c r="L8" s="29" t="e">
        <f ca="1"/>
        <v>#REF!</v>
      </c>
      <c r="M8" s="25" t="e">
        <f ca="1"/>
        <v>#REF!</v>
      </c>
      <c r="N8" s="30" t="e">
        <f ca="1"/>
        <v>#REF!</v>
      </c>
      <c r="O8" s="31" t="e">
        <f ca="1"/>
        <v>#REF!</v>
      </c>
      <c r="P8" s="31" t="e">
        <f ca="1"/>
        <v>#REF!</v>
      </c>
      <c r="Q8" s="31" t="e">
        <f ca="1"/>
        <v>#REF!</v>
      </c>
      <c r="R8" s="31" t="e">
        <f ca="1"/>
        <v>#REF!</v>
      </c>
      <c r="S8" s="31" t="e">
        <f ca="1"/>
        <v>#REF!</v>
      </c>
      <c r="T8" s="31" t="e">
        <f ca="1"/>
        <v>#REF!</v>
      </c>
      <c r="U8" s="31" t="e">
        <f ca="1"/>
        <v>#REF!</v>
      </c>
      <c r="V8" s="31" t="e">
        <f ca="1"/>
        <v>#REF!</v>
      </c>
      <c r="W8" s="32" t="e">
        <f ca="1"/>
        <v>#REF!</v>
      </c>
      <c r="X8" s="32" t="e">
        <f ca="1"/>
        <v>#REF!</v>
      </c>
      <c r="Y8" s="32" t="e">
        <f ca="1"/>
        <v>#REF!</v>
      </c>
      <c r="Z8" s="33" t="e">
        <f ca="1"/>
        <v>#REF!</v>
      </c>
      <c r="AA8" s="34" t="e">
        <f ca="1"/>
        <v>#REF!</v>
      </c>
    </row>
    <row r="9" spans="1:27" s="28" customFormat="1" ht="52.5" customHeight="1" x14ac:dyDescent="0.25">
      <c r="A9" s="24">
        <v>3</v>
      </c>
      <c r="B9" s="24"/>
      <c r="C9" s="25"/>
      <c r="D9" s="26"/>
      <c r="E9" s="25"/>
      <c r="F9" s="25"/>
      <c r="G9" s="24"/>
      <c r="H9" s="25" t="e">
        <f ca="1"/>
        <v>#REF!</v>
      </c>
      <c r="I9" s="27" t="e">
        <f ca="1"/>
        <v>#REF!</v>
      </c>
      <c r="J9" s="28" t="e">
        <f ca="1"/>
        <v>#REF!</v>
      </c>
      <c r="K9" s="29" t="e">
        <f ca="1"/>
        <v>#REF!</v>
      </c>
      <c r="L9" s="29" t="e">
        <f ca="1"/>
        <v>#REF!</v>
      </c>
      <c r="M9" s="25" t="e">
        <f ca="1"/>
        <v>#REF!</v>
      </c>
      <c r="N9" s="30" t="e">
        <f ca="1"/>
        <v>#REF!</v>
      </c>
      <c r="O9" s="31" t="e">
        <f ca="1"/>
        <v>#REF!</v>
      </c>
      <c r="P9" s="31" t="e">
        <f ca="1"/>
        <v>#REF!</v>
      </c>
      <c r="Q9" s="31" t="e">
        <f ca="1"/>
        <v>#REF!</v>
      </c>
      <c r="R9" s="31" t="e">
        <f ca="1"/>
        <v>#REF!</v>
      </c>
      <c r="S9" s="31" t="e">
        <f ca="1"/>
        <v>#REF!</v>
      </c>
      <c r="T9" s="31" t="e">
        <f ca="1"/>
        <v>#REF!</v>
      </c>
      <c r="U9" s="31" t="e">
        <f ca="1"/>
        <v>#REF!</v>
      </c>
      <c r="V9" s="31" t="e">
        <f ca="1"/>
        <v>#REF!</v>
      </c>
      <c r="W9" s="32" t="e">
        <f ca="1"/>
        <v>#REF!</v>
      </c>
      <c r="X9" s="32" t="e">
        <f ca="1"/>
        <v>#REF!</v>
      </c>
      <c r="Y9" s="32" t="e">
        <f ca="1"/>
        <v>#REF!</v>
      </c>
      <c r="Z9" s="29" t="e">
        <f ca="1"/>
        <v>#REF!</v>
      </c>
      <c r="AA9" s="34" t="e">
        <f ca="1"/>
        <v>#REF!</v>
      </c>
    </row>
    <row r="10" spans="1:27" s="28" customFormat="1" ht="52.5" customHeight="1" x14ac:dyDescent="0.25">
      <c r="A10" s="24">
        <v>4</v>
      </c>
      <c r="B10" s="24"/>
      <c r="C10" s="25"/>
      <c r="D10" s="26"/>
      <c r="E10" s="25"/>
      <c r="F10" s="25"/>
      <c r="G10" s="24"/>
      <c r="H10" s="25" t="e">
        <f ca="1"/>
        <v>#REF!</v>
      </c>
      <c r="I10" s="27" t="e">
        <f ca="1"/>
        <v>#REF!</v>
      </c>
      <c r="J10" s="28" t="e">
        <f ca="1"/>
        <v>#REF!</v>
      </c>
      <c r="K10" s="29" t="e">
        <f ca="1"/>
        <v>#REF!</v>
      </c>
      <c r="L10" s="29" t="e">
        <f ca="1"/>
        <v>#REF!</v>
      </c>
      <c r="M10" s="25" t="e">
        <f ca="1"/>
        <v>#REF!</v>
      </c>
      <c r="N10" s="30" t="e">
        <f ca="1"/>
        <v>#REF!</v>
      </c>
      <c r="O10" s="31" t="e">
        <f ca="1"/>
        <v>#REF!</v>
      </c>
      <c r="P10" s="31" t="e">
        <f ca="1"/>
        <v>#REF!</v>
      </c>
      <c r="Q10" s="31" t="e">
        <f ca="1"/>
        <v>#REF!</v>
      </c>
      <c r="R10" s="31" t="e">
        <f ca="1"/>
        <v>#REF!</v>
      </c>
      <c r="S10" s="31" t="e">
        <f ca="1"/>
        <v>#REF!</v>
      </c>
      <c r="T10" s="31" t="e">
        <f ca="1"/>
        <v>#REF!</v>
      </c>
      <c r="U10" s="31" t="e">
        <f ca="1"/>
        <v>#REF!</v>
      </c>
      <c r="V10" s="31" t="e">
        <f ca="1"/>
        <v>#REF!</v>
      </c>
      <c r="W10" s="32" t="e">
        <f ca="1"/>
        <v>#REF!</v>
      </c>
      <c r="X10" s="32" t="e">
        <f ca="1"/>
        <v>#REF!</v>
      </c>
      <c r="Y10" s="32" t="e">
        <f ca="1"/>
        <v>#REF!</v>
      </c>
      <c r="Z10" s="29" t="e">
        <f ca="1"/>
        <v>#REF!</v>
      </c>
      <c r="AA10" s="34" t="e">
        <f ca="1"/>
        <v>#REF!</v>
      </c>
    </row>
    <row r="11" spans="1:27" s="28" customFormat="1" ht="52.5" customHeight="1" x14ac:dyDescent="0.25">
      <c r="A11" s="24">
        <v>5</v>
      </c>
      <c r="B11" s="24"/>
      <c r="C11" s="25"/>
      <c r="D11" s="26"/>
      <c r="E11" s="25"/>
      <c r="F11" s="25"/>
      <c r="G11" s="24"/>
      <c r="H11" s="25" t="e">
        <f ca="1"/>
        <v>#REF!</v>
      </c>
      <c r="I11" s="27" t="e">
        <f ca="1"/>
        <v>#REF!</v>
      </c>
      <c r="J11" s="28" t="e">
        <f ca="1"/>
        <v>#REF!</v>
      </c>
      <c r="K11" s="29" t="e">
        <f ca="1"/>
        <v>#REF!</v>
      </c>
      <c r="L11" s="29" t="e">
        <f ca="1"/>
        <v>#REF!</v>
      </c>
      <c r="M11" s="25" t="e">
        <f ca="1"/>
        <v>#REF!</v>
      </c>
      <c r="N11" s="30" t="e">
        <f ca="1"/>
        <v>#REF!</v>
      </c>
      <c r="O11" s="35" t="e">
        <f ca="1"/>
        <v>#REF!</v>
      </c>
      <c r="P11" s="35" t="e">
        <f ca="1"/>
        <v>#REF!</v>
      </c>
      <c r="Q11" s="31" t="e">
        <f ca="1"/>
        <v>#REF!</v>
      </c>
      <c r="R11" s="31" t="e">
        <f ca="1"/>
        <v>#REF!</v>
      </c>
      <c r="S11" s="31" t="e">
        <f ca="1"/>
        <v>#REF!</v>
      </c>
      <c r="T11" s="31" t="e">
        <f ca="1"/>
        <v>#REF!</v>
      </c>
      <c r="U11" s="31" t="e">
        <f ca="1"/>
        <v>#REF!</v>
      </c>
      <c r="V11" s="31" t="e">
        <f ca="1"/>
        <v>#REF!</v>
      </c>
      <c r="W11" s="32" t="e">
        <f ca="1"/>
        <v>#REF!</v>
      </c>
      <c r="X11" s="32" t="e">
        <f ca="1"/>
        <v>#REF!</v>
      </c>
      <c r="Y11" s="32" t="e">
        <f ca="1"/>
        <v>#REF!</v>
      </c>
      <c r="Z11" s="29" t="e">
        <f ca="1"/>
        <v>#REF!</v>
      </c>
      <c r="AA11" s="34" t="e">
        <f ca="1"/>
        <v>#REF!</v>
      </c>
    </row>
    <row r="12" spans="1:27" s="28" customFormat="1" ht="48" customHeight="1" x14ac:dyDescent="0.25">
      <c r="A12" s="24">
        <v>6</v>
      </c>
      <c r="B12" s="24"/>
      <c r="C12" s="25"/>
      <c r="D12" s="26"/>
      <c r="E12" s="25"/>
      <c r="F12" s="25"/>
      <c r="G12" s="24"/>
      <c r="H12" s="25" t="e">
        <f ca="1"/>
        <v>#REF!</v>
      </c>
      <c r="I12" s="27" t="e">
        <f ca="1"/>
        <v>#REF!</v>
      </c>
      <c r="J12" s="28" t="e">
        <f ca="1"/>
        <v>#REF!</v>
      </c>
      <c r="K12" s="29" t="e">
        <f ca="1"/>
        <v>#REF!</v>
      </c>
      <c r="L12" s="29" t="e">
        <f ca="1"/>
        <v>#REF!</v>
      </c>
      <c r="M12" s="25" t="e">
        <f ca="1"/>
        <v>#REF!</v>
      </c>
      <c r="N12" s="30" t="e">
        <f ca="1"/>
        <v>#REF!</v>
      </c>
      <c r="O12" s="35" t="e">
        <f ca="1"/>
        <v>#REF!</v>
      </c>
      <c r="P12" s="35" t="e">
        <f ca="1"/>
        <v>#REF!</v>
      </c>
      <c r="Q12" s="31" t="e">
        <f ca="1"/>
        <v>#REF!</v>
      </c>
      <c r="R12" s="31" t="e">
        <f ca="1"/>
        <v>#REF!</v>
      </c>
      <c r="S12" s="31" t="e">
        <f ca="1"/>
        <v>#REF!</v>
      </c>
      <c r="T12" s="31" t="e">
        <f ca="1"/>
        <v>#REF!</v>
      </c>
      <c r="U12" s="31" t="e">
        <f ca="1"/>
        <v>#REF!</v>
      </c>
      <c r="V12" s="31" t="e">
        <f ca="1"/>
        <v>#REF!</v>
      </c>
      <c r="W12" s="32" t="e">
        <f ca="1"/>
        <v>#REF!</v>
      </c>
      <c r="X12" s="32" t="e">
        <f ca="1"/>
        <v>#REF!</v>
      </c>
      <c r="Y12" s="32" t="e">
        <f ca="1"/>
        <v>#REF!</v>
      </c>
      <c r="Z12" s="29" t="e">
        <f ca="1"/>
        <v>#REF!</v>
      </c>
      <c r="AA12" s="34" t="e">
        <f ca="1"/>
        <v>#REF!</v>
      </c>
    </row>
    <row r="13" spans="1:27" s="28" customFormat="1" ht="33" customHeight="1" x14ac:dyDescent="0.25">
      <c r="A13" s="24">
        <v>7</v>
      </c>
      <c r="B13" s="24"/>
      <c r="C13" s="25"/>
      <c r="D13" s="26"/>
      <c r="E13" s="25"/>
      <c r="F13" s="25"/>
      <c r="G13" s="24"/>
      <c r="H13" s="25" t="e">
        <f ca="1"/>
        <v>#REF!</v>
      </c>
      <c r="I13" s="27" t="e">
        <f ca="1"/>
        <v>#REF!</v>
      </c>
      <c r="J13" s="28" t="e">
        <f ca="1"/>
        <v>#REF!</v>
      </c>
      <c r="K13" s="29" t="e">
        <f ca="1"/>
        <v>#REF!</v>
      </c>
      <c r="L13" s="29" t="e">
        <f ca="1"/>
        <v>#REF!</v>
      </c>
      <c r="M13" s="25" t="e">
        <f ca="1"/>
        <v>#REF!</v>
      </c>
      <c r="N13" s="30" t="e">
        <f ca="1"/>
        <v>#REF!</v>
      </c>
      <c r="O13" s="31" t="e">
        <f ca="1"/>
        <v>#REF!</v>
      </c>
      <c r="P13" s="31" t="e">
        <f ca="1"/>
        <v>#REF!</v>
      </c>
      <c r="Q13" s="31" t="e">
        <f ca="1"/>
        <v>#REF!</v>
      </c>
      <c r="R13" s="31" t="e">
        <f ca="1"/>
        <v>#REF!</v>
      </c>
      <c r="S13" s="31" t="e">
        <f ca="1"/>
        <v>#REF!</v>
      </c>
      <c r="T13" s="31" t="e">
        <f ca="1"/>
        <v>#REF!</v>
      </c>
      <c r="U13" s="31" t="e">
        <f ca="1"/>
        <v>#REF!</v>
      </c>
      <c r="V13" s="31" t="e">
        <f ca="1"/>
        <v>#REF!</v>
      </c>
      <c r="W13" s="32" t="e">
        <f ca="1"/>
        <v>#REF!</v>
      </c>
      <c r="X13" s="32" t="e">
        <f ca="1"/>
        <v>#REF!</v>
      </c>
      <c r="Y13" s="32" t="e">
        <f ca="1"/>
        <v>#REF!</v>
      </c>
      <c r="Z13" s="29" t="e">
        <f ca="1"/>
        <v>#REF!</v>
      </c>
      <c r="AA13" s="34" t="e">
        <f ca="1"/>
        <v>#REF!</v>
      </c>
    </row>
    <row r="14" spans="1:27" s="28" customFormat="1" ht="50.25" customHeight="1" x14ac:dyDescent="0.25">
      <c r="A14" s="24">
        <v>8</v>
      </c>
      <c r="B14" s="24"/>
      <c r="C14" s="25"/>
      <c r="D14" s="26"/>
      <c r="E14" s="25"/>
      <c r="F14" s="25"/>
      <c r="G14" s="24"/>
      <c r="H14" s="25" t="e">
        <f ca="1"/>
        <v>#REF!</v>
      </c>
      <c r="I14" s="27" t="e">
        <f ca="1"/>
        <v>#REF!</v>
      </c>
      <c r="J14" s="28" t="e">
        <f ca="1"/>
        <v>#REF!</v>
      </c>
      <c r="K14" s="29" t="e">
        <f ca="1"/>
        <v>#REF!</v>
      </c>
      <c r="L14" s="29" t="e">
        <f ca="1"/>
        <v>#REF!</v>
      </c>
      <c r="M14" s="25" t="e">
        <f ca="1"/>
        <v>#REF!</v>
      </c>
      <c r="N14" s="30" t="e">
        <f ca="1"/>
        <v>#REF!</v>
      </c>
      <c r="O14" s="31" t="e">
        <f ca="1"/>
        <v>#REF!</v>
      </c>
      <c r="P14" s="31" t="e">
        <f ca="1"/>
        <v>#REF!</v>
      </c>
      <c r="Q14" s="31" t="e">
        <f ca="1"/>
        <v>#REF!</v>
      </c>
      <c r="R14" s="31" t="e">
        <f ca="1"/>
        <v>#REF!</v>
      </c>
      <c r="S14" s="31" t="e">
        <f ca="1"/>
        <v>#REF!</v>
      </c>
      <c r="T14" s="31" t="e">
        <f ca="1"/>
        <v>#REF!</v>
      </c>
      <c r="U14" s="31" t="e">
        <f ca="1"/>
        <v>#REF!</v>
      </c>
      <c r="V14" s="31" t="e">
        <f ca="1"/>
        <v>#REF!</v>
      </c>
      <c r="W14" s="32" t="e">
        <f ca="1"/>
        <v>#REF!</v>
      </c>
      <c r="X14" s="32" t="e">
        <f ca="1"/>
        <v>#REF!</v>
      </c>
      <c r="Y14" s="32" t="e">
        <f ca="1"/>
        <v>#REF!</v>
      </c>
      <c r="Z14" s="29" t="e">
        <f ca="1"/>
        <v>#REF!</v>
      </c>
      <c r="AA14" s="34" t="e">
        <f ca="1"/>
        <v>#REF!</v>
      </c>
    </row>
    <row r="15" spans="1:27" s="28" customFormat="1" ht="100.5" customHeight="1" x14ac:dyDescent="0.25">
      <c r="A15" s="24">
        <v>9</v>
      </c>
      <c r="B15" s="24"/>
      <c r="C15" s="25"/>
      <c r="D15" s="26"/>
      <c r="E15" s="25"/>
      <c r="F15" s="25"/>
      <c r="G15" s="24"/>
      <c r="H15" s="25" t="e">
        <f ca="1"/>
        <v>#REF!</v>
      </c>
      <c r="I15" s="27" t="e">
        <f ca="1"/>
        <v>#REF!</v>
      </c>
      <c r="J15" s="28" t="e">
        <f ca="1"/>
        <v>#REF!</v>
      </c>
      <c r="K15" s="29" t="e">
        <f ca="1"/>
        <v>#REF!</v>
      </c>
      <c r="L15" s="32" t="e">
        <f ca="1"/>
        <v>#REF!</v>
      </c>
      <c r="M15" s="36" t="e">
        <f ca="1"/>
        <v>#REF!</v>
      </c>
      <c r="N15" s="30" t="e">
        <f ca="1"/>
        <v>#REF!</v>
      </c>
      <c r="O15" s="31" t="e">
        <f ca="1"/>
        <v>#REF!</v>
      </c>
      <c r="P15" s="31" t="e">
        <f ca="1"/>
        <v>#REF!</v>
      </c>
      <c r="Q15" s="31" t="e">
        <f ca="1"/>
        <v>#REF!</v>
      </c>
      <c r="R15" s="31" t="e">
        <f ca="1"/>
        <v>#REF!</v>
      </c>
      <c r="S15" s="31" t="e">
        <f ca="1"/>
        <v>#REF!</v>
      </c>
      <c r="T15" s="31" t="e">
        <f ca="1"/>
        <v>#REF!</v>
      </c>
      <c r="U15" s="31" t="e">
        <f ca="1"/>
        <v>#REF!</v>
      </c>
      <c r="V15" s="31" t="e">
        <f ca="1"/>
        <v>#REF!</v>
      </c>
      <c r="W15" s="32" t="e">
        <f ca="1"/>
        <v>#REF!</v>
      </c>
      <c r="X15" s="32" t="e">
        <f ca="1"/>
        <v>#REF!</v>
      </c>
      <c r="Y15" s="32" t="e">
        <f ca="1"/>
        <v>#REF!</v>
      </c>
      <c r="Z15" s="33" t="e">
        <f ca="1"/>
        <v>#REF!</v>
      </c>
      <c r="AA15" s="34" t="e">
        <f ca="1"/>
        <v>#REF!</v>
      </c>
    </row>
    <row r="16" spans="1:27" s="28" customFormat="1" ht="57" customHeight="1" x14ac:dyDescent="0.25">
      <c r="A16" s="24">
        <v>10</v>
      </c>
      <c r="B16" s="24"/>
      <c r="C16" s="25"/>
      <c r="D16" s="26"/>
      <c r="E16" s="25"/>
      <c r="F16" s="25"/>
      <c r="G16" s="24"/>
      <c r="H16" s="25" t="e">
        <f ca="1"/>
        <v>#REF!</v>
      </c>
      <c r="I16" s="27" t="e">
        <f ca="1"/>
        <v>#REF!</v>
      </c>
      <c r="J16" s="28" t="e">
        <f ca="1"/>
        <v>#REF!</v>
      </c>
      <c r="K16" s="29" t="e">
        <f ca="1"/>
        <v>#REF!</v>
      </c>
      <c r="L16" s="33" t="e">
        <f ca="1"/>
        <v>#REF!</v>
      </c>
      <c r="M16" s="37" t="e">
        <f ca="1"/>
        <v>#REF!</v>
      </c>
      <c r="N16" s="30" t="e">
        <f ca="1"/>
        <v>#REF!</v>
      </c>
      <c r="O16" s="31" t="e">
        <f ca="1"/>
        <v>#REF!</v>
      </c>
      <c r="P16" s="31" t="e">
        <f ca="1"/>
        <v>#REF!</v>
      </c>
      <c r="Q16" s="31" t="e">
        <f ca="1"/>
        <v>#REF!</v>
      </c>
      <c r="R16" s="31" t="e">
        <f ca="1"/>
        <v>#REF!</v>
      </c>
      <c r="S16" s="31" t="e">
        <f ca="1"/>
        <v>#REF!</v>
      </c>
      <c r="T16" s="31" t="e">
        <f ca="1"/>
        <v>#REF!</v>
      </c>
      <c r="U16" s="31" t="e">
        <f ca="1"/>
        <v>#REF!</v>
      </c>
      <c r="V16" s="31" t="e">
        <f ca="1"/>
        <v>#REF!</v>
      </c>
      <c r="W16" s="32" t="e">
        <f ca="1"/>
        <v>#REF!</v>
      </c>
      <c r="X16" s="32" t="e">
        <f ca="1"/>
        <v>#REF!</v>
      </c>
      <c r="Y16" s="32" t="e">
        <f ca="1"/>
        <v>#REF!</v>
      </c>
      <c r="Z16" s="29" t="e">
        <f ca="1"/>
        <v>#REF!</v>
      </c>
      <c r="AA16" s="34" t="e">
        <f ca="1"/>
        <v>#REF!</v>
      </c>
    </row>
    <row r="17" spans="1:27" s="28" customFormat="1" ht="39.75" customHeight="1" x14ac:dyDescent="0.25">
      <c r="A17" s="24">
        <v>11</v>
      </c>
      <c r="B17" s="24"/>
      <c r="C17" s="25"/>
      <c r="D17" s="26"/>
      <c r="E17" s="25"/>
      <c r="F17" s="25"/>
      <c r="G17" s="24"/>
      <c r="H17" s="25" t="e">
        <f ca="1"/>
        <v>#REF!</v>
      </c>
      <c r="I17" s="27" t="e">
        <f ca="1"/>
        <v>#REF!</v>
      </c>
      <c r="J17" s="28" t="e">
        <f ca="1"/>
        <v>#REF!</v>
      </c>
      <c r="K17" s="29" t="e">
        <f ca="1"/>
        <v>#REF!</v>
      </c>
      <c r="L17" s="33" t="e">
        <f ca="1"/>
        <v>#REF!</v>
      </c>
      <c r="M17" s="37" t="e">
        <f ca="1"/>
        <v>#REF!</v>
      </c>
      <c r="N17" s="30" t="e">
        <f ca="1"/>
        <v>#REF!</v>
      </c>
      <c r="O17" s="31" t="e">
        <f ca="1"/>
        <v>#REF!</v>
      </c>
      <c r="P17" s="31" t="e">
        <f ca="1"/>
        <v>#REF!</v>
      </c>
      <c r="Q17" s="31" t="e">
        <f ca="1"/>
        <v>#REF!</v>
      </c>
      <c r="R17" s="31" t="e">
        <f ca="1"/>
        <v>#REF!</v>
      </c>
      <c r="S17" s="31" t="e">
        <f ca="1"/>
        <v>#REF!</v>
      </c>
      <c r="T17" s="31" t="e">
        <f ca="1"/>
        <v>#REF!</v>
      </c>
      <c r="U17" s="31" t="e">
        <f ca="1"/>
        <v>#REF!</v>
      </c>
      <c r="V17" s="31" t="e">
        <f ca="1"/>
        <v>#REF!</v>
      </c>
      <c r="W17" s="32" t="e">
        <f ca="1"/>
        <v>#REF!</v>
      </c>
      <c r="X17" s="32" t="e">
        <f ca="1"/>
        <v>#REF!</v>
      </c>
      <c r="Y17" s="32" t="e">
        <f ca="1"/>
        <v>#REF!</v>
      </c>
      <c r="Z17" s="29" t="e">
        <f ca="1"/>
        <v>#REF!</v>
      </c>
      <c r="AA17" s="34" t="e">
        <f ca="1"/>
        <v>#REF!</v>
      </c>
    </row>
    <row r="18" spans="1:27" s="28" customFormat="1" ht="55.5" customHeight="1" x14ac:dyDescent="0.25">
      <c r="A18" s="24">
        <v>12</v>
      </c>
      <c r="B18" s="24"/>
      <c r="C18" s="25"/>
      <c r="D18" s="26"/>
      <c r="E18" s="25"/>
      <c r="F18" s="25"/>
      <c r="G18" s="24"/>
      <c r="H18" s="25" t="e">
        <f ca="1"/>
        <v>#REF!</v>
      </c>
      <c r="I18" s="27" t="e">
        <f ca="1"/>
        <v>#REF!</v>
      </c>
      <c r="J18" s="28" t="e">
        <f ca="1"/>
        <v>#REF!</v>
      </c>
      <c r="K18" s="29" t="e">
        <f ca="1"/>
        <v>#REF!</v>
      </c>
      <c r="L18" s="38" t="e">
        <f ca="1"/>
        <v>#REF!</v>
      </c>
      <c r="M18" s="25" t="e">
        <f ca="1"/>
        <v>#REF!</v>
      </c>
      <c r="N18" s="30" t="e">
        <f ca="1"/>
        <v>#REF!</v>
      </c>
      <c r="O18" s="31" t="e">
        <f ca="1"/>
        <v>#REF!</v>
      </c>
      <c r="P18" s="31" t="e">
        <f ca="1"/>
        <v>#REF!</v>
      </c>
      <c r="Q18" s="31" t="e">
        <f ca="1"/>
        <v>#REF!</v>
      </c>
      <c r="R18" s="31" t="e">
        <f ca="1"/>
        <v>#REF!</v>
      </c>
      <c r="S18" s="31" t="e">
        <f ca="1"/>
        <v>#REF!</v>
      </c>
      <c r="T18" s="31" t="e">
        <f ca="1"/>
        <v>#REF!</v>
      </c>
      <c r="U18" s="31" t="e">
        <f ca="1"/>
        <v>#REF!</v>
      </c>
      <c r="V18" s="31" t="e">
        <f ca="1"/>
        <v>#REF!</v>
      </c>
      <c r="W18" s="32" t="e">
        <f ca="1"/>
        <v>#REF!</v>
      </c>
      <c r="X18" s="32" t="e">
        <f ca="1"/>
        <v>#REF!</v>
      </c>
      <c r="Y18" s="32" t="e">
        <f ca="1"/>
        <v>#REF!</v>
      </c>
      <c r="Z18" s="38" t="e">
        <f ca="1"/>
        <v>#REF!</v>
      </c>
      <c r="AA18" s="34" t="e">
        <f ca="1"/>
        <v>#REF!</v>
      </c>
    </row>
    <row r="19" spans="1:27" s="28" customFormat="1" ht="11.25" x14ac:dyDescent="0.25">
      <c r="A19" s="24">
        <v>13</v>
      </c>
      <c r="B19" s="24"/>
      <c r="C19" s="25"/>
      <c r="D19" s="26"/>
      <c r="E19" s="25"/>
      <c r="F19" s="25"/>
      <c r="G19" s="24"/>
      <c r="H19" s="25" t="e">
        <f ca="1"/>
        <v>#REF!</v>
      </c>
      <c r="I19" s="27" t="e">
        <f ca="1"/>
        <v>#REF!</v>
      </c>
      <c r="J19" s="28" t="e">
        <f ca="1"/>
        <v>#REF!</v>
      </c>
      <c r="K19" s="29" t="e">
        <f ca="1"/>
        <v>#REF!</v>
      </c>
      <c r="L19" s="38" t="e">
        <f ca="1"/>
        <v>#REF!</v>
      </c>
      <c r="M19" s="25" t="e">
        <f ca="1"/>
        <v>#REF!</v>
      </c>
      <c r="N19" s="30" t="e">
        <f ca="1"/>
        <v>#REF!</v>
      </c>
      <c r="O19" s="31" t="e">
        <f ca="1"/>
        <v>#REF!</v>
      </c>
      <c r="P19" s="31" t="e">
        <f ca="1"/>
        <v>#REF!</v>
      </c>
      <c r="Q19" s="31" t="e">
        <f ca="1"/>
        <v>#REF!</v>
      </c>
      <c r="R19" s="31" t="e">
        <f ca="1"/>
        <v>#REF!</v>
      </c>
      <c r="S19" s="31" t="e">
        <f ca="1"/>
        <v>#REF!</v>
      </c>
      <c r="T19" s="31" t="e">
        <f ca="1"/>
        <v>#REF!</v>
      </c>
      <c r="U19" s="31" t="e">
        <f ca="1"/>
        <v>#REF!</v>
      </c>
      <c r="V19" s="31" t="e">
        <f ca="1"/>
        <v>#REF!</v>
      </c>
      <c r="W19" s="32" t="e">
        <f ca="1"/>
        <v>#REF!</v>
      </c>
      <c r="X19" s="32" t="e">
        <f ca="1"/>
        <v>#REF!</v>
      </c>
      <c r="Y19" s="32" t="e">
        <f ca="1"/>
        <v>#REF!</v>
      </c>
      <c r="Z19" s="38" t="e">
        <f ca="1"/>
        <v>#REF!</v>
      </c>
      <c r="AA19" s="34" t="e">
        <f ca="1"/>
        <v>#REF!</v>
      </c>
    </row>
    <row r="20" spans="1:27" s="28" customFormat="1" ht="58.5" customHeight="1" x14ac:dyDescent="0.25">
      <c r="A20" s="24">
        <v>14</v>
      </c>
      <c r="B20" s="24"/>
      <c r="C20" s="25"/>
      <c r="D20" s="26"/>
      <c r="E20" s="25"/>
      <c r="F20" s="25"/>
      <c r="G20" s="24"/>
      <c r="H20" s="25" t="e">
        <f ca="1"/>
        <v>#REF!</v>
      </c>
      <c r="I20" s="27" t="e">
        <f ca="1"/>
        <v>#REF!</v>
      </c>
      <c r="J20" s="28" t="e">
        <f ca="1"/>
        <v>#REF!</v>
      </c>
      <c r="K20" s="29" t="e">
        <f ca="1"/>
        <v>#REF!</v>
      </c>
      <c r="L20" s="38" t="e">
        <f ca="1"/>
        <v>#REF!</v>
      </c>
      <c r="M20" s="36" t="e">
        <f ca="1"/>
        <v>#REF!</v>
      </c>
      <c r="N20" s="30" t="e">
        <f ca="1"/>
        <v>#REF!</v>
      </c>
      <c r="O20" s="31" t="e">
        <f ca="1"/>
        <v>#REF!</v>
      </c>
      <c r="P20" s="31" t="e">
        <f ca="1"/>
        <v>#REF!</v>
      </c>
      <c r="Q20" s="31" t="e">
        <f ca="1"/>
        <v>#REF!</v>
      </c>
      <c r="R20" s="31" t="e">
        <f ca="1"/>
        <v>#REF!</v>
      </c>
      <c r="S20" s="31" t="e">
        <f ca="1"/>
        <v>#REF!</v>
      </c>
      <c r="T20" s="31" t="e">
        <f ca="1"/>
        <v>#REF!</v>
      </c>
      <c r="U20" s="31" t="e">
        <f ca="1"/>
        <v>#REF!</v>
      </c>
      <c r="V20" s="31" t="e">
        <f ca="1"/>
        <v>#REF!</v>
      </c>
      <c r="W20" s="32" t="e">
        <f ca="1"/>
        <v>#REF!</v>
      </c>
      <c r="X20" s="32" t="e">
        <f ca="1"/>
        <v>#REF!</v>
      </c>
      <c r="Y20" s="32" t="e">
        <f ca="1"/>
        <v>#REF!</v>
      </c>
      <c r="Z20" s="38" t="e">
        <f ca="1"/>
        <v>#REF!</v>
      </c>
      <c r="AA20" s="34" t="e">
        <f ca="1"/>
        <v>#REF!</v>
      </c>
    </row>
    <row r="21" spans="1:27" s="28" customFormat="1" ht="11.25" x14ac:dyDescent="0.25">
      <c r="A21" s="24">
        <v>15</v>
      </c>
      <c r="B21" s="24"/>
      <c r="C21" s="25"/>
      <c r="D21" s="26"/>
      <c r="E21" s="25"/>
      <c r="F21" s="25"/>
      <c r="G21" s="24"/>
      <c r="H21" s="25" t="e">
        <f ca="1"/>
        <v>#REF!</v>
      </c>
      <c r="I21" s="27" t="e">
        <f ca="1"/>
        <v>#REF!</v>
      </c>
      <c r="J21" s="28" t="e">
        <f ca="1"/>
        <v>#REF!</v>
      </c>
      <c r="K21" s="29" t="e">
        <f ca="1"/>
        <v>#REF!</v>
      </c>
      <c r="L21" s="38" t="e">
        <f ca="1"/>
        <v>#REF!</v>
      </c>
      <c r="M21" s="25" t="e">
        <f ca="1"/>
        <v>#REF!</v>
      </c>
      <c r="N21" s="39" t="e">
        <f ca="1"/>
        <v>#REF!</v>
      </c>
      <c r="O21" s="35" t="e">
        <f ca="1"/>
        <v>#REF!</v>
      </c>
      <c r="P21" s="35" t="e">
        <f ca="1"/>
        <v>#REF!</v>
      </c>
      <c r="Q21" s="31" t="e">
        <f ca="1"/>
        <v>#REF!</v>
      </c>
      <c r="R21" s="31" t="e">
        <f ca="1"/>
        <v>#REF!</v>
      </c>
      <c r="S21" s="35" t="e">
        <f ca="1"/>
        <v>#REF!</v>
      </c>
      <c r="T21" s="31" t="e">
        <f ca="1"/>
        <v>#REF!</v>
      </c>
      <c r="U21" s="31" t="e">
        <f ca="1"/>
        <v>#REF!</v>
      </c>
      <c r="V21" s="31" t="e">
        <f ca="1"/>
        <v>#REF!</v>
      </c>
      <c r="W21" s="32" t="e">
        <f ca="1"/>
        <v>#REF!</v>
      </c>
      <c r="X21" s="32" t="e">
        <f ca="1"/>
        <v>#REF!</v>
      </c>
      <c r="Y21" s="32" t="e">
        <f ca="1"/>
        <v>#REF!</v>
      </c>
      <c r="Z21" s="33" t="e">
        <f ca="1"/>
        <v>#REF!</v>
      </c>
      <c r="AA21" s="34" t="e">
        <f ca="1"/>
        <v>#REF!</v>
      </c>
    </row>
    <row r="22" spans="1:27" s="28" customFormat="1" ht="72" customHeight="1" x14ac:dyDescent="0.25">
      <c r="A22" s="24">
        <v>16</v>
      </c>
      <c r="B22" s="24"/>
      <c r="C22" s="25"/>
      <c r="D22" s="26"/>
      <c r="E22" s="25"/>
      <c r="F22" s="25"/>
      <c r="G22" s="24"/>
      <c r="H22" s="25" t="e">
        <f ca="1"/>
        <v>#REF!</v>
      </c>
      <c r="I22" s="27" t="e">
        <f ca="1"/>
        <v>#REF!</v>
      </c>
      <c r="J22" s="28" t="e">
        <f ca="1"/>
        <v>#REF!</v>
      </c>
      <c r="K22" s="29" t="e">
        <f ca="1"/>
        <v>#REF!</v>
      </c>
      <c r="L22" s="38" t="e">
        <f ca="1"/>
        <v>#REF!</v>
      </c>
      <c r="M22" s="25" t="e">
        <f ca="1"/>
        <v>#REF!</v>
      </c>
      <c r="N22" s="39" t="e">
        <f ca="1"/>
        <v>#REF!</v>
      </c>
      <c r="O22" s="35" t="e">
        <f ca="1"/>
        <v>#REF!</v>
      </c>
      <c r="P22" s="35" t="e">
        <f ca="1"/>
        <v>#REF!</v>
      </c>
      <c r="Q22" s="31" t="e">
        <f ca="1"/>
        <v>#REF!</v>
      </c>
      <c r="R22" s="31" t="e">
        <f ca="1"/>
        <v>#REF!</v>
      </c>
      <c r="S22" s="35" t="e">
        <f ca="1"/>
        <v>#REF!</v>
      </c>
      <c r="T22" s="31" t="e">
        <f ca="1"/>
        <v>#REF!</v>
      </c>
      <c r="U22" s="31" t="e">
        <f ca="1"/>
        <v>#REF!</v>
      </c>
      <c r="V22" s="31" t="e">
        <f ca="1"/>
        <v>#REF!</v>
      </c>
      <c r="W22" s="32" t="e">
        <f ca="1"/>
        <v>#REF!</v>
      </c>
      <c r="X22" s="32" t="e">
        <f ca="1"/>
        <v>#REF!</v>
      </c>
      <c r="Y22" s="32" t="e">
        <f ca="1"/>
        <v>#REF!</v>
      </c>
      <c r="Z22" s="29" t="e">
        <f ca="1"/>
        <v>#REF!</v>
      </c>
      <c r="AA22" s="34" t="e">
        <f ca="1"/>
        <v>#REF!</v>
      </c>
    </row>
    <row r="23" spans="1:27" s="28" customFormat="1" ht="29.25" customHeight="1" x14ac:dyDescent="0.25">
      <c r="A23" s="24">
        <v>17</v>
      </c>
      <c r="B23" s="24"/>
      <c r="C23" s="25"/>
      <c r="D23" s="26"/>
      <c r="E23" s="25"/>
      <c r="F23" s="25"/>
      <c r="G23" s="24"/>
      <c r="H23" s="25" t="e">
        <f ca="1"/>
        <v>#REF!</v>
      </c>
      <c r="I23" s="27" t="e">
        <f ca="1"/>
        <v>#REF!</v>
      </c>
      <c r="J23" s="28" t="e">
        <f ca="1"/>
        <v>#REF!</v>
      </c>
      <c r="K23" s="29" t="e">
        <f ca="1"/>
        <v>#REF!</v>
      </c>
      <c r="L23" s="33" t="e">
        <f ca="1"/>
        <v>#REF!</v>
      </c>
      <c r="M23" s="37" t="e">
        <f ca="1"/>
        <v>#REF!</v>
      </c>
      <c r="N23" s="30" t="e">
        <f ca="1"/>
        <v>#REF!</v>
      </c>
      <c r="O23" s="31" t="e">
        <f ca="1"/>
        <v>#REF!</v>
      </c>
      <c r="P23" s="31" t="e">
        <f ca="1"/>
        <v>#REF!</v>
      </c>
      <c r="Q23" s="31" t="e">
        <f ca="1"/>
        <v>#REF!</v>
      </c>
      <c r="R23" s="31" t="e">
        <f ca="1"/>
        <v>#REF!</v>
      </c>
      <c r="S23" s="31" t="e">
        <f ca="1"/>
        <v>#REF!</v>
      </c>
      <c r="T23" s="31" t="e">
        <f ca="1"/>
        <v>#REF!</v>
      </c>
      <c r="U23" s="31" t="e">
        <f ca="1"/>
        <v>#REF!</v>
      </c>
      <c r="V23" s="31" t="e">
        <f ca="1"/>
        <v>#REF!</v>
      </c>
      <c r="W23" s="32" t="e">
        <f ca="1"/>
        <v>#REF!</v>
      </c>
      <c r="X23" s="32" t="e">
        <f ca="1"/>
        <v>#REF!</v>
      </c>
      <c r="Y23" s="32" t="e">
        <f ca="1"/>
        <v>#REF!</v>
      </c>
      <c r="Z23" s="29" t="e">
        <f ca="1"/>
        <v>#REF!</v>
      </c>
      <c r="AA23" s="34" t="e">
        <f ca="1"/>
        <v>#REF!</v>
      </c>
    </row>
    <row r="24" spans="1:27" s="28" customFormat="1" ht="51.75" customHeight="1" x14ac:dyDescent="0.25">
      <c r="A24" s="24">
        <v>18</v>
      </c>
      <c r="B24" s="24"/>
      <c r="C24" s="25"/>
      <c r="D24" s="26"/>
      <c r="E24" s="25"/>
      <c r="F24" s="25"/>
      <c r="G24" s="24"/>
      <c r="H24" s="25" t="e">
        <f ca="1"/>
        <v>#REF!</v>
      </c>
      <c r="I24" s="27" t="e">
        <f ca="1"/>
        <v>#REF!</v>
      </c>
      <c r="J24" s="28" t="e">
        <f ca="1"/>
        <v>#REF!</v>
      </c>
      <c r="K24" s="29" t="e">
        <f ca="1"/>
        <v>#REF!</v>
      </c>
      <c r="L24" s="29" t="e">
        <f ca="1"/>
        <v>#REF!</v>
      </c>
      <c r="M24" s="25" t="e">
        <f ca="1"/>
        <v>#REF!</v>
      </c>
      <c r="N24" s="30" t="e">
        <f ca="1"/>
        <v>#REF!</v>
      </c>
      <c r="O24" s="31" t="e">
        <f ca="1"/>
        <v>#REF!</v>
      </c>
      <c r="P24" s="31" t="e">
        <f ca="1"/>
        <v>#REF!</v>
      </c>
      <c r="Q24" s="31" t="e">
        <f ca="1"/>
        <v>#REF!</v>
      </c>
      <c r="R24" s="31" t="e">
        <f ca="1"/>
        <v>#REF!</v>
      </c>
      <c r="S24" s="31" t="e">
        <f ca="1"/>
        <v>#REF!</v>
      </c>
      <c r="T24" s="31" t="e">
        <f ca="1"/>
        <v>#REF!</v>
      </c>
      <c r="U24" s="31" t="e">
        <f ca="1"/>
        <v>#REF!</v>
      </c>
      <c r="V24" s="31" t="e">
        <f ca="1"/>
        <v>#REF!</v>
      </c>
      <c r="W24" s="32" t="e">
        <f ca="1"/>
        <v>#REF!</v>
      </c>
      <c r="X24" s="32" t="e">
        <f ca="1"/>
        <v>#REF!</v>
      </c>
      <c r="Y24" s="32" t="e">
        <f ca="1"/>
        <v>#REF!</v>
      </c>
      <c r="Z24" s="29" t="e">
        <f ca="1"/>
        <v>#REF!</v>
      </c>
      <c r="AA24" s="34" t="e">
        <f ca="1"/>
        <v>#REF!</v>
      </c>
    </row>
    <row r="25" spans="1:27" s="28" customFormat="1" ht="21" customHeight="1" x14ac:dyDescent="0.25">
      <c r="A25" s="24">
        <v>19</v>
      </c>
      <c r="B25" s="24"/>
      <c r="C25" s="25"/>
      <c r="D25" s="26"/>
      <c r="E25" s="25"/>
      <c r="F25" s="25"/>
      <c r="G25" s="24"/>
      <c r="H25" s="25" t="e">
        <f ca="1"/>
        <v>#REF!</v>
      </c>
      <c r="I25" s="27" t="e">
        <f ca="1"/>
        <v>#REF!</v>
      </c>
      <c r="J25" s="28" t="e">
        <f ca="1"/>
        <v>#REF!</v>
      </c>
      <c r="K25" s="29" t="e">
        <f ca="1"/>
        <v>#REF!</v>
      </c>
      <c r="L25" s="33" t="e">
        <f ca="1"/>
        <v>#REF!</v>
      </c>
      <c r="M25" s="25" t="e">
        <f ca="1"/>
        <v>#REF!</v>
      </c>
      <c r="N25" s="30" t="e">
        <f ca="1"/>
        <v>#REF!</v>
      </c>
      <c r="O25" s="31" t="e">
        <f ca="1"/>
        <v>#REF!</v>
      </c>
      <c r="P25" s="31" t="e">
        <f ca="1"/>
        <v>#REF!</v>
      </c>
      <c r="Q25" s="31" t="e">
        <f ca="1"/>
        <v>#REF!</v>
      </c>
      <c r="R25" s="31" t="e">
        <f ca="1"/>
        <v>#REF!</v>
      </c>
      <c r="S25" s="31" t="e">
        <f ca="1"/>
        <v>#REF!</v>
      </c>
      <c r="T25" s="31" t="e">
        <f ca="1"/>
        <v>#REF!</v>
      </c>
      <c r="U25" s="31" t="e">
        <f ca="1"/>
        <v>#REF!</v>
      </c>
      <c r="V25" s="31" t="e">
        <f ca="1"/>
        <v>#REF!</v>
      </c>
      <c r="W25" s="32" t="e">
        <f ca="1"/>
        <v>#REF!</v>
      </c>
      <c r="X25" s="32" t="e">
        <f ca="1"/>
        <v>#REF!</v>
      </c>
      <c r="Y25" s="32" t="e">
        <f ca="1"/>
        <v>#REF!</v>
      </c>
      <c r="Z25" s="29" t="e">
        <f ca="1"/>
        <v>#REF!</v>
      </c>
      <c r="AA25" s="34" t="e">
        <f ca="1"/>
        <v>#REF!</v>
      </c>
    </row>
    <row r="26" spans="1:27" s="28" customFormat="1" ht="11.25" x14ac:dyDescent="0.25">
      <c r="A26" s="24">
        <v>20</v>
      </c>
      <c r="B26" s="24"/>
      <c r="C26" s="25"/>
      <c r="D26" s="26"/>
      <c r="E26" s="25"/>
      <c r="F26" s="25"/>
      <c r="G26" s="24"/>
      <c r="H26" s="25" t="e">
        <f ca="1"/>
        <v>#REF!</v>
      </c>
      <c r="I26" s="27" t="e">
        <f ca="1"/>
        <v>#REF!</v>
      </c>
      <c r="J26" s="28" t="e">
        <f ca="1"/>
        <v>#REF!</v>
      </c>
      <c r="K26" s="29" t="e">
        <f ca="1"/>
        <v>#REF!</v>
      </c>
      <c r="L26" s="33" t="e">
        <f ca="1"/>
        <v>#REF!</v>
      </c>
      <c r="M26" s="36" t="e">
        <f ca="1"/>
        <v>#REF!</v>
      </c>
      <c r="N26" s="30" t="e">
        <f ca="1"/>
        <v>#REF!</v>
      </c>
      <c r="O26" s="31" t="e">
        <f ca="1"/>
        <v>#REF!</v>
      </c>
      <c r="P26" s="35" t="e">
        <f ca="1"/>
        <v>#REF!</v>
      </c>
      <c r="Q26" s="35" t="e">
        <f ca="1"/>
        <v>#REF!</v>
      </c>
      <c r="R26" s="35" t="e">
        <f ca="1"/>
        <v>#REF!</v>
      </c>
      <c r="S26" s="35" t="e">
        <f ca="1"/>
        <v>#REF!</v>
      </c>
      <c r="T26" s="31" t="e">
        <f ca="1"/>
        <v>#REF!</v>
      </c>
      <c r="U26" s="40" t="e">
        <f ca="1"/>
        <v>#REF!</v>
      </c>
      <c r="V26" s="31" t="e">
        <f ca="1"/>
        <v>#REF!</v>
      </c>
      <c r="W26" s="41" t="e">
        <f ca="1"/>
        <v>#REF!</v>
      </c>
      <c r="X26" s="41" t="e">
        <f ca="1"/>
        <v>#REF!</v>
      </c>
      <c r="Y26" s="41" t="e">
        <f ca="1"/>
        <v>#REF!</v>
      </c>
      <c r="Z26" s="29" t="e">
        <f ca="1"/>
        <v>#REF!</v>
      </c>
      <c r="AA26" s="34" t="e">
        <f ca="1"/>
        <v>#REF!</v>
      </c>
    </row>
    <row r="27" spans="1:27" s="28" customFormat="1" ht="11.25" x14ac:dyDescent="0.25">
      <c r="A27" s="24">
        <v>21</v>
      </c>
      <c r="B27" s="24"/>
      <c r="C27" s="25"/>
      <c r="D27" s="26"/>
      <c r="E27" s="25"/>
      <c r="F27" s="25"/>
      <c r="G27" s="24"/>
      <c r="H27" s="25" t="e">
        <f ca="1"/>
        <v>#REF!</v>
      </c>
      <c r="I27" s="27" t="e">
        <f ca="1"/>
        <v>#REF!</v>
      </c>
      <c r="J27" s="28" t="e">
        <f ca="1"/>
        <v>#REF!</v>
      </c>
      <c r="K27" s="29" t="e">
        <f ca="1"/>
        <v>#REF!</v>
      </c>
      <c r="L27" s="33" t="e">
        <f ca="1"/>
        <v>#REF!</v>
      </c>
      <c r="M27" s="36" t="e">
        <f ca="1"/>
        <v>#REF!</v>
      </c>
      <c r="N27" s="30" t="e">
        <f ca="1"/>
        <v>#REF!</v>
      </c>
      <c r="O27" s="31" t="e">
        <f ca="1"/>
        <v>#REF!</v>
      </c>
      <c r="P27" s="35" t="e">
        <f ca="1"/>
        <v>#REF!</v>
      </c>
      <c r="Q27" s="31" t="e">
        <f ca="1"/>
        <v>#REF!</v>
      </c>
      <c r="R27" s="31" t="e">
        <f ca="1"/>
        <v>#REF!</v>
      </c>
      <c r="S27" s="31" t="e">
        <f ca="1"/>
        <v>#REF!</v>
      </c>
      <c r="T27" s="31" t="e">
        <f ca="1"/>
        <v>#REF!</v>
      </c>
      <c r="U27" s="40" t="e">
        <f ca="1"/>
        <v>#REF!</v>
      </c>
      <c r="V27" s="31" t="e">
        <f ca="1"/>
        <v>#REF!</v>
      </c>
      <c r="W27" s="41" t="e">
        <f ca="1"/>
        <v>#REF!</v>
      </c>
      <c r="X27" s="41" t="e">
        <f ca="1"/>
        <v>#REF!</v>
      </c>
      <c r="Y27" s="41" t="e">
        <f ca="1"/>
        <v>#REF!</v>
      </c>
      <c r="Z27" s="29" t="e">
        <f ca="1"/>
        <v>#REF!</v>
      </c>
      <c r="AA27" s="34" t="e">
        <f ca="1"/>
        <v>#REF!</v>
      </c>
    </row>
    <row r="28" spans="1:27" s="28" customFormat="1" ht="11.25" x14ac:dyDescent="0.25">
      <c r="A28" s="24">
        <v>22</v>
      </c>
      <c r="B28" s="24"/>
      <c r="C28" s="25"/>
      <c r="D28" s="26"/>
      <c r="E28" s="25"/>
      <c r="F28" s="25"/>
      <c r="G28" s="24"/>
      <c r="H28" s="25" t="e">
        <f ca="1"/>
        <v>#REF!</v>
      </c>
      <c r="I28" s="27" t="e">
        <f ca="1"/>
        <v>#REF!</v>
      </c>
      <c r="J28" s="28" t="e">
        <f ca="1"/>
        <v>#REF!</v>
      </c>
      <c r="K28" s="29" t="e">
        <f ca="1"/>
        <v>#REF!</v>
      </c>
      <c r="L28" s="33" t="e">
        <f ca="1"/>
        <v>#REF!</v>
      </c>
      <c r="M28" s="36" t="e">
        <f ca="1"/>
        <v>#REF!</v>
      </c>
      <c r="N28" s="30" t="e">
        <f ca="1"/>
        <v>#REF!</v>
      </c>
      <c r="O28" s="31" t="e">
        <f ca="1"/>
        <v>#REF!</v>
      </c>
      <c r="P28" s="35" t="e">
        <f ca="1"/>
        <v>#REF!</v>
      </c>
      <c r="Q28" s="31" t="e">
        <f ca="1"/>
        <v>#REF!</v>
      </c>
      <c r="R28" s="31" t="e">
        <f ca="1"/>
        <v>#REF!</v>
      </c>
      <c r="S28" s="31" t="e">
        <f ca="1"/>
        <v>#REF!</v>
      </c>
      <c r="T28" s="31" t="e">
        <f ca="1"/>
        <v>#REF!</v>
      </c>
      <c r="U28" s="40" t="e">
        <f ca="1"/>
        <v>#REF!</v>
      </c>
      <c r="V28" s="31" t="e">
        <f ca="1"/>
        <v>#REF!</v>
      </c>
      <c r="W28" s="41" t="e">
        <f ca="1"/>
        <v>#REF!</v>
      </c>
      <c r="X28" s="41" t="e">
        <f ca="1"/>
        <v>#REF!</v>
      </c>
      <c r="Y28" s="41" t="e">
        <f ca="1"/>
        <v>#REF!</v>
      </c>
      <c r="Z28" s="29" t="e">
        <f ca="1"/>
        <v>#REF!</v>
      </c>
      <c r="AA28" s="34" t="e">
        <f ca="1"/>
        <v>#REF!</v>
      </c>
    </row>
    <row r="29" spans="1:27" s="28" customFormat="1" ht="11.25" x14ac:dyDescent="0.25">
      <c r="A29" s="24">
        <v>23</v>
      </c>
      <c r="B29" s="24"/>
      <c r="C29" s="25"/>
      <c r="D29" s="26"/>
      <c r="E29" s="25"/>
      <c r="F29" s="25"/>
      <c r="G29" s="24"/>
      <c r="H29" s="25" t="e">
        <f ca="1"/>
        <v>#REF!</v>
      </c>
      <c r="I29" s="27" t="e">
        <f ca="1"/>
        <v>#REF!</v>
      </c>
      <c r="J29" s="28" t="e">
        <f ca="1"/>
        <v>#REF!</v>
      </c>
      <c r="K29" s="29" t="e">
        <f ca="1"/>
        <v>#REF!</v>
      </c>
      <c r="L29" s="33" t="e">
        <f ca="1"/>
        <v>#REF!</v>
      </c>
      <c r="M29" s="36" t="e">
        <f ca="1"/>
        <v>#REF!</v>
      </c>
      <c r="N29" s="30" t="e">
        <f ca="1"/>
        <v>#REF!</v>
      </c>
      <c r="O29" s="31" t="e">
        <f ca="1"/>
        <v>#REF!</v>
      </c>
      <c r="P29" s="35" t="e">
        <f ca="1"/>
        <v>#REF!</v>
      </c>
      <c r="Q29" s="31" t="e">
        <f ca="1"/>
        <v>#REF!</v>
      </c>
      <c r="R29" s="31" t="e">
        <f ca="1"/>
        <v>#REF!</v>
      </c>
      <c r="S29" s="31" t="e">
        <f ca="1"/>
        <v>#REF!</v>
      </c>
      <c r="T29" s="31" t="e">
        <f ca="1"/>
        <v>#REF!</v>
      </c>
      <c r="U29" s="40" t="e">
        <f ca="1"/>
        <v>#REF!</v>
      </c>
      <c r="V29" s="31" t="e">
        <f ca="1"/>
        <v>#REF!</v>
      </c>
      <c r="W29" s="41" t="e">
        <f ca="1"/>
        <v>#REF!</v>
      </c>
      <c r="X29" s="41" t="e">
        <f ca="1"/>
        <v>#REF!</v>
      </c>
      <c r="Y29" s="41" t="e">
        <f ca="1"/>
        <v>#REF!</v>
      </c>
      <c r="Z29" s="29" t="e">
        <f ca="1"/>
        <v>#REF!</v>
      </c>
      <c r="AA29" s="34" t="e">
        <f ca="1"/>
        <v>#REF!</v>
      </c>
    </row>
    <row r="30" spans="1:27" s="28" customFormat="1" ht="11.25" x14ac:dyDescent="0.25">
      <c r="A30" s="24">
        <v>24</v>
      </c>
      <c r="B30" s="24"/>
      <c r="C30" s="25"/>
      <c r="D30" s="26"/>
      <c r="E30" s="25"/>
      <c r="F30" s="25"/>
      <c r="G30" s="24"/>
      <c r="H30" s="25" t="e">
        <f ca="1"/>
        <v>#REF!</v>
      </c>
      <c r="I30" s="27" t="e">
        <f ca="1"/>
        <v>#REF!</v>
      </c>
      <c r="J30" s="28" t="e">
        <f ca="1"/>
        <v>#REF!</v>
      </c>
      <c r="K30" s="29" t="e">
        <f ca="1"/>
        <v>#REF!</v>
      </c>
      <c r="L30" s="33" t="e">
        <f ca="1"/>
        <v>#REF!</v>
      </c>
      <c r="M30" s="36" t="e">
        <f ca="1"/>
        <v>#REF!</v>
      </c>
      <c r="N30" s="30" t="e">
        <f ca="1"/>
        <v>#REF!</v>
      </c>
      <c r="O30" s="31" t="e">
        <f ca="1"/>
        <v>#REF!</v>
      </c>
      <c r="P30" s="35" t="e">
        <f ca="1"/>
        <v>#REF!</v>
      </c>
      <c r="Q30" s="35" t="e">
        <f ca="1"/>
        <v>#REF!</v>
      </c>
      <c r="R30" s="35" t="e">
        <f ca="1"/>
        <v>#REF!</v>
      </c>
      <c r="S30" s="35" t="e">
        <f ca="1"/>
        <v>#REF!</v>
      </c>
      <c r="T30" s="35" t="e">
        <f ca="1"/>
        <v>#REF!</v>
      </c>
      <c r="U30" s="40" t="e">
        <f ca="1"/>
        <v>#REF!</v>
      </c>
      <c r="V30" s="31" t="e">
        <f ca="1"/>
        <v>#REF!</v>
      </c>
      <c r="W30" s="41" t="e">
        <f ca="1"/>
        <v>#REF!</v>
      </c>
      <c r="X30" s="41" t="e">
        <f ca="1"/>
        <v>#REF!</v>
      </c>
      <c r="Y30" s="41" t="e">
        <f ca="1"/>
        <v>#REF!</v>
      </c>
      <c r="Z30" s="29" t="e">
        <f ca="1"/>
        <v>#REF!</v>
      </c>
      <c r="AA30" s="34" t="e">
        <f ca="1"/>
        <v>#REF!</v>
      </c>
    </row>
    <row r="31" spans="1:27" s="28" customFormat="1" ht="11.25" x14ac:dyDescent="0.25">
      <c r="A31" s="24">
        <v>25</v>
      </c>
      <c r="B31" s="24"/>
      <c r="C31" s="25"/>
      <c r="D31" s="26"/>
      <c r="E31" s="25"/>
      <c r="F31" s="25"/>
      <c r="G31" s="24"/>
      <c r="H31" s="25" t="e">
        <f ca="1"/>
        <v>#REF!</v>
      </c>
      <c r="I31" s="27" t="e">
        <f ca="1"/>
        <v>#REF!</v>
      </c>
      <c r="J31" s="28" t="e">
        <f ca="1"/>
        <v>#REF!</v>
      </c>
      <c r="K31" s="29" t="e">
        <f ca="1"/>
        <v>#REF!</v>
      </c>
      <c r="L31" s="33" t="e">
        <f ca="1"/>
        <v>#REF!</v>
      </c>
      <c r="M31" s="36" t="e">
        <f ca="1"/>
        <v>#REF!</v>
      </c>
      <c r="N31" s="30" t="e">
        <f ca="1"/>
        <v>#REF!</v>
      </c>
      <c r="O31" s="31" t="e">
        <f ca="1"/>
        <v>#REF!</v>
      </c>
      <c r="P31" s="35" t="e">
        <f ca="1"/>
        <v>#REF!</v>
      </c>
      <c r="Q31" s="31" t="e">
        <f ca="1"/>
        <v>#REF!</v>
      </c>
      <c r="R31" s="31" t="e">
        <f ca="1"/>
        <v>#REF!</v>
      </c>
      <c r="S31" s="31" t="e">
        <f ca="1"/>
        <v>#REF!</v>
      </c>
      <c r="T31" s="31" t="e">
        <f ca="1"/>
        <v>#REF!</v>
      </c>
      <c r="U31" s="40" t="e">
        <f ca="1"/>
        <v>#REF!</v>
      </c>
      <c r="V31" s="31" t="e">
        <f ca="1"/>
        <v>#REF!</v>
      </c>
      <c r="W31" s="41" t="e">
        <f ca="1"/>
        <v>#REF!</v>
      </c>
      <c r="X31" s="41" t="e">
        <f ca="1"/>
        <v>#REF!</v>
      </c>
      <c r="Y31" s="41" t="e">
        <f ca="1"/>
        <v>#REF!</v>
      </c>
      <c r="Z31" s="29" t="e">
        <f ca="1"/>
        <v>#REF!</v>
      </c>
      <c r="AA31" s="34" t="e">
        <f ca="1"/>
        <v>#REF!</v>
      </c>
    </row>
    <row r="32" spans="1:27" s="28" customFormat="1" ht="11.25" x14ac:dyDescent="0.25">
      <c r="A32" s="24">
        <v>26</v>
      </c>
      <c r="B32" s="24"/>
      <c r="C32" s="25"/>
      <c r="D32" s="26"/>
      <c r="E32" s="25"/>
      <c r="F32" s="25"/>
      <c r="G32" s="24"/>
      <c r="H32" s="25" t="e">
        <f ca="1"/>
        <v>#REF!</v>
      </c>
      <c r="I32" s="27" t="e">
        <f ca="1"/>
        <v>#REF!</v>
      </c>
      <c r="J32" s="28" t="e">
        <f ca="1"/>
        <v>#REF!</v>
      </c>
      <c r="K32" s="29" t="e">
        <f ca="1"/>
        <v>#REF!</v>
      </c>
      <c r="L32" s="33" t="e">
        <f ca="1"/>
        <v>#REF!</v>
      </c>
      <c r="M32" s="25" t="e">
        <f ca="1"/>
        <v>#REF!</v>
      </c>
      <c r="N32" s="30" t="e">
        <f ca="1"/>
        <v>#REF!</v>
      </c>
      <c r="O32" s="31" t="e">
        <f ca="1"/>
        <v>#REF!</v>
      </c>
      <c r="P32" s="35" t="e">
        <f ca="1"/>
        <v>#REF!</v>
      </c>
      <c r="Q32" s="31" t="e">
        <f ca="1"/>
        <v>#REF!</v>
      </c>
      <c r="R32" s="31" t="e">
        <f ca="1"/>
        <v>#REF!</v>
      </c>
      <c r="S32" s="31" t="e">
        <f ca="1"/>
        <v>#REF!</v>
      </c>
      <c r="T32" s="31" t="e">
        <f ca="1"/>
        <v>#REF!</v>
      </c>
      <c r="U32" s="40" t="e">
        <f ca="1"/>
        <v>#REF!</v>
      </c>
      <c r="V32" s="31" t="e">
        <f ca="1"/>
        <v>#REF!</v>
      </c>
      <c r="W32" s="41" t="e">
        <f ca="1"/>
        <v>#REF!</v>
      </c>
      <c r="X32" s="41" t="e">
        <f ca="1"/>
        <v>#REF!</v>
      </c>
      <c r="Y32" s="41" t="e">
        <f ca="1"/>
        <v>#REF!</v>
      </c>
      <c r="Z32" s="29" t="e">
        <f ca="1"/>
        <v>#REF!</v>
      </c>
      <c r="AA32" s="34" t="e">
        <f ca="1"/>
        <v>#REF!</v>
      </c>
    </row>
    <row r="33" spans="1:27" s="28" customFormat="1" ht="11.25" x14ac:dyDescent="0.25">
      <c r="A33" s="24">
        <v>27</v>
      </c>
      <c r="B33" s="24"/>
      <c r="C33" s="25"/>
      <c r="D33" s="26"/>
      <c r="E33" s="25"/>
      <c r="F33" s="25"/>
      <c r="G33" s="24"/>
      <c r="H33" s="25" t="e">
        <f ca="1"/>
        <v>#REF!</v>
      </c>
      <c r="I33" s="27" t="e">
        <f ca="1"/>
        <v>#REF!</v>
      </c>
      <c r="J33" s="28" t="e">
        <f ca="1"/>
        <v>#REF!</v>
      </c>
      <c r="K33" s="29" t="e">
        <f ca="1"/>
        <v>#REF!</v>
      </c>
      <c r="L33" s="33" t="e">
        <f ca="1"/>
        <v>#REF!</v>
      </c>
      <c r="M33" s="25" t="e">
        <f ca="1"/>
        <v>#REF!</v>
      </c>
      <c r="N33" s="30" t="e">
        <f ca="1"/>
        <v>#REF!</v>
      </c>
      <c r="O33" s="31" t="e">
        <f ca="1"/>
        <v>#REF!</v>
      </c>
      <c r="P33" s="31" t="e">
        <f ca="1"/>
        <v>#REF!</v>
      </c>
      <c r="Q33" s="31" t="e">
        <f ca="1"/>
        <v>#REF!</v>
      </c>
      <c r="R33" s="31" t="e">
        <f ca="1"/>
        <v>#REF!</v>
      </c>
      <c r="S33" s="31" t="e">
        <f ca="1"/>
        <v>#REF!</v>
      </c>
      <c r="T33" s="40" t="e">
        <f ca="1"/>
        <v>#REF!</v>
      </c>
      <c r="U33" s="40" t="e">
        <f ca="1"/>
        <v>#REF!</v>
      </c>
      <c r="V33" s="31" t="e">
        <f ca="1"/>
        <v>#REF!</v>
      </c>
      <c r="W33" s="41" t="e">
        <f ca="1"/>
        <v>#REF!</v>
      </c>
      <c r="X33" s="41" t="e">
        <f ca="1"/>
        <v>#REF!</v>
      </c>
      <c r="Y33" s="41" t="e">
        <f ca="1"/>
        <v>#REF!</v>
      </c>
      <c r="Z33" s="29" t="e">
        <f ca="1"/>
        <v>#REF!</v>
      </c>
      <c r="AA33" s="34" t="e">
        <f ca="1"/>
        <v>#REF!</v>
      </c>
    </row>
    <row r="34" spans="1:27" s="28" customFormat="1" ht="11.25" x14ac:dyDescent="0.25">
      <c r="A34" s="24">
        <v>28</v>
      </c>
      <c r="B34" s="24"/>
      <c r="C34" s="25"/>
      <c r="D34" s="26"/>
      <c r="E34" s="25"/>
      <c r="F34" s="25"/>
      <c r="G34" s="24"/>
      <c r="H34" s="25" t="e">
        <f ca="1"/>
        <v>#REF!</v>
      </c>
      <c r="I34" s="27" t="e">
        <f ca="1"/>
        <v>#REF!</v>
      </c>
      <c r="J34" s="28" t="e">
        <f ca="1"/>
        <v>#REF!</v>
      </c>
      <c r="K34" s="29" t="e">
        <f ca="1"/>
        <v>#REF!</v>
      </c>
      <c r="L34" s="29" t="e">
        <f ca="1"/>
        <v>#REF!</v>
      </c>
      <c r="M34" s="25" t="e">
        <f ca="1"/>
        <v>#REF!</v>
      </c>
      <c r="N34" s="30" t="e">
        <f ca="1"/>
        <v>#REF!</v>
      </c>
      <c r="O34" s="31" t="e">
        <f ca="1"/>
        <v>#REF!</v>
      </c>
      <c r="P34" s="31" t="e">
        <f ca="1"/>
        <v>#REF!</v>
      </c>
      <c r="Q34" s="31" t="e">
        <f ca="1"/>
        <v>#REF!</v>
      </c>
      <c r="R34" s="31" t="e">
        <f ca="1"/>
        <v>#REF!</v>
      </c>
      <c r="S34" s="31" t="e">
        <f ca="1"/>
        <v>#REF!</v>
      </c>
      <c r="T34" s="31" t="e">
        <f ca="1"/>
        <v>#REF!</v>
      </c>
      <c r="U34" s="31" t="e">
        <f ca="1"/>
        <v>#REF!</v>
      </c>
      <c r="V34" s="31" t="e">
        <f ca="1"/>
        <v>#REF!</v>
      </c>
      <c r="W34" s="32" t="e">
        <f ca="1"/>
        <v>#REF!</v>
      </c>
      <c r="X34" s="32" t="e">
        <f ca="1"/>
        <v>#REF!</v>
      </c>
      <c r="Y34" s="32" t="e">
        <f ca="1"/>
        <v>#REF!</v>
      </c>
      <c r="Z34" s="33" t="e">
        <f ca="1"/>
        <v>#REF!</v>
      </c>
      <c r="AA34" s="34" t="e">
        <f ca="1"/>
        <v>#REF!</v>
      </c>
    </row>
    <row r="35" spans="1:27" s="28" customFormat="1" ht="11.25" x14ac:dyDescent="0.25">
      <c r="A35" s="24">
        <v>29</v>
      </c>
      <c r="B35" s="24"/>
      <c r="C35" s="25"/>
      <c r="D35" s="26"/>
      <c r="E35" s="25"/>
      <c r="F35" s="25"/>
      <c r="G35" s="24"/>
      <c r="H35" s="25" t="e">
        <f ca="1"/>
        <v>#REF!</v>
      </c>
      <c r="I35" s="27" t="e">
        <f ca="1"/>
        <v>#REF!</v>
      </c>
      <c r="J35" s="28" t="e">
        <f ca="1"/>
        <v>#REF!</v>
      </c>
      <c r="K35" s="29" t="e">
        <f ca="1"/>
        <v>#REF!</v>
      </c>
      <c r="L35" s="29" t="e">
        <f ca="1"/>
        <v>#REF!</v>
      </c>
      <c r="M35" s="25" t="e">
        <f ca="1"/>
        <v>#REF!</v>
      </c>
      <c r="N35" s="30" t="e">
        <f ca="1"/>
        <v>#REF!</v>
      </c>
      <c r="O35" s="31" t="e">
        <f ca="1"/>
        <v>#REF!</v>
      </c>
      <c r="P35" s="31" t="e">
        <f ca="1"/>
        <v>#REF!</v>
      </c>
      <c r="Q35" s="31" t="e">
        <f ca="1"/>
        <v>#REF!</v>
      </c>
      <c r="R35" s="31" t="e">
        <f ca="1"/>
        <v>#REF!</v>
      </c>
      <c r="S35" s="31" t="e">
        <f ca="1"/>
        <v>#REF!</v>
      </c>
      <c r="T35" s="31" t="e">
        <f ca="1"/>
        <v>#REF!</v>
      </c>
      <c r="U35" s="31" t="e">
        <f ca="1"/>
        <v>#REF!</v>
      </c>
      <c r="V35" s="31" t="e">
        <f ca="1"/>
        <v>#REF!</v>
      </c>
      <c r="W35" s="32" t="e">
        <f ca="1"/>
        <v>#REF!</v>
      </c>
      <c r="X35" s="32" t="e">
        <f ca="1"/>
        <v>#REF!</v>
      </c>
      <c r="Y35" s="32" t="e">
        <f ca="1"/>
        <v>#REF!</v>
      </c>
      <c r="Z35" s="33" t="e">
        <f ca="1"/>
        <v>#REF!</v>
      </c>
      <c r="AA35" s="34" t="e">
        <f ca="1"/>
        <v>#REF!</v>
      </c>
    </row>
    <row r="36" spans="1:27" s="28" customFormat="1" ht="11.25" x14ac:dyDescent="0.25">
      <c r="A36" s="24">
        <v>30</v>
      </c>
      <c r="B36" s="24"/>
      <c r="C36" s="25"/>
      <c r="D36" s="26"/>
      <c r="E36" s="25"/>
      <c r="F36" s="25"/>
      <c r="G36" s="24"/>
      <c r="H36" s="25" t="e">
        <f ca="1"/>
        <v>#REF!</v>
      </c>
      <c r="I36" s="27" t="e">
        <f ca="1"/>
        <v>#REF!</v>
      </c>
      <c r="J36" s="28" t="e">
        <f ca="1"/>
        <v>#REF!</v>
      </c>
      <c r="K36" s="29" t="e">
        <f ca="1"/>
        <v>#REF!</v>
      </c>
      <c r="L36" s="33" t="e">
        <f ca="1"/>
        <v>#REF!</v>
      </c>
      <c r="M36" s="36" t="e">
        <f ca="1"/>
        <v>#REF!</v>
      </c>
      <c r="N36" s="39" t="e">
        <f ca="1"/>
        <v>#REF!</v>
      </c>
      <c r="O36" s="42" t="e">
        <f ca="1"/>
        <v>#REF!</v>
      </c>
      <c r="P36" s="42" t="e">
        <f ca="1"/>
        <v>#REF!</v>
      </c>
      <c r="Q36" s="35" t="e">
        <f ca="1"/>
        <v>#REF!</v>
      </c>
      <c r="R36" s="35" t="e">
        <f ca="1"/>
        <v>#REF!</v>
      </c>
      <c r="S36" s="35" t="e">
        <f ca="1"/>
        <v>#REF!</v>
      </c>
      <c r="T36" s="42" t="e">
        <f ca="1"/>
        <v>#REF!</v>
      </c>
      <c r="U36" s="42" t="e">
        <f ca="1"/>
        <v>#REF!</v>
      </c>
      <c r="V36" s="31" t="e">
        <f ca="1"/>
        <v>#REF!</v>
      </c>
      <c r="W36" s="41" t="e">
        <f ca="1"/>
        <v>#REF!</v>
      </c>
      <c r="X36" s="41" t="e">
        <f ca="1"/>
        <v>#REF!</v>
      </c>
      <c r="Y36" s="41" t="e">
        <f ca="1"/>
        <v>#REF!</v>
      </c>
      <c r="Z36" s="29" t="e">
        <f ca="1"/>
        <v>#REF!</v>
      </c>
      <c r="AA36" s="34" t="e">
        <f ca="1"/>
        <v>#REF!</v>
      </c>
    </row>
    <row r="37" spans="1:27" s="28" customFormat="1" ht="36" customHeight="1" x14ac:dyDescent="0.25">
      <c r="A37" s="24">
        <v>31</v>
      </c>
      <c r="B37" s="24"/>
      <c r="C37" s="25"/>
      <c r="D37" s="26"/>
      <c r="E37" s="25"/>
      <c r="F37" s="25"/>
      <c r="G37" s="24"/>
      <c r="H37" s="25" t="e">
        <f ca="1"/>
        <v>#REF!</v>
      </c>
      <c r="I37" s="27" t="e">
        <f ca="1"/>
        <v>#REF!</v>
      </c>
      <c r="J37" s="28" t="e">
        <f ca="1"/>
        <v>#REF!</v>
      </c>
      <c r="K37" s="29" t="e">
        <f ca="1"/>
        <v>#REF!</v>
      </c>
      <c r="L37" s="43" t="e">
        <f ca="1"/>
        <v>#REF!</v>
      </c>
      <c r="M37" s="36" t="e">
        <f ca="1"/>
        <v>#REF!</v>
      </c>
      <c r="N37" s="39" t="e">
        <f ca="1"/>
        <v>#REF!</v>
      </c>
      <c r="O37" s="31" t="e">
        <f ca="1"/>
        <v>#REF!</v>
      </c>
      <c r="P37" s="35" t="e">
        <f ca="1"/>
        <v>#REF!</v>
      </c>
      <c r="Q37" s="35" t="e">
        <f ca="1"/>
        <v>#REF!</v>
      </c>
      <c r="R37" s="35" t="e">
        <f ca="1"/>
        <v>#REF!</v>
      </c>
      <c r="S37" s="35" t="e">
        <f ca="1"/>
        <v>#REF!</v>
      </c>
      <c r="T37" s="40" t="e">
        <f ca="1"/>
        <v>#REF!</v>
      </c>
      <c r="U37" s="42" t="e">
        <f ca="1"/>
        <v>#REF!</v>
      </c>
      <c r="V37" s="31" t="e">
        <f ca="1"/>
        <v>#REF!</v>
      </c>
      <c r="W37" s="41" t="e">
        <f ca="1"/>
        <v>#REF!</v>
      </c>
      <c r="X37" s="41" t="e">
        <f ca="1"/>
        <v>#REF!</v>
      </c>
      <c r="Y37" s="41" t="e">
        <f ca="1"/>
        <v>#REF!</v>
      </c>
      <c r="Z37" s="29" t="e">
        <f ca="1"/>
        <v>#REF!</v>
      </c>
      <c r="AA37" s="34" t="e">
        <f ca="1"/>
        <v>#REF!</v>
      </c>
    </row>
    <row r="38" spans="1:27" s="28" customFormat="1" ht="33.75" customHeight="1" x14ac:dyDescent="0.25">
      <c r="A38" s="24">
        <v>32</v>
      </c>
      <c r="B38" s="24"/>
      <c r="C38" s="25"/>
      <c r="D38" s="26"/>
      <c r="E38" s="25"/>
      <c r="F38" s="25"/>
      <c r="G38" s="24"/>
      <c r="H38" s="25" t="e">
        <f ca="1"/>
        <v>#REF!</v>
      </c>
      <c r="I38" s="27" t="e">
        <f ca="1"/>
        <v>#REF!</v>
      </c>
      <c r="J38" s="28" t="e">
        <f ca="1"/>
        <v>#REF!</v>
      </c>
      <c r="K38" s="29" t="e">
        <f ca="1"/>
        <v>#REF!</v>
      </c>
      <c r="L38" s="38" t="e">
        <f ca="1"/>
        <v>#REF!</v>
      </c>
      <c r="M38" s="44" t="e">
        <f ca="1"/>
        <v>#REF!</v>
      </c>
      <c r="N38" s="39" t="e">
        <f ca="1"/>
        <v>#REF!</v>
      </c>
      <c r="O38" s="31" t="e">
        <f ca="1"/>
        <v>#REF!</v>
      </c>
      <c r="P38" s="35" t="e">
        <f ca="1"/>
        <v>#REF!</v>
      </c>
      <c r="Q38" s="35" t="e">
        <f ca="1"/>
        <v>#REF!</v>
      </c>
      <c r="R38" s="35" t="e">
        <f ca="1"/>
        <v>#REF!</v>
      </c>
      <c r="S38" s="35" t="e">
        <f ca="1"/>
        <v>#REF!</v>
      </c>
      <c r="T38" s="40" t="e">
        <f ca="1"/>
        <v>#REF!</v>
      </c>
      <c r="U38" s="42" t="e">
        <f ca="1"/>
        <v>#REF!</v>
      </c>
      <c r="V38" s="31" t="e">
        <f ca="1"/>
        <v>#REF!</v>
      </c>
      <c r="W38" s="41" t="e">
        <f ca="1"/>
        <v>#REF!</v>
      </c>
      <c r="X38" s="41" t="e">
        <f ca="1"/>
        <v>#REF!</v>
      </c>
      <c r="Y38" s="41" t="e">
        <f ca="1"/>
        <v>#REF!</v>
      </c>
      <c r="Z38" s="29" t="e">
        <f ca="1"/>
        <v>#REF!</v>
      </c>
      <c r="AA38" s="34" t="e">
        <f ca="1"/>
        <v>#REF!</v>
      </c>
    </row>
    <row r="39" spans="1:27" s="28" customFormat="1" ht="11.25" x14ac:dyDescent="0.25">
      <c r="A39" s="24">
        <v>33</v>
      </c>
      <c r="B39" s="24"/>
      <c r="C39" s="25"/>
      <c r="D39" s="26"/>
      <c r="E39" s="25"/>
      <c r="F39" s="25"/>
      <c r="G39" s="24"/>
      <c r="H39" s="25" t="e">
        <f ca="1"/>
        <v>#REF!</v>
      </c>
      <c r="I39" s="27" t="e">
        <f ca="1"/>
        <v>#REF!</v>
      </c>
      <c r="J39" s="28" t="e">
        <f ca="1"/>
        <v>#REF!</v>
      </c>
      <c r="K39" s="29" t="e">
        <f ca="1"/>
        <v>#REF!</v>
      </c>
      <c r="L39" s="29" t="e">
        <f ca="1"/>
        <v>#REF!</v>
      </c>
      <c r="M39" s="25" t="e">
        <f ca="1"/>
        <v>#REF!</v>
      </c>
      <c r="N39" s="30" t="e">
        <f ca="1"/>
        <v>#REF!</v>
      </c>
      <c r="O39" s="31" t="e">
        <f ca="1"/>
        <v>#REF!</v>
      </c>
      <c r="P39" s="31" t="e">
        <f ca="1"/>
        <v>#REF!</v>
      </c>
      <c r="Q39" s="31" t="e">
        <f ca="1"/>
        <v>#REF!</v>
      </c>
      <c r="R39" s="31" t="e">
        <f ca="1"/>
        <v>#REF!</v>
      </c>
      <c r="S39" s="31" t="e">
        <f ca="1"/>
        <v>#REF!</v>
      </c>
      <c r="T39" s="31" t="e">
        <f ca="1"/>
        <v>#REF!</v>
      </c>
      <c r="U39" s="31" t="e">
        <f ca="1"/>
        <v>#REF!</v>
      </c>
      <c r="V39" s="31" t="e">
        <f ca="1"/>
        <v>#REF!</v>
      </c>
      <c r="W39" s="32" t="e">
        <f ca="1"/>
        <v>#REF!</v>
      </c>
      <c r="X39" s="32" t="e">
        <f ca="1"/>
        <v>#REF!</v>
      </c>
      <c r="Y39" s="32" t="e">
        <f ca="1"/>
        <v>#REF!</v>
      </c>
      <c r="Z39" s="33" t="e">
        <f ca="1"/>
        <v>#REF!</v>
      </c>
      <c r="AA39" s="34" t="e">
        <f ca="1"/>
        <v>#REF!</v>
      </c>
    </row>
    <row r="40" spans="1:27" s="28" customFormat="1" ht="11.25" x14ac:dyDescent="0.25">
      <c r="A40" s="24">
        <v>34</v>
      </c>
      <c r="B40" s="24"/>
      <c r="C40" s="25"/>
      <c r="D40" s="26"/>
      <c r="E40" s="25"/>
      <c r="F40" s="25"/>
      <c r="G40" s="24"/>
      <c r="H40" s="25" t="e">
        <f ca="1"/>
        <v>#REF!</v>
      </c>
      <c r="I40" s="27" t="e">
        <f ca="1"/>
        <v>#REF!</v>
      </c>
      <c r="J40" s="28" t="e">
        <f ca="1"/>
        <v>#REF!</v>
      </c>
      <c r="K40" s="29" t="e">
        <f ca="1"/>
        <v>#REF!</v>
      </c>
      <c r="L40" s="29" t="e">
        <f ca="1"/>
        <v>#REF!</v>
      </c>
      <c r="M40" s="25" t="e">
        <f ca="1"/>
        <v>#REF!</v>
      </c>
      <c r="N40" s="30" t="e">
        <f ca="1"/>
        <v>#REF!</v>
      </c>
      <c r="O40" s="31" t="e">
        <f ca="1"/>
        <v>#REF!</v>
      </c>
      <c r="P40" s="31" t="e">
        <f ca="1"/>
        <v>#REF!</v>
      </c>
      <c r="Q40" s="31" t="e">
        <f ca="1"/>
        <v>#REF!</v>
      </c>
      <c r="R40" s="31" t="e">
        <f ca="1"/>
        <v>#REF!</v>
      </c>
      <c r="S40" s="31" t="e">
        <f ca="1"/>
        <v>#REF!</v>
      </c>
      <c r="T40" s="31" t="e">
        <f ca="1"/>
        <v>#REF!</v>
      </c>
      <c r="U40" s="31" t="e">
        <f ca="1"/>
        <v>#REF!</v>
      </c>
      <c r="V40" s="31" t="e">
        <f ca="1"/>
        <v>#REF!</v>
      </c>
      <c r="W40" s="32" t="e">
        <f ca="1"/>
        <v>#REF!</v>
      </c>
      <c r="X40" s="32" t="e">
        <f ca="1"/>
        <v>#REF!</v>
      </c>
      <c r="Y40" s="32" t="e">
        <f ca="1"/>
        <v>#REF!</v>
      </c>
      <c r="Z40" s="33" t="e">
        <f ca="1"/>
        <v>#REF!</v>
      </c>
      <c r="AA40" s="34" t="e">
        <f ca="1"/>
        <v>#REF!</v>
      </c>
    </row>
    <row r="41" spans="1:27" s="28" customFormat="1" ht="11.25" x14ac:dyDescent="0.25">
      <c r="A41" s="24">
        <v>35</v>
      </c>
      <c r="B41" s="24"/>
      <c r="C41" s="25"/>
      <c r="D41" s="26"/>
      <c r="E41" s="25"/>
      <c r="F41" s="25"/>
      <c r="G41" s="24"/>
      <c r="H41" s="25" t="e">
        <f ca="1"/>
        <v>#REF!</v>
      </c>
      <c r="I41" s="27" t="e">
        <f ca="1"/>
        <v>#REF!</v>
      </c>
      <c r="J41" s="28" t="e">
        <f ca="1"/>
        <v>#REF!</v>
      </c>
      <c r="K41" s="29" t="e">
        <f ca="1"/>
        <v>#REF!</v>
      </c>
      <c r="L41" s="29" t="e">
        <f ca="1"/>
        <v>#REF!</v>
      </c>
      <c r="M41" s="25" t="e">
        <f ca="1"/>
        <v>#REF!</v>
      </c>
      <c r="N41" s="30" t="e">
        <f ca="1"/>
        <v>#REF!</v>
      </c>
      <c r="O41" s="31" t="e">
        <f ca="1"/>
        <v>#REF!</v>
      </c>
      <c r="P41" s="31" t="e">
        <f ca="1"/>
        <v>#REF!</v>
      </c>
      <c r="Q41" s="31" t="e">
        <f ca="1"/>
        <v>#REF!</v>
      </c>
      <c r="R41" s="31" t="e">
        <f ca="1"/>
        <v>#REF!</v>
      </c>
      <c r="S41" s="31" t="e">
        <f ca="1"/>
        <v>#REF!</v>
      </c>
      <c r="T41" s="31" t="e">
        <f ca="1"/>
        <v>#REF!</v>
      </c>
      <c r="U41" s="31" t="e">
        <f ca="1"/>
        <v>#REF!</v>
      </c>
      <c r="V41" s="31" t="e">
        <f ca="1"/>
        <v>#REF!</v>
      </c>
      <c r="W41" s="32" t="e">
        <f ca="1"/>
        <v>#REF!</v>
      </c>
      <c r="X41" s="32" t="e">
        <f ca="1"/>
        <v>#REF!</v>
      </c>
      <c r="Y41" s="32" t="e">
        <f ca="1"/>
        <v>#REF!</v>
      </c>
      <c r="Z41" s="33" t="e">
        <f ca="1"/>
        <v>#REF!</v>
      </c>
      <c r="AA41" s="34" t="e">
        <f ca="1"/>
        <v>#REF!</v>
      </c>
    </row>
    <row r="42" spans="1:27" s="28" customFormat="1" ht="11.25" x14ac:dyDescent="0.25">
      <c r="A42" s="24">
        <v>36</v>
      </c>
      <c r="B42" s="24"/>
      <c r="C42" s="25"/>
      <c r="D42" s="26"/>
      <c r="E42" s="25"/>
      <c r="F42" s="25"/>
      <c r="G42" s="24"/>
      <c r="H42" s="25" t="e">
        <f ca="1"/>
        <v>#REF!</v>
      </c>
      <c r="I42" s="27" t="e">
        <f ca="1"/>
        <v>#REF!</v>
      </c>
      <c r="J42" s="28" t="e">
        <f ca="1"/>
        <v>#REF!</v>
      </c>
      <c r="K42" s="29" t="e">
        <f ca="1"/>
        <v>#REF!</v>
      </c>
      <c r="L42" s="33" t="e">
        <f ca="1"/>
        <v>#REF!</v>
      </c>
      <c r="M42" s="25" t="e">
        <f ca="1"/>
        <v>#REF!</v>
      </c>
      <c r="N42" s="30" t="e">
        <f ca="1"/>
        <v>#REF!</v>
      </c>
      <c r="O42" s="31" t="e">
        <f ca="1"/>
        <v>#REF!</v>
      </c>
      <c r="P42" s="31" t="e">
        <f ca="1"/>
        <v>#REF!</v>
      </c>
      <c r="Q42" s="31" t="e">
        <f ca="1"/>
        <v>#REF!</v>
      </c>
      <c r="R42" s="31" t="e">
        <f ca="1"/>
        <v>#REF!</v>
      </c>
      <c r="S42" s="31" t="e">
        <f ca="1"/>
        <v>#REF!</v>
      </c>
      <c r="T42" s="40" t="e">
        <f ca="1"/>
        <v>#REF!</v>
      </c>
      <c r="U42" s="42" t="e">
        <f ca="1"/>
        <v>#REF!</v>
      </c>
      <c r="V42" s="31" t="e">
        <f ca="1"/>
        <v>#REF!</v>
      </c>
      <c r="W42" s="41" t="e">
        <f ca="1"/>
        <v>#REF!</v>
      </c>
      <c r="X42" s="41" t="e">
        <f ca="1"/>
        <v>#REF!</v>
      </c>
      <c r="Y42" s="41" t="e">
        <f ca="1"/>
        <v>#REF!</v>
      </c>
      <c r="Z42" s="45" t="e">
        <f ca="1"/>
        <v>#REF!</v>
      </c>
      <c r="AA42" s="34" t="e">
        <f ca="1"/>
        <v>#REF!</v>
      </c>
    </row>
    <row r="43" spans="1:27" s="28" customFormat="1" ht="11.25" x14ac:dyDescent="0.25">
      <c r="A43" s="24">
        <v>37</v>
      </c>
      <c r="B43" s="24"/>
      <c r="C43" s="25"/>
      <c r="D43" s="26"/>
      <c r="E43" s="25"/>
      <c r="F43" s="25"/>
      <c r="G43" s="24"/>
      <c r="H43" s="25" t="e">
        <f ca="1"/>
        <v>#REF!</v>
      </c>
      <c r="I43" s="27" t="e">
        <f ca="1"/>
        <v>#REF!</v>
      </c>
      <c r="J43" s="28" t="e">
        <f ca="1"/>
        <v>#REF!</v>
      </c>
      <c r="K43" s="29" t="e">
        <f ca="1"/>
        <v>#REF!</v>
      </c>
      <c r="L43" s="33" t="e">
        <f ca="1"/>
        <v>#REF!</v>
      </c>
      <c r="M43" s="25" t="e">
        <f ca="1"/>
        <v>#REF!</v>
      </c>
      <c r="N43" s="30" t="e">
        <f ca="1"/>
        <v>#REF!</v>
      </c>
      <c r="O43" s="31" t="e">
        <f ca="1"/>
        <v>#REF!</v>
      </c>
      <c r="P43" s="31" t="e">
        <f ca="1"/>
        <v>#REF!</v>
      </c>
      <c r="Q43" s="31" t="e">
        <f ca="1"/>
        <v>#REF!</v>
      </c>
      <c r="R43" s="31" t="e">
        <f ca="1"/>
        <v>#REF!</v>
      </c>
      <c r="S43" s="31" t="e">
        <f ca="1"/>
        <v>#REF!</v>
      </c>
      <c r="T43" s="40" t="e">
        <f ca="1"/>
        <v>#REF!</v>
      </c>
      <c r="U43" s="42" t="e">
        <f ca="1"/>
        <v>#REF!</v>
      </c>
      <c r="V43" s="31" t="e">
        <f ca="1"/>
        <v>#REF!</v>
      </c>
      <c r="W43" s="41" t="e">
        <f ca="1"/>
        <v>#REF!</v>
      </c>
      <c r="X43" s="41" t="e">
        <f ca="1"/>
        <v>#REF!</v>
      </c>
      <c r="Y43" s="41" t="e">
        <f ca="1"/>
        <v>#REF!</v>
      </c>
      <c r="Z43" s="45" t="e">
        <f ca="1"/>
        <v>#REF!</v>
      </c>
      <c r="AA43" s="34" t="e">
        <f ca="1"/>
        <v>#REF!</v>
      </c>
    </row>
    <row r="44" spans="1:27" s="28" customFormat="1" ht="11.25" x14ac:dyDescent="0.25">
      <c r="A44" s="24">
        <v>38</v>
      </c>
      <c r="B44" s="24"/>
      <c r="C44" s="25"/>
      <c r="D44" s="26"/>
      <c r="E44" s="25"/>
      <c r="F44" s="25"/>
      <c r="G44" s="24"/>
      <c r="H44" s="25" t="e">
        <f ca="1"/>
        <v>#REF!</v>
      </c>
      <c r="I44" s="27" t="e">
        <f ca="1"/>
        <v>#REF!</v>
      </c>
      <c r="J44" s="28" t="e">
        <f ca="1"/>
        <v>#REF!</v>
      </c>
      <c r="K44" s="29" t="e">
        <f ca="1"/>
        <v>#REF!</v>
      </c>
      <c r="L44" s="33" t="e">
        <f ca="1"/>
        <v>#REF!</v>
      </c>
      <c r="M44" s="25" t="e">
        <f ca="1"/>
        <v>#REF!</v>
      </c>
      <c r="N44" s="30" t="e">
        <f ca="1"/>
        <v>#REF!</v>
      </c>
      <c r="O44" s="31" t="e">
        <f ca="1"/>
        <v>#REF!</v>
      </c>
      <c r="P44" s="31" t="e">
        <f ca="1"/>
        <v>#REF!</v>
      </c>
      <c r="Q44" s="31" t="e">
        <f ca="1"/>
        <v>#REF!</v>
      </c>
      <c r="R44" s="31" t="e">
        <f ca="1"/>
        <v>#REF!</v>
      </c>
      <c r="S44" s="31" t="e">
        <f ca="1"/>
        <v>#REF!</v>
      </c>
      <c r="T44" s="40" t="e">
        <f ca="1"/>
        <v>#REF!</v>
      </c>
      <c r="U44" s="42" t="e">
        <f ca="1"/>
        <v>#REF!</v>
      </c>
      <c r="V44" s="31" t="e">
        <f ca="1"/>
        <v>#REF!</v>
      </c>
      <c r="W44" s="41" t="e">
        <f ca="1"/>
        <v>#REF!</v>
      </c>
      <c r="X44" s="41" t="e">
        <f ca="1"/>
        <v>#REF!</v>
      </c>
      <c r="Y44" s="41" t="e">
        <f ca="1"/>
        <v>#REF!</v>
      </c>
      <c r="Z44" s="45" t="e">
        <f ca="1"/>
        <v>#REF!</v>
      </c>
      <c r="AA44" s="34" t="e">
        <f ca="1"/>
        <v>#REF!</v>
      </c>
    </row>
    <row r="45" spans="1:27" s="28" customFormat="1" ht="11.25" x14ac:dyDescent="0.25">
      <c r="A45" s="24">
        <v>39</v>
      </c>
      <c r="B45" s="24"/>
      <c r="C45" s="25"/>
      <c r="D45" s="26"/>
      <c r="E45" s="25"/>
      <c r="F45" s="25"/>
      <c r="G45" s="24"/>
      <c r="H45" s="25" t="e">
        <f ca="1"/>
        <v>#REF!</v>
      </c>
      <c r="I45" s="27" t="e">
        <f ca="1"/>
        <v>#REF!</v>
      </c>
      <c r="J45" s="28" t="e">
        <f ca="1"/>
        <v>#REF!</v>
      </c>
      <c r="K45" s="29" t="e">
        <f ca="1"/>
        <v>#REF!</v>
      </c>
      <c r="L45" s="33" t="e">
        <f ca="1"/>
        <v>#REF!</v>
      </c>
      <c r="M45" s="25" t="e">
        <f ca="1"/>
        <v>#REF!</v>
      </c>
      <c r="N45" s="30" t="e">
        <f ca="1"/>
        <v>#REF!</v>
      </c>
      <c r="O45" s="31" t="e">
        <f ca="1"/>
        <v>#REF!</v>
      </c>
      <c r="P45" s="31" t="e">
        <f ca="1"/>
        <v>#REF!</v>
      </c>
      <c r="Q45" s="31" t="e">
        <f ca="1"/>
        <v>#REF!</v>
      </c>
      <c r="R45" s="31" t="e">
        <f ca="1"/>
        <v>#REF!</v>
      </c>
      <c r="S45" s="31" t="e">
        <f ca="1"/>
        <v>#REF!</v>
      </c>
      <c r="T45" s="40" t="e">
        <f ca="1"/>
        <v>#REF!</v>
      </c>
      <c r="U45" s="42" t="e">
        <f ca="1"/>
        <v>#REF!</v>
      </c>
      <c r="V45" s="31" t="e">
        <f ca="1"/>
        <v>#REF!</v>
      </c>
      <c r="W45" s="41" t="e">
        <f ca="1"/>
        <v>#REF!</v>
      </c>
      <c r="X45" s="41" t="e">
        <f ca="1"/>
        <v>#REF!</v>
      </c>
      <c r="Y45" s="41" t="e">
        <f ca="1"/>
        <v>#REF!</v>
      </c>
      <c r="Z45" s="29" t="e">
        <f ca="1"/>
        <v>#REF!</v>
      </c>
      <c r="AA45" s="34" t="e">
        <f ca="1"/>
        <v>#REF!</v>
      </c>
    </row>
    <row r="46" spans="1:27" s="28" customFormat="1" ht="11.25" x14ac:dyDescent="0.25">
      <c r="A46" s="24">
        <v>40</v>
      </c>
      <c r="B46" s="24"/>
      <c r="C46" s="25"/>
      <c r="D46" s="26"/>
      <c r="E46" s="25"/>
      <c r="F46" s="25"/>
      <c r="G46" s="24"/>
      <c r="H46" s="25" t="e">
        <f ca="1"/>
        <v>#REF!</v>
      </c>
      <c r="I46" s="27" t="e">
        <f ca="1"/>
        <v>#REF!</v>
      </c>
      <c r="J46" s="28" t="e">
        <f ca="1"/>
        <v>#REF!</v>
      </c>
      <c r="K46" s="29" t="e">
        <f ca="1"/>
        <v>#REF!</v>
      </c>
      <c r="L46" s="33" t="e">
        <f ca="1"/>
        <v>#REF!</v>
      </c>
      <c r="M46" s="25" t="e">
        <f ca="1"/>
        <v>#REF!</v>
      </c>
      <c r="N46" s="30" t="e">
        <f ca="1"/>
        <v>#REF!</v>
      </c>
      <c r="O46" s="31" t="e">
        <f ca="1"/>
        <v>#REF!</v>
      </c>
      <c r="P46" s="31" t="e">
        <f ca="1"/>
        <v>#REF!</v>
      </c>
      <c r="Q46" s="31" t="e">
        <f ca="1"/>
        <v>#REF!</v>
      </c>
      <c r="R46" s="31" t="e">
        <f ca="1"/>
        <v>#REF!</v>
      </c>
      <c r="S46" s="31" t="e">
        <f ca="1"/>
        <v>#REF!</v>
      </c>
      <c r="T46" s="40" t="e">
        <f ca="1"/>
        <v>#REF!</v>
      </c>
      <c r="U46" s="42" t="e">
        <f ca="1"/>
        <v>#REF!</v>
      </c>
      <c r="V46" s="31" t="e">
        <f ca="1"/>
        <v>#REF!</v>
      </c>
      <c r="W46" s="41" t="e">
        <f ca="1"/>
        <v>#REF!</v>
      </c>
      <c r="X46" s="41" t="e">
        <f ca="1"/>
        <v>#REF!</v>
      </c>
      <c r="Y46" s="41" t="e">
        <f ca="1"/>
        <v>#REF!</v>
      </c>
      <c r="Z46" s="29" t="e">
        <f ca="1"/>
        <v>#REF!</v>
      </c>
      <c r="AA46" s="34" t="e">
        <f ca="1"/>
        <v>#REF!</v>
      </c>
    </row>
    <row r="47" spans="1:27" s="28" customFormat="1" ht="32.25" customHeight="1" x14ac:dyDescent="0.25">
      <c r="A47" s="24">
        <v>41</v>
      </c>
      <c r="B47" s="24"/>
      <c r="C47" s="25"/>
      <c r="D47" s="26"/>
      <c r="E47" s="25"/>
      <c r="F47" s="25"/>
      <c r="G47" s="24"/>
      <c r="H47" s="25" t="e">
        <f ca="1"/>
        <v>#REF!</v>
      </c>
      <c r="I47" s="27" t="e">
        <f ca="1"/>
        <v>#REF!</v>
      </c>
      <c r="J47" s="28" t="e">
        <f ca="1"/>
        <v>#REF!</v>
      </c>
      <c r="K47" s="29" t="e">
        <f ca="1"/>
        <v>#REF!</v>
      </c>
      <c r="L47" s="33" t="e">
        <f ca="1"/>
        <v>#REF!</v>
      </c>
      <c r="M47" s="25" t="e">
        <f ca="1"/>
        <v>#REF!</v>
      </c>
      <c r="N47" s="30" t="e">
        <f ca="1"/>
        <v>#REF!</v>
      </c>
      <c r="O47" s="31" t="e">
        <f ca="1"/>
        <v>#REF!</v>
      </c>
      <c r="P47" s="31" t="e">
        <f ca="1"/>
        <v>#REF!</v>
      </c>
      <c r="Q47" s="31" t="e">
        <f ca="1"/>
        <v>#REF!</v>
      </c>
      <c r="R47" s="31" t="e">
        <f ca="1"/>
        <v>#REF!</v>
      </c>
      <c r="S47" s="31" t="e">
        <f ca="1"/>
        <v>#REF!</v>
      </c>
      <c r="T47" s="40" t="e">
        <f ca="1"/>
        <v>#REF!</v>
      </c>
      <c r="U47" s="42" t="e">
        <f ca="1"/>
        <v>#REF!</v>
      </c>
      <c r="V47" s="31" t="e">
        <f ca="1"/>
        <v>#REF!</v>
      </c>
      <c r="W47" s="32" t="e">
        <f ca="1"/>
        <v>#REF!</v>
      </c>
      <c r="X47" s="41" t="e">
        <f ca="1"/>
        <v>#REF!</v>
      </c>
      <c r="Y47" s="41" t="e">
        <f ca="1"/>
        <v>#REF!</v>
      </c>
      <c r="Z47" s="29" t="e">
        <f ca="1"/>
        <v>#REF!</v>
      </c>
      <c r="AA47" s="34" t="e">
        <f ca="1"/>
        <v>#REF!</v>
      </c>
    </row>
    <row r="48" spans="1:27" s="28" customFormat="1" ht="11.25" x14ac:dyDescent="0.25">
      <c r="A48" s="24">
        <v>42</v>
      </c>
      <c r="B48" s="24"/>
      <c r="C48" s="25"/>
      <c r="D48" s="26"/>
      <c r="E48" s="25"/>
      <c r="F48" s="25"/>
      <c r="G48" s="24"/>
      <c r="H48" s="25" t="e">
        <f ca="1"/>
        <v>#REF!</v>
      </c>
      <c r="I48" s="27" t="e">
        <f ca="1"/>
        <v>#REF!</v>
      </c>
      <c r="J48" s="28" t="e">
        <f ca="1"/>
        <v>#REF!</v>
      </c>
      <c r="K48" s="29" t="e">
        <f ca="1"/>
        <v>#REF!</v>
      </c>
      <c r="L48" s="33" t="e">
        <f ca="1"/>
        <v>#REF!</v>
      </c>
      <c r="M48" s="36" t="e">
        <f ca="1"/>
        <v>#REF!</v>
      </c>
      <c r="N48" s="39" t="e">
        <f ca="1"/>
        <v>#REF!</v>
      </c>
      <c r="O48" s="31" t="e">
        <f ca="1"/>
        <v>#REF!</v>
      </c>
      <c r="P48" s="35" t="e">
        <f ca="1"/>
        <v>#REF!</v>
      </c>
      <c r="Q48" s="35" t="e">
        <f ca="1"/>
        <v>#REF!</v>
      </c>
      <c r="R48" s="35" t="e">
        <f ca="1"/>
        <v>#REF!</v>
      </c>
      <c r="S48" s="35" t="e">
        <f ca="1"/>
        <v>#REF!</v>
      </c>
      <c r="T48" s="40" t="e">
        <f ca="1"/>
        <v>#REF!</v>
      </c>
      <c r="U48" s="42" t="e">
        <f ca="1"/>
        <v>#REF!</v>
      </c>
      <c r="V48" s="31" t="e">
        <f ca="1"/>
        <v>#REF!</v>
      </c>
      <c r="W48" s="41" t="e">
        <f ca="1"/>
        <v>#REF!</v>
      </c>
      <c r="X48" s="41" t="e">
        <f ca="1"/>
        <v>#REF!</v>
      </c>
      <c r="Y48" s="41" t="e">
        <f ca="1"/>
        <v>#REF!</v>
      </c>
      <c r="Z48" s="29" t="e">
        <f ca="1"/>
        <v>#REF!</v>
      </c>
      <c r="AA48" s="34" t="e">
        <f ca="1"/>
        <v>#REF!</v>
      </c>
    </row>
    <row r="49" spans="1:27" s="28" customFormat="1" ht="60" customHeight="1" x14ac:dyDescent="0.25">
      <c r="A49" s="24">
        <v>43</v>
      </c>
      <c r="B49" s="24"/>
      <c r="C49" s="25"/>
      <c r="D49" s="26"/>
      <c r="E49" s="25"/>
      <c r="F49" s="25"/>
      <c r="G49" s="24"/>
      <c r="H49" s="25" t="e">
        <f ca="1"/>
        <v>#REF!</v>
      </c>
      <c r="I49" s="27" t="e">
        <f ca="1"/>
        <v>#REF!</v>
      </c>
      <c r="J49" s="28" t="e">
        <f ca="1"/>
        <v>#REF!</v>
      </c>
      <c r="K49" s="29" t="e">
        <f ca="1"/>
        <v>#REF!</v>
      </c>
      <c r="L49" s="29" t="e">
        <f ca="1"/>
        <v>#REF!</v>
      </c>
      <c r="M49" s="25" t="e">
        <f ca="1"/>
        <v>#REF!</v>
      </c>
      <c r="N49" s="30" t="e">
        <f ca="1"/>
        <v>#REF!</v>
      </c>
      <c r="O49" s="31" t="e">
        <f ca="1"/>
        <v>#REF!</v>
      </c>
      <c r="P49" s="31" t="e">
        <f ca="1"/>
        <v>#REF!</v>
      </c>
      <c r="Q49" s="31" t="e">
        <f ca="1"/>
        <v>#REF!</v>
      </c>
      <c r="R49" s="31" t="e">
        <f ca="1"/>
        <v>#REF!</v>
      </c>
      <c r="S49" s="31" t="e">
        <f ca="1"/>
        <v>#REF!</v>
      </c>
      <c r="T49" s="31" t="e">
        <f ca="1"/>
        <v>#REF!</v>
      </c>
      <c r="U49" s="31" t="e">
        <f ca="1"/>
        <v>#REF!</v>
      </c>
      <c r="V49" s="31" t="e">
        <f ca="1"/>
        <v>#REF!</v>
      </c>
      <c r="W49" s="32" t="e">
        <f ca="1"/>
        <v>#REF!</v>
      </c>
      <c r="X49" s="32" t="e">
        <f ca="1"/>
        <v>#REF!</v>
      </c>
      <c r="Y49" s="32" t="e">
        <f ca="1"/>
        <v>#REF!</v>
      </c>
      <c r="Z49" s="33" t="e">
        <f ca="1"/>
        <v>#REF!</v>
      </c>
      <c r="AA49" s="34" t="e">
        <f ca="1"/>
        <v>#REF!</v>
      </c>
    </row>
    <row r="50" spans="1:27" s="28" customFormat="1" ht="11.25" x14ac:dyDescent="0.25">
      <c r="A50" s="24">
        <v>44</v>
      </c>
      <c r="B50" s="24"/>
      <c r="C50" s="25"/>
      <c r="D50" s="26"/>
      <c r="E50" s="25"/>
      <c r="F50" s="25"/>
      <c r="G50" s="24"/>
      <c r="H50" s="25" t="e">
        <f ca="1"/>
        <v>#REF!</v>
      </c>
      <c r="I50" s="27" t="e">
        <f ca="1"/>
        <v>#REF!</v>
      </c>
      <c r="J50" s="28" t="e">
        <f ca="1"/>
        <v>#REF!</v>
      </c>
      <c r="K50" s="29" t="e">
        <f ca="1"/>
        <v>#REF!</v>
      </c>
      <c r="L50" s="29" t="e">
        <f ca="1"/>
        <v>#REF!</v>
      </c>
      <c r="M50" s="25" t="e">
        <f ca="1"/>
        <v>#REF!</v>
      </c>
      <c r="N50" s="30" t="e">
        <f ca="1"/>
        <v>#REF!</v>
      </c>
      <c r="O50" s="31" t="e">
        <f ca="1"/>
        <v>#REF!</v>
      </c>
      <c r="P50" s="31" t="e">
        <f ca="1"/>
        <v>#REF!</v>
      </c>
      <c r="Q50" s="31" t="e">
        <f ca="1"/>
        <v>#REF!</v>
      </c>
      <c r="R50" s="31" t="e">
        <f ca="1"/>
        <v>#REF!</v>
      </c>
      <c r="S50" s="31" t="e">
        <f ca="1"/>
        <v>#REF!</v>
      </c>
      <c r="T50" s="31" t="e">
        <f ca="1"/>
        <v>#REF!</v>
      </c>
      <c r="U50" s="31" t="e">
        <f ca="1"/>
        <v>#REF!</v>
      </c>
      <c r="V50" s="31" t="e">
        <f ca="1"/>
        <v>#REF!</v>
      </c>
      <c r="W50" s="32" t="e">
        <f ca="1"/>
        <v>#REF!</v>
      </c>
      <c r="X50" s="32" t="e">
        <f ca="1"/>
        <v>#REF!</v>
      </c>
      <c r="Y50" s="32" t="e">
        <f ca="1"/>
        <v>#REF!</v>
      </c>
      <c r="Z50" s="33" t="e">
        <f ca="1"/>
        <v>#REF!</v>
      </c>
      <c r="AA50" s="34" t="e">
        <f ca="1"/>
        <v>#REF!</v>
      </c>
    </row>
    <row r="51" spans="1:27" s="28" customFormat="1" ht="11.25" x14ac:dyDescent="0.25">
      <c r="A51" s="24">
        <v>45</v>
      </c>
      <c r="B51" s="24"/>
      <c r="C51" s="25"/>
      <c r="D51" s="26"/>
      <c r="E51" s="25"/>
      <c r="F51" s="25"/>
      <c r="G51" s="24"/>
      <c r="H51" s="25" t="e">
        <f ca="1"/>
        <v>#REF!</v>
      </c>
      <c r="I51" s="27" t="e">
        <f ca="1"/>
        <v>#REF!</v>
      </c>
      <c r="J51" s="28" t="e">
        <f ca="1"/>
        <v>#REF!</v>
      </c>
      <c r="K51" s="29" t="e">
        <f ca="1"/>
        <v>#REF!</v>
      </c>
      <c r="L51" s="29" t="e">
        <f ca="1"/>
        <v>#REF!</v>
      </c>
      <c r="M51" s="25" t="e">
        <f ca="1"/>
        <v>#REF!</v>
      </c>
      <c r="N51" s="30" t="e">
        <f ca="1"/>
        <v>#REF!</v>
      </c>
      <c r="O51" s="31" t="e">
        <f ca="1"/>
        <v>#REF!</v>
      </c>
      <c r="P51" s="31" t="e">
        <f ca="1"/>
        <v>#REF!</v>
      </c>
      <c r="Q51" s="31" t="e">
        <f ca="1"/>
        <v>#REF!</v>
      </c>
      <c r="R51" s="31" t="e">
        <f ca="1"/>
        <v>#REF!</v>
      </c>
      <c r="S51" s="31" t="e">
        <f ca="1"/>
        <v>#REF!</v>
      </c>
      <c r="T51" s="31" t="e">
        <f ca="1"/>
        <v>#REF!</v>
      </c>
      <c r="U51" s="31" t="e">
        <f ca="1"/>
        <v>#REF!</v>
      </c>
      <c r="V51" s="31" t="e">
        <f ca="1"/>
        <v>#REF!</v>
      </c>
      <c r="W51" s="32" t="e">
        <f ca="1"/>
        <v>#REF!</v>
      </c>
      <c r="X51" s="32" t="e">
        <f ca="1"/>
        <v>#REF!</v>
      </c>
      <c r="Y51" s="32" t="e">
        <f ca="1"/>
        <v>#REF!</v>
      </c>
      <c r="Z51" s="33" t="e">
        <f ca="1"/>
        <v>#REF!</v>
      </c>
      <c r="AA51" s="34" t="e">
        <f ca="1"/>
        <v>#REF!</v>
      </c>
    </row>
    <row r="52" spans="1:27" s="28" customFormat="1" ht="11.25" x14ac:dyDescent="0.25">
      <c r="A52" s="24">
        <v>46</v>
      </c>
      <c r="B52" s="24"/>
      <c r="C52" s="25"/>
      <c r="D52" s="26"/>
      <c r="E52" s="25"/>
      <c r="F52" s="25"/>
      <c r="G52" s="24"/>
      <c r="H52" s="25" t="e">
        <f ca="1"/>
        <v>#REF!</v>
      </c>
      <c r="I52" s="27" t="e">
        <f ca="1"/>
        <v>#REF!</v>
      </c>
      <c r="J52" s="28" t="e">
        <f ca="1"/>
        <v>#REF!</v>
      </c>
      <c r="K52" s="29" t="e">
        <f ca="1"/>
        <v>#REF!</v>
      </c>
      <c r="L52" s="29" t="e">
        <f ca="1"/>
        <v>#REF!</v>
      </c>
      <c r="M52" s="25" t="e">
        <f ca="1"/>
        <v>#REF!</v>
      </c>
      <c r="N52" s="30" t="e">
        <f ca="1"/>
        <v>#REF!</v>
      </c>
      <c r="O52" s="31" t="e">
        <f ca="1"/>
        <v>#REF!</v>
      </c>
      <c r="P52" s="31" t="e">
        <f ca="1"/>
        <v>#REF!</v>
      </c>
      <c r="Q52" s="31" t="e">
        <f ca="1"/>
        <v>#REF!</v>
      </c>
      <c r="R52" s="31" t="e">
        <f ca="1"/>
        <v>#REF!</v>
      </c>
      <c r="S52" s="31" t="e">
        <f ca="1"/>
        <v>#REF!</v>
      </c>
      <c r="T52" s="31" t="e">
        <f ca="1"/>
        <v>#REF!</v>
      </c>
      <c r="U52" s="31" t="e">
        <f ca="1"/>
        <v>#REF!</v>
      </c>
      <c r="V52" s="31" t="e">
        <f ca="1"/>
        <v>#REF!</v>
      </c>
      <c r="W52" s="32" t="e">
        <f ca="1"/>
        <v>#REF!</v>
      </c>
      <c r="X52" s="32" t="e">
        <f ca="1"/>
        <v>#REF!</v>
      </c>
      <c r="Y52" s="32" t="e">
        <f ca="1"/>
        <v>#REF!</v>
      </c>
      <c r="Z52" s="33" t="e">
        <f ca="1"/>
        <v>#REF!</v>
      </c>
      <c r="AA52" s="34" t="e">
        <f ca="1"/>
        <v>#REF!</v>
      </c>
    </row>
    <row r="53" spans="1:27" s="28" customFormat="1" ht="11.25" x14ac:dyDescent="0.25">
      <c r="A53" s="24">
        <v>47</v>
      </c>
      <c r="B53" s="24"/>
      <c r="C53" s="25"/>
      <c r="D53" s="26"/>
      <c r="E53" s="25"/>
      <c r="F53" s="25"/>
      <c r="G53" s="24"/>
      <c r="H53" s="25" t="e">
        <f ca="1"/>
        <v>#REF!</v>
      </c>
      <c r="I53" s="27" t="e">
        <f ca="1"/>
        <v>#REF!</v>
      </c>
      <c r="J53" s="28" t="e">
        <f ca="1"/>
        <v>#REF!</v>
      </c>
      <c r="K53" s="29" t="e">
        <f ca="1"/>
        <v>#REF!</v>
      </c>
      <c r="L53" s="29" t="e">
        <f ca="1"/>
        <v>#REF!</v>
      </c>
      <c r="M53" s="25" t="e">
        <f ca="1"/>
        <v>#REF!</v>
      </c>
      <c r="N53" s="30" t="e">
        <f ca="1"/>
        <v>#REF!</v>
      </c>
      <c r="O53" s="31" t="e">
        <f ca="1"/>
        <v>#REF!</v>
      </c>
      <c r="P53" s="31" t="e">
        <f ca="1"/>
        <v>#REF!</v>
      </c>
      <c r="Q53" s="31" t="e">
        <f ca="1"/>
        <v>#REF!</v>
      </c>
      <c r="R53" s="31" t="e">
        <f ca="1"/>
        <v>#REF!</v>
      </c>
      <c r="S53" s="31" t="e">
        <f ca="1"/>
        <v>#REF!</v>
      </c>
      <c r="T53" s="31" t="e">
        <f ca="1"/>
        <v>#REF!</v>
      </c>
      <c r="U53" s="31" t="e">
        <f ca="1"/>
        <v>#REF!</v>
      </c>
      <c r="V53" s="31" t="e">
        <f ca="1"/>
        <v>#REF!</v>
      </c>
      <c r="W53" s="32" t="e">
        <f ca="1"/>
        <v>#REF!</v>
      </c>
      <c r="X53" s="32" t="e">
        <f ca="1"/>
        <v>#REF!</v>
      </c>
      <c r="Y53" s="32" t="e">
        <f ca="1"/>
        <v>#REF!</v>
      </c>
      <c r="Z53" s="33" t="e">
        <f ca="1"/>
        <v>#REF!</v>
      </c>
      <c r="AA53" s="34" t="e">
        <f ca="1"/>
        <v>#REF!</v>
      </c>
    </row>
    <row r="54" spans="1:27" s="28" customFormat="1" ht="11.25" x14ac:dyDescent="0.25">
      <c r="A54" s="24">
        <v>48</v>
      </c>
      <c r="B54" s="24"/>
      <c r="C54" s="25"/>
      <c r="D54" s="26"/>
      <c r="E54" s="25"/>
      <c r="F54" s="25"/>
      <c r="G54" s="24"/>
      <c r="H54" s="25" t="e">
        <f ca="1"/>
        <v>#REF!</v>
      </c>
      <c r="I54" s="27" t="e">
        <f ca="1"/>
        <v>#REF!</v>
      </c>
      <c r="J54" s="28" t="e">
        <f ca="1"/>
        <v>#REF!</v>
      </c>
      <c r="K54" s="29" t="e">
        <f ca="1"/>
        <v>#REF!</v>
      </c>
      <c r="L54" s="29" t="e">
        <f ca="1"/>
        <v>#REF!</v>
      </c>
      <c r="M54" s="25" t="e">
        <f ca="1"/>
        <v>#REF!</v>
      </c>
      <c r="N54" s="30" t="e">
        <f ca="1"/>
        <v>#REF!</v>
      </c>
      <c r="O54" s="31" t="e">
        <f ca="1"/>
        <v>#REF!</v>
      </c>
      <c r="P54" s="31" t="e">
        <f ca="1"/>
        <v>#REF!</v>
      </c>
      <c r="Q54" s="31" t="e">
        <f ca="1"/>
        <v>#REF!</v>
      </c>
      <c r="R54" s="31" t="e">
        <f ca="1"/>
        <v>#REF!</v>
      </c>
      <c r="S54" s="31" t="e">
        <f ca="1"/>
        <v>#REF!</v>
      </c>
      <c r="T54" s="31" t="e">
        <f ca="1"/>
        <v>#REF!</v>
      </c>
      <c r="U54" s="31" t="e">
        <f ca="1"/>
        <v>#REF!</v>
      </c>
      <c r="V54" s="31" t="e">
        <f ca="1"/>
        <v>#REF!</v>
      </c>
      <c r="W54" s="32" t="e">
        <f ca="1"/>
        <v>#REF!</v>
      </c>
      <c r="X54" s="32" t="e">
        <f ca="1"/>
        <v>#REF!</v>
      </c>
      <c r="Y54" s="32" t="e">
        <f ca="1"/>
        <v>#REF!</v>
      </c>
      <c r="Z54" s="33" t="e">
        <f ca="1"/>
        <v>#REF!</v>
      </c>
      <c r="AA54" s="34" t="e">
        <f ca="1"/>
        <v>#REF!</v>
      </c>
    </row>
    <row r="55" spans="1:27" s="28" customFormat="1" ht="60" customHeight="1" x14ac:dyDescent="0.25">
      <c r="A55" s="24">
        <v>49</v>
      </c>
      <c r="B55" s="24"/>
      <c r="C55" s="25"/>
      <c r="D55" s="26"/>
      <c r="E55" s="25"/>
      <c r="F55" s="25"/>
      <c r="G55" s="24"/>
      <c r="H55" s="25" t="e">
        <f ca="1"/>
        <v>#REF!</v>
      </c>
      <c r="I55" s="27" t="e">
        <f ca="1"/>
        <v>#REF!</v>
      </c>
      <c r="J55" s="28" t="e">
        <f ca="1"/>
        <v>#REF!</v>
      </c>
      <c r="K55" s="29" t="e">
        <f ca="1"/>
        <v>#REF!</v>
      </c>
      <c r="L55" s="29" t="e">
        <f ca="1"/>
        <v>#REF!</v>
      </c>
      <c r="M55" s="25" t="e">
        <f ca="1"/>
        <v>#REF!</v>
      </c>
      <c r="N55" s="30" t="e">
        <f ca="1"/>
        <v>#REF!</v>
      </c>
      <c r="O55" s="31" t="e">
        <f ca="1"/>
        <v>#REF!</v>
      </c>
      <c r="P55" s="31" t="e">
        <f ca="1"/>
        <v>#REF!</v>
      </c>
      <c r="Q55" s="31" t="e">
        <f ca="1"/>
        <v>#REF!</v>
      </c>
      <c r="R55" s="31" t="e">
        <f ca="1"/>
        <v>#REF!</v>
      </c>
      <c r="S55" s="31" t="e">
        <f ca="1"/>
        <v>#REF!</v>
      </c>
      <c r="T55" s="31" t="e">
        <f ca="1"/>
        <v>#REF!</v>
      </c>
      <c r="U55" s="31" t="e">
        <f ca="1"/>
        <v>#REF!</v>
      </c>
      <c r="V55" s="31" t="e">
        <f ca="1"/>
        <v>#REF!</v>
      </c>
      <c r="W55" s="32" t="e">
        <f ca="1"/>
        <v>#REF!</v>
      </c>
      <c r="X55" s="32" t="e">
        <f ca="1"/>
        <v>#REF!</v>
      </c>
      <c r="Y55" s="32" t="e">
        <f ca="1"/>
        <v>#REF!</v>
      </c>
      <c r="Z55" s="33" t="e">
        <f ca="1"/>
        <v>#REF!</v>
      </c>
      <c r="AA55" s="34" t="e">
        <f ca="1"/>
        <v>#REF!</v>
      </c>
    </row>
    <row r="56" spans="1:27" s="28" customFormat="1" ht="60" customHeight="1" x14ac:dyDescent="0.25">
      <c r="A56" s="24">
        <v>50</v>
      </c>
      <c r="B56" s="24"/>
      <c r="C56" s="25"/>
      <c r="D56" s="26"/>
      <c r="E56" s="25"/>
      <c r="F56" s="25"/>
      <c r="G56" s="24"/>
      <c r="H56" s="25" t="e">
        <f ca="1"/>
        <v>#REF!</v>
      </c>
      <c r="I56" s="27" t="e">
        <f ca="1"/>
        <v>#REF!</v>
      </c>
      <c r="J56" s="28" t="e">
        <f ca="1"/>
        <v>#REF!</v>
      </c>
      <c r="K56" s="29" t="e">
        <f ca="1"/>
        <v>#REF!</v>
      </c>
      <c r="L56" s="29" t="e">
        <f ca="1"/>
        <v>#REF!</v>
      </c>
      <c r="M56" s="25" t="e">
        <f ca="1"/>
        <v>#REF!</v>
      </c>
      <c r="N56" s="30" t="e">
        <f ca="1"/>
        <v>#REF!</v>
      </c>
      <c r="O56" s="31" t="e">
        <f ca="1"/>
        <v>#REF!</v>
      </c>
      <c r="P56" s="31" t="e">
        <f ca="1"/>
        <v>#REF!</v>
      </c>
      <c r="Q56" s="31" t="e">
        <f ca="1"/>
        <v>#REF!</v>
      </c>
      <c r="R56" s="31" t="e">
        <f ca="1"/>
        <v>#REF!</v>
      </c>
      <c r="S56" s="31" t="e">
        <f ca="1"/>
        <v>#REF!</v>
      </c>
      <c r="T56" s="31" t="e">
        <f ca="1"/>
        <v>#REF!</v>
      </c>
      <c r="U56" s="31" t="e">
        <f ca="1"/>
        <v>#REF!</v>
      </c>
      <c r="V56" s="31" t="e">
        <f ca="1"/>
        <v>#REF!</v>
      </c>
      <c r="W56" s="32" t="e">
        <f ca="1"/>
        <v>#REF!</v>
      </c>
      <c r="X56" s="32" t="e">
        <f ca="1"/>
        <v>#REF!</v>
      </c>
      <c r="Y56" s="32" t="e">
        <f ca="1"/>
        <v>#REF!</v>
      </c>
      <c r="Z56" s="33" t="e">
        <f ca="1"/>
        <v>#REF!</v>
      </c>
      <c r="AA56" s="34" t="e">
        <f ca="1"/>
        <v>#REF!</v>
      </c>
    </row>
    <row r="57" spans="1:27" s="28" customFormat="1" ht="60" customHeight="1" x14ac:dyDescent="0.25">
      <c r="A57" s="24">
        <v>51</v>
      </c>
      <c r="B57" s="24"/>
      <c r="C57" s="25"/>
      <c r="D57" s="26"/>
      <c r="E57" s="25"/>
      <c r="F57" s="25"/>
      <c r="G57" s="24"/>
      <c r="H57" s="25" t="e">
        <f ca="1"/>
        <v>#REF!</v>
      </c>
      <c r="I57" s="27" t="e">
        <f ca="1"/>
        <v>#REF!</v>
      </c>
      <c r="J57" s="28" t="e">
        <f ca="1"/>
        <v>#REF!</v>
      </c>
      <c r="K57" s="29" t="e">
        <f ca="1"/>
        <v>#REF!</v>
      </c>
      <c r="L57" s="29" t="e">
        <f ca="1"/>
        <v>#REF!</v>
      </c>
      <c r="M57" s="25" t="e">
        <f ca="1"/>
        <v>#REF!</v>
      </c>
      <c r="N57" s="30" t="e">
        <f ca="1"/>
        <v>#REF!</v>
      </c>
      <c r="O57" s="31" t="e">
        <f ca="1"/>
        <v>#REF!</v>
      </c>
      <c r="P57" s="31" t="e">
        <f ca="1"/>
        <v>#REF!</v>
      </c>
      <c r="Q57" s="31" t="e">
        <f ca="1"/>
        <v>#REF!</v>
      </c>
      <c r="R57" s="31" t="e">
        <f ca="1"/>
        <v>#REF!</v>
      </c>
      <c r="S57" s="31" t="e">
        <f ca="1"/>
        <v>#REF!</v>
      </c>
      <c r="T57" s="31" t="e">
        <f ca="1"/>
        <v>#REF!</v>
      </c>
      <c r="U57" s="31" t="e">
        <f ca="1"/>
        <v>#REF!</v>
      </c>
      <c r="V57" s="31" t="e">
        <f ca="1"/>
        <v>#REF!</v>
      </c>
      <c r="W57" s="32" t="e">
        <f ca="1"/>
        <v>#REF!</v>
      </c>
      <c r="X57" s="32" t="e">
        <f ca="1"/>
        <v>#REF!</v>
      </c>
      <c r="Y57" s="32" t="e">
        <f ca="1"/>
        <v>#REF!</v>
      </c>
      <c r="Z57" s="33" t="e">
        <f ca="1"/>
        <v>#REF!</v>
      </c>
      <c r="AA57" s="34" t="e">
        <f ca="1"/>
        <v>#REF!</v>
      </c>
    </row>
    <row r="58" spans="1:27" s="28" customFormat="1" ht="60" customHeight="1" x14ac:dyDescent="0.25">
      <c r="A58" s="24">
        <v>52</v>
      </c>
      <c r="B58" s="24"/>
      <c r="C58" s="25"/>
      <c r="D58" s="26"/>
      <c r="E58" s="25"/>
      <c r="F58" s="25"/>
      <c r="G58" s="24"/>
      <c r="H58" s="25" t="e">
        <f ca="1"/>
        <v>#REF!</v>
      </c>
      <c r="I58" s="27" t="e">
        <f ca="1"/>
        <v>#REF!</v>
      </c>
      <c r="J58" s="28" t="e">
        <f ca="1"/>
        <v>#REF!</v>
      </c>
      <c r="K58" s="29" t="e">
        <f ca="1"/>
        <v>#REF!</v>
      </c>
      <c r="L58" s="29" t="e">
        <f ca="1"/>
        <v>#REF!</v>
      </c>
      <c r="M58" s="25" t="e">
        <f ca="1"/>
        <v>#REF!</v>
      </c>
      <c r="N58" s="30" t="e">
        <f ca="1"/>
        <v>#REF!</v>
      </c>
      <c r="O58" s="31" t="e">
        <f ca="1"/>
        <v>#REF!</v>
      </c>
      <c r="P58" s="31" t="e">
        <f ca="1"/>
        <v>#REF!</v>
      </c>
      <c r="Q58" s="31" t="e">
        <f ca="1"/>
        <v>#REF!</v>
      </c>
      <c r="R58" s="31" t="e">
        <f ca="1"/>
        <v>#REF!</v>
      </c>
      <c r="S58" s="31" t="e">
        <f ca="1"/>
        <v>#REF!</v>
      </c>
      <c r="T58" s="31" t="e">
        <f ca="1"/>
        <v>#REF!</v>
      </c>
      <c r="U58" s="31" t="e">
        <f ca="1"/>
        <v>#REF!</v>
      </c>
      <c r="V58" s="31" t="e">
        <f ca="1"/>
        <v>#REF!</v>
      </c>
      <c r="W58" s="32" t="e">
        <f ca="1"/>
        <v>#REF!</v>
      </c>
      <c r="X58" s="32" t="e">
        <f ca="1"/>
        <v>#REF!</v>
      </c>
      <c r="Y58" s="32" t="e">
        <f ca="1"/>
        <v>#REF!</v>
      </c>
      <c r="Z58" s="33" t="e">
        <f ca="1"/>
        <v>#REF!</v>
      </c>
      <c r="AA58" s="34" t="e">
        <f ca="1"/>
        <v>#REF!</v>
      </c>
    </row>
    <row r="59" spans="1:27" s="28" customFormat="1" ht="60" customHeight="1" x14ac:dyDescent="0.25">
      <c r="A59" s="24">
        <v>53</v>
      </c>
      <c r="B59" s="24"/>
      <c r="C59" s="25"/>
      <c r="D59" s="26"/>
      <c r="E59" s="25"/>
      <c r="F59" s="25"/>
      <c r="G59" s="24"/>
      <c r="H59" s="25" t="e">
        <f ca="1"/>
        <v>#REF!</v>
      </c>
      <c r="I59" s="27" t="e">
        <f ca="1"/>
        <v>#REF!</v>
      </c>
      <c r="J59" s="28" t="e">
        <f ca="1"/>
        <v>#REF!</v>
      </c>
      <c r="K59" s="29" t="e">
        <f ca="1"/>
        <v>#REF!</v>
      </c>
      <c r="L59" s="29" t="e">
        <f ca="1"/>
        <v>#REF!</v>
      </c>
      <c r="M59" s="25" t="e">
        <f ca="1"/>
        <v>#REF!</v>
      </c>
      <c r="N59" s="30" t="e">
        <f ca="1"/>
        <v>#REF!</v>
      </c>
      <c r="O59" s="31" t="e">
        <f ca="1"/>
        <v>#REF!</v>
      </c>
      <c r="P59" s="31" t="e">
        <f ca="1"/>
        <v>#REF!</v>
      </c>
      <c r="Q59" s="31" t="e">
        <f ca="1"/>
        <v>#REF!</v>
      </c>
      <c r="R59" s="31" t="e">
        <f ca="1"/>
        <v>#REF!</v>
      </c>
      <c r="S59" s="31" t="e">
        <f ca="1"/>
        <v>#REF!</v>
      </c>
      <c r="T59" s="31" t="e">
        <f ca="1"/>
        <v>#REF!</v>
      </c>
      <c r="U59" s="31" t="e">
        <f ca="1"/>
        <v>#REF!</v>
      </c>
      <c r="V59" s="31" t="e">
        <f ca="1"/>
        <v>#REF!</v>
      </c>
      <c r="W59" s="32" t="e">
        <f ca="1"/>
        <v>#REF!</v>
      </c>
      <c r="X59" s="32" t="e">
        <f ca="1"/>
        <v>#REF!</v>
      </c>
      <c r="Y59" s="32" t="e">
        <f ca="1"/>
        <v>#REF!</v>
      </c>
      <c r="Z59" s="33" t="e">
        <f ca="1"/>
        <v>#REF!</v>
      </c>
      <c r="AA59" s="34" t="e">
        <f ca="1"/>
        <v>#REF!</v>
      </c>
    </row>
    <row r="60" spans="1:27" s="28" customFormat="1" ht="11.25" x14ac:dyDescent="0.25">
      <c r="A60" s="24">
        <v>54</v>
      </c>
      <c r="B60" s="24"/>
      <c r="C60" s="25"/>
      <c r="D60" s="26"/>
      <c r="E60" s="25"/>
      <c r="F60" s="25"/>
      <c r="G60" s="24"/>
      <c r="H60" s="25" t="e">
        <f ca="1"/>
        <v>#REF!</v>
      </c>
      <c r="I60" s="27" t="e">
        <f ca="1"/>
        <v>#REF!</v>
      </c>
      <c r="J60" s="28" t="e">
        <f ca="1"/>
        <v>#REF!</v>
      </c>
      <c r="K60" s="29" t="e">
        <f ca="1"/>
        <v>#REF!</v>
      </c>
      <c r="L60" s="29" t="e">
        <f ca="1"/>
        <v>#REF!</v>
      </c>
      <c r="M60" s="25" t="e">
        <f ca="1"/>
        <v>#REF!</v>
      </c>
      <c r="N60" s="30" t="e">
        <f ca="1"/>
        <v>#REF!</v>
      </c>
      <c r="O60" s="31" t="e">
        <f ca="1"/>
        <v>#REF!</v>
      </c>
      <c r="P60" s="31" t="e">
        <f ca="1"/>
        <v>#REF!</v>
      </c>
      <c r="Q60" s="31" t="e">
        <f ca="1"/>
        <v>#REF!</v>
      </c>
      <c r="R60" s="31" t="e">
        <f ca="1"/>
        <v>#REF!</v>
      </c>
      <c r="S60" s="31" t="e">
        <f ca="1"/>
        <v>#REF!</v>
      </c>
      <c r="T60" s="31" t="e">
        <f ca="1"/>
        <v>#REF!</v>
      </c>
      <c r="U60" s="31" t="e">
        <f ca="1"/>
        <v>#REF!</v>
      </c>
      <c r="V60" s="31" t="e">
        <f ca="1"/>
        <v>#REF!</v>
      </c>
      <c r="W60" s="32" t="e">
        <f ca="1"/>
        <v>#REF!</v>
      </c>
      <c r="X60" s="32" t="e">
        <f ca="1"/>
        <v>#REF!</v>
      </c>
      <c r="Y60" s="32" t="e">
        <f ca="1"/>
        <v>#REF!</v>
      </c>
      <c r="Z60" s="33" t="e">
        <f ca="1"/>
        <v>#REF!</v>
      </c>
      <c r="AA60" s="34" t="e">
        <f ca="1"/>
        <v>#REF!</v>
      </c>
    </row>
    <row r="61" spans="1:27" s="28" customFormat="1" ht="11.25" x14ac:dyDescent="0.25">
      <c r="A61" s="24">
        <v>55</v>
      </c>
      <c r="B61" s="24"/>
      <c r="C61" s="25"/>
      <c r="D61" s="26"/>
      <c r="E61" s="25"/>
      <c r="F61" s="25"/>
      <c r="G61" s="24"/>
      <c r="H61" s="25" t="e">
        <f ca="1"/>
        <v>#REF!</v>
      </c>
      <c r="I61" s="27" t="e">
        <f ca="1"/>
        <v>#REF!</v>
      </c>
      <c r="J61" s="28" t="e">
        <f ca="1"/>
        <v>#REF!</v>
      </c>
      <c r="K61" s="29" t="e">
        <f ca="1"/>
        <v>#REF!</v>
      </c>
      <c r="L61" s="29" t="e">
        <f ca="1"/>
        <v>#REF!</v>
      </c>
      <c r="M61" s="25" t="e">
        <f ca="1"/>
        <v>#REF!</v>
      </c>
      <c r="N61" s="30" t="e">
        <f ca="1"/>
        <v>#REF!</v>
      </c>
      <c r="O61" s="31" t="e">
        <f ca="1"/>
        <v>#REF!</v>
      </c>
      <c r="P61" s="31" t="e">
        <f ca="1"/>
        <v>#REF!</v>
      </c>
      <c r="Q61" s="31" t="e">
        <f ca="1"/>
        <v>#REF!</v>
      </c>
      <c r="R61" s="31" t="e">
        <f ca="1"/>
        <v>#REF!</v>
      </c>
      <c r="S61" s="31" t="e">
        <f ca="1"/>
        <v>#REF!</v>
      </c>
      <c r="T61" s="31" t="e">
        <f ca="1"/>
        <v>#REF!</v>
      </c>
      <c r="U61" s="31" t="e">
        <f ca="1"/>
        <v>#REF!</v>
      </c>
      <c r="V61" s="31" t="e">
        <f ca="1"/>
        <v>#REF!</v>
      </c>
      <c r="W61" s="32" t="e">
        <f ca="1"/>
        <v>#REF!</v>
      </c>
      <c r="X61" s="32" t="e">
        <f ca="1"/>
        <v>#REF!</v>
      </c>
      <c r="Y61" s="32" t="e">
        <f ca="1"/>
        <v>#REF!</v>
      </c>
      <c r="Z61" s="33" t="e">
        <f ca="1"/>
        <v>#REF!</v>
      </c>
      <c r="AA61" s="34" t="e">
        <f ca="1"/>
        <v>#REF!</v>
      </c>
    </row>
    <row r="62" spans="1:27" s="28" customFormat="1" ht="11.25" x14ac:dyDescent="0.25">
      <c r="A62" s="24">
        <v>56</v>
      </c>
      <c r="B62" s="24"/>
      <c r="C62" s="25"/>
      <c r="D62" s="26"/>
      <c r="E62" s="25"/>
      <c r="F62" s="25"/>
      <c r="G62" s="24"/>
      <c r="H62" s="25" t="e">
        <f ca="1"/>
        <v>#REF!</v>
      </c>
      <c r="I62" s="27" t="e">
        <f ca="1"/>
        <v>#REF!</v>
      </c>
      <c r="J62" s="28" t="e">
        <f ca="1"/>
        <v>#REF!</v>
      </c>
      <c r="K62" s="29" t="e">
        <f ca="1"/>
        <v>#REF!</v>
      </c>
      <c r="L62" s="29" t="e">
        <f ca="1"/>
        <v>#REF!</v>
      </c>
      <c r="M62" s="25" t="e">
        <f ca="1"/>
        <v>#REF!</v>
      </c>
      <c r="N62" s="30" t="e">
        <f ca="1"/>
        <v>#REF!</v>
      </c>
      <c r="O62" s="31" t="e">
        <f ca="1"/>
        <v>#REF!</v>
      </c>
      <c r="P62" s="31" t="e">
        <f ca="1"/>
        <v>#REF!</v>
      </c>
      <c r="Q62" s="31" t="e">
        <f ca="1"/>
        <v>#REF!</v>
      </c>
      <c r="R62" s="31" t="e">
        <f ca="1"/>
        <v>#REF!</v>
      </c>
      <c r="S62" s="31" t="e">
        <f ca="1"/>
        <v>#REF!</v>
      </c>
      <c r="T62" s="31" t="e">
        <f ca="1"/>
        <v>#REF!</v>
      </c>
      <c r="U62" s="31" t="e">
        <f ca="1"/>
        <v>#REF!</v>
      </c>
      <c r="V62" s="31" t="e">
        <f ca="1"/>
        <v>#REF!</v>
      </c>
      <c r="W62" s="32" t="e">
        <f ca="1"/>
        <v>#REF!</v>
      </c>
      <c r="X62" s="32" t="e">
        <f ca="1"/>
        <v>#REF!</v>
      </c>
      <c r="Y62" s="32" t="e">
        <f ca="1"/>
        <v>#REF!</v>
      </c>
      <c r="Z62" s="33" t="e">
        <f ca="1"/>
        <v>#REF!</v>
      </c>
      <c r="AA62" s="34" t="e">
        <f ca="1"/>
        <v>#REF!</v>
      </c>
    </row>
    <row r="63" spans="1:27" s="28" customFormat="1" ht="11.25" x14ac:dyDescent="0.25">
      <c r="A63" s="24">
        <v>57</v>
      </c>
      <c r="B63" s="24"/>
      <c r="C63" s="25"/>
      <c r="D63" s="26"/>
      <c r="E63" s="25"/>
      <c r="F63" s="25"/>
      <c r="G63" s="24"/>
      <c r="H63" s="25" t="e">
        <f ca="1"/>
        <v>#REF!</v>
      </c>
      <c r="I63" s="27" t="e">
        <f ca="1"/>
        <v>#REF!</v>
      </c>
      <c r="J63" s="28" t="e">
        <f ca="1"/>
        <v>#REF!</v>
      </c>
      <c r="K63" s="29" t="e">
        <f ca="1"/>
        <v>#REF!</v>
      </c>
      <c r="L63" s="29" t="e">
        <f ca="1"/>
        <v>#REF!</v>
      </c>
      <c r="M63" s="25" t="e">
        <f ca="1"/>
        <v>#REF!</v>
      </c>
      <c r="N63" s="30" t="e">
        <f ca="1"/>
        <v>#REF!</v>
      </c>
      <c r="O63" s="31" t="e">
        <f ca="1"/>
        <v>#REF!</v>
      </c>
      <c r="P63" s="31" t="e">
        <f ca="1"/>
        <v>#REF!</v>
      </c>
      <c r="Q63" s="31" t="e">
        <f ca="1"/>
        <v>#REF!</v>
      </c>
      <c r="R63" s="31" t="e">
        <f ca="1"/>
        <v>#REF!</v>
      </c>
      <c r="S63" s="31" t="e">
        <f ca="1"/>
        <v>#REF!</v>
      </c>
      <c r="T63" s="31" t="e">
        <f ca="1"/>
        <v>#REF!</v>
      </c>
      <c r="U63" s="31" t="e">
        <f ca="1"/>
        <v>#REF!</v>
      </c>
      <c r="V63" s="31" t="e">
        <f ca="1"/>
        <v>#REF!</v>
      </c>
      <c r="W63" s="32" t="e">
        <f ca="1"/>
        <v>#REF!</v>
      </c>
      <c r="X63" s="32" t="e">
        <f ca="1"/>
        <v>#REF!</v>
      </c>
      <c r="Y63" s="32" t="e">
        <f ca="1"/>
        <v>#REF!</v>
      </c>
      <c r="Z63" s="33" t="e">
        <f ca="1"/>
        <v>#REF!</v>
      </c>
      <c r="AA63" s="34" t="e">
        <f ca="1"/>
        <v>#REF!</v>
      </c>
    </row>
    <row r="64" spans="1:27" s="28" customFormat="1" ht="11.25" x14ac:dyDescent="0.25">
      <c r="A64" s="24">
        <v>58</v>
      </c>
      <c r="B64" s="24"/>
      <c r="C64" s="25"/>
      <c r="D64" s="26"/>
      <c r="E64" s="25"/>
      <c r="F64" s="25"/>
      <c r="G64" s="24"/>
      <c r="H64" s="25" t="e">
        <f ca="1"/>
        <v>#REF!</v>
      </c>
      <c r="I64" s="27" t="e">
        <f ca="1"/>
        <v>#REF!</v>
      </c>
      <c r="J64" s="28" t="e">
        <f ca="1"/>
        <v>#REF!</v>
      </c>
      <c r="K64" s="29" t="e">
        <f ca="1"/>
        <v>#REF!</v>
      </c>
      <c r="L64" s="29" t="e">
        <f ca="1"/>
        <v>#REF!</v>
      </c>
      <c r="M64" s="25" t="e">
        <f ca="1"/>
        <v>#REF!</v>
      </c>
      <c r="N64" s="30" t="e">
        <f ca="1"/>
        <v>#REF!</v>
      </c>
      <c r="O64" s="31" t="e">
        <f ca="1"/>
        <v>#REF!</v>
      </c>
      <c r="P64" s="31" t="e">
        <f ca="1"/>
        <v>#REF!</v>
      </c>
      <c r="Q64" s="31" t="e">
        <f ca="1"/>
        <v>#REF!</v>
      </c>
      <c r="R64" s="31" t="e">
        <f ca="1"/>
        <v>#REF!</v>
      </c>
      <c r="S64" s="31" t="e">
        <f ca="1"/>
        <v>#REF!</v>
      </c>
      <c r="T64" s="31" t="e">
        <f ca="1"/>
        <v>#REF!</v>
      </c>
      <c r="U64" s="31" t="e">
        <f ca="1"/>
        <v>#REF!</v>
      </c>
      <c r="V64" s="31" t="e">
        <f ca="1"/>
        <v>#REF!</v>
      </c>
      <c r="W64" s="32" t="e">
        <f ca="1"/>
        <v>#REF!</v>
      </c>
      <c r="X64" s="32" t="e">
        <f ca="1"/>
        <v>#REF!</v>
      </c>
      <c r="Y64" s="32" t="e">
        <f ca="1"/>
        <v>#REF!</v>
      </c>
      <c r="Z64" s="33" t="e">
        <f ca="1"/>
        <v>#REF!</v>
      </c>
      <c r="AA64" s="34" t="e">
        <f ca="1"/>
        <v>#REF!</v>
      </c>
    </row>
    <row r="65" spans="1:27" s="28" customFormat="1" ht="11.25" x14ac:dyDescent="0.25">
      <c r="A65" s="24">
        <v>59</v>
      </c>
      <c r="B65" s="24"/>
      <c r="C65" s="25"/>
      <c r="D65" s="26"/>
      <c r="E65" s="25"/>
      <c r="F65" s="25"/>
      <c r="G65" s="24"/>
      <c r="H65" s="25" t="e">
        <f ca="1"/>
        <v>#REF!</v>
      </c>
      <c r="I65" s="27" t="e">
        <f ca="1"/>
        <v>#REF!</v>
      </c>
      <c r="J65" s="28" t="e">
        <f ca="1"/>
        <v>#REF!</v>
      </c>
      <c r="K65" s="29" t="e">
        <f ca="1"/>
        <v>#REF!</v>
      </c>
      <c r="L65" s="29" t="e">
        <f ca="1"/>
        <v>#REF!</v>
      </c>
      <c r="M65" s="25" t="e">
        <f ca="1"/>
        <v>#REF!</v>
      </c>
      <c r="N65" s="30" t="e">
        <f ca="1"/>
        <v>#REF!</v>
      </c>
      <c r="O65" s="31" t="e">
        <f ca="1"/>
        <v>#REF!</v>
      </c>
      <c r="P65" s="31" t="e">
        <f ca="1"/>
        <v>#REF!</v>
      </c>
      <c r="Q65" s="31" t="e">
        <f ca="1"/>
        <v>#REF!</v>
      </c>
      <c r="R65" s="31" t="e">
        <f ca="1"/>
        <v>#REF!</v>
      </c>
      <c r="S65" s="31" t="e">
        <f ca="1"/>
        <v>#REF!</v>
      </c>
      <c r="T65" s="31" t="e">
        <f ca="1"/>
        <v>#REF!</v>
      </c>
      <c r="U65" s="31" t="e">
        <f ca="1"/>
        <v>#REF!</v>
      </c>
      <c r="V65" s="31" t="e">
        <f ca="1"/>
        <v>#REF!</v>
      </c>
      <c r="W65" s="32" t="e">
        <f ca="1"/>
        <v>#REF!</v>
      </c>
      <c r="X65" s="32" t="e">
        <f ca="1"/>
        <v>#REF!</v>
      </c>
      <c r="Y65" s="32" t="e">
        <f ca="1"/>
        <v>#REF!</v>
      </c>
      <c r="Z65" s="33" t="e">
        <f ca="1"/>
        <v>#REF!</v>
      </c>
      <c r="AA65" s="34" t="e">
        <f ca="1"/>
        <v>#REF!</v>
      </c>
    </row>
    <row r="66" spans="1:27" s="28" customFormat="1" ht="11.25" x14ac:dyDescent="0.25">
      <c r="A66" s="24">
        <v>60</v>
      </c>
      <c r="B66" s="24"/>
      <c r="C66" s="25"/>
      <c r="D66" s="26"/>
      <c r="E66" s="25"/>
      <c r="F66" s="25"/>
      <c r="G66" s="24"/>
      <c r="H66" s="25" t="e">
        <f ca="1"/>
        <v>#REF!</v>
      </c>
      <c r="I66" s="27" t="e">
        <f ca="1"/>
        <v>#REF!</v>
      </c>
      <c r="J66" s="28" t="e">
        <f ca="1"/>
        <v>#REF!</v>
      </c>
      <c r="K66" s="29" t="e">
        <f ca="1"/>
        <v>#REF!</v>
      </c>
      <c r="L66" s="32" t="e">
        <f ca="1"/>
        <v>#REF!</v>
      </c>
      <c r="M66" s="44" t="e">
        <f ca="1"/>
        <v>#REF!</v>
      </c>
      <c r="N66" s="30" t="e">
        <f ca="1"/>
        <v>#REF!</v>
      </c>
      <c r="O66" s="31" t="e">
        <f ca="1"/>
        <v>#REF!</v>
      </c>
      <c r="P66" s="46" t="e">
        <f ca="1"/>
        <v>#REF!</v>
      </c>
      <c r="Q66" s="47" t="e">
        <f ca="1"/>
        <v>#REF!</v>
      </c>
      <c r="R66" s="47" t="e">
        <f ca="1"/>
        <v>#REF!</v>
      </c>
      <c r="S66" s="35" t="e">
        <f ca="1"/>
        <v>#REF!</v>
      </c>
      <c r="T66" s="40" t="e">
        <f ca="1"/>
        <v>#REF!</v>
      </c>
      <c r="U66" s="42" t="e">
        <f ca="1"/>
        <v>#REF!</v>
      </c>
      <c r="V66" s="31" t="e">
        <f ca="1"/>
        <v>#REF!</v>
      </c>
      <c r="W66" s="41" t="e">
        <f ca="1"/>
        <v>#REF!</v>
      </c>
      <c r="X66" s="41" t="e">
        <f ca="1"/>
        <v>#REF!</v>
      </c>
      <c r="Y66" s="41" t="e">
        <f ca="1"/>
        <v>#REF!</v>
      </c>
      <c r="Z66" s="29" t="e">
        <f ca="1"/>
        <v>#REF!</v>
      </c>
      <c r="AA66" s="34" t="e">
        <f ca="1"/>
        <v>#REF!</v>
      </c>
    </row>
    <row r="67" spans="1:27" s="28" customFormat="1" ht="11.25" x14ac:dyDescent="0.25">
      <c r="A67" s="24">
        <v>61</v>
      </c>
      <c r="B67" s="24"/>
      <c r="C67" s="25"/>
      <c r="D67" s="26"/>
      <c r="E67" s="25"/>
      <c r="F67" s="25"/>
      <c r="G67" s="24"/>
      <c r="H67" s="25" t="e">
        <f ca="1"/>
        <v>#REF!</v>
      </c>
      <c r="I67" s="27" t="e">
        <f ca="1"/>
        <v>#REF!</v>
      </c>
      <c r="J67" s="28" t="e">
        <f ca="1"/>
        <v>#REF!</v>
      </c>
      <c r="K67" s="29" t="e">
        <f ca="1"/>
        <v>#REF!</v>
      </c>
      <c r="L67" s="32" t="e">
        <f ca="1"/>
        <v>#REF!</v>
      </c>
      <c r="M67" s="44" t="e">
        <f ca="1"/>
        <v>#REF!</v>
      </c>
      <c r="N67" s="39" t="e">
        <f ca="1"/>
        <v>#REF!</v>
      </c>
      <c r="O67" s="31" t="e">
        <f ca="1"/>
        <v>#REF!</v>
      </c>
      <c r="P67" s="31" t="e">
        <f ca="1"/>
        <v>#REF!</v>
      </c>
      <c r="Q67" s="35" t="e">
        <f ca="1"/>
        <v>#REF!</v>
      </c>
      <c r="R67" s="35" t="e">
        <f ca="1"/>
        <v>#REF!</v>
      </c>
      <c r="S67" s="35" t="e">
        <f ca="1"/>
        <v>#REF!</v>
      </c>
      <c r="T67" s="40" t="e">
        <f ca="1"/>
        <v>#REF!</v>
      </c>
      <c r="U67" s="42" t="e">
        <f ca="1"/>
        <v>#REF!</v>
      </c>
      <c r="V67" s="31" t="e">
        <f ca="1"/>
        <v>#REF!</v>
      </c>
      <c r="W67" s="41" t="e">
        <f ca="1"/>
        <v>#REF!</v>
      </c>
      <c r="X67" s="41" t="e">
        <f ca="1"/>
        <v>#REF!</v>
      </c>
      <c r="Y67" s="41" t="e">
        <f ca="1"/>
        <v>#REF!</v>
      </c>
      <c r="Z67" s="29" t="e">
        <f ca="1"/>
        <v>#REF!</v>
      </c>
      <c r="AA67" s="34" t="e">
        <f ca="1"/>
        <v>#REF!</v>
      </c>
    </row>
    <row r="68" spans="1:27" s="28" customFormat="1" ht="11.25" x14ac:dyDescent="0.25">
      <c r="A68" s="24">
        <v>62</v>
      </c>
      <c r="B68" s="24"/>
      <c r="C68" s="25"/>
      <c r="D68" s="26"/>
      <c r="E68" s="25"/>
      <c r="F68" s="25"/>
      <c r="G68" s="24"/>
      <c r="H68" s="25" t="e">
        <f ca="1"/>
        <v>#REF!</v>
      </c>
      <c r="I68" s="27" t="e">
        <f ca="1"/>
        <v>#REF!</v>
      </c>
      <c r="J68" s="28" t="e">
        <f ca="1"/>
        <v>#REF!</v>
      </c>
      <c r="K68" s="29" t="e">
        <f ca="1"/>
        <v>#REF!</v>
      </c>
      <c r="L68" s="38" t="e">
        <f ca="1"/>
        <v>#REF!</v>
      </c>
      <c r="M68" s="36" t="e">
        <f ca="1"/>
        <v>#REF!</v>
      </c>
      <c r="N68" s="39" t="e">
        <f ca="1"/>
        <v>#REF!</v>
      </c>
      <c r="O68" s="31" t="e">
        <f ca="1"/>
        <v>#REF!</v>
      </c>
      <c r="P68" s="35" t="e">
        <f ca="1"/>
        <v>#REF!</v>
      </c>
      <c r="Q68" s="47" t="e">
        <f ca="1"/>
        <v>#REF!</v>
      </c>
      <c r="R68" s="47" t="e">
        <f ca="1"/>
        <v>#REF!</v>
      </c>
      <c r="S68" s="35" t="e">
        <f ca="1"/>
        <v>#REF!</v>
      </c>
      <c r="T68" s="40" t="e">
        <f ca="1"/>
        <v>#REF!</v>
      </c>
      <c r="U68" s="42" t="e">
        <f ca="1"/>
        <v>#REF!</v>
      </c>
      <c r="V68" s="31" t="e">
        <f ca="1"/>
        <v>#REF!</v>
      </c>
      <c r="W68" s="41" t="e">
        <f ca="1"/>
        <v>#REF!</v>
      </c>
      <c r="X68" s="41" t="e">
        <f ca="1"/>
        <v>#REF!</v>
      </c>
      <c r="Y68" s="41" t="e">
        <f ca="1"/>
        <v>#REF!</v>
      </c>
      <c r="Z68" s="29" t="e">
        <f ca="1"/>
        <v>#REF!</v>
      </c>
      <c r="AA68" s="34" t="e">
        <f ca="1"/>
        <v>#REF!</v>
      </c>
    </row>
    <row r="69" spans="1:27" s="28" customFormat="1" ht="11.25" x14ac:dyDescent="0.25">
      <c r="A69" s="24">
        <v>63</v>
      </c>
      <c r="B69" s="24"/>
      <c r="C69" s="25"/>
      <c r="D69" s="26"/>
      <c r="E69" s="25"/>
      <c r="F69" s="25"/>
      <c r="G69" s="24"/>
      <c r="H69" s="25" t="e">
        <f ca="1"/>
        <v>#REF!</v>
      </c>
      <c r="I69" s="27" t="e">
        <f ca="1"/>
        <v>#REF!</v>
      </c>
      <c r="J69" s="28" t="e">
        <f ca="1"/>
        <v>#REF!</v>
      </c>
      <c r="K69" s="29" t="e">
        <f ca="1"/>
        <v>#REF!</v>
      </c>
      <c r="L69" s="33" t="e">
        <f ca="1"/>
        <v>#REF!</v>
      </c>
      <c r="M69" s="44" t="e">
        <f ca="1"/>
        <v>#REF!</v>
      </c>
      <c r="N69" s="39" t="e">
        <f ca="1"/>
        <v>#REF!</v>
      </c>
      <c r="O69" s="31" t="e">
        <f ca="1"/>
        <v>#REF!</v>
      </c>
      <c r="P69" s="35" t="e">
        <f ca="1"/>
        <v>#REF!</v>
      </c>
      <c r="Q69" s="35" t="e">
        <f ca="1"/>
        <v>#REF!</v>
      </c>
      <c r="R69" s="35" t="e">
        <f ca="1"/>
        <v>#REF!</v>
      </c>
      <c r="S69" s="35" t="e">
        <f ca="1"/>
        <v>#REF!</v>
      </c>
      <c r="T69" s="40" t="e">
        <f ca="1"/>
        <v>#REF!</v>
      </c>
      <c r="U69" s="42" t="e">
        <f ca="1"/>
        <v>#REF!</v>
      </c>
      <c r="V69" s="31" t="e">
        <f ca="1"/>
        <v>#REF!</v>
      </c>
      <c r="W69" s="41" t="e">
        <f ca="1"/>
        <v>#REF!</v>
      </c>
      <c r="X69" s="41" t="e">
        <f ca="1"/>
        <v>#REF!</v>
      </c>
      <c r="Y69" s="41" t="e">
        <f ca="1"/>
        <v>#REF!</v>
      </c>
      <c r="Z69" s="29" t="e">
        <f ca="1"/>
        <v>#REF!</v>
      </c>
      <c r="AA69" s="34" t="e">
        <f ca="1"/>
        <v>#REF!</v>
      </c>
    </row>
    <row r="70" spans="1:27" s="28" customFormat="1" ht="11.25" x14ac:dyDescent="0.25">
      <c r="A70" s="24">
        <v>64</v>
      </c>
      <c r="B70" s="24"/>
      <c r="C70" s="25"/>
      <c r="D70" s="26"/>
      <c r="E70" s="25"/>
      <c r="F70" s="25"/>
      <c r="G70" s="24"/>
      <c r="H70" s="25" t="e">
        <f ca="1"/>
        <v>#REF!</v>
      </c>
      <c r="I70" s="27" t="e">
        <f ca="1"/>
        <v>#REF!</v>
      </c>
      <c r="J70" s="28" t="e">
        <f ca="1"/>
        <v>#REF!</v>
      </c>
      <c r="K70" s="29" t="e">
        <f ca="1"/>
        <v>#REF!</v>
      </c>
      <c r="L70" s="32" t="e">
        <f ca="1"/>
        <v>#REF!</v>
      </c>
      <c r="M70" s="44" t="e">
        <f ca="1"/>
        <v>#REF!</v>
      </c>
      <c r="N70" s="39" t="e">
        <f ca="1"/>
        <v>#REF!</v>
      </c>
      <c r="O70" s="35" t="e">
        <f ca="1"/>
        <v>#REF!</v>
      </c>
      <c r="P70" s="35" t="e">
        <f ca="1"/>
        <v>#REF!</v>
      </c>
      <c r="Q70" s="35" t="e">
        <f ca="1"/>
        <v>#REF!</v>
      </c>
      <c r="R70" s="35" t="e">
        <f ca="1"/>
        <v>#REF!</v>
      </c>
      <c r="S70" s="35" t="e">
        <f ca="1"/>
        <v>#REF!</v>
      </c>
      <c r="T70" s="47" t="e">
        <f ca="1"/>
        <v>#REF!</v>
      </c>
      <c r="U70" s="42" t="e">
        <f ca="1"/>
        <v>#REF!</v>
      </c>
      <c r="V70" s="31" t="e">
        <f ca="1"/>
        <v>#REF!</v>
      </c>
      <c r="W70" s="41" t="e">
        <f ca="1"/>
        <v>#REF!</v>
      </c>
      <c r="X70" s="41" t="e">
        <f ca="1"/>
        <v>#REF!</v>
      </c>
      <c r="Y70" s="41" t="e">
        <f ca="1"/>
        <v>#REF!</v>
      </c>
      <c r="Z70" s="29" t="e">
        <f ca="1"/>
        <v>#REF!</v>
      </c>
      <c r="AA70" s="34" t="e">
        <f ca="1"/>
        <v>#REF!</v>
      </c>
    </row>
    <row r="71" spans="1:27" s="28" customFormat="1" ht="11.25" x14ac:dyDescent="0.25">
      <c r="A71" s="24">
        <v>65</v>
      </c>
      <c r="B71" s="24"/>
      <c r="C71" s="25"/>
      <c r="D71" s="26"/>
      <c r="E71" s="25"/>
      <c r="F71" s="25"/>
      <c r="G71" s="24"/>
      <c r="H71" s="25" t="e">
        <f ca="1"/>
        <v>#REF!</v>
      </c>
      <c r="I71" s="27" t="e">
        <f ca="1"/>
        <v>#REF!</v>
      </c>
      <c r="J71" s="28" t="e">
        <f ca="1"/>
        <v>#REF!</v>
      </c>
      <c r="K71" s="29" t="e">
        <f ca="1"/>
        <v>#REF!</v>
      </c>
      <c r="L71" s="33" t="e">
        <f ca="1"/>
        <v>#REF!</v>
      </c>
      <c r="M71" s="36" t="e">
        <f ca="1"/>
        <v>#REF!</v>
      </c>
      <c r="N71" s="30" t="e">
        <f ca="1"/>
        <v>#REF!</v>
      </c>
      <c r="O71" s="31" t="e">
        <f ca="1"/>
        <v>#REF!</v>
      </c>
      <c r="P71" s="35" t="e">
        <f ca="1"/>
        <v>#REF!</v>
      </c>
      <c r="Q71" s="35" t="e">
        <f ca="1"/>
        <v>#REF!</v>
      </c>
      <c r="R71" s="35" t="e">
        <f ca="1"/>
        <v>#REF!</v>
      </c>
      <c r="S71" s="35" t="e">
        <f ca="1"/>
        <v>#REF!</v>
      </c>
      <c r="T71" s="40" t="e">
        <f ca="1"/>
        <v>#REF!</v>
      </c>
      <c r="U71" s="42" t="e">
        <f ca="1"/>
        <v>#REF!</v>
      </c>
      <c r="V71" s="31" t="e">
        <f ca="1"/>
        <v>#REF!</v>
      </c>
      <c r="W71" s="41" t="e">
        <f ca="1"/>
        <v>#REF!</v>
      </c>
      <c r="X71" s="41" t="e">
        <f ca="1"/>
        <v>#REF!</v>
      </c>
      <c r="Y71" s="41" t="e">
        <f ca="1"/>
        <v>#REF!</v>
      </c>
      <c r="Z71" s="29" t="e">
        <f ca="1"/>
        <v>#REF!</v>
      </c>
      <c r="AA71" s="34" t="e">
        <f ca="1"/>
        <v>#REF!</v>
      </c>
    </row>
    <row r="72" spans="1:27" s="28" customFormat="1" ht="108" customHeight="1" x14ac:dyDescent="0.25">
      <c r="A72" s="24">
        <v>66</v>
      </c>
      <c r="B72" s="24"/>
      <c r="C72" s="25"/>
      <c r="D72" s="26"/>
      <c r="E72" s="25"/>
      <c r="F72" s="25"/>
      <c r="G72" s="24"/>
      <c r="H72" s="25" t="e">
        <f ca="1"/>
        <v>#REF!</v>
      </c>
      <c r="I72" s="27" t="e">
        <f ca="1"/>
        <v>#REF!</v>
      </c>
      <c r="J72" s="28" t="e">
        <f ca="1"/>
        <v>#REF!</v>
      </c>
      <c r="K72" s="29" t="e">
        <f ca="1"/>
        <v>#REF!</v>
      </c>
      <c r="L72" s="33" t="e">
        <f ca="1"/>
        <v>#REF!</v>
      </c>
      <c r="M72" s="36" t="e">
        <f ca="1"/>
        <v>#REF!</v>
      </c>
      <c r="N72" s="30" t="e">
        <f ca="1"/>
        <v>#REF!</v>
      </c>
      <c r="O72" s="31" t="e">
        <f ca="1"/>
        <v>#REF!</v>
      </c>
      <c r="P72" s="35" t="e">
        <f ca="1"/>
        <v>#REF!</v>
      </c>
      <c r="Q72" s="35" t="e">
        <f ca="1"/>
        <v>#REF!</v>
      </c>
      <c r="R72" s="35" t="e">
        <f ca="1"/>
        <v>#REF!</v>
      </c>
      <c r="S72" s="35" t="e">
        <f ca="1"/>
        <v>#REF!</v>
      </c>
      <c r="T72" s="40" t="e">
        <f ca="1"/>
        <v>#REF!</v>
      </c>
      <c r="U72" s="42" t="e">
        <f ca="1"/>
        <v>#REF!</v>
      </c>
      <c r="V72" s="31" t="e">
        <f ca="1"/>
        <v>#REF!</v>
      </c>
      <c r="W72" s="41" t="e">
        <f ca="1"/>
        <v>#REF!</v>
      </c>
      <c r="X72" s="41" t="e">
        <f ca="1"/>
        <v>#REF!</v>
      </c>
      <c r="Y72" s="41" t="e">
        <f ca="1"/>
        <v>#REF!</v>
      </c>
      <c r="Z72" s="29" t="e">
        <f ca="1"/>
        <v>#REF!</v>
      </c>
      <c r="AA72" s="34" t="e">
        <f ca="1"/>
        <v>#REF!</v>
      </c>
    </row>
    <row r="73" spans="1:27" s="28" customFormat="1" ht="11.25" x14ac:dyDescent="0.25">
      <c r="A73" s="24">
        <v>67</v>
      </c>
      <c r="B73" s="24"/>
      <c r="C73" s="25"/>
      <c r="D73" s="26"/>
      <c r="E73" s="25"/>
      <c r="F73" s="25"/>
      <c r="G73" s="24"/>
      <c r="H73" s="25" t="e">
        <f ca="1"/>
        <v>#REF!</v>
      </c>
      <c r="I73" s="27" t="e">
        <f ca="1"/>
        <v>#REF!</v>
      </c>
      <c r="J73" s="28" t="e">
        <f ca="1"/>
        <v>#REF!</v>
      </c>
      <c r="K73" s="29" t="e">
        <f ca="1"/>
        <v>#REF!</v>
      </c>
      <c r="L73" s="33" t="e">
        <f ca="1"/>
        <v>#REF!</v>
      </c>
      <c r="M73" s="36" t="e">
        <f ca="1"/>
        <v>#REF!</v>
      </c>
      <c r="N73" s="30" t="e">
        <f ca="1"/>
        <v>#REF!</v>
      </c>
      <c r="O73" s="31" t="e">
        <f ca="1"/>
        <v>#REF!</v>
      </c>
      <c r="P73" s="35" t="e">
        <f ca="1"/>
        <v>#REF!</v>
      </c>
      <c r="Q73" s="31" t="e">
        <f ca="1"/>
        <v>#REF!</v>
      </c>
      <c r="R73" s="31" t="e">
        <f ca="1"/>
        <v>#REF!</v>
      </c>
      <c r="S73" s="35" t="e">
        <f ca="1"/>
        <v>#REF!</v>
      </c>
      <c r="T73" s="40" t="e">
        <f ca="1"/>
        <v>#REF!</v>
      </c>
      <c r="U73" s="42" t="e">
        <f ca="1"/>
        <v>#REF!</v>
      </c>
      <c r="V73" s="31" t="e">
        <f ca="1"/>
        <v>#REF!</v>
      </c>
      <c r="W73" s="41" t="e">
        <f ca="1"/>
        <v>#REF!</v>
      </c>
      <c r="X73" s="41" t="e">
        <f ca="1"/>
        <v>#REF!</v>
      </c>
      <c r="Y73" s="41" t="e">
        <f ca="1"/>
        <v>#REF!</v>
      </c>
      <c r="Z73" s="45" t="e">
        <f ca="1"/>
        <v>#REF!</v>
      </c>
      <c r="AA73" s="34" t="e">
        <f ca="1"/>
        <v>#REF!</v>
      </c>
    </row>
    <row r="74" spans="1:27" s="28" customFormat="1" ht="11.25" x14ac:dyDescent="0.25">
      <c r="A74" s="24">
        <v>68</v>
      </c>
      <c r="B74" s="24"/>
      <c r="C74" s="25"/>
      <c r="D74" s="26"/>
      <c r="E74" s="25"/>
      <c r="F74" s="25"/>
      <c r="G74" s="24"/>
      <c r="H74" s="25" t="e">
        <f ca="1"/>
        <v>#REF!</v>
      </c>
      <c r="I74" s="27" t="e">
        <f ca="1"/>
        <v>#REF!</v>
      </c>
      <c r="J74" s="28" t="e">
        <f ca="1"/>
        <v>#REF!</v>
      </c>
      <c r="K74" s="29" t="e">
        <f ca="1"/>
        <v>#REF!</v>
      </c>
      <c r="L74" s="33" t="e">
        <f ca="1"/>
        <v>#REF!</v>
      </c>
      <c r="M74" s="36" t="e">
        <f ca="1"/>
        <v>#REF!</v>
      </c>
      <c r="N74" s="39" t="e">
        <f ca="1"/>
        <v>#REF!</v>
      </c>
      <c r="O74" s="31" t="e">
        <f ca="1"/>
        <v>#REF!</v>
      </c>
      <c r="P74" s="35" t="e">
        <f ca="1"/>
        <v>#REF!</v>
      </c>
      <c r="Q74" s="35" t="e">
        <f ca="1"/>
        <v>#REF!</v>
      </c>
      <c r="R74" s="35" t="e">
        <f ca="1"/>
        <v>#REF!</v>
      </c>
      <c r="S74" s="35" t="e">
        <f ca="1"/>
        <v>#REF!</v>
      </c>
      <c r="T74" s="40" t="e">
        <f ca="1"/>
        <v>#REF!</v>
      </c>
      <c r="U74" s="42" t="e">
        <f ca="1"/>
        <v>#REF!</v>
      </c>
      <c r="V74" s="31" t="e">
        <f ca="1"/>
        <v>#REF!</v>
      </c>
      <c r="W74" s="41" t="e">
        <f ca="1"/>
        <v>#REF!</v>
      </c>
      <c r="X74" s="41" t="e">
        <f ca="1"/>
        <v>#REF!</v>
      </c>
      <c r="Y74" s="41" t="e">
        <f ca="1"/>
        <v>#REF!</v>
      </c>
      <c r="Z74" s="29" t="e">
        <f ca="1"/>
        <v>#REF!</v>
      </c>
      <c r="AA74" s="34" t="e">
        <f ca="1"/>
        <v>#REF!</v>
      </c>
    </row>
    <row r="75" spans="1:27" s="28" customFormat="1" ht="11.25" x14ac:dyDescent="0.25">
      <c r="A75" s="24">
        <v>69</v>
      </c>
      <c r="B75" s="24"/>
      <c r="C75" s="25"/>
      <c r="D75" s="26"/>
      <c r="E75" s="25"/>
      <c r="F75" s="25"/>
      <c r="G75" s="24"/>
      <c r="H75" s="25" t="e">
        <f ca="1"/>
        <v>#REF!</v>
      </c>
      <c r="I75" s="27" t="e">
        <f ca="1"/>
        <v>#REF!</v>
      </c>
      <c r="J75" s="28" t="e">
        <f ca="1"/>
        <v>#REF!</v>
      </c>
      <c r="K75" s="29" t="e">
        <f ca="1"/>
        <v>#REF!</v>
      </c>
      <c r="L75" s="33" t="e">
        <f ca="1"/>
        <v>#REF!</v>
      </c>
      <c r="M75" s="36" t="e">
        <f ca="1"/>
        <v>#REF!</v>
      </c>
      <c r="N75" s="39" t="e">
        <f ca="1"/>
        <v>#REF!</v>
      </c>
      <c r="O75" s="35" t="e">
        <f ca="1"/>
        <v>#REF!</v>
      </c>
      <c r="P75" s="35" t="e">
        <f ca="1"/>
        <v>#REF!</v>
      </c>
      <c r="Q75" s="35" t="e">
        <f ca="1"/>
        <v>#REF!</v>
      </c>
      <c r="R75" s="35" t="e">
        <f ca="1"/>
        <v>#REF!</v>
      </c>
      <c r="S75" s="35" t="e">
        <f ca="1"/>
        <v>#REF!</v>
      </c>
      <c r="T75" s="40" t="e">
        <f ca="1"/>
        <v>#REF!</v>
      </c>
      <c r="U75" s="42" t="e">
        <f ca="1"/>
        <v>#REF!</v>
      </c>
      <c r="V75" s="31" t="e">
        <f ca="1"/>
        <v>#REF!</v>
      </c>
      <c r="W75" s="41" t="e">
        <f ca="1"/>
        <v>#REF!</v>
      </c>
      <c r="X75" s="41" t="e">
        <f ca="1"/>
        <v>#REF!</v>
      </c>
      <c r="Y75" s="41" t="e">
        <f ca="1"/>
        <v>#REF!</v>
      </c>
      <c r="Z75" s="29" t="e">
        <f ca="1"/>
        <v>#REF!</v>
      </c>
      <c r="AA75" s="34" t="e">
        <f ca="1"/>
        <v>#REF!</v>
      </c>
    </row>
    <row r="76" spans="1:27" s="28" customFormat="1" ht="11.25" x14ac:dyDescent="0.25">
      <c r="A76" s="24">
        <v>70</v>
      </c>
      <c r="B76" s="24"/>
      <c r="C76" s="25"/>
      <c r="D76" s="26"/>
      <c r="E76" s="25"/>
      <c r="F76" s="25"/>
      <c r="G76" s="24"/>
      <c r="H76" s="25" t="e">
        <f ca="1"/>
        <v>#REF!</v>
      </c>
      <c r="I76" s="27" t="e">
        <f ca="1"/>
        <v>#REF!</v>
      </c>
      <c r="J76" s="28" t="e">
        <f ca="1"/>
        <v>#REF!</v>
      </c>
      <c r="K76" s="29" t="e">
        <f ca="1"/>
        <v>#REF!</v>
      </c>
      <c r="L76" s="33" t="e">
        <f ca="1"/>
        <v>#REF!</v>
      </c>
      <c r="M76" s="36" t="e">
        <f ca="1"/>
        <v>#REF!</v>
      </c>
      <c r="N76" s="30" t="e">
        <f ca="1"/>
        <v>#REF!</v>
      </c>
      <c r="O76" s="31" t="e">
        <f ca="1"/>
        <v>#REF!</v>
      </c>
      <c r="P76" s="35" t="e">
        <f ca="1"/>
        <v>#REF!</v>
      </c>
      <c r="Q76" s="31" t="e">
        <f ca="1"/>
        <v>#REF!</v>
      </c>
      <c r="R76" s="31" t="e">
        <f ca="1"/>
        <v>#REF!</v>
      </c>
      <c r="S76" s="31" t="e">
        <f ca="1"/>
        <v>#REF!</v>
      </c>
      <c r="T76" s="40" t="e">
        <f ca="1"/>
        <v>#REF!</v>
      </c>
      <c r="U76" s="42" t="e">
        <f ca="1"/>
        <v>#REF!</v>
      </c>
      <c r="V76" s="31" t="e">
        <f ca="1"/>
        <v>#REF!</v>
      </c>
      <c r="W76" s="41" t="e">
        <f ca="1"/>
        <v>#REF!</v>
      </c>
      <c r="X76" s="41" t="e">
        <f ca="1"/>
        <v>#REF!</v>
      </c>
      <c r="Y76" s="41" t="e">
        <f ca="1"/>
        <v>#REF!</v>
      </c>
      <c r="Z76" s="29" t="e">
        <f ca="1"/>
        <v>#REF!</v>
      </c>
      <c r="AA76" s="34" t="e">
        <f ca="1"/>
        <v>#REF!</v>
      </c>
    </row>
    <row r="77" spans="1:27" s="28" customFormat="1" ht="11.25" x14ac:dyDescent="0.25">
      <c r="A77" s="24">
        <v>71</v>
      </c>
      <c r="B77" s="24"/>
      <c r="C77" s="25"/>
      <c r="D77" s="26"/>
      <c r="E77" s="25"/>
      <c r="F77" s="25"/>
      <c r="G77" s="24"/>
      <c r="H77" s="25" t="e">
        <f ca="1"/>
        <v>#REF!</v>
      </c>
      <c r="I77" s="27" t="e">
        <f ca="1"/>
        <v>#REF!</v>
      </c>
      <c r="J77" s="28" t="e">
        <f ca="1"/>
        <v>#REF!</v>
      </c>
      <c r="K77" s="29" t="e">
        <f ca="1"/>
        <v>#REF!</v>
      </c>
      <c r="L77" s="33" t="e">
        <f ca="1"/>
        <v>#REF!</v>
      </c>
      <c r="M77" s="36" t="e">
        <f ca="1"/>
        <v>#REF!</v>
      </c>
      <c r="N77" s="30" t="e">
        <f ca="1"/>
        <v>#REF!</v>
      </c>
      <c r="O77" s="31" t="e">
        <f ca="1"/>
        <v>#REF!</v>
      </c>
      <c r="P77" s="35" t="e">
        <f ca="1"/>
        <v>#REF!</v>
      </c>
      <c r="Q77" s="31" t="e">
        <f ca="1"/>
        <v>#REF!</v>
      </c>
      <c r="R77" s="31" t="e">
        <f ca="1"/>
        <v>#REF!</v>
      </c>
      <c r="S77" s="31" t="e">
        <f ca="1"/>
        <v>#REF!</v>
      </c>
      <c r="T77" s="40" t="e">
        <f ca="1"/>
        <v>#REF!</v>
      </c>
      <c r="U77" s="42" t="e">
        <f ca="1"/>
        <v>#REF!</v>
      </c>
      <c r="V77" s="31" t="e">
        <f ca="1"/>
        <v>#REF!</v>
      </c>
      <c r="W77" s="41" t="e">
        <f ca="1"/>
        <v>#REF!</v>
      </c>
      <c r="X77" s="41" t="e">
        <f ca="1"/>
        <v>#REF!</v>
      </c>
      <c r="Y77" s="41" t="e">
        <f ca="1"/>
        <v>#REF!</v>
      </c>
      <c r="Z77" s="29" t="e">
        <f ca="1"/>
        <v>#REF!</v>
      </c>
      <c r="AA77" s="34" t="e">
        <f ca="1"/>
        <v>#REF!</v>
      </c>
    </row>
    <row r="78" spans="1:27" s="28" customFormat="1" ht="11.25" x14ac:dyDescent="0.25">
      <c r="A78" s="24">
        <v>72</v>
      </c>
      <c r="B78" s="24"/>
      <c r="C78" s="25"/>
      <c r="D78" s="26"/>
      <c r="E78" s="25"/>
      <c r="F78" s="25"/>
      <c r="G78" s="24"/>
      <c r="H78" s="25" t="e">
        <f ca="1"/>
        <v>#REF!</v>
      </c>
      <c r="I78" s="27" t="e">
        <f ca="1"/>
        <v>#REF!</v>
      </c>
      <c r="J78" s="28" t="e">
        <f ca="1"/>
        <v>#REF!</v>
      </c>
      <c r="K78" s="29" t="e">
        <f ca="1"/>
        <v>#REF!</v>
      </c>
      <c r="L78" s="33" t="e">
        <f ca="1"/>
        <v>#REF!</v>
      </c>
      <c r="M78" s="36" t="e">
        <f ca="1"/>
        <v>#REF!</v>
      </c>
      <c r="N78" s="30" t="e">
        <f ca="1"/>
        <v>#REF!</v>
      </c>
      <c r="O78" s="31" t="e">
        <f ca="1"/>
        <v>#REF!</v>
      </c>
      <c r="P78" s="35" t="e">
        <f ca="1"/>
        <v>#REF!</v>
      </c>
      <c r="Q78" s="31" t="e">
        <f ca="1"/>
        <v>#REF!</v>
      </c>
      <c r="R78" s="31" t="e">
        <f ca="1"/>
        <v>#REF!</v>
      </c>
      <c r="S78" s="31" t="e">
        <f ca="1"/>
        <v>#REF!</v>
      </c>
      <c r="T78" s="40" t="e">
        <f ca="1"/>
        <v>#REF!</v>
      </c>
      <c r="U78" s="42" t="e">
        <f ca="1"/>
        <v>#REF!</v>
      </c>
      <c r="V78" s="31" t="e">
        <f ca="1"/>
        <v>#REF!</v>
      </c>
      <c r="W78" s="41" t="e">
        <f ca="1"/>
        <v>#REF!</v>
      </c>
      <c r="X78" s="41" t="e">
        <f ca="1"/>
        <v>#REF!</v>
      </c>
      <c r="Y78" s="41" t="e">
        <f ca="1"/>
        <v>#REF!</v>
      </c>
      <c r="Z78" s="45" t="e">
        <f ca="1"/>
        <v>#REF!</v>
      </c>
      <c r="AA78" s="34" t="e">
        <f ca="1"/>
        <v>#REF!</v>
      </c>
    </row>
    <row r="79" spans="1:27" s="28" customFormat="1" ht="11.25" x14ac:dyDescent="0.25">
      <c r="A79" s="24">
        <v>73</v>
      </c>
      <c r="B79" s="24"/>
      <c r="C79" s="25"/>
      <c r="D79" s="26"/>
      <c r="E79" s="25"/>
      <c r="F79" s="25"/>
      <c r="G79" s="24"/>
      <c r="H79" s="25" t="e">
        <f ca="1"/>
        <v>#REF!</v>
      </c>
      <c r="I79" s="27" t="e">
        <f ca="1"/>
        <v>#REF!</v>
      </c>
      <c r="J79" s="28" t="e">
        <f ca="1"/>
        <v>#REF!</v>
      </c>
      <c r="K79" s="29" t="e">
        <f ca="1"/>
        <v>#REF!</v>
      </c>
      <c r="L79" s="33" t="e">
        <f ca="1"/>
        <v>#REF!</v>
      </c>
      <c r="M79" s="44" t="e">
        <f ca="1"/>
        <v>#REF!</v>
      </c>
      <c r="N79" s="30" t="e">
        <f ca="1"/>
        <v>#REF!</v>
      </c>
      <c r="O79" s="31" t="e">
        <f ca="1"/>
        <v>#REF!</v>
      </c>
      <c r="P79" s="35" t="e">
        <f ca="1"/>
        <v>#REF!</v>
      </c>
      <c r="Q79" s="35" t="e">
        <f ca="1"/>
        <v>#REF!</v>
      </c>
      <c r="R79" s="35" t="e">
        <f ca="1"/>
        <v>#REF!</v>
      </c>
      <c r="S79" s="35" t="e">
        <f ca="1"/>
        <v>#REF!</v>
      </c>
      <c r="T79" s="40" t="e">
        <f ca="1"/>
        <v>#REF!</v>
      </c>
      <c r="U79" s="42" t="e">
        <f ca="1"/>
        <v>#REF!</v>
      </c>
      <c r="V79" s="31" t="e">
        <f ca="1"/>
        <v>#REF!</v>
      </c>
      <c r="W79" s="41" t="e">
        <f ca="1"/>
        <v>#REF!</v>
      </c>
      <c r="X79" s="41" t="e">
        <f ca="1"/>
        <v>#REF!</v>
      </c>
      <c r="Y79" s="41" t="e">
        <f ca="1"/>
        <v>#REF!</v>
      </c>
      <c r="Z79" s="29" t="e">
        <f ca="1"/>
        <v>#REF!</v>
      </c>
      <c r="AA79" s="34" t="e">
        <f ca="1"/>
        <v>#REF!</v>
      </c>
    </row>
    <row r="80" spans="1:27" s="28" customFormat="1" ht="11.25" x14ac:dyDescent="0.25">
      <c r="A80" s="24">
        <v>74</v>
      </c>
      <c r="B80" s="24"/>
      <c r="C80" s="25"/>
      <c r="D80" s="26"/>
      <c r="E80" s="25"/>
      <c r="F80" s="25"/>
      <c r="G80" s="24"/>
      <c r="H80" s="25" t="e">
        <f ca="1"/>
        <v>#REF!</v>
      </c>
      <c r="I80" s="27" t="e">
        <f ca="1"/>
        <v>#REF!</v>
      </c>
      <c r="J80" s="28" t="e">
        <f ca="1"/>
        <v>#REF!</v>
      </c>
      <c r="K80" s="29" t="e">
        <f ca="1"/>
        <v>#REF!</v>
      </c>
      <c r="L80" s="33" t="e">
        <f ca="1"/>
        <v>#REF!</v>
      </c>
      <c r="M80" s="36" t="e">
        <f ca="1"/>
        <v>#REF!</v>
      </c>
      <c r="N80" s="30" t="e">
        <f ca="1"/>
        <v>#REF!</v>
      </c>
      <c r="O80" s="31" t="e">
        <f ca="1"/>
        <v>#REF!</v>
      </c>
      <c r="P80" s="35" t="e">
        <f ca="1"/>
        <v>#REF!</v>
      </c>
      <c r="Q80" s="35" t="e">
        <f ca="1"/>
        <v>#REF!</v>
      </c>
      <c r="R80" s="35" t="e">
        <f ca="1"/>
        <v>#REF!</v>
      </c>
      <c r="S80" s="35" t="e">
        <f ca="1"/>
        <v>#REF!</v>
      </c>
      <c r="T80" s="40" t="e">
        <f ca="1"/>
        <v>#REF!</v>
      </c>
      <c r="U80" s="42" t="e">
        <f ca="1"/>
        <v>#REF!</v>
      </c>
      <c r="V80" s="31" t="e">
        <f ca="1"/>
        <v>#REF!</v>
      </c>
      <c r="W80" s="41" t="e">
        <f ca="1"/>
        <v>#REF!</v>
      </c>
      <c r="X80" s="41" t="e">
        <f ca="1"/>
        <v>#REF!</v>
      </c>
      <c r="Y80" s="41" t="e">
        <f ca="1"/>
        <v>#REF!</v>
      </c>
      <c r="Z80" s="29" t="e">
        <f ca="1"/>
        <v>#REF!</v>
      </c>
      <c r="AA80" s="34" t="e">
        <f ca="1"/>
        <v>#REF!</v>
      </c>
    </row>
    <row r="81" spans="1:27" s="28" customFormat="1" ht="11.25" x14ac:dyDescent="0.25">
      <c r="A81" s="24">
        <v>75</v>
      </c>
      <c r="B81" s="24"/>
      <c r="C81" s="25"/>
      <c r="D81" s="26"/>
      <c r="E81" s="25"/>
      <c r="F81" s="25"/>
      <c r="G81" s="24"/>
      <c r="H81" s="25" t="e">
        <f ca="1"/>
        <v>#REF!</v>
      </c>
      <c r="I81" s="27" t="e">
        <f ca="1"/>
        <v>#REF!</v>
      </c>
      <c r="J81" s="28" t="e">
        <f ca="1"/>
        <v>#REF!</v>
      </c>
      <c r="K81" s="29" t="e">
        <f ca="1"/>
        <v>#REF!</v>
      </c>
      <c r="L81" s="33" t="e">
        <f ca="1"/>
        <v>#REF!</v>
      </c>
      <c r="M81" s="36" t="e">
        <f ca="1"/>
        <v>#REF!</v>
      </c>
      <c r="N81" s="30" t="e">
        <f ca="1"/>
        <v>#REF!</v>
      </c>
      <c r="O81" s="31" t="e">
        <f ca="1"/>
        <v>#REF!</v>
      </c>
      <c r="P81" s="35" t="e">
        <f ca="1"/>
        <v>#REF!</v>
      </c>
      <c r="Q81" s="35" t="e">
        <f ca="1"/>
        <v>#REF!</v>
      </c>
      <c r="R81" s="35" t="e">
        <f ca="1"/>
        <v>#REF!</v>
      </c>
      <c r="S81" s="35" t="e">
        <f ca="1"/>
        <v>#REF!</v>
      </c>
      <c r="T81" s="40" t="e">
        <f ca="1"/>
        <v>#REF!</v>
      </c>
      <c r="U81" s="42" t="e">
        <f ca="1"/>
        <v>#REF!</v>
      </c>
      <c r="V81" s="31" t="e">
        <f ca="1"/>
        <v>#REF!</v>
      </c>
      <c r="W81" s="41" t="e">
        <f ca="1"/>
        <v>#REF!</v>
      </c>
      <c r="X81" s="41" t="e">
        <f ca="1"/>
        <v>#REF!</v>
      </c>
      <c r="Y81" s="41" t="e">
        <f ca="1"/>
        <v>#REF!</v>
      </c>
      <c r="Z81" s="29" t="e">
        <f ca="1"/>
        <v>#REF!</v>
      </c>
      <c r="AA81" s="34" t="e">
        <f ca="1"/>
        <v>#REF!</v>
      </c>
    </row>
    <row r="82" spans="1:27" s="28" customFormat="1" ht="11.25" x14ac:dyDescent="0.25">
      <c r="A82" s="24">
        <v>76</v>
      </c>
      <c r="B82" s="24"/>
      <c r="C82" s="25"/>
      <c r="D82" s="26"/>
      <c r="E82" s="25"/>
      <c r="F82" s="25"/>
      <c r="G82" s="24"/>
      <c r="H82" s="25" t="e">
        <f ca="1"/>
        <v>#REF!</v>
      </c>
      <c r="I82" s="27" t="e">
        <f ca="1"/>
        <v>#REF!</v>
      </c>
      <c r="J82" s="28" t="e">
        <f ca="1"/>
        <v>#REF!</v>
      </c>
      <c r="K82" s="29" t="e">
        <f ca="1"/>
        <v>#REF!</v>
      </c>
      <c r="L82" s="33" t="e">
        <f ca="1"/>
        <v>#REF!</v>
      </c>
      <c r="M82" s="36" t="e">
        <f ca="1"/>
        <v>#REF!</v>
      </c>
      <c r="N82" s="30" t="e">
        <f ca="1"/>
        <v>#REF!</v>
      </c>
      <c r="O82" s="31" t="e">
        <f ca="1"/>
        <v>#REF!</v>
      </c>
      <c r="P82" s="35" t="e">
        <f ca="1"/>
        <v>#REF!</v>
      </c>
      <c r="Q82" s="31" t="e">
        <f ca="1"/>
        <v>#REF!</v>
      </c>
      <c r="R82" s="31" t="e">
        <f ca="1"/>
        <v>#REF!</v>
      </c>
      <c r="S82" s="31" t="e">
        <f ca="1"/>
        <v>#REF!</v>
      </c>
      <c r="T82" s="40" t="e">
        <f ca="1"/>
        <v>#REF!</v>
      </c>
      <c r="U82" s="42" t="e">
        <f ca="1"/>
        <v>#REF!</v>
      </c>
      <c r="V82" s="31" t="e">
        <f ca="1"/>
        <v>#REF!</v>
      </c>
      <c r="W82" s="41" t="e">
        <f ca="1"/>
        <v>#REF!</v>
      </c>
      <c r="X82" s="41" t="e">
        <f ca="1"/>
        <v>#REF!</v>
      </c>
      <c r="Y82" s="41" t="e">
        <f ca="1"/>
        <v>#REF!</v>
      </c>
      <c r="Z82" s="29" t="e">
        <f ca="1"/>
        <v>#REF!</v>
      </c>
      <c r="AA82" s="34" t="e">
        <f ca="1"/>
        <v>#REF!</v>
      </c>
    </row>
    <row r="83" spans="1:27" s="28" customFormat="1" ht="11.25" x14ac:dyDescent="0.25">
      <c r="A83" s="24">
        <v>77</v>
      </c>
      <c r="B83" s="24"/>
      <c r="C83" s="25"/>
      <c r="D83" s="26"/>
      <c r="E83" s="25"/>
      <c r="F83" s="25"/>
      <c r="G83" s="24"/>
      <c r="H83" s="25" t="e">
        <f ca="1"/>
        <v>#REF!</v>
      </c>
      <c r="I83" s="27" t="e">
        <f ca="1"/>
        <v>#REF!</v>
      </c>
      <c r="J83" s="28" t="e">
        <f ca="1"/>
        <v>#REF!</v>
      </c>
      <c r="K83" s="29" t="e">
        <f ca="1"/>
        <v>#REF!</v>
      </c>
      <c r="L83" s="33" t="e">
        <f ca="1"/>
        <v>#REF!</v>
      </c>
      <c r="M83" s="25" t="e">
        <f ca="1"/>
        <v>#REF!</v>
      </c>
      <c r="N83" s="30" t="e">
        <f ca="1"/>
        <v>#REF!</v>
      </c>
      <c r="O83" s="31" t="e">
        <f ca="1"/>
        <v>#REF!</v>
      </c>
      <c r="P83" s="35" t="e">
        <f ca="1"/>
        <v>#REF!</v>
      </c>
      <c r="Q83" s="31" t="e">
        <f ca="1"/>
        <v>#REF!</v>
      </c>
      <c r="R83" s="31" t="e">
        <f ca="1"/>
        <v>#REF!</v>
      </c>
      <c r="S83" s="31" t="e">
        <f ca="1"/>
        <v>#REF!</v>
      </c>
      <c r="T83" s="40" t="e">
        <f ca="1"/>
        <v>#REF!</v>
      </c>
      <c r="U83" s="42" t="e">
        <f ca="1"/>
        <v>#REF!</v>
      </c>
      <c r="V83" s="31" t="e">
        <f ca="1"/>
        <v>#REF!</v>
      </c>
      <c r="W83" s="41" t="e">
        <f ca="1"/>
        <v>#REF!</v>
      </c>
      <c r="X83" s="41" t="e">
        <f ca="1"/>
        <v>#REF!</v>
      </c>
      <c r="Y83" s="41" t="e">
        <f ca="1"/>
        <v>#REF!</v>
      </c>
      <c r="Z83" s="29" t="e">
        <f ca="1"/>
        <v>#REF!</v>
      </c>
      <c r="AA83" s="34" t="e">
        <f ca="1"/>
        <v>#REF!</v>
      </c>
    </row>
    <row r="84" spans="1:27" s="28" customFormat="1" ht="106.5" customHeight="1" x14ac:dyDescent="0.25">
      <c r="A84" s="24">
        <v>78</v>
      </c>
      <c r="B84" s="24"/>
      <c r="C84" s="25"/>
      <c r="D84" s="26"/>
      <c r="E84" s="25"/>
      <c r="F84" s="25"/>
      <c r="G84" s="24"/>
      <c r="H84" s="25" t="e">
        <f ca="1"/>
        <v>#REF!</v>
      </c>
      <c r="I84" s="27" t="e">
        <f ca="1"/>
        <v>#REF!</v>
      </c>
      <c r="J84" s="28" t="e">
        <f ca="1"/>
        <v>#REF!</v>
      </c>
      <c r="K84" s="29" t="e">
        <f ca="1"/>
        <v>#REF!</v>
      </c>
      <c r="L84" s="48" t="e">
        <f ca="1"/>
        <v>#REF!</v>
      </c>
      <c r="M84" s="44" t="e">
        <f ca="1"/>
        <v>#REF!</v>
      </c>
      <c r="N84" s="30" t="e">
        <f ca="1"/>
        <v>#REF!</v>
      </c>
      <c r="O84" s="31" t="e">
        <f ca="1"/>
        <v>#REF!</v>
      </c>
      <c r="P84" s="35" t="e">
        <f ca="1"/>
        <v>#REF!</v>
      </c>
      <c r="Q84" s="35" t="e">
        <f ca="1"/>
        <v>#REF!</v>
      </c>
      <c r="R84" s="35" t="e">
        <f ca="1"/>
        <v>#REF!</v>
      </c>
      <c r="S84" s="35" t="e">
        <f ca="1"/>
        <v>#REF!</v>
      </c>
      <c r="T84" s="40" t="e">
        <f ca="1"/>
        <v>#REF!</v>
      </c>
      <c r="U84" s="42" t="e">
        <f ca="1"/>
        <v>#REF!</v>
      </c>
      <c r="V84" s="31" t="e">
        <f ca="1"/>
        <v>#REF!</v>
      </c>
      <c r="W84" s="41" t="e">
        <f ca="1"/>
        <v>#REF!</v>
      </c>
      <c r="X84" s="41" t="e">
        <f ca="1"/>
        <v>#REF!</v>
      </c>
      <c r="Y84" s="41" t="e">
        <f ca="1"/>
        <v>#REF!</v>
      </c>
      <c r="Z84" s="29" t="e">
        <f ca="1"/>
        <v>#REF!</v>
      </c>
      <c r="AA84" s="34" t="e">
        <f ca="1"/>
        <v>#REF!</v>
      </c>
    </row>
    <row r="85" spans="1:27" s="28" customFormat="1" ht="11.25" x14ac:dyDescent="0.25">
      <c r="A85" s="24">
        <v>79</v>
      </c>
      <c r="B85" s="24"/>
      <c r="C85" s="25"/>
      <c r="D85" s="26"/>
      <c r="E85" s="25"/>
      <c r="F85" s="25"/>
      <c r="G85" s="24"/>
      <c r="H85" s="25" t="e">
        <f ca="1"/>
        <v>#REF!</v>
      </c>
      <c r="I85" s="27" t="e">
        <f ca="1"/>
        <v>#REF!</v>
      </c>
      <c r="J85" s="28" t="e">
        <f ca="1"/>
        <v>#REF!</v>
      </c>
      <c r="K85" s="29" t="e">
        <f ca="1"/>
        <v>#REF!</v>
      </c>
      <c r="L85" s="48" t="e">
        <f ca="1"/>
        <v>#REF!</v>
      </c>
      <c r="M85" s="36" t="e">
        <f ca="1"/>
        <v>#REF!</v>
      </c>
      <c r="N85" s="30" t="e">
        <f ca="1"/>
        <v>#REF!</v>
      </c>
      <c r="O85" s="31" t="e">
        <f ca="1"/>
        <v>#REF!</v>
      </c>
      <c r="P85" s="35" t="e">
        <f ca="1"/>
        <v>#REF!</v>
      </c>
      <c r="Q85" s="35" t="e">
        <f ca="1"/>
        <v>#REF!</v>
      </c>
      <c r="R85" s="35" t="e">
        <f ca="1"/>
        <v>#REF!</v>
      </c>
      <c r="S85" s="35" t="e">
        <f ca="1"/>
        <v>#REF!</v>
      </c>
      <c r="T85" s="40" t="e">
        <f ca="1"/>
        <v>#REF!</v>
      </c>
      <c r="U85" s="42" t="e">
        <f ca="1"/>
        <v>#REF!</v>
      </c>
      <c r="V85" s="31" t="e">
        <f ca="1"/>
        <v>#REF!</v>
      </c>
      <c r="W85" s="41" t="e">
        <f ca="1"/>
        <v>#REF!</v>
      </c>
      <c r="X85" s="41" t="e">
        <f ca="1"/>
        <v>#REF!</v>
      </c>
      <c r="Y85" s="41" t="e">
        <f ca="1"/>
        <v>#REF!</v>
      </c>
      <c r="Z85" s="29" t="e">
        <f ca="1"/>
        <v>#REF!</v>
      </c>
      <c r="AA85" s="34" t="e">
        <f ca="1"/>
        <v>#REF!</v>
      </c>
    </row>
    <row r="86" spans="1:27" s="28" customFormat="1" ht="11.25" x14ac:dyDescent="0.25">
      <c r="A86" s="24">
        <v>80</v>
      </c>
      <c r="B86" s="24"/>
      <c r="C86" s="25"/>
      <c r="D86" s="26"/>
      <c r="E86" s="25"/>
      <c r="F86" s="25"/>
      <c r="G86" s="24"/>
      <c r="H86" s="25" t="e">
        <f ca="1"/>
        <v>#REF!</v>
      </c>
      <c r="I86" s="27" t="e">
        <f ca="1"/>
        <v>#REF!</v>
      </c>
      <c r="J86" s="28" t="e">
        <f ca="1"/>
        <v>#REF!</v>
      </c>
      <c r="K86" s="29" t="e">
        <f ca="1"/>
        <v>#REF!</v>
      </c>
      <c r="L86" s="48" t="e">
        <f ca="1"/>
        <v>#REF!</v>
      </c>
      <c r="M86" s="36" t="e">
        <f ca="1"/>
        <v>#REF!</v>
      </c>
      <c r="N86" s="30" t="e">
        <f ca="1"/>
        <v>#REF!</v>
      </c>
      <c r="O86" s="31" t="e">
        <f ca="1"/>
        <v>#REF!</v>
      </c>
      <c r="P86" s="35" t="e">
        <f ca="1"/>
        <v>#REF!</v>
      </c>
      <c r="Q86" s="35" t="e">
        <f ca="1"/>
        <v>#REF!</v>
      </c>
      <c r="R86" s="35" t="e">
        <f ca="1"/>
        <v>#REF!</v>
      </c>
      <c r="S86" s="35" t="e">
        <f ca="1"/>
        <v>#REF!</v>
      </c>
      <c r="T86" s="40" t="e">
        <f ca="1"/>
        <v>#REF!</v>
      </c>
      <c r="U86" s="42" t="e">
        <f ca="1"/>
        <v>#REF!</v>
      </c>
      <c r="V86" s="31" t="e">
        <f ca="1"/>
        <v>#REF!</v>
      </c>
      <c r="W86" s="41" t="e">
        <f ca="1"/>
        <v>#REF!</v>
      </c>
      <c r="X86" s="41" t="e">
        <f ca="1"/>
        <v>#REF!</v>
      </c>
      <c r="Y86" s="41" t="e">
        <f ca="1"/>
        <v>#REF!</v>
      </c>
      <c r="Z86" s="29" t="e">
        <f ca="1"/>
        <v>#REF!</v>
      </c>
      <c r="AA86" s="34" t="e">
        <f ca="1"/>
        <v>#REF!</v>
      </c>
    </row>
    <row r="87" spans="1:27" s="28" customFormat="1" ht="11.25" x14ac:dyDescent="0.25">
      <c r="A87" s="24">
        <v>81</v>
      </c>
      <c r="B87" s="24"/>
      <c r="C87" s="25"/>
      <c r="D87" s="26"/>
      <c r="E87" s="25"/>
      <c r="F87" s="25"/>
      <c r="G87" s="24"/>
      <c r="H87" s="25" t="e">
        <f ca="1"/>
        <v>#REF!</v>
      </c>
      <c r="I87" s="27" t="e">
        <f ca="1"/>
        <v>#REF!</v>
      </c>
      <c r="J87" s="28" t="e">
        <f ca="1"/>
        <v>#REF!</v>
      </c>
      <c r="K87" s="29" t="e">
        <f ca="1"/>
        <v>#REF!</v>
      </c>
      <c r="L87" s="48" t="e">
        <f ca="1"/>
        <v>#REF!</v>
      </c>
      <c r="M87" s="36" t="e">
        <f ca="1"/>
        <v>#REF!</v>
      </c>
      <c r="N87" s="30" t="e">
        <f ca="1"/>
        <v>#REF!</v>
      </c>
      <c r="O87" s="31" t="e">
        <f ca="1"/>
        <v>#REF!</v>
      </c>
      <c r="P87" s="35" t="e">
        <f ca="1"/>
        <v>#REF!</v>
      </c>
      <c r="Q87" s="31" t="e">
        <f ca="1"/>
        <v>#REF!</v>
      </c>
      <c r="R87" s="31" t="e">
        <f ca="1"/>
        <v>#REF!</v>
      </c>
      <c r="S87" s="31" t="e">
        <f ca="1"/>
        <v>#REF!</v>
      </c>
      <c r="T87" s="40" t="e">
        <f ca="1"/>
        <v>#REF!</v>
      </c>
      <c r="U87" s="42" t="e">
        <f ca="1"/>
        <v>#REF!</v>
      </c>
      <c r="V87" s="31" t="e">
        <f ca="1"/>
        <v>#REF!</v>
      </c>
      <c r="W87" s="41" t="e">
        <f ca="1"/>
        <v>#REF!</v>
      </c>
      <c r="X87" s="41" t="e">
        <f ca="1"/>
        <v>#REF!</v>
      </c>
      <c r="Y87" s="41" t="e">
        <f ca="1"/>
        <v>#REF!</v>
      </c>
      <c r="Z87" s="45" t="e">
        <f ca="1"/>
        <v>#REF!</v>
      </c>
      <c r="AA87" s="34" t="e">
        <f ca="1"/>
        <v>#REF!</v>
      </c>
    </row>
    <row r="88" spans="1:27" s="28" customFormat="1" ht="11.25" x14ac:dyDescent="0.25">
      <c r="A88" s="24">
        <v>82</v>
      </c>
      <c r="B88" s="24"/>
      <c r="C88" s="25"/>
      <c r="D88" s="26"/>
      <c r="E88" s="25"/>
      <c r="F88" s="25"/>
      <c r="G88" s="24"/>
      <c r="H88" s="25" t="e">
        <f ca="1"/>
        <v>#REF!</v>
      </c>
      <c r="I88" s="27" t="e">
        <f ca="1"/>
        <v>#REF!</v>
      </c>
      <c r="J88" s="28" t="e">
        <f ca="1"/>
        <v>#REF!</v>
      </c>
      <c r="K88" s="29" t="e">
        <f ca="1"/>
        <v>#REF!</v>
      </c>
      <c r="L88" s="48" t="e">
        <f ca="1"/>
        <v>#REF!</v>
      </c>
      <c r="M88" s="36" t="e">
        <f ca="1"/>
        <v>#REF!</v>
      </c>
      <c r="N88" s="30" t="e">
        <f ca="1"/>
        <v>#REF!</v>
      </c>
      <c r="O88" s="31" t="e">
        <f ca="1"/>
        <v>#REF!</v>
      </c>
      <c r="P88" s="35" t="e">
        <f ca="1"/>
        <v>#REF!</v>
      </c>
      <c r="Q88" s="35" t="e">
        <f ca="1"/>
        <v>#REF!</v>
      </c>
      <c r="R88" s="31" t="e">
        <f ca="1"/>
        <v>#REF!</v>
      </c>
      <c r="S88" s="35" t="e">
        <f ca="1"/>
        <v>#REF!</v>
      </c>
      <c r="T88" s="40" t="e">
        <f ca="1"/>
        <v>#REF!</v>
      </c>
      <c r="U88" s="42" t="e">
        <f ca="1"/>
        <v>#REF!</v>
      </c>
      <c r="V88" s="31" t="e">
        <f ca="1"/>
        <v>#REF!</v>
      </c>
      <c r="W88" s="41" t="e">
        <f ca="1"/>
        <v>#REF!</v>
      </c>
      <c r="X88" s="41" t="e">
        <f ca="1"/>
        <v>#REF!</v>
      </c>
      <c r="Y88" s="41" t="e">
        <f ca="1"/>
        <v>#REF!</v>
      </c>
      <c r="Z88" s="29" t="e">
        <f ca="1"/>
        <v>#REF!</v>
      </c>
      <c r="AA88" s="34" t="e">
        <f ca="1"/>
        <v>#REF!</v>
      </c>
    </row>
    <row r="89" spans="1:27" s="28" customFormat="1" ht="50.25" customHeight="1" x14ac:dyDescent="0.25">
      <c r="A89" s="24">
        <v>83</v>
      </c>
      <c r="B89" s="24"/>
      <c r="C89" s="25"/>
      <c r="D89" s="26"/>
      <c r="E89" s="25"/>
      <c r="F89" s="25"/>
      <c r="G89" s="24"/>
      <c r="H89" s="25" t="e">
        <f ca="1"/>
        <v>#REF!</v>
      </c>
      <c r="I89" s="27" t="e">
        <f ca="1"/>
        <v>#REF!</v>
      </c>
      <c r="J89" s="28" t="e">
        <f ca="1"/>
        <v>#REF!</v>
      </c>
      <c r="K89" s="29" t="e">
        <f ca="1"/>
        <v>#REF!</v>
      </c>
      <c r="L89" s="48" t="e">
        <f ca="1"/>
        <v>#REF!</v>
      </c>
      <c r="M89" s="36" t="e">
        <f ca="1"/>
        <v>#REF!</v>
      </c>
      <c r="N89" s="30" t="e">
        <f ca="1"/>
        <v>#REF!</v>
      </c>
      <c r="O89" s="31" t="e">
        <f ca="1"/>
        <v>#REF!</v>
      </c>
      <c r="P89" s="35" t="e">
        <f ca="1"/>
        <v>#REF!</v>
      </c>
      <c r="Q89" s="31" t="e">
        <f ca="1"/>
        <v>#REF!</v>
      </c>
      <c r="R89" s="31" t="e">
        <f ca="1"/>
        <v>#REF!</v>
      </c>
      <c r="S89" s="35" t="e">
        <f ca="1"/>
        <v>#REF!</v>
      </c>
      <c r="T89" s="40" t="e">
        <f ca="1"/>
        <v>#REF!</v>
      </c>
      <c r="U89" s="42" t="e">
        <f ca="1"/>
        <v>#REF!</v>
      </c>
      <c r="V89" s="31" t="e">
        <f ca="1"/>
        <v>#REF!</v>
      </c>
      <c r="W89" s="41" t="e">
        <f ca="1"/>
        <v>#REF!</v>
      </c>
      <c r="X89" s="41" t="e">
        <f ca="1"/>
        <v>#REF!</v>
      </c>
      <c r="Y89" s="41" t="e">
        <f ca="1"/>
        <v>#REF!</v>
      </c>
      <c r="Z89" s="29" t="e">
        <f ca="1"/>
        <v>#REF!</v>
      </c>
      <c r="AA89" s="34" t="e">
        <f ca="1"/>
        <v>#REF!</v>
      </c>
    </row>
    <row r="90" spans="1:27" s="28" customFormat="1" ht="46.5" customHeight="1" x14ac:dyDescent="0.25">
      <c r="A90" s="24">
        <v>84</v>
      </c>
      <c r="B90" s="24"/>
      <c r="C90" s="25"/>
      <c r="D90" s="26"/>
      <c r="E90" s="25"/>
      <c r="F90" s="25"/>
      <c r="G90" s="24"/>
      <c r="H90" s="25" t="e">
        <f ca="1"/>
        <v>#REF!</v>
      </c>
      <c r="I90" s="27" t="e">
        <f ca="1"/>
        <v>#REF!</v>
      </c>
      <c r="J90" s="28" t="e">
        <f ca="1"/>
        <v>#REF!</v>
      </c>
      <c r="K90" s="29" t="e">
        <f ca="1"/>
        <v>#REF!</v>
      </c>
      <c r="L90" s="48" t="e">
        <f ca="1"/>
        <v>#REF!</v>
      </c>
      <c r="M90" s="25" t="e">
        <f ca="1"/>
        <v>#REF!</v>
      </c>
      <c r="N90" s="30" t="e">
        <f ca="1"/>
        <v>#REF!</v>
      </c>
      <c r="O90" s="31" t="e">
        <f ca="1"/>
        <v>#REF!</v>
      </c>
      <c r="P90" s="35" t="e">
        <f ca="1"/>
        <v>#REF!</v>
      </c>
      <c r="Q90" s="35" t="e">
        <f ca="1"/>
        <v>#REF!</v>
      </c>
      <c r="R90" s="31" t="e">
        <f ca="1"/>
        <v>#REF!</v>
      </c>
      <c r="S90" s="35" t="e">
        <f ca="1"/>
        <v>#REF!</v>
      </c>
      <c r="T90" s="40" t="e">
        <f ca="1"/>
        <v>#REF!</v>
      </c>
      <c r="U90" s="42" t="e">
        <f ca="1"/>
        <v>#REF!</v>
      </c>
      <c r="V90" s="31" t="e">
        <f ca="1"/>
        <v>#REF!</v>
      </c>
      <c r="W90" s="41" t="e">
        <f ca="1"/>
        <v>#REF!</v>
      </c>
      <c r="X90" s="41" t="e">
        <f ca="1"/>
        <v>#REF!</v>
      </c>
      <c r="Y90" s="41" t="e">
        <f ca="1"/>
        <v>#REF!</v>
      </c>
      <c r="Z90" s="29" t="e">
        <f ca="1"/>
        <v>#REF!</v>
      </c>
      <c r="AA90" s="34" t="e">
        <f ca="1"/>
        <v>#REF!</v>
      </c>
    </row>
    <row r="91" spans="1:27" s="28" customFormat="1" ht="60.75" customHeight="1" x14ac:dyDescent="0.25">
      <c r="A91" s="24">
        <v>85</v>
      </c>
      <c r="B91" s="24"/>
      <c r="C91" s="25"/>
      <c r="D91" s="26"/>
      <c r="E91" s="25"/>
      <c r="F91" s="25"/>
      <c r="G91" s="24"/>
      <c r="H91" s="25" t="e">
        <f ca="1"/>
        <v>#REF!</v>
      </c>
      <c r="I91" s="27" t="e">
        <f ca="1"/>
        <v>#REF!</v>
      </c>
      <c r="J91" s="28" t="e">
        <f ca="1"/>
        <v>#REF!</v>
      </c>
      <c r="K91" s="29" t="e">
        <f ca="1"/>
        <v>#REF!</v>
      </c>
      <c r="L91" s="33" t="e">
        <f ca="1"/>
        <v>#REF!</v>
      </c>
      <c r="M91" s="36" t="e">
        <f ca="1"/>
        <v>#REF!</v>
      </c>
      <c r="N91" s="30" t="e">
        <f ca="1"/>
        <v>#REF!</v>
      </c>
      <c r="O91" s="31" t="e">
        <f ca="1"/>
        <v>#REF!</v>
      </c>
      <c r="P91" s="35" t="e">
        <f ca="1"/>
        <v>#REF!</v>
      </c>
      <c r="Q91" s="31" t="e">
        <f ca="1"/>
        <v>#REF!</v>
      </c>
      <c r="R91" s="31" t="e">
        <f ca="1"/>
        <v>#REF!</v>
      </c>
      <c r="S91" s="31" t="e">
        <f ca="1"/>
        <v>#REF!</v>
      </c>
      <c r="T91" s="40" t="e">
        <f ca="1"/>
        <v>#REF!</v>
      </c>
      <c r="U91" s="42" t="e">
        <f ca="1"/>
        <v>#REF!</v>
      </c>
      <c r="V91" s="31" t="e">
        <f ca="1"/>
        <v>#REF!</v>
      </c>
      <c r="W91" s="41" t="e">
        <f ca="1"/>
        <v>#REF!</v>
      </c>
      <c r="X91" s="41" t="e">
        <f ca="1"/>
        <v>#REF!</v>
      </c>
      <c r="Y91" s="41" t="e">
        <f ca="1"/>
        <v>#REF!</v>
      </c>
      <c r="Z91" s="29" t="e">
        <f ca="1"/>
        <v>#REF!</v>
      </c>
      <c r="AA91" s="34" t="e">
        <f ca="1"/>
        <v>#REF!</v>
      </c>
    </row>
    <row r="92" spans="1:27" s="28" customFormat="1" ht="11.25" x14ac:dyDescent="0.25">
      <c r="A92" s="24">
        <v>86</v>
      </c>
      <c r="B92" s="24"/>
      <c r="C92" s="25"/>
      <c r="D92" s="26"/>
      <c r="E92" s="25"/>
      <c r="F92" s="25"/>
      <c r="G92" s="24"/>
      <c r="H92" s="25" t="e">
        <f ca="1"/>
        <v>#REF!</v>
      </c>
      <c r="I92" s="27" t="e">
        <f ca="1"/>
        <v>#REF!</v>
      </c>
      <c r="J92" s="28" t="e">
        <f ca="1"/>
        <v>#REF!</v>
      </c>
      <c r="K92" s="29" t="e">
        <f ca="1"/>
        <v>#REF!</v>
      </c>
      <c r="L92" s="29" t="e">
        <f ca="1"/>
        <v>#REF!</v>
      </c>
      <c r="M92" s="25" t="e">
        <f ca="1"/>
        <v>#REF!</v>
      </c>
      <c r="N92" s="30" t="e">
        <f ca="1"/>
        <v>#REF!</v>
      </c>
      <c r="O92" s="31" t="e">
        <f ca="1"/>
        <v>#REF!</v>
      </c>
      <c r="P92" s="31" t="e">
        <f ca="1"/>
        <v>#REF!</v>
      </c>
      <c r="Q92" s="31" t="e">
        <f ca="1"/>
        <v>#REF!</v>
      </c>
      <c r="R92" s="31" t="e">
        <f ca="1"/>
        <v>#REF!</v>
      </c>
      <c r="S92" s="31" t="e">
        <f ca="1"/>
        <v>#REF!</v>
      </c>
      <c r="T92" s="31" t="e">
        <f ca="1"/>
        <v>#REF!</v>
      </c>
      <c r="U92" s="31" t="e">
        <f ca="1"/>
        <v>#REF!</v>
      </c>
      <c r="V92" s="31" t="e">
        <f ca="1"/>
        <v>#REF!</v>
      </c>
      <c r="W92" s="32" t="e">
        <f ca="1"/>
        <v>#REF!</v>
      </c>
      <c r="X92" s="32" t="e">
        <f ca="1"/>
        <v>#REF!</v>
      </c>
      <c r="Y92" s="32" t="e">
        <f ca="1"/>
        <v>#REF!</v>
      </c>
      <c r="Z92" s="33" t="e">
        <f ca="1"/>
        <v>#REF!</v>
      </c>
      <c r="AA92" s="34" t="e">
        <f ca="1"/>
        <v>#REF!</v>
      </c>
    </row>
    <row r="93" spans="1:27" s="28" customFormat="1" ht="11.25" x14ac:dyDescent="0.25">
      <c r="A93" s="24">
        <v>87</v>
      </c>
      <c r="B93" s="24"/>
      <c r="C93" s="25"/>
      <c r="D93" s="26"/>
      <c r="E93" s="25"/>
      <c r="F93" s="25"/>
      <c r="G93" s="24"/>
      <c r="H93" s="25" t="e">
        <f ca="1"/>
        <v>#REF!</v>
      </c>
      <c r="I93" s="27" t="e">
        <f ca="1"/>
        <v>#REF!</v>
      </c>
      <c r="J93" s="28" t="e">
        <f ca="1"/>
        <v>#REF!</v>
      </c>
      <c r="K93" s="29" t="e">
        <f ca="1"/>
        <v>#REF!</v>
      </c>
      <c r="L93" s="29" t="e">
        <f ca="1"/>
        <v>#REF!</v>
      </c>
      <c r="M93" s="25" t="e">
        <f ca="1"/>
        <v>#REF!</v>
      </c>
      <c r="N93" s="30" t="e">
        <f ca="1"/>
        <v>#REF!</v>
      </c>
      <c r="O93" s="31" t="e">
        <f ca="1"/>
        <v>#REF!</v>
      </c>
      <c r="P93" s="31" t="e">
        <f ca="1"/>
        <v>#REF!</v>
      </c>
      <c r="Q93" s="31" t="e">
        <f ca="1"/>
        <v>#REF!</v>
      </c>
      <c r="R93" s="31" t="e">
        <f ca="1"/>
        <v>#REF!</v>
      </c>
      <c r="S93" s="31" t="e">
        <f ca="1"/>
        <v>#REF!</v>
      </c>
      <c r="T93" s="31" t="e">
        <f ca="1"/>
        <v>#REF!</v>
      </c>
      <c r="U93" s="31" t="e">
        <f ca="1"/>
        <v>#REF!</v>
      </c>
      <c r="V93" s="31" t="e">
        <f ca="1"/>
        <v>#REF!</v>
      </c>
      <c r="W93" s="32" t="e">
        <f ca="1"/>
        <v>#REF!</v>
      </c>
      <c r="X93" s="32" t="e">
        <f ca="1"/>
        <v>#REF!</v>
      </c>
      <c r="Y93" s="32" t="e">
        <f ca="1"/>
        <v>#REF!</v>
      </c>
      <c r="Z93" s="33" t="e">
        <f ca="1"/>
        <v>#REF!</v>
      </c>
      <c r="AA93" s="34" t="e">
        <f ca="1"/>
        <v>#REF!</v>
      </c>
    </row>
    <row r="94" spans="1:27" s="28" customFormat="1" ht="11.25" x14ac:dyDescent="0.25">
      <c r="A94" s="24">
        <v>88</v>
      </c>
      <c r="B94" s="24"/>
      <c r="C94" s="25"/>
      <c r="D94" s="26"/>
      <c r="E94" s="25"/>
      <c r="F94" s="25"/>
      <c r="G94" s="24"/>
      <c r="H94" s="25" t="e">
        <f ca="1"/>
        <v>#REF!</v>
      </c>
      <c r="I94" s="27" t="e">
        <f ca="1"/>
        <v>#REF!</v>
      </c>
      <c r="J94" s="28" t="e">
        <f ca="1"/>
        <v>#REF!</v>
      </c>
      <c r="K94" s="29" t="e">
        <f ca="1"/>
        <v>#REF!</v>
      </c>
      <c r="L94" s="29" t="e">
        <f ca="1"/>
        <v>#REF!</v>
      </c>
      <c r="M94" s="25" t="e">
        <f ca="1"/>
        <v>#REF!</v>
      </c>
      <c r="N94" s="30" t="e">
        <f ca="1"/>
        <v>#REF!</v>
      </c>
      <c r="O94" s="31" t="e">
        <f ca="1"/>
        <v>#REF!</v>
      </c>
      <c r="P94" s="31" t="e">
        <f ca="1"/>
        <v>#REF!</v>
      </c>
      <c r="Q94" s="31" t="e">
        <f ca="1"/>
        <v>#REF!</v>
      </c>
      <c r="R94" s="31" t="e">
        <f ca="1"/>
        <v>#REF!</v>
      </c>
      <c r="S94" s="31" t="e">
        <f ca="1"/>
        <v>#REF!</v>
      </c>
      <c r="T94" s="31" t="e">
        <f ca="1"/>
        <v>#REF!</v>
      </c>
      <c r="U94" s="31" t="e">
        <f ca="1"/>
        <v>#REF!</v>
      </c>
      <c r="V94" s="31" t="e">
        <f ca="1"/>
        <v>#REF!</v>
      </c>
      <c r="W94" s="32" t="e">
        <f ca="1"/>
        <v>#REF!</v>
      </c>
      <c r="X94" s="32" t="e">
        <f ca="1"/>
        <v>#REF!</v>
      </c>
      <c r="Y94" s="32" t="e">
        <f ca="1"/>
        <v>#REF!</v>
      </c>
      <c r="Z94" s="33" t="e">
        <f ca="1"/>
        <v>#REF!</v>
      </c>
      <c r="AA94" s="34" t="e">
        <f ca="1"/>
        <v>#REF!</v>
      </c>
    </row>
    <row r="95" spans="1:27" s="28" customFormat="1" ht="11.25" x14ac:dyDescent="0.25">
      <c r="A95" s="24">
        <v>89</v>
      </c>
      <c r="B95" s="24"/>
      <c r="C95" s="25"/>
      <c r="D95" s="26"/>
      <c r="E95" s="25"/>
      <c r="F95" s="25"/>
      <c r="G95" s="24"/>
      <c r="H95" s="25" t="e">
        <f ca="1"/>
        <v>#REF!</v>
      </c>
      <c r="I95" s="27" t="e">
        <f ca="1"/>
        <v>#REF!</v>
      </c>
      <c r="J95" s="28" t="e">
        <f ca="1"/>
        <v>#REF!</v>
      </c>
      <c r="K95" s="29" t="e">
        <f ca="1"/>
        <v>#REF!</v>
      </c>
      <c r="L95" s="29" t="e">
        <f ca="1"/>
        <v>#REF!</v>
      </c>
      <c r="M95" s="25" t="e">
        <f ca="1"/>
        <v>#REF!</v>
      </c>
      <c r="N95" s="30" t="e">
        <f ca="1"/>
        <v>#REF!</v>
      </c>
      <c r="O95" s="31" t="e">
        <f ca="1"/>
        <v>#REF!</v>
      </c>
      <c r="P95" s="31" t="e">
        <f ca="1"/>
        <v>#REF!</v>
      </c>
      <c r="Q95" s="31" t="e">
        <f ca="1"/>
        <v>#REF!</v>
      </c>
      <c r="R95" s="31" t="e">
        <f ca="1"/>
        <v>#REF!</v>
      </c>
      <c r="S95" s="31" t="e">
        <f ca="1"/>
        <v>#REF!</v>
      </c>
      <c r="T95" s="31" t="e">
        <f ca="1"/>
        <v>#REF!</v>
      </c>
      <c r="U95" s="31" t="e">
        <f ca="1"/>
        <v>#REF!</v>
      </c>
      <c r="V95" s="31" t="e">
        <f ca="1"/>
        <v>#REF!</v>
      </c>
      <c r="W95" s="32" t="e">
        <f ca="1"/>
        <v>#REF!</v>
      </c>
      <c r="X95" s="32" t="e">
        <f ca="1"/>
        <v>#REF!</v>
      </c>
      <c r="Y95" s="32" t="e">
        <f ca="1"/>
        <v>#REF!</v>
      </c>
      <c r="Z95" s="33" t="e">
        <f ca="1"/>
        <v>#REF!</v>
      </c>
      <c r="AA95" s="34" t="e">
        <f ca="1"/>
        <v>#REF!</v>
      </c>
    </row>
    <row r="96" spans="1:27" s="28" customFormat="1" ht="11.25" x14ac:dyDescent="0.25">
      <c r="A96" s="24">
        <v>90</v>
      </c>
      <c r="B96" s="24"/>
      <c r="C96" s="25"/>
      <c r="D96" s="26"/>
      <c r="E96" s="25"/>
      <c r="F96" s="25"/>
      <c r="G96" s="24"/>
      <c r="H96" s="25" t="e">
        <f ca="1"/>
        <v>#REF!</v>
      </c>
      <c r="I96" s="27" t="e">
        <f ca="1"/>
        <v>#REF!</v>
      </c>
      <c r="J96" s="28" t="e">
        <f ca="1"/>
        <v>#REF!</v>
      </c>
      <c r="K96" s="29" t="e">
        <f ca="1"/>
        <v>#REF!</v>
      </c>
      <c r="L96" s="29" t="e">
        <f ca="1"/>
        <v>#REF!</v>
      </c>
      <c r="M96" s="25" t="e">
        <f ca="1"/>
        <v>#REF!</v>
      </c>
      <c r="N96" s="30" t="e">
        <f ca="1"/>
        <v>#REF!</v>
      </c>
      <c r="O96" s="31" t="e">
        <f ca="1"/>
        <v>#REF!</v>
      </c>
      <c r="P96" s="31" t="e">
        <f ca="1"/>
        <v>#REF!</v>
      </c>
      <c r="Q96" s="31" t="e">
        <f ca="1"/>
        <v>#REF!</v>
      </c>
      <c r="R96" s="31" t="e">
        <f ca="1"/>
        <v>#REF!</v>
      </c>
      <c r="S96" s="31" t="e">
        <f ca="1"/>
        <v>#REF!</v>
      </c>
      <c r="T96" s="31" t="e">
        <f ca="1"/>
        <v>#REF!</v>
      </c>
      <c r="U96" s="31" t="e">
        <f ca="1"/>
        <v>#REF!</v>
      </c>
      <c r="V96" s="31" t="e">
        <f ca="1"/>
        <v>#REF!</v>
      </c>
      <c r="W96" s="32" t="e">
        <f ca="1"/>
        <v>#REF!</v>
      </c>
      <c r="X96" s="32" t="e">
        <f ca="1"/>
        <v>#REF!</v>
      </c>
      <c r="Y96" s="32" t="e">
        <f ca="1"/>
        <v>#REF!</v>
      </c>
      <c r="Z96" s="33" t="e">
        <f ca="1"/>
        <v>#REF!</v>
      </c>
      <c r="AA96" s="34" t="e">
        <f ca="1"/>
        <v>#REF!</v>
      </c>
    </row>
    <row r="97" spans="1:27" s="28" customFormat="1" ht="11.25" x14ac:dyDescent="0.25">
      <c r="A97" s="24">
        <v>91</v>
      </c>
      <c r="B97" s="24"/>
      <c r="C97" s="25"/>
      <c r="D97" s="26"/>
      <c r="E97" s="25"/>
      <c r="F97" s="25"/>
      <c r="G97" s="24"/>
      <c r="H97" s="25" t="e">
        <f ca="1"/>
        <v>#REF!</v>
      </c>
      <c r="I97" s="27" t="e">
        <f ca="1"/>
        <v>#REF!</v>
      </c>
      <c r="J97" s="28" t="e">
        <f ca="1"/>
        <v>#REF!</v>
      </c>
      <c r="K97" s="29" t="e">
        <f ca="1"/>
        <v>#REF!</v>
      </c>
      <c r="L97" s="29" t="e">
        <f ca="1"/>
        <v>#REF!</v>
      </c>
      <c r="M97" s="25" t="e">
        <f ca="1"/>
        <v>#REF!</v>
      </c>
      <c r="N97" s="30" t="e">
        <f ca="1"/>
        <v>#REF!</v>
      </c>
      <c r="O97" s="31" t="e">
        <f ca="1"/>
        <v>#REF!</v>
      </c>
      <c r="P97" s="31" t="e">
        <f ca="1"/>
        <v>#REF!</v>
      </c>
      <c r="Q97" s="31" t="e">
        <f ca="1"/>
        <v>#REF!</v>
      </c>
      <c r="R97" s="31" t="e">
        <f ca="1"/>
        <v>#REF!</v>
      </c>
      <c r="S97" s="31" t="e">
        <f ca="1"/>
        <v>#REF!</v>
      </c>
      <c r="T97" s="31" t="e">
        <f ca="1"/>
        <v>#REF!</v>
      </c>
      <c r="U97" s="31" t="e">
        <f ca="1"/>
        <v>#REF!</v>
      </c>
      <c r="V97" s="31" t="e">
        <f ca="1"/>
        <v>#REF!</v>
      </c>
      <c r="W97" s="32" t="e">
        <f ca="1"/>
        <v>#REF!</v>
      </c>
      <c r="X97" s="32" t="e">
        <f ca="1"/>
        <v>#REF!</v>
      </c>
      <c r="Y97" s="32" t="e">
        <f ca="1"/>
        <v>#REF!</v>
      </c>
      <c r="Z97" s="33" t="e">
        <f ca="1"/>
        <v>#REF!</v>
      </c>
      <c r="AA97" s="34" t="e">
        <f ca="1"/>
        <v>#REF!</v>
      </c>
    </row>
    <row r="98" spans="1:27" s="28" customFormat="1" ht="11.25" x14ac:dyDescent="0.25">
      <c r="A98" s="24">
        <v>92</v>
      </c>
      <c r="B98" s="24"/>
      <c r="C98" s="25"/>
      <c r="D98" s="26"/>
      <c r="E98" s="25"/>
      <c r="F98" s="25"/>
      <c r="G98" s="24"/>
      <c r="H98" s="25" t="e">
        <f ca="1"/>
        <v>#REF!</v>
      </c>
      <c r="I98" s="27" t="e">
        <f ca="1"/>
        <v>#REF!</v>
      </c>
      <c r="J98" s="28" t="e">
        <f ca="1"/>
        <v>#REF!</v>
      </c>
      <c r="K98" s="29" t="e">
        <f ca="1"/>
        <v>#REF!</v>
      </c>
      <c r="L98" s="33" t="e">
        <f ca="1"/>
        <v>#REF!</v>
      </c>
      <c r="M98" s="36" t="e">
        <f ca="1"/>
        <v>#REF!</v>
      </c>
      <c r="N98" s="30" t="e">
        <f ca="1"/>
        <v>#REF!</v>
      </c>
      <c r="O98" s="31" t="e">
        <f ca="1"/>
        <v>#REF!</v>
      </c>
      <c r="P98" s="31" t="e">
        <f ca="1"/>
        <v>#REF!</v>
      </c>
      <c r="Q98" s="31" t="e">
        <f ca="1"/>
        <v>#REF!</v>
      </c>
      <c r="R98" s="31" t="e">
        <f ca="1"/>
        <v>#REF!</v>
      </c>
      <c r="S98" s="31" t="e">
        <f ca="1"/>
        <v>#REF!</v>
      </c>
      <c r="T98" s="40" t="e">
        <f ca="1"/>
        <v>#REF!</v>
      </c>
      <c r="U98" s="42" t="e">
        <f ca="1"/>
        <v>#REF!</v>
      </c>
      <c r="V98" s="31" t="e">
        <f ca="1"/>
        <v>#REF!</v>
      </c>
      <c r="W98" s="41" t="e">
        <f ca="1"/>
        <v>#REF!</v>
      </c>
      <c r="X98" s="41" t="e">
        <f ca="1"/>
        <v>#REF!</v>
      </c>
      <c r="Y98" s="41" t="e">
        <f ca="1"/>
        <v>#REF!</v>
      </c>
      <c r="Z98" s="29" t="e">
        <f ca="1"/>
        <v>#REF!</v>
      </c>
      <c r="AA98" s="34" t="e">
        <f ca="1"/>
        <v>#REF!</v>
      </c>
    </row>
    <row r="99" spans="1:27" s="28" customFormat="1" ht="11.25" x14ac:dyDescent="0.25">
      <c r="A99" s="24">
        <v>93</v>
      </c>
      <c r="B99" s="24"/>
      <c r="C99" s="25"/>
      <c r="D99" s="26"/>
      <c r="E99" s="25"/>
      <c r="F99" s="25"/>
      <c r="G99" s="24"/>
      <c r="H99" s="25" t="e">
        <f ca="1"/>
        <v>#REF!</v>
      </c>
      <c r="I99" s="27" t="e">
        <f ca="1"/>
        <v>#REF!</v>
      </c>
      <c r="J99" s="28" t="e">
        <f ca="1"/>
        <v>#REF!</v>
      </c>
      <c r="K99" s="29" t="e">
        <f ca="1"/>
        <v>#REF!</v>
      </c>
      <c r="L99" s="33" t="e">
        <f ca="1"/>
        <v>#REF!</v>
      </c>
      <c r="M99" s="36" t="e">
        <f ca="1"/>
        <v>#REF!</v>
      </c>
      <c r="N99" s="30" t="e">
        <f ca="1"/>
        <v>#REF!</v>
      </c>
      <c r="O99" s="31" t="e">
        <f ca="1"/>
        <v>#REF!</v>
      </c>
      <c r="P99" s="31" t="e">
        <f ca="1"/>
        <v>#REF!</v>
      </c>
      <c r="Q99" s="31" t="e">
        <f ca="1"/>
        <v>#REF!</v>
      </c>
      <c r="R99" s="31" t="e">
        <f ca="1"/>
        <v>#REF!</v>
      </c>
      <c r="S99" s="31" t="e">
        <f ca="1"/>
        <v>#REF!</v>
      </c>
      <c r="T99" s="40" t="e">
        <f ca="1"/>
        <v>#REF!</v>
      </c>
      <c r="U99" s="42" t="e">
        <f ca="1"/>
        <v>#REF!</v>
      </c>
      <c r="V99" s="31" t="e">
        <f ca="1"/>
        <v>#REF!</v>
      </c>
      <c r="W99" s="41" t="e">
        <f ca="1"/>
        <v>#REF!</v>
      </c>
      <c r="X99" s="41" t="e">
        <f ca="1"/>
        <v>#REF!</v>
      </c>
      <c r="Y99" s="41" t="e">
        <f ca="1"/>
        <v>#REF!</v>
      </c>
      <c r="Z99" s="29" t="e">
        <f ca="1"/>
        <v>#REF!</v>
      </c>
      <c r="AA99" s="34" t="e">
        <f ca="1"/>
        <v>#REF!</v>
      </c>
    </row>
    <row r="100" spans="1:27" s="28" customFormat="1" ht="11.25" x14ac:dyDescent="0.25">
      <c r="A100" s="24">
        <v>94</v>
      </c>
      <c r="B100" s="24"/>
      <c r="C100" s="25"/>
      <c r="D100" s="26"/>
      <c r="E100" s="25"/>
      <c r="F100" s="25"/>
      <c r="G100" s="24"/>
      <c r="H100" s="25" t="e">
        <f ca="1"/>
        <v>#REF!</v>
      </c>
      <c r="I100" s="27" t="e">
        <f ca="1"/>
        <v>#REF!</v>
      </c>
      <c r="J100" s="28" t="e">
        <f ca="1"/>
        <v>#REF!</v>
      </c>
      <c r="K100" s="29" t="e">
        <f ca="1"/>
        <v>#REF!</v>
      </c>
      <c r="L100" s="33" t="e">
        <f ca="1"/>
        <v>#REF!</v>
      </c>
      <c r="M100" s="36" t="e">
        <f ca="1"/>
        <v>#REF!</v>
      </c>
      <c r="N100" s="30" t="e">
        <f ca="1"/>
        <v>#REF!</v>
      </c>
      <c r="O100" s="31" t="e">
        <f ca="1"/>
        <v>#REF!</v>
      </c>
      <c r="P100" s="31" t="e">
        <f ca="1"/>
        <v>#REF!</v>
      </c>
      <c r="Q100" s="31" t="e">
        <f ca="1"/>
        <v>#REF!</v>
      </c>
      <c r="R100" s="31" t="e">
        <f ca="1"/>
        <v>#REF!</v>
      </c>
      <c r="S100" s="31" t="e">
        <f ca="1"/>
        <v>#REF!</v>
      </c>
      <c r="T100" s="40" t="e">
        <f ca="1"/>
        <v>#REF!</v>
      </c>
      <c r="U100" s="42" t="e">
        <f ca="1"/>
        <v>#REF!</v>
      </c>
      <c r="V100" s="31" t="e">
        <f ca="1"/>
        <v>#REF!</v>
      </c>
      <c r="W100" s="41" t="e">
        <f ca="1"/>
        <v>#REF!</v>
      </c>
      <c r="X100" s="41" t="e">
        <f ca="1"/>
        <v>#REF!</v>
      </c>
      <c r="Y100" s="41" t="e">
        <f ca="1"/>
        <v>#REF!</v>
      </c>
      <c r="Z100" s="29" t="e">
        <f ca="1"/>
        <v>#REF!</v>
      </c>
      <c r="AA100" s="34" t="e">
        <f ca="1"/>
        <v>#REF!</v>
      </c>
    </row>
    <row r="101" spans="1:27" s="28" customFormat="1" ht="11.25" x14ac:dyDescent="0.25">
      <c r="A101" s="24">
        <v>95</v>
      </c>
      <c r="B101" s="24"/>
      <c r="C101" s="25"/>
      <c r="D101" s="26"/>
      <c r="E101" s="25"/>
      <c r="F101" s="25"/>
      <c r="G101" s="24"/>
      <c r="H101" s="25" t="e">
        <f ca="1"/>
        <v>#REF!</v>
      </c>
      <c r="I101" s="27" t="e">
        <f ca="1"/>
        <v>#REF!</v>
      </c>
      <c r="J101" s="28" t="e">
        <f ca="1"/>
        <v>#REF!</v>
      </c>
      <c r="K101" s="29" t="e">
        <f ca="1"/>
        <v>#REF!</v>
      </c>
      <c r="L101" s="33" t="e">
        <f ca="1"/>
        <v>#REF!</v>
      </c>
      <c r="M101" s="36" t="e">
        <f ca="1"/>
        <v>#REF!</v>
      </c>
      <c r="N101" s="30" t="e">
        <f ca="1"/>
        <v>#REF!</v>
      </c>
      <c r="O101" s="31" t="e">
        <f ca="1"/>
        <v>#REF!</v>
      </c>
      <c r="P101" s="31" t="e">
        <f ca="1"/>
        <v>#REF!</v>
      </c>
      <c r="Q101" s="31" t="e">
        <f ca="1"/>
        <v>#REF!</v>
      </c>
      <c r="R101" s="31" t="e">
        <f ca="1"/>
        <v>#REF!</v>
      </c>
      <c r="S101" s="31" t="e">
        <f ca="1"/>
        <v>#REF!</v>
      </c>
      <c r="T101" s="40" t="e">
        <f ca="1"/>
        <v>#REF!</v>
      </c>
      <c r="U101" s="42" t="e">
        <f ca="1"/>
        <v>#REF!</v>
      </c>
      <c r="V101" s="31" t="e">
        <f ca="1"/>
        <v>#REF!</v>
      </c>
      <c r="W101" s="41" t="e">
        <f ca="1"/>
        <v>#REF!</v>
      </c>
      <c r="X101" s="41" t="e">
        <f ca="1"/>
        <v>#REF!</v>
      </c>
      <c r="Y101" s="41" t="e">
        <f ca="1"/>
        <v>#REF!</v>
      </c>
      <c r="Z101" s="29" t="e">
        <f ca="1"/>
        <v>#REF!</v>
      </c>
      <c r="AA101" s="34" t="e">
        <f ca="1"/>
        <v>#REF!</v>
      </c>
    </row>
    <row r="102" spans="1:27" s="28" customFormat="1" ht="11.25" x14ac:dyDescent="0.25">
      <c r="A102" s="24">
        <v>96</v>
      </c>
      <c r="B102" s="24"/>
      <c r="C102" s="25"/>
      <c r="D102" s="26"/>
      <c r="E102" s="25"/>
      <c r="F102" s="25"/>
      <c r="G102" s="24"/>
      <c r="H102" s="25" t="e">
        <f ca="1"/>
        <v>#REF!</v>
      </c>
      <c r="I102" s="27" t="e">
        <f ca="1"/>
        <v>#REF!</v>
      </c>
      <c r="J102" s="28" t="e">
        <f ca="1"/>
        <v>#REF!</v>
      </c>
      <c r="K102" s="29" t="e">
        <f ca="1"/>
        <v>#REF!</v>
      </c>
      <c r="L102" s="33" t="e">
        <f ca="1"/>
        <v>#REF!</v>
      </c>
      <c r="M102" s="36" t="e">
        <f ca="1"/>
        <v>#REF!</v>
      </c>
      <c r="N102" s="30" t="e">
        <f ca="1"/>
        <v>#REF!</v>
      </c>
      <c r="O102" s="31" t="e">
        <f ca="1"/>
        <v>#REF!</v>
      </c>
      <c r="P102" s="31" t="e">
        <f ca="1"/>
        <v>#REF!</v>
      </c>
      <c r="Q102" s="31" t="e">
        <f ca="1"/>
        <v>#REF!</v>
      </c>
      <c r="R102" s="31" t="e">
        <f ca="1"/>
        <v>#REF!</v>
      </c>
      <c r="S102" s="31" t="e">
        <f ca="1"/>
        <v>#REF!</v>
      </c>
      <c r="T102" s="40" t="e">
        <f ca="1"/>
        <v>#REF!</v>
      </c>
      <c r="U102" s="42" t="e">
        <f ca="1"/>
        <v>#REF!</v>
      </c>
      <c r="V102" s="31" t="e">
        <f ca="1"/>
        <v>#REF!</v>
      </c>
      <c r="W102" s="41" t="e">
        <f ca="1"/>
        <v>#REF!</v>
      </c>
      <c r="X102" s="41" t="e">
        <f ca="1"/>
        <v>#REF!</v>
      </c>
      <c r="Y102" s="41" t="e">
        <f ca="1"/>
        <v>#REF!</v>
      </c>
      <c r="Z102" s="29" t="e">
        <f ca="1"/>
        <v>#REF!</v>
      </c>
      <c r="AA102" s="34" t="e">
        <f ca="1"/>
        <v>#REF!</v>
      </c>
    </row>
    <row r="103" spans="1:27" s="28" customFormat="1" ht="11.25" x14ac:dyDescent="0.25">
      <c r="A103" s="24">
        <v>97</v>
      </c>
      <c r="B103" s="24"/>
      <c r="C103" s="25"/>
      <c r="D103" s="26"/>
      <c r="E103" s="25"/>
      <c r="F103" s="25"/>
      <c r="G103" s="24"/>
      <c r="H103" s="25" t="e">
        <f ca="1"/>
        <v>#REF!</v>
      </c>
      <c r="I103" s="27" t="e">
        <f ca="1"/>
        <v>#REF!</v>
      </c>
      <c r="J103" s="28" t="e">
        <f ca="1"/>
        <v>#REF!</v>
      </c>
      <c r="K103" s="29" t="e">
        <f ca="1"/>
        <v>#REF!</v>
      </c>
      <c r="L103" s="33" t="e">
        <f ca="1"/>
        <v>#REF!</v>
      </c>
      <c r="M103" s="36" t="e">
        <f ca="1"/>
        <v>#REF!</v>
      </c>
      <c r="N103" s="30" t="e">
        <f ca="1"/>
        <v>#REF!</v>
      </c>
      <c r="O103" s="31" t="e">
        <f ca="1"/>
        <v>#REF!</v>
      </c>
      <c r="P103" s="31" t="e">
        <f ca="1"/>
        <v>#REF!</v>
      </c>
      <c r="Q103" s="31" t="e">
        <f ca="1"/>
        <v>#REF!</v>
      </c>
      <c r="R103" s="31" t="e">
        <f ca="1"/>
        <v>#REF!</v>
      </c>
      <c r="S103" s="31" t="e">
        <f ca="1"/>
        <v>#REF!</v>
      </c>
      <c r="T103" s="40" t="e">
        <f ca="1"/>
        <v>#REF!</v>
      </c>
      <c r="U103" s="42" t="e">
        <f ca="1"/>
        <v>#REF!</v>
      </c>
      <c r="V103" s="31" t="e">
        <f ca="1"/>
        <v>#REF!</v>
      </c>
      <c r="W103" s="41" t="e">
        <f ca="1"/>
        <v>#REF!</v>
      </c>
      <c r="X103" s="41" t="e">
        <f ca="1"/>
        <v>#REF!</v>
      </c>
      <c r="Y103" s="41" t="e">
        <f ca="1"/>
        <v>#REF!</v>
      </c>
      <c r="Z103" s="29" t="e">
        <f ca="1"/>
        <v>#REF!</v>
      </c>
      <c r="AA103" s="34" t="e">
        <f ca="1"/>
        <v>#REF!</v>
      </c>
    </row>
    <row r="104" spans="1:27" s="28" customFormat="1" ht="11.25" x14ac:dyDescent="0.25">
      <c r="A104" s="24">
        <v>98</v>
      </c>
      <c r="B104" s="24"/>
      <c r="C104" s="25"/>
      <c r="D104" s="26"/>
      <c r="E104" s="25"/>
      <c r="F104" s="25"/>
      <c r="G104" s="24"/>
      <c r="H104" s="25" t="e">
        <f ca="1"/>
        <v>#REF!</v>
      </c>
      <c r="I104" s="27" t="e">
        <f ca="1"/>
        <v>#REF!</v>
      </c>
      <c r="J104" s="28" t="e">
        <f ca="1"/>
        <v>#REF!</v>
      </c>
      <c r="K104" s="29" t="e">
        <f ca="1"/>
        <v>#REF!</v>
      </c>
      <c r="L104" s="33" t="e">
        <f ca="1"/>
        <v>#REF!</v>
      </c>
      <c r="M104" s="36" t="e">
        <f ca="1"/>
        <v>#REF!</v>
      </c>
      <c r="N104" s="30" t="e">
        <f ca="1"/>
        <v>#REF!</v>
      </c>
      <c r="O104" s="31" t="e">
        <f ca="1"/>
        <v>#REF!</v>
      </c>
      <c r="P104" s="31" t="e">
        <f ca="1"/>
        <v>#REF!</v>
      </c>
      <c r="Q104" s="31" t="e">
        <f ca="1"/>
        <v>#REF!</v>
      </c>
      <c r="R104" s="31" t="e">
        <f ca="1"/>
        <v>#REF!</v>
      </c>
      <c r="S104" s="31" t="e">
        <f ca="1"/>
        <v>#REF!</v>
      </c>
      <c r="T104" s="40" t="e">
        <f ca="1"/>
        <v>#REF!</v>
      </c>
      <c r="U104" s="42" t="e">
        <f ca="1"/>
        <v>#REF!</v>
      </c>
      <c r="V104" s="31" t="e">
        <f ca="1"/>
        <v>#REF!</v>
      </c>
      <c r="W104" s="41" t="e">
        <f ca="1"/>
        <v>#REF!</v>
      </c>
      <c r="X104" s="41" t="e">
        <f ca="1"/>
        <v>#REF!</v>
      </c>
      <c r="Y104" s="41" t="e">
        <f ca="1"/>
        <v>#REF!</v>
      </c>
      <c r="Z104" s="29" t="e">
        <f ca="1"/>
        <v>#REF!</v>
      </c>
      <c r="AA104" s="34" t="e">
        <f ca="1"/>
        <v>#REF!</v>
      </c>
    </row>
    <row r="105" spans="1:27" s="28" customFormat="1" ht="11.25" x14ac:dyDescent="0.25">
      <c r="A105" s="24">
        <v>99</v>
      </c>
      <c r="B105" s="24"/>
      <c r="C105" s="25"/>
      <c r="D105" s="26"/>
      <c r="E105" s="25"/>
      <c r="F105" s="25"/>
      <c r="G105" s="24"/>
      <c r="H105" s="25" t="e">
        <f ca="1"/>
        <v>#REF!</v>
      </c>
      <c r="I105" s="27" t="e">
        <f ca="1"/>
        <v>#REF!</v>
      </c>
      <c r="J105" s="28" t="e">
        <f ca="1"/>
        <v>#REF!</v>
      </c>
      <c r="K105" s="29" t="e">
        <f ca="1"/>
        <v>#REF!</v>
      </c>
      <c r="L105" s="33" t="e">
        <f ca="1"/>
        <v>#REF!</v>
      </c>
      <c r="M105" s="36" t="e">
        <f ca="1"/>
        <v>#REF!</v>
      </c>
      <c r="N105" s="30" t="e">
        <f ca="1"/>
        <v>#REF!</v>
      </c>
      <c r="O105" s="31" t="e">
        <f ca="1"/>
        <v>#REF!</v>
      </c>
      <c r="P105" s="31" t="e">
        <f ca="1"/>
        <v>#REF!</v>
      </c>
      <c r="Q105" s="31" t="e">
        <f ca="1"/>
        <v>#REF!</v>
      </c>
      <c r="R105" s="31" t="e">
        <f ca="1"/>
        <v>#REF!</v>
      </c>
      <c r="S105" s="31" t="e">
        <f ca="1"/>
        <v>#REF!</v>
      </c>
      <c r="T105" s="40" t="e">
        <f ca="1"/>
        <v>#REF!</v>
      </c>
      <c r="U105" s="42" t="e">
        <f ca="1"/>
        <v>#REF!</v>
      </c>
      <c r="V105" s="31" t="e">
        <f ca="1"/>
        <v>#REF!</v>
      </c>
      <c r="W105" s="41" t="e">
        <f ca="1"/>
        <v>#REF!</v>
      </c>
      <c r="X105" s="41" t="e">
        <f ca="1"/>
        <v>#REF!</v>
      </c>
      <c r="Y105" s="41" t="e">
        <f ca="1"/>
        <v>#REF!</v>
      </c>
      <c r="Z105" s="29" t="e">
        <f ca="1"/>
        <v>#REF!</v>
      </c>
      <c r="AA105" s="34" t="e">
        <f ca="1"/>
        <v>#REF!</v>
      </c>
    </row>
    <row r="106" spans="1:27" s="28" customFormat="1" ht="11.25" x14ac:dyDescent="0.25">
      <c r="A106" s="24">
        <v>100</v>
      </c>
      <c r="B106" s="24"/>
      <c r="C106" s="25"/>
      <c r="D106" s="26"/>
      <c r="E106" s="25"/>
      <c r="F106" s="25"/>
      <c r="G106" s="24"/>
      <c r="H106" s="25" t="e">
        <f ca="1"/>
        <v>#REF!</v>
      </c>
      <c r="I106" s="27" t="e">
        <f ca="1"/>
        <v>#REF!</v>
      </c>
      <c r="J106" s="28" t="e">
        <f ca="1"/>
        <v>#REF!</v>
      </c>
      <c r="K106" s="29" t="e">
        <f ca="1"/>
        <v>#REF!</v>
      </c>
      <c r="L106" s="33" t="e">
        <f ca="1"/>
        <v>#REF!</v>
      </c>
      <c r="M106" s="36" t="e">
        <f ca="1"/>
        <v>#REF!</v>
      </c>
      <c r="N106" s="30" t="e">
        <f ca="1"/>
        <v>#REF!</v>
      </c>
      <c r="O106" s="31" t="e">
        <f ca="1"/>
        <v>#REF!</v>
      </c>
      <c r="P106" s="31" t="e">
        <f ca="1"/>
        <v>#REF!</v>
      </c>
      <c r="Q106" s="31" t="e">
        <f ca="1"/>
        <v>#REF!</v>
      </c>
      <c r="R106" s="31" t="e">
        <f ca="1"/>
        <v>#REF!</v>
      </c>
      <c r="S106" s="31" t="e">
        <f ca="1"/>
        <v>#REF!</v>
      </c>
      <c r="T106" s="40" t="e">
        <f ca="1"/>
        <v>#REF!</v>
      </c>
      <c r="U106" s="42" t="e">
        <f ca="1"/>
        <v>#REF!</v>
      </c>
      <c r="V106" s="31" t="e">
        <f ca="1"/>
        <v>#REF!</v>
      </c>
      <c r="W106" s="41" t="e">
        <f ca="1"/>
        <v>#REF!</v>
      </c>
      <c r="X106" s="41" t="e">
        <f ca="1"/>
        <v>#REF!</v>
      </c>
      <c r="Y106" s="41" t="e">
        <f ca="1"/>
        <v>#REF!</v>
      </c>
      <c r="Z106" s="29" t="e">
        <f ca="1"/>
        <v>#REF!</v>
      </c>
      <c r="AA106" s="34" t="e">
        <f ca="1"/>
        <v>#REF!</v>
      </c>
    </row>
    <row r="107" spans="1:27" s="28" customFormat="1" ht="11.25" x14ac:dyDescent="0.25">
      <c r="A107" s="24">
        <v>101</v>
      </c>
      <c r="B107" s="24"/>
      <c r="C107" s="25"/>
      <c r="D107" s="26"/>
      <c r="E107" s="25"/>
      <c r="F107" s="25"/>
      <c r="G107" s="24"/>
      <c r="H107" s="25" t="e">
        <f ca="1"/>
        <v>#REF!</v>
      </c>
      <c r="I107" s="27" t="e">
        <f ca="1"/>
        <v>#REF!</v>
      </c>
      <c r="J107" s="28" t="e">
        <f ca="1"/>
        <v>#REF!</v>
      </c>
      <c r="K107" s="29" t="e">
        <f ca="1"/>
        <v>#REF!</v>
      </c>
      <c r="L107" s="33" t="e">
        <f ca="1"/>
        <v>#REF!</v>
      </c>
      <c r="M107" s="36" t="e">
        <f ca="1"/>
        <v>#REF!</v>
      </c>
      <c r="N107" s="30" t="e">
        <f ca="1"/>
        <v>#REF!</v>
      </c>
      <c r="O107" s="31" t="e">
        <f ca="1"/>
        <v>#REF!</v>
      </c>
      <c r="P107" s="31" t="e">
        <f ca="1"/>
        <v>#REF!</v>
      </c>
      <c r="Q107" s="31" t="e">
        <f ca="1"/>
        <v>#REF!</v>
      </c>
      <c r="R107" s="31" t="e">
        <f ca="1"/>
        <v>#REF!</v>
      </c>
      <c r="S107" s="31" t="e">
        <f ca="1"/>
        <v>#REF!</v>
      </c>
      <c r="T107" s="40" t="e">
        <f ca="1"/>
        <v>#REF!</v>
      </c>
      <c r="U107" s="42" t="e">
        <f ca="1"/>
        <v>#REF!</v>
      </c>
      <c r="V107" s="31" t="e">
        <f ca="1"/>
        <v>#REF!</v>
      </c>
      <c r="W107" s="41" t="e">
        <f ca="1"/>
        <v>#REF!</v>
      </c>
      <c r="X107" s="41" t="e">
        <f ca="1"/>
        <v>#REF!</v>
      </c>
      <c r="Y107" s="41" t="e">
        <f ca="1"/>
        <v>#REF!</v>
      </c>
      <c r="Z107" s="29" t="e">
        <f ca="1"/>
        <v>#REF!</v>
      </c>
      <c r="AA107" s="34" t="e">
        <f ca="1"/>
        <v>#REF!</v>
      </c>
    </row>
    <row r="108" spans="1:27" s="28" customFormat="1" ht="11.25" x14ac:dyDescent="0.25">
      <c r="A108" s="24">
        <v>102</v>
      </c>
      <c r="B108" s="24"/>
      <c r="C108" s="25"/>
      <c r="D108" s="26"/>
      <c r="E108" s="25"/>
      <c r="F108" s="25"/>
      <c r="G108" s="24"/>
      <c r="H108" s="25" t="e">
        <f ca="1"/>
        <v>#REF!</v>
      </c>
      <c r="I108" s="27" t="e">
        <f ca="1"/>
        <v>#REF!</v>
      </c>
      <c r="J108" s="28" t="e">
        <f ca="1"/>
        <v>#REF!</v>
      </c>
      <c r="K108" s="29" t="e">
        <f ca="1"/>
        <v>#REF!</v>
      </c>
      <c r="L108" s="33" t="e">
        <f ca="1"/>
        <v>#REF!</v>
      </c>
      <c r="M108" s="36" t="e">
        <f ca="1"/>
        <v>#REF!</v>
      </c>
      <c r="N108" s="30" t="e">
        <f ca="1"/>
        <v>#REF!</v>
      </c>
      <c r="O108" s="31" t="e">
        <f ca="1"/>
        <v>#REF!</v>
      </c>
      <c r="P108" s="31" t="e">
        <f ca="1"/>
        <v>#REF!</v>
      </c>
      <c r="Q108" s="31" t="e">
        <f ca="1"/>
        <v>#REF!</v>
      </c>
      <c r="R108" s="31" t="e">
        <f ca="1"/>
        <v>#REF!</v>
      </c>
      <c r="S108" s="31" t="e">
        <f ca="1"/>
        <v>#REF!</v>
      </c>
      <c r="T108" s="40" t="e">
        <f ca="1"/>
        <v>#REF!</v>
      </c>
      <c r="U108" s="42" t="e">
        <f ca="1"/>
        <v>#REF!</v>
      </c>
      <c r="V108" s="31" t="e">
        <f ca="1"/>
        <v>#REF!</v>
      </c>
      <c r="W108" s="41" t="e">
        <f ca="1"/>
        <v>#REF!</v>
      </c>
      <c r="X108" s="41" t="e">
        <f ca="1"/>
        <v>#REF!</v>
      </c>
      <c r="Y108" s="41" t="e">
        <f ca="1"/>
        <v>#REF!</v>
      </c>
      <c r="Z108" s="29" t="e">
        <f ca="1"/>
        <v>#REF!</v>
      </c>
      <c r="AA108" s="34" t="e">
        <f ca="1"/>
        <v>#REF!</v>
      </c>
    </row>
    <row r="109" spans="1:27" s="28" customFormat="1" ht="11.25" x14ac:dyDescent="0.25">
      <c r="A109" s="24">
        <v>103</v>
      </c>
      <c r="B109" s="24"/>
      <c r="C109" s="25"/>
      <c r="D109" s="26"/>
      <c r="E109" s="25"/>
      <c r="F109" s="25"/>
      <c r="G109" s="24"/>
      <c r="H109" s="25" t="e">
        <f ca="1"/>
        <v>#REF!</v>
      </c>
      <c r="I109" s="27" t="e">
        <f ca="1"/>
        <v>#REF!</v>
      </c>
      <c r="J109" s="28" t="e">
        <f ca="1"/>
        <v>#REF!</v>
      </c>
      <c r="K109" s="29" t="e">
        <f ca="1"/>
        <v>#REF!</v>
      </c>
      <c r="L109" s="33" t="e">
        <f ca="1"/>
        <v>#REF!</v>
      </c>
      <c r="M109" s="36" t="e">
        <f ca="1"/>
        <v>#REF!</v>
      </c>
      <c r="N109" s="30" t="e">
        <f ca="1"/>
        <v>#REF!</v>
      </c>
      <c r="O109" s="31" t="e">
        <f ca="1"/>
        <v>#REF!</v>
      </c>
      <c r="P109" s="31" t="e">
        <f ca="1"/>
        <v>#REF!</v>
      </c>
      <c r="Q109" s="31" t="e">
        <f ca="1"/>
        <v>#REF!</v>
      </c>
      <c r="R109" s="31" t="e">
        <f ca="1"/>
        <v>#REF!</v>
      </c>
      <c r="S109" s="31" t="e">
        <f ca="1"/>
        <v>#REF!</v>
      </c>
      <c r="T109" s="40" t="e">
        <f ca="1"/>
        <v>#REF!</v>
      </c>
      <c r="U109" s="42" t="e">
        <f ca="1"/>
        <v>#REF!</v>
      </c>
      <c r="V109" s="31" t="e">
        <f ca="1"/>
        <v>#REF!</v>
      </c>
      <c r="W109" s="41" t="e">
        <f ca="1"/>
        <v>#REF!</v>
      </c>
      <c r="X109" s="41" t="e">
        <f ca="1"/>
        <v>#REF!</v>
      </c>
      <c r="Y109" s="41" t="e">
        <f ca="1"/>
        <v>#REF!</v>
      </c>
      <c r="Z109" s="29" t="e">
        <f ca="1"/>
        <v>#REF!</v>
      </c>
      <c r="AA109" s="34" t="e">
        <f ca="1"/>
        <v>#REF!</v>
      </c>
    </row>
    <row r="110" spans="1:27" s="28" customFormat="1" ht="11.25" x14ac:dyDescent="0.25">
      <c r="A110" s="24">
        <v>104</v>
      </c>
      <c r="B110" s="24"/>
      <c r="C110" s="25"/>
      <c r="D110" s="26"/>
      <c r="E110" s="25"/>
      <c r="F110" s="25"/>
      <c r="G110" s="24"/>
      <c r="H110" s="25" t="e">
        <f ca="1"/>
        <v>#REF!</v>
      </c>
      <c r="I110" s="27" t="e">
        <f ca="1"/>
        <v>#REF!</v>
      </c>
      <c r="J110" s="28" t="e">
        <f ca="1"/>
        <v>#REF!</v>
      </c>
      <c r="K110" s="29" t="e">
        <f ca="1"/>
        <v>#REF!</v>
      </c>
      <c r="L110" s="33" t="e">
        <f ca="1"/>
        <v>#REF!</v>
      </c>
      <c r="M110" s="36" t="e">
        <f ca="1"/>
        <v>#REF!</v>
      </c>
      <c r="N110" s="30" t="e">
        <f ca="1"/>
        <v>#REF!</v>
      </c>
      <c r="O110" s="31" t="e">
        <f ca="1"/>
        <v>#REF!</v>
      </c>
      <c r="P110" s="31" t="e">
        <f ca="1"/>
        <v>#REF!</v>
      </c>
      <c r="Q110" s="31" t="e">
        <f ca="1"/>
        <v>#REF!</v>
      </c>
      <c r="R110" s="31" t="e">
        <f ca="1"/>
        <v>#REF!</v>
      </c>
      <c r="S110" s="31" t="e">
        <f ca="1"/>
        <v>#REF!</v>
      </c>
      <c r="T110" s="40" t="e">
        <f ca="1"/>
        <v>#REF!</v>
      </c>
      <c r="U110" s="42" t="e">
        <f ca="1"/>
        <v>#REF!</v>
      </c>
      <c r="V110" s="31" t="e">
        <f ca="1"/>
        <v>#REF!</v>
      </c>
      <c r="W110" s="41" t="e">
        <f ca="1"/>
        <v>#REF!</v>
      </c>
      <c r="X110" s="41" t="e">
        <f ca="1"/>
        <v>#REF!</v>
      </c>
      <c r="Y110" s="41" t="e">
        <f ca="1"/>
        <v>#REF!</v>
      </c>
      <c r="Z110" s="29" t="e">
        <f ca="1"/>
        <v>#REF!</v>
      </c>
      <c r="AA110" s="34" t="e">
        <f ca="1"/>
        <v>#REF!</v>
      </c>
    </row>
    <row r="111" spans="1:27" s="28" customFormat="1" ht="11.25" x14ac:dyDescent="0.25">
      <c r="A111" s="24">
        <v>105</v>
      </c>
      <c r="B111" s="24"/>
      <c r="C111" s="25"/>
      <c r="D111" s="26"/>
      <c r="E111" s="25"/>
      <c r="F111" s="25"/>
      <c r="G111" s="24"/>
      <c r="H111" s="25" t="e">
        <f ca="1"/>
        <v>#REF!</v>
      </c>
      <c r="I111" s="27" t="e">
        <f ca="1"/>
        <v>#REF!</v>
      </c>
      <c r="J111" s="28" t="e">
        <f ca="1"/>
        <v>#REF!</v>
      </c>
      <c r="K111" s="29" t="e">
        <f ca="1"/>
        <v>#REF!</v>
      </c>
      <c r="L111" s="33" t="e">
        <f ca="1"/>
        <v>#REF!</v>
      </c>
      <c r="M111" s="36" t="e">
        <f ca="1"/>
        <v>#REF!</v>
      </c>
      <c r="N111" s="30" t="e">
        <f ca="1"/>
        <v>#REF!</v>
      </c>
      <c r="O111" s="31" t="e">
        <f ca="1"/>
        <v>#REF!</v>
      </c>
      <c r="P111" s="31" t="e">
        <f ca="1"/>
        <v>#REF!</v>
      </c>
      <c r="Q111" s="31" t="e">
        <f ca="1"/>
        <v>#REF!</v>
      </c>
      <c r="R111" s="31" t="e">
        <f ca="1"/>
        <v>#REF!</v>
      </c>
      <c r="S111" s="31" t="e">
        <f ca="1"/>
        <v>#REF!</v>
      </c>
      <c r="T111" s="40" t="e">
        <f ca="1"/>
        <v>#REF!</v>
      </c>
      <c r="U111" s="42" t="e">
        <f ca="1"/>
        <v>#REF!</v>
      </c>
      <c r="V111" s="31" t="e">
        <f ca="1"/>
        <v>#REF!</v>
      </c>
      <c r="W111" s="41" t="e">
        <f ca="1"/>
        <v>#REF!</v>
      </c>
      <c r="X111" s="41" t="e">
        <f ca="1"/>
        <v>#REF!</v>
      </c>
      <c r="Y111" s="41" t="e">
        <f ca="1"/>
        <v>#REF!</v>
      </c>
      <c r="Z111" s="29" t="e">
        <f ca="1"/>
        <v>#REF!</v>
      </c>
      <c r="AA111" s="34" t="e">
        <f ca="1"/>
        <v>#REF!</v>
      </c>
    </row>
    <row r="112" spans="1:27" s="28" customFormat="1" ht="11.25" x14ac:dyDescent="0.25">
      <c r="A112" s="24">
        <v>106</v>
      </c>
      <c r="B112" s="24"/>
      <c r="C112" s="25"/>
      <c r="D112" s="26"/>
      <c r="E112" s="25"/>
      <c r="F112" s="25"/>
      <c r="G112" s="24"/>
      <c r="H112" s="25" t="e">
        <f ca="1"/>
        <v>#REF!</v>
      </c>
      <c r="I112" s="27" t="e">
        <f ca="1"/>
        <v>#REF!</v>
      </c>
      <c r="J112" s="28" t="e">
        <f ca="1"/>
        <v>#REF!</v>
      </c>
      <c r="K112" s="29" t="e">
        <f ca="1"/>
        <v>#REF!</v>
      </c>
      <c r="L112" s="33" t="e">
        <f ca="1"/>
        <v>#REF!</v>
      </c>
      <c r="M112" s="36" t="e">
        <f ca="1"/>
        <v>#REF!</v>
      </c>
      <c r="N112" s="30" t="e">
        <f ca="1"/>
        <v>#REF!</v>
      </c>
      <c r="O112" s="31" t="e">
        <f ca="1"/>
        <v>#REF!</v>
      </c>
      <c r="P112" s="31" t="e">
        <f ca="1"/>
        <v>#REF!</v>
      </c>
      <c r="Q112" s="31" t="e">
        <f ca="1"/>
        <v>#REF!</v>
      </c>
      <c r="R112" s="31" t="e">
        <f ca="1"/>
        <v>#REF!</v>
      </c>
      <c r="S112" s="31" t="e">
        <f ca="1"/>
        <v>#REF!</v>
      </c>
      <c r="T112" s="40" t="e">
        <f ca="1"/>
        <v>#REF!</v>
      </c>
      <c r="U112" s="42" t="e">
        <f ca="1"/>
        <v>#REF!</v>
      </c>
      <c r="V112" s="31" t="e">
        <f ca="1"/>
        <v>#REF!</v>
      </c>
      <c r="W112" s="41" t="e">
        <f ca="1"/>
        <v>#REF!</v>
      </c>
      <c r="X112" s="41" t="e">
        <f ca="1"/>
        <v>#REF!</v>
      </c>
      <c r="Y112" s="41" t="e">
        <f ca="1"/>
        <v>#REF!</v>
      </c>
      <c r="Z112" s="29" t="e">
        <f ca="1"/>
        <v>#REF!</v>
      </c>
      <c r="AA112" s="34" t="e">
        <f ca="1"/>
        <v>#REF!</v>
      </c>
    </row>
    <row r="113" spans="1:27" s="28" customFormat="1" ht="11.25" x14ac:dyDescent="0.25">
      <c r="A113" s="24">
        <v>107</v>
      </c>
      <c r="B113" s="24"/>
      <c r="C113" s="25"/>
      <c r="D113" s="26"/>
      <c r="E113" s="25"/>
      <c r="F113" s="25"/>
      <c r="G113" s="24"/>
      <c r="H113" s="25" t="e">
        <f ca="1"/>
        <v>#REF!</v>
      </c>
      <c r="I113" s="27" t="e">
        <f ca="1"/>
        <v>#REF!</v>
      </c>
      <c r="J113" s="28" t="e">
        <f ca="1"/>
        <v>#REF!</v>
      </c>
      <c r="K113" s="29" t="e">
        <f ca="1"/>
        <v>#REF!</v>
      </c>
      <c r="L113" s="33" t="e">
        <f ca="1"/>
        <v>#REF!</v>
      </c>
      <c r="M113" s="36" t="e">
        <f ca="1"/>
        <v>#REF!</v>
      </c>
      <c r="N113" s="30" t="e">
        <f ca="1"/>
        <v>#REF!</v>
      </c>
      <c r="O113" s="31" t="e">
        <f ca="1"/>
        <v>#REF!</v>
      </c>
      <c r="P113" s="31" t="e">
        <f ca="1"/>
        <v>#REF!</v>
      </c>
      <c r="Q113" s="31" t="e">
        <f ca="1"/>
        <v>#REF!</v>
      </c>
      <c r="R113" s="31" t="e">
        <f ca="1"/>
        <v>#REF!</v>
      </c>
      <c r="S113" s="31" t="e">
        <f ca="1"/>
        <v>#REF!</v>
      </c>
      <c r="T113" s="40" t="e">
        <f ca="1"/>
        <v>#REF!</v>
      </c>
      <c r="U113" s="42" t="e">
        <f ca="1"/>
        <v>#REF!</v>
      </c>
      <c r="V113" s="31" t="e">
        <f ca="1"/>
        <v>#REF!</v>
      </c>
      <c r="W113" s="41" t="e">
        <f ca="1"/>
        <v>#REF!</v>
      </c>
      <c r="X113" s="41" t="e">
        <f ca="1"/>
        <v>#REF!</v>
      </c>
      <c r="Y113" s="41" t="e">
        <f ca="1"/>
        <v>#REF!</v>
      </c>
      <c r="Z113" s="29" t="e">
        <f ca="1"/>
        <v>#REF!</v>
      </c>
      <c r="AA113" s="34" t="e">
        <f ca="1"/>
        <v>#REF!</v>
      </c>
    </row>
    <row r="114" spans="1:27" s="28" customFormat="1" ht="11.25" x14ac:dyDescent="0.25">
      <c r="A114" s="24">
        <v>108</v>
      </c>
      <c r="B114" s="24"/>
      <c r="C114" s="25"/>
      <c r="D114" s="26"/>
      <c r="E114" s="25"/>
      <c r="F114" s="25"/>
      <c r="G114" s="24"/>
      <c r="H114" s="25" t="e">
        <f ca="1"/>
        <v>#REF!</v>
      </c>
      <c r="I114" s="27" t="e">
        <f ca="1"/>
        <v>#REF!</v>
      </c>
      <c r="J114" s="28" t="e">
        <f ca="1"/>
        <v>#REF!</v>
      </c>
      <c r="K114" s="29" t="e">
        <f ca="1"/>
        <v>#REF!</v>
      </c>
      <c r="L114" s="33" t="e">
        <f ca="1"/>
        <v>#REF!</v>
      </c>
      <c r="M114" s="36" t="e">
        <f ca="1"/>
        <v>#REF!</v>
      </c>
      <c r="N114" s="30" t="e">
        <f ca="1"/>
        <v>#REF!</v>
      </c>
      <c r="O114" s="31" t="e">
        <f ca="1"/>
        <v>#REF!</v>
      </c>
      <c r="P114" s="31" t="e">
        <f ca="1"/>
        <v>#REF!</v>
      </c>
      <c r="Q114" s="31" t="e">
        <f ca="1"/>
        <v>#REF!</v>
      </c>
      <c r="R114" s="31" t="e">
        <f ca="1"/>
        <v>#REF!</v>
      </c>
      <c r="S114" s="31" t="e">
        <f ca="1"/>
        <v>#REF!</v>
      </c>
      <c r="T114" s="40" t="e">
        <f ca="1"/>
        <v>#REF!</v>
      </c>
      <c r="U114" s="42" t="e">
        <f ca="1"/>
        <v>#REF!</v>
      </c>
      <c r="V114" s="31" t="e">
        <f ca="1"/>
        <v>#REF!</v>
      </c>
      <c r="W114" s="41" t="e">
        <f ca="1"/>
        <v>#REF!</v>
      </c>
      <c r="X114" s="41" t="e">
        <f ca="1"/>
        <v>#REF!</v>
      </c>
      <c r="Y114" s="41" t="e">
        <f ca="1"/>
        <v>#REF!</v>
      </c>
      <c r="Z114" s="29" t="e">
        <f ca="1"/>
        <v>#REF!</v>
      </c>
      <c r="AA114" s="34" t="e">
        <f ca="1"/>
        <v>#REF!</v>
      </c>
    </row>
    <row r="115" spans="1:27" s="28" customFormat="1" ht="11.25" x14ac:dyDescent="0.25">
      <c r="A115" s="24">
        <v>109</v>
      </c>
      <c r="B115" s="24"/>
      <c r="C115" s="25"/>
      <c r="D115" s="26"/>
      <c r="E115" s="25"/>
      <c r="F115" s="25"/>
      <c r="G115" s="24"/>
      <c r="H115" s="25" t="e">
        <f ca="1"/>
        <v>#REF!</v>
      </c>
      <c r="I115" s="27" t="e">
        <f ca="1"/>
        <v>#REF!</v>
      </c>
      <c r="J115" s="28" t="e">
        <f ca="1"/>
        <v>#REF!</v>
      </c>
      <c r="K115" s="29" t="e">
        <f ca="1"/>
        <v>#REF!</v>
      </c>
      <c r="L115" s="33" t="e">
        <f ca="1"/>
        <v>#REF!</v>
      </c>
      <c r="M115" s="36" t="e">
        <f ca="1"/>
        <v>#REF!</v>
      </c>
      <c r="N115" s="30" t="e">
        <f ca="1"/>
        <v>#REF!</v>
      </c>
      <c r="O115" s="31" t="e">
        <f ca="1"/>
        <v>#REF!</v>
      </c>
      <c r="P115" s="31" t="e">
        <f ca="1"/>
        <v>#REF!</v>
      </c>
      <c r="Q115" s="31" t="e">
        <f ca="1"/>
        <v>#REF!</v>
      </c>
      <c r="R115" s="31" t="e">
        <f ca="1"/>
        <v>#REF!</v>
      </c>
      <c r="S115" s="31" t="e">
        <f ca="1"/>
        <v>#REF!</v>
      </c>
      <c r="T115" s="40" t="e">
        <f ca="1"/>
        <v>#REF!</v>
      </c>
      <c r="U115" s="42" t="e">
        <f ca="1"/>
        <v>#REF!</v>
      </c>
      <c r="V115" s="31" t="e">
        <f ca="1"/>
        <v>#REF!</v>
      </c>
      <c r="W115" s="41" t="e">
        <f ca="1"/>
        <v>#REF!</v>
      </c>
      <c r="X115" s="41" t="e">
        <f ca="1"/>
        <v>#REF!</v>
      </c>
      <c r="Y115" s="41" t="e">
        <f ca="1"/>
        <v>#REF!</v>
      </c>
      <c r="Z115" s="29" t="e">
        <f ca="1"/>
        <v>#REF!</v>
      </c>
      <c r="AA115" s="34" t="e">
        <f ca="1"/>
        <v>#REF!</v>
      </c>
    </row>
    <row r="116" spans="1:27" s="28" customFormat="1" ht="11.25" x14ac:dyDescent="0.25">
      <c r="A116" s="24">
        <v>110</v>
      </c>
      <c r="B116" s="24"/>
      <c r="C116" s="25"/>
      <c r="D116" s="26"/>
      <c r="E116" s="25"/>
      <c r="F116" s="25"/>
      <c r="G116" s="24"/>
      <c r="H116" s="25" t="e">
        <f ca="1"/>
        <v>#REF!</v>
      </c>
      <c r="I116" s="27" t="e">
        <f ca="1"/>
        <v>#REF!</v>
      </c>
      <c r="J116" s="28" t="e">
        <f ca="1"/>
        <v>#REF!</v>
      </c>
      <c r="K116" s="29" t="e">
        <f ca="1"/>
        <v>#REF!</v>
      </c>
      <c r="L116" s="33" t="e">
        <f ca="1"/>
        <v>#REF!</v>
      </c>
      <c r="M116" s="25" t="e">
        <f ca="1"/>
        <v>#REF!</v>
      </c>
      <c r="N116" s="30" t="e">
        <f ca="1"/>
        <v>#REF!</v>
      </c>
      <c r="O116" s="31" t="e">
        <f ca="1"/>
        <v>#REF!</v>
      </c>
      <c r="P116" s="31" t="e">
        <f ca="1"/>
        <v>#REF!</v>
      </c>
      <c r="Q116" s="31" t="e">
        <f ca="1"/>
        <v>#REF!</v>
      </c>
      <c r="R116" s="31" t="e">
        <f ca="1"/>
        <v>#REF!</v>
      </c>
      <c r="S116" s="31" t="e">
        <f ca="1"/>
        <v>#REF!</v>
      </c>
      <c r="T116" s="40" t="e">
        <f ca="1"/>
        <v>#REF!</v>
      </c>
      <c r="U116" s="42" t="e">
        <f ca="1"/>
        <v>#REF!</v>
      </c>
      <c r="V116" s="31" t="e">
        <f ca="1"/>
        <v>#REF!</v>
      </c>
      <c r="W116" s="41" t="e">
        <f ca="1"/>
        <v>#REF!</v>
      </c>
      <c r="X116" s="41" t="e">
        <f ca="1"/>
        <v>#REF!</v>
      </c>
      <c r="Y116" s="41" t="e">
        <f ca="1"/>
        <v>#REF!</v>
      </c>
      <c r="Z116" s="29" t="e">
        <f ca="1"/>
        <v>#REF!</v>
      </c>
      <c r="AA116" s="34" t="e">
        <f ca="1"/>
        <v>#REF!</v>
      </c>
    </row>
    <row r="117" spans="1:27" s="28" customFormat="1" ht="11.25" x14ac:dyDescent="0.25">
      <c r="A117" s="24">
        <v>111</v>
      </c>
      <c r="B117" s="24"/>
      <c r="C117" s="25"/>
      <c r="D117" s="26"/>
      <c r="E117" s="25"/>
      <c r="F117" s="25"/>
      <c r="G117" s="24"/>
      <c r="H117" s="25" t="e">
        <f ca="1"/>
        <v>#REF!</v>
      </c>
      <c r="I117" s="27" t="e">
        <f ca="1"/>
        <v>#REF!</v>
      </c>
      <c r="J117" s="28" t="e">
        <f ca="1"/>
        <v>#REF!</v>
      </c>
      <c r="K117" s="29" t="e">
        <f ca="1"/>
        <v>#REF!</v>
      </c>
      <c r="L117" s="33" t="e">
        <f ca="1"/>
        <v>#REF!</v>
      </c>
      <c r="M117" s="25" t="e">
        <f ca="1"/>
        <v>#REF!</v>
      </c>
      <c r="N117" s="30" t="e">
        <f ca="1"/>
        <v>#REF!</v>
      </c>
      <c r="O117" s="31" t="e">
        <f ca="1"/>
        <v>#REF!</v>
      </c>
      <c r="P117" s="31" t="e">
        <f ca="1"/>
        <v>#REF!</v>
      </c>
      <c r="Q117" s="31" t="e">
        <f ca="1"/>
        <v>#REF!</v>
      </c>
      <c r="R117" s="31" t="e">
        <f ca="1"/>
        <v>#REF!</v>
      </c>
      <c r="S117" s="31" t="e">
        <f ca="1"/>
        <v>#REF!</v>
      </c>
      <c r="T117" s="40" t="e">
        <f ca="1"/>
        <v>#REF!</v>
      </c>
      <c r="U117" s="42" t="e">
        <f ca="1"/>
        <v>#REF!</v>
      </c>
      <c r="V117" s="31" t="e">
        <f ca="1"/>
        <v>#REF!</v>
      </c>
      <c r="W117" s="41" t="e">
        <f ca="1"/>
        <v>#REF!</v>
      </c>
      <c r="X117" s="41" t="e">
        <f ca="1"/>
        <v>#REF!</v>
      </c>
      <c r="Y117" s="41" t="e">
        <f ca="1"/>
        <v>#REF!</v>
      </c>
      <c r="Z117" s="29" t="e">
        <f ca="1"/>
        <v>#REF!</v>
      </c>
      <c r="AA117" s="34" t="e">
        <f ca="1"/>
        <v>#REF!</v>
      </c>
    </row>
    <row r="118" spans="1:27" s="28" customFormat="1" ht="11.25" x14ac:dyDescent="0.25">
      <c r="A118" s="24">
        <v>112</v>
      </c>
      <c r="B118" s="24"/>
      <c r="C118" s="25"/>
      <c r="D118" s="26"/>
      <c r="E118" s="25"/>
      <c r="F118" s="25"/>
      <c r="G118" s="24"/>
      <c r="H118" s="25" t="e">
        <f ca="1"/>
        <v>#REF!</v>
      </c>
      <c r="I118" s="27" t="e">
        <f ca="1"/>
        <v>#REF!</v>
      </c>
      <c r="J118" s="28" t="e">
        <f ca="1"/>
        <v>#REF!</v>
      </c>
      <c r="K118" s="29" t="e">
        <f ca="1"/>
        <v>#REF!</v>
      </c>
      <c r="L118" s="33" t="e">
        <f ca="1"/>
        <v>#REF!</v>
      </c>
      <c r="M118" s="25" t="e">
        <f ca="1"/>
        <v>#REF!</v>
      </c>
      <c r="N118" s="30" t="e">
        <f ca="1"/>
        <v>#REF!</v>
      </c>
      <c r="O118" s="31" t="e">
        <f ca="1"/>
        <v>#REF!</v>
      </c>
      <c r="P118" s="49" t="e">
        <f ca="1"/>
        <v>#REF!</v>
      </c>
      <c r="Q118" s="31" t="e">
        <f ca="1"/>
        <v>#REF!</v>
      </c>
      <c r="R118" s="31" t="e">
        <f ca="1"/>
        <v>#REF!</v>
      </c>
      <c r="S118" s="31" t="e">
        <f ca="1"/>
        <v>#REF!</v>
      </c>
      <c r="T118" s="40" t="e">
        <f ca="1"/>
        <v>#REF!</v>
      </c>
      <c r="U118" s="42" t="e">
        <f ca="1"/>
        <v>#REF!</v>
      </c>
      <c r="V118" s="31" t="e">
        <f ca="1"/>
        <v>#REF!</v>
      </c>
      <c r="W118" s="41" t="e">
        <f ca="1"/>
        <v>#REF!</v>
      </c>
      <c r="X118" s="41" t="e">
        <f ca="1"/>
        <v>#REF!</v>
      </c>
      <c r="Y118" s="41" t="e">
        <f ca="1"/>
        <v>#REF!</v>
      </c>
      <c r="Z118" s="29" t="e">
        <f ca="1"/>
        <v>#REF!</v>
      </c>
      <c r="AA118" s="34" t="e">
        <f ca="1"/>
        <v>#REF!</v>
      </c>
    </row>
    <row r="119" spans="1:27" s="28" customFormat="1" ht="11.25" x14ac:dyDescent="0.25">
      <c r="A119" s="24">
        <v>113</v>
      </c>
      <c r="B119" s="24"/>
      <c r="C119" s="25"/>
      <c r="D119" s="26"/>
      <c r="E119" s="25"/>
      <c r="F119" s="25"/>
      <c r="G119" s="24"/>
      <c r="H119" s="25" t="e">
        <f ca="1"/>
        <v>#REF!</v>
      </c>
      <c r="I119" s="27" t="e">
        <f ca="1"/>
        <v>#REF!</v>
      </c>
      <c r="J119" s="28" t="e">
        <f ca="1"/>
        <v>#REF!</v>
      </c>
      <c r="K119" s="29" t="e">
        <f ca="1"/>
        <v>#REF!</v>
      </c>
      <c r="L119" s="33" t="e">
        <f ca="1"/>
        <v>#REF!</v>
      </c>
      <c r="M119" s="25" t="e">
        <f ca="1"/>
        <v>#REF!</v>
      </c>
      <c r="N119" s="30" t="e">
        <f ca="1"/>
        <v>#REF!</v>
      </c>
      <c r="O119" s="31" t="e">
        <f ca="1"/>
        <v>#REF!</v>
      </c>
      <c r="P119" s="49" t="e">
        <f ca="1"/>
        <v>#REF!</v>
      </c>
      <c r="Q119" s="31" t="e">
        <f ca="1"/>
        <v>#REF!</v>
      </c>
      <c r="R119" s="31" t="e">
        <f ca="1"/>
        <v>#REF!</v>
      </c>
      <c r="S119" s="31" t="e">
        <f ca="1"/>
        <v>#REF!</v>
      </c>
      <c r="T119" s="40" t="e">
        <f ca="1"/>
        <v>#REF!</v>
      </c>
      <c r="U119" s="42" t="e">
        <f ca="1"/>
        <v>#REF!</v>
      </c>
      <c r="V119" s="31" t="e">
        <f ca="1"/>
        <v>#REF!</v>
      </c>
      <c r="W119" s="41" t="e">
        <f ca="1"/>
        <v>#REF!</v>
      </c>
      <c r="X119" s="41" t="e">
        <f ca="1"/>
        <v>#REF!</v>
      </c>
      <c r="Y119" s="41" t="e">
        <f ca="1"/>
        <v>#REF!</v>
      </c>
      <c r="Z119" s="29" t="e">
        <f ca="1"/>
        <v>#REF!</v>
      </c>
      <c r="AA119" s="34" t="e">
        <f ca="1"/>
        <v>#REF!</v>
      </c>
    </row>
    <row r="120" spans="1:27" s="28" customFormat="1" ht="11.25" x14ac:dyDescent="0.25">
      <c r="A120" s="24">
        <v>114</v>
      </c>
      <c r="B120" s="24"/>
      <c r="C120" s="25"/>
      <c r="D120" s="26"/>
      <c r="E120" s="25"/>
      <c r="F120" s="25"/>
      <c r="G120" s="24"/>
      <c r="H120" s="25" t="e">
        <f ca="1"/>
        <v>#REF!</v>
      </c>
      <c r="I120" s="27" t="e">
        <f ca="1"/>
        <v>#REF!</v>
      </c>
      <c r="J120" s="28" t="e">
        <f ca="1"/>
        <v>#REF!</v>
      </c>
      <c r="K120" s="29" t="e">
        <f ca="1"/>
        <v>#REF!</v>
      </c>
      <c r="L120" s="33" t="e">
        <f ca="1"/>
        <v>#REF!</v>
      </c>
      <c r="M120" s="25" t="e">
        <f ca="1"/>
        <v>#REF!</v>
      </c>
      <c r="N120" s="30" t="e">
        <f ca="1"/>
        <v>#REF!</v>
      </c>
      <c r="O120" s="31" t="e">
        <f ca="1"/>
        <v>#REF!</v>
      </c>
      <c r="P120" s="49" t="e">
        <f ca="1"/>
        <v>#REF!</v>
      </c>
      <c r="Q120" s="31" t="e">
        <f ca="1"/>
        <v>#REF!</v>
      </c>
      <c r="R120" s="31" t="e">
        <f ca="1"/>
        <v>#REF!</v>
      </c>
      <c r="S120" s="31" t="e">
        <f ca="1"/>
        <v>#REF!</v>
      </c>
      <c r="T120" s="40" t="e">
        <f ca="1"/>
        <v>#REF!</v>
      </c>
      <c r="U120" s="42" t="e">
        <f ca="1"/>
        <v>#REF!</v>
      </c>
      <c r="V120" s="31" t="e">
        <f ca="1"/>
        <v>#REF!</v>
      </c>
      <c r="W120" s="41" t="e">
        <f ca="1"/>
        <v>#REF!</v>
      </c>
      <c r="X120" s="41" t="e">
        <f ca="1"/>
        <v>#REF!</v>
      </c>
      <c r="Y120" s="41" t="e">
        <f ca="1"/>
        <v>#REF!</v>
      </c>
      <c r="Z120" s="29" t="e">
        <f ca="1"/>
        <v>#REF!</v>
      </c>
      <c r="AA120" s="34" t="e">
        <f ca="1"/>
        <v>#REF!</v>
      </c>
    </row>
    <row r="121" spans="1:27" s="28" customFormat="1" ht="11.25" x14ac:dyDescent="0.25">
      <c r="A121" s="24">
        <v>115</v>
      </c>
      <c r="B121" s="24"/>
      <c r="C121" s="25"/>
      <c r="D121" s="26"/>
      <c r="E121" s="25"/>
      <c r="F121" s="25"/>
      <c r="G121" s="24"/>
      <c r="H121" s="25" t="e">
        <f ca="1"/>
        <v>#REF!</v>
      </c>
      <c r="I121" s="27" t="e">
        <f ca="1"/>
        <v>#REF!</v>
      </c>
      <c r="J121" s="28" t="e">
        <f ca="1"/>
        <v>#REF!</v>
      </c>
      <c r="K121" s="29" t="e">
        <f ca="1"/>
        <v>#REF!</v>
      </c>
      <c r="L121" s="33" t="e">
        <f ca="1"/>
        <v>#REF!</v>
      </c>
      <c r="M121" s="25" t="e">
        <f ca="1"/>
        <v>#REF!</v>
      </c>
      <c r="N121" s="30" t="e">
        <f ca="1"/>
        <v>#REF!</v>
      </c>
      <c r="O121" s="31" t="e">
        <f ca="1"/>
        <v>#REF!</v>
      </c>
      <c r="P121" s="49" t="e">
        <f ca="1"/>
        <v>#REF!</v>
      </c>
      <c r="Q121" s="49" t="e">
        <f ca="1"/>
        <v>#REF!</v>
      </c>
      <c r="R121" s="31" t="e">
        <f ca="1"/>
        <v>#REF!</v>
      </c>
      <c r="S121" s="31" t="e">
        <f ca="1"/>
        <v>#REF!</v>
      </c>
      <c r="T121" s="40" t="e">
        <f ca="1"/>
        <v>#REF!</v>
      </c>
      <c r="U121" s="42" t="e">
        <f ca="1"/>
        <v>#REF!</v>
      </c>
      <c r="V121" s="31" t="e">
        <f ca="1"/>
        <v>#REF!</v>
      </c>
      <c r="W121" s="41" t="e">
        <f ca="1"/>
        <v>#REF!</v>
      </c>
      <c r="X121" s="41" t="e">
        <f ca="1"/>
        <v>#REF!</v>
      </c>
      <c r="Y121" s="41" t="e">
        <f ca="1"/>
        <v>#REF!</v>
      </c>
      <c r="Z121" s="29" t="e">
        <f ca="1"/>
        <v>#REF!</v>
      </c>
      <c r="AA121" s="34" t="e">
        <f ca="1"/>
        <v>#REF!</v>
      </c>
    </row>
    <row r="122" spans="1:27" s="28" customFormat="1" ht="11.25" x14ac:dyDescent="0.25">
      <c r="A122" s="24">
        <v>116</v>
      </c>
      <c r="B122" s="24"/>
      <c r="C122" s="25"/>
      <c r="D122" s="26"/>
      <c r="E122" s="25"/>
      <c r="F122" s="25"/>
      <c r="G122" s="24"/>
      <c r="H122" s="25" t="e">
        <f ca="1"/>
        <v>#REF!</v>
      </c>
      <c r="I122" s="27" t="e">
        <f ca="1"/>
        <v>#REF!</v>
      </c>
      <c r="J122" s="28" t="e">
        <f ca="1"/>
        <v>#REF!</v>
      </c>
      <c r="K122" s="29" t="e">
        <f ca="1"/>
        <v>#REF!</v>
      </c>
      <c r="L122" s="33" t="e">
        <f ca="1"/>
        <v>#REF!</v>
      </c>
      <c r="M122" s="25" t="e">
        <f ca="1"/>
        <v>#REF!</v>
      </c>
      <c r="N122" s="30" t="e">
        <f ca="1"/>
        <v>#REF!</v>
      </c>
      <c r="O122" s="31" t="e">
        <f ca="1"/>
        <v>#REF!</v>
      </c>
      <c r="P122" s="49" t="e">
        <f ca="1"/>
        <v>#REF!</v>
      </c>
      <c r="Q122" s="49" t="e">
        <f ca="1"/>
        <v>#REF!</v>
      </c>
      <c r="R122" s="31" t="e">
        <f ca="1"/>
        <v>#REF!</v>
      </c>
      <c r="S122" s="31" t="e">
        <f ca="1"/>
        <v>#REF!</v>
      </c>
      <c r="T122" s="40" t="e">
        <f ca="1"/>
        <v>#REF!</v>
      </c>
      <c r="U122" s="42" t="e">
        <f ca="1"/>
        <v>#REF!</v>
      </c>
      <c r="V122" s="31" t="e">
        <f ca="1"/>
        <v>#REF!</v>
      </c>
      <c r="W122" s="41" t="e">
        <f ca="1"/>
        <v>#REF!</v>
      </c>
      <c r="X122" s="41" t="e">
        <f ca="1"/>
        <v>#REF!</v>
      </c>
      <c r="Y122" s="41" t="e">
        <f ca="1"/>
        <v>#REF!</v>
      </c>
      <c r="Z122" s="29" t="e">
        <f ca="1"/>
        <v>#REF!</v>
      </c>
      <c r="AA122" s="34" t="e">
        <f ca="1"/>
        <v>#REF!</v>
      </c>
    </row>
    <row r="123" spans="1:27" s="28" customFormat="1" ht="11.25" x14ac:dyDescent="0.25">
      <c r="A123" s="24">
        <v>117</v>
      </c>
      <c r="B123" s="24"/>
      <c r="C123" s="25"/>
      <c r="D123" s="26"/>
      <c r="E123" s="25"/>
      <c r="F123" s="25"/>
      <c r="G123" s="24"/>
      <c r="H123" s="25" t="e">
        <f ca="1"/>
        <v>#REF!</v>
      </c>
      <c r="I123" s="27" t="e">
        <f ca="1"/>
        <v>#REF!</v>
      </c>
      <c r="J123" s="28" t="e">
        <f ca="1"/>
        <v>#REF!</v>
      </c>
      <c r="K123" s="29" t="e">
        <f ca="1"/>
        <v>#REF!</v>
      </c>
      <c r="L123" s="37" t="e">
        <f ca="1"/>
        <v>#REF!</v>
      </c>
      <c r="M123" s="25" t="e">
        <f ca="1"/>
        <v>#REF!</v>
      </c>
      <c r="N123" s="30" t="e">
        <f ca="1"/>
        <v>#REF!</v>
      </c>
      <c r="O123" s="31" t="e">
        <f ca="1"/>
        <v>#REF!</v>
      </c>
      <c r="P123" s="31" t="e">
        <f ca="1"/>
        <v>#REF!</v>
      </c>
      <c r="Q123" s="31" t="e">
        <f ca="1"/>
        <v>#REF!</v>
      </c>
      <c r="R123" s="31" t="e">
        <f ca="1"/>
        <v>#REF!</v>
      </c>
      <c r="S123" s="31" t="e">
        <f ca="1"/>
        <v>#REF!</v>
      </c>
      <c r="T123" s="31" t="e">
        <f ca="1"/>
        <v>#REF!</v>
      </c>
      <c r="U123" s="31" t="e">
        <f ca="1"/>
        <v>#REF!</v>
      </c>
      <c r="V123" s="31" t="e">
        <f ca="1"/>
        <v>#REF!</v>
      </c>
      <c r="W123" s="32" t="e">
        <f ca="1"/>
        <v>#REF!</v>
      </c>
      <c r="X123" s="32" t="e">
        <f ca="1"/>
        <v>#REF!</v>
      </c>
      <c r="Y123" s="32" t="e">
        <f ca="1"/>
        <v>#REF!</v>
      </c>
      <c r="Z123" s="29" t="e">
        <f ca="1"/>
        <v>#REF!</v>
      </c>
      <c r="AA123" s="34" t="e">
        <f ca="1"/>
        <v>#REF!</v>
      </c>
    </row>
    <row r="124" spans="1:27" s="28" customFormat="1" ht="11.25" x14ac:dyDescent="0.25">
      <c r="A124" s="24">
        <v>118</v>
      </c>
      <c r="B124" s="24"/>
      <c r="C124" s="25"/>
      <c r="D124" s="26"/>
      <c r="E124" s="25"/>
      <c r="F124" s="25"/>
      <c r="G124" s="24"/>
      <c r="H124" s="25" t="e">
        <f ca="1"/>
        <v>#REF!</v>
      </c>
      <c r="I124" s="27" t="e">
        <f ca="1"/>
        <v>#REF!</v>
      </c>
      <c r="J124" s="28" t="e">
        <f ca="1"/>
        <v>#REF!</v>
      </c>
      <c r="K124" s="29" t="e">
        <f ca="1"/>
        <v>#REF!</v>
      </c>
      <c r="L124" s="37" t="e">
        <f ca="1"/>
        <v>#REF!</v>
      </c>
      <c r="M124" s="25" t="e">
        <f ca="1"/>
        <v>#REF!</v>
      </c>
      <c r="N124" s="30" t="e">
        <f ca="1"/>
        <v>#REF!</v>
      </c>
      <c r="O124" s="31" t="e">
        <f ca="1"/>
        <v>#REF!</v>
      </c>
      <c r="P124" s="31" t="e">
        <f ca="1"/>
        <v>#REF!</v>
      </c>
      <c r="Q124" s="31" t="e">
        <f ca="1"/>
        <v>#REF!</v>
      </c>
      <c r="R124" s="31" t="e">
        <f ca="1"/>
        <v>#REF!</v>
      </c>
      <c r="S124" s="31" t="e">
        <f ca="1"/>
        <v>#REF!</v>
      </c>
      <c r="T124" s="31" t="e">
        <f ca="1"/>
        <v>#REF!</v>
      </c>
      <c r="U124" s="31" t="e">
        <f ca="1"/>
        <v>#REF!</v>
      </c>
      <c r="V124" s="31" t="e">
        <f ca="1"/>
        <v>#REF!</v>
      </c>
      <c r="W124" s="32" t="e">
        <f ca="1"/>
        <v>#REF!</v>
      </c>
      <c r="X124" s="32" t="e">
        <f ca="1"/>
        <v>#REF!</v>
      </c>
      <c r="Y124" s="32" t="e">
        <f ca="1"/>
        <v>#REF!</v>
      </c>
      <c r="Z124" s="33" t="e">
        <f ca="1"/>
        <v>#REF!</v>
      </c>
      <c r="AA124" s="34" t="e">
        <f ca="1"/>
        <v>#REF!</v>
      </c>
    </row>
    <row r="125" spans="1:27" s="28" customFormat="1" ht="11.25" x14ac:dyDescent="0.25">
      <c r="A125" s="24">
        <v>119</v>
      </c>
      <c r="B125" s="24"/>
      <c r="C125" s="25"/>
      <c r="D125" s="26"/>
      <c r="E125" s="25"/>
      <c r="F125" s="25"/>
      <c r="G125" s="24"/>
      <c r="H125" s="25" t="e">
        <f ca="1"/>
        <v>#REF!</v>
      </c>
      <c r="I125" s="27" t="e">
        <f ca="1"/>
        <v>#REF!</v>
      </c>
      <c r="J125" s="28" t="e">
        <f ca="1"/>
        <v>#REF!</v>
      </c>
      <c r="K125" s="29" t="e">
        <f ca="1"/>
        <v>#REF!</v>
      </c>
      <c r="L125" s="50" t="e">
        <f ca="1"/>
        <v>#REF!</v>
      </c>
      <c r="M125" s="25" t="e">
        <f ca="1"/>
        <v>#REF!</v>
      </c>
      <c r="N125" s="30" t="e">
        <f ca="1"/>
        <v>#REF!</v>
      </c>
      <c r="O125" s="31" t="e">
        <f ca="1"/>
        <v>#REF!</v>
      </c>
      <c r="P125" s="31" t="e">
        <f ca="1"/>
        <v>#REF!</v>
      </c>
      <c r="Q125" s="31" t="e">
        <f ca="1"/>
        <v>#REF!</v>
      </c>
      <c r="R125" s="31" t="e">
        <f ca="1"/>
        <v>#REF!</v>
      </c>
      <c r="S125" s="31" t="e">
        <f ca="1"/>
        <v>#REF!</v>
      </c>
      <c r="T125" s="31" t="e">
        <f ca="1"/>
        <v>#REF!</v>
      </c>
      <c r="U125" s="31" t="e">
        <f ca="1"/>
        <v>#REF!</v>
      </c>
      <c r="V125" s="31" t="e">
        <f ca="1"/>
        <v>#REF!</v>
      </c>
      <c r="W125" s="32" t="e">
        <f ca="1"/>
        <v>#REF!</v>
      </c>
      <c r="X125" s="32" t="e">
        <f ca="1"/>
        <v>#REF!</v>
      </c>
      <c r="Y125" s="32" t="e">
        <f ca="1"/>
        <v>#REF!</v>
      </c>
      <c r="Z125" s="33" t="e">
        <f ca="1"/>
        <v>#REF!</v>
      </c>
      <c r="AA125" s="34" t="e">
        <f ca="1"/>
        <v>#REF!</v>
      </c>
    </row>
    <row r="126" spans="1:27" s="28" customFormat="1" ht="35.25" customHeight="1" x14ac:dyDescent="0.25">
      <c r="A126" s="24">
        <v>120</v>
      </c>
      <c r="B126" s="24"/>
      <c r="C126" s="25"/>
      <c r="D126" s="26"/>
      <c r="E126" s="25"/>
      <c r="F126" s="25"/>
      <c r="G126" s="24"/>
      <c r="H126" s="25" t="e">
        <f ca="1"/>
        <v>#REF!</v>
      </c>
      <c r="I126" s="27" t="e">
        <f ca="1"/>
        <v>#REF!</v>
      </c>
      <c r="J126" s="28" t="e">
        <f ca="1"/>
        <v>#REF!</v>
      </c>
      <c r="K126" s="29" t="e">
        <f ca="1"/>
        <v>#REF!</v>
      </c>
      <c r="L126" s="50" t="e">
        <f ca="1"/>
        <v>#REF!</v>
      </c>
      <c r="M126" s="25" t="e">
        <f ca="1"/>
        <v>#REF!</v>
      </c>
      <c r="N126" s="39" t="e">
        <f ca="1"/>
        <v>#REF!</v>
      </c>
      <c r="O126" s="35" t="e">
        <f ca="1"/>
        <v>#REF!</v>
      </c>
      <c r="P126" s="35" t="e">
        <f ca="1"/>
        <v>#REF!</v>
      </c>
      <c r="Q126" s="31" t="e">
        <f ca="1"/>
        <v>#REF!</v>
      </c>
      <c r="R126" s="31" t="e">
        <f ca="1"/>
        <v>#REF!</v>
      </c>
      <c r="S126" s="35" t="e">
        <f ca="1"/>
        <v>#REF!</v>
      </c>
      <c r="T126" s="31" t="e">
        <f ca="1"/>
        <v>#REF!</v>
      </c>
      <c r="U126" s="31" t="e">
        <f ca="1"/>
        <v>#REF!</v>
      </c>
      <c r="V126" s="31" t="e">
        <f ca="1"/>
        <v>#REF!</v>
      </c>
      <c r="W126" s="32" t="e">
        <f ca="1"/>
        <v>#REF!</v>
      </c>
      <c r="X126" s="32" t="e">
        <f ca="1"/>
        <v>#REF!</v>
      </c>
      <c r="Y126" s="32" t="e">
        <f ca="1"/>
        <v>#REF!</v>
      </c>
      <c r="Z126" s="33" t="e">
        <f ca="1"/>
        <v>#REF!</v>
      </c>
      <c r="AA126" s="34" t="e">
        <f ca="1"/>
        <v>#REF!</v>
      </c>
    </row>
    <row r="127" spans="1:27" s="28" customFormat="1" ht="36" customHeight="1" x14ac:dyDescent="0.25">
      <c r="A127" s="24">
        <v>121</v>
      </c>
      <c r="B127" s="24"/>
      <c r="C127" s="25"/>
      <c r="D127" s="26"/>
      <c r="E127" s="25"/>
      <c r="F127" s="25"/>
      <c r="G127" s="24"/>
      <c r="H127" s="25" t="e">
        <f ca="1"/>
        <v>#REF!</v>
      </c>
      <c r="I127" s="27" t="e">
        <f ca="1"/>
        <v>#REF!</v>
      </c>
      <c r="J127" s="28" t="e">
        <f ca="1"/>
        <v>#REF!</v>
      </c>
      <c r="K127" s="29" t="e">
        <f ca="1"/>
        <v>#REF!</v>
      </c>
      <c r="L127" s="51" t="e">
        <f ca="1"/>
        <v>#REF!</v>
      </c>
      <c r="M127" s="25" t="e">
        <f ca="1"/>
        <v>#REF!</v>
      </c>
      <c r="N127" s="39" t="e">
        <f ca="1"/>
        <v>#REF!</v>
      </c>
      <c r="O127" s="35" t="e">
        <f ca="1"/>
        <v>#REF!</v>
      </c>
      <c r="P127" s="35" t="e">
        <f ca="1"/>
        <v>#REF!</v>
      </c>
      <c r="Q127" s="31" t="e">
        <f ca="1"/>
        <v>#REF!</v>
      </c>
      <c r="R127" s="31" t="e">
        <f ca="1"/>
        <v>#REF!</v>
      </c>
      <c r="S127" s="35" t="e">
        <f ca="1"/>
        <v>#REF!</v>
      </c>
      <c r="T127" s="31" t="e">
        <f ca="1"/>
        <v>#REF!</v>
      </c>
      <c r="U127" s="31" t="e">
        <f ca="1"/>
        <v>#REF!</v>
      </c>
      <c r="V127" s="31" t="e">
        <f ca="1"/>
        <v>#REF!</v>
      </c>
      <c r="W127" s="32" t="e">
        <f ca="1"/>
        <v>#REF!</v>
      </c>
      <c r="X127" s="32" t="e">
        <f ca="1"/>
        <v>#REF!</v>
      </c>
      <c r="Y127" s="32" t="e">
        <f ca="1"/>
        <v>#REF!</v>
      </c>
      <c r="Z127" s="29" t="e">
        <f ca="1"/>
        <v>#REF!</v>
      </c>
      <c r="AA127" s="34" t="e">
        <f ca="1"/>
        <v>#REF!</v>
      </c>
    </row>
    <row r="128" spans="1:27" s="28" customFormat="1" ht="80.25" customHeight="1" x14ac:dyDescent="0.25">
      <c r="A128" s="24">
        <v>122</v>
      </c>
      <c r="B128" s="24"/>
      <c r="C128" s="25"/>
      <c r="D128" s="26"/>
      <c r="E128" s="25"/>
      <c r="F128" s="25"/>
      <c r="G128" s="24"/>
      <c r="H128" s="25" t="e">
        <f ca="1"/>
        <v>#REF!</v>
      </c>
      <c r="I128" s="27" t="e">
        <f ca="1"/>
        <v>#REF!</v>
      </c>
      <c r="J128" s="28" t="e">
        <f ca="1"/>
        <v>#REF!</v>
      </c>
      <c r="K128" s="29" t="e">
        <f ca="1"/>
        <v>#REF!</v>
      </c>
      <c r="L128" s="29" t="e">
        <f ca="1"/>
        <v>#REF!</v>
      </c>
      <c r="M128" s="25" t="e">
        <f ca="1"/>
        <v>#REF!</v>
      </c>
      <c r="N128" s="30" t="e">
        <f ca="1"/>
        <v>#REF!</v>
      </c>
      <c r="O128" s="31" t="e">
        <f ca="1"/>
        <v>#REF!</v>
      </c>
      <c r="P128" s="31" t="e">
        <f ca="1"/>
        <v>#REF!</v>
      </c>
      <c r="Q128" s="31" t="e">
        <f ca="1"/>
        <v>#REF!</v>
      </c>
      <c r="R128" s="31" t="e">
        <f ca="1"/>
        <v>#REF!</v>
      </c>
      <c r="S128" s="31" t="e">
        <f ca="1"/>
        <v>#REF!</v>
      </c>
      <c r="T128" s="31" t="e">
        <f ca="1"/>
        <v>#REF!</v>
      </c>
      <c r="U128" s="31" t="e">
        <f ca="1"/>
        <v>#REF!</v>
      </c>
      <c r="V128" s="31" t="e">
        <f ca="1"/>
        <v>#REF!</v>
      </c>
      <c r="W128" s="32" t="e">
        <f ca="1"/>
        <v>#REF!</v>
      </c>
      <c r="X128" s="32" t="e">
        <f ca="1"/>
        <v>#REF!</v>
      </c>
      <c r="Y128" s="32" t="e">
        <f ca="1"/>
        <v>#REF!</v>
      </c>
      <c r="Z128" s="33" t="e">
        <f ca="1"/>
        <v>#REF!</v>
      </c>
      <c r="AA128" s="34" t="e">
        <f ca="1"/>
        <v>#REF!</v>
      </c>
    </row>
    <row r="129" spans="1:27" s="28" customFormat="1" ht="47.25" customHeight="1" x14ac:dyDescent="0.25">
      <c r="A129" s="24">
        <v>123</v>
      </c>
      <c r="B129" s="24"/>
      <c r="C129" s="25"/>
      <c r="D129" s="26"/>
      <c r="E129" s="25"/>
      <c r="F129" s="25"/>
      <c r="G129" s="24"/>
      <c r="H129" s="25" t="e">
        <f ca="1"/>
        <v>#REF!</v>
      </c>
      <c r="I129" s="27" t="e">
        <f ca="1"/>
        <v>#REF!</v>
      </c>
      <c r="J129" s="28" t="e">
        <f ca="1"/>
        <v>#REF!</v>
      </c>
      <c r="K129" s="29" t="e">
        <f ca="1"/>
        <v>#REF!</v>
      </c>
      <c r="L129" s="29" t="e">
        <f ca="1"/>
        <v>#REF!</v>
      </c>
      <c r="M129" s="25" t="e">
        <f ca="1"/>
        <v>#REF!</v>
      </c>
      <c r="N129" s="30" t="e">
        <f ca="1"/>
        <v>#REF!</v>
      </c>
      <c r="O129" s="31" t="e">
        <f ca="1"/>
        <v>#REF!</v>
      </c>
      <c r="P129" s="31" t="e">
        <f ca="1"/>
        <v>#REF!</v>
      </c>
      <c r="Q129" s="31" t="e">
        <f ca="1"/>
        <v>#REF!</v>
      </c>
      <c r="R129" s="31" t="e">
        <f ca="1"/>
        <v>#REF!</v>
      </c>
      <c r="S129" s="31" t="e">
        <f ca="1"/>
        <v>#REF!</v>
      </c>
      <c r="T129" s="31" t="e">
        <f ca="1"/>
        <v>#REF!</v>
      </c>
      <c r="U129" s="31" t="e">
        <f ca="1"/>
        <v>#REF!</v>
      </c>
      <c r="V129" s="31" t="e">
        <f ca="1"/>
        <v>#REF!</v>
      </c>
      <c r="W129" s="32" t="e">
        <f ca="1"/>
        <v>#REF!</v>
      </c>
      <c r="X129" s="32" t="e">
        <f ca="1"/>
        <v>#REF!</v>
      </c>
      <c r="Y129" s="32" t="e">
        <f ca="1"/>
        <v>#REF!</v>
      </c>
      <c r="Z129" s="33" t="e">
        <f ca="1"/>
        <v>#REF!</v>
      </c>
      <c r="AA129" s="34" t="e">
        <f ca="1"/>
        <v>#REF!</v>
      </c>
    </row>
    <row r="130" spans="1:27" s="28" customFormat="1" ht="11.25" x14ac:dyDescent="0.25">
      <c r="A130" s="24">
        <v>124</v>
      </c>
      <c r="B130" s="24"/>
      <c r="C130" s="25"/>
      <c r="D130" s="26"/>
      <c r="E130" s="25"/>
      <c r="F130" s="25"/>
      <c r="G130" s="24"/>
      <c r="H130" s="25" t="e">
        <f ca="1"/>
        <v>#REF!</v>
      </c>
      <c r="I130" s="27" t="e">
        <f ca="1"/>
        <v>#REF!</v>
      </c>
      <c r="J130" s="28" t="e">
        <f ca="1"/>
        <v>#REF!</v>
      </c>
      <c r="K130" s="29" t="e">
        <f ca="1"/>
        <v>#REF!</v>
      </c>
      <c r="L130" s="29" t="e">
        <f ca="1"/>
        <v>#REF!</v>
      </c>
      <c r="M130" s="25" t="e">
        <f ca="1"/>
        <v>#REF!</v>
      </c>
      <c r="N130" s="30" t="e">
        <f ca="1"/>
        <v>#REF!</v>
      </c>
      <c r="O130" s="31" t="e">
        <f ca="1"/>
        <v>#REF!</v>
      </c>
      <c r="P130" s="31" t="e">
        <f ca="1"/>
        <v>#REF!</v>
      </c>
      <c r="Q130" s="31" t="e">
        <f ca="1"/>
        <v>#REF!</v>
      </c>
      <c r="R130" s="31" t="e">
        <f ca="1"/>
        <v>#REF!</v>
      </c>
      <c r="S130" s="31" t="e">
        <f ca="1"/>
        <v>#REF!</v>
      </c>
      <c r="T130" s="31" t="e">
        <f ca="1"/>
        <v>#REF!</v>
      </c>
      <c r="U130" s="31" t="e">
        <f ca="1"/>
        <v>#REF!</v>
      </c>
      <c r="V130" s="31" t="e">
        <f ca="1"/>
        <v>#REF!</v>
      </c>
      <c r="W130" s="32" t="e">
        <f ca="1"/>
        <v>#REF!</v>
      </c>
      <c r="X130" s="32" t="e">
        <f ca="1"/>
        <v>#REF!</v>
      </c>
      <c r="Y130" s="32" t="e">
        <f ca="1"/>
        <v>#REF!</v>
      </c>
      <c r="Z130" s="33" t="e">
        <f ca="1"/>
        <v>#REF!</v>
      </c>
      <c r="AA130" s="34" t="e">
        <f ca="1"/>
        <v>#REF!</v>
      </c>
    </row>
    <row r="131" spans="1:27" s="28" customFormat="1" ht="11.25" x14ac:dyDescent="0.25">
      <c r="A131" s="24">
        <v>125</v>
      </c>
      <c r="B131" s="24"/>
      <c r="C131" s="25"/>
      <c r="D131" s="26"/>
      <c r="E131" s="25"/>
      <c r="F131" s="25"/>
      <c r="G131" s="24"/>
      <c r="H131" s="25" t="e">
        <f ca="1"/>
        <v>#REF!</v>
      </c>
      <c r="I131" s="27" t="e">
        <f ca="1"/>
        <v>#REF!</v>
      </c>
      <c r="J131" s="28" t="e">
        <f ca="1"/>
        <v>#REF!</v>
      </c>
      <c r="K131" s="29" t="e">
        <f ca="1"/>
        <v>#REF!</v>
      </c>
      <c r="L131" s="29" t="e">
        <f ca="1"/>
        <v>#REF!</v>
      </c>
      <c r="M131" s="25" t="e">
        <f ca="1"/>
        <v>#REF!</v>
      </c>
      <c r="N131" s="30" t="e">
        <f ca="1"/>
        <v>#REF!</v>
      </c>
      <c r="O131" s="31" t="e">
        <f ca="1"/>
        <v>#REF!</v>
      </c>
      <c r="P131" s="31" t="e">
        <f ca="1"/>
        <v>#REF!</v>
      </c>
      <c r="Q131" s="31" t="e">
        <f ca="1"/>
        <v>#REF!</v>
      </c>
      <c r="R131" s="31" t="e">
        <f ca="1"/>
        <v>#REF!</v>
      </c>
      <c r="S131" s="31" t="e">
        <f ca="1"/>
        <v>#REF!</v>
      </c>
      <c r="T131" s="31" t="e">
        <f ca="1"/>
        <v>#REF!</v>
      </c>
      <c r="U131" s="31" t="e">
        <f ca="1"/>
        <v>#REF!</v>
      </c>
      <c r="V131" s="31" t="e">
        <f ca="1"/>
        <v>#REF!</v>
      </c>
      <c r="W131" s="32" t="e">
        <f ca="1"/>
        <v>#REF!</v>
      </c>
      <c r="X131" s="32" t="e">
        <f ca="1"/>
        <v>#REF!</v>
      </c>
      <c r="Y131" s="32" t="e">
        <f ca="1"/>
        <v>#REF!</v>
      </c>
      <c r="Z131" s="33" t="e">
        <f ca="1"/>
        <v>#REF!</v>
      </c>
      <c r="AA131" s="34" t="e">
        <f ca="1"/>
        <v>#REF!</v>
      </c>
    </row>
    <row r="132" spans="1:27" s="28" customFormat="1" ht="11.25" x14ac:dyDescent="0.25">
      <c r="A132" s="24">
        <v>126</v>
      </c>
      <c r="B132" s="24"/>
      <c r="C132" s="25"/>
      <c r="D132" s="26"/>
      <c r="E132" s="25"/>
      <c r="F132" s="25"/>
      <c r="G132" s="24"/>
      <c r="H132" s="25" t="e">
        <f ca="1"/>
        <v>#REF!</v>
      </c>
      <c r="I132" s="27" t="e">
        <f ca="1"/>
        <v>#REF!</v>
      </c>
      <c r="J132" s="28" t="e">
        <f ca="1"/>
        <v>#REF!</v>
      </c>
      <c r="K132" s="29" t="e">
        <f ca="1"/>
        <v>#REF!</v>
      </c>
      <c r="L132" s="29" t="e">
        <f ca="1"/>
        <v>#REF!</v>
      </c>
      <c r="M132" s="25" t="e">
        <f ca="1"/>
        <v>#REF!</v>
      </c>
      <c r="N132" s="30" t="e">
        <f ca="1"/>
        <v>#REF!</v>
      </c>
      <c r="O132" s="31" t="e">
        <f ca="1"/>
        <v>#REF!</v>
      </c>
      <c r="P132" s="31" t="e">
        <f ca="1"/>
        <v>#REF!</v>
      </c>
      <c r="Q132" s="31" t="e">
        <f ca="1"/>
        <v>#REF!</v>
      </c>
      <c r="R132" s="31" t="e">
        <f ca="1"/>
        <v>#REF!</v>
      </c>
      <c r="S132" s="31" t="e">
        <f ca="1"/>
        <v>#REF!</v>
      </c>
      <c r="T132" s="31" t="e">
        <f ca="1"/>
        <v>#REF!</v>
      </c>
      <c r="U132" s="31" t="e">
        <f ca="1"/>
        <v>#REF!</v>
      </c>
      <c r="V132" s="31" t="e">
        <f ca="1"/>
        <v>#REF!</v>
      </c>
      <c r="W132" s="32" t="e">
        <f ca="1"/>
        <v>#REF!</v>
      </c>
      <c r="X132" s="32" t="e">
        <f ca="1"/>
        <v>#REF!</v>
      </c>
      <c r="Y132" s="32" t="e">
        <f ca="1"/>
        <v>#REF!</v>
      </c>
      <c r="Z132" s="33" t="e">
        <f ca="1"/>
        <v>#REF!</v>
      </c>
      <c r="AA132" s="34" t="e">
        <f ca="1"/>
        <v>#REF!</v>
      </c>
    </row>
    <row r="133" spans="1:27" s="53" customFormat="1" ht="11.25" x14ac:dyDescent="0.25">
      <c r="A133" s="24">
        <v>127</v>
      </c>
      <c r="B133" s="52"/>
      <c r="D133" s="54"/>
      <c r="G133" s="52"/>
      <c r="H133" s="53" t="e">
        <f ca="1"/>
        <v>#REF!</v>
      </c>
      <c r="I133" s="52" t="e">
        <f ca="1"/>
        <v>#REF!</v>
      </c>
      <c r="J133" s="53" t="e">
        <f ca="1"/>
        <v>#REF!</v>
      </c>
      <c r="K133" s="55" t="e">
        <f ca="1"/>
        <v>#REF!</v>
      </c>
      <c r="L133" s="29" t="e">
        <f ca="1"/>
        <v>#REF!</v>
      </c>
      <c r="M133" s="25" t="e">
        <f ca="1"/>
        <v>#REF!</v>
      </c>
      <c r="N133" s="30" t="e">
        <f ca="1"/>
        <v>#REF!</v>
      </c>
      <c r="O133" s="31" t="e">
        <f ca="1"/>
        <v>#REF!</v>
      </c>
      <c r="P133" s="31" t="e">
        <f ca="1"/>
        <v>#REF!</v>
      </c>
      <c r="Q133" s="31" t="e">
        <f ca="1"/>
        <v>#REF!</v>
      </c>
      <c r="R133" s="31" t="e">
        <f ca="1"/>
        <v>#REF!</v>
      </c>
      <c r="S133" s="31" t="e">
        <f ca="1"/>
        <v>#REF!</v>
      </c>
      <c r="T133" s="31" t="e">
        <f ca="1"/>
        <v>#REF!</v>
      </c>
      <c r="U133" s="31" t="e">
        <f ca="1"/>
        <v>#REF!</v>
      </c>
      <c r="V133" s="31" t="e">
        <f ca="1"/>
        <v>#REF!</v>
      </c>
      <c r="W133" s="32" t="e">
        <f ca="1"/>
        <v>#REF!</v>
      </c>
      <c r="X133" s="32" t="e">
        <f ca="1"/>
        <v>#REF!</v>
      </c>
      <c r="Y133" s="32" t="e">
        <f ca="1"/>
        <v>#REF!</v>
      </c>
      <c r="Z133" s="33" t="e">
        <f ca="1"/>
        <v>#REF!</v>
      </c>
      <c r="AA133" s="34" t="e">
        <f ca="1"/>
        <v>#REF!</v>
      </c>
    </row>
    <row r="134" spans="1:27" s="28" customFormat="1" ht="53.25" customHeight="1" x14ac:dyDescent="0.25">
      <c r="A134" s="24">
        <v>128</v>
      </c>
      <c r="B134" s="24"/>
      <c r="C134" s="25"/>
      <c r="D134" s="26"/>
      <c r="E134" s="25"/>
      <c r="F134" s="25"/>
      <c r="G134" s="24"/>
      <c r="H134" s="25" t="e">
        <f ca="1"/>
        <v>#REF!</v>
      </c>
      <c r="I134" s="27" t="e">
        <f ca="1"/>
        <v>#REF!</v>
      </c>
      <c r="J134" s="25" t="e">
        <f ca="1"/>
        <v>#REF!</v>
      </c>
      <c r="K134" s="29" t="e">
        <f ca="1"/>
        <v>#REF!</v>
      </c>
      <c r="L134" s="25" t="e">
        <f ca="1"/>
        <v>#REF!</v>
      </c>
      <c r="M134" s="25" t="e">
        <f ca="1"/>
        <v>#REF!</v>
      </c>
      <c r="N134" s="30" t="e">
        <f ca="1"/>
        <v>#REF!</v>
      </c>
      <c r="O134" s="31" t="e">
        <f ca="1"/>
        <v>#REF!</v>
      </c>
      <c r="P134" s="31" t="e">
        <f ca="1"/>
        <v>#REF!</v>
      </c>
      <c r="Q134" s="31" t="e">
        <f ca="1"/>
        <v>#REF!</v>
      </c>
      <c r="R134" s="31" t="e">
        <f ca="1"/>
        <v>#REF!</v>
      </c>
      <c r="S134" s="31" t="e">
        <f ca="1"/>
        <v>#REF!</v>
      </c>
      <c r="T134" s="31" t="e">
        <f ca="1"/>
        <v>#REF!</v>
      </c>
      <c r="U134" s="31" t="e">
        <f ca="1"/>
        <v>#REF!</v>
      </c>
      <c r="V134" s="31" t="e">
        <f ca="1"/>
        <v>#REF!</v>
      </c>
      <c r="W134" s="34" t="e">
        <f ca="1"/>
        <v>#REF!</v>
      </c>
      <c r="X134" s="33" t="e">
        <f ca="1"/>
        <v>#REF!</v>
      </c>
      <c r="Y134" s="33" t="e">
        <f ca="1"/>
        <v>#REF!</v>
      </c>
      <c r="Z134" s="56" t="e">
        <f ca="1"/>
        <v>#REF!</v>
      </c>
      <c r="AA134" s="34" t="e">
        <f ca="1"/>
        <v>#REF!</v>
      </c>
    </row>
    <row r="135" spans="1:27" s="28" customFormat="1" ht="11.25" x14ac:dyDescent="0.25">
      <c r="A135" s="24">
        <v>129</v>
      </c>
      <c r="B135" s="24"/>
      <c r="C135" s="25"/>
      <c r="D135" s="26"/>
      <c r="E135" s="25"/>
      <c r="F135" s="25"/>
      <c r="G135" s="24"/>
      <c r="H135" s="25" t="e">
        <f ca="1"/>
        <v>#REF!</v>
      </c>
      <c r="I135" s="27" t="e">
        <f ca="1"/>
        <v>#REF!</v>
      </c>
      <c r="J135" s="25" t="e">
        <f ca="1"/>
        <v>#REF!</v>
      </c>
      <c r="K135" s="29" t="e">
        <f ca="1"/>
        <v>#REF!</v>
      </c>
      <c r="L135" s="25" t="e">
        <f ca="1"/>
        <v>#REF!</v>
      </c>
      <c r="M135" s="25" t="e">
        <f ca="1"/>
        <v>#REF!</v>
      </c>
      <c r="N135" s="57" t="e">
        <f ca="1"/>
        <v>#REF!</v>
      </c>
      <c r="O135" s="35" t="e">
        <f ca="1"/>
        <v>#REF!</v>
      </c>
      <c r="P135" s="35" t="e">
        <f ca="1"/>
        <v>#REF!</v>
      </c>
      <c r="Q135" s="35" t="e">
        <f ca="1"/>
        <v>#REF!</v>
      </c>
      <c r="R135" s="35" t="e">
        <f ca="1"/>
        <v>#REF!</v>
      </c>
      <c r="S135" s="35" t="e">
        <f ca="1"/>
        <v>#REF!</v>
      </c>
      <c r="T135" s="35" t="e">
        <f ca="1"/>
        <v>#REF!</v>
      </c>
      <c r="U135" s="31" t="e">
        <f ca="1"/>
        <v>#REF!</v>
      </c>
      <c r="V135" s="31" t="e">
        <f ca="1"/>
        <v>#REF!</v>
      </c>
      <c r="W135" s="33" t="e">
        <f ca="1"/>
        <v>#REF!</v>
      </c>
      <c r="X135" s="32" t="e">
        <f ca="1"/>
        <v>#REF!</v>
      </c>
      <c r="Y135" s="32" t="e">
        <f ca="1"/>
        <v>#REF!</v>
      </c>
      <c r="Z135" s="56" t="e">
        <f ca="1"/>
        <v>#REF!</v>
      </c>
      <c r="AA135" s="34" t="e">
        <f ca="1"/>
        <v>#REF!</v>
      </c>
    </row>
    <row r="136" spans="1:27" s="28" customFormat="1" ht="24" customHeight="1" x14ac:dyDescent="0.25">
      <c r="A136" s="24">
        <v>130</v>
      </c>
      <c r="B136" s="24"/>
      <c r="C136" s="25"/>
      <c r="D136" s="26"/>
      <c r="E136" s="25"/>
      <c r="F136" s="25"/>
      <c r="G136" s="24"/>
      <c r="H136" s="25" t="e">
        <f ca="1"/>
        <v>#REF!</v>
      </c>
      <c r="I136" s="27" t="e">
        <f ca="1"/>
        <v>#REF!</v>
      </c>
      <c r="J136" s="25" t="e">
        <f ca="1"/>
        <v>#REF!</v>
      </c>
      <c r="K136" s="29" t="e">
        <f ca="1"/>
        <v>#REF!</v>
      </c>
      <c r="L136" s="25" t="e">
        <f ca="1"/>
        <v>#REF!</v>
      </c>
      <c r="M136" s="25" t="e">
        <f ca="1"/>
        <v>#REF!</v>
      </c>
      <c r="N136" s="30" t="e">
        <f ca="1"/>
        <v>#REF!</v>
      </c>
      <c r="O136" s="31" t="e">
        <f ca="1"/>
        <v>#REF!</v>
      </c>
      <c r="P136" s="31" t="e">
        <f ca="1"/>
        <v>#REF!</v>
      </c>
      <c r="Q136" s="31" t="e">
        <f ca="1"/>
        <v>#REF!</v>
      </c>
      <c r="R136" s="31" t="e">
        <f ca="1"/>
        <v>#REF!</v>
      </c>
      <c r="S136" s="31" t="e">
        <f ca="1"/>
        <v>#REF!</v>
      </c>
      <c r="T136" s="31" t="e">
        <f ca="1"/>
        <v>#REF!</v>
      </c>
      <c r="U136" s="31" t="e">
        <f ca="1"/>
        <v>#REF!</v>
      </c>
      <c r="V136" s="31" t="e">
        <f ca="1"/>
        <v>#REF!</v>
      </c>
      <c r="W136" s="34" t="e">
        <f ca="1"/>
        <v>#REF!</v>
      </c>
      <c r="X136" s="32" t="e">
        <f ca="1"/>
        <v>#REF!</v>
      </c>
      <c r="Y136" s="33" t="e">
        <f ca="1"/>
        <v>#REF!</v>
      </c>
      <c r="Z136" s="56" t="e">
        <f ca="1"/>
        <v>#REF!</v>
      </c>
      <c r="AA136" s="34" t="e">
        <f ca="1"/>
        <v>#REF!</v>
      </c>
    </row>
    <row r="137" spans="1:27" s="28" customFormat="1" ht="24" customHeight="1" x14ac:dyDescent="0.25">
      <c r="A137" s="24">
        <v>131</v>
      </c>
      <c r="B137" s="24"/>
      <c r="C137" s="25"/>
      <c r="D137" s="26"/>
      <c r="E137" s="25"/>
      <c r="F137" s="25"/>
      <c r="G137" s="24"/>
      <c r="H137" s="25" t="e">
        <f ca="1"/>
        <v>#REF!</v>
      </c>
      <c r="I137" s="27" t="e">
        <f ca="1"/>
        <v>#REF!</v>
      </c>
      <c r="J137" s="25" t="e">
        <f ca="1"/>
        <v>#REF!</v>
      </c>
      <c r="K137" s="29" t="e">
        <f ca="1"/>
        <v>#REF!</v>
      </c>
      <c r="L137" s="25" t="e">
        <f ca="1"/>
        <v>#REF!</v>
      </c>
      <c r="M137" s="25" t="e">
        <f ca="1"/>
        <v>#REF!</v>
      </c>
      <c r="N137" s="30" t="e">
        <f ca="1"/>
        <v>#REF!</v>
      </c>
      <c r="O137" s="31" t="e">
        <f ca="1"/>
        <v>#REF!</v>
      </c>
      <c r="P137" s="31" t="e">
        <f ca="1"/>
        <v>#REF!</v>
      </c>
      <c r="Q137" s="31" t="e">
        <f ca="1"/>
        <v>#REF!</v>
      </c>
      <c r="R137" s="31" t="e">
        <f ca="1"/>
        <v>#REF!</v>
      </c>
      <c r="S137" s="31" t="e">
        <f ca="1"/>
        <v>#REF!</v>
      </c>
      <c r="T137" s="31" t="e">
        <f ca="1"/>
        <v>#REF!</v>
      </c>
      <c r="U137" s="31" t="e">
        <f ca="1"/>
        <v>#REF!</v>
      </c>
      <c r="V137" s="31" t="e">
        <f ca="1"/>
        <v>#REF!</v>
      </c>
      <c r="W137" s="33" t="e">
        <f ca="1"/>
        <v>#REF!</v>
      </c>
      <c r="X137" s="33" t="e">
        <f ca="1"/>
        <v>#REF!</v>
      </c>
      <c r="Y137" s="33" t="e">
        <f ca="1"/>
        <v>#REF!</v>
      </c>
      <c r="Z137" s="45" t="e">
        <f ca="1"/>
        <v>#REF!</v>
      </c>
      <c r="AA137" s="34" t="e">
        <f ca="1"/>
        <v>#REF!</v>
      </c>
    </row>
    <row r="138" spans="1:27" s="28" customFormat="1" ht="24" customHeight="1" x14ac:dyDescent="0.25">
      <c r="A138" s="24">
        <v>132</v>
      </c>
      <c r="B138" s="24"/>
      <c r="C138" s="25"/>
      <c r="D138" s="26"/>
      <c r="E138" s="25"/>
      <c r="F138" s="25"/>
      <c r="G138" s="24"/>
      <c r="H138" s="25" t="e">
        <f ca="1"/>
        <v>#REF!</v>
      </c>
      <c r="I138" s="27" t="e">
        <f ca="1"/>
        <v>#REF!</v>
      </c>
      <c r="J138" s="25" t="e">
        <f ca="1"/>
        <v>#REF!</v>
      </c>
      <c r="K138" s="29" t="e">
        <f ca="1"/>
        <v>#REF!</v>
      </c>
      <c r="L138" s="25" t="e">
        <f ca="1"/>
        <v>#REF!</v>
      </c>
      <c r="M138" s="25" t="e">
        <f ca="1"/>
        <v>#REF!</v>
      </c>
      <c r="N138" s="30" t="e">
        <f ca="1"/>
        <v>#REF!</v>
      </c>
      <c r="O138" s="31" t="e">
        <f ca="1"/>
        <v>#REF!</v>
      </c>
      <c r="P138" s="31" t="e">
        <f ca="1"/>
        <v>#REF!</v>
      </c>
      <c r="Q138" s="31" t="e">
        <f ca="1"/>
        <v>#REF!</v>
      </c>
      <c r="R138" s="31" t="e">
        <f ca="1"/>
        <v>#REF!</v>
      </c>
      <c r="S138" s="31" t="e">
        <f ca="1"/>
        <v>#REF!</v>
      </c>
      <c r="T138" s="31" t="e">
        <f ca="1"/>
        <v>#REF!</v>
      </c>
      <c r="U138" s="31" t="e">
        <f ca="1"/>
        <v>#REF!</v>
      </c>
      <c r="V138" s="31" t="e">
        <f ca="1"/>
        <v>#REF!</v>
      </c>
      <c r="W138" s="34" t="e">
        <f ca="1"/>
        <v>#REF!</v>
      </c>
      <c r="X138" s="33" t="e">
        <f ca="1"/>
        <v>#REF!</v>
      </c>
      <c r="Y138" s="33" t="e">
        <f ca="1"/>
        <v>#REF!</v>
      </c>
      <c r="Z138" s="45" t="e">
        <f ca="1"/>
        <v>#REF!</v>
      </c>
      <c r="AA138" s="34" t="e">
        <f ca="1"/>
        <v>#REF!</v>
      </c>
    </row>
    <row r="139" spans="1:27" s="28" customFormat="1" ht="24" customHeight="1" x14ac:dyDescent="0.25">
      <c r="A139" s="24">
        <v>133</v>
      </c>
      <c r="B139" s="24"/>
      <c r="C139" s="25"/>
      <c r="D139" s="26"/>
      <c r="E139" s="25"/>
      <c r="F139" s="25"/>
      <c r="G139" s="24"/>
      <c r="H139" s="25" t="e">
        <f ca="1"/>
        <v>#REF!</v>
      </c>
      <c r="I139" s="27" t="e">
        <f ca="1"/>
        <v>#REF!</v>
      </c>
      <c r="J139" s="25" t="e">
        <f ca="1"/>
        <v>#REF!</v>
      </c>
      <c r="K139" s="29" t="e">
        <f ca="1"/>
        <v>#REF!</v>
      </c>
      <c r="L139" s="25" t="e">
        <f ca="1"/>
        <v>#REF!</v>
      </c>
      <c r="M139" s="25" t="e">
        <f ca="1"/>
        <v>#REF!</v>
      </c>
      <c r="N139" s="30" t="e">
        <f ca="1"/>
        <v>#REF!</v>
      </c>
      <c r="O139" s="31" t="e">
        <f ca="1"/>
        <v>#REF!</v>
      </c>
      <c r="P139" s="31" t="e">
        <f ca="1"/>
        <v>#REF!</v>
      </c>
      <c r="Q139" s="31" t="e">
        <f ca="1"/>
        <v>#REF!</v>
      </c>
      <c r="R139" s="31" t="e">
        <f ca="1"/>
        <v>#REF!</v>
      </c>
      <c r="S139" s="31" t="e">
        <f ca="1"/>
        <v>#REF!</v>
      </c>
      <c r="T139" s="31" t="e">
        <f ca="1"/>
        <v>#REF!</v>
      </c>
      <c r="U139" s="31" t="e">
        <f ca="1"/>
        <v>#REF!</v>
      </c>
      <c r="V139" s="31" t="e">
        <f ca="1"/>
        <v>#REF!</v>
      </c>
      <c r="W139" s="34" t="e">
        <f ca="1"/>
        <v>#REF!</v>
      </c>
      <c r="X139" s="33" t="e">
        <f ca="1"/>
        <v>#REF!</v>
      </c>
      <c r="Y139" s="33" t="e">
        <f ca="1"/>
        <v>#REF!</v>
      </c>
      <c r="Z139" s="56" t="e">
        <f ca="1"/>
        <v>#REF!</v>
      </c>
      <c r="AA139" s="34" t="e">
        <f ca="1"/>
        <v>#REF!</v>
      </c>
    </row>
    <row r="140" spans="1:27" s="28" customFormat="1" ht="50.25" customHeight="1" x14ac:dyDescent="0.25">
      <c r="A140" s="24">
        <v>134</v>
      </c>
      <c r="B140" s="24"/>
      <c r="C140" s="25"/>
      <c r="D140" s="26"/>
      <c r="E140" s="25"/>
      <c r="F140" s="25"/>
      <c r="G140" s="24"/>
      <c r="H140" s="25" t="e">
        <f ca="1"/>
        <v>#REF!</v>
      </c>
      <c r="I140" s="27" t="e">
        <f ca="1"/>
        <v>#REF!</v>
      </c>
      <c r="J140" s="25" t="e">
        <f ca="1"/>
        <v>#REF!</v>
      </c>
      <c r="K140" s="29" t="e">
        <f ca="1"/>
        <v>#REF!</v>
      </c>
      <c r="L140" s="33" t="e">
        <f ca="1"/>
        <v>#REF!</v>
      </c>
      <c r="M140" s="25" t="e">
        <f ca="1"/>
        <v>#REF!</v>
      </c>
      <c r="N140" s="58" t="e">
        <f ca="1"/>
        <v>#REF!</v>
      </c>
      <c r="O140" s="31" t="e">
        <f ca="1"/>
        <v>#REF!</v>
      </c>
      <c r="P140" s="31" t="e">
        <f ca="1"/>
        <v>#REF!</v>
      </c>
      <c r="Q140" s="31" t="e">
        <f ca="1"/>
        <v>#REF!</v>
      </c>
      <c r="R140" s="31" t="e">
        <f ca="1"/>
        <v>#REF!</v>
      </c>
      <c r="S140" s="31" t="e">
        <f ca="1"/>
        <v>#REF!</v>
      </c>
      <c r="T140" s="31" t="e">
        <f ca="1"/>
        <v>#REF!</v>
      </c>
      <c r="U140" s="31" t="e">
        <f ca="1"/>
        <v>#REF!</v>
      </c>
      <c r="V140" s="31" t="e">
        <f ca="1"/>
        <v>#REF!</v>
      </c>
      <c r="W140" s="59" t="e">
        <f ca="1"/>
        <v>#REF!</v>
      </c>
      <c r="X140" s="32" t="e">
        <f ca="1"/>
        <v>#REF!</v>
      </c>
      <c r="Y140" s="32" t="e">
        <f ca="1"/>
        <v>#REF!</v>
      </c>
      <c r="Z140" s="56" t="e">
        <f ca="1"/>
        <v>#REF!</v>
      </c>
      <c r="AA140" s="34" t="e">
        <f ca="1"/>
        <v>#REF!</v>
      </c>
    </row>
    <row r="141" spans="1:27" s="28" customFormat="1" ht="11.25" x14ac:dyDescent="0.25">
      <c r="A141" s="24">
        <v>135</v>
      </c>
      <c r="B141" s="24"/>
      <c r="C141" s="25"/>
      <c r="D141" s="26"/>
      <c r="E141" s="25"/>
      <c r="F141" s="25"/>
      <c r="G141" s="24"/>
      <c r="H141" s="25" t="e">
        <f ca="1"/>
        <v>#REF!</v>
      </c>
      <c r="I141" s="27" t="e">
        <f ca="1"/>
        <v>#REF!</v>
      </c>
      <c r="J141" s="25" t="e">
        <f ca="1"/>
        <v>#REF!</v>
      </c>
      <c r="K141" s="29" t="e">
        <f ca="1"/>
        <v>#REF!</v>
      </c>
      <c r="L141" s="25" t="e">
        <f ca="1"/>
        <v>#REF!</v>
      </c>
      <c r="M141" s="25" t="e">
        <f ca="1"/>
        <v>#REF!</v>
      </c>
      <c r="N141" s="30" t="e">
        <f ca="1"/>
        <v>#REF!</v>
      </c>
      <c r="O141" s="31" t="e">
        <f ca="1"/>
        <v>#REF!</v>
      </c>
      <c r="P141" s="31" t="e">
        <f ca="1"/>
        <v>#REF!</v>
      </c>
      <c r="Q141" s="31" t="e">
        <f ca="1"/>
        <v>#REF!</v>
      </c>
      <c r="R141" s="31" t="e">
        <f ca="1"/>
        <v>#REF!</v>
      </c>
      <c r="S141" s="31" t="e">
        <f ca="1"/>
        <v>#REF!</v>
      </c>
      <c r="T141" s="31" t="e">
        <f ca="1"/>
        <v>#REF!</v>
      </c>
      <c r="U141" s="31" t="e">
        <f ca="1"/>
        <v>#REF!</v>
      </c>
      <c r="V141" s="31" t="e">
        <f ca="1"/>
        <v>#REF!</v>
      </c>
      <c r="W141" s="33" t="e">
        <f ca="1"/>
        <v>#REF!</v>
      </c>
      <c r="X141" s="33" t="e">
        <f ca="1"/>
        <v>#REF!</v>
      </c>
      <c r="Y141" s="33" t="e">
        <f ca="1"/>
        <v>#REF!</v>
      </c>
      <c r="Z141" s="45" t="e">
        <f ca="1"/>
        <v>#REF!</v>
      </c>
      <c r="AA141" s="60" t="e">
        <f ca="1"/>
        <v>#REF!</v>
      </c>
    </row>
    <row r="142" spans="1:27" s="28" customFormat="1" ht="11.25" x14ac:dyDescent="0.25">
      <c r="A142" s="24">
        <v>136</v>
      </c>
      <c r="B142" s="24"/>
      <c r="C142" s="25"/>
      <c r="D142" s="26"/>
      <c r="E142" s="25"/>
      <c r="F142" s="25"/>
      <c r="G142" s="24"/>
      <c r="H142" s="25" t="e">
        <f ca="1"/>
        <v>#REF!</v>
      </c>
      <c r="I142" s="27" t="e">
        <f ca="1"/>
        <v>#REF!</v>
      </c>
      <c r="J142" s="25" t="e">
        <f ca="1"/>
        <v>#REF!</v>
      </c>
      <c r="K142" s="29" t="e">
        <f ca="1"/>
        <v>#REF!</v>
      </c>
      <c r="L142" s="25" t="e">
        <f ca="1"/>
        <v>#REF!</v>
      </c>
      <c r="M142" s="25" t="e">
        <f ca="1"/>
        <v>#REF!</v>
      </c>
      <c r="N142" s="30" t="e">
        <f ca="1"/>
        <v>#REF!</v>
      </c>
      <c r="O142" s="31" t="e">
        <f ca="1"/>
        <v>#REF!</v>
      </c>
      <c r="P142" s="31" t="e">
        <f ca="1"/>
        <v>#REF!</v>
      </c>
      <c r="Q142" s="31" t="e">
        <f ca="1"/>
        <v>#REF!</v>
      </c>
      <c r="R142" s="31" t="e">
        <f ca="1"/>
        <v>#REF!</v>
      </c>
      <c r="S142" s="31" t="e">
        <f ca="1"/>
        <v>#REF!</v>
      </c>
      <c r="T142" s="31" t="e">
        <f ca="1"/>
        <v>#REF!</v>
      </c>
      <c r="U142" s="31" t="e">
        <f ca="1"/>
        <v>#REF!</v>
      </c>
      <c r="V142" s="31" t="e">
        <f ca="1"/>
        <v>#REF!</v>
      </c>
      <c r="W142" s="33" t="e">
        <f ca="1"/>
        <v>#REF!</v>
      </c>
      <c r="X142" s="33" t="e">
        <f ca="1"/>
        <v>#REF!</v>
      </c>
      <c r="Y142" s="33" t="e">
        <f ca="1"/>
        <v>#REF!</v>
      </c>
      <c r="Z142" s="45" t="e">
        <f ca="1"/>
        <v>#REF!</v>
      </c>
      <c r="AA142" s="60" t="e">
        <f ca="1"/>
        <v>#REF!</v>
      </c>
    </row>
    <row r="143" spans="1:27" s="28" customFormat="1" ht="11.25" x14ac:dyDescent="0.25">
      <c r="A143" s="24">
        <v>137</v>
      </c>
      <c r="B143" s="24"/>
      <c r="C143" s="25"/>
      <c r="D143" s="26"/>
      <c r="E143" s="25"/>
      <c r="F143" s="25"/>
      <c r="G143" s="24"/>
      <c r="H143" s="25" t="e">
        <f ca="1"/>
        <v>#REF!</v>
      </c>
      <c r="I143" s="27" t="e">
        <f ca="1"/>
        <v>#REF!</v>
      </c>
      <c r="J143" s="25" t="e">
        <f ca="1"/>
        <v>#REF!</v>
      </c>
      <c r="K143" s="29" t="e">
        <f ca="1"/>
        <v>#REF!</v>
      </c>
      <c r="L143" s="25" t="e">
        <f ca="1"/>
        <v>#REF!</v>
      </c>
      <c r="M143" s="25" t="e">
        <f ca="1"/>
        <v>#REF!</v>
      </c>
      <c r="N143" s="30" t="e">
        <f ca="1"/>
        <v>#REF!</v>
      </c>
      <c r="O143" s="31" t="e">
        <f ca="1"/>
        <v>#REF!</v>
      </c>
      <c r="P143" s="31" t="e">
        <f ca="1"/>
        <v>#REF!</v>
      </c>
      <c r="Q143" s="31" t="e">
        <f ca="1"/>
        <v>#REF!</v>
      </c>
      <c r="R143" s="31" t="e">
        <f ca="1"/>
        <v>#REF!</v>
      </c>
      <c r="S143" s="31" t="e">
        <f ca="1"/>
        <v>#REF!</v>
      </c>
      <c r="T143" s="31" t="e">
        <f ca="1"/>
        <v>#REF!</v>
      </c>
      <c r="U143" s="31" t="e">
        <f ca="1"/>
        <v>#REF!</v>
      </c>
      <c r="V143" s="31" t="e">
        <f ca="1"/>
        <v>#REF!</v>
      </c>
      <c r="W143" s="33" t="e">
        <f ca="1"/>
        <v>#REF!</v>
      </c>
      <c r="X143" s="33" t="e">
        <f ca="1"/>
        <v>#REF!</v>
      </c>
      <c r="Y143" s="33" t="e">
        <f ca="1"/>
        <v>#REF!</v>
      </c>
      <c r="Z143" s="45" t="e">
        <f ca="1"/>
        <v>#REF!</v>
      </c>
      <c r="AA143" s="60" t="e">
        <f ca="1"/>
        <v>#REF!</v>
      </c>
    </row>
    <row r="144" spans="1:27" s="28" customFormat="1" ht="11.25" x14ac:dyDescent="0.25">
      <c r="A144" s="24">
        <v>138</v>
      </c>
      <c r="B144" s="24"/>
      <c r="C144" s="25"/>
      <c r="D144" s="26"/>
      <c r="E144" s="25"/>
      <c r="F144" s="25"/>
      <c r="G144" s="24"/>
      <c r="H144" s="25" t="e">
        <f ca="1"/>
        <v>#REF!</v>
      </c>
      <c r="I144" s="27" t="e">
        <f ca="1"/>
        <v>#REF!</v>
      </c>
      <c r="J144" s="25" t="e">
        <f ca="1"/>
        <v>#REF!</v>
      </c>
      <c r="K144" s="29" t="e">
        <f ca="1"/>
        <v>#REF!</v>
      </c>
      <c r="L144" s="25" t="e">
        <f ca="1"/>
        <v>#REF!</v>
      </c>
      <c r="M144" s="25" t="e">
        <f ca="1"/>
        <v>#REF!</v>
      </c>
      <c r="N144" s="30" t="e">
        <f ca="1"/>
        <v>#REF!</v>
      </c>
      <c r="O144" s="31" t="e">
        <f ca="1"/>
        <v>#REF!</v>
      </c>
      <c r="P144" s="31" t="e">
        <f ca="1"/>
        <v>#REF!</v>
      </c>
      <c r="Q144" s="31" t="e">
        <f ca="1"/>
        <v>#REF!</v>
      </c>
      <c r="R144" s="31" t="e">
        <f ca="1"/>
        <v>#REF!</v>
      </c>
      <c r="S144" s="31" t="e">
        <f ca="1"/>
        <v>#REF!</v>
      </c>
      <c r="T144" s="31" t="e">
        <f ca="1"/>
        <v>#REF!</v>
      </c>
      <c r="U144" s="31" t="e">
        <f ca="1"/>
        <v>#REF!</v>
      </c>
      <c r="V144" s="31" t="e">
        <f ca="1"/>
        <v>#REF!</v>
      </c>
      <c r="W144" s="33" t="e">
        <f ca="1"/>
        <v>#REF!</v>
      </c>
      <c r="X144" s="33" t="e">
        <f ca="1"/>
        <v>#REF!</v>
      </c>
      <c r="Y144" s="33" t="e">
        <f ca="1"/>
        <v>#REF!</v>
      </c>
      <c r="Z144" s="45" t="e">
        <f ca="1"/>
        <v>#REF!</v>
      </c>
      <c r="AA144" s="60" t="e">
        <f ca="1"/>
        <v>#REF!</v>
      </c>
    </row>
    <row r="145" spans="1:27" s="28" customFormat="1" ht="11.25" x14ac:dyDescent="0.25">
      <c r="A145" s="24">
        <v>139</v>
      </c>
      <c r="B145" s="24"/>
      <c r="C145" s="25"/>
      <c r="D145" s="26"/>
      <c r="E145" s="25"/>
      <c r="F145" s="25"/>
      <c r="G145" s="24"/>
      <c r="H145" s="25" t="e">
        <f ca="1"/>
        <v>#REF!</v>
      </c>
      <c r="I145" s="27" t="e">
        <f ca="1"/>
        <v>#REF!</v>
      </c>
      <c r="J145" s="25" t="e">
        <f ca="1"/>
        <v>#REF!</v>
      </c>
      <c r="K145" s="29" t="e">
        <f ca="1"/>
        <v>#REF!</v>
      </c>
      <c r="L145" s="25" t="e">
        <f ca="1"/>
        <v>#REF!</v>
      </c>
      <c r="M145" s="25" t="e">
        <f ca="1"/>
        <v>#REF!</v>
      </c>
      <c r="N145" s="30" t="e">
        <f ca="1"/>
        <v>#REF!</v>
      </c>
      <c r="O145" s="31" t="e">
        <f ca="1"/>
        <v>#REF!</v>
      </c>
      <c r="P145" s="31" t="e">
        <f ca="1"/>
        <v>#REF!</v>
      </c>
      <c r="Q145" s="31" t="e">
        <f ca="1"/>
        <v>#REF!</v>
      </c>
      <c r="R145" s="31" t="e">
        <f ca="1"/>
        <v>#REF!</v>
      </c>
      <c r="S145" s="31" t="e">
        <f ca="1"/>
        <v>#REF!</v>
      </c>
      <c r="T145" s="31" t="e">
        <f ca="1"/>
        <v>#REF!</v>
      </c>
      <c r="U145" s="31" t="e">
        <f ca="1"/>
        <v>#REF!</v>
      </c>
      <c r="V145" s="31" t="e">
        <f ca="1"/>
        <v>#REF!</v>
      </c>
      <c r="W145" s="33" t="e">
        <f ca="1"/>
        <v>#REF!</v>
      </c>
      <c r="X145" s="33" t="e">
        <f ca="1"/>
        <v>#REF!</v>
      </c>
      <c r="Y145" s="33" t="e">
        <f ca="1"/>
        <v>#REF!</v>
      </c>
      <c r="Z145" s="45" t="e">
        <f ca="1"/>
        <v>#REF!</v>
      </c>
      <c r="AA145" s="60" t="e">
        <f ca="1"/>
        <v>#REF!</v>
      </c>
    </row>
    <row r="146" spans="1:27" s="28" customFormat="1" ht="11.25" x14ac:dyDescent="0.25">
      <c r="A146" s="24">
        <v>140</v>
      </c>
      <c r="B146" s="24"/>
      <c r="C146" s="25"/>
      <c r="D146" s="26"/>
      <c r="E146" s="25"/>
      <c r="F146" s="25"/>
      <c r="G146" s="24"/>
      <c r="H146" s="25" t="e">
        <f ca="1"/>
        <v>#REF!</v>
      </c>
      <c r="I146" s="27" t="e">
        <f ca="1"/>
        <v>#REF!</v>
      </c>
      <c r="J146" s="25" t="e">
        <f ca="1"/>
        <v>#REF!</v>
      </c>
      <c r="K146" s="29" t="e">
        <f ca="1"/>
        <v>#REF!</v>
      </c>
      <c r="L146" s="25" t="e">
        <f ca="1"/>
        <v>#REF!</v>
      </c>
      <c r="M146" s="25" t="e">
        <f ca="1"/>
        <v>#REF!</v>
      </c>
      <c r="N146" s="57" t="e">
        <f ca="1"/>
        <v>#REF!</v>
      </c>
      <c r="O146" s="35" t="e">
        <f ca="1"/>
        <v>#REF!</v>
      </c>
      <c r="P146" s="35" t="e">
        <f ca="1"/>
        <v>#REF!</v>
      </c>
      <c r="Q146" s="35" t="e">
        <f ca="1"/>
        <v>#REF!</v>
      </c>
      <c r="R146" s="35" t="e">
        <f ca="1"/>
        <v>#REF!</v>
      </c>
      <c r="S146" s="35" t="e">
        <f ca="1"/>
        <v>#REF!</v>
      </c>
      <c r="T146" s="35" t="e">
        <f ca="1"/>
        <v>#REF!</v>
      </c>
      <c r="U146" s="31" t="e">
        <f ca="1"/>
        <v>#REF!</v>
      </c>
      <c r="V146" s="31" t="e">
        <f ca="1"/>
        <v>#REF!</v>
      </c>
      <c r="W146" s="59" t="e">
        <f ca="1"/>
        <v>#REF!</v>
      </c>
      <c r="X146" s="32" t="e">
        <f ca="1"/>
        <v>#REF!</v>
      </c>
      <c r="Y146" s="32" t="e">
        <f ca="1"/>
        <v>#REF!</v>
      </c>
      <c r="Z146" s="56" t="e">
        <f ca="1"/>
        <v>#REF!</v>
      </c>
      <c r="AA146" s="34" t="e">
        <f ca="1"/>
        <v>#REF!</v>
      </c>
    </row>
    <row r="147" spans="1:27" s="28" customFormat="1" ht="37.5" customHeight="1" x14ac:dyDescent="0.25">
      <c r="A147" s="24">
        <v>141</v>
      </c>
      <c r="B147" s="24"/>
      <c r="C147" s="25"/>
      <c r="D147" s="26"/>
      <c r="E147" s="25"/>
      <c r="F147" s="25"/>
      <c r="G147" s="24"/>
      <c r="H147" s="25" t="e">
        <f ca="1"/>
        <v>#REF!</v>
      </c>
      <c r="I147" s="27" t="e">
        <f ca="1"/>
        <v>#REF!</v>
      </c>
      <c r="J147" s="25" t="e">
        <f ca="1"/>
        <v>#REF!</v>
      </c>
      <c r="K147" s="29" t="e">
        <f ca="1"/>
        <v>#REF!</v>
      </c>
      <c r="L147" s="25" t="e">
        <f ca="1"/>
        <v>#REF!</v>
      </c>
      <c r="M147" s="25" t="e">
        <f ca="1"/>
        <v>#REF!</v>
      </c>
      <c r="N147" s="30" t="e">
        <f ca="1"/>
        <v>#REF!</v>
      </c>
      <c r="O147" s="31" t="e">
        <f ca="1"/>
        <v>#REF!</v>
      </c>
      <c r="P147" s="31" t="e">
        <f ca="1"/>
        <v>#REF!</v>
      </c>
      <c r="Q147" s="31" t="e">
        <f ca="1"/>
        <v>#REF!</v>
      </c>
      <c r="R147" s="31" t="e">
        <f ca="1"/>
        <v>#REF!</v>
      </c>
      <c r="S147" s="31" t="e">
        <f ca="1"/>
        <v>#REF!</v>
      </c>
      <c r="T147" s="31" t="e">
        <f ca="1"/>
        <v>#REF!</v>
      </c>
      <c r="U147" s="31" t="e">
        <f ca="1"/>
        <v>#REF!</v>
      </c>
      <c r="V147" s="31" t="e">
        <f ca="1"/>
        <v>#REF!</v>
      </c>
      <c r="W147" s="33" t="e">
        <f ca="1"/>
        <v>#REF!</v>
      </c>
      <c r="X147" s="33" t="e">
        <f ca="1"/>
        <v>#REF!</v>
      </c>
      <c r="Y147" s="33" t="e">
        <f ca="1"/>
        <v>#REF!</v>
      </c>
      <c r="Z147" s="45" t="e">
        <f ca="1"/>
        <v>#REF!</v>
      </c>
      <c r="AA147" s="34" t="e">
        <f ca="1"/>
        <v>#REF!</v>
      </c>
    </row>
    <row r="148" spans="1:27" s="28" customFormat="1" ht="68.25" customHeight="1" x14ac:dyDescent="0.25">
      <c r="A148" s="24">
        <v>142</v>
      </c>
      <c r="B148" s="24"/>
      <c r="C148" s="25"/>
      <c r="D148" s="26"/>
      <c r="E148" s="25"/>
      <c r="F148" s="25"/>
      <c r="G148" s="24"/>
      <c r="H148" s="25" t="e">
        <f ca="1"/>
        <v>#REF!</v>
      </c>
      <c r="I148" s="27" t="e">
        <f ca="1"/>
        <v>#REF!</v>
      </c>
      <c r="J148" s="25" t="e">
        <f ca="1"/>
        <v>#REF!</v>
      </c>
      <c r="K148" s="29" t="e">
        <f ca="1"/>
        <v>#REF!</v>
      </c>
      <c r="L148" s="29" t="e">
        <f ca="1"/>
        <v>#REF!</v>
      </c>
      <c r="M148" s="25" t="e">
        <f ca="1"/>
        <v>#REF!</v>
      </c>
      <c r="N148" s="30" t="e">
        <f ca="1"/>
        <v>#REF!</v>
      </c>
      <c r="O148" s="31" t="e">
        <f ca="1"/>
        <v>#REF!</v>
      </c>
      <c r="P148" s="31" t="e">
        <f ca="1"/>
        <v>#REF!</v>
      </c>
      <c r="Q148" s="31" t="e">
        <f ca="1"/>
        <v>#REF!</v>
      </c>
      <c r="R148" s="31" t="e">
        <f ca="1"/>
        <v>#REF!</v>
      </c>
      <c r="S148" s="31" t="e">
        <f ca="1"/>
        <v>#REF!</v>
      </c>
      <c r="T148" s="31" t="e">
        <f ca="1"/>
        <v>#REF!</v>
      </c>
      <c r="U148" s="31" t="e">
        <f ca="1"/>
        <v>#REF!</v>
      </c>
      <c r="V148" s="31" t="e">
        <f ca="1"/>
        <v>#REF!</v>
      </c>
      <c r="W148" s="32" t="e">
        <f ca="1"/>
        <v>#REF!</v>
      </c>
      <c r="X148" s="32" t="e">
        <f ca="1"/>
        <v>#REF!</v>
      </c>
      <c r="Y148" s="32" t="e">
        <f ca="1"/>
        <v>#REF!</v>
      </c>
      <c r="Z148" s="33" t="e">
        <f ca="1"/>
        <v>#REF!</v>
      </c>
      <c r="AA148" s="34" t="e">
        <f ca="1"/>
        <v>#REF!</v>
      </c>
    </row>
    <row r="149" spans="1:27" s="28" customFormat="1" ht="71.25" customHeight="1" x14ac:dyDescent="0.25">
      <c r="A149" s="24">
        <v>143</v>
      </c>
      <c r="B149" s="24"/>
      <c r="C149" s="25"/>
      <c r="D149" s="26"/>
      <c r="E149" s="25"/>
      <c r="F149" s="25"/>
      <c r="G149" s="24"/>
      <c r="H149" s="25" t="e">
        <f ca="1"/>
        <v>#REF!</v>
      </c>
      <c r="I149" s="27" t="e">
        <f ca="1"/>
        <v>#REF!</v>
      </c>
      <c r="J149" s="25" t="e">
        <f ca="1"/>
        <v>#REF!</v>
      </c>
      <c r="K149" s="29" t="e">
        <f ca="1"/>
        <v>#REF!</v>
      </c>
      <c r="L149" s="33" t="e">
        <f ca="1"/>
        <v>#REF!</v>
      </c>
      <c r="M149" s="25" t="e">
        <f ca="1"/>
        <v>#REF!</v>
      </c>
      <c r="N149" s="30" t="e">
        <f ca="1"/>
        <v>#REF!</v>
      </c>
      <c r="O149" s="31" t="e">
        <f ca="1"/>
        <v>#REF!</v>
      </c>
      <c r="P149" s="31" t="e">
        <f ca="1"/>
        <v>#REF!</v>
      </c>
      <c r="Q149" s="31" t="e">
        <f ca="1"/>
        <v>#REF!</v>
      </c>
      <c r="R149" s="31" t="e">
        <f ca="1"/>
        <v>#REF!</v>
      </c>
      <c r="S149" s="31" t="e">
        <f ca="1"/>
        <v>#REF!</v>
      </c>
      <c r="T149" s="31" t="e">
        <f ca="1"/>
        <v>#REF!</v>
      </c>
      <c r="U149" s="31" t="e">
        <f ca="1"/>
        <v>#REF!</v>
      </c>
      <c r="V149" s="31" t="e">
        <f ca="1"/>
        <v>#REF!</v>
      </c>
      <c r="W149" s="59" t="e">
        <f ca="1"/>
        <v>#REF!</v>
      </c>
      <c r="X149" s="32" t="e">
        <f ca="1"/>
        <v>#REF!</v>
      </c>
      <c r="Y149" s="32" t="e">
        <f ca="1"/>
        <v>#REF!</v>
      </c>
      <c r="Z149" s="56" t="e">
        <f ca="1"/>
        <v>#REF!</v>
      </c>
      <c r="AA149" s="34" t="e">
        <f ca="1"/>
        <v>#REF!</v>
      </c>
    </row>
    <row r="150" spans="1:27" s="28" customFormat="1" ht="39.75" customHeight="1" x14ac:dyDescent="0.25">
      <c r="A150" s="24">
        <v>144</v>
      </c>
      <c r="B150" s="24"/>
      <c r="C150" s="25"/>
      <c r="D150" s="26"/>
      <c r="E150" s="25"/>
      <c r="F150" s="25"/>
      <c r="G150" s="24"/>
      <c r="H150" s="25" t="e">
        <f ca="1"/>
        <v>#REF!</v>
      </c>
      <c r="I150" s="27" t="e">
        <f ca="1"/>
        <v>#REF!</v>
      </c>
      <c r="J150" s="25" t="e">
        <f ca="1"/>
        <v>#REF!</v>
      </c>
      <c r="K150" s="29" t="e">
        <f ca="1"/>
        <v>#REF!</v>
      </c>
      <c r="L150" s="33" t="e">
        <f ca="1"/>
        <v>#REF!</v>
      </c>
      <c r="M150" s="25" t="e">
        <f ca="1"/>
        <v>#REF!</v>
      </c>
      <c r="N150" s="30" t="e">
        <f ca="1"/>
        <v>#REF!</v>
      </c>
      <c r="O150" s="31" t="e">
        <f ca="1"/>
        <v>#REF!</v>
      </c>
      <c r="P150" s="31" t="e">
        <f ca="1"/>
        <v>#REF!</v>
      </c>
      <c r="Q150" s="31" t="e">
        <f ca="1"/>
        <v>#REF!</v>
      </c>
      <c r="R150" s="31" t="e">
        <f ca="1"/>
        <v>#REF!</v>
      </c>
      <c r="S150" s="31" t="e">
        <f ca="1"/>
        <v>#REF!</v>
      </c>
      <c r="T150" s="31" t="e">
        <f ca="1"/>
        <v>#REF!</v>
      </c>
      <c r="U150" s="31" t="e">
        <f ca="1"/>
        <v>#REF!</v>
      </c>
      <c r="V150" s="31" t="e">
        <f ca="1"/>
        <v>#REF!</v>
      </c>
      <c r="W150" s="59" t="e">
        <f ca="1"/>
        <v>#REF!</v>
      </c>
      <c r="X150" s="32" t="e">
        <f ca="1"/>
        <v>#REF!</v>
      </c>
      <c r="Y150" s="32" t="e">
        <f ca="1"/>
        <v>#REF!</v>
      </c>
      <c r="Z150" s="56" t="e">
        <f ca="1"/>
        <v>#REF!</v>
      </c>
      <c r="AA150" s="34" t="e">
        <f ca="1"/>
        <v>#REF!</v>
      </c>
    </row>
    <row r="151" spans="1:27" s="28" customFormat="1" ht="27.75" customHeight="1" x14ac:dyDescent="0.25">
      <c r="A151" s="24">
        <v>145</v>
      </c>
      <c r="B151" s="24"/>
      <c r="C151" s="25"/>
      <c r="D151" s="26"/>
      <c r="E151" s="25"/>
      <c r="F151" s="25"/>
      <c r="G151" s="24"/>
      <c r="H151" s="25" t="e">
        <f ca="1"/>
        <v>#REF!</v>
      </c>
      <c r="I151" s="27" t="e">
        <f ca="1"/>
        <v>#REF!</v>
      </c>
      <c r="J151" s="25" t="e">
        <f ca="1"/>
        <v>#REF!</v>
      </c>
      <c r="K151" s="29" t="e">
        <f ca="1"/>
        <v>#REF!</v>
      </c>
      <c r="L151" s="33" t="e">
        <f ca="1"/>
        <v>#REF!</v>
      </c>
      <c r="M151" s="25" t="e">
        <f ca="1"/>
        <v>#REF!</v>
      </c>
      <c r="N151" s="58" t="e">
        <f ca="1"/>
        <v>#REF!</v>
      </c>
      <c r="O151" s="31" t="e">
        <f ca="1"/>
        <v>#REF!</v>
      </c>
      <c r="P151" s="31" t="e">
        <f ca="1"/>
        <v>#REF!</v>
      </c>
      <c r="Q151" s="31" t="e">
        <f ca="1"/>
        <v>#REF!</v>
      </c>
      <c r="R151" s="31" t="e">
        <f ca="1"/>
        <v>#REF!</v>
      </c>
      <c r="S151" s="31" t="e">
        <f ca="1"/>
        <v>#REF!</v>
      </c>
      <c r="T151" s="31" t="e">
        <f ca="1"/>
        <v>#REF!</v>
      </c>
      <c r="U151" s="31" t="e">
        <f ca="1"/>
        <v>#REF!</v>
      </c>
      <c r="V151" s="31" t="e">
        <f ca="1"/>
        <v>#REF!</v>
      </c>
      <c r="W151" s="59" t="e">
        <f ca="1"/>
        <v>#REF!</v>
      </c>
      <c r="X151" s="32" t="e">
        <f ca="1"/>
        <v>#REF!</v>
      </c>
      <c r="Y151" s="32" t="e">
        <f ca="1"/>
        <v>#REF!</v>
      </c>
      <c r="Z151" s="56" t="e">
        <f ca="1"/>
        <v>#REF!</v>
      </c>
      <c r="AA151" s="34" t="e">
        <f ca="1"/>
        <v>#REF!</v>
      </c>
    </row>
    <row r="152" spans="1:27" s="28" customFormat="1" ht="33" customHeight="1" x14ac:dyDescent="0.25">
      <c r="A152" s="24">
        <v>146</v>
      </c>
      <c r="B152" s="24"/>
      <c r="C152" s="25"/>
      <c r="D152" s="26"/>
      <c r="E152" s="25"/>
      <c r="F152" s="25"/>
      <c r="G152" s="24"/>
      <c r="H152" s="25" t="e">
        <f ca="1"/>
        <v>#REF!</v>
      </c>
      <c r="I152" s="27" t="e">
        <f ca="1"/>
        <v>#REF!</v>
      </c>
      <c r="J152" s="25" t="e">
        <f ca="1"/>
        <v>#REF!</v>
      </c>
      <c r="K152" s="29" t="e">
        <f ca="1"/>
        <v>#REF!</v>
      </c>
      <c r="L152" s="33" t="e">
        <f ca="1"/>
        <v>#REF!</v>
      </c>
      <c r="M152" s="25" t="e">
        <f ca="1"/>
        <v>#REF!</v>
      </c>
      <c r="N152" s="58" t="e">
        <f ca="1"/>
        <v>#REF!</v>
      </c>
      <c r="O152" s="31" t="e">
        <f ca="1"/>
        <v>#REF!</v>
      </c>
      <c r="P152" s="31" t="e">
        <f ca="1"/>
        <v>#REF!</v>
      </c>
      <c r="Q152" s="31" t="e">
        <f ca="1"/>
        <v>#REF!</v>
      </c>
      <c r="R152" s="31" t="e">
        <f ca="1"/>
        <v>#REF!</v>
      </c>
      <c r="S152" s="31" t="e">
        <f ca="1"/>
        <v>#REF!</v>
      </c>
      <c r="T152" s="31" t="e">
        <f ca="1"/>
        <v>#REF!</v>
      </c>
      <c r="U152" s="31" t="e">
        <f ca="1"/>
        <v>#REF!</v>
      </c>
      <c r="V152" s="31" t="e">
        <f ca="1"/>
        <v>#REF!</v>
      </c>
      <c r="W152" s="59" t="e">
        <f ca="1"/>
        <v>#REF!</v>
      </c>
      <c r="X152" s="32" t="e">
        <f ca="1"/>
        <v>#REF!</v>
      </c>
      <c r="Y152" s="32" t="e">
        <f ca="1"/>
        <v>#REF!</v>
      </c>
      <c r="Z152" s="56" t="e">
        <f ca="1"/>
        <v>#REF!</v>
      </c>
      <c r="AA152" s="34" t="e">
        <f ca="1"/>
        <v>#REF!</v>
      </c>
    </row>
    <row r="153" spans="1:27" s="28" customFormat="1" ht="35.25" customHeight="1" x14ac:dyDescent="0.25">
      <c r="A153" s="24">
        <v>147</v>
      </c>
      <c r="B153" s="24"/>
      <c r="C153" s="25"/>
      <c r="D153" s="26"/>
      <c r="E153" s="25"/>
      <c r="F153" s="25"/>
      <c r="G153" s="24"/>
      <c r="H153" s="25" t="e">
        <f ca="1"/>
        <v>#REF!</v>
      </c>
      <c r="I153" s="27" t="e">
        <f ca="1"/>
        <v>#REF!</v>
      </c>
      <c r="J153" s="25" t="e">
        <f ca="1"/>
        <v>#REF!</v>
      </c>
      <c r="K153" s="29" t="e">
        <f ca="1"/>
        <v>#REF!</v>
      </c>
      <c r="L153" s="33" t="e">
        <f ca="1"/>
        <v>#REF!</v>
      </c>
      <c r="M153" s="25" t="e">
        <f ca="1"/>
        <v>#REF!</v>
      </c>
      <c r="N153" s="58" t="e">
        <f ca="1"/>
        <v>#REF!</v>
      </c>
      <c r="O153" s="31" t="e">
        <f ca="1"/>
        <v>#REF!</v>
      </c>
      <c r="P153" s="31" t="e">
        <f ca="1"/>
        <v>#REF!</v>
      </c>
      <c r="Q153" s="31" t="e">
        <f ca="1"/>
        <v>#REF!</v>
      </c>
      <c r="R153" s="31" t="e">
        <f ca="1"/>
        <v>#REF!</v>
      </c>
      <c r="S153" s="31" t="e">
        <f ca="1"/>
        <v>#REF!</v>
      </c>
      <c r="T153" s="31" t="e">
        <f ca="1"/>
        <v>#REF!</v>
      </c>
      <c r="U153" s="31" t="e">
        <f ca="1"/>
        <v>#REF!</v>
      </c>
      <c r="V153" s="31" t="e">
        <f ca="1"/>
        <v>#REF!</v>
      </c>
      <c r="W153" s="59" t="e">
        <f ca="1"/>
        <v>#REF!</v>
      </c>
      <c r="X153" s="32" t="e">
        <f ca="1"/>
        <v>#REF!</v>
      </c>
      <c r="Y153" s="32" t="e">
        <f ca="1"/>
        <v>#REF!</v>
      </c>
      <c r="Z153" s="56" t="e">
        <f ca="1"/>
        <v>#REF!</v>
      </c>
      <c r="AA153" s="34" t="e">
        <f ca="1"/>
        <v>#REF!</v>
      </c>
    </row>
    <row r="154" spans="1:27" s="28" customFormat="1" ht="25.5" customHeight="1" x14ac:dyDescent="0.25">
      <c r="A154" s="24">
        <v>148</v>
      </c>
      <c r="B154" s="24"/>
      <c r="C154" s="25"/>
      <c r="D154" s="26"/>
      <c r="E154" s="25"/>
      <c r="F154" s="25"/>
      <c r="G154" s="24"/>
      <c r="H154" s="25" t="e">
        <f ca="1"/>
        <v>#REF!</v>
      </c>
      <c r="I154" s="27" t="e">
        <f ca="1"/>
        <v>#REF!</v>
      </c>
      <c r="J154" s="25" t="e">
        <f ca="1"/>
        <v>#REF!</v>
      </c>
      <c r="K154" s="29" t="e">
        <f ca="1"/>
        <v>#REF!</v>
      </c>
      <c r="L154" s="33" t="e">
        <f ca="1"/>
        <v>#REF!</v>
      </c>
      <c r="M154" s="25" t="e">
        <f ca="1"/>
        <v>#REF!</v>
      </c>
      <c r="N154" s="58" t="e">
        <f ca="1"/>
        <v>#REF!</v>
      </c>
      <c r="O154" s="31" t="e">
        <f ca="1"/>
        <v>#REF!</v>
      </c>
      <c r="P154" s="31" t="e">
        <f ca="1"/>
        <v>#REF!</v>
      </c>
      <c r="Q154" s="31" t="e">
        <f ca="1"/>
        <v>#REF!</v>
      </c>
      <c r="R154" s="31" t="e">
        <f ca="1"/>
        <v>#REF!</v>
      </c>
      <c r="S154" s="31" t="e">
        <f ca="1"/>
        <v>#REF!</v>
      </c>
      <c r="T154" s="31" t="e">
        <f ca="1"/>
        <v>#REF!</v>
      </c>
      <c r="U154" s="31" t="e">
        <f ca="1"/>
        <v>#REF!</v>
      </c>
      <c r="V154" s="31" t="e">
        <f ca="1"/>
        <v>#REF!</v>
      </c>
      <c r="W154" s="59" t="e">
        <f ca="1"/>
        <v>#REF!</v>
      </c>
      <c r="X154" s="32" t="e">
        <f ca="1"/>
        <v>#REF!</v>
      </c>
      <c r="Y154" s="32" t="e">
        <f ca="1"/>
        <v>#REF!</v>
      </c>
      <c r="Z154" s="56" t="e">
        <f ca="1"/>
        <v>#REF!</v>
      </c>
      <c r="AA154" s="34" t="e">
        <f ca="1"/>
        <v>#REF!</v>
      </c>
    </row>
    <row r="155" spans="1:27" s="28" customFormat="1" ht="25.5" customHeight="1" x14ac:dyDescent="0.25">
      <c r="A155" s="24">
        <v>149</v>
      </c>
      <c r="B155" s="24"/>
      <c r="C155" s="25"/>
      <c r="D155" s="26"/>
      <c r="E155" s="25"/>
      <c r="F155" s="25"/>
      <c r="G155" s="24"/>
      <c r="H155" s="25" t="e">
        <f ca="1"/>
        <v>#REF!</v>
      </c>
      <c r="I155" s="27" t="e">
        <f ca="1"/>
        <v>#REF!</v>
      </c>
      <c r="J155" s="25" t="e">
        <f ca="1"/>
        <v>#REF!</v>
      </c>
      <c r="K155" s="29" t="e">
        <f ca="1"/>
        <v>#REF!</v>
      </c>
      <c r="L155" s="33" t="e">
        <f ca="1"/>
        <v>#REF!</v>
      </c>
      <c r="M155" s="25" t="e">
        <f ca="1"/>
        <v>#REF!</v>
      </c>
      <c r="N155" s="58" t="e">
        <f ca="1"/>
        <v>#REF!</v>
      </c>
      <c r="O155" s="31" t="e">
        <f ca="1"/>
        <v>#REF!</v>
      </c>
      <c r="P155" s="31" t="e">
        <f ca="1"/>
        <v>#REF!</v>
      </c>
      <c r="Q155" s="31" t="e">
        <f ca="1"/>
        <v>#REF!</v>
      </c>
      <c r="R155" s="31" t="e">
        <f ca="1"/>
        <v>#REF!</v>
      </c>
      <c r="S155" s="31" t="e">
        <f ca="1"/>
        <v>#REF!</v>
      </c>
      <c r="T155" s="31" t="e">
        <f ca="1"/>
        <v>#REF!</v>
      </c>
      <c r="U155" s="31" t="e">
        <f ca="1"/>
        <v>#REF!</v>
      </c>
      <c r="V155" s="31" t="e">
        <f ca="1"/>
        <v>#REF!</v>
      </c>
      <c r="W155" s="59" t="e">
        <f ca="1"/>
        <v>#REF!</v>
      </c>
      <c r="X155" s="32" t="e">
        <f ca="1"/>
        <v>#REF!</v>
      </c>
      <c r="Y155" s="32" t="e">
        <f ca="1"/>
        <v>#REF!</v>
      </c>
      <c r="Z155" s="56" t="e">
        <f ca="1"/>
        <v>#REF!</v>
      </c>
      <c r="AA155" s="34" t="e">
        <f ca="1"/>
        <v>#REF!</v>
      </c>
    </row>
    <row r="156" spans="1:27" s="28" customFormat="1" ht="25.5" customHeight="1" x14ac:dyDescent="0.25">
      <c r="A156" s="24">
        <v>150</v>
      </c>
      <c r="B156" s="24"/>
      <c r="C156" s="25"/>
      <c r="D156" s="26"/>
      <c r="E156" s="25"/>
      <c r="F156" s="25"/>
      <c r="G156" s="24"/>
      <c r="H156" s="25" t="e">
        <f ca="1"/>
        <v>#REF!</v>
      </c>
      <c r="I156" s="27" t="e">
        <f ca="1"/>
        <v>#REF!</v>
      </c>
      <c r="J156" s="25" t="e">
        <f ca="1"/>
        <v>#REF!</v>
      </c>
      <c r="K156" s="29" t="e">
        <f ca="1"/>
        <v>#REF!</v>
      </c>
      <c r="L156" s="33" t="e">
        <f ca="1"/>
        <v>#REF!</v>
      </c>
      <c r="M156" s="25" t="e">
        <f ca="1"/>
        <v>#REF!</v>
      </c>
      <c r="N156" s="58" t="e">
        <f ca="1"/>
        <v>#REF!</v>
      </c>
      <c r="O156" s="31" t="e">
        <f ca="1"/>
        <v>#REF!</v>
      </c>
      <c r="P156" s="31" t="e">
        <f ca="1"/>
        <v>#REF!</v>
      </c>
      <c r="Q156" s="31" t="e">
        <f ca="1"/>
        <v>#REF!</v>
      </c>
      <c r="R156" s="31" t="e">
        <f ca="1"/>
        <v>#REF!</v>
      </c>
      <c r="S156" s="31" t="e">
        <f ca="1"/>
        <v>#REF!</v>
      </c>
      <c r="T156" s="31" t="e">
        <f ca="1"/>
        <v>#REF!</v>
      </c>
      <c r="U156" s="31" t="e">
        <f ca="1"/>
        <v>#REF!</v>
      </c>
      <c r="V156" s="31" t="e">
        <f ca="1"/>
        <v>#REF!</v>
      </c>
      <c r="W156" s="59" t="e">
        <f ca="1"/>
        <v>#REF!</v>
      </c>
      <c r="X156" s="32" t="e">
        <f ca="1"/>
        <v>#REF!</v>
      </c>
      <c r="Y156" s="32" t="e">
        <f ca="1"/>
        <v>#REF!</v>
      </c>
      <c r="Z156" s="56" t="e">
        <f ca="1"/>
        <v>#REF!</v>
      </c>
      <c r="AA156" s="34" t="e">
        <f ca="1"/>
        <v>#REF!</v>
      </c>
    </row>
    <row r="157" spans="1:27" s="28" customFormat="1" ht="33.75" customHeight="1" x14ac:dyDescent="0.25">
      <c r="A157" s="24">
        <v>151</v>
      </c>
      <c r="B157" s="24"/>
      <c r="C157" s="25"/>
      <c r="D157" s="26"/>
      <c r="E157" s="25"/>
      <c r="F157" s="25"/>
      <c r="G157" s="24"/>
      <c r="H157" s="25" t="e">
        <f ca="1"/>
        <v>#REF!</v>
      </c>
      <c r="I157" s="27" t="e">
        <f ca="1"/>
        <v>#REF!</v>
      </c>
      <c r="J157" s="25" t="e">
        <f ca="1"/>
        <v>#REF!</v>
      </c>
      <c r="K157" s="29" t="e">
        <f ca="1"/>
        <v>#REF!</v>
      </c>
      <c r="L157" s="33" t="e">
        <f ca="1"/>
        <v>#REF!</v>
      </c>
      <c r="M157" s="25" t="e">
        <f ca="1"/>
        <v>#REF!</v>
      </c>
      <c r="N157" s="58" t="e">
        <f ca="1"/>
        <v>#REF!</v>
      </c>
      <c r="O157" s="31" t="e">
        <f ca="1"/>
        <v>#REF!</v>
      </c>
      <c r="P157" s="31" t="e">
        <f ca="1"/>
        <v>#REF!</v>
      </c>
      <c r="Q157" s="31" t="e">
        <f ca="1"/>
        <v>#REF!</v>
      </c>
      <c r="R157" s="31" t="e">
        <f ca="1"/>
        <v>#REF!</v>
      </c>
      <c r="S157" s="31" t="e">
        <f ca="1"/>
        <v>#REF!</v>
      </c>
      <c r="T157" s="31" t="e">
        <f ca="1"/>
        <v>#REF!</v>
      </c>
      <c r="U157" s="31" t="e">
        <f ca="1"/>
        <v>#REF!</v>
      </c>
      <c r="V157" s="31" t="e">
        <f ca="1"/>
        <v>#REF!</v>
      </c>
      <c r="W157" s="59" t="e">
        <f ca="1"/>
        <v>#REF!</v>
      </c>
      <c r="X157" s="32" t="e">
        <f ca="1"/>
        <v>#REF!</v>
      </c>
      <c r="Y157" s="32" t="e">
        <f ca="1"/>
        <v>#REF!</v>
      </c>
      <c r="Z157" s="56" t="e">
        <f ca="1"/>
        <v>#REF!</v>
      </c>
      <c r="AA157" s="34" t="e">
        <f ca="1"/>
        <v>#REF!</v>
      </c>
    </row>
    <row r="158" spans="1:27" s="28" customFormat="1" ht="36" customHeight="1" x14ac:dyDescent="0.25">
      <c r="A158" s="24">
        <v>152</v>
      </c>
      <c r="B158" s="24"/>
      <c r="C158" s="25"/>
      <c r="D158" s="26"/>
      <c r="E158" s="25"/>
      <c r="F158" s="25"/>
      <c r="G158" s="24"/>
      <c r="H158" s="25" t="e">
        <f ca="1"/>
        <v>#REF!</v>
      </c>
      <c r="I158" s="27" t="e">
        <f ca="1"/>
        <v>#REF!</v>
      </c>
      <c r="J158" s="25" t="e">
        <f ca="1"/>
        <v>#REF!</v>
      </c>
      <c r="K158" s="29" t="e">
        <f ca="1"/>
        <v>#REF!</v>
      </c>
      <c r="L158" s="33" t="e">
        <f ca="1"/>
        <v>#REF!</v>
      </c>
      <c r="M158" s="25" t="e">
        <f ca="1"/>
        <v>#REF!</v>
      </c>
      <c r="N158" s="58" t="e">
        <f ca="1"/>
        <v>#REF!</v>
      </c>
      <c r="O158" s="31" t="e">
        <f ca="1"/>
        <v>#REF!</v>
      </c>
      <c r="P158" s="31" t="e">
        <f ca="1"/>
        <v>#REF!</v>
      </c>
      <c r="Q158" s="31" t="e">
        <f ca="1"/>
        <v>#REF!</v>
      </c>
      <c r="R158" s="31" t="e">
        <f ca="1"/>
        <v>#REF!</v>
      </c>
      <c r="S158" s="31" t="e">
        <f ca="1"/>
        <v>#REF!</v>
      </c>
      <c r="T158" s="31" t="e">
        <f ca="1"/>
        <v>#REF!</v>
      </c>
      <c r="U158" s="31" t="e">
        <f ca="1"/>
        <v>#REF!</v>
      </c>
      <c r="V158" s="31" t="e">
        <f ca="1"/>
        <v>#REF!</v>
      </c>
      <c r="W158" s="59" t="e">
        <f ca="1"/>
        <v>#REF!</v>
      </c>
      <c r="X158" s="32" t="e">
        <f ca="1"/>
        <v>#REF!</v>
      </c>
      <c r="Y158" s="32" t="e">
        <f ca="1"/>
        <v>#REF!</v>
      </c>
      <c r="Z158" s="56" t="e">
        <f ca="1"/>
        <v>#REF!</v>
      </c>
      <c r="AA158" s="34" t="e">
        <f ca="1"/>
        <v>#REF!</v>
      </c>
    </row>
    <row r="159" spans="1:27" s="28" customFormat="1" ht="43.5" customHeight="1" x14ac:dyDescent="0.25">
      <c r="A159" s="24">
        <v>153</v>
      </c>
      <c r="B159" s="24"/>
      <c r="C159" s="25"/>
      <c r="D159" s="26"/>
      <c r="E159" s="25"/>
      <c r="F159" s="25"/>
      <c r="G159" s="24"/>
      <c r="H159" s="25" t="e">
        <f ca="1"/>
        <v>#REF!</v>
      </c>
      <c r="I159" s="27" t="e">
        <f ca="1"/>
        <v>#REF!</v>
      </c>
      <c r="J159" s="25" t="e">
        <f ca="1"/>
        <v>#REF!</v>
      </c>
      <c r="K159" s="29" t="e">
        <f ca="1"/>
        <v>#REF!</v>
      </c>
      <c r="L159" s="29" t="e">
        <f ca="1"/>
        <v>#REF!</v>
      </c>
      <c r="M159" s="25" t="e">
        <f ca="1"/>
        <v>#REF!</v>
      </c>
      <c r="N159" s="30" t="e">
        <f ca="1"/>
        <v>#REF!</v>
      </c>
      <c r="O159" s="31" t="e">
        <f ca="1"/>
        <v>#REF!</v>
      </c>
      <c r="P159" s="31" t="e">
        <f ca="1"/>
        <v>#REF!</v>
      </c>
      <c r="Q159" s="31" t="e">
        <f ca="1"/>
        <v>#REF!</v>
      </c>
      <c r="R159" s="31" t="e">
        <f ca="1"/>
        <v>#REF!</v>
      </c>
      <c r="S159" s="31" t="e">
        <f ca="1"/>
        <v>#REF!</v>
      </c>
      <c r="T159" s="31" t="e">
        <f ca="1"/>
        <v>#REF!</v>
      </c>
      <c r="U159" s="31" t="e">
        <f ca="1"/>
        <v>#REF!</v>
      </c>
      <c r="V159" s="31" t="e">
        <f ca="1"/>
        <v>#REF!</v>
      </c>
      <c r="W159" s="32" t="e">
        <f ca="1"/>
        <v>#REF!</v>
      </c>
      <c r="X159" s="32" t="e">
        <f ca="1"/>
        <v>#REF!</v>
      </c>
      <c r="Y159" s="32" t="e">
        <f ca="1"/>
        <v>#REF!</v>
      </c>
      <c r="Z159" s="33" t="e">
        <f ca="1"/>
        <v>#REF!</v>
      </c>
      <c r="AA159" s="34" t="e">
        <f ca="1"/>
        <v>#REF!</v>
      </c>
    </row>
    <row r="160" spans="1:27" s="28" customFormat="1" ht="35.25" customHeight="1" x14ac:dyDescent="0.25">
      <c r="A160" s="24">
        <v>154</v>
      </c>
      <c r="B160" s="24"/>
      <c r="C160" s="25"/>
      <c r="D160" s="26"/>
      <c r="E160" s="25"/>
      <c r="F160" s="25"/>
      <c r="G160" s="24"/>
      <c r="H160" s="25" t="e">
        <f ca="1"/>
        <v>#REF!</v>
      </c>
      <c r="I160" s="27" t="e">
        <f ca="1"/>
        <v>#REF!</v>
      </c>
      <c r="J160" s="25" t="e">
        <f ca="1"/>
        <v>#REF!</v>
      </c>
      <c r="K160" s="29" t="e">
        <f ca="1"/>
        <v>#REF!</v>
      </c>
      <c r="L160" s="25" t="e">
        <f ca="1"/>
        <v>#REF!</v>
      </c>
      <c r="M160" s="25" t="e">
        <f ca="1"/>
        <v>#REF!</v>
      </c>
      <c r="N160" s="30" t="e">
        <f ca="1"/>
        <v>#REF!</v>
      </c>
      <c r="O160" s="35" t="e">
        <f ca="1"/>
        <v>#REF!</v>
      </c>
      <c r="P160" s="35" t="e">
        <f ca="1"/>
        <v>#REF!</v>
      </c>
      <c r="Q160" s="35" t="e">
        <f ca="1"/>
        <v>#REF!</v>
      </c>
      <c r="R160" s="35" t="e">
        <f ca="1"/>
        <v>#REF!</v>
      </c>
      <c r="S160" s="35" t="e">
        <f ca="1"/>
        <v>#REF!</v>
      </c>
      <c r="T160" s="35" t="e">
        <f ca="1"/>
        <v>#REF!</v>
      </c>
      <c r="U160" s="31" t="e">
        <f ca="1"/>
        <v>#REF!</v>
      </c>
      <c r="V160" s="31" t="e">
        <f ca="1"/>
        <v>#REF!</v>
      </c>
      <c r="W160" s="59" t="e">
        <f ca="1"/>
        <v>#REF!</v>
      </c>
      <c r="X160" s="32" t="e">
        <f ca="1"/>
        <v>#REF!</v>
      </c>
      <c r="Y160" s="32" t="e">
        <f ca="1"/>
        <v>#REF!</v>
      </c>
      <c r="Z160" s="56" t="e">
        <f ca="1"/>
        <v>#REF!</v>
      </c>
      <c r="AA160" s="34" t="e">
        <f ca="1"/>
        <v>#REF!</v>
      </c>
    </row>
    <row r="161" spans="1:27" s="28" customFormat="1" ht="52.5" customHeight="1" x14ac:dyDescent="0.25">
      <c r="A161" s="24">
        <v>155</v>
      </c>
      <c r="B161" s="24"/>
      <c r="C161" s="25"/>
      <c r="D161" s="26"/>
      <c r="E161" s="25"/>
      <c r="F161" s="25"/>
      <c r="G161" s="24"/>
      <c r="H161" s="25" t="e">
        <f ca="1"/>
        <v>#REF!</v>
      </c>
      <c r="I161" s="27" t="e">
        <f ca="1"/>
        <v>#REF!</v>
      </c>
      <c r="J161" s="25" t="e">
        <f ca="1"/>
        <v>#REF!</v>
      </c>
      <c r="K161" s="29" t="e">
        <f ca="1"/>
        <v>#REF!</v>
      </c>
      <c r="L161" s="25" t="e">
        <f ca="1"/>
        <v>#REF!</v>
      </c>
      <c r="M161" s="25" t="e">
        <f ca="1"/>
        <v>#REF!</v>
      </c>
      <c r="N161" s="30" t="e">
        <f ca="1"/>
        <v>#REF!</v>
      </c>
      <c r="O161" s="35" t="e">
        <f ca="1"/>
        <v>#REF!</v>
      </c>
      <c r="P161" s="35" t="e">
        <f ca="1"/>
        <v>#REF!</v>
      </c>
      <c r="Q161" s="35" t="e">
        <f ca="1"/>
        <v>#REF!</v>
      </c>
      <c r="R161" s="35" t="e">
        <f ca="1"/>
        <v>#REF!</v>
      </c>
      <c r="S161" s="35" t="e">
        <f ca="1"/>
        <v>#REF!</v>
      </c>
      <c r="T161" s="35" t="e">
        <f ca="1"/>
        <v>#REF!</v>
      </c>
      <c r="U161" s="31" t="e">
        <f ca="1"/>
        <v>#REF!</v>
      </c>
      <c r="V161" s="31" t="e">
        <f ca="1"/>
        <v>#REF!</v>
      </c>
      <c r="W161" s="59" t="e">
        <f ca="1"/>
        <v>#REF!</v>
      </c>
      <c r="X161" s="32" t="e">
        <f ca="1"/>
        <v>#REF!</v>
      </c>
      <c r="Y161" s="32" t="e">
        <f ca="1"/>
        <v>#REF!</v>
      </c>
      <c r="Z161" s="56" t="e">
        <f ca="1"/>
        <v>#REF!</v>
      </c>
      <c r="AA161" s="34" t="e">
        <f ca="1"/>
        <v>#REF!</v>
      </c>
    </row>
    <row r="162" spans="1:27" s="28" customFormat="1" ht="56.25" customHeight="1" x14ac:dyDescent="0.25">
      <c r="A162" s="24">
        <v>156</v>
      </c>
      <c r="B162" s="24"/>
      <c r="C162" s="25"/>
      <c r="D162" s="26"/>
      <c r="E162" s="25"/>
      <c r="F162" s="25"/>
      <c r="G162" s="24"/>
      <c r="H162" s="25" t="e">
        <f ca="1"/>
        <v>#REF!</v>
      </c>
      <c r="I162" s="27" t="e">
        <f ca="1"/>
        <v>#REF!</v>
      </c>
      <c r="J162" s="25" t="e">
        <f ca="1"/>
        <v>#REF!</v>
      </c>
      <c r="K162" s="29" t="e">
        <f ca="1"/>
        <v>#REF!</v>
      </c>
      <c r="L162" s="25" t="e">
        <f ca="1"/>
        <v>#REF!</v>
      </c>
      <c r="M162" s="25" t="e">
        <f ca="1"/>
        <v>#REF!</v>
      </c>
      <c r="N162" s="30" t="e">
        <f ca="1"/>
        <v>#REF!</v>
      </c>
      <c r="O162" s="35" t="e">
        <f ca="1"/>
        <v>#REF!</v>
      </c>
      <c r="P162" s="35" t="e">
        <f ca="1"/>
        <v>#REF!</v>
      </c>
      <c r="Q162" s="35" t="e">
        <f ca="1"/>
        <v>#REF!</v>
      </c>
      <c r="R162" s="35" t="e">
        <f ca="1"/>
        <v>#REF!</v>
      </c>
      <c r="S162" s="35" t="e">
        <f ca="1"/>
        <v>#REF!</v>
      </c>
      <c r="T162" s="35" t="e">
        <f ca="1"/>
        <v>#REF!</v>
      </c>
      <c r="U162" s="31" t="e">
        <f ca="1"/>
        <v>#REF!</v>
      </c>
      <c r="V162" s="31" t="e">
        <f ca="1"/>
        <v>#REF!</v>
      </c>
      <c r="W162" s="59" t="e">
        <f ca="1"/>
        <v>#REF!</v>
      </c>
      <c r="X162" s="32" t="e">
        <f ca="1"/>
        <v>#REF!</v>
      </c>
      <c r="Y162" s="32" t="e">
        <f ca="1"/>
        <v>#REF!</v>
      </c>
      <c r="Z162" s="56" t="e">
        <f ca="1"/>
        <v>#REF!</v>
      </c>
      <c r="AA162" s="34" t="e">
        <f ca="1"/>
        <v>#REF!</v>
      </c>
    </row>
    <row r="163" spans="1:27" s="28" customFormat="1" ht="56.25" customHeight="1" x14ac:dyDescent="0.25">
      <c r="A163" s="24">
        <v>157</v>
      </c>
      <c r="B163" s="24"/>
      <c r="C163" s="25"/>
      <c r="D163" s="26"/>
      <c r="E163" s="25"/>
      <c r="F163" s="25"/>
      <c r="G163" s="24"/>
      <c r="H163" s="25" t="e">
        <f ca="1"/>
        <v>#REF!</v>
      </c>
      <c r="I163" s="27" t="e">
        <f ca="1"/>
        <v>#REF!</v>
      </c>
      <c r="J163" s="25" t="e">
        <f ca="1"/>
        <v>#REF!</v>
      </c>
      <c r="K163" s="29" t="e">
        <f ca="1"/>
        <v>#REF!</v>
      </c>
      <c r="L163" s="25" t="e">
        <f ca="1"/>
        <v>#REF!</v>
      </c>
      <c r="M163" s="25" t="e">
        <f ca="1"/>
        <v>#REF!</v>
      </c>
      <c r="N163" s="30" t="e">
        <f ca="1"/>
        <v>#REF!</v>
      </c>
      <c r="O163" s="35" t="e">
        <f ca="1"/>
        <v>#REF!</v>
      </c>
      <c r="P163" s="35" t="e">
        <f ca="1"/>
        <v>#REF!</v>
      </c>
      <c r="Q163" s="35" t="e">
        <f ca="1"/>
        <v>#REF!</v>
      </c>
      <c r="R163" s="35" t="e">
        <f ca="1"/>
        <v>#REF!</v>
      </c>
      <c r="S163" s="35" t="e">
        <f ca="1"/>
        <v>#REF!</v>
      </c>
      <c r="T163" s="35" t="e">
        <f ca="1"/>
        <v>#REF!</v>
      </c>
      <c r="U163" s="31" t="e">
        <f ca="1"/>
        <v>#REF!</v>
      </c>
      <c r="V163" s="31" t="e">
        <f ca="1"/>
        <v>#REF!</v>
      </c>
      <c r="W163" s="59" t="e">
        <f ca="1"/>
        <v>#REF!</v>
      </c>
      <c r="X163" s="32" t="e">
        <f ca="1"/>
        <v>#REF!</v>
      </c>
      <c r="Y163" s="32" t="e">
        <f ca="1"/>
        <v>#REF!</v>
      </c>
      <c r="Z163" s="56" t="e">
        <f ca="1"/>
        <v>#REF!</v>
      </c>
      <c r="AA163" s="34" t="e">
        <f ca="1"/>
        <v>#REF!</v>
      </c>
    </row>
    <row r="164" spans="1:27" s="53" customFormat="1" ht="11.25" x14ac:dyDescent="0.25">
      <c r="A164" s="24">
        <v>158</v>
      </c>
      <c r="B164" s="24"/>
      <c r="C164" s="25"/>
      <c r="D164" s="26"/>
      <c r="E164" s="25"/>
      <c r="F164" s="25"/>
      <c r="G164" s="24"/>
      <c r="H164" s="25" t="e">
        <f ca="1"/>
        <v>#REF!</v>
      </c>
      <c r="I164" s="24" t="e">
        <f ca="1"/>
        <v>#REF!</v>
      </c>
      <c r="J164" s="25" t="e">
        <f ca="1"/>
        <v>#REF!</v>
      </c>
      <c r="K164" s="29" t="e">
        <f ca="1"/>
        <v>#REF!</v>
      </c>
      <c r="L164" s="29" t="e">
        <f ca="1"/>
        <v>#REF!</v>
      </c>
      <c r="M164" s="25" t="e">
        <f ca="1"/>
        <v>#REF!</v>
      </c>
      <c r="N164" s="30" t="e">
        <f ca="1"/>
        <v>#REF!</v>
      </c>
      <c r="O164" s="31" t="e">
        <f ca="1"/>
        <v>#REF!</v>
      </c>
      <c r="P164" s="31" t="e">
        <f ca="1"/>
        <v>#REF!</v>
      </c>
      <c r="Q164" s="31" t="e">
        <f ca="1"/>
        <v>#REF!</v>
      </c>
      <c r="R164" s="31" t="e">
        <f ca="1"/>
        <v>#REF!</v>
      </c>
      <c r="S164" s="31" t="e">
        <f ca="1"/>
        <v>#REF!</v>
      </c>
      <c r="T164" s="31" t="e">
        <f ca="1"/>
        <v>#REF!</v>
      </c>
      <c r="U164" s="31" t="e">
        <f ca="1"/>
        <v>#REF!</v>
      </c>
      <c r="V164" s="31" t="e">
        <f ca="1"/>
        <v>#REF!</v>
      </c>
      <c r="W164" s="32" t="e">
        <f ca="1"/>
        <v>#REF!</v>
      </c>
      <c r="X164" s="32" t="e">
        <f ca="1"/>
        <v>#REF!</v>
      </c>
      <c r="Y164" s="32" t="e">
        <f ca="1"/>
        <v>#REF!</v>
      </c>
      <c r="Z164" s="33" t="e">
        <f ca="1"/>
        <v>#REF!</v>
      </c>
      <c r="AA164" s="34" t="e">
        <f ca="1"/>
        <v>#REF!</v>
      </c>
    </row>
    <row r="165" spans="1:27" s="28" customFormat="1" ht="46.5" customHeight="1" x14ac:dyDescent="0.25">
      <c r="A165" s="24">
        <v>159</v>
      </c>
      <c r="B165" s="24"/>
      <c r="C165" s="25"/>
      <c r="D165" s="26"/>
      <c r="E165" s="25"/>
      <c r="F165" s="25"/>
      <c r="G165" s="24"/>
      <c r="H165" s="25" t="e">
        <f ca="1"/>
        <v>#REF!</v>
      </c>
      <c r="I165" s="27" t="e">
        <f ca="1"/>
        <v>#REF!</v>
      </c>
      <c r="J165" s="25" t="e">
        <f ca="1"/>
        <v>#REF!</v>
      </c>
      <c r="K165" s="29" t="e">
        <f ca="1"/>
        <v>#REF!</v>
      </c>
      <c r="L165" s="29" t="e">
        <f ca="1"/>
        <v>#REF!</v>
      </c>
      <c r="M165" s="25" t="e">
        <f ca="1"/>
        <v>#REF!</v>
      </c>
      <c r="N165" s="30" t="e">
        <f ca="1"/>
        <v>#REF!</v>
      </c>
      <c r="O165" s="31" t="e">
        <f ca="1"/>
        <v>#REF!</v>
      </c>
      <c r="P165" s="31" t="e">
        <f ca="1"/>
        <v>#REF!</v>
      </c>
      <c r="Q165" s="31" t="e">
        <f ca="1"/>
        <v>#REF!</v>
      </c>
      <c r="R165" s="31" t="e">
        <f ca="1"/>
        <v>#REF!</v>
      </c>
      <c r="S165" s="31" t="e">
        <f ca="1"/>
        <v>#REF!</v>
      </c>
      <c r="T165" s="31" t="e">
        <f ca="1"/>
        <v>#REF!</v>
      </c>
      <c r="U165" s="31" t="e">
        <f ca="1"/>
        <v>#REF!</v>
      </c>
      <c r="V165" s="31" t="e">
        <f ca="1"/>
        <v>#REF!</v>
      </c>
      <c r="W165" s="32" t="e">
        <f ca="1"/>
        <v>#REF!</v>
      </c>
      <c r="X165" s="32" t="e">
        <f ca="1"/>
        <v>#REF!</v>
      </c>
      <c r="Y165" s="32" t="e">
        <f ca="1"/>
        <v>#REF!</v>
      </c>
      <c r="Z165" s="33" t="e">
        <f ca="1"/>
        <v>#REF!</v>
      </c>
      <c r="AA165" s="34" t="e">
        <f ca="1"/>
        <v>#REF!</v>
      </c>
    </row>
    <row r="166" spans="1:27" s="28" customFormat="1" ht="54" customHeight="1" x14ac:dyDescent="0.25">
      <c r="A166" s="24">
        <v>160</v>
      </c>
      <c r="B166" s="24"/>
      <c r="C166" s="25"/>
      <c r="D166" s="26"/>
      <c r="E166" s="25"/>
      <c r="F166" s="25"/>
      <c r="G166" s="24"/>
      <c r="H166" s="25" t="e">
        <f ca="1"/>
        <v>#REF!</v>
      </c>
      <c r="I166" s="27" t="e">
        <f ca="1"/>
        <v>#REF!</v>
      </c>
      <c r="J166" s="25" t="e">
        <f ca="1"/>
        <v>#REF!</v>
      </c>
      <c r="K166" s="29" t="e">
        <f ca="1"/>
        <v>#REF!</v>
      </c>
      <c r="L166" s="32" t="e">
        <f ca="1"/>
        <v>#REF!</v>
      </c>
      <c r="M166" s="61" t="e">
        <f ca="1"/>
        <v>#REF!</v>
      </c>
      <c r="N166" s="30" t="e">
        <f ca="1"/>
        <v>#REF!</v>
      </c>
      <c r="O166" s="31" t="e">
        <f ca="1"/>
        <v>#REF!</v>
      </c>
      <c r="P166" s="31" t="e">
        <f ca="1"/>
        <v>#REF!</v>
      </c>
      <c r="Q166" s="31" t="e">
        <f ca="1"/>
        <v>#REF!</v>
      </c>
      <c r="R166" s="31" t="e">
        <f ca="1"/>
        <v>#REF!</v>
      </c>
      <c r="S166" s="31" t="e">
        <f ca="1"/>
        <v>#REF!</v>
      </c>
      <c r="T166" s="31" t="e">
        <f ca="1"/>
        <v>#REF!</v>
      </c>
      <c r="U166" s="31" t="e">
        <f ca="1"/>
        <v>#REF!</v>
      </c>
      <c r="V166" s="31" t="e">
        <f ca="1"/>
        <v>#REF!</v>
      </c>
      <c r="W166" s="59" t="e">
        <f ca="1"/>
        <v>#REF!</v>
      </c>
      <c r="X166" s="32" t="e">
        <f ca="1"/>
        <v>#REF!</v>
      </c>
      <c r="Y166" s="32" t="e">
        <f ca="1"/>
        <v>#REF!</v>
      </c>
      <c r="Z166" s="45" t="e">
        <f ca="1"/>
        <v>#REF!</v>
      </c>
      <c r="AA166" s="34" t="e">
        <f ca="1"/>
        <v>#REF!</v>
      </c>
    </row>
    <row r="167" spans="1:27" s="28" customFormat="1" ht="24.75" customHeight="1" x14ac:dyDescent="0.25">
      <c r="A167" s="24">
        <v>161</v>
      </c>
      <c r="B167" s="24"/>
      <c r="C167" s="25"/>
      <c r="D167" s="26"/>
      <c r="E167" s="25"/>
      <c r="F167" s="25"/>
      <c r="G167" s="24"/>
      <c r="H167" s="25" t="e">
        <f ca="1"/>
        <v>#REF!</v>
      </c>
      <c r="I167" s="27" t="e">
        <f ca="1"/>
        <v>#REF!</v>
      </c>
      <c r="J167" s="25" t="e">
        <f ca="1"/>
        <v>#REF!</v>
      </c>
      <c r="K167" s="29" t="e">
        <f ca="1"/>
        <v>#REF!</v>
      </c>
      <c r="L167" s="32" t="e">
        <f ca="1"/>
        <v>#REF!</v>
      </c>
      <c r="M167" s="61" t="e">
        <f ca="1"/>
        <v>#REF!</v>
      </c>
      <c r="N167" s="39" t="e">
        <f ca="1"/>
        <v>#REF!</v>
      </c>
      <c r="O167" s="35" t="e">
        <f ca="1"/>
        <v>#REF!</v>
      </c>
      <c r="P167" s="35" t="e">
        <f ca="1"/>
        <v>#REF!</v>
      </c>
      <c r="Q167" s="35" t="e">
        <f ca="1"/>
        <v>#REF!</v>
      </c>
      <c r="R167" s="35" t="e">
        <f ca="1"/>
        <v>#REF!</v>
      </c>
      <c r="S167" s="31" t="e">
        <f ca="1"/>
        <v>#REF!</v>
      </c>
      <c r="T167" s="31" t="e">
        <f ca="1"/>
        <v>#REF!</v>
      </c>
      <c r="U167" s="31" t="e">
        <f ca="1"/>
        <v>#REF!</v>
      </c>
      <c r="V167" s="31" t="e">
        <f ca="1"/>
        <v>#REF!</v>
      </c>
      <c r="W167" s="59" t="e">
        <f ca="1"/>
        <v>#REF!</v>
      </c>
      <c r="X167" s="32" t="e">
        <f ca="1"/>
        <v>#REF!</v>
      </c>
      <c r="Y167" s="32" t="e">
        <f ca="1"/>
        <v>#REF!</v>
      </c>
      <c r="Z167" s="45" t="e">
        <f ca="1"/>
        <v>#REF!</v>
      </c>
      <c r="AA167" s="34" t="e">
        <f ca="1"/>
        <v>#REF!</v>
      </c>
    </row>
    <row r="168" spans="1:27" s="28" customFormat="1" ht="24.75" customHeight="1" x14ac:dyDescent="0.25">
      <c r="A168" s="24">
        <v>162</v>
      </c>
      <c r="B168" s="24"/>
      <c r="C168" s="25"/>
      <c r="D168" s="26"/>
      <c r="E168" s="25"/>
      <c r="F168" s="25"/>
      <c r="G168" s="24"/>
      <c r="H168" s="25" t="e">
        <f ca="1"/>
        <v>#REF!</v>
      </c>
      <c r="I168" s="27" t="e">
        <f ca="1"/>
        <v>#REF!</v>
      </c>
      <c r="J168" s="25" t="e">
        <f ca="1"/>
        <v>#REF!</v>
      </c>
      <c r="K168" s="29" t="e">
        <f ca="1"/>
        <v>#REF!</v>
      </c>
      <c r="L168" s="32" t="e">
        <f ca="1"/>
        <v>#REF!</v>
      </c>
      <c r="M168" s="61" t="e">
        <f ca="1"/>
        <v>#REF!</v>
      </c>
      <c r="N168" s="39" t="e">
        <f ca="1"/>
        <v>#REF!</v>
      </c>
      <c r="O168" s="35" t="e">
        <f ca="1"/>
        <v>#REF!</v>
      </c>
      <c r="P168" s="35" t="e">
        <f ca="1"/>
        <v>#REF!</v>
      </c>
      <c r="Q168" s="35" t="e">
        <f ca="1"/>
        <v>#REF!</v>
      </c>
      <c r="R168" s="35" t="e">
        <f ca="1"/>
        <v>#REF!</v>
      </c>
      <c r="S168" s="31" t="e">
        <f ca="1"/>
        <v>#REF!</v>
      </c>
      <c r="T168" s="31" t="e">
        <f ca="1"/>
        <v>#REF!</v>
      </c>
      <c r="U168" s="31" t="e">
        <f ca="1"/>
        <v>#REF!</v>
      </c>
      <c r="V168" s="31" t="e">
        <f ca="1"/>
        <v>#REF!</v>
      </c>
      <c r="W168" s="59" t="e">
        <f ca="1"/>
        <v>#REF!</v>
      </c>
      <c r="X168" s="32" t="e">
        <f ca="1"/>
        <v>#REF!</v>
      </c>
      <c r="Y168" s="32" t="e">
        <f ca="1"/>
        <v>#REF!</v>
      </c>
      <c r="Z168" s="45" t="e">
        <f ca="1"/>
        <v>#REF!</v>
      </c>
      <c r="AA168" s="34" t="e">
        <f ca="1"/>
        <v>#REF!</v>
      </c>
    </row>
    <row r="169" spans="1:27" s="28" customFormat="1" ht="25.5" customHeight="1" x14ac:dyDescent="0.25">
      <c r="A169" s="24">
        <v>163</v>
      </c>
      <c r="B169" s="24"/>
      <c r="C169" s="25"/>
      <c r="D169" s="26"/>
      <c r="E169" s="25"/>
      <c r="F169" s="25"/>
      <c r="G169" s="24"/>
      <c r="H169" s="25" t="e">
        <f ca="1"/>
        <v>#REF!</v>
      </c>
      <c r="I169" s="27" t="e">
        <f ca="1"/>
        <v>#REF!</v>
      </c>
      <c r="J169" s="25" t="e">
        <f ca="1"/>
        <v>#REF!</v>
      </c>
      <c r="K169" s="29" t="e">
        <f ca="1"/>
        <v>#REF!</v>
      </c>
      <c r="L169" s="33" t="e">
        <f ca="1"/>
        <v>#REF!</v>
      </c>
      <c r="M169" s="61" t="e">
        <f ca="1"/>
        <v>#REF!</v>
      </c>
      <c r="N169" s="30" t="e">
        <f ca="1"/>
        <v>#REF!</v>
      </c>
      <c r="O169" s="31" t="e">
        <f ca="1"/>
        <v>#REF!</v>
      </c>
      <c r="P169" s="31" t="e">
        <f ca="1"/>
        <v>#REF!</v>
      </c>
      <c r="Q169" s="31" t="e">
        <f ca="1"/>
        <v>#REF!</v>
      </c>
      <c r="R169" s="31" t="e">
        <f ca="1"/>
        <v>#REF!</v>
      </c>
      <c r="S169" s="31" t="e">
        <f ca="1"/>
        <v>#REF!</v>
      </c>
      <c r="T169" s="31" t="e">
        <f ca="1"/>
        <v>#REF!</v>
      </c>
      <c r="U169" s="31" t="e">
        <f ca="1"/>
        <v>#REF!</v>
      </c>
      <c r="V169" s="31" t="e">
        <f ca="1"/>
        <v>#REF!</v>
      </c>
      <c r="W169" s="62" t="e">
        <f ca="1"/>
        <v>#REF!</v>
      </c>
      <c r="X169" s="32" t="e">
        <f ca="1"/>
        <v>#REF!</v>
      </c>
      <c r="Y169" s="32" t="e">
        <f ca="1"/>
        <v>#REF!</v>
      </c>
      <c r="Z169" s="45" t="e">
        <f ca="1"/>
        <v>#REF!</v>
      </c>
      <c r="AA169" s="34" t="e">
        <f ca="1"/>
        <v>#REF!</v>
      </c>
    </row>
    <row r="170" spans="1:27" s="28" customFormat="1" ht="25.5" customHeight="1" x14ac:dyDescent="0.25">
      <c r="A170" s="24">
        <v>164</v>
      </c>
      <c r="B170" s="24"/>
      <c r="C170" s="25"/>
      <c r="D170" s="26"/>
      <c r="E170" s="25"/>
      <c r="F170" s="25"/>
      <c r="G170" s="24"/>
      <c r="H170" s="25" t="e">
        <f ca="1"/>
        <v>#REF!</v>
      </c>
      <c r="I170" s="27" t="e">
        <f ca="1"/>
        <v>#REF!</v>
      </c>
      <c r="J170" s="25" t="e">
        <f ca="1"/>
        <v>#REF!</v>
      </c>
      <c r="K170" s="29" t="e">
        <f ca="1"/>
        <v>#REF!</v>
      </c>
      <c r="L170" s="33" t="e">
        <f ca="1"/>
        <v>#REF!</v>
      </c>
      <c r="M170" s="61" t="e">
        <f ca="1"/>
        <v>#REF!</v>
      </c>
      <c r="N170" s="30" t="e">
        <f ca="1"/>
        <v>#REF!</v>
      </c>
      <c r="O170" s="31" t="e">
        <f ca="1"/>
        <v>#REF!</v>
      </c>
      <c r="P170" s="31" t="e">
        <f ca="1"/>
        <v>#REF!</v>
      </c>
      <c r="Q170" s="31" t="e">
        <f ca="1"/>
        <v>#REF!</v>
      </c>
      <c r="R170" s="31" t="e">
        <f ca="1"/>
        <v>#REF!</v>
      </c>
      <c r="S170" s="31" t="e">
        <f ca="1"/>
        <v>#REF!</v>
      </c>
      <c r="T170" s="31" t="e">
        <f ca="1"/>
        <v>#REF!</v>
      </c>
      <c r="U170" s="31" t="e">
        <f ca="1"/>
        <v>#REF!</v>
      </c>
      <c r="V170" s="31" t="e">
        <f ca="1"/>
        <v>#REF!</v>
      </c>
      <c r="W170" s="59" t="e">
        <f ca="1"/>
        <v>#REF!</v>
      </c>
      <c r="X170" s="32" t="e">
        <f ca="1"/>
        <v>#REF!</v>
      </c>
      <c r="Y170" s="32" t="e">
        <f ca="1"/>
        <v>#REF!</v>
      </c>
      <c r="Z170" s="56" t="e">
        <f ca="1"/>
        <v>#REF!</v>
      </c>
      <c r="AA170" s="34" t="e">
        <f ca="1"/>
        <v>#REF!</v>
      </c>
    </row>
    <row r="171" spans="1:27" s="28" customFormat="1" ht="28.5" customHeight="1" x14ac:dyDescent="0.25">
      <c r="A171" s="24">
        <v>165</v>
      </c>
      <c r="B171" s="24"/>
      <c r="C171" s="25"/>
      <c r="D171" s="26"/>
      <c r="E171" s="25"/>
      <c r="F171" s="25"/>
      <c r="G171" s="24"/>
      <c r="H171" s="25" t="e">
        <f ca="1"/>
        <v>#REF!</v>
      </c>
      <c r="I171" s="27" t="e">
        <f ca="1"/>
        <v>#REF!</v>
      </c>
      <c r="J171" s="25" t="e">
        <f ca="1"/>
        <v>#REF!</v>
      </c>
      <c r="K171" s="29" t="e">
        <f ca="1"/>
        <v>#REF!</v>
      </c>
      <c r="L171" s="33" t="e">
        <f ca="1"/>
        <v>#REF!</v>
      </c>
      <c r="M171" s="61" t="e">
        <f ca="1"/>
        <v>#REF!</v>
      </c>
      <c r="N171" s="30" t="e">
        <f ca="1"/>
        <v>#REF!</v>
      </c>
      <c r="O171" s="31" t="e">
        <f ca="1"/>
        <v>#REF!</v>
      </c>
      <c r="P171" s="31" t="e">
        <f ca="1"/>
        <v>#REF!</v>
      </c>
      <c r="Q171" s="31" t="e">
        <f ca="1"/>
        <v>#REF!</v>
      </c>
      <c r="R171" s="31" t="e">
        <f ca="1"/>
        <v>#REF!</v>
      </c>
      <c r="S171" s="31" t="e">
        <f ca="1"/>
        <v>#REF!</v>
      </c>
      <c r="T171" s="31" t="e">
        <f ca="1"/>
        <v>#REF!</v>
      </c>
      <c r="U171" s="31" t="e">
        <f ca="1"/>
        <v>#REF!</v>
      </c>
      <c r="V171" s="31" t="e">
        <f ca="1"/>
        <v>#REF!</v>
      </c>
      <c r="W171" s="62" t="e">
        <f ca="1"/>
        <v>#REF!</v>
      </c>
      <c r="X171" s="32" t="e">
        <f ca="1"/>
        <v>#REF!</v>
      </c>
      <c r="Y171" s="32" t="e">
        <f ca="1"/>
        <v>#REF!</v>
      </c>
      <c r="Z171" s="45" t="e">
        <f ca="1"/>
        <v>#REF!</v>
      </c>
      <c r="AA171" s="34" t="e">
        <f ca="1"/>
        <v>#REF!</v>
      </c>
    </row>
    <row r="172" spans="1:27" s="28" customFormat="1" ht="28.5" customHeight="1" x14ac:dyDescent="0.25">
      <c r="A172" s="24">
        <v>166</v>
      </c>
      <c r="B172" s="24"/>
      <c r="C172" s="25"/>
      <c r="D172" s="26"/>
      <c r="E172" s="25"/>
      <c r="F172" s="25"/>
      <c r="G172" s="24"/>
      <c r="H172" s="25" t="e">
        <f ca="1"/>
        <v>#REF!</v>
      </c>
      <c r="I172" s="27" t="e">
        <f ca="1"/>
        <v>#REF!</v>
      </c>
      <c r="J172" s="25" t="e">
        <f ca="1"/>
        <v>#REF!</v>
      </c>
      <c r="K172" s="29" t="e">
        <f ca="1"/>
        <v>#REF!</v>
      </c>
      <c r="L172" s="33" t="e">
        <f ca="1"/>
        <v>#REF!</v>
      </c>
      <c r="M172" s="61" t="e">
        <f ca="1"/>
        <v>#REF!</v>
      </c>
      <c r="N172" s="30" t="e">
        <f ca="1"/>
        <v>#REF!</v>
      </c>
      <c r="O172" s="31" t="e">
        <f ca="1"/>
        <v>#REF!</v>
      </c>
      <c r="P172" s="31" t="e">
        <f ca="1"/>
        <v>#REF!</v>
      </c>
      <c r="Q172" s="31" t="e">
        <f ca="1"/>
        <v>#REF!</v>
      </c>
      <c r="R172" s="31" t="e">
        <f ca="1"/>
        <v>#REF!</v>
      </c>
      <c r="S172" s="31" t="e">
        <f ca="1"/>
        <v>#REF!</v>
      </c>
      <c r="T172" s="31" t="e">
        <f ca="1"/>
        <v>#REF!</v>
      </c>
      <c r="U172" s="31" t="e">
        <f ca="1"/>
        <v>#REF!</v>
      </c>
      <c r="V172" s="31" t="e">
        <f ca="1"/>
        <v>#REF!</v>
      </c>
      <c r="W172" s="59" t="e">
        <f ca="1"/>
        <v>#REF!</v>
      </c>
      <c r="X172" s="33" t="e">
        <f ca="1"/>
        <v>#REF!</v>
      </c>
      <c r="Y172" s="32" t="e">
        <f ca="1"/>
        <v>#REF!</v>
      </c>
      <c r="Z172" s="45" t="e">
        <f ca="1"/>
        <v>#REF!</v>
      </c>
      <c r="AA172" s="34" t="e">
        <f ca="1"/>
        <v>#REF!</v>
      </c>
    </row>
    <row r="173" spans="1:27" s="28" customFormat="1" ht="31.5" customHeight="1" x14ac:dyDescent="0.25">
      <c r="A173" s="24">
        <v>167</v>
      </c>
      <c r="B173" s="24"/>
      <c r="C173" s="25"/>
      <c r="D173" s="26"/>
      <c r="E173" s="25"/>
      <c r="F173" s="25"/>
      <c r="G173" s="24"/>
      <c r="H173" s="25" t="e">
        <f ca="1"/>
        <v>#REF!</v>
      </c>
      <c r="I173" s="27" t="e">
        <f ca="1"/>
        <v>#REF!</v>
      </c>
      <c r="J173" s="25" t="e">
        <f ca="1"/>
        <v>#REF!</v>
      </c>
      <c r="K173" s="29" t="e">
        <f ca="1"/>
        <v>#REF!</v>
      </c>
      <c r="L173" s="29" t="e">
        <f ca="1"/>
        <v>#REF!</v>
      </c>
      <c r="M173" s="25" t="e">
        <f ca="1"/>
        <v>#REF!</v>
      </c>
      <c r="N173" s="30" t="e">
        <f ca="1"/>
        <v>#REF!</v>
      </c>
      <c r="O173" s="31" t="e">
        <f ca="1"/>
        <v>#REF!</v>
      </c>
      <c r="P173" s="31" t="e">
        <f ca="1"/>
        <v>#REF!</v>
      </c>
      <c r="Q173" s="31" t="e">
        <f ca="1"/>
        <v>#REF!</v>
      </c>
      <c r="R173" s="31" t="e">
        <f ca="1"/>
        <v>#REF!</v>
      </c>
      <c r="S173" s="31" t="e">
        <f ca="1"/>
        <v>#REF!</v>
      </c>
      <c r="T173" s="31" t="e">
        <f ca="1"/>
        <v>#REF!</v>
      </c>
      <c r="U173" s="31" t="e">
        <f ca="1"/>
        <v>#REF!</v>
      </c>
      <c r="V173" s="31" t="e">
        <f ca="1"/>
        <v>#REF!</v>
      </c>
      <c r="W173" s="32" t="e">
        <f ca="1"/>
        <v>#REF!</v>
      </c>
      <c r="X173" s="32" t="e">
        <f ca="1"/>
        <v>#REF!</v>
      </c>
      <c r="Y173" s="32" t="e">
        <f ca="1"/>
        <v>#REF!</v>
      </c>
      <c r="Z173" s="33" t="e">
        <f ca="1"/>
        <v>#REF!</v>
      </c>
      <c r="AA173" s="34" t="e">
        <f ca="1"/>
        <v>#REF!</v>
      </c>
    </row>
    <row r="174" spans="1:27" s="28" customFormat="1" ht="32.25" customHeight="1" x14ac:dyDescent="0.25">
      <c r="A174" s="24">
        <v>168</v>
      </c>
      <c r="B174" s="24"/>
      <c r="C174" s="25"/>
      <c r="D174" s="26"/>
      <c r="E174" s="25"/>
      <c r="F174" s="25"/>
      <c r="G174" s="24"/>
      <c r="H174" s="25" t="e">
        <f ca="1"/>
        <v>#REF!</v>
      </c>
      <c r="I174" s="27" t="e">
        <f ca="1"/>
        <v>#REF!</v>
      </c>
      <c r="J174" s="25" t="e">
        <f ca="1"/>
        <v>#REF!</v>
      </c>
      <c r="K174" s="29" t="e">
        <f ca="1"/>
        <v>#REF!</v>
      </c>
      <c r="L174" s="29" t="e">
        <f ca="1"/>
        <v>#REF!</v>
      </c>
      <c r="M174" s="25" t="e">
        <f ca="1"/>
        <v>#REF!</v>
      </c>
      <c r="N174" s="30" t="e">
        <f ca="1"/>
        <v>#REF!</v>
      </c>
      <c r="O174" s="31" t="e">
        <f ca="1"/>
        <v>#REF!</v>
      </c>
      <c r="P174" s="31" t="e">
        <f ca="1"/>
        <v>#REF!</v>
      </c>
      <c r="Q174" s="31" t="e">
        <f ca="1"/>
        <v>#REF!</v>
      </c>
      <c r="R174" s="31" t="e">
        <f ca="1"/>
        <v>#REF!</v>
      </c>
      <c r="S174" s="31" t="e">
        <f ca="1"/>
        <v>#REF!</v>
      </c>
      <c r="T174" s="31" t="e">
        <f ca="1"/>
        <v>#REF!</v>
      </c>
      <c r="U174" s="31" t="e">
        <f ca="1"/>
        <v>#REF!</v>
      </c>
      <c r="V174" s="31" t="e">
        <f ca="1"/>
        <v>#REF!</v>
      </c>
      <c r="W174" s="32" t="e">
        <f ca="1"/>
        <v>#REF!</v>
      </c>
      <c r="X174" s="32" t="e">
        <f ca="1"/>
        <v>#REF!</v>
      </c>
      <c r="Y174" s="32" t="e">
        <f ca="1"/>
        <v>#REF!</v>
      </c>
      <c r="Z174" s="33" t="e">
        <f ca="1"/>
        <v>#REF!</v>
      </c>
      <c r="AA174" s="34" t="e">
        <f ca="1"/>
        <v>#REF!</v>
      </c>
    </row>
    <row r="175" spans="1:27" s="28" customFormat="1" ht="11.25" x14ac:dyDescent="0.25">
      <c r="A175" s="24">
        <v>169</v>
      </c>
      <c r="B175" s="24"/>
      <c r="C175" s="25"/>
      <c r="D175" s="26"/>
      <c r="E175" s="25"/>
      <c r="F175" s="25"/>
      <c r="G175" s="24"/>
      <c r="H175" s="25" t="e">
        <f ca="1"/>
        <v>#REF!</v>
      </c>
      <c r="I175" s="27" t="e">
        <f ca="1"/>
        <v>#REF!</v>
      </c>
      <c r="J175" s="25" t="e">
        <f ca="1"/>
        <v>#REF!</v>
      </c>
      <c r="K175" s="29" t="e">
        <f ca="1"/>
        <v>#REF!</v>
      </c>
      <c r="L175" s="29" t="e">
        <f ca="1"/>
        <v>#REF!</v>
      </c>
      <c r="M175" s="25" t="e">
        <f ca="1"/>
        <v>#REF!</v>
      </c>
      <c r="N175" s="30" t="e">
        <f ca="1"/>
        <v>#REF!</v>
      </c>
      <c r="O175" s="31" t="e">
        <f ca="1"/>
        <v>#REF!</v>
      </c>
      <c r="P175" s="31" t="e">
        <f ca="1"/>
        <v>#REF!</v>
      </c>
      <c r="Q175" s="31" t="e">
        <f ca="1"/>
        <v>#REF!</v>
      </c>
      <c r="R175" s="31" t="e">
        <f ca="1"/>
        <v>#REF!</v>
      </c>
      <c r="S175" s="31" t="e">
        <f ca="1"/>
        <v>#REF!</v>
      </c>
      <c r="T175" s="31" t="e">
        <f ca="1"/>
        <v>#REF!</v>
      </c>
      <c r="U175" s="31" t="e">
        <f ca="1"/>
        <v>#REF!</v>
      </c>
      <c r="V175" s="31" t="e">
        <f ca="1"/>
        <v>#REF!</v>
      </c>
      <c r="W175" s="32" t="e">
        <f ca="1"/>
        <v>#REF!</v>
      </c>
      <c r="X175" s="32" t="e">
        <f ca="1"/>
        <v>#REF!</v>
      </c>
      <c r="Y175" s="32" t="e">
        <f ca="1"/>
        <v>#REF!</v>
      </c>
      <c r="Z175" s="33" t="e">
        <f ca="1"/>
        <v>#REF!</v>
      </c>
      <c r="AA175" s="34" t="e">
        <f ca="1"/>
        <v>#REF!</v>
      </c>
    </row>
    <row r="176" spans="1:27" s="28" customFormat="1" ht="11.25" x14ac:dyDescent="0.25">
      <c r="A176" s="24">
        <v>170</v>
      </c>
      <c r="B176" s="24"/>
      <c r="C176" s="25"/>
      <c r="D176" s="26"/>
      <c r="E176" s="25"/>
      <c r="F176" s="25"/>
      <c r="G176" s="24"/>
      <c r="H176" s="25" t="e">
        <f ca="1"/>
        <v>#REF!</v>
      </c>
      <c r="I176" s="27" t="e">
        <f ca="1"/>
        <v>#REF!</v>
      </c>
      <c r="J176" s="25" t="e">
        <f ca="1"/>
        <v>#REF!</v>
      </c>
      <c r="K176" s="29" t="e">
        <f ca="1"/>
        <v>#REF!</v>
      </c>
      <c r="L176" s="29" t="e">
        <f ca="1"/>
        <v>#REF!</v>
      </c>
      <c r="M176" s="25" t="e">
        <f ca="1"/>
        <v>#REF!</v>
      </c>
      <c r="N176" s="30" t="e">
        <f ca="1"/>
        <v>#REF!</v>
      </c>
      <c r="O176" s="31" t="e">
        <f ca="1"/>
        <v>#REF!</v>
      </c>
      <c r="P176" s="31" t="e">
        <f ca="1"/>
        <v>#REF!</v>
      </c>
      <c r="Q176" s="31" t="e">
        <f ca="1"/>
        <v>#REF!</v>
      </c>
      <c r="R176" s="31" t="e">
        <f ca="1"/>
        <v>#REF!</v>
      </c>
      <c r="S176" s="31" t="e">
        <f ca="1"/>
        <v>#REF!</v>
      </c>
      <c r="T176" s="31" t="e">
        <f ca="1"/>
        <v>#REF!</v>
      </c>
      <c r="U176" s="31" t="e">
        <f ca="1"/>
        <v>#REF!</v>
      </c>
      <c r="V176" s="31" t="e">
        <f ca="1"/>
        <v>#REF!</v>
      </c>
      <c r="W176" s="32" t="e">
        <f ca="1"/>
        <v>#REF!</v>
      </c>
      <c r="X176" s="32" t="e">
        <f ca="1"/>
        <v>#REF!</v>
      </c>
      <c r="Y176" s="32" t="e">
        <f ca="1"/>
        <v>#REF!</v>
      </c>
      <c r="Z176" s="33" t="e">
        <f ca="1"/>
        <v>#REF!</v>
      </c>
      <c r="AA176" s="34" t="e">
        <f ca="1"/>
        <v>#REF!</v>
      </c>
    </row>
    <row r="177" spans="1:27" s="28" customFormat="1" ht="11.25" x14ac:dyDescent="0.25">
      <c r="A177" s="24">
        <v>171</v>
      </c>
      <c r="B177" s="24"/>
      <c r="C177" s="25"/>
      <c r="D177" s="26"/>
      <c r="E177" s="25"/>
      <c r="F177" s="25"/>
      <c r="G177" s="24"/>
      <c r="H177" s="25" t="e">
        <f ca="1"/>
        <v>#REF!</v>
      </c>
      <c r="I177" s="27" t="e">
        <f ca="1"/>
        <v>#REF!</v>
      </c>
      <c r="J177" s="25" t="e">
        <f ca="1"/>
        <v>#REF!</v>
      </c>
      <c r="K177" s="29" t="e">
        <f ca="1"/>
        <v>#REF!</v>
      </c>
      <c r="L177" s="29" t="e">
        <f ca="1"/>
        <v>#REF!</v>
      </c>
      <c r="M177" s="25" t="e">
        <f ca="1"/>
        <v>#REF!</v>
      </c>
      <c r="N177" s="30" t="e">
        <f ca="1"/>
        <v>#REF!</v>
      </c>
      <c r="O177" s="31" t="e">
        <f ca="1"/>
        <v>#REF!</v>
      </c>
      <c r="P177" s="31" t="e">
        <f ca="1"/>
        <v>#REF!</v>
      </c>
      <c r="Q177" s="31" t="e">
        <f ca="1"/>
        <v>#REF!</v>
      </c>
      <c r="R177" s="31" t="e">
        <f ca="1"/>
        <v>#REF!</v>
      </c>
      <c r="S177" s="31" t="e">
        <f ca="1"/>
        <v>#REF!</v>
      </c>
      <c r="T177" s="31" t="e">
        <f ca="1"/>
        <v>#REF!</v>
      </c>
      <c r="U177" s="31" t="e">
        <f ca="1"/>
        <v>#REF!</v>
      </c>
      <c r="V177" s="31" t="e">
        <f ca="1"/>
        <v>#REF!</v>
      </c>
      <c r="W177" s="32" t="e">
        <f ca="1"/>
        <v>#REF!</v>
      </c>
      <c r="X177" s="32" t="e">
        <f ca="1"/>
        <v>#REF!</v>
      </c>
      <c r="Y177" s="32" t="e">
        <f ca="1"/>
        <v>#REF!</v>
      </c>
      <c r="Z177" s="33" t="e">
        <f ca="1"/>
        <v>#REF!</v>
      </c>
      <c r="AA177" s="34" t="e">
        <f ca="1"/>
        <v>#REF!</v>
      </c>
    </row>
    <row r="178" spans="1:27" s="28" customFormat="1" ht="11.25" x14ac:dyDescent="0.25">
      <c r="A178" s="24">
        <v>172</v>
      </c>
      <c r="B178" s="24"/>
      <c r="C178" s="25"/>
      <c r="D178" s="26"/>
      <c r="E178" s="25"/>
      <c r="F178" s="25"/>
      <c r="G178" s="24"/>
      <c r="H178" s="25" t="e">
        <f ca="1"/>
        <v>#REF!</v>
      </c>
      <c r="I178" s="27" t="e">
        <f ca="1"/>
        <v>#REF!</v>
      </c>
      <c r="J178" s="25" t="e">
        <f ca="1"/>
        <v>#REF!</v>
      </c>
      <c r="K178" s="29" t="e">
        <f ca="1"/>
        <v>#REF!</v>
      </c>
      <c r="L178" s="29" t="e">
        <f ca="1"/>
        <v>#REF!</v>
      </c>
      <c r="M178" s="25" t="e">
        <f ca="1"/>
        <v>#REF!</v>
      </c>
      <c r="N178" s="30" t="e">
        <f ca="1"/>
        <v>#REF!</v>
      </c>
      <c r="O178" s="31" t="e">
        <f ca="1"/>
        <v>#REF!</v>
      </c>
      <c r="P178" s="31" t="e">
        <f ca="1"/>
        <v>#REF!</v>
      </c>
      <c r="Q178" s="31" t="e">
        <f ca="1"/>
        <v>#REF!</v>
      </c>
      <c r="R178" s="31" t="e">
        <f ca="1"/>
        <v>#REF!</v>
      </c>
      <c r="S178" s="31" t="e">
        <f ca="1"/>
        <v>#REF!</v>
      </c>
      <c r="T178" s="31" t="e">
        <f ca="1"/>
        <v>#REF!</v>
      </c>
      <c r="U178" s="31" t="e">
        <f ca="1"/>
        <v>#REF!</v>
      </c>
      <c r="V178" s="31" t="e">
        <f ca="1"/>
        <v>#REF!</v>
      </c>
      <c r="W178" s="32" t="e">
        <f ca="1"/>
        <v>#REF!</v>
      </c>
      <c r="X178" s="32" t="e">
        <f ca="1"/>
        <v>#REF!</v>
      </c>
      <c r="Y178" s="32" t="e">
        <f ca="1"/>
        <v>#REF!</v>
      </c>
      <c r="Z178" s="33" t="e">
        <f ca="1"/>
        <v>#REF!</v>
      </c>
      <c r="AA178" s="34" t="e">
        <f ca="1"/>
        <v>#REF!</v>
      </c>
    </row>
    <row r="179" spans="1:27" s="28" customFormat="1" ht="11.25" x14ac:dyDescent="0.25">
      <c r="A179" s="24">
        <v>173</v>
      </c>
      <c r="B179" s="24"/>
      <c r="C179" s="25"/>
      <c r="D179" s="26"/>
      <c r="E179" s="25"/>
      <c r="F179" s="25"/>
      <c r="G179" s="24"/>
      <c r="H179" s="25" t="e">
        <f ca="1"/>
        <v>#REF!</v>
      </c>
      <c r="I179" s="27" t="e">
        <f ca="1"/>
        <v>#REF!</v>
      </c>
      <c r="J179" s="25" t="e">
        <f ca="1"/>
        <v>#REF!</v>
      </c>
      <c r="K179" s="29" t="e">
        <f ca="1"/>
        <v>#REF!</v>
      </c>
      <c r="L179" s="29" t="e">
        <f ca="1"/>
        <v>#REF!</v>
      </c>
      <c r="M179" s="25" t="e">
        <f ca="1"/>
        <v>#REF!</v>
      </c>
      <c r="N179" s="30" t="e">
        <f ca="1"/>
        <v>#REF!</v>
      </c>
      <c r="O179" s="31" t="e">
        <f ca="1"/>
        <v>#REF!</v>
      </c>
      <c r="P179" s="31" t="e">
        <f ca="1"/>
        <v>#REF!</v>
      </c>
      <c r="Q179" s="31" t="e">
        <f ca="1"/>
        <v>#REF!</v>
      </c>
      <c r="R179" s="31" t="e">
        <f ca="1"/>
        <v>#REF!</v>
      </c>
      <c r="S179" s="31" t="e">
        <f ca="1"/>
        <v>#REF!</v>
      </c>
      <c r="T179" s="31" t="e">
        <f ca="1"/>
        <v>#REF!</v>
      </c>
      <c r="U179" s="31" t="e">
        <f ca="1"/>
        <v>#REF!</v>
      </c>
      <c r="V179" s="31" t="e">
        <f ca="1"/>
        <v>#REF!</v>
      </c>
      <c r="W179" s="32" t="e">
        <f ca="1"/>
        <v>#REF!</v>
      </c>
      <c r="X179" s="32" t="e">
        <f ca="1"/>
        <v>#REF!</v>
      </c>
      <c r="Y179" s="32" t="e">
        <f ca="1"/>
        <v>#REF!</v>
      </c>
      <c r="Z179" s="33" t="e">
        <f ca="1"/>
        <v>#REF!</v>
      </c>
      <c r="AA179" s="34" t="e">
        <f ca="1"/>
        <v>#REF!</v>
      </c>
    </row>
    <row r="180" spans="1:27" s="28" customFormat="1" ht="11.25" x14ac:dyDescent="0.25">
      <c r="A180" s="24">
        <v>174</v>
      </c>
      <c r="B180" s="24"/>
      <c r="C180" s="25"/>
      <c r="D180" s="26"/>
      <c r="E180" s="25"/>
      <c r="F180" s="25"/>
      <c r="G180" s="24"/>
      <c r="H180" s="25" t="e">
        <f ca="1"/>
        <v>#REF!</v>
      </c>
      <c r="I180" s="27" t="e">
        <f ca="1"/>
        <v>#REF!</v>
      </c>
      <c r="J180" s="25" t="e">
        <f ca="1"/>
        <v>#REF!</v>
      </c>
      <c r="K180" s="29" t="e">
        <f ca="1"/>
        <v>#REF!</v>
      </c>
      <c r="L180" s="29" t="e">
        <f ca="1"/>
        <v>#REF!</v>
      </c>
      <c r="M180" s="25" t="e">
        <f ca="1"/>
        <v>#REF!</v>
      </c>
      <c r="N180" s="30" t="e">
        <f ca="1"/>
        <v>#REF!</v>
      </c>
      <c r="O180" s="31" t="e">
        <f ca="1"/>
        <v>#REF!</v>
      </c>
      <c r="P180" s="31" t="e">
        <f ca="1"/>
        <v>#REF!</v>
      </c>
      <c r="Q180" s="31" t="e">
        <f ca="1"/>
        <v>#REF!</v>
      </c>
      <c r="R180" s="31" t="e">
        <f ca="1"/>
        <v>#REF!</v>
      </c>
      <c r="S180" s="31" t="e">
        <f ca="1"/>
        <v>#REF!</v>
      </c>
      <c r="T180" s="31" t="e">
        <f ca="1"/>
        <v>#REF!</v>
      </c>
      <c r="U180" s="31" t="e">
        <f ca="1"/>
        <v>#REF!</v>
      </c>
      <c r="V180" s="31" t="e">
        <f ca="1"/>
        <v>#REF!</v>
      </c>
      <c r="W180" s="32" t="e">
        <f ca="1"/>
        <v>#REF!</v>
      </c>
      <c r="X180" s="32" t="e">
        <f ca="1"/>
        <v>#REF!</v>
      </c>
      <c r="Y180" s="32" t="e">
        <f ca="1"/>
        <v>#REF!</v>
      </c>
      <c r="Z180" s="33" t="e">
        <f ca="1"/>
        <v>#REF!</v>
      </c>
      <c r="AA180" s="34" t="e">
        <f ca="1"/>
        <v>#REF!</v>
      </c>
    </row>
    <row r="181" spans="1:27" s="28" customFormat="1" ht="11.25" x14ac:dyDescent="0.25">
      <c r="A181" s="24">
        <v>175</v>
      </c>
      <c r="B181" s="24"/>
      <c r="C181" s="25"/>
      <c r="D181" s="26"/>
      <c r="E181" s="25"/>
      <c r="F181" s="25"/>
      <c r="G181" s="24"/>
      <c r="H181" s="25" t="e">
        <f ca="1"/>
        <v>#REF!</v>
      </c>
      <c r="I181" s="27" t="e">
        <f ca="1"/>
        <v>#REF!</v>
      </c>
      <c r="J181" s="25" t="e">
        <f ca="1"/>
        <v>#REF!</v>
      </c>
      <c r="K181" s="29" t="e">
        <f ca="1"/>
        <v>#REF!</v>
      </c>
      <c r="L181" s="29" t="e">
        <f ca="1"/>
        <v>#REF!</v>
      </c>
      <c r="M181" s="25" t="e">
        <f ca="1"/>
        <v>#REF!</v>
      </c>
      <c r="N181" s="30" t="e">
        <f ca="1"/>
        <v>#REF!</v>
      </c>
      <c r="O181" s="31" t="e">
        <f ca="1"/>
        <v>#REF!</v>
      </c>
      <c r="P181" s="31" t="e">
        <f ca="1"/>
        <v>#REF!</v>
      </c>
      <c r="Q181" s="31" t="e">
        <f ca="1"/>
        <v>#REF!</v>
      </c>
      <c r="R181" s="31" t="e">
        <f ca="1"/>
        <v>#REF!</v>
      </c>
      <c r="S181" s="31" t="e">
        <f ca="1"/>
        <v>#REF!</v>
      </c>
      <c r="T181" s="31" t="e">
        <f ca="1"/>
        <v>#REF!</v>
      </c>
      <c r="U181" s="31" t="e">
        <f ca="1"/>
        <v>#REF!</v>
      </c>
      <c r="V181" s="31" t="e">
        <f ca="1"/>
        <v>#REF!</v>
      </c>
      <c r="W181" s="32" t="e">
        <f ca="1"/>
        <v>#REF!</v>
      </c>
      <c r="X181" s="32" t="e">
        <f ca="1"/>
        <v>#REF!</v>
      </c>
      <c r="Y181" s="32" t="e">
        <f ca="1"/>
        <v>#REF!</v>
      </c>
      <c r="Z181" s="33" t="e">
        <f ca="1"/>
        <v>#REF!</v>
      </c>
      <c r="AA181" s="34" t="e">
        <f ca="1"/>
        <v>#REF!</v>
      </c>
    </row>
    <row r="182" spans="1:27" s="28" customFormat="1" ht="11.25" x14ac:dyDescent="0.25">
      <c r="A182" s="24">
        <v>176</v>
      </c>
      <c r="B182" s="24"/>
      <c r="C182" s="25"/>
      <c r="D182" s="26"/>
      <c r="E182" s="25"/>
      <c r="F182" s="25"/>
      <c r="G182" s="24"/>
      <c r="H182" s="25" t="e">
        <f ca="1"/>
        <v>#REF!</v>
      </c>
      <c r="I182" s="27" t="e">
        <f ca="1"/>
        <v>#REF!</v>
      </c>
      <c r="J182" s="25" t="e">
        <f ca="1"/>
        <v>#REF!</v>
      </c>
      <c r="K182" s="29" t="e">
        <f ca="1"/>
        <v>#REF!</v>
      </c>
      <c r="L182" s="29" t="e">
        <f ca="1"/>
        <v>#REF!</v>
      </c>
      <c r="M182" s="25" t="e">
        <f ca="1"/>
        <v>#REF!</v>
      </c>
      <c r="N182" s="30" t="e">
        <f ca="1"/>
        <v>#REF!</v>
      </c>
      <c r="O182" s="31" t="e">
        <f ca="1"/>
        <v>#REF!</v>
      </c>
      <c r="P182" s="31" t="e">
        <f ca="1"/>
        <v>#REF!</v>
      </c>
      <c r="Q182" s="31" t="e">
        <f ca="1"/>
        <v>#REF!</v>
      </c>
      <c r="R182" s="31" t="e">
        <f ca="1"/>
        <v>#REF!</v>
      </c>
      <c r="S182" s="31" t="e">
        <f ca="1"/>
        <v>#REF!</v>
      </c>
      <c r="T182" s="31" t="e">
        <f ca="1"/>
        <v>#REF!</v>
      </c>
      <c r="U182" s="31" t="e">
        <f ca="1"/>
        <v>#REF!</v>
      </c>
      <c r="V182" s="31" t="e">
        <f ca="1"/>
        <v>#REF!</v>
      </c>
      <c r="W182" s="32" t="e">
        <f ca="1"/>
        <v>#REF!</v>
      </c>
      <c r="X182" s="32" t="e">
        <f ca="1"/>
        <v>#REF!</v>
      </c>
      <c r="Y182" s="32" t="e">
        <f ca="1"/>
        <v>#REF!</v>
      </c>
      <c r="Z182" s="33" t="e">
        <f ca="1"/>
        <v>#REF!</v>
      </c>
      <c r="AA182" s="34" t="e">
        <f ca="1"/>
        <v>#REF!</v>
      </c>
    </row>
    <row r="183" spans="1:27" s="28" customFormat="1" ht="11.25" x14ac:dyDescent="0.25">
      <c r="A183" s="24">
        <v>177</v>
      </c>
      <c r="B183" s="24"/>
      <c r="C183" s="25"/>
      <c r="D183" s="26"/>
      <c r="E183" s="25"/>
      <c r="F183" s="25"/>
      <c r="G183" s="24"/>
      <c r="H183" s="25" t="e">
        <f ca="1"/>
        <v>#REF!</v>
      </c>
      <c r="I183" s="27" t="e">
        <f ca="1"/>
        <v>#REF!</v>
      </c>
      <c r="J183" s="25" t="e">
        <f ca="1"/>
        <v>#REF!</v>
      </c>
      <c r="K183" s="29" t="e">
        <f ca="1"/>
        <v>#REF!</v>
      </c>
      <c r="L183" s="29" t="e">
        <f ca="1"/>
        <v>#REF!</v>
      </c>
      <c r="M183" s="25" t="e">
        <f ca="1"/>
        <v>#REF!</v>
      </c>
      <c r="N183" s="30" t="e">
        <f ca="1"/>
        <v>#REF!</v>
      </c>
      <c r="O183" s="31" t="e">
        <f ca="1"/>
        <v>#REF!</v>
      </c>
      <c r="P183" s="31" t="e">
        <f ca="1"/>
        <v>#REF!</v>
      </c>
      <c r="Q183" s="31" t="e">
        <f ca="1"/>
        <v>#REF!</v>
      </c>
      <c r="R183" s="31" t="e">
        <f ca="1"/>
        <v>#REF!</v>
      </c>
      <c r="S183" s="31" t="e">
        <f ca="1"/>
        <v>#REF!</v>
      </c>
      <c r="T183" s="31" t="e">
        <f ca="1"/>
        <v>#REF!</v>
      </c>
      <c r="U183" s="31" t="e">
        <f ca="1"/>
        <v>#REF!</v>
      </c>
      <c r="V183" s="31" t="e">
        <f ca="1"/>
        <v>#REF!</v>
      </c>
      <c r="W183" s="32" t="e">
        <f ca="1"/>
        <v>#REF!</v>
      </c>
      <c r="X183" s="32" t="e">
        <f ca="1"/>
        <v>#REF!</v>
      </c>
      <c r="Y183" s="32" t="e">
        <f ca="1"/>
        <v>#REF!</v>
      </c>
      <c r="Z183" s="33" t="e">
        <f ca="1"/>
        <v>#REF!</v>
      </c>
      <c r="AA183" s="34" t="e">
        <f ca="1"/>
        <v>#REF!</v>
      </c>
    </row>
    <row r="184" spans="1:27" s="28" customFormat="1" ht="66" customHeight="1" x14ac:dyDescent="0.25">
      <c r="A184" s="24">
        <v>178</v>
      </c>
      <c r="B184" s="24"/>
      <c r="C184" s="25"/>
      <c r="D184" s="26"/>
      <c r="E184" s="25"/>
      <c r="F184" s="25"/>
      <c r="G184" s="24"/>
      <c r="H184" s="25" t="e">
        <f ca="1"/>
        <v>#REF!</v>
      </c>
      <c r="I184" s="27" t="e">
        <f ca="1"/>
        <v>#REF!</v>
      </c>
      <c r="J184" s="25" t="e">
        <f ca="1"/>
        <v>#REF!</v>
      </c>
      <c r="K184" s="29" t="e">
        <f ca="1"/>
        <v>#REF!</v>
      </c>
      <c r="L184" s="29" t="e">
        <f ca="1"/>
        <v>#REF!</v>
      </c>
      <c r="M184" s="25" t="e">
        <f ca="1"/>
        <v>#REF!</v>
      </c>
      <c r="N184" s="30" t="e">
        <f ca="1"/>
        <v>#REF!</v>
      </c>
      <c r="O184" s="31" t="e">
        <f ca="1"/>
        <v>#REF!</v>
      </c>
      <c r="P184" s="31" t="e">
        <f ca="1"/>
        <v>#REF!</v>
      </c>
      <c r="Q184" s="31" t="e">
        <f ca="1"/>
        <v>#REF!</v>
      </c>
      <c r="R184" s="31" t="e">
        <f ca="1"/>
        <v>#REF!</v>
      </c>
      <c r="S184" s="31" t="e">
        <f ca="1"/>
        <v>#REF!</v>
      </c>
      <c r="T184" s="31" t="e">
        <f ca="1"/>
        <v>#REF!</v>
      </c>
      <c r="U184" s="31" t="e">
        <f ca="1"/>
        <v>#REF!</v>
      </c>
      <c r="V184" s="31" t="e">
        <f ca="1"/>
        <v>#REF!</v>
      </c>
      <c r="W184" s="32" t="e">
        <f ca="1"/>
        <v>#REF!</v>
      </c>
      <c r="X184" s="32" t="e">
        <f ca="1"/>
        <v>#REF!</v>
      </c>
      <c r="Y184" s="32" t="e">
        <f ca="1"/>
        <v>#REF!</v>
      </c>
      <c r="Z184" s="33" t="e">
        <f ca="1"/>
        <v>#REF!</v>
      </c>
      <c r="AA184" s="34" t="e">
        <f ca="1"/>
        <v>#REF!</v>
      </c>
    </row>
    <row r="185" spans="1:27" s="28" customFormat="1" ht="30.75" customHeight="1" x14ac:dyDescent="0.25">
      <c r="A185" s="24">
        <v>179</v>
      </c>
      <c r="B185" s="24"/>
      <c r="C185" s="25"/>
      <c r="D185" s="26"/>
      <c r="E185" s="25"/>
      <c r="F185" s="25"/>
      <c r="G185" s="24"/>
      <c r="H185" s="25" t="e">
        <f ca="1"/>
        <v>#REF!</v>
      </c>
      <c r="I185" s="27" t="e">
        <f ca="1"/>
        <v>#REF!</v>
      </c>
      <c r="J185" s="25" t="e">
        <f ca="1"/>
        <v>#REF!</v>
      </c>
      <c r="K185" s="29" t="e">
        <f ca="1"/>
        <v>#REF!</v>
      </c>
      <c r="L185" s="33" t="e">
        <f ca="1"/>
        <v>#REF!</v>
      </c>
      <c r="M185" s="61" t="e">
        <f ca="1"/>
        <v>#REF!</v>
      </c>
      <c r="N185" s="39" t="e">
        <f ca="1"/>
        <v>#REF!</v>
      </c>
      <c r="O185" s="35" t="e">
        <f ca="1"/>
        <v>#REF!</v>
      </c>
      <c r="P185" s="35" t="e">
        <f ca="1"/>
        <v>#REF!</v>
      </c>
      <c r="Q185" s="35" t="e">
        <f ca="1"/>
        <v>#REF!</v>
      </c>
      <c r="R185" s="35" t="e">
        <f ca="1"/>
        <v>#REF!</v>
      </c>
      <c r="S185" s="35" t="e">
        <f ca="1"/>
        <v>#REF!</v>
      </c>
      <c r="T185" s="35" t="e">
        <f ca="1"/>
        <v>#REF!</v>
      </c>
      <c r="U185" s="31" t="e">
        <f ca="1"/>
        <v>#REF!</v>
      </c>
      <c r="V185" s="31" t="e">
        <f ca="1"/>
        <v>#REF!</v>
      </c>
      <c r="W185" s="59" t="e">
        <f ca="1"/>
        <v>#REF!</v>
      </c>
      <c r="X185" s="34" t="e">
        <f ca="1"/>
        <v>#REF!</v>
      </c>
      <c r="Y185" s="34" t="e">
        <f ca="1"/>
        <v>#REF!</v>
      </c>
      <c r="Z185" s="56" t="e">
        <f ca="1"/>
        <v>#REF!</v>
      </c>
      <c r="AA185" s="34" t="e">
        <f ca="1"/>
        <v>#REF!</v>
      </c>
    </row>
    <row r="186" spans="1:27" s="28" customFormat="1" ht="54" customHeight="1" x14ac:dyDescent="0.25">
      <c r="A186" s="24">
        <v>180</v>
      </c>
      <c r="B186" s="24"/>
      <c r="C186" s="25"/>
      <c r="D186" s="26"/>
      <c r="E186" s="25"/>
      <c r="F186" s="25"/>
      <c r="G186" s="24"/>
      <c r="H186" s="25" t="e">
        <f ca="1"/>
        <v>#REF!</v>
      </c>
      <c r="I186" s="27" t="e">
        <f ca="1"/>
        <v>#REF!</v>
      </c>
      <c r="J186" s="25" t="e">
        <f ca="1"/>
        <v>#REF!</v>
      </c>
      <c r="K186" s="29" t="e">
        <f ca="1"/>
        <v>#REF!</v>
      </c>
      <c r="L186" s="33" t="e">
        <f ca="1"/>
        <v>#REF!</v>
      </c>
      <c r="M186" s="63" t="e">
        <f ca="1"/>
        <v>#REF!</v>
      </c>
      <c r="N186" s="39" t="e">
        <f ca="1"/>
        <v>#REF!</v>
      </c>
      <c r="O186" s="40" t="e">
        <f ca="1"/>
        <v>#REF!</v>
      </c>
      <c r="P186" s="40" t="e">
        <f ca="1"/>
        <v>#REF!</v>
      </c>
      <c r="Q186" s="40" t="e">
        <f ca="1"/>
        <v>#REF!</v>
      </c>
      <c r="R186" s="40" t="e">
        <f ca="1"/>
        <v>#REF!</v>
      </c>
      <c r="S186" s="40" t="e">
        <f ca="1"/>
        <v>#REF!</v>
      </c>
      <c r="T186" s="31" t="e">
        <f ca="1"/>
        <v>#REF!</v>
      </c>
      <c r="U186" s="40" t="e">
        <f ca="1"/>
        <v>#REF!</v>
      </c>
      <c r="V186" s="40" t="e">
        <f ca="1"/>
        <v>#REF!</v>
      </c>
      <c r="W186" s="59" t="e">
        <f ca="1"/>
        <v>#REF!</v>
      </c>
      <c r="X186" s="64" t="e">
        <f ca="1"/>
        <v>#REF!</v>
      </c>
      <c r="Y186" s="64" t="e">
        <f ca="1"/>
        <v>#REF!</v>
      </c>
      <c r="Z186" s="65" t="e">
        <f ca="1"/>
        <v>#REF!</v>
      </c>
      <c r="AA186" s="34" t="e">
        <f ca="1"/>
        <v>#REF!</v>
      </c>
    </row>
    <row r="187" spans="1:27" s="28" customFormat="1" ht="31.5" customHeight="1" x14ac:dyDescent="0.25">
      <c r="A187" s="24">
        <v>181</v>
      </c>
      <c r="B187" s="24"/>
      <c r="C187" s="25"/>
      <c r="D187" s="26"/>
      <c r="E187" s="25"/>
      <c r="F187" s="25"/>
      <c r="G187" s="24"/>
      <c r="H187" s="25" t="e">
        <f ca="1"/>
        <v>#REF!</v>
      </c>
      <c r="I187" s="27" t="e">
        <f ca="1"/>
        <v>#REF!</v>
      </c>
      <c r="J187" s="25" t="e">
        <f ca="1"/>
        <v>#REF!</v>
      </c>
      <c r="K187" s="29" t="e">
        <f ca="1"/>
        <v>#REF!</v>
      </c>
      <c r="L187" s="33" t="e">
        <f ca="1"/>
        <v>#REF!</v>
      </c>
      <c r="M187" s="61" t="e">
        <f ca="1"/>
        <v>#REF!</v>
      </c>
      <c r="N187" s="30" t="e">
        <f ca="1"/>
        <v>#REF!</v>
      </c>
      <c r="O187" s="31" t="e">
        <f ca="1"/>
        <v>#REF!</v>
      </c>
      <c r="P187" s="31" t="e">
        <f ca="1"/>
        <v>#REF!</v>
      </c>
      <c r="Q187" s="31" t="e">
        <f ca="1"/>
        <v>#REF!</v>
      </c>
      <c r="R187" s="31" t="e">
        <f ca="1"/>
        <v>#REF!</v>
      </c>
      <c r="S187" s="31" t="e">
        <f ca="1"/>
        <v>#REF!</v>
      </c>
      <c r="T187" s="31" t="e">
        <f ca="1"/>
        <v>#REF!</v>
      </c>
      <c r="U187" s="31" t="e">
        <f ca="1"/>
        <v>#REF!</v>
      </c>
      <c r="V187" s="31" t="e">
        <f ca="1"/>
        <v>#REF!</v>
      </c>
      <c r="W187" s="59" t="e">
        <f ca="1"/>
        <v>#REF!</v>
      </c>
      <c r="X187" s="33" t="e">
        <f ca="1"/>
        <v>#REF!</v>
      </c>
      <c r="Y187" s="32" t="e">
        <f ca="1"/>
        <v>#REF!</v>
      </c>
      <c r="Z187" s="56" t="e">
        <f ca="1"/>
        <v>#REF!</v>
      </c>
      <c r="AA187" s="34" t="e">
        <f ca="1"/>
        <v>#REF!</v>
      </c>
    </row>
    <row r="188" spans="1:27" s="28" customFormat="1" ht="31.5" customHeight="1" x14ac:dyDescent="0.25">
      <c r="A188" s="24">
        <v>182</v>
      </c>
      <c r="B188" s="24"/>
      <c r="C188" s="25"/>
      <c r="D188" s="26"/>
      <c r="E188" s="25"/>
      <c r="F188" s="25"/>
      <c r="G188" s="24"/>
      <c r="H188" s="25" t="e">
        <f ca="1"/>
        <v>#REF!</v>
      </c>
      <c r="I188" s="27" t="e">
        <f ca="1"/>
        <v>#REF!</v>
      </c>
      <c r="J188" s="25" t="e">
        <f ca="1"/>
        <v>#REF!</v>
      </c>
      <c r="K188" s="29" t="e">
        <f ca="1"/>
        <v>#REF!</v>
      </c>
      <c r="L188" s="33" t="e">
        <f ca="1"/>
        <v>#REF!</v>
      </c>
      <c r="M188" s="61" t="e">
        <f ca="1"/>
        <v>#REF!</v>
      </c>
      <c r="N188" s="30" t="e">
        <f ca="1"/>
        <v>#REF!</v>
      </c>
      <c r="O188" s="35" t="e">
        <f ca="1"/>
        <v>#REF!</v>
      </c>
      <c r="P188" s="31" t="e">
        <f ca="1"/>
        <v>#REF!</v>
      </c>
      <c r="Q188" s="31" t="e">
        <f ca="1"/>
        <v>#REF!</v>
      </c>
      <c r="R188" s="31" t="e">
        <f ca="1"/>
        <v>#REF!</v>
      </c>
      <c r="S188" s="31" t="e">
        <f ca="1"/>
        <v>#REF!</v>
      </c>
      <c r="T188" s="31" t="e">
        <f ca="1"/>
        <v>#REF!</v>
      </c>
      <c r="U188" s="31" t="e">
        <f ca="1"/>
        <v>#REF!</v>
      </c>
      <c r="V188" s="31" t="e">
        <f ca="1"/>
        <v>#REF!</v>
      </c>
      <c r="W188" s="59" t="e">
        <f ca="1"/>
        <v>#REF!</v>
      </c>
      <c r="X188" s="33" t="e">
        <f ca="1"/>
        <v>#REF!</v>
      </c>
      <c r="Y188" s="32" t="e">
        <f ca="1"/>
        <v>#REF!</v>
      </c>
      <c r="Z188" s="45" t="e">
        <f ca="1"/>
        <v>#REF!</v>
      </c>
      <c r="AA188" s="34" t="e">
        <f ca="1"/>
        <v>#REF!</v>
      </c>
    </row>
    <row r="189" spans="1:27" s="28" customFormat="1" ht="45.75" customHeight="1" x14ac:dyDescent="0.25">
      <c r="A189" s="24">
        <v>183</v>
      </c>
      <c r="B189" s="24"/>
      <c r="C189" s="25"/>
      <c r="D189" s="26"/>
      <c r="E189" s="25"/>
      <c r="F189" s="25"/>
      <c r="G189" s="24"/>
      <c r="H189" s="25" t="e">
        <f ca="1"/>
        <v>#REF!</v>
      </c>
      <c r="I189" s="27" t="e">
        <f ca="1"/>
        <v>#REF!</v>
      </c>
      <c r="J189" s="25" t="e">
        <f ca="1"/>
        <v>#REF!</v>
      </c>
      <c r="K189" s="29" t="e">
        <f ca="1"/>
        <v>#REF!</v>
      </c>
      <c r="L189" s="33" t="e">
        <f ca="1"/>
        <v>#REF!</v>
      </c>
      <c r="M189" s="61" t="e">
        <f ca="1"/>
        <v>#REF!</v>
      </c>
      <c r="N189" s="30" t="e">
        <f ca="1"/>
        <v>#REF!</v>
      </c>
      <c r="O189" s="31" t="e">
        <f ca="1"/>
        <v>#REF!</v>
      </c>
      <c r="P189" s="31" t="e">
        <f ca="1"/>
        <v>#REF!</v>
      </c>
      <c r="Q189" s="31" t="e">
        <f ca="1"/>
        <v>#REF!</v>
      </c>
      <c r="R189" s="31" t="e">
        <f ca="1"/>
        <v>#REF!</v>
      </c>
      <c r="S189" s="31" t="e">
        <f ca="1"/>
        <v>#REF!</v>
      </c>
      <c r="T189" s="31" t="e">
        <f ca="1"/>
        <v>#REF!</v>
      </c>
      <c r="U189" s="31" t="e">
        <f ca="1"/>
        <v>#REF!</v>
      </c>
      <c r="V189" s="31" t="e">
        <f ca="1"/>
        <v>#REF!</v>
      </c>
      <c r="W189" s="33" t="e">
        <f ca="1"/>
        <v>#REF!</v>
      </c>
      <c r="X189" s="32" t="e">
        <f ca="1"/>
        <v>#REF!</v>
      </c>
      <c r="Y189" s="32" t="e">
        <f ca="1"/>
        <v>#REF!</v>
      </c>
      <c r="Z189" s="45" t="e">
        <f ca="1"/>
        <v>#REF!</v>
      </c>
      <c r="AA189" s="34" t="e">
        <f ca="1"/>
        <v>#REF!</v>
      </c>
    </row>
    <row r="190" spans="1:27" s="28" customFormat="1" ht="51.75" customHeight="1" x14ac:dyDescent="0.25">
      <c r="A190" s="24">
        <v>184</v>
      </c>
      <c r="B190" s="24"/>
      <c r="C190" s="25"/>
      <c r="D190" s="26"/>
      <c r="E190" s="25"/>
      <c r="F190" s="25"/>
      <c r="G190" s="24"/>
      <c r="H190" s="25" t="e">
        <f ca="1"/>
        <v>#REF!</v>
      </c>
      <c r="I190" s="27" t="e">
        <f ca="1"/>
        <v>#REF!</v>
      </c>
      <c r="J190" s="25" t="e">
        <f ca="1"/>
        <v>#REF!</v>
      </c>
      <c r="K190" s="29" t="e">
        <f ca="1"/>
        <v>#REF!</v>
      </c>
      <c r="L190" s="33" t="e">
        <f ca="1"/>
        <v>#REF!</v>
      </c>
      <c r="M190" s="61" t="e">
        <f ca="1"/>
        <v>#REF!</v>
      </c>
      <c r="N190" s="39" t="e">
        <f ca="1"/>
        <v>#REF!</v>
      </c>
      <c r="O190" s="35" t="e">
        <f ca="1"/>
        <v>#REF!</v>
      </c>
      <c r="P190" s="35" t="e">
        <f ca="1"/>
        <v>#REF!</v>
      </c>
      <c r="Q190" s="35" t="e">
        <f ca="1"/>
        <v>#REF!</v>
      </c>
      <c r="R190" s="35" t="e">
        <f ca="1"/>
        <v>#REF!</v>
      </c>
      <c r="S190" s="35" t="e">
        <f ca="1"/>
        <v>#REF!</v>
      </c>
      <c r="T190" s="35" t="e">
        <f ca="1"/>
        <v>#REF!</v>
      </c>
      <c r="U190" s="31" t="e">
        <f ca="1"/>
        <v>#REF!</v>
      </c>
      <c r="V190" s="31" t="e">
        <f ca="1"/>
        <v>#REF!</v>
      </c>
      <c r="W190" s="59" t="e">
        <f ca="1"/>
        <v>#REF!</v>
      </c>
      <c r="X190" s="34" t="e">
        <f ca="1"/>
        <v>#REF!</v>
      </c>
      <c r="Y190" s="34" t="e">
        <f ca="1"/>
        <v>#REF!</v>
      </c>
      <c r="Z190" s="56" t="e">
        <f ca="1"/>
        <v>#REF!</v>
      </c>
      <c r="AA190" s="34" t="e">
        <f ca="1"/>
        <v>#REF!</v>
      </c>
    </row>
    <row r="191" spans="1:27" s="28" customFormat="1" ht="46.5" customHeight="1" x14ac:dyDescent="0.25">
      <c r="A191" s="24">
        <v>185</v>
      </c>
      <c r="B191" s="24"/>
      <c r="C191" s="25"/>
      <c r="D191" s="26"/>
      <c r="E191" s="25"/>
      <c r="F191" s="25"/>
      <c r="G191" s="24"/>
      <c r="H191" s="25" t="e">
        <f ca="1"/>
        <v>#REF!</v>
      </c>
      <c r="I191" s="27" t="e">
        <f ca="1"/>
        <v>#REF!</v>
      </c>
      <c r="J191" s="25" t="e">
        <f ca="1"/>
        <v>#REF!</v>
      </c>
      <c r="K191" s="29" t="e">
        <f ca="1"/>
        <v>#REF!</v>
      </c>
      <c r="L191" s="29" t="e">
        <f ca="1"/>
        <v>#REF!</v>
      </c>
      <c r="M191" s="25" t="e">
        <f ca="1"/>
        <v>#REF!</v>
      </c>
      <c r="N191" s="30" t="e">
        <f ca="1"/>
        <v>#REF!</v>
      </c>
      <c r="O191" s="31" t="e">
        <f ca="1"/>
        <v>#REF!</v>
      </c>
      <c r="P191" s="31" t="e">
        <f ca="1"/>
        <v>#REF!</v>
      </c>
      <c r="Q191" s="31" t="e">
        <f ca="1"/>
        <v>#REF!</v>
      </c>
      <c r="R191" s="31" t="e">
        <f ca="1"/>
        <v>#REF!</v>
      </c>
      <c r="S191" s="31" t="e">
        <f ca="1"/>
        <v>#REF!</v>
      </c>
      <c r="T191" s="31" t="e">
        <f ca="1"/>
        <v>#REF!</v>
      </c>
      <c r="U191" s="31" t="e">
        <f ca="1"/>
        <v>#REF!</v>
      </c>
      <c r="V191" s="31" t="e">
        <f ca="1"/>
        <v>#REF!</v>
      </c>
      <c r="W191" s="32" t="e">
        <f ca="1"/>
        <v>#REF!</v>
      </c>
      <c r="X191" s="32" t="e">
        <f ca="1"/>
        <v>#REF!</v>
      </c>
      <c r="Y191" s="32" t="e">
        <f ca="1"/>
        <v>#REF!</v>
      </c>
      <c r="Z191" s="33" t="e">
        <f ca="1"/>
        <v>#REF!</v>
      </c>
      <c r="AA191" s="34" t="e">
        <f ca="1"/>
        <v>#REF!</v>
      </c>
    </row>
    <row r="192" spans="1:27" s="28" customFormat="1" ht="11.25" x14ac:dyDescent="0.25">
      <c r="A192" s="24">
        <v>186</v>
      </c>
      <c r="B192" s="24"/>
      <c r="C192" s="25"/>
      <c r="D192" s="26"/>
      <c r="E192" s="25"/>
      <c r="F192" s="25"/>
      <c r="G192" s="24"/>
      <c r="H192" s="25" t="e">
        <f ca="1"/>
        <v>#REF!</v>
      </c>
      <c r="I192" s="27" t="e">
        <f ca="1"/>
        <v>#REF!</v>
      </c>
      <c r="J192" s="25" t="e">
        <f ca="1"/>
        <v>#REF!</v>
      </c>
      <c r="K192" s="29" t="e">
        <f ca="1"/>
        <v>#REF!</v>
      </c>
      <c r="L192" s="29" t="e">
        <f ca="1"/>
        <v>#REF!</v>
      </c>
      <c r="M192" s="25" t="e">
        <f ca="1"/>
        <v>#REF!</v>
      </c>
      <c r="N192" s="30" t="e">
        <f ca="1"/>
        <v>#REF!</v>
      </c>
      <c r="O192" s="31" t="e">
        <f ca="1"/>
        <v>#REF!</v>
      </c>
      <c r="P192" s="31" t="e">
        <f ca="1"/>
        <v>#REF!</v>
      </c>
      <c r="Q192" s="31" t="e">
        <f ca="1"/>
        <v>#REF!</v>
      </c>
      <c r="R192" s="31" t="e">
        <f ca="1"/>
        <v>#REF!</v>
      </c>
      <c r="S192" s="31" t="e">
        <f ca="1"/>
        <v>#REF!</v>
      </c>
      <c r="T192" s="31" t="e">
        <f ca="1"/>
        <v>#REF!</v>
      </c>
      <c r="U192" s="31" t="e">
        <f ca="1"/>
        <v>#REF!</v>
      </c>
      <c r="V192" s="31" t="e">
        <f ca="1"/>
        <v>#REF!</v>
      </c>
      <c r="W192" s="32" t="e">
        <f ca="1"/>
        <v>#REF!</v>
      </c>
      <c r="X192" s="32" t="e">
        <f ca="1"/>
        <v>#REF!</v>
      </c>
      <c r="Y192" s="32" t="e">
        <f ca="1"/>
        <v>#REF!</v>
      </c>
      <c r="Z192" s="33" t="e">
        <f ca="1"/>
        <v>#REF!</v>
      </c>
      <c r="AA192" s="34" t="e">
        <f ca="1"/>
        <v>#REF!</v>
      </c>
    </row>
    <row r="193" spans="1:27" s="28" customFormat="1" ht="69" customHeight="1" x14ac:dyDescent="0.25">
      <c r="A193" s="24">
        <v>187</v>
      </c>
      <c r="B193" s="24"/>
      <c r="C193" s="25"/>
      <c r="D193" s="26"/>
      <c r="E193" s="25"/>
      <c r="F193" s="25"/>
      <c r="G193" s="24"/>
      <c r="H193" s="25" t="e">
        <f ca="1"/>
        <v>#REF!</v>
      </c>
      <c r="I193" s="27" t="e">
        <f ca="1"/>
        <v>#REF!</v>
      </c>
      <c r="J193" s="25" t="e">
        <f ca="1"/>
        <v>#REF!</v>
      </c>
      <c r="K193" s="29" t="e">
        <f ca="1"/>
        <v>#REF!</v>
      </c>
      <c r="L193" s="29" t="e">
        <f ca="1"/>
        <v>#REF!</v>
      </c>
      <c r="M193" s="25" t="e">
        <f ca="1"/>
        <v>#REF!</v>
      </c>
      <c r="N193" s="30" t="e">
        <f ca="1"/>
        <v>#REF!</v>
      </c>
      <c r="O193" s="31" t="e">
        <f ca="1"/>
        <v>#REF!</v>
      </c>
      <c r="P193" s="31" t="e">
        <f ca="1"/>
        <v>#REF!</v>
      </c>
      <c r="Q193" s="31" t="e">
        <f ca="1"/>
        <v>#REF!</v>
      </c>
      <c r="R193" s="31" t="e">
        <f ca="1"/>
        <v>#REF!</v>
      </c>
      <c r="S193" s="31" t="e">
        <f ca="1"/>
        <v>#REF!</v>
      </c>
      <c r="T193" s="31" t="e">
        <f ca="1"/>
        <v>#REF!</v>
      </c>
      <c r="U193" s="31" t="e">
        <f ca="1"/>
        <v>#REF!</v>
      </c>
      <c r="V193" s="31" t="e">
        <f ca="1"/>
        <v>#REF!</v>
      </c>
      <c r="W193" s="32" t="e">
        <f ca="1"/>
        <v>#REF!</v>
      </c>
      <c r="X193" s="32" t="e">
        <f ca="1"/>
        <v>#REF!</v>
      </c>
      <c r="Y193" s="32" t="e">
        <f ca="1"/>
        <v>#REF!</v>
      </c>
      <c r="Z193" s="33" t="e">
        <f ca="1"/>
        <v>#REF!</v>
      </c>
      <c r="AA193" s="34" t="e">
        <f ca="1"/>
        <v>#REF!</v>
      </c>
    </row>
    <row r="194" spans="1:27" s="28" customFormat="1" ht="11.25" x14ac:dyDescent="0.25">
      <c r="A194" s="24">
        <v>188</v>
      </c>
      <c r="B194" s="24"/>
      <c r="C194" s="25"/>
      <c r="D194" s="26"/>
      <c r="E194" s="25"/>
      <c r="F194" s="25"/>
      <c r="G194" s="24"/>
      <c r="H194" s="25" t="e">
        <f ca="1"/>
        <v>#REF!</v>
      </c>
      <c r="I194" s="27" t="e">
        <f ca="1"/>
        <v>#REF!</v>
      </c>
      <c r="J194" s="25" t="e">
        <f ca="1"/>
        <v>#REF!</v>
      </c>
      <c r="K194" s="29" t="e">
        <f ca="1"/>
        <v>#REF!</v>
      </c>
      <c r="L194" s="29" t="e">
        <f ca="1"/>
        <v>#REF!</v>
      </c>
      <c r="M194" s="25" t="e">
        <f ca="1"/>
        <v>#REF!</v>
      </c>
      <c r="N194" s="30" t="e">
        <f ca="1"/>
        <v>#REF!</v>
      </c>
      <c r="O194" s="31" t="e">
        <f ca="1"/>
        <v>#REF!</v>
      </c>
      <c r="P194" s="31" t="e">
        <f ca="1"/>
        <v>#REF!</v>
      </c>
      <c r="Q194" s="31" t="e">
        <f ca="1"/>
        <v>#REF!</v>
      </c>
      <c r="R194" s="31" t="e">
        <f ca="1"/>
        <v>#REF!</v>
      </c>
      <c r="S194" s="31" t="e">
        <f ca="1"/>
        <v>#REF!</v>
      </c>
      <c r="T194" s="31" t="e">
        <f ca="1"/>
        <v>#REF!</v>
      </c>
      <c r="U194" s="31" t="e">
        <f ca="1"/>
        <v>#REF!</v>
      </c>
      <c r="V194" s="31" t="e">
        <f ca="1"/>
        <v>#REF!</v>
      </c>
      <c r="W194" s="32" t="e">
        <f ca="1"/>
        <v>#REF!</v>
      </c>
      <c r="X194" s="32" t="e">
        <f ca="1"/>
        <v>#REF!</v>
      </c>
      <c r="Y194" s="32" t="e">
        <f ca="1"/>
        <v>#REF!</v>
      </c>
      <c r="Z194" s="33" t="e">
        <f ca="1"/>
        <v>#REF!</v>
      </c>
      <c r="AA194" s="34" t="e">
        <f ca="1"/>
        <v>#REF!</v>
      </c>
    </row>
    <row r="195" spans="1:27" s="28" customFormat="1" ht="72.75" customHeight="1" x14ac:dyDescent="0.25">
      <c r="A195" s="24">
        <v>189</v>
      </c>
      <c r="B195" s="24"/>
      <c r="C195" s="25"/>
      <c r="D195" s="26"/>
      <c r="E195" s="25"/>
      <c r="F195" s="25"/>
      <c r="G195" s="24"/>
      <c r="H195" s="25" t="e">
        <f ca="1"/>
        <v>#REF!</v>
      </c>
      <c r="I195" s="27" t="e">
        <f ca="1"/>
        <v>#REF!</v>
      </c>
      <c r="J195" s="25" t="e">
        <f ca="1"/>
        <v>#REF!</v>
      </c>
      <c r="K195" s="29" t="e">
        <f ca="1"/>
        <v>#REF!</v>
      </c>
      <c r="L195" s="29" t="e">
        <f ca="1"/>
        <v>#REF!</v>
      </c>
      <c r="M195" s="25" t="e">
        <f ca="1"/>
        <v>#REF!</v>
      </c>
      <c r="N195" s="30" t="e">
        <f ca="1"/>
        <v>#REF!</v>
      </c>
      <c r="O195" s="31" t="e">
        <f ca="1"/>
        <v>#REF!</v>
      </c>
      <c r="P195" s="31" t="e">
        <f ca="1"/>
        <v>#REF!</v>
      </c>
      <c r="Q195" s="31" t="e">
        <f ca="1"/>
        <v>#REF!</v>
      </c>
      <c r="R195" s="31" t="e">
        <f ca="1"/>
        <v>#REF!</v>
      </c>
      <c r="S195" s="31" t="e">
        <f ca="1"/>
        <v>#REF!</v>
      </c>
      <c r="T195" s="31" t="e">
        <f ca="1"/>
        <v>#REF!</v>
      </c>
      <c r="U195" s="31" t="e">
        <f ca="1"/>
        <v>#REF!</v>
      </c>
      <c r="V195" s="31" t="e">
        <f ca="1"/>
        <v>#REF!</v>
      </c>
      <c r="W195" s="32" t="e">
        <f ca="1"/>
        <v>#REF!</v>
      </c>
      <c r="X195" s="32" t="e">
        <f ca="1"/>
        <v>#REF!</v>
      </c>
      <c r="Y195" s="32" t="e">
        <f ca="1"/>
        <v>#REF!</v>
      </c>
      <c r="Z195" s="33" t="e">
        <f ca="1"/>
        <v>#REF!</v>
      </c>
      <c r="AA195" s="34" t="e">
        <f ca="1"/>
        <v>#REF!</v>
      </c>
    </row>
    <row r="196" spans="1:27" s="28" customFormat="1" ht="64.5" customHeight="1" x14ac:dyDescent="0.25">
      <c r="A196" s="24">
        <v>190</v>
      </c>
      <c r="B196" s="24"/>
      <c r="C196" s="25"/>
      <c r="D196" s="26"/>
      <c r="E196" s="25"/>
      <c r="F196" s="25"/>
      <c r="G196" s="24"/>
      <c r="H196" s="25" t="e">
        <f ca="1"/>
        <v>#REF!</v>
      </c>
      <c r="I196" s="27" t="e">
        <f ca="1"/>
        <v>#REF!</v>
      </c>
      <c r="J196" s="25" t="e">
        <f ca="1"/>
        <v>#REF!</v>
      </c>
      <c r="K196" s="29" t="e">
        <f ca="1"/>
        <v>#REF!</v>
      </c>
      <c r="L196" s="29" t="e">
        <f ca="1"/>
        <v>#REF!</v>
      </c>
      <c r="M196" s="25" t="e">
        <f ca="1"/>
        <v>#REF!</v>
      </c>
      <c r="N196" s="30" t="e">
        <f ca="1"/>
        <v>#REF!</v>
      </c>
      <c r="O196" s="31" t="e">
        <f ca="1"/>
        <v>#REF!</v>
      </c>
      <c r="P196" s="31" t="e">
        <f ca="1"/>
        <v>#REF!</v>
      </c>
      <c r="Q196" s="31" t="e">
        <f ca="1"/>
        <v>#REF!</v>
      </c>
      <c r="R196" s="31" t="e">
        <f ca="1"/>
        <v>#REF!</v>
      </c>
      <c r="S196" s="31" t="e">
        <f ca="1"/>
        <v>#REF!</v>
      </c>
      <c r="T196" s="31" t="e">
        <f ca="1"/>
        <v>#REF!</v>
      </c>
      <c r="U196" s="31" t="e">
        <f ca="1"/>
        <v>#REF!</v>
      </c>
      <c r="V196" s="31" t="e">
        <f ca="1"/>
        <v>#REF!</v>
      </c>
      <c r="W196" s="32" t="e">
        <f ca="1"/>
        <v>#REF!</v>
      </c>
      <c r="X196" s="32" t="e">
        <f ca="1"/>
        <v>#REF!</v>
      </c>
      <c r="Y196" s="32" t="e">
        <f ca="1"/>
        <v>#REF!</v>
      </c>
      <c r="Z196" s="33" t="e">
        <f ca="1"/>
        <v>#REF!</v>
      </c>
      <c r="AA196" s="34" t="e">
        <f ca="1"/>
        <v>#REF!</v>
      </c>
    </row>
    <row r="197" spans="1:27" s="28" customFormat="1" ht="58.5" customHeight="1" x14ac:dyDescent="0.25">
      <c r="A197" s="24">
        <v>191</v>
      </c>
      <c r="B197" s="24"/>
      <c r="C197" s="25"/>
      <c r="D197" s="26"/>
      <c r="E197" s="25"/>
      <c r="F197" s="25"/>
      <c r="G197" s="24"/>
      <c r="H197" s="25" t="e">
        <f ca="1"/>
        <v>#REF!</v>
      </c>
      <c r="I197" s="27" t="e">
        <f ca="1"/>
        <v>#REF!</v>
      </c>
      <c r="J197" s="25" t="e">
        <f ca="1"/>
        <v>#REF!</v>
      </c>
      <c r="K197" s="29" t="e">
        <f ca="1"/>
        <v>#REF!</v>
      </c>
      <c r="L197" s="29" t="e">
        <f ca="1"/>
        <v>#REF!</v>
      </c>
      <c r="M197" s="25" t="e">
        <f ca="1"/>
        <v>#REF!</v>
      </c>
      <c r="N197" s="30" t="e">
        <f ca="1"/>
        <v>#REF!</v>
      </c>
      <c r="O197" s="31" t="e">
        <f ca="1"/>
        <v>#REF!</v>
      </c>
      <c r="P197" s="31" t="e">
        <f ca="1"/>
        <v>#REF!</v>
      </c>
      <c r="Q197" s="31" t="e">
        <f ca="1"/>
        <v>#REF!</v>
      </c>
      <c r="R197" s="31" t="e">
        <f ca="1"/>
        <v>#REF!</v>
      </c>
      <c r="S197" s="31" t="e">
        <f ca="1"/>
        <v>#REF!</v>
      </c>
      <c r="T197" s="31" t="e">
        <f ca="1"/>
        <v>#REF!</v>
      </c>
      <c r="U197" s="31" t="e">
        <f ca="1"/>
        <v>#REF!</v>
      </c>
      <c r="V197" s="31" t="e">
        <f ca="1"/>
        <v>#REF!</v>
      </c>
      <c r="W197" s="32" t="e">
        <f ca="1"/>
        <v>#REF!</v>
      </c>
      <c r="X197" s="32" t="e">
        <f ca="1"/>
        <v>#REF!</v>
      </c>
      <c r="Y197" s="32" t="e">
        <f ca="1"/>
        <v>#REF!</v>
      </c>
      <c r="Z197" s="33" t="e">
        <f ca="1"/>
        <v>#REF!</v>
      </c>
      <c r="AA197" s="34" t="e">
        <f ca="1"/>
        <v>#REF!</v>
      </c>
    </row>
    <row r="198" spans="1:27" s="28" customFormat="1" ht="141" customHeight="1" x14ac:dyDescent="0.25">
      <c r="A198" s="24">
        <v>192</v>
      </c>
      <c r="B198" s="24"/>
      <c r="C198" s="25"/>
      <c r="D198" s="26"/>
      <c r="E198" s="25"/>
      <c r="F198" s="25"/>
      <c r="G198" s="24"/>
      <c r="H198" s="25" t="e">
        <f ca="1"/>
        <v>#REF!</v>
      </c>
      <c r="I198" s="27" t="e">
        <f ca="1"/>
        <v>#REF!</v>
      </c>
      <c r="J198" s="25" t="e">
        <f ca="1"/>
        <v>#REF!</v>
      </c>
      <c r="K198" s="29" t="e">
        <f ca="1"/>
        <v>#REF!</v>
      </c>
      <c r="L198" s="29" t="e">
        <f ca="1"/>
        <v>#REF!</v>
      </c>
      <c r="M198" s="25" t="e">
        <f ca="1"/>
        <v>#REF!</v>
      </c>
      <c r="N198" s="30" t="e">
        <f ca="1"/>
        <v>#REF!</v>
      </c>
      <c r="O198" s="31" t="e">
        <f ca="1"/>
        <v>#REF!</v>
      </c>
      <c r="P198" s="31" t="e">
        <f ca="1"/>
        <v>#REF!</v>
      </c>
      <c r="Q198" s="31" t="e">
        <f ca="1"/>
        <v>#REF!</v>
      </c>
      <c r="R198" s="31" t="e">
        <f ca="1"/>
        <v>#REF!</v>
      </c>
      <c r="S198" s="31" t="e">
        <f ca="1"/>
        <v>#REF!</v>
      </c>
      <c r="T198" s="31" t="e">
        <f ca="1"/>
        <v>#REF!</v>
      </c>
      <c r="U198" s="31" t="e">
        <f ca="1"/>
        <v>#REF!</v>
      </c>
      <c r="V198" s="31" t="e">
        <f ca="1"/>
        <v>#REF!</v>
      </c>
      <c r="W198" s="32" t="e">
        <f ca="1"/>
        <v>#REF!</v>
      </c>
      <c r="X198" s="32" t="e">
        <f ca="1"/>
        <v>#REF!</v>
      </c>
      <c r="Y198" s="32" t="e">
        <f ca="1"/>
        <v>#REF!</v>
      </c>
      <c r="Z198" s="33" t="e">
        <f ca="1"/>
        <v>#REF!</v>
      </c>
      <c r="AA198" s="34" t="e">
        <f ca="1"/>
        <v>#REF!</v>
      </c>
    </row>
    <row r="199" spans="1:27" s="28" customFormat="1" ht="56.25" customHeight="1" x14ac:dyDescent="0.25">
      <c r="A199" s="24">
        <v>193</v>
      </c>
      <c r="B199" s="24"/>
      <c r="C199" s="25"/>
      <c r="D199" s="26"/>
      <c r="E199" s="25"/>
      <c r="F199" s="25"/>
      <c r="G199" s="24"/>
      <c r="H199" s="25" t="e">
        <f ca="1"/>
        <v>#REF!</v>
      </c>
      <c r="I199" s="27" t="e">
        <f ca="1"/>
        <v>#REF!</v>
      </c>
      <c r="J199" s="25" t="e">
        <f ca="1"/>
        <v>#REF!</v>
      </c>
      <c r="K199" s="29" t="e">
        <f ca="1"/>
        <v>#REF!</v>
      </c>
      <c r="L199" s="29" t="e">
        <f ca="1"/>
        <v>#REF!</v>
      </c>
      <c r="M199" s="25" t="e">
        <f ca="1"/>
        <v>#REF!</v>
      </c>
      <c r="N199" s="30" t="e">
        <f ca="1"/>
        <v>#REF!</v>
      </c>
      <c r="O199" s="31" t="e">
        <f ca="1"/>
        <v>#REF!</v>
      </c>
      <c r="P199" s="31" t="e">
        <f ca="1"/>
        <v>#REF!</v>
      </c>
      <c r="Q199" s="31" t="e">
        <f ca="1"/>
        <v>#REF!</v>
      </c>
      <c r="R199" s="31" t="e">
        <f ca="1"/>
        <v>#REF!</v>
      </c>
      <c r="S199" s="31" t="e">
        <f ca="1"/>
        <v>#REF!</v>
      </c>
      <c r="T199" s="31" t="e">
        <f ca="1"/>
        <v>#REF!</v>
      </c>
      <c r="U199" s="31" t="e">
        <f ca="1"/>
        <v>#REF!</v>
      </c>
      <c r="V199" s="31" t="e">
        <f ca="1"/>
        <v>#REF!</v>
      </c>
      <c r="W199" s="32" t="e">
        <f ca="1"/>
        <v>#REF!</v>
      </c>
      <c r="X199" s="32" t="e">
        <f ca="1"/>
        <v>#REF!</v>
      </c>
      <c r="Y199" s="32" t="e">
        <f ca="1"/>
        <v>#REF!</v>
      </c>
      <c r="Z199" s="33" t="e">
        <f ca="1"/>
        <v>#REF!</v>
      </c>
      <c r="AA199" s="34" t="e">
        <f ca="1"/>
        <v>#REF!</v>
      </c>
    </row>
    <row r="200" spans="1:27" s="28" customFormat="1" ht="59.25" customHeight="1" x14ac:dyDescent="0.25">
      <c r="A200" s="24">
        <v>194</v>
      </c>
      <c r="B200" s="24"/>
      <c r="C200" s="25"/>
      <c r="D200" s="26"/>
      <c r="E200" s="25"/>
      <c r="F200" s="25"/>
      <c r="G200" s="24"/>
      <c r="H200" s="25" t="e">
        <f ca="1"/>
        <v>#REF!</v>
      </c>
      <c r="I200" s="27" t="e">
        <f ca="1"/>
        <v>#REF!</v>
      </c>
      <c r="J200" s="25" t="e">
        <f ca="1"/>
        <v>#REF!</v>
      </c>
      <c r="K200" s="29" t="e">
        <f ca="1"/>
        <v>#REF!</v>
      </c>
      <c r="L200" s="29" t="e">
        <f ca="1"/>
        <v>#REF!</v>
      </c>
      <c r="M200" s="25" t="e">
        <f ca="1"/>
        <v>#REF!</v>
      </c>
      <c r="N200" s="30" t="e">
        <f ca="1"/>
        <v>#REF!</v>
      </c>
      <c r="O200" s="31" t="e">
        <f ca="1"/>
        <v>#REF!</v>
      </c>
      <c r="P200" s="31" t="e">
        <f ca="1"/>
        <v>#REF!</v>
      </c>
      <c r="Q200" s="31" t="e">
        <f ca="1"/>
        <v>#REF!</v>
      </c>
      <c r="R200" s="31" t="e">
        <f ca="1"/>
        <v>#REF!</v>
      </c>
      <c r="S200" s="31" t="e">
        <f ca="1"/>
        <v>#REF!</v>
      </c>
      <c r="T200" s="31" t="e">
        <f ca="1"/>
        <v>#REF!</v>
      </c>
      <c r="U200" s="31" t="e">
        <f ca="1"/>
        <v>#REF!</v>
      </c>
      <c r="V200" s="31" t="e">
        <f ca="1"/>
        <v>#REF!</v>
      </c>
      <c r="W200" s="32" t="e">
        <f ca="1"/>
        <v>#REF!</v>
      </c>
      <c r="X200" s="32" t="e">
        <f ca="1"/>
        <v>#REF!</v>
      </c>
      <c r="Y200" s="32" t="e">
        <f ca="1"/>
        <v>#REF!</v>
      </c>
      <c r="Z200" s="33" t="e">
        <f ca="1"/>
        <v>#REF!</v>
      </c>
      <c r="AA200" s="34" t="e">
        <f ca="1"/>
        <v>#REF!</v>
      </c>
    </row>
    <row r="201" spans="1:27" s="28" customFormat="1" ht="23.25" customHeight="1" x14ac:dyDescent="0.25">
      <c r="A201" s="24">
        <v>195</v>
      </c>
      <c r="B201" s="24"/>
      <c r="C201" s="25"/>
      <c r="D201" s="26"/>
      <c r="E201" s="25"/>
      <c r="F201" s="25"/>
      <c r="G201" s="24"/>
      <c r="H201" s="25" t="e">
        <f ca="1"/>
        <v>#REF!</v>
      </c>
      <c r="I201" s="27" t="e">
        <f ca="1"/>
        <v>#REF!</v>
      </c>
      <c r="J201" s="25" t="e">
        <f ca="1"/>
        <v>#REF!</v>
      </c>
      <c r="K201" s="29" t="e">
        <f ca="1"/>
        <v>#REF!</v>
      </c>
      <c r="L201" s="29" t="e">
        <f ca="1"/>
        <v>#REF!</v>
      </c>
      <c r="M201" s="25" t="e">
        <f ca="1"/>
        <v>#REF!</v>
      </c>
      <c r="N201" s="30" t="e">
        <f ca="1"/>
        <v>#REF!</v>
      </c>
      <c r="O201" s="31" t="e">
        <f ca="1"/>
        <v>#REF!</v>
      </c>
      <c r="P201" s="31" t="e">
        <f ca="1"/>
        <v>#REF!</v>
      </c>
      <c r="Q201" s="31" t="e">
        <f ca="1"/>
        <v>#REF!</v>
      </c>
      <c r="R201" s="31" t="e">
        <f ca="1"/>
        <v>#REF!</v>
      </c>
      <c r="S201" s="31" t="e">
        <f ca="1"/>
        <v>#REF!</v>
      </c>
      <c r="T201" s="31" t="e">
        <f ca="1"/>
        <v>#REF!</v>
      </c>
      <c r="U201" s="31" t="e">
        <f ca="1"/>
        <v>#REF!</v>
      </c>
      <c r="V201" s="31" t="e">
        <f ca="1"/>
        <v>#REF!</v>
      </c>
      <c r="W201" s="32" t="e">
        <f ca="1"/>
        <v>#REF!</v>
      </c>
      <c r="X201" s="32" t="e">
        <f ca="1"/>
        <v>#REF!</v>
      </c>
      <c r="Y201" s="32" t="e">
        <f ca="1"/>
        <v>#REF!</v>
      </c>
      <c r="Z201" s="33" t="e">
        <f ca="1"/>
        <v>#REF!</v>
      </c>
      <c r="AA201" s="34" t="e">
        <f ca="1"/>
        <v>#REF!</v>
      </c>
    </row>
    <row r="202" spans="1:27" s="28" customFormat="1" ht="45.75" customHeight="1" x14ac:dyDescent="0.25">
      <c r="A202" s="24">
        <v>196</v>
      </c>
      <c r="B202" s="24"/>
      <c r="C202" s="25"/>
      <c r="D202" s="26"/>
      <c r="E202" s="25"/>
      <c r="F202" s="25"/>
      <c r="G202" s="24"/>
      <c r="H202" s="25" t="e">
        <f ca="1"/>
        <v>#REF!</v>
      </c>
      <c r="I202" s="27" t="e">
        <f ca="1"/>
        <v>#REF!</v>
      </c>
      <c r="J202" s="25" t="e">
        <f ca="1"/>
        <v>#REF!</v>
      </c>
      <c r="K202" s="29" t="e">
        <f ca="1"/>
        <v>#REF!</v>
      </c>
      <c r="L202" s="29" t="e">
        <f ca="1"/>
        <v>#REF!</v>
      </c>
      <c r="M202" s="25" t="e">
        <f ca="1"/>
        <v>#REF!</v>
      </c>
      <c r="N202" s="30" t="e">
        <f ca="1"/>
        <v>#REF!</v>
      </c>
      <c r="O202" s="31" t="e">
        <f ca="1"/>
        <v>#REF!</v>
      </c>
      <c r="P202" s="31" t="e">
        <f ca="1"/>
        <v>#REF!</v>
      </c>
      <c r="Q202" s="31" t="e">
        <f ca="1"/>
        <v>#REF!</v>
      </c>
      <c r="R202" s="31" t="e">
        <f ca="1"/>
        <v>#REF!</v>
      </c>
      <c r="S202" s="31" t="e">
        <f ca="1"/>
        <v>#REF!</v>
      </c>
      <c r="T202" s="31" t="e">
        <f ca="1"/>
        <v>#REF!</v>
      </c>
      <c r="U202" s="31" t="e">
        <f ca="1"/>
        <v>#REF!</v>
      </c>
      <c r="V202" s="31" t="e">
        <f ca="1"/>
        <v>#REF!</v>
      </c>
      <c r="W202" s="32" t="e">
        <f ca="1"/>
        <v>#REF!</v>
      </c>
      <c r="X202" s="32" t="e">
        <f ca="1"/>
        <v>#REF!</v>
      </c>
      <c r="Y202" s="32" t="e">
        <f ca="1"/>
        <v>#REF!</v>
      </c>
      <c r="Z202" s="33" t="e">
        <f ca="1"/>
        <v>#REF!</v>
      </c>
      <c r="AA202" s="34" t="e">
        <f ca="1"/>
        <v>#REF!</v>
      </c>
    </row>
    <row r="203" spans="1:27" s="28" customFormat="1" ht="45.75" customHeight="1" x14ac:dyDescent="0.25">
      <c r="A203" s="24">
        <v>197</v>
      </c>
      <c r="B203" s="24"/>
      <c r="C203" s="25"/>
      <c r="D203" s="26"/>
      <c r="E203" s="25"/>
      <c r="F203" s="25"/>
      <c r="G203" s="24"/>
      <c r="H203" s="25" t="e">
        <f ca="1"/>
        <v>#REF!</v>
      </c>
      <c r="I203" s="27" t="e">
        <f ca="1"/>
        <v>#REF!</v>
      </c>
      <c r="J203" s="25" t="e">
        <f ca="1"/>
        <v>#REF!</v>
      </c>
      <c r="K203" s="29" t="e">
        <f ca="1"/>
        <v>#REF!</v>
      </c>
      <c r="L203" s="29" t="e">
        <f ca="1"/>
        <v>#REF!</v>
      </c>
      <c r="M203" s="25" t="e">
        <f ca="1"/>
        <v>#REF!</v>
      </c>
      <c r="N203" s="30" t="e">
        <f ca="1"/>
        <v>#REF!</v>
      </c>
      <c r="O203" s="31" t="e">
        <f ca="1"/>
        <v>#REF!</v>
      </c>
      <c r="P203" s="31" t="e">
        <f ca="1"/>
        <v>#REF!</v>
      </c>
      <c r="Q203" s="31" t="e">
        <f ca="1"/>
        <v>#REF!</v>
      </c>
      <c r="R203" s="31" t="e">
        <f ca="1"/>
        <v>#REF!</v>
      </c>
      <c r="S203" s="31" t="e">
        <f ca="1"/>
        <v>#REF!</v>
      </c>
      <c r="T203" s="31" t="e">
        <f ca="1"/>
        <v>#REF!</v>
      </c>
      <c r="U203" s="31" t="e">
        <f ca="1"/>
        <v>#REF!</v>
      </c>
      <c r="V203" s="31" t="e">
        <f ca="1"/>
        <v>#REF!</v>
      </c>
      <c r="W203" s="32" t="e">
        <f ca="1"/>
        <v>#REF!</v>
      </c>
      <c r="X203" s="32" t="e">
        <f ca="1"/>
        <v>#REF!</v>
      </c>
      <c r="Y203" s="32" t="e">
        <f ca="1"/>
        <v>#REF!</v>
      </c>
      <c r="Z203" s="33" t="e">
        <f ca="1"/>
        <v>#REF!</v>
      </c>
      <c r="AA203" s="34" t="e">
        <f ca="1"/>
        <v>#REF!</v>
      </c>
    </row>
    <row r="204" spans="1:27" s="28" customFormat="1" ht="45.75" customHeight="1" x14ac:dyDescent="0.25">
      <c r="A204" s="24">
        <v>198</v>
      </c>
      <c r="B204" s="24"/>
      <c r="C204" s="25"/>
      <c r="D204" s="26"/>
      <c r="E204" s="25"/>
      <c r="F204" s="25"/>
      <c r="G204" s="24"/>
      <c r="H204" s="25" t="e">
        <f ca="1"/>
        <v>#REF!</v>
      </c>
      <c r="I204" s="27" t="e">
        <f ca="1"/>
        <v>#REF!</v>
      </c>
      <c r="J204" s="25" t="e">
        <f ca="1"/>
        <v>#REF!</v>
      </c>
      <c r="K204" s="29" t="e">
        <f ca="1"/>
        <v>#REF!</v>
      </c>
      <c r="L204" s="29" t="e">
        <f ca="1"/>
        <v>#REF!</v>
      </c>
      <c r="M204" s="25" t="e">
        <f ca="1"/>
        <v>#REF!</v>
      </c>
      <c r="N204" s="30" t="e">
        <f ca="1"/>
        <v>#REF!</v>
      </c>
      <c r="O204" s="31" t="e">
        <f ca="1"/>
        <v>#REF!</v>
      </c>
      <c r="P204" s="31" t="e">
        <f ca="1"/>
        <v>#REF!</v>
      </c>
      <c r="Q204" s="31" t="e">
        <f ca="1"/>
        <v>#REF!</v>
      </c>
      <c r="R204" s="31" t="e">
        <f ca="1"/>
        <v>#REF!</v>
      </c>
      <c r="S204" s="31" t="e">
        <f ca="1"/>
        <v>#REF!</v>
      </c>
      <c r="T204" s="31" t="e">
        <f ca="1"/>
        <v>#REF!</v>
      </c>
      <c r="U204" s="31" t="e">
        <f ca="1"/>
        <v>#REF!</v>
      </c>
      <c r="V204" s="31" t="e">
        <f ca="1"/>
        <v>#REF!</v>
      </c>
      <c r="W204" s="32" t="e">
        <f ca="1"/>
        <v>#REF!</v>
      </c>
      <c r="X204" s="32" t="e">
        <f ca="1"/>
        <v>#REF!</v>
      </c>
      <c r="Y204" s="32" t="e">
        <f ca="1"/>
        <v>#REF!</v>
      </c>
      <c r="Z204" s="33" t="e">
        <f ca="1"/>
        <v>#REF!</v>
      </c>
      <c r="AA204" s="34" t="e">
        <f ca="1"/>
        <v>#REF!</v>
      </c>
    </row>
    <row r="205" spans="1:27" s="28" customFormat="1" ht="30.75" customHeight="1" x14ac:dyDescent="0.25">
      <c r="A205" s="24">
        <v>199</v>
      </c>
      <c r="B205" s="24"/>
      <c r="C205" s="25"/>
      <c r="D205" s="26"/>
      <c r="E205" s="25"/>
      <c r="F205" s="25"/>
      <c r="G205" s="24"/>
      <c r="H205" s="25" t="e">
        <f ca="1"/>
        <v>#REF!</v>
      </c>
      <c r="I205" s="27" t="e">
        <f ca="1"/>
        <v>#REF!</v>
      </c>
      <c r="J205" s="25" t="e">
        <f ca="1"/>
        <v>#REF!</v>
      </c>
      <c r="K205" s="29" t="e">
        <f ca="1"/>
        <v>#REF!</v>
      </c>
      <c r="L205" s="29" t="e">
        <f ca="1"/>
        <v>#REF!</v>
      </c>
      <c r="M205" s="25" t="e">
        <f ca="1"/>
        <v>#REF!</v>
      </c>
      <c r="N205" s="30" t="e">
        <f ca="1"/>
        <v>#REF!</v>
      </c>
      <c r="O205" s="31" t="e">
        <f ca="1"/>
        <v>#REF!</v>
      </c>
      <c r="P205" s="31" t="e">
        <f ca="1"/>
        <v>#REF!</v>
      </c>
      <c r="Q205" s="31" t="e">
        <f ca="1"/>
        <v>#REF!</v>
      </c>
      <c r="R205" s="31" t="e">
        <f ca="1"/>
        <v>#REF!</v>
      </c>
      <c r="S205" s="31" t="e">
        <f ca="1"/>
        <v>#REF!</v>
      </c>
      <c r="T205" s="31" t="e">
        <f ca="1"/>
        <v>#REF!</v>
      </c>
      <c r="U205" s="31" t="e">
        <f ca="1"/>
        <v>#REF!</v>
      </c>
      <c r="V205" s="31" t="e">
        <f ca="1"/>
        <v>#REF!</v>
      </c>
      <c r="W205" s="32" t="e">
        <f ca="1"/>
        <v>#REF!</v>
      </c>
      <c r="X205" s="32" t="e">
        <f ca="1"/>
        <v>#REF!</v>
      </c>
      <c r="Y205" s="32" t="e">
        <f ca="1"/>
        <v>#REF!</v>
      </c>
      <c r="Z205" s="33" t="e">
        <f ca="1"/>
        <v>#REF!</v>
      </c>
      <c r="AA205" s="34" t="e">
        <f ca="1"/>
        <v>#REF!</v>
      </c>
    </row>
    <row r="206" spans="1:27" s="28" customFormat="1" ht="54" customHeight="1" x14ac:dyDescent="0.25">
      <c r="A206" s="24">
        <v>200</v>
      </c>
      <c r="B206" s="24"/>
      <c r="C206" s="25"/>
      <c r="D206" s="26"/>
      <c r="E206" s="25"/>
      <c r="F206" s="25"/>
      <c r="G206" s="24"/>
      <c r="H206" s="25" t="e">
        <f ca="1"/>
        <v>#REF!</v>
      </c>
      <c r="I206" s="27" t="e">
        <f ca="1"/>
        <v>#REF!</v>
      </c>
      <c r="J206" s="25" t="e">
        <f ca="1"/>
        <v>#REF!</v>
      </c>
      <c r="K206" s="29" t="e">
        <f ca="1"/>
        <v>#REF!</v>
      </c>
      <c r="L206" s="29" t="e">
        <f ca="1"/>
        <v>#REF!</v>
      </c>
      <c r="M206" s="25" t="e">
        <f ca="1"/>
        <v>#REF!</v>
      </c>
      <c r="N206" s="30" t="e">
        <f ca="1"/>
        <v>#REF!</v>
      </c>
      <c r="O206" s="31" t="e">
        <f ca="1"/>
        <v>#REF!</v>
      </c>
      <c r="P206" s="31" t="e">
        <f ca="1"/>
        <v>#REF!</v>
      </c>
      <c r="Q206" s="31" t="e">
        <f ca="1"/>
        <v>#REF!</v>
      </c>
      <c r="R206" s="31" t="e">
        <f ca="1"/>
        <v>#REF!</v>
      </c>
      <c r="S206" s="31" t="e">
        <f ca="1"/>
        <v>#REF!</v>
      </c>
      <c r="T206" s="31" t="e">
        <f ca="1"/>
        <v>#REF!</v>
      </c>
      <c r="U206" s="31" t="e">
        <f ca="1"/>
        <v>#REF!</v>
      </c>
      <c r="V206" s="31" t="e">
        <f ca="1"/>
        <v>#REF!</v>
      </c>
      <c r="W206" s="32" t="e">
        <f ca="1"/>
        <v>#REF!</v>
      </c>
      <c r="X206" s="32" t="e">
        <f ca="1"/>
        <v>#REF!</v>
      </c>
      <c r="Y206" s="32" t="e">
        <f ca="1"/>
        <v>#REF!</v>
      </c>
      <c r="Z206" s="33" t="e">
        <f ca="1"/>
        <v>#REF!</v>
      </c>
      <c r="AA206" s="34" t="e">
        <f ca="1"/>
        <v>#REF!</v>
      </c>
    </row>
    <row r="207" spans="1:27" s="28" customFormat="1" ht="78.75" customHeight="1" x14ac:dyDescent="0.25">
      <c r="A207" s="24">
        <v>201</v>
      </c>
      <c r="B207" s="24"/>
      <c r="C207" s="25"/>
      <c r="D207" s="26"/>
      <c r="E207" s="25"/>
      <c r="F207" s="25"/>
      <c r="G207" s="24"/>
      <c r="H207" s="25" t="e">
        <f ca="1"/>
        <v>#REF!</v>
      </c>
      <c r="I207" s="27" t="e">
        <f ca="1"/>
        <v>#REF!</v>
      </c>
      <c r="J207" s="25" t="e">
        <f ca="1"/>
        <v>#REF!</v>
      </c>
      <c r="K207" s="29" t="e">
        <f ca="1"/>
        <v>#REF!</v>
      </c>
      <c r="L207" s="29" t="e">
        <f ca="1"/>
        <v>#REF!</v>
      </c>
      <c r="M207" s="25" t="e">
        <f ca="1"/>
        <v>#REF!</v>
      </c>
      <c r="N207" s="30" t="e">
        <f ca="1"/>
        <v>#REF!</v>
      </c>
      <c r="O207" s="31" t="e">
        <f ca="1"/>
        <v>#REF!</v>
      </c>
      <c r="P207" s="31" t="e">
        <f ca="1"/>
        <v>#REF!</v>
      </c>
      <c r="Q207" s="31" t="e">
        <f ca="1"/>
        <v>#REF!</v>
      </c>
      <c r="R207" s="31" t="e">
        <f ca="1"/>
        <v>#REF!</v>
      </c>
      <c r="S207" s="31" t="e">
        <f ca="1"/>
        <v>#REF!</v>
      </c>
      <c r="T207" s="31" t="e">
        <f ca="1"/>
        <v>#REF!</v>
      </c>
      <c r="U207" s="31" t="e">
        <f ca="1"/>
        <v>#REF!</v>
      </c>
      <c r="V207" s="31" t="e">
        <f ca="1"/>
        <v>#REF!</v>
      </c>
      <c r="W207" s="32" t="e">
        <f ca="1"/>
        <v>#REF!</v>
      </c>
      <c r="X207" s="32" t="e">
        <f ca="1"/>
        <v>#REF!</v>
      </c>
      <c r="Y207" s="32" t="e">
        <f ca="1"/>
        <v>#REF!</v>
      </c>
      <c r="Z207" s="33" t="e">
        <f ca="1"/>
        <v>#REF!</v>
      </c>
      <c r="AA207" s="34" t="e">
        <f ca="1"/>
        <v>#REF!</v>
      </c>
    </row>
    <row r="208" spans="1:27" s="28" customFormat="1" ht="11.25" x14ac:dyDescent="0.25">
      <c r="A208" s="24">
        <v>202</v>
      </c>
      <c r="B208" s="24"/>
      <c r="C208" s="25"/>
      <c r="D208" s="26"/>
      <c r="E208" s="25"/>
      <c r="F208" s="25"/>
      <c r="G208" s="24"/>
      <c r="H208" s="25" t="e">
        <f ca="1"/>
        <v>#REF!</v>
      </c>
      <c r="I208" s="27" t="e">
        <f ca="1"/>
        <v>#REF!</v>
      </c>
      <c r="J208" s="25" t="e">
        <f ca="1"/>
        <v>#REF!</v>
      </c>
      <c r="K208" s="29" t="e">
        <f ca="1"/>
        <v>#REF!</v>
      </c>
      <c r="L208" s="29" t="e">
        <f ca="1"/>
        <v>#REF!</v>
      </c>
      <c r="M208" s="25" t="e">
        <f ca="1"/>
        <v>#REF!</v>
      </c>
      <c r="N208" s="30" t="e">
        <f ca="1"/>
        <v>#REF!</v>
      </c>
      <c r="O208" s="31" t="e">
        <f ca="1"/>
        <v>#REF!</v>
      </c>
      <c r="P208" s="31" t="e">
        <f ca="1"/>
        <v>#REF!</v>
      </c>
      <c r="Q208" s="31" t="e">
        <f ca="1"/>
        <v>#REF!</v>
      </c>
      <c r="R208" s="31" t="e">
        <f ca="1"/>
        <v>#REF!</v>
      </c>
      <c r="S208" s="31" t="e">
        <f ca="1"/>
        <v>#REF!</v>
      </c>
      <c r="T208" s="31" t="e">
        <f ca="1"/>
        <v>#REF!</v>
      </c>
      <c r="U208" s="31" t="e">
        <f ca="1"/>
        <v>#REF!</v>
      </c>
      <c r="V208" s="31" t="e">
        <f ca="1"/>
        <v>#REF!</v>
      </c>
      <c r="W208" s="32" t="e">
        <f ca="1"/>
        <v>#REF!</v>
      </c>
      <c r="X208" s="32" t="e">
        <f ca="1"/>
        <v>#REF!</v>
      </c>
      <c r="Y208" s="32" t="e">
        <f ca="1"/>
        <v>#REF!</v>
      </c>
      <c r="Z208" s="33" t="e">
        <f ca="1"/>
        <v>#REF!</v>
      </c>
      <c r="AA208" s="34" t="e">
        <f ca="1"/>
        <v>#REF!</v>
      </c>
    </row>
    <row r="209" spans="1:27" s="28" customFormat="1" ht="70.5" customHeight="1" x14ac:dyDescent="0.25">
      <c r="A209" s="24">
        <v>203</v>
      </c>
      <c r="B209" s="24"/>
      <c r="C209" s="25"/>
      <c r="D209" s="26"/>
      <c r="E209" s="25"/>
      <c r="F209" s="25"/>
      <c r="G209" s="24"/>
      <c r="H209" s="25" t="e">
        <f ca="1"/>
        <v>#REF!</v>
      </c>
      <c r="I209" s="27" t="e">
        <f ca="1"/>
        <v>#REF!</v>
      </c>
      <c r="J209" s="25" t="e">
        <f ca="1"/>
        <v>#REF!</v>
      </c>
      <c r="K209" s="29" t="e">
        <f ca="1"/>
        <v>#REF!</v>
      </c>
      <c r="L209" s="38" t="e">
        <f ca="1"/>
        <v>#REF!</v>
      </c>
      <c r="M209" s="61" t="e">
        <f ca="1"/>
        <v>#REF!</v>
      </c>
      <c r="N209" s="30" t="e">
        <f ca="1"/>
        <v>#REF!</v>
      </c>
      <c r="O209" s="31" t="e">
        <f ca="1"/>
        <v>#REF!</v>
      </c>
      <c r="P209" s="35" t="e">
        <f ca="1"/>
        <v>#REF!</v>
      </c>
      <c r="Q209" s="31" t="e">
        <f ca="1"/>
        <v>#REF!</v>
      </c>
      <c r="R209" s="31" t="e">
        <f ca="1"/>
        <v>#REF!</v>
      </c>
      <c r="S209" s="31" t="e">
        <f ca="1"/>
        <v>#REF!</v>
      </c>
      <c r="T209" s="31" t="e">
        <f ca="1"/>
        <v>#REF!</v>
      </c>
      <c r="U209" s="31" t="e">
        <f ca="1"/>
        <v>#REF!</v>
      </c>
      <c r="V209" s="31" t="e">
        <f ca="1"/>
        <v>#REF!</v>
      </c>
      <c r="W209" s="59" t="e">
        <f ca="1"/>
        <v>#REF!</v>
      </c>
      <c r="X209" s="32" t="e">
        <f ca="1"/>
        <v>#REF!</v>
      </c>
      <c r="Y209" s="32" t="e">
        <f ca="1"/>
        <v>#REF!</v>
      </c>
      <c r="Z209" s="56" t="e">
        <f ca="1"/>
        <v>#REF!</v>
      </c>
      <c r="AA209" s="34" t="e">
        <f ca="1"/>
        <v>#REF!</v>
      </c>
    </row>
    <row r="210" spans="1:27" s="53" customFormat="1" ht="11.25" x14ac:dyDescent="0.25">
      <c r="A210" s="24">
        <v>204</v>
      </c>
      <c r="B210" s="24"/>
      <c r="C210" s="25"/>
      <c r="D210" s="26"/>
      <c r="E210" s="25"/>
      <c r="F210" s="25"/>
      <c r="G210" s="24"/>
      <c r="H210" s="25" t="e">
        <f ca="1"/>
        <v>#REF!</v>
      </c>
      <c r="I210" s="24" t="e">
        <f ca="1"/>
        <v>#REF!</v>
      </c>
      <c r="J210" s="25" t="e">
        <f ca="1"/>
        <v>#REF!</v>
      </c>
      <c r="K210" s="29" t="e">
        <f ca="1"/>
        <v>#REF!</v>
      </c>
      <c r="L210" s="29" t="e">
        <f ca="1"/>
        <v>#REF!</v>
      </c>
      <c r="M210" s="25" t="e">
        <f ca="1"/>
        <v>#REF!</v>
      </c>
      <c r="N210" s="30" t="e">
        <f ca="1"/>
        <v>#REF!</v>
      </c>
      <c r="O210" s="31" t="e">
        <f ca="1"/>
        <v>#REF!</v>
      </c>
      <c r="P210" s="31" t="e">
        <f ca="1"/>
        <v>#REF!</v>
      </c>
      <c r="Q210" s="31" t="e">
        <f ca="1"/>
        <v>#REF!</v>
      </c>
      <c r="R210" s="31" t="e">
        <f ca="1"/>
        <v>#REF!</v>
      </c>
      <c r="S210" s="31" t="e">
        <f ca="1"/>
        <v>#REF!</v>
      </c>
      <c r="T210" s="31" t="e">
        <f ca="1"/>
        <v>#REF!</v>
      </c>
      <c r="U210" s="31" t="e">
        <f ca="1"/>
        <v>#REF!</v>
      </c>
      <c r="V210" s="31" t="e">
        <f ca="1"/>
        <v>#REF!</v>
      </c>
      <c r="W210" s="32" t="e">
        <f ca="1"/>
        <v>#REF!</v>
      </c>
      <c r="X210" s="32" t="e">
        <f ca="1"/>
        <v>#REF!</v>
      </c>
      <c r="Y210" s="32" t="e">
        <f ca="1"/>
        <v>#REF!</v>
      </c>
      <c r="Z210" s="33" t="e">
        <f ca="1"/>
        <v>#REF!</v>
      </c>
      <c r="AA210" s="34" t="e">
        <f ca="1"/>
        <v>#REF!</v>
      </c>
    </row>
    <row r="211" spans="1:27" s="53" customFormat="1" ht="11.25" x14ac:dyDescent="0.25">
      <c r="A211" s="24">
        <v>205</v>
      </c>
      <c r="B211" s="24"/>
      <c r="C211" s="25"/>
      <c r="D211" s="26"/>
      <c r="E211" s="25"/>
      <c r="F211" s="25"/>
      <c r="G211" s="24"/>
      <c r="H211" s="25" t="e">
        <f ca="1"/>
        <v>#REF!</v>
      </c>
      <c r="I211" s="24" t="e">
        <f ca="1"/>
        <v>#REF!</v>
      </c>
      <c r="J211" s="25" t="e">
        <f ca="1"/>
        <v>#REF!</v>
      </c>
      <c r="K211" s="29" t="e">
        <f ca="1"/>
        <v>#REF!</v>
      </c>
      <c r="L211" s="29" t="e">
        <f ca="1"/>
        <v>#REF!</v>
      </c>
      <c r="M211" s="25" t="e">
        <f ca="1"/>
        <v>#REF!</v>
      </c>
      <c r="N211" s="30" t="e">
        <f ca="1"/>
        <v>#REF!</v>
      </c>
      <c r="O211" s="31" t="e">
        <f ca="1"/>
        <v>#REF!</v>
      </c>
      <c r="P211" s="31" t="e">
        <f ca="1"/>
        <v>#REF!</v>
      </c>
      <c r="Q211" s="31" t="e">
        <f ca="1"/>
        <v>#REF!</v>
      </c>
      <c r="R211" s="31" t="e">
        <f ca="1"/>
        <v>#REF!</v>
      </c>
      <c r="S211" s="31" t="e">
        <f ca="1"/>
        <v>#REF!</v>
      </c>
      <c r="T211" s="31" t="e">
        <f ca="1"/>
        <v>#REF!</v>
      </c>
      <c r="U211" s="31" t="e">
        <f ca="1"/>
        <v>#REF!</v>
      </c>
      <c r="V211" s="31" t="e">
        <f ca="1"/>
        <v>#REF!</v>
      </c>
      <c r="W211" s="32" t="e">
        <f ca="1"/>
        <v>#REF!</v>
      </c>
      <c r="X211" s="32" t="e">
        <f ca="1"/>
        <v>#REF!</v>
      </c>
      <c r="Y211" s="32" t="e">
        <f ca="1"/>
        <v>#REF!</v>
      </c>
      <c r="Z211" s="33" t="e">
        <f ca="1"/>
        <v>#REF!</v>
      </c>
      <c r="AA211" s="34" t="e">
        <f ca="1"/>
        <v>#REF!</v>
      </c>
    </row>
    <row r="212" spans="1:27" s="25" customFormat="1" ht="42" customHeight="1" x14ac:dyDescent="0.25">
      <c r="A212" s="24">
        <v>206</v>
      </c>
      <c r="B212" s="24"/>
      <c r="D212" s="26"/>
      <c r="G212" s="24"/>
      <c r="H212" s="25" t="e">
        <f ca="1"/>
        <v>#REF!</v>
      </c>
      <c r="I212" s="24" t="e">
        <f ca="1"/>
        <v>#REF!</v>
      </c>
      <c r="J212" s="25" t="e">
        <f ca="1"/>
        <v>#REF!</v>
      </c>
      <c r="K212" s="29" t="e">
        <f ca="1"/>
        <v>#REF!</v>
      </c>
      <c r="L212" s="29" t="e">
        <f ca="1"/>
        <v>#REF!</v>
      </c>
      <c r="M212" s="25" t="e">
        <f ca="1"/>
        <v>#REF!</v>
      </c>
      <c r="N212" s="30" t="e">
        <f ca="1"/>
        <v>#REF!</v>
      </c>
      <c r="O212" s="31" t="e">
        <f ca="1"/>
        <v>#REF!</v>
      </c>
      <c r="P212" s="31" t="e">
        <f ca="1"/>
        <v>#REF!</v>
      </c>
      <c r="Q212" s="31" t="e">
        <f ca="1"/>
        <v>#REF!</v>
      </c>
      <c r="R212" s="31" t="e">
        <f ca="1"/>
        <v>#REF!</v>
      </c>
      <c r="S212" s="31" t="e">
        <f ca="1"/>
        <v>#REF!</v>
      </c>
      <c r="T212" s="31" t="e">
        <f ca="1"/>
        <v>#REF!</v>
      </c>
      <c r="U212" s="31" t="e">
        <f ca="1"/>
        <v>#REF!</v>
      </c>
      <c r="V212" s="31" t="e">
        <f ca="1"/>
        <v>#REF!</v>
      </c>
      <c r="W212" s="32" t="e">
        <f ca="1"/>
        <v>#REF!</v>
      </c>
      <c r="X212" s="32" t="e">
        <f ca="1"/>
        <v>#REF!</v>
      </c>
      <c r="Y212" s="32" t="e">
        <f ca="1"/>
        <v>#REF!</v>
      </c>
      <c r="Z212" s="33" t="e">
        <f ca="1"/>
        <v>#REF!</v>
      </c>
      <c r="AA212" s="34" t="e">
        <f ca="1"/>
        <v>#REF!</v>
      </c>
    </row>
    <row r="213" spans="1:27" s="25" customFormat="1" ht="32.25" customHeight="1" x14ac:dyDescent="0.25">
      <c r="A213" s="24">
        <v>207</v>
      </c>
      <c r="B213" s="24"/>
      <c r="D213" s="26"/>
      <c r="G213" s="24"/>
      <c r="H213" s="25" t="e">
        <f ca="1"/>
        <v>#REF!</v>
      </c>
      <c r="I213" s="24" t="e">
        <f ca="1"/>
        <v>#REF!</v>
      </c>
      <c r="J213" s="25" t="e">
        <f ca="1"/>
        <v>#REF!</v>
      </c>
      <c r="K213" s="29" t="e">
        <f ca="1"/>
        <v>#REF!</v>
      </c>
      <c r="L213" s="29" t="e">
        <f ca="1"/>
        <v>#REF!</v>
      </c>
      <c r="M213" s="25" t="e">
        <f ca="1"/>
        <v>#REF!</v>
      </c>
      <c r="N213" s="30" t="e">
        <f ca="1"/>
        <v>#REF!</v>
      </c>
      <c r="O213" s="31" t="e">
        <f ca="1"/>
        <v>#REF!</v>
      </c>
      <c r="P213" s="31" t="e">
        <f ca="1"/>
        <v>#REF!</v>
      </c>
      <c r="Q213" s="31" t="e">
        <f ca="1"/>
        <v>#REF!</v>
      </c>
      <c r="R213" s="31" t="e">
        <f ca="1"/>
        <v>#REF!</v>
      </c>
      <c r="S213" s="31" t="e">
        <f ca="1"/>
        <v>#REF!</v>
      </c>
      <c r="T213" s="31" t="e">
        <f ca="1"/>
        <v>#REF!</v>
      </c>
      <c r="U213" s="31" t="e">
        <f ca="1"/>
        <v>#REF!</v>
      </c>
      <c r="V213" s="31" t="e">
        <f ca="1"/>
        <v>#REF!</v>
      </c>
      <c r="W213" s="32" t="e">
        <f ca="1"/>
        <v>#REF!</v>
      </c>
      <c r="X213" s="32" t="e">
        <f ca="1"/>
        <v>#REF!</v>
      </c>
      <c r="Y213" s="32" t="e">
        <f ca="1"/>
        <v>#REF!</v>
      </c>
      <c r="Z213" s="33" t="e">
        <f ca="1"/>
        <v>#REF!</v>
      </c>
      <c r="AA213" s="34" t="e">
        <f ca="1"/>
        <v>#REF!</v>
      </c>
    </row>
    <row r="214" spans="1:27" s="25" customFormat="1" ht="54" customHeight="1" x14ac:dyDescent="0.25">
      <c r="A214" s="24">
        <v>208</v>
      </c>
      <c r="B214" s="24"/>
      <c r="D214" s="26"/>
      <c r="G214" s="24"/>
      <c r="H214" s="25" t="e">
        <f ca="1"/>
        <v>#REF!</v>
      </c>
      <c r="I214" s="24" t="e">
        <f ca="1"/>
        <v>#REF!</v>
      </c>
      <c r="J214" s="25" t="e">
        <f ca="1"/>
        <v>#REF!</v>
      </c>
      <c r="K214" s="29" t="e">
        <f ca="1"/>
        <v>#REF!</v>
      </c>
      <c r="L214" s="29" t="e">
        <f ca="1"/>
        <v>#REF!</v>
      </c>
      <c r="M214" s="25" t="e">
        <f ca="1"/>
        <v>#REF!</v>
      </c>
      <c r="N214" s="30" t="e">
        <f ca="1"/>
        <v>#REF!</v>
      </c>
      <c r="O214" s="31" t="e">
        <f ca="1"/>
        <v>#REF!</v>
      </c>
      <c r="P214" s="31" t="e">
        <f ca="1"/>
        <v>#REF!</v>
      </c>
      <c r="Q214" s="31" t="e">
        <f ca="1"/>
        <v>#REF!</v>
      </c>
      <c r="R214" s="31" t="e">
        <f ca="1"/>
        <v>#REF!</v>
      </c>
      <c r="S214" s="31" t="e">
        <f ca="1"/>
        <v>#REF!</v>
      </c>
      <c r="T214" s="31" t="e">
        <f ca="1"/>
        <v>#REF!</v>
      </c>
      <c r="U214" s="31" t="e">
        <f ca="1"/>
        <v>#REF!</v>
      </c>
      <c r="V214" s="31" t="e">
        <f ca="1"/>
        <v>#REF!</v>
      </c>
      <c r="W214" s="32" t="e">
        <f ca="1"/>
        <v>#REF!</v>
      </c>
      <c r="X214" s="32" t="e">
        <f ca="1"/>
        <v>#REF!</v>
      </c>
      <c r="Y214" s="32" t="e">
        <f ca="1"/>
        <v>#REF!</v>
      </c>
      <c r="Z214" s="33" t="e">
        <f ca="1"/>
        <v>#REF!</v>
      </c>
      <c r="AA214" s="34" t="e">
        <f ca="1"/>
        <v>#REF!</v>
      </c>
    </row>
    <row r="215" spans="1:27" s="25" customFormat="1" ht="11.25" x14ac:dyDescent="0.25">
      <c r="A215" s="24">
        <v>209</v>
      </c>
      <c r="B215" s="24"/>
      <c r="D215" s="26"/>
      <c r="G215" s="24"/>
      <c r="H215" s="25" t="e">
        <f ca="1"/>
        <v>#REF!</v>
      </c>
      <c r="I215" s="24" t="e">
        <f ca="1"/>
        <v>#REF!</v>
      </c>
      <c r="J215" s="25" t="e">
        <f ca="1"/>
        <v>#REF!</v>
      </c>
      <c r="K215" s="29" t="e">
        <f ca="1"/>
        <v>#REF!</v>
      </c>
      <c r="L215" s="29" t="e">
        <f ca="1"/>
        <v>#REF!</v>
      </c>
      <c r="M215" s="25" t="e">
        <f ca="1"/>
        <v>#REF!</v>
      </c>
      <c r="N215" s="30" t="e">
        <f ca="1"/>
        <v>#REF!</v>
      </c>
      <c r="O215" s="31" t="e">
        <f ca="1"/>
        <v>#REF!</v>
      </c>
      <c r="P215" s="31" t="e">
        <f ca="1"/>
        <v>#REF!</v>
      </c>
      <c r="Q215" s="31" t="e">
        <f ca="1"/>
        <v>#REF!</v>
      </c>
      <c r="R215" s="31" t="e">
        <f ca="1"/>
        <v>#REF!</v>
      </c>
      <c r="S215" s="31" t="e">
        <f ca="1"/>
        <v>#REF!</v>
      </c>
      <c r="T215" s="31" t="e">
        <f ca="1"/>
        <v>#REF!</v>
      </c>
      <c r="U215" s="31" t="e">
        <f ca="1"/>
        <v>#REF!</v>
      </c>
      <c r="V215" s="31" t="e">
        <f ca="1"/>
        <v>#REF!</v>
      </c>
      <c r="W215" s="32" t="e">
        <f ca="1"/>
        <v>#REF!</v>
      </c>
      <c r="X215" s="32" t="e">
        <f ca="1"/>
        <v>#REF!</v>
      </c>
      <c r="Y215" s="32" t="e">
        <f ca="1"/>
        <v>#REF!</v>
      </c>
      <c r="Z215" s="33" t="e">
        <f ca="1"/>
        <v>#REF!</v>
      </c>
      <c r="AA215" s="34" t="e">
        <f ca="1"/>
        <v>#REF!</v>
      </c>
    </row>
    <row r="216" spans="1:27" s="25" customFormat="1" ht="35.25" customHeight="1" x14ac:dyDescent="0.25">
      <c r="A216" s="24">
        <v>210</v>
      </c>
      <c r="B216" s="24"/>
      <c r="D216" s="26"/>
      <c r="G216" s="24"/>
      <c r="H216" s="25" t="e">
        <f ca="1"/>
        <v>#REF!</v>
      </c>
      <c r="I216" s="24" t="e">
        <f ca="1"/>
        <v>#REF!</v>
      </c>
      <c r="J216" s="25" t="e">
        <f ca="1"/>
        <v>#REF!</v>
      </c>
      <c r="K216" s="29" t="e">
        <f ca="1"/>
        <v>#REF!</v>
      </c>
      <c r="L216" s="29" t="e">
        <f ca="1"/>
        <v>#REF!</v>
      </c>
      <c r="M216" s="25" t="e">
        <f ca="1"/>
        <v>#REF!</v>
      </c>
      <c r="N216" s="30" t="e">
        <f ca="1"/>
        <v>#REF!</v>
      </c>
      <c r="O216" s="31" t="e">
        <f ca="1"/>
        <v>#REF!</v>
      </c>
      <c r="P216" s="31" t="e">
        <f ca="1"/>
        <v>#REF!</v>
      </c>
      <c r="Q216" s="31" t="e">
        <f ca="1"/>
        <v>#REF!</v>
      </c>
      <c r="R216" s="31" t="e">
        <f ca="1"/>
        <v>#REF!</v>
      </c>
      <c r="S216" s="31" t="e">
        <f ca="1"/>
        <v>#REF!</v>
      </c>
      <c r="T216" s="31" t="e">
        <f ca="1"/>
        <v>#REF!</v>
      </c>
      <c r="U216" s="31" t="e">
        <f ca="1"/>
        <v>#REF!</v>
      </c>
      <c r="V216" s="31" t="e">
        <f ca="1"/>
        <v>#REF!</v>
      </c>
      <c r="W216" s="32" t="e">
        <f ca="1"/>
        <v>#REF!</v>
      </c>
      <c r="X216" s="32" t="e">
        <f ca="1"/>
        <v>#REF!</v>
      </c>
      <c r="Y216" s="32" t="e">
        <f ca="1"/>
        <v>#REF!</v>
      </c>
      <c r="Z216" s="33" t="e">
        <f ca="1"/>
        <v>#REF!</v>
      </c>
      <c r="AA216" s="34" t="e">
        <f ca="1"/>
        <v>#REF!</v>
      </c>
    </row>
    <row r="217" spans="1:27" s="25" customFormat="1" ht="35.25" customHeight="1" x14ac:dyDescent="0.25">
      <c r="A217" s="24">
        <v>211</v>
      </c>
      <c r="B217" s="24"/>
      <c r="D217" s="26"/>
      <c r="G217" s="24"/>
      <c r="H217" s="25" t="e">
        <f ca="1"/>
        <v>#REF!</v>
      </c>
      <c r="I217" s="24" t="e">
        <f ca="1"/>
        <v>#REF!</v>
      </c>
      <c r="J217" s="25" t="e">
        <f ca="1"/>
        <v>#REF!</v>
      </c>
      <c r="K217" s="29" t="e">
        <f ca="1"/>
        <v>#REF!</v>
      </c>
      <c r="L217" s="29" t="e">
        <f ca="1"/>
        <v>#REF!</v>
      </c>
      <c r="M217" s="25" t="e">
        <f ca="1"/>
        <v>#REF!</v>
      </c>
      <c r="N217" s="30" t="e">
        <f ca="1"/>
        <v>#REF!</v>
      </c>
      <c r="O217" s="31" t="e">
        <f ca="1"/>
        <v>#REF!</v>
      </c>
      <c r="P217" s="31" t="e">
        <f ca="1"/>
        <v>#REF!</v>
      </c>
      <c r="Q217" s="31" t="e">
        <f ca="1"/>
        <v>#REF!</v>
      </c>
      <c r="R217" s="31" t="e">
        <f ca="1"/>
        <v>#REF!</v>
      </c>
      <c r="S217" s="31" t="e">
        <f ca="1"/>
        <v>#REF!</v>
      </c>
      <c r="T217" s="31" t="e">
        <f ca="1"/>
        <v>#REF!</v>
      </c>
      <c r="U217" s="31" t="e">
        <f ca="1"/>
        <v>#REF!</v>
      </c>
      <c r="V217" s="31" t="e">
        <f ca="1"/>
        <v>#REF!</v>
      </c>
      <c r="W217" s="32" t="e">
        <f ca="1"/>
        <v>#REF!</v>
      </c>
      <c r="X217" s="32" t="e">
        <f ca="1"/>
        <v>#REF!</v>
      </c>
      <c r="Y217" s="32" t="e">
        <f ca="1"/>
        <v>#REF!</v>
      </c>
      <c r="Z217" s="33" t="e">
        <f ca="1"/>
        <v>#REF!</v>
      </c>
      <c r="AA217" s="34" t="e">
        <f ca="1"/>
        <v>#REF!</v>
      </c>
    </row>
    <row r="218" spans="1:27" s="25" customFormat="1" ht="11.25" x14ac:dyDescent="0.25">
      <c r="A218" s="24">
        <v>212</v>
      </c>
      <c r="B218" s="24"/>
      <c r="D218" s="26"/>
      <c r="G218" s="24"/>
      <c r="H218" s="25" t="e">
        <f ca="1"/>
        <v>#REF!</v>
      </c>
      <c r="I218" s="24" t="e">
        <f ca="1"/>
        <v>#REF!</v>
      </c>
      <c r="J218" s="25" t="e">
        <f ca="1"/>
        <v>#REF!</v>
      </c>
      <c r="K218" s="29" t="e">
        <f ca="1"/>
        <v>#REF!</v>
      </c>
      <c r="L218" s="29" t="e">
        <f ca="1"/>
        <v>#REF!</v>
      </c>
      <c r="M218" s="25" t="e">
        <f ca="1"/>
        <v>#REF!</v>
      </c>
      <c r="N218" s="30" t="e">
        <f ca="1"/>
        <v>#REF!</v>
      </c>
      <c r="O218" s="31" t="e">
        <f ca="1"/>
        <v>#REF!</v>
      </c>
      <c r="P218" s="31" t="e">
        <f ca="1"/>
        <v>#REF!</v>
      </c>
      <c r="Q218" s="31" t="e">
        <f ca="1"/>
        <v>#REF!</v>
      </c>
      <c r="R218" s="31" t="e">
        <f ca="1"/>
        <v>#REF!</v>
      </c>
      <c r="S218" s="31" t="e">
        <f ca="1"/>
        <v>#REF!</v>
      </c>
      <c r="T218" s="31" t="e">
        <f ca="1"/>
        <v>#REF!</v>
      </c>
      <c r="U218" s="31" t="e">
        <f ca="1"/>
        <v>#REF!</v>
      </c>
      <c r="V218" s="31" t="e">
        <f ca="1"/>
        <v>#REF!</v>
      </c>
      <c r="W218" s="32" t="e">
        <f ca="1"/>
        <v>#REF!</v>
      </c>
      <c r="X218" s="32" t="e">
        <f ca="1"/>
        <v>#REF!</v>
      </c>
      <c r="Y218" s="32" t="e">
        <f ca="1"/>
        <v>#REF!</v>
      </c>
      <c r="Z218" s="33" t="e">
        <f ca="1"/>
        <v>#REF!</v>
      </c>
      <c r="AA218" s="34" t="e">
        <f ca="1"/>
        <v>#REF!</v>
      </c>
    </row>
    <row r="219" spans="1:27" s="25" customFormat="1" ht="11.25" x14ac:dyDescent="0.25">
      <c r="A219" s="24">
        <v>213</v>
      </c>
      <c r="B219" s="24"/>
      <c r="D219" s="26"/>
      <c r="G219" s="24"/>
      <c r="H219" s="25" t="e">
        <f ca="1"/>
        <v>#REF!</v>
      </c>
      <c r="I219" s="24" t="e">
        <f ca="1"/>
        <v>#REF!</v>
      </c>
      <c r="J219" s="25" t="e">
        <f ca="1"/>
        <v>#REF!</v>
      </c>
      <c r="K219" s="29" t="e">
        <f ca="1"/>
        <v>#REF!</v>
      </c>
      <c r="L219" s="29" t="e">
        <f ca="1"/>
        <v>#REF!</v>
      </c>
      <c r="M219" s="25" t="e">
        <f ca="1"/>
        <v>#REF!</v>
      </c>
      <c r="N219" s="30" t="e">
        <f ca="1"/>
        <v>#REF!</v>
      </c>
      <c r="O219" s="31" t="e">
        <f ca="1"/>
        <v>#REF!</v>
      </c>
      <c r="P219" s="31" t="e">
        <f ca="1"/>
        <v>#REF!</v>
      </c>
      <c r="Q219" s="31" t="e">
        <f ca="1"/>
        <v>#REF!</v>
      </c>
      <c r="R219" s="31" t="e">
        <f ca="1"/>
        <v>#REF!</v>
      </c>
      <c r="S219" s="31" t="e">
        <f ca="1"/>
        <v>#REF!</v>
      </c>
      <c r="T219" s="31" t="e">
        <f ca="1"/>
        <v>#REF!</v>
      </c>
      <c r="U219" s="31" t="e">
        <f ca="1"/>
        <v>#REF!</v>
      </c>
      <c r="V219" s="31" t="e">
        <f ca="1"/>
        <v>#REF!</v>
      </c>
      <c r="W219" s="32" t="e">
        <f ca="1"/>
        <v>#REF!</v>
      </c>
      <c r="X219" s="32" t="e">
        <f ca="1"/>
        <v>#REF!</v>
      </c>
      <c r="Y219" s="32" t="e">
        <f ca="1"/>
        <v>#REF!</v>
      </c>
      <c r="Z219" s="33" t="e">
        <f ca="1"/>
        <v>#REF!</v>
      </c>
      <c r="AA219" s="34" t="e">
        <f ca="1"/>
        <v>#REF!</v>
      </c>
    </row>
    <row r="220" spans="1:27" s="25" customFormat="1" ht="11.25" x14ac:dyDescent="0.25">
      <c r="A220" s="24">
        <v>214</v>
      </c>
      <c r="B220" s="24"/>
      <c r="D220" s="26"/>
      <c r="G220" s="24"/>
      <c r="H220" s="25" t="e">
        <f ca="1"/>
        <v>#REF!</v>
      </c>
      <c r="I220" s="24" t="e">
        <f ca="1"/>
        <v>#REF!</v>
      </c>
      <c r="J220" s="25" t="e">
        <f ca="1"/>
        <v>#REF!</v>
      </c>
      <c r="K220" s="29" t="e">
        <f ca="1"/>
        <v>#REF!</v>
      </c>
      <c r="L220" s="29" t="e">
        <f ca="1"/>
        <v>#REF!</v>
      </c>
      <c r="M220" s="25" t="e">
        <f ca="1"/>
        <v>#REF!</v>
      </c>
      <c r="N220" s="30" t="e">
        <f ca="1"/>
        <v>#REF!</v>
      </c>
      <c r="O220" s="31" t="e">
        <f ca="1"/>
        <v>#REF!</v>
      </c>
      <c r="P220" s="31" t="e">
        <f ca="1"/>
        <v>#REF!</v>
      </c>
      <c r="Q220" s="31" t="e">
        <f ca="1"/>
        <v>#REF!</v>
      </c>
      <c r="R220" s="31" t="e">
        <f ca="1"/>
        <v>#REF!</v>
      </c>
      <c r="S220" s="31" t="e">
        <f ca="1"/>
        <v>#REF!</v>
      </c>
      <c r="T220" s="31" t="e">
        <f ca="1"/>
        <v>#REF!</v>
      </c>
      <c r="U220" s="31" t="e">
        <f ca="1"/>
        <v>#REF!</v>
      </c>
      <c r="V220" s="31" t="e">
        <f ca="1"/>
        <v>#REF!</v>
      </c>
      <c r="W220" s="32" t="e">
        <f ca="1"/>
        <v>#REF!</v>
      </c>
      <c r="X220" s="32" t="e">
        <f ca="1"/>
        <v>#REF!</v>
      </c>
      <c r="Y220" s="32" t="e">
        <f ca="1"/>
        <v>#REF!</v>
      </c>
      <c r="Z220" s="33" t="e">
        <f ca="1"/>
        <v>#REF!</v>
      </c>
      <c r="AA220" s="34" t="e">
        <f ca="1"/>
        <v>#REF!</v>
      </c>
    </row>
    <row r="221" spans="1:27" s="25" customFormat="1" ht="11.25" x14ac:dyDescent="0.25">
      <c r="A221" s="24">
        <v>215</v>
      </c>
      <c r="B221" s="24"/>
      <c r="D221" s="26"/>
      <c r="G221" s="24"/>
      <c r="H221" s="25" t="e">
        <f ca="1"/>
        <v>#REF!</v>
      </c>
      <c r="I221" s="24" t="e">
        <f ca="1"/>
        <v>#REF!</v>
      </c>
      <c r="J221" s="25" t="e">
        <f ca="1"/>
        <v>#REF!</v>
      </c>
      <c r="K221" s="29" t="e">
        <f ca="1"/>
        <v>#REF!</v>
      </c>
      <c r="L221" s="29" t="e">
        <f ca="1"/>
        <v>#REF!</v>
      </c>
      <c r="M221" s="25" t="e">
        <f ca="1"/>
        <v>#REF!</v>
      </c>
      <c r="N221" s="30" t="e">
        <f ca="1"/>
        <v>#REF!</v>
      </c>
      <c r="O221" s="31" t="e">
        <f ca="1"/>
        <v>#REF!</v>
      </c>
      <c r="P221" s="31" t="e">
        <f ca="1"/>
        <v>#REF!</v>
      </c>
      <c r="Q221" s="31" t="e">
        <f ca="1"/>
        <v>#REF!</v>
      </c>
      <c r="R221" s="31" t="e">
        <f ca="1"/>
        <v>#REF!</v>
      </c>
      <c r="S221" s="31" t="e">
        <f ca="1"/>
        <v>#REF!</v>
      </c>
      <c r="T221" s="31" t="e">
        <f ca="1"/>
        <v>#REF!</v>
      </c>
      <c r="U221" s="31" t="e">
        <f ca="1"/>
        <v>#REF!</v>
      </c>
      <c r="V221" s="31" t="e">
        <f ca="1"/>
        <v>#REF!</v>
      </c>
      <c r="W221" s="32" t="e">
        <f ca="1"/>
        <v>#REF!</v>
      </c>
      <c r="X221" s="32" t="e">
        <f ca="1"/>
        <v>#REF!</v>
      </c>
      <c r="Y221" s="32" t="e">
        <f ca="1"/>
        <v>#REF!</v>
      </c>
      <c r="Z221" s="33" t="e">
        <f ca="1"/>
        <v>#REF!</v>
      </c>
      <c r="AA221" s="34" t="e">
        <f ca="1"/>
        <v>#REF!</v>
      </c>
    </row>
    <row r="222" spans="1:27" s="25" customFormat="1" ht="32.25" customHeight="1" x14ac:dyDescent="0.25">
      <c r="A222" s="24">
        <v>216</v>
      </c>
      <c r="B222" s="24"/>
      <c r="D222" s="26"/>
      <c r="G222" s="24"/>
      <c r="H222" s="25" t="e">
        <f ca="1"/>
        <v>#REF!</v>
      </c>
      <c r="I222" s="24" t="e">
        <f ca="1"/>
        <v>#REF!</v>
      </c>
      <c r="J222" s="25" t="e">
        <f ca="1"/>
        <v>#REF!</v>
      </c>
      <c r="K222" s="29" t="e">
        <f ca="1"/>
        <v>#REF!</v>
      </c>
      <c r="L222" s="29" t="e">
        <f ca="1"/>
        <v>#REF!</v>
      </c>
      <c r="M222" s="25" t="e">
        <f ca="1"/>
        <v>#REF!</v>
      </c>
      <c r="N222" s="30" t="e">
        <f ca="1"/>
        <v>#REF!</v>
      </c>
      <c r="O222" s="31" t="e">
        <f ca="1"/>
        <v>#REF!</v>
      </c>
      <c r="P222" s="31" t="e">
        <f ca="1"/>
        <v>#REF!</v>
      </c>
      <c r="Q222" s="31" t="e">
        <f ca="1"/>
        <v>#REF!</v>
      </c>
      <c r="R222" s="31" t="e">
        <f ca="1"/>
        <v>#REF!</v>
      </c>
      <c r="S222" s="31" t="e">
        <f ca="1"/>
        <v>#REF!</v>
      </c>
      <c r="T222" s="31" t="e">
        <f ca="1"/>
        <v>#REF!</v>
      </c>
      <c r="U222" s="31" t="e">
        <f ca="1"/>
        <v>#REF!</v>
      </c>
      <c r="V222" s="31" t="e">
        <f ca="1"/>
        <v>#REF!</v>
      </c>
      <c r="W222" s="32" t="e">
        <f ca="1"/>
        <v>#REF!</v>
      </c>
      <c r="X222" s="32" t="e">
        <f ca="1"/>
        <v>#REF!</v>
      </c>
      <c r="Y222" s="32" t="e">
        <f ca="1"/>
        <v>#REF!</v>
      </c>
      <c r="Z222" s="33" t="e">
        <f ca="1"/>
        <v>#REF!</v>
      </c>
      <c r="AA222" s="34" t="e">
        <f ca="1"/>
        <v>#REF!</v>
      </c>
    </row>
    <row r="223" spans="1:27" s="25" customFormat="1" ht="46.5" customHeight="1" x14ac:dyDescent="0.25">
      <c r="A223" s="24">
        <v>217</v>
      </c>
      <c r="B223" s="24"/>
      <c r="D223" s="26"/>
      <c r="G223" s="24"/>
      <c r="H223" s="25" t="e">
        <f ca="1"/>
        <v>#REF!</v>
      </c>
      <c r="I223" s="24" t="e">
        <f ca="1"/>
        <v>#REF!</v>
      </c>
      <c r="J223" s="25" t="e">
        <f ca="1"/>
        <v>#REF!</v>
      </c>
      <c r="K223" s="29" t="e">
        <f ca="1"/>
        <v>#REF!</v>
      </c>
      <c r="L223" s="29" t="e">
        <f ca="1"/>
        <v>#REF!</v>
      </c>
      <c r="M223" s="25" t="e">
        <f ca="1"/>
        <v>#REF!</v>
      </c>
      <c r="N223" s="30" t="e">
        <f ca="1"/>
        <v>#REF!</v>
      </c>
      <c r="O223" s="31" t="e">
        <f ca="1"/>
        <v>#REF!</v>
      </c>
      <c r="P223" s="31" t="e">
        <f ca="1"/>
        <v>#REF!</v>
      </c>
      <c r="Q223" s="31" t="e">
        <f ca="1"/>
        <v>#REF!</v>
      </c>
      <c r="R223" s="31" t="e">
        <f ca="1"/>
        <v>#REF!</v>
      </c>
      <c r="S223" s="31" t="e">
        <f ca="1"/>
        <v>#REF!</v>
      </c>
      <c r="T223" s="31" t="e">
        <f ca="1"/>
        <v>#REF!</v>
      </c>
      <c r="U223" s="31" t="e">
        <f ca="1"/>
        <v>#REF!</v>
      </c>
      <c r="V223" s="31" t="e">
        <f ca="1"/>
        <v>#REF!</v>
      </c>
      <c r="W223" s="32" t="e">
        <f ca="1"/>
        <v>#REF!</v>
      </c>
      <c r="X223" s="32" t="e">
        <f ca="1"/>
        <v>#REF!</v>
      </c>
      <c r="Y223" s="32" t="e">
        <f ca="1"/>
        <v>#REF!</v>
      </c>
      <c r="Z223" s="33" t="e">
        <f ca="1"/>
        <v>#REF!</v>
      </c>
      <c r="AA223" s="34" t="e">
        <f ca="1"/>
        <v>#REF!</v>
      </c>
    </row>
    <row r="224" spans="1:27" s="25" customFormat="1" ht="44.25" customHeight="1" x14ac:dyDescent="0.25">
      <c r="A224" s="24">
        <v>218</v>
      </c>
      <c r="B224" s="24"/>
      <c r="D224" s="26"/>
      <c r="G224" s="24"/>
      <c r="H224" s="25" t="e">
        <f ca="1"/>
        <v>#REF!</v>
      </c>
      <c r="I224" s="24" t="e">
        <f ca="1"/>
        <v>#REF!</v>
      </c>
      <c r="J224" s="25" t="e">
        <f ca="1"/>
        <v>#REF!</v>
      </c>
      <c r="K224" s="29" t="e">
        <f ca="1"/>
        <v>#REF!</v>
      </c>
      <c r="L224" s="29" t="e">
        <f ca="1"/>
        <v>#REF!</v>
      </c>
      <c r="M224" s="25" t="e">
        <f ca="1"/>
        <v>#REF!</v>
      </c>
      <c r="N224" s="30" t="e">
        <f ca="1"/>
        <v>#REF!</v>
      </c>
      <c r="O224" s="31" t="e">
        <f ca="1"/>
        <v>#REF!</v>
      </c>
      <c r="P224" s="31" t="e">
        <f ca="1"/>
        <v>#REF!</v>
      </c>
      <c r="Q224" s="31" t="e">
        <f ca="1"/>
        <v>#REF!</v>
      </c>
      <c r="R224" s="31" t="e">
        <f ca="1"/>
        <v>#REF!</v>
      </c>
      <c r="S224" s="31" t="e">
        <f ca="1"/>
        <v>#REF!</v>
      </c>
      <c r="T224" s="31" t="e">
        <f ca="1"/>
        <v>#REF!</v>
      </c>
      <c r="U224" s="31" t="e">
        <f ca="1"/>
        <v>#REF!</v>
      </c>
      <c r="V224" s="31" t="e">
        <f ca="1"/>
        <v>#REF!</v>
      </c>
      <c r="W224" s="32" t="e">
        <f ca="1"/>
        <v>#REF!</v>
      </c>
      <c r="X224" s="32" t="e">
        <f ca="1"/>
        <v>#REF!</v>
      </c>
      <c r="Y224" s="32" t="e">
        <f ca="1"/>
        <v>#REF!</v>
      </c>
      <c r="Z224" s="33" t="e">
        <f ca="1"/>
        <v>#REF!</v>
      </c>
      <c r="AA224" s="34" t="e">
        <f ca="1"/>
        <v>#REF!</v>
      </c>
    </row>
    <row r="225" spans="1:27" s="25" customFormat="1" ht="11.25" x14ac:dyDescent="0.25">
      <c r="A225" s="24">
        <v>219</v>
      </c>
      <c r="B225" s="24"/>
      <c r="D225" s="26"/>
      <c r="G225" s="24"/>
      <c r="H225" s="25" t="e">
        <f ca="1"/>
        <v>#REF!</v>
      </c>
      <c r="I225" s="24" t="e">
        <f ca="1"/>
        <v>#REF!</v>
      </c>
      <c r="J225" s="25" t="e">
        <f ca="1"/>
        <v>#REF!</v>
      </c>
      <c r="K225" s="29" t="e">
        <f ca="1"/>
        <v>#REF!</v>
      </c>
      <c r="L225" s="29" t="e">
        <f ca="1"/>
        <v>#REF!</v>
      </c>
      <c r="M225" s="25" t="e">
        <f ca="1"/>
        <v>#REF!</v>
      </c>
      <c r="N225" s="30" t="e">
        <f ca="1"/>
        <v>#REF!</v>
      </c>
      <c r="O225" s="31" t="e">
        <f ca="1"/>
        <v>#REF!</v>
      </c>
      <c r="P225" s="31" t="e">
        <f ca="1"/>
        <v>#REF!</v>
      </c>
      <c r="Q225" s="31" t="e">
        <f ca="1"/>
        <v>#REF!</v>
      </c>
      <c r="R225" s="31" t="e">
        <f ca="1"/>
        <v>#REF!</v>
      </c>
      <c r="S225" s="31" t="e">
        <f ca="1"/>
        <v>#REF!</v>
      </c>
      <c r="T225" s="31" t="e">
        <f ca="1"/>
        <v>#REF!</v>
      </c>
      <c r="U225" s="31" t="e">
        <f ca="1"/>
        <v>#REF!</v>
      </c>
      <c r="V225" s="31" t="e">
        <f ca="1"/>
        <v>#REF!</v>
      </c>
      <c r="W225" s="32" t="e">
        <f ca="1"/>
        <v>#REF!</v>
      </c>
      <c r="X225" s="32" t="e">
        <f ca="1"/>
        <v>#REF!</v>
      </c>
      <c r="Y225" s="32" t="e">
        <f ca="1"/>
        <v>#REF!</v>
      </c>
      <c r="Z225" s="33" t="e">
        <f ca="1"/>
        <v>#REF!</v>
      </c>
      <c r="AA225" s="34" t="e">
        <f ca="1"/>
        <v>#REF!</v>
      </c>
    </row>
    <row r="226" spans="1:27" s="25" customFormat="1" ht="44.25" customHeight="1" x14ac:dyDescent="0.25">
      <c r="A226" s="24">
        <v>220</v>
      </c>
      <c r="B226" s="24"/>
      <c r="D226" s="26"/>
      <c r="G226" s="24"/>
      <c r="H226" s="25" t="e">
        <f ca="1"/>
        <v>#REF!</v>
      </c>
      <c r="I226" s="24" t="e">
        <f ca="1"/>
        <v>#REF!</v>
      </c>
      <c r="J226" s="25" t="e">
        <f ca="1"/>
        <v>#REF!</v>
      </c>
      <c r="K226" s="29" t="e">
        <f ca="1"/>
        <v>#REF!</v>
      </c>
      <c r="L226" s="29" t="e">
        <f ca="1"/>
        <v>#REF!</v>
      </c>
      <c r="M226" s="25" t="e">
        <f ca="1"/>
        <v>#REF!</v>
      </c>
      <c r="N226" s="30" t="e">
        <f ca="1"/>
        <v>#REF!</v>
      </c>
      <c r="O226" s="31" t="e">
        <f ca="1"/>
        <v>#REF!</v>
      </c>
      <c r="P226" s="31" t="e">
        <f ca="1"/>
        <v>#REF!</v>
      </c>
      <c r="Q226" s="31" t="e">
        <f ca="1"/>
        <v>#REF!</v>
      </c>
      <c r="R226" s="31" t="e">
        <f ca="1"/>
        <v>#REF!</v>
      </c>
      <c r="S226" s="31" t="e">
        <f ca="1"/>
        <v>#REF!</v>
      </c>
      <c r="T226" s="31" t="e">
        <f ca="1"/>
        <v>#REF!</v>
      </c>
      <c r="U226" s="31" t="e">
        <f ca="1"/>
        <v>#REF!</v>
      </c>
      <c r="V226" s="31" t="e">
        <f ca="1"/>
        <v>#REF!</v>
      </c>
      <c r="W226" s="32" t="e">
        <f ca="1"/>
        <v>#REF!</v>
      </c>
      <c r="X226" s="32" t="e">
        <f ca="1"/>
        <v>#REF!</v>
      </c>
      <c r="Y226" s="32" t="e">
        <f ca="1"/>
        <v>#REF!</v>
      </c>
      <c r="Z226" s="33" t="e">
        <f ca="1"/>
        <v>#REF!</v>
      </c>
      <c r="AA226" s="34" t="e">
        <f ca="1"/>
        <v>#REF!</v>
      </c>
    </row>
    <row r="227" spans="1:27" s="25" customFormat="1" ht="55.5" customHeight="1" x14ac:dyDescent="0.25">
      <c r="A227" s="24">
        <v>221</v>
      </c>
      <c r="B227" s="24"/>
      <c r="D227" s="26"/>
      <c r="G227" s="24"/>
      <c r="H227" s="25" t="e">
        <f ca="1"/>
        <v>#REF!</v>
      </c>
      <c r="I227" s="24" t="e">
        <f ca="1"/>
        <v>#REF!</v>
      </c>
      <c r="J227" s="25" t="e">
        <f ca="1"/>
        <v>#REF!</v>
      </c>
      <c r="K227" s="29" t="e">
        <f ca="1"/>
        <v>#REF!</v>
      </c>
      <c r="L227" s="29" t="e">
        <f ca="1"/>
        <v>#REF!</v>
      </c>
      <c r="M227" s="25" t="e">
        <f ca="1"/>
        <v>#REF!</v>
      </c>
      <c r="N227" s="30" t="e">
        <f ca="1"/>
        <v>#REF!</v>
      </c>
      <c r="O227" s="31" t="e">
        <f ca="1"/>
        <v>#REF!</v>
      </c>
      <c r="P227" s="31" t="e">
        <f ca="1"/>
        <v>#REF!</v>
      </c>
      <c r="Q227" s="31" t="e">
        <f ca="1"/>
        <v>#REF!</v>
      </c>
      <c r="R227" s="31" t="e">
        <f ca="1"/>
        <v>#REF!</v>
      </c>
      <c r="S227" s="31" t="e">
        <f ca="1"/>
        <v>#REF!</v>
      </c>
      <c r="T227" s="31" t="e">
        <f ca="1"/>
        <v>#REF!</v>
      </c>
      <c r="U227" s="31" t="e">
        <f ca="1"/>
        <v>#REF!</v>
      </c>
      <c r="V227" s="31" t="e">
        <f ca="1"/>
        <v>#REF!</v>
      </c>
      <c r="W227" s="32" t="e">
        <f ca="1"/>
        <v>#REF!</v>
      </c>
      <c r="X227" s="32" t="e">
        <f ca="1"/>
        <v>#REF!</v>
      </c>
      <c r="Y227" s="32" t="e">
        <f ca="1"/>
        <v>#REF!</v>
      </c>
      <c r="Z227" s="33" t="e">
        <f ca="1"/>
        <v>#REF!</v>
      </c>
      <c r="AA227" s="34" t="e">
        <f ca="1"/>
        <v>#REF!</v>
      </c>
    </row>
    <row r="228" spans="1:27" s="25" customFormat="1" ht="54.75" customHeight="1" x14ac:dyDescent="0.25">
      <c r="A228" s="24">
        <v>222</v>
      </c>
      <c r="B228" s="24"/>
      <c r="D228" s="26"/>
      <c r="G228" s="24"/>
      <c r="H228" s="25" t="e">
        <f ca="1"/>
        <v>#REF!</v>
      </c>
      <c r="I228" s="24" t="e">
        <f ca="1"/>
        <v>#REF!</v>
      </c>
      <c r="J228" s="25" t="e">
        <f ca="1"/>
        <v>#REF!</v>
      </c>
      <c r="K228" s="29" t="e">
        <f ca="1"/>
        <v>#REF!</v>
      </c>
      <c r="L228" s="29" t="e">
        <f ca="1"/>
        <v>#REF!</v>
      </c>
      <c r="M228" s="25" t="e">
        <f ca="1"/>
        <v>#REF!</v>
      </c>
      <c r="N228" s="30" t="e">
        <f ca="1"/>
        <v>#REF!</v>
      </c>
      <c r="O228" s="31" t="e">
        <f ca="1"/>
        <v>#REF!</v>
      </c>
      <c r="P228" s="31" t="e">
        <f ca="1"/>
        <v>#REF!</v>
      </c>
      <c r="Q228" s="31" t="e">
        <f ca="1"/>
        <v>#REF!</v>
      </c>
      <c r="R228" s="31" t="e">
        <f ca="1"/>
        <v>#REF!</v>
      </c>
      <c r="S228" s="31" t="e">
        <f ca="1"/>
        <v>#REF!</v>
      </c>
      <c r="T228" s="31" t="e">
        <f ca="1"/>
        <v>#REF!</v>
      </c>
      <c r="U228" s="31" t="e">
        <f ca="1"/>
        <v>#REF!</v>
      </c>
      <c r="V228" s="31" t="e">
        <f ca="1"/>
        <v>#REF!</v>
      </c>
      <c r="W228" s="32" t="e">
        <f ca="1"/>
        <v>#REF!</v>
      </c>
      <c r="X228" s="32" t="e">
        <f ca="1"/>
        <v>#REF!</v>
      </c>
      <c r="Y228" s="32" t="e">
        <f ca="1"/>
        <v>#REF!</v>
      </c>
      <c r="Z228" s="33" t="e">
        <f ca="1"/>
        <v>#REF!</v>
      </c>
      <c r="AA228" s="34" t="e">
        <f ca="1"/>
        <v>#REF!</v>
      </c>
    </row>
    <row r="229" spans="1:27" s="25" customFormat="1" ht="11.25" x14ac:dyDescent="0.25">
      <c r="A229" s="24">
        <v>223</v>
      </c>
      <c r="B229" s="24"/>
      <c r="D229" s="26"/>
      <c r="G229" s="24"/>
      <c r="H229" s="25" t="e">
        <f ca="1"/>
        <v>#REF!</v>
      </c>
      <c r="I229" s="24" t="e">
        <f ca="1"/>
        <v>#REF!</v>
      </c>
      <c r="J229" s="25" t="e">
        <f ca="1"/>
        <v>#REF!</v>
      </c>
      <c r="K229" s="29" t="e">
        <f ca="1"/>
        <v>#REF!</v>
      </c>
      <c r="L229" s="29" t="e">
        <f ca="1"/>
        <v>#REF!</v>
      </c>
      <c r="M229" s="25" t="e">
        <f ca="1"/>
        <v>#REF!</v>
      </c>
      <c r="N229" s="30" t="e">
        <f ca="1"/>
        <v>#REF!</v>
      </c>
      <c r="O229" s="31" t="e">
        <f ca="1"/>
        <v>#REF!</v>
      </c>
      <c r="P229" s="31" t="e">
        <f ca="1"/>
        <v>#REF!</v>
      </c>
      <c r="Q229" s="31" t="e">
        <f ca="1"/>
        <v>#REF!</v>
      </c>
      <c r="R229" s="31" t="e">
        <f ca="1"/>
        <v>#REF!</v>
      </c>
      <c r="S229" s="31" t="e">
        <f ca="1"/>
        <v>#REF!</v>
      </c>
      <c r="T229" s="31" t="e">
        <f ca="1"/>
        <v>#REF!</v>
      </c>
      <c r="U229" s="31" t="e">
        <f ca="1"/>
        <v>#REF!</v>
      </c>
      <c r="V229" s="31" t="e">
        <f ca="1"/>
        <v>#REF!</v>
      </c>
      <c r="W229" s="32" t="e">
        <f ca="1"/>
        <v>#REF!</v>
      </c>
      <c r="X229" s="32" t="e">
        <f ca="1"/>
        <v>#REF!</v>
      </c>
      <c r="Y229" s="32" t="e">
        <f ca="1"/>
        <v>#REF!</v>
      </c>
      <c r="Z229" s="33" t="e">
        <f ca="1"/>
        <v>#REF!</v>
      </c>
      <c r="AA229" s="34" t="e">
        <f ca="1"/>
        <v>#REF!</v>
      </c>
    </row>
    <row r="230" spans="1:27" s="25" customFormat="1" ht="11.25" x14ac:dyDescent="0.25">
      <c r="A230" s="24">
        <v>224</v>
      </c>
      <c r="B230" s="24"/>
      <c r="D230" s="26"/>
      <c r="G230" s="24"/>
      <c r="H230" s="25" t="e">
        <f ca="1"/>
        <v>#REF!</v>
      </c>
      <c r="I230" s="24" t="e">
        <f ca="1"/>
        <v>#REF!</v>
      </c>
      <c r="J230" s="25" t="e">
        <f ca="1"/>
        <v>#REF!</v>
      </c>
      <c r="K230" s="29" t="e">
        <f ca="1"/>
        <v>#REF!</v>
      </c>
      <c r="L230" s="29" t="e">
        <f ca="1"/>
        <v>#REF!</v>
      </c>
      <c r="M230" s="25" t="e">
        <f ca="1"/>
        <v>#REF!</v>
      </c>
      <c r="N230" s="30" t="e">
        <f ca="1"/>
        <v>#REF!</v>
      </c>
      <c r="O230" s="31" t="e">
        <f ca="1"/>
        <v>#REF!</v>
      </c>
      <c r="P230" s="31" t="e">
        <f ca="1"/>
        <v>#REF!</v>
      </c>
      <c r="Q230" s="31" t="e">
        <f ca="1"/>
        <v>#REF!</v>
      </c>
      <c r="R230" s="31" t="e">
        <f ca="1"/>
        <v>#REF!</v>
      </c>
      <c r="S230" s="31" t="e">
        <f ca="1"/>
        <v>#REF!</v>
      </c>
      <c r="T230" s="31" t="e">
        <f ca="1"/>
        <v>#REF!</v>
      </c>
      <c r="U230" s="31" t="e">
        <f ca="1"/>
        <v>#REF!</v>
      </c>
      <c r="V230" s="31" t="e">
        <f ca="1"/>
        <v>#REF!</v>
      </c>
      <c r="W230" s="32" t="e">
        <f ca="1"/>
        <v>#REF!</v>
      </c>
      <c r="X230" s="32" t="e">
        <f ca="1"/>
        <v>#REF!</v>
      </c>
      <c r="Y230" s="32" t="e">
        <f ca="1"/>
        <v>#REF!</v>
      </c>
      <c r="Z230" s="33" t="e">
        <f ca="1"/>
        <v>#REF!</v>
      </c>
      <c r="AA230" s="34" t="e">
        <f ca="1"/>
        <v>#REF!</v>
      </c>
    </row>
    <row r="231" spans="1:27" s="25" customFormat="1" ht="11.25" x14ac:dyDescent="0.25">
      <c r="A231" s="24">
        <v>225</v>
      </c>
      <c r="B231" s="24"/>
      <c r="D231" s="26"/>
      <c r="G231" s="24"/>
      <c r="H231" s="25" t="e">
        <f ca="1"/>
        <v>#REF!</v>
      </c>
      <c r="I231" s="24" t="e">
        <f ca="1"/>
        <v>#REF!</v>
      </c>
      <c r="J231" s="25" t="e">
        <f ca="1"/>
        <v>#REF!</v>
      </c>
      <c r="K231" s="29" t="e">
        <f ca="1"/>
        <v>#REF!</v>
      </c>
      <c r="L231" s="29" t="e">
        <f ca="1"/>
        <v>#REF!</v>
      </c>
      <c r="M231" s="25" t="e">
        <f ca="1"/>
        <v>#REF!</v>
      </c>
      <c r="N231" s="30" t="e">
        <f ca="1"/>
        <v>#REF!</v>
      </c>
      <c r="O231" s="31" t="e">
        <f ca="1"/>
        <v>#REF!</v>
      </c>
      <c r="P231" s="31" t="e">
        <f ca="1"/>
        <v>#REF!</v>
      </c>
      <c r="Q231" s="31" t="e">
        <f ca="1"/>
        <v>#REF!</v>
      </c>
      <c r="R231" s="31" t="e">
        <f ca="1"/>
        <v>#REF!</v>
      </c>
      <c r="S231" s="31" t="e">
        <f ca="1"/>
        <v>#REF!</v>
      </c>
      <c r="T231" s="31" t="e">
        <f ca="1"/>
        <v>#REF!</v>
      </c>
      <c r="U231" s="31" t="e">
        <f ca="1"/>
        <v>#REF!</v>
      </c>
      <c r="V231" s="31" t="e">
        <f ca="1"/>
        <v>#REF!</v>
      </c>
      <c r="W231" s="32" t="e">
        <f ca="1"/>
        <v>#REF!</v>
      </c>
      <c r="X231" s="32" t="e">
        <f ca="1"/>
        <v>#REF!</v>
      </c>
      <c r="Y231" s="32" t="e">
        <f ca="1"/>
        <v>#REF!</v>
      </c>
      <c r="Z231" s="33" t="e">
        <f ca="1"/>
        <v>#REF!</v>
      </c>
      <c r="AA231" s="34" t="e">
        <f ca="1"/>
        <v>#REF!</v>
      </c>
    </row>
    <row r="232" spans="1:27" s="25" customFormat="1" ht="11.25" x14ac:dyDescent="0.25">
      <c r="A232" s="24">
        <v>226</v>
      </c>
      <c r="B232" s="24"/>
      <c r="D232" s="26"/>
      <c r="G232" s="24"/>
      <c r="H232" s="25" t="e">
        <f ca="1"/>
        <v>#REF!</v>
      </c>
      <c r="I232" s="24" t="e">
        <f ca="1"/>
        <v>#REF!</v>
      </c>
      <c r="J232" s="25" t="e">
        <f ca="1"/>
        <v>#REF!</v>
      </c>
      <c r="K232" s="29" t="e">
        <f ca="1"/>
        <v>#REF!</v>
      </c>
      <c r="L232" s="29" t="e">
        <f ca="1"/>
        <v>#REF!</v>
      </c>
      <c r="M232" s="25" t="e">
        <f ca="1"/>
        <v>#REF!</v>
      </c>
      <c r="N232" s="30" t="e">
        <f ca="1"/>
        <v>#REF!</v>
      </c>
      <c r="O232" s="31" t="e">
        <f ca="1"/>
        <v>#REF!</v>
      </c>
      <c r="P232" s="31" t="e">
        <f ca="1"/>
        <v>#REF!</v>
      </c>
      <c r="Q232" s="31" t="e">
        <f ca="1"/>
        <v>#REF!</v>
      </c>
      <c r="R232" s="31" t="e">
        <f ca="1"/>
        <v>#REF!</v>
      </c>
      <c r="S232" s="31" t="e">
        <f ca="1"/>
        <v>#REF!</v>
      </c>
      <c r="T232" s="31" t="e">
        <f ca="1"/>
        <v>#REF!</v>
      </c>
      <c r="U232" s="31" t="e">
        <f ca="1"/>
        <v>#REF!</v>
      </c>
      <c r="V232" s="31" t="e">
        <f ca="1"/>
        <v>#REF!</v>
      </c>
      <c r="W232" s="32" t="e">
        <f ca="1"/>
        <v>#REF!</v>
      </c>
      <c r="X232" s="32" t="e">
        <f ca="1"/>
        <v>#REF!</v>
      </c>
      <c r="Y232" s="32" t="e">
        <f ca="1"/>
        <v>#REF!</v>
      </c>
      <c r="Z232" s="33" t="e">
        <f ca="1"/>
        <v>#REF!</v>
      </c>
      <c r="AA232" s="34" t="e">
        <f ca="1"/>
        <v>#REF!</v>
      </c>
    </row>
    <row r="233" spans="1:27" s="25" customFormat="1" ht="11.25" x14ac:dyDescent="0.25">
      <c r="A233" s="24">
        <v>227</v>
      </c>
      <c r="B233" s="24"/>
      <c r="D233" s="26"/>
      <c r="G233" s="24"/>
      <c r="H233" s="25" t="e">
        <f ca="1"/>
        <v>#REF!</v>
      </c>
      <c r="I233" s="24" t="e">
        <f ca="1"/>
        <v>#REF!</v>
      </c>
      <c r="J233" s="25" t="e">
        <f ca="1"/>
        <v>#REF!</v>
      </c>
      <c r="K233" s="29" t="e">
        <f ca="1"/>
        <v>#REF!</v>
      </c>
      <c r="L233" s="29" t="e">
        <f ca="1"/>
        <v>#REF!</v>
      </c>
      <c r="M233" s="25" t="e">
        <f ca="1"/>
        <v>#REF!</v>
      </c>
      <c r="N233" s="30" t="e">
        <f ca="1"/>
        <v>#REF!</v>
      </c>
      <c r="O233" s="31" t="e">
        <f ca="1"/>
        <v>#REF!</v>
      </c>
      <c r="P233" s="31" t="e">
        <f ca="1"/>
        <v>#REF!</v>
      </c>
      <c r="Q233" s="31" t="e">
        <f ca="1"/>
        <v>#REF!</v>
      </c>
      <c r="R233" s="31" t="e">
        <f ca="1"/>
        <v>#REF!</v>
      </c>
      <c r="S233" s="31" t="e">
        <f ca="1"/>
        <v>#REF!</v>
      </c>
      <c r="T233" s="31" t="e">
        <f ca="1"/>
        <v>#REF!</v>
      </c>
      <c r="U233" s="31" t="e">
        <f ca="1"/>
        <v>#REF!</v>
      </c>
      <c r="V233" s="31" t="e">
        <f ca="1"/>
        <v>#REF!</v>
      </c>
      <c r="W233" s="32" t="e">
        <f ca="1"/>
        <v>#REF!</v>
      </c>
      <c r="X233" s="32" t="e">
        <f ca="1"/>
        <v>#REF!</v>
      </c>
      <c r="Y233" s="32" t="e">
        <f ca="1"/>
        <v>#REF!</v>
      </c>
      <c r="Z233" s="33" t="e">
        <f ca="1"/>
        <v>#REF!</v>
      </c>
      <c r="AA233" s="34" t="e">
        <f ca="1"/>
        <v>#REF!</v>
      </c>
    </row>
    <row r="234" spans="1:27" s="25" customFormat="1" ht="11.25" x14ac:dyDescent="0.25">
      <c r="A234" s="24">
        <v>228</v>
      </c>
      <c r="B234" s="24"/>
      <c r="D234" s="26"/>
      <c r="G234" s="24"/>
      <c r="H234" s="25" t="e">
        <f ca="1"/>
        <v>#REF!</v>
      </c>
      <c r="I234" s="24" t="e">
        <f ca="1"/>
        <v>#REF!</v>
      </c>
      <c r="J234" s="25" t="e">
        <f ca="1"/>
        <v>#REF!</v>
      </c>
      <c r="K234" s="29" t="e">
        <f ca="1"/>
        <v>#REF!</v>
      </c>
      <c r="L234" s="29" t="e">
        <f ca="1"/>
        <v>#REF!</v>
      </c>
      <c r="M234" s="25" t="e">
        <f ca="1"/>
        <v>#REF!</v>
      </c>
      <c r="N234" s="30" t="e">
        <f ca="1"/>
        <v>#REF!</v>
      </c>
      <c r="O234" s="31" t="e">
        <f ca="1"/>
        <v>#REF!</v>
      </c>
      <c r="P234" s="31" t="e">
        <f ca="1"/>
        <v>#REF!</v>
      </c>
      <c r="Q234" s="31" t="e">
        <f ca="1"/>
        <v>#REF!</v>
      </c>
      <c r="R234" s="31" t="e">
        <f ca="1"/>
        <v>#REF!</v>
      </c>
      <c r="S234" s="31" t="e">
        <f ca="1"/>
        <v>#REF!</v>
      </c>
      <c r="T234" s="31" t="e">
        <f ca="1"/>
        <v>#REF!</v>
      </c>
      <c r="U234" s="31" t="e">
        <f ca="1"/>
        <v>#REF!</v>
      </c>
      <c r="V234" s="31" t="e">
        <f ca="1"/>
        <v>#REF!</v>
      </c>
      <c r="W234" s="32" t="e">
        <f ca="1"/>
        <v>#REF!</v>
      </c>
      <c r="X234" s="32" t="e">
        <f ca="1"/>
        <v>#REF!</v>
      </c>
      <c r="Y234" s="32" t="e">
        <f ca="1"/>
        <v>#REF!</v>
      </c>
      <c r="Z234" s="33" t="e">
        <f ca="1"/>
        <v>#REF!</v>
      </c>
      <c r="AA234" s="34" t="e">
        <f ca="1"/>
        <v>#REF!</v>
      </c>
    </row>
    <row r="235" spans="1:27" s="25" customFormat="1" ht="52.5" customHeight="1" x14ac:dyDescent="0.25">
      <c r="A235" s="24">
        <v>229</v>
      </c>
      <c r="B235" s="24"/>
      <c r="D235" s="26"/>
      <c r="G235" s="24"/>
      <c r="H235" s="25" t="e">
        <f ca="1"/>
        <v>#REF!</v>
      </c>
      <c r="I235" s="24" t="e">
        <f ca="1"/>
        <v>#REF!</v>
      </c>
      <c r="J235" s="25" t="e">
        <f ca="1"/>
        <v>#REF!</v>
      </c>
      <c r="K235" s="29" t="e">
        <f ca="1"/>
        <v>#REF!</v>
      </c>
      <c r="L235" s="29" t="e">
        <f ca="1"/>
        <v>#REF!</v>
      </c>
      <c r="M235" s="25" t="e">
        <f ca="1"/>
        <v>#REF!</v>
      </c>
      <c r="N235" s="30" t="e">
        <f ca="1"/>
        <v>#REF!</v>
      </c>
      <c r="O235" s="31" t="e">
        <f ca="1"/>
        <v>#REF!</v>
      </c>
      <c r="P235" s="31" t="e">
        <f ca="1"/>
        <v>#REF!</v>
      </c>
      <c r="Q235" s="31" t="e">
        <f ca="1"/>
        <v>#REF!</v>
      </c>
      <c r="R235" s="31" t="e">
        <f ca="1"/>
        <v>#REF!</v>
      </c>
      <c r="S235" s="31" t="e">
        <f ca="1"/>
        <v>#REF!</v>
      </c>
      <c r="T235" s="31" t="e">
        <f ca="1"/>
        <v>#REF!</v>
      </c>
      <c r="U235" s="31" t="e">
        <f ca="1"/>
        <v>#REF!</v>
      </c>
      <c r="V235" s="31" t="e">
        <f ca="1"/>
        <v>#REF!</v>
      </c>
      <c r="W235" s="32" t="e">
        <f ca="1"/>
        <v>#REF!</v>
      </c>
      <c r="X235" s="32" t="e">
        <f ca="1"/>
        <v>#REF!</v>
      </c>
      <c r="Y235" s="32" t="e">
        <f ca="1"/>
        <v>#REF!</v>
      </c>
      <c r="Z235" s="33" t="e">
        <f ca="1"/>
        <v>#REF!</v>
      </c>
      <c r="AA235" s="34" t="e">
        <f ca="1"/>
        <v>#REF!</v>
      </c>
    </row>
    <row r="236" spans="1:27" s="25" customFormat="1" ht="64.5" customHeight="1" x14ac:dyDescent="0.25">
      <c r="A236" s="24">
        <v>230</v>
      </c>
      <c r="B236" s="24"/>
      <c r="D236" s="26"/>
      <c r="G236" s="24"/>
      <c r="H236" s="25" t="e">
        <f ca="1"/>
        <v>#REF!</v>
      </c>
      <c r="I236" s="24" t="e">
        <f ca="1"/>
        <v>#REF!</v>
      </c>
      <c r="J236" s="25" t="e">
        <f ca="1"/>
        <v>#REF!</v>
      </c>
      <c r="K236" s="29" t="e">
        <f ca="1"/>
        <v>#REF!</v>
      </c>
      <c r="L236" s="29" t="e">
        <f ca="1"/>
        <v>#REF!</v>
      </c>
      <c r="M236" s="25" t="e">
        <f ca="1"/>
        <v>#REF!</v>
      </c>
      <c r="N236" s="30" t="e">
        <f ca="1"/>
        <v>#REF!</v>
      </c>
      <c r="O236" s="31" t="e">
        <f ca="1"/>
        <v>#REF!</v>
      </c>
      <c r="P236" s="31" t="e">
        <f ca="1"/>
        <v>#REF!</v>
      </c>
      <c r="Q236" s="31" t="e">
        <f ca="1"/>
        <v>#REF!</v>
      </c>
      <c r="R236" s="31" t="e">
        <f ca="1"/>
        <v>#REF!</v>
      </c>
      <c r="S236" s="31" t="e">
        <f ca="1"/>
        <v>#REF!</v>
      </c>
      <c r="T236" s="31" t="e">
        <f ca="1"/>
        <v>#REF!</v>
      </c>
      <c r="U236" s="31" t="e">
        <f ca="1"/>
        <v>#REF!</v>
      </c>
      <c r="V236" s="31" t="e">
        <f ca="1"/>
        <v>#REF!</v>
      </c>
      <c r="W236" s="32" t="e">
        <f ca="1"/>
        <v>#REF!</v>
      </c>
      <c r="X236" s="32" t="e">
        <f ca="1"/>
        <v>#REF!</v>
      </c>
      <c r="Y236" s="32" t="e">
        <f ca="1"/>
        <v>#REF!</v>
      </c>
      <c r="Z236" s="33" t="e">
        <f ca="1"/>
        <v>#REF!</v>
      </c>
      <c r="AA236" s="34" t="e">
        <f ca="1"/>
        <v>#REF!</v>
      </c>
    </row>
    <row r="237" spans="1:27" s="25" customFormat="1" ht="11.25" x14ac:dyDescent="0.25">
      <c r="A237" s="24">
        <v>231</v>
      </c>
      <c r="B237" s="24"/>
      <c r="D237" s="26"/>
      <c r="G237" s="24"/>
      <c r="H237" s="25" t="e">
        <f ca="1"/>
        <v>#REF!</v>
      </c>
      <c r="I237" s="24" t="e">
        <f ca="1"/>
        <v>#REF!</v>
      </c>
      <c r="J237" s="25" t="e">
        <f ca="1"/>
        <v>#REF!</v>
      </c>
      <c r="K237" s="29" t="e">
        <f ca="1"/>
        <v>#REF!</v>
      </c>
      <c r="L237" s="29" t="e">
        <f ca="1"/>
        <v>#REF!</v>
      </c>
      <c r="M237" s="25" t="e">
        <f ca="1"/>
        <v>#REF!</v>
      </c>
      <c r="N237" s="30" t="e">
        <f ca="1"/>
        <v>#REF!</v>
      </c>
      <c r="O237" s="31" t="e">
        <f ca="1"/>
        <v>#REF!</v>
      </c>
      <c r="P237" s="31" t="e">
        <f ca="1"/>
        <v>#REF!</v>
      </c>
      <c r="Q237" s="31" t="e">
        <f ca="1"/>
        <v>#REF!</v>
      </c>
      <c r="R237" s="31" t="e">
        <f ca="1"/>
        <v>#REF!</v>
      </c>
      <c r="S237" s="31" t="e">
        <f ca="1"/>
        <v>#REF!</v>
      </c>
      <c r="T237" s="31" t="e">
        <f ca="1"/>
        <v>#REF!</v>
      </c>
      <c r="U237" s="31" t="e">
        <f ca="1"/>
        <v>#REF!</v>
      </c>
      <c r="V237" s="31" t="e">
        <f ca="1"/>
        <v>#REF!</v>
      </c>
      <c r="W237" s="32" t="e">
        <f ca="1"/>
        <v>#REF!</v>
      </c>
      <c r="X237" s="32" t="e">
        <f ca="1"/>
        <v>#REF!</v>
      </c>
      <c r="Y237" s="32" t="e">
        <f ca="1"/>
        <v>#REF!</v>
      </c>
      <c r="Z237" s="33" t="e">
        <f ca="1"/>
        <v>#REF!</v>
      </c>
      <c r="AA237" s="34" t="e">
        <f ca="1"/>
        <v>#REF!</v>
      </c>
    </row>
    <row r="238" spans="1:27" s="25" customFormat="1" ht="11.25" x14ac:dyDescent="0.25">
      <c r="A238" s="24">
        <v>232</v>
      </c>
      <c r="B238" s="24"/>
      <c r="D238" s="26"/>
      <c r="G238" s="24"/>
      <c r="H238" s="25" t="e">
        <f ca="1"/>
        <v>#REF!</v>
      </c>
      <c r="I238" s="24" t="e">
        <f ca="1"/>
        <v>#REF!</v>
      </c>
      <c r="J238" s="25" t="e">
        <f ca="1"/>
        <v>#REF!</v>
      </c>
      <c r="K238" s="29" t="e">
        <f ca="1"/>
        <v>#REF!</v>
      </c>
      <c r="L238" s="29" t="e">
        <f ca="1"/>
        <v>#REF!</v>
      </c>
      <c r="M238" s="25" t="e">
        <f ca="1"/>
        <v>#REF!</v>
      </c>
      <c r="N238" s="30" t="e">
        <f ca="1"/>
        <v>#REF!</v>
      </c>
      <c r="O238" s="31" t="e">
        <f ca="1"/>
        <v>#REF!</v>
      </c>
      <c r="P238" s="31" t="e">
        <f ca="1"/>
        <v>#REF!</v>
      </c>
      <c r="Q238" s="31" t="e">
        <f ca="1"/>
        <v>#REF!</v>
      </c>
      <c r="R238" s="31" t="e">
        <f ca="1"/>
        <v>#REF!</v>
      </c>
      <c r="S238" s="31" t="e">
        <f ca="1"/>
        <v>#REF!</v>
      </c>
      <c r="T238" s="31" t="e">
        <f ca="1"/>
        <v>#REF!</v>
      </c>
      <c r="U238" s="31" t="e">
        <f ca="1"/>
        <v>#REF!</v>
      </c>
      <c r="V238" s="31" t="e">
        <f ca="1"/>
        <v>#REF!</v>
      </c>
      <c r="W238" s="32" t="e">
        <f ca="1"/>
        <v>#REF!</v>
      </c>
      <c r="X238" s="32" t="e">
        <f ca="1"/>
        <v>#REF!</v>
      </c>
      <c r="Y238" s="32" t="e">
        <f ca="1"/>
        <v>#REF!</v>
      </c>
      <c r="Z238" s="33" t="e">
        <f ca="1"/>
        <v>#REF!</v>
      </c>
      <c r="AA238" s="34" t="e">
        <f ca="1"/>
        <v>#REF!</v>
      </c>
    </row>
    <row r="239" spans="1:27" s="25" customFormat="1" ht="11.25" x14ac:dyDescent="0.25">
      <c r="A239" s="24">
        <v>233</v>
      </c>
      <c r="B239" s="24"/>
      <c r="D239" s="26"/>
      <c r="G239" s="24"/>
      <c r="H239" s="25" t="e">
        <f ca="1"/>
        <v>#REF!</v>
      </c>
      <c r="I239" s="24" t="e">
        <f ca="1"/>
        <v>#REF!</v>
      </c>
      <c r="J239" s="25" t="e">
        <f ca="1"/>
        <v>#REF!</v>
      </c>
      <c r="K239" s="29" t="e">
        <f ca="1"/>
        <v>#REF!</v>
      </c>
      <c r="L239" s="29" t="e">
        <f ca="1"/>
        <v>#REF!</v>
      </c>
      <c r="M239" s="25" t="e">
        <f ca="1"/>
        <v>#REF!</v>
      </c>
      <c r="N239" s="30" t="e">
        <f ca="1"/>
        <v>#REF!</v>
      </c>
      <c r="O239" s="31" t="e">
        <f ca="1"/>
        <v>#REF!</v>
      </c>
      <c r="P239" s="31" t="e">
        <f ca="1"/>
        <v>#REF!</v>
      </c>
      <c r="Q239" s="31" t="e">
        <f ca="1"/>
        <v>#REF!</v>
      </c>
      <c r="R239" s="31" t="e">
        <f ca="1"/>
        <v>#REF!</v>
      </c>
      <c r="S239" s="31" t="e">
        <f ca="1"/>
        <v>#REF!</v>
      </c>
      <c r="T239" s="31" t="e">
        <f ca="1"/>
        <v>#REF!</v>
      </c>
      <c r="U239" s="31" t="e">
        <f ca="1"/>
        <v>#REF!</v>
      </c>
      <c r="V239" s="31" t="e">
        <f ca="1"/>
        <v>#REF!</v>
      </c>
      <c r="W239" s="32" t="e">
        <f ca="1"/>
        <v>#REF!</v>
      </c>
      <c r="X239" s="32" t="e">
        <f ca="1"/>
        <v>#REF!</v>
      </c>
      <c r="Y239" s="32" t="e">
        <f ca="1"/>
        <v>#REF!</v>
      </c>
      <c r="Z239" s="33" t="e">
        <f ca="1"/>
        <v>#REF!</v>
      </c>
      <c r="AA239" s="34" t="e">
        <f ca="1"/>
        <v>#REF!</v>
      </c>
    </row>
    <row r="240" spans="1:27" s="25" customFormat="1" ht="11.25" x14ac:dyDescent="0.25">
      <c r="A240" s="24">
        <v>234</v>
      </c>
      <c r="B240" s="24"/>
      <c r="D240" s="26"/>
      <c r="G240" s="24"/>
      <c r="H240" s="25" t="e">
        <f ca="1"/>
        <v>#REF!</v>
      </c>
      <c r="I240" s="24" t="e">
        <f ca="1"/>
        <v>#REF!</v>
      </c>
      <c r="J240" s="25" t="e">
        <f ca="1"/>
        <v>#REF!</v>
      </c>
      <c r="K240" s="29" t="e">
        <f ca="1"/>
        <v>#REF!</v>
      </c>
      <c r="L240" s="29" t="e">
        <f ca="1"/>
        <v>#REF!</v>
      </c>
      <c r="M240" s="25" t="e">
        <f ca="1"/>
        <v>#REF!</v>
      </c>
      <c r="N240" s="30" t="e">
        <f ca="1"/>
        <v>#REF!</v>
      </c>
      <c r="O240" s="31" t="e">
        <f ca="1"/>
        <v>#REF!</v>
      </c>
      <c r="P240" s="31" t="e">
        <f ca="1"/>
        <v>#REF!</v>
      </c>
      <c r="Q240" s="31" t="e">
        <f ca="1"/>
        <v>#REF!</v>
      </c>
      <c r="R240" s="31" t="e">
        <f ca="1"/>
        <v>#REF!</v>
      </c>
      <c r="S240" s="31" t="e">
        <f ca="1"/>
        <v>#REF!</v>
      </c>
      <c r="T240" s="31" t="e">
        <f ca="1"/>
        <v>#REF!</v>
      </c>
      <c r="U240" s="31" t="e">
        <f ca="1"/>
        <v>#REF!</v>
      </c>
      <c r="V240" s="31" t="e">
        <f ca="1"/>
        <v>#REF!</v>
      </c>
      <c r="W240" s="32" t="e">
        <f ca="1"/>
        <v>#REF!</v>
      </c>
      <c r="X240" s="32" t="e">
        <f ca="1"/>
        <v>#REF!</v>
      </c>
      <c r="Y240" s="32" t="e">
        <f ca="1"/>
        <v>#REF!</v>
      </c>
      <c r="Z240" s="33" t="e">
        <f ca="1"/>
        <v>#REF!</v>
      </c>
      <c r="AA240" s="34" t="e">
        <f ca="1"/>
        <v>#REF!</v>
      </c>
    </row>
    <row r="241" spans="1:27" s="25" customFormat="1" ht="11.25" x14ac:dyDescent="0.25">
      <c r="A241" s="24">
        <v>235</v>
      </c>
      <c r="B241" s="24"/>
      <c r="D241" s="26"/>
      <c r="G241" s="24"/>
      <c r="H241" s="25" t="e">
        <f ca="1"/>
        <v>#REF!</v>
      </c>
      <c r="I241" s="24" t="e">
        <f ca="1"/>
        <v>#REF!</v>
      </c>
      <c r="J241" s="25" t="e">
        <f ca="1"/>
        <v>#REF!</v>
      </c>
      <c r="K241" s="29" t="e">
        <f ca="1"/>
        <v>#REF!</v>
      </c>
      <c r="L241" s="29" t="e">
        <f ca="1"/>
        <v>#REF!</v>
      </c>
      <c r="M241" s="25" t="e">
        <f ca="1"/>
        <v>#REF!</v>
      </c>
      <c r="N241" s="30" t="e">
        <f ca="1"/>
        <v>#REF!</v>
      </c>
      <c r="O241" s="31" t="e">
        <f ca="1"/>
        <v>#REF!</v>
      </c>
      <c r="P241" s="31" t="e">
        <f ca="1"/>
        <v>#REF!</v>
      </c>
      <c r="Q241" s="31" t="e">
        <f ca="1"/>
        <v>#REF!</v>
      </c>
      <c r="R241" s="31" t="e">
        <f ca="1"/>
        <v>#REF!</v>
      </c>
      <c r="S241" s="31" t="e">
        <f ca="1"/>
        <v>#REF!</v>
      </c>
      <c r="T241" s="31" t="e">
        <f ca="1"/>
        <v>#REF!</v>
      </c>
      <c r="U241" s="31" t="e">
        <f ca="1"/>
        <v>#REF!</v>
      </c>
      <c r="V241" s="31" t="e">
        <f ca="1"/>
        <v>#REF!</v>
      </c>
      <c r="W241" s="32" t="e">
        <f ca="1"/>
        <v>#REF!</v>
      </c>
      <c r="X241" s="32" t="e">
        <f ca="1"/>
        <v>#REF!</v>
      </c>
      <c r="Y241" s="32" t="e">
        <f ca="1"/>
        <v>#REF!</v>
      </c>
      <c r="Z241" s="33" t="e">
        <f ca="1"/>
        <v>#REF!</v>
      </c>
      <c r="AA241" s="34" t="e">
        <f ca="1"/>
        <v>#REF!</v>
      </c>
    </row>
    <row r="242" spans="1:27" s="25" customFormat="1" ht="11.25" x14ac:dyDescent="0.25">
      <c r="A242" s="24">
        <v>236</v>
      </c>
      <c r="B242" s="24"/>
      <c r="D242" s="26"/>
      <c r="G242" s="24"/>
      <c r="H242" s="25" t="e">
        <f ca="1"/>
        <v>#REF!</v>
      </c>
      <c r="I242" s="24" t="e">
        <f ca="1"/>
        <v>#REF!</v>
      </c>
      <c r="J242" s="25" t="e">
        <f ca="1"/>
        <v>#REF!</v>
      </c>
      <c r="K242" s="29" t="e">
        <f ca="1"/>
        <v>#REF!</v>
      </c>
      <c r="L242" s="29" t="e">
        <f ca="1"/>
        <v>#REF!</v>
      </c>
      <c r="M242" s="25" t="e">
        <f ca="1"/>
        <v>#REF!</v>
      </c>
      <c r="N242" s="30" t="e">
        <f ca="1"/>
        <v>#REF!</v>
      </c>
      <c r="O242" s="31" t="e">
        <f ca="1"/>
        <v>#REF!</v>
      </c>
      <c r="P242" s="31" t="e">
        <f ca="1"/>
        <v>#REF!</v>
      </c>
      <c r="Q242" s="31" t="e">
        <f ca="1"/>
        <v>#REF!</v>
      </c>
      <c r="R242" s="31" t="e">
        <f ca="1"/>
        <v>#REF!</v>
      </c>
      <c r="S242" s="31" t="e">
        <f ca="1"/>
        <v>#REF!</v>
      </c>
      <c r="T242" s="31" t="e">
        <f ca="1"/>
        <v>#REF!</v>
      </c>
      <c r="U242" s="31" t="e">
        <f ca="1"/>
        <v>#REF!</v>
      </c>
      <c r="V242" s="31" t="e">
        <f ca="1"/>
        <v>#REF!</v>
      </c>
      <c r="W242" s="32" t="e">
        <f ca="1"/>
        <v>#REF!</v>
      </c>
      <c r="X242" s="32" t="e">
        <f ca="1"/>
        <v>#REF!</v>
      </c>
      <c r="Y242" s="32" t="e">
        <f ca="1"/>
        <v>#REF!</v>
      </c>
      <c r="Z242" s="33" t="e">
        <f ca="1"/>
        <v>#REF!</v>
      </c>
      <c r="AA242" s="34" t="e">
        <f ca="1"/>
        <v>#REF!</v>
      </c>
    </row>
    <row r="243" spans="1:27" s="25" customFormat="1" ht="11.25" x14ac:dyDescent="0.25">
      <c r="A243" s="24">
        <v>237</v>
      </c>
      <c r="B243" s="24"/>
      <c r="D243" s="26"/>
      <c r="G243" s="24"/>
      <c r="H243" s="25" t="e">
        <f ca="1"/>
        <v>#REF!</v>
      </c>
      <c r="I243" s="24" t="e">
        <f ca="1"/>
        <v>#REF!</v>
      </c>
      <c r="J243" s="25" t="e">
        <f ca="1"/>
        <v>#REF!</v>
      </c>
      <c r="K243" s="29" t="e">
        <f ca="1"/>
        <v>#REF!</v>
      </c>
      <c r="L243" s="29" t="e">
        <f ca="1"/>
        <v>#REF!</v>
      </c>
      <c r="M243" s="25" t="e">
        <f ca="1"/>
        <v>#REF!</v>
      </c>
      <c r="N243" s="30" t="e">
        <f ca="1"/>
        <v>#REF!</v>
      </c>
      <c r="O243" s="31" t="e">
        <f ca="1"/>
        <v>#REF!</v>
      </c>
      <c r="P243" s="31" t="e">
        <f ca="1"/>
        <v>#REF!</v>
      </c>
      <c r="Q243" s="31" t="e">
        <f ca="1"/>
        <v>#REF!</v>
      </c>
      <c r="R243" s="31" t="e">
        <f ca="1"/>
        <v>#REF!</v>
      </c>
      <c r="S243" s="31" t="e">
        <f ca="1"/>
        <v>#REF!</v>
      </c>
      <c r="T243" s="31" t="e">
        <f ca="1"/>
        <v>#REF!</v>
      </c>
      <c r="U243" s="31" t="e">
        <f ca="1"/>
        <v>#REF!</v>
      </c>
      <c r="V243" s="31" t="e">
        <f ca="1"/>
        <v>#REF!</v>
      </c>
      <c r="W243" s="32" t="e">
        <f ca="1"/>
        <v>#REF!</v>
      </c>
      <c r="X243" s="32" t="e">
        <f ca="1"/>
        <v>#REF!</v>
      </c>
      <c r="Y243" s="32" t="e">
        <f ca="1"/>
        <v>#REF!</v>
      </c>
      <c r="Z243" s="33" t="e">
        <f ca="1"/>
        <v>#REF!</v>
      </c>
      <c r="AA243" s="34" t="e">
        <f ca="1"/>
        <v>#REF!</v>
      </c>
    </row>
    <row r="244" spans="1:27" s="25" customFormat="1" ht="11.25" x14ac:dyDescent="0.25">
      <c r="A244" s="24">
        <v>238</v>
      </c>
      <c r="B244" s="24"/>
      <c r="D244" s="26"/>
      <c r="G244" s="24"/>
      <c r="H244" s="25" t="e">
        <f ca="1"/>
        <v>#REF!</v>
      </c>
      <c r="I244" s="24" t="e">
        <f ca="1"/>
        <v>#REF!</v>
      </c>
      <c r="J244" s="25" t="e">
        <f ca="1"/>
        <v>#REF!</v>
      </c>
      <c r="K244" s="29" t="e">
        <f ca="1"/>
        <v>#REF!</v>
      </c>
      <c r="L244" s="29" t="e">
        <f ca="1"/>
        <v>#REF!</v>
      </c>
      <c r="M244" s="25" t="e">
        <f ca="1"/>
        <v>#REF!</v>
      </c>
      <c r="N244" s="30" t="e">
        <f ca="1"/>
        <v>#REF!</v>
      </c>
      <c r="O244" s="31" t="e">
        <f ca="1"/>
        <v>#REF!</v>
      </c>
      <c r="P244" s="31" t="e">
        <f ca="1"/>
        <v>#REF!</v>
      </c>
      <c r="Q244" s="31" t="e">
        <f ca="1"/>
        <v>#REF!</v>
      </c>
      <c r="R244" s="31" t="e">
        <f ca="1"/>
        <v>#REF!</v>
      </c>
      <c r="S244" s="31" t="e">
        <f ca="1"/>
        <v>#REF!</v>
      </c>
      <c r="T244" s="31" t="e">
        <f ca="1"/>
        <v>#REF!</v>
      </c>
      <c r="U244" s="31" t="e">
        <f ca="1"/>
        <v>#REF!</v>
      </c>
      <c r="V244" s="31" t="e">
        <f ca="1"/>
        <v>#REF!</v>
      </c>
      <c r="W244" s="32" t="e">
        <f ca="1"/>
        <v>#REF!</v>
      </c>
      <c r="X244" s="32" t="e">
        <f ca="1"/>
        <v>#REF!</v>
      </c>
      <c r="Y244" s="32" t="e">
        <f ca="1"/>
        <v>#REF!</v>
      </c>
      <c r="Z244" s="33" t="e">
        <f ca="1"/>
        <v>#REF!</v>
      </c>
      <c r="AA244" s="34" t="e">
        <f ca="1"/>
        <v>#REF!</v>
      </c>
    </row>
    <row r="245" spans="1:27" s="25" customFormat="1" ht="11.25" x14ac:dyDescent="0.25">
      <c r="A245" s="24">
        <v>239</v>
      </c>
      <c r="B245" s="24"/>
      <c r="D245" s="26"/>
      <c r="G245" s="24"/>
      <c r="H245" s="25" t="e">
        <f ca="1"/>
        <v>#REF!</v>
      </c>
      <c r="I245" s="24" t="e">
        <f ca="1"/>
        <v>#REF!</v>
      </c>
      <c r="J245" s="25" t="e">
        <f ca="1"/>
        <v>#REF!</v>
      </c>
      <c r="K245" s="29" t="e">
        <f ca="1"/>
        <v>#REF!</v>
      </c>
      <c r="L245" s="29" t="e">
        <f ca="1"/>
        <v>#REF!</v>
      </c>
      <c r="M245" s="25" t="e">
        <f ca="1"/>
        <v>#REF!</v>
      </c>
      <c r="N245" s="30" t="e">
        <f ca="1"/>
        <v>#REF!</v>
      </c>
      <c r="O245" s="31" t="e">
        <f ca="1"/>
        <v>#REF!</v>
      </c>
      <c r="P245" s="31" t="e">
        <f ca="1"/>
        <v>#REF!</v>
      </c>
      <c r="Q245" s="31" t="e">
        <f ca="1"/>
        <v>#REF!</v>
      </c>
      <c r="R245" s="31" t="e">
        <f ca="1"/>
        <v>#REF!</v>
      </c>
      <c r="S245" s="31" t="e">
        <f ca="1"/>
        <v>#REF!</v>
      </c>
      <c r="T245" s="31" t="e">
        <f ca="1"/>
        <v>#REF!</v>
      </c>
      <c r="U245" s="31" t="e">
        <f ca="1"/>
        <v>#REF!</v>
      </c>
      <c r="V245" s="31" t="e">
        <f ca="1"/>
        <v>#REF!</v>
      </c>
      <c r="W245" s="32" t="e">
        <f ca="1"/>
        <v>#REF!</v>
      </c>
      <c r="X245" s="32" t="e">
        <f ca="1"/>
        <v>#REF!</v>
      </c>
      <c r="Y245" s="32" t="e">
        <f ca="1"/>
        <v>#REF!</v>
      </c>
      <c r="Z245" s="33" t="e">
        <f ca="1"/>
        <v>#REF!</v>
      </c>
      <c r="AA245" s="34" t="e">
        <f ca="1"/>
        <v>#REF!</v>
      </c>
    </row>
    <row r="246" spans="1:27" s="25" customFormat="1" ht="35.25" customHeight="1" x14ac:dyDescent="0.25">
      <c r="A246" s="24">
        <v>240</v>
      </c>
      <c r="B246" s="24"/>
      <c r="D246" s="26"/>
      <c r="G246" s="24"/>
      <c r="H246" s="25" t="e">
        <f ca="1"/>
        <v>#REF!</v>
      </c>
      <c r="I246" s="24" t="e">
        <f ca="1"/>
        <v>#REF!</v>
      </c>
      <c r="J246" s="25" t="e">
        <f ca="1"/>
        <v>#REF!</v>
      </c>
      <c r="K246" s="29" t="e">
        <f ca="1"/>
        <v>#REF!</v>
      </c>
      <c r="L246" s="29" t="e">
        <f ca="1"/>
        <v>#REF!</v>
      </c>
      <c r="M246" s="25" t="e">
        <f ca="1"/>
        <v>#REF!</v>
      </c>
      <c r="N246" s="30" t="e">
        <f ca="1"/>
        <v>#REF!</v>
      </c>
      <c r="O246" s="31" t="e">
        <f ca="1"/>
        <v>#REF!</v>
      </c>
      <c r="P246" s="31" t="e">
        <f ca="1"/>
        <v>#REF!</v>
      </c>
      <c r="Q246" s="31" t="e">
        <f ca="1"/>
        <v>#REF!</v>
      </c>
      <c r="R246" s="31" t="e">
        <f ca="1"/>
        <v>#REF!</v>
      </c>
      <c r="S246" s="31" t="e">
        <f ca="1"/>
        <v>#REF!</v>
      </c>
      <c r="T246" s="31" t="e">
        <f ca="1"/>
        <v>#REF!</v>
      </c>
      <c r="U246" s="31" t="e">
        <f ca="1"/>
        <v>#REF!</v>
      </c>
      <c r="V246" s="31" t="e">
        <f ca="1"/>
        <v>#REF!</v>
      </c>
      <c r="W246" s="32" t="e">
        <f ca="1"/>
        <v>#REF!</v>
      </c>
      <c r="X246" s="32" t="e">
        <f ca="1"/>
        <v>#REF!</v>
      </c>
      <c r="Y246" s="32" t="e">
        <f ca="1"/>
        <v>#REF!</v>
      </c>
      <c r="Z246" s="33" t="e">
        <f ca="1"/>
        <v>#REF!</v>
      </c>
      <c r="AA246" s="34" t="e">
        <f ca="1"/>
        <v>#REF!</v>
      </c>
    </row>
    <row r="247" spans="1:27" s="25" customFormat="1" ht="32.25" customHeight="1" x14ac:dyDescent="0.25">
      <c r="A247" s="24">
        <v>241</v>
      </c>
      <c r="B247" s="24"/>
      <c r="D247" s="26"/>
      <c r="G247" s="24"/>
      <c r="H247" s="25" t="e">
        <f ca="1"/>
        <v>#REF!</v>
      </c>
      <c r="I247" s="24" t="e">
        <f ca="1"/>
        <v>#REF!</v>
      </c>
      <c r="J247" s="25" t="e">
        <f ca="1"/>
        <v>#REF!</v>
      </c>
      <c r="K247" s="29" t="e">
        <f ca="1"/>
        <v>#REF!</v>
      </c>
      <c r="L247" s="29" t="e">
        <f ca="1"/>
        <v>#REF!</v>
      </c>
      <c r="M247" s="25" t="e">
        <f ca="1"/>
        <v>#REF!</v>
      </c>
      <c r="N247" s="30" t="e">
        <f ca="1"/>
        <v>#REF!</v>
      </c>
      <c r="O247" s="31" t="e">
        <f ca="1"/>
        <v>#REF!</v>
      </c>
      <c r="P247" s="31" t="e">
        <f ca="1"/>
        <v>#REF!</v>
      </c>
      <c r="Q247" s="31" t="e">
        <f ca="1"/>
        <v>#REF!</v>
      </c>
      <c r="R247" s="31" t="e">
        <f ca="1"/>
        <v>#REF!</v>
      </c>
      <c r="S247" s="31" t="e">
        <f ca="1"/>
        <v>#REF!</v>
      </c>
      <c r="T247" s="31" t="e">
        <f ca="1"/>
        <v>#REF!</v>
      </c>
      <c r="U247" s="31" t="e">
        <f ca="1"/>
        <v>#REF!</v>
      </c>
      <c r="V247" s="31" t="e">
        <f ca="1"/>
        <v>#REF!</v>
      </c>
      <c r="W247" s="32" t="e">
        <f ca="1"/>
        <v>#REF!</v>
      </c>
      <c r="X247" s="32" t="e">
        <f ca="1"/>
        <v>#REF!</v>
      </c>
      <c r="Y247" s="32" t="e">
        <f ca="1"/>
        <v>#REF!</v>
      </c>
      <c r="Z247" s="33" t="e">
        <f ca="1"/>
        <v>#REF!</v>
      </c>
      <c r="AA247" s="34" t="e">
        <f ca="1"/>
        <v>#REF!</v>
      </c>
    </row>
    <row r="248" spans="1:27" s="25" customFormat="1" ht="48" customHeight="1" x14ac:dyDescent="0.25">
      <c r="A248" s="24">
        <v>242</v>
      </c>
      <c r="B248" s="24"/>
      <c r="D248" s="26"/>
      <c r="G248" s="24"/>
      <c r="H248" s="25" t="e">
        <f ca="1"/>
        <v>#REF!</v>
      </c>
      <c r="I248" s="24" t="e">
        <f ca="1"/>
        <v>#REF!</v>
      </c>
      <c r="J248" s="25" t="e">
        <f ca="1"/>
        <v>#REF!</v>
      </c>
      <c r="K248" s="29" t="e">
        <f ca="1"/>
        <v>#REF!</v>
      </c>
      <c r="L248" s="29" t="e">
        <f ca="1"/>
        <v>#REF!</v>
      </c>
      <c r="M248" s="25" t="e">
        <f ca="1"/>
        <v>#REF!</v>
      </c>
      <c r="N248" s="30" t="e">
        <f ca="1"/>
        <v>#REF!</v>
      </c>
      <c r="O248" s="31" t="e">
        <f ca="1"/>
        <v>#REF!</v>
      </c>
      <c r="P248" s="31" t="e">
        <f ca="1"/>
        <v>#REF!</v>
      </c>
      <c r="Q248" s="31" t="e">
        <f ca="1"/>
        <v>#REF!</v>
      </c>
      <c r="R248" s="31" t="e">
        <f ca="1"/>
        <v>#REF!</v>
      </c>
      <c r="S248" s="31" t="e">
        <f ca="1"/>
        <v>#REF!</v>
      </c>
      <c r="T248" s="31" t="e">
        <f ca="1"/>
        <v>#REF!</v>
      </c>
      <c r="U248" s="31" t="e">
        <f ca="1"/>
        <v>#REF!</v>
      </c>
      <c r="V248" s="31" t="e">
        <f ca="1"/>
        <v>#REF!</v>
      </c>
      <c r="W248" s="32" t="e">
        <f ca="1"/>
        <v>#REF!</v>
      </c>
      <c r="X248" s="32" t="e">
        <f ca="1"/>
        <v>#REF!</v>
      </c>
      <c r="Y248" s="32" t="e">
        <f ca="1"/>
        <v>#REF!</v>
      </c>
      <c r="Z248" s="33" t="e">
        <f ca="1"/>
        <v>#REF!</v>
      </c>
      <c r="AA248" s="34" t="e">
        <f ca="1"/>
        <v>#REF!</v>
      </c>
    </row>
    <row r="249" spans="1:27" s="25" customFormat="1" ht="11.25" x14ac:dyDescent="0.25">
      <c r="A249" s="24">
        <v>243</v>
      </c>
      <c r="B249" s="24"/>
      <c r="D249" s="26"/>
      <c r="G249" s="24"/>
      <c r="H249" s="25" t="e">
        <f ca="1"/>
        <v>#REF!</v>
      </c>
      <c r="I249" s="24" t="e">
        <f ca="1"/>
        <v>#REF!</v>
      </c>
      <c r="J249" s="25" t="e">
        <f ca="1"/>
        <v>#REF!</v>
      </c>
      <c r="K249" s="29" t="e">
        <f ca="1"/>
        <v>#REF!</v>
      </c>
      <c r="L249" s="29" t="e">
        <f ca="1"/>
        <v>#REF!</v>
      </c>
      <c r="M249" s="25" t="e">
        <f ca="1"/>
        <v>#REF!</v>
      </c>
      <c r="N249" s="30" t="e">
        <f ca="1"/>
        <v>#REF!</v>
      </c>
      <c r="O249" s="31" t="e">
        <f ca="1"/>
        <v>#REF!</v>
      </c>
      <c r="P249" s="31" t="e">
        <f ca="1"/>
        <v>#REF!</v>
      </c>
      <c r="Q249" s="31" t="e">
        <f ca="1"/>
        <v>#REF!</v>
      </c>
      <c r="R249" s="31" t="e">
        <f ca="1"/>
        <v>#REF!</v>
      </c>
      <c r="S249" s="31" t="e">
        <f ca="1"/>
        <v>#REF!</v>
      </c>
      <c r="T249" s="31" t="e">
        <f ca="1"/>
        <v>#REF!</v>
      </c>
      <c r="U249" s="31" t="e">
        <f ca="1"/>
        <v>#REF!</v>
      </c>
      <c r="V249" s="31" t="e">
        <f ca="1"/>
        <v>#REF!</v>
      </c>
      <c r="W249" s="32" t="e">
        <f ca="1"/>
        <v>#REF!</v>
      </c>
      <c r="X249" s="32" t="e">
        <f ca="1"/>
        <v>#REF!</v>
      </c>
      <c r="Y249" s="32" t="e">
        <f ca="1"/>
        <v>#REF!</v>
      </c>
      <c r="Z249" s="33" t="e">
        <f ca="1"/>
        <v>#REF!</v>
      </c>
      <c r="AA249" s="34" t="e">
        <f ca="1"/>
        <v>#REF!</v>
      </c>
    </row>
    <row r="250" spans="1:27" s="25" customFormat="1" ht="72" customHeight="1" x14ac:dyDescent="0.25">
      <c r="A250" s="24">
        <v>244</v>
      </c>
      <c r="B250" s="24"/>
      <c r="D250" s="26"/>
      <c r="G250" s="24"/>
      <c r="H250" s="25" t="e">
        <f ca="1"/>
        <v>#REF!</v>
      </c>
      <c r="I250" s="24" t="e">
        <f ca="1"/>
        <v>#REF!</v>
      </c>
      <c r="J250" s="25" t="e">
        <f ca="1"/>
        <v>#REF!</v>
      </c>
      <c r="K250" s="29" t="e">
        <f ca="1"/>
        <v>#REF!</v>
      </c>
      <c r="L250" s="29" t="e">
        <f ca="1"/>
        <v>#REF!</v>
      </c>
      <c r="M250" s="25" t="e">
        <f ca="1"/>
        <v>#REF!</v>
      </c>
      <c r="N250" s="30" t="e">
        <f ca="1"/>
        <v>#REF!</v>
      </c>
      <c r="O250" s="31" t="e">
        <f ca="1"/>
        <v>#REF!</v>
      </c>
      <c r="P250" s="31" t="e">
        <f ca="1"/>
        <v>#REF!</v>
      </c>
      <c r="Q250" s="31" t="e">
        <f ca="1"/>
        <v>#REF!</v>
      </c>
      <c r="R250" s="31" t="e">
        <f ca="1"/>
        <v>#REF!</v>
      </c>
      <c r="S250" s="31" t="e">
        <f ca="1"/>
        <v>#REF!</v>
      </c>
      <c r="T250" s="31" t="e">
        <f ca="1"/>
        <v>#REF!</v>
      </c>
      <c r="U250" s="31" t="e">
        <f ca="1"/>
        <v>#REF!</v>
      </c>
      <c r="V250" s="31" t="e">
        <f ca="1"/>
        <v>#REF!</v>
      </c>
      <c r="W250" s="32" t="e">
        <f ca="1"/>
        <v>#REF!</v>
      </c>
      <c r="X250" s="32" t="e">
        <f ca="1"/>
        <v>#REF!</v>
      </c>
      <c r="Y250" s="32" t="e">
        <f ca="1"/>
        <v>#REF!</v>
      </c>
      <c r="Z250" s="33" t="e">
        <f ca="1"/>
        <v>#REF!</v>
      </c>
      <c r="AA250" s="34" t="e">
        <f ca="1"/>
        <v>#REF!</v>
      </c>
    </row>
    <row r="251" spans="1:27" s="25" customFormat="1" ht="68.25" customHeight="1" x14ac:dyDescent="0.25">
      <c r="A251" s="24">
        <v>245</v>
      </c>
      <c r="B251" s="24"/>
      <c r="D251" s="26"/>
      <c r="G251" s="24"/>
      <c r="H251" s="25" t="e">
        <f ca="1"/>
        <v>#REF!</v>
      </c>
      <c r="I251" s="24" t="e">
        <f ca="1"/>
        <v>#REF!</v>
      </c>
      <c r="J251" s="25" t="e">
        <f ca="1"/>
        <v>#REF!</v>
      </c>
      <c r="K251" s="29" t="e">
        <f ca="1"/>
        <v>#REF!</v>
      </c>
      <c r="L251" s="29" t="e">
        <f ca="1"/>
        <v>#REF!</v>
      </c>
      <c r="M251" s="25" t="e">
        <f ca="1"/>
        <v>#REF!</v>
      </c>
      <c r="N251" s="30" t="e">
        <f ca="1"/>
        <v>#REF!</v>
      </c>
      <c r="O251" s="31" t="e">
        <f ca="1"/>
        <v>#REF!</v>
      </c>
      <c r="P251" s="31" t="e">
        <f ca="1"/>
        <v>#REF!</v>
      </c>
      <c r="Q251" s="31" t="e">
        <f ca="1"/>
        <v>#REF!</v>
      </c>
      <c r="R251" s="31" t="e">
        <f ca="1"/>
        <v>#REF!</v>
      </c>
      <c r="S251" s="31" t="e">
        <f ca="1"/>
        <v>#REF!</v>
      </c>
      <c r="T251" s="31" t="e">
        <f ca="1"/>
        <v>#REF!</v>
      </c>
      <c r="U251" s="31" t="e">
        <f ca="1"/>
        <v>#REF!</v>
      </c>
      <c r="V251" s="31" t="e">
        <f ca="1"/>
        <v>#REF!</v>
      </c>
      <c r="W251" s="32" t="e">
        <f ca="1"/>
        <v>#REF!</v>
      </c>
      <c r="X251" s="32" t="e">
        <f ca="1"/>
        <v>#REF!</v>
      </c>
      <c r="Y251" s="32" t="e">
        <f ca="1"/>
        <v>#REF!</v>
      </c>
      <c r="Z251" s="33" t="e">
        <f ca="1"/>
        <v>#REF!</v>
      </c>
      <c r="AA251" s="34" t="e">
        <f ca="1"/>
        <v>#REF!</v>
      </c>
    </row>
    <row r="252" spans="1:27" s="25" customFormat="1" ht="31.5" customHeight="1" x14ac:dyDescent="0.25">
      <c r="A252" s="24">
        <v>246</v>
      </c>
      <c r="B252" s="24"/>
      <c r="D252" s="26"/>
      <c r="G252" s="24"/>
      <c r="H252" s="25" t="e">
        <f ca="1"/>
        <v>#REF!</v>
      </c>
      <c r="I252" s="24" t="e">
        <f ca="1"/>
        <v>#REF!</v>
      </c>
      <c r="J252" s="25" t="e">
        <f ca="1"/>
        <v>#REF!</v>
      </c>
      <c r="K252" s="29" t="e">
        <f ca="1"/>
        <v>#REF!</v>
      </c>
      <c r="L252" s="29" t="e">
        <f ca="1"/>
        <v>#REF!</v>
      </c>
      <c r="M252" s="25" t="e">
        <f ca="1"/>
        <v>#REF!</v>
      </c>
      <c r="N252" s="30" t="e">
        <f ca="1"/>
        <v>#REF!</v>
      </c>
      <c r="O252" s="31" t="e">
        <f ca="1"/>
        <v>#REF!</v>
      </c>
      <c r="P252" s="31" t="e">
        <f ca="1"/>
        <v>#REF!</v>
      </c>
      <c r="Q252" s="31" t="e">
        <f ca="1"/>
        <v>#REF!</v>
      </c>
      <c r="R252" s="31" t="e">
        <f ca="1"/>
        <v>#REF!</v>
      </c>
      <c r="S252" s="31" t="e">
        <f ca="1"/>
        <v>#REF!</v>
      </c>
      <c r="T252" s="31" t="e">
        <f ca="1"/>
        <v>#REF!</v>
      </c>
      <c r="U252" s="31" t="e">
        <f ca="1"/>
        <v>#REF!</v>
      </c>
      <c r="V252" s="31" t="e">
        <f ca="1"/>
        <v>#REF!</v>
      </c>
      <c r="W252" s="32" t="e">
        <f ca="1"/>
        <v>#REF!</v>
      </c>
      <c r="X252" s="32" t="e">
        <f ca="1"/>
        <v>#REF!</v>
      </c>
      <c r="Y252" s="32" t="e">
        <f ca="1"/>
        <v>#REF!</v>
      </c>
      <c r="Z252" s="33" t="e">
        <f ca="1"/>
        <v>#REF!</v>
      </c>
      <c r="AA252" s="34" t="e">
        <f ca="1"/>
        <v>#REF!</v>
      </c>
    </row>
    <row r="253" spans="1:27" s="67" customFormat="1" ht="31.5" customHeight="1" x14ac:dyDescent="0.25">
      <c r="A253" s="24">
        <v>247</v>
      </c>
      <c r="B253" s="66"/>
      <c r="D253" s="68"/>
      <c r="G253" s="66"/>
      <c r="H253" s="67" t="e">
        <f ca="1"/>
        <v>#REF!</v>
      </c>
      <c r="I253" s="66" t="e">
        <f ca="1"/>
        <v>#REF!</v>
      </c>
      <c r="J253" s="67" t="e">
        <f ca="1"/>
        <v>#REF!</v>
      </c>
      <c r="K253" s="69" t="e">
        <f ca="1"/>
        <v>#REF!</v>
      </c>
      <c r="L253" s="29" t="e">
        <f ca="1"/>
        <v>#REF!</v>
      </c>
      <c r="M253" s="25" t="e">
        <f ca="1"/>
        <v>#REF!</v>
      </c>
      <c r="N253" s="30" t="e">
        <f ca="1"/>
        <v>#REF!</v>
      </c>
      <c r="O253" s="31" t="e">
        <f ca="1"/>
        <v>#REF!</v>
      </c>
      <c r="P253" s="31" t="e">
        <f ca="1"/>
        <v>#REF!</v>
      </c>
      <c r="Q253" s="31" t="e">
        <f ca="1"/>
        <v>#REF!</v>
      </c>
      <c r="R253" s="31" t="e">
        <f ca="1"/>
        <v>#REF!</v>
      </c>
      <c r="S253" s="31" t="e">
        <f ca="1"/>
        <v>#REF!</v>
      </c>
      <c r="T253" s="31" t="e">
        <f ca="1"/>
        <v>#REF!</v>
      </c>
      <c r="U253" s="31" t="e">
        <f ca="1"/>
        <v>#REF!</v>
      </c>
      <c r="V253" s="31" t="e">
        <f ca="1"/>
        <v>#REF!</v>
      </c>
      <c r="W253" s="32" t="e">
        <f ca="1"/>
        <v>#REF!</v>
      </c>
      <c r="X253" s="32" t="e">
        <f ca="1"/>
        <v>#REF!</v>
      </c>
      <c r="Y253" s="32" t="e">
        <f ca="1"/>
        <v>#REF!</v>
      </c>
      <c r="Z253" s="33" t="e">
        <f ca="1"/>
        <v>#REF!</v>
      </c>
      <c r="AA253" s="34" t="e">
        <f ca="1"/>
        <v>#REF!</v>
      </c>
    </row>
    <row r="254" spans="1:27" s="67" customFormat="1" ht="31.5" customHeight="1" x14ac:dyDescent="0.25">
      <c r="A254" s="24">
        <v>248</v>
      </c>
      <c r="B254" s="66"/>
      <c r="D254" s="68"/>
      <c r="G254" s="66"/>
      <c r="H254" s="67" t="e">
        <f ca="1"/>
        <v>#REF!</v>
      </c>
      <c r="I254" s="66" t="e">
        <f ca="1"/>
        <v>#REF!</v>
      </c>
      <c r="J254" s="67" t="e">
        <f ca="1"/>
        <v>#REF!</v>
      </c>
      <c r="K254" s="69" t="e">
        <f ca="1"/>
        <v>#REF!</v>
      </c>
      <c r="L254" s="29" t="e">
        <f ca="1"/>
        <v>#REF!</v>
      </c>
      <c r="M254" s="25" t="e">
        <f ca="1"/>
        <v>#REF!</v>
      </c>
      <c r="N254" s="30" t="e">
        <f ca="1"/>
        <v>#REF!</v>
      </c>
      <c r="O254" s="31" t="e">
        <f ca="1"/>
        <v>#REF!</v>
      </c>
      <c r="P254" s="31" t="e">
        <f ca="1"/>
        <v>#REF!</v>
      </c>
      <c r="Q254" s="31" t="e">
        <f ca="1"/>
        <v>#REF!</v>
      </c>
      <c r="R254" s="31" t="e">
        <f ca="1"/>
        <v>#REF!</v>
      </c>
      <c r="S254" s="31" t="e">
        <f ca="1"/>
        <v>#REF!</v>
      </c>
      <c r="T254" s="31" t="e">
        <f ca="1"/>
        <v>#REF!</v>
      </c>
      <c r="U254" s="31" t="e">
        <f ca="1"/>
        <v>#REF!</v>
      </c>
      <c r="V254" s="31" t="e">
        <f ca="1"/>
        <v>#REF!</v>
      </c>
      <c r="W254" s="32" t="e">
        <f ca="1"/>
        <v>#REF!</v>
      </c>
      <c r="X254" s="32" t="e">
        <f ca="1"/>
        <v>#REF!</v>
      </c>
      <c r="Y254" s="32" t="e">
        <f ca="1"/>
        <v>#REF!</v>
      </c>
      <c r="Z254" s="33" t="e">
        <f ca="1"/>
        <v>#REF!</v>
      </c>
      <c r="AA254" s="34" t="e">
        <f ca="1"/>
        <v>#REF!</v>
      </c>
    </row>
    <row r="255" spans="1:27" s="67" customFormat="1" ht="31.5" customHeight="1" x14ac:dyDescent="0.25">
      <c r="A255" s="24">
        <v>249</v>
      </c>
      <c r="B255" s="66"/>
      <c r="D255" s="68"/>
      <c r="G255" s="66"/>
      <c r="H255" s="67" t="e">
        <f ca="1"/>
        <v>#REF!</v>
      </c>
      <c r="I255" s="66" t="e">
        <f ca="1"/>
        <v>#REF!</v>
      </c>
      <c r="J255" s="67" t="e">
        <f ca="1"/>
        <v>#REF!</v>
      </c>
      <c r="K255" s="69" t="e">
        <f ca="1"/>
        <v>#REF!</v>
      </c>
      <c r="L255" s="29" t="e">
        <f ca="1"/>
        <v>#REF!</v>
      </c>
      <c r="M255" s="25" t="e">
        <f ca="1"/>
        <v>#REF!</v>
      </c>
      <c r="N255" s="30" t="e">
        <f ca="1"/>
        <v>#REF!</v>
      </c>
      <c r="O255" s="31" t="e">
        <f ca="1"/>
        <v>#REF!</v>
      </c>
      <c r="P255" s="31" t="e">
        <f ca="1"/>
        <v>#REF!</v>
      </c>
      <c r="Q255" s="31" t="e">
        <f ca="1"/>
        <v>#REF!</v>
      </c>
      <c r="R255" s="31" t="e">
        <f ca="1"/>
        <v>#REF!</v>
      </c>
      <c r="S255" s="31" t="e">
        <f ca="1"/>
        <v>#REF!</v>
      </c>
      <c r="T255" s="31" t="e">
        <f ca="1"/>
        <v>#REF!</v>
      </c>
      <c r="U255" s="31" t="e">
        <f ca="1"/>
        <v>#REF!</v>
      </c>
      <c r="V255" s="31" t="e">
        <f ca="1"/>
        <v>#REF!</v>
      </c>
      <c r="W255" s="32" t="e">
        <f ca="1"/>
        <v>#REF!</v>
      </c>
      <c r="X255" s="32" t="e">
        <f ca="1"/>
        <v>#REF!</v>
      </c>
      <c r="Y255" s="32" t="e">
        <f ca="1"/>
        <v>#REF!</v>
      </c>
      <c r="Z255" s="33" t="e">
        <f ca="1"/>
        <v>#REF!</v>
      </c>
      <c r="AA255" s="34" t="e">
        <f ca="1"/>
        <v>#REF!</v>
      </c>
    </row>
    <row r="256" spans="1:27" s="67" customFormat="1" ht="31.5" customHeight="1" x14ac:dyDescent="0.25">
      <c r="A256" s="24">
        <v>250</v>
      </c>
      <c r="B256" s="66"/>
      <c r="D256" s="68"/>
      <c r="G256" s="66"/>
      <c r="H256" s="67" t="e">
        <f ca="1"/>
        <v>#REF!</v>
      </c>
      <c r="I256" s="66" t="e">
        <f ca="1"/>
        <v>#REF!</v>
      </c>
      <c r="J256" s="67" t="e">
        <f ca="1"/>
        <v>#REF!</v>
      </c>
      <c r="K256" s="69" t="e">
        <f ca="1"/>
        <v>#REF!</v>
      </c>
      <c r="L256" s="29" t="e">
        <f ca="1"/>
        <v>#REF!</v>
      </c>
      <c r="M256" s="25" t="e">
        <f ca="1"/>
        <v>#REF!</v>
      </c>
      <c r="N256" s="30" t="e">
        <f ca="1"/>
        <v>#REF!</v>
      </c>
      <c r="O256" s="31" t="e">
        <f ca="1"/>
        <v>#REF!</v>
      </c>
      <c r="P256" s="31" t="e">
        <f ca="1"/>
        <v>#REF!</v>
      </c>
      <c r="Q256" s="31" t="e">
        <f ca="1"/>
        <v>#REF!</v>
      </c>
      <c r="R256" s="31" t="e">
        <f ca="1"/>
        <v>#REF!</v>
      </c>
      <c r="S256" s="31" t="e">
        <f ca="1"/>
        <v>#REF!</v>
      </c>
      <c r="T256" s="31" t="e">
        <f ca="1"/>
        <v>#REF!</v>
      </c>
      <c r="U256" s="31" t="e">
        <f ca="1"/>
        <v>#REF!</v>
      </c>
      <c r="V256" s="31" t="e">
        <f ca="1"/>
        <v>#REF!</v>
      </c>
      <c r="W256" s="32" t="e">
        <f ca="1"/>
        <v>#REF!</v>
      </c>
      <c r="X256" s="32" t="e">
        <f ca="1"/>
        <v>#REF!</v>
      </c>
      <c r="Y256" s="32" t="e">
        <f ca="1"/>
        <v>#REF!</v>
      </c>
      <c r="Z256" s="33" t="e">
        <f ca="1"/>
        <v>#REF!</v>
      </c>
      <c r="AA256" s="34" t="e">
        <f ca="1"/>
        <v>#REF!</v>
      </c>
    </row>
    <row r="257" spans="1:27" s="67" customFormat="1" ht="31.5" customHeight="1" x14ac:dyDescent="0.25">
      <c r="A257" s="24">
        <v>251</v>
      </c>
      <c r="B257" s="66"/>
      <c r="D257" s="68"/>
      <c r="G257" s="66"/>
      <c r="H257" s="67" t="e">
        <f ca="1"/>
        <v>#REF!</v>
      </c>
      <c r="I257" s="66" t="e">
        <f ca="1"/>
        <v>#REF!</v>
      </c>
      <c r="J257" s="67" t="e">
        <f ca="1"/>
        <v>#REF!</v>
      </c>
      <c r="K257" s="69" t="e">
        <f ca="1"/>
        <v>#REF!</v>
      </c>
      <c r="L257" s="29" t="e">
        <f ca="1"/>
        <v>#REF!</v>
      </c>
      <c r="M257" s="25" t="e">
        <f ca="1"/>
        <v>#REF!</v>
      </c>
      <c r="N257" s="30" t="e">
        <f ca="1"/>
        <v>#REF!</v>
      </c>
      <c r="O257" s="31" t="e">
        <f ca="1"/>
        <v>#REF!</v>
      </c>
      <c r="P257" s="31" t="e">
        <f ca="1"/>
        <v>#REF!</v>
      </c>
      <c r="Q257" s="31" t="e">
        <f ca="1"/>
        <v>#REF!</v>
      </c>
      <c r="R257" s="31" t="e">
        <f ca="1"/>
        <v>#REF!</v>
      </c>
      <c r="S257" s="31" t="e">
        <f ca="1"/>
        <v>#REF!</v>
      </c>
      <c r="T257" s="31" t="e">
        <f ca="1"/>
        <v>#REF!</v>
      </c>
      <c r="U257" s="31" t="e">
        <f ca="1"/>
        <v>#REF!</v>
      </c>
      <c r="V257" s="31" t="e">
        <f ca="1"/>
        <v>#REF!</v>
      </c>
      <c r="W257" s="32" t="e">
        <f ca="1"/>
        <v>#REF!</v>
      </c>
      <c r="X257" s="32" t="e">
        <f ca="1"/>
        <v>#REF!</v>
      </c>
      <c r="Y257" s="32" t="e">
        <f ca="1"/>
        <v>#REF!</v>
      </c>
      <c r="Z257" s="33" t="e">
        <f ca="1"/>
        <v>#REF!</v>
      </c>
      <c r="AA257" s="34" t="e">
        <f ca="1"/>
        <v>#REF!</v>
      </c>
    </row>
    <row r="258" spans="1:27" s="67" customFormat="1" ht="31.5" customHeight="1" x14ac:dyDescent="0.25">
      <c r="A258" s="24">
        <v>252</v>
      </c>
      <c r="B258" s="66"/>
      <c r="D258" s="68"/>
      <c r="G258" s="66"/>
      <c r="H258" s="67" t="e">
        <f ca="1"/>
        <v>#REF!</v>
      </c>
      <c r="I258" s="66" t="e">
        <f ca="1"/>
        <v>#REF!</v>
      </c>
      <c r="J258" s="67" t="e">
        <f ca="1"/>
        <v>#REF!</v>
      </c>
      <c r="K258" s="69" t="e">
        <f ca="1"/>
        <v>#REF!</v>
      </c>
      <c r="L258" s="29" t="e">
        <f ca="1"/>
        <v>#REF!</v>
      </c>
      <c r="M258" s="25" t="e">
        <f ca="1"/>
        <v>#REF!</v>
      </c>
      <c r="N258" s="30" t="e">
        <f ca="1"/>
        <v>#REF!</v>
      </c>
      <c r="O258" s="31" t="e">
        <f ca="1"/>
        <v>#REF!</v>
      </c>
      <c r="P258" s="31" t="e">
        <f ca="1"/>
        <v>#REF!</v>
      </c>
      <c r="Q258" s="31" t="e">
        <f ca="1"/>
        <v>#REF!</v>
      </c>
      <c r="R258" s="31" t="e">
        <f ca="1"/>
        <v>#REF!</v>
      </c>
      <c r="S258" s="31" t="e">
        <f ca="1"/>
        <v>#REF!</v>
      </c>
      <c r="T258" s="31" t="e">
        <f ca="1"/>
        <v>#REF!</v>
      </c>
      <c r="U258" s="31" t="e">
        <f ca="1"/>
        <v>#REF!</v>
      </c>
      <c r="V258" s="31" t="e">
        <f ca="1"/>
        <v>#REF!</v>
      </c>
      <c r="W258" s="32" t="e">
        <f ca="1"/>
        <v>#REF!</v>
      </c>
      <c r="X258" s="32" t="e">
        <f ca="1"/>
        <v>#REF!</v>
      </c>
      <c r="Y258" s="32" t="e">
        <f ca="1"/>
        <v>#REF!</v>
      </c>
      <c r="Z258" s="33" t="e">
        <f ca="1"/>
        <v>#REF!</v>
      </c>
      <c r="AA258" s="34" t="e">
        <f ca="1"/>
        <v>#REF!</v>
      </c>
    </row>
    <row r="259" spans="1:27" s="67" customFormat="1" ht="31.5" customHeight="1" x14ac:dyDescent="0.25">
      <c r="A259" s="24">
        <v>253</v>
      </c>
      <c r="B259" s="66"/>
      <c r="D259" s="68"/>
      <c r="G259" s="66"/>
      <c r="H259" s="67" t="e">
        <f ca="1"/>
        <v>#REF!</v>
      </c>
      <c r="I259" s="66" t="e">
        <f ca="1"/>
        <v>#REF!</v>
      </c>
      <c r="J259" s="67" t="e">
        <f ca="1"/>
        <v>#REF!</v>
      </c>
      <c r="K259" s="69" t="e">
        <f ca="1"/>
        <v>#REF!</v>
      </c>
      <c r="L259" s="29" t="e">
        <f ca="1"/>
        <v>#REF!</v>
      </c>
      <c r="M259" s="25" t="e">
        <f ca="1"/>
        <v>#REF!</v>
      </c>
      <c r="N259" s="30" t="e">
        <f ca="1"/>
        <v>#REF!</v>
      </c>
      <c r="O259" s="31" t="e">
        <f ca="1"/>
        <v>#REF!</v>
      </c>
      <c r="P259" s="31" t="e">
        <f ca="1"/>
        <v>#REF!</v>
      </c>
      <c r="Q259" s="31" t="e">
        <f ca="1"/>
        <v>#REF!</v>
      </c>
      <c r="R259" s="31" t="e">
        <f ca="1"/>
        <v>#REF!</v>
      </c>
      <c r="S259" s="31" t="e">
        <f ca="1"/>
        <v>#REF!</v>
      </c>
      <c r="T259" s="31" t="e">
        <f ca="1"/>
        <v>#REF!</v>
      </c>
      <c r="U259" s="31" t="e">
        <f ca="1"/>
        <v>#REF!</v>
      </c>
      <c r="V259" s="31" t="e">
        <f ca="1"/>
        <v>#REF!</v>
      </c>
      <c r="W259" s="32" t="e">
        <f ca="1"/>
        <v>#REF!</v>
      </c>
      <c r="X259" s="32" t="e">
        <f ca="1"/>
        <v>#REF!</v>
      </c>
      <c r="Y259" s="32" t="e">
        <f ca="1"/>
        <v>#REF!</v>
      </c>
      <c r="Z259" s="33" t="e">
        <f ca="1"/>
        <v>#REF!</v>
      </c>
      <c r="AA259" s="34" t="e">
        <f ca="1"/>
        <v>#REF!</v>
      </c>
    </row>
    <row r="260" spans="1:27" s="67" customFormat="1" ht="11.25" x14ac:dyDescent="0.25">
      <c r="A260" s="24">
        <v>254</v>
      </c>
      <c r="B260" s="66"/>
      <c r="D260" s="68"/>
      <c r="G260" s="66"/>
      <c r="H260" s="67" t="e">
        <f ca="1"/>
        <v>#REF!</v>
      </c>
      <c r="I260" s="66" t="e">
        <f ca="1"/>
        <v>#REF!</v>
      </c>
      <c r="J260" s="67" t="e">
        <f ca="1"/>
        <v>#REF!</v>
      </c>
      <c r="K260" s="69" t="e">
        <f ca="1"/>
        <v>#REF!</v>
      </c>
      <c r="L260" s="29" t="e">
        <f ca="1"/>
        <v>#REF!</v>
      </c>
      <c r="M260" s="25" t="e">
        <f ca="1"/>
        <v>#REF!</v>
      </c>
      <c r="N260" s="30" t="e">
        <f ca="1"/>
        <v>#REF!</v>
      </c>
      <c r="O260" s="31" t="e">
        <f ca="1"/>
        <v>#REF!</v>
      </c>
      <c r="P260" s="31" t="e">
        <f ca="1"/>
        <v>#REF!</v>
      </c>
      <c r="Q260" s="31" t="e">
        <f ca="1"/>
        <v>#REF!</v>
      </c>
      <c r="R260" s="31" t="e">
        <f ca="1"/>
        <v>#REF!</v>
      </c>
      <c r="S260" s="31" t="e">
        <f ca="1"/>
        <v>#REF!</v>
      </c>
      <c r="T260" s="31" t="e">
        <f ca="1"/>
        <v>#REF!</v>
      </c>
      <c r="U260" s="31" t="e">
        <f ca="1"/>
        <v>#REF!</v>
      </c>
      <c r="V260" s="31" t="e">
        <f ca="1"/>
        <v>#REF!</v>
      </c>
      <c r="W260" s="32" t="e">
        <f ca="1"/>
        <v>#REF!</v>
      </c>
      <c r="X260" s="32" t="e">
        <f ca="1"/>
        <v>#REF!</v>
      </c>
      <c r="Y260" s="32" t="e">
        <f ca="1"/>
        <v>#REF!</v>
      </c>
      <c r="Z260" s="33" t="e">
        <f ca="1"/>
        <v>#REF!</v>
      </c>
      <c r="AA260" s="34" t="e">
        <f ca="1"/>
        <v>#REF!</v>
      </c>
    </row>
    <row r="261" spans="1:27" s="67" customFormat="1" ht="11.25" x14ac:dyDescent="0.25">
      <c r="A261" s="24">
        <v>255</v>
      </c>
      <c r="B261" s="66"/>
      <c r="D261" s="68"/>
      <c r="G261" s="66"/>
      <c r="H261" s="67" t="e">
        <f ca="1"/>
        <v>#REF!</v>
      </c>
      <c r="I261" s="66" t="e">
        <f ca="1"/>
        <v>#REF!</v>
      </c>
      <c r="J261" s="67" t="e">
        <f ca="1"/>
        <v>#REF!</v>
      </c>
      <c r="K261" s="69" t="e">
        <f ca="1"/>
        <v>#REF!</v>
      </c>
      <c r="L261" s="29" t="e">
        <f ca="1"/>
        <v>#REF!</v>
      </c>
      <c r="M261" s="25" t="e">
        <f ca="1"/>
        <v>#REF!</v>
      </c>
      <c r="N261" s="30" t="e">
        <f ca="1"/>
        <v>#REF!</v>
      </c>
      <c r="O261" s="31" t="e">
        <f ca="1"/>
        <v>#REF!</v>
      </c>
      <c r="P261" s="31" t="e">
        <f ca="1"/>
        <v>#REF!</v>
      </c>
      <c r="Q261" s="31" t="e">
        <f ca="1"/>
        <v>#REF!</v>
      </c>
      <c r="R261" s="31" t="e">
        <f ca="1"/>
        <v>#REF!</v>
      </c>
      <c r="S261" s="31" t="e">
        <f ca="1"/>
        <v>#REF!</v>
      </c>
      <c r="T261" s="31" t="e">
        <f ca="1"/>
        <v>#REF!</v>
      </c>
      <c r="U261" s="31" t="e">
        <f ca="1"/>
        <v>#REF!</v>
      </c>
      <c r="V261" s="31" t="e">
        <f ca="1"/>
        <v>#REF!</v>
      </c>
      <c r="W261" s="32" t="e">
        <f ca="1"/>
        <v>#REF!</v>
      </c>
      <c r="X261" s="32" t="e">
        <f ca="1"/>
        <v>#REF!</v>
      </c>
      <c r="Y261" s="32" t="e">
        <f ca="1"/>
        <v>#REF!</v>
      </c>
      <c r="Z261" s="33" t="e">
        <f ca="1"/>
        <v>#REF!</v>
      </c>
      <c r="AA261" s="34" t="e">
        <f ca="1"/>
        <v>#REF!</v>
      </c>
    </row>
    <row r="262" spans="1:27" s="25" customFormat="1" ht="148.5" customHeight="1" x14ac:dyDescent="0.25">
      <c r="A262" s="24">
        <v>256</v>
      </c>
      <c r="B262" s="24"/>
      <c r="D262" s="26"/>
      <c r="G262" s="24"/>
      <c r="H262" s="25" t="e">
        <f ca="1"/>
        <v>#REF!</v>
      </c>
      <c r="I262" s="24" t="e">
        <f ca="1"/>
        <v>#REF!</v>
      </c>
      <c r="J262" s="25" t="e">
        <f ca="1"/>
        <v>#REF!</v>
      </c>
      <c r="K262" s="29" t="e">
        <f ca="1"/>
        <v>#REF!</v>
      </c>
      <c r="L262" s="29" t="e">
        <f ca="1"/>
        <v>#REF!</v>
      </c>
      <c r="M262" s="25" t="e">
        <f ca="1"/>
        <v>#REF!</v>
      </c>
      <c r="N262" s="30" t="e">
        <f ca="1"/>
        <v>#REF!</v>
      </c>
      <c r="O262" s="31" t="e">
        <f ca="1"/>
        <v>#REF!</v>
      </c>
      <c r="P262" s="31" t="e">
        <f ca="1"/>
        <v>#REF!</v>
      </c>
      <c r="Q262" s="31" t="e">
        <f ca="1"/>
        <v>#REF!</v>
      </c>
      <c r="R262" s="31" t="e">
        <f ca="1"/>
        <v>#REF!</v>
      </c>
      <c r="S262" s="31" t="e">
        <f ca="1"/>
        <v>#REF!</v>
      </c>
      <c r="T262" s="31" t="e">
        <f ca="1"/>
        <v>#REF!</v>
      </c>
      <c r="U262" s="31" t="e">
        <f ca="1"/>
        <v>#REF!</v>
      </c>
      <c r="V262" s="31" t="e">
        <f ca="1"/>
        <v>#REF!</v>
      </c>
      <c r="W262" s="32" t="e">
        <f ca="1"/>
        <v>#REF!</v>
      </c>
      <c r="X262" s="32" t="e">
        <f ca="1"/>
        <v>#REF!</v>
      </c>
      <c r="Y262" s="32" t="e">
        <f ca="1"/>
        <v>#REF!</v>
      </c>
      <c r="Z262" s="33" t="e">
        <f ca="1"/>
        <v>#REF!</v>
      </c>
      <c r="AA262" s="34" t="e">
        <f ca="1"/>
        <v>#REF!</v>
      </c>
    </row>
    <row r="263" spans="1:27" s="25" customFormat="1" ht="149.25" customHeight="1" x14ac:dyDescent="0.25">
      <c r="A263" s="24">
        <v>257</v>
      </c>
      <c r="B263" s="24"/>
      <c r="D263" s="26"/>
      <c r="G263" s="24"/>
      <c r="H263" s="25" t="e">
        <f ca="1"/>
        <v>#REF!</v>
      </c>
      <c r="I263" s="24" t="e">
        <f ca="1"/>
        <v>#REF!</v>
      </c>
      <c r="J263" s="25" t="e">
        <f ca="1"/>
        <v>#REF!</v>
      </c>
      <c r="K263" s="29" t="e">
        <f ca="1"/>
        <v>#REF!</v>
      </c>
      <c r="L263" s="29" t="e">
        <f ca="1"/>
        <v>#REF!</v>
      </c>
      <c r="M263" s="25" t="e">
        <f ca="1"/>
        <v>#REF!</v>
      </c>
      <c r="N263" s="30" t="e">
        <f ca="1"/>
        <v>#REF!</v>
      </c>
      <c r="O263" s="31" t="e">
        <f ca="1"/>
        <v>#REF!</v>
      </c>
      <c r="P263" s="31" t="e">
        <f ca="1"/>
        <v>#REF!</v>
      </c>
      <c r="Q263" s="31" t="e">
        <f ca="1"/>
        <v>#REF!</v>
      </c>
      <c r="R263" s="31" t="e">
        <f ca="1"/>
        <v>#REF!</v>
      </c>
      <c r="S263" s="31" t="e">
        <f ca="1"/>
        <v>#REF!</v>
      </c>
      <c r="T263" s="31" t="e">
        <f ca="1"/>
        <v>#REF!</v>
      </c>
      <c r="U263" s="31" t="e">
        <f ca="1"/>
        <v>#REF!</v>
      </c>
      <c r="V263" s="31" t="e">
        <f ca="1"/>
        <v>#REF!</v>
      </c>
      <c r="W263" s="32" t="e">
        <f ca="1"/>
        <v>#REF!</v>
      </c>
      <c r="X263" s="32" t="e">
        <f ca="1"/>
        <v>#REF!</v>
      </c>
      <c r="Y263" s="32" t="e">
        <f ca="1"/>
        <v>#REF!</v>
      </c>
      <c r="Z263" s="33" t="e">
        <f ca="1"/>
        <v>#REF!</v>
      </c>
      <c r="AA263" s="34" t="e">
        <f ca="1"/>
        <v>#REF!</v>
      </c>
    </row>
    <row r="264" spans="1:27" s="25" customFormat="1" ht="117" customHeight="1" x14ac:dyDescent="0.25">
      <c r="A264" s="24">
        <v>258</v>
      </c>
      <c r="B264" s="24"/>
      <c r="D264" s="26"/>
      <c r="G264" s="24"/>
      <c r="H264" s="25" t="e">
        <f ca="1"/>
        <v>#REF!</v>
      </c>
      <c r="I264" s="24" t="e">
        <f ca="1"/>
        <v>#REF!</v>
      </c>
      <c r="J264" s="25" t="e">
        <f ca="1"/>
        <v>#REF!</v>
      </c>
      <c r="K264" s="29" t="e">
        <f ca="1"/>
        <v>#REF!</v>
      </c>
      <c r="L264" s="29" t="e">
        <f ca="1"/>
        <v>#REF!</v>
      </c>
      <c r="M264" s="25" t="e">
        <f ca="1"/>
        <v>#REF!</v>
      </c>
      <c r="N264" s="30" t="e">
        <f ca="1"/>
        <v>#REF!</v>
      </c>
      <c r="O264" s="31" t="e">
        <f ca="1"/>
        <v>#REF!</v>
      </c>
      <c r="P264" s="31" t="e">
        <f ca="1"/>
        <v>#REF!</v>
      </c>
      <c r="Q264" s="31" t="e">
        <f ca="1"/>
        <v>#REF!</v>
      </c>
      <c r="R264" s="31" t="e">
        <f ca="1"/>
        <v>#REF!</v>
      </c>
      <c r="S264" s="31" t="e">
        <f ca="1"/>
        <v>#REF!</v>
      </c>
      <c r="T264" s="31" t="e">
        <f ca="1"/>
        <v>#REF!</v>
      </c>
      <c r="U264" s="31" t="e">
        <f ca="1"/>
        <v>#REF!</v>
      </c>
      <c r="V264" s="31" t="e">
        <f ca="1"/>
        <v>#REF!</v>
      </c>
      <c r="W264" s="32" t="e">
        <f ca="1"/>
        <v>#REF!</v>
      </c>
      <c r="X264" s="32" t="e">
        <f ca="1"/>
        <v>#REF!</v>
      </c>
      <c r="Y264" s="32" t="e">
        <f ca="1"/>
        <v>#REF!</v>
      </c>
      <c r="Z264" s="33" t="e">
        <f ca="1"/>
        <v>#REF!</v>
      </c>
      <c r="AA264" s="34" t="e">
        <f ca="1"/>
        <v>#REF!</v>
      </c>
    </row>
    <row r="265" spans="1:27" s="25" customFormat="1" ht="110.25" customHeight="1" x14ac:dyDescent="0.25">
      <c r="A265" s="24">
        <v>259</v>
      </c>
      <c r="B265" s="24"/>
      <c r="D265" s="26"/>
      <c r="G265" s="24"/>
      <c r="H265" s="25" t="e">
        <f ca="1"/>
        <v>#REF!</v>
      </c>
      <c r="I265" s="24" t="e">
        <f ca="1"/>
        <v>#REF!</v>
      </c>
      <c r="J265" s="25" t="e">
        <f ca="1"/>
        <v>#REF!</v>
      </c>
      <c r="K265" s="29" t="e">
        <f ca="1"/>
        <v>#REF!</v>
      </c>
      <c r="L265" s="29" t="e">
        <f ca="1"/>
        <v>#REF!</v>
      </c>
      <c r="M265" s="25" t="e">
        <f ca="1"/>
        <v>#REF!</v>
      </c>
      <c r="N265" s="30" t="e">
        <f ca="1"/>
        <v>#REF!</v>
      </c>
      <c r="O265" s="31" t="e">
        <f ca="1"/>
        <v>#REF!</v>
      </c>
      <c r="P265" s="31" t="e">
        <f ca="1"/>
        <v>#REF!</v>
      </c>
      <c r="Q265" s="31" t="e">
        <f ca="1"/>
        <v>#REF!</v>
      </c>
      <c r="R265" s="31" t="e">
        <f ca="1"/>
        <v>#REF!</v>
      </c>
      <c r="S265" s="31" t="e">
        <f ca="1"/>
        <v>#REF!</v>
      </c>
      <c r="T265" s="31" t="e">
        <f ca="1"/>
        <v>#REF!</v>
      </c>
      <c r="U265" s="31" t="e">
        <f ca="1"/>
        <v>#REF!</v>
      </c>
      <c r="V265" s="31" t="e">
        <f ca="1"/>
        <v>#REF!</v>
      </c>
      <c r="W265" s="32" t="e">
        <f ca="1"/>
        <v>#REF!</v>
      </c>
      <c r="X265" s="32" t="e">
        <f ca="1"/>
        <v>#REF!</v>
      </c>
      <c r="Y265" s="32" t="e">
        <f ca="1"/>
        <v>#REF!</v>
      </c>
      <c r="Z265" s="33" t="e">
        <f ca="1"/>
        <v>#REF!</v>
      </c>
      <c r="AA265" s="34" t="e">
        <f ca="1"/>
        <v>#REF!</v>
      </c>
    </row>
    <row r="266" spans="1:27" s="25" customFormat="1" ht="11.25" x14ac:dyDescent="0.25">
      <c r="A266" s="24">
        <v>260</v>
      </c>
      <c r="B266" s="24"/>
      <c r="D266" s="26"/>
      <c r="G266" s="24"/>
      <c r="H266" s="25" t="e">
        <f ca="1"/>
        <v>#REF!</v>
      </c>
      <c r="I266" s="24" t="e">
        <f ca="1"/>
        <v>#REF!</v>
      </c>
      <c r="J266" s="25" t="e">
        <f ca="1"/>
        <v>#REF!</v>
      </c>
      <c r="K266" s="29" t="e">
        <f ca="1"/>
        <v>#REF!</v>
      </c>
      <c r="L266" s="29" t="e">
        <f ca="1"/>
        <v>#REF!</v>
      </c>
      <c r="M266" s="25" t="e">
        <f ca="1"/>
        <v>#REF!</v>
      </c>
      <c r="N266" s="30" t="e">
        <f ca="1"/>
        <v>#REF!</v>
      </c>
      <c r="O266" s="31" t="e">
        <f ca="1"/>
        <v>#REF!</v>
      </c>
      <c r="P266" s="31" t="e">
        <f ca="1"/>
        <v>#REF!</v>
      </c>
      <c r="Q266" s="31" t="e">
        <f ca="1"/>
        <v>#REF!</v>
      </c>
      <c r="R266" s="31" t="e">
        <f ca="1"/>
        <v>#REF!</v>
      </c>
      <c r="S266" s="31" t="e">
        <f ca="1"/>
        <v>#REF!</v>
      </c>
      <c r="T266" s="31" t="e">
        <f ca="1"/>
        <v>#REF!</v>
      </c>
      <c r="U266" s="31" t="e">
        <f ca="1"/>
        <v>#REF!</v>
      </c>
      <c r="V266" s="31" t="e">
        <f ca="1"/>
        <v>#REF!</v>
      </c>
      <c r="W266" s="32" t="e">
        <f ca="1"/>
        <v>#REF!</v>
      </c>
      <c r="X266" s="32" t="e">
        <f ca="1"/>
        <v>#REF!</v>
      </c>
      <c r="Y266" s="32" t="e">
        <f ca="1"/>
        <v>#REF!</v>
      </c>
      <c r="Z266" s="33" t="e">
        <f ca="1"/>
        <v>#REF!</v>
      </c>
      <c r="AA266" s="34" t="e">
        <f ca="1"/>
        <v>#REF!</v>
      </c>
    </row>
    <row r="267" spans="1:27" s="25" customFormat="1" ht="11.25" x14ac:dyDescent="0.25">
      <c r="A267" s="24">
        <v>261</v>
      </c>
      <c r="B267" s="24"/>
      <c r="D267" s="26"/>
      <c r="G267" s="24"/>
      <c r="H267" s="25" t="e">
        <f ca="1"/>
        <v>#REF!</v>
      </c>
      <c r="I267" s="24" t="e">
        <f ca="1"/>
        <v>#REF!</v>
      </c>
      <c r="J267" s="25" t="e">
        <f ca="1"/>
        <v>#REF!</v>
      </c>
      <c r="K267" s="29" t="e">
        <f ca="1"/>
        <v>#REF!</v>
      </c>
      <c r="L267" s="29" t="e">
        <f ca="1"/>
        <v>#REF!</v>
      </c>
      <c r="M267" s="25" t="e">
        <f ca="1"/>
        <v>#REF!</v>
      </c>
      <c r="N267" s="30" t="e">
        <f ca="1"/>
        <v>#REF!</v>
      </c>
      <c r="O267" s="31" t="e">
        <f ca="1"/>
        <v>#REF!</v>
      </c>
      <c r="P267" s="31" t="e">
        <f ca="1"/>
        <v>#REF!</v>
      </c>
      <c r="Q267" s="31" t="e">
        <f ca="1"/>
        <v>#REF!</v>
      </c>
      <c r="R267" s="31" t="e">
        <f ca="1"/>
        <v>#REF!</v>
      </c>
      <c r="S267" s="31" t="e">
        <f ca="1"/>
        <v>#REF!</v>
      </c>
      <c r="T267" s="31" t="e">
        <f ca="1"/>
        <v>#REF!</v>
      </c>
      <c r="U267" s="31" t="e">
        <f ca="1"/>
        <v>#REF!</v>
      </c>
      <c r="V267" s="31" t="e">
        <f ca="1"/>
        <v>#REF!</v>
      </c>
      <c r="W267" s="32" t="e">
        <f ca="1"/>
        <v>#REF!</v>
      </c>
      <c r="X267" s="32" t="e">
        <f ca="1"/>
        <v>#REF!</v>
      </c>
      <c r="Y267" s="32" t="e">
        <f ca="1"/>
        <v>#REF!</v>
      </c>
      <c r="Z267" s="33" t="e">
        <f ca="1"/>
        <v>#REF!</v>
      </c>
      <c r="AA267" s="34" t="e">
        <f ca="1"/>
        <v>#REF!</v>
      </c>
    </row>
    <row r="268" spans="1:27" s="25" customFormat="1" ht="67.5" customHeight="1" x14ac:dyDescent="0.25">
      <c r="A268" s="24">
        <v>262</v>
      </c>
      <c r="B268" s="24"/>
      <c r="D268" s="26"/>
      <c r="G268" s="24"/>
      <c r="H268" s="25" t="e">
        <f ca="1"/>
        <v>#REF!</v>
      </c>
      <c r="I268" s="24" t="e">
        <f ca="1"/>
        <v>#REF!</v>
      </c>
      <c r="J268" s="25" t="e">
        <f ca="1"/>
        <v>#REF!</v>
      </c>
      <c r="K268" s="29" t="e">
        <f ca="1"/>
        <v>#REF!</v>
      </c>
      <c r="L268" s="29" t="e">
        <f ca="1"/>
        <v>#REF!</v>
      </c>
      <c r="M268" s="25" t="e">
        <f ca="1"/>
        <v>#REF!</v>
      </c>
      <c r="N268" s="30" t="e">
        <f ca="1"/>
        <v>#REF!</v>
      </c>
      <c r="O268" s="31" t="e">
        <f ca="1"/>
        <v>#REF!</v>
      </c>
      <c r="P268" s="31" t="e">
        <f ca="1"/>
        <v>#REF!</v>
      </c>
      <c r="Q268" s="31" t="e">
        <f ca="1"/>
        <v>#REF!</v>
      </c>
      <c r="R268" s="31" t="e">
        <f ca="1"/>
        <v>#REF!</v>
      </c>
      <c r="S268" s="31" t="e">
        <f ca="1"/>
        <v>#REF!</v>
      </c>
      <c r="T268" s="31" t="e">
        <f ca="1"/>
        <v>#REF!</v>
      </c>
      <c r="U268" s="31" t="e">
        <f ca="1"/>
        <v>#REF!</v>
      </c>
      <c r="V268" s="31" t="e">
        <f ca="1"/>
        <v>#REF!</v>
      </c>
      <c r="W268" s="32" t="e">
        <f ca="1"/>
        <v>#REF!</v>
      </c>
      <c r="X268" s="32" t="e">
        <f ca="1"/>
        <v>#REF!</v>
      </c>
      <c r="Y268" s="32" t="e">
        <f ca="1"/>
        <v>#REF!</v>
      </c>
      <c r="Z268" s="33" t="e">
        <f ca="1"/>
        <v>#REF!</v>
      </c>
      <c r="AA268" s="34" t="e">
        <f ca="1"/>
        <v>#REF!</v>
      </c>
    </row>
    <row r="269" spans="1:27" s="25" customFormat="1" ht="11.25" x14ac:dyDescent="0.25">
      <c r="A269" s="24">
        <v>263</v>
      </c>
      <c r="B269" s="24"/>
      <c r="D269" s="26"/>
      <c r="G269" s="24"/>
      <c r="H269" s="25" t="e">
        <f ca="1"/>
        <v>#REF!</v>
      </c>
      <c r="I269" s="24" t="e">
        <f ca="1"/>
        <v>#REF!</v>
      </c>
      <c r="J269" s="25" t="e">
        <f ca="1"/>
        <v>#REF!</v>
      </c>
      <c r="K269" s="29" t="e">
        <f ca="1"/>
        <v>#REF!</v>
      </c>
      <c r="L269" s="29" t="e">
        <f ca="1"/>
        <v>#REF!</v>
      </c>
      <c r="M269" s="25" t="e">
        <f ca="1"/>
        <v>#REF!</v>
      </c>
      <c r="N269" s="30" t="e">
        <f ca="1"/>
        <v>#REF!</v>
      </c>
      <c r="O269" s="31" t="e">
        <f ca="1"/>
        <v>#REF!</v>
      </c>
      <c r="P269" s="31" t="e">
        <f ca="1"/>
        <v>#REF!</v>
      </c>
      <c r="Q269" s="31" t="e">
        <f ca="1"/>
        <v>#REF!</v>
      </c>
      <c r="R269" s="31" t="e">
        <f ca="1"/>
        <v>#REF!</v>
      </c>
      <c r="S269" s="31" t="e">
        <f ca="1"/>
        <v>#REF!</v>
      </c>
      <c r="T269" s="31" t="e">
        <f ca="1"/>
        <v>#REF!</v>
      </c>
      <c r="U269" s="31" t="e">
        <f ca="1"/>
        <v>#REF!</v>
      </c>
      <c r="V269" s="31" t="e">
        <f ca="1"/>
        <v>#REF!</v>
      </c>
      <c r="W269" s="32" t="e">
        <f ca="1"/>
        <v>#REF!</v>
      </c>
      <c r="X269" s="32" t="e">
        <f ca="1"/>
        <v>#REF!</v>
      </c>
      <c r="Y269" s="32" t="e">
        <f ca="1"/>
        <v>#REF!</v>
      </c>
      <c r="Z269" s="33" t="e">
        <f ca="1"/>
        <v>#REF!</v>
      </c>
      <c r="AA269" s="34" t="e">
        <f ca="1"/>
        <v>#REF!</v>
      </c>
    </row>
    <row r="270" spans="1:27" s="25" customFormat="1" ht="11.25" x14ac:dyDescent="0.25">
      <c r="A270" s="24">
        <v>264</v>
      </c>
      <c r="B270" s="24"/>
      <c r="D270" s="26"/>
      <c r="G270" s="24"/>
      <c r="H270" s="25" t="e">
        <f ca="1"/>
        <v>#REF!</v>
      </c>
      <c r="I270" s="24" t="e">
        <f ca="1"/>
        <v>#REF!</v>
      </c>
      <c r="J270" s="25" t="e">
        <f ca="1"/>
        <v>#REF!</v>
      </c>
      <c r="K270" s="29" t="e">
        <f ca="1"/>
        <v>#REF!</v>
      </c>
      <c r="L270" s="29" t="e">
        <f ca="1"/>
        <v>#REF!</v>
      </c>
      <c r="M270" s="25" t="e">
        <f ca="1"/>
        <v>#REF!</v>
      </c>
      <c r="N270" s="30" t="e">
        <f ca="1"/>
        <v>#REF!</v>
      </c>
      <c r="O270" s="31" t="e">
        <f ca="1"/>
        <v>#REF!</v>
      </c>
      <c r="P270" s="31" t="e">
        <f ca="1"/>
        <v>#REF!</v>
      </c>
      <c r="Q270" s="31" t="e">
        <f ca="1"/>
        <v>#REF!</v>
      </c>
      <c r="R270" s="31" t="e">
        <f ca="1"/>
        <v>#REF!</v>
      </c>
      <c r="S270" s="31" t="e">
        <f ca="1"/>
        <v>#REF!</v>
      </c>
      <c r="T270" s="31" t="e">
        <f ca="1"/>
        <v>#REF!</v>
      </c>
      <c r="U270" s="31" t="e">
        <f ca="1"/>
        <v>#REF!</v>
      </c>
      <c r="V270" s="31" t="e">
        <f ca="1"/>
        <v>#REF!</v>
      </c>
      <c r="W270" s="32" t="e">
        <f ca="1"/>
        <v>#REF!</v>
      </c>
      <c r="X270" s="32" t="e">
        <f ca="1"/>
        <v>#REF!</v>
      </c>
      <c r="Y270" s="32" t="e">
        <f ca="1"/>
        <v>#REF!</v>
      </c>
      <c r="Z270" s="33" t="e">
        <f ca="1"/>
        <v>#REF!</v>
      </c>
      <c r="AA270" s="34" t="e">
        <f ca="1"/>
        <v>#REF!</v>
      </c>
    </row>
    <row r="271" spans="1:27" s="25" customFormat="1" ht="11.25" x14ac:dyDescent="0.25">
      <c r="A271" s="24">
        <v>265</v>
      </c>
      <c r="B271" s="24"/>
      <c r="D271" s="26"/>
      <c r="G271" s="24"/>
      <c r="H271" s="25" t="e">
        <f ca="1"/>
        <v>#REF!</v>
      </c>
      <c r="I271" s="24" t="e">
        <f ca="1"/>
        <v>#REF!</v>
      </c>
      <c r="J271" s="25" t="e">
        <f ca="1"/>
        <v>#REF!</v>
      </c>
      <c r="K271" s="29" t="e">
        <f ca="1"/>
        <v>#REF!</v>
      </c>
      <c r="L271" s="29" t="e">
        <f ca="1"/>
        <v>#REF!</v>
      </c>
      <c r="M271" s="25" t="e">
        <f ca="1"/>
        <v>#REF!</v>
      </c>
      <c r="N271" s="30" t="e">
        <f ca="1"/>
        <v>#REF!</v>
      </c>
      <c r="O271" s="31" t="e">
        <f ca="1"/>
        <v>#REF!</v>
      </c>
      <c r="P271" s="31" t="e">
        <f ca="1"/>
        <v>#REF!</v>
      </c>
      <c r="Q271" s="31" t="e">
        <f ca="1"/>
        <v>#REF!</v>
      </c>
      <c r="R271" s="31" t="e">
        <f ca="1"/>
        <v>#REF!</v>
      </c>
      <c r="S271" s="31" t="e">
        <f ca="1"/>
        <v>#REF!</v>
      </c>
      <c r="T271" s="31" t="e">
        <f ca="1"/>
        <v>#REF!</v>
      </c>
      <c r="U271" s="31" t="e">
        <f ca="1"/>
        <v>#REF!</v>
      </c>
      <c r="V271" s="31" t="e">
        <f ca="1"/>
        <v>#REF!</v>
      </c>
      <c r="W271" s="32" t="e">
        <f ca="1"/>
        <v>#REF!</v>
      </c>
      <c r="X271" s="32" t="e">
        <f ca="1"/>
        <v>#REF!</v>
      </c>
      <c r="Y271" s="32" t="e">
        <f ca="1"/>
        <v>#REF!</v>
      </c>
      <c r="Z271" s="33" t="e">
        <f ca="1"/>
        <v>#REF!</v>
      </c>
      <c r="AA271" s="34" t="e">
        <f ca="1"/>
        <v>#REF!</v>
      </c>
    </row>
    <row r="272" spans="1:27" s="25" customFormat="1" ht="11.25" x14ac:dyDescent="0.25">
      <c r="A272" s="24">
        <v>266</v>
      </c>
      <c r="B272" s="24"/>
      <c r="D272" s="26"/>
      <c r="G272" s="24"/>
      <c r="H272" s="25" t="e">
        <f ca="1"/>
        <v>#REF!</v>
      </c>
      <c r="I272" s="24" t="e">
        <f ca="1"/>
        <v>#REF!</v>
      </c>
      <c r="J272" s="25" t="e">
        <f ca="1"/>
        <v>#REF!</v>
      </c>
      <c r="K272" s="29" t="e">
        <f ca="1"/>
        <v>#REF!</v>
      </c>
      <c r="L272" s="29" t="e">
        <f ca="1"/>
        <v>#REF!</v>
      </c>
      <c r="M272" s="25" t="e">
        <f ca="1"/>
        <v>#REF!</v>
      </c>
      <c r="N272" s="30" t="e">
        <f ca="1"/>
        <v>#REF!</v>
      </c>
      <c r="O272" s="31" t="e">
        <f ca="1"/>
        <v>#REF!</v>
      </c>
      <c r="P272" s="31" t="e">
        <f ca="1"/>
        <v>#REF!</v>
      </c>
      <c r="Q272" s="31" t="e">
        <f ca="1"/>
        <v>#REF!</v>
      </c>
      <c r="R272" s="31" t="e">
        <f ca="1"/>
        <v>#REF!</v>
      </c>
      <c r="S272" s="31" t="e">
        <f ca="1"/>
        <v>#REF!</v>
      </c>
      <c r="T272" s="31" t="e">
        <f ca="1"/>
        <v>#REF!</v>
      </c>
      <c r="U272" s="31" t="e">
        <f ca="1"/>
        <v>#REF!</v>
      </c>
      <c r="V272" s="31" t="e">
        <f ca="1"/>
        <v>#REF!</v>
      </c>
      <c r="W272" s="32" t="e">
        <f ca="1"/>
        <v>#REF!</v>
      </c>
      <c r="X272" s="32" t="e">
        <f ca="1"/>
        <v>#REF!</v>
      </c>
      <c r="Y272" s="32" t="e">
        <f ca="1"/>
        <v>#REF!</v>
      </c>
      <c r="Z272" s="33" t="e">
        <f ca="1"/>
        <v>#REF!</v>
      </c>
      <c r="AA272" s="34" t="e">
        <f ca="1"/>
        <v>#REF!</v>
      </c>
    </row>
    <row r="273" spans="1:27" s="25" customFormat="1" ht="41.25" customHeight="1" x14ac:dyDescent="0.25">
      <c r="A273" s="24">
        <v>267</v>
      </c>
      <c r="B273" s="24"/>
      <c r="D273" s="26"/>
      <c r="G273" s="24"/>
      <c r="H273" s="25" t="e">
        <f ca="1"/>
        <v>#REF!</v>
      </c>
      <c r="I273" s="24" t="e">
        <f ca="1"/>
        <v>#REF!</v>
      </c>
      <c r="J273" s="25" t="e">
        <f ca="1"/>
        <v>#REF!</v>
      </c>
      <c r="K273" s="29" t="e">
        <f ca="1"/>
        <v>#REF!</v>
      </c>
      <c r="L273" s="29" t="e">
        <f ca="1"/>
        <v>#REF!</v>
      </c>
      <c r="M273" s="25" t="e">
        <f ca="1"/>
        <v>#REF!</v>
      </c>
      <c r="N273" s="30" t="e">
        <f ca="1"/>
        <v>#REF!</v>
      </c>
      <c r="O273" s="31" t="e">
        <f ca="1"/>
        <v>#REF!</v>
      </c>
      <c r="P273" s="31" t="e">
        <f ca="1"/>
        <v>#REF!</v>
      </c>
      <c r="Q273" s="31" t="e">
        <f ca="1"/>
        <v>#REF!</v>
      </c>
      <c r="R273" s="31" t="e">
        <f ca="1"/>
        <v>#REF!</v>
      </c>
      <c r="S273" s="31" t="e">
        <f ca="1"/>
        <v>#REF!</v>
      </c>
      <c r="T273" s="31" t="e">
        <f ca="1"/>
        <v>#REF!</v>
      </c>
      <c r="U273" s="31" t="e">
        <f ca="1"/>
        <v>#REF!</v>
      </c>
      <c r="V273" s="31" t="e">
        <f ca="1"/>
        <v>#REF!</v>
      </c>
      <c r="W273" s="32" t="e">
        <f ca="1"/>
        <v>#REF!</v>
      </c>
      <c r="X273" s="32" t="e">
        <f ca="1"/>
        <v>#REF!</v>
      </c>
      <c r="Y273" s="32" t="e">
        <f ca="1"/>
        <v>#REF!</v>
      </c>
      <c r="Z273" s="33" t="e">
        <f ca="1"/>
        <v>#REF!</v>
      </c>
      <c r="AA273" s="34" t="e">
        <f ca="1"/>
        <v>#REF!</v>
      </c>
    </row>
    <row r="274" spans="1:27" s="25" customFormat="1" ht="11.25" x14ac:dyDescent="0.25">
      <c r="A274" s="24">
        <v>268</v>
      </c>
      <c r="B274" s="24"/>
      <c r="D274" s="26"/>
      <c r="G274" s="24"/>
      <c r="H274" s="25" t="e">
        <f ca="1"/>
        <v>#REF!</v>
      </c>
      <c r="I274" s="24" t="e">
        <f ca="1"/>
        <v>#REF!</v>
      </c>
      <c r="J274" s="25" t="e">
        <f ca="1"/>
        <v>#REF!</v>
      </c>
      <c r="K274" s="29" t="e">
        <f ca="1"/>
        <v>#REF!</v>
      </c>
      <c r="L274" s="29" t="e">
        <f ca="1"/>
        <v>#REF!</v>
      </c>
      <c r="M274" s="25" t="e">
        <f ca="1"/>
        <v>#REF!</v>
      </c>
      <c r="N274" s="30" t="e">
        <f ca="1"/>
        <v>#REF!</v>
      </c>
      <c r="O274" s="31" t="e">
        <f ca="1"/>
        <v>#REF!</v>
      </c>
      <c r="P274" s="31" t="e">
        <f ca="1"/>
        <v>#REF!</v>
      </c>
      <c r="Q274" s="31" t="e">
        <f ca="1"/>
        <v>#REF!</v>
      </c>
      <c r="R274" s="31" t="e">
        <f ca="1"/>
        <v>#REF!</v>
      </c>
      <c r="S274" s="31" t="e">
        <f ca="1"/>
        <v>#REF!</v>
      </c>
      <c r="T274" s="31" t="e">
        <f ca="1"/>
        <v>#REF!</v>
      </c>
      <c r="U274" s="31" t="e">
        <f ca="1"/>
        <v>#REF!</v>
      </c>
      <c r="V274" s="31" t="e">
        <f ca="1"/>
        <v>#REF!</v>
      </c>
      <c r="W274" s="32" t="e">
        <f ca="1"/>
        <v>#REF!</v>
      </c>
      <c r="X274" s="32" t="e">
        <f ca="1"/>
        <v>#REF!</v>
      </c>
      <c r="Y274" s="32" t="e">
        <f ca="1"/>
        <v>#REF!</v>
      </c>
      <c r="Z274" s="33" t="e">
        <f ca="1"/>
        <v>#REF!</v>
      </c>
      <c r="AA274" s="34" t="e">
        <f ca="1"/>
        <v>#REF!</v>
      </c>
    </row>
    <row r="275" spans="1:27" s="25" customFormat="1" ht="11.25" x14ac:dyDescent="0.25">
      <c r="A275" s="24">
        <v>269</v>
      </c>
      <c r="B275" s="24"/>
      <c r="D275" s="26"/>
      <c r="G275" s="24"/>
      <c r="H275" s="25" t="e">
        <f ca="1"/>
        <v>#REF!</v>
      </c>
      <c r="I275" s="24" t="e">
        <f ca="1"/>
        <v>#REF!</v>
      </c>
      <c r="J275" s="25" t="e">
        <f ca="1"/>
        <v>#REF!</v>
      </c>
      <c r="K275" s="29" t="e">
        <f ca="1"/>
        <v>#REF!</v>
      </c>
      <c r="L275" s="29" t="e">
        <f ca="1"/>
        <v>#REF!</v>
      </c>
      <c r="M275" s="25" t="e">
        <f ca="1"/>
        <v>#REF!</v>
      </c>
      <c r="N275" s="30" t="e">
        <f ca="1"/>
        <v>#REF!</v>
      </c>
      <c r="O275" s="31" t="e">
        <f ca="1"/>
        <v>#REF!</v>
      </c>
      <c r="P275" s="31" t="e">
        <f ca="1"/>
        <v>#REF!</v>
      </c>
      <c r="Q275" s="31" t="e">
        <f ca="1"/>
        <v>#REF!</v>
      </c>
      <c r="R275" s="31" t="e">
        <f ca="1"/>
        <v>#REF!</v>
      </c>
      <c r="S275" s="31" t="e">
        <f ca="1"/>
        <v>#REF!</v>
      </c>
      <c r="T275" s="31" t="e">
        <f ca="1"/>
        <v>#REF!</v>
      </c>
      <c r="U275" s="31" t="e">
        <f ca="1"/>
        <v>#REF!</v>
      </c>
      <c r="V275" s="31" t="e">
        <f ca="1"/>
        <v>#REF!</v>
      </c>
      <c r="W275" s="32" t="e">
        <f ca="1"/>
        <v>#REF!</v>
      </c>
      <c r="X275" s="32" t="e">
        <f ca="1"/>
        <v>#REF!</v>
      </c>
      <c r="Y275" s="32" t="e">
        <f ca="1"/>
        <v>#REF!</v>
      </c>
      <c r="Z275" s="33" t="e">
        <f ca="1"/>
        <v>#REF!</v>
      </c>
      <c r="AA275" s="34" t="e">
        <f ca="1"/>
        <v>#REF!</v>
      </c>
    </row>
    <row r="276" spans="1:27" s="25" customFormat="1" ht="11.25" x14ac:dyDescent="0.25">
      <c r="A276" s="24">
        <v>270</v>
      </c>
      <c r="B276" s="24"/>
      <c r="D276" s="26"/>
      <c r="G276" s="24"/>
      <c r="H276" s="25" t="e">
        <f ca="1"/>
        <v>#REF!</v>
      </c>
      <c r="I276" s="24" t="e">
        <f ca="1"/>
        <v>#REF!</v>
      </c>
      <c r="J276" s="25" t="e">
        <f ca="1"/>
        <v>#REF!</v>
      </c>
      <c r="K276" s="29" t="e">
        <f ca="1"/>
        <v>#REF!</v>
      </c>
      <c r="L276" s="29" t="e">
        <f ca="1"/>
        <v>#REF!</v>
      </c>
      <c r="M276" s="25" t="e">
        <f ca="1"/>
        <v>#REF!</v>
      </c>
      <c r="N276" s="30" t="e">
        <f ca="1"/>
        <v>#REF!</v>
      </c>
      <c r="O276" s="31" t="e">
        <f ca="1"/>
        <v>#REF!</v>
      </c>
      <c r="P276" s="31" t="e">
        <f ca="1"/>
        <v>#REF!</v>
      </c>
      <c r="Q276" s="31" t="e">
        <f ca="1"/>
        <v>#REF!</v>
      </c>
      <c r="R276" s="31" t="e">
        <f ca="1"/>
        <v>#REF!</v>
      </c>
      <c r="S276" s="31" t="e">
        <f ca="1"/>
        <v>#REF!</v>
      </c>
      <c r="T276" s="31" t="e">
        <f ca="1"/>
        <v>#REF!</v>
      </c>
      <c r="U276" s="31" t="e">
        <f ca="1"/>
        <v>#REF!</v>
      </c>
      <c r="V276" s="31" t="e">
        <f ca="1"/>
        <v>#REF!</v>
      </c>
      <c r="W276" s="32" t="e">
        <f ca="1"/>
        <v>#REF!</v>
      </c>
      <c r="X276" s="32" t="e">
        <f ca="1"/>
        <v>#REF!</v>
      </c>
      <c r="Y276" s="32" t="e">
        <f ca="1"/>
        <v>#REF!</v>
      </c>
      <c r="Z276" s="33" t="e">
        <f ca="1"/>
        <v>#REF!</v>
      </c>
      <c r="AA276" s="34" t="e">
        <f ca="1"/>
        <v>#REF!</v>
      </c>
    </row>
    <row r="277" spans="1:27" s="25" customFormat="1" ht="11.25" x14ac:dyDescent="0.25">
      <c r="A277" s="24">
        <v>271</v>
      </c>
      <c r="B277" s="24"/>
      <c r="D277" s="26"/>
      <c r="G277" s="24"/>
      <c r="H277" s="25" t="e">
        <f ca="1"/>
        <v>#REF!</v>
      </c>
      <c r="I277" s="24" t="e">
        <f ca="1"/>
        <v>#REF!</v>
      </c>
      <c r="J277" s="25" t="e">
        <f ca="1"/>
        <v>#REF!</v>
      </c>
      <c r="K277" s="29" t="e">
        <f ca="1"/>
        <v>#REF!</v>
      </c>
      <c r="L277" s="29" t="e">
        <f ca="1"/>
        <v>#REF!</v>
      </c>
      <c r="M277" s="25" t="e">
        <f ca="1"/>
        <v>#REF!</v>
      </c>
      <c r="N277" s="30" t="e">
        <f ca="1"/>
        <v>#REF!</v>
      </c>
      <c r="O277" s="31" t="e">
        <f ca="1"/>
        <v>#REF!</v>
      </c>
      <c r="P277" s="31" t="e">
        <f ca="1"/>
        <v>#REF!</v>
      </c>
      <c r="Q277" s="31" t="e">
        <f ca="1"/>
        <v>#REF!</v>
      </c>
      <c r="R277" s="31" t="e">
        <f ca="1"/>
        <v>#REF!</v>
      </c>
      <c r="S277" s="31" t="e">
        <f ca="1"/>
        <v>#REF!</v>
      </c>
      <c r="T277" s="31" t="e">
        <f ca="1"/>
        <v>#REF!</v>
      </c>
      <c r="U277" s="31" t="e">
        <f ca="1"/>
        <v>#REF!</v>
      </c>
      <c r="V277" s="31" t="e">
        <f ca="1"/>
        <v>#REF!</v>
      </c>
      <c r="W277" s="32" t="e">
        <f ca="1"/>
        <v>#REF!</v>
      </c>
      <c r="X277" s="32" t="e">
        <f ca="1"/>
        <v>#REF!</v>
      </c>
      <c r="Y277" s="32" t="e">
        <f ca="1"/>
        <v>#REF!</v>
      </c>
      <c r="Z277" s="33" t="e">
        <f ca="1"/>
        <v>#REF!</v>
      </c>
      <c r="AA277" s="34" t="e">
        <f ca="1"/>
        <v>#REF!</v>
      </c>
    </row>
    <row r="278" spans="1:27" s="25" customFormat="1" ht="11.25" x14ac:dyDescent="0.25">
      <c r="A278" s="24">
        <v>272</v>
      </c>
      <c r="B278" s="24"/>
      <c r="D278" s="26"/>
      <c r="G278" s="24"/>
      <c r="H278" s="25" t="e">
        <f ca="1"/>
        <v>#REF!</v>
      </c>
      <c r="I278" s="24" t="e">
        <f ca="1"/>
        <v>#REF!</v>
      </c>
      <c r="J278" s="25" t="e">
        <f ca="1"/>
        <v>#REF!</v>
      </c>
      <c r="K278" s="29" t="e">
        <f ca="1"/>
        <v>#REF!</v>
      </c>
      <c r="L278" s="29" t="e">
        <f ca="1"/>
        <v>#REF!</v>
      </c>
      <c r="M278" s="25" t="e">
        <f ca="1"/>
        <v>#REF!</v>
      </c>
      <c r="N278" s="30" t="e">
        <f ca="1"/>
        <v>#REF!</v>
      </c>
      <c r="O278" s="31" t="e">
        <f ca="1"/>
        <v>#REF!</v>
      </c>
      <c r="P278" s="31" t="e">
        <f ca="1"/>
        <v>#REF!</v>
      </c>
      <c r="Q278" s="31" t="e">
        <f ca="1"/>
        <v>#REF!</v>
      </c>
      <c r="R278" s="31" t="e">
        <f ca="1"/>
        <v>#REF!</v>
      </c>
      <c r="S278" s="31" t="e">
        <f ca="1"/>
        <v>#REF!</v>
      </c>
      <c r="T278" s="31" t="e">
        <f ca="1"/>
        <v>#REF!</v>
      </c>
      <c r="U278" s="31" t="e">
        <f ca="1"/>
        <v>#REF!</v>
      </c>
      <c r="V278" s="31" t="e">
        <f ca="1"/>
        <v>#REF!</v>
      </c>
      <c r="W278" s="32" t="e">
        <f ca="1"/>
        <v>#REF!</v>
      </c>
      <c r="X278" s="32" t="e">
        <f ca="1"/>
        <v>#REF!</v>
      </c>
      <c r="Y278" s="32" t="e">
        <f ca="1"/>
        <v>#REF!</v>
      </c>
      <c r="Z278" s="33" t="e">
        <f ca="1"/>
        <v>#REF!</v>
      </c>
      <c r="AA278" s="34" t="e">
        <f ca="1"/>
        <v>#REF!</v>
      </c>
    </row>
    <row r="279" spans="1:27" s="25" customFormat="1" ht="33" customHeight="1" x14ac:dyDescent="0.25">
      <c r="A279" s="24">
        <v>273</v>
      </c>
      <c r="B279" s="24"/>
      <c r="D279" s="26"/>
      <c r="G279" s="24"/>
      <c r="H279" s="25" t="e">
        <f ca="1"/>
        <v>#REF!</v>
      </c>
      <c r="I279" s="24" t="e">
        <f ca="1"/>
        <v>#REF!</v>
      </c>
      <c r="J279" s="25" t="e">
        <f ca="1"/>
        <v>#REF!</v>
      </c>
      <c r="K279" s="29" t="e">
        <f ca="1"/>
        <v>#REF!</v>
      </c>
      <c r="L279" s="29" t="e">
        <f ca="1"/>
        <v>#REF!</v>
      </c>
      <c r="M279" s="25" t="e">
        <f ca="1"/>
        <v>#REF!</v>
      </c>
      <c r="N279" s="30" t="e">
        <f ca="1"/>
        <v>#REF!</v>
      </c>
      <c r="O279" s="31" t="e">
        <f ca="1"/>
        <v>#REF!</v>
      </c>
      <c r="P279" s="31" t="e">
        <f ca="1"/>
        <v>#REF!</v>
      </c>
      <c r="Q279" s="31" t="e">
        <f ca="1"/>
        <v>#REF!</v>
      </c>
      <c r="R279" s="31" t="e">
        <f ca="1"/>
        <v>#REF!</v>
      </c>
      <c r="S279" s="31" t="e">
        <f ca="1"/>
        <v>#REF!</v>
      </c>
      <c r="T279" s="31" t="e">
        <f ca="1"/>
        <v>#REF!</v>
      </c>
      <c r="U279" s="31" t="e">
        <f ca="1"/>
        <v>#REF!</v>
      </c>
      <c r="V279" s="31" t="e">
        <f ca="1"/>
        <v>#REF!</v>
      </c>
      <c r="W279" s="32" t="e">
        <f ca="1"/>
        <v>#REF!</v>
      </c>
      <c r="X279" s="32" t="e">
        <f ca="1"/>
        <v>#REF!</v>
      </c>
      <c r="Y279" s="32" t="e">
        <f ca="1"/>
        <v>#REF!</v>
      </c>
      <c r="Z279" s="33" t="e">
        <f ca="1"/>
        <v>#REF!</v>
      </c>
      <c r="AA279" s="34" t="e">
        <f ca="1"/>
        <v>#REF!</v>
      </c>
    </row>
    <row r="280" spans="1:27" s="25" customFormat="1" ht="33" customHeight="1" x14ac:dyDescent="0.25">
      <c r="A280" s="24">
        <v>274</v>
      </c>
      <c r="B280" s="24"/>
      <c r="D280" s="26"/>
      <c r="G280" s="24"/>
      <c r="H280" s="25" t="e">
        <f ca="1"/>
        <v>#REF!</v>
      </c>
      <c r="I280" s="24" t="e">
        <f ca="1"/>
        <v>#REF!</v>
      </c>
      <c r="J280" s="25" t="e">
        <f ca="1"/>
        <v>#REF!</v>
      </c>
      <c r="K280" s="29" t="e">
        <f ca="1"/>
        <v>#REF!</v>
      </c>
      <c r="L280" s="29" t="e">
        <f ca="1"/>
        <v>#REF!</v>
      </c>
      <c r="M280" s="25" t="e">
        <f ca="1"/>
        <v>#REF!</v>
      </c>
      <c r="N280" s="30" t="e">
        <f ca="1"/>
        <v>#REF!</v>
      </c>
      <c r="O280" s="31" t="e">
        <f ca="1"/>
        <v>#REF!</v>
      </c>
      <c r="P280" s="31" t="e">
        <f ca="1"/>
        <v>#REF!</v>
      </c>
      <c r="Q280" s="31" t="e">
        <f ca="1"/>
        <v>#REF!</v>
      </c>
      <c r="R280" s="31" t="e">
        <f ca="1"/>
        <v>#REF!</v>
      </c>
      <c r="S280" s="31" t="e">
        <f ca="1"/>
        <v>#REF!</v>
      </c>
      <c r="T280" s="31" t="e">
        <f ca="1"/>
        <v>#REF!</v>
      </c>
      <c r="U280" s="31" t="e">
        <f ca="1"/>
        <v>#REF!</v>
      </c>
      <c r="V280" s="31" t="e">
        <f ca="1"/>
        <v>#REF!</v>
      </c>
      <c r="W280" s="32" t="e">
        <f ca="1"/>
        <v>#REF!</v>
      </c>
      <c r="X280" s="32" t="e">
        <f ca="1"/>
        <v>#REF!</v>
      </c>
      <c r="Y280" s="32" t="e">
        <f ca="1"/>
        <v>#REF!</v>
      </c>
      <c r="Z280" s="33" t="e">
        <f ca="1"/>
        <v>#REF!</v>
      </c>
      <c r="AA280" s="34" t="e">
        <f ca="1"/>
        <v>#REF!</v>
      </c>
    </row>
    <row r="281" spans="1:27" s="25" customFormat="1" ht="33" customHeight="1" x14ac:dyDescent="0.25">
      <c r="A281" s="24">
        <v>275</v>
      </c>
      <c r="B281" s="24"/>
      <c r="D281" s="26"/>
      <c r="G281" s="24"/>
      <c r="H281" s="25" t="e">
        <f ca="1"/>
        <v>#REF!</v>
      </c>
      <c r="I281" s="24" t="e">
        <f ca="1"/>
        <v>#REF!</v>
      </c>
      <c r="J281" s="25" t="e">
        <f ca="1"/>
        <v>#REF!</v>
      </c>
      <c r="K281" s="29" t="e">
        <f ca="1"/>
        <v>#REF!</v>
      </c>
      <c r="L281" s="29" t="e">
        <f ca="1"/>
        <v>#REF!</v>
      </c>
      <c r="M281" s="25" t="e">
        <f ca="1"/>
        <v>#REF!</v>
      </c>
      <c r="N281" s="30" t="e">
        <f ca="1"/>
        <v>#REF!</v>
      </c>
      <c r="O281" s="31" t="e">
        <f ca="1"/>
        <v>#REF!</v>
      </c>
      <c r="P281" s="31" t="e">
        <f ca="1"/>
        <v>#REF!</v>
      </c>
      <c r="Q281" s="31" t="e">
        <f ca="1"/>
        <v>#REF!</v>
      </c>
      <c r="R281" s="31" t="e">
        <f ca="1"/>
        <v>#REF!</v>
      </c>
      <c r="S281" s="31" t="e">
        <f ca="1"/>
        <v>#REF!</v>
      </c>
      <c r="T281" s="31" t="e">
        <f ca="1"/>
        <v>#REF!</v>
      </c>
      <c r="U281" s="31" t="e">
        <f ca="1"/>
        <v>#REF!</v>
      </c>
      <c r="V281" s="31" t="e">
        <f ca="1"/>
        <v>#REF!</v>
      </c>
      <c r="W281" s="32" t="e">
        <f ca="1"/>
        <v>#REF!</v>
      </c>
      <c r="X281" s="32" t="e">
        <f ca="1"/>
        <v>#REF!</v>
      </c>
      <c r="Y281" s="32" t="e">
        <f ca="1"/>
        <v>#REF!</v>
      </c>
      <c r="Z281" s="33" t="e">
        <f ca="1"/>
        <v>#REF!</v>
      </c>
      <c r="AA281" s="34" t="e">
        <f ca="1"/>
        <v>#REF!</v>
      </c>
    </row>
    <row r="282" spans="1:27" s="25" customFormat="1" ht="33" customHeight="1" x14ac:dyDescent="0.25">
      <c r="A282" s="24">
        <v>276</v>
      </c>
      <c r="B282" s="24"/>
      <c r="D282" s="26"/>
      <c r="G282" s="24"/>
      <c r="H282" s="25" t="e">
        <f ca="1"/>
        <v>#REF!</v>
      </c>
      <c r="I282" s="24" t="e">
        <f ca="1"/>
        <v>#REF!</v>
      </c>
      <c r="J282" s="25" t="e">
        <f ca="1"/>
        <v>#REF!</v>
      </c>
      <c r="K282" s="29" t="e">
        <f ca="1"/>
        <v>#REF!</v>
      </c>
      <c r="L282" s="29" t="e">
        <f ca="1"/>
        <v>#REF!</v>
      </c>
      <c r="M282" s="25" t="e">
        <f ca="1"/>
        <v>#REF!</v>
      </c>
      <c r="N282" s="30" t="e">
        <f ca="1"/>
        <v>#REF!</v>
      </c>
      <c r="O282" s="31" t="e">
        <f ca="1"/>
        <v>#REF!</v>
      </c>
      <c r="P282" s="31" t="e">
        <f ca="1"/>
        <v>#REF!</v>
      </c>
      <c r="Q282" s="31" t="e">
        <f ca="1"/>
        <v>#REF!</v>
      </c>
      <c r="R282" s="31" t="e">
        <f ca="1"/>
        <v>#REF!</v>
      </c>
      <c r="S282" s="31" t="e">
        <f ca="1"/>
        <v>#REF!</v>
      </c>
      <c r="T282" s="31" t="e">
        <f ca="1"/>
        <v>#REF!</v>
      </c>
      <c r="U282" s="31" t="e">
        <f ca="1"/>
        <v>#REF!</v>
      </c>
      <c r="V282" s="31" t="e">
        <f ca="1"/>
        <v>#REF!</v>
      </c>
      <c r="W282" s="32" t="e">
        <f ca="1"/>
        <v>#REF!</v>
      </c>
      <c r="X282" s="32" t="e">
        <f ca="1"/>
        <v>#REF!</v>
      </c>
      <c r="Y282" s="32" t="e">
        <f ca="1"/>
        <v>#REF!</v>
      </c>
      <c r="Z282" s="33" t="e">
        <f ca="1"/>
        <v>#REF!</v>
      </c>
      <c r="AA282" s="34" t="e">
        <f ca="1"/>
        <v>#REF!</v>
      </c>
    </row>
    <row r="283" spans="1:27" s="25" customFormat="1" ht="11.25" x14ac:dyDescent="0.25">
      <c r="A283" s="24">
        <v>277</v>
      </c>
      <c r="B283" s="24"/>
      <c r="D283" s="26"/>
      <c r="G283" s="24"/>
      <c r="H283" s="25" t="e">
        <f ca="1"/>
        <v>#REF!</v>
      </c>
      <c r="I283" s="24" t="e">
        <f ca="1"/>
        <v>#REF!</v>
      </c>
      <c r="J283" s="25" t="e">
        <f ca="1"/>
        <v>#REF!</v>
      </c>
      <c r="K283" s="29" t="e">
        <f ca="1"/>
        <v>#REF!</v>
      </c>
      <c r="L283" s="29" t="e">
        <f ca="1"/>
        <v>#REF!</v>
      </c>
      <c r="M283" s="25" t="e">
        <f ca="1"/>
        <v>#REF!</v>
      </c>
      <c r="N283" s="30" t="e">
        <f ca="1"/>
        <v>#REF!</v>
      </c>
      <c r="O283" s="31" t="e">
        <f ca="1"/>
        <v>#REF!</v>
      </c>
      <c r="P283" s="31" t="e">
        <f ca="1"/>
        <v>#REF!</v>
      </c>
      <c r="Q283" s="31" t="e">
        <f ca="1"/>
        <v>#REF!</v>
      </c>
      <c r="R283" s="31" t="e">
        <f ca="1"/>
        <v>#REF!</v>
      </c>
      <c r="S283" s="31" t="e">
        <f ca="1"/>
        <v>#REF!</v>
      </c>
      <c r="T283" s="31" t="e">
        <f ca="1"/>
        <v>#REF!</v>
      </c>
      <c r="U283" s="31" t="e">
        <f ca="1"/>
        <v>#REF!</v>
      </c>
      <c r="V283" s="31" t="e">
        <f ca="1"/>
        <v>#REF!</v>
      </c>
      <c r="W283" s="32" t="e">
        <f ca="1"/>
        <v>#REF!</v>
      </c>
      <c r="X283" s="32" t="e">
        <f ca="1"/>
        <v>#REF!</v>
      </c>
      <c r="Y283" s="32" t="e">
        <f ca="1"/>
        <v>#REF!</v>
      </c>
      <c r="Z283" s="33" t="e">
        <f ca="1"/>
        <v>#REF!</v>
      </c>
      <c r="AA283" s="34" t="e">
        <f ca="1"/>
        <v>#REF!</v>
      </c>
    </row>
    <row r="284" spans="1:27" s="25" customFormat="1" ht="11.25" x14ac:dyDescent="0.25">
      <c r="A284" s="24">
        <v>278</v>
      </c>
      <c r="B284" s="24"/>
      <c r="D284" s="26"/>
      <c r="G284" s="24"/>
      <c r="H284" s="25" t="e">
        <f ca="1"/>
        <v>#REF!</v>
      </c>
      <c r="I284" s="24" t="e">
        <f ca="1"/>
        <v>#REF!</v>
      </c>
      <c r="J284" s="25" t="e">
        <f ca="1"/>
        <v>#REF!</v>
      </c>
      <c r="K284" s="29" t="e">
        <f ca="1"/>
        <v>#REF!</v>
      </c>
      <c r="L284" s="29" t="e">
        <f ca="1"/>
        <v>#REF!</v>
      </c>
      <c r="M284" s="25" t="e">
        <f ca="1"/>
        <v>#REF!</v>
      </c>
      <c r="N284" s="30" t="e">
        <f ca="1"/>
        <v>#REF!</v>
      </c>
      <c r="O284" s="31" t="e">
        <f ca="1"/>
        <v>#REF!</v>
      </c>
      <c r="P284" s="31" t="e">
        <f ca="1"/>
        <v>#REF!</v>
      </c>
      <c r="Q284" s="31" t="e">
        <f ca="1"/>
        <v>#REF!</v>
      </c>
      <c r="R284" s="31" t="e">
        <f ca="1"/>
        <v>#REF!</v>
      </c>
      <c r="S284" s="31" t="e">
        <f ca="1"/>
        <v>#REF!</v>
      </c>
      <c r="T284" s="31" t="e">
        <f ca="1"/>
        <v>#REF!</v>
      </c>
      <c r="U284" s="31" t="e">
        <f ca="1"/>
        <v>#REF!</v>
      </c>
      <c r="V284" s="31" t="e">
        <f ca="1"/>
        <v>#REF!</v>
      </c>
      <c r="W284" s="32" t="e">
        <f ca="1"/>
        <v>#REF!</v>
      </c>
      <c r="X284" s="32" t="e">
        <f ca="1"/>
        <v>#REF!</v>
      </c>
      <c r="Y284" s="32" t="e">
        <f ca="1"/>
        <v>#REF!</v>
      </c>
      <c r="Z284" s="33" t="e">
        <f ca="1"/>
        <v>#REF!</v>
      </c>
      <c r="AA284" s="34" t="e">
        <f ca="1"/>
        <v>#REF!</v>
      </c>
    </row>
    <row r="285" spans="1:27" s="25" customFormat="1" ht="11.25" x14ac:dyDescent="0.25">
      <c r="A285" s="24">
        <v>279</v>
      </c>
      <c r="B285" s="24"/>
      <c r="D285" s="26"/>
      <c r="G285" s="24"/>
      <c r="H285" s="25" t="e">
        <f ca="1"/>
        <v>#REF!</v>
      </c>
      <c r="I285" s="24" t="e">
        <f ca="1"/>
        <v>#REF!</v>
      </c>
      <c r="J285" s="25" t="e">
        <f ca="1"/>
        <v>#REF!</v>
      </c>
      <c r="K285" s="29" t="e">
        <f ca="1"/>
        <v>#REF!</v>
      </c>
      <c r="L285" s="29" t="e">
        <f ca="1"/>
        <v>#REF!</v>
      </c>
      <c r="M285" s="25" t="e">
        <f ca="1"/>
        <v>#REF!</v>
      </c>
      <c r="N285" s="30" t="e">
        <f ca="1"/>
        <v>#REF!</v>
      </c>
      <c r="O285" s="31" t="e">
        <f ca="1"/>
        <v>#REF!</v>
      </c>
      <c r="P285" s="31" t="e">
        <f ca="1"/>
        <v>#REF!</v>
      </c>
      <c r="Q285" s="31" t="e">
        <f ca="1"/>
        <v>#REF!</v>
      </c>
      <c r="R285" s="31" t="e">
        <f ca="1"/>
        <v>#REF!</v>
      </c>
      <c r="S285" s="31" t="e">
        <f ca="1"/>
        <v>#REF!</v>
      </c>
      <c r="T285" s="31" t="e">
        <f ca="1"/>
        <v>#REF!</v>
      </c>
      <c r="U285" s="31" t="e">
        <f ca="1"/>
        <v>#REF!</v>
      </c>
      <c r="V285" s="31" t="e">
        <f ca="1"/>
        <v>#REF!</v>
      </c>
      <c r="W285" s="32" t="e">
        <f ca="1"/>
        <v>#REF!</v>
      </c>
      <c r="X285" s="32" t="e">
        <f ca="1"/>
        <v>#REF!</v>
      </c>
      <c r="Y285" s="32" t="e">
        <f ca="1"/>
        <v>#REF!</v>
      </c>
      <c r="Z285" s="33" t="e">
        <f ca="1"/>
        <v>#REF!</v>
      </c>
      <c r="AA285" s="34" t="e">
        <f ca="1"/>
        <v>#REF!</v>
      </c>
    </row>
    <row r="286" spans="1:27" s="25" customFormat="1" ht="11.25" x14ac:dyDescent="0.25">
      <c r="A286" s="24">
        <v>280</v>
      </c>
      <c r="B286" s="24"/>
      <c r="D286" s="26"/>
      <c r="G286" s="24"/>
      <c r="H286" s="25" t="e">
        <f ca="1"/>
        <v>#REF!</v>
      </c>
      <c r="I286" s="24" t="e">
        <f ca="1"/>
        <v>#REF!</v>
      </c>
      <c r="J286" s="25" t="e">
        <f ca="1"/>
        <v>#REF!</v>
      </c>
      <c r="K286" s="29" t="e">
        <f ca="1"/>
        <v>#REF!</v>
      </c>
      <c r="L286" s="29" t="e">
        <f ca="1"/>
        <v>#REF!</v>
      </c>
      <c r="M286" s="25" t="e">
        <f ca="1"/>
        <v>#REF!</v>
      </c>
      <c r="N286" s="30" t="e">
        <f ca="1"/>
        <v>#REF!</v>
      </c>
      <c r="O286" s="31" t="e">
        <f ca="1"/>
        <v>#REF!</v>
      </c>
      <c r="P286" s="31" t="e">
        <f ca="1"/>
        <v>#REF!</v>
      </c>
      <c r="Q286" s="31" t="e">
        <f ca="1"/>
        <v>#REF!</v>
      </c>
      <c r="R286" s="31" t="e">
        <f ca="1"/>
        <v>#REF!</v>
      </c>
      <c r="S286" s="31" t="e">
        <f ca="1"/>
        <v>#REF!</v>
      </c>
      <c r="T286" s="31" t="e">
        <f ca="1"/>
        <v>#REF!</v>
      </c>
      <c r="U286" s="31" t="e">
        <f ca="1"/>
        <v>#REF!</v>
      </c>
      <c r="V286" s="31" t="e">
        <f ca="1"/>
        <v>#REF!</v>
      </c>
      <c r="W286" s="32" t="e">
        <f ca="1"/>
        <v>#REF!</v>
      </c>
      <c r="X286" s="32" t="e">
        <f ca="1"/>
        <v>#REF!</v>
      </c>
      <c r="Y286" s="32" t="e">
        <f ca="1"/>
        <v>#REF!</v>
      </c>
      <c r="Z286" s="33" t="e">
        <f ca="1"/>
        <v>#REF!</v>
      </c>
      <c r="AA286" s="34" t="e">
        <f ca="1"/>
        <v>#REF!</v>
      </c>
    </row>
    <row r="287" spans="1:27" s="25" customFormat="1" ht="11.25" x14ac:dyDescent="0.25">
      <c r="A287" s="24">
        <v>281</v>
      </c>
      <c r="B287" s="24"/>
      <c r="D287" s="26"/>
      <c r="G287" s="24"/>
      <c r="H287" s="25" t="e">
        <f ca="1"/>
        <v>#REF!</v>
      </c>
      <c r="I287" s="24" t="e">
        <f ca="1"/>
        <v>#REF!</v>
      </c>
      <c r="J287" s="25" t="e">
        <f ca="1"/>
        <v>#REF!</v>
      </c>
      <c r="K287" s="29" t="e">
        <f ca="1"/>
        <v>#REF!</v>
      </c>
      <c r="L287" s="29" t="e">
        <f ca="1"/>
        <v>#REF!</v>
      </c>
      <c r="M287" s="25" t="e">
        <f ca="1"/>
        <v>#REF!</v>
      </c>
      <c r="N287" s="30" t="e">
        <f ca="1"/>
        <v>#REF!</v>
      </c>
      <c r="O287" s="31" t="e">
        <f ca="1"/>
        <v>#REF!</v>
      </c>
      <c r="P287" s="31" t="e">
        <f ca="1"/>
        <v>#REF!</v>
      </c>
      <c r="Q287" s="31" t="e">
        <f ca="1"/>
        <v>#REF!</v>
      </c>
      <c r="R287" s="31" t="e">
        <f ca="1"/>
        <v>#REF!</v>
      </c>
      <c r="S287" s="31" t="e">
        <f ca="1"/>
        <v>#REF!</v>
      </c>
      <c r="T287" s="31" t="e">
        <f ca="1"/>
        <v>#REF!</v>
      </c>
      <c r="U287" s="31" t="e">
        <f ca="1"/>
        <v>#REF!</v>
      </c>
      <c r="V287" s="31" t="e">
        <f ca="1"/>
        <v>#REF!</v>
      </c>
      <c r="W287" s="32" t="e">
        <f ca="1"/>
        <v>#REF!</v>
      </c>
      <c r="X287" s="32" t="e">
        <f ca="1"/>
        <v>#REF!</v>
      </c>
      <c r="Y287" s="32" t="e">
        <f ca="1"/>
        <v>#REF!</v>
      </c>
      <c r="Z287" s="33" t="e">
        <f ca="1"/>
        <v>#REF!</v>
      </c>
      <c r="AA287" s="34" t="e">
        <f ca="1"/>
        <v>#REF!</v>
      </c>
    </row>
    <row r="288" spans="1:27" s="25" customFormat="1" ht="33.75" customHeight="1" x14ac:dyDescent="0.25">
      <c r="A288" s="24">
        <v>282</v>
      </c>
      <c r="B288" s="24"/>
      <c r="D288" s="26"/>
      <c r="G288" s="24"/>
      <c r="H288" s="25" t="e">
        <f ca="1"/>
        <v>#REF!</v>
      </c>
      <c r="I288" s="24" t="e">
        <f ca="1"/>
        <v>#REF!</v>
      </c>
      <c r="J288" s="25" t="e">
        <f ca="1"/>
        <v>#REF!</v>
      </c>
      <c r="K288" s="29" t="e">
        <f ca="1"/>
        <v>#REF!</v>
      </c>
      <c r="L288" s="29" t="e">
        <f ca="1"/>
        <v>#REF!</v>
      </c>
      <c r="M288" s="25" t="e">
        <f ca="1"/>
        <v>#REF!</v>
      </c>
      <c r="N288" s="30" t="e">
        <f ca="1"/>
        <v>#REF!</v>
      </c>
      <c r="O288" s="31" t="e">
        <f ca="1"/>
        <v>#REF!</v>
      </c>
      <c r="P288" s="31" t="e">
        <f ca="1"/>
        <v>#REF!</v>
      </c>
      <c r="Q288" s="31" t="e">
        <f ca="1"/>
        <v>#REF!</v>
      </c>
      <c r="R288" s="31" t="e">
        <f ca="1"/>
        <v>#REF!</v>
      </c>
      <c r="S288" s="31" t="e">
        <f ca="1"/>
        <v>#REF!</v>
      </c>
      <c r="T288" s="31" t="e">
        <f ca="1"/>
        <v>#REF!</v>
      </c>
      <c r="U288" s="31" t="e">
        <f ca="1"/>
        <v>#REF!</v>
      </c>
      <c r="V288" s="31" t="e">
        <f ca="1"/>
        <v>#REF!</v>
      </c>
      <c r="W288" s="32" t="e">
        <f ca="1"/>
        <v>#REF!</v>
      </c>
      <c r="X288" s="32" t="e">
        <f ca="1"/>
        <v>#REF!</v>
      </c>
      <c r="Y288" s="32" t="e">
        <f ca="1"/>
        <v>#REF!</v>
      </c>
      <c r="Z288" s="33" t="e">
        <f ca="1"/>
        <v>#REF!</v>
      </c>
      <c r="AA288" s="34" t="e">
        <f ca="1"/>
        <v>#REF!</v>
      </c>
    </row>
    <row r="289" spans="1:27" s="25" customFormat="1" ht="11.25" x14ac:dyDescent="0.25">
      <c r="A289" s="24">
        <v>283</v>
      </c>
      <c r="B289" s="24"/>
      <c r="D289" s="26"/>
      <c r="G289" s="24"/>
      <c r="H289" s="25" t="e">
        <f ca="1"/>
        <v>#REF!</v>
      </c>
      <c r="I289" s="24" t="e">
        <f ca="1"/>
        <v>#REF!</v>
      </c>
      <c r="J289" s="25" t="e">
        <f ca="1"/>
        <v>#REF!</v>
      </c>
      <c r="K289" s="29" t="e">
        <f ca="1"/>
        <v>#REF!</v>
      </c>
      <c r="L289" s="29" t="e">
        <f ca="1"/>
        <v>#REF!</v>
      </c>
      <c r="M289" s="25" t="e">
        <f ca="1"/>
        <v>#REF!</v>
      </c>
      <c r="N289" s="30" t="e">
        <f ca="1"/>
        <v>#REF!</v>
      </c>
      <c r="O289" s="31" t="e">
        <f ca="1"/>
        <v>#REF!</v>
      </c>
      <c r="P289" s="31" t="e">
        <f ca="1"/>
        <v>#REF!</v>
      </c>
      <c r="Q289" s="31" t="e">
        <f ca="1"/>
        <v>#REF!</v>
      </c>
      <c r="R289" s="31" t="e">
        <f ca="1"/>
        <v>#REF!</v>
      </c>
      <c r="S289" s="31" t="e">
        <f ca="1"/>
        <v>#REF!</v>
      </c>
      <c r="T289" s="31" t="e">
        <f ca="1"/>
        <v>#REF!</v>
      </c>
      <c r="U289" s="31" t="e">
        <f ca="1"/>
        <v>#REF!</v>
      </c>
      <c r="V289" s="31" t="e">
        <f ca="1"/>
        <v>#REF!</v>
      </c>
      <c r="W289" s="32" t="e">
        <f ca="1"/>
        <v>#REF!</v>
      </c>
      <c r="X289" s="32" t="e">
        <f ca="1"/>
        <v>#REF!</v>
      </c>
      <c r="Y289" s="32" t="e">
        <f ca="1"/>
        <v>#REF!</v>
      </c>
      <c r="Z289" s="33" t="e">
        <f ca="1"/>
        <v>#REF!</v>
      </c>
      <c r="AA289" s="34" t="e">
        <f ca="1"/>
        <v>#REF!</v>
      </c>
    </row>
    <row r="290" spans="1:27" s="25" customFormat="1" ht="11.25" x14ac:dyDescent="0.25">
      <c r="A290" s="24">
        <v>284</v>
      </c>
      <c r="B290" s="24"/>
      <c r="D290" s="26"/>
      <c r="G290" s="24"/>
      <c r="H290" s="25" t="e">
        <f ca="1"/>
        <v>#REF!</v>
      </c>
      <c r="I290" s="24" t="e">
        <f ca="1"/>
        <v>#REF!</v>
      </c>
      <c r="J290" s="25" t="e">
        <f ca="1"/>
        <v>#REF!</v>
      </c>
      <c r="K290" s="29" t="e">
        <f ca="1"/>
        <v>#REF!</v>
      </c>
      <c r="L290" s="29" t="e">
        <f ca="1"/>
        <v>#REF!</v>
      </c>
      <c r="M290" s="25" t="e">
        <f ca="1"/>
        <v>#REF!</v>
      </c>
      <c r="N290" s="30" t="e">
        <f ca="1"/>
        <v>#REF!</v>
      </c>
      <c r="O290" s="31" t="e">
        <f ca="1"/>
        <v>#REF!</v>
      </c>
      <c r="P290" s="31" t="e">
        <f ca="1"/>
        <v>#REF!</v>
      </c>
      <c r="Q290" s="31" t="e">
        <f ca="1"/>
        <v>#REF!</v>
      </c>
      <c r="R290" s="31" t="e">
        <f ca="1"/>
        <v>#REF!</v>
      </c>
      <c r="S290" s="31" t="e">
        <f ca="1"/>
        <v>#REF!</v>
      </c>
      <c r="T290" s="31" t="e">
        <f ca="1"/>
        <v>#REF!</v>
      </c>
      <c r="U290" s="31" t="e">
        <f ca="1"/>
        <v>#REF!</v>
      </c>
      <c r="V290" s="31" t="e">
        <f ca="1"/>
        <v>#REF!</v>
      </c>
      <c r="W290" s="32" t="e">
        <f ca="1"/>
        <v>#REF!</v>
      </c>
      <c r="X290" s="32" t="e">
        <f ca="1"/>
        <v>#REF!</v>
      </c>
      <c r="Y290" s="32" t="e">
        <f ca="1"/>
        <v>#REF!</v>
      </c>
      <c r="Z290" s="33" t="e">
        <f ca="1"/>
        <v>#REF!</v>
      </c>
      <c r="AA290" s="34" t="e">
        <f ca="1"/>
        <v>#REF!</v>
      </c>
    </row>
    <row r="291" spans="1:27" s="25" customFormat="1" ht="11.25" x14ac:dyDescent="0.25">
      <c r="A291" s="24">
        <v>285</v>
      </c>
      <c r="B291" s="24"/>
      <c r="D291" s="26"/>
      <c r="G291" s="24"/>
      <c r="H291" s="25" t="e">
        <f ca="1"/>
        <v>#REF!</v>
      </c>
      <c r="I291" s="24" t="e">
        <f ca="1"/>
        <v>#REF!</v>
      </c>
      <c r="J291" s="25" t="e">
        <f ca="1"/>
        <v>#REF!</v>
      </c>
      <c r="K291" s="29" t="e">
        <f ca="1"/>
        <v>#REF!</v>
      </c>
      <c r="L291" s="29" t="e">
        <f ca="1"/>
        <v>#REF!</v>
      </c>
      <c r="M291" s="25" t="e">
        <f ca="1"/>
        <v>#REF!</v>
      </c>
      <c r="N291" s="30" t="e">
        <f ca="1"/>
        <v>#REF!</v>
      </c>
      <c r="O291" s="31" t="e">
        <f ca="1"/>
        <v>#REF!</v>
      </c>
      <c r="P291" s="31" t="e">
        <f ca="1"/>
        <v>#REF!</v>
      </c>
      <c r="Q291" s="31" t="e">
        <f ca="1"/>
        <v>#REF!</v>
      </c>
      <c r="R291" s="31" t="e">
        <f ca="1"/>
        <v>#REF!</v>
      </c>
      <c r="S291" s="31" t="e">
        <f ca="1"/>
        <v>#REF!</v>
      </c>
      <c r="T291" s="31" t="e">
        <f ca="1"/>
        <v>#REF!</v>
      </c>
      <c r="U291" s="31" t="e">
        <f ca="1"/>
        <v>#REF!</v>
      </c>
      <c r="V291" s="31" t="e">
        <f ca="1"/>
        <v>#REF!</v>
      </c>
      <c r="W291" s="32" t="e">
        <f ca="1"/>
        <v>#REF!</v>
      </c>
      <c r="X291" s="32" t="e">
        <f ca="1"/>
        <v>#REF!</v>
      </c>
      <c r="Y291" s="32" t="e">
        <f ca="1"/>
        <v>#REF!</v>
      </c>
      <c r="Z291" s="33" t="e">
        <f ca="1"/>
        <v>#REF!</v>
      </c>
      <c r="AA291" s="34" t="e">
        <f ca="1"/>
        <v>#REF!</v>
      </c>
    </row>
    <row r="292" spans="1:27" s="25" customFormat="1" ht="11.25" x14ac:dyDescent="0.25">
      <c r="A292" s="24">
        <v>286</v>
      </c>
      <c r="B292" s="24"/>
      <c r="D292" s="26"/>
      <c r="G292" s="24"/>
      <c r="H292" s="25" t="e">
        <f ca="1"/>
        <v>#REF!</v>
      </c>
      <c r="I292" s="24" t="e">
        <f ca="1"/>
        <v>#REF!</v>
      </c>
      <c r="J292" s="25" t="e">
        <f ca="1"/>
        <v>#REF!</v>
      </c>
      <c r="K292" s="29" t="e">
        <f ca="1"/>
        <v>#REF!</v>
      </c>
      <c r="L292" s="29" t="e">
        <f ca="1"/>
        <v>#REF!</v>
      </c>
      <c r="M292" s="25" t="e">
        <f ca="1"/>
        <v>#REF!</v>
      </c>
      <c r="N292" s="30" t="e">
        <f ca="1"/>
        <v>#REF!</v>
      </c>
      <c r="O292" s="31" t="e">
        <f ca="1"/>
        <v>#REF!</v>
      </c>
      <c r="P292" s="31" t="e">
        <f ca="1"/>
        <v>#REF!</v>
      </c>
      <c r="Q292" s="31" t="e">
        <f ca="1"/>
        <v>#REF!</v>
      </c>
      <c r="R292" s="31" t="e">
        <f ca="1"/>
        <v>#REF!</v>
      </c>
      <c r="S292" s="31" t="e">
        <f ca="1"/>
        <v>#REF!</v>
      </c>
      <c r="T292" s="31" t="e">
        <f ca="1"/>
        <v>#REF!</v>
      </c>
      <c r="U292" s="31" t="e">
        <f ca="1"/>
        <v>#REF!</v>
      </c>
      <c r="V292" s="31" t="e">
        <f ca="1"/>
        <v>#REF!</v>
      </c>
      <c r="W292" s="32" t="e">
        <f ca="1"/>
        <v>#REF!</v>
      </c>
      <c r="X292" s="32" t="e">
        <f ca="1"/>
        <v>#REF!</v>
      </c>
      <c r="Y292" s="32" t="e">
        <f ca="1"/>
        <v>#REF!</v>
      </c>
      <c r="Z292" s="33" t="e">
        <f ca="1"/>
        <v>#REF!</v>
      </c>
      <c r="AA292" s="34" t="e">
        <f ca="1"/>
        <v>#REF!</v>
      </c>
    </row>
    <row r="293" spans="1:27" s="25" customFormat="1" ht="11.25" x14ac:dyDescent="0.25">
      <c r="A293" s="24">
        <v>287</v>
      </c>
      <c r="B293" s="24"/>
      <c r="D293" s="26"/>
      <c r="G293" s="24"/>
      <c r="H293" s="25" t="e">
        <f ca="1"/>
        <v>#REF!</v>
      </c>
      <c r="I293" s="24" t="e">
        <f ca="1"/>
        <v>#REF!</v>
      </c>
      <c r="J293" s="25" t="e">
        <f ca="1"/>
        <v>#REF!</v>
      </c>
      <c r="K293" s="29" t="e">
        <f ca="1"/>
        <v>#REF!</v>
      </c>
      <c r="L293" s="29" t="e">
        <f ca="1"/>
        <v>#REF!</v>
      </c>
      <c r="M293" s="25" t="e">
        <f ca="1"/>
        <v>#REF!</v>
      </c>
      <c r="N293" s="30" t="e">
        <f ca="1"/>
        <v>#REF!</v>
      </c>
      <c r="O293" s="31" t="e">
        <f ca="1"/>
        <v>#REF!</v>
      </c>
      <c r="P293" s="31" t="e">
        <f ca="1"/>
        <v>#REF!</v>
      </c>
      <c r="Q293" s="31" t="e">
        <f ca="1"/>
        <v>#REF!</v>
      </c>
      <c r="R293" s="31" t="e">
        <f ca="1"/>
        <v>#REF!</v>
      </c>
      <c r="S293" s="31" t="e">
        <f ca="1"/>
        <v>#REF!</v>
      </c>
      <c r="T293" s="31" t="e">
        <f ca="1"/>
        <v>#REF!</v>
      </c>
      <c r="U293" s="31" t="e">
        <f ca="1"/>
        <v>#REF!</v>
      </c>
      <c r="V293" s="31" t="e">
        <f ca="1"/>
        <v>#REF!</v>
      </c>
      <c r="W293" s="32" t="e">
        <f ca="1"/>
        <v>#REF!</v>
      </c>
      <c r="X293" s="32" t="e">
        <f ca="1"/>
        <v>#REF!</v>
      </c>
      <c r="Y293" s="32" t="e">
        <f ca="1"/>
        <v>#REF!</v>
      </c>
      <c r="Z293" s="33" t="e">
        <f ca="1"/>
        <v>#REF!</v>
      </c>
      <c r="AA293" s="34" t="e">
        <f ca="1"/>
        <v>#REF!</v>
      </c>
    </row>
    <row r="294" spans="1:27" s="25" customFormat="1" ht="11.25" x14ac:dyDescent="0.25">
      <c r="A294" s="24">
        <v>288</v>
      </c>
      <c r="B294" s="24"/>
      <c r="D294" s="26"/>
      <c r="G294" s="24"/>
      <c r="H294" s="25" t="e">
        <f ca="1"/>
        <v>#REF!</v>
      </c>
      <c r="I294" s="24" t="e">
        <f ca="1"/>
        <v>#REF!</v>
      </c>
      <c r="J294" s="25" t="e">
        <f ca="1"/>
        <v>#REF!</v>
      </c>
      <c r="K294" s="29" t="e">
        <f ca="1"/>
        <v>#REF!</v>
      </c>
      <c r="L294" s="29" t="e">
        <f ca="1"/>
        <v>#REF!</v>
      </c>
      <c r="M294" s="25" t="e">
        <f ca="1"/>
        <v>#REF!</v>
      </c>
      <c r="N294" s="30" t="e">
        <f ca="1"/>
        <v>#REF!</v>
      </c>
      <c r="O294" s="31" t="e">
        <f ca="1"/>
        <v>#REF!</v>
      </c>
      <c r="P294" s="31" t="e">
        <f ca="1"/>
        <v>#REF!</v>
      </c>
      <c r="Q294" s="31" t="e">
        <f ca="1"/>
        <v>#REF!</v>
      </c>
      <c r="R294" s="31" t="e">
        <f ca="1"/>
        <v>#REF!</v>
      </c>
      <c r="S294" s="31" t="e">
        <f ca="1"/>
        <v>#REF!</v>
      </c>
      <c r="T294" s="31" t="e">
        <f ca="1"/>
        <v>#REF!</v>
      </c>
      <c r="U294" s="31" t="e">
        <f ca="1"/>
        <v>#REF!</v>
      </c>
      <c r="V294" s="31" t="e">
        <f ca="1"/>
        <v>#REF!</v>
      </c>
      <c r="W294" s="32" t="e">
        <f ca="1"/>
        <v>#REF!</v>
      </c>
      <c r="X294" s="32" t="e">
        <f ca="1"/>
        <v>#REF!</v>
      </c>
      <c r="Y294" s="32" t="e">
        <f ca="1"/>
        <v>#REF!</v>
      </c>
      <c r="Z294" s="33" t="e">
        <f ca="1"/>
        <v>#REF!</v>
      </c>
      <c r="AA294" s="34" t="e">
        <f ca="1"/>
        <v>#REF!</v>
      </c>
    </row>
    <row r="295" spans="1:27" s="25" customFormat="1" ht="11.25" x14ac:dyDescent="0.25">
      <c r="A295" s="24">
        <v>289</v>
      </c>
      <c r="B295" s="24"/>
      <c r="D295" s="26"/>
      <c r="G295" s="24"/>
      <c r="H295" s="25" t="e">
        <f ca="1"/>
        <v>#REF!</v>
      </c>
      <c r="I295" s="24" t="e">
        <f ca="1"/>
        <v>#REF!</v>
      </c>
      <c r="J295" s="25" t="e">
        <f ca="1"/>
        <v>#REF!</v>
      </c>
      <c r="K295" s="29" t="e">
        <f ca="1"/>
        <v>#REF!</v>
      </c>
      <c r="L295" s="29" t="e">
        <f ca="1"/>
        <v>#REF!</v>
      </c>
      <c r="M295" s="25" t="e">
        <f ca="1"/>
        <v>#REF!</v>
      </c>
      <c r="N295" s="30" t="e">
        <f ca="1"/>
        <v>#REF!</v>
      </c>
      <c r="O295" s="31" t="e">
        <f ca="1"/>
        <v>#REF!</v>
      </c>
      <c r="P295" s="31" t="e">
        <f ca="1"/>
        <v>#REF!</v>
      </c>
      <c r="Q295" s="31" t="e">
        <f ca="1"/>
        <v>#REF!</v>
      </c>
      <c r="R295" s="31" t="e">
        <f ca="1"/>
        <v>#REF!</v>
      </c>
      <c r="S295" s="31" t="e">
        <f ca="1"/>
        <v>#REF!</v>
      </c>
      <c r="T295" s="31" t="e">
        <f ca="1"/>
        <v>#REF!</v>
      </c>
      <c r="U295" s="31" t="e">
        <f ca="1"/>
        <v>#REF!</v>
      </c>
      <c r="V295" s="31" t="e">
        <f ca="1"/>
        <v>#REF!</v>
      </c>
      <c r="W295" s="32" t="e">
        <f ca="1"/>
        <v>#REF!</v>
      </c>
      <c r="X295" s="32" t="e">
        <f ca="1"/>
        <v>#REF!</v>
      </c>
      <c r="Y295" s="32" t="e">
        <f ca="1"/>
        <v>#REF!</v>
      </c>
      <c r="Z295" s="33" t="e">
        <f ca="1"/>
        <v>#REF!</v>
      </c>
      <c r="AA295" s="34" t="e">
        <f ca="1"/>
        <v>#REF!</v>
      </c>
    </row>
    <row r="296" spans="1:27" s="25" customFormat="1" ht="11.25" x14ac:dyDescent="0.25">
      <c r="A296" s="24">
        <v>290</v>
      </c>
      <c r="B296" s="24"/>
      <c r="D296" s="26"/>
      <c r="G296" s="24"/>
      <c r="H296" s="25" t="e">
        <f ca="1"/>
        <v>#REF!</v>
      </c>
      <c r="I296" s="24" t="e">
        <f ca="1"/>
        <v>#REF!</v>
      </c>
      <c r="J296" s="25" t="e">
        <f ca="1"/>
        <v>#REF!</v>
      </c>
      <c r="K296" s="29" t="e">
        <f ca="1"/>
        <v>#REF!</v>
      </c>
      <c r="L296" s="29" t="e">
        <f ca="1"/>
        <v>#REF!</v>
      </c>
      <c r="M296" s="25" t="e">
        <f ca="1"/>
        <v>#REF!</v>
      </c>
      <c r="N296" s="30" t="e">
        <f ca="1"/>
        <v>#REF!</v>
      </c>
      <c r="O296" s="31" t="e">
        <f ca="1"/>
        <v>#REF!</v>
      </c>
      <c r="P296" s="31" t="e">
        <f ca="1"/>
        <v>#REF!</v>
      </c>
      <c r="Q296" s="31" t="e">
        <f ca="1"/>
        <v>#REF!</v>
      </c>
      <c r="R296" s="31" t="e">
        <f ca="1"/>
        <v>#REF!</v>
      </c>
      <c r="S296" s="31" t="e">
        <f ca="1"/>
        <v>#REF!</v>
      </c>
      <c r="T296" s="31" t="e">
        <f ca="1"/>
        <v>#REF!</v>
      </c>
      <c r="U296" s="31" t="e">
        <f ca="1"/>
        <v>#REF!</v>
      </c>
      <c r="V296" s="31" t="e">
        <f ca="1"/>
        <v>#REF!</v>
      </c>
      <c r="W296" s="32" t="e">
        <f ca="1"/>
        <v>#REF!</v>
      </c>
      <c r="X296" s="32" t="e">
        <f ca="1"/>
        <v>#REF!</v>
      </c>
      <c r="Y296" s="32" t="e">
        <f ca="1"/>
        <v>#REF!</v>
      </c>
      <c r="Z296" s="33" t="e">
        <f ca="1"/>
        <v>#REF!</v>
      </c>
      <c r="AA296" s="34" t="e">
        <f ca="1"/>
        <v>#REF!</v>
      </c>
    </row>
    <row r="297" spans="1:27" s="25" customFormat="1" ht="11.25" x14ac:dyDescent="0.25">
      <c r="A297" s="24">
        <v>291</v>
      </c>
      <c r="B297" s="24"/>
      <c r="D297" s="26"/>
      <c r="G297" s="24"/>
      <c r="H297" s="25" t="e">
        <f ca="1"/>
        <v>#REF!</v>
      </c>
      <c r="I297" s="24" t="e">
        <f ca="1"/>
        <v>#REF!</v>
      </c>
      <c r="J297" s="25" t="e">
        <f ca="1"/>
        <v>#REF!</v>
      </c>
      <c r="K297" s="29" t="e">
        <f ca="1"/>
        <v>#REF!</v>
      </c>
      <c r="L297" s="29" t="e">
        <f ca="1"/>
        <v>#REF!</v>
      </c>
      <c r="M297" s="25" t="e">
        <f ca="1"/>
        <v>#REF!</v>
      </c>
      <c r="N297" s="30" t="e">
        <f ca="1"/>
        <v>#REF!</v>
      </c>
      <c r="O297" s="31" t="e">
        <f ca="1"/>
        <v>#REF!</v>
      </c>
      <c r="P297" s="31" t="e">
        <f ca="1"/>
        <v>#REF!</v>
      </c>
      <c r="Q297" s="31" t="e">
        <f ca="1"/>
        <v>#REF!</v>
      </c>
      <c r="R297" s="31" t="e">
        <f ca="1"/>
        <v>#REF!</v>
      </c>
      <c r="S297" s="31" t="e">
        <f ca="1"/>
        <v>#REF!</v>
      </c>
      <c r="T297" s="31" t="e">
        <f ca="1"/>
        <v>#REF!</v>
      </c>
      <c r="U297" s="31" t="e">
        <f ca="1"/>
        <v>#REF!</v>
      </c>
      <c r="V297" s="31" t="e">
        <f ca="1"/>
        <v>#REF!</v>
      </c>
      <c r="W297" s="32" t="e">
        <f ca="1"/>
        <v>#REF!</v>
      </c>
      <c r="X297" s="32" t="e">
        <f ca="1"/>
        <v>#REF!</v>
      </c>
      <c r="Y297" s="32" t="e">
        <f ca="1"/>
        <v>#REF!</v>
      </c>
      <c r="Z297" s="33" t="e">
        <f ca="1"/>
        <v>#REF!</v>
      </c>
      <c r="AA297" s="34" t="e">
        <f ca="1"/>
        <v>#REF!</v>
      </c>
    </row>
    <row r="298" spans="1:27" s="25" customFormat="1" ht="11.25" x14ac:dyDescent="0.25">
      <c r="A298" s="24">
        <v>292</v>
      </c>
      <c r="B298" s="24"/>
      <c r="D298" s="26"/>
      <c r="G298" s="24"/>
      <c r="H298" s="25" t="e">
        <f ca="1"/>
        <v>#REF!</v>
      </c>
      <c r="I298" s="24" t="e">
        <f ca="1"/>
        <v>#REF!</v>
      </c>
      <c r="J298" s="25" t="e">
        <f ca="1"/>
        <v>#REF!</v>
      </c>
      <c r="K298" s="29" t="e">
        <f ca="1"/>
        <v>#REF!</v>
      </c>
      <c r="L298" s="29" t="e">
        <f ca="1"/>
        <v>#REF!</v>
      </c>
      <c r="M298" s="25" t="e">
        <f ca="1"/>
        <v>#REF!</v>
      </c>
      <c r="N298" s="30" t="e">
        <f ca="1"/>
        <v>#REF!</v>
      </c>
      <c r="O298" s="31" t="e">
        <f ca="1"/>
        <v>#REF!</v>
      </c>
      <c r="P298" s="31" t="e">
        <f ca="1"/>
        <v>#REF!</v>
      </c>
      <c r="Q298" s="31" t="e">
        <f ca="1"/>
        <v>#REF!</v>
      </c>
      <c r="R298" s="31" t="e">
        <f ca="1"/>
        <v>#REF!</v>
      </c>
      <c r="S298" s="31" t="e">
        <f ca="1"/>
        <v>#REF!</v>
      </c>
      <c r="T298" s="31" t="e">
        <f ca="1"/>
        <v>#REF!</v>
      </c>
      <c r="U298" s="31" t="e">
        <f ca="1"/>
        <v>#REF!</v>
      </c>
      <c r="V298" s="31" t="e">
        <f ca="1"/>
        <v>#REF!</v>
      </c>
      <c r="W298" s="32" t="e">
        <f ca="1"/>
        <v>#REF!</v>
      </c>
      <c r="X298" s="32" t="e">
        <f ca="1"/>
        <v>#REF!</v>
      </c>
      <c r="Y298" s="32" t="e">
        <f ca="1"/>
        <v>#REF!</v>
      </c>
      <c r="Z298" s="33" t="e">
        <f ca="1"/>
        <v>#REF!</v>
      </c>
      <c r="AA298" s="34" t="e">
        <f ca="1"/>
        <v>#REF!</v>
      </c>
    </row>
    <row r="299" spans="1:27" s="25" customFormat="1" ht="45" customHeight="1" x14ac:dyDescent="0.25">
      <c r="A299" s="24">
        <v>293</v>
      </c>
      <c r="B299" s="24"/>
      <c r="D299" s="26"/>
      <c r="G299" s="24"/>
      <c r="H299" s="25" t="e">
        <f ca="1"/>
        <v>#REF!</v>
      </c>
      <c r="I299" s="24" t="e">
        <f ca="1"/>
        <v>#REF!</v>
      </c>
      <c r="J299" s="25" t="e">
        <f ca="1"/>
        <v>#REF!</v>
      </c>
      <c r="K299" s="29" t="e">
        <f ca="1"/>
        <v>#REF!</v>
      </c>
      <c r="L299" s="29" t="e">
        <f ca="1"/>
        <v>#REF!</v>
      </c>
      <c r="M299" s="25" t="e">
        <f ca="1"/>
        <v>#REF!</v>
      </c>
      <c r="N299" s="30" t="e">
        <f ca="1"/>
        <v>#REF!</v>
      </c>
      <c r="O299" s="31" t="e">
        <f ca="1"/>
        <v>#REF!</v>
      </c>
      <c r="P299" s="31" t="e">
        <f ca="1"/>
        <v>#REF!</v>
      </c>
      <c r="Q299" s="31" t="e">
        <f ca="1"/>
        <v>#REF!</v>
      </c>
      <c r="R299" s="31" t="e">
        <f ca="1"/>
        <v>#REF!</v>
      </c>
      <c r="S299" s="31" t="e">
        <f ca="1"/>
        <v>#REF!</v>
      </c>
      <c r="T299" s="31" t="e">
        <f ca="1"/>
        <v>#REF!</v>
      </c>
      <c r="U299" s="31" t="e">
        <f ca="1"/>
        <v>#REF!</v>
      </c>
      <c r="V299" s="31" t="e">
        <f ca="1"/>
        <v>#REF!</v>
      </c>
      <c r="W299" s="32" t="e">
        <f ca="1"/>
        <v>#REF!</v>
      </c>
      <c r="X299" s="32" t="e">
        <f ca="1"/>
        <v>#REF!</v>
      </c>
      <c r="Y299" s="32" t="e">
        <f ca="1"/>
        <v>#REF!</v>
      </c>
      <c r="Z299" s="33" t="e">
        <f ca="1"/>
        <v>#REF!</v>
      </c>
      <c r="AA299" s="34" t="e">
        <f ca="1"/>
        <v>#REF!</v>
      </c>
    </row>
    <row r="300" spans="1:27" s="25" customFormat="1" ht="36" customHeight="1" x14ac:dyDescent="0.25">
      <c r="A300" s="24">
        <v>294</v>
      </c>
      <c r="B300" s="24"/>
      <c r="D300" s="26"/>
      <c r="G300" s="24"/>
      <c r="H300" s="25" t="e">
        <f ca="1"/>
        <v>#REF!</v>
      </c>
      <c r="I300" s="24" t="e">
        <f ca="1"/>
        <v>#REF!</v>
      </c>
      <c r="J300" s="25" t="e">
        <f ca="1"/>
        <v>#REF!</v>
      </c>
      <c r="K300" s="29" t="e">
        <f ca="1"/>
        <v>#REF!</v>
      </c>
      <c r="L300" s="29" t="e">
        <f ca="1"/>
        <v>#REF!</v>
      </c>
      <c r="M300" s="25" t="e">
        <f ca="1"/>
        <v>#REF!</v>
      </c>
      <c r="N300" s="30" t="e">
        <f ca="1"/>
        <v>#REF!</v>
      </c>
      <c r="O300" s="31" t="e">
        <f ca="1"/>
        <v>#REF!</v>
      </c>
      <c r="P300" s="31" t="e">
        <f ca="1"/>
        <v>#REF!</v>
      </c>
      <c r="Q300" s="31" t="e">
        <f ca="1"/>
        <v>#REF!</v>
      </c>
      <c r="R300" s="31" t="e">
        <f ca="1"/>
        <v>#REF!</v>
      </c>
      <c r="S300" s="31" t="e">
        <f ca="1"/>
        <v>#REF!</v>
      </c>
      <c r="T300" s="31" t="e">
        <f ca="1"/>
        <v>#REF!</v>
      </c>
      <c r="U300" s="31" t="e">
        <f ca="1"/>
        <v>#REF!</v>
      </c>
      <c r="V300" s="31" t="e">
        <f ca="1"/>
        <v>#REF!</v>
      </c>
      <c r="W300" s="32" t="e">
        <f ca="1"/>
        <v>#REF!</v>
      </c>
      <c r="X300" s="32" t="e">
        <f ca="1"/>
        <v>#REF!</v>
      </c>
      <c r="Y300" s="32" t="e">
        <f ca="1"/>
        <v>#REF!</v>
      </c>
      <c r="Z300" s="33" t="e">
        <f ca="1"/>
        <v>#REF!</v>
      </c>
      <c r="AA300" s="34" t="e">
        <f ca="1"/>
        <v>#REF!</v>
      </c>
    </row>
    <row r="301" spans="1:27" s="25" customFormat="1" ht="11.25" x14ac:dyDescent="0.25">
      <c r="A301" s="24">
        <v>295</v>
      </c>
      <c r="B301" s="24"/>
      <c r="D301" s="26"/>
      <c r="G301" s="24"/>
      <c r="H301" s="25" t="e">
        <f ca="1"/>
        <v>#REF!</v>
      </c>
      <c r="I301" s="24" t="e">
        <f ca="1"/>
        <v>#REF!</v>
      </c>
      <c r="J301" s="25" t="e">
        <f ca="1"/>
        <v>#REF!</v>
      </c>
      <c r="K301" s="29" t="e">
        <f ca="1"/>
        <v>#REF!</v>
      </c>
      <c r="L301" s="29" t="e">
        <f ca="1"/>
        <v>#REF!</v>
      </c>
      <c r="M301" s="25" t="e">
        <f ca="1"/>
        <v>#REF!</v>
      </c>
      <c r="N301" s="30" t="e">
        <f ca="1"/>
        <v>#REF!</v>
      </c>
      <c r="O301" s="31" t="e">
        <f ca="1"/>
        <v>#REF!</v>
      </c>
      <c r="P301" s="31" t="e">
        <f ca="1"/>
        <v>#REF!</v>
      </c>
      <c r="Q301" s="31" t="e">
        <f ca="1"/>
        <v>#REF!</v>
      </c>
      <c r="R301" s="31" t="e">
        <f ca="1"/>
        <v>#REF!</v>
      </c>
      <c r="S301" s="31" t="e">
        <f ca="1"/>
        <v>#REF!</v>
      </c>
      <c r="T301" s="31" t="e">
        <f ca="1"/>
        <v>#REF!</v>
      </c>
      <c r="U301" s="31" t="e">
        <f ca="1"/>
        <v>#REF!</v>
      </c>
      <c r="V301" s="31" t="e">
        <f ca="1"/>
        <v>#REF!</v>
      </c>
      <c r="W301" s="32" t="e">
        <f ca="1"/>
        <v>#REF!</v>
      </c>
      <c r="X301" s="32" t="e">
        <f ca="1"/>
        <v>#REF!</v>
      </c>
      <c r="Y301" s="32" t="e">
        <f ca="1"/>
        <v>#REF!</v>
      </c>
      <c r="Z301" s="33" t="e">
        <f ca="1"/>
        <v>#REF!</v>
      </c>
      <c r="AA301" s="34" t="e">
        <f ca="1"/>
        <v>#REF!</v>
      </c>
    </row>
    <row r="302" spans="1:27" s="25" customFormat="1" ht="54.75" customHeight="1" x14ac:dyDescent="0.25">
      <c r="A302" s="24">
        <v>296</v>
      </c>
      <c r="B302" s="24"/>
      <c r="D302" s="26"/>
      <c r="G302" s="24"/>
      <c r="H302" s="25" t="e">
        <f ca="1"/>
        <v>#REF!</v>
      </c>
      <c r="I302" s="24" t="e">
        <f ca="1"/>
        <v>#REF!</v>
      </c>
      <c r="J302" s="25" t="e">
        <f ca="1"/>
        <v>#REF!</v>
      </c>
      <c r="K302" s="29" t="e">
        <f ca="1"/>
        <v>#REF!</v>
      </c>
      <c r="L302" s="29" t="e">
        <f ca="1"/>
        <v>#REF!</v>
      </c>
      <c r="M302" s="25" t="e">
        <f ca="1"/>
        <v>#REF!</v>
      </c>
      <c r="N302" s="30" t="e">
        <f ca="1"/>
        <v>#REF!</v>
      </c>
      <c r="O302" s="31" t="e">
        <f ca="1"/>
        <v>#REF!</v>
      </c>
      <c r="P302" s="31" t="e">
        <f ca="1"/>
        <v>#REF!</v>
      </c>
      <c r="Q302" s="31" t="e">
        <f ca="1"/>
        <v>#REF!</v>
      </c>
      <c r="R302" s="31" t="e">
        <f ca="1"/>
        <v>#REF!</v>
      </c>
      <c r="S302" s="31" t="e">
        <f ca="1"/>
        <v>#REF!</v>
      </c>
      <c r="T302" s="31" t="e">
        <f ca="1"/>
        <v>#REF!</v>
      </c>
      <c r="U302" s="31" t="e">
        <f ca="1"/>
        <v>#REF!</v>
      </c>
      <c r="V302" s="31" t="e">
        <f ca="1"/>
        <v>#REF!</v>
      </c>
      <c r="W302" s="32" t="e">
        <f ca="1"/>
        <v>#REF!</v>
      </c>
      <c r="X302" s="32" t="e">
        <f ca="1"/>
        <v>#REF!</v>
      </c>
      <c r="Y302" s="32" t="e">
        <f ca="1"/>
        <v>#REF!</v>
      </c>
      <c r="Z302" s="33" t="e">
        <f ca="1"/>
        <v>#REF!</v>
      </c>
      <c r="AA302" s="34" t="e">
        <f ca="1"/>
        <v>#REF!</v>
      </c>
    </row>
    <row r="303" spans="1:27" s="25" customFormat="1" ht="35.25" customHeight="1" x14ac:dyDescent="0.25">
      <c r="A303" s="24">
        <v>297</v>
      </c>
      <c r="B303" s="24"/>
      <c r="D303" s="26"/>
      <c r="G303" s="24"/>
      <c r="H303" s="25" t="e">
        <f ca="1"/>
        <v>#REF!</v>
      </c>
      <c r="I303" s="24" t="e">
        <f ca="1"/>
        <v>#REF!</v>
      </c>
      <c r="J303" s="25" t="e">
        <f ca="1"/>
        <v>#REF!</v>
      </c>
      <c r="K303" s="29" t="e">
        <f ca="1"/>
        <v>#REF!</v>
      </c>
      <c r="L303" s="29" t="e">
        <f ca="1"/>
        <v>#REF!</v>
      </c>
      <c r="M303" s="25" t="e">
        <f ca="1"/>
        <v>#REF!</v>
      </c>
      <c r="N303" s="30" t="e">
        <f ca="1"/>
        <v>#REF!</v>
      </c>
      <c r="O303" s="31" t="e">
        <f ca="1"/>
        <v>#REF!</v>
      </c>
      <c r="P303" s="31" t="e">
        <f ca="1"/>
        <v>#REF!</v>
      </c>
      <c r="Q303" s="31" t="e">
        <f ca="1"/>
        <v>#REF!</v>
      </c>
      <c r="R303" s="31" t="e">
        <f ca="1"/>
        <v>#REF!</v>
      </c>
      <c r="S303" s="31" t="e">
        <f ca="1"/>
        <v>#REF!</v>
      </c>
      <c r="T303" s="31" t="e">
        <f ca="1"/>
        <v>#REF!</v>
      </c>
      <c r="U303" s="31" t="e">
        <f ca="1"/>
        <v>#REF!</v>
      </c>
      <c r="V303" s="31" t="e">
        <f ca="1"/>
        <v>#REF!</v>
      </c>
      <c r="W303" s="32" t="e">
        <f ca="1"/>
        <v>#REF!</v>
      </c>
      <c r="X303" s="32" t="e">
        <f ca="1"/>
        <v>#REF!</v>
      </c>
      <c r="Y303" s="32" t="e">
        <f ca="1"/>
        <v>#REF!</v>
      </c>
      <c r="Z303" s="33" t="e">
        <f ca="1"/>
        <v>#REF!</v>
      </c>
      <c r="AA303" s="34" t="e">
        <f ca="1"/>
        <v>#REF!</v>
      </c>
    </row>
    <row r="304" spans="1:27" s="25" customFormat="1" ht="11.25" x14ac:dyDescent="0.25">
      <c r="A304" s="24">
        <v>298</v>
      </c>
      <c r="B304" s="24"/>
      <c r="D304" s="26"/>
      <c r="G304" s="24"/>
      <c r="H304" s="25" t="e">
        <f ca="1"/>
        <v>#REF!</v>
      </c>
      <c r="I304" s="24" t="e">
        <f ca="1"/>
        <v>#REF!</v>
      </c>
      <c r="J304" s="25" t="e">
        <f ca="1"/>
        <v>#REF!</v>
      </c>
      <c r="K304" s="29" t="e">
        <f ca="1"/>
        <v>#REF!</v>
      </c>
      <c r="L304" s="29" t="e">
        <f ca="1"/>
        <v>#REF!</v>
      </c>
      <c r="M304" s="25" t="e">
        <f ca="1"/>
        <v>#REF!</v>
      </c>
      <c r="N304" s="30" t="e">
        <f ca="1"/>
        <v>#REF!</v>
      </c>
      <c r="O304" s="31" t="e">
        <f ca="1"/>
        <v>#REF!</v>
      </c>
      <c r="P304" s="31" t="e">
        <f ca="1"/>
        <v>#REF!</v>
      </c>
      <c r="Q304" s="31" t="e">
        <f ca="1"/>
        <v>#REF!</v>
      </c>
      <c r="R304" s="31" t="e">
        <f ca="1"/>
        <v>#REF!</v>
      </c>
      <c r="S304" s="31" t="e">
        <f ca="1"/>
        <v>#REF!</v>
      </c>
      <c r="T304" s="31" t="e">
        <f ca="1"/>
        <v>#REF!</v>
      </c>
      <c r="U304" s="31" t="e">
        <f ca="1"/>
        <v>#REF!</v>
      </c>
      <c r="V304" s="31" t="e">
        <f ca="1"/>
        <v>#REF!</v>
      </c>
      <c r="W304" s="32" t="e">
        <f ca="1"/>
        <v>#REF!</v>
      </c>
      <c r="X304" s="32" t="e">
        <f ca="1"/>
        <v>#REF!</v>
      </c>
      <c r="Y304" s="32" t="e">
        <f ca="1"/>
        <v>#REF!</v>
      </c>
      <c r="Z304" s="33" t="e">
        <f ca="1"/>
        <v>#REF!</v>
      </c>
      <c r="AA304" s="34" t="e">
        <f ca="1"/>
        <v>#REF!</v>
      </c>
    </row>
    <row r="305" spans="1:27" s="25" customFormat="1" ht="33.75" customHeight="1" x14ac:dyDescent="0.25">
      <c r="A305" s="24">
        <v>299</v>
      </c>
      <c r="B305" s="24"/>
      <c r="D305" s="26"/>
      <c r="G305" s="24"/>
      <c r="H305" s="25" t="e">
        <f ca="1"/>
        <v>#REF!</v>
      </c>
      <c r="I305" s="24" t="e">
        <f ca="1"/>
        <v>#REF!</v>
      </c>
      <c r="J305" s="25" t="e">
        <f ca="1"/>
        <v>#REF!</v>
      </c>
      <c r="K305" s="29" t="e">
        <f ca="1"/>
        <v>#REF!</v>
      </c>
      <c r="L305" s="29" t="e">
        <f ca="1"/>
        <v>#REF!</v>
      </c>
      <c r="M305" s="25" t="e">
        <f ca="1"/>
        <v>#REF!</v>
      </c>
      <c r="N305" s="30" t="e">
        <f ca="1"/>
        <v>#REF!</v>
      </c>
      <c r="O305" s="31" t="e">
        <f ca="1"/>
        <v>#REF!</v>
      </c>
      <c r="P305" s="31" t="e">
        <f ca="1"/>
        <v>#REF!</v>
      </c>
      <c r="Q305" s="31" t="e">
        <f ca="1"/>
        <v>#REF!</v>
      </c>
      <c r="R305" s="31" t="e">
        <f ca="1"/>
        <v>#REF!</v>
      </c>
      <c r="S305" s="31" t="e">
        <f ca="1"/>
        <v>#REF!</v>
      </c>
      <c r="T305" s="31" t="e">
        <f ca="1"/>
        <v>#REF!</v>
      </c>
      <c r="U305" s="31" t="e">
        <f ca="1"/>
        <v>#REF!</v>
      </c>
      <c r="V305" s="31" t="e">
        <f ca="1"/>
        <v>#REF!</v>
      </c>
      <c r="W305" s="32" t="e">
        <f ca="1"/>
        <v>#REF!</v>
      </c>
      <c r="X305" s="32" t="e">
        <f ca="1"/>
        <v>#REF!</v>
      </c>
      <c r="Y305" s="32" t="e">
        <f ca="1"/>
        <v>#REF!</v>
      </c>
      <c r="Z305" s="33" t="e">
        <f ca="1"/>
        <v>#REF!</v>
      </c>
      <c r="AA305" s="34" t="e">
        <f ca="1"/>
        <v>#REF!</v>
      </c>
    </row>
    <row r="306" spans="1:27" s="25" customFormat="1" ht="33.75" customHeight="1" x14ac:dyDescent="0.25">
      <c r="A306" s="24">
        <v>300</v>
      </c>
      <c r="B306" s="24"/>
      <c r="D306" s="26"/>
      <c r="G306" s="24"/>
      <c r="H306" s="25" t="e">
        <f ca="1"/>
        <v>#REF!</v>
      </c>
      <c r="I306" s="24" t="e">
        <f ca="1"/>
        <v>#REF!</v>
      </c>
      <c r="J306" s="25" t="e">
        <f ca="1"/>
        <v>#REF!</v>
      </c>
      <c r="K306" s="29" t="e">
        <f ca="1"/>
        <v>#REF!</v>
      </c>
      <c r="L306" s="29" t="e">
        <f ca="1"/>
        <v>#REF!</v>
      </c>
      <c r="M306" s="25" t="e">
        <f ca="1"/>
        <v>#REF!</v>
      </c>
      <c r="N306" s="30" t="e">
        <f ca="1"/>
        <v>#REF!</v>
      </c>
      <c r="O306" s="31" t="e">
        <f ca="1"/>
        <v>#REF!</v>
      </c>
      <c r="P306" s="31" t="e">
        <f ca="1"/>
        <v>#REF!</v>
      </c>
      <c r="Q306" s="31" t="e">
        <f ca="1"/>
        <v>#REF!</v>
      </c>
      <c r="R306" s="31" t="e">
        <f ca="1"/>
        <v>#REF!</v>
      </c>
      <c r="S306" s="31" t="e">
        <f ca="1"/>
        <v>#REF!</v>
      </c>
      <c r="T306" s="31" t="e">
        <f ca="1"/>
        <v>#REF!</v>
      </c>
      <c r="U306" s="31" t="e">
        <f ca="1"/>
        <v>#REF!</v>
      </c>
      <c r="V306" s="31" t="e">
        <f ca="1"/>
        <v>#REF!</v>
      </c>
      <c r="W306" s="32" t="e">
        <f ca="1"/>
        <v>#REF!</v>
      </c>
      <c r="X306" s="32" t="e">
        <f ca="1"/>
        <v>#REF!</v>
      </c>
      <c r="Y306" s="32" t="e">
        <f ca="1"/>
        <v>#REF!</v>
      </c>
      <c r="Z306" s="33" t="e">
        <f ca="1"/>
        <v>#REF!</v>
      </c>
      <c r="AA306" s="34" t="e">
        <f ca="1"/>
        <v>#REF!</v>
      </c>
    </row>
    <row r="307" spans="1:27" s="25" customFormat="1" ht="11.25" x14ac:dyDescent="0.25">
      <c r="A307" s="24">
        <v>301</v>
      </c>
      <c r="B307" s="24"/>
      <c r="D307" s="26"/>
      <c r="G307" s="24"/>
      <c r="H307" s="25" t="e">
        <f ca="1"/>
        <v>#REF!</v>
      </c>
      <c r="I307" s="24" t="e">
        <f ca="1"/>
        <v>#REF!</v>
      </c>
      <c r="J307" s="25" t="e">
        <f ca="1"/>
        <v>#REF!</v>
      </c>
      <c r="K307" s="29" t="e">
        <f ca="1"/>
        <v>#REF!</v>
      </c>
      <c r="L307" s="29" t="e">
        <f ca="1"/>
        <v>#REF!</v>
      </c>
      <c r="M307" s="25" t="e">
        <f ca="1"/>
        <v>#REF!</v>
      </c>
      <c r="N307" s="30" t="e">
        <f ca="1"/>
        <v>#REF!</v>
      </c>
      <c r="O307" s="31" t="e">
        <f ca="1"/>
        <v>#REF!</v>
      </c>
      <c r="P307" s="31" t="e">
        <f ca="1"/>
        <v>#REF!</v>
      </c>
      <c r="Q307" s="31" t="e">
        <f ca="1"/>
        <v>#REF!</v>
      </c>
      <c r="R307" s="31" t="e">
        <f ca="1"/>
        <v>#REF!</v>
      </c>
      <c r="S307" s="31" t="e">
        <f ca="1"/>
        <v>#REF!</v>
      </c>
      <c r="T307" s="31" t="e">
        <f ca="1"/>
        <v>#REF!</v>
      </c>
      <c r="U307" s="31" t="e">
        <f ca="1"/>
        <v>#REF!</v>
      </c>
      <c r="V307" s="31" t="e">
        <f ca="1"/>
        <v>#REF!</v>
      </c>
      <c r="W307" s="32" t="e">
        <f ca="1"/>
        <v>#REF!</v>
      </c>
      <c r="X307" s="32" t="e">
        <f ca="1"/>
        <v>#REF!</v>
      </c>
      <c r="Y307" s="32" t="e">
        <f ca="1"/>
        <v>#REF!</v>
      </c>
      <c r="Z307" s="33" t="e">
        <f ca="1"/>
        <v>#REF!</v>
      </c>
      <c r="AA307" s="34" t="e">
        <f ca="1"/>
        <v>#REF!</v>
      </c>
    </row>
    <row r="308" spans="1:27" s="25" customFormat="1" ht="11.25" x14ac:dyDescent="0.25">
      <c r="A308" s="24">
        <v>302</v>
      </c>
      <c r="B308" s="24"/>
      <c r="D308" s="26"/>
      <c r="G308" s="24"/>
      <c r="H308" s="25" t="e">
        <f ca="1"/>
        <v>#REF!</v>
      </c>
      <c r="I308" s="24" t="e">
        <f ca="1"/>
        <v>#REF!</v>
      </c>
      <c r="J308" s="25" t="e">
        <f ca="1"/>
        <v>#REF!</v>
      </c>
      <c r="K308" s="29" t="e">
        <f ca="1"/>
        <v>#REF!</v>
      </c>
      <c r="L308" s="29" t="e">
        <f ca="1"/>
        <v>#REF!</v>
      </c>
      <c r="M308" s="25" t="e">
        <f ca="1"/>
        <v>#REF!</v>
      </c>
      <c r="N308" s="30" t="e">
        <f ca="1"/>
        <v>#REF!</v>
      </c>
      <c r="O308" s="31" t="e">
        <f ca="1"/>
        <v>#REF!</v>
      </c>
      <c r="P308" s="31" t="e">
        <f ca="1"/>
        <v>#REF!</v>
      </c>
      <c r="Q308" s="31" t="e">
        <f ca="1"/>
        <v>#REF!</v>
      </c>
      <c r="R308" s="31" t="e">
        <f ca="1"/>
        <v>#REF!</v>
      </c>
      <c r="S308" s="31" t="e">
        <f ca="1"/>
        <v>#REF!</v>
      </c>
      <c r="T308" s="31" t="e">
        <f ca="1"/>
        <v>#REF!</v>
      </c>
      <c r="U308" s="31" t="e">
        <f ca="1"/>
        <v>#REF!</v>
      </c>
      <c r="V308" s="31" t="e">
        <f ca="1"/>
        <v>#REF!</v>
      </c>
      <c r="W308" s="32" t="e">
        <f ca="1"/>
        <v>#REF!</v>
      </c>
      <c r="X308" s="32" t="e">
        <f ca="1"/>
        <v>#REF!</v>
      </c>
      <c r="Y308" s="32" t="e">
        <f ca="1"/>
        <v>#REF!</v>
      </c>
      <c r="Z308" s="33" t="e">
        <f ca="1"/>
        <v>#REF!</v>
      </c>
      <c r="AA308" s="34" t="e">
        <f ca="1"/>
        <v>#REF!</v>
      </c>
    </row>
    <row r="309" spans="1:27" s="25" customFormat="1" ht="11.25" x14ac:dyDescent="0.25">
      <c r="A309" s="24">
        <v>303</v>
      </c>
      <c r="B309" s="24"/>
      <c r="D309" s="26"/>
      <c r="G309" s="24"/>
      <c r="H309" s="25" t="e">
        <f ca="1"/>
        <v>#REF!</v>
      </c>
      <c r="I309" s="24" t="e">
        <f ca="1"/>
        <v>#REF!</v>
      </c>
      <c r="J309" s="25" t="e">
        <f ca="1"/>
        <v>#REF!</v>
      </c>
      <c r="K309" s="29" t="e">
        <f ca="1"/>
        <v>#REF!</v>
      </c>
      <c r="L309" s="29" t="e">
        <f ca="1"/>
        <v>#REF!</v>
      </c>
      <c r="M309" s="25" t="e">
        <f ca="1"/>
        <v>#REF!</v>
      </c>
      <c r="N309" s="30" t="e">
        <f ca="1"/>
        <v>#REF!</v>
      </c>
      <c r="O309" s="31" t="e">
        <f ca="1"/>
        <v>#REF!</v>
      </c>
      <c r="P309" s="31" t="e">
        <f ca="1"/>
        <v>#REF!</v>
      </c>
      <c r="Q309" s="31" t="e">
        <f ca="1"/>
        <v>#REF!</v>
      </c>
      <c r="R309" s="31" t="e">
        <f ca="1"/>
        <v>#REF!</v>
      </c>
      <c r="S309" s="31" t="e">
        <f ca="1"/>
        <v>#REF!</v>
      </c>
      <c r="T309" s="31" t="e">
        <f ca="1"/>
        <v>#REF!</v>
      </c>
      <c r="U309" s="31" t="e">
        <f ca="1"/>
        <v>#REF!</v>
      </c>
      <c r="V309" s="31" t="e">
        <f ca="1"/>
        <v>#REF!</v>
      </c>
      <c r="W309" s="32" t="e">
        <f ca="1"/>
        <v>#REF!</v>
      </c>
      <c r="X309" s="32" t="e">
        <f ca="1"/>
        <v>#REF!</v>
      </c>
      <c r="Y309" s="32" t="e">
        <f ca="1"/>
        <v>#REF!</v>
      </c>
      <c r="Z309" s="33" t="e">
        <f ca="1"/>
        <v>#REF!</v>
      </c>
      <c r="AA309" s="34" t="e">
        <f ca="1"/>
        <v>#REF!</v>
      </c>
    </row>
    <row r="310" spans="1:27" s="25" customFormat="1" ht="11.25" x14ac:dyDescent="0.25">
      <c r="A310" s="24">
        <v>304</v>
      </c>
      <c r="B310" s="24"/>
      <c r="D310" s="26"/>
      <c r="G310" s="24"/>
      <c r="H310" s="25" t="e">
        <f ca="1"/>
        <v>#REF!</v>
      </c>
      <c r="I310" s="24" t="e">
        <f ca="1"/>
        <v>#REF!</v>
      </c>
      <c r="J310" s="25" t="e">
        <f ca="1"/>
        <v>#REF!</v>
      </c>
      <c r="K310" s="29" t="e">
        <f ca="1"/>
        <v>#REF!</v>
      </c>
      <c r="L310" s="29" t="e">
        <f ca="1"/>
        <v>#REF!</v>
      </c>
      <c r="M310" s="25" t="e">
        <f ca="1"/>
        <v>#REF!</v>
      </c>
      <c r="N310" s="30" t="e">
        <f ca="1"/>
        <v>#REF!</v>
      </c>
      <c r="O310" s="31" t="e">
        <f ca="1"/>
        <v>#REF!</v>
      </c>
      <c r="P310" s="31" t="e">
        <f ca="1"/>
        <v>#REF!</v>
      </c>
      <c r="Q310" s="31" t="e">
        <f ca="1"/>
        <v>#REF!</v>
      </c>
      <c r="R310" s="31" t="e">
        <f ca="1"/>
        <v>#REF!</v>
      </c>
      <c r="S310" s="31" t="e">
        <f ca="1"/>
        <v>#REF!</v>
      </c>
      <c r="T310" s="31" t="e">
        <f ca="1"/>
        <v>#REF!</v>
      </c>
      <c r="U310" s="31" t="e">
        <f ca="1"/>
        <v>#REF!</v>
      </c>
      <c r="V310" s="31" t="e">
        <f ca="1"/>
        <v>#REF!</v>
      </c>
      <c r="W310" s="32" t="e">
        <f ca="1"/>
        <v>#REF!</v>
      </c>
      <c r="X310" s="32" t="e">
        <f ca="1"/>
        <v>#REF!</v>
      </c>
      <c r="Y310" s="32" t="e">
        <f ca="1"/>
        <v>#REF!</v>
      </c>
      <c r="Z310" s="33" t="e">
        <f ca="1"/>
        <v>#REF!</v>
      </c>
      <c r="AA310" s="34" t="e">
        <f ca="1"/>
        <v>#REF!</v>
      </c>
    </row>
    <row r="311" spans="1:27" s="25" customFormat="1" ht="11.25" x14ac:dyDescent="0.25">
      <c r="A311" s="24">
        <v>305</v>
      </c>
      <c r="B311" s="24"/>
      <c r="D311" s="26"/>
      <c r="G311" s="24"/>
      <c r="H311" s="25" t="e">
        <f ca="1"/>
        <v>#REF!</v>
      </c>
      <c r="I311" s="24" t="e">
        <f ca="1"/>
        <v>#REF!</v>
      </c>
      <c r="J311" s="25" t="e">
        <f ca="1"/>
        <v>#REF!</v>
      </c>
      <c r="K311" s="29" t="e">
        <f ca="1"/>
        <v>#REF!</v>
      </c>
      <c r="L311" s="29" t="e">
        <f ca="1"/>
        <v>#REF!</v>
      </c>
      <c r="M311" s="25" t="e">
        <f ca="1"/>
        <v>#REF!</v>
      </c>
      <c r="N311" s="30" t="e">
        <f ca="1"/>
        <v>#REF!</v>
      </c>
      <c r="O311" s="31" t="e">
        <f ca="1"/>
        <v>#REF!</v>
      </c>
      <c r="P311" s="31" t="e">
        <f ca="1"/>
        <v>#REF!</v>
      </c>
      <c r="Q311" s="31" t="e">
        <f ca="1"/>
        <v>#REF!</v>
      </c>
      <c r="R311" s="31" t="e">
        <f ca="1"/>
        <v>#REF!</v>
      </c>
      <c r="S311" s="31" t="e">
        <f ca="1"/>
        <v>#REF!</v>
      </c>
      <c r="T311" s="31" t="e">
        <f ca="1"/>
        <v>#REF!</v>
      </c>
      <c r="U311" s="31" t="e">
        <f ca="1"/>
        <v>#REF!</v>
      </c>
      <c r="V311" s="31" t="e">
        <f ca="1"/>
        <v>#REF!</v>
      </c>
      <c r="W311" s="32" t="e">
        <f ca="1"/>
        <v>#REF!</v>
      </c>
      <c r="X311" s="32" t="e">
        <f ca="1"/>
        <v>#REF!</v>
      </c>
      <c r="Y311" s="32" t="e">
        <f ca="1"/>
        <v>#REF!</v>
      </c>
      <c r="Z311" s="33" t="e">
        <f ca="1"/>
        <v>#REF!</v>
      </c>
      <c r="AA311" s="34" t="e">
        <f ca="1"/>
        <v>#REF!</v>
      </c>
    </row>
    <row r="312" spans="1:27" s="25" customFormat="1" ht="11.25" x14ac:dyDescent="0.25">
      <c r="A312" s="24">
        <v>306</v>
      </c>
      <c r="B312" s="24"/>
      <c r="D312" s="26"/>
      <c r="G312" s="24"/>
      <c r="H312" s="25" t="e">
        <f ca="1"/>
        <v>#REF!</v>
      </c>
      <c r="I312" s="24" t="e">
        <f ca="1"/>
        <v>#REF!</v>
      </c>
      <c r="J312" s="25" t="e">
        <f ca="1"/>
        <v>#REF!</v>
      </c>
      <c r="K312" s="29" t="e">
        <f ca="1"/>
        <v>#REF!</v>
      </c>
      <c r="L312" s="29" t="e">
        <f ca="1"/>
        <v>#REF!</v>
      </c>
      <c r="M312" s="25" t="e">
        <f ca="1"/>
        <v>#REF!</v>
      </c>
      <c r="N312" s="30" t="e">
        <f ca="1"/>
        <v>#REF!</v>
      </c>
      <c r="O312" s="31" t="e">
        <f ca="1"/>
        <v>#REF!</v>
      </c>
      <c r="P312" s="31" t="e">
        <f ca="1"/>
        <v>#REF!</v>
      </c>
      <c r="Q312" s="31" t="e">
        <f ca="1"/>
        <v>#REF!</v>
      </c>
      <c r="R312" s="31" t="e">
        <f ca="1"/>
        <v>#REF!</v>
      </c>
      <c r="S312" s="31" t="e">
        <f ca="1"/>
        <v>#REF!</v>
      </c>
      <c r="T312" s="31" t="e">
        <f ca="1"/>
        <v>#REF!</v>
      </c>
      <c r="U312" s="31" t="e">
        <f ca="1"/>
        <v>#REF!</v>
      </c>
      <c r="V312" s="31" t="e">
        <f ca="1"/>
        <v>#REF!</v>
      </c>
      <c r="W312" s="32" t="e">
        <f ca="1"/>
        <v>#REF!</v>
      </c>
      <c r="X312" s="32" t="e">
        <f ca="1"/>
        <v>#REF!</v>
      </c>
      <c r="Y312" s="32" t="e">
        <f ca="1"/>
        <v>#REF!</v>
      </c>
      <c r="Z312" s="33" t="e">
        <f ca="1"/>
        <v>#REF!</v>
      </c>
      <c r="AA312" s="34" t="e">
        <f ca="1"/>
        <v>#REF!</v>
      </c>
    </row>
    <row r="313" spans="1:27" s="25" customFormat="1" ht="11.25" x14ac:dyDescent="0.25">
      <c r="A313" s="24">
        <v>307</v>
      </c>
      <c r="B313" s="24"/>
      <c r="D313" s="26"/>
      <c r="G313" s="24"/>
      <c r="H313" s="25" t="e">
        <f ca="1"/>
        <v>#REF!</v>
      </c>
      <c r="I313" s="24" t="e">
        <f ca="1"/>
        <v>#REF!</v>
      </c>
      <c r="J313" s="25" t="e">
        <f ca="1"/>
        <v>#REF!</v>
      </c>
      <c r="K313" s="29" t="e">
        <f ca="1"/>
        <v>#REF!</v>
      </c>
      <c r="L313" s="29" t="e">
        <f ca="1"/>
        <v>#REF!</v>
      </c>
      <c r="M313" s="25" t="e">
        <f ca="1"/>
        <v>#REF!</v>
      </c>
      <c r="N313" s="30" t="e">
        <f ca="1"/>
        <v>#REF!</v>
      </c>
      <c r="O313" s="31" t="e">
        <f ca="1"/>
        <v>#REF!</v>
      </c>
      <c r="P313" s="31" t="e">
        <f ca="1"/>
        <v>#REF!</v>
      </c>
      <c r="Q313" s="31" t="e">
        <f ca="1"/>
        <v>#REF!</v>
      </c>
      <c r="R313" s="31" t="e">
        <f ca="1"/>
        <v>#REF!</v>
      </c>
      <c r="S313" s="31" t="e">
        <f ca="1"/>
        <v>#REF!</v>
      </c>
      <c r="T313" s="31" t="e">
        <f ca="1"/>
        <v>#REF!</v>
      </c>
      <c r="U313" s="31" t="e">
        <f ca="1"/>
        <v>#REF!</v>
      </c>
      <c r="V313" s="31" t="e">
        <f ca="1"/>
        <v>#REF!</v>
      </c>
      <c r="W313" s="32" t="e">
        <f ca="1"/>
        <v>#REF!</v>
      </c>
      <c r="X313" s="32" t="e">
        <f ca="1"/>
        <v>#REF!</v>
      </c>
      <c r="Y313" s="32" t="e">
        <f ca="1"/>
        <v>#REF!</v>
      </c>
      <c r="Z313" s="33" t="e">
        <f ca="1"/>
        <v>#REF!</v>
      </c>
      <c r="AA313" s="34" t="e">
        <f ca="1"/>
        <v>#REF!</v>
      </c>
    </row>
    <row r="314" spans="1:27" s="25" customFormat="1" ht="11.25" x14ac:dyDescent="0.25">
      <c r="A314" s="24">
        <v>308</v>
      </c>
      <c r="B314" s="24"/>
      <c r="D314" s="26"/>
      <c r="G314" s="24"/>
      <c r="H314" s="25" t="e">
        <f ca="1"/>
        <v>#REF!</v>
      </c>
      <c r="I314" s="24" t="e">
        <f ca="1"/>
        <v>#REF!</v>
      </c>
      <c r="J314" s="25" t="e">
        <f ca="1"/>
        <v>#REF!</v>
      </c>
      <c r="K314" s="29" t="e">
        <f ca="1"/>
        <v>#REF!</v>
      </c>
      <c r="L314" s="29" t="e">
        <f ca="1"/>
        <v>#REF!</v>
      </c>
      <c r="M314" s="25" t="e">
        <f ca="1"/>
        <v>#REF!</v>
      </c>
      <c r="N314" s="30" t="e">
        <f ca="1"/>
        <v>#REF!</v>
      </c>
      <c r="O314" s="31" t="e">
        <f ca="1"/>
        <v>#REF!</v>
      </c>
      <c r="P314" s="31" t="e">
        <f ca="1"/>
        <v>#REF!</v>
      </c>
      <c r="Q314" s="31" t="e">
        <f ca="1"/>
        <v>#REF!</v>
      </c>
      <c r="R314" s="31" t="e">
        <f ca="1"/>
        <v>#REF!</v>
      </c>
      <c r="S314" s="31" t="e">
        <f ca="1"/>
        <v>#REF!</v>
      </c>
      <c r="T314" s="31" t="e">
        <f ca="1"/>
        <v>#REF!</v>
      </c>
      <c r="U314" s="31" t="e">
        <f ca="1"/>
        <v>#REF!</v>
      </c>
      <c r="V314" s="31" t="e">
        <f ca="1"/>
        <v>#REF!</v>
      </c>
      <c r="W314" s="32" t="e">
        <f ca="1"/>
        <v>#REF!</v>
      </c>
      <c r="X314" s="32" t="e">
        <f ca="1"/>
        <v>#REF!</v>
      </c>
      <c r="Y314" s="32" t="e">
        <f ca="1"/>
        <v>#REF!</v>
      </c>
      <c r="Z314" s="33" t="e">
        <f ca="1"/>
        <v>#REF!</v>
      </c>
      <c r="AA314" s="34" t="e">
        <f ca="1"/>
        <v>#REF!</v>
      </c>
    </row>
    <row r="315" spans="1:27" s="25" customFormat="1" ht="11.25" x14ac:dyDescent="0.25">
      <c r="A315" s="24">
        <v>309</v>
      </c>
      <c r="B315" s="24"/>
      <c r="D315" s="26"/>
      <c r="G315" s="24"/>
      <c r="H315" s="25" t="e">
        <f ca="1"/>
        <v>#REF!</v>
      </c>
      <c r="I315" s="24" t="e">
        <f ca="1"/>
        <v>#REF!</v>
      </c>
      <c r="J315" s="25" t="e">
        <f ca="1"/>
        <v>#REF!</v>
      </c>
      <c r="K315" s="29" t="e">
        <f ca="1"/>
        <v>#REF!</v>
      </c>
      <c r="L315" s="29" t="e">
        <f ca="1"/>
        <v>#REF!</v>
      </c>
      <c r="M315" s="25" t="e">
        <f ca="1"/>
        <v>#REF!</v>
      </c>
      <c r="N315" s="30" t="e">
        <f ca="1"/>
        <v>#REF!</v>
      </c>
      <c r="O315" s="31" t="e">
        <f ca="1"/>
        <v>#REF!</v>
      </c>
      <c r="P315" s="31" t="e">
        <f ca="1"/>
        <v>#REF!</v>
      </c>
      <c r="Q315" s="31" t="e">
        <f ca="1"/>
        <v>#REF!</v>
      </c>
      <c r="R315" s="31" t="e">
        <f ca="1"/>
        <v>#REF!</v>
      </c>
      <c r="S315" s="31" t="e">
        <f ca="1"/>
        <v>#REF!</v>
      </c>
      <c r="T315" s="31" t="e">
        <f ca="1"/>
        <v>#REF!</v>
      </c>
      <c r="U315" s="31" t="e">
        <f ca="1"/>
        <v>#REF!</v>
      </c>
      <c r="V315" s="31" t="e">
        <f ca="1"/>
        <v>#REF!</v>
      </c>
      <c r="W315" s="32" t="e">
        <f ca="1"/>
        <v>#REF!</v>
      </c>
      <c r="X315" s="32" t="e">
        <f ca="1"/>
        <v>#REF!</v>
      </c>
      <c r="Y315" s="32" t="e">
        <f ca="1"/>
        <v>#REF!</v>
      </c>
      <c r="Z315" s="33" t="e">
        <f ca="1"/>
        <v>#REF!</v>
      </c>
      <c r="AA315" s="34" t="e">
        <f ca="1"/>
        <v>#REF!</v>
      </c>
    </row>
    <row r="316" spans="1:27" s="25" customFormat="1" ht="46.5" customHeight="1" x14ac:dyDescent="0.25">
      <c r="A316" s="24">
        <v>310</v>
      </c>
      <c r="B316" s="24"/>
      <c r="D316" s="26"/>
      <c r="G316" s="24"/>
      <c r="H316" s="25" t="e">
        <f ca="1"/>
        <v>#REF!</v>
      </c>
      <c r="I316" s="24" t="e">
        <f ca="1"/>
        <v>#REF!</v>
      </c>
      <c r="J316" s="25" t="e">
        <f ca="1"/>
        <v>#REF!</v>
      </c>
      <c r="K316" s="29" t="e">
        <f ca="1"/>
        <v>#REF!</v>
      </c>
      <c r="L316" s="29" t="e">
        <f ca="1"/>
        <v>#REF!</v>
      </c>
      <c r="M316" s="25" t="e">
        <f ca="1"/>
        <v>#REF!</v>
      </c>
      <c r="N316" s="30" t="e">
        <f ca="1"/>
        <v>#REF!</v>
      </c>
      <c r="O316" s="31" t="e">
        <f ca="1"/>
        <v>#REF!</v>
      </c>
      <c r="P316" s="31" t="e">
        <f ca="1"/>
        <v>#REF!</v>
      </c>
      <c r="Q316" s="31" t="e">
        <f ca="1"/>
        <v>#REF!</v>
      </c>
      <c r="R316" s="31" t="e">
        <f ca="1"/>
        <v>#REF!</v>
      </c>
      <c r="S316" s="31" t="e">
        <f ca="1"/>
        <v>#REF!</v>
      </c>
      <c r="T316" s="31" t="e">
        <f ca="1"/>
        <v>#REF!</v>
      </c>
      <c r="U316" s="31" t="e">
        <f ca="1"/>
        <v>#REF!</v>
      </c>
      <c r="V316" s="31" t="e">
        <f ca="1"/>
        <v>#REF!</v>
      </c>
      <c r="W316" s="32" t="e">
        <f ca="1"/>
        <v>#REF!</v>
      </c>
      <c r="X316" s="32" t="e">
        <f ca="1"/>
        <v>#REF!</v>
      </c>
      <c r="Y316" s="32" t="e">
        <f ca="1"/>
        <v>#REF!</v>
      </c>
      <c r="Z316" s="33" t="e">
        <f ca="1"/>
        <v>#REF!</v>
      </c>
      <c r="AA316" s="34" t="e">
        <f ca="1"/>
        <v>#REF!</v>
      </c>
    </row>
    <row r="317" spans="1:27" s="25" customFormat="1" ht="46.5" customHeight="1" x14ac:dyDescent="0.25">
      <c r="A317" s="24">
        <v>311</v>
      </c>
      <c r="B317" s="24"/>
      <c r="D317" s="26"/>
      <c r="G317" s="24"/>
      <c r="H317" s="25" t="e">
        <f ca="1"/>
        <v>#REF!</v>
      </c>
      <c r="I317" s="24" t="e">
        <f ca="1"/>
        <v>#REF!</v>
      </c>
      <c r="J317" s="25" t="e">
        <f ca="1"/>
        <v>#REF!</v>
      </c>
      <c r="K317" s="29" t="e">
        <f ca="1"/>
        <v>#REF!</v>
      </c>
      <c r="L317" s="29" t="e">
        <f ca="1"/>
        <v>#REF!</v>
      </c>
      <c r="M317" s="25" t="e">
        <f ca="1"/>
        <v>#REF!</v>
      </c>
      <c r="N317" s="30" t="e">
        <f ca="1"/>
        <v>#REF!</v>
      </c>
      <c r="O317" s="31" t="e">
        <f ca="1"/>
        <v>#REF!</v>
      </c>
      <c r="P317" s="31" t="e">
        <f ca="1"/>
        <v>#REF!</v>
      </c>
      <c r="Q317" s="31" t="e">
        <f ca="1"/>
        <v>#REF!</v>
      </c>
      <c r="R317" s="31" t="e">
        <f ca="1"/>
        <v>#REF!</v>
      </c>
      <c r="S317" s="31" t="e">
        <f ca="1"/>
        <v>#REF!</v>
      </c>
      <c r="T317" s="31" t="e">
        <f ca="1"/>
        <v>#REF!</v>
      </c>
      <c r="U317" s="31" t="e">
        <f ca="1"/>
        <v>#REF!</v>
      </c>
      <c r="V317" s="31" t="e">
        <f ca="1"/>
        <v>#REF!</v>
      </c>
      <c r="W317" s="32" t="e">
        <f ca="1"/>
        <v>#REF!</v>
      </c>
      <c r="X317" s="32" t="e">
        <f ca="1"/>
        <v>#REF!</v>
      </c>
      <c r="Y317" s="32" t="e">
        <f ca="1"/>
        <v>#REF!</v>
      </c>
      <c r="Z317" s="33" t="e">
        <f ca="1"/>
        <v>#REF!</v>
      </c>
      <c r="AA317" s="34" t="e">
        <f ca="1"/>
        <v>#REF!</v>
      </c>
    </row>
    <row r="318" spans="1:27" s="25" customFormat="1" ht="11.25" x14ac:dyDescent="0.25">
      <c r="A318" s="24">
        <v>312</v>
      </c>
      <c r="B318" s="24"/>
      <c r="D318" s="26"/>
      <c r="G318" s="24"/>
      <c r="H318" s="25" t="e">
        <f ca="1"/>
        <v>#REF!</v>
      </c>
      <c r="I318" s="24" t="e">
        <f ca="1"/>
        <v>#REF!</v>
      </c>
      <c r="J318" s="25" t="e">
        <f ca="1"/>
        <v>#REF!</v>
      </c>
      <c r="K318" s="29" t="e">
        <f ca="1"/>
        <v>#REF!</v>
      </c>
      <c r="L318" s="29" t="e">
        <f ca="1"/>
        <v>#REF!</v>
      </c>
      <c r="M318" s="25" t="e">
        <f ca="1"/>
        <v>#REF!</v>
      </c>
      <c r="N318" s="30" t="e">
        <f ca="1"/>
        <v>#REF!</v>
      </c>
      <c r="O318" s="31" t="e">
        <f ca="1"/>
        <v>#REF!</v>
      </c>
      <c r="P318" s="31" t="e">
        <f ca="1"/>
        <v>#REF!</v>
      </c>
      <c r="Q318" s="31" t="e">
        <f ca="1"/>
        <v>#REF!</v>
      </c>
      <c r="R318" s="31" t="e">
        <f ca="1"/>
        <v>#REF!</v>
      </c>
      <c r="S318" s="31" t="e">
        <f ca="1"/>
        <v>#REF!</v>
      </c>
      <c r="T318" s="31" t="e">
        <f ca="1"/>
        <v>#REF!</v>
      </c>
      <c r="U318" s="31" t="e">
        <f ca="1"/>
        <v>#REF!</v>
      </c>
      <c r="V318" s="31" t="e">
        <f ca="1"/>
        <v>#REF!</v>
      </c>
      <c r="W318" s="32" t="e">
        <f ca="1"/>
        <v>#REF!</v>
      </c>
      <c r="X318" s="32" t="e">
        <f ca="1"/>
        <v>#REF!</v>
      </c>
      <c r="Y318" s="32" t="e">
        <f ca="1"/>
        <v>#REF!</v>
      </c>
      <c r="Z318" s="33" t="e">
        <f ca="1"/>
        <v>#REF!</v>
      </c>
      <c r="AA318" s="34" t="e">
        <f ca="1"/>
        <v>#REF!</v>
      </c>
    </row>
    <row r="319" spans="1:27" s="25" customFormat="1" ht="11.25" x14ac:dyDescent="0.25">
      <c r="A319" s="24">
        <v>313</v>
      </c>
      <c r="B319" s="24"/>
      <c r="D319" s="26"/>
      <c r="G319" s="24"/>
      <c r="H319" s="25" t="e">
        <f ca="1"/>
        <v>#REF!</v>
      </c>
      <c r="I319" s="24" t="e">
        <f ca="1"/>
        <v>#REF!</v>
      </c>
      <c r="J319" s="25" t="e">
        <f ca="1"/>
        <v>#REF!</v>
      </c>
      <c r="K319" s="29" t="e">
        <f ca="1"/>
        <v>#REF!</v>
      </c>
      <c r="L319" s="29" t="e">
        <f ca="1"/>
        <v>#REF!</v>
      </c>
      <c r="M319" s="25" t="e">
        <f ca="1"/>
        <v>#REF!</v>
      </c>
      <c r="N319" s="30" t="e">
        <f ca="1"/>
        <v>#REF!</v>
      </c>
      <c r="O319" s="31" t="e">
        <f ca="1"/>
        <v>#REF!</v>
      </c>
      <c r="P319" s="31" t="e">
        <f ca="1"/>
        <v>#REF!</v>
      </c>
      <c r="Q319" s="31" t="e">
        <f ca="1"/>
        <v>#REF!</v>
      </c>
      <c r="R319" s="31" t="e">
        <f ca="1"/>
        <v>#REF!</v>
      </c>
      <c r="S319" s="31" t="e">
        <f ca="1"/>
        <v>#REF!</v>
      </c>
      <c r="T319" s="31" t="e">
        <f ca="1"/>
        <v>#REF!</v>
      </c>
      <c r="U319" s="31" t="e">
        <f ca="1"/>
        <v>#REF!</v>
      </c>
      <c r="V319" s="31" t="e">
        <f ca="1"/>
        <v>#REF!</v>
      </c>
      <c r="W319" s="32" t="e">
        <f ca="1"/>
        <v>#REF!</v>
      </c>
      <c r="X319" s="32" t="e">
        <f ca="1"/>
        <v>#REF!</v>
      </c>
      <c r="Y319" s="32" t="e">
        <f ca="1"/>
        <v>#REF!</v>
      </c>
      <c r="Z319" s="33" t="e">
        <f ca="1"/>
        <v>#REF!</v>
      </c>
      <c r="AA319" s="34" t="e">
        <f ca="1"/>
        <v>#REF!</v>
      </c>
    </row>
    <row r="320" spans="1:27" s="25" customFormat="1" ht="11.25" x14ac:dyDescent="0.25">
      <c r="A320" s="24">
        <v>314</v>
      </c>
      <c r="B320" s="24"/>
      <c r="D320" s="26"/>
      <c r="G320" s="24"/>
      <c r="H320" s="25" t="e">
        <f ca="1"/>
        <v>#REF!</v>
      </c>
      <c r="I320" s="24" t="e">
        <f ca="1"/>
        <v>#REF!</v>
      </c>
      <c r="J320" s="25" t="e">
        <f ca="1"/>
        <v>#REF!</v>
      </c>
      <c r="K320" s="29" t="e">
        <f ca="1"/>
        <v>#REF!</v>
      </c>
      <c r="L320" s="29" t="e">
        <f ca="1"/>
        <v>#REF!</v>
      </c>
      <c r="M320" s="25" t="e">
        <f ca="1"/>
        <v>#REF!</v>
      </c>
      <c r="N320" s="30" t="e">
        <f ca="1"/>
        <v>#REF!</v>
      </c>
      <c r="O320" s="31" t="e">
        <f ca="1"/>
        <v>#REF!</v>
      </c>
      <c r="P320" s="31" t="e">
        <f ca="1"/>
        <v>#REF!</v>
      </c>
      <c r="Q320" s="31" t="e">
        <f ca="1"/>
        <v>#REF!</v>
      </c>
      <c r="R320" s="31" t="e">
        <f ca="1"/>
        <v>#REF!</v>
      </c>
      <c r="S320" s="31" t="e">
        <f ca="1"/>
        <v>#REF!</v>
      </c>
      <c r="T320" s="31" t="e">
        <f ca="1"/>
        <v>#REF!</v>
      </c>
      <c r="U320" s="31" t="e">
        <f ca="1"/>
        <v>#REF!</v>
      </c>
      <c r="V320" s="31" t="e">
        <f ca="1"/>
        <v>#REF!</v>
      </c>
      <c r="W320" s="32" t="e">
        <f ca="1"/>
        <v>#REF!</v>
      </c>
      <c r="X320" s="32" t="e">
        <f ca="1"/>
        <v>#REF!</v>
      </c>
      <c r="Y320" s="32" t="e">
        <f ca="1"/>
        <v>#REF!</v>
      </c>
      <c r="Z320" s="33" t="e">
        <f ca="1"/>
        <v>#REF!</v>
      </c>
      <c r="AA320" s="34" t="e">
        <f ca="1"/>
        <v>#REF!</v>
      </c>
    </row>
    <row r="321" spans="1:27" s="25" customFormat="1" ht="11.25" x14ac:dyDescent="0.25">
      <c r="A321" s="24">
        <v>315</v>
      </c>
      <c r="B321" s="24"/>
      <c r="D321" s="26"/>
      <c r="G321" s="24"/>
      <c r="H321" s="25" t="e">
        <f ca="1"/>
        <v>#REF!</v>
      </c>
      <c r="I321" s="24" t="e">
        <f ca="1"/>
        <v>#REF!</v>
      </c>
      <c r="J321" s="25" t="e">
        <f ca="1"/>
        <v>#REF!</v>
      </c>
      <c r="K321" s="29" t="e">
        <f ca="1"/>
        <v>#REF!</v>
      </c>
      <c r="L321" s="29" t="e">
        <f ca="1"/>
        <v>#REF!</v>
      </c>
      <c r="M321" s="25" t="e">
        <f ca="1"/>
        <v>#REF!</v>
      </c>
      <c r="N321" s="30" t="e">
        <f ca="1"/>
        <v>#REF!</v>
      </c>
      <c r="O321" s="31" t="e">
        <f ca="1"/>
        <v>#REF!</v>
      </c>
      <c r="P321" s="31" t="e">
        <f ca="1"/>
        <v>#REF!</v>
      </c>
      <c r="Q321" s="31" t="e">
        <f ca="1"/>
        <v>#REF!</v>
      </c>
      <c r="R321" s="31" t="e">
        <f ca="1"/>
        <v>#REF!</v>
      </c>
      <c r="S321" s="31" t="e">
        <f ca="1"/>
        <v>#REF!</v>
      </c>
      <c r="T321" s="31" t="e">
        <f ca="1"/>
        <v>#REF!</v>
      </c>
      <c r="U321" s="31" t="e">
        <f ca="1"/>
        <v>#REF!</v>
      </c>
      <c r="V321" s="31" t="e">
        <f ca="1"/>
        <v>#REF!</v>
      </c>
      <c r="W321" s="32" t="e">
        <f ca="1"/>
        <v>#REF!</v>
      </c>
      <c r="X321" s="32" t="e">
        <f ca="1"/>
        <v>#REF!</v>
      </c>
      <c r="Y321" s="32" t="e">
        <f ca="1"/>
        <v>#REF!</v>
      </c>
      <c r="Z321" s="33" t="e">
        <f ca="1"/>
        <v>#REF!</v>
      </c>
      <c r="AA321" s="34" t="e">
        <f ca="1"/>
        <v>#REF!</v>
      </c>
    </row>
    <row r="322" spans="1:27" s="25" customFormat="1" ht="11.25" x14ac:dyDescent="0.25">
      <c r="A322" s="24">
        <v>316</v>
      </c>
      <c r="B322" s="24"/>
      <c r="D322" s="26"/>
      <c r="G322" s="24"/>
      <c r="H322" s="25" t="e">
        <f ca="1"/>
        <v>#REF!</v>
      </c>
      <c r="I322" s="24" t="e">
        <f ca="1"/>
        <v>#REF!</v>
      </c>
      <c r="J322" s="25" t="e">
        <f ca="1"/>
        <v>#REF!</v>
      </c>
      <c r="K322" s="29" t="e">
        <f ca="1"/>
        <v>#REF!</v>
      </c>
      <c r="L322" s="29" t="e">
        <f ca="1"/>
        <v>#REF!</v>
      </c>
      <c r="M322" s="25" t="e">
        <f ca="1"/>
        <v>#REF!</v>
      </c>
      <c r="N322" s="30" t="e">
        <f ca="1"/>
        <v>#REF!</v>
      </c>
      <c r="O322" s="31" t="e">
        <f ca="1"/>
        <v>#REF!</v>
      </c>
      <c r="P322" s="31" t="e">
        <f ca="1"/>
        <v>#REF!</v>
      </c>
      <c r="Q322" s="31" t="e">
        <f ca="1"/>
        <v>#REF!</v>
      </c>
      <c r="R322" s="31" t="e">
        <f ca="1"/>
        <v>#REF!</v>
      </c>
      <c r="S322" s="31" t="e">
        <f ca="1"/>
        <v>#REF!</v>
      </c>
      <c r="T322" s="31" t="e">
        <f ca="1"/>
        <v>#REF!</v>
      </c>
      <c r="U322" s="31" t="e">
        <f ca="1"/>
        <v>#REF!</v>
      </c>
      <c r="V322" s="31" t="e">
        <f ca="1"/>
        <v>#REF!</v>
      </c>
      <c r="W322" s="32" t="e">
        <f ca="1"/>
        <v>#REF!</v>
      </c>
      <c r="X322" s="32" t="e">
        <f ca="1"/>
        <v>#REF!</v>
      </c>
      <c r="Y322" s="32" t="e">
        <f ca="1"/>
        <v>#REF!</v>
      </c>
      <c r="Z322" s="33" t="e">
        <f ca="1"/>
        <v>#REF!</v>
      </c>
      <c r="AA322" s="34" t="e">
        <f ca="1"/>
        <v>#REF!</v>
      </c>
    </row>
    <row r="323" spans="1:27" s="25" customFormat="1" ht="11.25" x14ac:dyDescent="0.25">
      <c r="A323" s="24">
        <v>317</v>
      </c>
      <c r="B323" s="24"/>
      <c r="D323" s="26"/>
      <c r="G323" s="24"/>
      <c r="H323" s="25" t="e">
        <f ca="1"/>
        <v>#REF!</v>
      </c>
      <c r="I323" s="24" t="e">
        <f ca="1"/>
        <v>#REF!</v>
      </c>
      <c r="J323" s="25" t="e">
        <f ca="1"/>
        <v>#REF!</v>
      </c>
      <c r="K323" s="29" t="e">
        <f ca="1"/>
        <v>#REF!</v>
      </c>
      <c r="L323" s="29" t="e">
        <f ca="1"/>
        <v>#REF!</v>
      </c>
      <c r="M323" s="25" t="e">
        <f ca="1"/>
        <v>#REF!</v>
      </c>
      <c r="N323" s="30" t="e">
        <f ca="1"/>
        <v>#REF!</v>
      </c>
      <c r="O323" s="31" t="e">
        <f ca="1"/>
        <v>#REF!</v>
      </c>
      <c r="P323" s="31" t="e">
        <f ca="1"/>
        <v>#REF!</v>
      </c>
      <c r="Q323" s="31" t="e">
        <f ca="1"/>
        <v>#REF!</v>
      </c>
      <c r="R323" s="31" t="e">
        <f ca="1"/>
        <v>#REF!</v>
      </c>
      <c r="S323" s="31" t="e">
        <f ca="1"/>
        <v>#REF!</v>
      </c>
      <c r="T323" s="31" t="e">
        <f ca="1"/>
        <v>#REF!</v>
      </c>
      <c r="U323" s="31" t="e">
        <f ca="1"/>
        <v>#REF!</v>
      </c>
      <c r="V323" s="31" t="e">
        <f ca="1"/>
        <v>#REF!</v>
      </c>
      <c r="W323" s="32" t="e">
        <f ca="1"/>
        <v>#REF!</v>
      </c>
      <c r="X323" s="32" t="e">
        <f ca="1"/>
        <v>#REF!</v>
      </c>
      <c r="Y323" s="32" t="e">
        <f ca="1"/>
        <v>#REF!</v>
      </c>
      <c r="Z323" s="33" t="e">
        <f ca="1"/>
        <v>#REF!</v>
      </c>
      <c r="AA323" s="34" t="e">
        <f ca="1"/>
        <v>#REF!</v>
      </c>
    </row>
    <row r="324" spans="1:27" s="25" customFormat="1" ht="11.25" x14ac:dyDescent="0.25">
      <c r="A324" s="24">
        <v>318</v>
      </c>
      <c r="B324" s="24"/>
      <c r="D324" s="26"/>
      <c r="G324" s="24"/>
      <c r="H324" s="25" t="e">
        <f ca="1"/>
        <v>#REF!</v>
      </c>
      <c r="I324" s="24" t="e">
        <f ca="1"/>
        <v>#REF!</v>
      </c>
      <c r="J324" s="25" t="e">
        <f ca="1"/>
        <v>#REF!</v>
      </c>
      <c r="K324" s="29" t="e">
        <f ca="1"/>
        <v>#REF!</v>
      </c>
      <c r="L324" s="29" t="e">
        <f ca="1"/>
        <v>#REF!</v>
      </c>
      <c r="M324" s="25" t="e">
        <f ca="1"/>
        <v>#REF!</v>
      </c>
      <c r="N324" s="30" t="e">
        <f ca="1"/>
        <v>#REF!</v>
      </c>
      <c r="O324" s="31" t="e">
        <f ca="1"/>
        <v>#REF!</v>
      </c>
      <c r="P324" s="31" t="e">
        <f ca="1"/>
        <v>#REF!</v>
      </c>
      <c r="Q324" s="31" t="e">
        <f ca="1"/>
        <v>#REF!</v>
      </c>
      <c r="R324" s="31" t="e">
        <f ca="1"/>
        <v>#REF!</v>
      </c>
      <c r="S324" s="31" t="e">
        <f ca="1"/>
        <v>#REF!</v>
      </c>
      <c r="T324" s="31" t="e">
        <f ca="1"/>
        <v>#REF!</v>
      </c>
      <c r="U324" s="31" t="e">
        <f ca="1"/>
        <v>#REF!</v>
      </c>
      <c r="V324" s="31" t="e">
        <f ca="1"/>
        <v>#REF!</v>
      </c>
      <c r="W324" s="32" t="e">
        <f ca="1"/>
        <v>#REF!</v>
      </c>
      <c r="X324" s="32" t="e">
        <f ca="1"/>
        <v>#REF!</v>
      </c>
      <c r="Y324" s="32" t="e">
        <f ca="1"/>
        <v>#REF!</v>
      </c>
      <c r="Z324" s="33" t="e">
        <f ca="1"/>
        <v>#REF!</v>
      </c>
      <c r="AA324" s="34" t="e">
        <f ca="1"/>
        <v>#REF!</v>
      </c>
    </row>
    <row r="325" spans="1:27" s="25" customFormat="1" ht="11.25" x14ac:dyDescent="0.25">
      <c r="A325" s="24">
        <v>319</v>
      </c>
      <c r="B325" s="24"/>
      <c r="D325" s="26"/>
      <c r="G325" s="24"/>
      <c r="H325" s="25" t="e">
        <f ca="1"/>
        <v>#REF!</v>
      </c>
      <c r="I325" s="24" t="e">
        <f ca="1"/>
        <v>#REF!</v>
      </c>
      <c r="J325" s="25" t="e">
        <f ca="1"/>
        <v>#REF!</v>
      </c>
      <c r="K325" s="29" t="e">
        <f ca="1"/>
        <v>#REF!</v>
      </c>
      <c r="L325" s="29" t="e">
        <f ca="1"/>
        <v>#REF!</v>
      </c>
      <c r="M325" s="25" t="e">
        <f ca="1"/>
        <v>#REF!</v>
      </c>
      <c r="N325" s="30" t="e">
        <f ca="1"/>
        <v>#REF!</v>
      </c>
      <c r="O325" s="31" t="e">
        <f ca="1"/>
        <v>#REF!</v>
      </c>
      <c r="P325" s="31" t="e">
        <f ca="1"/>
        <v>#REF!</v>
      </c>
      <c r="Q325" s="31" t="e">
        <f ca="1"/>
        <v>#REF!</v>
      </c>
      <c r="R325" s="31" t="e">
        <f ca="1"/>
        <v>#REF!</v>
      </c>
      <c r="S325" s="31" t="e">
        <f ca="1"/>
        <v>#REF!</v>
      </c>
      <c r="T325" s="31" t="e">
        <f ca="1"/>
        <v>#REF!</v>
      </c>
      <c r="U325" s="31" t="e">
        <f ca="1"/>
        <v>#REF!</v>
      </c>
      <c r="V325" s="31" t="e">
        <f ca="1"/>
        <v>#REF!</v>
      </c>
      <c r="W325" s="32" t="e">
        <f ca="1"/>
        <v>#REF!</v>
      </c>
      <c r="X325" s="32" t="e">
        <f ca="1"/>
        <v>#REF!</v>
      </c>
      <c r="Y325" s="32" t="e">
        <f ca="1"/>
        <v>#REF!</v>
      </c>
      <c r="Z325" s="33" t="e">
        <f ca="1"/>
        <v>#REF!</v>
      </c>
      <c r="AA325" s="34" t="e">
        <f ca="1"/>
        <v>#REF!</v>
      </c>
    </row>
    <row r="326" spans="1:27" s="25" customFormat="1" ht="11.25" x14ac:dyDescent="0.25">
      <c r="A326" s="24">
        <v>320</v>
      </c>
      <c r="B326" s="24"/>
      <c r="D326" s="26"/>
      <c r="G326" s="24"/>
      <c r="H326" s="25" t="e">
        <f ca="1"/>
        <v>#REF!</v>
      </c>
      <c r="I326" s="24" t="e">
        <f ca="1"/>
        <v>#REF!</v>
      </c>
      <c r="J326" s="25" t="e">
        <f ca="1"/>
        <v>#REF!</v>
      </c>
      <c r="K326" s="29" t="e">
        <f ca="1"/>
        <v>#REF!</v>
      </c>
      <c r="L326" s="29" t="e">
        <f ca="1"/>
        <v>#REF!</v>
      </c>
      <c r="M326" s="25" t="e">
        <f ca="1"/>
        <v>#REF!</v>
      </c>
      <c r="N326" s="30" t="e">
        <f ca="1"/>
        <v>#REF!</v>
      </c>
      <c r="O326" s="31" t="e">
        <f ca="1"/>
        <v>#REF!</v>
      </c>
      <c r="P326" s="31" t="e">
        <f ca="1"/>
        <v>#REF!</v>
      </c>
      <c r="Q326" s="31" t="e">
        <f ca="1"/>
        <v>#REF!</v>
      </c>
      <c r="R326" s="31" t="e">
        <f ca="1"/>
        <v>#REF!</v>
      </c>
      <c r="S326" s="31" t="e">
        <f ca="1"/>
        <v>#REF!</v>
      </c>
      <c r="T326" s="31" t="e">
        <f ca="1"/>
        <v>#REF!</v>
      </c>
      <c r="U326" s="31" t="e">
        <f ca="1"/>
        <v>#REF!</v>
      </c>
      <c r="V326" s="31" t="e">
        <f ca="1"/>
        <v>#REF!</v>
      </c>
      <c r="W326" s="32" t="e">
        <f ca="1"/>
        <v>#REF!</v>
      </c>
      <c r="X326" s="32" t="e">
        <f ca="1"/>
        <v>#REF!</v>
      </c>
      <c r="Y326" s="32" t="e">
        <f ca="1"/>
        <v>#REF!</v>
      </c>
      <c r="Z326" s="33" t="e">
        <f ca="1"/>
        <v>#REF!</v>
      </c>
      <c r="AA326" s="34" t="e">
        <f ca="1"/>
        <v>#REF!</v>
      </c>
    </row>
    <row r="327" spans="1:27" s="25" customFormat="1" ht="39" customHeight="1" x14ac:dyDescent="0.25">
      <c r="A327" s="24">
        <v>321</v>
      </c>
      <c r="B327" s="24"/>
      <c r="D327" s="26"/>
      <c r="G327" s="24"/>
      <c r="H327" s="25" t="e">
        <f ca="1"/>
        <v>#REF!</v>
      </c>
      <c r="I327" s="24" t="e">
        <f ca="1"/>
        <v>#REF!</v>
      </c>
      <c r="J327" s="25" t="e">
        <f ca="1"/>
        <v>#REF!</v>
      </c>
      <c r="K327" s="29" t="e">
        <f ca="1"/>
        <v>#REF!</v>
      </c>
      <c r="L327" s="29" t="e">
        <f ca="1"/>
        <v>#REF!</v>
      </c>
      <c r="M327" s="25" t="e">
        <f ca="1"/>
        <v>#REF!</v>
      </c>
      <c r="N327" s="30" t="e">
        <f ca="1"/>
        <v>#REF!</v>
      </c>
      <c r="O327" s="31" t="e">
        <f ca="1"/>
        <v>#REF!</v>
      </c>
      <c r="P327" s="31" t="e">
        <f ca="1"/>
        <v>#REF!</v>
      </c>
      <c r="Q327" s="31" t="e">
        <f ca="1"/>
        <v>#REF!</v>
      </c>
      <c r="R327" s="31" t="e">
        <f ca="1"/>
        <v>#REF!</v>
      </c>
      <c r="S327" s="31" t="e">
        <f ca="1"/>
        <v>#REF!</v>
      </c>
      <c r="T327" s="31" t="e">
        <f ca="1"/>
        <v>#REF!</v>
      </c>
      <c r="U327" s="31" t="e">
        <f ca="1"/>
        <v>#REF!</v>
      </c>
      <c r="V327" s="31" t="e">
        <f ca="1"/>
        <v>#REF!</v>
      </c>
      <c r="W327" s="32" t="e">
        <f ca="1"/>
        <v>#REF!</v>
      </c>
      <c r="X327" s="32" t="e">
        <f ca="1"/>
        <v>#REF!</v>
      </c>
      <c r="Y327" s="32" t="e">
        <f ca="1"/>
        <v>#REF!</v>
      </c>
      <c r="Z327" s="33" t="e">
        <f ca="1"/>
        <v>#REF!</v>
      </c>
      <c r="AA327" s="34" t="e">
        <f ca="1"/>
        <v>#REF!</v>
      </c>
    </row>
    <row r="328" spans="1:27" s="25" customFormat="1" ht="11.25" x14ac:dyDescent="0.25">
      <c r="A328" s="24">
        <v>322</v>
      </c>
      <c r="B328" s="24"/>
      <c r="D328" s="26"/>
      <c r="G328" s="24"/>
      <c r="H328" s="25" t="e">
        <f ca="1"/>
        <v>#REF!</v>
      </c>
      <c r="I328" s="24" t="e">
        <f ca="1"/>
        <v>#REF!</v>
      </c>
      <c r="J328" s="25" t="e">
        <f ca="1"/>
        <v>#REF!</v>
      </c>
      <c r="K328" s="29" t="e">
        <f ca="1"/>
        <v>#REF!</v>
      </c>
      <c r="L328" s="29" t="e">
        <f ca="1"/>
        <v>#REF!</v>
      </c>
      <c r="M328" s="25" t="e">
        <f ca="1"/>
        <v>#REF!</v>
      </c>
      <c r="N328" s="30" t="e">
        <f ca="1"/>
        <v>#REF!</v>
      </c>
      <c r="O328" s="31" t="e">
        <f ca="1"/>
        <v>#REF!</v>
      </c>
      <c r="P328" s="31" t="e">
        <f ca="1"/>
        <v>#REF!</v>
      </c>
      <c r="Q328" s="31" t="e">
        <f ca="1"/>
        <v>#REF!</v>
      </c>
      <c r="R328" s="31" t="e">
        <f ca="1"/>
        <v>#REF!</v>
      </c>
      <c r="S328" s="31" t="e">
        <f ca="1"/>
        <v>#REF!</v>
      </c>
      <c r="T328" s="31" t="e">
        <f ca="1"/>
        <v>#REF!</v>
      </c>
      <c r="U328" s="31" t="e">
        <f ca="1"/>
        <v>#REF!</v>
      </c>
      <c r="V328" s="31" t="e">
        <f ca="1"/>
        <v>#REF!</v>
      </c>
      <c r="W328" s="32" t="e">
        <f ca="1"/>
        <v>#REF!</v>
      </c>
      <c r="X328" s="32" t="e">
        <f ca="1"/>
        <v>#REF!</v>
      </c>
      <c r="Y328" s="32" t="e">
        <f ca="1"/>
        <v>#REF!</v>
      </c>
      <c r="Z328" s="33" t="e">
        <f ca="1"/>
        <v>#REF!</v>
      </c>
      <c r="AA328" s="34" t="e">
        <f ca="1"/>
        <v>#REF!</v>
      </c>
    </row>
    <row r="329" spans="1:27" s="25" customFormat="1" ht="11.25" x14ac:dyDescent="0.25">
      <c r="A329" s="24">
        <v>323</v>
      </c>
      <c r="B329" s="24"/>
      <c r="D329" s="26"/>
      <c r="G329" s="24"/>
      <c r="H329" s="25" t="e">
        <f ca="1"/>
        <v>#REF!</v>
      </c>
      <c r="I329" s="24" t="e">
        <f ca="1"/>
        <v>#REF!</v>
      </c>
      <c r="J329" s="25" t="e">
        <f ca="1"/>
        <v>#REF!</v>
      </c>
      <c r="K329" s="29" t="e">
        <f ca="1"/>
        <v>#REF!</v>
      </c>
      <c r="L329" s="29" t="e">
        <f ca="1"/>
        <v>#REF!</v>
      </c>
      <c r="M329" s="25" t="e">
        <f ca="1"/>
        <v>#REF!</v>
      </c>
      <c r="N329" s="30" t="e">
        <f ca="1"/>
        <v>#REF!</v>
      </c>
      <c r="O329" s="31" t="e">
        <f ca="1"/>
        <v>#REF!</v>
      </c>
      <c r="P329" s="31" t="e">
        <f ca="1"/>
        <v>#REF!</v>
      </c>
      <c r="Q329" s="31" t="e">
        <f ca="1"/>
        <v>#REF!</v>
      </c>
      <c r="R329" s="31" t="e">
        <f ca="1"/>
        <v>#REF!</v>
      </c>
      <c r="S329" s="31" t="e">
        <f ca="1"/>
        <v>#REF!</v>
      </c>
      <c r="T329" s="31" t="e">
        <f ca="1"/>
        <v>#REF!</v>
      </c>
      <c r="U329" s="31" t="e">
        <f ca="1"/>
        <v>#REF!</v>
      </c>
      <c r="V329" s="31" t="e">
        <f ca="1"/>
        <v>#REF!</v>
      </c>
      <c r="W329" s="32" t="e">
        <f ca="1"/>
        <v>#REF!</v>
      </c>
      <c r="X329" s="32" t="e">
        <f ca="1"/>
        <v>#REF!</v>
      </c>
      <c r="Y329" s="32" t="e">
        <f ca="1"/>
        <v>#REF!</v>
      </c>
      <c r="Z329" s="33" t="e">
        <f ca="1"/>
        <v>#REF!</v>
      </c>
      <c r="AA329" s="34" t="e">
        <f ca="1"/>
        <v>#REF!</v>
      </c>
    </row>
    <row r="330" spans="1:27" s="25" customFormat="1" ht="11.25" x14ac:dyDescent="0.25">
      <c r="A330" s="24">
        <v>324</v>
      </c>
      <c r="B330" s="24"/>
      <c r="D330" s="26"/>
      <c r="G330" s="24"/>
      <c r="H330" s="25" t="e">
        <f ca="1"/>
        <v>#REF!</v>
      </c>
      <c r="I330" s="24" t="e">
        <f ca="1"/>
        <v>#REF!</v>
      </c>
      <c r="J330" s="25" t="e">
        <f ca="1"/>
        <v>#REF!</v>
      </c>
      <c r="K330" s="29" t="e">
        <f ca="1"/>
        <v>#REF!</v>
      </c>
      <c r="L330" s="29" t="e">
        <f ca="1"/>
        <v>#REF!</v>
      </c>
      <c r="M330" s="25" t="e">
        <f ca="1"/>
        <v>#REF!</v>
      </c>
      <c r="N330" s="30" t="e">
        <f ca="1"/>
        <v>#REF!</v>
      </c>
      <c r="O330" s="31" t="e">
        <f ca="1"/>
        <v>#REF!</v>
      </c>
      <c r="P330" s="31" t="e">
        <f ca="1"/>
        <v>#REF!</v>
      </c>
      <c r="Q330" s="31" t="e">
        <f ca="1"/>
        <v>#REF!</v>
      </c>
      <c r="R330" s="31" t="e">
        <f ca="1"/>
        <v>#REF!</v>
      </c>
      <c r="S330" s="31" t="e">
        <f ca="1"/>
        <v>#REF!</v>
      </c>
      <c r="T330" s="31" t="e">
        <f ca="1"/>
        <v>#REF!</v>
      </c>
      <c r="U330" s="31" t="e">
        <f ca="1"/>
        <v>#REF!</v>
      </c>
      <c r="V330" s="31" t="e">
        <f ca="1"/>
        <v>#REF!</v>
      </c>
      <c r="W330" s="32" t="e">
        <f ca="1"/>
        <v>#REF!</v>
      </c>
      <c r="X330" s="32" t="e">
        <f ca="1"/>
        <v>#REF!</v>
      </c>
      <c r="Y330" s="32" t="e">
        <f ca="1"/>
        <v>#REF!</v>
      </c>
      <c r="Z330" s="33" t="e">
        <f ca="1"/>
        <v>#REF!</v>
      </c>
      <c r="AA330" s="34" t="e">
        <f ca="1"/>
        <v>#REF!</v>
      </c>
    </row>
    <row r="331" spans="1:27" s="25" customFormat="1" ht="11.25" x14ac:dyDescent="0.25">
      <c r="A331" s="24">
        <v>325</v>
      </c>
      <c r="B331" s="24"/>
      <c r="D331" s="26"/>
      <c r="G331" s="24"/>
      <c r="H331" s="25" t="e">
        <f ca="1"/>
        <v>#REF!</v>
      </c>
      <c r="I331" s="24" t="e">
        <f ca="1"/>
        <v>#REF!</v>
      </c>
      <c r="J331" s="25" t="e">
        <f ca="1"/>
        <v>#REF!</v>
      </c>
      <c r="K331" s="29" t="e">
        <f ca="1"/>
        <v>#REF!</v>
      </c>
      <c r="L331" s="29" t="e">
        <f ca="1"/>
        <v>#REF!</v>
      </c>
      <c r="M331" s="25" t="e">
        <f ca="1"/>
        <v>#REF!</v>
      </c>
      <c r="N331" s="30" t="e">
        <f ca="1"/>
        <v>#REF!</v>
      </c>
      <c r="O331" s="31" t="e">
        <f ca="1"/>
        <v>#REF!</v>
      </c>
      <c r="P331" s="31" t="e">
        <f ca="1"/>
        <v>#REF!</v>
      </c>
      <c r="Q331" s="31" t="e">
        <f ca="1"/>
        <v>#REF!</v>
      </c>
      <c r="R331" s="31" t="e">
        <f ca="1"/>
        <v>#REF!</v>
      </c>
      <c r="S331" s="31" t="e">
        <f ca="1"/>
        <v>#REF!</v>
      </c>
      <c r="T331" s="31" t="e">
        <f ca="1"/>
        <v>#REF!</v>
      </c>
      <c r="U331" s="31" t="e">
        <f ca="1"/>
        <v>#REF!</v>
      </c>
      <c r="V331" s="31" t="e">
        <f ca="1"/>
        <v>#REF!</v>
      </c>
      <c r="W331" s="32" t="e">
        <f ca="1"/>
        <v>#REF!</v>
      </c>
      <c r="X331" s="32" t="e">
        <f ca="1"/>
        <v>#REF!</v>
      </c>
      <c r="Y331" s="32" t="e">
        <f ca="1"/>
        <v>#REF!</v>
      </c>
      <c r="Z331" s="33" t="e">
        <f ca="1"/>
        <v>#REF!</v>
      </c>
      <c r="AA331" s="34" t="e">
        <f ca="1"/>
        <v>#REF!</v>
      </c>
    </row>
    <row r="332" spans="1:27" s="25" customFormat="1" ht="11.25" x14ac:dyDescent="0.25">
      <c r="A332" s="24">
        <v>326</v>
      </c>
      <c r="B332" s="24"/>
      <c r="D332" s="26"/>
      <c r="G332" s="24"/>
      <c r="H332" s="25" t="e">
        <f ca="1"/>
        <v>#REF!</v>
      </c>
      <c r="I332" s="24" t="e">
        <f ca="1"/>
        <v>#REF!</v>
      </c>
      <c r="J332" s="25" t="e">
        <f ca="1"/>
        <v>#REF!</v>
      </c>
      <c r="K332" s="29" t="e">
        <f ca="1"/>
        <v>#REF!</v>
      </c>
      <c r="L332" s="29" t="e">
        <f ca="1"/>
        <v>#REF!</v>
      </c>
      <c r="M332" s="25" t="e">
        <f ca="1"/>
        <v>#REF!</v>
      </c>
      <c r="N332" s="30" t="e">
        <f ca="1"/>
        <v>#REF!</v>
      </c>
      <c r="O332" s="31" t="e">
        <f ca="1"/>
        <v>#REF!</v>
      </c>
      <c r="P332" s="31" t="e">
        <f ca="1"/>
        <v>#REF!</v>
      </c>
      <c r="Q332" s="31" t="e">
        <f ca="1"/>
        <v>#REF!</v>
      </c>
      <c r="R332" s="31" t="e">
        <f ca="1"/>
        <v>#REF!</v>
      </c>
      <c r="S332" s="31" t="e">
        <f ca="1"/>
        <v>#REF!</v>
      </c>
      <c r="T332" s="31" t="e">
        <f ca="1"/>
        <v>#REF!</v>
      </c>
      <c r="U332" s="31" t="e">
        <f ca="1"/>
        <v>#REF!</v>
      </c>
      <c r="V332" s="31" t="e">
        <f ca="1"/>
        <v>#REF!</v>
      </c>
      <c r="W332" s="32" t="e">
        <f ca="1"/>
        <v>#REF!</v>
      </c>
      <c r="X332" s="32" t="e">
        <f ca="1"/>
        <v>#REF!</v>
      </c>
      <c r="Y332" s="32" t="e">
        <f ca="1"/>
        <v>#REF!</v>
      </c>
      <c r="Z332" s="33" t="e">
        <f ca="1"/>
        <v>#REF!</v>
      </c>
      <c r="AA332" s="34" t="e">
        <f ca="1"/>
        <v>#REF!</v>
      </c>
    </row>
    <row r="333" spans="1:27" s="25" customFormat="1" ht="11.25" x14ac:dyDescent="0.25">
      <c r="A333" s="24">
        <v>327</v>
      </c>
      <c r="B333" s="24"/>
      <c r="D333" s="26"/>
      <c r="G333" s="24"/>
      <c r="H333" s="25" t="e">
        <f ca="1"/>
        <v>#REF!</v>
      </c>
      <c r="I333" s="24" t="e">
        <f ca="1"/>
        <v>#REF!</v>
      </c>
      <c r="J333" s="25" t="e">
        <f ca="1"/>
        <v>#REF!</v>
      </c>
      <c r="K333" s="29" t="e">
        <f ca="1"/>
        <v>#REF!</v>
      </c>
      <c r="L333" s="29" t="e">
        <f ca="1"/>
        <v>#REF!</v>
      </c>
      <c r="M333" s="25" t="e">
        <f ca="1"/>
        <v>#REF!</v>
      </c>
      <c r="N333" s="30" t="e">
        <f ca="1"/>
        <v>#REF!</v>
      </c>
      <c r="O333" s="31" t="e">
        <f ca="1"/>
        <v>#REF!</v>
      </c>
      <c r="P333" s="31" t="e">
        <f ca="1"/>
        <v>#REF!</v>
      </c>
      <c r="Q333" s="31" t="e">
        <f ca="1"/>
        <v>#REF!</v>
      </c>
      <c r="R333" s="31" t="e">
        <f ca="1"/>
        <v>#REF!</v>
      </c>
      <c r="S333" s="31" t="e">
        <f ca="1"/>
        <v>#REF!</v>
      </c>
      <c r="T333" s="31" t="e">
        <f ca="1"/>
        <v>#REF!</v>
      </c>
      <c r="U333" s="31" t="e">
        <f ca="1"/>
        <v>#REF!</v>
      </c>
      <c r="V333" s="31" t="e">
        <f ca="1"/>
        <v>#REF!</v>
      </c>
      <c r="W333" s="32" t="e">
        <f ca="1"/>
        <v>#REF!</v>
      </c>
      <c r="X333" s="32" t="e">
        <f ca="1"/>
        <v>#REF!</v>
      </c>
      <c r="Y333" s="32" t="e">
        <f ca="1"/>
        <v>#REF!</v>
      </c>
      <c r="Z333" s="33" t="e">
        <f ca="1"/>
        <v>#REF!</v>
      </c>
      <c r="AA333" s="34" t="e">
        <f ca="1"/>
        <v>#REF!</v>
      </c>
    </row>
    <row r="334" spans="1:27" s="25" customFormat="1" ht="11.25" x14ac:dyDescent="0.25">
      <c r="A334" s="24">
        <v>328</v>
      </c>
      <c r="B334" s="24"/>
      <c r="D334" s="26"/>
      <c r="G334" s="24"/>
      <c r="H334" s="25" t="e">
        <f ca="1"/>
        <v>#REF!</v>
      </c>
      <c r="I334" s="24" t="e">
        <f ca="1"/>
        <v>#REF!</v>
      </c>
      <c r="J334" s="25" t="e">
        <f ca="1"/>
        <v>#REF!</v>
      </c>
      <c r="K334" s="29" t="e">
        <f ca="1"/>
        <v>#REF!</v>
      </c>
      <c r="L334" s="29" t="e">
        <f ca="1"/>
        <v>#REF!</v>
      </c>
      <c r="M334" s="25" t="e">
        <f ca="1"/>
        <v>#REF!</v>
      </c>
      <c r="N334" s="30" t="e">
        <f ca="1"/>
        <v>#REF!</v>
      </c>
      <c r="O334" s="31" t="e">
        <f ca="1"/>
        <v>#REF!</v>
      </c>
      <c r="P334" s="31" t="e">
        <f ca="1"/>
        <v>#REF!</v>
      </c>
      <c r="Q334" s="31" t="e">
        <f ca="1"/>
        <v>#REF!</v>
      </c>
      <c r="R334" s="31" t="e">
        <f ca="1"/>
        <v>#REF!</v>
      </c>
      <c r="S334" s="31" t="e">
        <f ca="1"/>
        <v>#REF!</v>
      </c>
      <c r="T334" s="31" t="e">
        <f ca="1"/>
        <v>#REF!</v>
      </c>
      <c r="U334" s="31" t="e">
        <f ca="1"/>
        <v>#REF!</v>
      </c>
      <c r="V334" s="31" t="e">
        <f ca="1"/>
        <v>#REF!</v>
      </c>
      <c r="W334" s="32" t="e">
        <f ca="1"/>
        <v>#REF!</v>
      </c>
      <c r="X334" s="32" t="e">
        <f ca="1"/>
        <v>#REF!</v>
      </c>
      <c r="Y334" s="32" t="e">
        <f ca="1"/>
        <v>#REF!</v>
      </c>
      <c r="Z334" s="33" t="e">
        <f ca="1"/>
        <v>#REF!</v>
      </c>
      <c r="AA334" s="34" t="e">
        <f ca="1"/>
        <v>#REF!</v>
      </c>
    </row>
    <row r="335" spans="1:27" s="25" customFormat="1" ht="11.25" x14ac:dyDescent="0.25">
      <c r="A335" s="24">
        <v>329</v>
      </c>
      <c r="B335" s="24"/>
      <c r="D335" s="26"/>
      <c r="G335" s="24"/>
      <c r="H335" s="25" t="e">
        <f ca="1"/>
        <v>#REF!</v>
      </c>
      <c r="I335" s="24" t="e">
        <f ca="1"/>
        <v>#REF!</v>
      </c>
      <c r="J335" s="25" t="e">
        <f ca="1"/>
        <v>#REF!</v>
      </c>
      <c r="K335" s="29" t="e">
        <f ca="1"/>
        <v>#REF!</v>
      </c>
      <c r="L335" s="29" t="e">
        <f ca="1"/>
        <v>#REF!</v>
      </c>
      <c r="M335" s="25" t="e">
        <f ca="1"/>
        <v>#REF!</v>
      </c>
      <c r="N335" s="30" t="e">
        <f ca="1"/>
        <v>#REF!</v>
      </c>
      <c r="O335" s="31" t="e">
        <f ca="1"/>
        <v>#REF!</v>
      </c>
      <c r="P335" s="31" t="e">
        <f ca="1"/>
        <v>#REF!</v>
      </c>
      <c r="Q335" s="31" t="e">
        <f ca="1"/>
        <v>#REF!</v>
      </c>
      <c r="R335" s="31" t="e">
        <f ca="1"/>
        <v>#REF!</v>
      </c>
      <c r="S335" s="31" t="e">
        <f ca="1"/>
        <v>#REF!</v>
      </c>
      <c r="T335" s="31" t="e">
        <f ca="1"/>
        <v>#REF!</v>
      </c>
      <c r="U335" s="31" t="e">
        <f ca="1"/>
        <v>#REF!</v>
      </c>
      <c r="V335" s="31" t="e">
        <f ca="1"/>
        <v>#REF!</v>
      </c>
      <c r="W335" s="32" t="e">
        <f ca="1"/>
        <v>#REF!</v>
      </c>
      <c r="X335" s="32" t="e">
        <f ca="1"/>
        <v>#REF!</v>
      </c>
      <c r="Y335" s="32" t="e">
        <f ca="1"/>
        <v>#REF!</v>
      </c>
      <c r="Z335" s="33" t="e">
        <f ca="1"/>
        <v>#REF!</v>
      </c>
      <c r="AA335" s="34" t="e">
        <f ca="1"/>
        <v>#REF!</v>
      </c>
    </row>
    <row r="336" spans="1:27" s="25" customFormat="1" ht="11.25" x14ac:dyDescent="0.25">
      <c r="A336" s="24">
        <v>330</v>
      </c>
      <c r="B336" s="24"/>
      <c r="D336" s="26"/>
      <c r="G336" s="24"/>
      <c r="H336" s="25" t="e">
        <f ca="1"/>
        <v>#REF!</v>
      </c>
      <c r="I336" s="24" t="e">
        <f ca="1"/>
        <v>#REF!</v>
      </c>
      <c r="J336" s="25" t="e">
        <f ca="1"/>
        <v>#REF!</v>
      </c>
      <c r="K336" s="29" t="e">
        <f ca="1"/>
        <v>#REF!</v>
      </c>
      <c r="L336" s="29" t="e">
        <f ca="1"/>
        <v>#REF!</v>
      </c>
      <c r="M336" s="25" t="e">
        <f ca="1"/>
        <v>#REF!</v>
      </c>
      <c r="N336" s="30" t="e">
        <f ca="1"/>
        <v>#REF!</v>
      </c>
      <c r="O336" s="31" t="e">
        <f ca="1"/>
        <v>#REF!</v>
      </c>
      <c r="P336" s="31" t="e">
        <f ca="1"/>
        <v>#REF!</v>
      </c>
      <c r="Q336" s="31" t="e">
        <f ca="1"/>
        <v>#REF!</v>
      </c>
      <c r="R336" s="31" t="e">
        <f ca="1"/>
        <v>#REF!</v>
      </c>
      <c r="S336" s="31" t="e">
        <f ca="1"/>
        <v>#REF!</v>
      </c>
      <c r="T336" s="31" t="e">
        <f ca="1"/>
        <v>#REF!</v>
      </c>
      <c r="U336" s="31" t="e">
        <f ca="1"/>
        <v>#REF!</v>
      </c>
      <c r="V336" s="31" t="e">
        <f ca="1"/>
        <v>#REF!</v>
      </c>
      <c r="W336" s="32" t="e">
        <f ca="1"/>
        <v>#REF!</v>
      </c>
      <c r="X336" s="32" t="e">
        <f ca="1"/>
        <v>#REF!</v>
      </c>
      <c r="Y336" s="32" t="e">
        <f ca="1"/>
        <v>#REF!</v>
      </c>
      <c r="Z336" s="33" t="e">
        <f ca="1"/>
        <v>#REF!</v>
      </c>
      <c r="AA336" s="33" t="e">
        <f ca="1"/>
        <v>#REF!</v>
      </c>
    </row>
    <row r="337" spans="1:27" s="25" customFormat="1" ht="11.25" x14ac:dyDescent="0.25">
      <c r="A337" s="24">
        <v>331</v>
      </c>
      <c r="B337" s="24"/>
      <c r="D337" s="26"/>
      <c r="G337" s="24"/>
      <c r="H337" s="25" t="e">
        <f ca="1"/>
        <v>#REF!</v>
      </c>
      <c r="I337" s="24" t="e">
        <f ca="1"/>
        <v>#REF!</v>
      </c>
      <c r="J337" s="25" t="e">
        <f ca="1"/>
        <v>#REF!</v>
      </c>
      <c r="K337" s="29" t="e">
        <f ca="1"/>
        <v>#REF!</v>
      </c>
      <c r="L337" s="29" t="e">
        <f ca="1"/>
        <v>#REF!</v>
      </c>
      <c r="M337" s="25" t="e">
        <f ca="1"/>
        <v>#REF!</v>
      </c>
      <c r="N337" s="30" t="e">
        <f ca="1"/>
        <v>#REF!</v>
      </c>
      <c r="O337" s="31" t="e">
        <f ca="1"/>
        <v>#REF!</v>
      </c>
      <c r="P337" s="31" t="e">
        <f ca="1"/>
        <v>#REF!</v>
      </c>
      <c r="Q337" s="31" t="e">
        <f ca="1"/>
        <v>#REF!</v>
      </c>
      <c r="R337" s="31" t="e">
        <f ca="1"/>
        <v>#REF!</v>
      </c>
      <c r="S337" s="31" t="e">
        <f ca="1"/>
        <v>#REF!</v>
      </c>
      <c r="T337" s="31" t="e">
        <f ca="1"/>
        <v>#REF!</v>
      </c>
      <c r="U337" s="31" t="e">
        <f ca="1"/>
        <v>#REF!</v>
      </c>
      <c r="V337" s="31" t="e">
        <f ca="1"/>
        <v>#REF!</v>
      </c>
      <c r="W337" s="32" t="e">
        <f ca="1"/>
        <v>#REF!</v>
      </c>
      <c r="X337" s="32" t="e">
        <f ca="1"/>
        <v>#REF!</v>
      </c>
      <c r="Y337" s="32" t="e">
        <f ca="1"/>
        <v>#REF!</v>
      </c>
      <c r="Z337" s="33" t="e">
        <f ca="1"/>
        <v>#REF!</v>
      </c>
      <c r="AA337" s="34" t="e">
        <f ca="1"/>
        <v>#REF!</v>
      </c>
    </row>
    <row r="338" spans="1:27" s="25" customFormat="1" ht="11.25" x14ac:dyDescent="0.25">
      <c r="A338" s="24">
        <v>332</v>
      </c>
      <c r="B338" s="24"/>
      <c r="D338" s="26"/>
      <c r="G338" s="24"/>
      <c r="H338" s="25" t="e">
        <f ca="1"/>
        <v>#REF!</v>
      </c>
      <c r="I338" s="24" t="e">
        <f ca="1"/>
        <v>#REF!</v>
      </c>
      <c r="J338" s="25" t="e">
        <f ca="1"/>
        <v>#REF!</v>
      </c>
      <c r="K338" s="29" t="e">
        <f ca="1"/>
        <v>#REF!</v>
      </c>
      <c r="L338" s="29" t="e">
        <f ca="1"/>
        <v>#REF!</v>
      </c>
      <c r="M338" s="25" t="e">
        <f ca="1"/>
        <v>#REF!</v>
      </c>
      <c r="N338" s="30" t="e">
        <f ca="1"/>
        <v>#REF!</v>
      </c>
      <c r="O338" s="31" t="e">
        <f ca="1"/>
        <v>#REF!</v>
      </c>
      <c r="P338" s="31" t="e">
        <f ca="1"/>
        <v>#REF!</v>
      </c>
      <c r="Q338" s="31" t="e">
        <f ca="1"/>
        <v>#REF!</v>
      </c>
      <c r="R338" s="31" t="e">
        <f ca="1"/>
        <v>#REF!</v>
      </c>
      <c r="S338" s="31" t="e">
        <f ca="1"/>
        <v>#REF!</v>
      </c>
      <c r="T338" s="31" t="e">
        <f ca="1"/>
        <v>#REF!</v>
      </c>
      <c r="U338" s="31" t="e">
        <f ca="1"/>
        <v>#REF!</v>
      </c>
      <c r="V338" s="31" t="e">
        <f ca="1"/>
        <v>#REF!</v>
      </c>
      <c r="W338" s="32" t="e">
        <f ca="1"/>
        <v>#REF!</v>
      </c>
      <c r="X338" s="32" t="e">
        <f ca="1"/>
        <v>#REF!</v>
      </c>
      <c r="Y338" s="32" t="e">
        <f ca="1"/>
        <v>#REF!</v>
      </c>
      <c r="Z338" s="33" t="e">
        <f ca="1"/>
        <v>#REF!</v>
      </c>
      <c r="AA338" s="34" t="e">
        <f ca="1"/>
        <v>#REF!</v>
      </c>
    </row>
    <row r="339" spans="1:27" s="25" customFormat="1" ht="11.25" x14ac:dyDescent="0.25">
      <c r="A339" s="24">
        <v>333</v>
      </c>
      <c r="B339" s="24"/>
      <c r="D339" s="26"/>
      <c r="G339" s="24"/>
      <c r="H339" s="25" t="e">
        <f ca="1"/>
        <v>#REF!</v>
      </c>
      <c r="I339" s="24" t="e">
        <f ca="1"/>
        <v>#REF!</v>
      </c>
      <c r="J339" s="25" t="e">
        <f ca="1"/>
        <v>#REF!</v>
      </c>
      <c r="K339" s="29" t="e">
        <f ca="1"/>
        <v>#REF!</v>
      </c>
      <c r="L339" s="29" t="e">
        <f ca="1"/>
        <v>#REF!</v>
      </c>
      <c r="M339" s="25" t="e">
        <f ca="1"/>
        <v>#REF!</v>
      </c>
      <c r="N339" s="30" t="e">
        <f ca="1"/>
        <v>#REF!</v>
      </c>
      <c r="O339" s="31" t="e">
        <f ca="1"/>
        <v>#REF!</v>
      </c>
      <c r="P339" s="31" t="e">
        <f ca="1"/>
        <v>#REF!</v>
      </c>
      <c r="Q339" s="31" t="e">
        <f ca="1"/>
        <v>#REF!</v>
      </c>
      <c r="R339" s="31" t="e">
        <f ca="1"/>
        <v>#REF!</v>
      </c>
      <c r="S339" s="31" t="e">
        <f ca="1"/>
        <v>#REF!</v>
      </c>
      <c r="T339" s="31" t="e">
        <f ca="1"/>
        <v>#REF!</v>
      </c>
      <c r="U339" s="31" t="e">
        <f ca="1"/>
        <v>#REF!</v>
      </c>
      <c r="V339" s="31" t="e">
        <f ca="1"/>
        <v>#REF!</v>
      </c>
      <c r="W339" s="32" t="e">
        <f ca="1"/>
        <v>#REF!</v>
      </c>
      <c r="X339" s="32" t="e">
        <f ca="1"/>
        <v>#REF!</v>
      </c>
      <c r="Y339" s="32" t="e">
        <f ca="1"/>
        <v>#REF!</v>
      </c>
      <c r="Z339" s="33" t="e">
        <f ca="1"/>
        <v>#REF!</v>
      </c>
      <c r="AA339" s="34" t="e">
        <f ca="1"/>
        <v>#REF!</v>
      </c>
    </row>
    <row r="340" spans="1:27" s="25" customFormat="1" ht="11.25" x14ac:dyDescent="0.25">
      <c r="A340" s="24">
        <v>334</v>
      </c>
      <c r="B340" s="24"/>
      <c r="D340" s="26"/>
      <c r="G340" s="24"/>
      <c r="H340" s="25" t="e">
        <f ca="1"/>
        <v>#REF!</v>
      </c>
      <c r="I340" s="24" t="e">
        <f ca="1"/>
        <v>#REF!</v>
      </c>
      <c r="J340" s="25" t="e">
        <f ca="1"/>
        <v>#REF!</v>
      </c>
      <c r="K340" s="29" t="e">
        <f ca="1"/>
        <v>#REF!</v>
      </c>
      <c r="L340" s="29" t="e">
        <f ca="1"/>
        <v>#REF!</v>
      </c>
      <c r="M340" s="25" t="e">
        <f ca="1"/>
        <v>#REF!</v>
      </c>
      <c r="N340" s="30" t="e">
        <f ca="1"/>
        <v>#REF!</v>
      </c>
      <c r="O340" s="31" t="e">
        <f ca="1"/>
        <v>#REF!</v>
      </c>
      <c r="P340" s="31" t="e">
        <f ca="1"/>
        <v>#REF!</v>
      </c>
      <c r="Q340" s="31" t="e">
        <f ca="1"/>
        <v>#REF!</v>
      </c>
      <c r="R340" s="31" t="e">
        <f ca="1"/>
        <v>#REF!</v>
      </c>
      <c r="S340" s="31" t="e">
        <f ca="1"/>
        <v>#REF!</v>
      </c>
      <c r="T340" s="31" t="e">
        <f ca="1"/>
        <v>#REF!</v>
      </c>
      <c r="U340" s="31" t="e">
        <f ca="1"/>
        <v>#REF!</v>
      </c>
      <c r="V340" s="31" t="e">
        <f ca="1"/>
        <v>#REF!</v>
      </c>
      <c r="W340" s="32" t="e">
        <f ca="1"/>
        <v>#REF!</v>
      </c>
      <c r="X340" s="32" t="e">
        <f ca="1"/>
        <v>#REF!</v>
      </c>
      <c r="Y340" s="32" t="e">
        <f ca="1"/>
        <v>#REF!</v>
      </c>
      <c r="Z340" s="33" t="e">
        <f ca="1"/>
        <v>#REF!</v>
      </c>
      <c r="AA340" s="34" t="e">
        <f ca="1"/>
        <v>#REF!</v>
      </c>
    </row>
    <row r="341" spans="1:27" s="25" customFormat="1" ht="56.25" customHeight="1" x14ac:dyDescent="0.25">
      <c r="A341" s="24">
        <v>335</v>
      </c>
      <c r="B341" s="24"/>
      <c r="D341" s="26"/>
      <c r="G341" s="24"/>
      <c r="H341" s="25" t="e">
        <f ca="1"/>
        <v>#REF!</v>
      </c>
      <c r="I341" s="24" t="e">
        <f ca="1"/>
        <v>#REF!</v>
      </c>
      <c r="J341" s="25" t="e">
        <f ca="1"/>
        <v>#REF!</v>
      </c>
      <c r="K341" s="29" t="e">
        <f ca="1"/>
        <v>#REF!</v>
      </c>
      <c r="L341" s="29" t="e">
        <f ca="1"/>
        <v>#REF!</v>
      </c>
      <c r="M341" s="25" t="e">
        <f ca="1"/>
        <v>#REF!</v>
      </c>
      <c r="N341" s="30" t="e">
        <f ca="1"/>
        <v>#REF!</v>
      </c>
      <c r="O341" s="31" t="e">
        <f ca="1"/>
        <v>#REF!</v>
      </c>
      <c r="P341" s="31" t="e">
        <f ca="1"/>
        <v>#REF!</v>
      </c>
      <c r="Q341" s="31" t="e">
        <f ca="1"/>
        <v>#REF!</v>
      </c>
      <c r="R341" s="31" t="e">
        <f ca="1"/>
        <v>#REF!</v>
      </c>
      <c r="S341" s="31" t="e">
        <f ca="1"/>
        <v>#REF!</v>
      </c>
      <c r="T341" s="31" t="e">
        <f ca="1"/>
        <v>#REF!</v>
      </c>
      <c r="U341" s="31" t="e">
        <f ca="1"/>
        <v>#REF!</v>
      </c>
      <c r="V341" s="31" t="e">
        <f ca="1"/>
        <v>#REF!</v>
      </c>
      <c r="W341" s="32" t="e">
        <f ca="1"/>
        <v>#REF!</v>
      </c>
      <c r="X341" s="32" t="e">
        <f ca="1"/>
        <v>#REF!</v>
      </c>
      <c r="Y341" s="32" t="e">
        <f ca="1"/>
        <v>#REF!</v>
      </c>
      <c r="Z341" s="33" t="e">
        <f ca="1"/>
        <v>#REF!</v>
      </c>
      <c r="AA341" s="34" t="e">
        <f ca="1"/>
        <v>#REF!</v>
      </c>
    </row>
    <row r="342" spans="1:27" s="25" customFormat="1" ht="11.25" x14ac:dyDescent="0.25">
      <c r="A342" s="24">
        <v>336</v>
      </c>
      <c r="B342" s="24"/>
      <c r="D342" s="26"/>
      <c r="G342" s="24"/>
      <c r="H342" s="25" t="e">
        <f ca="1"/>
        <v>#REF!</v>
      </c>
      <c r="I342" s="24" t="e">
        <f ca="1"/>
        <v>#REF!</v>
      </c>
      <c r="J342" s="25" t="e">
        <f ca="1"/>
        <v>#REF!</v>
      </c>
      <c r="K342" s="29" t="e">
        <f ca="1"/>
        <v>#REF!</v>
      </c>
      <c r="L342" s="29" t="e">
        <f ca="1"/>
        <v>#REF!</v>
      </c>
      <c r="M342" s="25" t="e">
        <f ca="1"/>
        <v>#REF!</v>
      </c>
      <c r="N342" s="30" t="e">
        <f ca="1"/>
        <v>#REF!</v>
      </c>
      <c r="O342" s="31" t="e">
        <f ca="1"/>
        <v>#REF!</v>
      </c>
      <c r="P342" s="31" t="e">
        <f ca="1"/>
        <v>#REF!</v>
      </c>
      <c r="Q342" s="31" t="e">
        <f ca="1"/>
        <v>#REF!</v>
      </c>
      <c r="R342" s="31" t="e">
        <f ca="1"/>
        <v>#REF!</v>
      </c>
      <c r="S342" s="31" t="e">
        <f ca="1"/>
        <v>#REF!</v>
      </c>
      <c r="T342" s="31" t="e">
        <f ca="1"/>
        <v>#REF!</v>
      </c>
      <c r="U342" s="31" t="e">
        <f ca="1"/>
        <v>#REF!</v>
      </c>
      <c r="V342" s="31" t="e">
        <f ca="1"/>
        <v>#REF!</v>
      </c>
      <c r="W342" s="32" t="e">
        <f ca="1"/>
        <v>#REF!</v>
      </c>
      <c r="X342" s="32" t="e">
        <f ca="1"/>
        <v>#REF!</v>
      </c>
      <c r="Y342" s="32" t="e">
        <f ca="1"/>
        <v>#REF!</v>
      </c>
      <c r="Z342" s="33" t="e">
        <f ca="1"/>
        <v>#REF!</v>
      </c>
      <c r="AA342" s="34" t="e">
        <f ca="1"/>
        <v>#REF!</v>
      </c>
    </row>
    <row r="343" spans="1:27" s="25" customFormat="1" ht="11.25" x14ac:dyDescent="0.25">
      <c r="A343" s="24">
        <v>337</v>
      </c>
      <c r="B343" s="24"/>
      <c r="D343" s="26"/>
      <c r="G343" s="24"/>
      <c r="H343" s="25" t="e">
        <f ca="1"/>
        <v>#REF!</v>
      </c>
      <c r="I343" s="24" t="e">
        <f ca="1"/>
        <v>#REF!</v>
      </c>
      <c r="J343" s="25" t="e">
        <f ca="1"/>
        <v>#REF!</v>
      </c>
      <c r="K343" s="29" t="e">
        <f ca="1"/>
        <v>#REF!</v>
      </c>
      <c r="L343" s="29" t="e">
        <f ca="1"/>
        <v>#REF!</v>
      </c>
      <c r="M343" s="25" t="e">
        <f ca="1"/>
        <v>#REF!</v>
      </c>
      <c r="N343" s="30" t="e">
        <f ca="1"/>
        <v>#REF!</v>
      </c>
      <c r="O343" s="31" t="e">
        <f ca="1"/>
        <v>#REF!</v>
      </c>
      <c r="P343" s="31" t="e">
        <f ca="1"/>
        <v>#REF!</v>
      </c>
      <c r="Q343" s="31" t="e">
        <f ca="1"/>
        <v>#REF!</v>
      </c>
      <c r="R343" s="31" t="e">
        <f ca="1"/>
        <v>#REF!</v>
      </c>
      <c r="S343" s="31" t="e">
        <f ca="1"/>
        <v>#REF!</v>
      </c>
      <c r="T343" s="31" t="e">
        <f ca="1"/>
        <v>#REF!</v>
      </c>
      <c r="U343" s="31" t="e">
        <f ca="1"/>
        <v>#REF!</v>
      </c>
      <c r="V343" s="31" t="e">
        <f ca="1"/>
        <v>#REF!</v>
      </c>
      <c r="W343" s="32" t="e">
        <f ca="1"/>
        <v>#REF!</v>
      </c>
      <c r="X343" s="32" t="e">
        <f ca="1"/>
        <v>#REF!</v>
      </c>
      <c r="Y343" s="32" t="e">
        <f ca="1"/>
        <v>#REF!</v>
      </c>
      <c r="Z343" s="33" t="e">
        <f ca="1"/>
        <v>#REF!</v>
      </c>
      <c r="AA343" s="34" t="e">
        <f ca="1"/>
        <v>#REF!</v>
      </c>
    </row>
    <row r="344" spans="1:27" s="25" customFormat="1" ht="11.25" x14ac:dyDescent="0.25">
      <c r="A344" s="24">
        <v>338</v>
      </c>
      <c r="B344" s="24"/>
      <c r="D344" s="26"/>
      <c r="G344" s="24"/>
      <c r="H344" s="25" t="e">
        <f ca="1"/>
        <v>#REF!</v>
      </c>
      <c r="I344" s="24" t="e">
        <f ca="1"/>
        <v>#REF!</v>
      </c>
      <c r="J344" s="25" t="e">
        <f ca="1"/>
        <v>#REF!</v>
      </c>
      <c r="K344" s="29" t="e">
        <f ca="1"/>
        <v>#REF!</v>
      </c>
      <c r="L344" s="29" t="e">
        <f ca="1"/>
        <v>#REF!</v>
      </c>
      <c r="M344" s="25" t="e">
        <f ca="1"/>
        <v>#REF!</v>
      </c>
      <c r="N344" s="30" t="e">
        <f ca="1"/>
        <v>#REF!</v>
      </c>
      <c r="O344" s="31" t="e">
        <f ca="1"/>
        <v>#REF!</v>
      </c>
      <c r="P344" s="31" t="e">
        <f ca="1"/>
        <v>#REF!</v>
      </c>
      <c r="Q344" s="31" t="e">
        <f ca="1"/>
        <v>#REF!</v>
      </c>
      <c r="R344" s="31" t="e">
        <f ca="1"/>
        <v>#REF!</v>
      </c>
      <c r="S344" s="31" t="e">
        <f ca="1"/>
        <v>#REF!</v>
      </c>
      <c r="T344" s="31" t="e">
        <f ca="1"/>
        <v>#REF!</v>
      </c>
      <c r="U344" s="31" t="e">
        <f ca="1"/>
        <v>#REF!</v>
      </c>
      <c r="V344" s="31" t="e">
        <f ca="1"/>
        <v>#REF!</v>
      </c>
      <c r="W344" s="32" t="e">
        <f ca="1"/>
        <v>#REF!</v>
      </c>
      <c r="X344" s="32" t="e">
        <f ca="1"/>
        <v>#REF!</v>
      </c>
      <c r="Y344" s="32" t="e">
        <f ca="1"/>
        <v>#REF!</v>
      </c>
      <c r="Z344" s="33" t="e">
        <f ca="1"/>
        <v>#REF!</v>
      </c>
      <c r="AA344" s="34" t="e">
        <f ca="1"/>
        <v>#REF!</v>
      </c>
    </row>
    <row r="345" spans="1:27" s="25" customFormat="1" ht="11.25" x14ac:dyDescent="0.25">
      <c r="A345" s="24">
        <v>339</v>
      </c>
      <c r="B345" s="24"/>
      <c r="D345" s="26"/>
      <c r="G345" s="24"/>
      <c r="H345" s="25" t="e">
        <f ca="1"/>
        <v>#REF!</v>
      </c>
      <c r="I345" s="24" t="e">
        <f ca="1"/>
        <v>#REF!</v>
      </c>
      <c r="J345" s="25" t="e">
        <f ca="1"/>
        <v>#REF!</v>
      </c>
      <c r="K345" s="29" t="e">
        <f ca="1"/>
        <v>#REF!</v>
      </c>
      <c r="L345" s="29" t="e">
        <f ca="1"/>
        <v>#REF!</v>
      </c>
      <c r="M345" s="25" t="e">
        <f ca="1"/>
        <v>#REF!</v>
      </c>
      <c r="N345" s="30" t="e">
        <f ca="1"/>
        <v>#REF!</v>
      </c>
      <c r="O345" s="31" t="e">
        <f ca="1"/>
        <v>#REF!</v>
      </c>
      <c r="P345" s="31" t="e">
        <f ca="1"/>
        <v>#REF!</v>
      </c>
      <c r="Q345" s="31" t="e">
        <f ca="1"/>
        <v>#REF!</v>
      </c>
      <c r="R345" s="31" t="e">
        <f ca="1"/>
        <v>#REF!</v>
      </c>
      <c r="S345" s="31" t="e">
        <f ca="1"/>
        <v>#REF!</v>
      </c>
      <c r="T345" s="31" t="e">
        <f ca="1"/>
        <v>#REF!</v>
      </c>
      <c r="U345" s="31" t="e">
        <f ca="1"/>
        <v>#REF!</v>
      </c>
      <c r="V345" s="31" t="e">
        <f ca="1"/>
        <v>#REF!</v>
      </c>
      <c r="W345" s="32" t="e">
        <f ca="1"/>
        <v>#REF!</v>
      </c>
      <c r="X345" s="32" t="e">
        <f ca="1"/>
        <v>#REF!</v>
      </c>
      <c r="Y345" s="32" t="e">
        <f ca="1"/>
        <v>#REF!</v>
      </c>
      <c r="Z345" s="33" t="e">
        <f ca="1"/>
        <v>#REF!</v>
      </c>
      <c r="AA345" s="34" t="e">
        <f ca="1"/>
        <v>#REF!</v>
      </c>
    </row>
    <row r="346" spans="1:27" s="25" customFormat="1" ht="11.25" x14ac:dyDescent="0.25">
      <c r="A346" s="24">
        <v>340</v>
      </c>
      <c r="B346" s="24"/>
      <c r="D346" s="26"/>
      <c r="G346" s="24"/>
      <c r="H346" s="25" t="e">
        <f ca="1"/>
        <v>#REF!</v>
      </c>
      <c r="I346" s="24" t="e">
        <f ca="1"/>
        <v>#REF!</v>
      </c>
      <c r="J346" s="25" t="e">
        <f ca="1"/>
        <v>#REF!</v>
      </c>
      <c r="K346" s="29" t="e">
        <f ca="1"/>
        <v>#REF!</v>
      </c>
      <c r="L346" s="29" t="e">
        <f ca="1"/>
        <v>#REF!</v>
      </c>
      <c r="M346" s="25" t="e">
        <f ca="1"/>
        <v>#REF!</v>
      </c>
      <c r="N346" s="30" t="e">
        <f ca="1"/>
        <v>#REF!</v>
      </c>
      <c r="O346" s="31" t="e">
        <f ca="1"/>
        <v>#REF!</v>
      </c>
      <c r="P346" s="31" t="e">
        <f ca="1"/>
        <v>#REF!</v>
      </c>
      <c r="Q346" s="31" t="e">
        <f ca="1"/>
        <v>#REF!</v>
      </c>
      <c r="R346" s="31" t="e">
        <f ca="1"/>
        <v>#REF!</v>
      </c>
      <c r="S346" s="31" t="e">
        <f ca="1"/>
        <v>#REF!</v>
      </c>
      <c r="T346" s="31" t="e">
        <f ca="1"/>
        <v>#REF!</v>
      </c>
      <c r="U346" s="31" t="e">
        <f ca="1"/>
        <v>#REF!</v>
      </c>
      <c r="V346" s="31" t="e">
        <f ca="1"/>
        <v>#REF!</v>
      </c>
      <c r="W346" s="32" t="e">
        <f ca="1"/>
        <v>#REF!</v>
      </c>
      <c r="X346" s="32" t="e">
        <f ca="1"/>
        <v>#REF!</v>
      </c>
      <c r="Y346" s="32" t="e">
        <f ca="1"/>
        <v>#REF!</v>
      </c>
      <c r="Z346" s="33" t="e">
        <f ca="1"/>
        <v>#REF!</v>
      </c>
      <c r="AA346" s="34" t="e">
        <f ca="1"/>
        <v>#REF!</v>
      </c>
    </row>
    <row r="347" spans="1:27" s="25" customFormat="1" ht="11.25" x14ac:dyDescent="0.25">
      <c r="A347" s="24">
        <v>341</v>
      </c>
      <c r="B347" s="24"/>
      <c r="D347" s="26"/>
      <c r="G347" s="24"/>
      <c r="H347" s="25" t="e">
        <f ca="1"/>
        <v>#REF!</v>
      </c>
      <c r="I347" s="24" t="e">
        <f ca="1"/>
        <v>#REF!</v>
      </c>
      <c r="J347" s="25" t="e">
        <f ca="1"/>
        <v>#REF!</v>
      </c>
      <c r="K347" s="29" t="e">
        <f ca="1"/>
        <v>#REF!</v>
      </c>
      <c r="L347" s="29" t="e">
        <f ca="1"/>
        <v>#REF!</v>
      </c>
      <c r="M347" s="25" t="e">
        <f ca="1"/>
        <v>#REF!</v>
      </c>
      <c r="N347" s="30" t="e">
        <f ca="1"/>
        <v>#REF!</v>
      </c>
      <c r="O347" s="31" t="e">
        <f ca="1"/>
        <v>#REF!</v>
      </c>
      <c r="P347" s="31" t="e">
        <f ca="1"/>
        <v>#REF!</v>
      </c>
      <c r="Q347" s="31" t="e">
        <f ca="1"/>
        <v>#REF!</v>
      </c>
      <c r="R347" s="31" t="e">
        <f ca="1"/>
        <v>#REF!</v>
      </c>
      <c r="S347" s="31" t="e">
        <f ca="1"/>
        <v>#REF!</v>
      </c>
      <c r="T347" s="31" t="e">
        <f ca="1"/>
        <v>#REF!</v>
      </c>
      <c r="U347" s="31" t="e">
        <f ca="1"/>
        <v>#REF!</v>
      </c>
      <c r="V347" s="31" t="e">
        <f ca="1"/>
        <v>#REF!</v>
      </c>
      <c r="W347" s="32" t="e">
        <f ca="1"/>
        <v>#REF!</v>
      </c>
      <c r="X347" s="32" t="e">
        <f ca="1"/>
        <v>#REF!</v>
      </c>
      <c r="Y347" s="32" t="e">
        <f ca="1"/>
        <v>#REF!</v>
      </c>
      <c r="Z347" s="33" t="e">
        <f ca="1"/>
        <v>#REF!</v>
      </c>
      <c r="AA347" s="34" t="e">
        <f ca="1"/>
        <v>#REF!</v>
      </c>
    </row>
    <row r="348" spans="1:27" s="25" customFormat="1" ht="11.25" x14ac:dyDescent="0.25">
      <c r="A348" s="24">
        <v>342</v>
      </c>
      <c r="B348" s="24"/>
      <c r="D348" s="26"/>
      <c r="G348" s="24"/>
      <c r="H348" s="25" t="e">
        <f ca="1"/>
        <v>#REF!</v>
      </c>
      <c r="I348" s="24" t="e">
        <f ca="1"/>
        <v>#REF!</v>
      </c>
      <c r="J348" s="25" t="e">
        <f ca="1"/>
        <v>#REF!</v>
      </c>
      <c r="K348" s="29" t="e">
        <f ca="1"/>
        <v>#REF!</v>
      </c>
      <c r="L348" s="29" t="e">
        <f ca="1"/>
        <v>#REF!</v>
      </c>
      <c r="M348" s="25" t="e">
        <f ca="1"/>
        <v>#REF!</v>
      </c>
      <c r="N348" s="30" t="e">
        <f ca="1"/>
        <v>#REF!</v>
      </c>
      <c r="O348" s="31" t="e">
        <f ca="1"/>
        <v>#REF!</v>
      </c>
      <c r="P348" s="31" t="e">
        <f ca="1"/>
        <v>#REF!</v>
      </c>
      <c r="Q348" s="31" t="e">
        <f ca="1"/>
        <v>#REF!</v>
      </c>
      <c r="R348" s="31" t="e">
        <f ca="1"/>
        <v>#REF!</v>
      </c>
      <c r="S348" s="31" t="e">
        <f ca="1"/>
        <v>#REF!</v>
      </c>
      <c r="T348" s="31" t="e">
        <f ca="1"/>
        <v>#REF!</v>
      </c>
      <c r="U348" s="31" t="e">
        <f ca="1"/>
        <v>#REF!</v>
      </c>
      <c r="V348" s="31" t="e">
        <f ca="1"/>
        <v>#REF!</v>
      </c>
      <c r="W348" s="32" t="e">
        <f ca="1"/>
        <v>#REF!</v>
      </c>
      <c r="X348" s="32" t="e">
        <f ca="1"/>
        <v>#REF!</v>
      </c>
      <c r="Y348" s="32" t="e">
        <f ca="1"/>
        <v>#REF!</v>
      </c>
      <c r="Z348" s="33" t="e">
        <f ca="1"/>
        <v>#REF!</v>
      </c>
      <c r="AA348" s="34" t="e">
        <f ca="1"/>
        <v>#REF!</v>
      </c>
    </row>
    <row r="349" spans="1:27" s="25" customFormat="1" ht="11.25" x14ac:dyDescent="0.25">
      <c r="A349" s="24">
        <v>343</v>
      </c>
      <c r="B349" s="24"/>
      <c r="D349" s="26"/>
      <c r="G349" s="24"/>
      <c r="H349" s="25" t="e">
        <f ca="1"/>
        <v>#REF!</v>
      </c>
      <c r="I349" s="24" t="e">
        <f ca="1"/>
        <v>#REF!</v>
      </c>
      <c r="J349" s="25" t="e">
        <f ca="1"/>
        <v>#REF!</v>
      </c>
      <c r="K349" s="29" t="e">
        <f ca="1"/>
        <v>#REF!</v>
      </c>
      <c r="L349" s="29" t="e">
        <f ca="1"/>
        <v>#REF!</v>
      </c>
      <c r="M349" s="25" t="e">
        <f ca="1"/>
        <v>#REF!</v>
      </c>
      <c r="N349" s="30" t="e">
        <f ca="1"/>
        <v>#REF!</v>
      </c>
      <c r="O349" s="31" t="e">
        <f ca="1"/>
        <v>#REF!</v>
      </c>
      <c r="P349" s="31" t="e">
        <f ca="1"/>
        <v>#REF!</v>
      </c>
      <c r="Q349" s="31" t="e">
        <f ca="1"/>
        <v>#REF!</v>
      </c>
      <c r="R349" s="31" t="e">
        <f ca="1"/>
        <v>#REF!</v>
      </c>
      <c r="S349" s="31" t="e">
        <f ca="1"/>
        <v>#REF!</v>
      </c>
      <c r="T349" s="31" t="e">
        <f ca="1"/>
        <v>#REF!</v>
      </c>
      <c r="U349" s="31" t="e">
        <f ca="1"/>
        <v>#REF!</v>
      </c>
      <c r="V349" s="31" t="e">
        <f ca="1"/>
        <v>#REF!</v>
      </c>
      <c r="W349" s="32" t="e">
        <f ca="1"/>
        <v>#REF!</v>
      </c>
      <c r="X349" s="32" t="e">
        <f ca="1"/>
        <v>#REF!</v>
      </c>
      <c r="Y349" s="32" t="e">
        <f ca="1"/>
        <v>#REF!</v>
      </c>
      <c r="Z349" s="33" t="e">
        <f ca="1"/>
        <v>#REF!</v>
      </c>
      <c r="AA349" s="34" t="e">
        <f ca="1"/>
        <v>#REF!</v>
      </c>
    </row>
    <row r="350" spans="1:27" s="25" customFormat="1" ht="11.25" x14ac:dyDescent="0.25">
      <c r="A350" s="24">
        <v>344</v>
      </c>
      <c r="B350" s="24"/>
      <c r="D350" s="26"/>
      <c r="G350" s="24"/>
      <c r="H350" s="25" t="e">
        <f ca="1"/>
        <v>#REF!</v>
      </c>
      <c r="I350" s="24" t="e">
        <f ca="1"/>
        <v>#REF!</v>
      </c>
      <c r="J350" s="25" t="e">
        <f ca="1"/>
        <v>#REF!</v>
      </c>
      <c r="K350" s="29" t="e">
        <f ca="1"/>
        <v>#REF!</v>
      </c>
      <c r="L350" s="29" t="e">
        <f ca="1"/>
        <v>#REF!</v>
      </c>
      <c r="M350" s="25" t="e">
        <f ca="1"/>
        <v>#REF!</v>
      </c>
      <c r="N350" s="30" t="e">
        <f ca="1"/>
        <v>#REF!</v>
      </c>
      <c r="O350" s="31" t="e">
        <f ca="1"/>
        <v>#REF!</v>
      </c>
      <c r="P350" s="31" t="e">
        <f ca="1"/>
        <v>#REF!</v>
      </c>
      <c r="Q350" s="31" t="e">
        <f ca="1"/>
        <v>#REF!</v>
      </c>
      <c r="R350" s="31" t="e">
        <f ca="1"/>
        <v>#REF!</v>
      </c>
      <c r="S350" s="31" t="e">
        <f ca="1"/>
        <v>#REF!</v>
      </c>
      <c r="T350" s="31" t="e">
        <f ca="1"/>
        <v>#REF!</v>
      </c>
      <c r="U350" s="31" t="e">
        <f ca="1"/>
        <v>#REF!</v>
      </c>
      <c r="V350" s="31" t="e">
        <f ca="1"/>
        <v>#REF!</v>
      </c>
      <c r="W350" s="32" t="e">
        <f ca="1"/>
        <v>#REF!</v>
      </c>
      <c r="X350" s="32" t="e">
        <f ca="1"/>
        <v>#REF!</v>
      </c>
      <c r="Y350" s="32" t="e">
        <f ca="1"/>
        <v>#REF!</v>
      </c>
      <c r="Z350" s="33" t="e">
        <f ca="1"/>
        <v>#REF!</v>
      </c>
      <c r="AA350" s="34" t="e">
        <f ca="1"/>
        <v>#REF!</v>
      </c>
    </row>
    <row r="351" spans="1:27" s="25" customFormat="1" ht="11.25" x14ac:dyDescent="0.25">
      <c r="A351" s="24">
        <v>345</v>
      </c>
      <c r="B351" s="24"/>
      <c r="D351" s="26"/>
      <c r="G351" s="24"/>
      <c r="H351" s="25" t="e">
        <f ca="1"/>
        <v>#REF!</v>
      </c>
      <c r="I351" s="24" t="e">
        <f ca="1"/>
        <v>#REF!</v>
      </c>
      <c r="J351" s="25" t="e">
        <f ca="1"/>
        <v>#REF!</v>
      </c>
      <c r="K351" s="29" t="e">
        <f ca="1"/>
        <v>#REF!</v>
      </c>
      <c r="L351" s="29" t="e">
        <f ca="1"/>
        <v>#REF!</v>
      </c>
      <c r="M351" s="25" t="e">
        <f ca="1"/>
        <v>#REF!</v>
      </c>
      <c r="N351" s="30" t="e">
        <f ca="1"/>
        <v>#REF!</v>
      </c>
      <c r="O351" s="31" t="e">
        <f ca="1"/>
        <v>#REF!</v>
      </c>
      <c r="P351" s="31" t="e">
        <f ca="1"/>
        <v>#REF!</v>
      </c>
      <c r="Q351" s="31" t="e">
        <f ca="1"/>
        <v>#REF!</v>
      </c>
      <c r="R351" s="31" t="e">
        <f ca="1"/>
        <v>#REF!</v>
      </c>
      <c r="S351" s="31" t="e">
        <f ca="1"/>
        <v>#REF!</v>
      </c>
      <c r="T351" s="31" t="e">
        <f ca="1"/>
        <v>#REF!</v>
      </c>
      <c r="U351" s="31" t="e">
        <f ca="1"/>
        <v>#REF!</v>
      </c>
      <c r="V351" s="31" t="e">
        <f ca="1"/>
        <v>#REF!</v>
      </c>
      <c r="W351" s="32" t="e">
        <f ca="1"/>
        <v>#REF!</v>
      </c>
      <c r="X351" s="32" t="e">
        <f ca="1"/>
        <v>#REF!</v>
      </c>
      <c r="Y351" s="32" t="e">
        <f ca="1"/>
        <v>#REF!</v>
      </c>
      <c r="Z351" s="33" t="e">
        <f ca="1"/>
        <v>#REF!</v>
      </c>
      <c r="AA351" s="34" t="e">
        <f ca="1"/>
        <v>#REF!</v>
      </c>
    </row>
    <row r="352" spans="1:27" s="25" customFormat="1" ht="11.25" x14ac:dyDescent="0.25">
      <c r="A352" s="24">
        <v>346</v>
      </c>
      <c r="B352" s="24"/>
      <c r="D352" s="26"/>
      <c r="G352" s="24"/>
      <c r="H352" s="25" t="e">
        <f ca="1"/>
        <v>#REF!</v>
      </c>
      <c r="I352" s="24" t="e">
        <f ca="1"/>
        <v>#REF!</v>
      </c>
      <c r="J352" s="25" t="e">
        <f ca="1"/>
        <v>#REF!</v>
      </c>
      <c r="K352" s="29" t="e">
        <f ca="1"/>
        <v>#REF!</v>
      </c>
      <c r="L352" s="29" t="e">
        <f ca="1"/>
        <v>#REF!</v>
      </c>
      <c r="M352" s="25" t="e">
        <f ca="1"/>
        <v>#REF!</v>
      </c>
      <c r="N352" s="30" t="e">
        <f ca="1"/>
        <v>#REF!</v>
      </c>
      <c r="O352" s="31" t="e">
        <f ca="1"/>
        <v>#REF!</v>
      </c>
      <c r="P352" s="31" t="e">
        <f ca="1"/>
        <v>#REF!</v>
      </c>
      <c r="Q352" s="31" t="e">
        <f ca="1"/>
        <v>#REF!</v>
      </c>
      <c r="R352" s="31" t="e">
        <f ca="1"/>
        <v>#REF!</v>
      </c>
      <c r="S352" s="31" t="e">
        <f ca="1"/>
        <v>#REF!</v>
      </c>
      <c r="T352" s="31" t="e">
        <f ca="1"/>
        <v>#REF!</v>
      </c>
      <c r="U352" s="31" t="e">
        <f ca="1"/>
        <v>#REF!</v>
      </c>
      <c r="V352" s="31" t="e">
        <f ca="1"/>
        <v>#REF!</v>
      </c>
      <c r="W352" s="32" t="e">
        <f ca="1"/>
        <v>#REF!</v>
      </c>
      <c r="X352" s="32" t="e">
        <f ca="1"/>
        <v>#REF!</v>
      </c>
      <c r="Y352" s="32" t="e">
        <f ca="1"/>
        <v>#REF!</v>
      </c>
      <c r="Z352" s="33" t="e">
        <f ca="1"/>
        <v>#REF!</v>
      </c>
      <c r="AA352" s="34" t="e">
        <f ca="1"/>
        <v>#REF!</v>
      </c>
    </row>
    <row r="353" spans="1:27" s="25" customFormat="1" ht="11.25" x14ac:dyDescent="0.25">
      <c r="A353" s="24">
        <v>347</v>
      </c>
      <c r="B353" s="24"/>
      <c r="D353" s="26"/>
      <c r="G353" s="24"/>
      <c r="H353" s="25" t="e">
        <f ca="1"/>
        <v>#REF!</v>
      </c>
      <c r="I353" s="24" t="e">
        <f ca="1"/>
        <v>#REF!</v>
      </c>
      <c r="J353" s="25" t="e">
        <f ca="1"/>
        <v>#REF!</v>
      </c>
      <c r="K353" s="29" t="e">
        <f ca="1"/>
        <v>#REF!</v>
      </c>
      <c r="L353" s="29" t="e">
        <f ca="1"/>
        <v>#REF!</v>
      </c>
      <c r="M353" s="25" t="e">
        <f ca="1"/>
        <v>#REF!</v>
      </c>
      <c r="N353" s="30" t="e">
        <f ca="1"/>
        <v>#REF!</v>
      </c>
      <c r="O353" s="31" t="e">
        <f ca="1"/>
        <v>#REF!</v>
      </c>
      <c r="P353" s="31" t="e">
        <f ca="1"/>
        <v>#REF!</v>
      </c>
      <c r="Q353" s="31" t="e">
        <f ca="1"/>
        <v>#REF!</v>
      </c>
      <c r="R353" s="31" t="e">
        <f ca="1"/>
        <v>#REF!</v>
      </c>
      <c r="S353" s="31" t="e">
        <f ca="1"/>
        <v>#REF!</v>
      </c>
      <c r="T353" s="31" t="e">
        <f ca="1"/>
        <v>#REF!</v>
      </c>
      <c r="U353" s="31" t="e">
        <f ca="1"/>
        <v>#REF!</v>
      </c>
      <c r="V353" s="31" t="e">
        <f ca="1"/>
        <v>#REF!</v>
      </c>
      <c r="W353" s="32" t="e">
        <f ca="1"/>
        <v>#REF!</v>
      </c>
      <c r="X353" s="32" t="e">
        <f ca="1"/>
        <v>#REF!</v>
      </c>
      <c r="Y353" s="32" t="e">
        <f ca="1"/>
        <v>#REF!</v>
      </c>
      <c r="Z353" s="33" t="e">
        <f ca="1"/>
        <v>#REF!</v>
      </c>
      <c r="AA353" s="34" t="e">
        <f ca="1"/>
        <v>#REF!</v>
      </c>
    </row>
    <row r="354" spans="1:27" s="25" customFormat="1" ht="11.25" x14ac:dyDescent="0.25">
      <c r="A354" s="24">
        <v>348</v>
      </c>
      <c r="B354" s="24"/>
      <c r="D354" s="26"/>
      <c r="G354" s="24"/>
      <c r="H354" s="25" t="e">
        <f ca="1"/>
        <v>#REF!</v>
      </c>
      <c r="I354" s="24" t="e">
        <f ca="1"/>
        <v>#REF!</v>
      </c>
      <c r="J354" s="25" t="e">
        <f ca="1"/>
        <v>#REF!</v>
      </c>
      <c r="K354" s="29" t="e">
        <f ca="1"/>
        <v>#REF!</v>
      </c>
      <c r="L354" s="29" t="e">
        <f ca="1"/>
        <v>#REF!</v>
      </c>
      <c r="M354" s="25" t="e">
        <f ca="1"/>
        <v>#REF!</v>
      </c>
      <c r="N354" s="30" t="e">
        <f ca="1"/>
        <v>#REF!</v>
      </c>
      <c r="O354" s="31" t="e">
        <f ca="1"/>
        <v>#REF!</v>
      </c>
      <c r="P354" s="31" t="e">
        <f ca="1"/>
        <v>#REF!</v>
      </c>
      <c r="Q354" s="31" t="e">
        <f ca="1"/>
        <v>#REF!</v>
      </c>
      <c r="R354" s="31" t="e">
        <f ca="1"/>
        <v>#REF!</v>
      </c>
      <c r="S354" s="31" t="e">
        <f ca="1"/>
        <v>#REF!</v>
      </c>
      <c r="T354" s="31" t="e">
        <f ca="1"/>
        <v>#REF!</v>
      </c>
      <c r="U354" s="31" t="e">
        <f ca="1"/>
        <v>#REF!</v>
      </c>
      <c r="V354" s="31" t="e">
        <f ca="1"/>
        <v>#REF!</v>
      </c>
      <c r="W354" s="32" t="e">
        <f ca="1"/>
        <v>#REF!</v>
      </c>
      <c r="X354" s="32" t="e">
        <f ca="1"/>
        <v>#REF!</v>
      </c>
      <c r="Y354" s="32" t="e">
        <f ca="1"/>
        <v>#REF!</v>
      </c>
      <c r="Z354" s="33" t="e">
        <f ca="1"/>
        <v>#REF!</v>
      </c>
      <c r="AA354" s="34" t="e">
        <f ca="1"/>
        <v>#REF!</v>
      </c>
    </row>
    <row r="355" spans="1:27" s="25" customFormat="1" ht="11.25" x14ac:dyDescent="0.25">
      <c r="A355" s="24">
        <v>349</v>
      </c>
      <c r="B355" s="24"/>
      <c r="D355" s="26"/>
      <c r="G355" s="24"/>
      <c r="H355" s="25" t="e">
        <f ca="1"/>
        <v>#REF!</v>
      </c>
      <c r="I355" s="24" t="e">
        <f ca="1"/>
        <v>#REF!</v>
      </c>
      <c r="J355" s="25" t="e">
        <f ca="1"/>
        <v>#REF!</v>
      </c>
      <c r="K355" s="29" t="e">
        <f ca="1"/>
        <v>#REF!</v>
      </c>
      <c r="L355" s="29" t="e">
        <f ca="1"/>
        <v>#REF!</v>
      </c>
      <c r="M355" s="25" t="e">
        <f ca="1"/>
        <v>#REF!</v>
      </c>
      <c r="N355" s="30" t="e">
        <f ca="1"/>
        <v>#REF!</v>
      </c>
      <c r="O355" s="31" t="e">
        <f ca="1"/>
        <v>#REF!</v>
      </c>
      <c r="P355" s="31" t="e">
        <f ca="1"/>
        <v>#REF!</v>
      </c>
      <c r="Q355" s="31" t="e">
        <f ca="1"/>
        <v>#REF!</v>
      </c>
      <c r="R355" s="31" t="e">
        <f ca="1"/>
        <v>#REF!</v>
      </c>
      <c r="S355" s="31" t="e">
        <f ca="1"/>
        <v>#REF!</v>
      </c>
      <c r="T355" s="31" t="e">
        <f ca="1"/>
        <v>#REF!</v>
      </c>
      <c r="U355" s="31" t="e">
        <f ca="1"/>
        <v>#REF!</v>
      </c>
      <c r="V355" s="31" t="e">
        <f ca="1"/>
        <v>#REF!</v>
      </c>
      <c r="W355" s="32" t="e">
        <f ca="1"/>
        <v>#REF!</v>
      </c>
      <c r="X355" s="32" t="e">
        <f ca="1"/>
        <v>#REF!</v>
      </c>
      <c r="Y355" s="32" t="e">
        <f ca="1"/>
        <v>#REF!</v>
      </c>
      <c r="Z355" s="33" t="e">
        <f ca="1"/>
        <v>#REF!</v>
      </c>
      <c r="AA355" s="34" t="e">
        <f ca="1"/>
        <v>#REF!</v>
      </c>
    </row>
    <row r="356" spans="1:27" s="25" customFormat="1" ht="11.25" x14ac:dyDescent="0.25">
      <c r="A356" s="24">
        <v>350</v>
      </c>
      <c r="B356" s="24"/>
      <c r="D356" s="26"/>
      <c r="G356" s="24"/>
      <c r="H356" s="25" t="e">
        <f ca="1"/>
        <v>#REF!</v>
      </c>
      <c r="I356" s="24" t="e">
        <f ca="1"/>
        <v>#REF!</v>
      </c>
      <c r="J356" s="25" t="e">
        <f ca="1"/>
        <v>#REF!</v>
      </c>
      <c r="K356" s="29" t="e">
        <f ca="1"/>
        <v>#REF!</v>
      </c>
      <c r="L356" s="29" t="e">
        <f ca="1"/>
        <v>#REF!</v>
      </c>
      <c r="M356" s="25" t="e">
        <f ca="1"/>
        <v>#REF!</v>
      </c>
      <c r="N356" s="30" t="e">
        <f ca="1"/>
        <v>#REF!</v>
      </c>
      <c r="O356" s="31" t="e">
        <f ca="1"/>
        <v>#REF!</v>
      </c>
      <c r="P356" s="31" t="e">
        <f ca="1"/>
        <v>#REF!</v>
      </c>
      <c r="Q356" s="31" t="e">
        <f ca="1"/>
        <v>#REF!</v>
      </c>
      <c r="R356" s="31" t="e">
        <f ca="1"/>
        <v>#REF!</v>
      </c>
      <c r="S356" s="31" t="e">
        <f ca="1"/>
        <v>#REF!</v>
      </c>
      <c r="T356" s="31" t="e">
        <f ca="1"/>
        <v>#REF!</v>
      </c>
      <c r="U356" s="31" t="e">
        <f ca="1"/>
        <v>#REF!</v>
      </c>
      <c r="V356" s="31" t="e">
        <f ca="1"/>
        <v>#REF!</v>
      </c>
      <c r="W356" s="32" t="e">
        <f ca="1"/>
        <v>#REF!</v>
      </c>
      <c r="X356" s="32" t="e">
        <f ca="1"/>
        <v>#REF!</v>
      </c>
      <c r="Y356" s="32" t="e">
        <f ca="1"/>
        <v>#REF!</v>
      </c>
      <c r="Z356" s="33" t="e">
        <f ca="1"/>
        <v>#REF!</v>
      </c>
      <c r="AA356" s="34" t="e">
        <f ca="1"/>
        <v>#REF!</v>
      </c>
    </row>
    <row r="357" spans="1:27" s="25" customFormat="1" ht="11.25" x14ac:dyDescent="0.25">
      <c r="A357" s="24">
        <v>351</v>
      </c>
      <c r="B357" s="24"/>
      <c r="D357" s="26"/>
      <c r="G357" s="24"/>
      <c r="H357" s="25" t="e">
        <f ca="1"/>
        <v>#REF!</v>
      </c>
      <c r="I357" s="24" t="e">
        <f ca="1"/>
        <v>#REF!</v>
      </c>
      <c r="J357" s="25" t="e">
        <f ca="1"/>
        <v>#REF!</v>
      </c>
      <c r="K357" s="29" t="e">
        <f ca="1"/>
        <v>#REF!</v>
      </c>
      <c r="L357" s="29" t="e">
        <f ca="1"/>
        <v>#REF!</v>
      </c>
      <c r="M357" s="25" t="e">
        <f ca="1"/>
        <v>#REF!</v>
      </c>
      <c r="N357" s="30" t="e">
        <f ca="1"/>
        <v>#REF!</v>
      </c>
      <c r="O357" s="31" t="e">
        <f ca="1"/>
        <v>#REF!</v>
      </c>
      <c r="P357" s="31" t="e">
        <f ca="1"/>
        <v>#REF!</v>
      </c>
      <c r="Q357" s="31" t="e">
        <f ca="1"/>
        <v>#REF!</v>
      </c>
      <c r="R357" s="31" t="e">
        <f ca="1"/>
        <v>#REF!</v>
      </c>
      <c r="S357" s="31" t="e">
        <f ca="1"/>
        <v>#REF!</v>
      </c>
      <c r="T357" s="31" t="e">
        <f ca="1"/>
        <v>#REF!</v>
      </c>
      <c r="U357" s="31" t="e">
        <f ca="1"/>
        <v>#REF!</v>
      </c>
      <c r="V357" s="31" t="e">
        <f ca="1"/>
        <v>#REF!</v>
      </c>
      <c r="W357" s="32" t="e">
        <f ca="1"/>
        <v>#REF!</v>
      </c>
      <c r="X357" s="32" t="e">
        <f ca="1"/>
        <v>#REF!</v>
      </c>
      <c r="Y357" s="32" t="e">
        <f ca="1"/>
        <v>#REF!</v>
      </c>
      <c r="Z357" s="33" t="e">
        <f ca="1"/>
        <v>#REF!</v>
      </c>
      <c r="AA357" s="34" t="e">
        <f ca="1"/>
        <v>#REF!</v>
      </c>
    </row>
    <row r="358" spans="1:27" s="25" customFormat="1" ht="11.25" x14ac:dyDescent="0.25">
      <c r="A358" s="24">
        <v>352</v>
      </c>
      <c r="B358" s="24"/>
      <c r="D358" s="26"/>
      <c r="G358" s="24"/>
      <c r="H358" s="25" t="e">
        <f ca="1"/>
        <v>#REF!</v>
      </c>
      <c r="I358" s="24" t="e">
        <f ca="1"/>
        <v>#REF!</v>
      </c>
      <c r="J358" s="25" t="e">
        <f ca="1"/>
        <v>#REF!</v>
      </c>
      <c r="K358" s="29" t="e">
        <f ca="1"/>
        <v>#REF!</v>
      </c>
      <c r="L358" s="29" t="e">
        <f ca="1"/>
        <v>#REF!</v>
      </c>
      <c r="M358" s="25" t="e">
        <f ca="1"/>
        <v>#REF!</v>
      </c>
      <c r="N358" s="30" t="e">
        <f ca="1"/>
        <v>#REF!</v>
      </c>
      <c r="O358" s="31" t="e">
        <f ca="1"/>
        <v>#REF!</v>
      </c>
      <c r="P358" s="31" t="e">
        <f ca="1"/>
        <v>#REF!</v>
      </c>
      <c r="Q358" s="31" t="e">
        <f ca="1"/>
        <v>#REF!</v>
      </c>
      <c r="R358" s="31" t="e">
        <f ca="1"/>
        <v>#REF!</v>
      </c>
      <c r="S358" s="31" t="e">
        <f ca="1"/>
        <v>#REF!</v>
      </c>
      <c r="T358" s="31" t="e">
        <f ca="1"/>
        <v>#REF!</v>
      </c>
      <c r="U358" s="31" t="e">
        <f ca="1"/>
        <v>#REF!</v>
      </c>
      <c r="V358" s="31" t="e">
        <f ca="1"/>
        <v>#REF!</v>
      </c>
      <c r="W358" s="32" t="e">
        <f ca="1"/>
        <v>#REF!</v>
      </c>
      <c r="X358" s="32" t="e">
        <f ca="1"/>
        <v>#REF!</v>
      </c>
      <c r="Y358" s="32" t="e">
        <f ca="1"/>
        <v>#REF!</v>
      </c>
      <c r="Z358" s="33" t="e">
        <f ca="1"/>
        <v>#REF!</v>
      </c>
      <c r="AA358" s="34" t="e">
        <f ca="1"/>
        <v>#REF!</v>
      </c>
    </row>
    <row r="359" spans="1:27" s="25" customFormat="1" ht="11.25" x14ac:dyDescent="0.25">
      <c r="A359" s="24">
        <v>353</v>
      </c>
      <c r="B359" s="24"/>
      <c r="D359" s="26"/>
      <c r="G359" s="24"/>
      <c r="H359" s="25" t="e">
        <f ca="1"/>
        <v>#REF!</v>
      </c>
      <c r="I359" s="24" t="e">
        <f ca="1"/>
        <v>#REF!</v>
      </c>
      <c r="J359" s="25" t="e">
        <f ca="1"/>
        <v>#REF!</v>
      </c>
      <c r="K359" s="29" t="e">
        <f ca="1"/>
        <v>#REF!</v>
      </c>
      <c r="L359" s="29" t="e">
        <f ca="1"/>
        <v>#REF!</v>
      </c>
      <c r="M359" s="25" t="e">
        <f ca="1"/>
        <v>#REF!</v>
      </c>
      <c r="N359" s="30" t="e">
        <f ca="1"/>
        <v>#REF!</v>
      </c>
      <c r="O359" s="31" t="e">
        <f ca="1"/>
        <v>#REF!</v>
      </c>
      <c r="P359" s="31" t="e">
        <f ca="1"/>
        <v>#REF!</v>
      </c>
      <c r="Q359" s="31" t="e">
        <f ca="1"/>
        <v>#REF!</v>
      </c>
      <c r="R359" s="31" t="e">
        <f ca="1"/>
        <v>#REF!</v>
      </c>
      <c r="S359" s="31" t="e">
        <f ca="1"/>
        <v>#REF!</v>
      </c>
      <c r="T359" s="31" t="e">
        <f ca="1"/>
        <v>#REF!</v>
      </c>
      <c r="U359" s="31" t="e">
        <f ca="1"/>
        <v>#REF!</v>
      </c>
      <c r="V359" s="31" t="e">
        <f ca="1"/>
        <v>#REF!</v>
      </c>
      <c r="W359" s="32" t="e">
        <f ca="1"/>
        <v>#REF!</v>
      </c>
      <c r="X359" s="32" t="e">
        <f ca="1"/>
        <v>#REF!</v>
      </c>
      <c r="Y359" s="32" t="e">
        <f ca="1"/>
        <v>#REF!</v>
      </c>
      <c r="Z359" s="33" t="e">
        <f ca="1"/>
        <v>#REF!</v>
      </c>
      <c r="AA359" s="34" t="e">
        <f ca="1"/>
        <v>#REF!</v>
      </c>
    </row>
    <row r="360" spans="1:27" s="25" customFormat="1" ht="11.25" x14ac:dyDescent="0.25">
      <c r="A360" s="24">
        <v>354</v>
      </c>
      <c r="B360" s="24"/>
      <c r="D360" s="26"/>
      <c r="G360" s="24"/>
      <c r="H360" s="25" t="e">
        <f ca="1"/>
        <v>#REF!</v>
      </c>
      <c r="I360" s="24" t="e">
        <f ca="1"/>
        <v>#REF!</v>
      </c>
      <c r="J360" s="25" t="e">
        <f ca="1"/>
        <v>#REF!</v>
      </c>
      <c r="K360" s="29" t="e">
        <f ca="1"/>
        <v>#REF!</v>
      </c>
      <c r="L360" s="29" t="e">
        <f ca="1"/>
        <v>#REF!</v>
      </c>
      <c r="M360" s="25" t="e">
        <f ca="1"/>
        <v>#REF!</v>
      </c>
      <c r="N360" s="30" t="e">
        <f ca="1"/>
        <v>#REF!</v>
      </c>
      <c r="O360" s="31" t="e">
        <f ca="1"/>
        <v>#REF!</v>
      </c>
      <c r="P360" s="31" t="e">
        <f ca="1"/>
        <v>#REF!</v>
      </c>
      <c r="Q360" s="31" t="e">
        <f ca="1"/>
        <v>#REF!</v>
      </c>
      <c r="R360" s="31" t="e">
        <f ca="1"/>
        <v>#REF!</v>
      </c>
      <c r="S360" s="31" t="e">
        <f ca="1"/>
        <v>#REF!</v>
      </c>
      <c r="T360" s="31" t="e">
        <f ca="1"/>
        <v>#REF!</v>
      </c>
      <c r="U360" s="31" t="e">
        <f ca="1"/>
        <v>#REF!</v>
      </c>
      <c r="V360" s="31" t="e">
        <f ca="1"/>
        <v>#REF!</v>
      </c>
      <c r="W360" s="32" t="e">
        <f ca="1"/>
        <v>#REF!</v>
      </c>
      <c r="X360" s="32" t="e">
        <f ca="1"/>
        <v>#REF!</v>
      </c>
      <c r="Y360" s="32" t="e">
        <f ca="1"/>
        <v>#REF!</v>
      </c>
      <c r="Z360" s="33" t="e">
        <f ca="1"/>
        <v>#REF!</v>
      </c>
      <c r="AA360" s="34" t="e">
        <f ca="1"/>
        <v>#REF!</v>
      </c>
    </row>
    <row r="361" spans="1:27" s="25" customFormat="1" ht="11.25" x14ac:dyDescent="0.25">
      <c r="A361" s="24">
        <v>355</v>
      </c>
      <c r="B361" s="24"/>
      <c r="D361" s="26"/>
      <c r="G361" s="24"/>
      <c r="H361" s="25" t="e">
        <f ca="1"/>
        <v>#REF!</v>
      </c>
      <c r="I361" s="24" t="e">
        <f ca="1"/>
        <v>#REF!</v>
      </c>
      <c r="J361" s="25" t="e">
        <f ca="1"/>
        <v>#REF!</v>
      </c>
      <c r="K361" s="29" t="e">
        <f ca="1"/>
        <v>#REF!</v>
      </c>
      <c r="L361" s="29" t="e">
        <f ca="1"/>
        <v>#REF!</v>
      </c>
      <c r="M361" s="25" t="e">
        <f ca="1"/>
        <v>#REF!</v>
      </c>
      <c r="N361" s="30" t="e">
        <f ca="1"/>
        <v>#REF!</v>
      </c>
      <c r="O361" s="31" t="e">
        <f ca="1"/>
        <v>#REF!</v>
      </c>
      <c r="P361" s="31" t="e">
        <f ca="1"/>
        <v>#REF!</v>
      </c>
      <c r="Q361" s="31" t="e">
        <f ca="1"/>
        <v>#REF!</v>
      </c>
      <c r="R361" s="31" t="e">
        <f ca="1"/>
        <v>#REF!</v>
      </c>
      <c r="S361" s="31" t="e">
        <f ca="1"/>
        <v>#REF!</v>
      </c>
      <c r="T361" s="31" t="e">
        <f ca="1"/>
        <v>#REF!</v>
      </c>
      <c r="U361" s="31" t="e">
        <f ca="1"/>
        <v>#REF!</v>
      </c>
      <c r="V361" s="31" t="e">
        <f ca="1"/>
        <v>#REF!</v>
      </c>
      <c r="W361" s="32" t="e">
        <f ca="1"/>
        <v>#REF!</v>
      </c>
      <c r="X361" s="32" t="e">
        <f ca="1"/>
        <v>#REF!</v>
      </c>
      <c r="Y361" s="32" t="e">
        <f ca="1"/>
        <v>#REF!</v>
      </c>
      <c r="Z361" s="33" t="e">
        <f ca="1"/>
        <v>#REF!</v>
      </c>
      <c r="AA361" s="34" t="e">
        <f ca="1"/>
        <v>#REF!</v>
      </c>
    </row>
    <row r="362" spans="1:27" s="25" customFormat="1" ht="11.25" x14ac:dyDescent="0.25">
      <c r="A362" s="24">
        <v>356</v>
      </c>
      <c r="B362" s="24"/>
      <c r="D362" s="26"/>
      <c r="G362" s="24"/>
      <c r="H362" s="25" t="e">
        <f ca="1"/>
        <v>#REF!</v>
      </c>
      <c r="I362" s="24" t="e">
        <f ca="1"/>
        <v>#REF!</v>
      </c>
      <c r="J362" s="25" t="e">
        <f ca="1"/>
        <v>#REF!</v>
      </c>
      <c r="K362" s="29" t="e">
        <f ca="1"/>
        <v>#REF!</v>
      </c>
      <c r="L362" s="29" t="e">
        <f ca="1"/>
        <v>#REF!</v>
      </c>
      <c r="M362" s="25" t="e">
        <f ca="1"/>
        <v>#REF!</v>
      </c>
      <c r="N362" s="30" t="e">
        <f ca="1"/>
        <v>#REF!</v>
      </c>
      <c r="O362" s="31" t="e">
        <f ca="1"/>
        <v>#REF!</v>
      </c>
      <c r="P362" s="31" t="e">
        <f ca="1"/>
        <v>#REF!</v>
      </c>
      <c r="Q362" s="31" t="e">
        <f ca="1"/>
        <v>#REF!</v>
      </c>
      <c r="R362" s="31" t="e">
        <f ca="1"/>
        <v>#REF!</v>
      </c>
      <c r="S362" s="31" t="e">
        <f ca="1"/>
        <v>#REF!</v>
      </c>
      <c r="T362" s="31" t="e">
        <f ca="1"/>
        <v>#REF!</v>
      </c>
      <c r="U362" s="31" t="e">
        <f ca="1"/>
        <v>#REF!</v>
      </c>
      <c r="V362" s="31" t="e">
        <f ca="1"/>
        <v>#REF!</v>
      </c>
      <c r="W362" s="32" t="e">
        <f ca="1"/>
        <v>#REF!</v>
      </c>
      <c r="X362" s="32" t="e">
        <f ca="1"/>
        <v>#REF!</v>
      </c>
      <c r="Y362" s="32" t="e">
        <f ca="1"/>
        <v>#REF!</v>
      </c>
      <c r="Z362" s="33" t="e">
        <f ca="1"/>
        <v>#REF!</v>
      </c>
      <c r="AA362" s="34" t="e">
        <f ca="1"/>
        <v>#REF!</v>
      </c>
    </row>
    <row r="363" spans="1:27" s="25" customFormat="1" ht="11.25" x14ac:dyDescent="0.25">
      <c r="A363" s="24">
        <v>357</v>
      </c>
      <c r="B363" s="24"/>
      <c r="D363" s="26"/>
      <c r="G363" s="24"/>
      <c r="H363" s="25" t="e">
        <f ca="1"/>
        <v>#REF!</v>
      </c>
      <c r="I363" s="24" t="e">
        <f ca="1"/>
        <v>#REF!</v>
      </c>
      <c r="J363" s="25" t="e">
        <f ca="1"/>
        <v>#REF!</v>
      </c>
      <c r="K363" s="29" t="e">
        <f ca="1"/>
        <v>#REF!</v>
      </c>
      <c r="L363" s="29" t="e">
        <f ca="1"/>
        <v>#REF!</v>
      </c>
      <c r="M363" s="25" t="e">
        <f ca="1"/>
        <v>#REF!</v>
      </c>
      <c r="N363" s="30" t="e">
        <f ca="1"/>
        <v>#REF!</v>
      </c>
      <c r="O363" s="31" t="e">
        <f ca="1"/>
        <v>#REF!</v>
      </c>
      <c r="P363" s="31" t="e">
        <f ca="1"/>
        <v>#REF!</v>
      </c>
      <c r="Q363" s="31" t="e">
        <f ca="1"/>
        <v>#REF!</v>
      </c>
      <c r="R363" s="31" t="e">
        <f ca="1"/>
        <v>#REF!</v>
      </c>
      <c r="S363" s="31" t="e">
        <f ca="1"/>
        <v>#REF!</v>
      </c>
      <c r="T363" s="31" t="e">
        <f ca="1"/>
        <v>#REF!</v>
      </c>
      <c r="U363" s="31" t="e">
        <f ca="1"/>
        <v>#REF!</v>
      </c>
      <c r="V363" s="31" t="e">
        <f ca="1"/>
        <v>#REF!</v>
      </c>
      <c r="W363" s="32" t="e">
        <f ca="1"/>
        <v>#REF!</v>
      </c>
      <c r="X363" s="32" t="e">
        <f ca="1"/>
        <v>#REF!</v>
      </c>
      <c r="Y363" s="32" t="e">
        <f ca="1"/>
        <v>#REF!</v>
      </c>
      <c r="Z363" s="33" t="e">
        <f ca="1"/>
        <v>#REF!</v>
      </c>
      <c r="AA363" s="34" t="e">
        <f ca="1"/>
        <v>#REF!</v>
      </c>
    </row>
    <row r="364" spans="1:27" s="25" customFormat="1" ht="11.25" x14ac:dyDescent="0.25">
      <c r="A364" s="24">
        <v>358</v>
      </c>
      <c r="B364" s="24"/>
      <c r="D364" s="26"/>
      <c r="G364" s="24"/>
      <c r="H364" s="25" t="e">
        <f ca="1"/>
        <v>#REF!</v>
      </c>
      <c r="I364" s="24" t="e">
        <f ca="1"/>
        <v>#REF!</v>
      </c>
      <c r="J364" s="25" t="e">
        <f ca="1"/>
        <v>#REF!</v>
      </c>
      <c r="K364" s="29" t="e">
        <f ca="1"/>
        <v>#REF!</v>
      </c>
      <c r="L364" s="29" t="e">
        <f ca="1"/>
        <v>#REF!</v>
      </c>
      <c r="M364" s="25" t="e">
        <f ca="1"/>
        <v>#REF!</v>
      </c>
      <c r="N364" s="30" t="e">
        <f ca="1"/>
        <v>#REF!</v>
      </c>
      <c r="O364" s="31" t="e">
        <f ca="1"/>
        <v>#REF!</v>
      </c>
      <c r="P364" s="31" t="e">
        <f ca="1"/>
        <v>#REF!</v>
      </c>
      <c r="Q364" s="31" t="e">
        <f ca="1"/>
        <v>#REF!</v>
      </c>
      <c r="R364" s="31" t="e">
        <f ca="1"/>
        <v>#REF!</v>
      </c>
      <c r="S364" s="31" t="e">
        <f ca="1"/>
        <v>#REF!</v>
      </c>
      <c r="T364" s="31" t="e">
        <f ca="1"/>
        <v>#REF!</v>
      </c>
      <c r="U364" s="31" t="e">
        <f ca="1"/>
        <v>#REF!</v>
      </c>
      <c r="V364" s="31" t="e">
        <f ca="1"/>
        <v>#REF!</v>
      </c>
      <c r="W364" s="32" t="e">
        <f ca="1"/>
        <v>#REF!</v>
      </c>
      <c r="X364" s="32" t="e">
        <f ca="1"/>
        <v>#REF!</v>
      </c>
      <c r="Y364" s="32" t="e">
        <f ca="1"/>
        <v>#REF!</v>
      </c>
      <c r="Z364" s="33" t="e">
        <f ca="1"/>
        <v>#REF!</v>
      </c>
      <c r="AA364" s="34" t="e">
        <f ca="1"/>
        <v>#REF!</v>
      </c>
    </row>
    <row r="365" spans="1:27" s="25" customFormat="1" ht="11.25" x14ac:dyDescent="0.25">
      <c r="A365" s="24">
        <v>359</v>
      </c>
      <c r="B365" s="24"/>
      <c r="D365" s="26"/>
      <c r="G365" s="24"/>
      <c r="H365" s="25" t="e">
        <f ca="1"/>
        <v>#REF!</v>
      </c>
      <c r="I365" s="24" t="e">
        <f ca="1"/>
        <v>#REF!</v>
      </c>
      <c r="J365" s="25" t="e">
        <f ca="1"/>
        <v>#REF!</v>
      </c>
      <c r="K365" s="29" t="e">
        <f ca="1"/>
        <v>#REF!</v>
      </c>
      <c r="L365" s="29" t="e">
        <f ca="1"/>
        <v>#REF!</v>
      </c>
      <c r="M365" s="25" t="e">
        <f ca="1"/>
        <v>#REF!</v>
      </c>
      <c r="N365" s="30" t="e">
        <f ca="1"/>
        <v>#REF!</v>
      </c>
      <c r="O365" s="31" t="e">
        <f ca="1"/>
        <v>#REF!</v>
      </c>
      <c r="P365" s="31" t="e">
        <f ca="1"/>
        <v>#REF!</v>
      </c>
      <c r="Q365" s="31" t="e">
        <f ca="1"/>
        <v>#REF!</v>
      </c>
      <c r="R365" s="31" t="e">
        <f ca="1"/>
        <v>#REF!</v>
      </c>
      <c r="S365" s="31" t="e">
        <f ca="1"/>
        <v>#REF!</v>
      </c>
      <c r="T365" s="31" t="e">
        <f ca="1"/>
        <v>#REF!</v>
      </c>
      <c r="U365" s="31" t="e">
        <f ca="1"/>
        <v>#REF!</v>
      </c>
      <c r="V365" s="31" t="e">
        <f ca="1"/>
        <v>#REF!</v>
      </c>
      <c r="W365" s="32" t="e">
        <f ca="1"/>
        <v>#REF!</v>
      </c>
      <c r="X365" s="32" t="e">
        <f ca="1"/>
        <v>#REF!</v>
      </c>
      <c r="Y365" s="32" t="e">
        <f ca="1"/>
        <v>#REF!</v>
      </c>
      <c r="Z365" s="33" t="e">
        <f ca="1"/>
        <v>#REF!</v>
      </c>
      <c r="AA365" s="34" t="e">
        <f ca="1"/>
        <v>#REF!</v>
      </c>
    </row>
    <row r="366" spans="1:27" s="25" customFormat="1" ht="11.25" x14ac:dyDescent="0.25">
      <c r="A366" s="24">
        <v>360</v>
      </c>
      <c r="B366" s="24"/>
      <c r="D366" s="26"/>
      <c r="G366" s="24"/>
      <c r="H366" s="25" t="e">
        <f ca="1"/>
        <v>#REF!</v>
      </c>
      <c r="I366" s="24" t="e">
        <f ca="1"/>
        <v>#REF!</v>
      </c>
      <c r="J366" s="25" t="e">
        <f ca="1"/>
        <v>#REF!</v>
      </c>
      <c r="K366" s="29" t="e">
        <f ca="1"/>
        <v>#REF!</v>
      </c>
      <c r="L366" s="29" t="e">
        <f ca="1"/>
        <v>#REF!</v>
      </c>
      <c r="M366" s="25" t="e">
        <f ca="1"/>
        <v>#REF!</v>
      </c>
      <c r="N366" s="30" t="e">
        <f ca="1"/>
        <v>#REF!</v>
      </c>
      <c r="O366" s="31" t="e">
        <f ca="1"/>
        <v>#REF!</v>
      </c>
      <c r="P366" s="31" t="e">
        <f ca="1"/>
        <v>#REF!</v>
      </c>
      <c r="Q366" s="31" t="e">
        <f ca="1"/>
        <v>#REF!</v>
      </c>
      <c r="R366" s="31" t="e">
        <f ca="1"/>
        <v>#REF!</v>
      </c>
      <c r="S366" s="31" t="e">
        <f ca="1"/>
        <v>#REF!</v>
      </c>
      <c r="T366" s="31" t="e">
        <f ca="1"/>
        <v>#REF!</v>
      </c>
      <c r="U366" s="31" t="e">
        <f ca="1"/>
        <v>#REF!</v>
      </c>
      <c r="V366" s="31" t="e">
        <f ca="1"/>
        <v>#REF!</v>
      </c>
      <c r="W366" s="32" t="e">
        <f ca="1"/>
        <v>#REF!</v>
      </c>
      <c r="X366" s="32" t="e">
        <f ca="1"/>
        <v>#REF!</v>
      </c>
      <c r="Y366" s="32" t="e">
        <f ca="1"/>
        <v>#REF!</v>
      </c>
      <c r="Z366" s="33" t="e">
        <f ca="1"/>
        <v>#REF!</v>
      </c>
      <c r="AA366" s="34" t="e">
        <f ca="1"/>
        <v>#REF!</v>
      </c>
    </row>
    <row r="367" spans="1:27" s="25" customFormat="1" ht="11.25" x14ac:dyDescent="0.25">
      <c r="A367" s="24">
        <v>361</v>
      </c>
      <c r="B367" s="24"/>
      <c r="D367" s="26"/>
      <c r="G367" s="24"/>
      <c r="H367" s="25" t="e">
        <f ca="1"/>
        <v>#REF!</v>
      </c>
      <c r="I367" s="24" t="e">
        <f ca="1"/>
        <v>#REF!</v>
      </c>
      <c r="J367" s="25" t="e">
        <f ca="1"/>
        <v>#REF!</v>
      </c>
      <c r="K367" s="29" t="e">
        <f ca="1"/>
        <v>#REF!</v>
      </c>
      <c r="L367" s="29" t="e">
        <f ca="1"/>
        <v>#REF!</v>
      </c>
      <c r="M367" s="25" t="e">
        <f ca="1"/>
        <v>#REF!</v>
      </c>
      <c r="N367" s="30" t="e">
        <f ca="1"/>
        <v>#REF!</v>
      </c>
      <c r="O367" s="31" t="e">
        <f ca="1"/>
        <v>#REF!</v>
      </c>
      <c r="P367" s="31" t="e">
        <f ca="1"/>
        <v>#REF!</v>
      </c>
      <c r="Q367" s="31" t="e">
        <f ca="1"/>
        <v>#REF!</v>
      </c>
      <c r="R367" s="31" t="e">
        <f ca="1"/>
        <v>#REF!</v>
      </c>
      <c r="S367" s="31" t="e">
        <f ca="1"/>
        <v>#REF!</v>
      </c>
      <c r="T367" s="31" t="e">
        <f ca="1"/>
        <v>#REF!</v>
      </c>
      <c r="U367" s="31" t="e">
        <f ca="1"/>
        <v>#REF!</v>
      </c>
      <c r="V367" s="31" t="e">
        <f ca="1"/>
        <v>#REF!</v>
      </c>
      <c r="W367" s="32" t="e">
        <f ca="1"/>
        <v>#REF!</v>
      </c>
      <c r="X367" s="32" t="e">
        <f ca="1"/>
        <v>#REF!</v>
      </c>
      <c r="Y367" s="32" t="e">
        <f ca="1"/>
        <v>#REF!</v>
      </c>
      <c r="Z367" s="33" t="e">
        <f ca="1"/>
        <v>#REF!</v>
      </c>
      <c r="AA367" s="34" t="e">
        <f ca="1"/>
        <v>#REF!</v>
      </c>
    </row>
    <row r="368" spans="1:27" s="25" customFormat="1" ht="11.25" x14ac:dyDescent="0.25">
      <c r="A368" s="24">
        <v>362</v>
      </c>
      <c r="B368" s="24"/>
      <c r="D368" s="26"/>
      <c r="G368" s="24"/>
      <c r="H368" s="25" t="e">
        <f ca="1"/>
        <v>#REF!</v>
      </c>
      <c r="I368" s="24" t="e">
        <f ca="1"/>
        <v>#REF!</v>
      </c>
      <c r="J368" s="25" t="e">
        <f ca="1"/>
        <v>#REF!</v>
      </c>
      <c r="K368" s="29" t="e">
        <f ca="1"/>
        <v>#REF!</v>
      </c>
      <c r="L368" s="29" t="e">
        <f ca="1"/>
        <v>#REF!</v>
      </c>
      <c r="M368" s="25" t="e">
        <f ca="1"/>
        <v>#REF!</v>
      </c>
      <c r="N368" s="30" t="e">
        <f ca="1"/>
        <v>#REF!</v>
      </c>
      <c r="O368" s="31" t="e">
        <f ca="1"/>
        <v>#REF!</v>
      </c>
      <c r="P368" s="31" t="e">
        <f ca="1"/>
        <v>#REF!</v>
      </c>
      <c r="Q368" s="31" t="e">
        <f ca="1"/>
        <v>#REF!</v>
      </c>
      <c r="R368" s="31" t="e">
        <f ca="1"/>
        <v>#REF!</v>
      </c>
      <c r="S368" s="31" t="e">
        <f ca="1"/>
        <v>#REF!</v>
      </c>
      <c r="T368" s="31" t="e">
        <f ca="1"/>
        <v>#REF!</v>
      </c>
      <c r="U368" s="31" t="e">
        <f ca="1"/>
        <v>#REF!</v>
      </c>
      <c r="V368" s="31" t="e">
        <f ca="1"/>
        <v>#REF!</v>
      </c>
      <c r="W368" s="32" t="e">
        <f ca="1"/>
        <v>#REF!</v>
      </c>
      <c r="X368" s="32" t="e">
        <f ca="1"/>
        <v>#REF!</v>
      </c>
      <c r="Y368" s="32" t="e">
        <f ca="1"/>
        <v>#REF!</v>
      </c>
      <c r="Z368" s="33" t="e">
        <f ca="1"/>
        <v>#REF!</v>
      </c>
      <c r="AA368" s="34" t="e">
        <f ca="1"/>
        <v>#REF!</v>
      </c>
    </row>
    <row r="369" spans="1:27" s="25" customFormat="1" ht="11.25" x14ac:dyDescent="0.25">
      <c r="A369" s="24">
        <v>363</v>
      </c>
      <c r="B369" s="24"/>
      <c r="D369" s="26"/>
      <c r="G369" s="24"/>
      <c r="H369" s="25" t="e">
        <f ca="1"/>
        <v>#REF!</v>
      </c>
      <c r="I369" s="24" t="e">
        <f ca="1"/>
        <v>#REF!</v>
      </c>
      <c r="J369" s="25" t="e">
        <f ca="1"/>
        <v>#REF!</v>
      </c>
      <c r="K369" s="29" t="e">
        <f ca="1"/>
        <v>#REF!</v>
      </c>
      <c r="L369" s="29" t="e">
        <f ca="1"/>
        <v>#REF!</v>
      </c>
      <c r="M369" s="25" t="e">
        <f ca="1"/>
        <v>#REF!</v>
      </c>
      <c r="N369" s="30" t="e">
        <f ca="1"/>
        <v>#REF!</v>
      </c>
      <c r="O369" s="31" t="e">
        <f ca="1"/>
        <v>#REF!</v>
      </c>
      <c r="P369" s="31" t="e">
        <f ca="1"/>
        <v>#REF!</v>
      </c>
      <c r="Q369" s="31" t="e">
        <f ca="1"/>
        <v>#REF!</v>
      </c>
      <c r="R369" s="31" t="e">
        <f ca="1"/>
        <v>#REF!</v>
      </c>
      <c r="S369" s="31" t="e">
        <f ca="1"/>
        <v>#REF!</v>
      </c>
      <c r="T369" s="31" t="e">
        <f ca="1"/>
        <v>#REF!</v>
      </c>
      <c r="U369" s="31" t="e">
        <f ca="1"/>
        <v>#REF!</v>
      </c>
      <c r="V369" s="31" t="e">
        <f ca="1"/>
        <v>#REF!</v>
      </c>
      <c r="W369" s="32" t="e">
        <f ca="1"/>
        <v>#REF!</v>
      </c>
      <c r="X369" s="32" t="e">
        <f ca="1"/>
        <v>#REF!</v>
      </c>
      <c r="Y369" s="32" t="e">
        <f ca="1"/>
        <v>#REF!</v>
      </c>
      <c r="Z369" s="33" t="e">
        <f ca="1"/>
        <v>#REF!</v>
      </c>
      <c r="AA369" s="34" t="e">
        <f ca="1"/>
        <v>#REF!</v>
      </c>
    </row>
    <row r="370" spans="1:27" s="70" customFormat="1" ht="11.25" x14ac:dyDescent="0.2">
      <c r="A370" s="24">
        <v>364</v>
      </c>
      <c r="B370" s="52"/>
      <c r="C370" s="53"/>
      <c r="D370" s="54"/>
      <c r="E370" s="53"/>
      <c r="F370" s="53"/>
      <c r="G370" s="52"/>
      <c r="H370" s="53" t="e">
        <f ca="1"/>
        <v>#REF!</v>
      </c>
      <c r="I370" s="52" t="e">
        <f ca="1"/>
        <v>#REF!</v>
      </c>
      <c r="J370" s="53" t="e">
        <f ca="1"/>
        <v>#REF!</v>
      </c>
      <c r="K370" s="52" t="e">
        <f ca="1"/>
        <v>#REF!</v>
      </c>
      <c r="L370" s="25" t="e">
        <f ca="1"/>
        <v>#REF!</v>
      </c>
      <c r="M370" s="25" t="e">
        <f ca="1"/>
        <v>#REF!</v>
      </c>
      <c r="N370" s="25" t="e">
        <f ca="1"/>
        <v>#REF!</v>
      </c>
      <c r="O370" s="25" t="e">
        <f ca="1"/>
        <v>#REF!</v>
      </c>
      <c r="P370" s="25" t="e">
        <f ca="1"/>
        <v>#REF!</v>
      </c>
      <c r="Q370" s="25" t="e">
        <f ca="1"/>
        <v>#REF!</v>
      </c>
      <c r="R370" s="25" t="e">
        <f ca="1"/>
        <v>#REF!</v>
      </c>
      <c r="S370" s="25" t="e">
        <f ca="1"/>
        <v>#REF!</v>
      </c>
      <c r="T370" s="25" t="e">
        <f ca="1"/>
        <v>#REF!</v>
      </c>
      <c r="U370" s="25" t="e">
        <f ca="1"/>
        <v>#REF!</v>
      </c>
      <c r="V370" s="25" t="e">
        <f ca="1"/>
        <v>#REF!</v>
      </c>
      <c r="W370" s="33" t="e">
        <f ca="1"/>
        <v>#REF!</v>
      </c>
      <c r="X370" s="33" t="e">
        <f ca="1"/>
        <v>#REF!</v>
      </c>
      <c r="Y370" s="33" t="e">
        <f ca="1"/>
        <v>#REF!</v>
      </c>
      <c r="Z370" s="33" t="e">
        <f ca="1"/>
        <v>#REF!</v>
      </c>
      <c r="AA370" s="33" t="e">
        <f ca="1"/>
        <v>#REF!</v>
      </c>
    </row>
    <row r="371" spans="1:27" s="70" customFormat="1" ht="11.25" x14ac:dyDescent="0.2">
      <c r="A371" s="24">
        <v>365</v>
      </c>
      <c r="B371" s="52"/>
      <c r="C371" s="53"/>
      <c r="D371" s="54"/>
      <c r="E371" s="53"/>
      <c r="F371" s="53"/>
      <c r="G371" s="52"/>
      <c r="H371" s="53" t="e">
        <f ca="1"/>
        <v>#REF!</v>
      </c>
      <c r="I371" s="52" t="e">
        <f ca="1"/>
        <v>#REF!</v>
      </c>
      <c r="J371" s="53" t="e">
        <f ca="1"/>
        <v>#REF!</v>
      </c>
      <c r="K371" s="52" t="e">
        <f ca="1"/>
        <v>#REF!</v>
      </c>
      <c r="L371" s="25" t="e">
        <f ca="1"/>
        <v>#REF!</v>
      </c>
      <c r="M371" s="25" t="e">
        <f ca="1"/>
        <v>#REF!</v>
      </c>
      <c r="N371" s="25" t="e">
        <f ca="1"/>
        <v>#REF!</v>
      </c>
      <c r="O371" s="25" t="e">
        <f ca="1"/>
        <v>#REF!</v>
      </c>
      <c r="P371" s="25" t="e">
        <f ca="1"/>
        <v>#REF!</v>
      </c>
      <c r="Q371" s="25" t="e">
        <f ca="1"/>
        <v>#REF!</v>
      </c>
      <c r="R371" s="25" t="e">
        <f ca="1"/>
        <v>#REF!</v>
      </c>
      <c r="S371" s="25" t="e">
        <f ca="1"/>
        <v>#REF!</v>
      </c>
      <c r="T371" s="25" t="e">
        <f ca="1"/>
        <v>#REF!</v>
      </c>
      <c r="U371" s="25" t="e">
        <f ca="1"/>
        <v>#REF!</v>
      </c>
      <c r="V371" s="25" t="e">
        <f ca="1"/>
        <v>#REF!</v>
      </c>
      <c r="W371" s="33" t="e">
        <f ca="1"/>
        <v>#REF!</v>
      </c>
      <c r="X371" s="33" t="e">
        <f ca="1"/>
        <v>#REF!</v>
      </c>
      <c r="Y371" s="33" t="e">
        <f ca="1"/>
        <v>#REF!</v>
      </c>
      <c r="Z371" s="33" t="e">
        <f ca="1"/>
        <v>#REF!</v>
      </c>
      <c r="AA371" s="33" t="e">
        <f ca="1"/>
        <v>#REF!</v>
      </c>
    </row>
    <row r="372" spans="1:27" s="70" customFormat="1" ht="11.25" x14ac:dyDescent="0.2">
      <c r="A372" s="24">
        <v>366</v>
      </c>
      <c r="B372" s="52"/>
      <c r="C372" s="53"/>
      <c r="D372" s="54"/>
      <c r="E372" s="53"/>
      <c r="F372" s="53"/>
      <c r="G372" s="52"/>
      <c r="H372" s="53" t="e">
        <f ca="1"/>
        <v>#REF!</v>
      </c>
      <c r="I372" s="52" t="e">
        <f ca="1"/>
        <v>#REF!</v>
      </c>
      <c r="J372" s="53" t="e">
        <f ca="1"/>
        <v>#REF!</v>
      </c>
      <c r="K372" s="52" t="e">
        <f ca="1"/>
        <v>#REF!</v>
      </c>
      <c r="L372" s="25" t="e">
        <f ca="1"/>
        <v>#REF!</v>
      </c>
      <c r="M372" s="25" t="e">
        <f ca="1"/>
        <v>#REF!</v>
      </c>
      <c r="N372" s="25" t="e">
        <f ca="1"/>
        <v>#REF!</v>
      </c>
      <c r="O372" s="25" t="e">
        <f ca="1"/>
        <v>#REF!</v>
      </c>
      <c r="P372" s="25" t="e">
        <f ca="1"/>
        <v>#REF!</v>
      </c>
      <c r="Q372" s="25" t="e">
        <f ca="1"/>
        <v>#REF!</v>
      </c>
      <c r="R372" s="25" t="e">
        <f ca="1"/>
        <v>#REF!</v>
      </c>
      <c r="S372" s="25" t="e">
        <f ca="1"/>
        <v>#REF!</v>
      </c>
      <c r="T372" s="25" t="e">
        <f ca="1"/>
        <v>#REF!</v>
      </c>
      <c r="U372" s="25" t="e">
        <f ca="1"/>
        <v>#REF!</v>
      </c>
      <c r="V372" s="25" t="e">
        <f ca="1"/>
        <v>#REF!</v>
      </c>
      <c r="W372" s="33" t="e">
        <f ca="1"/>
        <v>#REF!</v>
      </c>
      <c r="X372" s="33" t="e">
        <f ca="1"/>
        <v>#REF!</v>
      </c>
      <c r="Y372" s="33" t="e">
        <f ca="1"/>
        <v>#REF!</v>
      </c>
      <c r="Z372" s="33" t="e">
        <f ca="1"/>
        <v>#REF!</v>
      </c>
      <c r="AA372" s="33" t="e">
        <f ca="1"/>
        <v>#REF!</v>
      </c>
    </row>
    <row r="373" spans="1:27" s="70" customFormat="1" ht="11.25" x14ac:dyDescent="0.2">
      <c r="A373" s="24">
        <v>367</v>
      </c>
      <c r="B373" s="24"/>
      <c r="C373" s="25"/>
      <c r="D373" s="26"/>
      <c r="E373" s="25"/>
      <c r="F373" s="25"/>
      <c r="G373" s="24"/>
      <c r="H373" s="25" t="e">
        <f ca="1"/>
        <v>#REF!</v>
      </c>
      <c r="I373" s="27" t="e">
        <f ca="1"/>
        <v>#REF!</v>
      </c>
      <c r="J373" s="28" t="e">
        <f ca="1"/>
        <v>#REF!</v>
      </c>
      <c r="K373" s="27" t="e">
        <f ca="1"/>
        <v>#REF!</v>
      </c>
      <c r="L373" s="25" t="e">
        <f ca="1"/>
        <v>#REF!</v>
      </c>
      <c r="M373" s="25" t="e">
        <f ca="1"/>
        <v>#REF!</v>
      </c>
      <c r="N373" s="25" t="e">
        <f ca="1"/>
        <v>#REF!</v>
      </c>
      <c r="O373" s="25" t="e">
        <f ca="1"/>
        <v>#REF!</v>
      </c>
      <c r="P373" s="25" t="e">
        <f ca="1"/>
        <v>#REF!</v>
      </c>
      <c r="Q373" s="25" t="e">
        <f ca="1"/>
        <v>#REF!</v>
      </c>
      <c r="R373" s="25" t="e">
        <f ca="1"/>
        <v>#REF!</v>
      </c>
      <c r="S373" s="25" t="e">
        <f ca="1"/>
        <v>#REF!</v>
      </c>
      <c r="T373" s="25" t="e">
        <f ca="1"/>
        <v>#REF!</v>
      </c>
      <c r="U373" s="25" t="e">
        <f ca="1"/>
        <v>#REF!</v>
      </c>
      <c r="V373" s="25" t="e">
        <f ca="1"/>
        <v>#REF!</v>
      </c>
      <c r="W373" s="33" t="e">
        <f ca="1"/>
        <v>#REF!</v>
      </c>
      <c r="X373" s="33" t="e">
        <f ca="1"/>
        <v>#REF!</v>
      </c>
      <c r="Y373" s="33" t="e">
        <f ca="1"/>
        <v>#REF!</v>
      </c>
      <c r="Z373" s="33" t="e">
        <f ca="1"/>
        <v>#REF!</v>
      </c>
      <c r="AA373" s="33" t="e">
        <f ca="1"/>
        <v>#REF!</v>
      </c>
    </row>
    <row r="374" spans="1:27" s="70" customFormat="1" ht="11.25" x14ac:dyDescent="0.2">
      <c r="A374" s="24">
        <v>368</v>
      </c>
      <c r="B374" s="24"/>
      <c r="C374" s="25"/>
      <c r="D374" s="26"/>
      <c r="E374" s="25"/>
      <c r="F374" s="25"/>
      <c r="G374" s="24"/>
      <c r="H374" s="25" t="e">
        <f ca="1"/>
        <v>#REF!</v>
      </c>
      <c r="I374" s="27" t="e">
        <f ca="1"/>
        <v>#REF!</v>
      </c>
      <c r="J374" s="28" t="e">
        <f ca="1"/>
        <v>#REF!</v>
      </c>
      <c r="K374" s="27" t="e">
        <f ca="1"/>
        <v>#REF!</v>
      </c>
      <c r="L374" s="25" t="e">
        <f ca="1"/>
        <v>#REF!</v>
      </c>
      <c r="M374" s="25" t="e">
        <f ca="1"/>
        <v>#REF!</v>
      </c>
      <c r="N374" s="25" t="e">
        <f ca="1"/>
        <v>#REF!</v>
      </c>
      <c r="O374" s="25" t="e">
        <f ca="1"/>
        <v>#REF!</v>
      </c>
      <c r="P374" s="25" t="e">
        <f ca="1"/>
        <v>#REF!</v>
      </c>
      <c r="Q374" s="25" t="e">
        <f ca="1"/>
        <v>#REF!</v>
      </c>
      <c r="R374" s="25" t="e">
        <f ca="1"/>
        <v>#REF!</v>
      </c>
      <c r="S374" s="25" t="e">
        <f ca="1"/>
        <v>#REF!</v>
      </c>
      <c r="T374" s="25" t="e">
        <f ca="1"/>
        <v>#REF!</v>
      </c>
      <c r="U374" s="25" t="e">
        <f ca="1"/>
        <v>#REF!</v>
      </c>
      <c r="V374" s="25" t="e">
        <f ca="1"/>
        <v>#REF!</v>
      </c>
      <c r="W374" s="33" t="e">
        <f ca="1"/>
        <v>#REF!</v>
      </c>
      <c r="X374" s="33" t="e">
        <f ca="1"/>
        <v>#REF!</v>
      </c>
      <c r="Y374" s="33" t="e">
        <f ca="1"/>
        <v>#REF!</v>
      </c>
      <c r="Z374" s="33" t="e">
        <f ca="1"/>
        <v>#REF!</v>
      </c>
      <c r="AA374" s="33" t="e">
        <f ca="1"/>
        <v>#REF!</v>
      </c>
    </row>
    <row r="375" spans="1:27" s="70" customFormat="1" ht="11.25" x14ac:dyDescent="0.2">
      <c r="A375" s="24">
        <v>369</v>
      </c>
      <c r="B375" s="24"/>
      <c r="C375" s="25"/>
      <c r="D375" s="26"/>
      <c r="E375" s="25"/>
      <c r="F375" s="25"/>
      <c r="G375" s="24"/>
      <c r="H375" s="25" t="e">
        <f ca="1"/>
        <v>#REF!</v>
      </c>
      <c r="I375" s="27" t="e">
        <f ca="1"/>
        <v>#REF!</v>
      </c>
      <c r="J375" s="28" t="e">
        <f ca="1"/>
        <v>#REF!</v>
      </c>
      <c r="K375" s="27" t="e">
        <f ca="1"/>
        <v>#REF!</v>
      </c>
      <c r="L375" s="25" t="e">
        <f ca="1"/>
        <v>#REF!</v>
      </c>
      <c r="M375" s="25" t="e">
        <f ca="1"/>
        <v>#REF!</v>
      </c>
      <c r="N375" s="25" t="e">
        <f ca="1"/>
        <v>#REF!</v>
      </c>
      <c r="O375" s="25" t="e">
        <f ca="1"/>
        <v>#REF!</v>
      </c>
      <c r="P375" s="25" t="e">
        <f ca="1"/>
        <v>#REF!</v>
      </c>
      <c r="Q375" s="25" t="e">
        <f ca="1"/>
        <v>#REF!</v>
      </c>
      <c r="R375" s="25" t="e">
        <f ca="1"/>
        <v>#REF!</v>
      </c>
      <c r="S375" s="25" t="e">
        <f ca="1"/>
        <v>#REF!</v>
      </c>
      <c r="T375" s="25" t="e">
        <f ca="1"/>
        <v>#REF!</v>
      </c>
      <c r="U375" s="25" t="e">
        <f ca="1"/>
        <v>#REF!</v>
      </c>
      <c r="V375" s="25" t="e">
        <f ca="1"/>
        <v>#REF!</v>
      </c>
      <c r="W375" s="33" t="e">
        <f ca="1"/>
        <v>#REF!</v>
      </c>
      <c r="X375" s="33" t="e">
        <f ca="1"/>
        <v>#REF!</v>
      </c>
      <c r="Y375" s="33" t="e">
        <f ca="1"/>
        <v>#REF!</v>
      </c>
      <c r="Z375" s="33" t="e">
        <f ca="1"/>
        <v>#REF!</v>
      </c>
      <c r="AA375" s="33" t="e">
        <f ca="1"/>
        <v>#REF!</v>
      </c>
    </row>
    <row r="376" spans="1:27" s="70" customFormat="1" ht="11.25" x14ac:dyDescent="0.2">
      <c r="A376" s="24">
        <v>370</v>
      </c>
      <c r="B376" s="24"/>
      <c r="C376" s="25"/>
      <c r="D376" s="26"/>
      <c r="E376" s="25"/>
      <c r="F376" s="25"/>
      <c r="G376" s="24"/>
      <c r="H376" s="25" t="e">
        <f ca="1"/>
        <v>#REF!</v>
      </c>
      <c r="I376" s="27" t="e">
        <f ca="1"/>
        <v>#REF!</v>
      </c>
      <c r="J376" s="28" t="e">
        <f ca="1"/>
        <v>#REF!</v>
      </c>
      <c r="K376" s="27" t="e">
        <f ca="1"/>
        <v>#REF!</v>
      </c>
      <c r="L376" s="25" t="e">
        <f ca="1"/>
        <v>#REF!</v>
      </c>
      <c r="M376" s="25" t="e">
        <f ca="1"/>
        <v>#REF!</v>
      </c>
      <c r="N376" s="25" t="e">
        <f ca="1"/>
        <v>#REF!</v>
      </c>
      <c r="O376" s="25" t="e">
        <f ca="1"/>
        <v>#REF!</v>
      </c>
      <c r="P376" s="25" t="e">
        <f ca="1"/>
        <v>#REF!</v>
      </c>
      <c r="Q376" s="25" t="e">
        <f ca="1"/>
        <v>#REF!</v>
      </c>
      <c r="R376" s="25" t="e">
        <f ca="1"/>
        <v>#REF!</v>
      </c>
      <c r="S376" s="25" t="e">
        <f ca="1"/>
        <v>#REF!</v>
      </c>
      <c r="T376" s="25" t="e">
        <f ca="1"/>
        <v>#REF!</v>
      </c>
      <c r="U376" s="25" t="e">
        <f ca="1"/>
        <v>#REF!</v>
      </c>
      <c r="V376" s="25" t="e">
        <f ca="1"/>
        <v>#REF!</v>
      </c>
      <c r="W376" s="33" t="e">
        <f ca="1"/>
        <v>#REF!</v>
      </c>
      <c r="X376" s="33" t="e">
        <f ca="1"/>
        <v>#REF!</v>
      </c>
      <c r="Y376" s="33" t="e">
        <f ca="1"/>
        <v>#REF!</v>
      </c>
      <c r="Z376" s="33" t="e">
        <f ca="1"/>
        <v>#REF!</v>
      </c>
      <c r="AA376" s="33" t="e">
        <f ca="1"/>
        <v>#REF!</v>
      </c>
    </row>
    <row r="377" spans="1:27" s="70" customFormat="1" ht="11.25" x14ac:dyDescent="0.2">
      <c r="A377" s="24">
        <v>371</v>
      </c>
      <c r="B377" s="24"/>
      <c r="C377" s="25"/>
      <c r="D377" s="26"/>
      <c r="E377" s="25"/>
      <c r="F377" s="25"/>
      <c r="G377" s="24"/>
      <c r="H377" s="25" t="e">
        <f ca="1"/>
        <v>#REF!</v>
      </c>
      <c r="I377" s="27" t="e">
        <f ca="1"/>
        <v>#REF!</v>
      </c>
      <c r="J377" s="28" t="e">
        <f ca="1"/>
        <v>#REF!</v>
      </c>
      <c r="K377" s="27" t="e">
        <f ca="1"/>
        <v>#REF!</v>
      </c>
      <c r="L377" s="25" t="e">
        <f ca="1"/>
        <v>#REF!</v>
      </c>
      <c r="M377" s="25" t="e">
        <f ca="1"/>
        <v>#REF!</v>
      </c>
      <c r="N377" s="25" t="e">
        <f ca="1"/>
        <v>#REF!</v>
      </c>
      <c r="O377" s="25" t="e">
        <f ca="1"/>
        <v>#REF!</v>
      </c>
      <c r="P377" s="25" t="e">
        <f ca="1"/>
        <v>#REF!</v>
      </c>
      <c r="Q377" s="25" t="e">
        <f ca="1"/>
        <v>#REF!</v>
      </c>
      <c r="R377" s="25" t="e">
        <f ca="1"/>
        <v>#REF!</v>
      </c>
      <c r="S377" s="25" t="e">
        <f ca="1"/>
        <v>#REF!</v>
      </c>
      <c r="T377" s="25" t="e">
        <f ca="1"/>
        <v>#REF!</v>
      </c>
      <c r="U377" s="25" t="e">
        <f ca="1"/>
        <v>#REF!</v>
      </c>
      <c r="V377" s="25" t="e">
        <f ca="1"/>
        <v>#REF!</v>
      </c>
      <c r="W377" s="33" t="e">
        <f ca="1"/>
        <v>#REF!</v>
      </c>
      <c r="X377" s="33" t="e">
        <f ca="1"/>
        <v>#REF!</v>
      </c>
      <c r="Y377" s="33" t="e">
        <f ca="1"/>
        <v>#REF!</v>
      </c>
      <c r="Z377" s="33" t="e">
        <f ca="1"/>
        <v>#REF!</v>
      </c>
      <c r="AA377" s="33" t="e">
        <f ca="1"/>
        <v>#REF!</v>
      </c>
    </row>
    <row r="378" spans="1:27" s="70" customFormat="1" ht="11.25" x14ac:dyDescent="0.2">
      <c r="A378" s="24">
        <v>372</v>
      </c>
      <c r="B378" s="24"/>
      <c r="C378" s="25"/>
      <c r="D378" s="26"/>
      <c r="E378" s="25"/>
      <c r="F378" s="25"/>
      <c r="G378" s="24"/>
      <c r="H378" s="25" t="e">
        <f ca="1"/>
        <v>#REF!</v>
      </c>
      <c r="I378" s="27" t="e">
        <f ca="1"/>
        <v>#REF!</v>
      </c>
      <c r="J378" s="28" t="e">
        <f ca="1"/>
        <v>#REF!</v>
      </c>
      <c r="K378" s="27" t="e">
        <f ca="1"/>
        <v>#REF!</v>
      </c>
      <c r="L378" s="25" t="e">
        <f ca="1"/>
        <v>#REF!</v>
      </c>
      <c r="M378" s="25" t="e">
        <f ca="1"/>
        <v>#REF!</v>
      </c>
      <c r="N378" s="25" t="e">
        <f ca="1"/>
        <v>#REF!</v>
      </c>
      <c r="O378" s="25" t="e">
        <f ca="1"/>
        <v>#REF!</v>
      </c>
      <c r="P378" s="25" t="e">
        <f ca="1"/>
        <v>#REF!</v>
      </c>
      <c r="Q378" s="25" t="e">
        <f ca="1"/>
        <v>#REF!</v>
      </c>
      <c r="R378" s="25" t="e">
        <f ca="1"/>
        <v>#REF!</v>
      </c>
      <c r="S378" s="25" t="e">
        <f ca="1"/>
        <v>#REF!</v>
      </c>
      <c r="T378" s="25" t="e">
        <f ca="1"/>
        <v>#REF!</v>
      </c>
      <c r="U378" s="25" t="e">
        <f ca="1"/>
        <v>#REF!</v>
      </c>
      <c r="V378" s="25" t="e">
        <f ca="1"/>
        <v>#REF!</v>
      </c>
      <c r="W378" s="33" t="e">
        <f ca="1"/>
        <v>#REF!</v>
      </c>
      <c r="X378" s="33" t="e">
        <f ca="1"/>
        <v>#REF!</v>
      </c>
      <c r="Y378" s="33" t="e">
        <f ca="1"/>
        <v>#REF!</v>
      </c>
      <c r="Z378" s="33" t="e">
        <f ca="1"/>
        <v>#REF!</v>
      </c>
      <c r="AA378" s="33" t="e">
        <f ca="1"/>
        <v>#REF!</v>
      </c>
    </row>
    <row r="379" spans="1:27" s="70" customFormat="1" ht="11.25" x14ac:dyDescent="0.2">
      <c r="A379" s="24">
        <v>373</v>
      </c>
      <c r="B379" s="24"/>
      <c r="C379" s="25"/>
      <c r="D379" s="26"/>
      <c r="E379" s="25"/>
      <c r="F379" s="25"/>
      <c r="G379" s="24"/>
      <c r="H379" s="25" t="e">
        <f ca="1"/>
        <v>#REF!</v>
      </c>
      <c r="I379" s="27" t="e">
        <f ca="1"/>
        <v>#REF!</v>
      </c>
      <c r="J379" s="28" t="e">
        <f ca="1"/>
        <v>#REF!</v>
      </c>
      <c r="K379" s="27" t="e">
        <f ca="1"/>
        <v>#REF!</v>
      </c>
      <c r="L379" s="25" t="e">
        <f ca="1"/>
        <v>#REF!</v>
      </c>
      <c r="M379" s="25" t="e">
        <f ca="1"/>
        <v>#REF!</v>
      </c>
      <c r="N379" s="25" t="e">
        <f ca="1"/>
        <v>#REF!</v>
      </c>
      <c r="O379" s="25" t="e">
        <f ca="1"/>
        <v>#REF!</v>
      </c>
      <c r="P379" s="25" t="e">
        <f ca="1"/>
        <v>#REF!</v>
      </c>
      <c r="Q379" s="25" t="e">
        <f ca="1"/>
        <v>#REF!</v>
      </c>
      <c r="R379" s="25" t="e">
        <f ca="1"/>
        <v>#REF!</v>
      </c>
      <c r="S379" s="25" t="e">
        <f ca="1"/>
        <v>#REF!</v>
      </c>
      <c r="T379" s="25" t="e">
        <f ca="1"/>
        <v>#REF!</v>
      </c>
      <c r="U379" s="25" t="e">
        <f ca="1"/>
        <v>#REF!</v>
      </c>
      <c r="V379" s="25" t="e">
        <f ca="1"/>
        <v>#REF!</v>
      </c>
      <c r="W379" s="33" t="e">
        <f ca="1"/>
        <v>#REF!</v>
      </c>
      <c r="X379" s="33" t="e">
        <f ca="1"/>
        <v>#REF!</v>
      </c>
      <c r="Y379" s="33" t="e">
        <f ca="1"/>
        <v>#REF!</v>
      </c>
      <c r="Z379" s="33" t="e">
        <f ca="1"/>
        <v>#REF!</v>
      </c>
      <c r="AA379" s="33" t="e">
        <f ca="1"/>
        <v>#REF!</v>
      </c>
    </row>
    <row r="380" spans="1:27" s="70" customFormat="1" ht="11.25" x14ac:dyDescent="0.2">
      <c r="A380" s="24">
        <v>374</v>
      </c>
      <c r="B380" s="24"/>
      <c r="C380" s="25"/>
      <c r="D380" s="26"/>
      <c r="E380" s="25"/>
      <c r="F380" s="25"/>
      <c r="G380" s="24"/>
      <c r="H380" s="25" t="e">
        <f ca="1"/>
        <v>#REF!</v>
      </c>
      <c r="I380" s="27" t="e">
        <f ca="1"/>
        <v>#REF!</v>
      </c>
      <c r="J380" s="28" t="e">
        <f ca="1"/>
        <v>#REF!</v>
      </c>
      <c r="K380" s="27" t="e">
        <f ca="1"/>
        <v>#REF!</v>
      </c>
      <c r="L380" s="25" t="e">
        <f ca="1"/>
        <v>#REF!</v>
      </c>
      <c r="M380" s="25" t="e">
        <f ca="1"/>
        <v>#REF!</v>
      </c>
      <c r="N380" s="25" t="e">
        <f ca="1"/>
        <v>#REF!</v>
      </c>
      <c r="O380" s="25" t="e">
        <f ca="1"/>
        <v>#REF!</v>
      </c>
      <c r="P380" s="25" t="e">
        <f ca="1"/>
        <v>#REF!</v>
      </c>
      <c r="Q380" s="25" t="e">
        <f ca="1"/>
        <v>#REF!</v>
      </c>
      <c r="R380" s="25" t="e">
        <f ca="1"/>
        <v>#REF!</v>
      </c>
      <c r="S380" s="25" t="e">
        <f ca="1"/>
        <v>#REF!</v>
      </c>
      <c r="T380" s="25" t="e">
        <f ca="1"/>
        <v>#REF!</v>
      </c>
      <c r="U380" s="25" t="e">
        <f ca="1"/>
        <v>#REF!</v>
      </c>
      <c r="V380" s="25" t="e">
        <f ca="1"/>
        <v>#REF!</v>
      </c>
      <c r="W380" s="33" t="e">
        <f ca="1"/>
        <v>#REF!</v>
      </c>
      <c r="X380" s="33" t="e">
        <f ca="1"/>
        <v>#REF!</v>
      </c>
      <c r="Y380" s="33" t="e">
        <f ca="1"/>
        <v>#REF!</v>
      </c>
      <c r="Z380" s="33" t="e">
        <f ca="1"/>
        <v>#REF!</v>
      </c>
      <c r="AA380" s="33" t="e">
        <f ca="1"/>
        <v>#REF!</v>
      </c>
    </row>
    <row r="381" spans="1:27" s="70" customFormat="1" ht="11.25" x14ac:dyDescent="0.2">
      <c r="A381" s="24">
        <v>375</v>
      </c>
      <c r="B381" s="24"/>
      <c r="C381" s="25"/>
      <c r="D381" s="26"/>
      <c r="E381" s="25"/>
      <c r="F381" s="25"/>
      <c r="G381" s="24"/>
      <c r="H381" s="25" t="e">
        <f ca="1"/>
        <v>#REF!</v>
      </c>
      <c r="I381" s="27" t="e">
        <f ca="1"/>
        <v>#REF!</v>
      </c>
      <c r="J381" s="28" t="e">
        <f ca="1"/>
        <v>#REF!</v>
      </c>
      <c r="K381" s="27" t="e">
        <f ca="1"/>
        <v>#REF!</v>
      </c>
      <c r="L381" s="25" t="e">
        <f ca="1"/>
        <v>#REF!</v>
      </c>
      <c r="M381" s="25" t="e">
        <f ca="1"/>
        <v>#REF!</v>
      </c>
      <c r="N381" s="25" t="e">
        <f ca="1"/>
        <v>#REF!</v>
      </c>
      <c r="O381" s="25" t="e">
        <f ca="1"/>
        <v>#REF!</v>
      </c>
      <c r="P381" s="25" t="e">
        <f ca="1"/>
        <v>#REF!</v>
      </c>
      <c r="Q381" s="25" t="e">
        <f ca="1"/>
        <v>#REF!</v>
      </c>
      <c r="R381" s="25" t="e">
        <f ca="1"/>
        <v>#REF!</v>
      </c>
      <c r="S381" s="25" t="e">
        <f ca="1"/>
        <v>#REF!</v>
      </c>
      <c r="T381" s="25" t="e">
        <f ca="1"/>
        <v>#REF!</v>
      </c>
      <c r="U381" s="25" t="e">
        <f ca="1"/>
        <v>#REF!</v>
      </c>
      <c r="V381" s="25" t="e">
        <f ca="1"/>
        <v>#REF!</v>
      </c>
      <c r="W381" s="33" t="e">
        <f ca="1"/>
        <v>#REF!</v>
      </c>
      <c r="X381" s="33" t="e">
        <f ca="1"/>
        <v>#REF!</v>
      </c>
      <c r="Y381" s="33" t="e">
        <f ca="1"/>
        <v>#REF!</v>
      </c>
      <c r="Z381" s="33" t="e">
        <f ca="1"/>
        <v>#REF!</v>
      </c>
      <c r="AA381" s="33" t="e">
        <f ca="1"/>
        <v>#REF!</v>
      </c>
    </row>
    <row r="382" spans="1:27" s="70" customFormat="1" ht="11.25" x14ac:dyDescent="0.2">
      <c r="A382" s="24">
        <v>376</v>
      </c>
      <c r="B382" s="24"/>
      <c r="C382" s="25"/>
      <c r="D382" s="26"/>
      <c r="E382" s="25"/>
      <c r="F382" s="25"/>
      <c r="G382" s="24"/>
      <c r="H382" s="25" t="e">
        <f ca="1"/>
        <v>#REF!</v>
      </c>
      <c r="I382" s="27" t="e">
        <f ca="1"/>
        <v>#REF!</v>
      </c>
      <c r="J382" s="28" t="e">
        <f ca="1"/>
        <v>#REF!</v>
      </c>
      <c r="K382" s="27" t="e">
        <f ca="1"/>
        <v>#REF!</v>
      </c>
      <c r="L382" s="25" t="e">
        <f ca="1"/>
        <v>#REF!</v>
      </c>
      <c r="M382" s="25" t="e">
        <f ca="1"/>
        <v>#REF!</v>
      </c>
      <c r="N382" s="25" t="e">
        <f ca="1"/>
        <v>#REF!</v>
      </c>
      <c r="O382" s="25" t="e">
        <f ca="1"/>
        <v>#REF!</v>
      </c>
      <c r="P382" s="25" t="e">
        <f ca="1"/>
        <v>#REF!</v>
      </c>
      <c r="Q382" s="25" t="e">
        <f ca="1"/>
        <v>#REF!</v>
      </c>
      <c r="R382" s="25" t="e">
        <f ca="1"/>
        <v>#REF!</v>
      </c>
      <c r="S382" s="25" t="e">
        <f ca="1"/>
        <v>#REF!</v>
      </c>
      <c r="T382" s="25" t="e">
        <f ca="1"/>
        <v>#REF!</v>
      </c>
      <c r="U382" s="25" t="e">
        <f ca="1"/>
        <v>#REF!</v>
      </c>
      <c r="V382" s="25" t="e">
        <f ca="1"/>
        <v>#REF!</v>
      </c>
      <c r="W382" s="33" t="e">
        <f ca="1"/>
        <v>#REF!</v>
      </c>
      <c r="X382" s="33" t="e">
        <f ca="1"/>
        <v>#REF!</v>
      </c>
      <c r="Y382" s="33" t="e">
        <f ca="1"/>
        <v>#REF!</v>
      </c>
      <c r="Z382" s="33" t="e">
        <f ca="1"/>
        <v>#REF!</v>
      </c>
      <c r="AA382" s="33" t="e">
        <f ca="1"/>
        <v>#REF!</v>
      </c>
    </row>
    <row r="383" spans="1:27" s="70" customFormat="1" ht="11.25" x14ac:dyDescent="0.2">
      <c r="A383" s="24">
        <v>377</v>
      </c>
      <c r="B383" s="24"/>
      <c r="C383" s="25"/>
      <c r="D383" s="26"/>
      <c r="E383" s="25"/>
      <c r="F383" s="25"/>
      <c r="G383" s="24"/>
      <c r="H383" s="25" t="e">
        <f ca="1"/>
        <v>#REF!</v>
      </c>
      <c r="I383" s="27" t="e">
        <f ca="1"/>
        <v>#REF!</v>
      </c>
      <c r="J383" s="28" t="e">
        <f ca="1"/>
        <v>#REF!</v>
      </c>
      <c r="K383" s="27" t="e">
        <f ca="1"/>
        <v>#REF!</v>
      </c>
      <c r="L383" s="25" t="e">
        <f ca="1"/>
        <v>#REF!</v>
      </c>
      <c r="M383" s="25" t="e">
        <f ca="1"/>
        <v>#REF!</v>
      </c>
      <c r="N383" s="25" t="e">
        <f ca="1"/>
        <v>#REF!</v>
      </c>
      <c r="O383" s="25" t="e">
        <f ca="1"/>
        <v>#REF!</v>
      </c>
      <c r="P383" s="25" t="e">
        <f ca="1"/>
        <v>#REF!</v>
      </c>
      <c r="Q383" s="25" t="e">
        <f ca="1"/>
        <v>#REF!</v>
      </c>
      <c r="R383" s="25" t="e">
        <f ca="1"/>
        <v>#REF!</v>
      </c>
      <c r="S383" s="25" t="e">
        <f ca="1"/>
        <v>#REF!</v>
      </c>
      <c r="T383" s="25" t="e">
        <f ca="1"/>
        <v>#REF!</v>
      </c>
      <c r="U383" s="25" t="e">
        <f ca="1"/>
        <v>#REF!</v>
      </c>
      <c r="V383" s="25" t="e">
        <f ca="1"/>
        <v>#REF!</v>
      </c>
      <c r="W383" s="33" t="e">
        <f ca="1"/>
        <v>#REF!</v>
      </c>
      <c r="X383" s="33" t="e">
        <f ca="1"/>
        <v>#REF!</v>
      </c>
      <c r="Y383" s="33" t="e">
        <f ca="1"/>
        <v>#REF!</v>
      </c>
      <c r="Z383" s="33" t="e">
        <f ca="1"/>
        <v>#REF!</v>
      </c>
      <c r="AA383" s="33" t="e">
        <f ca="1"/>
        <v>#REF!</v>
      </c>
    </row>
    <row r="384" spans="1:27" s="70" customFormat="1" ht="11.25" x14ac:dyDescent="0.2">
      <c r="A384" s="24">
        <v>378</v>
      </c>
      <c r="B384" s="24"/>
      <c r="C384" s="25"/>
      <c r="D384" s="26"/>
      <c r="E384" s="25"/>
      <c r="F384" s="25"/>
      <c r="G384" s="24"/>
      <c r="H384" s="25" t="e">
        <f ca="1"/>
        <v>#REF!</v>
      </c>
      <c r="I384" s="27" t="e">
        <f ca="1"/>
        <v>#REF!</v>
      </c>
      <c r="J384" s="28" t="e">
        <f ca="1"/>
        <v>#REF!</v>
      </c>
      <c r="K384" s="27" t="e">
        <f ca="1"/>
        <v>#REF!</v>
      </c>
      <c r="L384" s="25" t="e">
        <f ca="1"/>
        <v>#REF!</v>
      </c>
      <c r="M384" s="25" t="e">
        <f ca="1"/>
        <v>#REF!</v>
      </c>
      <c r="N384" s="25" t="e">
        <f ca="1"/>
        <v>#REF!</v>
      </c>
      <c r="O384" s="25" t="e">
        <f ca="1"/>
        <v>#REF!</v>
      </c>
      <c r="P384" s="25" t="e">
        <f ca="1"/>
        <v>#REF!</v>
      </c>
      <c r="Q384" s="25" t="e">
        <f ca="1"/>
        <v>#REF!</v>
      </c>
      <c r="R384" s="25" t="e">
        <f ca="1"/>
        <v>#REF!</v>
      </c>
      <c r="S384" s="25" t="e">
        <f ca="1"/>
        <v>#REF!</v>
      </c>
      <c r="T384" s="25" t="e">
        <f ca="1"/>
        <v>#REF!</v>
      </c>
      <c r="U384" s="25" t="e">
        <f ca="1"/>
        <v>#REF!</v>
      </c>
      <c r="V384" s="25" t="e">
        <f ca="1"/>
        <v>#REF!</v>
      </c>
      <c r="W384" s="33" t="e">
        <f ca="1"/>
        <v>#REF!</v>
      </c>
      <c r="X384" s="33" t="e">
        <f ca="1"/>
        <v>#REF!</v>
      </c>
      <c r="Y384" s="33" t="e">
        <f ca="1"/>
        <v>#REF!</v>
      </c>
      <c r="Z384" s="33" t="e">
        <f ca="1"/>
        <v>#REF!</v>
      </c>
      <c r="AA384" s="33" t="e">
        <f ca="1"/>
        <v>#REF!</v>
      </c>
    </row>
    <row r="385" spans="1:27" s="70" customFormat="1" ht="11.25" x14ac:dyDescent="0.2">
      <c r="A385" s="24">
        <v>379</v>
      </c>
      <c r="B385" s="24"/>
      <c r="C385" s="25"/>
      <c r="D385" s="26"/>
      <c r="E385" s="25"/>
      <c r="F385" s="25"/>
      <c r="G385" s="24"/>
      <c r="H385" s="25" t="e">
        <f ca="1"/>
        <v>#REF!</v>
      </c>
      <c r="I385" s="27" t="e">
        <f ca="1"/>
        <v>#REF!</v>
      </c>
      <c r="J385" s="28" t="e">
        <f ca="1"/>
        <v>#REF!</v>
      </c>
      <c r="K385" s="27" t="e">
        <f ca="1"/>
        <v>#REF!</v>
      </c>
      <c r="L385" s="25" t="e">
        <f ca="1"/>
        <v>#REF!</v>
      </c>
      <c r="M385" s="25" t="e">
        <f ca="1"/>
        <v>#REF!</v>
      </c>
      <c r="N385" s="25" t="e">
        <f ca="1"/>
        <v>#REF!</v>
      </c>
      <c r="O385" s="25" t="e">
        <f ca="1"/>
        <v>#REF!</v>
      </c>
      <c r="P385" s="25" t="e">
        <f ca="1"/>
        <v>#REF!</v>
      </c>
      <c r="Q385" s="25" t="e">
        <f ca="1"/>
        <v>#REF!</v>
      </c>
      <c r="R385" s="25" t="e">
        <f ca="1"/>
        <v>#REF!</v>
      </c>
      <c r="S385" s="25" t="e">
        <f ca="1"/>
        <v>#REF!</v>
      </c>
      <c r="T385" s="25" t="e">
        <f ca="1"/>
        <v>#REF!</v>
      </c>
      <c r="U385" s="25" t="e">
        <f ca="1"/>
        <v>#REF!</v>
      </c>
      <c r="V385" s="25" t="e">
        <f ca="1"/>
        <v>#REF!</v>
      </c>
      <c r="W385" s="33" t="e">
        <f ca="1"/>
        <v>#REF!</v>
      </c>
      <c r="X385" s="33" t="e">
        <f ca="1"/>
        <v>#REF!</v>
      </c>
      <c r="Y385" s="33" t="e">
        <f ca="1"/>
        <v>#REF!</v>
      </c>
      <c r="Z385" s="33" t="e">
        <f ca="1"/>
        <v>#REF!</v>
      </c>
      <c r="AA385" s="33" t="e">
        <f ca="1"/>
        <v>#REF!</v>
      </c>
    </row>
    <row r="386" spans="1:27" s="70" customFormat="1" ht="11.25" x14ac:dyDescent="0.2">
      <c r="A386" s="24">
        <v>380</v>
      </c>
      <c r="B386" s="24"/>
      <c r="C386" s="25"/>
      <c r="D386" s="26"/>
      <c r="E386" s="25"/>
      <c r="F386" s="25"/>
      <c r="G386" s="24"/>
      <c r="H386" s="25" t="e">
        <f ca="1"/>
        <v>#REF!</v>
      </c>
      <c r="I386" s="27" t="e">
        <f ca="1"/>
        <v>#REF!</v>
      </c>
      <c r="J386" s="28" t="e">
        <f ca="1"/>
        <v>#REF!</v>
      </c>
      <c r="K386" s="27" t="e">
        <f ca="1"/>
        <v>#REF!</v>
      </c>
      <c r="L386" s="25" t="e">
        <f ca="1"/>
        <v>#REF!</v>
      </c>
      <c r="M386" s="25" t="e">
        <f ca="1"/>
        <v>#REF!</v>
      </c>
      <c r="N386" s="25" t="e">
        <f ca="1"/>
        <v>#REF!</v>
      </c>
      <c r="O386" s="25" t="e">
        <f ca="1"/>
        <v>#REF!</v>
      </c>
      <c r="P386" s="25" t="e">
        <f ca="1"/>
        <v>#REF!</v>
      </c>
      <c r="Q386" s="25" t="e">
        <f ca="1"/>
        <v>#REF!</v>
      </c>
      <c r="R386" s="25" t="e">
        <f ca="1"/>
        <v>#REF!</v>
      </c>
      <c r="S386" s="25" t="e">
        <f ca="1"/>
        <v>#REF!</v>
      </c>
      <c r="T386" s="25" t="e">
        <f ca="1"/>
        <v>#REF!</v>
      </c>
      <c r="U386" s="25" t="e">
        <f ca="1"/>
        <v>#REF!</v>
      </c>
      <c r="V386" s="25" t="e">
        <f ca="1"/>
        <v>#REF!</v>
      </c>
      <c r="W386" s="33" t="e">
        <f ca="1"/>
        <v>#REF!</v>
      </c>
      <c r="X386" s="33" t="e">
        <f ca="1"/>
        <v>#REF!</v>
      </c>
      <c r="Y386" s="33" t="e">
        <f ca="1"/>
        <v>#REF!</v>
      </c>
      <c r="Z386" s="33" t="e">
        <f ca="1"/>
        <v>#REF!</v>
      </c>
      <c r="AA386" s="33" t="e">
        <f ca="1"/>
        <v>#REF!</v>
      </c>
    </row>
    <row r="387" spans="1:27" s="70" customFormat="1" ht="11.25" x14ac:dyDescent="0.2">
      <c r="A387" s="24">
        <v>381</v>
      </c>
      <c r="B387" s="24"/>
      <c r="C387" s="25"/>
      <c r="D387" s="26"/>
      <c r="E387" s="25"/>
      <c r="F387" s="25"/>
      <c r="G387" s="24"/>
      <c r="H387" s="25" t="e">
        <f ca="1"/>
        <v>#REF!</v>
      </c>
      <c r="I387" s="27" t="e">
        <f ca="1"/>
        <v>#REF!</v>
      </c>
      <c r="J387" s="28" t="e">
        <f ca="1"/>
        <v>#REF!</v>
      </c>
      <c r="K387" s="27" t="e">
        <f ca="1"/>
        <v>#REF!</v>
      </c>
      <c r="L387" s="25" t="e">
        <f ca="1"/>
        <v>#REF!</v>
      </c>
      <c r="M387" s="25" t="e">
        <f ca="1"/>
        <v>#REF!</v>
      </c>
      <c r="N387" s="25" t="e">
        <f ca="1"/>
        <v>#REF!</v>
      </c>
      <c r="O387" s="25" t="e">
        <f ca="1"/>
        <v>#REF!</v>
      </c>
      <c r="P387" s="25" t="e">
        <f ca="1"/>
        <v>#REF!</v>
      </c>
      <c r="Q387" s="25" t="e">
        <f ca="1"/>
        <v>#REF!</v>
      </c>
      <c r="R387" s="25" t="e">
        <f ca="1"/>
        <v>#REF!</v>
      </c>
      <c r="S387" s="25" t="e">
        <f ca="1"/>
        <v>#REF!</v>
      </c>
      <c r="T387" s="25" t="e">
        <f ca="1"/>
        <v>#REF!</v>
      </c>
      <c r="U387" s="25" t="e">
        <f ca="1"/>
        <v>#REF!</v>
      </c>
      <c r="V387" s="25" t="e">
        <f ca="1"/>
        <v>#REF!</v>
      </c>
      <c r="W387" s="33" t="e">
        <f ca="1"/>
        <v>#REF!</v>
      </c>
      <c r="X387" s="33" t="e">
        <f ca="1"/>
        <v>#REF!</v>
      </c>
      <c r="Y387" s="33" t="e">
        <f ca="1"/>
        <v>#REF!</v>
      </c>
      <c r="Z387" s="33" t="e">
        <f ca="1"/>
        <v>#REF!</v>
      </c>
      <c r="AA387" s="33" t="e">
        <f ca="1"/>
        <v>#REF!</v>
      </c>
    </row>
    <row r="388" spans="1:27" s="70" customFormat="1" ht="11.25" x14ac:dyDescent="0.2">
      <c r="A388" s="24">
        <v>382</v>
      </c>
      <c r="B388" s="24"/>
      <c r="C388" s="25"/>
      <c r="D388" s="26"/>
      <c r="E388" s="25"/>
      <c r="F388" s="25"/>
      <c r="G388" s="24"/>
      <c r="H388" s="25" t="e">
        <f ca="1"/>
        <v>#REF!</v>
      </c>
      <c r="I388" s="27" t="e">
        <f ca="1"/>
        <v>#REF!</v>
      </c>
      <c r="J388" s="28" t="e">
        <f ca="1"/>
        <v>#REF!</v>
      </c>
      <c r="K388" s="27" t="e">
        <f ca="1"/>
        <v>#REF!</v>
      </c>
      <c r="L388" s="25" t="e">
        <f ca="1"/>
        <v>#REF!</v>
      </c>
      <c r="M388" s="25" t="e">
        <f ca="1"/>
        <v>#REF!</v>
      </c>
      <c r="N388" s="25" t="e">
        <f ca="1"/>
        <v>#REF!</v>
      </c>
      <c r="O388" s="25" t="e">
        <f ca="1"/>
        <v>#REF!</v>
      </c>
      <c r="P388" s="25" t="e">
        <f ca="1"/>
        <v>#REF!</v>
      </c>
      <c r="Q388" s="25" t="e">
        <f ca="1"/>
        <v>#REF!</v>
      </c>
      <c r="R388" s="25" t="e">
        <f ca="1"/>
        <v>#REF!</v>
      </c>
      <c r="S388" s="25" t="e">
        <f ca="1"/>
        <v>#REF!</v>
      </c>
      <c r="T388" s="25" t="e">
        <f ca="1"/>
        <v>#REF!</v>
      </c>
      <c r="U388" s="25" t="e">
        <f ca="1"/>
        <v>#REF!</v>
      </c>
      <c r="V388" s="25" t="e">
        <f ca="1"/>
        <v>#REF!</v>
      </c>
      <c r="W388" s="33" t="e">
        <f ca="1"/>
        <v>#REF!</v>
      </c>
      <c r="X388" s="33" t="e">
        <f ca="1"/>
        <v>#REF!</v>
      </c>
      <c r="Y388" s="33" t="e">
        <f ca="1"/>
        <v>#REF!</v>
      </c>
      <c r="Z388" s="33" t="e">
        <f ca="1"/>
        <v>#REF!</v>
      </c>
      <c r="AA388" s="33" t="e">
        <f ca="1"/>
        <v>#REF!</v>
      </c>
    </row>
    <row r="389" spans="1:27" s="70" customFormat="1" ht="11.25" x14ac:dyDescent="0.2">
      <c r="A389" s="24">
        <v>383</v>
      </c>
      <c r="B389" s="24"/>
      <c r="C389" s="25"/>
      <c r="D389" s="26"/>
      <c r="E389" s="25"/>
      <c r="F389" s="25"/>
      <c r="G389" s="24"/>
      <c r="H389" s="25" t="e">
        <f ca="1"/>
        <v>#REF!</v>
      </c>
      <c r="I389" s="27" t="e">
        <f ca="1"/>
        <v>#REF!</v>
      </c>
      <c r="J389" s="28" t="e">
        <f ca="1"/>
        <v>#REF!</v>
      </c>
      <c r="K389" s="27" t="e">
        <f ca="1"/>
        <v>#REF!</v>
      </c>
      <c r="L389" s="25" t="e">
        <f ca="1"/>
        <v>#REF!</v>
      </c>
      <c r="M389" s="25" t="e">
        <f ca="1"/>
        <v>#REF!</v>
      </c>
      <c r="N389" s="25" t="e">
        <f ca="1"/>
        <v>#REF!</v>
      </c>
      <c r="O389" s="25" t="e">
        <f ca="1"/>
        <v>#REF!</v>
      </c>
      <c r="P389" s="25" t="e">
        <f ca="1"/>
        <v>#REF!</v>
      </c>
      <c r="Q389" s="25" t="e">
        <f ca="1"/>
        <v>#REF!</v>
      </c>
      <c r="R389" s="25" t="e">
        <f ca="1"/>
        <v>#REF!</v>
      </c>
      <c r="S389" s="25" t="e">
        <f ca="1"/>
        <v>#REF!</v>
      </c>
      <c r="T389" s="25" t="e">
        <f ca="1"/>
        <v>#REF!</v>
      </c>
      <c r="U389" s="25" t="e">
        <f ca="1"/>
        <v>#REF!</v>
      </c>
      <c r="V389" s="25" t="e">
        <f ca="1"/>
        <v>#REF!</v>
      </c>
      <c r="W389" s="33" t="e">
        <f ca="1"/>
        <v>#REF!</v>
      </c>
      <c r="X389" s="33" t="e">
        <f ca="1"/>
        <v>#REF!</v>
      </c>
      <c r="Y389" s="33" t="e">
        <f ca="1"/>
        <v>#REF!</v>
      </c>
      <c r="Z389" s="33" t="e">
        <f ca="1"/>
        <v>#REF!</v>
      </c>
      <c r="AA389" s="33" t="e">
        <f ca="1"/>
        <v>#REF!</v>
      </c>
    </row>
    <row r="390" spans="1:27" s="70" customFormat="1" ht="11.25" x14ac:dyDescent="0.2">
      <c r="A390" s="24">
        <v>384</v>
      </c>
      <c r="B390" s="24"/>
      <c r="C390" s="25"/>
      <c r="D390" s="26"/>
      <c r="E390" s="25"/>
      <c r="F390" s="25"/>
      <c r="G390" s="24"/>
      <c r="H390" s="25" t="e">
        <f ca="1"/>
        <v>#REF!</v>
      </c>
      <c r="I390" s="27" t="e">
        <f ca="1"/>
        <v>#REF!</v>
      </c>
      <c r="J390" s="28" t="e">
        <f ca="1"/>
        <v>#REF!</v>
      </c>
      <c r="K390" s="27" t="e">
        <f ca="1"/>
        <v>#REF!</v>
      </c>
      <c r="L390" s="25" t="e">
        <f ca="1"/>
        <v>#REF!</v>
      </c>
      <c r="M390" s="25" t="e">
        <f ca="1"/>
        <v>#REF!</v>
      </c>
      <c r="N390" s="25" t="e">
        <f ca="1"/>
        <v>#REF!</v>
      </c>
      <c r="O390" s="25" t="e">
        <f ca="1"/>
        <v>#REF!</v>
      </c>
      <c r="P390" s="25" t="e">
        <f ca="1"/>
        <v>#REF!</v>
      </c>
      <c r="Q390" s="25" t="e">
        <f ca="1"/>
        <v>#REF!</v>
      </c>
      <c r="R390" s="25" t="e">
        <f ca="1"/>
        <v>#REF!</v>
      </c>
      <c r="S390" s="25" t="e">
        <f ca="1"/>
        <v>#REF!</v>
      </c>
      <c r="T390" s="25" t="e">
        <f ca="1"/>
        <v>#REF!</v>
      </c>
      <c r="U390" s="25" t="e">
        <f ca="1"/>
        <v>#REF!</v>
      </c>
      <c r="V390" s="25" t="e">
        <f ca="1"/>
        <v>#REF!</v>
      </c>
      <c r="W390" s="33" t="e">
        <f ca="1"/>
        <v>#REF!</v>
      </c>
      <c r="X390" s="33" t="e">
        <f ca="1"/>
        <v>#REF!</v>
      </c>
      <c r="Y390" s="33" t="e">
        <f ca="1"/>
        <v>#REF!</v>
      </c>
      <c r="Z390" s="33" t="e">
        <f ca="1"/>
        <v>#REF!</v>
      </c>
      <c r="AA390" s="33" t="e">
        <f ca="1"/>
        <v>#REF!</v>
      </c>
    </row>
    <row r="391" spans="1:27" s="70" customFormat="1" ht="11.25" x14ac:dyDescent="0.2">
      <c r="A391" s="24">
        <v>385</v>
      </c>
      <c r="B391" s="24"/>
      <c r="C391" s="25"/>
      <c r="D391" s="26"/>
      <c r="E391" s="25"/>
      <c r="F391" s="25"/>
      <c r="G391" s="24"/>
      <c r="H391" s="25" t="e">
        <f ca="1"/>
        <v>#REF!</v>
      </c>
      <c r="I391" s="27" t="e">
        <f ca="1"/>
        <v>#REF!</v>
      </c>
      <c r="J391" s="28" t="e">
        <f ca="1"/>
        <v>#REF!</v>
      </c>
      <c r="K391" s="27" t="e">
        <f ca="1"/>
        <v>#REF!</v>
      </c>
      <c r="L391" s="25" t="e">
        <f ca="1"/>
        <v>#REF!</v>
      </c>
      <c r="M391" s="25" t="e">
        <f ca="1"/>
        <v>#REF!</v>
      </c>
      <c r="N391" s="25" t="e">
        <f ca="1"/>
        <v>#REF!</v>
      </c>
      <c r="O391" s="25" t="e">
        <f ca="1"/>
        <v>#REF!</v>
      </c>
      <c r="P391" s="25" t="e">
        <f ca="1"/>
        <v>#REF!</v>
      </c>
      <c r="Q391" s="25" t="e">
        <f ca="1"/>
        <v>#REF!</v>
      </c>
      <c r="R391" s="25" t="e">
        <f ca="1"/>
        <v>#REF!</v>
      </c>
      <c r="S391" s="25" t="e">
        <f ca="1"/>
        <v>#REF!</v>
      </c>
      <c r="T391" s="25" t="e">
        <f ca="1"/>
        <v>#REF!</v>
      </c>
      <c r="U391" s="25" t="e">
        <f ca="1"/>
        <v>#REF!</v>
      </c>
      <c r="V391" s="25" t="e">
        <f ca="1"/>
        <v>#REF!</v>
      </c>
      <c r="W391" s="33" t="e">
        <f ca="1"/>
        <v>#REF!</v>
      </c>
      <c r="X391" s="33" t="e">
        <f ca="1"/>
        <v>#REF!</v>
      </c>
      <c r="Y391" s="33" t="e">
        <f ca="1"/>
        <v>#REF!</v>
      </c>
      <c r="Z391" s="33" t="e">
        <f ca="1"/>
        <v>#REF!</v>
      </c>
      <c r="AA391" s="33" t="e">
        <f ca="1"/>
        <v>#REF!</v>
      </c>
    </row>
    <row r="392" spans="1:27" s="70" customFormat="1" ht="11.25" x14ac:dyDescent="0.2">
      <c r="A392" s="24">
        <v>386</v>
      </c>
      <c r="B392" s="24"/>
      <c r="C392" s="25"/>
      <c r="D392" s="26"/>
      <c r="E392" s="25"/>
      <c r="F392" s="25"/>
      <c r="G392" s="24"/>
      <c r="H392" s="25" t="e">
        <f ca="1"/>
        <v>#REF!</v>
      </c>
      <c r="I392" s="27" t="e">
        <f ca="1"/>
        <v>#REF!</v>
      </c>
      <c r="J392" s="28" t="e">
        <f ca="1"/>
        <v>#REF!</v>
      </c>
      <c r="K392" s="27" t="e">
        <f ca="1"/>
        <v>#REF!</v>
      </c>
      <c r="L392" s="25" t="e">
        <f ca="1"/>
        <v>#REF!</v>
      </c>
      <c r="M392" s="25" t="e">
        <f ca="1"/>
        <v>#REF!</v>
      </c>
      <c r="N392" s="25" t="e">
        <f ca="1"/>
        <v>#REF!</v>
      </c>
      <c r="O392" s="25" t="e">
        <f ca="1"/>
        <v>#REF!</v>
      </c>
      <c r="P392" s="25" t="e">
        <f ca="1"/>
        <v>#REF!</v>
      </c>
      <c r="Q392" s="25" t="e">
        <f ca="1"/>
        <v>#REF!</v>
      </c>
      <c r="R392" s="25" t="e">
        <f ca="1"/>
        <v>#REF!</v>
      </c>
      <c r="S392" s="25" t="e">
        <f ca="1"/>
        <v>#REF!</v>
      </c>
      <c r="T392" s="25" t="e">
        <f ca="1"/>
        <v>#REF!</v>
      </c>
      <c r="U392" s="25" t="e">
        <f ca="1"/>
        <v>#REF!</v>
      </c>
      <c r="V392" s="25" t="e">
        <f ca="1"/>
        <v>#REF!</v>
      </c>
      <c r="W392" s="33" t="e">
        <f ca="1"/>
        <v>#REF!</v>
      </c>
      <c r="X392" s="33" t="e">
        <f ca="1"/>
        <v>#REF!</v>
      </c>
      <c r="Y392" s="33" t="e">
        <f ca="1"/>
        <v>#REF!</v>
      </c>
      <c r="Z392" s="33" t="e">
        <f ca="1"/>
        <v>#REF!</v>
      </c>
      <c r="AA392" s="33" t="e">
        <f ca="1"/>
        <v>#REF!</v>
      </c>
    </row>
    <row r="393" spans="1:27" s="70" customFormat="1" ht="11.25" x14ac:dyDescent="0.2">
      <c r="A393" s="24">
        <v>387</v>
      </c>
      <c r="B393" s="24"/>
      <c r="C393" s="25"/>
      <c r="D393" s="26"/>
      <c r="E393" s="25"/>
      <c r="F393" s="25"/>
      <c r="G393" s="24"/>
      <c r="H393" s="25" t="e">
        <f ca="1"/>
        <v>#REF!</v>
      </c>
      <c r="I393" s="27" t="e">
        <f ca="1"/>
        <v>#REF!</v>
      </c>
      <c r="J393" s="28" t="e">
        <f ca="1"/>
        <v>#REF!</v>
      </c>
      <c r="K393" s="27" t="e">
        <f ca="1"/>
        <v>#REF!</v>
      </c>
      <c r="L393" s="25" t="e">
        <f ca="1"/>
        <v>#REF!</v>
      </c>
      <c r="M393" s="25" t="e">
        <f ca="1"/>
        <v>#REF!</v>
      </c>
      <c r="N393" s="25" t="e">
        <f ca="1"/>
        <v>#REF!</v>
      </c>
      <c r="O393" s="25" t="e">
        <f ca="1"/>
        <v>#REF!</v>
      </c>
      <c r="P393" s="25" t="e">
        <f ca="1"/>
        <v>#REF!</v>
      </c>
      <c r="Q393" s="25" t="e">
        <f ca="1"/>
        <v>#REF!</v>
      </c>
      <c r="R393" s="25" t="e">
        <f ca="1"/>
        <v>#REF!</v>
      </c>
      <c r="S393" s="25" t="e">
        <f ca="1"/>
        <v>#REF!</v>
      </c>
      <c r="T393" s="25" t="e">
        <f ca="1"/>
        <v>#REF!</v>
      </c>
      <c r="U393" s="25" t="e">
        <f ca="1"/>
        <v>#REF!</v>
      </c>
      <c r="V393" s="25" t="e">
        <f ca="1"/>
        <v>#REF!</v>
      </c>
      <c r="W393" s="33" t="e">
        <f ca="1"/>
        <v>#REF!</v>
      </c>
      <c r="X393" s="33" t="e">
        <f ca="1"/>
        <v>#REF!</v>
      </c>
      <c r="Y393" s="33" t="e">
        <f ca="1"/>
        <v>#REF!</v>
      </c>
      <c r="Z393" s="33" t="e">
        <f ca="1"/>
        <v>#REF!</v>
      </c>
      <c r="AA393" s="33" t="e">
        <f ca="1"/>
        <v>#REF!</v>
      </c>
    </row>
    <row r="394" spans="1:27" s="70" customFormat="1" ht="11.25" x14ac:dyDescent="0.2">
      <c r="A394" s="24">
        <v>388</v>
      </c>
      <c r="B394" s="24"/>
      <c r="C394" s="25"/>
      <c r="D394" s="26"/>
      <c r="E394" s="25"/>
      <c r="F394" s="25"/>
      <c r="G394" s="24"/>
      <c r="H394" s="25" t="e">
        <f ca="1"/>
        <v>#REF!</v>
      </c>
      <c r="I394" s="27" t="e">
        <f ca="1"/>
        <v>#REF!</v>
      </c>
      <c r="J394" s="28" t="e">
        <f ca="1"/>
        <v>#REF!</v>
      </c>
      <c r="K394" s="27" t="e">
        <f ca="1"/>
        <v>#REF!</v>
      </c>
      <c r="L394" s="25" t="e">
        <f ca="1"/>
        <v>#REF!</v>
      </c>
      <c r="M394" s="25" t="e">
        <f ca="1"/>
        <v>#REF!</v>
      </c>
      <c r="N394" s="25" t="e">
        <f ca="1"/>
        <v>#REF!</v>
      </c>
      <c r="O394" s="25" t="e">
        <f ca="1"/>
        <v>#REF!</v>
      </c>
      <c r="P394" s="25" t="e">
        <f ca="1"/>
        <v>#REF!</v>
      </c>
      <c r="Q394" s="25" t="e">
        <f ca="1"/>
        <v>#REF!</v>
      </c>
      <c r="R394" s="25" t="e">
        <f ca="1"/>
        <v>#REF!</v>
      </c>
      <c r="S394" s="25" t="e">
        <f ca="1"/>
        <v>#REF!</v>
      </c>
      <c r="T394" s="25" t="e">
        <f ca="1"/>
        <v>#REF!</v>
      </c>
      <c r="U394" s="25" t="e">
        <f ca="1"/>
        <v>#REF!</v>
      </c>
      <c r="V394" s="25" t="e">
        <f ca="1"/>
        <v>#REF!</v>
      </c>
      <c r="W394" s="33" t="e">
        <f ca="1"/>
        <v>#REF!</v>
      </c>
      <c r="X394" s="33" t="e">
        <f ca="1"/>
        <v>#REF!</v>
      </c>
      <c r="Y394" s="33" t="e">
        <f ca="1"/>
        <v>#REF!</v>
      </c>
      <c r="Z394" s="33" t="e">
        <f ca="1"/>
        <v>#REF!</v>
      </c>
      <c r="AA394" s="33" t="e">
        <f ca="1"/>
        <v>#REF!</v>
      </c>
    </row>
    <row r="395" spans="1:27" s="70" customFormat="1" ht="11.25" x14ac:dyDescent="0.2">
      <c r="A395" s="24">
        <v>389</v>
      </c>
      <c r="B395" s="24"/>
      <c r="C395" s="25"/>
      <c r="D395" s="26"/>
      <c r="E395" s="25"/>
      <c r="F395" s="25"/>
      <c r="G395" s="24"/>
      <c r="H395" s="25" t="e">
        <f ca="1"/>
        <v>#REF!</v>
      </c>
      <c r="I395" s="27" t="e">
        <f ca="1"/>
        <v>#REF!</v>
      </c>
      <c r="J395" s="28" t="e">
        <f ca="1"/>
        <v>#REF!</v>
      </c>
      <c r="K395" s="27" t="e">
        <f ca="1"/>
        <v>#REF!</v>
      </c>
      <c r="L395" s="25" t="e">
        <f ca="1"/>
        <v>#REF!</v>
      </c>
      <c r="M395" s="25" t="e">
        <f ca="1"/>
        <v>#REF!</v>
      </c>
      <c r="N395" s="25" t="e">
        <f ca="1"/>
        <v>#REF!</v>
      </c>
      <c r="O395" s="25" t="e">
        <f ca="1"/>
        <v>#REF!</v>
      </c>
      <c r="P395" s="25" t="e">
        <f ca="1"/>
        <v>#REF!</v>
      </c>
      <c r="Q395" s="25" t="e">
        <f ca="1"/>
        <v>#REF!</v>
      </c>
      <c r="R395" s="25" t="e">
        <f ca="1"/>
        <v>#REF!</v>
      </c>
      <c r="S395" s="25" t="e">
        <f ca="1"/>
        <v>#REF!</v>
      </c>
      <c r="T395" s="25" t="e">
        <f ca="1"/>
        <v>#REF!</v>
      </c>
      <c r="U395" s="25" t="e">
        <f ca="1"/>
        <v>#REF!</v>
      </c>
      <c r="V395" s="25" t="e">
        <f ca="1"/>
        <v>#REF!</v>
      </c>
      <c r="W395" s="33" t="e">
        <f ca="1"/>
        <v>#REF!</v>
      </c>
      <c r="X395" s="33" t="e">
        <f ca="1"/>
        <v>#REF!</v>
      </c>
      <c r="Y395" s="33" t="e">
        <f ca="1"/>
        <v>#REF!</v>
      </c>
      <c r="Z395" s="33" t="e">
        <f ca="1"/>
        <v>#REF!</v>
      </c>
      <c r="AA395" s="33" t="e">
        <f ca="1"/>
        <v>#REF!</v>
      </c>
    </row>
    <row r="396" spans="1:27" s="70" customFormat="1" ht="11.25" x14ac:dyDescent="0.2">
      <c r="A396" s="24">
        <v>390</v>
      </c>
      <c r="B396" s="24"/>
      <c r="C396" s="25"/>
      <c r="D396" s="26"/>
      <c r="E396" s="25"/>
      <c r="F396" s="25"/>
      <c r="G396" s="24"/>
      <c r="H396" s="25" t="e">
        <f ca="1"/>
        <v>#REF!</v>
      </c>
      <c r="I396" s="27" t="e">
        <f ca="1"/>
        <v>#REF!</v>
      </c>
      <c r="J396" s="28" t="e">
        <f ca="1"/>
        <v>#REF!</v>
      </c>
      <c r="K396" s="27" t="e">
        <f ca="1"/>
        <v>#REF!</v>
      </c>
      <c r="L396" s="25" t="e">
        <f ca="1"/>
        <v>#REF!</v>
      </c>
      <c r="M396" s="25" t="e">
        <f ca="1"/>
        <v>#REF!</v>
      </c>
      <c r="N396" s="25" t="e">
        <f ca="1"/>
        <v>#REF!</v>
      </c>
      <c r="O396" s="25" t="e">
        <f ca="1"/>
        <v>#REF!</v>
      </c>
      <c r="P396" s="25" t="e">
        <f ca="1"/>
        <v>#REF!</v>
      </c>
      <c r="Q396" s="25" t="e">
        <f ca="1"/>
        <v>#REF!</v>
      </c>
      <c r="R396" s="25" t="e">
        <f ca="1"/>
        <v>#REF!</v>
      </c>
      <c r="S396" s="25" t="e">
        <f ca="1"/>
        <v>#REF!</v>
      </c>
      <c r="T396" s="25" t="e">
        <f ca="1"/>
        <v>#REF!</v>
      </c>
      <c r="U396" s="25" t="e">
        <f ca="1"/>
        <v>#REF!</v>
      </c>
      <c r="V396" s="25" t="e">
        <f ca="1"/>
        <v>#REF!</v>
      </c>
      <c r="W396" s="33" t="e">
        <f ca="1"/>
        <v>#REF!</v>
      </c>
      <c r="X396" s="33" t="e">
        <f ca="1"/>
        <v>#REF!</v>
      </c>
      <c r="Y396" s="33" t="e">
        <f ca="1"/>
        <v>#REF!</v>
      </c>
      <c r="Z396" s="33" t="e">
        <f ca="1"/>
        <v>#REF!</v>
      </c>
      <c r="AA396" s="33" t="e">
        <f ca="1"/>
        <v>#REF!</v>
      </c>
    </row>
    <row r="397" spans="1:27" s="70" customFormat="1" ht="11.25" x14ac:dyDescent="0.2">
      <c r="A397" s="24">
        <v>391</v>
      </c>
      <c r="B397" s="24"/>
      <c r="C397" s="25"/>
      <c r="D397" s="26"/>
      <c r="E397" s="25"/>
      <c r="F397" s="25"/>
      <c r="G397" s="24"/>
      <c r="H397" s="25" t="e">
        <f ca="1"/>
        <v>#REF!</v>
      </c>
      <c r="I397" s="27" t="e">
        <f ca="1"/>
        <v>#REF!</v>
      </c>
      <c r="J397" s="28" t="e">
        <f ca="1"/>
        <v>#REF!</v>
      </c>
      <c r="K397" s="27" t="e">
        <f ca="1"/>
        <v>#REF!</v>
      </c>
      <c r="L397" s="25" t="e">
        <f ca="1"/>
        <v>#REF!</v>
      </c>
      <c r="M397" s="25" t="e">
        <f ca="1"/>
        <v>#REF!</v>
      </c>
      <c r="N397" s="25" t="e">
        <f ca="1"/>
        <v>#REF!</v>
      </c>
      <c r="O397" s="25" t="e">
        <f ca="1"/>
        <v>#REF!</v>
      </c>
      <c r="P397" s="25" t="e">
        <f ca="1"/>
        <v>#REF!</v>
      </c>
      <c r="Q397" s="25" t="e">
        <f ca="1"/>
        <v>#REF!</v>
      </c>
      <c r="R397" s="25" t="e">
        <f ca="1"/>
        <v>#REF!</v>
      </c>
      <c r="S397" s="25" t="e">
        <f ca="1"/>
        <v>#REF!</v>
      </c>
      <c r="T397" s="25" t="e">
        <f ca="1"/>
        <v>#REF!</v>
      </c>
      <c r="U397" s="25" t="e">
        <f ca="1"/>
        <v>#REF!</v>
      </c>
      <c r="V397" s="25" t="e">
        <f ca="1"/>
        <v>#REF!</v>
      </c>
      <c r="W397" s="33" t="e">
        <f ca="1"/>
        <v>#REF!</v>
      </c>
      <c r="X397" s="33" t="e">
        <f ca="1"/>
        <v>#REF!</v>
      </c>
      <c r="Y397" s="33" t="e">
        <f ca="1"/>
        <v>#REF!</v>
      </c>
      <c r="Z397" s="33" t="e">
        <f ca="1"/>
        <v>#REF!</v>
      </c>
      <c r="AA397" s="33" t="e">
        <f ca="1"/>
        <v>#REF!</v>
      </c>
    </row>
    <row r="398" spans="1:27" s="70" customFormat="1" ht="11.25" x14ac:dyDescent="0.2">
      <c r="A398" s="24">
        <v>392</v>
      </c>
      <c r="B398" s="24"/>
      <c r="C398" s="25"/>
      <c r="D398" s="26"/>
      <c r="E398" s="25"/>
      <c r="F398" s="25"/>
      <c r="G398" s="24"/>
      <c r="H398" s="25" t="e">
        <f ca="1"/>
        <v>#REF!</v>
      </c>
      <c r="I398" s="27" t="e">
        <f ca="1"/>
        <v>#REF!</v>
      </c>
      <c r="J398" s="28" t="e">
        <f ca="1"/>
        <v>#REF!</v>
      </c>
      <c r="K398" s="27" t="e">
        <f ca="1"/>
        <v>#REF!</v>
      </c>
      <c r="L398" s="25" t="e">
        <f ca="1"/>
        <v>#REF!</v>
      </c>
      <c r="M398" s="25" t="e">
        <f ca="1"/>
        <v>#REF!</v>
      </c>
      <c r="N398" s="25" t="e">
        <f ca="1"/>
        <v>#REF!</v>
      </c>
      <c r="O398" s="25" t="e">
        <f ca="1"/>
        <v>#REF!</v>
      </c>
      <c r="P398" s="25" t="e">
        <f ca="1"/>
        <v>#REF!</v>
      </c>
      <c r="Q398" s="25" t="e">
        <f ca="1"/>
        <v>#REF!</v>
      </c>
      <c r="R398" s="25" t="e">
        <f ca="1"/>
        <v>#REF!</v>
      </c>
      <c r="S398" s="25" t="e">
        <f ca="1"/>
        <v>#REF!</v>
      </c>
      <c r="T398" s="25" t="e">
        <f ca="1"/>
        <v>#REF!</v>
      </c>
      <c r="U398" s="25" t="e">
        <f ca="1"/>
        <v>#REF!</v>
      </c>
      <c r="V398" s="25" t="e">
        <f ca="1"/>
        <v>#REF!</v>
      </c>
      <c r="W398" s="33" t="e">
        <f ca="1"/>
        <v>#REF!</v>
      </c>
      <c r="X398" s="33" t="e">
        <f ca="1"/>
        <v>#REF!</v>
      </c>
      <c r="Y398" s="33" t="e">
        <f ca="1"/>
        <v>#REF!</v>
      </c>
      <c r="Z398" s="33" t="e">
        <f ca="1"/>
        <v>#REF!</v>
      </c>
      <c r="AA398" s="33" t="e">
        <f ca="1"/>
        <v>#REF!</v>
      </c>
    </row>
    <row r="399" spans="1:27" s="70" customFormat="1" ht="11.25" x14ac:dyDescent="0.2">
      <c r="A399" s="24">
        <v>393</v>
      </c>
      <c r="B399" s="24"/>
      <c r="C399" s="25"/>
      <c r="D399" s="26"/>
      <c r="E399" s="25"/>
      <c r="F399" s="25"/>
      <c r="G399" s="24"/>
      <c r="H399" s="25" t="e">
        <f ca="1"/>
        <v>#REF!</v>
      </c>
      <c r="I399" s="27" t="e">
        <f ca="1"/>
        <v>#REF!</v>
      </c>
      <c r="J399" s="28" t="e">
        <f ca="1"/>
        <v>#REF!</v>
      </c>
      <c r="K399" s="27" t="e">
        <f ca="1"/>
        <v>#REF!</v>
      </c>
      <c r="L399" s="25" t="e">
        <f ca="1"/>
        <v>#REF!</v>
      </c>
      <c r="M399" s="25" t="e">
        <f ca="1"/>
        <v>#REF!</v>
      </c>
      <c r="N399" s="25" t="e">
        <f ca="1"/>
        <v>#REF!</v>
      </c>
      <c r="O399" s="25" t="e">
        <f ca="1"/>
        <v>#REF!</v>
      </c>
      <c r="P399" s="25" t="e">
        <f ca="1"/>
        <v>#REF!</v>
      </c>
      <c r="Q399" s="25" t="e">
        <f ca="1"/>
        <v>#REF!</v>
      </c>
      <c r="R399" s="25" t="e">
        <f ca="1"/>
        <v>#REF!</v>
      </c>
      <c r="S399" s="25" t="e">
        <f ca="1"/>
        <v>#REF!</v>
      </c>
      <c r="T399" s="25" t="e">
        <f ca="1"/>
        <v>#REF!</v>
      </c>
      <c r="U399" s="25" t="e">
        <f ca="1"/>
        <v>#REF!</v>
      </c>
      <c r="V399" s="25" t="e">
        <f ca="1"/>
        <v>#REF!</v>
      </c>
      <c r="W399" s="33" t="e">
        <f ca="1"/>
        <v>#REF!</v>
      </c>
      <c r="X399" s="33" t="e">
        <f ca="1"/>
        <v>#REF!</v>
      </c>
      <c r="Y399" s="33" t="e">
        <f ca="1"/>
        <v>#REF!</v>
      </c>
      <c r="Z399" s="33" t="e">
        <f ca="1"/>
        <v>#REF!</v>
      </c>
      <c r="AA399" s="33" t="e">
        <f ca="1"/>
        <v>#REF!</v>
      </c>
    </row>
    <row r="400" spans="1:27" s="70" customFormat="1" ht="11.25" x14ac:dyDescent="0.2">
      <c r="A400" s="24">
        <v>394</v>
      </c>
      <c r="B400" s="24"/>
      <c r="C400" s="25"/>
      <c r="D400" s="26"/>
      <c r="E400" s="25"/>
      <c r="F400" s="25"/>
      <c r="G400" s="24"/>
      <c r="H400" s="25" t="e">
        <f ca="1"/>
        <v>#REF!</v>
      </c>
      <c r="I400" s="27" t="e">
        <f ca="1"/>
        <v>#REF!</v>
      </c>
      <c r="J400" s="28" t="e">
        <f ca="1"/>
        <v>#REF!</v>
      </c>
      <c r="K400" s="27" t="e">
        <f ca="1"/>
        <v>#REF!</v>
      </c>
      <c r="L400" s="25" t="e">
        <f ca="1"/>
        <v>#REF!</v>
      </c>
      <c r="M400" s="25" t="e">
        <f ca="1"/>
        <v>#REF!</v>
      </c>
      <c r="N400" s="25" t="e">
        <f ca="1"/>
        <v>#REF!</v>
      </c>
      <c r="O400" s="25" t="e">
        <f ca="1"/>
        <v>#REF!</v>
      </c>
      <c r="P400" s="25" t="e">
        <f ca="1"/>
        <v>#REF!</v>
      </c>
      <c r="Q400" s="25" t="e">
        <f ca="1"/>
        <v>#REF!</v>
      </c>
      <c r="R400" s="25" t="e">
        <f ca="1"/>
        <v>#REF!</v>
      </c>
      <c r="S400" s="25" t="e">
        <f ca="1"/>
        <v>#REF!</v>
      </c>
      <c r="T400" s="25" t="e">
        <f ca="1"/>
        <v>#REF!</v>
      </c>
      <c r="U400" s="25" t="e">
        <f ca="1"/>
        <v>#REF!</v>
      </c>
      <c r="V400" s="25" t="e">
        <f ca="1"/>
        <v>#REF!</v>
      </c>
      <c r="W400" s="33" t="e">
        <f ca="1"/>
        <v>#REF!</v>
      </c>
      <c r="X400" s="33" t="e">
        <f ca="1"/>
        <v>#REF!</v>
      </c>
      <c r="Y400" s="33" t="e">
        <f ca="1"/>
        <v>#REF!</v>
      </c>
      <c r="Z400" s="33" t="e">
        <f ca="1"/>
        <v>#REF!</v>
      </c>
      <c r="AA400" s="33" t="e">
        <f ca="1"/>
        <v>#REF!</v>
      </c>
    </row>
    <row r="401" spans="1:27" s="70" customFormat="1" ht="11.25" x14ac:dyDescent="0.2">
      <c r="A401" s="24">
        <v>395</v>
      </c>
      <c r="B401" s="24"/>
      <c r="C401" s="25"/>
      <c r="D401" s="26"/>
      <c r="E401" s="25"/>
      <c r="F401" s="25"/>
      <c r="G401" s="24"/>
      <c r="H401" s="25" t="e">
        <f ca="1"/>
        <v>#REF!</v>
      </c>
      <c r="I401" s="27" t="e">
        <f ca="1"/>
        <v>#REF!</v>
      </c>
      <c r="J401" s="28" t="e">
        <f ca="1"/>
        <v>#REF!</v>
      </c>
      <c r="K401" s="27" t="e">
        <f ca="1"/>
        <v>#REF!</v>
      </c>
      <c r="L401" s="25" t="e">
        <f ca="1"/>
        <v>#REF!</v>
      </c>
      <c r="M401" s="25" t="e">
        <f ca="1"/>
        <v>#REF!</v>
      </c>
      <c r="N401" s="25" t="e">
        <f ca="1"/>
        <v>#REF!</v>
      </c>
      <c r="O401" s="25" t="e">
        <f ca="1"/>
        <v>#REF!</v>
      </c>
      <c r="P401" s="25" t="e">
        <f ca="1"/>
        <v>#REF!</v>
      </c>
      <c r="Q401" s="25" t="e">
        <f ca="1"/>
        <v>#REF!</v>
      </c>
      <c r="R401" s="25" t="e">
        <f ca="1"/>
        <v>#REF!</v>
      </c>
      <c r="S401" s="25" t="e">
        <f ca="1"/>
        <v>#REF!</v>
      </c>
      <c r="T401" s="25" t="e">
        <f ca="1"/>
        <v>#REF!</v>
      </c>
      <c r="U401" s="25" t="e">
        <f ca="1"/>
        <v>#REF!</v>
      </c>
      <c r="V401" s="25" t="e">
        <f ca="1"/>
        <v>#REF!</v>
      </c>
      <c r="W401" s="33" t="e">
        <f ca="1"/>
        <v>#REF!</v>
      </c>
      <c r="X401" s="33" t="e">
        <f ca="1"/>
        <v>#REF!</v>
      </c>
      <c r="Y401" s="33" t="e">
        <f ca="1"/>
        <v>#REF!</v>
      </c>
      <c r="Z401" s="33" t="e">
        <f ca="1"/>
        <v>#REF!</v>
      </c>
      <c r="AA401" s="33" t="e">
        <f ca="1"/>
        <v>#REF!</v>
      </c>
    </row>
    <row r="402" spans="1:27" s="70" customFormat="1" ht="11.25" x14ac:dyDescent="0.2">
      <c r="A402" s="24">
        <v>396</v>
      </c>
      <c r="B402" s="24"/>
      <c r="C402" s="25"/>
      <c r="D402" s="26"/>
      <c r="E402" s="25"/>
      <c r="F402" s="25"/>
      <c r="G402" s="24"/>
      <c r="H402" s="25" t="e">
        <f ca="1"/>
        <v>#REF!</v>
      </c>
      <c r="I402" s="27" t="e">
        <f ca="1"/>
        <v>#REF!</v>
      </c>
      <c r="J402" s="28" t="e">
        <f ca="1"/>
        <v>#REF!</v>
      </c>
      <c r="K402" s="27" t="e">
        <f ca="1"/>
        <v>#REF!</v>
      </c>
      <c r="L402" s="25" t="e">
        <f ca="1"/>
        <v>#REF!</v>
      </c>
      <c r="M402" s="25" t="e">
        <f ca="1"/>
        <v>#REF!</v>
      </c>
      <c r="N402" s="25" t="e">
        <f ca="1"/>
        <v>#REF!</v>
      </c>
      <c r="O402" s="25" t="e">
        <f ca="1"/>
        <v>#REF!</v>
      </c>
      <c r="P402" s="25" t="e">
        <f ca="1"/>
        <v>#REF!</v>
      </c>
      <c r="Q402" s="25" t="e">
        <f ca="1"/>
        <v>#REF!</v>
      </c>
      <c r="R402" s="25" t="e">
        <f ca="1"/>
        <v>#REF!</v>
      </c>
      <c r="S402" s="25" t="e">
        <f ca="1"/>
        <v>#REF!</v>
      </c>
      <c r="T402" s="25" t="e">
        <f ca="1"/>
        <v>#REF!</v>
      </c>
      <c r="U402" s="25" t="e">
        <f ca="1"/>
        <v>#REF!</v>
      </c>
      <c r="V402" s="25" t="e">
        <f ca="1"/>
        <v>#REF!</v>
      </c>
      <c r="W402" s="33" t="e">
        <f ca="1"/>
        <v>#REF!</v>
      </c>
      <c r="X402" s="33" t="e">
        <f ca="1"/>
        <v>#REF!</v>
      </c>
      <c r="Y402" s="33" t="e">
        <f ca="1"/>
        <v>#REF!</v>
      </c>
      <c r="Z402" s="33" t="e">
        <f ca="1"/>
        <v>#REF!</v>
      </c>
      <c r="AA402" s="33" t="e">
        <f ca="1"/>
        <v>#REF!</v>
      </c>
    </row>
    <row r="403" spans="1:27" s="70" customFormat="1" ht="11.25" x14ac:dyDescent="0.2">
      <c r="A403" s="24">
        <v>397</v>
      </c>
      <c r="B403" s="24"/>
      <c r="C403" s="25"/>
      <c r="D403" s="26"/>
      <c r="E403" s="25"/>
      <c r="F403" s="25"/>
      <c r="G403" s="24"/>
      <c r="H403" s="25" t="e">
        <f ca="1"/>
        <v>#REF!</v>
      </c>
      <c r="I403" s="27" t="e">
        <f ca="1"/>
        <v>#REF!</v>
      </c>
      <c r="J403" s="28" t="e">
        <f ca="1"/>
        <v>#REF!</v>
      </c>
      <c r="K403" s="27" t="e">
        <f ca="1"/>
        <v>#REF!</v>
      </c>
      <c r="L403" s="25" t="e">
        <f ca="1"/>
        <v>#REF!</v>
      </c>
      <c r="M403" s="25" t="e">
        <f ca="1"/>
        <v>#REF!</v>
      </c>
      <c r="N403" s="25" t="e">
        <f ca="1"/>
        <v>#REF!</v>
      </c>
      <c r="O403" s="25" t="e">
        <f ca="1"/>
        <v>#REF!</v>
      </c>
      <c r="P403" s="25" t="e">
        <f ca="1"/>
        <v>#REF!</v>
      </c>
      <c r="Q403" s="25" t="e">
        <f ca="1"/>
        <v>#REF!</v>
      </c>
      <c r="R403" s="25" t="e">
        <f ca="1"/>
        <v>#REF!</v>
      </c>
      <c r="S403" s="25" t="e">
        <f ca="1"/>
        <v>#REF!</v>
      </c>
      <c r="T403" s="25" t="e">
        <f ca="1"/>
        <v>#REF!</v>
      </c>
      <c r="U403" s="25" t="e">
        <f ca="1"/>
        <v>#REF!</v>
      </c>
      <c r="V403" s="25" t="e">
        <f ca="1"/>
        <v>#REF!</v>
      </c>
      <c r="W403" s="33" t="e">
        <f ca="1"/>
        <v>#REF!</v>
      </c>
      <c r="X403" s="33" t="e">
        <f ca="1"/>
        <v>#REF!</v>
      </c>
      <c r="Y403" s="33" t="e">
        <f ca="1"/>
        <v>#REF!</v>
      </c>
      <c r="Z403" s="33" t="e">
        <f ca="1"/>
        <v>#REF!</v>
      </c>
      <c r="AA403" s="33" t="e">
        <f ca="1"/>
        <v>#REF!</v>
      </c>
    </row>
    <row r="404" spans="1:27" s="70" customFormat="1" ht="11.25" x14ac:dyDescent="0.2">
      <c r="A404" s="24">
        <v>398</v>
      </c>
      <c r="B404" s="24"/>
      <c r="C404" s="25"/>
      <c r="D404" s="26"/>
      <c r="E404" s="25"/>
      <c r="F404" s="25"/>
      <c r="G404" s="24"/>
      <c r="H404" s="25" t="e">
        <f ca="1"/>
        <v>#REF!</v>
      </c>
      <c r="I404" s="27" t="e">
        <f ca="1"/>
        <v>#REF!</v>
      </c>
      <c r="J404" s="28" t="e">
        <f ca="1"/>
        <v>#REF!</v>
      </c>
      <c r="K404" s="27" t="e">
        <f ca="1"/>
        <v>#REF!</v>
      </c>
      <c r="L404" s="25" t="e">
        <f ca="1"/>
        <v>#REF!</v>
      </c>
      <c r="M404" s="25" t="e">
        <f ca="1"/>
        <v>#REF!</v>
      </c>
      <c r="N404" s="25" t="e">
        <f ca="1"/>
        <v>#REF!</v>
      </c>
      <c r="O404" s="25" t="e">
        <f ca="1"/>
        <v>#REF!</v>
      </c>
      <c r="P404" s="25" t="e">
        <f ca="1"/>
        <v>#REF!</v>
      </c>
      <c r="Q404" s="25" t="e">
        <f ca="1"/>
        <v>#REF!</v>
      </c>
      <c r="R404" s="25" t="e">
        <f ca="1"/>
        <v>#REF!</v>
      </c>
      <c r="S404" s="25" t="e">
        <f ca="1"/>
        <v>#REF!</v>
      </c>
      <c r="T404" s="25" t="e">
        <f ca="1"/>
        <v>#REF!</v>
      </c>
      <c r="U404" s="25" t="e">
        <f ca="1"/>
        <v>#REF!</v>
      </c>
      <c r="V404" s="25" t="e">
        <f ca="1"/>
        <v>#REF!</v>
      </c>
      <c r="W404" s="33" t="e">
        <f ca="1"/>
        <v>#REF!</v>
      </c>
      <c r="X404" s="33" t="e">
        <f ca="1"/>
        <v>#REF!</v>
      </c>
      <c r="Y404" s="33" t="e">
        <f ca="1"/>
        <v>#REF!</v>
      </c>
      <c r="Z404" s="33" t="e">
        <f ca="1"/>
        <v>#REF!</v>
      </c>
      <c r="AA404" s="33" t="e">
        <f ca="1"/>
        <v>#REF!</v>
      </c>
    </row>
    <row r="405" spans="1:27" s="70" customFormat="1" ht="11.25" x14ac:dyDescent="0.2">
      <c r="A405" s="24">
        <v>399</v>
      </c>
      <c r="B405" s="24"/>
      <c r="C405" s="25"/>
      <c r="D405" s="26"/>
      <c r="E405" s="25"/>
      <c r="F405" s="25"/>
      <c r="G405" s="24"/>
      <c r="H405" s="25" t="e">
        <f ca="1"/>
        <v>#REF!</v>
      </c>
      <c r="I405" s="27" t="e">
        <f ca="1"/>
        <v>#REF!</v>
      </c>
      <c r="J405" s="28" t="e">
        <f ca="1"/>
        <v>#REF!</v>
      </c>
      <c r="K405" s="27" t="e">
        <f ca="1"/>
        <v>#REF!</v>
      </c>
      <c r="L405" s="25" t="e">
        <f ca="1"/>
        <v>#REF!</v>
      </c>
      <c r="M405" s="25" t="e">
        <f ca="1"/>
        <v>#REF!</v>
      </c>
      <c r="N405" s="25" t="e">
        <f ca="1"/>
        <v>#REF!</v>
      </c>
      <c r="O405" s="25" t="e">
        <f ca="1"/>
        <v>#REF!</v>
      </c>
      <c r="P405" s="25" t="e">
        <f ca="1"/>
        <v>#REF!</v>
      </c>
      <c r="Q405" s="25" t="e">
        <f ca="1"/>
        <v>#REF!</v>
      </c>
      <c r="R405" s="25" t="e">
        <f ca="1"/>
        <v>#REF!</v>
      </c>
      <c r="S405" s="25" t="e">
        <f ca="1"/>
        <v>#REF!</v>
      </c>
      <c r="T405" s="25" t="e">
        <f ca="1"/>
        <v>#REF!</v>
      </c>
      <c r="U405" s="25" t="e">
        <f ca="1"/>
        <v>#REF!</v>
      </c>
      <c r="V405" s="25" t="e">
        <f ca="1"/>
        <v>#REF!</v>
      </c>
      <c r="W405" s="33" t="e">
        <f ca="1"/>
        <v>#REF!</v>
      </c>
      <c r="X405" s="33" t="e">
        <f ca="1"/>
        <v>#REF!</v>
      </c>
      <c r="Y405" s="33" t="e">
        <f ca="1"/>
        <v>#REF!</v>
      </c>
      <c r="Z405" s="33" t="e">
        <f ca="1"/>
        <v>#REF!</v>
      </c>
      <c r="AA405" s="33" t="e">
        <f ca="1"/>
        <v>#REF!</v>
      </c>
    </row>
    <row r="406" spans="1:27" s="70" customFormat="1" ht="11.25" x14ac:dyDescent="0.2">
      <c r="A406" s="24">
        <v>400</v>
      </c>
      <c r="B406" s="24"/>
      <c r="C406" s="25"/>
      <c r="D406" s="26"/>
      <c r="E406" s="25"/>
      <c r="F406" s="25"/>
      <c r="G406" s="24"/>
      <c r="H406" s="25" t="e">
        <f ca="1"/>
        <v>#REF!</v>
      </c>
      <c r="I406" s="27" t="e">
        <f ca="1"/>
        <v>#REF!</v>
      </c>
      <c r="J406" s="28" t="e">
        <f ca="1"/>
        <v>#REF!</v>
      </c>
      <c r="K406" s="27" t="e">
        <f ca="1"/>
        <v>#REF!</v>
      </c>
      <c r="L406" s="25" t="e">
        <f ca="1"/>
        <v>#REF!</v>
      </c>
      <c r="M406" s="25" t="e">
        <f ca="1"/>
        <v>#REF!</v>
      </c>
      <c r="N406" s="25" t="e">
        <f ca="1"/>
        <v>#REF!</v>
      </c>
      <c r="O406" s="25" t="e">
        <f ca="1"/>
        <v>#REF!</v>
      </c>
      <c r="P406" s="25" t="e">
        <f ca="1"/>
        <v>#REF!</v>
      </c>
      <c r="Q406" s="25" t="e">
        <f ca="1"/>
        <v>#REF!</v>
      </c>
      <c r="R406" s="25" t="e">
        <f ca="1"/>
        <v>#REF!</v>
      </c>
      <c r="S406" s="25" t="e">
        <f ca="1"/>
        <v>#REF!</v>
      </c>
      <c r="T406" s="25" t="e">
        <f ca="1"/>
        <v>#REF!</v>
      </c>
      <c r="U406" s="25" t="e">
        <f ca="1"/>
        <v>#REF!</v>
      </c>
      <c r="V406" s="25" t="e">
        <f ca="1"/>
        <v>#REF!</v>
      </c>
      <c r="W406" s="33" t="e">
        <f ca="1"/>
        <v>#REF!</v>
      </c>
      <c r="X406" s="33" t="e">
        <f ca="1"/>
        <v>#REF!</v>
      </c>
      <c r="Y406" s="33" t="e">
        <f ca="1"/>
        <v>#REF!</v>
      </c>
      <c r="Z406" s="33" t="e">
        <f ca="1"/>
        <v>#REF!</v>
      </c>
      <c r="AA406" s="33" t="e">
        <f ca="1"/>
        <v>#REF!</v>
      </c>
    </row>
    <row r="407" spans="1:27" s="70" customFormat="1" ht="11.25" x14ac:dyDescent="0.2">
      <c r="A407" s="24">
        <v>401</v>
      </c>
      <c r="B407" s="24"/>
      <c r="C407" s="25"/>
      <c r="D407" s="26"/>
      <c r="E407" s="25"/>
      <c r="F407" s="25"/>
      <c r="G407" s="24"/>
      <c r="H407" s="25" t="e">
        <f ca="1"/>
        <v>#REF!</v>
      </c>
      <c r="I407" s="27" t="e">
        <f ca="1"/>
        <v>#REF!</v>
      </c>
      <c r="J407" s="28" t="e">
        <f ca="1"/>
        <v>#REF!</v>
      </c>
      <c r="K407" s="27" t="e">
        <f ca="1"/>
        <v>#REF!</v>
      </c>
      <c r="L407" s="25" t="e">
        <f ca="1"/>
        <v>#REF!</v>
      </c>
      <c r="M407" s="25" t="e">
        <f ca="1"/>
        <v>#REF!</v>
      </c>
      <c r="N407" s="25" t="e">
        <f ca="1"/>
        <v>#REF!</v>
      </c>
      <c r="O407" s="25" t="e">
        <f ca="1"/>
        <v>#REF!</v>
      </c>
      <c r="P407" s="25" t="e">
        <f ca="1"/>
        <v>#REF!</v>
      </c>
      <c r="Q407" s="25" t="e">
        <f ca="1"/>
        <v>#REF!</v>
      </c>
      <c r="R407" s="25" t="e">
        <f ca="1"/>
        <v>#REF!</v>
      </c>
      <c r="S407" s="25" t="e">
        <f ca="1"/>
        <v>#REF!</v>
      </c>
      <c r="T407" s="25" t="e">
        <f ca="1"/>
        <v>#REF!</v>
      </c>
      <c r="U407" s="25" t="e">
        <f ca="1"/>
        <v>#REF!</v>
      </c>
      <c r="V407" s="25" t="e">
        <f ca="1"/>
        <v>#REF!</v>
      </c>
      <c r="W407" s="33" t="e">
        <f ca="1"/>
        <v>#REF!</v>
      </c>
      <c r="X407" s="33" t="e">
        <f ca="1"/>
        <v>#REF!</v>
      </c>
      <c r="Y407" s="33" t="e">
        <f ca="1"/>
        <v>#REF!</v>
      </c>
      <c r="Z407" s="33" t="e">
        <f ca="1"/>
        <v>#REF!</v>
      </c>
      <c r="AA407" s="33" t="e">
        <f ca="1"/>
        <v>#REF!</v>
      </c>
    </row>
    <row r="408" spans="1:27" s="70" customFormat="1" ht="11.25" x14ac:dyDescent="0.2">
      <c r="A408" s="24">
        <v>402</v>
      </c>
      <c r="B408" s="24"/>
      <c r="C408" s="25"/>
      <c r="D408" s="26"/>
      <c r="E408" s="25"/>
      <c r="F408" s="25"/>
      <c r="G408" s="24"/>
      <c r="H408" s="25" t="e">
        <f ca="1"/>
        <v>#REF!</v>
      </c>
      <c r="I408" s="27" t="e">
        <f ca="1"/>
        <v>#REF!</v>
      </c>
      <c r="J408" s="28" t="e">
        <f ca="1"/>
        <v>#REF!</v>
      </c>
      <c r="K408" s="27" t="e">
        <f ca="1"/>
        <v>#REF!</v>
      </c>
      <c r="L408" s="25" t="e">
        <f ca="1"/>
        <v>#REF!</v>
      </c>
      <c r="M408" s="25" t="e">
        <f ca="1"/>
        <v>#REF!</v>
      </c>
      <c r="N408" s="25" t="e">
        <f ca="1"/>
        <v>#REF!</v>
      </c>
      <c r="O408" s="25" t="e">
        <f ca="1"/>
        <v>#REF!</v>
      </c>
      <c r="P408" s="25" t="e">
        <f ca="1"/>
        <v>#REF!</v>
      </c>
      <c r="Q408" s="25" t="e">
        <f ca="1"/>
        <v>#REF!</v>
      </c>
      <c r="R408" s="25" t="e">
        <f ca="1"/>
        <v>#REF!</v>
      </c>
      <c r="S408" s="25" t="e">
        <f ca="1"/>
        <v>#REF!</v>
      </c>
      <c r="T408" s="25" t="e">
        <f ca="1"/>
        <v>#REF!</v>
      </c>
      <c r="U408" s="25" t="e">
        <f ca="1"/>
        <v>#REF!</v>
      </c>
      <c r="V408" s="25" t="e">
        <f ca="1"/>
        <v>#REF!</v>
      </c>
      <c r="W408" s="33" t="e">
        <f ca="1"/>
        <v>#REF!</v>
      </c>
      <c r="X408" s="33" t="e">
        <f ca="1"/>
        <v>#REF!</v>
      </c>
      <c r="Y408" s="33" t="e">
        <f ca="1"/>
        <v>#REF!</v>
      </c>
      <c r="Z408" s="33" t="e">
        <f ca="1"/>
        <v>#REF!</v>
      </c>
      <c r="AA408" s="33" t="e">
        <f ca="1"/>
        <v>#REF!</v>
      </c>
    </row>
    <row r="409" spans="1:27" s="70" customFormat="1" ht="11.25" x14ac:dyDescent="0.2">
      <c r="A409" s="24">
        <v>403</v>
      </c>
      <c r="B409" s="24"/>
      <c r="C409" s="25"/>
      <c r="D409" s="26"/>
      <c r="E409" s="25"/>
      <c r="F409" s="25"/>
      <c r="G409" s="24"/>
      <c r="H409" s="25" t="e">
        <f ca="1"/>
        <v>#REF!</v>
      </c>
      <c r="I409" s="27" t="e">
        <f ca="1"/>
        <v>#REF!</v>
      </c>
      <c r="J409" s="28" t="e">
        <f ca="1"/>
        <v>#REF!</v>
      </c>
      <c r="K409" s="27" t="e">
        <f ca="1"/>
        <v>#REF!</v>
      </c>
      <c r="L409" s="25" t="e">
        <f ca="1"/>
        <v>#REF!</v>
      </c>
      <c r="M409" s="25" t="e">
        <f ca="1"/>
        <v>#REF!</v>
      </c>
      <c r="N409" s="25" t="e">
        <f ca="1"/>
        <v>#REF!</v>
      </c>
      <c r="O409" s="25" t="e">
        <f ca="1"/>
        <v>#REF!</v>
      </c>
      <c r="P409" s="25" t="e">
        <f ca="1"/>
        <v>#REF!</v>
      </c>
      <c r="Q409" s="25" t="e">
        <f ca="1"/>
        <v>#REF!</v>
      </c>
      <c r="R409" s="25" t="e">
        <f ca="1"/>
        <v>#REF!</v>
      </c>
      <c r="S409" s="25" t="e">
        <f ca="1"/>
        <v>#REF!</v>
      </c>
      <c r="T409" s="25" t="e">
        <f ca="1"/>
        <v>#REF!</v>
      </c>
      <c r="U409" s="25" t="e">
        <f ca="1"/>
        <v>#REF!</v>
      </c>
      <c r="V409" s="25" t="e">
        <f ca="1"/>
        <v>#REF!</v>
      </c>
      <c r="W409" s="33" t="e">
        <f ca="1"/>
        <v>#REF!</v>
      </c>
      <c r="X409" s="33" t="e">
        <f ca="1"/>
        <v>#REF!</v>
      </c>
      <c r="Y409" s="33" t="e">
        <f ca="1"/>
        <v>#REF!</v>
      </c>
      <c r="Z409" s="33" t="e">
        <f ca="1"/>
        <v>#REF!</v>
      </c>
      <c r="AA409" s="33" t="e">
        <f ca="1"/>
        <v>#REF!</v>
      </c>
    </row>
    <row r="410" spans="1:27" s="70" customFormat="1" ht="11.25" x14ac:dyDescent="0.2">
      <c r="A410" s="24">
        <v>404</v>
      </c>
      <c r="B410" s="24"/>
      <c r="C410" s="25"/>
      <c r="D410" s="26"/>
      <c r="E410" s="25"/>
      <c r="F410" s="25"/>
      <c r="G410" s="24"/>
      <c r="H410" s="25" t="e">
        <f ca="1"/>
        <v>#REF!</v>
      </c>
      <c r="I410" s="27" t="e">
        <f ca="1"/>
        <v>#REF!</v>
      </c>
      <c r="J410" s="28" t="e">
        <f ca="1"/>
        <v>#REF!</v>
      </c>
      <c r="K410" s="27" t="e">
        <f ca="1"/>
        <v>#REF!</v>
      </c>
      <c r="L410" s="25" t="e">
        <f ca="1"/>
        <v>#REF!</v>
      </c>
      <c r="M410" s="25" t="e">
        <f ca="1"/>
        <v>#REF!</v>
      </c>
      <c r="N410" s="25" t="e">
        <f ca="1"/>
        <v>#REF!</v>
      </c>
      <c r="O410" s="25" t="e">
        <f ca="1"/>
        <v>#REF!</v>
      </c>
      <c r="P410" s="25" t="e">
        <f ca="1"/>
        <v>#REF!</v>
      </c>
      <c r="Q410" s="25" t="e">
        <f ca="1"/>
        <v>#REF!</v>
      </c>
      <c r="R410" s="25" t="e">
        <f ca="1"/>
        <v>#REF!</v>
      </c>
      <c r="S410" s="25" t="e">
        <f ca="1"/>
        <v>#REF!</v>
      </c>
      <c r="T410" s="25" t="e">
        <f ca="1"/>
        <v>#REF!</v>
      </c>
      <c r="U410" s="25" t="e">
        <f ca="1"/>
        <v>#REF!</v>
      </c>
      <c r="V410" s="25" t="e">
        <f ca="1"/>
        <v>#REF!</v>
      </c>
      <c r="W410" s="33" t="e">
        <f ca="1"/>
        <v>#REF!</v>
      </c>
      <c r="X410" s="33" t="e">
        <f ca="1"/>
        <v>#REF!</v>
      </c>
      <c r="Y410" s="33" t="e">
        <f ca="1"/>
        <v>#REF!</v>
      </c>
      <c r="Z410" s="33" t="e">
        <f ca="1"/>
        <v>#REF!</v>
      </c>
      <c r="AA410" s="33" t="e">
        <f ca="1"/>
        <v>#REF!</v>
      </c>
    </row>
    <row r="411" spans="1:27" s="70" customFormat="1" ht="11.25" x14ac:dyDescent="0.2">
      <c r="A411" s="24">
        <v>405</v>
      </c>
      <c r="B411" s="24"/>
      <c r="C411" s="25"/>
      <c r="D411" s="26"/>
      <c r="E411" s="25"/>
      <c r="F411" s="25"/>
      <c r="G411" s="24"/>
      <c r="H411" s="25" t="e">
        <f ca="1"/>
        <v>#REF!</v>
      </c>
      <c r="I411" s="27" t="e">
        <f ca="1"/>
        <v>#REF!</v>
      </c>
      <c r="J411" s="28" t="e">
        <f ca="1"/>
        <v>#REF!</v>
      </c>
      <c r="K411" s="27" t="e">
        <f ca="1"/>
        <v>#REF!</v>
      </c>
      <c r="L411" s="25" t="e">
        <f ca="1"/>
        <v>#REF!</v>
      </c>
      <c r="M411" s="25" t="e">
        <f ca="1"/>
        <v>#REF!</v>
      </c>
      <c r="N411" s="25" t="e">
        <f ca="1"/>
        <v>#REF!</v>
      </c>
      <c r="O411" s="25" t="e">
        <f ca="1"/>
        <v>#REF!</v>
      </c>
      <c r="P411" s="25" t="e">
        <f ca="1"/>
        <v>#REF!</v>
      </c>
      <c r="Q411" s="25" t="e">
        <f ca="1"/>
        <v>#REF!</v>
      </c>
      <c r="R411" s="25" t="e">
        <f ca="1"/>
        <v>#REF!</v>
      </c>
      <c r="S411" s="25" t="e">
        <f ca="1"/>
        <v>#REF!</v>
      </c>
      <c r="T411" s="25" t="e">
        <f ca="1"/>
        <v>#REF!</v>
      </c>
      <c r="U411" s="25" t="e">
        <f ca="1"/>
        <v>#REF!</v>
      </c>
      <c r="V411" s="25" t="e">
        <f ca="1"/>
        <v>#REF!</v>
      </c>
      <c r="W411" s="33" t="e">
        <f ca="1"/>
        <v>#REF!</v>
      </c>
      <c r="X411" s="33" t="e">
        <f ca="1"/>
        <v>#REF!</v>
      </c>
      <c r="Y411" s="33" t="e">
        <f ca="1"/>
        <v>#REF!</v>
      </c>
      <c r="Z411" s="33" t="e">
        <f ca="1"/>
        <v>#REF!</v>
      </c>
      <c r="AA411" s="33" t="e">
        <f ca="1"/>
        <v>#REF!</v>
      </c>
    </row>
    <row r="412" spans="1:27" s="70" customFormat="1" ht="11.25" x14ac:dyDescent="0.2">
      <c r="A412" s="24">
        <v>406</v>
      </c>
      <c r="B412" s="24"/>
      <c r="C412" s="25"/>
      <c r="D412" s="26"/>
      <c r="E412" s="25"/>
      <c r="F412" s="25"/>
      <c r="G412" s="24"/>
      <c r="H412" s="25" t="e">
        <f ca="1"/>
        <v>#REF!</v>
      </c>
      <c r="I412" s="27" t="e">
        <f ca="1"/>
        <v>#REF!</v>
      </c>
      <c r="J412" s="28" t="e">
        <f ca="1"/>
        <v>#REF!</v>
      </c>
      <c r="K412" s="27" t="e">
        <f ca="1"/>
        <v>#REF!</v>
      </c>
      <c r="L412" s="25" t="e">
        <f ca="1"/>
        <v>#REF!</v>
      </c>
      <c r="M412" s="25" t="e">
        <f ca="1"/>
        <v>#REF!</v>
      </c>
      <c r="N412" s="25" t="e">
        <f ca="1"/>
        <v>#REF!</v>
      </c>
      <c r="O412" s="25" t="e">
        <f ca="1"/>
        <v>#REF!</v>
      </c>
      <c r="P412" s="25" t="e">
        <f ca="1"/>
        <v>#REF!</v>
      </c>
      <c r="Q412" s="25" t="e">
        <f ca="1"/>
        <v>#REF!</v>
      </c>
      <c r="R412" s="25" t="e">
        <f ca="1"/>
        <v>#REF!</v>
      </c>
      <c r="S412" s="25" t="e">
        <f ca="1"/>
        <v>#REF!</v>
      </c>
      <c r="T412" s="25" t="e">
        <f ca="1"/>
        <v>#REF!</v>
      </c>
      <c r="U412" s="25" t="e">
        <f ca="1"/>
        <v>#REF!</v>
      </c>
      <c r="V412" s="25" t="e">
        <f ca="1"/>
        <v>#REF!</v>
      </c>
      <c r="W412" s="33" t="e">
        <f ca="1"/>
        <v>#REF!</v>
      </c>
      <c r="X412" s="33" t="e">
        <f ca="1"/>
        <v>#REF!</v>
      </c>
      <c r="Y412" s="33" t="e">
        <f ca="1"/>
        <v>#REF!</v>
      </c>
      <c r="Z412" s="33" t="e">
        <f ca="1"/>
        <v>#REF!</v>
      </c>
      <c r="AA412" s="33" t="e">
        <f ca="1"/>
        <v>#REF!</v>
      </c>
    </row>
    <row r="413" spans="1:27" s="70" customFormat="1" ht="11.25" x14ac:dyDescent="0.2">
      <c r="A413" s="24">
        <v>407</v>
      </c>
      <c r="B413" s="24"/>
      <c r="C413" s="25"/>
      <c r="D413" s="26"/>
      <c r="E413" s="25"/>
      <c r="F413" s="25"/>
      <c r="G413" s="24"/>
      <c r="H413" s="25" t="e">
        <f ca="1"/>
        <v>#REF!</v>
      </c>
      <c r="I413" s="27" t="e">
        <f ca="1"/>
        <v>#REF!</v>
      </c>
      <c r="J413" s="28" t="e">
        <f ca="1"/>
        <v>#REF!</v>
      </c>
      <c r="K413" s="27" t="e">
        <f ca="1"/>
        <v>#REF!</v>
      </c>
      <c r="L413" s="25" t="e">
        <f ca="1"/>
        <v>#REF!</v>
      </c>
      <c r="M413" s="25" t="e">
        <f ca="1"/>
        <v>#REF!</v>
      </c>
      <c r="N413" s="25" t="e">
        <f ca="1"/>
        <v>#REF!</v>
      </c>
      <c r="O413" s="25" t="e">
        <f ca="1"/>
        <v>#REF!</v>
      </c>
      <c r="P413" s="25" t="e">
        <f ca="1"/>
        <v>#REF!</v>
      </c>
      <c r="Q413" s="25" t="e">
        <f ca="1"/>
        <v>#REF!</v>
      </c>
      <c r="R413" s="25" t="e">
        <f ca="1"/>
        <v>#REF!</v>
      </c>
      <c r="S413" s="25" t="e">
        <f ca="1"/>
        <v>#REF!</v>
      </c>
      <c r="T413" s="25" t="e">
        <f ca="1"/>
        <v>#REF!</v>
      </c>
      <c r="U413" s="25" t="e">
        <f ca="1"/>
        <v>#REF!</v>
      </c>
      <c r="V413" s="25" t="e">
        <f ca="1"/>
        <v>#REF!</v>
      </c>
      <c r="W413" s="33" t="e">
        <f ca="1"/>
        <v>#REF!</v>
      </c>
      <c r="X413" s="33" t="e">
        <f ca="1"/>
        <v>#REF!</v>
      </c>
      <c r="Y413" s="33" t="e">
        <f ca="1"/>
        <v>#REF!</v>
      </c>
      <c r="Z413" s="33" t="e">
        <f ca="1"/>
        <v>#REF!</v>
      </c>
      <c r="AA413" s="33" t="e">
        <f ca="1"/>
        <v>#REF!</v>
      </c>
    </row>
    <row r="414" spans="1:27" s="70" customFormat="1" ht="11.25" x14ac:dyDescent="0.2">
      <c r="A414" s="24">
        <v>408</v>
      </c>
      <c r="B414" s="24"/>
      <c r="C414" s="25"/>
      <c r="D414" s="26"/>
      <c r="E414" s="25"/>
      <c r="F414" s="25"/>
      <c r="G414" s="24"/>
      <c r="H414" s="25" t="e">
        <f ca="1"/>
        <v>#REF!</v>
      </c>
      <c r="I414" s="27" t="e">
        <f ca="1"/>
        <v>#REF!</v>
      </c>
      <c r="J414" s="28" t="e">
        <f ca="1"/>
        <v>#REF!</v>
      </c>
      <c r="K414" s="27" t="e">
        <f ca="1"/>
        <v>#REF!</v>
      </c>
      <c r="L414" s="25" t="e">
        <f ca="1"/>
        <v>#REF!</v>
      </c>
      <c r="M414" s="25" t="e">
        <f ca="1"/>
        <v>#REF!</v>
      </c>
      <c r="N414" s="25" t="e">
        <f ca="1"/>
        <v>#REF!</v>
      </c>
      <c r="O414" s="25" t="e">
        <f ca="1"/>
        <v>#REF!</v>
      </c>
      <c r="P414" s="25" t="e">
        <f ca="1"/>
        <v>#REF!</v>
      </c>
      <c r="Q414" s="25" t="e">
        <f ca="1"/>
        <v>#REF!</v>
      </c>
      <c r="R414" s="25" t="e">
        <f ca="1"/>
        <v>#REF!</v>
      </c>
      <c r="S414" s="25" t="e">
        <f ca="1"/>
        <v>#REF!</v>
      </c>
      <c r="T414" s="25" t="e">
        <f ca="1"/>
        <v>#REF!</v>
      </c>
      <c r="U414" s="25" t="e">
        <f ca="1"/>
        <v>#REF!</v>
      </c>
      <c r="V414" s="25" t="e">
        <f ca="1"/>
        <v>#REF!</v>
      </c>
      <c r="W414" s="33" t="e">
        <f ca="1"/>
        <v>#REF!</v>
      </c>
      <c r="X414" s="33" t="e">
        <f ca="1"/>
        <v>#REF!</v>
      </c>
      <c r="Y414" s="33" t="e">
        <f ca="1"/>
        <v>#REF!</v>
      </c>
      <c r="Z414" s="33" t="e">
        <f ca="1"/>
        <v>#REF!</v>
      </c>
      <c r="AA414" s="33" t="e">
        <f ca="1"/>
        <v>#REF!</v>
      </c>
    </row>
    <row r="415" spans="1:27" s="70" customFormat="1" ht="11.25" x14ac:dyDescent="0.2">
      <c r="A415" s="24">
        <v>409</v>
      </c>
      <c r="B415" s="24"/>
      <c r="C415" s="25"/>
      <c r="D415" s="26"/>
      <c r="E415" s="25"/>
      <c r="F415" s="25"/>
      <c r="G415" s="24"/>
      <c r="H415" s="25" t="e">
        <f ca="1"/>
        <v>#REF!</v>
      </c>
      <c r="I415" s="27" t="e">
        <f ca="1"/>
        <v>#REF!</v>
      </c>
      <c r="J415" s="28" t="e">
        <f ca="1"/>
        <v>#REF!</v>
      </c>
      <c r="K415" s="27" t="e">
        <f ca="1"/>
        <v>#REF!</v>
      </c>
      <c r="L415" s="25" t="e">
        <f ca="1"/>
        <v>#REF!</v>
      </c>
      <c r="M415" s="25" t="e">
        <f ca="1"/>
        <v>#REF!</v>
      </c>
      <c r="N415" s="25" t="e">
        <f ca="1"/>
        <v>#REF!</v>
      </c>
      <c r="O415" s="25" t="e">
        <f ca="1"/>
        <v>#REF!</v>
      </c>
      <c r="P415" s="25" t="e">
        <f ca="1"/>
        <v>#REF!</v>
      </c>
      <c r="Q415" s="25" t="e">
        <f ca="1"/>
        <v>#REF!</v>
      </c>
      <c r="R415" s="25" t="e">
        <f ca="1"/>
        <v>#REF!</v>
      </c>
      <c r="S415" s="25" t="e">
        <f ca="1"/>
        <v>#REF!</v>
      </c>
      <c r="T415" s="25" t="e">
        <f ca="1"/>
        <v>#REF!</v>
      </c>
      <c r="U415" s="25" t="e">
        <f ca="1"/>
        <v>#REF!</v>
      </c>
      <c r="V415" s="25" t="e">
        <f ca="1"/>
        <v>#REF!</v>
      </c>
      <c r="W415" s="33" t="e">
        <f ca="1"/>
        <v>#REF!</v>
      </c>
      <c r="X415" s="33" t="e">
        <f ca="1"/>
        <v>#REF!</v>
      </c>
      <c r="Y415" s="33" t="e">
        <f ca="1"/>
        <v>#REF!</v>
      </c>
      <c r="Z415" s="33" t="e">
        <f ca="1"/>
        <v>#REF!</v>
      </c>
      <c r="AA415" s="33" t="e">
        <f ca="1"/>
        <v>#REF!</v>
      </c>
    </row>
    <row r="416" spans="1:27" s="70" customFormat="1" ht="11.25" x14ac:dyDescent="0.2">
      <c r="A416" s="24">
        <v>410</v>
      </c>
      <c r="B416" s="24"/>
      <c r="C416" s="25"/>
      <c r="D416" s="26"/>
      <c r="E416" s="25"/>
      <c r="F416" s="25"/>
      <c r="G416" s="24"/>
      <c r="H416" s="25" t="e">
        <f ca="1"/>
        <v>#REF!</v>
      </c>
      <c r="I416" s="27" t="e">
        <f ca="1"/>
        <v>#REF!</v>
      </c>
      <c r="J416" s="28" t="e">
        <f ca="1"/>
        <v>#REF!</v>
      </c>
      <c r="K416" s="27" t="e">
        <f ca="1"/>
        <v>#REF!</v>
      </c>
      <c r="L416" s="25" t="e">
        <f ca="1"/>
        <v>#REF!</v>
      </c>
      <c r="M416" s="25" t="e">
        <f ca="1"/>
        <v>#REF!</v>
      </c>
      <c r="N416" s="25" t="e">
        <f ca="1"/>
        <v>#REF!</v>
      </c>
      <c r="O416" s="25" t="e">
        <f ca="1"/>
        <v>#REF!</v>
      </c>
      <c r="P416" s="25" t="e">
        <f ca="1"/>
        <v>#REF!</v>
      </c>
      <c r="Q416" s="25" t="e">
        <f ca="1"/>
        <v>#REF!</v>
      </c>
      <c r="R416" s="25" t="e">
        <f ca="1"/>
        <v>#REF!</v>
      </c>
      <c r="S416" s="25" t="e">
        <f ca="1"/>
        <v>#REF!</v>
      </c>
      <c r="T416" s="25" t="e">
        <f ca="1"/>
        <v>#REF!</v>
      </c>
      <c r="U416" s="25" t="e">
        <f ca="1"/>
        <v>#REF!</v>
      </c>
      <c r="V416" s="25" t="e">
        <f ca="1"/>
        <v>#REF!</v>
      </c>
      <c r="W416" s="33" t="e">
        <f ca="1"/>
        <v>#REF!</v>
      </c>
      <c r="X416" s="33" t="e">
        <f ca="1"/>
        <v>#REF!</v>
      </c>
      <c r="Y416" s="33" t="e">
        <f ca="1"/>
        <v>#REF!</v>
      </c>
      <c r="Z416" s="33" t="e">
        <f ca="1"/>
        <v>#REF!</v>
      </c>
      <c r="AA416" s="33" t="e">
        <f ca="1"/>
        <v>#REF!</v>
      </c>
    </row>
    <row r="417" spans="1:27" s="70" customFormat="1" ht="11.25" x14ac:dyDescent="0.2">
      <c r="A417" s="24">
        <v>411</v>
      </c>
      <c r="B417" s="24"/>
      <c r="C417" s="25"/>
      <c r="D417" s="26"/>
      <c r="E417" s="25"/>
      <c r="F417" s="25"/>
      <c r="G417" s="24"/>
      <c r="H417" s="25" t="e">
        <f ca="1"/>
        <v>#REF!</v>
      </c>
      <c r="I417" s="27" t="e">
        <f ca="1"/>
        <v>#REF!</v>
      </c>
      <c r="J417" s="28" t="e">
        <f ca="1"/>
        <v>#REF!</v>
      </c>
      <c r="K417" s="27" t="e">
        <f ca="1"/>
        <v>#REF!</v>
      </c>
      <c r="L417" s="25" t="e">
        <f ca="1"/>
        <v>#REF!</v>
      </c>
      <c r="M417" s="25" t="e">
        <f ca="1"/>
        <v>#REF!</v>
      </c>
      <c r="N417" s="25" t="e">
        <f ca="1"/>
        <v>#REF!</v>
      </c>
      <c r="O417" s="25" t="e">
        <f ca="1"/>
        <v>#REF!</v>
      </c>
      <c r="P417" s="25" t="e">
        <f ca="1"/>
        <v>#REF!</v>
      </c>
      <c r="Q417" s="25" t="e">
        <f ca="1"/>
        <v>#REF!</v>
      </c>
      <c r="R417" s="25" t="e">
        <f ca="1"/>
        <v>#REF!</v>
      </c>
      <c r="S417" s="25" t="e">
        <f ca="1"/>
        <v>#REF!</v>
      </c>
      <c r="T417" s="25" t="e">
        <f ca="1"/>
        <v>#REF!</v>
      </c>
      <c r="U417" s="25" t="e">
        <f ca="1"/>
        <v>#REF!</v>
      </c>
      <c r="V417" s="25" t="e">
        <f ca="1"/>
        <v>#REF!</v>
      </c>
      <c r="W417" s="33" t="e">
        <f ca="1"/>
        <v>#REF!</v>
      </c>
      <c r="X417" s="33" t="e">
        <f ca="1"/>
        <v>#REF!</v>
      </c>
      <c r="Y417" s="33" t="e">
        <f ca="1"/>
        <v>#REF!</v>
      </c>
      <c r="Z417" s="33" t="e">
        <f ca="1"/>
        <v>#REF!</v>
      </c>
      <c r="AA417" s="33" t="e">
        <f ca="1"/>
        <v>#REF!</v>
      </c>
    </row>
    <row r="418" spans="1:27" s="70" customFormat="1" ht="11.25" x14ac:dyDescent="0.2">
      <c r="A418" s="24">
        <v>412</v>
      </c>
      <c r="B418" s="24"/>
      <c r="C418" s="25"/>
      <c r="D418" s="26"/>
      <c r="E418" s="25"/>
      <c r="F418" s="25"/>
      <c r="G418" s="24"/>
      <c r="H418" s="25" t="e">
        <f ca="1"/>
        <v>#REF!</v>
      </c>
      <c r="I418" s="27" t="e">
        <f ca="1"/>
        <v>#REF!</v>
      </c>
      <c r="J418" s="28" t="e">
        <f ca="1"/>
        <v>#REF!</v>
      </c>
      <c r="K418" s="27" t="e">
        <f ca="1"/>
        <v>#REF!</v>
      </c>
      <c r="L418" s="25" t="e">
        <f ca="1"/>
        <v>#REF!</v>
      </c>
      <c r="M418" s="25" t="e">
        <f ca="1"/>
        <v>#REF!</v>
      </c>
      <c r="N418" s="25" t="e">
        <f ca="1"/>
        <v>#REF!</v>
      </c>
      <c r="O418" s="25" t="e">
        <f ca="1"/>
        <v>#REF!</v>
      </c>
      <c r="P418" s="25" t="e">
        <f ca="1"/>
        <v>#REF!</v>
      </c>
      <c r="Q418" s="25" t="e">
        <f ca="1"/>
        <v>#REF!</v>
      </c>
      <c r="R418" s="25" t="e">
        <f ca="1"/>
        <v>#REF!</v>
      </c>
      <c r="S418" s="25" t="e">
        <f ca="1"/>
        <v>#REF!</v>
      </c>
      <c r="T418" s="25" t="e">
        <f ca="1"/>
        <v>#REF!</v>
      </c>
      <c r="U418" s="25" t="e">
        <f ca="1"/>
        <v>#REF!</v>
      </c>
      <c r="V418" s="25" t="e">
        <f ca="1"/>
        <v>#REF!</v>
      </c>
      <c r="W418" s="33" t="e">
        <f ca="1"/>
        <v>#REF!</v>
      </c>
      <c r="X418" s="33" t="e">
        <f ca="1"/>
        <v>#REF!</v>
      </c>
      <c r="Y418" s="33" t="e">
        <f ca="1"/>
        <v>#REF!</v>
      </c>
      <c r="Z418" s="33" t="e">
        <f ca="1"/>
        <v>#REF!</v>
      </c>
      <c r="AA418" s="33" t="e">
        <f ca="1"/>
        <v>#REF!</v>
      </c>
    </row>
    <row r="419" spans="1:27" s="70" customFormat="1" ht="11.25" x14ac:dyDescent="0.2">
      <c r="A419" s="24">
        <v>413</v>
      </c>
      <c r="B419" s="24"/>
      <c r="C419" s="25"/>
      <c r="D419" s="26"/>
      <c r="E419" s="25"/>
      <c r="F419" s="25"/>
      <c r="G419" s="24"/>
      <c r="H419" s="25" t="e">
        <f ca="1"/>
        <v>#REF!</v>
      </c>
      <c r="I419" s="27" t="e">
        <f ca="1"/>
        <v>#REF!</v>
      </c>
      <c r="J419" s="28" t="e">
        <f ca="1"/>
        <v>#REF!</v>
      </c>
      <c r="K419" s="27" t="e">
        <f ca="1"/>
        <v>#REF!</v>
      </c>
      <c r="L419" s="25" t="e">
        <f ca="1"/>
        <v>#REF!</v>
      </c>
      <c r="M419" s="25" t="e">
        <f ca="1"/>
        <v>#REF!</v>
      </c>
      <c r="N419" s="25" t="e">
        <f ca="1"/>
        <v>#REF!</v>
      </c>
      <c r="O419" s="25" t="e">
        <f ca="1"/>
        <v>#REF!</v>
      </c>
      <c r="P419" s="25" t="e">
        <f ca="1"/>
        <v>#REF!</v>
      </c>
      <c r="Q419" s="25" t="e">
        <f ca="1"/>
        <v>#REF!</v>
      </c>
      <c r="R419" s="25" t="e">
        <f ca="1"/>
        <v>#REF!</v>
      </c>
      <c r="S419" s="25" t="e">
        <f ca="1"/>
        <v>#REF!</v>
      </c>
      <c r="T419" s="25" t="e">
        <f ca="1"/>
        <v>#REF!</v>
      </c>
      <c r="U419" s="25" t="e">
        <f ca="1"/>
        <v>#REF!</v>
      </c>
      <c r="V419" s="25" t="e">
        <f ca="1"/>
        <v>#REF!</v>
      </c>
      <c r="W419" s="33" t="e">
        <f ca="1"/>
        <v>#REF!</v>
      </c>
      <c r="X419" s="33" t="e">
        <f ca="1"/>
        <v>#REF!</v>
      </c>
      <c r="Y419" s="33" t="e">
        <f ca="1"/>
        <v>#REF!</v>
      </c>
      <c r="Z419" s="33" t="e">
        <f ca="1"/>
        <v>#REF!</v>
      </c>
      <c r="AA419" s="33" t="e">
        <f ca="1"/>
        <v>#REF!</v>
      </c>
    </row>
    <row r="420" spans="1:27" s="70" customFormat="1" ht="11.25" x14ac:dyDescent="0.2">
      <c r="A420" s="24">
        <v>414</v>
      </c>
      <c r="B420" s="24"/>
      <c r="C420" s="25"/>
      <c r="D420" s="26"/>
      <c r="E420" s="25"/>
      <c r="F420" s="25"/>
      <c r="G420" s="24"/>
      <c r="H420" s="25" t="e">
        <f ca="1"/>
        <v>#REF!</v>
      </c>
      <c r="I420" s="27" t="e">
        <f ca="1"/>
        <v>#REF!</v>
      </c>
      <c r="J420" s="28" t="e">
        <f ca="1"/>
        <v>#REF!</v>
      </c>
      <c r="K420" s="27" t="e">
        <f ca="1"/>
        <v>#REF!</v>
      </c>
      <c r="L420" s="25" t="e">
        <f ca="1"/>
        <v>#REF!</v>
      </c>
      <c r="M420" s="25" t="e">
        <f ca="1"/>
        <v>#REF!</v>
      </c>
      <c r="N420" s="25" t="e">
        <f ca="1"/>
        <v>#REF!</v>
      </c>
      <c r="O420" s="25" t="e">
        <f ca="1"/>
        <v>#REF!</v>
      </c>
      <c r="P420" s="25" t="e">
        <f ca="1"/>
        <v>#REF!</v>
      </c>
      <c r="Q420" s="25" t="e">
        <f ca="1"/>
        <v>#REF!</v>
      </c>
      <c r="R420" s="25" t="e">
        <f ca="1"/>
        <v>#REF!</v>
      </c>
      <c r="S420" s="25" t="e">
        <f ca="1"/>
        <v>#REF!</v>
      </c>
      <c r="T420" s="25" t="e">
        <f ca="1"/>
        <v>#REF!</v>
      </c>
      <c r="U420" s="25" t="e">
        <f ca="1"/>
        <v>#REF!</v>
      </c>
      <c r="V420" s="25" t="e">
        <f ca="1"/>
        <v>#REF!</v>
      </c>
      <c r="W420" s="33" t="e">
        <f ca="1"/>
        <v>#REF!</v>
      </c>
      <c r="X420" s="33" t="e">
        <f ca="1"/>
        <v>#REF!</v>
      </c>
      <c r="Y420" s="33" t="e">
        <f ca="1"/>
        <v>#REF!</v>
      </c>
      <c r="Z420" s="33" t="e">
        <f ca="1"/>
        <v>#REF!</v>
      </c>
      <c r="AA420" s="33" t="e">
        <f ca="1"/>
        <v>#REF!</v>
      </c>
    </row>
    <row r="421" spans="1:27" s="70" customFormat="1" ht="11.25" x14ac:dyDescent="0.2">
      <c r="A421" s="24">
        <v>415</v>
      </c>
      <c r="B421" s="24"/>
      <c r="C421" s="25"/>
      <c r="D421" s="26"/>
      <c r="E421" s="25"/>
      <c r="F421" s="25"/>
      <c r="G421" s="24"/>
      <c r="H421" s="25" t="e">
        <f ca="1"/>
        <v>#REF!</v>
      </c>
      <c r="I421" s="27" t="e">
        <f ca="1"/>
        <v>#REF!</v>
      </c>
      <c r="J421" s="28" t="e">
        <f ca="1"/>
        <v>#REF!</v>
      </c>
      <c r="K421" s="27" t="e">
        <f ca="1"/>
        <v>#REF!</v>
      </c>
      <c r="L421" s="25" t="e">
        <f ca="1"/>
        <v>#REF!</v>
      </c>
      <c r="M421" s="25" t="e">
        <f ca="1"/>
        <v>#REF!</v>
      </c>
      <c r="N421" s="25" t="e">
        <f ca="1"/>
        <v>#REF!</v>
      </c>
      <c r="O421" s="25" t="e">
        <f ca="1"/>
        <v>#REF!</v>
      </c>
      <c r="P421" s="25" t="e">
        <f ca="1"/>
        <v>#REF!</v>
      </c>
      <c r="Q421" s="25" t="e">
        <f ca="1"/>
        <v>#REF!</v>
      </c>
      <c r="R421" s="25" t="e">
        <f ca="1"/>
        <v>#REF!</v>
      </c>
      <c r="S421" s="25" t="e">
        <f ca="1"/>
        <v>#REF!</v>
      </c>
      <c r="T421" s="25" t="e">
        <f ca="1"/>
        <v>#REF!</v>
      </c>
      <c r="U421" s="25" t="e">
        <f ca="1"/>
        <v>#REF!</v>
      </c>
      <c r="V421" s="25" t="e">
        <f ca="1"/>
        <v>#REF!</v>
      </c>
      <c r="W421" s="33" t="e">
        <f ca="1"/>
        <v>#REF!</v>
      </c>
      <c r="X421" s="33" t="e">
        <f ca="1"/>
        <v>#REF!</v>
      </c>
      <c r="Y421" s="33" t="e">
        <f ca="1"/>
        <v>#REF!</v>
      </c>
      <c r="Z421" s="33" t="e">
        <f ca="1"/>
        <v>#REF!</v>
      </c>
      <c r="AA421" s="33" t="e">
        <f ca="1"/>
        <v>#REF!</v>
      </c>
    </row>
    <row r="422" spans="1:27" s="70" customFormat="1" ht="11.25" x14ac:dyDescent="0.2">
      <c r="A422" s="24">
        <v>416</v>
      </c>
      <c r="B422" s="24"/>
      <c r="C422" s="25"/>
      <c r="D422" s="26"/>
      <c r="E422" s="25"/>
      <c r="F422" s="25"/>
      <c r="G422" s="24"/>
      <c r="H422" s="25" t="e">
        <f ca="1"/>
        <v>#REF!</v>
      </c>
      <c r="I422" s="27" t="e">
        <f ca="1"/>
        <v>#REF!</v>
      </c>
      <c r="J422" s="28" t="e">
        <f ca="1"/>
        <v>#REF!</v>
      </c>
      <c r="K422" s="27" t="e">
        <f ca="1"/>
        <v>#REF!</v>
      </c>
      <c r="L422" s="25" t="e">
        <f ca="1"/>
        <v>#REF!</v>
      </c>
      <c r="M422" s="25" t="e">
        <f ca="1"/>
        <v>#REF!</v>
      </c>
      <c r="N422" s="25" t="e">
        <f ca="1"/>
        <v>#REF!</v>
      </c>
      <c r="O422" s="25" t="e">
        <f ca="1"/>
        <v>#REF!</v>
      </c>
      <c r="P422" s="25" t="e">
        <f ca="1"/>
        <v>#REF!</v>
      </c>
      <c r="Q422" s="25" t="e">
        <f ca="1"/>
        <v>#REF!</v>
      </c>
      <c r="R422" s="25" t="e">
        <f ca="1"/>
        <v>#REF!</v>
      </c>
      <c r="S422" s="25" t="e">
        <f ca="1"/>
        <v>#REF!</v>
      </c>
      <c r="T422" s="25" t="e">
        <f ca="1"/>
        <v>#REF!</v>
      </c>
      <c r="U422" s="25" t="e">
        <f ca="1"/>
        <v>#REF!</v>
      </c>
      <c r="V422" s="25" t="e">
        <f ca="1"/>
        <v>#REF!</v>
      </c>
      <c r="W422" s="33" t="e">
        <f ca="1"/>
        <v>#REF!</v>
      </c>
      <c r="X422" s="33" t="e">
        <f ca="1"/>
        <v>#REF!</v>
      </c>
      <c r="Y422" s="33" t="e">
        <f ca="1"/>
        <v>#REF!</v>
      </c>
      <c r="Z422" s="33" t="e">
        <f ca="1"/>
        <v>#REF!</v>
      </c>
      <c r="AA422" s="33" t="e">
        <f ca="1"/>
        <v>#REF!</v>
      </c>
    </row>
    <row r="423" spans="1:27" s="70" customFormat="1" ht="11.25" x14ac:dyDescent="0.2">
      <c r="A423" s="24">
        <v>417</v>
      </c>
      <c r="B423" s="24"/>
      <c r="C423" s="25"/>
      <c r="D423" s="26"/>
      <c r="E423" s="25"/>
      <c r="F423" s="25"/>
      <c r="G423" s="24"/>
      <c r="H423" s="25" t="e">
        <f ca="1"/>
        <v>#REF!</v>
      </c>
      <c r="I423" s="27" t="e">
        <f ca="1"/>
        <v>#REF!</v>
      </c>
      <c r="J423" s="28" t="e">
        <f ca="1"/>
        <v>#REF!</v>
      </c>
      <c r="K423" s="27" t="e">
        <f ca="1"/>
        <v>#REF!</v>
      </c>
      <c r="L423" s="25" t="e">
        <f ca="1"/>
        <v>#REF!</v>
      </c>
      <c r="M423" s="25" t="e">
        <f ca="1"/>
        <v>#REF!</v>
      </c>
      <c r="N423" s="25" t="e">
        <f ca="1"/>
        <v>#REF!</v>
      </c>
      <c r="O423" s="25" t="e">
        <f ca="1"/>
        <v>#REF!</v>
      </c>
      <c r="P423" s="25" t="e">
        <f ca="1"/>
        <v>#REF!</v>
      </c>
      <c r="Q423" s="25" t="e">
        <f ca="1"/>
        <v>#REF!</v>
      </c>
      <c r="R423" s="25" t="e">
        <f ca="1"/>
        <v>#REF!</v>
      </c>
      <c r="S423" s="25" t="e">
        <f ca="1"/>
        <v>#REF!</v>
      </c>
      <c r="T423" s="25" t="e">
        <f ca="1"/>
        <v>#REF!</v>
      </c>
      <c r="U423" s="25" t="e">
        <f ca="1"/>
        <v>#REF!</v>
      </c>
      <c r="V423" s="25" t="e">
        <f ca="1"/>
        <v>#REF!</v>
      </c>
      <c r="W423" s="33" t="e">
        <f ca="1"/>
        <v>#REF!</v>
      </c>
      <c r="X423" s="33" t="e">
        <f ca="1"/>
        <v>#REF!</v>
      </c>
      <c r="Y423" s="33" t="e">
        <f ca="1"/>
        <v>#REF!</v>
      </c>
      <c r="Z423" s="33" t="e">
        <f ca="1"/>
        <v>#REF!</v>
      </c>
      <c r="AA423" s="33" t="e">
        <f ca="1"/>
        <v>#REF!</v>
      </c>
    </row>
    <row r="424" spans="1:27" s="70" customFormat="1" ht="11.25" x14ac:dyDescent="0.2">
      <c r="A424" s="24">
        <v>418</v>
      </c>
      <c r="B424" s="24"/>
      <c r="C424" s="25"/>
      <c r="D424" s="26"/>
      <c r="E424" s="25"/>
      <c r="F424" s="25"/>
      <c r="G424" s="24"/>
      <c r="H424" s="25" t="e">
        <f ca="1"/>
        <v>#REF!</v>
      </c>
      <c r="I424" s="27" t="e">
        <f ca="1"/>
        <v>#REF!</v>
      </c>
      <c r="J424" s="28" t="e">
        <f ca="1"/>
        <v>#REF!</v>
      </c>
      <c r="K424" s="27" t="e">
        <f ca="1"/>
        <v>#REF!</v>
      </c>
      <c r="L424" s="25" t="e">
        <f ca="1"/>
        <v>#REF!</v>
      </c>
      <c r="M424" s="25" t="e">
        <f ca="1"/>
        <v>#REF!</v>
      </c>
      <c r="N424" s="25" t="e">
        <f ca="1"/>
        <v>#REF!</v>
      </c>
      <c r="O424" s="25" t="e">
        <f ca="1"/>
        <v>#REF!</v>
      </c>
      <c r="P424" s="25" t="e">
        <f ca="1"/>
        <v>#REF!</v>
      </c>
      <c r="Q424" s="25" t="e">
        <f ca="1"/>
        <v>#REF!</v>
      </c>
      <c r="R424" s="25" t="e">
        <f ca="1"/>
        <v>#REF!</v>
      </c>
      <c r="S424" s="25" t="e">
        <f ca="1"/>
        <v>#REF!</v>
      </c>
      <c r="T424" s="25" t="e">
        <f ca="1"/>
        <v>#REF!</v>
      </c>
      <c r="U424" s="25" t="e">
        <f ca="1"/>
        <v>#REF!</v>
      </c>
      <c r="V424" s="25" t="e">
        <f ca="1"/>
        <v>#REF!</v>
      </c>
      <c r="W424" s="33" t="e">
        <f ca="1"/>
        <v>#REF!</v>
      </c>
      <c r="X424" s="33" t="e">
        <f ca="1"/>
        <v>#REF!</v>
      </c>
      <c r="Y424" s="33" t="e">
        <f ca="1"/>
        <v>#REF!</v>
      </c>
      <c r="Z424" s="33" t="e">
        <f ca="1"/>
        <v>#REF!</v>
      </c>
      <c r="AA424" s="33" t="e">
        <f ca="1"/>
        <v>#REF!</v>
      </c>
    </row>
    <row r="425" spans="1:27" s="70" customFormat="1" ht="11.25" x14ac:dyDescent="0.2">
      <c r="A425" s="24">
        <v>419</v>
      </c>
      <c r="B425" s="24"/>
      <c r="C425" s="25"/>
      <c r="D425" s="26"/>
      <c r="E425" s="25"/>
      <c r="F425" s="25"/>
      <c r="G425" s="24"/>
      <c r="H425" s="25" t="e">
        <f ca="1"/>
        <v>#REF!</v>
      </c>
      <c r="I425" s="27" t="e">
        <f ca="1"/>
        <v>#REF!</v>
      </c>
      <c r="J425" s="28" t="e">
        <f ca="1"/>
        <v>#REF!</v>
      </c>
      <c r="K425" s="27" t="e">
        <f ca="1"/>
        <v>#REF!</v>
      </c>
      <c r="L425" s="25" t="e">
        <f ca="1"/>
        <v>#REF!</v>
      </c>
      <c r="M425" s="25" t="e">
        <f ca="1"/>
        <v>#REF!</v>
      </c>
      <c r="N425" s="25" t="e">
        <f ca="1"/>
        <v>#REF!</v>
      </c>
      <c r="O425" s="25" t="e">
        <f ca="1"/>
        <v>#REF!</v>
      </c>
      <c r="P425" s="25" t="e">
        <f ca="1"/>
        <v>#REF!</v>
      </c>
      <c r="Q425" s="25" t="e">
        <f ca="1"/>
        <v>#REF!</v>
      </c>
      <c r="R425" s="25" t="e">
        <f ca="1"/>
        <v>#REF!</v>
      </c>
      <c r="S425" s="25" t="e">
        <f ca="1"/>
        <v>#REF!</v>
      </c>
      <c r="T425" s="25" t="e">
        <f ca="1"/>
        <v>#REF!</v>
      </c>
      <c r="U425" s="25" t="e">
        <f ca="1"/>
        <v>#REF!</v>
      </c>
      <c r="V425" s="25" t="e">
        <f ca="1"/>
        <v>#REF!</v>
      </c>
      <c r="W425" s="33" t="e">
        <f ca="1"/>
        <v>#REF!</v>
      </c>
      <c r="X425" s="33" t="e">
        <f ca="1"/>
        <v>#REF!</v>
      </c>
      <c r="Y425" s="33" t="e">
        <f ca="1"/>
        <v>#REF!</v>
      </c>
      <c r="Z425" s="33" t="e">
        <f ca="1"/>
        <v>#REF!</v>
      </c>
      <c r="AA425" s="33" t="e">
        <f ca="1"/>
        <v>#REF!</v>
      </c>
    </row>
    <row r="426" spans="1:27" s="70" customFormat="1" ht="11.25" x14ac:dyDescent="0.2">
      <c r="A426" s="24">
        <v>420</v>
      </c>
      <c r="B426" s="24"/>
      <c r="C426" s="25"/>
      <c r="D426" s="26"/>
      <c r="E426" s="25"/>
      <c r="F426" s="25"/>
      <c r="G426" s="24"/>
      <c r="H426" s="25" t="e">
        <f ca="1"/>
        <v>#REF!</v>
      </c>
      <c r="I426" s="27" t="e">
        <f ca="1"/>
        <v>#REF!</v>
      </c>
      <c r="J426" s="28" t="e">
        <f ca="1"/>
        <v>#REF!</v>
      </c>
      <c r="K426" s="27" t="e">
        <f ca="1"/>
        <v>#REF!</v>
      </c>
      <c r="L426" s="25" t="e">
        <f ca="1"/>
        <v>#REF!</v>
      </c>
      <c r="M426" s="25" t="e">
        <f ca="1"/>
        <v>#REF!</v>
      </c>
      <c r="N426" s="25" t="e">
        <f ca="1"/>
        <v>#REF!</v>
      </c>
      <c r="O426" s="25" t="e">
        <f ca="1"/>
        <v>#REF!</v>
      </c>
      <c r="P426" s="25" t="e">
        <f ca="1"/>
        <v>#REF!</v>
      </c>
      <c r="Q426" s="25" t="e">
        <f ca="1"/>
        <v>#REF!</v>
      </c>
      <c r="R426" s="25" t="e">
        <f ca="1"/>
        <v>#REF!</v>
      </c>
      <c r="S426" s="25" t="e">
        <f ca="1"/>
        <v>#REF!</v>
      </c>
      <c r="T426" s="25" t="e">
        <f ca="1"/>
        <v>#REF!</v>
      </c>
      <c r="U426" s="25" t="e">
        <f ca="1"/>
        <v>#REF!</v>
      </c>
      <c r="V426" s="25" t="e">
        <f ca="1"/>
        <v>#REF!</v>
      </c>
      <c r="W426" s="33" t="e">
        <f ca="1"/>
        <v>#REF!</v>
      </c>
      <c r="X426" s="33" t="e">
        <f ca="1"/>
        <v>#REF!</v>
      </c>
      <c r="Y426" s="33" t="e">
        <f ca="1"/>
        <v>#REF!</v>
      </c>
      <c r="Z426" s="33" t="e">
        <f ca="1"/>
        <v>#REF!</v>
      </c>
      <c r="AA426" s="33" t="e">
        <f ca="1"/>
        <v>#REF!</v>
      </c>
    </row>
    <row r="427" spans="1:27" s="70" customFormat="1" ht="11.25" x14ac:dyDescent="0.2">
      <c r="A427" s="24">
        <v>421</v>
      </c>
      <c r="B427" s="24"/>
      <c r="C427" s="25"/>
      <c r="D427" s="26"/>
      <c r="E427" s="25"/>
      <c r="F427" s="25"/>
      <c r="G427" s="24"/>
      <c r="H427" s="25" t="e">
        <f ca="1"/>
        <v>#REF!</v>
      </c>
      <c r="I427" s="27" t="e">
        <f ca="1"/>
        <v>#REF!</v>
      </c>
      <c r="J427" s="28" t="e">
        <f ca="1"/>
        <v>#REF!</v>
      </c>
      <c r="K427" s="27" t="e">
        <f ca="1"/>
        <v>#REF!</v>
      </c>
      <c r="L427" s="25" t="e">
        <f ca="1"/>
        <v>#REF!</v>
      </c>
      <c r="M427" s="25" t="e">
        <f ca="1"/>
        <v>#REF!</v>
      </c>
      <c r="N427" s="25" t="e">
        <f ca="1"/>
        <v>#REF!</v>
      </c>
      <c r="O427" s="25" t="e">
        <f ca="1"/>
        <v>#REF!</v>
      </c>
      <c r="P427" s="25" t="e">
        <f ca="1"/>
        <v>#REF!</v>
      </c>
      <c r="Q427" s="25" t="e">
        <f ca="1"/>
        <v>#REF!</v>
      </c>
      <c r="R427" s="25" t="e">
        <f ca="1"/>
        <v>#REF!</v>
      </c>
      <c r="S427" s="25" t="e">
        <f ca="1"/>
        <v>#REF!</v>
      </c>
      <c r="T427" s="25" t="e">
        <f ca="1"/>
        <v>#REF!</v>
      </c>
      <c r="U427" s="25" t="e">
        <f ca="1"/>
        <v>#REF!</v>
      </c>
      <c r="V427" s="25" t="e">
        <f ca="1"/>
        <v>#REF!</v>
      </c>
      <c r="W427" s="33" t="e">
        <f ca="1"/>
        <v>#REF!</v>
      </c>
      <c r="X427" s="33" t="e">
        <f ca="1"/>
        <v>#REF!</v>
      </c>
      <c r="Y427" s="33" t="e">
        <f ca="1"/>
        <v>#REF!</v>
      </c>
      <c r="Z427" s="33" t="e">
        <f ca="1"/>
        <v>#REF!</v>
      </c>
      <c r="AA427" s="33" t="e">
        <f ca="1"/>
        <v>#REF!</v>
      </c>
    </row>
    <row r="428" spans="1:27" s="70" customFormat="1" ht="11.25" x14ac:dyDescent="0.2">
      <c r="A428" s="24">
        <v>422</v>
      </c>
      <c r="B428" s="24"/>
      <c r="C428" s="25"/>
      <c r="D428" s="26"/>
      <c r="E428" s="25"/>
      <c r="F428" s="25"/>
      <c r="G428" s="24"/>
      <c r="H428" s="25" t="e">
        <f ca="1"/>
        <v>#REF!</v>
      </c>
      <c r="I428" s="27" t="e">
        <f ca="1"/>
        <v>#REF!</v>
      </c>
      <c r="J428" s="28" t="e">
        <f ca="1"/>
        <v>#REF!</v>
      </c>
      <c r="K428" s="27" t="e">
        <f ca="1"/>
        <v>#REF!</v>
      </c>
      <c r="L428" s="25" t="e">
        <f ca="1"/>
        <v>#REF!</v>
      </c>
      <c r="M428" s="25" t="e">
        <f ca="1"/>
        <v>#REF!</v>
      </c>
      <c r="N428" s="25" t="e">
        <f ca="1"/>
        <v>#REF!</v>
      </c>
      <c r="O428" s="25" t="e">
        <f ca="1"/>
        <v>#REF!</v>
      </c>
      <c r="P428" s="25" t="e">
        <f ca="1"/>
        <v>#REF!</v>
      </c>
      <c r="Q428" s="25" t="e">
        <f ca="1"/>
        <v>#REF!</v>
      </c>
      <c r="R428" s="25" t="e">
        <f ca="1"/>
        <v>#REF!</v>
      </c>
      <c r="S428" s="25" t="e">
        <f ca="1"/>
        <v>#REF!</v>
      </c>
      <c r="T428" s="25" t="e">
        <f ca="1"/>
        <v>#REF!</v>
      </c>
      <c r="U428" s="25" t="e">
        <f ca="1"/>
        <v>#REF!</v>
      </c>
      <c r="V428" s="25" t="e">
        <f ca="1"/>
        <v>#REF!</v>
      </c>
      <c r="W428" s="33" t="e">
        <f ca="1"/>
        <v>#REF!</v>
      </c>
      <c r="X428" s="33" t="e">
        <f ca="1"/>
        <v>#REF!</v>
      </c>
      <c r="Y428" s="33" t="e">
        <f ca="1"/>
        <v>#REF!</v>
      </c>
      <c r="Z428" s="33" t="e">
        <f ca="1"/>
        <v>#REF!</v>
      </c>
      <c r="AA428" s="33" t="e">
        <f ca="1"/>
        <v>#REF!</v>
      </c>
    </row>
    <row r="429" spans="1:27" s="70" customFormat="1" ht="11.25" x14ac:dyDescent="0.2">
      <c r="A429" s="24">
        <v>423</v>
      </c>
      <c r="B429" s="24"/>
      <c r="C429" s="25"/>
      <c r="D429" s="26"/>
      <c r="E429" s="25"/>
      <c r="F429" s="25"/>
      <c r="G429" s="24"/>
      <c r="H429" s="25" t="e">
        <f ca="1"/>
        <v>#REF!</v>
      </c>
      <c r="I429" s="27" t="e">
        <f ca="1"/>
        <v>#REF!</v>
      </c>
      <c r="J429" s="28" t="e">
        <f ca="1"/>
        <v>#REF!</v>
      </c>
      <c r="K429" s="27" t="e">
        <f ca="1"/>
        <v>#REF!</v>
      </c>
      <c r="L429" s="25" t="e">
        <f ca="1"/>
        <v>#REF!</v>
      </c>
      <c r="M429" s="25" t="e">
        <f ca="1"/>
        <v>#REF!</v>
      </c>
      <c r="N429" s="25" t="e">
        <f ca="1"/>
        <v>#REF!</v>
      </c>
      <c r="O429" s="25" t="e">
        <f ca="1"/>
        <v>#REF!</v>
      </c>
      <c r="P429" s="25" t="e">
        <f ca="1"/>
        <v>#REF!</v>
      </c>
      <c r="Q429" s="25" t="e">
        <f ca="1"/>
        <v>#REF!</v>
      </c>
      <c r="R429" s="25" t="e">
        <f ca="1"/>
        <v>#REF!</v>
      </c>
      <c r="S429" s="25" t="e">
        <f ca="1"/>
        <v>#REF!</v>
      </c>
      <c r="T429" s="25" t="e">
        <f ca="1"/>
        <v>#REF!</v>
      </c>
      <c r="U429" s="25" t="e">
        <f ca="1"/>
        <v>#REF!</v>
      </c>
      <c r="V429" s="25" t="e">
        <f ca="1"/>
        <v>#REF!</v>
      </c>
      <c r="W429" s="33" t="e">
        <f ca="1"/>
        <v>#REF!</v>
      </c>
      <c r="X429" s="33" t="e">
        <f ca="1"/>
        <v>#REF!</v>
      </c>
      <c r="Y429" s="33" t="e">
        <f ca="1"/>
        <v>#REF!</v>
      </c>
      <c r="Z429" s="33" t="e">
        <f ca="1"/>
        <v>#REF!</v>
      </c>
      <c r="AA429" s="33" t="e">
        <f ca="1"/>
        <v>#REF!</v>
      </c>
    </row>
    <row r="430" spans="1:27" s="70" customFormat="1" ht="11.25" x14ac:dyDescent="0.2">
      <c r="A430" s="24">
        <v>424</v>
      </c>
      <c r="B430" s="24"/>
      <c r="C430" s="25"/>
      <c r="D430" s="26"/>
      <c r="E430" s="25"/>
      <c r="F430" s="25"/>
      <c r="G430" s="24"/>
      <c r="H430" s="25" t="e">
        <f ca="1"/>
        <v>#REF!</v>
      </c>
      <c r="I430" s="27" t="e">
        <f ca="1"/>
        <v>#REF!</v>
      </c>
      <c r="J430" s="28" t="e">
        <f ca="1"/>
        <v>#REF!</v>
      </c>
      <c r="K430" s="27" t="e">
        <f ca="1"/>
        <v>#REF!</v>
      </c>
      <c r="L430" s="25" t="e">
        <f ca="1"/>
        <v>#REF!</v>
      </c>
      <c r="M430" s="25" t="e">
        <f ca="1"/>
        <v>#REF!</v>
      </c>
      <c r="N430" s="25" t="e">
        <f ca="1"/>
        <v>#REF!</v>
      </c>
      <c r="O430" s="25" t="e">
        <f ca="1"/>
        <v>#REF!</v>
      </c>
      <c r="P430" s="25" t="e">
        <f ca="1"/>
        <v>#REF!</v>
      </c>
      <c r="Q430" s="25" t="e">
        <f ca="1"/>
        <v>#REF!</v>
      </c>
      <c r="R430" s="25" t="e">
        <f ca="1"/>
        <v>#REF!</v>
      </c>
      <c r="S430" s="25" t="e">
        <f ca="1"/>
        <v>#REF!</v>
      </c>
      <c r="T430" s="25" t="e">
        <f ca="1"/>
        <v>#REF!</v>
      </c>
      <c r="U430" s="25" t="e">
        <f ca="1"/>
        <v>#REF!</v>
      </c>
      <c r="V430" s="25" t="e">
        <f ca="1"/>
        <v>#REF!</v>
      </c>
      <c r="W430" s="33" t="e">
        <f ca="1"/>
        <v>#REF!</v>
      </c>
      <c r="X430" s="33" t="e">
        <f ca="1"/>
        <v>#REF!</v>
      </c>
      <c r="Y430" s="33" t="e">
        <f ca="1"/>
        <v>#REF!</v>
      </c>
      <c r="Z430" s="33" t="e">
        <f ca="1"/>
        <v>#REF!</v>
      </c>
      <c r="AA430" s="33" t="e">
        <f ca="1"/>
        <v>#REF!</v>
      </c>
    </row>
    <row r="431" spans="1:27" s="70" customFormat="1" ht="11.25" x14ac:dyDescent="0.2">
      <c r="A431" s="24">
        <v>425</v>
      </c>
      <c r="B431" s="24"/>
      <c r="C431" s="25"/>
      <c r="D431" s="26"/>
      <c r="E431" s="25"/>
      <c r="F431" s="25"/>
      <c r="G431" s="24"/>
      <c r="H431" s="25" t="e">
        <f ca="1"/>
        <v>#REF!</v>
      </c>
      <c r="I431" s="27" t="e">
        <f ca="1"/>
        <v>#REF!</v>
      </c>
      <c r="J431" s="28" t="e">
        <f ca="1"/>
        <v>#REF!</v>
      </c>
      <c r="K431" s="27" t="e">
        <f ca="1"/>
        <v>#REF!</v>
      </c>
      <c r="L431" s="25" t="e">
        <f ca="1"/>
        <v>#REF!</v>
      </c>
      <c r="M431" s="25" t="e">
        <f ca="1"/>
        <v>#REF!</v>
      </c>
      <c r="N431" s="25" t="e">
        <f ca="1"/>
        <v>#REF!</v>
      </c>
      <c r="O431" s="25" t="e">
        <f ca="1"/>
        <v>#REF!</v>
      </c>
      <c r="P431" s="25" t="e">
        <f ca="1"/>
        <v>#REF!</v>
      </c>
      <c r="Q431" s="25" t="e">
        <f ca="1"/>
        <v>#REF!</v>
      </c>
      <c r="R431" s="25" t="e">
        <f ca="1"/>
        <v>#REF!</v>
      </c>
      <c r="S431" s="25" t="e">
        <f ca="1"/>
        <v>#REF!</v>
      </c>
      <c r="T431" s="25" t="e">
        <f ca="1"/>
        <v>#REF!</v>
      </c>
      <c r="U431" s="25" t="e">
        <f ca="1"/>
        <v>#REF!</v>
      </c>
      <c r="V431" s="25" t="e">
        <f ca="1"/>
        <v>#REF!</v>
      </c>
      <c r="W431" s="33" t="e">
        <f ca="1"/>
        <v>#REF!</v>
      </c>
      <c r="X431" s="33" t="e">
        <f ca="1"/>
        <v>#REF!</v>
      </c>
      <c r="Y431" s="33" t="e">
        <f ca="1"/>
        <v>#REF!</v>
      </c>
      <c r="Z431" s="33" t="e">
        <f ca="1"/>
        <v>#REF!</v>
      </c>
      <c r="AA431" s="33" t="e">
        <f ca="1"/>
        <v>#REF!</v>
      </c>
    </row>
    <row r="432" spans="1:27" s="70" customFormat="1" ht="11.25" x14ac:dyDescent="0.2">
      <c r="A432" s="24">
        <v>426</v>
      </c>
      <c r="B432" s="24"/>
      <c r="C432" s="25"/>
      <c r="D432" s="26"/>
      <c r="E432" s="25"/>
      <c r="F432" s="25"/>
      <c r="G432" s="24"/>
      <c r="H432" s="25" t="e">
        <f ca="1"/>
        <v>#REF!</v>
      </c>
      <c r="I432" s="27" t="e">
        <f ca="1"/>
        <v>#REF!</v>
      </c>
      <c r="J432" s="28" t="e">
        <f ca="1"/>
        <v>#REF!</v>
      </c>
      <c r="K432" s="27" t="e">
        <f ca="1"/>
        <v>#REF!</v>
      </c>
      <c r="L432" s="25" t="e">
        <f ca="1"/>
        <v>#REF!</v>
      </c>
      <c r="M432" s="25" t="e">
        <f ca="1"/>
        <v>#REF!</v>
      </c>
      <c r="N432" s="25" t="e">
        <f ca="1"/>
        <v>#REF!</v>
      </c>
      <c r="O432" s="25" t="e">
        <f ca="1"/>
        <v>#REF!</v>
      </c>
      <c r="P432" s="25" t="e">
        <f ca="1"/>
        <v>#REF!</v>
      </c>
      <c r="Q432" s="25" t="e">
        <f ca="1"/>
        <v>#REF!</v>
      </c>
      <c r="R432" s="25" t="e">
        <f ca="1"/>
        <v>#REF!</v>
      </c>
      <c r="S432" s="25" t="e">
        <f ca="1"/>
        <v>#REF!</v>
      </c>
      <c r="T432" s="25" t="e">
        <f ca="1"/>
        <v>#REF!</v>
      </c>
      <c r="U432" s="25" t="e">
        <f ca="1"/>
        <v>#REF!</v>
      </c>
      <c r="V432" s="25" t="e">
        <f ca="1"/>
        <v>#REF!</v>
      </c>
      <c r="W432" s="33" t="e">
        <f ca="1"/>
        <v>#REF!</v>
      </c>
      <c r="X432" s="33" t="e">
        <f ca="1"/>
        <v>#REF!</v>
      </c>
      <c r="Y432" s="33" t="e">
        <f ca="1"/>
        <v>#REF!</v>
      </c>
      <c r="Z432" s="33" t="e">
        <f ca="1"/>
        <v>#REF!</v>
      </c>
      <c r="AA432" s="33" t="e">
        <f ca="1"/>
        <v>#REF!</v>
      </c>
    </row>
    <row r="433" spans="1:27" s="70" customFormat="1" ht="11.25" x14ac:dyDescent="0.2">
      <c r="A433" s="24">
        <v>427</v>
      </c>
      <c r="B433" s="24"/>
      <c r="C433" s="25"/>
      <c r="D433" s="26"/>
      <c r="E433" s="25"/>
      <c r="F433" s="25"/>
      <c r="G433" s="24"/>
      <c r="H433" s="25" t="e">
        <f ca="1"/>
        <v>#REF!</v>
      </c>
      <c r="I433" s="27" t="e">
        <f ca="1"/>
        <v>#REF!</v>
      </c>
      <c r="J433" s="28" t="e">
        <f ca="1"/>
        <v>#REF!</v>
      </c>
      <c r="K433" s="27" t="e">
        <f ca="1"/>
        <v>#REF!</v>
      </c>
      <c r="L433" s="25" t="e">
        <f ca="1"/>
        <v>#REF!</v>
      </c>
      <c r="M433" s="25" t="e">
        <f ca="1"/>
        <v>#REF!</v>
      </c>
      <c r="N433" s="25" t="e">
        <f ca="1"/>
        <v>#REF!</v>
      </c>
      <c r="O433" s="25" t="e">
        <f ca="1"/>
        <v>#REF!</v>
      </c>
      <c r="P433" s="25" t="e">
        <f ca="1"/>
        <v>#REF!</v>
      </c>
      <c r="Q433" s="25" t="e">
        <f ca="1"/>
        <v>#REF!</v>
      </c>
      <c r="R433" s="25" t="e">
        <f ca="1"/>
        <v>#REF!</v>
      </c>
      <c r="S433" s="25" t="e">
        <f ca="1"/>
        <v>#REF!</v>
      </c>
      <c r="T433" s="25" t="e">
        <f ca="1"/>
        <v>#REF!</v>
      </c>
      <c r="U433" s="25" t="e">
        <f ca="1"/>
        <v>#REF!</v>
      </c>
      <c r="V433" s="25" t="e">
        <f ca="1"/>
        <v>#REF!</v>
      </c>
      <c r="W433" s="33" t="e">
        <f ca="1"/>
        <v>#REF!</v>
      </c>
      <c r="X433" s="33" t="e">
        <f ca="1"/>
        <v>#REF!</v>
      </c>
      <c r="Y433" s="33" t="e">
        <f ca="1"/>
        <v>#REF!</v>
      </c>
      <c r="Z433" s="33" t="e">
        <f ca="1"/>
        <v>#REF!</v>
      </c>
      <c r="AA433" s="33" t="e">
        <f ca="1"/>
        <v>#REF!</v>
      </c>
    </row>
    <row r="434" spans="1:27" s="70" customFormat="1" ht="11.25" x14ac:dyDescent="0.2">
      <c r="A434" s="24">
        <v>428</v>
      </c>
      <c r="B434" s="24"/>
      <c r="C434" s="25"/>
      <c r="D434" s="26"/>
      <c r="E434" s="25"/>
      <c r="F434" s="25"/>
      <c r="G434" s="24"/>
      <c r="H434" s="25" t="e">
        <f ca="1"/>
        <v>#REF!</v>
      </c>
      <c r="I434" s="27" t="e">
        <f ca="1"/>
        <v>#REF!</v>
      </c>
      <c r="J434" s="28" t="e">
        <f ca="1"/>
        <v>#REF!</v>
      </c>
      <c r="K434" s="27" t="e">
        <f ca="1"/>
        <v>#REF!</v>
      </c>
      <c r="L434" s="25" t="e">
        <f ca="1"/>
        <v>#REF!</v>
      </c>
      <c r="M434" s="25" t="e">
        <f ca="1"/>
        <v>#REF!</v>
      </c>
      <c r="N434" s="25" t="e">
        <f ca="1"/>
        <v>#REF!</v>
      </c>
      <c r="O434" s="25" t="e">
        <f ca="1"/>
        <v>#REF!</v>
      </c>
      <c r="P434" s="25" t="e">
        <f ca="1"/>
        <v>#REF!</v>
      </c>
      <c r="Q434" s="25" t="e">
        <f ca="1"/>
        <v>#REF!</v>
      </c>
      <c r="R434" s="25" t="e">
        <f ca="1"/>
        <v>#REF!</v>
      </c>
      <c r="S434" s="25" t="e">
        <f ca="1"/>
        <v>#REF!</v>
      </c>
      <c r="T434" s="25" t="e">
        <f ca="1"/>
        <v>#REF!</v>
      </c>
      <c r="U434" s="25" t="e">
        <f ca="1"/>
        <v>#REF!</v>
      </c>
      <c r="V434" s="25" t="e">
        <f ca="1"/>
        <v>#REF!</v>
      </c>
      <c r="W434" s="33" t="e">
        <f ca="1"/>
        <v>#REF!</v>
      </c>
      <c r="X434" s="33" t="e">
        <f ca="1"/>
        <v>#REF!</v>
      </c>
      <c r="Y434" s="33" t="e">
        <f ca="1"/>
        <v>#REF!</v>
      </c>
      <c r="Z434" s="33" t="e">
        <f ca="1"/>
        <v>#REF!</v>
      </c>
      <c r="AA434" s="33" t="e">
        <f ca="1"/>
        <v>#REF!</v>
      </c>
    </row>
    <row r="435" spans="1:27" s="70" customFormat="1" ht="11.25" x14ac:dyDescent="0.2">
      <c r="A435" s="24">
        <v>429</v>
      </c>
      <c r="B435" s="24"/>
      <c r="C435" s="25"/>
      <c r="D435" s="26"/>
      <c r="E435" s="25"/>
      <c r="F435" s="25"/>
      <c r="G435" s="24"/>
      <c r="H435" s="25" t="e">
        <f ca="1"/>
        <v>#REF!</v>
      </c>
      <c r="I435" s="27" t="e">
        <f ca="1"/>
        <v>#REF!</v>
      </c>
      <c r="J435" s="28" t="e">
        <f ca="1"/>
        <v>#REF!</v>
      </c>
      <c r="K435" s="27" t="e">
        <f ca="1"/>
        <v>#REF!</v>
      </c>
      <c r="L435" s="25" t="e">
        <f ca="1"/>
        <v>#REF!</v>
      </c>
      <c r="M435" s="25" t="e">
        <f ca="1"/>
        <v>#REF!</v>
      </c>
      <c r="N435" s="25" t="e">
        <f ca="1"/>
        <v>#REF!</v>
      </c>
      <c r="O435" s="25" t="e">
        <f ca="1"/>
        <v>#REF!</v>
      </c>
      <c r="P435" s="25" t="e">
        <f ca="1"/>
        <v>#REF!</v>
      </c>
      <c r="Q435" s="25" t="e">
        <f ca="1"/>
        <v>#REF!</v>
      </c>
      <c r="R435" s="25" t="e">
        <f ca="1"/>
        <v>#REF!</v>
      </c>
      <c r="S435" s="25" t="e">
        <f ca="1"/>
        <v>#REF!</v>
      </c>
      <c r="T435" s="25" t="e">
        <f ca="1"/>
        <v>#REF!</v>
      </c>
      <c r="U435" s="25" t="e">
        <f ca="1"/>
        <v>#REF!</v>
      </c>
      <c r="V435" s="25" t="e">
        <f ca="1"/>
        <v>#REF!</v>
      </c>
      <c r="W435" s="33" t="e">
        <f ca="1"/>
        <v>#REF!</v>
      </c>
      <c r="X435" s="33" t="e">
        <f ca="1"/>
        <v>#REF!</v>
      </c>
      <c r="Y435" s="33" t="e">
        <f ca="1"/>
        <v>#REF!</v>
      </c>
      <c r="Z435" s="33" t="e">
        <f ca="1"/>
        <v>#REF!</v>
      </c>
      <c r="AA435" s="33" t="e">
        <f ca="1"/>
        <v>#REF!</v>
      </c>
    </row>
    <row r="436" spans="1:27" s="70" customFormat="1" ht="11.25" x14ac:dyDescent="0.2">
      <c r="A436" s="24">
        <v>430</v>
      </c>
      <c r="B436" s="24"/>
      <c r="C436" s="25"/>
      <c r="D436" s="26"/>
      <c r="E436" s="25"/>
      <c r="F436" s="25"/>
      <c r="G436" s="24"/>
      <c r="H436" s="25" t="e">
        <f ca="1"/>
        <v>#REF!</v>
      </c>
      <c r="I436" s="27" t="e">
        <f ca="1"/>
        <v>#REF!</v>
      </c>
      <c r="J436" s="28" t="e">
        <f ca="1"/>
        <v>#REF!</v>
      </c>
      <c r="K436" s="27" t="e">
        <f ca="1"/>
        <v>#REF!</v>
      </c>
      <c r="L436" s="25" t="e">
        <f ca="1"/>
        <v>#REF!</v>
      </c>
      <c r="M436" s="25" t="e">
        <f ca="1"/>
        <v>#REF!</v>
      </c>
      <c r="N436" s="25" t="e">
        <f ca="1"/>
        <v>#REF!</v>
      </c>
      <c r="O436" s="25" t="e">
        <f ca="1"/>
        <v>#REF!</v>
      </c>
      <c r="P436" s="25" t="e">
        <f ca="1"/>
        <v>#REF!</v>
      </c>
      <c r="Q436" s="25" t="e">
        <f ca="1"/>
        <v>#REF!</v>
      </c>
      <c r="R436" s="25" t="e">
        <f ca="1"/>
        <v>#REF!</v>
      </c>
      <c r="S436" s="25" t="e">
        <f ca="1"/>
        <v>#REF!</v>
      </c>
      <c r="T436" s="25" t="e">
        <f ca="1"/>
        <v>#REF!</v>
      </c>
      <c r="U436" s="25" t="e">
        <f ca="1"/>
        <v>#REF!</v>
      </c>
      <c r="V436" s="25" t="e">
        <f ca="1"/>
        <v>#REF!</v>
      </c>
      <c r="W436" s="33" t="e">
        <f ca="1"/>
        <v>#REF!</v>
      </c>
      <c r="X436" s="33" t="e">
        <f ca="1"/>
        <v>#REF!</v>
      </c>
      <c r="Y436" s="33" t="e">
        <f ca="1"/>
        <v>#REF!</v>
      </c>
      <c r="Z436" s="33" t="e">
        <f ca="1"/>
        <v>#REF!</v>
      </c>
      <c r="AA436" s="33" t="e">
        <f ca="1"/>
        <v>#REF!</v>
      </c>
    </row>
    <row r="437" spans="1:27" s="70" customFormat="1" ht="11.25" x14ac:dyDescent="0.2">
      <c r="A437" s="24">
        <v>431</v>
      </c>
      <c r="B437" s="24"/>
      <c r="C437" s="25"/>
      <c r="D437" s="26"/>
      <c r="E437" s="25"/>
      <c r="F437" s="25"/>
      <c r="G437" s="24"/>
      <c r="H437" s="25" t="e">
        <f ca="1"/>
        <v>#REF!</v>
      </c>
      <c r="I437" s="27" t="e">
        <f ca="1"/>
        <v>#REF!</v>
      </c>
      <c r="J437" s="25" t="e">
        <f ca="1"/>
        <v>#REF!</v>
      </c>
      <c r="K437" s="27" t="e">
        <f ca="1"/>
        <v>#REF!</v>
      </c>
      <c r="L437" s="25" t="e">
        <f ca="1"/>
        <v>#REF!</v>
      </c>
      <c r="M437" s="25" t="e">
        <f ca="1"/>
        <v>#REF!</v>
      </c>
      <c r="N437" s="25" t="e">
        <f ca="1"/>
        <v>#REF!</v>
      </c>
      <c r="O437" s="25" t="e">
        <f ca="1"/>
        <v>#REF!</v>
      </c>
      <c r="P437" s="25" t="e">
        <f ca="1"/>
        <v>#REF!</v>
      </c>
      <c r="Q437" s="25" t="e">
        <f ca="1"/>
        <v>#REF!</v>
      </c>
      <c r="R437" s="25" t="e">
        <f ca="1"/>
        <v>#REF!</v>
      </c>
      <c r="S437" s="25" t="e">
        <f ca="1"/>
        <v>#REF!</v>
      </c>
      <c r="T437" s="25" t="e">
        <f ca="1"/>
        <v>#REF!</v>
      </c>
      <c r="U437" s="25" t="e">
        <f ca="1"/>
        <v>#REF!</v>
      </c>
      <c r="V437" s="25" t="e">
        <f ca="1"/>
        <v>#REF!</v>
      </c>
      <c r="W437" s="33" t="e">
        <f ca="1"/>
        <v>#REF!</v>
      </c>
      <c r="X437" s="33" t="e">
        <f ca="1"/>
        <v>#REF!</v>
      </c>
      <c r="Y437" s="33" t="e">
        <f ca="1"/>
        <v>#REF!</v>
      </c>
      <c r="Z437" s="33" t="e">
        <f ca="1"/>
        <v>#REF!</v>
      </c>
      <c r="AA437" s="33" t="e">
        <f ca="1"/>
        <v>#REF!</v>
      </c>
    </row>
    <row r="438" spans="1:27" s="70" customFormat="1" ht="11.25" x14ac:dyDescent="0.2">
      <c r="A438" s="24">
        <v>432</v>
      </c>
      <c r="B438" s="24"/>
      <c r="C438" s="25"/>
      <c r="D438" s="26"/>
      <c r="E438" s="25"/>
      <c r="F438" s="25"/>
      <c r="G438" s="24"/>
      <c r="H438" s="25" t="e">
        <f ca="1"/>
        <v>#REF!</v>
      </c>
      <c r="I438" s="27" t="e">
        <f ca="1"/>
        <v>#REF!</v>
      </c>
      <c r="J438" s="25" t="e">
        <f ca="1"/>
        <v>#REF!</v>
      </c>
      <c r="K438" s="27" t="e">
        <f ca="1"/>
        <v>#REF!</v>
      </c>
      <c r="L438" s="25" t="e">
        <f ca="1"/>
        <v>#REF!</v>
      </c>
      <c r="M438" s="25" t="e">
        <f ca="1"/>
        <v>#REF!</v>
      </c>
      <c r="N438" s="25" t="e">
        <f ca="1"/>
        <v>#REF!</v>
      </c>
      <c r="O438" s="25" t="e">
        <f ca="1"/>
        <v>#REF!</v>
      </c>
      <c r="P438" s="25" t="e">
        <f ca="1"/>
        <v>#REF!</v>
      </c>
      <c r="Q438" s="25" t="e">
        <f ca="1"/>
        <v>#REF!</v>
      </c>
      <c r="R438" s="25" t="e">
        <f ca="1"/>
        <v>#REF!</v>
      </c>
      <c r="S438" s="25" t="e">
        <f ca="1"/>
        <v>#REF!</v>
      </c>
      <c r="T438" s="25" t="e">
        <f ca="1"/>
        <v>#REF!</v>
      </c>
      <c r="U438" s="25" t="e">
        <f ca="1"/>
        <v>#REF!</v>
      </c>
      <c r="V438" s="25" t="e">
        <f ca="1"/>
        <v>#REF!</v>
      </c>
      <c r="W438" s="33" t="e">
        <f ca="1"/>
        <v>#REF!</v>
      </c>
      <c r="X438" s="33" t="e">
        <f ca="1"/>
        <v>#REF!</v>
      </c>
      <c r="Y438" s="33" t="e">
        <f ca="1"/>
        <v>#REF!</v>
      </c>
      <c r="Z438" s="33" t="e">
        <f ca="1"/>
        <v>#REF!</v>
      </c>
      <c r="AA438" s="33" t="e">
        <f ca="1"/>
        <v>#REF!</v>
      </c>
    </row>
    <row r="439" spans="1:27" s="70" customFormat="1" ht="11.25" x14ac:dyDescent="0.2">
      <c r="A439" s="24">
        <v>433</v>
      </c>
      <c r="B439" s="24"/>
      <c r="C439" s="25"/>
      <c r="D439" s="26"/>
      <c r="E439" s="25"/>
      <c r="F439" s="25"/>
      <c r="G439" s="24"/>
      <c r="H439" s="25" t="e">
        <f ca="1"/>
        <v>#REF!</v>
      </c>
      <c r="I439" s="27" t="e">
        <f ca="1"/>
        <v>#REF!</v>
      </c>
      <c r="J439" s="25" t="e">
        <f ca="1"/>
        <v>#REF!</v>
      </c>
      <c r="K439" s="27" t="e">
        <f ca="1"/>
        <v>#REF!</v>
      </c>
      <c r="L439" s="25" t="e">
        <f ca="1"/>
        <v>#REF!</v>
      </c>
      <c r="M439" s="25" t="e">
        <f ca="1"/>
        <v>#REF!</v>
      </c>
      <c r="N439" s="25" t="e">
        <f ca="1"/>
        <v>#REF!</v>
      </c>
      <c r="O439" s="25" t="e">
        <f ca="1"/>
        <v>#REF!</v>
      </c>
      <c r="P439" s="25" t="e">
        <f ca="1"/>
        <v>#REF!</v>
      </c>
      <c r="Q439" s="25" t="e">
        <f ca="1"/>
        <v>#REF!</v>
      </c>
      <c r="R439" s="25" t="e">
        <f ca="1"/>
        <v>#REF!</v>
      </c>
      <c r="S439" s="25" t="e">
        <f ca="1"/>
        <v>#REF!</v>
      </c>
      <c r="T439" s="25" t="e">
        <f ca="1"/>
        <v>#REF!</v>
      </c>
      <c r="U439" s="25" t="e">
        <f ca="1"/>
        <v>#REF!</v>
      </c>
      <c r="V439" s="25" t="e">
        <f ca="1"/>
        <v>#REF!</v>
      </c>
      <c r="W439" s="33" t="e">
        <f ca="1"/>
        <v>#REF!</v>
      </c>
      <c r="X439" s="33" t="e">
        <f ca="1"/>
        <v>#REF!</v>
      </c>
      <c r="Y439" s="33" t="e">
        <f ca="1"/>
        <v>#REF!</v>
      </c>
      <c r="Z439" s="33" t="e">
        <f ca="1"/>
        <v>#REF!</v>
      </c>
      <c r="AA439" s="33" t="e">
        <f ca="1"/>
        <v>#REF!</v>
      </c>
    </row>
    <row r="440" spans="1:27" s="70" customFormat="1" ht="11.25" x14ac:dyDescent="0.2">
      <c r="A440" s="24">
        <v>434</v>
      </c>
      <c r="B440" s="24"/>
      <c r="C440" s="25"/>
      <c r="D440" s="26"/>
      <c r="E440" s="25"/>
      <c r="F440" s="25"/>
      <c r="G440" s="24"/>
      <c r="H440" s="25" t="e">
        <f ca="1"/>
        <v>#REF!</v>
      </c>
      <c r="I440" s="27" t="e">
        <f ca="1"/>
        <v>#REF!</v>
      </c>
      <c r="J440" s="25" t="e">
        <f ca="1"/>
        <v>#REF!</v>
      </c>
      <c r="K440" s="27" t="e">
        <f ca="1"/>
        <v>#REF!</v>
      </c>
      <c r="L440" s="25" t="e">
        <f ca="1"/>
        <v>#REF!</v>
      </c>
      <c r="M440" s="25" t="e">
        <f ca="1"/>
        <v>#REF!</v>
      </c>
      <c r="N440" s="25" t="e">
        <f ca="1"/>
        <v>#REF!</v>
      </c>
      <c r="O440" s="25" t="e">
        <f ca="1"/>
        <v>#REF!</v>
      </c>
      <c r="P440" s="25" t="e">
        <f ca="1"/>
        <v>#REF!</v>
      </c>
      <c r="Q440" s="25" t="e">
        <f ca="1"/>
        <v>#REF!</v>
      </c>
      <c r="R440" s="25" t="e">
        <f ca="1"/>
        <v>#REF!</v>
      </c>
      <c r="S440" s="25" t="e">
        <f ca="1"/>
        <v>#REF!</v>
      </c>
      <c r="T440" s="25" t="e">
        <f ca="1"/>
        <v>#REF!</v>
      </c>
      <c r="U440" s="25" t="e">
        <f ca="1"/>
        <v>#REF!</v>
      </c>
      <c r="V440" s="25" t="e">
        <f ca="1"/>
        <v>#REF!</v>
      </c>
      <c r="W440" s="33" t="e">
        <f ca="1"/>
        <v>#REF!</v>
      </c>
      <c r="X440" s="33" t="e">
        <f ca="1"/>
        <v>#REF!</v>
      </c>
      <c r="Y440" s="33" t="e">
        <f ca="1"/>
        <v>#REF!</v>
      </c>
      <c r="Z440" s="33" t="e">
        <f ca="1"/>
        <v>#REF!</v>
      </c>
      <c r="AA440" s="33" t="e">
        <f ca="1"/>
        <v>#REF!</v>
      </c>
    </row>
    <row r="441" spans="1:27" s="70" customFormat="1" ht="11.25" x14ac:dyDescent="0.2">
      <c r="A441" s="24">
        <v>435</v>
      </c>
      <c r="B441" s="24"/>
      <c r="C441" s="25"/>
      <c r="D441" s="26"/>
      <c r="E441" s="25"/>
      <c r="F441" s="25"/>
      <c r="G441" s="24"/>
      <c r="H441" s="25" t="e">
        <f ca="1"/>
        <v>#REF!</v>
      </c>
      <c r="I441" s="27" t="e">
        <f ca="1"/>
        <v>#REF!</v>
      </c>
      <c r="J441" s="25" t="e">
        <f ca="1"/>
        <v>#REF!</v>
      </c>
      <c r="K441" s="27" t="e">
        <f ca="1"/>
        <v>#REF!</v>
      </c>
      <c r="L441" s="25" t="e">
        <f ca="1"/>
        <v>#REF!</v>
      </c>
      <c r="M441" s="25" t="e">
        <f ca="1"/>
        <v>#REF!</v>
      </c>
      <c r="N441" s="25" t="e">
        <f ca="1"/>
        <v>#REF!</v>
      </c>
      <c r="O441" s="25" t="e">
        <f ca="1"/>
        <v>#REF!</v>
      </c>
      <c r="P441" s="25" t="e">
        <f ca="1"/>
        <v>#REF!</v>
      </c>
      <c r="Q441" s="25" t="e">
        <f ca="1"/>
        <v>#REF!</v>
      </c>
      <c r="R441" s="25" t="e">
        <f ca="1"/>
        <v>#REF!</v>
      </c>
      <c r="S441" s="25" t="e">
        <f ca="1"/>
        <v>#REF!</v>
      </c>
      <c r="T441" s="25" t="e">
        <f ca="1"/>
        <v>#REF!</v>
      </c>
      <c r="U441" s="25" t="e">
        <f ca="1"/>
        <v>#REF!</v>
      </c>
      <c r="V441" s="25" t="e">
        <f ca="1"/>
        <v>#REF!</v>
      </c>
      <c r="W441" s="33" t="e">
        <f ca="1"/>
        <v>#REF!</v>
      </c>
      <c r="X441" s="33" t="e">
        <f ca="1"/>
        <v>#REF!</v>
      </c>
      <c r="Y441" s="33" t="e">
        <f ca="1"/>
        <v>#REF!</v>
      </c>
      <c r="Z441" s="33" t="e">
        <f ca="1"/>
        <v>#REF!</v>
      </c>
      <c r="AA441" s="33" t="e">
        <f ca="1"/>
        <v>#REF!</v>
      </c>
    </row>
    <row r="442" spans="1:27" s="70" customFormat="1" ht="11.25" x14ac:dyDescent="0.2">
      <c r="A442" s="24">
        <v>436</v>
      </c>
      <c r="B442" s="24"/>
      <c r="C442" s="25"/>
      <c r="D442" s="26"/>
      <c r="E442" s="25"/>
      <c r="F442" s="25"/>
      <c r="G442" s="24"/>
      <c r="H442" s="25" t="e">
        <f ca="1"/>
        <v>#REF!</v>
      </c>
      <c r="I442" s="27" t="e">
        <f ca="1"/>
        <v>#REF!</v>
      </c>
      <c r="J442" s="25" t="e">
        <f ca="1"/>
        <v>#REF!</v>
      </c>
      <c r="K442" s="27" t="e">
        <f ca="1"/>
        <v>#REF!</v>
      </c>
      <c r="L442" s="25" t="e">
        <f ca="1"/>
        <v>#REF!</v>
      </c>
      <c r="M442" s="25" t="e">
        <f ca="1"/>
        <v>#REF!</v>
      </c>
      <c r="N442" s="25" t="e">
        <f ca="1"/>
        <v>#REF!</v>
      </c>
      <c r="O442" s="25" t="e">
        <f ca="1"/>
        <v>#REF!</v>
      </c>
      <c r="P442" s="25" t="e">
        <f ca="1"/>
        <v>#REF!</v>
      </c>
      <c r="Q442" s="25" t="e">
        <f ca="1"/>
        <v>#REF!</v>
      </c>
      <c r="R442" s="25" t="e">
        <f ca="1"/>
        <v>#REF!</v>
      </c>
      <c r="S442" s="25" t="e">
        <f ca="1"/>
        <v>#REF!</v>
      </c>
      <c r="T442" s="25" t="e">
        <f ca="1"/>
        <v>#REF!</v>
      </c>
      <c r="U442" s="25" t="e">
        <f ca="1"/>
        <v>#REF!</v>
      </c>
      <c r="V442" s="25" t="e">
        <f ca="1"/>
        <v>#REF!</v>
      </c>
      <c r="W442" s="33" t="e">
        <f ca="1"/>
        <v>#REF!</v>
      </c>
      <c r="X442" s="33" t="e">
        <f ca="1"/>
        <v>#REF!</v>
      </c>
      <c r="Y442" s="33" t="e">
        <f ca="1"/>
        <v>#REF!</v>
      </c>
      <c r="Z442" s="33" t="e">
        <f ca="1"/>
        <v>#REF!</v>
      </c>
      <c r="AA442" s="33" t="e">
        <f ca="1"/>
        <v>#REF!</v>
      </c>
    </row>
    <row r="443" spans="1:27" s="70" customFormat="1" ht="11.25" x14ac:dyDescent="0.2">
      <c r="A443" s="24">
        <v>437</v>
      </c>
      <c r="B443" s="24"/>
      <c r="C443" s="25"/>
      <c r="D443" s="26"/>
      <c r="E443" s="25"/>
      <c r="F443" s="25"/>
      <c r="G443" s="24"/>
      <c r="H443" s="25" t="e">
        <f ca="1"/>
        <v>#REF!</v>
      </c>
      <c r="I443" s="27" t="e">
        <f ca="1"/>
        <v>#REF!</v>
      </c>
      <c r="J443" s="25" t="e">
        <f ca="1"/>
        <v>#REF!</v>
      </c>
      <c r="K443" s="27" t="e">
        <f ca="1"/>
        <v>#REF!</v>
      </c>
      <c r="L443" s="25" t="e">
        <f ca="1"/>
        <v>#REF!</v>
      </c>
      <c r="M443" s="25" t="e">
        <f ca="1"/>
        <v>#REF!</v>
      </c>
      <c r="N443" s="25" t="e">
        <f ca="1"/>
        <v>#REF!</v>
      </c>
      <c r="O443" s="25" t="e">
        <f ca="1"/>
        <v>#REF!</v>
      </c>
      <c r="P443" s="25" t="e">
        <f ca="1"/>
        <v>#REF!</v>
      </c>
      <c r="Q443" s="25" t="e">
        <f ca="1"/>
        <v>#REF!</v>
      </c>
      <c r="R443" s="25" t="e">
        <f ca="1"/>
        <v>#REF!</v>
      </c>
      <c r="S443" s="25" t="e">
        <f ca="1"/>
        <v>#REF!</v>
      </c>
      <c r="T443" s="25" t="e">
        <f ca="1"/>
        <v>#REF!</v>
      </c>
      <c r="U443" s="25" t="e">
        <f ca="1"/>
        <v>#REF!</v>
      </c>
      <c r="V443" s="25" t="e">
        <f ca="1"/>
        <v>#REF!</v>
      </c>
      <c r="W443" s="33" t="e">
        <f ca="1"/>
        <v>#REF!</v>
      </c>
      <c r="X443" s="33" t="e">
        <f ca="1"/>
        <v>#REF!</v>
      </c>
      <c r="Y443" s="33" t="e">
        <f ca="1"/>
        <v>#REF!</v>
      </c>
      <c r="Z443" s="33" t="e">
        <f ca="1"/>
        <v>#REF!</v>
      </c>
      <c r="AA443" s="33" t="e">
        <f ca="1"/>
        <v>#REF!</v>
      </c>
    </row>
    <row r="444" spans="1:27" s="70" customFormat="1" ht="11.25" x14ac:dyDescent="0.2">
      <c r="A444" s="24">
        <v>438</v>
      </c>
      <c r="B444" s="24"/>
      <c r="C444" s="25"/>
      <c r="D444" s="26"/>
      <c r="E444" s="25"/>
      <c r="F444" s="25"/>
      <c r="G444" s="24"/>
      <c r="H444" s="25" t="e">
        <f ca="1"/>
        <v>#REF!</v>
      </c>
      <c r="I444" s="27" t="e">
        <f ca="1"/>
        <v>#REF!</v>
      </c>
      <c r="J444" s="25" t="e">
        <f ca="1"/>
        <v>#REF!</v>
      </c>
      <c r="K444" s="27" t="e">
        <f ca="1"/>
        <v>#REF!</v>
      </c>
      <c r="L444" s="25" t="e">
        <f ca="1"/>
        <v>#REF!</v>
      </c>
      <c r="M444" s="25" t="e">
        <f ca="1"/>
        <v>#REF!</v>
      </c>
      <c r="N444" s="25" t="e">
        <f ca="1"/>
        <v>#REF!</v>
      </c>
      <c r="O444" s="25" t="e">
        <f ca="1"/>
        <v>#REF!</v>
      </c>
      <c r="P444" s="25" t="e">
        <f ca="1"/>
        <v>#REF!</v>
      </c>
      <c r="Q444" s="25" t="e">
        <f ca="1"/>
        <v>#REF!</v>
      </c>
      <c r="R444" s="25" t="e">
        <f ca="1"/>
        <v>#REF!</v>
      </c>
      <c r="S444" s="25" t="e">
        <f ca="1"/>
        <v>#REF!</v>
      </c>
      <c r="T444" s="25" t="e">
        <f ca="1"/>
        <v>#REF!</v>
      </c>
      <c r="U444" s="25" t="e">
        <f ca="1"/>
        <v>#REF!</v>
      </c>
      <c r="V444" s="25" t="e">
        <f ca="1"/>
        <v>#REF!</v>
      </c>
      <c r="W444" s="33" t="e">
        <f ca="1"/>
        <v>#REF!</v>
      </c>
      <c r="X444" s="33" t="e">
        <f ca="1"/>
        <v>#REF!</v>
      </c>
      <c r="Y444" s="33" t="e">
        <f ca="1"/>
        <v>#REF!</v>
      </c>
      <c r="Z444" s="33" t="e">
        <f ca="1"/>
        <v>#REF!</v>
      </c>
      <c r="AA444" s="33" t="e">
        <f ca="1"/>
        <v>#REF!</v>
      </c>
    </row>
    <row r="445" spans="1:27" s="70" customFormat="1" ht="11.25" x14ac:dyDescent="0.2">
      <c r="A445" s="24">
        <v>439</v>
      </c>
      <c r="B445" s="24"/>
      <c r="C445" s="25"/>
      <c r="D445" s="26"/>
      <c r="E445" s="25"/>
      <c r="F445" s="25"/>
      <c r="G445" s="24"/>
      <c r="H445" s="25" t="e">
        <f ca="1"/>
        <v>#REF!</v>
      </c>
      <c r="I445" s="27" t="e">
        <f ca="1"/>
        <v>#REF!</v>
      </c>
      <c r="J445" s="25" t="e">
        <f ca="1"/>
        <v>#REF!</v>
      </c>
      <c r="K445" s="27" t="e">
        <f ca="1"/>
        <v>#REF!</v>
      </c>
      <c r="L445" s="25" t="e">
        <f ca="1"/>
        <v>#REF!</v>
      </c>
      <c r="M445" s="25" t="e">
        <f ca="1"/>
        <v>#REF!</v>
      </c>
      <c r="N445" s="25" t="e">
        <f ca="1"/>
        <v>#REF!</v>
      </c>
      <c r="O445" s="25" t="e">
        <f ca="1"/>
        <v>#REF!</v>
      </c>
      <c r="P445" s="25" t="e">
        <f ca="1"/>
        <v>#REF!</v>
      </c>
      <c r="Q445" s="25" t="e">
        <f ca="1"/>
        <v>#REF!</v>
      </c>
      <c r="R445" s="25" t="e">
        <f ca="1"/>
        <v>#REF!</v>
      </c>
      <c r="S445" s="25" t="e">
        <f ca="1"/>
        <v>#REF!</v>
      </c>
      <c r="T445" s="25" t="e">
        <f ca="1"/>
        <v>#REF!</v>
      </c>
      <c r="U445" s="25" t="e">
        <f ca="1"/>
        <v>#REF!</v>
      </c>
      <c r="V445" s="25" t="e">
        <f ca="1"/>
        <v>#REF!</v>
      </c>
      <c r="W445" s="33" t="e">
        <f ca="1"/>
        <v>#REF!</v>
      </c>
      <c r="X445" s="33" t="e">
        <f ca="1"/>
        <v>#REF!</v>
      </c>
      <c r="Y445" s="33" t="e">
        <f ca="1"/>
        <v>#REF!</v>
      </c>
      <c r="Z445" s="33" t="e">
        <f ca="1"/>
        <v>#REF!</v>
      </c>
      <c r="AA445" s="33" t="e">
        <f ca="1"/>
        <v>#REF!</v>
      </c>
    </row>
    <row r="446" spans="1:27" s="70" customFormat="1" ht="11.25" x14ac:dyDescent="0.2">
      <c r="A446" s="24">
        <v>440</v>
      </c>
      <c r="B446" s="24"/>
      <c r="C446" s="25"/>
      <c r="D446" s="26"/>
      <c r="E446" s="25"/>
      <c r="F446" s="25"/>
      <c r="G446" s="24"/>
      <c r="H446" s="25" t="e">
        <f ca="1"/>
        <v>#REF!</v>
      </c>
      <c r="I446" s="27" t="e">
        <f ca="1"/>
        <v>#REF!</v>
      </c>
      <c r="J446" s="25" t="e">
        <f ca="1"/>
        <v>#REF!</v>
      </c>
      <c r="K446" s="27" t="e">
        <f ca="1"/>
        <v>#REF!</v>
      </c>
      <c r="L446" s="25" t="e">
        <f ca="1"/>
        <v>#REF!</v>
      </c>
      <c r="M446" s="25" t="e">
        <f ca="1"/>
        <v>#REF!</v>
      </c>
      <c r="N446" s="25" t="e">
        <f ca="1"/>
        <v>#REF!</v>
      </c>
      <c r="O446" s="25" t="e">
        <f ca="1"/>
        <v>#REF!</v>
      </c>
      <c r="P446" s="25" t="e">
        <f ca="1"/>
        <v>#REF!</v>
      </c>
      <c r="Q446" s="25" t="e">
        <f ca="1"/>
        <v>#REF!</v>
      </c>
      <c r="R446" s="25" t="e">
        <f ca="1"/>
        <v>#REF!</v>
      </c>
      <c r="S446" s="25" t="e">
        <f ca="1"/>
        <v>#REF!</v>
      </c>
      <c r="T446" s="25" t="e">
        <f ca="1"/>
        <v>#REF!</v>
      </c>
      <c r="U446" s="25" t="e">
        <f ca="1"/>
        <v>#REF!</v>
      </c>
      <c r="V446" s="25" t="e">
        <f ca="1"/>
        <v>#REF!</v>
      </c>
      <c r="W446" s="33" t="e">
        <f ca="1"/>
        <v>#REF!</v>
      </c>
      <c r="X446" s="33" t="e">
        <f ca="1"/>
        <v>#REF!</v>
      </c>
      <c r="Y446" s="33" t="e">
        <f ca="1"/>
        <v>#REF!</v>
      </c>
      <c r="Z446" s="33" t="e">
        <f ca="1"/>
        <v>#REF!</v>
      </c>
      <c r="AA446" s="33" t="e">
        <f ca="1"/>
        <v>#REF!</v>
      </c>
    </row>
    <row r="447" spans="1:27" s="70" customFormat="1" ht="11.25" x14ac:dyDescent="0.2">
      <c r="A447" s="24">
        <v>441</v>
      </c>
      <c r="B447" s="24"/>
      <c r="C447" s="25"/>
      <c r="D447" s="26"/>
      <c r="E447" s="25"/>
      <c r="F447" s="25"/>
      <c r="G447" s="24"/>
      <c r="H447" s="25" t="e">
        <f ca="1"/>
        <v>#REF!</v>
      </c>
      <c r="I447" s="27" t="e">
        <f ca="1"/>
        <v>#REF!</v>
      </c>
      <c r="J447" s="25" t="e">
        <f ca="1"/>
        <v>#REF!</v>
      </c>
      <c r="K447" s="27" t="e">
        <f ca="1"/>
        <v>#REF!</v>
      </c>
      <c r="L447" s="25" t="e">
        <f ca="1"/>
        <v>#REF!</v>
      </c>
      <c r="M447" s="25" t="e">
        <f ca="1"/>
        <v>#REF!</v>
      </c>
      <c r="N447" s="25" t="e">
        <f ca="1"/>
        <v>#REF!</v>
      </c>
      <c r="O447" s="25" t="e">
        <f ca="1"/>
        <v>#REF!</v>
      </c>
      <c r="P447" s="25" t="e">
        <f ca="1"/>
        <v>#REF!</v>
      </c>
      <c r="Q447" s="25" t="e">
        <f ca="1"/>
        <v>#REF!</v>
      </c>
      <c r="R447" s="25" t="e">
        <f ca="1"/>
        <v>#REF!</v>
      </c>
      <c r="S447" s="25" t="e">
        <f ca="1"/>
        <v>#REF!</v>
      </c>
      <c r="T447" s="25" t="e">
        <f ca="1"/>
        <v>#REF!</v>
      </c>
      <c r="U447" s="25" t="e">
        <f ca="1"/>
        <v>#REF!</v>
      </c>
      <c r="V447" s="25" t="e">
        <f ca="1"/>
        <v>#REF!</v>
      </c>
      <c r="W447" s="33" t="e">
        <f ca="1"/>
        <v>#REF!</v>
      </c>
      <c r="X447" s="33" t="e">
        <f ca="1"/>
        <v>#REF!</v>
      </c>
      <c r="Y447" s="33" t="e">
        <f ca="1"/>
        <v>#REF!</v>
      </c>
      <c r="Z447" s="33" t="e">
        <f ca="1"/>
        <v>#REF!</v>
      </c>
      <c r="AA447" s="33" t="e">
        <f ca="1"/>
        <v>#REF!</v>
      </c>
    </row>
    <row r="448" spans="1:27" s="70" customFormat="1" ht="11.25" x14ac:dyDescent="0.2">
      <c r="A448" s="24">
        <v>442</v>
      </c>
      <c r="B448" s="24"/>
      <c r="C448" s="25"/>
      <c r="D448" s="26"/>
      <c r="E448" s="25"/>
      <c r="F448" s="25"/>
      <c r="G448" s="24"/>
      <c r="H448" s="25" t="e">
        <f ca="1"/>
        <v>#REF!</v>
      </c>
      <c r="I448" s="27" t="e">
        <f ca="1"/>
        <v>#REF!</v>
      </c>
      <c r="J448" s="25" t="e">
        <f ca="1"/>
        <v>#REF!</v>
      </c>
      <c r="K448" s="27" t="e">
        <f ca="1"/>
        <v>#REF!</v>
      </c>
      <c r="L448" s="25" t="e">
        <f ca="1"/>
        <v>#REF!</v>
      </c>
      <c r="M448" s="25" t="e">
        <f ca="1"/>
        <v>#REF!</v>
      </c>
      <c r="N448" s="25" t="e">
        <f ca="1"/>
        <v>#REF!</v>
      </c>
      <c r="O448" s="25" t="e">
        <f ca="1"/>
        <v>#REF!</v>
      </c>
      <c r="P448" s="25" t="e">
        <f ca="1"/>
        <v>#REF!</v>
      </c>
      <c r="Q448" s="25" t="e">
        <f ca="1"/>
        <v>#REF!</v>
      </c>
      <c r="R448" s="25" t="e">
        <f ca="1"/>
        <v>#REF!</v>
      </c>
      <c r="S448" s="25" t="e">
        <f ca="1"/>
        <v>#REF!</v>
      </c>
      <c r="T448" s="25" t="e">
        <f ca="1"/>
        <v>#REF!</v>
      </c>
      <c r="U448" s="25" t="e">
        <f ca="1"/>
        <v>#REF!</v>
      </c>
      <c r="V448" s="25" t="e">
        <f ca="1"/>
        <v>#REF!</v>
      </c>
      <c r="W448" s="33" t="e">
        <f ca="1"/>
        <v>#REF!</v>
      </c>
      <c r="X448" s="33" t="e">
        <f ca="1"/>
        <v>#REF!</v>
      </c>
      <c r="Y448" s="33" t="e">
        <f ca="1"/>
        <v>#REF!</v>
      </c>
      <c r="Z448" s="33" t="e">
        <f ca="1"/>
        <v>#REF!</v>
      </c>
      <c r="AA448" s="33" t="e">
        <f ca="1"/>
        <v>#REF!</v>
      </c>
    </row>
    <row r="449" spans="1:27" s="70" customFormat="1" ht="11.25" x14ac:dyDescent="0.2">
      <c r="A449" s="24">
        <v>443</v>
      </c>
      <c r="B449" s="24"/>
      <c r="C449" s="25"/>
      <c r="D449" s="26"/>
      <c r="E449" s="25"/>
      <c r="F449" s="25"/>
      <c r="G449" s="24"/>
      <c r="H449" s="25" t="e">
        <f ca="1"/>
        <v>#REF!</v>
      </c>
      <c r="I449" s="27" t="e">
        <f ca="1"/>
        <v>#REF!</v>
      </c>
      <c r="J449" s="28" t="e">
        <f ca="1"/>
        <v>#REF!</v>
      </c>
      <c r="K449" s="27" t="e">
        <f ca="1"/>
        <v>#REF!</v>
      </c>
      <c r="L449" s="25" t="e">
        <f ca="1"/>
        <v>#REF!</v>
      </c>
      <c r="M449" s="25" t="e">
        <f ca="1"/>
        <v>#REF!</v>
      </c>
      <c r="N449" s="25" t="e">
        <f ca="1"/>
        <v>#REF!</v>
      </c>
      <c r="O449" s="25" t="e">
        <f ca="1"/>
        <v>#REF!</v>
      </c>
      <c r="P449" s="25" t="e">
        <f ca="1"/>
        <v>#REF!</v>
      </c>
      <c r="Q449" s="25" t="e">
        <f ca="1"/>
        <v>#REF!</v>
      </c>
      <c r="R449" s="25" t="e">
        <f ca="1"/>
        <v>#REF!</v>
      </c>
      <c r="S449" s="25" t="e">
        <f ca="1"/>
        <v>#REF!</v>
      </c>
      <c r="T449" s="25" t="e">
        <f ca="1"/>
        <v>#REF!</v>
      </c>
      <c r="U449" s="25" t="e">
        <f ca="1"/>
        <v>#REF!</v>
      </c>
      <c r="V449" s="25" t="e">
        <f ca="1"/>
        <v>#REF!</v>
      </c>
      <c r="W449" s="33" t="e">
        <f ca="1"/>
        <v>#REF!</v>
      </c>
      <c r="X449" s="33" t="e">
        <f ca="1"/>
        <v>#REF!</v>
      </c>
      <c r="Y449" s="33" t="e">
        <f ca="1"/>
        <v>#REF!</v>
      </c>
      <c r="Z449" s="33" t="e">
        <f ca="1"/>
        <v>#REF!</v>
      </c>
      <c r="AA449" s="33" t="e">
        <f ca="1"/>
        <v>#REF!</v>
      </c>
    </row>
    <row r="450" spans="1:27" s="70" customFormat="1" ht="11.25" x14ac:dyDescent="0.2">
      <c r="A450" s="24">
        <v>444</v>
      </c>
      <c r="B450" s="24"/>
      <c r="C450" s="25"/>
      <c r="D450" s="26"/>
      <c r="E450" s="25"/>
      <c r="F450" s="25"/>
      <c r="G450" s="24"/>
      <c r="H450" s="25" t="e">
        <f ca="1"/>
        <v>#REF!</v>
      </c>
      <c r="I450" s="27" t="e">
        <f ca="1"/>
        <v>#REF!</v>
      </c>
      <c r="J450" s="28" t="e">
        <f ca="1"/>
        <v>#REF!</v>
      </c>
      <c r="K450" s="27" t="e">
        <f ca="1"/>
        <v>#REF!</v>
      </c>
      <c r="L450" s="25" t="e">
        <f ca="1"/>
        <v>#REF!</v>
      </c>
      <c r="M450" s="25" t="e">
        <f ca="1"/>
        <v>#REF!</v>
      </c>
      <c r="N450" s="25" t="e">
        <f ca="1"/>
        <v>#REF!</v>
      </c>
      <c r="O450" s="25" t="e">
        <f ca="1"/>
        <v>#REF!</v>
      </c>
      <c r="P450" s="25" t="e">
        <f ca="1"/>
        <v>#REF!</v>
      </c>
      <c r="Q450" s="25" t="e">
        <f ca="1"/>
        <v>#REF!</v>
      </c>
      <c r="R450" s="25" t="e">
        <f ca="1"/>
        <v>#REF!</v>
      </c>
      <c r="S450" s="25" t="e">
        <f ca="1"/>
        <v>#REF!</v>
      </c>
      <c r="T450" s="25" t="e">
        <f ca="1"/>
        <v>#REF!</v>
      </c>
      <c r="U450" s="25" t="e">
        <f ca="1"/>
        <v>#REF!</v>
      </c>
      <c r="V450" s="25" t="e">
        <f ca="1"/>
        <v>#REF!</v>
      </c>
      <c r="W450" s="33" t="e">
        <f ca="1"/>
        <v>#REF!</v>
      </c>
      <c r="X450" s="33" t="e">
        <f ca="1"/>
        <v>#REF!</v>
      </c>
      <c r="Y450" s="33" t="e">
        <f ca="1"/>
        <v>#REF!</v>
      </c>
      <c r="Z450" s="33" t="e">
        <f ca="1"/>
        <v>#REF!</v>
      </c>
      <c r="AA450" s="33" t="e">
        <f ca="1"/>
        <v>#REF!</v>
      </c>
    </row>
    <row r="451" spans="1:27" s="70" customFormat="1" ht="11.25" x14ac:dyDescent="0.2">
      <c r="A451" s="24">
        <v>445</v>
      </c>
      <c r="B451" s="24"/>
      <c r="C451" s="25"/>
      <c r="D451" s="26"/>
      <c r="E451" s="25"/>
      <c r="F451" s="25"/>
      <c r="G451" s="24"/>
      <c r="H451" s="25" t="e">
        <f ca="1"/>
        <v>#REF!</v>
      </c>
      <c r="I451" s="27" t="e">
        <f ca="1"/>
        <v>#REF!</v>
      </c>
      <c r="J451" s="28" t="e">
        <f ca="1"/>
        <v>#REF!</v>
      </c>
      <c r="K451" s="27" t="e">
        <f ca="1"/>
        <v>#REF!</v>
      </c>
      <c r="L451" s="25" t="e">
        <f ca="1"/>
        <v>#REF!</v>
      </c>
      <c r="M451" s="25" t="e">
        <f ca="1"/>
        <v>#REF!</v>
      </c>
      <c r="N451" s="25" t="e">
        <f ca="1"/>
        <v>#REF!</v>
      </c>
      <c r="O451" s="25" t="e">
        <f ca="1"/>
        <v>#REF!</v>
      </c>
      <c r="P451" s="25" t="e">
        <f ca="1"/>
        <v>#REF!</v>
      </c>
      <c r="Q451" s="25" t="e">
        <f ca="1"/>
        <v>#REF!</v>
      </c>
      <c r="R451" s="25" t="e">
        <f ca="1"/>
        <v>#REF!</v>
      </c>
      <c r="S451" s="25" t="e">
        <f ca="1"/>
        <v>#REF!</v>
      </c>
      <c r="T451" s="25" t="e">
        <f ca="1"/>
        <v>#REF!</v>
      </c>
      <c r="U451" s="25" t="e">
        <f ca="1"/>
        <v>#REF!</v>
      </c>
      <c r="V451" s="25" t="e">
        <f ca="1"/>
        <v>#REF!</v>
      </c>
      <c r="W451" s="33" t="e">
        <f ca="1"/>
        <v>#REF!</v>
      </c>
      <c r="X451" s="33" t="e">
        <f ca="1"/>
        <v>#REF!</v>
      </c>
      <c r="Y451" s="33" t="e">
        <f ca="1"/>
        <v>#REF!</v>
      </c>
      <c r="Z451" s="33" t="e">
        <f ca="1"/>
        <v>#REF!</v>
      </c>
      <c r="AA451" s="33" t="e">
        <f ca="1"/>
        <v>#REF!</v>
      </c>
    </row>
    <row r="452" spans="1:27" s="70" customFormat="1" ht="11.25" x14ac:dyDescent="0.2">
      <c r="A452" s="24">
        <v>446</v>
      </c>
      <c r="B452" s="24"/>
      <c r="C452" s="25"/>
      <c r="D452" s="26"/>
      <c r="E452" s="25"/>
      <c r="F452" s="25"/>
      <c r="G452" s="24"/>
      <c r="H452" s="25" t="e">
        <f ca="1"/>
        <v>#REF!</v>
      </c>
      <c r="I452" s="27" t="e">
        <f ca="1"/>
        <v>#REF!</v>
      </c>
      <c r="J452" s="28" t="e">
        <f ca="1"/>
        <v>#REF!</v>
      </c>
      <c r="K452" s="27" t="e">
        <f ca="1"/>
        <v>#REF!</v>
      </c>
      <c r="L452" s="25" t="e">
        <f ca="1"/>
        <v>#REF!</v>
      </c>
      <c r="M452" s="25" t="e">
        <f ca="1"/>
        <v>#REF!</v>
      </c>
      <c r="N452" s="25" t="e">
        <f ca="1"/>
        <v>#REF!</v>
      </c>
      <c r="O452" s="25" t="e">
        <f ca="1"/>
        <v>#REF!</v>
      </c>
      <c r="P452" s="25" t="e">
        <f ca="1"/>
        <v>#REF!</v>
      </c>
      <c r="Q452" s="25" t="e">
        <f ca="1"/>
        <v>#REF!</v>
      </c>
      <c r="R452" s="25" t="e">
        <f ca="1"/>
        <v>#REF!</v>
      </c>
      <c r="S452" s="25" t="e">
        <f ca="1"/>
        <v>#REF!</v>
      </c>
      <c r="T452" s="25" t="e">
        <f ca="1"/>
        <v>#REF!</v>
      </c>
      <c r="U452" s="25" t="e">
        <f ca="1"/>
        <v>#REF!</v>
      </c>
      <c r="V452" s="25" t="e">
        <f ca="1"/>
        <v>#REF!</v>
      </c>
      <c r="W452" s="33" t="e">
        <f ca="1"/>
        <v>#REF!</v>
      </c>
      <c r="X452" s="33" t="e">
        <f ca="1"/>
        <v>#REF!</v>
      </c>
      <c r="Y452" s="33" t="e">
        <f ca="1"/>
        <v>#REF!</v>
      </c>
      <c r="Z452" s="33" t="e">
        <f ca="1"/>
        <v>#REF!</v>
      </c>
      <c r="AA452" s="33" t="e">
        <f ca="1"/>
        <v>#REF!</v>
      </c>
    </row>
    <row r="453" spans="1:27" s="70" customFormat="1" ht="11.25" x14ac:dyDescent="0.2">
      <c r="A453" s="24">
        <v>447</v>
      </c>
      <c r="B453" s="24"/>
      <c r="C453" s="25"/>
      <c r="D453" s="26"/>
      <c r="E453" s="25"/>
      <c r="F453" s="25"/>
      <c r="G453" s="24"/>
      <c r="H453" s="25" t="e">
        <f ca="1"/>
        <v>#REF!</v>
      </c>
      <c r="I453" s="27" t="e">
        <f ca="1"/>
        <v>#REF!</v>
      </c>
      <c r="J453" s="28" t="e">
        <f ca="1"/>
        <v>#REF!</v>
      </c>
      <c r="K453" s="27" t="e">
        <f ca="1"/>
        <v>#REF!</v>
      </c>
      <c r="L453" s="25" t="e">
        <f ca="1"/>
        <v>#REF!</v>
      </c>
      <c r="M453" s="25" t="e">
        <f ca="1"/>
        <v>#REF!</v>
      </c>
      <c r="N453" s="25" t="e">
        <f ca="1"/>
        <v>#REF!</v>
      </c>
      <c r="O453" s="25" t="e">
        <f ca="1"/>
        <v>#REF!</v>
      </c>
      <c r="P453" s="25" t="e">
        <f ca="1"/>
        <v>#REF!</v>
      </c>
      <c r="Q453" s="25" t="e">
        <f ca="1"/>
        <v>#REF!</v>
      </c>
      <c r="R453" s="25" t="e">
        <f ca="1"/>
        <v>#REF!</v>
      </c>
      <c r="S453" s="25" t="e">
        <f ca="1"/>
        <v>#REF!</v>
      </c>
      <c r="T453" s="25" t="e">
        <f ca="1"/>
        <v>#REF!</v>
      </c>
      <c r="U453" s="25" t="e">
        <f ca="1"/>
        <v>#REF!</v>
      </c>
      <c r="V453" s="25" t="e">
        <f ca="1"/>
        <v>#REF!</v>
      </c>
      <c r="W453" s="33" t="e">
        <f ca="1"/>
        <v>#REF!</v>
      </c>
      <c r="X453" s="33" t="e">
        <f ca="1"/>
        <v>#REF!</v>
      </c>
      <c r="Y453" s="33" t="e">
        <f ca="1"/>
        <v>#REF!</v>
      </c>
      <c r="Z453" s="33" t="e">
        <f ca="1"/>
        <v>#REF!</v>
      </c>
      <c r="AA453" s="33" t="e">
        <f ca="1"/>
        <v>#REF!</v>
      </c>
    </row>
    <row r="454" spans="1:27" s="70" customFormat="1" ht="11.25" x14ac:dyDescent="0.2">
      <c r="A454" s="24">
        <v>448</v>
      </c>
      <c r="B454" s="24"/>
      <c r="C454" s="25"/>
      <c r="D454" s="26"/>
      <c r="E454" s="25"/>
      <c r="F454" s="25"/>
      <c r="G454" s="24"/>
      <c r="H454" s="25" t="e">
        <f ca="1"/>
        <v>#REF!</v>
      </c>
      <c r="I454" s="27" t="e">
        <f ca="1"/>
        <v>#REF!</v>
      </c>
      <c r="J454" s="28" t="e">
        <f ca="1"/>
        <v>#REF!</v>
      </c>
      <c r="K454" s="27" t="e">
        <f ca="1"/>
        <v>#REF!</v>
      </c>
      <c r="L454" s="25" t="e">
        <f ca="1"/>
        <v>#REF!</v>
      </c>
      <c r="M454" s="25" t="e">
        <f ca="1"/>
        <v>#REF!</v>
      </c>
      <c r="N454" s="25" t="e">
        <f ca="1"/>
        <v>#REF!</v>
      </c>
      <c r="O454" s="25" t="e">
        <f ca="1"/>
        <v>#REF!</v>
      </c>
      <c r="P454" s="25" t="e">
        <f ca="1"/>
        <v>#REF!</v>
      </c>
      <c r="Q454" s="25" t="e">
        <f ca="1"/>
        <v>#REF!</v>
      </c>
      <c r="R454" s="25" t="e">
        <f ca="1"/>
        <v>#REF!</v>
      </c>
      <c r="S454" s="25" t="e">
        <f ca="1"/>
        <v>#REF!</v>
      </c>
      <c r="T454" s="25" t="e">
        <f ca="1"/>
        <v>#REF!</v>
      </c>
      <c r="U454" s="25" t="e">
        <f ca="1"/>
        <v>#REF!</v>
      </c>
      <c r="V454" s="25" t="e">
        <f ca="1"/>
        <v>#REF!</v>
      </c>
      <c r="W454" s="33" t="e">
        <f ca="1"/>
        <v>#REF!</v>
      </c>
      <c r="X454" s="33" t="e">
        <f ca="1"/>
        <v>#REF!</v>
      </c>
      <c r="Y454" s="33" t="e">
        <f ca="1"/>
        <v>#REF!</v>
      </c>
      <c r="Z454" s="33" t="e">
        <f ca="1"/>
        <v>#REF!</v>
      </c>
      <c r="AA454" s="33" t="e">
        <f ca="1"/>
        <v>#REF!</v>
      </c>
    </row>
    <row r="455" spans="1:27" s="70" customFormat="1" ht="11.25" x14ac:dyDescent="0.2">
      <c r="A455" s="24">
        <v>449</v>
      </c>
      <c r="B455" s="24"/>
      <c r="C455" s="25"/>
      <c r="D455" s="26"/>
      <c r="E455" s="25"/>
      <c r="F455" s="25"/>
      <c r="G455" s="24"/>
      <c r="H455" s="25" t="e">
        <f ca="1"/>
        <v>#REF!</v>
      </c>
      <c r="I455" s="27" t="e">
        <f ca="1"/>
        <v>#REF!</v>
      </c>
      <c r="J455" s="28" t="e">
        <f ca="1"/>
        <v>#REF!</v>
      </c>
      <c r="K455" s="27" t="e">
        <f ca="1"/>
        <v>#REF!</v>
      </c>
      <c r="L455" s="25" t="e">
        <f ca="1"/>
        <v>#REF!</v>
      </c>
      <c r="M455" s="25" t="e">
        <f ca="1"/>
        <v>#REF!</v>
      </c>
      <c r="N455" s="25" t="e">
        <f ca="1"/>
        <v>#REF!</v>
      </c>
      <c r="O455" s="25" t="e">
        <f ca="1"/>
        <v>#REF!</v>
      </c>
      <c r="P455" s="25" t="e">
        <f ca="1"/>
        <v>#REF!</v>
      </c>
      <c r="Q455" s="25" t="e">
        <f ca="1"/>
        <v>#REF!</v>
      </c>
      <c r="R455" s="25" t="e">
        <f ca="1"/>
        <v>#REF!</v>
      </c>
      <c r="S455" s="25" t="e">
        <f ca="1"/>
        <v>#REF!</v>
      </c>
      <c r="T455" s="25" t="e">
        <f ca="1"/>
        <v>#REF!</v>
      </c>
      <c r="U455" s="25" t="e">
        <f ca="1"/>
        <v>#REF!</v>
      </c>
      <c r="V455" s="25" t="e">
        <f ca="1"/>
        <v>#REF!</v>
      </c>
      <c r="W455" s="33" t="e">
        <f ca="1"/>
        <v>#REF!</v>
      </c>
      <c r="X455" s="33" t="e">
        <f ca="1"/>
        <v>#REF!</v>
      </c>
      <c r="Y455" s="33" t="e">
        <f ca="1"/>
        <v>#REF!</v>
      </c>
      <c r="Z455" s="33" t="e">
        <f ca="1"/>
        <v>#REF!</v>
      </c>
      <c r="AA455" s="33" t="e">
        <f ca="1"/>
        <v>#REF!</v>
      </c>
    </row>
    <row r="456" spans="1:27" s="70" customFormat="1" ht="11.25" x14ac:dyDescent="0.2">
      <c r="A456" s="24">
        <v>450</v>
      </c>
      <c r="B456" s="24"/>
      <c r="C456" s="25"/>
      <c r="D456" s="26"/>
      <c r="E456" s="25"/>
      <c r="F456" s="25"/>
      <c r="G456" s="24"/>
      <c r="H456" s="25" t="e">
        <f ca="1"/>
        <v>#REF!</v>
      </c>
      <c r="I456" s="27" t="e">
        <f ca="1"/>
        <v>#REF!</v>
      </c>
      <c r="J456" s="28" t="e">
        <f ca="1"/>
        <v>#REF!</v>
      </c>
      <c r="K456" s="27" t="e">
        <f ca="1"/>
        <v>#REF!</v>
      </c>
      <c r="L456" s="25" t="e">
        <f ca="1"/>
        <v>#REF!</v>
      </c>
      <c r="M456" s="25" t="e">
        <f ca="1"/>
        <v>#REF!</v>
      </c>
      <c r="N456" s="25" t="e">
        <f ca="1"/>
        <v>#REF!</v>
      </c>
      <c r="O456" s="25" t="e">
        <f ca="1"/>
        <v>#REF!</v>
      </c>
      <c r="P456" s="25" t="e">
        <f ca="1"/>
        <v>#REF!</v>
      </c>
      <c r="Q456" s="25" t="e">
        <f ca="1"/>
        <v>#REF!</v>
      </c>
      <c r="R456" s="25" t="e">
        <f ca="1"/>
        <v>#REF!</v>
      </c>
      <c r="S456" s="25" t="e">
        <f ca="1"/>
        <v>#REF!</v>
      </c>
      <c r="T456" s="25" t="e">
        <f ca="1"/>
        <v>#REF!</v>
      </c>
      <c r="U456" s="25" t="e">
        <f ca="1"/>
        <v>#REF!</v>
      </c>
      <c r="V456" s="25" t="e">
        <f ca="1"/>
        <v>#REF!</v>
      </c>
      <c r="W456" s="33" t="e">
        <f ca="1"/>
        <v>#REF!</v>
      </c>
      <c r="X456" s="33" t="e">
        <f ca="1"/>
        <v>#REF!</v>
      </c>
      <c r="Y456" s="33" t="e">
        <f ca="1"/>
        <v>#REF!</v>
      </c>
      <c r="Z456" s="33" t="e">
        <f ca="1"/>
        <v>#REF!</v>
      </c>
      <c r="AA456" s="33" t="e">
        <f ca="1"/>
        <v>#REF!</v>
      </c>
    </row>
    <row r="457" spans="1:27" s="70" customFormat="1" ht="11.25" x14ac:dyDescent="0.2">
      <c r="A457" s="24">
        <v>451</v>
      </c>
      <c r="B457" s="24"/>
      <c r="C457" s="25"/>
      <c r="D457" s="26"/>
      <c r="E457" s="25"/>
      <c r="F457" s="25"/>
      <c r="G457" s="24"/>
      <c r="H457" s="25" t="e">
        <f ca="1"/>
        <v>#REF!</v>
      </c>
      <c r="I457" s="27" t="e">
        <f ca="1"/>
        <v>#REF!</v>
      </c>
      <c r="J457" s="25" t="e">
        <f ca="1"/>
        <v>#REF!</v>
      </c>
      <c r="K457" s="27" t="e">
        <f ca="1"/>
        <v>#REF!</v>
      </c>
      <c r="L457" s="25" t="e">
        <f ca="1"/>
        <v>#REF!</v>
      </c>
      <c r="M457" s="25" t="e">
        <f ca="1"/>
        <v>#REF!</v>
      </c>
      <c r="N457" s="25" t="e">
        <f ca="1"/>
        <v>#REF!</v>
      </c>
      <c r="O457" s="25" t="e">
        <f ca="1"/>
        <v>#REF!</v>
      </c>
      <c r="P457" s="25" t="e">
        <f ca="1"/>
        <v>#REF!</v>
      </c>
      <c r="Q457" s="25" t="e">
        <f ca="1"/>
        <v>#REF!</v>
      </c>
      <c r="R457" s="25" t="e">
        <f ca="1"/>
        <v>#REF!</v>
      </c>
      <c r="S457" s="25" t="e">
        <f ca="1"/>
        <v>#REF!</v>
      </c>
      <c r="T457" s="25" t="e">
        <f ca="1"/>
        <v>#REF!</v>
      </c>
      <c r="U457" s="25" t="e">
        <f ca="1"/>
        <v>#REF!</v>
      </c>
      <c r="V457" s="25" t="e">
        <f ca="1"/>
        <v>#REF!</v>
      </c>
      <c r="W457" s="33" t="e">
        <f ca="1"/>
        <v>#REF!</v>
      </c>
      <c r="X457" s="33" t="e">
        <f ca="1"/>
        <v>#REF!</v>
      </c>
      <c r="Y457" s="33" t="e">
        <f ca="1"/>
        <v>#REF!</v>
      </c>
      <c r="Z457" s="33" t="e">
        <f ca="1"/>
        <v>#REF!</v>
      </c>
      <c r="AA457" s="33" t="e">
        <f ca="1"/>
        <v>#REF!</v>
      </c>
    </row>
    <row r="458" spans="1:27" s="70" customFormat="1" ht="11.25" x14ac:dyDescent="0.2">
      <c r="A458" s="24">
        <v>452</v>
      </c>
      <c r="B458" s="24"/>
      <c r="C458" s="25"/>
      <c r="D458" s="26"/>
      <c r="E458" s="25"/>
      <c r="F458" s="25"/>
      <c r="G458" s="24"/>
      <c r="H458" s="25" t="e">
        <f ca="1"/>
        <v>#REF!</v>
      </c>
      <c r="I458" s="27" t="e">
        <f ca="1"/>
        <v>#REF!</v>
      </c>
      <c r="J458" s="25" t="e">
        <f ca="1"/>
        <v>#REF!</v>
      </c>
      <c r="K458" s="27" t="e">
        <f ca="1"/>
        <v>#REF!</v>
      </c>
      <c r="L458" s="25" t="e">
        <f ca="1"/>
        <v>#REF!</v>
      </c>
      <c r="M458" s="25" t="e">
        <f ca="1"/>
        <v>#REF!</v>
      </c>
      <c r="N458" s="25" t="e">
        <f ca="1"/>
        <v>#REF!</v>
      </c>
      <c r="O458" s="25" t="e">
        <f ca="1"/>
        <v>#REF!</v>
      </c>
      <c r="P458" s="25" t="e">
        <f ca="1"/>
        <v>#REF!</v>
      </c>
      <c r="Q458" s="25" t="e">
        <f ca="1"/>
        <v>#REF!</v>
      </c>
      <c r="R458" s="25" t="e">
        <f ca="1"/>
        <v>#REF!</v>
      </c>
      <c r="S458" s="25" t="e">
        <f ca="1"/>
        <v>#REF!</v>
      </c>
      <c r="T458" s="25" t="e">
        <f ca="1"/>
        <v>#REF!</v>
      </c>
      <c r="U458" s="25" t="e">
        <f ca="1"/>
        <v>#REF!</v>
      </c>
      <c r="V458" s="25" t="e">
        <f ca="1"/>
        <v>#REF!</v>
      </c>
      <c r="W458" s="33" t="e">
        <f ca="1"/>
        <v>#REF!</v>
      </c>
      <c r="X458" s="33" t="e">
        <f ca="1"/>
        <v>#REF!</v>
      </c>
      <c r="Y458" s="33" t="e">
        <f ca="1"/>
        <v>#REF!</v>
      </c>
      <c r="Z458" s="33" t="e">
        <f ca="1"/>
        <v>#REF!</v>
      </c>
      <c r="AA458" s="33" t="e">
        <f ca="1"/>
        <v>#REF!</v>
      </c>
    </row>
    <row r="459" spans="1:27" s="70" customFormat="1" ht="11.25" x14ac:dyDescent="0.2">
      <c r="A459" s="24">
        <v>453</v>
      </c>
      <c r="B459" s="24"/>
      <c r="C459" s="25"/>
      <c r="D459" s="26"/>
      <c r="E459" s="25"/>
      <c r="F459" s="25"/>
      <c r="G459" s="24"/>
      <c r="H459" s="25" t="e">
        <f ca="1"/>
        <v>#REF!</v>
      </c>
      <c r="I459" s="27" t="e">
        <f ca="1"/>
        <v>#REF!</v>
      </c>
      <c r="J459" s="28" t="e">
        <f ca="1"/>
        <v>#REF!</v>
      </c>
      <c r="K459" s="27" t="e">
        <f ca="1"/>
        <v>#REF!</v>
      </c>
      <c r="L459" s="25" t="e">
        <f ca="1"/>
        <v>#REF!</v>
      </c>
      <c r="M459" s="25" t="e">
        <f ca="1"/>
        <v>#REF!</v>
      </c>
      <c r="N459" s="25" t="e">
        <f ca="1"/>
        <v>#REF!</v>
      </c>
      <c r="O459" s="25" t="e">
        <f ca="1"/>
        <v>#REF!</v>
      </c>
      <c r="P459" s="25" t="e">
        <f ca="1"/>
        <v>#REF!</v>
      </c>
      <c r="Q459" s="25" t="e">
        <f ca="1"/>
        <v>#REF!</v>
      </c>
      <c r="R459" s="25" t="e">
        <f ca="1"/>
        <v>#REF!</v>
      </c>
      <c r="S459" s="25" t="e">
        <f ca="1"/>
        <v>#REF!</v>
      </c>
      <c r="T459" s="25" t="e">
        <f ca="1"/>
        <v>#REF!</v>
      </c>
      <c r="U459" s="25" t="e">
        <f ca="1"/>
        <v>#REF!</v>
      </c>
      <c r="V459" s="25" t="e">
        <f ca="1"/>
        <v>#REF!</v>
      </c>
      <c r="W459" s="33" t="e">
        <f ca="1"/>
        <v>#REF!</v>
      </c>
      <c r="X459" s="33" t="e">
        <f ca="1"/>
        <v>#REF!</v>
      </c>
      <c r="Y459" s="33" t="e">
        <f ca="1"/>
        <v>#REF!</v>
      </c>
      <c r="Z459" s="33" t="e">
        <f ca="1"/>
        <v>#REF!</v>
      </c>
      <c r="AA459" s="33" t="e">
        <f ca="1"/>
        <v>#REF!</v>
      </c>
    </row>
    <row r="460" spans="1:27" s="70" customFormat="1" ht="55.5" customHeight="1" x14ac:dyDescent="0.2">
      <c r="A460" s="24">
        <v>454</v>
      </c>
      <c r="B460" s="24"/>
      <c r="C460" s="25"/>
      <c r="D460" s="26"/>
      <c r="E460" s="25"/>
      <c r="F460" s="25"/>
      <c r="G460" s="24"/>
      <c r="H460" s="25" t="e">
        <f ca="1"/>
        <v>#REF!</v>
      </c>
      <c r="I460" s="27" t="e">
        <f ca="1"/>
        <v>#REF!</v>
      </c>
      <c r="J460" s="28" t="e">
        <f ca="1"/>
        <v>#REF!</v>
      </c>
      <c r="K460" s="27" t="e">
        <f ca="1"/>
        <v>#REF!</v>
      </c>
      <c r="L460" s="25" t="e">
        <f ca="1"/>
        <v>#REF!</v>
      </c>
      <c r="M460" s="25" t="e">
        <f ca="1"/>
        <v>#REF!</v>
      </c>
      <c r="N460" s="25" t="e">
        <f ca="1"/>
        <v>#REF!</v>
      </c>
      <c r="O460" s="25" t="e">
        <f ca="1"/>
        <v>#REF!</v>
      </c>
      <c r="P460" s="25" t="e">
        <f ca="1"/>
        <v>#REF!</v>
      </c>
      <c r="Q460" s="25" t="e">
        <f ca="1"/>
        <v>#REF!</v>
      </c>
      <c r="R460" s="25" t="e">
        <f ca="1"/>
        <v>#REF!</v>
      </c>
      <c r="S460" s="25" t="e">
        <f ca="1"/>
        <v>#REF!</v>
      </c>
      <c r="T460" s="25" t="e">
        <f ca="1"/>
        <v>#REF!</v>
      </c>
      <c r="U460" s="25" t="e">
        <f ca="1"/>
        <v>#REF!</v>
      </c>
      <c r="V460" s="25" t="e">
        <f ca="1"/>
        <v>#REF!</v>
      </c>
      <c r="W460" s="33" t="e">
        <f ca="1"/>
        <v>#REF!</v>
      </c>
      <c r="X460" s="33" t="e">
        <f ca="1"/>
        <v>#REF!</v>
      </c>
      <c r="Y460" s="33" t="e">
        <f ca="1"/>
        <v>#REF!</v>
      </c>
      <c r="Z460" s="33" t="e">
        <f ca="1"/>
        <v>#REF!</v>
      </c>
      <c r="AA460" s="33" t="e">
        <f ca="1"/>
        <v>#REF!</v>
      </c>
    </row>
    <row r="461" spans="1:27" s="70" customFormat="1" ht="55.5" customHeight="1" x14ac:dyDescent="0.2">
      <c r="A461" s="24">
        <v>455</v>
      </c>
      <c r="B461" s="24"/>
      <c r="C461" s="25"/>
      <c r="D461" s="26"/>
      <c r="E461" s="25"/>
      <c r="F461" s="25"/>
      <c r="G461" s="24"/>
      <c r="H461" s="25" t="e">
        <f ca="1"/>
        <v>#REF!</v>
      </c>
      <c r="I461" s="27" t="e">
        <f ca="1"/>
        <v>#REF!</v>
      </c>
      <c r="J461" s="28" t="e">
        <f ca="1"/>
        <v>#REF!</v>
      </c>
      <c r="K461" s="27" t="e">
        <f ca="1"/>
        <v>#REF!</v>
      </c>
      <c r="L461" s="25" t="e">
        <f ca="1"/>
        <v>#REF!</v>
      </c>
      <c r="M461" s="25" t="e">
        <f ca="1"/>
        <v>#REF!</v>
      </c>
      <c r="N461" s="25" t="e">
        <f ca="1"/>
        <v>#REF!</v>
      </c>
      <c r="O461" s="25" t="e">
        <f ca="1"/>
        <v>#REF!</v>
      </c>
      <c r="P461" s="25" t="e">
        <f ca="1"/>
        <v>#REF!</v>
      </c>
      <c r="Q461" s="25" t="e">
        <f ca="1"/>
        <v>#REF!</v>
      </c>
      <c r="R461" s="25" t="e">
        <f ca="1"/>
        <v>#REF!</v>
      </c>
      <c r="S461" s="25" t="e">
        <f ca="1"/>
        <v>#REF!</v>
      </c>
      <c r="T461" s="25" t="e">
        <f ca="1"/>
        <v>#REF!</v>
      </c>
      <c r="U461" s="25" t="e">
        <f ca="1"/>
        <v>#REF!</v>
      </c>
      <c r="V461" s="25" t="e">
        <f ca="1"/>
        <v>#REF!</v>
      </c>
      <c r="W461" s="33" t="e">
        <f ca="1"/>
        <v>#REF!</v>
      </c>
      <c r="X461" s="33" t="e">
        <f ca="1"/>
        <v>#REF!</v>
      </c>
      <c r="Y461" s="33" t="e">
        <f ca="1"/>
        <v>#REF!</v>
      </c>
      <c r="Z461" s="33" t="e">
        <f ca="1"/>
        <v>#REF!</v>
      </c>
      <c r="AA461" s="33" t="e">
        <f ca="1"/>
        <v>#REF!</v>
      </c>
    </row>
    <row r="462" spans="1:27" s="70" customFormat="1" ht="55.5" customHeight="1" x14ac:dyDescent="0.2">
      <c r="A462" s="24">
        <v>456</v>
      </c>
      <c r="B462" s="24"/>
      <c r="C462" s="25"/>
      <c r="D462" s="26"/>
      <c r="E462" s="25"/>
      <c r="F462" s="25"/>
      <c r="G462" s="24"/>
      <c r="H462" s="25" t="e">
        <f ca="1"/>
        <v>#REF!</v>
      </c>
      <c r="I462" s="27" t="e">
        <f ca="1"/>
        <v>#REF!</v>
      </c>
      <c r="J462" s="28" t="e">
        <f ca="1"/>
        <v>#REF!</v>
      </c>
      <c r="K462" s="27" t="e">
        <f ca="1"/>
        <v>#REF!</v>
      </c>
      <c r="L462" s="25" t="e">
        <f ca="1"/>
        <v>#REF!</v>
      </c>
      <c r="M462" s="25" t="e">
        <f ca="1"/>
        <v>#REF!</v>
      </c>
      <c r="N462" s="25" t="e">
        <f ca="1"/>
        <v>#REF!</v>
      </c>
      <c r="O462" s="25" t="e">
        <f ca="1"/>
        <v>#REF!</v>
      </c>
      <c r="P462" s="25" t="e">
        <f ca="1"/>
        <v>#REF!</v>
      </c>
      <c r="Q462" s="25" t="e">
        <f ca="1"/>
        <v>#REF!</v>
      </c>
      <c r="R462" s="25" t="e">
        <f ca="1"/>
        <v>#REF!</v>
      </c>
      <c r="S462" s="25" t="e">
        <f ca="1"/>
        <v>#REF!</v>
      </c>
      <c r="T462" s="25" t="e">
        <f ca="1"/>
        <v>#REF!</v>
      </c>
      <c r="U462" s="25" t="e">
        <f ca="1"/>
        <v>#REF!</v>
      </c>
      <c r="V462" s="25" t="e">
        <f ca="1"/>
        <v>#REF!</v>
      </c>
      <c r="W462" s="33" t="e">
        <f ca="1"/>
        <v>#REF!</v>
      </c>
      <c r="X462" s="33" t="e">
        <f ca="1"/>
        <v>#REF!</v>
      </c>
      <c r="Y462" s="33" t="e">
        <f ca="1"/>
        <v>#REF!</v>
      </c>
      <c r="Z462" s="33" t="e">
        <f ca="1"/>
        <v>#REF!</v>
      </c>
      <c r="AA462" s="33" t="e">
        <f ca="1"/>
        <v>#REF!</v>
      </c>
    </row>
    <row r="463" spans="1:27" s="70" customFormat="1" ht="55.5" customHeight="1" x14ac:dyDescent="0.2">
      <c r="A463" s="24">
        <v>457</v>
      </c>
      <c r="B463" s="24"/>
      <c r="C463" s="25"/>
      <c r="D463" s="26"/>
      <c r="E463" s="25"/>
      <c r="F463" s="25"/>
      <c r="G463" s="24"/>
      <c r="H463" s="25" t="e">
        <f ca="1"/>
        <v>#REF!</v>
      </c>
      <c r="I463" s="27" t="e">
        <f ca="1"/>
        <v>#REF!</v>
      </c>
      <c r="J463" s="28" t="e">
        <f ca="1"/>
        <v>#REF!</v>
      </c>
      <c r="K463" s="27" t="e">
        <f ca="1"/>
        <v>#REF!</v>
      </c>
      <c r="L463" s="25" t="e">
        <f ca="1"/>
        <v>#REF!</v>
      </c>
      <c r="M463" s="25" t="e">
        <f ca="1"/>
        <v>#REF!</v>
      </c>
      <c r="N463" s="25" t="e">
        <f ca="1"/>
        <v>#REF!</v>
      </c>
      <c r="O463" s="25" t="e">
        <f ca="1"/>
        <v>#REF!</v>
      </c>
      <c r="P463" s="25" t="e">
        <f ca="1"/>
        <v>#REF!</v>
      </c>
      <c r="Q463" s="25" t="e">
        <f ca="1"/>
        <v>#REF!</v>
      </c>
      <c r="R463" s="25" t="e">
        <f ca="1"/>
        <v>#REF!</v>
      </c>
      <c r="S463" s="25" t="e">
        <f ca="1"/>
        <v>#REF!</v>
      </c>
      <c r="T463" s="25" t="e">
        <f ca="1"/>
        <v>#REF!</v>
      </c>
      <c r="U463" s="25" t="e">
        <f ca="1"/>
        <v>#REF!</v>
      </c>
      <c r="V463" s="25" t="e">
        <f ca="1"/>
        <v>#REF!</v>
      </c>
      <c r="W463" s="33" t="e">
        <f ca="1"/>
        <v>#REF!</v>
      </c>
      <c r="X463" s="33" t="e">
        <f ca="1"/>
        <v>#REF!</v>
      </c>
      <c r="Y463" s="33" t="e">
        <f ca="1"/>
        <v>#REF!</v>
      </c>
      <c r="Z463" s="33" t="e">
        <f ca="1"/>
        <v>#REF!</v>
      </c>
      <c r="AA463" s="33" t="e">
        <f ca="1"/>
        <v>#REF!</v>
      </c>
    </row>
    <row r="464" spans="1:27" s="70" customFormat="1" ht="55.5" customHeight="1" x14ac:dyDescent="0.2">
      <c r="A464" s="24">
        <v>458</v>
      </c>
      <c r="B464" s="24"/>
      <c r="C464" s="25"/>
      <c r="D464" s="26"/>
      <c r="E464" s="25"/>
      <c r="F464" s="25"/>
      <c r="G464" s="24"/>
      <c r="H464" s="25" t="e">
        <f ca="1"/>
        <v>#REF!</v>
      </c>
      <c r="I464" s="27" t="e">
        <f ca="1"/>
        <v>#REF!</v>
      </c>
      <c r="J464" s="28" t="e">
        <f ca="1"/>
        <v>#REF!</v>
      </c>
      <c r="K464" s="27" t="e">
        <f ca="1"/>
        <v>#REF!</v>
      </c>
      <c r="L464" s="25" t="e">
        <f ca="1"/>
        <v>#REF!</v>
      </c>
      <c r="M464" s="25" t="e">
        <f ca="1"/>
        <v>#REF!</v>
      </c>
      <c r="N464" s="25" t="e">
        <f ca="1"/>
        <v>#REF!</v>
      </c>
      <c r="O464" s="25" t="e">
        <f ca="1"/>
        <v>#REF!</v>
      </c>
      <c r="P464" s="25" t="e">
        <f ca="1"/>
        <v>#REF!</v>
      </c>
      <c r="Q464" s="25" t="e">
        <f ca="1"/>
        <v>#REF!</v>
      </c>
      <c r="R464" s="25" t="e">
        <f ca="1"/>
        <v>#REF!</v>
      </c>
      <c r="S464" s="25" t="e">
        <f ca="1"/>
        <v>#REF!</v>
      </c>
      <c r="T464" s="25" t="e">
        <f ca="1"/>
        <v>#REF!</v>
      </c>
      <c r="U464" s="25" t="e">
        <f ca="1"/>
        <v>#REF!</v>
      </c>
      <c r="V464" s="25" t="e">
        <f ca="1"/>
        <v>#REF!</v>
      </c>
      <c r="W464" s="33" t="e">
        <f ca="1"/>
        <v>#REF!</v>
      </c>
      <c r="X464" s="33" t="e">
        <f ca="1"/>
        <v>#REF!</v>
      </c>
      <c r="Y464" s="33" t="e">
        <f ca="1"/>
        <v>#REF!</v>
      </c>
      <c r="Z464" s="33" t="e">
        <f ca="1"/>
        <v>#REF!</v>
      </c>
      <c r="AA464" s="33" t="e">
        <f ca="1"/>
        <v>#REF!</v>
      </c>
    </row>
    <row r="465" spans="1:27" s="70" customFormat="1" ht="55.5" customHeight="1" x14ac:dyDescent="0.2">
      <c r="A465" s="24">
        <v>459</v>
      </c>
      <c r="B465" s="24"/>
      <c r="C465" s="25"/>
      <c r="D465" s="26"/>
      <c r="E465" s="25"/>
      <c r="F465" s="25"/>
      <c r="G465" s="24"/>
      <c r="H465" s="25" t="e">
        <f ca="1"/>
        <v>#REF!</v>
      </c>
      <c r="I465" s="27" t="e">
        <f ca="1"/>
        <v>#REF!</v>
      </c>
      <c r="J465" s="28" t="e">
        <f ca="1"/>
        <v>#REF!</v>
      </c>
      <c r="K465" s="27" t="e">
        <f ca="1"/>
        <v>#REF!</v>
      </c>
      <c r="L465" s="25" t="e">
        <f ca="1"/>
        <v>#REF!</v>
      </c>
      <c r="M465" s="25" t="e">
        <f ca="1"/>
        <v>#REF!</v>
      </c>
      <c r="N465" s="25" t="e">
        <f ca="1"/>
        <v>#REF!</v>
      </c>
      <c r="O465" s="25" t="e">
        <f ca="1"/>
        <v>#REF!</v>
      </c>
      <c r="P465" s="25" t="e">
        <f ca="1"/>
        <v>#REF!</v>
      </c>
      <c r="Q465" s="25" t="e">
        <f ca="1"/>
        <v>#REF!</v>
      </c>
      <c r="R465" s="25" t="e">
        <f ca="1"/>
        <v>#REF!</v>
      </c>
      <c r="S465" s="25" t="e">
        <f ca="1"/>
        <v>#REF!</v>
      </c>
      <c r="T465" s="25" t="e">
        <f ca="1"/>
        <v>#REF!</v>
      </c>
      <c r="U465" s="25" t="e">
        <f ca="1"/>
        <v>#REF!</v>
      </c>
      <c r="V465" s="25" t="e">
        <f ca="1"/>
        <v>#REF!</v>
      </c>
      <c r="W465" s="33" t="e">
        <f ca="1"/>
        <v>#REF!</v>
      </c>
      <c r="X465" s="33" t="e">
        <f ca="1"/>
        <v>#REF!</v>
      </c>
      <c r="Y465" s="33" t="e">
        <f ca="1"/>
        <v>#REF!</v>
      </c>
      <c r="Z465" s="33" t="e">
        <f ca="1"/>
        <v>#REF!</v>
      </c>
      <c r="AA465" s="33" t="e">
        <f ca="1"/>
        <v>#REF!</v>
      </c>
    </row>
    <row r="466" spans="1:27" s="70" customFormat="1" ht="55.5" customHeight="1" x14ac:dyDescent="0.2">
      <c r="A466" s="24">
        <v>460</v>
      </c>
      <c r="B466" s="24"/>
      <c r="C466" s="25"/>
      <c r="D466" s="26"/>
      <c r="E466" s="25"/>
      <c r="F466" s="25"/>
      <c r="G466" s="24"/>
      <c r="H466" s="25" t="e">
        <f ca="1"/>
        <v>#REF!</v>
      </c>
      <c r="I466" s="27" t="e">
        <f ca="1"/>
        <v>#REF!</v>
      </c>
      <c r="J466" s="28" t="e">
        <f ca="1"/>
        <v>#REF!</v>
      </c>
      <c r="K466" s="27" t="e">
        <f ca="1"/>
        <v>#REF!</v>
      </c>
      <c r="L466" s="25" t="e">
        <f ca="1"/>
        <v>#REF!</v>
      </c>
      <c r="M466" s="25" t="e">
        <f ca="1"/>
        <v>#REF!</v>
      </c>
      <c r="N466" s="25" t="e">
        <f ca="1"/>
        <v>#REF!</v>
      </c>
      <c r="O466" s="25" t="e">
        <f ca="1"/>
        <v>#REF!</v>
      </c>
      <c r="P466" s="25" t="e">
        <f ca="1"/>
        <v>#REF!</v>
      </c>
      <c r="Q466" s="25" t="e">
        <f ca="1"/>
        <v>#REF!</v>
      </c>
      <c r="R466" s="25" t="e">
        <f ca="1"/>
        <v>#REF!</v>
      </c>
      <c r="S466" s="25" t="e">
        <f ca="1"/>
        <v>#REF!</v>
      </c>
      <c r="T466" s="25" t="e">
        <f ca="1"/>
        <v>#REF!</v>
      </c>
      <c r="U466" s="25" t="e">
        <f ca="1"/>
        <v>#REF!</v>
      </c>
      <c r="V466" s="25" t="e">
        <f ca="1"/>
        <v>#REF!</v>
      </c>
      <c r="W466" s="33" t="e">
        <f ca="1"/>
        <v>#REF!</v>
      </c>
      <c r="X466" s="33" t="e">
        <f ca="1"/>
        <v>#REF!</v>
      </c>
      <c r="Y466" s="33" t="e">
        <f ca="1"/>
        <v>#REF!</v>
      </c>
      <c r="Z466" s="33" t="e">
        <f ca="1"/>
        <v>#REF!</v>
      </c>
      <c r="AA466" s="33" t="e">
        <f ca="1"/>
        <v>#REF!</v>
      </c>
    </row>
    <row r="467" spans="1:27" s="70" customFormat="1" ht="55.5" customHeight="1" x14ac:dyDescent="0.2">
      <c r="A467" s="24">
        <v>461</v>
      </c>
      <c r="B467" s="24"/>
      <c r="C467" s="25"/>
      <c r="D467" s="26"/>
      <c r="E467" s="25"/>
      <c r="F467" s="25"/>
      <c r="G467" s="24"/>
      <c r="H467" s="25" t="e">
        <f ca="1"/>
        <v>#REF!</v>
      </c>
      <c r="I467" s="27" t="e">
        <f ca="1"/>
        <v>#REF!</v>
      </c>
      <c r="J467" s="28" t="e">
        <f ca="1"/>
        <v>#REF!</v>
      </c>
      <c r="K467" s="27" t="e">
        <f ca="1"/>
        <v>#REF!</v>
      </c>
      <c r="L467" s="25" t="e">
        <f ca="1"/>
        <v>#REF!</v>
      </c>
      <c r="M467" s="25" t="e">
        <f ca="1"/>
        <v>#REF!</v>
      </c>
      <c r="N467" s="25" t="e">
        <f ca="1"/>
        <v>#REF!</v>
      </c>
      <c r="O467" s="25" t="e">
        <f ca="1"/>
        <v>#REF!</v>
      </c>
      <c r="P467" s="25" t="e">
        <f ca="1"/>
        <v>#REF!</v>
      </c>
      <c r="Q467" s="25" t="e">
        <f ca="1"/>
        <v>#REF!</v>
      </c>
      <c r="R467" s="25" t="e">
        <f ca="1"/>
        <v>#REF!</v>
      </c>
      <c r="S467" s="25" t="e">
        <f ca="1"/>
        <v>#REF!</v>
      </c>
      <c r="T467" s="25" t="e">
        <f ca="1"/>
        <v>#REF!</v>
      </c>
      <c r="U467" s="25" t="e">
        <f ca="1"/>
        <v>#REF!</v>
      </c>
      <c r="V467" s="25" t="e">
        <f ca="1"/>
        <v>#REF!</v>
      </c>
      <c r="W467" s="33" t="e">
        <f ca="1"/>
        <v>#REF!</v>
      </c>
      <c r="X467" s="33" t="e">
        <f ca="1"/>
        <v>#REF!</v>
      </c>
      <c r="Y467" s="33" t="e">
        <f ca="1"/>
        <v>#REF!</v>
      </c>
      <c r="Z467" s="33" t="e">
        <f ca="1"/>
        <v>#REF!</v>
      </c>
      <c r="AA467" s="33" t="e">
        <f ca="1"/>
        <v>#REF!</v>
      </c>
    </row>
    <row r="468" spans="1:27" s="70" customFormat="1" ht="55.5" customHeight="1" x14ac:dyDescent="0.2">
      <c r="A468" s="24">
        <v>462</v>
      </c>
      <c r="B468" s="24"/>
      <c r="C468" s="25"/>
      <c r="D468" s="26"/>
      <c r="E468" s="25"/>
      <c r="F468" s="25"/>
      <c r="G468" s="24"/>
      <c r="H468" s="25" t="e">
        <f ca="1"/>
        <v>#REF!</v>
      </c>
      <c r="I468" s="27" t="e">
        <f ca="1"/>
        <v>#REF!</v>
      </c>
      <c r="J468" s="28" t="e">
        <f ca="1"/>
        <v>#REF!</v>
      </c>
      <c r="K468" s="27" t="e">
        <f ca="1"/>
        <v>#REF!</v>
      </c>
      <c r="L468" s="25" t="e">
        <f ca="1"/>
        <v>#REF!</v>
      </c>
      <c r="M468" s="25" t="e">
        <f ca="1"/>
        <v>#REF!</v>
      </c>
      <c r="N468" s="25" t="e">
        <f ca="1"/>
        <v>#REF!</v>
      </c>
      <c r="O468" s="25" t="e">
        <f ca="1"/>
        <v>#REF!</v>
      </c>
      <c r="P468" s="25" t="e">
        <f ca="1"/>
        <v>#REF!</v>
      </c>
      <c r="Q468" s="25" t="e">
        <f ca="1"/>
        <v>#REF!</v>
      </c>
      <c r="R468" s="25" t="e">
        <f ca="1"/>
        <v>#REF!</v>
      </c>
      <c r="S468" s="25" t="e">
        <f ca="1"/>
        <v>#REF!</v>
      </c>
      <c r="T468" s="25" t="e">
        <f ca="1"/>
        <v>#REF!</v>
      </c>
      <c r="U468" s="25" t="e">
        <f ca="1"/>
        <v>#REF!</v>
      </c>
      <c r="V468" s="25" t="e">
        <f ca="1"/>
        <v>#REF!</v>
      </c>
      <c r="W468" s="33" t="e">
        <f ca="1"/>
        <v>#REF!</v>
      </c>
      <c r="X468" s="33" t="e">
        <f ca="1"/>
        <v>#REF!</v>
      </c>
      <c r="Y468" s="33" t="e">
        <f ca="1"/>
        <v>#REF!</v>
      </c>
      <c r="Z468" s="33" t="e">
        <f ca="1"/>
        <v>#REF!</v>
      </c>
      <c r="AA468" s="33" t="e">
        <f ca="1"/>
        <v>#REF!</v>
      </c>
    </row>
    <row r="469" spans="1:27" s="70" customFormat="1" ht="11.25" x14ac:dyDescent="0.2">
      <c r="A469" s="24">
        <v>463</v>
      </c>
      <c r="B469" s="24"/>
      <c r="C469" s="25"/>
      <c r="D469" s="26"/>
      <c r="E469" s="25"/>
      <c r="F469" s="25"/>
      <c r="G469" s="24"/>
      <c r="H469" s="25" t="e">
        <f ca="1"/>
        <v>#REF!</v>
      </c>
      <c r="I469" s="27" t="e">
        <f ca="1"/>
        <v>#REF!</v>
      </c>
      <c r="J469" s="28" t="e">
        <f ca="1"/>
        <v>#REF!</v>
      </c>
      <c r="K469" s="27" t="e">
        <f ca="1"/>
        <v>#REF!</v>
      </c>
      <c r="L469" s="25" t="e">
        <f ca="1"/>
        <v>#REF!</v>
      </c>
      <c r="M469" s="25" t="e">
        <f ca="1"/>
        <v>#REF!</v>
      </c>
      <c r="N469" s="25" t="e">
        <f ca="1"/>
        <v>#REF!</v>
      </c>
      <c r="O469" s="25" t="e">
        <f ca="1"/>
        <v>#REF!</v>
      </c>
      <c r="P469" s="25" t="e">
        <f ca="1"/>
        <v>#REF!</v>
      </c>
      <c r="Q469" s="25" t="e">
        <f ca="1"/>
        <v>#REF!</v>
      </c>
      <c r="R469" s="25" t="e">
        <f ca="1"/>
        <v>#REF!</v>
      </c>
      <c r="S469" s="25" t="e">
        <f ca="1"/>
        <v>#REF!</v>
      </c>
      <c r="T469" s="25" t="e">
        <f ca="1"/>
        <v>#REF!</v>
      </c>
      <c r="U469" s="25" t="e">
        <f ca="1"/>
        <v>#REF!</v>
      </c>
      <c r="V469" s="25" t="e">
        <f ca="1"/>
        <v>#REF!</v>
      </c>
      <c r="W469" s="33" t="e">
        <f ca="1"/>
        <v>#REF!</v>
      </c>
      <c r="X469" s="33" t="e">
        <f ca="1"/>
        <v>#REF!</v>
      </c>
      <c r="Y469" s="33" t="e">
        <f ca="1"/>
        <v>#REF!</v>
      </c>
      <c r="Z469" s="33" t="e">
        <f ca="1"/>
        <v>#REF!</v>
      </c>
      <c r="AA469" s="33" t="e">
        <f ca="1"/>
        <v>#REF!</v>
      </c>
    </row>
    <row r="470" spans="1:27" s="70" customFormat="1" ht="11.25" x14ac:dyDescent="0.2">
      <c r="A470" s="24">
        <v>464</v>
      </c>
      <c r="B470" s="24"/>
      <c r="C470" s="25"/>
      <c r="D470" s="26"/>
      <c r="E470" s="25"/>
      <c r="F470" s="25"/>
      <c r="G470" s="24"/>
      <c r="H470" s="25" t="e">
        <f ca="1"/>
        <v>#REF!</v>
      </c>
      <c r="I470" s="27" t="e">
        <f ca="1"/>
        <v>#REF!</v>
      </c>
      <c r="J470" s="28" t="e">
        <f ca="1"/>
        <v>#REF!</v>
      </c>
      <c r="K470" s="27" t="e">
        <f ca="1"/>
        <v>#REF!</v>
      </c>
      <c r="L470" s="25" t="e">
        <f ca="1"/>
        <v>#REF!</v>
      </c>
      <c r="M470" s="25" t="e">
        <f ca="1"/>
        <v>#REF!</v>
      </c>
      <c r="N470" s="25" t="e">
        <f ca="1"/>
        <v>#REF!</v>
      </c>
      <c r="O470" s="25" t="e">
        <f ca="1"/>
        <v>#REF!</v>
      </c>
      <c r="P470" s="25" t="e">
        <f ca="1"/>
        <v>#REF!</v>
      </c>
      <c r="Q470" s="25" t="e">
        <f ca="1"/>
        <v>#REF!</v>
      </c>
      <c r="R470" s="25" t="e">
        <f ca="1"/>
        <v>#REF!</v>
      </c>
      <c r="S470" s="25" t="e">
        <f ca="1"/>
        <v>#REF!</v>
      </c>
      <c r="T470" s="25" t="e">
        <f ca="1"/>
        <v>#REF!</v>
      </c>
      <c r="U470" s="25" t="e">
        <f ca="1"/>
        <v>#REF!</v>
      </c>
      <c r="V470" s="25" t="e">
        <f ca="1"/>
        <v>#REF!</v>
      </c>
      <c r="W470" s="33" t="e">
        <f ca="1"/>
        <v>#REF!</v>
      </c>
      <c r="X470" s="33" t="e">
        <f ca="1"/>
        <v>#REF!</v>
      </c>
      <c r="Y470" s="33" t="e">
        <f ca="1"/>
        <v>#REF!</v>
      </c>
      <c r="Z470" s="33" t="e">
        <f ca="1"/>
        <v>#REF!</v>
      </c>
      <c r="AA470" s="33" t="e">
        <f ca="1"/>
        <v>#REF!</v>
      </c>
    </row>
    <row r="471" spans="1:27" s="70" customFormat="1" ht="11.25" x14ac:dyDescent="0.2">
      <c r="A471" s="24">
        <v>465</v>
      </c>
      <c r="B471" s="24"/>
      <c r="C471" s="25"/>
      <c r="D471" s="26"/>
      <c r="E471" s="25"/>
      <c r="F471" s="25"/>
      <c r="G471" s="24"/>
      <c r="H471" s="25" t="e">
        <f ca="1"/>
        <v>#REF!</v>
      </c>
      <c r="I471" s="27" t="e">
        <f ca="1"/>
        <v>#REF!</v>
      </c>
      <c r="J471" s="28" t="e">
        <f ca="1"/>
        <v>#REF!</v>
      </c>
      <c r="K471" s="27" t="e">
        <f ca="1"/>
        <v>#REF!</v>
      </c>
      <c r="L471" s="25" t="e">
        <f ca="1"/>
        <v>#REF!</v>
      </c>
      <c r="M471" s="25" t="e">
        <f ca="1"/>
        <v>#REF!</v>
      </c>
      <c r="N471" s="25" t="e">
        <f ca="1"/>
        <v>#REF!</v>
      </c>
      <c r="O471" s="25" t="e">
        <f ca="1"/>
        <v>#REF!</v>
      </c>
      <c r="P471" s="25" t="e">
        <f ca="1"/>
        <v>#REF!</v>
      </c>
      <c r="Q471" s="25" t="e">
        <f ca="1"/>
        <v>#REF!</v>
      </c>
      <c r="R471" s="25" t="e">
        <f ca="1"/>
        <v>#REF!</v>
      </c>
      <c r="S471" s="25" t="e">
        <f ca="1"/>
        <v>#REF!</v>
      </c>
      <c r="T471" s="25" t="e">
        <f ca="1"/>
        <v>#REF!</v>
      </c>
      <c r="U471" s="25" t="e">
        <f ca="1"/>
        <v>#REF!</v>
      </c>
      <c r="V471" s="25" t="e">
        <f ca="1"/>
        <v>#REF!</v>
      </c>
      <c r="W471" s="33" t="e">
        <f ca="1"/>
        <v>#REF!</v>
      </c>
      <c r="X471" s="33" t="e">
        <f ca="1"/>
        <v>#REF!</v>
      </c>
      <c r="Y471" s="33" t="e">
        <f ca="1"/>
        <v>#REF!</v>
      </c>
      <c r="Z471" s="33" t="e">
        <f ca="1"/>
        <v>#REF!</v>
      </c>
      <c r="AA471" s="33" t="e">
        <f ca="1"/>
        <v>#REF!</v>
      </c>
    </row>
    <row r="472" spans="1:27" s="70" customFormat="1" ht="11.25" x14ac:dyDescent="0.2">
      <c r="A472" s="24">
        <v>466</v>
      </c>
      <c r="B472" s="24"/>
      <c r="C472" s="25"/>
      <c r="D472" s="26"/>
      <c r="E472" s="25"/>
      <c r="F472" s="25"/>
      <c r="G472" s="24"/>
      <c r="H472" s="25" t="e">
        <f ca="1"/>
        <v>#REF!</v>
      </c>
      <c r="I472" s="27" t="e">
        <f ca="1"/>
        <v>#REF!</v>
      </c>
      <c r="J472" s="28" t="e">
        <f ca="1"/>
        <v>#REF!</v>
      </c>
      <c r="K472" s="27" t="e">
        <f ca="1"/>
        <v>#REF!</v>
      </c>
      <c r="L472" s="25" t="e">
        <f ca="1"/>
        <v>#REF!</v>
      </c>
      <c r="M472" s="25" t="e">
        <f ca="1"/>
        <v>#REF!</v>
      </c>
      <c r="N472" s="25" t="e">
        <f ca="1"/>
        <v>#REF!</v>
      </c>
      <c r="O472" s="25" t="e">
        <f ca="1"/>
        <v>#REF!</v>
      </c>
      <c r="P472" s="25" t="e">
        <f ca="1"/>
        <v>#REF!</v>
      </c>
      <c r="Q472" s="25" t="e">
        <f ca="1"/>
        <v>#REF!</v>
      </c>
      <c r="R472" s="25" t="e">
        <f ca="1"/>
        <v>#REF!</v>
      </c>
      <c r="S472" s="25" t="e">
        <f ca="1"/>
        <v>#REF!</v>
      </c>
      <c r="T472" s="25" t="e">
        <f ca="1"/>
        <v>#REF!</v>
      </c>
      <c r="U472" s="25" t="e">
        <f ca="1"/>
        <v>#REF!</v>
      </c>
      <c r="V472" s="25" t="e">
        <f ca="1"/>
        <v>#REF!</v>
      </c>
      <c r="W472" s="33" t="e">
        <f ca="1"/>
        <v>#REF!</v>
      </c>
      <c r="X472" s="33" t="e">
        <f ca="1"/>
        <v>#REF!</v>
      </c>
      <c r="Y472" s="33" t="e">
        <f ca="1"/>
        <v>#REF!</v>
      </c>
      <c r="Z472" s="33" t="e">
        <f ca="1"/>
        <v>#REF!</v>
      </c>
      <c r="AA472" s="33" t="e">
        <f ca="1"/>
        <v>#REF!</v>
      </c>
    </row>
    <row r="473" spans="1:27" s="70" customFormat="1" ht="11.25" x14ac:dyDescent="0.2">
      <c r="A473" s="24">
        <v>467</v>
      </c>
      <c r="B473" s="24"/>
      <c r="C473" s="25"/>
      <c r="D473" s="26"/>
      <c r="E473" s="25"/>
      <c r="F473" s="25"/>
      <c r="G473" s="24"/>
      <c r="H473" s="25" t="e">
        <f ca="1"/>
        <v>#REF!</v>
      </c>
      <c r="I473" s="27" t="e">
        <f ca="1"/>
        <v>#REF!</v>
      </c>
      <c r="J473" s="28" t="e">
        <f ca="1"/>
        <v>#REF!</v>
      </c>
      <c r="K473" s="27" t="e">
        <f ca="1"/>
        <v>#REF!</v>
      </c>
      <c r="L473" s="25" t="e">
        <f ca="1"/>
        <v>#REF!</v>
      </c>
      <c r="M473" s="25" t="e">
        <f ca="1"/>
        <v>#REF!</v>
      </c>
      <c r="N473" s="25" t="e">
        <f ca="1"/>
        <v>#REF!</v>
      </c>
      <c r="O473" s="25" t="e">
        <f ca="1"/>
        <v>#REF!</v>
      </c>
      <c r="P473" s="25" t="e">
        <f ca="1"/>
        <v>#REF!</v>
      </c>
      <c r="Q473" s="25" t="e">
        <f ca="1"/>
        <v>#REF!</v>
      </c>
      <c r="R473" s="25" t="e">
        <f ca="1"/>
        <v>#REF!</v>
      </c>
      <c r="S473" s="25" t="e">
        <f ca="1"/>
        <v>#REF!</v>
      </c>
      <c r="T473" s="25" t="e">
        <f ca="1"/>
        <v>#REF!</v>
      </c>
      <c r="U473" s="25" t="e">
        <f ca="1"/>
        <v>#REF!</v>
      </c>
      <c r="V473" s="25" t="e">
        <f ca="1"/>
        <v>#REF!</v>
      </c>
      <c r="W473" s="33" t="e">
        <f ca="1"/>
        <v>#REF!</v>
      </c>
      <c r="X473" s="33" t="e">
        <f ca="1"/>
        <v>#REF!</v>
      </c>
      <c r="Y473" s="33" t="e">
        <f ca="1"/>
        <v>#REF!</v>
      </c>
      <c r="Z473" s="33" t="e">
        <f ca="1"/>
        <v>#REF!</v>
      </c>
      <c r="AA473" s="33" t="e">
        <f ca="1"/>
        <v>#REF!</v>
      </c>
    </row>
    <row r="474" spans="1:27" s="70" customFormat="1" ht="11.25" x14ac:dyDescent="0.2">
      <c r="A474" s="24">
        <v>468</v>
      </c>
      <c r="B474" s="24"/>
      <c r="C474" s="25"/>
      <c r="D474" s="26"/>
      <c r="E474" s="25"/>
      <c r="F474" s="25"/>
      <c r="G474" s="24"/>
      <c r="H474" s="25" t="e">
        <f ca="1"/>
        <v>#REF!</v>
      </c>
      <c r="I474" s="27" t="e">
        <f ca="1"/>
        <v>#REF!</v>
      </c>
      <c r="J474" s="28" t="e">
        <f ca="1"/>
        <v>#REF!</v>
      </c>
      <c r="K474" s="27" t="e">
        <f ca="1"/>
        <v>#REF!</v>
      </c>
      <c r="L474" s="25" t="e">
        <f ca="1"/>
        <v>#REF!</v>
      </c>
      <c r="M474" s="25" t="e">
        <f ca="1"/>
        <v>#REF!</v>
      </c>
      <c r="N474" s="25" t="e">
        <f ca="1"/>
        <v>#REF!</v>
      </c>
      <c r="O474" s="25" t="e">
        <f ca="1"/>
        <v>#REF!</v>
      </c>
      <c r="P474" s="25" t="e">
        <f ca="1"/>
        <v>#REF!</v>
      </c>
      <c r="Q474" s="25" t="e">
        <f ca="1"/>
        <v>#REF!</v>
      </c>
      <c r="R474" s="25" t="e">
        <f ca="1"/>
        <v>#REF!</v>
      </c>
      <c r="S474" s="25" t="e">
        <f ca="1"/>
        <v>#REF!</v>
      </c>
      <c r="T474" s="25" t="e">
        <f ca="1"/>
        <v>#REF!</v>
      </c>
      <c r="U474" s="25" t="e">
        <f ca="1"/>
        <v>#REF!</v>
      </c>
      <c r="V474" s="25" t="e">
        <f ca="1"/>
        <v>#REF!</v>
      </c>
      <c r="W474" s="33" t="e">
        <f ca="1"/>
        <v>#REF!</v>
      </c>
      <c r="X474" s="33" t="e">
        <f ca="1"/>
        <v>#REF!</v>
      </c>
      <c r="Y474" s="33" t="e">
        <f ca="1"/>
        <v>#REF!</v>
      </c>
      <c r="Z474" s="33" t="e">
        <f ca="1"/>
        <v>#REF!</v>
      </c>
      <c r="AA474" s="33" t="e">
        <f ca="1"/>
        <v>#REF!</v>
      </c>
    </row>
    <row r="475" spans="1:27" s="70" customFormat="1" ht="11.25" x14ac:dyDescent="0.2">
      <c r="A475" s="24">
        <v>469</v>
      </c>
      <c r="B475" s="24"/>
      <c r="C475" s="25"/>
      <c r="D475" s="26"/>
      <c r="E475" s="25"/>
      <c r="F475" s="25"/>
      <c r="G475" s="24"/>
      <c r="H475" s="25" t="e">
        <f ca="1"/>
        <v>#REF!</v>
      </c>
      <c r="I475" s="27" t="e">
        <f ca="1"/>
        <v>#REF!</v>
      </c>
      <c r="J475" s="28" t="e">
        <f ca="1"/>
        <v>#REF!</v>
      </c>
      <c r="K475" s="27" t="e">
        <f ca="1"/>
        <v>#REF!</v>
      </c>
      <c r="L475" s="25" t="e">
        <f ca="1"/>
        <v>#REF!</v>
      </c>
      <c r="M475" s="25" t="e">
        <f ca="1"/>
        <v>#REF!</v>
      </c>
      <c r="N475" s="25" t="e">
        <f ca="1"/>
        <v>#REF!</v>
      </c>
      <c r="O475" s="25" t="e">
        <f ca="1"/>
        <v>#REF!</v>
      </c>
      <c r="P475" s="25" t="e">
        <f ca="1"/>
        <v>#REF!</v>
      </c>
      <c r="Q475" s="25" t="e">
        <f ca="1"/>
        <v>#REF!</v>
      </c>
      <c r="R475" s="25" t="e">
        <f ca="1"/>
        <v>#REF!</v>
      </c>
      <c r="S475" s="25" t="e">
        <f ca="1"/>
        <v>#REF!</v>
      </c>
      <c r="T475" s="25" t="e">
        <f ca="1"/>
        <v>#REF!</v>
      </c>
      <c r="U475" s="25" t="e">
        <f ca="1"/>
        <v>#REF!</v>
      </c>
      <c r="V475" s="25" t="e">
        <f ca="1"/>
        <v>#REF!</v>
      </c>
      <c r="W475" s="33" t="e">
        <f ca="1"/>
        <v>#REF!</v>
      </c>
      <c r="X475" s="33" t="e">
        <f ca="1"/>
        <v>#REF!</v>
      </c>
      <c r="Y475" s="33" t="e">
        <f ca="1"/>
        <v>#REF!</v>
      </c>
      <c r="Z475" s="33" t="e">
        <f ca="1"/>
        <v>#REF!</v>
      </c>
      <c r="AA475" s="33" t="e">
        <f ca="1"/>
        <v>#REF!</v>
      </c>
    </row>
    <row r="476" spans="1:27" s="70" customFormat="1" ht="11.25" x14ac:dyDescent="0.2">
      <c r="A476" s="24">
        <v>470</v>
      </c>
      <c r="B476" s="24"/>
      <c r="C476" s="25"/>
      <c r="D476" s="26"/>
      <c r="E476" s="25"/>
      <c r="F476" s="25"/>
      <c r="G476" s="24"/>
      <c r="H476" s="25" t="e">
        <f ca="1"/>
        <v>#REF!</v>
      </c>
      <c r="I476" s="27" t="e">
        <f ca="1"/>
        <v>#REF!</v>
      </c>
      <c r="J476" s="28" t="e">
        <f ca="1"/>
        <v>#REF!</v>
      </c>
      <c r="K476" s="27" t="e">
        <f ca="1"/>
        <v>#REF!</v>
      </c>
      <c r="L476" s="25" t="e">
        <f ca="1"/>
        <v>#REF!</v>
      </c>
      <c r="M476" s="25" t="e">
        <f ca="1"/>
        <v>#REF!</v>
      </c>
      <c r="N476" s="25" t="e">
        <f ca="1"/>
        <v>#REF!</v>
      </c>
      <c r="O476" s="25" t="e">
        <f ca="1"/>
        <v>#REF!</v>
      </c>
      <c r="P476" s="25" t="e">
        <f ca="1"/>
        <v>#REF!</v>
      </c>
      <c r="Q476" s="25" t="e">
        <f ca="1"/>
        <v>#REF!</v>
      </c>
      <c r="R476" s="25" t="e">
        <f ca="1"/>
        <v>#REF!</v>
      </c>
      <c r="S476" s="25" t="e">
        <f ca="1"/>
        <v>#REF!</v>
      </c>
      <c r="T476" s="25" t="e">
        <f ca="1"/>
        <v>#REF!</v>
      </c>
      <c r="U476" s="25" t="e">
        <f ca="1"/>
        <v>#REF!</v>
      </c>
      <c r="V476" s="25" t="e">
        <f ca="1"/>
        <v>#REF!</v>
      </c>
      <c r="W476" s="33" t="e">
        <f ca="1"/>
        <v>#REF!</v>
      </c>
      <c r="X476" s="33" t="e">
        <f ca="1"/>
        <v>#REF!</v>
      </c>
      <c r="Y476" s="33" t="e">
        <f ca="1"/>
        <v>#REF!</v>
      </c>
      <c r="Z476" s="33" t="e">
        <f ca="1"/>
        <v>#REF!</v>
      </c>
      <c r="AA476" s="33" t="e">
        <f ca="1"/>
        <v>#REF!</v>
      </c>
    </row>
    <row r="477" spans="1:27" s="70" customFormat="1" ht="11.25" x14ac:dyDescent="0.2">
      <c r="A477" s="24">
        <v>471</v>
      </c>
      <c r="B477" s="24"/>
      <c r="C477" s="25"/>
      <c r="D477" s="26"/>
      <c r="E477" s="25"/>
      <c r="F477" s="25"/>
      <c r="G477" s="24"/>
      <c r="H477" s="25" t="e">
        <f ca="1"/>
        <v>#REF!</v>
      </c>
      <c r="I477" s="27" t="e">
        <f ca="1"/>
        <v>#REF!</v>
      </c>
      <c r="J477" s="28" t="e">
        <f ca="1"/>
        <v>#REF!</v>
      </c>
      <c r="K477" s="27" t="e">
        <f ca="1"/>
        <v>#REF!</v>
      </c>
      <c r="L477" s="25" t="e">
        <f ca="1"/>
        <v>#REF!</v>
      </c>
      <c r="M477" s="25" t="e">
        <f ca="1"/>
        <v>#REF!</v>
      </c>
      <c r="N477" s="25" t="e">
        <f ca="1"/>
        <v>#REF!</v>
      </c>
      <c r="O477" s="25" t="e">
        <f ca="1"/>
        <v>#REF!</v>
      </c>
      <c r="P477" s="25" t="e">
        <f ca="1"/>
        <v>#REF!</v>
      </c>
      <c r="Q477" s="25" t="e">
        <f ca="1"/>
        <v>#REF!</v>
      </c>
      <c r="R477" s="25" t="e">
        <f ca="1"/>
        <v>#REF!</v>
      </c>
      <c r="S477" s="25" t="e">
        <f ca="1"/>
        <v>#REF!</v>
      </c>
      <c r="T477" s="25" t="e">
        <f ca="1"/>
        <v>#REF!</v>
      </c>
      <c r="U477" s="25" t="e">
        <f ca="1"/>
        <v>#REF!</v>
      </c>
      <c r="V477" s="25" t="e">
        <f ca="1"/>
        <v>#REF!</v>
      </c>
      <c r="W477" s="33" t="e">
        <f ca="1"/>
        <v>#REF!</v>
      </c>
      <c r="X477" s="33" t="e">
        <f ca="1"/>
        <v>#REF!</v>
      </c>
      <c r="Y477" s="33" t="e">
        <f ca="1"/>
        <v>#REF!</v>
      </c>
      <c r="Z477" s="33" t="e">
        <f ca="1"/>
        <v>#REF!</v>
      </c>
      <c r="AA477" s="33" t="e">
        <f ca="1"/>
        <v>#REF!</v>
      </c>
    </row>
    <row r="478" spans="1:27" s="70" customFormat="1" ht="11.25" x14ac:dyDescent="0.2">
      <c r="A478" s="24">
        <v>472</v>
      </c>
      <c r="B478" s="24"/>
      <c r="C478" s="25"/>
      <c r="D478" s="26"/>
      <c r="E478" s="25"/>
      <c r="F478" s="25"/>
      <c r="G478" s="24"/>
      <c r="H478" s="25" t="e">
        <f ca="1"/>
        <v>#REF!</v>
      </c>
      <c r="I478" s="27" t="e">
        <f ca="1"/>
        <v>#REF!</v>
      </c>
      <c r="J478" s="28" t="e">
        <f ca="1"/>
        <v>#REF!</v>
      </c>
      <c r="K478" s="27" t="e">
        <f ca="1"/>
        <v>#REF!</v>
      </c>
      <c r="L478" s="25" t="e">
        <f ca="1"/>
        <v>#REF!</v>
      </c>
      <c r="M478" s="25" t="e">
        <f ca="1"/>
        <v>#REF!</v>
      </c>
      <c r="N478" s="25" t="e">
        <f ca="1"/>
        <v>#REF!</v>
      </c>
      <c r="O478" s="25" t="e">
        <f ca="1"/>
        <v>#REF!</v>
      </c>
      <c r="P478" s="25" t="e">
        <f ca="1"/>
        <v>#REF!</v>
      </c>
      <c r="Q478" s="25" t="e">
        <f ca="1"/>
        <v>#REF!</v>
      </c>
      <c r="R478" s="25" t="e">
        <f ca="1"/>
        <v>#REF!</v>
      </c>
      <c r="S478" s="25" t="e">
        <f ca="1"/>
        <v>#REF!</v>
      </c>
      <c r="T478" s="25" t="e">
        <f ca="1"/>
        <v>#REF!</v>
      </c>
      <c r="U478" s="25" t="e">
        <f ca="1"/>
        <v>#REF!</v>
      </c>
      <c r="V478" s="25" t="e">
        <f ca="1"/>
        <v>#REF!</v>
      </c>
      <c r="W478" s="33" t="e">
        <f ca="1"/>
        <v>#REF!</v>
      </c>
      <c r="X478" s="33" t="e">
        <f ca="1"/>
        <v>#REF!</v>
      </c>
      <c r="Y478" s="33" t="e">
        <f ca="1"/>
        <v>#REF!</v>
      </c>
      <c r="Z478" s="33" t="e">
        <f ca="1"/>
        <v>#REF!</v>
      </c>
      <c r="AA478" s="33" t="e">
        <f ca="1"/>
        <v>#REF!</v>
      </c>
    </row>
    <row r="479" spans="1:27" s="70" customFormat="1" ht="11.25" x14ac:dyDescent="0.2">
      <c r="A479" s="24">
        <v>473</v>
      </c>
      <c r="B479" s="24"/>
      <c r="C479" s="25"/>
      <c r="D479" s="26"/>
      <c r="E479" s="25"/>
      <c r="F479" s="25"/>
      <c r="G479" s="24"/>
      <c r="H479" s="25" t="e">
        <f ca="1"/>
        <v>#REF!</v>
      </c>
      <c r="I479" s="27" t="e">
        <f ca="1"/>
        <v>#REF!</v>
      </c>
      <c r="J479" s="28" t="e">
        <f ca="1"/>
        <v>#REF!</v>
      </c>
      <c r="K479" s="27" t="e">
        <f ca="1"/>
        <v>#REF!</v>
      </c>
      <c r="L479" s="25" t="e">
        <f ca="1"/>
        <v>#REF!</v>
      </c>
      <c r="M479" s="25" t="e">
        <f ca="1"/>
        <v>#REF!</v>
      </c>
      <c r="N479" s="25" t="e">
        <f ca="1"/>
        <v>#REF!</v>
      </c>
      <c r="O479" s="25" t="e">
        <f ca="1"/>
        <v>#REF!</v>
      </c>
      <c r="P479" s="25" t="e">
        <f ca="1"/>
        <v>#REF!</v>
      </c>
      <c r="Q479" s="25" t="e">
        <f ca="1"/>
        <v>#REF!</v>
      </c>
      <c r="R479" s="25" t="e">
        <f ca="1"/>
        <v>#REF!</v>
      </c>
      <c r="S479" s="25" t="e">
        <f ca="1"/>
        <v>#REF!</v>
      </c>
      <c r="T479" s="25" t="e">
        <f ca="1"/>
        <v>#REF!</v>
      </c>
      <c r="U479" s="25" t="e">
        <f ca="1"/>
        <v>#REF!</v>
      </c>
      <c r="V479" s="25" t="e">
        <f ca="1"/>
        <v>#REF!</v>
      </c>
      <c r="W479" s="33" t="e">
        <f ca="1"/>
        <v>#REF!</v>
      </c>
      <c r="X479" s="33" t="e">
        <f ca="1"/>
        <v>#REF!</v>
      </c>
      <c r="Y479" s="33" t="e">
        <f ca="1"/>
        <v>#REF!</v>
      </c>
      <c r="Z479" s="33" t="e">
        <f ca="1"/>
        <v>#REF!</v>
      </c>
      <c r="AA479" s="33" t="e">
        <f ca="1"/>
        <v>#REF!</v>
      </c>
    </row>
    <row r="480" spans="1:27" s="70" customFormat="1" ht="11.25" x14ac:dyDescent="0.2">
      <c r="A480" s="24">
        <v>474</v>
      </c>
      <c r="B480" s="24"/>
      <c r="C480" s="25"/>
      <c r="D480" s="26"/>
      <c r="E480" s="25"/>
      <c r="F480" s="25"/>
      <c r="G480" s="24"/>
      <c r="H480" s="25" t="e">
        <f ca="1"/>
        <v>#REF!</v>
      </c>
      <c r="I480" s="27" t="e">
        <f ca="1"/>
        <v>#REF!</v>
      </c>
      <c r="J480" s="28" t="e">
        <f ca="1"/>
        <v>#REF!</v>
      </c>
      <c r="K480" s="27" t="e">
        <f ca="1"/>
        <v>#REF!</v>
      </c>
      <c r="L480" s="25" t="e">
        <f ca="1"/>
        <v>#REF!</v>
      </c>
      <c r="M480" s="25" t="e">
        <f ca="1"/>
        <v>#REF!</v>
      </c>
      <c r="N480" s="25" t="e">
        <f ca="1"/>
        <v>#REF!</v>
      </c>
      <c r="O480" s="25" t="e">
        <f ca="1"/>
        <v>#REF!</v>
      </c>
      <c r="P480" s="25" t="e">
        <f ca="1"/>
        <v>#REF!</v>
      </c>
      <c r="Q480" s="25" t="e">
        <f ca="1"/>
        <v>#REF!</v>
      </c>
      <c r="R480" s="25" t="e">
        <f ca="1"/>
        <v>#REF!</v>
      </c>
      <c r="S480" s="25" t="e">
        <f ca="1"/>
        <v>#REF!</v>
      </c>
      <c r="T480" s="25" t="e">
        <f ca="1"/>
        <v>#REF!</v>
      </c>
      <c r="U480" s="25" t="e">
        <f ca="1"/>
        <v>#REF!</v>
      </c>
      <c r="V480" s="25" t="e">
        <f ca="1"/>
        <v>#REF!</v>
      </c>
      <c r="W480" s="33" t="e">
        <f ca="1"/>
        <v>#REF!</v>
      </c>
      <c r="X480" s="33" t="e">
        <f ca="1"/>
        <v>#REF!</v>
      </c>
      <c r="Y480" s="33" t="e">
        <f ca="1"/>
        <v>#REF!</v>
      </c>
      <c r="Z480" s="33" t="e">
        <f ca="1"/>
        <v>#REF!</v>
      </c>
      <c r="AA480" s="33" t="e">
        <f ca="1"/>
        <v>#REF!</v>
      </c>
    </row>
    <row r="481" spans="1:27" s="70" customFormat="1" ht="11.25" x14ac:dyDescent="0.2">
      <c r="A481" s="24">
        <v>475</v>
      </c>
      <c r="B481" s="24"/>
      <c r="C481" s="25"/>
      <c r="D481" s="26"/>
      <c r="E481" s="25"/>
      <c r="F481" s="25"/>
      <c r="G481" s="24"/>
      <c r="H481" s="25" t="e">
        <f ca="1"/>
        <v>#REF!</v>
      </c>
      <c r="I481" s="27" t="e">
        <f ca="1"/>
        <v>#REF!</v>
      </c>
      <c r="J481" s="28" t="e">
        <f ca="1"/>
        <v>#REF!</v>
      </c>
      <c r="K481" s="27" t="e">
        <f ca="1"/>
        <v>#REF!</v>
      </c>
      <c r="L481" s="25" t="e">
        <f ca="1"/>
        <v>#REF!</v>
      </c>
      <c r="M481" s="25" t="e">
        <f ca="1"/>
        <v>#REF!</v>
      </c>
      <c r="N481" s="25" t="e">
        <f ca="1"/>
        <v>#REF!</v>
      </c>
      <c r="O481" s="25" t="e">
        <f ca="1"/>
        <v>#REF!</v>
      </c>
      <c r="P481" s="25" t="e">
        <f ca="1"/>
        <v>#REF!</v>
      </c>
      <c r="Q481" s="25" t="e">
        <f ca="1"/>
        <v>#REF!</v>
      </c>
      <c r="R481" s="25" t="e">
        <f ca="1"/>
        <v>#REF!</v>
      </c>
      <c r="S481" s="25" t="e">
        <f ca="1"/>
        <v>#REF!</v>
      </c>
      <c r="T481" s="25" t="e">
        <f ca="1"/>
        <v>#REF!</v>
      </c>
      <c r="U481" s="25" t="e">
        <f ca="1"/>
        <v>#REF!</v>
      </c>
      <c r="V481" s="25" t="e">
        <f ca="1"/>
        <v>#REF!</v>
      </c>
      <c r="W481" s="33" t="e">
        <f ca="1"/>
        <v>#REF!</v>
      </c>
      <c r="X481" s="33" t="e">
        <f ca="1"/>
        <v>#REF!</v>
      </c>
      <c r="Y481" s="33" t="e">
        <f ca="1"/>
        <v>#REF!</v>
      </c>
      <c r="Z481" s="33" t="e">
        <f ca="1"/>
        <v>#REF!</v>
      </c>
      <c r="AA481" s="33" t="e">
        <f ca="1"/>
        <v>#REF!</v>
      </c>
    </row>
    <row r="482" spans="1:27" s="70" customFormat="1" ht="11.25" x14ac:dyDescent="0.2">
      <c r="A482" s="24">
        <v>476</v>
      </c>
      <c r="B482" s="24"/>
      <c r="C482" s="25"/>
      <c r="D482" s="26"/>
      <c r="E482" s="25"/>
      <c r="F482" s="25"/>
      <c r="G482" s="24"/>
      <c r="H482" s="25" t="e">
        <f ca="1"/>
        <v>#REF!</v>
      </c>
      <c r="I482" s="27" t="e">
        <f ca="1"/>
        <v>#REF!</v>
      </c>
      <c r="J482" s="28" t="e">
        <f ca="1"/>
        <v>#REF!</v>
      </c>
      <c r="K482" s="27" t="e">
        <f ca="1"/>
        <v>#REF!</v>
      </c>
      <c r="L482" s="25" t="e">
        <f ca="1"/>
        <v>#REF!</v>
      </c>
      <c r="M482" s="25" t="e">
        <f ca="1"/>
        <v>#REF!</v>
      </c>
      <c r="N482" s="25" t="e">
        <f ca="1"/>
        <v>#REF!</v>
      </c>
      <c r="O482" s="25" t="e">
        <f ca="1"/>
        <v>#REF!</v>
      </c>
      <c r="P482" s="25" t="e">
        <f ca="1"/>
        <v>#REF!</v>
      </c>
      <c r="Q482" s="25" t="e">
        <f ca="1"/>
        <v>#REF!</v>
      </c>
      <c r="R482" s="25" t="e">
        <f ca="1"/>
        <v>#REF!</v>
      </c>
      <c r="S482" s="25" t="e">
        <f ca="1"/>
        <v>#REF!</v>
      </c>
      <c r="T482" s="25" t="e">
        <f ca="1"/>
        <v>#REF!</v>
      </c>
      <c r="U482" s="25" t="e">
        <f ca="1"/>
        <v>#REF!</v>
      </c>
      <c r="V482" s="25" t="e">
        <f ca="1"/>
        <v>#REF!</v>
      </c>
      <c r="W482" s="33" t="e">
        <f ca="1"/>
        <v>#REF!</v>
      </c>
      <c r="X482" s="33" t="e">
        <f ca="1"/>
        <v>#REF!</v>
      </c>
      <c r="Y482" s="33" t="e">
        <f ca="1"/>
        <v>#REF!</v>
      </c>
      <c r="Z482" s="33" t="e">
        <f ca="1"/>
        <v>#REF!</v>
      </c>
      <c r="AA482" s="33" t="e">
        <f ca="1"/>
        <v>#REF!</v>
      </c>
    </row>
    <row r="483" spans="1:27" s="70" customFormat="1" ht="11.25" x14ac:dyDescent="0.2">
      <c r="A483" s="24">
        <v>477</v>
      </c>
      <c r="B483" s="24"/>
      <c r="C483" s="25"/>
      <c r="D483" s="26"/>
      <c r="E483" s="25"/>
      <c r="F483" s="25"/>
      <c r="G483" s="24"/>
      <c r="H483" s="25" t="e">
        <f ca="1"/>
        <v>#REF!</v>
      </c>
      <c r="I483" s="27" t="e">
        <f ca="1"/>
        <v>#REF!</v>
      </c>
      <c r="J483" s="28" t="e">
        <f ca="1"/>
        <v>#REF!</v>
      </c>
      <c r="K483" s="27" t="e">
        <f ca="1"/>
        <v>#REF!</v>
      </c>
      <c r="L483" s="25" t="e">
        <f ca="1"/>
        <v>#REF!</v>
      </c>
      <c r="M483" s="25" t="e">
        <f ca="1"/>
        <v>#REF!</v>
      </c>
      <c r="N483" s="25" t="e">
        <f ca="1"/>
        <v>#REF!</v>
      </c>
      <c r="O483" s="25" t="e">
        <f ca="1"/>
        <v>#REF!</v>
      </c>
      <c r="P483" s="25" t="e">
        <f ca="1"/>
        <v>#REF!</v>
      </c>
      <c r="Q483" s="25" t="e">
        <f ca="1"/>
        <v>#REF!</v>
      </c>
      <c r="R483" s="25" t="e">
        <f ca="1"/>
        <v>#REF!</v>
      </c>
      <c r="S483" s="25" t="e">
        <f ca="1"/>
        <v>#REF!</v>
      </c>
      <c r="T483" s="25" t="e">
        <f ca="1"/>
        <v>#REF!</v>
      </c>
      <c r="U483" s="25" t="e">
        <f ca="1"/>
        <v>#REF!</v>
      </c>
      <c r="V483" s="25" t="e">
        <f ca="1"/>
        <v>#REF!</v>
      </c>
      <c r="W483" s="33" t="e">
        <f ca="1"/>
        <v>#REF!</v>
      </c>
      <c r="X483" s="33" t="e">
        <f ca="1"/>
        <v>#REF!</v>
      </c>
      <c r="Y483" s="33" t="e">
        <f ca="1"/>
        <v>#REF!</v>
      </c>
      <c r="Z483" s="33" t="e">
        <f ca="1"/>
        <v>#REF!</v>
      </c>
      <c r="AA483" s="33" t="e">
        <f ca="1"/>
        <v>#REF!</v>
      </c>
    </row>
    <row r="484" spans="1:27" s="70" customFormat="1" ht="11.25" x14ac:dyDescent="0.2">
      <c r="A484" s="24">
        <v>478</v>
      </c>
      <c r="B484" s="24"/>
      <c r="C484" s="25"/>
      <c r="D484" s="26"/>
      <c r="E484" s="25"/>
      <c r="F484" s="25"/>
      <c r="G484" s="24"/>
      <c r="H484" s="25" t="e">
        <f ca="1"/>
        <v>#REF!</v>
      </c>
      <c r="I484" s="27" t="e">
        <f ca="1"/>
        <v>#REF!</v>
      </c>
      <c r="J484" s="28" t="e">
        <f ca="1"/>
        <v>#REF!</v>
      </c>
      <c r="K484" s="27" t="e">
        <f ca="1"/>
        <v>#REF!</v>
      </c>
      <c r="L484" s="25" t="e">
        <f ca="1"/>
        <v>#REF!</v>
      </c>
      <c r="M484" s="25" t="e">
        <f ca="1"/>
        <v>#REF!</v>
      </c>
      <c r="N484" s="25" t="e">
        <f ca="1"/>
        <v>#REF!</v>
      </c>
      <c r="O484" s="25" t="e">
        <f ca="1"/>
        <v>#REF!</v>
      </c>
      <c r="P484" s="25" t="e">
        <f ca="1"/>
        <v>#REF!</v>
      </c>
      <c r="Q484" s="25" t="e">
        <f ca="1"/>
        <v>#REF!</v>
      </c>
      <c r="R484" s="25" t="e">
        <f ca="1"/>
        <v>#REF!</v>
      </c>
      <c r="S484" s="25" t="e">
        <f ca="1"/>
        <v>#REF!</v>
      </c>
      <c r="T484" s="25" t="e">
        <f ca="1"/>
        <v>#REF!</v>
      </c>
      <c r="U484" s="25" t="e">
        <f ca="1"/>
        <v>#REF!</v>
      </c>
      <c r="V484" s="25" t="e">
        <f ca="1"/>
        <v>#REF!</v>
      </c>
      <c r="W484" s="33" t="e">
        <f ca="1"/>
        <v>#REF!</v>
      </c>
      <c r="X484" s="33" t="e">
        <f ca="1"/>
        <v>#REF!</v>
      </c>
      <c r="Y484" s="33" t="e">
        <f ca="1"/>
        <v>#REF!</v>
      </c>
      <c r="Z484" s="33" t="e">
        <f ca="1"/>
        <v>#REF!</v>
      </c>
      <c r="AA484" s="33" t="e">
        <f ca="1"/>
        <v>#REF!</v>
      </c>
    </row>
    <row r="485" spans="1:27" s="70" customFormat="1" ht="11.25" x14ac:dyDescent="0.2">
      <c r="A485" s="24">
        <v>479</v>
      </c>
      <c r="B485" s="24"/>
      <c r="C485" s="25"/>
      <c r="D485" s="26"/>
      <c r="E485" s="25"/>
      <c r="F485" s="25"/>
      <c r="G485" s="24"/>
      <c r="H485" s="25" t="e">
        <f ca="1"/>
        <v>#REF!</v>
      </c>
      <c r="I485" s="27" t="e">
        <f ca="1"/>
        <v>#REF!</v>
      </c>
      <c r="J485" s="28" t="e">
        <f ca="1"/>
        <v>#REF!</v>
      </c>
      <c r="K485" s="27" t="e">
        <f ca="1"/>
        <v>#REF!</v>
      </c>
      <c r="L485" s="25" t="e">
        <f ca="1"/>
        <v>#REF!</v>
      </c>
      <c r="M485" s="25" t="e">
        <f ca="1"/>
        <v>#REF!</v>
      </c>
      <c r="N485" s="25" t="e">
        <f ca="1"/>
        <v>#REF!</v>
      </c>
      <c r="O485" s="25" t="e">
        <f ca="1"/>
        <v>#REF!</v>
      </c>
      <c r="P485" s="25" t="e">
        <f ca="1"/>
        <v>#REF!</v>
      </c>
      <c r="Q485" s="25" t="e">
        <f ca="1"/>
        <v>#REF!</v>
      </c>
      <c r="R485" s="25" t="e">
        <f ca="1"/>
        <v>#REF!</v>
      </c>
      <c r="S485" s="25" t="e">
        <f ca="1"/>
        <v>#REF!</v>
      </c>
      <c r="T485" s="25" t="e">
        <f ca="1"/>
        <v>#REF!</v>
      </c>
      <c r="U485" s="25" t="e">
        <f ca="1"/>
        <v>#REF!</v>
      </c>
      <c r="V485" s="25" t="e">
        <f ca="1"/>
        <v>#REF!</v>
      </c>
      <c r="W485" s="33" t="e">
        <f ca="1"/>
        <v>#REF!</v>
      </c>
      <c r="X485" s="33" t="e">
        <f ca="1"/>
        <v>#REF!</v>
      </c>
      <c r="Y485" s="33" t="e">
        <f ca="1"/>
        <v>#REF!</v>
      </c>
      <c r="Z485" s="33" t="e">
        <f ca="1"/>
        <v>#REF!</v>
      </c>
      <c r="AA485" s="33" t="e">
        <f ca="1"/>
        <v>#REF!</v>
      </c>
    </row>
    <row r="486" spans="1:27" s="70" customFormat="1" ht="11.25" x14ac:dyDescent="0.2">
      <c r="A486" s="24">
        <v>480</v>
      </c>
      <c r="B486" s="24"/>
      <c r="C486" s="25"/>
      <c r="D486" s="26"/>
      <c r="E486" s="25"/>
      <c r="F486" s="25"/>
      <c r="G486" s="24"/>
      <c r="H486" s="25" t="e">
        <f ca="1"/>
        <v>#REF!</v>
      </c>
      <c r="I486" s="27" t="e">
        <f ca="1"/>
        <v>#REF!</v>
      </c>
      <c r="J486" s="28" t="e">
        <f ca="1"/>
        <v>#REF!</v>
      </c>
      <c r="K486" s="27" t="e">
        <f ca="1"/>
        <v>#REF!</v>
      </c>
      <c r="L486" s="25" t="e">
        <f ca="1"/>
        <v>#REF!</v>
      </c>
      <c r="M486" s="25" t="e">
        <f ca="1"/>
        <v>#REF!</v>
      </c>
      <c r="N486" s="25" t="e">
        <f ca="1"/>
        <v>#REF!</v>
      </c>
      <c r="O486" s="25" t="e">
        <f ca="1"/>
        <v>#REF!</v>
      </c>
      <c r="P486" s="25" t="e">
        <f ca="1"/>
        <v>#REF!</v>
      </c>
      <c r="Q486" s="25" t="e">
        <f ca="1"/>
        <v>#REF!</v>
      </c>
      <c r="R486" s="25" t="e">
        <f ca="1"/>
        <v>#REF!</v>
      </c>
      <c r="S486" s="25" t="e">
        <f ca="1"/>
        <v>#REF!</v>
      </c>
      <c r="T486" s="25" t="e">
        <f ca="1"/>
        <v>#REF!</v>
      </c>
      <c r="U486" s="25" t="e">
        <f ca="1"/>
        <v>#REF!</v>
      </c>
      <c r="V486" s="25" t="e">
        <f ca="1"/>
        <v>#REF!</v>
      </c>
      <c r="W486" s="33" t="e">
        <f ca="1"/>
        <v>#REF!</v>
      </c>
      <c r="X486" s="33" t="e">
        <f ca="1"/>
        <v>#REF!</v>
      </c>
      <c r="Y486" s="33" t="e">
        <f ca="1"/>
        <v>#REF!</v>
      </c>
      <c r="Z486" s="33" t="e">
        <f ca="1"/>
        <v>#REF!</v>
      </c>
      <c r="AA486" s="33" t="e">
        <f ca="1"/>
        <v>#REF!</v>
      </c>
    </row>
    <row r="487" spans="1:27" s="70" customFormat="1" ht="11.25" x14ac:dyDescent="0.2">
      <c r="A487" s="24">
        <v>481</v>
      </c>
      <c r="B487" s="24"/>
      <c r="C487" s="25"/>
      <c r="D487" s="26"/>
      <c r="E487" s="25"/>
      <c r="F487" s="25"/>
      <c r="G487" s="24"/>
      <c r="H487" s="25" t="e">
        <f ca="1"/>
        <v>#REF!</v>
      </c>
      <c r="I487" s="27" t="e">
        <f ca="1"/>
        <v>#REF!</v>
      </c>
      <c r="J487" s="28" t="e">
        <f ca="1"/>
        <v>#REF!</v>
      </c>
      <c r="K487" s="27" t="e">
        <f ca="1"/>
        <v>#REF!</v>
      </c>
      <c r="L487" s="25" t="e">
        <f ca="1"/>
        <v>#REF!</v>
      </c>
      <c r="M487" s="25" t="e">
        <f ca="1"/>
        <v>#REF!</v>
      </c>
      <c r="N487" s="25" t="e">
        <f ca="1"/>
        <v>#REF!</v>
      </c>
      <c r="O487" s="25" t="e">
        <f ca="1"/>
        <v>#REF!</v>
      </c>
      <c r="P487" s="25" t="e">
        <f ca="1"/>
        <v>#REF!</v>
      </c>
      <c r="Q487" s="25" t="e">
        <f ca="1"/>
        <v>#REF!</v>
      </c>
      <c r="R487" s="25" t="e">
        <f ca="1"/>
        <v>#REF!</v>
      </c>
      <c r="S487" s="25" t="e">
        <f ca="1"/>
        <v>#REF!</v>
      </c>
      <c r="T487" s="25" t="e">
        <f ca="1"/>
        <v>#REF!</v>
      </c>
      <c r="U487" s="25" t="e">
        <f ca="1"/>
        <v>#REF!</v>
      </c>
      <c r="V487" s="25" t="e">
        <f ca="1"/>
        <v>#REF!</v>
      </c>
      <c r="W487" s="33" t="e">
        <f ca="1"/>
        <v>#REF!</v>
      </c>
      <c r="X487" s="33" t="e">
        <f ca="1"/>
        <v>#REF!</v>
      </c>
      <c r="Y487" s="33" t="e">
        <f ca="1"/>
        <v>#REF!</v>
      </c>
      <c r="Z487" s="33" t="e">
        <f ca="1"/>
        <v>#REF!</v>
      </c>
      <c r="AA487" s="33" t="e">
        <f ca="1"/>
        <v>#REF!</v>
      </c>
    </row>
    <row r="488" spans="1:27" s="70" customFormat="1" ht="11.25" x14ac:dyDescent="0.2">
      <c r="A488" s="24">
        <v>482</v>
      </c>
      <c r="B488" s="24"/>
      <c r="C488" s="25"/>
      <c r="D488" s="26"/>
      <c r="E488" s="25"/>
      <c r="F488" s="25"/>
      <c r="G488" s="24"/>
      <c r="H488" s="25" t="e">
        <f ca="1"/>
        <v>#REF!</v>
      </c>
      <c r="I488" s="27" t="e">
        <f ca="1"/>
        <v>#REF!</v>
      </c>
      <c r="J488" s="28" t="e">
        <f ca="1"/>
        <v>#REF!</v>
      </c>
      <c r="K488" s="27" t="e">
        <f ca="1"/>
        <v>#REF!</v>
      </c>
      <c r="L488" s="25" t="e">
        <f ca="1"/>
        <v>#REF!</v>
      </c>
      <c r="M488" s="25" t="e">
        <f ca="1"/>
        <v>#REF!</v>
      </c>
      <c r="N488" s="25" t="e">
        <f ca="1"/>
        <v>#REF!</v>
      </c>
      <c r="O488" s="25" t="e">
        <f ca="1"/>
        <v>#REF!</v>
      </c>
      <c r="P488" s="25" t="e">
        <f ca="1"/>
        <v>#REF!</v>
      </c>
      <c r="Q488" s="25" t="e">
        <f ca="1"/>
        <v>#REF!</v>
      </c>
      <c r="R488" s="25" t="e">
        <f ca="1"/>
        <v>#REF!</v>
      </c>
      <c r="S488" s="25" t="e">
        <f ca="1"/>
        <v>#REF!</v>
      </c>
      <c r="T488" s="25" t="e">
        <f ca="1"/>
        <v>#REF!</v>
      </c>
      <c r="U488" s="25" t="e">
        <f ca="1"/>
        <v>#REF!</v>
      </c>
      <c r="V488" s="25" t="e">
        <f ca="1"/>
        <v>#REF!</v>
      </c>
      <c r="W488" s="33" t="e">
        <f ca="1"/>
        <v>#REF!</v>
      </c>
      <c r="X488" s="33" t="e">
        <f ca="1"/>
        <v>#REF!</v>
      </c>
      <c r="Y488" s="33" t="e">
        <f ca="1"/>
        <v>#REF!</v>
      </c>
      <c r="Z488" s="33" t="e">
        <f ca="1"/>
        <v>#REF!</v>
      </c>
      <c r="AA488" s="33" t="e">
        <f ca="1"/>
        <v>#REF!</v>
      </c>
    </row>
    <row r="489" spans="1:27" s="70" customFormat="1" ht="11.25" x14ac:dyDescent="0.2">
      <c r="A489" s="24">
        <v>483</v>
      </c>
      <c r="B489" s="24"/>
      <c r="C489" s="25"/>
      <c r="D489" s="26"/>
      <c r="E489" s="25"/>
      <c r="F489" s="25"/>
      <c r="G489" s="24"/>
      <c r="H489" s="25" t="e">
        <f ca="1"/>
        <v>#REF!</v>
      </c>
      <c r="I489" s="27" t="e">
        <f ca="1"/>
        <v>#REF!</v>
      </c>
      <c r="J489" s="28" t="e">
        <f ca="1"/>
        <v>#REF!</v>
      </c>
      <c r="K489" s="27" t="e">
        <f ca="1"/>
        <v>#REF!</v>
      </c>
      <c r="L489" s="25" t="e">
        <f ca="1"/>
        <v>#REF!</v>
      </c>
      <c r="M489" s="25" t="e">
        <f ca="1"/>
        <v>#REF!</v>
      </c>
      <c r="N489" s="25" t="e">
        <f ca="1"/>
        <v>#REF!</v>
      </c>
      <c r="O489" s="25" t="e">
        <f ca="1"/>
        <v>#REF!</v>
      </c>
      <c r="P489" s="25" t="e">
        <f ca="1"/>
        <v>#REF!</v>
      </c>
      <c r="Q489" s="25" t="e">
        <f ca="1"/>
        <v>#REF!</v>
      </c>
      <c r="R489" s="25" t="e">
        <f ca="1"/>
        <v>#REF!</v>
      </c>
      <c r="S489" s="25" t="e">
        <f ca="1"/>
        <v>#REF!</v>
      </c>
      <c r="T489" s="25" t="e">
        <f ca="1"/>
        <v>#REF!</v>
      </c>
      <c r="U489" s="25" t="e">
        <f ca="1"/>
        <v>#REF!</v>
      </c>
      <c r="V489" s="25" t="e">
        <f ca="1"/>
        <v>#REF!</v>
      </c>
      <c r="W489" s="33" t="e">
        <f ca="1"/>
        <v>#REF!</v>
      </c>
      <c r="X489" s="33" t="e">
        <f ca="1"/>
        <v>#REF!</v>
      </c>
      <c r="Y489" s="33" t="e">
        <f ca="1"/>
        <v>#REF!</v>
      </c>
      <c r="Z489" s="33" t="e">
        <f ca="1"/>
        <v>#REF!</v>
      </c>
      <c r="AA489" s="33" t="e">
        <f ca="1"/>
        <v>#REF!</v>
      </c>
    </row>
    <row r="490" spans="1:27" s="70" customFormat="1" ht="11.25" x14ac:dyDescent="0.2">
      <c r="A490" s="24">
        <v>484</v>
      </c>
      <c r="B490" s="24"/>
      <c r="C490" s="25"/>
      <c r="D490" s="26"/>
      <c r="E490" s="25"/>
      <c r="F490" s="25"/>
      <c r="G490" s="24"/>
      <c r="H490" s="25" t="e">
        <f ca="1"/>
        <v>#REF!</v>
      </c>
      <c r="I490" s="27" t="e">
        <f ca="1"/>
        <v>#REF!</v>
      </c>
      <c r="J490" s="28" t="e">
        <f ca="1"/>
        <v>#REF!</v>
      </c>
      <c r="K490" s="27" t="e">
        <f ca="1"/>
        <v>#REF!</v>
      </c>
      <c r="L490" s="25" t="e">
        <f ca="1"/>
        <v>#REF!</v>
      </c>
      <c r="M490" s="25" t="e">
        <f ca="1"/>
        <v>#REF!</v>
      </c>
      <c r="N490" s="25" t="e">
        <f ca="1"/>
        <v>#REF!</v>
      </c>
      <c r="O490" s="25" t="e">
        <f ca="1"/>
        <v>#REF!</v>
      </c>
      <c r="P490" s="25" t="e">
        <f ca="1"/>
        <v>#REF!</v>
      </c>
      <c r="Q490" s="25" t="e">
        <f ca="1"/>
        <v>#REF!</v>
      </c>
      <c r="R490" s="25" t="e">
        <f ca="1"/>
        <v>#REF!</v>
      </c>
      <c r="S490" s="25" t="e">
        <f ca="1"/>
        <v>#REF!</v>
      </c>
      <c r="T490" s="25" t="e">
        <f ca="1"/>
        <v>#REF!</v>
      </c>
      <c r="U490" s="25" t="e">
        <f ca="1"/>
        <v>#REF!</v>
      </c>
      <c r="V490" s="25" t="e">
        <f ca="1"/>
        <v>#REF!</v>
      </c>
      <c r="W490" s="33" t="e">
        <f ca="1"/>
        <v>#REF!</v>
      </c>
      <c r="X490" s="33" t="e">
        <f ca="1"/>
        <v>#REF!</v>
      </c>
      <c r="Y490" s="33" t="e">
        <f ca="1"/>
        <v>#REF!</v>
      </c>
      <c r="Z490" s="33" t="e">
        <f ca="1"/>
        <v>#REF!</v>
      </c>
      <c r="AA490" s="33" t="e">
        <f ca="1"/>
        <v>#REF!</v>
      </c>
    </row>
    <row r="491" spans="1:27" s="70" customFormat="1" ht="11.25" x14ac:dyDescent="0.2">
      <c r="A491" s="24">
        <v>485</v>
      </c>
      <c r="B491" s="24"/>
      <c r="C491" s="25"/>
      <c r="D491" s="26"/>
      <c r="E491" s="25"/>
      <c r="F491" s="25"/>
      <c r="G491" s="24"/>
      <c r="H491" s="25" t="e">
        <f ca="1"/>
        <v>#REF!</v>
      </c>
      <c r="I491" s="27" t="e">
        <f ca="1"/>
        <v>#REF!</v>
      </c>
      <c r="J491" s="28" t="e">
        <f ca="1"/>
        <v>#REF!</v>
      </c>
      <c r="K491" s="27" t="e">
        <f ca="1"/>
        <v>#REF!</v>
      </c>
      <c r="L491" s="25" t="e">
        <f ca="1"/>
        <v>#REF!</v>
      </c>
      <c r="M491" s="25" t="e">
        <f ca="1"/>
        <v>#REF!</v>
      </c>
      <c r="N491" s="25" t="e">
        <f ca="1"/>
        <v>#REF!</v>
      </c>
      <c r="O491" s="25" t="e">
        <f ca="1"/>
        <v>#REF!</v>
      </c>
      <c r="P491" s="25" t="e">
        <f ca="1"/>
        <v>#REF!</v>
      </c>
      <c r="Q491" s="25" t="e">
        <f ca="1"/>
        <v>#REF!</v>
      </c>
      <c r="R491" s="25" t="e">
        <f ca="1"/>
        <v>#REF!</v>
      </c>
      <c r="S491" s="25" t="e">
        <f ca="1"/>
        <v>#REF!</v>
      </c>
      <c r="T491" s="25" t="e">
        <f ca="1"/>
        <v>#REF!</v>
      </c>
      <c r="U491" s="25" t="e">
        <f ca="1"/>
        <v>#REF!</v>
      </c>
      <c r="V491" s="25" t="e">
        <f ca="1"/>
        <v>#REF!</v>
      </c>
      <c r="W491" s="33" t="e">
        <f ca="1"/>
        <v>#REF!</v>
      </c>
      <c r="X491" s="33" t="e">
        <f ca="1"/>
        <v>#REF!</v>
      </c>
      <c r="Y491" s="33" t="e">
        <f ca="1"/>
        <v>#REF!</v>
      </c>
      <c r="Z491" s="33" t="e">
        <f ca="1"/>
        <v>#REF!</v>
      </c>
      <c r="AA491" s="33" t="e">
        <f ca="1"/>
        <v>#REF!</v>
      </c>
    </row>
    <row r="492" spans="1:27" s="70" customFormat="1" ht="11.25" x14ac:dyDescent="0.2">
      <c r="A492" s="24">
        <v>486</v>
      </c>
      <c r="B492" s="24"/>
      <c r="C492" s="25"/>
      <c r="D492" s="26"/>
      <c r="E492" s="25"/>
      <c r="F492" s="25"/>
      <c r="G492" s="24"/>
      <c r="H492" s="25" t="e">
        <f ca="1"/>
        <v>#REF!</v>
      </c>
      <c r="I492" s="27" t="e">
        <f ca="1"/>
        <v>#REF!</v>
      </c>
      <c r="J492" s="28" t="e">
        <f ca="1"/>
        <v>#REF!</v>
      </c>
      <c r="K492" s="27" t="e">
        <f ca="1"/>
        <v>#REF!</v>
      </c>
      <c r="L492" s="25" t="e">
        <f ca="1"/>
        <v>#REF!</v>
      </c>
      <c r="M492" s="25" t="e">
        <f ca="1"/>
        <v>#REF!</v>
      </c>
      <c r="N492" s="25" t="e">
        <f ca="1"/>
        <v>#REF!</v>
      </c>
      <c r="O492" s="25" t="e">
        <f ca="1"/>
        <v>#REF!</v>
      </c>
      <c r="P492" s="25" t="e">
        <f ca="1"/>
        <v>#REF!</v>
      </c>
      <c r="Q492" s="25" t="e">
        <f ca="1"/>
        <v>#REF!</v>
      </c>
      <c r="R492" s="25" t="e">
        <f ca="1"/>
        <v>#REF!</v>
      </c>
      <c r="S492" s="25" t="e">
        <f ca="1"/>
        <v>#REF!</v>
      </c>
      <c r="T492" s="25" t="e">
        <f ca="1"/>
        <v>#REF!</v>
      </c>
      <c r="U492" s="25" t="e">
        <f ca="1"/>
        <v>#REF!</v>
      </c>
      <c r="V492" s="25" t="e">
        <f ca="1"/>
        <v>#REF!</v>
      </c>
      <c r="W492" s="33" t="e">
        <f ca="1"/>
        <v>#REF!</v>
      </c>
      <c r="X492" s="33" t="e">
        <f ca="1"/>
        <v>#REF!</v>
      </c>
      <c r="Y492" s="33" t="e">
        <f ca="1"/>
        <v>#REF!</v>
      </c>
      <c r="Z492" s="33" t="e">
        <f ca="1"/>
        <v>#REF!</v>
      </c>
      <c r="AA492" s="33" t="e">
        <f ca="1"/>
        <v>#REF!</v>
      </c>
    </row>
    <row r="493" spans="1:27" s="70" customFormat="1" ht="11.25" x14ac:dyDescent="0.2">
      <c r="A493" s="24">
        <v>487</v>
      </c>
      <c r="B493" s="24"/>
      <c r="C493" s="25"/>
      <c r="D493" s="26"/>
      <c r="E493" s="25"/>
      <c r="F493" s="25"/>
      <c r="G493" s="24"/>
      <c r="H493" s="25" t="e">
        <f ca="1"/>
        <v>#REF!</v>
      </c>
      <c r="I493" s="27" t="e">
        <f ca="1"/>
        <v>#REF!</v>
      </c>
      <c r="J493" s="28" t="e">
        <f ca="1"/>
        <v>#REF!</v>
      </c>
      <c r="K493" s="27" t="e">
        <f ca="1"/>
        <v>#REF!</v>
      </c>
      <c r="L493" s="25" t="e">
        <f ca="1"/>
        <v>#REF!</v>
      </c>
      <c r="M493" s="25" t="e">
        <f ca="1"/>
        <v>#REF!</v>
      </c>
      <c r="N493" s="25" t="e">
        <f ca="1"/>
        <v>#REF!</v>
      </c>
      <c r="O493" s="25" t="e">
        <f ca="1"/>
        <v>#REF!</v>
      </c>
      <c r="P493" s="25" t="e">
        <f ca="1"/>
        <v>#REF!</v>
      </c>
      <c r="Q493" s="25" t="e">
        <f ca="1"/>
        <v>#REF!</v>
      </c>
      <c r="R493" s="25" t="e">
        <f ca="1"/>
        <v>#REF!</v>
      </c>
      <c r="S493" s="25" t="e">
        <f ca="1"/>
        <v>#REF!</v>
      </c>
      <c r="T493" s="25" t="e">
        <f ca="1"/>
        <v>#REF!</v>
      </c>
      <c r="U493" s="25" t="e">
        <f ca="1"/>
        <v>#REF!</v>
      </c>
      <c r="V493" s="25" t="e">
        <f ca="1"/>
        <v>#REF!</v>
      </c>
      <c r="W493" s="33" t="e">
        <f ca="1"/>
        <v>#REF!</v>
      </c>
      <c r="X493" s="33" t="e">
        <f ca="1"/>
        <v>#REF!</v>
      </c>
      <c r="Y493" s="33" t="e">
        <f ca="1"/>
        <v>#REF!</v>
      </c>
      <c r="Z493" s="33" t="e">
        <f ca="1"/>
        <v>#REF!</v>
      </c>
      <c r="AA493" s="33" t="e">
        <f ca="1"/>
        <v>#REF!</v>
      </c>
    </row>
    <row r="494" spans="1:27" s="70" customFormat="1" ht="11.25" x14ac:dyDescent="0.2">
      <c r="A494" s="24">
        <v>488</v>
      </c>
      <c r="B494" s="24"/>
      <c r="C494" s="25"/>
      <c r="D494" s="26"/>
      <c r="E494" s="25"/>
      <c r="F494" s="25"/>
      <c r="G494" s="24"/>
      <c r="H494" s="25" t="e">
        <f ca="1"/>
        <v>#REF!</v>
      </c>
      <c r="I494" s="27" t="e">
        <f ca="1"/>
        <v>#REF!</v>
      </c>
      <c r="J494" s="28" t="e">
        <f ca="1"/>
        <v>#REF!</v>
      </c>
      <c r="K494" s="27" t="e">
        <f ca="1"/>
        <v>#REF!</v>
      </c>
      <c r="L494" s="25" t="e">
        <f ca="1"/>
        <v>#REF!</v>
      </c>
      <c r="M494" s="25" t="e">
        <f ca="1"/>
        <v>#REF!</v>
      </c>
      <c r="N494" s="25" t="e">
        <f ca="1"/>
        <v>#REF!</v>
      </c>
      <c r="O494" s="25" t="e">
        <f ca="1"/>
        <v>#REF!</v>
      </c>
      <c r="P494" s="25" t="e">
        <f ca="1"/>
        <v>#REF!</v>
      </c>
      <c r="Q494" s="25" t="e">
        <f ca="1"/>
        <v>#REF!</v>
      </c>
      <c r="R494" s="25" t="e">
        <f ca="1"/>
        <v>#REF!</v>
      </c>
      <c r="S494" s="25" t="e">
        <f ca="1"/>
        <v>#REF!</v>
      </c>
      <c r="T494" s="25" t="e">
        <f ca="1"/>
        <v>#REF!</v>
      </c>
      <c r="U494" s="25" t="e">
        <f ca="1"/>
        <v>#REF!</v>
      </c>
      <c r="V494" s="25" t="e">
        <f ca="1"/>
        <v>#REF!</v>
      </c>
      <c r="W494" s="33" t="e">
        <f ca="1"/>
        <v>#REF!</v>
      </c>
      <c r="X494" s="33" t="e">
        <f ca="1"/>
        <v>#REF!</v>
      </c>
      <c r="Y494" s="33" t="e">
        <f ca="1"/>
        <v>#REF!</v>
      </c>
      <c r="Z494" s="33" t="e">
        <f ca="1"/>
        <v>#REF!</v>
      </c>
      <c r="AA494" s="33" t="e">
        <f ca="1"/>
        <v>#REF!</v>
      </c>
    </row>
    <row r="495" spans="1:27" s="70" customFormat="1" ht="11.25" x14ac:dyDescent="0.2">
      <c r="A495" s="24">
        <v>489</v>
      </c>
      <c r="B495" s="24"/>
      <c r="C495" s="25"/>
      <c r="D495" s="26"/>
      <c r="E495" s="25"/>
      <c r="F495" s="25"/>
      <c r="G495" s="24"/>
      <c r="H495" s="25" t="e">
        <f ca="1"/>
        <v>#REF!</v>
      </c>
      <c r="I495" s="27" t="e">
        <f ca="1"/>
        <v>#REF!</v>
      </c>
      <c r="J495" s="28" t="e">
        <f ca="1"/>
        <v>#REF!</v>
      </c>
      <c r="K495" s="27" t="e">
        <f ca="1"/>
        <v>#REF!</v>
      </c>
      <c r="L495" s="25" t="e">
        <f ca="1"/>
        <v>#REF!</v>
      </c>
      <c r="M495" s="25" t="e">
        <f ca="1"/>
        <v>#REF!</v>
      </c>
      <c r="N495" s="25" t="e">
        <f ca="1"/>
        <v>#REF!</v>
      </c>
      <c r="O495" s="25" t="e">
        <f ca="1"/>
        <v>#REF!</v>
      </c>
      <c r="P495" s="25" t="e">
        <f ca="1"/>
        <v>#REF!</v>
      </c>
      <c r="Q495" s="25" t="e">
        <f ca="1"/>
        <v>#REF!</v>
      </c>
      <c r="R495" s="25" t="e">
        <f ca="1"/>
        <v>#REF!</v>
      </c>
      <c r="S495" s="25" t="e">
        <f ca="1"/>
        <v>#REF!</v>
      </c>
      <c r="T495" s="25" t="e">
        <f ca="1"/>
        <v>#REF!</v>
      </c>
      <c r="U495" s="25" t="e">
        <f ca="1"/>
        <v>#REF!</v>
      </c>
      <c r="V495" s="25" t="e">
        <f ca="1"/>
        <v>#REF!</v>
      </c>
      <c r="W495" s="33" t="e">
        <f ca="1"/>
        <v>#REF!</v>
      </c>
      <c r="X495" s="33" t="e">
        <f ca="1"/>
        <v>#REF!</v>
      </c>
      <c r="Y495" s="33" t="e">
        <f ca="1"/>
        <v>#REF!</v>
      </c>
      <c r="Z495" s="33" t="e">
        <f ca="1"/>
        <v>#REF!</v>
      </c>
      <c r="AA495" s="33" t="e">
        <f ca="1"/>
        <v>#REF!</v>
      </c>
    </row>
    <row r="496" spans="1:27" s="70" customFormat="1" ht="11.25" x14ac:dyDescent="0.2">
      <c r="A496" s="24">
        <v>490</v>
      </c>
      <c r="B496" s="24"/>
      <c r="C496" s="25"/>
      <c r="D496" s="26"/>
      <c r="E496" s="25"/>
      <c r="F496" s="25"/>
      <c r="G496" s="24"/>
      <c r="H496" s="25" t="e">
        <f ca="1"/>
        <v>#REF!</v>
      </c>
      <c r="I496" s="27" t="e">
        <f ca="1"/>
        <v>#REF!</v>
      </c>
      <c r="J496" s="28" t="e">
        <f ca="1"/>
        <v>#REF!</v>
      </c>
      <c r="K496" s="27" t="e">
        <f ca="1"/>
        <v>#REF!</v>
      </c>
      <c r="L496" s="25" t="e">
        <f ca="1"/>
        <v>#REF!</v>
      </c>
      <c r="M496" s="25" t="e">
        <f ca="1"/>
        <v>#REF!</v>
      </c>
      <c r="N496" s="25" t="e">
        <f ca="1"/>
        <v>#REF!</v>
      </c>
      <c r="O496" s="25" t="e">
        <f ca="1"/>
        <v>#REF!</v>
      </c>
      <c r="P496" s="25" t="e">
        <f ca="1"/>
        <v>#REF!</v>
      </c>
      <c r="Q496" s="25" t="e">
        <f ca="1"/>
        <v>#REF!</v>
      </c>
      <c r="R496" s="25" t="e">
        <f ca="1"/>
        <v>#REF!</v>
      </c>
      <c r="S496" s="25" t="e">
        <f ca="1"/>
        <v>#REF!</v>
      </c>
      <c r="T496" s="25" t="e">
        <f ca="1"/>
        <v>#REF!</v>
      </c>
      <c r="U496" s="25" t="e">
        <f ca="1"/>
        <v>#REF!</v>
      </c>
      <c r="V496" s="25" t="e">
        <f ca="1"/>
        <v>#REF!</v>
      </c>
      <c r="W496" s="33" t="e">
        <f ca="1"/>
        <v>#REF!</v>
      </c>
      <c r="X496" s="33" t="e">
        <f ca="1"/>
        <v>#REF!</v>
      </c>
      <c r="Y496" s="33" t="e">
        <f ca="1"/>
        <v>#REF!</v>
      </c>
      <c r="Z496" s="33" t="e">
        <f ca="1"/>
        <v>#REF!</v>
      </c>
      <c r="AA496" s="33" t="e">
        <f ca="1"/>
        <v>#REF!</v>
      </c>
    </row>
    <row r="497" spans="1:27" s="70" customFormat="1" ht="11.25" x14ac:dyDescent="0.2">
      <c r="A497" s="24">
        <v>491</v>
      </c>
      <c r="B497" s="24"/>
      <c r="C497" s="25"/>
      <c r="D497" s="26"/>
      <c r="E497" s="25"/>
      <c r="F497" s="25"/>
      <c r="G497" s="24"/>
      <c r="H497" s="25" t="e">
        <f ca="1"/>
        <v>#REF!</v>
      </c>
      <c r="I497" s="27" t="e">
        <f ca="1"/>
        <v>#REF!</v>
      </c>
      <c r="J497" s="28" t="e">
        <f ca="1"/>
        <v>#REF!</v>
      </c>
      <c r="K497" s="27" t="e">
        <f ca="1"/>
        <v>#REF!</v>
      </c>
      <c r="L497" s="25" t="e">
        <f ca="1"/>
        <v>#REF!</v>
      </c>
      <c r="M497" s="25" t="e">
        <f ca="1"/>
        <v>#REF!</v>
      </c>
      <c r="N497" s="25" t="e">
        <f ca="1"/>
        <v>#REF!</v>
      </c>
      <c r="O497" s="25" t="e">
        <f ca="1"/>
        <v>#REF!</v>
      </c>
      <c r="P497" s="25" t="e">
        <f ca="1"/>
        <v>#REF!</v>
      </c>
      <c r="Q497" s="25" t="e">
        <f ca="1"/>
        <v>#REF!</v>
      </c>
      <c r="R497" s="25" t="e">
        <f ca="1"/>
        <v>#REF!</v>
      </c>
      <c r="S497" s="25" t="e">
        <f ca="1"/>
        <v>#REF!</v>
      </c>
      <c r="T497" s="25" t="e">
        <f ca="1"/>
        <v>#REF!</v>
      </c>
      <c r="U497" s="25" t="e">
        <f ca="1"/>
        <v>#REF!</v>
      </c>
      <c r="V497" s="25" t="e">
        <f ca="1"/>
        <v>#REF!</v>
      </c>
      <c r="W497" s="33" t="e">
        <f ca="1"/>
        <v>#REF!</v>
      </c>
      <c r="X497" s="33" t="e">
        <f ca="1"/>
        <v>#REF!</v>
      </c>
      <c r="Y497" s="33" t="e">
        <f ca="1"/>
        <v>#REF!</v>
      </c>
      <c r="Z497" s="33" t="e">
        <f ca="1"/>
        <v>#REF!</v>
      </c>
      <c r="AA497" s="33" t="e">
        <f ca="1"/>
        <v>#REF!</v>
      </c>
    </row>
    <row r="498" spans="1:27" s="70" customFormat="1" ht="11.25" x14ac:dyDescent="0.2">
      <c r="A498" s="24">
        <v>492</v>
      </c>
      <c r="B498" s="24"/>
      <c r="C498" s="25"/>
      <c r="D498" s="26"/>
      <c r="E498" s="25"/>
      <c r="F498" s="25"/>
      <c r="G498" s="24"/>
      <c r="H498" s="25" t="e">
        <f ca="1"/>
        <v>#REF!</v>
      </c>
      <c r="I498" s="27" t="e">
        <f ca="1"/>
        <v>#REF!</v>
      </c>
      <c r="J498" s="28" t="e">
        <f ca="1"/>
        <v>#REF!</v>
      </c>
      <c r="K498" s="27" t="e">
        <f ca="1"/>
        <v>#REF!</v>
      </c>
      <c r="L498" s="25" t="e">
        <f ca="1"/>
        <v>#REF!</v>
      </c>
      <c r="M498" s="25" t="e">
        <f ca="1"/>
        <v>#REF!</v>
      </c>
      <c r="N498" s="25" t="e">
        <f ca="1"/>
        <v>#REF!</v>
      </c>
      <c r="O498" s="25" t="e">
        <f ca="1"/>
        <v>#REF!</v>
      </c>
      <c r="P498" s="25" t="e">
        <f ca="1"/>
        <v>#REF!</v>
      </c>
      <c r="Q498" s="25" t="e">
        <f ca="1"/>
        <v>#REF!</v>
      </c>
      <c r="R498" s="25" t="e">
        <f ca="1"/>
        <v>#REF!</v>
      </c>
      <c r="S498" s="25" t="e">
        <f ca="1"/>
        <v>#REF!</v>
      </c>
      <c r="T498" s="25" t="e">
        <f ca="1"/>
        <v>#REF!</v>
      </c>
      <c r="U498" s="25" t="e">
        <f ca="1"/>
        <v>#REF!</v>
      </c>
      <c r="V498" s="25" t="e">
        <f ca="1"/>
        <v>#REF!</v>
      </c>
      <c r="W498" s="33" t="e">
        <f ca="1"/>
        <v>#REF!</v>
      </c>
      <c r="X498" s="33" t="e">
        <f ca="1"/>
        <v>#REF!</v>
      </c>
      <c r="Y498" s="33" t="e">
        <f ca="1"/>
        <v>#REF!</v>
      </c>
      <c r="Z498" s="33" t="e">
        <f ca="1"/>
        <v>#REF!</v>
      </c>
      <c r="AA498" s="33" t="e">
        <f ca="1"/>
        <v>#REF!</v>
      </c>
    </row>
    <row r="499" spans="1:27" s="70" customFormat="1" ht="11.25" x14ac:dyDescent="0.2">
      <c r="A499" s="24">
        <v>493</v>
      </c>
      <c r="B499" s="24"/>
      <c r="C499" s="25"/>
      <c r="D499" s="26"/>
      <c r="E499" s="25"/>
      <c r="F499" s="25"/>
      <c r="G499" s="24"/>
      <c r="H499" s="25" t="e">
        <f ca="1"/>
        <v>#REF!</v>
      </c>
      <c r="I499" s="27" t="e">
        <f ca="1"/>
        <v>#REF!</v>
      </c>
      <c r="J499" s="28" t="e">
        <f ca="1"/>
        <v>#REF!</v>
      </c>
      <c r="K499" s="27" t="e">
        <f ca="1"/>
        <v>#REF!</v>
      </c>
      <c r="L499" s="25" t="e">
        <f ca="1"/>
        <v>#REF!</v>
      </c>
      <c r="M499" s="25" t="e">
        <f ca="1"/>
        <v>#REF!</v>
      </c>
      <c r="N499" s="25" t="e">
        <f ca="1"/>
        <v>#REF!</v>
      </c>
      <c r="O499" s="25" t="e">
        <f ca="1"/>
        <v>#REF!</v>
      </c>
      <c r="P499" s="25" t="e">
        <f ca="1"/>
        <v>#REF!</v>
      </c>
      <c r="Q499" s="25" t="e">
        <f ca="1"/>
        <v>#REF!</v>
      </c>
      <c r="R499" s="25" t="e">
        <f ca="1"/>
        <v>#REF!</v>
      </c>
      <c r="S499" s="25" t="e">
        <f ca="1"/>
        <v>#REF!</v>
      </c>
      <c r="T499" s="25" t="e">
        <f ca="1"/>
        <v>#REF!</v>
      </c>
      <c r="U499" s="25" t="e">
        <f ca="1"/>
        <v>#REF!</v>
      </c>
      <c r="V499" s="25" t="e">
        <f ca="1"/>
        <v>#REF!</v>
      </c>
      <c r="W499" s="33" t="e">
        <f ca="1"/>
        <v>#REF!</v>
      </c>
      <c r="X499" s="33" t="e">
        <f ca="1"/>
        <v>#REF!</v>
      </c>
      <c r="Y499" s="33" t="e">
        <f ca="1"/>
        <v>#REF!</v>
      </c>
      <c r="Z499" s="33" t="e">
        <f ca="1"/>
        <v>#REF!</v>
      </c>
      <c r="AA499" s="33" t="e">
        <f ca="1"/>
        <v>#REF!</v>
      </c>
    </row>
    <row r="500" spans="1:27" s="70" customFormat="1" ht="11.25" x14ac:dyDescent="0.2">
      <c r="A500" s="24">
        <v>494</v>
      </c>
      <c r="B500" s="24"/>
      <c r="C500" s="25"/>
      <c r="D500" s="26"/>
      <c r="E500" s="25"/>
      <c r="F500" s="25"/>
      <c r="G500" s="24"/>
      <c r="H500" s="25" t="e">
        <f ca="1"/>
        <v>#REF!</v>
      </c>
      <c r="I500" s="27" t="e">
        <f ca="1"/>
        <v>#REF!</v>
      </c>
      <c r="J500" s="28" t="e">
        <f ca="1"/>
        <v>#REF!</v>
      </c>
      <c r="K500" s="27" t="e">
        <f ca="1"/>
        <v>#REF!</v>
      </c>
      <c r="L500" s="25" t="e">
        <f ca="1"/>
        <v>#REF!</v>
      </c>
      <c r="M500" s="25" t="e">
        <f ca="1"/>
        <v>#REF!</v>
      </c>
      <c r="N500" s="25" t="e">
        <f ca="1"/>
        <v>#REF!</v>
      </c>
      <c r="O500" s="25" t="e">
        <f ca="1"/>
        <v>#REF!</v>
      </c>
      <c r="P500" s="25" t="e">
        <f ca="1"/>
        <v>#REF!</v>
      </c>
      <c r="Q500" s="25" t="e">
        <f ca="1"/>
        <v>#REF!</v>
      </c>
      <c r="R500" s="25" t="e">
        <f ca="1"/>
        <v>#REF!</v>
      </c>
      <c r="S500" s="25" t="e">
        <f ca="1"/>
        <v>#REF!</v>
      </c>
      <c r="T500" s="25" t="e">
        <f ca="1"/>
        <v>#REF!</v>
      </c>
      <c r="U500" s="25" t="e">
        <f ca="1"/>
        <v>#REF!</v>
      </c>
      <c r="V500" s="25" t="e">
        <f ca="1"/>
        <v>#REF!</v>
      </c>
      <c r="W500" s="33" t="e">
        <f ca="1"/>
        <v>#REF!</v>
      </c>
      <c r="X500" s="33" t="e">
        <f ca="1"/>
        <v>#REF!</v>
      </c>
      <c r="Y500" s="33" t="e">
        <f ca="1"/>
        <v>#REF!</v>
      </c>
      <c r="Z500" s="33" t="e">
        <f ca="1"/>
        <v>#REF!</v>
      </c>
      <c r="AA500" s="33" t="e">
        <f ca="1"/>
        <v>#REF!</v>
      </c>
    </row>
    <row r="501" spans="1:27" s="70" customFormat="1" ht="11.25" x14ac:dyDescent="0.2">
      <c r="A501" s="24">
        <v>495</v>
      </c>
      <c r="B501" s="24"/>
      <c r="C501" s="25"/>
      <c r="D501" s="26"/>
      <c r="E501" s="25"/>
      <c r="F501" s="25"/>
      <c r="G501" s="24"/>
      <c r="H501" s="25" t="e">
        <f ca="1"/>
        <v>#REF!</v>
      </c>
      <c r="I501" s="27" t="e">
        <f ca="1"/>
        <v>#REF!</v>
      </c>
      <c r="J501" s="25" t="e">
        <f ca="1"/>
        <v>#REF!</v>
      </c>
      <c r="K501" s="27" t="e">
        <f ca="1"/>
        <v>#REF!</v>
      </c>
      <c r="L501" s="25" t="e">
        <f ca="1"/>
        <v>#REF!</v>
      </c>
      <c r="M501" s="25" t="e">
        <f ca="1"/>
        <v>#REF!</v>
      </c>
      <c r="N501" s="25" t="e">
        <f ca="1"/>
        <v>#REF!</v>
      </c>
      <c r="O501" s="25" t="e">
        <f ca="1"/>
        <v>#REF!</v>
      </c>
      <c r="P501" s="25" t="e">
        <f ca="1"/>
        <v>#REF!</v>
      </c>
      <c r="Q501" s="25" t="e">
        <f ca="1"/>
        <v>#REF!</v>
      </c>
      <c r="R501" s="25" t="e">
        <f ca="1"/>
        <v>#REF!</v>
      </c>
      <c r="S501" s="25" t="e">
        <f ca="1"/>
        <v>#REF!</v>
      </c>
      <c r="T501" s="25" t="e">
        <f ca="1"/>
        <v>#REF!</v>
      </c>
      <c r="U501" s="25" t="e">
        <f ca="1"/>
        <v>#REF!</v>
      </c>
      <c r="V501" s="25" t="e">
        <f ca="1"/>
        <v>#REF!</v>
      </c>
      <c r="W501" s="33" t="e">
        <f ca="1"/>
        <v>#REF!</v>
      </c>
      <c r="X501" s="33" t="e">
        <f ca="1"/>
        <v>#REF!</v>
      </c>
      <c r="Y501" s="33" t="e">
        <f ca="1"/>
        <v>#REF!</v>
      </c>
      <c r="Z501" s="33" t="e">
        <f ca="1"/>
        <v>#REF!</v>
      </c>
      <c r="AA501" s="33" t="e">
        <f ca="1"/>
        <v>#REF!</v>
      </c>
    </row>
    <row r="502" spans="1:27" s="70" customFormat="1" ht="11.25" x14ac:dyDescent="0.2">
      <c r="A502" s="24">
        <v>496</v>
      </c>
      <c r="B502" s="24"/>
      <c r="C502" s="25"/>
      <c r="D502" s="26"/>
      <c r="E502" s="25"/>
      <c r="F502" s="25"/>
      <c r="G502" s="24"/>
      <c r="H502" s="25" t="e">
        <f ca="1"/>
        <v>#REF!</v>
      </c>
      <c r="I502" s="24" t="e">
        <f ca="1"/>
        <v>#REF!</v>
      </c>
      <c r="J502" s="25" t="e">
        <f ca="1"/>
        <v>#REF!</v>
      </c>
      <c r="K502" s="24" t="e">
        <f ca="1"/>
        <v>#REF!</v>
      </c>
      <c r="L502" s="25" t="e">
        <f ca="1"/>
        <v>#REF!</v>
      </c>
      <c r="M502" s="25" t="e">
        <f ca="1"/>
        <v>#REF!</v>
      </c>
      <c r="N502" s="25" t="e">
        <f ca="1"/>
        <v>#REF!</v>
      </c>
      <c r="O502" s="25" t="e">
        <f ca="1"/>
        <v>#REF!</v>
      </c>
      <c r="P502" s="25" t="e">
        <f ca="1"/>
        <v>#REF!</v>
      </c>
      <c r="Q502" s="25" t="e">
        <f ca="1"/>
        <v>#REF!</v>
      </c>
      <c r="R502" s="25" t="e">
        <f ca="1"/>
        <v>#REF!</v>
      </c>
      <c r="S502" s="25" t="e">
        <f ca="1"/>
        <v>#REF!</v>
      </c>
      <c r="T502" s="25" t="e">
        <f ca="1"/>
        <v>#REF!</v>
      </c>
      <c r="U502" s="25" t="e">
        <f ca="1"/>
        <v>#REF!</v>
      </c>
      <c r="V502" s="25" t="e">
        <f ca="1"/>
        <v>#REF!</v>
      </c>
      <c r="W502" s="33" t="e">
        <f ca="1"/>
        <v>#REF!</v>
      </c>
      <c r="X502" s="33" t="e">
        <f ca="1"/>
        <v>#REF!</v>
      </c>
      <c r="Y502" s="33" t="e">
        <f ca="1"/>
        <v>#REF!</v>
      </c>
      <c r="Z502" s="33" t="e">
        <f ca="1"/>
        <v>#REF!</v>
      </c>
      <c r="AA502" s="33" t="e">
        <f ca="1"/>
        <v>#REF!</v>
      </c>
    </row>
    <row r="503" spans="1:27" s="70" customFormat="1" ht="11.25" x14ac:dyDescent="0.2">
      <c r="A503" s="24">
        <v>497</v>
      </c>
      <c r="B503" s="24"/>
      <c r="C503" s="25"/>
      <c r="D503" s="26"/>
      <c r="E503" s="25"/>
      <c r="F503" s="25"/>
      <c r="G503" s="24"/>
      <c r="H503" s="25" t="e">
        <f ca="1"/>
        <v>#REF!</v>
      </c>
      <c r="I503" s="24" t="e">
        <f ca="1"/>
        <v>#REF!</v>
      </c>
      <c r="J503" s="25" t="e">
        <f ca="1"/>
        <v>#REF!</v>
      </c>
      <c r="K503" s="24" t="e">
        <f ca="1"/>
        <v>#REF!</v>
      </c>
      <c r="L503" s="25" t="e">
        <f ca="1"/>
        <v>#REF!</v>
      </c>
      <c r="M503" s="25" t="e">
        <f ca="1"/>
        <v>#REF!</v>
      </c>
      <c r="N503" s="25" t="e">
        <f ca="1"/>
        <v>#REF!</v>
      </c>
      <c r="O503" s="25" t="e">
        <f ca="1"/>
        <v>#REF!</v>
      </c>
      <c r="P503" s="25" t="e">
        <f ca="1"/>
        <v>#REF!</v>
      </c>
      <c r="Q503" s="25" t="e">
        <f ca="1"/>
        <v>#REF!</v>
      </c>
      <c r="R503" s="25" t="e">
        <f ca="1"/>
        <v>#REF!</v>
      </c>
      <c r="S503" s="25" t="e">
        <f ca="1"/>
        <v>#REF!</v>
      </c>
      <c r="T503" s="25" t="e">
        <f ca="1"/>
        <v>#REF!</v>
      </c>
      <c r="U503" s="25" t="e">
        <f ca="1"/>
        <v>#REF!</v>
      </c>
      <c r="V503" s="25" t="e">
        <f ca="1"/>
        <v>#REF!</v>
      </c>
      <c r="W503" s="33" t="e">
        <f ca="1"/>
        <v>#REF!</v>
      </c>
      <c r="X503" s="33" t="e">
        <f ca="1"/>
        <v>#REF!</v>
      </c>
      <c r="Y503" s="33" t="e">
        <f ca="1"/>
        <v>#REF!</v>
      </c>
      <c r="Z503" s="33" t="e">
        <f ca="1"/>
        <v>#REF!</v>
      </c>
      <c r="AA503" s="33" t="e">
        <f ca="1"/>
        <v>#REF!</v>
      </c>
    </row>
    <row r="504" spans="1:27" s="70" customFormat="1" ht="11.25" x14ac:dyDescent="0.2">
      <c r="A504" s="24">
        <v>498</v>
      </c>
      <c r="B504" s="24"/>
      <c r="C504" s="25"/>
      <c r="D504" s="26"/>
      <c r="E504" s="25"/>
      <c r="F504" s="25"/>
      <c r="G504" s="24"/>
      <c r="H504" s="25" t="e">
        <f ca="1"/>
        <v>#REF!</v>
      </c>
      <c r="I504" s="24" t="e">
        <f ca="1"/>
        <v>#REF!</v>
      </c>
      <c r="J504" s="25" t="e">
        <f ca="1"/>
        <v>#REF!</v>
      </c>
      <c r="K504" s="24" t="e">
        <f ca="1"/>
        <v>#REF!</v>
      </c>
      <c r="L504" s="25" t="e">
        <f ca="1"/>
        <v>#REF!</v>
      </c>
      <c r="M504" s="25" t="e">
        <f ca="1"/>
        <v>#REF!</v>
      </c>
      <c r="N504" s="25" t="e">
        <f ca="1"/>
        <v>#REF!</v>
      </c>
      <c r="O504" s="25" t="e">
        <f ca="1"/>
        <v>#REF!</v>
      </c>
      <c r="P504" s="25" t="e">
        <f ca="1"/>
        <v>#REF!</v>
      </c>
      <c r="Q504" s="25" t="e">
        <f ca="1"/>
        <v>#REF!</v>
      </c>
      <c r="R504" s="25" t="e">
        <f ca="1"/>
        <v>#REF!</v>
      </c>
      <c r="S504" s="25" t="e">
        <f ca="1"/>
        <v>#REF!</v>
      </c>
      <c r="T504" s="25" t="e">
        <f ca="1"/>
        <v>#REF!</v>
      </c>
      <c r="U504" s="25" t="e">
        <f ca="1"/>
        <v>#REF!</v>
      </c>
      <c r="V504" s="25" t="e">
        <f ca="1"/>
        <v>#REF!</v>
      </c>
      <c r="W504" s="33" t="e">
        <f ca="1"/>
        <v>#REF!</v>
      </c>
      <c r="X504" s="33" t="e">
        <f ca="1"/>
        <v>#REF!</v>
      </c>
      <c r="Y504" s="33" t="e">
        <f ca="1"/>
        <v>#REF!</v>
      </c>
      <c r="Z504" s="33" t="e">
        <f ca="1"/>
        <v>#REF!</v>
      </c>
      <c r="AA504" s="33" t="e">
        <f ca="1"/>
        <v>#REF!</v>
      </c>
    </row>
    <row r="505" spans="1:27" s="70" customFormat="1" ht="11.25" x14ac:dyDescent="0.2">
      <c r="A505" s="24">
        <v>499</v>
      </c>
      <c r="B505" s="24"/>
      <c r="C505" s="25"/>
      <c r="D505" s="26"/>
      <c r="E505" s="25"/>
      <c r="F505" s="25"/>
      <c r="G505" s="24"/>
      <c r="H505" s="25" t="e">
        <f ca="1"/>
        <v>#REF!</v>
      </c>
      <c r="I505" s="24" t="e">
        <f ca="1"/>
        <v>#REF!</v>
      </c>
      <c r="J505" s="25" t="e">
        <f ca="1"/>
        <v>#REF!</v>
      </c>
      <c r="K505" s="24" t="e">
        <f ca="1"/>
        <v>#REF!</v>
      </c>
      <c r="L505" s="25" t="e">
        <f ca="1"/>
        <v>#REF!</v>
      </c>
      <c r="M505" s="25" t="e">
        <f ca="1"/>
        <v>#REF!</v>
      </c>
      <c r="N505" s="25" t="e">
        <f ca="1"/>
        <v>#REF!</v>
      </c>
      <c r="O505" s="25" t="e">
        <f ca="1"/>
        <v>#REF!</v>
      </c>
      <c r="P505" s="25" t="e">
        <f ca="1"/>
        <v>#REF!</v>
      </c>
      <c r="Q505" s="25" t="e">
        <f ca="1"/>
        <v>#REF!</v>
      </c>
      <c r="R505" s="25" t="e">
        <f ca="1"/>
        <v>#REF!</v>
      </c>
      <c r="S505" s="25" t="e">
        <f ca="1"/>
        <v>#REF!</v>
      </c>
      <c r="T505" s="25" t="e">
        <f ca="1"/>
        <v>#REF!</v>
      </c>
      <c r="U505" s="25" t="e">
        <f ca="1"/>
        <v>#REF!</v>
      </c>
      <c r="V505" s="25" t="e">
        <f ca="1"/>
        <v>#REF!</v>
      </c>
      <c r="W505" s="33" t="e">
        <f ca="1"/>
        <v>#REF!</v>
      </c>
      <c r="X505" s="33" t="e">
        <f ca="1"/>
        <v>#REF!</v>
      </c>
      <c r="Y505" s="33" t="e">
        <f ca="1"/>
        <v>#REF!</v>
      </c>
      <c r="Z505" s="33" t="e">
        <f ca="1"/>
        <v>#REF!</v>
      </c>
      <c r="AA505" s="33" t="e">
        <f ca="1"/>
        <v>#REF!</v>
      </c>
    </row>
    <row r="506" spans="1:27" s="70" customFormat="1" ht="11.25" x14ac:dyDescent="0.2">
      <c r="A506" s="24">
        <v>500</v>
      </c>
      <c r="B506" s="24"/>
      <c r="C506" s="25"/>
      <c r="D506" s="26"/>
      <c r="E506" s="25"/>
      <c r="F506" s="25"/>
      <c r="G506" s="24"/>
      <c r="H506" s="25" t="e">
        <f ca="1"/>
        <v>#REF!</v>
      </c>
      <c r="I506" s="24" t="e">
        <f ca="1"/>
        <v>#REF!</v>
      </c>
      <c r="J506" s="25" t="e">
        <f ca="1"/>
        <v>#REF!</v>
      </c>
      <c r="K506" s="24" t="e">
        <f ca="1"/>
        <v>#REF!</v>
      </c>
      <c r="L506" s="25" t="e">
        <f ca="1"/>
        <v>#REF!</v>
      </c>
      <c r="M506" s="25" t="e">
        <f ca="1"/>
        <v>#REF!</v>
      </c>
      <c r="N506" s="25" t="e">
        <f ca="1"/>
        <v>#REF!</v>
      </c>
      <c r="O506" s="25" t="e">
        <f ca="1"/>
        <v>#REF!</v>
      </c>
      <c r="P506" s="25" t="e">
        <f ca="1"/>
        <v>#REF!</v>
      </c>
      <c r="Q506" s="25" t="e">
        <f ca="1"/>
        <v>#REF!</v>
      </c>
      <c r="R506" s="25" t="e">
        <f ca="1"/>
        <v>#REF!</v>
      </c>
      <c r="S506" s="25" t="e">
        <f ca="1"/>
        <v>#REF!</v>
      </c>
      <c r="T506" s="25" t="e">
        <f ca="1"/>
        <v>#REF!</v>
      </c>
      <c r="U506" s="25" t="e">
        <f ca="1"/>
        <v>#REF!</v>
      </c>
      <c r="V506" s="25" t="e">
        <f ca="1"/>
        <v>#REF!</v>
      </c>
      <c r="W506" s="33" t="e">
        <f ca="1"/>
        <v>#REF!</v>
      </c>
      <c r="X506" s="33" t="e">
        <f ca="1"/>
        <v>#REF!</v>
      </c>
      <c r="Y506" s="33" t="e">
        <f ca="1"/>
        <v>#REF!</v>
      </c>
      <c r="Z506" s="33" t="e">
        <f ca="1"/>
        <v>#REF!</v>
      </c>
      <c r="AA506" s="33" t="e">
        <f ca="1"/>
        <v>#REF!</v>
      </c>
    </row>
    <row r="507" spans="1:27" s="70" customFormat="1" ht="11.25" x14ac:dyDescent="0.2">
      <c r="A507" s="24">
        <v>501</v>
      </c>
      <c r="B507" s="24"/>
      <c r="C507" s="25"/>
      <c r="D507" s="26"/>
      <c r="E507" s="25"/>
      <c r="F507" s="25"/>
      <c r="G507" s="24"/>
      <c r="H507" s="25" t="e">
        <f ca="1"/>
        <v>#REF!</v>
      </c>
      <c r="I507" s="24" t="e">
        <f ca="1"/>
        <v>#REF!</v>
      </c>
      <c r="J507" s="25" t="e">
        <f ca="1"/>
        <v>#REF!</v>
      </c>
      <c r="K507" s="24" t="e">
        <f ca="1"/>
        <v>#REF!</v>
      </c>
      <c r="L507" s="25" t="e">
        <f ca="1"/>
        <v>#REF!</v>
      </c>
      <c r="M507" s="25" t="e">
        <f ca="1"/>
        <v>#REF!</v>
      </c>
      <c r="N507" s="25" t="e">
        <f ca="1"/>
        <v>#REF!</v>
      </c>
      <c r="O507" s="25" t="e">
        <f ca="1"/>
        <v>#REF!</v>
      </c>
      <c r="P507" s="25" t="e">
        <f ca="1"/>
        <v>#REF!</v>
      </c>
      <c r="Q507" s="25" t="e">
        <f ca="1"/>
        <v>#REF!</v>
      </c>
      <c r="R507" s="25" t="e">
        <f ca="1"/>
        <v>#REF!</v>
      </c>
      <c r="S507" s="25" t="e">
        <f ca="1"/>
        <v>#REF!</v>
      </c>
      <c r="T507" s="25" t="e">
        <f ca="1"/>
        <v>#REF!</v>
      </c>
      <c r="U507" s="25" t="e">
        <f ca="1"/>
        <v>#REF!</v>
      </c>
      <c r="V507" s="25" t="e">
        <f ca="1"/>
        <v>#REF!</v>
      </c>
      <c r="W507" s="33" t="e">
        <f ca="1"/>
        <v>#REF!</v>
      </c>
      <c r="X507" s="33" t="e">
        <f ca="1"/>
        <v>#REF!</v>
      </c>
      <c r="Y507" s="33" t="e">
        <f ca="1"/>
        <v>#REF!</v>
      </c>
      <c r="Z507" s="33" t="e">
        <f ca="1"/>
        <v>#REF!</v>
      </c>
      <c r="AA507" s="33" t="e">
        <f ca="1"/>
        <v>#REF!</v>
      </c>
    </row>
    <row r="508" spans="1:27" s="70" customFormat="1" ht="11.25" x14ac:dyDescent="0.2">
      <c r="A508" s="24">
        <v>502</v>
      </c>
      <c r="B508" s="24"/>
      <c r="C508" s="25"/>
      <c r="D508" s="26"/>
      <c r="E508" s="25"/>
      <c r="F508" s="25"/>
      <c r="G508" s="24"/>
      <c r="H508" s="25" t="e">
        <f ca="1"/>
        <v>#REF!</v>
      </c>
      <c r="I508" s="24" t="e">
        <f ca="1"/>
        <v>#REF!</v>
      </c>
      <c r="J508" s="25" t="e">
        <f ca="1"/>
        <v>#REF!</v>
      </c>
      <c r="K508" s="24" t="e">
        <f ca="1"/>
        <v>#REF!</v>
      </c>
      <c r="L508" s="25" t="e">
        <f ca="1"/>
        <v>#REF!</v>
      </c>
      <c r="M508" s="25" t="e">
        <f ca="1"/>
        <v>#REF!</v>
      </c>
      <c r="N508" s="25" t="e">
        <f ca="1"/>
        <v>#REF!</v>
      </c>
      <c r="O508" s="25" t="e">
        <f ca="1"/>
        <v>#REF!</v>
      </c>
      <c r="P508" s="25" t="e">
        <f ca="1"/>
        <v>#REF!</v>
      </c>
      <c r="Q508" s="25" t="e">
        <f ca="1"/>
        <v>#REF!</v>
      </c>
      <c r="R508" s="25" t="e">
        <f ca="1"/>
        <v>#REF!</v>
      </c>
      <c r="S508" s="25" t="e">
        <f ca="1"/>
        <v>#REF!</v>
      </c>
      <c r="T508" s="25" t="e">
        <f ca="1"/>
        <v>#REF!</v>
      </c>
      <c r="U508" s="25" t="e">
        <f ca="1"/>
        <v>#REF!</v>
      </c>
      <c r="V508" s="25" t="e">
        <f ca="1"/>
        <v>#REF!</v>
      </c>
      <c r="W508" s="33" t="e">
        <f ca="1"/>
        <v>#REF!</v>
      </c>
      <c r="X508" s="33" t="e">
        <f ca="1"/>
        <v>#REF!</v>
      </c>
      <c r="Y508" s="33" t="e">
        <f ca="1"/>
        <v>#REF!</v>
      </c>
      <c r="Z508" s="33" t="e">
        <f ca="1"/>
        <v>#REF!</v>
      </c>
      <c r="AA508" s="33" t="e">
        <f ca="1"/>
        <v>#REF!</v>
      </c>
    </row>
    <row r="509" spans="1:27" s="70" customFormat="1" ht="11.25" x14ac:dyDescent="0.2">
      <c r="A509" s="24">
        <v>503</v>
      </c>
      <c r="B509" s="24"/>
      <c r="C509" s="25"/>
      <c r="D509" s="26"/>
      <c r="E509" s="25"/>
      <c r="F509" s="25"/>
      <c r="G509" s="24"/>
      <c r="H509" s="25" t="e">
        <f ca="1"/>
        <v>#REF!</v>
      </c>
      <c r="I509" s="24" t="e">
        <f ca="1"/>
        <v>#REF!</v>
      </c>
      <c r="J509" s="25" t="e">
        <f ca="1"/>
        <v>#REF!</v>
      </c>
      <c r="K509" s="24" t="e">
        <f ca="1"/>
        <v>#REF!</v>
      </c>
      <c r="L509" s="25" t="e">
        <f ca="1"/>
        <v>#REF!</v>
      </c>
      <c r="M509" s="25" t="e">
        <f ca="1"/>
        <v>#REF!</v>
      </c>
      <c r="N509" s="25" t="e">
        <f ca="1"/>
        <v>#REF!</v>
      </c>
      <c r="O509" s="25" t="e">
        <f ca="1"/>
        <v>#REF!</v>
      </c>
      <c r="P509" s="25" t="e">
        <f ca="1"/>
        <v>#REF!</v>
      </c>
      <c r="Q509" s="25" t="e">
        <f ca="1"/>
        <v>#REF!</v>
      </c>
      <c r="R509" s="25" t="e">
        <f ca="1"/>
        <v>#REF!</v>
      </c>
      <c r="S509" s="25" t="e">
        <f ca="1"/>
        <v>#REF!</v>
      </c>
      <c r="T509" s="25" t="e">
        <f ca="1"/>
        <v>#REF!</v>
      </c>
      <c r="U509" s="25" t="e">
        <f ca="1"/>
        <v>#REF!</v>
      </c>
      <c r="V509" s="25" t="e">
        <f ca="1"/>
        <v>#REF!</v>
      </c>
      <c r="W509" s="33" t="e">
        <f ca="1"/>
        <v>#REF!</v>
      </c>
      <c r="X509" s="33" t="e">
        <f ca="1"/>
        <v>#REF!</v>
      </c>
      <c r="Y509" s="33" t="e">
        <f ca="1"/>
        <v>#REF!</v>
      </c>
      <c r="Z509" s="33" t="e">
        <f ca="1"/>
        <v>#REF!</v>
      </c>
      <c r="AA509" s="33" t="e">
        <f ca="1"/>
        <v>#REF!</v>
      </c>
    </row>
    <row r="510" spans="1:27" s="70" customFormat="1" ht="11.25" x14ac:dyDescent="0.2">
      <c r="A510" s="24">
        <v>504</v>
      </c>
      <c r="B510" s="24"/>
      <c r="C510" s="25"/>
      <c r="D510" s="26"/>
      <c r="E510" s="25"/>
      <c r="F510" s="25"/>
      <c r="G510" s="24"/>
      <c r="H510" s="25" t="e">
        <f ca="1"/>
        <v>#REF!</v>
      </c>
      <c r="I510" s="24" t="e">
        <f ca="1"/>
        <v>#REF!</v>
      </c>
      <c r="J510" s="25" t="e">
        <f ca="1"/>
        <v>#REF!</v>
      </c>
      <c r="K510" s="24" t="e">
        <f ca="1"/>
        <v>#REF!</v>
      </c>
      <c r="L510" s="25" t="e">
        <f ca="1"/>
        <v>#REF!</v>
      </c>
      <c r="M510" s="25" t="e">
        <f ca="1"/>
        <v>#REF!</v>
      </c>
      <c r="N510" s="25" t="e">
        <f ca="1"/>
        <v>#REF!</v>
      </c>
      <c r="O510" s="25" t="e">
        <f ca="1"/>
        <v>#REF!</v>
      </c>
      <c r="P510" s="25" t="e">
        <f ca="1"/>
        <v>#REF!</v>
      </c>
      <c r="Q510" s="25" t="e">
        <f ca="1"/>
        <v>#REF!</v>
      </c>
      <c r="R510" s="25" t="e">
        <f ca="1"/>
        <v>#REF!</v>
      </c>
      <c r="S510" s="25" t="e">
        <f ca="1"/>
        <v>#REF!</v>
      </c>
      <c r="T510" s="25" t="e">
        <f ca="1"/>
        <v>#REF!</v>
      </c>
      <c r="U510" s="25" t="e">
        <f ca="1"/>
        <v>#REF!</v>
      </c>
      <c r="V510" s="25" t="e">
        <f ca="1"/>
        <v>#REF!</v>
      </c>
      <c r="W510" s="33" t="e">
        <f ca="1"/>
        <v>#REF!</v>
      </c>
      <c r="X510" s="33" t="e">
        <f ca="1"/>
        <v>#REF!</v>
      </c>
      <c r="Y510" s="33" t="e">
        <f ca="1"/>
        <v>#REF!</v>
      </c>
      <c r="Z510" s="33" t="e">
        <f ca="1"/>
        <v>#REF!</v>
      </c>
      <c r="AA510" s="33" t="e">
        <f ca="1"/>
        <v>#REF!</v>
      </c>
    </row>
    <row r="511" spans="1:27" s="70" customFormat="1" ht="11.25" x14ac:dyDescent="0.2">
      <c r="A511" s="24">
        <v>505</v>
      </c>
      <c r="B511" s="24"/>
      <c r="C511" s="25"/>
      <c r="D511" s="26"/>
      <c r="E511" s="25"/>
      <c r="F511" s="25"/>
      <c r="G511" s="24"/>
      <c r="H511" s="25" t="e">
        <f ca="1"/>
        <v>#REF!</v>
      </c>
      <c r="I511" s="24" t="e">
        <f ca="1"/>
        <v>#REF!</v>
      </c>
      <c r="J511" s="25" t="e">
        <f ca="1"/>
        <v>#REF!</v>
      </c>
      <c r="K511" s="24" t="e">
        <f ca="1"/>
        <v>#REF!</v>
      </c>
      <c r="L511" s="25" t="e">
        <f ca="1"/>
        <v>#REF!</v>
      </c>
      <c r="M511" s="25" t="e">
        <f ca="1"/>
        <v>#REF!</v>
      </c>
      <c r="N511" s="25" t="e">
        <f ca="1"/>
        <v>#REF!</v>
      </c>
      <c r="O511" s="25" t="e">
        <f ca="1"/>
        <v>#REF!</v>
      </c>
      <c r="P511" s="25" t="e">
        <f ca="1"/>
        <v>#REF!</v>
      </c>
      <c r="Q511" s="25" t="e">
        <f ca="1"/>
        <v>#REF!</v>
      </c>
      <c r="R511" s="25" t="e">
        <f ca="1"/>
        <v>#REF!</v>
      </c>
      <c r="S511" s="25" t="e">
        <f ca="1"/>
        <v>#REF!</v>
      </c>
      <c r="T511" s="25" t="e">
        <f ca="1"/>
        <v>#REF!</v>
      </c>
      <c r="U511" s="25" t="e">
        <f ca="1"/>
        <v>#REF!</v>
      </c>
      <c r="V511" s="25" t="e">
        <f ca="1"/>
        <v>#REF!</v>
      </c>
      <c r="W511" s="33" t="e">
        <f ca="1"/>
        <v>#REF!</v>
      </c>
      <c r="X511" s="33" t="e">
        <f ca="1"/>
        <v>#REF!</v>
      </c>
      <c r="Y511" s="33" t="e">
        <f ca="1"/>
        <v>#REF!</v>
      </c>
      <c r="Z511" s="33" t="e">
        <f ca="1"/>
        <v>#REF!</v>
      </c>
      <c r="AA511" s="33" t="e">
        <f ca="1"/>
        <v>#REF!</v>
      </c>
    </row>
    <row r="512" spans="1:27" s="70" customFormat="1" ht="11.25" x14ac:dyDescent="0.2">
      <c r="A512" s="24">
        <v>506</v>
      </c>
      <c r="B512" s="24"/>
      <c r="C512" s="25"/>
      <c r="D512" s="26"/>
      <c r="E512" s="25"/>
      <c r="F512" s="25"/>
      <c r="G512" s="24"/>
      <c r="H512" s="25" t="e">
        <f ca="1"/>
        <v>#REF!</v>
      </c>
      <c r="I512" s="24" t="e">
        <f ca="1"/>
        <v>#REF!</v>
      </c>
      <c r="J512" s="25" t="e">
        <f ca="1"/>
        <v>#REF!</v>
      </c>
      <c r="K512" s="24" t="e">
        <f ca="1"/>
        <v>#REF!</v>
      </c>
      <c r="L512" s="25" t="e">
        <f ca="1"/>
        <v>#REF!</v>
      </c>
      <c r="M512" s="25" t="e">
        <f ca="1"/>
        <v>#REF!</v>
      </c>
      <c r="N512" s="25" t="e">
        <f ca="1"/>
        <v>#REF!</v>
      </c>
      <c r="O512" s="25" t="e">
        <f ca="1"/>
        <v>#REF!</v>
      </c>
      <c r="P512" s="25" t="e">
        <f ca="1"/>
        <v>#REF!</v>
      </c>
      <c r="Q512" s="25" t="e">
        <f ca="1"/>
        <v>#REF!</v>
      </c>
      <c r="R512" s="25" t="e">
        <f ca="1"/>
        <v>#REF!</v>
      </c>
      <c r="S512" s="25" t="e">
        <f ca="1"/>
        <v>#REF!</v>
      </c>
      <c r="T512" s="25" t="e">
        <f ca="1"/>
        <v>#REF!</v>
      </c>
      <c r="U512" s="25" t="e">
        <f ca="1"/>
        <v>#REF!</v>
      </c>
      <c r="V512" s="25" t="e">
        <f ca="1"/>
        <v>#REF!</v>
      </c>
      <c r="W512" s="33" t="e">
        <f ca="1"/>
        <v>#REF!</v>
      </c>
      <c r="X512" s="33" t="e">
        <f ca="1"/>
        <v>#REF!</v>
      </c>
      <c r="Y512" s="33" t="e">
        <f ca="1"/>
        <v>#REF!</v>
      </c>
      <c r="Z512" s="33" t="e">
        <f ca="1"/>
        <v>#REF!</v>
      </c>
      <c r="AA512" s="33" t="e">
        <f ca="1"/>
        <v>#REF!</v>
      </c>
    </row>
    <row r="513" spans="1:27" s="70" customFormat="1" ht="11.25" x14ac:dyDescent="0.2">
      <c r="A513" s="24">
        <v>507</v>
      </c>
      <c r="B513" s="24"/>
      <c r="C513" s="25"/>
      <c r="D513" s="26"/>
      <c r="E513" s="25"/>
      <c r="F513" s="25"/>
      <c r="G513" s="24"/>
      <c r="H513" s="25" t="e">
        <f ca="1"/>
        <v>#REF!</v>
      </c>
      <c r="I513" s="24" t="e">
        <f ca="1"/>
        <v>#REF!</v>
      </c>
      <c r="J513" s="25" t="e">
        <f ca="1"/>
        <v>#REF!</v>
      </c>
      <c r="K513" s="24" t="e">
        <f ca="1"/>
        <v>#REF!</v>
      </c>
      <c r="L513" s="25" t="e">
        <f ca="1"/>
        <v>#REF!</v>
      </c>
      <c r="M513" s="25" t="e">
        <f ca="1"/>
        <v>#REF!</v>
      </c>
      <c r="N513" s="25" t="e">
        <f ca="1"/>
        <v>#REF!</v>
      </c>
      <c r="O513" s="25" t="e">
        <f ca="1"/>
        <v>#REF!</v>
      </c>
      <c r="P513" s="25" t="e">
        <f ca="1"/>
        <v>#REF!</v>
      </c>
      <c r="Q513" s="25" t="e">
        <f ca="1"/>
        <v>#REF!</v>
      </c>
      <c r="R513" s="25" t="e">
        <f ca="1"/>
        <v>#REF!</v>
      </c>
      <c r="S513" s="25" t="e">
        <f ca="1"/>
        <v>#REF!</v>
      </c>
      <c r="T513" s="25" t="e">
        <f ca="1"/>
        <v>#REF!</v>
      </c>
      <c r="U513" s="25" t="e">
        <f ca="1"/>
        <v>#REF!</v>
      </c>
      <c r="V513" s="25" t="e">
        <f ca="1"/>
        <v>#REF!</v>
      </c>
      <c r="W513" s="33" t="e">
        <f ca="1"/>
        <v>#REF!</v>
      </c>
      <c r="X513" s="33" t="e">
        <f ca="1"/>
        <v>#REF!</v>
      </c>
      <c r="Y513" s="33" t="e">
        <f ca="1"/>
        <v>#REF!</v>
      </c>
      <c r="Z513" s="33" t="e">
        <f ca="1"/>
        <v>#REF!</v>
      </c>
      <c r="AA513" s="33" t="e">
        <f ca="1"/>
        <v>#REF!</v>
      </c>
    </row>
    <row r="514" spans="1:27" s="70" customFormat="1" ht="11.25" x14ac:dyDescent="0.2">
      <c r="A514" s="24">
        <v>508</v>
      </c>
      <c r="B514" s="24"/>
      <c r="C514" s="25"/>
      <c r="D514" s="26"/>
      <c r="E514" s="25"/>
      <c r="F514" s="25"/>
      <c r="G514" s="24"/>
      <c r="H514" s="25" t="e">
        <f ca="1"/>
        <v>#REF!</v>
      </c>
      <c r="I514" s="24" t="e">
        <f ca="1"/>
        <v>#REF!</v>
      </c>
      <c r="J514" s="25" t="e">
        <f ca="1"/>
        <v>#REF!</v>
      </c>
      <c r="K514" s="24" t="e">
        <f ca="1"/>
        <v>#REF!</v>
      </c>
      <c r="L514" s="25" t="e">
        <f ca="1"/>
        <v>#REF!</v>
      </c>
      <c r="M514" s="25" t="e">
        <f ca="1"/>
        <v>#REF!</v>
      </c>
      <c r="N514" s="25" t="e">
        <f ca="1"/>
        <v>#REF!</v>
      </c>
      <c r="O514" s="25" t="e">
        <f ca="1"/>
        <v>#REF!</v>
      </c>
      <c r="P514" s="25" t="e">
        <f ca="1"/>
        <v>#REF!</v>
      </c>
      <c r="Q514" s="25" t="e">
        <f ca="1"/>
        <v>#REF!</v>
      </c>
      <c r="R514" s="25" t="e">
        <f ca="1"/>
        <v>#REF!</v>
      </c>
      <c r="S514" s="25" t="e">
        <f ca="1"/>
        <v>#REF!</v>
      </c>
      <c r="T514" s="25" t="e">
        <f ca="1"/>
        <v>#REF!</v>
      </c>
      <c r="U514" s="25" t="e">
        <f ca="1"/>
        <v>#REF!</v>
      </c>
      <c r="V514" s="25" t="e">
        <f ca="1"/>
        <v>#REF!</v>
      </c>
      <c r="W514" s="33" t="e">
        <f ca="1"/>
        <v>#REF!</v>
      </c>
      <c r="X514" s="33" t="e">
        <f ca="1"/>
        <v>#REF!</v>
      </c>
      <c r="Y514" s="33" t="e">
        <f ca="1"/>
        <v>#REF!</v>
      </c>
      <c r="Z514" s="33" t="e">
        <f ca="1"/>
        <v>#REF!</v>
      </c>
      <c r="AA514" s="33" t="e">
        <f ca="1"/>
        <v>#REF!</v>
      </c>
    </row>
    <row r="515" spans="1:27" s="70" customFormat="1" ht="11.25" x14ac:dyDescent="0.2">
      <c r="A515" s="24">
        <v>509</v>
      </c>
      <c r="B515" s="24"/>
      <c r="C515" s="25"/>
      <c r="D515" s="26"/>
      <c r="E515" s="25"/>
      <c r="F515" s="25"/>
      <c r="G515" s="24"/>
      <c r="H515" s="25" t="e">
        <f ca="1"/>
        <v>#REF!</v>
      </c>
      <c r="I515" s="24" t="e">
        <f ca="1"/>
        <v>#REF!</v>
      </c>
      <c r="J515" s="25" t="e">
        <f ca="1"/>
        <v>#REF!</v>
      </c>
      <c r="K515" s="24" t="e">
        <f ca="1"/>
        <v>#REF!</v>
      </c>
      <c r="L515" s="25" t="e">
        <f ca="1"/>
        <v>#REF!</v>
      </c>
      <c r="M515" s="25" t="e">
        <f ca="1"/>
        <v>#REF!</v>
      </c>
      <c r="N515" s="25" t="e">
        <f ca="1"/>
        <v>#REF!</v>
      </c>
      <c r="O515" s="25" t="e">
        <f ca="1"/>
        <v>#REF!</v>
      </c>
      <c r="P515" s="25" t="e">
        <f ca="1"/>
        <v>#REF!</v>
      </c>
      <c r="Q515" s="25" t="e">
        <f ca="1"/>
        <v>#REF!</v>
      </c>
      <c r="R515" s="25" t="e">
        <f ca="1"/>
        <v>#REF!</v>
      </c>
      <c r="S515" s="25" t="e">
        <f ca="1"/>
        <v>#REF!</v>
      </c>
      <c r="T515" s="25" t="e">
        <f ca="1"/>
        <v>#REF!</v>
      </c>
      <c r="U515" s="25" t="e">
        <f ca="1"/>
        <v>#REF!</v>
      </c>
      <c r="V515" s="25" t="e">
        <f ca="1"/>
        <v>#REF!</v>
      </c>
      <c r="W515" s="33" t="e">
        <f ca="1"/>
        <v>#REF!</v>
      </c>
      <c r="X515" s="33" t="e">
        <f ca="1"/>
        <v>#REF!</v>
      </c>
      <c r="Y515" s="33" t="e">
        <f ca="1"/>
        <v>#REF!</v>
      </c>
      <c r="Z515" s="33" t="e">
        <f ca="1"/>
        <v>#REF!</v>
      </c>
      <c r="AA515" s="33" t="e">
        <f ca="1"/>
        <v>#REF!</v>
      </c>
    </row>
    <row r="516" spans="1:27" s="70" customFormat="1" ht="11.25" x14ac:dyDescent="0.2">
      <c r="A516" s="24">
        <v>510</v>
      </c>
      <c r="B516" s="24"/>
      <c r="C516" s="25"/>
      <c r="D516" s="26"/>
      <c r="E516" s="25"/>
      <c r="F516" s="25"/>
      <c r="G516" s="24"/>
      <c r="H516" s="25" t="e">
        <f ca="1"/>
        <v>#REF!</v>
      </c>
      <c r="I516" s="24" t="e">
        <f ca="1"/>
        <v>#REF!</v>
      </c>
      <c r="J516" s="25" t="e">
        <f ca="1"/>
        <v>#REF!</v>
      </c>
      <c r="K516" s="24" t="e">
        <f ca="1"/>
        <v>#REF!</v>
      </c>
      <c r="L516" s="25" t="e">
        <f ca="1"/>
        <v>#REF!</v>
      </c>
      <c r="M516" s="25" t="e">
        <f ca="1"/>
        <v>#REF!</v>
      </c>
      <c r="N516" s="25" t="e">
        <f ca="1"/>
        <v>#REF!</v>
      </c>
      <c r="O516" s="25" t="e">
        <f ca="1"/>
        <v>#REF!</v>
      </c>
      <c r="P516" s="25" t="e">
        <f ca="1"/>
        <v>#REF!</v>
      </c>
      <c r="Q516" s="25" t="e">
        <f ca="1"/>
        <v>#REF!</v>
      </c>
      <c r="R516" s="25" t="e">
        <f ca="1"/>
        <v>#REF!</v>
      </c>
      <c r="S516" s="25" t="e">
        <f ca="1"/>
        <v>#REF!</v>
      </c>
      <c r="T516" s="25" t="e">
        <f ca="1"/>
        <v>#REF!</v>
      </c>
      <c r="U516" s="25" t="e">
        <f ca="1"/>
        <v>#REF!</v>
      </c>
      <c r="V516" s="25" t="e">
        <f ca="1"/>
        <v>#REF!</v>
      </c>
      <c r="W516" s="33" t="e">
        <f ca="1"/>
        <v>#REF!</v>
      </c>
      <c r="X516" s="33" t="e">
        <f ca="1"/>
        <v>#REF!</v>
      </c>
      <c r="Y516" s="33" t="e">
        <f ca="1"/>
        <v>#REF!</v>
      </c>
      <c r="Z516" s="33" t="e">
        <f ca="1"/>
        <v>#REF!</v>
      </c>
      <c r="AA516" s="33" t="e">
        <f ca="1"/>
        <v>#REF!</v>
      </c>
    </row>
    <row r="517" spans="1:27" s="70" customFormat="1" ht="11.25" x14ac:dyDescent="0.2">
      <c r="A517" s="24">
        <v>511</v>
      </c>
      <c r="B517" s="24"/>
      <c r="C517" s="25"/>
      <c r="D517" s="26"/>
      <c r="E517" s="25"/>
      <c r="F517" s="25"/>
      <c r="G517" s="24"/>
      <c r="H517" s="25" t="e">
        <f ca="1"/>
        <v>#REF!</v>
      </c>
      <c r="I517" s="24" t="e">
        <f ca="1"/>
        <v>#REF!</v>
      </c>
      <c r="J517" s="25" t="e">
        <f ca="1"/>
        <v>#REF!</v>
      </c>
      <c r="K517" s="24" t="e">
        <f ca="1"/>
        <v>#REF!</v>
      </c>
      <c r="L517" s="25" t="e">
        <f ca="1"/>
        <v>#REF!</v>
      </c>
      <c r="M517" s="25" t="e">
        <f ca="1"/>
        <v>#REF!</v>
      </c>
      <c r="N517" s="25" t="e">
        <f ca="1"/>
        <v>#REF!</v>
      </c>
      <c r="O517" s="25" t="e">
        <f ca="1"/>
        <v>#REF!</v>
      </c>
      <c r="P517" s="25" t="e">
        <f ca="1"/>
        <v>#REF!</v>
      </c>
      <c r="Q517" s="25" t="e">
        <f ca="1"/>
        <v>#REF!</v>
      </c>
      <c r="R517" s="25" t="e">
        <f ca="1"/>
        <v>#REF!</v>
      </c>
      <c r="S517" s="25" t="e">
        <f ca="1"/>
        <v>#REF!</v>
      </c>
      <c r="T517" s="25" t="e">
        <f ca="1"/>
        <v>#REF!</v>
      </c>
      <c r="U517" s="25" t="e">
        <f ca="1"/>
        <v>#REF!</v>
      </c>
      <c r="V517" s="25" t="e">
        <f ca="1"/>
        <v>#REF!</v>
      </c>
      <c r="W517" s="33" t="e">
        <f ca="1"/>
        <v>#REF!</v>
      </c>
      <c r="X517" s="33" t="e">
        <f ca="1"/>
        <v>#REF!</v>
      </c>
      <c r="Y517" s="33" t="e">
        <f ca="1"/>
        <v>#REF!</v>
      </c>
      <c r="Z517" s="33" t="e">
        <f ca="1"/>
        <v>#REF!</v>
      </c>
      <c r="AA517" s="33" t="e">
        <f ca="1"/>
        <v>#REF!</v>
      </c>
    </row>
    <row r="518" spans="1:27" s="70" customFormat="1" ht="11.25" x14ac:dyDescent="0.2">
      <c r="A518" s="24">
        <v>512</v>
      </c>
      <c r="B518" s="24"/>
      <c r="C518" s="25"/>
      <c r="D518" s="26"/>
      <c r="E518" s="25"/>
      <c r="F518" s="25"/>
      <c r="G518" s="24"/>
      <c r="H518" s="25" t="e">
        <f ca="1"/>
        <v>#REF!</v>
      </c>
      <c r="I518" s="24" t="e">
        <f ca="1"/>
        <v>#REF!</v>
      </c>
      <c r="J518" s="25" t="e">
        <f ca="1"/>
        <v>#REF!</v>
      </c>
      <c r="K518" s="24" t="e">
        <f ca="1"/>
        <v>#REF!</v>
      </c>
      <c r="L518" s="25" t="e">
        <f ca="1"/>
        <v>#REF!</v>
      </c>
      <c r="M518" s="25" t="e">
        <f ca="1"/>
        <v>#REF!</v>
      </c>
      <c r="N518" s="25" t="e">
        <f ca="1"/>
        <v>#REF!</v>
      </c>
      <c r="O518" s="25" t="e">
        <f ca="1"/>
        <v>#REF!</v>
      </c>
      <c r="P518" s="25" t="e">
        <f ca="1"/>
        <v>#REF!</v>
      </c>
      <c r="Q518" s="25" t="e">
        <f ca="1"/>
        <v>#REF!</v>
      </c>
      <c r="R518" s="25" t="e">
        <f ca="1"/>
        <v>#REF!</v>
      </c>
      <c r="S518" s="25" t="e">
        <f ca="1"/>
        <v>#REF!</v>
      </c>
      <c r="T518" s="25" t="e">
        <f ca="1"/>
        <v>#REF!</v>
      </c>
      <c r="U518" s="25" t="e">
        <f ca="1"/>
        <v>#REF!</v>
      </c>
      <c r="V518" s="25" t="e">
        <f ca="1"/>
        <v>#REF!</v>
      </c>
      <c r="W518" s="33" t="e">
        <f ca="1"/>
        <v>#REF!</v>
      </c>
      <c r="X518" s="33" t="e">
        <f ca="1"/>
        <v>#REF!</v>
      </c>
      <c r="Y518" s="33" t="e">
        <f ca="1"/>
        <v>#REF!</v>
      </c>
      <c r="Z518" s="33" t="e">
        <f ca="1"/>
        <v>#REF!</v>
      </c>
      <c r="AA518" s="33" t="e">
        <f ca="1"/>
        <v>#REF!</v>
      </c>
    </row>
    <row r="519" spans="1:27" s="70" customFormat="1" ht="11.25" x14ac:dyDescent="0.2">
      <c r="A519" s="24">
        <v>513</v>
      </c>
      <c r="B519" s="24"/>
      <c r="C519" s="25"/>
      <c r="D519" s="26"/>
      <c r="E519" s="25"/>
      <c r="F519" s="25"/>
      <c r="G519" s="24"/>
      <c r="H519" s="25" t="e">
        <f ca="1"/>
        <v>#REF!</v>
      </c>
      <c r="I519" s="24" t="e">
        <f ca="1"/>
        <v>#REF!</v>
      </c>
      <c r="J519" s="25" t="e">
        <f ca="1"/>
        <v>#REF!</v>
      </c>
      <c r="K519" s="24" t="e">
        <f ca="1"/>
        <v>#REF!</v>
      </c>
      <c r="L519" s="25" t="e">
        <f ca="1"/>
        <v>#REF!</v>
      </c>
      <c r="M519" s="25" t="e">
        <f ca="1"/>
        <v>#REF!</v>
      </c>
      <c r="N519" s="25" t="e">
        <f ca="1"/>
        <v>#REF!</v>
      </c>
      <c r="O519" s="25" t="e">
        <f ca="1"/>
        <v>#REF!</v>
      </c>
      <c r="P519" s="25" t="e">
        <f ca="1"/>
        <v>#REF!</v>
      </c>
      <c r="Q519" s="25" t="e">
        <f ca="1"/>
        <v>#REF!</v>
      </c>
      <c r="R519" s="25" t="e">
        <f ca="1"/>
        <v>#REF!</v>
      </c>
      <c r="S519" s="25" t="e">
        <f ca="1"/>
        <v>#REF!</v>
      </c>
      <c r="T519" s="25" t="e">
        <f ca="1"/>
        <v>#REF!</v>
      </c>
      <c r="U519" s="25" t="e">
        <f ca="1"/>
        <v>#REF!</v>
      </c>
      <c r="V519" s="25" t="e">
        <f ca="1"/>
        <v>#REF!</v>
      </c>
      <c r="W519" s="33" t="e">
        <f ca="1"/>
        <v>#REF!</v>
      </c>
      <c r="X519" s="33" t="e">
        <f ca="1"/>
        <v>#REF!</v>
      </c>
      <c r="Y519" s="33" t="e">
        <f ca="1"/>
        <v>#REF!</v>
      </c>
      <c r="Z519" s="33" t="e">
        <f ca="1"/>
        <v>#REF!</v>
      </c>
      <c r="AA519" s="33" t="e">
        <f ca="1"/>
        <v>#REF!</v>
      </c>
    </row>
    <row r="520" spans="1:27" s="70" customFormat="1" ht="11.25" x14ac:dyDescent="0.2">
      <c r="A520" s="24">
        <v>514</v>
      </c>
      <c r="B520" s="24"/>
      <c r="C520" s="25"/>
      <c r="D520" s="26"/>
      <c r="E520" s="25"/>
      <c r="F520" s="25"/>
      <c r="G520" s="24"/>
      <c r="H520" s="25" t="e">
        <f ca="1"/>
        <v>#REF!</v>
      </c>
      <c r="I520" s="24" t="e">
        <f ca="1"/>
        <v>#REF!</v>
      </c>
      <c r="J520" s="25" t="e">
        <f ca="1"/>
        <v>#REF!</v>
      </c>
      <c r="K520" s="24" t="e">
        <f ca="1"/>
        <v>#REF!</v>
      </c>
      <c r="L520" s="25" t="e">
        <f ca="1"/>
        <v>#REF!</v>
      </c>
      <c r="M520" s="25" t="e">
        <f ca="1"/>
        <v>#REF!</v>
      </c>
      <c r="N520" s="25" t="e">
        <f ca="1"/>
        <v>#REF!</v>
      </c>
      <c r="O520" s="25" t="e">
        <f ca="1"/>
        <v>#REF!</v>
      </c>
      <c r="P520" s="25" t="e">
        <f ca="1"/>
        <v>#REF!</v>
      </c>
      <c r="Q520" s="25" t="e">
        <f ca="1"/>
        <v>#REF!</v>
      </c>
      <c r="R520" s="25" t="e">
        <f ca="1"/>
        <v>#REF!</v>
      </c>
      <c r="S520" s="25" t="e">
        <f ca="1"/>
        <v>#REF!</v>
      </c>
      <c r="T520" s="25" t="e">
        <f ca="1"/>
        <v>#REF!</v>
      </c>
      <c r="U520" s="25" t="e">
        <f ca="1"/>
        <v>#REF!</v>
      </c>
      <c r="V520" s="25" t="e">
        <f ca="1"/>
        <v>#REF!</v>
      </c>
      <c r="W520" s="33" t="e">
        <f ca="1"/>
        <v>#REF!</v>
      </c>
      <c r="X520" s="33" t="e">
        <f ca="1"/>
        <v>#REF!</v>
      </c>
      <c r="Y520" s="33" t="e">
        <f ca="1"/>
        <v>#REF!</v>
      </c>
      <c r="Z520" s="33" t="e">
        <f ca="1"/>
        <v>#REF!</v>
      </c>
      <c r="AA520" s="33" t="e">
        <f ca="1"/>
        <v>#REF!</v>
      </c>
    </row>
    <row r="521" spans="1:27" s="70" customFormat="1" ht="11.25" x14ac:dyDescent="0.2">
      <c r="A521" s="24">
        <v>515</v>
      </c>
      <c r="B521" s="24"/>
      <c r="C521" s="25"/>
      <c r="D521" s="26"/>
      <c r="E521" s="25"/>
      <c r="F521" s="25"/>
      <c r="G521" s="24"/>
      <c r="H521" s="25" t="e">
        <f ca="1"/>
        <v>#REF!</v>
      </c>
      <c r="I521" s="24" t="e">
        <f ca="1"/>
        <v>#REF!</v>
      </c>
      <c r="J521" s="25" t="e">
        <f ca="1"/>
        <v>#REF!</v>
      </c>
      <c r="K521" s="24" t="e">
        <f ca="1"/>
        <v>#REF!</v>
      </c>
      <c r="L521" s="25" t="e">
        <f ca="1"/>
        <v>#REF!</v>
      </c>
      <c r="M521" s="25" t="e">
        <f ca="1"/>
        <v>#REF!</v>
      </c>
      <c r="N521" s="25" t="e">
        <f ca="1"/>
        <v>#REF!</v>
      </c>
      <c r="O521" s="25" t="e">
        <f ca="1"/>
        <v>#REF!</v>
      </c>
      <c r="P521" s="25" t="e">
        <f ca="1"/>
        <v>#REF!</v>
      </c>
      <c r="Q521" s="25" t="e">
        <f ca="1"/>
        <v>#REF!</v>
      </c>
      <c r="R521" s="25" t="e">
        <f ca="1"/>
        <v>#REF!</v>
      </c>
      <c r="S521" s="25" t="e">
        <f ca="1"/>
        <v>#REF!</v>
      </c>
      <c r="T521" s="25" t="e">
        <f ca="1"/>
        <v>#REF!</v>
      </c>
      <c r="U521" s="25" t="e">
        <f ca="1"/>
        <v>#REF!</v>
      </c>
      <c r="V521" s="25" t="e">
        <f ca="1"/>
        <v>#REF!</v>
      </c>
      <c r="W521" s="33" t="e">
        <f ca="1"/>
        <v>#REF!</v>
      </c>
      <c r="X521" s="33" t="e">
        <f ca="1"/>
        <v>#REF!</v>
      </c>
      <c r="Y521" s="33" t="e">
        <f ca="1"/>
        <v>#REF!</v>
      </c>
      <c r="Z521" s="33" t="e">
        <f ca="1"/>
        <v>#REF!</v>
      </c>
      <c r="AA521" s="33" t="e">
        <f ca="1"/>
        <v>#REF!</v>
      </c>
    </row>
    <row r="522" spans="1:27" s="70" customFormat="1" ht="11.25" x14ac:dyDescent="0.2">
      <c r="A522" s="24">
        <v>516</v>
      </c>
      <c r="B522" s="24"/>
      <c r="C522" s="25"/>
      <c r="D522" s="26"/>
      <c r="E522" s="25"/>
      <c r="F522" s="25"/>
      <c r="G522" s="24"/>
      <c r="H522" s="25" t="e">
        <f ca="1"/>
        <v>#REF!</v>
      </c>
      <c r="I522" s="24" t="e">
        <f ca="1"/>
        <v>#REF!</v>
      </c>
      <c r="J522" s="25" t="e">
        <f ca="1"/>
        <v>#REF!</v>
      </c>
      <c r="K522" s="24" t="e">
        <f ca="1"/>
        <v>#REF!</v>
      </c>
      <c r="L522" s="25" t="e">
        <f ca="1"/>
        <v>#REF!</v>
      </c>
      <c r="M522" s="25" t="e">
        <f ca="1"/>
        <v>#REF!</v>
      </c>
      <c r="N522" s="25" t="e">
        <f ca="1"/>
        <v>#REF!</v>
      </c>
      <c r="O522" s="25" t="e">
        <f ca="1"/>
        <v>#REF!</v>
      </c>
      <c r="P522" s="25" t="e">
        <f ca="1"/>
        <v>#REF!</v>
      </c>
      <c r="Q522" s="25" t="e">
        <f ca="1"/>
        <v>#REF!</v>
      </c>
      <c r="R522" s="25" t="e">
        <f ca="1"/>
        <v>#REF!</v>
      </c>
      <c r="S522" s="25" t="e">
        <f ca="1"/>
        <v>#REF!</v>
      </c>
      <c r="T522" s="25" t="e">
        <f ca="1"/>
        <v>#REF!</v>
      </c>
      <c r="U522" s="25" t="e">
        <f ca="1"/>
        <v>#REF!</v>
      </c>
      <c r="V522" s="25" t="e">
        <f ca="1"/>
        <v>#REF!</v>
      </c>
      <c r="W522" s="33" t="e">
        <f ca="1"/>
        <v>#REF!</v>
      </c>
      <c r="X522" s="33" t="e">
        <f ca="1"/>
        <v>#REF!</v>
      </c>
      <c r="Y522" s="33" t="e">
        <f ca="1"/>
        <v>#REF!</v>
      </c>
      <c r="Z522" s="33" t="e">
        <f ca="1"/>
        <v>#REF!</v>
      </c>
      <c r="AA522" s="33" t="e">
        <f ca="1"/>
        <v>#REF!</v>
      </c>
    </row>
    <row r="523" spans="1:27" s="70" customFormat="1" ht="11.25" x14ac:dyDescent="0.2">
      <c r="A523" s="24">
        <v>517</v>
      </c>
      <c r="B523" s="24"/>
      <c r="C523" s="25"/>
      <c r="D523" s="26"/>
      <c r="E523" s="25"/>
      <c r="F523" s="25"/>
      <c r="G523" s="24"/>
      <c r="H523" s="25" t="e">
        <f ca="1"/>
        <v>#REF!</v>
      </c>
      <c r="I523" s="24" t="e">
        <f ca="1"/>
        <v>#REF!</v>
      </c>
      <c r="J523" s="25" t="e">
        <f ca="1"/>
        <v>#REF!</v>
      </c>
      <c r="K523" s="24" t="e">
        <f ca="1"/>
        <v>#REF!</v>
      </c>
      <c r="L523" s="25" t="e">
        <f ca="1"/>
        <v>#REF!</v>
      </c>
      <c r="M523" s="25" t="e">
        <f ca="1"/>
        <v>#REF!</v>
      </c>
      <c r="N523" s="25" t="e">
        <f ca="1"/>
        <v>#REF!</v>
      </c>
      <c r="O523" s="25" t="e">
        <f ca="1"/>
        <v>#REF!</v>
      </c>
      <c r="P523" s="25" t="e">
        <f ca="1"/>
        <v>#REF!</v>
      </c>
      <c r="Q523" s="25" t="e">
        <f ca="1"/>
        <v>#REF!</v>
      </c>
      <c r="R523" s="25" t="e">
        <f ca="1"/>
        <v>#REF!</v>
      </c>
      <c r="S523" s="25" t="e">
        <f ca="1"/>
        <v>#REF!</v>
      </c>
      <c r="T523" s="25" t="e">
        <f ca="1"/>
        <v>#REF!</v>
      </c>
      <c r="U523" s="25" t="e">
        <f ca="1"/>
        <v>#REF!</v>
      </c>
      <c r="V523" s="25" t="e">
        <f ca="1"/>
        <v>#REF!</v>
      </c>
      <c r="W523" s="33" t="e">
        <f ca="1"/>
        <v>#REF!</v>
      </c>
      <c r="X523" s="33" t="e">
        <f ca="1"/>
        <v>#REF!</v>
      </c>
      <c r="Y523" s="33" t="e">
        <f ca="1"/>
        <v>#REF!</v>
      </c>
      <c r="Z523" s="33" t="e">
        <f ca="1"/>
        <v>#REF!</v>
      </c>
      <c r="AA523" s="33" t="e">
        <f ca="1"/>
        <v>#REF!</v>
      </c>
    </row>
    <row r="524" spans="1:27" s="70" customFormat="1" ht="11.25" x14ac:dyDescent="0.2">
      <c r="A524" s="24">
        <v>518</v>
      </c>
      <c r="B524" s="24"/>
      <c r="C524" s="25"/>
      <c r="D524" s="26"/>
      <c r="E524" s="25"/>
      <c r="F524" s="25"/>
      <c r="G524" s="24"/>
      <c r="H524" s="25" t="e">
        <f ca="1"/>
        <v>#REF!</v>
      </c>
      <c r="I524" s="24" t="e">
        <f ca="1"/>
        <v>#REF!</v>
      </c>
      <c r="J524" s="25" t="e">
        <f ca="1"/>
        <v>#REF!</v>
      </c>
      <c r="K524" s="24" t="e">
        <f ca="1"/>
        <v>#REF!</v>
      </c>
      <c r="L524" s="25" t="e">
        <f ca="1"/>
        <v>#REF!</v>
      </c>
      <c r="M524" s="25" t="e">
        <f ca="1"/>
        <v>#REF!</v>
      </c>
      <c r="N524" s="25" t="e">
        <f ca="1"/>
        <v>#REF!</v>
      </c>
      <c r="O524" s="25" t="e">
        <f ca="1"/>
        <v>#REF!</v>
      </c>
      <c r="P524" s="25" t="e">
        <f ca="1"/>
        <v>#REF!</v>
      </c>
      <c r="Q524" s="25" t="e">
        <f ca="1"/>
        <v>#REF!</v>
      </c>
      <c r="R524" s="25" t="e">
        <f ca="1"/>
        <v>#REF!</v>
      </c>
      <c r="S524" s="25" t="e">
        <f ca="1"/>
        <v>#REF!</v>
      </c>
      <c r="T524" s="25" t="e">
        <f ca="1"/>
        <v>#REF!</v>
      </c>
      <c r="U524" s="25" t="e">
        <f ca="1"/>
        <v>#REF!</v>
      </c>
      <c r="V524" s="25" t="e">
        <f ca="1"/>
        <v>#REF!</v>
      </c>
      <c r="W524" s="33" t="e">
        <f ca="1"/>
        <v>#REF!</v>
      </c>
      <c r="X524" s="33" t="e">
        <f ca="1"/>
        <v>#REF!</v>
      </c>
      <c r="Y524" s="33" t="e">
        <f ca="1"/>
        <v>#REF!</v>
      </c>
      <c r="Z524" s="33" t="e">
        <f ca="1"/>
        <v>#REF!</v>
      </c>
      <c r="AA524" s="33" t="e">
        <f ca="1"/>
        <v>#REF!</v>
      </c>
    </row>
    <row r="525" spans="1:27" s="70" customFormat="1" ht="11.25" x14ac:dyDescent="0.2">
      <c r="A525" s="24">
        <v>519</v>
      </c>
      <c r="B525" s="24"/>
      <c r="C525" s="25"/>
      <c r="D525" s="26"/>
      <c r="E525" s="25"/>
      <c r="F525" s="25"/>
      <c r="G525" s="24"/>
      <c r="H525" s="25" t="e">
        <f ca="1"/>
        <v>#REF!</v>
      </c>
      <c r="I525" s="24" t="e">
        <f ca="1"/>
        <v>#REF!</v>
      </c>
      <c r="J525" s="25" t="e">
        <f ca="1"/>
        <v>#REF!</v>
      </c>
      <c r="K525" s="24" t="e">
        <f ca="1"/>
        <v>#REF!</v>
      </c>
      <c r="L525" s="25" t="e">
        <f ca="1"/>
        <v>#REF!</v>
      </c>
      <c r="M525" s="25" t="e">
        <f ca="1"/>
        <v>#REF!</v>
      </c>
      <c r="N525" s="25" t="e">
        <f ca="1"/>
        <v>#REF!</v>
      </c>
      <c r="O525" s="25" t="e">
        <f ca="1"/>
        <v>#REF!</v>
      </c>
      <c r="P525" s="25" t="e">
        <f ca="1"/>
        <v>#REF!</v>
      </c>
      <c r="Q525" s="25" t="e">
        <f ca="1"/>
        <v>#REF!</v>
      </c>
      <c r="R525" s="25" t="e">
        <f ca="1"/>
        <v>#REF!</v>
      </c>
      <c r="S525" s="25" t="e">
        <f ca="1"/>
        <v>#REF!</v>
      </c>
      <c r="T525" s="25" t="e">
        <f ca="1"/>
        <v>#REF!</v>
      </c>
      <c r="U525" s="25" t="e">
        <f ca="1"/>
        <v>#REF!</v>
      </c>
      <c r="V525" s="25" t="e">
        <f ca="1"/>
        <v>#REF!</v>
      </c>
      <c r="W525" s="33" t="e">
        <f ca="1"/>
        <v>#REF!</v>
      </c>
      <c r="X525" s="33" t="e">
        <f ca="1"/>
        <v>#REF!</v>
      </c>
      <c r="Y525" s="33" t="e">
        <f ca="1"/>
        <v>#REF!</v>
      </c>
      <c r="Z525" s="33" t="e">
        <f ca="1"/>
        <v>#REF!</v>
      </c>
      <c r="AA525" s="33" t="e">
        <f ca="1"/>
        <v>#REF!</v>
      </c>
    </row>
    <row r="526" spans="1:27" s="70" customFormat="1" ht="11.25" x14ac:dyDescent="0.2">
      <c r="A526" s="24">
        <v>520</v>
      </c>
      <c r="B526" s="24"/>
      <c r="C526" s="25"/>
      <c r="D526" s="26"/>
      <c r="E526" s="25"/>
      <c r="F526" s="25"/>
      <c r="G526" s="24"/>
      <c r="H526" s="25" t="e">
        <f ca="1"/>
        <v>#REF!</v>
      </c>
      <c r="I526" s="24" t="e">
        <f ca="1"/>
        <v>#REF!</v>
      </c>
      <c r="J526" s="25" t="e">
        <f ca="1"/>
        <v>#REF!</v>
      </c>
      <c r="K526" s="24" t="e">
        <f ca="1"/>
        <v>#REF!</v>
      </c>
      <c r="L526" s="25" t="e">
        <f ca="1"/>
        <v>#REF!</v>
      </c>
      <c r="M526" s="25" t="e">
        <f ca="1"/>
        <v>#REF!</v>
      </c>
      <c r="N526" s="25" t="e">
        <f ca="1"/>
        <v>#REF!</v>
      </c>
      <c r="O526" s="25" t="e">
        <f ca="1"/>
        <v>#REF!</v>
      </c>
      <c r="P526" s="25" t="e">
        <f ca="1"/>
        <v>#REF!</v>
      </c>
      <c r="Q526" s="25" t="e">
        <f ca="1"/>
        <v>#REF!</v>
      </c>
      <c r="R526" s="25" t="e">
        <f ca="1"/>
        <v>#REF!</v>
      </c>
      <c r="S526" s="25" t="e">
        <f ca="1"/>
        <v>#REF!</v>
      </c>
      <c r="T526" s="25" t="e">
        <f ca="1"/>
        <v>#REF!</v>
      </c>
      <c r="U526" s="25" t="e">
        <f ca="1"/>
        <v>#REF!</v>
      </c>
      <c r="V526" s="25" t="e">
        <f ca="1"/>
        <v>#REF!</v>
      </c>
      <c r="W526" s="33" t="e">
        <f ca="1"/>
        <v>#REF!</v>
      </c>
      <c r="X526" s="33" t="e">
        <f ca="1"/>
        <v>#REF!</v>
      </c>
      <c r="Y526" s="33" t="e">
        <f ca="1"/>
        <v>#REF!</v>
      </c>
      <c r="Z526" s="33" t="e">
        <f ca="1"/>
        <v>#REF!</v>
      </c>
      <c r="AA526" s="33" t="e">
        <f ca="1"/>
        <v>#REF!</v>
      </c>
    </row>
    <row r="527" spans="1:27" s="70" customFormat="1" ht="11.25" x14ac:dyDescent="0.2">
      <c r="A527" s="24">
        <v>521</v>
      </c>
      <c r="B527" s="24"/>
      <c r="C527" s="25"/>
      <c r="D527" s="26"/>
      <c r="E527" s="25"/>
      <c r="F527" s="25"/>
      <c r="G527" s="24"/>
      <c r="H527" s="25" t="e">
        <f ca="1"/>
        <v>#REF!</v>
      </c>
      <c r="I527" s="24" t="e">
        <f ca="1"/>
        <v>#REF!</v>
      </c>
      <c r="J527" s="25" t="e">
        <f ca="1"/>
        <v>#REF!</v>
      </c>
      <c r="K527" s="24" t="e">
        <f ca="1"/>
        <v>#REF!</v>
      </c>
      <c r="L527" s="25" t="e">
        <f ca="1"/>
        <v>#REF!</v>
      </c>
      <c r="M527" s="25" t="e">
        <f ca="1"/>
        <v>#REF!</v>
      </c>
      <c r="N527" s="25" t="e">
        <f ca="1"/>
        <v>#REF!</v>
      </c>
      <c r="O527" s="25" t="e">
        <f ca="1"/>
        <v>#REF!</v>
      </c>
      <c r="P527" s="25" t="e">
        <f ca="1"/>
        <v>#REF!</v>
      </c>
      <c r="Q527" s="25" t="e">
        <f ca="1"/>
        <v>#REF!</v>
      </c>
      <c r="R527" s="25" t="e">
        <f ca="1"/>
        <v>#REF!</v>
      </c>
      <c r="S527" s="25" t="e">
        <f ca="1"/>
        <v>#REF!</v>
      </c>
      <c r="T527" s="25" t="e">
        <f ca="1"/>
        <v>#REF!</v>
      </c>
      <c r="U527" s="25" t="e">
        <f ca="1"/>
        <v>#REF!</v>
      </c>
      <c r="V527" s="25" t="e">
        <f ca="1"/>
        <v>#REF!</v>
      </c>
      <c r="W527" s="33" t="e">
        <f ca="1"/>
        <v>#REF!</v>
      </c>
      <c r="X527" s="33" t="e">
        <f ca="1"/>
        <v>#REF!</v>
      </c>
      <c r="Y527" s="33" t="e">
        <f ca="1"/>
        <v>#REF!</v>
      </c>
      <c r="Z527" s="33" t="e">
        <f ca="1"/>
        <v>#REF!</v>
      </c>
      <c r="AA527" s="33" t="e">
        <f ca="1"/>
        <v>#REF!</v>
      </c>
    </row>
    <row r="528" spans="1:27" s="70" customFormat="1" ht="11.25" x14ac:dyDescent="0.2">
      <c r="A528" s="24">
        <v>522</v>
      </c>
      <c r="B528" s="24"/>
      <c r="C528" s="25"/>
      <c r="D528" s="26"/>
      <c r="E528" s="25"/>
      <c r="F528" s="25"/>
      <c r="G528" s="24"/>
      <c r="H528" s="25" t="e">
        <f ca="1"/>
        <v>#REF!</v>
      </c>
      <c r="I528" s="24" t="e">
        <f ca="1"/>
        <v>#REF!</v>
      </c>
      <c r="J528" s="25" t="e">
        <f ca="1"/>
        <v>#REF!</v>
      </c>
      <c r="K528" s="24" t="e">
        <f ca="1"/>
        <v>#REF!</v>
      </c>
      <c r="L528" s="25" t="e">
        <f ca="1"/>
        <v>#REF!</v>
      </c>
      <c r="M528" s="25" t="e">
        <f ca="1"/>
        <v>#REF!</v>
      </c>
      <c r="N528" s="25" t="e">
        <f ca="1"/>
        <v>#REF!</v>
      </c>
      <c r="O528" s="25" t="e">
        <f ca="1"/>
        <v>#REF!</v>
      </c>
      <c r="P528" s="25" t="e">
        <f ca="1"/>
        <v>#REF!</v>
      </c>
      <c r="Q528" s="25" t="e">
        <f ca="1"/>
        <v>#REF!</v>
      </c>
      <c r="R528" s="25" t="e">
        <f ca="1"/>
        <v>#REF!</v>
      </c>
      <c r="S528" s="25" t="e">
        <f ca="1"/>
        <v>#REF!</v>
      </c>
      <c r="T528" s="25" t="e">
        <f ca="1"/>
        <v>#REF!</v>
      </c>
      <c r="U528" s="25" t="e">
        <f ca="1"/>
        <v>#REF!</v>
      </c>
      <c r="V528" s="25" t="e">
        <f ca="1"/>
        <v>#REF!</v>
      </c>
      <c r="W528" s="33" t="e">
        <f ca="1"/>
        <v>#REF!</v>
      </c>
      <c r="X528" s="33" t="e">
        <f ca="1"/>
        <v>#REF!</v>
      </c>
      <c r="Y528" s="33" t="e">
        <f ca="1"/>
        <v>#REF!</v>
      </c>
      <c r="Z528" s="33" t="e">
        <f ca="1"/>
        <v>#REF!</v>
      </c>
      <c r="AA528" s="33" t="e">
        <f ca="1"/>
        <v>#REF!</v>
      </c>
    </row>
    <row r="529" spans="1:27" s="70" customFormat="1" ht="11.25" x14ac:dyDescent="0.2">
      <c r="A529" s="24">
        <v>523</v>
      </c>
      <c r="B529" s="24"/>
      <c r="C529" s="25"/>
      <c r="D529" s="26"/>
      <c r="E529" s="25"/>
      <c r="F529" s="25"/>
      <c r="G529" s="24"/>
      <c r="H529" s="25" t="e">
        <f ca="1"/>
        <v>#REF!</v>
      </c>
      <c r="I529" s="24" t="e">
        <f ca="1"/>
        <v>#REF!</v>
      </c>
      <c r="J529" s="25" t="e">
        <f ca="1"/>
        <v>#REF!</v>
      </c>
      <c r="K529" s="24" t="e">
        <f ca="1"/>
        <v>#REF!</v>
      </c>
      <c r="L529" s="25" t="e">
        <f ca="1"/>
        <v>#REF!</v>
      </c>
      <c r="M529" s="25" t="e">
        <f ca="1"/>
        <v>#REF!</v>
      </c>
      <c r="N529" s="25" t="e">
        <f ca="1"/>
        <v>#REF!</v>
      </c>
      <c r="O529" s="25" t="e">
        <f ca="1"/>
        <v>#REF!</v>
      </c>
      <c r="P529" s="25" t="e">
        <f ca="1"/>
        <v>#REF!</v>
      </c>
      <c r="Q529" s="25" t="e">
        <f ca="1"/>
        <v>#REF!</v>
      </c>
      <c r="R529" s="25" t="e">
        <f ca="1"/>
        <v>#REF!</v>
      </c>
      <c r="S529" s="25" t="e">
        <f ca="1"/>
        <v>#REF!</v>
      </c>
      <c r="T529" s="25" t="e">
        <f ca="1"/>
        <v>#REF!</v>
      </c>
      <c r="U529" s="25" t="e">
        <f ca="1"/>
        <v>#REF!</v>
      </c>
      <c r="V529" s="25" t="e">
        <f ca="1"/>
        <v>#REF!</v>
      </c>
      <c r="W529" s="33" t="e">
        <f ca="1"/>
        <v>#REF!</v>
      </c>
      <c r="X529" s="33" t="e">
        <f ca="1"/>
        <v>#REF!</v>
      </c>
      <c r="Y529" s="33" t="e">
        <f ca="1"/>
        <v>#REF!</v>
      </c>
      <c r="Z529" s="33" t="e">
        <f ca="1"/>
        <v>#REF!</v>
      </c>
      <c r="AA529" s="33" t="e">
        <f ca="1"/>
        <v>#REF!</v>
      </c>
    </row>
    <row r="530" spans="1:27" s="70" customFormat="1" ht="11.25" x14ac:dyDescent="0.2">
      <c r="A530" s="24">
        <v>524</v>
      </c>
      <c r="B530" s="24"/>
      <c r="C530" s="25"/>
      <c r="D530" s="26"/>
      <c r="E530" s="25"/>
      <c r="F530" s="25"/>
      <c r="G530" s="24"/>
      <c r="H530" s="25" t="e">
        <f ca="1"/>
        <v>#REF!</v>
      </c>
      <c r="I530" s="24" t="e">
        <f ca="1"/>
        <v>#REF!</v>
      </c>
      <c r="J530" s="25" t="e">
        <f ca="1"/>
        <v>#REF!</v>
      </c>
      <c r="K530" s="24" t="e">
        <f ca="1"/>
        <v>#REF!</v>
      </c>
      <c r="L530" s="25" t="e">
        <f ca="1"/>
        <v>#REF!</v>
      </c>
      <c r="M530" s="25" t="e">
        <f ca="1"/>
        <v>#REF!</v>
      </c>
      <c r="N530" s="25" t="e">
        <f ca="1"/>
        <v>#REF!</v>
      </c>
      <c r="O530" s="25" t="e">
        <f ca="1"/>
        <v>#REF!</v>
      </c>
      <c r="P530" s="25" t="e">
        <f ca="1"/>
        <v>#REF!</v>
      </c>
      <c r="Q530" s="25" t="e">
        <f ca="1"/>
        <v>#REF!</v>
      </c>
      <c r="R530" s="25" t="e">
        <f ca="1"/>
        <v>#REF!</v>
      </c>
      <c r="S530" s="25" t="e">
        <f ca="1"/>
        <v>#REF!</v>
      </c>
      <c r="T530" s="25" t="e">
        <f ca="1"/>
        <v>#REF!</v>
      </c>
      <c r="U530" s="25" t="e">
        <f ca="1"/>
        <v>#REF!</v>
      </c>
      <c r="V530" s="25" t="e">
        <f ca="1"/>
        <v>#REF!</v>
      </c>
      <c r="W530" s="33" t="e">
        <f ca="1"/>
        <v>#REF!</v>
      </c>
      <c r="X530" s="33" t="e">
        <f ca="1"/>
        <v>#REF!</v>
      </c>
      <c r="Y530" s="33" t="e">
        <f ca="1"/>
        <v>#REF!</v>
      </c>
      <c r="Z530" s="33" t="e">
        <f ca="1"/>
        <v>#REF!</v>
      </c>
      <c r="AA530" s="33" t="e">
        <f ca="1"/>
        <v>#REF!</v>
      </c>
    </row>
    <row r="531" spans="1:27" s="70" customFormat="1" ht="11.25" x14ac:dyDescent="0.2">
      <c r="A531" s="24">
        <v>525</v>
      </c>
      <c r="B531" s="24"/>
      <c r="C531" s="25"/>
      <c r="D531" s="26"/>
      <c r="E531" s="25"/>
      <c r="F531" s="25"/>
      <c r="G531" s="24"/>
      <c r="H531" s="25" t="e">
        <f ca="1"/>
        <v>#REF!</v>
      </c>
      <c r="I531" s="24" t="e">
        <f ca="1"/>
        <v>#REF!</v>
      </c>
      <c r="J531" s="25" t="e">
        <f ca="1"/>
        <v>#REF!</v>
      </c>
      <c r="K531" s="24" t="e">
        <f ca="1"/>
        <v>#REF!</v>
      </c>
      <c r="L531" s="25" t="e">
        <f ca="1"/>
        <v>#REF!</v>
      </c>
      <c r="M531" s="25" t="e">
        <f ca="1"/>
        <v>#REF!</v>
      </c>
      <c r="N531" s="25" t="e">
        <f ca="1"/>
        <v>#REF!</v>
      </c>
      <c r="O531" s="25" t="e">
        <f ca="1"/>
        <v>#REF!</v>
      </c>
      <c r="P531" s="25" t="e">
        <f ca="1"/>
        <v>#REF!</v>
      </c>
      <c r="Q531" s="25" t="e">
        <f ca="1"/>
        <v>#REF!</v>
      </c>
      <c r="R531" s="25" t="e">
        <f ca="1"/>
        <v>#REF!</v>
      </c>
      <c r="S531" s="25" t="e">
        <f ca="1"/>
        <v>#REF!</v>
      </c>
      <c r="T531" s="25" t="e">
        <f ca="1"/>
        <v>#REF!</v>
      </c>
      <c r="U531" s="25" t="e">
        <f ca="1"/>
        <v>#REF!</v>
      </c>
      <c r="V531" s="25" t="e">
        <f ca="1"/>
        <v>#REF!</v>
      </c>
      <c r="W531" s="33" t="e">
        <f ca="1"/>
        <v>#REF!</v>
      </c>
      <c r="X531" s="33" t="e">
        <f ca="1"/>
        <v>#REF!</v>
      </c>
      <c r="Y531" s="33" t="e">
        <f ca="1"/>
        <v>#REF!</v>
      </c>
      <c r="Z531" s="33" t="e">
        <f ca="1"/>
        <v>#REF!</v>
      </c>
      <c r="AA531" s="33" t="e">
        <f ca="1"/>
        <v>#REF!</v>
      </c>
    </row>
    <row r="532" spans="1:27" s="70" customFormat="1" ht="11.25" x14ac:dyDescent="0.2">
      <c r="A532" s="24">
        <v>526</v>
      </c>
      <c r="B532" s="24"/>
      <c r="C532" s="25"/>
      <c r="D532" s="26"/>
      <c r="E532" s="25"/>
      <c r="F532" s="25"/>
      <c r="G532" s="24"/>
      <c r="H532" s="25" t="e">
        <f ca="1"/>
        <v>#REF!</v>
      </c>
      <c r="I532" s="24" t="e">
        <f ca="1"/>
        <v>#REF!</v>
      </c>
      <c r="J532" s="25" t="e">
        <f ca="1"/>
        <v>#REF!</v>
      </c>
      <c r="K532" s="24" t="e">
        <f ca="1"/>
        <v>#REF!</v>
      </c>
      <c r="L532" s="25" t="e">
        <f ca="1"/>
        <v>#REF!</v>
      </c>
      <c r="M532" s="25" t="e">
        <f ca="1"/>
        <v>#REF!</v>
      </c>
      <c r="N532" s="25" t="e">
        <f ca="1"/>
        <v>#REF!</v>
      </c>
      <c r="O532" s="25" t="e">
        <f ca="1"/>
        <v>#REF!</v>
      </c>
      <c r="P532" s="25" t="e">
        <f ca="1"/>
        <v>#REF!</v>
      </c>
      <c r="Q532" s="25" t="e">
        <f ca="1"/>
        <v>#REF!</v>
      </c>
      <c r="R532" s="25" t="e">
        <f ca="1"/>
        <v>#REF!</v>
      </c>
      <c r="S532" s="25" t="e">
        <f ca="1"/>
        <v>#REF!</v>
      </c>
      <c r="T532" s="25" t="e">
        <f ca="1"/>
        <v>#REF!</v>
      </c>
      <c r="U532" s="25" t="e">
        <f ca="1"/>
        <v>#REF!</v>
      </c>
      <c r="V532" s="25" t="e">
        <f ca="1"/>
        <v>#REF!</v>
      </c>
      <c r="W532" s="33" t="e">
        <f ca="1"/>
        <v>#REF!</v>
      </c>
      <c r="X532" s="33" t="e">
        <f ca="1"/>
        <v>#REF!</v>
      </c>
      <c r="Y532" s="33" t="e">
        <f ca="1"/>
        <v>#REF!</v>
      </c>
      <c r="Z532" s="33" t="e">
        <f ca="1"/>
        <v>#REF!</v>
      </c>
      <c r="AA532" s="33" t="e">
        <f ca="1"/>
        <v>#REF!</v>
      </c>
    </row>
    <row r="533" spans="1:27" s="70" customFormat="1" ht="11.25" x14ac:dyDescent="0.2">
      <c r="A533" s="24">
        <v>527</v>
      </c>
      <c r="B533" s="24"/>
      <c r="C533" s="25"/>
      <c r="D533" s="26"/>
      <c r="E533" s="25"/>
      <c r="F533" s="25"/>
      <c r="G533" s="24"/>
      <c r="H533" s="25" t="e">
        <f ca="1"/>
        <v>#REF!</v>
      </c>
      <c r="I533" s="24" t="e">
        <f ca="1"/>
        <v>#REF!</v>
      </c>
      <c r="J533" s="25" t="e">
        <f ca="1"/>
        <v>#REF!</v>
      </c>
      <c r="K533" s="24" t="e">
        <f ca="1"/>
        <v>#REF!</v>
      </c>
      <c r="L533" s="25" t="e">
        <f ca="1"/>
        <v>#REF!</v>
      </c>
      <c r="M533" s="25" t="e">
        <f ca="1"/>
        <v>#REF!</v>
      </c>
      <c r="N533" s="25" t="e">
        <f ca="1"/>
        <v>#REF!</v>
      </c>
      <c r="O533" s="25" t="e">
        <f ca="1"/>
        <v>#REF!</v>
      </c>
      <c r="P533" s="25" t="e">
        <f ca="1"/>
        <v>#REF!</v>
      </c>
      <c r="Q533" s="25" t="e">
        <f ca="1"/>
        <v>#REF!</v>
      </c>
      <c r="R533" s="25" t="e">
        <f ca="1"/>
        <v>#REF!</v>
      </c>
      <c r="S533" s="25" t="e">
        <f ca="1"/>
        <v>#REF!</v>
      </c>
      <c r="T533" s="25" t="e">
        <f ca="1"/>
        <v>#REF!</v>
      </c>
      <c r="U533" s="25" t="e">
        <f ca="1"/>
        <v>#REF!</v>
      </c>
      <c r="V533" s="25" t="e">
        <f ca="1"/>
        <v>#REF!</v>
      </c>
      <c r="W533" s="33" t="e">
        <f ca="1"/>
        <v>#REF!</v>
      </c>
      <c r="X533" s="33" t="e">
        <f ca="1"/>
        <v>#REF!</v>
      </c>
      <c r="Y533" s="33" t="e">
        <f ca="1"/>
        <v>#REF!</v>
      </c>
      <c r="Z533" s="33" t="e">
        <f ca="1"/>
        <v>#REF!</v>
      </c>
      <c r="AA533" s="33" t="e">
        <f ca="1"/>
        <v>#REF!</v>
      </c>
    </row>
    <row r="534" spans="1:27" s="70" customFormat="1" ht="11.25" x14ac:dyDescent="0.2">
      <c r="A534" s="24">
        <v>528</v>
      </c>
      <c r="B534" s="24"/>
      <c r="C534" s="25"/>
      <c r="D534" s="26"/>
      <c r="E534" s="25"/>
      <c r="F534" s="25"/>
      <c r="G534" s="24"/>
      <c r="H534" s="25" t="e">
        <f ca="1"/>
        <v>#REF!</v>
      </c>
      <c r="I534" s="24" t="e">
        <f ca="1"/>
        <v>#REF!</v>
      </c>
      <c r="J534" s="25" t="e">
        <f ca="1"/>
        <v>#REF!</v>
      </c>
      <c r="K534" s="24" t="e">
        <f ca="1"/>
        <v>#REF!</v>
      </c>
      <c r="L534" s="25" t="e">
        <f ca="1"/>
        <v>#REF!</v>
      </c>
      <c r="M534" s="25" t="e">
        <f ca="1"/>
        <v>#REF!</v>
      </c>
      <c r="N534" s="25" t="e">
        <f ca="1"/>
        <v>#REF!</v>
      </c>
      <c r="O534" s="25" t="e">
        <f ca="1"/>
        <v>#REF!</v>
      </c>
      <c r="P534" s="25" t="e">
        <f ca="1"/>
        <v>#REF!</v>
      </c>
      <c r="Q534" s="25" t="e">
        <f ca="1"/>
        <v>#REF!</v>
      </c>
      <c r="R534" s="25" t="e">
        <f ca="1"/>
        <v>#REF!</v>
      </c>
      <c r="S534" s="25" t="e">
        <f ca="1"/>
        <v>#REF!</v>
      </c>
      <c r="T534" s="25" t="e">
        <f ca="1"/>
        <v>#REF!</v>
      </c>
      <c r="U534" s="25" t="e">
        <f ca="1"/>
        <v>#REF!</v>
      </c>
      <c r="V534" s="25" t="e">
        <f ca="1"/>
        <v>#REF!</v>
      </c>
      <c r="W534" s="33" t="e">
        <f ca="1"/>
        <v>#REF!</v>
      </c>
      <c r="X534" s="33" t="e">
        <f ca="1"/>
        <v>#REF!</v>
      </c>
      <c r="Y534" s="33" t="e">
        <f ca="1"/>
        <v>#REF!</v>
      </c>
      <c r="Z534" s="33" t="e">
        <f ca="1"/>
        <v>#REF!</v>
      </c>
      <c r="AA534" s="33" t="e">
        <f ca="1"/>
        <v>#REF!</v>
      </c>
    </row>
    <row r="535" spans="1:27" s="70" customFormat="1" ht="11.25" x14ac:dyDescent="0.2">
      <c r="A535" s="24">
        <v>529</v>
      </c>
      <c r="B535" s="24"/>
      <c r="C535" s="25"/>
      <c r="D535" s="26"/>
      <c r="E535" s="25"/>
      <c r="F535" s="25"/>
      <c r="G535" s="24"/>
      <c r="H535" s="25" t="e">
        <f ca="1"/>
        <v>#REF!</v>
      </c>
      <c r="I535" s="24" t="e">
        <f ca="1"/>
        <v>#REF!</v>
      </c>
      <c r="J535" s="25" t="e">
        <f ca="1"/>
        <v>#REF!</v>
      </c>
      <c r="K535" s="24" t="e">
        <f ca="1"/>
        <v>#REF!</v>
      </c>
      <c r="L535" s="25" t="e">
        <f ca="1"/>
        <v>#REF!</v>
      </c>
      <c r="M535" s="25" t="e">
        <f ca="1"/>
        <v>#REF!</v>
      </c>
      <c r="N535" s="25" t="e">
        <f ca="1"/>
        <v>#REF!</v>
      </c>
      <c r="O535" s="25" t="e">
        <f ca="1"/>
        <v>#REF!</v>
      </c>
      <c r="P535" s="25" t="e">
        <f ca="1"/>
        <v>#REF!</v>
      </c>
      <c r="Q535" s="25" t="e">
        <f ca="1"/>
        <v>#REF!</v>
      </c>
      <c r="R535" s="25" t="e">
        <f ca="1"/>
        <v>#REF!</v>
      </c>
      <c r="S535" s="25" t="e">
        <f ca="1"/>
        <v>#REF!</v>
      </c>
      <c r="T535" s="25" t="e">
        <f ca="1"/>
        <v>#REF!</v>
      </c>
      <c r="U535" s="25" t="e">
        <f ca="1"/>
        <v>#REF!</v>
      </c>
      <c r="V535" s="25" t="e">
        <f ca="1"/>
        <v>#REF!</v>
      </c>
      <c r="W535" s="33" t="e">
        <f ca="1"/>
        <v>#REF!</v>
      </c>
      <c r="X535" s="33" t="e">
        <f ca="1"/>
        <v>#REF!</v>
      </c>
      <c r="Y535" s="33" t="e">
        <f ca="1"/>
        <v>#REF!</v>
      </c>
      <c r="Z535" s="33" t="e">
        <f ca="1"/>
        <v>#REF!</v>
      </c>
      <c r="AA535" s="33" t="e">
        <f ca="1"/>
        <v>#REF!</v>
      </c>
    </row>
    <row r="536" spans="1:27" s="70" customFormat="1" ht="11.25" x14ac:dyDescent="0.2">
      <c r="A536" s="24">
        <v>530</v>
      </c>
      <c r="B536" s="24"/>
      <c r="C536" s="25"/>
      <c r="D536" s="26"/>
      <c r="E536" s="25"/>
      <c r="F536" s="25"/>
      <c r="G536" s="24"/>
      <c r="H536" s="25" t="e">
        <f ca="1"/>
        <v>#REF!</v>
      </c>
      <c r="I536" s="24" t="e">
        <f ca="1"/>
        <v>#REF!</v>
      </c>
      <c r="J536" s="25" t="e">
        <f ca="1"/>
        <v>#REF!</v>
      </c>
      <c r="K536" s="24" t="e">
        <f ca="1"/>
        <v>#REF!</v>
      </c>
      <c r="L536" s="25" t="e">
        <f ca="1"/>
        <v>#REF!</v>
      </c>
      <c r="M536" s="25" t="e">
        <f ca="1"/>
        <v>#REF!</v>
      </c>
      <c r="N536" s="25" t="e">
        <f ca="1"/>
        <v>#REF!</v>
      </c>
      <c r="O536" s="25" t="e">
        <f ca="1"/>
        <v>#REF!</v>
      </c>
      <c r="P536" s="25" t="e">
        <f ca="1"/>
        <v>#REF!</v>
      </c>
      <c r="Q536" s="25" t="e">
        <f ca="1"/>
        <v>#REF!</v>
      </c>
      <c r="R536" s="25" t="e">
        <f ca="1"/>
        <v>#REF!</v>
      </c>
      <c r="S536" s="25" t="e">
        <f ca="1"/>
        <v>#REF!</v>
      </c>
      <c r="T536" s="25" t="e">
        <f ca="1"/>
        <v>#REF!</v>
      </c>
      <c r="U536" s="25" t="e">
        <f ca="1"/>
        <v>#REF!</v>
      </c>
      <c r="V536" s="25" t="e">
        <f ca="1"/>
        <v>#REF!</v>
      </c>
      <c r="W536" s="33" t="e">
        <f ca="1"/>
        <v>#REF!</v>
      </c>
      <c r="X536" s="33" t="e">
        <f ca="1"/>
        <v>#REF!</v>
      </c>
      <c r="Y536" s="33" t="e">
        <f ca="1"/>
        <v>#REF!</v>
      </c>
      <c r="Z536" s="33" t="e">
        <f ca="1"/>
        <v>#REF!</v>
      </c>
      <c r="AA536" s="33" t="e">
        <f ca="1"/>
        <v>#REF!</v>
      </c>
    </row>
    <row r="537" spans="1:27" s="70" customFormat="1" ht="11.25" x14ac:dyDescent="0.2">
      <c r="A537" s="24">
        <v>531</v>
      </c>
      <c r="B537" s="24"/>
      <c r="C537" s="25"/>
      <c r="D537" s="26"/>
      <c r="E537" s="25"/>
      <c r="F537" s="25"/>
      <c r="G537" s="24"/>
      <c r="H537" s="25" t="e">
        <f ca="1"/>
        <v>#REF!</v>
      </c>
      <c r="I537" s="24" t="e">
        <f ca="1"/>
        <v>#REF!</v>
      </c>
      <c r="J537" s="25" t="e">
        <f ca="1"/>
        <v>#REF!</v>
      </c>
      <c r="K537" s="24" t="e">
        <f ca="1"/>
        <v>#REF!</v>
      </c>
      <c r="L537" s="25" t="e">
        <f ca="1"/>
        <v>#REF!</v>
      </c>
      <c r="M537" s="25" t="e">
        <f ca="1"/>
        <v>#REF!</v>
      </c>
      <c r="N537" s="25" t="e">
        <f ca="1"/>
        <v>#REF!</v>
      </c>
      <c r="O537" s="25" t="e">
        <f ca="1"/>
        <v>#REF!</v>
      </c>
      <c r="P537" s="25" t="e">
        <f ca="1"/>
        <v>#REF!</v>
      </c>
      <c r="Q537" s="25" t="e">
        <f ca="1"/>
        <v>#REF!</v>
      </c>
      <c r="R537" s="25" t="e">
        <f ca="1"/>
        <v>#REF!</v>
      </c>
      <c r="S537" s="25" t="e">
        <f ca="1"/>
        <v>#REF!</v>
      </c>
      <c r="T537" s="25" t="e">
        <f ca="1"/>
        <v>#REF!</v>
      </c>
      <c r="U537" s="25" t="e">
        <f ca="1"/>
        <v>#REF!</v>
      </c>
      <c r="V537" s="25" t="e">
        <f ca="1"/>
        <v>#REF!</v>
      </c>
      <c r="W537" s="33" t="e">
        <f ca="1"/>
        <v>#REF!</v>
      </c>
      <c r="X537" s="33" t="e">
        <f ca="1"/>
        <v>#REF!</v>
      </c>
      <c r="Y537" s="33" t="e">
        <f ca="1"/>
        <v>#REF!</v>
      </c>
      <c r="Z537" s="33" t="e">
        <f ca="1"/>
        <v>#REF!</v>
      </c>
      <c r="AA537" s="33" t="e">
        <f ca="1"/>
        <v>#REF!</v>
      </c>
    </row>
    <row r="538" spans="1:27" s="70" customFormat="1" ht="11.25" x14ac:dyDescent="0.2">
      <c r="A538" s="24">
        <v>532</v>
      </c>
      <c r="B538" s="24"/>
      <c r="C538" s="25"/>
      <c r="D538" s="26"/>
      <c r="E538" s="25"/>
      <c r="F538" s="25"/>
      <c r="G538" s="24"/>
      <c r="H538" s="25" t="e">
        <f ca="1"/>
        <v>#REF!</v>
      </c>
      <c r="I538" s="24" t="e">
        <f ca="1"/>
        <v>#REF!</v>
      </c>
      <c r="J538" s="25" t="e">
        <f ca="1"/>
        <v>#REF!</v>
      </c>
      <c r="K538" s="24" t="e">
        <f ca="1"/>
        <v>#REF!</v>
      </c>
      <c r="L538" s="25" t="e">
        <f ca="1"/>
        <v>#REF!</v>
      </c>
      <c r="M538" s="25" t="e">
        <f ca="1"/>
        <v>#REF!</v>
      </c>
      <c r="N538" s="25" t="e">
        <f ca="1"/>
        <v>#REF!</v>
      </c>
      <c r="O538" s="25" t="e">
        <f ca="1"/>
        <v>#REF!</v>
      </c>
      <c r="P538" s="25" t="e">
        <f ca="1"/>
        <v>#REF!</v>
      </c>
      <c r="Q538" s="25" t="e">
        <f ca="1"/>
        <v>#REF!</v>
      </c>
      <c r="R538" s="25" t="e">
        <f ca="1"/>
        <v>#REF!</v>
      </c>
      <c r="S538" s="25" t="e">
        <f ca="1"/>
        <v>#REF!</v>
      </c>
      <c r="T538" s="25" t="e">
        <f ca="1"/>
        <v>#REF!</v>
      </c>
      <c r="U538" s="25" t="e">
        <f ca="1"/>
        <v>#REF!</v>
      </c>
      <c r="V538" s="25" t="e">
        <f ca="1"/>
        <v>#REF!</v>
      </c>
      <c r="W538" s="33" t="e">
        <f ca="1"/>
        <v>#REF!</v>
      </c>
      <c r="X538" s="33" t="e">
        <f ca="1"/>
        <v>#REF!</v>
      </c>
      <c r="Y538" s="33" t="e">
        <f ca="1"/>
        <v>#REF!</v>
      </c>
      <c r="Z538" s="33" t="e">
        <f ca="1"/>
        <v>#REF!</v>
      </c>
      <c r="AA538" s="33" t="e">
        <f ca="1"/>
        <v>#REF!</v>
      </c>
    </row>
    <row r="539" spans="1:27" s="70" customFormat="1" ht="11.25" x14ac:dyDescent="0.2">
      <c r="A539" s="24">
        <v>533</v>
      </c>
      <c r="B539" s="24"/>
      <c r="C539" s="25"/>
      <c r="D539" s="26"/>
      <c r="E539" s="25"/>
      <c r="F539" s="25"/>
      <c r="G539" s="24"/>
      <c r="H539" s="25" t="e">
        <f ca="1"/>
        <v>#REF!</v>
      </c>
      <c r="I539" s="24" t="e">
        <f ca="1"/>
        <v>#REF!</v>
      </c>
      <c r="J539" s="25" t="e">
        <f ca="1"/>
        <v>#REF!</v>
      </c>
      <c r="K539" s="24" t="e">
        <f ca="1"/>
        <v>#REF!</v>
      </c>
      <c r="L539" s="25" t="e">
        <f ca="1"/>
        <v>#REF!</v>
      </c>
      <c r="M539" s="25" t="e">
        <f ca="1"/>
        <v>#REF!</v>
      </c>
      <c r="N539" s="25" t="e">
        <f ca="1"/>
        <v>#REF!</v>
      </c>
      <c r="O539" s="25" t="e">
        <f ca="1"/>
        <v>#REF!</v>
      </c>
      <c r="P539" s="25" t="e">
        <f ca="1"/>
        <v>#REF!</v>
      </c>
      <c r="Q539" s="25" t="e">
        <f ca="1"/>
        <v>#REF!</v>
      </c>
      <c r="R539" s="25" t="e">
        <f ca="1"/>
        <v>#REF!</v>
      </c>
      <c r="S539" s="25" t="e">
        <f ca="1"/>
        <v>#REF!</v>
      </c>
      <c r="T539" s="25" t="e">
        <f ca="1"/>
        <v>#REF!</v>
      </c>
      <c r="U539" s="25" t="e">
        <f ca="1"/>
        <v>#REF!</v>
      </c>
      <c r="V539" s="25" t="e">
        <f ca="1"/>
        <v>#REF!</v>
      </c>
      <c r="W539" s="33" t="e">
        <f ca="1"/>
        <v>#REF!</v>
      </c>
      <c r="X539" s="33" t="e">
        <f ca="1"/>
        <v>#REF!</v>
      </c>
      <c r="Y539" s="33" t="e">
        <f ca="1"/>
        <v>#REF!</v>
      </c>
      <c r="Z539" s="33" t="e">
        <f ca="1"/>
        <v>#REF!</v>
      </c>
      <c r="AA539" s="33" t="e">
        <f ca="1"/>
        <v>#REF!</v>
      </c>
    </row>
    <row r="540" spans="1:27" s="70" customFormat="1" ht="11.25" x14ac:dyDescent="0.2">
      <c r="A540" s="24">
        <v>534</v>
      </c>
      <c r="B540" s="24"/>
      <c r="C540" s="25"/>
      <c r="D540" s="26"/>
      <c r="E540" s="25"/>
      <c r="F540" s="25"/>
      <c r="G540" s="24"/>
      <c r="H540" s="25" t="e">
        <f ca="1"/>
        <v>#REF!</v>
      </c>
      <c r="I540" s="24" t="e">
        <f ca="1"/>
        <v>#REF!</v>
      </c>
      <c r="J540" s="25" t="e">
        <f ca="1"/>
        <v>#REF!</v>
      </c>
      <c r="K540" s="24" t="e">
        <f ca="1"/>
        <v>#REF!</v>
      </c>
      <c r="L540" s="25" t="e">
        <f ca="1"/>
        <v>#REF!</v>
      </c>
      <c r="M540" s="25" t="e">
        <f ca="1"/>
        <v>#REF!</v>
      </c>
      <c r="N540" s="25" t="e">
        <f ca="1"/>
        <v>#REF!</v>
      </c>
      <c r="O540" s="25" t="e">
        <f ca="1"/>
        <v>#REF!</v>
      </c>
      <c r="P540" s="25" t="e">
        <f ca="1"/>
        <v>#REF!</v>
      </c>
      <c r="Q540" s="25" t="e">
        <f ca="1"/>
        <v>#REF!</v>
      </c>
      <c r="R540" s="25" t="e">
        <f ca="1"/>
        <v>#REF!</v>
      </c>
      <c r="S540" s="25" t="e">
        <f ca="1"/>
        <v>#REF!</v>
      </c>
      <c r="T540" s="25" t="e">
        <f ca="1"/>
        <v>#REF!</v>
      </c>
      <c r="U540" s="25" t="e">
        <f ca="1"/>
        <v>#REF!</v>
      </c>
      <c r="V540" s="25" t="e">
        <f ca="1"/>
        <v>#REF!</v>
      </c>
      <c r="W540" s="33" t="e">
        <f ca="1"/>
        <v>#REF!</v>
      </c>
      <c r="X540" s="33" t="e">
        <f ca="1"/>
        <v>#REF!</v>
      </c>
      <c r="Y540" s="33" t="e">
        <f ca="1"/>
        <v>#REF!</v>
      </c>
      <c r="Z540" s="33" t="e">
        <f ca="1"/>
        <v>#REF!</v>
      </c>
      <c r="AA540" s="33" t="e">
        <f ca="1"/>
        <v>#REF!</v>
      </c>
    </row>
    <row r="541" spans="1:27" s="70" customFormat="1" ht="11.25" x14ac:dyDescent="0.2">
      <c r="A541" s="24">
        <v>535</v>
      </c>
      <c r="B541" s="24"/>
      <c r="C541" s="25"/>
      <c r="D541" s="26"/>
      <c r="E541" s="25"/>
      <c r="F541" s="25"/>
      <c r="G541" s="24"/>
      <c r="H541" s="25" t="e">
        <f ca="1"/>
        <v>#REF!</v>
      </c>
      <c r="I541" s="24" t="e">
        <f ca="1"/>
        <v>#REF!</v>
      </c>
      <c r="J541" s="25" t="e">
        <f ca="1"/>
        <v>#REF!</v>
      </c>
      <c r="K541" s="24" t="e">
        <f ca="1"/>
        <v>#REF!</v>
      </c>
      <c r="L541" s="25" t="e">
        <f ca="1"/>
        <v>#REF!</v>
      </c>
      <c r="M541" s="25" t="e">
        <f ca="1"/>
        <v>#REF!</v>
      </c>
      <c r="N541" s="25" t="e">
        <f ca="1"/>
        <v>#REF!</v>
      </c>
      <c r="O541" s="25" t="e">
        <f ca="1"/>
        <v>#REF!</v>
      </c>
      <c r="P541" s="25" t="e">
        <f ca="1"/>
        <v>#REF!</v>
      </c>
      <c r="Q541" s="25" t="e">
        <f ca="1"/>
        <v>#REF!</v>
      </c>
      <c r="R541" s="25" t="e">
        <f ca="1"/>
        <v>#REF!</v>
      </c>
      <c r="S541" s="25" t="e">
        <f ca="1"/>
        <v>#REF!</v>
      </c>
      <c r="T541" s="25" t="e">
        <f ca="1"/>
        <v>#REF!</v>
      </c>
      <c r="U541" s="25" t="e">
        <f ca="1"/>
        <v>#REF!</v>
      </c>
      <c r="V541" s="25" t="e">
        <f ca="1"/>
        <v>#REF!</v>
      </c>
      <c r="W541" s="33" t="e">
        <f ca="1"/>
        <v>#REF!</v>
      </c>
      <c r="X541" s="33" t="e">
        <f ca="1"/>
        <v>#REF!</v>
      </c>
      <c r="Y541" s="33" t="e">
        <f ca="1"/>
        <v>#REF!</v>
      </c>
      <c r="Z541" s="33" t="e">
        <f ca="1"/>
        <v>#REF!</v>
      </c>
      <c r="AA541" s="33" t="e">
        <f ca="1"/>
        <v>#REF!</v>
      </c>
    </row>
    <row r="542" spans="1:27" s="70" customFormat="1" ht="11.25" x14ac:dyDescent="0.2">
      <c r="A542" s="24">
        <v>536</v>
      </c>
      <c r="B542" s="24"/>
      <c r="C542" s="25"/>
      <c r="D542" s="26"/>
      <c r="E542" s="25"/>
      <c r="F542" s="25"/>
      <c r="G542" s="24"/>
      <c r="H542" s="25" t="e">
        <f ca="1"/>
        <v>#REF!</v>
      </c>
      <c r="I542" s="24" t="e">
        <f ca="1"/>
        <v>#REF!</v>
      </c>
      <c r="J542" s="25" t="e">
        <f ca="1"/>
        <v>#REF!</v>
      </c>
      <c r="K542" s="24" t="e">
        <f ca="1"/>
        <v>#REF!</v>
      </c>
      <c r="L542" s="25" t="e">
        <f ca="1"/>
        <v>#REF!</v>
      </c>
      <c r="M542" s="25" t="e">
        <f ca="1"/>
        <v>#REF!</v>
      </c>
      <c r="N542" s="25" t="e">
        <f ca="1"/>
        <v>#REF!</v>
      </c>
      <c r="O542" s="25" t="e">
        <f ca="1"/>
        <v>#REF!</v>
      </c>
      <c r="P542" s="25" t="e">
        <f ca="1"/>
        <v>#REF!</v>
      </c>
      <c r="Q542" s="25" t="e">
        <f ca="1"/>
        <v>#REF!</v>
      </c>
      <c r="R542" s="25" t="e">
        <f ca="1"/>
        <v>#REF!</v>
      </c>
      <c r="S542" s="25" t="e">
        <f ca="1"/>
        <v>#REF!</v>
      </c>
      <c r="T542" s="25" t="e">
        <f ca="1"/>
        <v>#REF!</v>
      </c>
      <c r="U542" s="25" t="e">
        <f ca="1"/>
        <v>#REF!</v>
      </c>
      <c r="V542" s="25" t="e">
        <f ca="1"/>
        <v>#REF!</v>
      </c>
      <c r="W542" s="33" t="e">
        <f ca="1"/>
        <v>#REF!</v>
      </c>
      <c r="X542" s="33" t="e">
        <f ca="1"/>
        <v>#REF!</v>
      </c>
      <c r="Y542" s="33" t="e">
        <f ca="1"/>
        <v>#REF!</v>
      </c>
      <c r="Z542" s="33" t="e">
        <f ca="1"/>
        <v>#REF!</v>
      </c>
      <c r="AA542" s="33" t="e">
        <f ca="1"/>
        <v>#REF!</v>
      </c>
    </row>
    <row r="543" spans="1:27" s="70" customFormat="1" ht="11.25" x14ac:dyDescent="0.2">
      <c r="A543" s="24">
        <v>537</v>
      </c>
      <c r="B543" s="24"/>
      <c r="C543" s="25"/>
      <c r="D543" s="26"/>
      <c r="E543" s="25"/>
      <c r="F543" s="25"/>
      <c r="G543" s="24"/>
      <c r="H543" s="25" t="e">
        <f ca="1"/>
        <v>#REF!</v>
      </c>
      <c r="I543" s="24" t="e">
        <f ca="1"/>
        <v>#REF!</v>
      </c>
      <c r="J543" s="25" t="e">
        <f ca="1"/>
        <v>#REF!</v>
      </c>
      <c r="K543" s="24" t="e">
        <f ca="1"/>
        <v>#REF!</v>
      </c>
      <c r="L543" s="25" t="e">
        <f ca="1"/>
        <v>#REF!</v>
      </c>
      <c r="M543" s="25" t="e">
        <f ca="1"/>
        <v>#REF!</v>
      </c>
      <c r="N543" s="25" t="e">
        <f ca="1"/>
        <v>#REF!</v>
      </c>
      <c r="O543" s="25" t="e">
        <f ca="1"/>
        <v>#REF!</v>
      </c>
      <c r="P543" s="25" t="e">
        <f ca="1"/>
        <v>#REF!</v>
      </c>
      <c r="Q543" s="25" t="e">
        <f ca="1"/>
        <v>#REF!</v>
      </c>
      <c r="R543" s="25" t="e">
        <f ca="1"/>
        <v>#REF!</v>
      </c>
      <c r="S543" s="25" t="e">
        <f ca="1"/>
        <v>#REF!</v>
      </c>
      <c r="T543" s="25" t="e">
        <f ca="1"/>
        <v>#REF!</v>
      </c>
      <c r="U543" s="25" t="e">
        <f ca="1"/>
        <v>#REF!</v>
      </c>
      <c r="V543" s="25" t="e">
        <f ca="1"/>
        <v>#REF!</v>
      </c>
      <c r="W543" s="33" t="e">
        <f ca="1"/>
        <v>#REF!</v>
      </c>
      <c r="X543" s="33" t="e">
        <f ca="1"/>
        <v>#REF!</v>
      </c>
      <c r="Y543" s="33" t="e">
        <f ca="1"/>
        <v>#REF!</v>
      </c>
      <c r="Z543" s="33" t="e">
        <f ca="1"/>
        <v>#REF!</v>
      </c>
      <c r="AA543" s="33" t="e">
        <f ca="1"/>
        <v>#REF!</v>
      </c>
    </row>
    <row r="544" spans="1:27" s="70" customFormat="1" ht="11.25" x14ac:dyDescent="0.2">
      <c r="A544" s="24">
        <v>538</v>
      </c>
      <c r="B544" s="24"/>
      <c r="C544" s="25"/>
      <c r="D544" s="26"/>
      <c r="E544" s="25"/>
      <c r="F544" s="25"/>
      <c r="G544" s="24"/>
      <c r="H544" s="25" t="e">
        <f ca="1"/>
        <v>#REF!</v>
      </c>
      <c r="I544" s="24" t="e">
        <f ca="1"/>
        <v>#REF!</v>
      </c>
      <c r="J544" s="25" t="e">
        <f ca="1"/>
        <v>#REF!</v>
      </c>
      <c r="K544" s="24" t="e">
        <f ca="1"/>
        <v>#REF!</v>
      </c>
      <c r="L544" s="25" t="e">
        <f ca="1"/>
        <v>#REF!</v>
      </c>
      <c r="M544" s="25" t="e">
        <f ca="1"/>
        <v>#REF!</v>
      </c>
      <c r="N544" s="25" t="e">
        <f ca="1"/>
        <v>#REF!</v>
      </c>
      <c r="O544" s="25" t="e">
        <f ca="1"/>
        <v>#REF!</v>
      </c>
      <c r="P544" s="25" t="e">
        <f ca="1"/>
        <v>#REF!</v>
      </c>
      <c r="Q544" s="25" t="e">
        <f ca="1"/>
        <v>#REF!</v>
      </c>
      <c r="R544" s="25" t="e">
        <f ca="1"/>
        <v>#REF!</v>
      </c>
      <c r="S544" s="25" t="e">
        <f ca="1"/>
        <v>#REF!</v>
      </c>
      <c r="T544" s="25" t="e">
        <f ca="1"/>
        <v>#REF!</v>
      </c>
      <c r="U544" s="25" t="e">
        <f ca="1"/>
        <v>#REF!</v>
      </c>
      <c r="V544" s="25" t="e">
        <f ca="1"/>
        <v>#REF!</v>
      </c>
      <c r="W544" s="33" t="e">
        <f ca="1"/>
        <v>#REF!</v>
      </c>
      <c r="X544" s="33" t="e">
        <f ca="1"/>
        <v>#REF!</v>
      </c>
      <c r="Y544" s="33" t="e">
        <f ca="1"/>
        <v>#REF!</v>
      </c>
      <c r="Z544" s="33" t="e">
        <f ca="1"/>
        <v>#REF!</v>
      </c>
      <c r="AA544" s="33" t="e">
        <f ca="1"/>
        <v>#REF!</v>
      </c>
    </row>
    <row r="545" spans="1:27" s="70" customFormat="1" ht="11.25" x14ac:dyDescent="0.2">
      <c r="A545" s="24">
        <v>539</v>
      </c>
      <c r="B545" s="24"/>
      <c r="C545" s="25"/>
      <c r="D545" s="26"/>
      <c r="E545" s="25"/>
      <c r="F545" s="25"/>
      <c r="G545" s="24"/>
      <c r="H545" s="25" t="e">
        <f ca="1"/>
        <v>#REF!</v>
      </c>
      <c r="I545" s="24" t="e">
        <f ca="1"/>
        <v>#REF!</v>
      </c>
      <c r="J545" s="25" t="e">
        <f ca="1"/>
        <v>#REF!</v>
      </c>
      <c r="K545" s="24" t="e">
        <f ca="1"/>
        <v>#REF!</v>
      </c>
      <c r="L545" s="25" t="e">
        <f ca="1"/>
        <v>#REF!</v>
      </c>
      <c r="M545" s="25" t="e">
        <f ca="1"/>
        <v>#REF!</v>
      </c>
      <c r="N545" s="25" t="e">
        <f ca="1"/>
        <v>#REF!</v>
      </c>
      <c r="O545" s="25" t="e">
        <f ca="1"/>
        <v>#REF!</v>
      </c>
      <c r="P545" s="25" t="e">
        <f ca="1"/>
        <v>#REF!</v>
      </c>
      <c r="Q545" s="25" t="e">
        <f ca="1"/>
        <v>#REF!</v>
      </c>
      <c r="R545" s="25" t="e">
        <f ca="1"/>
        <v>#REF!</v>
      </c>
      <c r="S545" s="25" t="e">
        <f ca="1"/>
        <v>#REF!</v>
      </c>
      <c r="T545" s="25" t="e">
        <f ca="1"/>
        <v>#REF!</v>
      </c>
      <c r="U545" s="25" t="e">
        <f ca="1"/>
        <v>#REF!</v>
      </c>
      <c r="V545" s="25" t="e">
        <f ca="1"/>
        <v>#REF!</v>
      </c>
      <c r="W545" s="33" t="e">
        <f ca="1"/>
        <v>#REF!</v>
      </c>
      <c r="X545" s="33" t="e">
        <f ca="1"/>
        <v>#REF!</v>
      </c>
      <c r="Y545" s="33" t="e">
        <f ca="1"/>
        <v>#REF!</v>
      </c>
      <c r="Z545" s="33" t="e">
        <f ca="1"/>
        <v>#REF!</v>
      </c>
      <c r="AA545" s="33" t="e">
        <f ca="1"/>
        <v>#REF!</v>
      </c>
    </row>
    <row r="546" spans="1:27" s="70" customFormat="1" ht="11.25" x14ac:dyDescent="0.2">
      <c r="A546" s="24">
        <v>540</v>
      </c>
      <c r="B546" s="24"/>
      <c r="C546" s="25"/>
      <c r="D546" s="26"/>
      <c r="E546" s="25"/>
      <c r="F546" s="25"/>
      <c r="G546" s="24"/>
      <c r="H546" s="25" t="e">
        <f ca="1"/>
        <v>#REF!</v>
      </c>
      <c r="I546" s="24" t="e">
        <f ca="1"/>
        <v>#REF!</v>
      </c>
      <c r="J546" s="25" t="e">
        <f ca="1"/>
        <v>#REF!</v>
      </c>
      <c r="K546" s="24" t="e">
        <f ca="1"/>
        <v>#REF!</v>
      </c>
      <c r="L546" s="25" t="e">
        <f ca="1"/>
        <v>#REF!</v>
      </c>
      <c r="M546" s="25" t="e">
        <f ca="1"/>
        <v>#REF!</v>
      </c>
      <c r="N546" s="25" t="e">
        <f ca="1"/>
        <v>#REF!</v>
      </c>
      <c r="O546" s="25" t="e">
        <f ca="1"/>
        <v>#REF!</v>
      </c>
      <c r="P546" s="25" t="e">
        <f ca="1"/>
        <v>#REF!</v>
      </c>
      <c r="Q546" s="25" t="e">
        <f ca="1"/>
        <v>#REF!</v>
      </c>
      <c r="R546" s="25" t="e">
        <f ca="1"/>
        <v>#REF!</v>
      </c>
      <c r="S546" s="25" t="e">
        <f ca="1"/>
        <v>#REF!</v>
      </c>
      <c r="T546" s="25" t="e">
        <f ca="1"/>
        <v>#REF!</v>
      </c>
      <c r="U546" s="25" t="e">
        <f ca="1"/>
        <v>#REF!</v>
      </c>
      <c r="V546" s="25" t="e">
        <f ca="1"/>
        <v>#REF!</v>
      </c>
      <c r="W546" s="33" t="e">
        <f ca="1"/>
        <v>#REF!</v>
      </c>
      <c r="X546" s="33" t="e">
        <f ca="1"/>
        <v>#REF!</v>
      </c>
      <c r="Y546" s="33" t="e">
        <f ca="1"/>
        <v>#REF!</v>
      </c>
      <c r="Z546" s="33" t="e">
        <f ca="1"/>
        <v>#REF!</v>
      </c>
      <c r="AA546" s="33" t="e">
        <f ca="1"/>
        <v>#REF!</v>
      </c>
    </row>
    <row r="547" spans="1:27" s="70" customFormat="1" ht="11.25" x14ac:dyDescent="0.2">
      <c r="A547" s="24">
        <v>541</v>
      </c>
      <c r="B547" s="24"/>
      <c r="C547" s="25"/>
      <c r="D547" s="26"/>
      <c r="E547" s="25"/>
      <c r="F547" s="25"/>
      <c r="G547" s="24"/>
      <c r="H547" s="25" t="e">
        <f ca="1"/>
        <v>#REF!</v>
      </c>
      <c r="I547" s="24" t="e">
        <f ca="1"/>
        <v>#REF!</v>
      </c>
      <c r="J547" s="25" t="e">
        <f ca="1"/>
        <v>#REF!</v>
      </c>
      <c r="K547" s="24" t="e">
        <f ca="1"/>
        <v>#REF!</v>
      </c>
      <c r="L547" s="25" t="e">
        <f ca="1"/>
        <v>#REF!</v>
      </c>
      <c r="M547" s="25" t="e">
        <f ca="1"/>
        <v>#REF!</v>
      </c>
      <c r="N547" s="25" t="e">
        <f ca="1"/>
        <v>#REF!</v>
      </c>
      <c r="O547" s="25" t="e">
        <f ca="1"/>
        <v>#REF!</v>
      </c>
      <c r="P547" s="25" t="e">
        <f ca="1"/>
        <v>#REF!</v>
      </c>
      <c r="Q547" s="25" t="e">
        <f ca="1"/>
        <v>#REF!</v>
      </c>
      <c r="R547" s="25" t="e">
        <f ca="1"/>
        <v>#REF!</v>
      </c>
      <c r="S547" s="25" t="e">
        <f ca="1"/>
        <v>#REF!</v>
      </c>
      <c r="T547" s="25" t="e">
        <f ca="1"/>
        <v>#REF!</v>
      </c>
      <c r="U547" s="25" t="e">
        <f ca="1"/>
        <v>#REF!</v>
      </c>
      <c r="V547" s="25" t="e">
        <f ca="1"/>
        <v>#REF!</v>
      </c>
      <c r="W547" s="33" t="e">
        <f ca="1"/>
        <v>#REF!</v>
      </c>
      <c r="X547" s="33" t="e">
        <f ca="1"/>
        <v>#REF!</v>
      </c>
      <c r="Y547" s="33" t="e">
        <f ca="1"/>
        <v>#REF!</v>
      </c>
      <c r="Z547" s="33" t="e">
        <f ca="1"/>
        <v>#REF!</v>
      </c>
      <c r="AA547" s="33" t="e">
        <f ca="1"/>
        <v>#REF!</v>
      </c>
    </row>
    <row r="548" spans="1:27" s="70" customFormat="1" ht="11.25" x14ac:dyDescent="0.2">
      <c r="A548" s="24">
        <v>542</v>
      </c>
      <c r="B548" s="24"/>
      <c r="C548" s="25"/>
      <c r="D548" s="26"/>
      <c r="E548" s="25"/>
      <c r="F548" s="25"/>
      <c r="G548" s="24"/>
      <c r="H548" s="25" t="e">
        <f ca="1"/>
        <v>#REF!</v>
      </c>
      <c r="I548" s="24" t="e">
        <f ca="1"/>
        <v>#REF!</v>
      </c>
      <c r="J548" s="25" t="e">
        <f ca="1"/>
        <v>#REF!</v>
      </c>
      <c r="K548" s="24" t="e">
        <f ca="1"/>
        <v>#REF!</v>
      </c>
      <c r="L548" s="25" t="e">
        <f ca="1"/>
        <v>#REF!</v>
      </c>
      <c r="M548" s="25" t="e">
        <f ca="1"/>
        <v>#REF!</v>
      </c>
      <c r="N548" s="25" t="e">
        <f ca="1"/>
        <v>#REF!</v>
      </c>
      <c r="O548" s="25" t="e">
        <f ca="1"/>
        <v>#REF!</v>
      </c>
      <c r="P548" s="25" t="e">
        <f ca="1"/>
        <v>#REF!</v>
      </c>
      <c r="Q548" s="25" t="e">
        <f ca="1"/>
        <v>#REF!</v>
      </c>
      <c r="R548" s="25" t="e">
        <f ca="1"/>
        <v>#REF!</v>
      </c>
      <c r="S548" s="25" t="e">
        <f ca="1"/>
        <v>#REF!</v>
      </c>
      <c r="T548" s="25" t="e">
        <f ca="1"/>
        <v>#REF!</v>
      </c>
      <c r="U548" s="25" t="e">
        <f ca="1"/>
        <v>#REF!</v>
      </c>
      <c r="V548" s="25" t="e">
        <f ca="1"/>
        <v>#REF!</v>
      </c>
      <c r="W548" s="33" t="e">
        <f ca="1"/>
        <v>#REF!</v>
      </c>
      <c r="X548" s="33" t="e">
        <f ca="1"/>
        <v>#REF!</v>
      </c>
      <c r="Y548" s="33" t="e">
        <f ca="1"/>
        <v>#REF!</v>
      </c>
      <c r="Z548" s="33" t="e">
        <f ca="1"/>
        <v>#REF!</v>
      </c>
      <c r="AA548" s="33" t="e">
        <f ca="1"/>
        <v>#REF!</v>
      </c>
    </row>
    <row r="549" spans="1:27" s="70" customFormat="1" ht="11.25" x14ac:dyDescent="0.2">
      <c r="A549" s="24">
        <v>543</v>
      </c>
      <c r="B549" s="24"/>
      <c r="C549" s="25"/>
      <c r="D549" s="26"/>
      <c r="E549" s="25"/>
      <c r="F549" s="25"/>
      <c r="G549" s="24"/>
      <c r="H549" s="25" t="e">
        <f ca="1"/>
        <v>#REF!</v>
      </c>
      <c r="I549" s="24" t="e">
        <f ca="1"/>
        <v>#REF!</v>
      </c>
      <c r="J549" s="25" t="e">
        <f ca="1"/>
        <v>#REF!</v>
      </c>
      <c r="K549" s="24" t="e">
        <f ca="1"/>
        <v>#REF!</v>
      </c>
      <c r="L549" s="25" t="e">
        <f ca="1"/>
        <v>#REF!</v>
      </c>
      <c r="M549" s="25" t="e">
        <f ca="1"/>
        <v>#REF!</v>
      </c>
      <c r="N549" s="25" t="e">
        <f ca="1"/>
        <v>#REF!</v>
      </c>
      <c r="O549" s="25" t="e">
        <f ca="1"/>
        <v>#REF!</v>
      </c>
      <c r="P549" s="25" t="e">
        <f ca="1"/>
        <v>#REF!</v>
      </c>
      <c r="Q549" s="25" t="e">
        <f ca="1"/>
        <v>#REF!</v>
      </c>
      <c r="R549" s="25" t="e">
        <f ca="1"/>
        <v>#REF!</v>
      </c>
      <c r="S549" s="25" t="e">
        <f ca="1"/>
        <v>#REF!</v>
      </c>
      <c r="T549" s="25" t="e">
        <f ca="1"/>
        <v>#REF!</v>
      </c>
      <c r="U549" s="25" t="e">
        <f ca="1"/>
        <v>#REF!</v>
      </c>
      <c r="V549" s="25" t="e">
        <f ca="1"/>
        <v>#REF!</v>
      </c>
      <c r="W549" s="33" t="e">
        <f ca="1"/>
        <v>#REF!</v>
      </c>
      <c r="X549" s="33" t="e">
        <f ca="1"/>
        <v>#REF!</v>
      </c>
      <c r="Y549" s="33" t="e">
        <f ca="1"/>
        <v>#REF!</v>
      </c>
      <c r="Z549" s="33" t="e">
        <f ca="1"/>
        <v>#REF!</v>
      </c>
      <c r="AA549" s="33" t="e">
        <f ca="1"/>
        <v>#REF!</v>
      </c>
    </row>
    <row r="550" spans="1:27" s="70" customFormat="1" ht="11.25" x14ac:dyDescent="0.2">
      <c r="A550" s="24">
        <v>544</v>
      </c>
      <c r="B550" s="24"/>
      <c r="C550" s="25"/>
      <c r="D550" s="26"/>
      <c r="E550" s="25"/>
      <c r="F550" s="25"/>
      <c r="G550" s="24"/>
      <c r="H550" s="25" t="e">
        <f ca="1"/>
        <v>#REF!</v>
      </c>
      <c r="I550" s="24" t="e">
        <f ca="1"/>
        <v>#REF!</v>
      </c>
      <c r="J550" s="25" t="e">
        <f ca="1"/>
        <v>#REF!</v>
      </c>
      <c r="K550" s="24" t="e">
        <f ca="1"/>
        <v>#REF!</v>
      </c>
      <c r="L550" s="25" t="e">
        <f ca="1"/>
        <v>#REF!</v>
      </c>
      <c r="M550" s="25" t="e">
        <f ca="1"/>
        <v>#REF!</v>
      </c>
      <c r="N550" s="25" t="e">
        <f ca="1"/>
        <v>#REF!</v>
      </c>
      <c r="O550" s="25" t="e">
        <f ca="1"/>
        <v>#REF!</v>
      </c>
      <c r="P550" s="25" t="e">
        <f ca="1"/>
        <v>#REF!</v>
      </c>
      <c r="Q550" s="25" t="e">
        <f ca="1"/>
        <v>#REF!</v>
      </c>
      <c r="R550" s="25" t="e">
        <f ca="1"/>
        <v>#REF!</v>
      </c>
      <c r="S550" s="25" t="e">
        <f ca="1"/>
        <v>#REF!</v>
      </c>
      <c r="T550" s="25" t="e">
        <f ca="1"/>
        <v>#REF!</v>
      </c>
      <c r="U550" s="25" t="e">
        <f ca="1"/>
        <v>#REF!</v>
      </c>
      <c r="V550" s="25" t="e">
        <f ca="1"/>
        <v>#REF!</v>
      </c>
      <c r="W550" s="33" t="e">
        <f ca="1"/>
        <v>#REF!</v>
      </c>
      <c r="X550" s="33" t="e">
        <f ca="1"/>
        <v>#REF!</v>
      </c>
      <c r="Y550" s="33" t="e">
        <f ca="1"/>
        <v>#REF!</v>
      </c>
      <c r="Z550" s="33" t="e">
        <f ca="1"/>
        <v>#REF!</v>
      </c>
      <c r="AA550" s="33" t="e">
        <f ca="1"/>
        <v>#REF!</v>
      </c>
    </row>
    <row r="551" spans="1:27" s="70" customFormat="1" ht="11.25" x14ac:dyDescent="0.2">
      <c r="A551" s="24">
        <v>545</v>
      </c>
      <c r="B551" s="24"/>
      <c r="C551" s="25"/>
      <c r="D551" s="26"/>
      <c r="E551" s="25"/>
      <c r="F551" s="25"/>
      <c r="G551" s="24"/>
      <c r="H551" s="25" t="e">
        <f ca="1"/>
        <v>#REF!</v>
      </c>
      <c r="I551" s="24" t="e">
        <f ca="1"/>
        <v>#REF!</v>
      </c>
      <c r="J551" s="25" t="e">
        <f ca="1"/>
        <v>#REF!</v>
      </c>
      <c r="K551" s="24" t="e">
        <f ca="1"/>
        <v>#REF!</v>
      </c>
      <c r="L551" s="25" t="e">
        <f ca="1"/>
        <v>#REF!</v>
      </c>
      <c r="M551" s="25" t="e">
        <f ca="1"/>
        <v>#REF!</v>
      </c>
      <c r="N551" s="25" t="e">
        <f ca="1"/>
        <v>#REF!</v>
      </c>
      <c r="O551" s="25" t="e">
        <f ca="1"/>
        <v>#REF!</v>
      </c>
      <c r="P551" s="25" t="e">
        <f ca="1"/>
        <v>#REF!</v>
      </c>
      <c r="Q551" s="25" t="e">
        <f ca="1"/>
        <v>#REF!</v>
      </c>
      <c r="R551" s="25" t="e">
        <f ca="1"/>
        <v>#REF!</v>
      </c>
      <c r="S551" s="25" t="e">
        <f ca="1"/>
        <v>#REF!</v>
      </c>
      <c r="T551" s="25" t="e">
        <f ca="1"/>
        <v>#REF!</v>
      </c>
      <c r="U551" s="25" t="e">
        <f ca="1"/>
        <v>#REF!</v>
      </c>
      <c r="V551" s="25" t="e">
        <f ca="1"/>
        <v>#REF!</v>
      </c>
      <c r="W551" s="33" t="e">
        <f ca="1"/>
        <v>#REF!</v>
      </c>
      <c r="X551" s="33" t="e">
        <f ca="1"/>
        <v>#REF!</v>
      </c>
      <c r="Y551" s="33" t="e">
        <f ca="1"/>
        <v>#REF!</v>
      </c>
      <c r="Z551" s="33" t="e">
        <f ca="1"/>
        <v>#REF!</v>
      </c>
      <c r="AA551" s="33" t="e">
        <f ca="1"/>
        <v>#REF!</v>
      </c>
    </row>
    <row r="552" spans="1:27" s="70" customFormat="1" ht="11.25" x14ac:dyDescent="0.2">
      <c r="A552" s="24">
        <v>546</v>
      </c>
      <c r="B552" s="24"/>
      <c r="C552" s="25"/>
      <c r="D552" s="26"/>
      <c r="E552" s="25"/>
      <c r="F552" s="25"/>
      <c r="G552" s="24"/>
      <c r="H552" s="25" t="e">
        <f ca="1"/>
        <v>#REF!</v>
      </c>
      <c r="I552" s="24" t="e">
        <f ca="1"/>
        <v>#REF!</v>
      </c>
      <c r="J552" s="25" t="e">
        <f ca="1"/>
        <v>#REF!</v>
      </c>
      <c r="K552" s="24" t="e">
        <f ca="1"/>
        <v>#REF!</v>
      </c>
      <c r="L552" s="25" t="e">
        <f ca="1"/>
        <v>#REF!</v>
      </c>
      <c r="M552" s="25" t="e">
        <f ca="1"/>
        <v>#REF!</v>
      </c>
      <c r="N552" s="25" t="e">
        <f ca="1"/>
        <v>#REF!</v>
      </c>
      <c r="O552" s="25" t="e">
        <f ca="1"/>
        <v>#REF!</v>
      </c>
      <c r="P552" s="25" t="e">
        <f ca="1"/>
        <v>#REF!</v>
      </c>
      <c r="Q552" s="25" t="e">
        <f ca="1"/>
        <v>#REF!</v>
      </c>
      <c r="R552" s="25" t="e">
        <f ca="1"/>
        <v>#REF!</v>
      </c>
      <c r="S552" s="25" t="e">
        <f ca="1"/>
        <v>#REF!</v>
      </c>
      <c r="T552" s="25" t="e">
        <f ca="1"/>
        <v>#REF!</v>
      </c>
      <c r="U552" s="25" t="e">
        <f ca="1"/>
        <v>#REF!</v>
      </c>
      <c r="V552" s="25" t="e">
        <f ca="1"/>
        <v>#REF!</v>
      </c>
      <c r="W552" s="33" t="e">
        <f ca="1"/>
        <v>#REF!</v>
      </c>
      <c r="X552" s="33" t="e">
        <f ca="1"/>
        <v>#REF!</v>
      </c>
      <c r="Y552" s="33" t="e">
        <f ca="1"/>
        <v>#REF!</v>
      </c>
      <c r="Z552" s="33" t="e">
        <f ca="1"/>
        <v>#REF!</v>
      </c>
      <c r="AA552" s="33" t="e">
        <f ca="1"/>
        <v>#REF!</v>
      </c>
    </row>
    <row r="553" spans="1:27" s="70" customFormat="1" ht="11.25" x14ac:dyDescent="0.2">
      <c r="A553" s="24">
        <v>547</v>
      </c>
      <c r="B553" s="24"/>
      <c r="C553" s="25"/>
      <c r="D553" s="26"/>
      <c r="E553" s="25"/>
      <c r="F553" s="25"/>
      <c r="G553" s="24"/>
      <c r="H553" s="25" t="e">
        <f ca="1"/>
        <v>#REF!</v>
      </c>
      <c r="I553" s="24" t="e">
        <f ca="1"/>
        <v>#REF!</v>
      </c>
      <c r="J553" s="25" t="e">
        <f ca="1"/>
        <v>#REF!</v>
      </c>
      <c r="K553" s="24" t="e">
        <f ca="1"/>
        <v>#REF!</v>
      </c>
      <c r="L553" s="25" t="e">
        <f ca="1"/>
        <v>#REF!</v>
      </c>
      <c r="M553" s="25" t="e">
        <f ca="1"/>
        <v>#REF!</v>
      </c>
      <c r="N553" s="25" t="e">
        <f ca="1"/>
        <v>#REF!</v>
      </c>
      <c r="O553" s="25" t="e">
        <f ca="1"/>
        <v>#REF!</v>
      </c>
      <c r="P553" s="25" t="e">
        <f ca="1"/>
        <v>#REF!</v>
      </c>
      <c r="Q553" s="25" t="e">
        <f ca="1"/>
        <v>#REF!</v>
      </c>
      <c r="R553" s="25" t="e">
        <f ca="1"/>
        <v>#REF!</v>
      </c>
      <c r="S553" s="25" t="e">
        <f ca="1"/>
        <v>#REF!</v>
      </c>
      <c r="T553" s="25" t="e">
        <f ca="1"/>
        <v>#REF!</v>
      </c>
      <c r="U553" s="25" t="e">
        <f ca="1"/>
        <v>#REF!</v>
      </c>
      <c r="V553" s="25" t="e">
        <f ca="1"/>
        <v>#REF!</v>
      </c>
      <c r="W553" s="33" t="e">
        <f ca="1"/>
        <v>#REF!</v>
      </c>
      <c r="X553" s="33" t="e">
        <f ca="1"/>
        <v>#REF!</v>
      </c>
      <c r="Y553" s="33" t="e">
        <f ca="1"/>
        <v>#REF!</v>
      </c>
      <c r="Z553" s="33" t="e">
        <f ca="1"/>
        <v>#REF!</v>
      </c>
      <c r="AA553" s="33" t="e">
        <f ca="1"/>
        <v>#REF!</v>
      </c>
    </row>
    <row r="554" spans="1:27" s="70" customFormat="1" ht="11.25" x14ac:dyDescent="0.2">
      <c r="A554" s="24">
        <v>548</v>
      </c>
      <c r="B554" s="24"/>
      <c r="C554" s="25"/>
      <c r="D554" s="26"/>
      <c r="E554" s="25"/>
      <c r="F554" s="25"/>
      <c r="G554" s="24"/>
      <c r="H554" s="25" t="e">
        <f ca="1"/>
        <v>#REF!</v>
      </c>
      <c r="I554" s="24" t="e">
        <f ca="1"/>
        <v>#REF!</v>
      </c>
      <c r="J554" s="25" t="e">
        <f ca="1"/>
        <v>#REF!</v>
      </c>
      <c r="K554" s="24" t="e">
        <f ca="1"/>
        <v>#REF!</v>
      </c>
      <c r="L554" s="25" t="e">
        <f ca="1"/>
        <v>#REF!</v>
      </c>
      <c r="M554" s="25" t="e">
        <f ca="1"/>
        <v>#REF!</v>
      </c>
      <c r="N554" s="25" t="e">
        <f ca="1"/>
        <v>#REF!</v>
      </c>
      <c r="O554" s="25" t="e">
        <f ca="1"/>
        <v>#REF!</v>
      </c>
      <c r="P554" s="25" t="e">
        <f ca="1"/>
        <v>#REF!</v>
      </c>
      <c r="Q554" s="25" t="e">
        <f ca="1"/>
        <v>#REF!</v>
      </c>
      <c r="R554" s="25" t="e">
        <f ca="1"/>
        <v>#REF!</v>
      </c>
      <c r="S554" s="25" t="e">
        <f ca="1"/>
        <v>#REF!</v>
      </c>
      <c r="T554" s="25" t="e">
        <f ca="1"/>
        <v>#REF!</v>
      </c>
      <c r="U554" s="25" t="e">
        <f ca="1"/>
        <v>#REF!</v>
      </c>
      <c r="V554" s="25" t="e">
        <f ca="1"/>
        <v>#REF!</v>
      </c>
      <c r="W554" s="33" t="e">
        <f ca="1"/>
        <v>#REF!</v>
      </c>
      <c r="X554" s="33" t="e">
        <f ca="1"/>
        <v>#REF!</v>
      </c>
      <c r="Y554" s="33" t="e">
        <f ca="1"/>
        <v>#REF!</v>
      </c>
      <c r="Z554" s="33" t="e">
        <f ca="1"/>
        <v>#REF!</v>
      </c>
      <c r="AA554" s="33" t="e">
        <f ca="1"/>
        <v>#REF!</v>
      </c>
    </row>
    <row r="555" spans="1:27" s="70" customFormat="1" ht="11.25" x14ac:dyDescent="0.2">
      <c r="A555" s="24">
        <v>549</v>
      </c>
      <c r="B555" s="24"/>
      <c r="C555" s="25"/>
      <c r="D555" s="26"/>
      <c r="E555" s="25"/>
      <c r="F555" s="25"/>
      <c r="G555" s="24"/>
      <c r="H555" s="25" t="e">
        <f ca="1"/>
        <v>#REF!</v>
      </c>
      <c r="I555" s="24" t="e">
        <f ca="1"/>
        <v>#REF!</v>
      </c>
      <c r="J555" s="25" t="e">
        <f ca="1"/>
        <v>#REF!</v>
      </c>
      <c r="K555" s="24" t="e">
        <f ca="1"/>
        <v>#REF!</v>
      </c>
      <c r="L555" s="25" t="e">
        <f ca="1"/>
        <v>#REF!</v>
      </c>
      <c r="M555" s="25" t="e">
        <f ca="1"/>
        <v>#REF!</v>
      </c>
      <c r="N555" s="25" t="e">
        <f ca="1"/>
        <v>#REF!</v>
      </c>
      <c r="O555" s="25" t="e">
        <f ca="1"/>
        <v>#REF!</v>
      </c>
      <c r="P555" s="25" t="e">
        <f ca="1"/>
        <v>#REF!</v>
      </c>
      <c r="Q555" s="25" t="e">
        <f ca="1"/>
        <v>#REF!</v>
      </c>
      <c r="R555" s="25" t="e">
        <f ca="1"/>
        <v>#REF!</v>
      </c>
      <c r="S555" s="25" t="e">
        <f ca="1"/>
        <v>#REF!</v>
      </c>
      <c r="T555" s="25" t="e">
        <f ca="1"/>
        <v>#REF!</v>
      </c>
      <c r="U555" s="25" t="e">
        <f ca="1"/>
        <v>#REF!</v>
      </c>
      <c r="V555" s="25" t="e">
        <f ca="1"/>
        <v>#REF!</v>
      </c>
      <c r="W555" s="33" t="e">
        <f ca="1"/>
        <v>#REF!</v>
      </c>
      <c r="X555" s="33" t="e">
        <f ca="1"/>
        <v>#REF!</v>
      </c>
      <c r="Y555" s="33" t="e">
        <f ca="1"/>
        <v>#REF!</v>
      </c>
      <c r="Z555" s="33" t="e">
        <f ca="1"/>
        <v>#REF!</v>
      </c>
      <c r="AA555" s="33" t="e">
        <f ca="1"/>
        <v>#REF!</v>
      </c>
    </row>
    <row r="556" spans="1:27" s="70" customFormat="1" ht="11.25" x14ac:dyDescent="0.2">
      <c r="A556" s="24">
        <v>550</v>
      </c>
      <c r="B556" s="24"/>
      <c r="C556" s="25"/>
      <c r="D556" s="26"/>
      <c r="E556" s="25"/>
      <c r="F556" s="25"/>
      <c r="G556" s="24"/>
      <c r="H556" s="25" t="e">
        <f ca="1"/>
        <v>#REF!</v>
      </c>
      <c r="I556" s="24" t="e">
        <f ca="1"/>
        <v>#REF!</v>
      </c>
      <c r="J556" s="25" t="e">
        <f ca="1"/>
        <v>#REF!</v>
      </c>
      <c r="K556" s="24" t="e">
        <f ca="1"/>
        <v>#REF!</v>
      </c>
      <c r="L556" s="25" t="e">
        <f ca="1"/>
        <v>#REF!</v>
      </c>
      <c r="M556" s="25" t="e">
        <f ca="1"/>
        <v>#REF!</v>
      </c>
      <c r="N556" s="25" t="e">
        <f ca="1"/>
        <v>#REF!</v>
      </c>
      <c r="O556" s="25" t="e">
        <f ca="1"/>
        <v>#REF!</v>
      </c>
      <c r="P556" s="25" t="e">
        <f ca="1"/>
        <v>#REF!</v>
      </c>
      <c r="Q556" s="25" t="e">
        <f ca="1"/>
        <v>#REF!</v>
      </c>
      <c r="R556" s="25" t="e">
        <f ca="1"/>
        <v>#REF!</v>
      </c>
      <c r="S556" s="25" t="e">
        <f ca="1"/>
        <v>#REF!</v>
      </c>
      <c r="T556" s="25" t="e">
        <f ca="1"/>
        <v>#REF!</v>
      </c>
      <c r="U556" s="25" t="e">
        <f ca="1"/>
        <v>#REF!</v>
      </c>
      <c r="V556" s="25" t="e">
        <f ca="1"/>
        <v>#REF!</v>
      </c>
      <c r="W556" s="33" t="e">
        <f ca="1"/>
        <v>#REF!</v>
      </c>
      <c r="X556" s="33" t="e">
        <f ca="1"/>
        <v>#REF!</v>
      </c>
      <c r="Y556" s="33" t="e">
        <f ca="1"/>
        <v>#REF!</v>
      </c>
      <c r="Z556" s="33" t="e">
        <f ca="1"/>
        <v>#REF!</v>
      </c>
      <c r="AA556" s="33" t="e">
        <f ca="1"/>
        <v>#REF!</v>
      </c>
    </row>
    <row r="557" spans="1:27" s="70" customFormat="1" ht="11.25" x14ac:dyDescent="0.2">
      <c r="A557" s="24">
        <v>551</v>
      </c>
      <c r="B557" s="24"/>
      <c r="C557" s="25"/>
      <c r="D557" s="26"/>
      <c r="E557" s="25"/>
      <c r="F557" s="25"/>
      <c r="G557" s="24"/>
      <c r="H557" s="25" t="e">
        <f ca="1"/>
        <v>#REF!</v>
      </c>
      <c r="I557" s="24" t="e">
        <f ca="1"/>
        <v>#REF!</v>
      </c>
      <c r="J557" s="25" t="e">
        <f ca="1"/>
        <v>#REF!</v>
      </c>
      <c r="K557" s="24" t="e">
        <f ca="1"/>
        <v>#REF!</v>
      </c>
      <c r="L557" s="25" t="e">
        <f ca="1"/>
        <v>#REF!</v>
      </c>
      <c r="M557" s="25" t="e">
        <f ca="1"/>
        <v>#REF!</v>
      </c>
      <c r="N557" s="25" t="e">
        <f ca="1"/>
        <v>#REF!</v>
      </c>
      <c r="O557" s="25" t="e">
        <f ca="1"/>
        <v>#REF!</v>
      </c>
      <c r="P557" s="25" t="e">
        <f ca="1"/>
        <v>#REF!</v>
      </c>
      <c r="Q557" s="25" t="e">
        <f ca="1"/>
        <v>#REF!</v>
      </c>
      <c r="R557" s="25" t="e">
        <f ca="1"/>
        <v>#REF!</v>
      </c>
      <c r="S557" s="25" t="e">
        <f ca="1"/>
        <v>#REF!</v>
      </c>
      <c r="T557" s="25" t="e">
        <f ca="1"/>
        <v>#REF!</v>
      </c>
      <c r="U557" s="25" t="e">
        <f ca="1"/>
        <v>#REF!</v>
      </c>
      <c r="V557" s="25" t="e">
        <f ca="1"/>
        <v>#REF!</v>
      </c>
      <c r="W557" s="33" t="e">
        <f ca="1"/>
        <v>#REF!</v>
      </c>
      <c r="X557" s="33" t="e">
        <f ca="1"/>
        <v>#REF!</v>
      </c>
      <c r="Y557" s="33" t="e">
        <f ca="1"/>
        <v>#REF!</v>
      </c>
      <c r="Z557" s="33" t="e">
        <f ca="1"/>
        <v>#REF!</v>
      </c>
      <c r="AA557" s="33" t="e">
        <f ca="1"/>
        <v>#REF!</v>
      </c>
    </row>
    <row r="558" spans="1:27" s="70" customFormat="1" ht="11.25" x14ac:dyDescent="0.2">
      <c r="A558" s="24">
        <v>552</v>
      </c>
      <c r="B558" s="24"/>
      <c r="C558" s="25"/>
      <c r="D558" s="26"/>
      <c r="E558" s="25"/>
      <c r="F558" s="25"/>
      <c r="G558" s="24"/>
      <c r="H558" s="25" t="e">
        <f ca="1"/>
        <v>#REF!</v>
      </c>
      <c r="I558" s="24" t="e">
        <f ca="1"/>
        <v>#REF!</v>
      </c>
      <c r="J558" s="25" t="e">
        <f ca="1"/>
        <v>#REF!</v>
      </c>
      <c r="K558" s="24" t="e">
        <f ca="1"/>
        <v>#REF!</v>
      </c>
      <c r="L558" s="25" t="e">
        <f ca="1"/>
        <v>#REF!</v>
      </c>
      <c r="M558" s="25" t="e">
        <f ca="1"/>
        <v>#REF!</v>
      </c>
      <c r="N558" s="25" t="e">
        <f ca="1"/>
        <v>#REF!</v>
      </c>
      <c r="O558" s="25" t="e">
        <f ca="1"/>
        <v>#REF!</v>
      </c>
      <c r="P558" s="25" t="e">
        <f ca="1"/>
        <v>#REF!</v>
      </c>
      <c r="Q558" s="25" t="e">
        <f ca="1"/>
        <v>#REF!</v>
      </c>
      <c r="R558" s="25" t="e">
        <f ca="1"/>
        <v>#REF!</v>
      </c>
      <c r="S558" s="25" t="e">
        <f ca="1"/>
        <v>#REF!</v>
      </c>
      <c r="T558" s="25" t="e">
        <f ca="1"/>
        <v>#REF!</v>
      </c>
      <c r="U558" s="25" t="e">
        <f ca="1"/>
        <v>#REF!</v>
      </c>
      <c r="V558" s="25" t="e">
        <f ca="1"/>
        <v>#REF!</v>
      </c>
      <c r="W558" s="33" t="e">
        <f ca="1"/>
        <v>#REF!</v>
      </c>
      <c r="X558" s="33" t="e">
        <f ca="1"/>
        <v>#REF!</v>
      </c>
      <c r="Y558" s="33" t="e">
        <f ca="1"/>
        <v>#REF!</v>
      </c>
      <c r="Z558" s="33" t="e">
        <f ca="1"/>
        <v>#REF!</v>
      </c>
      <c r="AA558" s="33" t="e">
        <f ca="1"/>
        <v>#REF!</v>
      </c>
    </row>
    <row r="559" spans="1:27" s="70" customFormat="1" ht="11.25" x14ac:dyDescent="0.2">
      <c r="A559" s="24">
        <v>553</v>
      </c>
      <c r="B559" s="24"/>
      <c r="C559" s="25"/>
      <c r="D559" s="26"/>
      <c r="E559" s="25"/>
      <c r="F559" s="25"/>
      <c r="G559" s="24"/>
      <c r="H559" s="25" t="e">
        <f ca="1"/>
        <v>#REF!</v>
      </c>
      <c r="I559" s="24" t="e">
        <f ca="1"/>
        <v>#REF!</v>
      </c>
      <c r="J559" s="25" t="e">
        <f ca="1"/>
        <v>#REF!</v>
      </c>
      <c r="K559" s="24" t="e">
        <f ca="1"/>
        <v>#REF!</v>
      </c>
      <c r="L559" s="25" t="e">
        <f ca="1"/>
        <v>#REF!</v>
      </c>
      <c r="M559" s="25" t="e">
        <f ca="1"/>
        <v>#REF!</v>
      </c>
      <c r="N559" s="25" t="e">
        <f ca="1"/>
        <v>#REF!</v>
      </c>
      <c r="O559" s="25" t="e">
        <f ca="1"/>
        <v>#REF!</v>
      </c>
      <c r="P559" s="25" t="e">
        <f ca="1"/>
        <v>#REF!</v>
      </c>
      <c r="Q559" s="25" t="e">
        <f ca="1"/>
        <v>#REF!</v>
      </c>
      <c r="R559" s="25" t="e">
        <f ca="1"/>
        <v>#REF!</v>
      </c>
      <c r="S559" s="25" t="e">
        <f ca="1"/>
        <v>#REF!</v>
      </c>
      <c r="T559" s="25" t="e">
        <f ca="1"/>
        <v>#REF!</v>
      </c>
      <c r="U559" s="25" t="e">
        <f ca="1"/>
        <v>#REF!</v>
      </c>
      <c r="V559" s="25" t="e">
        <f ca="1"/>
        <v>#REF!</v>
      </c>
      <c r="W559" s="33" t="e">
        <f ca="1"/>
        <v>#REF!</v>
      </c>
      <c r="X559" s="33" t="e">
        <f ca="1"/>
        <v>#REF!</v>
      </c>
      <c r="Y559" s="33" t="e">
        <f ca="1"/>
        <v>#REF!</v>
      </c>
      <c r="Z559" s="33" t="e">
        <f ca="1"/>
        <v>#REF!</v>
      </c>
      <c r="AA559" s="33" t="e">
        <f ca="1"/>
        <v>#REF!</v>
      </c>
    </row>
    <row r="560" spans="1:27" s="70" customFormat="1" ht="11.25" x14ac:dyDescent="0.2">
      <c r="A560" s="24">
        <v>554</v>
      </c>
      <c r="B560" s="24"/>
      <c r="C560" s="25"/>
      <c r="D560" s="26"/>
      <c r="E560" s="25"/>
      <c r="F560" s="25"/>
      <c r="G560" s="24"/>
      <c r="H560" s="25" t="e">
        <f ca="1"/>
        <v>#REF!</v>
      </c>
      <c r="I560" s="24" t="e">
        <f ca="1"/>
        <v>#REF!</v>
      </c>
      <c r="J560" s="25" t="e">
        <f ca="1"/>
        <v>#REF!</v>
      </c>
      <c r="K560" s="24" t="e">
        <f ca="1"/>
        <v>#REF!</v>
      </c>
      <c r="L560" s="25" t="e">
        <f ca="1"/>
        <v>#REF!</v>
      </c>
      <c r="M560" s="25" t="e">
        <f ca="1"/>
        <v>#REF!</v>
      </c>
      <c r="N560" s="25" t="e">
        <f ca="1"/>
        <v>#REF!</v>
      </c>
      <c r="O560" s="25" t="e">
        <f ca="1"/>
        <v>#REF!</v>
      </c>
      <c r="P560" s="25" t="e">
        <f ca="1"/>
        <v>#REF!</v>
      </c>
      <c r="Q560" s="25" t="e">
        <f ca="1"/>
        <v>#REF!</v>
      </c>
      <c r="R560" s="25" t="e">
        <f ca="1"/>
        <v>#REF!</v>
      </c>
      <c r="S560" s="25" t="e">
        <f ca="1"/>
        <v>#REF!</v>
      </c>
      <c r="T560" s="25" t="e">
        <f ca="1"/>
        <v>#REF!</v>
      </c>
      <c r="U560" s="25" t="e">
        <f ca="1"/>
        <v>#REF!</v>
      </c>
      <c r="V560" s="25" t="e">
        <f ca="1"/>
        <v>#REF!</v>
      </c>
      <c r="W560" s="33" t="e">
        <f ca="1"/>
        <v>#REF!</v>
      </c>
      <c r="X560" s="33" t="e">
        <f ca="1"/>
        <v>#REF!</v>
      </c>
      <c r="Y560" s="33" t="e">
        <f ca="1"/>
        <v>#REF!</v>
      </c>
      <c r="Z560" s="33" t="e">
        <f ca="1"/>
        <v>#REF!</v>
      </c>
      <c r="AA560" s="33" t="e">
        <f ca="1"/>
        <v>#REF!</v>
      </c>
    </row>
    <row r="561" spans="1:27" s="70" customFormat="1" ht="11.25" x14ac:dyDescent="0.2">
      <c r="A561" s="24">
        <v>555</v>
      </c>
      <c r="B561" s="24"/>
      <c r="C561" s="25"/>
      <c r="D561" s="26"/>
      <c r="E561" s="25"/>
      <c r="F561" s="25"/>
      <c r="G561" s="24"/>
      <c r="H561" s="25" t="e">
        <f ca="1"/>
        <v>#REF!</v>
      </c>
      <c r="I561" s="24" t="e">
        <f ca="1"/>
        <v>#REF!</v>
      </c>
      <c r="J561" s="25" t="e">
        <f ca="1"/>
        <v>#REF!</v>
      </c>
      <c r="K561" s="24" t="e">
        <f ca="1"/>
        <v>#REF!</v>
      </c>
      <c r="L561" s="25" t="e">
        <f ca="1"/>
        <v>#REF!</v>
      </c>
      <c r="M561" s="25" t="e">
        <f ca="1"/>
        <v>#REF!</v>
      </c>
      <c r="N561" s="25" t="e">
        <f ca="1"/>
        <v>#REF!</v>
      </c>
      <c r="O561" s="25" t="e">
        <f ca="1"/>
        <v>#REF!</v>
      </c>
      <c r="P561" s="25" t="e">
        <f ca="1"/>
        <v>#REF!</v>
      </c>
      <c r="Q561" s="25" t="e">
        <f ca="1"/>
        <v>#REF!</v>
      </c>
      <c r="R561" s="25" t="e">
        <f ca="1"/>
        <v>#REF!</v>
      </c>
      <c r="S561" s="25" t="e">
        <f ca="1"/>
        <v>#REF!</v>
      </c>
      <c r="T561" s="25" t="e">
        <f ca="1"/>
        <v>#REF!</v>
      </c>
      <c r="U561" s="25" t="e">
        <f ca="1"/>
        <v>#REF!</v>
      </c>
      <c r="V561" s="25" t="e">
        <f ca="1"/>
        <v>#REF!</v>
      </c>
      <c r="W561" s="33" t="e">
        <f ca="1"/>
        <v>#REF!</v>
      </c>
      <c r="X561" s="33" t="e">
        <f ca="1"/>
        <v>#REF!</v>
      </c>
      <c r="Y561" s="33" t="e">
        <f ca="1"/>
        <v>#REF!</v>
      </c>
      <c r="Z561" s="33" t="e">
        <f ca="1"/>
        <v>#REF!</v>
      </c>
      <c r="AA561" s="33" t="e">
        <f ca="1"/>
        <v>#REF!</v>
      </c>
    </row>
    <row r="562" spans="1:27" s="70" customFormat="1" ht="11.25" x14ac:dyDescent="0.2">
      <c r="A562" s="24">
        <v>556</v>
      </c>
      <c r="B562" s="24"/>
      <c r="C562" s="25"/>
      <c r="D562" s="26"/>
      <c r="E562" s="25"/>
      <c r="F562" s="25"/>
      <c r="G562" s="24"/>
      <c r="H562" s="25" t="e">
        <f ca="1"/>
        <v>#REF!</v>
      </c>
      <c r="I562" s="24" t="e">
        <f ca="1"/>
        <v>#REF!</v>
      </c>
      <c r="J562" s="25" t="e">
        <f ca="1"/>
        <v>#REF!</v>
      </c>
      <c r="K562" s="24" t="e">
        <f ca="1"/>
        <v>#REF!</v>
      </c>
      <c r="L562" s="25" t="e">
        <f ca="1"/>
        <v>#REF!</v>
      </c>
      <c r="M562" s="25" t="e">
        <f ca="1"/>
        <v>#REF!</v>
      </c>
      <c r="N562" s="25" t="e">
        <f ca="1"/>
        <v>#REF!</v>
      </c>
      <c r="O562" s="25" t="e">
        <f ca="1"/>
        <v>#REF!</v>
      </c>
      <c r="P562" s="25" t="e">
        <f ca="1"/>
        <v>#REF!</v>
      </c>
      <c r="Q562" s="25" t="e">
        <f ca="1"/>
        <v>#REF!</v>
      </c>
      <c r="R562" s="25" t="e">
        <f ca="1"/>
        <v>#REF!</v>
      </c>
      <c r="S562" s="25" t="e">
        <f ca="1"/>
        <v>#REF!</v>
      </c>
      <c r="T562" s="25" t="e">
        <f ca="1"/>
        <v>#REF!</v>
      </c>
      <c r="U562" s="25" t="e">
        <f ca="1"/>
        <v>#REF!</v>
      </c>
      <c r="V562" s="25" t="e">
        <f ca="1"/>
        <v>#REF!</v>
      </c>
      <c r="W562" s="33" t="e">
        <f ca="1"/>
        <v>#REF!</v>
      </c>
      <c r="X562" s="33" t="e">
        <f ca="1"/>
        <v>#REF!</v>
      </c>
      <c r="Y562" s="33" t="e">
        <f ca="1"/>
        <v>#REF!</v>
      </c>
      <c r="Z562" s="33" t="e">
        <f ca="1"/>
        <v>#REF!</v>
      </c>
      <c r="AA562" s="33" t="e">
        <f ca="1"/>
        <v>#REF!</v>
      </c>
    </row>
    <row r="563" spans="1:27" s="70" customFormat="1" ht="11.25" x14ac:dyDescent="0.2">
      <c r="A563" s="24">
        <v>557</v>
      </c>
      <c r="B563" s="24"/>
      <c r="C563" s="25"/>
      <c r="D563" s="26"/>
      <c r="E563" s="25"/>
      <c r="F563" s="25"/>
      <c r="G563" s="24"/>
      <c r="H563" s="25" t="e">
        <f ca="1"/>
        <v>#REF!</v>
      </c>
      <c r="I563" s="24" t="e">
        <f ca="1"/>
        <v>#REF!</v>
      </c>
      <c r="J563" s="25" t="e">
        <f ca="1"/>
        <v>#REF!</v>
      </c>
      <c r="K563" s="24" t="e">
        <f ca="1"/>
        <v>#REF!</v>
      </c>
      <c r="L563" s="25" t="e">
        <f ca="1"/>
        <v>#REF!</v>
      </c>
      <c r="M563" s="25" t="e">
        <f ca="1"/>
        <v>#REF!</v>
      </c>
      <c r="N563" s="25" t="e">
        <f ca="1"/>
        <v>#REF!</v>
      </c>
      <c r="O563" s="25" t="e">
        <f ca="1"/>
        <v>#REF!</v>
      </c>
      <c r="P563" s="25" t="e">
        <f ca="1"/>
        <v>#REF!</v>
      </c>
      <c r="Q563" s="25" t="e">
        <f ca="1"/>
        <v>#REF!</v>
      </c>
      <c r="R563" s="25" t="e">
        <f ca="1"/>
        <v>#REF!</v>
      </c>
      <c r="S563" s="25" t="e">
        <f ca="1"/>
        <v>#REF!</v>
      </c>
      <c r="T563" s="25" t="e">
        <f ca="1"/>
        <v>#REF!</v>
      </c>
      <c r="U563" s="25" t="e">
        <f ca="1"/>
        <v>#REF!</v>
      </c>
      <c r="V563" s="25" t="e">
        <f ca="1"/>
        <v>#REF!</v>
      </c>
      <c r="W563" s="33" t="e">
        <f ca="1"/>
        <v>#REF!</v>
      </c>
      <c r="X563" s="33" t="e">
        <f ca="1"/>
        <v>#REF!</v>
      </c>
      <c r="Y563" s="33" t="e">
        <f ca="1"/>
        <v>#REF!</v>
      </c>
      <c r="Z563" s="33" t="e">
        <f ca="1"/>
        <v>#REF!</v>
      </c>
      <c r="AA563" s="33" t="e">
        <f ca="1"/>
        <v>#REF!</v>
      </c>
    </row>
    <row r="564" spans="1:27" s="70" customFormat="1" ht="11.25" x14ac:dyDescent="0.2">
      <c r="A564" s="24">
        <v>558</v>
      </c>
      <c r="B564" s="24"/>
      <c r="C564" s="25"/>
      <c r="D564" s="26"/>
      <c r="E564" s="25"/>
      <c r="F564" s="25"/>
      <c r="G564" s="24"/>
      <c r="H564" s="25" t="e">
        <f ca="1"/>
        <v>#REF!</v>
      </c>
      <c r="I564" s="24" t="e">
        <f ca="1"/>
        <v>#REF!</v>
      </c>
      <c r="J564" s="25" t="e">
        <f ca="1"/>
        <v>#REF!</v>
      </c>
      <c r="K564" s="24" t="e">
        <f ca="1"/>
        <v>#REF!</v>
      </c>
      <c r="L564" s="25" t="e">
        <f ca="1"/>
        <v>#REF!</v>
      </c>
      <c r="M564" s="25" t="e">
        <f ca="1"/>
        <v>#REF!</v>
      </c>
      <c r="N564" s="25" t="e">
        <f ca="1"/>
        <v>#REF!</v>
      </c>
      <c r="O564" s="25" t="e">
        <f ca="1"/>
        <v>#REF!</v>
      </c>
      <c r="P564" s="25" t="e">
        <f ca="1"/>
        <v>#REF!</v>
      </c>
      <c r="Q564" s="25" t="e">
        <f ca="1"/>
        <v>#REF!</v>
      </c>
      <c r="R564" s="25" t="e">
        <f ca="1"/>
        <v>#REF!</v>
      </c>
      <c r="S564" s="25" t="e">
        <f ca="1"/>
        <v>#REF!</v>
      </c>
      <c r="T564" s="25" t="e">
        <f ca="1"/>
        <v>#REF!</v>
      </c>
      <c r="U564" s="25" t="e">
        <f ca="1"/>
        <v>#REF!</v>
      </c>
      <c r="V564" s="25" t="e">
        <f ca="1"/>
        <v>#REF!</v>
      </c>
      <c r="W564" s="33" t="e">
        <f ca="1"/>
        <v>#REF!</v>
      </c>
      <c r="X564" s="33" t="e">
        <f ca="1"/>
        <v>#REF!</v>
      </c>
      <c r="Y564" s="33" t="e">
        <f ca="1"/>
        <v>#REF!</v>
      </c>
      <c r="Z564" s="33" t="e">
        <f ca="1"/>
        <v>#REF!</v>
      </c>
      <c r="AA564" s="33" t="e">
        <f ca="1"/>
        <v>#REF!</v>
      </c>
    </row>
    <row r="565" spans="1:27" s="70" customFormat="1" ht="11.25" x14ac:dyDescent="0.2">
      <c r="A565" s="24">
        <v>559</v>
      </c>
      <c r="B565" s="24"/>
      <c r="C565" s="25"/>
      <c r="D565" s="26"/>
      <c r="E565" s="25"/>
      <c r="F565" s="25"/>
      <c r="G565" s="24"/>
      <c r="H565" s="25" t="e">
        <f ca="1"/>
        <v>#REF!</v>
      </c>
      <c r="I565" s="24" t="e">
        <f ca="1"/>
        <v>#REF!</v>
      </c>
      <c r="J565" s="25" t="e">
        <f ca="1"/>
        <v>#REF!</v>
      </c>
      <c r="K565" s="24" t="e">
        <f ca="1"/>
        <v>#REF!</v>
      </c>
      <c r="L565" s="25" t="e">
        <f ca="1"/>
        <v>#REF!</v>
      </c>
      <c r="M565" s="25" t="e">
        <f ca="1"/>
        <v>#REF!</v>
      </c>
      <c r="N565" s="25" t="e">
        <f ca="1"/>
        <v>#REF!</v>
      </c>
      <c r="O565" s="25" t="e">
        <f ca="1"/>
        <v>#REF!</v>
      </c>
      <c r="P565" s="25" t="e">
        <f ca="1"/>
        <v>#REF!</v>
      </c>
      <c r="Q565" s="25" t="e">
        <f ca="1"/>
        <v>#REF!</v>
      </c>
      <c r="R565" s="25" t="e">
        <f ca="1"/>
        <v>#REF!</v>
      </c>
      <c r="S565" s="25" t="e">
        <f ca="1"/>
        <v>#REF!</v>
      </c>
      <c r="T565" s="25" t="e">
        <f ca="1"/>
        <v>#REF!</v>
      </c>
      <c r="U565" s="25" t="e">
        <f ca="1"/>
        <v>#REF!</v>
      </c>
      <c r="V565" s="25" t="e">
        <f ca="1"/>
        <v>#REF!</v>
      </c>
      <c r="W565" s="33" t="e">
        <f ca="1"/>
        <v>#REF!</v>
      </c>
      <c r="X565" s="33" t="e">
        <f ca="1"/>
        <v>#REF!</v>
      </c>
      <c r="Y565" s="33" t="e">
        <f ca="1"/>
        <v>#REF!</v>
      </c>
      <c r="Z565" s="33" t="e">
        <f ca="1"/>
        <v>#REF!</v>
      </c>
      <c r="AA565" s="33" t="e">
        <f ca="1"/>
        <v>#REF!</v>
      </c>
    </row>
    <row r="566" spans="1:27" s="70" customFormat="1" ht="11.25" x14ac:dyDescent="0.2">
      <c r="A566" s="24">
        <v>560</v>
      </c>
      <c r="B566" s="24"/>
      <c r="C566" s="25"/>
      <c r="D566" s="26"/>
      <c r="E566" s="25"/>
      <c r="F566" s="25"/>
      <c r="G566" s="24"/>
      <c r="H566" s="25" t="e">
        <f ca="1"/>
        <v>#REF!</v>
      </c>
      <c r="I566" s="24" t="e">
        <f ca="1"/>
        <v>#REF!</v>
      </c>
      <c r="J566" s="25" t="e">
        <f ca="1"/>
        <v>#REF!</v>
      </c>
      <c r="K566" s="24" t="e">
        <f ca="1"/>
        <v>#REF!</v>
      </c>
      <c r="L566" s="25" t="e">
        <f ca="1"/>
        <v>#REF!</v>
      </c>
      <c r="M566" s="25" t="e">
        <f ca="1"/>
        <v>#REF!</v>
      </c>
      <c r="N566" s="25" t="e">
        <f ca="1"/>
        <v>#REF!</v>
      </c>
      <c r="O566" s="25" t="e">
        <f ca="1"/>
        <v>#REF!</v>
      </c>
      <c r="P566" s="25" t="e">
        <f ca="1"/>
        <v>#REF!</v>
      </c>
      <c r="Q566" s="25" t="e">
        <f ca="1"/>
        <v>#REF!</v>
      </c>
      <c r="R566" s="25" t="e">
        <f ca="1"/>
        <v>#REF!</v>
      </c>
      <c r="S566" s="25" t="e">
        <f ca="1"/>
        <v>#REF!</v>
      </c>
      <c r="T566" s="25" t="e">
        <f ca="1"/>
        <v>#REF!</v>
      </c>
      <c r="U566" s="25" t="e">
        <f ca="1"/>
        <v>#REF!</v>
      </c>
      <c r="V566" s="25" t="e">
        <f ca="1"/>
        <v>#REF!</v>
      </c>
      <c r="W566" s="33" t="e">
        <f ca="1"/>
        <v>#REF!</v>
      </c>
      <c r="X566" s="33" t="e">
        <f ca="1"/>
        <v>#REF!</v>
      </c>
      <c r="Y566" s="33" t="e">
        <f ca="1"/>
        <v>#REF!</v>
      </c>
      <c r="Z566" s="33" t="e">
        <f ca="1"/>
        <v>#REF!</v>
      </c>
      <c r="AA566" s="33" t="e">
        <f ca="1"/>
        <v>#REF!</v>
      </c>
    </row>
    <row r="567" spans="1:27" s="70" customFormat="1" ht="11.25" x14ac:dyDescent="0.2">
      <c r="A567" s="24">
        <v>561</v>
      </c>
      <c r="B567" s="24"/>
      <c r="C567" s="25"/>
      <c r="D567" s="26"/>
      <c r="E567" s="25"/>
      <c r="F567" s="25"/>
      <c r="G567" s="24"/>
      <c r="H567" s="25" t="e">
        <f ca="1"/>
        <v>#REF!</v>
      </c>
      <c r="I567" s="27" t="e">
        <f ca="1"/>
        <v>#REF!</v>
      </c>
      <c r="J567" s="28" t="e">
        <f ca="1"/>
        <v>#REF!</v>
      </c>
      <c r="K567" s="27" t="e">
        <f ca="1"/>
        <v>#REF!</v>
      </c>
      <c r="L567" s="25" t="e">
        <f ca="1"/>
        <v>#REF!</v>
      </c>
      <c r="M567" s="25" t="e">
        <f ca="1"/>
        <v>#REF!</v>
      </c>
      <c r="N567" s="25" t="e">
        <f ca="1"/>
        <v>#REF!</v>
      </c>
      <c r="O567" s="25" t="e">
        <f ca="1"/>
        <v>#REF!</v>
      </c>
      <c r="P567" s="25" t="e">
        <f ca="1"/>
        <v>#REF!</v>
      </c>
      <c r="Q567" s="25" t="e">
        <f ca="1"/>
        <v>#REF!</v>
      </c>
      <c r="R567" s="25" t="e">
        <f ca="1"/>
        <v>#REF!</v>
      </c>
      <c r="S567" s="25" t="e">
        <f ca="1"/>
        <v>#REF!</v>
      </c>
      <c r="T567" s="25" t="e">
        <f ca="1"/>
        <v>#REF!</v>
      </c>
      <c r="U567" s="25" t="e">
        <f ca="1"/>
        <v>#REF!</v>
      </c>
      <c r="V567" s="25" t="e">
        <f ca="1"/>
        <v>#REF!</v>
      </c>
      <c r="W567" s="33" t="e">
        <f ca="1"/>
        <v>#REF!</v>
      </c>
      <c r="X567" s="33" t="e">
        <f ca="1"/>
        <v>#REF!</v>
      </c>
      <c r="Y567" s="33" t="e">
        <f ca="1"/>
        <v>#REF!</v>
      </c>
      <c r="Z567" s="33" t="e">
        <f ca="1"/>
        <v>#REF!</v>
      </c>
      <c r="AA567" s="33" t="e">
        <f ca="1"/>
        <v>#REF!</v>
      </c>
    </row>
    <row r="568" spans="1:27" s="70" customFormat="1" ht="11.25" x14ac:dyDescent="0.2">
      <c r="A568" s="24">
        <v>562</v>
      </c>
      <c r="B568" s="24"/>
      <c r="C568" s="25"/>
      <c r="D568" s="26"/>
      <c r="E568" s="25"/>
      <c r="F568" s="25"/>
      <c r="G568" s="24"/>
      <c r="H568" s="25" t="e">
        <f ca="1"/>
        <v>#REF!</v>
      </c>
      <c r="I568" s="27" t="e">
        <f ca="1"/>
        <v>#REF!</v>
      </c>
      <c r="J568" s="28" t="e">
        <f ca="1"/>
        <v>#REF!</v>
      </c>
      <c r="K568" s="27" t="e">
        <f ca="1"/>
        <v>#REF!</v>
      </c>
      <c r="L568" s="25" t="e">
        <f ca="1"/>
        <v>#REF!</v>
      </c>
      <c r="M568" s="25" t="e">
        <f ca="1"/>
        <v>#REF!</v>
      </c>
      <c r="N568" s="25" t="e">
        <f ca="1"/>
        <v>#REF!</v>
      </c>
      <c r="O568" s="25" t="e">
        <f ca="1"/>
        <v>#REF!</v>
      </c>
      <c r="P568" s="25" t="e">
        <f ca="1"/>
        <v>#REF!</v>
      </c>
      <c r="Q568" s="25" t="e">
        <f ca="1"/>
        <v>#REF!</v>
      </c>
      <c r="R568" s="25" t="e">
        <f ca="1"/>
        <v>#REF!</v>
      </c>
      <c r="S568" s="25" t="e">
        <f ca="1"/>
        <v>#REF!</v>
      </c>
      <c r="T568" s="25" t="e">
        <f ca="1"/>
        <v>#REF!</v>
      </c>
      <c r="U568" s="25" t="e">
        <f ca="1"/>
        <v>#REF!</v>
      </c>
      <c r="V568" s="25" t="e">
        <f ca="1"/>
        <v>#REF!</v>
      </c>
      <c r="W568" s="33" t="e">
        <f ca="1"/>
        <v>#REF!</v>
      </c>
      <c r="X568" s="33" t="e">
        <f ca="1"/>
        <v>#REF!</v>
      </c>
      <c r="Y568" s="33" t="e">
        <f ca="1"/>
        <v>#REF!</v>
      </c>
      <c r="Z568" s="33" t="e">
        <f ca="1"/>
        <v>#REF!</v>
      </c>
      <c r="AA568" s="33" t="e">
        <f ca="1"/>
        <v>#REF!</v>
      </c>
    </row>
    <row r="569" spans="1:27" s="70" customFormat="1" ht="11.25" x14ac:dyDescent="0.2">
      <c r="A569" s="24">
        <v>563</v>
      </c>
      <c r="B569" s="24"/>
      <c r="C569" s="25"/>
      <c r="D569" s="26"/>
      <c r="E569" s="25"/>
      <c r="F569" s="25"/>
      <c r="G569" s="24"/>
      <c r="H569" s="25" t="e">
        <f ca="1"/>
        <v>#REF!</v>
      </c>
      <c r="I569" s="27" t="e">
        <f ca="1"/>
        <v>#REF!</v>
      </c>
      <c r="J569" s="28" t="e">
        <f ca="1"/>
        <v>#REF!</v>
      </c>
      <c r="K569" s="27" t="e">
        <f ca="1"/>
        <v>#REF!</v>
      </c>
      <c r="L569" s="25" t="e">
        <f ca="1"/>
        <v>#REF!</v>
      </c>
      <c r="M569" s="25" t="e">
        <f ca="1"/>
        <v>#REF!</v>
      </c>
      <c r="N569" s="25" t="e">
        <f ca="1"/>
        <v>#REF!</v>
      </c>
      <c r="O569" s="25" t="e">
        <f ca="1"/>
        <v>#REF!</v>
      </c>
      <c r="P569" s="25" t="e">
        <f ca="1"/>
        <v>#REF!</v>
      </c>
      <c r="Q569" s="25" t="e">
        <f ca="1"/>
        <v>#REF!</v>
      </c>
      <c r="R569" s="25" t="e">
        <f ca="1"/>
        <v>#REF!</v>
      </c>
      <c r="S569" s="25" t="e">
        <f ca="1"/>
        <v>#REF!</v>
      </c>
      <c r="T569" s="25" t="e">
        <f ca="1"/>
        <v>#REF!</v>
      </c>
      <c r="U569" s="25" t="e">
        <f ca="1"/>
        <v>#REF!</v>
      </c>
      <c r="V569" s="25" t="e">
        <f ca="1"/>
        <v>#REF!</v>
      </c>
      <c r="W569" s="33" t="e">
        <f ca="1"/>
        <v>#REF!</v>
      </c>
      <c r="X569" s="33" t="e">
        <f ca="1"/>
        <v>#REF!</v>
      </c>
      <c r="Y569" s="33" t="e">
        <f ca="1"/>
        <v>#REF!</v>
      </c>
      <c r="Z569" s="33" t="e">
        <f ca="1"/>
        <v>#REF!</v>
      </c>
      <c r="AA569" s="33" t="e">
        <f ca="1"/>
        <v>#REF!</v>
      </c>
    </row>
    <row r="570" spans="1:27" s="70" customFormat="1" ht="11.25" x14ac:dyDescent="0.2">
      <c r="A570" s="24">
        <v>564</v>
      </c>
      <c r="B570" s="24"/>
      <c r="C570" s="25"/>
      <c r="D570" s="26"/>
      <c r="E570" s="25"/>
      <c r="F570" s="25"/>
      <c r="G570" s="24"/>
      <c r="H570" s="25" t="e">
        <f ca="1"/>
        <v>#REF!</v>
      </c>
      <c r="I570" s="27" t="e">
        <f ca="1"/>
        <v>#REF!</v>
      </c>
      <c r="J570" s="28" t="e">
        <f ca="1"/>
        <v>#REF!</v>
      </c>
      <c r="K570" s="27" t="e">
        <f ca="1"/>
        <v>#REF!</v>
      </c>
      <c r="L570" s="25" t="e">
        <f ca="1"/>
        <v>#REF!</v>
      </c>
      <c r="M570" s="25" t="e">
        <f ca="1"/>
        <v>#REF!</v>
      </c>
      <c r="N570" s="25" t="e">
        <f ca="1"/>
        <v>#REF!</v>
      </c>
      <c r="O570" s="25" t="e">
        <f ca="1"/>
        <v>#REF!</v>
      </c>
      <c r="P570" s="25" t="e">
        <f ca="1"/>
        <v>#REF!</v>
      </c>
      <c r="Q570" s="25" t="e">
        <f ca="1"/>
        <v>#REF!</v>
      </c>
      <c r="R570" s="25" t="e">
        <f ca="1"/>
        <v>#REF!</v>
      </c>
      <c r="S570" s="25" t="e">
        <f ca="1"/>
        <v>#REF!</v>
      </c>
      <c r="T570" s="25" t="e">
        <f ca="1"/>
        <v>#REF!</v>
      </c>
      <c r="U570" s="25" t="e">
        <f ca="1"/>
        <v>#REF!</v>
      </c>
      <c r="V570" s="25" t="e">
        <f ca="1"/>
        <v>#REF!</v>
      </c>
      <c r="W570" s="33" t="e">
        <f ca="1"/>
        <v>#REF!</v>
      </c>
      <c r="X570" s="33" t="e">
        <f ca="1"/>
        <v>#REF!</v>
      </c>
      <c r="Y570" s="33" t="e">
        <f ca="1"/>
        <v>#REF!</v>
      </c>
      <c r="Z570" s="33" t="e">
        <f ca="1"/>
        <v>#REF!</v>
      </c>
      <c r="AA570" s="33" t="e">
        <f ca="1"/>
        <v>#REF!</v>
      </c>
    </row>
    <row r="571" spans="1:27" s="70" customFormat="1" ht="11.25" x14ac:dyDescent="0.2">
      <c r="A571" s="24">
        <v>565</v>
      </c>
      <c r="B571" s="24"/>
      <c r="C571" s="25"/>
      <c r="D571" s="26"/>
      <c r="E571" s="25"/>
      <c r="F571" s="25"/>
      <c r="G571" s="24"/>
      <c r="H571" s="25" t="e">
        <f ca="1"/>
        <v>#REF!</v>
      </c>
      <c r="I571" s="27" t="e">
        <f ca="1"/>
        <v>#REF!</v>
      </c>
      <c r="J571" s="28" t="e">
        <f ca="1"/>
        <v>#REF!</v>
      </c>
      <c r="K571" s="27" t="e">
        <f ca="1"/>
        <v>#REF!</v>
      </c>
      <c r="L571" s="25" t="e">
        <f ca="1"/>
        <v>#REF!</v>
      </c>
      <c r="M571" s="25" t="e">
        <f ca="1"/>
        <v>#REF!</v>
      </c>
      <c r="N571" s="25" t="e">
        <f ca="1"/>
        <v>#REF!</v>
      </c>
      <c r="O571" s="25" t="e">
        <f ca="1"/>
        <v>#REF!</v>
      </c>
      <c r="P571" s="25" t="e">
        <f ca="1"/>
        <v>#REF!</v>
      </c>
      <c r="Q571" s="25" t="e">
        <f ca="1"/>
        <v>#REF!</v>
      </c>
      <c r="R571" s="25" t="e">
        <f ca="1"/>
        <v>#REF!</v>
      </c>
      <c r="S571" s="25" t="e">
        <f ca="1"/>
        <v>#REF!</v>
      </c>
      <c r="T571" s="25" t="e">
        <f ca="1"/>
        <v>#REF!</v>
      </c>
      <c r="U571" s="25" t="e">
        <f ca="1"/>
        <v>#REF!</v>
      </c>
      <c r="V571" s="25" t="e">
        <f ca="1"/>
        <v>#REF!</v>
      </c>
      <c r="W571" s="33" t="e">
        <f ca="1"/>
        <v>#REF!</v>
      </c>
      <c r="X571" s="33" t="e">
        <f ca="1"/>
        <v>#REF!</v>
      </c>
      <c r="Y571" s="33" t="e">
        <f ca="1"/>
        <v>#REF!</v>
      </c>
      <c r="Z571" s="33" t="e">
        <f ca="1"/>
        <v>#REF!</v>
      </c>
      <c r="AA571" s="33" t="e">
        <f ca="1"/>
        <v>#REF!</v>
      </c>
    </row>
    <row r="572" spans="1:27" s="70" customFormat="1" ht="11.25" x14ac:dyDescent="0.2">
      <c r="A572" s="24">
        <v>566</v>
      </c>
      <c r="B572" s="24"/>
      <c r="C572" s="25"/>
      <c r="D572" s="26"/>
      <c r="E572" s="25"/>
      <c r="F572" s="25"/>
      <c r="G572" s="24"/>
      <c r="H572" s="25" t="e">
        <f ca="1"/>
        <v>#REF!</v>
      </c>
      <c r="I572" s="27" t="e">
        <f ca="1"/>
        <v>#REF!</v>
      </c>
      <c r="J572" s="28" t="e">
        <f ca="1"/>
        <v>#REF!</v>
      </c>
      <c r="K572" s="27" t="e">
        <f ca="1"/>
        <v>#REF!</v>
      </c>
      <c r="L572" s="25" t="e">
        <f ca="1"/>
        <v>#REF!</v>
      </c>
      <c r="M572" s="25" t="e">
        <f ca="1"/>
        <v>#REF!</v>
      </c>
      <c r="N572" s="25" t="e">
        <f ca="1"/>
        <v>#REF!</v>
      </c>
      <c r="O572" s="25" t="e">
        <f ca="1"/>
        <v>#REF!</v>
      </c>
      <c r="P572" s="25" t="e">
        <f ca="1"/>
        <v>#REF!</v>
      </c>
      <c r="Q572" s="25" t="e">
        <f ca="1"/>
        <v>#REF!</v>
      </c>
      <c r="R572" s="25" t="e">
        <f ca="1"/>
        <v>#REF!</v>
      </c>
      <c r="S572" s="25" t="e">
        <f ca="1"/>
        <v>#REF!</v>
      </c>
      <c r="T572" s="25" t="e">
        <f ca="1"/>
        <v>#REF!</v>
      </c>
      <c r="U572" s="25" t="e">
        <f ca="1"/>
        <v>#REF!</v>
      </c>
      <c r="V572" s="25" t="e">
        <f ca="1"/>
        <v>#REF!</v>
      </c>
      <c r="W572" s="33" t="e">
        <f ca="1"/>
        <v>#REF!</v>
      </c>
      <c r="X572" s="33" t="e">
        <f ca="1"/>
        <v>#REF!</v>
      </c>
      <c r="Y572" s="33" t="e">
        <f ca="1"/>
        <v>#REF!</v>
      </c>
      <c r="Z572" s="33" t="e">
        <f ca="1"/>
        <v>#REF!</v>
      </c>
      <c r="AA572" s="33" t="e">
        <f ca="1"/>
        <v>#REF!</v>
      </c>
    </row>
    <row r="573" spans="1:27" s="70" customFormat="1" ht="11.25" x14ac:dyDescent="0.2">
      <c r="A573" s="24">
        <v>567</v>
      </c>
      <c r="B573" s="24"/>
      <c r="C573" s="25"/>
      <c r="D573" s="26"/>
      <c r="E573" s="25"/>
      <c r="F573" s="25"/>
      <c r="G573" s="24"/>
      <c r="H573" s="25" t="e">
        <f ca="1"/>
        <v>#REF!</v>
      </c>
      <c r="I573" s="27" t="e">
        <f ca="1"/>
        <v>#REF!</v>
      </c>
      <c r="J573" s="28" t="e">
        <f ca="1"/>
        <v>#REF!</v>
      </c>
      <c r="K573" s="27" t="e">
        <f ca="1"/>
        <v>#REF!</v>
      </c>
      <c r="L573" s="25" t="e">
        <f ca="1"/>
        <v>#REF!</v>
      </c>
      <c r="M573" s="25" t="e">
        <f ca="1"/>
        <v>#REF!</v>
      </c>
      <c r="N573" s="25" t="e">
        <f ca="1"/>
        <v>#REF!</v>
      </c>
      <c r="O573" s="25" t="e">
        <f ca="1"/>
        <v>#REF!</v>
      </c>
      <c r="P573" s="25" t="e">
        <f ca="1"/>
        <v>#REF!</v>
      </c>
      <c r="Q573" s="25" t="e">
        <f ca="1"/>
        <v>#REF!</v>
      </c>
      <c r="R573" s="25" t="e">
        <f ca="1"/>
        <v>#REF!</v>
      </c>
      <c r="S573" s="25" t="e">
        <f ca="1"/>
        <v>#REF!</v>
      </c>
      <c r="T573" s="25" t="e">
        <f ca="1"/>
        <v>#REF!</v>
      </c>
      <c r="U573" s="25" t="e">
        <f ca="1"/>
        <v>#REF!</v>
      </c>
      <c r="V573" s="25" t="e">
        <f ca="1"/>
        <v>#REF!</v>
      </c>
      <c r="W573" s="33" t="e">
        <f ca="1"/>
        <v>#REF!</v>
      </c>
      <c r="X573" s="33" t="e">
        <f ca="1"/>
        <v>#REF!</v>
      </c>
      <c r="Y573" s="33" t="e">
        <f ca="1"/>
        <v>#REF!</v>
      </c>
      <c r="Z573" s="33" t="e">
        <f ca="1"/>
        <v>#REF!</v>
      </c>
      <c r="AA573" s="33" t="e">
        <f ca="1"/>
        <v>#REF!</v>
      </c>
    </row>
    <row r="574" spans="1:27" s="70" customFormat="1" ht="11.25" x14ac:dyDescent="0.2">
      <c r="A574" s="24">
        <v>568</v>
      </c>
      <c r="B574" s="24"/>
      <c r="C574" s="25"/>
      <c r="D574" s="26"/>
      <c r="E574" s="25"/>
      <c r="F574" s="25"/>
      <c r="G574" s="24"/>
      <c r="H574" s="25" t="e">
        <f ca="1"/>
        <v>#REF!</v>
      </c>
      <c r="I574" s="27" t="e">
        <f ca="1"/>
        <v>#REF!</v>
      </c>
      <c r="J574" s="28" t="e">
        <f ca="1"/>
        <v>#REF!</v>
      </c>
      <c r="K574" s="27" t="e">
        <f ca="1"/>
        <v>#REF!</v>
      </c>
      <c r="L574" s="25" t="e">
        <f ca="1"/>
        <v>#REF!</v>
      </c>
      <c r="M574" s="25" t="e">
        <f ca="1"/>
        <v>#REF!</v>
      </c>
      <c r="N574" s="25" t="e">
        <f ca="1"/>
        <v>#REF!</v>
      </c>
      <c r="O574" s="25" t="e">
        <f ca="1"/>
        <v>#REF!</v>
      </c>
      <c r="P574" s="25" t="e">
        <f ca="1"/>
        <v>#REF!</v>
      </c>
      <c r="Q574" s="25" t="e">
        <f ca="1"/>
        <v>#REF!</v>
      </c>
      <c r="R574" s="25" t="e">
        <f ca="1"/>
        <v>#REF!</v>
      </c>
      <c r="S574" s="25" t="e">
        <f ca="1"/>
        <v>#REF!</v>
      </c>
      <c r="T574" s="25" t="e">
        <f ca="1"/>
        <v>#REF!</v>
      </c>
      <c r="U574" s="25" t="e">
        <f ca="1"/>
        <v>#REF!</v>
      </c>
      <c r="V574" s="25" t="e">
        <f ca="1"/>
        <v>#REF!</v>
      </c>
      <c r="W574" s="33" t="e">
        <f ca="1"/>
        <v>#REF!</v>
      </c>
      <c r="X574" s="33" t="e">
        <f ca="1"/>
        <v>#REF!</v>
      </c>
      <c r="Y574" s="33" t="e">
        <f ca="1"/>
        <v>#REF!</v>
      </c>
      <c r="Z574" s="33" t="e">
        <f ca="1"/>
        <v>#REF!</v>
      </c>
      <c r="AA574" s="33" t="e">
        <f ca="1"/>
        <v>#REF!</v>
      </c>
    </row>
    <row r="575" spans="1:27" s="70" customFormat="1" ht="11.25" x14ac:dyDescent="0.2">
      <c r="A575" s="24">
        <v>569</v>
      </c>
      <c r="B575" s="24"/>
      <c r="C575" s="25"/>
      <c r="D575" s="26"/>
      <c r="E575" s="25"/>
      <c r="F575" s="25"/>
      <c r="G575" s="24"/>
      <c r="H575" s="25" t="e">
        <f ca="1"/>
        <v>#REF!</v>
      </c>
      <c r="I575" s="27" t="e">
        <f ca="1"/>
        <v>#REF!</v>
      </c>
      <c r="J575" s="28" t="e">
        <f ca="1"/>
        <v>#REF!</v>
      </c>
      <c r="K575" s="27" t="e">
        <f ca="1"/>
        <v>#REF!</v>
      </c>
      <c r="L575" s="25" t="e">
        <f ca="1"/>
        <v>#REF!</v>
      </c>
      <c r="M575" s="25" t="e">
        <f ca="1"/>
        <v>#REF!</v>
      </c>
      <c r="N575" s="25" t="e">
        <f ca="1"/>
        <v>#REF!</v>
      </c>
      <c r="O575" s="25" t="e">
        <f ca="1"/>
        <v>#REF!</v>
      </c>
      <c r="P575" s="25" t="e">
        <f ca="1"/>
        <v>#REF!</v>
      </c>
      <c r="Q575" s="25" t="e">
        <f ca="1"/>
        <v>#REF!</v>
      </c>
      <c r="R575" s="25" t="e">
        <f ca="1"/>
        <v>#REF!</v>
      </c>
      <c r="S575" s="25" t="e">
        <f ca="1"/>
        <v>#REF!</v>
      </c>
      <c r="T575" s="25" t="e">
        <f ca="1"/>
        <v>#REF!</v>
      </c>
      <c r="U575" s="25" t="e">
        <f ca="1"/>
        <v>#REF!</v>
      </c>
      <c r="V575" s="25" t="e">
        <f ca="1"/>
        <v>#REF!</v>
      </c>
      <c r="W575" s="33" t="e">
        <f ca="1"/>
        <v>#REF!</v>
      </c>
      <c r="X575" s="33" t="e">
        <f ca="1"/>
        <v>#REF!</v>
      </c>
      <c r="Y575" s="33" t="e">
        <f ca="1"/>
        <v>#REF!</v>
      </c>
      <c r="Z575" s="33" t="e">
        <f ca="1"/>
        <v>#REF!</v>
      </c>
      <c r="AA575" s="33" t="e">
        <f ca="1"/>
        <v>#REF!</v>
      </c>
    </row>
    <row r="576" spans="1:27" s="70" customFormat="1" ht="11.25" x14ac:dyDescent="0.2">
      <c r="A576" s="24">
        <v>570</v>
      </c>
      <c r="B576" s="24"/>
      <c r="C576" s="25"/>
      <c r="D576" s="26"/>
      <c r="E576" s="25"/>
      <c r="F576" s="25"/>
      <c r="G576" s="24"/>
      <c r="H576" s="25" t="e">
        <f ca="1"/>
        <v>#REF!</v>
      </c>
      <c r="I576" s="27" t="e">
        <f ca="1"/>
        <v>#REF!</v>
      </c>
      <c r="J576" s="28" t="e">
        <f ca="1"/>
        <v>#REF!</v>
      </c>
      <c r="K576" s="27" t="e">
        <f ca="1"/>
        <v>#REF!</v>
      </c>
      <c r="L576" s="25" t="e">
        <f ca="1"/>
        <v>#REF!</v>
      </c>
      <c r="M576" s="25" t="e">
        <f ca="1"/>
        <v>#REF!</v>
      </c>
      <c r="N576" s="25" t="e">
        <f ca="1"/>
        <v>#REF!</v>
      </c>
      <c r="O576" s="25" t="e">
        <f ca="1"/>
        <v>#REF!</v>
      </c>
      <c r="P576" s="25" t="e">
        <f ca="1"/>
        <v>#REF!</v>
      </c>
      <c r="Q576" s="25" t="e">
        <f ca="1"/>
        <v>#REF!</v>
      </c>
      <c r="R576" s="25" t="e">
        <f ca="1"/>
        <v>#REF!</v>
      </c>
      <c r="S576" s="25" t="e">
        <f ca="1"/>
        <v>#REF!</v>
      </c>
      <c r="T576" s="25" t="e">
        <f ca="1"/>
        <v>#REF!</v>
      </c>
      <c r="U576" s="25" t="e">
        <f ca="1"/>
        <v>#REF!</v>
      </c>
      <c r="V576" s="25" t="e">
        <f ca="1"/>
        <v>#REF!</v>
      </c>
      <c r="W576" s="33" t="e">
        <f ca="1"/>
        <v>#REF!</v>
      </c>
      <c r="X576" s="33" t="e">
        <f ca="1"/>
        <v>#REF!</v>
      </c>
      <c r="Y576" s="33" t="e">
        <f ca="1"/>
        <v>#REF!</v>
      </c>
      <c r="Z576" s="33" t="e">
        <f ca="1"/>
        <v>#REF!</v>
      </c>
      <c r="AA576" s="33" t="e">
        <f ca="1"/>
        <v>#REF!</v>
      </c>
    </row>
    <row r="577" spans="1:27" s="70" customFormat="1" ht="11.25" x14ac:dyDescent="0.2">
      <c r="A577" s="24">
        <v>571</v>
      </c>
      <c r="B577" s="24"/>
      <c r="C577" s="25"/>
      <c r="D577" s="26"/>
      <c r="E577" s="25"/>
      <c r="F577" s="25"/>
      <c r="G577" s="24"/>
      <c r="H577" s="25" t="e">
        <f ca="1"/>
        <v>#REF!</v>
      </c>
      <c r="I577" s="27" t="e">
        <f ca="1"/>
        <v>#REF!</v>
      </c>
      <c r="J577" s="28" t="e">
        <f ca="1"/>
        <v>#REF!</v>
      </c>
      <c r="K577" s="27" t="e">
        <f ca="1"/>
        <v>#REF!</v>
      </c>
      <c r="L577" s="25" t="e">
        <f ca="1"/>
        <v>#REF!</v>
      </c>
      <c r="M577" s="25" t="e">
        <f ca="1"/>
        <v>#REF!</v>
      </c>
      <c r="N577" s="25" t="e">
        <f ca="1"/>
        <v>#REF!</v>
      </c>
      <c r="O577" s="25" t="e">
        <f ca="1"/>
        <v>#REF!</v>
      </c>
      <c r="P577" s="25" t="e">
        <f ca="1"/>
        <v>#REF!</v>
      </c>
      <c r="Q577" s="25" t="e">
        <f ca="1"/>
        <v>#REF!</v>
      </c>
      <c r="R577" s="25" t="e">
        <f ca="1"/>
        <v>#REF!</v>
      </c>
      <c r="S577" s="25" t="e">
        <f ca="1"/>
        <v>#REF!</v>
      </c>
      <c r="T577" s="25" t="e">
        <f ca="1"/>
        <v>#REF!</v>
      </c>
      <c r="U577" s="25" t="e">
        <f ca="1"/>
        <v>#REF!</v>
      </c>
      <c r="V577" s="25" t="e">
        <f ca="1"/>
        <v>#REF!</v>
      </c>
      <c r="W577" s="33" t="e">
        <f ca="1"/>
        <v>#REF!</v>
      </c>
      <c r="X577" s="33" t="e">
        <f ca="1"/>
        <v>#REF!</v>
      </c>
      <c r="Y577" s="33" t="e">
        <f ca="1"/>
        <v>#REF!</v>
      </c>
      <c r="Z577" s="33" t="e">
        <f ca="1"/>
        <v>#REF!</v>
      </c>
      <c r="AA577" s="33" t="e">
        <f ca="1"/>
        <v>#REF!</v>
      </c>
    </row>
    <row r="578" spans="1:27" s="70" customFormat="1" ht="11.25" x14ac:dyDescent="0.2">
      <c r="A578" s="24">
        <v>572</v>
      </c>
      <c r="B578" s="24"/>
      <c r="C578" s="25"/>
      <c r="D578" s="26"/>
      <c r="E578" s="25"/>
      <c r="F578" s="25"/>
      <c r="G578" s="24"/>
      <c r="H578" s="25" t="e">
        <f ca="1"/>
        <v>#REF!</v>
      </c>
      <c r="I578" s="27" t="e">
        <f ca="1"/>
        <v>#REF!</v>
      </c>
      <c r="J578" s="28" t="e">
        <f ca="1"/>
        <v>#REF!</v>
      </c>
      <c r="K578" s="27" t="e">
        <f ca="1"/>
        <v>#REF!</v>
      </c>
      <c r="L578" s="25" t="e">
        <f ca="1"/>
        <v>#REF!</v>
      </c>
      <c r="M578" s="25" t="e">
        <f ca="1"/>
        <v>#REF!</v>
      </c>
      <c r="N578" s="25" t="e">
        <f ca="1"/>
        <v>#REF!</v>
      </c>
      <c r="O578" s="25" t="e">
        <f ca="1"/>
        <v>#REF!</v>
      </c>
      <c r="P578" s="25" t="e">
        <f ca="1"/>
        <v>#REF!</v>
      </c>
      <c r="Q578" s="25" t="e">
        <f ca="1"/>
        <v>#REF!</v>
      </c>
      <c r="R578" s="25" t="e">
        <f ca="1"/>
        <v>#REF!</v>
      </c>
      <c r="S578" s="25" t="e">
        <f ca="1"/>
        <v>#REF!</v>
      </c>
      <c r="T578" s="25" t="e">
        <f ca="1"/>
        <v>#REF!</v>
      </c>
      <c r="U578" s="25" t="e">
        <f ca="1"/>
        <v>#REF!</v>
      </c>
      <c r="V578" s="25" t="e">
        <f ca="1"/>
        <v>#REF!</v>
      </c>
      <c r="W578" s="33" t="e">
        <f ca="1"/>
        <v>#REF!</v>
      </c>
      <c r="X578" s="33" t="e">
        <f ca="1"/>
        <v>#REF!</v>
      </c>
      <c r="Y578" s="33" t="e">
        <f ca="1"/>
        <v>#REF!</v>
      </c>
      <c r="Z578" s="33" t="e">
        <f ca="1"/>
        <v>#REF!</v>
      </c>
      <c r="AA578" s="33" t="e">
        <f ca="1"/>
        <v>#REF!</v>
      </c>
    </row>
    <row r="579" spans="1:27" s="70" customFormat="1" ht="11.25" x14ac:dyDescent="0.2">
      <c r="A579" s="24">
        <v>573</v>
      </c>
      <c r="B579" s="24"/>
      <c r="C579" s="25"/>
      <c r="D579" s="26"/>
      <c r="E579" s="25"/>
      <c r="F579" s="25"/>
      <c r="G579" s="24"/>
      <c r="H579" s="25" t="e">
        <f ca="1"/>
        <v>#REF!</v>
      </c>
      <c r="I579" s="27" t="e">
        <f ca="1"/>
        <v>#REF!</v>
      </c>
      <c r="J579" s="28" t="e">
        <f ca="1"/>
        <v>#REF!</v>
      </c>
      <c r="K579" s="27" t="e">
        <f ca="1"/>
        <v>#REF!</v>
      </c>
      <c r="L579" s="25" t="e">
        <f ca="1"/>
        <v>#REF!</v>
      </c>
      <c r="M579" s="25" t="e">
        <f ca="1"/>
        <v>#REF!</v>
      </c>
      <c r="N579" s="25" t="e">
        <f ca="1"/>
        <v>#REF!</v>
      </c>
      <c r="O579" s="25" t="e">
        <f ca="1"/>
        <v>#REF!</v>
      </c>
      <c r="P579" s="25" t="e">
        <f ca="1"/>
        <v>#REF!</v>
      </c>
      <c r="Q579" s="25" t="e">
        <f ca="1"/>
        <v>#REF!</v>
      </c>
      <c r="R579" s="25" t="e">
        <f ca="1"/>
        <v>#REF!</v>
      </c>
      <c r="S579" s="25" t="e">
        <f ca="1"/>
        <v>#REF!</v>
      </c>
      <c r="T579" s="25" t="e">
        <f ca="1"/>
        <v>#REF!</v>
      </c>
      <c r="U579" s="25" t="e">
        <f ca="1"/>
        <v>#REF!</v>
      </c>
      <c r="V579" s="25" t="e">
        <f ca="1"/>
        <v>#REF!</v>
      </c>
      <c r="W579" s="33" t="e">
        <f ca="1"/>
        <v>#REF!</v>
      </c>
      <c r="X579" s="33" t="e">
        <f ca="1"/>
        <v>#REF!</v>
      </c>
      <c r="Y579" s="33" t="e">
        <f ca="1"/>
        <v>#REF!</v>
      </c>
      <c r="Z579" s="33" t="e">
        <f ca="1"/>
        <v>#REF!</v>
      </c>
      <c r="AA579" s="33" t="e">
        <f ca="1"/>
        <v>#REF!</v>
      </c>
    </row>
    <row r="580" spans="1:27" s="70" customFormat="1" ht="11.25" x14ac:dyDescent="0.2">
      <c r="A580" s="24">
        <v>574</v>
      </c>
      <c r="B580" s="24"/>
      <c r="C580" s="25"/>
      <c r="D580" s="26"/>
      <c r="E580" s="25"/>
      <c r="F580" s="25"/>
      <c r="G580" s="24"/>
      <c r="H580" s="25" t="e">
        <f ca="1"/>
        <v>#REF!</v>
      </c>
      <c r="I580" s="27" t="e">
        <f ca="1"/>
        <v>#REF!</v>
      </c>
      <c r="J580" s="28" t="e">
        <f ca="1"/>
        <v>#REF!</v>
      </c>
      <c r="K580" s="27" t="e">
        <f ca="1"/>
        <v>#REF!</v>
      </c>
      <c r="L580" s="25" t="e">
        <f ca="1"/>
        <v>#REF!</v>
      </c>
      <c r="M580" s="25" t="e">
        <f ca="1"/>
        <v>#REF!</v>
      </c>
      <c r="N580" s="25" t="e">
        <f ca="1"/>
        <v>#REF!</v>
      </c>
      <c r="O580" s="25" t="e">
        <f ca="1"/>
        <v>#REF!</v>
      </c>
      <c r="P580" s="25" t="e">
        <f ca="1"/>
        <v>#REF!</v>
      </c>
      <c r="Q580" s="25" t="e">
        <f ca="1"/>
        <v>#REF!</v>
      </c>
      <c r="R580" s="25" t="e">
        <f ca="1"/>
        <v>#REF!</v>
      </c>
      <c r="S580" s="25" t="e">
        <f ca="1"/>
        <v>#REF!</v>
      </c>
      <c r="T580" s="25" t="e">
        <f ca="1"/>
        <v>#REF!</v>
      </c>
      <c r="U580" s="25" t="e">
        <f ca="1"/>
        <v>#REF!</v>
      </c>
      <c r="V580" s="25" t="e">
        <f ca="1"/>
        <v>#REF!</v>
      </c>
      <c r="W580" s="33" t="e">
        <f ca="1"/>
        <v>#REF!</v>
      </c>
      <c r="X580" s="33" t="e">
        <f ca="1"/>
        <v>#REF!</v>
      </c>
      <c r="Y580" s="33" t="e">
        <f ca="1"/>
        <v>#REF!</v>
      </c>
      <c r="Z580" s="33" t="e">
        <f ca="1"/>
        <v>#REF!</v>
      </c>
      <c r="AA580" s="33" t="e">
        <f ca="1"/>
        <v>#REF!</v>
      </c>
    </row>
    <row r="581" spans="1:27" s="70" customFormat="1" ht="11.25" x14ac:dyDescent="0.2">
      <c r="A581" s="24">
        <v>575</v>
      </c>
      <c r="B581" s="24"/>
      <c r="C581" s="25"/>
      <c r="D581" s="26"/>
      <c r="E581" s="25"/>
      <c r="F581" s="25"/>
      <c r="G581" s="24"/>
      <c r="H581" s="25" t="e">
        <f ca="1"/>
        <v>#REF!</v>
      </c>
      <c r="I581" s="27" t="e">
        <f ca="1"/>
        <v>#REF!</v>
      </c>
      <c r="J581" s="28" t="e">
        <f ca="1"/>
        <v>#REF!</v>
      </c>
      <c r="K581" s="27" t="e">
        <f ca="1"/>
        <v>#REF!</v>
      </c>
      <c r="L581" s="25" t="e">
        <f ca="1"/>
        <v>#REF!</v>
      </c>
      <c r="M581" s="25" t="e">
        <f ca="1"/>
        <v>#REF!</v>
      </c>
      <c r="N581" s="25" t="e">
        <f ca="1"/>
        <v>#REF!</v>
      </c>
      <c r="O581" s="25" t="e">
        <f ca="1"/>
        <v>#REF!</v>
      </c>
      <c r="P581" s="25" t="e">
        <f ca="1"/>
        <v>#REF!</v>
      </c>
      <c r="Q581" s="25" t="e">
        <f ca="1"/>
        <v>#REF!</v>
      </c>
      <c r="R581" s="25" t="e">
        <f ca="1"/>
        <v>#REF!</v>
      </c>
      <c r="S581" s="25" t="e">
        <f ca="1"/>
        <v>#REF!</v>
      </c>
      <c r="T581" s="25" t="e">
        <f ca="1"/>
        <v>#REF!</v>
      </c>
      <c r="U581" s="25" t="e">
        <f ca="1"/>
        <v>#REF!</v>
      </c>
      <c r="V581" s="25" t="e">
        <f ca="1"/>
        <v>#REF!</v>
      </c>
      <c r="W581" s="33" t="e">
        <f ca="1"/>
        <v>#REF!</v>
      </c>
      <c r="X581" s="33" t="e">
        <f ca="1"/>
        <v>#REF!</v>
      </c>
      <c r="Y581" s="33" t="e">
        <f ca="1"/>
        <v>#REF!</v>
      </c>
      <c r="Z581" s="33" t="e">
        <f ca="1"/>
        <v>#REF!</v>
      </c>
      <c r="AA581" s="33" t="e">
        <f ca="1"/>
        <v>#REF!</v>
      </c>
    </row>
    <row r="582" spans="1:27" s="70" customFormat="1" ht="11.25" x14ac:dyDescent="0.2">
      <c r="A582" s="24">
        <v>576</v>
      </c>
      <c r="B582" s="24"/>
      <c r="C582" s="25"/>
      <c r="D582" s="26"/>
      <c r="E582" s="25"/>
      <c r="F582" s="25"/>
      <c r="G582" s="24"/>
      <c r="H582" s="25" t="e">
        <f ca="1"/>
        <v>#REF!</v>
      </c>
      <c r="I582" s="27" t="e">
        <f ca="1"/>
        <v>#REF!</v>
      </c>
      <c r="J582" s="28" t="e">
        <f ca="1"/>
        <v>#REF!</v>
      </c>
      <c r="K582" s="27" t="e">
        <f ca="1"/>
        <v>#REF!</v>
      </c>
      <c r="L582" s="25" t="e">
        <f ca="1"/>
        <v>#REF!</v>
      </c>
      <c r="M582" s="25" t="e">
        <f ca="1"/>
        <v>#REF!</v>
      </c>
      <c r="N582" s="25" t="e">
        <f ca="1"/>
        <v>#REF!</v>
      </c>
      <c r="O582" s="25" t="e">
        <f ca="1"/>
        <v>#REF!</v>
      </c>
      <c r="P582" s="25" t="e">
        <f ca="1"/>
        <v>#REF!</v>
      </c>
      <c r="Q582" s="25" t="e">
        <f ca="1"/>
        <v>#REF!</v>
      </c>
      <c r="R582" s="25" t="e">
        <f ca="1"/>
        <v>#REF!</v>
      </c>
      <c r="S582" s="25" t="e">
        <f ca="1"/>
        <v>#REF!</v>
      </c>
      <c r="T582" s="25" t="e">
        <f ca="1"/>
        <v>#REF!</v>
      </c>
      <c r="U582" s="25" t="e">
        <f ca="1"/>
        <v>#REF!</v>
      </c>
      <c r="V582" s="25" t="e">
        <f ca="1"/>
        <v>#REF!</v>
      </c>
      <c r="W582" s="33" t="e">
        <f ca="1"/>
        <v>#REF!</v>
      </c>
      <c r="X582" s="33" t="e">
        <f ca="1"/>
        <v>#REF!</v>
      </c>
      <c r="Y582" s="33" t="e">
        <f ca="1"/>
        <v>#REF!</v>
      </c>
      <c r="Z582" s="33" t="e">
        <f ca="1"/>
        <v>#REF!</v>
      </c>
      <c r="AA582" s="33" t="e">
        <f ca="1"/>
        <v>#REF!</v>
      </c>
    </row>
    <row r="583" spans="1:27" s="70" customFormat="1" ht="11.25" x14ac:dyDescent="0.2">
      <c r="A583" s="24">
        <v>577</v>
      </c>
      <c r="B583" s="24"/>
      <c r="C583" s="25"/>
      <c r="D583" s="26"/>
      <c r="E583" s="25"/>
      <c r="F583" s="25"/>
      <c r="G583" s="24"/>
      <c r="H583" s="25" t="e">
        <f ca="1"/>
        <v>#REF!</v>
      </c>
      <c r="I583" s="27" t="e">
        <f ca="1"/>
        <v>#REF!</v>
      </c>
      <c r="J583" s="28" t="e">
        <f ca="1"/>
        <v>#REF!</v>
      </c>
      <c r="K583" s="27" t="e">
        <f ca="1"/>
        <v>#REF!</v>
      </c>
      <c r="L583" s="25" t="e">
        <f ca="1"/>
        <v>#REF!</v>
      </c>
      <c r="M583" s="25" t="e">
        <f ca="1"/>
        <v>#REF!</v>
      </c>
      <c r="N583" s="25" t="e">
        <f ca="1"/>
        <v>#REF!</v>
      </c>
      <c r="O583" s="25" t="e">
        <f ca="1"/>
        <v>#REF!</v>
      </c>
      <c r="P583" s="25" t="e">
        <f ca="1"/>
        <v>#REF!</v>
      </c>
      <c r="Q583" s="25" t="e">
        <f ca="1"/>
        <v>#REF!</v>
      </c>
      <c r="R583" s="25" t="e">
        <f ca="1"/>
        <v>#REF!</v>
      </c>
      <c r="S583" s="25" t="e">
        <f ca="1"/>
        <v>#REF!</v>
      </c>
      <c r="T583" s="25" t="e">
        <f ca="1"/>
        <v>#REF!</v>
      </c>
      <c r="U583" s="25" t="e">
        <f ca="1"/>
        <v>#REF!</v>
      </c>
      <c r="V583" s="25" t="e">
        <f ca="1"/>
        <v>#REF!</v>
      </c>
      <c r="W583" s="33" t="e">
        <f ca="1"/>
        <v>#REF!</v>
      </c>
      <c r="X583" s="33" t="e">
        <f ca="1"/>
        <v>#REF!</v>
      </c>
      <c r="Y583" s="33" t="e">
        <f ca="1"/>
        <v>#REF!</v>
      </c>
      <c r="Z583" s="33" t="e">
        <f ca="1"/>
        <v>#REF!</v>
      </c>
      <c r="AA583" s="33" t="e">
        <f ca="1"/>
        <v>#REF!</v>
      </c>
    </row>
    <row r="584" spans="1:27" s="70" customFormat="1" ht="11.25" x14ac:dyDescent="0.2">
      <c r="A584" s="24">
        <v>578</v>
      </c>
      <c r="B584" s="24"/>
      <c r="C584" s="25"/>
      <c r="D584" s="26"/>
      <c r="E584" s="25"/>
      <c r="F584" s="25"/>
      <c r="G584" s="24"/>
      <c r="H584" s="25" t="e">
        <f ca="1"/>
        <v>#REF!</v>
      </c>
      <c r="I584" s="27" t="e">
        <f ca="1"/>
        <v>#REF!</v>
      </c>
      <c r="J584" s="28" t="e">
        <f ca="1"/>
        <v>#REF!</v>
      </c>
      <c r="K584" s="27" t="e">
        <f ca="1"/>
        <v>#REF!</v>
      </c>
      <c r="L584" s="25" t="e">
        <f ca="1"/>
        <v>#REF!</v>
      </c>
      <c r="M584" s="25" t="e">
        <f ca="1"/>
        <v>#REF!</v>
      </c>
      <c r="N584" s="25" t="e">
        <f ca="1"/>
        <v>#REF!</v>
      </c>
      <c r="O584" s="25" t="e">
        <f ca="1"/>
        <v>#REF!</v>
      </c>
      <c r="P584" s="25" t="e">
        <f ca="1"/>
        <v>#REF!</v>
      </c>
      <c r="Q584" s="25" t="e">
        <f ca="1"/>
        <v>#REF!</v>
      </c>
      <c r="R584" s="25" t="e">
        <f ca="1"/>
        <v>#REF!</v>
      </c>
      <c r="S584" s="25" t="e">
        <f ca="1"/>
        <v>#REF!</v>
      </c>
      <c r="T584" s="25" t="e">
        <f ca="1"/>
        <v>#REF!</v>
      </c>
      <c r="U584" s="25" t="e">
        <f ca="1"/>
        <v>#REF!</v>
      </c>
      <c r="V584" s="25" t="e">
        <f ca="1"/>
        <v>#REF!</v>
      </c>
      <c r="W584" s="33" t="e">
        <f ca="1"/>
        <v>#REF!</v>
      </c>
      <c r="X584" s="33" t="e">
        <f ca="1"/>
        <v>#REF!</v>
      </c>
      <c r="Y584" s="33" t="e">
        <f ca="1"/>
        <v>#REF!</v>
      </c>
      <c r="Z584" s="33" t="e">
        <f ca="1"/>
        <v>#REF!</v>
      </c>
      <c r="AA584" s="33" t="e">
        <f ca="1"/>
        <v>#REF!</v>
      </c>
    </row>
    <row r="585" spans="1:27" s="70" customFormat="1" ht="11.25" x14ac:dyDescent="0.2">
      <c r="A585" s="24">
        <v>579</v>
      </c>
      <c r="B585" s="24"/>
      <c r="C585" s="25"/>
      <c r="D585" s="26"/>
      <c r="E585" s="25"/>
      <c r="F585" s="25"/>
      <c r="G585" s="24"/>
      <c r="H585" s="25" t="e">
        <f ca="1"/>
        <v>#REF!</v>
      </c>
      <c r="I585" s="27" t="e">
        <f ca="1"/>
        <v>#REF!</v>
      </c>
      <c r="J585" s="28" t="e">
        <f ca="1"/>
        <v>#REF!</v>
      </c>
      <c r="K585" s="27" t="e">
        <f ca="1"/>
        <v>#REF!</v>
      </c>
      <c r="L585" s="25" t="e">
        <f ca="1"/>
        <v>#REF!</v>
      </c>
      <c r="M585" s="25" t="e">
        <f ca="1"/>
        <v>#REF!</v>
      </c>
      <c r="N585" s="25" t="e">
        <f ca="1"/>
        <v>#REF!</v>
      </c>
      <c r="O585" s="25" t="e">
        <f ca="1"/>
        <v>#REF!</v>
      </c>
      <c r="P585" s="25" t="e">
        <f ca="1"/>
        <v>#REF!</v>
      </c>
      <c r="Q585" s="25" t="e">
        <f ca="1"/>
        <v>#REF!</v>
      </c>
      <c r="R585" s="25" t="e">
        <f ca="1"/>
        <v>#REF!</v>
      </c>
      <c r="S585" s="25" t="e">
        <f ca="1"/>
        <v>#REF!</v>
      </c>
      <c r="T585" s="25" t="e">
        <f ca="1"/>
        <v>#REF!</v>
      </c>
      <c r="U585" s="25" t="e">
        <f ca="1"/>
        <v>#REF!</v>
      </c>
      <c r="V585" s="25" t="e">
        <f ca="1"/>
        <v>#REF!</v>
      </c>
      <c r="W585" s="33" t="e">
        <f ca="1"/>
        <v>#REF!</v>
      </c>
      <c r="X585" s="33" t="e">
        <f ca="1"/>
        <v>#REF!</v>
      </c>
      <c r="Y585" s="33" t="e">
        <f ca="1"/>
        <v>#REF!</v>
      </c>
      <c r="Z585" s="33" t="e">
        <f ca="1"/>
        <v>#REF!</v>
      </c>
      <c r="AA585" s="33" t="e">
        <f ca="1"/>
        <v>#REF!</v>
      </c>
    </row>
    <row r="586" spans="1:27" s="70" customFormat="1" ht="11.25" x14ac:dyDescent="0.2">
      <c r="A586" s="24">
        <v>580</v>
      </c>
      <c r="B586" s="24"/>
      <c r="C586" s="25"/>
      <c r="D586" s="26"/>
      <c r="E586" s="25"/>
      <c r="F586" s="25"/>
      <c r="G586" s="24"/>
      <c r="H586" s="25" t="e">
        <f ca="1"/>
        <v>#REF!</v>
      </c>
      <c r="I586" s="27" t="e">
        <f ca="1"/>
        <v>#REF!</v>
      </c>
      <c r="J586" s="28" t="e">
        <f ca="1"/>
        <v>#REF!</v>
      </c>
      <c r="K586" s="27" t="e">
        <f ca="1"/>
        <v>#REF!</v>
      </c>
      <c r="L586" s="25" t="e">
        <f ca="1"/>
        <v>#REF!</v>
      </c>
      <c r="M586" s="25" t="e">
        <f ca="1"/>
        <v>#REF!</v>
      </c>
      <c r="N586" s="25" t="e">
        <f ca="1"/>
        <v>#REF!</v>
      </c>
      <c r="O586" s="25" t="e">
        <f ca="1"/>
        <v>#REF!</v>
      </c>
      <c r="P586" s="25" t="e">
        <f ca="1"/>
        <v>#REF!</v>
      </c>
      <c r="Q586" s="25" t="e">
        <f ca="1"/>
        <v>#REF!</v>
      </c>
      <c r="R586" s="25" t="e">
        <f ca="1"/>
        <v>#REF!</v>
      </c>
      <c r="S586" s="25" t="e">
        <f ca="1"/>
        <v>#REF!</v>
      </c>
      <c r="T586" s="25" t="e">
        <f ca="1"/>
        <v>#REF!</v>
      </c>
      <c r="U586" s="25" t="e">
        <f ca="1"/>
        <v>#REF!</v>
      </c>
      <c r="V586" s="25" t="e">
        <f ca="1"/>
        <v>#REF!</v>
      </c>
      <c r="W586" s="33" t="e">
        <f ca="1"/>
        <v>#REF!</v>
      </c>
      <c r="X586" s="33" t="e">
        <f ca="1"/>
        <v>#REF!</v>
      </c>
      <c r="Y586" s="33" t="e">
        <f ca="1"/>
        <v>#REF!</v>
      </c>
      <c r="Z586" s="33" t="e">
        <f ca="1"/>
        <v>#REF!</v>
      </c>
      <c r="AA586" s="33" t="e">
        <f ca="1"/>
        <v>#REF!</v>
      </c>
    </row>
    <row r="587" spans="1:27" s="70" customFormat="1" ht="11.25" x14ac:dyDescent="0.2">
      <c r="A587" s="24">
        <v>581</v>
      </c>
      <c r="B587" s="24"/>
      <c r="C587" s="25"/>
      <c r="D587" s="26"/>
      <c r="E587" s="25"/>
      <c r="F587" s="25"/>
      <c r="G587" s="24"/>
      <c r="H587" s="25" t="e">
        <f ca="1"/>
        <v>#REF!</v>
      </c>
      <c r="I587" s="27" t="e">
        <f ca="1"/>
        <v>#REF!</v>
      </c>
      <c r="J587" s="28" t="e">
        <f ca="1"/>
        <v>#REF!</v>
      </c>
      <c r="K587" s="27" t="e">
        <f ca="1"/>
        <v>#REF!</v>
      </c>
      <c r="L587" s="25" t="e">
        <f ca="1"/>
        <v>#REF!</v>
      </c>
      <c r="M587" s="25" t="e">
        <f ca="1"/>
        <v>#REF!</v>
      </c>
      <c r="N587" s="25" t="e">
        <f ca="1"/>
        <v>#REF!</v>
      </c>
      <c r="O587" s="25" t="e">
        <f ca="1"/>
        <v>#REF!</v>
      </c>
      <c r="P587" s="25" t="e">
        <f ca="1"/>
        <v>#REF!</v>
      </c>
      <c r="Q587" s="25" t="e">
        <f ca="1"/>
        <v>#REF!</v>
      </c>
      <c r="R587" s="25" t="e">
        <f ca="1"/>
        <v>#REF!</v>
      </c>
      <c r="S587" s="25" t="e">
        <f ca="1"/>
        <v>#REF!</v>
      </c>
      <c r="T587" s="25" t="e">
        <f ca="1"/>
        <v>#REF!</v>
      </c>
      <c r="U587" s="25" t="e">
        <f ca="1"/>
        <v>#REF!</v>
      </c>
      <c r="V587" s="25" t="e">
        <f ca="1"/>
        <v>#REF!</v>
      </c>
      <c r="W587" s="33" t="e">
        <f ca="1"/>
        <v>#REF!</v>
      </c>
      <c r="X587" s="33" t="e">
        <f ca="1"/>
        <v>#REF!</v>
      </c>
      <c r="Y587" s="33" t="e">
        <f ca="1"/>
        <v>#REF!</v>
      </c>
      <c r="Z587" s="33" t="e">
        <f ca="1"/>
        <v>#REF!</v>
      </c>
      <c r="AA587" s="33" t="e">
        <f ca="1"/>
        <v>#REF!</v>
      </c>
    </row>
    <row r="588" spans="1:27" s="70" customFormat="1" ht="11.25" x14ac:dyDescent="0.2">
      <c r="A588" s="24">
        <v>582</v>
      </c>
      <c r="B588" s="24"/>
      <c r="C588" s="25"/>
      <c r="D588" s="26"/>
      <c r="E588" s="25"/>
      <c r="F588" s="25"/>
      <c r="G588" s="24"/>
      <c r="H588" s="25" t="e">
        <f ca="1"/>
        <v>#REF!</v>
      </c>
      <c r="I588" s="27" t="e">
        <f ca="1"/>
        <v>#REF!</v>
      </c>
      <c r="J588" s="28" t="e">
        <f ca="1"/>
        <v>#REF!</v>
      </c>
      <c r="K588" s="27" t="e">
        <f ca="1"/>
        <v>#REF!</v>
      </c>
      <c r="L588" s="25" t="e">
        <f ca="1"/>
        <v>#REF!</v>
      </c>
      <c r="M588" s="25" t="e">
        <f ca="1"/>
        <v>#REF!</v>
      </c>
      <c r="N588" s="25" t="e">
        <f ca="1"/>
        <v>#REF!</v>
      </c>
      <c r="O588" s="25" t="e">
        <f ca="1"/>
        <v>#REF!</v>
      </c>
      <c r="P588" s="25" t="e">
        <f ca="1"/>
        <v>#REF!</v>
      </c>
      <c r="Q588" s="25" t="e">
        <f ca="1"/>
        <v>#REF!</v>
      </c>
      <c r="R588" s="25" t="e">
        <f ca="1"/>
        <v>#REF!</v>
      </c>
      <c r="S588" s="25" t="e">
        <f ca="1"/>
        <v>#REF!</v>
      </c>
      <c r="T588" s="25" t="e">
        <f ca="1"/>
        <v>#REF!</v>
      </c>
      <c r="U588" s="25" t="e">
        <f ca="1"/>
        <v>#REF!</v>
      </c>
      <c r="V588" s="25" t="e">
        <f ca="1"/>
        <v>#REF!</v>
      </c>
      <c r="W588" s="33" t="e">
        <f ca="1"/>
        <v>#REF!</v>
      </c>
      <c r="X588" s="33" t="e">
        <f ca="1"/>
        <v>#REF!</v>
      </c>
      <c r="Y588" s="33" t="e">
        <f ca="1"/>
        <v>#REF!</v>
      </c>
      <c r="Z588" s="33" t="e">
        <f ca="1"/>
        <v>#REF!</v>
      </c>
      <c r="AA588" s="33" t="e">
        <f ca="1"/>
        <v>#REF!</v>
      </c>
    </row>
    <row r="589" spans="1:27" s="70" customFormat="1" ht="11.25" x14ac:dyDescent="0.2">
      <c r="A589" s="24">
        <v>583</v>
      </c>
      <c r="B589" s="24"/>
      <c r="C589" s="25"/>
      <c r="D589" s="26"/>
      <c r="E589" s="25"/>
      <c r="F589" s="25"/>
      <c r="G589" s="24"/>
      <c r="H589" s="25" t="e">
        <f ca="1"/>
        <v>#REF!</v>
      </c>
      <c r="I589" s="27" t="e">
        <f ca="1"/>
        <v>#REF!</v>
      </c>
      <c r="J589" s="28" t="e">
        <f ca="1"/>
        <v>#REF!</v>
      </c>
      <c r="K589" s="27" t="e">
        <f ca="1"/>
        <v>#REF!</v>
      </c>
      <c r="L589" s="25" t="e">
        <f ca="1"/>
        <v>#REF!</v>
      </c>
      <c r="M589" s="25" t="e">
        <f ca="1"/>
        <v>#REF!</v>
      </c>
      <c r="N589" s="25" t="e">
        <f ca="1"/>
        <v>#REF!</v>
      </c>
      <c r="O589" s="25" t="e">
        <f ca="1"/>
        <v>#REF!</v>
      </c>
      <c r="P589" s="25" t="e">
        <f ca="1"/>
        <v>#REF!</v>
      </c>
      <c r="Q589" s="25" t="e">
        <f ca="1"/>
        <v>#REF!</v>
      </c>
      <c r="R589" s="25" t="e">
        <f ca="1"/>
        <v>#REF!</v>
      </c>
      <c r="S589" s="25" t="e">
        <f ca="1"/>
        <v>#REF!</v>
      </c>
      <c r="T589" s="25" t="e">
        <f ca="1"/>
        <v>#REF!</v>
      </c>
      <c r="U589" s="25" t="e">
        <f ca="1"/>
        <v>#REF!</v>
      </c>
      <c r="V589" s="25" t="e">
        <f ca="1"/>
        <v>#REF!</v>
      </c>
      <c r="W589" s="33" t="e">
        <f ca="1"/>
        <v>#REF!</v>
      </c>
      <c r="X589" s="33" t="e">
        <f ca="1"/>
        <v>#REF!</v>
      </c>
      <c r="Y589" s="33" t="e">
        <f ca="1"/>
        <v>#REF!</v>
      </c>
      <c r="Z589" s="33" t="e">
        <f ca="1"/>
        <v>#REF!</v>
      </c>
      <c r="AA589" s="33" t="e">
        <f ca="1"/>
        <v>#REF!</v>
      </c>
    </row>
    <row r="590" spans="1:27" s="70" customFormat="1" ht="11.25" x14ac:dyDescent="0.2">
      <c r="A590" s="24">
        <v>584</v>
      </c>
      <c r="B590" s="24"/>
      <c r="C590" s="25"/>
      <c r="D590" s="26"/>
      <c r="E590" s="25"/>
      <c r="F590" s="25"/>
      <c r="G590" s="24"/>
      <c r="H590" s="25" t="e">
        <f ca="1"/>
        <v>#REF!</v>
      </c>
      <c r="I590" s="27" t="e">
        <f ca="1"/>
        <v>#REF!</v>
      </c>
      <c r="J590" s="28" t="e">
        <f ca="1"/>
        <v>#REF!</v>
      </c>
      <c r="K590" s="27" t="e">
        <f ca="1"/>
        <v>#REF!</v>
      </c>
      <c r="L590" s="25" t="e">
        <f ca="1"/>
        <v>#REF!</v>
      </c>
      <c r="M590" s="25" t="e">
        <f ca="1"/>
        <v>#REF!</v>
      </c>
      <c r="N590" s="25" t="e">
        <f ca="1"/>
        <v>#REF!</v>
      </c>
      <c r="O590" s="25" t="e">
        <f ca="1"/>
        <v>#REF!</v>
      </c>
      <c r="P590" s="25" t="e">
        <f ca="1"/>
        <v>#REF!</v>
      </c>
      <c r="Q590" s="25" t="e">
        <f ca="1"/>
        <v>#REF!</v>
      </c>
      <c r="R590" s="25" t="e">
        <f ca="1"/>
        <v>#REF!</v>
      </c>
      <c r="S590" s="25" t="e">
        <f ca="1"/>
        <v>#REF!</v>
      </c>
      <c r="T590" s="25" t="e">
        <f ca="1"/>
        <v>#REF!</v>
      </c>
      <c r="U590" s="25" t="e">
        <f ca="1"/>
        <v>#REF!</v>
      </c>
      <c r="V590" s="25" t="e">
        <f ca="1"/>
        <v>#REF!</v>
      </c>
      <c r="W590" s="33" t="e">
        <f ca="1"/>
        <v>#REF!</v>
      </c>
      <c r="X590" s="33" t="e">
        <f ca="1"/>
        <v>#REF!</v>
      </c>
      <c r="Y590" s="33" t="e">
        <f ca="1"/>
        <v>#REF!</v>
      </c>
      <c r="Z590" s="33" t="e">
        <f ca="1"/>
        <v>#REF!</v>
      </c>
      <c r="AA590" s="33" t="e">
        <f ca="1"/>
        <v>#REF!</v>
      </c>
    </row>
    <row r="591" spans="1:27" s="70" customFormat="1" ht="11.25" x14ac:dyDescent="0.2">
      <c r="A591" s="24">
        <v>585</v>
      </c>
      <c r="B591" s="24"/>
      <c r="C591" s="25"/>
      <c r="D591" s="26"/>
      <c r="E591" s="25"/>
      <c r="F591" s="25"/>
      <c r="G591" s="24"/>
      <c r="H591" s="25" t="e">
        <f ca="1"/>
        <v>#REF!</v>
      </c>
      <c r="I591" s="27" t="e">
        <f ca="1"/>
        <v>#REF!</v>
      </c>
      <c r="J591" s="28" t="e">
        <f ca="1"/>
        <v>#REF!</v>
      </c>
      <c r="K591" s="27" t="e">
        <f ca="1"/>
        <v>#REF!</v>
      </c>
      <c r="L591" s="25" t="e">
        <f ca="1"/>
        <v>#REF!</v>
      </c>
      <c r="M591" s="25" t="e">
        <f ca="1"/>
        <v>#REF!</v>
      </c>
      <c r="N591" s="25" t="e">
        <f ca="1"/>
        <v>#REF!</v>
      </c>
      <c r="O591" s="25" t="e">
        <f ca="1"/>
        <v>#REF!</v>
      </c>
      <c r="P591" s="25" t="e">
        <f ca="1"/>
        <v>#REF!</v>
      </c>
      <c r="Q591" s="25" t="e">
        <f ca="1"/>
        <v>#REF!</v>
      </c>
      <c r="R591" s="25" t="e">
        <f ca="1"/>
        <v>#REF!</v>
      </c>
      <c r="S591" s="25" t="e">
        <f ca="1"/>
        <v>#REF!</v>
      </c>
      <c r="T591" s="25" t="e">
        <f ca="1"/>
        <v>#REF!</v>
      </c>
      <c r="U591" s="25" t="e">
        <f ca="1"/>
        <v>#REF!</v>
      </c>
      <c r="V591" s="25" t="e">
        <f ca="1"/>
        <v>#REF!</v>
      </c>
      <c r="W591" s="33" t="e">
        <f ca="1"/>
        <v>#REF!</v>
      </c>
      <c r="X591" s="33" t="e">
        <f ca="1"/>
        <v>#REF!</v>
      </c>
      <c r="Y591" s="33" t="e">
        <f ca="1"/>
        <v>#REF!</v>
      </c>
      <c r="Z591" s="33" t="e">
        <f ca="1"/>
        <v>#REF!</v>
      </c>
      <c r="AA591" s="33" t="e">
        <f ca="1"/>
        <v>#REF!</v>
      </c>
    </row>
    <row r="592" spans="1:27" s="70" customFormat="1" ht="11.25" x14ac:dyDescent="0.2">
      <c r="A592" s="24">
        <v>586</v>
      </c>
      <c r="B592" s="24"/>
      <c r="C592" s="25"/>
      <c r="D592" s="26"/>
      <c r="E592" s="25"/>
      <c r="F592" s="25"/>
      <c r="G592" s="24"/>
      <c r="H592" s="25" t="e">
        <f ca="1"/>
        <v>#REF!</v>
      </c>
      <c r="I592" s="27" t="e">
        <f ca="1"/>
        <v>#REF!</v>
      </c>
      <c r="J592" s="28" t="e">
        <f ca="1"/>
        <v>#REF!</v>
      </c>
      <c r="K592" s="27" t="e">
        <f ca="1"/>
        <v>#REF!</v>
      </c>
      <c r="L592" s="25" t="e">
        <f ca="1"/>
        <v>#REF!</v>
      </c>
      <c r="M592" s="25" t="e">
        <f ca="1"/>
        <v>#REF!</v>
      </c>
      <c r="N592" s="25" t="e">
        <f ca="1"/>
        <v>#REF!</v>
      </c>
      <c r="O592" s="25" t="e">
        <f ca="1"/>
        <v>#REF!</v>
      </c>
      <c r="P592" s="25" t="e">
        <f ca="1"/>
        <v>#REF!</v>
      </c>
      <c r="Q592" s="25" t="e">
        <f ca="1"/>
        <v>#REF!</v>
      </c>
      <c r="R592" s="25" t="e">
        <f ca="1"/>
        <v>#REF!</v>
      </c>
      <c r="S592" s="25" t="e">
        <f ca="1"/>
        <v>#REF!</v>
      </c>
      <c r="T592" s="25" t="e">
        <f ca="1"/>
        <v>#REF!</v>
      </c>
      <c r="U592" s="25" t="e">
        <f ca="1"/>
        <v>#REF!</v>
      </c>
      <c r="V592" s="25" t="e">
        <f ca="1"/>
        <v>#REF!</v>
      </c>
      <c r="W592" s="33" t="e">
        <f ca="1"/>
        <v>#REF!</v>
      </c>
      <c r="X592" s="33" t="e">
        <f ca="1"/>
        <v>#REF!</v>
      </c>
      <c r="Y592" s="33" t="e">
        <f ca="1"/>
        <v>#REF!</v>
      </c>
      <c r="Z592" s="33" t="e">
        <f ca="1"/>
        <v>#REF!</v>
      </c>
      <c r="AA592" s="33" t="e">
        <f ca="1"/>
        <v>#REF!</v>
      </c>
    </row>
    <row r="593" spans="1:27" s="70" customFormat="1" ht="11.25" x14ac:dyDescent="0.2">
      <c r="A593" s="24">
        <v>587</v>
      </c>
      <c r="B593" s="24"/>
      <c r="C593" s="25"/>
      <c r="D593" s="26"/>
      <c r="E593" s="25"/>
      <c r="F593" s="25"/>
      <c r="G593" s="24"/>
      <c r="H593" s="25" t="e">
        <f ca="1"/>
        <v>#REF!</v>
      </c>
      <c r="I593" s="27" t="e">
        <f ca="1"/>
        <v>#REF!</v>
      </c>
      <c r="J593" s="28" t="e">
        <f ca="1"/>
        <v>#REF!</v>
      </c>
      <c r="K593" s="27" t="e">
        <f ca="1"/>
        <v>#REF!</v>
      </c>
      <c r="L593" s="25" t="e">
        <f ca="1"/>
        <v>#REF!</v>
      </c>
      <c r="M593" s="25" t="e">
        <f ca="1"/>
        <v>#REF!</v>
      </c>
      <c r="N593" s="25" t="e">
        <f ca="1"/>
        <v>#REF!</v>
      </c>
      <c r="O593" s="25" t="e">
        <f ca="1"/>
        <v>#REF!</v>
      </c>
      <c r="P593" s="25" t="e">
        <f ca="1"/>
        <v>#REF!</v>
      </c>
      <c r="Q593" s="25" t="e">
        <f ca="1"/>
        <v>#REF!</v>
      </c>
      <c r="R593" s="25" t="e">
        <f ca="1"/>
        <v>#REF!</v>
      </c>
      <c r="S593" s="25" t="e">
        <f ca="1"/>
        <v>#REF!</v>
      </c>
      <c r="T593" s="25" t="e">
        <f ca="1"/>
        <v>#REF!</v>
      </c>
      <c r="U593" s="25" t="e">
        <f ca="1"/>
        <v>#REF!</v>
      </c>
      <c r="V593" s="25" t="e">
        <f ca="1"/>
        <v>#REF!</v>
      </c>
      <c r="W593" s="33" t="e">
        <f ca="1"/>
        <v>#REF!</v>
      </c>
      <c r="X593" s="33" t="e">
        <f ca="1"/>
        <v>#REF!</v>
      </c>
      <c r="Y593" s="33" t="e">
        <f ca="1"/>
        <v>#REF!</v>
      </c>
      <c r="Z593" s="33" t="e">
        <f ca="1"/>
        <v>#REF!</v>
      </c>
      <c r="AA593" s="33" t="e">
        <f ca="1"/>
        <v>#REF!</v>
      </c>
    </row>
    <row r="594" spans="1:27" s="70" customFormat="1" ht="11.25" x14ac:dyDescent="0.2">
      <c r="A594" s="24">
        <v>588</v>
      </c>
      <c r="B594" s="24"/>
      <c r="C594" s="25"/>
      <c r="D594" s="26"/>
      <c r="E594" s="25"/>
      <c r="F594" s="25"/>
      <c r="G594" s="24"/>
      <c r="H594" s="25" t="e">
        <f ca="1"/>
        <v>#REF!</v>
      </c>
      <c r="I594" s="27" t="e">
        <f ca="1"/>
        <v>#REF!</v>
      </c>
      <c r="J594" s="28" t="e">
        <f ca="1"/>
        <v>#REF!</v>
      </c>
      <c r="K594" s="27" t="e">
        <f ca="1"/>
        <v>#REF!</v>
      </c>
      <c r="L594" s="25" t="e">
        <f ca="1"/>
        <v>#REF!</v>
      </c>
      <c r="M594" s="25" t="e">
        <f ca="1"/>
        <v>#REF!</v>
      </c>
      <c r="N594" s="25" t="e">
        <f ca="1"/>
        <v>#REF!</v>
      </c>
      <c r="O594" s="25" t="e">
        <f ca="1"/>
        <v>#REF!</v>
      </c>
      <c r="P594" s="25" t="e">
        <f ca="1"/>
        <v>#REF!</v>
      </c>
      <c r="Q594" s="25" t="e">
        <f ca="1"/>
        <v>#REF!</v>
      </c>
      <c r="R594" s="25" t="e">
        <f ca="1"/>
        <v>#REF!</v>
      </c>
      <c r="S594" s="25" t="e">
        <f ca="1"/>
        <v>#REF!</v>
      </c>
      <c r="T594" s="25" t="e">
        <f ca="1"/>
        <v>#REF!</v>
      </c>
      <c r="U594" s="25" t="e">
        <f ca="1"/>
        <v>#REF!</v>
      </c>
      <c r="V594" s="25" t="e">
        <f ca="1"/>
        <v>#REF!</v>
      </c>
      <c r="W594" s="33" t="e">
        <f ca="1"/>
        <v>#REF!</v>
      </c>
      <c r="X594" s="33" t="e">
        <f ca="1"/>
        <v>#REF!</v>
      </c>
      <c r="Y594" s="33" t="e">
        <f ca="1"/>
        <v>#REF!</v>
      </c>
      <c r="Z594" s="33" t="e">
        <f ca="1"/>
        <v>#REF!</v>
      </c>
      <c r="AA594" s="33" t="e">
        <f ca="1"/>
        <v>#REF!</v>
      </c>
    </row>
    <row r="595" spans="1:27" s="70" customFormat="1" ht="11.25" x14ac:dyDescent="0.2">
      <c r="A595" s="24">
        <v>589</v>
      </c>
      <c r="B595" s="24"/>
      <c r="C595" s="25"/>
      <c r="D595" s="26"/>
      <c r="E595" s="25"/>
      <c r="F595" s="25"/>
      <c r="G595" s="24"/>
      <c r="H595" s="25" t="e">
        <f ca="1"/>
        <v>#REF!</v>
      </c>
      <c r="I595" s="27" t="e">
        <f ca="1"/>
        <v>#REF!</v>
      </c>
      <c r="J595" s="28" t="e">
        <f ca="1"/>
        <v>#REF!</v>
      </c>
      <c r="K595" s="27" t="e">
        <f ca="1"/>
        <v>#REF!</v>
      </c>
      <c r="L595" s="25" t="e">
        <f ca="1"/>
        <v>#REF!</v>
      </c>
      <c r="M595" s="25" t="e">
        <f ca="1"/>
        <v>#REF!</v>
      </c>
      <c r="N595" s="25" t="e">
        <f ca="1"/>
        <v>#REF!</v>
      </c>
      <c r="O595" s="25" t="e">
        <f ca="1"/>
        <v>#REF!</v>
      </c>
      <c r="P595" s="25" t="e">
        <f ca="1"/>
        <v>#REF!</v>
      </c>
      <c r="Q595" s="25" t="e">
        <f ca="1"/>
        <v>#REF!</v>
      </c>
      <c r="R595" s="25" t="e">
        <f ca="1"/>
        <v>#REF!</v>
      </c>
      <c r="S595" s="25" t="e">
        <f ca="1"/>
        <v>#REF!</v>
      </c>
      <c r="T595" s="25" t="e">
        <f ca="1"/>
        <v>#REF!</v>
      </c>
      <c r="U595" s="25" t="e">
        <f ca="1"/>
        <v>#REF!</v>
      </c>
      <c r="V595" s="25" t="e">
        <f ca="1"/>
        <v>#REF!</v>
      </c>
      <c r="W595" s="33" t="e">
        <f ca="1"/>
        <v>#REF!</v>
      </c>
      <c r="X595" s="33" t="e">
        <f ca="1"/>
        <v>#REF!</v>
      </c>
      <c r="Y595" s="33" t="e">
        <f ca="1"/>
        <v>#REF!</v>
      </c>
      <c r="Z595" s="33" t="e">
        <f ca="1"/>
        <v>#REF!</v>
      </c>
      <c r="AA595" s="33" t="e">
        <f ca="1"/>
        <v>#REF!</v>
      </c>
    </row>
    <row r="596" spans="1:27" s="70" customFormat="1" ht="11.25" x14ac:dyDescent="0.2">
      <c r="A596" s="24">
        <v>590</v>
      </c>
      <c r="B596" s="24"/>
      <c r="C596" s="25"/>
      <c r="D596" s="26"/>
      <c r="E596" s="25"/>
      <c r="F596" s="25"/>
      <c r="G596" s="24"/>
      <c r="H596" s="25" t="e">
        <f ca="1"/>
        <v>#REF!</v>
      </c>
      <c r="I596" s="27" t="e">
        <f ca="1"/>
        <v>#REF!</v>
      </c>
      <c r="J596" s="28" t="e">
        <f ca="1"/>
        <v>#REF!</v>
      </c>
      <c r="K596" s="27" t="e">
        <f ca="1"/>
        <v>#REF!</v>
      </c>
      <c r="L596" s="25" t="e">
        <f ca="1"/>
        <v>#REF!</v>
      </c>
      <c r="M596" s="25" t="e">
        <f ca="1"/>
        <v>#REF!</v>
      </c>
      <c r="N596" s="25" t="e">
        <f ca="1"/>
        <v>#REF!</v>
      </c>
      <c r="O596" s="25" t="e">
        <f ca="1"/>
        <v>#REF!</v>
      </c>
      <c r="P596" s="25" t="e">
        <f ca="1"/>
        <v>#REF!</v>
      </c>
      <c r="Q596" s="25" t="e">
        <f ca="1"/>
        <v>#REF!</v>
      </c>
      <c r="R596" s="25" t="e">
        <f ca="1"/>
        <v>#REF!</v>
      </c>
      <c r="S596" s="25" t="e">
        <f ca="1"/>
        <v>#REF!</v>
      </c>
      <c r="T596" s="25" t="e">
        <f ca="1"/>
        <v>#REF!</v>
      </c>
      <c r="U596" s="25" t="e">
        <f ca="1"/>
        <v>#REF!</v>
      </c>
      <c r="V596" s="25" t="e">
        <f ca="1"/>
        <v>#REF!</v>
      </c>
      <c r="W596" s="33" t="e">
        <f ca="1"/>
        <v>#REF!</v>
      </c>
      <c r="X596" s="33" t="e">
        <f ca="1"/>
        <v>#REF!</v>
      </c>
      <c r="Y596" s="33" t="e">
        <f ca="1"/>
        <v>#REF!</v>
      </c>
      <c r="Z596" s="33" t="e">
        <f ca="1"/>
        <v>#REF!</v>
      </c>
      <c r="AA596" s="33" t="e">
        <f ca="1"/>
        <v>#REF!</v>
      </c>
    </row>
    <row r="597" spans="1:27" s="70" customFormat="1" ht="11.25" x14ac:dyDescent="0.2">
      <c r="A597" s="24">
        <v>591</v>
      </c>
      <c r="B597" s="24"/>
      <c r="C597" s="25"/>
      <c r="D597" s="26"/>
      <c r="E597" s="25"/>
      <c r="F597" s="25"/>
      <c r="G597" s="24"/>
      <c r="H597" s="25" t="e">
        <f ca="1"/>
        <v>#REF!</v>
      </c>
      <c r="I597" s="27" t="e">
        <f ca="1"/>
        <v>#REF!</v>
      </c>
      <c r="J597" s="28" t="e">
        <f ca="1"/>
        <v>#REF!</v>
      </c>
      <c r="K597" s="27" t="e">
        <f ca="1"/>
        <v>#REF!</v>
      </c>
      <c r="L597" s="25" t="e">
        <f ca="1"/>
        <v>#REF!</v>
      </c>
      <c r="M597" s="25" t="e">
        <f ca="1"/>
        <v>#REF!</v>
      </c>
      <c r="N597" s="25" t="e">
        <f ca="1"/>
        <v>#REF!</v>
      </c>
      <c r="O597" s="25" t="e">
        <f ca="1"/>
        <v>#REF!</v>
      </c>
      <c r="P597" s="25" t="e">
        <f ca="1"/>
        <v>#REF!</v>
      </c>
      <c r="Q597" s="25" t="e">
        <f ca="1"/>
        <v>#REF!</v>
      </c>
      <c r="R597" s="25" t="e">
        <f ca="1"/>
        <v>#REF!</v>
      </c>
      <c r="S597" s="25" t="e">
        <f ca="1"/>
        <v>#REF!</v>
      </c>
      <c r="T597" s="25" t="e">
        <f ca="1"/>
        <v>#REF!</v>
      </c>
      <c r="U597" s="25" t="e">
        <f ca="1"/>
        <v>#REF!</v>
      </c>
      <c r="V597" s="25" t="e">
        <f ca="1"/>
        <v>#REF!</v>
      </c>
      <c r="W597" s="33" t="e">
        <f ca="1"/>
        <v>#REF!</v>
      </c>
      <c r="X597" s="33" t="e">
        <f ca="1"/>
        <v>#REF!</v>
      </c>
      <c r="Y597" s="33" t="e">
        <f ca="1"/>
        <v>#REF!</v>
      </c>
      <c r="Z597" s="33" t="e">
        <f ca="1"/>
        <v>#REF!</v>
      </c>
      <c r="AA597" s="33" t="e">
        <f ca="1"/>
        <v>#REF!</v>
      </c>
    </row>
    <row r="598" spans="1:27" s="70" customFormat="1" ht="11.25" x14ac:dyDescent="0.2">
      <c r="A598" s="24">
        <v>592</v>
      </c>
      <c r="B598" s="24"/>
      <c r="C598" s="25"/>
      <c r="D598" s="26"/>
      <c r="E598" s="25"/>
      <c r="F598" s="25"/>
      <c r="G598" s="24"/>
      <c r="H598" s="25" t="e">
        <f ca="1"/>
        <v>#REF!</v>
      </c>
      <c r="I598" s="27" t="e">
        <f ca="1"/>
        <v>#REF!</v>
      </c>
      <c r="J598" s="28" t="e">
        <f ca="1"/>
        <v>#REF!</v>
      </c>
      <c r="K598" s="27" t="e">
        <f ca="1"/>
        <v>#REF!</v>
      </c>
      <c r="L598" s="25" t="e">
        <f ca="1"/>
        <v>#REF!</v>
      </c>
      <c r="M598" s="25" t="e">
        <f ca="1"/>
        <v>#REF!</v>
      </c>
      <c r="N598" s="25" t="e">
        <f ca="1"/>
        <v>#REF!</v>
      </c>
      <c r="O598" s="25" t="e">
        <f ca="1"/>
        <v>#REF!</v>
      </c>
      <c r="P598" s="25" t="e">
        <f ca="1"/>
        <v>#REF!</v>
      </c>
      <c r="Q598" s="25" t="e">
        <f ca="1"/>
        <v>#REF!</v>
      </c>
      <c r="R598" s="25" t="e">
        <f ca="1"/>
        <v>#REF!</v>
      </c>
      <c r="S598" s="25" t="e">
        <f ca="1"/>
        <v>#REF!</v>
      </c>
      <c r="T598" s="25" t="e">
        <f ca="1"/>
        <v>#REF!</v>
      </c>
      <c r="U598" s="25" t="e">
        <f ca="1"/>
        <v>#REF!</v>
      </c>
      <c r="V598" s="25" t="e">
        <f ca="1"/>
        <v>#REF!</v>
      </c>
      <c r="W598" s="33" t="e">
        <f ca="1"/>
        <v>#REF!</v>
      </c>
      <c r="X598" s="33" t="e">
        <f ca="1"/>
        <v>#REF!</v>
      </c>
      <c r="Y598" s="33" t="e">
        <f ca="1"/>
        <v>#REF!</v>
      </c>
      <c r="Z598" s="33" t="e">
        <f ca="1"/>
        <v>#REF!</v>
      </c>
      <c r="AA598" s="33" t="e">
        <f ca="1"/>
        <v>#REF!</v>
      </c>
    </row>
    <row r="599" spans="1:27" s="70" customFormat="1" ht="11.25" x14ac:dyDescent="0.2">
      <c r="A599" s="24">
        <v>593</v>
      </c>
      <c r="B599" s="24"/>
      <c r="C599" s="25"/>
      <c r="D599" s="26"/>
      <c r="E599" s="25"/>
      <c r="F599" s="25"/>
      <c r="G599" s="24"/>
      <c r="H599" s="25" t="e">
        <f ca="1"/>
        <v>#REF!</v>
      </c>
      <c r="I599" s="27" t="e">
        <f ca="1"/>
        <v>#REF!</v>
      </c>
      <c r="J599" s="28" t="e">
        <f ca="1"/>
        <v>#REF!</v>
      </c>
      <c r="K599" s="27" t="e">
        <f ca="1"/>
        <v>#REF!</v>
      </c>
      <c r="L599" s="25" t="e">
        <f ca="1"/>
        <v>#REF!</v>
      </c>
      <c r="M599" s="25" t="e">
        <f ca="1"/>
        <v>#REF!</v>
      </c>
      <c r="N599" s="25" t="e">
        <f ca="1"/>
        <v>#REF!</v>
      </c>
      <c r="O599" s="25" t="e">
        <f ca="1"/>
        <v>#REF!</v>
      </c>
      <c r="P599" s="25" t="e">
        <f ca="1"/>
        <v>#REF!</v>
      </c>
      <c r="Q599" s="25" t="e">
        <f ca="1"/>
        <v>#REF!</v>
      </c>
      <c r="R599" s="25" t="e">
        <f ca="1"/>
        <v>#REF!</v>
      </c>
      <c r="S599" s="25" t="e">
        <f ca="1"/>
        <v>#REF!</v>
      </c>
      <c r="T599" s="25" t="e">
        <f ca="1"/>
        <v>#REF!</v>
      </c>
      <c r="U599" s="25" t="e">
        <f ca="1"/>
        <v>#REF!</v>
      </c>
      <c r="V599" s="25" t="e">
        <f ca="1"/>
        <v>#REF!</v>
      </c>
      <c r="W599" s="33" t="e">
        <f ca="1"/>
        <v>#REF!</v>
      </c>
      <c r="X599" s="33" t="e">
        <f ca="1"/>
        <v>#REF!</v>
      </c>
      <c r="Y599" s="33" t="e">
        <f ca="1"/>
        <v>#REF!</v>
      </c>
      <c r="Z599" s="33" t="e">
        <f ca="1"/>
        <v>#REF!</v>
      </c>
      <c r="AA599" s="33" t="e">
        <f ca="1"/>
        <v>#REF!</v>
      </c>
    </row>
    <row r="600" spans="1:27" s="70" customFormat="1" ht="11.25" x14ac:dyDescent="0.2">
      <c r="A600" s="24">
        <v>594</v>
      </c>
      <c r="B600" s="24"/>
      <c r="C600" s="25"/>
      <c r="D600" s="26"/>
      <c r="E600" s="25"/>
      <c r="F600" s="25"/>
      <c r="G600" s="24"/>
      <c r="H600" s="25" t="e">
        <f ca="1"/>
        <v>#REF!</v>
      </c>
      <c r="I600" s="27" t="e">
        <f ca="1"/>
        <v>#REF!</v>
      </c>
      <c r="J600" s="28" t="e">
        <f ca="1"/>
        <v>#REF!</v>
      </c>
      <c r="K600" s="27" t="e">
        <f ca="1"/>
        <v>#REF!</v>
      </c>
      <c r="L600" s="25" t="e">
        <f ca="1"/>
        <v>#REF!</v>
      </c>
      <c r="M600" s="25" t="e">
        <f ca="1"/>
        <v>#REF!</v>
      </c>
      <c r="N600" s="25" t="e">
        <f ca="1"/>
        <v>#REF!</v>
      </c>
      <c r="O600" s="25" t="e">
        <f ca="1"/>
        <v>#REF!</v>
      </c>
      <c r="P600" s="25" t="e">
        <f ca="1"/>
        <v>#REF!</v>
      </c>
      <c r="Q600" s="25" t="e">
        <f ca="1"/>
        <v>#REF!</v>
      </c>
      <c r="R600" s="25" t="e">
        <f ca="1"/>
        <v>#REF!</v>
      </c>
      <c r="S600" s="25" t="e">
        <f ca="1"/>
        <v>#REF!</v>
      </c>
      <c r="T600" s="25" t="e">
        <f ca="1"/>
        <v>#REF!</v>
      </c>
      <c r="U600" s="25" t="e">
        <f ca="1"/>
        <v>#REF!</v>
      </c>
      <c r="V600" s="25" t="e">
        <f ca="1"/>
        <v>#REF!</v>
      </c>
      <c r="W600" s="33" t="e">
        <f ca="1"/>
        <v>#REF!</v>
      </c>
      <c r="X600" s="33" t="e">
        <f ca="1"/>
        <v>#REF!</v>
      </c>
      <c r="Y600" s="33" t="e">
        <f ca="1"/>
        <v>#REF!</v>
      </c>
      <c r="Z600" s="33" t="e">
        <f ca="1"/>
        <v>#REF!</v>
      </c>
      <c r="AA600" s="33" t="e">
        <f ca="1"/>
        <v>#REF!</v>
      </c>
    </row>
    <row r="601" spans="1:27" s="70" customFormat="1" ht="11.25" x14ac:dyDescent="0.2">
      <c r="A601" s="24">
        <v>595</v>
      </c>
      <c r="B601" s="24"/>
      <c r="C601" s="25"/>
      <c r="D601" s="26"/>
      <c r="E601" s="25"/>
      <c r="F601" s="25"/>
      <c r="G601" s="24"/>
      <c r="H601" s="25" t="e">
        <f ca="1"/>
        <v>#REF!</v>
      </c>
      <c r="I601" s="27" t="e">
        <f ca="1"/>
        <v>#REF!</v>
      </c>
      <c r="J601" s="28" t="e">
        <f ca="1"/>
        <v>#REF!</v>
      </c>
      <c r="K601" s="27" t="e">
        <f ca="1"/>
        <v>#REF!</v>
      </c>
      <c r="L601" s="25" t="e">
        <f ca="1"/>
        <v>#REF!</v>
      </c>
      <c r="M601" s="25" t="e">
        <f ca="1"/>
        <v>#REF!</v>
      </c>
      <c r="N601" s="25" t="e">
        <f ca="1"/>
        <v>#REF!</v>
      </c>
      <c r="O601" s="25" t="e">
        <f ca="1"/>
        <v>#REF!</v>
      </c>
      <c r="P601" s="25" t="e">
        <f ca="1"/>
        <v>#REF!</v>
      </c>
      <c r="Q601" s="25" t="e">
        <f ca="1"/>
        <v>#REF!</v>
      </c>
      <c r="R601" s="25" t="e">
        <f ca="1"/>
        <v>#REF!</v>
      </c>
      <c r="S601" s="25" t="e">
        <f ca="1"/>
        <v>#REF!</v>
      </c>
      <c r="T601" s="25" t="e">
        <f ca="1"/>
        <v>#REF!</v>
      </c>
      <c r="U601" s="25" t="e">
        <f ca="1"/>
        <v>#REF!</v>
      </c>
      <c r="V601" s="25" t="e">
        <f ca="1"/>
        <v>#REF!</v>
      </c>
      <c r="W601" s="33" t="e">
        <f ca="1"/>
        <v>#REF!</v>
      </c>
      <c r="X601" s="33" t="e">
        <f ca="1"/>
        <v>#REF!</v>
      </c>
      <c r="Y601" s="33" t="e">
        <f ca="1"/>
        <v>#REF!</v>
      </c>
      <c r="Z601" s="33" t="e">
        <f ca="1"/>
        <v>#REF!</v>
      </c>
      <c r="AA601" s="33" t="e">
        <f ca="1"/>
        <v>#REF!</v>
      </c>
    </row>
    <row r="602" spans="1:27" s="70" customFormat="1" ht="11.25" x14ac:dyDescent="0.2">
      <c r="A602" s="24">
        <v>596</v>
      </c>
      <c r="B602" s="24"/>
      <c r="C602" s="25"/>
      <c r="D602" s="26"/>
      <c r="E602" s="25"/>
      <c r="F602" s="25"/>
      <c r="G602" s="24"/>
      <c r="H602" s="25" t="e">
        <f ca="1"/>
        <v>#REF!</v>
      </c>
      <c r="I602" s="27" t="e">
        <f ca="1"/>
        <v>#REF!</v>
      </c>
      <c r="J602" s="28" t="e">
        <f ca="1"/>
        <v>#REF!</v>
      </c>
      <c r="K602" s="27" t="e">
        <f ca="1"/>
        <v>#REF!</v>
      </c>
      <c r="L602" s="25" t="e">
        <f ca="1"/>
        <v>#REF!</v>
      </c>
      <c r="M602" s="25" t="e">
        <f ca="1"/>
        <v>#REF!</v>
      </c>
      <c r="N602" s="25" t="e">
        <f ca="1"/>
        <v>#REF!</v>
      </c>
      <c r="O602" s="25" t="e">
        <f ca="1"/>
        <v>#REF!</v>
      </c>
      <c r="P602" s="25" t="e">
        <f ca="1"/>
        <v>#REF!</v>
      </c>
      <c r="Q602" s="25" t="e">
        <f ca="1"/>
        <v>#REF!</v>
      </c>
      <c r="R602" s="25" t="e">
        <f ca="1"/>
        <v>#REF!</v>
      </c>
      <c r="S602" s="25" t="e">
        <f ca="1"/>
        <v>#REF!</v>
      </c>
      <c r="T602" s="25" t="e">
        <f ca="1"/>
        <v>#REF!</v>
      </c>
      <c r="U602" s="25" t="e">
        <f ca="1"/>
        <v>#REF!</v>
      </c>
      <c r="V602" s="25" t="e">
        <f ca="1"/>
        <v>#REF!</v>
      </c>
      <c r="W602" s="33" t="e">
        <f ca="1"/>
        <v>#REF!</v>
      </c>
      <c r="X602" s="33" t="e">
        <f ca="1"/>
        <v>#REF!</v>
      </c>
      <c r="Y602" s="33" t="e">
        <f ca="1"/>
        <v>#REF!</v>
      </c>
      <c r="Z602" s="33" t="e">
        <f ca="1"/>
        <v>#REF!</v>
      </c>
      <c r="AA602" s="33" t="e">
        <f ca="1"/>
        <v>#REF!</v>
      </c>
    </row>
    <row r="603" spans="1:27" s="70" customFormat="1" ht="11.25" x14ac:dyDescent="0.2">
      <c r="A603" s="24">
        <v>597</v>
      </c>
      <c r="B603" s="24"/>
      <c r="C603" s="25"/>
      <c r="D603" s="26"/>
      <c r="E603" s="25"/>
      <c r="F603" s="25"/>
      <c r="G603" s="24"/>
      <c r="H603" s="25" t="e">
        <f ca="1"/>
        <v>#REF!</v>
      </c>
      <c r="I603" s="27" t="e">
        <f ca="1"/>
        <v>#REF!</v>
      </c>
      <c r="J603" s="28" t="e">
        <f ca="1"/>
        <v>#REF!</v>
      </c>
      <c r="K603" s="27" t="e">
        <f ca="1"/>
        <v>#REF!</v>
      </c>
      <c r="L603" s="25" t="e">
        <f ca="1"/>
        <v>#REF!</v>
      </c>
      <c r="M603" s="25" t="e">
        <f ca="1"/>
        <v>#REF!</v>
      </c>
      <c r="N603" s="25" t="e">
        <f ca="1"/>
        <v>#REF!</v>
      </c>
      <c r="O603" s="25" t="e">
        <f ca="1"/>
        <v>#REF!</v>
      </c>
      <c r="P603" s="25" t="e">
        <f ca="1"/>
        <v>#REF!</v>
      </c>
      <c r="Q603" s="25" t="e">
        <f ca="1"/>
        <v>#REF!</v>
      </c>
      <c r="R603" s="25" t="e">
        <f ca="1"/>
        <v>#REF!</v>
      </c>
      <c r="S603" s="25" t="e">
        <f ca="1"/>
        <v>#REF!</v>
      </c>
      <c r="T603" s="25" t="e">
        <f ca="1"/>
        <v>#REF!</v>
      </c>
      <c r="U603" s="25" t="e">
        <f ca="1"/>
        <v>#REF!</v>
      </c>
      <c r="V603" s="25" t="e">
        <f ca="1"/>
        <v>#REF!</v>
      </c>
      <c r="W603" s="33" t="e">
        <f ca="1"/>
        <v>#REF!</v>
      </c>
      <c r="X603" s="33" t="e">
        <f ca="1"/>
        <v>#REF!</v>
      </c>
      <c r="Y603" s="33" t="e">
        <f ca="1"/>
        <v>#REF!</v>
      </c>
      <c r="Z603" s="33" t="e">
        <f ca="1"/>
        <v>#REF!</v>
      </c>
      <c r="AA603" s="33" t="e">
        <f ca="1"/>
        <v>#REF!</v>
      </c>
    </row>
    <row r="604" spans="1:27" s="70" customFormat="1" ht="11.25" x14ac:dyDescent="0.2">
      <c r="A604" s="24">
        <v>598</v>
      </c>
      <c r="B604" s="24"/>
      <c r="C604" s="25"/>
      <c r="D604" s="26"/>
      <c r="E604" s="25"/>
      <c r="F604" s="25"/>
      <c r="G604" s="24"/>
      <c r="H604" s="25" t="e">
        <f ca="1"/>
        <v>#REF!</v>
      </c>
      <c r="I604" s="27" t="e">
        <f ca="1"/>
        <v>#REF!</v>
      </c>
      <c r="J604" s="25" t="e">
        <f ca="1"/>
        <v>#REF!</v>
      </c>
      <c r="K604" s="27" t="e">
        <f ca="1"/>
        <v>#REF!</v>
      </c>
      <c r="L604" s="25" t="e">
        <f ca="1"/>
        <v>#REF!</v>
      </c>
      <c r="M604" s="25" t="e">
        <f ca="1"/>
        <v>#REF!</v>
      </c>
      <c r="N604" s="25" t="e">
        <f ca="1"/>
        <v>#REF!</v>
      </c>
      <c r="O604" s="25" t="e">
        <f ca="1"/>
        <v>#REF!</v>
      </c>
      <c r="P604" s="25" t="e">
        <f ca="1"/>
        <v>#REF!</v>
      </c>
      <c r="Q604" s="25" t="e">
        <f ca="1"/>
        <v>#REF!</v>
      </c>
      <c r="R604" s="25" t="e">
        <f ca="1"/>
        <v>#REF!</v>
      </c>
      <c r="S604" s="25" t="e">
        <f ca="1"/>
        <v>#REF!</v>
      </c>
      <c r="T604" s="25" t="e">
        <f ca="1"/>
        <v>#REF!</v>
      </c>
      <c r="U604" s="25" t="e">
        <f ca="1"/>
        <v>#REF!</v>
      </c>
      <c r="V604" s="25" t="e">
        <f ca="1"/>
        <v>#REF!</v>
      </c>
      <c r="W604" s="33" t="e">
        <f ca="1"/>
        <v>#REF!</v>
      </c>
      <c r="X604" s="33" t="e">
        <f ca="1"/>
        <v>#REF!</v>
      </c>
      <c r="Y604" s="33" t="e">
        <f ca="1"/>
        <v>#REF!</v>
      </c>
      <c r="Z604" s="33" t="e">
        <f ca="1"/>
        <v>#REF!</v>
      </c>
      <c r="AA604" s="33" t="e">
        <f ca="1"/>
        <v>#REF!</v>
      </c>
    </row>
    <row r="605" spans="1:27" s="70" customFormat="1" ht="11.25" x14ac:dyDescent="0.2">
      <c r="A605" s="24">
        <v>599</v>
      </c>
      <c r="B605" s="24"/>
      <c r="C605" s="25"/>
      <c r="D605" s="26"/>
      <c r="E605" s="25"/>
      <c r="F605" s="25"/>
      <c r="G605" s="24"/>
      <c r="H605" s="25" t="e">
        <f ca="1"/>
        <v>#REF!</v>
      </c>
      <c r="I605" s="27" t="e">
        <f ca="1"/>
        <v>#REF!</v>
      </c>
      <c r="J605" s="28" t="e">
        <f ca="1"/>
        <v>#REF!</v>
      </c>
      <c r="K605" s="27" t="e">
        <f ca="1"/>
        <v>#REF!</v>
      </c>
      <c r="L605" s="25" t="e">
        <f ca="1"/>
        <v>#REF!</v>
      </c>
      <c r="M605" s="25" t="e">
        <f ca="1"/>
        <v>#REF!</v>
      </c>
      <c r="N605" s="25" t="e">
        <f ca="1"/>
        <v>#REF!</v>
      </c>
      <c r="O605" s="25" t="e">
        <f ca="1"/>
        <v>#REF!</v>
      </c>
      <c r="P605" s="25" t="e">
        <f ca="1"/>
        <v>#REF!</v>
      </c>
      <c r="Q605" s="25" t="e">
        <f ca="1"/>
        <v>#REF!</v>
      </c>
      <c r="R605" s="25" t="e">
        <f ca="1"/>
        <v>#REF!</v>
      </c>
      <c r="S605" s="25" t="e">
        <f ca="1"/>
        <v>#REF!</v>
      </c>
      <c r="T605" s="25" t="e">
        <f ca="1"/>
        <v>#REF!</v>
      </c>
      <c r="U605" s="25" t="e">
        <f ca="1"/>
        <v>#REF!</v>
      </c>
      <c r="V605" s="25" t="e">
        <f ca="1"/>
        <v>#REF!</v>
      </c>
      <c r="W605" s="33" t="e">
        <f ca="1"/>
        <v>#REF!</v>
      </c>
      <c r="X605" s="33" t="e">
        <f ca="1"/>
        <v>#REF!</v>
      </c>
      <c r="Y605" s="33" t="e">
        <f ca="1"/>
        <v>#REF!</v>
      </c>
      <c r="Z605" s="33" t="e">
        <f ca="1"/>
        <v>#REF!</v>
      </c>
      <c r="AA605" s="33" t="e">
        <f ca="1"/>
        <v>#REF!</v>
      </c>
    </row>
    <row r="606" spans="1:27" s="70" customFormat="1" ht="11.25" x14ac:dyDescent="0.2">
      <c r="A606" s="24">
        <v>600</v>
      </c>
      <c r="B606" s="24"/>
      <c r="C606" s="25"/>
      <c r="D606" s="26"/>
      <c r="E606" s="25"/>
      <c r="F606" s="25"/>
      <c r="G606" s="24"/>
      <c r="H606" s="25" t="e">
        <f ca="1"/>
        <v>#REF!</v>
      </c>
      <c r="I606" s="27" t="e">
        <f ca="1"/>
        <v>#REF!</v>
      </c>
      <c r="J606" s="28" t="e">
        <f ca="1"/>
        <v>#REF!</v>
      </c>
      <c r="K606" s="27" t="e">
        <f ca="1"/>
        <v>#REF!</v>
      </c>
      <c r="L606" s="25" t="e">
        <f ca="1"/>
        <v>#REF!</v>
      </c>
      <c r="M606" s="25" t="e">
        <f ca="1"/>
        <v>#REF!</v>
      </c>
      <c r="N606" s="25" t="e">
        <f ca="1"/>
        <v>#REF!</v>
      </c>
      <c r="O606" s="25" t="e">
        <f ca="1"/>
        <v>#REF!</v>
      </c>
      <c r="P606" s="25" t="e">
        <f ca="1"/>
        <v>#REF!</v>
      </c>
      <c r="Q606" s="25" t="e">
        <f ca="1"/>
        <v>#REF!</v>
      </c>
      <c r="R606" s="25" t="e">
        <f ca="1"/>
        <v>#REF!</v>
      </c>
      <c r="S606" s="25" t="e">
        <f ca="1"/>
        <v>#REF!</v>
      </c>
      <c r="T606" s="25" t="e">
        <f ca="1"/>
        <v>#REF!</v>
      </c>
      <c r="U606" s="25" t="e">
        <f ca="1"/>
        <v>#REF!</v>
      </c>
      <c r="V606" s="25" t="e">
        <f ca="1"/>
        <v>#REF!</v>
      </c>
      <c r="W606" s="33" t="e">
        <f ca="1"/>
        <v>#REF!</v>
      </c>
      <c r="X606" s="33" t="e">
        <f ca="1"/>
        <v>#REF!</v>
      </c>
      <c r="Y606" s="33" t="e">
        <f ca="1"/>
        <v>#REF!</v>
      </c>
      <c r="Z606" s="33" t="e">
        <f ca="1"/>
        <v>#REF!</v>
      </c>
      <c r="AA606" s="33" t="e">
        <f ca="1"/>
        <v>#REF!</v>
      </c>
    </row>
    <row r="607" spans="1:27" s="70" customFormat="1" ht="11.25" x14ac:dyDescent="0.2">
      <c r="A607" s="24">
        <v>601</v>
      </c>
      <c r="B607" s="24"/>
      <c r="C607" s="25"/>
      <c r="D607" s="26"/>
      <c r="E607" s="25"/>
      <c r="F607" s="25"/>
      <c r="G607" s="24"/>
      <c r="H607" s="25" t="e">
        <f ca="1"/>
        <v>#REF!</v>
      </c>
      <c r="I607" s="27" t="e">
        <f ca="1"/>
        <v>#REF!</v>
      </c>
      <c r="J607" s="28" t="e">
        <f ca="1"/>
        <v>#REF!</v>
      </c>
      <c r="K607" s="27" t="e">
        <f ca="1"/>
        <v>#REF!</v>
      </c>
      <c r="L607" s="25" t="e">
        <f ca="1"/>
        <v>#REF!</v>
      </c>
      <c r="M607" s="25" t="e">
        <f ca="1"/>
        <v>#REF!</v>
      </c>
      <c r="N607" s="25" t="e">
        <f ca="1"/>
        <v>#REF!</v>
      </c>
      <c r="O607" s="25" t="e">
        <f ca="1"/>
        <v>#REF!</v>
      </c>
      <c r="P607" s="25" t="e">
        <f ca="1"/>
        <v>#REF!</v>
      </c>
      <c r="Q607" s="25" t="e">
        <f ca="1"/>
        <v>#REF!</v>
      </c>
      <c r="R607" s="25" t="e">
        <f ca="1"/>
        <v>#REF!</v>
      </c>
      <c r="S607" s="25" t="e">
        <f ca="1"/>
        <v>#REF!</v>
      </c>
      <c r="T607" s="25" t="e">
        <f ca="1"/>
        <v>#REF!</v>
      </c>
      <c r="U607" s="25" t="e">
        <f ca="1"/>
        <v>#REF!</v>
      </c>
      <c r="V607" s="25" t="e">
        <f ca="1"/>
        <v>#REF!</v>
      </c>
      <c r="W607" s="33" t="e">
        <f ca="1"/>
        <v>#REF!</v>
      </c>
      <c r="X607" s="33" t="e">
        <f ca="1"/>
        <v>#REF!</v>
      </c>
      <c r="Y607" s="33" t="e">
        <f ca="1"/>
        <v>#REF!</v>
      </c>
      <c r="Z607" s="33" t="e">
        <f ca="1"/>
        <v>#REF!</v>
      </c>
      <c r="AA607" s="33" t="e">
        <f ca="1"/>
        <v>#REF!</v>
      </c>
    </row>
    <row r="608" spans="1:27" s="70" customFormat="1" ht="11.25" x14ac:dyDescent="0.2">
      <c r="A608" s="24">
        <v>602</v>
      </c>
      <c r="B608" s="24"/>
      <c r="C608" s="25"/>
      <c r="D608" s="26"/>
      <c r="E608" s="25"/>
      <c r="F608" s="25"/>
      <c r="G608" s="24"/>
      <c r="H608" s="25" t="e">
        <f ca="1"/>
        <v>#REF!</v>
      </c>
      <c r="I608" s="27" t="e">
        <f ca="1"/>
        <v>#REF!</v>
      </c>
      <c r="J608" s="28" t="e">
        <f ca="1"/>
        <v>#REF!</v>
      </c>
      <c r="K608" s="27" t="e">
        <f ca="1"/>
        <v>#REF!</v>
      </c>
      <c r="L608" s="25" t="e">
        <f ca="1"/>
        <v>#REF!</v>
      </c>
      <c r="M608" s="25" t="e">
        <f ca="1"/>
        <v>#REF!</v>
      </c>
      <c r="N608" s="25" t="e">
        <f ca="1"/>
        <v>#REF!</v>
      </c>
      <c r="O608" s="25" t="e">
        <f ca="1"/>
        <v>#REF!</v>
      </c>
      <c r="P608" s="25" t="e">
        <f ca="1"/>
        <v>#REF!</v>
      </c>
      <c r="Q608" s="25" t="e">
        <f ca="1"/>
        <v>#REF!</v>
      </c>
      <c r="R608" s="25" t="e">
        <f ca="1"/>
        <v>#REF!</v>
      </c>
      <c r="S608" s="25" t="e">
        <f ca="1"/>
        <v>#REF!</v>
      </c>
      <c r="T608" s="25" t="e">
        <f ca="1"/>
        <v>#REF!</v>
      </c>
      <c r="U608" s="25" t="e">
        <f ca="1"/>
        <v>#REF!</v>
      </c>
      <c r="V608" s="25" t="e">
        <f ca="1"/>
        <v>#REF!</v>
      </c>
      <c r="W608" s="33" t="e">
        <f ca="1"/>
        <v>#REF!</v>
      </c>
      <c r="X608" s="33" t="e">
        <f ca="1"/>
        <v>#REF!</v>
      </c>
      <c r="Y608" s="33" t="e">
        <f ca="1"/>
        <v>#REF!</v>
      </c>
      <c r="Z608" s="33" t="e">
        <f ca="1"/>
        <v>#REF!</v>
      </c>
      <c r="AA608" s="33" t="e">
        <f ca="1"/>
        <v>#REF!</v>
      </c>
    </row>
    <row r="609" spans="1:27" s="70" customFormat="1" ht="11.25" x14ac:dyDescent="0.2">
      <c r="A609" s="24">
        <v>603</v>
      </c>
      <c r="B609" s="24"/>
      <c r="C609" s="25"/>
      <c r="D609" s="26"/>
      <c r="E609" s="25"/>
      <c r="F609" s="25"/>
      <c r="G609" s="24"/>
      <c r="H609" s="25" t="e">
        <f ca="1"/>
        <v>#REF!</v>
      </c>
      <c r="I609" s="27" t="e">
        <f ca="1"/>
        <v>#REF!</v>
      </c>
      <c r="J609" s="28" t="e">
        <f ca="1"/>
        <v>#REF!</v>
      </c>
      <c r="K609" s="27" t="e">
        <f ca="1"/>
        <v>#REF!</v>
      </c>
      <c r="L609" s="25" t="e">
        <f ca="1"/>
        <v>#REF!</v>
      </c>
      <c r="M609" s="25" t="e">
        <f ca="1"/>
        <v>#REF!</v>
      </c>
      <c r="N609" s="25" t="e">
        <f ca="1"/>
        <v>#REF!</v>
      </c>
      <c r="O609" s="25" t="e">
        <f ca="1"/>
        <v>#REF!</v>
      </c>
      <c r="P609" s="25" t="e">
        <f ca="1"/>
        <v>#REF!</v>
      </c>
      <c r="Q609" s="25" t="e">
        <f ca="1"/>
        <v>#REF!</v>
      </c>
      <c r="R609" s="25" t="e">
        <f ca="1"/>
        <v>#REF!</v>
      </c>
      <c r="S609" s="25" t="e">
        <f ca="1"/>
        <v>#REF!</v>
      </c>
      <c r="T609" s="25" t="e">
        <f ca="1"/>
        <v>#REF!</v>
      </c>
      <c r="U609" s="25" t="e">
        <f ca="1"/>
        <v>#REF!</v>
      </c>
      <c r="V609" s="25" t="e">
        <f ca="1"/>
        <v>#REF!</v>
      </c>
      <c r="W609" s="33" t="e">
        <f ca="1"/>
        <v>#REF!</v>
      </c>
      <c r="X609" s="33" t="e">
        <f ca="1"/>
        <v>#REF!</v>
      </c>
      <c r="Y609" s="33" t="e">
        <f ca="1"/>
        <v>#REF!</v>
      </c>
      <c r="Z609" s="33" t="e">
        <f ca="1"/>
        <v>#REF!</v>
      </c>
      <c r="AA609" s="33" t="e">
        <f ca="1"/>
        <v>#REF!</v>
      </c>
    </row>
    <row r="610" spans="1:27" s="70" customFormat="1" ht="11.25" x14ac:dyDescent="0.2">
      <c r="A610" s="24">
        <v>604</v>
      </c>
      <c r="B610" s="24"/>
      <c r="C610" s="25"/>
      <c r="D610" s="26"/>
      <c r="E610" s="25"/>
      <c r="F610" s="25"/>
      <c r="G610" s="24"/>
      <c r="H610" s="25" t="e">
        <f ca="1"/>
        <v>#REF!</v>
      </c>
      <c r="I610" s="27" t="e">
        <f ca="1"/>
        <v>#REF!</v>
      </c>
      <c r="J610" s="28" t="e">
        <f ca="1"/>
        <v>#REF!</v>
      </c>
      <c r="K610" s="27" t="e">
        <f ca="1"/>
        <v>#REF!</v>
      </c>
      <c r="L610" s="25" t="e">
        <f ca="1"/>
        <v>#REF!</v>
      </c>
      <c r="M610" s="25" t="e">
        <f ca="1"/>
        <v>#REF!</v>
      </c>
      <c r="N610" s="25" t="e">
        <f ca="1"/>
        <v>#REF!</v>
      </c>
      <c r="O610" s="25" t="e">
        <f ca="1"/>
        <v>#REF!</v>
      </c>
      <c r="P610" s="25" t="e">
        <f ca="1"/>
        <v>#REF!</v>
      </c>
      <c r="Q610" s="25" t="e">
        <f ca="1"/>
        <v>#REF!</v>
      </c>
      <c r="R610" s="25" t="e">
        <f ca="1"/>
        <v>#REF!</v>
      </c>
      <c r="S610" s="25" t="e">
        <f ca="1"/>
        <v>#REF!</v>
      </c>
      <c r="T610" s="25" t="e">
        <f ca="1"/>
        <v>#REF!</v>
      </c>
      <c r="U610" s="25" t="e">
        <f ca="1"/>
        <v>#REF!</v>
      </c>
      <c r="V610" s="25" t="e">
        <f ca="1"/>
        <v>#REF!</v>
      </c>
      <c r="W610" s="33" t="e">
        <f ca="1"/>
        <v>#REF!</v>
      </c>
      <c r="X610" s="33" t="e">
        <f ca="1"/>
        <v>#REF!</v>
      </c>
      <c r="Y610" s="33" t="e">
        <f ca="1"/>
        <v>#REF!</v>
      </c>
      <c r="Z610" s="33" t="e">
        <f ca="1"/>
        <v>#REF!</v>
      </c>
      <c r="AA610" s="33" t="e">
        <f ca="1"/>
        <v>#REF!</v>
      </c>
    </row>
    <row r="611" spans="1:27" s="70" customFormat="1" ht="11.25" x14ac:dyDescent="0.2">
      <c r="A611" s="24">
        <v>605</v>
      </c>
      <c r="B611" s="24"/>
      <c r="C611" s="25"/>
      <c r="D611" s="26"/>
      <c r="E611" s="25"/>
      <c r="F611" s="25"/>
      <c r="G611" s="24"/>
      <c r="H611" s="25" t="e">
        <f ca="1"/>
        <v>#REF!</v>
      </c>
      <c r="I611" s="27" t="e">
        <f ca="1"/>
        <v>#REF!</v>
      </c>
      <c r="J611" s="28" t="e">
        <f ca="1"/>
        <v>#REF!</v>
      </c>
      <c r="K611" s="27" t="e">
        <f ca="1"/>
        <v>#REF!</v>
      </c>
      <c r="L611" s="25" t="e">
        <f ca="1"/>
        <v>#REF!</v>
      </c>
      <c r="M611" s="25" t="e">
        <f ca="1"/>
        <v>#REF!</v>
      </c>
      <c r="N611" s="25" t="e">
        <f ca="1"/>
        <v>#REF!</v>
      </c>
      <c r="O611" s="25" t="e">
        <f ca="1"/>
        <v>#REF!</v>
      </c>
      <c r="P611" s="25" t="e">
        <f ca="1"/>
        <v>#REF!</v>
      </c>
      <c r="Q611" s="25" t="e">
        <f ca="1"/>
        <v>#REF!</v>
      </c>
      <c r="R611" s="25" t="e">
        <f ca="1"/>
        <v>#REF!</v>
      </c>
      <c r="S611" s="25" t="e">
        <f ca="1"/>
        <v>#REF!</v>
      </c>
      <c r="T611" s="25" t="e">
        <f ca="1"/>
        <v>#REF!</v>
      </c>
      <c r="U611" s="25" t="e">
        <f ca="1"/>
        <v>#REF!</v>
      </c>
      <c r="V611" s="25" t="e">
        <f ca="1"/>
        <v>#REF!</v>
      </c>
      <c r="W611" s="33" t="e">
        <f ca="1"/>
        <v>#REF!</v>
      </c>
      <c r="X611" s="33" t="e">
        <f ca="1"/>
        <v>#REF!</v>
      </c>
      <c r="Y611" s="33" t="e">
        <f ca="1"/>
        <v>#REF!</v>
      </c>
      <c r="Z611" s="33" t="e">
        <f ca="1"/>
        <v>#REF!</v>
      </c>
      <c r="AA611" s="33" t="e">
        <f ca="1"/>
        <v>#REF!</v>
      </c>
    </row>
    <row r="612" spans="1:27" s="70" customFormat="1" ht="11.25" x14ac:dyDescent="0.2">
      <c r="A612" s="24">
        <v>606</v>
      </c>
      <c r="B612" s="24"/>
      <c r="C612" s="25"/>
      <c r="D612" s="26"/>
      <c r="E612" s="25"/>
      <c r="F612" s="25"/>
      <c r="G612" s="24"/>
      <c r="H612" s="25" t="e">
        <f ca="1"/>
        <v>#REF!</v>
      </c>
      <c r="I612" s="27" t="e">
        <f ca="1"/>
        <v>#REF!</v>
      </c>
      <c r="J612" s="28" t="e">
        <f ca="1"/>
        <v>#REF!</v>
      </c>
      <c r="K612" s="27" t="e">
        <f ca="1"/>
        <v>#REF!</v>
      </c>
      <c r="L612" s="25" t="e">
        <f ca="1"/>
        <v>#REF!</v>
      </c>
      <c r="M612" s="25" t="e">
        <f ca="1"/>
        <v>#REF!</v>
      </c>
      <c r="N612" s="25" t="e">
        <f ca="1"/>
        <v>#REF!</v>
      </c>
      <c r="O612" s="25" t="e">
        <f ca="1"/>
        <v>#REF!</v>
      </c>
      <c r="P612" s="25" t="e">
        <f ca="1"/>
        <v>#REF!</v>
      </c>
      <c r="Q612" s="25" t="e">
        <f ca="1"/>
        <v>#REF!</v>
      </c>
      <c r="R612" s="25" t="e">
        <f ca="1"/>
        <v>#REF!</v>
      </c>
      <c r="S612" s="25" t="e">
        <f ca="1"/>
        <v>#REF!</v>
      </c>
      <c r="T612" s="25" t="e">
        <f ca="1"/>
        <v>#REF!</v>
      </c>
      <c r="U612" s="25" t="e">
        <f ca="1"/>
        <v>#REF!</v>
      </c>
      <c r="V612" s="25" t="e">
        <f ca="1"/>
        <v>#REF!</v>
      </c>
      <c r="W612" s="33" t="e">
        <f ca="1"/>
        <v>#REF!</v>
      </c>
      <c r="X612" s="33" t="e">
        <f ca="1"/>
        <v>#REF!</v>
      </c>
      <c r="Y612" s="33" t="e">
        <f ca="1"/>
        <v>#REF!</v>
      </c>
      <c r="Z612" s="33" t="e">
        <f ca="1"/>
        <v>#REF!</v>
      </c>
      <c r="AA612" s="33" t="e">
        <f ca="1"/>
        <v>#REF!</v>
      </c>
    </row>
    <row r="613" spans="1:27" s="70" customFormat="1" ht="11.25" x14ac:dyDescent="0.2">
      <c r="A613" s="24">
        <v>607</v>
      </c>
      <c r="B613" s="24"/>
      <c r="C613" s="25"/>
      <c r="D613" s="26"/>
      <c r="E613" s="25"/>
      <c r="F613" s="25"/>
      <c r="G613" s="24"/>
      <c r="H613" s="25" t="e">
        <f ca="1"/>
        <v>#REF!</v>
      </c>
      <c r="I613" s="27" t="e">
        <f ca="1"/>
        <v>#REF!</v>
      </c>
      <c r="J613" s="28" t="e">
        <f ca="1"/>
        <v>#REF!</v>
      </c>
      <c r="K613" s="27" t="e">
        <f ca="1"/>
        <v>#REF!</v>
      </c>
      <c r="L613" s="25" t="e">
        <f ca="1"/>
        <v>#REF!</v>
      </c>
      <c r="M613" s="25" t="e">
        <f ca="1"/>
        <v>#REF!</v>
      </c>
      <c r="N613" s="25" t="e">
        <f ca="1"/>
        <v>#REF!</v>
      </c>
      <c r="O613" s="25" t="e">
        <f ca="1"/>
        <v>#REF!</v>
      </c>
      <c r="P613" s="25" t="e">
        <f ca="1"/>
        <v>#REF!</v>
      </c>
      <c r="Q613" s="25" t="e">
        <f ca="1"/>
        <v>#REF!</v>
      </c>
      <c r="R613" s="25" t="e">
        <f ca="1"/>
        <v>#REF!</v>
      </c>
      <c r="S613" s="25" t="e">
        <f ca="1"/>
        <v>#REF!</v>
      </c>
      <c r="T613" s="25" t="e">
        <f ca="1"/>
        <v>#REF!</v>
      </c>
      <c r="U613" s="25" t="e">
        <f ca="1"/>
        <v>#REF!</v>
      </c>
      <c r="V613" s="25" t="e">
        <f ca="1"/>
        <v>#REF!</v>
      </c>
      <c r="W613" s="33" t="e">
        <f ca="1"/>
        <v>#REF!</v>
      </c>
      <c r="X613" s="33" t="e">
        <f ca="1"/>
        <v>#REF!</v>
      </c>
      <c r="Y613" s="33" t="e">
        <f ca="1"/>
        <v>#REF!</v>
      </c>
      <c r="Z613" s="33" t="e">
        <f ca="1"/>
        <v>#REF!</v>
      </c>
      <c r="AA613" s="33" t="e">
        <f ca="1"/>
        <v>#REF!</v>
      </c>
    </row>
    <row r="614" spans="1:27" s="70" customFormat="1" ht="11.25" x14ac:dyDescent="0.2">
      <c r="A614" s="24">
        <v>608</v>
      </c>
      <c r="B614" s="24"/>
      <c r="C614" s="25"/>
      <c r="D614" s="26"/>
      <c r="E614" s="25"/>
      <c r="F614" s="25"/>
      <c r="G614" s="24"/>
      <c r="H614" s="25" t="e">
        <f ca="1"/>
        <v>#REF!</v>
      </c>
      <c r="I614" s="27" t="e">
        <f ca="1"/>
        <v>#REF!</v>
      </c>
      <c r="J614" s="28" t="e">
        <f ca="1"/>
        <v>#REF!</v>
      </c>
      <c r="K614" s="27" t="e">
        <f ca="1"/>
        <v>#REF!</v>
      </c>
      <c r="L614" s="25" t="e">
        <f ca="1"/>
        <v>#REF!</v>
      </c>
      <c r="M614" s="25" t="e">
        <f ca="1"/>
        <v>#REF!</v>
      </c>
      <c r="N614" s="25" t="e">
        <f ca="1"/>
        <v>#REF!</v>
      </c>
      <c r="O614" s="25" t="e">
        <f ca="1"/>
        <v>#REF!</v>
      </c>
      <c r="P614" s="25" t="e">
        <f ca="1"/>
        <v>#REF!</v>
      </c>
      <c r="Q614" s="25" t="e">
        <f ca="1"/>
        <v>#REF!</v>
      </c>
      <c r="R614" s="25" t="e">
        <f ca="1"/>
        <v>#REF!</v>
      </c>
      <c r="S614" s="25" t="e">
        <f ca="1"/>
        <v>#REF!</v>
      </c>
      <c r="T614" s="25" t="e">
        <f ca="1"/>
        <v>#REF!</v>
      </c>
      <c r="U614" s="25" t="e">
        <f ca="1"/>
        <v>#REF!</v>
      </c>
      <c r="V614" s="25" t="e">
        <f ca="1"/>
        <v>#REF!</v>
      </c>
      <c r="W614" s="33" t="e">
        <f ca="1"/>
        <v>#REF!</v>
      </c>
      <c r="X614" s="33" t="e">
        <f ca="1"/>
        <v>#REF!</v>
      </c>
      <c r="Y614" s="33" t="e">
        <f ca="1"/>
        <v>#REF!</v>
      </c>
      <c r="Z614" s="33" t="e">
        <f ca="1"/>
        <v>#REF!</v>
      </c>
      <c r="AA614" s="33" t="e">
        <f ca="1"/>
        <v>#REF!</v>
      </c>
    </row>
    <row r="615" spans="1:27" s="70" customFormat="1" ht="11.25" x14ac:dyDescent="0.2">
      <c r="A615" s="24">
        <v>609</v>
      </c>
      <c r="B615" s="24"/>
      <c r="C615" s="25"/>
      <c r="D615" s="26"/>
      <c r="E615" s="25"/>
      <c r="F615" s="25"/>
      <c r="G615" s="24"/>
      <c r="H615" s="25" t="e">
        <f ca="1"/>
        <v>#REF!</v>
      </c>
      <c r="I615" s="27" t="e">
        <f ca="1"/>
        <v>#REF!</v>
      </c>
      <c r="J615" s="28" t="e">
        <f ca="1"/>
        <v>#REF!</v>
      </c>
      <c r="K615" s="27" t="e">
        <f ca="1"/>
        <v>#REF!</v>
      </c>
      <c r="L615" s="25" t="e">
        <f ca="1"/>
        <v>#REF!</v>
      </c>
      <c r="M615" s="25" t="e">
        <f ca="1"/>
        <v>#REF!</v>
      </c>
      <c r="N615" s="25" t="e">
        <f ca="1"/>
        <v>#REF!</v>
      </c>
      <c r="O615" s="25" t="e">
        <f ca="1"/>
        <v>#REF!</v>
      </c>
      <c r="P615" s="25" t="e">
        <f ca="1"/>
        <v>#REF!</v>
      </c>
      <c r="Q615" s="25" t="e">
        <f ca="1"/>
        <v>#REF!</v>
      </c>
      <c r="R615" s="25" t="e">
        <f ca="1"/>
        <v>#REF!</v>
      </c>
      <c r="S615" s="25" t="e">
        <f ca="1"/>
        <v>#REF!</v>
      </c>
      <c r="T615" s="25" t="e">
        <f ca="1"/>
        <v>#REF!</v>
      </c>
      <c r="U615" s="25" t="e">
        <f ca="1"/>
        <v>#REF!</v>
      </c>
      <c r="V615" s="25" t="e">
        <f ca="1"/>
        <v>#REF!</v>
      </c>
      <c r="W615" s="33" t="e">
        <f ca="1"/>
        <v>#REF!</v>
      </c>
      <c r="X615" s="33" t="e">
        <f ca="1"/>
        <v>#REF!</v>
      </c>
      <c r="Y615" s="33" t="e">
        <f ca="1"/>
        <v>#REF!</v>
      </c>
      <c r="Z615" s="33" t="e">
        <f ca="1"/>
        <v>#REF!</v>
      </c>
      <c r="AA615" s="33" t="e">
        <f ca="1"/>
        <v>#REF!</v>
      </c>
    </row>
    <row r="616" spans="1:27" s="70" customFormat="1" ht="11.25" x14ac:dyDescent="0.2">
      <c r="A616" s="24">
        <v>610</v>
      </c>
      <c r="B616" s="24"/>
      <c r="C616" s="25"/>
      <c r="D616" s="26"/>
      <c r="E616" s="25"/>
      <c r="F616" s="25"/>
      <c r="G616" s="24"/>
      <c r="H616" s="25" t="e">
        <f ca="1"/>
        <v>#REF!</v>
      </c>
      <c r="I616" s="27" t="e">
        <f ca="1"/>
        <v>#REF!</v>
      </c>
      <c r="J616" s="28" t="e">
        <f ca="1"/>
        <v>#REF!</v>
      </c>
      <c r="K616" s="27" t="e">
        <f ca="1"/>
        <v>#REF!</v>
      </c>
      <c r="L616" s="25" t="e">
        <f ca="1"/>
        <v>#REF!</v>
      </c>
      <c r="M616" s="25" t="e">
        <f ca="1"/>
        <v>#REF!</v>
      </c>
      <c r="N616" s="25" t="e">
        <f ca="1"/>
        <v>#REF!</v>
      </c>
      <c r="O616" s="25" t="e">
        <f ca="1"/>
        <v>#REF!</v>
      </c>
      <c r="P616" s="25" t="e">
        <f ca="1"/>
        <v>#REF!</v>
      </c>
      <c r="Q616" s="25" t="e">
        <f ca="1"/>
        <v>#REF!</v>
      </c>
      <c r="R616" s="25" t="e">
        <f ca="1"/>
        <v>#REF!</v>
      </c>
      <c r="S616" s="25" t="e">
        <f ca="1"/>
        <v>#REF!</v>
      </c>
      <c r="T616" s="25" t="e">
        <f ca="1"/>
        <v>#REF!</v>
      </c>
      <c r="U616" s="25" t="e">
        <f ca="1"/>
        <v>#REF!</v>
      </c>
      <c r="V616" s="25" t="e">
        <f ca="1"/>
        <v>#REF!</v>
      </c>
      <c r="W616" s="33" t="e">
        <f ca="1"/>
        <v>#REF!</v>
      </c>
      <c r="X616" s="33" t="e">
        <f ca="1"/>
        <v>#REF!</v>
      </c>
      <c r="Y616" s="33" t="e">
        <f ca="1"/>
        <v>#REF!</v>
      </c>
      <c r="Z616" s="33" t="e">
        <f ca="1"/>
        <v>#REF!</v>
      </c>
      <c r="AA616" s="33" t="e">
        <f ca="1"/>
        <v>#REF!</v>
      </c>
    </row>
    <row r="617" spans="1:27" s="70" customFormat="1" ht="11.25" x14ac:dyDescent="0.2">
      <c r="A617" s="24">
        <v>611</v>
      </c>
      <c r="B617" s="24"/>
      <c r="C617" s="25"/>
      <c r="D617" s="26"/>
      <c r="E617" s="25"/>
      <c r="F617" s="25"/>
      <c r="G617" s="24"/>
      <c r="H617" s="25" t="e">
        <f ca="1"/>
        <v>#REF!</v>
      </c>
      <c r="I617" s="27" t="e">
        <f ca="1"/>
        <v>#REF!</v>
      </c>
      <c r="J617" s="28" t="e">
        <f ca="1"/>
        <v>#REF!</v>
      </c>
      <c r="K617" s="27" t="e">
        <f ca="1"/>
        <v>#REF!</v>
      </c>
      <c r="L617" s="25" t="e">
        <f ca="1"/>
        <v>#REF!</v>
      </c>
      <c r="M617" s="25" t="e">
        <f ca="1"/>
        <v>#REF!</v>
      </c>
      <c r="N617" s="25" t="e">
        <f ca="1"/>
        <v>#REF!</v>
      </c>
      <c r="O617" s="25" t="e">
        <f ca="1"/>
        <v>#REF!</v>
      </c>
      <c r="P617" s="25" t="e">
        <f ca="1"/>
        <v>#REF!</v>
      </c>
      <c r="Q617" s="25" t="e">
        <f ca="1"/>
        <v>#REF!</v>
      </c>
      <c r="R617" s="25" t="e">
        <f ca="1"/>
        <v>#REF!</v>
      </c>
      <c r="S617" s="25" t="e">
        <f ca="1"/>
        <v>#REF!</v>
      </c>
      <c r="T617" s="25" t="e">
        <f ca="1"/>
        <v>#REF!</v>
      </c>
      <c r="U617" s="25" t="e">
        <f ca="1"/>
        <v>#REF!</v>
      </c>
      <c r="V617" s="25" t="e">
        <f ca="1"/>
        <v>#REF!</v>
      </c>
      <c r="W617" s="33" t="e">
        <f ca="1"/>
        <v>#REF!</v>
      </c>
      <c r="X617" s="33" t="e">
        <f ca="1"/>
        <v>#REF!</v>
      </c>
      <c r="Y617" s="33" t="e">
        <f ca="1"/>
        <v>#REF!</v>
      </c>
      <c r="Z617" s="33" t="e">
        <f ca="1"/>
        <v>#REF!</v>
      </c>
      <c r="AA617" s="33" t="e">
        <f ca="1"/>
        <v>#REF!</v>
      </c>
    </row>
    <row r="618" spans="1:27" s="70" customFormat="1" ht="11.25" x14ac:dyDescent="0.2">
      <c r="A618" s="24">
        <v>612</v>
      </c>
      <c r="B618" s="24"/>
      <c r="C618" s="25"/>
      <c r="D618" s="26"/>
      <c r="E618" s="25"/>
      <c r="F618" s="25"/>
      <c r="G618" s="24"/>
      <c r="H618" s="25" t="e">
        <f ca="1"/>
        <v>#REF!</v>
      </c>
      <c r="I618" s="27" t="e">
        <f ca="1"/>
        <v>#REF!</v>
      </c>
      <c r="J618" s="28" t="e">
        <f ca="1"/>
        <v>#REF!</v>
      </c>
      <c r="K618" s="27" t="e">
        <f ca="1"/>
        <v>#REF!</v>
      </c>
      <c r="L618" s="25" t="e">
        <f ca="1"/>
        <v>#REF!</v>
      </c>
      <c r="M618" s="25" t="e">
        <f ca="1"/>
        <v>#REF!</v>
      </c>
      <c r="N618" s="25" t="e">
        <f ca="1"/>
        <v>#REF!</v>
      </c>
      <c r="O618" s="25" t="e">
        <f ca="1"/>
        <v>#REF!</v>
      </c>
      <c r="P618" s="25" t="e">
        <f ca="1"/>
        <v>#REF!</v>
      </c>
      <c r="Q618" s="25" t="e">
        <f ca="1"/>
        <v>#REF!</v>
      </c>
      <c r="R618" s="25" t="e">
        <f ca="1"/>
        <v>#REF!</v>
      </c>
      <c r="S618" s="25" t="e">
        <f ca="1"/>
        <v>#REF!</v>
      </c>
      <c r="T618" s="25" t="e">
        <f ca="1"/>
        <v>#REF!</v>
      </c>
      <c r="U618" s="25" t="e">
        <f ca="1"/>
        <v>#REF!</v>
      </c>
      <c r="V618" s="25" t="e">
        <f ca="1"/>
        <v>#REF!</v>
      </c>
      <c r="W618" s="33" t="e">
        <f ca="1"/>
        <v>#REF!</v>
      </c>
      <c r="X618" s="33" t="e">
        <f ca="1"/>
        <v>#REF!</v>
      </c>
      <c r="Y618" s="33" t="e">
        <f ca="1"/>
        <v>#REF!</v>
      </c>
      <c r="Z618" s="33" t="e">
        <f ca="1"/>
        <v>#REF!</v>
      </c>
      <c r="AA618" s="33" t="e">
        <f ca="1"/>
        <v>#REF!</v>
      </c>
    </row>
    <row r="619" spans="1:27" s="70" customFormat="1" ht="11.25" x14ac:dyDescent="0.2">
      <c r="A619" s="24">
        <v>613</v>
      </c>
      <c r="B619" s="24"/>
      <c r="C619" s="25"/>
      <c r="D619" s="26"/>
      <c r="E619" s="25"/>
      <c r="F619" s="25"/>
      <c r="G619" s="24"/>
      <c r="H619" s="25" t="e">
        <f ca="1"/>
        <v>#REF!</v>
      </c>
      <c r="I619" s="27" t="e">
        <f ca="1"/>
        <v>#REF!</v>
      </c>
      <c r="J619" s="25" t="e">
        <f ca="1"/>
        <v>#REF!</v>
      </c>
      <c r="K619" s="27" t="e">
        <f ca="1"/>
        <v>#REF!</v>
      </c>
      <c r="L619" s="25" t="e">
        <f ca="1"/>
        <v>#REF!</v>
      </c>
      <c r="M619" s="25" t="e">
        <f ca="1"/>
        <v>#REF!</v>
      </c>
      <c r="N619" s="25" t="e">
        <f ca="1"/>
        <v>#REF!</v>
      </c>
      <c r="O619" s="25" t="e">
        <f ca="1"/>
        <v>#REF!</v>
      </c>
      <c r="P619" s="25" t="e">
        <f ca="1"/>
        <v>#REF!</v>
      </c>
      <c r="Q619" s="25" t="e">
        <f ca="1"/>
        <v>#REF!</v>
      </c>
      <c r="R619" s="25" t="e">
        <f ca="1"/>
        <v>#REF!</v>
      </c>
      <c r="S619" s="25" t="e">
        <f ca="1"/>
        <v>#REF!</v>
      </c>
      <c r="T619" s="25" t="e">
        <f ca="1"/>
        <v>#REF!</v>
      </c>
      <c r="U619" s="25" t="e">
        <f ca="1"/>
        <v>#REF!</v>
      </c>
      <c r="V619" s="25" t="e">
        <f ca="1"/>
        <v>#REF!</v>
      </c>
      <c r="W619" s="33" t="e">
        <f ca="1"/>
        <v>#REF!</v>
      </c>
      <c r="X619" s="33" t="e">
        <f ca="1"/>
        <v>#REF!</v>
      </c>
      <c r="Y619" s="33" t="e">
        <f ca="1"/>
        <v>#REF!</v>
      </c>
      <c r="Z619" s="33" t="e">
        <f ca="1"/>
        <v>#REF!</v>
      </c>
      <c r="AA619" s="33" t="e">
        <f ca="1"/>
        <v>#REF!</v>
      </c>
    </row>
    <row r="620" spans="1:27" s="70" customFormat="1" ht="11.25" x14ac:dyDescent="0.2">
      <c r="A620" s="24">
        <v>614</v>
      </c>
      <c r="B620" s="24"/>
      <c r="C620" s="25"/>
      <c r="D620" s="26"/>
      <c r="E620" s="25"/>
      <c r="F620" s="25"/>
      <c r="G620" s="24"/>
      <c r="H620" s="25" t="e">
        <f ca="1"/>
        <v>#REF!</v>
      </c>
      <c r="I620" s="27" t="e">
        <f ca="1"/>
        <v>#REF!</v>
      </c>
      <c r="J620" s="25" t="e">
        <f ca="1"/>
        <v>#REF!</v>
      </c>
      <c r="K620" s="27" t="e">
        <f ca="1"/>
        <v>#REF!</v>
      </c>
      <c r="L620" s="25" t="e">
        <f ca="1"/>
        <v>#REF!</v>
      </c>
      <c r="M620" s="25" t="e">
        <f ca="1"/>
        <v>#REF!</v>
      </c>
      <c r="N620" s="25" t="e">
        <f ca="1"/>
        <v>#REF!</v>
      </c>
      <c r="O620" s="25" t="e">
        <f ca="1"/>
        <v>#REF!</v>
      </c>
      <c r="P620" s="25" t="e">
        <f ca="1"/>
        <v>#REF!</v>
      </c>
      <c r="Q620" s="25" t="e">
        <f ca="1"/>
        <v>#REF!</v>
      </c>
      <c r="R620" s="25" t="e">
        <f ca="1"/>
        <v>#REF!</v>
      </c>
      <c r="S620" s="25" t="e">
        <f ca="1"/>
        <v>#REF!</v>
      </c>
      <c r="T620" s="25" t="e">
        <f ca="1"/>
        <v>#REF!</v>
      </c>
      <c r="U620" s="25" t="e">
        <f ca="1"/>
        <v>#REF!</v>
      </c>
      <c r="V620" s="25" t="e">
        <f ca="1"/>
        <v>#REF!</v>
      </c>
      <c r="W620" s="33" t="e">
        <f ca="1"/>
        <v>#REF!</v>
      </c>
      <c r="X620" s="33" t="e">
        <f ca="1"/>
        <v>#REF!</v>
      </c>
      <c r="Y620" s="33" t="e">
        <f ca="1"/>
        <v>#REF!</v>
      </c>
      <c r="Z620" s="33" t="e">
        <f ca="1"/>
        <v>#REF!</v>
      </c>
      <c r="AA620" s="33" t="e">
        <f ca="1"/>
        <v>#REF!</v>
      </c>
    </row>
    <row r="621" spans="1:27" s="70" customFormat="1" ht="11.25" x14ac:dyDescent="0.2">
      <c r="A621" s="24">
        <v>615</v>
      </c>
      <c r="B621" s="24"/>
      <c r="C621" s="25"/>
      <c r="D621" s="26"/>
      <c r="E621" s="25"/>
      <c r="F621" s="25"/>
      <c r="G621" s="24"/>
      <c r="H621" s="25" t="e">
        <f ca="1"/>
        <v>#REF!</v>
      </c>
      <c r="I621" s="27" t="e">
        <f ca="1"/>
        <v>#REF!</v>
      </c>
      <c r="J621" s="25" t="e">
        <f ca="1"/>
        <v>#REF!</v>
      </c>
      <c r="K621" s="27" t="e">
        <f ca="1"/>
        <v>#REF!</v>
      </c>
      <c r="L621" s="25" t="e">
        <f ca="1"/>
        <v>#REF!</v>
      </c>
      <c r="M621" s="25" t="e">
        <f ca="1"/>
        <v>#REF!</v>
      </c>
      <c r="N621" s="25" t="e">
        <f ca="1"/>
        <v>#REF!</v>
      </c>
      <c r="O621" s="25" t="e">
        <f ca="1"/>
        <v>#REF!</v>
      </c>
      <c r="P621" s="25" t="e">
        <f ca="1"/>
        <v>#REF!</v>
      </c>
      <c r="Q621" s="25" t="e">
        <f ca="1"/>
        <v>#REF!</v>
      </c>
      <c r="R621" s="25" t="e">
        <f ca="1"/>
        <v>#REF!</v>
      </c>
      <c r="S621" s="25" t="e">
        <f ca="1"/>
        <v>#REF!</v>
      </c>
      <c r="T621" s="25" t="e">
        <f ca="1"/>
        <v>#REF!</v>
      </c>
      <c r="U621" s="25" t="e">
        <f ca="1"/>
        <v>#REF!</v>
      </c>
      <c r="V621" s="25" t="e">
        <f ca="1"/>
        <v>#REF!</v>
      </c>
      <c r="W621" s="33" t="e">
        <f ca="1"/>
        <v>#REF!</v>
      </c>
      <c r="X621" s="33" t="e">
        <f ca="1"/>
        <v>#REF!</v>
      </c>
      <c r="Y621" s="33" t="e">
        <f ca="1"/>
        <v>#REF!</v>
      </c>
      <c r="Z621" s="33" t="e">
        <f ca="1"/>
        <v>#REF!</v>
      </c>
      <c r="AA621" s="33" t="e">
        <f ca="1"/>
        <v>#REF!</v>
      </c>
    </row>
    <row r="622" spans="1:27" s="70" customFormat="1" ht="11.25" x14ac:dyDescent="0.2">
      <c r="A622" s="24">
        <v>616</v>
      </c>
      <c r="B622" s="24"/>
      <c r="C622" s="25"/>
      <c r="D622" s="26"/>
      <c r="E622" s="25"/>
      <c r="F622" s="25"/>
      <c r="G622" s="24"/>
      <c r="H622" s="25" t="e">
        <f ca="1"/>
        <v>#REF!</v>
      </c>
      <c r="I622" s="27" t="e">
        <f ca="1"/>
        <v>#REF!</v>
      </c>
      <c r="J622" s="25" t="e">
        <f ca="1"/>
        <v>#REF!</v>
      </c>
      <c r="K622" s="27" t="e">
        <f ca="1"/>
        <v>#REF!</v>
      </c>
      <c r="L622" s="25" t="e">
        <f ca="1"/>
        <v>#REF!</v>
      </c>
      <c r="M622" s="25" t="e">
        <f ca="1"/>
        <v>#REF!</v>
      </c>
      <c r="N622" s="25" t="e">
        <f ca="1"/>
        <v>#REF!</v>
      </c>
      <c r="O622" s="25" t="e">
        <f ca="1"/>
        <v>#REF!</v>
      </c>
      <c r="P622" s="25" t="e">
        <f ca="1"/>
        <v>#REF!</v>
      </c>
      <c r="Q622" s="25" t="e">
        <f ca="1"/>
        <v>#REF!</v>
      </c>
      <c r="R622" s="25" t="e">
        <f ca="1"/>
        <v>#REF!</v>
      </c>
      <c r="S622" s="25" t="e">
        <f ca="1"/>
        <v>#REF!</v>
      </c>
      <c r="T622" s="25" t="e">
        <f ca="1"/>
        <v>#REF!</v>
      </c>
      <c r="U622" s="25" t="e">
        <f ca="1"/>
        <v>#REF!</v>
      </c>
      <c r="V622" s="25" t="e">
        <f ca="1"/>
        <v>#REF!</v>
      </c>
      <c r="W622" s="33" t="e">
        <f ca="1"/>
        <v>#REF!</v>
      </c>
      <c r="X622" s="33" t="e">
        <f ca="1"/>
        <v>#REF!</v>
      </c>
      <c r="Y622" s="33" t="e">
        <f ca="1"/>
        <v>#REF!</v>
      </c>
      <c r="Z622" s="33" t="e">
        <f ca="1"/>
        <v>#REF!</v>
      </c>
      <c r="AA622" s="33" t="e">
        <f ca="1"/>
        <v>#REF!</v>
      </c>
    </row>
    <row r="623" spans="1:27" s="70" customFormat="1" ht="11.25" x14ac:dyDescent="0.2">
      <c r="A623" s="24">
        <v>617</v>
      </c>
      <c r="B623" s="24"/>
      <c r="C623" s="25"/>
      <c r="D623" s="26"/>
      <c r="E623" s="25"/>
      <c r="F623" s="25"/>
      <c r="G623" s="24"/>
      <c r="H623" s="28" t="e">
        <f ca="1"/>
        <v>#REF!</v>
      </c>
      <c r="I623" s="27" t="e">
        <f ca="1"/>
        <v>#REF!</v>
      </c>
      <c r="J623" s="28" t="e">
        <f ca="1"/>
        <v>#REF!</v>
      </c>
      <c r="K623" s="27" t="e">
        <f ca="1"/>
        <v>#REF!</v>
      </c>
      <c r="L623" s="25" t="e">
        <f ca="1"/>
        <v>#REF!</v>
      </c>
      <c r="M623" s="25" t="e">
        <f ca="1"/>
        <v>#REF!</v>
      </c>
      <c r="N623" s="25" t="e">
        <f ca="1"/>
        <v>#REF!</v>
      </c>
      <c r="O623" s="25" t="e">
        <f ca="1"/>
        <v>#REF!</v>
      </c>
      <c r="P623" s="25" t="e">
        <f ca="1"/>
        <v>#REF!</v>
      </c>
      <c r="Q623" s="25" t="e">
        <f ca="1"/>
        <v>#REF!</v>
      </c>
      <c r="R623" s="25" t="e">
        <f ca="1"/>
        <v>#REF!</v>
      </c>
      <c r="S623" s="25" t="e">
        <f ca="1"/>
        <v>#REF!</v>
      </c>
      <c r="T623" s="25" t="e">
        <f ca="1"/>
        <v>#REF!</v>
      </c>
      <c r="U623" s="25" t="e">
        <f ca="1"/>
        <v>#REF!</v>
      </c>
      <c r="V623" s="25" t="e">
        <f ca="1"/>
        <v>#REF!</v>
      </c>
      <c r="W623" s="33" t="e">
        <f ca="1"/>
        <v>#REF!</v>
      </c>
      <c r="X623" s="33" t="e">
        <f ca="1"/>
        <v>#REF!</v>
      </c>
      <c r="Y623" s="33" t="e">
        <f ca="1"/>
        <v>#REF!</v>
      </c>
      <c r="Z623" s="33" t="e">
        <f ca="1"/>
        <v>#REF!</v>
      </c>
      <c r="AA623" s="33" t="e">
        <f ca="1"/>
        <v>#REF!</v>
      </c>
    </row>
    <row r="624" spans="1:27" s="70" customFormat="1" ht="11.25" x14ac:dyDescent="0.2">
      <c r="A624" s="24">
        <v>618</v>
      </c>
      <c r="B624" s="24"/>
      <c r="C624" s="25"/>
      <c r="D624" s="26"/>
      <c r="E624" s="25"/>
      <c r="F624" s="25"/>
      <c r="G624" s="24"/>
      <c r="H624" s="28" t="e">
        <f ca="1"/>
        <v>#REF!</v>
      </c>
      <c r="I624" s="27" t="e">
        <f ca="1"/>
        <v>#REF!</v>
      </c>
      <c r="J624" s="28" t="e">
        <f ca="1"/>
        <v>#REF!</v>
      </c>
      <c r="K624" s="27" t="e">
        <f ca="1"/>
        <v>#REF!</v>
      </c>
      <c r="L624" s="25" t="e">
        <f ca="1"/>
        <v>#REF!</v>
      </c>
      <c r="M624" s="25" t="e">
        <f ca="1"/>
        <v>#REF!</v>
      </c>
      <c r="N624" s="25" t="e">
        <f ca="1"/>
        <v>#REF!</v>
      </c>
      <c r="O624" s="25" t="e">
        <f ca="1"/>
        <v>#REF!</v>
      </c>
      <c r="P624" s="25" t="e">
        <f ca="1"/>
        <v>#REF!</v>
      </c>
      <c r="Q624" s="25" t="e">
        <f ca="1"/>
        <v>#REF!</v>
      </c>
      <c r="R624" s="25" t="e">
        <f ca="1"/>
        <v>#REF!</v>
      </c>
      <c r="S624" s="25" t="e">
        <f ca="1"/>
        <v>#REF!</v>
      </c>
      <c r="T624" s="25" t="e">
        <f ca="1"/>
        <v>#REF!</v>
      </c>
      <c r="U624" s="25" t="e">
        <f ca="1"/>
        <v>#REF!</v>
      </c>
      <c r="V624" s="25" t="e">
        <f ca="1"/>
        <v>#REF!</v>
      </c>
      <c r="W624" s="33" t="e">
        <f ca="1"/>
        <v>#REF!</v>
      </c>
      <c r="X624" s="33" t="e">
        <f ca="1"/>
        <v>#REF!</v>
      </c>
      <c r="Y624" s="33" t="e">
        <f ca="1"/>
        <v>#REF!</v>
      </c>
      <c r="Z624" s="33" t="e">
        <f ca="1"/>
        <v>#REF!</v>
      </c>
      <c r="AA624" s="33" t="e">
        <f ca="1"/>
        <v>#REF!</v>
      </c>
    </row>
    <row r="625" spans="1:27" s="70" customFormat="1" ht="11.25" x14ac:dyDescent="0.2">
      <c r="A625" s="24">
        <v>619</v>
      </c>
      <c r="B625" s="24"/>
      <c r="C625" s="25"/>
      <c r="D625" s="26"/>
      <c r="E625" s="25"/>
      <c r="F625" s="25"/>
      <c r="G625" s="24"/>
      <c r="H625" s="28" t="e">
        <f ca="1"/>
        <v>#REF!</v>
      </c>
      <c r="I625" s="27" t="e">
        <f ca="1"/>
        <v>#REF!</v>
      </c>
      <c r="J625" s="28" t="e">
        <f ca="1"/>
        <v>#REF!</v>
      </c>
      <c r="K625" s="27" t="e">
        <f ca="1"/>
        <v>#REF!</v>
      </c>
      <c r="L625" s="25" t="e">
        <f ca="1"/>
        <v>#REF!</v>
      </c>
      <c r="M625" s="25" t="e">
        <f ca="1"/>
        <v>#REF!</v>
      </c>
      <c r="N625" s="25" t="e">
        <f ca="1"/>
        <v>#REF!</v>
      </c>
      <c r="O625" s="25" t="e">
        <f ca="1"/>
        <v>#REF!</v>
      </c>
      <c r="P625" s="25" t="e">
        <f ca="1"/>
        <v>#REF!</v>
      </c>
      <c r="Q625" s="25" t="e">
        <f ca="1"/>
        <v>#REF!</v>
      </c>
      <c r="R625" s="25" t="e">
        <f ca="1"/>
        <v>#REF!</v>
      </c>
      <c r="S625" s="25" t="e">
        <f ca="1"/>
        <v>#REF!</v>
      </c>
      <c r="T625" s="25" t="e">
        <f ca="1"/>
        <v>#REF!</v>
      </c>
      <c r="U625" s="25" t="e">
        <f ca="1"/>
        <v>#REF!</v>
      </c>
      <c r="V625" s="25" t="e">
        <f ca="1"/>
        <v>#REF!</v>
      </c>
      <c r="W625" s="33" t="e">
        <f ca="1"/>
        <v>#REF!</v>
      </c>
      <c r="X625" s="33" t="e">
        <f ca="1"/>
        <v>#REF!</v>
      </c>
      <c r="Y625" s="33" t="e">
        <f ca="1"/>
        <v>#REF!</v>
      </c>
      <c r="Z625" s="33" t="e">
        <f ca="1"/>
        <v>#REF!</v>
      </c>
      <c r="AA625" s="33" t="e">
        <f ca="1"/>
        <v>#REF!</v>
      </c>
    </row>
    <row r="626" spans="1:27" s="70" customFormat="1" ht="11.25" x14ac:dyDescent="0.2">
      <c r="A626" s="24">
        <v>620</v>
      </c>
      <c r="B626" s="24"/>
      <c r="C626" s="25"/>
      <c r="D626" s="26"/>
      <c r="E626" s="25"/>
      <c r="F626" s="25"/>
      <c r="G626" s="24"/>
      <c r="H626" s="28" t="e">
        <f ca="1"/>
        <v>#REF!</v>
      </c>
      <c r="I626" s="27" t="e">
        <f ca="1"/>
        <v>#REF!</v>
      </c>
      <c r="J626" s="28" t="e">
        <f ca="1"/>
        <v>#REF!</v>
      </c>
      <c r="K626" s="27" t="e">
        <f ca="1"/>
        <v>#REF!</v>
      </c>
      <c r="L626" s="25" t="e">
        <f ca="1"/>
        <v>#REF!</v>
      </c>
      <c r="M626" s="25" t="e">
        <f ca="1"/>
        <v>#REF!</v>
      </c>
      <c r="N626" s="25" t="e">
        <f ca="1"/>
        <v>#REF!</v>
      </c>
      <c r="O626" s="25" t="e">
        <f ca="1"/>
        <v>#REF!</v>
      </c>
      <c r="P626" s="25" t="e">
        <f ca="1"/>
        <v>#REF!</v>
      </c>
      <c r="Q626" s="25" t="e">
        <f ca="1"/>
        <v>#REF!</v>
      </c>
      <c r="R626" s="25" t="e">
        <f ca="1"/>
        <v>#REF!</v>
      </c>
      <c r="S626" s="25" t="e">
        <f ca="1"/>
        <v>#REF!</v>
      </c>
      <c r="T626" s="25" t="e">
        <f ca="1"/>
        <v>#REF!</v>
      </c>
      <c r="U626" s="25" t="e">
        <f ca="1"/>
        <v>#REF!</v>
      </c>
      <c r="V626" s="25" t="e">
        <f ca="1"/>
        <v>#REF!</v>
      </c>
      <c r="W626" s="33" t="e">
        <f ca="1"/>
        <v>#REF!</v>
      </c>
      <c r="X626" s="33" t="e">
        <f ca="1"/>
        <v>#REF!</v>
      </c>
      <c r="Y626" s="33" t="e">
        <f ca="1"/>
        <v>#REF!</v>
      </c>
      <c r="Z626" s="33" t="e">
        <f ca="1"/>
        <v>#REF!</v>
      </c>
      <c r="AA626" s="33" t="e">
        <f ca="1"/>
        <v>#REF!</v>
      </c>
    </row>
    <row r="627" spans="1:27" s="70" customFormat="1" ht="11.25" x14ac:dyDescent="0.2">
      <c r="A627" s="24">
        <v>621</v>
      </c>
      <c r="B627" s="24"/>
      <c r="C627" s="25"/>
      <c r="D627" s="26"/>
      <c r="E627" s="25"/>
      <c r="F627" s="25"/>
      <c r="G627" s="24"/>
      <c r="H627" s="28" t="e">
        <f ca="1"/>
        <v>#REF!</v>
      </c>
      <c r="I627" s="27" t="e">
        <f ca="1"/>
        <v>#REF!</v>
      </c>
      <c r="J627" s="28" t="e">
        <f ca="1"/>
        <v>#REF!</v>
      </c>
      <c r="K627" s="27" t="e">
        <f ca="1"/>
        <v>#REF!</v>
      </c>
      <c r="L627" s="25" t="e">
        <f ca="1"/>
        <v>#REF!</v>
      </c>
      <c r="M627" s="25" t="e">
        <f ca="1"/>
        <v>#REF!</v>
      </c>
      <c r="N627" s="25" t="e">
        <f ca="1"/>
        <v>#REF!</v>
      </c>
      <c r="O627" s="25" t="e">
        <f ca="1"/>
        <v>#REF!</v>
      </c>
      <c r="P627" s="25" t="e">
        <f ca="1"/>
        <v>#REF!</v>
      </c>
      <c r="Q627" s="25" t="e">
        <f ca="1"/>
        <v>#REF!</v>
      </c>
      <c r="R627" s="25" t="e">
        <f ca="1"/>
        <v>#REF!</v>
      </c>
      <c r="S627" s="25" t="e">
        <f ca="1"/>
        <v>#REF!</v>
      </c>
      <c r="T627" s="25" t="e">
        <f ca="1"/>
        <v>#REF!</v>
      </c>
      <c r="U627" s="25" t="e">
        <f ca="1"/>
        <v>#REF!</v>
      </c>
      <c r="V627" s="25" t="e">
        <f ca="1"/>
        <v>#REF!</v>
      </c>
      <c r="W627" s="33" t="e">
        <f ca="1"/>
        <v>#REF!</v>
      </c>
      <c r="X627" s="33" t="e">
        <f ca="1"/>
        <v>#REF!</v>
      </c>
      <c r="Y627" s="33" t="e">
        <f ca="1"/>
        <v>#REF!</v>
      </c>
      <c r="Z627" s="33" t="e">
        <f ca="1"/>
        <v>#REF!</v>
      </c>
      <c r="AA627" s="33" t="e">
        <f ca="1"/>
        <v>#REF!</v>
      </c>
    </row>
    <row r="628" spans="1:27" s="70" customFormat="1" ht="11.25" x14ac:dyDescent="0.2">
      <c r="A628" s="24">
        <v>622</v>
      </c>
      <c r="B628" s="24"/>
      <c r="C628" s="25"/>
      <c r="D628" s="26"/>
      <c r="E628" s="25"/>
      <c r="F628" s="25"/>
      <c r="G628" s="24"/>
      <c r="H628" s="28" t="e">
        <f ca="1"/>
        <v>#REF!</v>
      </c>
      <c r="I628" s="27" t="e">
        <f ca="1"/>
        <v>#REF!</v>
      </c>
      <c r="J628" s="28" t="e">
        <f ca="1"/>
        <v>#REF!</v>
      </c>
      <c r="K628" s="27" t="e">
        <f ca="1"/>
        <v>#REF!</v>
      </c>
      <c r="L628" s="25" t="e">
        <f ca="1"/>
        <v>#REF!</v>
      </c>
      <c r="M628" s="25" t="e">
        <f ca="1"/>
        <v>#REF!</v>
      </c>
      <c r="N628" s="25" t="e">
        <f ca="1"/>
        <v>#REF!</v>
      </c>
      <c r="O628" s="25" t="e">
        <f ca="1"/>
        <v>#REF!</v>
      </c>
      <c r="P628" s="25" t="e">
        <f ca="1"/>
        <v>#REF!</v>
      </c>
      <c r="Q628" s="25" t="e">
        <f ca="1"/>
        <v>#REF!</v>
      </c>
      <c r="R628" s="25" t="e">
        <f ca="1"/>
        <v>#REF!</v>
      </c>
      <c r="S628" s="25" t="e">
        <f ca="1"/>
        <v>#REF!</v>
      </c>
      <c r="T628" s="25" t="e">
        <f ca="1"/>
        <v>#REF!</v>
      </c>
      <c r="U628" s="25" t="e">
        <f ca="1"/>
        <v>#REF!</v>
      </c>
      <c r="V628" s="25" t="e">
        <f ca="1"/>
        <v>#REF!</v>
      </c>
      <c r="W628" s="33" t="e">
        <f ca="1"/>
        <v>#REF!</v>
      </c>
      <c r="X628" s="33" t="e">
        <f ca="1"/>
        <v>#REF!</v>
      </c>
      <c r="Y628" s="33" t="e">
        <f ca="1"/>
        <v>#REF!</v>
      </c>
      <c r="Z628" s="33" t="e">
        <f ca="1"/>
        <v>#REF!</v>
      </c>
      <c r="AA628" s="33" t="e">
        <f ca="1"/>
        <v>#REF!</v>
      </c>
    </row>
    <row r="629" spans="1:27" s="70" customFormat="1" ht="11.25" x14ac:dyDescent="0.2">
      <c r="A629" s="24">
        <v>623</v>
      </c>
      <c r="B629" s="24"/>
      <c r="C629" s="25"/>
      <c r="D629" s="26"/>
      <c r="E629" s="25"/>
      <c r="F629" s="25"/>
      <c r="G629" s="24"/>
      <c r="H629" s="28" t="e">
        <f ca="1"/>
        <v>#REF!</v>
      </c>
      <c r="I629" s="27" t="e">
        <f ca="1"/>
        <v>#REF!</v>
      </c>
      <c r="J629" s="28" t="e">
        <f ca="1"/>
        <v>#REF!</v>
      </c>
      <c r="K629" s="27" t="e">
        <f ca="1"/>
        <v>#REF!</v>
      </c>
      <c r="L629" s="25" t="e">
        <f ca="1"/>
        <v>#REF!</v>
      </c>
      <c r="M629" s="25" t="e">
        <f ca="1"/>
        <v>#REF!</v>
      </c>
      <c r="N629" s="25" t="e">
        <f ca="1"/>
        <v>#REF!</v>
      </c>
      <c r="O629" s="25" t="e">
        <f ca="1"/>
        <v>#REF!</v>
      </c>
      <c r="P629" s="25" t="e">
        <f ca="1"/>
        <v>#REF!</v>
      </c>
      <c r="Q629" s="25" t="e">
        <f ca="1"/>
        <v>#REF!</v>
      </c>
      <c r="R629" s="25" t="e">
        <f ca="1"/>
        <v>#REF!</v>
      </c>
      <c r="S629" s="25" t="e">
        <f ca="1"/>
        <v>#REF!</v>
      </c>
      <c r="T629" s="25" t="e">
        <f ca="1"/>
        <v>#REF!</v>
      </c>
      <c r="U629" s="25" t="e">
        <f ca="1"/>
        <v>#REF!</v>
      </c>
      <c r="V629" s="25" t="e">
        <f ca="1"/>
        <v>#REF!</v>
      </c>
      <c r="W629" s="33" t="e">
        <f ca="1"/>
        <v>#REF!</v>
      </c>
      <c r="X629" s="33" t="e">
        <f ca="1"/>
        <v>#REF!</v>
      </c>
      <c r="Y629" s="33" t="e">
        <f ca="1"/>
        <v>#REF!</v>
      </c>
      <c r="Z629" s="33" t="e">
        <f ca="1"/>
        <v>#REF!</v>
      </c>
      <c r="AA629" s="33" t="e">
        <f ca="1"/>
        <v>#REF!</v>
      </c>
    </row>
    <row r="630" spans="1:27" s="70" customFormat="1" ht="11.25" x14ac:dyDescent="0.2">
      <c r="A630" s="24">
        <v>624</v>
      </c>
      <c r="B630" s="24"/>
      <c r="C630" s="25"/>
      <c r="D630" s="26"/>
      <c r="E630" s="25"/>
      <c r="F630" s="25"/>
      <c r="G630" s="24"/>
      <c r="H630" s="28" t="e">
        <f ca="1"/>
        <v>#REF!</v>
      </c>
      <c r="I630" s="27" t="e">
        <f ca="1"/>
        <v>#REF!</v>
      </c>
      <c r="J630" s="28" t="e">
        <f ca="1"/>
        <v>#REF!</v>
      </c>
      <c r="K630" s="27" t="e">
        <f ca="1"/>
        <v>#REF!</v>
      </c>
      <c r="L630" s="25" t="e">
        <f ca="1"/>
        <v>#REF!</v>
      </c>
      <c r="M630" s="25" t="e">
        <f ca="1"/>
        <v>#REF!</v>
      </c>
      <c r="N630" s="25" t="e">
        <f ca="1"/>
        <v>#REF!</v>
      </c>
      <c r="O630" s="25" t="e">
        <f ca="1"/>
        <v>#REF!</v>
      </c>
      <c r="P630" s="25" t="e">
        <f ca="1"/>
        <v>#REF!</v>
      </c>
      <c r="Q630" s="25" t="e">
        <f ca="1"/>
        <v>#REF!</v>
      </c>
      <c r="R630" s="25" t="e">
        <f ca="1"/>
        <v>#REF!</v>
      </c>
      <c r="S630" s="25" t="e">
        <f ca="1"/>
        <v>#REF!</v>
      </c>
      <c r="T630" s="25" t="e">
        <f ca="1"/>
        <v>#REF!</v>
      </c>
      <c r="U630" s="25" t="e">
        <f ca="1"/>
        <v>#REF!</v>
      </c>
      <c r="V630" s="25" t="e">
        <f ca="1"/>
        <v>#REF!</v>
      </c>
      <c r="W630" s="33" t="e">
        <f ca="1"/>
        <v>#REF!</v>
      </c>
      <c r="X630" s="33" t="e">
        <f ca="1"/>
        <v>#REF!</v>
      </c>
      <c r="Y630" s="33" t="e">
        <f ca="1"/>
        <v>#REF!</v>
      </c>
      <c r="Z630" s="33" t="e">
        <f ca="1"/>
        <v>#REF!</v>
      </c>
      <c r="AA630" s="33" t="e">
        <f ca="1"/>
        <v>#REF!</v>
      </c>
    </row>
    <row r="631" spans="1:27" s="70" customFormat="1" ht="11.25" x14ac:dyDescent="0.2">
      <c r="A631" s="24">
        <v>625</v>
      </c>
      <c r="B631" s="24"/>
      <c r="C631" s="25"/>
      <c r="D631" s="26"/>
      <c r="E631" s="25"/>
      <c r="F631" s="25"/>
      <c r="G631" s="24"/>
      <c r="H631" s="28" t="e">
        <f ca="1"/>
        <v>#REF!</v>
      </c>
      <c r="I631" s="27" t="e">
        <f ca="1"/>
        <v>#REF!</v>
      </c>
      <c r="J631" s="28" t="e">
        <f ca="1"/>
        <v>#REF!</v>
      </c>
      <c r="K631" s="27" t="e">
        <f ca="1"/>
        <v>#REF!</v>
      </c>
      <c r="L631" s="25" t="e">
        <f ca="1"/>
        <v>#REF!</v>
      </c>
      <c r="M631" s="25" t="e">
        <f ca="1"/>
        <v>#REF!</v>
      </c>
      <c r="N631" s="25" t="e">
        <f ca="1"/>
        <v>#REF!</v>
      </c>
      <c r="O631" s="25" t="e">
        <f ca="1"/>
        <v>#REF!</v>
      </c>
      <c r="P631" s="25" t="e">
        <f ca="1"/>
        <v>#REF!</v>
      </c>
      <c r="Q631" s="25" t="e">
        <f ca="1"/>
        <v>#REF!</v>
      </c>
      <c r="R631" s="25" t="e">
        <f ca="1"/>
        <v>#REF!</v>
      </c>
      <c r="S631" s="25" t="e">
        <f ca="1"/>
        <v>#REF!</v>
      </c>
      <c r="T631" s="25" t="e">
        <f ca="1"/>
        <v>#REF!</v>
      </c>
      <c r="U631" s="25" t="e">
        <f ca="1"/>
        <v>#REF!</v>
      </c>
      <c r="V631" s="25" t="e">
        <f ca="1"/>
        <v>#REF!</v>
      </c>
      <c r="W631" s="33" t="e">
        <f ca="1"/>
        <v>#REF!</v>
      </c>
      <c r="X631" s="33" t="e">
        <f ca="1"/>
        <v>#REF!</v>
      </c>
      <c r="Y631" s="33" t="e">
        <f ca="1"/>
        <v>#REF!</v>
      </c>
      <c r="Z631" s="33" t="e">
        <f ca="1"/>
        <v>#REF!</v>
      </c>
      <c r="AA631" s="33" t="e">
        <f ca="1"/>
        <v>#REF!</v>
      </c>
    </row>
    <row r="632" spans="1:27" s="70" customFormat="1" ht="11.25" x14ac:dyDescent="0.2">
      <c r="A632" s="24">
        <v>626</v>
      </c>
      <c r="B632" s="24"/>
      <c r="C632" s="25"/>
      <c r="D632" s="26"/>
      <c r="E632" s="25"/>
      <c r="F632" s="25"/>
      <c r="G632" s="24"/>
      <c r="H632" s="28" t="e">
        <f ca="1"/>
        <v>#REF!</v>
      </c>
      <c r="I632" s="27" t="e">
        <f ca="1"/>
        <v>#REF!</v>
      </c>
      <c r="J632" s="28" t="e">
        <f ca="1"/>
        <v>#REF!</v>
      </c>
      <c r="K632" s="27" t="e">
        <f ca="1"/>
        <v>#REF!</v>
      </c>
      <c r="L632" s="25" t="e">
        <f ca="1"/>
        <v>#REF!</v>
      </c>
      <c r="M632" s="25" t="e">
        <f ca="1"/>
        <v>#REF!</v>
      </c>
      <c r="N632" s="25" t="e">
        <f ca="1"/>
        <v>#REF!</v>
      </c>
      <c r="O632" s="25" t="e">
        <f ca="1"/>
        <v>#REF!</v>
      </c>
      <c r="P632" s="25" t="e">
        <f ca="1"/>
        <v>#REF!</v>
      </c>
      <c r="Q632" s="25" t="e">
        <f ca="1"/>
        <v>#REF!</v>
      </c>
      <c r="R632" s="25" t="e">
        <f ca="1"/>
        <v>#REF!</v>
      </c>
      <c r="S632" s="25" t="e">
        <f ca="1"/>
        <v>#REF!</v>
      </c>
      <c r="T632" s="25" t="e">
        <f ca="1"/>
        <v>#REF!</v>
      </c>
      <c r="U632" s="25" t="e">
        <f ca="1"/>
        <v>#REF!</v>
      </c>
      <c r="V632" s="25" t="e">
        <f ca="1"/>
        <v>#REF!</v>
      </c>
      <c r="W632" s="33" t="e">
        <f ca="1"/>
        <v>#REF!</v>
      </c>
      <c r="X632" s="33" t="e">
        <f ca="1"/>
        <v>#REF!</v>
      </c>
      <c r="Y632" s="33" t="e">
        <f ca="1"/>
        <v>#REF!</v>
      </c>
      <c r="Z632" s="33" t="e">
        <f ca="1"/>
        <v>#REF!</v>
      </c>
      <c r="AA632" s="33" t="e">
        <f ca="1"/>
        <v>#REF!</v>
      </c>
    </row>
    <row r="633" spans="1:27" s="70" customFormat="1" ht="11.25" x14ac:dyDescent="0.2">
      <c r="A633" s="24">
        <v>627</v>
      </c>
      <c r="B633" s="24"/>
      <c r="C633" s="25"/>
      <c r="D633" s="26"/>
      <c r="E633" s="25"/>
      <c r="F633" s="25"/>
      <c r="G633" s="24"/>
      <c r="H633" s="28" t="e">
        <f ca="1"/>
        <v>#REF!</v>
      </c>
      <c r="I633" s="27" t="e">
        <f ca="1"/>
        <v>#REF!</v>
      </c>
      <c r="J633" s="28" t="e">
        <f ca="1"/>
        <v>#REF!</v>
      </c>
      <c r="K633" s="27" t="e">
        <f ca="1"/>
        <v>#REF!</v>
      </c>
      <c r="L633" s="25" t="e">
        <f ca="1"/>
        <v>#REF!</v>
      </c>
      <c r="M633" s="25" t="e">
        <f ca="1"/>
        <v>#REF!</v>
      </c>
      <c r="N633" s="25" t="e">
        <f ca="1"/>
        <v>#REF!</v>
      </c>
      <c r="O633" s="25" t="e">
        <f ca="1"/>
        <v>#REF!</v>
      </c>
      <c r="P633" s="25" t="e">
        <f ca="1"/>
        <v>#REF!</v>
      </c>
      <c r="Q633" s="25" t="e">
        <f ca="1"/>
        <v>#REF!</v>
      </c>
      <c r="R633" s="25" t="e">
        <f ca="1"/>
        <v>#REF!</v>
      </c>
      <c r="S633" s="25" t="e">
        <f ca="1"/>
        <v>#REF!</v>
      </c>
      <c r="T633" s="25" t="e">
        <f ca="1"/>
        <v>#REF!</v>
      </c>
      <c r="U633" s="25" t="e">
        <f ca="1"/>
        <v>#REF!</v>
      </c>
      <c r="V633" s="25" t="e">
        <f ca="1"/>
        <v>#REF!</v>
      </c>
      <c r="W633" s="33" t="e">
        <f ca="1"/>
        <v>#REF!</v>
      </c>
      <c r="X633" s="33" t="e">
        <f ca="1"/>
        <v>#REF!</v>
      </c>
      <c r="Y633" s="33" t="e">
        <f ca="1"/>
        <v>#REF!</v>
      </c>
      <c r="Z633" s="33" t="e">
        <f ca="1"/>
        <v>#REF!</v>
      </c>
      <c r="AA633" s="33" t="e">
        <f ca="1"/>
        <v>#REF!</v>
      </c>
    </row>
    <row r="634" spans="1:27" s="70" customFormat="1" ht="11.25" x14ac:dyDescent="0.2">
      <c r="A634" s="24">
        <v>628</v>
      </c>
      <c r="B634" s="24"/>
      <c r="C634" s="25"/>
      <c r="D634" s="26"/>
      <c r="E634" s="25"/>
      <c r="F634" s="25"/>
      <c r="G634" s="24"/>
      <c r="H634" s="28" t="e">
        <f ca="1"/>
        <v>#REF!</v>
      </c>
      <c r="I634" s="27" t="e">
        <f ca="1"/>
        <v>#REF!</v>
      </c>
      <c r="J634" s="28" t="e">
        <f ca="1"/>
        <v>#REF!</v>
      </c>
      <c r="K634" s="27" t="e">
        <f ca="1"/>
        <v>#REF!</v>
      </c>
      <c r="L634" s="25" t="e">
        <f ca="1"/>
        <v>#REF!</v>
      </c>
      <c r="M634" s="25" t="e">
        <f ca="1"/>
        <v>#REF!</v>
      </c>
      <c r="N634" s="25" t="e">
        <f ca="1"/>
        <v>#REF!</v>
      </c>
      <c r="O634" s="25" t="e">
        <f ca="1"/>
        <v>#REF!</v>
      </c>
      <c r="P634" s="25" t="e">
        <f ca="1"/>
        <v>#REF!</v>
      </c>
      <c r="Q634" s="25" t="e">
        <f ca="1"/>
        <v>#REF!</v>
      </c>
      <c r="R634" s="25" t="e">
        <f ca="1"/>
        <v>#REF!</v>
      </c>
      <c r="S634" s="25" t="e">
        <f ca="1"/>
        <v>#REF!</v>
      </c>
      <c r="T634" s="25" t="e">
        <f ca="1"/>
        <v>#REF!</v>
      </c>
      <c r="U634" s="25" t="e">
        <f ca="1"/>
        <v>#REF!</v>
      </c>
      <c r="V634" s="25" t="e">
        <f ca="1"/>
        <v>#REF!</v>
      </c>
      <c r="W634" s="33" t="e">
        <f ca="1"/>
        <v>#REF!</v>
      </c>
      <c r="X634" s="33" t="e">
        <f ca="1"/>
        <v>#REF!</v>
      </c>
      <c r="Y634" s="33" t="e">
        <f ca="1"/>
        <v>#REF!</v>
      </c>
      <c r="Z634" s="33" t="e">
        <f ca="1"/>
        <v>#REF!</v>
      </c>
      <c r="AA634" s="33" t="e">
        <f ca="1"/>
        <v>#REF!</v>
      </c>
    </row>
    <row r="635" spans="1:27" s="70" customFormat="1" ht="11.25" x14ac:dyDescent="0.2">
      <c r="A635" s="24">
        <v>629</v>
      </c>
      <c r="B635" s="24"/>
      <c r="C635" s="25"/>
      <c r="D635" s="26"/>
      <c r="E635" s="25"/>
      <c r="F635" s="25"/>
      <c r="G635" s="24"/>
      <c r="H635" s="28" t="e">
        <f ca="1"/>
        <v>#REF!</v>
      </c>
      <c r="I635" s="27" t="e">
        <f ca="1"/>
        <v>#REF!</v>
      </c>
      <c r="J635" s="28" t="e">
        <f ca="1"/>
        <v>#REF!</v>
      </c>
      <c r="K635" s="27" t="e">
        <f ca="1"/>
        <v>#REF!</v>
      </c>
      <c r="L635" s="25" t="e">
        <f ca="1"/>
        <v>#REF!</v>
      </c>
      <c r="M635" s="25" t="e">
        <f ca="1"/>
        <v>#REF!</v>
      </c>
      <c r="N635" s="25" t="e">
        <f ca="1"/>
        <v>#REF!</v>
      </c>
      <c r="O635" s="25" t="e">
        <f ca="1"/>
        <v>#REF!</v>
      </c>
      <c r="P635" s="25" t="e">
        <f ca="1"/>
        <v>#REF!</v>
      </c>
      <c r="Q635" s="25" t="e">
        <f ca="1"/>
        <v>#REF!</v>
      </c>
      <c r="R635" s="25" t="e">
        <f ca="1"/>
        <v>#REF!</v>
      </c>
      <c r="S635" s="25" t="e">
        <f ca="1"/>
        <v>#REF!</v>
      </c>
      <c r="T635" s="25" t="e">
        <f ca="1"/>
        <v>#REF!</v>
      </c>
      <c r="U635" s="25" t="e">
        <f ca="1"/>
        <v>#REF!</v>
      </c>
      <c r="V635" s="25" t="e">
        <f ca="1"/>
        <v>#REF!</v>
      </c>
      <c r="W635" s="33" t="e">
        <f ca="1"/>
        <v>#REF!</v>
      </c>
      <c r="X635" s="33" t="e">
        <f ca="1"/>
        <v>#REF!</v>
      </c>
      <c r="Y635" s="33" t="e">
        <f ca="1"/>
        <v>#REF!</v>
      </c>
      <c r="Z635" s="33" t="e">
        <f ca="1"/>
        <v>#REF!</v>
      </c>
      <c r="AA635" s="33" t="e">
        <f ca="1"/>
        <v>#REF!</v>
      </c>
    </row>
    <row r="636" spans="1:27" s="70" customFormat="1" ht="11.25" x14ac:dyDescent="0.2">
      <c r="A636" s="24">
        <v>630</v>
      </c>
      <c r="B636" s="24"/>
      <c r="C636" s="25"/>
      <c r="D636" s="26"/>
      <c r="E636" s="25"/>
      <c r="F636" s="25"/>
      <c r="G636" s="24"/>
      <c r="H636" s="28" t="e">
        <f ca="1"/>
        <v>#REF!</v>
      </c>
      <c r="I636" s="27" t="e">
        <f ca="1"/>
        <v>#REF!</v>
      </c>
      <c r="J636" s="28" t="e">
        <f ca="1"/>
        <v>#REF!</v>
      </c>
      <c r="K636" s="27" t="e">
        <f ca="1"/>
        <v>#REF!</v>
      </c>
      <c r="L636" s="25" t="e">
        <f ca="1"/>
        <v>#REF!</v>
      </c>
      <c r="M636" s="25" t="e">
        <f ca="1"/>
        <v>#REF!</v>
      </c>
      <c r="N636" s="25" t="e">
        <f ca="1"/>
        <v>#REF!</v>
      </c>
      <c r="O636" s="25" t="e">
        <f ca="1"/>
        <v>#REF!</v>
      </c>
      <c r="P636" s="25" t="e">
        <f ca="1"/>
        <v>#REF!</v>
      </c>
      <c r="Q636" s="25" t="e">
        <f ca="1"/>
        <v>#REF!</v>
      </c>
      <c r="R636" s="25" t="e">
        <f ca="1"/>
        <v>#REF!</v>
      </c>
      <c r="S636" s="25" t="e">
        <f ca="1"/>
        <v>#REF!</v>
      </c>
      <c r="T636" s="25" t="e">
        <f ca="1"/>
        <v>#REF!</v>
      </c>
      <c r="U636" s="25" t="e">
        <f ca="1"/>
        <v>#REF!</v>
      </c>
      <c r="V636" s="25" t="e">
        <f ca="1"/>
        <v>#REF!</v>
      </c>
      <c r="W636" s="33" t="e">
        <f ca="1"/>
        <v>#REF!</v>
      </c>
      <c r="X636" s="33" t="e">
        <f ca="1"/>
        <v>#REF!</v>
      </c>
      <c r="Y636" s="33" t="e">
        <f ca="1"/>
        <v>#REF!</v>
      </c>
      <c r="Z636" s="33" t="e">
        <f ca="1"/>
        <v>#REF!</v>
      </c>
      <c r="AA636" s="33" t="e">
        <f ca="1"/>
        <v>#REF!</v>
      </c>
    </row>
    <row r="637" spans="1:27" s="70" customFormat="1" ht="11.25" x14ac:dyDescent="0.2">
      <c r="A637" s="24">
        <v>631</v>
      </c>
      <c r="B637" s="24"/>
      <c r="C637" s="25"/>
      <c r="D637" s="26"/>
      <c r="E637" s="25"/>
      <c r="F637" s="25"/>
      <c r="G637" s="24"/>
      <c r="H637" s="28" t="e">
        <f ca="1"/>
        <v>#REF!</v>
      </c>
      <c r="I637" s="27" t="e">
        <f ca="1"/>
        <v>#REF!</v>
      </c>
      <c r="J637" s="28" t="e">
        <f ca="1"/>
        <v>#REF!</v>
      </c>
      <c r="K637" s="27" t="e">
        <f ca="1"/>
        <v>#REF!</v>
      </c>
      <c r="L637" s="25" t="e">
        <f ca="1"/>
        <v>#REF!</v>
      </c>
      <c r="M637" s="25" t="e">
        <f ca="1"/>
        <v>#REF!</v>
      </c>
      <c r="N637" s="25" t="e">
        <f ca="1"/>
        <v>#REF!</v>
      </c>
      <c r="O637" s="25" t="e">
        <f ca="1"/>
        <v>#REF!</v>
      </c>
      <c r="P637" s="25" t="e">
        <f ca="1"/>
        <v>#REF!</v>
      </c>
      <c r="Q637" s="25" t="e">
        <f ca="1"/>
        <v>#REF!</v>
      </c>
      <c r="R637" s="25" t="e">
        <f ca="1"/>
        <v>#REF!</v>
      </c>
      <c r="S637" s="25" t="e">
        <f ca="1"/>
        <v>#REF!</v>
      </c>
      <c r="T637" s="25" t="e">
        <f ca="1"/>
        <v>#REF!</v>
      </c>
      <c r="U637" s="25" t="e">
        <f ca="1"/>
        <v>#REF!</v>
      </c>
      <c r="V637" s="25" t="e">
        <f ca="1"/>
        <v>#REF!</v>
      </c>
      <c r="W637" s="33" t="e">
        <f ca="1"/>
        <v>#REF!</v>
      </c>
      <c r="X637" s="33" t="e">
        <f ca="1"/>
        <v>#REF!</v>
      </c>
      <c r="Y637" s="33" t="e">
        <f ca="1"/>
        <v>#REF!</v>
      </c>
      <c r="Z637" s="33" t="e">
        <f ca="1"/>
        <v>#REF!</v>
      </c>
      <c r="AA637" s="33" t="e">
        <f ca="1"/>
        <v>#REF!</v>
      </c>
    </row>
    <row r="638" spans="1:27" s="70" customFormat="1" ht="11.25" x14ac:dyDescent="0.2">
      <c r="A638" s="24">
        <v>632</v>
      </c>
      <c r="B638" s="24"/>
      <c r="C638" s="25"/>
      <c r="D638" s="26"/>
      <c r="E638" s="25"/>
      <c r="F638" s="25"/>
      <c r="G638" s="24"/>
      <c r="H638" s="28" t="e">
        <f ca="1"/>
        <v>#REF!</v>
      </c>
      <c r="I638" s="27" t="e">
        <f ca="1"/>
        <v>#REF!</v>
      </c>
      <c r="J638" s="28" t="e">
        <f ca="1"/>
        <v>#REF!</v>
      </c>
      <c r="K638" s="27" t="e">
        <f ca="1"/>
        <v>#REF!</v>
      </c>
      <c r="L638" s="25" t="e">
        <f ca="1"/>
        <v>#REF!</v>
      </c>
      <c r="M638" s="25" t="e">
        <f ca="1"/>
        <v>#REF!</v>
      </c>
      <c r="N638" s="25" t="e">
        <f ca="1"/>
        <v>#REF!</v>
      </c>
      <c r="O638" s="25" t="e">
        <f ca="1"/>
        <v>#REF!</v>
      </c>
      <c r="P638" s="25" t="e">
        <f ca="1"/>
        <v>#REF!</v>
      </c>
      <c r="Q638" s="25" t="e">
        <f ca="1"/>
        <v>#REF!</v>
      </c>
      <c r="R638" s="25" t="e">
        <f ca="1"/>
        <v>#REF!</v>
      </c>
      <c r="S638" s="25" t="e">
        <f ca="1"/>
        <v>#REF!</v>
      </c>
      <c r="T638" s="25" t="e">
        <f ca="1"/>
        <v>#REF!</v>
      </c>
      <c r="U638" s="25" t="e">
        <f ca="1"/>
        <v>#REF!</v>
      </c>
      <c r="V638" s="25" t="e">
        <f ca="1"/>
        <v>#REF!</v>
      </c>
      <c r="W638" s="33" t="e">
        <f ca="1"/>
        <v>#REF!</v>
      </c>
      <c r="X638" s="33" t="e">
        <f ca="1"/>
        <v>#REF!</v>
      </c>
      <c r="Y638" s="33" t="e">
        <f ca="1"/>
        <v>#REF!</v>
      </c>
      <c r="Z638" s="33" t="e">
        <f ca="1"/>
        <v>#REF!</v>
      </c>
      <c r="AA638" s="33" t="e">
        <f ca="1"/>
        <v>#REF!</v>
      </c>
    </row>
    <row r="639" spans="1:27" s="70" customFormat="1" ht="11.25" x14ac:dyDescent="0.2">
      <c r="A639" s="24">
        <v>633</v>
      </c>
      <c r="B639" s="24"/>
      <c r="C639" s="25"/>
      <c r="D639" s="26"/>
      <c r="E639" s="25"/>
      <c r="F639" s="25"/>
      <c r="G639" s="24"/>
      <c r="H639" s="28" t="e">
        <f ca="1"/>
        <v>#REF!</v>
      </c>
      <c r="I639" s="27" t="e">
        <f ca="1"/>
        <v>#REF!</v>
      </c>
      <c r="J639" s="28" t="e">
        <f ca="1"/>
        <v>#REF!</v>
      </c>
      <c r="K639" s="27" t="e">
        <f ca="1"/>
        <v>#REF!</v>
      </c>
      <c r="L639" s="25" t="e">
        <f ca="1"/>
        <v>#REF!</v>
      </c>
      <c r="M639" s="25" t="e">
        <f ca="1"/>
        <v>#REF!</v>
      </c>
      <c r="N639" s="25" t="e">
        <f ca="1"/>
        <v>#REF!</v>
      </c>
      <c r="O639" s="25" t="e">
        <f ca="1"/>
        <v>#REF!</v>
      </c>
      <c r="P639" s="25" t="e">
        <f ca="1"/>
        <v>#REF!</v>
      </c>
      <c r="Q639" s="25" t="e">
        <f ca="1"/>
        <v>#REF!</v>
      </c>
      <c r="R639" s="25" t="e">
        <f ca="1"/>
        <v>#REF!</v>
      </c>
      <c r="S639" s="25" t="e">
        <f ca="1"/>
        <v>#REF!</v>
      </c>
      <c r="T639" s="25" t="e">
        <f ca="1"/>
        <v>#REF!</v>
      </c>
      <c r="U639" s="25" t="e">
        <f ca="1"/>
        <v>#REF!</v>
      </c>
      <c r="V639" s="25" t="e">
        <f ca="1"/>
        <v>#REF!</v>
      </c>
      <c r="W639" s="33" t="e">
        <f ca="1"/>
        <v>#REF!</v>
      </c>
      <c r="X639" s="33" t="e">
        <f ca="1"/>
        <v>#REF!</v>
      </c>
      <c r="Y639" s="33" t="e">
        <f ca="1"/>
        <v>#REF!</v>
      </c>
      <c r="Z639" s="33" t="e">
        <f ca="1"/>
        <v>#REF!</v>
      </c>
      <c r="AA639" s="33" t="e">
        <f ca="1"/>
        <v>#REF!</v>
      </c>
    </row>
    <row r="640" spans="1:27" s="70" customFormat="1" ht="11.25" x14ac:dyDescent="0.2">
      <c r="A640" s="24">
        <v>634</v>
      </c>
      <c r="B640" s="24"/>
      <c r="C640" s="25"/>
      <c r="D640" s="26"/>
      <c r="E640" s="25"/>
      <c r="F640" s="25"/>
      <c r="G640" s="24"/>
      <c r="H640" s="28" t="e">
        <f ca="1"/>
        <v>#REF!</v>
      </c>
      <c r="I640" s="27" t="e">
        <f ca="1"/>
        <v>#REF!</v>
      </c>
      <c r="J640" s="28" t="e">
        <f ca="1"/>
        <v>#REF!</v>
      </c>
      <c r="K640" s="27" t="e">
        <f ca="1"/>
        <v>#REF!</v>
      </c>
      <c r="L640" s="25" t="e">
        <f ca="1"/>
        <v>#REF!</v>
      </c>
      <c r="M640" s="25" t="e">
        <f ca="1"/>
        <v>#REF!</v>
      </c>
      <c r="N640" s="25" t="e">
        <f ca="1"/>
        <v>#REF!</v>
      </c>
      <c r="O640" s="25" t="e">
        <f ca="1"/>
        <v>#REF!</v>
      </c>
      <c r="P640" s="25" t="e">
        <f ca="1"/>
        <v>#REF!</v>
      </c>
      <c r="Q640" s="25" t="e">
        <f ca="1"/>
        <v>#REF!</v>
      </c>
      <c r="R640" s="25" t="e">
        <f ca="1"/>
        <v>#REF!</v>
      </c>
      <c r="S640" s="25" t="e">
        <f ca="1"/>
        <v>#REF!</v>
      </c>
      <c r="T640" s="25" t="e">
        <f ca="1"/>
        <v>#REF!</v>
      </c>
      <c r="U640" s="25" t="e">
        <f ca="1"/>
        <v>#REF!</v>
      </c>
      <c r="V640" s="25" t="e">
        <f ca="1"/>
        <v>#REF!</v>
      </c>
      <c r="W640" s="33" t="e">
        <f ca="1"/>
        <v>#REF!</v>
      </c>
      <c r="X640" s="33" t="e">
        <f ca="1"/>
        <v>#REF!</v>
      </c>
      <c r="Y640" s="33" t="e">
        <f ca="1"/>
        <v>#REF!</v>
      </c>
      <c r="Z640" s="33" t="e">
        <f ca="1"/>
        <v>#REF!</v>
      </c>
      <c r="AA640" s="33" t="e">
        <f ca="1"/>
        <v>#REF!</v>
      </c>
    </row>
    <row r="641" spans="1:27" s="70" customFormat="1" ht="11.25" x14ac:dyDescent="0.2">
      <c r="A641" s="24">
        <v>635</v>
      </c>
      <c r="B641" s="24"/>
      <c r="C641" s="25"/>
      <c r="D641" s="26"/>
      <c r="E641" s="25"/>
      <c r="F641" s="25"/>
      <c r="G641" s="24"/>
      <c r="H641" s="28" t="e">
        <f ca="1"/>
        <v>#REF!</v>
      </c>
      <c r="I641" s="27" t="e">
        <f ca="1"/>
        <v>#REF!</v>
      </c>
      <c r="J641" s="28" t="e">
        <f ca="1"/>
        <v>#REF!</v>
      </c>
      <c r="K641" s="27" t="e">
        <f ca="1"/>
        <v>#REF!</v>
      </c>
      <c r="L641" s="25" t="e">
        <f ca="1"/>
        <v>#REF!</v>
      </c>
      <c r="M641" s="25" t="e">
        <f ca="1"/>
        <v>#REF!</v>
      </c>
      <c r="N641" s="25" t="e">
        <f ca="1"/>
        <v>#REF!</v>
      </c>
      <c r="O641" s="25" t="e">
        <f ca="1"/>
        <v>#REF!</v>
      </c>
      <c r="P641" s="25" t="e">
        <f ca="1"/>
        <v>#REF!</v>
      </c>
      <c r="Q641" s="25" t="e">
        <f ca="1"/>
        <v>#REF!</v>
      </c>
      <c r="R641" s="25" t="e">
        <f ca="1"/>
        <v>#REF!</v>
      </c>
      <c r="S641" s="25" t="e">
        <f ca="1"/>
        <v>#REF!</v>
      </c>
      <c r="T641" s="25" t="e">
        <f ca="1"/>
        <v>#REF!</v>
      </c>
      <c r="U641" s="25" t="e">
        <f ca="1"/>
        <v>#REF!</v>
      </c>
      <c r="V641" s="25" t="e">
        <f ca="1"/>
        <v>#REF!</v>
      </c>
      <c r="W641" s="33" t="e">
        <f ca="1"/>
        <v>#REF!</v>
      </c>
      <c r="X641" s="33" t="e">
        <f ca="1"/>
        <v>#REF!</v>
      </c>
      <c r="Y641" s="33" t="e">
        <f ca="1"/>
        <v>#REF!</v>
      </c>
      <c r="Z641" s="33" t="e">
        <f ca="1"/>
        <v>#REF!</v>
      </c>
      <c r="AA641" s="33" t="e">
        <f ca="1"/>
        <v>#REF!</v>
      </c>
    </row>
    <row r="642" spans="1:27" s="70" customFormat="1" ht="11.25" x14ac:dyDescent="0.2">
      <c r="A642" s="24">
        <v>636</v>
      </c>
      <c r="B642" s="24"/>
      <c r="C642" s="25"/>
      <c r="D642" s="26"/>
      <c r="E642" s="25"/>
      <c r="F642" s="25"/>
      <c r="G642" s="24"/>
      <c r="H642" s="28" t="e">
        <f ca="1"/>
        <v>#REF!</v>
      </c>
      <c r="I642" s="27" t="e">
        <f ca="1"/>
        <v>#REF!</v>
      </c>
      <c r="J642" s="28" t="e">
        <f ca="1"/>
        <v>#REF!</v>
      </c>
      <c r="K642" s="27" t="e">
        <f ca="1"/>
        <v>#REF!</v>
      </c>
      <c r="L642" s="25" t="e">
        <f ca="1"/>
        <v>#REF!</v>
      </c>
      <c r="M642" s="25" t="e">
        <f ca="1"/>
        <v>#REF!</v>
      </c>
      <c r="N642" s="25" t="e">
        <f ca="1"/>
        <v>#REF!</v>
      </c>
      <c r="O642" s="25" t="e">
        <f ca="1"/>
        <v>#REF!</v>
      </c>
      <c r="P642" s="25" t="e">
        <f ca="1"/>
        <v>#REF!</v>
      </c>
      <c r="Q642" s="25" t="e">
        <f ca="1"/>
        <v>#REF!</v>
      </c>
      <c r="R642" s="25" t="e">
        <f ca="1"/>
        <v>#REF!</v>
      </c>
      <c r="S642" s="25" t="e">
        <f ca="1"/>
        <v>#REF!</v>
      </c>
      <c r="T642" s="25" t="e">
        <f ca="1"/>
        <v>#REF!</v>
      </c>
      <c r="U642" s="25" t="e">
        <f ca="1"/>
        <v>#REF!</v>
      </c>
      <c r="V642" s="25" t="e">
        <f ca="1"/>
        <v>#REF!</v>
      </c>
      <c r="W642" s="33" t="e">
        <f ca="1"/>
        <v>#REF!</v>
      </c>
      <c r="X642" s="33" t="e">
        <f ca="1"/>
        <v>#REF!</v>
      </c>
      <c r="Y642" s="33" t="e">
        <f ca="1"/>
        <v>#REF!</v>
      </c>
      <c r="Z642" s="33" t="e">
        <f ca="1"/>
        <v>#REF!</v>
      </c>
      <c r="AA642" s="33" t="e">
        <f ca="1"/>
        <v>#REF!</v>
      </c>
    </row>
    <row r="643" spans="1:27" s="70" customFormat="1" ht="11.25" x14ac:dyDescent="0.2">
      <c r="A643" s="24">
        <v>637</v>
      </c>
      <c r="B643" s="24"/>
      <c r="C643" s="25"/>
      <c r="D643" s="26"/>
      <c r="E643" s="25"/>
      <c r="F643" s="25"/>
      <c r="G643" s="24"/>
      <c r="H643" s="28" t="e">
        <f ca="1"/>
        <v>#REF!</v>
      </c>
      <c r="I643" s="27" t="e">
        <f ca="1"/>
        <v>#REF!</v>
      </c>
      <c r="J643" s="28" t="e">
        <f ca="1"/>
        <v>#REF!</v>
      </c>
      <c r="K643" s="27" t="e">
        <f ca="1"/>
        <v>#REF!</v>
      </c>
      <c r="L643" s="25" t="e">
        <f ca="1"/>
        <v>#REF!</v>
      </c>
      <c r="M643" s="25" t="e">
        <f ca="1"/>
        <v>#REF!</v>
      </c>
      <c r="N643" s="25" t="e">
        <f ca="1"/>
        <v>#REF!</v>
      </c>
      <c r="O643" s="25" t="e">
        <f ca="1"/>
        <v>#REF!</v>
      </c>
      <c r="P643" s="25" t="e">
        <f ca="1"/>
        <v>#REF!</v>
      </c>
      <c r="Q643" s="25" t="e">
        <f ca="1"/>
        <v>#REF!</v>
      </c>
      <c r="R643" s="25" t="e">
        <f ca="1"/>
        <v>#REF!</v>
      </c>
      <c r="S643" s="25" t="e">
        <f ca="1"/>
        <v>#REF!</v>
      </c>
      <c r="T643" s="25" t="e">
        <f ca="1"/>
        <v>#REF!</v>
      </c>
      <c r="U643" s="25" t="e">
        <f ca="1"/>
        <v>#REF!</v>
      </c>
      <c r="V643" s="25" t="e">
        <f ca="1"/>
        <v>#REF!</v>
      </c>
      <c r="W643" s="33" t="e">
        <f ca="1"/>
        <v>#REF!</v>
      </c>
      <c r="X643" s="33" t="e">
        <f ca="1"/>
        <v>#REF!</v>
      </c>
      <c r="Y643" s="33" t="e">
        <f ca="1"/>
        <v>#REF!</v>
      </c>
      <c r="Z643" s="33" t="e">
        <f ca="1"/>
        <v>#REF!</v>
      </c>
      <c r="AA643" s="33" t="e">
        <f ca="1"/>
        <v>#REF!</v>
      </c>
    </row>
    <row r="644" spans="1:27" s="70" customFormat="1" ht="11.25" x14ac:dyDescent="0.2">
      <c r="A644" s="24">
        <v>638</v>
      </c>
      <c r="B644" s="24"/>
      <c r="C644" s="25"/>
      <c r="D644" s="26"/>
      <c r="E644" s="25"/>
      <c r="F644" s="25"/>
      <c r="G644" s="24"/>
      <c r="H644" s="28" t="e">
        <f ca="1"/>
        <v>#REF!</v>
      </c>
      <c r="I644" s="27" t="e">
        <f ca="1"/>
        <v>#REF!</v>
      </c>
      <c r="J644" s="28" t="e">
        <f ca="1"/>
        <v>#REF!</v>
      </c>
      <c r="K644" s="27" t="e">
        <f ca="1"/>
        <v>#REF!</v>
      </c>
      <c r="L644" s="25" t="e">
        <f ca="1"/>
        <v>#REF!</v>
      </c>
      <c r="M644" s="25" t="e">
        <f ca="1"/>
        <v>#REF!</v>
      </c>
      <c r="N644" s="25" t="e">
        <f ca="1"/>
        <v>#REF!</v>
      </c>
      <c r="O644" s="25" t="e">
        <f ca="1"/>
        <v>#REF!</v>
      </c>
      <c r="P644" s="25" t="e">
        <f ca="1"/>
        <v>#REF!</v>
      </c>
      <c r="Q644" s="25" t="e">
        <f ca="1"/>
        <v>#REF!</v>
      </c>
      <c r="R644" s="25" t="e">
        <f ca="1"/>
        <v>#REF!</v>
      </c>
      <c r="S644" s="25" t="e">
        <f ca="1"/>
        <v>#REF!</v>
      </c>
      <c r="T644" s="25" t="e">
        <f ca="1"/>
        <v>#REF!</v>
      </c>
      <c r="U644" s="25" t="e">
        <f ca="1"/>
        <v>#REF!</v>
      </c>
      <c r="V644" s="25" t="e">
        <f ca="1"/>
        <v>#REF!</v>
      </c>
      <c r="W644" s="33" t="e">
        <f ca="1"/>
        <v>#REF!</v>
      </c>
      <c r="X644" s="33" t="e">
        <f ca="1"/>
        <v>#REF!</v>
      </c>
      <c r="Y644" s="33" t="e">
        <f ca="1"/>
        <v>#REF!</v>
      </c>
      <c r="Z644" s="33" t="e">
        <f ca="1"/>
        <v>#REF!</v>
      </c>
      <c r="AA644" s="33" t="e">
        <f ca="1"/>
        <v>#REF!</v>
      </c>
    </row>
    <row r="645" spans="1:27" s="70" customFormat="1" ht="11.25" x14ac:dyDescent="0.2">
      <c r="A645" s="24">
        <v>639</v>
      </c>
      <c r="B645" s="24"/>
      <c r="C645" s="25"/>
      <c r="D645" s="26"/>
      <c r="E645" s="25"/>
      <c r="F645" s="25"/>
      <c r="G645" s="24"/>
      <c r="H645" s="28" t="e">
        <f ca="1"/>
        <v>#REF!</v>
      </c>
      <c r="I645" s="27" t="e">
        <f ca="1"/>
        <v>#REF!</v>
      </c>
      <c r="J645" s="28" t="e">
        <f ca="1"/>
        <v>#REF!</v>
      </c>
      <c r="K645" s="27" t="e">
        <f ca="1"/>
        <v>#REF!</v>
      </c>
      <c r="L645" s="25" t="e">
        <f ca="1"/>
        <v>#REF!</v>
      </c>
      <c r="M645" s="25" t="e">
        <f ca="1"/>
        <v>#REF!</v>
      </c>
      <c r="N645" s="25" t="e">
        <f ca="1"/>
        <v>#REF!</v>
      </c>
      <c r="O645" s="25" t="e">
        <f ca="1"/>
        <v>#REF!</v>
      </c>
      <c r="P645" s="25" t="e">
        <f ca="1"/>
        <v>#REF!</v>
      </c>
      <c r="Q645" s="25" t="e">
        <f ca="1"/>
        <v>#REF!</v>
      </c>
      <c r="R645" s="25" t="e">
        <f ca="1"/>
        <v>#REF!</v>
      </c>
      <c r="S645" s="25" t="e">
        <f ca="1"/>
        <v>#REF!</v>
      </c>
      <c r="T645" s="25" t="e">
        <f ca="1"/>
        <v>#REF!</v>
      </c>
      <c r="U645" s="25" t="e">
        <f ca="1"/>
        <v>#REF!</v>
      </c>
      <c r="V645" s="25" t="e">
        <f ca="1"/>
        <v>#REF!</v>
      </c>
      <c r="W645" s="33" t="e">
        <f ca="1"/>
        <v>#REF!</v>
      </c>
      <c r="X645" s="33" t="e">
        <f ca="1"/>
        <v>#REF!</v>
      </c>
      <c r="Y645" s="33" t="e">
        <f ca="1"/>
        <v>#REF!</v>
      </c>
      <c r="Z645" s="33" t="e">
        <f ca="1"/>
        <v>#REF!</v>
      </c>
      <c r="AA645" s="33" t="e">
        <f ca="1"/>
        <v>#REF!</v>
      </c>
    </row>
    <row r="646" spans="1:27" s="70" customFormat="1" ht="11.25" x14ac:dyDescent="0.2">
      <c r="A646" s="24">
        <v>640</v>
      </c>
      <c r="B646" s="24"/>
      <c r="C646" s="25"/>
      <c r="D646" s="26"/>
      <c r="E646" s="25"/>
      <c r="F646" s="25"/>
      <c r="G646" s="24"/>
      <c r="H646" s="28" t="e">
        <f ca="1"/>
        <v>#REF!</v>
      </c>
      <c r="I646" s="27" t="e">
        <f ca="1"/>
        <v>#REF!</v>
      </c>
      <c r="J646" s="28" t="e">
        <f ca="1"/>
        <v>#REF!</v>
      </c>
      <c r="K646" s="27" t="e">
        <f ca="1"/>
        <v>#REF!</v>
      </c>
      <c r="L646" s="25" t="e">
        <f ca="1"/>
        <v>#REF!</v>
      </c>
      <c r="M646" s="25" t="e">
        <f ca="1"/>
        <v>#REF!</v>
      </c>
      <c r="N646" s="25" t="e">
        <f ca="1"/>
        <v>#REF!</v>
      </c>
      <c r="O646" s="25" t="e">
        <f ca="1"/>
        <v>#REF!</v>
      </c>
      <c r="P646" s="25" t="e">
        <f ca="1"/>
        <v>#REF!</v>
      </c>
      <c r="Q646" s="25" t="e">
        <f ca="1"/>
        <v>#REF!</v>
      </c>
      <c r="R646" s="25" t="e">
        <f ca="1"/>
        <v>#REF!</v>
      </c>
      <c r="S646" s="25" t="e">
        <f ca="1"/>
        <v>#REF!</v>
      </c>
      <c r="T646" s="25" t="e">
        <f ca="1"/>
        <v>#REF!</v>
      </c>
      <c r="U646" s="25" t="e">
        <f ca="1"/>
        <v>#REF!</v>
      </c>
      <c r="V646" s="25" t="e">
        <f ca="1"/>
        <v>#REF!</v>
      </c>
      <c r="W646" s="33" t="e">
        <f ca="1"/>
        <v>#REF!</v>
      </c>
      <c r="X646" s="33" t="e">
        <f ca="1"/>
        <v>#REF!</v>
      </c>
      <c r="Y646" s="33" t="e">
        <f ca="1"/>
        <v>#REF!</v>
      </c>
      <c r="Z646" s="33" t="e">
        <f ca="1"/>
        <v>#REF!</v>
      </c>
      <c r="AA646" s="33" t="e">
        <f ca="1"/>
        <v>#REF!</v>
      </c>
    </row>
    <row r="647" spans="1:27" s="70" customFormat="1" ht="11.25" x14ac:dyDescent="0.2">
      <c r="A647" s="24">
        <v>641</v>
      </c>
      <c r="B647" s="24"/>
      <c r="C647" s="25"/>
      <c r="D647" s="26"/>
      <c r="E647" s="25"/>
      <c r="F647" s="25"/>
      <c r="G647" s="24"/>
      <c r="H647" s="28" t="e">
        <f ca="1"/>
        <v>#REF!</v>
      </c>
      <c r="I647" s="27" t="e">
        <f ca="1"/>
        <v>#REF!</v>
      </c>
      <c r="J647" s="28" t="e">
        <f ca="1"/>
        <v>#REF!</v>
      </c>
      <c r="K647" s="27" t="e">
        <f ca="1"/>
        <v>#REF!</v>
      </c>
      <c r="L647" s="25" t="e">
        <f ca="1"/>
        <v>#REF!</v>
      </c>
      <c r="M647" s="25" t="e">
        <f ca="1"/>
        <v>#REF!</v>
      </c>
      <c r="N647" s="25" t="e">
        <f ca="1"/>
        <v>#REF!</v>
      </c>
      <c r="O647" s="25" t="e">
        <f ca="1"/>
        <v>#REF!</v>
      </c>
      <c r="P647" s="25" t="e">
        <f ca="1"/>
        <v>#REF!</v>
      </c>
      <c r="Q647" s="25" t="e">
        <f ca="1"/>
        <v>#REF!</v>
      </c>
      <c r="R647" s="25" t="e">
        <f ca="1"/>
        <v>#REF!</v>
      </c>
      <c r="S647" s="25" t="e">
        <f ca="1"/>
        <v>#REF!</v>
      </c>
      <c r="T647" s="25" t="e">
        <f ca="1"/>
        <v>#REF!</v>
      </c>
      <c r="U647" s="25" t="e">
        <f ca="1"/>
        <v>#REF!</v>
      </c>
      <c r="V647" s="25" t="e">
        <f ca="1"/>
        <v>#REF!</v>
      </c>
      <c r="W647" s="33" t="e">
        <f ca="1"/>
        <v>#REF!</v>
      </c>
      <c r="X647" s="33" t="e">
        <f ca="1"/>
        <v>#REF!</v>
      </c>
      <c r="Y647" s="33" t="e">
        <f ca="1"/>
        <v>#REF!</v>
      </c>
      <c r="Z647" s="33" t="e">
        <f ca="1"/>
        <v>#REF!</v>
      </c>
      <c r="AA647" s="33" t="e">
        <f ca="1"/>
        <v>#REF!</v>
      </c>
    </row>
    <row r="648" spans="1:27" s="70" customFormat="1" ht="11.25" x14ac:dyDescent="0.2">
      <c r="A648" s="24">
        <v>642</v>
      </c>
      <c r="B648" s="24"/>
      <c r="C648" s="25"/>
      <c r="D648" s="26"/>
      <c r="E648" s="25"/>
      <c r="F648" s="25"/>
      <c r="G648" s="24"/>
      <c r="H648" s="28" t="e">
        <f ca="1"/>
        <v>#REF!</v>
      </c>
      <c r="I648" s="27" t="e">
        <f ca="1"/>
        <v>#REF!</v>
      </c>
      <c r="J648" s="28" t="e">
        <f ca="1"/>
        <v>#REF!</v>
      </c>
      <c r="K648" s="27" t="e">
        <f ca="1"/>
        <v>#REF!</v>
      </c>
      <c r="L648" s="25" t="e">
        <f ca="1"/>
        <v>#REF!</v>
      </c>
      <c r="M648" s="25" t="e">
        <f ca="1"/>
        <v>#REF!</v>
      </c>
      <c r="N648" s="25" t="e">
        <f ca="1"/>
        <v>#REF!</v>
      </c>
      <c r="O648" s="25" t="e">
        <f ca="1"/>
        <v>#REF!</v>
      </c>
      <c r="P648" s="25" t="e">
        <f ca="1"/>
        <v>#REF!</v>
      </c>
      <c r="Q648" s="25" t="e">
        <f ca="1"/>
        <v>#REF!</v>
      </c>
      <c r="R648" s="25" t="e">
        <f ca="1"/>
        <v>#REF!</v>
      </c>
      <c r="S648" s="25" t="e">
        <f ca="1"/>
        <v>#REF!</v>
      </c>
      <c r="T648" s="25" t="e">
        <f ca="1"/>
        <v>#REF!</v>
      </c>
      <c r="U648" s="25" t="e">
        <f ca="1"/>
        <v>#REF!</v>
      </c>
      <c r="V648" s="25" t="e">
        <f ca="1"/>
        <v>#REF!</v>
      </c>
      <c r="W648" s="33" t="e">
        <f ca="1"/>
        <v>#REF!</v>
      </c>
      <c r="X648" s="33" t="e">
        <f ca="1"/>
        <v>#REF!</v>
      </c>
      <c r="Y648" s="33" t="e">
        <f ca="1"/>
        <v>#REF!</v>
      </c>
      <c r="Z648" s="33" t="e">
        <f ca="1"/>
        <v>#REF!</v>
      </c>
      <c r="AA648" s="33" t="e">
        <f ca="1"/>
        <v>#REF!</v>
      </c>
    </row>
    <row r="649" spans="1:27" s="70" customFormat="1" ht="11.25" x14ac:dyDescent="0.2">
      <c r="A649" s="24">
        <v>643</v>
      </c>
      <c r="B649" s="24"/>
      <c r="C649" s="25"/>
      <c r="D649" s="26"/>
      <c r="E649" s="25"/>
      <c r="F649" s="25"/>
      <c r="G649" s="24"/>
      <c r="H649" s="28" t="e">
        <f ca="1"/>
        <v>#REF!</v>
      </c>
      <c r="I649" s="27" t="e">
        <f ca="1"/>
        <v>#REF!</v>
      </c>
      <c r="J649" s="28" t="e">
        <f ca="1"/>
        <v>#REF!</v>
      </c>
      <c r="K649" s="27" t="e">
        <f ca="1"/>
        <v>#REF!</v>
      </c>
      <c r="L649" s="25" t="e">
        <f ca="1"/>
        <v>#REF!</v>
      </c>
      <c r="M649" s="25" t="e">
        <f ca="1"/>
        <v>#REF!</v>
      </c>
      <c r="N649" s="25" t="e">
        <f ca="1"/>
        <v>#REF!</v>
      </c>
      <c r="O649" s="25" t="e">
        <f ca="1"/>
        <v>#REF!</v>
      </c>
      <c r="P649" s="25" t="e">
        <f ca="1"/>
        <v>#REF!</v>
      </c>
      <c r="Q649" s="25" t="e">
        <f ca="1"/>
        <v>#REF!</v>
      </c>
      <c r="R649" s="25" t="e">
        <f ca="1"/>
        <v>#REF!</v>
      </c>
      <c r="S649" s="25" t="e">
        <f ca="1"/>
        <v>#REF!</v>
      </c>
      <c r="T649" s="25" t="e">
        <f ca="1"/>
        <v>#REF!</v>
      </c>
      <c r="U649" s="25" t="e">
        <f ca="1"/>
        <v>#REF!</v>
      </c>
      <c r="V649" s="25" t="e">
        <f ca="1"/>
        <v>#REF!</v>
      </c>
      <c r="W649" s="33" t="e">
        <f ca="1"/>
        <v>#REF!</v>
      </c>
      <c r="X649" s="33" t="e">
        <f ca="1"/>
        <v>#REF!</v>
      </c>
      <c r="Y649" s="33" t="e">
        <f ca="1"/>
        <v>#REF!</v>
      </c>
      <c r="Z649" s="33" t="e">
        <f ca="1"/>
        <v>#REF!</v>
      </c>
      <c r="AA649" s="33" t="e">
        <f ca="1"/>
        <v>#REF!</v>
      </c>
    </row>
    <row r="650" spans="1:27" s="70" customFormat="1" ht="11.25" x14ac:dyDescent="0.2">
      <c r="A650" s="24">
        <v>644</v>
      </c>
      <c r="B650" s="24"/>
      <c r="C650" s="25"/>
      <c r="D650" s="26"/>
      <c r="E650" s="25"/>
      <c r="F650" s="25"/>
      <c r="G650" s="24"/>
      <c r="H650" s="28" t="e">
        <f ca="1"/>
        <v>#REF!</v>
      </c>
      <c r="I650" s="27" t="e">
        <f ca="1"/>
        <v>#REF!</v>
      </c>
      <c r="J650" s="28" t="e">
        <f ca="1"/>
        <v>#REF!</v>
      </c>
      <c r="K650" s="27" t="e">
        <f ca="1"/>
        <v>#REF!</v>
      </c>
      <c r="L650" s="25" t="e">
        <f ca="1"/>
        <v>#REF!</v>
      </c>
      <c r="M650" s="25" t="e">
        <f ca="1"/>
        <v>#REF!</v>
      </c>
      <c r="N650" s="25" t="e">
        <f ca="1"/>
        <v>#REF!</v>
      </c>
      <c r="O650" s="25" t="e">
        <f ca="1"/>
        <v>#REF!</v>
      </c>
      <c r="P650" s="25" t="e">
        <f ca="1"/>
        <v>#REF!</v>
      </c>
      <c r="Q650" s="25" t="e">
        <f ca="1"/>
        <v>#REF!</v>
      </c>
      <c r="R650" s="25" t="e">
        <f ca="1"/>
        <v>#REF!</v>
      </c>
      <c r="S650" s="25" t="e">
        <f ca="1"/>
        <v>#REF!</v>
      </c>
      <c r="T650" s="25" t="e">
        <f ca="1"/>
        <v>#REF!</v>
      </c>
      <c r="U650" s="25" t="e">
        <f ca="1"/>
        <v>#REF!</v>
      </c>
      <c r="V650" s="25" t="e">
        <f ca="1"/>
        <v>#REF!</v>
      </c>
      <c r="W650" s="33" t="e">
        <f ca="1"/>
        <v>#REF!</v>
      </c>
      <c r="X650" s="33" t="e">
        <f ca="1"/>
        <v>#REF!</v>
      </c>
      <c r="Y650" s="33" t="e">
        <f ca="1"/>
        <v>#REF!</v>
      </c>
      <c r="Z650" s="33" t="e">
        <f ca="1"/>
        <v>#REF!</v>
      </c>
      <c r="AA650" s="33" t="e">
        <f ca="1"/>
        <v>#REF!</v>
      </c>
    </row>
    <row r="651" spans="1:27" s="70" customFormat="1" ht="11.25" x14ac:dyDescent="0.2">
      <c r="A651" s="24">
        <v>645</v>
      </c>
      <c r="B651" s="24"/>
      <c r="C651" s="25"/>
      <c r="D651" s="26"/>
      <c r="E651" s="25"/>
      <c r="F651" s="25"/>
      <c r="G651" s="24"/>
      <c r="H651" s="28" t="e">
        <f ca="1"/>
        <v>#REF!</v>
      </c>
      <c r="I651" s="27" t="e">
        <f ca="1"/>
        <v>#REF!</v>
      </c>
      <c r="J651" s="28" t="e">
        <f ca="1"/>
        <v>#REF!</v>
      </c>
      <c r="K651" s="27" t="e">
        <f ca="1"/>
        <v>#REF!</v>
      </c>
      <c r="L651" s="25" t="e">
        <f ca="1"/>
        <v>#REF!</v>
      </c>
      <c r="M651" s="25" t="e">
        <f ca="1"/>
        <v>#REF!</v>
      </c>
      <c r="N651" s="25" t="e">
        <f ca="1"/>
        <v>#REF!</v>
      </c>
      <c r="O651" s="25" t="e">
        <f ca="1"/>
        <v>#REF!</v>
      </c>
      <c r="P651" s="25" t="e">
        <f ca="1"/>
        <v>#REF!</v>
      </c>
      <c r="Q651" s="25" t="e">
        <f ca="1"/>
        <v>#REF!</v>
      </c>
      <c r="R651" s="25" t="e">
        <f ca="1"/>
        <v>#REF!</v>
      </c>
      <c r="S651" s="25" t="e">
        <f ca="1"/>
        <v>#REF!</v>
      </c>
      <c r="T651" s="25" t="e">
        <f ca="1"/>
        <v>#REF!</v>
      </c>
      <c r="U651" s="25" t="e">
        <f ca="1"/>
        <v>#REF!</v>
      </c>
      <c r="V651" s="25" t="e">
        <f ca="1"/>
        <v>#REF!</v>
      </c>
      <c r="W651" s="33" t="e">
        <f ca="1"/>
        <v>#REF!</v>
      </c>
      <c r="X651" s="33" t="e">
        <f ca="1"/>
        <v>#REF!</v>
      </c>
      <c r="Y651" s="33" t="e">
        <f ca="1"/>
        <v>#REF!</v>
      </c>
      <c r="Z651" s="33" t="e">
        <f ca="1"/>
        <v>#REF!</v>
      </c>
      <c r="AA651" s="33" t="e">
        <f ca="1"/>
        <v>#REF!</v>
      </c>
    </row>
    <row r="652" spans="1:27" s="70" customFormat="1" ht="11.25" x14ac:dyDescent="0.2">
      <c r="A652" s="24">
        <v>646</v>
      </c>
      <c r="B652" s="24"/>
      <c r="C652" s="25"/>
      <c r="D652" s="26"/>
      <c r="E652" s="25"/>
      <c r="F652" s="25"/>
      <c r="G652" s="24"/>
      <c r="H652" s="28" t="e">
        <f ca="1"/>
        <v>#REF!</v>
      </c>
      <c r="I652" s="27" t="e">
        <f ca="1"/>
        <v>#REF!</v>
      </c>
      <c r="J652" s="28" t="e">
        <f ca="1"/>
        <v>#REF!</v>
      </c>
      <c r="K652" s="27" t="e">
        <f ca="1"/>
        <v>#REF!</v>
      </c>
      <c r="L652" s="25" t="e">
        <f ca="1"/>
        <v>#REF!</v>
      </c>
      <c r="M652" s="25" t="e">
        <f ca="1"/>
        <v>#REF!</v>
      </c>
      <c r="N652" s="25" t="e">
        <f ca="1"/>
        <v>#REF!</v>
      </c>
      <c r="O652" s="25" t="e">
        <f ca="1"/>
        <v>#REF!</v>
      </c>
      <c r="P652" s="25" t="e">
        <f ca="1"/>
        <v>#REF!</v>
      </c>
      <c r="Q652" s="25" t="e">
        <f ca="1"/>
        <v>#REF!</v>
      </c>
      <c r="R652" s="25" t="e">
        <f ca="1"/>
        <v>#REF!</v>
      </c>
      <c r="S652" s="25" t="e">
        <f ca="1"/>
        <v>#REF!</v>
      </c>
      <c r="T652" s="25" t="e">
        <f ca="1"/>
        <v>#REF!</v>
      </c>
      <c r="U652" s="25" t="e">
        <f ca="1"/>
        <v>#REF!</v>
      </c>
      <c r="V652" s="25" t="e">
        <f ca="1"/>
        <v>#REF!</v>
      </c>
      <c r="W652" s="33" t="e">
        <f ca="1"/>
        <v>#REF!</v>
      </c>
      <c r="X652" s="33" t="e">
        <f ca="1"/>
        <v>#REF!</v>
      </c>
      <c r="Y652" s="33" t="e">
        <f ca="1"/>
        <v>#REF!</v>
      </c>
      <c r="Z652" s="33" t="e">
        <f ca="1"/>
        <v>#REF!</v>
      </c>
      <c r="AA652" s="33" t="e">
        <f ca="1"/>
        <v>#REF!</v>
      </c>
    </row>
    <row r="653" spans="1:27" s="70" customFormat="1" ht="11.25" x14ac:dyDescent="0.2">
      <c r="A653" s="24">
        <v>647</v>
      </c>
      <c r="B653" s="24"/>
      <c r="C653" s="25"/>
      <c r="D653" s="26"/>
      <c r="E653" s="25"/>
      <c r="F653" s="25"/>
      <c r="G653" s="24"/>
      <c r="H653" s="28" t="e">
        <f ca="1"/>
        <v>#REF!</v>
      </c>
      <c r="I653" s="27" t="e">
        <f ca="1"/>
        <v>#REF!</v>
      </c>
      <c r="J653" s="28" t="e">
        <f ca="1"/>
        <v>#REF!</v>
      </c>
      <c r="K653" s="27" t="e">
        <f ca="1"/>
        <v>#REF!</v>
      </c>
      <c r="L653" s="25" t="e">
        <f ca="1"/>
        <v>#REF!</v>
      </c>
      <c r="M653" s="25" t="e">
        <f ca="1"/>
        <v>#REF!</v>
      </c>
      <c r="N653" s="25" t="e">
        <f ca="1"/>
        <v>#REF!</v>
      </c>
      <c r="O653" s="25" t="e">
        <f ca="1"/>
        <v>#REF!</v>
      </c>
      <c r="P653" s="25" t="e">
        <f ca="1"/>
        <v>#REF!</v>
      </c>
      <c r="Q653" s="25" t="e">
        <f ca="1"/>
        <v>#REF!</v>
      </c>
      <c r="R653" s="25" t="e">
        <f ca="1"/>
        <v>#REF!</v>
      </c>
      <c r="S653" s="25" t="e">
        <f ca="1"/>
        <v>#REF!</v>
      </c>
      <c r="T653" s="25" t="e">
        <f ca="1"/>
        <v>#REF!</v>
      </c>
      <c r="U653" s="25" t="e">
        <f ca="1"/>
        <v>#REF!</v>
      </c>
      <c r="V653" s="25" t="e">
        <f ca="1"/>
        <v>#REF!</v>
      </c>
      <c r="W653" s="33" t="e">
        <f ca="1"/>
        <v>#REF!</v>
      </c>
      <c r="X653" s="33" t="e">
        <f ca="1"/>
        <v>#REF!</v>
      </c>
      <c r="Y653" s="33" t="e">
        <f ca="1"/>
        <v>#REF!</v>
      </c>
      <c r="Z653" s="33" t="e">
        <f ca="1"/>
        <v>#REF!</v>
      </c>
      <c r="AA653" s="33" t="e">
        <f ca="1"/>
        <v>#REF!</v>
      </c>
    </row>
    <row r="654" spans="1:27" s="70" customFormat="1" ht="11.25" x14ac:dyDescent="0.2">
      <c r="A654" s="24">
        <v>648</v>
      </c>
      <c r="B654" s="24"/>
      <c r="C654" s="25"/>
      <c r="D654" s="26"/>
      <c r="E654" s="25"/>
      <c r="F654" s="25"/>
      <c r="G654" s="24"/>
      <c r="H654" s="28" t="e">
        <f ca="1"/>
        <v>#REF!</v>
      </c>
      <c r="I654" s="27" t="e">
        <f ca="1"/>
        <v>#REF!</v>
      </c>
      <c r="J654" s="28" t="e">
        <f ca="1"/>
        <v>#REF!</v>
      </c>
      <c r="K654" s="27" t="e">
        <f ca="1"/>
        <v>#REF!</v>
      </c>
      <c r="L654" s="25" t="e">
        <f ca="1"/>
        <v>#REF!</v>
      </c>
      <c r="M654" s="25" t="e">
        <f ca="1"/>
        <v>#REF!</v>
      </c>
      <c r="N654" s="25" t="e">
        <f ca="1"/>
        <v>#REF!</v>
      </c>
      <c r="O654" s="25" t="e">
        <f ca="1"/>
        <v>#REF!</v>
      </c>
      <c r="P654" s="25" t="e">
        <f ca="1"/>
        <v>#REF!</v>
      </c>
      <c r="Q654" s="25" t="e">
        <f ca="1"/>
        <v>#REF!</v>
      </c>
      <c r="R654" s="25" t="e">
        <f ca="1"/>
        <v>#REF!</v>
      </c>
      <c r="S654" s="25" t="e">
        <f ca="1"/>
        <v>#REF!</v>
      </c>
      <c r="T654" s="25" t="e">
        <f ca="1"/>
        <v>#REF!</v>
      </c>
      <c r="U654" s="25" t="e">
        <f ca="1"/>
        <v>#REF!</v>
      </c>
      <c r="V654" s="25" t="e">
        <f ca="1"/>
        <v>#REF!</v>
      </c>
      <c r="W654" s="33" t="e">
        <f ca="1"/>
        <v>#REF!</v>
      </c>
      <c r="X654" s="33" t="e">
        <f ca="1"/>
        <v>#REF!</v>
      </c>
      <c r="Y654" s="33" t="e">
        <f ca="1"/>
        <v>#REF!</v>
      </c>
      <c r="Z654" s="33" t="e">
        <f ca="1"/>
        <v>#REF!</v>
      </c>
      <c r="AA654" s="33" t="e">
        <f ca="1"/>
        <v>#REF!</v>
      </c>
    </row>
    <row r="655" spans="1:27" s="70" customFormat="1" ht="11.25" x14ac:dyDescent="0.2">
      <c r="A655" s="24">
        <v>649</v>
      </c>
      <c r="B655" s="24"/>
      <c r="C655" s="25"/>
      <c r="D655" s="26"/>
      <c r="E655" s="25"/>
      <c r="F655" s="25"/>
      <c r="G655" s="24"/>
      <c r="H655" s="28" t="e">
        <f ca="1"/>
        <v>#REF!</v>
      </c>
      <c r="I655" s="27" t="e">
        <f ca="1"/>
        <v>#REF!</v>
      </c>
      <c r="J655" s="28" t="e">
        <f ca="1"/>
        <v>#REF!</v>
      </c>
      <c r="K655" s="27" t="e">
        <f ca="1"/>
        <v>#REF!</v>
      </c>
      <c r="L655" s="25" t="e">
        <f ca="1"/>
        <v>#REF!</v>
      </c>
      <c r="M655" s="25" t="e">
        <f ca="1"/>
        <v>#REF!</v>
      </c>
      <c r="N655" s="25" t="e">
        <f ca="1"/>
        <v>#REF!</v>
      </c>
      <c r="O655" s="25" t="e">
        <f ca="1"/>
        <v>#REF!</v>
      </c>
      <c r="P655" s="25" t="e">
        <f ca="1"/>
        <v>#REF!</v>
      </c>
      <c r="Q655" s="25" t="e">
        <f ca="1"/>
        <v>#REF!</v>
      </c>
      <c r="R655" s="25" t="e">
        <f ca="1"/>
        <v>#REF!</v>
      </c>
      <c r="S655" s="25" t="e">
        <f ca="1"/>
        <v>#REF!</v>
      </c>
      <c r="T655" s="25" t="e">
        <f ca="1"/>
        <v>#REF!</v>
      </c>
      <c r="U655" s="25" t="e">
        <f ca="1"/>
        <v>#REF!</v>
      </c>
      <c r="V655" s="25" t="e">
        <f ca="1"/>
        <v>#REF!</v>
      </c>
      <c r="W655" s="33" t="e">
        <f ca="1"/>
        <v>#REF!</v>
      </c>
      <c r="X655" s="33" t="e">
        <f ca="1"/>
        <v>#REF!</v>
      </c>
      <c r="Y655" s="33" t="e">
        <f ca="1"/>
        <v>#REF!</v>
      </c>
      <c r="Z655" s="33" t="e">
        <f ca="1"/>
        <v>#REF!</v>
      </c>
      <c r="AA655" s="33" t="e">
        <f ca="1"/>
        <v>#REF!</v>
      </c>
    </row>
    <row r="656" spans="1:27" s="70" customFormat="1" ht="11.25" x14ac:dyDescent="0.2">
      <c r="A656" s="24">
        <v>650</v>
      </c>
      <c r="B656" s="24"/>
      <c r="C656" s="25"/>
      <c r="D656" s="26"/>
      <c r="E656" s="25"/>
      <c r="F656" s="25"/>
      <c r="G656" s="24"/>
      <c r="H656" s="28" t="e">
        <f ca="1"/>
        <v>#REF!</v>
      </c>
      <c r="I656" s="27" t="e">
        <f ca="1"/>
        <v>#REF!</v>
      </c>
      <c r="J656" s="28" t="e">
        <f ca="1"/>
        <v>#REF!</v>
      </c>
      <c r="K656" s="27" t="e">
        <f ca="1"/>
        <v>#REF!</v>
      </c>
      <c r="L656" s="25" t="e">
        <f ca="1"/>
        <v>#REF!</v>
      </c>
      <c r="M656" s="25" t="e">
        <f ca="1"/>
        <v>#REF!</v>
      </c>
      <c r="N656" s="25" t="e">
        <f ca="1"/>
        <v>#REF!</v>
      </c>
      <c r="O656" s="25" t="e">
        <f ca="1"/>
        <v>#REF!</v>
      </c>
      <c r="P656" s="25" t="e">
        <f ca="1"/>
        <v>#REF!</v>
      </c>
      <c r="Q656" s="25" t="e">
        <f ca="1"/>
        <v>#REF!</v>
      </c>
      <c r="R656" s="25" t="e">
        <f ca="1"/>
        <v>#REF!</v>
      </c>
      <c r="S656" s="25" t="e">
        <f ca="1"/>
        <v>#REF!</v>
      </c>
      <c r="T656" s="25" t="e">
        <f ca="1"/>
        <v>#REF!</v>
      </c>
      <c r="U656" s="25" t="e">
        <f ca="1"/>
        <v>#REF!</v>
      </c>
      <c r="V656" s="25" t="e">
        <f ca="1"/>
        <v>#REF!</v>
      </c>
      <c r="W656" s="33" t="e">
        <f ca="1"/>
        <v>#REF!</v>
      </c>
      <c r="X656" s="33" t="e">
        <f ca="1"/>
        <v>#REF!</v>
      </c>
      <c r="Y656" s="33" t="e">
        <f ca="1"/>
        <v>#REF!</v>
      </c>
      <c r="Z656" s="33" t="e">
        <f ca="1"/>
        <v>#REF!</v>
      </c>
      <c r="AA656" s="33" t="e">
        <f ca="1"/>
        <v>#REF!</v>
      </c>
    </row>
    <row r="657" spans="1:27" s="70" customFormat="1" ht="11.25" x14ac:dyDescent="0.2">
      <c r="A657" s="24">
        <v>651</v>
      </c>
      <c r="B657" s="24"/>
      <c r="C657" s="25"/>
      <c r="D657" s="26"/>
      <c r="E657" s="25"/>
      <c r="F657" s="25"/>
      <c r="G657" s="24"/>
      <c r="H657" s="28" t="e">
        <f ca="1"/>
        <v>#REF!</v>
      </c>
      <c r="I657" s="27" t="e">
        <f ca="1"/>
        <v>#REF!</v>
      </c>
      <c r="J657" s="28" t="e">
        <f ca="1"/>
        <v>#REF!</v>
      </c>
      <c r="K657" s="27" t="e">
        <f ca="1"/>
        <v>#REF!</v>
      </c>
      <c r="L657" s="25" t="e">
        <f ca="1"/>
        <v>#REF!</v>
      </c>
      <c r="M657" s="25" t="e">
        <f ca="1"/>
        <v>#REF!</v>
      </c>
      <c r="N657" s="25" t="e">
        <f ca="1"/>
        <v>#REF!</v>
      </c>
      <c r="O657" s="25" t="e">
        <f ca="1"/>
        <v>#REF!</v>
      </c>
      <c r="P657" s="25" t="e">
        <f ca="1"/>
        <v>#REF!</v>
      </c>
      <c r="Q657" s="25" t="e">
        <f ca="1"/>
        <v>#REF!</v>
      </c>
      <c r="R657" s="25" t="e">
        <f ca="1"/>
        <v>#REF!</v>
      </c>
      <c r="S657" s="25" t="e">
        <f ca="1"/>
        <v>#REF!</v>
      </c>
      <c r="T657" s="25" t="e">
        <f ca="1"/>
        <v>#REF!</v>
      </c>
      <c r="U657" s="25" t="e">
        <f ca="1"/>
        <v>#REF!</v>
      </c>
      <c r="V657" s="25" t="e">
        <f ca="1"/>
        <v>#REF!</v>
      </c>
      <c r="W657" s="33" t="e">
        <f ca="1"/>
        <v>#REF!</v>
      </c>
      <c r="X657" s="33" t="e">
        <f ca="1"/>
        <v>#REF!</v>
      </c>
      <c r="Y657" s="33" t="e">
        <f ca="1"/>
        <v>#REF!</v>
      </c>
      <c r="Z657" s="33" t="e">
        <f ca="1"/>
        <v>#REF!</v>
      </c>
      <c r="AA657" s="33" t="e">
        <f ca="1"/>
        <v>#REF!</v>
      </c>
    </row>
    <row r="658" spans="1:27" s="70" customFormat="1" ht="11.25" x14ac:dyDescent="0.2">
      <c r="A658" s="24">
        <v>652</v>
      </c>
      <c r="B658" s="24"/>
      <c r="C658" s="25"/>
      <c r="D658" s="26"/>
      <c r="E658" s="25"/>
      <c r="F658" s="25"/>
      <c r="G658" s="24"/>
      <c r="H658" s="28" t="e">
        <f ca="1"/>
        <v>#REF!</v>
      </c>
      <c r="I658" s="27" t="e">
        <f ca="1"/>
        <v>#REF!</v>
      </c>
      <c r="J658" s="28" t="e">
        <f ca="1"/>
        <v>#REF!</v>
      </c>
      <c r="K658" s="27" t="e">
        <f ca="1"/>
        <v>#REF!</v>
      </c>
      <c r="L658" s="25" t="e">
        <f ca="1"/>
        <v>#REF!</v>
      </c>
      <c r="M658" s="25" t="e">
        <f ca="1"/>
        <v>#REF!</v>
      </c>
      <c r="N658" s="25" t="e">
        <f ca="1"/>
        <v>#REF!</v>
      </c>
      <c r="O658" s="25" t="e">
        <f ca="1"/>
        <v>#REF!</v>
      </c>
      <c r="P658" s="25" t="e">
        <f ca="1"/>
        <v>#REF!</v>
      </c>
      <c r="Q658" s="25" t="e">
        <f ca="1"/>
        <v>#REF!</v>
      </c>
      <c r="R658" s="25" t="e">
        <f ca="1"/>
        <v>#REF!</v>
      </c>
      <c r="S658" s="25" t="e">
        <f ca="1"/>
        <v>#REF!</v>
      </c>
      <c r="T658" s="25" t="e">
        <f ca="1"/>
        <v>#REF!</v>
      </c>
      <c r="U658" s="25" t="e">
        <f ca="1"/>
        <v>#REF!</v>
      </c>
      <c r="V658" s="25" t="e">
        <f ca="1"/>
        <v>#REF!</v>
      </c>
      <c r="W658" s="33" t="e">
        <f ca="1"/>
        <v>#REF!</v>
      </c>
      <c r="X658" s="33" t="e">
        <f ca="1"/>
        <v>#REF!</v>
      </c>
      <c r="Y658" s="33" t="e">
        <f ca="1"/>
        <v>#REF!</v>
      </c>
      <c r="Z658" s="33" t="e">
        <f ca="1"/>
        <v>#REF!</v>
      </c>
      <c r="AA658" s="33" t="e">
        <f ca="1"/>
        <v>#REF!</v>
      </c>
    </row>
    <row r="659" spans="1:27" s="70" customFormat="1" ht="11.25" x14ac:dyDescent="0.2">
      <c r="A659" s="24">
        <v>653</v>
      </c>
      <c r="B659" s="24"/>
      <c r="C659" s="25"/>
      <c r="D659" s="26"/>
      <c r="E659" s="25"/>
      <c r="F659" s="25"/>
      <c r="G659" s="24"/>
      <c r="H659" s="28" t="e">
        <f ca="1"/>
        <v>#REF!</v>
      </c>
      <c r="I659" s="27" t="e">
        <f ca="1"/>
        <v>#REF!</v>
      </c>
      <c r="J659" s="28" t="e">
        <f ca="1"/>
        <v>#REF!</v>
      </c>
      <c r="K659" s="27" t="e">
        <f ca="1"/>
        <v>#REF!</v>
      </c>
      <c r="L659" s="25" t="e">
        <f ca="1"/>
        <v>#REF!</v>
      </c>
      <c r="M659" s="25" t="e">
        <f ca="1"/>
        <v>#REF!</v>
      </c>
      <c r="N659" s="25" t="e">
        <f ca="1"/>
        <v>#REF!</v>
      </c>
      <c r="O659" s="25" t="e">
        <f ca="1"/>
        <v>#REF!</v>
      </c>
      <c r="P659" s="25" t="e">
        <f ca="1"/>
        <v>#REF!</v>
      </c>
      <c r="Q659" s="25" t="e">
        <f ca="1"/>
        <v>#REF!</v>
      </c>
      <c r="R659" s="25" t="e">
        <f ca="1"/>
        <v>#REF!</v>
      </c>
      <c r="S659" s="25" t="e">
        <f ca="1"/>
        <v>#REF!</v>
      </c>
      <c r="T659" s="25" t="e">
        <f ca="1"/>
        <v>#REF!</v>
      </c>
      <c r="U659" s="25" t="e">
        <f ca="1"/>
        <v>#REF!</v>
      </c>
      <c r="V659" s="25" t="e">
        <f ca="1"/>
        <v>#REF!</v>
      </c>
      <c r="W659" s="33" t="e">
        <f ca="1"/>
        <v>#REF!</v>
      </c>
      <c r="X659" s="33" t="e">
        <f ca="1"/>
        <v>#REF!</v>
      </c>
      <c r="Y659" s="33" t="e">
        <f ca="1"/>
        <v>#REF!</v>
      </c>
      <c r="Z659" s="33" t="e">
        <f ca="1"/>
        <v>#REF!</v>
      </c>
      <c r="AA659" s="33" t="e">
        <f ca="1"/>
        <v>#REF!</v>
      </c>
    </row>
    <row r="660" spans="1:27" s="70" customFormat="1" ht="11.25" x14ac:dyDescent="0.2">
      <c r="A660" s="24">
        <v>654</v>
      </c>
      <c r="B660" s="24"/>
      <c r="C660" s="25"/>
      <c r="D660" s="26"/>
      <c r="E660" s="25"/>
      <c r="F660" s="25"/>
      <c r="G660" s="24"/>
      <c r="H660" s="28" t="e">
        <f ca="1"/>
        <v>#REF!</v>
      </c>
      <c r="I660" s="27" t="e">
        <f ca="1"/>
        <v>#REF!</v>
      </c>
      <c r="J660" s="28" t="e">
        <f ca="1"/>
        <v>#REF!</v>
      </c>
      <c r="K660" s="27" t="e">
        <f ca="1"/>
        <v>#REF!</v>
      </c>
      <c r="L660" s="25" t="e">
        <f ca="1"/>
        <v>#REF!</v>
      </c>
      <c r="M660" s="25" t="e">
        <f ca="1"/>
        <v>#REF!</v>
      </c>
      <c r="N660" s="25" t="e">
        <f ca="1"/>
        <v>#REF!</v>
      </c>
      <c r="O660" s="25" t="e">
        <f ca="1"/>
        <v>#REF!</v>
      </c>
      <c r="P660" s="25" t="e">
        <f ca="1"/>
        <v>#REF!</v>
      </c>
      <c r="Q660" s="25" t="e">
        <f ca="1"/>
        <v>#REF!</v>
      </c>
      <c r="R660" s="25" t="e">
        <f ca="1"/>
        <v>#REF!</v>
      </c>
      <c r="S660" s="25" t="e">
        <f ca="1"/>
        <v>#REF!</v>
      </c>
      <c r="T660" s="25" t="e">
        <f ca="1"/>
        <v>#REF!</v>
      </c>
      <c r="U660" s="25" t="e">
        <f ca="1"/>
        <v>#REF!</v>
      </c>
      <c r="V660" s="25" t="e">
        <f ca="1"/>
        <v>#REF!</v>
      </c>
      <c r="W660" s="33" t="e">
        <f ca="1"/>
        <v>#REF!</v>
      </c>
      <c r="X660" s="33" t="e">
        <f ca="1"/>
        <v>#REF!</v>
      </c>
      <c r="Y660" s="33" t="e">
        <f ca="1"/>
        <v>#REF!</v>
      </c>
      <c r="Z660" s="33" t="e">
        <f ca="1"/>
        <v>#REF!</v>
      </c>
      <c r="AA660" s="33" t="e">
        <f ca="1"/>
        <v>#REF!</v>
      </c>
    </row>
    <row r="661" spans="1:27" s="70" customFormat="1" ht="11.25" x14ac:dyDescent="0.2">
      <c r="A661" s="24">
        <v>655</v>
      </c>
      <c r="B661" s="24"/>
      <c r="C661" s="25"/>
      <c r="D661" s="26"/>
      <c r="E661" s="25"/>
      <c r="F661" s="25"/>
      <c r="G661" s="24"/>
      <c r="H661" s="28" t="e">
        <f ca="1"/>
        <v>#REF!</v>
      </c>
      <c r="I661" s="27" t="e">
        <f ca="1"/>
        <v>#REF!</v>
      </c>
      <c r="J661" s="28" t="e">
        <f ca="1"/>
        <v>#REF!</v>
      </c>
      <c r="K661" s="27" t="e">
        <f ca="1"/>
        <v>#REF!</v>
      </c>
      <c r="L661" s="25" t="e">
        <f ca="1"/>
        <v>#REF!</v>
      </c>
      <c r="M661" s="25" t="e">
        <f ca="1"/>
        <v>#REF!</v>
      </c>
      <c r="N661" s="25" t="e">
        <f ca="1"/>
        <v>#REF!</v>
      </c>
      <c r="O661" s="25" t="e">
        <f ca="1"/>
        <v>#REF!</v>
      </c>
      <c r="P661" s="25" t="e">
        <f ca="1"/>
        <v>#REF!</v>
      </c>
      <c r="Q661" s="25" t="e">
        <f ca="1"/>
        <v>#REF!</v>
      </c>
      <c r="R661" s="25" t="e">
        <f ca="1"/>
        <v>#REF!</v>
      </c>
      <c r="S661" s="25" t="e">
        <f ca="1"/>
        <v>#REF!</v>
      </c>
      <c r="T661" s="25" t="e">
        <f ca="1"/>
        <v>#REF!</v>
      </c>
      <c r="U661" s="25" t="e">
        <f ca="1"/>
        <v>#REF!</v>
      </c>
      <c r="V661" s="25" t="e">
        <f ca="1"/>
        <v>#REF!</v>
      </c>
      <c r="W661" s="33" t="e">
        <f ca="1"/>
        <v>#REF!</v>
      </c>
      <c r="X661" s="33" t="e">
        <f ca="1"/>
        <v>#REF!</v>
      </c>
      <c r="Y661" s="33" t="e">
        <f ca="1"/>
        <v>#REF!</v>
      </c>
      <c r="Z661" s="33" t="e">
        <f ca="1"/>
        <v>#REF!</v>
      </c>
      <c r="AA661" s="33" t="e">
        <f ca="1"/>
        <v>#REF!</v>
      </c>
    </row>
    <row r="662" spans="1:27" s="70" customFormat="1" ht="11.25" x14ac:dyDescent="0.2">
      <c r="A662" s="24">
        <v>656</v>
      </c>
      <c r="B662" s="24"/>
      <c r="C662" s="25"/>
      <c r="D662" s="26"/>
      <c r="E662" s="25"/>
      <c r="F662" s="25"/>
      <c r="G662" s="24"/>
      <c r="H662" s="28" t="e">
        <f ca="1"/>
        <v>#REF!</v>
      </c>
      <c r="I662" s="27" t="e">
        <f ca="1"/>
        <v>#REF!</v>
      </c>
      <c r="J662" s="28" t="e">
        <f ca="1"/>
        <v>#REF!</v>
      </c>
      <c r="K662" s="27" t="e">
        <f ca="1"/>
        <v>#REF!</v>
      </c>
      <c r="L662" s="25" t="e">
        <f ca="1"/>
        <v>#REF!</v>
      </c>
      <c r="M662" s="25" t="e">
        <f ca="1"/>
        <v>#REF!</v>
      </c>
      <c r="N662" s="25" t="e">
        <f ca="1"/>
        <v>#REF!</v>
      </c>
      <c r="O662" s="25" t="e">
        <f ca="1"/>
        <v>#REF!</v>
      </c>
      <c r="P662" s="25" t="e">
        <f ca="1"/>
        <v>#REF!</v>
      </c>
      <c r="Q662" s="25" t="e">
        <f ca="1"/>
        <v>#REF!</v>
      </c>
      <c r="R662" s="25" t="e">
        <f ca="1"/>
        <v>#REF!</v>
      </c>
      <c r="S662" s="25" t="e">
        <f ca="1"/>
        <v>#REF!</v>
      </c>
      <c r="T662" s="25" t="e">
        <f ca="1"/>
        <v>#REF!</v>
      </c>
      <c r="U662" s="25" t="e">
        <f ca="1"/>
        <v>#REF!</v>
      </c>
      <c r="V662" s="25" t="e">
        <f ca="1"/>
        <v>#REF!</v>
      </c>
      <c r="W662" s="33" t="e">
        <f ca="1"/>
        <v>#REF!</v>
      </c>
      <c r="X662" s="33" t="e">
        <f ca="1"/>
        <v>#REF!</v>
      </c>
      <c r="Y662" s="33" t="e">
        <f ca="1"/>
        <v>#REF!</v>
      </c>
      <c r="Z662" s="33" t="e">
        <f ca="1"/>
        <v>#REF!</v>
      </c>
      <c r="AA662" s="33" t="e">
        <f ca="1"/>
        <v>#REF!</v>
      </c>
    </row>
    <row r="663" spans="1:27" s="70" customFormat="1" ht="11.25" x14ac:dyDescent="0.2">
      <c r="A663" s="24">
        <v>657</v>
      </c>
      <c r="B663" s="24"/>
      <c r="C663" s="25"/>
      <c r="D663" s="26"/>
      <c r="E663" s="25"/>
      <c r="F663" s="25"/>
      <c r="G663" s="24"/>
      <c r="H663" s="28" t="e">
        <f ca="1"/>
        <v>#REF!</v>
      </c>
      <c r="I663" s="27" t="e">
        <f ca="1"/>
        <v>#REF!</v>
      </c>
      <c r="J663" s="28" t="e">
        <f ca="1"/>
        <v>#REF!</v>
      </c>
      <c r="K663" s="27" t="e">
        <f ca="1"/>
        <v>#REF!</v>
      </c>
      <c r="L663" s="25" t="e">
        <f ca="1"/>
        <v>#REF!</v>
      </c>
      <c r="M663" s="25" t="e">
        <f ca="1"/>
        <v>#REF!</v>
      </c>
      <c r="N663" s="25" t="e">
        <f ca="1"/>
        <v>#REF!</v>
      </c>
      <c r="O663" s="25" t="e">
        <f ca="1"/>
        <v>#REF!</v>
      </c>
      <c r="P663" s="25" t="e">
        <f ca="1"/>
        <v>#REF!</v>
      </c>
      <c r="Q663" s="25" t="e">
        <f ca="1"/>
        <v>#REF!</v>
      </c>
      <c r="R663" s="25" t="e">
        <f ca="1"/>
        <v>#REF!</v>
      </c>
      <c r="S663" s="25" t="e">
        <f ca="1"/>
        <v>#REF!</v>
      </c>
      <c r="T663" s="25" t="e">
        <f ca="1"/>
        <v>#REF!</v>
      </c>
      <c r="U663" s="25" t="e">
        <f ca="1"/>
        <v>#REF!</v>
      </c>
      <c r="V663" s="25" t="e">
        <f ca="1"/>
        <v>#REF!</v>
      </c>
      <c r="W663" s="33" t="e">
        <f ca="1"/>
        <v>#REF!</v>
      </c>
      <c r="X663" s="33" t="e">
        <f ca="1"/>
        <v>#REF!</v>
      </c>
      <c r="Y663" s="33" t="e">
        <f ca="1"/>
        <v>#REF!</v>
      </c>
      <c r="Z663" s="33" t="e">
        <f ca="1"/>
        <v>#REF!</v>
      </c>
      <c r="AA663" s="33" t="e">
        <f ca="1"/>
        <v>#REF!</v>
      </c>
    </row>
    <row r="664" spans="1:27" s="70" customFormat="1" ht="11.25" x14ac:dyDescent="0.2">
      <c r="A664" s="24">
        <v>658</v>
      </c>
      <c r="B664" s="24"/>
      <c r="C664" s="25"/>
      <c r="D664" s="26"/>
      <c r="E664" s="25"/>
      <c r="F664" s="25"/>
      <c r="G664" s="24"/>
      <c r="H664" s="28" t="e">
        <f ca="1"/>
        <v>#REF!</v>
      </c>
      <c r="I664" s="27" t="e">
        <f ca="1"/>
        <v>#REF!</v>
      </c>
      <c r="J664" s="28" t="e">
        <f ca="1"/>
        <v>#REF!</v>
      </c>
      <c r="K664" s="27" t="e">
        <f ca="1"/>
        <v>#REF!</v>
      </c>
      <c r="L664" s="25" t="e">
        <f ca="1"/>
        <v>#REF!</v>
      </c>
      <c r="M664" s="25" t="e">
        <f ca="1"/>
        <v>#REF!</v>
      </c>
      <c r="N664" s="25" t="e">
        <f ca="1"/>
        <v>#REF!</v>
      </c>
      <c r="O664" s="25" t="e">
        <f ca="1"/>
        <v>#REF!</v>
      </c>
      <c r="P664" s="25" t="e">
        <f ca="1"/>
        <v>#REF!</v>
      </c>
      <c r="Q664" s="25" t="e">
        <f ca="1"/>
        <v>#REF!</v>
      </c>
      <c r="R664" s="25" t="e">
        <f ca="1"/>
        <v>#REF!</v>
      </c>
      <c r="S664" s="25" t="e">
        <f ca="1"/>
        <v>#REF!</v>
      </c>
      <c r="T664" s="25" t="e">
        <f ca="1"/>
        <v>#REF!</v>
      </c>
      <c r="U664" s="25" t="e">
        <f ca="1"/>
        <v>#REF!</v>
      </c>
      <c r="V664" s="25" t="e">
        <f ca="1"/>
        <v>#REF!</v>
      </c>
      <c r="W664" s="33" t="e">
        <f ca="1"/>
        <v>#REF!</v>
      </c>
      <c r="X664" s="33" t="e">
        <f ca="1"/>
        <v>#REF!</v>
      </c>
      <c r="Y664" s="33" t="e">
        <f ca="1"/>
        <v>#REF!</v>
      </c>
      <c r="Z664" s="33" t="e">
        <f ca="1"/>
        <v>#REF!</v>
      </c>
      <c r="AA664" s="33" t="e">
        <f ca="1"/>
        <v>#REF!</v>
      </c>
    </row>
    <row r="665" spans="1:27" s="70" customFormat="1" ht="11.25" x14ac:dyDescent="0.2">
      <c r="A665" s="24">
        <v>659</v>
      </c>
      <c r="B665" s="24"/>
      <c r="C665" s="25"/>
      <c r="D665" s="26"/>
      <c r="E665" s="25"/>
      <c r="F665" s="25"/>
      <c r="G665" s="24"/>
      <c r="H665" s="28" t="e">
        <f ca="1"/>
        <v>#REF!</v>
      </c>
      <c r="I665" s="27" t="e">
        <f ca="1"/>
        <v>#REF!</v>
      </c>
      <c r="J665" s="28" t="e">
        <f ca="1"/>
        <v>#REF!</v>
      </c>
      <c r="K665" s="27" t="e">
        <f ca="1"/>
        <v>#REF!</v>
      </c>
      <c r="L665" s="25" t="e">
        <f ca="1"/>
        <v>#REF!</v>
      </c>
      <c r="M665" s="25" t="e">
        <f ca="1"/>
        <v>#REF!</v>
      </c>
      <c r="N665" s="25" t="e">
        <f ca="1"/>
        <v>#REF!</v>
      </c>
      <c r="O665" s="25" t="e">
        <f ca="1"/>
        <v>#REF!</v>
      </c>
      <c r="P665" s="25" t="e">
        <f ca="1"/>
        <v>#REF!</v>
      </c>
      <c r="Q665" s="25" t="e">
        <f ca="1"/>
        <v>#REF!</v>
      </c>
      <c r="R665" s="25" t="e">
        <f ca="1"/>
        <v>#REF!</v>
      </c>
      <c r="S665" s="25" t="e">
        <f ca="1"/>
        <v>#REF!</v>
      </c>
      <c r="T665" s="25" t="e">
        <f ca="1"/>
        <v>#REF!</v>
      </c>
      <c r="U665" s="25" t="e">
        <f ca="1"/>
        <v>#REF!</v>
      </c>
      <c r="V665" s="25" t="e">
        <f ca="1"/>
        <v>#REF!</v>
      </c>
      <c r="W665" s="33" t="e">
        <f ca="1"/>
        <v>#REF!</v>
      </c>
      <c r="X665" s="33" t="e">
        <f ca="1"/>
        <v>#REF!</v>
      </c>
      <c r="Y665" s="33" t="e">
        <f ca="1"/>
        <v>#REF!</v>
      </c>
      <c r="Z665" s="33" t="e">
        <f ca="1"/>
        <v>#REF!</v>
      </c>
      <c r="AA665" s="33" t="e">
        <f ca="1"/>
        <v>#REF!</v>
      </c>
    </row>
    <row r="666" spans="1:27" s="70" customFormat="1" ht="11.25" x14ac:dyDescent="0.2">
      <c r="A666" s="24">
        <v>660</v>
      </c>
      <c r="B666" s="24"/>
      <c r="C666" s="25"/>
      <c r="D666" s="26"/>
      <c r="E666" s="25"/>
      <c r="F666" s="25"/>
      <c r="G666" s="24"/>
      <c r="H666" s="28" t="e">
        <f ca="1"/>
        <v>#REF!</v>
      </c>
      <c r="I666" s="27" t="e">
        <f ca="1"/>
        <v>#REF!</v>
      </c>
      <c r="J666" s="28" t="e">
        <f ca="1"/>
        <v>#REF!</v>
      </c>
      <c r="K666" s="27" t="e">
        <f ca="1"/>
        <v>#REF!</v>
      </c>
      <c r="L666" s="25" t="e">
        <f ca="1"/>
        <v>#REF!</v>
      </c>
      <c r="M666" s="25" t="e">
        <f ca="1"/>
        <v>#REF!</v>
      </c>
      <c r="N666" s="25" t="e">
        <f ca="1"/>
        <v>#REF!</v>
      </c>
      <c r="O666" s="25" t="e">
        <f ca="1"/>
        <v>#REF!</v>
      </c>
      <c r="P666" s="25" t="e">
        <f ca="1"/>
        <v>#REF!</v>
      </c>
      <c r="Q666" s="25" t="e">
        <f ca="1"/>
        <v>#REF!</v>
      </c>
      <c r="R666" s="25" t="e">
        <f ca="1"/>
        <v>#REF!</v>
      </c>
      <c r="S666" s="25" t="e">
        <f ca="1"/>
        <v>#REF!</v>
      </c>
      <c r="T666" s="25" t="e">
        <f ca="1"/>
        <v>#REF!</v>
      </c>
      <c r="U666" s="25" t="e">
        <f ca="1"/>
        <v>#REF!</v>
      </c>
      <c r="V666" s="25" t="e">
        <f ca="1"/>
        <v>#REF!</v>
      </c>
      <c r="W666" s="33" t="e">
        <f ca="1"/>
        <v>#REF!</v>
      </c>
      <c r="X666" s="33" t="e">
        <f ca="1"/>
        <v>#REF!</v>
      </c>
      <c r="Y666" s="33" t="e">
        <f ca="1"/>
        <v>#REF!</v>
      </c>
      <c r="Z666" s="33" t="e">
        <f ca="1"/>
        <v>#REF!</v>
      </c>
      <c r="AA666" s="33" t="e">
        <f ca="1"/>
        <v>#REF!</v>
      </c>
    </row>
    <row r="667" spans="1:27" s="70" customFormat="1" ht="11.25" x14ac:dyDescent="0.2">
      <c r="A667" s="24">
        <v>661</v>
      </c>
      <c r="B667" s="24"/>
      <c r="C667" s="25"/>
      <c r="D667" s="26"/>
      <c r="E667" s="25"/>
      <c r="F667" s="25"/>
      <c r="G667" s="24"/>
      <c r="H667" s="28" t="e">
        <f ca="1"/>
        <v>#REF!</v>
      </c>
      <c r="I667" s="27" t="e">
        <f ca="1"/>
        <v>#REF!</v>
      </c>
      <c r="J667" s="28" t="e">
        <f ca="1"/>
        <v>#REF!</v>
      </c>
      <c r="K667" s="27" t="e">
        <f ca="1"/>
        <v>#REF!</v>
      </c>
      <c r="L667" s="25" t="e">
        <f ca="1"/>
        <v>#REF!</v>
      </c>
      <c r="M667" s="25" t="e">
        <f ca="1"/>
        <v>#REF!</v>
      </c>
      <c r="N667" s="25" t="e">
        <f ca="1"/>
        <v>#REF!</v>
      </c>
      <c r="O667" s="25" t="e">
        <f ca="1"/>
        <v>#REF!</v>
      </c>
      <c r="P667" s="25" t="e">
        <f ca="1"/>
        <v>#REF!</v>
      </c>
      <c r="Q667" s="25" t="e">
        <f ca="1"/>
        <v>#REF!</v>
      </c>
      <c r="R667" s="25" t="e">
        <f ca="1"/>
        <v>#REF!</v>
      </c>
      <c r="S667" s="25" t="e">
        <f ca="1"/>
        <v>#REF!</v>
      </c>
      <c r="T667" s="25" t="e">
        <f ca="1"/>
        <v>#REF!</v>
      </c>
      <c r="U667" s="25" t="e">
        <f ca="1"/>
        <v>#REF!</v>
      </c>
      <c r="V667" s="25" t="e">
        <f ca="1"/>
        <v>#REF!</v>
      </c>
      <c r="W667" s="33" t="e">
        <f ca="1"/>
        <v>#REF!</v>
      </c>
      <c r="X667" s="33" t="e">
        <f ca="1"/>
        <v>#REF!</v>
      </c>
      <c r="Y667" s="33" t="e">
        <f ca="1"/>
        <v>#REF!</v>
      </c>
      <c r="Z667" s="33" t="e">
        <f ca="1"/>
        <v>#REF!</v>
      </c>
      <c r="AA667" s="33" t="e">
        <f ca="1"/>
        <v>#REF!</v>
      </c>
    </row>
    <row r="668" spans="1:27" s="70" customFormat="1" ht="11.25" x14ac:dyDescent="0.2">
      <c r="A668" s="24">
        <v>662</v>
      </c>
      <c r="B668" s="24"/>
      <c r="C668" s="25"/>
      <c r="D668" s="26"/>
      <c r="E668" s="25"/>
      <c r="F668" s="25"/>
      <c r="G668" s="24"/>
      <c r="H668" s="28" t="e">
        <f ca="1"/>
        <v>#REF!</v>
      </c>
      <c r="I668" s="27" t="e">
        <f ca="1"/>
        <v>#REF!</v>
      </c>
      <c r="J668" s="28" t="e">
        <f ca="1"/>
        <v>#REF!</v>
      </c>
      <c r="K668" s="27" t="e">
        <f ca="1"/>
        <v>#REF!</v>
      </c>
      <c r="L668" s="25" t="e">
        <f ca="1"/>
        <v>#REF!</v>
      </c>
      <c r="M668" s="25" t="e">
        <f ca="1"/>
        <v>#REF!</v>
      </c>
      <c r="N668" s="25" t="e">
        <f ca="1"/>
        <v>#REF!</v>
      </c>
      <c r="O668" s="25" t="e">
        <f ca="1"/>
        <v>#REF!</v>
      </c>
      <c r="P668" s="25" t="e">
        <f ca="1"/>
        <v>#REF!</v>
      </c>
      <c r="Q668" s="25" t="e">
        <f ca="1"/>
        <v>#REF!</v>
      </c>
      <c r="R668" s="25" t="e">
        <f ca="1"/>
        <v>#REF!</v>
      </c>
      <c r="S668" s="25" t="e">
        <f ca="1"/>
        <v>#REF!</v>
      </c>
      <c r="T668" s="25" t="e">
        <f ca="1"/>
        <v>#REF!</v>
      </c>
      <c r="U668" s="25" t="e">
        <f ca="1"/>
        <v>#REF!</v>
      </c>
      <c r="V668" s="25" t="e">
        <f ca="1"/>
        <v>#REF!</v>
      </c>
      <c r="W668" s="33" t="e">
        <f ca="1"/>
        <v>#REF!</v>
      </c>
      <c r="X668" s="33" t="e">
        <f ca="1"/>
        <v>#REF!</v>
      </c>
      <c r="Y668" s="33" t="e">
        <f ca="1"/>
        <v>#REF!</v>
      </c>
      <c r="Z668" s="33" t="e">
        <f ca="1"/>
        <v>#REF!</v>
      </c>
      <c r="AA668" s="33" t="e">
        <f ca="1"/>
        <v>#REF!</v>
      </c>
    </row>
    <row r="669" spans="1:27" s="70" customFormat="1" ht="11.25" x14ac:dyDescent="0.2">
      <c r="A669" s="24">
        <v>663</v>
      </c>
      <c r="B669" s="24"/>
      <c r="C669" s="25"/>
      <c r="D669" s="26"/>
      <c r="E669" s="25"/>
      <c r="F669" s="25"/>
      <c r="G669" s="24"/>
      <c r="H669" s="28" t="e">
        <f ca="1"/>
        <v>#REF!</v>
      </c>
      <c r="I669" s="27" t="e">
        <f ca="1"/>
        <v>#REF!</v>
      </c>
      <c r="J669" s="28" t="e">
        <f ca="1"/>
        <v>#REF!</v>
      </c>
      <c r="K669" s="27" t="e">
        <f ca="1"/>
        <v>#REF!</v>
      </c>
      <c r="L669" s="25" t="e">
        <f ca="1"/>
        <v>#REF!</v>
      </c>
      <c r="M669" s="25" t="e">
        <f ca="1"/>
        <v>#REF!</v>
      </c>
      <c r="N669" s="25" t="e">
        <f ca="1"/>
        <v>#REF!</v>
      </c>
      <c r="O669" s="25" t="e">
        <f ca="1"/>
        <v>#REF!</v>
      </c>
      <c r="P669" s="25" t="e">
        <f ca="1"/>
        <v>#REF!</v>
      </c>
      <c r="Q669" s="25" t="e">
        <f ca="1"/>
        <v>#REF!</v>
      </c>
      <c r="R669" s="25" t="e">
        <f ca="1"/>
        <v>#REF!</v>
      </c>
      <c r="S669" s="25" t="e">
        <f ca="1"/>
        <v>#REF!</v>
      </c>
      <c r="T669" s="25" t="e">
        <f ca="1"/>
        <v>#REF!</v>
      </c>
      <c r="U669" s="25" t="e">
        <f ca="1"/>
        <v>#REF!</v>
      </c>
      <c r="V669" s="25" t="e">
        <f ca="1"/>
        <v>#REF!</v>
      </c>
      <c r="W669" s="33" t="e">
        <f ca="1"/>
        <v>#REF!</v>
      </c>
      <c r="X669" s="33" t="e">
        <f ca="1"/>
        <v>#REF!</v>
      </c>
      <c r="Y669" s="33" t="e">
        <f ca="1"/>
        <v>#REF!</v>
      </c>
      <c r="Z669" s="33" t="e">
        <f ca="1"/>
        <v>#REF!</v>
      </c>
      <c r="AA669" s="33" t="e">
        <f ca="1"/>
        <v>#REF!</v>
      </c>
    </row>
    <row r="670" spans="1:27" s="70" customFormat="1" ht="11.25" x14ac:dyDescent="0.2">
      <c r="A670" s="24">
        <v>664</v>
      </c>
      <c r="B670" s="24"/>
      <c r="C670" s="25"/>
      <c r="D670" s="26"/>
      <c r="E670" s="25"/>
      <c r="F670" s="25"/>
      <c r="G670" s="24"/>
      <c r="H670" s="28" t="e">
        <f ca="1"/>
        <v>#REF!</v>
      </c>
      <c r="I670" s="27" t="e">
        <f ca="1"/>
        <v>#REF!</v>
      </c>
      <c r="J670" s="28" t="e">
        <f ca="1"/>
        <v>#REF!</v>
      </c>
      <c r="K670" s="27" t="e">
        <f ca="1"/>
        <v>#REF!</v>
      </c>
      <c r="L670" s="25" t="e">
        <f ca="1"/>
        <v>#REF!</v>
      </c>
      <c r="M670" s="25" t="e">
        <f ca="1"/>
        <v>#REF!</v>
      </c>
      <c r="N670" s="25" t="e">
        <f ca="1"/>
        <v>#REF!</v>
      </c>
      <c r="O670" s="25" t="e">
        <f ca="1"/>
        <v>#REF!</v>
      </c>
      <c r="P670" s="25" t="e">
        <f ca="1"/>
        <v>#REF!</v>
      </c>
      <c r="Q670" s="25" t="e">
        <f ca="1"/>
        <v>#REF!</v>
      </c>
      <c r="R670" s="25" t="e">
        <f ca="1"/>
        <v>#REF!</v>
      </c>
      <c r="S670" s="25" t="e">
        <f ca="1"/>
        <v>#REF!</v>
      </c>
      <c r="T670" s="25" t="e">
        <f ca="1"/>
        <v>#REF!</v>
      </c>
      <c r="U670" s="25" t="e">
        <f ca="1"/>
        <v>#REF!</v>
      </c>
      <c r="V670" s="25" t="e">
        <f ca="1"/>
        <v>#REF!</v>
      </c>
      <c r="W670" s="33" t="e">
        <f ca="1"/>
        <v>#REF!</v>
      </c>
      <c r="X670" s="33" t="e">
        <f ca="1"/>
        <v>#REF!</v>
      </c>
      <c r="Y670" s="33" t="e">
        <f ca="1"/>
        <v>#REF!</v>
      </c>
      <c r="Z670" s="33" t="e">
        <f ca="1"/>
        <v>#REF!</v>
      </c>
      <c r="AA670" s="33" t="e">
        <f ca="1"/>
        <v>#REF!</v>
      </c>
    </row>
    <row r="671" spans="1:27" s="70" customFormat="1" ht="11.25" x14ac:dyDescent="0.2">
      <c r="A671" s="24">
        <v>665</v>
      </c>
      <c r="B671" s="24"/>
      <c r="C671" s="25"/>
      <c r="D671" s="26"/>
      <c r="E671" s="25"/>
      <c r="F671" s="25"/>
      <c r="G671" s="24"/>
      <c r="H671" s="28" t="e">
        <f ca="1"/>
        <v>#REF!</v>
      </c>
      <c r="I671" s="27" t="e">
        <f ca="1"/>
        <v>#REF!</v>
      </c>
      <c r="J671" s="28" t="e">
        <f ca="1"/>
        <v>#REF!</v>
      </c>
      <c r="K671" s="27" t="e">
        <f ca="1"/>
        <v>#REF!</v>
      </c>
      <c r="L671" s="25" t="e">
        <f ca="1"/>
        <v>#REF!</v>
      </c>
      <c r="M671" s="25" t="e">
        <f ca="1"/>
        <v>#REF!</v>
      </c>
      <c r="N671" s="25" t="e">
        <f ca="1"/>
        <v>#REF!</v>
      </c>
      <c r="O671" s="25" t="e">
        <f ca="1"/>
        <v>#REF!</v>
      </c>
      <c r="P671" s="25" t="e">
        <f ca="1"/>
        <v>#REF!</v>
      </c>
      <c r="Q671" s="25" t="e">
        <f ca="1"/>
        <v>#REF!</v>
      </c>
      <c r="R671" s="25" t="e">
        <f ca="1"/>
        <v>#REF!</v>
      </c>
      <c r="S671" s="25" t="e">
        <f ca="1"/>
        <v>#REF!</v>
      </c>
      <c r="T671" s="25" t="e">
        <f ca="1"/>
        <v>#REF!</v>
      </c>
      <c r="U671" s="25" t="e">
        <f ca="1"/>
        <v>#REF!</v>
      </c>
      <c r="V671" s="25" t="e">
        <f ca="1"/>
        <v>#REF!</v>
      </c>
      <c r="W671" s="33" t="e">
        <f ca="1"/>
        <v>#REF!</v>
      </c>
      <c r="X671" s="33" t="e">
        <f ca="1"/>
        <v>#REF!</v>
      </c>
      <c r="Y671" s="33" t="e">
        <f ca="1"/>
        <v>#REF!</v>
      </c>
      <c r="Z671" s="33" t="e">
        <f ca="1"/>
        <v>#REF!</v>
      </c>
      <c r="AA671" s="33" t="e">
        <f ca="1"/>
        <v>#REF!</v>
      </c>
    </row>
    <row r="672" spans="1:27" s="70" customFormat="1" ht="11.25" x14ac:dyDescent="0.2">
      <c r="A672" s="24">
        <v>666</v>
      </c>
      <c r="B672" s="24"/>
      <c r="C672" s="25"/>
      <c r="D672" s="26"/>
      <c r="E672" s="25"/>
      <c r="F672" s="25"/>
      <c r="G672" s="24"/>
      <c r="H672" s="28" t="e">
        <f ca="1"/>
        <v>#REF!</v>
      </c>
      <c r="I672" s="27" t="e">
        <f ca="1"/>
        <v>#REF!</v>
      </c>
      <c r="J672" s="28" t="e">
        <f ca="1"/>
        <v>#REF!</v>
      </c>
      <c r="K672" s="27" t="e">
        <f ca="1"/>
        <v>#REF!</v>
      </c>
      <c r="L672" s="25" t="e">
        <f ca="1"/>
        <v>#REF!</v>
      </c>
      <c r="M672" s="25" t="e">
        <f ca="1"/>
        <v>#REF!</v>
      </c>
      <c r="N672" s="25" t="e">
        <f ca="1"/>
        <v>#REF!</v>
      </c>
      <c r="O672" s="25" t="e">
        <f ca="1"/>
        <v>#REF!</v>
      </c>
      <c r="P672" s="25" t="e">
        <f ca="1"/>
        <v>#REF!</v>
      </c>
      <c r="Q672" s="25" t="e">
        <f ca="1"/>
        <v>#REF!</v>
      </c>
      <c r="R672" s="25" t="e">
        <f ca="1"/>
        <v>#REF!</v>
      </c>
      <c r="S672" s="25" t="e">
        <f ca="1"/>
        <v>#REF!</v>
      </c>
      <c r="T672" s="25" t="e">
        <f ca="1"/>
        <v>#REF!</v>
      </c>
      <c r="U672" s="25" t="e">
        <f ca="1"/>
        <v>#REF!</v>
      </c>
      <c r="V672" s="25" t="e">
        <f ca="1"/>
        <v>#REF!</v>
      </c>
      <c r="W672" s="33" t="e">
        <f ca="1"/>
        <v>#REF!</v>
      </c>
      <c r="X672" s="33" t="e">
        <f ca="1"/>
        <v>#REF!</v>
      </c>
      <c r="Y672" s="33" t="e">
        <f ca="1"/>
        <v>#REF!</v>
      </c>
      <c r="Z672" s="33" t="e">
        <f ca="1"/>
        <v>#REF!</v>
      </c>
      <c r="AA672" s="33" t="e">
        <f ca="1"/>
        <v>#REF!</v>
      </c>
    </row>
    <row r="673" spans="1:27" s="70" customFormat="1" ht="11.25" x14ac:dyDescent="0.2">
      <c r="A673" s="24">
        <v>667</v>
      </c>
      <c r="B673" s="24"/>
      <c r="C673" s="25"/>
      <c r="D673" s="26"/>
      <c r="E673" s="25"/>
      <c r="F673" s="25"/>
      <c r="G673" s="24"/>
      <c r="H673" s="28" t="e">
        <f ca="1"/>
        <v>#REF!</v>
      </c>
      <c r="I673" s="27" t="e">
        <f ca="1"/>
        <v>#REF!</v>
      </c>
      <c r="J673" s="28" t="e">
        <f ca="1"/>
        <v>#REF!</v>
      </c>
      <c r="K673" s="27" t="e">
        <f ca="1"/>
        <v>#REF!</v>
      </c>
      <c r="L673" s="25" t="e">
        <f ca="1"/>
        <v>#REF!</v>
      </c>
      <c r="M673" s="25" t="e">
        <f ca="1"/>
        <v>#REF!</v>
      </c>
      <c r="N673" s="25" t="e">
        <f ca="1"/>
        <v>#REF!</v>
      </c>
      <c r="O673" s="25" t="e">
        <f ca="1"/>
        <v>#REF!</v>
      </c>
      <c r="P673" s="25" t="e">
        <f ca="1"/>
        <v>#REF!</v>
      </c>
      <c r="Q673" s="25" t="e">
        <f ca="1"/>
        <v>#REF!</v>
      </c>
      <c r="R673" s="25" t="e">
        <f ca="1"/>
        <v>#REF!</v>
      </c>
      <c r="S673" s="25" t="e">
        <f ca="1"/>
        <v>#REF!</v>
      </c>
      <c r="T673" s="25" t="e">
        <f ca="1"/>
        <v>#REF!</v>
      </c>
      <c r="U673" s="25" t="e">
        <f ca="1"/>
        <v>#REF!</v>
      </c>
      <c r="V673" s="25" t="e">
        <f ca="1"/>
        <v>#REF!</v>
      </c>
      <c r="W673" s="33" t="e">
        <f ca="1"/>
        <v>#REF!</v>
      </c>
      <c r="X673" s="33" t="e">
        <f ca="1"/>
        <v>#REF!</v>
      </c>
      <c r="Y673" s="33" t="e">
        <f ca="1"/>
        <v>#REF!</v>
      </c>
      <c r="Z673" s="33" t="e">
        <f ca="1"/>
        <v>#REF!</v>
      </c>
      <c r="AA673" s="33" t="e">
        <f ca="1"/>
        <v>#REF!</v>
      </c>
    </row>
    <row r="674" spans="1:27" s="70" customFormat="1" ht="11.25" x14ac:dyDescent="0.2">
      <c r="A674" s="24">
        <v>668</v>
      </c>
      <c r="B674" s="24"/>
      <c r="C674" s="25"/>
      <c r="D674" s="26"/>
      <c r="E674" s="25"/>
      <c r="F674" s="25"/>
      <c r="G674" s="24"/>
      <c r="H674" s="28" t="e">
        <f ca="1"/>
        <v>#REF!</v>
      </c>
      <c r="I674" s="27" t="e">
        <f ca="1"/>
        <v>#REF!</v>
      </c>
      <c r="J674" s="28" t="e">
        <f ca="1"/>
        <v>#REF!</v>
      </c>
      <c r="K674" s="27" t="e">
        <f ca="1"/>
        <v>#REF!</v>
      </c>
      <c r="L674" s="25" t="e">
        <f ca="1"/>
        <v>#REF!</v>
      </c>
      <c r="M674" s="25" t="e">
        <f ca="1"/>
        <v>#REF!</v>
      </c>
      <c r="N674" s="25" t="e">
        <f ca="1"/>
        <v>#REF!</v>
      </c>
      <c r="O674" s="25" t="e">
        <f ca="1"/>
        <v>#REF!</v>
      </c>
      <c r="P674" s="25" t="e">
        <f ca="1"/>
        <v>#REF!</v>
      </c>
      <c r="Q674" s="25" t="e">
        <f ca="1"/>
        <v>#REF!</v>
      </c>
      <c r="R674" s="25" t="e">
        <f ca="1"/>
        <v>#REF!</v>
      </c>
      <c r="S674" s="25" t="e">
        <f ca="1"/>
        <v>#REF!</v>
      </c>
      <c r="T674" s="25" t="e">
        <f ca="1"/>
        <v>#REF!</v>
      </c>
      <c r="U674" s="25" t="e">
        <f ca="1"/>
        <v>#REF!</v>
      </c>
      <c r="V674" s="25" t="e">
        <f ca="1"/>
        <v>#REF!</v>
      </c>
      <c r="W674" s="33" t="e">
        <f ca="1"/>
        <v>#REF!</v>
      </c>
      <c r="X674" s="33" t="e">
        <f ca="1"/>
        <v>#REF!</v>
      </c>
      <c r="Y674" s="33" t="e">
        <f ca="1"/>
        <v>#REF!</v>
      </c>
      <c r="Z674" s="33" t="e">
        <f ca="1"/>
        <v>#REF!</v>
      </c>
      <c r="AA674" s="33" t="e">
        <f ca="1"/>
        <v>#REF!</v>
      </c>
    </row>
    <row r="675" spans="1:27" s="70" customFormat="1" ht="11.25" x14ac:dyDescent="0.2">
      <c r="A675" s="24">
        <v>669</v>
      </c>
      <c r="B675" s="24"/>
      <c r="C675" s="25"/>
      <c r="D675" s="26"/>
      <c r="E675" s="25"/>
      <c r="F675" s="25"/>
      <c r="G675" s="24"/>
      <c r="H675" s="28" t="e">
        <f ca="1"/>
        <v>#REF!</v>
      </c>
      <c r="I675" s="27" t="e">
        <f ca="1"/>
        <v>#REF!</v>
      </c>
      <c r="J675" s="28" t="e">
        <f ca="1"/>
        <v>#REF!</v>
      </c>
      <c r="K675" s="27" t="e">
        <f ca="1"/>
        <v>#REF!</v>
      </c>
      <c r="L675" s="25" t="e">
        <f ca="1"/>
        <v>#REF!</v>
      </c>
      <c r="M675" s="25" t="e">
        <f ca="1"/>
        <v>#REF!</v>
      </c>
      <c r="N675" s="25" t="e">
        <f ca="1"/>
        <v>#REF!</v>
      </c>
      <c r="O675" s="25" t="e">
        <f ca="1"/>
        <v>#REF!</v>
      </c>
      <c r="P675" s="25" t="e">
        <f ca="1"/>
        <v>#REF!</v>
      </c>
      <c r="Q675" s="25" t="e">
        <f ca="1"/>
        <v>#REF!</v>
      </c>
      <c r="R675" s="25" t="e">
        <f ca="1"/>
        <v>#REF!</v>
      </c>
      <c r="S675" s="25" t="e">
        <f ca="1"/>
        <v>#REF!</v>
      </c>
      <c r="T675" s="25" t="e">
        <f ca="1"/>
        <v>#REF!</v>
      </c>
      <c r="U675" s="25" t="e">
        <f ca="1"/>
        <v>#REF!</v>
      </c>
      <c r="V675" s="25" t="e">
        <f ca="1"/>
        <v>#REF!</v>
      </c>
      <c r="W675" s="33" t="e">
        <f ca="1"/>
        <v>#REF!</v>
      </c>
      <c r="X675" s="33" t="e">
        <f ca="1"/>
        <v>#REF!</v>
      </c>
      <c r="Y675" s="33" t="e">
        <f ca="1"/>
        <v>#REF!</v>
      </c>
      <c r="Z675" s="33" t="e">
        <f ca="1"/>
        <v>#REF!</v>
      </c>
      <c r="AA675" s="33" t="e">
        <f ca="1"/>
        <v>#REF!</v>
      </c>
    </row>
    <row r="676" spans="1:27" s="70" customFormat="1" ht="11.25" x14ac:dyDescent="0.2">
      <c r="A676" s="24">
        <v>670</v>
      </c>
      <c r="B676" s="24"/>
      <c r="C676" s="25"/>
      <c r="D676" s="26"/>
      <c r="E676" s="25"/>
      <c r="F676" s="25"/>
      <c r="G676" s="24"/>
      <c r="H676" s="28" t="e">
        <f ca="1"/>
        <v>#REF!</v>
      </c>
      <c r="I676" s="27" t="e">
        <f ca="1"/>
        <v>#REF!</v>
      </c>
      <c r="J676" s="28" t="e">
        <f ca="1"/>
        <v>#REF!</v>
      </c>
      <c r="K676" s="27" t="e">
        <f ca="1"/>
        <v>#REF!</v>
      </c>
      <c r="L676" s="25" t="e">
        <f ca="1"/>
        <v>#REF!</v>
      </c>
      <c r="M676" s="25" t="e">
        <f ca="1"/>
        <v>#REF!</v>
      </c>
      <c r="N676" s="25" t="e">
        <f ca="1"/>
        <v>#REF!</v>
      </c>
      <c r="O676" s="25" t="e">
        <f ca="1"/>
        <v>#REF!</v>
      </c>
      <c r="P676" s="25" t="e">
        <f ca="1"/>
        <v>#REF!</v>
      </c>
      <c r="Q676" s="25" t="e">
        <f ca="1"/>
        <v>#REF!</v>
      </c>
      <c r="R676" s="25" t="e">
        <f ca="1"/>
        <v>#REF!</v>
      </c>
      <c r="S676" s="25" t="e">
        <f ca="1"/>
        <v>#REF!</v>
      </c>
      <c r="T676" s="25" t="e">
        <f ca="1"/>
        <v>#REF!</v>
      </c>
      <c r="U676" s="25" t="e">
        <f ca="1"/>
        <v>#REF!</v>
      </c>
      <c r="V676" s="25" t="e">
        <f ca="1"/>
        <v>#REF!</v>
      </c>
      <c r="W676" s="33" t="e">
        <f ca="1"/>
        <v>#REF!</v>
      </c>
      <c r="X676" s="33" t="e">
        <f ca="1"/>
        <v>#REF!</v>
      </c>
      <c r="Y676" s="33" t="e">
        <f ca="1"/>
        <v>#REF!</v>
      </c>
      <c r="Z676" s="33" t="e">
        <f ca="1"/>
        <v>#REF!</v>
      </c>
      <c r="AA676" s="33" t="e">
        <f ca="1"/>
        <v>#REF!</v>
      </c>
    </row>
    <row r="677" spans="1:27" s="70" customFormat="1" ht="11.25" x14ac:dyDescent="0.2">
      <c r="A677" s="24">
        <v>671</v>
      </c>
      <c r="B677" s="24"/>
      <c r="C677" s="25"/>
      <c r="D677" s="26"/>
      <c r="E677" s="25"/>
      <c r="F677" s="25"/>
      <c r="G677" s="24"/>
      <c r="H677" s="28" t="e">
        <f ca="1"/>
        <v>#REF!</v>
      </c>
      <c r="I677" s="27" t="e">
        <f ca="1"/>
        <v>#REF!</v>
      </c>
      <c r="J677" s="28" t="e">
        <f ca="1"/>
        <v>#REF!</v>
      </c>
      <c r="K677" s="27" t="e">
        <f ca="1"/>
        <v>#REF!</v>
      </c>
      <c r="L677" s="25" t="e">
        <f ca="1"/>
        <v>#REF!</v>
      </c>
      <c r="M677" s="25" t="e">
        <f ca="1"/>
        <v>#REF!</v>
      </c>
      <c r="N677" s="25" t="e">
        <f ca="1"/>
        <v>#REF!</v>
      </c>
      <c r="O677" s="25" t="e">
        <f ca="1"/>
        <v>#REF!</v>
      </c>
      <c r="P677" s="25" t="e">
        <f ca="1"/>
        <v>#REF!</v>
      </c>
      <c r="Q677" s="25" t="e">
        <f ca="1"/>
        <v>#REF!</v>
      </c>
      <c r="R677" s="25" t="e">
        <f ca="1"/>
        <v>#REF!</v>
      </c>
      <c r="S677" s="25" t="e">
        <f ca="1"/>
        <v>#REF!</v>
      </c>
      <c r="T677" s="25" t="e">
        <f ca="1"/>
        <v>#REF!</v>
      </c>
      <c r="U677" s="25" t="e">
        <f ca="1"/>
        <v>#REF!</v>
      </c>
      <c r="V677" s="25" t="e">
        <f ca="1"/>
        <v>#REF!</v>
      </c>
      <c r="W677" s="33" t="e">
        <f ca="1"/>
        <v>#REF!</v>
      </c>
      <c r="X677" s="33" t="e">
        <f ca="1"/>
        <v>#REF!</v>
      </c>
      <c r="Y677" s="33" t="e">
        <f ca="1"/>
        <v>#REF!</v>
      </c>
      <c r="Z677" s="33" t="e">
        <f ca="1"/>
        <v>#REF!</v>
      </c>
      <c r="AA677" s="33" t="e">
        <f ca="1"/>
        <v>#REF!</v>
      </c>
    </row>
    <row r="678" spans="1:27" s="70" customFormat="1" ht="11.25" x14ac:dyDescent="0.2">
      <c r="A678" s="24">
        <v>672</v>
      </c>
      <c r="B678" s="24"/>
      <c r="C678" s="25"/>
      <c r="D678" s="26"/>
      <c r="E678" s="25"/>
      <c r="F678" s="25"/>
      <c r="G678" s="24"/>
      <c r="H678" s="28" t="e">
        <f ca="1"/>
        <v>#REF!</v>
      </c>
      <c r="I678" s="27" t="e">
        <f ca="1"/>
        <v>#REF!</v>
      </c>
      <c r="J678" s="28" t="e">
        <f ca="1"/>
        <v>#REF!</v>
      </c>
      <c r="K678" s="27" t="e">
        <f ca="1"/>
        <v>#REF!</v>
      </c>
      <c r="L678" s="25" t="e">
        <f ca="1"/>
        <v>#REF!</v>
      </c>
      <c r="M678" s="25" t="e">
        <f ca="1"/>
        <v>#REF!</v>
      </c>
      <c r="N678" s="25" t="e">
        <f ca="1"/>
        <v>#REF!</v>
      </c>
      <c r="O678" s="25" t="e">
        <f ca="1"/>
        <v>#REF!</v>
      </c>
      <c r="P678" s="25" t="e">
        <f ca="1"/>
        <v>#REF!</v>
      </c>
      <c r="Q678" s="25" t="e">
        <f ca="1"/>
        <v>#REF!</v>
      </c>
      <c r="R678" s="25" t="e">
        <f ca="1"/>
        <v>#REF!</v>
      </c>
      <c r="S678" s="25" t="e">
        <f ca="1"/>
        <v>#REF!</v>
      </c>
      <c r="T678" s="25" t="e">
        <f ca="1"/>
        <v>#REF!</v>
      </c>
      <c r="U678" s="25" t="e">
        <f ca="1"/>
        <v>#REF!</v>
      </c>
      <c r="V678" s="25" t="e">
        <f ca="1"/>
        <v>#REF!</v>
      </c>
      <c r="W678" s="33" t="e">
        <f ca="1"/>
        <v>#REF!</v>
      </c>
      <c r="X678" s="33" t="e">
        <f ca="1"/>
        <v>#REF!</v>
      </c>
      <c r="Y678" s="33" t="e">
        <f ca="1"/>
        <v>#REF!</v>
      </c>
      <c r="Z678" s="33" t="e">
        <f ca="1"/>
        <v>#REF!</v>
      </c>
      <c r="AA678" s="33" t="e">
        <f ca="1"/>
        <v>#REF!</v>
      </c>
    </row>
    <row r="679" spans="1:27" s="70" customFormat="1" ht="11.25" x14ac:dyDescent="0.2">
      <c r="A679" s="24">
        <v>673</v>
      </c>
      <c r="B679" s="24"/>
      <c r="C679" s="25"/>
      <c r="D679" s="26"/>
      <c r="E679" s="25"/>
      <c r="F679" s="25"/>
      <c r="G679" s="24"/>
      <c r="H679" s="28" t="e">
        <f ca="1"/>
        <v>#REF!</v>
      </c>
      <c r="I679" s="27" t="e">
        <f ca="1"/>
        <v>#REF!</v>
      </c>
      <c r="J679" s="28" t="e">
        <f ca="1"/>
        <v>#REF!</v>
      </c>
      <c r="K679" s="27" t="e">
        <f ca="1"/>
        <v>#REF!</v>
      </c>
      <c r="L679" s="25" t="e">
        <f ca="1"/>
        <v>#REF!</v>
      </c>
      <c r="M679" s="25" t="e">
        <f ca="1"/>
        <v>#REF!</v>
      </c>
      <c r="N679" s="25" t="e">
        <f ca="1"/>
        <v>#REF!</v>
      </c>
      <c r="O679" s="25" t="e">
        <f ca="1"/>
        <v>#REF!</v>
      </c>
      <c r="P679" s="25" t="e">
        <f ca="1"/>
        <v>#REF!</v>
      </c>
      <c r="Q679" s="25" t="e">
        <f ca="1"/>
        <v>#REF!</v>
      </c>
      <c r="R679" s="25" t="e">
        <f ca="1"/>
        <v>#REF!</v>
      </c>
      <c r="S679" s="25" t="e">
        <f ca="1"/>
        <v>#REF!</v>
      </c>
      <c r="T679" s="25" t="e">
        <f ca="1"/>
        <v>#REF!</v>
      </c>
      <c r="U679" s="25" t="e">
        <f ca="1"/>
        <v>#REF!</v>
      </c>
      <c r="V679" s="25" t="e">
        <f ca="1"/>
        <v>#REF!</v>
      </c>
      <c r="W679" s="33" t="e">
        <f ca="1"/>
        <v>#REF!</v>
      </c>
      <c r="X679" s="33" t="e">
        <f ca="1"/>
        <v>#REF!</v>
      </c>
      <c r="Y679" s="33" t="e">
        <f ca="1"/>
        <v>#REF!</v>
      </c>
      <c r="Z679" s="33" t="e">
        <f ca="1"/>
        <v>#REF!</v>
      </c>
      <c r="AA679" s="33" t="e">
        <f ca="1"/>
        <v>#REF!</v>
      </c>
    </row>
    <row r="680" spans="1:27" s="70" customFormat="1" ht="11.25" x14ac:dyDescent="0.2">
      <c r="A680" s="24">
        <v>674</v>
      </c>
      <c r="B680" s="24"/>
      <c r="C680" s="25"/>
      <c r="D680" s="26"/>
      <c r="E680" s="25"/>
      <c r="F680" s="25"/>
      <c r="G680" s="24"/>
      <c r="H680" s="28" t="e">
        <f ca="1"/>
        <v>#REF!</v>
      </c>
      <c r="I680" s="27" t="e">
        <f ca="1"/>
        <v>#REF!</v>
      </c>
      <c r="J680" s="28" t="e">
        <f ca="1"/>
        <v>#REF!</v>
      </c>
      <c r="K680" s="27" t="e">
        <f ca="1"/>
        <v>#REF!</v>
      </c>
      <c r="L680" s="25" t="e">
        <f ca="1"/>
        <v>#REF!</v>
      </c>
      <c r="M680" s="25" t="e">
        <f ca="1"/>
        <v>#REF!</v>
      </c>
      <c r="N680" s="25" t="e">
        <f ca="1"/>
        <v>#REF!</v>
      </c>
      <c r="O680" s="25" t="e">
        <f ca="1"/>
        <v>#REF!</v>
      </c>
      <c r="P680" s="25" t="e">
        <f ca="1"/>
        <v>#REF!</v>
      </c>
      <c r="Q680" s="25" t="e">
        <f ca="1"/>
        <v>#REF!</v>
      </c>
      <c r="R680" s="25" t="e">
        <f ca="1"/>
        <v>#REF!</v>
      </c>
      <c r="S680" s="25" t="e">
        <f ca="1"/>
        <v>#REF!</v>
      </c>
      <c r="T680" s="25" t="e">
        <f ca="1"/>
        <v>#REF!</v>
      </c>
      <c r="U680" s="25" t="e">
        <f ca="1"/>
        <v>#REF!</v>
      </c>
      <c r="V680" s="25" t="e">
        <f ca="1"/>
        <v>#REF!</v>
      </c>
      <c r="W680" s="33" t="e">
        <f ca="1"/>
        <v>#REF!</v>
      </c>
      <c r="X680" s="33" t="e">
        <f ca="1"/>
        <v>#REF!</v>
      </c>
      <c r="Y680" s="33" t="e">
        <f ca="1"/>
        <v>#REF!</v>
      </c>
      <c r="Z680" s="33" t="e">
        <f ca="1"/>
        <v>#REF!</v>
      </c>
      <c r="AA680" s="33" t="e">
        <f ca="1"/>
        <v>#REF!</v>
      </c>
    </row>
    <row r="681" spans="1:27" s="70" customFormat="1" ht="11.25" x14ac:dyDescent="0.2">
      <c r="A681" s="24">
        <v>675</v>
      </c>
      <c r="B681" s="24"/>
      <c r="C681" s="25"/>
      <c r="D681" s="26"/>
      <c r="E681" s="25"/>
      <c r="F681" s="25"/>
      <c r="G681" s="24"/>
      <c r="H681" s="28" t="e">
        <f ca="1"/>
        <v>#REF!</v>
      </c>
      <c r="I681" s="27" t="e">
        <f ca="1"/>
        <v>#REF!</v>
      </c>
      <c r="J681" s="28" t="e">
        <f ca="1"/>
        <v>#REF!</v>
      </c>
      <c r="K681" s="27" t="e">
        <f ca="1"/>
        <v>#REF!</v>
      </c>
      <c r="L681" s="25" t="e">
        <f ca="1"/>
        <v>#REF!</v>
      </c>
      <c r="M681" s="25" t="e">
        <f ca="1"/>
        <v>#REF!</v>
      </c>
      <c r="N681" s="25" t="e">
        <f ca="1"/>
        <v>#REF!</v>
      </c>
      <c r="O681" s="25" t="e">
        <f ca="1"/>
        <v>#REF!</v>
      </c>
      <c r="P681" s="25" t="e">
        <f ca="1"/>
        <v>#REF!</v>
      </c>
      <c r="Q681" s="25" t="e">
        <f ca="1"/>
        <v>#REF!</v>
      </c>
      <c r="R681" s="25" t="e">
        <f ca="1"/>
        <v>#REF!</v>
      </c>
      <c r="S681" s="25" t="e">
        <f ca="1"/>
        <v>#REF!</v>
      </c>
      <c r="T681" s="25" t="e">
        <f ca="1"/>
        <v>#REF!</v>
      </c>
      <c r="U681" s="25" t="e">
        <f ca="1"/>
        <v>#REF!</v>
      </c>
      <c r="V681" s="25" t="e">
        <f ca="1"/>
        <v>#REF!</v>
      </c>
      <c r="W681" s="33" t="e">
        <f ca="1"/>
        <v>#REF!</v>
      </c>
      <c r="X681" s="33" t="e">
        <f ca="1"/>
        <v>#REF!</v>
      </c>
      <c r="Y681" s="33" t="e">
        <f ca="1"/>
        <v>#REF!</v>
      </c>
      <c r="Z681" s="33" t="e">
        <f ca="1"/>
        <v>#REF!</v>
      </c>
      <c r="AA681" s="33" t="e">
        <f ca="1"/>
        <v>#REF!</v>
      </c>
    </row>
    <row r="682" spans="1:27" s="70" customFormat="1" ht="11.25" x14ac:dyDescent="0.2">
      <c r="A682" s="24">
        <v>676</v>
      </c>
      <c r="B682" s="24"/>
      <c r="C682" s="25"/>
      <c r="D682" s="26"/>
      <c r="E682" s="25"/>
      <c r="F682" s="25"/>
      <c r="G682" s="24"/>
      <c r="H682" s="28" t="e">
        <f ca="1"/>
        <v>#REF!</v>
      </c>
      <c r="I682" s="27" t="e">
        <f ca="1"/>
        <v>#REF!</v>
      </c>
      <c r="J682" s="28" t="e">
        <f ca="1"/>
        <v>#REF!</v>
      </c>
      <c r="K682" s="27" t="e">
        <f ca="1"/>
        <v>#REF!</v>
      </c>
      <c r="L682" s="25" t="e">
        <f ca="1"/>
        <v>#REF!</v>
      </c>
      <c r="M682" s="25" t="e">
        <f ca="1"/>
        <v>#REF!</v>
      </c>
      <c r="N682" s="25" t="e">
        <f ca="1"/>
        <v>#REF!</v>
      </c>
      <c r="O682" s="25" t="e">
        <f ca="1"/>
        <v>#REF!</v>
      </c>
      <c r="P682" s="25" t="e">
        <f ca="1"/>
        <v>#REF!</v>
      </c>
      <c r="Q682" s="25" t="e">
        <f ca="1"/>
        <v>#REF!</v>
      </c>
      <c r="R682" s="25" t="e">
        <f ca="1"/>
        <v>#REF!</v>
      </c>
      <c r="S682" s="25" t="e">
        <f ca="1"/>
        <v>#REF!</v>
      </c>
      <c r="T682" s="25" t="e">
        <f ca="1"/>
        <v>#REF!</v>
      </c>
      <c r="U682" s="25" t="e">
        <f ca="1"/>
        <v>#REF!</v>
      </c>
      <c r="V682" s="25" t="e">
        <f ca="1"/>
        <v>#REF!</v>
      </c>
      <c r="W682" s="33" t="e">
        <f ca="1"/>
        <v>#REF!</v>
      </c>
      <c r="X682" s="33" t="e">
        <f ca="1"/>
        <v>#REF!</v>
      </c>
      <c r="Y682" s="33" t="e">
        <f ca="1"/>
        <v>#REF!</v>
      </c>
      <c r="Z682" s="33" t="e">
        <f ca="1"/>
        <v>#REF!</v>
      </c>
      <c r="AA682" s="33" t="e">
        <f ca="1"/>
        <v>#REF!</v>
      </c>
    </row>
    <row r="683" spans="1:27" s="70" customFormat="1" ht="11.25" x14ac:dyDescent="0.2">
      <c r="A683" s="24">
        <v>677</v>
      </c>
      <c r="B683" s="24"/>
      <c r="C683" s="25"/>
      <c r="D683" s="26"/>
      <c r="E683" s="25"/>
      <c r="F683" s="25"/>
      <c r="G683" s="24"/>
      <c r="H683" s="28" t="e">
        <f ca="1"/>
        <v>#REF!</v>
      </c>
      <c r="I683" s="27" t="e">
        <f ca="1"/>
        <v>#REF!</v>
      </c>
      <c r="J683" s="28" t="e">
        <f ca="1"/>
        <v>#REF!</v>
      </c>
      <c r="K683" s="27" t="e">
        <f ca="1"/>
        <v>#REF!</v>
      </c>
      <c r="L683" s="25" t="e">
        <f ca="1"/>
        <v>#REF!</v>
      </c>
      <c r="M683" s="25" t="e">
        <f ca="1"/>
        <v>#REF!</v>
      </c>
      <c r="N683" s="25" t="e">
        <f ca="1"/>
        <v>#REF!</v>
      </c>
      <c r="O683" s="25" t="e">
        <f ca="1"/>
        <v>#REF!</v>
      </c>
      <c r="P683" s="25" t="e">
        <f ca="1"/>
        <v>#REF!</v>
      </c>
      <c r="Q683" s="25" t="e">
        <f ca="1"/>
        <v>#REF!</v>
      </c>
      <c r="R683" s="25" t="e">
        <f ca="1"/>
        <v>#REF!</v>
      </c>
      <c r="S683" s="25" t="e">
        <f ca="1"/>
        <v>#REF!</v>
      </c>
      <c r="T683" s="25" t="e">
        <f ca="1"/>
        <v>#REF!</v>
      </c>
      <c r="U683" s="25" t="e">
        <f ca="1"/>
        <v>#REF!</v>
      </c>
      <c r="V683" s="25" t="e">
        <f ca="1"/>
        <v>#REF!</v>
      </c>
      <c r="W683" s="33" t="e">
        <f ca="1"/>
        <v>#REF!</v>
      </c>
      <c r="X683" s="33" t="e">
        <f ca="1"/>
        <v>#REF!</v>
      </c>
      <c r="Y683" s="33" t="e">
        <f ca="1"/>
        <v>#REF!</v>
      </c>
      <c r="Z683" s="33" t="e">
        <f ca="1"/>
        <v>#REF!</v>
      </c>
      <c r="AA683" s="33" t="e">
        <f ca="1"/>
        <v>#REF!</v>
      </c>
    </row>
    <row r="684" spans="1:27" s="70" customFormat="1" ht="11.25" x14ac:dyDescent="0.2">
      <c r="A684" s="24">
        <v>678</v>
      </c>
      <c r="B684" s="24"/>
      <c r="C684" s="25"/>
      <c r="D684" s="26"/>
      <c r="E684" s="25"/>
      <c r="F684" s="25"/>
      <c r="G684" s="24"/>
      <c r="H684" s="28" t="e">
        <f ca="1"/>
        <v>#REF!</v>
      </c>
      <c r="I684" s="27" t="e">
        <f ca="1"/>
        <v>#REF!</v>
      </c>
      <c r="J684" s="28" t="e">
        <f ca="1"/>
        <v>#REF!</v>
      </c>
      <c r="K684" s="27" t="e">
        <f ca="1"/>
        <v>#REF!</v>
      </c>
      <c r="L684" s="25" t="e">
        <f ca="1"/>
        <v>#REF!</v>
      </c>
      <c r="M684" s="25" t="e">
        <f ca="1"/>
        <v>#REF!</v>
      </c>
      <c r="N684" s="25" t="e">
        <f ca="1"/>
        <v>#REF!</v>
      </c>
      <c r="O684" s="25" t="e">
        <f ca="1"/>
        <v>#REF!</v>
      </c>
      <c r="P684" s="25" t="e">
        <f ca="1"/>
        <v>#REF!</v>
      </c>
      <c r="Q684" s="25" t="e">
        <f ca="1"/>
        <v>#REF!</v>
      </c>
      <c r="R684" s="25" t="e">
        <f ca="1"/>
        <v>#REF!</v>
      </c>
      <c r="S684" s="25" t="e">
        <f ca="1"/>
        <v>#REF!</v>
      </c>
      <c r="T684" s="25" t="e">
        <f ca="1"/>
        <v>#REF!</v>
      </c>
      <c r="U684" s="25" t="e">
        <f ca="1"/>
        <v>#REF!</v>
      </c>
      <c r="V684" s="25" t="e">
        <f ca="1"/>
        <v>#REF!</v>
      </c>
      <c r="W684" s="33" t="e">
        <f ca="1"/>
        <v>#REF!</v>
      </c>
      <c r="X684" s="33" t="e">
        <f ca="1"/>
        <v>#REF!</v>
      </c>
      <c r="Y684" s="33" t="e">
        <f ca="1"/>
        <v>#REF!</v>
      </c>
      <c r="Z684" s="33" t="e">
        <f ca="1"/>
        <v>#REF!</v>
      </c>
      <c r="AA684" s="33" t="e">
        <f ca="1"/>
        <v>#REF!</v>
      </c>
    </row>
    <row r="685" spans="1:27" s="70" customFormat="1" ht="11.25" x14ac:dyDescent="0.2">
      <c r="A685" s="24">
        <v>679</v>
      </c>
      <c r="B685" s="24"/>
      <c r="C685" s="25"/>
      <c r="D685" s="26"/>
      <c r="E685" s="25"/>
      <c r="F685" s="25"/>
      <c r="G685" s="24"/>
      <c r="H685" s="28" t="e">
        <f ca="1"/>
        <v>#REF!</v>
      </c>
      <c r="I685" s="27" t="e">
        <f ca="1"/>
        <v>#REF!</v>
      </c>
      <c r="J685" s="28" t="e">
        <f ca="1"/>
        <v>#REF!</v>
      </c>
      <c r="K685" s="27" t="e">
        <f ca="1"/>
        <v>#REF!</v>
      </c>
      <c r="L685" s="25" t="e">
        <f ca="1"/>
        <v>#REF!</v>
      </c>
      <c r="M685" s="25" t="e">
        <f ca="1"/>
        <v>#REF!</v>
      </c>
      <c r="N685" s="25" t="e">
        <f ca="1"/>
        <v>#REF!</v>
      </c>
      <c r="O685" s="25" t="e">
        <f ca="1"/>
        <v>#REF!</v>
      </c>
      <c r="P685" s="25" t="e">
        <f ca="1"/>
        <v>#REF!</v>
      </c>
      <c r="Q685" s="25" t="e">
        <f ca="1"/>
        <v>#REF!</v>
      </c>
      <c r="R685" s="25" t="e">
        <f ca="1"/>
        <v>#REF!</v>
      </c>
      <c r="S685" s="25" t="e">
        <f ca="1"/>
        <v>#REF!</v>
      </c>
      <c r="T685" s="25" t="e">
        <f ca="1"/>
        <v>#REF!</v>
      </c>
      <c r="U685" s="25" t="e">
        <f ca="1"/>
        <v>#REF!</v>
      </c>
      <c r="V685" s="25" t="e">
        <f ca="1"/>
        <v>#REF!</v>
      </c>
      <c r="W685" s="33" t="e">
        <f ca="1"/>
        <v>#REF!</v>
      </c>
      <c r="X685" s="33" t="e">
        <f ca="1"/>
        <v>#REF!</v>
      </c>
      <c r="Y685" s="33" t="e">
        <f ca="1"/>
        <v>#REF!</v>
      </c>
      <c r="Z685" s="33" t="e">
        <f ca="1"/>
        <v>#REF!</v>
      </c>
      <c r="AA685" s="33" t="e">
        <f ca="1"/>
        <v>#REF!</v>
      </c>
    </row>
    <row r="686" spans="1:27" s="70" customFormat="1" ht="11.25" x14ac:dyDescent="0.2">
      <c r="A686" s="24">
        <v>680</v>
      </c>
      <c r="B686" s="24"/>
      <c r="C686" s="25"/>
      <c r="D686" s="26"/>
      <c r="E686" s="25"/>
      <c r="F686" s="25"/>
      <c r="G686" s="24"/>
      <c r="H686" s="28" t="e">
        <f ca="1"/>
        <v>#REF!</v>
      </c>
      <c r="I686" s="27" t="e">
        <f ca="1"/>
        <v>#REF!</v>
      </c>
      <c r="J686" s="28" t="e">
        <f ca="1"/>
        <v>#REF!</v>
      </c>
      <c r="K686" s="27" t="e">
        <f ca="1"/>
        <v>#REF!</v>
      </c>
      <c r="L686" s="25" t="e">
        <f ca="1"/>
        <v>#REF!</v>
      </c>
      <c r="M686" s="25" t="e">
        <f ca="1"/>
        <v>#REF!</v>
      </c>
      <c r="N686" s="25" t="e">
        <f ca="1"/>
        <v>#REF!</v>
      </c>
      <c r="O686" s="25" t="e">
        <f ca="1"/>
        <v>#REF!</v>
      </c>
      <c r="P686" s="25" t="e">
        <f ca="1"/>
        <v>#REF!</v>
      </c>
      <c r="Q686" s="25" t="e">
        <f ca="1"/>
        <v>#REF!</v>
      </c>
      <c r="R686" s="25" t="e">
        <f ca="1"/>
        <v>#REF!</v>
      </c>
      <c r="S686" s="25" t="e">
        <f ca="1"/>
        <v>#REF!</v>
      </c>
      <c r="T686" s="25" t="e">
        <f ca="1"/>
        <v>#REF!</v>
      </c>
      <c r="U686" s="25" t="e">
        <f ca="1"/>
        <v>#REF!</v>
      </c>
      <c r="V686" s="25" t="e">
        <f ca="1"/>
        <v>#REF!</v>
      </c>
      <c r="W686" s="33" t="e">
        <f ca="1"/>
        <v>#REF!</v>
      </c>
      <c r="X686" s="33" t="e">
        <f ca="1"/>
        <v>#REF!</v>
      </c>
      <c r="Y686" s="33" t="e">
        <f ca="1"/>
        <v>#REF!</v>
      </c>
      <c r="Z686" s="33" t="e">
        <f ca="1"/>
        <v>#REF!</v>
      </c>
      <c r="AA686" s="33" t="e">
        <f ca="1"/>
        <v>#REF!</v>
      </c>
    </row>
    <row r="687" spans="1:27" s="70" customFormat="1" ht="11.25" x14ac:dyDescent="0.2">
      <c r="A687" s="24">
        <v>681</v>
      </c>
      <c r="B687" s="24"/>
      <c r="C687" s="25"/>
      <c r="D687" s="26"/>
      <c r="E687" s="25"/>
      <c r="F687" s="25"/>
      <c r="G687" s="24"/>
      <c r="H687" s="28" t="e">
        <f ca="1"/>
        <v>#REF!</v>
      </c>
      <c r="I687" s="27" t="e">
        <f ca="1"/>
        <v>#REF!</v>
      </c>
      <c r="J687" s="28" t="e">
        <f ca="1"/>
        <v>#REF!</v>
      </c>
      <c r="K687" s="27" t="e">
        <f ca="1"/>
        <v>#REF!</v>
      </c>
      <c r="L687" s="25" t="e">
        <f ca="1"/>
        <v>#REF!</v>
      </c>
      <c r="M687" s="25" t="e">
        <f ca="1"/>
        <v>#REF!</v>
      </c>
      <c r="N687" s="25" t="e">
        <f ca="1"/>
        <v>#REF!</v>
      </c>
      <c r="O687" s="25" t="e">
        <f ca="1"/>
        <v>#REF!</v>
      </c>
      <c r="P687" s="25" t="e">
        <f ca="1"/>
        <v>#REF!</v>
      </c>
      <c r="Q687" s="25" t="e">
        <f ca="1"/>
        <v>#REF!</v>
      </c>
      <c r="R687" s="25" t="e">
        <f ca="1"/>
        <v>#REF!</v>
      </c>
      <c r="S687" s="25" t="e">
        <f ca="1"/>
        <v>#REF!</v>
      </c>
      <c r="T687" s="25" t="e">
        <f ca="1"/>
        <v>#REF!</v>
      </c>
      <c r="U687" s="25" t="e">
        <f ca="1"/>
        <v>#REF!</v>
      </c>
      <c r="V687" s="25" t="e">
        <f ca="1"/>
        <v>#REF!</v>
      </c>
      <c r="W687" s="33" t="e">
        <f ca="1"/>
        <v>#REF!</v>
      </c>
      <c r="X687" s="33" t="e">
        <f ca="1"/>
        <v>#REF!</v>
      </c>
      <c r="Y687" s="33" t="e">
        <f ca="1"/>
        <v>#REF!</v>
      </c>
      <c r="Z687" s="33" t="e">
        <f ca="1"/>
        <v>#REF!</v>
      </c>
      <c r="AA687" s="33" t="e">
        <f ca="1"/>
        <v>#REF!</v>
      </c>
    </row>
    <row r="688" spans="1:27" s="70" customFormat="1" ht="11.25" x14ac:dyDescent="0.2">
      <c r="A688" s="24">
        <v>682</v>
      </c>
      <c r="B688" s="24"/>
      <c r="C688" s="25"/>
      <c r="D688" s="26"/>
      <c r="E688" s="25"/>
      <c r="F688" s="25"/>
      <c r="G688" s="24"/>
      <c r="H688" s="28" t="e">
        <f ca="1"/>
        <v>#REF!</v>
      </c>
      <c r="I688" s="27" t="e">
        <f ca="1"/>
        <v>#REF!</v>
      </c>
      <c r="J688" s="28" t="e">
        <f ca="1"/>
        <v>#REF!</v>
      </c>
      <c r="K688" s="27" t="e">
        <f ca="1"/>
        <v>#REF!</v>
      </c>
      <c r="L688" s="25" t="e">
        <f ca="1"/>
        <v>#REF!</v>
      </c>
      <c r="M688" s="25" t="e">
        <f ca="1"/>
        <v>#REF!</v>
      </c>
      <c r="N688" s="25" t="e">
        <f ca="1"/>
        <v>#REF!</v>
      </c>
      <c r="O688" s="25" t="e">
        <f ca="1"/>
        <v>#REF!</v>
      </c>
      <c r="P688" s="25" t="e">
        <f ca="1"/>
        <v>#REF!</v>
      </c>
      <c r="Q688" s="25" t="e">
        <f ca="1"/>
        <v>#REF!</v>
      </c>
      <c r="R688" s="25" t="e">
        <f ca="1"/>
        <v>#REF!</v>
      </c>
      <c r="S688" s="25" t="e">
        <f ca="1"/>
        <v>#REF!</v>
      </c>
      <c r="T688" s="25" t="e">
        <f ca="1"/>
        <v>#REF!</v>
      </c>
      <c r="U688" s="25" t="e">
        <f ca="1"/>
        <v>#REF!</v>
      </c>
      <c r="V688" s="25" t="e">
        <f ca="1"/>
        <v>#REF!</v>
      </c>
      <c r="W688" s="33" t="e">
        <f ca="1"/>
        <v>#REF!</v>
      </c>
      <c r="X688" s="33" t="e">
        <f ca="1"/>
        <v>#REF!</v>
      </c>
      <c r="Y688" s="33" t="e">
        <f ca="1"/>
        <v>#REF!</v>
      </c>
      <c r="Z688" s="33" t="e">
        <f ca="1"/>
        <v>#REF!</v>
      </c>
      <c r="AA688" s="33" t="e">
        <f ca="1"/>
        <v>#REF!</v>
      </c>
    </row>
    <row r="689" spans="1:27" s="70" customFormat="1" ht="11.25" x14ac:dyDescent="0.2">
      <c r="A689" s="24">
        <v>683</v>
      </c>
      <c r="B689" s="24"/>
      <c r="C689" s="25"/>
      <c r="D689" s="26"/>
      <c r="E689" s="25"/>
      <c r="F689" s="25"/>
      <c r="G689" s="24"/>
      <c r="H689" s="28" t="e">
        <f ca="1"/>
        <v>#REF!</v>
      </c>
      <c r="I689" s="27" t="e">
        <f ca="1"/>
        <v>#REF!</v>
      </c>
      <c r="J689" s="28" t="e">
        <f ca="1"/>
        <v>#REF!</v>
      </c>
      <c r="K689" s="27" t="e">
        <f ca="1"/>
        <v>#REF!</v>
      </c>
      <c r="L689" s="25" t="e">
        <f ca="1"/>
        <v>#REF!</v>
      </c>
      <c r="M689" s="25" t="e">
        <f ca="1"/>
        <v>#REF!</v>
      </c>
      <c r="N689" s="25" t="e">
        <f ca="1"/>
        <v>#REF!</v>
      </c>
      <c r="O689" s="25" t="e">
        <f ca="1"/>
        <v>#REF!</v>
      </c>
      <c r="P689" s="25" t="e">
        <f ca="1"/>
        <v>#REF!</v>
      </c>
      <c r="Q689" s="25" t="e">
        <f ca="1"/>
        <v>#REF!</v>
      </c>
      <c r="R689" s="25" t="e">
        <f ca="1"/>
        <v>#REF!</v>
      </c>
      <c r="S689" s="25" t="e">
        <f ca="1"/>
        <v>#REF!</v>
      </c>
      <c r="T689" s="25" t="e">
        <f ca="1"/>
        <v>#REF!</v>
      </c>
      <c r="U689" s="25" t="e">
        <f ca="1"/>
        <v>#REF!</v>
      </c>
      <c r="V689" s="25" t="e">
        <f ca="1"/>
        <v>#REF!</v>
      </c>
      <c r="W689" s="33" t="e">
        <f ca="1"/>
        <v>#REF!</v>
      </c>
      <c r="X689" s="33" t="e">
        <f ca="1"/>
        <v>#REF!</v>
      </c>
      <c r="Y689" s="33" t="e">
        <f ca="1"/>
        <v>#REF!</v>
      </c>
      <c r="Z689" s="33" t="e">
        <f ca="1"/>
        <v>#REF!</v>
      </c>
      <c r="AA689" s="33" t="e">
        <f ca="1"/>
        <v>#REF!</v>
      </c>
    </row>
    <row r="690" spans="1:27" s="70" customFormat="1" ht="11.25" x14ac:dyDescent="0.2">
      <c r="A690" s="24">
        <v>684</v>
      </c>
      <c r="B690" s="24"/>
      <c r="C690" s="25"/>
      <c r="D690" s="26"/>
      <c r="E690" s="25"/>
      <c r="F690" s="25"/>
      <c r="G690" s="24"/>
      <c r="H690" s="28" t="e">
        <f ca="1"/>
        <v>#REF!</v>
      </c>
      <c r="I690" s="27" t="e">
        <f ca="1"/>
        <v>#REF!</v>
      </c>
      <c r="J690" s="28" t="e">
        <f ca="1"/>
        <v>#REF!</v>
      </c>
      <c r="K690" s="27" t="e">
        <f ca="1"/>
        <v>#REF!</v>
      </c>
      <c r="L690" s="25" t="e">
        <f ca="1"/>
        <v>#REF!</v>
      </c>
      <c r="M690" s="25" t="e">
        <f ca="1"/>
        <v>#REF!</v>
      </c>
      <c r="N690" s="25" t="e">
        <f ca="1"/>
        <v>#REF!</v>
      </c>
      <c r="O690" s="25" t="e">
        <f ca="1"/>
        <v>#REF!</v>
      </c>
      <c r="P690" s="25" t="e">
        <f ca="1"/>
        <v>#REF!</v>
      </c>
      <c r="Q690" s="25" t="e">
        <f ca="1"/>
        <v>#REF!</v>
      </c>
      <c r="R690" s="25" t="e">
        <f ca="1"/>
        <v>#REF!</v>
      </c>
      <c r="S690" s="25" t="e">
        <f ca="1"/>
        <v>#REF!</v>
      </c>
      <c r="T690" s="25" t="e">
        <f ca="1"/>
        <v>#REF!</v>
      </c>
      <c r="U690" s="25" t="e">
        <f ca="1"/>
        <v>#REF!</v>
      </c>
      <c r="V690" s="25" t="e">
        <f ca="1"/>
        <v>#REF!</v>
      </c>
      <c r="W690" s="33" t="e">
        <f ca="1"/>
        <v>#REF!</v>
      </c>
      <c r="X690" s="33" t="e">
        <f ca="1"/>
        <v>#REF!</v>
      </c>
      <c r="Y690" s="33" t="e">
        <f ca="1"/>
        <v>#REF!</v>
      </c>
      <c r="Z690" s="33" t="e">
        <f ca="1"/>
        <v>#REF!</v>
      </c>
      <c r="AA690" s="33" t="e">
        <f ca="1"/>
        <v>#REF!</v>
      </c>
    </row>
    <row r="691" spans="1:27" s="70" customFormat="1" ht="11.25" x14ac:dyDescent="0.2">
      <c r="A691" s="24">
        <v>685</v>
      </c>
      <c r="B691" s="24"/>
      <c r="C691" s="25"/>
      <c r="D691" s="26"/>
      <c r="E691" s="25"/>
      <c r="F691" s="25"/>
      <c r="G691" s="24"/>
      <c r="H691" s="28" t="e">
        <f ca="1"/>
        <v>#REF!</v>
      </c>
      <c r="I691" s="27" t="e">
        <f ca="1"/>
        <v>#REF!</v>
      </c>
      <c r="J691" s="28" t="e">
        <f ca="1"/>
        <v>#REF!</v>
      </c>
      <c r="K691" s="27" t="e">
        <f ca="1"/>
        <v>#REF!</v>
      </c>
      <c r="L691" s="25" t="e">
        <f ca="1"/>
        <v>#REF!</v>
      </c>
      <c r="M691" s="25" t="e">
        <f ca="1"/>
        <v>#REF!</v>
      </c>
      <c r="N691" s="25" t="e">
        <f ca="1"/>
        <v>#REF!</v>
      </c>
      <c r="O691" s="25" t="e">
        <f ca="1"/>
        <v>#REF!</v>
      </c>
      <c r="P691" s="25" t="e">
        <f ca="1"/>
        <v>#REF!</v>
      </c>
      <c r="Q691" s="25" t="e">
        <f ca="1"/>
        <v>#REF!</v>
      </c>
      <c r="R691" s="25" t="e">
        <f ca="1"/>
        <v>#REF!</v>
      </c>
      <c r="S691" s="25" t="e">
        <f ca="1"/>
        <v>#REF!</v>
      </c>
      <c r="T691" s="25" t="e">
        <f ca="1"/>
        <v>#REF!</v>
      </c>
      <c r="U691" s="25" t="e">
        <f ca="1"/>
        <v>#REF!</v>
      </c>
      <c r="V691" s="25" t="e">
        <f ca="1"/>
        <v>#REF!</v>
      </c>
      <c r="W691" s="33" t="e">
        <f ca="1"/>
        <v>#REF!</v>
      </c>
      <c r="X691" s="33" t="e">
        <f ca="1"/>
        <v>#REF!</v>
      </c>
      <c r="Y691" s="33" t="e">
        <f ca="1"/>
        <v>#REF!</v>
      </c>
      <c r="Z691" s="33" t="e">
        <f ca="1"/>
        <v>#REF!</v>
      </c>
      <c r="AA691" s="33" t="e">
        <f ca="1"/>
        <v>#REF!</v>
      </c>
    </row>
    <row r="692" spans="1:27" s="70" customFormat="1" ht="11.25" x14ac:dyDescent="0.2">
      <c r="A692" s="24">
        <v>686</v>
      </c>
      <c r="B692" s="24"/>
      <c r="C692" s="25"/>
      <c r="D692" s="26"/>
      <c r="E692" s="25"/>
      <c r="F692" s="25"/>
      <c r="G692" s="24"/>
      <c r="H692" s="28" t="e">
        <f ca="1"/>
        <v>#REF!</v>
      </c>
      <c r="I692" s="27" t="e">
        <f ca="1"/>
        <v>#REF!</v>
      </c>
      <c r="J692" s="28" t="e">
        <f ca="1"/>
        <v>#REF!</v>
      </c>
      <c r="K692" s="27" t="e">
        <f ca="1"/>
        <v>#REF!</v>
      </c>
      <c r="L692" s="25" t="e">
        <f ca="1"/>
        <v>#REF!</v>
      </c>
      <c r="M692" s="25" t="e">
        <f ca="1"/>
        <v>#REF!</v>
      </c>
      <c r="N692" s="25" t="e">
        <f ca="1"/>
        <v>#REF!</v>
      </c>
      <c r="O692" s="25" t="e">
        <f ca="1"/>
        <v>#REF!</v>
      </c>
      <c r="P692" s="25" t="e">
        <f ca="1"/>
        <v>#REF!</v>
      </c>
      <c r="Q692" s="25" t="e">
        <f ca="1"/>
        <v>#REF!</v>
      </c>
      <c r="R692" s="25" t="e">
        <f ca="1"/>
        <v>#REF!</v>
      </c>
      <c r="S692" s="25" t="e">
        <f ca="1"/>
        <v>#REF!</v>
      </c>
      <c r="T692" s="25" t="e">
        <f ca="1"/>
        <v>#REF!</v>
      </c>
      <c r="U692" s="25" t="e">
        <f ca="1"/>
        <v>#REF!</v>
      </c>
      <c r="V692" s="25" t="e">
        <f ca="1"/>
        <v>#REF!</v>
      </c>
      <c r="W692" s="33" t="e">
        <f ca="1"/>
        <v>#REF!</v>
      </c>
      <c r="X692" s="33" t="e">
        <f ca="1"/>
        <v>#REF!</v>
      </c>
      <c r="Y692" s="33" t="e">
        <f ca="1"/>
        <v>#REF!</v>
      </c>
      <c r="Z692" s="33" t="e">
        <f ca="1"/>
        <v>#REF!</v>
      </c>
      <c r="AA692" s="33" t="e">
        <f ca="1"/>
        <v>#REF!</v>
      </c>
    </row>
    <row r="693" spans="1:27" s="70" customFormat="1" ht="11.25" x14ac:dyDescent="0.2">
      <c r="A693" s="24">
        <v>687</v>
      </c>
      <c r="B693" s="24"/>
      <c r="C693" s="25"/>
      <c r="D693" s="26"/>
      <c r="E693" s="25"/>
      <c r="F693" s="25"/>
      <c r="G693" s="24"/>
      <c r="H693" s="28" t="e">
        <f ca="1"/>
        <v>#REF!</v>
      </c>
      <c r="I693" s="27" t="e">
        <f ca="1"/>
        <v>#REF!</v>
      </c>
      <c r="J693" s="28" t="e">
        <f ca="1"/>
        <v>#REF!</v>
      </c>
      <c r="K693" s="27" t="e">
        <f ca="1"/>
        <v>#REF!</v>
      </c>
      <c r="L693" s="25" t="e">
        <f ca="1"/>
        <v>#REF!</v>
      </c>
      <c r="M693" s="25" t="e">
        <f ca="1"/>
        <v>#REF!</v>
      </c>
      <c r="N693" s="25" t="e">
        <f ca="1"/>
        <v>#REF!</v>
      </c>
      <c r="O693" s="25" t="e">
        <f ca="1"/>
        <v>#REF!</v>
      </c>
      <c r="P693" s="25" t="e">
        <f ca="1"/>
        <v>#REF!</v>
      </c>
      <c r="Q693" s="25" t="e">
        <f ca="1"/>
        <v>#REF!</v>
      </c>
      <c r="R693" s="25" t="e">
        <f ca="1"/>
        <v>#REF!</v>
      </c>
      <c r="S693" s="25" t="e">
        <f ca="1"/>
        <v>#REF!</v>
      </c>
      <c r="T693" s="25" t="e">
        <f ca="1"/>
        <v>#REF!</v>
      </c>
      <c r="U693" s="25" t="e">
        <f ca="1"/>
        <v>#REF!</v>
      </c>
      <c r="V693" s="25" t="e">
        <f ca="1"/>
        <v>#REF!</v>
      </c>
      <c r="W693" s="33" t="e">
        <f ca="1"/>
        <v>#REF!</v>
      </c>
      <c r="X693" s="33" t="e">
        <f ca="1"/>
        <v>#REF!</v>
      </c>
      <c r="Y693" s="33" t="e">
        <f ca="1"/>
        <v>#REF!</v>
      </c>
      <c r="Z693" s="33" t="e">
        <f ca="1"/>
        <v>#REF!</v>
      </c>
      <c r="AA693" s="33" t="e">
        <f ca="1"/>
        <v>#REF!</v>
      </c>
    </row>
    <row r="694" spans="1:27" s="70" customFormat="1" ht="11.25" x14ac:dyDescent="0.2">
      <c r="A694" s="24">
        <v>688</v>
      </c>
      <c r="B694" s="24"/>
      <c r="C694" s="25"/>
      <c r="D694" s="26"/>
      <c r="E694" s="25"/>
      <c r="F694" s="25"/>
      <c r="G694" s="24"/>
      <c r="H694" s="28" t="e">
        <f ca="1"/>
        <v>#REF!</v>
      </c>
      <c r="I694" s="27" t="e">
        <f ca="1"/>
        <v>#REF!</v>
      </c>
      <c r="J694" s="28" t="e">
        <f ca="1"/>
        <v>#REF!</v>
      </c>
      <c r="K694" s="27" t="e">
        <f ca="1"/>
        <v>#REF!</v>
      </c>
      <c r="L694" s="25" t="e">
        <f ca="1"/>
        <v>#REF!</v>
      </c>
      <c r="M694" s="25" t="e">
        <f ca="1"/>
        <v>#REF!</v>
      </c>
      <c r="N694" s="25" t="e">
        <f ca="1"/>
        <v>#REF!</v>
      </c>
      <c r="O694" s="25" t="e">
        <f ca="1"/>
        <v>#REF!</v>
      </c>
      <c r="P694" s="25" t="e">
        <f ca="1"/>
        <v>#REF!</v>
      </c>
      <c r="Q694" s="25" t="e">
        <f ca="1"/>
        <v>#REF!</v>
      </c>
      <c r="R694" s="25" t="e">
        <f ca="1"/>
        <v>#REF!</v>
      </c>
      <c r="S694" s="25" t="e">
        <f ca="1"/>
        <v>#REF!</v>
      </c>
      <c r="T694" s="25" t="e">
        <f ca="1"/>
        <v>#REF!</v>
      </c>
      <c r="U694" s="25" t="e">
        <f ca="1"/>
        <v>#REF!</v>
      </c>
      <c r="V694" s="25" t="e">
        <f ca="1"/>
        <v>#REF!</v>
      </c>
      <c r="W694" s="33" t="e">
        <f ca="1"/>
        <v>#REF!</v>
      </c>
      <c r="X694" s="33" t="e">
        <f ca="1"/>
        <v>#REF!</v>
      </c>
      <c r="Y694" s="33" t="e">
        <f ca="1"/>
        <v>#REF!</v>
      </c>
      <c r="Z694" s="33" t="e">
        <f ca="1"/>
        <v>#REF!</v>
      </c>
      <c r="AA694" s="33" t="e">
        <f ca="1"/>
        <v>#REF!</v>
      </c>
    </row>
    <row r="695" spans="1:27" s="70" customFormat="1" ht="11.25" x14ac:dyDescent="0.2">
      <c r="A695" s="24">
        <v>689</v>
      </c>
      <c r="B695" s="24"/>
      <c r="C695" s="25"/>
      <c r="D695" s="26"/>
      <c r="E695" s="25"/>
      <c r="F695" s="25"/>
      <c r="G695" s="24"/>
      <c r="H695" s="28" t="e">
        <f ca="1"/>
        <v>#REF!</v>
      </c>
      <c r="I695" s="27" t="e">
        <f ca="1"/>
        <v>#REF!</v>
      </c>
      <c r="J695" s="28" t="e">
        <f ca="1"/>
        <v>#REF!</v>
      </c>
      <c r="K695" s="27" t="e">
        <f ca="1"/>
        <v>#REF!</v>
      </c>
      <c r="L695" s="25" t="e">
        <f ca="1"/>
        <v>#REF!</v>
      </c>
      <c r="M695" s="25" t="e">
        <f ca="1"/>
        <v>#REF!</v>
      </c>
      <c r="N695" s="25" t="e">
        <f ca="1"/>
        <v>#REF!</v>
      </c>
      <c r="O695" s="25" t="e">
        <f ca="1"/>
        <v>#REF!</v>
      </c>
      <c r="P695" s="25" t="e">
        <f ca="1"/>
        <v>#REF!</v>
      </c>
      <c r="Q695" s="25" t="e">
        <f ca="1"/>
        <v>#REF!</v>
      </c>
      <c r="R695" s="25" t="e">
        <f ca="1"/>
        <v>#REF!</v>
      </c>
      <c r="S695" s="25" t="e">
        <f ca="1"/>
        <v>#REF!</v>
      </c>
      <c r="T695" s="25" t="e">
        <f ca="1"/>
        <v>#REF!</v>
      </c>
      <c r="U695" s="25" t="e">
        <f ca="1"/>
        <v>#REF!</v>
      </c>
      <c r="V695" s="25" t="e">
        <f ca="1"/>
        <v>#REF!</v>
      </c>
      <c r="W695" s="33" t="e">
        <f ca="1"/>
        <v>#REF!</v>
      </c>
      <c r="X695" s="33" t="e">
        <f ca="1"/>
        <v>#REF!</v>
      </c>
      <c r="Y695" s="33" t="e">
        <f ca="1"/>
        <v>#REF!</v>
      </c>
      <c r="Z695" s="33" t="e">
        <f ca="1"/>
        <v>#REF!</v>
      </c>
      <c r="AA695" s="33" t="e">
        <f ca="1"/>
        <v>#REF!</v>
      </c>
    </row>
    <row r="696" spans="1:27" s="70" customFormat="1" ht="11.25" x14ac:dyDescent="0.2">
      <c r="A696" s="24">
        <v>690</v>
      </c>
      <c r="B696" s="24"/>
      <c r="C696" s="25"/>
      <c r="D696" s="26"/>
      <c r="E696" s="25"/>
      <c r="F696" s="25"/>
      <c r="G696" s="24"/>
      <c r="H696" s="28" t="e">
        <f ca="1"/>
        <v>#REF!</v>
      </c>
      <c r="I696" s="27" t="e">
        <f ca="1"/>
        <v>#REF!</v>
      </c>
      <c r="J696" s="28" t="e">
        <f ca="1"/>
        <v>#REF!</v>
      </c>
      <c r="K696" s="27" t="e">
        <f ca="1"/>
        <v>#REF!</v>
      </c>
      <c r="L696" s="25" t="e">
        <f ca="1"/>
        <v>#REF!</v>
      </c>
      <c r="M696" s="25" t="e">
        <f ca="1"/>
        <v>#REF!</v>
      </c>
      <c r="N696" s="25" t="e">
        <f ca="1"/>
        <v>#REF!</v>
      </c>
      <c r="O696" s="25" t="e">
        <f ca="1"/>
        <v>#REF!</v>
      </c>
      <c r="P696" s="25" t="e">
        <f ca="1"/>
        <v>#REF!</v>
      </c>
      <c r="Q696" s="25" t="e">
        <f ca="1"/>
        <v>#REF!</v>
      </c>
      <c r="R696" s="25" t="e">
        <f ca="1"/>
        <v>#REF!</v>
      </c>
      <c r="S696" s="25" t="e">
        <f ca="1"/>
        <v>#REF!</v>
      </c>
      <c r="T696" s="25" t="e">
        <f ca="1"/>
        <v>#REF!</v>
      </c>
      <c r="U696" s="25" t="e">
        <f ca="1"/>
        <v>#REF!</v>
      </c>
      <c r="V696" s="25" t="e">
        <f ca="1"/>
        <v>#REF!</v>
      </c>
      <c r="W696" s="33" t="e">
        <f ca="1"/>
        <v>#REF!</v>
      </c>
      <c r="X696" s="33" t="e">
        <f ca="1"/>
        <v>#REF!</v>
      </c>
      <c r="Y696" s="33" t="e">
        <f ca="1"/>
        <v>#REF!</v>
      </c>
      <c r="Z696" s="33" t="e">
        <f ca="1"/>
        <v>#REF!</v>
      </c>
      <c r="AA696" s="33" t="e">
        <f ca="1"/>
        <v>#REF!</v>
      </c>
    </row>
    <row r="697" spans="1:27" s="70" customFormat="1" ht="11.25" x14ac:dyDescent="0.2">
      <c r="A697" s="24">
        <v>691</v>
      </c>
      <c r="B697" s="24"/>
      <c r="C697" s="25"/>
      <c r="D697" s="26"/>
      <c r="E697" s="25"/>
      <c r="F697" s="25"/>
      <c r="G697" s="24"/>
      <c r="H697" s="28" t="e">
        <f ca="1"/>
        <v>#REF!</v>
      </c>
      <c r="I697" s="27" t="e">
        <f ca="1"/>
        <v>#REF!</v>
      </c>
      <c r="J697" s="28" t="e">
        <f ca="1"/>
        <v>#REF!</v>
      </c>
      <c r="K697" s="27" t="e">
        <f ca="1"/>
        <v>#REF!</v>
      </c>
      <c r="L697" s="25" t="e">
        <f ca="1"/>
        <v>#REF!</v>
      </c>
      <c r="M697" s="25" t="e">
        <f ca="1"/>
        <v>#REF!</v>
      </c>
      <c r="N697" s="25" t="e">
        <f ca="1"/>
        <v>#REF!</v>
      </c>
      <c r="O697" s="25" t="e">
        <f ca="1"/>
        <v>#REF!</v>
      </c>
      <c r="P697" s="25" t="e">
        <f ca="1"/>
        <v>#REF!</v>
      </c>
      <c r="Q697" s="25" t="e">
        <f ca="1"/>
        <v>#REF!</v>
      </c>
      <c r="R697" s="25" t="e">
        <f ca="1"/>
        <v>#REF!</v>
      </c>
      <c r="S697" s="25" t="e">
        <f ca="1"/>
        <v>#REF!</v>
      </c>
      <c r="T697" s="25" t="e">
        <f ca="1"/>
        <v>#REF!</v>
      </c>
      <c r="U697" s="25" t="e">
        <f ca="1"/>
        <v>#REF!</v>
      </c>
      <c r="V697" s="25" t="e">
        <f ca="1"/>
        <v>#REF!</v>
      </c>
      <c r="W697" s="33" t="e">
        <f ca="1"/>
        <v>#REF!</v>
      </c>
      <c r="X697" s="33" t="e">
        <f ca="1"/>
        <v>#REF!</v>
      </c>
      <c r="Y697" s="33" t="e">
        <f ca="1"/>
        <v>#REF!</v>
      </c>
      <c r="Z697" s="33" t="e">
        <f ca="1"/>
        <v>#REF!</v>
      </c>
      <c r="AA697" s="33" t="e">
        <f ca="1"/>
        <v>#REF!</v>
      </c>
    </row>
    <row r="698" spans="1:27" s="70" customFormat="1" ht="11.25" x14ac:dyDescent="0.2">
      <c r="A698" s="24">
        <v>692</v>
      </c>
      <c r="B698" s="24"/>
      <c r="C698" s="25"/>
      <c r="D698" s="26"/>
      <c r="E698" s="25"/>
      <c r="F698" s="25"/>
      <c r="G698" s="24"/>
      <c r="H698" s="28" t="e">
        <f ca="1"/>
        <v>#REF!</v>
      </c>
      <c r="I698" s="27" t="e">
        <f ca="1"/>
        <v>#REF!</v>
      </c>
      <c r="J698" s="28" t="e">
        <f ca="1"/>
        <v>#REF!</v>
      </c>
      <c r="K698" s="27" t="e">
        <f ca="1"/>
        <v>#REF!</v>
      </c>
      <c r="L698" s="25" t="e">
        <f ca="1"/>
        <v>#REF!</v>
      </c>
      <c r="M698" s="25" t="e">
        <f ca="1"/>
        <v>#REF!</v>
      </c>
      <c r="N698" s="25" t="e">
        <f ca="1"/>
        <v>#REF!</v>
      </c>
      <c r="O698" s="25" t="e">
        <f ca="1"/>
        <v>#REF!</v>
      </c>
      <c r="P698" s="25" t="e">
        <f ca="1"/>
        <v>#REF!</v>
      </c>
      <c r="Q698" s="25" t="e">
        <f ca="1"/>
        <v>#REF!</v>
      </c>
      <c r="R698" s="25" t="e">
        <f ca="1"/>
        <v>#REF!</v>
      </c>
      <c r="S698" s="25" t="e">
        <f ca="1"/>
        <v>#REF!</v>
      </c>
      <c r="T698" s="25" t="e">
        <f ca="1"/>
        <v>#REF!</v>
      </c>
      <c r="U698" s="25" t="e">
        <f ca="1"/>
        <v>#REF!</v>
      </c>
      <c r="V698" s="25" t="e">
        <f ca="1"/>
        <v>#REF!</v>
      </c>
      <c r="W698" s="33" t="e">
        <f ca="1"/>
        <v>#REF!</v>
      </c>
      <c r="X698" s="33" t="e">
        <f ca="1"/>
        <v>#REF!</v>
      </c>
      <c r="Y698" s="33" t="e">
        <f ca="1"/>
        <v>#REF!</v>
      </c>
      <c r="Z698" s="33" t="e">
        <f ca="1"/>
        <v>#REF!</v>
      </c>
      <c r="AA698" s="33" t="e">
        <f ca="1"/>
        <v>#REF!</v>
      </c>
    </row>
    <row r="699" spans="1:27" s="70" customFormat="1" ht="11.25" x14ac:dyDescent="0.2">
      <c r="A699" s="24">
        <v>693</v>
      </c>
      <c r="B699" s="24"/>
      <c r="C699" s="25"/>
      <c r="D699" s="26"/>
      <c r="E699" s="25"/>
      <c r="F699" s="25"/>
      <c r="G699" s="24"/>
      <c r="H699" s="28" t="e">
        <f ca="1"/>
        <v>#REF!</v>
      </c>
      <c r="I699" s="27" t="e">
        <f ca="1"/>
        <v>#REF!</v>
      </c>
      <c r="J699" s="28" t="e">
        <f ca="1"/>
        <v>#REF!</v>
      </c>
      <c r="K699" s="27" t="e">
        <f ca="1"/>
        <v>#REF!</v>
      </c>
      <c r="L699" s="25" t="e">
        <f ca="1"/>
        <v>#REF!</v>
      </c>
      <c r="M699" s="25" t="e">
        <f ca="1"/>
        <v>#REF!</v>
      </c>
      <c r="N699" s="25" t="e">
        <f ca="1"/>
        <v>#REF!</v>
      </c>
      <c r="O699" s="25" t="e">
        <f ca="1"/>
        <v>#REF!</v>
      </c>
      <c r="P699" s="25" t="e">
        <f ca="1"/>
        <v>#REF!</v>
      </c>
      <c r="Q699" s="25" t="e">
        <f ca="1"/>
        <v>#REF!</v>
      </c>
      <c r="R699" s="25" t="e">
        <f ca="1"/>
        <v>#REF!</v>
      </c>
      <c r="S699" s="25" t="e">
        <f ca="1"/>
        <v>#REF!</v>
      </c>
      <c r="T699" s="25" t="e">
        <f ca="1"/>
        <v>#REF!</v>
      </c>
      <c r="U699" s="25" t="e">
        <f ca="1"/>
        <v>#REF!</v>
      </c>
      <c r="V699" s="25" t="e">
        <f ca="1"/>
        <v>#REF!</v>
      </c>
      <c r="W699" s="33" t="e">
        <f ca="1"/>
        <v>#REF!</v>
      </c>
      <c r="X699" s="33" t="e">
        <f ca="1"/>
        <v>#REF!</v>
      </c>
      <c r="Y699" s="33" t="e">
        <f ca="1"/>
        <v>#REF!</v>
      </c>
      <c r="Z699" s="33" t="e">
        <f ca="1"/>
        <v>#REF!</v>
      </c>
      <c r="AA699" s="33" t="e">
        <f ca="1"/>
        <v>#REF!</v>
      </c>
    </row>
    <row r="700" spans="1:27" s="70" customFormat="1" ht="11.25" x14ac:dyDescent="0.2">
      <c r="A700" s="24">
        <v>694</v>
      </c>
      <c r="B700" s="24"/>
      <c r="C700" s="25"/>
      <c r="D700" s="26"/>
      <c r="E700" s="25"/>
      <c r="F700" s="25"/>
      <c r="G700" s="24"/>
      <c r="H700" s="28" t="e">
        <f ca="1"/>
        <v>#REF!</v>
      </c>
      <c r="I700" s="27" t="e">
        <f ca="1"/>
        <v>#REF!</v>
      </c>
      <c r="J700" s="28" t="e">
        <f ca="1"/>
        <v>#REF!</v>
      </c>
      <c r="K700" s="27" t="e">
        <f ca="1"/>
        <v>#REF!</v>
      </c>
      <c r="L700" s="25" t="e">
        <f ca="1"/>
        <v>#REF!</v>
      </c>
      <c r="M700" s="25" t="e">
        <f ca="1"/>
        <v>#REF!</v>
      </c>
      <c r="N700" s="25" t="e">
        <f ca="1"/>
        <v>#REF!</v>
      </c>
      <c r="O700" s="25" t="e">
        <f ca="1"/>
        <v>#REF!</v>
      </c>
      <c r="P700" s="25" t="e">
        <f ca="1"/>
        <v>#REF!</v>
      </c>
      <c r="Q700" s="25" t="e">
        <f ca="1"/>
        <v>#REF!</v>
      </c>
      <c r="R700" s="25" t="e">
        <f ca="1"/>
        <v>#REF!</v>
      </c>
      <c r="S700" s="25" t="e">
        <f ca="1"/>
        <v>#REF!</v>
      </c>
      <c r="T700" s="25" t="e">
        <f ca="1"/>
        <v>#REF!</v>
      </c>
      <c r="U700" s="25" t="e">
        <f ca="1"/>
        <v>#REF!</v>
      </c>
      <c r="V700" s="25" t="e">
        <f ca="1"/>
        <v>#REF!</v>
      </c>
      <c r="W700" s="33" t="e">
        <f ca="1"/>
        <v>#REF!</v>
      </c>
      <c r="X700" s="33" t="e">
        <f ca="1"/>
        <v>#REF!</v>
      </c>
      <c r="Y700" s="33" t="e">
        <f ca="1"/>
        <v>#REF!</v>
      </c>
      <c r="Z700" s="33" t="e">
        <f ca="1"/>
        <v>#REF!</v>
      </c>
      <c r="AA700" s="33" t="e">
        <f ca="1"/>
        <v>#REF!</v>
      </c>
    </row>
    <row r="701" spans="1:27" s="70" customFormat="1" ht="11.25" x14ac:dyDescent="0.2">
      <c r="A701" s="24">
        <v>695</v>
      </c>
      <c r="B701" s="24"/>
      <c r="C701" s="25"/>
      <c r="D701" s="26"/>
      <c r="E701" s="25"/>
      <c r="F701" s="25"/>
      <c r="G701" s="24"/>
      <c r="H701" s="28" t="e">
        <f ca="1"/>
        <v>#REF!</v>
      </c>
      <c r="I701" s="27" t="e">
        <f ca="1"/>
        <v>#REF!</v>
      </c>
      <c r="J701" s="28" t="e">
        <f ca="1"/>
        <v>#REF!</v>
      </c>
      <c r="K701" s="27" t="e">
        <f ca="1"/>
        <v>#REF!</v>
      </c>
      <c r="L701" s="25" t="e">
        <f ca="1"/>
        <v>#REF!</v>
      </c>
      <c r="M701" s="25" t="e">
        <f ca="1"/>
        <v>#REF!</v>
      </c>
      <c r="N701" s="25" t="e">
        <f ca="1"/>
        <v>#REF!</v>
      </c>
      <c r="O701" s="25" t="e">
        <f ca="1"/>
        <v>#REF!</v>
      </c>
      <c r="P701" s="25" t="e">
        <f ca="1"/>
        <v>#REF!</v>
      </c>
      <c r="Q701" s="25" t="e">
        <f ca="1"/>
        <v>#REF!</v>
      </c>
      <c r="R701" s="25" t="e">
        <f ca="1"/>
        <v>#REF!</v>
      </c>
      <c r="S701" s="25" t="e">
        <f ca="1"/>
        <v>#REF!</v>
      </c>
      <c r="T701" s="25" t="e">
        <f ca="1"/>
        <v>#REF!</v>
      </c>
      <c r="U701" s="25" t="e">
        <f ca="1"/>
        <v>#REF!</v>
      </c>
      <c r="V701" s="25" t="e">
        <f ca="1"/>
        <v>#REF!</v>
      </c>
      <c r="W701" s="33" t="e">
        <f ca="1"/>
        <v>#REF!</v>
      </c>
      <c r="X701" s="33" t="e">
        <f ca="1"/>
        <v>#REF!</v>
      </c>
      <c r="Y701" s="33" t="e">
        <f ca="1"/>
        <v>#REF!</v>
      </c>
      <c r="Z701" s="33" t="e">
        <f ca="1"/>
        <v>#REF!</v>
      </c>
      <c r="AA701" s="33" t="e">
        <f ca="1"/>
        <v>#REF!</v>
      </c>
    </row>
    <row r="702" spans="1:27" s="70" customFormat="1" ht="11.25" x14ac:dyDescent="0.2">
      <c r="A702" s="24">
        <v>696</v>
      </c>
      <c r="B702" s="24"/>
      <c r="C702" s="25"/>
      <c r="D702" s="26"/>
      <c r="E702" s="25"/>
      <c r="F702" s="25"/>
      <c r="G702" s="24"/>
      <c r="H702" s="28" t="e">
        <f ca="1"/>
        <v>#REF!</v>
      </c>
      <c r="I702" s="27" t="e">
        <f ca="1"/>
        <v>#REF!</v>
      </c>
      <c r="J702" s="28" t="e">
        <f ca="1"/>
        <v>#REF!</v>
      </c>
      <c r="K702" s="27" t="e">
        <f ca="1"/>
        <v>#REF!</v>
      </c>
      <c r="L702" s="25" t="e">
        <f ca="1"/>
        <v>#REF!</v>
      </c>
      <c r="M702" s="25" t="e">
        <f ca="1"/>
        <v>#REF!</v>
      </c>
      <c r="N702" s="25" t="e">
        <f ca="1"/>
        <v>#REF!</v>
      </c>
      <c r="O702" s="25" t="e">
        <f ca="1"/>
        <v>#REF!</v>
      </c>
      <c r="P702" s="25" t="e">
        <f ca="1"/>
        <v>#REF!</v>
      </c>
      <c r="Q702" s="25" t="e">
        <f ca="1"/>
        <v>#REF!</v>
      </c>
      <c r="R702" s="25" t="e">
        <f ca="1"/>
        <v>#REF!</v>
      </c>
      <c r="S702" s="25" t="e">
        <f ca="1"/>
        <v>#REF!</v>
      </c>
      <c r="T702" s="25" t="e">
        <f ca="1"/>
        <v>#REF!</v>
      </c>
      <c r="U702" s="25" t="e">
        <f ca="1"/>
        <v>#REF!</v>
      </c>
      <c r="V702" s="25" t="e">
        <f ca="1"/>
        <v>#REF!</v>
      </c>
      <c r="W702" s="33" t="e">
        <f ca="1"/>
        <v>#REF!</v>
      </c>
      <c r="X702" s="33" t="e">
        <f ca="1"/>
        <v>#REF!</v>
      </c>
      <c r="Y702" s="33" t="e">
        <f ca="1"/>
        <v>#REF!</v>
      </c>
      <c r="Z702" s="33" t="e">
        <f ca="1"/>
        <v>#REF!</v>
      </c>
      <c r="AA702" s="33" t="e">
        <f ca="1"/>
        <v>#REF!</v>
      </c>
    </row>
    <row r="703" spans="1:27" s="70" customFormat="1" ht="11.25" x14ac:dyDescent="0.2">
      <c r="A703" s="24">
        <v>697</v>
      </c>
      <c r="B703" s="24"/>
      <c r="C703" s="25"/>
      <c r="D703" s="26"/>
      <c r="E703" s="25"/>
      <c r="F703" s="25"/>
      <c r="G703" s="24"/>
      <c r="H703" s="28" t="e">
        <f ca="1"/>
        <v>#REF!</v>
      </c>
      <c r="I703" s="27" t="e">
        <f ca="1"/>
        <v>#REF!</v>
      </c>
      <c r="J703" s="28" t="e">
        <f ca="1"/>
        <v>#REF!</v>
      </c>
      <c r="K703" s="27" t="e">
        <f ca="1"/>
        <v>#REF!</v>
      </c>
      <c r="L703" s="25" t="e">
        <f ca="1"/>
        <v>#REF!</v>
      </c>
      <c r="M703" s="25" t="e">
        <f ca="1"/>
        <v>#REF!</v>
      </c>
      <c r="N703" s="25" t="e">
        <f ca="1"/>
        <v>#REF!</v>
      </c>
      <c r="O703" s="25" t="e">
        <f ca="1"/>
        <v>#REF!</v>
      </c>
      <c r="P703" s="25" t="e">
        <f ca="1"/>
        <v>#REF!</v>
      </c>
      <c r="Q703" s="25" t="e">
        <f ca="1"/>
        <v>#REF!</v>
      </c>
      <c r="R703" s="25" t="e">
        <f ca="1"/>
        <v>#REF!</v>
      </c>
      <c r="S703" s="25" t="e">
        <f ca="1"/>
        <v>#REF!</v>
      </c>
      <c r="T703" s="25" t="e">
        <f ca="1"/>
        <v>#REF!</v>
      </c>
      <c r="U703" s="25" t="e">
        <f ca="1"/>
        <v>#REF!</v>
      </c>
      <c r="V703" s="25" t="e">
        <f ca="1"/>
        <v>#REF!</v>
      </c>
      <c r="W703" s="33" t="e">
        <f ca="1"/>
        <v>#REF!</v>
      </c>
      <c r="X703" s="33" t="e">
        <f ca="1"/>
        <v>#REF!</v>
      </c>
      <c r="Y703" s="33" t="e">
        <f ca="1"/>
        <v>#REF!</v>
      </c>
      <c r="Z703" s="33" t="e">
        <f ca="1"/>
        <v>#REF!</v>
      </c>
      <c r="AA703" s="33" t="e">
        <f ca="1"/>
        <v>#REF!</v>
      </c>
    </row>
    <row r="704" spans="1:27" s="70" customFormat="1" ht="11.25" x14ac:dyDescent="0.2">
      <c r="A704" s="24">
        <v>698</v>
      </c>
      <c r="B704" s="24"/>
      <c r="C704" s="25"/>
      <c r="D704" s="26"/>
      <c r="E704" s="25"/>
      <c r="F704" s="25"/>
      <c r="G704" s="24"/>
      <c r="H704" s="28" t="e">
        <f ca="1"/>
        <v>#REF!</v>
      </c>
      <c r="I704" s="27" t="e">
        <f ca="1"/>
        <v>#REF!</v>
      </c>
      <c r="J704" s="28" t="e">
        <f ca="1"/>
        <v>#REF!</v>
      </c>
      <c r="K704" s="27" t="e">
        <f ca="1"/>
        <v>#REF!</v>
      </c>
      <c r="L704" s="25" t="e">
        <f ca="1"/>
        <v>#REF!</v>
      </c>
      <c r="M704" s="25" t="e">
        <f ca="1"/>
        <v>#REF!</v>
      </c>
      <c r="N704" s="25" t="e">
        <f ca="1"/>
        <v>#REF!</v>
      </c>
      <c r="O704" s="25" t="e">
        <f ca="1"/>
        <v>#REF!</v>
      </c>
      <c r="P704" s="25" t="e">
        <f ca="1"/>
        <v>#REF!</v>
      </c>
      <c r="Q704" s="25" t="e">
        <f ca="1"/>
        <v>#REF!</v>
      </c>
      <c r="R704" s="25" t="e">
        <f ca="1"/>
        <v>#REF!</v>
      </c>
      <c r="S704" s="25" t="e">
        <f ca="1"/>
        <v>#REF!</v>
      </c>
      <c r="T704" s="25" t="e">
        <f ca="1"/>
        <v>#REF!</v>
      </c>
      <c r="U704" s="25" t="e">
        <f ca="1"/>
        <v>#REF!</v>
      </c>
      <c r="V704" s="25" t="e">
        <f ca="1"/>
        <v>#REF!</v>
      </c>
      <c r="W704" s="33" t="e">
        <f ca="1"/>
        <v>#REF!</v>
      </c>
      <c r="X704" s="33" t="e">
        <f ca="1"/>
        <v>#REF!</v>
      </c>
      <c r="Y704" s="33" t="e">
        <f ca="1"/>
        <v>#REF!</v>
      </c>
      <c r="Z704" s="33" t="e">
        <f ca="1"/>
        <v>#REF!</v>
      </c>
      <c r="AA704" s="33" t="e">
        <f ca="1"/>
        <v>#REF!</v>
      </c>
    </row>
    <row r="705" spans="1:27" s="70" customFormat="1" ht="11.25" x14ac:dyDescent="0.2">
      <c r="A705" s="24">
        <v>699</v>
      </c>
      <c r="B705" s="24"/>
      <c r="C705" s="25"/>
      <c r="D705" s="26"/>
      <c r="E705" s="25"/>
      <c r="F705" s="25"/>
      <c r="G705" s="24"/>
      <c r="H705" s="28" t="e">
        <f ca="1"/>
        <v>#REF!</v>
      </c>
      <c r="I705" s="27" t="e">
        <f ca="1"/>
        <v>#REF!</v>
      </c>
      <c r="J705" s="28" t="e">
        <f ca="1"/>
        <v>#REF!</v>
      </c>
      <c r="K705" s="27" t="e">
        <f ca="1"/>
        <v>#REF!</v>
      </c>
      <c r="L705" s="25" t="e">
        <f ca="1"/>
        <v>#REF!</v>
      </c>
      <c r="M705" s="25" t="e">
        <f ca="1"/>
        <v>#REF!</v>
      </c>
      <c r="N705" s="25" t="e">
        <f ca="1"/>
        <v>#REF!</v>
      </c>
      <c r="O705" s="25" t="e">
        <f ca="1"/>
        <v>#REF!</v>
      </c>
      <c r="P705" s="25" t="e">
        <f ca="1"/>
        <v>#REF!</v>
      </c>
      <c r="Q705" s="25" t="e">
        <f ca="1"/>
        <v>#REF!</v>
      </c>
      <c r="R705" s="25" t="e">
        <f ca="1"/>
        <v>#REF!</v>
      </c>
      <c r="S705" s="25" t="e">
        <f ca="1"/>
        <v>#REF!</v>
      </c>
      <c r="T705" s="25" t="e">
        <f ca="1"/>
        <v>#REF!</v>
      </c>
      <c r="U705" s="25" t="e">
        <f ca="1"/>
        <v>#REF!</v>
      </c>
      <c r="V705" s="25" t="e">
        <f ca="1"/>
        <v>#REF!</v>
      </c>
      <c r="W705" s="33" t="e">
        <f ca="1"/>
        <v>#REF!</v>
      </c>
      <c r="X705" s="33" t="e">
        <f ca="1"/>
        <v>#REF!</v>
      </c>
      <c r="Y705" s="33" t="e">
        <f ca="1"/>
        <v>#REF!</v>
      </c>
      <c r="Z705" s="33" t="e">
        <f ca="1"/>
        <v>#REF!</v>
      </c>
      <c r="AA705" s="33" t="e">
        <f ca="1"/>
        <v>#REF!</v>
      </c>
    </row>
    <row r="706" spans="1:27" s="70" customFormat="1" ht="11.25" x14ac:dyDescent="0.2">
      <c r="A706" s="24">
        <v>700</v>
      </c>
      <c r="B706" s="24"/>
      <c r="C706" s="25"/>
      <c r="D706" s="26"/>
      <c r="E706" s="25"/>
      <c r="F706" s="25"/>
      <c r="G706" s="24"/>
      <c r="H706" s="28" t="e">
        <f ca="1"/>
        <v>#REF!</v>
      </c>
      <c r="I706" s="27" t="e">
        <f ca="1"/>
        <v>#REF!</v>
      </c>
      <c r="J706" s="28" t="e">
        <f ca="1"/>
        <v>#REF!</v>
      </c>
      <c r="K706" s="27" t="e">
        <f ca="1"/>
        <v>#REF!</v>
      </c>
      <c r="L706" s="25" t="e">
        <f ca="1"/>
        <v>#REF!</v>
      </c>
      <c r="M706" s="25" t="e">
        <f ca="1"/>
        <v>#REF!</v>
      </c>
      <c r="N706" s="25" t="e">
        <f ca="1"/>
        <v>#REF!</v>
      </c>
      <c r="O706" s="25" t="e">
        <f ca="1"/>
        <v>#REF!</v>
      </c>
      <c r="P706" s="25" t="e">
        <f ca="1"/>
        <v>#REF!</v>
      </c>
      <c r="Q706" s="25" t="e">
        <f ca="1"/>
        <v>#REF!</v>
      </c>
      <c r="R706" s="25" t="e">
        <f ca="1"/>
        <v>#REF!</v>
      </c>
      <c r="S706" s="25" t="e">
        <f ca="1"/>
        <v>#REF!</v>
      </c>
      <c r="T706" s="25" t="e">
        <f ca="1"/>
        <v>#REF!</v>
      </c>
      <c r="U706" s="25" t="e">
        <f ca="1"/>
        <v>#REF!</v>
      </c>
      <c r="V706" s="25" t="e">
        <f ca="1"/>
        <v>#REF!</v>
      </c>
      <c r="W706" s="33" t="e">
        <f ca="1"/>
        <v>#REF!</v>
      </c>
      <c r="X706" s="33" t="e">
        <f ca="1"/>
        <v>#REF!</v>
      </c>
      <c r="Y706" s="33" t="e">
        <f ca="1"/>
        <v>#REF!</v>
      </c>
      <c r="Z706" s="33" t="e">
        <f ca="1"/>
        <v>#REF!</v>
      </c>
      <c r="AA706" s="33" t="e">
        <f ca="1"/>
        <v>#REF!</v>
      </c>
    </row>
    <row r="707" spans="1:27" s="70" customFormat="1" ht="11.25" x14ac:dyDescent="0.2">
      <c r="A707" s="24">
        <v>701</v>
      </c>
      <c r="B707" s="24"/>
      <c r="C707" s="25"/>
      <c r="D707" s="26"/>
      <c r="E707" s="25"/>
      <c r="F707" s="25"/>
      <c r="G707" s="24"/>
      <c r="H707" s="28" t="e">
        <f ca="1"/>
        <v>#REF!</v>
      </c>
      <c r="I707" s="27" t="e">
        <f ca="1"/>
        <v>#REF!</v>
      </c>
      <c r="J707" s="28" t="e">
        <f ca="1"/>
        <v>#REF!</v>
      </c>
      <c r="K707" s="27" t="e">
        <f ca="1"/>
        <v>#REF!</v>
      </c>
      <c r="L707" s="25" t="e">
        <f ca="1"/>
        <v>#REF!</v>
      </c>
      <c r="M707" s="25" t="e">
        <f ca="1"/>
        <v>#REF!</v>
      </c>
      <c r="N707" s="25" t="e">
        <f ca="1"/>
        <v>#REF!</v>
      </c>
      <c r="O707" s="25" t="e">
        <f ca="1"/>
        <v>#REF!</v>
      </c>
      <c r="P707" s="25" t="e">
        <f ca="1"/>
        <v>#REF!</v>
      </c>
      <c r="Q707" s="25" t="e">
        <f ca="1"/>
        <v>#REF!</v>
      </c>
      <c r="R707" s="25" t="e">
        <f ca="1"/>
        <v>#REF!</v>
      </c>
      <c r="S707" s="25" t="e">
        <f ca="1"/>
        <v>#REF!</v>
      </c>
      <c r="T707" s="25" t="e">
        <f ca="1"/>
        <v>#REF!</v>
      </c>
      <c r="U707" s="25" t="e">
        <f ca="1"/>
        <v>#REF!</v>
      </c>
      <c r="V707" s="25" t="e">
        <f ca="1"/>
        <v>#REF!</v>
      </c>
      <c r="W707" s="33" t="e">
        <f ca="1"/>
        <v>#REF!</v>
      </c>
      <c r="X707" s="33" t="e">
        <f ca="1"/>
        <v>#REF!</v>
      </c>
      <c r="Y707" s="33" t="e">
        <f ca="1"/>
        <v>#REF!</v>
      </c>
      <c r="Z707" s="33" t="e">
        <f ca="1"/>
        <v>#REF!</v>
      </c>
      <c r="AA707" s="33" t="e">
        <f ca="1"/>
        <v>#REF!</v>
      </c>
    </row>
    <row r="708" spans="1:27" s="70" customFormat="1" ht="11.25" x14ac:dyDescent="0.2">
      <c r="A708" s="24">
        <v>702</v>
      </c>
      <c r="B708" s="24"/>
      <c r="C708" s="25"/>
      <c r="D708" s="26"/>
      <c r="E708" s="25"/>
      <c r="F708" s="25"/>
      <c r="G708" s="24"/>
      <c r="H708" s="28" t="e">
        <f ca="1"/>
        <v>#REF!</v>
      </c>
      <c r="I708" s="27" t="e">
        <f ca="1"/>
        <v>#REF!</v>
      </c>
      <c r="J708" s="28" t="e">
        <f ca="1"/>
        <v>#REF!</v>
      </c>
      <c r="K708" s="27" t="e">
        <f ca="1"/>
        <v>#REF!</v>
      </c>
      <c r="L708" s="25" t="e">
        <f ca="1"/>
        <v>#REF!</v>
      </c>
      <c r="M708" s="25" t="e">
        <f ca="1"/>
        <v>#REF!</v>
      </c>
      <c r="N708" s="25" t="e">
        <f ca="1"/>
        <v>#REF!</v>
      </c>
      <c r="O708" s="25" t="e">
        <f ca="1"/>
        <v>#REF!</v>
      </c>
      <c r="P708" s="25" t="e">
        <f ca="1"/>
        <v>#REF!</v>
      </c>
      <c r="Q708" s="25" t="e">
        <f ca="1"/>
        <v>#REF!</v>
      </c>
      <c r="R708" s="25" t="e">
        <f ca="1"/>
        <v>#REF!</v>
      </c>
      <c r="S708" s="25" t="e">
        <f ca="1"/>
        <v>#REF!</v>
      </c>
      <c r="T708" s="25" t="e">
        <f ca="1"/>
        <v>#REF!</v>
      </c>
      <c r="U708" s="25" t="e">
        <f ca="1"/>
        <v>#REF!</v>
      </c>
      <c r="V708" s="25" t="e">
        <f ca="1"/>
        <v>#REF!</v>
      </c>
      <c r="W708" s="33" t="e">
        <f ca="1"/>
        <v>#REF!</v>
      </c>
      <c r="X708" s="33" t="e">
        <f ca="1"/>
        <v>#REF!</v>
      </c>
      <c r="Y708" s="33" t="e">
        <f ca="1"/>
        <v>#REF!</v>
      </c>
      <c r="Z708" s="33" t="e">
        <f ca="1"/>
        <v>#REF!</v>
      </c>
      <c r="AA708" s="33" t="e">
        <f ca="1"/>
        <v>#REF!</v>
      </c>
    </row>
    <row r="709" spans="1:27" s="70" customFormat="1" ht="11.25" x14ac:dyDescent="0.2">
      <c r="A709" s="24">
        <v>703</v>
      </c>
      <c r="B709" s="24"/>
      <c r="C709" s="25"/>
      <c r="D709" s="26"/>
      <c r="E709" s="25"/>
      <c r="F709" s="25"/>
      <c r="G709" s="24"/>
      <c r="H709" s="28" t="e">
        <f ca="1"/>
        <v>#REF!</v>
      </c>
      <c r="I709" s="27" t="e">
        <f ca="1"/>
        <v>#REF!</v>
      </c>
      <c r="J709" s="28" t="e">
        <f ca="1"/>
        <v>#REF!</v>
      </c>
      <c r="K709" s="27" t="e">
        <f ca="1"/>
        <v>#REF!</v>
      </c>
      <c r="L709" s="25" t="e">
        <f ca="1"/>
        <v>#REF!</v>
      </c>
      <c r="M709" s="25" t="e">
        <f ca="1"/>
        <v>#REF!</v>
      </c>
      <c r="N709" s="25" t="e">
        <f ca="1"/>
        <v>#REF!</v>
      </c>
      <c r="O709" s="25" t="e">
        <f ca="1"/>
        <v>#REF!</v>
      </c>
      <c r="P709" s="25" t="e">
        <f ca="1"/>
        <v>#REF!</v>
      </c>
      <c r="Q709" s="25" t="e">
        <f ca="1"/>
        <v>#REF!</v>
      </c>
      <c r="R709" s="25" t="e">
        <f ca="1"/>
        <v>#REF!</v>
      </c>
      <c r="S709" s="25" t="e">
        <f ca="1"/>
        <v>#REF!</v>
      </c>
      <c r="T709" s="25" t="e">
        <f ca="1"/>
        <v>#REF!</v>
      </c>
      <c r="U709" s="25" t="e">
        <f ca="1"/>
        <v>#REF!</v>
      </c>
      <c r="V709" s="25" t="e">
        <f ca="1"/>
        <v>#REF!</v>
      </c>
      <c r="W709" s="33" t="e">
        <f ca="1"/>
        <v>#REF!</v>
      </c>
      <c r="X709" s="33" t="e">
        <f ca="1"/>
        <v>#REF!</v>
      </c>
      <c r="Y709" s="33" t="e">
        <f ca="1"/>
        <v>#REF!</v>
      </c>
      <c r="Z709" s="33" t="e">
        <f ca="1"/>
        <v>#REF!</v>
      </c>
      <c r="AA709" s="33" t="e">
        <f ca="1"/>
        <v>#REF!</v>
      </c>
    </row>
    <row r="710" spans="1:27" s="70" customFormat="1" ht="11.25" x14ac:dyDescent="0.2">
      <c r="A710" s="24">
        <v>704</v>
      </c>
      <c r="B710" s="24"/>
      <c r="C710" s="25"/>
      <c r="D710" s="26"/>
      <c r="E710" s="25"/>
      <c r="F710" s="25"/>
      <c r="G710" s="24"/>
      <c r="H710" s="28" t="e">
        <f ca="1"/>
        <v>#REF!</v>
      </c>
      <c r="I710" s="27" t="e">
        <f ca="1"/>
        <v>#REF!</v>
      </c>
      <c r="J710" s="28" t="e">
        <f ca="1"/>
        <v>#REF!</v>
      </c>
      <c r="K710" s="27" t="e">
        <f ca="1"/>
        <v>#REF!</v>
      </c>
      <c r="L710" s="25" t="e">
        <f ca="1"/>
        <v>#REF!</v>
      </c>
      <c r="M710" s="25" t="e">
        <f ca="1"/>
        <v>#REF!</v>
      </c>
      <c r="N710" s="25" t="e">
        <f ca="1"/>
        <v>#REF!</v>
      </c>
      <c r="O710" s="25" t="e">
        <f ca="1"/>
        <v>#REF!</v>
      </c>
      <c r="P710" s="25" t="e">
        <f ca="1"/>
        <v>#REF!</v>
      </c>
      <c r="Q710" s="25" t="e">
        <f ca="1"/>
        <v>#REF!</v>
      </c>
      <c r="R710" s="25" t="e">
        <f ca="1"/>
        <v>#REF!</v>
      </c>
      <c r="S710" s="25" t="e">
        <f ca="1"/>
        <v>#REF!</v>
      </c>
      <c r="T710" s="25" t="e">
        <f ca="1"/>
        <v>#REF!</v>
      </c>
      <c r="U710" s="25" t="e">
        <f ca="1"/>
        <v>#REF!</v>
      </c>
      <c r="V710" s="25" t="e">
        <f ca="1"/>
        <v>#REF!</v>
      </c>
      <c r="W710" s="33" t="e">
        <f ca="1"/>
        <v>#REF!</v>
      </c>
      <c r="X710" s="33" t="e">
        <f ca="1"/>
        <v>#REF!</v>
      </c>
      <c r="Y710" s="33" t="e">
        <f ca="1"/>
        <v>#REF!</v>
      </c>
      <c r="Z710" s="33" t="e">
        <f ca="1"/>
        <v>#REF!</v>
      </c>
      <c r="AA710" s="33" t="e">
        <f ca="1"/>
        <v>#REF!</v>
      </c>
    </row>
    <row r="711" spans="1:27" s="70" customFormat="1" ht="11.25" x14ac:dyDescent="0.2">
      <c r="A711" s="24">
        <v>705</v>
      </c>
      <c r="B711" s="24"/>
      <c r="C711" s="25"/>
      <c r="D711" s="26"/>
      <c r="E711" s="25"/>
      <c r="F711" s="25"/>
      <c r="G711" s="24"/>
      <c r="H711" s="28" t="e">
        <f ca="1"/>
        <v>#REF!</v>
      </c>
      <c r="I711" s="27" t="e">
        <f ca="1"/>
        <v>#REF!</v>
      </c>
      <c r="J711" s="28" t="e">
        <f ca="1"/>
        <v>#REF!</v>
      </c>
      <c r="K711" s="27" t="e">
        <f ca="1"/>
        <v>#REF!</v>
      </c>
      <c r="L711" s="25" t="e">
        <f ca="1"/>
        <v>#REF!</v>
      </c>
      <c r="M711" s="25" t="e">
        <f ca="1"/>
        <v>#REF!</v>
      </c>
      <c r="N711" s="25" t="e">
        <f ca="1"/>
        <v>#REF!</v>
      </c>
      <c r="O711" s="25" t="e">
        <f ca="1"/>
        <v>#REF!</v>
      </c>
      <c r="P711" s="25" t="e">
        <f ca="1"/>
        <v>#REF!</v>
      </c>
      <c r="Q711" s="25" t="e">
        <f ca="1"/>
        <v>#REF!</v>
      </c>
      <c r="R711" s="25" t="e">
        <f ca="1"/>
        <v>#REF!</v>
      </c>
      <c r="S711" s="25" t="e">
        <f ca="1"/>
        <v>#REF!</v>
      </c>
      <c r="T711" s="25" t="e">
        <f ca="1"/>
        <v>#REF!</v>
      </c>
      <c r="U711" s="25" t="e">
        <f ca="1"/>
        <v>#REF!</v>
      </c>
      <c r="V711" s="25" t="e">
        <f ca="1"/>
        <v>#REF!</v>
      </c>
      <c r="W711" s="33" t="e">
        <f ca="1"/>
        <v>#REF!</v>
      </c>
      <c r="X711" s="33" t="e">
        <f ca="1"/>
        <v>#REF!</v>
      </c>
      <c r="Y711" s="33" t="e">
        <f ca="1"/>
        <v>#REF!</v>
      </c>
      <c r="Z711" s="33" t="e">
        <f ca="1"/>
        <v>#REF!</v>
      </c>
      <c r="AA711" s="33" t="e">
        <f ca="1"/>
        <v>#REF!</v>
      </c>
    </row>
    <row r="712" spans="1:27" s="70" customFormat="1" ht="11.25" x14ac:dyDescent="0.2">
      <c r="A712" s="24">
        <v>706</v>
      </c>
      <c r="B712" s="24"/>
      <c r="C712" s="25"/>
      <c r="D712" s="26"/>
      <c r="E712" s="25"/>
      <c r="F712" s="25"/>
      <c r="G712" s="24"/>
      <c r="H712" s="28" t="e">
        <f ca="1"/>
        <v>#REF!</v>
      </c>
      <c r="I712" s="27" t="e">
        <f ca="1"/>
        <v>#REF!</v>
      </c>
      <c r="J712" s="28" t="e">
        <f ca="1"/>
        <v>#REF!</v>
      </c>
      <c r="K712" s="27" t="e">
        <f ca="1"/>
        <v>#REF!</v>
      </c>
      <c r="L712" s="25" t="e">
        <f ca="1"/>
        <v>#REF!</v>
      </c>
      <c r="M712" s="25" t="e">
        <f ca="1"/>
        <v>#REF!</v>
      </c>
      <c r="N712" s="25" t="e">
        <f ca="1"/>
        <v>#REF!</v>
      </c>
      <c r="O712" s="25" t="e">
        <f ca="1"/>
        <v>#REF!</v>
      </c>
      <c r="P712" s="25" t="e">
        <f ca="1"/>
        <v>#REF!</v>
      </c>
      <c r="Q712" s="25" t="e">
        <f ca="1"/>
        <v>#REF!</v>
      </c>
      <c r="R712" s="25" t="e">
        <f ca="1"/>
        <v>#REF!</v>
      </c>
      <c r="S712" s="25" t="e">
        <f ca="1"/>
        <v>#REF!</v>
      </c>
      <c r="T712" s="25" t="e">
        <f ca="1"/>
        <v>#REF!</v>
      </c>
      <c r="U712" s="25" t="e">
        <f ca="1"/>
        <v>#REF!</v>
      </c>
      <c r="V712" s="25" t="e">
        <f ca="1"/>
        <v>#REF!</v>
      </c>
      <c r="W712" s="33" t="e">
        <f ca="1"/>
        <v>#REF!</v>
      </c>
      <c r="X712" s="33" t="e">
        <f ca="1"/>
        <v>#REF!</v>
      </c>
      <c r="Y712" s="33" t="e">
        <f ca="1"/>
        <v>#REF!</v>
      </c>
      <c r="Z712" s="33" t="e">
        <f ca="1"/>
        <v>#REF!</v>
      </c>
      <c r="AA712" s="33" t="e">
        <f ca="1"/>
        <v>#REF!</v>
      </c>
    </row>
    <row r="713" spans="1:27" s="70" customFormat="1" ht="11.25" x14ac:dyDescent="0.2">
      <c r="A713" s="24">
        <v>707</v>
      </c>
      <c r="B713" s="24"/>
      <c r="C713" s="25"/>
      <c r="D713" s="26"/>
      <c r="E713" s="25"/>
      <c r="F713" s="25"/>
      <c r="G713" s="24"/>
      <c r="H713" s="28" t="e">
        <f ca="1"/>
        <v>#REF!</v>
      </c>
      <c r="I713" s="27" t="e">
        <f ca="1"/>
        <v>#REF!</v>
      </c>
      <c r="J713" s="28" t="e">
        <f ca="1"/>
        <v>#REF!</v>
      </c>
      <c r="K713" s="27" t="e">
        <f ca="1"/>
        <v>#REF!</v>
      </c>
      <c r="L713" s="25" t="e">
        <f ca="1"/>
        <v>#REF!</v>
      </c>
      <c r="M713" s="25" t="e">
        <f ca="1"/>
        <v>#REF!</v>
      </c>
      <c r="N713" s="25" t="e">
        <f ca="1"/>
        <v>#REF!</v>
      </c>
      <c r="O713" s="25" t="e">
        <f ca="1"/>
        <v>#REF!</v>
      </c>
      <c r="P713" s="25" t="e">
        <f ca="1"/>
        <v>#REF!</v>
      </c>
      <c r="Q713" s="25" t="e">
        <f ca="1"/>
        <v>#REF!</v>
      </c>
      <c r="R713" s="25" t="e">
        <f ca="1"/>
        <v>#REF!</v>
      </c>
      <c r="S713" s="25" t="e">
        <f ca="1"/>
        <v>#REF!</v>
      </c>
      <c r="T713" s="25" t="e">
        <f ca="1"/>
        <v>#REF!</v>
      </c>
      <c r="U713" s="25" t="e">
        <f ca="1"/>
        <v>#REF!</v>
      </c>
      <c r="V713" s="25" t="e">
        <f ca="1"/>
        <v>#REF!</v>
      </c>
      <c r="W713" s="33" t="e">
        <f ca="1"/>
        <v>#REF!</v>
      </c>
      <c r="X713" s="33" t="e">
        <f ca="1"/>
        <v>#REF!</v>
      </c>
      <c r="Y713" s="33" t="e">
        <f ca="1"/>
        <v>#REF!</v>
      </c>
      <c r="Z713" s="33" t="e">
        <f ca="1"/>
        <v>#REF!</v>
      </c>
      <c r="AA713" s="33" t="e">
        <f ca="1"/>
        <v>#REF!</v>
      </c>
    </row>
    <row r="714" spans="1:27" s="70" customFormat="1" ht="11.25" x14ac:dyDescent="0.2">
      <c r="A714" s="24">
        <v>708</v>
      </c>
      <c r="B714" s="24"/>
      <c r="C714" s="25"/>
      <c r="D714" s="26"/>
      <c r="E714" s="25"/>
      <c r="F714" s="25"/>
      <c r="G714" s="24"/>
      <c r="H714" s="28" t="e">
        <f ca="1"/>
        <v>#REF!</v>
      </c>
      <c r="I714" s="27" t="e">
        <f ca="1"/>
        <v>#REF!</v>
      </c>
      <c r="J714" s="28" t="e">
        <f ca="1"/>
        <v>#REF!</v>
      </c>
      <c r="K714" s="27" t="e">
        <f ca="1"/>
        <v>#REF!</v>
      </c>
      <c r="L714" s="25" t="e">
        <f ca="1"/>
        <v>#REF!</v>
      </c>
      <c r="M714" s="25" t="e">
        <f ca="1"/>
        <v>#REF!</v>
      </c>
      <c r="N714" s="25" t="e">
        <f ca="1"/>
        <v>#REF!</v>
      </c>
      <c r="O714" s="25" t="e">
        <f ca="1"/>
        <v>#REF!</v>
      </c>
      <c r="P714" s="25" t="e">
        <f ca="1"/>
        <v>#REF!</v>
      </c>
      <c r="Q714" s="25" t="e">
        <f ca="1"/>
        <v>#REF!</v>
      </c>
      <c r="R714" s="25" t="e">
        <f ca="1"/>
        <v>#REF!</v>
      </c>
      <c r="S714" s="25" t="e">
        <f ca="1"/>
        <v>#REF!</v>
      </c>
      <c r="T714" s="25" t="e">
        <f ca="1"/>
        <v>#REF!</v>
      </c>
      <c r="U714" s="25" t="e">
        <f ca="1"/>
        <v>#REF!</v>
      </c>
      <c r="V714" s="25" t="e">
        <f ca="1"/>
        <v>#REF!</v>
      </c>
      <c r="W714" s="33" t="e">
        <f ca="1"/>
        <v>#REF!</v>
      </c>
      <c r="X714" s="33" t="e">
        <f ca="1"/>
        <v>#REF!</v>
      </c>
      <c r="Y714" s="33" t="e">
        <f ca="1"/>
        <v>#REF!</v>
      </c>
      <c r="Z714" s="33" t="e">
        <f ca="1"/>
        <v>#REF!</v>
      </c>
      <c r="AA714" s="33" t="e">
        <f ca="1"/>
        <v>#REF!</v>
      </c>
    </row>
    <row r="715" spans="1:27" s="70" customFormat="1" ht="11.25" x14ac:dyDescent="0.2">
      <c r="A715" s="24">
        <v>709</v>
      </c>
      <c r="B715" s="24"/>
      <c r="C715" s="25"/>
      <c r="D715" s="26"/>
      <c r="E715" s="25"/>
      <c r="F715" s="25"/>
      <c r="G715" s="24"/>
      <c r="H715" s="28" t="e">
        <f ca="1"/>
        <v>#REF!</v>
      </c>
      <c r="I715" s="27" t="e">
        <f ca="1"/>
        <v>#REF!</v>
      </c>
      <c r="J715" s="28" t="e">
        <f ca="1"/>
        <v>#REF!</v>
      </c>
      <c r="K715" s="27" t="e">
        <f ca="1"/>
        <v>#REF!</v>
      </c>
      <c r="L715" s="25" t="e">
        <f ca="1"/>
        <v>#REF!</v>
      </c>
      <c r="M715" s="25" t="e">
        <f ca="1"/>
        <v>#REF!</v>
      </c>
      <c r="N715" s="25" t="e">
        <f ca="1"/>
        <v>#REF!</v>
      </c>
      <c r="O715" s="25" t="e">
        <f ca="1"/>
        <v>#REF!</v>
      </c>
      <c r="P715" s="25" t="e">
        <f ca="1"/>
        <v>#REF!</v>
      </c>
      <c r="Q715" s="25" t="e">
        <f ca="1"/>
        <v>#REF!</v>
      </c>
      <c r="R715" s="25" t="e">
        <f ca="1"/>
        <v>#REF!</v>
      </c>
      <c r="S715" s="25" t="e">
        <f ca="1"/>
        <v>#REF!</v>
      </c>
      <c r="T715" s="25" t="e">
        <f ca="1"/>
        <v>#REF!</v>
      </c>
      <c r="U715" s="25" t="e">
        <f ca="1"/>
        <v>#REF!</v>
      </c>
      <c r="V715" s="25" t="e">
        <f ca="1"/>
        <v>#REF!</v>
      </c>
      <c r="W715" s="33" t="e">
        <f ca="1"/>
        <v>#REF!</v>
      </c>
      <c r="X715" s="33" t="e">
        <f ca="1"/>
        <v>#REF!</v>
      </c>
      <c r="Y715" s="33" t="e">
        <f ca="1"/>
        <v>#REF!</v>
      </c>
      <c r="Z715" s="33" t="e">
        <f ca="1"/>
        <v>#REF!</v>
      </c>
      <c r="AA715" s="33" t="e">
        <f ca="1"/>
        <v>#REF!</v>
      </c>
    </row>
    <row r="716" spans="1:27" s="70" customFormat="1" ht="11.25" x14ac:dyDescent="0.2">
      <c r="A716" s="24">
        <v>710</v>
      </c>
      <c r="B716" s="24"/>
      <c r="C716" s="25"/>
      <c r="D716" s="26"/>
      <c r="E716" s="25"/>
      <c r="F716" s="25"/>
      <c r="G716" s="24"/>
      <c r="H716" s="28" t="e">
        <f ca="1"/>
        <v>#REF!</v>
      </c>
      <c r="I716" s="27" t="e">
        <f ca="1"/>
        <v>#REF!</v>
      </c>
      <c r="J716" s="28" t="e">
        <f ca="1"/>
        <v>#REF!</v>
      </c>
      <c r="K716" s="27" t="e">
        <f ca="1"/>
        <v>#REF!</v>
      </c>
      <c r="L716" s="25" t="e">
        <f ca="1"/>
        <v>#REF!</v>
      </c>
      <c r="M716" s="25" t="e">
        <f ca="1"/>
        <v>#REF!</v>
      </c>
      <c r="N716" s="25" t="e">
        <f ca="1"/>
        <v>#REF!</v>
      </c>
      <c r="O716" s="25" t="e">
        <f ca="1"/>
        <v>#REF!</v>
      </c>
      <c r="P716" s="25" t="e">
        <f ca="1"/>
        <v>#REF!</v>
      </c>
      <c r="Q716" s="25" t="e">
        <f ca="1"/>
        <v>#REF!</v>
      </c>
      <c r="R716" s="25" t="e">
        <f ca="1"/>
        <v>#REF!</v>
      </c>
      <c r="S716" s="25" t="e">
        <f ca="1"/>
        <v>#REF!</v>
      </c>
      <c r="T716" s="25" t="e">
        <f ca="1"/>
        <v>#REF!</v>
      </c>
      <c r="U716" s="25" t="e">
        <f ca="1"/>
        <v>#REF!</v>
      </c>
      <c r="V716" s="25" t="e">
        <f ca="1"/>
        <v>#REF!</v>
      </c>
      <c r="W716" s="33" t="e">
        <f ca="1"/>
        <v>#REF!</v>
      </c>
      <c r="X716" s="33" t="e">
        <f ca="1"/>
        <v>#REF!</v>
      </c>
      <c r="Y716" s="33" t="e">
        <f ca="1"/>
        <v>#REF!</v>
      </c>
      <c r="Z716" s="33" t="e">
        <f ca="1"/>
        <v>#REF!</v>
      </c>
      <c r="AA716" s="33" t="e">
        <f ca="1"/>
        <v>#REF!</v>
      </c>
    </row>
    <row r="717" spans="1:27" s="70" customFormat="1" ht="11.25" x14ac:dyDescent="0.2">
      <c r="A717" s="24">
        <v>711</v>
      </c>
      <c r="B717" s="24"/>
      <c r="C717" s="25"/>
      <c r="D717" s="26"/>
      <c r="E717" s="25"/>
      <c r="F717" s="25"/>
      <c r="G717" s="24"/>
      <c r="H717" s="28" t="e">
        <f ca="1"/>
        <v>#REF!</v>
      </c>
      <c r="I717" s="27" t="e">
        <f ca="1"/>
        <v>#REF!</v>
      </c>
      <c r="J717" s="28" t="e">
        <f ca="1"/>
        <v>#REF!</v>
      </c>
      <c r="K717" s="27" t="e">
        <f ca="1"/>
        <v>#REF!</v>
      </c>
      <c r="L717" s="25" t="e">
        <f ca="1"/>
        <v>#REF!</v>
      </c>
      <c r="M717" s="25" t="e">
        <f ca="1"/>
        <v>#REF!</v>
      </c>
      <c r="N717" s="25" t="e">
        <f ca="1"/>
        <v>#REF!</v>
      </c>
      <c r="O717" s="25" t="e">
        <f ca="1"/>
        <v>#REF!</v>
      </c>
      <c r="P717" s="25" t="e">
        <f ca="1"/>
        <v>#REF!</v>
      </c>
      <c r="Q717" s="25" t="e">
        <f ca="1"/>
        <v>#REF!</v>
      </c>
      <c r="R717" s="25" t="e">
        <f ca="1"/>
        <v>#REF!</v>
      </c>
      <c r="S717" s="25" t="e">
        <f ca="1"/>
        <v>#REF!</v>
      </c>
      <c r="T717" s="25" t="e">
        <f ca="1"/>
        <v>#REF!</v>
      </c>
      <c r="U717" s="25" t="e">
        <f ca="1"/>
        <v>#REF!</v>
      </c>
      <c r="V717" s="25" t="e">
        <f ca="1"/>
        <v>#REF!</v>
      </c>
      <c r="W717" s="33" t="e">
        <f ca="1"/>
        <v>#REF!</v>
      </c>
      <c r="X717" s="33" t="e">
        <f ca="1"/>
        <v>#REF!</v>
      </c>
      <c r="Y717" s="33" t="e">
        <f ca="1"/>
        <v>#REF!</v>
      </c>
      <c r="Z717" s="33" t="e">
        <f ca="1"/>
        <v>#REF!</v>
      </c>
      <c r="AA717" s="33" t="e">
        <f ca="1"/>
        <v>#REF!</v>
      </c>
    </row>
    <row r="718" spans="1:27" s="70" customFormat="1" ht="11.25" x14ac:dyDescent="0.2">
      <c r="A718" s="24">
        <v>712</v>
      </c>
      <c r="B718" s="24"/>
      <c r="C718" s="25"/>
      <c r="D718" s="26"/>
      <c r="E718" s="25"/>
      <c r="F718" s="25"/>
      <c r="G718" s="24"/>
      <c r="H718" s="28" t="e">
        <f ca="1"/>
        <v>#REF!</v>
      </c>
      <c r="I718" s="27" t="e">
        <f ca="1"/>
        <v>#REF!</v>
      </c>
      <c r="J718" s="28" t="e">
        <f ca="1"/>
        <v>#REF!</v>
      </c>
      <c r="K718" s="27" t="e">
        <f ca="1"/>
        <v>#REF!</v>
      </c>
      <c r="L718" s="25" t="e">
        <f ca="1"/>
        <v>#REF!</v>
      </c>
      <c r="M718" s="25" t="e">
        <f ca="1"/>
        <v>#REF!</v>
      </c>
      <c r="N718" s="25" t="e">
        <f ca="1"/>
        <v>#REF!</v>
      </c>
      <c r="O718" s="25" t="e">
        <f ca="1"/>
        <v>#REF!</v>
      </c>
      <c r="P718" s="25" t="e">
        <f ca="1"/>
        <v>#REF!</v>
      </c>
      <c r="Q718" s="25" t="e">
        <f ca="1"/>
        <v>#REF!</v>
      </c>
      <c r="R718" s="25" t="e">
        <f ca="1"/>
        <v>#REF!</v>
      </c>
      <c r="S718" s="25" t="e">
        <f ca="1"/>
        <v>#REF!</v>
      </c>
      <c r="T718" s="25" t="e">
        <f ca="1"/>
        <v>#REF!</v>
      </c>
      <c r="U718" s="25" t="e">
        <f ca="1"/>
        <v>#REF!</v>
      </c>
      <c r="V718" s="25" t="e">
        <f ca="1"/>
        <v>#REF!</v>
      </c>
      <c r="W718" s="33" t="e">
        <f ca="1"/>
        <v>#REF!</v>
      </c>
      <c r="X718" s="33" t="e">
        <f ca="1"/>
        <v>#REF!</v>
      </c>
      <c r="Y718" s="33" t="e">
        <f ca="1"/>
        <v>#REF!</v>
      </c>
      <c r="Z718" s="33" t="e">
        <f ca="1"/>
        <v>#REF!</v>
      </c>
      <c r="AA718" s="33" t="e">
        <f ca="1"/>
        <v>#REF!</v>
      </c>
    </row>
    <row r="719" spans="1:27" s="70" customFormat="1" ht="93.75" customHeight="1" x14ac:dyDescent="0.2">
      <c r="A719" s="24">
        <v>713</v>
      </c>
      <c r="B719" s="24"/>
      <c r="C719" s="25"/>
      <c r="D719" s="26"/>
      <c r="E719" s="25"/>
      <c r="F719" s="25"/>
      <c r="G719" s="24"/>
      <c r="H719" s="28" t="e">
        <f ca="1"/>
        <v>#REF!</v>
      </c>
      <c r="I719" s="27" t="e">
        <f ca="1"/>
        <v>#REF!</v>
      </c>
      <c r="J719" s="28" t="e">
        <f ca="1"/>
        <v>#REF!</v>
      </c>
      <c r="K719" s="27" t="e">
        <f ca="1"/>
        <v>#REF!</v>
      </c>
      <c r="L719" s="25" t="e">
        <f ca="1"/>
        <v>#REF!</v>
      </c>
      <c r="M719" s="25" t="e">
        <f ca="1"/>
        <v>#REF!</v>
      </c>
      <c r="N719" s="25" t="e">
        <f ca="1"/>
        <v>#REF!</v>
      </c>
      <c r="O719" s="25" t="e">
        <f ca="1"/>
        <v>#REF!</v>
      </c>
      <c r="P719" s="25" t="e">
        <f ca="1"/>
        <v>#REF!</v>
      </c>
      <c r="Q719" s="25" t="e">
        <f ca="1"/>
        <v>#REF!</v>
      </c>
      <c r="R719" s="25" t="e">
        <f ca="1"/>
        <v>#REF!</v>
      </c>
      <c r="S719" s="25" t="e">
        <f ca="1"/>
        <v>#REF!</v>
      </c>
      <c r="T719" s="25" t="e">
        <f ca="1"/>
        <v>#REF!</v>
      </c>
      <c r="U719" s="25" t="e">
        <f ca="1"/>
        <v>#REF!</v>
      </c>
      <c r="V719" s="25" t="e">
        <f ca="1"/>
        <v>#REF!</v>
      </c>
      <c r="W719" s="33" t="e">
        <f ca="1"/>
        <v>#REF!</v>
      </c>
      <c r="X719" s="33" t="e">
        <f ca="1"/>
        <v>#REF!</v>
      </c>
      <c r="Y719" s="33" t="e">
        <f ca="1"/>
        <v>#REF!</v>
      </c>
      <c r="Z719" s="33" t="e">
        <f ca="1"/>
        <v>#REF!</v>
      </c>
      <c r="AA719" s="33" t="e">
        <f ca="1"/>
        <v>#REF!</v>
      </c>
    </row>
    <row r="720" spans="1:27" s="70" customFormat="1" ht="11.25" x14ac:dyDescent="0.2">
      <c r="A720" s="24">
        <v>714</v>
      </c>
      <c r="B720" s="27"/>
      <c r="C720" s="28"/>
      <c r="D720" s="71"/>
      <c r="E720" s="28"/>
      <c r="F720" s="28"/>
      <c r="G720" s="27"/>
      <c r="H720" s="28" t="e">
        <f ca="1"/>
        <v>#REF!</v>
      </c>
      <c r="I720" s="27" t="e">
        <f ca="1"/>
        <v>#REF!</v>
      </c>
      <c r="J720" s="28" t="e">
        <f ca="1"/>
        <v>#REF!</v>
      </c>
      <c r="K720" s="27" t="e">
        <f ca="1"/>
        <v>#REF!</v>
      </c>
      <c r="L720" s="25" t="e">
        <f ca="1"/>
        <v>#REF!</v>
      </c>
      <c r="M720" s="25" t="e">
        <f ca="1"/>
        <v>#REF!</v>
      </c>
      <c r="N720" s="25" t="e">
        <f ca="1"/>
        <v>#REF!</v>
      </c>
      <c r="O720" s="25" t="e">
        <f ca="1"/>
        <v>#REF!</v>
      </c>
      <c r="P720" s="25" t="e">
        <f ca="1"/>
        <v>#REF!</v>
      </c>
      <c r="Q720" s="25" t="e">
        <f ca="1"/>
        <v>#REF!</v>
      </c>
      <c r="R720" s="25" t="e">
        <f ca="1"/>
        <v>#REF!</v>
      </c>
      <c r="S720" s="25" t="e">
        <f ca="1"/>
        <v>#REF!</v>
      </c>
      <c r="T720" s="25" t="e">
        <f ca="1"/>
        <v>#REF!</v>
      </c>
      <c r="U720" s="25" t="e">
        <f ca="1"/>
        <v>#REF!</v>
      </c>
      <c r="V720" s="25" t="e">
        <f ca="1"/>
        <v>#REF!</v>
      </c>
      <c r="W720" s="33" t="e">
        <f ca="1"/>
        <v>#REF!</v>
      </c>
      <c r="X720" s="33" t="e">
        <f ca="1"/>
        <v>#REF!</v>
      </c>
      <c r="Y720" s="33" t="e">
        <f ca="1"/>
        <v>#REF!</v>
      </c>
      <c r="Z720" s="33" t="e">
        <f ca="1"/>
        <v>#REF!</v>
      </c>
      <c r="AA720" s="33" t="e">
        <f ca="1"/>
        <v>#REF!</v>
      </c>
    </row>
    <row r="721" spans="1:27" s="70" customFormat="1" ht="11.25" x14ac:dyDescent="0.2">
      <c r="A721" s="24">
        <v>715</v>
      </c>
      <c r="B721" s="27"/>
      <c r="C721" s="28"/>
      <c r="D721" s="71"/>
      <c r="E721" s="28"/>
      <c r="F721" s="28"/>
      <c r="G721" s="27"/>
      <c r="H721" s="28" t="e">
        <f ca="1"/>
        <v>#REF!</v>
      </c>
      <c r="I721" s="27" t="e">
        <f ca="1"/>
        <v>#REF!</v>
      </c>
      <c r="J721" s="28" t="e">
        <f ca="1"/>
        <v>#REF!</v>
      </c>
      <c r="K721" s="27" t="e">
        <f ca="1"/>
        <v>#REF!</v>
      </c>
      <c r="L721" s="25" t="e">
        <f ca="1"/>
        <v>#REF!</v>
      </c>
      <c r="M721" s="25" t="e">
        <f ca="1"/>
        <v>#REF!</v>
      </c>
      <c r="N721" s="25" t="e">
        <f ca="1"/>
        <v>#REF!</v>
      </c>
      <c r="O721" s="25" t="e">
        <f ca="1"/>
        <v>#REF!</v>
      </c>
      <c r="P721" s="25" t="e">
        <f ca="1"/>
        <v>#REF!</v>
      </c>
      <c r="Q721" s="25" t="e">
        <f ca="1"/>
        <v>#REF!</v>
      </c>
      <c r="R721" s="25" t="e">
        <f ca="1"/>
        <v>#REF!</v>
      </c>
      <c r="S721" s="25" t="e">
        <f ca="1"/>
        <v>#REF!</v>
      </c>
      <c r="T721" s="25" t="e">
        <f ca="1"/>
        <v>#REF!</v>
      </c>
      <c r="U721" s="25" t="e">
        <f ca="1"/>
        <v>#REF!</v>
      </c>
      <c r="V721" s="25" t="e">
        <f ca="1"/>
        <v>#REF!</v>
      </c>
      <c r="W721" s="33" t="e">
        <f ca="1"/>
        <v>#REF!</v>
      </c>
      <c r="X721" s="33" t="e">
        <f ca="1"/>
        <v>#REF!</v>
      </c>
      <c r="Y721" s="33" t="e">
        <f ca="1"/>
        <v>#REF!</v>
      </c>
      <c r="Z721" s="33" t="e">
        <f ca="1"/>
        <v>#REF!</v>
      </c>
      <c r="AA721" s="33" t="e">
        <f ca="1"/>
        <v>#REF!</v>
      </c>
    </row>
    <row r="722" spans="1:27" s="70" customFormat="1" ht="11.25" x14ac:dyDescent="0.2">
      <c r="A722" s="24">
        <v>716</v>
      </c>
      <c r="B722" s="27"/>
      <c r="C722" s="28"/>
      <c r="D722" s="71"/>
      <c r="E722" s="28"/>
      <c r="F722" s="28"/>
      <c r="G722" s="27"/>
      <c r="H722" s="28" t="e">
        <f ca="1"/>
        <v>#REF!</v>
      </c>
      <c r="I722" s="27" t="e">
        <f ca="1"/>
        <v>#REF!</v>
      </c>
      <c r="J722" s="28" t="e">
        <f ca="1"/>
        <v>#REF!</v>
      </c>
      <c r="K722" s="27" t="e">
        <f ca="1"/>
        <v>#REF!</v>
      </c>
      <c r="L722" s="25" t="e">
        <f ca="1"/>
        <v>#REF!</v>
      </c>
      <c r="M722" s="25" t="e">
        <f ca="1"/>
        <v>#REF!</v>
      </c>
      <c r="N722" s="25" t="e">
        <f ca="1"/>
        <v>#REF!</v>
      </c>
      <c r="O722" s="25" t="e">
        <f ca="1"/>
        <v>#REF!</v>
      </c>
      <c r="P722" s="25" t="e">
        <f ca="1"/>
        <v>#REF!</v>
      </c>
      <c r="Q722" s="25" t="e">
        <f ca="1"/>
        <v>#REF!</v>
      </c>
      <c r="R722" s="25" t="e">
        <f ca="1"/>
        <v>#REF!</v>
      </c>
      <c r="S722" s="25" t="e">
        <f ca="1"/>
        <v>#REF!</v>
      </c>
      <c r="T722" s="25" t="e">
        <f ca="1"/>
        <v>#REF!</v>
      </c>
      <c r="U722" s="25" t="e">
        <f ca="1"/>
        <v>#REF!</v>
      </c>
      <c r="V722" s="25" t="e">
        <f ca="1"/>
        <v>#REF!</v>
      </c>
      <c r="W722" s="33" t="e">
        <f ca="1"/>
        <v>#REF!</v>
      </c>
      <c r="X722" s="33" t="e">
        <f ca="1"/>
        <v>#REF!</v>
      </c>
      <c r="Y722" s="33" t="e">
        <f ca="1"/>
        <v>#REF!</v>
      </c>
      <c r="Z722" s="33" t="e">
        <f ca="1"/>
        <v>#REF!</v>
      </c>
      <c r="AA722" s="33" t="e">
        <f ca="1"/>
        <v>#REF!</v>
      </c>
    </row>
    <row r="723" spans="1:27" s="70" customFormat="1" ht="11.25" x14ac:dyDescent="0.2">
      <c r="A723" s="24">
        <v>717</v>
      </c>
      <c r="B723" s="27"/>
      <c r="C723" s="28"/>
      <c r="D723" s="71"/>
      <c r="E723" s="28"/>
      <c r="F723" s="28"/>
      <c r="G723" s="27"/>
      <c r="H723" s="28" t="e">
        <f ca="1"/>
        <v>#REF!</v>
      </c>
      <c r="I723" s="27" t="e">
        <f ca="1"/>
        <v>#REF!</v>
      </c>
      <c r="J723" s="28" t="e">
        <f ca="1"/>
        <v>#REF!</v>
      </c>
      <c r="K723" s="27" t="e">
        <f ca="1"/>
        <v>#REF!</v>
      </c>
      <c r="L723" s="25" t="e">
        <f ca="1"/>
        <v>#REF!</v>
      </c>
      <c r="M723" s="25" t="e">
        <f ca="1"/>
        <v>#REF!</v>
      </c>
      <c r="N723" s="25" t="e">
        <f ca="1"/>
        <v>#REF!</v>
      </c>
      <c r="O723" s="25" t="e">
        <f ca="1"/>
        <v>#REF!</v>
      </c>
      <c r="P723" s="25" t="e">
        <f ca="1"/>
        <v>#REF!</v>
      </c>
      <c r="Q723" s="25" t="e">
        <f ca="1"/>
        <v>#REF!</v>
      </c>
      <c r="R723" s="25" t="e">
        <f ca="1"/>
        <v>#REF!</v>
      </c>
      <c r="S723" s="25" t="e">
        <f ca="1"/>
        <v>#REF!</v>
      </c>
      <c r="T723" s="25" t="e">
        <f ca="1"/>
        <v>#REF!</v>
      </c>
      <c r="U723" s="25" t="e">
        <f ca="1"/>
        <v>#REF!</v>
      </c>
      <c r="V723" s="25" t="e">
        <f ca="1"/>
        <v>#REF!</v>
      </c>
      <c r="W723" s="33" t="e">
        <f ca="1"/>
        <v>#REF!</v>
      </c>
      <c r="X723" s="33" t="e">
        <f ca="1"/>
        <v>#REF!</v>
      </c>
      <c r="Y723" s="33" t="e">
        <f ca="1"/>
        <v>#REF!</v>
      </c>
      <c r="Z723" s="33" t="e">
        <f ca="1"/>
        <v>#REF!</v>
      </c>
      <c r="AA723" s="33" t="e">
        <f ca="1"/>
        <v>#REF!</v>
      </c>
    </row>
    <row r="724" spans="1:27" s="70" customFormat="1" ht="11.25" x14ac:dyDescent="0.2">
      <c r="A724" s="24">
        <v>718</v>
      </c>
      <c r="B724" s="27"/>
      <c r="C724" s="28"/>
      <c r="D724" s="71"/>
      <c r="E724" s="28"/>
      <c r="F724" s="28"/>
      <c r="G724" s="27"/>
      <c r="H724" s="28" t="e">
        <f ca="1"/>
        <v>#REF!</v>
      </c>
      <c r="I724" s="27" t="e">
        <f ca="1"/>
        <v>#REF!</v>
      </c>
      <c r="J724" s="28" t="e">
        <f ca="1"/>
        <v>#REF!</v>
      </c>
      <c r="K724" s="27" t="e">
        <f ca="1"/>
        <v>#REF!</v>
      </c>
      <c r="L724" s="25" t="e">
        <f ca="1"/>
        <v>#REF!</v>
      </c>
      <c r="M724" s="25" t="e">
        <f ca="1"/>
        <v>#REF!</v>
      </c>
      <c r="N724" s="25" t="e">
        <f ca="1"/>
        <v>#REF!</v>
      </c>
      <c r="O724" s="25" t="e">
        <f ca="1"/>
        <v>#REF!</v>
      </c>
      <c r="P724" s="25" t="e">
        <f ca="1"/>
        <v>#REF!</v>
      </c>
      <c r="Q724" s="25" t="e">
        <f ca="1"/>
        <v>#REF!</v>
      </c>
      <c r="R724" s="25" t="e">
        <f ca="1"/>
        <v>#REF!</v>
      </c>
      <c r="S724" s="25" t="e">
        <f ca="1"/>
        <v>#REF!</v>
      </c>
      <c r="T724" s="25" t="e">
        <f ca="1"/>
        <v>#REF!</v>
      </c>
      <c r="U724" s="25" t="e">
        <f ca="1"/>
        <v>#REF!</v>
      </c>
      <c r="V724" s="25" t="e">
        <f ca="1"/>
        <v>#REF!</v>
      </c>
      <c r="W724" s="33" t="e">
        <f ca="1"/>
        <v>#REF!</v>
      </c>
      <c r="X724" s="33" t="e">
        <f ca="1"/>
        <v>#REF!</v>
      </c>
      <c r="Y724" s="33" t="e">
        <f ca="1"/>
        <v>#REF!</v>
      </c>
      <c r="Z724" s="33" t="e">
        <f ca="1"/>
        <v>#REF!</v>
      </c>
      <c r="AA724" s="33" t="e">
        <f ca="1"/>
        <v>#REF!</v>
      </c>
    </row>
    <row r="725" spans="1:27" s="70" customFormat="1" ht="11.25" x14ac:dyDescent="0.2">
      <c r="A725" s="24">
        <v>719</v>
      </c>
      <c r="B725" s="27"/>
      <c r="C725" s="28"/>
      <c r="D725" s="71"/>
      <c r="E725" s="28"/>
      <c r="F725" s="28"/>
      <c r="G725" s="27"/>
      <c r="H725" s="28" t="e">
        <f ca="1"/>
        <v>#REF!</v>
      </c>
      <c r="I725" s="27" t="e">
        <f ca="1"/>
        <v>#REF!</v>
      </c>
      <c r="J725" s="28" t="e">
        <f ca="1"/>
        <v>#REF!</v>
      </c>
      <c r="K725" s="27" t="e">
        <f ca="1"/>
        <v>#REF!</v>
      </c>
      <c r="L725" s="25" t="e">
        <f ca="1"/>
        <v>#REF!</v>
      </c>
      <c r="M725" s="25" t="e">
        <f ca="1"/>
        <v>#REF!</v>
      </c>
      <c r="N725" s="25" t="e">
        <f ca="1"/>
        <v>#REF!</v>
      </c>
      <c r="O725" s="25" t="e">
        <f ca="1"/>
        <v>#REF!</v>
      </c>
      <c r="P725" s="25" t="e">
        <f ca="1"/>
        <v>#REF!</v>
      </c>
      <c r="Q725" s="25" t="e">
        <f ca="1"/>
        <v>#REF!</v>
      </c>
      <c r="R725" s="25" t="e">
        <f ca="1"/>
        <v>#REF!</v>
      </c>
      <c r="S725" s="25" t="e">
        <f ca="1"/>
        <v>#REF!</v>
      </c>
      <c r="T725" s="25" t="e">
        <f ca="1"/>
        <v>#REF!</v>
      </c>
      <c r="U725" s="25" t="e">
        <f ca="1"/>
        <v>#REF!</v>
      </c>
      <c r="V725" s="25" t="e">
        <f ca="1"/>
        <v>#REF!</v>
      </c>
      <c r="W725" s="33" t="e">
        <f ca="1"/>
        <v>#REF!</v>
      </c>
      <c r="X725" s="33" t="e">
        <f ca="1"/>
        <v>#REF!</v>
      </c>
      <c r="Y725" s="33" t="e">
        <f ca="1"/>
        <v>#REF!</v>
      </c>
      <c r="Z725" s="33" t="e">
        <f ca="1"/>
        <v>#REF!</v>
      </c>
      <c r="AA725" s="33" t="e">
        <f ca="1"/>
        <v>#REF!</v>
      </c>
    </row>
    <row r="726" spans="1:27" s="70" customFormat="1" ht="11.25" x14ac:dyDescent="0.2">
      <c r="A726" s="24">
        <v>720</v>
      </c>
      <c r="B726" s="27"/>
      <c r="C726" s="28"/>
      <c r="D726" s="71"/>
      <c r="E726" s="28"/>
      <c r="F726" s="28"/>
      <c r="G726" s="27"/>
      <c r="H726" s="28" t="e">
        <f ca="1"/>
        <v>#REF!</v>
      </c>
      <c r="I726" s="27" t="e">
        <f ca="1"/>
        <v>#REF!</v>
      </c>
      <c r="J726" s="28" t="e">
        <f ca="1"/>
        <v>#REF!</v>
      </c>
      <c r="K726" s="27" t="e">
        <f ca="1"/>
        <v>#REF!</v>
      </c>
      <c r="L726" s="25" t="e">
        <f ca="1"/>
        <v>#REF!</v>
      </c>
      <c r="M726" s="25" t="e">
        <f ca="1"/>
        <v>#REF!</v>
      </c>
      <c r="N726" s="25" t="e">
        <f ca="1"/>
        <v>#REF!</v>
      </c>
      <c r="O726" s="25" t="e">
        <f ca="1"/>
        <v>#REF!</v>
      </c>
      <c r="P726" s="25" t="e">
        <f ca="1"/>
        <v>#REF!</v>
      </c>
      <c r="Q726" s="25" t="e">
        <f ca="1"/>
        <v>#REF!</v>
      </c>
      <c r="R726" s="25" t="e">
        <f ca="1"/>
        <v>#REF!</v>
      </c>
      <c r="S726" s="25" t="e">
        <f ca="1"/>
        <v>#REF!</v>
      </c>
      <c r="T726" s="25" t="e">
        <f ca="1"/>
        <v>#REF!</v>
      </c>
      <c r="U726" s="25" t="e">
        <f ca="1"/>
        <v>#REF!</v>
      </c>
      <c r="V726" s="25" t="e">
        <f ca="1"/>
        <v>#REF!</v>
      </c>
      <c r="W726" s="33" t="e">
        <f ca="1"/>
        <v>#REF!</v>
      </c>
      <c r="X726" s="33" t="e">
        <f ca="1"/>
        <v>#REF!</v>
      </c>
      <c r="Y726" s="33" t="e">
        <f ca="1"/>
        <v>#REF!</v>
      </c>
      <c r="Z726" s="33" t="e">
        <f ca="1"/>
        <v>#REF!</v>
      </c>
      <c r="AA726" s="33" t="e">
        <f ca="1"/>
        <v>#REF!</v>
      </c>
    </row>
    <row r="727" spans="1:27" s="70" customFormat="1" ht="11.25" x14ac:dyDescent="0.2">
      <c r="A727" s="24">
        <v>721</v>
      </c>
      <c r="B727" s="27"/>
      <c r="C727" s="28"/>
      <c r="D727" s="71"/>
      <c r="E727" s="28"/>
      <c r="F727" s="28"/>
      <c r="G727" s="27"/>
      <c r="H727" s="28" t="e">
        <f ca="1"/>
        <v>#REF!</v>
      </c>
      <c r="I727" s="27" t="e">
        <f ca="1"/>
        <v>#REF!</v>
      </c>
      <c r="J727" s="28" t="e">
        <f ca="1"/>
        <v>#REF!</v>
      </c>
      <c r="K727" s="27" t="e">
        <f ca="1"/>
        <v>#REF!</v>
      </c>
      <c r="L727" s="25" t="e">
        <f ca="1"/>
        <v>#REF!</v>
      </c>
      <c r="M727" s="25" t="e">
        <f ca="1"/>
        <v>#REF!</v>
      </c>
      <c r="N727" s="25" t="e">
        <f ca="1"/>
        <v>#REF!</v>
      </c>
      <c r="O727" s="25" t="e">
        <f ca="1"/>
        <v>#REF!</v>
      </c>
      <c r="P727" s="25" t="e">
        <f ca="1"/>
        <v>#REF!</v>
      </c>
      <c r="Q727" s="25" t="e">
        <f ca="1"/>
        <v>#REF!</v>
      </c>
      <c r="R727" s="25" t="e">
        <f ca="1"/>
        <v>#REF!</v>
      </c>
      <c r="S727" s="25" t="e">
        <f ca="1"/>
        <v>#REF!</v>
      </c>
      <c r="T727" s="25" t="e">
        <f ca="1"/>
        <v>#REF!</v>
      </c>
      <c r="U727" s="25" t="e">
        <f ca="1"/>
        <v>#REF!</v>
      </c>
      <c r="V727" s="25" t="e">
        <f ca="1"/>
        <v>#REF!</v>
      </c>
      <c r="W727" s="33" t="e">
        <f ca="1"/>
        <v>#REF!</v>
      </c>
      <c r="X727" s="33" t="e">
        <f ca="1"/>
        <v>#REF!</v>
      </c>
      <c r="Y727" s="33" t="e">
        <f ca="1"/>
        <v>#REF!</v>
      </c>
      <c r="Z727" s="33" t="e">
        <f ca="1"/>
        <v>#REF!</v>
      </c>
      <c r="AA727" s="33" t="e">
        <f ca="1"/>
        <v>#REF!</v>
      </c>
    </row>
    <row r="728" spans="1:27" s="70" customFormat="1" ht="11.25" x14ac:dyDescent="0.2">
      <c r="A728" s="24">
        <v>722</v>
      </c>
      <c r="B728" s="27"/>
      <c r="C728" s="28"/>
      <c r="D728" s="71"/>
      <c r="E728" s="28"/>
      <c r="F728" s="28"/>
      <c r="G728" s="27"/>
      <c r="H728" s="28" t="e">
        <f ca="1"/>
        <v>#REF!</v>
      </c>
      <c r="I728" s="27" t="e">
        <f ca="1"/>
        <v>#REF!</v>
      </c>
      <c r="J728" s="28" t="e">
        <f ca="1"/>
        <v>#REF!</v>
      </c>
      <c r="K728" s="27" t="e">
        <f ca="1"/>
        <v>#REF!</v>
      </c>
      <c r="L728" s="25" t="e">
        <f ca="1"/>
        <v>#REF!</v>
      </c>
      <c r="M728" s="25" t="e">
        <f ca="1"/>
        <v>#REF!</v>
      </c>
      <c r="N728" s="25" t="e">
        <f ca="1"/>
        <v>#REF!</v>
      </c>
      <c r="O728" s="25" t="e">
        <f ca="1"/>
        <v>#REF!</v>
      </c>
      <c r="P728" s="25" t="e">
        <f ca="1"/>
        <v>#REF!</v>
      </c>
      <c r="Q728" s="25" t="e">
        <f ca="1"/>
        <v>#REF!</v>
      </c>
      <c r="R728" s="25" t="e">
        <f ca="1"/>
        <v>#REF!</v>
      </c>
      <c r="S728" s="25" t="e">
        <f ca="1"/>
        <v>#REF!</v>
      </c>
      <c r="T728" s="25" t="e">
        <f ca="1"/>
        <v>#REF!</v>
      </c>
      <c r="U728" s="25" t="e">
        <f ca="1"/>
        <v>#REF!</v>
      </c>
      <c r="V728" s="25" t="e">
        <f ca="1"/>
        <v>#REF!</v>
      </c>
      <c r="W728" s="33" t="e">
        <f ca="1"/>
        <v>#REF!</v>
      </c>
      <c r="X728" s="33" t="e">
        <f ca="1"/>
        <v>#REF!</v>
      </c>
      <c r="Y728" s="33" t="e">
        <f ca="1"/>
        <v>#REF!</v>
      </c>
      <c r="Z728" s="33" t="e">
        <f ca="1"/>
        <v>#REF!</v>
      </c>
      <c r="AA728" s="33" t="e">
        <f ca="1"/>
        <v>#REF!</v>
      </c>
    </row>
    <row r="729" spans="1:27" s="70" customFormat="1" ht="11.25" x14ac:dyDescent="0.2">
      <c r="A729" s="24">
        <v>723</v>
      </c>
      <c r="B729" s="27"/>
      <c r="C729" s="28"/>
      <c r="D729" s="71"/>
      <c r="E729" s="28"/>
      <c r="F729" s="28"/>
      <c r="G729" s="27"/>
      <c r="H729" s="28" t="e">
        <f ca="1"/>
        <v>#REF!</v>
      </c>
      <c r="I729" s="27" t="e">
        <f ca="1"/>
        <v>#REF!</v>
      </c>
      <c r="J729" s="28" t="e">
        <f ca="1"/>
        <v>#REF!</v>
      </c>
      <c r="K729" s="27" t="e">
        <f ca="1"/>
        <v>#REF!</v>
      </c>
      <c r="L729" s="25" t="e">
        <f ca="1"/>
        <v>#REF!</v>
      </c>
      <c r="M729" s="25" t="e">
        <f ca="1"/>
        <v>#REF!</v>
      </c>
      <c r="N729" s="25" t="e">
        <f ca="1"/>
        <v>#REF!</v>
      </c>
      <c r="O729" s="25" t="e">
        <f ca="1"/>
        <v>#REF!</v>
      </c>
      <c r="P729" s="25" t="e">
        <f ca="1"/>
        <v>#REF!</v>
      </c>
      <c r="Q729" s="25" t="e">
        <f ca="1"/>
        <v>#REF!</v>
      </c>
      <c r="R729" s="25" t="e">
        <f ca="1"/>
        <v>#REF!</v>
      </c>
      <c r="S729" s="25" t="e">
        <f ca="1"/>
        <v>#REF!</v>
      </c>
      <c r="T729" s="25" t="e">
        <f ca="1"/>
        <v>#REF!</v>
      </c>
      <c r="U729" s="25" t="e">
        <f ca="1"/>
        <v>#REF!</v>
      </c>
      <c r="V729" s="25" t="e">
        <f ca="1"/>
        <v>#REF!</v>
      </c>
      <c r="W729" s="33" t="e">
        <f ca="1"/>
        <v>#REF!</v>
      </c>
      <c r="X729" s="33" t="e">
        <f ca="1"/>
        <v>#REF!</v>
      </c>
      <c r="Y729" s="33" t="e">
        <f ca="1"/>
        <v>#REF!</v>
      </c>
      <c r="Z729" s="33" t="e">
        <f ca="1"/>
        <v>#REF!</v>
      </c>
      <c r="AA729" s="33" t="e">
        <f ca="1"/>
        <v>#REF!</v>
      </c>
    </row>
    <row r="730" spans="1:27" s="70" customFormat="1" ht="11.25" x14ac:dyDescent="0.2">
      <c r="A730" s="24">
        <v>724</v>
      </c>
      <c r="B730" s="27"/>
      <c r="C730" s="28"/>
      <c r="D730" s="71"/>
      <c r="E730" s="28"/>
      <c r="F730" s="28"/>
      <c r="G730" s="27"/>
      <c r="H730" s="28" t="e">
        <f ca="1"/>
        <v>#REF!</v>
      </c>
      <c r="I730" s="27" t="e">
        <f ca="1"/>
        <v>#REF!</v>
      </c>
      <c r="J730" s="28" t="e">
        <f ca="1"/>
        <v>#REF!</v>
      </c>
      <c r="K730" s="27" t="e">
        <f ca="1"/>
        <v>#REF!</v>
      </c>
      <c r="L730" s="25" t="e">
        <f ca="1"/>
        <v>#REF!</v>
      </c>
      <c r="M730" s="25" t="e">
        <f ca="1"/>
        <v>#REF!</v>
      </c>
      <c r="N730" s="25" t="e">
        <f ca="1"/>
        <v>#REF!</v>
      </c>
      <c r="O730" s="25" t="e">
        <f ca="1"/>
        <v>#REF!</v>
      </c>
      <c r="P730" s="25" t="e">
        <f ca="1"/>
        <v>#REF!</v>
      </c>
      <c r="Q730" s="25" t="e">
        <f ca="1"/>
        <v>#REF!</v>
      </c>
      <c r="R730" s="25" t="e">
        <f ca="1"/>
        <v>#REF!</v>
      </c>
      <c r="S730" s="25" t="e">
        <f ca="1"/>
        <v>#REF!</v>
      </c>
      <c r="T730" s="25" t="e">
        <f ca="1"/>
        <v>#REF!</v>
      </c>
      <c r="U730" s="25" t="e">
        <f ca="1"/>
        <v>#REF!</v>
      </c>
      <c r="V730" s="25" t="e">
        <f ca="1"/>
        <v>#REF!</v>
      </c>
      <c r="W730" s="33" t="e">
        <f ca="1"/>
        <v>#REF!</v>
      </c>
      <c r="X730" s="33" t="e">
        <f ca="1"/>
        <v>#REF!</v>
      </c>
      <c r="Y730" s="33" t="e">
        <f ca="1"/>
        <v>#REF!</v>
      </c>
      <c r="Z730" s="33" t="e">
        <f ca="1"/>
        <v>#REF!</v>
      </c>
      <c r="AA730" s="33" t="e">
        <f ca="1"/>
        <v>#REF!</v>
      </c>
    </row>
    <row r="731" spans="1:27" s="70" customFormat="1" ht="11.25" x14ac:dyDescent="0.2">
      <c r="A731" s="24">
        <v>725</v>
      </c>
      <c r="B731" s="27"/>
      <c r="C731" s="28"/>
      <c r="D731" s="71"/>
      <c r="E731" s="28"/>
      <c r="F731" s="28"/>
      <c r="G731" s="27"/>
      <c r="H731" s="28" t="e">
        <f ca="1"/>
        <v>#REF!</v>
      </c>
      <c r="I731" s="27" t="e">
        <f ca="1"/>
        <v>#REF!</v>
      </c>
      <c r="J731" s="28" t="e">
        <f ca="1"/>
        <v>#REF!</v>
      </c>
      <c r="K731" s="27" t="e">
        <f ca="1"/>
        <v>#REF!</v>
      </c>
      <c r="L731" s="25" t="e">
        <f ca="1"/>
        <v>#REF!</v>
      </c>
      <c r="M731" s="25" t="e">
        <f ca="1"/>
        <v>#REF!</v>
      </c>
      <c r="N731" s="25" t="e">
        <f ca="1"/>
        <v>#REF!</v>
      </c>
      <c r="O731" s="25" t="e">
        <f ca="1"/>
        <v>#REF!</v>
      </c>
      <c r="P731" s="25" t="e">
        <f ca="1"/>
        <v>#REF!</v>
      </c>
      <c r="Q731" s="25" t="e">
        <f ca="1"/>
        <v>#REF!</v>
      </c>
      <c r="R731" s="25" t="e">
        <f ca="1"/>
        <v>#REF!</v>
      </c>
      <c r="S731" s="25" t="e">
        <f ca="1"/>
        <v>#REF!</v>
      </c>
      <c r="T731" s="25" t="e">
        <f ca="1"/>
        <v>#REF!</v>
      </c>
      <c r="U731" s="25" t="e">
        <f ca="1"/>
        <v>#REF!</v>
      </c>
      <c r="V731" s="25" t="e">
        <f ca="1"/>
        <v>#REF!</v>
      </c>
      <c r="W731" s="33" t="e">
        <f ca="1"/>
        <v>#REF!</v>
      </c>
      <c r="X731" s="33" t="e">
        <f ca="1"/>
        <v>#REF!</v>
      </c>
      <c r="Y731" s="33" t="e">
        <f ca="1"/>
        <v>#REF!</v>
      </c>
      <c r="Z731" s="33" t="e">
        <f ca="1"/>
        <v>#REF!</v>
      </c>
      <c r="AA731" s="33" t="e">
        <f ca="1"/>
        <v>#REF!</v>
      </c>
    </row>
    <row r="732" spans="1:27" s="70" customFormat="1" ht="11.25" x14ac:dyDescent="0.2">
      <c r="A732" s="24">
        <v>726</v>
      </c>
      <c r="B732" s="27"/>
      <c r="C732" s="28"/>
      <c r="D732" s="71"/>
      <c r="E732" s="28"/>
      <c r="F732" s="28"/>
      <c r="G732" s="27"/>
      <c r="H732" s="28" t="e">
        <f ca="1"/>
        <v>#REF!</v>
      </c>
      <c r="I732" s="27" t="e">
        <f ca="1"/>
        <v>#REF!</v>
      </c>
      <c r="J732" s="28" t="e">
        <f ca="1"/>
        <v>#REF!</v>
      </c>
      <c r="K732" s="27" t="e">
        <f ca="1"/>
        <v>#REF!</v>
      </c>
      <c r="L732" s="25" t="e">
        <f ca="1"/>
        <v>#REF!</v>
      </c>
      <c r="M732" s="25" t="e">
        <f ca="1"/>
        <v>#REF!</v>
      </c>
      <c r="N732" s="25" t="e">
        <f ca="1"/>
        <v>#REF!</v>
      </c>
      <c r="O732" s="25" t="e">
        <f ca="1"/>
        <v>#REF!</v>
      </c>
      <c r="P732" s="25" t="e">
        <f ca="1"/>
        <v>#REF!</v>
      </c>
      <c r="Q732" s="25" t="e">
        <f ca="1"/>
        <v>#REF!</v>
      </c>
      <c r="R732" s="25" t="e">
        <f ca="1"/>
        <v>#REF!</v>
      </c>
      <c r="S732" s="25" t="e">
        <f ca="1"/>
        <v>#REF!</v>
      </c>
      <c r="T732" s="25" t="e">
        <f ca="1"/>
        <v>#REF!</v>
      </c>
      <c r="U732" s="25" t="e">
        <f ca="1"/>
        <v>#REF!</v>
      </c>
      <c r="V732" s="25" t="e">
        <f ca="1"/>
        <v>#REF!</v>
      </c>
      <c r="W732" s="33" t="e">
        <f ca="1"/>
        <v>#REF!</v>
      </c>
      <c r="X732" s="33" t="e">
        <f ca="1"/>
        <v>#REF!</v>
      </c>
      <c r="Y732" s="33" t="e">
        <f ca="1"/>
        <v>#REF!</v>
      </c>
      <c r="Z732" s="33" t="e">
        <f ca="1"/>
        <v>#REF!</v>
      </c>
      <c r="AA732" s="33" t="e">
        <f ca="1"/>
        <v>#REF!</v>
      </c>
    </row>
    <row r="733" spans="1:27" s="70" customFormat="1" ht="11.25" x14ac:dyDescent="0.2">
      <c r="A733" s="24">
        <v>727</v>
      </c>
      <c r="B733" s="27"/>
      <c r="C733" s="28"/>
      <c r="D733" s="71"/>
      <c r="E733" s="28"/>
      <c r="F733" s="28"/>
      <c r="G733" s="27"/>
      <c r="H733" s="28" t="e">
        <f ca="1"/>
        <v>#REF!</v>
      </c>
      <c r="I733" s="27" t="e">
        <f ca="1"/>
        <v>#REF!</v>
      </c>
      <c r="J733" s="28" t="e">
        <f ca="1"/>
        <v>#REF!</v>
      </c>
      <c r="K733" s="27" t="e">
        <f ca="1"/>
        <v>#REF!</v>
      </c>
      <c r="L733" s="25" t="e">
        <f ca="1"/>
        <v>#REF!</v>
      </c>
      <c r="M733" s="25" t="e">
        <f ca="1"/>
        <v>#REF!</v>
      </c>
      <c r="N733" s="25" t="e">
        <f ca="1"/>
        <v>#REF!</v>
      </c>
      <c r="O733" s="25" t="e">
        <f ca="1"/>
        <v>#REF!</v>
      </c>
      <c r="P733" s="25" t="e">
        <f ca="1"/>
        <v>#REF!</v>
      </c>
      <c r="Q733" s="25" t="e">
        <f ca="1"/>
        <v>#REF!</v>
      </c>
      <c r="R733" s="25" t="e">
        <f ca="1"/>
        <v>#REF!</v>
      </c>
      <c r="S733" s="25" t="e">
        <f ca="1"/>
        <v>#REF!</v>
      </c>
      <c r="T733" s="25" t="e">
        <f ca="1"/>
        <v>#REF!</v>
      </c>
      <c r="U733" s="25" t="e">
        <f ca="1"/>
        <v>#REF!</v>
      </c>
      <c r="V733" s="25" t="e">
        <f ca="1"/>
        <v>#REF!</v>
      </c>
      <c r="W733" s="33" t="e">
        <f ca="1"/>
        <v>#REF!</v>
      </c>
      <c r="X733" s="33" t="e">
        <f ca="1"/>
        <v>#REF!</v>
      </c>
      <c r="Y733" s="33" t="e">
        <f ca="1"/>
        <v>#REF!</v>
      </c>
      <c r="Z733" s="33" t="e">
        <f ca="1"/>
        <v>#REF!</v>
      </c>
      <c r="AA733" s="33" t="e">
        <f ca="1"/>
        <v>#REF!</v>
      </c>
    </row>
    <row r="734" spans="1:27" s="70" customFormat="1" ht="11.25" x14ac:dyDescent="0.2">
      <c r="A734" s="24">
        <v>728</v>
      </c>
      <c r="B734" s="27"/>
      <c r="C734" s="28"/>
      <c r="D734" s="71"/>
      <c r="E734" s="28"/>
      <c r="F734" s="28"/>
      <c r="G734" s="27"/>
      <c r="H734" s="28" t="e">
        <f ca="1"/>
        <v>#REF!</v>
      </c>
      <c r="I734" s="27" t="e">
        <f ca="1"/>
        <v>#REF!</v>
      </c>
      <c r="J734" s="28" t="e">
        <f ca="1"/>
        <v>#REF!</v>
      </c>
      <c r="K734" s="27" t="e">
        <f ca="1"/>
        <v>#REF!</v>
      </c>
      <c r="L734" s="25" t="e">
        <f ca="1"/>
        <v>#REF!</v>
      </c>
      <c r="M734" s="25" t="e">
        <f ca="1"/>
        <v>#REF!</v>
      </c>
      <c r="N734" s="25" t="e">
        <f ca="1"/>
        <v>#REF!</v>
      </c>
      <c r="O734" s="25" t="e">
        <f ca="1"/>
        <v>#REF!</v>
      </c>
      <c r="P734" s="25" t="e">
        <f ca="1"/>
        <v>#REF!</v>
      </c>
      <c r="Q734" s="25" t="e">
        <f ca="1"/>
        <v>#REF!</v>
      </c>
      <c r="R734" s="25" t="e">
        <f ca="1"/>
        <v>#REF!</v>
      </c>
      <c r="S734" s="25" t="e">
        <f ca="1"/>
        <v>#REF!</v>
      </c>
      <c r="T734" s="25" t="e">
        <f ca="1"/>
        <v>#REF!</v>
      </c>
      <c r="U734" s="25" t="e">
        <f ca="1"/>
        <v>#REF!</v>
      </c>
      <c r="V734" s="25" t="e">
        <f ca="1"/>
        <v>#REF!</v>
      </c>
      <c r="W734" s="33" t="e">
        <f ca="1"/>
        <v>#REF!</v>
      </c>
      <c r="X734" s="33" t="e">
        <f ca="1"/>
        <v>#REF!</v>
      </c>
      <c r="Y734" s="33" t="e">
        <f ca="1"/>
        <v>#REF!</v>
      </c>
      <c r="Z734" s="33" t="e">
        <f ca="1"/>
        <v>#REF!</v>
      </c>
      <c r="AA734" s="33" t="e">
        <f ca="1"/>
        <v>#REF!</v>
      </c>
    </row>
    <row r="735" spans="1:27" s="70" customFormat="1" ht="11.25" x14ac:dyDescent="0.2">
      <c r="A735" s="24">
        <v>729</v>
      </c>
      <c r="B735" s="27"/>
      <c r="C735" s="28"/>
      <c r="D735" s="71"/>
      <c r="E735" s="28"/>
      <c r="F735" s="28"/>
      <c r="G735" s="27"/>
      <c r="H735" s="28" t="e">
        <f ca="1"/>
        <v>#REF!</v>
      </c>
      <c r="I735" s="27" t="e">
        <f ca="1"/>
        <v>#REF!</v>
      </c>
      <c r="J735" s="28" t="e">
        <f ca="1"/>
        <v>#REF!</v>
      </c>
      <c r="K735" s="27" t="e">
        <f ca="1"/>
        <v>#REF!</v>
      </c>
      <c r="L735" s="25" t="e">
        <f ca="1"/>
        <v>#REF!</v>
      </c>
      <c r="M735" s="25" t="e">
        <f ca="1"/>
        <v>#REF!</v>
      </c>
      <c r="N735" s="25" t="e">
        <f ca="1"/>
        <v>#REF!</v>
      </c>
      <c r="O735" s="25" t="e">
        <f ca="1"/>
        <v>#REF!</v>
      </c>
      <c r="P735" s="25" t="e">
        <f ca="1"/>
        <v>#REF!</v>
      </c>
      <c r="Q735" s="25" t="e">
        <f ca="1"/>
        <v>#REF!</v>
      </c>
      <c r="R735" s="25" t="e">
        <f ca="1"/>
        <v>#REF!</v>
      </c>
      <c r="S735" s="25" t="e">
        <f ca="1"/>
        <v>#REF!</v>
      </c>
      <c r="T735" s="25" t="e">
        <f ca="1"/>
        <v>#REF!</v>
      </c>
      <c r="U735" s="25" t="e">
        <f ca="1"/>
        <v>#REF!</v>
      </c>
      <c r="V735" s="25" t="e">
        <f ca="1"/>
        <v>#REF!</v>
      </c>
      <c r="W735" s="33" t="e">
        <f ca="1"/>
        <v>#REF!</v>
      </c>
      <c r="X735" s="33" t="e">
        <f ca="1"/>
        <v>#REF!</v>
      </c>
      <c r="Y735" s="33" t="e">
        <f ca="1"/>
        <v>#REF!</v>
      </c>
      <c r="Z735" s="33" t="e">
        <f ca="1"/>
        <v>#REF!</v>
      </c>
      <c r="AA735" s="33" t="e">
        <f ca="1"/>
        <v>#REF!</v>
      </c>
    </row>
    <row r="736" spans="1:27" s="70" customFormat="1" ht="11.25" x14ac:dyDescent="0.2">
      <c r="A736" s="24">
        <v>730</v>
      </c>
      <c r="B736" s="27"/>
      <c r="C736" s="28"/>
      <c r="D736" s="71"/>
      <c r="E736" s="28"/>
      <c r="F736" s="28"/>
      <c r="G736" s="27"/>
      <c r="H736" s="28" t="e">
        <f ca="1"/>
        <v>#REF!</v>
      </c>
      <c r="I736" s="27" t="e">
        <f ca="1"/>
        <v>#REF!</v>
      </c>
      <c r="J736" s="28" t="e">
        <f ca="1"/>
        <v>#REF!</v>
      </c>
      <c r="K736" s="27" t="e">
        <f ca="1"/>
        <v>#REF!</v>
      </c>
      <c r="L736" s="25" t="e">
        <f ca="1"/>
        <v>#REF!</v>
      </c>
      <c r="M736" s="25" t="e">
        <f ca="1"/>
        <v>#REF!</v>
      </c>
      <c r="N736" s="25" t="e">
        <f ca="1"/>
        <v>#REF!</v>
      </c>
      <c r="O736" s="25" t="e">
        <f ca="1"/>
        <v>#REF!</v>
      </c>
      <c r="P736" s="25" t="e">
        <f ca="1"/>
        <v>#REF!</v>
      </c>
      <c r="Q736" s="25" t="e">
        <f ca="1"/>
        <v>#REF!</v>
      </c>
      <c r="R736" s="25" t="e">
        <f ca="1"/>
        <v>#REF!</v>
      </c>
      <c r="S736" s="25" t="e">
        <f ca="1"/>
        <v>#REF!</v>
      </c>
      <c r="T736" s="25" t="e">
        <f ca="1"/>
        <v>#REF!</v>
      </c>
      <c r="U736" s="25" t="e">
        <f ca="1"/>
        <v>#REF!</v>
      </c>
      <c r="V736" s="25" t="e">
        <f ca="1"/>
        <v>#REF!</v>
      </c>
      <c r="W736" s="33" t="e">
        <f ca="1"/>
        <v>#REF!</v>
      </c>
      <c r="X736" s="33" t="e">
        <f ca="1"/>
        <v>#REF!</v>
      </c>
      <c r="Y736" s="33" t="e">
        <f ca="1"/>
        <v>#REF!</v>
      </c>
      <c r="Z736" s="33" t="e">
        <f ca="1"/>
        <v>#REF!</v>
      </c>
      <c r="AA736" s="33" t="e">
        <f ca="1"/>
        <v>#REF!</v>
      </c>
    </row>
    <row r="737" spans="1:27" s="70" customFormat="1" ht="11.25" x14ac:dyDescent="0.2">
      <c r="A737" s="24">
        <v>731</v>
      </c>
      <c r="B737" s="27"/>
      <c r="C737" s="28"/>
      <c r="D737" s="71"/>
      <c r="E737" s="28"/>
      <c r="F737" s="28"/>
      <c r="G737" s="27"/>
      <c r="H737" s="28" t="e">
        <f ca="1"/>
        <v>#REF!</v>
      </c>
      <c r="I737" s="27" t="e">
        <f ca="1"/>
        <v>#REF!</v>
      </c>
      <c r="J737" s="28" t="e">
        <f ca="1"/>
        <v>#REF!</v>
      </c>
      <c r="K737" s="27" t="e">
        <f ca="1"/>
        <v>#REF!</v>
      </c>
      <c r="L737" s="25" t="e">
        <f ca="1"/>
        <v>#REF!</v>
      </c>
      <c r="M737" s="25" t="e">
        <f ca="1"/>
        <v>#REF!</v>
      </c>
      <c r="N737" s="25" t="e">
        <f ca="1"/>
        <v>#REF!</v>
      </c>
      <c r="O737" s="25" t="e">
        <f ca="1"/>
        <v>#REF!</v>
      </c>
      <c r="P737" s="25" t="e">
        <f ca="1"/>
        <v>#REF!</v>
      </c>
      <c r="Q737" s="25" t="e">
        <f ca="1"/>
        <v>#REF!</v>
      </c>
      <c r="R737" s="25" t="e">
        <f ca="1"/>
        <v>#REF!</v>
      </c>
      <c r="S737" s="25" t="e">
        <f ca="1"/>
        <v>#REF!</v>
      </c>
      <c r="T737" s="25" t="e">
        <f ca="1"/>
        <v>#REF!</v>
      </c>
      <c r="U737" s="25" t="e">
        <f ca="1"/>
        <v>#REF!</v>
      </c>
      <c r="V737" s="25" t="e">
        <f ca="1"/>
        <v>#REF!</v>
      </c>
      <c r="W737" s="33" t="e">
        <f ca="1"/>
        <v>#REF!</v>
      </c>
      <c r="X737" s="33" t="e">
        <f ca="1"/>
        <v>#REF!</v>
      </c>
      <c r="Y737" s="33" t="e">
        <f ca="1"/>
        <v>#REF!</v>
      </c>
      <c r="Z737" s="33" t="e">
        <f ca="1"/>
        <v>#REF!</v>
      </c>
      <c r="AA737" s="33" t="e">
        <f ca="1"/>
        <v>#REF!</v>
      </c>
    </row>
    <row r="738" spans="1:27" s="70" customFormat="1" ht="11.25" x14ac:dyDescent="0.2">
      <c r="A738" s="24">
        <v>732</v>
      </c>
      <c r="B738" s="27"/>
      <c r="C738" s="28"/>
      <c r="D738" s="71"/>
      <c r="E738" s="28"/>
      <c r="F738" s="28"/>
      <c r="G738" s="27"/>
      <c r="H738" s="28" t="e">
        <f ca="1"/>
        <v>#REF!</v>
      </c>
      <c r="I738" s="27" t="e">
        <f ca="1"/>
        <v>#REF!</v>
      </c>
      <c r="J738" s="28" t="e">
        <f ca="1"/>
        <v>#REF!</v>
      </c>
      <c r="K738" s="27" t="e">
        <f ca="1"/>
        <v>#REF!</v>
      </c>
      <c r="L738" s="25" t="e">
        <f ca="1"/>
        <v>#REF!</v>
      </c>
      <c r="M738" s="25" t="e">
        <f ca="1"/>
        <v>#REF!</v>
      </c>
      <c r="N738" s="25" t="e">
        <f ca="1"/>
        <v>#REF!</v>
      </c>
      <c r="O738" s="25" t="e">
        <f ca="1"/>
        <v>#REF!</v>
      </c>
      <c r="P738" s="25" t="e">
        <f ca="1"/>
        <v>#REF!</v>
      </c>
      <c r="Q738" s="25" t="e">
        <f ca="1"/>
        <v>#REF!</v>
      </c>
      <c r="R738" s="25" t="e">
        <f ca="1"/>
        <v>#REF!</v>
      </c>
      <c r="S738" s="25" t="e">
        <f ca="1"/>
        <v>#REF!</v>
      </c>
      <c r="T738" s="25" t="e">
        <f ca="1"/>
        <v>#REF!</v>
      </c>
      <c r="U738" s="25" t="e">
        <f ca="1"/>
        <v>#REF!</v>
      </c>
      <c r="V738" s="25" t="e">
        <f ca="1"/>
        <v>#REF!</v>
      </c>
      <c r="W738" s="33" t="e">
        <f ca="1"/>
        <v>#REF!</v>
      </c>
      <c r="X738" s="33" t="e">
        <f ca="1"/>
        <v>#REF!</v>
      </c>
      <c r="Y738" s="33" t="e">
        <f ca="1"/>
        <v>#REF!</v>
      </c>
      <c r="Z738" s="33" t="e">
        <f ca="1"/>
        <v>#REF!</v>
      </c>
      <c r="AA738" s="33" t="e">
        <f ca="1"/>
        <v>#REF!</v>
      </c>
    </row>
    <row r="739" spans="1:27" s="70" customFormat="1" ht="11.25" x14ac:dyDescent="0.2">
      <c r="A739" s="24">
        <v>733</v>
      </c>
      <c r="B739" s="27"/>
      <c r="C739" s="28"/>
      <c r="D739" s="71"/>
      <c r="E739" s="28"/>
      <c r="F739" s="28"/>
      <c r="G739" s="27"/>
      <c r="H739" s="28" t="e">
        <f ca="1"/>
        <v>#REF!</v>
      </c>
      <c r="I739" s="27" t="e">
        <f ca="1"/>
        <v>#REF!</v>
      </c>
      <c r="J739" s="28" t="e">
        <f ca="1"/>
        <v>#REF!</v>
      </c>
      <c r="K739" s="27" t="e">
        <f ca="1"/>
        <v>#REF!</v>
      </c>
      <c r="L739" s="25" t="e">
        <f ca="1"/>
        <v>#REF!</v>
      </c>
      <c r="M739" s="25" t="e">
        <f ca="1"/>
        <v>#REF!</v>
      </c>
      <c r="N739" s="25" t="e">
        <f ca="1"/>
        <v>#REF!</v>
      </c>
      <c r="O739" s="25" t="e">
        <f ca="1"/>
        <v>#REF!</v>
      </c>
      <c r="P739" s="25" t="e">
        <f ca="1"/>
        <v>#REF!</v>
      </c>
      <c r="Q739" s="25" t="e">
        <f ca="1"/>
        <v>#REF!</v>
      </c>
      <c r="R739" s="25" t="e">
        <f ca="1"/>
        <v>#REF!</v>
      </c>
      <c r="S739" s="25" t="e">
        <f ca="1"/>
        <v>#REF!</v>
      </c>
      <c r="T739" s="25" t="e">
        <f ca="1"/>
        <v>#REF!</v>
      </c>
      <c r="U739" s="25" t="e">
        <f ca="1"/>
        <v>#REF!</v>
      </c>
      <c r="V739" s="25" t="e">
        <f ca="1"/>
        <v>#REF!</v>
      </c>
      <c r="W739" s="33" t="e">
        <f ca="1"/>
        <v>#REF!</v>
      </c>
      <c r="X739" s="33" t="e">
        <f ca="1"/>
        <v>#REF!</v>
      </c>
      <c r="Y739" s="33" t="e">
        <f ca="1"/>
        <v>#REF!</v>
      </c>
      <c r="Z739" s="33" t="e">
        <f ca="1"/>
        <v>#REF!</v>
      </c>
      <c r="AA739" s="33" t="e">
        <f ca="1"/>
        <v>#REF!</v>
      </c>
    </row>
    <row r="740" spans="1:27" s="70" customFormat="1" ht="11.25" x14ac:dyDescent="0.2">
      <c r="A740" s="24">
        <v>734</v>
      </c>
      <c r="B740" s="27"/>
      <c r="C740" s="28"/>
      <c r="D740" s="71"/>
      <c r="E740" s="28"/>
      <c r="F740" s="28"/>
      <c r="G740" s="27"/>
      <c r="H740" s="28" t="e">
        <f ca="1"/>
        <v>#REF!</v>
      </c>
      <c r="I740" s="27" t="e">
        <f ca="1"/>
        <v>#REF!</v>
      </c>
      <c r="J740" s="28" t="e">
        <f ca="1"/>
        <v>#REF!</v>
      </c>
      <c r="K740" s="27" t="e">
        <f ca="1"/>
        <v>#REF!</v>
      </c>
      <c r="L740" s="25" t="e">
        <f ca="1"/>
        <v>#REF!</v>
      </c>
      <c r="M740" s="25" t="e">
        <f ca="1"/>
        <v>#REF!</v>
      </c>
      <c r="N740" s="25" t="e">
        <f ca="1"/>
        <v>#REF!</v>
      </c>
      <c r="O740" s="25" t="e">
        <f ca="1"/>
        <v>#REF!</v>
      </c>
      <c r="P740" s="25" t="e">
        <f ca="1"/>
        <v>#REF!</v>
      </c>
      <c r="Q740" s="25" t="e">
        <f ca="1"/>
        <v>#REF!</v>
      </c>
      <c r="R740" s="25" t="e">
        <f ca="1"/>
        <v>#REF!</v>
      </c>
      <c r="S740" s="25" t="e">
        <f ca="1"/>
        <v>#REF!</v>
      </c>
      <c r="T740" s="25" t="e">
        <f ca="1"/>
        <v>#REF!</v>
      </c>
      <c r="U740" s="25" t="e">
        <f ca="1"/>
        <v>#REF!</v>
      </c>
      <c r="V740" s="25" t="e">
        <f ca="1"/>
        <v>#REF!</v>
      </c>
      <c r="W740" s="33" t="e">
        <f ca="1"/>
        <v>#REF!</v>
      </c>
      <c r="X740" s="33" t="e">
        <f ca="1"/>
        <v>#REF!</v>
      </c>
      <c r="Y740" s="33" t="e">
        <f ca="1"/>
        <v>#REF!</v>
      </c>
      <c r="Z740" s="33" t="e">
        <f ca="1"/>
        <v>#REF!</v>
      </c>
      <c r="AA740" s="33" t="e">
        <f ca="1"/>
        <v>#REF!</v>
      </c>
    </row>
    <row r="741" spans="1:27" s="70" customFormat="1" ht="11.25" x14ac:dyDescent="0.2">
      <c r="A741" s="24">
        <v>735</v>
      </c>
      <c r="B741" s="27"/>
      <c r="C741" s="28"/>
      <c r="D741" s="71"/>
      <c r="E741" s="28"/>
      <c r="F741" s="28"/>
      <c r="G741" s="27"/>
      <c r="H741" s="28" t="e">
        <f ca="1"/>
        <v>#REF!</v>
      </c>
      <c r="I741" s="27" t="e">
        <f ca="1"/>
        <v>#REF!</v>
      </c>
      <c r="J741" s="28" t="e">
        <f ca="1"/>
        <v>#REF!</v>
      </c>
      <c r="K741" s="27" t="e">
        <f ca="1"/>
        <v>#REF!</v>
      </c>
      <c r="L741" s="25" t="e">
        <f ca="1"/>
        <v>#REF!</v>
      </c>
      <c r="M741" s="25" t="e">
        <f ca="1"/>
        <v>#REF!</v>
      </c>
      <c r="N741" s="25" t="e">
        <f ca="1"/>
        <v>#REF!</v>
      </c>
      <c r="O741" s="25" t="e">
        <f ca="1"/>
        <v>#REF!</v>
      </c>
      <c r="P741" s="25" t="e">
        <f ca="1"/>
        <v>#REF!</v>
      </c>
      <c r="Q741" s="25" t="e">
        <f ca="1"/>
        <v>#REF!</v>
      </c>
      <c r="R741" s="25" t="e">
        <f ca="1"/>
        <v>#REF!</v>
      </c>
      <c r="S741" s="25" t="e">
        <f ca="1"/>
        <v>#REF!</v>
      </c>
      <c r="T741" s="25" t="e">
        <f ca="1"/>
        <v>#REF!</v>
      </c>
      <c r="U741" s="25" t="e">
        <f ca="1"/>
        <v>#REF!</v>
      </c>
      <c r="V741" s="25" t="e">
        <f ca="1"/>
        <v>#REF!</v>
      </c>
      <c r="W741" s="33" t="e">
        <f ca="1"/>
        <v>#REF!</v>
      </c>
      <c r="X741" s="33" t="e">
        <f ca="1"/>
        <v>#REF!</v>
      </c>
      <c r="Y741" s="33" t="e">
        <f ca="1"/>
        <v>#REF!</v>
      </c>
      <c r="Z741" s="33" t="e">
        <f ca="1"/>
        <v>#REF!</v>
      </c>
      <c r="AA741" s="33" t="e">
        <f ca="1"/>
        <v>#REF!</v>
      </c>
    </row>
    <row r="742" spans="1:27" s="70" customFormat="1" ht="11.25" x14ac:dyDescent="0.2">
      <c r="A742" s="24">
        <v>736</v>
      </c>
      <c r="B742" s="27"/>
      <c r="C742" s="28"/>
      <c r="D742" s="71"/>
      <c r="E742" s="28"/>
      <c r="F742" s="28"/>
      <c r="G742" s="27"/>
      <c r="H742" s="28" t="e">
        <f ca="1"/>
        <v>#REF!</v>
      </c>
      <c r="I742" s="27" t="e">
        <f ca="1"/>
        <v>#REF!</v>
      </c>
      <c r="J742" s="28" t="e">
        <f ca="1"/>
        <v>#REF!</v>
      </c>
      <c r="K742" s="27" t="e">
        <f ca="1"/>
        <v>#REF!</v>
      </c>
      <c r="L742" s="25" t="e">
        <f ca="1"/>
        <v>#REF!</v>
      </c>
      <c r="M742" s="25" t="e">
        <f ca="1"/>
        <v>#REF!</v>
      </c>
      <c r="N742" s="25" t="e">
        <f ca="1"/>
        <v>#REF!</v>
      </c>
      <c r="O742" s="25" t="e">
        <f ca="1"/>
        <v>#REF!</v>
      </c>
      <c r="P742" s="25" t="e">
        <f ca="1"/>
        <v>#REF!</v>
      </c>
      <c r="Q742" s="25" t="e">
        <f ca="1"/>
        <v>#REF!</v>
      </c>
      <c r="R742" s="25" t="e">
        <f ca="1"/>
        <v>#REF!</v>
      </c>
      <c r="S742" s="25" t="e">
        <f ca="1"/>
        <v>#REF!</v>
      </c>
      <c r="T742" s="25" t="e">
        <f ca="1"/>
        <v>#REF!</v>
      </c>
      <c r="U742" s="25" t="e">
        <f ca="1"/>
        <v>#REF!</v>
      </c>
      <c r="V742" s="25" t="e">
        <f ca="1"/>
        <v>#REF!</v>
      </c>
      <c r="W742" s="33" t="e">
        <f ca="1"/>
        <v>#REF!</v>
      </c>
      <c r="X742" s="33" t="e">
        <f ca="1"/>
        <v>#REF!</v>
      </c>
      <c r="Y742" s="33" t="e">
        <f ca="1"/>
        <v>#REF!</v>
      </c>
      <c r="Z742" s="33" t="e">
        <f ca="1"/>
        <v>#REF!</v>
      </c>
      <c r="AA742" s="33" t="e">
        <f ca="1"/>
        <v>#REF!</v>
      </c>
    </row>
    <row r="743" spans="1:27" s="70" customFormat="1" ht="11.25" x14ac:dyDescent="0.2">
      <c r="A743" s="24">
        <v>737</v>
      </c>
      <c r="B743" s="27"/>
      <c r="C743" s="28"/>
      <c r="D743" s="71"/>
      <c r="E743" s="28"/>
      <c r="F743" s="28"/>
      <c r="G743" s="27"/>
      <c r="H743" s="28" t="e">
        <f ca="1"/>
        <v>#REF!</v>
      </c>
      <c r="I743" s="27" t="e">
        <f ca="1"/>
        <v>#REF!</v>
      </c>
      <c r="J743" s="28" t="e">
        <f ca="1"/>
        <v>#REF!</v>
      </c>
      <c r="K743" s="27" t="e">
        <f ca="1"/>
        <v>#REF!</v>
      </c>
      <c r="L743" s="25" t="e">
        <f ca="1"/>
        <v>#REF!</v>
      </c>
      <c r="M743" s="25" t="e">
        <f ca="1"/>
        <v>#REF!</v>
      </c>
      <c r="N743" s="25" t="e">
        <f ca="1"/>
        <v>#REF!</v>
      </c>
      <c r="O743" s="25" t="e">
        <f ca="1"/>
        <v>#REF!</v>
      </c>
      <c r="P743" s="25" t="e">
        <f ca="1"/>
        <v>#REF!</v>
      </c>
      <c r="Q743" s="25" t="e">
        <f ca="1"/>
        <v>#REF!</v>
      </c>
      <c r="R743" s="25" t="e">
        <f ca="1"/>
        <v>#REF!</v>
      </c>
      <c r="S743" s="25" t="e">
        <f ca="1"/>
        <v>#REF!</v>
      </c>
      <c r="T743" s="25" t="e">
        <f ca="1"/>
        <v>#REF!</v>
      </c>
      <c r="U743" s="25" t="e">
        <f ca="1"/>
        <v>#REF!</v>
      </c>
      <c r="V743" s="25" t="e">
        <f ca="1"/>
        <v>#REF!</v>
      </c>
      <c r="W743" s="33" t="e">
        <f ca="1"/>
        <v>#REF!</v>
      </c>
      <c r="X743" s="33" t="e">
        <f ca="1"/>
        <v>#REF!</v>
      </c>
      <c r="Y743" s="33" t="e">
        <f ca="1"/>
        <v>#REF!</v>
      </c>
      <c r="Z743" s="33" t="e">
        <f ca="1"/>
        <v>#REF!</v>
      </c>
      <c r="AA743" s="33" t="e">
        <f ca="1"/>
        <v>#REF!</v>
      </c>
    </row>
    <row r="744" spans="1:27" s="70" customFormat="1" ht="11.25" x14ac:dyDescent="0.2">
      <c r="A744" s="24">
        <v>738</v>
      </c>
      <c r="B744" s="27"/>
      <c r="C744" s="28"/>
      <c r="D744" s="71"/>
      <c r="E744" s="28"/>
      <c r="F744" s="28"/>
      <c r="G744" s="27"/>
      <c r="H744" s="28" t="e">
        <f ca="1"/>
        <v>#REF!</v>
      </c>
      <c r="I744" s="27" t="e">
        <f ca="1"/>
        <v>#REF!</v>
      </c>
      <c r="J744" s="28" t="e">
        <f ca="1"/>
        <v>#REF!</v>
      </c>
      <c r="K744" s="27" t="e">
        <f ca="1"/>
        <v>#REF!</v>
      </c>
      <c r="L744" s="25" t="e">
        <f ca="1"/>
        <v>#REF!</v>
      </c>
      <c r="M744" s="25" t="e">
        <f ca="1"/>
        <v>#REF!</v>
      </c>
      <c r="N744" s="25" t="e">
        <f ca="1"/>
        <v>#REF!</v>
      </c>
      <c r="O744" s="25" t="e">
        <f ca="1"/>
        <v>#REF!</v>
      </c>
      <c r="P744" s="25" t="e">
        <f ca="1"/>
        <v>#REF!</v>
      </c>
      <c r="Q744" s="25" t="e">
        <f ca="1"/>
        <v>#REF!</v>
      </c>
      <c r="R744" s="25" t="e">
        <f ca="1"/>
        <v>#REF!</v>
      </c>
      <c r="S744" s="25" t="e">
        <f ca="1"/>
        <v>#REF!</v>
      </c>
      <c r="T744" s="25" t="e">
        <f ca="1"/>
        <v>#REF!</v>
      </c>
      <c r="U744" s="25" t="e">
        <f ca="1"/>
        <v>#REF!</v>
      </c>
      <c r="V744" s="25" t="e">
        <f ca="1"/>
        <v>#REF!</v>
      </c>
      <c r="W744" s="33" t="e">
        <f ca="1"/>
        <v>#REF!</v>
      </c>
      <c r="X744" s="33" t="e">
        <f ca="1"/>
        <v>#REF!</v>
      </c>
      <c r="Y744" s="33" t="e">
        <f ca="1"/>
        <v>#REF!</v>
      </c>
      <c r="Z744" s="33" t="e">
        <f ca="1"/>
        <v>#REF!</v>
      </c>
      <c r="AA744" s="33" t="e">
        <f ca="1"/>
        <v>#REF!</v>
      </c>
    </row>
    <row r="745" spans="1:27" s="70" customFormat="1" ht="11.25" x14ac:dyDescent="0.2">
      <c r="A745" s="24">
        <v>739</v>
      </c>
      <c r="B745" s="27"/>
      <c r="C745" s="28"/>
      <c r="D745" s="71"/>
      <c r="E745" s="28"/>
      <c r="F745" s="28"/>
      <c r="G745" s="27"/>
      <c r="H745" s="28" t="e">
        <f ca="1"/>
        <v>#REF!</v>
      </c>
      <c r="I745" s="27" t="e">
        <f ca="1"/>
        <v>#REF!</v>
      </c>
      <c r="J745" s="28" t="e">
        <f ca="1"/>
        <v>#REF!</v>
      </c>
      <c r="K745" s="27" t="e">
        <f ca="1"/>
        <v>#REF!</v>
      </c>
      <c r="L745" s="25" t="e">
        <f ca="1"/>
        <v>#REF!</v>
      </c>
      <c r="M745" s="25" t="e">
        <f ca="1"/>
        <v>#REF!</v>
      </c>
      <c r="N745" s="25" t="e">
        <f ca="1"/>
        <v>#REF!</v>
      </c>
      <c r="O745" s="25" t="e">
        <f ca="1"/>
        <v>#REF!</v>
      </c>
      <c r="P745" s="25" t="e">
        <f ca="1"/>
        <v>#REF!</v>
      </c>
      <c r="Q745" s="25" t="e">
        <f ca="1"/>
        <v>#REF!</v>
      </c>
      <c r="R745" s="25" t="e">
        <f ca="1"/>
        <v>#REF!</v>
      </c>
      <c r="S745" s="25" t="e">
        <f ca="1"/>
        <v>#REF!</v>
      </c>
      <c r="T745" s="25" t="e">
        <f ca="1"/>
        <v>#REF!</v>
      </c>
      <c r="U745" s="25" t="e">
        <f ca="1"/>
        <v>#REF!</v>
      </c>
      <c r="V745" s="25" t="e">
        <f ca="1"/>
        <v>#REF!</v>
      </c>
      <c r="W745" s="33" t="e">
        <f ca="1"/>
        <v>#REF!</v>
      </c>
      <c r="X745" s="33" t="e">
        <f ca="1"/>
        <v>#REF!</v>
      </c>
      <c r="Y745" s="33" t="e">
        <f ca="1"/>
        <v>#REF!</v>
      </c>
      <c r="Z745" s="33" t="e">
        <f ca="1"/>
        <v>#REF!</v>
      </c>
      <c r="AA745" s="33" t="e">
        <f ca="1"/>
        <v>#REF!</v>
      </c>
    </row>
    <row r="746" spans="1:27" s="70" customFormat="1" ht="11.25" x14ac:dyDescent="0.2">
      <c r="A746" s="24">
        <v>740</v>
      </c>
      <c r="B746" s="27"/>
      <c r="C746" s="28"/>
      <c r="D746" s="71"/>
      <c r="E746" s="28"/>
      <c r="F746" s="28"/>
      <c r="G746" s="27"/>
      <c r="H746" s="28" t="e">
        <f ca="1"/>
        <v>#REF!</v>
      </c>
      <c r="I746" s="27" t="e">
        <f ca="1"/>
        <v>#REF!</v>
      </c>
      <c r="J746" s="28" t="e">
        <f ca="1"/>
        <v>#REF!</v>
      </c>
      <c r="K746" s="27" t="e">
        <f ca="1"/>
        <v>#REF!</v>
      </c>
      <c r="L746" s="25" t="e">
        <f ca="1"/>
        <v>#REF!</v>
      </c>
      <c r="M746" s="25" t="e">
        <f ca="1"/>
        <v>#REF!</v>
      </c>
      <c r="N746" s="25" t="e">
        <f ca="1"/>
        <v>#REF!</v>
      </c>
      <c r="O746" s="25" t="e">
        <f ca="1"/>
        <v>#REF!</v>
      </c>
      <c r="P746" s="25" t="e">
        <f ca="1"/>
        <v>#REF!</v>
      </c>
      <c r="Q746" s="25" t="e">
        <f ca="1"/>
        <v>#REF!</v>
      </c>
      <c r="R746" s="25" t="e">
        <f ca="1"/>
        <v>#REF!</v>
      </c>
      <c r="S746" s="25" t="e">
        <f ca="1"/>
        <v>#REF!</v>
      </c>
      <c r="T746" s="25" t="e">
        <f ca="1"/>
        <v>#REF!</v>
      </c>
      <c r="U746" s="25" t="e">
        <f ca="1"/>
        <v>#REF!</v>
      </c>
      <c r="V746" s="25" t="e">
        <f ca="1"/>
        <v>#REF!</v>
      </c>
      <c r="W746" s="33" t="e">
        <f ca="1"/>
        <v>#REF!</v>
      </c>
      <c r="X746" s="33" t="e">
        <f ca="1"/>
        <v>#REF!</v>
      </c>
      <c r="Y746" s="33" t="e">
        <f ca="1"/>
        <v>#REF!</v>
      </c>
      <c r="Z746" s="33" t="e">
        <f ca="1"/>
        <v>#REF!</v>
      </c>
      <c r="AA746" s="33" t="e">
        <f ca="1"/>
        <v>#REF!</v>
      </c>
    </row>
    <row r="747" spans="1:27" s="70" customFormat="1" ht="11.25" x14ac:dyDescent="0.2">
      <c r="A747" s="24">
        <v>741</v>
      </c>
      <c r="B747" s="27"/>
      <c r="C747" s="28"/>
      <c r="D747" s="71"/>
      <c r="E747" s="28"/>
      <c r="F747" s="28"/>
      <c r="G747" s="27"/>
      <c r="H747" s="28" t="e">
        <f ca="1"/>
        <v>#REF!</v>
      </c>
      <c r="I747" s="27" t="e">
        <f ca="1"/>
        <v>#REF!</v>
      </c>
      <c r="J747" s="28" t="e">
        <f ca="1"/>
        <v>#REF!</v>
      </c>
      <c r="K747" s="27" t="e">
        <f ca="1"/>
        <v>#REF!</v>
      </c>
      <c r="L747" s="25" t="e">
        <f ca="1"/>
        <v>#REF!</v>
      </c>
      <c r="M747" s="25" t="e">
        <f ca="1"/>
        <v>#REF!</v>
      </c>
      <c r="N747" s="25" t="e">
        <f ca="1"/>
        <v>#REF!</v>
      </c>
      <c r="O747" s="25" t="e">
        <f ca="1"/>
        <v>#REF!</v>
      </c>
      <c r="P747" s="25" t="e">
        <f ca="1"/>
        <v>#REF!</v>
      </c>
      <c r="Q747" s="25" t="e">
        <f ca="1"/>
        <v>#REF!</v>
      </c>
      <c r="R747" s="25" t="e">
        <f ca="1"/>
        <v>#REF!</v>
      </c>
      <c r="S747" s="25" t="e">
        <f ca="1"/>
        <v>#REF!</v>
      </c>
      <c r="T747" s="25" t="e">
        <f ca="1"/>
        <v>#REF!</v>
      </c>
      <c r="U747" s="25" t="e">
        <f ca="1"/>
        <v>#REF!</v>
      </c>
      <c r="V747" s="25" t="e">
        <f ca="1"/>
        <v>#REF!</v>
      </c>
      <c r="W747" s="33" t="e">
        <f ca="1"/>
        <v>#REF!</v>
      </c>
      <c r="X747" s="33" t="e">
        <f ca="1"/>
        <v>#REF!</v>
      </c>
      <c r="Y747" s="33" t="e">
        <f ca="1"/>
        <v>#REF!</v>
      </c>
      <c r="Z747" s="33" t="e">
        <f ca="1"/>
        <v>#REF!</v>
      </c>
      <c r="AA747" s="33" t="e">
        <f ca="1"/>
        <v>#REF!</v>
      </c>
    </row>
    <row r="748" spans="1:27" s="70" customFormat="1" ht="11.25" x14ac:dyDescent="0.2">
      <c r="A748" s="24">
        <v>742</v>
      </c>
      <c r="B748" s="27"/>
      <c r="C748" s="28"/>
      <c r="D748" s="71"/>
      <c r="E748" s="28"/>
      <c r="F748" s="28"/>
      <c r="G748" s="27"/>
      <c r="H748" s="28" t="e">
        <f ca="1"/>
        <v>#REF!</v>
      </c>
      <c r="I748" s="27" t="e">
        <f ca="1"/>
        <v>#REF!</v>
      </c>
      <c r="J748" s="28" t="e">
        <f ca="1"/>
        <v>#REF!</v>
      </c>
      <c r="K748" s="27" t="e">
        <f ca="1"/>
        <v>#REF!</v>
      </c>
      <c r="L748" s="25" t="e">
        <f ca="1"/>
        <v>#REF!</v>
      </c>
      <c r="M748" s="25" t="e">
        <f ca="1"/>
        <v>#REF!</v>
      </c>
      <c r="N748" s="25" t="e">
        <f ca="1"/>
        <v>#REF!</v>
      </c>
      <c r="O748" s="25" t="e">
        <f ca="1"/>
        <v>#REF!</v>
      </c>
      <c r="P748" s="25" t="e">
        <f ca="1"/>
        <v>#REF!</v>
      </c>
      <c r="Q748" s="25" t="e">
        <f ca="1"/>
        <v>#REF!</v>
      </c>
      <c r="R748" s="25" t="e">
        <f ca="1"/>
        <v>#REF!</v>
      </c>
      <c r="S748" s="25" t="e">
        <f ca="1"/>
        <v>#REF!</v>
      </c>
      <c r="T748" s="25" t="e">
        <f ca="1"/>
        <v>#REF!</v>
      </c>
      <c r="U748" s="25" t="e">
        <f ca="1"/>
        <v>#REF!</v>
      </c>
      <c r="V748" s="25" t="e">
        <f ca="1"/>
        <v>#REF!</v>
      </c>
      <c r="W748" s="33" t="e">
        <f ca="1"/>
        <v>#REF!</v>
      </c>
      <c r="X748" s="33" t="e">
        <f ca="1"/>
        <v>#REF!</v>
      </c>
      <c r="Y748" s="33" t="e">
        <f ca="1"/>
        <v>#REF!</v>
      </c>
      <c r="Z748" s="33" t="e">
        <f ca="1"/>
        <v>#REF!</v>
      </c>
      <c r="AA748" s="33" t="e">
        <f ca="1"/>
        <v>#REF!</v>
      </c>
    </row>
    <row r="749" spans="1:27" s="70" customFormat="1" ht="11.25" x14ac:dyDescent="0.2">
      <c r="A749" s="24">
        <v>743</v>
      </c>
      <c r="B749" s="27"/>
      <c r="C749" s="28"/>
      <c r="D749" s="71"/>
      <c r="E749" s="28"/>
      <c r="F749" s="28"/>
      <c r="G749" s="27"/>
      <c r="H749" s="28" t="e">
        <f ca="1"/>
        <v>#REF!</v>
      </c>
      <c r="I749" s="27" t="e">
        <f ca="1"/>
        <v>#REF!</v>
      </c>
      <c r="J749" s="28" t="e">
        <f ca="1"/>
        <v>#REF!</v>
      </c>
      <c r="K749" s="27" t="e">
        <f ca="1"/>
        <v>#REF!</v>
      </c>
      <c r="L749" s="25" t="e">
        <f ca="1"/>
        <v>#REF!</v>
      </c>
      <c r="M749" s="25" t="e">
        <f ca="1"/>
        <v>#REF!</v>
      </c>
      <c r="N749" s="25" t="e">
        <f ca="1"/>
        <v>#REF!</v>
      </c>
      <c r="O749" s="25" t="e">
        <f ca="1"/>
        <v>#REF!</v>
      </c>
      <c r="P749" s="25" t="e">
        <f ca="1"/>
        <v>#REF!</v>
      </c>
      <c r="Q749" s="25" t="e">
        <f ca="1"/>
        <v>#REF!</v>
      </c>
      <c r="R749" s="25" t="e">
        <f ca="1"/>
        <v>#REF!</v>
      </c>
      <c r="S749" s="25" t="e">
        <f ca="1"/>
        <v>#REF!</v>
      </c>
      <c r="T749" s="25" t="e">
        <f ca="1"/>
        <v>#REF!</v>
      </c>
      <c r="U749" s="25" t="e">
        <f ca="1"/>
        <v>#REF!</v>
      </c>
      <c r="V749" s="25" t="e">
        <f ca="1"/>
        <v>#REF!</v>
      </c>
      <c r="W749" s="33" t="e">
        <f ca="1"/>
        <v>#REF!</v>
      </c>
      <c r="X749" s="33" t="e">
        <f ca="1"/>
        <v>#REF!</v>
      </c>
      <c r="Y749" s="33" t="e">
        <f ca="1"/>
        <v>#REF!</v>
      </c>
      <c r="Z749" s="33" t="e">
        <f ca="1"/>
        <v>#REF!</v>
      </c>
      <c r="AA749" s="33" t="e">
        <f ca="1"/>
        <v>#REF!</v>
      </c>
    </row>
    <row r="750" spans="1:27" s="70" customFormat="1" ht="11.25" x14ac:dyDescent="0.2">
      <c r="A750" s="24">
        <v>744</v>
      </c>
      <c r="B750" s="27"/>
      <c r="C750" s="28"/>
      <c r="D750" s="71"/>
      <c r="E750" s="28"/>
      <c r="F750" s="28"/>
      <c r="G750" s="27"/>
      <c r="H750" s="28" t="e">
        <f ca="1"/>
        <v>#REF!</v>
      </c>
      <c r="I750" s="27" t="e">
        <f ca="1"/>
        <v>#REF!</v>
      </c>
      <c r="J750" s="28" t="e">
        <f ca="1"/>
        <v>#REF!</v>
      </c>
      <c r="K750" s="27" t="e">
        <f ca="1"/>
        <v>#REF!</v>
      </c>
      <c r="L750" s="25" t="e">
        <f ca="1"/>
        <v>#REF!</v>
      </c>
      <c r="M750" s="25" t="e">
        <f ca="1"/>
        <v>#REF!</v>
      </c>
      <c r="N750" s="25" t="e">
        <f ca="1"/>
        <v>#REF!</v>
      </c>
      <c r="O750" s="25" t="e">
        <f ca="1"/>
        <v>#REF!</v>
      </c>
      <c r="P750" s="25" t="e">
        <f ca="1"/>
        <v>#REF!</v>
      </c>
      <c r="Q750" s="25" t="e">
        <f ca="1"/>
        <v>#REF!</v>
      </c>
      <c r="R750" s="25" t="e">
        <f ca="1"/>
        <v>#REF!</v>
      </c>
      <c r="S750" s="25" t="e">
        <f ca="1"/>
        <v>#REF!</v>
      </c>
      <c r="T750" s="25" t="e">
        <f ca="1"/>
        <v>#REF!</v>
      </c>
      <c r="U750" s="25" t="e">
        <f ca="1"/>
        <v>#REF!</v>
      </c>
      <c r="V750" s="25" t="e">
        <f ca="1"/>
        <v>#REF!</v>
      </c>
      <c r="W750" s="33" t="e">
        <f ca="1"/>
        <v>#REF!</v>
      </c>
      <c r="X750" s="33" t="e">
        <f ca="1"/>
        <v>#REF!</v>
      </c>
      <c r="Y750" s="33" t="e">
        <f ca="1"/>
        <v>#REF!</v>
      </c>
      <c r="Z750" s="33" t="e">
        <f ca="1"/>
        <v>#REF!</v>
      </c>
      <c r="AA750" s="33" t="e">
        <f ca="1"/>
        <v>#REF!</v>
      </c>
    </row>
    <row r="751" spans="1:27" s="70" customFormat="1" ht="11.25" x14ac:dyDescent="0.2">
      <c r="A751" s="24">
        <v>745</v>
      </c>
      <c r="B751" s="27"/>
      <c r="C751" s="28"/>
      <c r="D751" s="71"/>
      <c r="E751" s="28"/>
      <c r="F751" s="28"/>
      <c r="G751" s="27"/>
      <c r="H751" s="28" t="e">
        <f ca="1"/>
        <v>#REF!</v>
      </c>
      <c r="I751" s="27" t="e">
        <f ca="1"/>
        <v>#REF!</v>
      </c>
      <c r="J751" s="28" t="e">
        <f ca="1"/>
        <v>#REF!</v>
      </c>
      <c r="K751" s="27" t="e">
        <f ca="1"/>
        <v>#REF!</v>
      </c>
      <c r="L751" s="25" t="e">
        <f ca="1"/>
        <v>#REF!</v>
      </c>
      <c r="M751" s="25" t="e">
        <f ca="1"/>
        <v>#REF!</v>
      </c>
      <c r="N751" s="25" t="e">
        <f ca="1"/>
        <v>#REF!</v>
      </c>
      <c r="O751" s="25" t="e">
        <f ca="1"/>
        <v>#REF!</v>
      </c>
      <c r="P751" s="25" t="e">
        <f ca="1"/>
        <v>#REF!</v>
      </c>
      <c r="Q751" s="25" t="e">
        <f ca="1"/>
        <v>#REF!</v>
      </c>
      <c r="R751" s="25" t="e">
        <f ca="1"/>
        <v>#REF!</v>
      </c>
      <c r="S751" s="25" t="e">
        <f ca="1"/>
        <v>#REF!</v>
      </c>
      <c r="T751" s="25" t="e">
        <f ca="1"/>
        <v>#REF!</v>
      </c>
      <c r="U751" s="25" t="e">
        <f ca="1"/>
        <v>#REF!</v>
      </c>
      <c r="V751" s="25" t="e">
        <f ca="1"/>
        <v>#REF!</v>
      </c>
      <c r="W751" s="33" t="e">
        <f ca="1"/>
        <v>#REF!</v>
      </c>
      <c r="X751" s="33" t="e">
        <f ca="1"/>
        <v>#REF!</v>
      </c>
      <c r="Y751" s="33" t="e">
        <f ca="1"/>
        <v>#REF!</v>
      </c>
      <c r="Z751" s="33" t="e">
        <f ca="1"/>
        <v>#REF!</v>
      </c>
      <c r="AA751" s="33" t="e">
        <f ca="1"/>
        <v>#REF!</v>
      </c>
    </row>
    <row r="752" spans="1:27" s="70" customFormat="1" ht="11.25" x14ac:dyDescent="0.2">
      <c r="A752" s="24">
        <v>746</v>
      </c>
      <c r="B752" s="27"/>
      <c r="C752" s="28"/>
      <c r="D752" s="71"/>
      <c r="E752" s="28"/>
      <c r="F752" s="28"/>
      <c r="G752" s="27"/>
      <c r="H752" s="28" t="e">
        <f ca="1"/>
        <v>#REF!</v>
      </c>
      <c r="I752" s="27" t="e">
        <f ca="1"/>
        <v>#REF!</v>
      </c>
      <c r="J752" s="28" t="e">
        <f ca="1"/>
        <v>#REF!</v>
      </c>
      <c r="K752" s="27" t="e">
        <f ca="1"/>
        <v>#REF!</v>
      </c>
      <c r="L752" s="25" t="e">
        <f ca="1"/>
        <v>#REF!</v>
      </c>
      <c r="M752" s="25" t="e">
        <f ca="1"/>
        <v>#REF!</v>
      </c>
      <c r="N752" s="25" t="e">
        <f ca="1"/>
        <v>#REF!</v>
      </c>
      <c r="O752" s="25" t="e">
        <f ca="1"/>
        <v>#REF!</v>
      </c>
      <c r="P752" s="25" t="e">
        <f ca="1"/>
        <v>#REF!</v>
      </c>
      <c r="Q752" s="25" t="e">
        <f ca="1"/>
        <v>#REF!</v>
      </c>
      <c r="R752" s="25" t="e">
        <f ca="1"/>
        <v>#REF!</v>
      </c>
      <c r="S752" s="25" t="e">
        <f ca="1"/>
        <v>#REF!</v>
      </c>
      <c r="T752" s="25" t="e">
        <f ca="1"/>
        <v>#REF!</v>
      </c>
      <c r="U752" s="25" t="e">
        <f ca="1"/>
        <v>#REF!</v>
      </c>
      <c r="V752" s="25" t="e">
        <f ca="1"/>
        <v>#REF!</v>
      </c>
      <c r="W752" s="33" t="e">
        <f ca="1"/>
        <v>#REF!</v>
      </c>
      <c r="X752" s="33" t="e">
        <f ca="1"/>
        <v>#REF!</v>
      </c>
      <c r="Y752" s="33" t="e">
        <f ca="1"/>
        <v>#REF!</v>
      </c>
      <c r="Z752" s="33" t="e">
        <f ca="1"/>
        <v>#REF!</v>
      </c>
      <c r="AA752" s="33" t="e">
        <f ca="1"/>
        <v>#REF!</v>
      </c>
    </row>
    <row r="753" spans="1:27" s="70" customFormat="1" ht="11.25" x14ac:dyDescent="0.2">
      <c r="A753" s="24">
        <v>747</v>
      </c>
      <c r="B753" s="27"/>
      <c r="C753" s="28"/>
      <c r="D753" s="71"/>
      <c r="E753" s="28"/>
      <c r="F753" s="28"/>
      <c r="G753" s="27"/>
      <c r="H753" s="28" t="e">
        <f ca="1"/>
        <v>#REF!</v>
      </c>
      <c r="I753" s="27" t="e">
        <f ca="1"/>
        <v>#REF!</v>
      </c>
      <c r="J753" s="28" t="e">
        <f ca="1"/>
        <v>#REF!</v>
      </c>
      <c r="K753" s="27" t="e">
        <f ca="1"/>
        <v>#REF!</v>
      </c>
      <c r="L753" s="25" t="e">
        <f ca="1"/>
        <v>#REF!</v>
      </c>
      <c r="M753" s="25" t="e">
        <f ca="1"/>
        <v>#REF!</v>
      </c>
      <c r="N753" s="25" t="e">
        <f ca="1"/>
        <v>#REF!</v>
      </c>
      <c r="O753" s="25" t="e">
        <f ca="1"/>
        <v>#REF!</v>
      </c>
      <c r="P753" s="25" t="e">
        <f ca="1"/>
        <v>#REF!</v>
      </c>
      <c r="Q753" s="25" t="e">
        <f ca="1"/>
        <v>#REF!</v>
      </c>
      <c r="R753" s="25" t="e">
        <f ca="1"/>
        <v>#REF!</v>
      </c>
      <c r="S753" s="25" t="e">
        <f ca="1"/>
        <v>#REF!</v>
      </c>
      <c r="T753" s="25" t="e">
        <f ca="1"/>
        <v>#REF!</v>
      </c>
      <c r="U753" s="25" t="e">
        <f ca="1"/>
        <v>#REF!</v>
      </c>
      <c r="V753" s="25" t="e">
        <f ca="1"/>
        <v>#REF!</v>
      </c>
      <c r="W753" s="33" t="e">
        <f ca="1"/>
        <v>#REF!</v>
      </c>
      <c r="X753" s="33" t="e">
        <f ca="1"/>
        <v>#REF!</v>
      </c>
      <c r="Y753" s="33" t="e">
        <f ca="1"/>
        <v>#REF!</v>
      </c>
      <c r="Z753" s="33" t="e">
        <f ca="1"/>
        <v>#REF!</v>
      </c>
      <c r="AA753" s="33" t="e">
        <f ca="1"/>
        <v>#REF!</v>
      </c>
    </row>
    <row r="754" spans="1:27" s="70" customFormat="1" ht="11.25" x14ac:dyDescent="0.2">
      <c r="A754" s="24">
        <v>748</v>
      </c>
      <c r="B754" s="27"/>
      <c r="C754" s="28"/>
      <c r="D754" s="71"/>
      <c r="E754" s="28"/>
      <c r="F754" s="28"/>
      <c r="G754" s="27"/>
      <c r="H754" s="28" t="e">
        <f ca="1"/>
        <v>#REF!</v>
      </c>
      <c r="I754" s="27" t="e">
        <f ca="1"/>
        <v>#REF!</v>
      </c>
      <c r="J754" s="28" t="e">
        <f ca="1"/>
        <v>#REF!</v>
      </c>
      <c r="K754" s="27" t="e">
        <f ca="1"/>
        <v>#REF!</v>
      </c>
      <c r="L754" s="25" t="e">
        <f ca="1"/>
        <v>#REF!</v>
      </c>
      <c r="M754" s="25" t="e">
        <f ca="1"/>
        <v>#REF!</v>
      </c>
      <c r="N754" s="25" t="e">
        <f ca="1"/>
        <v>#REF!</v>
      </c>
      <c r="O754" s="25" t="e">
        <f ca="1"/>
        <v>#REF!</v>
      </c>
      <c r="P754" s="25" t="e">
        <f ca="1"/>
        <v>#REF!</v>
      </c>
      <c r="Q754" s="25" t="e">
        <f ca="1"/>
        <v>#REF!</v>
      </c>
      <c r="R754" s="25" t="e">
        <f ca="1"/>
        <v>#REF!</v>
      </c>
      <c r="S754" s="25" t="e">
        <f ca="1"/>
        <v>#REF!</v>
      </c>
      <c r="T754" s="25" t="e">
        <f ca="1"/>
        <v>#REF!</v>
      </c>
      <c r="U754" s="25" t="e">
        <f ca="1"/>
        <v>#REF!</v>
      </c>
      <c r="V754" s="25" t="e">
        <f ca="1"/>
        <v>#REF!</v>
      </c>
      <c r="W754" s="33" t="e">
        <f ca="1"/>
        <v>#REF!</v>
      </c>
      <c r="X754" s="33" t="e">
        <f ca="1"/>
        <v>#REF!</v>
      </c>
      <c r="Y754" s="33" t="e">
        <f ca="1"/>
        <v>#REF!</v>
      </c>
      <c r="Z754" s="33" t="e">
        <f ca="1"/>
        <v>#REF!</v>
      </c>
      <c r="AA754" s="33" t="e">
        <f ca="1"/>
        <v>#REF!</v>
      </c>
    </row>
    <row r="755" spans="1:27" s="70" customFormat="1" ht="11.25" x14ac:dyDescent="0.2">
      <c r="A755" s="24">
        <v>749</v>
      </c>
      <c r="B755" s="27"/>
      <c r="C755" s="28"/>
      <c r="D755" s="71"/>
      <c r="E755" s="28"/>
      <c r="F755" s="28"/>
      <c r="G755" s="27"/>
      <c r="H755" s="28" t="e">
        <f ca="1"/>
        <v>#REF!</v>
      </c>
      <c r="I755" s="27" t="e">
        <f ca="1"/>
        <v>#REF!</v>
      </c>
      <c r="J755" s="28" t="e">
        <f ca="1"/>
        <v>#REF!</v>
      </c>
      <c r="K755" s="27" t="e">
        <f ca="1"/>
        <v>#REF!</v>
      </c>
      <c r="L755" s="25" t="e">
        <f ca="1"/>
        <v>#REF!</v>
      </c>
      <c r="M755" s="25" t="e">
        <f ca="1"/>
        <v>#REF!</v>
      </c>
      <c r="N755" s="25" t="e">
        <f ca="1"/>
        <v>#REF!</v>
      </c>
      <c r="O755" s="25" t="e">
        <f ca="1"/>
        <v>#REF!</v>
      </c>
      <c r="P755" s="25" t="e">
        <f ca="1"/>
        <v>#REF!</v>
      </c>
      <c r="Q755" s="25" t="e">
        <f ca="1"/>
        <v>#REF!</v>
      </c>
      <c r="R755" s="25" t="e">
        <f ca="1"/>
        <v>#REF!</v>
      </c>
      <c r="S755" s="25" t="e">
        <f ca="1"/>
        <v>#REF!</v>
      </c>
      <c r="T755" s="25" t="e">
        <f ca="1"/>
        <v>#REF!</v>
      </c>
      <c r="U755" s="25" t="e">
        <f ca="1"/>
        <v>#REF!</v>
      </c>
      <c r="V755" s="25" t="e">
        <f ca="1"/>
        <v>#REF!</v>
      </c>
      <c r="W755" s="33" t="e">
        <f ca="1"/>
        <v>#REF!</v>
      </c>
      <c r="X755" s="33" t="e">
        <f ca="1"/>
        <v>#REF!</v>
      </c>
      <c r="Y755" s="33" t="e">
        <f ca="1"/>
        <v>#REF!</v>
      </c>
      <c r="Z755" s="33" t="e">
        <f ca="1"/>
        <v>#REF!</v>
      </c>
      <c r="AA755" s="33" t="e">
        <f ca="1"/>
        <v>#REF!</v>
      </c>
    </row>
    <row r="756" spans="1:27" s="70" customFormat="1" ht="11.25" x14ac:dyDescent="0.2">
      <c r="A756" s="24">
        <v>750</v>
      </c>
      <c r="B756" s="27"/>
      <c r="C756" s="28"/>
      <c r="D756" s="71"/>
      <c r="E756" s="28"/>
      <c r="F756" s="28"/>
      <c r="G756" s="27"/>
      <c r="H756" s="28" t="e">
        <f ca="1"/>
        <v>#REF!</v>
      </c>
      <c r="I756" s="27" t="e">
        <f ca="1"/>
        <v>#REF!</v>
      </c>
      <c r="J756" s="28" t="e">
        <f ca="1"/>
        <v>#REF!</v>
      </c>
      <c r="K756" s="27" t="e">
        <f ca="1"/>
        <v>#REF!</v>
      </c>
      <c r="L756" s="25" t="e">
        <f ca="1"/>
        <v>#REF!</v>
      </c>
      <c r="M756" s="25" t="e">
        <f ca="1"/>
        <v>#REF!</v>
      </c>
      <c r="N756" s="25" t="e">
        <f ca="1"/>
        <v>#REF!</v>
      </c>
      <c r="O756" s="25" t="e">
        <f ca="1"/>
        <v>#REF!</v>
      </c>
      <c r="P756" s="25" t="e">
        <f ca="1"/>
        <v>#REF!</v>
      </c>
      <c r="Q756" s="25" t="e">
        <f ca="1"/>
        <v>#REF!</v>
      </c>
      <c r="R756" s="25" t="e">
        <f ca="1"/>
        <v>#REF!</v>
      </c>
      <c r="S756" s="25" t="e">
        <f ca="1"/>
        <v>#REF!</v>
      </c>
      <c r="T756" s="25" t="e">
        <f ca="1"/>
        <v>#REF!</v>
      </c>
      <c r="U756" s="25" t="e">
        <f ca="1"/>
        <v>#REF!</v>
      </c>
      <c r="V756" s="25" t="e">
        <f ca="1"/>
        <v>#REF!</v>
      </c>
      <c r="W756" s="33" t="e">
        <f ca="1"/>
        <v>#REF!</v>
      </c>
      <c r="X756" s="33" t="e">
        <f ca="1"/>
        <v>#REF!</v>
      </c>
      <c r="Y756" s="33" t="e">
        <f ca="1"/>
        <v>#REF!</v>
      </c>
      <c r="Z756" s="33" t="e">
        <f ca="1"/>
        <v>#REF!</v>
      </c>
      <c r="AA756" s="33" t="e">
        <f ca="1"/>
        <v>#REF!</v>
      </c>
    </row>
    <row r="757" spans="1:27" s="70" customFormat="1" ht="11.25" x14ac:dyDescent="0.2">
      <c r="A757" s="24">
        <v>751</v>
      </c>
      <c r="B757" s="27"/>
      <c r="C757" s="28"/>
      <c r="D757" s="71"/>
      <c r="E757" s="28"/>
      <c r="F757" s="28"/>
      <c r="G757" s="27"/>
      <c r="H757" s="28" t="e">
        <f ca="1"/>
        <v>#REF!</v>
      </c>
      <c r="I757" s="27" t="e">
        <f ca="1"/>
        <v>#REF!</v>
      </c>
      <c r="J757" s="28" t="e">
        <f ca="1"/>
        <v>#REF!</v>
      </c>
      <c r="K757" s="27" t="e">
        <f ca="1"/>
        <v>#REF!</v>
      </c>
      <c r="L757" s="25" t="e">
        <f ca="1"/>
        <v>#REF!</v>
      </c>
      <c r="M757" s="25" t="e">
        <f ca="1"/>
        <v>#REF!</v>
      </c>
      <c r="N757" s="25" t="e">
        <f ca="1"/>
        <v>#REF!</v>
      </c>
      <c r="O757" s="25" t="e">
        <f ca="1"/>
        <v>#REF!</v>
      </c>
      <c r="P757" s="25" t="e">
        <f ca="1"/>
        <v>#REF!</v>
      </c>
      <c r="Q757" s="25" t="e">
        <f ca="1"/>
        <v>#REF!</v>
      </c>
      <c r="R757" s="25" t="e">
        <f ca="1"/>
        <v>#REF!</v>
      </c>
      <c r="S757" s="25" t="e">
        <f ca="1"/>
        <v>#REF!</v>
      </c>
      <c r="T757" s="25" t="e">
        <f ca="1"/>
        <v>#REF!</v>
      </c>
      <c r="U757" s="25" t="e">
        <f ca="1"/>
        <v>#REF!</v>
      </c>
      <c r="V757" s="25" t="e">
        <f ca="1"/>
        <v>#REF!</v>
      </c>
      <c r="W757" s="33" t="e">
        <f ca="1"/>
        <v>#REF!</v>
      </c>
      <c r="X757" s="33" t="e">
        <f ca="1"/>
        <v>#REF!</v>
      </c>
      <c r="Y757" s="33" t="e">
        <f ca="1"/>
        <v>#REF!</v>
      </c>
      <c r="Z757" s="33" t="e">
        <f ca="1"/>
        <v>#REF!</v>
      </c>
      <c r="AA757" s="33" t="e">
        <f ca="1"/>
        <v>#REF!</v>
      </c>
    </row>
    <row r="758" spans="1:27" s="70" customFormat="1" ht="11.25" x14ac:dyDescent="0.2">
      <c r="A758" s="24">
        <v>752</v>
      </c>
      <c r="B758" s="27"/>
      <c r="C758" s="28"/>
      <c r="D758" s="71"/>
      <c r="E758" s="28"/>
      <c r="F758" s="28"/>
      <c r="G758" s="27"/>
      <c r="H758" s="28" t="e">
        <f ca="1"/>
        <v>#REF!</v>
      </c>
      <c r="I758" s="27" t="e">
        <f ca="1"/>
        <v>#REF!</v>
      </c>
      <c r="J758" s="28" t="e">
        <f ca="1"/>
        <v>#REF!</v>
      </c>
      <c r="K758" s="27" t="e">
        <f ca="1"/>
        <v>#REF!</v>
      </c>
      <c r="L758" s="25" t="e">
        <f ca="1"/>
        <v>#REF!</v>
      </c>
      <c r="M758" s="25" t="e">
        <f ca="1"/>
        <v>#REF!</v>
      </c>
      <c r="N758" s="25" t="e">
        <f ca="1"/>
        <v>#REF!</v>
      </c>
      <c r="O758" s="25" t="e">
        <f ca="1"/>
        <v>#REF!</v>
      </c>
      <c r="P758" s="25" t="e">
        <f ca="1"/>
        <v>#REF!</v>
      </c>
      <c r="Q758" s="25" t="e">
        <f ca="1"/>
        <v>#REF!</v>
      </c>
      <c r="R758" s="25" t="e">
        <f ca="1"/>
        <v>#REF!</v>
      </c>
      <c r="S758" s="25" t="e">
        <f ca="1"/>
        <v>#REF!</v>
      </c>
      <c r="T758" s="25" t="e">
        <f ca="1"/>
        <v>#REF!</v>
      </c>
      <c r="U758" s="25" t="e">
        <f ca="1"/>
        <v>#REF!</v>
      </c>
      <c r="V758" s="25" t="e">
        <f ca="1"/>
        <v>#REF!</v>
      </c>
      <c r="W758" s="33" t="e">
        <f ca="1"/>
        <v>#REF!</v>
      </c>
      <c r="X758" s="33" t="e">
        <f ca="1"/>
        <v>#REF!</v>
      </c>
      <c r="Y758" s="33" t="e">
        <f ca="1"/>
        <v>#REF!</v>
      </c>
      <c r="Z758" s="33" t="e">
        <f ca="1"/>
        <v>#REF!</v>
      </c>
      <c r="AA758" s="33" t="e">
        <f ca="1"/>
        <v>#REF!</v>
      </c>
    </row>
    <row r="759" spans="1:27" s="70" customFormat="1" ht="11.25" x14ac:dyDescent="0.2">
      <c r="A759" s="24">
        <v>753</v>
      </c>
      <c r="B759" s="27"/>
      <c r="C759" s="28"/>
      <c r="D759" s="71"/>
      <c r="E759" s="28"/>
      <c r="F759" s="28"/>
      <c r="G759" s="27"/>
      <c r="H759" s="28" t="e">
        <f ca="1"/>
        <v>#REF!</v>
      </c>
      <c r="I759" s="27" t="e">
        <f ca="1"/>
        <v>#REF!</v>
      </c>
      <c r="J759" s="28" t="e">
        <f ca="1"/>
        <v>#REF!</v>
      </c>
      <c r="K759" s="27" t="e">
        <f ca="1"/>
        <v>#REF!</v>
      </c>
      <c r="L759" s="25" t="e">
        <f ca="1"/>
        <v>#REF!</v>
      </c>
      <c r="M759" s="25" t="e">
        <f ca="1"/>
        <v>#REF!</v>
      </c>
      <c r="N759" s="25" t="e">
        <f ca="1"/>
        <v>#REF!</v>
      </c>
      <c r="O759" s="25" t="e">
        <f ca="1"/>
        <v>#REF!</v>
      </c>
      <c r="P759" s="25" t="e">
        <f ca="1"/>
        <v>#REF!</v>
      </c>
      <c r="Q759" s="25" t="e">
        <f ca="1"/>
        <v>#REF!</v>
      </c>
      <c r="R759" s="25" t="e">
        <f ca="1"/>
        <v>#REF!</v>
      </c>
      <c r="S759" s="25" t="e">
        <f ca="1"/>
        <v>#REF!</v>
      </c>
      <c r="T759" s="25" t="e">
        <f ca="1"/>
        <v>#REF!</v>
      </c>
      <c r="U759" s="25" t="e">
        <f ca="1"/>
        <v>#REF!</v>
      </c>
      <c r="V759" s="25" t="e">
        <f ca="1"/>
        <v>#REF!</v>
      </c>
      <c r="W759" s="33" t="e">
        <f ca="1"/>
        <v>#REF!</v>
      </c>
      <c r="X759" s="33" t="e">
        <f ca="1"/>
        <v>#REF!</v>
      </c>
      <c r="Y759" s="33" t="e">
        <f ca="1"/>
        <v>#REF!</v>
      </c>
      <c r="Z759" s="33" t="e">
        <f ca="1"/>
        <v>#REF!</v>
      </c>
      <c r="AA759" s="33" t="e">
        <f ca="1"/>
        <v>#REF!</v>
      </c>
    </row>
    <row r="760" spans="1:27" s="70" customFormat="1" ht="11.25" x14ac:dyDescent="0.2">
      <c r="A760" s="24">
        <v>754</v>
      </c>
      <c r="B760" s="27"/>
      <c r="C760" s="28"/>
      <c r="D760" s="71"/>
      <c r="E760" s="28"/>
      <c r="F760" s="28"/>
      <c r="G760" s="27"/>
      <c r="H760" s="28" t="e">
        <f ca="1"/>
        <v>#REF!</v>
      </c>
      <c r="I760" s="27" t="e">
        <f ca="1"/>
        <v>#REF!</v>
      </c>
      <c r="J760" s="28" t="e">
        <f ca="1"/>
        <v>#REF!</v>
      </c>
      <c r="K760" s="27" t="e">
        <f ca="1"/>
        <v>#REF!</v>
      </c>
      <c r="L760" s="25" t="e">
        <f ca="1"/>
        <v>#REF!</v>
      </c>
      <c r="M760" s="25" t="e">
        <f ca="1"/>
        <v>#REF!</v>
      </c>
      <c r="N760" s="25" t="e">
        <f ca="1"/>
        <v>#REF!</v>
      </c>
      <c r="O760" s="25" t="e">
        <f ca="1"/>
        <v>#REF!</v>
      </c>
      <c r="P760" s="25" t="e">
        <f ca="1"/>
        <v>#REF!</v>
      </c>
      <c r="Q760" s="25" t="e">
        <f ca="1"/>
        <v>#REF!</v>
      </c>
      <c r="R760" s="25" t="e">
        <f ca="1"/>
        <v>#REF!</v>
      </c>
      <c r="S760" s="25" t="e">
        <f ca="1"/>
        <v>#REF!</v>
      </c>
      <c r="T760" s="25" t="e">
        <f ca="1"/>
        <v>#REF!</v>
      </c>
      <c r="U760" s="25" t="e">
        <f ca="1"/>
        <v>#REF!</v>
      </c>
      <c r="V760" s="25" t="e">
        <f ca="1"/>
        <v>#REF!</v>
      </c>
      <c r="W760" s="33" t="e">
        <f ca="1"/>
        <v>#REF!</v>
      </c>
      <c r="X760" s="33" t="e">
        <f ca="1"/>
        <v>#REF!</v>
      </c>
      <c r="Y760" s="33" t="e">
        <f ca="1"/>
        <v>#REF!</v>
      </c>
      <c r="Z760" s="33" t="e">
        <f ca="1"/>
        <v>#REF!</v>
      </c>
      <c r="AA760" s="33" t="e">
        <f ca="1"/>
        <v>#REF!</v>
      </c>
    </row>
    <row r="761" spans="1:27" s="70" customFormat="1" ht="11.25" x14ac:dyDescent="0.2">
      <c r="A761" s="24">
        <v>755</v>
      </c>
      <c r="B761" s="27"/>
      <c r="C761" s="28"/>
      <c r="D761" s="71"/>
      <c r="E761" s="28"/>
      <c r="F761" s="28"/>
      <c r="G761" s="27"/>
      <c r="H761" s="28" t="e">
        <f ca="1"/>
        <v>#REF!</v>
      </c>
      <c r="I761" s="27" t="e">
        <f ca="1"/>
        <v>#REF!</v>
      </c>
      <c r="J761" s="28" t="e">
        <f ca="1"/>
        <v>#REF!</v>
      </c>
      <c r="K761" s="27" t="e">
        <f ca="1"/>
        <v>#REF!</v>
      </c>
      <c r="L761" s="25" t="e">
        <f ca="1"/>
        <v>#REF!</v>
      </c>
      <c r="M761" s="25" t="e">
        <f ca="1"/>
        <v>#REF!</v>
      </c>
      <c r="N761" s="25" t="e">
        <f ca="1"/>
        <v>#REF!</v>
      </c>
      <c r="O761" s="25" t="e">
        <f ca="1"/>
        <v>#REF!</v>
      </c>
      <c r="P761" s="25" t="e">
        <f ca="1"/>
        <v>#REF!</v>
      </c>
      <c r="Q761" s="25" t="e">
        <f ca="1"/>
        <v>#REF!</v>
      </c>
      <c r="R761" s="25" t="e">
        <f ca="1"/>
        <v>#REF!</v>
      </c>
      <c r="S761" s="25" t="e">
        <f ca="1"/>
        <v>#REF!</v>
      </c>
      <c r="T761" s="25" t="e">
        <f ca="1"/>
        <v>#REF!</v>
      </c>
      <c r="U761" s="25" t="e">
        <f ca="1"/>
        <v>#REF!</v>
      </c>
      <c r="V761" s="25" t="e">
        <f ca="1"/>
        <v>#REF!</v>
      </c>
      <c r="W761" s="33" t="e">
        <f ca="1"/>
        <v>#REF!</v>
      </c>
      <c r="X761" s="33" t="e">
        <f ca="1"/>
        <v>#REF!</v>
      </c>
      <c r="Y761" s="33" t="e">
        <f ca="1"/>
        <v>#REF!</v>
      </c>
      <c r="Z761" s="33" t="e">
        <f ca="1"/>
        <v>#REF!</v>
      </c>
      <c r="AA761" s="33" t="e">
        <f ca="1"/>
        <v>#REF!</v>
      </c>
    </row>
    <row r="762" spans="1:27" s="70" customFormat="1" ht="11.25" x14ac:dyDescent="0.2">
      <c r="A762" s="24">
        <v>756</v>
      </c>
      <c r="B762" s="27"/>
      <c r="C762" s="28"/>
      <c r="D762" s="71"/>
      <c r="E762" s="28"/>
      <c r="F762" s="28"/>
      <c r="G762" s="27"/>
      <c r="H762" s="28" t="e">
        <f ca="1"/>
        <v>#REF!</v>
      </c>
      <c r="I762" s="27" t="e">
        <f ca="1"/>
        <v>#REF!</v>
      </c>
      <c r="J762" s="28" t="e">
        <f ca="1"/>
        <v>#REF!</v>
      </c>
      <c r="K762" s="27" t="e">
        <f ca="1"/>
        <v>#REF!</v>
      </c>
      <c r="L762" s="25" t="e">
        <f ca="1"/>
        <v>#REF!</v>
      </c>
      <c r="M762" s="25" t="e">
        <f ca="1"/>
        <v>#REF!</v>
      </c>
      <c r="N762" s="25" t="e">
        <f ca="1"/>
        <v>#REF!</v>
      </c>
      <c r="O762" s="25" t="e">
        <f ca="1"/>
        <v>#REF!</v>
      </c>
      <c r="P762" s="25" t="e">
        <f ca="1"/>
        <v>#REF!</v>
      </c>
      <c r="Q762" s="25" t="e">
        <f ca="1"/>
        <v>#REF!</v>
      </c>
      <c r="R762" s="25" t="e">
        <f ca="1"/>
        <v>#REF!</v>
      </c>
      <c r="S762" s="25" t="e">
        <f ca="1"/>
        <v>#REF!</v>
      </c>
      <c r="T762" s="25" t="e">
        <f ca="1"/>
        <v>#REF!</v>
      </c>
      <c r="U762" s="25" t="e">
        <f ca="1"/>
        <v>#REF!</v>
      </c>
      <c r="V762" s="25" t="e">
        <f ca="1"/>
        <v>#REF!</v>
      </c>
      <c r="W762" s="33" t="e">
        <f ca="1"/>
        <v>#REF!</v>
      </c>
      <c r="X762" s="33" t="e">
        <f ca="1"/>
        <v>#REF!</v>
      </c>
      <c r="Y762" s="33" t="e">
        <f ca="1"/>
        <v>#REF!</v>
      </c>
      <c r="Z762" s="33" t="e">
        <f ca="1"/>
        <v>#REF!</v>
      </c>
      <c r="AA762" s="33" t="e">
        <f ca="1"/>
        <v>#REF!</v>
      </c>
    </row>
    <row r="763" spans="1:27" s="70" customFormat="1" ht="11.25" x14ac:dyDescent="0.2">
      <c r="A763" s="24">
        <v>757</v>
      </c>
      <c r="B763" s="27"/>
      <c r="C763" s="28"/>
      <c r="D763" s="71"/>
      <c r="E763" s="28"/>
      <c r="F763" s="28"/>
      <c r="G763" s="27"/>
      <c r="H763" s="28" t="e">
        <f ca="1"/>
        <v>#REF!</v>
      </c>
      <c r="I763" s="27" t="e">
        <f ca="1"/>
        <v>#REF!</v>
      </c>
      <c r="J763" s="28" t="e">
        <f ca="1"/>
        <v>#REF!</v>
      </c>
      <c r="K763" s="27" t="e">
        <f ca="1"/>
        <v>#REF!</v>
      </c>
      <c r="L763" s="25" t="e">
        <f ca="1"/>
        <v>#REF!</v>
      </c>
      <c r="M763" s="25" t="e">
        <f ca="1"/>
        <v>#REF!</v>
      </c>
      <c r="N763" s="25" t="e">
        <f ca="1"/>
        <v>#REF!</v>
      </c>
      <c r="O763" s="25" t="e">
        <f ca="1"/>
        <v>#REF!</v>
      </c>
      <c r="P763" s="25" t="e">
        <f ca="1"/>
        <v>#REF!</v>
      </c>
      <c r="Q763" s="25" t="e">
        <f ca="1"/>
        <v>#REF!</v>
      </c>
      <c r="R763" s="25" t="e">
        <f ca="1"/>
        <v>#REF!</v>
      </c>
      <c r="S763" s="25" t="e">
        <f ca="1"/>
        <v>#REF!</v>
      </c>
      <c r="T763" s="25" t="e">
        <f ca="1"/>
        <v>#REF!</v>
      </c>
      <c r="U763" s="25" t="e">
        <f ca="1"/>
        <v>#REF!</v>
      </c>
      <c r="V763" s="25" t="e">
        <f ca="1"/>
        <v>#REF!</v>
      </c>
      <c r="W763" s="33" t="e">
        <f ca="1"/>
        <v>#REF!</v>
      </c>
      <c r="X763" s="33" t="e">
        <f ca="1"/>
        <v>#REF!</v>
      </c>
      <c r="Y763" s="33" t="e">
        <f ca="1"/>
        <v>#REF!</v>
      </c>
      <c r="Z763" s="33" t="e">
        <f ca="1"/>
        <v>#REF!</v>
      </c>
      <c r="AA763" s="33" t="e">
        <f ca="1"/>
        <v>#REF!</v>
      </c>
    </row>
    <row r="764" spans="1:27" s="70" customFormat="1" ht="11.25" x14ac:dyDescent="0.2">
      <c r="A764" s="24">
        <v>758</v>
      </c>
      <c r="B764" s="27"/>
      <c r="C764" s="28"/>
      <c r="D764" s="71"/>
      <c r="E764" s="28"/>
      <c r="F764" s="28"/>
      <c r="G764" s="27"/>
      <c r="H764" s="28" t="e">
        <f ca="1"/>
        <v>#REF!</v>
      </c>
      <c r="I764" s="27" t="e">
        <f ca="1"/>
        <v>#REF!</v>
      </c>
      <c r="J764" s="28" t="e">
        <f ca="1"/>
        <v>#REF!</v>
      </c>
      <c r="K764" s="27" t="e">
        <f ca="1"/>
        <v>#REF!</v>
      </c>
      <c r="L764" s="25" t="e">
        <f ca="1"/>
        <v>#REF!</v>
      </c>
      <c r="M764" s="25" t="e">
        <f ca="1"/>
        <v>#REF!</v>
      </c>
      <c r="N764" s="25" t="e">
        <f ca="1"/>
        <v>#REF!</v>
      </c>
      <c r="O764" s="25" t="e">
        <f ca="1"/>
        <v>#REF!</v>
      </c>
      <c r="P764" s="25" t="e">
        <f ca="1"/>
        <v>#REF!</v>
      </c>
      <c r="Q764" s="25" t="e">
        <f ca="1"/>
        <v>#REF!</v>
      </c>
      <c r="R764" s="25" t="e">
        <f ca="1"/>
        <v>#REF!</v>
      </c>
      <c r="S764" s="25" t="e">
        <f ca="1"/>
        <v>#REF!</v>
      </c>
      <c r="T764" s="25" t="e">
        <f ca="1"/>
        <v>#REF!</v>
      </c>
      <c r="U764" s="25" t="e">
        <f ca="1"/>
        <v>#REF!</v>
      </c>
      <c r="V764" s="25" t="e">
        <f ca="1"/>
        <v>#REF!</v>
      </c>
      <c r="W764" s="33" t="e">
        <f ca="1"/>
        <v>#REF!</v>
      </c>
      <c r="X764" s="33" t="e">
        <f ca="1"/>
        <v>#REF!</v>
      </c>
      <c r="Y764" s="33" t="e">
        <f ca="1"/>
        <v>#REF!</v>
      </c>
      <c r="Z764" s="33" t="e">
        <f ca="1"/>
        <v>#REF!</v>
      </c>
      <c r="AA764" s="33" t="e">
        <f ca="1"/>
        <v>#REF!</v>
      </c>
    </row>
    <row r="765" spans="1:27" s="70" customFormat="1" ht="11.25" x14ac:dyDescent="0.2">
      <c r="A765" s="24">
        <v>759</v>
      </c>
      <c r="B765" s="27"/>
      <c r="C765" s="28"/>
      <c r="D765" s="71"/>
      <c r="E765" s="28"/>
      <c r="F765" s="28"/>
      <c r="G765" s="27"/>
      <c r="H765" s="28" t="e">
        <f ca="1"/>
        <v>#REF!</v>
      </c>
      <c r="I765" s="27" t="e">
        <f ca="1"/>
        <v>#REF!</v>
      </c>
      <c r="J765" s="28" t="e">
        <f ca="1"/>
        <v>#REF!</v>
      </c>
      <c r="K765" s="27" t="e">
        <f ca="1"/>
        <v>#REF!</v>
      </c>
      <c r="L765" s="25" t="e">
        <f ca="1"/>
        <v>#REF!</v>
      </c>
      <c r="M765" s="25" t="e">
        <f ca="1"/>
        <v>#REF!</v>
      </c>
      <c r="N765" s="25" t="e">
        <f ca="1"/>
        <v>#REF!</v>
      </c>
      <c r="O765" s="25" t="e">
        <f ca="1"/>
        <v>#REF!</v>
      </c>
      <c r="P765" s="25" t="e">
        <f ca="1"/>
        <v>#REF!</v>
      </c>
      <c r="Q765" s="25" t="e">
        <f ca="1"/>
        <v>#REF!</v>
      </c>
      <c r="R765" s="25" t="e">
        <f ca="1"/>
        <v>#REF!</v>
      </c>
      <c r="S765" s="25" t="e">
        <f ca="1"/>
        <v>#REF!</v>
      </c>
      <c r="T765" s="25" t="e">
        <f ca="1"/>
        <v>#REF!</v>
      </c>
      <c r="U765" s="25" t="e">
        <f ca="1"/>
        <v>#REF!</v>
      </c>
      <c r="V765" s="25" t="e">
        <f ca="1"/>
        <v>#REF!</v>
      </c>
      <c r="W765" s="33" t="e">
        <f ca="1"/>
        <v>#REF!</v>
      </c>
      <c r="X765" s="33" t="e">
        <f ca="1"/>
        <v>#REF!</v>
      </c>
      <c r="Y765" s="33" t="e">
        <f ca="1"/>
        <v>#REF!</v>
      </c>
      <c r="Z765" s="33" t="e">
        <f ca="1"/>
        <v>#REF!</v>
      </c>
      <c r="AA765" s="33" t="e">
        <f ca="1"/>
        <v>#REF!</v>
      </c>
    </row>
    <row r="766" spans="1:27" s="70" customFormat="1" ht="11.25" x14ac:dyDescent="0.2">
      <c r="A766" s="24">
        <v>760</v>
      </c>
      <c r="B766" s="27"/>
      <c r="C766" s="28"/>
      <c r="D766" s="71"/>
      <c r="E766" s="28"/>
      <c r="F766" s="28"/>
      <c r="G766" s="27"/>
      <c r="H766" s="28" t="e">
        <f ca="1"/>
        <v>#REF!</v>
      </c>
      <c r="I766" s="27" t="e">
        <f ca="1"/>
        <v>#REF!</v>
      </c>
      <c r="J766" s="28" t="e">
        <f ca="1"/>
        <v>#REF!</v>
      </c>
      <c r="K766" s="27" t="e">
        <f ca="1"/>
        <v>#REF!</v>
      </c>
      <c r="L766" s="25" t="e">
        <f ca="1"/>
        <v>#REF!</v>
      </c>
      <c r="M766" s="25" t="e">
        <f ca="1"/>
        <v>#REF!</v>
      </c>
      <c r="N766" s="25" t="e">
        <f ca="1"/>
        <v>#REF!</v>
      </c>
      <c r="O766" s="25" t="e">
        <f ca="1"/>
        <v>#REF!</v>
      </c>
      <c r="P766" s="25" t="e">
        <f ca="1"/>
        <v>#REF!</v>
      </c>
      <c r="Q766" s="25" t="e">
        <f ca="1"/>
        <v>#REF!</v>
      </c>
      <c r="R766" s="25" t="e">
        <f ca="1"/>
        <v>#REF!</v>
      </c>
      <c r="S766" s="25" t="e">
        <f ca="1"/>
        <v>#REF!</v>
      </c>
      <c r="T766" s="25" t="e">
        <f ca="1"/>
        <v>#REF!</v>
      </c>
      <c r="U766" s="25" t="e">
        <f ca="1"/>
        <v>#REF!</v>
      </c>
      <c r="V766" s="25" t="e">
        <f ca="1"/>
        <v>#REF!</v>
      </c>
      <c r="W766" s="33" t="e">
        <f ca="1"/>
        <v>#REF!</v>
      </c>
      <c r="X766" s="33" t="e">
        <f ca="1"/>
        <v>#REF!</v>
      </c>
      <c r="Y766" s="33" t="e">
        <f ca="1"/>
        <v>#REF!</v>
      </c>
      <c r="Z766" s="33" t="e">
        <f ca="1"/>
        <v>#REF!</v>
      </c>
      <c r="AA766" s="33" t="e">
        <f ca="1"/>
        <v>#REF!</v>
      </c>
    </row>
    <row r="767" spans="1:27" s="70" customFormat="1" ht="11.25" x14ac:dyDescent="0.2">
      <c r="A767" s="24">
        <v>761</v>
      </c>
      <c r="B767" s="27"/>
      <c r="C767" s="28"/>
      <c r="D767" s="71"/>
      <c r="E767" s="28"/>
      <c r="F767" s="28"/>
      <c r="G767" s="27"/>
      <c r="H767" s="28" t="e">
        <f ca="1"/>
        <v>#REF!</v>
      </c>
      <c r="I767" s="27" t="e">
        <f ca="1"/>
        <v>#REF!</v>
      </c>
      <c r="J767" s="28" t="e">
        <f ca="1"/>
        <v>#REF!</v>
      </c>
      <c r="K767" s="27" t="e">
        <f ca="1"/>
        <v>#REF!</v>
      </c>
      <c r="L767" s="25" t="e">
        <f ca="1"/>
        <v>#REF!</v>
      </c>
      <c r="M767" s="25" t="e">
        <f ca="1"/>
        <v>#REF!</v>
      </c>
      <c r="N767" s="25" t="e">
        <f ca="1"/>
        <v>#REF!</v>
      </c>
      <c r="O767" s="25" t="e">
        <f ca="1"/>
        <v>#REF!</v>
      </c>
      <c r="P767" s="25" t="e">
        <f ca="1"/>
        <v>#REF!</v>
      </c>
      <c r="Q767" s="25" t="e">
        <f ca="1"/>
        <v>#REF!</v>
      </c>
      <c r="R767" s="25" t="e">
        <f ca="1"/>
        <v>#REF!</v>
      </c>
      <c r="S767" s="25" t="e">
        <f ca="1"/>
        <v>#REF!</v>
      </c>
      <c r="T767" s="25" t="e">
        <f ca="1"/>
        <v>#REF!</v>
      </c>
      <c r="U767" s="25" t="e">
        <f ca="1"/>
        <v>#REF!</v>
      </c>
      <c r="V767" s="25" t="e">
        <f ca="1"/>
        <v>#REF!</v>
      </c>
      <c r="W767" s="33" t="e">
        <f ca="1"/>
        <v>#REF!</v>
      </c>
      <c r="X767" s="33" t="e">
        <f ca="1"/>
        <v>#REF!</v>
      </c>
      <c r="Y767" s="33" t="e">
        <f ca="1"/>
        <v>#REF!</v>
      </c>
      <c r="Z767" s="33" t="e">
        <f ca="1"/>
        <v>#REF!</v>
      </c>
      <c r="AA767" s="33" t="e">
        <f ca="1"/>
        <v>#REF!</v>
      </c>
    </row>
    <row r="768" spans="1:27" s="70" customFormat="1" ht="11.25" x14ac:dyDescent="0.2">
      <c r="A768" s="24">
        <v>762</v>
      </c>
      <c r="B768" s="27"/>
      <c r="C768" s="28"/>
      <c r="D768" s="71"/>
      <c r="E768" s="28"/>
      <c r="F768" s="28"/>
      <c r="G768" s="27"/>
      <c r="H768" s="28" t="e">
        <f ca="1"/>
        <v>#REF!</v>
      </c>
      <c r="I768" s="27" t="e">
        <f ca="1"/>
        <v>#REF!</v>
      </c>
      <c r="J768" s="28" t="e">
        <f ca="1"/>
        <v>#REF!</v>
      </c>
      <c r="K768" s="27" t="e">
        <f ca="1"/>
        <v>#REF!</v>
      </c>
      <c r="L768" s="25" t="e">
        <f ca="1"/>
        <v>#REF!</v>
      </c>
      <c r="M768" s="25" t="e">
        <f ca="1"/>
        <v>#REF!</v>
      </c>
      <c r="N768" s="25" t="e">
        <f ca="1"/>
        <v>#REF!</v>
      </c>
      <c r="O768" s="25" t="e">
        <f ca="1"/>
        <v>#REF!</v>
      </c>
      <c r="P768" s="25" t="e">
        <f ca="1"/>
        <v>#REF!</v>
      </c>
      <c r="Q768" s="25" t="e">
        <f ca="1"/>
        <v>#REF!</v>
      </c>
      <c r="R768" s="25" t="e">
        <f ca="1"/>
        <v>#REF!</v>
      </c>
      <c r="S768" s="25" t="e">
        <f ca="1"/>
        <v>#REF!</v>
      </c>
      <c r="T768" s="25" t="e">
        <f ca="1"/>
        <v>#REF!</v>
      </c>
      <c r="U768" s="25" t="e">
        <f ca="1"/>
        <v>#REF!</v>
      </c>
      <c r="V768" s="25" t="e">
        <f ca="1"/>
        <v>#REF!</v>
      </c>
      <c r="W768" s="33" t="e">
        <f ca="1"/>
        <v>#REF!</v>
      </c>
      <c r="X768" s="33" t="e">
        <f ca="1"/>
        <v>#REF!</v>
      </c>
      <c r="Y768" s="33" t="e">
        <f ca="1"/>
        <v>#REF!</v>
      </c>
      <c r="Z768" s="33" t="e">
        <f ca="1"/>
        <v>#REF!</v>
      </c>
      <c r="AA768" s="33" t="e">
        <f ca="1"/>
        <v>#REF!</v>
      </c>
    </row>
    <row r="769" spans="1:28" s="70" customFormat="1" ht="11.25" x14ac:dyDescent="0.2">
      <c r="A769" s="24">
        <v>763</v>
      </c>
      <c r="B769" s="27"/>
      <c r="C769" s="28"/>
      <c r="D769" s="71"/>
      <c r="E769" s="28"/>
      <c r="F769" s="28"/>
      <c r="G769" s="27"/>
      <c r="H769" s="28" t="e">
        <f ca="1"/>
        <v>#REF!</v>
      </c>
      <c r="I769" s="27" t="e">
        <f ca="1"/>
        <v>#REF!</v>
      </c>
      <c r="J769" s="28" t="e">
        <f ca="1"/>
        <v>#REF!</v>
      </c>
      <c r="K769" s="27" t="e">
        <f ca="1"/>
        <v>#REF!</v>
      </c>
      <c r="L769" s="25" t="e">
        <f ca="1"/>
        <v>#REF!</v>
      </c>
      <c r="M769" s="25" t="e">
        <f ca="1"/>
        <v>#REF!</v>
      </c>
      <c r="N769" s="25" t="e">
        <f ca="1"/>
        <v>#REF!</v>
      </c>
      <c r="O769" s="25" t="e">
        <f ca="1"/>
        <v>#REF!</v>
      </c>
      <c r="P769" s="25" t="e">
        <f ca="1"/>
        <v>#REF!</v>
      </c>
      <c r="Q769" s="25" t="e">
        <f ca="1"/>
        <v>#REF!</v>
      </c>
      <c r="R769" s="25" t="e">
        <f ca="1"/>
        <v>#REF!</v>
      </c>
      <c r="S769" s="25" t="e">
        <f ca="1"/>
        <v>#REF!</v>
      </c>
      <c r="T769" s="25" t="e">
        <f ca="1"/>
        <v>#REF!</v>
      </c>
      <c r="U769" s="25" t="e">
        <f ca="1"/>
        <v>#REF!</v>
      </c>
      <c r="V769" s="25" t="e">
        <f ca="1"/>
        <v>#REF!</v>
      </c>
      <c r="W769" s="33" t="e">
        <f ca="1"/>
        <v>#REF!</v>
      </c>
      <c r="X769" s="33" t="e">
        <f ca="1"/>
        <v>#REF!</v>
      </c>
      <c r="Y769" s="33" t="e">
        <f ca="1"/>
        <v>#REF!</v>
      </c>
      <c r="Z769" s="33" t="e">
        <f ca="1"/>
        <v>#REF!</v>
      </c>
      <c r="AA769" s="33" t="e">
        <f ca="1"/>
        <v>#REF!</v>
      </c>
    </row>
    <row r="770" spans="1:28" s="70" customFormat="1" ht="11.25" x14ac:dyDescent="0.2">
      <c r="A770" s="24">
        <v>764</v>
      </c>
      <c r="B770" s="27"/>
      <c r="C770" s="28"/>
      <c r="D770" s="71"/>
      <c r="E770" s="28"/>
      <c r="F770" s="28"/>
      <c r="G770" s="27"/>
      <c r="H770" s="28" t="e">
        <f ca="1"/>
        <v>#REF!</v>
      </c>
      <c r="I770" s="27" t="e">
        <f ca="1"/>
        <v>#REF!</v>
      </c>
      <c r="J770" s="28" t="e">
        <f ca="1"/>
        <v>#REF!</v>
      </c>
      <c r="K770" s="27" t="e">
        <f ca="1"/>
        <v>#REF!</v>
      </c>
      <c r="L770" s="25" t="e">
        <f ca="1"/>
        <v>#REF!</v>
      </c>
      <c r="M770" s="25" t="e">
        <f ca="1"/>
        <v>#REF!</v>
      </c>
      <c r="N770" s="25" t="e">
        <f ca="1"/>
        <v>#REF!</v>
      </c>
      <c r="O770" s="25" t="e">
        <f ca="1"/>
        <v>#REF!</v>
      </c>
      <c r="P770" s="25" t="e">
        <f ca="1"/>
        <v>#REF!</v>
      </c>
      <c r="Q770" s="25" t="e">
        <f ca="1"/>
        <v>#REF!</v>
      </c>
      <c r="R770" s="25" t="e">
        <f ca="1"/>
        <v>#REF!</v>
      </c>
      <c r="S770" s="25" t="e">
        <f ca="1"/>
        <v>#REF!</v>
      </c>
      <c r="T770" s="25" t="e">
        <f ca="1"/>
        <v>#REF!</v>
      </c>
      <c r="U770" s="25" t="e">
        <f ca="1"/>
        <v>#REF!</v>
      </c>
      <c r="V770" s="25" t="e">
        <f ca="1"/>
        <v>#REF!</v>
      </c>
      <c r="W770" s="33" t="e">
        <f ca="1"/>
        <v>#REF!</v>
      </c>
      <c r="X770" s="33" t="e">
        <f ca="1"/>
        <v>#REF!</v>
      </c>
      <c r="Y770" s="33" t="e">
        <f ca="1"/>
        <v>#REF!</v>
      </c>
      <c r="Z770" s="33" t="e">
        <f ca="1"/>
        <v>#REF!</v>
      </c>
      <c r="AA770" s="33" t="e">
        <f ca="1"/>
        <v>#REF!</v>
      </c>
    </row>
    <row r="771" spans="1:28" s="70" customFormat="1" ht="11.25" x14ac:dyDescent="0.2">
      <c r="A771" s="24">
        <v>765</v>
      </c>
      <c r="B771" s="27"/>
      <c r="C771" s="28"/>
      <c r="D771" s="71"/>
      <c r="E771" s="28"/>
      <c r="F771" s="28"/>
      <c r="G771" s="27"/>
      <c r="H771" s="28" t="e">
        <f ca="1"/>
        <v>#REF!</v>
      </c>
      <c r="I771" s="27" t="e">
        <f ca="1"/>
        <v>#REF!</v>
      </c>
      <c r="J771" s="28" t="e">
        <f ca="1"/>
        <v>#REF!</v>
      </c>
      <c r="K771" s="27" t="e">
        <f ca="1"/>
        <v>#REF!</v>
      </c>
      <c r="L771" s="25" t="e">
        <f ca="1"/>
        <v>#REF!</v>
      </c>
      <c r="M771" s="25" t="e">
        <f ca="1"/>
        <v>#REF!</v>
      </c>
      <c r="N771" s="25" t="e">
        <f ca="1"/>
        <v>#REF!</v>
      </c>
      <c r="O771" s="25" t="e">
        <f ca="1"/>
        <v>#REF!</v>
      </c>
      <c r="P771" s="25" t="e">
        <f ca="1"/>
        <v>#REF!</v>
      </c>
      <c r="Q771" s="25" t="e">
        <f ca="1"/>
        <v>#REF!</v>
      </c>
      <c r="R771" s="25" t="e">
        <f ca="1"/>
        <v>#REF!</v>
      </c>
      <c r="S771" s="25" t="e">
        <f ca="1"/>
        <v>#REF!</v>
      </c>
      <c r="T771" s="25" t="e">
        <f ca="1"/>
        <v>#REF!</v>
      </c>
      <c r="U771" s="25" t="e">
        <f ca="1"/>
        <v>#REF!</v>
      </c>
      <c r="V771" s="25" t="e">
        <f ca="1"/>
        <v>#REF!</v>
      </c>
      <c r="W771" s="33" t="e">
        <f ca="1"/>
        <v>#REF!</v>
      </c>
      <c r="X771" s="33" t="e">
        <f ca="1"/>
        <v>#REF!</v>
      </c>
      <c r="Y771" s="33" t="e">
        <f ca="1"/>
        <v>#REF!</v>
      </c>
      <c r="Z771" s="33" t="e">
        <f ca="1"/>
        <v>#REF!</v>
      </c>
      <c r="AA771" s="33" t="e">
        <f ca="1"/>
        <v>#REF!</v>
      </c>
    </row>
    <row r="772" spans="1:28" s="70" customFormat="1" ht="11.25" x14ac:dyDescent="0.2">
      <c r="A772" s="24">
        <v>766</v>
      </c>
      <c r="B772" s="27"/>
      <c r="C772" s="28"/>
      <c r="D772" s="71"/>
      <c r="E772" s="28"/>
      <c r="F772" s="28"/>
      <c r="G772" s="27"/>
      <c r="H772" s="28" t="e">
        <f ca="1"/>
        <v>#REF!</v>
      </c>
      <c r="I772" s="27" t="e">
        <f ca="1"/>
        <v>#REF!</v>
      </c>
      <c r="J772" s="28" t="e">
        <f ca="1"/>
        <v>#REF!</v>
      </c>
      <c r="K772" s="27" t="e">
        <f ca="1"/>
        <v>#REF!</v>
      </c>
      <c r="L772" s="25" t="e">
        <f ca="1"/>
        <v>#REF!</v>
      </c>
      <c r="M772" s="25" t="e">
        <f ca="1"/>
        <v>#REF!</v>
      </c>
      <c r="N772" s="25" t="e">
        <f ca="1"/>
        <v>#REF!</v>
      </c>
      <c r="O772" s="25" t="e">
        <f ca="1"/>
        <v>#REF!</v>
      </c>
      <c r="P772" s="25" t="e">
        <f ca="1"/>
        <v>#REF!</v>
      </c>
      <c r="Q772" s="25" t="e">
        <f ca="1"/>
        <v>#REF!</v>
      </c>
      <c r="R772" s="25" t="e">
        <f ca="1"/>
        <v>#REF!</v>
      </c>
      <c r="S772" s="25" t="e">
        <f ca="1"/>
        <v>#REF!</v>
      </c>
      <c r="T772" s="25" t="e">
        <f ca="1"/>
        <v>#REF!</v>
      </c>
      <c r="U772" s="25" t="e">
        <f ca="1"/>
        <v>#REF!</v>
      </c>
      <c r="V772" s="25" t="e">
        <f ca="1"/>
        <v>#REF!</v>
      </c>
      <c r="W772" s="33" t="e">
        <f ca="1"/>
        <v>#REF!</v>
      </c>
      <c r="X772" s="33" t="e">
        <f ca="1"/>
        <v>#REF!</v>
      </c>
      <c r="Y772" s="33" t="e">
        <f ca="1"/>
        <v>#REF!</v>
      </c>
      <c r="Z772" s="33" t="e">
        <f ca="1"/>
        <v>#REF!</v>
      </c>
      <c r="AA772" s="33" t="e">
        <f ca="1"/>
        <v>#REF!</v>
      </c>
    </row>
    <row r="773" spans="1:28" s="70" customFormat="1" ht="11.25" x14ac:dyDescent="0.2">
      <c r="A773" s="24">
        <v>767</v>
      </c>
      <c r="B773" s="27"/>
      <c r="C773" s="28"/>
      <c r="D773" s="71"/>
      <c r="E773" s="28"/>
      <c r="F773" s="28"/>
      <c r="G773" s="27"/>
      <c r="H773" s="28" t="e">
        <f ca="1"/>
        <v>#REF!</v>
      </c>
      <c r="I773" s="27" t="e">
        <f ca="1"/>
        <v>#REF!</v>
      </c>
      <c r="J773" s="28" t="e">
        <f ca="1"/>
        <v>#REF!</v>
      </c>
      <c r="K773" s="27" t="e">
        <f ca="1"/>
        <v>#REF!</v>
      </c>
      <c r="L773" s="25" t="e">
        <f ca="1"/>
        <v>#REF!</v>
      </c>
      <c r="M773" s="25" t="e">
        <f ca="1"/>
        <v>#REF!</v>
      </c>
      <c r="N773" s="25" t="e">
        <f ca="1"/>
        <v>#REF!</v>
      </c>
      <c r="O773" s="25" t="e">
        <f ca="1"/>
        <v>#REF!</v>
      </c>
      <c r="P773" s="25" t="e">
        <f ca="1"/>
        <v>#REF!</v>
      </c>
      <c r="Q773" s="25" t="e">
        <f ca="1"/>
        <v>#REF!</v>
      </c>
      <c r="R773" s="25" t="e">
        <f ca="1"/>
        <v>#REF!</v>
      </c>
      <c r="S773" s="25" t="e">
        <f ca="1"/>
        <v>#REF!</v>
      </c>
      <c r="T773" s="25" t="e">
        <f ca="1"/>
        <v>#REF!</v>
      </c>
      <c r="U773" s="25" t="e">
        <f ca="1"/>
        <v>#REF!</v>
      </c>
      <c r="V773" s="25" t="e">
        <f ca="1"/>
        <v>#REF!</v>
      </c>
      <c r="W773" s="33" t="e">
        <f ca="1"/>
        <v>#REF!</v>
      </c>
      <c r="X773" s="33" t="e">
        <f ca="1"/>
        <v>#REF!</v>
      </c>
      <c r="Y773" s="33" t="e">
        <f ca="1"/>
        <v>#REF!</v>
      </c>
      <c r="Z773" s="33" t="e">
        <f ca="1"/>
        <v>#REF!</v>
      </c>
      <c r="AA773" s="33" t="e">
        <f ca="1"/>
        <v>#REF!</v>
      </c>
    </row>
    <row r="774" spans="1:28" s="70" customFormat="1" ht="11.25" x14ac:dyDescent="0.2">
      <c r="A774" s="24">
        <v>768</v>
      </c>
      <c r="B774" s="27"/>
      <c r="C774" s="28"/>
      <c r="D774" s="71"/>
      <c r="E774" s="28"/>
      <c r="F774" s="28"/>
      <c r="G774" s="27"/>
      <c r="H774" s="28" t="e">
        <f ca="1"/>
        <v>#REF!</v>
      </c>
      <c r="I774" s="27" t="e">
        <f ca="1"/>
        <v>#REF!</v>
      </c>
      <c r="J774" s="28" t="e">
        <f ca="1"/>
        <v>#REF!</v>
      </c>
      <c r="K774" s="27" t="e">
        <f ca="1"/>
        <v>#REF!</v>
      </c>
      <c r="L774" s="25" t="e">
        <f ca="1"/>
        <v>#REF!</v>
      </c>
      <c r="M774" s="25" t="e">
        <f ca="1"/>
        <v>#REF!</v>
      </c>
      <c r="N774" s="25" t="e">
        <f ca="1"/>
        <v>#REF!</v>
      </c>
      <c r="O774" s="25" t="e">
        <f ca="1"/>
        <v>#REF!</v>
      </c>
      <c r="P774" s="25" t="e">
        <f ca="1"/>
        <v>#REF!</v>
      </c>
      <c r="Q774" s="25" t="e">
        <f ca="1"/>
        <v>#REF!</v>
      </c>
      <c r="R774" s="25" t="e">
        <f ca="1"/>
        <v>#REF!</v>
      </c>
      <c r="S774" s="25" t="e">
        <f ca="1"/>
        <v>#REF!</v>
      </c>
      <c r="T774" s="25" t="e">
        <f ca="1"/>
        <v>#REF!</v>
      </c>
      <c r="U774" s="25" t="e">
        <f ca="1"/>
        <v>#REF!</v>
      </c>
      <c r="V774" s="25" t="e">
        <f ca="1"/>
        <v>#REF!</v>
      </c>
      <c r="W774" s="33" t="e">
        <f ca="1"/>
        <v>#REF!</v>
      </c>
      <c r="X774" s="33" t="e">
        <f ca="1"/>
        <v>#REF!</v>
      </c>
      <c r="Y774" s="33" t="e">
        <f ca="1"/>
        <v>#REF!</v>
      </c>
      <c r="Z774" s="33" t="e">
        <f ca="1"/>
        <v>#REF!</v>
      </c>
      <c r="AA774" s="33" t="e">
        <f ca="1"/>
        <v>#REF!</v>
      </c>
    </row>
    <row r="775" spans="1:28" s="70" customFormat="1" ht="11.25" x14ac:dyDescent="0.2">
      <c r="A775" s="24">
        <v>769</v>
      </c>
      <c r="B775" s="27"/>
      <c r="C775" s="28"/>
      <c r="D775" s="71"/>
      <c r="E775" s="28"/>
      <c r="F775" s="28"/>
      <c r="G775" s="27"/>
      <c r="H775" s="28" t="e">
        <f ca="1"/>
        <v>#REF!</v>
      </c>
      <c r="I775" s="27" t="e">
        <f ca="1"/>
        <v>#REF!</v>
      </c>
      <c r="J775" s="28" t="e">
        <f ca="1"/>
        <v>#REF!</v>
      </c>
      <c r="K775" s="27" t="e">
        <f ca="1"/>
        <v>#REF!</v>
      </c>
      <c r="L775" s="25" t="e">
        <f ca="1"/>
        <v>#REF!</v>
      </c>
      <c r="M775" s="25" t="e">
        <f ca="1"/>
        <v>#REF!</v>
      </c>
      <c r="N775" s="25" t="e">
        <f ca="1"/>
        <v>#REF!</v>
      </c>
      <c r="O775" s="25" t="e">
        <f ca="1"/>
        <v>#REF!</v>
      </c>
      <c r="P775" s="25" t="e">
        <f ca="1"/>
        <v>#REF!</v>
      </c>
      <c r="Q775" s="25" t="e">
        <f ca="1"/>
        <v>#REF!</v>
      </c>
      <c r="R775" s="25" t="e">
        <f ca="1"/>
        <v>#REF!</v>
      </c>
      <c r="S775" s="25" t="e">
        <f ca="1"/>
        <v>#REF!</v>
      </c>
      <c r="T775" s="25" t="e">
        <f ca="1"/>
        <v>#REF!</v>
      </c>
      <c r="U775" s="25" t="e">
        <f ca="1"/>
        <v>#REF!</v>
      </c>
      <c r="V775" s="25" t="e">
        <f ca="1"/>
        <v>#REF!</v>
      </c>
      <c r="W775" s="33" t="e">
        <f ca="1"/>
        <v>#REF!</v>
      </c>
      <c r="X775" s="33" t="e">
        <f ca="1"/>
        <v>#REF!</v>
      </c>
      <c r="Y775" s="33" t="e">
        <f ca="1"/>
        <v>#REF!</v>
      </c>
      <c r="Z775" s="33" t="e">
        <f ca="1"/>
        <v>#REF!</v>
      </c>
      <c r="AA775" s="33" t="e">
        <f ca="1"/>
        <v>#REF!</v>
      </c>
    </row>
    <row r="776" spans="1:28" s="70" customFormat="1" ht="11.25" x14ac:dyDescent="0.2">
      <c r="A776" s="24">
        <v>770</v>
      </c>
      <c r="B776" s="27"/>
      <c r="C776" s="28"/>
      <c r="D776" s="71"/>
      <c r="E776" s="28"/>
      <c r="F776" s="28"/>
      <c r="G776" s="27"/>
      <c r="H776" s="28" t="e">
        <f ca="1"/>
        <v>#REF!</v>
      </c>
      <c r="I776" s="27" t="e">
        <f ca="1"/>
        <v>#REF!</v>
      </c>
      <c r="J776" s="28" t="e">
        <f ca="1"/>
        <v>#REF!</v>
      </c>
      <c r="K776" s="27" t="e">
        <f ca="1"/>
        <v>#REF!</v>
      </c>
      <c r="L776" s="25" t="e">
        <f ca="1"/>
        <v>#REF!</v>
      </c>
      <c r="M776" s="25" t="e">
        <f ca="1"/>
        <v>#REF!</v>
      </c>
      <c r="N776" s="25" t="e">
        <f ca="1"/>
        <v>#REF!</v>
      </c>
      <c r="O776" s="25" t="e">
        <f ca="1"/>
        <v>#REF!</v>
      </c>
      <c r="P776" s="25" t="e">
        <f ca="1"/>
        <v>#REF!</v>
      </c>
      <c r="Q776" s="25" t="e">
        <f ca="1"/>
        <v>#REF!</v>
      </c>
      <c r="R776" s="25" t="e">
        <f ca="1"/>
        <v>#REF!</v>
      </c>
      <c r="S776" s="25" t="e">
        <f ca="1"/>
        <v>#REF!</v>
      </c>
      <c r="T776" s="25" t="e">
        <f ca="1"/>
        <v>#REF!</v>
      </c>
      <c r="U776" s="25" t="e">
        <f ca="1"/>
        <v>#REF!</v>
      </c>
      <c r="V776" s="25" t="e">
        <f ca="1"/>
        <v>#REF!</v>
      </c>
      <c r="W776" s="33" t="e">
        <f ca="1"/>
        <v>#REF!</v>
      </c>
      <c r="X776" s="33" t="e">
        <f ca="1"/>
        <v>#REF!</v>
      </c>
      <c r="Y776" s="33" t="e">
        <f ca="1"/>
        <v>#REF!</v>
      </c>
      <c r="Z776" s="33" t="e">
        <f ca="1"/>
        <v>#REF!</v>
      </c>
      <c r="AA776" s="33" t="e">
        <f ca="1"/>
        <v>#REF!</v>
      </c>
    </row>
    <row r="777" spans="1:28" s="70" customFormat="1" ht="11.25" x14ac:dyDescent="0.2">
      <c r="A777" s="24">
        <v>771</v>
      </c>
      <c r="B777" s="27"/>
      <c r="C777" s="28"/>
      <c r="D777" s="71"/>
      <c r="E777" s="28"/>
      <c r="F777" s="28"/>
      <c r="G777" s="27"/>
      <c r="H777" s="28" t="e">
        <f ca="1"/>
        <v>#REF!</v>
      </c>
      <c r="I777" s="27" t="e">
        <f ca="1"/>
        <v>#REF!</v>
      </c>
      <c r="J777" s="28" t="e">
        <f ca="1"/>
        <v>#REF!</v>
      </c>
      <c r="K777" s="27" t="e">
        <f ca="1"/>
        <v>#REF!</v>
      </c>
      <c r="L777" s="25" t="e">
        <f ca="1"/>
        <v>#REF!</v>
      </c>
      <c r="M777" s="25" t="e">
        <f ca="1"/>
        <v>#REF!</v>
      </c>
      <c r="N777" s="25" t="e">
        <f ca="1"/>
        <v>#REF!</v>
      </c>
      <c r="O777" s="25" t="e">
        <f ca="1"/>
        <v>#REF!</v>
      </c>
      <c r="P777" s="25" t="e">
        <f ca="1"/>
        <v>#REF!</v>
      </c>
      <c r="Q777" s="25" t="e">
        <f ca="1"/>
        <v>#REF!</v>
      </c>
      <c r="R777" s="25" t="e">
        <f ca="1"/>
        <v>#REF!</v>
      </c>
      <c r="S777" s="25" t="e">
        <f ca="1"/>
        <v>#REF!</v>
      </c>
      <c r="T777" s="25" t="e">
        <f ca="1"/>
        <v>#REF!</v>
      </c>
      <c r="U777" s="25" t="e">
        <f ca="1"/>
        <v>#REF!</v>
      </c>
      <c r="V777" s="25" t="e">
        <f ca="1"/>
        <v>#REF!</v>
      </c>
      <c r="W777" s="33" t="e">
        <f ca="1"/>
        <v>#REF!</v>
      </c>
      <c r="X777" s="33" t="e">
        <f ca="1"/>
        <v>#REF!</v>
      </c>
      <c r="Y777" s="33" t="e">
        <f ca="1"/>
        <v>#REF!</v>
      </c>
      <c r="Z777" s="33" t="e">
        <f ca="1"/>
        <v>#REF!</v>
      </c>
      <c r="AA777" s="33" t="e">
        <f ca="1"/>
        <v>#REF!</v>
      </c>
    </row>
    <row r="778" spans="1:28" s="70" customFormat="1" ht="11.25" x14ac:dyDescent="0.2">
      <c r="A778" s="24">
        <v>772</v>
      </c>
      <c r="B778" s="27"/>
      <c r="C778" s="28"/>
      <c r="D778" s="71"/>
      <c r="E778" s="28"/>
      <c r="F778" s="28"/>
      <c r="G778" s="27"/>
      <c r="H778" s="28" t="e">
        <f ca="1"/>
        <v>#REF!</v>
      </c>
      <c r="I778" s="27" t="e">
        <f ca="1"/>
        <v>#REF!</v>
      </c>
      <c r="J778" s="28" t="e">
        <f ca="1"/>
        <v>#REF!</v>
      </c>
      <c r="K778" s="27" t="e">
        <f ca="1"/>
        <v>#REF!</v>
      </c>
      <c r="L778" s="25" t="e">
        <f ca="1"/>
        <v>#REF!</v>
      </c>
      <c r="M778" s="25" t="e">
        <f ca="1"/>
        <v>#REF!</v>
      </c>
      <c r="N778" s="25" t="e">
        <f ca="1"/>
        <v>#REF!</v>
      </c>
      <c r="O778" s="25" t="e">
        <f ca="1"/>
        <v>#REF!</v>
      </c>
      <c r="P778" s="25" t="e">
        <f ca="1"/>
        <v>#REF!</v>
      </c>
      <c r="Q778" s="25" t="e">
        <f ca="1"/>
        <v>#REF!</v>
      </c>
      <c r="R778" s="25" t="e">
        <f ca="1"/>
        <v>#REF!</v>
      </c>
      <c r="S778" s="25" t="e">
        <f ca="1"/>
        <v>#REF!</v>
      </c>
      <c r="T778" s="25" t="e">
        <f ca="1"/>
        <v>#REF!</v>
      </c>
      <c r="U778" s="25" t="e">
        <f ca="1"/>
        <v>#REF!</v>
      </c>
      <c r="V778" s="25" t="e">
        <f ca="1"/>
        <v>#REF!</v>
      </c>
      <c r="W778" s="33" t="e">
        <f ca="1"/>
        <v>#REF!</v>
      </c>
      <c r="X778" s="33" t="e">
        <f ca="1"/>
        <v>#REF!</v>
      </c>
      <c r="Y778" s="33" t="e">
        <f ca="1"/>
        <v>#REF!</v>
      </c>
      <c r="Z778" s="33" t="e">
        <f ca="1"/>
        <v>#REF!</v>
      </c>
      <c r="AA778" s="33" t="e">
        <f ca="1"/>
        <v>#REF!</v>
      </c>
    </row>
    <row r="779" spans="1:28" s="70" customFormat="1" ht="11.25" x14ac:dyDescent="0.2">
      <c r="A779" s="24">
        <v>773</v>
      </c>
      <c r="B779" s="27"/>
      <c r="C779" s="28"/>
      <c r="D779" s="71"/>
      <c r="E779" s="28"/>
      <c r="F779" s="28"/>
      <c r="G779" s="27"/>
      <c r="H779" s="28" t="e">
        <f ca="1"/>
        <v>#REF!</v>
      </c>
      <c r="I779" s="27" t="e">
        <f ca="1"/>
        <v>#REF!</v>
      </c>
      <c r="J779" s="28" t="e">
        <f ca="1"/>
        <v>#REF!</v>
      </c>
      <c r="K779" s="27" t="e">
        <f ca="1"/>
        <v>#REF!</v>
      </c>
      <c r="L779" s="25" t="e">
        <f ca="1"/>
        <v>#REF!</v>
      </c>
      <c r="M779" s="25" t="e">
        <f ca="1"/>
        <v>#REF!</v>
      </c>
      <c r="N779" s="25" t="e">
        <f ca="1"/>
        <v>#REF!</v>
      </c>
      <c r="O779" s="25" t="e">
        <f ca="1"/>
        <v>#REF!</v>
      </c>
      <c r="P779" s="25" t="e">
        <f ca="1"/>
        <v>#REF!</v>
      </c>
      <c r="Q779" s="25" t="e">
        <f ca="1"/>
        <v>#REF!</v>
      </c>
      <c r="R779" s="25" t="e">
        <f ca="1"/>
        <v>#REF!</v>
      </c>
      <c r="S779" s="25" t="e">
        <f ca="1"/>
        <v>#REF!</v>
      </c>
      <c r="T779" s="25" t="e">
        <f ca="1"/>
        <v>#REF!</v>
      </c>
      <c r="U779" s="25" t="e">
        <f ca="1"/>
        <v>#REF!</v>
      </c>
      <c r="V779" s="25" t="e">
        <f ca="1"/>
        <v>#REF!</v>
      </c>
      <c r="W779" s="33" t="e">
        <f ca="1"/>
        <v>#REF!</v>
      </c>
      <c r="X779" s="33" t="e">
        <f ca="1"/>
        <v>#REF!</v>
      </c>
      <c r="Y779" s="33" t="e">
        <f ca="1"/>
        <v>#REF!</v>
      </c>
      <c r="Z779" s="33" t="e">
        <f ca="1"/>
        <v>#REF!</v>
      </c>
      <c r="AA779" s="33" t="e">
        <f ca="1"/>
        <v>#REF!</v>
      </c>
    </row>
    <row r="780" spans="1:28" s="70" customFormat="1" ht="11.25" x14ac:dyDescent="0.2">
      <c r="A780" s="24">
        <v>774</v>
      </c>
      <c r="B780" s="27"/>
      <c r="C780" s="28"/>
      <c r="D780" s="71"/>
      <c r="E780" s="28"/>
      <c r="F780" s="28"/>
      <c r="G780" s="27"/>
      <c r="H780" s="28" t="e">
        <f ca="1"/>
        <v>#REF!</v>
      </c>
      <c r="I780" s="27" t="e">
        <f ca="1"/>
        <v>#REF!</v>
      </c>
      <c r="J780" s="28" t="e">
        <f ca="1"/>
        <v>#REF!</v>
      </c>
      <c r="K780" s="27" t="e">
        <f ca="1"/>
        <v>#REF!</v>
      </c>
      <c r="L780" s="25" t="e">
        <f ca="1"/>
        <v>#REF!</v>
      </c>
      <c r="M780" s="25" t="e">
        <f ca="1"/>
        <v>#REF!</v>
      </c>
      <c r="N780" s="25" t="e">
        <f ca="1"/>
        <v>#REF!</v>
      </c>
      <c r="O780" s="25" t="e">
        <f ca="1"/>
        <v>#REF!</v>
      </c>
      <c r="P780" s="25" t="e">
        <f ca="1"/>
        <v>#REF!</v>
      </c>
      <c r="Q780" s="25" t="e">
        <f ca="1"/>
        <v>#REF!</v>
      </c>
      <c r="R780" s="25" t="e">
        <f ca="1"/>
        <v>#REF!</v>
      </c>
      <c r="S780" s="25" t="e">
        <f ca="1"/>
        <v>#REF!</v>
      </c>
      <c r="T780" s="25" t="e">
        <f ca="1"/>
        <v>#REF!</v>
      </c>
      <c r="U780" s="25" t="e">
        <f ca="1"/>
        <v>#REF!</v>
      </c>
      <c r="V780" s="25" t="e">
        <f ca="1"/>
        <v>#REF!</v>
      </c>
      <c r="W780" s="33" t="e">
        <f ca="1"/>
        <v>#REF!</v>
      </c>
      <c r="X780" s="33" t="e">
        <f ca="1"/>
        <v>#REF!</v>
      </c>
      <c r="Y780" s="33" t="e">
        <f ca="1"/>
        <v>#REF!</v>
      </c>
      <c r="Z780" s="33" t="e">
        <f ca="1"/>
        <v>#REF!</v>
      </c>
      <c r="AA780" s="33" t="e">
        <f ca="1"/>
        <v>#REF!</v>
      </c>
    </row>
    <row r="781" spans="1:28" s="70" customFormat="1" ht="11.25" x14ac:dyDescent="0.2">
      <c r="A781" s="24">
        <v>775</v>
      </c>
      <c r="B781" s="27"/>
      <c r="C781" s="28"/>
      <c r="D781" s="71"/>
      <c r="E781" s="28"/>
      <c r="F781" s="28"/>
      <c r="G781" s="27"/>
      <c r="H781" s="28" t="e">
        <f ca="1"/>
        <v>#REF!</v>
      </c>
      <c r="I781" s="27" t="e">
        <f ca="1"/>
        <v>#REF!</v>
      </c>
      <c r="J781" s="28" t="e">
        <f ca="1"/>
        <v>#REF!</v>
      </c>
      <c r="K781" s="27" t="e">
        <f ca="1"/>
        <v>#REF!</v>
      </c>
      <c r="L781" s="25" t="e">
        <f ca="1"/>
        <v>#REF!</v>
      </c>
      <c r="M781" s="25" t="e">
        <f ca="1"/>
        <v>#REF!</v>
      </c>
      <c r="N781" s="25" t="e">
        <f ca="1"/>
        <v>#REF!</v>
      </c>
      <c r="O781" s="25" t="e">
        <f ca="1"/>
        <v>#REF!</v>
      </c>
      <c r="P781" s="25" t="e">
        <f ca="1"/>
        <v>#REF!</v>
      </c>
      <c r="Q781" s="25" t="e">
        <f ca="1"/>
        <v>#REF!</v>
      </c>
      <c r="R781" s="25" t="e">
        <f ca="1"/>
        <v>#REF!</v>
      </c>
      <c r="S781" s="25" t="e">
        <f ca="1"/>
        <v>#REF!</v>
      </c>
      <c r="T781" s="25" t="e">
        <f ca="1"/>
        <v>#REF!</v>
      </c>
      <c r="U781" s="25" t="e">
        <f ca="1"/>
        <v>#REF!</v>
      </c>
      <c r="V781" s="25" t="e">
        <f ca="1"/>
        <v>#REF!</v>
      </c>
      <c r="W781" s="33" t="e">
        <f ca="1"/>
        <v>#REF!</v>
      </c>
      <c r="X781" s="33" t="e">
        <f ca="1"/>
        <v>#REF!</v>
      </c>
      <c r="Y781" s="33" t="e">
        <f ca="1"/>
        <v>#REF!</v>
      </c>
      <c r="Z781" s="33" t="e">
        <f ca="1"/>
        <v>#REF!</v>
      </c>
      <c r="AA781" s="33" t="e">
        <f ca="1"/>
        <v>#REF!</v>
      </c>
    </row>
    <row r="782" spans="1:28" s="70" customFormat="1" ht="11.25" x14ac:dyDescent="0.2">
      <c r="A782" s="24">
        <v>776</v>
      </c>
      <c r="B782" s="27"/>
      <c r="C782" s="28"/>
      <c r="D782" s="71"/>
      <c r="E782" s="28"/>
      <c r="F782" s="28"/>
      <c r="G782" s="27"/>
      <c r="H782" s="28" t="e">
        <f ca="1"/>
        <v>#REF!</v>
      </c>
      <c r="I782" s="27" t="e">
        <f ca="1"/>
        <v>#REF!</v>
      </c>
      <c r="J782" s="28" t="e">
        <f ca="1"/>
        <v>#REF!</v>
      </c>
      <c r="K782" s="27" t="e">
        <f ca="1"/>
        <v>#REF!</v>
      </c>
      <c r="L782" s="25" t="e">
        <f ca="1"/>
        <v>#REF!</v>
      </c>
      <c r="M782" s="25" t="e">
        <f ca="1"/>
        <v>#REF!</v>
      </c>
      <c r="N782" s="25" t="e">
        <f ca="1"/>
        <v>#REF!</v>
      </c>
      <c r="O782" s="25" t="e">
        <f ca="1"/>
        <v>#REF!</v>
      </c>
      <c r="P782" s="25" t="e">
        <f ca="1"/>
        <v>#REF!</v>
      </c>
      <c r="Q782" s="25" t="e">
        <f ca="1"/>
        <v>#REF!</v>
      </c>
      <c r="R782" s="25" t="e">
        <f ca="1"/>
        <v>#REF!</v>
      </c>
      <c r="S782" s="25" t="e">
        <f ca="1"/>
        <v>#REF!</v>
      </c>
      <c r="T782" s="25" t="e">
        <f ca="1"/>
        <v>#REF!</v>
      </c>
      <c r="U782" s="25" t="e">
        <f ca="1"/>
        <v>#REF!</v>
      </c>
      <c r="V782" s="25" t="e">
        <f ca="1"/>
        <v>#REF!</v>
      </c>
      <c r="W782" s="33" t="e">
        <f ca="1"/>
        <v>#REF!</v>
      </c>
      <c r="X782" s="33" t="e">
        <f ca="1"/>
        <v>#REF!</v>
      </c>
      <c r="Y782" s="33" t="e">
        <f ca="1"/>
        <v>#REF!</v>
      </c>
      <c r="Z782" s="33" t="e">
        <f ca="1"/>
        <v>#REF!</v>
      </c>
      <c r="AA782" s="33" t="e">
        <f ca="1"/>
        <v>#REF!</v>
      </c>
    </row>
    <row r="783" spans="1:28" s="70" customFormat="1" ht="11.25" x14ac:dyDescent="0.2">
      <c r="A783" s="24">
        <v>777</v>
      </c>
      <c r="B783" s="27"/>
      <c r="C783" s="28"/>
      <c r="D783" s="71"/>
      <c r="E783" s="28"/>
      <c r="F783" s="28"/>
      <c r="G783" s="27"/>
      <c r="H783" s="28" t="e">
        <f ca="1"/>
        <v>#REF!</v>
      </c>
      <c r="I783" s="27" t="e">
        <f ca="1"/>
        <v>#REF!</v>
      </c>
      <c r="J783" s="28" t="e">
        <f ca="1"/>
        <v>#REF!</v>
      </c>
      <c r="K783" s="27" t="e">
        <f ca="1"/>
        <v>#REF!</v>
      </c>
      <c r="L783" s="25" t="e">
        <f ca="1"/>
        <v>#REF!</v>
      </c>
      <c r="M783" s="25" t="e">
        <f ca="1"/>
        <v>#REF!</v>
      </c>
      <c r="N783" s="25" t="e">
        <f ca="1"/>
        <v>#REF!</v>
      </c>
      <c r="O783" s="25" t="e">
        <f ca="1"/>
        <v>#REF!</v>
      </c>
      <c r="P783" s="25" t="e">
        <f ca="1"/>
        <v>#REF!</v>
      </c>
      <c r="Q783" s="25" t="e">
        <f ca="1"/>
        <v>#REF!</v>
      </c>
      <c r="R783" s="25" t="e">
        <f ca="1"/>
        <v>#REF!</v>
      </c>
      <c r="S783" s="25" t="e">
        <f ca="1"/>
        <v>#REF!</v>
      </c>
      <c r="T783" s="25" t="e">
        <f ca="1"/>
        <v>#REF!</v>
      </c>
      <c r="U783" s="25" t="e">
        <f ca="1"/>
        <v>#REF!</v>
      </c>
      <c r="V783" s="25" t="e">
        <f ca="1"/>
        <v>#REF!</v>
      </c>
      <c r="W783" s="33" t="e">
        <f ca="1"/>
        <v>#REF!</v>
      </c>
      <c r="X783" s="33" t="e">
        <f ca="1"/>
        <v>#REF!</v>
      </c>
      <c r="Y783" s="33" t="e">
        <f ca="1"/>
        <v>#REF!</v>
      </c>
      <c r="Z783" s="33" t="e">
        <f ca="1"/>
        <v>#REF!</v>
      </c>
      <c r="AA783" s="33" t="e">
        <f ca="1"/>
        <v>#REF!</v>
      </c>
    </row>
    <row r="784" spans="1:28" s="70" customFormat="1" ht="11.25" x14ac:dyDescent="0.2">
      <c r="A784" s="24">
        <v>778</v>
      </c>
      <c r="B784" s="27"/>
      <c r="C784" s="28"/>
      <c r="D784" s="71"/>
      <c r="E784" s="28"/>
      <c r="F784" s="28"/>
      <c r="G784" s="27"/>
      <c r="H784" s="28" t="e">
        <f ca="1"/>
        <v>#REF!</v>
      </c>
      <c r="I784" s="27" t="e">
        <f ca="1"/>
        <v>#REF!</v>
      </c>
      <c r="J784" s="28" t="e">
        <f ca="1"/>
        <v>#REF!</v>
      </c>
      <c r="K784" s="27" t="e">
        <f ca="1"/>
        <v>#REF!</v>
      </c>
      <c r="L784" s="25" t="e">
        <f ca="1"/>
        <v>#REF!</v>
      </c>
      <c r="M784" s="25" t="e">
        <f ca="1"/>
        <v>#REF!</v>
      </c>
      <c r="N784" s="25" t="e">
        <f ca="1"/>
        <v>#REF!</v>
      </c>
      <c r="O784" s="25" t="e">
        <f ca="1"/>
        <v>#REF!</v>
      </c>
      <c r="P784" s="25" t="e">
        <f ca="1"/>
        <v>#REF!</v>
      </c>
      <c r="Q784" s="25" t="e">
        <f ca="1"/>
        <v>#REF!</v>
      </c>
      <c r="R784" s="25" t="e">
        <f ca="1"/>
        <v>#REF!</v>
      </c>
      <c r="S784" s="25" t="e">
        <f ca="1"/>
        <v>#REF!</v>
      </c>
      <c r="T784" s="25" t="e">
        <f ca="1"/>
        <v>#REF!</v>
      </c>
      <c r="U784" s="25" t="e">
        <f ca="1"/>
        <v>#REF!</v>
      </c>
      <c r="V784" s="25" t="e">
        <f ca="1"/>
        <v>#REF!</v>
      </c>
      <c r="W784" s="33" t="e">
        <f ca="1"/>
        <v>#REF!</v>
      </c>
      <c r="X784" s="33" t="e">
        <f ca="1"/>
        <v>#REF!</v>
      </c>
      <c r="Y784" s="33" t="e">
        <f ca="1"/>
        <v>#REF!</v>
      </c>
      <c r="Z784" s="33" t="e">
        <f ca="1"/>
        <v>#REF!</v>
      </c>
      <c r="AA784" s="33" t="e">
        <f ca="1"/>
        <v>#REF!</v>
      </c>
      <c r="AB784" s="72" t="s">
        <v>2675</v>
      </c>
    </row>
    <row r="785" spans="1:28" s="70" customFormat="1" ht="11.25" x14ac:dyDescent="0.2">
      <c r="A785" s="24">
        <v>779</v>
      </c>
      <c r="B785" s="27"/>
      <c r="C785" s="28"/>
      <c r="D785" s="71"/>
      <c r="E785" s="28"/>
      <c r="F785" s="28"/>
      <c r="G785" s="27"/>
      <c r="H785" s="28" t="e">
        <f ca="1"/>
        <v>#REF!</v>
      </c>
      <c r="I785" s="27" t="e">
        <f ca="1"/>
        <v>#REF!</v>
      </c>
      <c r="J785" s="28" t="e">
        <f ca="1"/>
        <v>#REF!</v>
      </c>
      <c r="K785" s="27" t="e">
        <f ca="1"/>
        <v>#REF!</v>
      </c>
      <c r="L785" s="25" t="e">
        <f ca="1"/>
        <v>#REF!</v>
      </c>
      <c r="M785" s="25" t="e">
        <f ca="1"/>
        <v>#REF!</v>
      </c>
      <c r="N785" s="25" t="e">
        <f ca="1"/>
        <v>#REF!</v>
      </c>
      <c r="O785" s="25" t="e">
        <f ca="1"/>
        <v>#REF!</v>
      </c>
      <c r="P785" s="25" t="e">
        <f ca="1"/>
        <v>#REF!</v>
      </c>
      <c r="Q785" s="25" t="e">
        <f ca="1"/>
        <v>#REF!</v>
      </c>
      <c r="R785" s="25" t="e">
        <f ca="1"/>
        <v>#REF!</v>
      </c>
      <c r="S785" s="25" t="e">
        <f ca="1"/>
        <v>#REF!</v>
      </c>
      <c r="T785" s="25" t="e">
        <f ca="1"/>
        <v>#REF!</v>
      </c>
      <c r="U785" s="25" t="e">
        <f ca="1"/>
        <v>#REF!</v>
      </c>
      <c r="V785" s="25" t="e">
        <f ca="1"/>
        <v>#REF!</v>
      </c>
      <c r="W785" s="33" t="e">
        <f ca="1"/>
        <v>#REF!</v>
      </c>
      <c r="X785" s="33" t="e">
        <f ca="1"/>
        <v>#REF!</v>
      </c>
      <c r="Y785" s="33" t="e">
        <f ca="1"/>
        <v>#REF!</v>
      </c>
      <c r="Z785" s="33" t="e">
        <f ca="1"/>
        <v>#REF!</v>
      </c>
      <c r="AA785" s="33" t="e">
        <f ca="1"/>
        <v>#REF!</v>
      </c>
      <c r="AB785" s="72"/>
    </row>
    <row r="786" spans="1:28" s="70" customFormat="1" ht="11.25" x14ac:dyDescent="0.2">
      <c r="A786" s="24">
        <v>780</v>
      </c>
      <c r="B786" s="27"/>
      <c r="C786" s="28"/>
      <c r="D786" s="71"/>
      <c r="E786" s="28"/>
      <c r="F786" s="28"/>
      <c r="G786" s="27"/>
      <c r="H786" s="28" t="e">
        <f ca="1"/>
        <v>#REF!</v>
      </c>
      <c r="I786" s="27" t="e">
        <f ca="1"/>
        <v>#REF!</v>
      </c>
      <c r="J786" s="28" t="e">
        <f ca="1"/>
        <v>#REF!</v>
      </c>
      <c r="K786" s="27" t="e">
        <f ca="1"/>
        <v>#REF!</v>
      </c>
      <c r="L786" s="25" t="e">
        <f ca="1"/>
        <v>#REF!</v>
      </c>
      <c r="M786" s="25" t="e">
        <f ca="1"/>
        <v>#REF!</v>
      </c>
      <c r="N786" s="25" t="e">
        <f ca="1"/>
        <v>#REF!</v>
      </c>
      <c r="O786" s="25" t="e">
        <f ca="1"/>
        <v>#REF!</v>
      </c>
      <c r="P786" s="25" t="e">
        <f ca="1"/>
        <v>#REF!</v>
      </c>
      <c r="Q786" s="25" t="e">
        <f ca="1"/>
        <v>#REF!</v>
      </c>
      <c r="R786" s="25" t="e">
        <f ca="1"/>
        <v>#REF!</v>
      </c>
      <c r="S786" s="25" t="e">
        <f ca="1"/>
        <v>#REF!</v>
      </c>
      <c r="T786" s="25" t="e">
        <f ca="1"/>
        <v>#REF!</v>
      </c>
      <c r="U786" s="25" t="e">
        <f ca="1"/>
        <v>#REF!</v>
      </c>
      <c r="V786" s="25" t="e">
        <f ca="1"/>
        <v>#REF!</v>
      </c>
      <c r="W786" s="33" t="e">
        <f ca="1"/>
        <v>#REF!</v>
      </c>
      <c r="X786" s="33" t="e">
        <f ca="1"/>
        <v>#REF!</v>
      </c>
      <c r="Y786" s="33" t="e">
        <f ca="1"/>
        <v>#REF!</v>
      </c>
      <c r="Z786" s="33" t="e">
        <f ca="1"/>
        <v>#REF!</v>
      </c>
      <c r="AA786" s="33" t="e">
        <f ca="1"/>
        <v>#REF!</v>
      </c>
    </row>
    <row r="787" spans="1:28" s="70" customFormat="1" ht="11.25" x14ac:dyDescent="0.2">
      <c r="A787" s="24">
        <v>781</v>
      </c>
      <c r="B787" s="27"/>
      <c r="C787" s="28"/>
      <c r="D787" s="71"/>
      <c r="E787" s="28"/>
      <c r="F787" s="28"/>
      <c r="G787" s="27"/>
      <c r="H787" s="28" t="e">
        <f ca="1"/>
        <v>#REF!</v>
      </c>
      <c r="I787" s="27" t="e">
        <f ca="1"/>
        <v>#REF!</v>
      </c>
      <c r="J787" s="28" t="e">
        <f ca="1"/>
        <v>#REF!</v>
      </c>
      <c r="K787" s="27" t="e">
        <f ca="1"/>
        <v>#REF!</v>
      </c>
      <c r="L787" s="25" t="e">
        <f ca="1"/>
        <v>#REF!</v>
      </c>
      <c r="M787" s="25" t="e">
        <f ca="1"/>
        <v>#REF!</v>
      </c>
      <c r="N787" s="25" t="e">
        <f ca="1"/>
        <v>#REF!</v>
      </c>
      <c r="O787" s="25" t="e">
        <f ca="1"/>
        <v>#REF!</v>
      </c>
      <c r="P787" s="25" t="e">
        <f ca="1"/>
        <v>#REF!</v>
      </c>
      <c r="Q787" s="25" t="e">
        <f ca="1"/>
        <v>#REF!</v>
      </c>
      <c r="R787" s="25" t="e">
        <f ca="1"/>
        <v>#REF!</v>
      </c>
      <c r="S787" s="25" t="e">
        <f ca="1"/>
        <v>#REF!</v>
      </c>
      <c r="T787" s="25" t="e">
        <f ca="1"/>
        <v>#REF!</v>
      </c>
      <c r="U787" s="25" t="e">
        <f ca="1"/>
        <v>#REF!</v>
      </c>
      <c r="V787" s="25" t="e">
        <f ca="1"/>
        <v>#REF!</v>
      </c>
      <c r="W787" s="33" t="e">
        <f ca="1"/>
        <v>#REF!</v>
      </c>
      <c r="X787" s="33" t="e">
        <f ca="1"/>
        <v>#REF!</v>
      </c>
      <c r="Y787" s="33" t="e">
        <f ca="1"/>
        <v>#REF!</v>
      </c>
      <c r="Z787" s="33" t="e">
        <f ca="1"/>
        <v>#REF!</v>
      </c>
      <c r="AA787" s="33" t="e">
        <f ca="1"/>
        <v>#REF!</v>
      </c>
      <c r="AB787" s="72"/>
    </row>
    <row r="788" spans="1:28" s="70" customFormat="1" ht="11.25" x14ac:dyDescent="0.2">
      <c r="A788" s="24">
        <v>782</v>
      </c>
      <c r="B788" s="27"/>
      <c r="C788" s="28"/>
      <c r="D788" s="71"/>
      <c r="E788" s="28"/>
      <c r="F788" s="28"/>
      <c r="G788" s="27"/>
      <c r="H788" s="28" t="e">
        <f ca="1"/>
        <v>#REF!</v>
      </c>
      <c r="I788" s="27" t="e">
        <f ca="1"/>
        <v>#REF!</v>
      </c>
      <c r="J788" s="28" t="e">
        <f ca="1"/>
        <v>#REF!</v>
      </c>
      <c r="K788" s="27" t="e">
        <f ca="1"/>
        <v>#REF!</v>
      </c>
      <c r="L788" s="25" t="e">
        <f ca="1"/>
        <v>#REF!</v>
      </c>
      <c r="M788" s="25" t="e">
        <f ca="1"/>
        <v>#REF!</v>
      </c>
      <c r="N788" s="25" t="e">
        <f ca="1"/>
        <v>#REF!</v>
      </c>
      <c r="O788" s="25" t="e">
        <f ca="1"/>
        <v>#REF!</v>
      </c>
      <c r="P788" s="25" t="e">
        <f ca="1"/>
        <v>#REF!</v>
      </c>
      <c r="Q788" s="25" t="e">
        <f ca="1"/>
        <v>#REF!</v>
      </c>
      <c r="R788" s="25" t="e">
        <f ca="1"/>
        <v>#REF!</v>
      </c>
      <c r="S788" s="25" t="e">
        <f ca="1"/>
        <v>#REF!</v>
      </c>
      <c r="T788" s="25" t="e">
        <f ca="1"/>
        <v>#REF!</v>
      </c>
      <c r="U788" s="25" t="e">
        <f ca="1"/>
        <v>#REF!</v>
      </c>
      <c r="V788" s="25" t="e">
        <f ca="1"/>
        <v>#REF!</v>
      </c>
      <c r="W788" s="33" t="e">
        <f ca="1"/>
        <v>#REF!</v>
      </c>
      <c r="X788" s="33" t="e">
        <f ca="1"/>
        <v>#REF!</v>
      </c>
      <c r="Y788" s="33" t="e">
        <f ca="1"/>
        <v>#REF!</v>
      </c>
      <c r="Z788" s="33" t="e">
        <f ca="1"/>
        <v>#REF!</v>
      </c>
      <c r="AA788" s="33" t="e">
        <f ca="1"/>
        <v>#REF!</v>
      </c>
    </row>
    <row r="789" spans="1:28" s="70" customFormat="1" ht="11.25" x14ac:dyDescent="0.2">
      <c r="A789" s="24">
        <v>783</v>
      </c>
      <c r="B789" s="27"/>
      <c r="C789" s="28"/>
      <c r="D789" s="71"/>
      <c r="E789" s="28"/>
      <c r="F789" s="28"/>
      <c r="G789" s="27"/>
      <c r="H789" s="28" t="e">
        <f ca="1"/>
        <v>#REF!</v>
      </c>
      <c r="I789" s="27" t="e">
        <f ca="1"/>
        <v>#REF!</v>
      </c>
      <c r="J789" s="28" t="e">
        <f ca="1"/>
        <v>#REF!</v>
      </c>
      <c r="K789" s="27" t="e">
        <f ca="1"/>
        <v>#REF!</v>
      </c>
      <c r="L789" s="25" t="e">
        <f ca="1"/>
        <v>#REF!</v>
      </c>
      <c r="M789" s="25" t="e">
        <f ca="1"/>
        <v>#REF!</v>
      </c>
      <c r="N789" s="25" t="e">
        <f ca="1"/>
        <v>#REF!</v>
      </c>
      <c r="O789" s="25" t="e">
        <f ca="1"/>
        <v>#REF!</v>
      </c>
      <c r="P789" s="25" t="e">
        <f ca="1"/>
        <v>#REF!</v>
      </c>
      <c r="Q789" s="25" t="e">
        <f ca="1"/>
        <v>#REF!</v>
      </c>
      <c r="R789" s="25" t="e">
        <f ca="1"/>
        <v>#REF!</v>
      </c>
      <c r="S789" s="25" t="e">
        <f ca="1"/>
        <v>#REF!</v>
      </c>
      <c r="T789" s="25" t="e">
        <f ca="1"/>
        <v>#REF!</v>
      </c>
      <c r="U789" s="25" t="e">
        <f ca="1"/>
        <v>#REF!</v>
      </c>
      <c r="V789" s="25" t="e">
        <f ca="1"/>
        <v>#REF!</v>
      </c>
      <c r="W789" s="33" t="e">
        <f ca="1"/>
        <v>#REF!</v>
      </c>
      <c r="X789" s="33" t="e">
        <f ca="1"/>
        <v>#REF!</v>
      </c>
      <c r="Y789" s="33" t="e">
        <f ca="1"/>
        <v>#REF!</v>
      </c>
      <c r="Z789" s="33" t="e">
        <f ca="1"/>
        <v>#REF!</v>
      </c>
      <c r="AA789" s="33" t="e">
        <f ca="1"/>
        <v>#REF!</v>
      </c>
    </row>
    <row r="790" spans="1:28" s="70" customFormat="1" ht="11.25" x14ac:dyDescent="0.2">
      <c r="A790" s="24">
        <v>784</v>
      </c>
      <c r="B790" s="27"/>
      <c r="C790" s="28"/>
      <c r="D790" s="71"/>
      <c r="E790" s="28"/>
      <c r="F790" s="28"/>
      <c r="G790" s="27"/>
      <c r="H790" s="28" t="e">
        <f ca="1"/>
        <v>#REF!</v>
      </c>
      <c r="I790" s="27" t="e">
        <f ca="1"/>
        <v>#REF!</v>
      </c>
      <c r="J790" s="28" t="e">
        <f ca="1"/>
        <v>#REF!</v>
      </c>
      <c r="K790" s="27" t="e">
        <f ca="1"/>
        <v>#REF!</v>
      </c>
      <c r="L790" s="25" t="e">
        <f ca="1"/>
        <v>#REF!</v>
      </c>
      <c r="M790" s="25" t="e">
        <f ca="1"/>
        <v>#REF!</v>
      </c>
      <c r="N790" s="25" t="e">
        <f ca="1"/>
        <v>#REF!</v>
      </c>
      <c r="O790" s="25" t="e">
        <f ca="1"/>
        <v>#REF!</v>
      </c>
      <c r="P790" s="25" t="e">
        <f ca="1"/>
        <v>#REF!</v>
      </c>
      <c r="Q790" s="25" t="e">
        <f ca="1"/>
        <v>#REF!</v>
      </c>
      <c r="R790" s="25" t="e">
        <f ca="1"/>
        <v>#REF!</v>
      </c>
      <c r="S790" s="25" t="e">
        <f ca="1"/>
        <v>#REF!</v>
      </c>
      <c r="T790" s="25" t="e">
        <f ca="1"/>
        <v>#REF!</v>
      </c>
      <c r="U790" s="25" t="e">
        <f ca="1"/>
        <v>#REF!</v>
      </c>
      <c r="V790" s="25" t="e">
        <f ca="1"/>
        <v>#REF!</v>
      </c>
      <c r="W790" s="33" t="e">
        <f ca="1"/>
        <v>#REF!</v>
      </c>
      <c r="X790" s="33" t="e">
        <f ca="1"/>
        <v>#REF!</v>
      </c>
      <c r="Y790" s="33" t="e">
        <f ca="1"/>
        <v>#REF!</v>
      </c>
      <c r="Z790" s="33" t="e">
        <f ca="1"/>
        <v>#REF!</v>
      </c>
      <c r="AA790" s="33" t="e">
        <f ca="1"/>
        <v>#REF!</v>
      </c>
      <c r="AB790" s="70" t="s">
        <v>2151</v>
      </c>
    </row>
    <row r="791" spans="1:28" s="72" customFormat="1" ht="11.25" x14ac:dyDescent="0.2">
      <c r="A791" s="24">
        <v>785</v>
      </c>
      <c r="B791" s="24"/>
      <c r="C791" s="28"/>
      <c r="D791" s="71"/>
      <c r="E791" s="28"/>
      <c r="F791" s="28"/>
      <c r="G791" s="27"/>
      <c r="H791" s="28" t="e">
        <f ca="1"/>
        <v>#REF!</v>
      </c>
      <c r="I791" s="27" t="e">
        <f ca="1"/>
        <v>#REF!</v>
      </c>
      <c r="J791" s="28" t="e">
        <f ca="1"/>
        <v>#REF!</v>
      </c>
      <c r="K791" s="24" t="e">
        <f ca="1"/>
        <v>#REF!</v>
      </c>
      <c r="L791" s="25" t="e">
        <f ca="1"/>
        <v>#REF!</v>
      </c>
      <c r="M791" s="25" t="e">
        <f ca="1"/>
        <v>#REF!</v>
      </c>
      <c r="N791" s="25" t="e">
        <f ca="1"/>
        <v>#REF!</v>
      </c>
      <c r="O791" s="25" t="e">
        <f ca="1"/>
        <v>#REF!</v>
      </c>
      <c r="P791" s="25" t="e">
        <f ca="1"/>
        <v>#REF!</v>
      </c>
      <c r="Q791" s="25" t="e">
        <f ca="1"/>
        <v>#REF!</v>
      </c>
      <c r="R791" s="25" t="e">
        <f ca="1"/>
        <v>#REF!</v>
      </c>
      <c r="S791" s="25" t="e">
        <f ca="1"/>
        <v>#REF!</v>
      </c>
      <c r="T791" s="25" t="e">
        <f ca="1"/>
        <v>#REF!</v>
      </c>
      <c r="U791" s="25" t="e">
        <f ca="1"/>
        <v>#REF!</v>
      </c>
      <c r="V791" s="25" t="e">
        <f ca="1"/>
        <v>#REF!</v>
      </c>
      <c r="W791" s="33" t="e">
        <f ca="1"/>
        <v>#REF!</v>
      </c>
      <c r="X791" s="33" t="e">
        <f ca="1"/>
        <v>#REF!</v>
      </c>
      <c r="Y791" s="33" t="e">
        <f ca="1"/>
        <v>#REF!</v>
      </c>
      <c r="Z791" s="33" t="e">
        <f ca="1"/>
        <v>#REF!</v>
      </c>
      <c r="AA791" s="33" t="e">
        <f ca="1"/>
        <v>#REF!</v>
      </c>
    </row>
    <row r="792" spans="1:28" s="72" customFormat="1" ht="11.25" x14ac:dyDescent="0.2">
      <c r="A792" s="24">
        <v>786</v>
      </c>
      <c r="B792" s="24"/>
      <c r="C792" s="28"/>
      <c r="D792" s="71"/>
      <c r="E792" s="28"/>
      <c r="F792" s="28"/>
      <c r="G792" s="27"/>
      <c r="H792" s="28" t="e">
        <f ca="1"/>
        <v>#REF!</v>
      </c>
      <c r="I792" s="27" t="e">
        <f ca="1"/>
        <v>#REF!</v>
      </c>
      <c r="J792" s="28" t="e">
        <f ca="1"/>
        <v>#REF!</v>
      </c>
      <c r="K792" s="24" t="e">
        <f ca="1"/>
        <v>#REF!</v>
      </c>
      <c r="L792" s="25" t="e">
        <f ca="1"/>
        <v>#REF!</v>
      </c>
      <c r="M792" s="25" t="e">
        <f ca="1"/>
        <v>#REF!</v>
      </c>
      <c r="N792" s="25" t="e">
        <f ca="1"/>
        <v>#REF!</v>
      </c>
      <c r="O792" s="25" t="e">
        <f ca="1"/>
        <v>#REF!</v>
      </c>
      <c r="P792" s="25" t="e">
        <f ca="1"/>
        <v>#REF!</v>
      </c>
      <c r="Q792" s="25" t="e">
        <f ca="1"/>
        <v>#REF!</v>
      </c>
      <c r="R792" s="25" t="e">
        <f ca="1"/>
        <v>#REF!</v>
      </c>
      <c r="S792" s="25" t="e">
        <f ca="1"/>
        <v>#REF!</v>
      </c>
      <c r="T792" s="25" t="e">
        <f ca="1"/>
        <v>#REF!</v>
      </c>
      <c r="U792" s="25" t="e">
        <f ca="1"/>
        <v>#REF!</v>
      </c>
      <c r="V792" s="25" t="e">
        <f ca="1"/>
        <v>#REF!</v>
      </c>
      <c r="W792" s="33" t="e">
        <f ca="1"/>
        <v>#REF!</v>
      </c>
      <c r="X792" s="33" t="e">
        <f ca="1"/>
        <v>#REF!</v>
      </c>
      <c r="Y792" s="33" t="e">
        <f ca="1"/>
        <v>#REF!</v>
      </c>
      <c r="Z792" s="33" t="e">
        <f ca="1"/>
        <v>#REF!</v>
      </c>
      <c r="AA792" s="33" t="e">
        <f ca="1"/>
        <v>#REF!</v>
      </c>
    </row>
    <row r="793" spans="1:28" s="72" customFormat="1" ht="11.25" x14ac:dyDescent="0.2">
      <c r="A793" s="24">
        <v>787</v>
      </c>
      <c r="B793" s="24"/>
      <c r="C793" s="28"/>
      <c r="D793" s="71"/>
      <c r="E793" s="28"/>
      <c r="F793" s="28"/>
      <c r="G793" s="27"/>
      <c r="H793" s="28" t="e">
        <f ca="1"/>
        <v>#REF!</v>
      </c>
      <c r="I793" s="27" t="e">
        <f ca="1"/>
        <v>#REF!</v>
      </c>
      <c r="J793" s="28" t="e">
        <f ca="1"/>
        <v>#REF!</v>
      </c>
      <c r="K793" s="24" t="e">
        <f ca="1"/>
        <v>#REF!</v>
      </c>
      <c r="L793" s="25" t="e">
        <f ca="1"/>
        <v>#REF!</v>
      </c>
      <c r="M793" s="25" t="e">
        <f ca="1"/>
        <v>#REF!</v>
      </c>
      <c r="N793" s="25" t="e">
        <f ca="1"/>
        <v>#REF!</v>
      </c>
      <c r="O793" s="25" t="e">
        <f ca="1"/>
        <v>#REF!</v>
      </c>
      <c r="P793" s="25" t="e">
        <f ca="1"/>
        <v>#REF!</v>
      </c>
      <c r="Q793" s="25" t="e">
        <f ca="1"/>
        <v>#REF!</v>
      </c>
      <c r="R793" s="25" t="e">
        <f ca="1"/>
        <v>#REF!</v>
      </c>
      <c r="S793" s="25" t="e">
        <f ca="1"/>
        <v>#REF!</v>
      </c>
      <c r="T793" s="25" t="e">
        <f ca="1"/>
        <v>#REF!</v>
      </c>
      <c r="U793" s="25" t="e">
        <f ca="1"/>
        <v>#REF!</v>
      </c>
      <c r="V793" s="25" t="e">
        <f ca="1"/>
        <v>#REF!</v>
      </c>
      <c r="W793" s="33" t="e">
        <f ca="1"/>
        <v>#REF!</v>
      </c>
      <c r="X793" s="33" t="e">
        <f ca="1"/>
        <v>#REF!</v>
      </c>
      <c r="Y793" s="33" t="e">
        <f ca="1"/>
        <v>#REF!</v>
      </c>
      <c r="Z793" s="33" t="e">
        <f ca="1"/>
        <v>#REF!</v>
      </c>
      <c r="AA793" s="33" t="e">
        <f ca="1"/>
        <v>#REF!</v>
      </c>
    </row>
    <row r="794" spans="1:28" s="72" customFormat="1" ht="11.25" x14ac:dyDescent="0.2">
      <c r="A794" s="24">
        <v>788</v>
      </c>
      <c r="B794" s="24"/>
      <c r="C794" s="28"/>
      <c r="D794" s="71"/>
      <c r="E794" s="28"/>
      <c r="F794" s="28"/>
      <c r="G794" s="27"/>
      <c r="H794" s="28" t="e">
        <f ca="1"/>
        <v>#REF!</v>
      </c>
      <c r="I794" s="27" t="e">
        <f ca="1"/>
        <v>#REF!</v>
      </c>
      <c r="J794" s="28" t="e">
        <f ca="1"/>
        <v>#REF!</v>
      </c>
      <c r="K794" s="24" t="e">
        <f ca="1"/>
        <v>#REF!</v>
      </c>
      <c r="L794" s="25" t="e">
        <f ca="1"/>
        <v>#REF!</v>
      </c>
      <c r="M794" s="25" t="e">
        <f ca="1"/>
        <v>#REF!</v>
      </c>
      <c r="N794" s="25" t="e">
        <f ca="1"/>
        <v>#REF!</v>
      </c>
      <c r="O794" s="25" t="e">
        <f ca="1"/>
        <v>#REF!</v>
      </c>
      <c r="P794" s="25" t="e">
        <f ca="1"/>
        <v>#REF!</v>
      </c>
      <c r="Q794" s="25" t="e">
        <f ca="1"/>
        <v>#REF!</v>
      </c>
      <c r="R794" s="25" t="e">
        <f ca="1"/>
        <v>#REF!</v>
      </c>
      <c r="S794" s="25" t="e">
        <f ca="1"/>
        <v>#REF!</v>
      </c>
      <c r="T794" s="25" t="e">
        <f ca="1"/>
        <v>#REF!</v>
      </c>
      <c r="U794" s="25" t="e">
        <f ca="1"/>
        <v>#REF!</v>
      </c>
      <c r="V794" s="25" t="e">
        <f ca="1"/>
        <v>#REF!</v>
      </c>
      <c r="W794" s="33" t="e">
        <f ca="1"/>
        <v>#REF!</v>
      </c>
      <c r="X794" s="33" t="e">
        <f ca="1"/>
        <v>#REF!</v>
      </c>
      <c r="Y794" s="33" t="e">
        <f ca="1"/>
        <v>#REF!</v>
      </c>
      <c r="Z794" s="33" t="e">
        <f ca="1"/>
        <v>#REF!</v>
      </c>
      <c r="AA794" s="33" t="e">
        <f ca="1"/>
        <v>#REF!</v>
      </c>
    </row>
    <row r="795" spans="1:28" s="72" customFormat="1" ht="11.25" x14ac:dyDescent="0.2">
      <c r="A795" s="24">
        <v>789</v>
      </c>
      <c r="B795" s="24"/>
      <c r="C795" s="28"/>
      <c r="D795" s="71"/>
      <c r="E795" s="28"/>
      <c r="F795" s="28"/>
      <c r="G795" s="27"/>
      <c r="H795" s="28" t="e">
        <f ca="1"/>
        <v>#REF!</v>
      </c>
      <c r="I795" s="27" t="e">
        <f ca="1"/>
        <v>#REF!</v>
      </c>
      <c r="J795" s="28" t="e">
        <f ca="1"/>
        <v>#REF!</v>
      </c>
      <c r="K795" s="24" t="e">
        <f ca="1"/>
        <v>#REF!</v>
      </c>
      <c r="L795" s="25" t="e">
        <f ca="1"/>
        <v>#REF!</v>
      </c>
      <c r="M795" s="25" t="e">
        <f ca="1"/>
        <v>#REF!</v>
      </c>
      <c r="N795" s="25" t="e">
        <f ca="1"/>
        <v>#REF!</v>
      </c>
      <c r="O795" s="25" t="e">
        <f ca="1"/>
        <v>#REF!</v>
      </c>
      <c r="P795" s="25" t="e">
        <f ca="1"/>
        <v>#REF!</v>
      </c>
      <c r="Q795" s="25" t="e">
        <f ca="1"/>
        <v>#REF!</v>
      </c>
      <c r="R795" s="25" t="e">
        <f ca="1"/>
        <v>#REF!</v>
      </c>
      <c r="S795" s="25" t="e">
        <f ca="1"/>
        <v>#REF!</v>
      </c>
      <c r="T795" s="25" t="e">
        <f ca="1"/>
        <v>#REF!</v>
      </c>
      <c r="U795" s="25" t="e">
        <f ca="1"/>
        <v>#REF!</v>
      </c>
      <c r="V795" s="25" t="e">
        <f ca="1"/>
        <v>#REF!</v>
      </c>
      <c r="W795" s="33" t="e">
        <f ca="1"/>
        <v>#REF!</v>
      </c>
      <c r="X795" s="33" t="e">
        <f ca="1"/>
        <v>#REF!</v>
      </c>
      <c r="Y795" s="33" t="e">
        <f ca="1"/>
        <v>#REF!</v>
      </c>
      <c r="Z795" s="33" t="e">
        <f ca="1"/>
        <v>#REF!</v>
      </c>
      <c r="AA795" s="33" t="e">
        <f ca="1"/>
        <v>#REF!</v>
      </c>
    </row>
    <row r="796" spans="1:28" s="72" customFormat="1" ht="11.25" x14ac:dyDescent="0.2">
      <c r="A796" s="24">
        <v>790</v>
      </c>
      <c r="B796" s="24"/>
      <c r="C796" s="28"/>
      <c r="D796" s="71"/>
      <c r="E796" s="28"/>
      <c r="F796" s="28"/>
      <c r="G796" s="27"/>
      <c r="H796" s="28" t="e">
        <f ca="1"/>
        <v>#REF!</v>
      </c>
      <c r="I796" s="27" t="e">
        <f ca="1"/>
        <v>#REF!</v>
      </c>
      <c r="J796" s="28" t="e">
        <f ca="1"/>
        <v>#REF!</v>
      </c>
      <c r="K796" s="24" t="e">
        <f ca="1"/>
        <v>#REF!</v>
      </c>
      <c r="L796" s="25" t="e">
        <f ca="1"/>
        <v>#REF!</v>
      </c>
      <c r="M796" s="25" t="e">
        <f ca="1"/>
        <v>#REF!</v>
      </c>
      <c r="N796" s="25" t="e">
        <f ca="1"/>
        <v>#REF!</v>
      </c>
      <c r="O796" s="25" t="e">
        <f ca="1"/>
        <v>#REF!</v>
      </c>
      <c r="P796" s="25" t="e">
        <f ca="1"/>
        <v>#REF!</v>
      </c>
      <c r="Q796" s="25" t="e">
        <f ca="1"/>
        <v>#REF!</v>
      </c>
      <c r="R796" s="25" t="e">
        <f ca="1"/>
        <v>#REF!</v>
      </c>
      <c r="S796" s="25" t="e">
        <f ca="1"/>
        <v>#REF!</v>
      </c>
      <c r="T796" s="25" t="e">
        <f ca="1"/>
        <v>#REF!</v>
      </c>
      <c r="U796" s="25" t="e">
        <f ca="1"/>
        <v>#REF!</v>
      </c>
      <c r="V796" s="25" t="e">
        <f ca="1"/>
        <v>#REF!</v>
      </c>
      <c r="W796" s="33" t="e">
        <f ca="1"/>
        <v>#REF!</v>
      </c>
      <c r="X796" s="33" t="e">
        <f ca="1"/>
        <v>#REF!</v>
      </c>
      <c r="Y796" s="33" t="e">
        <f ca="1"/>
        <v>#REF!</v>
      </c>
      <c r="Z796" s="33" t="e">
        <f ca="1"/>
        <v>#REF!</v>
      </c>
      <c r="AA796" s="33" t="e">
        <f ca="1"/>
        <v>#REF!</v>
      </c>
    </row>
    <row r="797" spans="1:28" s="70" customFormat="1" ht="11.25" x14ac:dyDescent="0.2">
      <c r="A797" s="24">
        <v>791</v>
      </c>
      <c r="B797" s="27"/>
      <c r="C797" s="28"/>
      <c r="D797" s="71"/>
      <c r="E797" s="28"/>
      <c r="F797" s="28"/>
      <c r="G797" s="27"/>
      <c r="H797" s="28" t="e">
        <f ca="1"/>
        <v>#REF!</v>
      </c>
      <c r="I797" s="27" t="e">
        <f ca="1"/>
        <v>#REF!</v>
      </c>
      <c r="J797" s="28" t="e">
        <f ca="1"/>
        <v>#REF!</v>
      </c>
      <c r="K797" s="27" t="e">
        <f ca="1"/>
        <v>#REF!</v>
      </c>
      <c r="L797" s="25" t="e">
        <f ca="1"/>
        <v>#REF!</v>
      </c>
      <c r="M797" s="25" t="e">
        <f ca="1"/>
        <v>#REF!</v>
      </c>
      <c r="N797" s="25" t="e">
        <f ca="1"/>
        <v>#REF!</v>
      </c>
      <c r="O797" s="25" t="e">
        <f ca="1"/>
        <v>#REF!</v>
      </c>
      <c r="P797" s="25" t="e">
        <f ca="1"/>
        <v>#REF!</v>
      </c>
      <c r="Q797" s="25" t="e">
        <f ca="1"/>
        <v>#REF!</v>
      </c>
      <c r="R797" s="25" t="e">
        <f ca="1"/>
        <v>#REF!</v>
      </c>
      <c r="S797" s="25" t="e">
        <f ca="1"/>
        <v>#REF!</v>
      </c>
      <c r="T797" s="25" t="e">
        <f ca="1"/>
        <v>#REF!</v>
      </c>
      <c r="U797" s="25" t="e">
        <f ca="1"/>
        <v>#REF!</v>
      </c>
      <c r="V797" s="25" t="e">
        <f ca="1"/>
        <v>#REF!</v>
      </c>
      <c r="W797" s="33" t="e">
        <f ca="1"/>
        <v>#REF!</v>
      </c>
      <c r="X797" s="33" t="e">
        <f ca="1"/>
        <v>#REF!</v>
      </c>
      <c r="Y797" s="33" t="e">
        <f ca="1"/>
        <v>#REF!</v>
      </c>
      <c r="Z797" s="33" t="e">
        <f ca="1"/>
        <v>#REF!</v>
      </c>
      <c r="AA797" s="33" t="e">
        <f ca="1"/>
        <v>#REF!</v>
      </c>
    </row>
    <row r="798" spans="1:28" s="70" customFormat="1" ht="11.25" x14ac:dyDescent="0.2">
      <c r="A798" s="24">
        <v>792</v>
      </c>
      <c r="B798" s="27"/>
      <c r="C798" s="28"/>
      <c r="D798" s="71"/>
      <c r="E798" s="28"/>
      <c r="F798" s="28"/>
      <c r="G798" s="27"/>
      <c r="H798" s="28" t="e">
        <f ca="1"/>
        <v>#REF!</v>
      </c>
      <c r="I798" s="27" t="e">
        <f ca="1"/>
        <v>#REF!</v>
      </c>
      <c r="J798" s="28" t="e">
        <f ca="1"/>
        <v>#REF!</v>
      </c>
      <c r="K798" s="27" t="e">
        <f ca="1"/>
        <v>#REF!</v>
      </c>
      <c r="L798" s="25" t="e">
        <f ca="1"/>
        <v>#REF!</v>
      </c>
      <c r="M798" s="25" t="e">
        <f ca="1"/>
        <v>#REF!</v>
      </c>
      <c r="N798" s="25" t="e">
        <f ca="1"/>
        <v>#REF!</v>
      </c>
      <c r="O798" s="25" t="e">
        <f ca="1"/>
        <v>#REF!</v>
      </c>
      <c r="P798" s="25" t="e">
        <f ca="1"/>
        <v>#REF!</v>
      </c>
      <c r="Q798" s="25" t="e">
        <f ca="1"/>
        <v>#REF!</v>
      </c>
      <c r="R798" s="25" t="e">
        <f ca="1"/>
        <v>#REF!</v>
      </c>
      <c r="S798" s="25" t="e">
        <f ca="1"/>
        <v>#REF!</v>
      </c>
      <c r="T798" s="25" t="e">
        <f ca="1"/>
        <v>#REF!</v>
      </c>
      <c r="U798" s="25" t="e">
        <f ca="1"/>
        <v>#REF!</v>
      </c>
      <c r="V798" s="25" t="e">
        <f ca="1"/>
        <v>#REF!</v>
      </c>
      <c r="W798" s="33" t="e">
        <f ca="1"/>
        <v>#REF!</v>
      </c>
      <c r="X798" s="33" t="e">
        <f ca="1"/>
        <v>#REF!</v>
      </c>
      <c r="Y798" s="33" t="e">
        <f ca="1"/>
        <v>#REF!</v>
      </c>
      <c r="Z798" s="33" t="e">
        <f ca="1"/>
        <v>#REF!</v>
      </c>
      <c r="AA798" s="33" t="e">
        <f ca="1"/>
        <v>#REF!</v>
      </c>
    </row>
    <row r="799" spans="1:28" s="70" customFormat="1" ht="11.25" x14ac:dyDescent="0.2">
      <c r="A799" s="24">
        <v>793</v>
      </c>
      <c r="B799" s="27"/>
      <c r="C799" s="28"/>
      <c r="D799" s="71"/>
      <c r="E799" s="28"/>
      <c r="F799" s="28"/>
      <c r="G799" s="27"/>
      <c r="H799" s="28" t="e">
        <f ca="1"/>
        <v>#REF!</v>
      </c>
      <c r="I799" s="27" t="e">
        <f ca="1"/>
        <v>#REF!</v>
      </c>
      <c r="J799" s="28" t="e">
        <f ca="1"/>
        <v>#REF!</v>
      </c>
      <c r="K799" s="27" t="e">
        <f ca="1"/>
        <v>#REF!</v>
      </c>
      <c r="L799" s="25" t="e">
        <f ca="1"/>
        <v>#REF!</v>
      </c>
      <c r="M799" s="25" t="e">
        <f ca="1"/>
        <v>#REF!</v>
      </c>
      <c r="N799" s="25" t="e">
        <f ca="1"/>
        <v>#REF!</v>
      </c>
      <c r="O799" s="25" t="e">
        <f ca="1"/>
        <v>#REF!</v>
      </c>
      <c r="P799" s="25" t="e">
        <f ca="1"/>
        <v>#REF!</v>
      </c>
      <c r="Q799" s="25" t="e">
        <f ca="1"/>
        <v>#REF!</v>
      </c>
      <c r="R799" s="25" t="e">
        <f ca="1"/>
        <v>#REF!</v>
      </c>
      <c r="S799" s="25" t="e">
        <f ca="1"/>
        <v>#REF!</v>
      </c>
      <c r="T799" s="25" t="e">
        <f ca="1"/>
        <v>#REF!</v>
      </c>
      <c r="U799" s="25" t="e">
        <f ca="1"/>
        <v>#REF!</v>
      </c>
      <c r="V799" s="25" t="e">
        <f ca="1"/>
        <v>#REF!</v>
      </c>
      <c r="W799" s="33" t="e">
        <f ca="1"/>
        <v>#REF!</v>
      </c>
      <c r="X799" s="33" t="e">
        <f ca="1"/>
        <v>#REF!</v>
      </c>
      <c r="Y799" s="33" t="e">
        <f ca="1"/>
        <v>#REF!</v>
      </c>
      <c r="Z799" s="33" t="e">
        <f ca="1"/>
        <v>#REF!</v>
      </c>
      <c r="AA799" s="33" t="e">
        <f ca="1"/>
        <v>#REF!</v>
      </c>
    </row>
    <row r="800" spans="1:28" s="70" customFormat="1" ht="11.25" x14ac:dyDescent="0.2">
      <c r="A800" s="24">
        <v>794</v>
      </c>
      <c r="B800" s="27"/>
      <c r="C800" s="28"/>
      <c r="D800" s="71"/>
      <c r="E800" s="28"/>
      <c r="F800" s="28"/>
      <c r="G800" s="27"/>
      <c r="H800" s="28" t="e">
        <f ca="1"/>
        <v>#REF!</v>
      </c>
      <c r="I800" s="27" t="e">
        <f ca="1"/>
        <v>#REF!</v>
      </c>
      <c r="J800" s="28" t="e">
        <f ca="1"/>
        <v>#REF!</v>
      </c>
      <c r="K800" s="27" t="e">
        <f ca="1"/>
        <v>#REF!</v>
      </c>
      <c r="L800" s="25" t="e">
        <f ca="1"/>
        <v>#REF!</v>
      </c>
      <c r="M800" s="25" t="e">
        <f ca="1"/>
        <v>#REF!</v>
      </c>
      <c r="N800" s="25" t="e">
        <f ca="1"/>
        <v>#REF!</v>
      </c>
      <c r="O800" s="25" t="e">
        <f ca="1"/>
        <v>#REF!</v>
      </c>
      <c r="P800" s="25" t="e">
        <f ca="1"/>
        <v>#REF!</v>
      </c>
      <c r="Q800" s="25" t="e">
        <f ca="1"/>
        <v>#REF!</v>
      </c>
      <c r="R800" s="25" t="e">
        <f ca="1"/>
        <v>#REF!</v>
      </c>
      <c r="S800" s="25" t="e">
        <f ca="1"/>
        <v>#REF!</v>
      </c>
      <c r="T800" s="25" t="e">
        <f ca="1"/>
        <v>#REF!</v>
      </c>
      <c r="U800" s="25" t="e">
        <f ca="1"/>
        <v>#REF!</v>
      </c>
      <c r="V800" s="25" t="e">
        <f ca="1"/>
        <v>#REF!</v>
      </c>
      <c r="W800" s="33" t="e">
        <f ca="1"/>
        <v>#REF!</v>
      </c>
      <c r="X800" s="33" t="e">
        <f ca="1"/>
        <v>#REF!</v>
      </c>
      <c r="Y800" s="33" t="e">
        <f ca="1"/>
        <v>#REF!</v>
      </c>
      <c r="Z800" s="33" t="e">
        <f ca="1"/>
        <v>#REF!</v>
      </c>
      <c r="AA800" s="33" t="e">
        <f ca="1"/>
        <v>#REF!</v>
      </c>
    </row>
    <row r="801" spans="1:27" s="70" customFormat="1" ht="11.25" x14ac:dyDescent="0.2">
      <c r="A801" s="24">
        <v>795</v>
      </c>
      <c r="B801" s="27"/>
      <c r="C801" s="28"/>
      <c r="D801" s="71"/>
      <c r="E801" s="28"/>
      <c r="F801" s="28"/>
      <c r="G801" s="27"/>
      <c r="H801" s="28" t="e">
        <f ca="1"/>
        <v>#REF!</v>
      </c>
      <c r="I801" s="27" t="e">
        <f ca="1"/>
        <v>#REF!</v>
      </c>
      <c r="J801" s="28" t="e">
        <f ca="1"/>
        <v>#REF!</v>
      </c>
      <c r="K801" s="27" t="e">
        <f ca="1"/>
        <v>#REF!</v>
      </c>
      <c r="L801" s="25" t="e">
        <f ca="1"/>
        <v>#REF!</v>
      </c>
      <c r="M801" s="25" t="e">
        <f ca="1"/>
        <v>#REF!</v>
      </c>
      <c r="N801" s="25" t="e">
        <f ca="1"/>
        <v>#REF!</v>
      </c>
      <c r="O801" s="25" t="e">
        <f ca="1"/>
        <v>#REF!</v>
      </c>
      <c r="P801" s="25" t="e">
        <f ca="1"/>
        <v>#REF!</v>
      </c>
      <c r="Q801" s="25" t="e">
        <f ca="1"/>
        <v>#REF!</v>
      </c>
      <c r="R801" s="25" t="e">
        <f ca="1"/>
        <v>#REF!</v>
      </c>
      <c r="S801" s="25" t="e">
        <f ca="1"/>
        <v>#REF!</v>
      </c>
      <c r="T801" s="25" t="e">
        <f ca="1"/>
        <v>#REF!</v>
      </c>
      <c r="U801" s="25" t="e">
        <f ca="1"/>
        <v>#REF!</v>
      </c>
      <c r="V801" s="25" t="e">
        <f ca="1"/>
        <v>#REF!</v>
      </c>
      <c r="W801" s="33" t="e">
        <f ca="1"/>
        <v>#REF!</v>
      </c>
      <c r="X801" s="33" t="e">
        <f ca="1"/>
        <v>#REF!</v>
      </c>
      <c r="Y801" s="33" t="e">
        <f ca="1"/>
        <v>#REF!</v>
      </c>
      <c r="Z801" s="33" t="e">
        <f ca="1"/>
        <v>#REF!</v>
      </c>
      <c r="AA801" s="33" t="e">
        <f ca="1"/>
        <v>#REF!</v>
      </c>
    </row>
    <row r="802" spans="1:27" s="70" customFormat="1" ht="11.25" x14ac:dyDescent="0.2">
      <c r="A802" s="24">
        <v>796</v>
      </c>
      <c r="B802" s="27"/>
      <c r="C802" s="28"/>
      <c r="D802" s="71"/>
      <c r="E802" s="28"/>
      <c r="F802" s="28"/>
      <c r="G802" s="27"/>
      <c r="H802" s="28" t="e">
        <f ca="1"/>
        <v>#REF!</v>
      </c>
      <c r="I802" s="27" t="e">
        <f ca="1"/>
        <v>#REF!</v>
      </c>
      <c r="J802" s="28" t="e">
        <f ca="1"/>
        <v>#REF!</v>
      </c>
      <c r="K802" s="27" t="e">
        <f ca="1"/>
        <v>#REF!</v>
      </c>
      <c r="L802" s="25" t="e">
        <f ca="1"/>
        <v>#REF!</v>
      </c>
      <c r="M802" s="25" t="e">
        <f ca="1"/>
        <v>#REF!</v>
      </c>
      <c r="N802" s="25" t="e">
        <f ca="1"/>
        <v>#REF!</v>
      </c>
      <c r="O802" s="25" t="e">
        <f ca="1"/>
        <v>#REF!</v>
      </c>
      <c r="P802" s="25" t="e">
        <f ca="1"/>
        <v>#REF!</v>
      </c>
      <c r="Q802" s="25" t="e">
        <f ca="1"/>
        <v>#REF!</v>
      </c>
      <c r="R802" s="25" t="e">
        <f ca="1"/>
        <v>#REF!</v>
      </c>
      <c r="S802" s="25" t="e">
        <f ca="1"/>
        <v>#REF!</v>
      </c>
      <c r="T802" s="25" t="e">
        <f ca="1"/>
        <v>#REF!</v>
      </c>
      <c r="U802" s="25" t="e">
        <f ca="1"/>
        <v>#REF!</v>
      </c>
      <c r="V802" s="25" t="e">
        <f ca="1"/>
        <v>#REF!</v>
      </c>
      <c r="W802" s="33" t="e">
        <f ca="1"/>
        <v>#REF!</v>
      </c>
      <c r="X802" s="33" t="e">
        <f ca="1"/>
        <v>#REF!</v>
      </c>
      <c r="Y802" s="33" t="e">
        <f ca="1"/>
        <v>#REF!</v>
      </c>
      <c r="Z802" s="33" t="e">
        <f ca="1"/>
        <v>#REF!</v>
      </c>
      <c r="AA802" s="33" t="e">
        <f ca="1"/>
        <v>#REF!</v>
      </c>
    </row>
    <row r="803" spans="1:27" s="70" customFormat="1" ht="11.25" x14ac:dyDescent="0.2">
      <c r="A803" s="24">
        <v>797</v>
      </c>
      <c r="B803" s="27"/>
      <c r="C803" s="28"/>
      <c r="D803" s="71"/>
      <c r="E803" s="28"/>
      <c r="F803" s="28"/>
      <c r="G803" s="27"/>
      <c r="H803" s="28" t="e">
        <f ca="1"/>
        <v>#REF!</v>
      </c>
      <c r="I803" s="27" t="e">
        <f ca="1"/>
        <v>#REF!</v>
      </c>
      <c r="J803" s="28" t="e">
        <f ca="1"/>
        <v>#REF!</v>
      </c>
      <c r="K803" s="27" t="e">
        <f ca="1"/>
        <v>#REF!</v>
      </c>
      <c r="L803" s="25" t="e">
        <f ca="1"/>
        <v>#REF!</v>
      </c>
      <c r="M803" s="25" t="e">
        <f ca="1"/>
        <v>#REF!</v>
      </c>
      <c r="N803" s="25" t="e">
        <f ca="1"/>
        <v>#REF!</v>
      </c>
      <c r="O803" s="25" t="e">
        <f ca="1"/>
        <v>#REF!</v>
      </c>
      <c r="P803" s="25" t="e">
        <f ca="1"/>
        <v>#REF!</v>
      </c>
      <c r="Q803" s="25" t="e">
        <f ca="1"/>
        <v>#REF!</v>
      </c>
      <c r="R803" s="25" t="e">
        <f ca="1"/>
        <v>#REF!</v>
      </c>
      <c r="S803" s="25" t="e">
        <f ca="1"/>
        <v>#REF!</v>
      </c>
      <c r="T803" s="25" t="e">
        <f ca="1"/>
        <v>#REF!</v>
      </c>
      <c r="U803" s="25" t="e">
        <f ca="1"/>
        <v>#REF!</v>
      </c>
      <c r="V803" s="25" t="e">
        <f ca="1"/>
        <v>#REF!</v>
      </c>
      <c r="W803" s="33" t="e">
        <f ca="1"/>
        <v>#REF!</v>
      </c>
      <c r="X803" s="33" t="e">
        <f ca="1"/>
        <v>#REF!</v>
      </c>
      <c r="Y803" s="33" t="e">
        <f ca="1"/>
        <v>#REF!</v>
      </c>
      <c r="Z803" s="33" t="e">
        <f ca="1"/>
        <v>#REF!</v>
      </c>
      <c r="AA803" s="33" t="e">
        <f ca="1"/>
        <v>#REF!</v>
      </c>
    </row>
    <row r="804" spans="1:27" s="70" customFormat="1" ht="11.25" x14ac:dyDescent="0.2">
      <c r="A804" s="24">
        <v>798</v>
      </c>
      <c r="B804" s="27"/>
      <c r="C804" s="28"/>
      <c r="D804" s="71"/>
      <c r="E804" s="28"/>
      <c r="F804" s="28"/>
      <c r="G804" s="27"/>
      <c r="H804" s="28" t="e">
        <f ca="1"/>
        <v>#REF!</v>
      </c>
      <c r="I804" s="27" t="e">
        <f ca="1"/>
        <v>#REF!</v>
      </c>
      <c r="J804" s="28" t="e">
        <f ca="1"/>
        <v>#REF!</v>
      </c>
      <c r="K804" s="27" t="e">
        <f ca="1"/>
        <v>#REF!</v>
      </c>
      <c r="L804" s="25" t="e">
        <f ca="1"/>
        <v>#REF!</v>
      </c>
      <c r="M804" s="25" t="e">
        <f ca="1"/>
        <v>#REF!</v>
      </c>
      <c r="N804" s="25" t="e">
        <f ca="1"/>
        <v>#REF!</v>
      </c>
      <c r="O804" s="25" t="e">
        <f ca="1"/>
        <v>#REF!</v>
      </c>
      <c r="P804" s="25" t="e">
        <f ca="1"/>
        <v>#REF!</v>
      </c>
      <c r="Q804" s="25" t="e">
        <f ca="1"/>
        <v>#REF!</v>
      </c>
      <c r="R804" s="25" t="e">
        <f ca="1"/>
        <v>#REF!</v>
      </c>
      <c r="S804" s="25" t="e">
        <f ca="1"/>
        <v>#REF!</v>
      </c>
      <c r="T804" s="25" t="e">
        <f ca="1"/>
        <v>#REF!</v>
      </c>
      <c r="U804" s="25" t="e">
        <f ca="1"/>
        <v>#REF!</v>
      </c>
      <c r="V804" s="25" t="e">
        <f ca="1"/>
        <v>#REF!</v>
      </c>
      <c r="W804" s="33" t="e">
        <f ca="1"/>
        <v>#REF!</v>
      </c>
      <c r="X804" s="33" t="e">
        <f ca="1"/>
        <v>#REF!</v>
      </c>
      <c r="Y804" s="33" t="e">
        <f ca="1"/>
        <v>#REF!</v>
      </c>
      <c r="Z804" s="33" t="e">
        <f ca="1"/>
        <v>#REF!</v>
      </c>
      <c r="AA804" s="33" t="e">
        <f ca="1"/>
        <v>#REF!</v>
      </c>
    </row>
    <row r="805" spans="1:27" s="70" customFormat="1" ht="11.25" x14ac:dyDescent="0.2">
      <c r="A805" s="24">
        <v>799</v>
      </c>
      <c r="B805" s="27"/>
      <c r="C805" s="28"/>
      <c r="D805" s="71"/>
      <c r="E805" s="28"/>
      <c r="F805" s="28"/>
      <c r="G805" s="27"/>
      <c r="H805" s="28" t="e">
        <f ca="1"/>
        <v>#REF!</v>
      </c>
      <c r="I805" s="27" t="e">
        <f ca="1"/>
        <v>#REF!</v>
      </c>
      <c r="J805" s="28" t="e">
        <f ca="1"/>
        <v>#REF!</v>
      </c>
      <c r="K805" s="27" t="e">
        <f ca="1"/>
        <v>#REF!</v>
      </c>
      <c r="L805" s="25" t="e">
        <f ca="1"/>
        <v>#REF!</v>
      </c>
      <c r="M805" s="25" t="e">
        <f ca="1"/>
        <v>#REF!</v>
      </c>
      <c r="N805" s="25" t="e">
        <f ca="1"/>
        <v>#REF!</v>
      </c>
      <c r="O805" s="25" t="e">
        <f ca="1"/>
        <v>#REF!</v>
      </c>
      <c r="P805" s="25" t="e">
        <f ca="1"/>
        <v>#REF!</v>
      </c>
      <c r="Q805" s="25" t="e">
        <f ca="1"/>
        <v>#REF!</v>
      </c>
      <c r="R805" s="25" t="e">
        <f ca="1"/>
        <v>#REF!</v>
      </c>
      <c r="S805" s="25" t="e">
        <f ca="1"/>
        <v>#REF!</v>
      </c>
      <c r="T805" s="25" t="e">
        <f ca="1"/>
        <v>#REF!</v>
      </c>
      <c r="U805" s="25" t="e">
        <f ca="1"/>
        <v>#REF!</v>
      </c>
      <c r="V805" s="25" t="e">
        <f ca="1"/>
        <v>#REF!</v>
      </c>
      <c r="W805" s="33" t="e">
        <f ca="1"/>
        <v>#REF!</v>
      </c>
      <c r="X805" s="33" t="e">
        <f ca="1"/>
        <v>#REF!</v>
      </c>
      <c r="Y805" s="33" t="e">
        <f ca="1"/>
        <v>#REF!</v>
      </c>
      <c r="Z805" s="33" t="e">
        <f ca="1"/>
        <v>#REF!</v>
      </c>
      <c r="AA805" s="33" t="e">
        <f ca="1"/>
        <v>#REF!</v>
      </c>
    </row>
    <row r="806" spans="1:27" s="70" customFormat="1" ht="11.25" x14ac:dyDescent="0.2">
      <c r="A806" s="24">
        <v>800</v>
      </c>
      <c r="B806" s="27"/>
      <c r="C806" s="28"/>
      <c r="D806" s="71"/>
      <c r="E806" s="28"/>
      <c r="F806" s="28"/>
      <c r="G806" s="27"/>
      <c r="H806" s="28" t="e">
        <f ca="1"/>
        <v>#REF!</v>
      </c>
      <c r="I806" s="27" t="e">
        <f ca="1"/>
        <v>#REF!</v>
      </c>
      <c r="J806" s="28" t="e">
        <f ca="1"/>
        <v>#REF!</v>
      </c>
      <c r="K806" s="27" t="e">
        <f ca="1"/>
        <v>#REF!</v>
      </c>
      <c r="L806" s="25" t="e">
        <f ca="1"/>
        <v>#REF!</v>
      </c>
      <c r="M806" s="25" t="e">
        <f ca="1"/>
        <v>#REF!</v>
      </c>
      <c r="N806" s="25" t="e">
        <f ca="1"/>
        <v>#REF!</v>
      </c>
      <c r="O806" s="25" t="e">
        <f ca="1"/>
        <v>#REF!</v>
      </c>
      <c r="P806" s="25" t="e">
        <f ca="1"/>
        <v>#REF!</v>
      </c>
      <c r="Q806" s="25" t="e">
        <f ca="1"/>
        <v>#REF!</v>
      </c>
      <c r="R806" s="25" t="e">
        <f ca="1"/>
        <v>#REF!</v>
      </c>
      <c r="S806" s="25" t="e">
        <f ca="1"/>
        <v>#REF!</v>
      </c>
      <c r="T806" s="25" t="e">
        <f ca="1"/>
        <v>#REF!</v>
      </c>
      <c r="U806" s="25" t="e">
        <f ca="1"/>
        <v>#REF!</v>
      </c>
      <c r="V806" s="25" t="e">
        <f ca="1"/>
        <v>#REF!</v>
      </c>
      <c r="W806" s="33" t="e">
        <f ca="1"/>
        <v>#REF!</v>
      </c>
      <c r="X806" s="33" t="e">
        <f ca="1"/>
        <v>#REF!</v>
      </c>
      <c r="Y806" s="33" t="e">
        <f ca="1"/>
        <v>#REF!</v>
      </c>
      <c r="Z806" s="33" t="e">
        <f ca="1"/>
        <v>#REF!</v>
      </c>
      <c r="AA806" s="33" t="e">
        <f ca="1"/>
        <v>#REF!</v>
      </c>
    </row>
    <row r="807" spans="1:27" s="70" customFormat="1" ht="11.25" x14ac:dyDescent="0.2">
      <c r="A807" s="24">
        <v>801</v>
      </c>
      <c r="B807" s="27"/>
      <c r="C807" s="28"/>
      <c r="D807" s="71"/>
      <c r="E807" s="28"/>
      <c r="F807" s="28"/>
      <c r="G807" s="27"/>
      <c r="H807" s="28" t="e">
        <f ca="1"/>
        <v>#REF!</v>
      </c>
      <c r="I807" s="27" t="e">
        <f ca="1"/>
        <v>#REF!</v>
      </c>
      <c r="J807" s="28" t="e">
        <f ca="1"/>
        <v>#REF!</v>
      </c>
      <c r="K807" s="27" t="e">
        <f ca="1"/>
        <v>#REF!</v>
      </c>
      <c r="L807" s="25" t="e">
        <f ca="1"/>
        <v>#REF!</v>
      </c>
      <c r="M807" s="25" t="e">
        <f ca="1"/>
        <v>#REF!</v>
      </c>
      <c r="N807" s="25" t="e">
        <f ca="1"/>
        <v>#REF!</v>
      </c>
      <c r="O807" s="25" t="e">
        <f ca="1"/>
        <v>#REF!</v>
      </c>
      <c r="P807" s="25" t="e">
        <f ca="1"/>
        <v>#REF!</v>
      </c>
      <c r="Q807" s="25" t="e">
        <f ca="1"/>
        <v>#REF!</v>
      </c>
      <c r="R807" s="25" t="e">
        <f ca="1"/>
        <v>#REF!</v>
      </c>
      <c r="S807" s="25" t="e">
        <f ca="1"/>
        <v>#REF!</v>
      </c>
      <c r="T807" s="25" t="e">
        <f ca="1"/>
        <v>#REF!</v>
      </c>
      <c r="U807" s="25" t="e">
        <f ca="1"/>
        <v>#REF!</v>
      </c>
      <c r="V807" s="25" t="e">
        <f ca="1"/>
        <v>#REF!</v>
      </c>
      <c r="W807" s="33" t="e">
        <f ca="1"/>
        <v>#REF!</v>
      </c>
      <c r="X807" s="33" t="e">
        <f ca="1"/>
        <v>#REF!</v>
      </c>
      <c r="Y807" s="33" t="e">
        <f ca="1"/>
        <v>#REF!</v>
      </c>
      <c r="Z807" s="33" t="e">
        <f ca="1"/>
        <v>#REF!</v>
      </c>
      <c r="AA807" s="33" t="e">
        <f ca="1"/>
        <v>#REF!</v>
      </c>
    </row>
    <row r="808" spans="1:27" s="70" customFormat="1" ht="11.25" x14ac:dyDescent="0.2">
      <c r="A808" s="24">
        <v>802</v>
      </c>
      <c r="B808" s="27"/>
      <c r="C808" s="28"/>
      <c r="D808" s="71"/>
      <c r="E808" s="28"/>
      <c r="F808" s="28"/>
      <c r="G808" s="27"/>
      <c r="H808" s="28" t="e">
        <f ca="1"/>
        <v>#REF!</v>
      </c>
      <c r="I808" s="27" t="e">
        <f ca="1"/>
        <v>#REF!</v>
      </c>
      <c r="J808" s="28" t="e">
        <f ca="1"/>
        <v>#REF!</v>
      </c>
      <c r="K808" s="27" t="e">
        <f ca="1"/>
        <v>#REF!</v>
      </c>
      <c r="L808" s="25" t="e">
        <f ca="1"/>
        <v>#REF!</v>
      </c>
      <c r="M808" s="25" t="e">
        <f ca="1"/>
        <v>#REF!</v>
      </c>
      <c r="N808" s="25" t="e">
        <f ca="1"/>
        <v>#REF!</v>
      </c>
      <c r="O808" s="25" t="e">
        <f ca="1"/>
        <v>#REF!</v>
      </c>
      <c r="P808" s="25" t="e">
        <f ca="1"/>
        <v>#REF!</v>
      </c>
      <c r="Q808" s="25" t="e">
        <f ca="1"/>
        <v>#REF!</v>
      </c>
      <c r="R808" s="25" t="e">
        <f ca="1"/>
        <v>#REF!</v>
      </c>
      <c r="S808" s="25" t="e">
        <f ca="1"/>
        <v>#REF!</v>
      </c>
      <c r="T808" s="25" t="e">
        <f ca="1"/>
        <v>#REF!</v>
      </c>
      <c r="U808" s="25" t="e">
        <f ca="1"/>
        <v>#REF!</v>
      </c>
      <c r="V808" s="25" t="e">
        <f ca="1"/>
        <v>#REF!</v>
      </c>
      <c r="W808" s="33" t="e">
        <f ca="1"/>
        <v>#REF!</v>
      </c>
      <c r="X808" s="33" t="e">
        <f ca="1"/>
        <v>#REF!</v>
      </c>
      <c r="Y808" s="33" t="e">
        <f ca="1"/>
        <v>#REF!</v>
      </c>
      <c r="Z808" s="33" t="e">
        <f ca="1"/>
        <v>#REF!</v>
      </c>
      <c r="AA808" s="33" t="e">
        <f ca="1"/>
        <v>#REF!</v>
      </c>
    </row>
    <row r="809" spans="1:27" s="70" customFormat="1" ht="11.25" x14ac:dyDescent="0.2">
      <c r="A809" s="24">
        <v>803</v>
      </c>
      <c r="B809" s="27"/>
      <c r="C809" s="28"/>
      <c r="D809" s="71"/>
      <c r="E809" s="28"/>
      <c r="F809" s="28"/>
      <c r="G809" s="27"/>
      <c r="H809" s="28" t="e">
        <f ca="1"/>
        <v>#REF!</v>
      </c>
      <c r="I809" s="27" t="e">
        <f ca="1"/>
        <v>#REF!</v>
      </c>
      <c r="J809" s="28" t="e">
        <f ca="1"/>
        <v>#REF!</v>
      </c>
      <c r="K809" s="27" t="e">
        <f ca="1"/>
        <v>#REF!</v>
      </c>
      <c r="L809" s="25" t="e">
        <f ca="1"/>
        <v>#REF!</v>
      </c>
      <c r="M809" s="25" t="e">
        <f ca="1"/>
        <v>#REF!</v>
      </c>
      <c r="N809" s="25" t="e">
        <f ca="1"/>
        <v>#REF!</v>
      </c>
      <c r="O809" s="25" t="e">
        <f ca="1"/>
        <v>#REF!</v>
      </c>
      <c r="P809" s="25" t="e">
        <f ca="1"/>
        <v>#REF!</v>
      </c>
      <c r="Q809" s="25" t="e">
        <f ca="1"/>
        <v>#REF!</v>
      </c>
      <c r="R809" s="25" t="e">
        <f ca="1"/>
        <v>#REF!</v>
      </c>
      <c r="S809" s="25" t="e">
        <f ca="1"/>
        <v>#REF!</v>
      </c>
      <c r="T809" s="25" t="e">
        <f ca="1"/>
        <v>#REF!</v>
      </c>
      <c r="U809" s="25" t="e">
        <f ca="1"/>
        <v>#REF!</v>
      </c>
      <c r="V809" s="25" t="e">
        <f ca="1"/>
        <v>#REF!</v>
      </c>
      <c r="W809" s="33" t="e">
        <f ca="1"/>
        <v>#REF!</v>
      </c>
      <c r="X809" s="33" t="e">
        <f ca="1"/>
        <v>#REF!</v>
      </c>
      <c r="Y809" s="33" t="e">
        <f ca="1"/>
        <v>#REF!</v>
      </c>
      <c r="Z809" s="33" t="e">
        <f ca="1"/>
        <v>#REF!</v>
      </c>
      <c r="AA809" s="33" t="e">
        <f ca="1"/>
        <v>#REF!</v>
      </c>
    </row>
    <row r="810" spans="1:27" s="70" customFormat="1" ht="11.25" x14ac:dyDescent="0.2">
      <c r="A810" s="24">
        <v>804</v>
      </c>
      <c r="B810" s="27"/>
      <c r="C810" s="28"/>
      <c r="D810" s="71"/>
      <c r="E810" s="28"/>
      <c r="F810" s="28"/>
      <c r="G810" s="27"/>
      <c r="H810" s="28" t="e">
        <f ca="1"/>
        <v>#REF!</v>
      </c>
      <c r="I810" s="27" t="e">
        <f ca="1"/>
        <v>#REF!</v>
      </c>
      <c r="J810" s="28" t="e">
        <f ca="1"/>
        <v>#REF!</v>
      </c>
      <c r="K810" s="27" t="e">
        <f ca="1"/>
        <v>#REF!</v>
      </c>
      <c r="L810" s="25" t="e">
        <f ca="1"/>
        <v>#REF!</v>
      </c>
      <c r="M810" s="25" t="e">
        <f ca="1"/>
        <v>#REF!</v>
      </c>
      <c r="N810" s="25" t="e">
        <f ca="1"/>
        <v>#REF!</v>
      </c>
      <c r="O810" s="25" t="e">
        <f ca="1"/>
        <v>#REF!</v>
      </c>
      <c r="P810" s="25" t="e">
        <f ca="1"/>
        <v>#REF!</v>
      </c>
      <c r="Q810" s="25" t="e">
        <f ca="1"/>
        <v>#REF!</v>
      </c>
      <c r="R810" s="25" t="e">
        <f ca="1"/>
        <v>#REF!</v>
      </c>
      <c r="S810" s="25" t="e">
        <f ca="1"/>
        <v>#REF!</v>
      </c>
      <c r="T810" s="25" t="e">
        <f ca="1"/>
        <v>#REF!</v>
      </c>
      <c r="U810" s="25" t="e">
        <f ca="1"/>
        <v>#REF!</v>
      </c>
      <c r="V810" s="25" t="e">
        <f ca="1"/>
        <v>#REF!</v>
      </c>
      <c r="W810" s="33" t="e">
        <f ca="1"/>
        <v>#REF!</v>
      </c>
      <c r="X810" s="33" t="e">
        <f ca="1"/>
        <v>#REF!</v>
      </c>
      <c r="Y810" s="33" t="e">
        <f ca="1"/>
        <v>#REF!</v>
      </c>
      <c r="Z810" s="33" t="e">
        <f ca="1"/>
        <v>#REF!</v>
      </c>
      <c r="AA810" s="33" t="e">
        <f ca="1"/>
        <v>#REF!</v>
      </c>
    </row>
    <row r="811" spans="1:27" s="70" customFormat="1" ht="11.25" x14ac:dyDescent="0.2">
      <c r="A811" s="24">
        <v>805</v>
      </c>
      <c r="B811" s="27"/>
      <c r="C811" s="28"/>
      <c r="D811" s="71"/>
      <c r="E811" s="28"/>
      <c r="F811" s="28"/>
      <c r="G811" s="27"/>
      <c r="H811" s="28" t="e">
        <f ca="1"/>
        <v>#REF!</v>
      </c>
      <c r="I811" s="27" t="e">
        <f ca="1"/>
        <v>#REF!</v>
      </c>
      <c r="J811" s="28" t="e">
        <f ca="1"/>
        <v>#REF!</v>
      </c>
      <c r="K811" s="27" t="e">
        <f ca="1"/>
        <v>#REF!</v>
      </c>
      <c r="L811" s="25" t="e">
        <f ca="1"/>
        <v>#REF!</v>
      </c>
      <c r="M811" s="25" t="e">
        <f ca="1"/>
        <v>#REF!</v>
      </c>
      <c r="N811" s="25" t="e">
        <f ca="1"/>
        <v>#REF!</v>
      </c>
      <c r="O811" s="25" t="e">
        <f ca="1"/>
        <v>#REF!</v>
      </c>
      <c r="P811" s="25" t="e">
        <f ca="1"/>
        <v>#REF!</v>
      </c>
      <c r="Q811" s="25" t="e">
        <f ca="1"/>
        <v>#REF!</v>
      </c>
      <c r="R811" s="25" t="e">
        <f ca="1"/>
        <v>#REF!</v>
      </c>
      <c r="S811" s="25" t="e">
        <f ca="1"/>
        <v>#REF!</v>
      </c>
      <c r="T811" s="25" t="e">
        <f ca="1"/>
        <v>#REF!</v>
      </c>
      <c r="U811" s="25" t="e">
        <f ca="1"/>
        <v>#REF!</v>
      </c>
      <c r="V811" s="25" t="e">
        <f ca="1"/>
        <v>#REF!</v>
      </c>
      <c r="W811" s="33" t="e">
        <f ca="1"/>
        <v>#REF!</v>
      </c>
      <c r="X811" s="33" t="e">
        <f ca="1"/>
        <v>#REF!</v>
      </c>
      <c r="Y811" s="33" t="e">
        <f ca="1"/>
        <v>#REF!</v>
      </c>
      <c r="Z811" s="33" t="e">
        <f ca="1"/>
        <v>#REF!</v>
      </c>
      <c r="AA811" s="33" t="e">
        <f ca="1"/>
        <v>#REF!</v>
      </c>
    </row>
    <row r="812" spans="1:27" s="70" customFormat="1" ht="11.25" x14ac:dyDescent="0.2">
      <c r="A812" s="24">
        <v>806</v>
      </c>
      <c r="B812" s="27"/>
      <c r="C812" s="28"/>
      <c r="D812" s="71"/>
      <c r="E812" s="28"/>
      <c r="F812" s="28"/>
      <c r="G812" s="27"/>
      <c r="H812" s="28" t="e">
        <f ca="1"/>
        <v>#REF!</v>
      </c>
      <c r="I812" s="27" t="e">
        <f ca="1"/>
        <v>#REF!</v>
      </c>
      <c r="J812" s="28" t="e">
        <f ca="1"/>
        <v>#REF!</v>
      </c>
      <c r="K812" s="27" t="e">
        <f ca="1"/>
        <v>#REF!</v>
      </c>
      <c r="L812" s="25" t="e">
        <f ca="1"/>
        <v>#REF!</v>
      </c>
      <c r="M812" s="25" t="e">
        <f ca="1"/>
        <v>#REF!</v>
      </c>
      <c r="N812" s="25" t="e">
        <f ca="1"/>
        <v>#REF!</v>
      </c>
      <c r="O812" s="25" t="e">
        <f ca="1"/>
        <v>#REF!</v>
      </c>
      <c r="P812" s="25" t="e">
        <f ca="1"/>
        <v>#REF!</v>
      </c>
      <c r="Q812" s="25" t="e">
        <f ca="1"/>
        <v>#REF!</v>
      </c>
      <c r="R812" s="25" t="e">
        <f ca="1"/>
        <v>#REF!</v>
      </c>
      <c r="S812" s="25" t="e">
        <f ca="1"/>
        <v>#REF!</v>
      </c>
      <c r="T812" s="25" t="e">
        <f ca="1"/>
        <v>#REF!</v>
      </c>
      <c r="U812" s="25" t="e">
        <f ca="1"/>
        <v>#REF!</v>
      </c>
      <c r="V812" s="25" t="e">
        <f ca="1"/>
        <v>#REF!</v>
      </c>
      <c r="W812" s="33" t="e">
        <f ca="1"/>
        <v>#REF!</v>
      </c>
      <c r="X812" s="33" t="e">
        <f ca="1"/>
        <v>#REF!</v>
      </c>
      <c r="Y812" s="33" t="e">
        <f ca="1"/>
        <v>#REF!</v>
      </c>
      <c r="Z812" s="33" t="e">
        <f ca="1"/>
        <v>#REF!</v>
      </c>
      <c r="AA812" s="33" t="e">
        <f ca="1"/>
        <v>#REF!</v>
      </c>
    </row>
    <row r="813" spans="1:27" s="70" customFormat="1" ht="11.25" x14ac:dyDescent="0.2">
      <c r="A813" s="24">
        <v>807</v>
      </c>
      <c r="B813" s="27"/>
      <c r="C813" s="28"/>
      <c r="D813" s="71"/>
      <c r="E813" s="28"/>
      <c r="F813" s="28"/>
      <c r="G813" s="27"/>
      <c r="H813" s="28" t="e">
        <f ca="1"/>
        <v>#REF!</v>
      </c>
      <c r="I813" s="27" t="e">
        <f ca="1"/>
        <v>#REF!</v>
      </c>
      <c r="J813" s="28" t="e">
        <f ca="1"/>
        <v>#REF!</v>
      </c>
      <c r="K813" s="27" t="e">
        <f ca="1"/>
        <v>#REF!</v>
      </c>
      <c r="L813" s="25" t="e">
        <f ca="1"/>
        <v>#REF!</v>
      </c>
      <c r="M813" s="25" t="e">
        <f ca="1"/>
        <v>#REF!</v>
      </c>
      <c r="N813" s="25" t="e">
        <f ca="1"/>
        <v>#REF!</v>
      </c>
      <c r="O813" s="25" t="e">
        <f ca="1"/>
        <v>#REF!</v>
      </c>
      <c r="P813" s="25" t="e">
        <f ca="1"/>
        <v>#REF!</v>
      </c>
      <c r="Q813" s="25" t="e">
        <f ca="1"/>
        <v>#REF!</v>
      </c>
      <c r="R813" s="25" t="e">
        <f ca="1"/>
        <v>#REF!</v>
      </c>
      <c r="S813" s="25" t="e">
        <f ca="1"/>
        <v>#REF!</v>
      </c>
      <c r="T813" s="25" t="e">
        <f ca="1"/>
        <v>#REF!</v>
      </c>
      <c r="U813" s="25" t="e">
        <f ca="1"/>
        <v>#REF!</v>
      </c>
      <c r="V813" s="25" t="e">
        <f ca="1"/>
        <v>#REF!</v>
      </c>
      <c r="W813" s="33" t="e">
        <f ca="1"/>
        <v>#REF!</v>
      </c>
      <c r="X813" s="33" t="e">
        <f ca="1"/>
        <v>#REF!</v>
      </c>
      <c r="Y813" s="33" t="e">
        <f ca="1"/>
        <v>#REF!</v>
      </c>
      <c r="Z813" s="33" t="e">
        <f ca="1"/>
        <v>#REF!</v>
      </c>
      <c r="AA813" s="33" t="e">
        <f ca="1"/>
        <v>#REF!</v>
      </c>
    </row>
    <row r="814" spans="1:27" s="70" customFormat="1" ht="11.25" x14ac:dyDescent="0.2">
      <c r="A814" s="24">
        <v>808</v>
      </c>
      <c r="B814" s="27"/>
      <c r="C814" s="28"/>
      <c r="D814" s="71"/>
      <c r="E814" s="28"/>
      <c r="F814" s="28"/>
      <c r="G814" s="27"/>
      <c r="H814" s="28" t="e">
        <f ca="1"/>
        <v>#REF!</v>
      </c>
      <c r="I814" s="27" t="e">
        <f ca="1"/>
        <v>#REF!</v>
      </c>
      <c r="J814" s="28" t="e">
        <f ca="1"/>
        <v>#REF!</v>
      </c>
      <c r="K814" s="27" t="e">
        <f ca="1"/>
        <v>#REF!</v>
      </c>
      <c r="L814" s="25" t="e">
        <f ca="1"/>
        <v>#REF!</v>
      </c>
      <c r="M814" s="25" t="e">
        <f ca="1"/>
        <v>#REF!</v>
      </c>
      <c r="N814" s="25" t="e">
        <f ca="1"/>
        <v>#REF!</v>
      </c>
      <c r="O814" s="25" t="e">
        <f ca="1"/>
        <v>#REF!</v>
      </c>
      <c r="P814" s="25" t="e">
        <f ca="1"/>
        <v>#REF!</v>
      </c>
      <c r="Q814" s="25" t="e">
        <f ca="1"/>
        <v>#REF!</v>
      </c>
      <c r="R814" s="25" t="e">
        <f ca="1"/>
        <v>#REF!</v>
      </c>
      <c r="S814" s="25" t="e">
        <f ca="1"/>
        <v>#REF!</v>
      </c>
      <c r="T814" s="25" t="e">
        <f ca="1"/>
        <v>#REF!</v>
      </c>
      <c r="U814" s="25" t="e">
        <f ca="1"/>
        <v>#REF!</v>
      </c>
      <c r="V814" s="25" t="e">
        <f ca="1"/>
        <v>#REF!</v>
      </c>
      <c r="W814" s="33" t="e">
        <f ca="1"/>
        <v>#REF!</v>
      </c>
      <c r="X814" s="33" t="e">
        <f ca="1"/>
        <v>#REF!</v>
      </c>
      <c r="Y814" s="33" t="e">
        <f ca="1"/>
        <v>#REF!</v>
      </c>
      <c r="Z814" s="33" t="e">
        <f ca="1"/>
        <v>#REF!</v>
      </c>
      <c r="AA814" s="33" t="e">
        <f ca="1"/>
        <v>#REF!</v>
      </c>
    </row>
    <row r="815" spans="1:27" s="70" customFormat="1" ht="11.25" x14ac:dyDescent="0.2">
      <c r="A815" s="24">
        <v>809</v>
      </c>
      <c r="B815" s="27"/>
      <c r="C815" s="28"/>
      <c r="D815" s="71"/>
      <c r="E815" s="28"/>
      <c r="F815" s="28"/>
      <c r="G815" s="27"/>
      <c r="H815" s="28" t="e">
        <f ca="1"/>
        <v>#REF!</v>
      </c>
      <c r="I815" s="27" t="e">
        <f ca="1"/>
        <v>#REF!</v>
      </c>
      <c r="J815" s="28" t="e">
        <f ca="1"/>
        <v>#REF!</v>
      </c>
      <c r="K815" s="27" t="e">
        <f ca="1"/>
        <v>#REF!</v>
      </c>
      <c r="L815" s="25" t="e">
        <f ca="1"/>
        <v>#REF!</v>
      </c>
      <c r="M815" s="25" t="e">
        <f ca="1"/>
        <v>#REF!</v>
      </c>
      <c r="N815" s="25" t="e">
        <f ca="1"/>
        <v>#REF!</v>
      </c>
      <c r="O815" s="25" t="e">
        <f ca="1"/>
        <v>#REF!</v>
      </c>
      <c r="P815" s="25" t="e">
        <f ca="1"/>
        <v>#REF!</v>
      </c>
      <c r="Q815" s="25" t="e">
        <f ca="1"/>
        <v>#REF!</v>
      </c>
      <c r="R815" s="25" t="e">
        <f ca="1"/>
        <v>#REF!</v>
      </c>
      <c r="S815" s="25" t="e">
        <f ca="1"/>
        <v>#REF!</v>
      </c>
      <c r="T815" s="25" t="e">
        <f ca="1"/>
        <v>#REF!</v>
      </c>
      <c r="U815" s="25" t="e">
        <f ca="1"/>
        <v>#REF!</v>
      </c>
      <c r="V815" s="25" t="e">
        <f ca="1"/>
        <v>#REF!</v>
      </c>
      <c r="W815" s="33" t="e">
        <f ca="1"/>
        <v>#REF!</v>
      </c>
      <c r="X815" s="33" t="e">
        <f ca="1"/>
        <v>#REF!</v>
      </c>
      <c r="Y815" s="33" t="e">
        <f ca="1"/>
        <v>#REF!</v>
      </c>
      <c r="Z815" s="33" t="e">
        <f ca="1"/>
        <v>#REF!</v>
      </c>
      <c r="AA815" s="33" t="e">
        <f ca="1"/>
        <v>#REF!</v>
      </c>
    </row>
    <row r="816" spans="1:27" s="70" customFormat="1" ht="11.25" x14ac:dyDescent="0.2">
      <c r="A816" s="24">
        <v>810</v>
      </c>
      <c r="B816" s="27"/>
      <c r="C816" s="28"/>
      <c r="D816" s="71"/>
      <c r="E816" s="28"/>
      <c r="F816" s="28"/>
      <c r="G816" s="27"/>
      <c r="H816" s="28" t="e">
        <f ca="1"/>
        <v>#REF!</v>
      </c>
      <c r="I816" s="27" t="e">
        <f ca="1"/>
        <v>#REF!</v>
      </c>
      <c r="J816" s="28" t="e">
        <f ca="1"/>
        <v>#REF!</v>
      </c>
      <c r="K816" s="27" t="e">
        <f ca="1"/>
        <v>#REF!</v>
      </c>
      <c r="L816" s="25" t="e">
        <f ca="1"/>
        <v>#REF!</v>
      </c>
      <c r="M816" s="25" t="e">
        <f ca="1"/>
        <v>#REF!</v>
      </c>
      <c r="N816" s="25" t="e">
        <f ca="1"/>
        <v>#REF!</v>
      </c>
      <c r="O816" s="25" t="e">
        <f ca="1"/>
        <v>#REF!</v>
      </c>
      <c r="P816" s="25" t="e">
        <f ca="1"/>
        <v>#REF!</v>
      </c>
      <c r="Q816" s="25" t="e">
        <f ca="1"/>
        <v>#REF!</v>
      </c>
      <c r="R816" s="25" t="e">
        <f ca="1"/>
        <v>#REF!</v>
      </c>
      <c r="S816" s="25" t="e">
        <f ca="1"/>
        <v>#REF!</v>
      </c>
      <c r="T816" s="25" t="e">
        <f ca="1"/>
        <v>#REF!</v>
      </c>
      <c r="U816" s="25" t="e">
        <f ca="1"/>
        <v>#REF!</v>
      </c>
      <c r="V816" s="25" t="e">
        <f ca="1"/>
        <v>#REF!</v>
      </c>
      <c r="W816" s="33" t="e">
        <f ca="1"/>
        <v>#REF!</v>
      </c>
      <c r="X816" s="33" t="e">
        <f ca="1"/>
        <v>#REF!</v>
      </c>
      <c r="Y816" s="33" t="e">
        <f ca="1"/>
        <v>#REF!</v>
      </c>
      <c r="Z816" s="33" t="e">
        <f ca="1"/>
        <v>#REF!</v>
      </c>
      <c r="AA816" s="33" t="e">
        <f ca="1"/>
        <v>#REF!</v>
      </c>
    </row>
    <row r="817" spans="1:27" s="70" customFormat="1" ht="11.25" x14ac:dyDescent="0.2">
      <c r="A817" s="24">
        <v>811</v>
      </c>
      <c r="B817" s="27"/>
      <c r="C817" s="28"/>
      <c r="D817" s="71"/>
      <c r="E817" s="28"/>
      <c r="F817" s="28"/>
      <c r="G817" s="27"/>
      <c r="H817" s="28" t="e">
        <f ca="1"/>
        <v>#REF!</v>
      </c>
      <c r="I817" s="27" t="e">
        <f ca="1"/>
        <v>#REF!</v>
      </c>
      <c r="J817" s="28" t="e">
        <f ca="1"/>
        <v>#REF!</v>
      </c>
      <c r="K817" s="27" t="e">
        <f ca="1"/>
        <v>#REF!</v>
      </c>
      <c r="L817" s="25" t="e">
        <f ca="1"/>
        <v>#REF!</v>
      </c>
      <c r="M817" s="25" t="e">
        <f ca="1"/>
        <v>#REF!</v>
      </c>
      <c r="N817" s="25" t="e">
        <f ca="1"/>
        <v>#REF!</v>
      </c>
      <c r="O817" s="25" t="e">
        <f ca="1"/>
        <v>#REF!</v>
      </c>
      <c r="P817" s="25" t="e">
        <f ca="1"/>
        <v>#REF!</v>
      </c>
      <c r="Q817" s="25" t="e">
        <f ca="1"/>
        <v>#REF!</v>
      </c>
      <c r="R817" s="25" t="e">
        <f ca="1"/>
        <v>#REF!</v>
      </c>
      <c r="S817" s="25" t="e">
        <f ca="1"/>
        <v>#REF!</v>
      </c>
      <c r="T817" s="25" t="e">
        <f ca="1"/>
        <v>#REF!</v>
      </c>
      <c r="U817" s="25" t="e">
        <f ca="1"/>
        <v>#REF!</v>
      </c>
      <c r="V817" s="25" t="e">
        <f ca="1"/>
        <v>#REF!</v>
      </c>
      <c r="W817" s="33" t="e">
        <f ca="1"/>
        <v>#REF!</v>
      </c>
      <c r="X817" s="33" t="e">
        <f ca="1"/>
        <v>#REF!</v>
      </c>
      <c r="Y817" s="33" t="e">
        <f ca="1"/>
        <v>#REF!</v>
      </c>
      <c r="Z817" s="33" t="e">
        <f ca="1"/>
        <v>#REF!</v>
      </c>
      <c r="AA817" s="33" t="e">
        <f ca="1"/>
        <v>#REF!</v>
      </c>
    </row>
    <row r="818" spans="1:27" s="70" customFormat="1" ht="11.25" x14ac:dyDescent="0.2">
      <c r="A818" s="24">
        <v>812</v>
      </c>
      <c r="B818" s="27"/>
      <c r="C818" s="28"/>
      <c r="D818" s="71"/>
      <c r="E818" s="28"/>
      <c r="F818" s="28"/>
      <c r="G818" s="27"/>
      <c r="H818" s="28" t="e">
        <f ca="1"/>
        <v>#REF!</v>
      </c>
      <c r="I818" s="27" t="e">
        <f ca="1"/>
        <v>#REF!</v>
      </c>
      <c r="J818" s="28" t="e">
        <f ca="1"/>
        <v>#REF!</v>
      </c>
      <c r="K818" s="27" t="e">
        <f ca="1"/>
        <v>#REF!</v>
      </c>
      <c r="L818" s="25" t="e">
        <f ca="1"/>
        <v>#REF!</v>
      </c>
      <c r="M818" s="25" t="e">
        <f ca="1"/>
        <v>#REF!</v>
      </c>
      <c r="N818" s="25" t="e">
        <f ca="1"/>
        <v>#REF!</v>
      </c>
      <c r="O818" s="25" t="e">
        <f ca="1"/>
        <v>#REF!</v>
      </c>
      <c r="P818" s="25" t="e">
        <f ca="1"/>
        <v>#REF!</v>
      </c>
      <c r="Q818" s="25" t="e">
        <f ca="1"/>
        <v>#REF!</v>
      </c>
      <c r="R818" s="25" t="e">
        <f ca="1"/>
        <v>#REF!</v>
      </c>
      <c r="S818" s="25" t="e">
        <f ca="1"/>
        <v>#REF!</v>
      </c>
      <c r="T818" s="25" t="e">
        <f ca="1"/>
        <v>#REF!</v>
      </c>
      <c r="U818" s="25" t="e">
        <f ca="1"/>
        <v>#REF!</v>
      </c>
      <c r="V818" s="25" t="e">
        <f ca="1"/>
        <v>#REF!</v>
      </c>
      <c r="W818" s="33" t="e">
        <f ca="1"/>
        <v>#REF!</v>
      </c>
      <c r="X818" s="33" t="e">
        <f ca="1"/>
        <v>#REF!</v>
      </c>
      <c r="Y818" s="33" t="e">
        <f ca="1"/>
        <v>#REF!</v>
      </c>
      <c r="Z818" s="33" t="e">
        <f ca="1"/>
        <v>#REF!</v>
      </c>
      <c r="AA818" s="33" t="e">
        <f ca="1"/>
        <v>#REF!</v>
      </c>
    </row>
    <row r="819" spans="1:27" s="70" customFormat="1" ht="11.25" x14ac:dyDescent="0.2">
      <c r="A819" s="24">
        <v>813</v>
      </c>
      <c r="B819" s="27"/>
      <c r="C819" s="28"/>
      <c r="D819" s="71"/>
      <c r="E819" s="28"/>
      <c r="F819" s="28"/>
      <c r="G819" s="27"/>
      <c r="H819" s="28" t="e">
        <f ca="1"/>
        <v>#REF!</v>
      </c>
      <c r="I819" s="27" t="e">
        <f ca="1"/>
        <v>#REF!</v>
      </c>
      <c r="J819" s="28" t="e">
        <f ca="1"/>
        <v>#REF!</v>
      </c>
      <c r="K819" s="27" t="e">
        <f ca="1"/>
        <v>#REF!</v>
      </c>
      <c r="L819" s="25" t="e">
        <f ca="1"/>
        <v>#REF!</v>
      </c>
      <c r="M819" s="25" t="e">
        <f ca="1"/>
        <v>#REF!</v>
      </c>
      <c r="N819" s="25" t="e">
        <f ca="1"/>
        <v>#REF!</v>
      </c>
      <c r="O819" s="25" t="e">
        <f ca="1"/>
        <v>#REF!</v>
      </c>
      <c r="P819" s="25" t="e">
        <f ca="1"/>
        <v>#REF!</v>
      </c>
      <c r="Q819" s="25" t="e">
        <f ca="1"/>
        <v>#REF!</v>
      </c>
      <c r="R819" s="25" t="e">
        <f ca="1"/>
        <v>#REF!</v>
      </c>
      <c r="S819" s="25" t="e">
        <f ca="1"/>
        <v>#REF!</v>
      </c>
      <c r="T819" s="25" t="e">
        <f ca="1"/>
        <v>#REF!</v>
      </c>
      <c r="U819" s="25" t="e">
        <f ca="1"/>
        <v>#REF!</v>
      </c>
      <c r="V819" s="25" t="e">
        <f ca="1"/>
        <v>#REF!</v>
      </c>
      <c r="W819" s="33" t="e">
        <f ca="1"/>
        <v>#REF!</v>
      </c>
      <c r="X819" s="33" t="e">
        <f ca="1"/>
        <v>#REF!</v>
      </c>
      <c r="Y819" s="33" t="e">
        <f ca="1"/>
        <v>#REF!</v>
      </c>
      <c r="Z819" s="33" t="e">
        <f ca="1"/>
        <v>#REF!</v>
      </c>
      <c r="AA819" s="33" t="e">
        <f ca="1"/>
        <v>#REF!</v>
      </c>
    </row>
    <row r="820" spans="1:27" s="70" customFormat="1" ht="11.25" x14ac:dyDescent="0.2">
      <c r="A820" s="24">
        <v>814</v>
      </c>
      <c r="B820" s="27"/>
      <c r="C820" s="28"/>
      <c r="D820" s="71"/>
      <c r="E820" s="28"/>
      <c r="F820" s="28"/>
      <c r="G820" s="27"/>
      <c r="H820" s="28" t="e">
        <f ca="1"/>
        <v>#REF!</v>
      </c>
      <c r="I820" s="27" t="e">
        <f ca="1"/>
        <v>#REF!</v>
      </c>
      <c r="J820" s="28" t="e">
        <f ca="1"/>
        <v>#REF!</v>
      </c>
      <c r="K820" s="27" t="e">
        <f ca="1"/>
        <v>#REF!</v>
      </c>
      <c r="L820" s="25" t="e">
        <f ca="1"/>
        <v>#REF!</v>
      </c>
      <c r="M820" s="25" t="e">
        <f ca="1"/>
        <v>#REF!</v>
      </c>
      <c r="N820" s="25" t="e">
        <f ca="1"/>
        <v>#REF!</v>
      </c>
      <c r="O820" s="25" t="e">
        <f ca="1"/>
        <v>#REF!</v>
      </c>
      <c r="P820" s="25" t="e">
        <f ca="1"/>
        <v>#REF!</v>
      </c>
      <c r="Q820" s="25" t="e">
        <f ca="1"/>
        <v>#REF!</v>
      </c>
      <c r="R820" s="25" t="e">
        <f ca="1"/>
        <v>#REF!</v>
      </c>
      <c r="S820" s="25" t="e">
        <f ca="1"/>
        <v>#REF!</v>
      </c>
      <c r="T820" s="25" t="e">
        <f ca="1"/>
        <v>#REF!</v>
      </c>
      <c r="U820" s="25" t="e">
        <f ca="1"/>
        <v>#REF!</v>
      </c>
      <c r="V820" s="25" t="e">
        <f ca="1"/>
        <v>#REF!</v>
      </c>
      <c r="W820" s="33" t="e">
        <f ca="1"/>
        <v>#REF!</v>
      </c>
      <c r="X820" s="33" t="e">
        <f ca="1"/>
        <v>#REF!</v>
      </c>
      <c r="Y820" s="33" t="e">
        <f ca="1"/>
        <v>#REF!</v>
      </c>
      <c r="Z820" s="33" t="e">
        <f ca="1"/>
        <v>#REF!</v>
      </c>
      <c r="AA820" s="33" t="e">
        <f ca="1"/>
        <v>#REF!</v>
      </c>
    </row>
    <row r="821" spans="1:27" s="70" customFormat="1" ht="11.25" x14ac:dyDescent="0.2">
      <c r="A821" s="24">
        <v>815</v>
      </c>
      <c r="B821" s="27"/>
      <c r="C821" s="28"/>
      <c r="D821" s="71"/>
      <c r="E821" s="28"/>
      <c r="F821" s="28"/>
      <c r="G821" s="27"/>
      <c r="H821" s="28" t="e">
        <f ca="1"/>
        <v>#REF!</v>
      </c>
      <c r="I821" s="27" t="e">
        <f ca="1"/>
        <v>#REF!</v>
      </c>
      <c r="J821" s="28" t="e">
        <f ca="1"/>
        <v>#REF!</v>
      </c>
      <c r="K821" s="27" t="e">
        <f ca="1"/>
        <v>#REF!</v>
      </c>
      <c r="L821" s="25" t="e">
        <f ca="1"/>
        <v>#REF!</v>
      </c>
      <c r="M821" s="25" t="e">
        <f ca="1"/>
        <v>#REF!</v>
      </c>
      <c r="N821" s="25" t="e">
        <f ca="1"/>
        <v>#REF!</v>
      </c>
      <c r="O821" s="25" t="e">
        <f ca="1"/>
        <v>#REF!</v>
      </c>
      <c r="P821" s="25" t="e">
        <f ca="1"/>
        <v>#REF!</v>
      </c>
      <c r="Q821" s="25" t="e">
        <f ca="1"/>
        <v>#REF!</v>
      </c>
      <c r="R821" s="25" t="e">
        <f ca="1"/>
        <v>#REF!</v>
      </c>
      <c r="S821" s="25" t="e">
        <f ca="1"/>
        <v>#REF!</v>
      </c>
      <c r="T821" s="25" t="e">
        <f ca="1"/>
        <v>#REF!</v>
      </c>
      <c r="U821" s="25" t="e">
        <f ca="1"/>
        <v>#REF!</v>
      </c>
      <c r="V821" s="25" t="e">
        <f ca="1"/>
        <v>#REF!</v>
      </c>
      <c r="W821" s="33" t="e">
        <f ca="1"/>
        <v>#REF!</v>
      </c>
      <c r="X821" s="33" t="e">
        <f ca="1"/>
        <v>#REF!</v>
      </c>
      <c r="Y821" s="33" t="e">
        <f ca="1"/>
        <v>#REF!</v>
      </c>
      <c r="Z821" s="33" t="e">
        <f ca="1"/>
        <v>#REF!</v>
      </c>
      <c r="AA821" s="33" t="e">
        <f ca="1"/>
        <v>#REF!</v>
      </c>
    </row>
    <row r="822" spans="1:27" s="70" customFormat="1" ht="11.25" x14ac:dyDescent="0.2">
      <c r="A822" s="24">
        <v>816</v>
      </c>
      <c r="B822" s="27"/>
      <c r="C822" s="28"/>
      <c r="D822" s="71"/>
      <c r="E822" s="28"/>
      <c r="F822" s="28"/>
      <c r="G822" s="27"/>
      <c r="H822" s="28" t="e">
        <f ca="1"/>
        <v>#REF!</v>
      </c>
      <c r="I822" s="27" t="e">
        <f ca="1"/>
        <v>#REF!</v>
      </c>
      <c r="J822" s="28" t="e">
        <f ca="1"/>
        <v>#REF!</v>
      </c>
      <c r="K822" s="27" t="e">
        <f ca="1"/>
        <v>#REF!</v>
      </c>
      <c r="L822" s="25" t="e">
        <f ca="1"/>
        <v>#REF!</v>
      </c>
      <c r="M822" s="25" t="e">
        <f ca="1"/>
        <v>#REF!</v>
      </c>
      <c r="N822" s="25" t="e">
        <f ca="1"/>
        <v>#REF!</v>
      </c>
      <c r="O822" s="25" t="e">
        <f ca="1"/>
        <v>#REF!</v>
      </c>
      <c r="P822" s="25" t="e">
        <f ca="1"/>
        <v>#REF!</v>
      </c>
      <c r="Q822" s="25" t="e">
        <f ca="1"/>
        <v>#REF!</v>
      </c>
      <c r="R822" s="25" t="e">
        <f ca="1"/>
        <v>#REF!</v>
      </c>
      <c r="S822" s="25" t="e">
        <f ca="1"/>
        <v>#REF!</v>
      </c>
      <c r="T822" s="25" t="e">
        <f ca="1"/>
        <v>#REF!</v>
      </c>
      <c r="U822" s="25" t="e">
        <f ca="1"/>
        <v>#REF!</v>
      </c>
      <c r="V822" s="25" t="e">
        <f ca="1"/>
        <v>#REF!</v>
      </c>
      <c r="W822" s="33" t="e">
        <f ca="1"/>
        <v>#REF!</v>
      </c>
      <c r="X822" s="33" t="e">
        <f ca="1"/>
        <v>#REF!</v>
      </c>
      <c r="Y822" s="33" t="e">
        <f ca="1"/>
        <v>#REF!</v>
      </c>
      <c r="Z822" s="33" t="e">
        <f ca="1"/>
        <v>#REF!</v>
      </c>
      <c r="AA822" s="33" t="e">
        <f ca="1"/>
        <v>#REF!</v>
      </c>
    </row>
    <row r="823" spans="1:27" s="70" customFormat="1" ht="11.25" x14ac:dyDescent="0.2">
      <c r="A823" s="24">
        <v>817</v>
      </c>
      <c r="B823" s="27"/>
      <c r="C823" s="28"/>
      <c r="D823" s="71"/>
      <c r="E823" s="28"/>
      <c r="F823" s="28"/>
      <c r="G823" s="27"/>
      <c r="H823" s="28" t="e">
        <f ca="1"/>
        <v>#REF!</v>
      </c>
      <c r="I823" s="27" t="e">
        <f ca="1"/>
        <v>#REF!</v>
      </c>
      <c r="J823" s="28" t="e">
        <f ca="1"/>
        <v>#REF!</v>
      </c>
      <c r="K823" s="27" t="e">
        <f ca="1"/>
        <v>#REF!</v>
      </c>
      <c r="L823" s="25" t="e">
        <f ca="1"/>
        <v>#REF!</v>
      </c>
      <c r="M823" s="25" t="e">
        <f ca="1"/>
        <v>#REF!</v>
      </c>
      <c r="N823" s="25" t="e">
        <f ca="1"/>
        <v>#REF!</v>
      </c>
      <c r="O823" s="25" t="e">
        <f ca="1"/>
        <v>#REF!</v>
      </c>
      <c r="P823" s="25" t="e">
        <f ca="1"/>
        <v>#REF!</v>
      </c>
      <c r="Q823" s="25" t="e">
        <f ca="1"/>
        <v>#REF!</v>
      </c>
      <c r="R823" s="25" t="e">
        <f ca="1"/>
        <v>#REF!</v>
      </c>
      <c r="S823" s="25" t="e">
        <f ca="1"/>
        <v>#REF!</v>
      </c>
      <c r="T823" s="25" t="e">
        <f ca="1"/>
        <v>#REF!</v>
      </c>
      <c r="U823" s="25" t="e">
        <f ca="1"/>
        <v>#REF!</v>
      </c>
      <c r="V823" s="25" t="e">
        <f ca="1"/>
        <v>#REF!</v>
      </c>
      <c r="W823" s="33" t="e">
        <f ca="1"/>
        <v>#REF!</v>
      </c>
      <c r="X823" s="33" t="e">
        <f ca="1"/>
        <v>#REF!</v>
      </c>
      <c r="Y823" s="33" t="e">
        <f ca="1"/>
        <v>#REF!</v>
      </c>
      <c r="Z823" s="33" t="e">
        <f ca="1"/>
        <v>#REF!</v>
      </c>
      <c r="AA823" s="33" t="e">
        <f ca="1"/>
        <v>#REF!</v>
      </c>
    </row>
    <row r="824" spans="1:27" s="70" customFormat="1" ht="11.25" x14ac:dyDescent="0.2">
      <c r="A824" s="24">
        <v>818</v>
      </c>
      <c r="B824" s="27"/>
      <c r="C824" s="28"/>
      <c r="D824" s="71"/>
      <c r="E824" s="28"/>
      <c r="F824" s="28"/>
      <c r="G824" s="27"/>
      <c r="H824" s="28" t="e">
        <f ca="1"/>
        <v>#REF!</v>
      </c>
      <c r="I824" s="27" t="e">
        <f ca="1"/>
        <v>#REF!</v>
      </c>
      <c r="J824" s="28" t="e">
        <f ca="1"/>
        <v>#REF!</v>
      </c>
      <c r="K824" s="27" t="e">
        <f ca="1"/>
        <v>#REF!</v>
      </c>
      <c r="L824" s="25" t="e">
        <f ca="1"/>
        <v>#REF!</v>
      </c>
      <c r="M824" s="25" t="e">
        <f ca="1"/>
        <v>#REF!</v>
      </c>
      <c r="N824" s="25" t="e">
        <f ca="1"/>
        <v>#REF!</v>
      </c>
      <c r="O824" s="25" t="e">
        <f ca="1"/>
        <v>#REF!</v>
      </c>
      <c r="P824" s="25" t="e">
        <f ca="1"/>
        <v>#REF!</v>
      </c>
      <c r="Q824" s="25" t="e">
        <f ca="1"/>
        <v>#REF!</v>
      </c>
      <c r="R824" s="25" t="e">
        <f ca="1"/>
        <v>#REF!</v>
      </c>
      <c r="S824" s="25" t="e">
        <f ca="1"/>
        <v>#REF!</v>
      </c>
      <c r="T824" s="25" t="e">
        <f ca="1"/>
        <v>#REF!</v>
      </c>
      <c r="U824" s="25" t="e">
        <f ca="1"/>
        <v>#REF!</v>
      </c>
      <c r="V824" s="25" t="e">
        <f ca="1"/>
        <v>#REF!</v>
      </c>
      <c r="W824" s="33" t="e">
        <f ca="1"/>
        <v>#REF!</v>
      </c>
      <c r="X824" s="33" t="e">
        <f ca="1"/>
        <v>#REF!</v>
      </c>
      <c r="Y824" s="33" t="e">
        <f ca="1"/>
        <v>#REF!</v>
      </c>
      <c r="Z824" s="33" t="e">
        <f ca="1"/>
        <v>#REF!</v>
      </c>
      <c r="AA824" s="33" t="e">
        <f ca="1"/>
        <v>#REF!</v>
      </c>
    </row>
    <row r="825" spans="1:27" s="70" customFormat="1" ht="11.25" x14ac:dyDescent="0.2">
      <c r="A825" s="24">
        <v>819</v>
      </c>
      <c r="B825" s="27"/>
      <c r="C825" s="28"/>
      <c r="D825" s="71"/>
      <c r="E825" s="28"/>
      <c r="F825" s="28"/>
      <c r="G825" s="27"/>
      <c r="H825" s="28" t="e">
        <f ca="1"/>
        <v>#REF!</v>
      </c>
      <c r="I825" s="27" t="e">
        <f ca="1"/>
        <v>#REF!</v>
      </c>
      <c r="J825" s="28" t="e">
        <f ca="1"/>
        <v>#REF!</v>
      </c>
      <c r="K825" s="27" t="e">
        <f ca="1"/>
        <v>#REF!</v>
      </c>
      <c r="L825" s="25" t="e">
        <f ca="1"/>
        <v>#REF!</v>
      </c>
      <c r="M825" s="25" t="e">
        <f ca="1"/>
        <v>#REF!</v>
      </c>
      <c r="N825" s="25" t="e">
        <f ca="1"/>
        <v>#REF!</v>
      </c>
      <c r="O825" s="25" t="e">
        <f ca="1"/>
        <v>#REF!</v>
      </c>
      <c r="P825" s="25" t="e">
        <f ca="1"/>
        <v>#REF!</v>
      </c>
      <c r="Q825" s="25" t="e">
        <f ca="1"/>
        <v>#REF!</v>
      </c>
      <c r="R825" s="25" t="e">
        <f ca="1"/>
        <v>#REF!</v>
      </c>
      <c r="S825" s="25" t="e">
        <f ca="1"/>
        <v>#REF!</v>
      </c>
      <c r="T825" s="25" t="e">
        <f ca="1"/>
        <v>#REF!</v>
      </c>
      <c r="U825" s="25" t="e">
        <f ca="1"/>
        <v>#REF!</v>
      </c>
      <c r="V825" s="25" t="e">
        <f ca="1"/>
        <v>#REF!</v>
      </c>
      <c r="W825" s="33" t="e">
        <f ca="1"/>
        <v>#REF!</v>
      </c>
      <c r="X825" s="33" t="e">
        <f ca="1"/>
        <v>#REF!</v>
      </c>
      <c r="Y825" s="33" t="e">
        <f ca="1"/>
        <v>#REF!</v>
      </c>
      <c r="Z825" s="33" t="e">
        <f ca="1"/>
        <v>#REF!</v>
      </c>
      <c r="AA825" s="33" t="e">
        <f ca="1"/>
        <v>#REF!</v>
      </c>
    </row>
    <row r="826" spans="1:27" s="70" customFormat="1" ht="11.25" x14ac:dyDescent="0.2">
      <c r="A826" s="24">
        <v>820</v>
      </c>
      <c r="B826" s="27"/>
      <c r="C826" s="28"/>
      <c r="D826" s="71"/>
      <c r="E826" s="28"/>
      <c r="F826" s="28"/>
      <c r="G826" s="27"/>
      <c r="H826" s="28" t="e">
        <f ca="1"/>
        <v>#REF!</v>
      </c>
      <c r="I826" s="27" t="e">
        <f ca="1"/>
        <v>#REF!</v>
      </c>
      <c r="J826" s="28" t="e">
        <f ca="1"/>
        <v>#REF!</v>
      </c>
      <c r="K826" s="27" t="e">
        <f ca="1"/>
        <v>#REF!</v>
      </c>
      <c r="L826" s="25" t="e">
        <f ca="1"/>
        <v>#REF!</v>
      </c>
      <c r="M826" s="25" t="e">
        <f ca="1"/>
        <v>#REF!</v>
      </c>
      <c r="N826" s="25" t="e">
        <f ca="1"/>
        <v>#REF!</v>
      </c>
      <c r="O826" s="25" t="e">
        <f ca="1"/>
        <v>#REF!</v>
      </c>
      <c r="P826" s="25" t="e">
        <f ca="1"/>
        <v>#REF!</v>
      </c>
      <c r="Q826" s="25" t="e">
        <f ca="1"/>
        <v>#REF!</v>
      </c>
      <c r="R826" s="25" t="e">
        <f ca="1"/>
        <v>#REF!</v>
      </c>
      <c r="S826" s="25" t="e">
        <f ca="1"/>
        <v>#REF!</v>
      </c>
      <c r="T826" s="25" t="e">
        <f ca="1"/>
        <v>#REF!</v>
      </c>
      <c r="U826" s="25" t="e">
        <f ca="1"/>
        <v>#REF!</v>
      </c>
      <c r="V826" s="25" t="e">
        <f ca="1"/>
        <v>#REF!</v>
      </c>
      <c r="W826" s="33" t="e">
        <f ca="1"/>
        <v>#REF!</v>
      </c>
      <c r="X826" s="33" t="e">
        <f ca="1"/>
        <v>#REF!</v>
      </c>
      <c r="Y826" s="33" t="e">
        <f ca="1"/>
        <v>#REF!</v>
      </c>
      <c r="Z826" s="33" t="e">
        <f ca="1"/>
        <v>#REF!</v>
      </c>
      <c r="AA826" s="33" t="e">
        <f ca="1"/>
        <v>#REF!</v>
      </c>
    </row>
    <row r="827" spans="1:27" s="70" customFormat="1" ht="11.25" x14ac:dyDescent="0.2">
      <c r="A827" s="24">
        <v>821</v>
      </c>
      <c r="B827" s="27"/>
      <c r="C827" s="28"/>
      <c r="D827" s="71"/>
      <c r="E827" s="28"/>
      <c r="F827" s="28"/>
      <c r="G827" s="27"/>
      <c r="H827" s="28" t="e">
        <f ca="1"/>
        <v>#REF!</v>
      </c>
      <c r="I827" s="27" t="e">
        <f ca="1"/>
        <v>#REF!</v>
      </c>
      <c r="J827" s="28" t="e">
        <f ca="1"/>
        <v>#REF!</v>
      </c>
      <c r="K827" s="27" t="e">
        <f ca="1"/>
        <v>#REF!</v>
      </c>
      <c r="L827" s="25" t="e">
        <f ca="1"/>
        <v>#REF!</v>
      </c>
      <c r="M827" s="25" t="e">
        <f ca="1"/>
        <v>#REF!</v>
      </c>
      <c r="N827" s="25" t="e">
        <f ca="1"/>
        <v>#REF!</v>
      </c>
      <c r="O827" s="25" t="e">
        <f ca="1"/>
        <v>#REF!</v>
      </c>
      <c r="P827" s="25" t="e">
        <f ca="1"/>
        <v>#REF!</v>
      </c>
      <c r="Q827" s="25" t="e">
        <f ca="1"/>
        <v>#REF!</v>
      </c>
      <c r="R827" s="25" t="e">
        <f ca="1"/>
        <v>#REF!</v>
      </c>
      <c r="S827" s="25" t="e">
        <f ca="1"/>
        <v>#REF!</v>
      </c>
      <c r="T827" s="25" t="e">
        <f ca="1"/>
        <v>#REF!</v>
      </c>
      <c r="U827" s="25" t="e">
        <f ca="1"/>
        <v>#REF!</v>
      </c>
      <c r="V827" s="25" t="e">
        <f ca="1"/>
        <v>#REF!</v>
      </c>
      <c r="W827" s="33" t="e">
        <f ca="1"/>
        <v>#REF!</v>
      </c>
      <c r="X827" s="33" t="e">
        <f ca="1"/>
        <v>#REF!</v>
      </c>
      <c r="Y827" s="33" t="e">
        <f ca="1"/>
        <v>#REF!</v>
      </c>
      <c r="Z827" s="33" t="e">
        <f ca="1"/>
        <v>#REF!</v>
      </c>
      <c r="AA827" s="33" t="e">
        <f ca="1"/>
        <v>#REF!</v>
      </c>
    </row>
    <row r="828" spans="1:27" s="70" customFormat="1" ht="11.25" x14ac:dyDescent="0.2">
      <c r="A828" s="24">
        <v>822</v>
      </c>
      <c r="B828" s="27"/>
      <c r="C828" s="28"/>
      <c r="D828" s="71"/>
      <c r="E828" s="28"/>
      <c r="F828" s="28"/>
      <c r="G828" s="27"/>
      <c r="H828" s="28" t="e">
        <f ca="1"/>
        <v>#REF!</v>
      </c>
      <c r="I828" s="27" t="e">
        <f ca="1"/>
        <v>#REF!</v>
      </c>
      <c r="J828" s="28" t="e">
        <f ca="1"/>
        <v>#REF!</v>
      </c>
      <c r="K828" s="27" t="e">
        <f ca="1"/>
        <v>#REF!</v>
      </c>
      <c r="L828" s="25" t="e">
        <f ca="1"/>
        <v>#REF!</v>
      </c>
      <c r="M828" s="25" t="e">
        <f ca="1"/>
        <v>#REF!</v>
      </c>
      <c r="N828" s="25" t="e">
        <f ca="1"/>
        <v>#REF!</v>
      </c>
      <c r="O828" s="25" t="e">
        <f ca="1"/>
        <v>#REF!</v>
      </c>
      <c r="P828" s="25" t="e">
        <f ca="1"/>
        <v>#REF!</v>
      </c>
      <c r="Q828" s="25" t="e">
        <f ca="1"/>
        <v>#REF!</v>
      </c>
      <c r="R828" s="25" t="e">
        <f ca="1"/>
        <v>#REF!</v>
      </c>
      <c r="S828" s="25" t="e">
        <f ca="1"/>
        <v>#REF!</v>
      </c>
      <c r="T828" s="25" t="e">
        <f ca="1"/>
        <v>#REF!</v>
      </c>
      <c r="U828" s="25" t="e">
        <f ca="1"/>
        <v>#REF!</v>
      </c>
      <c r="V828" s="25" t="e">
        <f ca="1"/>
        <v>#REF!</v>
      </c>
      <c r="W828" s="33" t="e">
        <f ca="1"/>
        <v>#REF!</v>
      </c>
      <c r="X828" s="33" t="e">
        <f ca="1"/>
        <v>#REF!</v>
      </c>
      <c r="Y828" s="33" t="e">
        <f ca="1"/>
        <v>#REF!</v>
      </c>
      <c r="Z828" s="33" t="e">
        <f ca="1"/>
        <v>#REF!</v>
      </c>
      <c r="AA828" s="33" t="e">
        <f ca="1"/>
        <v>#REF!</v>
      </c>
    </row>
    <row r="829" spans="1:27" s="70" customFormat="1" ht="11.25" x14ac:dyDescent="0.2">
      <c r="A829" s="24">
        <v>823</v>
      </c>
      <c r="B829" s="27"/>
      <c r="C829" s="28"/>
      <c r="D829" s="71"/>
      <c r="E829" s="28"/>
      <c r="F829" s="28"/>
      <c r="G829" s="27"/>
      <c r="H829" s="28" t="e">
        <f ca="1"/>
        <v>#REF!</v>
      </c>
      <c r="I829" s="27" t="e">
        <f ca="1"/>
        <v>#REF!</v>
      </c>
      <c r="J829" s="28" t="e">
        <f ca="1"/>
        <v>#REF!</v>
      </c>
      <c r="K829" s="27" t="e">
        <f ca="1"/>
        <v>#REF!</v>
      </c>
      <c r="L829" s="25" t="e">
        <f ca="1"/>
        <v>#REF!</v>
      </c>
      <c r="M829" s="25" t="e">
        <f ca="1"/>
        <v>#REF!</v>
      </c>
      <c r="N829" s="25" t="e">
        <f ca="1"/>
        <v>#REF!</v>
      </c>
      <c r="O829" s="25" t="e">
        <f ca="1"/>
        <v>#REF!</v>
      </c>
      <c r="P829" s="25" t="e">
        <f ca="1"/>
        <v>#REF!</v>
      </c>
      <c r="Q829" s="25" t="e">
        <f ca="1"/>
        <v>#REF!</v>
      </c>
      <c r="R829" s="25" t="e">
        <f ca="1"/>
        <v>#REF!</v>
      </c>
      <c r="S829" s="25" t="e">
        <f ca="1"/>
        <v>#REF!</v>
      </c>
      <c r="T829" s="25" t="e">
        <f ca="1"/>
        <v>#REF!</v>
      </c>
      <c r="U829" s="25" t="e">
        <f ca="1"/>
        <v>#REF!</v>
      </c>
      <c r="V829" s="25" t="e">
        <f ca="1"/>
        <v>#REF!</v>
      </c>
      <c r="W829" s="33" t="e">
        <f ca="1"/>
        <v>#REF!</v>
      </c>
      <c r="X829" s="33" t="e">
        <f ca="1"/>
        <v>#REF!</v>
      </c>
      <c r="Y829" s="33" t="e">
        <f ca="1"/>
        <v>#REF!</v>
      </c>
      <c r="Z829" s="33" t="e">
        <f ca="1"/>
        <v>#REF!</v>
      </c>
      <c r="AA829" s="33" t="e">
        <f ca="1"/>
        <v>#REF!</v>
      </c>
    </row>
    <row r="830" spans="1:27" s="70" customFormat="1" ht="11.25" x14ac:dyDescent="0.2">
      <c r="A830" s="24">
        <v>824</v>
      </c>
      <c r="B830" s="27"/>
      <c r="C830" s="28"/>
      <c r="D830" s="71"/>
      <c r="E830" s="28"/>
      <c r="F830" s="28"/>
      <c r="G830" s="27"/>
      <c r="H830" s="28" t="e">
        <f ca="1"/>
        <v>#REF!</v>
      </c>
      <c r="I830" s="27" t="e">
        <f ca="1"/>
        <v>#REF!</v>
      </c>
      <c r="J830" s="28" t="e">
        <f ca="1"/>
        <v>#REF!</v>
      </c>
      <c r="K830" s="27" t="e">
        <f ca="1"/>
        <v>#REF!</v>
      </c>
      <c r="L830" s="25" t="e">
        <f ca="1"/>
        <v>#REF!</v>
      </c>
      <c r="M830" s="25" t="e">
        <f ca="1"/>
        <v>#REF!</v>
      </c>
      <c r="N830" s="25" t="e">
        <f ca="1"/>
        <v>#REF!</v>
      </c>
      <c r="O830" s="25" t="e">
        <f ca="1"/>
        <v>#REF!</v>
      </c>
      <c r="P830" s="25" t="e">
        <f ca="1"/>
        <v>#REF!</v>
      </c>
      <c r="Q830" s="25" t="e">
        <f ca="1"/>
        <v>#REF!</v>
      </c>
      <c r="R830" s="25" t="e">
        <f ca="1"/>
        <v>#REF!</v>
      </c>
      <c r="S830" s="25" t="e">
        <f ca="1"/>
        <v>#REF!</v>
      </c>
      <c r="T830" s="25" t="e">
        <f ca="1"/>
        <v>#REF!</v>
      </c>
      <c r="U830" s="25" t="e">
        <f ca="1"/>
        <v>#REF!</v>
      </c>
      <c r="V830" s="25" t="e">
        <f ca="1"/>
        <v>#REF!</v>
      </c>
      <c r="W830" s="33" t="e">
        <f ca="1"/>
        <v>#REF!</v>
      </c>
      <c r="X830" s="33" t="e">
        <f ca="1"/>
        <v>#REF!</v>
      </c>
      <c r="Y830" s="33" t="e">
        <f ca="1"/>
        <v>#REF!</v>
      </c>
      <c r="Z830" s="33" t="e">
        <f ca="1"/>
        <v>#REF!</v>
      </c>
      <c r="AA830" s="33" t="e">
        <f ca="1"/>
        <v>#REF!</v>
      </c>
    </row>
    <row r="831" spans="1:27" s="70" customFormat="1" ht="11.25" x14ac:dyDescent="0.2">
      <c r="A831" s="24">
        <v>825</v>
      </c>
      <c r="B831" s="27"/>
      <c r="C831" s="28"/>
      <c r="D831" s="71"/>
      <c r="E831" s="28"/>
      <c r="F831" s="28"/>
      <c r="G831" s="27"/>
      <c r="H831" s="28" t="e">
        <f ca="1"/>
        <v>#REF!</v>
      </c>
      <c r="I831" s="27" t="e">
        <f ca="1"/>
        <v>#REF!</v>
      </c>
      <c r="J831" s="28" t="e">
        <f ca="1"/>
        <v>#REF!</v>
      </c>
      <c r="K831" s="27" t="e">
        <f ca="1"/>
        <v>#REF!</v>
      </c>
      <c r="L831" s="25" t="e">
        <f ca="1"/>
        <v>#REF!</v>
      </c>
      <c r="M831" s="25" t="e">
        <f ca="1"/>
        <v>#REF!</v>
      </c>
      <c r="N831" s="25" t="e">
        <f ca="1"/>
        <v>#REF!</v>
      </c>
      <c r="O831" s="25" t="e">
        <f ca="1"/>
        <v>#REF!</v>
      </c>
      <c r="P831" s="25" t="e">
        <f ca="1"/>
        <v>#REF!</v>
      </c>
      <c r="Q831" s="25" t="e">
        <f ca="1"/>
        <v>#REF!</v>
      </c>
      <c r="R831" s="25" t="e">
        <f ca="1"/>
        <v>#REF!</v>
      </c>
      <c r="S831" s="25" t="e">
        <f ca="1"/>
        <v>#REF!</v>
      </c>
      <c r="T831" s="25" t="e">
        <f ca="1"/>
        <v>#REF!</v>
      </c>
      <c r="U831" s="25" t="e">
        <f ca="1"/>
        <v>#REF!</v>
      </c>
      <c r="V831" s="25" t="e">
        <f ca="1"/>
        <v>#REF!</v>
      </c>
      <c r="W831" s="33" t="e">
        <f ca="1"/>
        <v>#REF!</v>
      </c>
      <c r="X831" s="33" t="e">
        <f ca="1"/>
        <v>#REF!</v>
      </c>
      <c r="Y831" s="33" t="e">
        <f ca="1"/>
        <v>#REF!</v>
      </c>
      <c r="Z831" s="33" t="e">
        <f ca="1"/>
        <v>#REF!</v>
      </c>
      <c r="AA831" s="33" t="e">
        <f ca="1"/>
        <v>#REF!</v>
      </c>
    </row>
    <row r="832" spans="1:27" s="70" customFormat="1" ht="11.25" x14ac:dyDescent="0.2">
      <c r="A832" s="24">
        <v>826</v>
      </c>
      <c r="B832" s="27"/>
      <c r="C832" s="28"/>
      <c r="D832" s="71"/>
      <c r="E832" s="28"/>
      <c r="F832" s="28"/>
      <c r="G832" s="27"/>
      <c r="H832" s="28" t="e">
        <f ca="1"/>
        <v>#REF!</v>
      </c>
      <c r="I832" s="27" t="e">
        <f ca="1"/>
        <v>#REF!</v>
      </c>
      <c r="J832" s="28" t="e">
        <f ca="1"/>
        <v>#REF!</v>
      </c>
      <c r="K832" s="27" t="e">
        <f ca="1"/>
        <v>#REF!</v>
      </c>
      <c r="L832" s="25" t="e">
        <f ca="1"/>
        <v>#REF!</v>
      </c>
      <c r="M832" s="25" t="e">
        <f ca="1"/>
        <v>#REF!</v>
      </c>
      <c r="N832" s="25" t="e">
        <f ca="1"/>
        <v>#REF!</v>
      </c>
      <c r="O832" s="25" t="e">
        <f ca="1"/>
        <v>#REF!</v>
      </c>
      <c r="P832" s="25" t="e">
        <f ca="1"/>
        <v>#REF!</v>
      </c>
      <c r="Q832" s="25" t="e">
        <f ca="1"/>
        <v>#REF!</v>
      </c>
      <c r="R832" s="25" t="e">
        <f ca="1"/>
        <v>#REF!</v>
      </c>
      <c r="S832" s="25" t="e">
        <f ca="1"/>
        <v>#REF!</v>
      </c>
      <c r="T832" s="25" t="e">
        <f ca="1"/>
        <v>#REF!</v>
      </c>
      <c r="U832" s="25" t="e">
        <f ca="1"/>
        <v>#REF!</v>
      </c>
      <c r="V832" s="25" t="e">
        <f ca="1"/>
        <v>#REF!</v>
      </c>
      <c r="W832" s="33" t="e">
        <f ca="1"/>
        <v>#REF!</v>
      </c>
      <c r="X832" s="33" t="e">
        <f ca="1"/>
        <v>#REF!</v>
      </c>
      <c r="Y832" s="33" t="e">
        <f ca="1"/>
        <v>#REF!</v>
      </c>
      <c r="Z832" s="33" t="e">
        <f ca="1"/>
        <v>#REF!</v>
      </c>
      <c r="AA832" s="33" t="e">
        <f ca="1"/>
        <v>#REF!</v>
      </c>
    </row>
    <row r="833" spans="1:27" s="70" customFormat="1" ht="11.25" x14ac:dyDescent="0.2">
      <c r="A833" s="24">
        <v>827</v>
      </c>
      <c r="B833" s="27"/>
      <c r="C833" s="28"/>
      <c r="D833" s="71"/>
      <c r="E833" s="28"/>
      <c r="F833" s="28"/>
      <c r="G833" s="27"/>
      <c r="H833" s="28" t="e">
        <f ca="1"/>
        <v>#REF!</v>
      </c>
      <c r="I833" s="27" t="e">
        <f ca="1"/>
        <v>#REF!</v>
      </c>
      <c r="J833" s="28" t="e">
        <f ca="1"/>
        <v>#REF!</v>
      </c>
      <c r="K833" s="27" t="e">
        <f ca="1"/>
        <v>#REF!</v>
      </c>
      <c r="L833" s="25" t="e">
        <f ca="1"/>
        <v>#REF!</v>
      </c>
      <c r="M833" s="25" t="e">
        <f ca="1"/>
        <v>#REF!</v>
      </c>
      <c r="N833" s="25" t="e">
        <f ca="1"/>
        <v>#REF!</v>
      </c>
      <c r="O833" s="25" t="e">
        <f ca="1"/>
        <v>#REF!</v>
      </c>
      <c r="P833" s="25" t="e">
        <f ca="1"/>
        <v>#REF!</v>
      </c>
      <c r="Q833" s="25" t="e">
        <f ca="1"/>
        <v>#REF!</v>
      </c>
      <c r="R833" s="25" t="e">
        <f ca="1"/>
        <v>#REF!</v>
      </c>
      <c r="S833" s="25" t="e">
        <f ca="1"/>
        <v>#REF!</v>
      </c>
      <c r="T833" s="25" t="e">
        <f ca="1"/>
        <v>#REF!</v>
      </c>
      <c r="U833" s="25" t="e">
        <f ca="1"/>
        <v>#REF!</v>
      </c>
      <c r="V833" s="25" t="e">
        <f ca="1"/>
        <v>#REF!</v>
      </c>
      <c r="W833" s="33" t="e">
        <f ca="1"/>
        <v>#REF!</v>
      </c>
      <c r="X833" s="33" t="e">
        <f ca="1"/>
        <v>#REF!</v>
      </c>
      <c r="Y833" s="33" t="e">
        <f ca="1"/>
        <v>#REF!</v>
      </c>
      <c r="Z833" s="33" t="e">
        <f ca="1"/>
        <v>#REF!</v>
      </c>
      <c r="AA833" s="33" t="e">
        <f ca="1"/>
        <v>#REF!</v>
      </c>
    </row>
    <row r="834" spans="1:27" s="70" customFormat="1" ht="11.25" x14ac:dyDescent="0.2">
      <c r="A834" s="24">
        <v>828</v>
      </c>
      <c r="B834" s="27"/>
      <c r="C834" s="28"/>
      <c r="D834" s="71"/>
      <c r="E834" s="28"/>
      <c r="F834" s="28"/>
      <c r="G834" s="27"/>
      <c r="H834" s="28" t="e">
        <f ca="1"/>
        <v>#REF!</v>
      </c>
      <c r="I834" s="27" t="e">
        <f ca="1"/>
        <v>#REF!</v>
      </c>
      <c r="J834" s="28" t="e">
        <f ca="1"/>
        <v>#REF!</v>
      </c>
      <c r="K834" s="27" t="e">
        <f ca="1"/>
        <v>#REF!</v>
      </c>
      <c r="L834" s="25" t="e">
        <f ca="1"/>
        <v>#REF!</v>
      </c>
      <c r="M834" s="25" t="e">
        <f ca="1"/>
        <v>#REF!</v>
      </c>
      <c r="N834" s="25" t="e">
        <f ca="1"/>
        <v>#REF!</v>
      </c>
      <c r="O834" s="25" t="e">
        <f ca="1"/>
        <v>#REF!</v>
      </c>
      <c r="P834" s="25" t="e">
        <f ca="1"/>
        <v>#REF!</v>
      </c>
      <c r="Q834" s="25" t="e">
        <f ca="1"/>
        <v>#REF!</v>
      </c>
      <c r="R834" s="25" t="e">
        <f ca="1"/>
        <v>#REF!</v>
      </c>
      <c r="S834" s="25" t="e">
        <f ca="1"/>
        <v>#REF!</v>
      </c>
      <c r="T834" s="25" t="e">
        <f ca="1"/>
        <v>#REF!</v>
      </c>
      <c r="U834" s="25" t="e">
        <f ca="1"/>
        <v>#REF!</v>
      </c>
      <c r="V834" s="25" t="e">
        <f ca="1"/>
        <v>#REF!</v>
      </c>
      <c r="W834" s="33" t="e">
        <f ca="1"/>
        <v>#REF!</v>
      </c>
      <c r="X834" s="33" t="e">
        <f ca="1"/>
        <v>#REF!</v>
      </c>
      <c r="Y834" s="33" t="e">
        <f ca="1"/>
        <v>#REF!</v>
      </c>
      <c r="Z834" s="33" t="e">
        <f ca="1"/>
        <v>#REF!</v>
      </c>
      <c r="AA834" s="33" t="e">
        <f ca="1"/>
        <v>#REF!</v>
      </c>
    </row>
    <row r="835" spans="1:27" s="70" customFormat="1" ht="11.25" x14ac:dyDescent="0.2">
      <c r="A835" s="24">
        <v>829</v>
      </c>
      <c r="B835" s="27"/>
      <c r="C835" s="28"/>
      <c r="D835" s="71"/>
      <c r="E835" s="28"/>
      <c r="F835" s="28"/>
      <c r="G835" s="27"/>
      <c r="H835" s="28" t="e">
        <f ca="1"/>
        <v>#REF!</v>
      </c>
      <c r="I835" s="27" t="e">
        <f ca="1"/>
        <v>#REF!</v>
      </c>
      <c r="J835" s="28" t="e">
        <f ca="1"/>
        <v>#REF!</v>
      </c>
      <c r="K835" s="27" t="e">
        <f ca="1"/>
        <v>#REF!</v>
      </c>
      <c r="L835" s="25" t="e">
        <f ca="1"/>
        <v>#REF!</v>
      </c>
      <c r="M835" s="25" t="e">
        <f ca="1"/>
        <v>#REF!</v>
      </c>
      <c r="N835" s="25" t="e">
        <f ca="1"/>
        <v>#REF!</v>
      </c>
      <c r="O835" s="25" t="e">
        <f ca="1"/>
        <v>#REF!</v>
      </c>
      <c r="P835" s="25" t="e">
        <f ca="1"/>
        <v>#REF!</v>
      </c>
      <c r="Q835" s="25" t="e">
        <f ca="1"/>
        <v>#REF!</v>
      </c>
      <c r="R835" s="25" t="e">
        <f ca="1"/>
        <v>#REF!</v>
      </c>
      <c r="S835" s="25" t="e">
        <f ca="1"/>
        <v>#REF!</v>
      </c>
      <c r="T835" s="25" t="e">
        <f ca="1"/>
        <v>#REF!</v>
      </c>
      <c r="U835" s="25" t="e">
        <f ca="1"/>
        <v>#REF!</v>
      </c>
      <c r="V835" s="25" t="e">
        <f ca="1"/>
        <v>#REF!</v>
      </c>
      <c r="W835" s="33" t="e">
        <f ca="1"/>
        <v>#REF!</v>
      </c>
      <c r="X835" s="33" t="e">
        <f ca="1"/>
        <v>#REF!</v>
      </c>
      <c r="Y835" s="33" t="e">
        <f ca="1"/>
        <v>#REF!</v>
      </c>
      <c r="Z835" s="33" t="e">
        <f ca="1"/>
        <v>#REF!</v>
      </c>
      <c r="AA835" s="33" t="e">
        <f ca="1"/>
        <v>#REF!</v>
      </c>
    </row>
    <row r="836" spans="1:27" s="70" customFormat="1" ht="11.25" x14ac:dyDescent="0.2">
      <c r="A836" s="24">
        <v>830</v>
      </c>
      <c r="B836" s="27"/>
      <c r="C836" s="28"/>
      <c r="D836" s="71"/>
      <c r="E836" s="28"/>
      <c r="F836" s="28"/>
      <c r="G836" s="27"/>
      <c r="H836" s="28" t="e">
        <f ca="1"/>
        <v>#REF!</v>
      </c>
      <c r="I836" s="27" t="e">
        <f ca="1"/>
        <v>#REF!</v>
      </c>
      <c r="J836" s="28" t="e">
        <f ca="1"/>
        <v>#REF!</v>
      </c>
      <c r="K836" s="27" t="e">
        <f ca="1"/>
        <v>#REF!</v>
      </c>
      <c r="L836" s="25" t="e">
        <f ca="1"/>
        <v>#REF!</v>
      </c>
      <c r="M836" s="25" t="e">
        <f ca="1"/>
        <v>#REF!</v>
      </c>
      <c r="N836" s="25" t="e">
        <f ca="1"/>
        <v>#REF!</v>
      </c>
      <c r="O836" s="25" t="e">
        <f ca="1"/>
        <v>#REF!</v>
      </c>
      <c r="P836" s="25" t="e">
        <f ca="1"/>
        <v>#REF!</v>
      </c>
      <c r="Q836" s="25" t="e">
        <f ca="1"/>
        <v>#REF!</v>
      </c>
      <c r="R836" s="25" t="e">
        <f ca="1"/>
        <v>#REF!</v>
      </c>
      <c r="S836" s="25" t="e">
        <f ca="1"/>
        <v>#REF!</v>
      </c>
      <c r="T836" s="25" t="e">
        <f ca="1"/>
        <v>#REF!</v>
      </c>
      <c r="U836" s="25" t="e">
        <f ca="1"/>
        <v>#REF!</v>
      </c>
      <c r="V836" s="25" t="e">
        <f ca="1"/>
        <v>#REF!</v>
      </c>
      <c r="W836" s="33" t="e">
        <f ca="1"/>
        <v>#REF!</v>
      </c>
      <c r="X836" s="33" t="e">
        <f ca="1"/>
        <v>#REF!</v>
      </c>
      <c r="Y836" s="33" t="e">
        <f ca="1"/>
        <v>#REF!</v>
      </c>
      <c r="Z836" s="33" t="e">
        <f ca="1"/>
        <v>#REF!</v>
      </c>
      <c r="AA836" s="33" t="e">
        <f ca="1"/>
        <v>#REF!</v>
      </c>
    </row>
    <row r="837" spans="1:27" s="70" customFormat="1" ht="11.25" x14ac:dyDescent="0.2">
      <c r="A837" s="24">
        <v>831</v>
      </c>
      <c r="B837" s="27"/>
      <c r="C837" s="28"/>
      <c r="D837" s="71"/>
      <c r="E837" s="28"/>
      <c r="F837" s="28"/>
      <c r="G837" s="27"/>
      <c r="H837" s="28" t="e">
        <f ca="1"/>
        <v>#REF!</v>
      </c>
      <c r="I837" s="27" t="e">
        <f ca="1"/>
        <v>#REF!</v>
      </c>
      <c r="J837" s="28" t="e">
        <f ca="1"/>
        <v>#REF!</v>
      </c>
      <c r="K837" s="27" t="e">
        <f ca="1"/>
        <v>#REF!</v>
      </c>
      <c r="L837" s="25" t="e">
        <f ca="1"/>
        <v>#REF!</v>
      </c>
      <c r="M837" s="25" t="e">
        <f ca="1"/>
        <v>#REF!</v>
      </c>
      <c r="N837" s="25" t="e">
        <f ca="1"/>
        <v>#REF!</v>
      </c>
      <c r="O837" s="25" t="e">
        <f ca="1"/>
        <v>#REF!</v>
      </c>
      <c r="P837" s="25" t="e">
        <f ca="1"/>
        <v>#REF!</v>
      </c>
      <c r="Q837" s="25" t="e">
        <f ca="1"/>
        <v>#REF!</v>
      </c>
      <c r="R837" s="25" t="e">
        <f ca="1"/>
        <v>#REF!</v>
      </c>
      <c r="S837" s="25" t="e">
        <f ca="1"/>
        <v>#REF!</v>
      </c>
      <c r="T837" s="25" t="e">
        <f ca="1"/>
        <v>#REF!</v>
      </c>
      <c r="U837" s="25" t="e">
        <f ca="1"/>
        <v>#REF!</v>
      </c>
      <c r="V837" s="25" t="e">
        <f ca="1"/>
        <v>#REF!</v>
      </c>
      <c r="W837" s="33" t="e">
        <f ca="1"/>
        <v>#REF!</v>
      </c>
      <c r="X837" s="33" t="e">
        <f ca="1"/>
        <v>#REF!</v>
      </c>
      <c r="Y837" s="33" t="e">
        <f ca="1"/>
        <v>#REF!</v>
      </c>
      <c r="Z837" s="33" t="e">
        <f ca="1"/>
        <v>#REF!</v>
      </c>
      <c r="AA837" s="33" t="e">
        <f ca="1"/>
        <v>#REF!</v>
      </c>
    </row>
    <row r="838" spans="1:27" s="70" customFormat="1" ht="11.25" x14ac:dyDescent="0.2">
      <c r="A838" s="24">
        <v>832</v>
      </c>
      <c r="B838" s="27"/>
      <c r="C838" s="28"/>
      <c r="D838" s="71"/>
      <c r="E838" s="28"/>
      <c r="F838" s="28"/>
      <c r="G838" s="27"/>
      <c r="H838" s="28" t="e">
        <f ca="1"/>
        <v>#REF!</v>
      </c>
      <c r="I838" s="27" t="e">
        <f ca="1"/>
        <v>#REF!</v>
      </c>
      <c r="J838" s="28" t="e">
        <f ca="1"/>
        <v>#REF!</v>
      </c>
      <c r="K838" s="27" t="e">
        <f ca="1"/>
        <v>#REF!</v>
      </c>
      <c r="L838" s="25" t="e">
        <f ca="1"/>
        <v>#REF!</v>
      </c>
      <c r="M838" s="25" t="e">
        <f ca="1"/>
        <v>#REF!</v>
      </c>
      <c r="N838" s="25" t="e">
        <f ca="1"/>
        <v>#REF!</v>
      </c>
      <c r="O838" s="25" t="e">
        <f ca="1"/>
        <v>#REF!</v>
      </c>
      <c r="P838" s="25" t="e">
        <f ca="1"/>
        <v>#REF!</v>
      </c>
      <c r="Q838" s="25" t="e">
        <f ca="1"/>
        <v>#REF!</v>
      </c>
      <c r="R838" s="25" t="e">
        <f ca="1"/>
        <v>#REF!</v>
      </c>
      <c r="S838" s="25" t="e">
        <f ca="1"/>
        <v>#REF!</v>
      </c>
      <c r="T838" s="25" t="e">
        <f ca="1"/>
        <v>#REF!</v>
      </c>
      <c r="U838" s="25" t="e">
        <f ca="1"/>
        <v>#REF!</v>
      </c>
      <c r="V838" s="25" t="e">
        <f ca="1"/>
        <v>#REF!</v>
      </c>
      <c r="W838" s="33" t="e">
        <f ca="1"/>
        <v>#REF!</v>
      </c>
      <c r="X838" s="33" t="e">
        <f ca="1"/>
        <v>#REF!</v>
      </c>
      <c r="Y838" s="33" t="e">
        <f ca="1"/>
        <v>#REF!</v>
      </c>
      <c r="Z838" s="33" t="e">
        <f ca="1"/>
        <v>#REF!</v>
      </c>
      <c r="AA838" s="33" t="e">
        <f ca="1"/>
        <v>#REF!</v>
      </c>
    </row>
    <row r="839" spans="1:27" s="70" customFormat="1" ht="11.25" x14ac:dyDescent="0.2">
      <c r="A839" s="24">
        <v>833</v>
      </c>
      <c r="B839" s="27"/>
      <c r="C839" s="28"/>
      <c r="D839" s="71"/>
      <c r="E839" s="28"/>
      <c r="F839" s="28"/>
      <c r="G839" s="27"/>
      <c r="H839" s="28" t="e">
        <f ca="1"/>
        <v>#REF!</v>
      </c>
      <c r="I839" s="27" t="e">
        <f ca="1"/>
        <v>#REF!</v>
      </c>
      <c r="J839" s="28" t="e">
        <f ca="1"/>
        <v>#REF!</v>
      </c>
      <c r="K839" s="27" t="e">
        <f ca="1"/>
        <v>#REF!</v>
      </c>
      <c r="L839" s="25" t="e">
        <f ca="1"/>
        <v>#REF!</v>
      </c>
      <c r="M839" s="25" t="e">
        <f ca="1"/>
        <v>#REF!</v>
      </c>
      <c r="N839" s="25" t="e">
        <f ca="1"/>
        <v>#REF!</v>
      </c>
      <c r="O839" s="25" t="e">
        <f ca="1"/>
        <v>#REF!</v>
      </c>
      <c r="P839" s="25" t="e">
        <f ca="1"/>
        <v>#REF!</v>
      </c>
      <c r="Q839" s="25" t="e">
        <f ca="1"/>
        <v>#REF!</v>
      </c>
      <c r="R839" s="25" t="e">
        <f ca="1"/>
        <v>#REF!</v>
      </c>
      <c r="S839" s="25" t="e">
        <f ca="1"/>
        <v>#REF!</v>
      </c>
      <c r="T839" s="25" t="e">
        <f ca="1"/>
        <v>#REF!</v>
      </c>
      <c r="U839" s="25" t="e">
        <f ca="1"/>
        <v>#REF!</v>
      </c>
      <c r="V839" s="25" t="e">
        <f ca="1"/>
        <v>#REF!</v>
      </c>
      <c r="W839" s="33" t="e">
        <f ca="1"/>
        <v>#REF!</v>
      </c>
      <c r="X839" s="33" t="e">
        <f ca="1"/>
        <v>#REF!</v>
      </c>
      <c r="Y839" s="33" t="e">
        <f ca="1"/>
        <v>#REF!</v>
      </c>
      <c r="Z839" s="33" t="e">
        <f ca="1"/>
        <v>#REF!</v>
      </c>
      <c r="AA839" s="33" t="e">
        <f ca="1"/>
        <v>#REF!</v>
      </c>
    </row>
    <row r="840" spans="1:27" s="70" customFormat="1" ht="11.25" x14ac:dyDescent="0.2">
      <c r="A840" s="24">
        <v>834</v>
      </c>
      <c r="B840" s="27"/>
      <c r="C840" s="28"/>
      <c r="D840" s="71"/>
      <c r="E840" s="28"/>
      <c r="F840" s="28"/>
      <c r="G840" s="27"/>
      <c r="H840" s="28" t="e">
        <f ca="1"/>
        <v>#REF!</v>
      </c>
      <c r="I840" s="27" t="e">
        <f ca="1"/>
        <v>#REF!</v>
      </c>
      <c r="J840" s="28" t="e">
        <f ca="1"/>
        <v>#REF!</v>
      </c>
      <c r="K840" s="27" t="e">
        <f ca="1"/>
        <v>#REF!</v>
      </c>
      <c r="L840" s="25" t="e">
        <f ca="1"/>
        <v>#REF!</v>
      </c>
      <c r="M840" s="25" t="e">
        <f ca="1"/>
        <v>#REF!</v>
      </c>
      <c r="N840" s="25" t="e">
        <f ca="1"/>
        <v>#REF!</v>
      </c>
      <c r="O840" s="25" t="e">
        <f ca="1"/>
        <v>#REF!</v>
      </c>
      <c r="P840" s="25" t="e">
        <f ca="1"/>
        <v>#REF!</v>
      </c>
      <c r="Q840" s="25" t="e">
        <f ca="1"/>
        <v>#REF!</v>
      </c>
      <c r="R840" s="25" t="e">
        <f ca="1"/>
        <v>#REF!</v>
      </c>
      <c r="S840" s="25" t="e">
        <f ca="1"/>
        <v>#REF!</v>
      </c>
      <c r="T840" s="25" t="e">
        <f ca="1"/>
        <v>#REF!</v>
      </c>
      <c r="U840" s="25" t="e">
        <f ca="1"/>
        <v>#REF!</v>
      </c>
      <c r="V840" s="25" t="e">
        <f ca="1"/>
        <v>#REF!</v>
      </c>
      <c r="W840" s="33" t="e">
        <f ca="1"/>
        <v>#REF!</v>
      </c>
      <c r="X840" s="33" t="e">
        <f ca="1"/>
        <v>#REF!</v>
      </c>
      <c r="Y840" s="33" t="e">
        <f ca="1"/>
        <v>#REF!</v>
      </c>
      <c r="Z840" s="33" t="e">
        <f ca="1"/>
        <v>#REF!</v>
      </c>
      <c r="AA840" s="33" t="e">
        <f ca="1"/>
        <v>#REF!</v>
      </c>
    </row>
    <row r="841" spans="1:27" s="70" customFormat="1" ht="11.25" x14ac:dyDescent="0.2">
      <c r="A841" s="24">
        <v>835</v>
      </c>
      <c r="B841" s="27"/>
      <c r="C841" s="28"/>
      <c r="D841" s="71"/>
      <c r="E841" s="28"/>
      <c r="F841" s="28"/>
      <c r="G841" s="27"/>
      <c r="H841" s="28" t="e">
        <f ca="1"/>
        <v>#REF!</v>
      </c>
      <c r="I841" s="27" t="e">
        <f ca="1"/>
        <v>#REF!</v>
      </c>
      <c r="J841" s="28" t="e">
        <f ca="1"/>
        <v>#REF!</v>
      </c>
      <c r="K841" s="27" t="e">
        <f ca="1"/>
        <v>#REF!</v>
      </c>
      <c r="L841" s="25" t="e">
        <f ca="1"/>
        <v>#REF!</v>
      </c>
      <c r="M841" s="25" t="e">
        <f ca="1"/>
        <v>#REF!</v>
      </c>
      <c r="N841" s="25" t="e">
        <f ca="1"/>
        <v>#REF!</v>
      </c>
      <c r="O841" s="25" t="e">
        <f ca="1"/>
        <v>#REF!</v>
      </c>
      <c r="P841" s="25" t="e">
        <f ca="1"/>
        <v>#REF!</v>
      </c>
      <c r="Q841" s="25" t="e">
        <f ca="1"/>
        <v>#REF!</v>
      </c>
      <c r="R841" s="25" t="e">
        <f ca="1"/>
        <v>#REF!</v>
      </c>
      <c r="S841" s="25" t="e">
        <f ca="1"/>
        <v>#REF!</v>
      </c>
      <c r="T841" s="25" t="e">
        <f ca="1"/>
        <v>#REF!</v>
      </c>
      <c r="U841" s="25" t="e">
        <f ca="1"/>
        <v>#REF!</v>
      </c>
      <c r="V841" s="25" t="e">
        <f ca="1"/>
        <v>#REF!</v>
      </c>
      <c r="W841" s="33" t="e">
        <f ca="1"/>
        <v>#REF!</v>
      </c>
      <c r="X841" s="33" t="e">
        <f ca="1"/>
        <v>#REF!</v>
      </c>
      <c r="Y841" s="33" t="e">
        <f ca="1"/>
        <v>#REF!</v>
      </c>
      <c r="Z841" s="33" t="e">
        <f ca="1"/>
        <v>#REF!</v>
      </c>
      <c r="AA841" s="33" t="e">
        <f ca="1"/>
        <v>#REF!</v>
      </c>
    </row>
    <row r="842" spans="1:27" s="70" customFormat="1" ht="11.25" x14ac:dyDescent="0.2">
      <c r="A842" s="24">
        <v>836</v>
      </c>
      <c r="B842" s="27"/>
      <c r="C842" s="28"/>
      <c r="D842" s="71"/>
      <c r="E842" s="28"/>
      <c r="F842" s="28"/>
      <c r="G842" s="27"/>
      <c r="H842" s="28" t="e">
        <f ca="1"/>
        <v>#REF!</v>
      </c>
      <c r="I842" s="27" t="e">
        <f ca="1"/>
        <v>#REF!</v>
      </c>
      <c r="J842" s="28" t="e">
        <f ca="1"/>
        <v>#REF!</v>
      </c>
      <c r="K842" s="27" t="e">
        <f ca="1"/>
        <v>#REF!</v>
      </c>
      <c r="L842" s="25" t="e">
        <f ca="1"/>
        <v>#REF!</v>
      </c>
      <c r="M842" s="25" t="e">
        <f ca="1"/>
        <v>#REF!</v>
      </c>
      <c r="N842" s="25" t="e">
        <f ca="1"/>
        <v>#REF!</v>
      </c>
      <c r="O842" s="25" t="e">
        <f ca="1"/>
        <v>#REF!</v>
      </c>
      <c r="P842" s="25" t="e">
        <f ca="1"/>
        <v>#REF!</v>
      </c>
      <c r="Q842" s="25" t="e">
        <f ca="1"/>
        <v>#REF!</v>
      </c>
      <c r="R842" s="25" t="e">
        <f ca="1"/>
        <v>#REF!</v>
      </c>
      <c r="S842" s="25" t="e">
        <f ca="1"/>
        <v>#REF!</v>
      </c>
      <c r="T842" s="25" t="e">
        <f ca="1"/>
        <v>#REF!</v>
      </c>
      <c r="U842" s="25" t="e">
        <f ca="1"/>
        <v>#REF!</v>
      </c>
      <c r="V842" s="25" t="e">
        <f ca="1"/>
        <v>#REF!</v>
      </c>
      <c r="W842" s="33" t="e">
        <f ca="1"/>
        <v>#REF!</v>
      </c>
      <c r="X842" s="33" t="e">
        <f ca="1"/>
        <v>#REF!</v>
      </c>
      <c r="Y842" s="33" t="e">
        <f ca="1"/>
        <v>#REF!</v>
      </c>
      <c r="Z842" s="33" t="e">
        <f ca="1"/>
        <v>#REF!</v>
      </c>
      <c r="AA842" s="33" t="e">
        <f ca="1"/>
        <v>#REF!</v>
      </c>
    </row>
    <row r="843" spans="1:27" s="70" customFormat="1" ht="11.25" x14ac:dyDescent="0.2">
      <c r="A843" s="24">
        <v>837</v>
      </c>
      <c r="B843" s="27"/>
      <c r="C843" s="28"/>
      <c r="D843" s="71"/>
      <c r="E843" s="28"/>
      <c r="F843" s="28"/>
      <c r="G843" s="27"/>
      <c r="H843" s="28" t="e">
        <f ca="1"/>
        <v>#REF!</v>
      </c>
      <c r="I843" s="27" t="e">
        <f ca="1"/>
        <v>#REF!</v>
      </c>
      <c r="J843" s="28" t="e">
        <f ca="1"/>
        <v>#REF!</v>
      </c>
      <c r="K843" s="27" t="e">
        <f ca="1"/>
        <v>#REF!</v>
      </c>
      <c r="L843" s="25" t="e">
        <f ca="1"/>
        <v>#REF!</v>
      </c>
      <c r="M843" s="25" t="e">
        <f ca="1"/>
        <v>#REF!</v>
      </c>
      <c r="N843" s="25" t="e">
        <f ca="1"/>
        <v>#REF!</v>
      </c>
      <c r="O843" s="25" t="e">
        <f ca="1"/>
        <v>#REF!</v>
      </c>
      <c r="P843" s="25" t="e">
        <f ca="1"/>
        <v>#REF!</v>
      </c>
      <c r="Q843" s="25" t="e">
        <f ca="1"/>
        <v>#REF!</v>
      </c>
      <c r="R843" s="25" t="e">
        <f ca="1"/>
        <v>#REF!</v>
      </c>
      <c r="S843" s="25" t="e">
        <f ca="1"/>
        <v>#REF!</v>
      </c>
      <c r="T843" s="25" t="e">
        <f ca="1"/>
        <v>#REF!</v>
      </c>
      <c r="U843" s="25" t="e">
        <f ca="1"/>
        <v>#REF!</v>
      </c>
      <c r="V843" s="25" t="e">
        <f ca="1"/>
        <v>#REF!</v>
      </c>
      <c r="W843" s="33" t="e">
        <f ca="1"/>
        <v>#REF!</v>
      </c>
      <c r="X843" s="33" t="e">
        <f ca="1"/>
        <v>#REF!</v>
      </c>
      <c r="Y843" s="33" t="e">
        <f ca="1"/>
        <v>#REF!</v>
      </c>
      <c r="Z843" s="33" t="e">
        <f ca="1"/>
        <v>#REF!</v>
      </c>
      <c r="AA843" s="33" t="e">
        <f ca="1"/>
        <v>#REF!</v>
      </c>
    </row>
    <row r="844" spans="1:27" s="70" customFormat="1" ht="11.25" x14ac:dyDescent="0.2">
      <c r="A844" s="24">
        <v>838</v>
      </c>
      <c r="B844" s="27"/>
      <c r="C844" s="28"/>
      <c r="D844" s="71"/>
      <c r="E844" s="28"/>
      <c r="F844" s="28"/>
      <c r="G844" s="27"/>
      <c r="H844" s="28" t="e">
        <f ca="1"/>
        <v>#REF!</v>
      </c>
      <c r="I844" s="27" t="e">
        <f ca="1"/>
        <v>#REF!</v>
      </c>
      <c r="J844" s="28" t="e">
        <f ca="1"/>
        <v>#REF!</v>
      </c>
      <c r="K844" s="27" t="e">
        <f ca="1"/>
        <v>#REF!</v>
      </c>
      <c r="L844" s="25" t="e">
        <f ca="1"/>
        <v>#REF!</v>
      </c>
      <c r="M844" s="25" t="e">
        <f ca="1"/>
        <v>#REF!</v>
      </c>
      <c r="N844" s="25" t="e">
        <f ca="1"/>
        <v>#REF!</v>
      </c>
      <c r="O844" s="25" t="e">
        <f ca="1"/>
        <v>#REF!</v>
      </c>
      <c r="P844" s="25" t="e">
        <f ca="1"/>
        <v>#REF!</v>
      </c>
      <c r="Q844" s="25" t="e">
        <f ca="1"/>
        <v>#REF!</v>
      </c>
      <c r="R844" s="25" t="e">
        <f ca="1"/>
        <v>#REF!</v>
      </c>
      <c r="S844" s="25" t="e">
        <f ca="1"/>
        <v>#REF!</v>
      </c>
      <c r="T844" s="25" t="e">
        <f ca="1"/>
        <v>#REF!</v>
      </c>
      <c r="U844" s="25" t="e">
        <f ca="1"/>
        <v>#REF!</v>
      </c>
      <c r="V844" s="25" t="e">
        <f ca="1"/>
        <v>#REF!</v>
      </c>
      <c r="W844" s="33" t="e">
        <f ca="1"/>
        <v>#REF!</v>
      </c>
      <c r="X844" s="33" t="e">
        <f ca="1"/>
        <v>#REF!</v>
      </c>
      <c r="Y844" s="33" t="e">
        <f ca="1"/>
        <v>#REF!</v>
      </c>
      <c r="Z844" s="33" t="e">
        <f ca="1"/>
        <v>#REF!</v>
      </c>
      <c r="AA844" s="33" t="e">
        <f ca="1"/>
        <v>#REF!</v>
      </c>
    </row>
    <row r="845" spans="1:27" s="70" customFormat="1" ht="11.25" x14ac:dyDescent="0.2">
      <c r="A845" s="24">
        <v>839</v>
      </c>
      <c r="B845" s="27"/>
      <c r="C845" s="28"/>
      <c r="D845" s="71"/>
      <c r="E845" s="28"/>
      <c r="F845" s="28"/>
      <c r="G845" s="27"/>
      <c r="H845" s="28" t="e">
        <f ca="1"/>
        <v>#REF!</v>
      </c>
      <c r="I845" s="27" t="e">
        <f ca="1"/>
        <v>#REF!</v>
      </c>
      <c r="J845" s="28" t="e">
        <f ca="1"/>
        <v>#REF!</v>
      </c>
      <c r="K845" s="27" t="e">
        <f ca="1"/>
        <v>#REF!</v>
      </c>
      <c r="L845" s="25" t="e">
        <f ca="1"/>
        <v>#REF!</v>
      </c>
      <c r="M845" s="25" t="e">
        <f ca="1"/>
        <v>#REF!</v>
      </c>
      <c r="N845" s="25" t="e">
        <f ca="1"/>
        <v>#REF!</v>
      </c>
      <c r="O845" s="25" t="e">
        <f ca="1"/>
        <v>#REF!</v>
      </c>
      <c r="P845" s="25" t="e">
        <f ca="1"/>
        <v>#REF!</v>
      </c>
      <c r="Q845" s="25" t="e">
        <f ca="1"/>
        <v>#REF!</v>
      </c>
      <c r="R845" s="25" t="e">
        <f ca="1"/>
        <v>#REF!</v>
      </c>
      <c r="S845" s="25" t="e">
        <f ca="1"/>
        <v>#REF!</v>
      </c>
      <c r="T845" s="25" t="e">
        <f ca="1"/>
        <v>#REF!</v>
      </c>
      <c r="U845" s="25" t="e">
        <f ca="1"/>
        <v>#REF!</v>
      </c>
      <c r="V845" s="25" t="e">
        <f ca="1"/>
        <v>#REF!</v>
      </c>
      <c r="W845" s="33" t="e">
        <f ca="1"/>
        <v>#REF!</v>
      </c>
      <c r="X845" s="33" t="e">
        <f ca="1"/>
        <v>#REF!</v>
      </c>
      <c r="Y845" s="33" t="e">
        <f ca="1"/>
        <v>#REF!</v>
      </c>
      <c r="Z845" s="33" t="e">
        <f ca="1"/>
        <v>#REF!</v>
      </c>
      <c r="AA845" s="33" t="e">
        <f ca="1"/>
        <v>#REF!</v>
      </c>
    </row>
    <row r="846" spans="1:27" s="70" customFormat="1" ht="11.25" x14ac:dyDescent="0.2">
      <c r="A846" s="24">
        <v>840</v>
      </c>
      <c r="B846" s="27"/>
      <c r="C846" s="28"/>
      <c r="D846" s="71"/>
      <c r="E846" s="28"/>
      <c r="F846" s="28"/>
      <c r="G846" s="27"/>
      <c r="H846" s="28" t="e">
        <f ca="1"/>
        <v>#REF!</v>
      </c>
      <c r="I846" s="27" t="e">
        <f ca="1"/>
        <v>#REF!</v>
      </c>
      <c r="J846" s="28" t="e">
        <f ca="1"/>
        <v>#REF!</v>
      </c>
      <c r="K846" s="27" t="e">
        <f ca="1"/>
        <v>#REF!</v>
      </c>
      <c r="L846" s="25" t="e">
        <f ca="1"/>
        <v>#REF!</v>
      </c>
      <c r="M846" s="25" t="e">
        <f ca="1"/>
        <v>#REF!</v>
      </c>
      <c r="N846" s="25" t="e">
        <f ca="1"/>
        <v>#REF!</v>
      </c>
      <c r="O846" s="25" t="e">
        <f ca="1"/>
        <v>#REF!</v>
      </c>
      <c r="P846" s="25" t="e">
        <f ca="1"/>
        <v>#REF!</v>
      </c>
      <c r="Q846" s="25" t="e">
        <f ca="1"/>
        <v>#REF!</v>
      </c>
      <c r="R846" s="25" t="e">
        <f ca="1"/>
        <v>#REF!</v>
      </c>
      <c r="S846" s="25" t="e">
        <f ca="1"/>
        <v>#REF!</v>
      </c>
      <c r="T846" s="25" t="e">
        <f ca="1"/>
        <v>#REF!</v>
      </c>
      <c r="U846" s="25" t="e">
        <f ca="1"/>
        <v>#REF!</v>
      </c>
      <c r="V846" s="25" t="e">
        <f ca="1"/>
        <v>#REF!</v>
      </c>
      <c r="W846" s="33" t="e">
        <f ca="1"/>
        <v>#REF!</v>
      </c>
      <c r="X846" s="33" t="e">
        <f ca="1"/>
        <v>#REF!</v>
      </c>
      <c r="Y846" s="33" t="e">
        <f ca="1"/>
        <v>#REF!</v>
      </c>
      <c r="Z846" s="33" t="e">
        <f ca="1"/>
        <v>#REF!</v>
      </c>
      <c r="AA846" s="33" t="e">
        <f ca="1"/>
        <v>#REF!</v>
      </c>
    </row>
    <row r="847" spans="1:27" s="70" customFormat="1" ht="11.25" x14ac:dyDescent="0.2">
      <c r="A847" s="24">
        <v>841</v>
      </c>
      <c r="B847" s="27"/>
      <c r="C847" s="28"/>
      <c r="D847" s="71"/>
      <c r="E847" s="28"/>
      <c r="F847" s="28"/>
      <c r="G847" s="27"/>
      <c r="H847" s="28" t="e">
        <f ca="1"/>
        <v>#REF!</v>
      </c>
      <c r="I847" s="27" t="e">
        <f ca="1"/>
        <v>#REF!</v>
      </c>
      <c r="J847" s="28" t="e">
        <f ca="1"/>
        <v>#REF!</v>
      </c>
      <c r="K847" s="27" t="e">
        <f ca="1"/>
        <v>#REF!</v>
      </c>
      <c r="L847" s="25" t="e">
        <f ca="1"/>
        <v>#REF!</v>
      </c>
      <c r="M847" s="25" t="e">
        <f ca="1"/>
        <v>#REF!</v>
      </c>
      <c r="N847" s="25" t="e">
        <f ca="1"/>
        <v>#REF!</v>
      </c>
      <c r="O847" s="25" t="e">
        <f ca="1"/>
        <v>#REF!</v>
      </c>
      <c r="P847" s="25" t="e">
        <f ca="1"/>
        <v>#REF!</v>
      </c>
      <c r="Q847" s="25" t="e">
        <f ca="1"/>
        <v>#REF!</v>
      </c>
      <c r="R847" s="25" t="e">
        <f ca="1"/>
        <v>#REF!</v>
      </c>
      <c r="S847" s="25" t="e">
        <f ca="1"/>
        <v>#REF!</v>
      </c>
      <c r="T847" s="25" t="e">
        <f ca="1"/>
        <v>#REF!</v>
      </c>
      <c r="U847" s="25" t="e">
        <f ca="1"/>
        <v>#REF!</v>
      </c>
      <c r="V847" s="25" t="e">
        <f ca="1"/>
        <v>#REF!</v>
      </c>
      <c r="W847" s="33" t="e">
        <f ca="1"/>
        <v>#REF!</v>
      </c>
      <c r="X847" s="33" t="e">
        <f ca="1"/>
        <v>#REF!</v>
      </c>
      <c r="Y847" s="33" t="e">
        <f ca="1"/>
        <v>#REF!</v>
      </c>
      <c r="Z847" s="33" t="e">
        <f ca="1"/>
        <v>#REF!</v>
      </c>
      <c r="AA847" s="33" t="e">
        <f ca="1"/>
        <v>#REF!</v>
      </c>
    </row>
    <row r="848" spans="1:27" s="70" customFormat="1" ht="11.25" x14ac:dyDescent="0.2">
      <c r="A848" s="24">
        <v>842</v>
      </c>
      <c r="B848" s="27"/>
      <c r="C848" s="28"/>
      <c r="D848" s="71"/>
      <c r="E848" s="28"/>
      <c r="F848" s="28"/>
      <c r="G848" s="27"/>
      <c r="H848" s="28" t="e">
        <f ca="1"/>
        <v>#REF!</v>
      </c>
      <c r="I848" s="27" t="e">
        <f ca="1"/>
        <v>#REF!</v>
      </c>
      <c r="J848" s="28" t="e">
        <f ca="1"/>
        <v>#REF!</v>
      </c>
      <c r="K848" s="27" t="e">
        <f ca="1"/>
        <v>#REF!</v>
      </c>
      <c r="L848" s="25" t="e">
        <f ca="1"/>
        <v>#REF!</v>
      </c>
      <c r="M848" s="25" t="e">
        <f ca="1"/>
        <v>#REF!</v>
      </c>
      <c r="N848" s="25" t="e">
        <f ca="1"/>
        <v>#REF!</v>
      </c>
      <c r="O848" s="25" t="e">
        <f ca="1"/>
        <v>#REF!</v>
      </c>
      <c r="P848" s="25" t="e">
        <f ca="1"/>
        <v>#REF!</v>
      </c>
      <c r="Q848" s="25" t="e">
        <f ca="1"/>
        <v>#REF!</v>
      </c>
      <c r="R848" s="25" t="e">
        <f ca="1"/>
        <v>#REF!</v>
      </c>
      <c r="S848" s="25" t="e">
        <f ca="1"/>
        <v>#REF!</v>
      </c>
      <c r="T848" s="25" t="e">
        <f ca="1"/>
        <v>#REF!</v>
      </c>
      <c r="U848" s="25" t="e">
        <f ca="1"/>
        <v>#REF!</v>
      </c>
      <c r="V848" s="25" t="e">
        <f ca="1"/>
        <v>#REF!</v>
      </c>
      <c r="W848" s="33" t="e">
        <f ca="1"/>
        <v>#REF!</v>
      </c>
      <c r="X848" s="33" t="e">
        <f ca="1"/>
        <v>#REF!</v>
      </c>
      <c r="Y848" s="33" t="e">
        <f ca="1"/>
        <v>#REF!</v>
      </c>
      <c r="Z848" s="33" t="e">
        <f ca="1"/>
        <v>#REF!</v>
      </c>
      <c r="AA848" s="33" t="e">
        <f ca="1"/>
        <v>#REF!</v>
      </c>
    </row>
    <row r="849" spans="1:27" s="70" customFormat="1" ht="11.25" x14ac:dyDescent="0.2">
      <c r="A849" s="24">
        <v>843</v>
      </c>
      <c r="B849" s="27"/>
      <c r="C849" s="28"/>
      <c r="D849" s="71"/>
      <c r="E849" s="28"/>
      <c r="F849" s="28"/>
      <c r="G849" s="27"/>
      <c r="H849" s="28" t="e">
        <f ca="1"/>
        <v>#REF!</v>
      </c>
      <c r="I849" s="27" t="e">
        <f ca="1"/>
        <v>#REF!</v>
      </c>
      <c r="J849" s="28" t="e">
        <f ca="1"/>
        <v>#REF!</v>
      </c>
      <c r="K849" s="27" t="e">
        <f ca="1"/>
        <v>#REF!</v>
      </c>
      <c r="L849" s="25" t="e">
        <f ca="1"/>
        <v>#REF!</v>
      </c>
      <c r="M849" s="25" t="e">
        <f ca="1"/>
        <v>#REF!</v>
      </c>
      <c r="N849" s="25" t="e">
        <f ca="1"/>
        <v>#REF!</v>
      </c>
      <c r="O849" s="25" t="e">
        <f ca="1"/>
        <v>#REF!</v>
      </c>
      <c r="P849" s="25" t="e">
        <f ca="1"/>
        <v>#REF!</v>
      </c>
      <c r="Q849" s="25" t="e">
        <f ca="1"/>
        <v>#REF!</v>
      </c>
      <c r="R849" s="25" t="e">
        <f ca="1"/>
        <v>#REF!</v>
      </c>
      <c r="S849" s="25" t="e">
        <f ca="1"/>
        <v>#REF!</v>
      </c>
      <c r="T849" s="25" t="e">
        <f ca="1"/>
        <v>#REF!</v>
      </c>
      <c r="U849" s="25" t="e">
        <f ca="1"/>
        <v>#REF!</v>
      </c>
      <c r="V849" s="25" t="e">
        <f ca="1"/>
        <v>#REF!</v>
      </c>
      <c r="W849" s="33" t="e">
        <f ca="1"/>
        <v>#REF!</v>
      </c>
      <c r="X849" s="33" t="e">
        <f ca="1"/>
        <v>#REF!</v>
      </c>
      <c r="Y849" s="33" t="e">
        <f ca="1"/>
        <v>#REF!</v>
      </c>
      <c r="Z849" s="33" t="e">
        <f ca="1"/>
        <v>#REF!</v>
      </c>
      <c r="AA849" s="33" t="e">
        <f ca="1"/>
        <v>#REF!</v>
      </c>
    </row>
    <row r="850" spans="1:27" s="70" customFormat="1" ht="11.25" x14ac:dyDescent="0.2">
      <c r="A850" s="24">
        <v>844</v>
      </c>
      <c r="B850" s="27"/>
      <c r="C850" s="28"/>
      <c r="D850" s="71"/>
      <c r="E850" s="28"/>
      <c r="F850" s="28"/>
      <c r="G850" s="27"/>
      <c r="H850" s="28" t="e">
        <f ca="1"/>
        <v>#REF!</v>
      </c>
      <c r="I850" s="27" t="e">
        <f ca="1"/>
        <v>#REF!</v>
      </c>
      <c r="J850" s="28" t="e">
        <f ca="1"/>
        <v>#REF!</v>
      </c>
      <c r="K850" s="27" t="e">
        <f ca="1"/>
        <v>#REF!</v>
      </c>
      <c r="L850" s="25" t="e">
        <f ca="1"/>
        <v>#REF!</v>
      </c>
      <c r="M850" s="25" t="e">
        <f ca="1"/>
        <v>#REF!</v>
      </c>
      <c r="N850" s="25" t="e">
        <f ca="1"/>
        <v>#REF!</v>
      </c>
      <c r="O850" s="25" t="e">
        <f ca="1"/>
        <v>#REF!</v>
      </c>
      <c r="P850" s="25" t="e">
        <f ca="1"/>
        <v>#REF!</v>
      </c>
      <c r="Q850" s="25" t="e">
        <f ca="1"/>
        <v>#REF!</v>
      </c>
      <c r="R850" s="25" t="e">
        <f ca="1"/>
        <v>#REF!</v>
      </c>
      <c r="S850" s="25" t="e">
        <f ca="1"/>
        <v>#REF!</v>
      </c>
      <c r="T850" s="25" t="e">
        <f ca="1"/>
        <v>#REF!</v>
      </c>
      <c r="U850" s="25" t="e">
        <f ca="1"/>
        <v>#REF!</v>
      </c>
      <c r="V850" s="25" t="e">
        <f ca="1"/>
        <v>#REF!</v>
      </c>
      <c r="W850" s="33" t="e">
        <f ca="1"/>
        <v>#REF!</v>
      </c>
      <c r="X850" s="33" t="e">
        <f ca="1"/>
        <v>#REF!</v>
      </c>
      <c r="Y850" s="33" t="e">
        <f ca="1"/>
        <v>#REF!</v>
      </c>
      <c r="Z850" s="33" t="e">
        <f ca="1"/>
        <v>#REF!</v>
      </c>
      <c r="AA850" s="33" t="e">
        <f ca="1"/>
        <v>#REF!</v>
      </c>
    </row>
    <row r="851" spans="1:27" s="70" customFormat="1" ht="11.25" x14ac:dyDescent="0.2">
      <c r="A851" s="24">
        <v>845</v>
      </c>
      <c r="B851" s="27"/>
      <c r="C851" s="28"/>
      <c r="D851" s="71"/>
      <c r="E851" s="28"/>
      <c r="F851" s="28"/>
      <c r="G851" s="27"/>
      <c r="H851" s="28" t="e">
        <f ca="1"/>
        <v>#REF!</v>
      </c>
      <c r="I851" s="27" t="e">
        <f ca="1"/>
        <v>#REF!</v>
      </c>
      <c r="J851" s="28" t="e">
        <f ca="1"/>
        <v>#REF!</v>
      </c>
      <c r="K851" s="27" t="e">
        <f ca="1"/>
        <v>#REF!</v>
      </c>
      <c r="L851" s="25" t="e">
        <f ca="1"/>
        <v>#REF!</v>
      </c>
      <c r="M851" s="25" t="e">
        <f ca="1"/>
        <v>#REF!</v>
      </c>
      <c r="N851" s="25" t="e">
        <f ca="1"/>
        <v>#REF!</v>
      </c>
      <c r="O851" s="25" t="e">
        <f ca="1"/>
        <v>#REF!</v>
      </c>
      <c r="P851" s="25" t="e">
        <f ca="1"/>
        <v>#REF!</v>
      </c>
      <c r="Q851" s="25" t="e">
        <f ca="1"/>
        <v>#REF!</v>
      </c>
      <c r="R851" s="25" t="e">
        <f ca="1"/>
        <v>#REF!</v>
      </c>
      <c r="S851" s="25" t="e">
        <f ca="1"/>
        <v>#REF!</v>
      </c>
      <c r="T851" s="25" t="e">
        <f ca="1"/>
        <v>#REF!</v>
      </c>
      <c r="U851" s="25" t="e">
        <f ca="1"/>
        <v>#REF!</v>
      </c>
      <c r="V851" s="25" t="e">
        <f ca="1"/>
        <v>#REF!</v>
      </c>
      <c r="W851" s="33" t="e">
        <f ca="1"/>
        <v>#REF!</v>
      </c>
      <c r="X851" s="33" t="e">
        <f ca="1"/>
        <v>#REF!</v>
      </c>
      <c r="Y851" s="33" t="e">
        <f ca="1"/>
        <v>#REF!</v>
      </c>
      <c r="Z851" s="33" t="e">
        <f ca="1"/>
        <v>#REF!</v>
      </c>
      <c r="AA851" s="33" t="e">
        <f ca="1"/>
        <v>#REF!</v>
      </c>
    </row>
    <row r="852" spans="1:27" s="70" customFormat="1" ht="11.25" x14ac:dyDescent="0.2">
      <c r="A852" s="24">
        <v>846</v>
      </c>
      <c r="B852" s="27"/>
      <c r="C852" s="28"/>
      <c r="D852" s="71"/>
      <c r="E852" s="28"/>
      <c r="F852" s="28"/>
      <c r="G852" s="27"/>
      <c r="H852" s="28" t="e">
        <f ca="1"/>
        <v>#REF!</v>
      </c>
      <c r="I852" s="27" t="e">
        <f ca="1"/>
        <v>#REF!</v>
      </c>
      <c r="J852" s="28" t="e">
        <f ca="1"/>
        <v>#REF!</v>
      </c>
      <c r="K852" s="27" t="e">
        <f ca="1"/>
        <v>#REF!</v>
      </c>
      <c r="L852" s="25" t="e">
        <f ca="1"/>
        <v>#REF!</v>
      </c>
      <c r="M852" s="25" t="e">
        <f ca="1"/>
        <v>#REF!</v>
      </c>
      <c r="N852" s="25" t="e">
        <f ca="1"/>
        <v>#REF!</v>
      </c>
      <c r="O852" s="25" t="e">
        <f ca="1"/>
        <v>#REF!</v>
      </c>
      <c r="P852" s="25" t="e">
        <f ca="1"/>
        <v>#REF!</v>
      </c>
      <c r="Q852" s="25" t="e">
        <f ca="1"/>
        <v>#REF!</v>
      </c>
      <c r="R852" s="25" t="e">
        <f ca="1"/>
        <v>#REF!</v>
      </c>
      <c r="S852" s="25" t="e">
        <f ca="1"/>
        <v>#REF!</v>
      </c>
      <c r="T852" s="25" t="e">
        <f ca="1"/>
        <v>#REF!</v>
      </c>
      <c r="U852" s="25" t="e">
        <f ca="1"/>
        <v>#REF!</v>
      </c>
      <c r="V852" s="25" t="e">
        <f ca="1"/>
        <v>#REF!</v>
      </c>
      <c r="W852" s="33" t="e">
        <f ca="1"/>
        <v>#REF!</v>
      </c>
      <c r="X852" s="33" t="e">
        <f ca="1"/>
        <v>#REF!</v>
      </c>
      <c r="Y852" s="33" t="e">
        <f ca="1"/>
        <v>#REF!</v>
      </c>
      <c r="Z852" s="33" t="e">
        <f ca="1"/>
        <v>#REF!</v>
      </c>
      <c r="AA852" s="33" t="e">
        <f ca="1"/>
        <v>#REF!</v>
      </c>
    </row>
    <row r="853" spans="1:27" s="70" customFormat="1" ht="11.25" x14ac:dyDescent="0.2">
      <c r="A853" s="24">
        <v>847</v>
      </c>
      <c r="B853" s="27"/>
      <c r="C853" s="28"/>
      <c r="D853" s="71"/>
      <c r="E853" s="28"/>
      <c r="F853" s="28"/>
      <c r="G853" s="27"/>
      <c r="H853" s="28" t="e">
        <f ca="1"/>
        <v>#REF!</v>
      </c>
      <c r="I853" s="27" t="e">
        <f ca="1"/>
        <v>#REF!</v>
      </c>
      <c r="J853" s="28" t="e">
        <f ca="1"/>
        <v>#REF!</v>
      </c>
      <c r="K853" s="27" t="e">
        <f ca="1"/>
        <v>#REF!</v>
      </c>
      <c r="L853" s="25" t="e">
        <f ca="1"/>
        <v>#REF!</v>
      </c>
      <c r="M853" s="25" t="e">
        <f ca="1"/>
        <v>#REF!</v>
      </c>
      <c r="N853" s="25" t="e">
        <f ca="1"/>
        <v>#REF!</v>
      </c>
      <c r="O853" s="25" t="e">
        <f ca="1"/>
        <v>#REF!</v>
      </c>
      <c r="P853" s="25" t="e">
        <f ca="1"/>
        <v>#REF!</v>
      </c>
      <c r="Q853" s="25" t="e">
        <f ca="1"/>
        <v>#REF!</v>
      </c>
      <c r="R853" s="25" t="e">
        <f ca="1"/>
        <v>#REF!</v>
      </c>
      <c r="S853" s="25" t="e">
        <f ca="1"/>
        <v>#REF!</v>
      </c>
      <c r="T853" s="25" t="e">
        <f ca="1"/>
        <v>#REF!</v>
      </c>
      <c r="U853" s="25" t="e">
        <f ca="1"/>
        <v>#REF!</v>
      </c>
      <c r="V853" s="25" t="e">
        <f ca="1"/>
        <v>#REF!</v>
      </c>
      <c r="W853" s="33" t="e">
        <f ca="1"/>
        <v>#REF!</v>
      </c>
      <c r="X853" s="33" t="e">
        <f ca="1"/>
        <v>#REF!</v>
      </c>
      <c r="Y853" s="33" t="e">
        <f ca="1"/>
        <v>#REF!</v>
      </c>
      <c r="Z853" s="33" t="e">
        <f ca="1"/>
        <v>#REF!</v>
      </c>
      <c r="AA853" s="33" t="e">
        <f ca="1"/>
        <v>#REF!</v>
      </c>
    </row>
    <row r="854" spans="1:27" s="70" customFormat="1" ht="11.25" x14ac:dyDescent="0.2">
      <c r="A854" s="24">
        <v>848</v>
      </c>
      <c r="B854" s="27"/>
      <c r="C854" s="28"/>
      <c r="D854" s="71"/>
      <c r="E854" s="28"/>
      <c r="F854" s="28"/>
      <c r="G854" s="27"/>
      <c r="H854" s="28" t="e">
        <f ca="1"/>
        <v>#REF!</v>
      </c>
      <c r="I854" s="27" t="e">
        <f ca="1"/>
        <v>#REF!</v>
      </c>
      <c r="J854" s="28" t="e">
        <f ca="1"/>
        <v>#REF!</v>
      </c>
      <c r="K854" s="27" t="e">
        <f ca="1"/>
        <v>#REF!</v>
      </c>
      <c r="L854" s="25" t="e">
        <f ca="1"/>
        <v>#REF!</v>
      </c>
      <c r="M854" s="25" t="e">
        <f ca="1"/>
        <v>#REF!</v>
      </c>
      <c r="N854" s="25" t="e">
        <f ca="1"/>
        <v>#REF!</v>
      </c>
      <c r="O854" s="25" t="e">
        <f ca="1"/>
        <v>#REF!</v>
      </c>
      <c r="P854" s="25" t="e">
        <f ca="1"/>
        <v>#REF!</v>
      </c>
      <c r="Q854" s="25" t="e">
        <f ca="1"/>
        <v>#REF!</v>
      </c>
      <c r="R854" s="25" t="e">
        <f ca="1"/>
        <v>#REF!</v>
      </c>
      <c r="S854" s="25" t="e">
        <f ca="1"/>
        <v>#REF!</v>
      </c>
      <c r="T854" s="25" t="e">
        <f ca="1"/>
        <v>#REF!</v>
      </c>
      <c r="U854" s="25" t="e">
        <f ca="1"/>
        <v>#REF!</v>
      </c>
      <c r="V854" s="25" t="e">
        <f ca="1"/>
        <v>#REF!</v>
      </c>
      <c r="W854" s="33" t="e">
        <f ca="1"/>
        <v>#REF!</v>
      </c>
      <c r="X854" s="33" t="e">
        <f ca="1"/>
        <v>#REF!</v>
      </c>
      <c r="Y854" s="33" t="e">
        <f ca="1"/>
        <v>#REF!</v>
      </c>
      <c r="Z854" s="33" t="e">
        <f ca="1"/>
        <v>#REF!</v>
      </c>
      <c r="AA854" s="33" t="e">
        <f ca="1"/>
        <v>#REF!</v>
      </c>
    </row>
    <row r="855" spans="1:27" s="70" customFormat="1" ht="11.25" x14ac:dyDescent="0.2">
      <c r="A855" s="24">
        <v>849</v>
      </c>
      <c r="B855" s="27"/>
      <c r="C855" s="28"/>
      <c r="D855" s="71"/>
      <c r="E855" s="28"/>
      <c r="F855" s="28"/>
      <c r="G855" s="27"/>
      <c r="H855" s="28" t="e">
        <f ca="1"/>
        <v>#REF!</v>
      </c>
      <c r="I855" s="27" t="e">
        <f ca="1"/>
        <v>#REF!</v>
      </c>
      <c r="J855" s="28" t="e">
        <f ca="1"/>
        <v>#REF!</v>
      </c>
      <c r="K855" s="27" t="e">
        <f ca="1"/>
        <v>#REF!</v>
      </c>
      <c r="L855" s="25" t="e">
        <f ca="1"/>
        <v>#REF!</v>
      </c>
      <c r="M855" s="25" t="e">
        <f ca="1"/>
        <v>#REF!</v>
      </c>
      <c r="N855" s="25" t="e">
        <f ca="1"/>
        <v>#REF!</v>
      </c>
      <c r="O855" s="25" t="e">
        <f ca="1"/>
        <v>#REF!</v>
      </c>
      <c r="P855" s="25" t="e">
        <f ca="1"/>
        <v>#REF!</v>
      </c>
      <c r="Q855" s="25" t="e">
        <f ca="1"/>
        <v>#REF!</v>
      </c>
      <c r="R855" s="25" t="e">
        <f ca="1"/>
        <v>#REF!</v>
      </c>
      <c r="S855" s="25" t="e">
        <f ca="1"/>
        <v>#REF!</v>
      </c>
      <c r="T855" s="25" t="e">
        <f ca="1"/>
        <v>#REF!</v>
      </c>
      <c r="U855" s="25" t="e">
        <f ca="1"/>
        <v>#REF!</v>
      </c>
      <c r="V855" s="25" t="e">
        <f ca="1"/>
        <v>#REF!</v>
      </c>
      <c r="W855" s="33" t="e">
        <f ca="1"/>
        <v>#REF!</v>
      </c>
      <c r="X855" s="33" t="e">
        <f ca="1"/>
        <v>#REF!</v>
      </c>
      <c r="Y855" s="33" t="e">
        <f ca="1"/>
        <v>#REF!</v>
      </c>
      <c r="Z855" s="33" t="e">
        <f ca="1"/>
        <v>#REF!</v>
      </c>
      <c r="AA855" s="33" t="e">
        <f ca="1"/>
        <v>#REF!</v>
      </c>
    </row>
    <row r="856" spans="1:27" s="70" customFormat="1" ht="11.25" x14ac:dyDescent="0.2">
      <c r="A856" s="24">
        <v>850</v>
      </c>
      <c r="B856" s="27"/>
      <c r="C856" s="28"/>
      <c r="D856" s="71"/>
      <c r="E856" s="28"/>
      <c r="F856" s="28"/>
      <c r="G856" s="27"/>
      <c r="H856" s="28" t="e">
        <f ca="1"/>
        <v>#REF!</v>
      </c>
      <c r="I856" s="27" t="e">
        <f ca="1"/>
        <v>#REF!</v>
      </c>
      <c r="J856" s="28" t="e">
        <f ca="1"/>
        <v>#REF!</v>
      </c>
      <c r="K856" s="27" t="e">
        <f ca="1"/>
        <v>#REF!</v>
      </c>
      <c r="L856" s="25" t="e">
        <f ca="1"/>
        <v>#REF!</v>
      </c>
      <c r="M856" s="25" t="e">
        <f ca="1"/>
        <v>#REF!</v>
      </c>
      <c r="N856" s="25" t="e">
        <f ca="1"/>
        <v>#REF!</v>
      </c>
      <c r="O856" s="25" t="e">
        <f ca="1"/>
        <v>#REF!</v>
      </c>
      <c r="P856" s="25" t="e">
        <f ca="1"/>
        <v>#REF!</v>
      </c>
      <c r="Q856" s="25" t="e">
        <f ca="1"/>
        <v>#REF!</v>
      </c>
      <c r="R856" s="25" t="e">
        <f ca="1"/>
        <v>#REF!</v>
      </c>
      <c r="S856" s="25" t="e">
        <f ca="1"/>
        <v>#REF!</v>
      </c>
      <c r="T856" s="25" t="e">
        <f ca="1"/>
        <v>#REF!</v>
      </c>
      <c r="U856" s="25" t="e">
        <f ca="1"/>
        <v>#REF!</v>
      </c>
      <c r="V856" s="25" t="e">
        <f ca="1"/>
        <v>#REF!</v>
      </c>
      <c r="W856" s="33" t="e">
        <f ca="1"/>
        <v>#REF!</v>
      </c>
      <c r="X856" s="33" t="e">
        <f ca="1"/>
        <v>#REF!</v>
      </c>
      <c r="Y856" s="33" t="e">
        <f ca="1"/>
        <v>#REF!</v>
      </c>
      <c r="Z856" s="33" t="e">
        <f ca="1"/>
        <v>#REF!</v>
      </c>
      <c r="AA856" s="33" t="e">
        <f ca="1"/>
        <v>#REF!</v>
      </c>
    </row>
    <row r="857" spans="1:27" s="70" customFormat="1" ht="11.25" x14ac:dyDescent="0.2">
      <c r="A857" s="24">
        <v>851</v>
      </c>
      <c r="B857" s="27"/>
      <c r="C857" s="28"/>
      <c r="D857" s="71"/>
      <c r="E857" s="28"/>
      <c r="F857" s="28"/>
      <c r="G857" s="27"/>
      <c r="H857" s="28" t="e">
        <f ca="1"/>
        <v>#REF!</v>
      </c>
      <c r="I857" s="27" t="e">
        <f ca="1"/>
        <v>#REF!</v>
      </c>
      <c r="J857" s="28" t="e">
        <f ca="1"/>
        <v>#REF!</v>
      </c>
      <c r="K857" s="27" t="e">
        <f ca="1"/>
        <v>#REF!</v>
      </c>
      <c r="L857" s="25" t="e">
        <f ca="1"/>
        <v>#REF!</v>
      </c>
      <c r="M857" s="25" t="e">
        <f ca="1"/>
        <v>#REF!</v>
      </c>
      <c r="N857" s="25" t="e">
        <f ca="1"/>
        <v>#REF!</v>
      </c>
      <c r="O857" s="25" t="e">
        <f ca="1"/>
        <v>#REF!</v>
      </c>
      <c r="P857" s="25" t="e">
        <f ca="1"/>
        <v>#REF!</v>
      </c>
      <c r="Q857" s="25" t="e">
        <f ca="1"/>
        <v>#REF!</v>
      </c>
      <c r="R857" s="25" t="e">
        <f ca="1"/>
        <v>#REF!</v>
      </c>
      <c r="S857" s="25" t="e">
        <f ca="1"/>
        <v>#REF!</v>
      </c>
      <c r="T857" s="25" t="e">
        <f ca="1"/>
        <v>#REF!</v>
      </c>
      <c r="U857" s="25" t="e">
        <f ca="1"/>
        <v>#REF!</v>
      </c>
      <c r="V857" s="25" t="e">
        <f ca="1"/>
        <v>#REF!</v>
      </c>
      <c r="W857" s="33" t="e">
        <f ca="1"/>
        <v>#REF!</v>
      </c>
      <c r="X857" s="33" t="e">
        <f ca="1"/>
        <v>#REF!</v>
      </c>
      <c r="Y857" s="33" t="e">
        <f ca="1"/>
        <v>#REF!</v>
      </c>
      <c r="Z857" s="33" t="e">
        <f ca="1"/>
        <v>#REF!</v>
      </c>
      <c r="AA857" s="33" t="e">
        <f ca="1"/>
        <v>#REF!</v>
      </c>
    </row>
    <row r="858" spans="1:27" s="70" customFormat="1" ht="11.25" x14ac:dyDescent="0.2">
      <c r="A858" s="24">
        <v>852</v>
      </c>
      <c r="B858" s="27"/>
      <c r="C858" s="28"/>
      <c r="D858" s="71"/>
      <c r="E858" s="28"/>
      <c r="F858" s="28"/>
      <c r="G858" s="27"/>
      <c r="H858" s="28" t="e">
        <f ca="1"/>
        <v>#REF!</v>
      </c>
      <c r="I858" s="27" t="e">
        <f ca="1"/>
        <v>#REF!</v>
      </c>
      <c r="J858" s="28" t="e">
        <f ca="1"/>
        <v>#REF!</v>
      </c>
      <c r="K858" s="27" t="e">
        <f ca="1"/>
        <v>#REF!</v>
      </c>
      <c r="L858" s="25" t="e">
        <f ca="1"/>
        <v>#REF!</v>
      </c>
      <c r="M858" s="25" t="e">
        <f ca="1"/>
        <v>#REF!</v>
      </c>
      <c r="N858" s="25" t="e">
        <f ca="1"/>
        <v>#REF!</v>
      </c>
      <c r="O858" s="25" t="e">
        <f ca="1"/>
        <v>#REF!</v>
      </c>
      <c r="P858" s="25" t="e">
        <f ca="1"/>
        <v>#REF!</v>
      </c>
      <c r="Q858" s="25" t="e">
        <f ca="1"/>
        <v>#REF!</v>
      </c>
      <c r="R858" s="25" t="e">
        <f ca="1"/>
        <v>#REF!</v>
      </c>
      <c r="S858" s="25" t="e">
        <f ca="1"/>
        <v>#REF!</v>
      </c>
      <c r="T858" s="25" t="e">
        <f ca="1"/>
        <v>#REF!</v>
      </c>
      <c r="U858" s="25" t="e">
        <f ca="1"/>
        <v>#REF!</v>
      </c>
      <c r="V858" s="25" t="e">
        <f ca="1"/>
        <v>#REF!</v>
      </c>
      <c r="W858" s="33" t="e">
        <f ca="1"/>
        <v>#REF!</v>
      </c>
      <c r="X858" s="33" t="e">
        <f ca="1"/>
        <v>#REF!</v>
      </c>
      <c r="Y858" s="33" t="e">
        <f ca="1"/>
        <v>#REF!</v>
      </c>
      <c r="Z858" s="33" t="e">
        <f ca="1"/>
        <v>#REF!</v>
      </c>
      <c r="AA858" s="33" t="e">
        <f ca="1"/>
        <v>#REF!</v>
      </c>
    </row>
    <row r="859" spans="1:27" s="70" customFormat="1" ht="11.25" x14ac:dyDescent="0.2">
      <c r="A859" s="24">
        <v>853</v>
      </c>
      <c r="B859" s="27"/>
      <c r="C859" s="28"/>
      <c r="D859" s="71"/>
      <c r="E859" s="28"/>
      <c r="F859" s="28"/>
      <c r="G859" s="27"/>
      <c r="H859" s="28" t="e">
        <f ca="1"/>
        <v>#REF!</v>
      </c>
      <c r="I859" s="27" t="e">
        <f ca="1"/>
        <v>#REF!</v>
      </c>
      <c r="J859" s="28" t="e">
        <f ca="1"/>
        <v>#REF!</v>
      </c>
      <c r="K859" s="27" t="e">
        <f ca="1"/>
        <v>#REF!</v>
      </c>
      <c r="L859" s="25" t="e">
        <f ca="1"/>
        <v>#REF!</v>
      </c>
      <c r="M859" s="25" t="e">
        <f ca="1"/>
        <v>#REF!</v>
      </c>
      <c r="N859" s="25" t="e">
        <f ca="1"/>
        <v>#REF!</v>
      </c>
      <c r="O859" s="25" t="e">
        <f ca="1"/>
        <v>#REF!</v>
      </c>
      <c r="P859" s="25" t="e">
        <f ca="1"/>
        <v>#REF!</v>
      </c>
      <c r="Q859" s="25" t="e">
        <f ca="1"/>
        <v>#REF!</v>
      </c>
      <c r="R859" s="25" t="e">
        <f ca="1"/>
        <v>#REF!</v>
      </c>
      <c r="S859" s="25" t="e">
        <f ca="1"/>
        <v>#REF!</v>
      </c>
      <c r="T859" s="25" t="e">
        <f ca="1"/>
        <v>#REF!</v>
      </c>
      <c r="U859" s="25" t="e">
        <f ca="1"/>
        <v>#REF!</v>
      </c>
      <c r="V859" s="25" t="e">
        <f ca="1"/>
        <v>#REF!</v>
      </c>
      <c r="W859" s="33" t="e">
        <f ca="1"/>
        <v>#REF!</v>
      </c>
      <c r="X859" s="33" t="e">
        <f ca="1"/>
        <v>#REF!</v>
      </c>
      <c r="Y859" s="33" t="e">
        <f ca="1"/>
        <v>#REF!</v>
      </c>
      <c r="Z859" s="33" t="e">
        <f ca="1"/>
        <v>#REF!</v>
      </c>
      <c r="AA859" s="33" t="e">
        <f ca="1"/>
        <v>#REF!</v>
      </c>
    </row>
    <row r="860" spans="1:27" s="70" customFormat="1" ht="11.25" x14ac:dyDescent="0.2">
      <c r="A860" s="24">
        <v>854</v>
      </c>
      <c r="B860" s="27"/>
      <c r="C860" s="28"/>
      <c r="D860" s="71"/>
      <c r="E860" s="28"/>
      <c r="F860" s="28"/>
      <c r="G860" s="27"/>
      <c r="H860" s="28" t="e">
        <f ca="1"/>
        <v>#REF!</v>
      </c>
      <c r="I860" s="27" t="e">
        <f ca="1"/>
        <v>#REF!</v>
      </c>
      <c r="J860" s="28" t="e">
        <f ca="1"/>
        <v>#REF!</v>
      </c>
      <c r="K860" s="27" t="e">
        <f ca="1"/>
        <v>#REF!</v>
      </c>
      <c r="L860" s="25" t="e">
        <f ca="1"/>
        <v>#REF!</v>
      </c>
      <c r="M860" s="25" t="e">
        <f ca="1"/>
        <v>#REF!</v>
      </c>
      <c r="N860" s="25" t="e">
        <f ca="1"/>
        <v>#REF!</v>
      </c>
      <c r="O860" s="25" t="e">
        <f ca="1"/>
        <v>#REF!</v>
      </c>
      <c r="P860" s="25" t="e">
        <f ca="1"/>
        <v>#REF!</v>
      </c>
      <c r="Q860" s="25" t="e">
        <f ca="1"/>
        <v>#REF!</v>
      </c>
      <c r="R860" s="25" t="e">
        <f ca="1"/>
        <v>#REF!</v>
      </c>
      <c r="S860" s="25" t="e">
        <f ca="1"/>
        <v>#REF!</v>
      </c>
      <c r="T860" s="25" t="e">
        <f ca="1"/>
        <v>#REF!</v>
      </c>
      <c r="U860" s="25" t="e">
        <f ca="1"/>
        <v>#REF!</v>
      </c>
      <c r="V860" s="25" t="e">
        <f ca="1"/>
        <v>#REF!</v>
      </c>
      <c r="W860" s="33" t="e">
        <f ca="1"/>
        <v>#REF!</v>
      </c>
      <c r="X860" s="33" t="e">
        <f ca="1"/>
        <v>#REF!</v>
      </c>
      <c r="Y860" s="33" t="e">
        <f ca="1"/>
        <v>#REF!</v>
      </c>
      <c r="Z860" s="33" t="e">
        <f ca="1"/>
        <v>#REF!</v>
      </c>
      <c r="AA860" s="33" t="e">
        <f ca="1"/>
        <v>#REF!</v>
      </c>
    </row>
    <row r="861" spans="1:27" s="70" customFormat="1" ht="11.25" x14ac:dyDescent="0.2">
      <c r="A861" s="24">
        <v>855</v>
      </c>
      <c r="B861" s="27"/>
      <c r="C861" s="28"/>
      <c r="D861" s="71"/>
      <c r="E861" s="28"/>
      <c r="F861" s="28"/>
      <c r="G861" s="27"/>
      <c r="H861" s="28" t="e">
        <f ca="1"/>
        <v>#REF!</v>
      </c>
      <c r="I861" s="27" t="e">
        <f ca="1"/>
        <v>#REF!</v>
      </c>
      <c r="J861" s="28" t="e">
        <f ca="1"/>
        <v>#REF!</v>
      </c>
      <c r="K861" s="27" t="e">
        <f ca="1"/>
        <v>#REF!</v>
      </c>
      <c r="L861" s="25" t="e">
        <f ca="1"/>
        <v>#REF!</v>
      </c>
      <c r="M861" s="25" t="e">
        <f ca="1"/>
        <v>#REF!</v>
      </c>
      <c r="N861" s="25" t="e">
        <f ca="1"/>
        <v>#REF!</v>
      </c>
      <c r="O861" s="25" t="e">
        <f ca="1"/>
        <v>#REF!</v>
      </c>
      <c r="P861" s="25" t="e">
        <f ca="1"/>
        <v>#REF!</v>
      </c>
      <c r="Q861" s="25" t="e">
        <f ca="1"/>
        <v>#REF!</v>
      </c>
      <c r="R861" s="25" t="e">
        <f ca="1"/>
        <v>#REF!</v>
      </c>
      <c r="S861" s="25" t="e">
        <f ca="1"/>
        <v>#REF!</v>
      </c>
      <c r="T861" s="25" t="e">
        <f ca="1"/>
        <v>#REF!</v>
      </c>
      <c r="U861" s="25" t="e">
        <f ca="1"/>
        <v>#REF!</v>
      </c>
      <c r="V861" s="25" t="e">
        <f ca="1"/>
        <v>#REF!</v>
      </c>
      <c r="W861" s="33" t="e">
        <f ca="1"/>
        <v>#REF!</v>
      </c>
      <c r="X861" s="33" t="e">
        <f ca="1"/>
        <v>#REF!</v>
      </c>
      <c r="Y861" s="33" t="e">
        <f ca="1"/>
        <v>#REF!</v>
      </c>
      <c r="Z861" s="33" t="e">
        <f ca="1"/>
        <v>#REF!</v>
      </c>
      <c r="AA861" s="33" t="e">
        <f ca="1"/>
        <v>#REF!</v>
      </c>
    </row>
    <row r="862" spans="1:27" s="70" customFormat="1" ht="11.25" x14ac:dyDescent="0.2">
      <c r="A862" s="24">
        <v>856</v>
      </c>
      <c r="B862" s="27"/>
      <c r="C862" s="28"/>
      <c r="D862" s="71"/>
      <c r="E862" s="28"/>
      <c r="F862" s="28"/>
      <c r="G862" s="27"/>
      <c r="H862" s="28" t="e">
        <f ca="1"/>
        <v>#REF!</v>
      </c>
      <c r="I862" s="27" t="e">
        <f ca="1"/>
        <v>#REF!</v>
      </c>
      <c r="J862" s="28" t="e">
        <f ca="1"/>
        <v>#REF!</v>
      </c>
      <c r="K862" s="27" t="e">
        <f ca="1"/>
        <v>#REF!</v>
      </c>
      <c r="L862" s="25" t="e">
        <f ca="1"/>
        <v>#REF!</v>
      </c>
      <c r="M862" s="25" t="e">
        <f ca="1"/>
        <v>#REF!</v>
      </c>
      <c r="N862" s="25" t="e">
        <f ca="1"/>
        <v>#REF!</v>
      </c>
      <c r="O862" s="25" t="e">
        <f ca="1"/>
        <v>#REF!</v>
      </c>
      <c r="P862" s="25" t="e">
        <f ca="1"/>
        <v>#REF!</v>
      </c>
      <c r="Q862" s="25" t="e">
        <f ca="1"/>
        <v>#REF!</v>
      </c>
      <c r="R862" s="25" t="e">
        <f ca="1"/>
        <v>#REF!</v>
      </c>
      <c r="S862" s="25" t="e">
        <f ca="1"/>
        <v>#REF!</v>
      </c>
      <c r="T862" s="25" t="e">
        <f ca="1"/>
        <v>#REF!</v>
      </c>
      <c r="U862" s="25" t="e">
        <f ca="1"/>
        <v>#REF!</v>
      </c>
      <c r="V862" s="25" t="e">
        <f ca="1"/>
        <v>#REF!</v>
      </c>
      <c r="W862" s="33" t="e">
        <f ca="1"/>
        <v>#REF!</v>
      </c>
      <c r="X862" s="33" t="e">
        <f ca="1"/>
        <v>#REF!</v>
      </c>
      <c r="Y862" s="33" t="e">
        <f ca="1"/>
        <v>#REF!</v>
      </c>
      <c r="Z862" s="33" t="e">
        <f ca="1"/>
        <v>#REF!</v>
      </c>
      <c r="AA862" s="33" t="e">
        <f ca="1"/>
        <v>#REF!</v>
      </c>
    </row>
    <row r="863" spans="1:27" s="70" customFormat="1" ht="11.25" x14ac:dyDescent="0.2">
      <c r="A863" s="24">
        <v>857</v>
      </c>
      <c r="B863" s="27"/>
      <c r="C863" s="28"/>
      <c r="D863" s="71"/>
      <c r="E863" s="28"/>
      <c r="F863" s="28"/>
      <c r="G863" s="27"/>
      <c r="H863" s="28" t="e">
        <f ca="1"/>
        <v>#REF!</v>
      </c>
      <c r="I863" s="27" t="e">
        <f ca="1"/>
        <v>#REF!</v>
      </c>
      <c r="J863" s="28" t="e">
        <f ca="1"/>
        <v>#REF!</v>
      </c>
      <c r="K863" s="27" t="e">
        <f ca="1"/>
        <v>#REF!</v>
      </c>
      <c r="L863" s="25" t="e">
        <f ca="1"/>
        <v>#REF!</v>
      </c>
      <c r="M863" s="25" t="e">
        <f ca="1"/>
        <v>#REF!</v>
      </c>
      <c r="N863" s="25" t="e">
        <f ca="1"/>
        <v>#REF!</v>
      </c>
      <c r="O863" s="25" t="e">
        <f ca="1"/>
        <v>#REF!</v>
      </c>
      <c r="P863" s="25" t="e">
        <f ca="1"/>
        <v>#REF!</v>
      </c>
      <c r="Q863" s="25" t="e">
        <f ca="1"/>
        <v>#REF!</v>
      </c>
      <c r="R863" s="25" t="e">
        <f ca="1"/>
        <v>#REF!</v>
      </c>
      <c r="S863" s="25" t="e">
        <f ca="1"/>
        <v>#REF!</v>
      </c>
      <c r="T863" s="25" t="e">
        <f ca="1"/>
        <v>#REF!</v>
      </c>
      <c r="U863" s="25" t="e">
        <f ca="1"/>
        <v>#REF!</v>
      </c>
      <c r="V863" s="25" t="e">
        <f ca="1"/>
        <v>#REF!</v>
      </c>
      <c r="W863" s="33" t="e">
        <f ca="1"/>
        <v>#REF!</v>
      </c>
      <c r="X863" s="33" t="e">
        <f ca="1"/>
        <v>#REF!</v>
      </c>
      <c r="Y863" s="33" t="e">
        <f ca="1"/>
        <v>#REF!</v>
      </c>
      <c r="Z863" s="33" t="e">
        <f ca="1"/>
        <v>#REF!</v>
      </c>
      <c r="AA863" s="33" t="e">
        <f ca="1"/>
        <v>#REF!</v>
      </c>
    </row>
    <row r="864" spans="1:27" s="70" customFormat="1" ht="11.25" x14ac:dyDescent="0.2">
      <c r="A864" s="24">
        <v>858</v>
      </c>
      <c r="B864" s="27"/>
      <c r="C864" s="28"/>
      <c r="D864" s="71"/>
      <c r="E864" s="28"/>
      <c r="F864" s="28"/>
      <c r="G864" s="27"/>
      <c r="H864" s="28" t="e">
        <f ca="1"/>
        <v>#REF!</v>
      </c>
      <c r="I864" s="27" t="e">
        <f ca="1"/>
        <v>#REF!</v>
      </c>
      <c r="J864" s="28" t="e">
        <f ca="1"/>
        <v>#REF!</v>
      </c>
      <c r="K864" s="27" t="e">
        <f ca="1"/>
        <v>#REF!</v>
      </c>
      <c r="L864" s="25" t="e">
        <f ca="1"/>
        <v>#REF!</v>
      </c>
      <c r="M864" s="25" t="e">
        <f ca="1"/>
        <v>#REF!</v>
      </c>
      <c r="N864" s="25" t="e">
        <f ca="1"/>
        <v>#REF!</v>
      </c>
      <c r="O864" s="25" t="e">
        <f ca="1"/>
        <v>#REF!</v>
      </c>
      <c r="P864" s="25" t="e">
        <f ca="1"/>
        <v>#REF!</v>
      </c>
      <c r="Q864" s="25" t="e">
        <f ca="1"/>
        <v>#REF!</v>
      </c>
      <c r="R864" s="25" t="e">
        <f ca="1"/>
        <v>#REF!</v>
      </c>
      <c r="S864" s="25" t="e">
        <f ca="1"/>
        <v>#REF!</v>
      </c>
      <c r="T864" s="25" t="e">
        <f ca="1"/>
        <v>#REF!</v>
      </c>
      <c r="U864" s="25" t="e">
        <f ca="1"/>
        <v>#REF!</v>
      </c>
      <c r="V864" s="25" t="e">
        <f ca="1"/>
        <v>#REF!</v>
      </c>
      <c r="W864" s="33" t="e">
        <f ca="1"/>
        <v>#REF!</v>
      </c>
      <c r="X864" s="33" t="e">
        <f ca="1"/>
        <v>#REF!</v>
      </c>
      <c r="Y864" s="33" t="e">
        <f ca="1"/>
        <v>#REF!</v>
      </c>
      <c r="Z864" s="33" t="e">
        <f ca="1"/>
        <v>#REF!</v>
      </c>
      <c r="AA864" s="33" t="e">
        <f ca="1"/>
        <v>#REF!</v>
      </c>
    </row>
    <row r="865" spans="1:28" s="70" customFormat="1" ht="11.25" x14ac:dyDescent="0.2">
      <c r="A865" s="24">
        <v>859</v>
      </c>
      <c r="B865" s="27"/>
      <c r="C865" s="28"/>
      <c r="D865" s="71"/>
      <c r="E865" s="28"/>
      <c r="F865" s="28"/>
      <c r="G865" s="27"/>
      <c r="H865" s="28" t="e">
        <f ca="1"/>
        <v>#REF!</v>
      </c>
      <c r="I865" s="27" t="e">
        <f ca="1"/>
        <v>#REF!</v>
      </c>
      <c r="J865" s="28" t="e">
        <f ca="1"/>
        <v>#REF!</v>
      </c>
      <c r="K865" s="27" t="e">
        <f ca="1"/>
        <v>#REF!</v>
      </c>
      <c r="L865" s="25" t="e">
        <f ca="1"/>
        <v>#REF!</v>
      </c>
      <c r="M865" s="25" t="e">
        <f ca="1"/>
        <v>#REF!</v>
      </c>
      <c r="N865" s="25" t="e">
        <f ca="1"/>
        <v>#REF!</v>
      </c>
      <c r="O865" s="25" t="e">
        <f ca="1"/>
        <v>#REF!</v>
      </c>
      <c r="P865" s="25" t="e">
        <f ca="1"/>
        <v>#REF!</v>
      </c>
      <c r="Q865" s="25" t="e">
        <f ca="1"/>
        <v>#REF!</v>
      </c>
      <c r="R865" s="25" t="e">
        <f ca="1"/>
        <v>#REF!</v>
      </c>
      <c r="S865" s="25" t="e">
        <f ca="1"/>
        <v>#REF!</v>
      </c>
      <c r="T865" s="25" t="e">
        <f ca="1"/>
        <v>#REF!</v>
      </c>
      <c r="U865" s="25" t="e">
        <f ca="1"/>
        <v>#REF!</v>
      </c>
      <c r="V865" s="25" t="e">
        <f ca="1"/>
        <v>#REF!</v>
      </c>
      <c r="W865" s="33" t="e">
        <f ca="1"/>
        <v>#REF!</v>
      </c>
      <c r="X865" s="33" t="e">
        <f ca="1"/>
        <v>#REF!</v>
      </c>
      <c r="Y865" s="33" t="e">
        <f ca="1"/>
        <v>#REF!</v>
      </c>
      <c r="Z865" s="33" t="e">
        <f ca="1"/>
        <v>#REF!</v>
      </c>
      <c r="AA865" s="33" t="e">
        <f ca="1"/>
        <v>#REF!</v>
      </c>
    </row>
    <row r="866" spans="1:28" s="70" customFormat="1" ht="11.25" x14ac:dyDescent="0.2">
      <c r="A866" s="24">
        <v>860</v>
      </c>
      <c r="B866" s="27"/>
      <c r="C866" s="28"/>
      <c r="D866" s="71"/>
      <c r="E866" s="28"/>
      <c r="F866" s="28"/>
      <c r="G866" s="27"/>
      <c r="H866" s="28" t="e">
        <f ca="1"/>
        <v>#REF!</v>
      </c>
      <c r="I866" s="27" t="e">
        <f ca="1"/>
        <v>#REF!</v>
      </c>
      <c r="J866" s="28" t="e">
        <f ca="1"/>
        <v>#REF!</v>
      </c>
      <c r="K866" s="27" t="e">
        <f ca="1"/>
        <v>#REF!</v>
      </c>
      <c r="L866" s="25" t="e">
        <f ca="1"/>
        <v>#REF!</v>
      </c>
      <c r="M866" s="25" t="e">
        <f ca="1"/>
        <v>#REF!</v>
      </c>
      <c r="N866" s="25" t="e">
        <f ca="1"/>
        <v>#REF!</v>
      </c>
      <c r="O866" s="25" t="e">
        <f ca="1"/>
        <v>#REF!</v>
      </c>
      <c r="P866" s="25" t="e">
        <f ca="1"/>
        <v>#REF!</v>
      </c>
      <c r="Q866" s="25" t="e">
        <f ca="1"/>
        <v>#REF!</v>
      </c>
      <c r="R866" s="25" t="e">
        <f ca="1"/>
        <v>#REF!</v>
      </c>
      <c r="S866" s="25" t="e">
        <f ca="1"/>
        <v>#REF!</v>
      </c>
      <c r="T866" s="25" t="e">
        <f ca="1"/>
        <v>#REF!</v>
      </c>
      <c r="U866" s="25" t="e">
        <f ca="1"/>
        <v>#REF!</v>
      </c>
      <c r="V866" s="25" t="e">
        <f ca="1"/>
        <v>#REF!</v>
      </c>
      <c r="W866" s="33" t="e">
        <f ca="1"/>
        <v>#REF!</v>
      </c>
      <c r="X866" s="33" t="e">
        <f ca="1"/>
        <v>#REF!</v>
      </c>
      <c r="Y866" s="33" t="e">
        <f ca="1"/>
        <v>#REF!</v>
      </c>
      <c r="Z866" s="33" t="e">
        <f ca="1"/>
        <v>#REF!</v>
      </c>
      <c r="AA866" s="33" t="e">
        <f ca="1"/>
        <v>#REF!</v>
      </c>
    </row>
    <row r="867" spans="1:28" s="70" customFormat="1" ht="11.25" x14ac:dyDescent="0.2">
      <c r="A867" s="24">
        <v>861</v>
      </c>
      <c r="B867" s="27"/>
      <c r="C867" s="28"/>
      <c r="D867" s="71"/>
      <c r="E867" s="28"/>
      <c r="F867" s="28"/>
      <c r="G867" s="27"/>
      <c r="H867" s="28" t="e">
        <f ca="1"/>
        <v>#REF!</v>
      </c>
      <c r="I867" s="27" t="e">
        <f ca="1"/>
        <v>#REF!</v>
      </c>
      <c r="J867" s="28" t="e">
        <f ca="1"/>
        <v>#REF!</v>
      </c>
      <c r="K867" s="27" t="e">
        <f ca="1"/>
        <v>#REF!</v>
      </c>
      <c r="L867" s="25" t="e">
        <f ca="1"/>
        <v>#REF!</v>
      </c>
      <c r="M867" s="25" t="e">
        <f ca="1"/>
        <v>#REF!</v>
      </c>
      <c r="N867" s="25" t="e">
        <f ca="1"/>
        <v>#REF!</v>
      </c>
      <c r="O867" s="25" t="e">
        <f ca="1"/>
        <v>#REF!</v>
      </c>
      <c r="P867" s="25" t="e">
        <f ca="1"/>
        <v>#REF!</v>
      </c>
      <c r="Q867" s="25" t="e">
        <f ca="1"/>
        <v>#REF!</v>
      </c>
      <c r="R867" s="25" t="e">
        <f ca="1"/>
        <v>#REF!</v>
      </c>
      <c r="S867" s="25" t="e">
        <f ca="1"/>
        <v>#REF!</v>
      </c>
      <c r="T867" s="25" t="e">
        <f ca="1"/>
        <v>#REF!</v>
      </c>
      <c r="U867" s="25" t="e">
        <f ca="1"/>
        <v>#REF!</v>
      </c>
      <c r="V867" s="25" t="e">
        <f ca="1"/>
        <v>#REF!</v>
      </c>
      <c r="W867" s="33" t="e">
        <f ca="1"/>
        <v>#REF!</v>
      </c>
      <c r="X867" s="33" t="e">
        <f ca="1"/>
        <v>#REF!</v>
      </c>
      <c r="Y867" s="33" t="e">
        <f ca="1"/>
        <v>#REF!</v>
      </c>
      <c r="Z867" s="33" t="e">
        <f ca="1"/>
        <v>#REF!</v>
      </c>
      <c r="AA867" s="33" t="e">
        <f ca="1"/>
        <v>#REF!</v>
      </c>
    </row>
    <row r="868" spans="1:28" s="70" customFormat="1" ht="11.25" x14ac:dyDescent="0.2">
      <c r="A868" s="24">
        <v>862</v>
      </c>
      <c r="B868" s="27"/>
      <c r="C868" s="28"/>
      <c r="D868" s="71"/>
      <c r="E868" s="28"/>
      <c r="F868" s="28"/>
      <c r="G868" s="27"/>
      <c r="H868" s="28" t="e">
        <f ca="1"/>
        <v>#REF!</v>
      </c>
      <c r="I868" s="27" t="e">
        <f ca="1"/>
        <v>#REF!</v>
      </c>
      <c r="J868" s="28" t="e">
        <f ca="1"/>
        <v>#REF!</v>
      </c>
      <c r="K868" s="27" t="e">
        <f ca="1"/>
        <v>#REF!</v>
      </c>
      <c r="L868" s="25" t="e">
        <f ca="1"/>
        <v>#REF!</v>
      </c>
      <c r="M868" s="25" t="e">
        <f ca="1"/>
        <v>#REF!</v>
      </c>
      <c r="N868" s="25" t="e">
        <f ca="1"/>
        <v>#REF!</v>
      </c>
      <c r="O868" s="25" t="e">
        <f ca="1"/>
        <v>#REF!</v>
      </c>
      <c r="P868" s="25" t="e">
        <f ca="1"/>
        <v>#REF!</v>
      </c>
      <c r="Q868" s="25" t="e">
        <f ca="1"/>
        <v>#REF!</v>
      </c>
      <c r="R868" s="25" t="e">
        <f ca="1"/>
        <v>#REF!</v>
      </c>
      <c r="S868" s="25" t="e">
        <f ca="1"/>
        <v>#REF!</v>
      </c>
      <c r="T868" s="25" t="e">
        <f ca="1"/>
        <v>#REF!</v>
      </c>
      <c r="U868" s="25" t="e">
        <f ca="1"/>
        <v>#REF!</v>
      </c>
      <c r="V868" s="25" t="e">
        <f ca="1"/>
        <v>#REF!</v>
      </c>
      <c r="W868" s="33" t="e">
        <f ca="1"/>
        <v>#REF!</v>
      </c>
      <c r="X868" s="33" t="e">
        <f ca="1"/>
        <v>#REF!</v>
      </c>
      <c r="Y868" s="33" t="e">
        <f ca="1"/>
        <v>#REF!</v>
      </c>
      <c r="Z868" s="33" t="e">
        <f ca="1"/>
        <v>#REF!</v>
      </c>
      <c r="AA868" s="33" t="e">
        <f ca="1"/>
        <v>#REF!</v>
      </c>
    </row>
    <row r="869" spans="1:28" s="70" customFormat="1" ht="11.25" x14ac:dyDescent="0.2">
      <c r="A869" s="24">
        <v>863</v>
      </c>
      <c r="B869" s="27"/>
      <c r="C869" s="28"/>
      <c r="D869" s="71"/>
      <c r="E869" s="28"/>
      <c r="F869" s="28"/>
      <c r="G869" s="27"/>
      <c r="H869" s="28" t="e">
        <f ca="1"/>
        <v>#REF!</v>
      </c>
      <c r="I869" s="27" t="e">
        <f ca="1"/>
        <v>#REF!</v>
      </c>
      <c r="J869" s="28" t="e">
        <f ca="1"/>
        <v>#REF!</v>
      </c>
      <c r="K869" s="27" t="e">
        <f ca="1"/>
        <v>#REF!</v>
      </c>
      <c r="L869" s="25" t="e">
        <f ca="1"/>
        <v>#REF!</v>
      </c>
      <c r="M869" s="25" t="e">
        <f ca="1"/>
        <v>#REF!</v>
      </c>
      <c r="N869" s="25" t="e">
        <f ca="1"/>
        <v>#REF!</v>
      </c>
      <c r="O869" s="25" t="e">
        <f ca="1"/>
        <v>#REF!</v>
      </c>
      <c r="P869" s="25" t="e">
        <f ca="1"/>
        <v>#REF!</v>
      </c>
      <c r="Q869" s="25" t="e">
        <f ca="1"/>
        <v>#REF!</v>
      </c>
      <c r="R869" s="25" t="e">
        <f ca="1"/>
        <v>#REF!</v>
      </c>
      <c r="S869" s="25" t="e">
        <f ca="1"/>
        <v>#REF!</v>
      </c>
      <c r="T869" s="25" t="e">
        <f ca="1"/>
        <v>#REF!</v>
      </c>
      <c r="U869" s="25" t="e">
        <f ca="1"/>
        <v>#REF!</v>
      </c>
      <c r="V869" s="25" t="e">
        <f ca="1"/>
        <v>#REF!</v>
      </c>
      <c r="W869" s="33" t="e">
        <f ca="1"/>
        <v>#REF!</v>
      </c>
      <c r="X869" s="33" t="e">
        <f ca="1"/>
        <v>#REF!</v>
      </c>
      <c r="Y869" s="33" t="e">
        <f ca="1"/>
        <v>#REF!</v>
      </c>
      <c r="Z869" s="33" t="e">
        <f ca="1"/>
        <v>#REF!</v>
      </c>
      <c r="AA869" s="33" t="e">
        <f ca="1"/>
        <v>#REF!</v>
      </c>
    </row>
    <row r="870" spans="1:28" s="70" customFormat="1" ht="11.25" x14ac:dyDescent="0.2">
      <c r="A870" s="24">
        <v>864</v>
      </c>
      <c r="B870" s="27"/>
      <c r="C870" s="28"/>
      <c r="D870" s="71"/>
      <c r="E870" s="28"/>
      <c r="F870" s="28"/>
      <c r="G870" s="27"/>
      <c r="H870" s="28" t="e">
        <f ca="1"/>
        <v>#REF!</v>
      </c>
      <c r="I870" s="27" t="e">
        <f ca="1"/>
        <v>#REF!</v>
      </c>
      <c r="J870" s="28" t="e">
        <f ca="1"/>
        <v>#REF!</v>
      </c>
      <c r="K870" s="27" t="e">
        <f ca="1"/>
        <v>#REF!</v>
      </c>
      <c r="L870" s="25" t="e">
        <f ca="1"/>
        <v>#REF!</v>
      </c>
      <c r="M870" s="25" t="e">
        <f ca="1"/>
        <v>#REF!</v>
      </c>
      <c r="N870" s="25" t="e">
        <f ca="1"/>
        <v>#REF!</v>
      </c>
      <c r="O870" s="25" t="e">
        <f ca="1"/>
        <v>#REF!</v>
      </c>
      <c r="P870" s="25" t="e">
        <f ca="1"/>
        <v>#REF!</v>
      </c>
      <c r="Q870" s="25" t="e">
        <f ca="1"/>
        <v>#REF!</v>
      </c>
      <c r="R870" s="25" t="e">
        <f ca="1"/>
        <v>#REF!</v>
      </c>
      <c r="S870" s="25" t="e">
        <f ca="1"/>
        <v>#REF!</v>
      </c>
      <c r="T870" s="25" t="e">
        <f ca="1"/>
        <v>#REF!</v>
      </c>
      <c r="U870" s="25" t="e">
        <f ca="1"/>
        <v>#REF!</v>
      </c>
      <c r="V870" s="25" t="e">
        <f ca="1"/>
        <v>#REF!</v>
      </c>
      <c r="W870" s="33" t="e">
        <f ca="1"/>
        <v>#REF!</v>
      </c>
      <c r="X870" s="33" t="e">
        <f ca="1"/>
        <v>#REF!</v>
      </c>
      <c r="Y870" s="33" t="e">
        <f ca="1"/>
        <v>#REF!</v>
      </c>
      <c r="Z870" s="33" t="e">
        <f ca="1"/>
        <v>#REF!</v>
      </c>
      <c r="AA870" s="33" t="e">
        <f ca="1"/>
        <v>#REF!</v>
      </c>
    </row>
    <row r="871" spans="1:28" s="70" customFormat="1" ht="11.25" x14ac:dyDescent="0.2">
      <c r="A871" s="24">
        <v>865</v>
      </c>
      <c r="B871" s="27"/>
      <c r="C871" s="28"/>
      <c r="D871" s="71"/>
      <c r="E871" s="28"/>
      <c r="F871" s="28"/>
      <c r="G871" s="27"/>
      <c r="H871" s="28" t="e">
        <f ca="1"/>
        <v>#REF!</v>
      </c>
      <c r="I871" s="27" t="e">
        <f ca="1"/>
        <v>#REF!</v>
      </c>
      <c r="J871" s="28" t="e">
        <f ca="1"/>
        <v>#REF!</v>
      </c>
      <c r="K871" s="27" t="e">
        <f ca="1"/>
        <v>#REF!</v>
      </c>
      <c r="L871" s="25" t="e">
        <f ca="1"/>
        <v>#REF!</v>
      </c>
      <c r="M871" s="25" t="e">
        <f ca="1"/>
        <v>#REF!</v>
      </c>
      <c r="N871" s="25" t="e">
        <f ca="1"/>
        <v>#REF!</v>
      </c>
      <c r="O871" s="25" t="e">
        <f ca="1"/>
        <v>#REF!</v>
      </c>
      <c r="P871" s="25" t="e">
        <f ca="1"/>
        <v>#REF!</v>
      </c>
      <c r="Q871" s="25" t="e">
        <f ca="1"/>
        <v>#REF!</v>
      </c>
      <c r="R871" s="25" t="e">
        <f ca="1"/>
        <v>#REF!</v>
      </c>
      <c r="S871" s="25" t="e">
        <f ca="1"/>
        <v>#REF!</v>
      </c>
      <c r="T871" s="25" t="e">
        <f ca="1"/>
        <v>#REF!</v>
      </c>
      <c r="U871" s="25" t="e">
        <f ca="1"/>
        <v>#REF!</v>
      </c>
      <c r="V871" s="25" t="e">
        <f ca="1"/>
        <v>#REF!</v>
      </c>
      <c r="W871" s="33" t="e">
        <f ca="1"/>
        <v>#REF!</v>
      </c>
      <c r="X871" s="33" t="e">
        <f ca="1"/>
        <v>#REF!</v>
      </c>
      <c r="Y871" s="33" t="e">
        <f ca="1"/>
        <v>#REF!</v>
      </c>
      <c r="Z871" s="33" t="e">
        <f ca="1"/>
        <v>#REF!</v>
      </c>
      <c r="AA871" s="33" t="e">
        <f ca="1"/>
        <v>#REF!</v>
      </c>
    </row>
    <row r="872" spans="1:28" s="70" customFormat="1" ht="11.25" x14ac:dyDescent="0.2">
      <c r="A872" s="24">
        <v>866</v>
      </c>
      <c r="B872" s="27"/>
      <c r="C872" s="28"/>
      <c r="D872" s="71"/>
      <c r="E872" s="28"/>
      <c r="F872" s="28"/>
      <c r="G872" s="27"/>
      <c r="H872" s="28" t="e">
        <f ca="1"/>
        <v>#REF!</v>
      </c>
      <c r="I872" s="27" t="e">
        <f ca="1"/>
        <v>#REF!</v>
      </c>
      <c r="J872" s="28" t="e">
        <f ca="1"/>
        <v>#REF!</v>
      </c>
      <c r="K872" s="27" t="e">
        <f ca="1"/>
        <v>#REF!</v>
      </c>
      <c r="L872" s="25" t="e">
        <f ca="1"/>
        <v>#REF!</v>
      </c>
      <c r="M872" s="25" t="e">
        <f ca="1"/>
        <v>#REF!</v>
      </c>
      <c r="N872" s="25" t="e">
        <f ca="1"/>
        <v>#REF!</v>
      </c>
      <c r="O872" s="25" t="e">
        <f ca="1"/>
        <v>#REF!</v>
      </c>
      <c r="P872" s="25" t="e">
        <f ca="1"/>
        <v>#REF!</v>
      </c>
      <c r="Q872" s="25" t="e">
        <f ca="1"/>
        <v>#REF!</v>
      </c>
      <c r="R872" s="25" t="e">
        <f ca="1"/>
        <v>#REF!</v>
      </c>
      <c r="S872" s="25" t="e">
        <f ca="1"/>
        <v>#REF!</v>
      </c>
      <c r="T872" s="25" t="e">
        <f ca="1"/>
        <v>#REF!</v>
      </c>
      <c r="U872" s="25" t="e">
        <f ca="1"/>
        <v>#REF!</v>
      </c>
      <c r="V872" s="25" t="e">
        <f ca="1"/>
        <v>#REF!</v>
      </c>
      <c r="W872" s="33" t="e">
        <f ca="1"/>
        <v>#REF!</v>
      </c>
      <c r="X872" s="33" t="e">
        <f ca="1"/>
        <v>#REF!</v>
      </c>
      <c r="Y872" s="33" t="e">
        <f ca="1"/>
        <v>#REF!</v>
      </c>
      <c r="Z872" s="33" t="e">
        <f ca="1"/>
        <v>#REF!</v>
      </c>
      <c r="AA872" s="33" t="e">
        <f ca="1"/>
        <v>#REF!</v>
      </c>
    </row>
    <row r="873" spans="1:28" s="70" customFormat="1" ht="11.25" x14ac:dyDescent="0.2">
      <c r="A873" s="24">
        <v>867</v>
      </c>
      <c r="B873" s="27"/>
      <c r="C873" s="28"/>
      <c r="D873" s="71"/>
      <c r="E873" s="28"/>
      <c r="F873" s="28"/>
      <c r="G873" s="27"/>
      <c r="H873" s="28" t="e">
        <f ca="1"/>
        <v>#REF!</v>
      </c>
      <c r="I873" s="27" t="e">
        <f ca="1"/>
        <v>#REF!</v>
      </c>
      <c r="J873" s="28" t="e">
        <f ca="1"/>
        <v>#REF!</v>
      </c>
      <c r="K873" s="27" t="e">
        <f ca="1"/>
        <v>#REF!</v>
      </c>
      <c r="L873" s="25" t="e">
        <f ca="1"/>
        <v>#REF!</v>
      </c>
      <c r="M873" s="25" t="e">
        <f ca="1"/>
        <v>#REF!</v>
      </c>
      <c r="N873" s="25" t="e">
        <f ca="1"/>
        <v>#REF!</v>
      </c>
      <c r="O873" s="25" t="e">
        <f ca="1"/>
        <v>#REF!</v>
      </c>
      <c r="P873" s="25" t="e">
        <f ca="1"/>
        <v>#REF!</v>
      </c>
      <c r="Q873" s="25" t="e">
        <f ca="1"/>
        <v>#REF!</v>
      </c>
      <c r="R873" s="25" t="e">
        <f ca="1"/>
        <v>#REF!</v>
      </c>
      <c r="S873" s="25" t="e">
        <f ca="1"/>
        <v>#REF!</v>
      </c>
      <c r="T873" s="25" t="e">
        <f ca="1"/>
        <v>#REF!</v>
      </c>
      <c r="U873" s="25" t="e">
        <f ca="1"/>
        <v>#REF!</v>
      </c>
      <c r="V873" s="25" t="e">
        <f ca="1"/>
        <v>#REF!</v>
      </c>
      <c r="W873" s="33" t="e">
        <f ca="1"/>
        <v>#REF!</v>
      </c>
      <c r="X873" s="33" t="e">
        <f ca="1"/>
        <v>#REF!</v>
      </c>
      <c r="Y873" s="33" t="e">
        <f ca="1"/>
        <v>#REF!</v>
      </c>
      <c r="Z873" s="33" t="e">
        <f ca="1"/>
        <v>#REF!</v>
      </c>
      <c r="AA873" s="33" t="e">
        <f ca="1"/>
        <v>#REF!</v>
      </c>
    </row>
    <row r="874" spans="1:28" s="73" customFormat="1" ht="11.25" x14ac:dyDescent="0.25">
      <c r="A874" s="24">
        <v>868</v>
      </c>
      <c r="B874" s="27"/>
      <c r="C874" s="28"/>
      <c r="D874" s="71"/>
      <c r="E874" s="28"/>
      <c r="F874" s="28"/>
      <c r="G874" s="27"/>
      <c r="H874" s="28" t="e">
        <f ca="1"/>
        <v>#REF!</v>
      </c>
      <c r="I874" s="27" t="e">
        <f ca="1"/>
        <v>#REF!</v>
      </c>
      <c r="J874" s="28" t="e">
        <f ca="1"/>
        <v>#REF!</v>
      </c>
      <c r="K874" s="27" t="e">
        <f ca="1"/>
        <v>#REF!</v>
      </c>
      <c r="L874" s="25" t="e">
        <f ca="1"/>
        <v>#REF!</v>
      </c>
      <c r="M874" s="25" t="e">
        <f ca="1"/>
        <v>#REF!</v>
      </c>
      <c r="N874" s="25" t="e">
        <f ca="1"/>
        <v>#REF!</v>
      </c>
      <c r="O874" s="25" t="e">
        <f ca="1"/>
        <v>#REF!</v>
      </c>
      <c r="P874" s="25" t="e">
        <f ca="1"/>
        <v>#REF!</v>
      </c>
      <c r="Q874" s="25" t="e">
        <f ca="1"/>
        <v>#REF!</v>
      </c>
      <c r="R874" s="25" t="e">
        <f ca="1"/>
        <v>#REF!</v>
      </c>
      <c r="S874" s="25" t="e">
        <f ca="1"/>
        <v>#REF!</v>
      </c>
      <c r="T874" s="25" t="e">
        <f ca="1"/>
        <v>#REF!</v>
      </c>
      <c r="U874" s="25" t="e">
        <f ca="1"/>
        <v>#REF!</v>
      </c>
      <c r="V874" s="25" t="e">
        <f ca="1"/>
        <v>#REF!</v>
      </c>
      <c r="W874" s="33" t="e">
        <f ca="1"/>
        <v>#REF!</v>
      </c>
      <c r="X874" s="33" t="e">
        <f ca="1"/>
        <v>#REF!</v>
      </c>
      <c r="Y874" s="33" t="e">
        <f ca="1"/>
        <v>#REF!</v>
      </c>
      <c r="Z874" s="33" t="e">
        <f ca="1"/>
        <v>#REF!</v>
      </c>
      <c r="AA874" s="33" t="e">
        <f ca="1"/>
        <v>#REF!</v>
      </c>
      <c r="AB874" s="73" t="s">
        <v>2151</v>
      </c>
    </row>
    <row r="875" spans="1:28" s="70" customFormat="1" ht="11.25" x14ac:dyDescent="0.2">
      <c r="A875" s="24">
        <v>869</v>
      </c>
      <c r="B875" s="27"/>
      <c r="C875" s="28"/>
      <c r="D875" s="71"/>
      <c r="E875" s="28"/>
      <c r="F875" s="28"/>
      <c r="G875" s="27"/>
      <c r="H875" s="28" t="e">
        <f ca="1"/>
        <v>#REF!</v>
      </c>
      <c r="I875" s="27" t="e">
        <f ca="1"/>
        <v>#REF!</v>
      </c>
      <c r="J875" s="28" t="e">
        <f ca="1"/>
        <v>#REF!</v>
      </c>
      <c r="K875" s="27" t="e">
        <f ca="1"/>
        <v>#REF!</v>
      </c>
      <c r="L875" s="25" t="e">
        <f ca="1"/>
        <v>#REF!</v>
      </c>
      <c r="M875" s="25" t="e">
        <f ca="1"/>
        <v>#REF!</v>
      </c>
      <c r="N875" s="25" t="e">
        <f ca="1"/>
        <v>#REF!</v>
      </c>
      <c r="O875" s="25" t="e">
        <f ca="1"/>
        <v>#REF!</v>
      </c>
      <c r="P875" s="25" t="e">
        <f ca="1"/>
        <v>#REF!</v>
      </c>
      <c r="Q875" s="25" t="e">
        <f ca="1"/>
        <v>#REF!</v>
      </c>
      <c r="R875" s="25" t="e">
        <f ca="1"/>
        <v>#REF!</v>
      </c>
      <c r="S875" s="25" t="e">
        <f ca="1"/>
        <v>#REF!</v>
      </c>
      <c r="T875" s="25" t="e">
        <f ca="1"/>
        <v>#REF!</v>
      </c>
      <c r="U875" s="25" t="e">
        <f ca="1"/>
        <v>#REF!</v>
      </c>
      <c r="V875" s="25" t="e">
        <f ca="1"/>
        <v>#REF!</v>
      </c>
      <c r="W875" s="33" t="e">
        <f ca="1"/>
        <v>#REF!</v>
      </c>
      <c r="X875" s="33" t="e">
        <f ca="1"/>
        <v>#REF!</v>
      </c>
      <c r="Y875" s="33" t="e">
        <f ca="1"/>
        <v>#REF!</v>
      </c>
      <c r="Z875" s="33" t="e">
        <f ca="1"/>
        <v>#REF!</v>
      </c>
      <c r="AA875" s="33" t="e">
        <f ca="1"/>
        <v>#REF!</v>
      </c>
    </row>
    <row r="876" spans="1:28" s="70" customFormat="1" ht="11.25" x14ac:dyDescent="0.2">
      <c r="A876" s="24">
        <v>870</v>
      </c>
      <c r="B876" s="27"/>
      <c r="C876" s="28"/>
      <c r="D876" s="71"/>
      <c r="E876" s="28"/>
      <c r="F876" s="28"/>
      <c r="G876" s="27"/>
      <c r="H876" s="28" t="e">
        <f ca="1"/>
        <v>#REF!</v>
      </c>
      <c r="I876" s="27" t="e">
        <f ca="1"/>
        <v>#REF!</v>
      </c>
      <c r="J876" s="28" t="e">
        <f ca="1"/>
        <v>#REF!</v>
      </c>
      <c r="K876" s="27" t="e">
        <f ca="1"/>
        <v>#REF!</v>
      </c>
      <c r="L876" s="25" t="e">
        <f ca="1"/>
        <v>#REF!</v>
      </c>
      <c r="M876" s="25" t="e">
        <f ca="1"/>
        <v>#REF!</v>
      </c>
      <c r="N876" s="25" t="e">
        <f ca="1"/>
        <v>#REF!</v>
      </c>
      <c r="O876" s="25" t="e">
        <f ca="1"/>
        <v>#REF!</v>
      </c>
      <c r="P876" s="25" t="e">
        <f ca="1"/>
        <v>#REF!</v>
      </c>
      <c r="Q876" s="25" t="e">
        <f ca="1"/>
        <v>#REF!</v>
      </c>
      <c r="R876" s="25" t="e">
        <f ca="1"/>
        <v>#REF!</v>
      </c>
      <c r="S876" s="25" t="e">
        <f ca="1"/>
        <v>#REF!</v>
      </c>
      <c r="T876" s="25" t="e">
        <f ca="1"/>
        <v>#REF!</v>
      </c>
      <c r="U876" s="25" t="e">
        <f ca="1"/>
        <v>#REF!</v>
      </c>
      <c r="V876" s="25" t="e">
        <f ca="1"/>
        <v>#REF!</v>
      </c>
      <c r="W876" s="33" t="e">
        <f ca="1"/>
        <v>#REF!</v>
      </c>
      <c r="X876" s="33" t="e">
        <f ca="1"/>
        <v>#REF!</v>
      </c>
      <c r="Y876" s="33" t="e">
        <f ca="1"/>
        <v>#REF!</v>
      </c>
      <c r="Z876" s="33" t="e">
        <f ca="1"/>
        <v>#REF!</v>
      </c>
      <c r="AA876" s="33" t="e">
        <f ca="1"/>
        <v>#REF!</v>
      </c>
    </row>
    <row r="877" spans="1:28" s="70" customFormat="1" ht="11.25" x14ac:dyDescent="0.2">
      <c r="A877" s="24">
        <v>871</v>
      </c>
      <c r="B877" s="27"/>
      <c r="C877" s="28"/>
      <c r="D877" s="71"/>
      <c r="E877" s="28"/>
      <c r="F877" s="28"/>
      <c r="G877" s="27"/>
      <c r="H877" s="28" t="e">
        <f ca="1"/>
        <v>#REF!</v>
      </c>
      <c r="I877" s="27" t="e">
        <f ca="1"/>
        <v>#REF!</v>
      </c>
      <c r="J877" s="28" t="e">
        <f ca="1"/>
        <v>#REF!</v>
      </c>
      <c r="K877" s="27" t="e">
        <f ca="1"/>
        <v>#REF!</v>
      </c>
      <c r="L877" s="25" t="e">
        <f ca="1"/>
        <v>#REF!</v>
      </c>
      <c r="M877" s="25" t="e">
        <f ca="1"/>
        <v>#REF!</v>
      </c>
      <c r="N877" s="25" t="e">
        <f ca="1"/>
        <v>#REF!</v>
      </c>
      <c r="O877" s="25" t="e">
        <f ca="1"/>
        <v>#REF!</v>
      </c>
      <c r="P877" s="25" t="e">
        <f ca="1"/>
        <v>#REF!</v>
      </c>
      <c r="Q877" s="25" t="e">
        <f ca="1"/>
        <v>#REF!</v>
      </c>
      <c r="R877" s="25" t="e">
        <f ca="1"/>
        <v>#REF!</v>
      </c>
      <c r="S877" s="25" t="e">
        <f ca="1"/>
        <v>#REF!</v>
      </c>
      <c r="T877" s="25" t="e">
        <f ca="1"/>
        <v>#REF!</v>
      </c>
      <c r="U877" s="25" t="e">
        <f ca="1"/>
        <v>#REF!</v>
      </c>
      <c r="V877" s="25" t="e">
        <f ca="1"/>
        <v>#REF!</v>
      </c>
      <c r="W877" s="33" t="e">
        <f ca="1"/>
        <v>#REF!</v>
      </c>
      <c r="X877" s="33" t="e">
        <f ca="1"/>
        <v>#REF!</v>
      </c>
      <c r="Y877" s="33" t="e">
        <f ca="1"/>
        <v>#REF!</v>
      </c>
      <c r="Z877" s="33" t="e">
        <f ca="1"/>
        <v>#REF!</v>
      </c>
      <c r="AA877" s="33" t="e">
        <f ca="1"/>
        <v>#REF!</v>
      </c>
    </row>
    <row r="878" spans="1:28" s="70" customFormat="1" ht="11.25" x14ac:dyDescent="0.2">
      <c r="A878" s="24">
        <v>872</v>
      </c>
      <c r="B878" s="27"/>
      <c r="C878" s="28"/>
      <c r="D878" s="71"/>
      <c r="E878" s="28"/>
      <c r="F878" s="28"/>
      <c r="G878" s="27"/>
      <c r="H878" s="28" t="e">
        <f ca="1"/>
        <v>#REF!</v>
      </c>
      <c r="I878" s="27" t="e">
        <f ca="1"/>
        <v>#REF!</v>
      </c>
      <c r="J878" s="28" t="e">
        <f ca="1"/>
        <v>#REF!</v>
      </c>
      <c r="K878" s="27" t="e">
        <f ca="1"/>
        <v>#REF!</v>
      </c>
      <c r="L878" s="25" t="e">
        <f ca="1"/>
        <v>#REF!</v>
      </c>
      <c r="M878" s="25" t="e">
        <f ca="1"/>
        <v>#REF!</v>
      </c>
      <c r="N878" s="25" t="e">
        <f ca="1"/>
        <v>#REF!</v>
      </c>
      <c r="O878" s="25" t="e">
        <f ca="1"/>
        <v>#REF!</v>
      </c>
      <c r="P878" s="25" t="e">
        <f ca="1"/>
        <v>#REF!</v>
      </c>
      <c r="Q878" s="25" t="e">
        <f ca="1"/>
        <v>#REF!</v>
      </c>
      <c r="R878" s="25" t="e">
        <f ca="1"/>
        <v>#REF!</v>
      </c>
      <c r="S878" s="25" t="e">
        <f ca="1"/>
        <v>#REF!</v>
      </c>
      <c r="T878" s="25" t="e">
        <f ca="1"/>
        <v>#REF!</v>
      </c>
      <c r="U878" s="25" t="e">
        <f ca="1"/>
        <v>#REF!</v>
      </c>
      <c r="V878" s="25" t="e">
        <f ca="1"/>
        <v>#REF!</v>
      </c>
      <c r="W878" s="33" t="e">
        <f ca="1"/>
        <v>#REF!</v>
      </c>
      <c r="X878" s="33" t="e">
        <f ca="1"/>
        <v>#REF!</v>
      </c>
      <c r="Y878" s="33" t="e">
        <f ca="1"/>
        <v>#REF!</v>
      </c>
      <c r="Z878" s="33" t="e">
        <f ca="1"/>
        <v>#REF!</v>
      </c>
      <c r="AA878" s="33" t="e">
        <f ca="1"/>
        <v>#REF!</v>
      </c>
    </row>
    <row r="879" spans="1:28" s="70" customFormat="1" ht="11.25" x14ac:dyDescent="0.2">
      <c r="A879" s="24">
        <v>873</v>
      </c>
      <c r="B879" s="27"/>
      <c r="C879" s="28"/>
      <c r="D879" s="71"/>
      <c r="E879" s="28"/>
      <c r="F879" s="28"/>
      <c r="G879" s="27"/>
      <c r="H879" s="28" t="e">
        <f ca="1"/>
        <v>#REF!</v>
      </c>
      <c r="I879" s="27" t="e">
        <f ca="1"/>
        <v>#REF!</v>
      </c>
      <c r="J879" s="28" t="e">
        <f ca="1"/>
        <v>#REF!</v>
      </c>
      <c r="K879" s="27" t="e">
        <f ca="1"/>
        <v>#REF!</v>
      </c>
      <c r="L879" s="25" t="e">
        <f ca="1"/>
        <v>#REF!</v>
      </c>
      <c r="M879" s="25" t="e">
        <f ca="1"/>
        <v>#REF!</v>
      </c>
      <c r="N879" s="25" t="e">
        <f ca="1"/>
        <v>#REF!</v>
      </c>
      <c r="O879" s="25" t="e">
        <f ca="1"/>
        <v>#REF!</v>
      </c>
      <c r="P879" s="25" t="e">
        <f ca="1"/>
        <v>#REF!</v>
      </c>
      <c r="Q879" s="25" t="e">
        <f ca="1"/>
        <v>#REF!</v>
      </c>
      <c r="R879" s="25" t="e">
        <f ca="1"/>
        <v>#REF!</v>
      </c>
      <c r="S879" s="25" t="e">
        <f ca="1"/>
        <v>#REF!</v>
      </c>
      <c r="T879" s="25" t="e">
        <f ca="1"/>
        <v>#REF!</v>
      </c>
      <c r="U879" s="25" t="e">
        <f ca="1"/>
        <v>#REF!</v>
      </c>
      <c r="V879" s="25" t="e">
        <f ca="1"/>
        <v>#REF!</v>
      </c>
      <c r="W879" s="33" t="e">
        <f ca="1"/>
        <v>#REF!</v>
      </c>
      <c r="X879" s="33" t="e">
        <f ca="1"/>
        <v>#REF!</v>
      </c>
      <c r="Y879" s="33" t="e">
        <f ca="1"/>
        <v>#REF!</v>
      </c>
      <c r="Z879" s="33" t="e">
        <f ca="1"/>
        <v>#REF!</v>
      </c>
      <c r="AA879" s="33" t="e">
        <f ca="1"/>
        <v>#REF!</v>
      </c>
    </row>
    <row r="880" spans="1:28" s="70" customFormat="1" ht="11.25" x14ac:dyDescent="0.2">
      <c r="A880" s="24">
        <v>874</v>
      </c>
      <c r="B880" s="27"/>
      <c r="C880" s="28"/>
      <c r="D880" s="71"/>
      <c r="E880" s="28"/>
      <c r="F880" s="28"/>
      <c r="G880" s="27"/>
      <c r="H880" s="28" t="e">
        <f ca="1"/>
        <v>#REF!</v>
      </c>
      <c r="I880" s="27" t="e">
        <f ca="1"/>
        <v>#REF!</v>
      </c>
      <c r="J880" s="28" t="e">
        <f ca="1"/>
        <v>#REF!</v>
      </c>
      <c r="K880" s="27" t="e">
        <f ca="1"/>
        <v>#REF!</v>
      </c>
      <c r="L880" s="25" t="e">
        <f ca="1"/>
        <v>#REF!</v>
      </c>
      <c r="M880" s="25" t="e">
        <f ca="1"/>
        <v>#REF!</v>
      </c>
      <c r="N880" s="25" t="e">
        <f ca="1"/>
        <v>#REF!</v>
      </c>
      <c r="O880" s="25" t="e">
        <f ca="1"/>
        <v>#REF!</v>
      </c>
      <c r="P880" s="25" t="e">
        <f ca="1"/>
        <v>#REF!</v>
      </c>
      <c r="Q880" s="25" t="e">
        <f ca="1"/>
        <v>#REF!</v>
      </c>
      <c r="R880" s="25" t="e">
        <f ca="1"/>
        <v>#REF!</v>
      </c>
      <c r="S880" s="25" t="e">
        <f ca="1"/>
        <v>#REF!</v>
      </c>
      <c r="T880" s="25" t="e">
        <f ca="1"/>
        <v>#REF!</v>
      </c>
      <c r="U880" s="25" t="e">
        <f ca="1"/>
        <v>#REF!</v>
      </c>
      <c r="V880" s="25" t="e">
        <f ca="1"/>
        <v>#REF!</v>
      </c>
      <c r="W880" s="33" t="e">
        <f ca="1"/>
        <v>#REF!</v>
      </c>
      <c r="X880" s="33" t="e">
        <f ca="1"/>
        <v>#REF!</v>
      </c>
      <c r="Y880" s="33" t="e">
        <f ca="1"/>
        <v>#REF!</v>
      </c>
      <c r="Z880" s="33" t="e">
        <f ca="1"/>
        <v>#REF!</v>
      </c>
      <c r="AA880" s="33" t="e">
        <f ca="1"/>
        <v>#REF!</v>
      </c>
    </row>
    <row r="881" spans="1:27" s="70" customFormat="1" ht="11.25" x14ac:dyDescent="0.2">
      <c r="A881" s="24">
        <v>875</v>
      </c>
      <c r="B881" s="27"/>
      <c r="C881" s="28"/>
      <c r="D881" s="71"/>
      <c r="E881" s="28"/>
      <c r="F881" s="28"/>
      <c r="G881" s="27"/>
      <c r="H881" s="28" t="e">
        <f ca="1"/>
        <v>#REF!</v>
      </c>
      <c r="I881" s="27" t="e">
        <f ca="1"/>
        <v>#REF!</v>
      </c>
      <c r="J881" s="28" t="e">
        <f ca="1"/>
        <v>#REF!</v>
      </c>
      <c r="K881" s="27" t="e">
        <f ca="1"/>
        <v>#REF!</v>
      </c>
      <c r="L881" s="25" t="e">
        <f ca="1"/>
        <v>#REF!</v>
      </c>
      <c r="M881" s="25" t="e">
        <f ca="1"/>
        <v>#REF!</v>
      </c>
      <c r="N881" s="25" t="e">
        <f ca="1"/>
        <v>#REF!</v>
      </c>
      <c r="O881" s="25" t="e">
        <f ca="1"/>
        <v>#REF!</v>
      </c>
      <c r="P881" s="25" t="e">
        <f ca="1"/>
        <v>#REF!</v>
      </c>
      <c r="Q881" s="25" t="e">
        <f ca="1"/>
        <v>#REF!</v>
      </c>
      <c r="R881" s="25" t="e">
        <f ca="1"/>
        <v>#REF!</v>
      </c>
      <c r="S881" s="25" t="e">
        <f ca="1"/>
        <v>#REF!</v>
      </c>
      <c r="T881" s="25" t="e">
        <f ca="1"/>
        <v>#REF!</v>
      </c>
      <c r="U881" s="25" t="e">
        <f ca="1"/>
        <v>#REF!</v>
      </c>
      <c r="V881" s="25" t="e">
        <f ca="1"/>
        <v>#REF!</v>
      </c>
      <c r="W881" s="33" t="e">
        <f ca="1"/>
        <v>#REF!</v>
      </c>
      <c r="X881" s="33" t="e">
        <f ca="1"/>
        <v>#REF!</v>
      </c>
      <c r="Y881" s="33" t="e">
        <f ca="1"/>
        <v>#REF!</v>
      </c>
      <c r="Z881" s="33" t="e">
        <f ca="1"/>
        <v>#REF!</v>
      </c>
      <c r="AA881" s="33" t="e">
        <f ca="1"/>
        <v>#REF!</v>
      </c>
    </row>
    <row r="882" spans="1:27" s="70" customFormat="1" ht="11.25" x14ac:dyDescent="0.2">
      <c r="A882" s="24">
        <v>876</v>
      </c>
      <c r="B882" s="27"/>
      <c r="C882" s="28"/>
      <c r="D882" s="71"/>
      <c r="E882" s="28"/>
      <c r="F882" s="28"/>
      <c r="G882" s="27"/>
      <c r="H882" s="28" t="e">
        <f ca="1"/>
        <v>#REF!</v>
      </c>
      <c r="I882" s="27" t="e">
        <f ca="1"/>
        <v>#REF!</v>
      </c>
      <c r="J882" s="28" t="e">
        <f ca="1"/>
        <v>#REF!</v>
      </c>
      <c r="K882" s="27" t="e">
        <f ca="1"/>
        <v>#REF!</v>
      </c>
      <c r="L882" s="25" t="e">
        <f ca="1"/>
        <v>#REF!</v>
      </c>
      <c r="M882" s="25" t="e">
        <f ca="1"/>
        <v>#REF!</v>
      </c>
      <c r="N882" s="25" t="e">
        <f ca="1"/>
        <v>#REF!</v>
      </c>
      <c r="O882" s="25" t="e">
        <f ca="1"/>
        <v>#REF!</v>
      </c>
      <c r="P882" s="25" t="e">
        <f ca="1"/>
        <v>#REF!</v>
      </c>
      <c r="Q882" s="25" t="e">
        <f ca="1"/>
        <v>#REF!</v>
      </c>
      <c r="R882" s="25" t="e">
        <f ca="1"/>
        <v>#REF!</v>
      </c>
      <c r="S882" s="25" t="e">
        <f ca="1"/>
        <v>#REF!</v>
      </c>
      <c r="T882" s="25" t="e">
        <f ca="1"/>
        <v>#REF!</v>
      </c>
      <c r="U882" s="25" t="e">
        <f ca="1"/>
        <v>#REF!</v>
      </c>
      <c r="V882" s="25" t="e">
        <f ca="1"/>
        <v>#REF!</v>
      </c>
      <c r="W882" s="33" t="e">
        <f ca="1"/>
        <v>#REF!</v>
      </c>
      <c r="X882" s="33" t="e">
        <f ca="1"/>
        <v>#REF!</v>
      </c>
      <c r="Y882" s="33" t="e">
        <f ca="1"/>
        <v>#REF!</v>
      </c>
      <c r="Z882" s="33" t="e">
        <f ca="1"/>
        <v>#REF!</v>
      </c>
      <c r="AA882" s="33" t="e">
        <f ca="1"/>
        <v>#REF!</v>
      </c>
    </row>
    <row r="883" spans="1:27" s="70" customFormat="1" ht="11.25" x14ac:dyDescent="0.2">
      <c r="A883" s="24">
        <v>877</v>
      </c>
      <c r="B883" s="27"/>
      <c r="C883" s="28"/>
      <c r="D883" s="71"/>
      <c r="E883" s="28"/>
      <c r="F883" s="28"/>
      <c r="G883" s="27"/>
      <c r="H883" s="28" t="e">
        <f ca="1"/>
        <v>#REF!</v>
      </c>
      <c r="I883" s="27" t="e">
        <f ca="1"/>
        <v>#REF!</v>
      </c>
      <c r="J883" s="28" t="e">
        <f ca="1"/>
        <v>#REF!</v>
      </c>
      <c r="K883" s="27" t="e">
        <f ca="1"/>
        <v>#REF!</v>
      </c>
      <c r="L883" s="25" t="e">
        <f ca="1"/>
        <v>#REF!</v>
      </c>
      <c r="M883" s="25" t="e">
        <f ca="1"/>
        <v>#REF!</v>
      </c>
      <c r="N883" s="25" t="e">
        <f ca="1"/>
        <v>#REF!</v>
      </c>
      <c r="O883" s="25" t="e">
        <f ca="1"/>
        <v>#REF!</v>
      </c>
      <c r="P883" s="25" t="e">
        <f ca="1"/>
        <v>#REF!</v>
      </c>
      <c r="Q883" s="25" t="e">
        <f ca="1"/>
        <v>#REF!</v>
      </c>
      <c r="R883" s="25" t="e">
        <f ca="1"/>
        <v>#REF!</v>
      </c>
      <c r="S883" s="25" t="e">
        <f ca="1"/>
        <v>#REF!</v>
      </c>
      <c r="T883" s="25" t="e">
        <f ca="1"/>
        <v>#REF!</v>
      </c>
      <c r="U883" s="25" t="e">
        <f ca="1"/>
        <v>#REF!</v>
      </c>
      <c r="V883" s="25" t="e">
        <f ca="1"/>
        <v>#REF!</v>
      </c>
      <c r="W883" s="33" t="e">
        <f ca="1"/>
        <v>#REF!</v>
      </c>
      <c r="X883" s="33" t="e">
        <f ca="1"/>
        <v>#REF!</v>
      </c>
      <c r="Y883" s="33" t="e">
        <f ca="1"/>
        <v>#REF!</v>
      </c>
      <c r="Z883" s="33" t="e">
        <f ca="1"/>
        <v>#REF!</v>
      </c>
      <c r="AA883" s="33" t="e">
        <f ca="1"/>
        <v>#REF!</v>
      </c>
    </row>
    <row r="884" spans="1:27" s="70" customFormat="1" ht="11.25" x14ac:dyDescent="0.2">
      <c r="A884" s="24">
        <v>878</v>
      </c>
      <c r="B884" s="27"/>
      <c r="C884" s="28"/>
      <c r="D884" s="71"/>
      <c r="E884" s="28"/>
      <c r="F884" s="28"/>
      <c r="G884" s="27"/>
      <c r="H884" s="28" t="e">
        <f ca="1"/>
        <v>#REF!</v>
      </c>
      <c r="I884" s="27" t="e">
        <f ca="1"/>
        <v>#REF!</v>
      </c>
      <c r="J884" s="28" t="e">
        <f ca="1"/>
        <v>#REF!</v>
      </c>
      <c r="K884" s="27" t="e">
        <f ca="1"/>
        <v>#REF!</v>
      </c>
      <c r="L884" s="25" t="e">
        <f ca="1"/>
        <v>#REF!</v>
      </c>
      <c r="M884" s="25" t="e">
        <f ca="1"/>
        <v>#REF!</v>
      </c>
      <c r="N884" s="25" t="e">
        <f ca="1"/>
        <v>#REF!</v>
      </c>
      <c r="O884" s="25" t="e">
        <f ca="1"/>
        <v>#REF!</v>
      </c>
      <c r="P884" s="25" t="e">
        <f ca="1"/>
        <v>#REF!</v>
      </c>
      <c r="Q884" s="25" t="e">
        <f ca="1"/>
        <v>#REF!</v>
      </c>
      <c r="R884" s="25" t="e">
        <f ca="1"/>
        <v>#REF!</v>
      </c>
      <c r="S884" s="25" t="e">
        <f ca="1"/>
        <v>#REF!</v>
      </c>
      <c r="T884" s="25" t="e">
        <f ca="1"/>
        <v>#REF!</v>
      </c>
      <c r="U884" s="25" t="e">
        <f ca="1"/>
        <v>#REF!</v>
      </c>
      <c r="V884" s="25" t="e">
        <f ca="1"/>
        <v>#REF!</v>
      </c>
      <c r="W884" s="33" t="e">
        <f ca="1"/>
        <v>#REF!</v>
      </c>
      <c r="X884" s="33" t="e">
        <f ca="1"/>
        <v>#REF!</v>
      </c>
      <c r="Y884" s="33" t="e">
        <f ca="1"/>
        <v>#REF!</v>
      </c>
      <c r="Z884" s="33" t="e">
        <f ca="1"/>
        <v>#REF!</v>
      </c>
      <c r="AA884" s="33" t="e">
        <f ca="1"/>
        <v>#REF!</v>
      </c>
    </row>
    <row r="885" spans="1:27" s="70" customFormat="1" ht="11.25" x14ac:dyDescent="0.2">
      <c r="A885" s="24">
        <v>879</v>
      </c>
      <c r="B885" s="27"/>
      <c r="C885" s="28"/>
      <c r="D885" s="71"/>
      <c r="E885" s="28"/>
      <c r="F885" s="28"/>
      <c r="G885" s="27"/>
      <c r="H885" s="28" t="e">
        <f ca="1"/>
        <v>#REF!</v>
      </c>
      <c r="I885" s="27" t="e">
        <f ca="1"/>
        <v>#REF!</v>
      </c>
      <c r="J885" s="28" t="e">
        <f ca="1"/>
        <v>#REF!</v>
      </c>
      <c r="K885" s="27" t="e">
        <f ca="1"/>
        <v>#REF!</v>
      </c>
      <c r="L885" s="25" t="e">
        <f ca="1"/>
        <v>#REF!</v>
      </c>
      <c r="M885" s="25" t="e">
        <f ca="1"/>
        <v>#REF!</v>
      </c>
      <c r="N885" s="25" t="e">
        <f ca="1"/>
        <v>#REF!</v>
      </c>
      <c r="O885" s="25" t="e">
        <f ca="1"/>
        <v>#REF!</v>
      </c>
      <c r="P885" s="25" t="e">
        <f ca="1"/>
        <v>#REF!</v>
      </c>
      <c r="Q885" s="25" t="e">
        <f ca="1"/>
        <v>#REF!</v>
      </c>
      <c r="R885" s="25" t="e">
        <f ca="1"/>
        <v>#REF!</v>
      </c>
      <c r="S885" s="25" t="e">
        <f ca="1"/>
        <v>#REF!</v>
      </c>
      <c r="T885" s="25" t="e">
        <f ca="1"/>
        <v>#REF!</v>
      </c>
      <c r="U885" s="25" t="e">
        <f ca="1"/>
        <v>#REF!</v>
      </c>
      <c r="V885" s="25" t="e">
        <f ca="1"/>
        <v>#REF!</v>
      </c>
      <c r="W885" s="33" t="e">
        <f ca="1"/>
        <v>#REF!</v>
      </c>
      <c r="X885" s="33" t="e">
        <f ca="1"/>
        <v>#REF!</v>
      </c>
      <c r="Y885" s="33" t="e">
        <f ca="1"/>
        <v>#REF!</v>
      </c>
      <c r="Z885" s="33" t="e">
        <f ca="1"/>
        <v>#REF!</v>
      </c>
      <c r="AA885" s="33" t="e">
        <f ca="1"/>
        <v>#REF!</v>
      </c>
    </row>
    <row r="886" spans="1:27" s="70" customFormat="1" ht="11.25" x14ac:dyDescent="0.2">
      <c r="A886" s="24">
        <v>880</v>
      </c>
      <c r="B886" s="27"/>
      <c r="C886" s="28"/>
      <c r="D886" s="71"/>
      <c r="E886" s="28"/>
      <c r="F886" s="28"/>
      <c r="G886" s="27"/>
      <c r="H886" s="28" t="e">
        <f ca="1"/>
        <v>#REF!</v>
      </c>
      <c r="I886" s="27" t="e">
        <f ca="1"/>
        <v>#REF!</v>
      </c>
      <c r="J886" s="28" t="e">
        <f ca="1"/>
        <v>#REF!</v>
      </c>
      <c r="K886" s="27" t="e">
        <f ca="1"/>
        <v>#REF!</v>
      </c>
      <c r="L886" s="25" t="e">
        <f ca="1"/>
        <v>#REF!</v>
      </c>
      <c r="M886" s="25" t="e">
        <f ca="1"/>
        <v>#REF!</v>
      </c>
      <c r="N886" s="25" t="e">
        <f ca="1"/>
        <v>#REF!</v>
      </c>
      <c r="O886" s="25" t="e">
        <f ca="1"/>
        <v>#REF!</v>
      </c>
      <c r="P886" s="25" t="e">
        <f ca="1"/>
        <v>#REF!</v>
      </c>
      <c r="Q886" s="25" t="e">
        <f ca="1"/>
        <v>#REF!</v>
      </c>
      <c r="R886" s="25" t="e">
        <f ca="1"/>
        <v>#REF!</v>
      </c>
      <c r="S886" s="25" t="e">
        <f ca="1"/>
        <v>#REF!</v>
      </c>
      <c r="T886" s="25" t="e">
        <f ca="1"/>
        <v>#REF!</v>
      </c>
      <c r="U886" s="25" t="e">
        <f ca="1"/>
        <v>#REF!</v>
      </c>
      <c r="V886" s="25" t="e">
        <f ca="1"/>
        <v>#REF!</v>
      </c>
      <c r="W886" s="33" t="e">
        <f ca="1"/>
        <v>#REF!</v>
      </c>
      <c r="X886" s="33" t="e">
        <f ca="1"/>
        <v>#REF!</v>
      </c>
      <c r="Y886" s="33" t="e">
        <f ca="1"/>
        <v>#REF!</v>
      </c>
      <c r="Z886" s="33" t="e">
        <f ca="1"/>
        <v>#REF!</v>
      </c>
      <c r="AA886" s="33" t="e">
        <f ca="1"/>
        <v>#REF!</v>
      </c>
    </row>
    <row r="887" spans="1:27" s="70" customFormat="1" ht="11.25" x14ac:dyDescent="0.2">
      <c r="A887" s="24">
        <v>881</v>
      </c>
      <c r="B887" s="27"/>
      <c r="C887" s="28"/>
      <c r="D887" s="71"/>
      <c r="E887" s="28"/>
      <c r="F887" s="28"/>
      <c r="G887" s="27"/>
      <c r="H887" s="28" t="e">
        <f ca="1"/>
        <v>#REF!</v>
      </c>
      <c r="I887" s="27" t="e">
        <f ca="1"/>
        <v>#REF!</v>
      </c>
      <c r="J887" s="28" t="e">
        <f ca="1"/>
        <v>#REF!</v>
      </c>
      <c r="K887" s="27" t="e">
        <f ca="1"/>
        <v>#REF!</v>
      </c>
      <c r="L887" s="25" t="e">
        <f ca="1"/>
        <v>#REF!</v>
      </c>
      <c r="M887" s="25" t="e">
        <f ca="1"/>
        <v>#REF!</v>
      </c>
      <c r="N887" s="25" t="e">
        <f ca="1"/>
        <v>#REF!</v>
      </c>
      <c r="O887" s="25" t="e">
        <f ca="1"/>
        <v>#REF!</v>
      </c>
      <c r="P887" s="25" t="e">
        <f ca="1"/>
        <v>#REF!</v>
      </c>
      <c r="Q887" s="25" t="e">
        <f ca="1"/>
        <v>#REF!</v>
      </c>
      <c r="R887" s="25" t="e">
        <f ca="1"/>
        <v>#REF!</v>
      </c>
      <c r="S887" s="25" t="e">
        <f ca="1"/>
        <v>#REF!</v>
      </c>
      <c r="T887" s="25" t="e">
        <f ca="1"/>
        <v>#REF!</v>
      </c>
      <c r="U887" s="25" t="e">
        <f ca="1"/>
        <v>#REF!</v>
      </c>
      <c r="V887" s="25" t="e">
        <f ca="1"/>
        <v>#REF!</v>
      </c>
      <c r="W887" s="33" t="e">
        <f ca="1"/>
        <v>#REF!</v>
      </c>
      <c r="X887" s="33" t="e">
        <f ca="1"/>
        <v>#REF!</v>
      </c>
      <c r="Y887" s="33" t="e">
        <f ca="1"/>
        <v>#REF!</v>
      </c>
      <c r="Z887" s="33" t="e">
        <f ca="1"/>
        <v>#REF!</v>
      </c>
      <c r="AA887" s="33" t="e">
        <f ca="1"/>
        <v>#REF!</v>
      </c>
    </row>
    <row r="888" spans="1:27" s="70" customFormat="1" ht="11.25" x14ac:dyDescent="0.2">
      <c r="A888" s="24">
        <v>882</v>
      </c>
      <c r="B888" s="27"/>
      <c r="C888" s="28"/>
      <c r="D888" s="71"/>
      <c r="E888" s="28"/>
      <c r="F888" s="28"/>
      <c r="G888" s="27"/>
      <c r="H888" s="28" t="e">
        <f ca="1"/>
        <v>#REF!</v>
      </c>
      <c r="I888" s="27" t="e">
        <f ca="1"/>
        <v>#REF!</v>
      </c>
      <c r="J888" s="28" t="e">
        <f ca="1"/>
        <v>#REF!</v>
      </c>
      <c r="K888" s="27" t="e">
        <f ca="1"/>
        <v>#REF!</v>
      </c>
      <c r="L888" s="25" t="e">
        <f ca="1"/>
        <v>#REF!</v>
      </c>
      <c r="M888" s="25" t="e">
        <f ca="1"/>
        <v>#REF!</v>
      </c>
      <c r="N888" s="25" t="e">
        <f ca="1"/>
        <v>#REF!</v>
      </c>
      <c r="O888" s="25" t="e">
        <f ca="1"/>
        <v>#REF!</v>
      </c>
      <c r="P888" s="25" t="e">
        <f ca="1"/>
        <v>#REF!</v>
      </c>
      <c r="Q888" s="25" t="e">
        <f ca="1"/>
        <v>#REF!</v>
      </c>
      <c r="R888" s="25" t="e">
        <f ca="1"/>
        <v>#REF!</v>
      </c>
      <c r="S888" s="25" t="e">
        <f ca="1"/>
        <v>#REF!</v>
      </c>
      <c r="T888" s="25" t="e">
        <f ca="1"/>
        <v>#REF!</v>
      </c>
      <c r="U888" s="25" t="e">
        <f ca="1"/>
        <v>#REF!</v>
      </c>
      <c r="V888" s="25" t="e">
        <f ca="1"/>
        <v>#REF!</v>
      </c>
      <c r="W888" s="33" t="e">
        <f ca="1"/>
        <v>#REF!</v>
      </c>
      <c r="X888" s="33" t="e">
        <f ca="1"/>
        <v>#REF!</v>
      </c>
      <c r="Y888" s="33" t="e">
        <f ca="1"/>
        <v>#REF!</v>
      </c>
      <c r="Z888" s="33" t="e">
        <f ca="1"/>
        <v>#REF!</v>
      </c>
      <c r="AA888" s="33" t="e">
        <f ca="1"/>
        <v>#REF!</v>
      </c>
    </row>
    <row r="889" spans="1:27" s="70" customFormat="1" ht="11.25" x14ac:dyDescent="0.2">
      <c r="A889" s="24">
        <v>883</v>
      </c>
      <c r="B889" s="27"/>
      <c r="C889" s="28"/>
      <c r="D889" s="71"/>
      <c r="E889" s="28"/>
      <c r="F889" s="28"/>
      <c r="G889" s="27"/>
      <c r="H889" s="28" t="e">
        <f ca="1"/>
        <v>#REF!</v>
      </c>
      <c r="I889" s="27" t="e">
        <f ca="1"/>
        <v>#REF!</v>
      </c>
      <c r="J889" s="28" t="e">
        <f ca="1"/>
        <v>#REF!</v>
      </c>
      <c r="K889" s="27" t="e">
        <f ca="1"/>
        <v>#REF!</v>
      </c>
      <c r="L889" s="25" t="e">
        <f ca="1"/>
        <v>#REF!</v>
      </c>
      <c r="M889" s="25" t="e">
        <f ca="1"/>
        <v>#REF!</v>
      </c>
      <c r="N889" s="25" t="e">
        <f ca="1"/>
        <v>#REF!</v>
      </c>
      <c r="O889" s="25" t="e">
        <f ca="1"/>
        <v>#REF!</v>
      </c>
      <c r="P889" s="25" t="e">
        <f ca="1"/>
        <v>#REF!</v>
      </c>
      <c r="Q889" s="25" t="e">
        <f ca="1"/>
        <v>#REF!</v>
      </c>
      <c r="R889" s="25" t="e">
        <f ca="1"/>
        <v>#REF!</v>
      </c>
      <c r="S889" s="25" t="e">
        <f ca="1"/>
        <v>#REF!</v>
      </c>
      <c r="T889" s="25" t="e">
        <f ca="1"/>
        <v>#REF!</v>
      </c>
      <c r="U889" s="25" t="e">
        <f ca="1"/>
        <v>#REF!</v>
      </c>
      <c r="V889" s="25" t="e">
        <f ca="1"/>
        <v>#REF!</v>
      </c>
      <c r="W889" s="33" t="e">
        <f ca="1"/>
        <v>#REF!</v>
      </c>
      <c r="X889" s="33" t="e">
        <f ca="1"/>
        <v>#REF!</v>
      </c>
      <c r="Y889" s="33" t="e">
        <f ca="1"/>
        <v>#REF!</v>
      </c>
      <c r="Z889" s="33" t="e">
        <f ca="1"/>
        <v>#REF!</v>
      </c>
      <c r="AA889" s="33" t="e">
        <f ca="1"/>
        <v>#REF!</v>
      </c>
    </row>
    <row r="890" spans="1:27" s="70" customFormat="1" ht="11.25" x14ac:dyDescent="0.2">
      <c r="A890" s="24">
        <v>884</v>
      </c>
      <c r="B890" s="27"/>
      <c r="C890" s="28"/>
      <c r="D890" s="71"/>
      <c r="E890" s="28"/>
      <c r="F890" s="28"/>
      <c r="G890" s="27"/>
      <c r="H890" s="28" t="e">
        <f ca="1"/>
        <v>#REF!</v>
      </c>
      <c r="I890" s="27" t="e">
        <f ca="1"/>
        <v>#REF!</v>
      </c>
      <c r="J890" s="28" t="e">
        <f ca="1"/>
        <v>#REF!</v>
      </c>
      <c r="K890" s="27" t="e">
        <f ca="1"/>
        <v>#REF!</v>
      </c>
      <c r="L890" s="25" t="e">
        <f ca="1"/>
        <v>#REF!</v>
      </c>
      <c r="M890" s="25" t="e">
        <f ca="1"/>
        <v>#REF!</v>
      </c>
      <c r="N890" s="25" t="e">
        <f ca="1"/>
        <v>#REF!</v>
      </c>
      <c r="O890" s="25" t="e">
        <f ca="1"/>
        <v>#REF!</v>
      </c>
      <c r="P890" s="25" t="e">
        <f ca="1"/>
        <v>#REF!</v>
      </c>
      <c r="Q890" s="25" t="e">
        <f ca="1"/>
        <v>#REF!</v>
      </c>
      <c r="R890" s="25" t="e">
        <f ca="1"/>
        <v>#REF!</v>
      </c>
      <c r="S890" s="25" t="e">
        <f ca="1"/>
        <v>#REF!</v>
      </c>
      <c r="T890" s="25" t="e">
        <f ca="1"/>
        <v>#REF!</v>
      </c>
      <c r="U890" s="25" t="e">
        <f ca="1"/>
        <v>#REF!</v>
      </c>
      <c r="V890" s="25" t="e">
        <f ca="1"/>
        <v>#REF!</v>
      </c>
      <c r="W890" s="33" t="e">
        <f ca="1"/>
        <v>#REF!</v>
      </c>
      <c r="X890" s="33" t="e">
        <f ca="1"/>
        <v>#REF!</v>
      </c>
      <c r="Y890" s="33" t="e">
        <f ca="1"/>
        <v>#REF!</v>
      </c>
      <c r="Z890" s="33" t="e">
        <f ca="1"/>
        <v>#REF!</v>
      </c>
      <c r="AA890" s="33" t="e">
        <f ca="1"/>
        <v>#REF!</v>
      </c>
    </row>
    <row r="891" spans="1:27" s="70" customFormat="1" ht="11.25" x14ac:dyDescent="0.2">
      <c r="A891" s="24">
        <v>885</v>
      </c>
      <c r="B891" s="27"/>
      <c r="C891" s="28"/>
      <c r="D891" s="71"/>
      <c r="E891" s="28"/>
      <c r="F891" s="28"/>
      <c r="G891" s="27"/>
      <c r="H891" s="28" t="e">
        <f ca="1"/>
        <v>#REF!</v>
      </c>
      <c r="I891" s="27" t="e">
        <f ca="1"/>
        <v>#REF!</v>
      </c>
      <c r="J891" s="28" t="e">
        <f ca="1"/>
        <v>#REF!</v>
      </c>
      <c r="K891" s="27" t="e">
        <f ca="1"/>
        <v>#REF!</v>
      </c>
      <c r="L891" s="25" t="e">
        <f ca="1"/>
        <v>#REF!</v>
      </c>
      <c r="M891" s="25" t="e">
        <f ca="1"/>
        <v>#REF!</v>
      </c>
      <c r="N891" s="25" t="e">
        <f ca="1"/>
        <v>#REF!</v>
      </c>
      <c r="O891" s="25" t="e">
        <f ca="1"/>
        <v>#REF!</v>
      </c>
      <c r="P891" s="25" t="e">
        <f ca="1"/>
        <v>#REF!</v>
      </c>
      <c r="Q891" s="25" t="e">
        <f ca="1"/>
        <v>#REF!</v>
      </c>
      <c r="R891" s="25" t="e">
        <f ca="1"/>
        <v>#REF!</v>
      </c>
      <c r="S891" s="25" t="e">
        <f ca="1"/>
        <v>#REF!</v>
      </c>
      <c r="T891" s="25" t="e">
        <f ca="1"/>
        <v>#REF!</v>
      </c>
      <c r="U891" s="25" t="e">
        <f ca="1"/>
        <v>#REF!</v>
      </c>
      <c r="V891" s="25" t="e">
        <f ca="1"/>
        <v>#REF!</v>
      </c>
      <c r="W891" s="33" t="e">
        <f ca="1"/>
        <v>#REF!</v>
      </c>
      <c r="X891" s="33" t="e">
        <f ca="1"/>
        <v>#REF!</v>
      </c>
      <c r="Y891" s="33" t="e">
        <f ca="1"/>
        <v>#REF!</v>
      </c>
      <c r="Z891" s="33" t="e">
        <f ca="1"/>
        <v>#REF!</v>
      </c>
      <c r="AA891" s="33" t="e">
        <f ca="1"/>
        <v>#REF!</v>
      </c>
    </row>
    <row r="892" spans="1:27" s="70" customFormat="1" ht="11.25" x14ac:dyDescent="0.2">
      <c r="A892" s="24">
        <v>886</v>
      </c>
      <c r="B892" s="27"/>
      <c r="C892" s="28"/>
      <c r="D892" s="71"/>
      <c r="E892" s="28"/>
      <c r="F892" s="28"/>
      <c r="G892" s="27"/>
      <c r="H892" s="28" t="e">
        <f ca="1"/>
        <v>#REF!</v>
      </c>
      <c r="I892" s="27" t="e">
        <f ca="1"/>
        <v>#REF!</v>
      </c>
      <c r="J892" s="28" t="e">
        <f ca="1"/>
        <v>#REF!</v>
      </c>
      <c r="K892" s="27" t="e">
        <f ca="1"/>
        <v>#REF!</v>
      </c>
      <c r="L892" s="25" t="e">
        <f ca="1"/>
        <v>#REF!</v>
      </c>
      <c r="M892" s="25" t="e">
        <f ca="1"/>
        <v>#REF!</v>
      </c>
      <c r="N892" s="25" t="e">
        <f ca="1"/>
        <v>#REF!</v>
      </c>
      <c r="O892" s="25" t="e">
        <f ca="1"/>
        <v>#REF!</v>
      </c>
      <c r="P892" s="25" t="e">
        <f ca="1"/>
        <v>#REF!</v>
      </c>
      <c r="Q892" s="25" t="e">
        <f ca="1"/>
        <v>#REF!</v>
      </c>
      <c r="R892" s="25" t="e">
        <f ca="1"/>
        <v>#REF!</v>
      </c>
      <c r="S892" s="25" t="e">
        <f ca="1"/>
        <v>#REF!</v>
      </c>
      <c r="T892" s="25" t="e">
        <f ca="1"/>
        <v>#REF!</v>
      </c>
      <c r="U892" s="25" t="e">
        <f ca="1"/>
        <v>#REF!</v>
      </c>
      <c r="V892" s="25" t="e">
        <f ca="1"/>
        <v>#REF!</v>
      </c>
      <c r="W892" s="33" t="e">
        <f ca="1"/>
        <v>#REF!</v>
      </c>
      <c r="X892" s="33" t="e">
        <f ca="1"/>
        <v>#REF!</v>
      </c>
      <c r="Y892" s="33" t="e">
        <f ca="1"/>
        <v>#REF!</v>
      </c>
      <c r="Z892" s="33" t="e">
        <f ca="1"/>
        <v>#REF!</v>
      </c>
      <c r="AA892" s="33" t="e">
        <f ca="1"/>
        <v>#REF!</v>
      </c>
    </row>
    <row r="893" spans="1:27" s="70" customFormat="1" ht="11.25" x14ac:dyDescent="0.2">
      <c r="A893" s="24">
        <v>887</v>
      </c>
      <c r="B893" s="27"/>
      <c r="C893" s="28"/>
      <c r="D893" s="71"/>
      <c r="E893" s="28"/>
      <c r="F893" s="28"/>
      <c r="G893" s="27"/>
      <c r="H893" s="28" t="e">
        <f ca="1"/>
        <v>#REF!</v>
      </c>
      <c r="I893" s="27" t="e">
        <f ca="1"/>
        <v>#REF!</v>
      </c>
      <c r="J893" s="28" t="e">
        <f ca="1"/>
        <v>#REF!</v>
      </c>
      <c r="K893" s="27" t="e">
        <f ca="1"/>
        <v>#REF!</v>
      </c>
      <c r="L893" s="25" t="e">
        <f ca="1"/>
        <v>#REF!</v>
      </c>
      <c r="M893" s="25" t="e">
        <f ca="1"/>
        <v>#REF!</v>
      </c>
      <c r="N893" s="25" t="e">
        <f ca="1"/>
        <v>#REF!</v>
      </c>
      <c r="O893" s="25" t="e">
        <f ca="1"/>
        <v>#REF!</v>
      </c>
      <c r="P893" s="25" t="e">
        <f ca="1"/>
        <v>#REF!</v>
      </c>
      <c r="Q893" s="25" t="e">
        <f ca="1"/>
        <v>#REF!</v>
      </c>
      <c r="R893" s="25" t="e">
        <f ca="1"/>
        <v>#REF!</v>
      </c>
      <c r="S893" s="25" t="e">
        <f ca="1"/>
        <v>#REF!</v>
      </c>
      <c r="T893" s="25" t="e">
        <f ca="1"/>
        <v>#REF!</v>
      </c>
      <c r="U893" s="25" t="e">
        <f ca="1"/>
        <v>#REF!</v>
      </c>
      <c r="V893" s="25" t="e">
        <f ca="1"/>
        <v>#REF!</v>
      </c>
      <c r="W893" s="33" t="e">
        <f ca="1"/>
        <v>#REF!</v>
      </c>
      <c r="X893" s="33" t="e">
        <f ca="1"/>
        <v>#REF!</v>
      </c>
      <c r="Y893" s="33" t="e">
        <f ca="1"/>
        <v>#REF!</v>
      </c>
      <c r="Z893" s="33" t="e">
        <f ca="1"/>
        <v>#REF!</v>
      </c>
      <c r="AA893" s="33" t="e">
        <f ca="1"/>
        <v>#REF!</v>
      </c>
    </row>
    <row r="894" spans="1:27" s="70" customFormat="1" ht="11.25" x14ac:dyDescent="0.2">
      <c r="A894" s="24">
        <v>888</v>
      </c>
      <c r="B894" s="27"/>
      <c r="C894" s="28"/>
      <c r="D894" s="71"/>
      <c r="E894" s="28"/>
      <c r="F894" s="28"/>
      <c r="G894" s="27"/>
      <c r="H894" s="28" t="e">
        <f ca="1"/>
        <v>#REF!</v>
      </c>
      <c r="I894" s="27" t="e">
        <f ca="1"/>
        <v>#REF!</v>
      </c>
      <c r="J894" s="28" t="e">
        <f ca="1"/>
        <v>#REF!</v>
      </c>
      <c r="K894" s="27" t="e">
        <f ca="1"/>
        <v>#REF!</v>
      </c>
      <c r="L894" s="25" t="e">
        <f ca="1"/>
        <v>#REF!</v>
      </c>
      <c r="M894" s="25" t="e">
        <f ca="1"/>
        <v>#REF!</v>
      </c>
      <c r="N894" s="25" t="e">
        <f ca="1"/>
        <v>#REF!</v>
      </c>
      <c r="O894" s="25" t="e">
        <f ca="1"/>
        <v>#REF!</v>
      </c>
      <c r="P894" s="25" t="e">
        <f ca="1"/>
        <v>#REF!</v>
      </c>
      <c r="Q894" s="25" t="e">
        <f ca="1"/>
        <v>#REF!</v>
      </c>
      <c r="R894" s="25" t="e">
        <f ca="1"/>
        <v>#REF!</v>
      </c>
      <c r="S894" s="25" t="e">
        <f ca="1"/>
        <v>#REF!</v>
      </c>
      <c r="T894" s="25" t="e">
        <f ca="1"/>
        <v>#REF!</v>
      </c>
      <c r="U894" s="25" t="e">
        <f ca="1"/>
        <v>#REF!</v>
      </c>
      <c r="V894" s="25" t="e">
        <f ca="1"/>
        <v>#REF!</v>
      </c>
      <c r="W894" s="33" t="e">
        <f ca="1"/>
        <v>#REF!</v>
      </c>
      <c r="X894" s="33" t="e">
        <f ca="1"/>
        <v>#REF!</v>
      </c>
      <c r="Y894" s="33" t="e">
        <f ca="1"/>
        <v>#REF!</v>
      </c>
      <c r="Z894" s="33" t="e">
        <f ca="1"/>
        <v>#REF!</v>
      </c>
      <c r="AA894" s="33" t="e">
        <f ca="1"/>
        <v>#REF!</v>
      </c>
    </row>
    <row r="895" spans="1:27" s="70" customFormat="1" ht="11.25" x14ac:dyDescent="0.2">
      <c r="A895" s="24">
        <v>889</v>
      </c>
      <c r="B895" s="27"/>
      <c r="C895" s="28"/>
      <c r="D895" s="71"/>
      <c r="E895" s="28"/>
      <c r="F895" s="28"/>
      <c r="G895" s="27"/>
      <c r="H895" s="28" t="e">
        <f ca="1"/>
        <v>#REF!</v>
      </c>
      <c r="I895" s="27" t="e">
        <f ca="1"/>
        <v>#REF!</v>
      </c>
      <c r="J895" s="28" t="e">
        <f ca="1"/>
        <v>#REF!</v>
      </c>
      <c r="K895" s="27" t="e">
        <f ca="1"/>
        <v>#REF!</v>
      </c>
      <c r="L895" s="25" t="e">
        <f ca="1"/>
        <v>#REF!</v>
      </c>
      <c r="M895" s="25" t="e">
        <f ca="1"/>
        <v>#REF!</v>
      </c>
      <c r="N895" s="25" t="e">
        <f ca="1"/>
        <v>#REF!</v>
      </c>
      <c r="O895" s="25" t="e">
        <f ca="1"/>
        <v>#REF!</v>
      </c>
      <c r="P895" s="25" t="e">
        <f ca="1"/>
        <v>#REF!</v>
      </c>
      <c r="Q895" s="25" t="e">
        <f ca="1"/>
        <v>#REF!</v>
      </c>
      <c r="R895" s="25" t="e">
        <f ca="1"/>
        <v>#REF!</v>
      </c>
      <c r="S895" s="25" t="e">
        <f ca="1"/>
        <v>#REF!</v>
      </c>
      <c r="T895" s="25" t="e">
        <f ca="1"/>
        <v>#REF!</v>
      </c>
      <c r="U895" s="25" t="e">
        <f ca="1"/>
        <v>#REF!</v>
      </c>
      <c r="V895" s="25" t="e">
        <f ca="1"/>
        <v>#REF!</v>
      </c>
      <c r="W895" s="33" t="e">
        <f ca="1"/>
        <v>#REF!</v>
      </c>
      <c r="X895" s="33" t="e">
        <f ca="1"/>
        <v>#REF!</v>
      </c>
      <c r="Y895" s="33" t="e">
        <f ca="1"/>
        <v>#REF!</v>
      </c>
      <c r="Z895" s="33" t="e">
        <f ca="1"/>
        <v>#REF!</v>
      </c>
      <c r="AA895" s="33" t="e">
        <f ca="1"/>
        <v>#REF!</v>
      </c>
    </row>
    <row r="896" spans="1:27" s="70" customFormat="1" ht="11.25" x14ac:dyDescent="0.2">
      <c r="A896" s="24">
        <v>890</v>
      </c>
      <c r="B896" s="27"/>
      <c r="C896" s="28"/>
      <c r="D896" s="71"/>
      <c r="E896" s="28"/>
      <c r="F896" s="28"/>
      <c r="G896" s="27"/>
      <c r="H896" s="28" t="e">
        <f ca="1"/>
        <v>#REF!</v>
      </c>
      <c r="I896" s="27" t="e">
        <f ca="1"/>
        <v>#REF!</v>
      </c>
      <c r="J896" s="28" t="e">
        <f ca="1"/>
        <v>#REF!</v>
      </c>
      <c r="K896" s="27" t="e">
        <f ca="1"/>
        <v>#REF!</v>
      </c>
      <c r="L896" s="25" t="e">
        <f ca="1"/>
        <v>#REF!</v>
      </c>
      <c r="M896" s="25" t="e">
        <f ca="1"/>
        <v>#REF!</v>
      </c>
      <c r="N896" s="25" t="e">
        <f ca="1"/>
        <v>#REF!</v>
      </c>
      <c r="O896" s="25" t="e">
        <f ca="1"/>
        <v>#REF!</v>
      </c>
      <c r="P896" s="25" t="e">
        <f ca="1"/>
        <v>#REF!</v>
      </c>
      <c r="Q896" s="25" t="e">
        <f ca="1"/>
        <v>#REF!</v>
      </c>
      <c r="R896" s="25" t="e">
        <f ca="1"/>
        <v>#REF!</v>
      </c>
      <c r="S896" s="25" t="e">
        <f ca="1"/>
        <v>#REF!</v>
      </c>
      <c r="T896" s="25" t="e">
        <f ca="1"/>
        <v>#REF!</v>
      </c>
      <c r="U896" s="25" t="e">
        <f ca="1"/>
        <v>#REF!</v>
      </c>
      <c r="V896" s="25" t="e">
        <f ca="1"/>
        <v>#REF!</v>
      </c>
      <c r="W896" s="33" t="e">
        <f ca="1"/>
        <v>#REF!</v>
      </c>
      <c r="X896" s="33" t="e">
        <f ca="1"/>
        <v>#REF!</v>
      </c>
      <c r="Y896" s="33" t="e">
        <f ca="1"/>
        <v>#REF!</v>
      </c>
      <c r="Z896" s="33" t="e">
        <f ca="1"/>
        <v>#REF!</v>
      </c>
      <c r="AA896" s="33" t="e">
        <f ca="1"/>
        <v>#REF!</v>
      </c>
    </row>
    <row r="897" spans="1:27" s="70" customFormat="1" ht="11.25" x14ac:dyDescent="0.2">
      <c r="A897" s="24">
        <v>891</v>
      </c>
      <c r="B897" s="27"/>
      <c r="C897" s="28"/>
      <c r="D897" s="71"/>
      <c r="E897" s="28"/>
      <c r="F897" s="28"/>
      <c r="G897" s="27"/>
      <c r="H897" s="28" t="e">
        <f ca="1"/>
        <v>#REF!</v>
      </c>
      <c r="I897" s="27" t="e">
        <f ca="1"/>
        <v>#REF!</v>
      </c>
      <c r="J897" s="28" t="e">
        <f ca="1"/>
        <v>#REF!</v>
      </c>
      <c r="K897" s="27" t="e">
        <f ca="1"/>
        <v>#REF!</v>
      </c>
      <c r="L897" s="25" t="e">
        <f ca="1"/>
        <v>#REF!</v>
      </c>
      <c r="M897" s="25" t="e">
        <f ca="1"/>
        <v>#REF!</v>
      </c>
      <c r="N897" s="25" t="e">
        <f ca="1"/>
        <v>#REF!</v>
      </c>
      <c r="O897" s="25" t="e">
        <f ca="1"/>
        <v>#REF!</v>
      </c>
      <c r="P897" s="25" t="e">
        <f ca="1"/>
        <v>#REF!</v>
      </c>
      <c r="Q897" s="25" t="e">
        <f ca="1"/>
        <v>#REF!</v>
      </c>
      <c r="R897" s="25" t="e">
        <f ca="1"/>
        <v>#REF!</v>
      </c>
      <c r="S897" s="25" t="e">
        <f ca="1"/>
        <v>#REF!</v>
      </c>
      <c r="T897" s="25" t="e">
        <f ca="1"/>
        <v>#REF!</v>
      </c>
      <c r="U897" s="25" t="e">
        <f ca="1"/>
        <v>#REF!</v>
      </c>
      <c r="V897" s="25" t="e">
        <f ca="1"/>
        <v>#REF!</v>
      </c>
      <c r="W897" s="33" t="e">
        <f ca="1"/>
        <v>#REF!</v>
      </c>
      <c r="X897" s="33" t="e">
        <f ca="1"/>
        <v>#REF!</v>
      </c>
      <c r="Y897" s="33" t="e">
        <f ca="1"/>
        <v>#REF!</v>
      </c>
      <c r="Z897" s="33" t="e">
        <f ca="1"/>
        <v>#REF!</v>
      </c>
      <c r="AA897" s="33" t="e">
        <f ca="1"/>
        <v>#REF!</v>
      </c>
    </row>
    <row r="898" spans="1:27" s="70" customFormat="1" ht="11.25" x14ac:dyDescent="0.2">
      <c r="A898" s="24">
        <v>892</v>
      </c>
      <c r="B898" s="27"/>
      <c r="C898" s="28"/>
      <c r="D898" s="71"/>
      <c r="E898" s="28"/>
      <c r="F898" s="28"/>
      <c r="G898" s="27"/>
      <c r="H898" s="28" t="e">
        <f ca="1"/>
        <v>#REF!</v>
      </c>
      <c r="I898" s="27" t="e">
        <f ca="1"/>
        <v>#REF!</v>
      </c>
      <c r="J898" s="28" t="e">
        <f ca="1"/>
        <v>#REF!</v>
      </c>
      <c r="K898" s="27" t="e">
        <f ca="1"/>
        <v>#REF!</v>
      </c>
      <c r="L898" s="25" t="e">
        <f ca="1"/>
        <v>#REF!</v>
      </c>
      <c r="M898" s="25" t="e">
        <f ca="1"/>
        <v>#REF!</v>
      </c>
      <c r="N898" s="25" t="e">
        <f ca="1"/>
        <v>#REF!</v>
      </c>
      <c r="O898" s="25" t="e">
        <f ca="1"/>
        <v>#REF!</v>
      </c>
      <c r="P898" s="25" t="e">
        <f ca="1"/>
        <v>#REF!</v>
      </c>
      <c r="Q898" s="25" t="e">
        <f ca="1"/>
        <v>#REF!</v>
      </c>
      <c r="R898" s="25" t="e">
        <f ca="1"/>
        <v>#REF!</v>
      </c>
      <c r="S898" s="25" t="e">
        <f ca="1"/>
        <v>#REF!</v>
      </c>
      <c r="T898" s="25" t="e">
        <f ca="1"/>
        <v>#REF!</v>
      </c>
      <c r="U898" s="25" t="e">
        <f ca="1"/>
        <v>#REF!</v>
      </c>
      <c r="V898" s="25" t="e">
        <f ca="1"/>
        <v>#REF!</v>
      </c>
      <c r="W898" s="33" t="e">
        <f ca="1"/>
        <v>#REF!</v>
      </c>
      <c r="X898" s="33" t="e">
        <f ca="1"/>
        <v>#REF!</v>
      </c>
      <c r="Y898" s="33" t="e">
        <f ca="1"/>
        <v>#REF!</v>
      </c>
      <c r="Z898" s="33" t="e">
        <f ca="1"/>
        <v>#REF!</v>
      </c>
      <c r="AA898" s="33" t="e">
        <f ca="1"/>
        <v>#REF!</v>
      </c>
    </row>
    <row r="899" spans="1:27" s="70" customFormat="1" ht="11.25" x14ac:dyDescent="0.2">
      <c r="A899" s="24">
        <v>893</v>
      </c>
      <c r="B899" s="27"/>
      <c r="C899" s="28"/>
      <c r="D899" s="71"/>
      <c r="E899" s="28"/>
      <c r="F899" s="28"/>
      <c r="G899" s="27"/>
      <c r="H899" s="28" t="e">
        <f ca="1"/>
        <v>#REF!</v>
      </c>
      <c r="I899" s="27" t="e">
        <f ca="1"/>
        <v>#REF!</v>
      </c>
      <c r="J899" s="28" t="e">
        <f ca="1"/>
        <v>#REF!</v>
      </c>
      <c r="K899" s="27" t="e">
        <f ca="1"/>
        <v>#REF!</v>
      </c>
      <c r="L899" s="25" t="e">
        <f ca="1"/>
        <v>#REF!</v>
      </c>
      <c r="M899" s="25" t="e">
        <f ca="1"/>
        <v>#REF!</v>
      </c>
      <c r="N899" s="25" t="e">
        <f ca="1"/>
        <v>#REF!</v>
      </c>
      <c r="O899" s="25" t="e">
        <f ca="1"/>
        <v>#REF!</v>
      </c>
      <c r="P899" s="25" t="e">
        <f ca="1"/>
        <v>#REF!</v>
      </c>
      <c r="Q899" s="25" t="e">
        <f ca="1"/>
        <v>#REF!</v>
      </c>
      <c r="R899" s="25" t="e">
        <f ca="1"/>
        <v>#REF!</v>
      </c>
      <c r="S899" s="25" t="e">
        <f ca="1"/>
        <v>#REF!</v>
      </c>
      <c r="T899" s="25" t="e">
        <f ca="1"/>
        <v>#REF!</v>
      </c>
      <c r="U899" s="25" t="e">
        <f ca="1"/>
        <v>#REF!</v>
      </c>
      <c r="V899" s="25" t="e">
        <f ca="1"/>
        <v>#REF!</v>
      </c>
      <c r="W899" s="33" t="e">
        <f ca="1"/>
        <v>#REF!</v>
      </c>
      <c r="X899" s="33" t="e">
        <f ca="1"/>
        <v>#REF!</v>
      </c>
      <c r="Y899" s="33" t="e">
        <f ca="1"/>
        <v>#REF!</v>
      </c>
      <c r="Z899" s="33" t="e">
        <f ca="1"/>
        <v>#REF!</v>
      </c>
      <c r="AA899" s="33" t="e">
        <f ca="1"/>
        <v>#REF!</v>
      </c>
    </row>
    <row r="900" spans="1:27" s="70" customFormat="1" ht="11.25" x14ac:dyDescent="0.2">
      <c r="A900" s="24">
        <v>894</v>
      </c>
      <c r="B900" s="27"/>
      <c r="C900" s="28"/>
      <c r="D900" s="71"/>
      <c r="E900" s="28"/>
      <c r="F900" s="28"/>
      <c r="G900" s="27"/>
      <c r="H900" s="28" t="e">
        <f ca="1"/>
        <v>#REF!</v>
      </c>
      <c r="I900" s="27" t="e">
        <f ca="1"/>
        <v>#REF!</v>
      </c>
      <c r="J900" s="28" t="e">
        <f ca="1"/>
        <v>#REF!</v>
      </c>
      <c r="K900" s="27" t="e">
        <f ca="1"/>
        <v>#REF!</v>
      </c>
      <c r="L900" s="25" t="e">
        <f ca="1"/>
        <v>#REF!</v>
      </c>
      <c r="M900" s="25" t="e">
        <f ca="1"/>
        <v>#REF!</v>
      </c>
      <c r="N900" s="25" t="e">
        <f ca="1"/>
        <v>#REF!</v>
      </c>
      <c r="O900" s="25" t="e">
        <f ca="1"/>
        <v>#REF!</v>
      </c>
      <c r="P900" s="25" t="e">
        <f ca="1"/>
        <v>#REF!</v>
      </c>
      <c r="Q900" s="25" t="e">
        <f ca="1"/>
        <v>#REF!</v>
      </c>
      <c r="R900" s="25" t="e">
        <f ca="1"/>
        <v>#REF!</v>
      </c>
      <c r="S900" s="25" t="e">
        <f ca="1"/>
        <v>#REF!</v>
      </c>
      <c r="T900" s="25" t="e">
        <f ca="1"/>
        <v>#REF!</v>
      </c>
      <c r="U900" s="25" t="e">
        <f ca="1"/>
        <v>#REF!</v>
      </c>
      <c r="V900" s="25" t="e">
        <f ca="1"/>
        <v>#REF!</v>
      </c>
      <c r="W900" s="33" t="e">
        <f ca="1"/>
        <v>#REF!</v>
      </c>
      <c r="X900" s="33" t="e">
        <f ca="1"/>
        <v>#REF!</v>
      </c>
      <c r="Y900" s="33" t="e">
        <f ca="1"/>
        <v>#REF!</v>
      </c>
      <c r="Z900" s="33" t="e">
        <f ca="1"/>
        <v>#REF!</v>
      </c>
      <c r="AA900" s="33" t="e">
        <f ca="1"/>
        <v>#REF!</v>
      </c>
    </row>
    <row r="901" spans="1:27" s="70" customFormat="1" ht="11.25" x14ac:dyDescent="0.2">
      <c r="A901" s="24">
        <v>895</v>
      </c>
      <c r="B901" s="27"/>
      <c r="C901" s="28"/>
      <c r="D901" s="71"/>
      <c r="E901" s="28"/>
      <c r="F901" s="28"/>
      <c r="G901" s="27"/>
      <c r="H901" s="28" t="e">
        <f ca="1"/>
        <v>#REF!</v>
      </c>
      <c r="I901" s="27" t="e">
        <f ca="1"/>
        <v>#REF!</v>
      </c>
      <c r="J901" s="28" t="e">
        <f ca="1"/>
        <v>#REF!</v>
      </c>
      <c r="K901" s="27" t="e">
        <f ca="1"/>
        <v>#REF!</v>
      </c>
      <c r="L901" s="25" t="e">
        <f ca="1"/>
        <v>#REF!</v>
      </c>
      <c r="M901" s="25" t="e">
        <f ca="1"/>
        <v>#REF!</v>
      </c>
      <c r="N901" s="25" t="e">
        <f ca="1"/>
        <v>#REF!</v>
      </c>
      <c r="O901" s="25" t="e">
        <f ca="1"/>
        <v>#REF!</v>
      </c>
      <c r="P901" s="25" t="e">
        <f ca="1"/>
        <v>#REF!</v>
      </c>
      <c r="Q901" s="25" t="e">
        <f ca="1"/>
        <v>#REF!</v>
      </c>
      <c r="R901" s="25" t="e">
        <f ca="1"/>
        <v>#REF!</v>
      </c>
      <c r="S901" s="25" t="e">
        <f ca="1"/>
        <v>#REF!</v>
      </c>
      <c r="T901" s="25" t="e">
        <f ca="1"/>
        <v>#REF!</v>
      </c>
      <c r="U901" s="25" t="e">
        <f ca="1"/>
        <v>#REF!</v>
      </c>
      <c r="V901" s="25" t="e">
        <f ca="1"/>
        <v>#REF!</v>
      </c>
      <c r="W901" s="33" t="e">
        <f ca="1"/>
        <v>#REF!</v>
      </c>
      <c r="X901" s="33" t="e">
        <f ca="1"/>
        <v>#REF!</v>
      </c>
      <c r="Y901" s="33" t="e">
        <f ca="1"/>
        <v>#REF!</v>
      </c>
      <c r="Z901" s="33" t="e">
        <f ca="1"/>
        <v>#REF!</v>
      </c>
      <c r="AA901" s="33" t="e">
        <f ca="1"/>
        <v>#REF!</v>
      </c>
    </row>
    <row r="902" spans="1:27" s="70" customFormat="1" ht="11.25" x14ac:dyDescent="0.2">
      <c r="A902" s="24">
        <v>896</v>
      </c>
      <c r="B902" s="27"/>
      <c r="C902" s="28"/>
      <c r="D902" s="71"/>
      <c r="E902" s="28"/>
      <c r="F902" s="28"/>
      <c r="G902" s="27"/>
      <c r="H902" s="28" t="e">
        <f ca="1"/>
        <v>#REF!</v>
      </c>
      <c r="I902" s="27" t="e">
        <f ca="1"/>
        <v>#REF!</v>
      </c>
      <c r="J902" s="28" t="e">
        <f ca="1"/>
        <v>#REF!</v>
      </c>
      <c r="K902" s="27" t="e">
        <f ca="1"/>
        <v>#REF!</v>
      </c>
      <c r="L902" s="25" t="e">
        <f ca="1"/>
        <v>#REF!</v>
      </c>
      <c r="M902" s="25" t="e">
        <f ca="1"/>
        <v>#REF!</v>
      </c>
      <c r="N902" s="25" t="e">
        <f ca="1"/>
        <v>#REF!</v>
      </c>
      <c r="O902" s="25" t="e">
        <f ca="1"/>
        <v>#REF!</v>
      </c>
      <c r="P902" s="25" t="e">
        <f ca="1"/>
        <v>#REF!</v>
      </c>
      <c r="Q902" s="25" t="e">
        <f ca="1"/>
        <v>#REF!</v>
      </c>
      <c r="R902" s="25" t="e">
        <f ca="1"/>
        <v>#REF!</v>
      </c>
      <c r="S902" s="25" t="e">
        <f ca="1"/>
        <v>#REF!</v>
      </c>
      <c r="T902" s="25" t="e">
        <f ca="1"/>
        <v>#REF!</v>
      </c>
      <c r="U902" s="25" t="e">
        <f ca="1"/>
        <v>#REF!</v>
      </c>
      <c r="V902" s="25" t="e">
        <f ca="1"/>
        <v>#REF!</v>
      </c>
      <c r="W902" s="33" t="e">
        <f ca="1"/>
        <v>#REF!</v>
      </c>
      <c r="X902" s="33" t="e">
        <f ca="1"/>
        <v>#REF!</v>
      </c>
      <c r="Y902" s="33" t="e">
        <f ca="1"/>
        <v>#REF!</v>
      </c>
      <c r="Z902" s="33" t="e">
        <f ca="1"/>
        <v>#REF!</v>
      </c>
      <c r="AA902" s="33" t="e">
        <f ca="1"/>
        <v>#REF!</v>
      </c>
    </row>
    <row r="903" spans="1:27" s="70" customFormat="1" ht="11.25" x14ac:dyDescent="0.2">
      <c r="A903" s="24">
        <v>897</v>
      </c>
      <c r="B903" s="27"/>
      <c r="C903" s="28"/>
      <c r="D903" s="71"/>
      <c r="E903" s="28"/>
      <c r="F903" s="28"/>
      <c r="G903" s="27"/>
      <c r="H903" s="28" t="e">
        <f ca="1"/>
        <v>#REF!</v>
      </c>
      <c r="I903" s="27" t="e">
        <f ca="1"/>
        <v>#REF!</v>
      </c>
      <c r="J903" s="28" t="e">
        <f ca="1"/>
        <v>#REF!</v>
      </c>
      <c r="K903" s="27" t="e">
        <f ca="1"/>
        <v>#REF!</v>
      </c>
      <c r="L903" s="25" t="e">
        <f ca="1"/>
        <v>#REF!</v>
      </c>
      <c r="M903" s="25" t="e">
        <f ca="1"/>
        <v>#REF!</v>
      </c>
      <c r="N903" s="25" t="e">
        <f ca="1"/>
        <v>#REF!</v>
      </c>
      <c r="O903" s="25" t="e">
        <f ca="1"/>
        <v>#REF!</v>
      </c>
      <c r="P903" s="25" t="e">
        <f ca="1"/>
        <v>#REF!</v>
      </c>
      <c r="Q903" s="25" t="e">
        <f ca="1"/>
        <v>#REF!</v>
      </c>
      <c r="R903" s="25" t="e">
        <f ca="1"/>
        <v>#REF!</v>
      </c>
      <c r="S903" s="25" t="e">
        <f ca="1"/>
        <v>#REF!</v>
      </c>
      <c r="T903" s="25" t="e">
        <f ca="1"/>
        <v>#REF!</v>
      </c>
      <c r="U903" s="25" t="e">
        <f ca="1"/>
        <v>#REF!</v>
      </c>
      <c r="V903" s="25" t="e">
        <f ca="1"/>
        <v>#REF!</v>
      </c>
      <c r="W903" s="33" t="e">
        <f ca="1"/>
        <v>#REF!</v>
      </c>
      <c r="X903" s="33" t="e">
        <f ca="1"/>
        <v>#REF!</v>
      </c>
      <c r="Y903" s="33" t="e">
        <f ca="1"/>
        <v>#REF!</v>
      </c>
      <c r="Z903" s="33" t="e">
        <f ca="1"/>
        <v>#REF!</v>
      </c>
      <c r="AA903" s="33" t="e">
        <f ca="1"/>
        <v>#REF!</v>
      </c>
    </row>
    <row r="904" spans="1:27" s="70" customFormat="1" ht="11.25" x14ac:dyDescent="0.2">
      <c r="A904" s="24">
        <v>898</v>
      </c>
      <c r="B904" s="27"/>
      <c r="C904" s="28"/>
      <c r="D904" s="71"/>
      <c r="E904" s="28"/>
      <c r="F904" s="28"/>
      <c r="G904" s="27"/>
      <c r="H904" s="28" t="e">
        <f ca="1"/>
        <v>#REF!</v>
      </c>
      <c r="I904" s="27" t="e">
        <f ca="1"/>
        <v>#REF!</v>
      </c>
      <c r="J904" s="28" t="e">
        <f ca="1"/>
        <v>#REF!</v>
      </c>
      <c r="K904" s="27" t="e">
        <f ca="1"/>
        <v>#REF!</v>
      </c>
      <c r="L904" s="25" t="e">
        <f ca="1"/>
        <v>#REF!</v>
      </c>
      <c r="M904" s="25" t="e">
        <f ca="1"/>
        <v>#REF!</v>
      </c>
      <c r="N904" s="25" t="e">
        <f ca="1"/>
        <v>#REF!</v>
      </c>
      <c r="O904" s="25" t="e">
        <f ca="1"/>
        <v>#REF!</v>
      </c>
      <c r="P904" s="25" t="e">
        <f ca="1"/>
        <v>#REF!</v>
      </c>
      <c r="Q904" s="25" t="e">
        <f ca="1"/>
        <v>#REF!</v>
      </c>
      <c r="R904" s="25" t="e">
        <f ca="1"/>
        <v>#REF!</v>
      </c>
      <c r="S904" s="25" t="e">
        <f ca="1"/>
        <v>#REF!</v>
      </c>
      <c r="T904" s="25" t="e">
        <f ca="1"/>
        <v>#REF!</v>
      </c>
      <c r="U904" s="25" t="e">
        <f ca="1"/>
        <v>#REF!</v>
      </c>
      <c r="V904" s="25" t="e">
        <f ca="1"/>
        <v>#REF!</v>
      </c>
      <c r="W904" s="33" t="e">
        <f ca="1"/>
        <v>#REF!</v>
      </c>
      <c r="X904" s="33" t="e">
        <f ca="1"/>
        <v>#REF!</v>
      </c>
      <c r="Y904" s="33" t="e">
        <f ca="1"/>
        <v>#REF!</v>
      </c>
      <c r="Z904" s="33" t="e">
        <f ca="1"/>
        <v>#REF!</v>
      </c>
      <c r="AA904" s="33" t="e">
        <f ca="1"/>
        <v>#REF!</v>
      </c>
    </row>
    <row r="905" spans="1:27" s="70" customFormat="1" ht="11.25" x14ac:dyDescent="0.2">
      <c r="A905" s="24">
        <v>899</v>
      </c>
      <c r="B905" s="27"/>
      <c r="C905" s="28"/>
      <c r="D905" s="71"/>
      <c r="E905" s="28"/>
      <c r="F905" s="28"/>
      <c r="G905" s="27"/>
      <c r="H905" s="28" t="e">
        <f ca="1"/>
        <v>#REF!</v>
      </c>
      <c r="I905" s="27" t="e">
        <f ca="1"/>
        <v>#REF!</v>
      </c>
      <c r="J905" s="28" t="e">
        <f ca="1"/>
        <v>#REF!</v>
      </c>
      <c r="K905" s="27" t="e">
        <f ca="1"/>
        <v>#REF!</v>
      </c>
      <c r="L905" s="25" t="e">
        <f ca="1"/>
        <v>#REF!</v>
      </c>
      <c r="M905" s="25" t="e">
        <f ca="1"/>
        <v>#REF!</v>
      </c>
      <c r="N905" s="25" t="e">
        <f ca="1"/>
        <v>#REF!</v>
      </c>
      <c r="O905" s="25" t="e">
        <f ca="1"/>
        <v>#REF!</v>
      </c>
      <c r="P905" s="25" t="e">
        <f ca="1"/>
        <v>#REF!</v>
      </c>
      <c r="Q905" s="25" t="e">
        <f ca="1"/>
        <v>#REF!</v>
      </c>
      <c r="R905" s="25" t="e">
        <f ca="1"/>
        <v>#REF!</v>
      </c>
      <c r="S905" s="25" t="e">
        <f ca="1"/>
        <v>#REF!</v>
      </c>
      <c r="T905" s="25" t="e">
        <f ca="1"/>
        <v>#REF!</v>
      </c>
      <c r="U905" s="25" t="e">
        <f ca="1"/>
        <v>#REF!</v>
      </c>
      <c r="V905" s="25" t="e">
        <f ca="1"/>
        <v>#REF!</v>
      </c>
      <c r="W905" s="33" t="e">
        <f ca="1"/>
        <v>#REF!</v>
      </c>
      <c r="X905" s="33" t="e">
        <f ca="1"/>
        <v>#REF!</v>
      </c>
      <c r="Y905" s="33" t="e">
        <f ca="1"/>
        <v>#REF!</v>
      </c>
      <c r="Z905" s="33" t="e">
        <f ca="1"/>
        <v>#REF!</v>
      </c>
      <c r="AA905" s="33" t="e">
        <f ca="1"/>
        <v>#REF!</v>
      </c>
    </row>
    <row r="906" spans="1:27" s="70" customFormat="1" ht="11.25" x14ac:dyDescent="0.2">
      <c r="A906" s="24">
        <v>900</v>
      </c>
      <c r="B906" s="27"/>
      <c r="C906" s="28"/>
      <c r="D906" s="71"/>
      <c r="E906" s="28"/>
      <c r="F906" s="28"/>
      <c r="G906" s="27"/>
      <c r="H906" s="28" t="e">
        <f ca="1"/>
        <v>#REF!</v>
      </c>
      <c r="I906" s="27" t="e">
        <f ca="1"/>
        <v>#REF!</v>
      </c>
      <c r="J906" s="28" t="e">
        <f ca="1"/>
        <v>#REF!</v>
      </c>
      <c r="K906" s="27" t="e">
        <f ca="1"/>
        <v>#REF!</v>
      </c>
      <c r="L906" s="25" t="e">
        <f ca="1"/>
        <v>#REF!</v>
      </c>
      <c r="M906" s="25" t="e">
        <f ca="1"/>
        <v>#REF!</v>
      </c>
      <c r="N906" s="25" t="e">
        <f ca="1"/>
        <v>#REF!</v>
      </c>
      <c r="O906" s="25" t="e">
        <f ca="1"/>
        <v>#REF!</v>
      </c>
      <c r="P906" s="25" t="e">
        <f ca="1"/>
        <v>#REF!</v>
      </c>
      <c r="Q906" s="25" t="e">
        <f ca="1"/>
        <v>#REF!</v>
      </c>
      <c r="R906" s="25" t="e">
        <f ca="1"/>
        <v>#REF!</v>
      </c>
      <c r="S906" s="25" t="e">
        <f ca="1"/>
        <v>#REF!</v>
      </c>
      <c r="T906" s="25" t="e">
        <f ca="1"/>
        <v>#REF!</v>
      </c>
      <c r="U906" s="25" t="e">
        <f ca="1"/>
        <v>#REF!</v>
      </c>
      <c r="V906" s="25" t="e">
        <f ca="1"/>
        <v>#REF!</v>
      </c>
      <c r="W906" s="33" t="e">
        <f ca="1"/>
        <v>#REF!</v>
      </c>
      <c r="X906" s="33" t="e">
        <f ca="1"/>
        <v>#REF!</v>
      </c>
      <c r="Y906" s="33" t="e">
        <f ca="1"/>
        <v>#REF!</v>
      </c>
      <c r="Z906" s="33" t="e">
        <f ca="1"/>
        <v>#REF!</v>
      </c>
      <c r="AA906" s="33" t="e">
        <f ca="1"/>
        <v>#REF!</v>
      </c>
    </row>
    <row r="907" spans="1:27" s="70" customFormat="1" ht="11.25" x14ac:dyDescent="0.2">
      <c r="A907" s="24">
        <v>901</v>
      </c>
      <c r="B907" s="27"/>
      <c r="C907" s="28"/>
      <c r="D907" s="71"/>
      <c r="E907" s="28"/>
      <c r="F907" s="28"/>
      <c r="G907" s="27"/>
      <c r="H907" s="28" t="e">
        <f ca="1"/>
        <v>#REF!</v>
      </c>
      <c r="I907" s="27" t="e">
        <f ca="1"/>
        <v>#REF!</v>
      </c>
      <c r="J907" s="28" t="e">
        <f ca="1"/>
        <v>#REF!</v>
      </c>
      <c r="K907" s="27" t="e">
        <f ca="1"/>
        <v>#REF!</v>
      </c>
      <c r="L907" s="25" t="e">
        <f ca="1"/>
        <v>#REF!</v>
      </c>
      <c r="M907" s="25" t="e">
        <f ca="1"/>
        <v>#REF!</v>
      </c>
      <c r="N907" s="25" t="e">
        <f ca="1"/>
        <v>#REF!</v>
      </c>
      <c r="O907" s="25" t="e">
        <f ca="1"/>
        <v>#REF!</v>
      </c>
      <c r="P907" s="25" t="e">
        <f ca="1"/>
        <v>#REF!</v>
      </c>
      <c r="Q907" s="25" t="e">
        <f ca="1"/>
        <v>#REF!</v>
      </c>
      <c r="R907" s="25" t="e">
        <f ca="1"/>
        <v>#REF!</v>
      </c>
      <c r="S907" s="25" t="e">
        <f ca="1"/>
        <v>#REF!</v>
      </c>
      <c r="T907" s="25" t="e">
        <f ca="1"/>
        <v>#REF!</v>
      </c>
      <c r="U907" s="25" t="e">
        <f ca="1"/>
        <v>#REF!</v>
      </c>
      <c r="V907" s="25" t="e">
        <f ca="1"/>
        <v>#REF!</v>
      </c>
      <c r="W907" s="33" t="e">
        <f ca="1"/>
        <v>#REF!</v>
      </c>
      <c r="X907" s="33" t="e">
        <f ca="1"/>
        <v>#REF!</v>
      </c>
      <c r="Y907" s="33" t="e">
        <f ca="1"/>
        <v>#REF!</v>
      </c>
      <c r="Z907" s="33" t="e">
        <f ca="1"/>
        <v>#REF!</v>
      </c>
      <c r="AA907" s="33" t="e">
        <f ca="1"/>
        <v>#REF!</v>
      </c>
    </row>
    <row r="908" spans="1:27" s="70" customFormat="1" ht="11.25" x14ac:dyDescent="0.2">
      <c r="A908" s="24">
        <v>902</v>
      </c>
      <c r="B908" s="27"/>
      <c r="C908" s="28"/>
      <c r="D908" s="71"/>
      <c r="E908" s="28"/>
      <c r="F908" s="28"/>
      <c r="G908" s="27"/>
      <c r="H908" s="28" t="e">
        <f ca="1"/>
        <v>#REF!</v>
      </c>
      <c r="I908" s="27" t="e">
        <f ca="1"/>
        <v>#REF!</v>
      </c>
      <c r="J908" s="28" t="e">
        <f ca="1"/>
        <v>#REF!</v>
      </c>
      <c r="K908" s="27" t="e">
        <f ca="1"/>
        <v>#REF!</v>
      </c>
      <c r="L908" s="25" t="e">
        <f ca="1"/>
        <v>#REF!</v>
      </c>
      <c r="M908" s="25" t="e">
        <f ca="1"/>
        <v>#REF!</v>
      </c>
      <c r="N908" s="25" t="e">
        <f ca="1"/>
        <v>#REF!</v>
      </c>
      <c r="O908" s="25" t="e">
        <f ca="1"/>
        <v>#REF!</v>
      </c>
      <c r="P908" s="25" t="e">
        <f ca="1"/>
        <v>#REF!</v>
      </c>
      <c r="Q908" s="25" t="e">
        <f ca="1"/>
        <v>#REF!</v>
      </c>
      <c r="R908" s="25" t="e">
        <f ca="1"/>
        <v>#REF!</v>
      </c>
      <c r="S908" s="25" t="e">
        <f ca="1"/>
        <v>#REF!</v>
      </c>
      <c r="T908" s="25" t="e">
        <f ca="1"/>
        <v>#REF!</v>
      </c>
      <c r="U908" s="25" t="e">
        <f ca="1"/>
        <v>#REF!</v>
      </c>
      <c r="V908" s="25" t="e">
        <f ca="1"/>
        <v>#REF!</v>
      </c>
      <c r="W908" s="33" t="e">
        <f ca="1"/>
        <v>#REF!</v>
      </c>
      <c r="X908" s="33" t="e">
        <f ca="1"/>
        <v>#REF!</v>
      </c>
      <c r="Y908" s="33" t="e">
        <f ca="1"/>
        <v>#REF!</v>
      </c>
      <c r="Z908" s="33" t="e">
        <f ca="1"/>
        <v>#REF!</v>
      </c>
      <c r="AA908" s="33" t="e">
        <f ca="1"/>
        <v>#REF!</v>
      </c>
    </row>
    <row r="909" spans="1:27" s="70" customFormat="1" ht="11.25" x14ac:dyDescent="0.2">
      <c r="A909" s="24">
        <v>903</v>
      </c>
      <c r="B909" s="27"/>
      <c r="C909" s="28"/>
      <c r="D909" s="71"/>
      <c r="E909" s="28"/>
      <c r="F909" s="28"/>
      <c r="G909" s="27"/>
      <c r="H909" s="28" t="e">
        <f ca="1"/>
        <v>#REF!</v>
      </c>
      <c r="I909" s="27" t="e">
        <f ca="1"/>
        <v>#REF!</v>
      </c>
      <c r="J909" s="28" t="e">
        <f ca="1"/>
        <v>#REF!</v>
      </c>
      <c r="K909" s="27" t="e">
        <f ca="1"/>
        <v>#REF!</v>
      </c>
      <c r="L909" s="25" t="e">
        <f ca="1"/>
        <v>#REF!</v>
      </c>
      <c r="M909" s="25" t="e">
        <f ca="1"/>
        <v>#REF!</v>
      </c>
      <c r="N909" s="25" t="e">
        <f ca="1"/>
        <v>#REF!</v>
      </c>
      <c r="O909" s="25" t="e">
        <f ca="1"/>
        <v>#REF!</v>
      </c>
      <c r="P909" s="25" t="e">
        <f ca="1"/>
        <v>#REF!</v>
      </c>
      <c r="Q909" s="25" t="e">
        <f ca="1"/>
        <v>#REF!</v>
      </c>
      <c r="R909" s="25" t="e">
        <f ca="1"/>
        <v>#REF!</v>
      </c>
      <c r="S909" s="25" t="e">
        <f ca="1"/>
        <v>#REF!</v>
      </c>
      <c r="T909" s="25" t="e">
        <f ca="1"/>
        <v>#REF!</v>
      </c>
      <c r="U909" s="25" t="e">
        <f ca="1"/>
        <v>#REF!</v>
      </c>
      <c r="V909" s="25" t="e">
        <f ca="1"/>
        <v>#REF!</v>
      </c>
      <c r="W909" s="33" t="e">
        <f ca="1"/>
        <v>#REF!</v>
      </c>
      <c r="X909" s="33" t="e">
        <f ca="1"/>
        <v>#REF!</v>
      </c>
      <c r="Y909" s="33" t="e">
        <f ca="1"/>
        <v>#REF!</v>
      </c>
      <c r="Z909" s="33" t="e">
        <f ca="1"/>
        <v>#REF!</v>
      </c>
      <c r="AA909" s="33" t="e">
        <f ca="1"/>
        <v>#REF!</v>
      </c>
    </row>
    <row r="910" spans="1:27" s="70" customFormat="1" ht="11.25" x14ac:dyDescent="0.2">
      <c r="A910" s="24">
        <v>904</v>
      </c>
      <c r="B910" s="27"/>
      <c r="C910" s="28"/>
      <c r="D910" s="71"/>
      <c r="E910" s="28"/>
      <c r="F910" s="28"/>
      <c r="G910" s="27"/>
      <c r="H910" s="28" t="e">
        <f ca="1"/>
        <v>#REF!</v>
      </c>
      <c r="I910" s="27" t="e">
        <f ca="1"/>
        <v>#REF!</v>
      </c>
      <c r="J910" s="28" t="e">
        <f ca="1"/>
        <v>#REF!</v>
      </c>
      <c r="K910" s="27" t="e">
        <f ca="1"/>
        <v>#REF!</v>
      </c>
      <c r="L910" s="25" t="e">
        <f ca="1"/>
        <v>#REF!</v>
      </c>
      <c r="M910" s="25" t="e">
        <f ca="1"/>
        <v>#REF!</v>
      </c>
      <c r="N910" s="25" t="e">
        <f ca="1"/>
        <v>#REF!</v>
      </c>
      <c r="O910" s="25" t="e">
        <f ca="1"/>
        <v>#REF!</v>
      </c>
      <c r="P910" s="25" t="e">
        <f ca="1"/>
        <v>#REF!</v>
      </c>
      <c r="Q910" s="25" t="e">
        <f ca="1"/>
        <v>#REF!</v>
      </c>
      <c r="R910" s="25" t="e">
        <f ca="1"/>
        <v>#REF!</v>
      </c>
      <c r="S910" s="25" t="e">
        <f ca="1"/>
        <v>#REF!</v>
      </c>
      <c r="T910" s="25" t="e">
        <f ca="1"/>
        <v>#REF!</v>
      </c>
      <c r="U910" s="25" t="e">
        <f ca="1"/>
        <v>#REF!</v>
      </c>
      <c r="V910" s="25" t="e">
        <f ca="1"/>
        <v>#REF!</v>
      </c>
      <c r="W910" s="33" t="e">
        <f ca="1"/>
        <v>#REF!</v>
      </c>
      <c r="X910" s="33" t="e">
        <f ca="1"/>
        <v>#REF!</v>
      </c>
      <c r="Y910" s="33" t="e">
        <f ca="1"/>
        <v>#REF!</v>
      </c>
      <c r="Z910" s="33" t="e">
        <f ca="1"/>
        <v>#REF!</v>
      </c>
      <c r="AA910" s="33" t="e">
        <f ca="1"/>
        <v>#REF!</v>
      </c>
    </row>
    <row r="911" spans="1:27" s="70" customFormat="1" ht="11.25" x14ac:dyDescent="0.2">
      <c r="A911" s="24">
        <v>905</v>
      </c>
      <c r="B911" s="27"/>
      <c r="C911" s="28"/>
      <c r="D911" s="71"/>
      <c r="E911" s="28"/>
      <c r="F911" s="28"/>
      <c r="G911" s="27"/>
      <c r="H911" s="28" t="e">
        <f ca="1"/>
        <v>#REF!</v>
      </c>
      <c r="I911" s="27" t="e">
        <f ca="1"/>
        <v>#REF!</v>
      </c>
      <c r="J911" s="28" t="e">
        <f ca="1"/>
        <v>#REF!</v>
      </c>
      <c r="K911" s="27" t="e">
        <f ca="1"/>
        <v>#REF!</v>
      </c>
      <c r="L911" s="25" t="e">
        <f ca="1"/>
        <v>#REF!</v>
      </c>
      <c r="M911" s="25" t="e">
        <f ca="1"/>
        <v>#REF!</v>
      </c>
      <c r="N911" s="25" t="e">
        <f ca="1"/>
        <v>#REF!</v>
      </c>
      <c r="O911" s="25" t="e">
        <f ca="1"/>
        <v>#REF!</v>
      </c>
      <c r="P911" s="25" t="e">
        <f ca="1"/>
        <v>#REF!</v>
      </c>
      <c r="Q911" s="25" t="e">
        <f ca="1"/>
        <v>#REF!</v>
      </c>
      <c r="R911" s="25" t="e">
        <f ca="1"/>
        <v>#REF!</v>
      </c>
      <c r="S911" s="25" t="e">
        <f ca="1"/>
        <v>#REF!</v>
      </c>
      <c r="T911" s="25" t="e">
        <f ca="1"/>
        <v>#REF!</v>
      </c>
      <c r="U911" s="25" t="e">
        <f ca="1"/>
        <v>#REF!</v>
      </c>
      <c r="V911" s="25" t="e">
        <f ca="1"/>
        <v>#REF!</v>
      </c>
      <c r="W911" s="33" t="e">
        <f ca="1"/>
        <v>#REF!</v>
      </c>
      <c r="X911" s="33" t="e">
        <f ca="1"/>
        <v>#REF!</v>
      </c>
      <c r="Y911" s="33" t="e">
        <f ca="1"/>
        <v>#REF!</v>
      </c>
      <c r="Z911" s="33" t="e">
        <f ca="1"/>
        <v>#REF!</v>
      </c>
      <c r="AA911" s="33" t="e">
        <f ca="1"/>
        <v>#REF!</v>
      </c>
    </row>
    <row r="912" spans="1:27" s="70" customFormat="1" ht="11.25" x14ac:dyDescent="0.2">
      <c r="A912" s="24">
        <v>906</v>
      </c>
      <c r="B912" s="27"/>
      <c r="C912" s="28"/>
      <c r="D912" s="71"/>
      <c r="E912" s="28"/>
      <c r="F912" s="28"/>
      <c r="G912" s="27"/>
      <c r="H912" s="28" t="e">
        <f ca="1"/>
        <v>#REF!</v>
      </c>
      <c r="I912" s="27" t="e">
        <f ca="1"/>
        <v>#REF!</v>
      </c>
      <c r="J912" s="28" t="e">
        <f ca="1"/>
        <v>#REF!</v>
      </c>
      <c r="K912" s="27" t="e">
        <f ca="1"/>
        <v>#REF!</v>
      </c>
      <c r="L912" s="25" t="e">
        <f ca="1"/>
        <v>#REF!</v>
      </c>
      <c r="M912" s="25" t="e">
        <f ca="1"/>
        <v>#REF!</v>
      </c>
      <c r="N912" s="25" t="e">
        <f ca="1"/>
        <v>#REF!</v>
      </c>
      <c r="O912" s="25" t="e">
        <f ca="1"/>
        <v>#REF!</v>
      </c>
      <c r="P912" s="25" t="e">
        <f ca="1"/>
        <v>#REF!</v>
      </c>
      <c r="Q912" s="25" t="e">
        <f ca="1"/>
        <v>#REF!</v>
      </c>
      <c r="R912" s="25" t="e">
        <f ca="1"/>
        <v>#REF!</v>
      </c>
      <c r="S912" s="25" t="e">
        <f ca="1"/>
        <v>#REF!</v>
      </c>
      <c r="T912" s="25" t="e">
        <f ca="1"/>
        <v>#REF!</v>
      </c>
      <c r="U912" s="25" t="e">
        <f ca="1"/>
        <v>#REF!</v>
      </c>
      <c r="V912" s="25" t="e">
        <f ca="1"/>
        <v>#REF!</v>
      </c>
      <c r="W912" s="33" t="e">
        <f ca="1"/>
        <v>#REF!</v>
      </c>
      <c r="X912" s="33" t="e">
        <f ca="1"/>
        <v>#REF!</v>
      </c>
      <c r="Y912" s="33" t="e">
        <f ca="1"/>
        <v>#REF!</v>
      </c>
      <c r="Z912" s="33" t="e">
        <f ca="1"/>
        <v>#REF!</v>
      </c>
      <c r="AA912" s="33" t="e">
        <f ca="1"/>
        <v>#REF!</v>
      </c>
    </row>
    <row r="913" spans="1:27" s="70" customFormat="1" ht="11.25" x14ac:dyDescent="0.2">
      <c r="A913" s="24">
        <v>907</v>
      </c>
      <c r="B913" s="27"/>
      <c r="C913" s="28"/>
      <c r="D913" s="71"/>
      <c r="E913" s="28"/>
      <c r="F913" s="28"/>
      <c r="G913" s="27"/>
      <c r="H913" s="28" t="e">
        <f ca="1"/>
        <v>#REF!</v>
      </c>
      <c r="I913" s="27" t="e">
        <f ca="1"/>
        <v>#REF!</v>
      </c>
      <c r="J913" s="28" t="e">
        <f ca="1"/>
        <v>#REF!</v>
      </c>
      <c r="K913" s="27" t="e">
        <f ca="1"/>
        <v>#REF!</v>
      </c>
      <c r="L913" s="25" t="e">
        <f ca="1"/>
        <v>#REF!</v>
      </c>
      <c r="M913" s="25" t="e">
        <f ca="1"/>
        <v>#REF!</v>
      </c>
      <c r="N913" s="25" t="e">
        <f ca="1"/>
        <v>#REF!</v>
      </c>
      <c r="O913" s="25" t="e">
        <f ca="1"/>
        <v>#REF!</v>
      </c>
      <c r="P913" s="25" t="e">
        <f ca="1"/>
        <v>#REF!</v>
      </c>
      <c r="Q913" s="25" t="e">
        <f ca="1"/>
        <v>#REF!</v>
      </c>
      <c r="R913" s="25" t="e">
        <f ca="1"/>
        <v>#REF!</v>
      </c>
      <c r="S913" s="25" t="e">
        <f ca="1"/>
        <v>#REF!</v>
      </c>
      <c r="T913" s="25" t="e">
        <f ca="1"/>
        <v>#REF!</v>
      </c>
      <c r="U913" s="25" t="e">
        <f ca="1"/>
        <v>#REF!</v>
      </c>
      <c r="V913" s="25" t="e">
        <f ca="1"/>
        <v>#REF!</v>
      </c>
      <c r="W913" s="33" t="e">
        <f ca="1"/>
        <v>#REF!</v>
      </c>
      <c r="X913" s="33" t="e">
        <f ca="1"/>
        <v>#REF!</v>
      </c>
      <c r="Y913" s="33" t="e">
        <f ca="1"/>
        <v>#REF!</v>
      </c>
      <c r="Z913" s="33" t="e">
        <f ca="1"/>
        <v>#REF!</v>
      </c>
      <c r="AA913" s="33" t="e">
        <f ca="1"/>
        <v>#REF!</v>
      </c>
    </row>
    <row r="914" spans="1:27" s="70" customFormat="1" ht="11.25" x14ac:dyDescent="0.2">
      <c r="A914" s="24">
        <v>908</v>
      </c>
      <c r="B914" s="27"/>
      <c r="C914" s="28"/>
      <c r="D914" s="71"/>
      <c r="E914" s="28"/>
      <c r="F914" s="28"/>
      <c r="G914" s="27"/>
      <c r="H914" s="28" t="e">
        <f ca="1"/>
        <v>#REF!</v>
      </c>
      <c r="I914" s="27" t="e">
        <f ca="1"/>
        <v>#REF!</v>
      </c>
      <c r="J914" s="28" t="e">
        <f ca="1"/>
        <v>#REF!</v>
      </c>
      <c r="K914" s="27" t="e">
        <f ca="1"/>
        <v>#REF!</v>
      </c>
      <c r="L914" s="25" t="e">
        <f ca="1"/>
        <v>#REF!</v>
      </c>
      <c r="M914" s="25" t="e">
        <f ca="1"/>
        <v>#REF!</v>
      </c>
      <c r="N914" s="25" t="e">
        <f ca="1"/>
        <v>#REF!</v>
      </c>
      <c r="O914" s="25" t="e">
        <f ca="1"/>
        <v>#REF!</v>
      </c>
      <c r="P914" s="25" t="e">
        <f ca="1"/>
        <v>#REF!</v>
      </c>
      <c r="Q914" s="25" t="e">
        <f ca="1"/>
        <v>#REF!</v>
      </c>
      <c r="R914" s="25" t="e">
        <f ca="1"/>
        <v>#REF!</v>
      </c>
      <c r="S914" s="25" t="e">
        <f ca="1"/>
        <v>#REF!</v>
      </c>
      <c r="T914" s="25" t="e">
        <f ca="1"/>
        <v>#REF!</v>
      </c>
      <c r="U914" s="25" t="e">
        <f ca="1"/>
        <v>#REF!</v>
      </c>
      <c r="V914" s="25" t="e">
        <f ca="1"/>
        <v>#REF!</v>
      </c>
      <c r="W914" s="33" t="e">
        <f ca="1"/>
        <v>#REF!</v>
      </c>
      <c r="X914" s="33" t="e">
        <f ca="1"/>
        <v>#REF!</v>
      </c>
      <c r="Y914" s="33" t="e">
        <f ca="1"/>
        <v>#REF!</v>
      </c>
      <c r="Z914" s="33" t="e">
        <f ca="1"/>
        <v>#REF!</v>
      </c>
      <c r="AA914" s="33" t="e">
        <f ca="1"/>
        <v>#REF!</v>
      </c>
    </row>
    <row r="915" spans="1:27" s="70" customFormat="1" ht="11.25" x14ac:dyDescent="0.2">
      <c r="A915" s="24">
        <v>909</v>
      </c>
      <c r="B915" s="27"/>
      <c r="C915" s="28"/>
      <c r="D915" s="71"/>
      <c r="E915" s="28"/>
      <c r="F915" s="28"/>
      <c r="G915" s="27"/>
      <c r="H915" s="28" t="e">
        <f ca="1"/>
        <v>#REF!</v>
      </c>
      <c r="I915" s="27" t="e">
        <f ca="1"/>
        <v>#REF!</v>
      </c>
      <c r="J915" s="28" t="e">
        <f ca="1"/>
        <v>#REF!</v>
      </c>
      <c r="K915" s="27" t="e">
        <f ca="1"/>
        <v>#REF!</v>
      </c>
      <c r="L915" s="25" t="e">
        <f ca="1"/>
        <v>#REF!</v>
      </c>
      <c r="M915" s="25" t="e">
        <f ca="1"/>
        <v>#REF!</v>
      </c>
      <c r="N915" s="25" t="e">
        <f ca="1"/>
        <v>#REF!</v>
      </c>
      <c r="O915" s="25" t="e">
        <f ca="1"/>
        <v>#REF!</v>
      </c>
      <c r="P915" s="25" t="e">
        <f ca="1"/>
        <v>#REF!</v>
      </c>
      <c r="Q915" s="25" t="e">
        <f ca="1"/>
        <v>#REF!</v>
      </c>
      <c r="R915" s="25" t="e">
        <f ca="1"/>
        <v>#REF!</v>
      </c>
      <c r="S915" s="25" t="e">
        <f ca="1"/>
        <v>#REF!</v>
      </c>
      <c r="T915" s="25" t="e">
        <f ca="1"/>
        <v>#REF!</v>
      </c>
      <c r="U915" s="25" t="e">
        <f ca="1"/>
        <v>#REF!</v>
      </c>
      <c r="V915" s="25" t="e">
        <f ca="1"/>
        <v>#REF!</v>
      </c>
      <c r="W915" s="33" t="e">
        <f ca="1"/>
        <v>#REF!</v>
      </c>
      <c r="X915" s="33" t="e">
        <f ca="1"/>
        <v>#REF!</v>
      </c>
      <c r="Y915" s="33" t="e">
        <f ca="1"/>
        <v>#REF!</v>
      </c>
      <c r="Z915" s="33" t="e">
        <f ca="1"/>
        <v>#REF!</v>
      </c>
      <c r="AA915" s="33" t="e">
        <f ca="1"/>
        <v>#REF!</v>
      </c>
    </row>
    <row r="916" spans="1:27" s="70" customFormat="1" ht="11.25" x14ac:dyDescent="0.2">
      <c r="A916" s="24">
        <v>910</v>
      </c>
      <c r="B916" s="27"/>
      <c r="C916" s="28"/>
      <c r="D916" s="71"/>
      <c r="E916" s="28"/>
      <c r="F916" s="28"/>
      <c r="G916" s="27"/>
      <c r="H916" s="28" t="e">
        <f ca="1"/>
        <v>#REF!</v>
      </c>
      <c r="I916" s="27" t="e">
        <f ca="1"/>
        <v>#REF!</v>
      </c>
      <c r="J916" s="28" t="e">
        <f ca="1"/>
        <v>#REF!</v>
      </c>
      <c r="K916" s="27" t="e">
        <f ca="1"/>
        <v>#REF!</v>
      </c>
      <c r="L916" s="25" t="e">
        <f ca="1"/>
        <v>#REF!</v>
      </c>
      <c r="M916" s="25" t="e">
        <f ca="1"/>
        <v>#REF!</v>
      </c>
      <c r="N916" s="25" t="e">
        <f ca="1"/>
        <v>#REF!</v>
      </c>
      <c r="O916" s="25" t="e">
        <f ca="1"/>
        <v>#REF!</v>
      </c>
      <c r="P916" s="25" t="e">
        <f ca="1"/>
        <v>#REF!</v>
      </c>
      <c r="Q916" s="25" t="e">
        <f ca="1"/>
        <v>#REF!</v>
      </c>
      <c r="R916" s="25" t="e">
        <f ca="1"/>
        <v>#REF!</v>
      </c>
      <c r="S916" s="25" t="e">
        <f ca="1"/>
        <v>#REF!</v>
      </c>
      <c r="T916" s="25" t="e">
        <f ca="1"/>
        <v>#REF!</v>
      </c>
      <c r="U916" s="25" t="e">
        <f ca="1"/>
        <v>#REF!</v>
      </c>
      <c r="V916" s="25" t="e">
        <f ca="1"/>
        <v>#REF!</v>
      </c>
      <c r="W916" s="33" t="e">
        <f ca="1"/>
        <v>#REF!</v>
      </c>
      <c r="X916" s="33" t="e">
        <f ca="1"/>
        <v>#REF!</v>
      </c>
      <c r="Y916" s="33" t="e">
        <f ca="1"/>
        <v>#REF!</v>
      </c>
      <c r="Z916" s="33" t="e">
        <f ca="1"/>
        <v>#REF!</v>
      </c>
      <c r="AA916" s="33" t="e">
        <f ca="1"/>
        <v>#REF!</v>
      </c>
    </row>
    <row r="917" spans="1:27" s="70" customFormat="1" ht="11.25" x14ac:dyDescent="0.2">
      <c r="A917" s="24">
        <v>911</v>
      </c>
      <c r="B917" s="27"/>
      <c r="C917" s="28"/>
      <c r="D917" s="71"/>
      <c r="E917" s="28"/>
      <c r="F917" s="28"/>
      <c r="G917" s="27"/>
      <c r="H917" s="28" t="e">
        <f ca="1"/>
        <v>#REF!</v>
      </c>
      <c r="I917" s="27" t="e">
        <f ca="1"/>
        <v>#REF!</v>
      </c>
      <c r="J917" s="28" t="e">
        <f ca="1"/>
        <v>#REF!</v>
      </c>
      <c r="K917" s="27" t="e">
        <f ca="1"/>
        <v>#REF!</v>
      </c>
      <c r="L917" s="25" t="e">
        <f ca="1"/>
        <v>#REF!</v>
      </c>
      <c r="M917" s="25" t="e">
        <f ca="1"/>
        <v>#REF!</v>
      </c>
      <c r="N917" s="25" t="e">
        <f ca="1"/>
        <v>#REF!</v>
      </c>
      <c r="O917" s="25" t="e">
        <f ca="1"/>
        <v>#REF!</v>
      </c>
      <c r="P917" s="25" t="e">
        <f ca="1"/>
        <v>#REF!</v>
      </c>
      <c r="Q917" s="25" t="e">
        <f ca="1"/>
        <v>#REF!</v>
      </c>
      <c r="R917" s="25" t="e">
        <f ca="1"/>
        <v>#REF!</v>
      </c>
      <c r="S917" s="25" t="e">
        <f ca="1"/>
        <v>#REF!</v>
      </c>
      <c r="T917" s="25" t="e">
        <f ca="1"/>
        <v>#REF!</v>
      </c>
      <c r="U917" s="25" t="e">
        <f ca="1"/>
        <v>#REF!</v>
      </c>
      <c r="V917" s="25" t="e">
        <f ca="1"/>
        <v>#REF!</v>
      </c>
      <c r="W917" s="33" t="e">
        <f ca="1"/>
        <v>#REF!</v>
      </c>
      <c r="X917" s="33" t="e">
        <f ca="1"/>
        <v>#REF!</v>
      </c>
      <c r="Y917" s="33" t="e">
        <f ca="1"/>
        <v>#REF!</v>
      </c>
      <c r="Z917" s="33" t="e">
        <f ca="1"/>
        <v>#REF!</v>
      </c>
      <c r="AA917" s="33" t="e">
        <f ca="1"/>
        <v>#REF!</v>
      </c>
    </row>
    <row r="918" spans="1:27" s="70" customFormat="1" ht="11.25" x14ac:dyDescent="0.2">
      <c r="A918" s="24">
        <v>912</v>
      </c>
      <c r="B918" s="24"/>
      <c r="C918" s="25"/>
      <c r="D918" s="26"/>
      <c r="E918" s="25"/>
      <c r="F918" s="25"/>
      <c r="G918" s="24"/>
      <c r="H918" s="28" t="e">
        <f ca="1"/>
        <v>#REF!</v>
      </c>
      <c r="I918" s="27" t="e">
        <f ca="1"/>
        <v>#REF!</v>
      </c>
      <c r="J918" s="28" t="e">
        <f ca="1"/>
        <v>#REF!</v>
      </c>
      <c r="K918" s="27" t="e">
        <f ca="1"/>
        <v>#REF!</v>
      </c>
      <c r="L918" s="25" t="e">
        <f ca="1"/>
        <v>#REF!</v>
      </c>
      <c r="M918" s="25" t="e">
        <f ca="1"/>
        <v>#REF!</v>
      </c>
      <c r="N918" s="25" t="e">
        <f ca="1"/>
        <v>#REF!</v>
      </c>
      <c r="O918" s="25" t="e">
        <f ca="1"/>
        <v>#REF!</v>
      </c>
      <c r="P918" s="25" t="e">
        <f ca="1"/>
        <v>#REF!</v>
      </c>
      <c r="Q918" s="25" t="e">
        <f ca="1"/>
        <v>#REF!</v>
      </c>
      <c r="R918" s="25" t="e">
        <f ca="1"/>
        <v>#REF!</v>
      </c>
      <c r="S918" s="25" t="e">
        <f ca="1"/>
        <v>#REF!</v>
      </c>
      <c r="T918" s="25" t="e">
        <f ca="1"/>
        <v>#REF!</v>
      </c>
      <c r="U918" s="25" t="e">
        <f ca="1"/>
        <v>#REF!</v>
      </c>
      <c r="V918" s="25" t="e">
        <f ca="1"/>
        <v>#REF!</v>
      </c>
      <c r="W918" s="33" t="e">
        <f ca="1"/>
        <v>#REF!</v>
      </c>
      <c r="X918" s="33" t="e">
        <f ca="1"/>
        <v>#REF!</v>
      </c>
      <c r="Y918" s="33" t="e">
        <f ca="1"/>
        <v>#REF!</v>
      </c>
      <c r="Z918" s="33" t="e">
        <f ca="1"/>
        <v>#REF!</v>
      </c>
      <c r="AA918" s="33" t="e">
        <f ca="1"/>
        <v>#REF!</v>
      </c>
    </row>
    <row r="919" spans="1:27" s="70" customFormat="1" ht="11.25" x14ac:dyDescent="0.2">
      <c r="A919" s="24">
        <v>913</v>
      </c>
      <c r="B919" s="24"/>
      <c r="C919" s="25"/>
      <c r="D919" s="26"/>
      <c r="E919" s="25"/>
      <c r="F919" s="25"/>
      <c r="G919" s="24"/>
      <c r="H919" s="28" t="e">
        <f ca="1"/>
        <v>#REF!</v>
      </c>
      <c r="I919" s="27" t="e">
        <f ca="1"/>
        <v>#REF!</v>
      </c>
      <c r="J919" s="28" t="e">
        <f ca="1"/>
        <v>#REF!</v>
      </c>
      <c r="K919" s="27" t="e">
        <f ca="1"/>
        <v>#REF!</v>
      </c>
      <c r="L919" s="25" t="e">
        <f ca="1"/>
        <v>#REF!</v>
      </c>
      <c r="M919" s="25" t="e">
        <f ca="1"/>
        <v>#REF!</v>
      </c>
      <c r="N919" s="25" t="e">
        <f ca="1"/>
        <v>#REF!</v>
      </c>
      <c r="O919" s="25" t="e">
        <f ca="1"/>
        <v>#REF!</v>
      </c>
      <c r="P919" s="25" t="e">
        <f ca="1"/>
        <v>#REF!</v>
      </c>
      <c r="Q919" s="25" t="e">
        <f ca="1"/>
        <v>#REF!</v>
      </c>
      <c r="R919" s="25" t="e">
        <f ca="1"/>
        <v>#REF!</v>
      </c>
      <c r="S919" s="25" t="e">
        <f ca="1"/>
        <v>#REF!</v>
      </c>
      <c r="T919" s="25" t="e">
        <f ca="1"/>
        <v>#REF!</v>
      </c>
      <c r="U919" s="25" t="e">
        <f ca="1"/>
        <v>#REF!</v>
      </c>
      <c r="V919" s="25" t="e">
        <f ca="1"/>
        <v>#REF!</v>
      </c>
      <c r="W919" s="33" t="e">
        <f ca="1"/>
        <v>#REF!</v>
      </c>
      <c r="X919" s="33" t="e">
        <f ca="1"/>
        <v>#REF!</v>
      </c>
      <c r="Y919" s="33" t="e">
        <f ca="1"/>
        <v>#REF!</v>
      </c>
      <c r="Z919" s="33" t="e">
        <f ca="1"/>
        <v>#REF!</v>
      </c>
      <c r="AA919" s="33" t="e">
        <f ca="1"/>
        <v>#REF!</v>
      </c>
    </row>
    <row r="920" spans="1:27" s="70" customFormat="1" ht="11.25" x14ac:dyDescent="0.2">
      <c r="A920" s="24">
        <v>914</v>
      </c>
      <c r="B920" s="24"/>
      <c r="C920" s="25"/>
      <c r="D920" s="26"/>
      <c r="E920" s="25"/>
      <c r="F920" s="25"/>
      <c r="G920" s="24"/>
      <c r="H920" s="28" t="e">
        <f ca="1"/>
        <v>#REF!</v>
      </c>
      <c r="I920" s="27" t="e">
        <f ca="1"/>
        <v>#REF!</v>
      </c>
      <c r="J920" s="28" t="e">
        <f ca="1"/>
        <v>#REF!</v>
      </c>
      <c r="K920" s="27" t="e">
        <f ca="1"/>
        <v>#REF!</v>
      </c>
      <c r="L920" s="25" t="e">
        <f ca="1"/>
        <v>#REF!</v>
      </c>
      <c r="M920" s="25" t="e">
        <f ca="1"/>
        <v>#REF!</v>
      </c>
      <c r="N920" s="25" t="e">
        <f ca="1"/>
        <v>#REF!</v>
      </c>
      <c r="O920" s="25" t="e">
        <f ca="1"/>
        <v>#REF!</v>
      </c>
      <c r="P920" s="25" t="e">
        <f ca="1"/>
        <v>#REF!</v>
      </c>
      <c r="Q920" s="25" t="e">
        <f ca="1"/>
        <v>#REF!</v>
      </c>
      <c r="R920" s="25" t="e">
        <f ca="1"/>
        <v>#REF!</v>
      </c>
      <c r="S920" s="25" t="e">
        <f ca="1"/>
        <v>#REF!</v>
      </c>
      <c r="T920" s="25" t="e">
        <f ca="1"/>
        <v>#REF!</v>
      </c>
      <c r="U920" s="25" t="e">
        <f ca="1"/>
        <v>#REF!</v>
      </c>
      <c r="V920" s="25" t="e">
        <f ca="1"/>
        <v>#REF!</v>
      </c>
      <c r="W920" s="33" t="e">
        <f ca="1"/>
        <v>#REF!</v>
      </c>
      <c r="X920" s="33" t="e">
        <f ca="1"/>
        <v>#REF!</v>
      </c>
      <c r="Y920" s="33" t="e">
        <f ca="1"/>
        <v>#REF!</v>
      </c>
      <c r="Z920" s="33" t="e">
        <f ca="1"/>
        <v>#REF!</v>
      </c>
      <c r="AA920" s="33" t="e">
        <f ca="1"/>
        <v>#REF!</v>
      </c>
    </row>
    <row r="921" spans="1:27" s="70" customFormat="1" ht="11.25" x14ac:dyDescent="0.2">
      <c r="A921" s="24">
        <v>915</v>
      </c>
      <c r="B921" s="24"/>
      <c r="C921" s="25"/>
      <c r="D921" s="26"/>
      <c r="E921" s="25"/>
      <c r="F921" s="25"/>
      <c r="G921" s="24"/>
      <c r="H921" s="28" t="e">
        <f ca="1"/>
        <v>#REF!</v>
      </c>
      <c r="I921" s="27" t="e">
        <f ca="1"/>
        <v>#REF!</v>
      </c>
      <c r="J921" s="28" t="e">
        <f ca="1"/>
        <v>#REF!</v>
      </c>
      <c r="K921" s="27" t="e">
        <f ca="1"/>
        <v>#REF!</v>
      </c>
      <c r="L921" s="25" t="e">
        <f ca="1"/>
        <v>#REF!</v>
      </c>
      <c r="M921" s="25" t="e">
        <f ca="1"/>
        <v>#REF!</v>
      </c>
      <c r="N921" s="25" t="e">
        <f ca="1"/>
        <v>#REF!</v>
      </c>
      <c r="O921" s="25" t="e">
        <f ca="1"/>
        <v>#REF!</v>
      </c>
      <c r="P921" s="25" t="e">
        <f ca="1"/>
        <v>#REF!</v>
      </c>
      <c r="Q921" s="25" t="e">
        <f ca="1"/>
        <v>#REF!</v>
      </c>
      <c r="R921" s="25" t="e">
        <f ca="1"/>
        <v>#REF!</v>
      </c>
      <c r="S921" s="25" t="e">
        <f ca="1"/>
        <v>#REF!</v>
      </c>
      <c r="T921" s="25" t="e">
        <f ca="1"/>
        <v>#REF!</v>
      </c>
      <c r="U921" s="25" t="e">
        <f ca="1"/>
        <v>#REF!</v>
      </c>
      <c r="V921" s="25" t="e">
        <f ca="1"/>
        <v>#REF!</v>
      </c>
      <c r="W921" s="33" t="e">
        <f ca="1"/>
        <v>#REF!</v>
      </c>
      <c r="X921" s="33" t="e">
        <f ca="1"/>
        <v>#REF!</v>
      </c>
      <c r="Y921" s="33" t="e">
        <f ca="1"/>
        <v>#REF!</v>
      </c>
      <c r="Z921" s="33" t="e">
        <f ca="1"/>
        <v>#REF!</v>
      </c>
      <c r="AA921" s="33" t="e">
        <f ca="1"/>
        <v>#REF!</v>
      </c>
    </row>
    <row r="922" spans="1:27" s="70" customFormat="1" ht="11.25" x14ac:dyDescent="0.2">
      <c r="A922" s="24">
        <v>916</v>
      </c>
      <c r="B922" s="24"/>
      <c r="C922" s="25"/>
      <c r="D922" s="26"/>
      <c r="E922" s="25"/>
      <c r="F922" s="25"/>
      <c r="G922" s="24"/>
      <c r="H922" s="28" t="e">
        <f ca="1"/>
        <v>#REF!</v>
      </c>
      <c r="I922" s="27" t="e">
        <f ca="1"/>
        <v>#REF!</v>
      </c>
      <c r="J922" s="28" t="e">
        <f ca="1"/>
        <v>#REF!</v>
      </c>
      <c r="K922" s="27" t="e">
        <f ca="1"/>
        <v>#REF!</v>
      </c>
      <c r="L922" s="25" t="e">
        <f ca="1"/>
        <v>#REF!</v>
      </c>
      <c r="M922" s="25" t="e">
        <f ca="1"/>
        <v>#REF!</v>
      </c>
      <c r="N922" s="25" t="e">
        <f ca="1"/>
        <v>#REF!</v>
      </c>
      <c r="O922" s="25" t="e">
        <f ca="1"/>
        <v>#REF!</v>
      </c>
      <c r="P922" s="25" t="e">
        <f ca="1"/>
        <v>#REF!</v>
      </c>
      <c r="Q922" s="25" t="e">
        <f ca="1"/>
        <v>#REF!</v>
      </c>
      <c r="R922" s="25" t="e">
        <f ca="1"/>
        <v>#REF!</v>
      </c>
      <c r="S922" s="25" t="e">
        <f ca="1"/>
        <v>#REF!</v>
      </c>
      <c r="T922" s="25" t="e">
        <f ca="1"/>
        <v>#REF!</v>
      </c>
      <c r="U922" s="25" t="e">
        <f ca="1"/>
        <v>#REF!</v>
      </c>
      <c r="V922" s="25" t="e">
        <f ca="1"/>
        <v>#REF!</v>
      </c>
      <c r="W922" s="33" t="e">
        <f ca="1"/>
        <v>#REF!</v>
      </c>
      <c r="X922" s="33" t="e">
        <f ca="1"/>
        <v>#REF!</v>
      </c>
      <c r="Y922" s="33" t="e">
        <f ca="1"/>
        <v>#REF!</v>
      </c>
      <c r="Z922" s="33" t="e">
        <f ca="1"/>
        <v>#REF!</v>
      </c>
      <c r="AA922" s="33" t="e">
        <f ca="1"/>
        <v>#REF!</v>
      </c>
    </row>
    <row r="923" spans="1:27" s="70" customFormat="1" ht="11.25" x14ac:dyDescent="0.2">
      <c r="A923" s="24">
        <v>917</v>
      </c>
      <c r="B923" s="24"/>
      <c r="C923" s="25"/>
      <c r="D923" s="26"/>
      <c r="E923" s="25"/>
      <c r="F923" s="25"/>
      <c r="G923" s="24"/>
      <c r="H923" s="28" t="e">
        <f ca="1"/>
        <v>#REF!</v>
      </c>
      <c r="I923" s="27" t="e">
        <f ca="1"/>
        <v>#REF!</v>
      </c>
      <c r="J923" s="28" t="e">
        <f ca="1"/>
        <v>#REF!</v>
      </c>
      <c r="K923" s="27" t="e">
        <f ca="1"/>
        <v>#REF!</v>
      </c>
      <c r="L923" s="25" t="e">
        <f ca="1"/>
        <v>#REF!</v>
      </c>
      <c r="M923" s="25" t="e">
        <f ca="1"/>
        <v>#REF!</v>
      </c>
      <c r="N923" s="25" t="e">
        <f ca="1"/>
        <v>#REF!</v>
      </c>
      <c r="O923" s="25" t="e">
        <f ca="1"/>
        <v>#REF!</v>
      </c>
      <c r="P923" s="25" t="e">
        <f ca="1"/>
        <v>#REF!</v>
      </c>
      <c r="Q923" s="25" t="e">
        <f ca="1"/>
        <v>#REF!</v>
      </c>
      <c r="R923" s="25" t="e">
        <f ca="1"/>
        <v>#REF!</v>
      </c>
      <c r="S923" s="25" t="e">
        <f ca="1"/>
        <v>#REF!</v>
      </c>
      <c r="T923" s="25" t="e">
        <f ca="1"/>
        <v>#REF!</v>
      </c>
      <c r="U923" s="25" t="e">
        <f ca="1"/>
        <v>#REF!</v>
      </c>
      <c r="V923" s="25" t="e">
        <f ca="1"/>
        <v>#REF!</v>
      </c>
      <c r="W923" s="33" t="e">
        <f ca="1"/>
        <v>#REF!</v>
      </c>
      <c r="X923" s="33" t="e">
        <f ca="1"/>
        <v>#REF!</v>
      </c>
      <c r="Y923" s="33" t="e">
        <f ca="1"/>
        <v>#REF!</v>
      </c>
      <c r="Z923" s="33" t="e">
        <f ca="1"/>
        <v>#REF!</v>
      </c>
      <c r="AA923" s="33" t="e">
        <f ca="1"/>
        <v>#REF!</v>
      </c>
    </row>
    <row r="924" spans="1:27" s="70" customFormat="1" ht="11.25" x14ac:dyDescent="0.2">
      <c r="A924" s="24">
        <v>918</v>
      </c>
      <c r="B924" s="24"/>
      <c r="C924" s="25"/>
      <c r="D924" s="26"/>
      <c r="E924" s="25"/>
      <c r="F924" s="25"/>
      <c r="G924" s="24"/>
      <c r="H924" s="28" t="e">
        <f ca="1"/>
        <v>#REF!</v>
      </c>
      <c r="I924" s="27" t="e">
        <f ca="1"/>
        <v>#REF!</v>
      </c>
      <c r="J924" s="28" t="e">
        <f ca="1"/>
        <v>#REF!</v>
      </c>
      <c r="K924" s="27" t="e">
        <f ca="1"/>
        <v>#REF!</v>
      </c>
      <c r="L924" s="25" t="e">
        <f ca="1"/>
        <v>#REF!</v>
      </c>
      <c r="M924" s="25" t="e">
        <f ca="1"/>
        <v>#REF!</v>
      </c>
      <c r="N924" s="25" t="e">
        <f ca="1"/>
        <v>#REF!</v>
      </c>
      <c r="O924" s="25" t="e">
        <f ca="1"/>
        <v>#REF!</v>
      </c>
      <c r="P924" s="25" t="e">
        <f ca="1"/>
        <v>#REF!</v>
      </c>
      <c r="Q924" s="25" t="e">
        <f ca="1"/>
        <v>#REF!</v>
      </c>
      <c r="R924" s="25" t="e">
        <f ca="1"/>
        <v>#REF!</v>
      </c>
      <c r="S924" s="25" t="e">
        <f ca="1"/>
        <v>#REF!</v>
      </c>
      <c r="T924" s="25" t="e">
        <f ca="1"/>
        <v>#REF!</v>
      </c>
      <c r="U924" s="25" t="e">
        <f ca="1"/>
        <v>#REF!</v>
      </c>
      <c r="V924" s="25" t="e">
        <f ca="1"/>
        <v>#REF!</v>
      </c>
      <c r="W924" s="33" t="e">
        <f ca="1"/>
        <v>#REF!</v>
      </c>
      <c r="X924" s="33" t="e">
        <f ca="1"/>
        <v>#REF!</v>
      </c>
      <c r="Y924" s="33" t="e">
        <f ca="1"/>
        <v>#REF!</v>
      </c>
      <c r="Z924" s="33" t="e">
        <f ca="1"/>
        <v>#REF!</v>
      </c>
      <c r="AA924" s="33" t="e">
        <f ca="1"/>
        <v>#REF!</v>
      </c>
    </row>
    <row r="925" spans="1:27" s="70" customFormat="1" ht="11.25" x14ac:dyDescent="0.2">
      <c r="A925" s="24">
        <v>919</v>
      </c>
      <c r="B925" s="24"/>
      <c r="C925" s="25"/>
      <c r="D925" s="26"/>
      <c r="E925" s="25"/>
      <c r="F925" s="25"/>
      <c r="G925" s="24"/>
      <c r="H925" s="28" t="e">
        <f ca="1"/>
        <v>#REF!</v>
      </c>
      <c r="I925" s="27" t="e">
        <f ca="1"/>
        <v>#REF!</v>
      </c>
      <c r="J925" s="28" t="e">
        <f ca="1"/>
        <v>#REF!</v>
      </c>
      <c r="K925" s="27" t="e">
        <f ca="1"/>
        <v>#REF!</v>
      </c>
      <c r="L925" s="25" t="e">
        <f ca="1"/>
        <v>#REF!</v>
      </c>
      <c r="M925" s="25" t="e">
        <f ca="1"/>
        <v>#REF!</v>
      </c>
      <c r="N925" s="25" t="e">
        <f ca="1"/>
        <v>#REF!</v>
      </c>
      <c r="O925" s="25" t="e">
        <f ca="1"/>
        <v>#REF!</v>
      </c>
      <c r="P925" s="25" t="e">
        <f ca="1"/>
        <v>#REF!</v>
      </c>
      <c r="Q925" s="25" t="e">
        <f ca="1"/>
        <v>#REF!</v>
      </c>
      <c r="R925" s="25" t="e">
        <f ca="1"/>
        <v>#REF!</v>
      </c>
      <c r="S925" s="25" t="e">
        <f ca="1"/>
        <v>#REF!</v>
      </c>
      <c r="T925" s="25" t="e">
        <f ca="1"/>
        <v>#REF!</v>
      </c>
      <c r="U925" s="25" t="e">
        <f ca="1"/>
        <v>#REF!</v>
      </c>
      <c r="V925" s="25" t="e">
        <f ca="1"/>
        <v>#REF!</v>
      </c>
      <c r="W925" s="33" t="e">
        <f ca="1"/>
        <v>#REF!</v>
      </c>
      <c r="X925" s="33" t="e">
        <f ca="1"/>
        <v>#REF!</v>
      </c>
      <c r="Y925" s="33" t="e">
        <f ca="1"/>
        <v>#REF!</v>
      </c>
      <c r="Z925" s="33" t="e">
        <f ca="1"/>
        <v>#REF!</v>
      </c>
      <c r="AA925" s="33" t="e">
        <f ca="1"/>
        <v>#REF!</v>
      </c>
    </row>
    <row r="926" spans="1:27" s="70" customFormat="1" ht="11.25" x14ac:dyDescent="0.2">
      <c r="A926" s="24">
        <v>920</v>
      </c>
      <c r="B926" s="24"/>
      <c r="C926" s="25"/>
      <c r="D926" s="26"/>
      <c r="E926" s="25"/>
      <c r="F926" s="25"/>
      <c r="G926" s="24"/>
      <c r="H926" s="28" t="e">
        <f ca="1"/>
        <v>#REF!</v>
      </c>
      <c r="I926" s="27" t="e">
        <f ca="1"/>
        <v>#REF!</v>
      </c>
      <c r="J926" s="28" t="e">
        <f ca="1"/>
        <v>#REF!</v>
      </c>
      <c r="K926" s="27" t="e">
        <f ca="1"/>
        <v>#REF!</v>
      </c>
      <c r="L926" s="25" t="e">
        <f ca="1"/>
        <v>#REF!</v>
      </c>
      <c r="M926" s="25" t="e">
        <f ca="1"/>
        <v>#REF!</v>
      </c>
      <c r="N926" s="25" t="e">
        <f ca="1"/>
        <v>#REF!</v>
      </c>
      <c r="O926" s="25" t="e">
        <f ca="1"/>
        <v>#REF!</v>
      </c>
      <c r="P926" s="25" t="e">
        <f ca="1"/>
        <v>#REF!</v>
      </c>
      <c r="Q926" s="25" t="e">
        <f ca="1"/>
        <v>#REF!</v>
      </c>
      <c r="R926" s="25" t="e">
        <f ca="1"/>
        <v>#REF!</v>
      </c>
      <c r="S926" s="25" t="e">
        <f ca="1"/>
        <v>#REF!</v>
      </c>
      <c r="T926" s="25" t="e">
        <f ca="1"/>
        <v>#REF!</v>
      </c>
      <c r="U926" s="25" t="e">
        <f ca="1"/>
        <v>#REF!</v>
      </c>
      <c r="V926" s="25" t="e">
        <f ca="1"/>
        <v>#REF!</v>
      </c>
      <c r="W926" s="33" t="e">
        <f ca="1"/>
        <v>#REF!</v>
      </c>
      <c r="X926" s="33" t="e">
        <f ca="1"/>
        <v>#REF!</v>
      </c>
      <c r="Y926" s="33" t="e">
        <f ca="1"/>
        <v>#REF!</v>
      </c>
      <c r="Z926" s="33" t="e">
        <f ca="1"/>
        <v>#REF!</v>
      </c>
      <c r="AA926" s="33" t="e">
        <f ca="1"/>
        <v>#REF!</v>
      </c>
    </row>
    <row r="927" spans="1:27" s="70" customFormat="1" ht="11.25" x14ac:dyDescent="0.2">
      <c r="A927" s="24">
        <v>921</v>
      </c>
      <c r="B927" s="24"/>
      <c r="C927" s="25"/>
      <c r="D927" s="26"/>
      <c r="E927" s="25"/>
      <c r="F927" s="25"/>
      <c r="G927" s="24"/>
      <c r="H927" s="28" t="e">
        <f ca="1"/>
        <v>#REF!</v>
      </c>
      <c r="I927" s="27" t="e">
        <f ca="1"/>
        <v>#REF!</v>
      </c>
      <c r="J927" s="28" t="e">
        <f ca="1"/>
        <v>#REF!</v>
      </c>
      <c r="K927" s="27" t="e">
        <f ca="1"/>
        <v>#REF!</v>
      </c>
      <c r="L927" s="25" t="e">
        <f ca="1"/>
        <v>#REF!</v>
      </c>
      <c r="M927" s="25" t="e">
        <f ca="1"/>
        <v>#REF!</v>
      </c>
      <c r="N927" s="25" t="e">
        <f ca="1"/>
        <v>#REF!</v>
      </c>
      <c r="O927" s="25" t="e">
        <f ca="1"/>
        <v>#REF!</v>
      </c>
      <c r="P927" s="25" t="e">
        <f ca="1"/>
        <v>#REF!</v>
      </c>
      <c r="Q927" s="25" t="e">
        <f ca="1"/>
        <v>#REF!</v>
      </c>
      <c r="R927" s="25" t="e">
        <f ca="1"/>
        <v>#REF!</v>
      </c>
      <c r="S927" s="25" t="e">
        <f ca="1"/>
        <v>#REF!</v>
      </c>
      <c r="T927" s="25" t="e">
        <f ca="1"/>
        <v>#REF!</v>
      </c>
      <c r="U927" s="25" t="e">
        <f ca="1"/>
        <v>#REF!</v>
      </c>
      <c r="V927" s="25" t="e">
        <f ca="1"/>
        <v>#REF!</v>
      </c>
      <c r="W927" s="33" t="e">
        <f ca="1"/>
        <v>#REF!</v>
      </c>
      <c r="X927" s="33" t="e">
        <f ca="1"/>
        <v>#REF!</v>
      </c>
      <c r="Y927" s="33" t="e">
        <f ca="1"/>
        <v>#REF!</v>
      </c>
      <c r="Z927" s="33" t="e">
        <f ca="1"/>
        <v>#REF!</v>
      </c>
      <c r="AA927" s="33" t="e">
        <f ca="1"/>
        <v>#REF!</v>
      </c>
    </row>
    <row r="928" spans="1:27" s="70" customFormat="1" ht="11.25" x14ac:dyDescent="0.2">
      <c r="A928" s="24">
        <v>922</v>
      </c>
      <c r="B928" s="24"/>
      <c r="C928" s="25"/>
      <c r="D928" s="26"/>
      <c r="E928" s="25"/>
      <c r="F928" s="25"/>
      <c r="G928" s="24"/>
      <c r="H928" s="28" t="e">
        <f ca="1"/>
        <v>#REF!</v>
      </c>
      <c r="I928" s="27" t="e">
        <f ca="1"/>
        <v>#REF!</v>
      </c>
      <c r="J928" s="28" t="e">
        <f ca="1"/>
        <v>#REF!</v>
      </c>
      <c r="K928" s="27" t="e">
        <f ca="1"/>
        <v>#REF!</v>
      </c>
      <c r="L928" s="25" t="e">
        <f ca="1"/>
        <v>#REF!</v>
      </c>
      <c r="M928" s="25" t="e">
        <f ca="1"/>
        <v>#REF!</v>
      </c>
      <c r="N928" s="25" t="e">
        <f ca="1"/>
        <v>#REF!</v>
      </c>
      <c r="O928" s="25" t="e">
        <f ca="1"/>
        <v>#REF!</v>
      </c>
      <c r="P928" s="25" t="e">
        <f ca="1"/>
        <v>#REF!</v>
      </c>
      <c r="Q928" s="25" t="e">
        <f ca="1"/>
        <v>#REF!</v>
      </c>
      <c r="R928" s="25" t="e">
        <f ca="1"/>
        <v>#REF!</v>
      </c>
      <c r="S928" s="25" t="e">
        <f ca="1"/>
        <v>#REF!</v>
      </c>
      <c r="T928" s="25" t="e">
        <f ca="1"/>
        <v>#REF!</v>
      </c>
      <c r="U928" s="25" t="e">
        <f ca="1"/>
        <v>#REF!</v>
      </c>
      <c r="V928" s="25" t="e">
        <f ca="1"/>
        <v>#REF!</v>
      </c>
      <c r="W928" s="33" t="e">
        <f ca="1"/>
        <v>#REF!</v>
      </c>
      <c r="X928" s="33" t="e">
        <f ca="1"/>
        <v>#REF!</v>
      </c>
      <c r="Y928" s="33" t="e">
        <f ca="1"/>
        <v>#REF!</v>
      </c>
      <c r="Z928" s="33" t="e">
        <f ca="1"/>
        <v>#REF!</v>
      </c>
      <c r="AA928" s="33" t="e">
        <f ca="1"/>
        <v>#REF!</v>
      </c>
    </row>
    <row r="929" spans="1:27" s="70" customFormat="1" ht="11.25" x14ac:dyDescent="0.2">
      <c r="A929" s="24">
        <v>923</v>
      </c>
      <c r="B929" s="24"/>
      <c r="C929" s="25"/>
      <c r="D929" s="26"/>
      <c r="E929" s="25"/>
      <c r="F929" s="25"/>
      <c r="G929" s="24"/>
      <c r="H929" s="28" t="e">
        <f ca="1"/>
        <v>#REF!</v>
      </c>
      <c r="I929" s="27" t="e">
        <f ca="1"/>
        <v>#REF!</v>
      </c>
      <c r="J929" s="28" t="e">
        <f ca="1"/>
        <v>#REF!</v>
      </c>
      <c r="K929" s="27" t="e">
        <f ca="1"/>
        <v>#REF!</v>
      </c>
      <c r="L929" s="25" t="e">
        <f ca="1"/>
        <v>#REF!</v>
      </c>
      <c r="M929" s="25" t="e">
        <f ca="1"/>
        <v>#REF!</v>
      </c>
      <c r="N929" s="25" t="e">
        <f ca="1"/>
        <v>#REF!</v>
      </c>
      <c r="O929" s="25" t="e">
        <f ca="1"/>
        <v>#REF!</v>
      </c>
      <c r="P929" s="25" t="e">
        <f ca="1"/>
        <v>#REF!</v>
      </c>
      <c r="Q929" s="25" t="e">
        <f ca="1"/>
        <v>#REF!</v>
      </c>
      <c r="R929" s="25" t="e">
        <f ca="1"/>
        <v>#REF!</v>
      </c>
      <c r="S929" s="25" t="e">
        <f ca="1"/>
        <v>#REF!</v>
      </c>
      <c r="T929" s="25" t="e">
        <f ca="1"/>
        <v>#REF!</v>
      </c>
      <c r="U929" s="25" t="e">
        <f ca="1"/>
        <v>#REF!</v>
      </c>
      <c r="V929" s="25" t="e">
        <f ca="1"/>
        <v>#REF!</v>
      </c>
      <c r="W929" s="33" t="e">
        <f ca="1"/>
        <v>#REF!</v>
      </c>
      <c r="X929" s="33" t="e">
        <f ca="1"/>
        <v>#REF!</v>
      </c>
      <c r="Y929" s="33" t="e">
        <f ca="1"/>
        <v>#REF!</v>
      </c>
      <c r="Z929" s="33" t="e">
        <f ca="1"/>
        <v>#REF!</v>
      </c>
      <c r="AA929" s="33" t="e">
        <f ca="1"/>
        <v>#REF!</v>
      </c>
    </row>
    <row r="930" spans="1:27" s="70" customFormat="1" ht="11.25" x14ac:dyDescent="0.2">
      <c r="A930" s="24">
        <v>924</v>
      </c>
      <c r="B930" s="24"/>
      <c r="C930" s="25"/>
      <c r="D930" s="26"/>
      <c r="E930" s="25"/>
      <c r="F930" s="25"/>
      <c r="G930" s="24"/>
      <c r="H930" s="28" t="e">
        <f ca="1"/>
        <v>#REF!</v>
      </c>
      <c r="I930" s="27" t="e">
        <f ca="1"/>
        <v>#REF!</v>
      </c>
      <c r="J930" s="28" t="e">
        <f ca="1"/>
        <v>#REF!</v>
      </c>
      <c r="K930" s="27" t="e">
        <f ca="1"/>
        <v>#REF!</v>
      </c>
      <c r="L930" s="25" t="e">
        <f ca="1"/>
        <v>#REF!</v>
      </c>
      <c r="M930" s="25" t="e">
        <f ca="1"/>
        <v>#REF!</v>
      </c>
      <c r="N930" s="25" t="e">
        <f ca="1"/>
        <v>#REF!</v>
      </c>
      <c r="O930" s="25" t="e">
        <f ca="1"/>
        <v>#REF!</v>
      </c>
      <c r="P930" s="25" t="e">
        <f ca="1"/>
        <v>#REF!</v>
      </c>
      <c r="Q930" s="25" t="e">
        <f ca="1"/>
        <v>#REF!</v>
      </c>
      <c r="R930" s="25" t="e">
        <f ca="1"/>
        <v>#REF!</v>
      </c>
      <c r="S930" s="25" t="e">
        <f ca="1"/>
        <v>#REF!</v>
      </c>
      <c r="T930" s="25" t="e">
        <f ca="1"/>
        <v>#REF!</v>
      </c>
      <c r="U930" s="25" t="e">
        <f ca="1"/>
        <v>#REF!</v>
      </c>
      <c r="V930" s="25" t="e">
        <f ca="1"/>
        <v>#REF!</v>
      </c>
      <c r="W930" s="33" t="e">
        <f ca="1"/>
        <v>#REF!</v>
      </c>
      <c r="X930" s="33" t="e">
        <f ca="1"/>
        <v>#REF!</v>
      </c>
      <c r="Y930" s="33" t="e">
        <f ca="1"/>
        <v>#REF!</v>
      </c>
      <c r="Z930" s="33" t="e">
        <f ca="1"/>
        <v>#REF!</v>
      </c>
      <c r="AA930" s="33" t="e">
        <f ca="1"/>
        <v>#REF!</v>
      </c>
    </row>
    <row r="931" spans="1:27" s="70" customFormat="1" ht="11.25" x14ac:dyDescent="0.2">
      <c r="A931" s="24">
        <v>925</v>
      </c>
      <c r="B931" s="24"/>
      <c r="C931" s="25"/>
      <c r="D931" s="26"/>
      <c r="E931" s="25"/>
      <c r="F931" s="25"/>
      <c r="G931" s="24"/>
      <c r="H931" s="28" t="e">
        <f ca="1"/>
        <v>#REF!</v>
      </c>
      <c r="I931" s="27" t="e">
        <f ca="1"/>
        <v>#REF!</v>
      </c>
      <c r="J931" s="28" t="e">
        <f ca="1"/>
        <v>#REF!</v>
      </c>
      <c r="K931" s="27" t="e">
        <f ca="1"/>
        <v>#REF!</v>
      </c>
      <c r="L931" s="25" t="e">
        <f ca="1"/>
        <v>#REF!</v>
      </c>
      <c r="M931" s="25" t="e">
        <f ca="1"/>
        <v>#REF!</v>
      </c>
      <c r="N931" s="25" t="e">
        <f ca="1"/>
        <v>#REF!</v>
      </c>
      <c r="O931" s="25" t="e">
        <f ca="1"/>
        <v>#REF!</v>
      </c>
      <c r="P931" s="25" t="e">
        <f ca="1"/>
        <v>#REF!</v>
      </c>
      <c r="Q931" s="25" t="e">
        <f ca="1"/>
        <v>#REF!</v>
      </c>
      <c r="R931" s="25" t="e">
        <f ca="1"/>
        <v>#REF!</v>
      </c>
      <c r="S931" s="25" t="e">
        <f ca="1"/>
        <v>#REF!</v>
      </c>
      <c r="T931" s="25" t="e">
        <f ca="1"/>
        <v>#REF!</v>
      </c>
      <c r="U931" s="25" t="e">
        <f ca="1"/>
        <v>#REF!</v>
      </c>
      <c r="V931" s="25" t="e">
        <f ca="1"/>
        <v>#REF!</v>
      </c>
      <c r="W931" s="33" t="e">
        <f ca="1"/>
        <v>#REF!</v>
      </c>
      <c r="X931" s="33" t="e">
        <f ca="1"/>
        <v>#REF!</v>
      </c>
      <c r="Y931" s="33" t="e">
        <f ca="1"/>
        <v>#REF!</v>
      </c>
      <c r="Z931" s="33" t="e">
        <f ca="1"/>
        <v>#REF!</v>
      </c>
      <c r="AA931" s="33" t="e">
        <f ca="1"/>
        <v>#REF!</v>
      </c>
    </row>
    <row r="932" spans="1:27" s="70" customFormat="1" ht="11.25" x14ac:dyDescent="0.2">
      <c r="A932" s="24">
        <v>926</v>
      </c>
      <c r="B932" s="24"/>
      <c r="C932" s="25"/>
      <c r="D932" s="26"/>
      <c r="E932" s="25"/>
      <c r="F932" s="25"/>
      <c r="G932" s="24"/>
      <c r="H932" s="28" t="e">
        <f ca="1"/>
        <v>#REF!</v>
      </c>
      <c r="I932" s="27" t="e">
        <f ca="1"/>
        <v>#REF!</v>
      </c>
      <c r="J932" s="28" t="e">
        <f ca="1"/>
        <v>#REF!</v>
      </c>
      <c r="K932" s="27" t="e">
        <f ca="1"/>
        <v>#REF!</v>
      </c>
      <c r="L932" s="25" t="e">
        <f ca="1"/>
        <v>#REF!</v>
      </c>
      <c r="M932" s="25" t="e">
        <f ca="1"/>
        <v>#REF!</v>
      </c>
      <c r="N932" s="25" t="e">
        <f ca="1"/>
        <v>#REF!</v>
      </c>
      <c r="O932" s="25" t="e">
        <f ca="1"/>
        <v>#REF!</v>
      </c>
      <c r="P932" s="25" t="e">
        <f ca="1"/>
        <v>#REF!</v>
      </c>
      <c r="Q932" s="25" t="e">
        <f ca="1"/>
        <v>#REF!</v>
      </c>
      <c r="R932" s="25" t="e">
        <f ca="1"/>
        <v>#REF!</v>
      </c>
      <c r="S932" s="25" t="e">
        <f ca="1"/>
        <v>#REF!</v>
      </c>
      <c r="T932" s="25" t="e">
        <f ca="1"/>
        <v>#REF!</v>
      </c>
      <c r="U932" s="25" t="e">
        <f ca="1"/>
        <v>#REF!</v>
      </c>
      <c r="V932" s="25" t="e">
        <f ca="1"/>
        <v>#REF!</v>
      </c>
      <c r="W932" s="33" t="e">
        <f ca="1"/>
        <v>#REF!</v>
      </c>
      <c r="X932" s="33" t="e">
        <f ca="1"/>
        <v>#REF!</v>
      </c>
      <c r="Y932" s="33" t="e">
        <f ca="1"/>
        <v>#REF!</v>
      </c>
      <c r="Z932" s="33" t="e">
        <f ca="1"/>
        <v>#REF!</v>
      </c>
      <c r="AA932" s="33" t="e">
        <f ca="1"/>
        <v>#REF!</v>
      </c>
    </row>
    <row r="933" spans="1:27" s="70" customFormat="1" ht="11.25" x14ac:dyDescent="0.2">
      <c r="A933" s="24">
        <v>927</v>
      </c>
      <c r="B933" s="24"/>
      <c r="C933" s="25"/>
      <c r="D933" s="26"/>
      <c r="E933" s="25"/>
      <c r="F933" s="25"/>
      <c r="G933" s="24"/>
      <c r="H933" s="28" t="e">
        <f ca="1"/>
        <v>#REF!</v>
      </c>
      <c r="I933" s="27" t="e">
        <f ca="1"/>
        <v>#REF!</v>
      </c>
      <c r="J933" s="28" t="e">
        <f ca="1"/>
        <v>#REF!</v>
      </c>
      <c r="K933" s="27" t="e">
        <f ca="1"/>
        <v>#REF!</v>
      </c>
      <c r="L933" s="25" t="e">
        <f ca="1"/>
        <v>#REF!</v>
      </c>
      <c r="M933" s="25" t="e">
        <f ca="1"/>
        <v>#REF!</v>
      </c>
      <c r="N933" s="25" t="e">
        <f ca="1"/>
        <v>#REF!</v>
      </c>
      <c r="O933" s="25" t="e">
        <f ca="1"/>
        <v>#REF!</v>
      </c>
      <c r="P933" s="25" t="e">
        <f ca="1"/>
        <v>#REF!</v>
      </c>
      <c r="Q933" s="25" t="e">
        <f ca="1"/>
        <v>#REF!</v>
      </c>
      <c r="R933" s="25" t="e">
        <f ca="1"/>
        <v>#REF!</v>
      </c>
      <c r="S933" s="25" t="e">
        <f ca="1"/>
        <v>#REF!</v>
      </c>
      <c r="T933" s="25" t="e">
        <f ca="1"/>
        <v>#REF!</v>
      </c>
      <c r="U933" s="25" t="e">
        <f ca="1"/>
        <v>#REF!</v>
      </c>
      <c r="V933" s="25" t="e">
        <f ca="1"/>
        <v>#REF!</v>
      </c>
      <c r="W933" s="33" t="e">
        <f ca="1"/>
        <v>#REF!</v>
      </c>
      <c r="X933" s="33" t="e">
        <f ca="1"/>
        <v>#REF!</v>
      </c>
      <c r="Y933" s="33" t="e">
        <f ca="1"/>
        <v>#REF!</v>
      </c>
      <c r="Z933" s="33" t="e">
        <f ca="1"/>
        <v>#REF!</v>
      </c>
      <c r="AA933" s="33" t="e">
        <f ca="1"/>
        <v>#REF!</v>
      </c>
    </row>
    <row r="934" spans="1:27" s="70" customFormat="1" ht="11.25" x14ac:dyDescent="0.2">
      <c r="A934" s="24">
        <v>928</v>
      </c>
      <c r="B934" s="24"/>
      <c r="C934" s="25"/>
      <c r="D934" s="26"/>
      <c r="E934" s="25"/>
      <c r="F934" s="25"/>
      <c r="G934" s="24"/>
      <c r="H934" s="28" t="e">
        <f ca="1"/>
        <v>#REF!</v>
      </c>
      <c r="I934" s="27" t="e">
        <f ca="1"/>
        <v>#REF!</v>
      </c>
      <c r="J934" s="28" t="e">
        <f ca="1"/>
        <v>#REF!</v>
      </c>
      <c r="K934" s="27" t="e">
        <f ca="1"/>
        <v>#REF!</v>
      </c>
      <c r="L934" s="25" t="e">
        <f ca="1"/>
        <v>#REF!</v>
      </c>
      <c r="M934" s="25" t="e">
        <f ca="1"/>
        <v>#REF!</v>
      </c>
      <c r="N934" s="25" t="e">
        <f ca="1"/>
        <v>#REF!</v>
      </c>
      <c r="O934" s="25" t="e">
        <f ca="1"/>
        <v>#REF!</v>
      </c>
      <c r="P934" s="25" t="e">
        <f ca="1"/>
        <v>#REF!</v>
      </c>
      <c r="Q934" s="25" t="e">
        <f ca="1"/>
        <v>#REF!</v>
      </c>
      <c r="R934" s="25" t="e">
        <f ca="1"/>
        <v>#REF!</v>
      </c>
      <c r="S934" s="25" t="e">
        <f ca="1"/>
        <v>#REF!</v>
      </c>
      <c r="T934" s="25" t="e">
        <f ca="1"/>
        <v>#REF!</v>
      </c>
      <c r="U934" s="25" t="e">
        <f ca="1"/>
        <v>#REF!</v>
      </c>
      <c r="V934" s="25" t="e">
        <f ca="1"/>
        <v>#REF!</v>
      </c>
      <c r="W934" s="33" t="e">
        <f ca="1"/>
        <v>#REF!</v>
      </c>
      <c r="X934" s="33" t="e">
        <f ca="1"/>
        <v>#REF!</v>
      </c>
      <c r="Y934" s="33" t="e">
        <f ca="1"/>
        <v>#REF!</v>
      </c>
      <c r="Z934" s="33" t="e">
        <f ca="1"/>
        <v>#REF!</v>
      </c>
      <c r="AA934" s="33" t="e">
        <f ca="1"/>
        <v>#REF!</v>
      </c>
    </row>
    <row r="935" spans="1:27" s="70" customFormat="1" ht="11.25" x14ac:dyDescent="0.2">
      <c r="A935" s="24">
        <v>929</v>
      </c>
      <c r="B935" s="24"/>
      <c r="C935" s="25"/>
      <c r="D935" s="26"/>
      <c r="E935" s="25"/>
      <c r="F935" s="25"/>
      <c r="G935" s="24"/>
      <c r="H935" s="28" t="e">
        <f ca="1"/>
        <v>#REF!</v>
      </c>
      <c r="I935" s="27" t="e">
        <f ca="1"/>
        <v>#REF!</v>
      </c>
      <c r="J935" s="28" t="e">
        <f ca="1"/>
        <v>#REF!</v>
      </c>
      <c r="K935" s="27" t="e">
        <f ca="1"/>
        <v>#REF!</v>
      </c>
      <c r="L935" s="25" t="e">
        <f ca="1"/>
        <v>#REF!</v>
      </c>
      <c r="M935" s="25" t="e">
        <f ca="1"/>
        <v>#REF!</v>
      </c>
      <c r="N935" s="25" t="e">
        <f ca="1"/>
        <v>#REF!</v>
      </c>
      <c r="O935" s="25" t="e">
        <f ca="1"/>
        <v>#REF!</v>
      </c>
      <c r="P935" s="25" t="e">
        <f ca="1"/>
        <v>#REF!</v>
      </c>
      <c r="Q935" s="25" t="e">
        <f ca="1"/>
        <v>#REF!</v>
      </c>
      <c r="R935" s="25" t="e">
        <f ca="1"/>
        <v>#REF!</v>
      </c>
      <c r="S935" s="25" t="e">
        <f ca="1"/>
        <v>#REF!</v>
      </c>
      <c r="T935" s="25" t="e">
        <f ca="1"/>
        <v>#REF!</v>
      </c>
      <c r="U935" s="25" t="e">
        <f ca="1"/>
        <v>#REF!</v>
      </c>
      <c r="V935" s="25" t="e">
        <f ca="1"/>
        <v>#REF!</v>
      </c>
      <c r="W935" s="33" t="e">
        <f ca="1"/>
        <v>#REF!</v>
      </c>
      <c r="X935" s="33" t="e">
        <f ca="1"/>
        <v>#REF!</v>
      </c>
      <c r="Y935" s="33" t="e">
        <f ca="1"/>
        <v>#REF!</v>
      </c>
      <c r="Z935" s="33" t="e">
        <f ca="1"/>
        <v>#REF!</v>
      </c>
      <c r="AA935" s="33" t="e">
        <f ca="1"/>
        <v>#REF!</v>
      </c>
    </row>
    <row r="936" spans="1:27" s="70" customFormat="1" ht="11.25" x14ac:dyDescent="0.2">
      <c r="A936" s="24">
        <v>930</v>
      </c>
      <c r="B936" s="24"/>
      <c r="C936" s="25"/>
      <c r="D936" s="26"/>
      <c r="E936" s="25"/>
      <c r="F936" s="25"/>
      <c r="G936" s="24"/>
      <c r="H936" s="28" t="e">
        <f ca="1"/>
        <v>#REF!</v>
      </c>
      <c r="I936" s="27" t="e">
        <f ca="1"/>
        <v>#REF!</v>
      </c>
      <c r="J936" s="28" t="e">
        <f ca="1"/>
        <v>#REF!</v>
      </c>
      <c r="K936" s="27" t="e">
        <f ca="1"/>
        <v>#REF!</v>
      </c>
      <c r="L936" s="25" t="e">
        <f ca="1"/>
        <v>#REF!</v>
      </c>
      <c r="M936" s="25" t="e">
        <f ca="1"/>
        <v>#REF!</v>
      </c>
      <c r="N936" s="25" t="e">
        <f ca="1"/>
        <v>#REF!</v>
      </c>
      <c r="O936" s="25" t="e">
        <f ca="1"/>
        <v>#REF!</v>
      </c>
      <c r="P936" s="25" t="e">
        <f ca="1"/>
        <v>#REF!</v>
      </c>
      <c r="Q936" s="25" t="e">
        <f ca="1"/>
        <v>#REF!</v>
      </c>
      <c r="R936" s="25" t="e">
        <f ca="1"/>
        <v>#REF!</v>
      </c>
      <c r="S936" s="25" t="e">
        <f ca="1"/>
        <v>#REF!</v>
      </c>
      <c r="T936" s="25" t="e">
        <f ca="1"/>
        <v>#REF!</v>
      </c>
      <c r="U936" s="25" t="e">
        <f ca="1"/>
        <v>#REF!</v>
      </c>
      <c r="V936" s="25" t="e">
        <f ca="1"/>
        <v>#REF!</v>
      </c>
      <c r="W936" s="33" t="e">
        <f ca="1"/>
        <v>#REF!</v>
      </c>
      <c r="X936" s="33" t="e">
        <f ca="1"/>
        <v>#REF!</v>
      </c>
      <c r="Y936" s="33" t="e">
        <f ca="1"/>
        <v>#REF!</v>
      </c>
      <c r="Z936" s="33" t="e">
        <f ca="1"/>
        <v>#REF!</v>
      </c>
      <c r="AA936" s="33" t="e">
        <f ca="1"/>
        <v>#REF!</v>
      </c>
    </row>
    <row r="937" spans="1:27" s="70" customFormat="1" ht="11.25" x14ac:dyDescent="0.2">
      <c r="A937" s="24">
        <v>931</v>
      </c>
      <c r="B937" s="24"/>
      <c r="C937" s="25"/>
      <c r="D937" s="26"/>
      <c r="E937" s="25"/>
      <c r="F937" s="25"/>
      <c r="G937" s="24"/>
      <c r="H937" s="28" t="e">
        <f ca="1"/>
        <v>#REF!</v>
      </c>
      <c r="I937" s="27" t="e">
        <f ca="1"/>
        <v>#REF!</v>
      </c>
      <c r="J937" s="28" t="e">
        <f ca="1"/>
        <v>#REF!</v>
      </c>
      <c r="K937" s="27" t="e">
        <f ca="1"/>
        <v>#REF!</v>
      </c>
      <c r="L937" s="25" t="e">
        <f ca="1"/>
        <v>#REF!</v>
      </c>
      <c r="M937" s="25" t="e">
        <f ca="1"/>
        <v>#REF!</v>
      </c>
      <c r="N937" s="25" t="e">
        <f ca="1"/>
        <v>#REF!</v>
      </c>
      <c r="O937" s="25" t="e">
        <f ca="1"/>
        <v>#REF!</v>
      </c>
      <c r="P937" s="25" t="e">
        <f ca="1"/>
        <v>#REF!</v>
      </c>
      <c r="Q937" s="25" t="e">
        <f ca="1"/>
        <v>#REF!</v>
      </c>
      <c r="R937" s="25" t="e">
        <f ca="1"/>
        <v>#REF!</v>
      </c>
      <c r="S937" s="25" t="e">
        <f ca="1"/>
        <v>#REF!</v>
      </c>
      <c r="T937" s="25" t="e">
        <f ca="1"/>
        <v>#REF!</v>
      </c>
      <c r="U937" s="25" t="e">
        <f ca="1"/>
        <v>#REF!</v>
      </c>
      <c r="V937" s="25" t="e">
        <f ca="1"/>
        <v>#REF!</v>
      </c>
      <c r="W937" s="33" t="e">
        <f ca="1"/>
        <v>#REF!</v>
      </c>
      <c r="X937" s="33" t="e">
        <f ca="1"/>
        <v>#REF!</v>
      </c>
      <c r="Y937" s="33" t="e">
        <f ca="1"/>
        <v>#REF!</v>
      </c>
      <c r="Z937" s="33" t="e">
        <f ca="1"/>
        <v>#REF!</v>
      </c>
      <c r="AA937" s="33" t="e">
        <f ca="1"/>
        <v>#REF!</v>
      </c>
    </row>
    <row r="938" spans="1:27" s="70" customFormat="1" ht="11.25" x14ac:dyDescent="0.2">
      <c r="A938" s="24">
        <v>932</v>
      </c>
      <c r="B938" s="24"/>
      <c r="C938" s="25"/>
      <c r="D938" s="26"/>
      <c r="E938" s="25"/>
      <c r="F938" s="25"/>
      <c r="G938" s="24"/>
      <c r="H938" s="28" t="e">
        <f ca="1"/>
        <v>#REF!</v>
      </c>
      <c r="I938" s="27" t="e">
        <f ca="1"/>
        <v>#REF!</v>
      </c>
      <c r="J938" s="28" t="e">
        <f ca="1"/>
        <v>#REF!</v>
      </c>
      <c r="K938" s="27" t="e">
        <f ca="1"/>
        <v>#REF!</v>
      </c>
      <c r="L938" s="25" t="e">
        <f ca="1"/>
        <v>#REF!</v>
      </c>
      <c r="M938" s="25" t="e">
        <f ca="1"/>
        <v>#REF!</v>
      </c>
      <c r="N938" s="25" t="e">
        <f ca="1"/>
        <v>#REF!</v>
      </c>
      <c r="O938" s="25" t="e">
        <f ca="1"/>
        <v>#REF!</v>
      </c>
      <c r="P938" s="25" t="e">
        <f ca="1"/>
        <v>#REF!</v>
      </c>
      <c r="Q938" s="25" t="e">
        <f ca="1"/>
        <v>#REF!</v>
      </c>
      <c r="R938" s="25" t="e">
        <f ca="1"/>
        <v>#REF!</v>
      </c>
      <c r="S938" s="25" t="e">
        <f ca="1"/>
        <v>#REF!</v>
      </c>
      <c r="T938" s="25" t="e">
        <f ca="1"/>
        <v>#REF!</v>
      </c>
      <c r="U938" s="25" t="e">
        <f ca="1"/>
        <v>#REF!</v>
      </c>
      <c r="V938" s="25" t="e">
        <f ca="1"/>
        <v>#REF!</v>
      </c>
      <c r="W938" s="33" t="e">
        <f ca="1"/>
        <v>#REF!</v>
      </c>
      <c r="X938" s="33" t="e">
        <f ca="1"/>
        <v>#REF!</v>
      </c>
      <c r="Y938" s="33" t="e">
        <f ca="1"/>
        <v>#REF!</v>
      </c>
      <c r="Z938" s="33" t="e">
        <f ca="1"/>
        <v>#REF!</v>
      </c>
      <c r="AA938" s="33" t="e">
        <f ca="1"/>
        <v>#REF!</v>
      </c>
    </row>
    <row r="939" spans="1:27" s="70" customFormat="1" ht="11.25" x14ac:dyDescent="0.2">
      <c r="A939" s="24">
        <v>933</v>
      </c>
      <c r="B939" s="24"/>
      <c r="C939" s="25"/>
      <c r="D939" s="26"/>
      <c r="E939" s="25"/>
      <c r="F939" s="25"/>
      <c r="G939" s="24"/>
      <c r="H939" s="28" t="e">
        <f ca="1"/>
        <v>#REF!</v>
      </c>
      <c r="I939" s="27" t="e">
        <f ca="1"/>
        <v>#REF!</v>
      </c>
      <c r="J939" s="28" t="e">
        <f ca="1"/>
        <v>#REF!</v>
      </c>
      <c r="K939" s="27" t="e">
        <f ca="1"/>
        <v>#REF!</v>
      </c>
      <c r="L939" s="25" t="e">
        <f ca="1"/>
        <v>#REF!</v>
      </c>
      <c r="M939" s="25" t="e">
        <f ca="1"/>
        <v>#REF!</v>
      </c>
      <c r="N939" s="25" t="e">
        <f ca="1"/>
        <v>#REF!</v>
      </c>
      <c r="O939" s="25" t="e">
        <f ca="1"/>
        <v>#REF!</v>
      </c>
      <c r="P939" s="25" t="e">
        <f ca="1"/>
        <v>#REF!</v>
      </c>
      <c r="Q939" s="25" t="e">
        <f ca="1"/>
        <v>#REF!</v>
      </c>
      <c r="R939" s="25" t="e">
        <f ca="1"/>
        <v>#REF!</v>
      </c>
      <c r="S939" s="25" t="e">
        <f ca="1"/>
        <v>#REF!</v>
      </c>
      <c r="T939" s="25" t="e">
        <f ca="1"/>
        <v>#REF!</v>
      </c>
      <c r="U939" s="25" t="e">
        <f ca="1"/>
        <v>#REF!</v>
      </c>
      <c r="V939" s="25" t="e">
        <f ca="1"/>
        <v>#REF!</v>
      </c>
      <c r="W939" s="33" t="e">
        <f ca="1"/>
        <v>#REF!</v>
      </c>
      <c r="X939" s="33" t="e">
        <f ca="1"/>
        <v>#REF!</v>
      </c>
      <c r="Y939" s="33" t="e">
        <f ca="1"/>
        <v>#REF!</v>
      </c>
      <c r="Z939" s="33" t="e">
        <f ca="1"/>
        <v>#REF!</v>
      </c>
      <c r="AA939" s="33" t="e">
        <f ca="1"/>
        <v>#REF!</v>
      </c>
    </row>
    <row r="940" spans="1:27" s="70" customFormat="1" ht="11.25" x14ac:dyDescent="0.2">
      <c r="A940" s="24">
        <v>934</v>
      </c>
      <c r="B940" s="24"/>
      <c r="C940" s="25"/>
      <c r="D940" s="26"/>
      <c r="E940" s="25"/>
      <c r="F940" s="25"/>
      <c r="G940" s="24"/>
      <c r="H940" s="28" t="e">
        <f ca="1"/>
        <v>#REF!</v>
      </c>
      <c r="I940" s="27" t="e">
        <f ca="1"/>
        <v>#REF!</v>
      </c>
      <c r="J940" s="28" t="e">
        <f ca="1"/>
        <v>#REF!</v>
      </c>
      <c r="K940" s="27" t="e">
        <f ca="1"/>
        <v>#REF!</v>
      </c>
      <c r="L940" s="25" t="e">
        <f ca="1"/>
        <v>#REF!</v>
      </c>
      <c r="M940" s="25" t="e">
        <f ca="1"/>
        <v>#REF!</v>
      </c>
      <c r="N940" s="25" t="e">
        <f ca="1"/>
        <v>#REF!</v>
      </c>
      <c r="O940" s="25" t="e">
        <f ca="1"/>
        <v>#REF!</v>
      </c>
      <c r="P940" s="25" t="e">
        <f ca="1"/>
        <v>#REF!</v>
      </c>
      <c r="Q940" s="25" t="e">
        <f ca="1"/>
        <v>#REF!</v>
      </c>
      <c r="R940" s="25" t="e">
        <f ca="1"/>
        <v>#REF!</v>
      </c>
      <c r="S940" s="25" t="e">
        <f ca="1"/>
        <v>#REF!</v>
      </c>
      <c r="T940" s="25" t="e">
        <f ca="1"/>
        <v>#REF!</v>
      </c>
      <c r="U940" s="25" t="e">
        <f ca="1"/>
        <v>#REF!</v>
      </c>
      <c r="V940" s="25" t="e">
        <f ca="1"/>
        <v>#REF!</v>
      </c>
      <c r="W940" s="33" t="e">
        <f ca="1"/>
        <v>#REF!</v>
      </c>
      <c r="X940" s="33" t="e">
        <f ca="1"/>
        <v>#REF!</v>
      </c>
      <c r="Y940" s="33" t="e">
        <f ca="1"/>
        <v>#REF!</v>
      </c>
      <c r="Z940" s="33" t="e">
        <f ca="1"/>
        <v>#REF!</v>
      </c>
      <c r="AA940" s="33" t="e">
        <f ca="1"/>
        <v>#REF!</v>
      </c>
    </row>
    <row r="941" spans="1:27" s="70" customFormat="1" ht="11.25" x14ac:dyDescent="0.2">
      <c r="A941" s="24">
        <v>935</v>
      </c>
      <c r="B941" s="24"/>
      <c r="C941" s="25"/>
      <c r="D941" s="26"/>
      <c r="E941" s="25"/>
      <c r="F941" s="25"/>
      <c r="G941" s="24"/>
      <c r="H941" s="28" t="e">
        <f ca="1"/>
        <v>#REF!</v>
      </c>
      <c r="I941" s="27" t="e">
        <f ca="1"/>
        <v>#REF!</v>
      </c>
      <c r="J941" s="28" t="e">
        <f ca="1"/>
        <v>#REF!</v>
      </c>
      <c r="K941" s="27" t="e">
        <f ca="1"/>
        <v>#REF!</v>
      </c>
      <c r="L941" s="25" t="e">
        <f ca="1"/>
        <v>#REF!</v>
      </c>
      <c r="M941" s="25" t="e">
        <f ca="1"/>
        <v>#REF!</v>
      </c>
      <c r="N941" s="25" t="e">
        <f ca="1"/>
        <v>#REF!</v>
      </c>
      <c r="O941" s="25" t="e">
        <f ca="1"/>
        <v>#REF!</v>
      </c>
      <c r="P941" s="25" t="e">
        <f ca="1"/>
        <v>#REF!</v>
      </c>
      <c r="Q941" s="25" t="e">
        <f ca="1"/>
        <v>#REF!</v>
      </c>
      <c r="R941" s="25" t="e">
        <f ca="1"/>
        <v>#REF!</v>
      </c>
      <c r="S941" s="25" t="e">
        <f ca="1"/>
        <v>#REF!</v>
      </c>
      <c r="T941" s="25" t="e">
        <f ca="1"/>
        <v>#REF!</v>
      </c>
      <c r="U941" s="25" t="e">
        <f ca="1"/>
        <v>#REF!</v>
      </c>
      <c r="V941" s="25" t="e">
        <f ca="1"/>
        <v>#REF!</v>
      </c>
      <c r="W941" s="33" t="e">
        <f ca="1"/>
        <v>#REF!</v>
      </c>
      <c r="X941" s="33" t="e">
        <f ca="1"/>
        <v>#REF!</v>
      </c>
      <c r="Y941" s="33" t="e">
        <f ca="1"/>
        <v>#REF!</v>
      </c>
      <c r="Z941" s="33" t="e">
        <f ca="1"/>
        <v>#REF!</v>
      </c>
      <c r="AA941" s="33" t="e">
        <f ca="1"/>
        <v>#REF!</v>
      </c>
    </row>
    <row r="942" spans="1:27" s="70" customFormat="1" ht="11.25" x14ac:dyDescent="0.2">
      <c r="A942" s="24">
        <v>936</v>
      </c>
      <c r="B942" s="24"/>
      <c r="C942" s="25"/>
      <c r="D942" s="26"/>
      <c r="E942" s="25"/>
      <c r="F942" s="25"/>
      <c r="G942" s="24"/>
      <c r="H942" s="28" t="e">
        <f ca="1"/>
        <v>#REF!</v>
      </c>
      <c r="I942" s="27" t="e">
        <f ca="1"/>
        <v>#REF!</v>
      </c>
      <c r="J942" s="28" t="e">
        <f ca="1"/>
        <v>#REF!</v>
      </c>
      <c r="K942" s="27" t="e">
        <f ca="1"/>
        <v>#REF!</v>
      </c>
      <c r="L942" s="25" t="e">
        <f ca="1"/>
        <v>#REF!</v>
      </c>
      <c r="M942" s="25" t="e">
        <f ca="1"/>
        <v>#REF!</v>
      </c>
      <c r="N942" s="25" t="e">
        <f ca="1"/>
        <v>#REF!</v>
      </c>
      <c r="O942" s="25" t="e">
        <f ca="1"/>
        <v>#REF!</v>
      </c>
      <c r="P942" s="25" t="e">
        <f ca="1"/>
        <v>#REF!</v>
      </c>
      <c r="Q942" s="25" t="e">
        <f ca="1"/>
        <v>#REF!</v>
      </c>
      <c r="R942" s="25" t="e">
        <f ca="1"/>
        <v>#REF!</v>
      </c>
      <c r="S942" s="25" t="e">
        <f ca="1"/>
        <v>#REF!</v>
      </c>
      <c r="T942" s="25" t="e">
        <f ca="1"/>
        <v>#REF!</v>
      </c>
      <c r="U942" s="25" t="e">
        <f ca="1"/>
        <v>#REF!</v>
      </c>
      <c r="V942" s="25" t="e">
        <f ca="1"/>
        <v>#REF!</v>
      </c>
      <c r="W942" s="33" t="e">
        <f ca="1"/>
        <v>#REF!</v>
      </c>
      <c r="X942" s="33" t="e">
        <f ca="1"/>
        <v>#REF!</v>
      </c>
      <c r="Y942" s="33" t="e">
        <f ca="1"/>
        <v>#REF!</v>
      </c>
      <c r="Z942" s="33" t="e">
        <f ca="1"/>
        <v>#REF!</v>
      </c>
      <c r="AA942" s="33" t="e">
        <f ca="1"/>
        <v>#REF!</v>
      </c>
    </row>
    <row r="943" spans="1:27" s="70" customFormat="1" ht="11.25" x14ac:dyDescent="0.2">
      <c r="A943" s="24">
        <v>937</v>
      </c>
      <c r="B943" s="24"/>
      <c r="C943" s="25"/>
      <c r="D943" s="26"/>
      <c r="E943" s="25"/>
      <c r="F943" s="25"/>
      <c r="G943" s="24"/>
      <c r="H943" s="28" t="e">
        <f ca="1"/>
        <v>#REF!</v>
      </c>
      <c r="I943" s="27" t="e">
        <f ca="1"/>
        <v>#REF!</v>
      </c>
      <c r="J943" s="28" t="e">
        <f ca="1"/>
        <v>#REF!</v>
      </c>
      <c r="K943" s="27" t="e">
        <f ca="1"/>
        <v>#REF!</v>
      </c>
      <c r="L943" s="25" t="e">
        <f ca="1"/>
        <v>#REF!</v>
      </c>
      <c r="M943" s="25" t="e">
        <f ca="1"/>
        <v>#REF!</v>
      </c>
      <c r="N943" s="25" t="e">
        <f ca="1"/>
        <v>#REF!</v>
      </c>
      <c r="O943" s="25" t="e">
        <f ca="1"/>
        <v>#REF!</v>
      </c>
      <c r="P943" s="25" t="e">
        <f ca="1"/>
        <v>#REF!</v>
      </c>
      <c r="Q943" s="25" t="e">
        <f ca="1"/>
        <v>#REF!</v>
      </c>
      <c r="R943" s="25" t="e">
        <f ca="1"/>
        <v>#REF!</v>
      </c>
      <c r="S943" s="25" t="e">
        <f ca="1"/>
        <v>#REF!</v>
      </c>
      <c r="T943" s="25" t="e">
        <f ca="1"/>
        <v>#REF!</v>
      </c>
      <c r="U943" s="25" t="e">
        <f ca="1"/>
        <v>#REF!</v>
      </c>
      <c r="V943" s="25" t="e">
        <f ca="1"/>
        <v>#REF!</v>
      </c>
      <c r="W943" s="33" t="e">
        <f ca="1"/>
        <v>#REF!</v>
      </c>
      <c r="X943" s="33" t="e">
        <f ca="1"/>
        <v>#REF!</v>
      </c>
      <c r="Y943" s="33" t="e">
        <f ca="1"/>
        <v>#REF!</v>
      </c>
      <c r="Z943" s="33" t="e">
        <f ca="1"/>
        <v>#REF!</v>
      </c>
      <c r="AA943" s="33" t="e">
        <f ca="1"/>
        <v>#REF!</v>
      </c>
    </row>
    <row r="944" spans="1:27" s="70" customFormat="1" ht="11.25" x14ac:dyDescent="0.2">
      <c r="A944" s="24">
        <v>938</v>
      </c>
      <c r="B944" s="24"/>
      <c r="C944" s="25"/>
      <c r="D944" s="26"/>
      <c r="E944" s="25"/>
      <c r="F944" s="25"/>
      <c r="G944" s="24"/>
      <c r="H944" s="28" t="e">
        <f ca="1"/>
        <v>#REF!</v>
      </c>
      <c r="I944" s="27" t="e">
        <f ca="1"/>
        <v>#REF!</v>
      </c>
      <c r="J944" s="28" t="e">
        <f ca="1"/>
        <v>#REF!</v>
      </c>
      <c r="K944" s="27" t="e">
        <f ca="1"/>
        <v>#REF!</v>
      </c>
      <c r="L944" s="25" t="e">
        <f ca="1"/>
        <v>#REF!</v>
      </c>
      <c r="M944" s="25" t="e">
        <f ca="1"/>
        <v>#REF!</v>
      </c>
      <c r="N944" s="25" t="e">
        <f ca="1"/>
        <v>#REF!</v>
      </c>
      <c r="O944" s="25" t="e">
        <f ca="1"/>
        <v>#REF!</v>
      </c>
      <c r="P944" s="25" t="e">
        <f ca="1"/>
        <v>#REF!</v>
      </c>
      <c r="Q944" s="25" t="e">
        <f ca="1"/>
        <v>#REF!</v>
      </c>
      <c r="R944" s="25" t="e">
        <f ca="1"/>
        <v>#REF!</v>
      </c>
      <c r="S944" s="25" t="e">
        <f ca="1"/>
        <v>#REF!</v>
      </c>
      <c r="T944" s="25" t="e">
        <f ca="1"/>
        <v>#REF!</v>
      </c>
      <c r="U944" s="25" t="e">
        <f ca="1"/>
        <v>#REF!</v>
      </c>
      <c r="V944" s="25" t="e">
        <f ca="1"/>
        <v>#REF!</v>
      </c>
      <c r="W944" s="33" t="e">
        <f ca="1"/>
        <v>#REF!</v>
      </c>
      <c r="X944" s="33" t="e">
        <f ca="1"/>
        <v>#REF!</v>
      </c>
      <c r="Y944" s="33" t="e">
        <f ca="1"/>
        <v>#REF!</v>
      </c>
      <c r="Z944" s="33" t="e">
        <f ca="1"/>
        <v>#REF!</v>
      </c>
      <c r="AA944" s="33" t="e">
        <f ca="1"/>
        <v>#REF!</v>
      </c>
    </row>
    <row r="945" spans="1:27" s="70" customFormat="1" ht="11.25" x14ac:dyDescent="0.2">
      <c r="A945" s="24">
        <v>939</v>
      </c>
      <c r="B945" s="24"/>
      <c r="C945" s="25"/>
      <c r="D945" s="26"/>
      <c r="E945" s="25"/>
      <c r="F945" s="25"/>
      <c r="G945" s="24"/>
      <c r="H945" s="28" t="e">
        <f ca="1"/>
        <v>#REF!</v>
      </c>
      <c r="I945" s="27" t="e">
        <f ca="1"/>
        <v>#REF!</v>
      </c>
      <c r="J945" s="28" t="e">
        <f ca="1"/>
        <v>#REF!</v>
      </c>
      <c r="K945" s="27" t="e">
        <f ca="1"/>
        <v>#REF!</v>
      </c>
      <c r="L945" s="25" t="e">
        <f ca="1"/>
        <v>#REF!</v>
      </c>
      <c r="M945" s="25" t="e">
        <f ca="1"/>
        <v>#REF!</v>
      </c>
      <c r="N945" s="25" t="e">
        <f ca="1"/>
        <v>#REF!</v>
      </c>
      <c r="O945" s="25" t="e">
        <f ca="1"/>
        <v>#REF!</v>
      </c>
      <c r="P945" s="25" t="e">
        <f ca="1"/>
        <v>#REF!</v>
      </c>
      <c r="Q945" s="25" t="e">
        <f ca="1"/>
        <v>#REF!</v>
      </c>
      <c r="R945" s="25" t="e">
        <f ca="1"/>
        <v>#REF!</v>
      </c>
      <c r="S945" s="25" t="e">
        <f ca="1"/>
        <v>#REF!</v>
      </c>
      <c r="T945" s="25" t="e">
        <f ca="1"/>
        <v>#REF!</v>
      </c>
      <c r="U945" s="25" t="e">
        <f ca="1"/>
        <v>#REF!</v>
      </c>
      <c r="V945" s="25" t="e">
        <f ca="1"/>
        <v>#REF!</v>
      </c>
      <c r="W945" s="33" t="e">
        <f ca="1"/>
        <v>#REF!</v>
      </c>
      <c r="X945" s="33" t="e">
        <f ca="1"/>
        <v>#REF!</v>
      </c>
      <c r="Y945" s="33" t="e">
        <f ca="1"/>
        <v>#REF!</v>
      </c>
      <c r="Z945" s="33" t="e">
        <f ca="1"/>
        <v>#REF!</v>
      </c>
      <c r="AA945" s="33" t="e">
        <f ca="1"/>
        <v>#REF!</v>
      </c>
    </row>
    <row r="946" spans="1:27" s="70" customFormat="1" ht="11.25" x14ac:dyDescent="0.2">
      <c r="A946" s="24">
        <v>940</v>
      </c>
      <c r="B946" s="24"/>
      <c r="C946" s="25"/>
      <c r="D946" s="26"/>
      <c r="E946" s="25"/>
      <c r="F946" s="25"/>
      <c r="G946" s="24"/>
      <c r="H946" s="28" t="e">
        <f ca="1"/>
        <v>#REF!</v>
      </c>
      <c r="I946" s="27" t="e">
        <f ca="1"/>
        <v>#REF!</v>
      </c>
      <c r="J946" s="28" t="e">
        <f ca="1"/>
        <v>#REF!</v>
      </c>
      <c r="K946" s="27" t="e">
        <f ca="1"/>
        <v>#REF!</v>
      </c>
      <c r="L946" s="25" t="e">
        <f ca="1"/>
        <v>#REF!</v>
      </c>
      <c r="M946" s="25" t="e">
        <f ca="1"/>
        <v>#REF!</v>
      </c>
      <c r="N946" s="25" t="e">
        <f ca="1"/>
        <v>#REF!</v>
      </c>
      <c r="O946" s="25" t="e">
        <f ca="1"/>
        <v>#REF!</v>
      </c>
      <c r="P946" s="25" t="e">
        <f ca="1"/>
        <v>#REF!</v>
      </c>
      <c r="Q946" s="25" t="e">
        <f ca="1"/>
        <v>#REF!</v>
      </c>
      <c r="R946" s="25" t="e">
        <f ca="1"/>
        <v>#REF!</v>
      </c>
      <c r="S946" s="25" t="e">
        <f ca="1"/>
        <v>#REF!</v>
      </c>
      <c r="T946" s="25" t="e">
        <f ca="1"/>
        <v>#REF!</v>
      </c>
      <c r="U946" s="25" t="e">
        <f ca="1"/>
        <v>#REF!</v>
      </c>
      <c r="V946" s="25" t="e">
        <f ca="1"/>
        <v>#REF!</v>
      </c>
      <c r="W946" s="33" t="e">
        <f ca="1"/>
        <v>#REF!</v>
      </c>
      <c r="X946" s="33" t="e">
        <f ca="1"/>
        <v>#REF!</v>
      </c>
      <c r="Y946" s="33" t="e">
        <f ca="1"/>
        <v>#REF!</v>
      </c>
      <c r="Z946" s="33" t="e">
        <f ca="1"/>
        <v>#REF!</v>
      </c>
      <c r="AA946" s="33" t="e">
        <f ca="1"/>
        <v>#REF!</v>
      </c>
    </row>
    <row r="947" spans="1:27" s="70" customFormat="1" ht="11.25" x14ac:dyDescent="0.2">
      <c r="A947" s="24">
        <v>941</v>
      </c>
      <c r="B947" s="24"/>
      <c r="C947" s="25"/>
      <c r="D947" s="26"/>
      <c r="E947" s="25"/>
      <c r="F947" s="25"/>
      <c r="G947" s="24"/>
      <c r="H947" s="28" t="e">
        <f ca="1"/>
        <v>#REF!</v>
      </c>
      <c r="I947" s="27" t="e">
        <f ca="1"/>
        <v>#REF!</v>
      </c>
      <c r="J947" s="28" t="e">
        <f ca="1"/>
        <v>#REF!</v>
      </c>
      <c r="K947" s="27" t="e">
        <f ca="1"/>
        <v>#REF!</v>
      </c>
      <c r="L947" s="25" t="e">
        <f ca="1"/>
        <v>#REF!</v>
      </c>
      <c r="M947" s="25" t="e">
        <f ca="1"/>
        <v>#REF!</v>
      </c>
      <c r="N947" s="25" t="e">
        <f ca="1"/>
        <v>#REF!</v>
      </c>
      <c r="O947" s="25" t="e">
        <f ca="1"/>
        <v>#REF!</v>
      </c>
      <c r="P947" s="25" t="e">
        <f ca="1"/>
        <v>#REF!</v>
      </c>
      <c r="Q947" s="25" t="e">
        <f ca="1"/>
        <v>#REF!</v>
      </c>
      <c r="R947" s="25" t="e">
        <f ca="1"/>
        <v>#REF!</v>
      </c>
      <c r="S947" s="25" t="e">
        <f ca="1"/>
        <v>#REF!</v>
      </c>
      <c r="T947" s="25" t="e">
        <f ca="1"/>
        <v>#REF!</v>
      </c>
      <c r="U947" s="25" t="e">
        <f ca="1"/>
        <v>#REF!</v>
      </c>
      <c r="V947" s="25" t="e">
        <f ca="1"/>
        <v>#REF!</v>
      </c>
      <c r="W947" s="33" t="e">
        <f ca="1"/>
        <v>#REF!</v>
      </c>
      <c r="X947" s="33" t="e">
        <f ca="1"/>
        <v>#REF!</v>
      </c>
      <c r="Y947" s="33" t="e">
        <f ca="1"/>
        <v>#REF!</v>
      </c>
      <c r="Z947" s="33" t="e">
        <f ca="1"/>
        <v>#REF!</v>
      </c>
      <c r="AA947" s="33" t="e">
        <f ca="1"/>
        <v>#REF!</v>
      </c>
    </row>
    <row r="948" spans="1:27" s="70" customFormat="1" ht="11.25" x14ac:dyDescent="0.2">
      <c r="A948" s="24">
        <v>942</v>
      </c>
      <c r="B948" s="24"/>
      <c r="C948" s="25"/>
      <c r="D948" s="26"/>
      <c r="E948" s="25"/>
      <c r="F948" s="25"/>
      <c r="G948" s="24"/>
      <c r="H948" s="28" t="e">
        <f ca="1"/>
        <v>#REF!</v>
      </c>
      <c r="I948" s="27" t="e">
        <f ca="1"/>
        <v>#REF!</v>
      </c>
      <c r="J948" s="28" t="e">
        <f ca="1"/>
        <v>#REF!</v>
      </c>
      <c r="K948" s="27" t="e">
        <f ca="1"/>
        <v>#REF!</v>
      </c>
      <c r="L948" s="25" t="e">
        <f ca="1"/>
        <v>#REF!</v>
      </c>
      <c r="M948" s="25" t="e">
        <f ca="1"/>
        <v>#REF!</v>
      </c>
      <c r="N948" s="25" t="e">
        <f ca="1"/>
        <v>#REF!</v>
      </c>
      <c r="O948" s="25" t="e">
        <f ca="1"/>
        <v>#REF!</v>
      </c>
      <c r="P948" s="25" t="e">
        <f ca="1"/>
        <v>#REF!</v>
      </c>
      <c r="Q948" s="25" t="e">
        <f ca="1"/>
        <v>#REF!</v>
      </c>
      <c r="R948" s="25" t="e">
        <f ca="1"/>
        <v>#REF!</v>
      </c>
      <c r="S948" s="25" t="e">
        <f ca="1"/>
        <v>#REF!</v>
      </c>
      <c r="T948" s="25" t="e">
        <f ca="1"/>
        <v>#REF!</v>
      </c>
      <c r="U948" s="25" t="e">
        <f ca="1"/>
        <v>#REF!</v>
      </c>
      <c r="V948" s="25" t="e">
        <f ca="1"/>
        <v>#REF!</v>
      </c>
      <c r="W948" s="33" t="e">
        <f ca="1"/>
        <v>#REF!</v>
      </c>
      <c r="X948" s="33" t="e">
        <f ca="1"/>
        <v>#REF!</v>
      </c>
      <c r="Y948" s="33" t="e">
        <f ca="1"/>
        <v>#REF!</v>
      </c>
      <c r="Z948" s="33" t="e">
        <f ca="1"/>
        <v>#REF!</v>
      </c>
      <c r="AA948" s="33" t="e">
        <f ca="1"/>
        <v>#REF!</v>
      </c>
    </row>
    <row r="949" spans="1:27" s="70" customFormat="1" ht="11.25" x14ac:dyDescent="0.2">
      <c r="A949" s="24">
        <v>943</v>
      </c>
      <c r="B949" s="24"/>
      <c r="C949" s="25"/>
      <c r="D949" s="26"/>
      <c r="E949" s="25"/>
      <c r="F949" s="25"/>
      <c r="G949" s="24"/>
      <c r="H949" s="28" t="e">
        <f ca="1"/>
        <v>#REF!</v>
      </c>
      <c r="I949" s="27" t="e">
        <f ca="1"/>
        <v>#REF!</v>
      </c>
      <c r="J949" s="28" t="e">
        <f ca="1"/>
        <v>#REF!</v>
      </c>
      <c r="K949" s="27" t="e">
        <f ca="1"/>
        <v>#REF!</v>
      </c>
      <c r="L949" s="25" t="e">
        <f ca="1"/>
        <v>#REF!</v>
      </c>
      <c r="M949" s="25" t="e">
        <f ca="1"/>
        <v>#REF!</v>
      </c>
      <c r="N949" s="25" t="e">
        <f ca="1"/>
        <v>#REF!</v>
      </c>
      <c r="O949" s="25" t="e">
        <f ca="1"/>
        <v>#REF!</v>
      </c>
      <c r="P949" s="25" t="e">
        <f ca="1"/>
        <v>#REF!</v>
      </c>
      <c r="Q949" s="25" t="e">
        <f ca="1"/>
        <v>#REF!</v>
      </c>
      <c r="R949" s="25" t="e">
        <f ca="1"/>
        <v>#REF!</v>
      </c>
      <c r="S949" s="25" t="e">
        <f ca="1"/>
        <v>#REF!</v>
      </c>
      <c r="T949" s="25" t="e">
        <f ca="1"/>
        <v>#REF!</v>
      </c>
      <c r="U949" s="25" t="e">
        <f ca="1"/>
        <v>#REF!</v>
      </c>
      <c r="V949" s="25" t="e">
        <f ca="1"/>
        <v>#REF!</v>
      </c>
      <c r="W949" s="33" t="e">
        <f ca="1"/>
        <v>#REF!</v>
      </c>
      <c r="X949" s="33" t="e">
        <f ca="1"/>
        <v>#REF!</v>
      </c>
      <c r="Y949" s="33" t="e">
        <f ca="1"/>
        <v>#REF!</v>
      </c>
      <c r="Z949" s="33" t="e">
        <f ca="1"/>
        <v>#REF!</v>
      </c>
      <c r="AA949" s="33" t="e">
        <f ca="1"/>
        <v>#REF!</v>
      </c>
    </row>
    <row r="950" spans="1:27" s="70" customFormat="1" ht="11.25" x14ac:dyDescent="0.2">
      <c r="A950" s="24">
        <v>944</v>
      </c>
      <c r="B950" s="24"/>
      <c r="C950" s="25"/>
      <c r="D950" s="26"/>
      <c r="E950" s="25"/>
      <c r="F950" s="25"/>
      <c r="G950" s="24"/>
      <c r="H950" s="28" t="e">
        <f ca="1"/>
        <v>#REF!</v>
      </c>
      <c r="I950" s="27" t="e">
        <f ca="1"/>
        <v>#REF!</v>
      </c>
      <c r="J950" s="28" t="e">
        <f ca="1"/>
        <v>#REF!</v>
      </c>
      <c r="K950" s="27" t="e">
        <f ca="1"/>
        <v>#REF!</v>
      </c>
      <c r="L950" s="25" t="e">
        <f ca="1"/>
        <v>#REF!</v>
      </c>
      <c r="M950" s="25" t="e">
        <f ca="1"/>
        <v>#REF!</v>
      </c>
      <c r="N950" s="25" t="e">
        <f ca="1"/>
        <v>#REF!</v>
      </c>
      <c r="O950" s="25" t="e">
        <f ca="1"/>
        <v>#REF!</v>
      </c>
      <c r="P950" s="25" t="e">
        <f ca="1"/>
        <v>#REF!</v>
      </c>
      <c r="Q950" s="25" t="e">
        <f ca="1"/>
        <v>#REF!</v>
      </c>
      <c r="R950" s="25" t="e">
        <f ca="1"/>
        <v>#REF!</v>
      </c>
      <c r="S950" s="25" t="e">
        <f ca="1"/>
        <v>#REF!</v>
      </c>
      <c r="T950" s="25" t="e">
        <f ca="1"/>
        <v>#REF!</v>
      </c>
      <c r="U950" s="25" t="e">
        <f ca="1"/>
        <v>#REF!</v>
      </c>
      <c r="V950" s="25" t="e">
        <f ca="1"/>
        <v>#REF!</v>
      </c>
      <c r="W950" s="33" t="e">
        <f ca="1"/>
        <v>#REF!</v>
      </c>
      <c r="X950" s="33" t="e">
        <f ca="1"/>
        <v>#REF!</v>
      </c>
      <c r="Y950" s="33" t="e">
        <f ca="1"/>
        <v>#REF!</v>
      </c>
      <c r="Z950" s="33" t="e">
        <f ca="1"/>
        <v>#REF!</v>
      </c>
      <c r="AA950" s="33" t="e">
        <f ca="1"/>
        <v>#REF!</v>
      </c>
    </row>
    <row r="951" spans="1:27" s="70" customFormat="1" ht="11.25" x14ac:dyDescent="0.2">
      <c r="A951" s="24">
        <v>945</v>
      </c>
      <c r="B951" s="24"/>
      <c r="C951" s="25"/>
      <c r="D951" s="26"/>
      <c r="E951" s="25"/>
      <c r="F951" s="25"/>
      <c r="G951" s="24"/>
      <c r="H951" s="28" t="e">
        <f ca="1"/>
        <v>#REF!</v>
      </c>
      <c r="I951" s="27" t="e">
        <f ca="1"/>
        <v>#REF!</v>
      </c>
      <c r="J951" s="28" t="e">
        <f ca="1"/>
        <v>#REF!</v>
      </c>
      <c r="K951" s="27" t="e">
        <f ca="1"/>
        <v>#REF!</v>
      </c>
      <c r="L951" s="25" t="e">
        <f ca="1"/>
        <v>#REF!</v>
      </c>
      <c r="M951" s="25" t="e">
        <f ca="1"/>
        <v>#REF!</v>
      </c>
      <c r="N951" s="25" t="e">
        <f ca="1"/>
        <v>#REF!</v>
      </c>
      <c r="O951" s="25" t="e">
        <f ca="1"/>
        <v>#REF!</v>
      </c>
      <c r="P951" s="25" t="e">
        <f ca="1"/>
        <v>#REF!</v>
      </c>
      <c r="Q951" s="25" t="e">
        <f ca="1"/>
        <v>#REF!</v>
      </c>
      <c r="R951" s="25" t="e">
        <f ca="1"/>
        <v>#REF!</v>
      </c>
      <c r="S951" s="25" t="e">
        <f ca="1"/>
        <v>#REF!</v>
      </c>
      <c r="T951" s="25" t="e">
        <f ca="1"/>
        <v>#REF!</v>
      </c>
      <c r="U951" s="25" t="e">
        <f ca="1"/>
        <v>#REF!</v>
      </c>
      <c r="V951" s="25" t="e">
        <f ca="1"/>
        <v>#REF!</v>
      </c>
      <c r="W951" s="33" t="e">
        <f ca="1"/>
        <v>#REF!</v>
      </c>
      <c r="X951" s="33" t="e">
        <f ca="1"/>
        <v>#REF!</v>
      </c>
      <c r="Y951" s="33" t="e">
        <f ca="1"/>
        <v>#REF!</v>
      </c>
      <c r="Z951" s="33" t="e">
        <f ca="1"/>
        <v>#REF!</v>
      </c>
      <c r="AA951" s="33" t="e">
        <f ca="1"/>
        <v>#REF!</v>
      </c>
    </row>
    <row r="952" spans="1:27" s="70" customFormat="1" ht="11.25" x14ac:dyDescent="0.2">
      <c r="A952" s="24">
        <v>946</v>
      </c>
      <c r="B952" s="24"/>
      <c r="C952" s="25"/>
      <c r="D952" s="26"/>
      <c r="E952" s="25"/>
      <c r="F952" s="25"/>
      <c r="G952" s="24"/>
      <c r="H952" s="28" t="e">
        <f ca="1"/>
        <v>#REF!</v>
      </c>
      <c r="I952" s="27" t="e">
        <f ca="1"/>
        <v>#REF!</v>
      </c>
      <c r="J952" s="28" t="e">
        <f ca="1"/>
        <v>#REF!</v>
      </c>
      <c r="K952" s="27" t="e">
        <f ca="1"/>
        <v>#REF!</v>
      </c>
      <c r="L952" s="25" t="e">
        <f ca="1"/>
        <v>#REF!</v>
      </c>
      <c r="M952" s="25" t="e">
        <f ca="1"/>
        <v>#REF!</v>
      </c>
      <c r="N952" s="25" t="e">
        <f ca="1"/>
        <v>#REF!</v>
      </c>
      <c r="O952" s="25" t="e">
        <f ca="1"/>
        <v>#REF!</v>
      </c>
      <c r="P952" s="25" t="e">
        <f ca="1"/>
        <v>#REF!</v>
      </c>
      <c r="Q952" s="25" t="e">
        <f ca="1"/>
        <v>#REF!</v>
      </c>
      <c r="R952" s="25" t="e">
        <f ca="1"/>
        <v>#REF!</v>
      </c>
      <c r="S952" s="25" t="e">
        <f ca="1"/>
        <v>#REF!</v>
      </c>
      <c r="T952" s="25" t="e">
        <f ca="1"/>
        <v>#REF!</v>
      </c>
      <c r="U952" s="25" t="e">
        <f ca="1"/>
        <v>#REF!</v>
      </c>
      <c r="V952" s="25" t="e">
        <f ca="1"/>
        <v>#REF!</v>
      </c>
      <c r="W952" s="33" t="e">
        <f ca="1"/>
        <v>#REF!</v>
      </c>
      <c r="X952" s="33" t="e">
        <f ca="1"/>
        <v>#REF!</v>
      </c>
      <c r="Y952" s="33" t="e">
        <f ca="1"/>
        <v>#REF!</v>
      </c>
      <c r="Z952" s="33" t="e">
        <f ca="1"/>
        <v>#REF!</v>
      </c>
      <c r="AA952" s="33" t="e">
        <f ca="1"/>
        <v>#REF!</v>
      </c>
    </row>
    <row r="953" spans="1:27" s="70" customFormat="1" ht="11.25" x14ac:dyDescent="0.2">
      <c r="A953" s="24">
        <v>947</v>
      </c>
      <c r="B953" s="24"/>
      <c r="C953" s="25"/>
      <c r="D953" s="26"/>
      <c r="E953" s="25"/>
      <c r="F953" s="25"/>
      <c r="G953" s="24"/>
      <c r="H953" s="28" t="e">
        <f ca="1"/>
        <v>#REF!</v>
      </c>
      <c r="I953" s="27" t="e">
        <f ca="1"/>
        <v>#REF!</v>
      </c>
      <c r="J953" s="28" t="e">
        <f ca="1"/>
        <v>#REF!</v>
      </c>
      <c r="K953" s="27" t="e">
        <f ca="1"/>
        <v>#REF!</v>
      </c>
      <c r="L953" s="25" t="e">
        <f ca="1"/>
        <v>#REF!</v>
      </c>
      <c r="M953" s="25" t="e">
        <f ca="1"/>
        <v>#REF!</v>
      </c>
      <c r="N953" s="25" t="e">
        <f ca="1"/>
        <v>#REF!</v>
      </c>
      <c r="O953" s="25" t="e">
        <f ca="1"/>
        <v>#REF!</v>
      </c>
      <c r="P953" s="25" t="e">
        <f ca="1"/>
        <v>#REF!</v>
      </c>
      <c r="Q953" s="25" t="e">
        <f ca="1"/>
        <v>#REF!</v>
      </c>
      <c r="R953" s="25" t="e">
        <f ca="1"/>
        <v>#REF!</v>
      </c>
      <c r="S953" s="25" t="e">
        <f ca="1"/>
        <v>#REF!</v>
      </c>
      <c r="T953" s="25" t="e">
        <f ca="1"/>
        <v>#REF!</v>
      </c>
      <c r="U953" s="25" t="e">
        <f ca="1"/>
        <v>#REF!</v>
      </c>
      <c r="V953" s="25" t="e">
        <f ca="1"/>
        <v>#REF!</v>
      </c>
      <c r="W953" s="33" t="e">
        <f ca="1"/>
        <v>#REF!</v>
      </c>
      <c r="X953" s="33" t="e">
        <f ca="1"/>
        <v>#REF!</v>
      </c>
      <c r="Y953" s="33" t="e">
        <f ca="1"/>
        <v>#REF!</v>
      </c>
      <c r="Z953" s="33" t="e">
        <f ca="1"/>
        <v>#REF!</v>
      </c>
      <c r="AA953" s="33" t="e">
        <f ca="1"/>
        <v>#REF!</v>
      </c>
    </row>
    <row r="954" spans="1:27" s="70" customFormat="1" ht="11.25" x14ac:dyDescent="0.2">
      <c r="A954" s="24">
        <v>948</v>
      </c>
      <c r="B954" s="24"/>
      <c r="C954" s="25"/>
      <c r="D954" s="26"/>
      <c r="E954" s="25"/>
      <c r="F954" s="25"/>
      <c r="G954" s="24"/>
      <c r="H954" s="28" t="e">
        <f ca="1"/>
        <v>#REF!</v>
      </c>
      <c r="I954" s="27" t="e">
        <f ca="1"/>
        <v>#REF!</v>
      </c>
      <c r="J954" s="28" t="e">
        <f ca="1"/>
        <v>#REF!</v>
      </c>
      <c r="K954" s="27" t="e">
        <f ca="1"/>
        <v>#REF!</v>
      </c>
      <c r="L954" s="25" t="e">
        <f ca="1"/>
        <v>#REF!</v>
      </c>
      <c r="M954" s="25" t="e">
        <f ca="1"/>
        <v>#REF!</v>
      </c>
      <c r="N954" s="25" t="e">
        <f ca="1"/>
        <v>#REF!</v>
      </c>
      <c r="O954" s="25" t="e">
        <f ca="1"/>
        <v>#REF!</v>
      </c>
      <c r="P954" s="25" t="e">
        <f ca="1"/>
        <v>#REF!</v>
      </c>
      <c r="Q954" s="25" t="e">
        <f ca="1"/>
        <v>#REF!</v>
      </c>
      <c r="R954" s="25" t="e">
        <f ca="1"/>
        <v>#REF!</v>
      </c>
      <c r="S954" s="25" t="e">
        <f ca="1"/>
        <v>#REF!</v>
      </c>
      <c r="T954" s="25" t="e">
        <f ca="1"/>
        <v>#REF!</v>
      </c>
      <c r="U954" s="25" t="e">
        <f ca="1"/>
        <v>#REF!</v>
      </c>
      <c r="V954" s="25" t="e">
        <f ca="1"/>
        <v>#REF!</v>
      </c>
      <c r="W954" s="33" t="e">
        <f ca="1"/>
        <v>#REF!</v>
      </c>
      <c r="X954" s="33" t="e">
        <f ca="1"/>
        <v>#REF!</v>
      </c>
      <c r="Y954" s="33" t="e">
        <f ca="1"/>
        <v>#REF!</v>
      </c>
      <c r="Z954" s="33" t="e">
        <f ca="1"/>
        <v>#REF!</v>
      </c>
      <c r="AA954" s="33" t="e">
        <f ca="1"/>
        <v>#REF!</v>
      </c>
    </row>
    <row r="955" spans="1:27" s="70" customFormat="1" ht="11.25" x14ac:dyDescent="0.2">
      <c r="A955" s="24">
        <v>949</v>
      </c>
      <c r="B955" s="24"/>
      <c r="C955" s="25"/>
      <c r="D955" s="26"/>
      <c r="E955" s="25"/>
      <c r="F955" s="25"/>
      <c r="G955" s="24"/>
      <c r="H955" s="28" t="e">
        <f ca="1"/>
        <v>#REF!</v>
      </c>
      <c r="I955" s="27" t="e">
        <f ca="1"/>
        <v>#REF!</v>
      </c>
      <c r="J955" s="28" t="e">
        <f ca="1"/>
        <v>#REF!</v>
      </c>
      <c r="K955" s="27" t="e">
        <f ca="1"/>
        <v>#REF!</v>
      </c>
      <c r="L955" s="25" t="e">
        <f ca="1"/>
        <v>#REF!</v>
      </c>
      <c r="M955" s="25" t="e">
        <f ca="1"/>
        <v>#REF!</v>
      </c>
      <c r="N955" s="25" t="e">
        <f ca="1"/>
        <v>#REF!</v>
      </c>
      <c r="O955" s="25" t="e">
        <f ca="1"/>
        <v>#REF!</v>
      </c>
      <c r="P955" s="25" t="e">
        <f ca="1"/>
        <v>#REF!</v>
      </c>
      <c r="Q955" s="25" t="e">
        <f ca="1"/>
        <v>#REF!</v>
      </c>
      <c r="R955" s="25" t="e">
        <f ca="1"/>
        <v>#REF!</v>
      </c>
      <c r="S955" s="25" t="e">
        <f ca="1"/>
        <v>#REF!</v>
      </c>
      <c r="T955" s="25" t="e">
        <f ca="1"/>
        <v>#REF!</v>
      </c>
      <c r="U955" s="25" t="e">
        <f ca="1"/>
        <v>#REF!</v>
      </c>
      <c r="V955" s="25" t="e">
        <f ca="1"/>
        <v>#REF!</v>
      </c>
      <c r="W955" s="33" t="e">
        <f ca="1"/>
        <v>#REF!</v>
      </c>
      <c r="X955" s="33" t="e">
        <f ca="1"/>
        <v>#REF!</v>
      </c>
      <c r="Y955" s="33" t="e">
        <f ca="1"/>
        <v>#REF!</v>
      </c>
      <c r="Z955" s="33" t="e">
        <f ca="1"/>
        <v>#REF!</v>
      </c>
      <c r="AA955" s="33" t="e">
        <f ca="1"/>
        <v>#REF!</v>
      </c>
    </row>
    <row r="956" spans="1:27" s="70" customFormat="1" ht="11.25" x14ac:dyDescent="0.2">
      <c r="A956" s="24">
        <v>950</v>
      </c>
      <c r="B956" s="24"/>
      <c r="C956" s="25"/>
      <c r="D956" s="26"/>
      <c r="E956" s="25"/>
      <c r="F956" s="25"/>
      <c r="G956" s="24"/>
      <c r="H956" s="28" t="e">
        <f ca="1"/>
        <v>#REF!</v>
      </c>
      <c r="I956" s="27" t="e">
        <f ca="1"/>
        <v>#REF!</v>
      </c>
      <c r="J956" s="28" t="e">
        <f ca="1"/>
        <v>#REF!</v>
      </c>
      <c r="K956" s="27" t="e">
        <f ca="1"/>
        <v>#REF!</v>
      </c>
      <c r="L956" s="25" t="e">
        <f ca="1"/>
        <v>#REF!</v>
      </c>
      <c r="M956" s="25" t="e">
        <f ca="1"/>
        <v>#REF!</v>
      </c>
      <c r="N956" s="25" t="e">
        <f ca="1"/>
        <v>#REF!</v>
      </c>
      <c r="O956" s="25" t="e">
        <f ca="1"/>
        <v>#REF!</v>
      </c>
      <c r="P956" s="25" t="e">
        <f ca="1"/>
        <v>#REF!</v>
      </c>
      <c r="Q956" s="25" t="e">
        <f ca="1"/>
        <v>#REF!</v>
      </c>
      <c r="R956" s="25" t="e">
        <f ca="1"/>
        <v>#REF!</v>
      </c>
      <c r="S956" s="25" t="e">
        <f ca="1"/>
        <v>#REF!</v>
      </c>
      <c r="T956" s="25" t="e">
        <f ca="1"/>
        <v>#REF!</v>
      </c>
      <c r="U956" s="25" t="e">
        <f ca="1"/>
        <v>#REF!</v>
      </c>
      <c r="V956" s="25" t="e">
        <f ca="1"/>
        <v>#REF!</v>
      </c>
      <c r="W956" s="33" t="e">
        <f ca="1"/>
        <v>#REF!</v>
      </c>
      <c r="X956" s="33" t="e">
        <f ca="1"/>
        <v>#REF!</v>
      </c>
      <c r="Y956" s="33" t="e">
        <f ca="1"/>
        <v>#REF!</v>
      </c>
      <c r="Z956" s="33" t="e">
        <f ca="1"/>
        <v>#REF!</v>
      </c>
      <c r="AA956" s="33" t="e">
        <f ca="1"/>
        <v>#REF!</v>
      </c>
    </row>
    <row r="957" spans="1:27" s="70" customFormat="1" ht="11.25" x14ac:dyDescent="0.2">
      <c r="A957" s="24">
        <v>951</v>
      </c>
      <c r="B957" s="24"/>
      <c r="C957" s="25"/>
      <c r="D957" s="26"/>
      <c r="E957" s="25"/>
      <c r="F957" s="25"/>
      <c r="G957" s="24"/>
      <c r="H957" s="28" t="e">
        <f ca="1"/>
        <v>#REF!</v>
      </c>
      <c r="I957" s="27" t="e">
        <f ca="1"/>
        <v>#REF!</v>
      </c>
      <c r="J957" s="28" t="e">
        <f ca="1"/>
        <v>#REF!</v>
      </c>
      <c r="K957" s="27" t="e">
        <f ca="1"/>
        <v>#REF!</v>
      </c>
      <c r="L957" s="25" t="e">
        <f ca="1"/>
        <v>#REF!</v>
      </c>
      <c r="M957" s="25" t="e">
        <f ca="1"/>
        <v>#REF!</v>
      </c>
      <c r="N957" s="25" t="e">
        <f ca="1"/>
        <v>#REF!</v>
      </c>
      <c r="O957" s="25" t="e">
        <f ca="1"/>
        <v>#REF!</v>
      </c>
      <c r="P957" s="25" t="e">
        <f ca="1"/>
        <v>#REF!</v>
      </c>
      <c r="Q957" s="25" t="e">
        <f ca="1"/>
        <v>#REF!</v>
      </c>
      <c r="R957" s="25" t="e">
        <f ca="1"/>
        <v>#REF!</v>
      </c>
      <c r="S957" s="25" t="e">
        <f ca="1"/>
        <v>#REF!</v>
      </c>
      <c r="T957" s="25" t="e">
        <f ca="1"/>
        <v>#REF!</v>
      </c>
      <c r="U957" s="25" t="e">
        <f ca="1"/>
        <v>#REF!</v>
      </c>
      <c r="V957" s="25" t="e">
        <f ca="1"/>
        <v>#REF!</v>
      </c>
      <c r="W957" s="33" t="e">
        <f ca="1"/>
        <v>#REF!</v>
      </c>
      <c r="X957" s="33" t="e">
        <f ca="1"/>
        <v>#REF!</v>
      </c>
      <c r="Y957" s="33" t="e">
        <f ca="1"/>
        <v>#REF!</v>
      </c>
      <c r="Z957" s="33" t="e">
        <f ca="1"/>
        <v>#REF!</v>
      </c>
      <c r="AA957" s="33" t="e">
        <f ca="1"/>
        <v>#REF!</v>
      </c>
    </row>
    <row r="958" spans="1:27" s="70" customFormat="1" ht="11.25" x14ac:dyDescent="0.2">
      <c r="A958" s="24">
        <v>952</v>
      </c>
      <c r="B958" s="24"/>
      <c r="C958" s="25"/>
      <c r="D958" s="26"/>
      <c r="E958" s="25"/>
      <c r="F958" s="25"/>
      <c r="G958" s="24"/>
      <c r="H958" s="28" t="e">
        <f ca="1"/>
        <v>#REF!</v>
      </c>
      <c r="I958" s="27" t="e">
        <f ca="1"/>
        <v>#REF!</v>
      </c>
      <c r="J958" s="28" t="e">
        <f ca="1"/>
        <v>#REF!</v>
      </c>
      <c r="K958" s="27" t="e">
        <f ca="1"/>
        <v>#REF!</v>
      </c>
      <c r="L958" s="25" t="e">
        <f ca="1"/>
        <v>#REF!</v>
      </c>
      <c r="M958" s="25" t="e">
        <f ca="1"/>
        <v>#REF!</v>
      </c>
      <c r="N958" s="25" t="e">
        <f ca="1"/>
        <v>#REF!</v>
      </c>
      <c r="O958" s="25" t="e">
        <f ca="1"/>
        <v>#REF!</v>
      </c>
      <c r="P958" s="25" t="e">
        <f ca="1"/>
        <v>#REF!</v>
      </c>
      <c r="Q958" s="25" t="e">
        <f ca="1"/>
        <v>#REF!</v>
      </c>
      <c r="R958" s="25" t="e">
        <f ca="1"/>
        <v>#REF!</v>
      </c>
      <c r="S958" s="25" t="e">
        <f ca="1"/>
        <v>#REF!</v>
      </c>
      <c r="T958" s="25" t="e">
        <f ca="1"/>
        <v>#REF!</v>
      </c>
      <c r="U958" s="25" t="e">
        <f ca="1"/>
        <v>#REF!</v>
      </c>
      <c r="V958" s="25" t="e">
        <f ca="1"/>
        <v>#REF!</v>
      </c>
      <c r="W958" s="33" t="e">
        <f ca="1"/>
        <v>#REF!</v>
      </c>
      <c r="X958" s="33" t="e">
        <f ca="1"/>
        <v>#REF!</v>
      </c>
      <c r="Y958" s="33" t="e">
        <f ca="1"/>
        <v>#REF!</v>
      </c>
      <c r="Z958" s="33" t="e">
        <f ca="1"/>
        <v>#REF!</v>
      </c>
      <c r="AA958" s="33" t="e">
        <f ca="1"/>
        <v>#REF!</v>
      </c>
    </row>
    <row r="959" spans="1:27" s="70" customFormat="1" ht="11.25" x14ac:dyDescent="0.2">
      <c r="A959" s="24">
        <v>953</v>
      </c>
      <c r="B959" s="24"/>
      <c r="C959" s="25"/>
      <c r="D959" s="26"/>
      <c r="E959" s="25"/>
      <c r="F959" s="25"/>
      <c r="G959" s="24"/>
      <c r="H959" s="28" t="e">
        <f ca="1"/>
        <v>#REF!</v>
      </c>
      <c r="I959" s="27" t="e">
        <f ca="1"/>
        <v>#REF!</v>
      </c>
      <c r="J959" s="28" t="e">
        <f ca="1"/>
        <v>#REF!</v>
      </c>
      <c r="K959" s="27" t="e">
        <f ca="1"/>
        <v>#REF!</v>
      </c>
      <c r="L959" s="25" t="e">
        <f ca="1"/>
        <v>#REF!</v>
      </c>
      <c r="M959" s="25" t="e">
        <f ca="1"/>
        <v>#REF!</v>
      </c>
      <c r="N959" s="25" t="e">
        <f ca="1"/>
        <v>#REF!</v>
      </c>
      <c r="O959" s="25" t="e">
        <f ca="1"/>
        <v>#REF!</v>
      </c>
      <c r="P959" s="25" t="e">
        <f ca="1"/>
        <v>#REF!</v>
      </c>
      <c r="Q959" s="25" t="e">
        <f ca="1"/>
        <v>#REF!</v>
      </c>
      <c r="R959" s="25" t="e">
        <f ca="1"/>
        <v>#REF!</v>
      </c>
      <c r="S959" s="25" t="e">
        <f ca="1"/>
        <v>#REF!</v>
      </c>
      <c r="T959" s="25" t="e">
        <f ca="1"/>
        <v>#REF!</v>
      </c>
      <c r="U959" s="25" t="e">
        <f ca="1"/>
        <v>#REF!</v>
      </c>
      <c r="V959" s="25" t="e">
        <f ca="1"/>
        <v>#REF!</v>
      </c>
      <c r="W959" s="33" t="e">
        <f ca="1"/>
        <v>#REF!</v>
      </c>
      <c r="X959" s="33" t="e">
        <f ca="1"/>
        <v>#REF!</v>
      </c>
      <c r="Y959" s="33" t="e">
        <f ca="1"/>
        <v>#REF!</v>
      </c>
      <c r="Z959" s="33" t="e">
        <f ca="1"/>
        <v>#REF!</v>
      </c>
      <c r="AA959" s="33" t="e">
        <f ca="1"/>
        <v>#REF!</v>
      </c>
    </row>
    <row r="960" spans="1:27" s="70" customFormat="1" ht="11.25" x14ac:dyDescent="0.2">
      <c r="A960" s="24">
        <v>954</v>
      </c>
      <c r="B960" s="24"/>
      <c r="C960" s="25"/>
      <c r="D960" s="26"/>
      <c r="E960" s="25"/>
      <c r="F960" s="25"/>
      <c r="G960" s="24"/>
      <c r="H960" s="25" t="e">
        <f ca="1"/>
        <v>#REF!</v>
      </c>
      <c r="I960" s="27" t="e">
        <f ca="1"/>
        <v>#REF!</v>
      </c>
      <c r="J960" s="25" t="e">
        <f ca="1"/>
        <v>#REF!</v>
      </c>
      <c r="K960" s="27" t="e">
        <f ca="1"/>
        <v>#REF!</v>
      </c>
      <c r="L960" s="25" t="e">
        <f ca="1"/>
        <v>#REF!</v>
      </c>
      <c r="M960" s="25" t="e">
        <f ca="1"/>
        <v>#REF!</v>
      </c>
      <c r="N960" s="25" t="e">
        <f ca="1"/>
        <v>#REF!</v>
      </c>
      <c r="O960" s="25" t="e">
        <f ca="1"/>
        <v>#REF!</v>
      </c>
      <c r="P960" s="25" t="e">
        <f ca="1"/>
        <v>#REF!</v>
      </c>
      <c r="Q960" s="25" t="e">
        <f ca="1"/>
        <v>#REF!</v>
      </c>
      <c r="R960" s="25" t="e">
        <f ca="1"/>
        <v>#REF!</v>
      </c>
      <c r="S960" s="25" t="e">
        <f ca="1"/>
        <v>#REF!</v>
      </c>
      <c r="T960" s="25" t="e">
        <f ca="1"/>
        <v>#REF!</v>
      </c>
      <c r="U960" s="25" t="e">
        <f ca="1"/>
        <v>#REF!</v>
      </c>
      <c r="V960" s="25" t="e">
        <f ca="1"/>
        <v>#REF!</v>
      </c>
      <c r="W960" s="33" t="e">
        <f ca="1"/>
        <v>#REF!</v>
      </c>
      <c r="X960" s="33" t="e">
        <f ca="1"/>
        <v>#REF!</v>
      </c>
      <c r="Y960" s="33" t="e">
        <f ca="1"/>
        <v>#REF!</v>
      </c>
      <c r="Z960" s="33" t="e">
        <f ca="1"/>
        <v>#REF!</v>
      </c>
      <c r="AA960" s="33" t="e">
        <f ca="1"/>
        <v>#REF!</v>
      </c>
    </row>
    <row r="961" spans="1:27" s="70" customFormat="1" ht="11.25" x14ac:dyDescent="0.2">
      <c r="A961" s="24">
        <v>955</v>
      </c>
      <c r="B961" s="24"/>
      <c r="C961" s="25"/>
      <c r="D961" s="26"/>
      <c r="E961" s="25"/>
      <c r="F961" s="25"/>
      <c r="G961" s="24"/>
      <c r="H961" s="25" t="e">
        <f ca="1"/>
        <v>#REF!</v>
      </c>
      <c r="I961" s="27" t="e">
        <f ca="1"/>
        <v>#REF!</v>
      </c>
      <c r="J961" s="28" t="e">
        <f ca="1"/>
        <v>#REF!</v>
      </c>
      <c r="K961" s="27" t="e">
        <f ca="1"/>
        <v>#REF!</v>
      </c>
      <c r="L961" s="25" t="e">
        <f ca="1"/>
        <v>#REF!</v>
      </c>
      <c r="M961" s="25" t="e">
        <f ca="1"/>
        <v>#REF!</v>
      </c>
      <c r="N961" s="25" t="e">
        <f ca="1"/>
        <v>#REF!</v>
      </c>
      <c r="O961" s="25" t="e">
        <f ca="1"/>
        <v>#REF!</v>
      </c>
      <c r="P961" s="25" t="e">
        <f ca="1"/>
        <v>#REF!</v>
      </c>
      <c r="Q961" s="25" t="e">
        <f ca="1"/>
        <v>#REF!</v>
      </c>
      <c r="R961" s="25" t="e">
        <f ca="1"/>
        <v>#REF!</v>
      </c>
      <c r="S961" s="25" t="e">
        <f ca="1"/>
        <v>#REF!</v>
      </c>
      <c r="T961" s="25" t="e">
        <f ca="1"/>
        <v>#REF!</v>
      </c>
      <c r="U961" s="25" t="e">
        <f ca="1"/>
        <v>#REF!</v>
      </c>
      <c r="V961" s="25" t="e">
        <f ca="1"/>
        <v>#REF!</v>
      </c>
      <c r="W961" s="33" t="e">
        <f ca="1"/>
        <v>#REF!</v>
      </c>
      <c r="X961" s="33" t="e">
        <f ca="1"/>
        <v>#REF!</v>
      </c>
      <c r="Y961" s="33" t="e">
        <f ca="1"/>
        <v>#REF!</v>
      </c>
      <c r="Z961" s="33" t="e">
        <f ca="1"/>
        <v>#REF!</v>
      </c>
      <c r="AA961" s="33" t="e">
        <f ca="1"/>
        <v>#REF!</v>
      </c>
    </row>
    <row r="962" spans="1:27" s="70" customFormat="1" ht="11.25" x14ac:dyDescent="0.2">
      <c r="A962" s="24">
        <v>956</v>
      </c>
      <c r="B962" s="24"/>
      <c r="C962" s="25"/>
      <c r="D962" s="26"/>
      <c r="E962" s="25"/>
      <c r="F962" s="25"/>
      <c r="G962" s="24"/>
      <c r="H962" s="25" t="e">
        <f ca="1"/>
        <v>#REF!</v>
      </c>
      <c r="I962" s="27" t="e">
        <f ca="1"/>
        <v>#REF!</v>
      </c>
      <c r="J962" s="28" t="e">
        <f ca="1"/>
        <v>#REF!</v>
      </c>
      <c r="K962" s="27" t="e">
        <f ca="1"/>
        <v>#REF!</v>
      </c>
      <c r="L962" s="25" t="e">
        <f ca="1"/>
        <v>#REF!</v>
      </c>
      <c r="M962" s="25" t="e">
        <f ca="1"/>
        <v>#REF!</v>
      </c>
      <c r="N962" s="25" t="e">
        <f ca="1"/>
        <v>#REF!</v>
      </c>
      <c r="O962" s="25" t="e">
        <f ca="1"/>
        <v>#REF!</v>
      </c>
      <c r="P962" s="25" t="e">
        <f ca="1"/>
        <v>#REF!</v>
      </c>
      <c r="Q962" s="25" t="e">
        <f ca="1"/>
        <v>#REF!</v>
      </c>
      <c r="R962" s="25" t="e">
        <f ca="1"/>
        <v>#REF!</v>
      </c>
      <c r="S962" s="25" t="e">
        <f ca="1"/>
        <v>#REF!</v>
      </c>
      <c r="T962" s="25" t="e">
        <f ca="1"/>
        <v>#REF!</v>
      </c>
      <c r="U962" s="25" t="e">
        <f ca="1"/>
        <v>#REF!</v>
      </c>
      <c r="V962" s="25" t="e">
        <f ca="1"/>
        <v>#REF!</v>
      </c>
      <c r="W962" s="33" t="e">
        <f ca="1"/>
        <v>#REF!</v>
      </c>
      <c r="X962" s="33" t="e">
        <f ca="1"/>
        <v>#REF!</v>
      </c>
      <c r="Y962" s="33" t="e">
        <f ca="1"/>
        <v>#REF!</v>
      </c>
      <c r="Z962" s="33" t="e">
        <f ca="1"/>
        <v>#REF!</v>
      </c>
      <c r="AA962" s="33" t="e">
        <f ca="1"/>
        <v>#REF!</v>
      </c>
    </row>
    <row r="963" spans="1:27" s="70" customFormat="1" ht="11.25" x14ac:dyDescent="0.2">
      <c r="A963" s="24">
        <v>957</v>
      </c>
      <c r="B963" s="24"/>
      <c r="C963" s="25"/>
      <c r="D963" s="26"/>
      <c r="E963" s="25"/>
      <c r="F963" s="25"/>
      <c r="G963" s="24"/>
      <c r="H963" s="25" t="e">
        <f ca="1"/>
        <v>#REF!</v>
      </c>
      <c r="I963" s="27" t="e">
        <f ca="1"/>
        <v>#REF!</v>
      </c>
      <c r="J963" s="28" t="e">
        <f ca="1"/>
        <v>#REF!</v>
      </c>
      <c r="K963" s="27" t="e">
        <f ca="1"/>
        <v>#REF!</v>
      </c>
      <c r="L963" s="25" t="e">
        <f ca="1"/>
        <v>#REF!</v>
      </c>
      <c r="M963" s="25" t="e">
        <f ca="1"/>
        <v>#REF!</v>
      </c>
      <c r="N963" s="25" t="e">
        <f ca="1"/>
        <v>#REF!</v>
      </c>
      <c r="O963" s="25" t="e">
        <f ca="1"/>
        <v>#REF!</v>
      </c>
      <c r="P963" s="25" t="e">
        <f ca="1"/>
        <v>#REF!</v>
      </c>
      <c r="Q963" s="25" t="e">
        <f ca="1"/>
        <v>#REF!</v>
      </c>
      <c r="R963" s="25" t="e">
        <f ca="1"/>
        <v>#REF!</v>
      </c>
      <c r="S963" s="25" t="e">
        <f ca="1"/>
        <v>#REF!</v>
      </c>
      <c r="T963" s="25" t="e">
        <f ca="1"/>
        <v>#REF!</v>
      </c>
      <c r="U963" s="25" t="e">
        <f ca="1"/>
        <v>#REF!</v>
      </c>
      <c r="V963" s="25" t="e">
        <f ca="1"/>
        <v>#REF!</v>
      </c>
      <c r="W963" s="33" t="e">
        <f ca="1"/>
        <v>#REF!</v>
      </c>
      <c r="X963" s="33" t="e">
        <f ca="1"/>
        <v>#REF!</v>
      </c>
      <c r="Y963" s="33" t="e">
        <f ca="1"/>
        <v>#REF!</v>
      </c>
      <c r="Z963" s="33" t="e">
        <f ca="1"/>
        <v>#REF!</v>
      </c>
      <c r="AA963" s="33" t="e">
        <f ca="1"/>
        <v>#REF!</v>
      </c>
    </row>
    <row r="964" spans="1:27" s="70" customFormat="1" ht="11.25" x14ac:dyDescent="0.2">
      <c r="A964" s="24">
        <v>958</v>
      </c>
      <c r="B964" s="24"/>
      <c r="C964" s="25"/>
      <c r="D964" s="26"/>
      <c r="E964" s="25"/>
      <c r="F964" s="25"/>
      <c r="G964" s="24"/>
      <c r="H964" s="25" t="e">
        <f ca="1"/>
        <v>#REF!</v>
      </c>
      <c r="I964" s="27" t="e">
        <f ca="1"/>
        <v>#REF!</v>
      </c>
      <c r="J964" s="28" t="e">
        <f ca="1"/>
        <v>#REF!</v>
      </c>
      <c r="K964" s="27" t="e">
        <f ca="1"/>
        <v>#REF!</v>
      </c>
      <c r="L964" s="25" t="e">
        <f ca="1"/>
        <v>#REF!</v>
      </c>
      <c r="M964" s="25" t="e">
        <f ca="1"/>
        <v>#REF!</v>
      </c>
      <c r="N964" s="25" t="e">
        <f ca="1"/>
        <v>#REF!</v>
      </c>
      <c r="O964" s="25" t="e">
        <f ca="1"/>
        <v>#REF!</v>
      </c>
      <c r="P964" s="25" t="e">
        <f ca="1"/>
        <v>#REF!</v>
      </c>
      <c r="Q964" s="25" t="e">
        <f ca="1"/>
        <v>#REF!</v>
      </c>
      <c r="R964" s="25" t="e">
        <f ca="1"/>
        <v>#REF!</v>
      </c>
      <c r="S964" s="25" t="e">
        <f ca="1"/>
        <v>#REF!</v>
      </c>
      <c r="T964" s="25" t="e">
        <f ca="1"/>
        <v>#REF!</v>
      </c>
      <c r="U964" s="25" t="e">
        <f ca="1"/>
        <v>#REF!</v>
      </c>
      <c r="V964" s="25" t="e">
        <f ca="1"/>
        <v>#REF!</v>
      </c>
      <c r="W964" s="33" t="e">
        <f ca="1"/>
        <v>#REF!</v>
      </c>
      <c r="X964" s="33" t="e">
        <f ca="1"/>
        <v>#REF!</v>
      </c>
      <c r="Y964" s="33" t="e">
        <f ca="1"/>
        <v>#REF!</v>
      </c>
      <c r="Z964" s="33" t="e">
        <f ca="1"/>
        <v>#REF!</v>
      </c>
      <c r="AA964" s="33" t="e">
        <f ca="1"/>
        <v>#REF!</v>
      </c>
    </row>
    <row r="965" spans="1:27" s="70" customFormat="1" ht="11.25" x14ac:dyDescent="0.2">
      <c r="A965" s="24">
        <v>959</v>
      </c>
      <c r="B965" s="24"/>
      <c r="C965" s="25"/>
      <c r="D965" s="26"/>
      <c r="E965" s="25"/>
      <c r="F965" s="25"/>
      <c r="G965" s="24"/>
      <c r="H965" s="25" t="e">
        <f ca="1"/>
        <v>#REF!</v>
      </c>
      <c r="I965" s="27" t="e">
        <f ca="1"/>
        <v>#REF!</v>
      </c>
      <c r="J965" s="28" t="e">
        <f ca="1"/>
        <v>#REF!</v>
      </c>
      <c r="K965" s="27" t="e">
        <f ca="1"/>
        <v>#REF!</v>
      </c>
      <c r="L965" s="25" t="e">
        <f ca="1"/>
        <v>#REF!</v>
      </c>
      <c r="M965" s="25" t="e">
        <f ca="1"/>
        <v>#REF!</v>
      </c>
      <c r="N965" s="25" t="e">
        <f ca="1"/>
        <v>#REF!</v>
      </c>
      <c r="O965" s="25" t="e">
        <f ca="1"/>
        <v>#REF!</v>
      </c>
      <c r="P965" s="25" t="e">
        <f ca="1"/>
        <v>#REF!</v>
      </c>
      <c r="Q965" s="25" t="e">
        <f ca="1"/>
        <v>#REF!</v>
      </c>
      <c r="R965" s="25" t="e">
        <f ca="1"/>
        <v>#REF!</v>
      </c>
      <c r="S965" s="25" t="e">
        <f ca="1"/>
        <v>#REF!</v>
      </c>
      <c r="T965" s="25" t="e">
        <f ca="1"/>
        <v>#REF!</v>
      </c>
      <c r="U965" s="25" t="e">
        <f ca="1"/>
        <v>#REF!</v>
      </c>
      <c r="V965" s="25" t="e">
        <f ca="1"/>
        <v>#REF!</v>
      </c>
      <c r="W965" s="33" t="e">
        <f ca="1"/>
        <v>#REF!</v>
      </c>
      <c r="X965" s="33" t="e">
        <f ca="1"/>
        <v>#REF!</v>
      </c>
      <c r="Y965" s="33" t="e">
        <f ca="1"/>
        <v>#REF!</v>
      </c>
      <c r="Z965" s="33" t="e">
        <f ca="1"/>
        <v>#REF!</v>
      </c>
      <c r="AA965" s="33" t="e">
        <f ca="1"/>
        <v>#REF!</v>
      </c>
    </row>
    <row r="966" spans="1:27" s="70" customFormat="1" ht="11.25" x14ac:dyDescent="0.2">
      <c r="A966" s="24">
        <v>960</v>
      </c>
      <c r="B966" s="24"/>
      <c r="C966" s="25"/>
      <c r="D966" s="26"/>
      <c r="E966" s="25"/>
      <c r="F966" s="25"/>
      <c r="G966" s="24"/>
      <c r="H966" s="25" t="e">
        <f ca="1"/>
        <v>#REF!</v>
      </c>
      <c r="I966" s="27" t="e">
        <f ca="1"/>
        <v>#REF!</v>
      </c>
      <c r="J966" s="28" t="e">
        <f ca="1"/>
        <v>#REF!</v>
      </c>
      <c r="K966" s="27" t="e">
        <f ca="1"/>
        <v>#REF!</v>
      </c>
      <c r="L966" s="25" t="e">
        <f ca="1"/>
        <v>#REF!</v>
      </c>
      <c r="M966" s="25" t="e">
        <f ca="1"/>
        <v>#REF!</v>
      </c>
      <c r="N966" s="25" t="e">
        <f ca="1"/>
        <v>#REF!</v>
      </c>
      <c r="O966" s="25" t="e">
        <f ca="1"/>
        <v>#REF!</v>
      </c>
      <c r="P966" s="25" t="e">
        <f ca="1"/>
        <v>#REF!</v>
      </c>
      <c r="Q966" s="25" t="e">
        <f ca="1"/>
        <v>#REF!</v>
      </c>
      <c r="R966" s="25" t="e">
        <f ca="1"/>
        <v>#REF!</v>
      </c>
      <c r="S966" s="25" t="e">
        <f ca="1"/>
        <v>#REF!</v>
      </c>
      <c r="T966" s="25" t="e">
        <f ca="1"/>
        <v>#REF!</v>
      </c>
      <c r="U966" s="25" t="e">
        <f ca="1"/>
        <v>#REF!</v>
      </c>
      <c r="V966" s="25" t="e">
        <f ca="1"/>
        <v>#REF!</v>
      </c>
      <c r="W966" s="33" t="e">
        <f ca="1"/>
        <v>#REF!</v>
      </c>
      <c r="X966" s="33" t="e">
        <f ca="1"/>
        <v>#REF!</v>
      </c>
      <c r="Y966" s="33" t="e">
        <f ca="1"/>
        <v>#REF!</v>
      </c>
      <c r="Z966" s="33" t="e">
        <f ca="1"/>
        <v>#REF!</v>
      </c>
      <c r="AA966" s="33" t="e">
        <f ca="1"/>
        <v>#REF!</v>
      </c>
    </row>
    <row r="967" spans="1:27" s="70" customFormat="1" ht="11.25" x14ac:dyDescent="0.2">
      <c r="A967" s="24">
        <v>961</v>
      </c>
      <c r="B967" s="24"/>
      <c r="C967" s="25"/>
      <c r="D967" s="26"/>
      <c r="E967" s="25"/>
      <c r="F967" s="25"/>
      <c r="G967" s="24"/>
      <c r="H967" s="25" t="e">
        <f ca="1"/>
        <v>#REF!</v>
      </c>
      <c r="I967" s="27" t="e">
        <f ca="1"/>
        <v>#REF!</v>
      </c>
      <c r="J967" s="28" t="e">
        <f ca="1"/>
        <v>#REF!</v>
      </c>
      <c r="K967" s="27" t="e">
        <f ca="1"/>
        <v>#REF!</v>
      </c>
      <c r="L967" s="25" t="e">
        <f ca="1"/>
        <v>#REF!</v>
      </c>
      <c r="M967" s="25" t="e">
        <f ca="1"/>
        <v>#REF!</v>
      </c>
      <c r="N967" s="25" t="e">
        <f ca="1"/>
        <v>#REF!</v>
      </c>
      <c r="O967" s="25" t="e">
        <f ca="1"/>
        <v>#REF!</v>
      </c>
      <c r="P967" s="25" t="e">
        <f ca="1"/>
        <v>#REF!</v>
      </c>
      <c r="Q967" s="25" t="e">
        <f ca="1"/>
        <v>#REF!</v>
      </c>
      <c r="R967" s="25" t="e">
        <f ca="1"/>
        <v>#REF!</v>
      </c>
      <c r="S967" s="25" t="e">
        <f ca="1"/>
        <v>#REF!</v>
      </c>
      <c r="T967" s="25" t="e">
        <f ca="1"/>
        <v>#REF!</v>
      </c>
      <c r="U967" s="25" t="e">
        <f ca="1"/>
        <v>#REF!</v>
      </c>
      <c r="V967" s="25" t="e">
        <f ca="1"/>
        <v>#REF!</v>
      </c>
      <c r="W967" s="33" t="e">
        <f ca="1"/>
        <v>#REF!</v>
      </c>
      <c r="X967" s="33" t="e">
        <f ca="1"/>
        <v>#REF!</v>
      </c>
      <c r="Y967" s="33" t="e">
        <f ca="1"/>
        <v>#REF!</v>
      </c>
      <c r="Z967" s="33" t="e">
        <f ca="1"/>
        <v>#REF!</v>
      </c>
      <c r="AA967" s="33" t="e">
        <f ca="1"/>
        <v>#REF!</v>
      </c>
    </row>
    <row r="968" spans="1:27" s="70" customFormat="1" ht="11.25" x14ac:dyDescent="0.2">
      <c r="A968" s="24">
        <v>962</v>
      </c>
      <c r="B968" s="24"/>
      <c r="C968" s="25"/>
      <c r="D968" s="26"/>
      <c r="E968" s="25"/>
      <c r="F968" s="25"/>
      <c r="G968" s="24"/>
      <c r="H968" s="25" t="e">
        <f ca="1"/>
        <v>#REF!</v>
      </c>
      <c r="I968" s="27" t="e">
        <f ca="1"/>
        <v>#REF!</v>
      </c>
      <c r="J968" s="28" t="e">
        <f ca="1"/>
        <v>#REF!</v>
      </c>
      <c r="K968" s="27" t="e">
        <f ca="1"/>
        <v>#REF!</v>
      </c>
      <c r="L968" s="25" t="e">
        <f ca="1"/>
        <v>#REF!</v>
      </c>
      <c r="M968" s="25" t="e">
        <f ca="1"/>
        <v>#REF!</v>
      </c>
      <c r="N968" s="25" t="e">
        <f ca="1"/>
        <v>#REF!</v>
      </c>
      <c r="O968" s="25" t="e">
        <f ca="1"/>
        <v>#REF!</v>
      </c>
      <c r="P968" s="25" t="e">
        <f ca="1"/>
        <v>#REF!</v>
      </c>
      <c r="Q968" s="25" t="e">
        <f ca="1"/>
        <v>#REF!</v>
      </c>
      <c r="R968" s="25" t="e">
        <f ca="1"/>
        <v>#REF!</v>
      </c>
      <c r="S968" s="25" t="e">
        <f ca="1"/>
        <v>#REF!</v>
      </c>
      <c r="T968" s="25" t="e">
        <f ca="1"/>
        <v>#REF!</v>
      </c>
      <c r="U968" s="25" t="e">
        <f ca="1"/>
        <v>#REF!</v>
      </c>
      <c r="V968" s="25" t="e">
        <f ca="1"/>
        <v>#REF!</v>
      </c>
      <c r="W968" s="33" t="e">
        <f ca="1"/>
        <v>#REF!</v>
      </c>
      <c r="X968" s="33" t="e">
        <f ca="1"/>
        <v>#REF!</v>
      </c>
      <c r="Y968" s="33" t="e">
        <f ca="1"/>
        <v>#REF!</v>
      </c>
      <c r="Z968" s="33" t="e">
        <f ca="1"/>
        <v>#REF!</v>
      </c>
      <c r="AA968" s="33" t="e">
        <f ca="1"/>
        <v>#REF!</v>
      </c>
    </row>
    <row r="969" spans="1:27" s="70" customFormat="1" ht="11.25" x14ac:dyDescent="0.2">
      <c r="A969" s="24">
        <v>963</v>
      </c>
      <c r="B969" s="24"/>
      <c r="C969" s="25"/>
      <c r="D969" s="26"/>
      <c r="E969" s="25"/>
      <c r="F969" s="25"/>
      <c r="G969" s="24"/>
      <c r="H969" s="25" t="e">
        <f ca="1"/>
        <v>#REF!</v>
      </c>
      <c r="I969" s="27" t="e">
        <f ca="1"/>
        <v>#REF!</v>
      </c>
      <c r="J969" s="28" t="e">
        <f ca="1"/>
        <v>#REF!</v>
      </c>
      <c r="K969" s="27" t="e">
        <f ca="1"/>
        <v>#REF!</v>
      </c>
      <c r="L969" s="25" t="e">
        <f ca="1"/>
        <v>#REF!</v>
      </c>
      <c r="M969" s="25" t="e">
        <f ca="1"/>
        <v>#REF!</v>
      </c>
      <c r="N969" s="25" t="e">
        <f ca="1"/>
        <v>#REF!</v>
      </c>
      <c r="O969" s="25" t="e">
        <f ca="1"/>
        <v>#REF!</v>
      </c>
      <c r="P969" s="25" t="e">
        <f ca="1"/>
        <v>#REF!</v>
      </c>
      <c r="Q969" s="25" t="e">
        <f ca="1"/>
        <v>#REF!</v>
      </c>
      <c r="R969" s="25" t="e">
        <f ca="1"/>
        <v>#REF!</v>
      </c>
      <c r="S969" s="25" t="e">
        <f ca="1"/>
        <v>#REF!</v>
      </c>
      <c r="T969" s="25" t="e">
        <f ca="1"/>
        <v>#REF!</v>
      </c>
      <c r="U969" s="25" t="e">
        <f ca="1"/>
        <v>#REF!</v>
      </c>
      <c r="V969" s="25" t="e">
        <f ca="1"/>
        <v>#REF!</v>
      </c>
      <c r="W969" s="33" t="e">
        <f ca="1"/>
        <v>#REF!</v>
      </c>
      <c r="X969" s="33" t="e">
        <f ca="1"/>
        <v>#REF!</v>
      </c>
      <c r="Y969" s="33" t="e">
        <f ca="1"/>
        <v>#REF!</v>
      </c>
      <c r="Z969" s="33" t="e">
        <f ca="1"/>
        <v>#REF!</v>
      </c>
      <c r="AA969" s="33" t="e">
        <f ca="1"/>
        <v>#REF!</v>
      </c>
    </row>
    <row r="970" spans="1:27" s="70" customFormat="1" ht="11.25" x14ac:dyDescent="0.2">
      <c r="A970" s="24">
        <v>964</v>
      </c>
      <c r="B970" s="24"/>
      <c r="C970" s="25"/>
      <c r="D970" s="26"/>
      <c r="E970" s="25"/>
      <c r="F970" s="25"/>
      <c r="G970" s="24"/>
      <c r="H970" s="25" t="e">
        <f ca="1"/>
        <v>#REF!</v>
      </c>
      <c r="I970" s="27" t="e">
        <f ca="1"/>
        <v>#REF!</v>
      </c>
      <c r="J970" s="28" t="e">
        <f ca="1"/>
        <v>#REF!</v>
      </c>
      <c r="K970" s="27" t="e">
        <f ca="1"/>
        <v>#REF!</v>
      </c>
      <c r="L970" s="25" t="e">
        <f ca="1"/>
        <v>#REF!</v>
      </c>
      <c r="M970" s="25" t="e">
        <f ca="1"/>
        <v>#REF!</v>
      </c>
      <c r="N970" s="25" t="e">
        <f ca="1"/>
        <v>#REF!</v>
      </c>
      <c r="O970" s="25" t="e">
        <f ca="1"/>
        <v>#REF!</v>
      </c>
      <c r="P970" s="25" t="e">
        <f ca="1"/>
        <v>#REF!</v>
      </c>
      <c r="Q970" s="25" t="e">
        <f ca="1"/>
        <v>#REF!</v>
      </c>
      <c r="R970" s="25" t="e">
        <f ca="1"/>
        <v>#REF!</v>
      </c>
      <c r="S970" s="25" t="e">
        <f ca="1"/>
        <v>#REF!</v>
      </c>
      <c r="T970" s="25" t="e">
        <f ca="1"/>
        <v>#REF!</v>
      </c>
      <c r="U970" s="25" t="e">
        <f ca="1"/>
        <v>#REF!</v>
      </c>
      <c r="V970" s="25" t="e">
        <f ca="1"/>
        <v>#REF!</v>
      </c>
      <c r="W970" s="33" t="e">
        <f ca="1"/>
        <v>#REF!</v>
      </c>
      <c r="X970" s="33" t="e">
        <f ca="1"/>
        <v>#REF!</v>
      </c>
      <c r="Y970" s="33" t="e">
        <f ca="1"/>
        <v>#REF!</v>
      </c>
      <c r="Z970" s="33" t="e">
        <f ca="1"/>
        <v>#REF!</v>
      </c>
      <c r="AA970" s="33" t="e">
        <f ca="1"/>
        <v>#REF!</v>
      </c>
    </row>
    <row r="971" spans="1:27" s="70" customFormat="1" ht="11.25" x14ac:dyDescent="0.2">
      <c r="A971" s="24">
        <v>965</v>
      </c>
      <c r="B971" s="24"/>
      <c r="C971" s="25"/>
      <c r="D971" s="26"/>
      <c r="E971" s="25"/>
      <c r="F971" s="25"/>
      <c r="G971" s="24"/>
      <c r="H971" s="25" t="e">
        <f ca="1"/>
        <v>#REF!</v>
      </c>
      <c r="I971" s="27" t="e">
        <f ca="1"/>
        <v>#REF!</v>
      </c>
      <c r="J971" s="28" t="e">
        <f ca="1"/>
        <v>#REF!</v>
      </c>
      <c r="K971" s="27" t="e">
        <f ca="1"/>
        <v>#REF!</v>
      </c>
      <c r="L971" s="25" t="e">
        <f ca="1"/>
        <v>#REF!</v>
      </c>
      <c r="M971" s="25" t="e">
        <f ca="1"/>
        <v>#REF!</v>
      </c>
      <c r="N971" s="25" t="e">
        <f ca="1"/>
        <v>#REF!</v>
      </c>
      <c r="O971" s="25" t="e">
        <f ca="1"/>
        <v>#REF!</v>
      </c>
      <c r="P971" s="25" t="e">
        <f ca="1"/>
        <v>#REF!</v>
      </c>
      <c r="Q971" s="25" t="e">
        <f ca="1"/>
        <v>#REF!</v>
      </c>
      <c r="R971" s="25" t="e">
        <f ca="1"/>
        <v>#REF!</v>
      </c>
      <c r="S971" s="25" t="e">
        <f ca="1"/>
        <v>#REF!</v>
      </c>
      <c r="T971" s="25" t="e">
        <f ca="1"/>
        <v>#REF!</v>
      </c>
      <c r="U971" s="25" t="e">
        <f ca="1"/>
        <v>#REF!</v>
      </c>
      <c r="V971" s="25" t="e">
        <f ca="1"/>
        <v>#REF!</v>
      </c>
      <c r="W971" s="33" t="e">
        <f ca="1"/>
        <v>#REF!</v>
      </c>
      <c r="X971" s="33" t="e">
        <f ca="1"/>
        <v>#REF!</v>
      </c>
      <c r="Y971" s="33" t="e">
        <f ca="1"/>
        <v>#REF!</v>
      </c>
      <c r="Z971" s="33" t="e">
        <f ca="1"/>
        <v>#REF!</v>
      </c>
      <c r="AA971" s="33" t="e">
        <f ca="1"/>
        <v>#REF!</v>
      </c>
    </row>
    <row r="972" spans="1:27" s="70" customFormat="1" ht="11.25" x14ac:dyDescent="0.2">
      <c r="A972" s="24">
        <v>966</v>
      </c>
      <c r="B972" s="24"/>
      <c r="C972" s="25"/>
      <c r="D972" s="26"/>
      <c r="E972" s="25"/>
      <c r="F972" s="25"/>
      <c r="G972" s="24"/>
      <c r="H972" s="25" t="e">
        <f ca="1"/>
        <v>#REF!</v>
      </c>
      <c r="I972" s="27" t="e">
        <f ca="1"/>
        <v>#REF!</v>
      </c>
      <c r="J972" s="25" t="e">
        <f ca="1"/>
        <v>#REF!</v>
      </c>
      <c r="K972" s="27" t="e">
        <f ca="1"/>
        <v>#REF!</v>
      </c>
      <c r="L972" s="25" t="e">
        <f ca="1"/>
        <v>#REF!</v>
      </c>
      <c r="M972" s="25" t="e">
        <f ca="1"/>
        <v>#REF!</v>
      </c>
      <c r="N972" s="25" t="e">
        <f ca="1"/>
        <v>#REF!</v>
      </c>
      <c r="O972" s="25" t="e">
        <f ca="1"/>
        <v>#REF!</v>
      </c>
      <c r="P972" s="25" t="e">
        <f ca="1"/>
        <v>#REF!</v>
      </c>
      <c r="Q972" s="25" t="e">
        <f ca="1"/>
        <v>#REF!</v>
      </c>
      <c r="R972" s="25" t="e">
        <f ca="1"/>
        <v>#REF!</v>
      </c>
      <c r="S972" s="25" t="e">
        <f ca="1"/>
        <v>#REF!</v>
      </c>
      <c r="T972" s="25" t="e">
        <f ca="1"/>
        <v>#REF!</v>
      </c>
      <c r="U972" s="25" t="e">
        <f ca="1"/>
        <v>#REF!</v>
      </c>
      <c r="V972" s="25" t="e">
        <f ca="1"/>
        <v>#REF!</v>
      </c>
      <c r="W972" s="33" t="e">
        <f ca="1"/>
        <v>#REF!</v>
      </c>
      <c r="X972" s="33" t="e">
        <f ca="1"/>
        <v>#REF!</v>
      </c>
      <c r="Y972" s="33" t="e">
        <f ca="1"/>
        <v>#REF!</v>
      </c>
      <c r="Z972" s="33" t="e">
        <f ca="1"/>
        <v>#REF!</v>
      </c>
      <c r="AA972" s="33" t="e">
        <f ca="1"/>
        <v>#REF!</v>
      </c>
    </row>
    <row r="973" spans="1:27" s="70" customFormat="1" ht="11.25" x14ac:dyDescent="0.2">
      <c r="A973" s="24">
        <v>967</v>
      </c>
      <c r="B973" s="24"/>
      <c r="C973" s="25"/>
      <c r="D973" s="26"/>
      <c r="E973" s="25"/>
      <c r="F973" s="25"/>
      <c r="G973" s="24"/>
      <c r="H973" s="25" t="e">
        <f ca="1"/>
        <v>#REF!</v>
      </c>
      <c r="I973" s="27" t="e">
        <f ca="1"/>
        <v>#REF!</v>
      </c>
      <c r="J973" s="28" t="e">
        <f ca="1"/>
        <v>#REF!</v>
      </c>
      <c r="K973" s="27" t="e">
        <f ca="1"/>
        <v>#REF!</v>
      </c>
      <c r="L973" s="25" t="e">
        <f ca="1"/>
        <v>#REF!</v>
      </c>
      <c r="M973" s="25" t="e">
        <f ca="1"/>
        <v>#REF!</v>
      </c>
      <c r="N973" s="25" t="e">
        <f ca="1"/>
        <v>#REF!</v>
      </c>
      <c r="O973" s="25" t="e">
        <f ca="1"/>
        <v>#REF!</v>
      </c>
      <c r="P973" s="25" t="e">
        <f ca="1"/>
        <v>#REF!</v>
      </c>
      <c r="Q973" s="25" t="e">
        <f ca="1"/>
        <v>#REF!</v>
      </c>
      <c r="R973" s="25" t="e">
        <f ca="1"/>
        <v>#REF!</v>
      </c>
      <c r="S973" s="25" t="e">
        <f ca="1"/>
        <v>#REF!</v>
      </c>
      <c r="T973" s="25" t="e">
        <f ca="1"/>
        <v>#REF!</v>
      </c>
      <c r="U973" s="25" t="e">
        <f ca="1"/>
        <v>#REF!</v>
      </c>
      <c r="V973" s="25" t="e">
        <f ca="1"/>
        <v>#REF!</v>
      </c>
      <c r="W973" s="33" t="e">
        <f ca="1"/>
        <v>#REF!</v>
      </c>
      <c r="X973" s="33" t="e">
        <f ca="1"/>
        <v>#REF!</v>
      </c>
      <c r="Y973" s="33" t="e">
        <f ca="1"/>
        <v>#REF!</v>
      </c>
      <c r="Z973" s="33" t="e">
        <f ca="1"/>
        <v>#REF!</v>
      </c>
      <c r="AA973" s="33" t="e">
        <f ca="1"/>
        <v>#REF!</v>
      </c>
    </row>
    <row r="974" spans="1:27" s="70" customFormat="1" ht="11.25" x14ac:dyDescent="0.2">
      <c r="A974" s="24">
        <v>968</v>
      </c>
      <c r="B974" s="24"/>
      <c r="C974" s="25"/>
      <c r="D974" s="26"/>
      <c r="E974" s="25"/>
      <c r="F974" s="25"/>
      <c r="G974" s="24"/>
      <c r="H974" s="25" t="e">
        <f ca="1"/>
        <v>#REF!</v>
      </c>
      <c r="I974" s="27" t="e">
        <f ca="1"/>
        <v>#REF!</v>
      </c>
      <c r="J974" s="28" t="e">
        <f ca="1"/>
        <v>#REF!</v>
      </c>
      <c r="K974" s="27" t="e">
        <f ca="1"/>
        <v>#REF!</v>
      </c>
      <c r="L974" s="25" t="e">
        <f ca="1"/>
        <v>#REF!</v>
      </c>
      <c r="M974" s="25" t="e">
        <f ca="1"/>
        <v>#REF!</v>
      </c>
      <c r="N974" s="25" t="e">
        <f ca="1"/>
        <v>#REF!</v>
      </c>
      <c r="O974" s="25" t="e">
        <f ca="1"/>
        <v>#REF!</v>
      </c>
      <c r="P974" s="25" t="e">
        <f ca="1"/>
        <v>#REF!</v>
      </c>
      <c r="Q974" s="25" t="e">
        <f ca="1"/>
        <v>#REF!</v>
      </c>
      <c r="R974" s="25" t="e">
        <f ca="1"/>
        <v>#REF!</v>
      </c>
      <c r="S974" s="25" t="e">
        <f ca="1"/>
        <v>#REF!</v>
      </c>
      <c r="T974" s="25" t="e">
        <f ca="1"/>
        <v>#REF!</v>
      </c>
      <c r="U974" s="25" t="e">
        <f ca="1"/>
        <v>#REF!</v>
      </c>
      <c r="V974" s="25" t="e">
        <f ca="1"/>
        <v>#REF!</v>
      </c>
      <c r="W974" s="33" t="e">
        <f ca="1"/>
        <v>#REF!</v>
      </c>
      <c r="X974" s="33" t="e">
        <f ca="1"/>
        <v>#REF!</v>
      </c>
      <c r="Y974" s="33" t="e">
        <f ca="1"/>
        <v>#REF!</v>
      </c>
      <c r="Z974" s="33" t="e">
        <f ca="1"/>
        <v>#REF!</v>
      </c>
      <c r="AA974" s="33" t="e">
        <f ca="1"/>
        <v>#REF!</v>
      </c>
    </row>
    <row r="975" spans="1:27" s="70" customFormat="1" ht="11.25" x14ac:dyDescent="0.2">
      <c r="A975" s="24">
        <v>969</v>
      </c>
      <c r="B975" s="24"/>
      <c r="C975" s="25"/>
      <c r="D975" s="26"/>
      <c r="E975" s="25"/>
      <c r="F975" s="25"/>
      <c r="G975" s="24"/>
      <c r="H975" s="25" t="e">
        <f ca="1"/>
        <v>#REF!</v>
      </c>
      <c r="I975" s="27" t="e">
        <f ca="1"/>
        <v>#REF!</v>
      </c>
      <c r="J975" s="28" t="e">
        <f ca="1"/>
        <v>#REF!</v>
      </c>
      <c r="K975" s="27" t="e">
        <f ca="1"/>
        <v>#REF!</v>
      </c>
      <c r="L975" s="25" t="e">
        <f ca="1"/>
        <v>#REF!</v>
      </c>
      <c r="M975" s="25" t="e">
        <f ca="1"/>
        <v>#REF!</v>
      </c>
      <c r="N975" s="25" t="e">
        <f ca="1"/>
        <v>#REF!</v>
      </c>
      <c r="O975" s="25" t="e">
        <f ca="1"/>
        <v>#REF!</v>
      </c>
      <c r="P975" s="25" t="e">
        <f ca="1"/>
        <v>#REF!</v>
      </c>
      <c r="Q975" s="25" t="e">
        <f ca="1"/>
        <v>#REF!</v>
      </c>
      <c r="R975" s="25" t="e">
        <f ca="1"/>
        <v>#REF!</v>
      </c>
      <c r="S975" s="25" t="e">
        <f ca="1"/>
        <v>#REF!</v>
      </c>
      <c r="T975" s="25" t="e">
        <f ca="1"/>
        <v>#REF!</v>
      </c>
      <c r="U975" s="25" t="e">
        <f ca="1"/>
        <v>#REF!</v>
      </c>
      <c r="V975" s="25" t="e">
        <f ca="1"/>
        <v>#REF!</v>
      </c>
      <c r="W975" s="33" t="e">
        <f ca="1"/>
        <v>#REF!</v>
      </c>
      <c r="X975" s="33" t="e">
        <f ca="1"/>
        <v>#REF!</v>
      </c>
      <c r="Y975" s="33" t="e">
        <f ca="1"/>
        <v>#REF!</v>
      </c>
      <c r="Z975" s="33" t="e">
        <f ca="1"/>
        <v>#REF!</v>
      </c>
      <c r="AA975" s="33" t="e">
        <f ca="1"/>
        <v>#REF!</v>
      </c>
    </row>
    <row r="976" spans="1:27" s="70" customFormat="1" ht="11.25" x14ac:dyDescent="0.2">
      <c r="A976" s="24">
        <v>970</v>
      </c>
      <c r="B976" s="24"/>
      <c r="C976" s="25"/>
      <c r="D976" s="26"/>
      <c r="E976" s="25"/>
      <c r="F976" s="25"/>
      <c r="G976" s="24"/>
      <c r="H976" s="25" t="e">
        <f ca="1"/>
        <v>#REF!</v>
      </c>
      <c r="I976" s="27" t="e">
        <f ca="1"/>
        <v>#REF!</v>
      </c>
      <c r="J976" s="28" t="e">
        <f ca="1"/>
        <v>#REF!</v>
      </c>
      <c r="K976" s="27" t="e">
        <f ca="1"/>
        <v>#REF!</v>
      </c>
      <c r="L976" s="25" t="e">
        <f ca="1"/>
        <v>#REF!</v>
      </c>
      <c r="M976" s="25" t="e">
        <f ca="1"/>
        <v>#REF!</v>
      </c>
      <c r="N976" s="25" t="e">
        <f ca="1"/>
        <v>#REF!</v>
      </c>
      <c r="O976" s="25" t="e">
        <f ca="1"/>
        <v>#REF!</v>
      </c>
      <c r="P976" s="25" t="e">
        <f ca="1"/>
        <v>#REF!</v>
      </c>
      <c r="Q976" s="25" t="e">
        <f ca="1"/>
        <v>#REF!</v>
      </c>
      <c r="R976" s="25" t="e">
        <f ca="1"/>
        <v>#REF!</v>
      </c>
      <c r="S976" s="25" t="e">
        <f ca="1"/>
        <v>#REF!</v>
      </c>
      <c r="T976" s="25" t="e">
        <f ca="1"/>
        <v>#REF!</v>
      </c>
      <c r="U976" s="25" t="e">
        <f ca="1"/>
        <v>#REF!</v>
      </c>
      <c r="V976" s="25" t="e">
        <f ca="1"/>
        <v>#REF!</v>
      </c>
      <c r="W976" s="33" t="e">
        <f ca="1"/>
        <v>#REF!</v>
      </c>
      <c r="X976" s="33" t="e">
        <f ca="1"/>
        <v>#REF!</v>
      </c>
      <c r="Y976" s="33" t="e">
        <f ca="1"/>
        <v>#REF!</v>
      </c>
      <c r="Z976" s="33" t="e">
        <f ca="1"/>
        <v>#REF!</v>
      </c>
      <c r="AA976" s="33" t="e">
        <f ca="1"/>
        <v>#REF!</v>
      </c>
    </row>
    <row r="977" spans="1:28" s="70" customFormat="1" ht="11.25" x14ac:dyDescent="0.2">
      <c r="A977" s="24">
        <v>971</v>
      </c>
      <c r="B977" s="24"/>
      <c r="C977" s="25"/>
      <c r="D977" s="26"/>
      <c r="E977" s="25"/>
      <c r="F977" s="25"/>
      <c r="G977" s="24"/>
      <c r="H977" s="25" t="e">
        <f ca="1"/>
        <v>#REF!</v>
      </c>
      <c r="I977" s="27" t="e">
        <f ca="1"/>
        <v>#REF!</v>
      </c>
      <c r="J977" s="28" t="e">
        <f ca="1"/>
        <v>#REF!</v>
      </c>
      <c r="K977" s="27" t="e">
        <f ca="1"/>
        <v>#REF!</v>
      </c>
      <c r="L977" s="25" t="e">
        <f ca="1"/>
        <v>#REF!</v>
      </c>
      <c r="M977" s="25" t="e">
        <f ca="1"/>
        <v>#REF!</v>
      </c>
      <c r="N977" s="25" t="e">
        <f ca="1"/>
        <v>#REF!</v>
      </c>
      <c r="O977" s="25" t="e">
        <f ca="1"/>
        <v>#REF!</v>
      </c>
      <c r="P977" s="25" t="e">
        <f ca="1"/>
        <v>#REF!</v>
      </c>
      <c r="Q977" s="25" t="e">
        <f ca="1"/>
        <v>#REF!</v>
      </c>
      <c r="R977" s="25" t="e">
        <f ca="1"/>
        <v>#REF!</v>
      </c>
      <c r="S977" s="25" t="e">
        <f ca="1"/>
        <v>#REF!</v>
      </c>
      <c r="T977" s="25" t="e">
        <f ca="1"/>
        <v>#REF!</v>
      </c>
      <c r="U977" s="25" t="e">
        <f ca="1"/>
        <v>#REF!</v>
      </c>
      <c r="V977" s="25" t="e">
        <f ca="1"/>
        <v>#REF!</v>
      </c>
      <c r="W977" s="33" t="e">
        <f ca="1"/>
        <v>#REF!</v>
      </c>
      <c r="X977" s="33" t="e">
        <f ca="1"/>
        <v>#REF!</v>
      </c>
      <c r="Y977" s="33" t="e">
        <f ca="1"/>
        <v>#REF!</v>
      </c>
      <c r="Z977" s="33" t="e">
        <f ca="1"/>
        <v>#REF!</v>
      </c>
      <c r="AA977" s="33" t="e">
        <f ca="1"/>
        <v>#REF!</v>
      </c>
    </row>
    <row r="978" spans="1:28" s="70" customFormat="1" ht="11.25" x14ac:dyDescent="0.2">
      <c r="A978" s="24">
        <v>972</v>
      </c>
      <c r="B978" s="24"/>
      <c r="C978" s="25"/>
      <c r="D978" s="26"/>
      <c r="E978" s="25"/>
      <c r="F978" s="25"/>
      <c r="G978" s="24"/>
      <c r="H978" s="25" t="e">
        <f ca="1"/>
        <v>#REF!</v>
      </c>
      <c r="I978" s="27" t="e">
        <f ca="1"/>
        <v>#REF!</v>
      </c>
      <c r="J978" s="28" t="e">
        <f ca="1"/>
        <v>#REF!</v>
      </c>
      <c r="K978" s="27" t="e">
        <f ca="1"/>
        <v>#REF!</v>
      </c>
      <c r="L978" s="72" t="e">
        <f ca="1"/>
        <v>#REF!</v>
      </c>
      <c r="M978" s="74" t="e">
        <f ca="1"/>
        <v>#REF!</v>
      </c>
      <c r="N978" s="72" t="e">
        <f ca="1"/>
        <v>#REF!</v>
      </c>
      <c r="O978" s="72" t="e">
        <f ca="1"/>
        <v>#REF!</v>
      </c>
      <c r="P978" s="72" t="e">
        <f ca="1"/>
        <v>#REF!</v>
      </c>
      <c r="Q978" s="72" t="e">
        <f ca="1"/>
        <v>#REF!</v>
      </c>
      <c r="R978" s="72" t="e">
        <f ca="1"/>
        <v>#REF!</v>
      </c>
      <c r="S978" s="72" t="e">
        <f ca="1"/>
        <v>#REF!</v>
      </c>
      <c r="T978" s="72" t="e">
        <f ca="1"/>
        <v>#REF!</v>
      </c>
      <c r="U978" s="72" t="e">
        <f ca="1"/>
        <v>#REF!</v>
      </c>
      <c r="V978" s="72" t="e">
        <f ca="1"/>
        <v>#REF!</v>
      </c>
      <c r="W978" s="34" t="e">
        <f ca="1"/>
        <v>#REF!</v>
      </c>
      <c r="X978" s="34" t="e">
        <f ca="1"/>
        <v>#REF!</v>
      </c>
      <c r="Y978" s="34" t="e">
        <f ca="1"/>
        <v>#REF!</v>
      </c>
      <c r="Z978" s="34" t="e">
        <f ca="1"/>
        <v>#REF!</v>
      </c>
      <c r="AA978" s="34" t="e">
        <f ca="1"/>
        <v>#REF!</v>
      </c>
    </row>
    <row r="979" spans="1:28" s="70" customFormat="1" ht="11.25" x14ac:dyDescent="0.2">
      <c r="A979" s="24">
        <v>973</v>
      </c>
      <c r="B979" s="24"/>
      <c r="C979" s="25"/>
      <c r="D979" s="26"/>
      <c r="E979" s="25"/>
      <c r="F979" s="25"/>
      <c r="G979" s="24"/>
      <c r="H979" s="25" t="e">
        <f ca="1"/>
        <v>#REF!</v>
      </c>
      <c r="I979" s="27" t="e">
        <f ca="1"/>
        <v>#REF!</v>
      </c>
      <c r="J979" s="28" t="e">
        <f ca="1"/>
        <v>#REF!</v>
      </c>
      <c r="K979" s="27" t="e">
        <f ca="1"/>
        <v>#REF!</v>
      </c>
      <c r="L979" s="72" t="e">
        <f ca="1"/>
        <v>#REF!</v>
      </c>
      <c r="M979" s="74" t="e">
        <f ca="1"/>
        <v>#REF!</v>
      </c>
      <c r="N979" s="72" t="e">
        <f ca="1"/>
        <v>#REF!</v>
      </c>
      <c r="O979" s="72" t="e">
        <f ca="1"/>
        <v>#REF!</v>
      </c>
      <c r="P979" s="72" t="e">
        <f ca="1"/>
        <v>#REF!</v>
      </c>
      <c r="Q979" s="72" t="e">
        <f ca="1"/>
        <v>#REF!</v>
      </c>
      <c r="R979" s="72" t="e">
        <f ca="1"/>
        <v>#REF!</v>
      </c>
      <c r="S979" s="72" t="e">
        <f ca="1"/>
        <v>#REF!</v>
      </c>
      <c r="T979" s="72" t="e">
        <f ca="1"/>
        <v>#REF!</v>
      </c>
      <c r="U979" s="72" t="e">
        <f ca="1"/>
        <v>#REF!</v>
      </c>
      <c r="V979" s="72" t="e">
        <f ca="1"/>
        <v>#REF!</v>
      </c>
      <c r="W979" s="34" t="e">
        <f ca="1"/>
        <v>#REF!</v>
      </c>
      <c r="X979" s="34" t="e">
        <f ca="1"/>
        <v>#REF!</v>
      </c>
      <c r="Y979" s="34" t="e">
        <f ca="1"/>
        <v>#REF!</v>
      </c>
      <c r="Z979" s="34" t="e">
        <f ca="1"/>
        <v>#REF!</v>
      </c>
      <c r="AA979" s="34" t="e">
        <f ca="1"/>
        <v>#REF!</v>
      </c>
    </row>
    <row r="980" spans="1:28" s="70" customFormat="1" ht="11.25" x14ac:dyDescent="0.2">
      <c r="A980" s="24">
        <v>974</v>
      </c>
      <c r="B980" s="24"/>
      <c r="C980" s="25"/>
      <c r="D980" s="26"/>
      <c r="E980" s="25"/>
      <c r="F980" s="25"/>
      <c r="G980" s="24"/>
      <c r="H980" s="25" t="e">
        <f ca="1"/>
        <v>#REF!</v>
      </c>
      <c r="I980" s="27" t="e">
        <f ca="1"/>
        <v>#REF!</v>
      </c>
      <c r="J980" s="28" t="e">
        <f ca="1"/>
        <v>#REF!</v>
      </c>
      <c r="K980" s="27" t="e">
        <f ca="1"/>
        <v>#REF!</v>
      </c>
      <c r="L980" s="72" t="e">
        <f ca="1"/>
        <v>#REF!</v>
      </c>
      <c r="M980" s="74" t="e">
        <f ca="1"/>
        <v>#REF!</v>
      </c>
      <c r="N980" s="72" t="e">
        <f ca="1"/>
        <v>#REF!</v>
      </c>
      <c r="O980" s="72" t="e">
        <f ca="1"/>
        <v>#REF!</v>
      </c>
      <c r="P980" s="72" t="e">
        <f ca="1"/>
        <v>#REF!</v>
      </c>
      <c r="Q980" s="72" t="e">
        <f ca="1"/>
        <v>#REF!</v>
      </c>
      <c r="R980" s="72" t="e">
        <f ca="1"/>
        <v>#REF!</v>
      </c>
      <c r="S980" s="72" t="e">
        <f ca="1"/>
        <v>#REF!</v>
      </c>
      <c r="T980" s="72" t="e">
        <f ca="1"/>
        <v>#REF!</v>
      </c>
      <c r="U980" s="72" t="e">
        <f ca="1"/>
        <v>#REF!</v>
      </c>
      <c r="V980" s="72" t="e">
        <f ca="1"/>
        <v>#REF!</v>
      </c>
      <c r="W980" s="34" t="e">
        <f ca="1"/>
        <v>#REF!</v>
      </c>
      <c r="X980" s="34" t="e">
        <f ca="1"/>
        <v>#REF!</v>
      </c>
      <c r="Y980" s="34" t="e">
        <f ca="1"/>
        <v>#REF!</v>
      </c>
      <c r="Z980" s="34" t="e">
        <f ca="1"/>
        <v>#REF!</v>
      </c>
      <c r="AA980" s="34" t="e">
        <f ca="1"/>
        <v>#REF!</v>
      </c>
    </row>
    <row r="981" spans="1:28" s="70" customFormat="1" ht="11.25" x14ac:dyDescent="0.2">
      <c r="A981" s="24">
        <v>975</v>
      </c>
      <c r="B981" s="24"/>
      <c r="C981" s="25"/>
      <c r="D981" s="26"/>
      <c r="E981" s="25"/>
      <c r="F981" s="25"/>
      <c r="G981" s="24"/>
      <c r="H981" s="25" t="e">
        <f ca="1"/>
        <v>#REF!</v>
      </c>
      <c r="I981" s="27" t="e">
        <f ca="1"/>
        <v>#REF!</v>
      </c>
      <c r="J981" s="28" t="e">
        <f ca="1"/>
        <v>#REF!</v>
      </c>
      <c r="K981" s="27" t="e">
        <f ca="1"/>
        <v>#REF!</v>
      </c>
      <c r="L981" s="25" t="e">
        <f ca="1"/>
        <v>#REF!</v>
      </c>
      <c r="M981" s="25" t="e">
        <f ca="1"/>
        <v>#REF!</v>
      </c>
      <c r="N981" s="25" t="e">
        <f ca="1"/>
        <v>#REF!</v>
      </c>
      <c r="O981" s="25" t="e">
        <f ca="1"/>
        <v>#REF!</v>
      </c>
      <c r="P981" s="25" t="e">
        <f ca="1"/>
        <v>#REF!</v>
      </c>
      <c r="Q981" s="25" t="e">
        <f ca="1"/>
        <v>#REF!</v>
      </c>
      <c r="R981" s="25" t="e">
        <f ca="1"/>
        <v>#REF!</v>
      </c>
      <c r="S981" s="25" t="e">
        <f ca="1"/>
        <v>#REF!</v>
      </c>
      <c r="T981" s="25" t="e">
        <f ca="1"/>
        <v>#REF!</v>
      </c>
      <c r="U981" s="25" t="e">
        <f ca="1"/>
        <v>#REF!</v>
      </c>
      <c r="V981" s="25" t="e">
        <f ca="1"/>
        <v>#REF!</v>
      </c>
      <c r="W981" s="33" t="e">
        <f ca="1"/>
        <v>#REF!</v>
      </c>
      <c r="X981" s="33" t="e">
        <f ca="1"/>
        <v>#REF!</v>
      </c>
      <c r="Y981" s="33" t="e">
        <f ca="1"/>
        <v>#REF!</v>
      </c>
      <c r="Z981" s="33" t="e">
        <f ca="1"/>
        <v>#REF!</v>
      </c>
      <c r="AA981" s="33" t="e">
        <f ca="1"/>
        <v>#REF!</v>
      </c>
    </row>
    <row r="982" spans="1:28" s="70" customFormat="1" ht="11.25" x14ac:dyDescent="0.2">
      <c r="A982" s="24">
        <v>976</v>
      </c>
      <c r="B982" s="24"/>
      <c r="C982" s="25"/>
      <c r="D982" s="26"/>
      <c r="E982" s="25"/>
      <c r="F982" s="25"/>
      <c r="G982" s="24"/>
      <c r="H982" s="25" t="e">
        <f ca="1"/>
        <v>#REF!</v>
      </c>
      <c r="I982" s="27" t="e">
        <f ca="1"/>
        <v>#REF!</v>
      </c>
      <c r="J982" s="28" t="e">
        <f ca="1"/>
        <v>#REF!</v>
      </c>
      <c r="K982" s="27" t="e">
        <f ca="1"/>
        <v>#REF!</v>
      </c>
      <c r="L982" s="25" t="e">
        <f ca="1"/>
        <v>#REF!</v>
      </c>
      <c r="M982" s="25" t="e">
        <f ca="1"/>
        <v>#REF!</v>
      </c>
      <c r="N982" s="25" t="e">
        <f ca="1"/>
        <v>#REF!</v>
      </c>
      <c r="O982" s="25" t="e">
        <f ca="1"/>
        <v>#REF!</v>
      </c>
      <c r="P982" s="25" t="e">
        <f ca="1"/>
        <v>#REF!</v>
      </c>
      <c r="Q982" s="25" t="e">
        <f ca="1"/>
        <v>#REF!</v>
      </c>
      <c r="R982" s="25" t="e">
        <f ca="1"/>
        <v>#REF!</v>
      </c>
      <c r="S982" s="25" t="e">
        <f ca="1"/>
        <v>#REF!</v>
      </c>
      <c r="T982" s="25" t="e">
        <f ca="1"/>
        <v>#REF!</v>
      </c>
      <c r="U982" s="25" t="e">
        <f ca="1"/>
        <v>#REF!</v>
      </c>
      <c r="V982" s="25" t="e">
        <f ca="1"/>
        <v>#REF!</v>
      </c>
      <c r="W982" s="33" t="e">
        <f ca="1"/>
        <v>#REF!</v>
      </c>
      <c r="X982" s="33" t="e">
        <f ca="1"/>
        <v>#REF!</v>
      </c>
      <c r="Y982" s="33" t="e">
        <f ca="1"/>
        <v>#REF!</v>
      </c>
      <c r="Z982" s="33" t="e">
        <f ca="1"/>
        <v>#REF!</v>
      </c>
      <c r="AA982" s="33" t="e">
        <f ca="1"/>
        <v>#REF!</v>
      </c>
    </row>
    <row r="983" spans="1:28" s="70" customFormat="1" ht="11.25" x14ac:dyDescent="0.2">
      <c r="A983" s="24">
        <v>977</v>
      </c>
      <c r="B983" s="24"/>
      <c r="C983" s="25"/>
      <c r="D983" s="26"/>
      <c r="E983" s="25"/>
      <c r="F983" s="25"/>
      <c r="G983" s="24"/>
      <c r="H983" s="25" t="e">
        <f ca="1"/>
        <v>#REF!</v>
      </c>
      <c r="I983" s="27" t="e">
        <f ca="1"/>
        <v>#REF!</v>
      </c>
      <c r="J983" s="28" t="e">
        <f ca="1"/>
        <v>#REF!</v>
      </c>
      <c r="K983" s="27" t="e">
        <f ca="1"/>
        <v>#REF!</v>
      </c>
      <c r="L983" s="25" t="e">
        <f ca="1"/>
        <v>#REF!</v>
      </c>
      <c r="M983" s="25" t="e">
        <f ca="1"/>
        <v>#REF!</v>
      </c>
      <c r="N983" s="25" t="e">
        <f ca="1"/>
        <v>#REF!</v>
      </c>
      <c r="O983" s="25" t="e">
        <f ca="1"/>
        <v>#REF!</v>
      </c>
      <c r="P983" s="25" t="e">
        <f ca="1"/>
        <v>#REF!</v>
      </c>
      <c r="Q983" s="25" t="e">
        <f ca="1"/>
        <v>#REF!</v>
      </c>
      <c r="R983" s="25" t="e">
        <f ca="1"/>
        <v>#REF!</v>
      </c>
      <c r="S983" s="25" t="e">
        <f ca="1"/>
        <v>#REF!</v>
      </c>
      <c r="T983" s="25" t="e">
        <f ca="1"/>
        <v>#REF!</v>
      </c>
      <c r="U983" s="25" t="e">
        <f ca="1"/>
        <v>#REF!</v>
      </c>
      <c r="V983" s="25" t="e">
        <f ca="1"/>
        <v>#REF!</v>
      </c>
      <c r="W983" s="33" t="e">
        <f ca="1"/>
        <v>#REF!</v>
      </c>
      <c r="X983" s="33" t="e">
        <f ca="1"/>
        <v>#REF!</v>
      </c>
      <c r="Y983" s="33" t="e">
        <f ca="1"/>
        <v>#REF!</v>
      </c>
      <c r="Z983" s="33" t="e">
        <f ca="1"/>
        <v>#REF!</v>
      </c>
      <c r="AA983" s="33" t="e">
        <f ca="1"/>
        <v>#REF!</v>
      </c>
    </row>
    <row r="984" spans="1:28" s="70" customFormat="1" ht="11.25" x14ac:dyDescent="0.2">
      <c r="A984" s="24">
        <v>978</v>
      </c>
      <c r="B984" s="24"/>
      <c r="C984" s="25"/>
      <c r="D984" s="26"/>
      <c r="E984" s="25"/>
      <c r="F984" s="25"/>
      <c r="G984" s="24"/>
      <c r="H984" s="25" t="e">
        <f ca="1"/>
        <v>#REF!</v>
      </c>
      <c r="I984" s="27" t="e">
        <f ca="1"/>
        <v>#REF!</v>
      </c>
      <c r="J984" s="28" t="e">
        <f ca="1"/>
        <v>#REF!</v>
      </c>
      <c r="K984" s="27" t="e">
        <f ca="1"/>
        <v>#REF!</v>
      </c>
      <c r="L984" s="25" t="e">
        <f ca="1"/>
        <v>#REF!</v>
      </c>
      <c r="M984" s="25" t="e">
        <f ca="1"/>
        <v>#REF!</v>
      </c>
      <c r="N984" s="25" t="e">
        <f ca="1"/>
        <v>#REF!</v>
      </c>
      <c r="O984" s="25" t="e">
        <f ca="1"/>
        <v>#REF!</v>
      </c>
      <c r="P984" s="25" t="e">
        <f ca="1"/>
        <v>#REF!</v>
      </c>
      <c r="Q984" s="25" t="e">
        <f ca="1"/>
        <v>#REF!</v>
      </c>
      <c r="R984" s="25" t="e">
        <f ca="1"/>
        <v>#REF!</v>
      </c>
      <c r="S984" s="25" t="e">
        <f ca="1"/>
        <v>#REF!</v>
      </c>
      <c r="T984" s="25" t="e">
        <f ca="1"/>
        <v>#REF!</v>
      </c>
      <c r="U984" s="25" t="e">
        <f ca="1"/>
        <v>#REF!</v>
      </c>
      <c r="V984" s="25" t="e">
        <f ca="1"/>
        <v>#REF!</v>
      </c>
      <c r="W984" s="33" t="e">
        <f ca="1"/>
        <v>#REF!</v>
      </c>
      <c r="X984" s="33" t="e">
        <f ca="1"/>
        <v>#REF!</v>
      </c>
      <c r="Y984" s="33" t="e">
        <f ca="1"/>
        <v>#REF!</v>
      </c>
      <c r="Z984" s="33" t="e">
        <f ca="1"/>
        <v>#REF!</v>
      </c>
      <c r="AA984" s="33" t="e">
        <f ca="1"/>
        <v>#REF!</v>
      </c>
    </row>
    <row r="985" spans="1:28" s="70" customFormat="1" ht="11.25" x14ac:dyDescent="0.2">
      <c r="A985" s="24">
        <v>979</v>
      </c>
      <c r="B985" s="24"/>
      <c r="C985" s="25"/>
      <c r="D985" s="26"/>
      <c r="E985" s="25"/>
      <c r="F985" s="25"/>
      <c r="G985" s="24"/>
      <c r="H985" s="25" t="e">
        <f ca="1"/>
        <v>#REF!</v>
      </c>
      <c r="I985" s="27" t="e">
        <f ca="1"/>
        <v>#REF!</v>
      </c>
      <c r="J985" s="28" t="e">
        <f ca="1"/>
        <v>#REF!</v>
      </c>
      <c r="K985" s="27" t="e">
        <f ca="1"/>
        <v>#REF!</v>
      </c>
      <c r="L985" s="25" t="e">
        <f ca="1"/>
        <v>#REF!</v>
      </c>
      <c r="M985" s="25" t="e">
        <f ca="1"/>
        <v>#REF!</v>
      </c>
      <c r="N985" s="25" t="e">
        <f ca="1"/>
        <v>#REF!</v>
      </c>
      <c r="O985" s="25" t="e">
        <f ca="1"/>
        <v>#REF!</v>
      </c>
      <c r="P985" s="25" t="e">
        <f ca="1"/>
        <v>#REF!</v>
      </c>
      <c r="Q985" s="25" t="e">
        <f ca="1"/>
        <v>#REF!</v>
      </c>
      <c r="R985" s="25" t="e">
        <f ca="1"/>
        <v>#REF!</v>
      </c>
      <c r="S985" s="25" t="e">
        <f ca="1"/>
        <v>#REF!</v>
      </c>
      <c r="T985" s="25" t="e">
        <f ca="1"/>
        <v>#REF!</v>
      </c>
      <c r="U985" s="25" t="e">
        <f ca="1"/>
        <v>#REF!</v>
      </c>
      <c r="V985" s="25" t="e">
        <f ca="1"/>
        <v>#REF!</v>
      </c>
      <c r="W985" s="33" t="e">
        <f ca="1"/>
        <v>#REF!</v>
      </c>
      <c r="X985" s="33" t="e">
        <f ca="1"/>
        <v>#REF!</v>
      </c>
      <c r="Y985" s="33" t="e">
        <f ca="1"/>
        <v>#REF!</v>
      </c>
      <c r="Z985" s="33" t="e">
        <f ca="1"/>
        <v>#REF!</v>
      </c>
      <c r="AA985" s="33" t="e">
        <f ca="1"/>
        <v>#REF!</v>
      </c>
    </row>
    <row r="986" spans="1:28" s="70" customFormat="1" ht="11.25" x14ac:dyDescent="0.2">
      <c r="A986" s="24">
        <v>980</v>
      </c>
      <c r="B986" s="24"/>
      <c r="C986" s="25"/>
      <c r="D986" s="26"/>
      <c r="E986" s="25"/>
      <c r="F986" s="25"/>
      <c r="G986" s="24"/>
      <c r="H986" s="25" t="e">
        <f ca="1"/>
        <v>#REF!</v>
      </c>
      <c r="I986" s="27" t="e">
        <f ca="1"/>
        <v>#REF!</v>
      </c>
      <c r="J986" s="28" t="e">
        <f ca="1"/>
        <v>#REF!</v>
      </c>
      <c r="K986" s="27" t="e">
        <f ca="1"/>
        <v>#REF!</v>
      </c>
      <c r="L986" s="25" t="e">
        <f ca="1"/>
        <v>#REF!</v>
      </c>
      <c r="M986" s="25" t="e">
        <f ca="1"/>
        <v>#REF!</v>
      </c>
      <c r="N986" s="25" t="e">
        <f ca="1"/>
        <v>#REF!</v>
      </c>
      <c r="O986" s="25" t="e">
        <f ca="1"/>
        <v>#REF!</v>
      </c>
      <c r="P986" s="25" t="e">
        <f ca="1"/>
        <v>#REF!</v>
      </c>
      <c r="Q986" s="25" t="e">
        <f ca="1"/>
        <v>#REF!</v>
      </c>
      <c r="R986" s="25" t="e">
        <f ca="1"/>
        <v>#REF!</v>
      </c>
      <c r="S986" s="25" t="e">
        <f ca="1"/>
        <v>#REF!</v>
      </c>
      <c r="T986" s="25" t="e">
        <f ca="1"/>
        <v>#REF!</v>
      </c>
      <c r="U986" s="25" t="e">
        <f ca="1"/>
        <v>#REF!</v>
      </c>
      <c r="V986" s="25" t="e">
        <f ca="1"/>
        <v>#REF!</v>
      </c>
      <c r="W986" s="33" t="e">
        <f ca="1"/>
        <v>#REF!</v>
      </c>
      <c r="X986" s="33" t="e">
        <f ca="1"/>
        <v>#REF!</v>
      </c>
      <c r="Y986" s="33" t="e">
        <f ca="1"/>
        <v>#REF!</v>
      </c>
      <c r="Z986" s="33" t="e">
        <f ca="1"/>
        <v>#REF!</v>
      </c>
      <c r="AA986" s="33" t="e">
        <f ca="1"/>
        <v>#REF!</v>
      </c>
    </row>
    <row r="987" spans="1:28" s="70" customFormat="1" ht="11.25" x14ac:dyDescent="0.2">
      <c r="A987" s="24">
        <v>981</v>
      </c>
      <c r="B987" s="24"/>
      <c r="C987" s="25"/>
      <c r="D987" s="26"/>
      <c r="E987" s="25"/>
      <c r="F987" s="25"/>
      <c r="G987" s="24"/>
      <c r="H987" s="25" t="e">
        <f ca="1"/>
        <v>#REF!</v>
      </c>
      <c r="I987" s="27" t="e">
        <f ca="1"/>
        <v>#REF!</v>
      </c>
      <c r="J987" s="28" t="e">
        <f ca="1"/>
        <v>#REF!</v>
      </c>
      <c r="K987" s="27" t="e">
        <f ca="1"/>
        <v>#REF!</v>
      </c>
      <c r="L987" s="25" t="e">
        <f ca="1"/>
        <v>#REF!</v>
      </c>
      <c r="M987" s="25" t="e">
        <f ca="1"/>
        <v>#REF!</v>
      </c>
      <c r="N987" s="25" t="e">
        <f ca="1"/>
        <v>#REF!</v>
      </c>
      <c r="O987" s="25" t="e">
        <f ca="1"/>
        <v>#REF!</v>
      </c>
      <c r="P987" s="25" t="e">
        <f ca="1"/>
        <v>#REF!</v>
      </c>
      <c r="Q987" s="25" t="e">
        <f ca="1"/>
        <v>#REF!</v>
      </c>
      <c r="R987" s="25" t="e">
        <f ca="1"/>
        <v>#REF!</v>
      </c>
      <c r="S987" s="25" t="e">
        <f ca="1"/>
        <v>#REF!</v>
      </c>
      <c r="T987" s="25" t="e">
        <f ca="1"/>
        <v>#REF!</v>
      </c>
      <c r="U987" s="25" t="e">
        <f ca="1"/>
        <v>#REF!</v>
      </c>
      <c r="V987" s="25" t="e">
        <f ca="1"/>
        <v>#REF!</v>
      </c>
      <c r="W987" s="33" t="e">
        <f ca="1"/>
        <v>#REF!</v>
      </c>
      <c r="X987" s="33" t="e">
        <f ca="1"/>
        <v>#REF!</v>
      </c>
      <c r="Y987" s="33" t="e">
        <f ca="1"/>
        <v>#REF!</v>
      </c>
      <c r="Z987" s="33" t="e">
        <f ca="1"/>
        <v>#REF!</v>
      </c>
      <c r="AA987" s="33" t="e">
        <f ca="1"/>
        <v>#REF!</v>
      </c>
    </row>
    <row r="988" spans="1:28" s="70" customFormat="1" ht="11.25" x14ac:dyDescent="0.2">
      <c r="A988" s="24">
        <v>982</v>
      </c>
      <c r="B988" s="24"/>
      <c r="C988" s="25"/>
      <c r="D988" s="26"/>
      <c r="E988" s="25"/>
      <c r="F988" s="25"/>
      <c r="G988" s="24"/>
      <c r="H988" s="25" t="e">
        <f ca="1"/>
        <v>#REF!</v>
      </c>
      <c r="I988" s="27" t="e">
        <f ca="1"/>
        <v>#REF!</v>
      </c>
      <c r="J988" s="28" t="e">
        <f ca="1"/>
        <v>#REF!</v>
      </c>
      <c r="K988" s="27" t="e">
        <f ca="1"/>
        <v>#REF!</v>
      </c>
      <c r="L988" s="25" t="e">
        <f ca="1"/>
        <v>#REF!</v>
      </c>
      <c r="M988" s="25" t="e">
        <f ca="1"/>
        <v>#REF!</v>
      </c>
      <c r="N988" s="25" t="e">
        <f ca="1"/>
        <v>#REF!</v>
      </c>
      <c r="O988" s="25" t="e">
        <f ca="1"/>
        <v>#REF!</v>
      </c>
      <c r="P988" s="25" t="e">
        <f ca="1"/>
        <v>#REF!</v>
      </c>
      <c r="Q988" s="25" t="e">
        <f ca="1"/>
        <v>#REF!</v>
      </c>
      <c r="R988" s="25" t="e">
        <f ca="1"/>
        <v>#REF!</v>
      </c>
      <c r="S988" s="25" t="e">
        <f ca="1"/>
        <v>#REF!</v>
      </c>
      <c r="T988" s="25" t="e">
        <f ca="1"/>
        <v>#REF!</v>
      </c>
      <c r="U988" s="25" t="e">
        <f ca="1"/>
        <v>#REF!</v>
      </c>
      <c r="V988" s="25" t="e">
        <f ca="1"/>
        <v>#REF!</v>
      </c>
      <c r="W988" s="33" t="e">
        <f ca="1"/>
        <v>#REF!</v>
      </c>
      <c r="X988" s="33" t="e">
        <f ca="1"/>
        <v>#REF!</v>
      </c>
      <c r="Y988" s="33" t="e">
        <f ca="1"/>
        <v>#REF!</v>
      </c>
      <c r="Z988" s="33" t="e">
        <f ca="1"/>
        <v>#REF!</v>
      </c>
      <c r="AA988" s="33" t="e">
        <f ca="1"/>
        <v>#REF!</v>
      </c>
      <c r="AB988" s="70" t="s">
        <v>2151</v>
      </c>
    </row>
    <row r="989" spans="1:28" s="70" customFormat="1" ht="11.25" x14ac:dyDescent="0.2">
      <c r="A989" s="24">
        <v>983</v>
      </c>
      <c r="B989" s="24"/>
      <c r="C989" s="25"/>
      <c r="D989" s="26"/>
      <c r="E989" s="25"/>
      <c r="F989" s="25"/>
      <c r="G989" s="24"/>
      <c r="H989" s="25" t="e">
        <f ca="1"/>
        <v>#REF!</v>
      </c>
      <c r="I989" s="27" t="e">
        <f ca="1"/>
        <v>#REF!</v>
      </c>
      <c r="J989" s="28" t="e">
        <f ca="1"/>
        <v>#REF!</v>
      </c>
      <c r="K989" s="27" t="e">
        <f ca="1"/>
        <v>#REF!</v>
      </c>
      <c r="L989" s="25" t="e">
        <f ca="1"/>
        <v>#REF!</v>
      </c>
      <c r="M989" s="25" t="e">
        <f ca="1"/>
        <v>#REF!</v>
      </c>
      <c r="N989" s="25" t="e">
        <f ca="1"/>
        <v>#REF!</v>
      </c>
      <c r="O989" s="25" t="e">
        <f ca="1"/>
        <v>#REF!</v>
      </c>
      <c r="P989" s="25" t="e">
        <f ca="1"/>
        <v>#REF!</v>
      </c>
      <c r="Q989" s="25" t="e">
        <f ca="1"/>
        <v>#REF!</v>
      </c>
      <c r="R989" s="25" t="e">
        <f ca="1"/>
        <v>#REF!</v>
      </c>
      <c r="S989" s="25" t="e">
        <f ca="1"/>
        <v>#REF!</v>
      </c>
      <c r="T989" s="25" t="e">
        <f ca="1"/>
        <v>#REF!</v>
      </c>
      <c r="U989" s="25" t="e">
        <f ca="1"/>
        <v>#REF!</v>
      </c>
      <c r="V989" s="25" t="e">
        <f ca="1"/>
        <v>#REF!</v>
      </c>
      <c r="W989" s="33" t="e">
        <f ca="1"/>
        <v>#REF!</v>
      </c>
      <c r="X989" s="33" t="e">
        <f ca="1"/>
        <v>#REF!</v>
      </c>
      <c r="Y989" s="33" t="e">
        <f ca="1"/>
        <v>#REF!</v>
      </c>
      <c r="Z989" s="33" t="e">
        <f ca="1"/>
        <v>#REF!</v>
      </c>
      <c r="AA989" s="33" t="e">
        <f ca="1"/>
        <v>#REF!</v>
      </c>
    </row>
    <row r="990" spans="1:28" s="70" customFormat="1" ht="11.25" x14ac:dyDescent="0.2">
      <c r="A990" s="24">
        <v>984</v>
      </c>
      <c r="B990" s="24"/>
      <c r="C990" s="25"/>
      <c r="D990" s="26"/>
      <c r="E990" s="25"/>
      <c r="F990" s="25"/>
      <c r="G990" s="24"/>
      <c r="H990" s="25" t="e">
        <f ca="1"/>
        <v>#REF!</v>
      </c>
      <c r="I990" s="27" t="e">
        <f ca="1"/>
        <v>#REF!</v>
      </c>
      <c r="J990" s="28" t="e">
        <f ca="1"/>
        <v>#REF!</v>
      </c>
      <c r="K990" s="27" t="e">
        <f ca="1"/>
        <v>#REF!</v>
      </c>
      <c r="L990" s="25" t="e">
        <f ca="1"/>
        <v>#REF!</v>
      </c>
      <c r="M990" s="25" t="e">
        <f ca="1"/>
        <v>#REF!</v>
      </c>
      <c r="N990" s="25" t="e">
        <f ca="1"/>
        <v>#REF!</v>
      </c>
      <c r="O990" s="25" t="e">
        <f ca="1"/>
        <v>#REF!</v>
      </c>
      <c r="P990" s="25" t="e">
        <f ca="1"/>
        <v>#REF!</v>
      </c>
      <c r="Q990" s="25" t="e">
        <f ca="1"/>
        <v>#REF!</v>
      </c>
      <c r="R990" s="25" t="e">
        <f ca="1"/>
        <v>#REF!</v>
      </c>
      <c r="S990" s="25" t="e">
        <f ca="1"/>
        <v>#REF!</v>
      </c>
      <c r="T990" s="25" t="e">
        <f ca="1"/>
        <v>#REF!</v>
      </c>
      <c r="U990" s="25" t="e">
        <f ca="1"/>
        <v>#REF!</v>
      </c>
      <c r="V990" s="25" t="e">
        <f ca="1"/>
        <v>#REF!</v>
      </c>
      <c r="W990" s="33" t="e">
        <f ca="1"/>
        <v>#REF!</v>
      </c>
      <c r="X990" s="33" t="e">
        <f ca="1"/>
        <v>#REF!</v>
      </c>
      <c r="Y990" s="33" t="e">
        <f ca="1"/>
        <v>#REF!</v>
      </c>
      <c r="Z990" s="33" t="e">
        <f ca="1"/>
        <v>#REF!</v>
      </c>
      <c r="AA990" s="33" t="e">
        <f ca="1"/>
        <v>#REF!</v>
      </c>
    </row>
    <row r="991" spans="1:28" s="70" customFormat="1" ht="11.25" x14ac:dyDescent="0.2">
      <c r="A991" s="24">
        <v>985</v>
      </c>
      <c r="B991" s="24"/>
      <c r="C991" s="25"/>
      <c r="D991" s="26"/>
      <c r="E991" s="25"/>
      <c r="F991" s="25"/>
      <c r="G991" s="24"/>
      <c r="H991" s="25" t="e">
        <f ca="1"/>
        <v>#REF!</v>
      </c>
      <c r="I991" s="27" t="e">
        <f ca="1"/>
        <v>#REF!</v>
      </c>
      <c r="J991" s="28" t="e">
        <f ca="1"/>
        <v>#REF!</v>
      </c>
      <c r="K991" s="27" t="e">
        <f ca="1"/>
        <v>#REF!</v>
      </c>
      <c r="L991" s="25" t="e">
        <f ca="1"/>
        <v>#REF!</v>
      </c>
      <c r="M991" s="25" t="e">
        <f ca="1"/>
        <v>#REF!</v>
      </c>
      <c r="N991" s="25" t="e">
        <f ca="1"/>
        <v>#REF!</v>
      </c>
      <c r="O991" s="25" t="e">
        <f ca="1"/>
        <v>#REF!</v>
      </c>
      <c r="P991" s="25" t="e">
        <f ca="1"/>
        <v>#REF!</v>
      </c>
      <c r="Q991" s="25" t="e">
        <f ca="1"/>
        <v>#REF!</v>
      </c>
      <c r="R991" s="25" t="e">
        <f ca="1"/>
        <v>#REF!</v>
      </c>
      <c r="S991" s="25" t="e">
        <f ca="1"/>
        <v>#REF!</v>
      </c>
      <c r="T991" s="25" t="e">
        <f ca="1"/>
        <v>#REF!</v>
      </c>
      <c r="U991" s="25" t="e">
        <f ca="1"/>
        <v>#REF!</v>
      </c>
      <c r="V991" s="25" t="e">
        <f ca="1"/>
        <v>#REF!</v>
      </c>
      <c r="W991" s="33" t="e">
        <f ca="1"/>
        <v>#REF!</v>
      </c>
      <c r="X991" s="33" t="e">
        <f ca="1"/>
        <v>#REF!</v>
      </c>
      <c r="Y991" s="33" t="e">
        <f ca="1"/>
        <v>#REF!</v>
      </c>
      <c r="Z991" s="33" t="e">
        <f ca="1"/>
        <v>#REF!</v>
      </c>
      <c r="AA991" s="33" t="e">
        <f ca="1"/>
        <v>#REF!</v>
      </c>
    </row>
    <row r="992" spans="1:28" s="70" customFormat="1" ht="11.25" x14ac:dyDescent="0.2">
      <c r="A992" s="24">
        <v>986</v>
      </c>
      <c r="B992" s="24"/>
      <c r="C992" s="25"/>
      <c r="D992" s="26"/>
      <c r="E992" s="25"/>
      <c r="F992" s="25"/>
      <c r="G992" s="24"/>
      <c r="H992" s="25" t="e">
        <f ca="1"/>
        <v>#REF!</v>
      </c>
      <c r="I992" s="27" t="e">
        <f ca="1"/>
        <v>#REF!</v>
      </c>
      <c r="J992" s="28" t="e">
        <f ca="1"/>
        <v>#REF!</v>
      </c>
      <c r="K992" s="27" t="e">
        <f ca="1"/>
        <v>#REF!</v>
      </c>
      <c r="L992" s="25" t="e">
        <f ca="1"/>
        <v>#REF!</v>
      </c>
      <c r="M992" s="25" t="e">
        <f ca="1"/>
        <v>#REF!</v>
      </c>
      <c r="N992" s="25" t="e">
        <f ca="1"/>
        <v>#REF!</v>
      </c>
      <c r="O992" s="25" t="e">
        <f ca="1"/>
        <v>#REF!</v>
      </c>
      <c r="P992" s="25" t="e">
        <f ca="1"/>
        <v>#REF!</v>
      </c>
      <c r="Q992" s="25" t="e">
        <f ca="1"/>
        <v>#REF!</v>
      </c>
      <c r="R992" s="25" t="e">
        <f ca="1"/>
        <v>#REF!</v>
      </c>
      <c r="S992" s="25" t="e">
        <f ca="1"/>
        <v>#REF!</v>
      </c>
      <c r="T992" s="25" t="e">
        <f ca="1"/>
        <v>#REF!</v>
      </c>
      <c r="U992" s="25" t="e">
        <f ca="1"/>
        <v>#REF!</v>
      </c>
      <c r="V992" s="25" t="e">
        <f ca="1"/>
        <v>#REF!</v>
      </c>
      <c r="W992" s="33" t="e">
        <f ca="1"/>
        <v>#REF!</v>
      </c>
      <c r="X992" s="33" t="e">
        <f ca="1"/>
        <v>#REF!</v>
      </c>
      <c r="Y992" s="33" t="e">
        <f ca="1"/>
        <v>#REF!</v>
      </c>
      <c r="Z992" s="33" t="e">
        <f ca="1"/>
        <v>#REF!</v>
      </c>
      <c r="AA992" s="33" t="e">
        <f ca="1"/>
        <v>#REF!</v>
      </c>
    </row>
    <row r="993" spans="1:27" s="70" customFormat="1" ht="11.25" x14ac:dyDescent="0.2">
      <c r="A993" s="24">
        <v>987</v>
      </c>
      <c r="B993" s="24"/>
      <c r="C993" s="25"/>
      <c r="D993" s="26"/>
      <c r="E993" s="25"/>
      <c r="F993" s="25"/>
      <c r="G993" s="24"/>
      <c r="H993" s="25" t="e">
        <f ca="1"/>
        <v>#REF!</v>
      </c>
      <c r="I993" s="27" t="e">
        <f ca="1"/>
        <v>#REF!</v>
      </c>
      <c r="J993" s="28" t="e">
        <f ca="1"/>
        <v>#REF!</v>
      </c>
      <c r="K993" s="27" t="e">
        <f ca="1"/>
        <v>#REF!</v>
      </c>
      <c r="L993" s="25" t="e">
        <f ca="1"/>
        <v>#REF!</v>
      </c>
      <c r="M993" s="25" t="e">
        <f ca="1"/>
        <v>#REF!</v>
      </c>
      <c r="N993" s="25" t="e">
        <f ca="1"/>
        <v>#REF!</v>
      </c>
      <c r="O993" s="25" t="e">
        <f ca="1"/>
        <v>#REF!</v>
      </c>
      <c r="P993" s="25" t="e">
        <f ca="1"/>
        <v>#REF!</v>
      </c>
      <c r="Q993" s="25" t="e">
        <f ca="1"/>
        <v>#REF!</v>
      </c>
      <c r="R993" s="25" t="e">
        <f ca="1"/>
        <v>#REF!</v>
      </c>
      <c r="S993" s="25" t="e">
        <f ca="1"/>
        <v>#REF!</v>
      </c>
      <c r="T993" s="25" t="e">
        <f ca="1"/>
        <v>#REF!</v>
      </c>
      <c r="U993" s="25" t="e">
        <f ca="1"/>
        <v>#REF!</v>
      </c>
      <c r="V993" s="25" t="e">
        <f ca="1"/>
        <v>#REF!</v>
      </c>
      <c r="W993" s="33" t="e">
        <f ca="1"/>
        <v>#REF!</v>
      </c>
      <c r="X993" s="33" t="e">
        <f ca="1"/>
        <v>#REF!</v>
      </c>
      <c r="Y993" s="33" t="e">
        <f ca="1"/>
        <v>#REF!</v>
      </c>
      <c r="Z993" s="33" t="e">
        <f ca="1"/>
        <v>#REF!</v>
      </c>
      <c r="AA993" s="33" t="e">
        <f ca="1"/>
        <v>#REF!</v>
      </c>
    </row>
    <row r="994" spans="1:27" s="70" customFormat="1" ht="11.25" x14ac:dyDescent="0.2">
      <c r="A994" s="24">
        <v>988</v>
      </c>
      <c r="B994" s="24"/>
      <c r="C994" s="25"/>
      <c r="D994" s="26"/>
      <c r="E994" s="25"/>
      <c r="F994" s="25"/>
      <c r="G994" s="24"/>
      <c r="H994" s="25" t="e">
        <f ca="1"/>
        <v>#REF!</v>
      </c>
      <c r="I994" s="27" t="e">
        <f ca="1"/>
        <v>#REF!</v>
      </c>
      <c r="J994" s="28" t="e">
        <f ca="1"/>
        <v>#REF!</v>
      </c>
      <c r="K994" s="27" t="e">
        <f ca="1"/>
        <v>#REF!</v>
      </c>
      <c r="L994" s="25" t="e">
        <f ca="1"/>
        <v>#REF!</v>
      </c>
      <c r="M994" s="25" t="e">
        <f ca="1"/>
        <v>#REF!</v>
      </c>
      <c r="N994" s="25" t="e">
        <f ca="1"/>
        <v>#REF!</v>
      </c>
      <c r="O994" s="25" t="e">
        <f ca="1"/>
        <v>#REF!</v>
      </c>
      <c r="P994" s="25" t="e">
        <f ca="1"/>
        <v>#REF!</v>
      </c>
      <c r="Q994" s="25" t="e">
        <f ca="1"/>
        <v>#REF!</v>
      </c>
      <c r="R994" s="25" t="e">
        <f ca="1"/>
        <v>#REF!</v>
      </c>
      <c r="S994" s="25" t="e">
        <f ca="1"/>
        <v>#REF!</v>
      </c>
      <c r="T994" s="25" t="e">
        <f ca="1"/>
        <v>#REF!</v>
      </c>
      <c r="U994" s="25" t="e">
        <f ca="1"/>
        <v>#REF!</v>
      </c>
      <c r="V994" s="25" t="e">
        <f ca="1"/>
        <v>#REF!</v>
      </c>
      <c r="W994" s="33" t="e">
        <f ca="1"/>
        <v>#REF!</v>
      </c>
      <c r="X994" s="33" t="e">
        <f ca="1"/>
        <v>#REF!</v>
      </c>
      <c r="Y994" s="33" t="e">
        <f ca="1"/>
        <v>#REF!</v>
      </c>
      <c r="Z994" s="33" t="e">
        <f ca="1"/>
        <v>#REF!</v>
      </c>
      <c r="AA994" s="33" t="e">
        <f ca="1"/>
        <v>#REF!</v>
      </c>
    </row>
    <row r="995" spans="1:27" s="70" customFormat="1" ht="11.25" x14ac:dyDescent="0.2">
      <c r="A995" s="24">
        <v>989</v>
      </c>
      <c r="B995" s="24"/>
      <c r="C995" s="25"/>
      <c r="D995" s="26"/>
      <c r="E995" s="25"/>
      <c r="F995" s="25"/>
      <c r="G995" s="24"/>
      <c r="H995" s="25" t="e">
        <f ca="1"/>
        <v>#REF!</v>
      </c>
      <c r="I995" s="27" t="e">
        <f ca="1"/>
        <v>#REF!</v>
      </c>
      <c r="J995" s="28" t="e">
        <f ca="1"/>
        <v>#REF!</v>
      </c>
      <c r="K995" s="27" t="e">
        <f ca="1"/>
        <v>#REF!</v>
      </c>
      <c r="L995" s="25" t="e">
        <f ca="1"/>
        <v>#REF!</v>
      </c>
      <c r="M995" s="25" t="e">
        <f ca="1"/>
        <v>#REF!</v>
      </c>
      <c r="N995" s="25" t="e">
        <f ca="1"/>
        <v>#REF!</v>
      </c>
      <c r="O995" s="25" t="e">
        <f ca="1"/>
        <v>#REF!</v>
      </c>
      <c r="P995" s="25" t="e">
        <f ca="1"/>
        <v>#REF!</v>
      </c>
      <c r="Q995" s="25" t="e">
        <f ca="1"/>
        <v>#REF!</v>
      </c>
      <c r="R995" s="25" t="e">
        <f ca="1"/>
        <v>#REF!</v>
      </c>
      <c r="S995" s="25" t="e">
        <f ca="1"/>
        <v>#REF!</v>
      </c>
      <c r="T995" s="25" t="e">
        <f ca="1"/>
        <v>#REF!</v>
      </c>
      <c r="U995" s="25" t="e">
        <f ca="1"/>
        <v>#REF!</v>
      </c>
      <c r="V995" s="25" t="e">
        <f ca="1"/>
        <v>#REF!</v>
      </c>
      <c r="W995" s="33" t="e">
        <f ca="1"/>
        <v>#REF!</v>
      </c>
      <c r="X995" s="33" t="e">
        <f ca="1"/>
        <v>#REF!</v>
      </c>
      <c r="Y995" s="33" t="e">
        <f ca="1"/>
        <v>#REF!</v>
      </c>
      <c r="Z995" s="33" t="e">
        <f ca="1"/>
        <v>#REF!</v>
      </c>
      <c r="AA995" s="33" t="e">
        <f ca="1"/>
        <v>#REF!</v>
      </c>
    </row>
    <row r="996" spans="1:27" s="70" customFormat="1" ht="11.25" x14ac:dyDescent="0.2">
      <c r="A996" s="24">
        <v>990</v>
      </c>
      <c r="B996" s="24"/>
      <c r="C996" s="25"/>
      <c r="D996" s="26"/>
      <c r="E996" s="25"/>
      <c r="F996" s="25"/>
      <c r="G996" s="24"/>
      <c r="H996" s="25" t="e">
        <f ca="1"/>
        <v>#REF!</v>
      </c>
      <c r="I996" s="27" t="e">
        <f ca="1"/>
        <v>#REF!</v>
      </c>
      <c r="J996" s="28" t="e">
        <f ca="1"/>
        <v>#REF!</v>
      </c>
      <c r="K996" s="27" t="e">
        <f ca="1"/>
        <v>#REF!</v>
      </c>
      <c r="L996" s="25" t="e">
        <f ca="1"/>
        <v>#REF!</v>
      </c>
      <c r="M996" s="25" t="e">
        <f ca="1"/>
        <v>#REF!</v>
      </c>
      <c r="N996" s="25" t="e">
        <f ca="1"/>
        <v>#REF!</v>
      </c>
      <c r="O996" s="25" t="e">
        <f ca="1"/>
        <v>#REF!</v>
      </c>
      <c r="P996" s="25" t="e">
        <f ca="1"/>
        <v>#REF!</v>
      </c>
      <c r="Q996" s="25" t="e">
        <f ca="1"/>
        <v>#REF!</v>
      </c>
      <c r="R996" s="25" t="e">
        <f ca="1"/>
        <v>#REF!</v>
      </c>
      <c r="S996" s="25" t="e">
        <f ca="1"/>
        <v>#REF!</v>
      </c>
      <c r="T996" s="25" t="e">
        <f ca="1"/>
        <v>#REF!</v>
      </c>
      <c r="U996" s="25" t="e">
        <f ca="1"/>
        <v>#REF!</v>
      </c>
      <c r="V996" s="25" t="e">
        <f ca="1"/>
        <v>#REF!</v>
      </c>
      <c r="W996" s="33" t="e">
        <f ca="1"/>
        <v>#REF!</v>
      </c>
      <c r="X996" s="33" t="e">
        <f ca="1"/>
        <v>#REF!</v>
      </c>
      <c r="Y996" s="33" t="e">
        <f ca="1"/>
        <v>#REF!</v>
      </c>
      <c r="Z996" s="33" t="e">
        <f ca="1"/>
        <v>#REF!</v>
      </c>
      <c r="AA996" s="33" t="e">
        <f ca="1"/>
        <v>#REF!</v>
      </c>
    </row>
    <row r="997" spans="1:27" s="70" customFormat="1" ht="11.25" x14ac:dyDescent="0.2">
      <c r="A997" s="24">
        <v>991</v>
      </c>
      <c r="B997" s="24"/>
      <c r="C997" s="25"/>
      <c r="D997" s="26"/>
      <c r="E997" s="25"/>
      <c r="F997" s="25"/>
      <c r="G997" s="24"/>
      <c r="H997" s="25" t="e">
        <f ca="1"/>
        <v>#REF!</v>
      </c>
      <c r="I997" s="27" t="e">
        <f ca="1"/>
        <v>#REF!</v>
      </c>
      <c r="J997" s="28" t="e">
        <f ca="1"/>
        <v>#REF!</v>
      </c>
      <c r="K997" s="27" t="e">
        <f ca="1"/>
        <v>#REF!</v>
      </c>
      <c r="L997" s="25" t="e">
        <f ca="1"/>
        <v>#REF!</v>
      </c>
      <c r="M997" s="25" t="e">
        <f ca="1"/>
        <v>#REF!</v>
      </c>
      <c r="N997" s="25" t="e">
        <f ca="1"/>
        <v>#REF!</v>
      </c>
      <c r="O997" s="25" t="e">
        <f ca="1"/>
        <v>#REF!</v>
      </c>
      <c r="P997" s="25" t="e">
        <f ca="1"/>
        <v>#REF!</v>
      </c>
      <c r="Q997" s="25" t="e">
        <f ca="1"/>
        <v>#REF!</v>
      </c>
      <c r="R997" s="25" t="e">
        <f ca="1"/>
        <v>#REF!</v>
      </c>
      <c r="S997" s="25" t="e">
        <f ca="1"/>
        <v>#REF!</v>
      </c>
      <c r="T997" s="25" t="e">
        <f ca="1"/>
        <v>#REF!</v>
      </c>
      <c r="U997" s="25" t="e">
        <f ca="1"/>
        <v>#REF!</v>
      </c>
      <c r="V997" s="25" t="e">
        <f ca="1"/>
        <v>#REF!</v>
      </c>
      <c r="W997" s="33" t="e">
        <f ca="1"/>
        <v>#REF!</v>
      </c>
      <c r="X997" s="33" t="e">
        <f ca="1"/>
        <v>#REF!</v>
      </c>
      <c r="Y997" s="33" t="e">
        <f ca="1"/>
        <v>#REF!</v>
      </c>
      <c r="Z997" s="33" t="e">
        <f ca="1"/>
        <v>#REF!</v>
      </c>
      <c r="AA997" s="33" t="e">
        <f ca="1"/>
        <v>#REF!</v>
      </c>
    </row>
    <row r="998" spans="1:27" s="70" customFormat="1" ht="11.25" x14ac:dyDescent="0.2">
      <c r="A998" s="24">
        <v>992</v>
      </c>
      <c r="B998" s="24"/>
      <c r="C998" s="25"/>
      <c r="D998" s="26"/>
      <c r="E998" s="25"/>
      <c r="F998" s="25"/>
      <c r="G998" s="24"/>
      <c r="H998" s="25" t="e">
        <f ca="1"/>
        <v>#REF!</v>
      </c>
      <c r="I998" s="27" t="e">
        <f ca="1"/>
        <v>#REF!</v>
      </c>
      <c r="J998" s="28" t="e">
        <f ca="1"/>
        <v>#REF!</v>
      </c>
      <c r="K998" s="27" t="e">
        <f ca="1"/>
        <v>#REF!</v>
      </c>
      <c r="L998" s="25" t="e">
        <f ca="1"/>
        <v>#REF!</v>
      </c>
      <c r="M998" s="25" t="e">
        <f ca="1"/>
        <v>#REF!</v>
      </c>
      <c r="N998" s="25" t="e">
        <f ca="1"/>
        <v>#REF!</v>
      </c>
      <c r="O998" s="25" t="e">
        <f ca="1"/>
        <v>#REF!</v>
      </c>
      <c r="P998" s="25" t="e">
        <f ca="1"/>
        <v>#REF!</v>
      </c>
      <c r="Q998" s="25" t="e">
        <f ca="1"/>
        <v>#REF!</v>
      </c>
      <c r="R998" s="25" t="e">
        <f ca="1"/>
        <v>#REF!</v>
      </c>
      <c r="S998" s="25" t="e">
        <f ca="1"/>
        <v>#REF!</v>
      </c>
      <c r="T998" s="25" t="e">
        <f ca="1"/>
        <v>#REF!</v>
      </c>
      <c r="U998" s="25" t="e">
        <f ca="1"/>
        <v>#REF!</v>
      </c>
      <c r="V998" s="25" t="e">
        <f ca="1"/>
        <v>#REF!</v>
      </c>
      <c r="W998" s="33" t="e">
        <f ca="1"/>
        <v>#REF!</v>
      </c>
      <c r="X998" s="33" t="e">
        <f ca="1"/>
        <v>#REF!</v>
      </c>
      <c r="Y998" s="33" t="e">
        <f ca="1"/>
        <v>#REF!</v>
      </c>
      <c r="Z998" s="33" t="e">
        <f ca="1"/>
        <v>#REF!</v>
      </c>
      <c r="AA998" s="33" t="e">
        <f ca="1"/>
        <v>#REF!</v>
      </c>
    </row>
    <row r="999" spans="1:27" s="70" customFormat="1" ht="11.25" x14ac:dyDescent="0.2">
      <c r="A999" s="24">
        <v>993</v>
      </c>
      <c r="B999" s="24"/>
      <c r="C999" s="25"/>
      <c r="D999" s="26"/>
      <c r="E999" s="25"/>
      <c r="F999" s="25"/>
      <c r="G999" s="24"/>
      <c r="H999" s="25" t="e">
        <f ca="1"/>
        <v>#REF!</v>
      </c>
      <c r="I999" s="27" t="e">
        <f ca="1"/>
        <v>#REF!</v>
      </c>
      <c r="J999" s="28" t="e">
        <f ca="1"/>
        <v>#REF!</v>
      </c>
      <c r="K999" s="27" t="e">
        <f ca="1"/>
        <v>#REF!</v>
      </c>
      <c r="L999" s="25" t="e">
        <f ca="1"/>
        <v>#REF!</v>
      </c>
      <c r="M999" s="25" t="e">
        <f ca="1"/>
        <v>#REF!</v>
      </c>
      <c r="N999" s="25" t="e">
        <f ca="1"/>
        <v>#REF!</v>
      </c>
      <c r="O999" s="25" t="e">
        <f ca="1"/>
        <v>#REF!</v>
      </c>
      <c r="P999" s="25" t="e">
        <f ca="1"/>
        <v>#REF!</v>
      </c>
      <c r="Q999" s="25" t="e">
        <f ca="1"/>
        <v>#REF!</v>
      </c>
      <c r="R999" s="25" t="e">
        <f ca="1"/>
        <v>#REF!</v>
      </c>
      <c r="S999" s="25" t="e">
        <f ca="1"/>
        <v>#REF!</v>
      </c>
      <c r="T999" s="25" t="e">
        <f ca="1"/>
        <v>#REF!</v>
      </c>
      <c r="U999" s="25" t="e">
        <f ca="1"/>
        <v>#REF!</v>
      </c>
      <c r="V999" s="25" t="e">
        <f ca="1"/>
        <v>#REF!</v>
      </c>
      <c r="W999" s="33" t="e">
        <f ca="1"/>
        <v>#REF!</v>
      </c>
      <c r="X999" s="33" t="e">
        <f ca="1"/>
        <v>#REF!</v>
      </c>
      <c r="Y999" s="33" t="e">
        <f ca="1"/>
        <v>#REF!</v>
      </c>
      <c r="Z999" s="33" t="e">
        <f ca="1"/>
        <v>#REF!</v>
      </c>
      <c r="AA999" s="33" t="e">
        <f ca="1"/>
        <v>#REF!</v>
      </c>
    </row>
    <row r="1000" spans="1:27" s="70" customFormat="1" ht="11.25" x14ac:dyDescent="0.2">
      <c r="A1000" s="24">
        <v>994</v>
      </c>
      <c r="B1000" s="24"/>
      <c r="C1000" s="25"/>
      <c r="D1000" s="26"/>
      <c r="E1000" s="25"/>
      <c r="F1000" s="25"/>
      <c r="G1000" s="24"/>
      <c r="H1000" s="25" t="e">
        <f ca="1"/>
        <v>#REF!</v>
      </c>
      <c r="I1000" s="27" t="e">
        <f ca="1"/>
        <v>#REF!</v>
      </c>
      <c r="J1000" s="28" t="e">
        <f ca="1"/>
        <v>#REF!</v>
      </c>
      <c r="K1000" s="27" t="e">
        <f ca="1"/>
        <v>#REF!</v>
      </c>
      <c r="L1000" s="25" t="e">
        <f ca="1"/>
        <v>#REF!</v>
      </c>
      <c r="M1000" s="25" t="e">
        <f ca="1"/>
        <v>#REF!</v>
      </c>
      <c r="N1000" s="25" t="e">
        <f ca="1"/>
        <v>#REF!</v>
      </c>
      <c r="O1000" s="25" t="e">
        <f ca="1"/>
        <v>#REF!</v>
      </c>
      <c r="P1000" s="25" t="e">
        <f ca="1"/>
        <v>#REF!</v>
      </c>
      <c r="Q1000" s="25" t="e">
        <f ca="1"/>
        <v>#REF!</v>
      </c>
      <c r="R1000" s="25" t="e">
        <f ca="1"/>
        <v>#REF!</v>
      </c>
      <c r="S1000" s="25" t="e">
        <f ca="1"/>
        <v>#REF!</v>
      </c>
      <c r="T1000" s="25" t="e">
        <f ca="1"/>
        <v>#REF!</v>
      </c>
      <c r="U1000" s="25" t="e">
        <f ca="1"/>
        <v>#REF!</v>
      </c>
      <c r="V1000" s="25" t="e">
        <f ca="1"/>
        <v>#REF!</v>
      </c>
      <c r="W1000" s="33" t="e">
        <f ca="1"/>
        <v>#REF!</v>
      </c>
      <c r="X1000" s="33" t="e">
        <f ca="1"/>
        <v>#REF!</v>
      </c>
      <c r="Y1000" s="33" t="e">
        <f ca="1"/>
        <v>#REF!</v>
      </c>
      <c r="Z1000" s="33" t="e">
        <f ca="1"/>
        <v>#REF!</v>
      </c>
      <c r="AA1000" s="33" t="e">
        <f ca="1"/>
        <v>#REF!</v>
      </c>
    </row>
    <row r="1001" spans="1:27" s="70" customFormat="1" ht="11.25" x14ac:dyDescent="0.2">
      <c r="A1001" s="24">
        <v>995</v>
      </c>
      <c r="B1001" s="24"/>
      <c r="C1001" s="25"/>
      <c r="D1001" s="26"/>
      <c r="E1001" s="25"/>
      <c r="F1001" s="25"/>
      <c r="G1001" s="24"/>
      <c r="H1001" s="25" t="e">
        <f ca="1"/>
        <v>#REF!</v>
      </c>
      <c r="I1001" s="27" t="e">
        <f ca="1"/>
        <v>#REF!</v>
      </c>
      <c r="J1001" s="28" t="e">
        <f ca="1"/>
        <v>#REF!</v>
      </c>
      <c r="K1001" s="27" t="e">
        <f ca="1"/>
        <v>#REF!</v>
      </c>
      <c r="L1001" s="25" t="e">
        <f ca="1"/>
        <v>#REF!</v>
      </c>
      <c r="M1001" s="25" t="e">
        <f ca="1"/>
        <v>#REF!</v>
      </c>
      <c r="N1001" s="25" t="e">
        <f ca="1"/>
        <v>#REF!</v>
      </c>
      <c r="O1001" s="25" t="e">
        <f ca="1"/>
        <v>#REF!</v>
      </c>
      <c r="P1001" s="25" t="e">
        <f ca="1"/>
        <v>#REF!</v>
      </c>
      <c r="Q1001" s="25" t="e">
        <f ca="1"/>
        <v>#REF!</v>
      </c>
      <c r="R1001" s="25" t="e">
        <f ca="1"/>
        <v>#REF!</v>
      </c>
      <c r="S1001" s="25" t="e">
        <f ca="1"/>
        <v>#REF!</v>
      </c>
      <c r="T1001" s="25" t="e">
        <f ca="1"/>
        <v>#REF!</v>
      </c>
      <c r="U1001" s="25" t="e">
        <f ca="1"/>
        <v>#REF!</v>
      </c>
      <c r="V1001" s="25" t="e">
        <f ca="1"/>
        <v>#REF!</v>
      </c>
      <c r="W1001" s="33" t="e">
        <f ca="1"/>
        <v>#REF!</v>
      </c>
      <c r="X1001" s="33" t="e">
        <f ca="1"/>
        <v>#REF!</v>
      </c>
      <c r="Y1001" s="33" t="e">
        <f ca="1"/>
        <v>#REF!</v>
      </c>
      <c r="Z1001" s="33" t="e">
        <f ca="1"/>
        <v>#REF!</v>
      </c>
      <c r="AA1001" s="33" t="e">
        <f ca="1"/>
        <v>#REF!</v>
      </c>
    </row>
    <row r="1002" spans="1:27" s="70" customFormat="1" ht="11.25" x14ac:dyDescent="0.2">
      <c r="A1002" s="24">
        <v>996</v>
      </c>
      <c r="B1002" s="24"/>
      <c r="C1002" s="25"/>
      <c r="D1002" s="26"/>
      <c r="E1002" s="25"/>
      <c r="F1002" s="25"/>
      <c r="G1002" s="24"/>
      <c r="H1002" s="25" t="e">
        <f ca="1"/>
        <v>#REF!</v>
      </c>
      <c r="I1002" s="27" t="e">
        <f ca="1"/>
        <v>#REF!</v>
      </c>
      <c r="J1002" s="28" t="e">
        <f ca="1"/>
        <v>#REF!</v>
      </c>
      <c r="K1002" s="27" t="e">
        <f ca="1"/>
        <v>#REF!</v>
      </c>
      <c r="L1002" s="25" t="e">
        <f ca="1"/>
        <v>#REF!</v>
      </c>
      <c r="M1002" s="25" t="e">
        <f ca="1"/>
        <v>#REF!</v>
      </c>
      <c r="N1002" s="25" t="e">
        <f ca="1"/>
        <v>#REF!</v>
      </c>
      <c r="O1002" s="25" t="e">
        <f ca="1"/>
        <v>#REF!</v>
      </c>
      <c r="P1002" s="25" t="e">
        <f ca="1"/>
        <v>#REF!</v>
      </c>
      <c r="Q1002" s="25" t="e">
        <f ca="1"/>
        <v>#REF!</v>
      </c>
      <c r="R1002" s="25" t="e">
        <f ca="1"/>
        <v>#REF!</v>
      </c>
      <c r="S1002" s="25" t="e">
        <f ca="1"/>
        <v>#REF!</v>
      </c>
      <c r="T1002" s="25" t="e">
        <f ca="1"/>
        <v>#REF!</v>
      </c>
      <c r="U1002" s="25" t="e">
        <f ca="1"/>
        <v>#REF!</v>
      </c>
      <c r="V1002" s="25" t="e">
        <f ca="1"/>
        <v>#REF!</v>
      </c>
      <c r="W1002" s="33" t="e">
        <f ca="1"/>
        <v>#REF!</v>
      </c>
      <c r="X1002" s="33" t="e">
        <f ca="1"/>
        <v>#REF!</v>
      </c>
      <c r="Y1002" s="33" t="e">
        <f ca="1"/>
        <v>#REF!</v>
      </c>
      <c r="Z1002" s="33" t="e">
        <f ca="1"/>
        <v>#REF!</v>
      </c>
      <c r="AA1002" s="33" t="e">
        <f ca="1"/>
        <v>#REF!</v>
      </c>
    </row>
    <row r="1003" spans="1:27" s="70" customFormat="1" ht="11.25" x14ac:dyDescent="0.2">
      <c r="A1003" s="24">
        <v>997</v>
      </c>
      <c r="B1003" s="24"/>
      <c r="C1003" s="25"/>
      <c r="D1003" s="26"/>
      <c r="E1003" s="25"/>
      <c r="F1003" s="25"/>
      <c r="G1003" s="24"/>
      <c r="H1003" s="25" t="e">
        <f ca="1"/>
        <v>#REF!</v>
      </c>
      <c r="I1003" s="27" t="e">
        <f ca="1"/>
        <v>#REF!</v>
      </c>
      <c r="J1003" s="28" t="e">
        <f ca="1"/>
        <v>#REF!</v>
      </c>
      <c r="K1003" s="27" t="e">
        <f ca="1"/>
        <v>#REF!</v>
      </c>
      <c r="L1003" s="25" t="e">
        <f ca="1"/>
        <v>#REF!</v>
      </c>
      <c r="M1003" s="25" t="e">
        <f ca="1"/>
        <v>#REF!</v>
      </c>
      <c r="N1003" s="25" t="e">
        <f ca="1"/>
        <v>#REF!</v>
      </c>
      <c r="O1003" s="25" t="e">
        <f ca="1"/>
        <v>#REF!</v>
      </c>
      <c r="P1003" s="25" t="e">
        <f ca="1"/>
        <v>#REF!</v>
      </c>
      <c r="Q1003" s="25" t="e">
        <f ca="1"/>
        <v>#REF!</v>
      </c>
      <c r="R1003" s="25" t="e">
        <f ca="1"/>
        <v>#REF!</v>
      </c>
      <c r="S1003" s="25" t="e">
        <f ca="1"/>
        <v>#REF!</v>
      </c>
      <c r="T1003" s="25" t="e">
        <f ca="1"/>
        <v>#REF!</v>
      </c>
      <c r="U1003" s="25" t="e">
        <f ca="1"/>
        <v>#REF!</v>
      </c>
      <c r="V1003" s="25" t="e">
        <f ca="1"/>
        <v>#REF!</v>
      </c>
      <c r="W1003" s="33" t="e">
        <f ca="1"/>
        <v>#REF!</v>
      </c>
      <c r="X1003" s="33" t="e">
        <f ca="1"/>
        <v>#REF!</v>
      </c>
      <c r="Y1003" s="33" t="e">
        <f ca="1"/>
        <v>#REF!</v>
      </c>
      <c r="Z1003" s="33" t="e">
        <f ca="1"/>
        <v>#REF!</v>
      </c>
      <c r="AA1003" s="33" t="e">
        <f ca="1"/>
        <v>#REF!</v>
      </c>
    </row>
    <row r="1004" spans="1:27" s="70" customFormat="1" ht="11.25" x14ac:dyDescent="0.2">
      <c r="A1004" s="24">
        <v>998</v>
      </c>
      <c r="B1004" s="24"/>
      <c r="C1004" s="25"/>
      <c r="D1004" s="26"/>
      <c r="E1004" s="25"/>
      <c r="F1004" s="25"/>
      <c r="G1004" s="24"/>
      <c r="H1004" s="25" t="e">
        <f ca="1"/>
        <v>#REF!</v>
      </c>
      <c r="I1004" s="27" t="e">
        <f ca="1"/>
        <v>#REF!</v>
      </c>
      <c r="J1004" s="28" t="e">
        <f ca="1"/>
        <v>#REF!</v>
      </c>
      <c r="K1004" s="27" t="e">
        <f ca="1"/>
        <v>#REF!</v>
      </c>
      <c r="L1004" s="25" t="e">
        <f ca="1"/>
        <v>#REF!</v>
      </c>
      <c r="M1004" s="25" t="e">
        <f ca="1"/>
        <v>#REF!</v>
      </c>
      <c r="N1004" s="25" t="e">
        <f ca="1"/>
        <v>#REF!</v>
      </c>
      <c r="O1004" s="25" t="e">
        <f ca="1"/>
        <v>#REF!</v>
      </c>
      <c r="P1004" s="25" t="e">
        <f ca="1"/>
        <v>#REF!</v>
      </c>
      <c r="Q1004" s="25" t="e">
        <f ca="1"/>
        <v>#REF!</v>
      </c>
      <c r="R1004" s="25" t="e">
        <f ca="1"/>
        <v>#REF!</v>
      </c>
      <c r="S1004" s="25" t="e">
        <f ca="1"/>
        <v>#REF!</v>
      </c>
      <c r="T1004" s="25" t="e">
        <f ca="1"/>
        <v>#REF!</v>
      </c>
      <c r="U1004" s="25" t="e">
        <f ca="1"/>
        <v>#REF!</v>
      </c>
      <c r="V1004" s="25" t="e">
        <f ca="1"/>
        <v>#REF!</v>
      </c>
      <c r="W1004" s="33" t="e">
        <f ca="1"/>
        <v>#REF!</v>
      </c>
      <c r="X1004" s="33" t="e">
        <f ca="1"/>
        <v>#REF!</v>
      </c>
      <c r="Y1004" s="33" t="e">
        <f ca="1"/>
        <v>#REF!</v>
      </c>
      <c r="Z1004" s="33" t="e">
        <f ca="1"/>
        <v>#REF!</v>
      </c>
      <c r="AA1004" s="33" t="e">
        <f ca="1"/>
        <v>#REF!</v>
      </c>
    </row>
    <row r="1005" spans="1:27" s="70" customFormat="1" ht="11.25" x14ac:dyDescent="0.2">
      <c r="A1005" s="24">
        <v>999</v>
      </c>
      <c r="B1005" s="24"/>
      <c r="C1005" s="25"/>
      <c r="D1005" s="26"/>
      <c r="E1005" s="25"/>
      <c r="F1005" s="25"/>
      <c r="G1005" s="24"/>
      <c r="H1005" s="25" t="e">
        <f ca="1"/>
        <v>#REF!</v>
      </c>
      <c r="I1005" s="27" t="e">
        <f ca="1"/>
        <v>#REF!</v>
      </c>
      <c r="J1005" s="28" t="e">
        <f ca="1"/>
        <v>#REF!</v>
      </c>
      <c r="K1005" s="27" t="e">
        <f ca="1"/>
        <v>#REF!</v>
      </c>
      <c r="L1005" s="25" t="e">
        <f ca="1"/>
        <v>#REF!</v>
      </c>
      <c r="M1005" s="25" t="e">
        <f ca="1"/>
        <v>#REF!</v>
      </c>
      <c r="N1005" s="25" t="e">
        <f ca="1"/>
        <v>#REF!</v>
      </c>
      <c r="O1005" s="25" t="e">
        <f ca="1"/>
        <v>#REF!</v>
      </c>
      <c r="P1005" s="25" t="e">
        <f ca="1"/>
        <v>#REF!</v>
      </c>
      <c r="Q1005" s="25" t="e">
        <f ca="1"/>
        <v>#REF!</v>
      </c>
      <c r="R1005" s="25" t="e">
        <f ca="1"/>
        <v>#REF!</v>
      </c>
      <c r="S1005" s="25" t="e">
        <f ca="1"/>
        <v>#REF!</v>
      </c>
      <c r="T1005" s="25" t="e">
        <f ca="1"/>
        <v>#REF!</v>
      </c>
      <c r="U1005" s="25" t="e">
        <f ca="1"/>
        <v>#REF!</v>
      </c>
      <c r="V1005" s="25" t="e">
        <f ca="1"/>
        <v>#REF!</v>
      </c>
      <c r="W1005" s="33" t="e">
        <f ca="1"/>
        <v>#REF!</v>
      </c>
      <c r="X1005" s="33" t="e">
        <f ca="1"/>
        <v>#REF!</v>
      </c>
      <c r="Y1005" s="33" t="e">
        <f ca="1"/>
        <v>#REF!</v>
      </c>
      <c r="Z1005" s="33" t="e">
        <f ca="1"/>
        <v>#REF!</v>
      </c>
      <c r="AA1005" s="33" t="e">
        <f ca="1"/>
        <v>#REF!</v>
      </c>
    </row>
    <row r="1006" spans="1:27" s="70" customFormat="1" ht="11.25" x14ac:dyDescent="0.2">
      <c r="A1006" s="24">
        <v>1000</v>
      </c>
      <c r="B1006" s="24"/>
      <c r="C1006" s="25"/>
      <c r="D1006" s="26"/>
      <c r="E1006" s="25"/>
      <c r="F1006" s="25"/>
      <c r="G1006" s="24"/>
      <c r="H1006" s="25" t="e">
        <f ca="1"/>
        <v>#REF!</v>
      </c>
      <c r="I1006" s="27" t="e">
        <f ca="1"/>
        <v>#REF!</v>
      </c>
      <c r="J1006" s="28" t="e">
        <f ca="1"/>
        <v>#REF!</v>
      </c>
      <c r="K1006" s="27" t="e">
        <f ca="1"/>
        <v>#REF!</v>
      </c>
      <c r="L1006" s="25" t="e">
        <f ca="1"/>
        <v>#REF!</v>
      </c>
      <c r="M1006" s="25" t="e">
        <f ca="1"/>
        <v>#REF!</v>
      </c>
      <c r="N1006" s="25" t="e">
        <f ca="1"/>
        <v>#REF!</v>
      </c>
      <c r="O1006" s="25" t="e">
        <f ca="1"/>
        <v>#REF!</v>
      </c>
      <c r="P1006" s="25" t="e">
        <f ca="1"/>
        <v>#REF!</v>
      </c>
      <c r="Q1006" s="25" t="e">
        <f ca="1"/>
        <v>#REF!</v>
      </c>
      <c r="R1006" s="25" t="e">
        <f ca="1"/>
        <v>#REF!</v>
      </c>
      <c r="S1006" s="25" t="e">
        <f ca="1"/>
        <v>#REF!</v>
      </c>
      <c r="T1006" s="25" t="e">
        <f ca="1"/>
        <v>#REF!</v>
      </c>
      <c r="U1006" s="25" t="e">
        <f ca="1"/>
        <v>#REF!</v>
      </c>
      <c r="V1006" s="25" t="e">
        <f ca="1"/>
        <v>#REF!</v>
      </c>
      <c r="W1006" s="33" t="e">
        <f ca="1"/>
        <v>#REF!</v>
      </c>
      <c r="X1006" s="33" t="e">
        <f ca="1"/>
        <v>#REF!</v>
      </c>
      <c r="Y1006" s="33" t="e">
        <f ca="1"/>
        <v>#REF!</v>
      </c>
      <c r="Z1006" s="33" t="e">
        <f ca="1"/>
        <v>#REF!</v>
      </c>
      <c r="AA1006" s="33" t="e">
        <f ca="1"/>
        <v>#REF!</v>
      </c>
    </row>
    <row r="1007" spans="1:27" s="70" customFormat="1" ht="11.25" x14ac:dyDescent="0.2">
      <c r="A1007" s="24">
        <v>1001</v>
      </c>
      <c r="B1007" s="24"/>
      <c r="C1007" s="25"/>
      <c r="D1007" s="26"/>
      <c r="E1007" s="25"/>
      <c r="F1007" s="25"/>
      <c r="G1007" s="24"/>
      <c r="H1007" s="25" t="e">
        <f ca="1"/>
        <v>#REF!</v>
      </c>
      <c r="I1007" s="27" t="e">
        <f ca="1"/>
        <v>#REF!</v>
      </c>
      <c r="J1007" s="28" t="e">
        <f ca="1"/>
        <v>#REF!</v>
      </c>
      <c r="K1007" s="27" t="e">
        <f ca="1"/>
        <v>#REF!</v>
      </c>
      <c r="L1007" s="25" t="e">
        <f ca="1"/>
        <v>#REF!</v>
      </c>
      <c r="M1007" s="25" t="e">
        <f ca="1"/>
        <v>#REF!</v>
      </c>
      <c r="N1007" s="25" t="e">
        <f ca="1"/>
        <v>#REF!</v>
      </c>
      <c r="O1007" s="25" t="e">
        <f ca="1"/>
        <v>#REF!</v>
      </c>
      <c r="P1007" s="25" t="e">
        <f ca="1"/>
        <v>#REF!</v>
      </c>
      <c r="Q1007" s="25" t="e">
        <f ca="1"/>
        <v>#REF!</v>
      </c>
      <c r="R1007" s="25" t="e">
        <f ca="1"/>
        <v>#REF!</v>
      </c>
      <c r="S1007" s="25" t="e">
        <f ca="1"/>
        <v>#REF!</v>
      </c>
      <c r="T1007" s="25" t="e">
        <f ca="1"/>
        <v>#REF!</v>
      </c>
      <c r="U1007" s="25" t="e">
        <f ca="1"/>
        <v>#REF!</v>
      </c>
      <c r="V1007" s="25" t="e">
        <f ca="1"/>
        <v>#REF!</v>
      </c>
      <c r="W1007" s="33" t="e">
        <f ca="1"/>
        <v>#REF!</v>
      </c>
      <c r="X1007" s="33" t="e">
        <f ca="1"/>
        <v>#REF!</v>
      </c>
      <c r="Y1007" s="33" t="e">
        <f ca="1"/>
        <v>#REF!</v>
      </c>
      <c r="Z1007" s="33" t="e">
        <f ca="1"/>
        <v>#REF!</v>
      </c>
      <c r="AA1007" s="33" t="e">
        <f ca="1"/>
        <v>#REF!</v>
      </c>
    </row>
    <row r="1008" spans="1:27" s="70" customFormat="1" ht="11.25" x14ac:dyDescent="0.2">
      <c r="A1008" s="24">
        <v>1002</v>
      </c>
      <c r="B1008" s="24"/>
      <c r="C1008" s="25"/>
      <c r="D1008" s="26"/>
      <c r="E1008" s="25"/>
      <c r="F1008" s="25"/>
      <c r="G1008" s="24"/>
      <c r="H1008" s="25" t="e">
        <f ca="1"/>
        <v>#REF!</v>
      </c>
      <c r="I1008" s="27" t="e">
        <f ca="1"/>
        <v>#REF!</v>
      </c>
      <c r="J1008" s="28" t="e">
        <f ca="1"/>
        <v>#REF!</v>
      </c>
      <c r="K1008" s="27" t="e">
        <f ca="1"/>
        <v>#REF!</v>
      </c>
      <c r="L1008" s="25" t="e">
        <f ca="1"/>
        <v>#REF!</v>
      </c>
      <c r="M1008" s="25" t="e">
        <f ca="1"/>
        <v>#REF!</v>
      </c>
      <c r="N1008" s="25" t="e">
        <f ca="1"/>
        <v>#REF!</v>
      </c>
      <c r="O1008" s="25" t="e">
        <f ca="1"/>
        <v>#REF!</v>
      </c>
      <c r="P1008" s="25" t="e">
        <f ca="1"/>
        <v>#REF!</v>
      </c>
      <c r="Q1008" s="25" t="e">
        <f ca="1"/>
        <v>#REF!</v>
      </c>
      <c r="R1008" s="25" t="e">
        <f ca="1"/>
        <v>#REF!</v>
      </c>
      <c r="S1008" s="25" t="e">
        <f ca="1"/>
        <v>#REF!</v>
      </c>
      <c r="T1008" s="25" t="e">
        <f ca="1"/>
        <v>#REF!</v>
      </c>
      <c r="U1008" s="25" t="e">
        <f ca="1"/>
        <v>#REF!</v>
      </c>
      <c r="V1008" s="25" t="e">
        <f ca="1"/>
        <v>#REF!</v>
      </c>
      <c r="W1008" s="33" t="e">
        <f ca="1"/>
        <v>#REF!</v>
      </c>
      <c r="X1008" s="33" t="e">
        <f ca="1"/>
        <v>#REF!</v>
      </c>
      <c r="Y1008" s="33" t="e">
        <f ca="1"/>
        <v>#REF!</v>
      </c>
      <c r="Z1008" s="33" t="e">
        <f ca="1"/>
        <v>#REF!</v>
      </c>
      <c r="AA1008" s="33" t="e">
        <f ca="1"/>
        <v>#REF!</v>
      </c>
    </row>
    <row r="1009" spans="1:27" s="70" customFormat="1" ht="11.25" x14ac:dyDescent="0.2">
      <c r="A1009" s="24">
        <v>1003</v>
      </c>
      <c r="B1009" s="24"/>
      <c r="C1009" s="25"/>
      <c r="D1009" s="26"/>
      <c r="E1009" s="25"/>
      <c r="F1009" s="25"/>
      <c r="G1009" s="24"/>
      <c r="H1009" s="25" t="e">
        <f ca="1"/>
        <v>#REF!</v>
      </c>
      <c r="I1009" s="27" t="e">
        <f ca="1"/>
        <v>#REF!</v>
      </c>
      <c r="J1009" s="28" t="e">
        <f ca="1"/>
        <v>#REF!</v>
      </c>
      <c r="K1009" s="27" t="e">
        <f ca="1"/>
        <v>#REF!</v>
      </c>
      <c r="L1009" s="25" t="e">
        <f ca="1"/>
        <v>#REF!</v>
      </c>
      <c r="M1009" s="25" t="e">
        <f ca="1"/>
        <v>#REF!</v>
      </c>
      <c r="N1009" s="25" t="e">
        <f ca="1"/>
        <v>#REF!</v>
      </c>
      <c r="O1009" s="25" t="e">
        <f ca="1"/>
        <v>#REF!</v>
      </c>
      <c r="P1009" s="25" t="e">
        <f ca="1"/>
        <v>#REF!</v>
      </c>
      <c r="Q1009" s="25" t="e">
        <f ca="1"/>
        <v>#REF!</v>
      </c>
      <c r="R1009" s="25" t="e">
        <f ca="1"/>
        <v>#REF!</v>
      </c>
      <c r="S1009" s="25" t="e">
        <f ca="1"/>
        <v>#REF!</v>
      </c>
      <c r="T1009" s="25" t="e">
        <f ca="1"/>
        <v>#REF!</v>
      </c>
      <c r="U1009" s="25" t="e">
        <f ca="1"/>
        <v>#REF!</v>
      </c>
      <c r="V1009" s="25" t="e">
        <f ca="1"/>
        <v>#REF!</v>
      </c>
      <c r="W1009" s="33" t="e">
        <f ca="1"/>
        <v>#REF!</v>
      </c>
      <c r="X1009" s="33" t="e">
        <f ca="1"/>
        <v>#REF!</v>
      </c>
      <c r="Y1009" s="33" t="e">
        <f ca="1"/>
        <v>#REF!</v>
      </c>
      <c r="Z1009" s="33" t="e">
        <f ca="1"/>
        <v>#REF!</v>
      </c>
      <c r="AA1009" s="33" t="e">
        <f ca="1"/>
        <v>#REF!</v>
      </c>
    </row>
    <row r="1010" spans="1:27" s="70" customFormat="1" ht="11.25" x14ac:dyDescent="0.2">
      <c r="A1010" s="24">
        <v>1004</v>
      </c>
      <c r="B1010" s="24"/>
      <c r="C1010" s="25"/>
      <c r="D1010" s="26"/>
      <c r="E1010" s="25"/>
      <c r="F1010" s="25"/>
      <c r="G1010" s="24"/>
      <c r="H1010" s="25" t="e">
        <f ca="1"/>
        <v>#REF!</v>
      </c>
      <c r="I1010" s="27" t="e">
        <f ca="1"/>
        <v>#REF!</v>
      </c>
      <c r="J1010" s="28" t="e">
        <f ca="1"/>
        <v>#REF!</v>
      </c>
      <c r="K1010" s="27" t="e">
        <f ca="1"/>
        <v>#REF!</v>
      </c>
      <c r="L1010" s="25" t="e">
        <f ca="1"/>
        <v>#REF!</v>
      </c>
      <c r="M1010" s="25" t="e">
        <f ca="1"/>
        <v>#REF!</v>
      </c>
      <c r="N1010" s="25" t="e">
        <f ca="1"/>
        <v>#REF!</v>
      </c>
      <c r="O1010" s="25" t="e">
        <f ca="1"/>
        <v>#REF!</v>
      </c>
      <c r="P1010" s="25" t="e">
        <f ca="1"/>
        <v>#REF!</v>
      </c>
      <c r="Q1010" s="25" t="e">
        <f ca="1"/>
        <v>#REF!</v>
      </c>
      <c r="R1010" s="25" t="e">
        <f ca="1"/>
        <v>#REF!</v>
      </c>
      <c r="S1010" s="25" t="e">
        <f ca="1"/>
        <v>#REF!</v>
      </c>
      <c r="T1010" s="25" t="e">
        <f ca="1"/>
        <v>#REF!</v>
      </c>
      <c r="U1010" s="25" t="e">
        <f ca="1"/>
        <v>#REF!</v>
      </c>
      <c r="V1010" s="25" t="e">
        <f ca="1"/>
        <v>#REF!</v>
      </c>
      <c r="W1010" s="33" t="e">
        <f ca="1"/>
        <v>#REF!</v>
      </c>
      <c r="X1010" s="33" t="e">
        <f ca="1"/>
        <v>#REF!</v>
      </c>
      <c r="Y1010" s="33" t="e">
        <f ca="1"/>
        <v>#REF!</v>
      </c>
      <c r="Z1010" s="33" t="e">
        <f ca="1"/>
        <v>#REF!</v>
      </c>
      <c r="AA1010" s="33" t="e">
        <f ca="1"/>
        <v>#REF!</v>
      </c>
    </row>
    <row r="1011" spans="1:27" s="70" customFormat="1" ht="11.25" x14ac:dyDescent="0.2">
      <c r="A1011" s="24">
        <v>1005</v>
      </c>
      <c r="B1011" s="24"/>
      <c r="C1011" s="25"/>
      <c r="D1011" s="26"/>
      <c r="E1011" s="25"/>
      <c r="F1011" s="25"/>
      <c r="G1011" s="24"/>
      <c r="H1011" s="25" t="e">
        <f ca="1"/>
        <v>#REF!</v>
      </c>
      <c r="I1011" s="27" t="e">
        <f ca="1"/>
        <v>#REF!</v>
      </c>
      <c r="J1011" s="28" t="e">
        <f ca="1"/>
        <v>#REF!</v>
      </c>
      <c r="K1011" s="27" t="e">
        <f ca="1"/>
        <v>#REF!</v>
      </c>
      <c r="L1011" s="25" t="e">
        <f ca="1"/>
        <v>#REF!</v>
      </c>
      <c r="M1011" s="25" t="e">
        <f ca="1"/>
        <v>#REF!</v>
      </c>
      <c r="N1011" s="25" t="e">
        <f ca="1"/>
        <v>#REF!</v>
      </c>
      <c r="O1011" s="25" t="e">
        <f ca="1"/>
        <v>#REF!</v>
      </c>
      <c r="P1011" s="25" t="e">
        <f ca="1"/>
        <v>#REF!</v>
      </c>
      <c r="Q1011" s="25" t="e">
        <f ca="1"/>
        <v>#REF!</v>
      </c>
      <c r="R1011" s="25" t="e">
        <f ca="1"/>
        <v>#REF!</v>
      </c>
      <c r="S1011" s="25" t="e">
        <f ca="1"/>
        <v>#REF!</v>
      </c>
      <c r="T1011" s="25" t="e">
        <f ca="1"/>
        <v>#REF!</v>
      </c>
      <c r="U1011" s="25" t="e">
        <f ca="1"/>
        <v>#REF!</v>
      </c>
      <c r="V1011" s="25" t="e">
        <f ca="1"/>
        <v>#REF!</v>
      </c>
      <c r="W1011" s="33" t="e">
        <f ca="1"/>
        <v>#REF!</v>
      </c>
      <c r="X1011" s="33" t="e">
        <f ca="1"/>
        <v>#REF!</v>
      </c>
      <c r="Y1011" s="33" t="e">
        <f ca="1"/>
        <v>#REF!</v>
      </c>
      <c r="Z1011" s="33" t="e">
        <f ca="1"/>
        <v>#REF!</v>
      </c>
      <c r="AA1011" s="33" t="e">
        <f ca="1"/>
        <v>#REF!</v>
      </c>
    </row>
    <row r="1012" spans="1:27" s="70" customFormat="1" ht="11.25" x14ac:dyDescent="0.2">
      <c r="A1012" s="24">
        <v>1006</v>
      </c>
      <c r="B1012" s="24"/>
      <c r="C1012" s="25"/>
      <c r="D1012" s="26"/>
      <c r="E1012" s="25"/>
      <c r="F1012" s="25"/>
      <c r="G1012" s="24"/>
      <c r="H1012" s="25" t="e">
        <f ca="1"/>
        <v>#REF!</v>
      </c>
      <c r="I1012" s="27" t="e">
        <f ca="1"/>
        <v>#REF!</v>
      </c>
      <c r="J1012" s="28" t="e">
        <f ca="1"/>
        <v>#REF!</v>
      </c>
      <c r="K1012" s="27" t="e">
        <f ca="1"/>
        <v>#REF!</v>
      </c>
      <c r="L1012" s="25" t="e">
        <f ca="1"/>
        <v>#REF!</v>
      </c>
      <c r="M1012" s="25" t="e">
        <f ca="1"/>
        <v>#REF!</v>
      </c>
      <c r="N1012" s="25" t="e">
        <f ca="1"/>
        <v>#REF!</v>
      </c>
      <c r="O1012" s="25" t="e">
        <f ca="1"/>
        <v>#REF!</v>
      </c>
      <c r="P1012" s="25" t="e">
        <f ca="1"/>
        <v>#REF!</v>
      </c>
      <c r="Q1012" s="25" t="e">
        <f ca="1"/>
        <v>#REF!</v>
      </c>
      <c r="R1012" s="25" t="e">
        <f ca="1"/>
        <v>#REF!</v>
      </c>
      <c r="S1012" s="25" t="e">
        <f ca="1"/>
        <v>#REF!</v>
      </c>
      <c r="T1012" s="25" t="e">
        <f ca="1"/>
        <v>#REF!</v>
      </c>
      <c r="U1012" s="25" t="e">
        <f ca="1"/>
        <v>#REF!</v>
      </c>
      <c r="V1012" s="25" t="e">
        <f ca="1"/>
        <v>#REF!</v>
      </c>
      <c r="W1012" s="33" t="e">
        <f ca="1"/>
        <v>#REF!</v>
      </c>
      <c r="X1012" s="33" t="e">
        <f ca="1"/>
        <v>#REF!</v>
      </c>
      <c r="Y1012" s="33" t="e">
        <f ca="1"/>
        <v>#REF!</v>
      </c>
      <c r="Z1012" s="33" t="e">
        <f ca="1"/>
        <v>#REF!</v>
      </c>
      <c r="AA1012" s="33" t="e">
        <f ca="1"/>
        <v>#REF!</v>
      </c>
    </row>
    <row r="1013" spans="1:27" s="70" customFormat="1" ht="11.25" x14ac:dyDescent="0.2">
      <c r="A1013" s="24">
        <v>1007</v>
      </c>
      <c r="B1013" s="24"/>
      <c r="C1013" s="25"/>
      <c r="D1013" s="26"/>
      <c r="E1013" s="25"/>
      <c r="F1013" s="25"/>
      <c r="G1013" s="24"/>
      <c r="H1013" s="25" t="e">
        <f ca="1"/>
        <v>#REF!</v>
      </c>
      <c r="I1013" s="27" t="e">
        <f ca="1"/>
        <v>#REF!</v>
      </c>
      <c r="J1013" s="28" t="e">
        <f ca="1"/>
        <v>#REF!</v>
      </c>
      <c r="K1013" s="27" t="e">
        <f ca="1"/>
        <v>#REF!</v>
      </c>
      <c r="L1013" s="25" t="e">
        <f ca="1"/>
        <v>#REF!</v>
      </c>
      <c r="M1013" s="25" t="e">
        <f ca="1"/>
        <v>#REF!</v>
      </c>
      <c r="N1013" s="25" t="e">
        <f ca="1"/>
        <v>#REF!</v>
      </c>
      <c r="O1013" s="25" t="e">
        <f ca="1"/>
        <v>#REF!</v>
      </c>
      <c r="P1013" s="25" t="e">
        <f ca="1"/>
        <v>#REF!</v>
      </c>
      <c r="Q1013" s="25" t="e">
        <f ca="1"/>
        <v>#REF!</v>
      </c>
      <c r="R1013" s="25" t="e">
        <f ca="1"/>
        <v>#REF!</v>
      </c>
      <c r="S1013" s="25" t="e">
        <f ca="1"/>
        <v>#REF!</v>
      </c>
      <c r="T1013" s="25" t="e">
        <f ca="1"/>
        <v>#REF!</v>
      </c>
      <c r="U1013" s="25" t="e">
        <f ca="1"/>
        <v>#REF!</v>
      </c>
      <c r="V1013" s="25" t="e">
        <f ca="1"/>
        <v>#REF!</v>
      </c>
      <c r="W1013" s="33" t="e">
        <f ca="1"/>
        <v>#REF!</v>
      </c>
      <c r="X1013" s="33" t="e">
        <f ca="1"/>
        <v>#REF!</v>
      </c>
      <c r="Y1013" s="33" t="e">
        <f ca="1"/>
        <v>#REF!</v>
      </c>
      <c r="Z1013" s="33" t="e">
        <f ca="1"/>
        <v>#REF!</v>
      </c>
      <c r="AA1013" s="33" t="e">
        <f ca="1"/>
        <v>#REF!</v>
      </c>
    </row>
    <row r="1014" spans="1:27" s="70" customFormat="1" ht="11.25" x14ac:dyDescent="0.2">
      <c r="A1014" s="24">
        <v>1008</v>
      </c>
      <c r="B1014" s="24"/>
      <c r="C1014" s="25"/>
      <c r="D1014" s="26"/>
      <c r="E1014" s="25"/>
      <c r="F1014" s="25"/>
      <c r="G1014" s="24"/>
      <c r="H1014" s="25" t="e">
        <f ca="1"/>
        <v>#REF!</v>
      </c>
      <c r="I1014" s="27" t="e">
        <f ca="1"/>
        <v>#REF!</v>
      </c>
      <c r="J1014" s="28" t="e">
        <f ca="1"/>
        <v>#REF!</v>
      </c>
      <c r="K1014" s="27" t="e">
        <f ca="1"/>
        <v>#REF!</v>
      </c>
      <c r="L1014" s="25" t="e">
        <f ca="1"/>
        <v>#REF!</v>
      </c>
      <c r="M1014" s="25" t="e">
        <f ca="1"/>
        <v>#REF!</v>
      </c>
      <c r="N1014" s="25" t="e">
        <f ca="1"/>
        <v>#REF!</v>
      </c>
      <c r="O1014" s="25" t="e">
        <f ca="1"/>
        <v>#REF!</v>
      </c>
      <c r="P1014" s="25" t="e">
        <f ca="1"/>
        <v>#REF!</v>
      </c>
      <c r="Q1014" s="25" t="e">
        <f ca="1"/>
        <v>#REF!</v>
      </c>
      <c r="R1014" s="25" t="e">
        <f ca="1"/>
        <v>#REF!</v>
      </c>
      <c r="S1014" s="25" t="e">
        <f ca="1"/>
        <v>#REF!</v>
      </c>
      <c r="T1014" s="25" t="e">
        <f ca="1"/>
        <v>#REF!</v>
      </c>
      <c r="U1014" s="25" t="e">
        <f ca="1"/>
        <v>#REF!</v>
      </c>
      <c r="V1014" s="25" t="e">
        <f ca="1"/>
        <v>#REF!</v>
      </c>
      <c r="W1014" s="33" t="e">
        <f ca="1"/>
        <v>#REF!</v>
      </c>
      <c r="X1014" s="33" t="e">
        <f ca="1"/>
        <v>#REF!</v>
      </c>
      <c r="Y1014" s="33" t="e">
        <f ca="1"/>
        <v>#REF!</v>
      </c>
      <c r="Z1014" s="33" t="e">
        <f ca="1"/>
        <v>#REF!</v>
      </c>
      <c r="AA1014" s="33" t="e">
        <f ca="1"/>
        <v>#REF!</v>
      </c>
    </row>
    <row r="1015" spans="1:27" s="70" customFormat="1" ht="11.25" x14ac:dyDescent="0.2">
      <c r="A1015" s="24">
        <v>1009</v>
      </c>
      <c r="B1015" s="24"/>
      <c r="C1015" s="25"/>
      <c r="D1015" s="26"/>
      <c r="E1015" s="25"/>
      <c r="F1015" s="25"/>
      <c r="G1015" s="24"/>
      <c r="H1015" s="25" t="e">
        <f ca="1"/>
        <v>#REF!</v>
      </c>
      <c r="I1015" s="27" t="e">
        <f ca="1"/>
        <v>#REF!</v>
      </c>
      <c r="J1015" s="28" t="e">
        <f ca="1"/>
        <v>#REF!</v>
      </c>
      <c r="K1015" s="27" t="e">
        <f ca="1"/>
        <v>#REF!</v>
      </c>
      <c r="L1015" s="25" t="e">
        <f ca="1"/>
        <v>#REF!</v>
      </c>
      <c r="M1015" s="25" t="e">
        <f ca="1"/>
        <v>#REF!</v>
      </c>
      <c r="N1015" s="25" t="e">
        <f ca="1"/>
        <v>#REF!</v>
      </c>
      <c r="O1015" s="25" t="e">
        <f ca="1"/>
        <v>#REF!</v>
      </c>
      <c r="P1015" s="25" t="e">
        <f ca="1"/>
        <v>#REF!</v>
      </c>
      <c r="Q1015" s="25" t="e">
        <f ca="1"/>
        <v>#REF!</v>
      </c>
      <c r="R1015" s="25" t="e">
        <f ca="1"/>
        <v>#REF!</v>
      </c>
      <c r="S1015" s="25" t="e">
        <f ca="1"/>
        <v>#REF!</v>
      </c>
      <c r="T1015" s="25" t="e">
        <f ca="1"/>
        <v>#REF!</v>
      </c>
      <c r="U1015" s="25" t="e">
        <f ca="1"/>
        <v>#REF!</v>
      </c>
      <c r="V1015" s="25" t="e">
        <f ca="1"/>
        <v>#REF!</v>
      </c>
      <c r="W1015" s="33" t="e">
        <f ca="1"/>
        <v>#REF!</v>
      </c>
      <c r="X1015" s="33" t="e">
        <f ca="1"/>
        <v>#REF!</v>
      </c>
      <c r="Y1015" s="33" t="e">
        <f ca="1"/>
        <v>#REF!</v>
      </c>
      <c r="Z1015" s="33" t="e">
        <f ca="1"/>
        <v>#REF!</v>
      </c>
      <c r="AA1015" s="33" t="e">
        <f ca="1"/>
        <v>#REF!</v>
      </c>
    </row>
    <row r="1016" spans="1:27" s="70" customFormat="1" ht="11.25" x14ac:dyDescent="0.2">
      <c r="A1016" s="24">
        <v>1010</v>
      </c>
      <c r="B1016" s="24"/>
      <c r="C1016" s="25"/>
      <c r="D1016" s="26"/>
      <c r="E1016" s="25"/>
      <c r="F1016" s="25"/>
      <c r="G1016" s="24"/>
      <c r="H1016" s="25" t="e">
        <f ca="1"/>
        <v>#REF!</v>
      </c>
      <c r="I1016" s="27" t="e">
        <f ca="1"/>
        <v>#REF!</v>
      </c>
      <c r="J1016" s="28" t="e">
        <f ca="1"/>
        <v>#REF!</v>
      </c>
      <c r="K1016" s="27" t="e">
        <f ca="1"/>
        <v>#REF!</v>
      </c>
      <c r="L1016" s="25" t="e">
        <f ca="1"/>
        <v>#REF!</v>
      </c>
      <c r="M1016" s="25" t="e">
        <f ca="1"/>
        <v>#REF!</v>
      </c>
      <c r="N1016" s="25" t="e">
        <f ca="1"/>
        <v>#REF!</v>
      </c>
      <c r="O1016" s="25" t="e">
        <f ca="1"/>
        <v>#REF!</v>
      </c>
      <c r="P1016" s="25" t="e">
        <f ca="1"/>
        <v>#REF!</v>
      </c>
      <c r="Q1016" s="25" t="e">
        <f ca="1"/>
        <v>#REF!</v>
      </c>
      <c r="R1016" s="25" t="e">
        <f ca="1"/>
        <v>#REF!</v>
      </c>
      <c r="S1016" s="25" t="e">
        <f ca="1"/>
        <v>#REF!</v>
      </c>
      <c r="T1016" s="25" t="e">
        <f ca="1"/>
        <v>#REF!</v>
      </c>
      <c r="U1016" s="25" t="e">
        <f ca="1"/>
        <v>#REF!</v>
      </c>
      <c r="V1016" s="25" t="e">
        <f ca="1"/>
        <v>#REF!</v>
      </c>
      <c r="W1016" s="33" t="e">
        <f ca="1"/>
        <v>#REF!</v>
      </c>
      <c r="X1016" s="33" t="e">
        <f ca="1"/>
        <v>#REF!</v>
      </c>
      <c r="Y1016" s="33" t="e">
        <f ca="1"/>
        <v>#REF!</v>
      </c>
      <c r="Z1016" s="33" t="e">
        <f ca="1"/>
        <v>#REF!</v>
      </c>
      <c r="AA1016" s="33" t="e">
        <f ca="1"/>
        <v>#REF!</v>
      </c>
    </row>
    <row r="1017" spans="1:27" s="70" customFormat="1" ht="11.25" x14ac:dyDescent="0.2">
      <c r="A1017" s="24">
        <v>1011</v>
      </c>
      <c r="B1017" s="24"/>
      <c r="C1017" s="25"/>
      <c r="D1017" s="26"/>
      <c r="E1017" s="25"/>
      <c r="F1017" s="25"/>
      <c r="G1017" s="24"/>
      <c r="H1017" s="25" t="e">
        <f ca="1"/>
        <v>#REF!</v>
      </c>
      <c r="I1017" s="27" t="e">
        <f ca="1"/>
        <v>#REF!</v>
      </c>
      <c r="J1017" s="28" t="e">
        <f ca="1"/>
        <v>#REF!</v>
      </c>
      <c r="K1017" s="27" t="e">
        <f ca="1"/>
        <v>#REF!</v>
      </c>
      <c r="L1017" s="25" t="e">
        <f ca="1"/>
        <v>#REF!</v>
      </c>
      <c r="M1017" s="25" t="e">
        <f ca="1"/>
        <v>#REF!</v>
      </c>
      <c r="N1017" s="25" t="e">
        <f ca="1"/>
        <v>#REF!</v>
      </c>
      <c r="O1017" s="25" t="e">
        <f ca="1"/>
        <v>#REF!</v>
      </c>
      <c r="P1017" s="25" t="e">
        <f ca="1"/>
        <v>#REF!</v>
      </c>
      <c r="Q1017" s="25" t="e">
        <f ca="1"/>
        <v>#REF!</v>
      </c>
      <c r="R1017" s="25" t="e">
        <f ca="1"/>
        <v>#REF!</v>
      </c>
      <c r="S1017" s="25" t="e">
        <f ca="1"/>
        <v>#REF!</v>
      </c>
      <c r="T1017" s="25" t="e">
        <f ca="1"/>
        <v>#REF!</v>
      </c>
      <c r="U1017" s="25" t="e">
        <f ca="1"/>
        <v>#REF!</v>
      </c>
      <c r="V1017" s="25" t="e">
        <f ca="1"/>
        <v>#REF!</v>
      </c>
      <c r="W1017" s="33" t="e">
        <f ca="1"/>
        <v>#REF!</v>
      </c>
      <c r="X1017" s="33" t="e">
        <f ca="1"/>
        <v>#REF!</v>
      </c>
      <c r="Y1017" s="33" t="e">
        <f ca="1"/>
        <v>#REF!</v>
      </c>
      <c r="Z1017" s="33" t="e">
        <f ca="1"/>
        <v>#REF!</v>
      </c>
      <c r="AA1017" s="33" t="e">
        <f ca="1"/>
        <v>#REF!</v>
      </c>
    </row>
    <row r="1018" spans="1:27" s="70" customFormat="1" ht="11.25" x14ac:dyDescent="0.2">
      <c r="A1018" s="24">
        <v>1012</v>
      </c>
      <c r="B1018" s="24"/>
      <c r="C1018" s="25"/>
      <c r="D1018" s="26"/>
      <c r="E1018" s="25"/>
      <c r="F1018" s="25"/>
      <c r="G1018" s="24"/>
      <c r="H1018" s="25" t="e">
        <f ca="1"/>
        <v>#REF!</v>
      </c>
      <c r="I1018" s="27" t="e">
        <f ca="1"/>
        <v>#REF!</v>
      </c>
      <c r="J1018" s="28" t="e">
        <f ca="1"/>
        <v>#REF!</v>
      </c>
      <c r="K1018" s="27" t="e">
        <f ca="1"/>
        <v>#REF!</v>
      </c>
      <c r="L1018" s="25" t="e">
        <f ca="1"/>
        <v>#REF!</v>
      </c>
      <c r="M1018" s="25" t="e">
        <f ca="1"/>
        <v>#REF!</v>
      </c>
      <c r="N1018" s="25" t="e">
        <f ca="1"/>
        <v>#REF!</v>
      </c>
      <c r="O1018" s="25" t="e">
        <f ca="1"/>
        <v>#REF!</v>
      </c>
      <c r="P1018" s="25" t="e">
        <f ca="1"/>
        <v>#REF!</v>
      </c>
      <c r="Q1018" s="25" t="e">
        <f ca="1"/>
        <v>#REF!</v>
      </c>
      <c r="R1018" s="25" t="e">
        <f ca="1"/>
        <v>#REF!</v>
      </c>
      <c r="S1018" s="25" t="e">
        <f ca="1"/>
        <v>#REF!</v>
      </c>
      <c r="T1018" s="25" t="e">
        <f ca="1"/>
        <v>#REF!</v>
      </c>
      <c r="U1018" s="25" t="e">
        <f ca="1"/>
        <v>#REF!</v>
      </c>
      <c r="V1018" s="25" t="e">
        <f ca="1"/>
        <v>#REF!</v>
      </c>
      <c r="W1018" s="33" t="e">
        <f ca="1"/>
        <v>#REF!</v>
      </c>
      <c r="X1018" s="33" t="e">
        <f ca="1"/>
        <v>#REF!</v>
      </c>
      <c r="Y1018" s="33" t="e">
        <f ca="1"/>
        <v>#REF!</v>
      </c>
      <c r="Z1018" s="33" t="e">
        <f ca="1"/>
        <v>#REF!</v>
      </c>
      <c r="AA1018" s="33" t="e">
        <f ca="1"/>
        <v>#REF!</v>
      </c>
    </row>
    <row r="1019" spans="1:27" s="70" customFormat="1" ht="11.25" x14ac:dyDescent="0.2">
      <c r="A1019" s="24">
        <v>1013</v>
      </c>
      <c r="B1019" s="24"/>
      <c r="C1019" s="25"/>
      <c r="D1019" s="26"/>
      <c r="E1019" s="25"/>
      <c r="F1019" s="25"/>
      <c r="G1019" s="24"/>
      <c r="H1019" s="25" t="e">
        <f ca="1"/>
        <v>#REF!</v>
      </c>
      <c r="I1019" s="27" t="e">
        <f ca="1"/>
        <v>#REF!</v>
      </c>
      <c r="J1019" s="28" t="e">
        <f ca="1"/>
        <v>#REF!</v>
      </c>
      <c r="K1019" s="27" t="e">
        <f ca="1"/>
        <v>#REF!</v>
      </c>
      <c r="L1019" s="25" t="e">
        <f ca="1"/>
        <v>#REF!</v>
      </c>
      <c r="M1019" s="25" t="e">
        <f ca="1"/>
        <v>#REF!</v>
      </c>
      <c r="N1019" s="25" t="e">
        <f ca="1"/>
        <v>#REF!</v>
      </c>
      <c r="O1019" s="25" t="e">
        <f ca="1"/>
        <v>#REF!</v>
      </c>
      <c r="P1019" s="25" t="e">
        <f ca="1"/>
        <v>#REF!</v>
      </c>
      <c r="Q1019" s="25" t="e">
        <f ca="1"/>
        <v>#REF!</v>
      </c>
      <c r="R1019" s="25" t="e">
        <f ca="1"/>
        <v>#REF!</v>
      </c>
      <c r="S1019" s="25" t="e">
        <f ca="1"/>
        <v>#REF!</v>
      </c>
      <c r="T1019" s="25" t="e">
        <f ca="1"/>
        <v>#REF!</v>
      </c>
      <c r="U1019" s="25" t="e">
        <f ca="1"/>
        <v>#REF!</v>
      </c>
      <c r="V1019" s="25" t="e">
        <f ca="1"/>
        <v>#REF!</v>
      </c>
      <c r="W1019" s="33" t="e">
        <f ca="1"/>
        <v>#REF!</v>
      </c>
      <c r="X1019" s="33" t="e">
        <f ca="1"/>
        <v>#REF!</v>
      </c>
      <c r="Y1019" s="33" t="e">
        <f ca="1"/>
        <v>#REF!</v>
      </c>
      <c r="Z1019" s="33" t="e">
        <f ca="1"/>
        <v>#REF!</v>
      </c>
      <c r="AA1019" s="33" t="e">
        <f ca="1"/>
        <v>#REF!</v>
      </c>
    </row>
    <row r="1020" spans="1:27" s="70" customFormat="1" ht="11.25" x14ac:dyDescent="0.2">
      <c r="A1020" s="24">
        <v>1014</v>
      </c>
      <c r="B1020" s="24"/>
      <c r="C1020" s="25"/>
      <c r="D1020" s="26"/>
      <c r="E1020" s="25"/>
      <c r="F1020" s="25"/>
      <c r="G1020" s="24"/>
      <c r="H1020" s="25" t="e">
        <f ca="1"/>
        <v>#REF!</v>
      </c>
      <c r="I1020" s="27" t="e">
        <f ca="1"/>
        <v>#REF!</v>
      </c>
      <c r="J1020" s="28" t="e">
        <f ca="1"/>
        <v>#REF!</v>
      </c>
      <c r="K1020" s="27" t="e">
        <f ca="1"/>
        <v>#REF!</v>
      </c>
      <c r="L1020" s="25" t="e">
        <f ca="1"/>
        <v>#REF!</v>
      </c>
      <c r="M1020" s="25" t="e">
        <f ca="1"/>
        <v>#REF!</v>
      </c>
      <c r="N1020" s="25" t="e">
        <f ca="1"/>
        <v>#REF!</v>
      </c>
      <c r="O1020" s="25" t="e">
        <f ca="1"/>
        <v>#REF!</v>
      </c>
      <c r="P1020" s="25" t="e">
        <f ca="1"/>
        <v>#REF!</v>
      </c>
      <c r="Q1020" s="25" t="e">
        <f ca="1"/>
        <v>#REF!</v>
      </c>
      <c r="R1020" s="25" t="e">
        <f ca="1"/>
        <v>#REF!</v>
      </c>
      <c r="S1020" s="25" t="e">
        <f ca="1"/>
        <v>#REF!</v>
      </c>
      <c r="T1020" s="25" t="e">
        <f ca="1"/>
        <v>#REF!</v>
      </c>
      <c r="U1020" s="25" t="e">
        <f ca="1"/>
        <v>#REF!</v>
      </c>
      <c r="V1020" s="25" t="e">
        <f ca="1"/>
        <v>#REF!</v>
      </c>
      <c r="W1020" s="33" t="e">
        <f ca="1"/>
        <v>#REF!</v>
      </c>
      <c r="X1020" s="33" t="e">
        <f ca="1"/>
        <v>#REF!</v>
      </c>
      <c r="Y1020" s="33" t="e">
        <f ca="1"/>
        <v>#REF!</v>
      </c>
      <c r="Z1020" s="33" t="e">
        <f ca="1"/>
        <v>#REF!</v>
      </c>
      <c r="AA1020" s="33" t="e">
        <f ca="1"/>
        <v>#REF!</v>
      </c>
    </row>
    <row r="1021" spans="1:27" s="70" customFormat="1" ht="11.25" x14ac:dyDescent="0.2">
      <c r="A1021" s="24">
        <v>1015</v>
      </c>
      <c r="B1021" s="24"/>
      <c r="C1021" s="25"/>
      <c r="D1021" s="26"/>
      <c r="E1021" s="25"/>
      <c r="F1021" s="25"/>
      <c r="G1021" s="24"/>
      <c r="H1021" s="25" t="e">
        <f ca="1"/>
        <v>#REF!</v>
      </c>
      <c r="I1021" s="27" t="e">
        <f ca="1"/>
        <v>#REF!</v>
      </c>
      <c r="J1021" s="28" t="e">
        <f ca="1"/>
        <v>#REF!</v>
      </c>
      <c r="K1021" s="27" t="e">
        <f ca="1"/>
        <v>#REF!</v>
      </c>
      <c r="L1021" s="25" t="e">
        <f ca="1"/>
        <v>#REF!</v>
      </c>
      <c r="M1021" s="25" t="e">
        <f ca="1"/>
        <v>#REF!</v>
      </c>
      <c r="N1021" s="25" t="e">
        <f ca="1"/>
        <v>#REF!</v>
      </c>
      <c r="O1021" s="25" t="e">
        <f ca="1"/>
        <v>#REF!</v>
      </c>
      <c r="P1021" s="25" t="e">
        <f ca="1"/>
        <v>#REF!</v>
      </c>
      <c r="Q1021" s="25" t="e">
        <f ca="1"/>
        <v>#REF!</v>
      </c>
      <c r="R1021" s="25" t="e">
        <f ca="1"/>
        <v>#REF!</v>
      </c>
      <c r="S1021" s="25" t="e">
        <f ca="1"/>
        <v>#REF!</v>
      </c>
      <c r="T1021" s="25" t="e">
        <f ca="1"/>
        <v>#REF!</v>
      </c>
      <c r="U1021" s="25" t="e">
        <f ca="1"/>
        <v>#REF!</v>
      </c>
      <c r="V1021" s="25" t="e">
        <f ca="1"/>
        <v>#REF!</v>
      </c>
      <c r="W1021" s="33" t="e">
        <f ca="1"/>
        <v>#REF!</v>
      </c>
      <c r="X1021" s="33" t="e">
        <f ca="1"/>
        <v>#REF!</v>
      </c>
      <c r="Y1021" s="33" t="e">
        <f ca="1"/>
        <v>#REF!</v>
      </c>
      <c r="Z1021" s="33" t="e">
        <f ca="1"/>
        <v>#REF!</v>
      </c>
      <c r="AA1021" s="33" t="e">
        <f ca="1"/>
        <v>#REF!</v>
      </c>
    </row>
    <row r="1022" spans="1:27" s="70" customFormat="1" ht="11.25" x14ac:dyDescent="0.2">
      <c r="A1022" s="24">
        <v>1016</v>
      </c>
      <c r="B1022" s="24"/>
      <c r="C1022" s="25"/>
      <c r="D1022" s="26"/>
      <c r="E1022" s="25"/>
      <c r="F1022" s="25"/>
      <c r="G1022" s="24"/>
      <c r="H1022" s="25" t="e">
        <f ca="1"/>
        <v>#REF!</v>
      </c>
      <c r="I1022" s="27" t="e">
        <f ca="1"/>
        <v>#REF!</v>
      </c>
      <c r="J1022" s="28" t="e">
        <f ca="1"/>
        <v>#REF!</v>
      </c>
      <c r="K1022" s="27" t="e">
        <f ca="1"/>
        <v>#REF!</v>
      </c>
      <c r="L1022" s="25" t="e">
        <f ca="1"/>
        <v>#REF!</v>
      </c>
      <c r="M1022" s="25" t="e">
        <f ca="1"/>
        <v>#REF!</v>
      </c>
      <c r="N1022" s="25" t="e">
        <f ca="1"/>
        <v>#REF!</v>
      </c>
      <c r="O1022" s="25" t="e">
        <f ca="1"/>
        <v>#REF!</v>
      </c>
      <c r="P1022" s="25" t="e">
        <f ca="1"/>
        <v>#REF!</v>
      </c>
      <c r="Q1022" s="25" t="e">
        <f ca="1"/>
        <v>#REF!</v>
      </c>
      <c r="R1022" s="25" t="e">
        <f ca="1"/>
        <v>#REF!</v>
      </c>
      <c r="S1022" s="25" t="e">
        <f ca="1"/>
        <v>#REF!</v>
      </c>
      <c r="T1022" s="25" t="e">
        <f ca="1"/>
        <v>#REF!</v>
      </c>
      <c r="U1022" s="25" t="e">
        <f ca="1"/>
        <v>#REF!</v>
      </c>
      <c r="V1022" s="25" t="e">
        <f ca="1"/>
        <v>#REF!</v>
      </c>
      <c r="W1022" s="33" t="e">
        <f ca="1"/>
        <v>#REF!</v>
      </c>
      <c r="X1022" s="33" t="e">
        <f ca="1"/>
        <v>#REF!</v>
      </c>
      <c r="Y1022" s="33" t="e">
        <f ca="1"/>
        <v>#REF!</v>
      </c>
      <c r="Z1022" s="33" t="e">
        <f ca="1"/>
        <v>#REF!</v>
      </c>
      <c r="AA1022" s="33" t="e">
        <f ca="1"/>
        <v>#REF!</v>
      </c>
    </row>
    <row r="1023" spans="1:27" s="70" customFormat="1" ht="11.25" x14ac:dyDescent="0.2">
      <c r="A1023" s="24">
        <v>1017</v>
      </c>
      <c r="B1023" s="24"/>
      <c r="C1023" s="25"/>
      <c r="D1023" s="26"/>
      <c r="E1023" s="25"/>
      <c r="F1023" s="25"/>
      <c r="G1023" s="24"/>
      <c r="H1023" s="25" t="e">
        <f ca="1"/>
        <v>#REF!</v>
      </c>
      <c r="I1023" s="27" t="e">
        <f ca="1"/>
        <v>#REF!</v>
      </c>
      <c r="J1023" s="28" t="e">
        <f ca="1"/>
        <v>#REF!</v>
      </c>
      <c r="K1023" s="27" t="e">
        <f ca="1"/>
        <v>#REF!</v>
      </c>
      <c r="L1023" s="25" t="e">
        <f ca="1"/>
        <v>#REF!</v>
      </c>
      <c r="M1023" s="25" t="e">
        <f ca="1"/>
        <v>#REF!</v>
      </c>
      <c r="N1023" s="25" t="e">
        <f ca="1"/>
        <v>#REF!</v>
      </c>
      <c r="O1023" s="25" t="e">
        <f ca="1"/>
        <v>#REF!</v>
      </c>
      <c r="P1023" s="25" t="e">
        <f ca="1"/>
        <v>#REF!</v>
      </c>
      <c r="Q1023" s="25" t="e">
        <f ca="1"/>
        <v>#REF!</v>
      </c>
      <c r="R1023" s="25" t="e">
        <f ca="1"/>
        <v>#REF!</v>
      </c>
      <c r="S1023" s="25" t="e">
        <f ca="1"/>
        <v>#REF!</v>
      </c>
      <c r="T1023" s="25" t="e">
        <f ca="1"/>
        <v>#REF!</v>
      </c>
      <c r="U1023" s="25" t="e">
        <f ca="1"/>
        <v>#REF!</v>
      </c>
      <c r="V1023" s="25" t="e">
        <f ca="1"/>
        <v>#REF!</v>
      </c>
      <c r="W1023" s="33" t="e">
        <f ca="1"/>
        <v>#REF!</v>
      </c>
      <c r="X1023" s="33" t="e">
        <f ca="1"/>
        <v>#REF!</v>
      </c>
      <c r="Y1023" s="33" t="e">
        <f ca="1"/>
        <v>#REF!</v>
      </c>
      <c r="Z1023" s="33" t="e">
        <f ca="1"/>
        <v>#REF!</v>
      </c>
      <c r="AA1023" s="33" t="e">
        <f ca="1"/>
        <v>#REF!</v>
      </c>
    </row>
    <row r="1024" spans="1:27" s="70" customFormat="1" ht="11.25" x14ac:dyDescent="0.2">
      <c r="A1024" s="24">
        <v>1018</v>
      </c>
      <c r="B1024" s="24"/>
      <c r="C1024" s="25"/>
      <c r="D1024" s="26"/>
      <c r="E1024" s="25"/>
      <c r="F1024" s="25"/>
      <c r="G1024" s="24"/>
      <c r="H1024" s="25" t="e">
        <f ca="1"/>
        <v>#REF!</v>
      </c>
      <c r="I1024" s="27" t="e">
        <f ca="1"/>
        <v>#REF!</v>
      </c>
      <c r="J1024" s="28" t="e">
        <f ca="1"/>
        <v>#REF!</v>
      </c>
      <c r="K1024" s="27" t="e">
        <f ca="1"/>
        <v>#REF!</v>
      </c>
      <c r="L1024" s="25" t="e">
        <f ca="1"/>
        <v>#REF!</v>
      </c>
      <c r="M1024" s="25" t="e">
        <f ca="1"/>
        <v>#REF!</v>
      </c>
      <c r="N1024" s="25" t="e">
        <f ca="1"/>
        <v>#REF!</v>
      </c>
      <c r="O1024" s="25" t="e">
        <f ca="1"/>
        <v>#REF!</v>
      </c>
      <c r="P1024" s="25" t="e">
        <f ca="1"/>
        <v>#REF!</v>
      </c>
      <c r="Q1024" s="25" t="e">
        <f ca="1"/>
        <v>#REF!</v>
      </c>
      <c r="R1024" s="25" t="e">
        <f ca="1"/>
        <v>#REF!</v>
      </c>
      <c r="S1024" s="25" t="e">
        <f ca="1"/>
        <v>#REF!</v>
      </c>
      <c r="T1024" s="25" t="e">
        <f ca="1"/>
        <v>#REF!</v>
      </c>
      <c r="U1024" s="25" t="e">
        <f ca="1"/>
        <v>#REF!</v>
      </c>
      <c r="V1024" s="25" t="e">
        <f ca="1"/>
        <v>#REF!</v>
      </c>
      <c r="W1024" s="33" t="e">
        <f ca="1"/>
        <v>#REF!</v>
      </c>
      <c r="X1024" s="33" t="e">
        <f ca="1"/>
        <v>#REF!</v>
      </c>
      <c r="Y1024" s="33" t="e">
        <f ca="1"/>
        <v>#REF!</v>
      </c>
      <c r="Z1024" s="33" t="e">
        <f ca="1"/>
        <v>#REF!</v>
      </c>
      <c r="AA1024" s="33" t="e">
        <f ca="1"/>
        <v>#REF!</v>
      </c>
    </row>
    <row r="1025" spans="1:27" s="70" customFormat="1" ht="11.25" x14ac:dyDescent="0.2">
      <c r="A1025" s="24">
        <v>1019</v>
      </c>
      <c r="B1025" s="24"/>
      <c r="C1025" s="25"/>
      <c r="D1025" s="26"/>
      <c r="E1025" s="25"/>
      <c r="F1025" s="25"/>
      <c r="G1025" s="24"/>
      <c r="H1025" s="25" t="e">
        <f ca="1"/>
        <v>#REF!</v>
      </c>
      <c r="I1025" s="27" t="e">
        <f ca="1"/>
        <v>#REF!</v>
      </c>
      <c r="J1025" s="28" t="e">
        <f ca="1"/>
        <v>#REF!</v>
      </c>
      <c r="K1025" s="27" t="e">
        <f ca="1"/>
        <v>#REF!</v>
      </c>
      <c r="L1025" s="25" t="e">
        <f ca="1"/>
        <v>#REF!</v>
      </c>
      <c r="M1025" s="25" t="e">
        <f ca="1"/>
        <v>#REF!</v>
      </c>
      <c r="N1025" s="25" t="e">
        <f ca="1"/>
        <v>#REF!</v>
      </c>
      <c r="O1025" s="25" t="e">
        <f ca="1"/>
        <v>#REF!</v>
      </c>
      <c r="P1025" s="25" t="e">
        <f ca="1"/>
        <v>#REF!</v>
      </c>
      <c r="Q1025" s="25" t="e">
        <f ca="1"/>
        <v>#REF!</v>
      </c>
      <c r="R1025" s="25" t="e">
        <f ca="1"/>
        <v>#REF!</v>
      </c>
      <c r="S1025" s="25" t="e">
        <f ca="1"/>
        <v>#REF!</v>
      </c>
      <c r="T1025" s="25" t="e">
        <f ca="1"/>
        <v>#REF!</v>
      </c>
      <c r="U1025" s="25" t="e">
        <f ca="1"/>
        <v>#REF!</v>
      </c>
      <c r="V1025" s="25" t="e">
        <f ca="1"/>
        <v>#REF!</v>
      </c>
      <c r="W1025" s="33" t="e">
        <f ca="1"/>
        <v>#REF!</v>
      </c>
      <c r="X1025" s="33" t="e">
        <f ca="1"/>
        <v>#REF!</v>
      </c>
      <c r="Y1025" s="33" t="e">
        <f ca="1"/>
        <v>#REF!</v>
      </c>
      <c r="Z1025" s="33" t="e">
        <f ca="1"/>
        <v>#REF!</v>
      </c>
      <c r="AA1025" s="33" t="e">
        <f ca="1"/>
        <v>#REF!</v>
      </c>
    </row>
    <row r="1026" spans="1:27" s="70" customFormat="1" ht="11.25" x14ac:dyDescent="0.2">
      <c r="A1026" s="24">
        <v>1020</v>
      </c>
      <c r="B1026" s="24"/>
      <c r="C1026" s="25"/>
      <c r="D1026" s="26"/>
      <c r="E1026" s="25"/>
      <c r="F1026" s="25"/>
      <c r="G1026" s="24"/>
      <c r="H1026" s="25" t="e">
        <f ca="1"/>
        <v>#REF!</v>
      </c>
      <c r="I1026" s="27" t="e">
        <f ca="1"/>
        <v>#REF!</v>
      </c>
      <c r="J1026" s="28" t="e">
        <f ca="1"/>
        <v>#REF!</v>
      </c>
      <c r="K1026" s="27" t="e">
        <f ca="1"/>
        <v>#REF!</v>
      </c>
      <c r="L1026" s="25" t="e">
        <f ca="1"/>
        <v>#REF!</v>
      </c>
      <c r="M1026" s="25" t="e">
        <f ca="1"/>
        <v>#REF!</v>
      </c>
      <c r="N1026" s="25" t="e">
        <f ca="1"/>
        <v>#REF!</v>
      </c>
      <c r="O1026" s="25" t="e">
        <f ca="1"/>
        <v>#REF!</v>
      </c>
      <c r="P1026" s="25" t="e">
        <f ca="1"/>
        <v>#REF!</v>
      </c>
      <c r="Q1026" s="25" t="e">
        <f ca="1"/>
        <v>#REF!</v>
      </c>
      <c r="R1026" s="25" t="e">
        <f ca="1"/>
        <v>#REF!</v>
      </c>
      <c r="S1026" s="25" t="e">
        <f ca="1"/>
        <v>#REF!</v>
      </c>
      <c r="T1026" s="25" t="e">
        <f ca="1"/>
        <v>#REF!</v>
      </c>
      <c r="U1026" s="25" t="e">
        <f ca="1"/>
        <v>#REF!</v>
      </c>
      <c r="V1026" s="25" t="e">
        <f ca="1"/>
        <v>#REF!</v>
      </c>
      <c r="W1026" s="33" t="e">
        <f ca="1"/>
        <v>#REF!</v>
      </c>
      <c r="X1026" s="33" t="e">
        <f ca="1"/>
        <v>#REF!</v>
      </c>
      <c r="Y1026" s="33" t="e">
        <f ca="1"/>
        <v>#REF!</v>
      </c>
      <c r="Z1026" s="33" t="e">
        <f ca="1"/>
        <v>#REF!</v>
      </c>
      <c r="AA1026" s="33" t="e">
        <f ca="1"/>
        <v>#REF!</v>
      </c>
    </row>
    <row r="1027" spans="1:27" s="70" customFormat="1" ht="11.25" x14ac:dyDescent="0.2">
      <c r="A1027" s="24">
        <v>1021</v>
      </c>
      <c r="B1027" s="24"/>
      <c r="C1027" s="25"/>
      <c r="D1027" s="26"/>
      <c r="E1027" s="25"/>
      <c r="F1027" s="25"/>
      <c r="G1027" s="24"/>
      <c r="H1027" s="25" t="e">
        <f ca="1"/>
        <v>#REF!</v>
      </c>
      <c r="I1027" s="27" t="e">
        <f ca="1"/>
        <v>#REF!</v>
      </c>
      <c r="J1027" s="28" t="e">
        <f ca="1"/>
        <v>#REF!</v>
      </c>
      <c r="K1027" s="27" t="e">
        <f ca="1"/>
        <v>#REF!</v>
      </c>
      <c r="L1027" s="25" t="e">
        <f ca="1"/>
        <v>#REF!</v>
      </c>
      <c r="M1027" s="25" t="e">
        <f ca="1"/>
        <v>#REF!</v>
      </c>
      <c r="N1027" s="25" t="e">
        <f ca="1"/>
        <v>#REF!</v>
      </c>
      <c r="O1027" s="25" t="e">
        <f ca="1"/>
        <v>#REF!</v>
      </c>
      <c r="P1027" s="25" t="e">
        <f ca="1"/>
        <v>#REF!</v>
      </c>
      <c r="Q1027" s="25" t="e">
        <f ca="1"/>
        <v>#REF!</v>
      </c>
      <c r="R1027" s="25" t="e">
        <f ca="1"/>
        <v>#REF!</v>
      </c>
      <c r="S1027" s="25" t="e">
        <f ca="1"/>
        <v>#REF!</v>
      </c>
      <c r="T1027" s="25" t="e">
        <f ca="1"/>
        <v>#REF!</v>
      </c>
      <c r="U1027" s="25" t="e">
        <f ca="1"/>
        <v>#REF!</v>
      </c>
      <c r="V1027" s="25" t="e">
        <f ca="1"/>
        <v>#REF!</v>
      </c>
      <c r="W1027" s="33" t="e">
        <f ca="1"/>
        <v>#REF!</v>
      </c>
      <c r="X1027" s="33" t="e">
        <f ca="1"/>
        <v>#REF!</v>
      </c>
      <c r="Y1027" s="33" t="e">
        <f ca="1"/>
        <v>#REF!</v>
      </c>
      <c r="Z1027" s="33" t="e">
        <f ca="1"/>
        <v>#REF!</v>
      </c>
      <c r="AA1027" s="33" t="e">
        <f ca="1"/>
        <v>#REF!</v>
      </c>
    </row>
    <row r="1028" spans="1:27" s="70" customFormat="1" ht="11.25" x14ac:dyDescent="0.2">
      <c r="A1028" s="24">
        <v>1022</v>
      </c>
      <c r="B1028" s="24"/>
      <c r="C1028" s="25"/>
      <c r="D1028" s="26"/>
      <c r="E1028" s="25"/>
      <c r="F1028" s="25"/>
      <c r="G1028" s="24"/>
      <c r="H1028" s="25" t="e">
        <f ca="1"/>
        <v>#REF!</v>
      </c>
      <c r="I1028" s="27" t="e">
        <f ca="1"/>
        <v>#REF!</v>
      </c>
      <c r="J1028" s="28" t="e">
        <f ca="1"/>
        <v>#REF!</v>
      </c>
      <c r="K1028" s="27" t="e">
        <f ca="1"/>
        <v>#REF!</v>
      </c>
      <c r="L1028" s="25" t="e">
        <f ca="1"/>
        <v>#REF!</v>
      </c>
      <c r="M1028" s="25" t="e">
        <f ca="1"/>
        <v>#REF!</v>
      </c>
      <c r="N1028" s="25" t="e">
        <f ca="1"/>
        <v>#REF!</v>
      </c>
      <c r="O1028" s="25" t="e">
        <f ca="1"/>
        <v>#REF!</v>
      </c>
      <c r="P1028" s="25" t="e">
        <f ca="1"/>
        <v>#REF!</v>
      </c>
      <c r="Q1028" s="25" t="e">
        <f ca="1"/>
        <v>#REF!</v>
      </c>
      <c r="R1028" s="25" t="e">
        <f ca="1"/>
        <v>#REF!</v>
      </c>
      <c r="S1028" s="25" t="e">
        <f ca="1"/>
        <v>#REF!</v>
      </c>
      <c r="T1028" s="25" t="e">
        <f ca="1"/>
        <v>#REF!</v>
      </c>
      <c r="U1028" s="25" t="e">
        <f ca="1"/>
        <v>#REF!</v>
      </c>
      <c r="V1028" s="25" t="e">
        <f ca="1"/>
        <v>#REF!</v>
      </c>
      <c r="W1028" s="33" t="e">
        <f ca="1"/>
        <v>#REF!</v>
      </c>
      <c r="X1028" s="33" t="e">
        <f ca="1"/>
        <v>#REF!</v>
      </c>
      <c r="Y1028" s="33" t="e">
        <f ca="1"/>
        <v>#REF!</v>
      </c>
      <c r="Z1028" s="33" t="e">
        <f ca="1"/>
        <v>#REF!</v>
      </c>
      <c r="AA1028" s="33" t="e">
        <f ca="1"/>
        <v>#REF!</v>
      </c>
    </row>
    <row r="1029" spans="1:27" s="70" customFormat="1" ht="11.25" x14ac:dyDescent="0.2">
      <c r="A1029" s="24">
        <v>1023</v>
      </c>
      <c r="B1029" s="24"/>
      <c r="C1029" s="25"/>
      <c r="D1029" s="26"/>
      <c r="E1029" s="25"/>
      <c r="F1029" s="25"/>
      <c r="G1029" s="24"/>
      <c r="H1029" s="25" t="e">
        <f ca="1"/>
        <v>#REF!</v>
      </c>
      <c r="I1029" s="27" t="e">
        <f ca="1"/>
        <v>#REF!</v>
      </c>
      <c r="J1029" s="28" t="e">
        <f ca="1"/>
        <v>#REF!</v>
      </c>
      <c r="K1029" s="27" t="e">
        <f ca="1"/>
        <v>#REF!</v>
      </c>
      <c r="L1029" s="25" t="e">
        <f ca="1"/>
        <v>#REF!</v>
      </c>
      <c r="M1029" s="25" t="e">
        <f ca="1"/>
        <v>#REF!</v>
      </c>
      <c r="N1029" s="25" t="e">
        <f ca="1"/>
        <v>#REF!</v>
      </c>
      <c r="O1029" s="25" t="e">
        <f ca="1"/>
        <v>#REF!</v>
      </c>
      <c r="P1029" s="25" t="e">
        <f ca="1"/>
        <v>#REF!</v>
      </c>
      <c r="Q1029" s="25" t="e">
        <f ca="1"/>
        <v>#REF!</v>
      </c>
      <c r="R1029" s="25" t="e">
        <f ca="1"/>
        <v>#REF!</v>
      </c>
      <c r="S1029" s="25" t="e">
        <f ca="1"/>
        <v>#REF!</v>
      </c>
      <c r="T1029" s="25" t="e">
        <f ca="1"/>
        <v>#REF!</v>
      </c>
      <c r="U1029" s="25" t="e">
        <f ca="1"/>
        <v>#REF!</v>
      </c>
      <c r="V1029" s="25" t="e">
        <f ca="1"/>
        <v>#REF!</v>
      </c>
      <c r="W1029" s="33" t="e">
        <f ca="1"/>
        <v>#REF!</v>
      </c>
      <c r="X1029" s="33" t="e">
        <f ca="1"/>
        <v>#REF!</v>
      </c>
      <c r="Y1029" s="33" t="e">
        <f ca="1"/>
        <v>#REF!</v>
      </c>
      <c r="Z1029" s="33" t="e">
        <f ca="1"/>
        <v>#REF!</v>
      </c>
      <c r="AA1029" s="33" t="e">
        <f ca="1"/>
        <v>#REF!</v>
      </c>
    </row>
    <row r="1030" spans="1:27" s="70" customFormat="1" ht="11.25" x14ac:dyDescent="0.2">
      <c r="A1030" s="24">
        <v>1024</v>
      </c>
      <c r="B1030" s="24"/>
      <c r="C1030" s="25"/>
      <c r="D1030" s="26"/>
      <c r="E1030" s="25"/>
      <c r="F1030" s="25"/>
      <c r="G1030" s="24"/>
      <c r="H1030" s="25" t="e">
        <f ca="1"/>
        <v>#REF!</v>
      </c>
      <c r="I1030" s="27" t="e">
        <f ca="1"/>
        <v>#REF!</v>
      </c>
      <c r="J1030" s="28" t="e">
        <f ca="1"/>
        <v>#REF!</v>
      </c>
      <c r="K1030" s="27" t="e">
        <f ca="1"/>
        <v>#REF!</v>
      </c>
      <c r="L1030" s="25" t="e">
        <f ca="1"/>
        <v>#REF!</v>
      </c>
      <c r="M1030" s="25" t="e">
        <f ca="1"/>
        <v>#REF!</v>
      </c>
      <c r="N1030" s="25" t="e">
        <f ca="1"/>
        <v>#REF!</v>
      </c>
      <c r="O1030" s="25" t="e">
        <f ca="1"/>
        <v>#REF!</v>
      </c>
      <c r="P1030" s="25" t="e">
        <f ca="1"/>
        <v>#REF!</v>
      </c>
      <c r="Q1030" s="25" t="e">
        <f ca="1"/>
        <v>#REF!</v>
      </c>
      <c r="R1030" s="25" t="e">
        <f ca="1"/>
        <v>#REF!</v>
      </c>
      <c r="S1030" s="25" t="e">
        <f ca="1"/>
        <v>#REF!</v>
      </c>
      <c r="T1030" s="25" t="e">
        <f ca="1"/>
        <v>#REF!</v>
      </c>
      <c r="U1030" s="25" t="e">
        <f ca="1"/>
        <v>#REF!</v>
      </c>
      <c r="V1030" s="25" t="e">
        <f ca="1"/>
        <v>#REF!</v>
      </c>
      <c r="W1030" s="33" t="e">
        <f ca="1"/>
        <v>#REF!</v>
      </c>
      <c r="X1030" s="33" t="e">
        <f ca="1"/>
        <v>#REF!</v>
      </c>
      <c r="Y1030" s="33" t="e">
        <f ca="1"/>
        <v>#REF!</v>
      </c>
      <c r="Z1030" s="33" t="e">
        <f ca="1"/>
        <v>#REF!</v>
      </c>
      <c r="AA1030" s="33" t="e">
        <f ca="1"/>
        <v>#REF!</v>
      </c>
    </row>
    <row r="1031" spans="1:27" s="70" customFormat="1" ht="11.25" x14ac:dyDescent="0.2">
      <c r="A1031" s="24">
        <v>1025</v>
      </c>
      <c r="B1031" s="24"/>
      <c r="C1031" s="25"/>
      <c r="D1031" s="26"/>
      <c r="E1031" s="25"/>
      <c r="F1031" s="25"/>
      <c r="G1031" s="24"/>
      <c r="H1031" s="25" t="e">
        <f ca="1"/>
        <v>#REF!</v>
      </c>
      <c r="I1031" s="27" t="e">
        <f ca="1"/>
        <v>#REF!</v>
      </c>
      <c r="J1031" s="28" t="e">
        <f ca="1"/>
        <v>#REF!</v>
      </c>
      <c r="K1031" s="27" t="e">
        <f ca="1"/>
        <v>#REF!</v>
      </c>
      <c r="L1031" s="25" t="e">
        <f ca="1"/>
        <v>#REF!</v>
      </c>
      <c r="M1031" s="25" t="e">
        <f ca="1"/>
        <v>#REF!</v>
      </c>
      <c r="N1031" s="25" t="e">
        <f ca="1"/>
        <v>#REF!</v>
      </c>
      <c r="O1031" s="25" t="e">
        <f ca="1"/>
        <v>#REF!</v>
      </c>
      <c r="P1031" s="25" t="e">
        <f ca="1"/>
        <v>#REF!</v>
      </c>
      <c r="Q1031" s="25" t="e">
        <f ca="1"/>
        <v>#REF!</v>
      </c>
      <c r="R1031" s="25" t="e">
        <f ca="1"/>
        <v>#REF!</v>
      </c>
      <c r="S1031" s="25" t="e">
        <f ca="1"/>
        <v>#REF!</v>
      </c>
      <c r="T1031" s="25" t="e">
        <f ca="1"/>
        <v>#REF!</v>
      </c>
      <c r="U1031" s="25" t="e">
        <f ca="1"/>
        <v>#REF!</v>
      </c>
      <c r="V1031" s="25" t="e">
        <f ca="1"/>
        <v>#REF!</v>
      </c>
      <c r="W1031" s="33" t="e">
        <f ca="1"/>
        <v>#REF!</v>
      </c>
      <c r="X1031" s="33" t="e">
        <f ca="1"/>
        <v>#REF!</v>
      </c>
      <c r="Y1031" s="33" t="e">
        <f ca="1"/>
        <v>#REF!</v>
      </c>
      <c r="Z1031" s="33" t="e">
        <f ca="1"/>
        <v>#REF!</v>
      </c>
      <c r="AA1031" s="33" t="e">
        <f ca="1"/>
        <v>#REF!</v>
      </c>
    </row>
    <row r="1032" spans="1:27" s="70" customFormat="1" ht="11.25" x14ac:dyDescent="0.2">
      <c r="A1032" s="24">
        <v>1026</v>
      </c>
      <c r="B1032" s="24"/>
      <c r="C1032" s="25"/>
      <c r="D1032" s="26"/>
      <c r="E1032" s="25"/>
      <c r="F1032" s="25"/>
      <c r="G1032" s="24"/>
      <c r="H1032" s="25" t="e">
        <f ca="1"/>
        <v>#REF!</v>
      </c>
      <c r="I1032" s="27" t="e">
        <f ca="1"/>
        <v>#REF!</v>
      </c>
      <c r="J1032" s="28" t="e">
        <f ca="1"/>
        <v>#REF!</v>
      </c>
      <c r="K1032" s="27" t="e">
        <f ca="1"/>
        <v>#REF!</v>
      </c>
      <c r="L1032" s="25" t="e">
        <f ca="1"/>
        <v>#REF!</v>
      </c>
      <c r="M1032" s="25" t="e">
        <f ca="1"/>
        <v>#REF!</v>
      </c>
      <c r="N1032" s="25" t="e">
        <f ca="1"/>
        <v>#REF!</v>
      </c>
      <c r="O1032" s="25" t="e">
        <f ca="1"/>
        <v>#REF!</v>
      </c>
      <c r="P1032" s="25" t="e">
        <f ca="1"/>
        <v>#REF!</v>
      </c>
      <c r="Q1032" s="25" t="e">
        <f ca="1"/>
        <v>#REF!</v>
      </c>
      <c r="R1032" s="25" t="e">
        <f ca="1"/>
        <v>#REF!</v>
      </c>
      <c r="S1032" s="25" t="e">
        <f ca="1"/>
        <v>#REF!</v>
      </c>
      <c r="T1032" s="25" t="e">
        <f ca="1"/>
        <v>#REF!</v>
      </c>
      <c r="U1032" s="25" t="e">
        <f ca="1"/>
        <v>#REF!</v>
      </c>
      <c r="V1032" s="25" t="e">
        <f ca="1"/>
        <v>#REF!</v>
      </c>
      <c r="W1032" s="33" t="e">
        <f ca="1"/>
        <v>#REF!</v>
      </c>
      <c r="X1032" s="33" t="e">
        <f ca="1"/>
        <v>#REF!</v>
      </c>
      <c r="Y1032" s="33" t="e">
        <f ca="1"/>
        <v>#REF!</v>
      </c>
      <c r="Z1032" s="33" t="e">
        <f ca="1"/>
        <v>#REF!</v>
      </c>
      <c r="AA1032" s="33" t="e">
        <f ca="1"/>
        <v>#REF!</v>
      </c>
    </row>
    <row r="1033" spans="1:27" s="70" customFormat="1" ht="11.25" x14ac:dyDescent="0.2">
      <c r="A1033" s="24">
        <v>1027</v>
      </c>
      <c r="B1033" s="24"/>
      <c r="C1033" s="25"/>
      <c r="D1033" s="26"/>
      <c r="E1033" s="25"/>
      <c r="F1033" s="25"/>
      <c r="G1033" s="24"/>
      <c r="H1033" s="25" t="e">
        <f ca="1"/>
        <v>#REF!</v>
      </c>
      <c r="I1033" s="27" t="e">
        <f ca="1"/>
        <v>#REF!</v>
      </c>
      <c r="J1033" s="28" t="e">
        <f ca="1"/>
        <v>#REF!</v>
      </c>
      <c r="K1033" s="27" t="e">
        <f ca="1"/>
        <v>#REF!</v>
      </c>
      <c r="L1033" s="25" t="e">
        <f ca="1"/>
        <v>#REF!</v>
      </c>
      <c r="M1033" s="25" t="e">
        <f ca="1"/>
        <v>#REF!</v>
      </c>
      <c r="N1033" s="25" t="e">
        <f ca="1"/>
        <v>#REF!</v>
      </c>
      <c r="O1033" s="25" t="e">
        <f ca="1"/>
        <v>#REF!</v>
      </c>
      <c r="P1033" s="25" t="e">
        <f ca="1"/>
        <v>#REF!</v>
      </c>
      <c r="Q1033" s="25" t="e">
        <f ca="1"/>
        <v>#REF!</v>
      </c>
      <c r="R1033" s="25" t="e">
        <f ca="1"/>
        <v>#REF!</v>
      </c>
      <c r="S1033" s="25" t="e">
        <f ca="1"/>
        <v>#REF!</v>
      </c>
      <c r="T1033" s="25" t="e">
        <f ca="1"/>
        <v>#REF!</v>
      </c>
      <c r="U1033" s="25" t="e">
        <f ca="1"/>
        <v>#REF!</v>
      </c>
      <c r="V1033" s="25" t="e">
        <f ca="1"/>
        <v>#REF!</v>
      </c>
      <c r="W1033" s="33" t="e">
        <f ca="1"/>
        <v>#REF!</v>
      </c>
      <c r="X1033" s="33" t="e">
        <f ca="1"/>
        <v>#REF!</v>
      </c>
      <c r="Y1033" s="33" t="e">
        <f ca="1"/>
        <v>#REF!</v>
      </c>
      <c r="Z1033" s="33" t="e">
        <f ca="1"/>
        <v>#REF!</v>
      </c>
      <c r="AA1033" s="33" t="e">
        <f ca="1"/>
        <v>#REF!</v>
      </c>
    </row>
    <row r="1034" spans="1:27" s="70" customFormat="1" ht="11.25" x14ac:dyDescent="0.2">
      <c r="A1034" s="24">
        <v>1028</v>
      </c>
      <c r="B1034" s="24"/>
      <c r="C1034" s="25"/>
      <c r="D1034" s="26"/>
      <c r="E1034" s="25"/>
      <c r="F1034" s="25"/>
      <c r="G1034" s="24"/>
      <c r="H1034" s="25" t="e">
        <f ca="1"/>
        <v>#REF!</v>
      </c>
      <c r="I1034" s="27" t="e">
        <f ca="1"/>
        <v>#REF!</v>
      </c>
      <c r="J1034" s="28" t="e">
        <f ca="1"/>
        <v>#REF!</v>
      </c>
      <c r="K1034" s="27" t="e">
        <f ca="1"/>
        <v>#REF!</v>
      </c>
      <c r="L1034" s="25" t="e">
        <f ca="1"/>
        <v>#REF!</v>
      </c>
      <c r="M1034" s="25" t="e">
        <f ca="1"/>
        <v>#REF!</v>
      </c>
      <c r="N1034" s="25" t="e">
        <f ca="1"/>
        <v>#REF!</v>
      </c>
      <c r="O1034" s="25" t="e">
        <f ca="1"/>
        <v>#REF!</v>
      </c>
      <c r="P1034" s="25" t="e">
        <f ca="1"/>
        <v>#REF!</v>
      </c>
      <c r="Q1034" s="25" t="e">
        <f ca="1"/>
        <v>#REF!</v>
      </c>
      <c r="R1034" s="25" t="e">
        <f ca="1"/>
        <v>#REF!</v>
      </c>
      <c r="S1034" s="25" t="e">
        <f ca="1"/>
        <v>#REF!</v>
      </c>
      <c r="T1034" s="25" t="e">
        <f ca="1"/>
        <v>#REF!</v>
      </c>
      <c r="U1034" s="25" t="e">
        <f ca="1"/>
        <v>#REF!</v>
      </c>
      <c r="V1034" s="25" t="e">
        <f ca="1"/>
        <v>#REF!</v>
      </c>
      <c r="W1034" s="33" t="e">
        <f ca="1"/>
        <v>#REF!</v>
      </c>
      <c r="X1034" s="33" t="e">
        <f ca="1"/>
        <v>#REF!</v>
      </c>
      <c r="Y1034" s="33" t="e">
        <f ca="1"/>
        <v>#REF!</v>
      </c>
      <c r="Z1034" s="33" t="e">
        <f ca="1"/>
        <v>#REF!</v>
      </c>
      <c r="AA1034" s="33" t="e">
        <f ca="1"/>
        <v>#REF!</v>
      </c>
    </row>
    <row r="1035" spans="1:27" s="70" customFormat="1" ht="11.25" x14ac:dyDescent="0.2">
      <c r="A1035" s="24">
        <v>1029</v>
      </c>
      <c r="B1035" s="24"/>
      <c r="C1035" s="25"/>
      <c r="D1035" s="26"/>
      <c r="E1035" s="25"/>
      <c r="F1035" s="25"/>
      <c r="G1035" s="24"/>
      <c r="H1035" s="25" t="e">
        <f ca="1"/>
        <v>#REF!</v>
      </c>
      <c r="I1035" s="27" t="e">
        <f ca="1"/>
        <v>#REF!</v>
      </c>
      <c r="J1035" s="28" t="e">
        <f ca="1"/>
        <v>#REF!</v>
      </c>
      <c r="K1035" s="27" t="e">
        <f ca="1"/>
        <v>#REF!</v>
      </c>
      <c r="L1035" s="25" t="e">
        <f ca="1"/>
        <v>#REF!</v>
      </c>
      <c r="M1035" s="25" t="e">
        <f ca="1"/>
        <v>#REF!</v>
      </c>
      <c r="N1035" s="25" t="e">
        <f ca="1"/>
        <v>#REF!</v>
      </c>
      <c r="O1035" s="25" t="e">
        <f ca="1"/>
        <v>#REF!</v>
      </c>
      <c r="P1035" s="25" t="e">
        <f ca="1"/>
        <v>#REF!</v>
      </c>
      <c r="Q1035" s="25" t="e">
        <f ca="1"/>
        <v>#REF!</v>
      </c>
      <c r="R1035" s="25" t="e">
        <f ca="1"/>
        <v>#REF!</v>
      </c>
      <c r="S1035" s="25" t="e">
        <f ca="1"/>
        <v>#REF!</v>
      </c>
      <c r="T1035" s="25" t="e">
        <f ca="1"/>
        <v>#REF!</v>
      </c>
      <c r="U1035" s="25" t="e">
        <f ca="1"/>
        <v>#REF!</v>
      </c>
      <c r="V1035" s="25" t="e">
        <f ca="1"/>
        <v>#REF!</v>
      </c>
      <c r="W1035" s="33" t="e">
        <f ca="1"/>
        <v>#REF!</v>
      </c>
      <c r="X1035" s="33" t="e">
        <f ca="1"/>
        <v>#REF!</v>
      </c>
      <c r="Y1035" s="33" t="e">
        <f ca="1"/>
        <v>#REF!</v>
      </c>
      <c r="Z1035" s="33" t="e">
        <f ca="1"/>
        <v>#REF!</v>
      </c>
      <c r="AA1035" s="33" t="e">
        <f ca="1"/>
        <v>#REF!</v>
      </c>
    </row>
    <row r="1036" spans="1:27" s="70" customFormat="1" ht="11.25" x14ac:dyDescent="0.2">
      <c r="A1036" s="24">
        <v>1030</v>
      </c>
      <c r="B1036" s="24"/>
      <c r="C1036" s="25"/>
      <c r="D1036" s="26"/>
      <c r="E1036" s="25"/>
      <c r="F1036" s="25"/>
      <c r="G1036" s="24"/>
      <c r="H1036" s="25" t="e">
        <f ca="1"/>
        <v>#REF!</v>
      </c>
      <c r="I1036" s="27" t="e">
        <f ca="1"/>
        <v>#REF!</v>
      </c>
      <c r="J1036" s="28" t="e">
        <f ca="1"/>
        <v>#REF!</v>
      </c>
      <c r="K1036" s="27" t="e">
        <f ca="1"/>
        <v>#REF!</v>
      </c>
      <c r="L1036" s="25" t="e">
        <f ca="1"/>
        <v>#REF!</v>
      </c>
      <c r="M1036" s="25" t="e">
        <f ca="1"/>
        <v>#REF!</v>
      </c>
      <c r="N1036" s="25" t="e">
        <f ca="1"/>
        <v>#REF!</v>
      </c>
      <c r="O1036" s="25" t="e">
        <f ca="1"/>
        <v>#REF!</v>
      </c>
      <c r="P1036" s="25" t="e">
        <f ca="1"/>
        <v>#REF!</v>
      </c>
      <c r="Q1036" s="25" t="e">
        <f ca="1"/>
        <v>#REF!</v>
      </c>
      <c r="R1036" s="25" t="e">
        <f ca="1"/>
        <v>#REF!</v>
      </c>
      <c r="S1036" s="25" t="e">
        <f ca="1"/>
        <v>#REF!</v>
      </c>
      <c r="T1036" s="25" t="e">
        <f ca="1"/>
        <v>#REF!</v>
      </c>
      <c r="U1036" s="25" t="e">
        <f ca="1"/>
        <v>#REF!</v>
      </c>
      <c r="V1036" s="25" t="e">
        <f ca="1"/>
        <v>#REF!</v>
      </c>
      <c r="W1036" s="33" t="e">
        <f ca="1"/>
        <v>#REF!</v>
      </c>
      <c r="X1036" s="33" t="e">
        <f ca="1"/>
        <v>#REF!</v>
      </c>
      <c r="Y1036" s="33" t="e">
        <f ca="1"/>
        <v>#REF!</v>
      </c>
      <c r="Z1036" s="33" t="e">
        <f ca="1"/>
        <v>#REF!</v>
      </c>
      <c r="AA1036" s="33" t="e">
        <f ca="1"/>
        <v>#REF!</v>
      </c>
    </row>
    <row r="1037" spans="1:27" s="70" customFormat="1" ht="11.25" x14ac:dyDescent="0.2">
      <c r="A1037" s="24">
        <v>1031</v>
      </c>
      <c r="B1037" s="24"/>
      <c r="C1037" s="25"/>
      <c r="D1037" s="26"/>
      <c r="E1037" s="25"/>
      <c r="F1037" s="25"/>
      <c r="G1037" s="24"/>
      <c r="H1037" s="25" t="e">
        <f ca="1"/>
        <v>#REF!</v>
      </c>
      <c r="I1037" s="27" t="e">
        <f ca="1"/>
        <v>#REF!</v>
      </c>
      <c r="J1037" s="28" t="e">
        <f ca="1"/>
        <v>#REF!</v>
      </c>
      <c r="K1037" s="27" t="e">
        <f ca="1"/>
        <v>#REF!</v>
      </c>
      <c r="L1037" s="25" t="e">
        <f ca="1"/>
        <v>#REF!</v>
      </c>
      <c r="M1037" s="25" t="e">
        <f ca="1"/>
        <v>#REF!</v>
      </c>
      <c r="N1037" s="25" t="e">
        <f ca="1"/>
        <v>#REF!</v>
      </c>
      <c r="O1037" s="25" t="e">
        <f ca="1"/>
        <v>#REF!</v>
      </c>
      <c r="P1037" s="25" t="e">
        <f ca="1"/>
        <v>#REF!</v>
      </c>
      <c r="Q1037" s="25" t="e">
        <f ca="1"/>
        <v>#REF!</v>
      </c>
      <c r="R1037" s="25" t="e">
        <f ca="1"/>
        <v>#REF!</v>
      </c>
      <c r="S1037" s="25" t="e">
        <f ca="1"/>
        <v>#REF!</v>
      </c>
      <c r="T1037" s="25" t="e">
        <f ca="1"/>
        <v>#REF!</v>
      </c>
      <c r="U1037" s="25" t="e">
        <f ca="1"/>
        <v>#REF!</v>
      </c>
      <c r="V1037" s="25" t="e">
        <f ca="1"/>
        <v>#REF!</v>
      </c>
      <c r="W1037" s="33" t="e">
        <f ca="1"/>
        <v>#REF!</v>
      </c>
      <c r="X1037" s="33" t="e">
        <f ca="1"/>
        <v>#REF!</v>
      </c>
      <c r="Y1037" s="33" t="e">
        <f ca="1"/>
        <v>#REF!</v>
      </c>
      <c r="Z1037" s="33" t="e">
        <f ca="1"/>
        <v>#REF!</v>
      </c>
      <c r="AA1037" s="33" t="e">
        <f ca="1"/>
        <v>#REF!</v>
      </c>
    </row>
    <row r="1038" spans="1:27" s="70" customFormat="1" ht="11.25" x14ac:dyDescent="0.2">
      <c r="A1038" s="24">
        <v>1032</v>
      </c>
      <c r="B1038" s="24"/>
      <c r="C1038" s="25"/>
      <c r="D1038" s="26"/>
      <c r="E1038" s="25"/>
      <c r="F1038" s="25"/>
      <c r="G1038" s="24"/>
      <c r="H1038" s="25" t="e">
        <f ca="1"/>
        <v>#REF!</v>
      </c>
      <c r="I1038" s="27" t="e">
        <f ca="1"/>
        <v>#REF!</v>
      </c>
      <c r="J1038" s="28" t="e">
        <f ca="1"/>
        <v>#REF!</v>
      </c>
      <c r="K1038" s="27" t="e">
        <f ca="1"/>
        <v>#REF!</v>
      </c>
      <c r="L1038" s="25" t="e">
        <f ca="1"/>
        <v>#REF!</v>
      </c>
      <c r="M1038" s="25" t="e">
        <f ca="1"/>
        <v>#REF!</v>
      </c>
      <c r="N1038" s="25" t="e">
        <f ca="1"/>
        <v>#REF!</v>
      </c>
      <c r="O1038" s="25" t="e">
        <f ca="1"/>
        <v>#REF!</v>
      </c>
      <c r="P1038" s="25" t="e">
        <f ca="1"/>
        <v>#REF!</v>
      </c>
      <c r="Q1038" s="25" t="e">
        <f ca="1"/>
        <v>#REF!</v>
      </c>
      <c r="R1038" s="25" t="e">
        <f ca="1"/>
        <v>#REF!</v>
      </c>
      <c r="S1038" s="25" t="e">
        <f ca="1"/>
        <v>#REF!</v>
      </c>
      <c r="T1038" s="25" t="e">
        <f ca="1"/>
        <v>#REF!</v>
      </c>
      <c r="U1038" s="25" t="e">
        <f ca="1"/>
        <v>#REF!</v>
      </c>
      <c r="V1038" s="25" t="e">
        <f ca="1"/>
        <v>#REF!</v>
      </c>
      <c r="W1038" s="33" t="e">
        <f ca="1"/>
        <v>#REF!</v>
      </c>
      <c r="X1038" s="33" t="e">
        <f ca="1"/>
        <v>#REF!</v>
      </c>
      <c r="Y1038" s="33" t="e">
        <f ca="1"/>
        <v>#REF!</v>
      </c>
      <c r="Z1038" s="33" t="e">
        <f ca="1"/>
        <v>#REF!</v>
      </c>
      <c r="AA1038" s="33" t="e">
        <f ca="1"/>
        <v>#REF!</v>
      </c>
    </row>
    <row r="1039" spans="1:27" s="70" customFormat="1" ht="11.25" x14ac:dyDescent="0.2">
      <c r="A1039" s="24">
        <v>1033</v>
      </c>
      <c r="B1039" s="24"/>
      <c r="C1039" s="25"/>
      <c r="D1039" s="26"/>
      <c r="E1039" s="25"/>
      <c r="F1039" s="25"/>
      <c r="G1039" s="24"/>
      <c r="H1039" s="25" t="e">
        <f ca="1"/>
        <v>#REF!</v>
      </c>
      <c r="I1039" s="27" t="e">
        <f ca="1"/>
        <v>#REF!</v>
      </c>
      <c r="J1039" s="28" t="e">
        <f ca="1"/>
        <v>#REF!</v>
      </c>
      <c r="K1039" s="27" t="e">
        <f ca="1"/>
        <v>#REF!</v>
      </c>
      <c r="L1039" s="25" t="e">
        <f ca="1"/>
        <v>#REF!</v>
      </c>
      <c r="M1039" s="25" t="e">
        <f ca="1"/>
        <v>#REF!</v>
      </c>
      <c r="N1039" s="25" t="e">
        <f ca="1"/>
        <v>#REF!</v>
      </c>
      <c r="O1039" s="25" t="e">
        <f ca="1"/>
        <v>#REF!</v>
      </c>
      <c r="P1039" s="25" t="e">
        <f ca="1"/>
        <v>#REF!</v>
      </c>
      <c r="Q1039" s="25" t="e">
        <f ca="1"/>
        <v>#REF!</v>
      </c>
      <c r="R1039" s="25" t="e">
        <f ca="1"/>
        <v>#REF!</v>
      </c>
      <c r="S1039" s="25" t="e">
        <f ca="1"/>
        <v>#REF!</v>
      </c>
      <c r="T1039" s="25" t="e">
        <f ca="1"/>
        <v>#REF!</v>
      </c>
      <c r="U1039" s="25" t="e">
        <f ca="1"/>
        <v>#REF!</v>
      </c>
      <c r="V1039" s="25" t="e">
        <f ca="1"/>
        <v>#REF!</v>
      </c>
      <c r="W1039" s="33" t="e">
        <f ca="1"/>
        <v>#REF!</v>
      </c>
      <c r="X1039" s="33" t="e">
        <f ca="1"/>
        <v>#REF!</v>
      </c>
      <c r="Y1039" s="33" t="e">
        <f ca="1"/>
        <v>#REF!</v>
      </c>
      <c r="Z1039" s="33" t="e">
        <f ca="1"/>
        <v>#REF!</v>
      </c>
      <c r="AA1039" s="33" t="e">
        <f ca="1"/>
        <v>#REF!</v>
      </c>
    </row>
    <row r="1040" spans="1:27" s="70" customFormat="1" ht="11.25" x14ac:dyDescent="0.2">
      <c r="A1040" s="24">
        <v>1034</v>
      </c>
      <c r="B1040" s="24"/>
      <c r="C1040" s="25"/>
      <c r="D1040" s="26"/>
      <c r="E1040" s="25"/>
      <c r="F1040" s="25"/>
      <c r="G1040" s="24"/>
      <c r="H1040" s="25" t="e">
        <f ca="1"/>
        <v>#REF!</v>
      </c>
      <c r="I1040" s="27" t="e">
        <f ca="1"/>
        <v>#REF!</v>
      </c>
      <c r="J1040" s="28" t="e">
        <f ca="1"/>
        <v>#REF!</v>
      </c>
      <c r="K1040" s="27" t="e">
        <f ca="1"/>
        <v>#REF!</v>
      </c>
      <c r="L1040" s="25" t="e">
        <f ca="1"/>
        <v>#REF!</v>
      </c>
      <c r="M1040" s="25" t="e">
        <f ca="1"/>
        <v>#REF!</v>
      </c>
      <c r="N1040" s="25" t="e">
        <f ca="1"/>
        <v>#REF!</v>
      </c>
      <c r="O1040" s="25" t="e">
        <f ca="1"/>
        <v>#REF!</v>
      </c>
      <c r="P1040" s="25" t="e">
        <f ca="1"/>
        <v>#REF!</v>
      </c>
      <c r="Q1040" s="25" t="e">
        <f ca="1"/>
        <v>#REF!</v>
      </c>
      <c r="R1040" s="25" t="e">
        <f ca="1"/>
        <v>#REF!</v>
      </c>
      <c r="S1040" s="25" t="e">
        <f ca="1"/>
        <v>#REF!</v>
      </c>
      <c r="T1040" s="25" t="e">
        <f ca="1"/>
        <v>#REF!</v>
      </c>
      <c r="U1040" s="25" t="e">
        <f ca="1"/>
        <v>#REF!</v>
      </c>
      <c r="V1040" s="25" t="e">
        <f ca="1"/>
        <v>#REF!</v>
      </c>
      <c r="W1040" s="33" t="e">
        <f ca="1"/>
        <v>#REF!</v>
      </c>
      <c r="X1040" s="33" t="e">
        <f ca="1"/>
        <v>#REF!</v>
      </c>
      <c r="Y1040" s="33" t="e">
        <f ca="1"/>
        <v>#REF!</v>
      </c>
      <c r="Z1040" s="33" t="e">
        <f ca="1"/>
        <v>#REF!</v>
      </c>
      <c r="AA1040" s="33" t="e">
        <f ca="1"/>
        <v>#REF!</v>
      </c>
    </row>
    <row r="1041" spans="1:27" s="70" customFormat="1" ht="11.25" x14ac:dyDescent="0.2">
      <c r="A1041" s="24">
        <v>1035</v>
      </c>
      <c r="B1041" s="24"/>
      <c r="C1041" s="25"/>
      <c r="D1041" s="26"/>
      <c r="E1041" s="25"/>
      <c r="F1041" s="25"/>
      <c r="G1041" s="24"/>
      <c r="H1041" s="25" t="e">
        <f ca="1"/>
        <v>#REF!</v>
      </c>
      <c r="I1041" s="27" t="e">
        <f ca="1"/>
        <v>#REF!</v>
      </c>
      <c r="J1041" s="28" t="e">
        <f ca="1"/>
        <v>#REF!</v>
      </c>
      <c r="K1041" s="27" t="e">
        <f ca="1"/>
        <v>#REF!</v>
      </c>
      <c r="L1041" s="25" t="e">
        <f ca="1"/>
        <v>#REF!</v>
      </c>
      <c r="M1041" s="25" t="e">
        <f ca="1"/>
        <v>#REF!</v>
      </c>
      <c r="N1041" s="25" t="e">
        <f ca="1"/>
        <v>#REF!</v>
      </c>
      <c r="O1041" s="25" t="e">
        <f ca="1"/>
        <v>#REF!</v>
      </c>
      <c r="P1041" s="25" t="e">
        <f ca="1"/>
        <v>#REF!</v>
      </c>
      <c r="Q1041" s="25" t="e">
        <f ca="1"/>
        <v>#REF!</v>
      </c>
      <c r="R1041" s="25" t="e">
        <f ca="1"/>
        <v>#REF!</v>
      </c>
      <c r="S1041" s="25" t="e">
        <f ca="1"/>
        <v>#REF!</v>
      </c>
      <c r="T1041" s="25" t="e">
        <f ca="1"/>
        <v>#REF!</v>
      </c>
      <c r="U1041" s="25" t="e">
        <f ca="1"/>
        <v>#REF!</v>
      </c>
      <c r="V1041" s="25" t="e">
        <f ca="1"/>
        <v>#REF!</v>
      </c>
      <c r="W1041" s="33" t="e">
        <f ca="1"/>
        <v>#REF!</v>
      </c>
      <c r="X1041" s="33" t="e">
        <f ca="1"/>
        <v>#REF!</v>
      </c>
      <c r="Y1041" s="33" t="e">
        <f ca="1"/>
        <v>#REF!</v>
      </c>
      <c r="Z1041" s="33" t="e">
        <f ca="1"/>
        <v>#REF!</v>
      </c>
      <c r="AA1041" s="33" t="e">
        <f ca="1"/>
        <v>#REF!</v>
      </c>
    </row>
    <row r="1042" spans="1:27" s="70" customFormat="1" ht="11.25" x14ac:dyDescent="0.2">
      <c r="A1042" s="24">
        <v>1036</v>
      </c>
      <c r="B1042" s="24"/>
      <c r="C1042" s="25"/>
      <c r="D1042" s="26"/>
      <c r="E1042" s="25"/>
      <c r="F1042" s="25"/>
      <c r="G1042" s="24"/>
      <c r="H1042" s="25" t="e">
        <f ca="1"/>
        <v>#REF!</v>
      </c>
      <c r="I1042" s="27" t="e">
        <f ca="1"/>
        <v>#REF!</v>
      </c>
      <c r="J1042" s="28" t="e">
        <f ca="1"/>
        <v>#REF!</v>
      </c>
      <c r="K1042" s="27" t="e">
        <f ca="1"/>
        <v>#REF!</v>
      </c>
      <c r="L1042" s="25" t="e">
        <f ca="1"/>
        <v>#REF!</v>
      </c>
      <c r="M1042" s="25" t="e">
        <f ca="1"/>
        <v>#REF!</v>
      </c>
      <c r="N1042" s="25" t="e">
        <f ca="1"/>
        <v>#REF!</v>
      </c>
      <c r="O1042" s="25" t="e">
        <f ca="1"/>
        <v>#REF!</v>
      </c>
      <c r="P1042" s="25" t="e">
        <f ca="1"/>
        <v>#REF!</v>
      </c>
      <c r="Q1042" s="25" t="e">
        <f ca="1"/>
        <v>#REF!</v>
      </c>
      <c r="R1042" s="25" t="e">
        <f ca="1"/>
        <v>#REF!</v>
      </c>
      <c r="S1042" s="25" t="e">
        <f ca="1"/>
        <v>#REF!</v>
      </c>
      <c r="T1042" s="25" t="e">
        <f ca="1"/>
        <v>#REF!</v>
      </c>
      <c r="U1042" s="25" t="e">
        <f ca="1"/>
        <v>#REF!</v>
      </c>
      <c r="V1042" s="25" t="e">
        <f ca="1"/>
        <v>#REF!</v>
      </c>
      <c r="W1042" s="33" t="e">
        <f ca="1"/>
        <v>#REF!</v>
      </c>
      <c r="X1042" s="33" t="e">
        <f ca="1"/>
        <v>#REF!</v>
      </c>
      <c r="Y1042" s="33" t="e">
        <f ca="1"/>
        <v>#REF!</v>
      </c>
      <c r="Z1042" s="33" t="e">
        <f ca="1"/>
        <v>#REF!</v>
      </c>
      <c r="AA1042" s="33" t="e">
        <f ca="1"/>
        <v>#REF!</v>
      </c>
    </row>
    <row r="1043" spans="1:27" s="70" customFormat="1" ht="11.25" x14ac:dyDescent="0.2">
      <c r="A1043" s="24">
        <v>1037</v>
      </c>
      <c r="B1043" s="24"/>
      <c r="C1043" s="25"/>
      <c r="D1043" s="26"/>
      <c r="E1043" s="25"/>
      <c r="F1043" s="25"/>
      <c r="G1043" s="24"/>
      <c r="H1043" s="25" t="e">
        <f ca="1"/>
        <v>#REF!</v>
      </c>
      <c r="I1043" s="27" t="e">
        <f ca="1"/>
        <v>#REF!</v>
      </c>
      <c r="J1043" s="28" t="e">
        <f ca="1"/>
        <v>#REF!</v>
      </c>
      <c r="K1043" s="27" t="e">
        <f ca="1"/>
        <v>#REF!</v>
      </c>
      <c r="L1043" s="25" t="e">
        <f ca="1"/>
        <v>#REF!</v>
      </c>
      <c r="M1043" s="25" t="e">
        <f ca="1"/>
        <v>#REF!</v>
      </c>
      <c r="N1043" s="25" t="e">
        <f ca="1"/>
        <v>#REF!</v>
      </c>
      <c r="O1043" s="25" t="e">
        <f ca="1"/>
        <v>#REF!</v>
      </c>
      <c r="P1043" s="25" t="e">
        <f ca="1"/>
        <v>#REF!</v>
      </c>
      <c r="Q1043" s="25" t="e">
        <f ca="1"/>
        <v>#REF!</v>
      </c>
      <c r="R1043" s="25" t="e">
        <f ca="1"/>
        <v>#REF!</v>
      </c>
      <c r="S1043" s="25" t="e">
        <f ca="1"/>
        <v>#REF!</v>
      </c>
      <c r="T1043" s="25" t="e">
        <f ca="1"/>
        <v>#REF!</v>
      </c>
      <c r="U1043" s="25" t="e">
        <f ca="1"/>
        <v>#REF!</v>
      </c>
      <c r="V1043" s="25" t="e">
        <f ca="1"/>
        <v>#REF!</v>
      </c>
      <c r="W1043" s="33" t="e">
        <f ca="1"/>
        <v>#REF!</v>
      </c>
      <c r="X1043" s="33" t="e">
        <f ca="1"/>
        <v>#REF!</v>
      </c>
      <c r="Y1043" s="33" t="e">
        <f ca="1"/>
        <v>#REF!</v>
      </c>
      <c r="Z1043" s="33" t="e">
        <f ca="1"/>
        <v>#REF!</v>
      </c>
      <c r="AA1043" s="33" t="e">
        <f ca="1"/>
        <v>#REF!</v>
      </c>
    </row>
    <row r="1044" spans="1:27" s="70" customFormat="1" ht="11.25" x14ac:dyDescent="0.2">
      <c r="A1044" s="24">
        <v>1038</v>
      </c>
      <c r="B1044" s="24"/>
      <c r="C1044" s="25"/>
      <c r="D1044" s="26"/>
      <c r="E1044" s="25"/>
      <c r="F1044" s="25"/>
      <c r="G1044" s="24"/>
      <c r="H1044" s="25" t="e">
        <f ca="1"/>
        <v>#REF!</v>
      </c>
      <c r="I1044" s="27" t="e">
        <f ca="1"/>
        <v>#REF!</v>
      </c>
      <c r="J1044" s="28" t="e">
        <f ca="1"/>
        <v>#REF!</v>
      </c>
      <c r="K1044" s="27" t="e">
        <f ca="1"/>
        <v>#REF!</v>
      </c>
      <c r="L1044" s="25" t="e">
        <f ca="1"/>
        <v>#REF!</v>
      </c>
      <c r="M1044" s="25" t="e">
        <f ca="1"/>
        <v>#REF!</v>
      </c>
      <c r="N1044" s="25" t="e">
        <f ca="1"/>
        <v>#REF!</v>
      </c>
      <c r="O1044" s="25" t="e">
        <f ca="1"/>
        <v>#REF!</v>
      </c>
      <c r="P1044" s="25" t="e">
        <f ca="1"/>
        <v>#REF!</v>
      </c>
      <c r="Q1044" s="25" t="e">
        <f ca="1"/>
        <v>#REF!</v>
      </c>
      <c r="R1044" s="25" t="e">
        <f ca="1"/>
        <v>#REF!</v>
      </c>
      <c r="S1044" s="25" t="e">
        <f ca="1"/>
        <v>#REF!</v>
      </c>
      <c r="T1044" s="25" t="e">
        <f ca="1"/>
        <v>#REF!</v>
      </c>
      <c r="U1044" s="25" t="e">
        <f ca="1"/>
        <v>#REF!</v>
      </c>
      <c r="V1044" s="25" t="e">
        <f ca="1"/>
        <v>#REF!</v>
      </c>
      <c r="W1044" s="33" t="e">
        <f ca="1"/>
        <v>#REF!</v>
      </c>
      <c r="X1044" s="33" t="e">
        <f ca="1"/>
        <v>#REF!</v>
      </c>
      <c r="Y1044" s="33" t="e">
        <f ca="1"/>
        <v>#REF!</v>
      </c>
      <c r="Z1044" s="33" t="e">
        <f ca="1"/>
        <v>#REF!</v>
      </c>
      <c r="AA1044" s="33" t="e">
        <f ca="1"/>
        <v>#REF!</v>
      </c>
    </row>
    <row r="1045" spans="1:27" s="70" customFormat="1" ht="11.25" x14ac:dyDescent="0.2">
      <c r="A1045" s="24">
        <v>1039</v>
      </c>
      <c r="B1045" s="24"/>
      <c r="C1045" s="25"/>
      <c r="D1045" s="26"/>
      <c r="E1045" s="25"/>
      <c r="F1045" s="25"/>
      <c r="G1045" s="24"/>
      <c r="H1045" s="25" t="e">
        <f ca="1"/>
        <v>#REF!</v>
      </c>
      <c r="I1045" s="27" t="e">
        <f ca="1"/>
        <v>#REF!</v>
      </c>
      <c r="J1045" s="28" t="e">
        <f ca="1"/>
        <v>#REF!</v>
      </c>
      <c r="K1045" s="27" t="e">
        <f ca="1"/>
        <v>#REF!</v>
      </c>
      <c r="L1045" s="25" t="e">
        <f ca="1"/>
        <v>#REF!</v>
      </c>
      <c r="M1045" s="25" t="e">
        <f ca="1"/>
        <v>#REF!</v>
      </c>
      <c r="N1045" s="25" t="e">
        <f ca="1"/>
        <v>#REF!</v>
      </c>
      <c r="O1045" s="25" t="e">
        <f ca="1"/>
        <v>#REF!</v>
      </c>
      <c r="P1045" s="25" t="e">
        <f ca="1"/>
        <v>#REF!</v>
      </c>
      <c r="Q1045" s="25" t="e">
        <f ca="1"/>
        <v>#REF!</v>
      </c>
      <c r="R1045" s="25" t="e">
        <f ca="1"/>
        <v>#REF!</v>
      </c>
      <c r="S1045" s="25" t="e">
        <f ca="1"/>
        <v>#REF!</v>
      </c>
      <c r="T1045" s="25" t="e">
        <f ca="1"/>
        <v>#REF!</v>
      </c>
      <c r="U1045" s="25" t="e">
        <f ca="1"/>
        <v>#REF!</v>
      </c>
      <c r="V1045" s="25" t="e">
        <f ca="1"/>
        <v>#REF!</v>
      </c>
      <c r="W1045" s="33" t="e">
        <f ca="1"/>
        <v>#REF!</v>
      </c>
      <c r="X1045" s="33" t="e">
        <f ca="1"/>
        <v>#REF!</v>
      </c>
      <c r="Y1045" s="33" t="e">
        <f ca="1"/>
        <v>#REF!</v>
      </c>
      <c r="Z1045" s="33" t="e">
        <f ca="1"/>
        <v>#REF!</v>
      </c>
      <c r="AA1045" s="33" t="e">
        <f ca="1"/>
        <v>#REF!</v>
      </c>
    </row>
    <row r="1046" spans="1:27" s="70" customFormat="1" ht="11.25" x14ac:dyDescent="0.2">
      <c r="A1046" s="24">
        <v>1040</v>
      </c>
      <c r="B1046" s="24"/>
      <c r="C1046" s="25"/>
      <c r="D1046" s="26"/>
      <c r="E1046" s="25"/>
      <c r="F1046" s="25"/>
      <c r="G1046" s="24"/>
      <c r="H1046" s="25" t="e">
        <f ca="1"/>
        <v>#REF!</v>
      </c>
      <c r="I1046" s="27" t="e">
        <f ca="1"/>
        <v>#REF!</v>
      </c>
      <c r="J1046" s="28" t="e">
        <f ca="1"/>
        <v>#REF!</v>
      </c>
      <c r="K1046" s="27" t="e">
        <f ca="1"/>
        <v>#REF!</v>
      </c>
      <c r="L1046" s="25" t="e">
        <f ca="1"/>
        <v>#REF!</v>
      </c>
      <c r="M1046" s="25" t="e">
        <f ca="1"/>
        <v>#REF!</v>
      </c>
      <c r="N1046" s="25" t="e">
        <f ca="1"/>
        <v>#REF!</v>
      </c>
      <c r="O1046" s="25" t="e">
        <f ca="1"/>
        <v>#REF!</v>
      </c>
      <c r="P1046" s="25" t="e">
        <f ca="1"/>
        <v>#REF!</v>
      </c>
      <c r="Q1046" s="25" t="e">
        <f ca="1"/>
        <v>#REF!</v>
      </c>
      <c r="R1046" s="25" t="e">
        <f ca="1"/>
        <v>#REF!</v>
      </c>
      <c r="S1046" s="25" t="e">
        <f ca="1"/>
        <v>#REF!</v>
      </c>
      <c r="T1046" s="25" t="e">
        <f ca="1"/>
        <v>#REF!</v>
      </c>
      <c r="U1046" s="25" t="e">
        <f ca="1"/>
        <v>#REF!</v>
      </c>
      <c r="V1046" s="25" t="e">
        <f ca="1"/>
        <v>#REF!</v>
      </c>
      <c r="W1046" s="33" t="e">
        <f ca="1"/>
        <v>#REF!</v>
      </c>
      <c r="X1046" s="33" t="e">
        <f ca="1"/>
        <v>#REF!</v>
      </c>
      <c r="Y1046" s="33" t="e">
        <f ca="1"/>
        <v>#REF!</v>
      </c>
      <c r="Z1046" s="33" t="e">
        <f ca="1"/>
        <v>#REF!</v>
      </c>
      <c r="AA1046" s="33" t="e">
        <f ca="1"/>
        <v>#REF!</v>
      </c>
    </row>
    <row r="1047" spans="1:27" s="70" customFormat="1" ht="11.25" x14ac:dyDescent="0.2">
      <c r="A1047" s="24">
        <v>1041</v>
      </c>
      <c r="B1047" s="24"/>
      <c r="C1047" s="25"/>
      <c r="D1047" s="26"/>
      <c r="E1047" s="25"/>
      <c r="F1047" s="25"/>
      <c r="G1047" s="24"/>
      <c r="H1047" s="25" t="e">
        <f ca="1"/>
        <v>#REF!</v>
      </c>
      <c r="I1047" s="27" t="e">
        <f ca="1"/>
        <v>#REF!</v>
      </c>
      <c r="J1047" s="28" t="e">
        <f ca="1"/>
        <v>#REF!</v>
      </c>
      <c r="K1047" s="27" t="e">
        <f ca="1"/>
        <v>#REF!</v>
      </c>
      <c r="L1047" s="25" t="e">
        <f ca="1"/>
        <v>#REF!</v>
      </c>
      <c r="M1047" s="25" t="e">
        <f ca="1"/>
        <v>#REF!</v>
      </c>
      <c r="N1047" s="25" t="e">
        <f ca="1"/>
        <v>#REF!</v>
      </c>
      <c r="O1047" s="25" t="e">
        <f ca="1"/>
        <v>#REF!</v>
      </c>
      <c r="P1047" s="25" t="e">
        <f ca="1"/>
        <v>#REF!</v>
      </c>
      <c r="Q1047" s="25" t="e">
        <f ca="1"/>
        <v>#REF!</v>
      </c>
      <c r="R1047" s="25" t="e">
        <f ca="1"/>
        <v>#REF!</v>
      </c>
      <c r="S1047" s="25" t="e">
        <f ca="1"/>
        <v>#REF!</v>
      </c>
      <c r="T1047" s="25" t="e">
        <f ca="1"/>
        <v>#REF!</v>
      </c>
      <c r="U1047" s="25" t="e">
        <f ca="1"/>
        <v>#REF!</v>
      </c>
      <c r="V1047" s="25" t="e">
        <f ca="1"/>
        <v>#REF!</v>
      </c>
      <c r="W1047" s="33" t="e">
        <f ca="1"/>
        <v>#REF!</v>
      </c>
      <c r="X1047" s="33" t="e">
        <f ca="1"/>
        <v>#REF!</v>
      </c>
      <c r="Y1047" s="33" t="e">
        <f ca="1"/>
        <v>#REF!</v>
      </c>
      <c r="Z1047" s="33" t="e">
        <f ca="1"/>
        <v>#REF!</v>
      </c>
      <c r="AA1047" s="33" t="e">
        <f ca="1"/>
        <v>#REF!</v>
      </c>
    </row>
    <row r="1048" spans="1:27" s="70" customFormat="1" ht="11.25" x14ac:dyDescent="0.2">
      <c r="A1048" s="24">
        <v>1042</v>
      </c>
      <c r="B1048" s="24"/>
      <c r="C1048" s="25"/>
      <c r="D1048" s="26"/>
      <c r="E1048" s="25"/>
      <c r="F1048" s="25"/>
      <c r="G1048" s="24"/>
      <c r="H1048" s="25" t="e">
        <f ca="1"/>
        <v>#REF!</v>
      </c>
      <c r="I1048" s="27" t="e">
        <f ca="1"/>
        <v>#REF!</v>
      </c>
      <c r="J1048" s="28" t="e">
        <f ca="1"/>
        <v>#REF!</v>
      </c>
      <c r="K1048" s="27" t="e">
        <f ca="1"/>
        <v>#REF!</v>
      </c>
      <c r="L1048" s="25" t="e">
        <f ca="1"/>
        <v>#REF!</v>
      </c>
      <c r="M1048" s="25" t="e">
        <f ca="1"/>
        <v>#REF!</v>
      </c>
      <c r="N1048" s="25" t="e">
        <f ca="1"/>
        <v>#REF!</v>
      </c>
      <c r="O1048" s="25" t="e">
        <f ca="1"/>
        <v>#REF!</v>
      </c>
      <c r="P1048" s="25" t="e">
        <f ca="1"/>
        <v>#REF!</v>
      </c>
      <c r="Q1048" s="25" t="e">
        <f ca="1"/>
        <v>#REF!</v>
      </c>
      <c r="R1048" s="25" t="e">
        <f ca="1"/>
        <v>#REF!</v>
      </c>
      <c r="S1048" s="25" t="e">
        <f ca="1"/>
        <v>#REF!</v>
      </c>
      <c r="T1048" s="25" t="e">
        <f ca="1"/>
        <v>#REF!</v>
      </c>
      <c r="U1048" s="25" t="e">
        <f ca="1"/>
        <v>#REF!</v>
      </c>
      <c r="V1048" s="25" t="e">
        <f ca="1"/>
        <v>#REF!</v>
      </c>
      <c r="W1048" s="33" t="e">
        <f ca="1"/>
        <v>#REF!</v>
      </c>
      <c r="X1048" s="33" t="e">
        <f ca="1"/>
        <v>#REF!</v>
      </c>
      <c r="Y1048" s="33" t="e">
        <f ca="1"/>
        <v>#REF!</v>
      </c>
      <c r="Z1048" s="33" t="e">
        <f ca="1"/>
        <v>#REF!</v>
      </c>
      <c r="AA1048" s="33" t="e">
        <f ca="1"/>
        <v>#REF!</v>
      </c>
    </row>
    <row r="1049" spans="1:27" s="70" customFormat="1" ht="11.25" x14ac:dyDescent="0.2">
      <c r="A1049" s="24">
        <v>1043</v>
      </c>
      <c r="B1049" s="24"/>
      <c r="C1049" s="25"/>
      <c r="D1049" s="26"/>
      <c r="E1049" s="25"/>
      <c r="F1049" s="25"/>
      <c r="G1049" s="24"/>
      <c r="H1049" s="25" t="e">
        <f ca="1"/>
        <v>#REF!</v>
      </c>
      <c r="I1049" s="27" t="e">
        <f ca="1"/>
        <v>#REF!</v>
      </c>
      <c r="J1049" s="28" t="e">
        <f ca="1"/>
        <v>#REF!</v>
      </c>
      <c r="K1049" s="27" t="e">
        <f ca="1"/>
        <v>#REF!</v>
      </c>
      <c r="L1049" s="25" t="e">
        <f ca="1"/>
        <v>#REF!</v>
      </c>
      <c r="M1049" s="25" t="e">
        <f ca="1"/>
        <v>#REF!</v>
      </c>
      <c r="N1049" s="25" t="e">
        <f ca="1"/>
        <v>#REF!</v>
      </c>
      <c r="O1049" s="25" t="e">
        <f ca="1"/>
        <v>#REF!</v>
      </c>
      <c r="P1049" s="25" t="e">
        <f ca="1"/>
        <v>#REF!</v>
      </c>
      <c r="Q1049" s="25" t="e">
        <f ca="1"/>
        <v>#REF!</v>
      </c>
      <c r="R1049" s="25" t="e">
        <f ca="1"/>
        <v>#REF!</v>
      </c>
      <c r="S1049" s="25" t="e">
        <f ca="1"/>
        <v>#REF!</v>
      </c>
      <c r="T1049" s="25" t="e">
        <f ca="1"/>
        <v>#REF!</v>
      </c>
      <c r="U1049" s="25" t="e">
        <f ca="1"/>
        <v>#REF!</v>
      </c>
      <c r="V1049" s="25" t="e">
        <f ca="1"/>
        <v>#REF!</v>
      </c>
      <c r="W1049" s="33" t="e">
        <f ca="1"/>
        <v>#REF!</v>
      </c>
      <c r="X1049" s="33" t="e">
        <f ca="1"/>
        <v>#REF!</v>
      </c>
      <c r="Y1049" s="33" t="e">
        <f ca="1"/>
        <v>#REF!</v>
      </c>
      <c r="Z1049" s="33" t="e">
        <f ca="1"/>
        <v>#REF!</v>
      </c>
      <c r="AA1049" s="33" t="e">
        <f ca="1"/>
        <v>#REF!</v>
      </c>
    </row>
    <row r="1050" spans="1:27" s="70" customFormat="1" ht="11.25" x14ac:dyDescent="0.2">
      <c r="A1050" s="24">
        <v>1044</v>
      </c>
      <c r="B1050" s="24"/>
      <c r="C1050" s="25"/>
      <c r="D1050" s="26"/>
      <c r="E1050" s="25"/>
      <c r="F1050" s="25"/>
      <c r="G1050" s="24"/>
      <c r="H1050" s="25" t="e">
        <f ca="1"/>
        <v>#REF!</v>
      </c>
      <c r="I1050" s="27" t="e">
        <f ca="1"/>
        <v>#REF!</v>
      </c>
      <c r="J1050" s="28" t="e">
        <f ca="1"/>
        <v>#REF!</v>
      </c>
      <c r="K1050" s="27" t="e">
        <f ca="1"/>
        <v>#REF!</v>
      </c>
      <c r="L1050" s="25" t="e">
        <f ca="1"/>
        <v>#REF!</v>
      </c>
      <c r="M1050" s="25" t="e">
        <f ca="1"/>
        <v>#REF!</v>
      </c>
      <c r="N1050" s="25" t="e">
        <f ca="1"/>
        <v>#REF!</v>
      </c>
      <c r="O1050" s="25" t="e">
        <f ca="1"/>
        <v>#REF!</v>
      </c>
      <c r="P1050" s="25" t="e">
        <f ca="1"/>
        <v>#REF!</v>
      </c>
      <c r="Q1050" s="25" t="e">
        <f ca="1"/>
        <v>#REF!</v>
      </c>
      <c r="R1050" s="25" t="e">
        <f ca="1"/>
        <v>#REF!</v>
      </c>
      <c r="S1050" s="25" t="e">
        <f ca="1"/>
        <v>#REF!</v>
      </c>
      <c r="T1050" s="25" t="e">
        <f ca="1"/>
        <v>#REF!</v>
      </c>
      <c r="U1050" s="25" t="e">
        <f ca="1"/>
        <v>#REF!</v>
      </c>
      <c r="V1050" s="25" t="e">
        <f ca="1"/>
        <v>#REF!</v>
      </c>
      <c r="W1050" s="33" t="e">
        <f ca="1"/>
        <v>#REF!</v>
      </c>
      <c r="X1050" s="33" t="e">
        <f ca="1"/>
        <v>#REF!</v>
      </c>
      <c r="Y1050" s="33" t="e">
        <f ca="1"/>
        <v>#REF!</v>
      </c>
      <c r="Z1050" s="33" t="e">
        <f ca="1"/>
        <v>#REF!</v>
      </c>
      <c r="AA1050" s="33" t="e">
        <f ca="1"/>
        <v>#REF!</v>
      </c>
    </row>
    <row r="1051" spans="1:27" s="70" customFormat="1" ht="11.25" x14ac:dyDescent="0.2">
      <c r="A1051" s="24">
        <v>1045</v>
      </c>
      <c r="B1051" s="24"/>
      <c r="C1051" s="25"/>
      <c r="D1051" s="26"/>
      <c r="E1051" s="25"/>
      <c r="F1051" s="25"/>
      <c r="G1051" s="24"/>
      <c r="H1051" s="25" t="e">
        <f ca="1"/>
        <v>#REF!</v>
      </c>
      <c r="I1051" s="27" t="e">
        <f ca="1"/>
        <v>#REF!</v>
      </c>
      <c r="J1051" s="28" t="e">
        <f ca="1"/>
        <v>#REF!</v>
      </c>
      <c r="K1051" s="27" t="e">
        <f ca="1"/>
        <v>#REF!</v>
      </c>
      <c r="L1051" s="25" t="e">
        <f ca="1"/>
        <v>#REF!</v>
      </c>
      <c r="M1051" s="25" t="e">
        <f ca="1"/>
        <v>#REF!</v>
      </c>
      <c r="N1051" s="25" t="e">
        <f ca="1"/>
        <v>#REF!</v>
      </c>
      <c r="O1051" s="25" t="e">
        <f ca="1"/>
        <v>#REF!</v>
      </c>
      <c r="P1051" s="25" t="e">
        <f ca="1"/>
        <v>#REF!</v>
      </c>
      <c r="Q1051" s="25" t="e">
        <f ca="1"/>
        <v>#REF!</v>
      </c>
      <c r="R1051" s="25" t="e">
        <f ca="1"/>
        <v>#REF!</v>
      </c>
      <c r="S1051" s="25" t="e">
        <f ca="1"/>
        <v>#REF!</v>
      </c>
      <c r="T1051" s="25" t="e">
        <f ca="1"/>
        <v>#REF!</v>
      </c>
      <c r="U1051" s="25" t="e">
        <f ca="1"/>
        <v>#REF!</v>
      </c>
      <c r="V1051" s="25" t="e">
        <f ca="1"/>
        <v>#REF!</v>
      </c>
      <c r="W1051" s="33" t="e">
        <f ca="1"/>
        <v>#REF!</v>
      </c>
      <c r="X1051" s="33" t="e">
        <f ca="1"/>
        <v>#REF!</v>
      </c>
      <c r="Y1051" s="33" t="e">
        <f ca="1"/>
        <v>#REF!</v>
      </c>
      <c r="Z1051" s="33" t="e">
        <f ca="1"/>
        <v>#REF!</v>
      </c>
      <c r="AA1051" s="33" t="e">
        <f ca="1"/>
        <v>#REF!</v>
      </c>
    </row>
    <row r="1052" spans="1:27" s="70" customFormat="1" ht="11.25" x14ac:dyDescent="0.2">
      <c r="A1052" s="24">
        <v>1046</v>
      </c>
      <c r="B1052" s="24"/>
      <c r="C1052" s="25"/>
      <c r="D1052" s="26"/>
      <c r="E1052" s="25"/>
      <c r="F1052" s="25"/>
      <c r="G1052" s="24"/>
      <c r="H1052" s="25" t="e">
        <f ca="1"/>
        <v>#REF!</v>
      </c>
      <c r="I1052" s="27" t="e">
        <f ca="1"/>
        <v>#REF!</v>
      </c>
      <c r="J1052" s="28" t="e">
        <f ca="1"/>
        <v>#REF!</v>
      </c>
      <c r="K1052" s="27" t="e">
        <f ca="1"/>
        <v>#REF!</v>
      </c>
      <c r="L1052" s="25" t="e">
        <f ca="1"/>
        <v>#REF!</v>
      </c>
      <c r="M1052" s="25" t="e">
        <f ca="1"/>
        <v>#REF!</v>
      </c>
      <c r="N1052" s="25" t="e">
        <f ca="1"/>
        <v>#REF!</v>
      </c>
      <c r="O1052" s="25" t="e">
        <f ca="1"/>
        <v>#REF!</v>
      </c>
      <c r="P1052" s="25" t="e">
        <f ca="1"/>
        <v>#REF!</v>
      </c>
      <c r="Q1052" s="25" t="e">
        <f ca="1"/>
        <v>#REF!</v>
      </c>
      <c r="R1052" s="25" t="e">
        <f ca="1"/>
        <v>#REF!</v>
      </c>
      <c r="S1052" s="25" t="e">
        <f ca="1"/>
        <v>#REF!</v>
      </c>
      <c r="T1052" s="25" t="e">
        <f ca="1"/>
        <v>#REF!</v>
      </c>
      <c r="U1052" s="25" t="e">
        <f ca="1"/>
        <v>#REF!</v>
      </c>
      <c r="V1052" s="25" t="e">
        <f ca="1"/>
        <v>#REF!</v>
      </c>
      <c r="W1052" s="33" t="e">
        <f ca="1"/>
        <v>#REF!</v>
      </c>
      <c r="X1052" s="33" t="e">
        <f ca="1"/>
        <v>#REF!</v>
      </c>
      <c r="Y1052" s="33" t="e">
        <f ca="1"/>
        <v>#REF!</v>
      </c>
      <c r="Z1052" s="33" t="e">
        <f ca="1"/>
        <v>#REF!</v>
      </c>
      <c r="AA1052" s="33" t="e">
        <f ca="1"/>
        <v>#REF!</v>
      </c>
    </row>
    <row r="1053" spans="1:27" s="70" customFormat="1" ht="11.25" x14ac:dyDescent="0.2">
      <c r="A1053" s="24">
        <v>1047</v>
      </c>
      <c r="B1053" s="24"/>
      <c r="C1053" s="25"/>
      <c r="D1053" s="26"/>
      <c r="E1053" s="25"/>
      <c r="F1053" s="25"/>
      <c r="G1053" s="24"/>
      <c r="H1053" s="25" t="e">
        <f ca="1"/>
        <v>#REF!</v>
      </c>
      <c r="I1053" s="27" t="e">
        <f ca="1"/>
        <v>#REF!</v>
      </c>
      <c r="J1053" s="28" t="e">
        <f ca="1"/>
        <v>#REF!</v>
      </c>
      <c r="K1053" s="27" t="e">
        <f ca="1"/>
        <v>#REF!</v>
      </c>
      <c r="L1053" s="25" t="e">
        <f ca="1"/>
        <v>#REF!</v>
      </c>
      <c r="M1053" s="25" t="e">
        <f ca="1"/>
        <v>#REF!</v>
      </c>
      <c r="N1053" s="25" t="e">
        <f ca="1"/>
        <v>#REF!</v>
      </c>
      <c r="O1053" s="25" t="e">
        <f ca="1"/>
        <v>#REF!</v>
      </c>
      <c r="P1053" s="25" t="e">
        <f ca="1"/>
        <v>#REF!</v>
      </c>
      <c r="Q1053" s="25" t="e">
        <f ca="1"/>
        <v>#REF!</v>
      </c>
      <c r="R1053" s="25" t="e">
        <f ca="1"/>
        <v>#REF!</v>
      </c>
      <c r="S1053" s="25" t="e">
        <f ca="1"/>
        <v>#REF!</v>
      </c>
      <c r="T1053" s="25" t="e">
        <f ca="1"/>
        <v>#REF!</v>
      </c>
      <c r="U1053" s="25" t="e">
        <f ca="1"/>
        <v>#REF!</v>
      </c>
      <c r="V1053" s="25" t="e">
        <f ca="1"/>
        <v>#REF!</v>
      </c>
      <c r="W1053" s="33" t="e">
        <f ca="1"/>
        <v>#REF!</v>
      </c>
      <c r="X1053" s="33" t="e">
        <f ca="1"/>
        <v>#REF!</v>
      </c>
      <c r="Y1053" s="33" t="e">
        <f ca="1"/>
        <v>#REF!</v>
      </c>
      <c r="Z1053" s="33" t="e">
        <f ca="1"/>
        <v>#REF!</v>
      </c>
      <c r="AA1053" s="33" t="e">
        <f ca="1"/>
        <v>#REF!</v>
      </c>
    </row>
    <row r="1054" spans="1:27" s="70" customFormat="1" ht="11.25" x14ac:dyDescent="0.2">
      <c r="A1054" s="24">
        <v>1048</v>
      </c>
      <c r="B1054" s="24"/>
      <c r="C1054" s="25"/>
      <c r="D1054" s="26"/>
      <c r="E1054" s="25"/>
      <c r="F1054" s="25"/>
      <c r="G1054" s="24"/>
      <c r="H1054" s="25" t="e">
        <f ca="1"/>
        <v>#REF!</v>
      </c>
      <c r="I1054" s="27" t="e">
        <f ca="1"/>
        <v>#REF!</v>
      </c>
      <c r="J1054" s="28" t="e">
        <f ca="1"/>
        <v>#REF!</v>
      </c>
      <c r="K1054" s="27" t="e">
        <f ca="1"/>
        <v>#REF!</v>
      </c>
      <c r="L1054" s="25" t="e">
        <f ca="1"/>
        <v>#REF!</v>
      </c>
      <c r="M1054" s="25" t="e">
        <f ca="1"/>
        <v>#REF!</v>
      </c>
      <c r="N1054" s="25" t="e">
        <f ca="1"/>
        <v>#REF!</v>
      </c>
      <c r="O1054" s="25" t="e">
        <f ca="1"/>
        <v>#REF!</v>
      </c>
      <c r="P1054" s="25" t="e">
        <f ca="1"/>
        <v>#REF!</v>
      </c>
      <c r="Q1054" s="25" t="e">
        <f ca="1"/>
        <v>#REF!</v>
      </c>
      <c r="R1054" s="25" t="e">
        <f ca="1"/>
        <v>#REF!</v>
      </c>
      <c r="S1054" s="25" t="e">
        <f ca="1"/>
        <v>#REF!</v>
      </c>
      <c r="T1054" s="25" t="e">
        <f ca="1"/>
        <v>#REF!</v>
      </c>
      <c r="U1054" s="25" t="e">
        <f ca="1"/>
        <v>#REF!</v>
      </c>
      <c r="V1054" s="25" t="e">
        <f ca="1"/>
        <v>#REF!</v>
      </c>
      <c r="W1054" s="33" t="e">
        <f ca="1"/>
        <v>#REF!</v>
      </c>
      <c r="X1054" s="33" t="e">
        <f ca="1"/>
        <v>#REF!</v>
      </c>
      <c r="Y1054" s="33" t="e">
        <f ca="1"/>
        <v>#REF!</v>
      </c>
      <c r="Z1054" s="33" t="e">
        <f ca="1"/>
        <v>#REF!</v>
      </c>
      <c r="AA1054" s="33" t="e">
        <f ca="1"/>
        <v>#REF!</v>
      </c>
    </row>
    <row r="1055" spans="1:27" s="70" customFormat="1" ht="11.25" x14ac:dyDescent="0.2">
      <c r="A1055" s="24">
        <v>1049</v>
      </c>
      <c r="B1055" s="24"/>
      <c r="C1055" s="25"/>
      <c r="D1055" s="26"/>
      <c r="E1055" s="25"/>
      <c r="F1055" s="25"/>
      <c r="G1055" s="24"/>
      <c r="H1055" s="25" t="e">
        <f ca="1"/>
        <v>#REF!</v>
      </c>
      <c r="I1055" s="27" t="e">
        <f ca="1"/>
        <v>#REF!</v>
      </c>
      <c r="J1055" s="28" t="e">
        <f ca="1"/>
        <v>#REF!</v>
      </c>
      <c r="K1055" s="27" t="e">
        <f ca="1"/>
        <v>#REF!</v>
      </c>
      <c r="L1055" s="25" t="e">
        <f ca="1"/>
        <v>#REF!</v>
      </c>
      <c r="M1055" s="25" t="e">
        <f ca="1"/>
        <v>#REF!</v>
      </c>
      <c r="N1055" s="25" t="e">
        <f ca="1"/>
        <v>#REF!</v>
      </c>
      <c r="O1055" s="25" t="e">
        <f ca="1"/>
        <v>#REF!</v>
      </c>
      <c r="P1055" s="25" t="e">
        <f ca="1"/>
        <v>#REF!</v>
      </c>
      <c r="Q1055" s="25" t="e">
        <f ca="1"/>
        <v>#REF!</v>
      </c>
      <c r="R1055" s="25" t="e">
        <f ca="1"/>
        <v>#REF!</v>
      </c>
      <c r="S1055" s="25" t="e">
        <f ca="1"/>
        <v>#REF!</v>
      </c>
      <c r="T1055" s="25" t="e">
        <f ca="1"/>
        <v>#REF!</v>
      </c>
      <c r="U1055" s="25" t="e">
        <f ca="1"/>
        <v>#REF!</v>
      </c>
      <c r="V1055" s="25" t="e">
        <f ca="1"/>
        <v>#REF!</v>
      </c>
      <c r="W1055" s="33" t="e">
        <f ca="1"/>
        <v>#REF!</v>
      </c>
      <c r="X1055" s="33" t="e">
        <f ca="1"/>
        <v>#REF!</v>
      </c>
      <c r="Y1055" s="33" t="e">
        <f ca="1"/>
        <v>#REF!</v>
      </c>
      <c r="Z1055" s="33" t="e">
        <f ca="1"/>
        <v>#REF!</v>
      </c>
      <c r="AA1055" s="33" t="e">
        <f ca="1"/>
        <v>#REF!</v>
      </c>
    </row>
    <row r="1056" spans="1:27" s="70" customFormat="1" ht="11.25" x14ac:dyDescent="0.2">
      <c r="A1056" s="24">
        <v>1050</v>
      </c>
      <c r="B1056" s="24"/>
      <c r="C1056" s="25"/>
      <c r="D1056" s="26"/>
      <c r="E1056" s="25"/>
      <c r="F1056" s="25"/>
      <c r="G1056" s="24"/>
      <c r="H1056" s="25" t="e">
        <f ca="1"/>
        <v>#REF!</v>
      </c>
      <c r="I1056" s="27" t="e">
        <f ca="1"/>
        <v>#REF!</v>
      </c>
      <c r="J1056" s="28" t="e">
        <f ca="1"/>
        <v>#REF!</v>
      </c>
      <c r="K1056" s="27" t="e">
        <f ca="1"/>
        <v>#REF!</v>
      </c>
      <c r="L1056" s="25" t="e">
        <f ca="1"/>
        <v>#REF!</v>
      </c>
      <c r="M1056" s="25" t="e">
        <f ca="1"/>
        <v>#REF!</v>
      </c>
      <c r="N1056" s="25" t="e">
        <f ca="1"/>
        <v>#REF!</v>
      </c>
      <c r="O1056" s="25" t="e">
        <f ca="1"/>
        <v>#REF!</v>
      </c>
      <c r="P1056" s="25" t="e">
        <f ca="1"/>
        <v>#REF!</v>
      </c>
      <c r="Q1056" s="25" t="e">
        <f ca="1"/>
        <v>#REF!</v>
      </c>
      <c r="R1056" s="25" t="e">
        <f ca="1"/>
        <v>#REF!</v>
      </c>
      <c r="S1056" s="25" t="e">
        <f ca="1"/>
        <v>#REF!</v>
      </c>
      <c r="T1056" s="25" t="e">
        <f ca="1"/>
        <v>#REF!</v>
      </c>
      <c r="U1056" s="25" t="e">
        <f ca="1"/>
        <v>#REF!</v>
      </c>
      <c r="V1056" s="25" t="e">
        <f ca="1"/>
        <v>#REF!</v>
      </c>
      <c r="W1056" s="33" t="e">
        <f ca="1"/>
        <v>#REF!</v>
      </c>
      <c r="X1056" s="33" t="e">
        <f ca="1"/>
        <v>#REF!</v>
      </c>
      <c r="Y1056" s="33" t="e">
        <f ca="1"/>
        <v>#REF!</v>
      </c>
      <c r="Z1056" s="33" t="e">
        <f ca="1"/>
        <v>#REF!</v>
      </c>
      <c r="AA1056" s="33" t="e">
        <f ca="1"/>
        <v>#REF!</v>
      </c>
    </row>
    <row r="1057" spans="1:27" s="70" customFormat="1" ht="11.25" x14ac:dyDescent="0.2">
      <c r="A1057" s="24">
        <v>1051</v>
      </c>
      <c r="B1057" s="24"/>
      <c r="C1057" s="25"/>
      <c r="D1057" s="26"/>
      <c r="E1057" s="25"/>
      <c r="F1057" s="25"/>
      <c r="G1057" s="24"/>
      <c r="H1057" s="25" t="e">
        <f ca="1"/>
        <v>#REF!</v>
      </c>
      <c r="I1057" s="27" t="e">
        <f ca="1"/>
        <v>#REF!</v>
      </c>
      <c r="J1057" s="28" t="e">
        <f ca="1"/>
        <v>#REF!</v>
      </c>
      <c r="K1057" s="27" t="e">
        <f ca="1"/>
        <v>#REF!</v>
      </c>
      <c r="L1057" s="25" t="e">
        <f ca="1"/>
        <v>#REF!</v>
      </c>
      <c r="M1057" s="25" t="e">
        <f ca="1"/>
        <v>#REF!</v>
      </c>
      <c r="N1057" s="25" t="e">
        <f ca="1"/>
        <v>#REF!</v>
      </c>
      <c r="O1057" s="25" t="e">
        <f ca="1"/>
        <v>#REF!</v>
      </c>
      <c r="P1057" s="25" t="e">
        <f ca="1"/>
        <v>#REF!</v>
      </c>
      <c r="Q1057" s="25" t="e">
        <f ca="1"/>
        <v>#REF!</v>
      </c>
      <c r="R1057" s="25" t="e">
        <f ca="1"/>
        <v>#REF!</v>
      </c>
      <c r="S1057" s="25" t="e">
        <f ca="1"/>
        <v>#REF!</v>
      </c>
      <c r="T1057" s="25" t="e">
        <f ca="1"/>
        <v>#REF!</v>
      </c>
      <c r="U1057" s="25" t="e">
        <f ca="1"/>
        <v>#REF!</v>
      </c>
      <c r="V1057" s="25" t="e">
        <f ca="1"/>
        <v>#REF!</v>
      </c>
      <c r="W1057" s="33" t="e">
        <f ca="1"/>
        <v>#REF!</v>
      </c>
      <c r="X1057" s="33" t="e">
        <f ca="1"/>
        <v>#REF!</v>
      </c>
      <c r="Y1057" s="33" t="e">
        <f ca="1"/>
        <v>#REF!</v>
      </c>
      <c r="Z1057" s="33" t="e">
        <f ca="1"/>
        <v>#REF!</v>
      </c>
      <c r="AA1057" s="33" t="e">
        <f ca="1"/>
        <v>#REF!</v>
      </c>
    </row>
    <row r="1058" spans="1:27" s="70" customFormat="1" ht="11.25" x14ac:dyDescent="0.2">
      <c r="A1058" s="24">
        <v>1052</v>
      </c>
      <c r="B1058" s="24"/>
      <c r="C1058" s="25"/>
      <c r="D1058" s="26"/>
      <c r="E1058" s="25"/>
      <c r="F1058" s="25"/>
      <c r="G1058" s="24"/>
      <c r="H1058" s="25" t="e">
        <f ca="1"/>
        <v>#REF!</v>
      </c>
      <c r="I1058" s="27" t="e">
        <f ca="1"/>
        <v>#REF!</v>
      </c>
      <c r="J1058" s="28" t="e">
        <f ca="1"/>
        <v>#REF!</v>
      </c>
      <c r="K1058" s="27" t="e">
        <f ca="1"/>
        <v>#REF!</v>
      </c>
      <c r="L1058" s="25" t="e">
        <f ca="1"/>
        <v>#REF!</v>
      </c>
      <c r="M1058" s="25" t="e">
        <f ca="1"/>
        <v>#REF!</v>
      </c>
      <c r="N1058" s="25" t="e">
        <f ca="1"/>
        <v>#REF!</v>
      </c>
      <c r="O1058" s="25" t="e">
        <f ca="1"/>
        <v>#REF!</v>
      </c>
      <c r="P1058" s="25" t="e">
        <f ca="1"/>
        <v>#REF!</v>
      </c>
      <c r="Q1058" s="25" t="e">
        <f ca="1"/>
        <v>#REF!</v>
      </c>
      <c r="R1058" s="25" t="e">
        <f ca="1"/>
        <v>#REF!</v>
      </c>
      <c r="S1058" s="25" t="e">
        <f ca="1"/>
        <v>#REF!</v>
      </c>
      <c r="T1058" s="25" t="e">
        <f ca="1"/>
        <v>#REF!</v>
      </c>
      <c r="U1058" s="25" t="e">
        <f ca="1"/>
        <v>#REF!</v>
      </c>
      <c r="V1058" s="25" t="e">
        <f ca="1"/>
        <v>#REF!</v>
      </c>
      <c r="W1058" s="33" t="e">
        <f ca="1"/>
        <v>#REF!</v>
      </c>
      <c r="X1058" s="33" t="e">
        <f ca="1"/>
        <v>#REF!</v>
      </c>
      <c r="Y1058" s="33" t="e">
        <f ca="1"/>
        <v>#REF!</v>
      </c>
      <c r="Z1058" s="33" t="e">
        <f ca="1"/>
        <v>#REF!</v>
      </c>
      <c r="AA1058" s="33" t="e">
        <f ca="1"/>
        <v>#REF!</v>
      </c>
    </row>
    <row r="1059" spans="1:27" s="70" customFormat="1" ht="11.25" x14ac:dyDescent="0.2">
      <c r="A1059" s="24">
        <v>1053</v>
      </c>
      <c r="B1059" s="24"/>
      <c r="C1059" s="25"/>
      <c r="D1059" s="26"/>
      <c r="E1059" s="25"/>
      <c r="F1059" s="25"/>
      <c r="G1059" s="24"/>
      <c r="H1059" s="25" t="e">
        <f ca="1"/>
        <v>#REF!</v>
      </c>
      <c r="I1059" s="27" t="e">
        <f ca="1"/>
        <v>#REF!</v>
      </c>
      <c r="J1059" s="28" t="e">
        <f ca="1"/>
        <v>#REF!</v>
      </c>
      <c r="K1059" s="27" t="e">
        <f ca="1"/>
        <v>#REF!</v>
      </c>
      <c r="L1059" s="25" t="e">
        <f ca="1"/>
        <v>#REF!</v>
      </c>
      <c r="M1059" s="25" t="e">
        <f ca="1"/>
        <v>#REF!</v>
      </c>
      <c r="N1059" s="25" t="e">
        <f ca="1"/>
        <v>#REF!</v>
      </c>
      <c r="O1059" s="25" t="e">
        <f ca="1"/>
        <v>#REF!</v>
      </c>
      <c r="P1059" s="25" t="e">
        <f ca="1"/>
        <v>#REF!</v>
      </c>
      <c r="Q1059" s="25" t="e">
        <f ca="1"/>
        <v>#REF!</v>
      </c>
      <c r="R1059" s="25" t="e">
        <f ca="1"/>
        <v>#REF!</v>
      </c>
      <c r="S1059" s="25" t="e">
        <f ca="1"/>
        <v>#REF!</v>
      </c>
      <c r="T1059" s="25" t="e">
        <f ca="1"/>
        <v>#REF!</v>
      </c>
      <c r="U1059" s="25" t="e">
        <f ca="1"/>
        <v>#REF!</v>
      </c>
      <c r="V1059" s="25" t="e">
        <f ca="1"/>
        <v>#REF!</v>
      </c>
      <c r="W1059" s="33" t="e">
        <f ca="1"/>
        <v>#REF!</v>
      </c>
      <c r="X1059" s="33" t="e">
        <f ca="1"/>
        <v>#REF!</v>
      </c>
      <c r="Y1059" s="33" t="e">
        <f ca="1"/>
        <v>#REF!</v>
      </c>
      <c r="Z1059" s="33" t="e">
        <f ca="1"/>
        <v>#REF!</v>
      </c>
      <c r="AA1059" s="33" t="e">
        <f ca="1"/>
        <v>#REF!</v>
      </c>
    </row>
    <row r="1060" spans="1:27" s="70" customFormat="1" ht="11.25" x14ac:dyDescent="0.2">
      <c r="A1060" s="24">
        <v>1054</v>
      </c>
      <c r="B1060" s="24"/>
      <c r="C1060" s="25"/>
      <c r="D1060" s="26"/>
      <c r="E1060" s="25"/>
      <c r="F1060" s="25"/>
      <c r="G1060" s="24"/>
      <c r="H1060" s="25" t="e">
        <f ca="1"/>
        <v>#REF!</v>
      </c>
      <c r="I1060" s="27" t="e">
        <f ca="1"/>
        <v>#REF!</v>
      </c>
      <c r="J1060" s="28" t="e">
        <f ca="1"/>
        <v>#REF!</v>
      </c>
      <c r="K1060" s="27" t="e">
        <f ca="1"/>
        <v>#REF!</v>
      </c>
      <c r="L1060" s="25" t="e">
        <f ca="1"/>
        <v>#REF!</v>
      </c>
      <c r="M1060" s="25" t="e">
        <f ca="1"/>
        <v>#REF!</v>
      </c>
      <c r="N1060" s="25" t="e">
        <f ca="1"/>
        <v>#REF!</v>
      </c>
      <c r="O1060" s="25" t="e">
        <f ca="1"/>
        <v>#REF!</v>
      </c>
      <c r="P1060" s="25" t="e">
        <f ca="1"/>
        <v>#REF!</v>
      </c>
      <c r="Q1060" s="25" t="e">
        <f ca="1"/>
        <v>#REF!</v>
      </c>
      <c r="R1060" s="25" t="e">
        <f ca="1"/>
        <v>#REF!</v>
      </c>
      <c r="S1060" s="25" t="e">
        <f ca="1"/>
        <v>#REF!</v>
      </c>
      <c r="T1060" s="25" t="e">
        <f ca="1"/>
        <v>#REF!</v>
      </c>
      <c r="U1060" s="25" t="e">
        <f ca="1"/>
        <v>#REF!</v>
      </c>
      <c r="V1060" s="25" t="e">
        <f ca="1"/>
        <v>#REF!</v>
      </c>
      <c r="W1060" s="33" t="e">
        <f ca="1"/>
        <v>#REF!</v>
      </c>
      <c r="X1060" s="33" t="e">
        <f ca="1"/>
        <v>#REF!</v>
      </c>
      <c r="Y1060" s="33" t="e">
        <f ca="1"/>
        <v>#REF!</v>
      </c>
      <c r="Z1060" s="33" t="e">
        <f ca="1"/>
        <v>#REF!</v>
      </c>
      <c r="AA1060" s="33" t="e">
        <f ca="1"/>
        <v>#REF!</v>
      </c>
    </row>
    <row r="1061" spans="1:27" s="70" customFormat="1" ht="11.25" x14ac:dyDescent="0.2">
      <c r="A1061" s="24">
        <v>1055</v>
      </c>
      <c r="B1061" s="24"/>
      <c r="C1061" s="25"/>
      <c r="D1061" s="26"/>
      <c r="E1061" s="25"/>
      <c r="F1061" s="25"/>
      <c r="G1061" s="24"/>
      <c r="H1061" s="25" t="e">
        <f ca="1"/>
        <v>#REF!</v>
      </c>
      <c r="I1061" s="27" t="e">
        <f ca="1"/>
        <v>#REF!</v>
      </c>
      <c r="J1061" s="28" t="e">
        <f ca="1"/>
        <v>#REF!</v>
      </c>
      <c r="K1061" s="27" t="e">
        <f ca="1"/>
        <v>#REF!</v>
      </c>
      <c r="L1061" s="25" t="e">
        <f ca="1"/>
        <v>#REF!</v>
      </c>
      <c r="M1061" s="25" t="e">
        <f ca="1"/>
        <v>#REF!</v>
      </c>
      <c r="N1061" s="25" t="e">
        <f ca="1"/>
        <v>#REF!</v>
      </c>
      <c r="O1061" s="25" t="e">
        <f ca="1"/>
        <v>#REF!</v>
      </c>
      <c r="P1061" s="25" t="e">
        <f ca="1"/>
        <v>#REF!</v>
      </c>
      <c r="Q1061" s="25" t="e">
        <f ca="1"/>
        <v>#REF!</v>
      </c>
      <c r="R1061" s="25" t="e">
        <f ca="1"/>
        <v>#REF!</v>
      </c>
      <c r="S1061" s="25" t="e">
        <f ca="1"/>
        <v>#REF!</v>
      </c>
      <c r="T1061" s="25" t="e">
        <f ca="1"/>
        <v>#REF!</v>
      </c>
      <c r="U1061" s="25" t="e">
        <f ca="1"/>
        <v>#REF!</v>
      </c>
      <c r="V1061" s="25" t="e">
        <f ca="1"/>
        <v>#REF!</v>
      </c>
      <c r="W1061" s="33" t="e">
        <f ca="1"/>
        <v>#REF!</v>
      </c>
      <c r="X1061" s="33" t="e">
        <f ca="1"/>
        <v>#REF!</v>
      </c>
      <c r="Y1061" s="33" t="e">
        <f ca="1"/>
        <v>#REF!</v>
      </c>
      <c r="Z1061" s="33" t="e">
        <f ca="1"/>
        <v>#REF!</v>
      </c>
      <c r="AA1061" s="33" t="e">
        <f ca="1"/>
        <v>#REF!</v>
      </c>
    </row>
    <row r="1062" spans="1:27" s="70" customFormat="1" ht="11.25" x14ac:dyDescent="0.2">
      <c r="A1062" s="24">
        <v>1056</v>
      </c>
      <c r="B1062" s="24"/>
      <c r="C1062" s="25"/>
      <c r="D1062" s="26"/>
      <c r="E1062" s="25"/>
      <c r="F1062" s="25"/>
      <c r="G1062" s="24"/>
      <c r="H1062" s="25" t="e">
        <f ca="1"/>
        <v>#REF!</v>
      </c>
      <c r="I1062" s="27" t="e">
        <f ca="1"/>
        <v>#REF!</v>
      </c>
      <c r="J1062" s="28" t="e">
        <f ca="1"/>
        <v>#REF!</v>
      </c>
      <c r="K1062" s="27" t="e">
        <f ca="1"/>
        <v>#REF!</v>
      </c>
      <c r="L1062" s="25" t="e">
        <f ca="1"/>
        <v>#REF!</v>
      </c>
      <c r="M1062" s="25" t="e">
        <f ca="1"/>
        <v>#REF!</v>
      </c>
      <c r="N1062" s="25" t="e">
        <f ca="1"/>
        <v>#REF!</v>
      </c>
      <c r="O1062" s="25" t="e">
        <f ca="1"/>
        <v>#REF!</v>
      </c>
      <c r="P1062" s="25" t="e">
        <f ca="1"/>
        <v>#REF!</v>
      </c>
      <c r="Q1062" s="25" t="e">
        <f ca="1"/>
        <v>#REF!</v>
      </c>
      <c r="R1062" s="25" t="e">
        <f ca="1"/>
        <v>#REF!</v>
      </c>
      <c r="S1062" s="25" t="e">
        <f ca="1"/>
        <v>#REF!</v>
      </c>
      <c r="T1062" s="25" t="e">
        <f ca="1"/>
        <v>#REF!</v>
      </c>
      <c r="U1062" s="25" t="e">
        <f ca="1"/>
        <v>#REF!</v>
      </c>
      <c r="V1062" s="25" t="e">
        <f ca="1"/>
        <v>#REF!</v>
      </c>
      <c r="W1062" s="33" t="e">
        <f ca="1"/>
        <v>#REF!</v>
      </c>
      <c r="X1062" s="33" t="e">
        <f ca="1"/>
        <v>#REF!</v>
      </c>
      <c r="Y1062" s="33" t="e">
        <f ca="1"/>
        <v>#REF!</v>
      </c>
      <c r="Z1062" s="33" t="e">
        <f ca="1"/>
        <v>#REF!</v>
      </c>
      <c r="AA1062" s="33" t="e">
        <f ca="1"/>
        <v>#REF!</v>
      </c>
    </row>
    <row r="1063" spans="1:27" s="70" customFormat="1" ht="11.25" x14ac:dyDescent="0.2">
      <c r="A1063" s="24">
        <v>1057</v>
      </c>
      <c r="B1063" s="24"/>
      <c r="C1063" s="25"/>
      <c r="D1063" s="26"/>
      <c r="E1063" s="25"/>
      <c r="F1063" s="25"/>
      <c r="G1063" s="24"/>
      <c r="H1063" s="25" t="e">
        <f ca="1"/>
        <v>#REF!</v>
      </c>
      <c r="I1063" s="27" t="e">
        <f ca="1"/>
        <v>#REF!</v>
      </c>
      <c r="J1063" s="28" t="e">
        <f ca="1"/>
        <v>#REF!</v>
      </c>
      <c r="K1063" s="27" t="e">
        <f ca="1"/>
        <v>#REF!</v>
      </c>
      <c r="L1063" s="25" t="e">
        <f ca="1"/>
        <v>#REF!</v>
      </c>
      <c r="M1063" s="25" t="e">
        <f ca="1"/>
        <v>#REF!</v>
      </c>
      <c r="N1063" s="25" t="e">
        <f ca="1"/>
        <v>#REF!</v>
      </c>
      <c r="O1063" s="25" t="e">
        <f ca="1"/>
        <v>#REF!</v>
      </c>
      <c r="P1063" s="25" t="e">
        <f ca="1"/>
        <v>#REF!</v>
      </c>
      <c r="Q1063" s="25" t="e">
        <f ca="1"/>
        <v>#REF!</v>
      </c>
      <c r="R1063" s="25" t="e">
        <f ca="1"/>
        <v>#REF!</v>
      </c>
      <c r="S1063" s="25" t="e">
        <f ca="1"/>
        <v>#REF!</v>
      </c>
      <c r="T1063" s="25" t="e">
        <f ca="1"/>
        <v>#REF!</v>
      </c>
      <c r="U1063" s="25" t="e">
        <f ca="1"/>
        <v>#REF!</v>
      </c>
      <c r="V1063" s="25" t="e">
        <f ca="1"/>
        <v>#REF!</v>
      </c>
      <c r="W1063" s="33" t="e">
        <f ca="1"/>
        <v>#REF!</v>
      </c>
      <c r="X1063" s="33" t="e">
        <f ca="1"/>
        <v>#REF!</v>
      </c>
      <c r="Y1063" s="33" t="e">
        <f ca="1"/>
        <v>#REF!</v>
      </c>
      <c r="Z1063" s="33" t="e">
        <f ca="1"/>
        <v>#REF!</v>
      </c>
      <c r="AA1063" s="33" t="e">
        <f ca="1"/>
        <v>#REF!</v>
      </c>
    </row>
    <row r="1064" spans="1:27" s="70" customFormat="1" ht="11.25" x14ac:dyDescent="0.2">
      <c r="A1064" s="24">
        <v>1058</v>
      </c>
      <c r="B1064" s="24"/>
      <c r="C1064" s="25"/>
      <c r="D1064" s="26"/>
      <c r="E1064" s="25"/>
      <c r="F1064" s="25"/>
      <c r="G1064" s="24"/>
      <c r="H1064" s="25" t="e">
        <f ca="1"/>
        <v>#REF!</v>
      </c>
      <c r="I1064" s="27" t="e">
        <f ca="1"/>
        <v>#REF!</v>
      </c>
      <c r="J1064" s="28" t="e">
        <f ca="1"/>
        <v>#REF!</v>
      </c>
      <c r="K1064" s="27" t="e">
        <f ca="1"/>
        <v>#REF!</v>
      </c>
      <c r="L1064" s="25" t="e">
        <f ca="1"/>
        <v>#REF!</v>
      </c>
      <c r="M1064" s="25" t="e">
        <f ca="1"/>
        <v>#REF!</v>
      </c>
      <c r="N1064" s="25" t="e">
        <f ca="1"/>
        <v>#REF!</v>
      </c>
      <c r="O1064" s="25" t="e">
        <f ca="1"/>
        <v>#REF!</v>
      </c>
      <c r="P1064" s="25" t="e">
        <f ca="1"/>
        <v>#REF!</v>
      </c>
      <c r="Q1064" s="25" t="e">
        <f ca="1"/>
        <v>#REF!</v>
      </c>
      <c r="R1064" s="25" t="e">
        <f ca="1"/>
        <v>#REF!</v>
      </c>
      <c r="S1064" s="25" t="e">
        <f ca="1"/>
        <v>#REF!</v>
      </c>
      <c r="T1064" s="25" t="e">
        <f ca="1"/>
        <v>#REF!</v>
      </c>
      <c r="U1064" s="25" t="e">
        <f ca="1"/>
        <v>#REF!</v>
      </c>
      <c r="V1064" s="25" t="e">
        <f ca="1"/>
        <v>#REF!</v>
      </c>
      <c r="W1064" s="33" t="e">
        <f ca="1"/>
        <v>#REF!</v>
      </c>
      <c r="X1064" s="33" t="e">
        <f ca="1"/>
        <v>#REF!</v>
      </c>
      <c r="Y1064" s="33" t="e">
        <f ca="1"/>
        <v>#REF!</v>
      </c>
      <c r="Z1064" s="33" t="e">
        <f ca="1"/>
        <v>#REF!</v>
      </c>
      <c r="AA1064" s="33" t="e">
        <f ca="1"/>
        <v>#REF!</v>
      </c>
    </row>
    <row r="1065" spans="1:27" s="70" customFormat="1" ht="11.25" x14ac:dyDescent="0.2">
      <c r="A1065" s="24">
        <v>1059</v>
      </c>
      <c r="B1065" s="24"/>
      <c r="C1065" s="25"/>
      <c r="D1065" s="26"/>
      <c r="E1065" s="25"/>
      <c r="F1065" s="25"/>
      <c r="G1065" s="24"/>
      <c r="H1065" s="25" t="e">
        <f ca="1"/>
        <v>#REF!</v>
      </c>
      <c r="I1065" s="27" t="e">
        <f ca="1"/>
        <v>#REF!</v>
      </c>
      <c r="J1065" s="28" t="e">
        <f ca="1"/>
        <v>#REF!</v>
      </c>
      <c r="K1065" s="27" t="e">
        <f ca="1"/>
        <v>#REF!</v>
      </c>
      <c r="L1065" s="25" t="e">
        <f ca="1"/>
        <v>#REF!</v>
      </c>
      <c r="M1065" s="25" t="e">
        <f ca="1"/>
        <v>#REF!</v>
      </c>
      <c r="N1065" s="25" t="e">
        <f ca="1"/>
        <v>#REF!</v>
      </c>
      <c r="O1065" s="25" t="e">
        <f ca="1"/>
        <v>#REF!</v>
      </c>
      <c r="P1065" s="25" t="e">
        <f ca="1"/>
        <v>#REF!</v>
      </c>
      <c r="Q1065" s="25" t="e">
        <f ca="1"/>
        <v>#REF!</v>
      </c>
      <c r="R1065" s="25" t="e">
        <f ca="1"/>
        <v>#REF!</v>
      </c>
      <c r="S1065" s="25" t="e">
        <f ca="1"/>
        <v>#REF!</v>
      </c>
      <c r="T1065" s="25" t="e">
        <f ca="1"/>
        <v>#REF!</v>
      </c>
      <c r="U1065" s="25" t="e">
        <f ca="1"/>
        <v>#REF!</v>
      </c>
      <c r="V1065" s="25" t="e">
        <f ca="1"/>
        <v>#REF!</v>
      </c>
      <c r="W1065" s="33" t="e">
        <f ca="1"/>
        <v>#REF!</v>
      </c>
      <c r="X1065" s="33" t="e">
        <f ca="1"/>
        <v>#REF!</v>
      </c>
      <c r="Y1065" s="33" t="e">
        <f ca="1"/>
        <v>#REF!</v>
      </c>
      <c r="Z1065" s="33" t="e">
        <f ca="1"/>
        <v>#REF!</v>
      </c>
      <c r="AA1065" s="33" t="e">
        <f ca="1"/>
        <v>#REF!</v>
      </c>
    </row>
    <row r="1066" spans="1:27" s="70" customFormat="1" ht="11.25" x14ac:dyDescent="0.2">
      <c r="A1066" s="24">
        <v>1060</v>
      </c>
      <c r="B1066" s="24"/>
      <c r="C1066" s="25"/>
      <c r="D1066" s="26"/>
      <c r="E1066" s="25"/>
      <c r="F1066" s="25"/>
      <c r="G1066" s="24"/>
      <c r="H1066" s="25" t="e">
        <f ca="1"/>
        <v>#REF!</v>
      </c>
      <c r="I1066" s="27" t="e">
        <f ca="1"/>
        <v>#REF!</v>
      </c>
      <c r="J1066" s="28" t="e">
        <f ca="1"/>
        <v>#REF!</v>
      </c>
      <c r="K1066" s="27" t="e">
        <f ca="1"/>
        <v>#REF!</v>
      </c>
      <c r="L1066" s="25" t="e">
        <f ca="1"/>
        <v>#REF!</v>
      </c>
      <c r="M1066" s="25" t="e">
        <f ca="1"/>
        <v>#REF!</v>
      </c>
      <c r="N1066" s="25" t="e">
        <f ca="1"/>
        <v>#REF!</v>
      </c>
      <c r="O1066" s="25" t="e">
        <f ca="1"/>
        <v>#REF!</v>
      </c>
      <c r="P1066" s="25" t="e">
        <f ca="1"/>
        <v>#REF!</v>
      </c>
      <c r="Q1066" s="25" t="e">
        <f ca="1"/>
        <v>#REF!</v>
      </c>
      <c r="R1066" s="25" t="e">
        <f ca="1"/>
        <v>#REF!</v>
      </c>
      <c r="S1066" s="25" t="e">
        <f ca="1"/>
        <v>#REF!</v>
      </c>
      <c r="T1066" s="25" t="e">
        <f ca="1"/>
        <v>#REF!</v>
      </c>
      <c r="U1066" s="25" t="e">
        <f ca="1"/>
        <v>#REF!</v>
      </c>
      <c r="V1066" s="25" t="e">
        <f ca="1"/>
        <v>#REF!</v>
      </c>
      <c r="W1066" s="33" t="e">
        <f ca="1"/>
        <v>#REF!</v>
      </c>
      <c r="X1066" s="33" t="e">
        <f ca="1"/>
        <v>#REF!</v>
      </c>
      <c r="Y1066" s="33" t="e">
        <f ca="1"/>
        <v>#REF!</v>
      </c>
      <c r="Z1066" s="33" t="e">
        <f ca="1"/>
        <v>#REF!</v>
      </c>
      <c r="AA1066" s="33" t="e">
        <f ca="1"/>
        <v>#REF!</v>
      </c>
    </row>
    <row r="1067" spans="1:27" s="70" customFormat="1" ht="11.25" x14ac:dyDescent="0.2">
      <c r="A1067" s="24">
        <v>1061</v>
      </c>
      <c r="B1067" s="24"/>
      <c r="C1067" s="25"/>
      <c r="D1067" s="26"/>
      <c r="E1067" s="25"/>
      <c r="F1067" s="25"/>
      <c r="G1067" s="24"/>
      <c r="H1067" s="25" t="e">
        <f ca="1"/>
        <v>#REF!</v>
      </c>
      <c r="I1067" s="27" t="e">
        <f ca="1"/>
        <v>#REF!</v>
      </c>
      <c r="J1067" s="28" t="e">
        <f ca="1"/>
        <v>#REF!</v>
      </c>
      <c r="K1067" s="27" t="e">
        <f ca="1"/>
        <v>#REF!</v>
      </c>
      <c r="L1067" s="25" t="e">
        <f ca="1"/>
        <v>#REF!</v>
      </c>
      <c r="M1067" s="25" t="e">
        <f ca="1"/>
        <v>#REF!</v>
      </c>
      <c r="N1067" s="25" t="e">
        <f ca="1"/>
        <v>#REF!</v>
      </c>
      <c r="O1067" s="25" t="e">
        <f ca="1"/>
        <v>#REF!</v>
      </c>
      <c r="P1067" s="25" t="e">
        <f ca="1"/>
        <v>#REF!</v>
      </c>
      <c r="Q1067" s="25" t="e">
        <f ca="1"/>
        <v>#REF!</v>
      </c>
      <c r="R1067" s="25" t="e">
        <f ca="1"/>
        <v>#REF!</v>
      </c>
      <c r="S1067" s="25" t="e">
        <f ca="1"/>
        <v>#REF!</v>
      </c>
      <c r="T1067" s="25" t="e">
        <f ca="1"/>
        <v>#REF!</v>
      </c>
      <c r="U1067" s="25" t="e">
        <f ca="1"/>
        <v>#REF!</v>
      </c>
      <c r="V1067" s="25" t="e">
        <f ca="1"/>
        <v>#REF!</v>
      </c>
      <c r="W1067" s="33" t="e">
        <f ca="1"/>
        <v>#REF!</v>
      </c>
      <c r="X1067" s="33" t="e">
        <f ca="1"/>
        <v>#REF!</v>
      </c>
      <c r="Y1067" s="33" t="e">
        <f ca="1"/>
        <v>#REF!</v>
      </c>
      <c r="Z1067" s="33" t="e">
        <f ca="1"/>
        <v>#REF!</v>
      </c>
      <c r="AA1067" s="33" t="e">
        <f ca="1"/>
        <v>#REF!</v>
      </c>
    </row>
    <row r="1068" spans="1:27" s="70" customFormat="1" ht="11.25" x14ac:dyDescent="0.2">
      <c r="A1068" s="24">
        <v>1062</v>
      </c>
      <c r="B1068" s="24"/>
      <c r="C1068" s="25"/>
      <c r="D1068" s="26"/>
      <c r="E1068" s="25"/>
      <c r="F1068" s="25"/>
      <c r="G1068" s="24"/>
      <c r="H1068" s="25" t="e">
        <f ca="1"/>
        <v>#REF!</v>
      </c>
      <c r="I1068" s="27" t="e">
        <f ca="1"/>
        <v>#REF!</v>
      </c>
      <c r="J1068" s="28" t="e">
        <f ca="1"/>
        <v>#REF!</v>
      </c>
      <c r="K1068" s="27" t="e">
        <f ca="1"/>
        <v>#REF!</v>
      </c>
      <c r="L1068" s="25" t="e">
        <f ca="1"/>
        <v>#REF!</v>
      </c>
      <c r="M1068" s="25" t="e">
        <f ca="1"/>
        <v>#REF!</v>
      </c>
      <c r="N1068" s="25" t="e">
        <f ca="1"/>
        <v>#REF!</v>
      </c>
      <c r="O1068" s="25" t="e">
        <f ca="1"/>
        <v>#REF!</v>
      </c>
      <c r="P1068" s="25" t="e">
        <f ca="1"/>
        <v>#REF!</v>
      </c>
      <c r="Q1068" s="25" t="e">
        <f ca="1"/>
        <v>#REF!</v>
      </c>
      <c r="R1068" s="25" t="e">
        <f ca="1"/>
        <v>#REF!</v>
      </c>
      <c r="S1068" s="25" t="e">
        <f ca="1"/>
        <v>#REF!</v>
      </c>
      <c r="T1068" s="25" t="e">
        <f ca="1"/>
        <v>#REF!</v>
      </c>
      <c r="U1068" s="25" t="e">
        <f ca="1"/>
        <v>#REF!</v>
      </c>
      <c r="V1068" s="25" t="e">
        <f ca="1"/>
        <v>#REF!</v>
      </c>
      <c r="W1068" s="33" t="e">
        <f ca="1"/>
        <v>#REF!</v>
      </c>
      <c r="X1068" s="33" t="e">
        <f ca="1"/>
        <v>#REF!</v>
      </c>
      <c r="Y1068" s="33" t="e">
        <f ca="1"/>
        <v>#REF!</v>
      </c>
      <c r="Z1068" s="33" t="e">
        <f ca="1"/>
        <v>#REF!</v>
      </c>
      <c r="AA1068" s="33" t="e">
        <f ca="1"/>
        <v>#REF!</v>
      </c>
    </row>
    <row r="1069" spans="1:27" s="70" customFormat="1" ht="11.25" x14ac:dyDescent="0.2">
      <c r="A1069" s="24">
        <v>1063</v>
      </c>
      <c r="B1069" s="24"/>
      <c r="C1069" s="25"/>
      <c r="D1069" s="26"/>
      <c r="E1069" s="25"/>
      <c r="F1069" s="25"/>
      <c r="G1069" s="24"/>
      <c r="H1069" s="25" t="e">
        <f ca="1"/>
        <v>#REF!</v>
      </c>
      <c r="I1069" s="27" t="e">
        <f ca="1"/>
        <v>#REF!</v>
      </c>
      <c r="J1069" s="28" t="e">
        <f ca="1"/>
        <v>#REF!</v>
      </c>
      <c r="K1069" s="27" t="e">
        <f ca="1"/>
        <v>#REF!</v>
      </c>
      <c r="L1069" s="25" t="e">
        <f ca="1"/>
        <v>#REF!</v>
      </c>
      <c r="M1069" s="25" t="e">
        <f ca="1"/>
        <v>#REF!</v>
      </c>
      <c r="N1069" s="25" t="e">
        <f ca="1"/>
        <v>#REF!</v>
      </c>
      <c r="O1069" s="25" t="e">
        <f ca="1"/>
        <v>#REF!</v>
      </c>
      <c r="P1069" s="25" t="e">
        <f ca="1"/>
        <v>#REF!</v>
      </c>
      <c r="Q1069" s="25" t="e">
        <f ca="1"/>
        <v>#REF!</v>
      </c>
      <c r="R1069" s="25" t="e">
        <f ca="1"/>
        <v>#REF!</v>
      </c>
      <c r="S1069" s="25" t="e">
        <f ca="1"/>
        <v>#REF!</v>
      </c>
      <c r="T1069" s="25" t="e">
        <f ca="1"/>
        <v>#REF!</v>
      </c>
      <c r="U1069" s="25" t="e">
        <f ca="1"/>
        <v>#REF!</v>
      </c>
      <c r="V1069" s="25" t="e">
        <f ca="1"/>
        <v>#REF!</v>
      </c>
      <c r="W1069" s="33" t="e">
        <f ca="1"/>
        <v>#REF!</v>
      </c>
      <c r="X1069" s="33" t="e">
        <f ca="1"/>
        <v>#REF!</v>
      </c>
      <c r="Y1069" s="33" t="e">
        <f ca="1"/>
        <v>#REF!</v>
      </c>
      <c r="Z1069" s="33" t="e">
        <f ca="1"/>
        <v>#REF!</v>
      </c>
      <c r="AA1069" s="33" t="e">
        <f ca="1"/>
        <v>#REF!</v>
      </c>
    </row>
    <row r="1070" spans="1:27" s="70" customFormat="1" ht="11.25" x14ac:dyDescent="0.2">
      <c r="A1070" s="24">
        <v>1064</v>
      </c>
      <c r="B1070" s="24"/>
      <c r="C1070" s="25"/>
      <c r="D1070" s="26"/>
      <c r="E1070" s="25"/>
      <c r="F1070" s="25"/>
      <c r="G1070" s="24"/>
      <c r="H1070" s="25" t="e">
        <f ca="1"/>
        <v>#REF!</v>
      </c>
      <c r="I1070" s="27" t="e">
        <f ca="1"/>
        <v>#REF!</v>
      </c>
      <c r="J1070" s="28" t="e">
        <f ca="1"/>
        <v>#REF!</v>
      </c>
      <c r="K1070" s="27" t="e">
        <f ca="1"/>
        <v>#REF!</v>
      </c>
      <c r="L1070" s="25" t="e">
        <f ca="1"/>
        <v>#REF!</v>
      </c>
      <c r="M1070" s="25" t="e">
        <f ca="1"/>
        <v>#REF!</v>
      </c>
      <c r="N1070" s="25" t="e">
        <f ca="1"/>
        <v>#REF!</v>
      </c>
      <c r="O1070" s="25" t="e">
        <f ca="1"/>
        <v>#REF!</v>
      </c>
      <c r="P1070" s="25" t="e">
        <f ca="1"/>
        <v>#REF!</v>
      </c>
      <c r="Q1070" s="25" t="e">
        <f ca="1"/>
        <v>#REF!</v>
      </c>
      <c r="R1070" s="25" t="e">
        <f ca="1"/>
        <v>#REF!</v>
      </c>
      <c r="S1070" s="25" t="e">
        <f ca="1"/>
        <v>#REF!</v>
      </c>
      <c r="T1070" s="25" t="e">
        <f ca="1"/>
        <v>#REF!</v>
      </c>
      <c r="U1070" s="25" t="e">
        <f ca="1"/>
        <v>#REF!</v>
      </c>
      <c r="V1070" s="25" t="e">
        <f ca="1"/>
        <v>#REF!</v>
      </c>
      <c r="W1070" s="33" t="e">
        <f ca="1"/>
        <v>#REF!</v>
      </c>
      <c r="X1070" s="33" t="e">
        <f ca="1"/>
        <v>#REF!</v>
      </c>
      <c r="Y1070" s="33" t="e">
        <f ca="1"/>
        <v>#REF!</v>
      </c>
      <c r="Z1070" s="33" t="e">
        <f ca="1"/>
        <v>#REF!</v>
      </c>
      <c r="AA1070" s="33" t="e">
        <f ca="1"/>
        <v>#REF!</v>
      </c>
    </row>
    <row r="1071" spans="1:27" s="70" customFormat="1" ht="11.25" x14ac:dyDescent="0.2">
      <c r="A1071" s="24">
        <v>1065</v>
      </c>
      <c r="B1071" s="24"/>
      <c r="C1071" s="25"/>
      <c r="D1071" s="26"/>
      <c r="E1071" s="25"/>
      <c r="F1071" s="25"/>
      <c r="G1071" s="24"/>
      <c r="H1071" s="25" t="e">
        <f ca="1"/>
        <v>#REF!</v>
      </c>
      <c r="I1071" s="27" t="e">
        <f ca="1"/>
        <v>#REF!</v>
      </c>
      <c r="J1071" s="28" t="e">
        <f ca="1"/>
        <v>#REF!</v>
      </c>
      <c r="K1071" s="27" t="e">
        <f ca="1"/>
        <v>#REF!</v>
      </c>
      <c r="L1071" s="25" t="e">
        <f ca="1"/>
        <v>#REF!</v>
      </c>
      <c r="M1071" s="25" t="e">
        <f ca="1"/>
        <v>#REF!</v>
      </c>
      <c r="N1071" s="25" t="e">
        <f ca="1"/>
        <v>#REF!</v>
      </c>
      <c r="O1071" s="25" t="e">
        <f ca="1"/>
        <v>#REF!</v>
      </c>
      <c r="P1071" s="25" t="e">
        <f ca="1"/>
        <v>#REF!</v>
      </c>
      <c r="Q1071" s="25" t="e">
        <f ca="1"/>
        <v>#REF!</v>
      </c>
      <c r="R1071" s="25" t="e">
        <f ca="1"/>
        <v>#REF!</v>
      </c>
      <c r="S1071" s="25" t="e">
        <f ca="1"/>
        <v>#REF!</v>
      </c>
      <c r="T1071" s="25" t="e">
        <f ca="1"/>
        <v>#REF!</v>
      </c>
      <c r="U1071" s="25" t="e">
        <f ca="1"/>
        <v>#REF!</v>
      </c>
      <c r="V1071" s="25" t="e">
        <f ca="1"/>
        <v>#REF!</v>
      </c>
      <c r="W1071" s="33" t="e">
        <f ca="1"/>
        <v>#REF!</v>
      </c>
      <c r="X1071" s="33" t="e">
        <f ca="1"/>
        <v>#REF!</v>
      </c>
      <c r="Y1071" s="33" t="e">
        <f ca="1"/>
        <v>#REF!</v>
      </c>
      <c r="Z1071" s="33" t="e">
        <f ca="1"/>
        <v>#REF!</v>
      </c>
      <c r="AA1071" s="33" t="e">
        <f ca="1"/>
        <v>#REF!</v>
      </c>
    </row>
    <row r="1072" spans="1:27" s="70" customFormat="1" ht="11.25" x14ac:dyDescent="0.2">
      <c r="A1072" s="24">
        <v>1066</v>
      </c>
      <c r="B1072" s="24"/>
      <c r="C1072" s="25"/>
      <c r="D1072" s="26"/>
      <c r="E1072" s="25"/>
      <c r="F1072" s="25"/>
      <c r="G1072" s="24"/>
      <c r="H1072" s="25" t="e">
        <f ca="1"/>
        <v>#REF!</v>
      </c>
      <c r="I1072" s="27" t="e">
        <f ca="1"/>
        <v>#REF!</v>
      </c>
      <c r="J1072" s="28" t="e">
        <f ca="1"/>
        <v>#REF!</v>
      </c>
      <c r="K1072" s="27" t="e">
        <f ca="1"/>
        <v>#REF!</v>
      </c>
      <c r="L1072" s="25" t="e">
        <f ca="1"/>
        <v>#REF!</v>
      </c>
      <c r="M1072" s="25" t="e">
        <f ca="1"/>
        <v>#REF!</v>
      </c>
      <c r="N1072" s="25" t="e">
        <f ca="1"/>
        <v>#REF!</v>
      </c>
      <c r="O1072" s="25" t="e">
        <f ca="1"/>
        <v>#REF!</v>
      </c>
      <c r="P1072" s="25" t="e">
        <f ca="1"/>
        <v>#REF!</v>
      </c>
      <c r="Q1072" s="25" t="e">
        <f ca="1"/>
        <v>#REF!</v>
      </c>
      <c r="R1072" s="25" t="e">
        <f ca="1"/>
        <v>#REF!</v>
      </c>
      <c r="S1072" s="25" t="e">
        <f ca="1"/>
        <v>#REF!</v>
      </c>
      <c r="T1072" s="25" t="e">
        <f ca="1"/>
        <v>#REF!</v>
      </c>
      <c r="U1072" s="25" t="e">
        <f ca="1"/>
        <v>#REF!</v>
      </c>
      <c r="V1072" s="25" t="e">
        <f ca="1"/>
        <v>#REF!</v>
      </c>
      <c r="W1072" s="33" t="e">
        <f ca="1"/>
        <v>#REF!</v>
      </c>
      <c r="X1072" s="33" t="e">
        <f ca="1"/>
        <v>#REF!</v>
      </c>
      <c r="Y1072" s="33" t="e">
        <f ca="1"/>
        <v>#REF!</v>
      </c>
      <c r="Z1072" s="33" t="e">
        <f ca="1"/>
        <v>#REF!</v>
      </c>
      <c r="AA1072" s="33" t="e">
        <f ca="1"/>
        <v>#REF!</v>
      </c>
    </row>
    <row r="1073" spans="1:27" s="70" customFormat="1" ht="11.25" x14ac:dyDescent="0.2">
      <c r="A1073" s="24">
        <v>1067</v>
      </c>
      <c r="B1073" s="24"/>
      <c r="C1073" s="25"/>
      <c r="D1073" s="26"/>
      <c r="E1073" s="25"/>
      <c r="F1073" s="25"/>
      <c r="G1073" s="24"/>
      <c r="H1073" s="25" t="e">
        <f ca="1"/>
        <v>#REF!</v>
      </c>
      <c r="I1073" s="27" t="e">
        <f ca="1"/>
        <v>#REF!</v>
      </c>
      <c r="J1073" s="28" t="e">
        <f ca="1"/>
        <v>#REF!</v>
      </c>
      <c r="K1073" s="27" t="e">
        <f ca="1"/>
        <v>#REF!</v>
      </c>
      <c r="L1073" s="25" t="e">
        <f ca="1"/>
        <v>#REF!</v>
      </c>
      <c r="M1073" s="25" t="e">
        <f ca="1"/>
        <v>#REF!</v>
      </c>
      <c r="N1073" s="25" t="e">
        <f ca="1"/>
        <v>#REF!</v>
      </c>
      <c r="O1073" s="25" t="e">
        <f ca="1"/>
        <v>#REF!</v>
      </c>
      <c r="P1073" s="25" t="e">
        <f ca="1"/>
        <v>#REF!</v>
      </c>
      <c r="Q1073" s="25" t="e">
        <f ca="1"/>
        <v>#REF!</v>
      </c>
      <c r="R1073" s="25" t="e">
        <f ca="1"/>
        <v>#REF!</v>
      </c>
      <c r="S1073" s="25" t="e">
        <f ca="1"/>
        <v>#REF!</v>
      </c>
      <c r="T1073" s="25" t="e">
        <f ca="1"/>
        <v>#REF!</v>
      </c>
      <c r="U1073" s="25" t="e">
        <f ca="1"/>
        <v>#REF!</v>
      </c>
      <c r="V1073" s="25" t="e">
        <f ca="1"/>
        <v>#REF!</v>
      </c>
      <c r="W1073" s="33" t="e">
        <f ca="1"/>
        <v>#REF!</v>
      </c>
      <c r="X1073" s="33" t="e">
        <f ca="1"/>
        <v>#REF!</v>
      </c>
      <c r="Y1073" s="33" t="e">
        <f ca="1"/>
        <v>#REF!</v>
      </c>
      <c r="Z1073" s="33" t="e">
        <f ca="1"/>
        <v>#REF!</v>
      </c>
      <c r="AA1073" s="33" t="e">
        <f ca="1"/>
        <v>#REF!</v>
      </c>
    </row>
    <row r="1074" spans="1:27" s="70" customFormat="1" ht="11.25" x14ac:dyDescent="0.2">
      <c r="A1074" s="24">
        <v>1068</v>
      </c>
      <c r="B1074" s="24"/>
      <c r="C1074" s="25"/>
      <c r="D1074" s="26"/>
      <c r="E1074" s="25"/>
      <c r="F1074" s="25"/>
      <c r="G1074" s="24"/>
      <c r="H1074" s="25" t="e">
        <f ca="1"/>
        <v>#REF!</v>
      </c>
      <c r="I1074" s="27" t="e">
        <f ca="1"/>
        <v>#REF!</v>
      </c>
      <c r="J1074" s="28" t="e">
        <f ca="1"/>
        <v>#REF!</v>
      </c>
      <c r="K1074" s="27" t="e">
        <f ca="1"/>
        <v>#REF!</v>
      </c>
      <c r="L1074" s="25" t="e">
        <f ca="1"/>
        <v>#REF!</v>
      </c>
      <c r="M1074" s="25" t="e">
        <f ca="1"/>
        <v>#REF!</v>
      </c>
      <c r="N1074" s="25" t="e">
        <f ca="1"/>
        <v>#REF!</v>
      </c>
      <c r="O1074" s="25" t="e">
        <f ca="1"/>
        <v>#REF!</v>
      </c>
      <c r="P1074" s="25" t="e">
        <f ca="1"/>
        <v>#REF!</v>
      </c>
      <c r="Q1074" s="25" t="e">
        <f ca="1"/>
        <v>#REF!</v>
      </c>
      <c r="R1074" s="25" t="e">
        <f ca="1"/>
        <v>#REF!</v>
      </c>
      <c r="S1074" s="25" t="e">
        <f ca="1"/>
        <v>#REF!</v>
      </c>
      <c r="T1074" s="25" t="e">
        <f ca="1"/>
        <v>#REF!</v>
      </c>
      <c r="U1074" s="25" t="e">
        <f ca="1"/>
        <v>#REF!</v>
      </c>
      <c r="V1074" s="25" t="e">
        <f ca="1"/>
        <v>#REF!</v>
      </c>
      <c r="W1074" s="33" t="e">
        <f ca="1"/>
        <v>#REF!</v>
      </c>
      <c r="X1074" s="33" t="e">
        <f ca="1"/>
        <v>#REF!</v>
      </c>
      <c r="Y1074" s="33" t="e">
        <f ca="1"/>
        <v>#REF!</v>
      </c>
      <c r="Z1074" s="33" t="e">
        <f ca="1"/>
        <v>#REF!</v>
      </c>
      <c r="AA1074" s="33" t="e">
        <f ca="1"/>
        <v>#REF!</v>
      </c>
    </row>
    <row r="1075" spans="1:27" s="70" customFormat="1" ht="11.25" x14ac:dyDescent="0.2">
      <c r="A1075" s="24">
        <v>1069</v>
      </c>
      <c r="B1075" s="24"/>
      <c r="C1075" s="25"/>
      <c r="D1075" s="26"/>
      <c r="E1075" s="25"/>
      <c r="F1075" s="25"/>
      <c r="G1075" s="24"/>
      <c r="H1075" s="25" t="e">
        <f ca="1"/>
        <v>#REF!</v>
      </c>
      <c r="I1075" s="27" t="e">
        <f ca="1"/>
        <v>#REF!</v>
      </c>
      <c r="J1075" s="28" t="e">
        <f ca="1"/>
        <v>#REF!</v>
      </c>
      <c r="K1075" s="27" t="e">
        <f ca="1"/>
        <v>#REF!</v>
      </c>
      <c r="L1075" s="25" t="e">
        <f ca="1"/>
        <v>#REF!</v>
      </c>
      <c r="M1075" s="25" t="e">
        <f ca="1"/>
        <v>#REF!</v>
      </c>
      <c r="N1075" s="25" t="e">
        <f ca="1"/>
        <v>#REF!</v>
      </c>
      <c r="O1075" s="25" t="e">
        <f ca="1"/>
        <v>#REF!</v>
      </c>
      <c r="P1075" s="25" t="e">
        <f ca="1"/>
        <v>#REF!</v>
      </c>
      <c r="Q1075" s="25" t="e">
        <f ca="1"/>
        <v>#REF!</v>
      </c>
      <c r="R1075" s="25" t="e">
        <f ca="1"/>
        <v>#REF!</v>
      </c>
      <c r="S1075" s="25" t="e">
        <f ca="1"/>
        <v>#REF!</v>
      </c>
      <c r="T1075" s="25" t="e">
        <f ca="1"/>
        <v>#REF!</v>
      </c>
      <c r="U1075" s="25" t="e">
        <f ca="1"/>
        <v>#REF!</v>
      </c>
      <c r="V1075" s="25" t="e">
        <f ca="1"/>
        <v>#REF!</v>
      </c>
      <c r="W1075" s="33" t="e">
        <f ca="1"/>
        <v>#REF!</v>
      </c>
      <c r="X1075" s="33" t="e">
        <f ca="1"/>
        <v>#REF!</v>
      </c>
      <c r="Y1075" s="33" t="e">
        <f ca="1"/>
        <v>#REF!</v>
      </c>
      <c r="Z1075" s="33" t="e">
        <f ca="1"/>
        <v>#REF!</v>
      </c>
      <c r="AA1075" s="33" t="e">
        <f ca="1"/>
        <v>#REF!</v>
      </c>
    </row>
    <row r="1076" spans="1:27" s="70" customFormat="1" ht="11.25" x14ac:dyDescent="0.2">
      <c r="A1076" s="24">
        <v>1070</v>
      </c>
      <c r="B1076" s="24"/>
      <c r="C1076" s="25"/>
      <c r="D1076" s="26"/>
      <c r="E1076" s="25"/>
      <c r="F1076" s="25"/>
      <c r="G1076" s="24"/>
      <c r="H1076" s="25" t="e">
        <f ca="1"/>
        <v>#REF!</v>
      </c>
      <c r="I1076" s="27" t="e">
        <f ca="1"/>
        <v>#REF!</v>
      </c>
      <c r="J1076" s="28" t="e">
        <f ca="1"/>
        <v>#REF!</v>
      </c>
      <c r="K1076" s="27" t="e">
        <f ca="1"/>
        <v>#REF!</v>
      </c>
      <c r="L1076" s="25" t="e">
        <f ca="1"/>
        <v>#REF!</v>
      </c>
      <c r="M1076" s="25" t="e">
        <f ca="1"/>
        <v>#REF!</v>
      </c>
      <c r="N1076" s="25" t="e">
        <f ca="1"/>
        <v>#REF!</v>
      </c>
      <c r="O1076" s="25" t="e">
        <f ca="1"/>
        <v>#REF!</v>
      </c>
      <c r="P1076" s="25" t="e">
        <f ca="1"/>
        <v>#REF!</v>
      </c>
      <c r="Q1076" s="25" t="e">
        <f ca="1"/>
        <v>#REF!</v>
      </c>
      <c r="R1076" s="25" t="e">
        <f ca="1"/>
        <v>#REF!</v>
      </c>
      <c r="S1076" s="25" t="e">
        <f ca="1"/>
        <v>#REF!</v>
      </c>
      <c r="T1076" s="25" t="e">
        <f ca="1"/>
        <v>#REF!</v>
      </c>
      <c r="U1076" s="25" t="e">
        <f ca="1"/>
        <v>#REF!</v>
      </c>
      <c r="V1076" s="25" t="e">
        <f ca="1"/>
        <v>#REF!</v>
      </c>
      <c r="W1076" s="33" t="e">
        <f ca="1"/>
        <v>#REF!</v>
      </c>
      <c r="X1076" s="33" t="e">
        <f ca="1"/>
        <v>#REF!</v>
      </c>
      <c r="Y1076" s="33" t="e">
        <f ca="1"/>
        <v>#REF!</v>
      </c>
      <c r="Z1076" s="33" t="e">
        <f ca="1"/>
        <v>#REF!</v>
      </c>
      <c r="AA1076" s="33" t="e">
        <f ca="1"/>
        <v>#REF!</v>
      </c>
    </row>
    <row r="1077" spans="1:27" s="70" customFormat="1" ht="11.25" x14ac:dyDescent="0.2">
      <c r="A1077" s="24">
        <v>1071</v>
      </c>
      <c r="B1077" s="24"/>
      <c r="C1077" s="25"/>
      <c r="D1077" s="26"/>
      <c r="E1077" s="25"/>
      <c r="F1077" s="25"/>
      <c r="G1077" s="24"/>
      <c r="H1077" s="25" t="e">
        <f ca="1"/>
        <v>#REF!</v>
      </c>
      <c r="I1077" s="27" t="e">
        <f ca="1"/>
        <v>#REF!</v>
      </c>
      <c r="J1077" s="28" t="e">
        <f ca="1"/>
        <v>#REF!</v>
      </c>
      <c r="K1077" s="27" t="e">
        <f ca="1"/>
        <v>#REF!</v>
      </c>
      <c r="L1077" s="25" t="e">
        <f ca="1"/>
        <v>#REF!</v>
      </c>
      <c r="M1077" s="25" t="e">
        <f ca="1"/>
        <v>#REF!</v>
      </c>
      <c r="N1077" s="25" t="e">
        <f ca="1"/>
        <v>#REF!</v>
      </c>
      <c r="O1077" s="25" t="e">
        <f ca="1"/>
        <v>#REF!</v>
      </c>
      <c r="P1077" s="25" t="e">
        <f ca="1"/>
        <v>#REF!</v>
      </c>
      <c r="Q1077" s="25" t="e">
        <f ca="1"/>
        <v>#REF!</v>
      </c>
      <c r="R1077" s="25" t="e">
        <f ca="1"/>
        <v>#REF!</v>
      </c>
      <c r="S1077" s="25" t="e">
        <f ca="1"/>
        <v>#REF!</v>
      </c>
      <c r="T1077" s="25" t="e">
        <f ca="1"/>
        <v>#REF!</v>
      </c>
      <c r="U1077" s="25" t="e">
        <f ca="1"/>
        <v>#REF!</v>
      </c>
      <c r="V1077" s="25" t="e">
        <f ca="1"/>
        <v>#REF!</v>
      </c>
      <c r="W1077" s="33" t="e">
        <f ca="1"/>
        <v>#REF!</v>
      </c>
      <c r="X1077" s="33" t="e">
        <f ca="1"/>
        <v>#REF!</v>
      </c>
      <c r="Y1077" s="33" t="e">
        <f ca="1"/>
        <v>#REF!</v>
      </c>
      <c r="Z1077" s="33" t="e">
        <f ca="1"/>
        <v>#REF!</v>
      </c>
      <c r="AA1077" s="33" t="e">
        <f ca="1"/>
        <v>#REF!</v>
      </c>
    </row>
    <row r="1078" spans="1:27" s="70" customFormat="1" ht="11.25" x14ac:dyDescent="0.2">
      <c r="A1078" s="24">
        <v>1072</v>
      </c>
      <c r="B1078" s="24"/>
      <c r="C1078" s="25"/>
      <c r="D1078" s="26"/>
      <c r="E1078" s="25"/>
      <c r="F1078" s="25"/>
      <c r="G1078" s="24"/>
      <c r="H1078" s="25" t="e">
        <f ca="1"/>
        <v>#REF!</v>
      </c>
      <c r="I1078" s="27" t="e">
        <f ca="1"/>
        <v>#REF!</v>
      </c>
      <c r="J1078" s="28" t="e">
        <f ca="1"/>
        <v>#REF!</v>
      </c>
      <c r="K1078" s="27" t="e">
        <f ca="1"/>
        <v>#REF!</v>
      </c>
      <c r="L1078" s="25" t="e">
        <f ca="1"/>
        <v>#REF!</v>
      </c>
      <c r="M1078" s="25" t="e">
        <f ca="1"/>
        <v>#REF!</v>
      </c>
      <c r="N1078" s="25" t="e">
        <f ca="1"/>
        <v>#REF!</v>
      </c>
      <c r="O1078" s="25" t="e">
        <f ca="1"/>
        <v>#REF!</v>
      </c>
      <c r="P1078" s="25" t="e">
        <f ca="1"/>
        <v>#REF!</v>
      </c>
      <c r="Q1078" s="25" t="e">
        <f ca="1"/>
        <v>#REF!</v>
      </c>
      <c r="R1078" s="25" t="e">
        <f ca="1"/>
        <v>#REF!</v>
      </c>
      <c r="S1078" s="25" t="e">
        <f ca="1"/>
        <v>#REF!</v>
      </c>
      <c r="T1078" s="25" t="e">
        <f ca="1"/>
        <v>#REF!</v>
      </c>
      <c r="U1078" s="25" t="e">
        <f ca="1"/>
        <v>#REF!</v>
      </c>
      <c r="V1078" s="25" t="e">
        <f ca="1"/>
        <v>#REF!</v>
      </c>
      <c r="W1078" s="33" t="e">
        <f ca="1"/>
        <v>#REF!</v>
      </c>
      <c r="X1078" s="33" t="e">
        <f ca="1"/>
        <v>#REF!</v>
      </c>
      <c r="Y1078" s="33" t="e">
        <f ca="1"/>
        <v>#REF!</v>
      </c>
      <c r="Z1078" s="33" t="e">
        <f ca="1"/>
        <v>#REF!</v>
      </c>
      <c r="AA1078" s="33" t="e">
        <f ca="1"/>
        <v>#REF!</v>
      </c>
    </row>
    <row r="1079" spans="1:27" s="70" customFormat="1" ht="11.25" x14ac:dyDescent="0.2">
      <c r="A1079" s="24">
        <v>1073</v>
      </c>
      <c r="B1079" s="24"/>
      <c r="C1079" s="25"/>
      <c r="D1079" s="26"/>
      <c r="E1079" s="25"/>
      <c r="F1079" s="25"/>
      <c r="G1079" s="24"/>
      <c r="H1079" s="25" t="e">
        <f ca="1"/>
        <v>#REF!</v>
      </c>
      <c r="I1079" s="27" t="e">
        <f ca="1"/>
        <v>#REF!</v>
      </c>
      <c r="J1079" s="28" t="e">
        <f ca="1"/>
        <v>#REF!</v>
      </c>
      <c r="K1079" s="27" t="e">
        <f ca="1"/>
        <v>#REF!</v>
      </c>
      <c r="L1079" s="25" t="e">
        <f ca="1"/>
        <v>#REF!</v>
      </c>
      <c r="M1079" s="25" t="e">
        <f ca="1"/>
        <v>#REF!</v>
      </c>
      <c r="N1079" s="25" t="e">
        <f ca="1"/>
        <v>#REF!</v>
      </c>
      <c r="O1079" s="25" t="e">
        <f ca="1"/>
        <v>#REF!</v>
      </c>
      <c r="P1079" s="25" t="e">
        <f ca="1"/>
        <v>#REF!</v>
      </c>
      <c r="Q1079" s="25" t="e">
        <f ca="1"/>
        <v>#REF!</v>
      </c>
      <c r="R1079" s="25" t="e">
        <f ca="1"/>
        <v>#REF!</v>
      </c>
      <c r="S1079" s="25" t="e">
        <f ca="1"/>
        <v>#REF!</v>
      </c>
      <c r="T1079" s="25" t="e">
        <f ca="1"/>
        <v>#REF!</v>
      </c>
      <c r="U1079" s="25" t="e">
        <f ca="1"/>
        <v>#REF!</v>
      </c>
      <c r="V1079" s="25" t="e">
        <f ca="1"/>
        <v>#REF!</v>
      </c>
      <c r="W1079" s="33" t="e">
        <f ca="1"/>
        <v>#REF!</v>
      </c>
      <c r="X1079" s="33" t="e">
        <f ca="1"/>
        <v>#REF!</v>
      </c>
      <c r="Y1079" s="33" t="e">
        <f ca="1"/>
        <v>#REF!</v>
      </c>
      <c r="Z1079" s="33" t="e">
        <f ca="1"/>
        <v>#REF!</v>
      </c>
      <c r="AA1079" s="33" t="e">
        <f ca="1"/>
        <v>#REF!</v>
      </c>
    </row>
    <row r="1080" spans="1:27" s="70" customFormat="1" ht="11.25" x14ac:dyDescent="0.2">
      <c r="A1080" s="24">
        <v>1074</v>
      </c>
      <c r="B1080" s="24"/>
      <c r="C1080" s="25"/>
      <c r="D1080" s="26"/>
      <c r="E1080" s="25"/>
      <c r="F1080" s="25"/>
      <c r="G1080" s="24"/>
      <c r="H1080" s="25" t="e">
        <f ca="1"/>
        <v>#REF!</v>
      </c>
      <c r="I1080" s="27" t="e">
        <f ca="1"/>
        <v>#REF!</v>
      </c>
      <c r="J1080" s="28" t="e">
        <f ca="1"/>
        <v>#REF!</v>
      </c>
      <c r="K1080" s="27" t="e">
        <f ca="1"/>
        <v>#REF!</v>
      </c>
      <c r="L1080" s="25" t="e">
        <f ca="1"/>
        <v>#REF!</v>
      </c>
      <c r="M1080" s="25" t="e">
        <f ca="1"/>
        <v>#REF!</v>
      </c>
      <c r="N1080" s="25" t="e">
        <f ca="1"/>
        <v>#REF!</v>
      </c>
      <c r="O1080" s="25" t="e">
        <f ca="1"/>
        <v>#REF!</v>
      </c>
      <c r="P1080" s="25" t="e">
        <f ca="1"/>
        <v>#REF!</v>
      </c>
      <c r="Q1080" s="25" t="e">
        <f ca="1"/>
        <v>#REF!</v>
      </c>
      <c r="R1080" s="25" t="e">
        <f ca="1"/>
        <v>#REF!</v>
      </c>
      <c r="S1080" s="25" t="e">
        <f ca="1"/>
        <v>#REF!</v>
      </c>
      <c r="T1080" s="25" t="e">
        <f ca="1"/>
        <v>#REF!</v>
      </c>
      <c r="U1080" s="25" t="e">
        <f ca="1"/>
        <v>#REF!</v>
      </c>
      <c r="V1080" s="25" t="e">
        <f ca="1"/>
        <v>#REF!</v>
      </c>
      <c r="W1080" s="33" t="e">
        <f ca="1"/>
        <v>#REF!</v>
      </c>
      <c r="X1080" s="33" t="e">
        <f ca="1"/>
        <v>#REF!</v>
      </c>
      <c r="Y1080" s="33" t="e">
        <f ca="1"/>
        <v>#REF!</v>
      </c>
      <c r="Z1080" s="33" t="e">
        <f ca="1"/>
        <v>#REF!</v>
      </c>
      <c r="AA1080" s="33" t="e">
        <f ca="1"/>
        <v>#REF!</v>
      </c>
    </row>
    <row r="1081" spans="1:27" s="70" customFormat="1" ht="11.25" x14ac:dyDescent="0.2">
      <c r="A1081" s="24">
        <v>1075</v>
      </c>
      <c r="B1081" s="24"/>
      <c r="C1081" s="25"/>
      <c r="D1081" s="26"/>
      <c r="E1081" s="25"/>
      <c r="F1081" s="25"/>
      <c r="G1081" s="24"/>
      <c r="H1081" s="25" t="e">
        <f ca="1"/>
        <v>#REF!</v>
      </c>
      <c r="I1081" s="27" t="e">
        <f ca="1"/>
        <v>#REF!</v>
      </c>
      <c r="J1081" s="28" t="e">
        <f ca="1"/>
        <v>#REF!</v>
      </c>
      <c r="K1081" s="27" t="e">
        <f ca="1"/>
        <v>#REF!</v>
      </c>
      <c r="L1081" s="25" t="e">
        <f ca="1"/>
        <v>#REF!</v>
      </c>
      <c r="M1081" s="25" t="e">
        <f ca="1"/>
        <v>#REF!</v>
      </c>
      <c r="N1081" s="25" t="e">
        <f ca="1"/>
        <v>#REF!</v>
      </c>
      <c r="O1081" s="25" t="e">
        <f ca="1"/>
        <v>#REF!</v>
      </c>
      <c r="P1081" s="25" t="e">
        <f ca="1"/>
        <v>#REF!</v>
      </c>
      <c r="Q1081" s="25" t="e">
        <f ca="1"/>
        <v>#REF!</v>
      </c>
      <c r="R1081" s="25" t="e">
        <f ca="1"/>
        <v>#REF!</v>
      </c>
      <c r="S1081" s="25" t="e">
        <f ca="1"/>
        <v>#REF!</v>
      </c>
      <c r="T1081" s="25" t="e">
        <f ca="1"/>
        <v>#REF!</v>
      </c>
      <c r="U1081" s="25" t="e">
        <f ca="1"/>
        <v>#REF!</v>
      </c>
      <c r="V1081" s="25" t="e">
        <f ca="1"/>
        <v>#REF!</v>
      </c>
      <c r="W1081" s="33" t="e">
        <f ca="1"/>
        <v>#REF!</v>
      </c>
      <c r="X1081" s="33" t="e">
        <f ca="1"/>
        <v>#REF!</v>
      </c>
      <c r="Y1081" s="33" t="e">
        <f ca="1"/>
        <v>#REF!</v>
      </c>
      <c r="Z1081" s="33" t="e">
        <f ca="1"/>
        <v>#REF!</v>
      </c>
      <c r="AA1081" s="33" t="e">
        <f ca="1"/>
        <v>#REF!</v>
      </c>
    </row>
    <row r="1082" spans="1:27" s="70" customFormat="1" ht="11.25" x14ac:dyDescent="0.2">
      <c r="A1082" s="24">
        <v>1076</v>
      </c>
      <c r="B1082" s="24"/>
      <c r="C1082" s="25"/>
      <c r="D1082" s="26"/>
      <c r="E1082" s="25"/>
      <c r="F1082" s="25"/>
      <c r="G1082" s="24"/>
      <c r="H1082" s="25" t="e">
        <f ca="1"/>
        <v>#REF!</v>
      </c>
      <c r="I1082" s="27" t="e">
        <f ca="1"/>
        <v>#REF!</v>
      </c>
      <c r="J1082" s="28" t="e">
        <f ca="1"/>
        <v>#REF!</v>
      </c>
      <c r="K1082" s="27" t="e">
        <f ca="1"/>
        <v>#REF!</v>
      </c>
      <c r="L1082" s="25" t="e">
        <f ca="1"/>
        <v>#REF!</v>
      </c>
      <c r="M1082" s="25" t="e">
        <f ca="1"/>
        <v>#REF!</v>
      </c>
      <c r="N1082" s="25" t="e">
        <f ca="1"/>
        <v>#REF!</v>
      </c>
      <c r="O1082" s="25" t="e">
        <f ca="1"/>
        <v>#REF!</v>
      </c>
      <c r="P1082" s="25" t="e">
        <f ca="1"/>
        <v>#REF!</v>
      </c>
      <c r="Q1082" s="25" t="e">
        <f ca="1"/>
        <v>#REF!</v>
      </c>
      <c r="R1082" s="25" t="e">
        <f ca="1"/>
        <v>#REF!</v>
      </c>
      <c r="S1082" s="25" t="e">
        <f ca="1"/>
        <v>#REF!</v>
      </c>
      <c r="T1082" s="25" t="e">
        <f ca="1"/>
        <v>#REF!</v>
      </c>
      <c r="U1082" s="25" t="e">
        <f ca="1"/>
        <v>#REF!</v>
      </c>
      <c r="V1082" s="25" t="e">
        <f ca="1"/>
        <v>#REF!</v>
      </c>
      <c r="W1082" s="33" t="e">
        <f ca="1"/>
        <v>#REF!</v>
      </c>
      <c r="X1082" s="33" t="e">
        <f ca="1"/>
        <v>#REF!</v>
      </c>
      <c r="Y1082" s="33" t="e">
        <f ca="1"/>
        <v>#REF!</v>
      </c>
      <c r="Z1082" s="33" t="e">
        <f ca="1"/>
        <v>#REF!</v>
      </c>
      <c r="AA1082" s="33" t="e">
        <f ca="1"/>
        <v>#REF!</v>
      </c>
    </row>
    <row r="1083" spans="1:27" s="70" customFormat="1" ht="11.25" x14ac:dyDescent="0.2">
      <c r="A1083" s="24">
        <v>1077</v>
      </c>
      <c r="B1083" s="24"/>
      <c r="C1083" s="25"/>
      <c r="D1083" s="26"/>
      <c r="E1083" s="25"/>
      <c r="F1083" s="25"/>
      <c r="G1083" s="24"/>
      <c r="H1083" s="25" t="e">
        <f ca="1"/>
        <v>#REF!</v>
      </c>
      <c r="I1083" s="27" t="e">
        <f ca="1"/>
        <v>#REF!</v>
      </c>
      <c r="J1083" s="28" t="e">
        <f ca="1"/>
        <v>#REF!</v>
      </c>
      <c r="K1083" s="27" t="e">
        <f ca="1"/>
        <v>#REF!</v>
      </c>
      <c r="L1083" s="25" t="e">
        <f ca="1"/>
        <v>#REF!</v>
      </c>
      <c r="M1083" s="25" t="e">
        <f ca="1"/>
        <v>#REF!</v>
      </c>
      <c r="N1083" s="25" t="e">
        <f ca="1"/>
        <v>#REF!</v>
      </c>
      <c r="O1083" s="25" t="e">
        <f ca="1"/>
        <v>#REF!</v>
      </c>
      <c r="P1083" s="25" t="e">
        <f ca="1"/>
        <v>#REF!</v>
      </c>
      <c r="Q1083" s="25" t="e">
        <f ca="1"/>
        <v>#REF!</v>
      </c>
      <c r="R1083" s="25" t="e">
        <f ca="1"/>
        <v>#REF!</v>
      </c>
      <c r="S1083" s="25" t="e">
        <f ca="1"/>
        <v>#REF!</v>
      </c>
      <c r="T1083" s="25" t="e">
        <f ca="1"/>
        <v>#REF!</v>
      </c>
      <c r="U1083" s="25" t="e">
        <f ca="1"/>
        <v>#REF!</v>
      </c>
      <c r="V1083" s="25" t="e">
        <f ca="1"/>
        <v>#REF!</v>
      </c>
      <c r="W1083" s="33" t="e">
        <f ca="1"/>
        <v>#REF!</v>
      </c>
      <c r="X1083" s="33" t="e">
        <f ca="1"/>
        <v>#REF!</v>
      </c>
      <c r="Y1083" s="33" t="e">
        <f ca="1"/>
        <v>#REF!</v>
      </c>
      <c r="Z1083" s="33" t="e">
        <f ca="1"/>
        <v>#REF!</v>
      </c>
      <c r="AA1083" s="33" t="e">
        <f ca="1"/>
        <v>#REF!</v>
      </c>
    </row>
    <row r="1084" spans="1:27" s="70" customFormat="1" ht="11.25" x14ac:dyDescent="0.2">
      <c r="A1084" s="24">
        <v>1078</v>
      </c>
      <c r="B1084" s="24"/>
      <c r="C1084" s="25"/>
      <c r="D1084" s="26"/>
      <c r="E1084" s="25"/>
      <c r="F1084" s="25"/>
      <c r="G1084" s="24"/>
      <c r="H1084" s="25" t="e">
        <f ca="1"/>
        <v>#REF!</v>
      </c>
      <c r="I1084" s="27" t="e">
        <f ca="1"/>
        <v>#REF!</v>
      </c>
      <c r="J1084" s="28" t="e">
        <f ca="1"/>
        <v>#REF!</v>
      </c>
      <c r="K1084" s="27" t="e">
        <f ca="1"/>
        <v>#REF!</v>
      </c>
      <c r="L1084" s="25" t="e">
        <f ca="1"/>
        <v>#REF!</v>
      </c>
      <c r="M1084" s="25" t="e">
        <f ca="1"/>
        <v>#REF!</v>
      </c>
      <c r="N1084" s="25" t="e">
        <f ca="1"/>
        <v>#REF!</v>
      </c>
      <c r="O1084" s="25" t="e">
        <f ca="1"/>
        <v>#REF!</v>
      </c>
      <c r="P1084" s="25" t="e">
        <f ca="1"/>
        <v>#REF!</v>
      </c>
      <c r="Q1084" s="25" t="e">
        <f ca="1"/>
        <v>#REF!</v>
      </c>
      <c r="R1084" s="25" t="e">
        <f ca="1"/>
        <v>#REF!</v>
      </c>
      <c r="S1084" s="25" t="e">
        <f ca="1"/>
        <v>#REF!</v>
      </c>
      <c r="T1084" s="25" t="e">
        <f ca="1"/>
        <v>#REF!</v>
      </c>
      <c r="U1084" s="25" t="e">
        <f ca="1"/>
        <v>#REF!</v>
      </c>
      <c r="V1084" s="25" t="e">
        <f ca="1"/>
        <v>#REF!</v>
      </c>
      <c r="W1084" s="33" t="e">
        <f ca="1"/>
        <v>#REF!</v>
      </c>
      <c r="X1084" s="33" t="e">
        <f ca="1"/>
        <v>#REF!</v>
      </c>
      <c r="Y1084" s="33" t="e">
        <f ca="1"/>
        <v>#REF!</v>
      </c>
      <c r="Z1084" s="33" t="e">
        <f ca="1"/>
        <v>#REF!</v>
      </c>
      <c r="AA1084" s="33" t="e">
        <f ca="1"/>
        <v>#REF!</v>
      </c>
    </row>
    <row r="1085" spans="1:27" s="70" customFormat="1" ht="11.25" x14ac:dyDescent="0.2">
      <c r="A1085" s="24">
        <v>1079</v>
      </c>
      <c r="B1085" s="24"/>
      <c r="C1085" s="25"/>
      <c r="D1085" s="26"/>
      <c r="E1085" s="25"/>
      <c r="F1085" s="25"/>
      <c r="G1085" s="24"/>
      <c r="H1085" s="25" t="e">
        <f ca="1"/>
        <v>#REF!</v>
      </c>
      <c r="I1085" s="27" t="e">
        <f ca="1"/>
        <v>#REF!</v>
      </c>
      <c r="J1085" s="28" t="e">
        <f ca="1"/>
        <v>#REF!</v>
      </c>
      <c r="K1085" s="27" t="e">
        <f ca="1"/>
        <v>#REF!</v>
      </c>
      <c r="L1085" s="25" t="e">
        <f ca="1"/>
        <v>#REF!</v>
      </c>
      <c r="M1085" s="25" t="e">
        <f ca="1"/>
        <v>#REF!</v>
      </c>
      <c r="N1085" s="25" t="e">
        <f ca="1"/>
        <v>#REF!</v>
      </c>
      <c r="O1085" s="25" t="e">
        <f ca="1"/>
        <v>#REF!</v>
      </c>
      <c r="P1085" s="25" t="e">
        <f ca="1"/>
        <v>#REF!</v>
      </c>
      <c r="Q1085" s="25" t="e">
        <f ca="1"/>
        <v>#REF!</v>
      </c>
      <c r="R1085" s="25" t="e">
        <f ca="1"/>
        <v>#REF!</v>
      </c>
      <c r="S1085" s="25" t="e">
        <f ca="1"/>
        <v>#REF!</v>
      </c>
      <c r="T1085" s="25" t="e">
        <f ca="1"/>
        <v>#REF!</v>
      </c>
      <c r="U1085" s="25" t="e">
        <f ca="1"/>
        <v>#REF!</v>
      </c>
      <c r="V1085" s="25" t="e">
        <f ca="1"/>
        <v>#REF!</v>
      </c>
      <c r="W1085" s="33" t="e">
        <f ca="1"/>
        <v>#REF!</v>
      </c>
      <c r="X1085" s="33" t="e">
        <f ca="1"/>
        <v>#REF!</v>
      </c>
      <c r="Y1085" s="33" t="e">
        <f ca="1"/>
        <v>#REF!</v>
      </c>
      <c r="Z1085" s="33" t="e">
        <f ca="1"/>
        <v>#REF!</v>
      </c>
      <c r="AA1085" s="33" t="e">
        <f ca="1"/>
        <v>#REF!</v>
      </c>
    </row>
    <row r="1086" spans="1:27" s="70" customFormat="1" ht="11.25" x14ac:dyDescent="0.2">
      <c r="A1086" s="24">
        <v>1080</v>
      </c>
      <c r="B1086" s="24"/>
      <c r="C1086" s="25"/>
      <c r="D1086" s="26"/>
      <c r="E1086" s="25"/>
      <c r="F1086" s="25"/>
      <c r="G1086" s="24"/>
      <c r="H1086" s="25" t="e">
        <f ca="1"/>
        <v>#REF!</v>
      </c>
      <c r="I1086" s="27" t="e">
        <f ca="1"/>
        <v>#REF!</v>
      </c>
      <c r="J1086" s="28" t="e">
        <f ca="1"/>
        <v>#REF!</v>
      </c>
      <c r="K1086" s="27" t="e">
        <f ca="1"/>
        <v>#REF!</v>
      </c>
      <c r="L1086" s="25" t="e">
        <f ca="1"/>
        <v>#REF!</v>
      </c>
      <c r="M1086" s="25" t="e">
        <f ca="1"/>
        <v>#REF!</v>
      </c>
      <c r="N1086" s="25" t="e">
        <f ca="1"/>
        <v>#REF!</v>
      </c>
      <c r="O1086" s="25" t="e">
        <f ca="1"/>
        <v>#REF!</v>
      </c>
      <c r="P1086" s="25" t="e">
        <f ca="1"/>
        <v>#REF!</v>
      </c>
      <c r="Q1086" s="25" t="e">
        <f ca="1"/>
        <v>#REF!</v>
      </c>
      <c r="R1086" s="25" t="e">
        <f ca="1"/>
        <v>#REF!</v>
      </c>
      <c r="S1086" s="25" t="e">
        <f ca="1"/>
        <v>#REF!</v>
      </c>
      <c r="T1086" s="25" t="e">
        <f ca="1"/>
        <v>#REF!</v>
      </c>
      <c r="U1086" s="25" t="e">
        <f ca="1"/>
        <v>#REF!</v>
      </c>
      <c r="V1086" s="25" t="e">
        <f ca="1"/>
        <v>#REF!</v>
      </c>
      <c r="W1086" s="33" t="e">
        <f ca="1"/>
        <v>#REF!</v>
      </c>
      <c r="X1086" s="33" t="e">
        <f ca="1"/>
        <v>#REF!</v>
      </c>
      <c r="Y1086" s="33" t="e">
        <f ca="1"/>
        <v>#REF!</v>
      </c>
      <c r="Z1086" s="33" t="e">
        <f ca="1"/>
        <v>#REF!</v>
      </c>
      <c r="AA1086" s="33" t="e">
        <f ca="1"/>
        <v>#REF!</v>
      </c>
    </row>
    <row r="1087" spans="1:27" s="70" customFormat="1" ht="11.25" x14ac:dyDescent="0.2">
      <c r="A1087" s="24">
        <v>1081</v>
      </c>
      <c r="B1087" s="24"/>
      <c r="C1087" s="25"/>
      <c r="D1087" s="26"/>
      <c r="E1087" s="25"/>
      <c r="F1087" s="25"/>
      <c r="G1087" s="24"/>
      <c r="H1087" s="25" t="e">
        <f ca="1"/>
        <v>#REF!</v>
      </c>
      <c r="I1087" s="27" t="e">
        <f ca="1"/>
        <v>#REF!</v>
      </c>
      <c r="J1087" s="28" t="e">
        <f ca="1"/>
        <v>#REF!</v>
      </c>
      <c r="K1087" s="27" t="e">
        <f ca="1"/>
        <v>#REF!</v>
      </c>
      <c r="L1087" s="25" t="e">
        <f ca="1"/>
        <v>#REF!</v>
      </c>
      <c r="M1087" s="25" t="e">
        <f ca="1"/>
        <v>#REF!</v>
      </c>
      <c r="N1087" s="25" t="e">
        <f ca="1"/>
        <v>#REF!</v>
      </c>
      <c r="O1087" s="25" t="e">
        <f ca="1"/>
        <v>#REF!</v>
      </c>
      <c r="P1087" s="25" t="e">
        <f ca="1"/>
        <v>#REF!</v>
      </c>
      <c r="Q1087" s="25" t="e">
        <f ca="1"/>
        <v>#REF!</v>
      </c>
      <c r="R1087" s="25" t="e">
        <f ca="1"/>
        <v>#REF!</v>
      </c>
      <c r="S1087" s="25" t="e">
        <f ca="1"/>
        <v>#REF!</v>
      </c>
      <c r="T1087" s="25" t="e">
        <f ca="1"/>
        <v>#REF!</v>
      </c>
      <c r="U1087" s="25" t="e">
        <f ca="1"/>
        <v>#REF!</v>
      </c>
      <c r="V1087" s="25" t="e">
        <f ca="1"/>
        <v>#REF!</v>
      </c>
      <c r="W1087" s="33" t="e">
        <f ca="1"/>
        <v>#REF!</v>
      </c>
      <c r="X1087" s="33" t="e">
        <f ca="1"/>
        <v>#REF!</v>
      </c>
      <c r="Y1087" s="33" t="e">
        <f ca="1"/>
        <v>#REF!</v>
      </c>
      <c r="Z1087" s="33" t="e">
        <f ca="1"/>
        <v>#REF!</v>
      </c>
      <c r="AA1087" s="33" t="e">
        <f ca="1"/>
        <v>#REF!</v>
      </c>
    </row>
    <row r="1088" spans="1:27" s="70" customFormat="1" ht="11.25" x14ac:dyDescent="0.2">
      <c r="A1088" s="24">
        <v>1082</v>
      </c>
      <c r="B1088" s="24"/>
      <c r="C1088" s="25"/>
      <c r="D1088" s="26"/>
      <c r="E1088" s="25"/>
      <c r="F1088" s="25"/>
      <c r="G1088" s="24"/>
      <c r="H1088" s="25" t="e">
        <f ca="1"/>
        <v>#REF!</v>
      </c>
      <c r="I1088" s="27" t="e">
        <f ca="1"/>
        <v>#REF!</v>
      </c>
      <c r="J1088" s="28" t="e">
        <f ca="1"/>
        <v>#REF!</v>
      </c>
      <c r="K1088" s="27" t="e">
        <f ca="1"/>
        <v>#REF!</v>
      </c>
      <c r="L1088" s="25" t="e">
        <f ca="1"/>
        <v>#REF!</v>
      </c>
      <c r="M1088" s="25" t="e">
        <f ca="1"/>
        <v>#REF!</v>
      </c>
      <c r="N1088" s="25" t="e">
        <f ca="1"/>
        <v>#REF!</v>
      </c>
      <c r="O1088" s="25" t="e">
        <f ca="1"/>
        <v>#REF!</v>
      </c>
      <c r="P1088" s="25" t="e">
        <f ca="1"/>
        <v>#REF!</v>
      </c>
      <c r="Q1088" s="25" t="e">
        <f ca="1"/>
        <v>#REF!</v>
      </c>
      <c r="R1088" s="25" t="e">
        <f ca="1"/>
        <v>#REF!</v>
      </c>
      <c r="S1088" s="25" t="e">
        <f ca="1"/>
        <v>#REF!</v>
      </c>
      <c r="T1088" s="25" t="e">
        <f ca="1"/>
        <v>#REF!</v>
      </c>
      <c r="U1088" s="25" t="e">
        <f ca="1"/>
        <v>#REF!</v>
      </c>
      <c r="V1088" s="25" t="e">
        <f ca="1"/>
        <v>#REF!</v>
      </c>
      <c r="W1088" s="33" t="e">
        <f ca="1"/>
        <v>#REF!</v>
      </c>
      <c r="X1088" s="33" t="e">
        <f ca="1"/>
        <v>#REF!</v>
      </c>
      <c r="Y1088" s="33" t="e">
        <f ca="1"/>
        <v>#REF!</v>
      </c>
      <c r="Z1088" s="33" t="e">
        <f ca="1"/>
        <v>#REF!</v>
      </c>
      <c r="AA1088" s="33" t="e">
        <f ca="1"/>
        <v>#REF!</v>
      </c>
    </row>
    <row r="1089" spans="1:28" s="70" customFormat="1" ht="11.25" x14ac:dyDescent="0.2">
      <c r="A1089" s="24">
        <v>1083</v>
      </c>
      <c r="B1089" s="24"/>
      <c r="C1089" s="25"/>
      <c r="D1089" s="26"/>
      <c r="E1089" s="25"/>
      <c r="F1089" s="25"/>
      <c r="G1089" s="24"/>
      <c r="H1089" s="25" t="e">
        <f ca="1"/>
        <v>#REF!</v>
      </c>
      <c r="I1089" s="27" t="e">
        <f ca="1"/>
        <v>#REF!</v>
      </c>
      <c r="J1089" s="28" t="e">
        <f ca="1"/>
        <v>#REF!</v>
      </c>
      <c r="K1089" s="27" t="e">
        <f ca="1"/>
        <v>#REF!</v>
      </c>
      <c r="L1089" s="25" t="e">
        <f ca="1"/>
        <v>#REF!</v>
      </c>
      <c r="M1089" s="25" t="e">
        <f ca="1"/>
        <v>#REF!</v>
      </c>
      <c r="N1089" s="25" t="e">
        <f ca="1"/>
        <v>#REF!</v>
      </c>
      <c r="O1089" s="25" t="e">
        <f ca="1"/>
        <v>#REF!</v>
      </c>
      <c r="P1089" s="25" t="e">
        <f ca="1"/>
        <v>#REF!</v>
      </c>
      <c r="Q1089" s="25" t="e">
        <f ca="1"/>
        <v>#REF!</v>
      </c>
      <c r="R1089" s="25" t="e">
        <f ca="1"/>
        <v>#REF!</v>
      </c>
      <c r="S1089" s="25" t="e">
        <f ca="1"/>
        <v>#REF!</v>
      </c>
      <c r="T1089" s="25" t="e">
        <f ca="1"/>
        <v>#REF!</v>
      </c>
      <c r="U1089" s="25" t="e">
        <f ca="1"/>
        <v>#REF!</v>
      </c>
      <c r="V1089" s="25" t="e">
        <f ca="1"/>
        <v>#REF!</v>
      </c>
      <c r="W1089" s="33" t="e">
        <f ca="1"/>
        <v>#REF!</v>
      </c>
      <c r="X1089" s="33" t="e">
        <f ca="1"/>
        <v>#REF!</v>
      </c>
      <c r="Y1089" s="33" t="e">
        <f ca="1"/>
        <v>#REF!</v>
      </c>
      <c r="Z1089" s="33" t="e">
        <f ca="1"/>
        <v>#REF!</v>
      </c>
      <c r="AA1089" s="33" t="e">
        <f ca="1"/>
        <v>#REF!</v>
      </c>
    </row>
    <row r="1090" spans="1:28" s="70" customFormat="1" ht="11.25" x14ac:dyDescent="0.2">
      <c r="A1090" s="24">
        <v>1084</v>
      </c>
      <c r="B1090" s="24"/>
      <c r="C1090" s="25"/>
      <c r="D1090" s="26"/>
      <c r="E1090" s="25"/>
      <c r="F1090" s="25"/>
      <c r="G1090" s="24"/>
      <c r="H1090" s="25" t="e">
        <f ca="1"/>
        <v>#REF!</v>
      </c>
      <c r="I1090" s="27" t="e">
        <f ca="1"/>
        <v>#REF!</v>
      </c>
      <c r="J1090" s="25" t="e">
        <f ca="1"/>
        <v>#REF!</v>
      </c>
      <c r="K1090" s="27" t="e">
        <f ca="1"/>
        <v>#REF!</v>
      </c>
      <c r="L1090" s="25" t="e">
        <f ca="1"/>
        <v>#REF!</v>
      </c>
      <c r="M1090" s="25" t="e">
        <f ca="1"/>
        <v>#REF!</v>
      </c>
      <c r="N1090" s="25" t="e">
        <f ca="1"/>
        <v>#REF!</v>
      </c>
      <c r="O1090" s="25" t="e">
        <f ca="1"/>
        <v>#REF!</v>
      </c>
      <c r="P1090" s="25" t="e">
        <f ca="1"/>
        <v>#REF!</v>
      </c>
      <c r="Q1090" s="25" t="e">
        <f ca="1"/>
        <v>#REF!</v>
      </c>
      <c r="R1090" s="25" t="e">
        <f ca="1"/>
        <v>#REF!</v>
      </c>
      <c r="S1090" s="25" t="e">
        <f ca="1"/>
        <v>#REF!</v>
      </c>
      <c r="T1090" s="25" t="e">
        <f ca="1"/>
        <v>#REF!</v>
      </c>
      <c r="U1090" s="25" t="e">
        <f ca="1"/>
        <v>#REF!</v>
      </c>
      <c r="V1090" s="25" t="e">
        <f ca="1"/>
        <v>#REF!</v>
      </c>
      <c r="W1090" s="33" t="e">
        <f ca="1"/>
        <v>#REF!</v>
      </c>
      <c r="X1090" s="33" t="e">
        <f ca="1"/>
        <v>#REF!</v>
      </c>
      <c r="Y1090" s="33" t="e">
        <f ca="1"/>
        <v>#REF!</v>
      </c>
      <c r="Z1090" s="33" t="e">
        <f ca="1"/>
        <v>#REF!</v>
      </c>
      <c r="AA1090" s="33" t="e">
        <f ca="1"/>
        <v>#REF!</v>
      </c>
    </row>
    <row r="1091" spans="1:28" s="70" customFormat="1" ht="11.25" x14ac:dyDescent="0.2">
      <c r="A1091" s="24">
        <v>1085</v>
      </c>
      <c r="B1091" s="24"/>
      <c r="C1091" s="25"/>
      <c r="D1091" s="26"/>
      <c r="E1091" s="25"/>
      <c r="F1091" s="25"/>
      <c r="G1091" s="24"/>
      <c r="H1091" s="25" t="e">
        <f ca="1"/>
        <v>#REF!</v>
      </c>
      <c r="I1091" s="27" t="e">
        <f ca="1"/>
        <v>#REF!</v>
      </c>
      <c r="J1091" s="28" t="e">
        <f ca="1"/>
        <v>#REF!</v>
      </c>
      <c r="K1091" s="27" t="e">
        <f ca="1"/>
        <v>#REF!</v>
      </c>
      <c r="L1091" s="25" t="e">
        <f ca="1"/>
        <v>#REF!</v>
      </c>
      <c r="M1091" s="25" t="e">
        <f ca="1"/>
        <v>#REF!</v>
      </c>
      <c r="N1091" s="25" t="e">
        <f ca="1"/>
        <v>#REF!</v>
      </c>
      <c r="O1091" s="25" t="e">
        <f ca="1"/>
        <v>#REF!</v>
      </c>
      <c r="P1091" s="25" t="e">
        <f ca="1"/>
        <v>#REF!</v>
      </c>
      <c r="Q1091" s="25" t="e">
        <f ca="1"/>
        <v>#REF!</v>
      </c>
      <c r="R1091" s="25" t="e">
        <f ca="1"/>
        <v>#REF!</v>
      </c>
      <c r="S1091" s="25" t="e">
        <f ca="1"/>
        <v>#REF!</v>
      </c>
      <c r="T1091" s="25" t="e">
        <f ca="1"/>
        <v>#REF!</v>
      </c>
      <c r="U1091" s="25" t="e">
        <f ca="1"/>
        <v>#REF!</v>
      </c>
      <c r="V1091" s="25" t="e">
        <f ca="1"/>
        <v>#REF!</v>
      </c>
      <c r="W1091" s="33" t="e">
        <f ca="1"/>
        <v>#REF!</v>
      </c>
      <c r="X1091" s="33" t="e">
        <f ca="1"/>
        <v>#REF!</v>
      </c>
      <c r="Y1091" s="33" t="e">
        <f ca="1"/>
        <v>#REF!</v>
      </c>
      <c r="Z1091" s="33" t="e">
        <f ca="1"/>
        <v>#REF!</v>
      </c>
      <c r="AA1091" s="33" t="e">
        <f ca="1"/>
        <v>#REF!</v>
      </c>
    </row>
    <row r="1092" spans="1:28" s="70" customFormat="1" ht="11.25" x14ac:dyDescent="0.2">
      <c r="A1092" s="24">
        <v>1086</v>
      </c>
      <c r="B1092" s="24"/>
      <c r="C1092" s="25"/>
      <c r="D1092" s="26"/>
      <c r="E1092" s="25"/>
      <c r="F1092" s="25"/>
      <c r="G1092" s="24"/>
      <c r="H1092" s="25" t="e">
        <f ca="1"/>
        <v>#REF!</v>
      </c>
      <c r="I1092" s="27" t="e">
        <f ca="1"/>
        <v>#REF!</v>
      </c>
      <c r="J1092" s="28" t="e">
        <f ca="1"/>
        <v>#REF!</v>
      </c>
      <c r="K1092" s="27" t="e">
        <f ca="1"/>
        <v>#REF!</v>
      </c>
      <c r="L1092" s="25" t="e">
        <f ca="1"/>
        <v>#REF!</v>
      </c>
      <c r="M1092" s="25" t="e">
        <f ca="1"/>
        <v>#REF!</v>
      </c>
      <c r="N1092" s="25" t="e">
        <f ca="1"/>
        <v>#REF!</v>
      </c>
      <c r="O1092" s="25" t="e">
        <f ca="1"/>
        <v>#REF!</v>
      </c>
      <c r="P1092" s="25" t="e">
        <f ca="1"/>
        <v>#REF!</v>
      </c>
      <c r="Q1092" s="25" t="e">
        <f ca="1"/>
        <v>#REF!</v>
      </c>
      <c r="R1092" s="25" t="e">
        <f ca="1"/>
        <v>#REF!</v>
      </c>
      <c r="S1092" s="25" t="e">
        <f ca="1"/>
        <v>#REF!</v>
      </c>
      <c r="T1092" s="25" t="e">
        <f ca="1"/>
        <v>#REF!</v>
      </c>
      <c r="U1092" s="25" t="e">
        <f ca="1"/>
        <v>#REF!</v>
      </c>
      <c r="V1092" s="25" t="e">
        <f ca="1"/>
        <v>#REF!</v>
      </c>
      <c r="W1092" s="33" t="e">
        <f ca="1"/>
        <v>#REF!</v>
      </c>
      <c r="X1092" s="33" t="e">
        <f ca="1"/>
        <v>#REF!</v>
      </c>
      <c r="Y1092" s="33" t="e">
        <f ca="1"/>
        <v>#REF!</v>
      </c>
      <c r="Z1092" s="33" t="e">
        <f ca="1"/>
        <v>#REF!</v>
      </c>
      <c r="AA1092" s="33" t="e">
        <f ca="1"/>
        <v>#REF!</v>
      </c>
    </row>
    <row r="1093" spans="1:28" s="70" customFormat="1" ht="11.25" x14ac:dyDescent="0.2">
      <c r="A1093" s="24">
        <v>1087</v>
      </c>
      <c r="B1093" s="24"/>
      <c r="C1093" s="25"/>
      <c r="D1093" s="26"/>
      <c r="E1093" s="25"/>
      <c r="F1093" s="25"/>
      <c r="G1093" s="24"/>
      <c r="H1093" s="25" t="e">
        <f ca="1"/>
        <v>#REF!</v>
      </c>
      <c r="I1093" s="27" t="e">
        <f ca="1"/>
        <v>#REF!</v>
      </c>
      <c r="J1093" s="28" t="e">
        <f ca="1"/>
        <v>#REF!</v>
      </c>
      <c r="K1093" s="27" t="e">
        <f ca="1"/>
        <v>#REF!</v>
      </c>
      <c r="L1093" s="25" t="e">
        <f ca="1"/>
        <v>#REF!</v>
      </c>
      <c r="M1093" s="25" t="e">
        <f ca="1"/>
        <v>#REF!</v>
      </c>
      <c r="N1093" s="25" t="e">
        <f ca="1"/>
        <v>#REF!</v>
      </c>
      <c r="O1093" s="25" t="e">
        <f ca="1"/>
        <v>#REF!</v>
      </c>
      <c r="P1093" s="25" t="e">
        <f ca="1"/>
        <v>#REF!</v>
      </c>
      <c r="Q1093" s="25" t="e">
        <f ca="1"/>
        <v>#REF!</v>
      </c>
      <c r="R1093" s="25" t="e">
        <f ca="1"/>
        <v>#REF!</v>
      </c>
      <c r="S1093" s="25" t="e">
        <f ca="1"/>
        <v>#REF!</v>
      </c>
      <c r="T1093" s="25" t="e">
        <f ca="1"/>
        <v>#REF!</v>
      </c>
      <c r="U1093" s="25" t="e">
        <f ca="1"/>
        <v>#REF!</v>
      </c>
      <c r="V1093" s="25" t="e">
        <f ca="1"/>
        <v>#REF!</v>
      </c>
      <c r="W1093" s="33" t="e">
        <f ca="1"/>
        <v>#REF!</v>
      </c>
      <c r="X1093" s="33" t="e">
        <f ca="1"/>
        <v>#REF!</v>
      </c>
      <c r="Y1093" s="33" t="e">
        <f ca="1"/>
        <v>#REF!</v>
      </c>
      <c r="Z1093" s="33" t="e">
        <f ca="1"/>
        <v>#REF!</v>
      </c>
      <c r="AA1093" s="33" t="e">
        <f ca="1"/>
        <v>#REF!</v>
      </c>
    </row>
    <row r="1094" spans="1:28" s="70" customFormat="1" ht="11.25" x14ac:dyDescent="0.2">
      <c r="A1094" s="24">
        <v>1088</v>
      </c>
      <c r="B1094" s="24"/>
      <c r="C1094" s="25"/>
      <c r="D1094" s="26"/>
      <c r="E1094" s="25"/>
      <c r="F1094" s="25"/>
      <c r="G1094" s="24"/>
      <c r="H1094" s="25" t="e">
        <f ca="1"/>
        <v>#REF!</v>
      </c>
      <c r="I1094" s="27" t="e">
        <f ca="1"/>
        <v>#REF!</v>
      </c>
      <c r="J1094" s="28" t="e">
        <f ca="1"/>
        <v>#REF!</v>
      </c>
      <c r="K1094" s="27" t="e">
        <f ca="1"/>
        <v>#REF!</v>
      </c>
      <c r="L1094" s="25" t="e">
        <f ca="1"/>
        <v>#REF!</v>
      </c>
      <c r="M1094" s="25" t="e">
        <f ca="1"/>
        <v>#REF!</v>
      </c>
      <c r="N1094" s="25" t="e">
        <f ca="1"/>
        <v>#REF!</v>
      </c>
      <c r="O1094" s="25" t="e">
        <f ca="1"/>
        <v>#REF!</v>
      </c>
      <c r="P1094" s="25" t="e">
        <f ca="1"/>
        <v>#REF!</v>
      </c>
      <c r="Q1094" s="25" t="e">
        <f ca="1"/>
        <v>#REF!</v>
      </c>
      <c r="R1094" s="25" t="e">
        <f ca="1"/>
        <v>#REF!</v>
      </c>
      <c r="S1094" s="25" t="e">
        <f ca="1"/>
        <v>#REF!</v>
      </c>
      <c r="T1094" s="25" t="e">
        <f ca="1"/>
        <v>#REF!</v>
      </c>
      <c r="U1094" s="25" t="e">
        <f ca="1"/>
        <v>#REF!</v>
      </c>
      <c r="V1094" s="25" t="e">
        <f ca="1"/>
        <v>#REF!</v>
      </c>
      <c r="W1094" s="33" t="e">
        <f ca="1"/>
        <v>#REF!</v>
      </c>
      <c r="X1094" s="33" t="e">
        <f ca="1"/>
        <v>#REF!</v>
      </c>
      <c r="Y1094" s="33" t="e">
        <f ca="1"/>
        <v>#REF!</v>
      </c>
      <c r="Z1094" s="33" t="e">
        <f ca="1"/>
        <v>#REF!</v>
      </c>
      <c r="AA1094" s="33" t="e">
        <f ca="1"/>
        <v>#REF!</v>
      </c>
    </row>
    <row r="1095" spans="1:28" s="70" customFormat="1" ht="11.25" x14ac:dyDescent="0.2">
      <c r="A1095" s="24">
        <v>1089</v>
      </c>
      <c r="B1095" s="24"/>
      <c r="C1095" s="25"/>
      <c r="D1095" s="26"/>
      <c r="E1095" s="25"/>
      <c r="F1095" s="25"/>
      <c r="G1095" s="24"/>
      <c r="H1095" s="25" t="e">
        <f ca="1"/>
        <v>#REF!</v>
      </c>
      <c r="I1095" s="27" t="e">
        <f ca="1"/>
        <v>#REF!</v>
      </c>
      <c r="J1095" s="28" t="e">
        <f ca="1"/>
        <v>#REF!</v>
      </c>
      <c r="K1095" s="27" t="e">
        <f ca="1"/>
        <v>#REF!</v>
      </c>
      <c r="L1095" s="25" t="e">
        <f ca="1"/>
        <v>#REF!</v>
      </c>
      <c r="M1095" s="25" t="e">
        <f ca="1"/>
        <v>#REF!</v>
      </c>
      <c r="N1095" s="25" t="e">
        <f ca="1"/>
        <v>#REF!</v>
      </c>
      <c r="O1095" s="25" t="e">
        <f ca="1"/>
        <v>#REF!</v>
      </c>
      <c r="P1095" s="25" t="e">
        <f ca="1"/>
        <v>#REF!</v>
      </c>
      <c r="Q1095" s="25" t="e">
        <f ca="1"/>
        <v>#REF!</v>
      </c>
      <c r="R1095" s="25" t="e">
        <f ca="1"/>
        <v>#REF!</v>
      </c>
      <c r="S1095" s="25" t="e">
        <f ca="1"/>
        <v>#REF!</v>
      </c>
      <c r="T1095" s="25" t="e">
        <f ca="1"/>
        <v>#REF!</v>
      </c>
      <c r="U1095" s="25" t="e">
        <f ca="1"/>
        <v>#REF!</v>
      </c>
      <c r="V1095" s="25" t="e">
        <f ca="1"/>
        <v>#REF!</v>
      </c>
      <c r="W1095" s="33" t="e">
        <f ca="1"/>
        <v>#REF!</v>
      </c>
      <c r="X1095" s="33" t="e">
        <f ca="1"/>
        <v>#REF!</v>
      </c>
      <c r="Y1095" s="33" t="e">
        <f ca="1"/>
        <v>#REF!</v>
      </c>
      <c r="Z1095" s="33" t="e">
        <f ca="1"/>
        <v>#REF!</v>
      </c>
      <c r="AA1095" s="33" t="e">
        <f ca="1"/>
        <v>#REF!</v>
      </c>
    </row>
    <row r="1096" spans="1:28" s="70" customFormat="1" ht="11.25" x14ac:dyDescent="0.2">
      <c r="A1096" s="24">
        <v>1090</v>
      </c>
      <c r="B1096" s="24"/>
      <c r="C1096" s="25"/>
      <c r="D1096" s="26"/>
      <c r="E1096" s="25"/>
      <c r="F1096" s="25"/>
      <c r="G1096" s="24"/>
      <c r="H1096" s="25" t="e">
        <f ca="1"/>
        <v>#REF!</v>
      </c>
      <c r="I1096" s="27" t="e">
        <f ca="1"/>
        <v>#REF!</v>
      </c>
      <c r="J1096" s="28" t="e">
        <f ca="1"/>
        <v>#REF!</v>
      </c>
      <c r="K1096" s="27" t="e">
        <f ca="1"/>
        <v>#REF!</v>
      </c>
      <c r="L1096" s="25" t="e">
        <f ca="1"/>
        <v>#REF!</v>
      </c>
      <c r="M1096" s="25" t="e">
        <f ca="1"/>
        <v>#REF!</v>
      </c>
      <c r="N1096" s="25" t="e">
        <f ca="1"/>
        <v>#REF!</v>
      </c>
      <c r="O1096" s="25" t="e">
        <f ca="1"/>
        <v>#REF!</v>
      </c>
      <c r="P1096" s="25" t="e">
        <f ca="1"/>
        <v>#REF!</v>
      </c>
      <c r="Q1096" s="25" t="e">
        <f ca="1"/>
        <v>#REF!</v>
      </c>
      <c r="R1096" s="25" t="e">
        <f ca="1"/>
        <v>#REF!</v>
      </c>
      <c r="S1096" s="25" t="e">
        <f ca="1"/>
        <v>#REF!</v>
      </c>
      <c r="T1096" s="25" t="e">
        <f ca="1"/>
        <v>#REF!</v>
      </c>
      <c r="U1096" s="25" t="e">
        <f ca="1"/>
        <v>#REF!</v>
      </c>
      <c r="V1096" s="25" t="e">
        <f ca="1"/>
        <v>#REF!</v>
      </c>
      <c r="W1096" s="33" t="e">
        <f ca="1"/>
        <v>#REF!</v>
      </c>
      <c r="X1096" s="33" t="e">
        <f ca="1"/>
        <v>#REF!</v>
      </c>
      <c r="Y1096" s="33" t="e">
        <f ca="1"/>
        <v>#REF!</v>
      </c>
      <c r="Z1096" s="33" t="e">
        <f ca="1"/>
        <v>#REF!</v>
      </c>
      <c r="AA1096" s="33" t="e">
        <f ca="1"/>
        <v>#REF!</v>
      </c>
    </row>
    <row r="1097" spans="1:28" s="70" customFormat="1" ht="11.25" x14ac:dyDescent="0.2">
      <c r="A1097" s="24">
        <v>1091</v>
      </c>
      <c r="B1097" s="24"/>
      <c r="C1097" s="25"/>
      <c r="D1097" s="26"/>
      <c r="E1097" s="25"/>
      <c r="F1097" s="25"/>
      <c r="G1097" s="24"/>
      <c r="H1097" s="25" t="e">
        <f ca="1"/>
        <v>#REF!</v>
      </c>
      <c r="I1097" s="27" t="e">
        <f ca="1"/>
        <v>#REF!</v>
      </c>
      <c r="J1097" s="28" t="e">
        <f ca="1"/>
        <v>#REF!</v>
      </c>
      <c r="K1097" s="27" t="e">
        <f ca="1"/>
        <v>#REF!</v>
      </c>
      <c r="L1097" s="25" t="e">
        <f ca="1"/>
        <v>#REF!</v>
      </c>
      <c r="M1097" s="25" t="e">
        <f ca="1"/>
        <v>#REF!</v>
      </c>
      <c r="N1097" s="25" t="e">
        <f ca="1"/>
        <v>#REF!</v>
      </c>
      <c r="O1097" s="25" t="e">
        <f ca="1"/>
        <v>#REF!</v>
      </c>
      <c r="P1097" s="25" t="e">
        <f ca="1"/>
        <v>#REF!</v>
      </c>
      <c r="Q1097" s="25" t="e">
        <f ca="1"/>
        <v>#REF!</v>
      </c>
      <c r="R1097" s="25" t="e">
        <f ca="1"/>
        <v>#REF!</v>
      </c>
      <c r="S1097" s="25" t="e">
        <f ca="1"/>
        <v>#REF!</v>
      </c>
      <c r="T1097" s="25" t="e">
        <f ca="1"/>
        <v>#REF!</v>
      </c>
      <c r="U1097" s="25" t="e">
        <f ca="1"/>
        <v>#REF!</v>
      </c>
      <c r="V1097" s="25" t="e">
        <f ca="1"/>
        <v>#REF!</v>
      </c>
      <c r="W1097" s="33" t="e">
        <f ca="1"/>
        <v>#REF!</v>
      </c>
      <c r="X1097" s="33" t="e">
        <f ca="1"/>
        <v>#REF!</v>
      </c>
      <c r="Y1097" s="33" t="e">
        <f ca="1"/>
        <v>#REF!</v>
      </c>
      <c r="Z1097" s="33" t="e">
        <f ca="1"/>
        <v>#REF!</v>
      </c>
      <c r="AA1097" s="33" t="e">
        <f ca="1"/>
        <v>#REF!</v>
      </c>
    </row>
    <row r="1098" spans="1:28" s="70" customFormat="1" ht="11.25" x14ac:dyDescent="0.2">
      <c r="A1098" s="24">
        <v>1092</v>
      </c>
      <c r="B1098" s="24"/>
      <c r="C1098" s="25"/>
      <c r="D1098" s="26"/>
      <c r="E1098" s="25"/>
      <c r="F1098" s="25"/>
      <c r="G1098" s="24"/>
      <c r="H1098" s="25" t="e">
        <f ca="1"/>
        <v>#REF!</v>
      </c>
      <c r="I1098" s="27" t="e">
        <f ca="1"/>
        <v>#REF!</v>
      </c>
      <c r="J1098" s="28" t="e">
        <f ca="1"/>
        <v>#REF!</v>
      </c>
      <c r="K1098" s="27" t="e">
        <f ca="1"/>
        <v>#REF!</v>
      </c>
      <c r="L1098" s="25" t="e">
        <f ca="1"/>
        <v>#REF!</v>
      </c>
      <c r="M1098" s="25" t="e">
        <f ca="1"/>
        <v>#REF!</v>
      </c>
      <c r="N1098" s="25" t="e">
        <f ca="1"/>
        <v>#REF!</v>
      </c>
      <c r="O1098" s="25" t="e">
        <f ca="1"/>
        <v>#REF!</v>
      </c>
      <c r="P1098" s="25" t="e">
        <f ca="1"/>
        <v>#REF!</v>
      </c>
      <c r="Q1098" s="25" t="e">
        <f ca="1"/>
        <v>#REF!</v>
      </c>
      <c r="R1098" s="25" t="e">
        <f ca="1"/>
        <v>#REF!</v>
      </c>
      <c r="S1098" s="25" t="e">
        <f ca="1"/>
        <v>#REF!</v>
      </c>
      <c r="T1098" s="25" t="e">
        <f ca="1"/>
        <v>#REF!</v>
      </c>
      <c r="U1098" s="25" t="e">
        <f ca="1"/>
        <v>#REF!</v>
      </c>
      <c r="V1098" s="25" t="e">
        <f ca="1"/>
        <v>#REF!</v>
      </c>
      <c r="W1098" s="33" t="e">
        <f ca="1"/>
        <v>#REF!</v>
      </c>
      <c r="X1098" s="33" t="e">
        <f ca="1"/>
        <v>#REF!</v>
      </c>
      <c r="Y1098" s="33" t="e">
        <f ca="1"/>
        <v>#REF!</v>
      </c>
      <c r="Z1098" s="33" t="e">
        <f ca="1"/>
        <v>#REF!</v>
      </c>
      <c r="AA1098" s="33" t="e">
        <f ca="1"/>
        <v>#REF!</v>
      </c>
    </row>
    <row r="1099" spans="1:28" s="70" customFormat="1" ht="11.25" x14ac:dyDescent="0.2">
      <c r="A1099" s="24">
        <v>1093</v>
      </c>
      <c r="B1099" s="24"/>
      <c r="C1099" s="25"/>
      <c r="D1099" s="26"/>
      <c r="E1099" s="25"/>
      <c r="F1099" s="25"/>
      <c r="G1099" s="24"/>
      <c r="H1099" s="25" t="e">
        <f ca="1"/>
        <v>#REF!</v>
      </c>
      <c r="I1099" s="27" t="e">
        <f ca="1"/>
        <v>#REF!</v>
      </c>
      <c r="J1099" s="28" t="e">
        <f ca="1"/>
        <v>#REF!</v>
      </c>
      <c r="K1099" s="27" t="e">
        <f ca="1"/>
        <v>#REF!</v>
      </c>
      <c r="L1099" s="25" t="e">
        <f ca="1"/>
        <v>#REF!</v>
      </c>
      <c r="M1099" s="25" t="e">
        <f ca="1"/>
        <v>#REF!</v>
      </c>
      <c r="N1099" s="25" t="e">
        <f ca="1"/>
        <v>#REF!</v>
      </c>
      <c r="O1099" s="25" t="e">
        <f ca="1"/>
        <v>#REF!</v>
      </c>
      <c r="P1099" s="25" t="e">
        <f ca="1"/>
        <v>#REF!</v>
      </c>
      <c r="Q1099" s="25" t="e">
        <f ca="1"/>
        <v>#REF!</v>
      </c>
      <c r="R1099" s="25" t="e">
        <f ca="1"/>
        <v>#REF!</v>
      </c>
      <c r="S1099" s="25" t="e">
        <f ca="1"/>
        <v>#REF!</v>
      </c>
      <c r="T1099" s="25" t="e">
        <f ca="1"/>
        <v>#REF!</v>
      </c>
      <c r="U1099" s="25" t="e">
        <f ca="1"/>
        <v>#REF!</v>
      </c>
      <c r="V1099" s="25" t="e">
        <f ca="1"/>
        <v>#REF!</v>
      </c>
      <c r="W1099" s="33" t="e">
        <f ca="1"/>
        <v>#REF!</v>
      </c>
      <c r="X1099" s="33" t="e">
        <f ca="1"/>
        <v>#REF!</v>
      </c>
      <c r="Y1099" s="33" t="e">
        <f ca="1"/>
        <v>#REF!</v>
      </c>
      <c r="Z1099" s="33" t="e">
        <f ca="1"/>
        <v>#REF!</v>
      </c>
      <c r="AA1099" s="33" t="e">
        <f ca="1"/>
        <v>#REF!</v>
      </c>
    </row>
    <row r="1100" spans="1:28" s="70" customFormat="1" ht="11.25" x14ac:dyDescent="0.2">
      <c r="A1100" s="24">
        <v>1094</v>
      </c>
      <c r="B1100" s="24"/>
      <c r="C1100" s="25"/>
      <c r="D1100" s="26"/>
      <c r="E1100" s="25"/>
      <c r="F1100" s="25"/>
      <c r="G1100" s="24"/>
      <c r="H1100" s="25" t="e">
        <f ca="1"/>
        <v>#REF!</v>
      </c>
      <c r="I1100" s="27" t="e">
        <f ca="1"/>
        <v>#REF!</v>
      </c>
      <c r="J1100" s="28" t="e">
        <f ca="1"/>
        <v>#REF!</v>
      </c>
      <c r="K1100" s="27" t="e">
        <f ca="1"/>
        <v>#REF!</v>
      </c>
      <c r="L1100" s="25" t="e">
        <f ca="1"/>
        <v>#REF!</v>
      </c>
      <c r="M1100" s="25" t="e">
        <f ca="1"/>
        <v>#REF!</v>
      </c>
      <c r="N1100" s="25" t="e">
        <f ca="1"/>
        <v>#REF!</v>
      </c>
      <c r="O1100" s="25" t="e">
        <f ca="1"/>
        <v>#REF!</v>
      </c>
      <c r="P1100" s="25" t="e">
        <f ca="1"/>
        <v>#REF!</v>
      </c>
      <c r="Q1100" s="25" t="e">
        <f ca="1"/>
        <v>#REF!</v>
      </c>
      <c r="R1100" s="25" t="e">
        <f ca="1"/>
        <v>#REF!</v>
      </c>
      <c r="S1100" s="25" t="e">
        <f ca="1"/>
        <v>#REF!</v>
      </c>
      <c r="T1100" s="25" t="e">
        <f ca="1"/>
        <v>#REF!</v>
      </c>
      <c r="U1100" s="25" t="e">
        <f ca="1"/>
        <v>#REF!</v>
      </c>
      <c r="V1100" s="25" t="e">
        <f ca="1"/>
        <v>#REF!</v>
      </c>
      <c r="W1100" s="33" t="e">
        <f ca="1"/>
        <v>#REF!</v>
      </c>
      <c r="X1100" s="33" t="e">
        <f ca="1"/>
        <v>#REF!</v>
      </c>
      <c r="Y1100" s="33" t="e">
        <f ca="1"/>
        <v>#REF!</v>
      </c>
      <c r="Z1100" s="33" t="e">
        <f ca="1"/>
        <v>#REF!</v>
      </c>
      <c r="AA1100" s="33" t="e">
        <f ca="1"/>
        <v>#REF!</v>
      </c>
    </row>
    <row r="1101" spans="1:28" s="70" customFormat="1" ht="11.25" x14ac:dyDescent="0.2">
      <c r="A1101" s="24">
        <v>1095</v>
      </c>
      <c r="B1101" s="24"/>
      <c r="C1101" s="25"/>
      <c r="D1101" s="26"/>
      <c r="E1101" s="25"/>
      <c r="F1101" s="25"/>
      <c r="G1101" s="24"/>
      <c r="H1101" s="25" t="e">
        <f ca="1"/>
        <v>#REF!</v>
      </c>
      <c r="I1101" s="27" t="e">
        <f ca="1"/>
        <v>#REF!</v>
      </c>
      <c r="J1101" s="28" t="e">
        <f ca="1"/>
        <v>#REF!</v>
      </c>
      <c r="K1101" s="27" t="e">
        <f ca="1"/>
        <v>#REF!</v>
      </c>
      <c r="L1101" s="25" t="e">
        <f ca="1"/>
        <v>#REF!</v>
      </c>
      <c r="M1101" s="25" t="e">
        <f ca="1"/>
        <v>#REF!</v>
      </c>
      <c r="N1101" s="25" t="e">
        <f ca="1"/>
        <v>#REF!</v>
      </c>
      <c r="O1101" s="25" t="e">
        <f ca="1"/>
        <v>#REF!</v>
      </c>
      <c r="P1101" s="25" t="e">
        <f ca="1"/>
        <v>#REF!</v>
      </c>
      <c r="Q1101" s="25" t="e">
        <f ca="1"/>
        <v>#REF!</v>
      </c>
      <c r="R1101" s="25" t="e">
        <f ca="1"/>
        <v>#REF!</v>
      </c>
      <c r="S1101" s="25" t="e">
        <f ca="1"/>
        <v>#REF!</v>
      </c>
      <c r="T1101" s="25" t="e">
        <f ca="1"/>
        <v>#REF!</v>
      </c>
      <c r="U1101" s="25" t="e">
        <f ca="1"/>
        <v>#REF!</v>
      </c>
      <c r="V1101" s="25" t="e">
        <f ca="1"/>
        <v>#REF!</v>
      </c>
      <c r="W1101" s="33" t="e">
        <f ca="1"/>
        <v>#REF!</v>
      </c>
      <c r="X1101" s="33" t="e">
        <f ca="1"/>
        <v>#REF!</v>
      </c>
      <c r="Y1101" s="33" t="e">
        <f ca="1"/>
        <v>#REF!</v>
      </c>
      <c r="Z1101" s="33" t="e">
        <f ca="1"/>
        <v>#REF!</v>
      </c>
      <c r="AA1101" s="33" t="e">
        <f ca="1"/>
        <v>#REF!</v>
      </c>
    </row>
    <row r="1102" spans="1:28" s="70" customFormat="1" ht="11.25" x14ac:dyDescent="0.2">
      <c r="A1102" s="24">
        <v>1096</v>
      </c>
      <c r="B1102" s="24"/>
      <c r="C1102" s="25"/>
      <c r="D1102" s="26"/>
      <c r="E1102" s="25"/>
      <c r="F1102" s="25"/>
      <c r="G1102" s="24"/>
      <c r="H1102" s="25" t="e">
        <f ca="1"/>
        <v>#REF!</v>
      </c>
      <c r="I1102" s="27" t="e">
        <f ca="1"/>
        <v>#REF!</v>
      </c>
      <c r="J1102" s="28" t="e">
        <f ca="1"/>
        <v>#REF!</v>
      </c>
      <c r="K1102" s="27" t="e">
        <f ca="1"/>
        <v>#REF!</v>
      </c>
      <c r="L1102" s="25" t="e">
        <f ca="1"/>
        <v>#REF!</v>
      </c>
      <c r="M1102" s="25" t="e">
        <f ca="1"/>
        <v>#REF!</v>
      </c>
      <c r="N1102" s="25" t="e">
        <f ca="1"/>
        <v>#REF!</v>
      </c>
      <c r="O1102" s="25" t="e">
        <f ca="1"/>
        <v>#REF!</v>
      </c>
      <c r="P1102" s="25" t="e">
        <f ca="1"/>
        <v>#REF!</v>
      </c>
      <c r="Q1102" s="25" t="e">
        <f ca="1"/>
        <v>#REF!</v>
      </c>
      <c r="R1102" s="25" t="e">
        <f ca="1"/>
        <v>#REF!</v>
      </c>
      <c r="S1102" s="25" t="e">
        <f ca="1"/>
        <v>#REF!</v>
      </c>
      <c r="T1102" s="25" t="e">
        <f ca="1"/>
        <v>#REF!</v>
      </c>
      <c r="U1102" s="25" t="e">
        <f ca="1"/>
        <v>#REF!</v>
      </c>
      <c r="V1102" s="25" t="e">
        <f ca="1"/>
        <v>#REF!</v>
      </c>
      <c r="W1102" s="33" t="e">
        <f ca="1"/>
        <v>#REF!</v>
      </c>
      <c r="X1102" s="33" t="e">
        <f ca="1"/>
        <v>#REF!</v>
      </c>
      <c r="Y1102" s="33" t="e">
        <f ca="1"/>
        <v>#REF!</v>
      </c>
      <c r="Z1102" s="33" t="e">
        <f ca="1"/>
        <v>#REF!</v>
      </c>
      <c r="AA1102" s="33" t="e">
        <f ca="1"/>
        <v>#REF!</v>
      </c>
    </row>
    <row r="1103" spans="1:28" s="70" customFormat="1" ht="11.25" x14ac:dyDescent="0.2">
      <c r="A1103" s="24">
        <v>1097</v>
      </c>
      <c r="B1103" s="24"/>
      <c r="C1103" s="25"/>
      <c r="D1103" s="26"/>
      <c r="E1103" s="25"/>
      <c r="F1103" s="25"/>
      <c r="G1103" s="24"/>
      <c r="H1103" s="25" t="e">
        <f ca="1"/>
        <v>#REF!</v>
      </c>
      <c r="I1103" s="27" t="e">
        <f ca="1"/>
        <v>#REF!</v>
      </c>
      <c r="J1103" s="28" t="e">
        <f ca="1"/>
        <v>#REF!</v>
      </c>
      <c r="K1103" s="27" t="e">
        <f ca="1"/>
        <v>#REF!</v>
      </c>
      <c r="L1103" s="25" t="e">
        <f ca="1"/>
        <v>#REF!</v>
      </c>
      <c r="M1103" s="25" t="e">
        <f ca="1"/>
        <v>#REF!</v>
      </c>
      <c r="N1103" s="25" t="e">
        <f ca="1"/>
        <v>#REF!</v>
      </c>
      <c r="O1103" s="25" t="e">
        <f ca="1"/>
        <v>#REF!</v>
      </c>
      <c r="P1103" s="25" t="e">
        <f ca="1"/>
        <v>#REF!</v>
      </c>
      <c r="Q1103" s="25" t="e">
        <f ca="1"/>
        <v>#REF!</v>
      </c>
      <c r="R1103" s="25" t="e">
        <f ca="1"/>
        <v>#REF!</v>
      </c>
      <c r="S1103" s="25" t="e">
        <f ca="1"/>
        <v>#REF!</v>
      </c>
      <c r="T1103" s="25" t="e">
        <f ca="1"/>
        <v>#REF!</v>
      </c>
      <c r="U1103" s="25" t="e">
        <f ca="1"/>
        <v>#REF!</v>
      </c>
      <c r="V1103" s="25" t="e">
        <f ca="1"/>
        <v>#REF!</v>
      </c>
      <c r="W1103" s="33" t="e">
        <f ca="1"/>
        <v>#REF!</v>
      </c>
      <c r="X1103" s="33" t="e">
        <f ca="1"/>
        <v>#REF!</v>
      </c>
      <c r="Y1103" s="33" t="e">
        <f ca="1"/>
        <v>#REF!</v>
      </c>
      <c r="Z1103" s="59" t="e">
        <f ca="1"/>
        <v>#REF!</v>
      </c>
      <c r="AA1103" s="33" t="e">
        <f ca="1"/>
        <v>#REF!</v>
      </c>
    </row>
    <row r="1104" spans="1:28" s="70" customFormat="1" ht="11.25" x14ac:dyDescent="0.2">
      <c r="A1104" s="24">
        <v>1098</v>
      </c>
      <c r="B1104" s="24"/>
      <c r="C1104" s="25"/>
      <c r="D1104" s="26"/>
      <c r="E1104" s="25"/>
      <c r="F1104" s="25"/>
      <c r="G1104" s="24"/>
      <c r="H1104" s="25" t="e">
        <f ca="1"/>
        <v>#REF!</v>
      </c>
      <c r="I1104" s="27" t="e">
        <f ca="1"/>
        <v>#REF!</v>
      </c>
      <c r="J1104" s="28" t="e">
        <f ca="1"/>
        <v>#REF!</v>
      </c>
      <c r="K1104" s="27" t="e">
        <f ca="1"/>
        <v>#REF!</v>
      </c>
      <c r="L1104" s="25" t="e">
        <f ca="1"/>
        <v>#REF!</v>
      </c>
      <c r="M1104" s="25" t="e">
        <f ca="1"/>
        <v>#REF!</v>
      </c>
      <c r="N1104" s="25" t="e">
        <f ca="1"/>
        <v>#REF!</v>
      </c>
      <c r="O1104" s="25" t="e">
        <f ca="1"/>
        <v>#REF!</v>
      </c>
      <c r="P1104" s="25" t="e">
        <f ca="1"/>
        <v>#REF!</v>
      </c>
      <c r="Q1104" s="25" t="e">
        <f ca="1"/>
        <v>#REF!</v>
      </c>
      <c r="R1104" s="25" t="e">
        <f ca="1"/>
        <v>#REF!</v>
      </c>
      <c r="S1104" s="25" t="e">
        <f ca="1"/>
        <v>#REF!</v>
      </c>
      <c r="T1104" s="25" t="e">
        <f ca="1"/>
        <v>#REF!</v>
      </c>
      <c r="U1104" s="25" t="e">
        <f ca="1"/>
        <v>#REF!</v>
      </c>
      <c r="V1104" s="25" t="e">
        <f ca="1"/>
        <v>#REF!</v>
      </c>
      <c r="W1104" s="33" t="e">
        <f ca="1"/>
        <v>#REF!</v>
      </c>
      <c r="X1104" s="33" t="e">
        <f ca="1"/>
        <v>#REF!</v>
      </c>
      <c r="Y1104" s="33" t="e">
        <f ca="1"/>
        <v>#REF!</v>
      </c>
      <c r="Z1104" s="33" t="e">
        <f ca="1"/>
        <v>#REF!</v>
      </c>
      <c r="AA1104" s="33" t="e">
        <f ca="1"/>
        <v>#REF!</v>
      </c>
      <c r="AB1104" s="70" t="s">
        <v>2151</v>
      </c>
    </row>
    <row r="1105" spans="1:28" s="70" customFormat="1" ht="11.25" x14ac:dyDescent="0.2">
      <c r="A1105" s="24">
        <v>1099</v>
      </c>
      <c r="B1105" s="24"/>
      <c r="C1105" s="25"/>
      <c r="D1105" s="26"/>
      <c r="E1105" s="25"/>
      <c r="F1105" s="25"/>
      <c r="G1105" s="24"/>
      <c r="H1105" s="25" t="e">
        <f ca="1"/>
        <v>#REF!</v>
      </c>
      <c r="I1105" s="27" t="e">
        <f ca="1"/>
        <v>#REF!</v>
      </c>
      <c r="J1105" s="28" t="e">
        <f ca="1"/>
        <v>#REF!</v>
      </c>
      <c r="K1105" s="27" t="e">
        <f ca="1"/>
        <v>#REF!</v>
      </c>
      <c r="L1105" s="25" t="e">
        <f ca="1"/>
        <v>#REF!</v>
      </c>
      <c r="M1105" s="25" t="e">
        <f ca="1"/>
        <v>#REF!</v>
      </c>
      <c r="N1105" s="25" t="e">
        <f ca="1"/>
        <v>#REF!</v>
      </c>
      <c r="O1105" s="25" t="e">
        <f ca="1"/>
        <v>#REF!</v>
      </c>
      <c r="P1105" s="25" t="e">
        <f ca="1"/>
        <v>#REF!</v>
      </c>
      <c r="Q1105" s="25" t="e">
        <f ca="1"/>
        <v>#REF!</v>
      </c>
      <c r="R1105" s="25" t="e">
        <f ca="1"/>
        <v>#REF!</v>
      </c>
      <c r="S1105" s="25" t="e">
        <f ca="1"/>
        <v>#REF!</v>
      </c>
      <c r="T1105" s="25" t="e">
        <f ca="1"/>
        <v>#REF!</v>
      </c>
      <c r="U1105" s="25" t="e">
        <f ca="1"/>
        <v>#REF!</v>
      </c>
      <c r="V1105" s="25" t="e">
        <f ca="1"/>
        <v>#REF!</v>
      </c>
      <c r="W1105" s="33" t="e">
        <f ca="1"/>
        <v>#REF!</v>
      </c>
      <c r="X1105" s="33" t="e">
        <f ca="1"/>
        <v>#REF!</v>
      </c>
      <c r="Y1105" s="33" t="e">
        <f ca="1"/>
        <v>#REF!</v>
      </c>
      <c r="Z1105" s="33" t="e">
        <f ca="1"/>
        <v>#REF!</v>
      </c>
      <c r="AA1105" s="33" t="e">
        <f ca="1"/>
        <v>#REF!</v>
      </c>
    </row>
    <row r="1106" spans="1:28" s="70" customFormat="1" ht="11.25" x14ac:dyDescent="0.2">
      <c r="A1106" s="24">
        <v>1100</v>
      </c>
      <c r="B1106" s="24"/>
      <c r="C1106" s="25"/>
      <c r="D1106" s="26"/>
      <c r="E1106" s="25"/>
      <c r="F1106" s="25"/>
      <c r="G1106" s="24"/>
      <c r="H1106" s="25" t="e">
        <f ca="1"/>
        <v>#REF!</v>
      </c>
      <c r="I1106" s="27" t="e">
        <f ca="1"/>
        <v>#REF!</v>
      </c>
      <c r="J1106" s="28" t="e">
        <f ca="1"/>
        <v>#REF!</v>
      </c>
      <c r="K1106" s="27" t="e">
        <f ca="1"/>
        <v>#REF!</v>
      </c>
      <c r="L1106" s="25" t="e">
        <f ca="1"/>
        <v>#REF!</v>
      </c>
      <c r="M1106" s="25" t="e">
        <f ca="1"/>
        <v>#REF!</v>
      </c>
      <c r="N1106" s="25" t="e">
        <f ca="1"/>
        <v>#REF!</v>
      </c>
      <c r="O1106" s="25" t="e">
        <f ca="1"/>
        <v>#REF!</v>
      </c>
      <c r="P1106" s="25" t="e">
        <f ca="1"/>
        <v>#REF!</v>
      </c>
      <c r="Q1106" s="25" t="e">
        <f ca="1"/>
        <v>#REF!</v>
      </c>
      <c r="R1106" s="25" t="e">
        <f ca="1"/>
        <v>#REF!</v>
      </c>
      <c r="S1106" s="25" t="e">
        <f ca="1"/>
        <v>#REF!</v>
      </c>
      <c r="T1106" s="25" t="e">
        <f ca="1"/>
        <v>#REF!</v>
      </c>
      <c r="U1106" s="25" t="e">
        <f ca="1"/>
        <v>#REF!</v>
      </c>
      <c r="V1106" s="25" t="e">
        <f ca="1"/>
        <v>#REF!</v>
      </c>
      <c r="W1106" s="33" t="e">
        <f ca="1"/>
        <v>#REF!</v>
      </c>
      <c r="X1106" s="33" t="e">
        <f ca="1"/>
        <v>#REF!</v>
      </c>
      <c r="Y1106" s="33" t="e">
        <f ca="1"/>
        <v>#REF!</v>
      </c>
      <c r="Z1106" s="33" t="e">
        <f ca="1"/>
        <v>#REF!</v>
      </c>
      <c r="AA1106" s="33" t="e">
        <f ca="1"/>
        <v>#REF!</v>
      </c>
    </row>
    <row r="1107" spans="1:28" s="70" customFormat="1" ht="11.25" x14ac:dyDescent="0.2">
      <c r="A1107" s="24">
        <v>1101</v>
      </c>
      <c r="B1107" s="24"/>
      <c r="C1107" s="25"/>
      <c r="D1107" s="26"/>
      <c r="E1107" s="25"/>
      <c r="F1107" s="25"/>
      <c r="G1107" s="24"/>
      <c r="H1107" s="25" t="e">
        <f ca="1"/>
        <v>#REF!</v>
      </c>
      <c r="I1107" s="27" t="e">
        <f ca="1"/>
        <v>#REF!</v>
      </c>
      <c r="J1107" s="28" t="e">
        <f ca="1"/>
        <v>#REF!</v>
      </c>
      <c r="K1107" s="27" t="e">
        <f ca="1"/>
        <v>#REF!</v>
      </c>
      <c r="L1107" s="25" t="e">
        <f ca="1"/>
        <v>#REF!</v>
      </c>
      <c r="M1107" s="25" t="e">
        <f ca="1"/>
        <v>#REF!</v>
      </c>
      <c r="N1107" s="25" t="e">
        <f ca="1"/>
        <v>#REF!</v>
      </c>
      <c r="O1107" s="25" t="e">
        <f ca="1"/>
        <v>#REF!</v>
      </c>
      <c r="P1107" s="25" t="e">
        <f ca="1"/>
        <v>#REF!</v>
      </c>
      <c r="Q1107" s="25" t="e">
        <f ca="1"/>
        <v>#REF!</v>
      </c>
      <c r="R1107" s="25" t="e">
        <f ca="1"/>
        <v>#REF!</v>
      </c>
      <c r="S1107" s="25" t="e">
        <f ca="1"/>
        <v>#REF!</v>
      </c>
      <c r="T1107" s="25" t="e">
        <f ca="1"/>
        <v>#REF!</v>
      </c>
      <c r="U1107" s="25" t="e">
        <f ca="1"/>
        <v>#REF!</v>
      </c>
      <c r="V1107" s="25" t="e">
        <f ca="1"/>
        <v>#REF!</v>
      </c>
      <c r="W1107" s="33" t="e">
        <f ca="1"/>
        <v>#REF!</v>
      </c>
      <c r="X1107" s="33" t="e">
        <f ca="1"/>
        <v>#REF!</v>
      </c>
      <c r="Y1107" s="33" t="e">
        <f ca="1"/>
        <v>#REF!</v>
      </c>
      <c r="Z1107" s="33" t="e">
        <f ca="1"/>
        <v>#REF!</v>
      </c>
      <c r="AA1107" s="33" t="e">
        <f ca="1"/>
        <v>#REF!</v>
      </c>
    </row>
    <row r="1108" spans="1:28" s="70" customFormat="1" ht="11.25" x14ac:dyDescent="0.2">
      <c r="A1108" s="24">
        <v>1102</v>
      </c>
      <c r="B1108" s="24"/>
      <c r="C1108" s="25"/>
      <c r="D1108" s="26"/>
      <c r="E1108" s="25"/>
      <c r="F1108" s="25"/>
      <c r="G1108" s="24"/>
      <c r="H1108" s="25" t="e">
        <f ca="1"/>
        <v>#REF!</v>
      </c>
      <c r="I1108" s="27" t="e">
        <f ca="1"/>
        <v>#REF!</v>
      </c>
      <c r="J1108" s="28" t="e">
        <f ca="1"/>
        <v>#REF!</v>
      </c>
      <c r="K1108" s="27" t="e">
        <f ca="1"/>
        <v>#REF!</v>
      </c>
      <c r="L1108" s="25" t="e">
        <f ca="1"/>
        <v>#REF!</v>
      </c>
      <c r="M1108" s="25" t="e">
        <f ca="1"/>
        <v>#REF!</v>
      </c>
      <c r="N1108" s="25" t="e">
        <f ca="1"/>
        <v>#REF!</v>
      </c>
      <c r="O1108" s="25" t="e">
        <f ca="1"/>
        <v>#REF!</v>
      </c>
      <c r="P1108" s="25" t="e">
        <f ca="1"/>
        <v>#REF!</v>
      </c>
      <c r="Q1108" s="25" t="e">
        <f ca="1"/>
        <v>#REF!</v>
      </c>
      <c r="R1108" s="25" t="e">
        <f ca="1"/>
        <v>#REF!</v>
      </c>
      <c r="S1108" s="25" t="e">
        <f ca="1"/>
        <v>#REF!</v>
      </c>
      <c r="T1108" s="25" t="e">
        <f ca="1"/>
        <v>#REF!</v>
      </c>
      <c r="U1108" s="25" t="e">
        <f ca="1"/>
        <v>#REF!</v>
      </c>
      <c r="V1108" s="25" t="e">
        <f ca="1"/>
        <v>#REF!</v>
      </c>
      <c r="W1108" s="33" t="e">
        <f ca="1"/>
        <v>#REF!</v>
      </c>
      <c r="X1108" s="33" t="e">
        <f ca="1"/>
        <v>#REF!</v>
      </c>
      <c r="Y1108" s="33" t="e">
        <f ca="1"/>
        <v>#REF!</v>
      </c>
      <c r="Z1108" s="33" t="e">
        <f ca="1"/>
        <v>#REF!</v>
      </c>
      <c r="AA1108" s="33" t="e">
        <f ca="1"/>
        <v>#REF!</v>
      </c>
    </row>
    <row r="1109" spans="1:28" s="70" customFormat="1" ht="11.25" x14ac:dyDescent="0.2">
      <c r="A1109" s="24">
        <v>1103</v>
      </c>
      <c r="B1109" s="24"/>
      <c r="C1109" s="25"/>
      <c r="D1109" s="26"/>
      <c r="E1109" s="25"/>
      <c r="F1109" s="25"/>
      <c r="G1109" s="24"/>
      <c r="H1109" s="25" t="e">
        <f ca="1"/>
        <v>#REF!</v>
      </c>
      <c r="I1109" s="27" t="e">
        <f ca="1"/>
        <v>#REF!</v>
      </c>
      <c r="J1109" s="28" t="e">
        <f ca="1"/>
        <v>#REF!</v>
      </c>
      <c r="K1109" s="27" t="e">
        <f ca="1"/>
        <v>#REF!</v>
      </c>
      <c r="L1109" s="25" t="e">
        <f ca="1"/>
        <v>#REF!</v>
      </c>
      <c r="M1109" s="25" t="e">
        <f ca="1"/>
        <v>#REF!</v>
      </c>
      <c r="N1109" s="25" t="e">
        <f ca="1"/>
        <v>#REF!</v>
      </c>
      <c r="O1109" s="25" t="e">
        <f ca="1"/>
        <v>#REF!</v>
      </c>
      <c r="P1109" s="25" t="e">
        <f ca="1"/>
        <v>#REF!</v>
      </c>
      <c r="Q1109" s="25" t="e">
        <f ca="1"/>
        <v>#REF!</v>
      </c>
      <c r="R1109" s="25" t="e">
        <f ca="1"/>
        <v>#REF!</v>
      </c>
      <c r="S1109" s="25" t="e">
        <f ca="1"/>
        <v>#REF!</v>
      </c>
      <c r="T1109" s="25" t="e">
        <f ca="1"/>
        <v>#REF!</v>
      </c>
      <c r="U1109" s="25" t="e">
        <f ca="1"/>
        <v>#REF!</v>
      </c>
      <c r="V1109" s="25" t="e">
        <f ca="1"/>
        <v>#REF!</v>
      </c>
      <c r="W1109" s="33" t="e">
        <f ca="1"/>
        <v>#REF!</v>
      </c>
      <c r="X1109" s="33" t="e">
        <f ca="1"/>
        <v>#REF!</v>
      </c>
      <c r="Y1109" s="33" t="e">
        <f ca="1"/>
        <v>#REF!</v>
      </c>
      <c r="Z1109" s="33" t="e">
        <f ca="1"/>
        <v>#REF!</v>
      </c>
      <c r="AA1109" s="33" t="e">
        <f ca="1"/>
        <v>#REF!</v>
      </c>
    </row>
    <row r="1110" spans="1:28" s="70" customFormat="1" ht="11.25" x14ac:dyDescent="0.2">
      <c r="A1110" s="24">
        <v>1104</v>
      </c>
      <c r="B1110" s="24"/>
      <c r="C1110" s="25"/>
      <c r="D1110" s="26"/>
      <c r="E1110" s="25"/>
      <c r="F1110" s="25"/>
      <c r="G1110" s="24"/>
      <c r="H1110" s="25" t="e">
        <f ca="1"/>
        <v>#REF!</v>
      </c>
      <c r="I1110" s="27" t="e">
        <f ca="1"/>
        <v>#REF!</v>
      </c>
      <c r="J1110" s="28" t="e">
        <f ca="1"/>
        <v>#REF!</v>
      </c>
      <c r="K1110" s="27" t="e">
        <f ca="1"/>
        <v>#REF!</v>
      </c>
      <c r="L1110" s="25" t="e">
        <f ca="1"/>
        <v>#REF!</v>
      </c>
      <c r="M1110" s="25" t="e">
        <f ca="1"/>
        <v>#REF!</v>
      </c>
      <c r="N1110" s="25" t="e">
        <f ca="1"/>
        <v>#REF!</v>
      </c>
      <c r="O1110" s="25" t="e">
        <f ca="1"/>
        <v>#REF!</v>
      </c>
      <c r="P1110" s="25" t="e">
        <f ca="1"/>
        <v>#REF!</v>
      </c>
      <c r="Q1110" s="25" t="e">
        <f ca="1"/>
        <v>#REF!</v>
      </c>
      <c r="R1110" s="25" t="e">
        <f ca="1"/>
        <v>#REF!</v>
      </c>
      <c r="S1110" s="25" t="e">
        <f ca="1"/>
        <v>#REF!</v>
      </c>
      <c r="T1110" s="25" t="e">
        <f ca="1"/>
        <v>#REF!</v>
      </c>
      <c r="U1110" s="25" t="e">
        <f ca="1"/>
        <v>#REF!</v>
      </c>
      <c r="V1110" s="25" t="e">
        <f ca="1"/>
        <v>#REF!</v>
      </c>
      <c r="W1110" s="33" t="e">
        <f ca="1"/>
        <v>#REF!</v>
      </c>
      <c r="X1110" s="33" t="e">
        <f ca="1"/>
        <v>#REF!</v>
      </c>
      <c r="Y1110" s="33" t="e">
        <f ca="1"/>
        <v>#REF!</v>
      </c>
      <c r="Z1110" s="33" t="e">
        <f ca="1"/>
        <v>#REF!</v>
      </c>
      <c r="AA1110" s="33" t="e">
        <f ca="1"/>
        <v>#REF!</v>
      </c>
    </row>
    <row r="1111" spans="1:28" s="70" customFormat="1" ht="11.25" x14ac:dyDescent="0.2">
      <c r="A1111" s="24">
        <v>1105</v>
      </c>
      <c r="B1111" s="24"/>
      <c r="C1111" s="25"/>
      <c r="D1111" s="26"/>
      <c r="E1111" s="25"/>
      <c r="F1111" s="25"/>
      <c r="G1111" s="24"/>
      <c r="H1111" s="25" t="e">
        <f ca="1"/>
        <v>#REF!</v>
      </c>
      <c r="I1111" s="27" t="e">
        <f ca="1"/>
        <v>#REF!</v>
      </c>
      <c r="J1111" s="28" t="e">
        <f ca="1"/>
        <v>#REF!</v>
      </c>
      <c r="K1111" s="27" t="e">
        <f ca="1"/>
        <v>#REF!</v>
      </c>
      <c r="L1111" s="25" t="e">
        <f ca="1"/>
        <v>#REF!</v>
      </c>
      <c r="M1111" s="25" t="e">
        <f ca="1"/>
        <v>#REF!</v>
      </c>
      <c r="N1111" s="25" t="e">
        <f ca="1"/>
        <v>#REF!</v>
      </c>
      <c r="O1111" s="25" t="e">
        <f ca="1"/>
        <v>#REF!</v>
      </c>
      <c r="P1111" s="25" t="e">
        <f ca="1"/>
        <v>#REF!</v>
      </c>
      <c r="Q1111" s="25" t="e">
        <f ca="1"/>
        <v>#REF!</v>
      </c>
      <c r="R1111" s="25" t="e">
        <f ca="1"/>
        <v>#REF!</v>
      </c>
      <c r="S1111" s="25" t="e">
        <f ca="1"/>
        <v>#REF!</v>
      </c>
      <c r="T1111" s="25" t="e">
        <f ca="1"/>
        <v>#REF!</v>
      </c>
      <c r="U1111" s="25" t="e">
        <f ca="1"/>
        <v>#REF!</v>
      </c>
      <c r="V1111" s="25" t="e">
        <f ca="1"/>
        <v>#REF!</v>
      </c>
      <c r="W1111" s="33" t="e">
        <f ca="1"/>
        <v>#REF!</v>
      </c>
      <c r="X1111" s="33" t="e">
        <f ca="1"/>
        <v>#REF!</v>
      </c>
      <c r="Y1111" s="33" t="e">
        <f ca="1"/>
        <v>#REF!</v>
      </c>
      <c r="Z1111" s="33" t="e">
        <f ca="1"/>
        <v>#REF!</v>
      </c>
      <c r="AA1111" s="33" t="e">
        <f ca="1"/>
        <v>#REF!</v>
      </c>
    </row>
    <row r="1112" spans="1:28" s="70" customFormat="1" ht="11.25" x14ac:dyDescent="0.2">
      <c r="A1112" s="24">
        <v>1106</v>
      </c>
      <c r="B1112" s="24"/>
      <c r="C1112" s="25"/>
      <c r="D1112" s="26"/>
      <c r="E1112" s="25"/>
      <c r="F1112" s="25"/>
      <c r="G1112" s="24"/>
      <c r="H1112" s="25" t="e">
        <f ca="1"/>
        <v>#REF!</v>
      </c>
      <c r="I1112" s="27" t="e">
        <f ca="1"/>
        <v>#REF!</v>
      </c>
      <c r="J1112" s="28" t="e">
        <f ca="1"/>
        <v>#REF!</v>
      </c>
      <c r="K1112" s="27" t="e">
        <f ca="1"/>
        <v>#REF!</v>
      </c>
      <c r="L1112" s="25" t="e">
        <f ca="1"/>
        <v>#REF!</v>
      </c>
      <c r="M1112" s="25" t="e">
        <f ca="1"/>
        <v>#REF!</v>
      </c>
      <c r="N1112" s="25" t="e">
        <f ca="1"/>
        <v>#REF!</v>
      </c>
      <c r="O1112" s="25" t="e">
        <f ca="1"/>
        <v>#REF!</v>
      </c>
      <c r="P1112" s="25" t="e">
        <f ca="1"/>
        <v>#REF!</v>
      </c>
      <c r="Q1112" s="25" t="e">
        <f ca="1"/>
        <v>#REF!</v>
      </c>
      <c r="R1112" s="25" t="e">
        <f ca="1"/>
        <v>#REF!</v>
      </c>
      <c r="S1112" s="25" t="e">
        <f ca="1"/>
        <v>#REF!</v>
      </c>
      <c r="T1112" s="25" t="e">
        <f ca="1"/>
        <v>#REF!</v>
      </c>
      <c r="U1112" s="25" t="e">
        <f ca="1"/>
        <v>#REF!</v>
      </c>
      <c r="V1112" s="25" t="e">
        <f ca="1"/>
        <v>#REF!</v>
      </c>
      <c r="W1112" s="33" t="e">
        <f ca="1"/>
        <v>#REF!</v>
      </c>
      <c r="X1112" s="33" t="e">
        <f ca="1"/>
        <v>#REF!</v>
      </c>
      <c r="Y1112" s="33" t="e">
        <f ca="1"/>
        <v>#REF!</v>
      </c>
      <c r="Z1112" s="33" t="e">
        <f ca="1"/>
        <v>#REF!</v>
      </c>
      <c r="AA1112" s="33" t="e">
        <f ca="1"/>
        <v>#REF!</v>
      </c>
      <c r="AB1112" s="70" t="s">
        <v>2151</v>
      </c>
    </row>
    <row r="1113" spans="1:28" s="70" customFormat="1" ht="11.25" x14ac:dyDescent="0.2">
      <c r="A1113" s="24">
        <v>1107</v>
      </c>
      <c r="B1113" s="24"/>
      <c r="C1113" s="25"/>
      <c r="D1113" s="26"/>
      <c r="E1113" s="25"/>
      <c r="F1113" s="25"/>
      <c r="G1113" s="24"/>
      <c r="H1113" s="25" t="e">
        <f ca="1"/>
        <v>#REF!</v>
      </c>
      <c r="I1113" s="27" t="e">
        <f ca="1"/>
        <v>#REF!</v>
      </c>
      <c r="J1113" s="28" t="e">
        <f ca="1"/>
        <v>#REF!</v>
      </c>
      <c r="K1113" s="27" t="e">
        <f ca="1"/>
        <v>#REF!</v>
      </c>
      <c r="L1113" s="25" t="e">
        <f ca="1"/>
        <v>#REF!</v>
      </c>
      <c r="M1113" s="25" t="e">
        <f ca="1"/>
        <v>#REF!</v>
      </c>
      <c r="N1113" s="25" t="e">
        <f ca="1"/>
        <v>#REF!</v>
      </c>
      <c r="O1113" s="25" t="e">
        <f ca="1"/>
        <v>#REF!</v>
      </c>
      <c r="P1113" s="25" t="e">
        <f ca="1"/>
        <v>#REF!</v>
      </c>
      <c r="Q1113" s="25" t="e">
        <f ca="1"/>
        <v>#REF!</v>
      </c>
      <c r="R1113" s="25" t="e">
        <f ca="1"/>
        <v>#REF!</v>
      </c>
      <c r="S1113" s="25" t="e">
        <f ca="1"/>
        <v>#REF!</v>
      </c>
      <c r="T1113" s="25" t="e">
        <f ca="1"/>
        <v>#REF!</v>
      </c>
      <c r="U1113" s="25" t="e">
        <f ca="1"/>
        <v>#REF!</v>
      </c>
      <c r="V1113" s="25" t="e">
        <f ca="1"/>
        <v>#REF!</v>
      </c>
      <c r="W1113" s="33" t="e">
        <f ca="1"/>
        <v>#REF!</v>
      </c>
      <c r="X1113" s="33" t="e">
        <f ca="1"/>
        <v>#REF!</v>
      </c>
      <c r="Y1113" s="33" t="e">
        <f ca="1"/>
        <v>#REF!</v>
      </c>
      <c r="Z1113" s="33" t="e">
        <f ca="1"/>
        <v>#REF!</v>
      </c>
      <c r="AA1113" s="33" t="e">
        <f ca="1"/>
        <v>#REF!</v>
      </c>
    </row>
    <row r="1114" spans="1:28" s="70" customFormat="1" ht="11.25" x14ac:dyDescent="0.2">
      <c r="A1114" s="24">
        <v>1108</v>
      </c>
      <c r="B1114" s="24"/>
      <c r="C1114" s="25"/>
      <c r="D1114" s="26"/>
      <c r="E1114" s="25"/>
      <c r="F1114" s="25"/>
      <c r="G1114" s="24"/>
      <c r="H1114" s="25" t="e">
        <f ca="1"/>
        <v>#REF!</v>
      </c>
      <c r="I1114" s="27" t="e">
        <f ca="1"/>
        <v>#REF!</v>
      </c>
      <c r="J1114" s="28" t="e">
        <f ca="1"/>
        <v>#REF!</v>
      </c>
      <c r="K1114" s="27" t="e">
        <f ca="1"/>
        <v>#REF!</v>
      </c>
      <c r="L1114" s="25" t="e">
        <f ca="1"/>
        <v>#REF!</v>
      </c>
      <c r="M1114" s="25" t="e">
        <f ca="1"/>
        <v>#REF!</v>
      </c>
      <c r="N1114" s="25" t="e">
        <f ca="1"/>
        <v>#REF!</v>
      </c>
      <c r="O1114" s="25" t="e">
        <f ca="1"/>
        <v>#REF!</v>
      </c>
      <c r="P1114" s="25" t="e">
        <f ca="1"/>
        <v>#REF!</v>
      </c>
      <c r="Q1114" s="25" t="e">
        <f ca="1"/>
        <v>#REF!</v>
      </c>
      <c r="R1114" s="25" t="e">
        <f ca="1"/>
        <v>#REF!</v>
      </c>
      <c r="S1114" s="25" t="e">
        <f ca="1"/>
        <v>#REF!</v>
      </c>
      <c r="T1114" s="25" t="e">
        <f ca="1"/>
        <v>#REF!</v>
      </c>
      <c r="U1114" s="25" t="e">
        <f ca="1"/>
        <v>#REF!</v>
      </c>
      <c r="V1114" s="25" t="e">
        <f ca="1"/>
        <v>#REF!</v>
      </c>
      <c r="W1114" s="33" t="e">
        <f ca="1"/>
        <v>#REF!</v>
      </c>
      <c r="X1114" s="33" t="e">
        <f ca="1"/>
        <v>#REF!</v>
      </c>
      <c r="Y1114" s="33" t="e">
        <f ca="1"/>
        <v>#REF!</v>
      </c>
      <c r="Z1114" s="33" t="e">
        <f ca="1"/>
        <v>#REF!</v>
      </c>
      <c r="AA1114" s="33" t="e">
        <f ca="1"/>
        <v>#REF!</v>
      </c>
    </row>
    <row r="1115" spans="1:28" s="70" customFormat="1" ht="11.25" x14ac:dyDescent="0.2">
      <c r="A1115" s="24">
        <v>1109</v>
      </c>
      <c r="B1115" s="24"/>
      <c r="C1115" s="25"/>
      <c r="D1115" s="26"/>
      <c r="E1115" s="25"/>
      <c r="F1115" s="25"/>
      <c r="G1115" s="24"/>
      <c r="H1115" s="25" t="e">
        <f ca="1"/>
        <v>#REF!</v>
      </c>
      <c r="I1115" s="27" t="e">
        <f ca="1"/>
        <v>#REF!</v>
      </c>
      <c r="J1115" s="28" t="e">
        <f ca="1"/>
        <v>#REF!</v>
      </c>
      <c r="K1115" s="27" t="e">
        <f ca="1"/>
        <v>#REF!</v>
      </c>
      <c r="L1115" s="25" t="e">
        <f ca="1"/>
        <v>#REF!</v>
      </c>
      <c r="M1115" s="25" t="e">
        <f ca="1"/>
        <v>#REF!</v>
      </c>
      <c r="N1115" s="25" t="e">
        <f ca="1"/>
        <v>#REF!</v>
      </c>
      <c r="O1115" s="25" t="e">
        <f ca="1"/>
        <v>#REF!</v>
      </c>
      <c r="P1115" s="25" t="e">
        <f ca="1"/>
        <v>#REF!</v>
      </c>
      <c r="Q1115" s="25" t="e">
        <f ca="1"/>
        <v>#REF!</v>
      </c>
      <c r="R1115" s="25" t="e">
        <f ca="1"/>
        <v>#REF!</v>
      </c>
      <c r="S1115" s="25" t="e">
        <f ca="1"/>
        <v>#REF!</v>
      </c>
      <c r="T1115" s="25" t="e">
        <f ca="1"/>
        <v>#REF!</v>
      </c>
      <c r="U1115" s="25" t="e">
        <f ca="1"/>
        <v>#REF!</v>
      </c>
      <c r="V1115" s="25" t="e">
        <f ca="1"/>
        <v>#REF!</v>
      </c>
      <c r="W1115" s="33" t="e">
        <f ca="1"/>
        <v>#REF!</v>
      </c>
      <c r="X1115" s="33" t="e">
        <f ca="1"/>
        <v>#REF!</v>
      </c>
      <c r="Y1115" s="33" t="e">
        <f ca="1"/>
        <v>#REF!</v>
      </c>
      <c r="Z1115" s="33" t="e">
        <f ca="1"/>
        <v>#REF!</v>
      </c>
      <c r="AA1115" s="33" t="e">
        <f ca="1"/>
        <v>#REF!</v>
      </c>
    </row>
    <row r="1116" spans="1:28" s="70" customFormat="1" ht="11.25" x14ac:dyDescent="0.2">
      <c r="A1116" s="24">
        <v>1110</v>
      </c>
      <c r="B1116" s="24"/>
      <c r="C1116" s="25"/>
      <c r="D1116" s="26"/>
      <c r="E1116" s="25"/>
      <c r="F1116" s="25"/>
      <c r="G1116" s="24"/>
      <c r="H1116" s="25" t="e">
        <f ca="1"/>
        <v>#REF!</v>
      </c>
      <c r="I1116" s="27" t="e">
        <f ca="1"/>
        <v>#REF!</v>
      </c>
      <c r="J1116" s="28" t="e">
        <f ca="1"/>
        <v>#REF!</v>
      </c>
      <c r="K1116" s="27" t="e">
        <f ca="1"/>
        <v>#REF!</v>
      </c>
      <c r="L1116" s="25" t="e">
        <f ca="1"/>
        <v>#REF!</v>
      </c>
      <c r="M1116" s="25" t="e">
        <f ca="1"/>
        <v>#REF!</v>
      </c>
      <c r="N1116" s="25" t="e">
        <f ca="1"/>
        <v>#REF!</v>
      </c>
      <c r="O1116" s="25" t="e">
        <f ca="1"/>
        <v>#REF!</v>
      </c>
      <c r="P1116" s="25" t="e">
        <f ca="1"/>
        <v>#REF!</v>
      </c>
      <c r="Q1116" s="25" t="e">
        <f ca="1"/>
        <v>#REF!</v>
      </c>
      <c r="R1116" s="25" t="e">
        <f ca="1"/>
        <v>#REF!</v>
      </c>
      <c r="S1116" s="25" t="e">
        <f ca="1"/>
        <v>#REF!</v>
      </c>
      <c r="T1116" s="25" t="e">
        <f ca="1"/>
        <v>#REF!</v>
      </c>
      <c r="U1116" s="25" t="e">
        <f ca="1"/>
        <v>#REF!</v>
      </c>
      <c r="V1116" s="25" t="e">
        <f ca="1"/>
        <v>#REF!</v>
      </c>
      <c r="W1116" s="33" t="e">
        <f ca="1"/>
        <v>#REF!</v>
      </c>
      <c r="X1116" s="33" t="e">
        <f ca="1"/>
        <v>#REF!</v>
      </c>
      <c r="Y1116" s="33" t="e">
        <f ca="1"/>
        <v>#REF!</v>
      </c>
      <c r="Z1116" s="33" t="e">
        <f ca="1"/>
        <v>#REF!</v>
      </c>
      <c r="AA1116" s="33" t="e">
        <f ca="1"/>
        <v>#REF!</v>
      </c>
      <c r="AB1116" s="70" t="s">
        <v>2151</v>
      </c>
    </row>
    <row r="1117" spans="1:28" s="70" customFormat="1" ht="11.25" x14ac:dyDescent="0.2">
      <c r="A1117" s="24">
        <v>1111</v>
      </c>
      <c r="B1117" s="24"/>
      <c r="C1117" s="25"/>
      <c r="D1117" s="26"/>
      <c r="E1117" s="25"/>
      <c r="F1117" s="25"/>
      <c r="G1117" s="24"/>
      <c r="H1117" s="25" t="e">
        <f ca="1"/>
        <v>#REF!</v>
      </c>
      <c r="I1117" s="27" t="e">
        <f ca="1"/>
        <v>#REF!</v>
      </c>
      <c r="J1117" s="28" t="e">
        <f ca="1"/>
        <v>#REF!</v>
      </c>
      <c r="K1117" s="27" t="e">
        <f ca="1"/>
        <v>#REF!</v>
      </c>
      <c r="L1117" s="25" t="e">
        <f ca="1"/>
        <v>#REF!</v>
      </c>
      <c r="M1117" s="25" t="e">
        <f ca="1"/>
        <v>#REF!</v>
      </c>
      <c r="N1117" s="25" t="e">
        <f ca="1"/>
        <v>#REF!</v>
      </c>
      <c r="O1117" s="25" t="e">
        <f ca="1"/>
        <v>#REF!</v>
      </c>
      <c r="P1117" s="25" t="e">
        <f ca="1"/>
        <v>#REF!</v>
      </c>
      <c r="Q1117" s="25" t="e">
        <f ca="1"/>
        <v>#REF!</v>
      </c>
      <c r="R1117" s="25" t="e">
        <f ca="1"/>
        <v>#REF!</v>
      </c>
      <c r="S1117" s="25" t="e">
        <f ca="1"/>
        <v>#REF!</v>
      </c>
      <c r="T1117" s="25" t="e">
        <f ca="1"/>
        <v>#REF!</v>
      </c>
      <c r="U1117" s="25" t="e">
        <f ca="1"/>
        <v>#REF!</v>
      </c>
      <c r="V1117" s="25" t="e">
        <f ca="1"/>
        <v>#REF!</v>
      </c>
      <c r="W1117" s="33" t="e">
        <f ca="1"/>
        <v>#REF!</v>
      </c>
      <c r="X1117" s="33" t="e">
        <f ca="1"/>
        <v>#REF!</v>
      </c>
      <c r="Y1117" s="33" t="e">
        <f ca="1"/>
        <v>#REF!</v>
      </c>
      <c r="Z1117" s="33" t="e">
        <f ca="1"/>
        <v>#REF!</v>
      </c>
      <c r="AA1117" s="33" t="e">
        <f ca="1"/>
        <v>#REF!</v>
      </c>
    </row>
    <row r="1118" spans="1:28" s="70" customFormat="1" ht="11.25" x14ac:dyDescent="0.2">
      <c r="A1118" s="24">
        <v>1112</v>
      </c>
      <c r="B1118" s="24"/>
      <c r="C1118" s="25"/>
      <c r="D1118" s="26"/>
      <c r="E1118" s="25"/>
      <c r="F1118" s="25"/>
      <c r="G1118" s="24"/>
      <c r="H1118" s="25" t="e">
        <f ca="1"/>
        <v>#REF!</v>
      </c>
      <c r="I1118" s="27" t="e">
        <f ca="1"/>
        <v>#REF!</v>
      </c>
      <c r="J1118" s="28" t="e">
        <f ca="1"/>
        <v>#REF!</v>
      </c>
      <c r="K1118" s="27" t="e">
        <f ca="1"/>
        <v>#REF!</v>
      </c>
      <c r="L1118" s="25" t="e">
        <f ca="1"/>
        <v>#REF!</v>
      </c>
      <c r="M1118" s="25" t="e">
        <f ca="1"/>
        <v>#REF!</v>
      </c>
      <c r="N1118" s="25" t="e">
        <f ca="1"/>
        <v>#REF!</v>
      </c>
      <c r="O1118" s="25" t="e">
        <f ca="1"/>
        <v>#REF!</v>
      </c>
      <c r="P1118" s="25" t="e">
        <f ca="1"/>
        <v>#REF!</v>
      </c>
      <c r="Q1118" s="25" t="e">
        <f ca="1"/>
        <v>#REF!</v>
      </c>
      <c r="R1118" s="25" t="e">
        <f ca="1"/>
        <v>#REF!</v>
      </c>
      <c r="S1118" s="25" t="e">
        <f ca="1"/>
        <v>#REF!</v>
      </c>
      <c r="T1118" s="25" t="e">
        <f ca="1"/>
        <v>#REF!</v>
      </c>
      <c r="U1118" s="25" t="e">
        <f ca="1"/>
        <v>#REF!</v>
      </c>
      <c r="V1118" s="25" t="e">
        <f ca="1"/>
        <v>#REF!</v>
      </c>
      <c r="W1118" s="33" t="e">
        <f ca="1"/>
        <v>#REF!</v>
      </c>
      <c r="X1118" s="33" t="e">
        <f ca="1"/>
        <v>#REF!</v>
      </c>
      <c r="Y1118" s="33" t="e">
        <f ca="1"/>
        <v>#REF!</v>
      </c>
      <c r="Z1118" s="33" t="e">
        <f ca="1"/>
        <v>#REF!</v>
      </c>
      <c r="AA1118" s="33" t="e">
        <f ca="1"/>
        <v>#REF!</v>
      </c>
    </row>
    <row r="1119" spans="1:28" s="70" customFormat="1" ht="11.25" x14ac:dyDescent="0.2">
      <c r="A1119" s="24">
        <v>1113</v>
      </c>
      <c r="B1119" s="24"/>
      <c r="C1119" s="25"/>
      <c r="D1119" s="26"/>
      <c r="E1119" s="25"/>
      <c r="F1119" s="25"/>
      <c r="G1119" s="24"/>
      <c r="H1119" s="25" t="e">
        <f ca="1"/>
        <v>#REF!</v>
      </c>
      <c r="I1119" s="27" t="e">
        <f ca="1"/>
        <v>#REF!</v>
      </c>
      <c r="J1119" s="28" t="e">
        <f ca="1"/>
        <v>#REF!</v>
      </c>
      <c r="K1119" s="27" t="e">
        <f ca="1"/>
        <v>#REF!</v>
      </c>
      <c r="L1119" s="25" t="e">
        <f ca="1"/>
        <v>#REF!</v>
      </c>
      <c r="M1119" s="25" t="e">
        <f ca="1"/>
        <v>#REF!</v>
      </c>
      <c r="N1119" s="25" t="e">
        <f ca="1"/>
        <v>#REF!</v>
      </c>
      <c r="O1119" s="25" t="e">
        <f ca="1"/>
        <v>#REF!</v>
      </c>
      <c r="P1119" s="25" t="e">
        <f ca="1"/>
        <v>#REF!</v>
      </c>
      <c r="Q1119" s="25" t="e">
        <f ca="1"/>
        <v>#REF!</v>
      </c>
      <c r="R1119" s="25" t="e">
        <f ca="1"/>
        <v>#REF!</v>
      </c>
      <c r="S1119" s="25" t="e">
        <f ca="1"/>
        <v>#REF!</v>
      </c>
      <c r="T1119" s="25" t="e">
        <f ca="1"/>
        <v>#REF!</v>
      </c>
      <c r="U1119" s="25" t="e">
        <f ca="1"/>
        <v>#REF!</v>
      </c>
      <c r="V1119" s="25" t="e">
        <f ca="1"/>
        <v>#REF!</v>
      </c>
      <c r="W1119" s="33" t="e">
        <f ca="1"/>
        <v>#REF!</v>
      </c>
      <c r="X1119" s="33" t="e">
        <f ca="1"/>
        <v>#REF!</v>
      </c>
      <c r="Y1119" s="33" t="e">
        <f ca="1"/>
        <v>#REF!</v>
      </c>
      <c r="Z1119" s="33" t="e">
        <f ca="1"/>
        <v>#REF!</v>
      </c>
      <c r="AA1119" s="33" t="e">
        <f ca="1"/>
        <v>#REF!</v>
      </c>
    </row>
    <row r="1120" spans="1:28" s="70" customFormat="1" ht="11.25" x14ac:dyDescent="0.2">
      <c r="A1120" s="24">
        <v>1114</v>
      </c>
      <c r="B1120" s="24"/>
      <c r="C1120" s="25"/>
      <c r="D1120" s="26"/>
      <c r="E1120" s="25"/>
      <c r="F1120" s="25"/>
      <c r="G1120" s="24"/>
      <c r="H1120" s="25" t="e">
        <f ca="1"/>
        <v>#REF!</v>
      </c>
      <c r="I1120" s="27" t="e">
        <f ca="1"/>
        <v>#REF!</v>
      </c>
      <c r="J1120" s="28" t="e">
        <f ca="1"/>
        <v>#REF!</v>
      </c>
      <c r="K1120" s="27" t="e">
        <f ca="1"/>
        <v>#REF!</v>
      </c>
      <c r="L1120" s="25" t="e">
        <f ca="1"/>
        <v>#REF!</v>
      </c>
      <c r="M1120" s="25" t="e">
        <f ca="1"/>
        <v>#REF!</v>
      </c>
      <c r="N1120" s="25" t="e">
        <f ca="1"/>
        <v>#REF!</v>
      </c>
      <c r="O1120" s="25" t="e">
        <f ca="1"/>
        <v>#REF!</v>
      </c>
      <c r="P1120" s="25" t="e">
        <f ca="1"/>
        <v>#REF!</v>
      </c>
      <c r="Q1120" s="25" t="e">
        <f ca="1"/>
        <v>#REF!</v>
      </c>
      <c r="R1120" s="25" t="e">
        <f ca="1"/>
        <v>#REF!</v>
      </c>
      <c r="S1120" s="25" t="e">
        <f ca="1"/>
        <v>#REF!</v>
      </c>
      <c r="T1120" s="25" t="e">
        <f ca="1"/>
        <v>#REF!</v>
      </c>
      <c r="U1120" s="25" t="e">
        <f ca="1"/>
        <v>#REF!</v>
      </c>
      <c r="V1120" s="25" t="e">
        <f ca="1"/>
        <v>#REF!</v>
      </c>
      <c r="W1120" s="33" t="e">
        <f ca="1"/>
        <v>#REF!</v>
      </c>
      <c r="X1120" s="33" t="e">
        <f ca="1"/>
        <v>#REF!</v>
      </c>
      <c r="Y1120" s="33" t="e">
        <f ca="1"/>
        <v>#REF!</v>
      </c>
      <c r="Z1120" s="33" t="e">
        <f ca="1"/>
        <v>#REF!</v>
      </c>
      <c r="AA1120" s="33" t="e">
        <f ca="1"/>
        <v>#REF!</v>
      </c>
    </row>
    <row r="1121" spans="1:27" s="70" customFormat="1" ht="11.25" x14ac:dyDescent="0.2">
      <c r="A1121" s="24">
        <v>1115</v>
      </c>
      <c r="B1121" s="24"/>
      <c r="C1121" s="25"/>
      <c r="D1121" s="26"/>
      <c r="E1121" s="25"/>
      <c r="F1121" s="25"/>
      <c r="G1121" s="24"/>
      <c r="H1121" s="25" t="e">
        <f ca="1"/>
        <v>#REF!</v>
      </c>
      <c r="I1121" s="27" t="e">
        <f ca="1"/>
        <v>#REF!</v>
      </c>
      <c r="J1121" s="28" t="e">
        <f ca="1"/>
        <v>#REF!</v>
      </c>
      <c r="K1121" s="27" t="e">
        <f ca="1"/>
        <v>#REF!</v>
      </c>
      <c r="L1121" s="25" t="e">
        <f ca="1"/>
        <v>#REF!</v>
      </c>
      <c r="M1121" s="25" t="e">
        <f ca="1"/>
        <v>#REF!</v>
      </c>
      <c r="N1121" s="25" t="e">
        <f ca="1"/>
        <v>#REF!</v>
      </c>
      <c r="O1121" s="25" t="e">
        <f ca="1"/>
        <v>#REF!</v>
      </c>
      <c r="P1121" s="25" t="e">
        <f ca="1"/>
        <v>#REF!</v>
      </c>
      <c r="Q1121" s="25" t="e">
        <f ca="1"/>
        <v>#REF!</v>
      </c>
      <c r="R1121" s="25" t="e">
        <f ca="1"/>
        <v>#REF!</v>
      </c>
      <c r="S1121" s="25" t="e">
        <f ca="1"/>
        <v>#REF!</v>
      </c>
      <c r="T1121" s="25" t="e">
        <f ca="1"/>
        <v>#REF!</v>
      </c>
      <c r="U1121" s="25" t="e">
        <f ca="1"/>
        <v>#REF!</v>
      </c>
      <c r="V1121" s="25" t="e">
        <f ca="1"/>
        <v>#REF!</v>
      </c>
      <c r="W1121" s="33" t="e">
        <f ca="1"/>
        <v>#REF!</v>
      </c>
      <c r="X1121" s="33" t="e">
        <f ca="1"/>
        <v>#REF!</v>
      </c>
      <c r="Y1121" s="33" t="e">
        <f ca="1"/>
        <v>#REF!</v>
      </c>
      <c r="Z1121" s="33" t="e">
        <f ca="1"/>
        <v>#REF!</v>
      </c>
      <c r="AA1121" s="33" t="e">
        <f ca="1"/>
        <v>#REF!</v>
      </c>
    </row>
    <row r="1122" spans="1:27" s="70" customFormat="1" ht="11.25" x14ac:dyDescent="0.2">
      <c r="A1122" s="24">
        <v>1116</v>
      </c>
      <c r="B1122" s="24"/>
      <c r="C1122" s="25"/>
      <c r="D1122" s="26"/>
      <c r="E1122" s="25"/>
      <c r="F1122" s="25"/>
      <c r="G1122" s="24"/>
      <c r="H1122" s="25" t="e">
        <f ca="1"/>
        <v>#REF!</v>
      </c>
      <c r="I1122" s="27" t="e">
        <f ca="1"/>
        <v>#REF!</v>
      </c>
      <c r="J1122" s="28" t="e">
        <f ca="1"/>
        <v>#REF!</v>
      </c>
      <c r="K1122" s="27" t="e">
        <f ca="1"/>
        <v>#REF!</v>
      </c>
      <c r="L1122" s="25" t="e">
        <f ca="1"/>
        <v>#REF!</v>
      </c>
      <c r="M1122" s="25" t="e">
        <f ca="1"/>
        <v>#REF!</v>
      </c>
      <c r="N1122" s="25" t="e">
        <f ca="1"/>
        <v>#REF!</v>
      </c>
      <c r="O1122" s="25" t="e">
        <f ca="1"/>
        <v>#REF!</v>
      </c>
      <c r="P1122" s="25" t="e">
        <f ca="1"/>
        <v>#REF!</v>
      </c>
      <c r="Q1122" s="25" t="e">
        <f ca="1"/>
        <v>#REF!</v>
      </c>
      <c r="R1122" s="25" t="e">
        <f ca="1"/>
        <v>#REF!</v>
      </c>
      <c r="S1122" s="25" t="e">
        <f ca="1"/>
        <v>#REF!</v>
      </c>
      <c r="T1122" s="25" t="e">
        <f ca="1"/>
        <v>#REF!</v>
      </c>
      <c r="U1122" s="25" t="e">
        <f ca="1"/>
        <v>#REF!</v>
      </c>
      <c r="V1122" s="25" t="e">
        <f ca="1"/>
        <v>#REF!</v>
      </c>
      <c r="W1122" s="33" t="e">
        <f ca="1"/>
        <v>#REF!</v>
      </c>
      <c r="X1122" s="33" t="e">
        <f ca="1"/>
        <v>#REF!</v>
      </c>
      <c r="Y1122" s="33" t="e">
        <f ca="1"/>
        <v>#REF!</v>
      </c>
      <c r="Z1122" s="33" t="e">
        <f ca="1"/>
        <v>#REF!</v>
      </c>
      <c r="AA1122" s="33" t="e">
        <f ca="1"/>
        <v>#REF!</v>
      </c>
    </row>
    <row r="1123" spans="1:27" s="70" customFormat="1" ht="11.25" x14ac:dyDescent="0.2">
      <c r="A1123" s="24">
        <v>1117</v>
      </c>
      <c r="B1123" s="24"/>
      <c r="C1123" s="25"/>
      <c r="D1123" s="26"/>
      <c r="E1123" s="25"/>
      <c r="F1123" s="25"/>
      <c r="G1123" s="24"/>
      <c r="H1123" s="25" t="e">
        <f ca="1"/>
        <v>#REF!</v>
      </c>
      <c r="I1123" s="27" t="e">
        <f ca="1"/>
        <v>#REF!</v>
      </c>
      <c r="J1123" s="25" t="e">
        <f ca="1"/>
        <v>#REF!</v>
      </c>
      <c r="K1123" s="27" t="e">
        <f ca="1"/>
        <v>#REF!</v>
      </c>
      <c r="L1123" s="25" t="e">
        <f ca="1"/>
        <v>#REF!</v>
      </c>
      <c r="M1123" s="25" t="e">
        <f ca="1"/>
        <v>#REF!</v>
      </c>
      <c r="N1123" s="25" t="e">
        <f ca="1"/>
        <v>#REF!</v>
      </c>
      <c r="O1123" s="25" t="e">
        <f ca="1"/>
        <v>#REF!</v>
      </c>
      <c r="P1123" s="25" t="e">
        <f ca="1"/>
        <v>#REF!</v>
      </c>
      <c r="Q1123" s="25" t="e">
        <f ca="1"/>
        <v>#REF!</v>
      </c>
      <c r="R1123" s="25" t="e">
        <f ca="1"/>
        <v>#REF!</v>
      </c>
      <c r="S1123" s="25" t="e">
        <f ca="1"/>
        <v>#REF!</v>
      </c>
      <c r="T1123" s="25" t="e">
        <f ca="1"/>
        <v>#REF!</v>
      </c>
      <c r="U1123" s="25" t="e">
        <f ca="1"/>
        <v>#REF!</v>
      </c>
      <c r="V1123" s="25" t="e">
        <f ca="1"/>
        <v>#REF!</v>
      </c>
      <c r="W1123" s="33" t="e">
        <f ca="1"/>
        <v>#REF!</v>
      </c>
      <c r="X1123" s="33" t="e">
        <f ca="1"/>
        <v>#REF!</v>
      </c>
      <c r="Y1123" s="33" t="e">
        <f ca="1"/>
        <v>#REF!</v>
      </c>
      <c r="Z1123" s="33" t="e">
        <f ca="1"/>
        <v>#REF!</v>
      </c>
      <c r="AA1123" s="33" t="e">
        <f ca="1"/>
        <v>#REF!</v>
      </c>
    </row>
    <row r="1124" spans="1:27" s="70" customFormat="1" ht="11.25" x14ac:dyDescent="0.2">
      <c r="A1124" s="24">
        <v>1118</v>
      </c>
      <c r="B1124" s="24"/>
      <c r="C1124" s="25"/>
      <c r="D1124" s="26"/>
      <c r="E1124" s="25"/>
      <c r="F1124" s="25"/>
      <c r="G1124" s="24"/>
      <c r="H1124" s="25" t="e">
        <f ca="1"/>
        <v>#REF!</v>
      </c>
      <c r="I1124" s="27" t="e">
        <f ca="1"/>
        <v>#REF!</v>
      </c>
      <c r="J1124" s="25" t="e">
        <f ca="1"/>
        <v>#REF!</v>
      </c>
      <c r="K1124" s="27" t="e">
        <f ca="1"/>
        <v>#REF!</v>
      </c>
      <c r="L1124" s="25" t="e">
        <f ca="1"/>
        <v>#REF!</v>
      </c>
      <c r="M1124" s="25" t="e">
        <f ca="1"/>
        <v>#REF!</v>
      </c>
      <c r="N1124" s="25" t="e">
        <f ca="1"/>
        <v>#REF!</v>
      </c>
      <c r="O1124" s="25" t="e">
        <f ca="1"/>
        <v>#REF!</v>
      </c>
      <c r="P1124" s="25" t="e">
        <f ca="1"/>
        <v>#REF!</v>
      </c>
      <c r="Q1124" s="25" t="e">
        <f ca="1"/>
        <v>#REF!</v>
      </c>
      <c r="R1124" s="25" t="e">
        <f ca="1"/>
        <v>#REF!</v>
      </c>
      <c r="S1124" s="25" t="e">
        <f ca="1"/>
        <v>#REF!</v>
      </c>
      <c r="T1124" s="25" t="e">
        <f ca="1"/>
        <v>#REF!</v>
      </c>
      <c r="U1124" s="25" t="e">
        <f ca="1"/>
        <v>#REF!</v>
      </c>
      <c r="V1124" s="25" t="e">
        <f ca="1"/>
        <v>#REF!</v>
      </c>
      <c r="W1124" s="33" t="e">
        <f ca="1"/>
        <v>#REF!</v>
      </c>
      <c r="X1124" s="33" t="e">
        <f ca="1"/>
        <v>#REF!</v>
      </c>
      <c r="Y1124" s="33" t="e">
        <f ca="1"/>
        <v>#REF!</v>
      </c>
      <c r="Z1124" s="33" t="e">
        <f ca="1"/>
        <v>#REF!</v>
      </c>
      <c r="AA1124" s="33" t="e">
        <f ca="1"/>
        <v>#REF!</v>
      </c>
    </row>
    <row r="1125" spans="1:27" s="70" customFormat="1" ht="11.25" x14ac:dyDescent="0.2">
      <c r="A1125" s="24">
        <v>1119</v>
      </c>
      <c r="B1125" s="24"/>
      <c r="C1125" s="25"/>
      <c r="D1125" s="26"/>
      <c r="E1125" s="25"/>
      <c r="F1125" s="25"/>
      <c r="G1125" s="24"/>
      <c r="H1125" s="25" t="e">
        <f ca="1"/>
        <v>#REF!</v>
      </c>
      <c r="I1125" s="27" t="e">
        <f ca="1"/>
        <v>#REF!</v>
      </c>
      <c r="J1125" s="28" t="e">
        <f ca="1"/>
        <v>#REF!</v>
      </c>
      <c r="K1125" s="27" t="e">
        <f ca="1"/>
        <v>#REF!</v>
      </c>
      <c r="L1125" s="25" t="e">
        <f ca="1"/>
        <v>#REF!</v>
      </c>
      <c r="M1125" s="25" t="e">
        <f ca="1"/>
        <v>#REF!</v>
      </c>
      <c r="N1125" s="25" t="e">
        <f ca="1"/>
        <v>#REF!</v>
      </c>
      <c r="O1125" s="25" t="e">
        <f ca="1"/>
        <v>#REF!</v>
      </c>
      <c r="P1125" s="25" t="e">
        <f ca="1"/>
        <v>#REF!</v>
      </c>
      <c r="Q1125" s="25" t="e">
        <f ca="1"/>
        <v>#REF!</v>
      </c>
      <c r="R1125" s="25" t="e">
        <f ca="1"/>
        <v>#REF!</v>
      </c>
      <c r="S1125" s="25" t="e">
        <f ca="1"/>
        <v>#REF!</v>
      </c>
      <c r="T1125" s="25" t="e">
        <f ca="1"/>
        <v>#REF!</v>
      </c>
      <c r="U1125" s="25" t="e">
        <f ca="1"/>
        <v>#REF!</v>
      </c>
      <c r="V1125" s="25" t="e">
        <f ca="1"/>
        <v>#REF!</v>
      </c>
      <c r="W1125" s="33" t="e">
        <f ca="1"/>
        <v>#REF!</v>
      </c>
      <c r="X1125" s="33" t="e">
        <f ca="1"/>
        <v>#REF!</v>
      </c>
      <c r="Y1125" s="33" t="e">
        <f ca="1"/>
        <v>#REF!</v>
      </c>
      <c r="Z1125" s="33" t="e">
        <f ca="1"/>
        <v>#REF!</v>
      </c>
      <c r="AA1125" s="33" t="e">
        <f ca="1"/>
        <v>#REF!</v>
      </c>
    </row>
    <row r="1126" spans="1:27" s="70" customFormat="1" ht="11.25" x14ac:dyDescent="0.2">
      <c r="A1126" s="24">
        <v>1120</v>
      </c>
      <c r="B1126" s="24"/>
      <c r="C1126" s="25"/>
      <c r="D1126" s="26"/>
      <c r="E1126" s="25"/>
      <c r="F1126" s="25"/>
      <c r="G1126" s="24"/>
      <c r="H1126" s="25" t="e">
        <f ca="1"/>
        <v>#REF!</v>
      </c>
      <c r="I1126" s="27" t="e">
        <f ca="1"/>
        <v>#REF!</v>
      </c>
      <c r="J1126" s="28" t="e">
        <f ca="1"/>
        <v>#REF!</v>
      </c>
      <c r="K1126" s="27" t="e">
        <f ca="1"/>
        <v>#REF!</v>
      </c>
      <c r="L1126" s="25" t="e">
        <f ca="1"/>
        <v>#REF!</v>
      </c>
      <c r="M1126" s="25" t="e">
        <f ca="1"/>
        <v>#REF!</v>
      </c>
      <c r="N1126" s="25" t="e">
        <f ca="1"/>
        <v>#REF!</v>
      </c>
      <c r="O1126" s="25" t="e">
        <f ca="1"/>
        <v>#REF!</v>
      </c>
      <c r="P1126" s="25" t="e">
        <f ca="1"/>
        <v>#REF!</v>
      </c>
      <c r="Q1126" s="25" t="e">
        <f ca="1"/>
        <v>#REF!</v>
      </c>
      <c r="R1126" s="25" t="e">
        <f ca="1"/>
        <v>#REF!</v>
      </c>
      <c r="S1126" s="25" t="e">
        <f ca="1"/>
        <v>#REF!</v>
      </c>
      <c r="T1126" s="25" t="e">
        <f ca="1"/>
        <v>#REF!</v>
      </c>
      <c r="U1126" s="25" t="e">
        <f ca="1"/>
        <v>#REF!</v>
      </c>
      <c r="V1126" s="25" t="e">
        <f ca="1"/>
        <v>#REF!</v>
      </c>
      <c r="W1126" s="33" t="e">
        <f ca="1"/>
        <v>#REF!</v>
      </c>
      <c r="X1126" s="33" t="e">
        <f ca="1"/>
        <v>#REF!</v>
      </c>
      <c r="Y1126" s="33" t="e">
        <f ca="1"/>
        <v>#REF!</v>
      </c>
      <c r="Z1126" s="33" t="e">
        <f ca="1"/>
        <v>#REF!</v>
      </c>
      <c r="AA1126" s="33" t="e">
        <f ca="1"/>
        <v>#REF!</v>
      </c>
    </row>
    <row r="1127" spans="1:27" s="70" customFormat="1" ht="11.25" x14ac:dyDescent="0.2">
      <c r="A1127" s="24">
        <v>1121</v>
      </c>
      <c r="B1127" s="24"/>
      <c r="C1127" s="25"/>
      <c r="D1127" s="26"/>
      <c r="E1127" s="25"/>
      <c r="F1127" s="25"/>
      <c r="G1127" s="24"/>
      <c r="H1127" s="25" t="e">
        <f ca="1"/>
        <v>#REF!</v>
      </c>
      <c r="I1127" s="27" t="e">
        <f ca="1"/>
        <v>#REF!</v>
      </c>
      <c r="J1127" s="28" t="e">
        <f ca="1"/>
        <v>#REF!</v>
      </c>
      <c r="K1127" s="27" t="e">
        <f ca="1"/>
        <v>#REF!</v>
      </c>
      <c r="L1127" s="25" t="e">
        <f ca="1"/>
        <v>#REF!</v>
      </c>
      <c r="M1127" s="25" t="e">
        <f ca="1"/>
        <v>#REF!</v>
      </c>
      <c r="N1127" s="25" t="e">
        <f ca="1"/>
        <v>#REF!</v>
      </c>
      <c r="O1127" s="25" t="e">
        <f ca="1"/>
        <v>#REF!</v>
      </c>
      <c r="P1127" s="25" t="e">
        <f ca="1"/>
        <v>#REF!</v>
      </c>
      <c r="Q1127" s="25" t="e">
        <f ca="1"/>
        <v>#REF!</v>
      </c>
      <c r="R1127" s="25" t="e">
        <f ca="1"/>
        <v>#REF!</v>
      </c>
      <c r="S1127" s="25" t="e">
        <f ca="1"/>
        <v>#REF!</v>
      </c>
      <c r="T1127" s="25" t="e">
        <f ca="1"/>
        <v>#REF!</v>
      </c>
      <c r="U1127" s="25" t="e">
        <f ca="1"/>
        <v>#REF!</v>
      </c>
      <c r="V1127" s="25" t="e">
        <f ca="1"/>
        <v>#REF!</v>
      </c>
      <c r="W1127" s="33" t="e">
        <f ca="1"/>
        <v>#REF!</v>
      </c>
      <c r="X1127" s="33" t="e">
        <f ca="1"/>
        <v>#REF!</v>
      </c>
      <c r="Y1127" s="33" t="e">
        <f ca="1"/>
        <v>#REF!</v>
      </c>
      <c r="Z1127" s="33" t="e">
        <f ca="1"/>
        <v>#REF!</v>
      </c>
      <c r="AA1127" s="33" t="e">
        <f ca="1"/>
        <v>#REF!</v>
      </c>
    </row>
    <row r="1128" spans="1:27" s="70" customFormat="1" ht="11.25" x14ac:dyDescent="0.2">
      <c r="A1128" s="24">
        <v>1122</v>
      </c>
      <c r="B1128" s="24"/>
      <c r="C1128" s="25"/>
      <c r="D1128" s="26"/>
      <c r="E1128" s="25"/>
      <c r="F1128" s="25"/>
      <c r="G1128" s="24"/>
      <c r="H1128" s="25" t="e">
        <f ca="1"/>
        <v>#REF!</v>
      </c>
      <c r="I1128" s="27" t="e">
        <f ca="1"/>
        <v>#REF!</v>
      </c>
      <c r="J1128" s="28" t="e">
        <f ca="1"/>
        <v>#REF!</v>
      </c>
      <c r="K1128" s="27" t="e">
        <f ca="1"/>
        <v>#REF!</v>
      </c>
      <c r="L1128" s="25" t="e">
        <f ca="1"/>
        <v>#REF!</v>
      </c>
      <c r="M1128" s="25" t="e">
        <f ca="1"/>
        <v>#REF!</v>
      </c>
      <c r="N1128" s="25" t="e">
        <f ca="1"/>
        <v>#REF!</v>
      </c>
      <c r="O1128" s="25" t="e">
        <f ca="1"/>
        <v>#REF!</v>
      </c>
      <c r="P1128" s="25" t="e">
        <f ca="1"/>
        <v>#REF!</v>
      </c>
      <c r="Q1128" s="25" t="e">
        <f ca="1"/>
        <v>#REF!</v>
      </c>
      <c r="R1128" s="25" t="e">
        <f ca="1"/>
        <v>#REF!</v>
      </c>
      <c r="S1128" s="25" t="e">
        <f ca="1"/>
        <v>#REF!</v>
      </c>
      <c r="T1128" s="25" t="e">
        <f ca="1"/>
        <v>#REF!</v>
      </c>
      <c r="U1128" s="25" t="e">
        <f ca="1"/>
        <v>#REF!</v>
      </c>
      <c r="V1128" s="25" t="e">
        <f ca="1"/>
        <v>#REF!</v>
      </c>
      <c r="W1128" s="33" t="e">
        <f ca="1"/>
        <v>#REF!</v>
      </c>
      <c r="X1128" s="33" t="e">
        <f ca="1"/>
        <v>#REF!</v>
      </c>
      <c r="Y1128" s="33" t="e">
        <f ca="1"/>
        <v>#REF!</v>
      </c>
      <c r="Z1128" s="33" t="e">
        <f ca="1"/>
        <v>#REF!</v>
      </c>
      <c r="AA1128" s="33" t="e">
        <f ca="1"/>
        <v>#REF!</v>
      </c>
    </row>
    <row r="1129" spans="1:27" s="70" customFormat="1" ht="11.25" x14ac:dyDescent="0.2">
      <c r="A1129" s="24">
        <v>1123</v>
      </c>
      <c r="B1129" s="24"/>
      <c r="C1129" s="25"/>
      <c r="D1129" s="26"/>
      <c r="E1129" s="25"/>
      <c r="F1129" s="25"/>
      <c r="G1129" s="24"/>
      <c r="H1129" s="25" t="e">
        <f ca="1"/>
        <v>#REF!</v>
      </c>
      <c r="I1129" s="27" t="e">
        <f ca="1"/>
        <v>#REF!</v>
      </c>
      <c r="J1129" s="28" t="e">
        <f ca="1"/>
        <v>#REF!</v>
      </c>
      <c r="K1129" s="27" t="e">
        <f ca="1"/>
        <v>#REF!</v>
      </c>
      <c r="L1129" s="25" t="e">
        <f ca="1"/>
        <v>#REF!</v>
      </c>
      <c r="M1129" s="25" t="e">
        <f ca="1"/>
        <v>#REF!</v>
      </c>
      <c r="N1129" s="25" t="e">
        <f ca="1"/>
        <v>#REF!</v>
      </c>
      <c r="O1129" s="25" t="e">
        <f ca="1"/>
        <v>#REF!</v>
      </c>
      <c r="P1129" s="25" t="e">
        <f ca="1"/>
        <v>#REF!</v>
      </c>
      <c r="Q1129" s="25" t="e">
        <f ca="1"/>
        <v>#REF!</v>
      </c>
      <c r="R1129" s="25" t="e">
        <f ca="1"/>
        <v>#REF!</v>
      </c>
      <c r="S1129" s="25" t="e">
        <f ca="1"/>
        <v>#REF!</v>
      </c>
      <c r="T1129" s="25" t="e">
        <f ca="1"/>
        <v>#REF!</v>
      </c>
      <c r="U1129" s="25" t="e">
        <f ca="1"/>
        <v>#REF!</v>
      </c>
      <c r="V1129" s="25" t="e">
        <f ca="1"/>
        <v>#REF!</v>
      </c>
      <c r="W1129" s="33" t="e">
        <f ca="1"/>
        <v>#REF!</v>
      </c>
      <c r="X1129" s="33" t="e">
        <f ca="1"/>
        <v>#REF!</v>
      </c>
      <c r="Y1129" s="33" t="e">
        <f ca="1"/>
        <v>#REF!</v>
      </c>
      <c r="Z1129" s="33" t="e">
        <f ca="1"/>
        <v>#REF!</v>
      </c>
      <c r="AA1129" s="33" t="e">
        <f ca="1"/>
        <v>#REF!</v>
      </c>
    </row>
    <row r="1130" spans="1:27" s="70" customFormat="1" ht="11.25" x14ac:dyDescent="0.2">
      <c r="A1130" s="24">
        <v>1124</v>
      </c>
      <c r="B1130" s="24"/>
      <c r="C1130" s="25"/>
      <c r="D1130" s="26"/>
      <c r="E1130" s="25"/>
      <c r="F1130" s="25"/>
      <c r="G1130" s="24"/>
      <c r="H1130" s="25" t="e">
        <f ca="1"/>
        <v>#REF!</v>
      </c>
      <c r="I1130" s="27" t="e">
        <f ca="1"/>
        <v>#REF!</v>
      </c>
      <c r="J1130" s="28" t="e">
        <f ca="1"/>
        <v>#REF!</v>
      </c>
      <c r="K1130" s="27" t="e">
        <f ca="1"/>
        <v>#REF!</v>
      </c>
      <c r="L1130" s="25" t="e">
        <f ca="1"/>
        <v>#REF!</v>
      </c>
      <c r="M1130" s="25" t="e">
        <f ca="1"/>
        <v>#REF!</v>
      </c>
      <c r="N1130" s="25" t="e">
        <f ca="1"/>
        <v>#REF!</v>
      </c>
      <c r="O1130" s="25" t="e">
        <f ca="1"/>
        <v>#REF!</v>
      </c>
      <c r="P1130" s="25" t="e">
        <f ca="1"/>
        <v>#REF!</v>
      </c>
      <c r="Q1130" s="25" t="e">
        <f ca="1"/>
        <v>#REF!</v>
      </c>
      <c r="R1130" s="25" t="e">
        <f ca="1"/>
        <v>#REF!</v>
      </c>
      <c r="S1130" s="25" t="e">
        <f ca="1"/>
        <v>#REF!</v>
      </c>
      <c r="T1130" s="25" t="e">
        <f ca="1"/>
        <v>#REF!</v>
      </c>
      <c r="U1130" s="25" t="e">
        <f ca="1"/>
        <v>#REF!</v>
      </c>
      <c r="V1130" s="25" t="e">
        <f ca="1"/>
        <v>#REF!</v>
      </c>
      <c r="W1130" s="33" t="e">
        <f ca="1"/>
        <v>#REF!</v>
      </c>
      <c r="X1130" s="33" t="e">
        <f ca="1"/>
        <v>#REF!</v>
      </c>
      <c r="Y1130" s="33" t="e">
        <f ca="1"/>
        <v>#REF!</v>
      </c>
      <c r="Z1130" s="33" t="e">
        <f ca="1"/>
        <v>#REF!</v>
      </c>
      <c r="AA1130" s="33" t="e">
        <f ca="1"/>
        <v>#REF!</v>
      </c>
    </row>
    <row r="1131" spans="1:27" s="70" customFormat="1" ht="11.25" x14ac:dyDescent="0.2">
      <c r="A1131" s="24">
        <v>1125</v>
      </c>
      <c r="B1131" s="24"/>
      <c r="C1131" s="25"/>
      <c r="D1131" s="26"/>
      <c r="E1131" s="25"/>
      <c r="F1131" s="25"/>
      <c r="G1131" s="24"/>
      <c r="H1131" s="25" t="e">
        <f ca="1"/>
        <v>#REF!</v>
      </c>
      <c r="I1131" s="27" t="e">
        <f ca="1"/>
        <v>#REF!</v>
      </c>
      <c r="J1131" s="28" t="e">
        <f ca="1"/>
        <v>#REF!</v>
      </c>
      <c r="K1131" s="27" t="e">
        <f ca="1"/>
        <v>#REF!</v>
      </c>
      <c r="L1131" s="25" t="e">
        <f ca="1"/>
        <v>#REF!</v>
      </c>
      <c r="M1131" s="25" t="e">
        <f ca="1"/>
        <v>#REF!</v>
      </c>
      <c r="N1131" s="25" t="e">
        <f ca="1"/>
        <v>#REF!</v>
      </c>
      <c r="O1131" s="25" t="e">
        <f ca="1"/>
        <v>#REF!</v>
      </c>
      <c r="P1131" s="25" t="e">
        <f ca="1"/>
        <v>#REF!</v>
      </c>
      <c r="Q1131" s="25" t="e">
        <f ca="1"/>
        <v>#REF!</v>
      </c>
      <c r="R1131" s="25" t="e">
        <f ca="1"/>
        <v>#REF!</v>
      </c>
      <c r="S1131" s="25" t="e">
        <f ca="1"/>
        <v>#REF!</v>
      </c>
      <c r="T1131" s="25" t="e">
        <f ca="1"/>
        <v>#REF!</v>
      </c>
      <c r="U1131" s="25" t="e">
        <f ca="1"/>
        <v>#REF!</v>
      </c>
      <c r="V1131" s="25" t="e">
        <f ca="1"/>
        <v>#REF!</v>
      </c>
      <c r="W1131" s="33" t="e">
        <f ca="1"/>
        <v>#REF!</v>
      </c>
      <c r="X1131" s="33" t="e">
        <f ca="1"/>
        <v>#REF!</v>
      </c>
      <c r="Y1131" s="33" t="e">
        <f ca="1"/>
        <v>#REF!</v>
      </c>
      <c r="Z1131" s="33" t="e">
        <f ca="1"/>
        <v>#REF!</v>
      </c>
      <c r="AA1131" s="33" t="e">
        <f ca="1"/>
        <v>#REF!</v>
      </c>
    </row>
    <row r="1132" spans="1:27" s="70" customFormat="1" ht="11.25" x14ac:dyDescent="0.2">
      <c r="A1132" s="24">
        <v>1126</v>
      </c>
      <c r="B1132" s="24"/>
      <c r="C1132" s="25"/>
      <c r="D1132" s="26"/>
      <c r="E1132" s="25"/>
      <c r="F1132" s="25"/>
      <c r="G1132" s="24"/>
      <c r="H1132" s="25" t="e">
        <f ca="1"/>
        <v>#REF!</v>
      </c>
      <c r="I1132" s="27" t="e">
        <f ca="1"/>
        <v>#REF!</v>
      </c>
      <c r="J1132" s="28" t="e">
        <f ca="1"/>
        <v>#REF!</v>
      </c>
      <c r="K1132" s="27" t="e">
        <f ca="1"/>
        <v>#REF!</v>
      </c>
      <c r="L1132" s="25" t="e">
        <f ca="1"/>
        <v>#REF!</v>
      </c>
      <c r="M1132" s="25" t="e">
        <f ca="1"/>
        <v>#REF!</v>
      </c>
      <c r="N1132" s="25" t="e">
        <f ca="1"/>
        <v>#REF!</v>
      </c>
      <c r="O1132" s="25" t="e">
        <f ca="1"/>
        <v>#REF!</v>
      </c>
      <c r="P1132" s="25" t="e">
        <f ca="1"/>
        <v>#REF!</v>
      </c>
      <c r="Q1132" s="25" t="e">
        <f ca="1"/>
        <v>#REF!</v>
      </c>
      <c r="R1132" s="25" t="e">
        <f ca="1"/>
        <v>#REF!</v>
      </c>
      <c r="S1132" s="25" t="e">
        <f ca="1"/>
        <v>#REF!</v>
      </c>
      <c r="T1132" s="25" t="e">
        <f ca="1"/>
        <v>#REF!</v>
      </c>
      <c r="U1132" s="25" t="e">
        <f ca="1"/>
        <v>#REF!</v>
      </c>
      <c r="V1132" s="25" t="e">
        <f ca="1"/>
        <v>#REF!</v>
      </c>
      <c r="W1132" s="33" t="e">
        <f ca="1"/>
        <v>#REF!</v>
      </c>
      <c r="X1132" s="33" t="e">
        <f ca="1"/>
        <v>#REF!</v>
      </c>
      <c r="Y1132" s="33" t="e">
        <f ca="1"/>
        <v>#REF!</v>
      </c>
      <c r="Z1132" s="33" t="e">
        <f ca="1"/>
        <v>#REF!</v>
      </c>
      <c r="AA1132" s="33" t="e">
        <f ca="1"/>
        <v>#REF!</v>
      </c>
    </row>
    <row r="1133" spans="1:27" s="70" customFormat="1" ht="11.25" x14ac:dyDescent="0.2">
      <c r="A1133" s="24">
        <v>1127</v>
      </c>
      <c r="B1133" s="24"/>
      <c r="C1133" s="25"/>
      <c r="D1133" s="26"/>
      <c r="E1133" s="25"/>
      <c r="F1133" s="25"/>
      <c r="G1133" s="24"/>
      <c r="H1133" s="25" t="e">
        <f ca="1"/>
        <v>#REF!</v>
      </c>
      <c r="I1133" s="27" t="e">
        <f ca="1"/>
        <v>#REF!</v>
      </c>
      <c r="J1133" s="28" t="e">
        <f ca="1"/>
        <v>#REF!</v>
      </c>
      <c r="K1133" s="27" t="e">
        <f ca="1"/>
        <v>#REF!</v>
      </c>
      <c r="L1133" s="25" t="e">
        <f ca="1"/>
        <v>#REF!</v>
      </c>
      <c r="M1133" s="25" t="e">
        <f ca="1"/>
        <v>#REF!</v>
      </c>
      <c r="N1133" s="25" t="e">
        <f ca="1"/>
        <v>#REF!</v>
      </c>
      <c r="O1133" s="25" t="e">
        <f ca="1"/>
        <v>#REF!</v>
      </c>
      <c r="P1133" s="25" t="e">
        <f ca="1"/>
        <v>#REF!</v>
      </c>
      <c r="Q1133" s="25" t="e">
        <f ca="1"/>
        <v>#REF!</v>
      </c>
      <c r="R1133" s="25" t="e">
        <f ca="1"/>
        <v>#REF!</v>
      </c>
      <c r="S1133" s="25" t="e">
        <f ca="1"/>
        <v>#REF!</v>
      </c>
      <c r="T1133" s="25" t="e">
        <f ca="1"/>
        <v>#REF!</v>
      </c>
      <c r="U1133" s="25" t="e">
        <f ca="1"/>
        <v>#REF!</v>
      </c>
      <c r="V1133" s="25" t="e">
        <f ca="1"/>
        <v>#REF!</v>
      </c>
      <c r="W1133" s="33" t="e">
        <f ca="1"/>
        <v>#REF!</v>
      </c>
      <c r="X1133" s="33" t="e">
        <f ca="1"/>
        <v>#REF!</v>
      </c>
      <c r="Y1133" s="33" t="e">
        <f ca="1"/>
        <v>#REF!</v>
      </c>
      <c r="Z1133" s="33" t="e">
        <f ca="1"/>
        <v>#REF!</v>
      </c>
      <c r="AA1133" s="33" t="e">
        <f ca="1"/>
        <v>#REF!</v>
      </c>
    </row>
    <row r="1134" spans="1:27" s="70" customFormat="1" ht="11.25" x14ac:dyDescent="0.2">
      <c r="A1134" s="24">
        <v>1128</v>
      </c>
      <c r="B1134" s="24"/>
      <c r="C1134" s="25"/>
      <c r="D1134" s="26"/>
      <c r="E1134" s="25"/>
      <c r="F1134" s="25"/>
      <c r="G1134" s="24"/>
      <c r="H1134" s="25" t="e">
        <f ca="1"/>
        <v>#REF!</v>
      </c>
      <c r="I1134" s="27" t="e">
        <f ca="1"/>
        <v>#REF!</v>
      </c>
      <c r="J1134" s="28" t="e">
        <f ca="1"/>
        <v>#REF!</v>
      </c>
      <c r="K1134" s="27" t="e">
        <f ca="1"/>
        <v>#REF!</v>
      </c>
      <c r="L1134" s="25" t="e">
        <f ca="1"/>
        <v>#REF!</v>
      </c>
      <c r="M1134" s="25" t="e">
        <f ca="1"/>
        <v>#REF!</v>
      </c>
      <c r="N1134" s="25" t="e">
        <f ca="1"/>
        <v>#REF!</v>
      </c>
      <c r="O1134" s="25" t="e">
        <f ca="1"/>
        <v>#REF!</v>
      </c>
      <c r="P1134" s="25" t="e">
        <f ca="1"/>
        <v>#REF!</v>
      </c>
      <c r="Q1134" s="25" t="e">
        <f ca="1"/>
        <v>#REF!</v>
      </c>
      <c r="R1134" s="25" t="e">
        <f ca="1"/>
        <v>#REF!</v>
      </c>
      <c r="S1134" s="25" t="e">
        <f ca="1"/>
        <v>#REF!</v>
      </c>
      <c r="T1134" s="25" t="e">
        <f ca="1"/>
        <v>#REF!</v>
      </c>
      <c r="U1134" s="25" t="e">
        <f ca="1"/>
        <v>#REF!</v>
      </c>
      <c r="V1134" s="25" t="e">
        <f ca="1"/>
        <v>#REF!</v>
      </c>
      <c r="W1134" s="33" t="e">
        <f ca="1"/>
        <v>#REF!</v>
      </c>
      <c r="X1134" s="33" t="e">
        <f ca="1"/>
        <v>#REF!</v>
      </c>
      <c r="Y1134" s="33" t="e">
        <f ca="1"/>
        <v>#REF!</v>
      </c>
      <c r="Z1134" s="33" t="e">
        <f ca="1"/>
        <v>#REF!</v>
      </c>
      <c r="AA1134" s="33" t="e">
        <f ca="1"/>
        <v>#REF!</v>
      </c>
    </row>
    <row r="1135" spans="1:27" s="70" customFormat="1" ht="11.25" x14ac:dyDescent="0.2">
      <c r="A1135" s="24">
        <v>1129</v>
      </c>
      <c r="B1135" s="24"/>
      <c r="C1135" s="25"/>
      <c r="D1135" s="26"/>
      <c r="E1135" s="25"/>
      <c r="F1135" s="25"/>
      <c r="G1135" s="24"/>
      <c r="H1135" s="25" t="e">
        <f ca="1"/>
        <v>#REF!</v>
      </c>
      <c r="I1135" s="27" t="e">
        <f ca="1"/>
        <v>#REF!</v>
      </c>
      <c r="J1135" s="28" t="e">
        <f ca="1"/>
        <v>#REF!</v>
      </c>
      <c r="K1135" s="27" t="e">
        <f ca="1"/>
        <v>#REF!</v>
      </c>
      <c r="L1135" s="25" t="e">
        <f ca="1"/>
        <v>#REF!</v>
      </c>
      <c r="M1135" s="25" t="e">
        <f ca="1"/>
        <v>#REF!</v>
      </c>
      <c r="N1135" s="25" t="e">
        <f ca="1"/>
        <v>#REF!</v>
      </c>
      <c r="O1135" s="25" t="e">
        <f ca="1"/>
        <v>#REF!</v>
      </c>
      <c r="P1135" s="25" t="e">
        <f ca="1"/>
        <v>#REF!</v>
      </c>
      <c r="Q1135" s="25" t="e">
        <f ca="1"/>
        <v>#REF!</v>
      </c>
      <c r="R1135" s="25" t="e">
        <f ca="1"/>
        <v>#REF!</v>
      </c>
      <c r="S1135" s="25" t="e">
        <f ca="1"/>
        <v>#REF!</v>
      </c>
      <c r="T1135" s="25" t="e">
        <f ca="1"/>
        <v>#REF!</v>
      </c>
      <c r="U1135" s="25" t="e">
        <f ca="1"/>
        <v>#REF!</v>
      </c>
      <c r="V1135" s="25" t="e">
        <f ca="1"/>
        <v>#REF!</v>
      </c>
      <c r="W1135" s="33" t="e">
        <f ca="1"/>
        <v>#REF!</v>
      </c>
      <c r="X1135" s="33" t="e">
        <f ca="1"/>
        <v>#REF!</v>
      </c>
      <c r="Y1135" s="33" t="e">
        <f ca="1"/>
        <v>#REF!</v>
      </c>
      <c r="Z1135" s="33" t="e">
        <f ca="1"/>
        <v>#REF!</v>
      </c>
      <c r="AA1135" s="33" t="e">
        <f ca="1"/>
        <v>#REF!</v>
      </c>
    </row>
    <row r="1136" spans="1:27" s="70" customFormat="1" ht="11.25" x14ac:dyDescent="0.2">
      <c r="A1136" s="24">
        <v>1130</v>
      </c>
      <c r="B1136" s="24"/>
      <c r="C1136" s="25"/>
      <c r="D1136" s="26"/>
      <c r="E1136" s="25"/>
      <c r="F1136" s="25"/>
      <c r="G1136" s="24"/>
      <c r="H1136" s="25" t="e">
        <f ca="1"/>
        <v>#REF!</v>
      </c>
      <c r="I1136" s="27" t="e">
        <f ca="1"/>
        <v>#REF!</v>
      </c>
      <c r="J1136" s="28" t="e">
        <f ca="1"/>
        <v>#REF!</v>
      </c>
      <c r="K1136" s="27" t="e">
        <f ca="1"/>
        <v>#REF!</v>
      </c>
      <c r="L1136" s="25" t="e">
        <f ca="1"/>
        <v>#REF!</v>
      </c>
      <c r="M1136" s="25" t="e">
        <f ca="1"/>
        <v>#REF!</v>
      </c>
      <c r="N1136" s="25" t="e">
        <f ca="1"/>
        <v>#REF!</v>
      </c>
      <c r="O1136" s="25" t="e">
        <f ca="1"/>
        <v>#REF!</v>
      </c>
      <c r="P1136" s="25" t="e">
        <f ca="1"/>
        <v>#REF!</v>
      </c>
      <c r="Q1136" s="25" t="e">
        <f ca="1"/>
        <v>#REF!</v>
      </c>
      <c r="R1136" s="25" t="e">
        <f ca="1"/>
        <v>#REF!</v>
      </c>
      <c r="S1136" s="25" t="e">
        <f ca="1"/>
        <v>#REF!</v>
      </c>
      <c r="T1136" s="25" t="e">
        <f ca="1"/>
        <v>#REF!</v>
      </c>
      <c r="U1136" s="25" t="e">
        <f ca="1"/>
        <v>#REF!</v>
      </c>
      <c r="V1136" s="25" t="e">
        <f ca="1"/>
        <v>#REF!</v>
      </c>
      <c r="W1136" s="33" t="e">
        <f ca="1"/>
        <v>#REF!</v>
      </c>
      <c r="X1136" s="33" t="e">
        <f ca="1"/>
        <v>#REF!</v>
      </c>
      <c r="Y1136" s="33" t="e">
        <f ca="1"/>
        <v>#REF!</v>
      </c>
      <c r="Z1136" s="33" t="e">
        <f ca="1"/>
        <v>#REF!</v>
      </c>
      <c r="AA1136" s="33" t="e">
        <f ca="1"/>
        <v>#REF!</v>
      </c>
    </row>
    <row r="1137" spans="1:27" s="70" customFormat="1" ht="11.25" x14ac:dyDescent="0.2">
      <c r="A1137" s="24">
        <v>1131</v>
      </c>
      <c r="B1137" s="24"/>
      <c r="C1137" s="25"/>
      <c r="D1137" s="26"/>
      <c r="E1137" s="25"/>
      <c r="F1137" s="25"/>
      <c r="G1137" s="24"/>
      <c r="H1137" s="25" t="e">
        <f ca="1"/>
        <v>#REF!</v>
      </c>
      <c r="I1137" s="27" t="e">
        <f ca="1"/>
        <v>#REF!</v>
      </c>
      <c r="J1137" s="28" t="e">
        <f ca="1"/>
        <v>#REF!</v>
      </c>
      <c r="K1137" s="27" t="e">
        <f ca="1"/>
        <v>#REF!</v>
      </c>
      <c r="L1137" s="25" t="e">
        <f ca="1"/>
        <v>#REF!</v>
      </c>
      <c r="M1137" s="25" t="e">
        <f ca="1"/>
        <v>#REF!</v>
      </c>
      <c r="N1137" s="25" t="e">
        <f ca="1"/>
        <v>#REF!</v>
      </c>
      <c r="O1137" s="25" t="e">
        <f ca="1"/>
        <v>#REF!</v>
      </c>
      <c r="P1137" s="25" t="e">
        <f ca="1"/>
        <v>#REF!</v>
      </c>
      <c r="Q1137" s="25" t="e">
        <f ca="1"/>
        <v>#REF!</v>
      </c>
      <c r="R1137" s="25" t="e">
        <f ca="1"/>
        <v>#REF!</v>
      </c>
      <c r="S1137" s="25" t="e">
        <f ca="1"/>
        <v>#REF!</v>
      </c>
      <c r="T1137" s="25" t="e">
        <f ca="1"/>
        <v>#REF!</v>
      </c>
      <c r="U1137" s="25" t="e">
        <f ca="1"/>
        <v>#REF!</v>
      </c>
      <c r="V1137" s="25" t="e">
        <f ca="1"/>
        <v>#REF!</v>
      </c>
      <c r="W1137" s="33" t="e">
        <f ca="1"/>
        <v>#REF!</v>
      </c>
      <c r="X1137" s="33" t="e">
        <f ca="1"/>
        <v>#REF!</v>
      </c>
      <c r="Y1137" s="33" t="e">
        <f ca="1"/>
        <v>#REF!</v>
      </c>
      <c r="Z1137" s="33" t="e">
        <f ca="1"/>
        <v>#REF!</v>
      </c>
      <c r="AA1137" s="33" t="e">
        <f ca="1"/>
        <v>#REF!</v>
      </c>
    </row>
    <row r="1138" spans="1:27" s="70" customFormat="1" ht="11.25" x14ac:dyDescent="0.2">
      <c r="A1138" s="24">
        <v>1132</v>
      </c>
      <c r="B1138" s="24"/>
      <c r="C1138" s="25"/>
      <c r="D1138" s="26"/>
      <c r="E1138" s="25"/>
      <c r="F1138" s="25"/>
      <c r="G1138" s="24"/>
      <c r="H1138" s="25" t="e">
        <f ca="1"/>
        <v>#REF!</v>
      </c>
      <c r="I1138" s="27" t="e">
        <f ca="1"/>
        <v>#REF!</v>
      </c>
      <c r="J1138" s="28" t="e">
        <f ca="1"/>
        <v>#REF!</v>
      </c>
      <c r="K1138" s="27" t="e">
        <f ca="1"/>
        <v>#REF!</v>
      </c>
      <c r="L1138" s="25" t="e">
        <f ca="1"/>
        <v>#REF!</v>
      </c>
      <c r="M1138" s="25" t="e">
        <f ca="1"/>
        <v>#REF!</v>
      </c>
      <c r="N1138" s="25" t="e">
        <f ca="1"/>
        <v>#REF!</v>
      </c>
      <c r="O1138" s="25" t="e">
        <f ca="1"/>
        <v>#REF!</v>
      </c>
      <c r="P1138" s="25" t="e">
        <f ca="1"/>
        <v>#REF!</v>
      </c>
      <c r="Q1138" s="25" t="e">
        <f ca="1"/>
        <v>#REF!</v>
      </c>
      <c r="R1138" s="25" t="e">
        <f ca="1"/>
        <v>#REF!</v>
      </c>
      <c r="S1138" s="25" t="e">
        <f ca="1"/>
        <v>#REF!</v>
      </c>
      <c r="T1138" s="25" t="e">
        <f ca="1"/>
        <v>#REF!</v>
      </c>
      <c r="U1138" s="25" t="e">
        <f ca="1"/>
        <v>#REF!</v>
      </c>
      <c r="V1138" s="25" t="e">
        <f ca="1"/>
        <v>#REF!</v>
      </c>
      <c r="W1138" s="33" t="e">
        <f ca="1"/>
        <v>#REF!</v>
      </c>
      <c r="X1138" s="33" t="e">
        <f ca="1"/>
        <v>#REF!</v>
      </c>
      <c r="Y1138" s="33" t="e">
        <f ca="1"/>
        <v>#REF!</v>
      </c>
      <c r="Z1138" s="33" t="e">
        <f ca="1"/>
        <v>#REF!</v>
      </c>
      <c r="AA1138" s="33" t="e">
        <f ca="1"/>
        <v>#REF!</v>
      </c>
    </row>
    <row r="1139" spans="1:27" s="70" customFormat="1" ht="11.25" x14ac:dyDescent="0.2">
      <c r="A1139" s="24">
        <v>1133</v>
      </c>
      <c r="B1139" s="24"/>
      <c r="C1139" s="25"/>
      <c r="D1139" s="26"/>
      <c r="E1139" s="25"/>
      <c r="F1139" s="25"/>
      <c r="G1139" s="24"/>
      <c r="H1139" s="25" t="e">
        <f ca="1"/>
        <v>#REF!</v>
      </c>
      <c r="I1139" s="27" t="e">
        <f ca="1"/>
        <v>#REF!</v>
      </c>
      <c r="J1139" s="28" t="e">
        <f ca="1"/>
        <v>#REF!</v>
      </c>
      <c r="K1139" s="27" t="e">
        <f ca="1"/>
        <v>#REF!</v>
      </c>
      <c r="L1139" s="25" t="e">
        <f ca="1"/>
        <v>#REF!</v>
      </c>
      <c r="M1139" s="25" t="e">
        <f ca="1"/>
        <v>#REF!</v>
      </c>
      <c r="N1139" s="25" t="e">
        <f ca="1"/>
        <v>#REF!</v>
      </c>
      <c r="O1139" s="25" t="e">
        <f ca="1"/>
        <v>#REF!</v>
      </c>
      <c r="P1139" s="25" t="e">
        <f ca="1"/>
        <v>#REF!</v>
      </c>
      <c r="Q1139" s="25" t="e">
        <f ca="1"/>
        <v>#REF!</v>
      </c>
      <c r="R1139" s="25" t="e">
        <f ca="1"/>
        <v>#REF!</v>
      </c>
      <c r="S1139" s="25" t="e">
        <f ca="1"/>
        <v>#REF!</v>
      </c>
      <c r="T1139" s="25" t="e">
        <f ca="1"/>
        <v>#REF!</v>
      </c>
      <c r="U1139" s="25" t="e">
        <f ca="1"/>
        <v>#REF!</v>
      </c>
      <c r="V1139" s="25" t="e">
        <f ca="1"/>
        <v>#REF!</v>
      </c>
      <c r="W1139" s="33" t="e">
        <f ca="1"/>
        <v>#REF!</v>
      </c>
      <c r="X1139" s="33" t="e">
        <f ca="1"/>
        <v>#REF!</v>
      </c>
      <c r="Y1139" s="33" t="e">
        <f ca="1"/>
        <v>#REF!</v>
      </c>
      <c r="Z1139" s="33" t="e">
        <f ca="1"/>
        <v>#REF!</v>
      </c>
      <c r="AA1139" s="33" t="e">
        <f ca="1"/>
        <v>#REF!</v>
      </c>
    </row>
    <row r="1140" spans="1:27" s="70" customFormat="1" ht="11.25" x14ac:dyDescent="0.2">
      <c r="A1140" s="24">
        <v>1134</v>
      </c>
      <c r="B1140" s="24"/>
      <c r="C1140" s="25"/>
      <c r="D1140" s="26"/>
      <c r="E1140" s="25"/>
      <c r="F1140" s="25"/>
      <c r="G1140" s="24"/>
      <c r="H1140" s="25" t="e">
        <f ca="1"/>
        <v>#REF!</v>
      </c>
      <c r="I1140" s="27" t="e">
        <f ca="1"/>
        <v>#REF!</v>
      </c>
      <c r="J1140" s="28" t="e">
        <f ca="1"/>
        <v>#REF!</v>
      </c>
      <c r="K1140" s="27" t="e">
        <f ca="1"/>
        <v>#REF!</v>
      </c>
      <c r="L1140" s="25" t="e">
        <f ca="1"/>
        <v>#REF!</v>
      </c>
      <c r="M1140" s="25" t="e">
        <f ca="1"/>
        <v>#REF!</v>
      </c>
      <c r="N1140" s="25" t="e">
        <f ca="1"/>
        <v>#REF!</v>
      </c>
      <c r="O1140" s="25" t="e">
        <f ca="1"/>
        <v>#REF!</v>
      </c>
      <c r="P1140" s="25" t="e">
        <f ca="1"/>
        <v>#REF!</v>
      </c>
      <c r="Q1140" s="25" t="e">
        <f ca="1"/>
        <v>#REF!</v>
      </c>
      <c r="R1140" s="25" t="e">
        <f ca="1"/>
        <v>#REF!</v>
      </c>
      <c r="S1140" s="25" t="e">
        <f ca="1"/>
        <v>#REF!</v>
      </c>
      <c r="T1140" s="25" t="e">
        <f ca="1"/>
        <v>#REF!</v>
      </c>
      <c r="U1140" s="25" t="e">
        <f ca="1"/>
        <v>#REF!</v>
      </c>
      <c r="V1140" s="25" t="e">
        <f ca="1"/>
        <v>#REF!</v>
      </c>
      <c r="W1140" s="33" t="e">
        <f ca="1"/>
        <v>#REF!</v>
      </c>
      <c r="X1140" s="33" t="e">
        <f ca="1"/>
        <v>#REF!</v>
      </c>
      <c r="Y1140" s="33" t="e">
        <f ca="1"/>
        <v>#REF!</v>
      </c>
      <c r="Z1140" s="33" t="e">
        <f ca="1"/>
        <v>#REF!</v>
      </c>
      <c r="AA1140" s="33" t="e">
        <f ca="1"/>
        <v>#REF!</v>
      </c>
    </row>
    <row r="1141" spans="1:27" s="70" customFormat="1" ht="11.25" x14ac:dyDescent="0.2">
      <c r="A1141" s="24">
        <v>1135</v>
      </c>
      <c r="B1141" s="24"/>
      <c r="C1141" s="25"/>
      <c r="D1141" s="26"/>
      <c r="E1141" s="25"/>
      <c r="F1141" s="25"/>
      <c r="G1141" s="24"/>
      <c r="H1141" s="25" t="e">
        <f ca="1"/>
        <v>#REF!</v>
      </c>
      <c r="I1141" s="27" t="e">
        <f ca="1"/>
        <v>#REF!</v>
      </c>
      <c r="J1141" s="28" t="e">
        <f ca="1"/>
        <v>#REF!</v>
      </c>
      <c r="K1141" s="27" t="e">
        <f ca="1"/>
        <v>#REF!</v>
      </c>
      <c r="L1141" s="25" t="e">
        <f ca="1"/>
        <v>#REF!</v>
      </c>
      <c r="M1141" s="25" t="e">
        <f ca="1"/>
        <v>#REF!</v>
      </c>
      <c r="N1141" s="25" t="e">
        <f ca="1"/>
        <v>#REF!</v>
      </c>
      <c r="O1141" s="25" t="e">
        <f ca="1"/>
        <v>#REF!</v>
      </c>
      <c r="P1141" s="25" t="e">
        <f ca="1"/>
        <v>#REF!</v>
      </c>
      <c r="Q1141" s="25" t="e">
        <f ca="1"/>
        <v>#REF!</v>
      </c>
      <c r="R1141" s="25" t="e">
        <f ca="1"/>
        <v>#REF!</v>
      </c>
      <c r="S1141" s="25" t="e">
        <f ca="1"/>
        <v>#REF!</v>
      </c>
      <c r="T1141" s="25" t="e">
        <f ca="1"/>
        <v>#REF!</v>
      </c>
      <c r="U1141" s="25" t="e">
        <f ca="1"/>
        <v>#REF!</v>
      </c>
      <c r="V1141" s="25" t="e">
        <f ca="1"/>
        <v>#REF!</v>
      </c>
      <c r="W1141" s="33" t="e">
        <f ca="1"/>
        <v>#REF!</v>
      </c>
      <c r="X1141" s="33" t="e">
        <f ca="1"/>
        <v>#REF!</v>
      </c>
      <c r="Y1141" s="33" t="e">
        <f ca="1"/>
        <v>#REF!</v>
      </c>
      <c r="Z1141" s="33" t="e">
        <f ca="1"/>
        <v>#REF!</v>
      </c>
      <c r="AA1141" s="33" t="e">
        <f ca="1"/>
        <v>#REF!</v>
      </c>
    </row>
    <row r="1142" spans="1:27" s="70" customFormat="1" ht="11.25" x14ac:dyDescent="0.2">
      <c r="A1142" s="24">
        <v>1136</v>
      </c>
      <c r="B1142" s="24"/>
      <c r="C1142" s="25"/>
      <c r="D1142" s="26"/>
      <c r="E1142" s="25"/>
      <c r="F1142" s="25"/>
      <c r="G1142" s="24"/>
      <c r="H1142" s="25" t="e">
        <f ca="1"/>
        <v>#REF!</v>
      </c>
      <c r="I1142" s="27" t="e">
        <f ca="1"/>
        <v>#REF!</v>
      </c>
      <c r="J1142" s="28" t="e">
        <f ca="1"/>
        <v>#REF!</v>
      </c>
      <c r="K1142" s="27" t="e">
        <f ca="1"/>
        <v>#REF!</v>
      </c>
      <c r="L1142" s="25" t="e">
        <f ca="1"/>
        <v>#REF!</v>
      </c>
      <c r="M1142" s="25" t="e">
        <f ca="1"/>
        <v>#REF!</v>
      </c>
      <c r="N1142" s="25" t="e">
        <f ca="1"/>
        <v>#REF!</v>
      </c>
      <c r="O1142" s="25" t="e">
        <f ca="1"/>
        <v>#REF!</v>
      </c>
      <c r="P1142" s="25" t="e">
        <f ca="1"/>
        <v>#REF!</v>
      </c>
      <c r="Q1142" s="25" t="e">
        <f ca="1"/>
        <v>#REF!</v>
      </c>
      <c r="R1142" s="25" t="e">
        <f ca="1"/>
        <v>#REF!</v>
      </c>
      <c r="S1142" s="25" t="e">
        <f ca="1"/>
        <v>#REF!</v>
      </c>
      <c r="T1142" s="25" t="e">
        <f ca="1"/>
        <v>#REF!</v>
      </c>
      <c r="U1142" s="25" t="e">
        <f ca="1"/>
        <v>#REF!</v>
      </c>
      <c r="V1142" s="25" t="e">
        <f ca="1"/>
        <v>#REF!</v>
      </c>
      <c r="W1142" s="33" t="e">
        <f ca="1"/>
        <v>#REF!</v>
      </c>
      <c r="X1142" s="33" t="e">
        <f ca="1"/>
        <v>#REF!</v>
      </c>
      <c r="Y1142" s="33" t="e">
        <f ca="1"/>
        <v>#REF!</v>
      </c>
      <c r="Z1142" s="33" t="e">
        <f ca="1"/>
        <v>#REF!</v>
      </c>
      <c r="AA1142" s="33" t="e">
        <f ca="1"/>
        <v>#REF!</v>
      </c>
    </row>
    <row r="1143" spans="1:27" s="70" customFormat="1" ht="11.25" x14ac:dyDescent="0.2">
      <c r="A1143" s="24">
        <v>1137</v>
      </c>
      <c r="B1143" s="24"/>
      <c r="C1143" s="25"/>
      <c r="D1143" s="26"/>
      <c r="E1143" s="25"/>
      <c r="F1143" s="25"/>
      <c r="G1143" s="24"/>
      <c r="H1143" s="25" t="e">
        <f ca="1"/>
        <v>#REF!</v>
      </c>
      <c r="I1143" s="27" t="e">
        <f ca="1"/>
        <v>#REF!</v>
      </c>
      <c r="J1143" s="28" t="e">
        <f ca="1"/>
        <v>#REF!</v>
      </c>
      <c r="K1143" s="27" t="e">
        <f ca="1"/>
        <v>#REF!</v>
      </c>
      <c r="L1143" s="25" t="e">
        <f ca="1"/>
        <v>#REF!</v>
      </c>
      <c r="M1143" s="25" t="e">
        <f ca="1"/>
        <v>#REF!</v>
      </c>
      <c r="N1143" s="25" t="e">
        <f ca="1"/>
        <v>#REF!</v>
      </c>
      <c r="O1143" s="25" t="e">
        <f ca="1"/>
        <v>#REF!</v>
      </c>
      <c r="P1143" s="25" t="e">
        <f ca="1"/>
        <v>#REF!</v>
      </c>
      <c r="Q1143" s="25" t="e">
        <f ca="1"/>
        <v>#REF!</v>
      </c>
      <c r="R1143" s="25" t="e">
        <f ca="1"/>
        <v>#REF!</v>
      </c>
      <c r="S1143" s="25" t="e">
        <f ca="1"/>
        <v>#REF!</v>
      </c>
      <c r="T1143" s="25" t="e">
        <f ca="1"/>
        <v>#REF!</v>
      </c>
      <c r="U1143" s="25" t="e">
        <f ca="1"/>
        <v>#REF!</v>
      </c>
      <c r="V1143" s="25" t="e">
        <f ca="1"/>
        <v>#REF!</v>
      </c>
      <c r="W1143" s="33" t="e">
        <f ca="1"/>
        <v>#REF!</v>
      </c>
      <c r="X1143" s="33" t="e">
        <f ca="1"/>
        <v>#REF!</v>
      </c>
      <c r="Y1143" s="33" t="e">
        <f ca="1"/>
        <v>#REF!</v>
      </c>
      <c r="Z1143" s="33" t="e">
        <f ca="1"/>
        <v>#REF!</v>
      </c>
      <c r="AA1143" s="33" t="e">
        <f ca="1"/>
        <v>#REF!</v>
      </c>
    </row>
    <row r="1144" spans="1:27" s="70" customFormat="1" ht="11.25" x14ac:dyDescent="0.2">
      <c r="A1144" s="24">
        <v>1138</v>
      </c>
      <c r="B1144" s="24"/>
      <c r="C1144" s="25"/>
      <c r="D1144" s="26"/>
      <c r="E1144" s="25"/>
      <c r="F1144" s="25"/>
      <c r="G1144" s="24"/>
      <c r="H1144" s="25" t="e">
        <f ca="1"/>
        <v>#REF!</v>
      </c>
      <c r="I1144" s="27" t="e">
        <f ca="1"/>
        <v>#REF!</v>
      </c>
      <c r="J1144" s="28" t="e">
        <f ca="1"/>
        <v>#REF!</v>
      </c>
      <c r="K1144" s="27" t="e">
        <f ca="1"/>
        <v>#REF!</v>
      </c>
      <c r="L1144" s="25" t="e">
        <f ca="1"/>
        <v>#REF!</v>
      </c>
      <c r="M1144" s="25" t="e">
        <f ca="1"/>
        <v>#REF!</v>
      </c>
      <c r="N1144" s="25" t="e">
        <f ca="1"/>
        <v>#REF!</v>
      </c>
      <c r="O1144" s="25" t="e">
        <f ca="1"/>
        <v>#REF!</v>
      </c>
      <c r="P1144" s="25" t="e">
        <f ca="1"/>
        <v>#REF!</v>
      </c>
      <c r="Q1144" s="25" t="e">
        <f ca="1"/>
        <v>#REF!</v>
      </c>
      <c r="R1144" s="25" t="e">
        <f ca="1"/>
        <v>#REF!</v>
      </c>
      <c r="S1144" s="25" t="e">
        <f ca="1"/>
        <v>#REF!</v>
      </c>
      <c r="T1144" s="25" t="e">
        <f ca="1"/>
        <v>#REF!</v>
      </c>
      <c r="U1144" s="25" t="e">
        <f ca="1"/>
        <v>#REF!</v>
      </c>
      <c r="V1144" s="25" t="e">
        <f ca="1"/>
        <v>#REF!</v>
      </c>
      <c r="W1144" s="33" t="e">
        <f ca="1"/>
        <v>#REF!</v>
      </c>
      <c r="X1144" s="33" t="e">
        <f ca="1"/>
        <v>#REF!</v>
      </c>
      <c r="Y1144" s="33" t="e">
        <f ca="1"/>
        <v>#REF!</v>
      </c>
      <c r="Z1144" s="33" t="e">
        <f ca="1"/>
        <v>#REF!</v>
      </c>
      <c r="AA1144" s="33" t="e">
        <f ca="1"/>
        <v>#REF!</v>
      </c>
    </row>
    <row r="1145" spans="1:27" s="70" customFormat="1" ht="11.25" x14ac:dyDescent="0.2">
      <c r="A1145" s="24">
        <v>1139</v>
      </c>
      <c r="B1145" s="24"/>
      <c r="C1145" s="25"/>
      <c r="D1145" s="26"/>
      <c r="E1145" s="25"/>
      <c r="F1145" s="25"/>
      <c r="G1145" s="24"/>
      <c r="H1145" s="25" t="e">
        <f ca="1"/>
        <v>#REF!</v>
      </c>
      <c r="I1145" s="27" t="e">
        <f ca="1"/>
        <v>#REF!</v>
      </c>
      <c r="J1145" s="28" t="e">
        <f ca="1"/>
        <v>#REF!</v>
      </c>
      <c r="K1145" s="27" t="e">
        <f ca="1"/>
        <v>#REF!</v>
      </c>
      <c r="L1145" s="25" t="e">
        <f ca="1"/>
        <v>#REF!</v>
      </c>
      <c r="M1145" s="25" t="e">
        <f ca="1"/>
        <v>#REF!</v>
      </c>
      <c r="N1145" s="25" t="e">
        <f ca="1"/>
        <v>#REF!</v>
      </c>
      <c r="O1145" s="25" t="e">
        <f ca="1"/>
        <v>#REF!</v>
      </c>
      <c r="P1145" s="25" t="e">
        <f ca="1"/>
        <v>#REF!</v>
      </c>
      <c r="Q1145" s="25" t="e">
        <f ca="1"/>
        <v>#REF!</v>
      </c>
      <c r="R1145" s="25" t="e">
        <f ca="1"/>
        <v>#REF!</v>
      </c>
      <c r="S1145" s="25" t="e">
        <f ca="1"/>
        <v>#REF!</v>
      </c>
      <c r="T1145" s="25" t="e">
        <f ca="1"/>
        <v>#REF!</v>
      </c>
      <c r="U1145" s="25" t="e">
        <f ca="1"/>
        <v>#REF!</v>
      </c>
      <c r="V1145" s="25" t="e">
        <f ca="1"/>
        <v>#REF!</v>
      </c>
      <c r="W1145" s="33" t="e">
        <f ca="1"/>
        <v>#REF!</v>
      </c>
      <c r="X1145" s="33" t="e">
        <f ca="1"/>
        <v>#REF!</v>
      </c>
      <c r="Y1145" s="33" t="e">
        <f ca="1"/>
        <v>#REF!</v>
      </c>
      <c r="Z1145" s="33" t="e">
        <f ca="1"/>
        <v>#REF!</v>
      </c>
      <c r="AA1145" s="33" t="e">
        <f ca="1"/>
        <v>#REF!</v>
      </c>
    </row>
    <row r="1146" spans="1:27" s="70" customFormat="1" ht="11.25" x14ac:dyDescent="0.2">
      <c r="A1146" s="24">
        <v>1140</v>
      </c>
      <c r="B1146" s="24"/>
      <c r="C1146" s="25"/>
      <c r="D1146" s="26"/>
      <c r="E1146" s="25"/>
      <c r="F1146" s="25"/>
      <c r="G1146" s="24"/>
      <c r="H1146" s="25" t="e">
        <f ca="1"/>
        <v>#REF!</v>
      </c>
      <c r="I1146" s="27" t="e">
        <f ca="1"/>
        <v>#REF!</v>
      </c>
      <c r="J1146" s="28" t="e">
        <f ca="1"/>
        <v>#REF!</v>
      </c>
      <c r="K1146" s="27" t="e">
        <f ca="1"/>
        <v>#REF!</v>
      </c>
      <c r="L1146" s="25" t="e">
        <f ca="1"/>
        <v>#REF!</v>
      </c>
      <c r="M1146" s="25" t="e">
        <f ca="1"/>
        <v>#REF!</v>
      </c>
      <c r="N1146" s="25" t="e">
        <f ca="1"/>
        <v>#REF!</v>
      </c>
      <c r="O1146" s="25" t="e">
        <f ca="1"/>
        <v>#REF!</v>
      </c>
      <c r="P1146" s="25" t="e">
        <f ca="1"/>
        <v>#REF!</v>
      </c>
      <c r="Q1146" s="25" t="e">
        <f ca="1"/>
        <v>#REF!</v>
      </c>
      <c r="R1146" s="25" t="e">
        <f ca="1"/>
        <v>#REF!</v>
      </c>
      <c r="S1146" s="25" t="e">
        <f ca="1"/>
        <v>#REF!</v>
      </c>
      <c r="T1146" s="25" t="e">
        <f ca="1"/>
        <v>#REF!</v>
      </c>
      <c r="U1146" s="25" t="e">
        <f ca="1"/>
        <v>#REF!</v>
      </c>
      <c r="V1146" s="25" t="e">
        <f ca="1"/>
        <v>#REF!</v>
      </c>
      <c r="W1146" s="33" t="e">
        <f ca="1"/>
        <v>#REF!</v>
      </c>
      <c r="X1146" s="33" t="e">
        <f ca="1"/>
        <v>#REF!</v>
      </c>
      <c r="Y1146" s="33" t="e">
        <f ca="1"/>
        <v>#REF!</v>
      </c>
      <c r="Z1146" s="33" t="e">
        <f ca="1"/>
        <v>#REF!</v>
      </c>
      <c r="AA1146" s="33" t="e">
        <f ca="1"/>
        <v>#REF!</v>
      </c>
    </row>
    <row r="1147" spans="1:27" s="70" customFormat="1" ht="11.25" x14ac:dyDescent="0.2">
      <c r="A1147" s="24">
        <v>1141</v>
      </c>
      <c r="B1147" s="24"/>
      <c r="C1147" s="25"/>
      <c r="D1147" s="26"/>
      <c r="E1147" s="25"/>
      <c r="F1147" s="25"/>
      <c r="G1147" s="24"/>
      <c r="H1147" s="25" t="e">
        <f ca="1"/>
        <v>#REF!</v>
      </c>
      <c r="I1147" s="27" t="e">
        <f ca="1"/>
        <v>#REF!</v>
      </c>
      <c r="J1147" s="28" t="e">
        <f ca="1"/>
        <v>#REF!</v>
      </c>
      <c r="K1147" s="27" t="e">
        <f ca="1"/>
        <v>#REF!</v>
      </c>
      <c r="L1147" s="25" t="e">
        <f ca="1"/>
        <v>#REF!</v>
      </c>
      <c r="M1147" s="25" t="e">
        <f ca="1"/>
        <v>#REF!</v>
      </c>
      <c r="N1147" s="25" t="e">
        <f ca="1"/>
        <v>#REF!</v>
      </c>
      <c r="O1147" s="25" t="e">
        <f ca="1"/>
        <v>#REF!</v>
      </c>
      <c r="P1147" s="25" t="e">
        <f ca="1"/>
        <v>#REF!</v>
      </c>
      <c r="Q1147" s="25" t="e">
        <f ca="1"/>
        <v>#REF!</v>
      </c>
      <c r="R1147" s="25" t="e">
        <f ca="1"/>
        <v>#REF!</v>
      </c>
      <c r="S1147" s="25" t="e">
        <f ca="1"/>
        <v>#REF!</v>
      </c>
      <c r="T1147" s="25" t="e">
        <f ca="1"/>
        <v>#REF!</v>
      </c>
      <c r="U1147" s="25" t="e">
        <f ca="1"/>
        <v>#REF!</v>
      </c>
      <c r="V1147" s="25" t="e">
        <f ca="1"/>
        <v>#REF!</v>
      </c>
      <c r="W1147" s="33" t="e">
        <f ca="1"/>
        <v>#REF!</v>
      </c>
      <c r="X1147" s="33" t="e">
        <f ca="1"/>
        <v>#REF!</v>
      </c>
      <c r="Y1147" s="33" t="e">
        <f ca="1"/>
        <v>#REF!</v>
      </c>
      <c r="Z1147" s="33" t="e">
        <f ca="1"/>
        <v>#REF!</v>
      </c>
      <c r="AA1147" s="33" t="e">
        <f ca="1"/>
        <v>#REF!</v>
      </c>
    </row>
    <row r="1148" spans="1:27" s="70" customFormat="1" ht="11.25" x14ac:dyDescent="0.2">
      <c r="A1148" s="24">
        <v>1142</v>
      </c>
      <c r="B1148" s="24"/>
      <c r="C1148" s="25"/>
      <c r="D1148" s="26"/>
      <c r="E1148" s="25"/>
      <c r="F1148" s="25"/>
      <c r="G1148" s="24"/>
      <c r="H1148" s="25" t="e">
        <f ca="1"/>
        <v>#REF!</v>
      </c>
      <c r="I1148" s="27" t="e">
        <f ca="1"/>
        <v>#REF!</v>
      </c>
      <c r="J1148" s="28" t="e">
        <f ca="1"/>
        <v>#REF!</v>
      </c>
      <c r="K1148" s="27" t="e">
        <f ca="1"/>
        <v>#REF!</v>
      </c>
      <c r="L1148" s="25" t="e">
        <f ca="1"/>
        <v>#REF!</v>
      </c>
      <c r="M1148" s="25" t="e">
        <f ca="1"/>
        <v>#REF!</v>
      </c>
      <c r="N1148" s="25" t="e">
        <f ca="1"/>
        <v>#REF!</v>
      </c>
      <c r="O1148" s="25" t="e">
        <f ca="1"/>
        <v>#REF!</v>
      </c>
      <c r="P1148" s="25" t="e">
        <f ca="1"/>
        <v>#REF!</v>
      </c>
      <c r="Q1148" s="25" t="e">
        <f ca="1"/>
        <v>#REF!</v>
      </c>
      <c r="R1148" s="25" t="e">
        <f ca="1"/>
        <v>#REF!</v>
      </c>
      <c r="S1148" s="25" t="e">
        <f ca="1"/>
        <v>#REF!</v>
      </c>
      <c r="T1148" s="25" t="e">
        <f ca="1"/>
        <v>#REF!</v>
      </c>
      <c r="U1148" s="25" t="e">
        <f ca="1"/>
        <v>#REF!</v>
      </c>
      <c r="V1148" s="25" t="e">
        <f ca="1"/>
        <v>#REF!</v>
      </c>
      <c r="W1148" s="33" t="e">
        <f ca="1"/>
        <v>#REF!</v>
      </c>
      <c r="X1148" s="33" t="e">
        <f ca="1"/>
        <v>#REF!</v>
      </c>
      <c r="Y1148" s="33" t="e">
        <f ca="1"/>
        <v>#REF!</v>
      </c>
      <c r="Z1148" s="33" t="e">
        <f ca="1"/>
        <v>#REF!</v>
      </c>
      <c r="AA1148" s="33" t="e">
        <f ca="1"/>
        <v>#REF!</v>
      </c>
    </row>
    <row r="1149" spans="1:27" s="70" customFormat="1" ht="11.25" x14ac:dyDescent="0.2">
      <c r="A1149" s="24">
        <v>1143</v>
      </c>
      <c r="B1149" s="24"/>
      <c r="C1149" s="25"/>
      <c r="D1149" s="26"/>
      <c r="E1149" s="25"/>
      <c r="F1149" s="25"/>
      <c r="G1149" s="24"/>
      <c r="H1149" s="25" t="e">
        <f ca="1"/>
        <v>#REF!</v>
      </c>
      <c r="I1149" s="27" t="e">
        <f ca="1"/>
        <v>#REF!</v>
      </c>
      <c r="J1149" s="28" t="e">
        <f ca="1"/>
        <v>#REF!</v>
      </c>
      <c r="K1149" s="27" t="e">
        <f ca="1"/>
        <v>#REF!</v>
      </c>
      <c r="L1149" s="25" t="e">
        <f ca="1"/>
        <v>#REF!</v>
      </c>
      <c r="M1149" s="25" t="e">
        <f ca="1"/>
        <v>#REF!</v>
      </c>
      <c r="N1149" s="25" t="e">
        <f ca="1"/>
        <v>#REF!</v>
      </c>
      <c r="O1149" s="25" t="e">
        <f ca="1"/>
        <v>#REF!</v>
      </c>
      <c r="P1149" s="25" t="e">
        <f ca="1"/>
        <v>#REF!</v>
      </c>
      <c r="Q1149" s="25" t="e">
        <f ca="1"/>
        <v>#REF!</v>
      </c>
      <c r="R1149" s="25" t="e">
        <f ca="1"/>
        <v>#REF!</v>
      </c>
      <c r="S1149" s="25" t="e">
        <f ca="1"/>
        <v>#REF!</v>
      </c>
      <c r="T1149" s="25" t="e">
        <f ca="1"/>
        <v>#REF!</v>
      </c>
      <c r="U1149" s="25" t="e">
        <f ca="1"/>
        <v>#REF!</v>
      </c>
      <c r="V1149" s="25" t="e">
        <f ca="1"/>
        <v>#REF!</v>
      </c>
      <c r="W1149" s="33" t="e">
        <f ca="1"/>
        <v>#REF!</v>
      </c>
      <c r="X1149" s="33" t="e">
        <f ca="1"/>
        <v>#REF!</v>
      </c>
      <c r="Y1149" s="33" t="e">
        <f ca="1"/>
        <v>#REF!</v>
      </c>
      <c r="Z1149" s="33" t="e">
        <f ca="1"/>
        <v>#REF!</v>
      </c>
      <c r="AA1149" s="33" t="e">
        <f ca="1"/>
        <v>#REF!</v>
      </c>
    </row>
    <row r="1150" spans="1:27" s="70" customFormat="1" ht="11.25" x14ac:dyDescent="0.2">
      <c r="A1150" s="24">
        <v>1144</v>
      </c>
      <c r="B1150" s="24"/>
      <c r="C1150" s="25"/>
      <c r="D1150" s="26"/>
      <c r="E1150" s="25"/>
      <c r="F1150" s="25"/>
      <c r="G1150" s="24"/>
      <c r="H1150" s="25" t="e">
        <f ca="1"/>
        <v>#REF!</v>
      </c>
      <c r="I1150" s="27" t="e">
        <f ca="1"/>
        <v>#REF!</v>
      </c>
      <c r="J1150" s="28" t="e">
        <f ca="1"/>
        <v>#REF!</v>
      </c>
      <c r="K1150" s="27" t="e">
        <f ca="1"/>
        <v>#REF!</v>
      </c>
      <c r="L1150" s="25" t="e">
        <f ca="1"/>
        <v>#REF!</v>
      </c>
      <c r="M1150" s="25" t="e">
        <f ca="1"/>
        <v>#REF!</v>
      </c>
      <c r="N1150" s="25" t="e">
        <f ca="1"/>
        <v>#REF!</v>
      </c>
      <c r="O1150" s="25" t="e">
        <f ca="1"/>
        <v>#REF!</v>
      </c>
      <c r="P1150" s="25" t="e">
        <f ca="1"/>
        <v>#REF!</v>
      </c>
      <c r="Q1150" s="25" t="e">
        <f ca="1"/>
        <v>#REF!</v>
      </c>
      <c r="R1150" s="25" t="e">
        <f ca="1"/>
        <v>#REF!</v>
      </c>
      <c r="S1150" s="25" t="e">
        <f ca="1"/>
        <v>#REF!</v>
      </c>
      <c r="T1150" s="25" t="e">
        <f ca="1"/>
        <v>#REF!</v>
      </c>
      <c r="U1150" s="25" t="e">
        <f ca="1"/>
        <v>#REF!</v>
      </c>
      <c r="V1150" s="25" t="e">
        <f ca="1"/>
        <v>#REF!</v>
      </c>
      <c r="W1150" s="33" t="e">
        <f ca="1"/>
        <v>#REF!</v>
      </c>
      <c r="X1150" s="33" t="e">
        <f ca="1"/>
        <v>#REF!</v>
      </c>
      <c r="Y1150" s="33" t="e">
        <f ca="1"/>
        <v>#REF!</v>
      </c>
      <c r="Z1150" s="33" t="e">
        <f ca="1"/>
        <v>#REF!</v>
      </c>
      <c r="AA1150" s="33" t="e">
        <f ca="1"/>
        <v>#REF!</v>
      </c>
    </row>
    <row r="1151" spans="1:27" s="70" customFormat="1" ht="11.25" x14ac:dyDescent="0.2">
      <c r="A1151" s="24">
        <v>1145</v>
      </c>
      <c r="B1151" s="24"/>
      <c r="C1151" s="25"/>
      <c r="D1151" s="26"/>
      <c r="E1151" s="25"/>
      <c r="F1151" s="25"/>
      <c r="G1151" s="24"/>
      <c r="H1151" s="25" t="e">
        <f ca="1"/>
        <v>#REF!</v>
      </c>
      <c r="I1151" s="27" t="e">
        <f ca="1"/>
        <v>#REF!</v>
      </c>
      <c r="J1151" s="28" t="e">
        <f ca="1"/>
        <v>#REF!</v>
      </c>
      <c r="K1151" s="27" t="e">
        <f ca="1"/>
        <v>#REF!</v>
      </c>
      <c r="L1151" s="25" t="e">
        <f ca="1"/>
        <v>#REF!</v>
      </c>
      <c r="M1151" s="25" t="e">
        <f ca="1"/>
        <v>#REF!</v>
      </c>
      <c r="N1151" s="25" t="e">
        <f ca="1"/>
        <v>#REF!</v>
      </c>
      <c r="O1151" s="25" t="e">
        <f ca="1"/>
        <v>#REF!</v>
      </c>
      <c r="P1151" s="25" t="e">
        <f ca="1"/>
        <v>#REF!</v>
      </c>
      <c r="Q1151" s="25" t="e">
        <f ca="1"/>
        <v>#REF!</v>
      </c>
      <c r="R1151" s="25" t="e">
        <f ca="1"/>
        <v>#REF!</v>
      </c>
      <c r="S1151" s="25" t="e">
        <f ca="1"/>
        <v>#REF!</v>
      </c>
      <c r="T1151" s="25" t="e">
        <f ca="1"/>
        <v>#REF!</v>
      </c>
      <c r="U1151" s="25" t="e">
        <f ca="1"/>
        <v>#REF!</v>
      </c>
      <c r="V1151" s="25" t="e">
        <f ca="1"/>
        <v>#REF!</v>
      </c>
      <c r="W1151" s="33" t="e">
        <f ca="1"/>
        <v>#REF!</v>
      </c>
      <c r="X1151" s="33" t="e">
        <f ca="1"/>
        <v>#REF!</v>
      </c>
      <c r="Y1151" s="33" t="e">
        <f ca="1"/>
        <v>#REF!</v>
      </c>
      <c r="Z1151" s="33" t="e">
        <f ca="1"/>
        <v>#REF!</v>
      </c>
      <c r="AA1151" s="33" t="e">
        <f ca="1"/>
        <v>#REF!</v>
      </c>
    </row>
    <row r="1152" spans="1:27" s="70" customFormat="1" ht="11.25" x14ac:dyDescent="0.2">
      <c r="A1152" s="24">
        <v>1146</v>
      </c>
      <c r="B1152" s="24"/>
      <c r="C1152" s="25"/>
      <c r="D1152" s="26"/>
      <c r="E1152" s="25"/>
      <c r="F1152" s="25"/>
      <c r="G1152" s="24"/>
      <c r="H1152" s="25" t="e">
        <f ca="1"/>
        <v>#REF!</v>
      </c>
      <c r="I1152" s="27" t="e">
        <f ca="1"/>
        <v>#REF!</v>
      </c>
      <c r="J1152" s="28" t="e">
        <f ca="1"/>
        <v>#REF!</v>
      </c>
      <c r="K1152" s="27" t="e">
        <f ca="1"/>
        <v>#REF!</v>
      </c>
      <c r="L1152" s="25" t="e">
        <f ca="1"/>
        <v>#REF!</v>
      </c>
      <c r="M1152" s="25" t="e">
        <f ca="1"/>
        <v>#REF!</v>
      </c>
      <c r="N1152" s="25" t="e">
        <f ca="1"/>
        <v>#REF!</v>
      </c>
      <c r="O1152" s="25" t="e">
        <f ca="1"/>
        <v>#REF!</v>
      </c>
      <c r="P1152" s="25" t="e">
        <f ca="1"/>
        <v>#REF!</v>
      </c>
      <c r="Q1152" s="25" t="e">
        <f ca="1"/>
        <v>#REF!</v>
      </c>
      <c r="R1152" s="25" t="e">
        <f ca="1"/>
        <v>#REF!</v>
      </c>
      <c r="S1152" s="25" t="e">
        <f ca="1"/>
        <v>#REF!</v>
      </c>
      <c r="T1152" s="25" t="e">
        <f ca="1"/>
        <v>#REF!</v>
      </c>
      <c r="U1152" s="25" t="e">
        <f ca="1"/>
        <v>#REF!</v>
      </c>
      <c r="V1152" s="25" t="e">
        <f ca="1"/>
        <v>#REF!</v>
      </c>
      <c r="W1152" s="33" t="e">
        <f ca="1"/>
        <v>#REF!</v>
      </c>
      <c r="X1152" s="33" t="e">
        <f ca="1"/>
        <v>#REF!</v>
      </c>
      <c r="Y1152" s="33" t="e">
        <f ca="1"/>
        <v>#REF!</v>
      </c>
      <c r="Z1152" s="33" t="e">
        <f ca="1"/>
        <v>#REF!</v>
      </c>
      <c r="AA1152" s="33" t="e">
        <f ca="1"/>
        <v>#REF!</v>
      </c>
    </row>
    <row r="1153" spans="1:27" s="70" customFormat="1" ht="11.25" x14ac:dyDescent="0.2">
      <c r="A1153" s="24">
        <v>1147</v>
      </c>
      <c r="B1153" s="24"/>
      <c r="C1153" s="25"/>
      <c r="D1153" s="26"/>
      <c r="E1153" s="25"/>
      <c r="F1153" s="25"/>
      <c r="G1153" s="24"/>
      <c r="H1153" s="25" t="e">
        <f ca="1"/>
        <v>#REF!</v>
      </c>
      <c r="I1153" s="27" t="e">
        <f ca="1"/>
        <v>#REF!</v>
      </c>
      <c r="J1153" s="28" t="e">
        <f ca="1"/>
        <v>#REF!</v>
      </c>
      <c r="K1153" s="27" t="e">
        <f ca="1"/>
        <v>#REF!</v>
      </c>
      <c r="L1153" s="25" t="e">
        <f ca="1"/>
        <v>#REF!</v>
      </c>
      <c r="M1153" s="25" t="e">
        <f ca="1"/>
        <v>#REF!</v>
      </c>
      <c r="N1153" s="25" t="e">
        <f ca="1"/>
        <v>#REF!</v>
      </c>
      <c r="O1153" s="25" t="e">
        <f ca="1"/>
        <v>#REF!</v>
      </c>
      <c r="P1153" s="25" t="e">
        <f ca="1"/>
        <v>#REF!</v>
      </c>
      <c r="Q1153" s="25" t="e">
        <f ca="1"/>
        <v>#REF!</v>
      </c>
      <c r="R1153" s="25" t="e">
        <f ca="1"/>
        <v>#REF!</v>
      </c>
      <c r="S1153" s="25" t="e">
        <f ca="1"/>
        <v>#REF!</v>
      </c>
      <c r="T1153" s="25" t="e">
        <f ca="1"/>
        <v>#REF!</v>
      </c>
      <c r="U1153" s="25" t="e">
        <f ca="1"/>
        <v>#REF!</v>
      </c>
      <c r="V1153" s="25" t="e">
        <f ca="1"/>
        <v>#REF!</v>
      </c>
      <c r="W1153" s="33" t="e">
        <f ca="1"/>
        <v>#REF!</v>
      </c>
      <c r="X1153" s="33" t="e">
        <f ca="1"/>
        <v>#REF!</v>
      </c>
      <c r="Y1153" s="33" t="e">
        <f ca="1"/>
        <v>#REF!</v>
      </c>
      <c r="Z1153" s="33" t="e">
        <f ca="1"/>
        <v>#REF!</v>
      </c>
      <c r="AA1153" s="33" t="e">
        <f ca="1"/>
        <v>#REF!</v>
      </c>
    </row>
    <row r="1154" spans="1:27" s="70" customFormat="1" ht="11.25" x14ac:dyDescent="0.2">
      <c r="A1154" s="24">
        <v>1148</v>
      </c>
      <c r="B1154" s="24"/>
      <c r="C1154" s="25"/>
      <c r="D1154" s="26"/>
      <c r="E1154" s="25"/>
      <c r="F1154" s="25"/>
      <c r="G1154" s="24"/>
      <c r="H1154" s="25" t="e">
        <f ca="1"/>
        <v>#REF!</v>
      </c>
      <c r="I1154" s="27" t="e">
        <f ca="1"/>
        <v>#REF!</v>
      </c>
      <c r="J1154" s="28" t="e">
        <f ca="1"/>
        <v>#REF!</v>
      </c>
      <c r="K1154" s="27" t="e">
        <f ca="1"/>
        <v>#REF!</v>
      </c>
      <c r="L1154" s="25" t="e">
        <f ca="1"/>
        <v>#REF!</v>
      </c>
      <c r="M1154" s="25" t="e">
        <f ca="1"/>
        <v>#REF!</v>
      </c>
      <c r="N1154" s="25" t="e">
        <f ca="1"/>
        <v>#REF!</v>
      </c>
      <c r="O1154" s="25" t="e">
        <f ca="1"/>
        <v>#REF!</v>
      </c>
      <c r="P1154" s="25" t="e">
        <f ca="1"/>
        <v>#REF!</v>
      </c>
      <c r="Q1154" s="25" t="e">
        <f ca="1"/>
        <v>#REF!</v>
      </c>
      <c r="R1154" s="25" t="e">
        <f ca="1"/>
        <v>#REF!</v>
      </c>
      <c r="S1154" s="25" t="e">
        <f ca="1"/>
        <v>#REF!</v>
      </c>
      <c r="T1154" s="25" t="e">
        <f ca="1"/>
        <v>#REF!</v>
      </c>
      <c r="U1154" s="25" t="e">
        <f ca="1"/>
        <v>#REF!</v>
      </c>
      <c r="V1154" s="25" t="e">
        <f ca="1"/>
        <v>#REF!</v>
      </c>
      <c r="W1154" s="33" t="e">
        <f ca="1"/>
        <v>#REF!</v>
      </c>
      <c r="X1154" s="33" t="e">
        <f ca="1"/>
        <v>#REF!</v>
      </c>
      <c r="Y1154" s="33" t="e">
        <f ca="1"/>
        <v>#REF!</v>
      </c>
      <c r="Z1154" s="33" t="e">
        <f ca="1"/>
        <v>#REF!</v>
      </c>
      <c r="AA1154" s="33" t="e">
        <f ca="1"/>
        <v>#REF!</v>
      </c>
    </row>
    <row r="1155" spans="1:27" s="70" customFormat="1" ht="11.25" x14ac:dyDescent="0.2">
      <c r="A1155" s="24">
        <v>1149</v>
      </c>
      <c r="B1155" s="24"/>
      <c r="C1155" s="25"/>
      <c r="D1155" s="26"/>
      <c r="E1155" s="25"/>
      <c r="F1155" s="25"/>
      <c r="G1155" s="24"/>
      <c r="H1155" s="25" t="e">
        <f ca="1"/>
        <v>#REF!</v>
      </c>
      <c r="I1155" s="27" t="e">
        <f ca="1"/>
        <v>#REF!</v>
      </c>
      <c r="J1155" s="28" t="e">
        <f ca="1"/>
        <v>#REF!</v>
      </c>
      <c r="K1155" s="27" t="e">
        <f ca="1"/>
        <v>#REF!</v>
      </c>
      <c r="L1155" s="25" t="e">
        <f ca="1"/>
        <v>#REF!</v>
      </c>
      <c r="M1155" s="25" t="e">
        <f ca="1"/>
        <v>#REF!</v>
      </c>
      <c r="N1155" s="25" t="e">
        <f ca="1"/>
        <v>#REF!</v>
      </c>
      <c r="O1155" s="25" t="e">
        <f ca="1"/>
        <v>#REF!</v>
      </c>
      <c r="P1155" s="25" t="e">
        <f ca="1"/>
        <v>#REF!</v>
      </c>
      <c r="Q1155" s="25" t="e">
        <f ca="1"/>
        <v>#REF!</v>
      </c>
      <c r="R1155" s="25" t="e">
        <f ca="1"/>
        <v>#REF!</v>
      </c>
      <c r="S1155" s="25" t="e">
        <f ca="1"/>
        <v>#REF!</v>
      </c>
      <c r="T1155" s="25" t="e">
        <f ca="1"/>
        <v>#REF!</v>
      </c>
      <c r="U1155" s="25" t="e">
        <f ca="1"/>
        <v>#REF!</v>
      </c>
      <c r="V1155" s="25" t="e">
        <f ca="1"/>
        <v>#REF!</v>
      </c>
      <c r="W1155" s="33" t="e">
        <f ca="1"/>
        <v>#REF!</v>
      </c>
      <c r="X1155" s="33" t="e">
        <f ca="1"/>
        <v>#REF!</v>
      </c>
      <c r="Y1155" s="33" t="e">
        <f ca="1"/>
        <v>#REF!</v>
      </c>
      <c r="Z1155" s="33" t="e">
        <f ca="1"/>
        <v>#REF!</v>
      </c>
      <c r="AA1155" s="33" t="e">
        <f ca="1"/>
        <v>#REF!</v>
      </c>
    </row>
    <row r="1156" spans="1:27" s="70" customFormat="1" ht="11.25" x14ac:dyDescent="0.2">
      <c r="A1156" s="24">
        <v>1150</v>
      </c>
      <c r="B1156" s="24"/>
      <c r="C1156" s="25"/>
      <c r="D1156" s="26"/>
      <c r="E1156" s="25"/>
      <c r="F1156" s="25"/>
      <c r="G1156" s="24"/>
      <c r="H1156" s="25" t="e">
        <f ca="1"/>
        <v>#REF!</v>
      </c>
      <c r="I1156" s="27" t="e">
        <f ca="1"/>
        <v>#REF!</v>
      </c>
      <c r="J1156" s="28" t="e">
        <f ca="1"/>
        <v>#REF!</v>
      </c>
      <c r="K1156" s="27" t="e">
        <f ca="1"/>
        <v>#REF!</v>
      </c>
      <c r="L1156" s="25" t="e">
        <f ca="1"/>
        <v>#REF!</v>
      </c>
      <c r="M1156" s="25" t="e">
        <f ca="1"/>
        <v>#REF!</v>
      </c>
      <c r="N1156" s="25" t="e">
        <f ca="1"/>
        <v>#REF!</v>
      </c>
      <c r="O1156" s="25" t="e">
        <f ca="1"/>
        <v>#REF!</v>
      </c>
      <c r="P1156" s="25" t="e">
        <f ca="1"/>
        <v>#REF!</v>
      </c>
      <c r="Q1156" s="25" t="e">
        <f ca="1"/>
        <v>#REF!</v>
      </c>
      <c r="R1156" s="25" t="e">
        <f ca="1"/>
        <v>#REF!</v>
      </c>
      <c r="S1156" s="25" t="e">
        <f ca="1"/>
        <v>#REF!</v>
      </c>
      <c r="T1156" s="25" t="e">
        <f ca="1"/>
        <v>#REF!</v>
      </c>
      <c r="U1156" s="25" t="e">
        <f ca="1"/>
        <v>#REF!</v>
      </c>
      <c r="V1156" s="25" t="e">
        <f ca="1"/>
        <v>#REF!</v>
      </c>
      <c r="W1156" s="33" t="e">
        <f ca="1"/>
        <v>#REF!</v>
      </c>
      <c r="X1156" s="33" t="e">
        <f ca="1"/>
        <v>#REF!</v>
      </c>
      <c r="Y1156" s="33" t="e">
        <f ca="1"/>
        <v>#REF!</v>
      </c>
      <c r="Z1156" s="33" t="e">
        <f ca="1"/>
        <v>#REF!</v>
      </c>
      <c r="AA1156" s="33" t="e">
        <f ca="1"/>
        <v>#REF!</v>
      </c>
    </row>
    <row r="1157" spans="1:27" s="70" customFormat="1" ht="11.25" x14ac:dyDescent="0.2">
      <c r="A1157" s="24">
        <v>1151</v>
      </c>
      <c r="B1157" s="24"/>
      <c r="C1157" s="25"/>
      <c r="D1157" s="26"/>
      <c r="E1157" s="25"/>
      <c r="F1157" s="25"/>
      <c r="G1157" s="24"/>
      <c r="H1157" s="25" t="e">
        <f ca="1"/>
        <v>#REF!</v>
      </c>
      <c r="I1157" s="27" t="e">
        <f ca="1"/>
        <v>#REF!</v>
      </c>
      <c r="J1157" s="28" t="e">
        <f ca="1"/>
        <v>#REF!</v>
      </c>
      <c r="K1157" s="27" t="e">
        <f ca="1"/>
        <v>#REF!</v>
      </c>
      <c r="L1157" s="25" t="e">
        <f ca="1"/>
        <v>#REF!</v>
      </c>
      <c r="M1157" s="25" t="e">
        <f ca="1"/>
        <v>#REF!</v>
      </c>
      <c r="N1157" s="25" t="e">
        <f ca="1"/>
        <v>#REF!</v>
      </c>
      <c r="O1157" s="25" t="e">
        <f ca="1"/>
        <v>#REF!</v>
      </c>
      <c r="P1157" s="25" t="e">
        <f ca="1"/>
        <v>#REF!</v>
      </c>
      <c r="Q1157" s="25" t="e">
        <f ca="1"/>
        <v>#REF!</v>
      </c>
      <c r="R1157" s="25" t="e">
        <f ca="1"/>
        <v>#REF!</v>
      </c>
      <c r="S1157" s="25" t="e">
        <f ca="1"/>
        <v>#REF!</v>
      </c>
      <c r="T1157" s="25" t="e">
        <f ca="1"/>
        <v>#REF!</v>
      </c>
      <c r="U1157" s="25" t="e">
        <f ca="1"/>
        <v>#REF!</v>
      </c>
      <c r="V1157" s="25" t="e">
        <f ca="1"/>
        <v>#REF!</v>
      </c>
      <c r="W1157" s="33" t="e">
        <f ca="1"/>
        <v>#REF!</v>
      </c>
      <c r="X1157" s="33" t="e">
        <f ca="1"/>
        <v>#REF!</v>
      </c>
      <c r="Y1157" s="33" t="e">
        <f ca="1"/>
        <v>#REF!</v>
      </c>
      <c r="Z1157" s="33" t="e">
        <f ca="1"/>
        <v>#REF!</v>
      </c>
      <c r="AA1157" s="33" t="e">
        <f ca="1"/>
        <v>#REF!</v>
      </c>
    </row>
    <row r="1158" spans="1:27" s="70" customFormat="1" ht="11.25" x14ac:dyDescent="0.2">
      <c r="A1158" s="24">
        <v>1152</v>
      </c>
      <c r="B1158" s="24"/>
      <c r="C1158" s="25"/>
      <c r="D1158" s="26"/>
      <c r="E1158" s="25"/>
      <c r="F1158" s="25"/>
      <c r="G1158" s="24"/>
      <c r="H1158" s="25" t="e">
        <f ca="1"/>
        <v>#REF!</v>
      </c>
      <c r="I1158" s="27" t="e">
        <f ca="1"/>
        <v>#REF!</v>
      </c>
      <c r="J1158" s="28" t="e">
        <f ca="1"/>
        <v>#REF!</v>
      </c>
      <c r="K1158" s="27" t="e">
        <f ca="1"/>
        <v>#REF!</v>
      </c>
      <c r="L1158" s="25" t="e">
        <f ca="1"/>
        <v>#REF!</v>
      </c>
      <c r="M1158" s="25" t="e">
        <f ca="1"/>
        <v>#REF!</v>
      </c>
      <c r="N1158" s="25" t="e">
        <f ca="1"/>
        <v>#REF!</v>
      </c>
      <c r="O1158" s="25" t="e">
        <f ca="1"/>
        <v>#REF!</v>
      </c>
      <c r="P1158" s="25" t="e">
        <f ca="1"/>
        <v>#REF!</v>
      </c>
      <c r="Q1158" s="25" t="e">
        <f ca="1"/>
        <v>#REF!</v>
      </c>
      <c r="R1158" s="25" t="e">
        <f ca="1"/>
        <v>#REF!</v>
      </c>
      <c r="S1158" s="25" t="e">
        <f ca="1"/>
        <v>#REF!</v>
      </c>
      <c r="T1158" s="25" t="e">
        <f ca="1"/>
        <v>#REF!</v>
      </c>
      <c r="U1158" s="25" t="e">
        <f ca="1"/>
        <v>#REF!</v>
      </c>
      <c r="V1158" s="25" t="e">
        <f ca="1"/>
        <v>#REF!</v>
      </c>
      <c r="W1158" s="33" t="e">
        <f ca="1"/>
        <v>#REF!</v>
      </c>
      <c r="X1158" s="33" t="e">
        <f ca="1"/>
        <v>#REF!</v>
      </c>
      <c r="Y1158" s="33" t="e">
        <f ca="1"/>
        <v>#REF!</v>
      </c>
      <c r="Z1158" s="33" t="e">
        <f ca="1"/>
        <v>#REF!</v>
      </c>
      <c r="AA1158" s="33" t="e">
        <f ca="1"/>
        <v>#REF!</v>
      </c>
    </row>
    <row r="1159" spans="1:27" s="70" customFormat="1" ht="11.25" x14ac:dyDescent="0.2">
      <c r="A1159" s="24">
        <v>1153</v>
      </c>
      <c r="B1159" s="24"/>
      <c r="C1159" s="25"/>
      <c r="D1159" s="26"/>
      <c r="E1159" s="25"/>
      <c r="F1159" s="25"/>
      <c r="G1159" s="24"/>
      <c r="H1159" s="25" t="e">
        <f ca="1"/>
        <v>#REF!</v>
      </c>
      <c r="I1159" s="27" t="e">
        <f ca="1"/>
        <v>#REF!</v>
      </c>
      <c r="J1159" s="28" t="e">
        <f ca="1"/>
        <v>#REF!</v>
      </c>
      <c r="K1159" s="27" t="e">
        <f ca="1"/>
        <v>#REF!</v>
      </c>
      <c r="L1159" s="25" t="e">
        <f ca="1"/>
        <v>#REF!</v>
      </c>
      <c r="M1159" s="25" t="e">
        <f ca="1"/>
        <v>#REF!</v>
      </c>
      <c r="N1159" s="25" t="e">
        <f ca="1"/>
        <v>#REF!</v>
      </c>
      <c r="O1159" s="25" t="e">
        <f ca="1"/>
        <v>#REF!</v>
      </c>
      <c r="P1159" s="25" t="e">
        <f ca="1"/>
        <v>#REF!</v>
      </c>
      <c r="Q1159" s="25" t="e">
        <f ca="1"/>
        <v>#REF!</v>
      </c>
      <c r="R1159" s="25" t="e">
        <f ca="1"/>
        <v>#REF!</v>
      </c>
      <c r="S1159" s="25" t="e">
        <f ca="1"/>
        <v>#REF!</v>
      </c>
      <c r="T1159" s="25" t="e">
        <f ca="1"/>
        <v>#REF!</v>
      </c>
      <c r="U1159" s="25" t="e">
        <f ca="1"/>
        <v>#REF!</v>
      </c>
      <c r="V1159" s="25" t="e">
        <f ca="1"/>
        <v>#REF!</v>
      </c>
      <c r="W1159" s="33" t="e">
        <f ca="1"/>
        <v>#REF!</v>
      </c>
      <c r="X1159" s="33" t="e">
        <f ca="1"/>
        <v>#REF!</v>
      </c>
      <c r="Y1159" s="33" t="e">
        <f ca="1"/>
        <v>#REF!</v>
      </c>
      <c r="Z1159" s="33" t="e">
        <f ca="1"/>
        <v>#REF!</v>
      </c>
      <c r="AA1159" s="33" t="e">
        <f ca="1"/>
        <v>#REF!</v>
      </c>
    </row>
    <row r="1160" spans="1:27" s="70" customFormat="1" ht="11.25" x14ac:dyDescent="0.2">
      <c r="A1160" s="24">
        <v>1154</v>
      </c>
      <c r="B1160" s="24"/>
      <c r="C1160" s="25"/>
      <c r="D1160" s="26"/>
      <c r="E1160" s="25"/>
      <c r="F1160" s="25"/>
      <c r="G1160" s="24"/>
      <c r="H1160" s="25" t="e">
        <f ca="1"/>
        <v>#REF!</v>
      </c>
      <c r="I1160" s="27" t="e">
        <f ca="1"/>
        <v>#REF!</v>
      </c>
      <c r="J1160" s="28" t="e">
        <f ca="1"/>
        <v>#REF!</v>
      </c>
      <c r="K1160" s="27" t="e">
        <f ca="1"/>
        <v>#REF!</v>
      </c>
      <c r="L1160" s="25" t="e">
        <f ca="1"/>
        <v>#REF!</v>
      </c>
      <c r="M1160" s="25" t="e">
        <f ca="1"/>
        <v>#REF!</v>
      </c>
      <c r="N1160" s="25" t="e">
        <f ca="1"/>
        <v>#REF!</v>
      </c>
      <c r="O1160" s="25" t="e">
        <f ca="1"/>
        <v>#REF!</v>
      </c>
      <c r="P1160" s="25" t="e">
        <f ca="1"/>
        <v>#REF!</v>
      </c>
      <c r="Q1160" s="25" t="e">
        <f ca="1"/>
        <v>#REF!</v>
      </c>
      <c r="R1160" s="25" t="e">
        <f ca="1"/>
        <v>#REF!</v>
      </c>
      <c r="S1160" s="25" t="e">
        <f ca="1"/>
        <v>#REF!</v>
      </c>
      <c r="T1160" s="25" t="e">
        <f ca="1"/>
        <v>#REF!</v>
      </c>
      <c r="U1160" s="25" t="e">
        <f ca="1"/>
        <v>#REF!</v>
      </c>
      <c r="V1160" s="25" t="e">
        <f ca="1"/>
        <v>#REF!</v>
      </c>
      <c r="W1160" s="33" t="e">
        <f ca="1"/>
        <v>#REF!</v>
      </c>
      <c r="X1160" s="33" t="e">
        <f ca="1"/>
        <v>#REF!</v>
      </c>
      <c r="Y1160" s="33" t="e">
        <f ca="1"/>
        <v>#REF!</v>
      </c>
      <c r="Z1160" s="33" t="e">
        <f ca="1"/>
        <v>#REF!</v>
      </c>
      <c r="AA1160" s="33" t="e">
        <f ca="1"/>
        <v>#REF!</v>
      </c>
    </row>
    <row r="1161" spans="1:27" s="70" customFormat="1" ht="11.25" x14ac:dyDescent="0.2">
      <c r="A1161" s="24">
        <v>1155</v>
      </c>
      <c r="B1161" s="24"/>
      <c r="C1161" s="25"/>
      <c r="D1161" s="26"/>
      <c r="E1161" s="25"/>
      <c r="F1161" s="25"/>
      <c r="G1161" s="24"/>
      <c r="H1161" s="25" t="e">
        <f ca="1"/>
        <v>#REF!</v>
      </c>
      <c r="I1161" s="27" t="e">
        <f ca="1"/>
        <v>#REF!</v>
      </c>
      <c r="J1161" s="28" t="e">
        <f ca="1"/>
        <v>#REF!</v>
      </c>
      <c r="K1161" s="27" t="e">
        <f ca="1"/>
        <v>#REF!</v>
      </c>
      <c r="L1161" s="25" t="e">
        <f ca="1"/>
        <v>#REF!</v>
      </c>
      <c r="M1161" s="25" t="e">
        <f ca="1"/>
        <v>#REF!</v>
      </c>
      <c r="N1161" s="25" t="e">
        <f ca="1"/>
        <v>#REF!</v>
      </c>
      <c r="O1161" s="25" t="e">
        <f ca="1"/>
        <v>#REF!</v>
      </c>
      <c r="P1161" s="25" t="e">
        <f ca="1"/>
        <v>#REF!</v>
      </c>
      <c r="Q1161" s="25" t="e">
        <f ca="1"/>
        <v>#REF!</v>
      </c>
      <c r="R1161" s="25" t="e">
        <f ca="1"/>
        <v>#REF!</v>
      </c>
      <c r="S1161" s="25" t="e">
        <f ca="1"/>
        <v>#REF!</v>
      </c>
      <c r="T1161" s="25" t="e">
        <f ca="1"/>
        <v>#REF!</v>
      </c>
      <c r="U1161" s="25" t="e">
        <f ca="1"/>
        <v>#REF!</v>
      </c>
      <c r="V1161" s="25" t="e">
        <f ca="1"/>
        <v>#REF!</v>
      </c>
      <c r="W1161" s="33" t="e">
        <f ca="1"/>
        <v>#REF!</v>
      </c>
      <c r="X1161" s="33" t="e">
        <f ca="1"/>
        <v>#REF!</v>
      </c>
      <c r="Y1161" s="33" t="e">
        <f ca="1"/>
        <v>#REF!</v>
      </c>
      <c r="Z1161" s="33" t="e">
        <f ca="1"/>
        <v>#REF!</v>
      </c>
      <c r="AA1161" s="33" t="e">
        <f ca="1"/>
        <v>#REF!</v>
      </c>
    </row>
    <row r="1162" spans="1:27" s="70" customFormat="1" ht="11.25" x14ac:dyDescent="0.2">
      <c r="A1162" s="24">
        <v>1156</v>
      </c>
      <c r="B1162" s="24"/>
      <c r="C1162" s="25"/>
      <c r="D1162" s="26"/>
      <c r="E1162" s="25"/>
      <c r="F1162" s="25"/>
      <c r="G1162" s="24"/>
      <c r="H1162" s="25" t="e">
        <f ca="1"/>
        <v>#REF!</v>
      </c>
      <c r="I1162" s="27" t="e">
        <f ca="1"/>
        <v>#REF!</v>
      </c>
      <c r="J1162" s="28" t="e">
        <f ca="1"/>
        <v>#REF!</v>
      </c>
      <c r="K1162" s="27" t="e">
        <f ca="1"/>
        <v>#REF!</v>
      </c>
      <c r="L1162" s="25" t="e">
        <f ca="1"/>
        <v>#REF!</v>
      </c>
      <c r="M1162" s="25" t="e">
        <f ca="1"/>
        <v>#REF!</v>
      </c>
      <c r="N1162" s="25" t="e">
        <f ca="1"/>
        <v>#REF!</v>
      </c>
      <c r="O1162" s="25" t="e">
        <f ca="1"/>
        <v>#REF!</v>
      </c>
      <c r="P1162" s="25" t="e">
        <f ca="1"/>
        <v>#REF!</v>
      </c>
      <c r="Q1162" s="25" t="e">
        <f ca="1"/>
        <v>#REF!</v>
      </c>
      <c r="R1162" s="25" t="e">
        <f ca="1"/>
        <v>#REF!</v>
      </c>
      <c r="S1162" s="25" t="e">
        <f ca="1"/>
        <v>#REF!</v>
      </c>
      <c r="T1162" s="25" t="e">
        <f ca="1"/>
        <v>#REF!</v>
      </c>
      <c r="U1162" s="25" t="e">
        <f ca="1"/>
        <v>#REF!</v>
      </c>
      <c r="V1162" s="25" t="e">
        <f ca="1"/>
        <v>#REF!</v>
      </c>
      <c r="W1162" s="33" t="e">
        <f ca="1"/>
        <v>#REF!</v>
      </c>
      <c r="X1162" s="33" t="e">
        <f ca="1"/>
        <v>#REF!</v>
      </c>
      <c r="Y1162" s="33" t="e">
        <f ca="1"/>
        <v>#REF!</v>
      </c>
      <c r="Z1162" s="33" t="e">
        <f ca="1"/>
        <v>#REF!</v>
      </c>
      <c r="AA1162" s="33" t="e">
        <f ca="1"/>
        <v>#REF!</v>
      </c>
    </row>
    <row r="1163" spans="1:27" s="70" customFormat="1" ht="11.25" x14ac:dyDescent="0.2">
      <c r="A1163" s="24">
        <v>1157</v>
      </c>
      <c r="B1163" s="24"/>
      <c r="C1163" s="25"/>
      <c r="D1163" s="26"/>
      <c r="E1163" s="25"/>
      <c r="F1163" s="25"/>
      <c r="G1163" s="24"/>
      <c r="H1163" s="25" t="e">
        <f ca="1"/>
        <v>#REF!</v>
      </c>
      <c r="I1163" s="27" t="e">
        <f ca="1"/>
        <v>#REF!</v>
      </c>
      <c r="J1163" s="28" t="e">
        <f ca="1"/>
        <v>#REF!</v>
      </c>
      <c r="K1163" s="27" t="e">
        <f ca="1"/>
        <v>#REF!</v>
      </c>
      <c r="L1163" s="25" t="e">
        <f ca="1"/>
        <v>#REF!</v>
      </c>
      <c r="M1163" s="25" t="e">
        <f ca="1"/>
        <v>#REF!</v>
      </c>
      <c r="N1163" s="25" t="e">
        <f ca="1"/>
        <v>#REF!</v>
      </c>
      <c r="O1163" s="25" t="e">
        <f ca="1"/>
        <v>#REF!</v>
      </c>
      <c r="P1163" s="25" t="e">
        <f ca="1"/>
        <v>#REF!</v>
      </c>
      <c r="Q1163" s="25" t="e">
        <f ca="1"/>
        <v>#REF!</v>
      </c>
      <c r="R1163" s="25" t="e">
        <f ca="1"/>
        <v>#REF!</v>
      </c>
      <c r="S1163" s="25" t="e">
        <f ca="1"/>
        <v>#REF!</v>
      </c>
      <c r="T1163" s="25" t="e">
        <f ca="1"/>
        <v>#REF!</v>
      </c>
      <c r="U1163" s="25" t="e">
        <f ca="1"/>
        <v>#REF!</v>
      </c>
      <c r="V1163" s="25" t="e">
        <f ca="1"/>
        <v>#REF!</v>
      </c>
      <c r="W1163" s="33" t="e">
        <f ca="1"/>
        <v>#REF!</v>
      </c>
      <c r="X1163" s="33" t="e">
        <f ca="1"/>
        <v>#REF!</v>
      </c>
      <c r="Y1163" s="33" t="e">
        <f ca="1"/>
        <v>#REF!</v>
      </c>
      <c r="Z1163" s="33" t="e">
        <f ca="1"/>
        <v>#REF!</v>
      </c>
      <c r="AA1163" s="33" t="e">
        <f ca="1"/>
        <v>#REF!</v>
      </c>
    </row>
    <row r="1164" spans="1:27" s="70" customFormat="1" ht="11.25" x14ac:dyDescent="0.2">
      <c r="A1164" s="24">
        <v>1158</v>
      </c>
      <c r="B1164" s="24"/>
      <c r="C1164" s="25"/>
      <c r="D1164" s="26"/>
      <c r="E1164" s="25"/>
      <c r="F1164" s="25"/>
      <c r="G1164" s="24"/>
      <c r="H1164" s="25" t="e">
        <f ca="1"/>
        <v>#REF!</v>
      </c>
      <c r="I1164" s="27" t="e">
        <f ca="1"/>
        <v>#REF!</v>
      </c>
      <c r="J1164" s="28" t="e">
        <f ca="1"/>
        <v>#REF!</v>
      </c>
      <c r="K1164" s="27" t="e">
        <f ca="1"/>
        <v>#REF!</v>
      </c>
      <c r="L1164" s="25" t="e">
        <f ca="1"/>
        <v>#REF!</v>
      </c>
      <c r="M1164" s="25" t="e">
        <f ca="1"/>
        <v>#REF!</v>
      </c>
      <c r="N1164" s="25" t="e">
        <f ca="1"/>
        <v>#REF!</v>
      </c>
      <c r="O1164" s="25" t="e">
        <f ca="1"/>
        <v>#REF!</v>
      </c>
      <c r="P1164" s="25" t="e">
        <f ca="1"/>
        <v>#REF!</v>
      </c>
      <c r="Q1164" s="25" t="e">
        <f ca="1"/>
        <v>#REF!</v>
      </c>
      <c r="R1164" s="25" t="e">
        <f ca="1"/>
        <v>#REF!</v>
      </c>
      <c r="S1164" s="25" t="e">
        <f ca="1"/>
        <v>#REF!</v>
      </c>
      <c r="T1164" s="25" t="e">
        <f ca="1"/>
        <v>#REF!</v>
      </c>
      <c r="U1164" s="25" t="e">
        <f ca="1"/>
        <v>#REF!</v>
      </c>
      <c r="V1164" s="25" t="e">
        <f ca="1"/>
        <v>#REF!</v>
      </c>
      <c r="W1164" s="33" t="e">
        <f ca="1"/>
        <v>#REF!</v>
      </c>
      <c r="X1164" s="33" t="e">
        <f ca="1"/>
        <v>#REF!</v>
      </c>
      <c r="Y1164" s="33" t="e">
        <f ca="1"/>
        <v>#REF!</v>
      </c>
      <c r="Z1164" s="33" t="e">
        <f ca="1"/>
        <v>#REF!</v>
      </c>
      <c r="AA1164" s="33" t="e">
        <f ca="1"/>
        <v>#REF!</v>
      </c>
    </row>
    <row r="1165" spans="1:27" s="70" customFormat="1" ht="11.25" x14ac:dyDescent="0.2">
      <c r="A1165" s="24">
        <v>1159</v>
      </c>
      <c r="B1165" s="24"/>
      <c r="C1165" s="25"/>
      <c r="D1165" s="26"/>
      <c r="E1165" s="25"/>
      <c r="F1165" s="25"/>
      <c r="G1165" s="24"/>
      <c r="H1165" s="25" t="e">
        <f ca="1"/>
        <v>#REF!</v>
      </c>
      <c r="I1165" s="27" t="e">
        <f ca="1"/>
        <v>#REF!</v>
      </c>
      <c r="J1165" s="28" t="e">
        <f ca="1"/>
        <v>#REF!</v>
      </c>
      <c r="K1165" s="27" t="e">
        <f ca="1"/>
        <v>#REF!</v>
      </c>
      <c r="L1165" s="25" t="e">
        <f ca="1"/>
        <v>#REF!</v>
      </c>
      <c r="M1165" s="25" t="e">
        <f ca="1"/>
        <v>#REF!</v>
      </c>
      <c r="N1165" s="25" t="e">
        <f ca="1"/>
        <v>#REF!</v>
      </c>
      <c r="O1165" s="25" t="e">
        <f ca="1"/>
        <v>#REF!</v>
      </c>
      <c r="P1165" s="25" t="e">
        <f ca="1"/>
        <v>#REF!</v>
      </c>
      <c r="Q1165" s="25" t="e">
        <f ca="1"/>
        <v>#REF!</v>
      </c>
      <c r="R1165" s="25" t="e">
        <f ca="1"/>
        <v>#REF!</v>
      </c>
      <c r="S1165" s="25" t="e">
        <f ca="1"/>
        <v>#REF!</v>
      </c>
      <c r="T1165" s="25" t="e">
        <f ca="1"/>
        <v>#REF!</v>
      </c>
      <c r="U1165" s="25" t="e">
        <f ca="1"/>
        <v>#REF!</v>
      </c>
      <c r="V1165" s="25" t="e">
        <f ca="1"/>
        <v>#REF!</v>
      </c>
      <c r="W1165" s="33" t="e">
        <f ca="1"/>
        <v>#REF!</v>
      </c>
      <c r="X1165" s="33" t="e">
        <f ca="1"/>
        <v>#REF!</v>
      </c>
      <c r="Y1165" s="33" t="e">
        <f ca="1"/>
        <v>#REF!</v>
      </c>
      <c r="Z1165" s="33" t="e">
        <f ca="1"/>
        <v>#REF!</v>
      </c>
      <c r="AA1165" s="33" t="e">
        <f ca="1"/>
        <v>#REF!</v>
      </c>
    </row>
    <row r="1166" spans="1:27" s="70" customFormat="1" ht="11.25" x14ac:dyDescent="0.2">
      <c r="A1166" s="24">
        <v>1160</v>
      </c>
      <c r="B1166" s="24"/>
      <c r="C1166" s="25"/>
      <c r="D1166" s="26"/>
      <c r="E1166" s="25"/>
      <c r="F1166" s="25"/>
      <c r="G1166" s="24"/>
      <c r="H1166" s="25" t="e">
        <f ca="1"/>
        <v>#REF!</v>
      </c>
      <c r="I1166" s="27" t="e">
        <f ca="1"/>
        <v>#REF!</v>
      </c>
      <c r="J1166" s="28" t="e">
        <f ca="1"/>
        <v>#REF!</v>
      </c>
      <c r="K1166" s="27" t="e">
        <f ca="1"/>
        <v>#REF!</v>
      </c>
      <c r="L1166" s="25" t="e">
        <f ca="1"/>
        <v>#REF!</v>
      </c>
      <c r="M1166" s="25" t="e">
        <f ca="1"/>
        <v>#REF!</v>
      </c>
      <c r="N1166" s="25" t="e">
        <f ca="1"/>
        <v>#REF!</v>
      </c>
      <c r="O1166" s="25" t="e">
        <f ca="1"/>
        <v>#REF!</v>
      </c>
      <c r="P1166" s="25" t="e">
        <f ca="1"/>
        <v>#REF!</v>
      </c>
      <c r="Q1166" s="25" t="e">
        <f ca="1"/>
        <v>#REF!</v>
      </c>
      <c r="R1166" s="25" t="e">
        <f ca="1"/>
        <v>#REF!</v>
      </c>
      <c r="S1166" s="25" t="e">
        <f ca="1"/>
        <v>#REF!</v>
      </c>
      <c r="T1166" s="25" t="e">
        <f ca="1"/>
        <v>#REF!</v>
      </c>
      <c r="U1166" s="25" t="e">
        <f ca="1"/>
        <v>#REF!</v>
      </c>
      <c r="V1166" s="25" t="e">
        <f ca="1"/>
        <v>#REF!</v>
      </c>
      <c r="W1166" s="33" t="e">
        <f ca="1"/>
        <v>#REF!</v>
      </c>
      <c r="X1166" s="33" t="e">
        <f ca="1"/>
        <v>#REF!</v>
      </c>
      <c r="Y1166" s="33" t="e">
        <f ca="1"/>
        <v>#REF!</v>
      </c>
      <c r="Z1166" s="33" t="e">
        <f ca="1"/>
        <v>#REF!</v>
      </c>
      <c r="AA1166" s="33" t="e">
        <f ca="1"/>
        <v>#REF!</v>
      </c>
    </row>
    <row r="1167" spans="1:27" s="70" customFormat="1" ht="11.25" x14ac:dyDescent="0.2">
      <c r="A1167" s="24">
        <v>1161</v>
      </c>
      <c r="B1167" s="24"/>
      <c r="C1167" s="25"/>
      <c r="D1167" s="26"/>
      <c r="E1167" s="25"/>
      <c r="F1167" s="25"/>
      <c r="G1167" s="24"/>
      <c r="H1167" s="25" t="e">
        <f ca="1"/>
        <v>#REF!</v>
      </c>
      <c r="I1167" s="27" t="e">
        <f ca="1"/>
        <v>#REF!</v>
      </c>
      <c r="J1167" s="28" t="e">
        <f ca="1"/>
        <v>#REF!</v>
      </c>
      <c r="K1167" s="27" t="e">
        <f ca="1"/>
        <v>#REF!</v>
      </c>
      <c r="L1167" s="25" t="e">
        <f ca="1"/>
        <v>#REF!</v>
      </c>
      <c r="M1167" s="25" t="e">
        <f ca="1"/>
        <v>#REF!</v>
      </c>
      <c r="N1167" s="25" t="e">
        <f ca="1"/>
        <v>#REF!</v>
      </c>
      <c r="O1167" s="25" t="e">
        <f ca="1"/>
        <v>#REF!</v>
      </c>
      <c r="P1167" s="25" t="e">
        <f ca="1"/>
        <v>#REF!</v>
      </c>
      <c r="Q1167" s="25" t="e">
        <f ca="1"/>
        <v>#REF!</v>
      </c>
      <c r="R1167" s="25" t="e">
        <f ca="1"/>
        <v>#REF!</v>
      </c>
      <c r="S1167" s="25" t="e">
        <f ca="1"/>
        <v>#REF!</v>
      </c>
      <c r="T1167" s="25" t="e">
        <f ca="1"/>
        <v>#REF!</v>
      </c>
      <c r="U1167" s="25" t="e">
        <f ca="1"/>
        <v>#REF!</v>
      </c>
      <c r="V1167" s="25" t="e">
        <f ca="1"/>
        <v>#REF!</v>
      </c>
      <c r="W1167" s="33" t="e">
        <f ca="1"/>
        <v>#REF!</v>
      </c>
      <c r="X1167" s="33" t="e">
        <f ca="1"/>
        <v>#REF!</v>
      </c>
      <c r="Y1167" s="33" t="e">
        <f ca="1"/>
        <v>#REF!</v>
      </c>
      <c r="Z1167" s="33" t="e">
        <f ca="1"/>
        <v>#REF!</v>
      </c>
      <c r="AA1167" s="33" t="e">
        <f ca="1"/>
        <v>#REF!</v>
      </c>
    </row>
    <row r="1168" spans="1:27" s="70" customFormat="1" ht="11.25" x14ac:dyDescent="0.2">
      <c r="A1168" s="24">
        <v>1162</v>
      </c>
      <c r="B1168" s="24"/>
      <c r="C1168" s="25"/>
      <c r="D1168" s="26"/>
      <c r="E1168" s="25"/>
      <c r="F1168" s="25"/>
      <c r="G1168" s="24"/>
      <c r="H1168" s="25" t="e">
        <f ca="1"/>
        <v>#REF!</v>
      </c>
      <c r="I1168" s="27" t="e">
        <f ca="1"/>
        <v>#REF!</v>
      </c>
      <c r="J1168" s="28" t="e">
        <f ca="1"/>
        <v>#REF!</v>
      </c>
      <c r="K1168" s="27" t="e">
        <f ca="1"/>
        <v>#REF!</v>
      </c>
      <c r="L1168" s="25" t="e">
        <f ca="1"/>
        <v>#REF!</v>
      </c>
      <c r="M1168" s="25" t="e">
        <f ca="1"/>
        <v>#REF!</v>
      </c>
      <c r="N1168" s="25" t="e">
        <f ca="1"/>
        <v>#REF!</v>
      </c>
      <c r="O1168" s="25" t="e">
        <f ca="1"/>
        <v>#REF!</v>
      </c>
      <c r="P1168" s="25" t="e">
        <f ca="1"/>
        <v>#REF!</v>
      </c>
      <c r="Q1168" s="25" t="e">
        <f ca="1"/>
        <v>#REF!</v>
      </c>
      <c r="R1168" s="25" t="e">
        <f ca="1"/>
        <v>#REF!</v>
      </c>
      <c r="S1168" s="25" t="e">
        <f ca="1"/>
        <v>#REF!</v>
      </c>
      <c r="T1168" s="25" t="e">
        <f ca="1"/>
        <v>#REF!</v>
      </c>
      <c r="U1168" s="25" t="e">
        <f ca="1"/>
        <v>#REF!</v>
      </c>
      <c r="V1168" s="25" t="e">
        <f ca="1"/>
        <v>#REF!</v>
      </c>
      <c r="W1168" s="33" t="e">
        <f ca="1"/>
        <v>#REF!</v>
      </c>
      <c r="X1168" s="33" t="e">
        <f ca="1"/>
        <v>#REF!</v>
      </c>
      <c r="Y1168" s="33" t="e">
        <f ca="1"/>
        <v>#REF!</v>
      </c>
      <c r="Z1168" s="33" t="e">
        <f ca="1"/>
        <v>#REF!</v>
      </c>
      <c r="AA1168" s="33" t="e">
        <f ca="1"/>
        <v>#REF!</v>
      </c>
    </row>
    <row r="1169" spans="1:27" s="70" customFormat="1" ht="11.25" x14ac:dyDescent="0.2">
      <c r="A1169" s="24">
        <v>1163</v>
      </c>
      <c r="B1169" s="24"/>
      <c r="C1169" s="25"/>
      <c r="D1169" s="26"/>
      <c r="E1169" s="25"/>
      <c r="F1169" s="25"/>
      <c r="G1169" s="24"/>
      <c r="H1169" s="25" t="e">
        <f ca="1"/>
        <v>#REF!</v>
      </c>
      <c r="I1169" s="27" t="e">
        <f ca="1"/>
        <v>#REF!</v>
      </c>
      <c r="J1169" s="28" t="e">
        <f ca="1"/>
        <v>#REF!</v>
      </c>
      <c r="K1169" s="27" t="e">
        <f ca="1"/>
        <v>#REF!</v>
      </c>
      <c r="L1169" s="25" t="e">
        <f ca="1"/>
        <v>#REF!</v>
      </c>
      <c r="M1169" s="25" t="e">
        <f ca="1"/>
        <v>#REF!</v>
      </c>
      <c r="N1169" s="25" t="e">
        <f ca="1"/>
        <v>#REF!</v>
      </c>
      <c r="O1169" s="25" t="e">
        <f ca="1"/>
        <v>#REF!</v>
      </c>
      <c r="P1169" s="25" t="e">
        <f ca="1"/>
        <v>#REF!</v>
      </c>
      <c r="Q1169" s="25" t="e">
        <f ca="1"/>
        <v>#REF!</v>
      </c>
      <c r="R1169" s="25" t="e">
        <f ca="1"/>
        <v>#REF!</v>
      </c>
      <c r="S1169" s="25" t="e">
        <f ca="1"/>
        <v>#REF!</v>
      </c>
      <c r="T1169" s="25" t="e">
        <f ca="1"/>
        <v>#REF!</v>
      </c>
      <c r="U1169" s="25" t="e">
        <f ca="1"/>
        <v>#REF!</v>
      </c>
      <c r="V1169" s="25" t="e">
        <f ca="1"/>
        <v>#REF!</v>
      </c>
      <c r="W1169" s="33" t="e">
        <f ca="1"/>
        <v>#REF!</v>
      </c>
      <c r="X1169" s="33" t="e">
        <f ca="1"/>
        <v>#REF!</v>
      </c>
      <c r="Y1169" s="33" t="e">
        <f ca="1"/>
        <v>#REF!</v>
      </c>
      <c r="Z1169" s="33" t="e">
        <f ca="1"/>
        <v>#REF!</v>
      </c>
      <c r="AA1169" s="33" t="e">
        <f ca="1"/>
        <v>#REF!</v>
      </c>
    </row>
    <row r="1170" spans="1:27" s="70" customFormat="1" ht="11.25" x14ac:dyDescent="0.2">
      <c r="A1170" s="24">
        <v>1164</v>
      </c>
      <c r="B1170" s="24"/>
      <c r="C1170" s="25"/>
      <c r="D1170" s="26"/>
      <c r="E1170" s="25"/>
      <c r="F1170" s="25"/>
      <c r="G1170" s="24"/>
      <c r="H1170" s="25" t="e">
        <f ca="1"/>
        <v>#REF!</v>
      </c>
      <c r="I1170" s="27" t="e">
        <f ca="1"/>
        <v>#REF!</v>
      </c>
      <c r="J1170" s="28" t="e">
        <f ca="1"/>
        <v>#REF!</v>
      </c>
      <c r="K1170" s="27" t="e">
        <f ca="1"/>
        <v>#REF!</v>
      </c>
      <c r="L1170" s="25" t="e">
        <f ca="1"/>
        <v>#REF!</v>
      </c>
      <c r="M1170" s="25" t="e">
        <f ca="1"/>
        <v>#REF!</v>
      </c>
      <c r="N1170" s="25" t="e">
        <f ca="1"/>
        <v>#REF!</v>
      </c>
      <c r="O1170" s="25" t="e">
        <f ca="1"/>
        <v>#REF!</v>
      </c>
      <c r="P1170" s="25" t="e">
        <f ca="1"/>
        <v>#REF!</v>
      </c>
      <c r="Q1170" s="25" t="e">
        <f ca="1"/>
        <v>#REF!</v>
      </c>
      <c r="R1170" s="25" t="e">
        <f ca="1"/>
        <v>#REF!</v>
      </c>
      <c r="S1170" s="25" t="e">
        <f ca="1"/>
        <v>#REF!</v>
      </c>
      <c r="T1170" s="25" t="e">
        <f ca="1"/>
        <v>#REF!</v>
      </c>
      <c r="U1170" s="25" t="e">
        <f ca="1"/>
        <v>#REF!</v>
      </c>
      <c r="V1170" s="25" t="e">
        <f ca="1"/>
        <v>#REF!</v>
      </c>
      <c r="W1170" s="33" t="e">
        <f ca="1"/>
        <v>#REF!</v>
      </c>
      <c r="X1170" s="33" t="e">
        <f ca="1"/>
        <v>#REF!</v>
      </c>
      <c r="Y1170" s="33" t="e">
        <f ca="1"/>
        <v>#REF!</v>
      </c>
      <c r="Z1170" s="33" t="e">
        <f ca="1"/>
        <v>#REF!</v>
      </c>
      <c r="AA1170" s="33" t="e">
        <f ca="1"/>
        <v>#REF!</v>
      </c>
    </row>
    <row r="1171" spans="1:27" s="70" customFormat="1" ht="11.25" x14ac:dyDescent="0.2">
      <c r="A1171" s="24">
        <v>1165</v>
      </c>
      <c r="B1171" s="24"/>
      <c r="C1171" s="25"/>
      <c r="D1171" s="26"/>
      <c r="E1171" s="25"/>
      <c r="F1171" s="25"/>
      <c r="G1171" s="24"/>
      <c r="H1171" s="25" t="e">
        <f ca="1"/>
        <v>#REF!</v>
      </c>
      <c r="I1171" s="27" t="e">
        <f ca="1"/>
        <v>#REF!</v>
      </c>
      <c r="J1171" s="28" t="e">
        <f ca="1"/>
        <v>#REF!</v>
      </c>
      <c r="K1171" s="27" t="e">
        <f ca="1"/>
        <v>#REF!</v>
      </c>
      <c r="L1171" s="25" t="e">
        <f ca="1"/>
        <v>#REF!</v>
      </c>
      <c r="M1171" s="25" t="e">
        <f ca="1"/>
        <v>#REF!</v>
      </c>
      <c r="N1171" s="25" t="e">
        <f ca="1"/>
        <v>#REF!</v>
      </c>
      <c r="O1171" s="25" t="e">
        <f ca="1"/>
        <v>#REF!</v>
      </c>
      <c r="P1171" s="25" t="e">
        <f ca="1"/>
        <v>#REF!</v>
      </c>
      <c r="Q1171" s="25" t="e">
        <f ca="1"/>
        <v>#REF!</v>
      </c>
      <c r="R1171" s="25" t="e">
        <f ca="1"/>
        <v>#REF!</v>
      </c>
      <c r="S1171" s="25" t="e">
        <f ca="1"/>
        <v>#REF!</v>
      </c>
      <c r="T1171" s="25" t="e">
        <f ca="1"/>
        <v>#REF!</v>
      </c>
      <c r="U1171" s="25" t="e">
        <f ca="1"/>
        <v>#REF!</v>
      </c>
      <c r="V1171" s="25" t="e">
        <f ca="1"/>
        <v>#REF!</v>
      </c>
      <c r="W1171" s="33" t="e">
        <f ca="1"/>
        <v>#REF!</v>
      </c>
      <c r="X1171" s="33" t="e">
        <f ca="1"/>
        <v>#REF!</v>
      </c>
      <c r="Y1171" s="33" t="e">
        <f ca="1"/>
        <v>#REF!</v>
      </c>
      <c r="Z1171" s="33" t="e">
        <f ca="1"/>
        <v>#REF!</v>
      </c>
      <c r="AA1171" s="33" t="e">
        <f ca="1"/>
        <v>#REF!</v>
      </c>
    </row>
    <row r="1172" spans="1:27" s="70" customFormat="1" ht="11.25" x14ac:dyDescent="0.2">
      <c r="A1172" s="24">
        <v>1166</v>
      </c>
      <c r="B1172" s="24"/>
      <c r="C1172" s="25"/>
      <c r="D1172" s="26"/>
      <c r="E1172" s="25"/>
      <c r="F1172" s="25"/>
      <c r="G1172" s="24"/>
      <c r="H1172" s="25" t="e">
        <f ca="1"/>
        <v>#REF!</v>
      </c>
      <c r="I1172" s="27" t="e">
        <f ca="1"/>
        <v>#REF!</v>
      </c>
      <c r="J1172" s="28" t="e">
        <f ca="1"/>
        <v>#REF!</v>
      </c>
      <c r="K1172" s="27" t="e">
        <f ca="1"/>
        <v>#REF!</v>
      </c>
      <c r="L1172" s="25" t="e">
        <f ca="1"/>
        <v>#REF!</v>
      </c>
      <c r="M1172" s="25" t="e">
        <f ca="1"/>
        <v>#REF!</v>
      </c>
      <c r="N1172" s="25" t="e">
        <f ca="1"/>
        <v>#REF!</v>
      </c>
      <c r="O1172" s="25" t="e">
        <f ca="1"/>
        <v>#REF!</v>
      </c>
      <c r="P1172" s="25" t="e">
        <f ca="1"/>
        <v>#REF!</v>
      </c>
      <c r="Q1172" s="25" t="e">
        <f ca="1"/>
        <v>#REF!</v>
      </c>
      <c r="R1172" s="25" t="e">
        <f ca="1"/>
        <v>#REF!</v>
      </c>
      <c r="S1172" s="25" t="e">
        <f ca="1"/>
        <v>#REF!</v>
      </c>
      <c r="T1172" s="25" t="e">
        <f ca="1"/>
        <v>#REF!</v>
      </c>
      <c r="U1172" s="25" t="e">
        <f ca="1"/>
        <v>#REF!</v>
      </c>
      <c r="V1172" s="25" t="e">
        <f ca="1"/>
        <v>#REF!</v>
      </c>
      <c r="W1172" s="33" t="e">
        <f ca="1"/>
        <v>#REF!</v>
      </c>
      <c r="X1172" s="33" t="e">
        <f ca="1"/>
        <v>#REF!</v>
      </c>
      <c r="Y1172" s="33" t="e">
        <f ca="1"/>
        <v>#REF!</v>
      </c>
      <c r="Z1172" s="33" t="e">
        <f ca="1"/>
        <v>#REF!</v>
      </c>
      <c r="AA1172" s="33" t="e">
        <f ca="1"/>
        <v>#REF!</v>
      </c>
    </row>
    <row r="1173" spans="1:27" s="70" customFormat="1" ht="11.25" x14ac:dyDescent="0.2">
      <c r="A1173" s="24">
        <v>1167</v>
      </c>
      <c r="B1173" s="24"/>
      <c r="C1173" s="25"/>
      <c r="D1173" s="26"/>
      <c r="E1173" s="25"/>
      <c r="F1173" s="25"/>
      <c r="G1173" s="24"/>
      <c r="H1173" s="25" t="e">
        <f ca="1"/>
        <v>#REF!</v>
      </c>
      <c r="I1173" s="27" t="e">
        <f ca="1"/>
        <v>#REF!</v>
      </c>
      <c r="J1173" s="28" t="e">
        <f ca="1"/>
        <v>#REF!</v>
      </c>
      <c r="K1173" s="27" t="e">
        <f ca="1"/>
        <v>#REF!</v>
      </c>
      <c r="L1173" s="25" t="e">
        <f ca="1"/>
        <v>#REF!</v>
      </c>
      <c r="M1173" s="25" t="e">
        <f ca="1"/>
        <v>#REF!</v>
      </c>
      <c r="N1173" s="25" t="e">
        <f ca="1"/>
        <v>#REF!</v>
      </c>
      <c r="O1173" s="25" t="e">
        <f ca="1"/>
        <v>#REF!</v>
      </c>
      <c r="P1173" s="25" t="e">
        <f ca="1"/>
        <v>#REF!</v>
      </c>
      <c r="Q1173" s="25" t="e">
        <f ca="1"/>
        <v>#REF!</v>
      </c>
      <c r="R1173" s="25" t="e">
        <f ca="1"/>
        <v>#REF!</v>
      </c>
      <c r="S1173" s="25" t="e">
        <f ca="1"/>
        <v>#REF!</v>
      </c>
      <c r="T1173" s="25" t="e">
        <f ca="1"/>
        <v>#REF!</v>
      </c>
      <c r="U1173" s="25" t="e">
        <f ca="1"/>
        <v>#REF!</v>
      </c>
      <c r="V1173" s="25" t="e">
        <f ca="1"/>
        <v>#REF!</v>
      </c>
      <c r="W1173" s="33" t="e">
        <f ca="1"/>
        <v>#REF!</v>
      </c>
      <c r="X1173" s="33" t="e">
        <f ca="1"/>
        <v>#REF!</v>
      </c>
      <c r="Y1173" s="33" t="e">
        <f ca="1"/>
        <v>#REF!</v>
      </c>
      <c r="Z1173" s="33" t="e">
        <f ca="1"/>
        <v>#REF!</v>
      </c>
      <c r="AA1173" s="33" t="e">
        <f ca="1"/>
        <v>#REF!</v>
      </c>
    </row>
    <row r="1174" spans="1:27" s="70" customFormat="1" ht="11.25" x14ac:dyDescent="0.2">
      <c r="A1174" s="24">
        <v>1168</v>
      </c>
      <c r="B1174" s="24"/>
      <c r="C1174" s="25"/>
      <c r="D1174" s="26"/>
      <c r="E1174" s="25"/>
      <c r="F1174" s="25"/>
      <c r="G1174" s="24"/>
      <c r="H1174" s="25" t="e">
        <f ca="1"/>
        <v>#REF!</v>
      </c>
      <c r="I1174" s="27" t="e">
        <f ca="1"/>
        <v>#REF!</v>
      </c>
      <c r="J1174" s="28" t="e">
        <f ca="1"/>
        <v>#REF!</v>
      </c>
      <c r="K1174" s="27" t="e">
        <f ca="1"/>
        <v>#REF!</v>
      </c>
      <c r="L1174" s="25" t="e">
        <f ca="1"/>
        <v>#REF!</v>
      </c>
      <c r="M1174" s="25" t="e">
        <f ca="1"/>
        <v>#REF!</v>
      </c>
      <c r="N1174" s="25" t="e">
        <f ca="1"/>
        <v>#REF!</v>
      </c>
      <c r="O1174" s="25" t="e">
        <f ca="1"/>
        <v>#REF!</v>
      </c>
      <c r="P1174" s="25" t="e">
        <f ca="1"/>
        <v>#REF!</v>
      </c>
      <c r="Q1174" s="25" t="e">
        <f ca="1"/>
        <v>#REF!</v>
      </c>
      <c r="R1174" s="25" t="e">
        <f ca="1"/>
        <v>#REF!</v>
      </c>
      <c r="S1174" s="25" t="e">
        <f ca="1"/>
        <v>#REF!</v>
      </c>
      <c r="T1174" s="25" t="e">
        <f ca="1"/>
        <v>#REF!</v>
      </c>
      <c r="U1174" s="25" t="e">
        <f ca="1"/>
        <v>#REF!</v>
      </c>
      <c r="V1174" s="25" t="e">
        <f ca="1"/>
        <v>#REF!</v>
      </c>
      <c r="W1174" s="33" t="e">
        <f ca="1"/>
        <v>#REF!</v>
      </c>
      <c r="X1174" s="33" t="e">
        <f ca="1"/>
        <v>#REF!</v>
      </c>
      <c r="Y1174" s="33" t="e">
        <f ca="1"/>
        <v>#REF!</v>
      </c>
      <c r="Z1174" s="33" t="e">
        <f ca="1"/>
        <v>#REF!</v>
      </c>
      <c r="AA1174" s="33" t="e">
        <f ca="1"/>
        <v>#REF!</v>
      </c>
    </row>
    <row r="1175" spans="1:27" s="70" customFormat="1" ht="11.25" x14ac:dyDescent="0.2">
      <c r="A1175" s="24">
        <v>1169</v>
      </c>
      <c r="B1175" s="24"/>
      <c r="C1175" s="25"/>
      <c r="D1175" s="26"/>
      <c r="E1175" s="25"/>
      <c r="F1175" s="25"/>
      <c r="G1175" s="24"/>
      <c r="H1175" s="25" t="e">
        <f ca="1"/>
        <v>#REF!</v>
      </c>
      <c r="I1175" s="27" t="e">
        <f ca="1"/>
        <v>#REF!</v>
      </c>
      <c r="J1175" s="28" t="e">
        <f ca="1"/>
        <v>#REF!</v>
      </c>
      <c r="K1175" s="27" t="e">
        <f ca="1"/>
        <v>#REF!</v>
      </c>
      <c r="L1175" s="25" t="e">
        <f ca="1"/>
        <v>#REF!</v>
      </c>
      <c r="M1175" s="25" t="e">
        <f ca="1"/>
        <v>#REF!</v>
      </c>
      <c r="N1175" s="25" t="e">
        <f ca="1"/>
        <v>#REF!</v>
      </c>
      <c r="O1175" s="25" t="e">
        <f ca="1"/>
        <v>#REF!</v>
      </c>
      <c r="P1175" s="25" t="e">
        <f ca="1"/>
        <v>#REF!</v>
      </c>
      <c r="Q1175" s="25" t="e">
        <f ca="1"/>
        <v>#REF!</v>
      </c>
      <c r="R1175" s="25" t="e">
        <f ca="1"/>
        <v>#REF!</v>
      </c>
      <c r="S1175" s="25" t="e">
        <f ca="1"/>
        <v>#REF!</v>
      </c>
      <c r="T1175" s="25" t="e">
        <f ca="1"/>
        <v>#REF!</v>
      </c>
      <c r="U1175" s="25" t="e">
        <f ca="1"/>
        <v>#REF!</v>
      </c>
      <c r="V1175" s="25" t="e">
        <f ca="1"/>
        <v>#REF!</v>
      </c>
      <c r="W1175" s="33" t="e">
        <f ca="1"/>
        <v>#REF!</v>
      </c>
      <c r="X1175" s="33" t="e">
        <f ca="1"/>
        <v>#REF!</v>
      </c>
      <c r="Y1175" s="33" t="e">
        <f ca="1"/>
        <v>#REF!</v>
      </c>
      <c r="Z1175" s="33" t="e">
        <f ca="1"/>
        <v>#REF!</v>
      </c>
      <c r="AA1175" s="33" t="e">
        <f ca="1"/>
        <v>#REF!</v>
      </c>
    </row>
    <row r="1176" spans="1:27" s="70" customFormat="1" ht="11.25" x14ac:dyDescent="0.2">
      <c r="A1176" s="24">
        <v>1170</v>
      </c>
      <c r="B1176" s="24"/>
      <c r="C1176" s="25"/>
      <c r="D1176" s="26"/>
      <c r="E1176" s="25"/>
      <c r="F1176" s="25"/>
      <c r="G1176" s="24"/>
      <c r="H1176" s="25" t="e">
        <f ca="1"/>
        <v>#REF!</v>
      </c>
      <c r="I1176" s="27" t="e">
        <f ca="1"/>
        <v>#REF!</v>
      </c>
      <c r="J1176" s="28" t="e">
        <f ca="1"/>
        <v>#REF!</v>
      </c>
      <c r="K1176" s="27" t="e">
        <f ca="1"/>
        <v>#REF!</v>
      </c>
      <c r="L1176" s="25" t="e">
        <f ca="1"/>
        <v>#REF!</v>
      </c>
      <c r="M1176" s="25" t="e">
        <f ca="1"/>
        <v>#REF!</v>
      </c>
      <c r="N1176" s="25" t="e">
        <f ca="1"/>
        <v>#REF!</v>
      </c>
      <c r="O1176" s="25" t="e">
        <f ca="1"/>
        <v>#REF!</v>
      </c>
      <c r="P1176" s="25" t="e">
        <f ca="1"/>
        <v>#REF!</v>
      </c>
      <c r="Q1176" s="25" t="e">
        <f ca="1"/>
        <v>#REF!</v>
      </c>
      <c r="R1176" s="25" t="e">
        <f ca="1"/>
        <v>#REF!</v>
      </c>
      <c r="S1176" s="25" t="e">
        <f ca="1"/>
        <v>#REF!</v>
      </c>
      <c r="T1176" s="25" t="e">
        <f ca="1"/>
        <v>#REF!</v>
      </c>
      <c r="U1176" s="25" t="e">
        <f ca="1"/>
        <v>#REF!</v>
      </c>
      <c r="V1176" s="25" t="e">
        <f ca="1"/>
        <v>#REF!</v>
      </c>
      <c r="W1176" s="33" t="e">
        <f ca="1"/>
        <v>#REF!</v>
      </c>
      <c r="X1176" s="33" t="e">
        <f ca="1"/>
        <v>#REF!</v>
      </c>
      <c r="Y1176" s="33" t="e">
        <f ca="1"/>
        <v>#REF!</v>
      </c>
      <c r="Z1176" s="33" t="e">
        <f ca="1"/>
        <v>#REF!</v>
      </c>
      <c r="AA1176" s="33" t="e">
        <f ca="1"/>
        <v>#REF!</v>
      </c>
    </row>
    <row r="1177" spans="1:27" s="70" customFormat="1" ht="11.25" x14ac:dyDescent="0.2">
      <c r="A1177" s="24">
        <v>1171</v>
      </c>
      <c r="B1177" s="24"/>
      <c r="C1177" s="25"/>
      <c r="D1177" s="26"/>
      <c r="E1177" s="25"/>
      <c r="F1177" s="25"/>
      <c r="G1177" s="24"/>
      <c r="H1177" s="25" t="e">
        <f ca="1"/>
        <v>#REF!</v>
      </c>
      <c r="I1177" s="27" t="e">
        <f ca="1"/>
        <v>#REF!</v>
      </c>
      <c r="J1177" s="28" t="e">
        <f ca="1"/>
        <v>#REF!</v>
      </c>
      <c r="K1177" s="27" t="e">
        <f ca="1"/>
        <v>#REF!</v>
      </c>
      <c r="L1177" s="25" t="e">
        <f ca="1"/>
        <v>#REF!</v>
      </c>
      <c r="M1177" s="25" t="e">
        <f ca="1"/>
        <v>#REF!</v>
      </c>
      <c r="N1177" s="25" t="e">
        <f ca="1"/>
        <v>#REF!</v>
      </c>
      <c r="O1177" s="25" t="e">
        <f ca="1"/>
        <v>#REF!</v>
      </c>
      <c r="P1177" s="25" t="e">
        <f ca="1"/>
        <v>#REF!</v>
      </c>
      <c r="Q1177" s="25" t="e">
        <f ca="1"/>
        <v>#REF!</v>
      </c>
      <c r="R1177" s="25" t="e">
        <f ca="1"/>
        <v>#REF!</v>
      </c>
      <c r="S1177" s="25" t="e">
        <f ca="1"/>
        <v>#REF!</v>
      </c>
      <c r="T1177" s="25" t="e">
        <f ca="1"/>
        <v>#REF!</v>
      </c>
      <c r="U1177" s="25" t="e">
        <f ca="1"/>
        <v>#REF!</v>
      </c>
      <c r="V1177" s="25" t="e">
        <f ca="1"/>
        <v>#REF!</v>
      </c>
      <c r="W1177" s="33" t="e">
        <f ca="1"/>
        <v>#REF!</v>
      </c>
      <c r="X1177" s="33" t="e">
        <f ca="1"/>
        <v>#REF!</v>
      </c>
      <c r="Y1177" s="33" t="e">
        <f ca="1"/>
        <v>#REF!</v>
      </c>
      <c r="Z1177" s="33" t="e">
        <f ca="1"/>
        <v>#REF!</v>
      </c>
      <c r="AA1177" s="33" t="e">
        <f ca="1"/>
        <v>#REF!</v>
      </c>
    </row>
    <row r="1178" spans="1:27" s="70" customFormat="1" ht="11.25" x14ac:dyDescent="0.2">
      <c r="A1178" s="24">
        <v>1172</v>
      </c>
      <c r="B1178" s="24"/>
      <c r="C1178" s="25"/>
      <c r="D1178" s="26"/>
      <c r="E1178" s="25"/>
      <c r="F1178" s="25"/>
      <c r="G1178" s="24"/>
      <c r="H1178" s="25" t="e">
        <f ca="1"/>
        <v>#REF!</v>
      </c>
      <c r="I1178" s="27" t="e">
        <f ca="1"/>
        <v>#REF!</v>
      </c>
      <c r="J1178" s="28" t="e">
        <f ca="1"/>
        <v>#REF!</v>
      </c>
      <c r="K1178" s="27" t="e">
        <f ca="1"/>
        <v>#REF!</v>
      </c>
      <c r="L1178" s="25" t="e">
        <f ca="1"/>
        <v>#REF!</v>
      </c>
      <c r="M1178" s="25" t="e">
        <f ca="1"/>
        <v>#REF!</v>
      </c>
      <c r="N1178" s="25" t="e">
        <f ca="1"/>
        <v>#REF!</v>
      </c>
      <c r="O1178" s="25" t="e">
        <f ca="1"/>
        <v>#REF!</v>
      </c>
      <c r="P1178" s="25" t="e">
        <f ca="1"/>
        <v>#REF!</v>
      </c>
      <c r="Q1178" s="25" t="e">
        <f ca="1"/>
        <v>#REF!</v>
      </c>
      <c r="R1178" s="25" t="e">
        <f ca="1"/>
        <v>#REF!</v>
      </c>
      <c r="S1178" s="25" t="e">
        <f ca="1"/>
        <v>#REF!</v>
      </c>
      <c r="T1178" s="25" t="e">
        <f ca="1"/>
        <v>#REF!</v>
      </c>
      <c r="U1178" s="25" t="e">
        <f ca="1"/>
        <v>#REF!</v>
      </c>
      <c r="V1178" s="25" t="e">
        <f ca="1"/>
        <v>#REF!</v>
      </c>
      <c r="W1178" s="33" t="e">
        <f ca="1"/>
        <v>#REF!</v>
      </c>
      <c r="X1178" s="33" t="e">
        <f ca="1"/>
        <v>#REF!</v>
      </c>
      <c r="Y1178" s="33" t="e">
        <f ca="1"/>
        <v>#REF!</v>
      </c>
      <c r="Z1178" s="33" t="e">
        <f ca="1"/>
        <v>#REF!</v>
      </c>
      <c r="AA1178" s="33" t="e">
        <f ca="1"/>
        <v>#REF!</v>
      </c>
    </row>
    <row r="1179" spans="1:27" s="70" customFormat="1" ht="11.25" x14ac:dyDescent="0.2">
      <c r="A1179" s="24">
        <v>1173</v>
      </c>
      <c r="B1179" s="24"/>
      <c r="C1179" s="25"/>
      <c r="D1179" s="26"/>
      <c r="E1179" s="25"/>
      <c r="F1179" s="25"/>
      <c r="G1179" s="24"/>
      <c r="H1179" s="25" t="e">
        <f ca="1"/>
        <v>#REF!</v>
      </c>
      <c r="I1179" s="27" t="e">
        <f ca="1"/>
        <v>#REF!</v>
      </c>
      <c r="J1179" s="28" t="e">
        <f ca="1"/>
        <v>#REF!</v>
      </c>
      <c r="K1179" s="27" t="e">
        <f ca="1"/>
        <v>#REF!</v>
      </c>
      <c r="L1179" s="25" t="e">
        <f ca="1"/>
        <v>#REF!</v>
      </c>
      <c r="M1179" s="25" t="e">
        <f ca="1"/>
        <v>#REF!</v>
      </c>
      <c r="N1179" s="25" t="e">
        <f ca="1"/>
        <v>#REF!</v>
      </c>
      <c r="O1179" s="25" t="e">
        <f ca="1"/>
        <v>#REF!</v>
      </c>
      <c r="P1179" s="25" t="e">
        <f ca="1"/>
        <v>#REF!</v>
      </c>
      <c r="Q1179" s="25" t="e">
        <f ca="1"/>
        <v>#REF!</v>
      </c>
      <c r="R1179" s="25" t="e">
        <f ca="1"/>
        <v>#REF!</v>
      </c>
      <c r="S1179" s="25" t="e">
        <f ca="1"/>
        <v>#REF!</v>
      </c>
      <c r="T1179" s="25" t="e">
        <f ca="1"/>
        <v>#REF!</v>
      </c>
      <c r="U1179" s="25" t="e">
        <f ca="1"/>
        <v>#REF!</v>
      </c>
      <c r="V1179" s="25" t="e">
        <f ca="1"/>
        <v>#REF!</v>
      </c>
      <c r="W1179" s="33" t="e">
        <f ca="1"/>
        <v>#REF!</v>
      </c>
      <c r="X1179" s="33" t="e">
        <f ca="1"/>
        <v>#REF!</v>
      </c>
      <c r="Y1179" s="33" t="e">
        <f ca="1"/>
        <v>#REF!</v>
      </c>
      <c r="Z1179" s="33" t="e">
        <f ca="1"/>
        <v>#REF!</v>
      </c>
      <c r="AA1179" s="33" t="e">
        <f ca="1"/>
        <v>#REF!</v>
      </c>
    </row>
    <row r="1180" spans="1:27" s="70" customFormat="1" ht="11.25" x14ac:dyDescent="0.2">
      <c r="A1180" s="24">
        <v>1174</v>
      </c>
      <c r="B1180" s="24"/>
      <c r="C1180" s="25"/>
      <c r="D1180" s="26"/>
      <c r="E1180" s="25"/>
      <c r="F1180" s="25"/>
      <c r="G1180" s="24"/>
      <c r="H1180" s="25" t="e">
        <f ca="1"/>
        <v>#REF!</v>
      </c>
      <c r="I1180" s="27" t="e">
        <f ca="1"/>
        <v>#REF!</v>
      </c>
      <c r="J1180" s="28" t="e">
        <f ca="1"/>
        <v>#REF!</v>
      </c>
      <c r="K1180" s="27" t="e">
        <f ca="1"/>
        <v>#REF!</v>
      </c>
      <c r="L1180" s="25" t="e">
        <f ca="1"/>
        <v>#REF!</v>
      </c>
      <c r="M1180" s="25" t="e">
        <f ca="1"/>
        <v>#REF!</v>
      </c>
      <c r="N1180" s="25" t="e">
        <f ca="1"/>
        <v>#REF!</v>
      </c>
      <c r="O1180" s="25" t="e">
        <f ca="1"/>
        <v>#REF!</v>
      </c>
      <c r="P1180" s="25" t="e">
        <f ca="1"/>
        <v>#REF!</v>
      </c>
      <c r="Q1180" s="25" t="e">
        <f ca="1"/>
        <v>#REF!</v>
      </c>
      <c r="R1180" s="25" t="e">
        <f ca="1"/>
        <v>#REF!</v>
      </c>
      <c r="S1180" s="25" t="e">
        <f ca="1"/>
        <v>#REF!</v>
      </c>
      <c r="T1180" s="25" t="e">
        <f ca="1"/>
        <v>#REF!</v>
      </c>
      <c r="U1180" s="25" t="e">
        <f ca="1"/>
        <v>#REF!</v>
      </c>
      <c r="V1180" s="25" t="e">
        <f ca="1"/>
        <v>#REF!</v>
      </c>
      <c r="W1180" s="33" t="e">
        <f ca="1"/>
        <v>#REF!</v>
      </c>
      <c r="X1180" s="33" t="e">
        <f ca="1"/>
        <v>#REF!</v>
      </c>
      <c r="Y1180" s="33" t="e">
        <f ca="1"/>
        <v>#REF!</v>
      </c>
      <c r="Z1180" s="33" t="e">
        <f ca="1"/>
        <v>#REF!</v>
      </c>
      <c r="AA1180" s="33" t="e">
        <f ca="1"/>
        <v>#REF!</v>
      </c>
    </row>
    <row r="1181" spans="1:27" s="70" customFormat="1" ht="11.25" x14ac:dyDescent="0.2">
      <c r="A1181" s="24">
        <v>1175</v>
      </c>
      <c r="B1181" s="24"/>
      <c r="C1181" s="25"/>
      <c r="D1181" s="26"/>
      <c r="E1181" s="25"/>
      <c r="F1181" s="25"/>
      <c r="G1181" s="24"/>
      <c r="H1181" s="25" t="e">
        <f ca="1"/>
        <v>#REF!</v>
      </c>
      <c r="I1181" s="27" t="e">
        <f ca="1"/>
        <v>#REF!</v>
      </c>
      <c r="J1181" s="28" t="e">
        <f ca="1"/>
        <v>#REF!</v>
      </c>
      <c r="K1181" s="27" t="e">
        <f ca="1"/>
        <v>#REF!</v>
      </c>
      <c r="L1181" s="25" t="e">
        <f ca="1"/>
        <v>#REF!</v>
      </c>
      <c r="M1181" s="25" t="e">
        <f ca="1"/>
        <v>#REF!</v>
      </c>
      <c r="N1181" s="25" t="e">
        <f ca="1"/>
        <v>#REF!</v>
      </c>
      <c r="O1181" s="25" t="e">
        <f ca="1"/>
        <v>#REF!</v>
      </c>
      <c r="P1181" s="25" t="e">
        <f ca="1"/>
        <v>#REF!</v>
      </c>
      <c r="Q1181" s="25" t="e">
        <f ca="1"/>
        <v>#REF!</v>
      </c>
      <c r="R1181" s="25" t="e">
        <f ca="1"/>
        <v>#REF!</v>
      </c>
      <c r="S1181" s="25" t="e">
        <f ca="1"/>
        <v>#REF!</v>
      </c>
      <c r="T1181" s="25" t="e">
        <f ca="1"/>
        <v>#REF!</v>
      </c>
      <c r="U1181" s="25" t="e">
        <f ca="1"/>
        <v>#REF!</v>
      </c>
      <c r="V1181" s="25" t="e">
        <f ca="1"/>
        <v>#REF!</v>
      </c>
      <c r="W1181" s="33" t="e">
        <f ca="1"/>
        <v>#REF!</v>
      </c>
      <c r="X1181" s="33" t="e">
        <f ca="1"/>
        <v>#REF!</v>
      </c>
      <c r="Y1181" s="33" t="e">
        <f ca="1"/>
        <v>#REF!</v>
      </c>
      <c r="Z1181" s="33" t="e">
        <f ca="1"/>
        <v>#REF!</v>
      </c>
      <c r="AA1181" s="33" t="e">
        <f ca="1"/>
        <v>#REF!</v>
      </c>
    </row>
    <row r="1182" spans="1:27" s="70" customFormat="1" ht="11.25" x14ac:dyDescent="0.2">
      <c r="A1182" s="24">
        <v>1176</v>
      </c>
      <c r="B1182" s="24"/>
      <c r="C1182" s="25"/>
      <c r="D1182" s="26"/>
      <c r="E1182" s="25"/>
      <c r="F1182" s="25"/>
      <c r="G1182" s="24"/>
      <c r="H1182" s="25" t="e">
        <f ca="1"/>
        <v>#REF!</v>
      </c>
      <c r="I1182" s="27" t="e">
        <f ca="1"/>
        <v>#REF!</v>
      </c>
      <c r="J1182" s="28" t="e">
        <f ca="1"/>
        <v>#REF!</v>
      </c>
      <c r="K1182" s="27" t="e">
        <f ca="1"/>
        <v>#REF!</v>
      </c>
      <c r="L1182" s="25" t="e">
        <f ca="1"/>
        <v>#REF!</v>
      </c>
      <c r="M1182" s="25" t="e">
        <f ca="1"/>
        <v>#REF!</v>
      </c>
      <c r="N1182" s="25" t="e">
        <f ca="1"/>
        <v>#REF!</v>
      </c>
      <c r="O1182" s="25" t="e">
        <f ca="1"/>
        <v>#REF!</v>
      </c>
      <c r="P1182" s="25" t="e">
        <f ca="1"/>
        <v>#REF!</v>
      </c>
      <c r="Q1182" s="25" t="e">
        <f ca="1"/>
        <v>#REF!</v>
      </c>
      <c r="R1182" s="25" t="e">
        <f ca="1"/>
        <v>#REF!</v>
      </c>
      <c r="S1182" s="25" t="e">
        <f ca="1"/>
        <v>#REF!</v>
      </c>
      <c r="T1182" s="25" t="e">
        <f ca="1"/>
        <v>#REF!</v>
      </c>
      <c r="U1182" s="25" t="e">
        <f ca="1"/>
        <v>#REF!</v>
      </c>
      <c r="V1182" s="25" t="e">
        <f ca="1"/>
        <v>#REF!</v>
      </c>
      <c r="W1182" s="33" t="e">
        <f ca="1"/>
        <v>#REF!</v>
      </c>
      <c r="X1182" s="33" t="e">
        <f ca="1"/>
        <v>#REF!</v>
      </c>
      <c r="Y1182" s="33" t="e">
        <f ca="1"/>
        <v>#REF!</v>
      </c>
      <c r="Z1182" s="33" t="e">
        <f ca="1"/>
        <v>#REF!</v>
      </c>
      <c r="AA1182" s="33" t="e">
        <f ca="1"/>
        <v>#REF!</v>
      </c>
    </row>
    <row r="1183" spans="1:27" s="70" customFormat="1" ht="11.25" x14ac:dyDescent="0.2">
      <c r="A1183" s="24">
        <v>1177</v>
      </c>
      <c r="B1183" s="24"/>
      <c r="C1183" s="25"/>
      <c r="D1183" s="26"/>
      <c r="E1183" s="25"/>
      <c r="F1183" s="25"/>
      <c r="G1183" s="24"/>
      <c r="H1183" s="25" t="e">
        <f ca="1"/>
        <v>#REF!</v>
      </c>
      <c r="I1183" s="27" t="e">
        <f ca="1"/>
        <v>#REF!</v>
      </c>
      <c r="J1183" s="28" t="e">
        <f ca="1"/>
        <v>#REF!</v>
      </c>
      <c r="K1183" s="27" t="e">
        <f ca="1"/>
        <v>#REF!</v>
      </c>
      <c r="L1183" s="25" t="e">
        <f ca="1"/>
        <v>#REF!</v>
      </c>
      <c r="M1183" s="25" t="e">
        <f ca="1"/>
        <v>#REF!</v>
      </c>
      <c r="N1183" s="25" t="e">
        <f ca="1"/>
        <v>#REF!</v>
      </c>
      <c r="O1183" s="25" t="e">
        <f ca="1"/>
        <v>#REF!</v>
      </c>
      <c r="P1183" s="25" t="e">
        <f ca="1"/>
        <v>#REF!</v>
      </c>
      <c r="Q1183" s="25" t="e">
        <f ca="1"/>
        <v>#REF!</v>
      </c>
      <c r="R1183" s="25" t="e">
        <f ca="1"/>
        <v>#REF!</v>
      </c>
      <c r="S1183" s="25" t="e">
        <f ca="1"/>
        <v>#REF!</v>
      </c>
      <c r="T1183" s="25" t="e">
        <f ca="1"/>
        <v>#REF!</v>
      </c>
      <c r="U1183" s="25" t="e">
        <f ca="1"/>
        <v>#REF!</v>
      </c>
      <c r="V1183" s="25" t="e">
        <f ca="1"/>
        <v>#REF!</v>
      </c>
      <c r="W1183" s="33" t="e">
        <f ca="1"/>
        <v>#REF!</v>
      </c>
      <c r="X1183" s="33" t="e">
        <f ca="1"/>
        <v>#REF!</v>
      </c>
      <c r="Y1183" s="33" t="e">
        <f ca="1"/>
        <v>#REF!</v>
      </c>
      <c r="Z1183" s="33" t="e">
        <f ca="1"/>
        <v>#REF!</v>
      </c>
      <c r="AA1183" s="33" t="e">
        <f ca="1"/>
        <v>#REF!</v>
      </c>
    </row>
    <row r="1184" spans="1:27" s="70" customFormat="1" ht="11.25" x14ac:dyDescent="0.2">
      <c r="A1184" s="24">
        <v>1178</v>
      </c>
      <c r="B1184" s="24"/>
      <c r="C1184" s="25"/>
      <c r="D1184" s="26"/>
      <c r="E1184" s="25"/>
      <c r="F1184" s="25"/>
      <c r="G1184" s="24"/>
      <c r="H1184" s="25" t="e">
        <f ca="1"/>
        <v>#REF!</v>
      </c>
      <c r="I1184" s="27" t="e">
        <f ca="1"/>
        <v>#REF!</v>
      </c>
      <c r="J1184" s="28" t="e">
        <f ca="1"/>
        <v>#REF!</v>
      </c>
      <c r="K1184" s="27" t="e">
        <f ca="1"/>
        <v>#REF!</v>
      </c>
      <c r="L1184" s="25" t="e">
        <f ca="1"/>
        <v>#REF!</v>
      </c>
      <c r="M1184" s="25" t="e">
        <f ca="1"/>
        <v>#REF!</v>
      </c>
      <c r="N1184" s="25" t="e">
        <f ca="1"/>
        <v>#REF!</v>
      </c>
      <c r="O1184" s="25" t="e">
        <f ca="1"/>
        <v>#REF!</v>
      </c>
      <c r="P1184" s="25" t="e">
        <f ca="1"/>
        <v>#REF!</v>
      </c>
      <c r="Q1184" s="25" t="e">
        <f ca="1"/>
        <v>#REF!</v>
      </c>
      <c r="R1184" s="25" t="e">
        <f ca="1"/>
        <v>#REF!</v>
      </c>
      <c r="S1184" s="25" t="e">
        <f ca="1"/>
        <v>#REF!</v>
      </c>
      <c r="T1184" s="25" t="e">
        <f ca="1"/>
        <v>#REF!</v>
      </c>
      <c r="U1184" s="25" t="e">
        <f ca="1"/>
        <v>#REF!</v>
      </c>
      <c r="V1184" s="25" t="e">
        <f ca="1"/>
        <v>#REF!</v>
      </c>
      <c r="W1184" s="33" t="e">
        <f ca="1"/>
        <v>#REF!</v>
      </c>
      <c r="X1184" s="33" t="e">
        <f ca="1"/>
        <v>#REF!</v>
      </c>
      <c r="Y1184" s="33" t="e">
        <f ca="1"/>
        <v>#REF!</v>
      </c>
      <c r="Z1184" s="33" t="e">
        <f ca="1"/>
        <v>#REF!</v>
      </c>
      <c r="AA1184" s="33" t="e">
        <f ca="1"/>
        <v>#REF!</v>
      </c>
    </row>
    <row r="1185" spans="1:27" s="70" customFormat="1" ht="11.25" x14ac:dyDescent="0.2">
      <c r="A1185" s="24">
        <v>1179</v>
      </c>
      <c r="B1185" s="24"/>
      <c r="C1185" s="25"/>
      <c r="D1185" s="26"/>
      <c r="E1185" s="25"/>
      <c r="F1185" s="25"/>
      <c r="G1185" s="24"/>
      <c r="H1185" s="25" t="e">
        <f ca="1"/>
        <v>#REF!</v>
      </c>
      <c r="I1185" s="27" t="e">
        <f ca="1"/>
        <v>#REF!</v>
      </c>
      <c r="J1185" s="28" t="e">
        <f ca="1"/>
        <v>#REF!</v>
      </c>
      <c r="K1185" s="27" t="e">
        <f ca="1"/>
        <v>#REF!</v>
      </c>
      <c r="L1185" s="25" t="e">
        <f ca="1"/>
        <v>#REF!</v>
      </c>
      <c r="M1185" s="25" t="e">
        <f ca="1"/>
        <v>#REF!</v>
      </c>
      <c r="N1185" s="25" t="e">
        <f ca="1"/>
        <v>#REF!</v>
      </c>
      <c r="O1185" s="25" t="e">
        <f ca="1"/>
        <v>#REF!</v>
      </c>
      <c r="P1185" s="25" t="e">
        <f ca="1"/>
        <v>#REF!</v>
      </c>
      <c r="Q1185" s="25" t="e">
        <f ca="1"/>
        <v>#REF!</v>
      </c>
      <c r="R1185" s="25" t="e">
        <f ca="1"/>
        <v>#REF!</v>
      </c>
      <c r="S1185" s="25" t="e">
        <f ca="1"/>
        <v>#REF!</v>
      </c>
      <c r="T1185" s="25" t="e">
        <f ca="1"/>
        <v>#REF!</v>
      </c>
      <c r="U1185" s="25" t="e">
        <f ca="1"/>
        <v>#REF!</v>
      </c>
      <c r="V1185" s="25" t="e">
        <f ca="1"/>
        <v>#REF!</v>
      </c>
      <c r="W1185" s="33" t="e">
        <f ca="1"/>
        <v>#REF!</v>
      </c>
      <c r="X1185" s="33" t="e">
        <f ca="1"/>
        <v>#REF!</v>
      </c>
      <c r="Y1185" s="33" t="e">
        <f ca="1"/>
        <v>#REF!</v>
      </c>
      <c r="Z1185" s="33" t="e">
        <f ca="1"/>
        <v>#REF!</v>
      </c>
      <c r="AA1185" s="33" t="e">
        <f ca="1"/>
        <v>#REF!</v>
      </c>
    </row>
    <row r="1186" spans="1:27" s="70" customFormat="1" ht="11.25" x14ac:dyDescent="0.2">
      <c r="A1186" s="24">
        <v>1180</v>
      </c>
      <c r="B1186" s="24"/>
      <c r="C1186" s="25"/>
      <c r="D1186" s="26"/>
      <c r="E1186" s="25"/>
      <c r="F1186" s="25"/>
      <c r="G1186" s="24"/>
      <c r="H1186" s="25" t="e">
        <f ca="1"/>
        <v>#REF!</v>
      </c>
      <c r="I1186" s="27" t="e">
        <f ca="1"/>
        <v>#REF!</v>
      </c>
      <c r="J1186" s="28" t="e">
        <f ca="1"/>
        <v>#REF!</v>
      </c>
      <c r="K1186" s="27" t="e">
        <f ca="1"/>
        <v>#REF!</v>
      </c>
      <c r="L1186" s="25" t="e">
        <f ca="1"/>
        <v>#REF!</v>
      </c>
      <c r="M1186" s="25" t="e">
        <f ca="1"/>
        <v>#REF!</v>
      </c>
      <c r="N1186" s="25" t="e">
        <f ca="1"/>
        <v>#REF!</v>
      </c>
      <c r="O1186" s="25" t="e">
        <f ca="1"/>
        <v>#REF!</v>
      </c>
      <c r="P1186" s="25" t="e">
        <f ca="1"/>
        <v>#REF!</v>
      </c>
      <c r="Q1186" s="25" t="e">
        <f ca="1"/>
        <v>#REF!</v>
      </c>
      <c r="R1186" s="25" t="e">
        <f ca="1"/>
        <v>#REF!</v>
      </c>
      <c r="S1186" s="25" t="e">
        <f ca="1"/>
        <v>#REF!</v>
      </c>
      <c r="T1186" s="25" t="e">
        <f ca="1"/>
        <v>#REF!</v>
      </c>
      <c r="U1186" s="25" t="e">
        <f ca="1"/>
        <v>#REF!</v>
      </c>
      <c r="V1186" s="25" t="e">
        <f ca="1"/>
        <v>#REF!</v>
      </c>
      <c r="W1186" s="33" t="e">
        <f ca="1"/>
        <v>#REF!</v>
      </c>
      <c r="X1186" s="33" t="e">
        <f ca="1"/>
        <v>#REF!</v>
      </c>
      <c r="Y1186" s="33" t="e">
        <f ca="1"/>
        <v>#REF!</v>
      </c>
      <c r="Z1186" s="33" t="e">
        <f ca="1"/>
        <v>#REF!</v>
      </c>
      <c r="AA1186" s="33" t="e">
        <f ca="1"/>
        <v>#REF!</v>
      </c>
    </row>
    <row r="1187" spans="1:27" s="70" customFormat="1" ht="11.25" x14ac:dyDescent="0.2">
      <c r="A1187" s="24">
        <v>1181</v>
      </c>
      <c r="B1187" s="24"/>
      <c r="C1187" s="25"/>
      <c r="D1187" s="26"/>
      <c r="E1187" s="25"/>
      <c r="F1187" s="25"/>
      <c r="G1187" s="24"/>
      <c r="H1187" s="25" t="e">
        <f ca="1"/>
        <v>#REF!</v>
      </c>
      <c r="I1187" s="27" t="e">
        <f ca="1"/>
        <v>#REF!</v>
      </c>
      <c r="J1187" s="28" t="e">
        <f ca="1"/>
        <v>#REF!</v>
      </c>
      <c r="K1187" s="27" t="e">
        <f ca="1"/>
        <v>#REF!</v>
      </c>
      <c r="L1187" s="25" t="e">
        <f ca="1"/>
        <v>#REF!</v>
      </c>
      <c r="M1187" s="25" t="e">
        <f ca="1"/>
        <v>#REF!</v>
      </c>
      <c r="N1187" s="25" t="e">
        <f ca="1"/>
        <v>#REF!</v>
      </c>
      <c r="O1187" s="25" t="e">
        <f ca="1"/>
        <v>#REF!</v>
      </c>
      <c r="P1187" s="25" t="e">
        <f ca="1"/>
        <v>#REF!</v>
      </c>
      <c r="Q1187" s="25" t="e">
        <f ca="1"/>
        <v>#REF!</v>
      </c>
      <c r="R1187" s="25" t="e">
        <f ca="1"/>
        <v>#REF!</v>
      </c>
      <c r="S1187" s="25" t="e">
        <f ca="1"/>
        <v>#REF!</v>
      </c>
      <c r="T1187" s="25" t="e">
        <f ca="1"/>
        <v>#REF!</v>
      </c>
      <c r="U1187" s="25" t="e">
        <f ca="1"/>
        <v>#REF!</v>
      </c>
      <c r="V1187" s="25" t="e">
        <f ca="1"/>
        <v>#REF!</v>
      </c>
      <c r="W1187" s="33" t="e">
        <f ca="1"/>
        <v>#REF!</v>
      </c>
      <c r="X1187" s="33" t="e">
        <f ca="1"/>
        <v>#REF!</v>
      </c>
      <c r="Y1187" s="33" t="e">
        <f ca="1"/>
        <v>#REF!</v>
      </c>
      <c r="Z1187" s="33" t="e">
        <f ca="1"/>
        <v>#REF!</v>
      </c>
      <c r="AA1187" s="33" t="e">
        <f ca="1"/>
        <v>#REF!</v>
      </c>
    </row>
    <row r="1188" spans="1:27" s="70" customFormat="1" ht="11.25" x14ac:dyDescent="0.2">
      <c r="A1188" s="24">
        <v>1182</v>
      </c>
      <c r="B1188" s="24"/>
      <c r="C1188" s="25"/>
      <c r="D1188" s="26"/>
      <c r="E1188" s="25"/>
      <c r="F1188" s="25"/>
      <c r="G1188" s="24"/>
      <c r="H1188" s="25" t="e">
        <f ca="1"/>
        <v>#REF!</v>
      </c>
      <c r="I1188" s="27" t="e">
        <f ca="1"/>
        <v>#REF!</v>
      </c>
      <c r="J1188" s="28" t="e">
        <f ca="1"/>
        <v>#REF!</v>
      </c>
      <c r="K1188" s="27" t="e">
        <f ca="1"/>
        <v>#REF!</v>
      </c>
      <c r="L1188" s="25" t="e">
        <f ca="1"/>
        <v>#REF!</v>
      </c>
      <c r="M1188" s="25" t="e">
        <f ca="1"/>
        <v>#REF!</v>
      </c>
      <c r="N1188" s="25" t="e">
        <f ca="1"/>
        <v>#REF!</v>
      </c>
      <c r="O1188" s="25" t="e">
        <f ca="1"/>
        <v>#REF!</v>
      </c>
      <c r="P1188" s="25" t="e">
        <f ca="1"/>
        <v>#REF!</v>
      </c>
      <c r="Q1188" s="25" t="e">
        <f ca="1"/>
        <v>#REF!</v>
      </c>
      <c r="R1188" s="25" t="e">
        <f ca="1"/>
        <v>#REF!</v>
      </c>
      <c r="S1188" s="25" t="e">
        <f ca="1"/>
        <v>#REF!</v>
      </c>
      <c r="T1188" s="25" t="e">
        <f ca="1"/>
        <v>#REF!</v>
      </c>
      <c r="U1188" s="25" t="e">
        <f ca="1"/>
        <v>#REF!</v>
      </c>
      <c r="V1188" s="25" t="e">
        <f ca="1"/>
        <v>#REF!</v>
      </c>
      <c r="W1188" s="33" t="e">
        <f ca="1"/>
        <v>#REF!</v>
      </c>
      <c r="X1188" s="33" t="e">
        <f ca="1"/>
        <v>#REF!</v>
      </c>
      <c r="Y1188" s="33" t="e">
        <f ca="1"/>
        <v>#REF!</v>
      </c>
      <c r="Z1188" s="33" t="e">
        <f ca="1"/>
        <v>#REF!</v>
      </c>
      <c r="AA1188" s="33" t="e">
        <f ca="1"/>
        <v>#REF!</v>
      </c>
    </row>
    <row r="1189" spans="1:27" s="70" customFormat="1" ht="11.25" x14ac:dyDescent="0.2">
      <c r="A1189" s="24">
        <v>1183</v>
      </c>
      <c r="B1189" s="24"/>
      <c r="C1189" s="25"/>
      <c r="D1189" s="26"/>
      <c r="E1189" s="25"/>
      <c r="F1189" s="25"/>
      <c r="G1189" s="24"/>
      <c r="H1189" s="25" t="e">
        <f ca="1"/>
        <v>#REF!</v>
      </c>
      <c r="I1189" s="27" t="e">
        <f ca="1"/>
        <v>#REF!</v>
      </c>
      <c r="J1189" s="28" t="e">
        <f ca="1"/>
        <v>#REF!</v>
      </c>
      <c r="K1189" s="27" t="e">
        <f ca="1"/>
        <v>#REF!</v>
      </c>
      <c r="L1189" s="25" t="e">
        <f ca="1"/>
        <v>#REF!</v>
      </c>
      <c r="M1189" s="25" t="e">
        <f ca="1"/>
        <v>#REF!</v>
      </c>
      <c r="N1189" s="25" t="e">
        <f ca="1"/>
        <v>#REF!</v>
      </c>
      <c r="O1189" s="25" t="e">
        <f ca="1"/>
        <v>#REF!</v>
      </c>
      <c r="P1189" s="25" t="e">
        <f ca="1"/>
        <v>#REF!</v>
      </c>
      <c r="Q1189" s="25" t="e">
        <f ca="1"/>
        <v>#REF!</v>
      </c>
      <c r="R1189" s="25" t="e">
        <f ca="1"/>
        <v>#REF!</v>
      </c>
      <c r="S1189" s="25" t="e">
        <f ca="1"/>
        <v>#REF!</v>
      </c>
      <c r="T1189" s="25" t="e">
        <f ca="1"/>
        <v>#REF!</v>
      </c>
      <c r="U1189" s="25" t="e">
        <f ca="1"/>
        <v>#REF!</v>
      </c>
      <c r="V1189" s="25" t="e">
        <f ca="1"/>
        <v>#REF!</v>
      </c>
      <c r="W1189" s="33" t="e">
        <f ca="1"/>
        <v>#REF!</v>
      </c>
      <c r="X1189" s="33" t="e">
        <f ca="1"/>
        <v>#REF!</v>
      </c>
      <c r="Y1189" s="33" t="e">
        <f ca="1"/>
        <v>#REF!</v>
      </c>
      <c r="Z1189" s="33" t="e">
        <f ca="1"/>
        <v>#REF!</v>
      </c>
      <c r="AA1189" s="33" t="e">
        <f ca="1"/>
        <v>#REF!</v>
      </c>
    </row>
    <row r="1190" spans="1:27" s="70" customFormat="1" ht="11.25" x14ac:dyDescent="0.2">
      <c r="A1190" s="24">
        <v>1184</v>
      </c>
      <c r="B1190" s="24"/>
      <c r="C1190" s="25"/>
      <c r="D1190" s="26"/>
      <c r="E1190" s="25"/>
      <c r="F1190" s="25"/>
      <c r="G1190" s="24"/>
      <c r="H1190" s="25" t="e">
        <f ca="1"/>
        <v>#REF!</v>
      </c>
      <c r="I1190" s="27" t="e">
        <f ca="1"/>
        <v>#REF!</v>
      </c>
      <c r="J1190" s="28" t="e">
        <f ca="1"/>
        <v>#REF!</v>
      </c>
      <c r="K1190" s="27" t="e">
        <f ca="1"/>
        <v>#REF!</v>
      </c>
      <c r="L1190" s="25" t="e">
        <f ca="1"/>
        <v>#REF!</v>
      </c>
      <c r="M1190" s="25" t="e">
        <f ca="1"/>
        <v>#REF!</v>
      </c>
      <c r="N1190" s="25" t="e">
        <f ca="1"/>
        <v>#REF!</v>
      </c>
      <c r="O1190" s="25" t="e">
        <f ca="1"/>
        <v>#REF!</v>
      </c>
      <c r="P1190" s="25" t="e">
        <f ca="1"/>
        <v>#REF!</v>
      </c>
      <c r="Q1190" s="25" t="e">
        <f ca="1"/>
        <v>#REF!</v>
      </c>
      <c r="R1190" s="25" t="e">
        <f ca="1"/>
        <v>#REF!</v>
      </c>
      <c r="S1190" s="25" t="e">
        <f ca="1"/>
        <v>#REF!</v>
      </c>
      <c r="T1190" s="25" t="e">
        <f ca="1"/>
        <v>#REF!</v>
      </c>
      <c r="U1190" s="25" t="e">
        <f ca="1"/>
        <v>#REF!</v>
      </c>
      <c r="V1190" s="25" t="e">
        <f ca="1"/>
        <v>#REF!</v>
      </c>
      <c r="W1190" s="33" t="e">
        <f ca="1"/>
        <v>#REF!</v>
      </c>
      <c r="X1190" s="33" t="e">
        <f ca="1"/>
        <v>#REF!</v>
      </c>
      <c r="Y1190" s="33" t="e">
        <f ca="1"/>
        <v>#REF!</v>
      </c>
      <c r="Z1190" s="33" t="e">
        <f ca="1"/>
        <v>#REF!</v>
      </c>
      <c r="AA1190" s="33" t="e">
        <f ca="1"/>
        <v>#REF!</v>
      </c>
    </row>
    <row r="1191" spans="1:27" s="70" customFormat="1" ht="11.25" x14ac:dyDescent="0.2">
      <c r="A1191" s="24">
        <v>1185</v>
      </c>
      <c r="B1191" s="24"/>
      <c r="C1191" s="25"/>
      <c r="D1191" s="26"/>
      <c r="E1191" s="25"/>
      <c r="F1191" s="25"/>
      <c r="G1191" s="24"/>
      <c r="H1191" s="25" t="e">
        <f ca="1"/>
        <v>#REF!</v>
      </c>
      <c r="I1191" s="27" t="e">
        <f ca="1"/>
        <v>#REF!</v>
      </c>
      <c r="J1191" s="28" t="e">
        <f ca="1"/>
        <v>#REF!</v>
      </c>
      <c r="K1191" s="27" t="e">
        <f ca="1"/>
        <v>#REF!</v>
      </c>
      <c r="L1191" s="25" t="e">
        <f ca="1"/>
        <v>#REF!</v>
      </c>
      <c r="M1191" s="25" t="e">
        <f ca="1"/>
        <v>#REF!</v>
      </c>
      <c r="N1191" s="25" t="e">
        <f ca="1"/>
        <v>#REF!</v>
      </c>
      <c r="O1191" s="25" t="e">
        <f ca="1"/>
        <v>#REF!</v>
      </c>
      <c r="P1191" s="25" t="e">
        <f ca="1"/>
        <v>#REF!</v>
      </c>
      <c r="Q1191" s="25" t="e">
        <f ca="1"/>
        <v>#REF!</v>
      </c>
      <c r="R1191" s="25" t="e">
        <f ca="1"/>
        <v>#REF!</v>
      </c>
      <c r="S1191" s="25" t="e">
        <f ca="1"/>
        <v>#REF!</v>
      </c>
      <c r="T1191" s="25" t="e">
        <f ca="1"/>
        <v>#REF!</v>
      </c>
      <c r="U1191" s="25" t="e">
        <f ca="1"/>
        <v>#REF!</v>
      </c>
      <c r="V1191" s="25" t="e">
        <f ca="1"/>
        <v>#REF!</v>
      </c>
      <c r="W1191" s="33" t="e">
        <f ca="1"/>
        <v>#REF!</v>
      </c>
      <c r="X1191" s="33" t="e">
        <f ca="1"/>
        <v>#REF!</v>
      </c>
      <c r="Y1191" s="33" t="e">
        <f ca="1"/>
        <v>#REF!</v>
      </c>
      <c r="Z1191" s="33" t="e">
        <f ca="1"/>
        <v>#REF!</v>
      </c>
      <c r="AA1191" s="33" t="e">
        <f ca="1"/>
        <v>#REF!</v>
      </c>
    </row>
    <row r="1192" spans="1:27" s="70" customFormat="1" ht="11.25" x14ac:dyDescent="0.2">
      <c r="A1192" s="24">
        <v>1186</v>
      </c>
      <c r="B1192" s="24"/>
      <c r="C1192" s="25"/>
      <c r="D1192" s="26"/>
      <c r="E1192" s="25"/>
      <c r="F1192" s="25"/>
      <c r="G1192" s="24"/>
      <c r="H1192" s="25" t="e">
        <f ca="1"/>
        <v>#REF!</v>
      </c>
      <c r="I1192" s="27" t="e">
        <f ca="1"/>
        <v>#REF!</v>
      </c>
      <c r="J1192" s="28" t="e">
        <f ca="1"/>
        <v>#REF!</v>
      </c>
      <c r="K1192" s="27" t="e">
        <f ca="1"/>
        <v>#REF!</v>
      </c>
      <c r="L1192" s="25" t="e">
        <f ca="1"/>
        <v>#REF!</v>
      </c>
      <c r="M1192" s="25" t="e">
        <f ca="1"/>
        <v>#REF!</v>
      </c>
      <c r="N1192" s="25" t="e">
        <f ca="1"/>
        <v>#REF!</v>
      </c>
      <c r="O1192" s="25" t="e">
        <f ca="1"/>
        <v>#REF!</v>
      </c>
      <c r="P1192" s="25" t="e">
        <f ca="1"/>
        <v>#REF!</v>
      </c>
      <c r="Q1192" s="25" t="e">
        <f ca="1"/>
        <v>#REF!</v>
      </c>
      <c r="R1192" s="25" t="e">
        <f ca="1"/>
        <v>#REF!</v>
      </c>
      <c r="S1192" s="25" t="e">
        <f ca="1"/>
        <v>#REF!</v>
      </c>
      <c r="T1192" s="25" t="e">
        <f ca="1"/>
        <v>#REF!</v>
      </c>
      <c r="U1192" s="25" t="e">
        <f ca="1"/>
        <v>#REF!</v>
      </c>
      <c r="V1192" s="25" t="e">
        <f ca="1"/>
        <v>#REF!</v>
      </c>
      <c r="W1192" s="33" t="e">
        <f ca="1"/>
        <v>#REF!</v>
      </c>
      <c r="X1192" s="33" t="e">
        <f ca="1"/>
        <v>#REF!</v>
      </c>
      <c r="Y1192" s="33" t="e">
        <f ca="1"/>
        <v>#REF!</v>
      </c>
      <c r="Z1192" s="33" t="e">
        <f ca="1"/>
        <v>#REF!</v>
      </c>
      <c r="AA1192" s="33" t="e">
        <f ca="1"/>
        <v>#REF!</v>
      </c>
    </row>
    <row r="1193" spans="1:27" s="70" customFormat="1" ht="11.25" x14ac:dyDescent="0.2">
      <c r="A1193" s="24">
        <v>1187</v>
      </c>
      <c r="B1193" s="24"/>
      <c r="C1193" s="25"/>
      <c r="D1193" s="26"/>
      <c r="E1193" s="25"/>
      <c r="F1193" s="25"/>
      <c r="G1193" s="24"/>
      <c r="H1193" s="25" t="e">
        <f ca="1"/>
        <v>#REF!</v>
      </c>
      <c r="I1193" s="27" t="e">
        <f ca="1"/>
        <v>#REF!</v>
      </c>
      <c r="J1193" s="28" t="e">
        <f ca="1"/>
        <v>#REF!</v>
      </c>
      <c r="K1193" s="27" t="e">
        <f ca="1"/>
        <v>#REF!</v>
      </c>
      <c r="L1193" s="25" t="e">
        <f ca="1"/>
        <v>#REF!</v>
      </c>
      <c r="M1193" s="25" t="e">
        <f ca="1"/>
        <v>#REF!</v>
      </c>
      <c r="N1193" s="25" t="e">
        <f ca="1"/>
        <v>#REF!</v>
      </c>
      <c r="O1193" s="25" t="e">
        <f ca="1"/>
        <v>#REF!</v>
      </c>
      <c r="P1193" s="25" t="e">
        <f ca="1"/>
        <v>#REF!</v>
      </c>
      <c r="Q1193" s="25" t="e">
        <f ca="1"/>
        <v>#REF!</v>
      </c>
      <c r="R1193" s="25" t="e">
        <f ca="1"/>
        <v>#REF!</v>
      </c>
      <c r="S1193" s="25" t="e">
        <f ca="1"/>
        <v>#REF!</v>
      </c>
      <c r="T1193" s="25" t="e">
        <f ca="1"/>
        <v>#REF!</v>
      </c>
      <c r="U1193" s="25" t="e">
        <f ca="1"/>
        <v>#REF!</v>
      </c>
      <c r="V1193" s="25" t="e">
        <f ca="1"/>
        <v>#REF!</v>
      </c>
      <c r="W1193" s="33" t="e">
        <f ca="1"/>
        <v>#REF!</v>
      </c>
      <c r="X1193" s="33" t="e">
        <f ca="1"/>
        <v>#REF!</v>
      </c>
      <c r="Y1193" s="33" t="e">
        <f ca="1"/>
        <v>#REF!</v>
      </c>
      <c r="Z1193" s="33" t="e">
        <f ca="1"/>
        <v>#REF!</v>
      </c>
      <c r="AA1193" s="33" t="e">
        <f ca="1"/>
        <v>#REF!</v>
      </c>
    </row>
    <row r="1194" spans="1:27" s="70" customFormat="1" ht="11.25" x14ac:dyDescent="0.2">
      <c r="A1194" s="24">
        <v>1188</v>
      </c>
      <c r="B1194" s="24"/>
      <c r="C1194" s="25"/>
      <c r="D1194" s="26"/>
      <c r="E1194" s="25"/>
      <c r="F1194" s="25"/>
      <c r="G1194" s="24"/>
      <c r="H1194" s="25" t="e">
        <f ca="1"/>
        <v>#REF!</v>
      </c>
      <c r="I1194" s="27" t="e">
        <f ca="1"/>
        <v>#REF!</v>
      </c>
      <c r="J1194" s="28" t="e">
        <f ca="1"/>
        <v>#REF!</v>
      </c>
      <c r="K1194" s="27" t="e">
        <f ca="1"/>
        <v>#REF!</v>
      </c>
      <c r="L1194" s="25" t="e">
        <f ca="1"/>
        <v>#REF!</v>
      </c>
      <c r="M1194" s="25" t="e">
        <f ca="1"/>
        <v>#REF!</v>
      </c>
      <c r="N1194" s="25" t="e">
        <f ca="1"/>
        <v>#REF!</v>
      </c>
      <c r="O1194" s="25" t="e">
        <f ca="1"/>
        <v>#REF!</v>
      </c>
      <c r="P1194" s="25" t="e">
        <f ca="1"/>
        <v>#REF!</v>
      </c>
      <c r="Q1194" s="25" t="e">
        <f ca="1"/>
        <v>#REF!</v>
      </c>
      <c r="R1194" s="25" t="e">
        <f ca="1"/>
        <v>#REF!</v>
      </c>
      <c r="S1194" s="25" t="e">
        <f ca="1"/>
        <v>#REF!</v>
      </c>
      <c r="T1194" s="25" t="e">
        <f ca="1"/>
        <v>#REF!</v>
      </c>
      <c r="U1194" s="25" t="e">
        <f ca="1"/>
        <v>#REF!</v>
      </c>
      <c r="V1194" s="25" t="e">
        <f ca="1"/>
        <v>#REF!</v>
      </c>
      <c r="W1194" s="33" t="e">
        <f ca="1"/>
        <v>#REF!</v>
      </c>
      <c r="X1194" s="33" t="e">
        <f ca="1"/>
        <v>#REF!</v>
      </c>
      <c r="Y1194" s="33" t="e">
        <f ca="1"/>
        <v>#REF!</v>
      </c>
      <c r="Z1194" s="33" t="e">
        <f ca="1"/>
        <v>#REF!</v>
      </c>
      <c r="AA1194" s="33" t="e">
        <f ca="1"/>
        <v>#REF!</v>
      </c>
    </row>
    <row r="1195" spans="1:27" s="70" customFormat="1" ht="11.25" x14ac:dyDescent="0.2">
      <c r="A1195" s="24">
        <v>1189</v>
      </c>
      <c r="B1195" s="24"/>
      <c r="C1195" s="25"/>
      <c r="D1195" s="26"/>
      <c r="E1195" s="25"/>
      <c r="F1195" s="25"/>
      <c r="G1195" s="24"/>
      <c r="H1195" s="25" t="e">
        <f ca="1"/>
        <v>#REF!</v>
      </c>
      <c r="I1195" s="27" t="e">
        <f ca="1"/>
        <v>#REF!</v>
      </c>
      <c r="J1195" s="28" t="e">
        <f ca="1"/>
        <v>#REF!</v>
      </c>
      <c r="K1195" s="27" t="e">
        <f ca="1"/>
        <v>#REF!</v>
      </c>
      <c r="L1195" s="25" t="e">
        <f ca="1"/>
        <v>#REF!</v>
      </c>
      <c r="M1195" s="25" t="e">
        <f ca="1"/>
        <v>#REF!</v>
      </c>
      <c r="N1195" s="25" t="e">
        <f ca="1"/>
        <v>#REF!</v>
      </c>
      <c r="O1195" s="25" t="e">
        <f ca="1"/>
        <v>#REF!</v>
      </c>
      <c r="P1195" s="25" t="e">
        <f ca="1"/>
        <v>#REF!</v>
      </c>
      <c r="Q1195" s="25" t="e">
        <f ca="1"/>
        <v>#REF!</v>
      </c>
      <c r="R1195" s="25" t="e">
        <f ca="1"/>
        <v>#REF!</v>
      </c>
      <c r="S1195" s="25" t="e">
        <f ca="1"/>
        <v>#REF!</v>
      </c>
      <c r="T1195" s="25" t="e">
        <f ca="1"/>
        <v>#REF!</v>
      </c>
      <c r="U1195" s="25" t="e">
        <f ca="1"/>
        <v>#REF!</v>
      </c>
      <c r="V1195" s="25" t="e">
        <f ca="1"/>
        <v>#REF!</v>
      </c>
      <c r="W1195" s="33" t="e">
        <f ca="1"/>
        <v>#REF!</v>
      </c>
      <c r="X1195" s="33" t="e">
        <f ca="1"/>
        <v>#REF!</v>
      </c>
      <c r="Y1195" s="33" t="e">
        <f ca="1"/>
        <v>#REF!</v>
      </c>
      <c r="Z1195" s="33" t="e">
        <f ca="1"/>
        <v>#REF!</v>
      </c>
      <c r="AA1195" s="33" t="e">
        <f ca="1"/>
        <v>#REF!</v>
      </c>
    </row>
    <row r="1196" spans="1:27" s="70" customFormat="1" ht="11.25" x14ac:dyDescent="0.2">
      <c r="A1196" s="24">
        <v>1190</v>
      </c>
      <c r="B1196" s="24"/>
      <c r="C1196" s="25"/>
      <c r="D1196" s="26"/>
      <c r="E1196" s="25"/>
      <c r="F1196" s="25"/>
      <c r="G1196" s="24"/>
      <c r="H1196" s="25" t="e">
        <f ca="1"/>
        <v>#REF!</v>
      </c>
      <c r="I1196" s="27" t="e">
        <f ca="1"/>
        <v>#REF!</v>
      </c>
      <c r="J1196" s="28" t="e">
        <f ca="1"/>
        <v>#REF!</v>
      </c>
      <c r="K1196" s="27" t="e">
        <f ca="1"/>
        <v>#REF!</v>
      </c>
      <c r="L1196" s="25" t="e">
        <f ca="1"/>
        <v>#REF!</v>
      </c>
      <c r="M1196" s="25" t="e">
        <f ca="1"/>
        <v>#REF!</v>
      </c>
      <c r="N1196" s="25" t="e">
        <f ca="1"/>
        <v>#REF!</v>
      </c>
      <c r="O1196" s="25" t="e">
        <f ca="1"/>
        <v>#REF!</v>
      </c>
      <c r="P1196" s="25" t="e">
        <f ca="1"/>
        <v>#REF!</v>
      </c>
      <c r="Q1196" s="25" t="e">
        <f ca="1"/>
        <v>#REF!</v>
      </c>
      <c r="R1196" s="25" t="e">
        <f ca="1"/>
        <v>#REF!</v>
      </c>
      <c r="S1196" s="25" t="e">
        <f ca="1"/>
        <v>#REF!</v>
      </c>
      <c r="T1196" s="25" t="e">
        <f ca="1"/>
        <v>#REF!</v>
      </c>
      <c r="U1196" s="25" t="e">
        <f ca="1"/>
        <v>#REF!</v>
      </c>
      <c r="V1196" s="25" t="e">
        <f ca="1"/>
        <v>#REF!</v>
      </c>
      <c r="W1196" s="33" t="e">
        <f ca="1"/>
        <v>#REF!</v>
      </c>
      <c r="X1196" s="33" t="e">
        <f ca="1"/>
        <v>#REF!</v>
      </c>
      <c r="Y1196" s="33" t="e">
        <f ca="1"/>
        <v>#REF!</v>
      </c>
      <c r="Z1196" s="33" t="e">
        <f ca="1"/>
        <v>#REF!</v>
      </c>
      <c r="AA1196" s="33" t="e">
        <f ca="1"/>
        <v>#REF!</v>
      </c>
    </row>
    <row r="1197" spans="1:27" s="70" customFormat="1" ht="11.25" x14ac:dyDescent="0.2">
      <c r="A1197" s="24">
        <v>1191</v>
      </c>
      <c r="B1197" s="24"/>
      <c r="C1197" s="25"/>
      <c r="D1197" s="26"/>
      <c r="E1197" s="25"/>
      <c r="F1197" s="25"/>
      <c r="G1197" s="24"/>
      <c r="H1197" s="25" t="e">
        <f ca="1"/>
        <v>#REF!</v>
      </c>
      <c r="I1197" s="27" t="e">
        <f ca="1"/>
        <v>#REF!</v>
      </c>
      <c r="J1197" s="28" t="e">
        <f ca="1"/>
        <v>#REF!</v>
      </c>
      <c r="K1197" s="27" t="e">
        <f ca="1"/>
        <v>#REF!</v>
      </c>
      <c r="L1197" s="25" t="e">
        <f ca="1"/>
        <v>#REF!</v>
      </c>
      <c r="M1197" s="25" t="e">
        <f ca="1"/>
        <v>#REF!</v>
      </c>
      <c r="N1197" s="25" t="e">
        <f ca="1"/>
        <v>#REF!</v>
      </c>
      <c r="O1197" s="25" t="e">
        <f ca="1"/>
        <v>#REF!</v>
      </c>
      <c r="P1197" s="25" t="e">
        <f ca="1"/>
        <v>#REF!</v>
      </c>
      <c r="Q1197" s="25" t="e">
        <f ca="1"/>
        <v>#REF!</v>
      </c>
      <c r="R1197" s="25" t="e">
        <f ca="1"/>
        <v>#REF!</v>
      </c>
      <c r="S1197" s="25" t="e">
        <f ca="1"/>
        <v>#REF!</v>
      </c>
      <c r="T1197" s="25" t="e">
        <f ca="1"/>
        <v>#REF!</v>
      </c>
      <c r="U1197" s="25" t="e">
        <f ca="1"/>
        <v>#REF!</v>
      </c>
      <c r="V1197" s="25" t="e">
        <f ca="1"/>
        <v>#REF!</v>
      </c>
      <c r="W1197" s="33" t="e">
        <f ca="1"/>
        <v>#REF!</v>
      </c>
      <c r="X1197" s="33" t="e">
        <f ca="1"/>
        <v>#REF!</v>
      </c>
      <c r="Y1197" s="33" t="e">
        <f ca="1"/>
        <v>#REF!</v>
      </c>
      <c r="Z1197" s="33" t="e">
        <f ca="1"/>
        <v>#REF!</v>
      </c>
      <c r="AA1197" s="33" t="e">
        <f ca="1"/>
        <v>#REF!</v>
      </c>
    </row>
    <row r="1198" spans="1:27" s="70" customFormat="1" ht="11.25" x14ac:dyDescent="0.2">
      <c r="A1198" s="24">
        <v>1192</v>
      </c>
      <c r="B1198" s="24"/>
      <c r="C1198" s="25"/>
      <c r="D1198" s="26"/>
      <c r="E1198" s="25"/>
      <c r="F1198" s="25"/>
      <c r="G1198" s="24"/>
      <c r="H1198" s="25" t="e">
        <f ca="1"/>
        <v>#REF!</v>
      </c>
      <c r="I1198" s="27" t="e">
        <f ca="1"/>
        <v>#REF!</v>
      </c>
      <c r="J1198" s="28" t="e">
        <f ca="1"/>
        <v>#REF!</v>
      </c>
      <c r="K1198" s="27" t="e">
        <f ca="1"/>
        <v>#REF!</v>
      </c>
      <c r="L1198" s="25" t="e">
        <f ca="1"/>
        <v>#REF!</v>
      </c>
      <c r="M1198" s="25" t="e">
        <f ca="1"/>
        <v>#REF!</v>
      </c>
      <c r="N1198" s="25" t="e">
        <f ca="1"/>
        <v>#REF!</v>
      </c>
      <c r="O1198" s="25" t="e">
        <f ca="1"/>
        <v>#REF!</v>
      </c>
      <c r="P1198" s="25" t="e">
        <f ca="1"/>
        <v>#REF!</v>
      </c>
      <c r="Q1198" s="25" t="e">
        <f ca="1"/>
        <v>#REF!</v>
      </c>
      <c r="R1198" s="25" t="e">
        <f ca="1"/>
        <v>#REF!</v>
      </c>
      <c r="S1198" s="25" t="e">
        <f ca="1"/>
        <v>#REF!</v>
      </c>
      <c r="T1198" s="25" t="e">
        <f ca="1"/>
        <v>#REF!</v>
      </c>
      <c r="U1198" s="25" t="e">
        <f ca="1"/>
        <v>#REF!</v>
      </c>
      <c r="V1198" s="25" t="e">
        <f ca="1"/>
        <v>#REF!</v>
      </c>
      <c r="W1198" s="33" t="e">
        <f ca="1"/>
        <v>#REF!</v>
      </c>
      <c r="X1198" s="33" t="e">
        <f ca="1"/>
        <v>#REF!</v>
      </c>
      <c r="Y1198" s="33" t="e">
        <f ca="1"/>
        <v>#REF!</v>
      </c>
      <c r="Z1198" s="33" t="e">
        <f ca="1"/>
        <v>#REF!</v>
      </c>
      <c r="AA1198" s="33" t="e">
        <f ca="1"/>
        <v>#REF!</v>
      </c>
    </row>
    <row r="1199" spans="1:27" s="70" customFormat="1" ht="11.25" x14ac:dyDescent="0.2">
      <c r="A1199" s="24">
        <v>1193</v>
      </c>
      <c r="B1199" s="24"/>
      <c r="C1199" s="25"/>
      <c r="D1199" s="26"/>
      <c r="E1199" s="25"/>
      <c r="F1199" s="25"/>
      <c r="G1199" s="24"/>
      <c r="H1199" s="25" t="e">
        <f ca="1"/>
        <v>#REF!</v>
      </c>
      <c r="I1199" s="27" t="e">
        <f ca="1"/>
        <v>#REF!</v>
      </c>
      <c r="J1199" s="28" t="e">
        <f ca="1"/>
        <v>#REF!</v>
      </c>
      <c r="K1199" s="27" t="e">
        <f ca="1"/>
        <v>#REF!</v>
      </c>
      <c r="L1199" s="25" t="e">
        <f ca="1"/>
        <v>#REF!</v>
      </c>
      <c r="M1199" s="25" t="e">
        <f ca="1"/>
        <v>#REF!</v>
      </c>
      <c r="N1199" s="25" t="e">
        <f ca="1"/>
        <v>#REF!</v>
      </c>
      <c r="O1199" s="25" t="e">
        <f ca="1"/>
        <v>#REF!</v>
      </c>
      <c r="P1199" s="25" t="e">
        <f ca="1"/>
        <v>#REF!</v>
      </c>
      <c r="Q1199" s="25" t="e">
        <f ca="1"/>
        <v>#REF!</v>
      </c>
      <c r="R1199" s="25" t="e">
        <f ca="1"/>
        <v>#REF!</v>
      </c>
      <c r="S1199" s="25" t="e">
        <f ca="1"/>
        <v>#REF!</v>
      </c>
      <c r="T1199" s="25" t="e">
        <f ca="1"/>
        <v>#REF!</v>
      </c>
      <c r="U1199" s="25" t="e">
        <f ca="1"/>
        <v>#REF!</v>
      </c>
      <c r="V1199" s="25" t="e">
        <f ca="1"/>
        <v>#REF!</v>
      </c>
      <c r="W1199" s="33" t="e">
        <f ca="1"/>
        <v>#REF!</v>
      </c>
      <c r="X1199" s="33" t="e">
        <f ca="1"/>
        <v>#REF!</v>
      </c>
      <c r="Y1199" s="33" t="e">
        <f ca="1"/>
        <v>#REF!</v>
      </c>
      <c r="Z1199" s="33" t="e">
        <f ca="1"/>
        <v>#REF!</v>
      </c>
      <c r="AA1199" s="33" t="e">
        <f ca="1"/>
        <v>#REF!</v>
      </c>
    </row>
    <row r="1200" spans="1:27" s="70" customFormat="1" ht="11.25" x14ac:dyDescent="0.2">
      <c r="A1200" s="24">
        <v>1194</v>
      </c>
      <c r="B1200" s="24"/>
      <c r="C1200" s="25"/>
      <c r="D1200" s="26"/>
      <c r="E1200" s="25"/>
      <c r="F1200" s="25"/>
      <c r="G1200" s="24"/>
      <c r="H1200" s="25" t="e">
        <f ca="1"/>
        <v>#REF!</v>
      </c>
      <c r="I1200" s="27" t="e">
        <f ca="1"/>
        <v>#REF!</v>
      </c>
      <c r="J1200" s="28" t="e">
        <f ca="1"/>
        <v>#REF!</v>
      </c>
      <c r="K1200" s="27" t="e">
        <f ca="1"/>
        <v>#REF!</v>
      </c>
      <c r="L1200" s="25" t="e">
        <f ca="1"/>
        <v>#REF!</v>
      </c>
      <c r="M1200" s="25" t="e">
        <f ca="1"/>
        <v>#REF!</v>
      </c>
      <c r="N1200" s="25" t="e">
        <f ca="1"/>
        <v>#REF!</v>
      </c>
      <c r="O1200" s="25" t="e">
        <f ca="1"/>
        <v>#REF!</v>
      </c>
      <c r="P1200" s="25" t="e">
        <f ca="1"/>
        <v>#REF!</v>
      </c>
      <c r="Q1200" s="25" t="e">
        <f ca="1"/>
        <v>#REF!</v>
      </c>
      <c r="R1200" s="25" t="e">
        <f ca="1"/>
        <v>#REF!</v>
      </c>
      <c r="S1200" s="25" t="e">
        <f ca="1"/>
        <v>#REF!</v>
      </c>
      <c r="T1200" s="25" t="e">
        <f ca="1"/>
        <v>#REF!</v>
      </c>
      <c r="U1200" s="25" t="e">
        <f ca="1"/>
        <v>#REF!</v>
      </c>
      <c r="V1200" s="25" t="e">
        <f ca="1"/>
        <v>#REF!</v>
      </c>
      <c r="W1200" s="33" t="e">
        <f ca="1"/>
        <v>#REF!</v>
      </c>
      <c r="X1200" s="33" t="e">
        <f ca="1"/>
        <v>#REF!</v>
      </c>
      <c r="Y1200" s="33" t="e">
        <f ca="1"/>
        <v>#REF!</v>
      </c>
      <c r="Z1200" s="33" t="e">
        <f ca="1"/>
        <v>#REF!</v>
      </c>
      <c r="AA1200" s="33" t="e">
        <f ca="1"/>
        <v>#REF!</v>
      </c>
    </row>
    <row r="1201" spans="1:27" s="70" customFormat="1" ht="11.25" x14ac:dyDescent="0.2">
      <c r="A1201" s="24">
        <v>1195</v>
      </c>
      <c r="B1201" s="24"/>
      <c r="C1201" s="25"/>
      <c r="D1201" s="26"/>
      <c r="E1201" s="25"/>
      <c r="F1201" s="25"/>
      <c r="G1201" s="24"/>
      <c r="H1201" s="25" t="e">
        <f ca="1"/>
        <v>#REF!</v>
      </c>
      <c r="I1201" s="27" t="e">
        <f ca="1"/>
        <v>#REF!</v>
      </c>
      <c r="J1201" s="28" t="e">
        <f ca="1"/>
        <v>#REF!</v>
      </c>
      <c r="K1201" s="27" t="e">
        <f ca="1"/>
        <v>#REF!</v>
      </c>
      <c r="L1201" s="25" t="e">
        <f ca="1"/>
        <v>#REF!</v>
      </c>
      <c r="M1201" s="25" t="e">
        <f ca="1"/>
        <v>#REF!</v>
      </c>
      <c r="N1201" s="25" t="e">
        <f ca="1"/>
        <v>#REF!</v>
      </c>
      <c r="O1201" s="25" t="e">
        <f ca="1"/>
        <v>#REF!</v>
      </c>
      <c r="P1201" s="25" t="e">
        <f ca="1"/>
        <v>#REF!</v>
      </c>
      <c r="Q1201" s="25" t="e">
        <f ca="1"/>
        <v>#REF!</v>
      </c>
      <c r="R1201" s="25" t="e">
        <f ca="1"/>
        <v>#REF!</v>
      </c>
      <c r="S1201" s="25" t="e">
        <f ca="1"/>
        <v>#REF!</v>
      </c>
      <c r="T1201" s="25" t="e">
        <f ca="1"/>
        <v>#REF!</v>
      </c>
      <c r="U1201" s="25" t="e">
        <f ca="1"/>
        <v>#REF!</v>
      </c>
      <c r="V1201" s="25" t="e">
        <f ca="1"/>
        <v>#REF!</v>
      </c>
      <c r="W1201" s="33" t="e">
        <f ca="1"/>
        <v>#REF!</v>
      </c>
      <c r="X1201" s="33" t="e">
        <f ca="1"/>
        <v>#REF!</v>
      </c>
      <c r="Y1201" s="33" t="e">
        <f ca="1"/>
        <v>#REF!</v>
      </c>
      <c r="Z1201" s="33" t="e">
        <f ca="1"/>
        <v>#REF!</v>
      </c>
      <c r="AA1201" s="33" t="e">
        <f ca="1"/>
        <v>#REF!</v>
      </c>
    </row>
    <row r="1202" spans="1:27" s="70" customFormat="1" ht="11.25" x14ac:dyDescent="0.2">
      <c r="A1202" s="24">
        <v>1196</v>
      </c>
      <c r="B1202" s="24"/>
      <c r="C1202" s="25"/>
      <c r="D1202" s="26"/>
      <c r="E1202" s="25"/>
      <c r="F1202" s="25"/>
      <c r="G1202" s="24"/>
      <c r="H1202" s="25" t="e">
        <f ca="1"/>
        <v>#REF!</v>
      </c>
      <c r="I1202" s="27" t="e">
        <f ca="1"/>
        <v>#REF!</v>
      </c>
      <c r="J1202" s="28" t="e">
        <f ca="1"/>
        <v>#REF!</v>
      </c>
      <c r="K1202" s="27" t="e">
        <f ca="1"/>
        <v>#REF!</v>
      </c>
      <c r="L1202" s="25" t="e">
        <f ca="1"/>
        <v>#REF!</v>
      </c>
      <c r="M1202" s="25" t="e">
        <f ca="1"/>
        <v>#REF!</v>
      </c>
      <c r="N1202" s="25" t="e">
        <f ca="1"/>
        <v>#REF!</v>
      </c>
      <c r="O1202" s="25" t="e">
        <f ca="1"/>
        <v>#REF!</v>
      </c>
      <c r="P1202" s="25" t="e">
        <f ca="1"/>
        <v>#REF!</v>
      </c>
      <c r="Q1202" s="25" t="e">
        <f ca="1"/>
        <v>#REF!</v>
      </c>
      <c r="R1202" s="25" t="e">
        <f ca="1"/>
        <v>#REF!</v>
      </c>
      <c r="S1202" s="25" t="e">
        <f ca="1"/>
        <v>#REF!</v>
      </c>
      <c r="T1202" s="25" t="e">
        <f ca="1"/>
        <v>#REF!</v>
      </c>
      <c r="U1202" s="25" t="e">
        <f ca="1"/>
        <v>#REF!</v>
      </c>
      <c r="V1202" s="25" t="e">
        <f ca="1"/>
        <v>#REF!</v>
      </c>
      <c r="W1202" s="33" t="e">
        <f ca="1"/>
        <v>#REF!</v>
      </c>
      <c r="X1202" s="33" t="e">
        <f ca="1"/>
        <v>#REF!</v>
      </c>
      <c r="Y1202" s="33" t="e">
        <f ca="1"/>
        <v>#REF!</v>
      </c>
      <c r="Z1202" s="33" t="e">
        <f ca="1"/>
        <v>#REF!</v>
      </c>
      <c r="AA1202" s="33" t="e">
        <f ca="1"/>
        <v>#REF!</v>
      </c>
    </row>
    <row r="1203" spans="1:27" s="70" customFormat="1" ht="11.25" x14ac:dyDescent="0.2">
      <c r="A1203" s="24">
        <v>1197</v>
      </c>
      <c r="B1203" s="24"/>
      <c r="C1203" s="25"/>
      <c r="D1203" s="26"/>
      <c r="E1203" s="25"/>
      <c r="F1203" s="25"/>
      <c r="G1203" s="24"/>
      <c r="H1203" s="25" t="e">
        <f ca="1"/>
        <v>#REF!</v>
      </c>
      <c r="I1203" s="27" t="e">
        <f ca="1"/>
        <v>#REF!</v>
      </c>
      <c r="J1203" s="28" t="e">
        <f ca="1"/>
        <v>#REF!</v>
      </c>
      <c r="K1203" s="27" t="e">
        <f ca="1"/>
        <v>#REF!</v>
      </c>
      <c r="L1203" s="25" t="e">
        <f ca="1"/>
        <v>#REF!</v>
      </c>
      <c r="M1203" s="25" t="e">
        <f ca="1"/>
        <v>#REF!</v>
      </c>
      <c r="N1203" s="25" t="e">
        <f ca="1"/>
        <v>#REF!</v>
      </c>
      <c r="O1203" s="25" t="e">
        <f ca="1"/>
        <v>#REF!</v>
      </c>
      <c r="P1203" s="25" t="e">
        <f ca="1"/>
        <v>#REF!</v>
      </c>
      <c r="Q1203" s="25" t="e">
        <f ca="1"/>
        <v>#REF!</v>
      </c>
      <c r="R1203" s="25" t="e">
        <f ca="1"/>
        <v>#REF!</v>
      </c>
      <c r="S1203" s="25" t="e">
        <f ca="1"/>
        <v>#REF!</v>
      </c>
      <c r="T1203" s="25" t="e">
        <f ca="1"/>
        <v>#REF!</v>
      </c>
      <c r="U1203" s="25" t="e">
        <f ca="1"/>
        <v>#REF!</v>
      </c>
      <c r="V1203" s="25" t="e">
        <f ca="1"/>
        <v>#REF!</v>
      </c>
      <c r="W1203" s="33" t="e">
        <f ca="1"/>
        <v>#REF!</v>
      </c>
      <c r="X1203" s="33" t="e">
        <f ca="1"/>
        <v>#REF!</v>
      </c>
      <c r="Y1203" s="33" t="e">
        <f ca="1"/>
        <v>#REF!</v>
      </c>
      <c r="Z1203" s="33" t="e">
        <f ca="1"/>
        <v>#REF!</v>
      </c>
      <c r="AA1203" s="33" t="e">
        <f ca="1"/>
        <v>#REF!</v>
      </c>
    </row>
    <row r="1204" spans="1:27" s="70" customFormat="1" ht="11.25" x14ac:dyDescent="0.2">
      <c r="A1204" s="24">
        <v>1198</v>
      </c>
      <c r="B1204" s="24"/>
      <c r="C1204" s="25"/>
      <c r="D1204" s="26"/>
      <c r="E1204" s="25"/>
      <c r="F1204" s="25"/>
      <c r="G1204" s="24"/>
      <c r="H1204" s="25" t="e">
        <f ca="1"/>
        <v>#REF!</v>
      </c>
      <c r="I1204" s="27" t="e">
        <f ca="1"/>
        <v>#REF!</v>
      </c>
      <c r="J1204" s="28" t="e">
        <f ca="1"/>
        <v>#REF!</v>
      </c>
      <c r="K1204" s="27" t="e">
        <f ca="1"/>
        <v>#REF!</v>
      </c>
      <c r="L1204" s="25" t="e">
        <f ca="1"/>
        <v>#REF!</v>
      </c>
      <c r="M1204" s="25" t="e">
        <f ca="1"/>
        <v>#REF!</v>
      </c>
      <c r="N1204" s="25" t="e">
        <f ca="1"/>
        <v>#REF!</v>
      </c>
      <c r="O1204" s="25" t="e">
        <f ca="1"/>
        <v>#REF!</v>
      </c>
      <c r="P1204" s="25" t="e">
        <f ca="1"/>
        <v>#REF!</v>
      </c>
      <c r="Q1204" s="25" t="e">
        <f ca="1"/>
        <v>#REF!</v>
      </c>
      <c r="R1204" s="25" t="e">
        <f ca="1"/>
        <v>#REF!</v>
      </c>
      <c r="S1204" s="25" t="e">
        <f ca="1"/>
        <v>#REF!</v>
      </c>
      <c r="T1204" s="25" t="e">
        <f ca="1"/>
        <v>#REF!</v>
      </c>
      <c r="U1204" s="25" t="e">
        <f ca="1"/>
        <v>#REF!</v>
      </c>
      <c r="V1204" s="25" t="e">
        <f ca="1"/>
        <v>#REF!</v>
      </c>
      <c r="W1204" s="33" t="e">
        <f ca="1"/>
        <v>#REF!</v>
      </c>
      <c r="X1204" s="33" t="e">
        <f ca="1"/>
        <v>#REF!</v>
      </c>
      <c r="Y1204" s="33" t="e">
        <f ca="1"/>
        <v>#REF!</v>
      </c>
      <c r="Z1204" s="33" t="e">
        <f ca="1"/>
        <v>#REF!</v>
      </c>
      <c r="AA1204" s="33" t="e">
        <f ca="1"/>
        <v>#REF!</v>
      </c>
    </row>
    <row r="1205" spans="1:27" s="70" customFormat="1" ht="11.25" x14ac:dyDescent="0.2">
      <c r="A1205" s="24">
        <v>1199</v>
      </c>
      <c r="B1205" s="24"/>
      <c r="C1205" s="25"/>
      <c r="D1205" s="26"/>
      <c r="E1205" s="25"/>
      <c r="F1205" s="25"/>
      <c r="G1205" s="24"/>
      <c r="H1205" s="25" t="e">
        <f ca="1"/>
        <v>#REF!</v>
      </c>
      <c r="I1205" s="27" t="e">
        <f ca="1"/>
        <v>#REF!</v>
      </c>
      <c r="J1205" s="28" t="e">
        <f ca="1"/>
        <v>#REF!</v>
      </c>
      <c r="K1205" s="27" t="e">
        <f ca="1"/>
        <v>#REF!</v>
      </c>
      <c r="L1205" s="25" t="e">
        <f ca="1"/>
        <v>#REF!</v>
      </c>
      <c r="M1205" s="25" t="e">
        <f ca="1"/>
        <v>#REF!</v>
      </c>
      <c r="N1205" s="25" t="e">
        <f ca="1"/>
        <v>#REF!</v>
      </c>
      <c r="O1205" s="25" t="e">
        <f ca="1"/>
        <v>#REF!</v>
      </c>
      <c r="P1205" s="25" t="e">
        <f ca="1"/>
        <v>#REF!</v>
      </c>
      <c r="Q1205" s="25" t="e">
        <f ca="1"/>
        <v>#REF!</v>
      </c>
      <c r="R1205" s="25" t="e">
        <f ca="1"/>
        <v>#REF!</v>
      </c>
      <c r="S1205" s="25" t="e">
        <f ca="1"/>
        <v>#REF!</v>
      </c>
      <c r="T1205" s="25" t="e">
        <f ca="1"/>
        <v>#REF!</v>
      </c>
      <c r="U1205" s="25" t="e">
        <f ca="1"/>
        <v>#REF!</v>
      </c>
      <c r="V1205" s="25" t="e">
        <f ca="1"/>
        <v>#REF!</v>
      </c>
      <c r="W1205" s="33" t="e">
        <f ca="1"/>
        <v>#REF!</v>
      </c>
      <c r="X1205" s="33" t="e">
        <f ca="1"/>
        <v>#REF!</v>
      </c>
      <c r="Y1205" s="33" t="e">
        <f ca="1"/>
        <v>#REF!</v>
      </c>
      <c r="Z1205" s="33" t="e">
        <f ca="1"/>
        <v>#REF!</v>
      </c>
      <c r="AA1205" s="33" t="e">
        <f ca="1"/>
        <v>#REF!</v>
      </c>
    </row>
    <row r="1206" spans="1:27" s="70" customFormat="1" ht="11.25" x14ac:dyDescent="0.2">
      <c r="A1206" s="24">
        <v>1200</v>
      </c>
      <c r="B1206" s="24"/>
      <c r="C1206" s="25"/>
      <c r="D1206" s="26"/>
      <c r="E1206" s="25"/>
      <c r="F1206" s="25"/>
      <c r="G1206" s="24"/>
      <c r="H1206" s="25" t="e">
        <f ca="1"/>
        <v>#REF!</v>
      </c>
      <c r="I1206" s="27" t="e">
        <f ca="1"/>
        <v>#REF!</v>
      </c>
      <c r="J1206" s="28" t="e">
        <f ca="1"/>
        <v>#REF!</v>
      </c>
      <c r="K1206" s="27" t="e">
        <f ca="1"/>
        <v>#REF!</v>
      </c>
      <c r="L1206" s="25" t="e">
        <f ca="1"/>
        <v>#REF!</v>
      </c>
      <c r="M1206" s="25" t="e">
        <f ca="1"/>
        <v>#REF!</v>
      </c>
      <c r="N1206" s="25" t="e">
        <f ca="1"/>
        <v>#REF!</v>
      </c>
      <c r="O1206" s="25" t="e">
        <f ca="1"/>
        <v>#REF!</v>
      </c>
      <c r="P1206" s="25" t="e">
        <f ca="1"/>
        <v>#REF!</v>
      </c>
      <c r="Q1206" s="25" t="e">
        <f ca="1"/>
        <v>#REF!</v>
      </c>
      <c r="R1206" s="25" t="e">
        <f ca="1"/>
        <v>#REF!</v>
      </c>
      <c r="S1206" s="25" t="e">
        <f ca="1"/>
        <v>#REF!</v>
      </c>
      <c r="T1206" s="25" t="e">
        <f ca="1"/>
        <v>#REF!</v>
      </c>
      <c r="U1206" s="25" t="e">
        <f ca="1"/>
        <v>#REF!</v>
      </c>
      <c r="V1206" s="25" t="e">
        <f ca="1"/>
        <v>#REF!</v>
      </c>
      <c r="W1206" s="33" t="e">
        <f ca="1"/>
        <v>#REF!</v>
      </c>
      <c r="X1206" s="33" t="e">
        <f ca="1"/>
        <v>#REF!</v>
      </c>
      <c r="Y1206" s="33" t="e">
        <f ca="1"/>
        <v>#REF!</v>
      </c>
      <c r="Z1206" s="33" t="e">
        <f ca="1"/>
        <v>#REF!</v>
      </c>
      <c r="AA1206" s="33" t="e">
        <f ca="1"/>
        <v>#REF!</v>
      </c>
    </row>
    <row r="1207" spans="1:27" s="70" customFormat="1" ht="11.25" x14ac:dyDescent="0.2">
      <c r="A1207" s="24">
        <v>1201</v>
      </c>
      <c r="B1207" s="24"/>
      <c r="C1207" s="25"/>
      <c r="D1207" s="26"/>
      <c r="E1207" s="25"/>
      <c r="F1207" s="25"/>
      <c r="G1207" s="24"/>
      <c r="H1207" s="25" t="e">
        <f ca="1"/>
        <v>#REF!</v>
      </c>
      <c r="I1207" s="27" t="e">
        <f ca="1"/>
        <v>#REF!</v>
      </c>
      <c r="J1207" s="28" t="e">
        <f ca="1"/>
        <v>#REF!</v>
      </c>
      <c r="K1207" s="27" t="e">
        <f ca="1"/>
        <v>#REF!</v>
      </c>
      <c r="L1207" s="25" t="e">
        <f ca="1"/>
        <v>#REF!</v>
      </c>
      <c r="M1207" s="25" t="e">
        <f ca="1"/>
        <v>#REF!</v>
      </c>
      <c r="N1207" s="25" t="e">
        <f ca="1"/>
        <v>#REF!</v>
      </c>
      <c r="O1207" s="25" t="e">
        <f ca="1"/>
        <v>#REF!</v>
      </c>
      <c r="P1207" s="25" t="e">
        <f ca="1"/>
        <v>#REF!</v>
      </c>
      <c r="Q1207" s="25" t="e">
        <f ca="1"/>
        <v>#REF!</v>
      </c>
      <c r="R1207" s="25" t="e">
        <f ca="1"/>
        <v>#REF!</v>
      </c>
      <c r="S1207" s="25" t="e">
        <f ca="1"/>
        <v>#REF!</v>
      </c>
      <c r="T1207" s="25" t="e">
        <f ca="1"/>
        <v>#REF!</v>
      </c>
      <c r="U1207" s="25" t="e">
        <f ca="1"/>
        <v>#REF!</v>
      </c>
      <c r="V1207" s="25" t="e">
        <f ca="1"/>
        <v>#REF!</v>
      </c>
      <c r="W1207" s="33" t="e">
        <f ca="1"/>
        <v>#REF!</v>
      </c>
      <c r="X1207" s="33" t="e">
        <f ca="1"/>
        <v>#REF!</v>
      </c>
      <c r="Y1207" s="33" t="e">
        <f ca="1"/>
        <v>#REF!</v>
      </c>
      <c r="Z1207" s="33" t="e">
        <f ca="1"/>
        <v>#REF!</v>
      </c>
      <c r="AA1207" s="33" t="e">
        <f ca="1"/>
        <v>#REF!</v>
      </c>
    </row>
    <row r="1208" spans="1:27" s="70" customFormat="1" ht="11.25" x14ac:dyDescent="0.2">
      <c r="A1208" s="24">
        <v>1202</v>
      </c>
      <c r="B1208" s="24"/>
      <c r="C1208" s="25"/>
      <c r="D1208" s="26"/>
      <c r="E1208" s="25"/>
      <c r="F1208" s="25"/>
      <c r="G1208" s="24"/>
      <c r="H1208" s="25" t="e">
        <f ca="1"/>
        <v>#REF!</v>
      </c>
      <c r="I1208" s="27" t="e">
        <f ca="1"/>
        <v>#REF!</v>
      </c>
      <c r="J1208" s="28" t="e">
        <f ca="1"/>
        <v>#REF!</v>
      </c>
      <c r="K1208" s="27" t="e">
        <f ca="1"/>
        <v>#REF!</v>
      </c>
      <c r="L1208" s="25" t="e">
        <f ca="1"/>
        <v>#REF!</v>
      </c>
      <c r="M1208" s="25" t="e">
        <f ca="1"/>
        <v>#REF!</v>
      </c>
      <c r="N1208" s="25" t="e">
        <f ca="1"/>
        <v>#REF!</v>
      </c>
      <c r="O1208" s="25" t="e">
        <f ca="1"/>
        <v>#REF!</v>
      </c>
      <c r="P1208" s="25" t="e">
        <f ca="1"/>
        <v>#REF!</v>
      </c>
      <c r="Q1208" s="25" t="e">
        <f ca="1"/>
        <v>#REF!</v>
      </c>
      <c r="R1208" s="25" t="e">
        <f ca="1"/>
        <v>#REF!</v>
      </c>
      <c r="S1208" s="25" t="e">
        <f ca="1"/>
        <v>#REF!</v>
      </c>
      <c r="T1208" s="25" t="e">
        <f ca="1"/>
        <v>#REF!</v>
      </c>
      <c r="U1208" s="25" t="e">
        <f ca="1"/>
        <v>#REF!</v>
      </c>
      <c r="V1208" s="25" t="e">
        <f ca="1"/>
        <v>#REF!</v>
      </c>
      <c r="W1208" s="33" t="e">
        <f ca="1"/>
        <v>#REF!</v>
      </c>
      <c r="X1208" s="33" t="e">
        <f ca="1"/>
        <v>#REF!</v>
      </c>
      <c r="Y1208" s="33" t="e">
        <f ca="1"/>
        <v>#REF!</v>
      </c>
      <c r="Z1208" s="33" t="e">
        <f ca="1"/>
        <v>#REF!</v>
      </c>
      <c r="AA1208" s="33" t="e">
        <f ca="1"/>
        <v>#REF!</v>
      </c>
    </row>
    <row r="1209" spans="1:27" s="70" customFormat="1" ht="11.25" x14ac:dyDescent="0.2">
      <c r="A1209" s="24">
        <v>1203</v>
      </c>
      <c r="B1209" s="24"/>
      <c r="C1209" s="25"/>
      <c r="D1209" s="26"/>
      <c r="E1209" s="25"/>
      <c r="F1209" s="25"/>
      <c r="G1209" s="24"/>
      <c r="H1209" s="25" t="e">
        <f ca="1"/>
        <v>#REF!</v>
      </c>
      <c r="I1209" s="27" t="e">
        <f ca="1"/>
        <v>#REF!</v>
      </c>
      <c r="J1209" s="28" t="e">
        <f ca="1"/>
        <v>#REF!</v>
      </c>
      <c r="K1209" s="27" t="e">
        <f ca="1"/>
        <v>#REF!</v>
      </c>
      <c r="L1209" s="25" t="e">
        <f ca="1"/>
        <v>#REF!</v>
      </c>
      <c r="M1209" s="25" t="e">
        <f ca="1"/>
        <v>#REF!</v>
      </c>
      <c r="N1209" s="25" t="e">
        <f ca="1"/>
        <v>#REF!</v>
      </c>
      <c r="O1209" s="25" t="e">
        <f ca="1"/>
        <v>#REF!</v>
      </c>
      <c r="P1209" s="25" t="e">
        <f ca="1"/>
        <v>#REF!</v>
      </c>
      <c r="Q1209" s="25" t="e">
        <f ca="1"/>
        <v>#REF!</v>
      </c>
      <c r="R1209" s="25" t="e">
        <f ca="1"/>
        <v>#REF!</v>
      </c>
      <c r="S1209" s="25" t="e">
        <f ca="1"/>
        <v>#REF!</v>
      </c>
      <c r="T1209" s="25" t="e">
        <f ca="1"/>
        <v>#REF!</v>
      </c>
      <c r="U1209" s="25" t="e">
        <f ca="1"/>
        <v>#REF!</v>
      </c>
      <c r="V1209" s="25" t="e">
        <f ca="1"/>
        <v>#REF!</v>
      </c>
      <c r="W1209" s="33" t="e">
        <f ca="1"/>
        <v>#REF!</v>
      </c>
      <c r="X1209" s="33" t="e">
        <f ca="1"/>
        <v>#REF!</v>
      </c>
      <c r="Y1209" s="33" t="e">
        <f ca="1"/>
        <v>#REF!</v>
      </c>
      <c r="Z1209" s="33" t="e">
        <f ca="1"/>
        <v>#REF!</v>
      </c>
      <c r="AA1209" s="33" t="e">
        <f ca="1"/>
        <v>#REF!</v>
      </c>
    </row>
    <row r="1210" spans="1:27" s="70" customFormat="1" ht="11.25" x14ac:dyDescent="0.2">
      <c r="A1210" s="24">
        <v>1204</v>
      </c>
      <c r="B1210" s="24"/>
      <c r="C1210" s="25"/>
      <c r="D1210" s="26"/>
      <c r="E1210" s="25"/>
      <c r="F1210" s="25"/>
      <c r="G1210" s="24"/>
      <c r="H1210" s="25" t="e">
        <f ca="1"/>
        <v>#REF!</v>
      </c>
      <c r="I1210" s="27" t="e">
        <f ca="1"/>
        <v>#REF!</v>
      </c>
      <c r="J1210" s="25" t="e">
        <f ca="1"/>
        <v>#REF!</v>
      </c>
      <c r="K1210" s="27" t="e">
        <f ca="1"/>
        <v>#REF!</v>
      </c>
      <c r="L1210" s="25" t="e">
        <f ca="1"/>
        <v>#REF!</v>
      </c>
      <c r="M1210" s="25" t="e">
        <f ca="1"/>
        <v>#REF!</v>
      </c>
      <c r="N1210" s="25" t="e">
        <f ca="1"/>
        <v>#REF!</v>
      </c>
      <c r="O1210" s="25" t="e">
        <f ca="1"/>
        <v>#REF!</v>
      </c>
      <c r="P1210" s="25" t="e">
        <f ca="1"/>
        <v>#REF!</v>
      </c>
      <c r="Q1210" s="25" t="e">
        <f ca="1"/>
        <v>#REF!</v>
      </c>
      <c r="R1210" s="25" t="e">
        <f ca="1"/>
        <v>#REF!</v>
      </c>
      <c r="S1210" s="25" t="e">
        <f ca="1"/>
        <v>#REF!</v>
      </c>
      <c r="T1210" s="25" t="e">
        <f ca="1"/>
        <v>#REF!</v>
      </c>
      <c r="U1210" s="25" t="e">
        <f ca="1"/>
        <v>#REF!</v>
      </c>
      <c r="V1210" s="25" t="e">
        <f ca="1"/>
        <v>#REF!</v>
      </c>
      <c r="W1210" s="33" t="e">
        <f ca="1"/>
        <v>#REF!</v>
      </c>
      <c r="X1210" s="33" t="e">
        <f ca="1"/>
        <v>#REF!</v>
      </c>
      <c r="Y1210" s="33" t="e">
        <f ca="1"/>
        <v>#REF!</v>
      </c>
      <c r="Z1210" s="33" t="e">
        <f ca="1"/>
        <v>#REF!</v>
      </c>
      <c r="AA1210" s="33" t="e">
        <f ca="1"/>
        <v>#REF!</v>
      </c>
    </row>
    <row r="1211" spans="1:27" s="70" customFormat="1" ht="11.25" x14ac:dyDescent="0.2">
      <c r="A1211" s="24">
        <v>1205</v>
      </c>
      <c r="B1211" s="27"/>
      <c r="C1211" s="28"/>
      <c r="D1211" s="71"/>
      <c r="E1211" s="28"/>
      <c r="F1211" s="28"/>
      <c r="G1211" s="27"/>
      <c r="H1211" s="28" t="e">
        <f ca="1"/>
        <v>#REF!</v>
      </c>
      <c r="I1211" s="27" t="e">
        <f ca="1"/>
        <v>#REF!</v>
      </c>
      <c r="J1211" s="28" t="e">
        <f ca="1"/>
        <v>#REF!</v>
      </c>
      <c r="K1211" s="27" t="e">
        <f ca="1"/>
        <v>#REF!</v>
      </c>
      <c r="L1211" s="25" t="e">
        <f ca="1"/>
        <v>#REF!</v>
      </c>
      <c r="M1211" s="25" t="e">
        <f ca="1"/>
        <v>#REF!</v>
      </c>
      <c r="N1211" s="25" t="e">
        <f ca="1"/>
        <v>#REF!</v>
      </c>
      <c r="O1211" s="25" t="e">
        <f ca="1"/>
        <v>#REF!</v>
      </c>
      <c r="P1211" s="25" t="e">
        <f ca="1"/>
        <v>#REF!</v>
      </c>
      <c r="Q1211" s="25" t="e">
        <f ca="1"/>
        <v>#REF!</v>
      </c>
      <c r="R1211" s="25" t="e">
        <f ca="1"/>
        <v>#REF!</v>
      </c>
      <c r="S1211" s="25" t="e">
        <f ca="1"/>
        <v>#REF!</v>
      </c>
      <c r="T1211" s="25" t="e">
        <f ca="1"/>
        <v>#REF!</v>
      </c>
      <c r="U1211" s="25" t="e">
        <f ca="1"/>
        <v>#REF!</v>
      </c>
      <c r="V1211" s="25" t="e">
        <f ca="1"/>
        <v>#REF!</v>
      </c>
      <c r="W1211" s="33" t="e">
        <f ca="1"/>
        <v>#REF!</v>
      </c>
      <c r="X1211" s="33" t="e">
        <f ca="1"/>
        <v>#REF!</v>
      </c>
      <c r="Y1211" s="33" t="e">
        <f ca="1"/>
        <v>#REF!</v>
      </c>
      <c r="Z1211" s="33" t="e">
        <f ca="1"/>
        <v>#REF!</v>
      </c>
      <c r="AA1211" s="33" t="e">
        <f ca="1"/>
        <v>#REF!</v>
      </c>
    </row>
    <row r="1212" spans="1:27" s="70" customFormat="1" ht="11.25" x14ac:dyDescent="0.2">
      <c r="A1212" s="24">
        <v>1206</v>
      </c>
      <c r="B1212" s="27"/>
      <c r="C1212" s="28"/>
      <c r="D1212" s="71"/>
      <c r="E1212" s="28"/>
      <c r="F1212" s="28"/>
      <c r="G1212" s="27"/>
      <c r="H1212" s="28" t="e">
        <f ca="1"/>
        <v>#REF!</v>
      </c>
      <c r="I1212" s="27" t="e">
        <f ca="1"/>
        <v>#REF!</v>
      </c>
      <c r="J1212" s="28" t="e">
        <f ca="1"/>
        <v>#REF!</v>
      </c>
      <c r="K1212" s="27" t="e">
        <f ca="1"/>
        <v>#REF!</v>
      </c>
      <c r="L1212" s="25" t="e">
        <f ca="1"/>
        <v>#REF!</v>
      </c>
      <c r="M1212" s="25" t="e">
        <f ca="1"/>
        <v>#REF!</v>
      </c>
      <c r="N1212" s="25" t="e">
        <f ca="1"/>
        <v>#REF!</v>
      </c>
      <c r="O1212" s="25" t="e">
        <f ca="1"/>
        <v>#REF!</v>
      </c>
      <c r="P1212" s="25" t="e">
        <f ca="1"/>
        <v>#REF!</v>
      </c>
      <c r="Q1212" s="25" t="e">
        <f ca="1"/>
        <v>#REF!</v>
      </c>
      <c r="R1212" s="25" t="e">
        <f ca="1"/>
        <v>#REF!</v>
      </c>
      <c r="S1212" s="25" t="e">
        <f ca="1"/>
        <v>#REF!</v>
      </c>
      <c r="T1212" s="25" t="e">
        <f ca="1"/>
        <v>#REF!</v>
      </c>
      <c r="U1212" s="25" t="e">
        <f ca="1"/>
        <v>#REF!</v>
      </c>
      <c r="V1212" s="25" t="e">
        <f ca="1"/>
        <v>#REF!</v>
      </c>
      <c r="W1212" s="33" t="e">
        <f ca="1"/>
        <v>#REF!</v>
      </c>
      <c r="X1212" s="33" t="e">
        <f ca="1"/>
        <v>#REF!</v>
      </c>
      <c r="Y1212" s="33" t="e">
        <f ca="1"/>
        <v>#REF!</v>
      </c>
      <c r="Z1212" s="33" t="e">
        <f ca="1"/>
        <v>#REF!</v>
      </c>
      <c r="AA1212" s="33" t="e">
        <f ca="1"/>
        <v>#REF!</v>
      </c>
    </row>
    <row r="1213" spans="1:27" s="70" customFormat="1" ht="11.25" x14ac:dyDescent="0.2">
      <c r="A1213" s="24">
        <v>1207</v>
      </c>
      <c r="B1213" s="27"/>
      <c r="C1213" s="28"/>
      <c r="D1213" s="71"/>
      <c r="E1213" s="28"/>
      <c r="F1213" s="28"/>
      <c r="G1213" s="27"/>
      <c r="H1213" s="28" t="e">
        <f ca="1"/>
        <v>#REF!</v>
      </c>
      <c r="I1213" s="27" t="e">
        <f ca="1"/>
        <v>#REF!</v>
      </c>
      <c r="J1213" s="28" t="e">
        <f ca="1"/>
        <v>#REF!</v>
      </c>
      <c r="K1213" s="27" t="e">
        <f ca="1"/>
        <v>#REF!</v>
      </c>
      <c r="L1213" s="25" t="e">
        <f ca="1"/>
        <v>#REF!</v>
      </c>
      <c r="M1213" s="25" t="e">
        <f ca="1"/>
        <v>#REF!</v>
      </c>
      <c r="N1213" s="25" t="e">
        <f ca="1"/>
        <v>#REF!</v>
      </c>
      <c r="O1213" s="25" t="e">
        <f ca="1"/>
        <v>#REF!</v>
      </c>
      <c r="P1213" s="25" t="e">
        <f ca="1"/>
        <v>#REF!</v>
      </c>
      <c r="Q1213" s="25" t="e">
        <f ca="1"/>
        <v>#REF!</v>
      </c>
      <c r="R1213" s="25" t="e">
        <f ca="1"/>
        <v>#REF!</v>
      </c>
      <c r="S1213" s="25" t="e">
        <f ca="1"/>
        <v>#REF!</v>
      </c>
      <c r="T1213" s="25" t="e">
        <f ca="1"/>
        <v>#REF!</v>
      </c>
      <c r="U1213" s="25" t="e">
        <f ca="1"/>
        <v>#REF!</v>
      </c>
      <c r="V1213" s="25" t="e">
        <f ca="1"/>
        <v>#REF!</v>
      </c>
      <c r="W1213" s="33" t="e">
        <f ca="1"/>
        <v>#REF!</v>
      </c>
      <c r="X1213" s="33" t="e">
        <f ca="1"/>
        <v>#REF!</v>
      </c>
      <c r="Y1213" s="33" t="e">
        <f ca="1"/>
        <v>#REF!</v>
      </c>
      <c r="Z1213" s="33" t="e">
        <f ca="1"/>
        <v>#REF!</v>
      </c>
      <c r="AA1213" s="33" t="e">
        <f ca="1"/>
        <v>#REF!</v>
      </c>
    </row>
    <row r="1214" spans="1:27" s="70" customFormat="1" ht="11.25" x14ac:dyDescent="0.2">
      <c r="A1214" s="24">
        <v>1208</v>
      </c>
      <c r="B1214" s="27"/>
      <c r="C1214" s="28"/>
      <c r="D1214" s="71"/>
      <c r="E1214" s="28"/>
      <c r="F1214" s="28"/>
      <c r="G1214" s="27"/>
      <c r="H1214" s="28" t="e">
        <f ca="1"/>
        <v>#REF!</v>
      </c>
      <c r="I1214" s="27" t="e">
        <f ca="1"/>
        <v>#REF!</v>
      </c>
      <c r="J1214" s="28" t="e">
        <f ca="1"/>
        <v>#REF!</v>
      </c>
      <c r="K1214" s="27" t="e">
        <f ca="1"/>
        <v>#REF!</v>
      </c>
      <c r="L1214" s="25" t="e">
        <f ca="1"/>
        <v>#REF!</v>
      </c>
      <c r="M1214" s="25" t="e">
        <f ca="1"/>
        <v>#REF!</v>
      </c>
      <c r="N1214" s="25" t="e">
        <f ca="1"/>
        <v>#REF!</v>
      </c>
      <c r="O1214" s="25" t="e">
        <f ca="1"/>
        <v>#REF!</v>
      </c>
      <c r="P1214" s="25" t="e">
        <f ca="1"/>
        <v>#REF!</v>
      </c>
      <c r="Q1214" s="25" t="e">
        <f ca="1"/>
        <v>#REF!</v>
      </c>
      <c r="R1214" s="25" t="e">
        <f ca="1"/>
        <v>#REF!</v>
      </c>
      <c r="S1214" s="25" t="e">
        <f ca="1"/>
        <v>#REF!</v>
      </c>
      <c r="T1214" s="25" t="e">
        <f ca="1"/>
        <v>#REF!</v>
      </c>
      <c r="U1214" s="25" t="e">
        <f ca="1"/>
        <v>#REF!</v>
      </c>
      <c r="V1214" s="25" t="e">
        <f ca="1"/>
        <v>#REF!</v>
      </c>
      <c r="W1214" s="33" t="e">
        <f ca="1"/>
        <v>#REF!</v>
      </c>
      <c r="X1214" s="33" t="e">
        <f ca="1"/>
        <v>#REF!</v>
      </c>
      <c r="Y1214" s="33" t="e">
        <f ca="1"/>
        <v>#REF!</v>
      </c>
      <c r="Z1214" s="33" t="e">
        <f ca="1"/>
        <v>#REF!</v>
      </c>
      <c r="AA1214" s="33" t="e">
        <f ca="1"/>
        <v>#REF!</v>
      </c>
    </row>
    <row r="1215" spans="1:27" s="70" customFormat="1" ht="11.25" x14ac:dyDescent="0.2">
      <c r="A1215" s="24">
        <v>1209</v>
      </c>
      <c r="B1215" s="27"/>
      <c r="C1215" s="28"/>
      <c r="D1215" s="71"/>
      <c r="E1215" s="28"/>
      <c r="F1215" s="28"/>
      <c r="G1215" s="27"/>
      <c r="H1215" s="28" t="e">
        <f ca="1"/>
        <v>#REF!</v>
      </c>
      <c r="I1215" s="27" t="e">
        <f ca="1"/>
        <v>#REF!</v>
      </c>
      <c r="J1215" s="28" t="e">
        <f ca="1"/>
        <v>#REF!</v>
      </c>
      <c r="K1215" s="27" t="e">
        <f ca="1"/>
        <v>#REF!</v>
      </c>
      <c r="L1215" s="25" t="e">
        <f ca="1"/>
        <v>#REF!</v>
      </c>
      <c r="M1215" s="25" t="e">
        <f ca="1"/>
        <v>#REF!</v>
      </c>
      <c r="N1215" s="25" t="e">
        <f ca="1"/>
        <v>#REF!</v>
      </c>
      <c r="O1215" s="25" t="e">
        <f ca="1"/>
        <v>#REF!</v>
      </c>
      <c r="P1215" s="25" t="e">
        <f ca="1"/>
        <v>#REF!</v>
      </c>
      <c r="Q1215" s="25" t="e">
        <f ca="1"/>
        <v>#REF!</v>
      </c>
      <c r="R1215" s="25" t="e">
        <f ca="1"/>
        <v>#REF!</v>
      </c>
      <c r="S1215" s="25" t="e">
        <f ca="1"/>
        <v>#REF!</v>
      </c>
      <c r="T1215" s="25" t="e">
        <f ca="1"/>
        <v>#REF!</v>
      </c>
      <c r="U1215" s="25" t="e">
        <f ca="1"/>
        <v>#REF!</v>
      </c>
      <c r="V1215" s="25" t="e">
        <f ca="1"/>
        <v>#REF!</v>
      </c>
      <c r="W1215" s="33" t="e">
        <f ca="1"/>
        <v>#REF!</v>
      </c>
      <c r="X1215" s="33" t="e">
        <f ca="1"/>
        <v>#REF!</v>
      </c>
      <c r="Y1215" s="33" t="e">
        <f ca="1"/>
        <v>#REF!</v>
      </c>
      <c r="Z1215" s="33" t="e">
        <f ca="1"/>
        <v>#REF!</v>
      </c>
      <c r="AA1215" s="33" t="e">
        <f ca="1"/>
        <v>#REF!</v>
      </c>
    </row>
    <row r="1216" spans="1:27" s="70" customFormat="1" ht="11.25" x14ac:dyDescent="0.2">
      <c r="A1216" s="24">
        <v>1210</v>
      </c>
      <c r="B1216" s="27"/>
      <c r="C1216" s="28"/>
      <c r="D1216" s="71"/>
      <c r="E1216" s="28"/>
      <c r="F1216" s="28"/>
      <c r="G1216" s="27"/>
      <c r="H1216" s="28" t="e">
        <f ca="1"/>
        <v>#REF!</v>
      </c>
      <c r="I1216" s="27" t="e">
        <f ca="1"/>
        <v>#REF!</v>
      </c>
      <c r="J1216" s="28" t="e">
        <f ca="1"/>
        <v>#REF!</v>
      </c>
      <c r="K1216" s="27" t="e">
        <f ca="1"/>
        <v>#REF!</v>
      </c>
      <c r="L1216" s="25" t="e">
        <f ca="1"/>
        <v>#REF!</v>
      </c>
      <c r="M1216" s="25" t="e">
        <f ca="1"/>
        <v>#REF!</v>
      </c>
      <c r="N1216" s="25" t="e">
        <f ca="1"/>
        <v>#REF!</v>
      </c>
      <c r="O1216" s="25" t="e">
        <f ca="1"/>
        <v>#REF!</v>
      </c>
      <c r="P1216" s="25" t="e">
        <f ca="1"/>
        <v>#REF!</v>
      </c>
      <c r="Q1216" s="25" t="e">
        <f ca="1"/>
        <v>#REF!</v>
      </c>
      <c r="R1216" s="25" t="e">
        <f ca="1"/>
        <v>#REF!</v>
      </c>
      <c r="S1216" s="25" t="e">
        <f ca="1"/>
        <v>#REF!</v>
      </c>
      <c r="T1216" s="25" t="e">
        <f ca="1"/>
        <v>#REF!</v>
      </c>
      <c r="U1216" s="25" t="e">
        <f ca="1"/>
        <v>#REF!</v>
      </c>
      <c r="V1216" s="25" t="e">
        <f ca="1"/>
        <v>#REF!</v>
      </c>
      <c r="W1216" s="33" t="e">
        <f ca="1"/>
        <v>#REF!</v>
      </c>
      <c r="X1216" s="33" t="e">
        <f ca="1"/>
        <v>#REF!</v>
      </c>
      <c r="Y1216" s="33" t="e">
        <f ca="1"/>
        <v>#REF!</v>
      </c>
      <c r="Z1216" s="33" t="e">
        <f ca="1"/>
        <v>#REF!</v>
      </c>
      <c r="AA1216" s="33" t="e">
        <f ca="1"/>
        <v>#REF!</v>
      </c>
    </row>
    <row r="1217" spans="1:27" s="70" customFormat="1" ht="11.25" x14ac:dyDescent="0.2">
      <c r="A1217" s="24">
        <v>1211</v>
      </c>
      <c r="B1217" s="27"/>
      <c r="C1217" s="28"/>
      <c r="D1217" s="71"/>
      <c r="E1217" s="28"/>
      <c r="F1217" s="28"/>
      <c r="G1217" s="27"/>
      <c r="H1217" s="28" t="e">
        <f ca="1"/>
        <v>#REF!</v>
      </c>
      <c r="I1217" s="27" t="e">
        <f ca="1"/>
        <v>#REF!</v>
      </c>
      <c r="J1217" s="28" t="e">
        <f ca="1"/>
        <v>#REF!</v>
      </c>
      <c r="K1217" s="27" t="e">
        <f ca="1"/>
        <v>#REF!</v>
      </c>
      <c r="L1217" s="25" t="e">
        <f ca="1"/>
        <v>#REF!</v>
      </c>
      <c r="M1217" s="25" t="e">
        <f ca="1"/>
        <v>#REF!</v>
      </c>
      <c r="N1217" s="25" t="e">
        <f ca="1"/>
        <v>#REF!</v>
      </c>
      <c r="O1217" s="25" t="e">
        <f ca="1"/>
        <v>#REF!</v>
      </c>
      <c r="P1217" s="25" t="e">
        <f ca="1"/>
        <v>#REF!</v>
      </c>
      <c r="Q1217" s="25" t="e">
        <f ca="1"/>
        <v>#REF!</v>
      </c>
      <c r="R1217" s="25" t="e">
        <f ca="1"/>
        <v>#REF!</v>
      </c>
      <c r="S1217" s="25" t="e">
        <f ca="1"/>
        <v>#REF!</v>
      </c>
      <c r="T1217" s="25" t="e">
        <f ca="1"/>
        <v>#REF!</v>
      </c>
      <c r="U1217" s="25" t="e">
        <f ca="1"/>
        <v>#REF!</v>
      </c>
      <c r="V1217" s="25" t="e">
        <f ca="1"/>
        <v>#REF!</v>
      </c>
      <c r="W1217" s="33" t="e">
        <f ca="1"/>
        <v>#REF!</v>
      </c>
      <c r="X1217" s="33" t="e">
        <f ca="1"/>
        <v>#REF!</v>
      </c>
      <c r="Y1217" s="33" t="e">
        <f ca="1"/>
        <v>#REF!</v>
      </c>
      <c r="Z1217" s="33" t="e">
        <f ca="1"/>
        <v>#REF!</v>
      </c>
      <c r="AA1217" s="33" t="e">
        <f ca="1"/>
        <v>#REF!</v>
      </c>
    </row>
    <row r="1218" spans="1:27" s="70" customFormat="1" ht="11.25" x14ac:dyDescent="0.2">
      <c r="A1218" s="24">
        <v>1212</v>
      </c>
      <c r="B1218" s="27"/>
      <c r="C1218" s="28"/>
      <c r="D1218" s="71"/>
      <c r="E1218" s="28"/>
      <c r="F1218" s="28"/>
      <c r="G1218" s="27"/>
      <c r="H1218" s="28" t="e">
        <f ca="1"/>
        <v>#REF!</v>
      </c>
      <c r="I1218" s="27" t="e">
        <f ca="1"/>
        <v>#REF!</v>
      </c>
      <c r="J1218" s="28" t="e">
        <f ca="1"/>
        <v>#REF!</v>
      </c>
      <c r="K1218" s="27" t="e">
        <f ca="1"/>
        <v>#REF!</v>
      </c>
      <c r="L1218" s="25" t="e">
        <f ca="1"/>
        <v>#REF!</v>
      </c>
      <c r="M1218" s="25" t="e">
        <f ca="1"/>
        <v>#REF!</v>
      </c>
      <c r="N1218" s="25" t="e">
        <f ca="1"/>
        <v>#REF!</v>
      </c>
      <c r="O1218" s="25" t="e">
        <f ca="1"/>
        <v>#REF!</v>
      </c>
      <c r="P1218" s="25" t="e">
        <f ca="1"/>
        <v>#REF!</v>
      </c>
      <c r="Q1218" s="25" t="e">
        <f ca="1"/>
        <v>#REF!</v>
      </c>
      <c r="R1218" s="25" t="e">
        <f ca="1"/>
        <v>#REF!</v>
      </c>
      <c r="S1218" s="25" t="e">
        <f ca="1"/>
        <v>#REF!</v>
      </c>
      <c r="T1218" s="25" t="e">
        <f ca="1"/>
        <v>#REF!</v>
      </c>
      <c r="U1218" s="25" t="e">
        <f ca="1"/>
        <v>#REF!</v>
      </c>
      <c r="V1218" s="25" t="e">
        <f ca="1"/>
        <v>#REF!</v>
      </c>
      <c r="W1218" s="33" t="e">
        <f ca="1"/>
        <v>#REF!</v>
      </c>
      <c r="X1218" s="33" t="e">
        <f ca="1"/>
        <v>#REF!</v>
      </c>
      <c r="Y1218" s="33" t="e">
        <f ca="1"/>
        <v>#REF!</v>
      </c>
      <c r="Z1218" s="33" t="e">
        <f ca="1"/>
        <v>#REF!</v>
      </c>
      <c r="AA1218" s="33" t="e">
        <f ca="1"/>
        <v>#REF!</v>
      </c>
    </row>
    <row r="1219" spans="1:27" s="70" customFormat="1" ht="11.25" x14ac:dyDescent="0.2">
      <c r="A1219" s="24">
        <v>1213</v>
      </c>
      <c r="B1219" s="27"/>
      <c r="C1219" s="28"/>
      <c r="D1219" s="71"/>
      <c r="E1219" s="28"/>
      <c r="F1219" s="28"/>
      <c r="G1219" s="27"/>
      <c r="H1219" s="28" t="e">
        <f ca="1"/>
        <v>#REF!</v>
      </c>
      <c r="I1219" s="27" t="e">
        <f ca="1"/>
        <v>#REF!</v>
      </c>
      <c r="J1219" s="28" t="e">
        <f ca="1"/>
        <v>#REF!</v>
      </c>
      <c r="K1219" s="27" t="e">
        <f ca="1"/>
        <v>#REF!</v>
      </c>
      <c r="L1219" s="25" t="e">
        <f ca="1"/>
        <v>#REF!</v>
      </c>
      <c r="M1219" s="25" t="e">
        <f ca="1"/>
        <v>#REF!</v>
      </c>
      <c r="N1219" s="25" t="e">
        <f ca="1"/>
        <v>#REF!</v>
      </c>
      <c r="O1219" s="25" t="e">
        <f ca="1"/>
        <v>#REF!</v>
      </c>
      <c r="P1219" s="25" t="e">
        <f ca="1"/>
        <v>#REF!</v>
      </c>
      <c r="Q1219" s="25" t="e">
        <f ca="1"/>
        <v>#REF!</v>
      </c>
      <c r="R1219" s="25" t="e">
        <f ca="1"/>
        <v>#REF!</v>
      </c>
      <c r="S1219" s="25" t="e">
        <f ca="1"/>
        <v>#REF!</v>
      </c>
      <c r="T1219" s="25" t="e">
        <f ca="1"/>
        <v>#REF!</v>
      </c>
      <c r="U1219" s="25" t="e">
        <f ca="1"/>
        <v>#REF!</v>
      </c>
      <c r="V1219" s="25" t="e">
        <f ca="1"/>
        <v>#REF!</v>
      </c>
      <c r="W1219" s="33" t="e">
        <f ca="1"/>
        <v>#REF!</v>
      </c>
      <c r="X1219" s="33" t="e">
        <f ca="1"/>
        <v>#REF!</v>
      </c>
      <c r="Y1219" s="33" t="e">
        <f ca="1"/>
        <v>#REF!</v>
      </c>
      <c r="Z1219" s="33" t="e">
        <f ca="1"/>
        <v>#REF!</v>
      </c>
      <c r="AA1219" s="33" t="e">
        <f ca="1"/>
        <v>#REF!</v>
      </c>
    </row>
    <row r="1220" spans="1:27" s="70" customFormat="1" ht="11.25" x14ac:dyDescent="0.2">
      <c r="A1220" s="24">
        <v>1214</v>
      </c>
      <c r="B1220" s="27"/>
      <c r="C1220" s="28"/>
      <c r="D1220" s="71"/>
      <c r="E1220" s="28"/>
      <c r="F1220" s="28"/>
      <c r="G1220" s="27"/>
      <c r="H1220" s="28" t="e">
        <f ca="1"/>
        <v>#REF!</v>
      </c>
      <c r="I1220" s="27" t="e">
        <f ca="1"/>
        <v>#REF!</v>
      </c>
      <c r="J1220" s="28" t="e">
        <f ca="1"/>
        <v>#REF!</v>
      </c>
      <c r="K1220" s="27" t="e">
        <f ca="1"/>
        <v>#REF!</v>
      </c>
      <c r="L1220" s="25" t="e">
        <f ca="1"/>
        <v>#REF!</v>
      </c>
      <c r="M1220" s="25" t="e">
        <f ca="1"/>
        <v>#REF!</v>
      </c>
      <c r="N1220" s="25" t="e">
        <f ca="1"/>
        <v>#REF!</v>
      </c>
      <c r="O1220" s="25" t="e">
        <f ca="1"/>
        <v>#REF!</v>
      </c>
      <c r="P1220" s="25" t="e">
        <f ca="1"/>
        <v>#REF!</v>
      </c>
      <c r="Q1220" s="25" t="e">
        <f ca="1"/>
        <v>#REF!</v>
      </c>
      <c r="R1220" s="25" t="e">
        <f ca="1"/>
        <v>#REF!</v>
      </c>
      <c r="S1220" s="25" t="e">
        <f ca="1"/>
        <v>#REF!</v>
      </c>
      <c r="T1220" s="25" t="e">
        <f ca="1"/>
        <v>#REF!</v>
      </c>
      <c r="U1220" s="25" t="e">
        <f ca="1"/>
        <v>#REF!</v>
      </c>
      <c r="V1220" s="25" t="e">
        <f ca="1"/>
        <v>#REF!</v>
      </c>
      <c r="W1220" s="33" t="e">
        <f ca="1"/>
        <v>#REF!</v>
      </c>
      <c r="X1220" s="33" t="e">
        <f ca="1"/>
        <v>#REF!</v>
      </c>
      <c r="Y1220" s="33" t="e">
        <f ca="1"/>
        <v>#REF!</v>
      </c>
      <c r="Z1220" s="33" t="e">
        <f ca="1"/>
        <v>#REF!</v>
      </c>
      <c r="AA1220" s="33" t="e">
        <f ca="1"/>
        <v>#REF!</v>
      </c>
    </row>
    <row r="1221" spans="1:27" s="70" customFormat="1" ht="11.25" x14ac:dyDescent="0.2">
      <c r="A1221" s="24">
        <v>1215</v>
      </c>
      <c r="B1221" s="27"/>
      <c r="C1221" s="28"/>
      <c r="D1221" s="71"/>
      <c r="E1221" s="28"/>
      <c r="F1221" s="28"/>
      <c r="G1221" s="27"/>
      <c r="H1221" s="28" t="e">
        <f ca="1"/>
        <v>#REF!</v>
      </c>
      <c r="I1221" s="27" t="e">
        <f ca="1"/>
        <v>#REF!</v>
      </c>
      <c r="J1221" s="28" t="e">
        <f ca="1"/>
        <v>#REF!</v>
      </c>
      <c r="K1221" s="27" t="e">
        <f ca="1"/>
        <v>#REF!</v>
      </c>
      <c r="L1221" s="25" t="e">
        <f ca="1"/>
        <v>#REF!</v>
      </c>
      <c r="M1221" s="25" t="e">
        <f ca="1"/>
        <v>#REF!</v>
      </c>
      <c r="N1221" s="25" t="e">
        <f ca="1"/>
        <v>#REF!</v>
      </c>
      <c r="O1221" s="25" t="e">
        <f ca="1"/>
        <v>#REF!</v>
      </c>
      <c r="P1221" s="25" t="e">
        <f ca="1"/>
        <v>#REF!</v>
      </c>
      <c r="Q1221" s="25" t="e">
        <f ca="1"/>
        <v>#REF!</v>
      </c>
      <c r="R1221" s="25" t="e">
        <f ca="1"/>
        <v>#REF!</v>
      </c>
      <c r="S1221" s="25" t="e">
        <f ca="1"/>
        <v>#REF!</v>
      </c>
      <c r="T1221" s="25" t="e">
        <f ca="1"/>
        <v>#REF!</v>
      </c>
      <c r="U1221" s="25" t="e">
        <f ca="1"/>
        <v>#REF!</v>
      </c>
      <c r="V1221" s="25" t="e">
        <f ca="1"/>
        <v>#REF!</v>
      </c>
      <c r="W1221" s="33" t="e">
        <f ca="1"/>
        <v>#REF!</v>
      </c>
      <c r="X1221" s="33" t="e">
        <f ca="1"/>
        <v>#REF!</v>
      </c>
      <c r="Y1221" s="33" t="e">
        <f ca="1"/>
        <v>#REF!</v>
      </c>
      <c r="Z1221" s="33" t="e">
        <f ca="1"/>
        <v>#REF!</v>
      </c>
      <c r="AA1221" s="33" t="e">
        <f ca="1"/>
        <v>#REF!</v>
      </c>
    </row>
    <row r="1222" spans="1:27" s="70" customFormat="1" ht="11.25" x14ac:dyDescent="0.2">
      <c r="A1222" s="24">
        <v>1216</v>
      </c>
      <c r="B1222" s="27"/>
      <c r="C1222" s="28"/>
      <c r="D1222" s="71"/>
      <c r="E1222" s="28"/>
      <c r="F1222" s="28"/>
      <c r="G1222" s="27"/>
      <c r="H1222" s="28" t="e">
        <f ca="1"/>
        <v>#REF!</v>
      </c>
      <c r="I1222" s="27" t="e">
        <f ca="1"/>
        <v>#REF!</v>
      </c>
      <c r="J1222" s="28" t="e">
        <f ca="1"/>
        <v>#REF!</v>
      </c>
      <c r="K1222" s="27" t="e">
        <f ca="1"/>
        <v>#REF!</v>
      </c>
      <c r="L1222" s="25" t="e">
        <f ca="1"/>
        <v>#REF!</v>
      </c>
      <c r="M1222" s="25" t="e">
        <f ca="1"/>
        <v>#REF!</v>
      </c>
      <c r="N1222" s="25" t="e">
        <f ca="1"/>
        <v>#REF!</v>
      </c>
      <c r="O1222" s="25" t="e">
        <f ca="1"/>
        <v>#REF!</v>
      </c>
      <c r="P1222" s="25" t="e">
        <f ca="1"/>
        <v>#REF!</v>
      </c>
      <c r="Q1222" s="25" t="e">
        <f ca="1"/>
        <v>#REF!</v>
      </c>
      <c r="R1222" s="25" t="e">
        <f ca="1"/>
        <v>#REF!</v>
      </c>
      <c r="S1222" s="25" t="e">
        <f ca="1"/>
        <v>#REF!</v>
      </c>
      <c r="T1222" s="25" t="e">
        <f ca="1"/>
        <v>#REF!</v>
      </c>
      <c r="U1222" s="25" t="e">
        <f ca="1"/>
        <v>#REF!</v>
      </c>
      <c r="V1222" s="25" t="e">
        <f ca="1"/>
        <v>#REF!</v>
      </c>
      <c r="W1222" s="33" t="e">
        <f ca="1"/>
        <v>#REF!</v>
      </c>
      <c r="X1222" s="33" t="e">
        <f ca="1"/>
        <v>#REF!</v>
      </c>
      <c r="Y1222" s="33" t="e">
        <f ca="1"/>
        <v>#REF!</v>
      </c>
      <c r="Z1222" s="33" t="e">
        <f ca="1"/>
        <v>#REF!</v>
      </c>
      <c r="AA1222" s="33" t="e">
        <f ca="1"/>
        <v>#REF!</v>
      </c>
    </row>
    <row r="1223" spans="1:27" s="70" customFormat="1" ht="11.25" x14ac:dyDescent="0.2">
      <c r="A1223" s="24">
        <v>1217</v>
      </c>
      <c r="B1223" s="27"/>
      <c r="C1223" s="28"/>
      <c r="D1223" s="71"/>
      <c r="E1223" s="28"/>
      <c r="F1223" s="28"/>
      <c r="G1223" s="27"/>
      <c r="H1223" s="28" t="e">
        <f ca="1"/>
        <v>#REF!</v>
      </c>
      <c r="I1223" s="27" t="e">
        <f ca="1"/>
        <v>#REF!</v>
      </c>
      <c r="J1223" s="28" t="e">
        <f ca="1"/>
        <v>#REF!</v>
      </c>
      <c r="K1223" s="27" t="e">
        <f ca="1"/>
        <v>#REF!</v>
      </c>
      <c r="L1223" s="25" t="e">
        <f ca="1"/>
        <v>#REF!</v>
      </c>
      <c r="M1223" s="25" t="e">
        <f ca="1"/>
        <v>#REF!</v>
      </c>
      <c r="N1223" s="25" t="e">
        <f ca="1"/>
        <v>#REF!</v>
      </c>
      <c r="O1223" s="25" t="e">
        <f ca="1"/>
        <v>#REF!</v>
      </c>
      <c r="P1223" s="25" t="e">
        <f ca="1"/>
        <v>#REF!</v>
      </c>
      <c r="Q1223" s="25" t="e">
        <f ca="1"/>
        <v>#REF!</v>
      </c>
      <c r="R1223" s="25" t="e">
        <f ca="1"/>
        <v>#REF!</v>
      </c>
      <c r="S1223" s="25" t="e">
        <f ca="1"/>
        <v>#REF!</v>
      </c>
      <c r="T1223" s="25" t="e">
        <f ca="1"/>
        <v>#REF!</v>
      </c>
      <c r="U1223" s="25" t="e">
        <f ca="1"/>
        <v>#REF!</v>
      </c>
      <c r="V1223" s="25" t="e">
        <f ca="1"/>
        <v>#REF!</v>
      </c>
      <c r="W1223" s="33" t="e">
        <f ca="1"/>
        <v>#REF!</v>
      </c>
      <c r="X1223" s="33" t="e">
        <f ca="1"/>
        <v>#REF!</v>
      </c>
      <c r="Y1223" s="33" t="e">
        <f ca="1"/>
        <v>#REF!</v>
      </c>
      <c r="Z1223" s="33" t="e">
        <f ca="1"/>
        <v>#REF!</v>
      </c>
      <c r="AA1223" s="33" t="e">
        <f ca="1"/>
        <v>#REF!</v>
      </c>
    </row>
    <row r="1224" spans="1:27" s="70" customFormat="1" ht="11.25" x14ac:dyDescent="0.2">
      <c r="A1224" s="24">
        <v>1218</v>
      </c>
      <c r="B1224" s="27"/>
      <c r="C1224" s="28"/>
      <c r="D1224" s="71"/>
      <c r="E1224" s="28"/>
      <c r="F1224" s="28"/>
      <c r="G1224" s="27"/>
      <c r="H1224" s="28" t="e">
        <f ca="1"/>
        <v>#REF!</v>
      </c>
      <c r="I1224" s="27" t="e">
        <f ca="1"/>
        <v>#REF!</v>
      </c>
      <c r="J1224" s="28" t="e">
        <f ca="1"/>
        <v>#REF!</v>
      </c>
      <c r="K1224" s="27" t="e">
        <f ca="1"/>
        <v>#REF!</v>
      </c>
      <c r="L1224" s="25" t="e">
        <f ca="1"/>
        <v>#REF!</v>
      </c>
      <c r="M1224" s="25" t="e">
        <f ca="1"/>
        <v>#REF!</v>
      </c>
      <c r="N1224" s="25" t="e">
        <f ca="1"/>
        <v>#REF!</v>
      </c>
      <c r="O1224" s="25" t="e">
        <f ca="1"/>
        <v>#REF!</v>
      </c>
      <c r="P1224" s="25" t="e">
        <f ca="1"/>
        <v>#REF!</v>
      </c>
      <c r="Q1224" s="25" t="e">
        <f ca="1"/>
        <v>#REF!</v>
      </c>
      <c r="R1224" s="25" t="e">
        <f ca="1"/>
        <v>#REF!</v>
      </c>
      <c r="S1224" s="25" t="e">
        <f ca="1"/>
        <v>#REF!</v>
      </c>
      <c r="T1224" s="25" t="e">
        <f ca="1"/>
        <v>#REF!</v>
      </c>
      <c r="U1224" s="25" t="e">
        <f ca="1"/>
        <v>#REF!</v>
      </c>
      <c r="V1224" s="25" t="e">
        <f ca="1"/>
        <v>#REF!</v>
      </c>
      <c r="W1224" s="33" t="e">
        <f ca="1"/>
        <v>#REF!</v>
      </c>
      <c r="X1224" s="33" t="e">
        <f ca="1"/>
        <v>#REF!</v>
      </c>
      <c r="Y1224" s="33" t="e">
        <f ca="1"/>
        <v>#REF!</v>
      </c>
      <c r="Z1224" s="33" t="e">
        <f ca="1"/>
        <v>#REF!</v>
      </c>
      <c r="AA1224" s="33" t="e">
        <f ca="1"/>
        <v>#REF!</v>
      </c>
    </row>
    <row r="1225" spans="1:27" s="70" customFormat="1" ht="11.25" x14ac:dyDescent="0.2">
      <c r="A1225" s="24">
        <v>1219</v>
      </c>
      <c r="B1225" s="27"/>
      <c r="C1225" s="28"/>
      <c r="D1225" s="71"/>
      <c r="E1225" s="28"/>
      <c r="F1225" s="28"/>
      <c r="G1225" s="27"/>
      <c r="H1225" s="28" t="e">
        <f ca="1"/>
        <v>#REF!</v>
      </c>
      <c r="I1225" s="27" t="e">
        <f ca="1"/>
        <v>#REF!</v>
      </c>
      <c r="J1225" s="28" t="e">
        <f ca="1"/>
        <v>#REF!</v>
      </c>
      <c r="K1225" s="27" t="e">
        <f ca="1"/>
        <v>#REF!</v>
      </c>
      <c r="L1225" s="25" t="e">
        <f ca="1"/>
        <v>#REF!</v>
      </c>
      <c r="M1225" s="25" t="e">
        <f ca="1"/>
        <v>#REF!</v>
      </c>
      <c r="N1225" s="25" t="e">
        <f ca="1"/>
        <v>#REF!</v>
      </c>
      <c r="O1225" s="25" t="e">
        <f ca="1"/>
        <v>#REF!</v>
      </c>
      <c r="P1225" s="25" t="e">
        <f ca="1"/>
        <v>#REF!</v>
      </c>
      <c r="Q1225" s="25" t="e">
        <f ca="1"/>
        <v>#REF!</v>
      </c>
      <c r="R1225" s="25" t="e">
        <f ca="1"/>
        <v>#REF!</v>
      </c>
      <c r="S1225" s="25" t="e">
        <f ca="1"/>
        <v>#REF!</v>
      </c>
      <c r="T1225" s="25" t="e">
        <f ca="1"/>
        <v>#REF!</v>
      </c>
      <c r="U1225" s="25" t="e">
        <f ca="1"/>
        <v>#REF!</v>
      </c>
      <c r="V1225" s="25" t="e">
        <f ca="1"/>
        <v>#REF!</v>
      </c>
      <c r="W1225" s="33" t="e">
        <f ca="1"/>
        <v>#REF!</v>
      </c>
      <c r="X1225" s="33" t="e">
        <f ca="1"/>
        <v>#REF!</v>
      </c>
      <c r="Y1225" s="33" t="e">
        <f ca="1"/>
        <v>#REF!</v>
      </c>
      <c r="Z1225" s="33" t="e">
        <f ca="1"/>
        <v>#REF!</v>
      </c>
      <c r="AA1225" s="33" t="e">
        <f ca="1"/>
        <v>#REF!</v>
      </c>
    </row>
    <row r="1226" spans="1:27" s="70" customFormat="1" ht="11.25" x14ac:dyDescent="0.2">
      <c r="A1226" s="24">
        <v>1220</v>
      </c>
      <c r="B1226" s="27"/>
      <c r="C1226" s="28"/>
      <c r="D1226" s="71"/>
      <c r="E1226" s="28"/>
      <c r="F1226" s="28"/>
      <c r="G1226" s="27"/>
      <c r="H1226" s="28" t="e">
        <f ca="1"/>
        <v>#REF!</v>
      </c>
      <c r="I1226" s="27" t="e">
        <f ca="1"/>
        <v>#REF!</v>
      </c>
      <c r="J1226" s="28" t="e">
        <f ca="1"/>
        <v>#REF!</v>
      </c>
      <c r="K1226" s="27" t="e">
        <f ca="1"/>
        <v>#REF!</v>
      </c>
      <c r="L1226" s="25" t="e">
        <f ca="1"/>
        <v>#REF!</v>
      </c>
      <c r="M1226" s="25" t="e">
        <f ca="1"/>
        <v>#REF!</v>
      </c>
      <c r="N1226" s="25" t="e">
        <f ca="1"/>
        <v>#REF!</v>
      </c>
      <c r="O1226" s="25" t="e">
        <f ca="1"/>
        <v>#REF!</v>
      </c>
      <c r="P1226" s="25" t="e">
        <f ca="1"/>
        <v>#REF!</v>
      </c>
      <c r="Q1226" s="25" t="e">
        <f ca="1"/>
        <v>#REF!</v>
      </c>
      <c r="R1226" s="25" t="e">
        <f ca="1"/>
        <v>#REF!</v>
      </c>
      <c r="S1226" s="25" t="e">
        <f ca="1"/>
        <v>#REF!</v>
      </c>
      <c r="T1226" s="25" t="e">
        <f ca="1"/>
        <v>#REF!</v>
      </c>
      <c r="U1226" s="25" t="e">
        <f ca="1"/>
        <v>#REF!</v>
      </c>
      <c r="V1226" s="25" t="e">
        <f ca="1"/>
        <v>#REF!</v>
      </c>
      <c r="W1226" s="33" t="e">
        <f ca="1"/>
        <v>#REF!</v>
      </c>
      <c r="X1226" s="33" t="e">
        <f ca="1"/>
        <v>#REF!</v>
      </c>
      <c r="Y1226" s="33" t="e">
        <f ca="1"/>
        <v>#REF!</v>
      </c>
      <c r="Z1226" s="33" t="e">
        <f ca="1"/>
        <v>#REF!</v>
      </c>
      <c r="AA1226" s="33" t="e">
        <f ca="1"/>
        <v>#REF!</v>
      </c>
    </row>
    <row r="1227" spans="1:27" s="70" customFormat="1" ht="11.25" x14ac:dyDescent="0.2">
      <c r="A1227" s="24">
        <v>1221</v>
      </c>
      <c r="B1227" s="27"/>
      <c r="C1227" s="28"/>
      <c r="D1227" s="71"/>
      <c r="E1227" s="28"/>
      <c r="F1227" s="28"/>
      <c r="G1227" s="27"/>
      <c r="H1227" s="28" t="e">
        <f ca="1"/>
        <v>#REF!</v>
      </c>
      <c r="I1227" s="27" t="e">
        <f ca="1"/>
        <v>#REF!</v>
      </c>
      <c r="J1227" s="28" t="e">
        <f ca="1"/>
        <v>#REF!</v>
      </c>
      <c r="K1227" s="27" t="e">
        <f ca="1"/>
        <v>#REF!</v>
      </c>
      <c r="L1227" s="25" t="e">
        <f ca="1"/>
        <v>#REF!</v>
      </c>
      <c r="M1227" s="25" t="e">
        <f ca="1"/>
        <v>#REF!</v>
      </c>
      <c r="N1227" s="25" t="e">
        <f ca="1"/>
        <v>#REF!</v>
      </c>
      <c r="O1227" s="25" t="e">
        <f ca="1"/>
        <v>#REF!</v>
      </c>
      <c r="P1227" s="25" t="e">
        <f ca="1"/>
        <v>#REF!</v>
      </c>
      <c r="Q1227" s="25" t="e">
        <f ca="1"/>
        <v>#REF!</v>
      </c>
      <c r="R1227" s="25" t="e">
        <f ca="1"/>
        <v>#REF!</v>
      </c>
      <c r="S1227" s="25" t="e">
        <f ca="1"/>
        <v>#REF!</v>
      </c>
      <c r="T1227" s="25" t="e">
        <f ca="1"/>
        <v>#REF!</v>
      </c>
      <c r="U1227" s="25" t="e">
        <f ca="1"/>
        <v>#REF!</v>
      </c>
      <c r="V1227" s="25" t="e">
        <f ca="1"/>
        <v>#REF!</v>
      </c>
      <c r="W1227" s="33" t="e">
        <f ca="1"/>
        <v>#REF!</v>
      </c>
      <c r="X1227" s="33" t="e">
        <f ca="1"/>
        <v>#REF!</v>
      </c>
      <c r="Y1227" s="33" t="e">
        <f ca="1"/>
        <v>#REF!</v>
      </c>
      <c r="Z1227" s="33" t="e">
        <f ca="1"/>
        <v>#REF!</v>
      </c>
      <c r="AA1227" s="33" t="e">
        <f ca="1"/>
        <v>#REF!</v>
      </c>
    </row>
    <row r="1228" spans="1:27" s="70" customFormat="1" ht="11.25" x14ac:dyDescent="0.2">
      <c r="A1228" s="24">
        <v>1222</v>
      </c>
      <c r="B1228" s="27"/>
      <c r="C1228" s="28"/>
      <c r="D1228" s="71"/>
      <c r="E1228" s="28"/>
      <c r="F1228" s="28"/>
      <c r="G1228" s="27"/>
      <c r="H1228" s="28" t="e">
        <f ca="1"/>
        <v>#REF!</v>
      </c>
      <c r="I1228" s="27" t="e">
        <f ca="1"/>
        <v>#REF!</v>
      </c>
      <c r="J1228" s="28" t="e">
        <f ca="1"/>
        <v>#REF!</v>
      </c>
      <c r="K1228" s="27" t="e">
        <f ca="1"/>
        <v>#REF!</v>
      </c>
      <c r="L1228" s="25" t="e">
        <f ca="1"/>
        <v>#REF!</v>
      </c>
      <c r="M1228" s="25" t="e">
        <f ca="1"/>
        <v>#REF!</v>
      </c>
      <c r="N1228" s="25" t="e">
        <f ca="1"/>
        <v>#REF!</v>
      </c>
      <c r="O1228" s="25" t="e">
        <f ca="1"/>
        <v>#REF!</v>
      </c>
      <c r="P1228" s="25" t="e">
        <f ca="1"/>
        <v>#REF!</v>
      </c>
      <c r="Q1228" s="25" t="e">
        <f ca="1"/>
        <v>#REF!</v>
      </c>
      <c r="R1228" s="25" t="e">
        <f ca="1"/>
        <v>#REF!</v>
      </c>
      <c r="S1228" s="25" t="e">
        <f ca="1"/>
        <v>#REF!</v>
      </c>
      <c r="T1228" s="25" t="e">
        <f ca="1"/>
        <v>#REF!</v>
      </c>
      <c r="U1228" s="25" t="e">
        <f ca="1"/>
        <v>#REF!</v>
      </c>
      <c r="V1228" s="25" t="e">
        <f ca="1"/>
        <v>#REF!</v>
      </c>
      <c r="W1228" s="33" t="e">
        <f ca="1"/>
        <v>#REF!</v>
      </c>
      <c r="X1228" s="33" t="e">
        <f ca="1"/>
        <v>#REF!</v>
      </c>
      <c r="Y1228" s="33" t="e">
        <f ca="1"/>
        <v>#REF!</v>
      </c>
      <c r="Z1228" s="33" t="e">
        <f ca="1"/>
        <v>#REF!</v>
      </c>
      <c r="AA1228" s="33" t="e">
        <f ca="1"/>
        <v>#REF!</v>
      </c>
    </row>
    <row r="1229" spans="1:27" s="70" customFormat="1" ht="11.25" x14ac:dyDescent="0.2">
      <c r="A1229" s="24">
        <v>1223</v>
      </c>
      <c r="B1229" s="27"/>
      <c r="C1229" s="28"/>
      <c r="D1229" s="71"/>
      <c r="E1229" s="28"/>
      <c r="F1229" s="28"/>
      <c r="G1229" s="27"/>
      <c r="H1229" s="28" t="e">
        <f ca="1"/>
        <v>#REF!</v>
      </c>
      <c r="I1229" s="27" t="e">
        <f ca="1"/>
        <v>#REF!</v>
      </c>
      <c r="J1229" s="28" t="e">
        <f ca="1"/>
        <v>#REF!</v>
      </c>
      <c r="K1229" s="27" t="e">
        <f ca="1"/>
        <v>#REF!</v>
      </c>
      <c r="L1229" s="25" t="e">
        <f ca="1"/>
        <v>#REF!</v>
      </c>
      <c r="M1229" s="25" t="e">
        <f ca="1"/>
        <v>#REF!</v>
      </c>
      <c r="N1229" s="25" t="e">
        <f ca="1"/>
        <v>#REF!</v>
      </c>
      <c r="O1229" s="25" t="e">
        <f ca="1"/>
        <v>#REF!</v>
      </c>
      <c r="P1229" s="25" t="e">
        <f ca="1"/>
        <v>#REF!</v>
      </c>
      <c r="Q1229" s="25" t="e">
        <f ca="1"/>
        <v>#REF!</v>
      </c>
      <c r="R1229" s="25" t="e">
        <f ca="1"/>
        <v>#REF!</v>
      </c>
      <c r="S1229" s="25" t="e">
        <f ca="1"/>
        <v>#REF!</v>
      </c>
      <c r="T1229" s="25" t="e">
        <f ca="1"/>
        <v>#REF!</v>
      </c>
      <c r="U1229" s="25" t="e">
        <f ca="1"/>
        <v>#REF!</v>
      </c>
      <c r="V1229" s="25" t="e">
        <f ca="1"/>
        <v>#REF!</v>
      </c>
      <c r="W1229" s="33" t="e">
        <f ca="1"/>
        <v>#REF!</v>
      </c>
      <c r="X1229" s="33" t="e">
        <f ca="1"/>
        <v>#REF!</v>
      </c>
      <c r="Y1229" s="33" t="e">
        <f ca="1"/>
        <v>#REF!</v>
      </c>
      <c r="Z1229" s="33" t="e">
        <f ca="1"/>
        <v>#REF!</v>
      </c>
      <c r="AA1229" s="33" t="e">
        <f ca="1"/>
        <v>#REF!</v>
      </c>
    </row>
    <row r="1230" spans="1:27" s="70" customFormat="1" ht="11.25" x14ac:dyDescent="0.2">
      <c r="A1230" s="24">
        <v>1224</v>
      </c>
      <c r="B1230" s="27"/>
      <c r="C1230" s="28"/>
      <c r="D1230" s="71"/>
      <c r="E1230" s="28"/>
      <c r="F1230" s="28"/>
      <c r="G1230" s="27"/>
      <c r="H1230" s="28" t="e">
        <f ca="1"/>
        <v>#REF!</v>
      </c>
      <c r="I1230" s="27" t="e">
        <f ca="1"/>
        <v>#REF!</v>
      </c>
      <c r="J1230" s="28" t="e">
        <f ca="1"/>
        <v>#REF!</v>
      </c>
      <c r="K1230" s="27" t="e">
        <f ca="1"/>
        <v>#REF!</v>
      </c>
      <c r="L1230" s="25" t="e">
        <f ca="1"/>
        <v>#REF!</v>
      </c>
      <c r="M1230" s="25" t="e">
        <f ca="1"/>
        <v>#REF!</v>
      </c>
      <c r="N1230" s="25" t="e">
        <f ca="1"/>
        <v>#REF!</v>
      </c>
      <c r="O1230" s="25" t="e">
        <f ca="1"/>
        <v>#REF!</v>
      </c>
      <c r="P1230" s="25" t="e">
        <f ca="1"/>
        <v>#REF!</v>
      </c>
      <c r="Q1230" s="25" t="e">
        <f ca="1"/>
        <v>#REF!</v>
      </c>
      <c r="R1230" s="25" t="e">
        <f ca="1"/>
        <v>#REF!</v>
      </c>
      <c r="S1230" s="25" t="e">
        <f ca="1"/>
        <v>#REF!</v>
      </c>
      <c r="T1230" s="25" t="e">
        <f ca="1"/>
        <v>#REF!</v>
      </c>
      <c r="U1230" s="25" t="e">
        <f ca="1"/>
        <v>#REF!</v>
      </c>
      <c r="V1230" s="25" t="e">
        <f ca="1"/>
        <v>#REF!</v>
      </c>
      <c r="W1230" s="33" t="e">
        <f ca="1"/>
        <v>#REF!</v>
      </c>
      <c r="X1230" s="33" t="e">
        <f ca="1"/>
        <v>#REF!</v>
      </c>
      <c r="Y1230" s="33" t="e">
        <f ca="1"/>
        <v>#REF!</v>
      </c>
      <c r="Z1230" s="33" t="e">
        <f ca="1"/>
        <v>#REF!</v>
      </c>
      <c r="AA1230" s="33" t="e">
        <f ca="1"/>
        <v>#REF!</v>
      </c>
    </row>
    <row r="1231" spans="1:27" s="70" customFormat="1" ht="11.25" x14ac:dyDescent="0.2">
      <c r="A1231" s="24">
        <v>1225</v>
      </c>
      <c r="B1231" s="27"/>
      <c r="C1231" s="28"/>
      <c r="D1231" s="71"/>
      <c r="E1231" s="28"/>
      <c r="F1231" s="28"/>
      <c r="G1231" s="27"/>
      <c r="H1231" s="28" t="e">
        <f ca="1"/>
        <v>#REF!</v>
      </c>
      <c r="I1231" s="27" t="e">
        <f ca="1"/>
        <v>#REF!</v>
      </c>
      <c r="J1231" s="28" t="e">
        <f ca="1"/>
        <v>#REF!</v>
      </c>
      <c r="K1231" s="27" t="e">
        <f ca="1"/>
        <v>#REF!</v>
      </c>
      <c r="L1231" s="25" t="e">
        <f ca="1"/>
        <v>#REF!</v>
      </c>
      <c r="M1231" s="25" t="e">
        <f ca="1"/>
        <v>#REF!</v>
      </c>
      <c r="N1231" s="25" t="e">
        <f ca="1"/>
        <v>#REF!</v>
      </c>
      <c r="O1231" s="25" t="e">
        <f ca="1"/>
        <v>#REF!</v>
      </c>
      <c r="P1231" s="25" t="e">
        <f ca="1"/>
        <v>#REF!</v>
      </c>
      <c r="Q1231" s="25" t="e">
        <f ca="1"/>
        <v>#REF!</v>
      </c>
      <c r="R1231" s="25" t="e">
        <f ca="1"/>
        <v>#REF!</v>
      </c>
      <c r="S1231" s="25" t="e">
        <f ca="1"/>
        <v>#REF!</v>
      </c>
      <c r="T1231" s="25" t="e">
        <f ca="1"/>
        <v>#REF!</v>
      </c>
      <c r="U1231" s="25" t="e">
        <f ca="1"/>
        <v>#REF!</v>
      </c>
      <c r="V1231" s="25" t="e">
        <f ca="1"/>
        <v>#REF!</v>
      </c>
      <c r="W1231" s="33" t="e">
        <f ca="1"/>
        <v>#REF!</v>
      </c>
      <c r="X1231" s="33" t="e">
        <f ca="1"/>
        <v>#REF!</v>
      </c>
      <c r="Y1231" s="33" t="e">
        <f ca="1"/>
        <v>#REF!</v>
      </c>
      <c r="Z1231" s="33" t="e">
        <f ca="1"/>
        <v>#REF!</v>
      </c>
      <c r="AA1231" s="33" t="e">
        <f ca="1"/>
        <v>#REF!</v>
      </c>
    </row>
    <row r="1232" spans="1:27" s="70" customFormat="1" ht="11.25" x14ac:dyDescent="0.2">
      <c r="A1232" s="24">
        <v>1226</v>
      </c>
      <c r="B1232" s="27"/>
      <c r="C1232" s="28"/>
      <c r="D1232" s="71"/>
      <c r="E1232" s="28"/>
      <c r="F1232" s="28"/>
      <c r="G1232" s="27"/>
      <c r="H1232" s="28" t="e">
        <f ca="1"/>
        <v>#REF!</v>
      </c>
      <c r="I1232" s="27" t="e">
        <f ca="1"/>
        <v>#REF!</v>
      </c>
      <c r="J1232" s="28" t="e">
        <f ca="1"/>
        <v>#REF!</v>
      </c>
      <c r="K1232" s="27" t="e">
        <f ca="1"/>
        <v>#REF!</v>
      </c>
      <c r="L1232" s="25" t="e">
        <f ca="1"/>
        <v>#REF!</v>
      </c>
      <c r="M1232" s="25" t="e">
        <f ca="1"/>
        <v>#REF!</v>
      </c>
      <c r="N1232" s="25" t="e">
        <f ca="1"/>
        <v>#REF!</v>
      </c>
      <c r="O1232" s="25" t="e">
        <f ca="1"/>
        <v>#REF!</v>
      </c>
      <c r="P1232" s="25" t="e">
        <f ca="1"/>
        <v>#REF!</v>
      </c>
      <c r="Q1232" s="25" t="e">
        <f ca="1"/>
        <v>#REF!</v>
      </c>
      <c r="R1232" s="25" t="e">
        <f ca="1"/>
        <v>#REF!</v>
      </c>
      <c r="S1232" s="25" t="e">
        <f ca="1"/>
        <v>#REF!</v>
      </c>
      <c r="T1232" s="25" t="e">
        <f ca="1"/>
        <v>#REF!</v>
      </c>
      <c r="U1232" s="25" t="e">
        <f ca="1"/>
        <v>#REF!</v>
      </c>
      <c r="V1232" s="25" t="e">
        <f ca="1"/>
        <v>#REF!</v>
      </c>
      <c r="W1232" s="33" t="e">
        <f ca="1"/>
        <v>#REF!</v>
      </c>
      <c r="X1232" s="33" t="e">
        <f ca="1"/>
        <v>#REF!</v>
      </c>
      <c r="Y1232" s="33" t="e">
        <f ca="1"/>
        <v>#REF!</v>
      </c>
      <c r="Z1232" s="33" t="e">
        <f ca="1"/>
        <v>#REF!</v>
      </c>
      <c r="AA1232" s="33" t="e">
        <f ca="1"/>
        <v>#REF!</v>
      </c>
    </row>
    <row r="1233" spans="1:27" s="70" customFormat="1" ht="11.25" x14ac:dyDescent="0.2">
      <c r="A1233" s="24">
        <v>1227</v>
      </c>
      <c r="B1233" s="27"/>
      <c r="C1233" s="28"/>
      <c r="D1233" s="71"/>
      <c r="E1233" s="28"/>
      <c r="F1233" s="28"/>
      <c r="G1233" s="27"/>
      <c r="H1233" s="28" t="e">
        <f ca="1"/>
        <v>#REF!</v>
      </c>
      <c r="I1233" s="27" t="e">
        <f ca="1"/>
        <v>#REF!</v>
      </c>
      <c r="J1233" s="28" t="e">
        <f ca="1"/>
        <v>#REF!</v>
      </c>
      <c r="K1233" s="27" t="e">
        <f ca="1"/>
        <v>#REF!</v>
      </c>
      <c r="L1233" s="25" t="e">
        <f ca="1"/>
        <v>#REF!</v>
      </c>
      <c r="M1233" s="25" t="e">
        <f ca="1"/>
        <v>#REF!</v>
      </c>
      <c r="N1233" s="25" t="e">
        <f ca="1"/>
        <v>#REF!</v>
      </c>
      <c r="O1233" s="25" t="e">
        <f ca="1"/>
        <v>#REF!</v>
      </c>
      <c r="P1233" s="25" t="e">
        <f ca="1"/>
        <v>#REF!</v>
      </c>
      <c r="Q1233" s="25" t="e">
        <f ca="1"/>
        <v>#REF!</v>
      </c>
      <c r="R1233" s="25" t="e">
        <f ca="1"/>
        <v>#REF!</v>
      </c>
      <c r="S1233" s="25" t="e">
        <f ca="1"/>
        <v>#REF!</v>
      </c>
      <c r="T1233" s="25" t="e">
        <f ca="1"/>
        <v>#REF!</v>
      </c>
      <c r="U1233" s="25" t="e">
        <f ca="1"/>
        <v>#REF!</v>
      </c>
      <c r="V1233" s="25" t="e">
        <f ca="1"/>
        <v>#REF!</v>
      </c>
      <c r="W1233" s="33" t="e">
        <f ca="1"/>
        <v>#REF!</v>
      </c>
      <c r="X1233" s="33" t="e">
        <f ca="1"/>
        <v>#REF!</v>
      </c>
      <c r="Y1233" s="33" t="e">
        <f ca="1"/>
        <v>#REF!</v>
      </c>
      <c r="Z1233" s="33" t="e">
        <f ca="1"/>
        <v>#REF!</v>
      </c>
      <c r="AA1233" s="33" t="e">
        <f ca="1"/>
        <v>#REF!</v>
      </c>
    </row>
    <row r="1234" spans="1:27" s="70" customFormat="1" ht="11.25" x14ac:dyDescent="0.2">
      <c r="A1234" s="24">
        <v>1228</v>
      </c>
      <c r="B1234" s="27"/>
      <c r="C1234" s="28"/>
      <c r="D1234" s="71"/>
      <c r="E1234" s="28"/>
      <c r="F1234" s="28"/>
      <c r="G1234" s="27"/>
      <c r="H1234" s="28" t="e">
        <f ca="1"/>
        <v>#REF!</v>
      </c>
      <c r="I1234" s="27" t="e">
        <f ca="1"/>
        <v>#REF!</v>
      </c>
      <c r="J1234" s="28" t="e">
        <f ca="1"/>
        <v>#REF!</v>
      </c>
      <c r="K1234" s="27" t="e">
        <f ca="1"/>
        <v>#REF!</v>
      </c>
      <c r="L1234" s="25" t="e">
        <f ca="1"/>
        <v>#REF!</v>
      </c>
      <c r="M1234" s="25" t="e">
        <f ca="1"/>
        <v>#REF!</v>
      </c>
      <c r="N1234" s="25" t="e">
        <f ca="1"/>
        <v>#REF!</v>
      </c>
      <c r="O1234" s="25" t="e">
        <f ca="1"/>
        <v>#REF!</v>
      </c>
      <c r="P1234" s="25" t="e">
        <f ca="1"/>
        <v>#REF!</v>
      </c>
      <c r="Q1234" s="25" t="e">
        <f ca="1"/>
        <v>#REF!</v>
      </c>
      <c r="R1234" s="25" t="e">
        <f ca="1"/>
        <v>#REF!</v>
      </c>
      <c r="S1234" s="25" t="e">
        <f ca="1"/>
        <v>#REF!</v>
      </c>
      <c r="T1234" s="25" t="e">
        <f ca="1"/>
        <v>#REF!</v>
      </c>
      <c r="U1234" s="25" t="e">
        <f ca="1"/>
        <v>#REF!</v>
      </c>
      <c r="V1234" s="25" t="e">
        <f ca="1"/>
        <v>#REF!</v>
      </c>
      <c r="W1234" s="33" t="e">
        <f ca="1"/>
        <v>#REF!</v>
      </c>
      <c r="X1234" s="33" t="e">
        <f ca="1"/>
        <v>#REF!</v>
      </c>
      <c r="Y1234" s="33" t="e">
        <f ca="1"/>
        <v>#REF!</v>
      </c>
      <c r="Z1234" s="33" t="e">
        <f ca="1"/>
        <v>#REF!</v>
      </c>
      <c r="AA1234" s="33" t="e">
        <f ca="1"/>
        <v>#REF!</v>
      </c>
    </row>
    <row r="1235" spans="1:27" s="70" customFormat="1" ht="11.25" x14ac:dyDescent="0.2">
      <c r="A1235" s="24">
        <v>1229</v>
      </c>
      <c r="B1235" s="27"/>
      <c r="C1235" s="28"/>
      <c r="D1235" s="71"/>
      <c r="E1235" s="28"/>
      <c r="F1235" s="28"/>
      <c r="G1235" s="27"/>
      <c r="H1235" s="28" t="e">
        <f ca="1"/>
        <v>#REF!</v>
      </c>
      <c r="I1235" s="27" t="e">
        <f ca="1"/>
        <v>#REF!</v>
      </c>
      <c r="J1235" s="28" t="e">
        <f ca="1"/>
        <v>#REF!</v>
      </c>
      <c r="K1235" s="27" t="e">
        <f ca="1"/>
        <v>#REF!</v>
      </c>
      <c r="L1235" s="25" t="e">
        <f ca="1"/>
        <v>#REF!</v>
      </c>
      <c r="M1235" s="25" t="e">
        <f ca="1"/>
        <v>#REF!</v>
      </c>
      <c r="N1235" s="25" t="e">
        <f ca="1"/>
        <v>#REF!</v>
      </c>
      <c r="O1235" s="25" t="e">
        <f ca="1"/>
        <v>#REF!</v>
      </c>
      <c r="P1235" s="25" t="e">
        <f ca="1"/>
        <v>#REF!</v>
      </c>
      <c r="Q1235" s="25" t="e">
        <f ca="1"/>
        <v>#REF!</v>
      </c>
      <c r="R1235" s="25" t="e">
        <f ca="1"/>
        <v>#REF!</v>
      </c>
      <c r="S1235" s="25" t="e">
        <f ca="1"/>
        <v>#REF!</v>
      </c>
      <c r="T1235" s="25" t="e">
        <f ca="1"/>
        <v>#REF!</v>
      </c>
      <c r="U1235" s="25" t="e">
        <f ca="1"/>
        <v>#REF!</v>
      </c>
      <c r="V1235" s="25" t="e">
        <f ca="1"/>
        <v>#REF!</v>
      </c>
      <c r="W1235" s="33" t="e">
        <f ca="1"/>
        <v>#REF!</v>
      </c>
      <c r="X1235" s="33" t="e">
        <f ca="1"/>
        <v>#REF!</v>
      </c>
      <c r="Y1235" s="33" t="e">
        <f ca="1"/>
        <v>#REF!</v>
      </c>
      <c r="Z1235" s="33" t="e">
        <f ca="1"/>
        <v>#REF!</v>
      </c>
      <c r="AA1235" s="33" t="e">
        <f ca="1"/>
        <v>#REF!</v>
      </c>
    </row>
    <row r="1236" spans="1:27" s="70" customFormat="1" ht="11.25" x14ac:dyDescent="0.2">
      <c r="A1236" s="24">
        <v>1230</v>
      </c>
      <c r="B1236" s="27"/>
      <c r="C1236" s="28"/>
      <c r="D1236" s="71"/>
      <c r="E1236" s="28"/>
      <c r="F1236" s="28"/>
      <c r="G1236" s="27"/>
      <c r="H1236" s="28" t="e">
        <f ca="1"/>
        <v>#REF!</v>
      </c>
      <c r="I1236" s="27" t="e">
        <f ca="1"/>
        <v>#REF!</v>
      </c>
      <c r="J1236" s="28" t="e">
        <f ca="1"/>
        <v>#REF!</v>
      </c>
      <c r="K1236" s="27" t="e">
        <f ca="1"/>
        <v>#REF!</v>
      </c>
      <c r="L1236" s="25" t="e">
        <f ca="1"/>
        <v>#REF!</v>
      </c>
      <c r="M1236" s="25" t="e">
        <f ca="1"/>
        <v>#REF!</v>
      </c>
      <c r="N1236" s="25" t="e">
        <f ca="1"/>
        <v>#REF!</v>
      </c>
      <c r="O1236" s="25" t="e">
        <f ca="1"/>
        <v>#REF!</v>
      </c>
      <c r="P1236" s="25" t="e">
        <f ca="1"/>
        <v>#REF!</v>
      </c>
      <c r="Q1236" s="25" t="e">
        <f ca="1"/>
        <v>#REF!</v>
      </c>
      <c r="R1236" s="25" t="e">
        <f ca="1"/>
        <v>#REF!</v>
      </c>
      <c r="S1236" s="25" t="e">
        <f ca="1"/>
        <v>#REF!</v>
      </c>
      <c r="T1236" s="25" t="e">
        <f ca="1"/>
        <v>#REF!</v>
      </c>
      <c r="U1236" s="25" t="e">
        <f ca="1"/>
        <v>#REF!</v>
      </c>
      <c r="V1236" s="25" t="e">
        <f ca="1"/>
        <v>#REF!</v>
      </c>
      <c r="W1236" s="33" t="e">
        <f ca="1"/>
        <v>#REF!</v>
      </c>
      <c r="X1236" s="33" t="e">
        <f ca="1"/>
        <v>#REF!</v>
      </c>
      <c r="Y1236" s="33" t="e">
        <f ca="1"/>
        <v>#REF!</v>
      </c>
      <c r="Z1236" s="33" t="e">
        <f ca="1"/>
        <v>#REF!</v>
      </c>
      <c r="AA1236" s="33" t="e">
        <f ca="1"/>
        <v>#REF!</v>
      </c>
    </row>
    <row r="1237" spans="1:27" s="70" customFormat="1" ht="11.25" x14ac:dyDescent="0.2">
      <c r="A1237" s="24">
        <v>1231</v>
      </c>
      <c r="B1237" s="27"/>
      <c r="C1237" s="28"/>
      <c r="D1237" s="71"/>
      <c r="E1237" s="28"/>
      <c r="F1237" s="28"/>
      <c r="G1237" s="27"/>
      <c r="H1237" s="28" t="e">
        <f ca="1"/>
        <v>#REF!</v>
      </c>
      <c r="I1237" s="27" t="e">
        <f ca="1"/>
        <v>#REF!</v>
      </c>
      <c r="J1237" s="28" t="e">
        <f ca="1"/>
        <v>#REF!</v>
      </c>
      <c r="K1237" s="27" t="e">
        <f ca="1"/>
        <v>#REF!</v>
      </c>
      <c r="L1237" s="25" t="e">
        <f ca="1"/>
        <v>#REF!</v>
      </c>
      <c r="M1237" s="25" t="e">
        <f ca="1"/>
        <v>#REF!</v>
      </c>
      <c r="N1237" s="25" t="e">
        <f ca="1"/>
        <v>#REF!</v>
      </c>
      <c r="O1237" s="25" t="e">
        <f ca="1"/>
        <v>#REF!</v>
      </c>
      <c r="P1237" s="25" t="e">
        <f ca="1"/>
        <v>#REF!</v>
      </c>
      <c r="Q1237" s="25" t="e">
        <f ca="1"/>
        <v>#REF!</v>
      </c>
      <c r="R1237" s="25" t="e">
        <f ca="1"/>
        <v>#REF!</v>
      </c>
      <c r="S1237" s="25" t="e">
        <f ca="1"/>
        <v>#REF!</v>
      </c>
      <c r="T1237" s="25" t="e">
        <f ca="1"/>
        <v>#REF!</v>
      </c>
      <c r="U1237" s="25" t="e">
        <f ca="1"/>
        <v>#REF!</v>
      </c>
      <c r="V1237" s="25" t="e">
        <f ca="1"/>
        <v>#REF!</v>
      </c>
      <c r="W1237" s="33" t="e">
        <f ca="1"/>
        <v>#REF!</v>
      </c>
      <c r="X1237" s="33" t="e">
        <f ca="1"/>
        <v>#REF!</v>
      </c>
      <c r="Y1237" s="33" t="e">
        <f ca="1"/>
        <v>#REF!</v>
      </c>
      <c r="Z1237" s="33" t="e">
        <f ca="1"/>
        <v>#REF!</v>
      </c>
      <c r="AA1237" s="33" t="e">
        <f ca="1"/>
        <v>#REF!</v>
      </c>
    </row>
    <row r="1238" spans="1:27" s="70" customFormat="1" ht="11.25" x14ac:dyDescent="0.2">
      <c r="A1238" s="24">
        <v>1232</v>
      </c>
      <c r="B1238" s="27"/>
      <c r="C1238" s="28"/>
      <c r="D1238" s="71"/>
      <c r="E1238" s="28"/>
      <c r="F1238" s="28"/>
      <c r="G1238" s="27"/>
      <c r="H1238" s="28" t="e">
        <f ca="1"/>
        <v>#REF!</v>
      </c>
      <c r="I1238" s="27" t="e">
        <f ca="1"/>
        <v>#REF!</v>
      </c>
      <c r="J1238" s="28" t="e">
        <f ca="1"/>
        <v>#REF!</v>
      </c>
      <c r="K1238" s="27" t="e">
        <f ca="1"/>
        <v>#REF!</v>
      </c>
      <c r="L1238" s="25" t="e">
        <f ca="1"/>
        <v>#REF!</v>
      </c>
      <c r="M1238" s="25" t="e">
        <f ca="1"/>
        <v>#REF!</v>
      </c>
      <c r="N1238" s="25" t="e">
        <f ca="1"/>
        <v>#REF!</v>
      </c>
      <c r="O1238" s="25" t="e">
        <f ca="1"/>
        <v>#REF!</v>
      </c>
      <c r="P1238" s="25" t="e">
        <f ca="1"/>
        <v>#REF!</v>
      </c>
      <c r="Q1238" s="25" t="e">
        <f ca="1"/>
        <v>#REF!</v>
      </c>
      <c r="R1238" s="25" t="e">
        <f ca="1"/>
        <v>#REF!</v>
      </c>
      <c r="S1238" s="25" t="e">
        <f ca="1"/>
        <v>#REF!</v>
      </c>
      <c r="T1238" s="25" t="e">
        <f ca="1"/>
        <v>#REF!</v>
      </c>
      <c r="U1238" s="25" t="e">
        <f ca="1"/>
        <v>#REF!</v>
      </c>
      <c r="V1238" s="25" t="e">
        <f ca="1"/>
        <v>#REF!</v>
      </c>
      <c r="W1238" s="33" t="e">
        <f ca="1"/>
        <v>#REF!</v>
      </c>
      <c r="X1238" s="33" t="e">
        <f ca="1"/>
        <v>#REF!</v>
      </c>
      <c r="Y1238" s="33" t="e">
        <f ca="1"/>
        <v>#REF!</v>
      </c>
      <c r="Z1238" s="33" t="e">
        <f ca="1"/>
        <v>#REF!</v>
      </c>
      <c r="AA1238" s="33" t="e">
        <f ca="1"/>
        <v>#REF!</v>
      </c>
    </row>
    <row r="1239" spans="1:27" s="70" customFormat="1" ht="11.25" x14ac:dyDescent="0.2">
      <c r="A1239" s="24">
        <v>1233</v>
      </c>
      <c r="B1239" s="27"/>
      <c r="C1239" s="28"/>
      <c r="D1239" s="71"/>
      <c r="E1239" s="28"/>
      <c r="F1239" s="28"/>
      <c r="G1239" s="27"/>
      <c r="H1239" s="28" t="e">
        <f ca="1"/>
        <v>#REF!</v>
      </c>
      <c r="I1239" s="27" t="e">
        <f ca="1"/>
        <v>#REF!</v>
      </c>
      <c r="J1239" s="28" t="e">
        <f ca="1"/>
        <v>#REF!</v>
      </c>
      <c r="K1239" s="27" t="e">
        <f ca="1"/>
        <v>#REF!</v>
      </c>
      <c r="L1239" s="25" t="e">
        <f ca="1"/>
        <v>#REF!</v>
      </c>
      <c r="M1239" s="25" t="e">
        <f ca="1"/>
        <v>#REF!</v>
      </c>
      <c r="N1239" s="25" t="e">
        <f ca="1"/>
        <v>#REF!</v>
      </c>
      <c r="O1239" s="25" t="e">
        <f ca="1"/>
        <v>#REF!</v>
      </c>
      <c r="P1239" s="25" t="e">
        <f ca="1"/>
        <v>#REF!</v>
      </c>
      <c r="Q1239" s="25" t="e">
        <f ca="1"/>
        <v>#REF!</v>
      </c>
      <c r="R1239" s="25" t="e">
        <f ca="1"/>
        <v>#REF!</v>
      </c>
      <c r="S1239" s="25" t="e">
        <f ca="1"/>
        <v>#REF!</v>
      </c>
      <c r="T1239" s="25" t="e">
        <f ca="1"/>
        <v>#REF!</v>
      </c>
      <c r="U1239" s="25" t="e">
        <f ca="1"/>
        <v>#REF!</v>
      </c>
      <c r="V1239" s="25" t="e">
        <f ca="1"/>
        <v>#REF!</v>
      </c>
      <c r="W1239" s="33" t="e">
        <f ca="1"/>
        <v>#REF!</v>
      </c>
      <c r="X1239" s="33" t="e">
        <f ca="1"/>
        <v>#REF!</v>
      </c>
      <c r="Y1239" s="33" t="e">
        <f ca="1"/>
        <v>#REF!</v>
      </c>
      <c r="Z1239" s="33" t="e">
        <f ca="1"/>
        <v>#REF!</v>
      </c>
      <c r="AA1239" s="33" t="e">
        <f ca="1"/>
        <v>#REF!</v>
      </c>
    </row>
    <row r="1240" spans="1:27" s="70" customFormat="1" ht="11.25" x14ac:dyDescent="0.2">
      <c r="A1240" s="24">
        <v>1234</v>
      </c>
      <c r="B1240" s="27"/>
      <c r="C1240" s="28"/>
      <c r="D1240" s="71"/>
      <c r="E1240" s="28"/>
      <c r="F1240" s="28"/>
      <c r="G1240" s="27"/>
      <c r="H1240" s="28" t="e">
        <f ca="1"/>
        <v>#REF!</v>
      </c>
      <c r="I1240" s="27" t="e">
        <f ca="1"/>
        <v>#REF!</v>
      </c>
      <c r="J1240" s="28" t="e">
        <f ca="1"/>
        <v>#REF!</v>
      </c>
      <c r="K1240" s="27" t="e">
        <f ca="1"/>
        <v>#REF!</v>
      </c>
      <c r="L1240" s="25" t="e">
        <f ca="1"/>
        <v>#REF!</v>
      </c>
      <c r="M1240" s="25" t="e">
        <f ca="1"/>
        <v>#REF!</v>
      </c>
      <c r="N1240" s="25" t="e">
        <f ca="1"/>
        <v>#REF!</v>
      </c>
      <c r="O1240" s="25" t="e">
        <f ca="1"/>
        <v>#REF!</v>
      </c>
      <c r="P1240" s="25" t="e">
        <f ca="1"/>
        <v>#REF!</v>
      </c>
      <c r="Q1240" s="25" t="e">
        <f ca="1"/>
        <v>#REF!</v>
      </c>
      <c r="R1240" s="25" t="e">
        <f ca="1"/>
        <v>#REF!</v>
      </c>
      <c r="S1240" s="25" t="e">
        <f ca="1"/>
        <v>#REF!</v>
      </c>
      <c r="T1240" s="25" t="e">
        <f ca="1"/>
        <v>#REF!</v>
      </c>
      <c r="U1240" s="25" t="e">
        <f ca="1"/>
        <v>#REF!</v>
      </c>
      <c r="V1240" s="25" t="e">
        <f ca="1"/>
        <v>#REF!</v>
      </c>
      <c r="W1240" s="33" t="e">
        <f ca="1"/>
        <v>#REF!</v>
      </c>
      <c r="X1240" s="33" t="e">
        <f ca="1"/>
        <v>#REF!</v>
      </c>
      <c r="Y1240" s="33" t="e">
        <f ca="1"/>
        <v>#REF!</v>
      </c>
      <c r="Z1240" s="33" t="e">
        <f ca="1"/>
        <v>#REF!</v>
      </c>
      <c r="AA1240" s="33" t="e">
        <f ca="1"/>
        <v>#REF!</v>
      </c>
    </row>
    <row r="1241" spans="1:27" s="70" customFormat="1" ht="11.25" x14ac:dyDescent="0.2">
      <c r="A1241" s="24">
        <v>1235</v>
      </c>
      <c r="B1241" s="27"/>
      <c r="C1241" s="28"/>
      <c r="D1241" s="71"/>
      <c r="E1241" s="28"/>
      <c r="F1241" s="28"/>
      <c r="G1241" s="27"/>
      <c r="H1241" s="28" t="e">
        <f ca="1"/>
        <v>#REF!</v>
      </c>
      <c r="I1241" s="27" t="e">
        <f ca="1"/>
        <v>#REF!</v>
      </c>
      <c r="J1241" s="28" t="e">
        <f ca="1"/>
        <v>#REF!</v>
      </c>
      <c r="K1241" s="27" t="e">
        <f ca="1"/>
        <v>#REF!</v>
      </c>
      <c r="L1241" s="25" t="e">
        <f ca="1"/>
        <v>#REF!</v>
      </c>
      <c r="M1241" s="25" t="e">
        <f ca="1"/>
        <v>#REF!</v>
      </c>
      <c r="N1241" s="25" t="e">
        <f ca="1"/>
        <v>#REF!</v>
      </c>
      <c r="O1241" s="25" t="e">
        <f ca="1"/>
        <v>#REF!</v>
      </c>
      <c r="P1241" s="25" t="e">
        <f ca="1"/>
        <v>#REF!</v>
      </c>
      <c r="Q1241" s="25" t="e">
        <f ca="1"/>
        <v>#REF!</v>
      </c>
      <c r="R1241" s="25" t="e">
        <f ca="1"/>
        <v>#REF!</v>
      </c>
      <c r="S1241" s="25" t="e">
        <f ca="1"/>
        <v>#REF!</v>
      </c>
      <c r="T1241" s="25" t="e">
        <f ca="1"/>
        <v>#REF!</v>
      </c>
      <c r="U1241" s="25" t="e">
        <f ca="1"/>
        <v>#REF!</v>
      </c>
      <c r="V1241" s="25" t="e">
        <f ca="1"/>
        <v>#REF!</v>
      </c>
      <c r="W1241" s="33" t="e">
        <f ca="1"/>
        <v>#REF!</v>
      </c>
      <c r="X1241" s="33" t="e">
        <f ca="1"/>
        <v>#REF!</v>
      </c>
      <c r="Y1241" s="33" t="e">
        <f ca="1"/>
        <v>#REF!</v>
      </c>
      <c r="Z1241" s="33" t="e">
        <f ca="1"/>
        <v>#REF!</v>
      </c>
      <c r="AA1241" s="33" t="e">
        <f ca="1"/>
        <v>#REF!</v>
      </c>
    </row>
    <row r="1242" spans="1:27" s="70" customFormat="1" ht="11.25" x14ac:dyDescent="0.2">
      <c r="A1242" s="24">
        <v>1236</v>
      </c>
      <c r="B1242" s="27"/>
      <c r="C1242" s="28"/>
      <c r="D1242" s="71"/>
      <c r="E1242" s="28"/>
      <c r="F1242" s="28"/>
      <c r="G1242" s="27"/>
      <c r="H1242" s="28" t="e">
        <f ca="1"/>
        <v>#REF!</v>
      </c>
      <c r="I1242" s="27" t="e">
        <f ca="1"/>
        <v>#REF!</v>
      </c>
      <c r="J1242" s="28" t="e">
        <f ca="1"/>
        <v>#REF!</v>
      </c>
      <c r="K1242" s="27" t="e">
        <f ca="1"/>
        <v>#REF!</v>
      </c>
      <c r="L1242" s="25" t="e">
        <f ca="1"/>
        <v>#REF!</v>
      </c>
      <c r="M1242" s="25" t="e">
        <f ca="1"/>
        <v>#REF!</v>
      </c>
      <c r="N1242" s="25" t="e">
        <f ca="1"/>
        <v>#REF!</v>
      </c>
      <c r="O1242" s="25" t="e">
        <f ca="1"/>
        <v>#REF!</v>
      </c>
      <c r="P1242" s="25" t="e">
        <f ca="1"/>
        <v>#REF!</v>
      </c>
      <c r="Q1242" s="25" t="e">
        <f ca="1"/>
        <v>#REF!</v>
      </c>
      <c r="R1242" s="25" t="e">
        <f ca="1"/>
        <v>#REF!</v>
      </c>
      <c r="S1242" s="25" t="e">
        <f ca="1"/>
        <v>#REF!</v>
      </c>
      <c r="T1242" s="25" t="e">
        <f ca="1"/>
        <v>#REF!</v>
      </c>
      <c r="U1242" s="25" t="e">
        <f ca="1"/>
        <v>#REF!</v>
      </c>
      <c r="V1242" s="25" t="e">
        <f ca="1"/>
        <v>#REF!</v>
      </c>
      <c r="W1242" s="33" t="e">
        <f ca="1"/>
        <v>#REF!</v>
      </c>
      <c r="X1242" s="33" t="e">
        <f ca="1"/>
        <v>#REF!</v>
      </c>
      <c r="Y1242" s="33" t="e">
        <f ca="1"/>
        <v>#REF!</v>
      </c>
      <c r="Z1242" s="33" t="e">
        <f ca="1"/>
        <v>#REF!</v>
      </c>
      <c r="AA1242" s="33" t="e">
        <f ca="1"/>
        <v>#REF!</v>
      </c>
    </row>
    <row r="1243" spans="1:27" s="70" customFormat="1" ht="11.25" x14ac:dyDescent="0.2">
      <c r="A1243" s="24">
        <v>1237</v>
      </c>
      <c r="B1243" s="27"/>
      <c r="C1243" s="28"/>
      <c r="D1243" s="71"/>
      <c r="E1243" s="28"/>
      <c r="F1243" s="28"/>
      <c r="G1243" s="27"/>
      <c r="H1243" s="28" t="e">
        <f ca="1"/>
        <v>#REF!</v>
      </c>
      <c r="I1243" s="27" t="e">
        <f ca="1"/>
        <v>#REF!</v>
      </c>
      <c r="J1243" s="28" t="e">
        <f ca="1"/>
        <v>#REF!</v>
      </c>
      <c r="K1243" s="27" t="e">
        <f ca="1"/>
        <v>#REF!</v>
      </c>
      <c r="L1243" s="25" t="e">
        <f ca="1"/>
        <v>#REF!</v>
      </c>
      <c r="M1243" s="25" t="e">
        <f ca="1"/>
        <v>#REF!</v>
      </c>
      <c r="N1243" s="25" t="e">
        <f ca="1"/>
        <v>#REF!</v>
      </c>
      <c r="O1243" s="25" t="e">
        <f ca="1"/>
        <v>#REF!</v>
      </c>
      <c r="P1243" s="25" t="e">
        <f ca="1"/>
        <v>#REF!</v>
      </c>
      <c r="Q1243" s="25" t="e">
        <f ca="1"/>
        <v>#REF!</v>
      </c>
      <c r="R1243" s="25" t="e">
        <f ca="1"/>
        <v>#REF!</v>
      </c>
      <c r="S1243" s="25" t="e">
        <f ca="1"/>
        <v>#REF!</v>
      </c>
      <c r="T1243" s="25" t="e">
        <f ca="1"/>
        <v>#REF!</v>
      </c>
      <c r="U1243" s="25" t="e">
        <f ca="1"/>
        <v>#REF!</v>
      </c>
      <c r="V1243" s="25" t="e">
        <f ca="1"/>
        <v>#REF!</v>
      </c>
      <c r="W1243" s="33" t="e">
        <f ca="1"/>
        <v>#REF!</v>
      </c>
      <c r="X1243" s="33" t="e">
        <f ca="1"/>
        <v>#REF!</v>
      </c>
      <c r="Y1243" s="33" t="e">
        <f ca="1"/>
        <v>#REF!</v>
      </c>
      <c r="Z1243" s="33" t="e">
        <f ca="1"/>
        <v>#REF!</v>
      </c>
      <c r="AA1243" s="33" t="e">
        <f ca="1"/>
        <v>#REF!</v>
      </c>
    </row>
    <row r="1244" spans="1:27" s="70" customFormat="1" ht="11.25" x14ac:dyDescent="0.2">
      <c r="A1244" s="24">
        <v>1238</v>
      </c>
      <c r="B1244" s="27"/>
      <c r="C1244" s="28"/>
      <c r="D1244" s="71"/>
      <c r="E1244" s="28"/>
      <c r="F1244" s="28"/>
      <c r="G1244" s="27"/>
      <c r="H1244" s="28" t="e">
        <f ca="1"/>
        <v>#REF!</v>
      </c>
      <c r="I1244" s="27" t="e">
        <f ca="1"/>
        <v>#REF!</v>
      </c>
      <c r="J1244" s="28" t="e">
        <f ca="1"/>
        <v>#REF!</v>
      </c>
      <c r="K1244" s="27" t="e">
        <f ca="1"/>
        <v>#REF!</v>
      </c>
      <c r="L1244" s="25" t="e">
        <f ca="1"/>
        <v>#REF!</v>
      </c>
      <c r="M1244" s="25" t="e">
        <f ca="1"/>
        <v>#REF!</v>
      </c>
      <c r="N1244" s="25" t="e">
        <f ca="1"/>
        <v>#REF!</v>
      </c>
      <c r="O1244" s="25" t="e">
        <f ca="1"/>
        <v>#REF!</v>
      </c>
      <c r="P1244" s="25" t="e">
        <f ca="1"/>
        <v>#REF!</v>
      </c>
      <c r="Q1244" s="25" t="e">
        <f ca="1"/>
        <v>#REF!</v>
      </c>
      <c r="R1244" s="25" t="e">
        <f ca="1"/>
        <v>#REF!</v>
      </c>
      <c r="S1244" s="25" t="e">
        <f ca="1"/>
        <v>#REF!</v>
      </c>
      <c r="T1244" s="25" t="e">
        <f ca="1"/>
        <v>#REF!</v>
      </c>
      <c r="U1244" s="25" t="e">
        <f ca="1"/>
        <v>#REF!</v>
      </c>
      <c r="V1244" s="25" t="e">
        <f ca="1"/>
        <v>#REF!</v>
      </c>
      <c r="W1244" s="33" t="e">
        <f ca="1"/>
        <v>#REF!</v>
      </c>
      <c r="X1244" s="33" t="e">
        <f ca="1"/>
        <v>#REF!</v>
      </c>
      <c r="Y1244" s="33" t="e">
        <f ca="1"/>
        <v>#REF!</v>
      </c>
      <c r="Z1244" s="33" t="e">
        <f ca="1"/>
        <v>#REF!</v>
      </c>
      <c r="AA1244" s="33" t="e">
        <f ca="1"/>
        <v>#REF!</v>
      </c>
    </row>
    <row r="1245" spans="1:27" s="70" customFormat="1" ht="11.25" x14ac:dyDescent="0.2">
      <c r="A1245" s="24">
        <v>1239</v>
      </c>
      <c r="B1245" s="27"/>
      <c r="C1245" s="28"/>
      <c r="D1245" s="71"/>
      <c r="E1245" s="28"/>
      <c r="F1245" s="28"/>
      <c r="G1245" s="27"/>
      <c r="H1245" s="28" t="e">
        <f ca="1"/>
        <v>#REF!</v>
      </c>
      <c r="I1245" s="27" t="e">
        <f ca="1"/>
        <v>#REF!</v>
      </c>
      <c r="J1245" s="28" t="e">
        <f ca="1"/>
        <v>#REF!</v>
      </c>
      <c r="K1245" s="27" t="e">
        <f ca="1"/>
        <v>#REF!</v>
      </c>
      <c r="L1245" s="25" t="e">
        <f ca="1"/>
        <v>#REF!</v>
      </c>
      <c r="M1245" s="25" t="e">
        <f ca="1"/>
        <v>#REF!</v>
      </c>
      <c r="N1245" s="25" t="e">
        <f ca="1"/>
        <v>#REF!</v>
      </c>
      <c r="O1245" s="25" t="e">
        <f ca="1"/>
        <v>#REF!</v>
      </c>
      <c r="P1245" s="25" t="e">
        <f ca="1"/>
        <v>#REF!</v>
      </c>
      <c r="Q1245" s="25" t="e">
        <f ca="1"/>
        <v>#REF!</v>
      </c>
      <c r="R1245" s="25" t="e">
        <f ca="1"/>
        <v>#REF!</v>
      </c>
      <c r="S1245" s="25" t="e">
        <f ca="1"/>
        <v>#REF!</v>
      </c>
      <c r="T1245" s="25" t="e">
        <f ca="1"/>
        <v>#REF!</v>
      </c>
      <c r="U1245" s="25" t="e">
        <f ca="1"/>
        <v>#REF!</v>
      </c>
      <c r="V1245" s="25" t="e">
        <f ca="1"/>
        <v>#REF!</v>
      </c>
      <c r="W1245" s="33" t="e">
        <f ca="1"/>
        <v>#REF!</v>
      </c>
      <c r="X1245" s="33" t="e">
        <f ca="1"/>
        <v>#REF!</v>
      </c>
      <c r="Y1245" s="33" t="e">
        <f ca="1"/>
        <v>#REF!</v>
      </c>
      <c r="Z1245" s="33" t="e">
        <f ca="1"/>
        <v>#REF!</v>
      </c>
      <c r="AA1245" s="33" t="e">
        <f ca="1"/>
        <v>#REF!</v>
      </c>
    </row>
    <row r="1246" spans="1:27" s="70" customFormat="1" ht="11.25" x14ac:dyDescent="0.2">
      <c r="A1246" s="24">
        <v>1240</v>
      </c>
      <c r="B1246" s="27"/>
      <c r="C1246" s="28"/>
      <c r="D1246" s="71"/>
      <c r="E1246" s="28"/>
      <c r="F1246" s="28"/>
      <c r="G1246" s="27"/>
      <c r="H1246" s="28" t="e">
        <f ca="1"/>
        <v>#REF!</v>
      </c>
      <c r="I1246" s="27" t="e">
        <f ca="1"/>
        <v>#REF!</v>
      </c>
      <c r="J1246" s="28" t="e">
        <f ca="1"/>
        <v>#REF!</v>
      </c>
      <c r="K1246" s="27" t="e">
        <f ca="1"/>
        <v>#REF!</v>
      </c>
      <c r="L1246" s="25" t="e">
        <f ca="1"/>
        <v>#REF!</v>
      </c>
      <c r="M1246" s="25" t="e">
        <f ca="1"/>
        <v>#REF!</v>
      </c>
      <c r="N1246" s="25" t="e">
        <f ca="1"/>
        <v>#REF!</v>
      </c>
      <c r="O1246" s="25" t="e">
        <f ca="1"/>
        <v>#REF!</v>
      </c>
      <c r="P1246" s="25" t="e">
        <f ca="1"/>
        <v>#REF!</v>
      </c>
      <c r="Q1246" s="25" t="e">
        <f ca="1"/>
        <v>#REF!</v>
      </c>
      <c r="R1246" s="25" t="e">
        <f ca="1"/>
        <v>#REF!</v>
      </c>
      <c r="S1246" s="25" t="e">
        <f ca="1"/>
        <v>#REF!</v>
      </c>
      <c r="T1246" s="25" t="e">
        <f ca="1"/>
        <v>#REF!</v>
      </c>
      <c r="U1246" s="25" t="e">
        <f ca="1"/>
        <v>#REF!</v>
      </c>
      <c r="V1246" s="25" t="e">
        <f ca="1"/>
        <v>#REF!</v>
      </c>
      <c r="W1246" s="33" t="e">
        <f ca="1"/>
        <v>#REF!</v>
      </c>
      <c r="X1246" s="33" t="e">
        <f ca="1"/>
        <v>#REF!</v>
      </c>
      <c r="Y1246" s="33" t="e">
        <f ca="1"/>
        <v>#REF!</v>
      </c>
      <c r="Z1246" s="33" t="e">
        <f ca="1"/>
        <v>#REF!</v>
      </c>
      <c r="AA1246" s="33" t="e">
        <f ca="1"/>
        <v>#REF!</v>
      </c>
    </row>
    <row r="1247" spans="1:27" s="70" customFormat="1" ht="11.25" x14ac:dyDescent="0.2">
      <c r="A1247" s="24">
        <v>1241</v>
      </c>
      <c r="B1247" s="27"/>
      <c r="C1247" s="28"/>
      <c r="D1247" s="71"/>
      <c r="E1247" s="28"/>
      <c r="F1247" s="28"/>
      <c r="G1247" s="27"/>
      <c r="H1247" s="28" t="e">
        <f ca="1"/>
        <v>#REF!</v>
      </c>
      <c r="I1247" s="27" t="e">
        <f ca="1"/>
        <v>#REF!</v>
      </c>
      <c r="J1247" s="28" t="e">
        <f ca="1"/>
        <v>#REF!</v>
      </c>
      <c r="K1247" s="27" t="e">
        <f ca="1"/>
        <v>#REF!</v>
      </c>
      <c r="L1247" s="25" t="e">
        <f ca="1"/>
        <v>#REF!</v>
      </c>
      <c r="M1247" s="25" t="e">
        <f ca="1"/>
        <v>#REF!</v>
      </c>
      <c r="N1247" s="25" t="e">
        <f ca="1"/>
        <v>#REF!</v>
      </c>
      <c r="O1247" s="25" t="e">
        <f ca="1"/>
        <v>#REF!</v>
      </c>
      <c r="P1247" s="25" t="e">
        <f ca="1"/>
        <v>#REF!</v>
      </c>
      <c r="Q1247" s="25" t="e">
        <f ca="1"/>
        <v>#REF!</v>
      </c>
      <c r="R1247" s="25" t="e">
        <f ca="1"/>
        <v>#REF!</v>
      </c>
      <c r="S1247" s="25" t="e">
        <f ca="1"/>
        <v>#REF!</v>
      </c>
      <c r="T1247" s="25" t="e">
        <f ca="1"/>
        <v>#REF!</v>
      </c>
      <c r="U1247" s="25" t="e">
        <f ca="1"/>
        <v>#REF!</v>
      </c>
      <c r="V1247" s="25" t="e">
        <f ca="1"/>
        <v>#REF!</v>
      </c>
      <c r="W1247" s="33" t="e">
        <f ca="1"/>
        <v>#REF!</v>
      </c>
      <c r="X1247" s="33" t="e">
        <f ca="1"/>
        <v>#REF!</v>
      </c>
      <c r="Y1247" s="33" t="e">
        <f ca="1"/>
        <v>#REF!</v>
      </c>
      <c r="Z1247" s="33" t="e">
        <f ca="1"/>
        <v>#REF!</v>
      </c>
      <c r="AA1247" s="33" t="e">
        <f ca="1"/>
        <v>#REF!</v>
      </c>
    </row>
    <row r="1248" spans="1:27" s="70" customFormat="1" ht="11.25" x14ac:dyDescent="0.2">
      <c r="A1248" s="24">
        <v>1242</v>
      </c>
      <c r="B1248" s="27"/>
      <c r="C1248" s="28"/>
      <c r="D1248" s="71"/>
      <c r="E1248" s="28"/>
      <c r="F1248" s="28"/>
      <c r="G1248" s="27"/>
      <c r="H1248" s="28" t="e">
        <f ca="1"/>
        <v>#REF!</v>
      </c>
      <c r="I1248" s="27" t="e">
        <f ca="1"/>
        <v>#REF!</v>
      </c>
      <c r="J1248" s="28" t="e">
        <f ca="1"/>
        <v>#REF!</v>
      </c>
      <c r="K1248" s="27" t="e">
        <f ca="1"/>
        <v>#REF!</v>
      </c>
      <c r="L1248" s="25" t="e">
        <f ca="1"/>
        <v>#REF!</v>
      </c>
      <c r="M1248" s="25" t="e">
        <f ca="1"/>
        <v>#REF!</v>
      </c>
      <c r="N1248" s="25" t="e">
        <f ca="1"/>
        <v>#REF!</v>
      </c>
      <c r="O1248" s="25" t="e">
        <f ca="1"/>
        <v>#REF!</v>
      </c>
      <c r="P1248" s="25" t="e">
        <f ca="1"/>
        <v>#REF!</v>
      </c>
      <c r="Q1248" s="25" t="e">
        <f ca="1"/>
        <v>#REF!</v>
      </c>
      <c r="R1248" s="25" t="e">
        <f ca="1"/>
        <v>#REF!</v>
      </c>
      <c r="S1248" s="25" t="e">
        <f ca="1"/>
        <v>#REF!</v>
      </c>
      <c r="T1248" s="25" t="e">
        <f ca="1"/>
        <v>#REF!</v>
      </c>
      <c r="U1248" s="25" t="e">
        <f ca="1"/>
        <v>#REF!</v>
      </c>
      <c r="V1248" s="25" t="e">
        <f ca="1"/>
        <v>#REF!</v>
      </c>
      <c r="W1248" s="33" t="e">
        <f ca="1"/>
        <v>#REF!</v>
      </c>
      <c r="X1248" s="33" t="e">
        <f ca="1"/>
        <v>#REF!</v>
      </c>
      <c r="Y1248" s="33" t="e">
        <f ca="1"/>
        <v>#REF!</v>
      </c>
      <c r="Z1248" s="33" t="e">
        <f ca="1"/>
        <v>#REF!</v>
      </c>
      <c r="AA1248" s="33" t="e">
        <f ca="1"/>
        <v>#REF!</v>
      </c>
    </row>
    <row r="1249" spans="1:27" s="70" customFormat="1" ht="11.25" x14ac:dyDescent="0.2">
      <c r="A1249" s="24">
        <v>1243</v>
      </c>
      <c r="B1249" s="27"/>
      <c r="C1249" s="28"/>
      <c r="D1249" s="71"/>
      <c r="E1249" s="28"/>
      <c r="F1249" s="28"/>
      <c r="G1249" s="27"/>
      <c r="H1249" s="28" t="e">
        <f ca="1"/>
        <v>#REF!</v>
      </c>
      <c r="I1249" s="27" t="e">
        <f ca="1"/>
        <v>#REF!</v>
      </c>
      <c r="J1249" s="28" t="e">
        <f ca="1"/>
        <v>#REF!</v>
      </c>
      <c r="K1249" s="27" t="e">
        <f ca="1"/>
        <v>#REF!</v>
      </c>
      <c r="L1249" s="25" t="e">
        <f ca="1"/>
        <v>#REF!</v>
      </c>
      <c r="M1249" s="25" t="e">
        <f ca="1"/>
        <v>#REF!</v>
      </c>
      <c r="N1249" s="25" t="e">
        <f ca="1"/>
        <v>#REF!</v>
      </c>
      <c r="O1249" s="25" t="e">
        <f ca="1"/>
        <v>#REF!</v>
      </c>
      <c r="P1249" s="25" t="e">
        <f ca="1"/>
        <v>#REF!</v>
      </c>
      <c r="Q1249" s="25" t="e">
        <f ca="1"/>
        <v>#REF!</v>
      </c>
      <c r="R1249" s="25" t="e">
        <f ca="1"/>
        <v>#REF!</v>
      </c>
      <c r="S1249" s="25" t="e">
        <f ca="1"/>
        <v>#REF!</v>
      </c>
      <c r="T1249" s="25" t="e">
        <f ca="1"/>
        <v>#REF!</v>
      </c>
      <c r="U1249" s="25" t="e">
        <f ca="1"/>
        <v>#REF!</v>
      </c>
      <c r="V1249" s="25" t="e">
        <f ca="1"/>
        <v>#REF!</v>
      </c>
      <c r="W1249" s="33" t="e">
        <f ca="1"/>
        <v>#REF!</v>
      </c>
      <c r="X1249" s="33" t="e">
        <f ca="1"/>
        <v>#REF!</v>
      </c>
      <c r="Y1249" s="33" t="e">
        <f ca="1"/>
        <v>#REF!</v>
      </c>
      <c r="Z1249" s="33" t="e">
        <f ca="1"/>
        <v>#REF!</v>
      </c>
      <c r="AA1249" s="33" t="e">
        <f ca="1"/>
        <v>#REF!</v>
      </c>
    </row>
    <row r="1250" spans="1:27" s="70" customFormat="1" ht="11.25" x14ac:dyDescent="0.2">
      <c r="A1250" s="24">
        <v>1244</v>
      </c>
      <c r="B1250" s="27"/>
      <c r="C1250" s="28"/>
      <c r="D1250" s="71"/>
      <c r="E1250" s="28"/>
      <c r="F1250" s="28"/>
      <c r="G1250" s="27"/>
      <c r="H1250" s="28" t="e">
        <f ca="1"/>
        <v>#REF!</v>
      </c>
      <c r="I1250" s="27" t="e">
        <f ca="1"/>
        <v>#REF!</v>
      </c>
      <c r="J1250" s="28" t="e">
        <f ca="1"/>
        <v>#REF!</v>
      </c>
      <c r="K1250" s="27" t="e">
        <f ca="1"/>
        <v>#REF!</v>
      </c>
      <c r="L1250" s="25" t="e">
        <f ca="1"/>
        <v>#REF!</v>
      </c>
      <c r="M1250" s="25" t="e">
        <f ca="1"/>
        <v>#REF!</v>
      </c>
      <c r="N1250" s="25" t="e">
        <f ca="1"/>
        <v>#REF!</v>
      </c>
      <c r="O1250" s="25" t="e">
        <f ca="1"/>
        <v>#REF!</v>
      </c>
      <c r="P1250" s="25" t="e">
        <f ca="1"/>
        <v>#REF!</v>
      </c>
      <c r="Q1250" s="25" t="e">
        <f ca="1"/>
        <v>#REF!</v>
      </c>
      <c r="R1250" s="25" t="e">
        <f ca="1"/>
        <v>#REF!</v>
      </c>
      <c r="S1250" s="25" t="e">
        <f ca="1"/>
        <v>#REF!</v>
      </c>
      <c r="T1250" s="25" t="e">
        <f ca="1"/>
        <v>#REF!</v>
      </c>
      <c r="U1250" s="25" t="e">
        <f ca="1"/>
        <v>#REF!</v>
      </c>
      <c r="V1250" s="25" t="e">
        <f ca="1"/>
        <v>#REF!</v>
      </c>
      <c r="W1250" s="33" t="e">
        <f ca="1"/>
        <v>#REF!</v>
      </c>
      <c r="X1250" s="33" t="e">
        <f ca="1"/>
        <v>#REF!</v>
      </c>
      <c r="Y1250" s="33" t="e">
        <f ca="1"/>
        <v>#REF!</v>
      </c>
      <c r="Z1250" s="33" t="e">
        <f ca="1"/>
        <v>#REF!</v>
      </c>
      <c r="AA1250" s="33" t="e">
        <f ca="1"/>
        <v>#REF!</v>
      </c>
    </row>
    <row r="1251" spans="1:27" s="70" customFormat="1" ht="11.25" x14ac:dyDescent="0.2">
      <c r="A1251" s="24">
        <v>1245</v>
      </c>
      <c r="B1251" s="27"/>
      <c r="C1251" s="28"/>
      <c r="D1251" s="71"/>
      <c r="E1251" s="28"/>
      <c r="F1251" s="28"/>
      <c r="G1251" s="27"/>
      <c r="H1251" s="28" t="e">
        <f ca="1"/>
        <v>#REF!</v>
      </c>
      <c r="I1251" s="27" t="e">
        <f ca="1"/>
        <v>#REF!</v>
      </c>
      <c r="J1251" s="28" t="e">
        <f ca="1"/>
        <v>#REF!</v>
      </c>
      <c r="K1251" s="27" t="e">
        <f ca="1"/>
        <v>#REF!</v>
      </c>
      <c r="L1251" s="25" t="e">
        <f ca="1"/>
        <v>#REF!</v>
      </c>
      <c r="M1251" s="25" t="e">
        <f ca="1"/>
        <v>#REF!</v>
      </c>
      <c r="N1251" s="25" t="e">
        <f ca="1"/>
        <v>#REF!</v>
      </c>
      <c r="O1251" s="25" t="e">
        <f ca="1"/>
        <v>#REF!</v>
      </c>
      <c r="P1251" s="25" t="e">
        <f ca="1"/>
        <v>#REF!</v>
      </c>
      <c r="Q1251" s="25" t="e">
        <f ca="1"/>
        <v>#REF!</v>
      </c>
      <c r="R1251" s="25" t="e">
        <f ca="1"/>
        <v>#REF!</v>
      </c>
      <c r="S1251" s="25" t="e">
        <f ca="1"/>
        <v>#REF!</v>
      </c>
      <c r="T1251" s="25" t="e">
        <f ca="1"/>
        <v>#REF!</v>
      </c>
      <c r="U1251" s="25" t="e">
        <f ca="1"/>
        <v>#REF!</v>
      </c>
      <c r="V1251" s="25" t="e">
        <f ca="1"/>
        <v>#REF!</v>
      </c>
      <c r="W1251" s="33" t="e">
        <f ca="1"/>
        <v>#REF!</v>
      </c>
      <c r="X1251" s="33" t="e">
        <f ca="1"/>
        <v>#REF!</v>
      </c>
      <c r="Y1251" s="33" t="e">
        <f ca="1"/>
        <v>#REF!</v>
      </c>
      <c r="Z1251" s="33" t="e">
        <f ca="1"/>
        <v>#REF!</v>
      </c>
      <c r="AA1251" s="33" t="e">
        <f ca="1"/>
        <v>#REF!</v>
      </c>
    </row>
    <row r="1252" spans="1:27" s="70" customFormat="1" ht="11.25" x14ac:dyDescent="0.2">
      <c r="A1252" s="24">
        <v>1246</v>
      </c>
      <c r="B1252" s="27"/>
      <c r="C1252" s="28"/>
      <c r="D1252" s="71"/>
      <c r="E1252" s="28"/>
      <c r="F1252" s="28"/>
      <c r="G1252" s="27"/>
      <c r="H1252" s="28" t="e">
        <f ca="1"/>
        <v>#REF!</v>
      </c>
      <c r="I1252" s="27" t="e">
        <f ca="1"/>
        <v>#REF!</v>
      </c>
      <c r="J1252" s="28" t="e">
        <f ca="1"/>
        <v>#REF!</v>
      </c>
      <c r="K1252" s="27" t="e">
        <f ca="1"/>
        <v>#REF!</v>
      </c>
      <c r="L1252" s="25" t="e">
        <f ca="1"/>
        <v>#REF!</v>
      </c>
      <c r="M1252" s="25" t="e">
        <f ca="1"/>
        <v>#REF!</v>
      </c>
      <c r="N1252" s="25" t="e">
        <f ca="1"/>
        <v>#REF!</v>
      </c>
      <c r="O1252" s="25" t="e">
        <f ca="1"/>
        <v>#REF!</v>
      </c>
      <c r="P1252" s="25" t="e">
        <f ca="1"/>
        <v>#REF!</v>
      </c>
      <c r="Q1252" s="25" t="e">
        <f ca="1"/>
        <v>#REF!</v>
      </c>
      <c r="R1252" s="25" t="e">
        <f ca="1"/>
        <v>#REF!</v>
      </c>
      <c r="S1252" s="25" t="e">
        <f ca="1"/>
        <v>#REF!</v>
      </c>
      <c r="T1252" s="25" t="e">
        <f ca="1"/>
        <v>#REF!</v>
      </c>
      <c r="U1252" s="25" t="e">
        <f ca="1"/>
        <v>#REF!</v>
      </c>
      <c r="V1252" s="25" t="e">
        <f ca="1"/>
        <v>#REF!</v>
      </c>
      <c r="W1252" s="33" t="e">
        <f ca="1"/>
        <v>#REF!</v>
      </c>
      <c r="X1252" s="33" t="e">
        <f ca="1"/>
        <v>#REF!</v>
      </c>
      <c r="Y1252" s="33" t="e">
        <f ca="1"/>
        <v>#REF!</v>
      </c>
      <c r="Z1252" s="33" t="e">
        <f ca="1"/>
        <v>#REF!</v>
      </c>
      <c r="AA1252" s="33" t="e">
        <f ca="1"/>
        <v>#REF!</v>
      </c>
    </row>
    <row r="1253" spans="1:27" s="70" customFormat="1" ht="11.25" x14ac:dyDescent="0.2">
      <c r="A1253" s="24">
        <v>1247</v>
      </c>
      <c r="B1253" s="27"/>
      <c r="C1253" s="28"/>
      <c r="D1253" s="71"/>
      <c r="E1253" s="28"/>
      <c r="F1253" s="28"/>
      <c r="G1253" s="27"/>
      <c r="H1253" s="28" t="e">
        <f ca="1"/>
        <v>#REF!</v>
      </c>
      <c r="I1253" s="27" t="e">
        <f ca="1"/>
        <v>#REF!</v>
      </c>
      <c r="J1253" s="28" t="e">
        <f ca="1"/>
        <v>#REF!</v>
      </c>
      <c r="K1253" s="27" t="e">
        <f ca="1"/>
        <v>#REF!</v>
      </c>
      <c r="L1253" s="25" t="e">
        <f ca="1"/>
        <v>#REF!</v>
      </c>
      <c r="M1253" s="25" t="e">
        <f ca="1"/>
        <v>#REF!</v>
      </c>
      <c r="N1253" s="25" t="e">
        <f ca="1"/>
        <v>#REF!</v>
      </c>
      <c r="O1253" s="25" t="e">
        <f ca="1"/>
        <v>#REF!</v>
      </c>
      <c r="P1253" s="25" t="e">
        <f ca="1"/>
        <v>#REF!</v>
      </c>
      <c r="Q1253" s="25" t="e">
        <f ca="1"/>
        <v>#REF!</v>
      </c>
      <c r="R1253" s="25" t="e">
        <f ca="1"/>
        <v>#REF!</v>
      </c>
      <c r="S1253" s="25" t="e">
        <f ca="1"/>
        <v>#REF!</v>
      </c>
      <c r="T1253" s="25" t="e">
        <f ca="1"/>
        <v>#REF!</v>
      </c>
      <c r="U1253" s="25" t="e">
        <f ca="1"/>
        <v>#REF!</v>
      </c>
      <c r="V1253" s="25" t="e">
        <f ca="1"/>
        <v>#REF!</v>
      </c>
      <c r="W1253" s="33" t="e">
        <f ca="1"/>
        <v>#REF!</v>
      </c>
      <c r="X1253" s="33" t="e">
        <f ca="1"/>
        <v>#REF!</v>
      </c>
      <c r="Y1253" s="33" t="e">
        <f ca="1"/>
        <v>#REF!</v>
      </c>
      <c r="Z1253" s="33" t="e">
        <f ca="1"/>
        <v>#REF!</v>
      </c>
      <c r="AA1253" s="33" t="e">
        <f ca="1"/>
        <v>#REF!</v>
      </c>
    </row>
    <row r="1254" spans="1:27" s="70" customFormat="1" ht="11.25" x14ac:dyDescent="0.2">
      <c r="A1254" s="24">
        <v>1248</v>
      </c>
      <c r="B1254" s="27"/>
      <c r="C1254" s="28"/>
      <c r="D1254" s="71"/>
      <c r="E1254" s="28"/>
      <c r="F1254" s="28"/>
      <c r="G1254" s="27"/>
      <c r="H1254" s="28" t="e">
        <f ca="1"/>
        <v>#REF!</v>
      </c>
      <c r="I1254" s="27" t="e">
        <f ca="1"/>
        <v>#REF!</v>
      </c>
      <c r="J1254" s="28" t="e">
        <f ca="1"/>
        <v>#REF!</v>
      </c>
      <c r="K1254" s="27" t="e">
        <f ca="1"/>
        <v>#REF!</v>
      </c>
      <c r="L1254" s="25" t="e">
        <f ca="1"/>
        <v>#REF!</v>
      </c>
      <c r="M1254" s="25" t="e">
        <f ca="1"/>
        <v>#REF!</v>
      </c>
      <c r="N1254" s="25" t="e">
        <f ca="1"/>
        <v>#REF!</v>
      </c>
      <c r="O1254" s="25" t="e">
        <f ca="1"/>
        <v>#REF!</v>
      </c>
      <c r="P1254" s="25" t="e">
        <f ca="1"/>
        <v>#REF!</v>
      </c>
      <c r="Q1254" s="25" t="e">
        <f ca="1"/>
        <v>#REF!</v>
      </c>
      <c r="R1254" s="25" t="e">
        <f ca="1"/>
        <v>#REF!</v>
      </c>
      <c r="S1254" s="25" t="e">
        <f ca="1"/>
        <v>#REF!</v>
      </c>
      <c r="T1254" s="25" t="e">
        <f ca="1"/>
        <v>#REF!</v>
      </c>
      <c r="U1254" s="25" t="e">
        <f ca="1"/>
        <v>#REF!</v>
      </c>
      <c r="V1254" s="25" t="e">
        <f ca="1"/>
        <v>#REF!</v>
      </c>
      <c r="W1254" s="33" t="e">
        <f ca="1"/>
        <v>#REF!</v>
      </c>
      <c r="X1254" s="33" t="e">
        <f ca="1"/>
        <v>#REF!</v>
      </c>
      <c r="Y1254" s="33" t="e">
        <f ca="1"/>
        <v>#REF!</v>
      </c>
      <c r="Z1254" s="33" t="e">
        <f ca="1"/>
        <v>#REF!</v>
      </c>
      <c r="AA1254" s="33" t="e">
        <f ca="1"/>
        <v>#REF!</v>
      </c>
    </row>
    <row r="1255" spans="1:27" s="70" customFormat="1" ht="11.25" x14ac:dyDescent="0.2">
      <c r="A1255" s="24">
        <v>1249</v>
      </c>
      <c r="B1255" s="27"/>
      <c r="C1255" s="28"/>
      <c r="D1255" s="71"/>
      <c r="E1255" s="28"/>
      <c r="F1255" s="28"/>
      <c r="G1255" s="27"/>
      <c r="H1255" s="28" t="e">
        <f ca="1"/>
        <v>#REF!</v>
      </c>
      <c r="I1255" s="27" t="e">
        <f ca="1"/>
        <v>#REF!</v>
      </c>
      <c r="J1255" s="28" t="e">
        <f ca="1"/>
        <v>#REF!</v>
      </c>
      <c r="K1255" s="27" t="e">
        <f ca="1"/>
        <v>#REF!</v>
      </c>
      <c r="L1255" s="25" t="e">
        <f ca="1"/>
        <v>#REF!</v>
      </c>
      <c r="M1255" s="25" t="e">
        <f ca="1"/>
        <v>#REF!</v>
      </c>
      <c r="N1255" s="25" t="e">
        <f ca="1"/>
        <v>#REF!</v>
      </c>
      <c r="O1255" s="25" t="e">
        <f ca="1"/>
        <v>#REF!</v>
      </c>
      <c r="P1255" s="25" t="e">
        <f ca="1"/>
        <v>#REF!</v>
      </c>
      <c r="Q1255" s="25" t="e">
        <f ca="1"/>
        <v>#REF!</v>
      </c>
      <c r="R1255" s="25" t="e">
        <f ca="1"/>
        <v>#REF!</v>
      </c>
      <c r="S1255" s="25" t="e">
        <f ca="1"/>
        <v>#REF!</v>
      </c>
      <c r="T1255" s="25" t="e">
        <f ca="1"/>
        <v>#REF!</v>
      </c>
      <c r="U1255" s="25" t="e">
        <f ca="1"/>
        <v>#REF!</v>
      </c>
      <c r="V1255" s="25" t="e">
        <f ca="1"/>
        <v>#REF!</v>
      </c>
      <c r="W1255" s="33" t="e">
        <f ca="1"/>
        <v>#REF!</v>
      </c>
      <c r="X1255" s="33" t="e">
        <f ca="1"/>
        <v>#REF!</v>
      </c>
      <c r="Y1255" s="33" t="e">
        <f ca="1"/>
        <v>#REF!</v>
      </c>
      <c r="Z1255" s="33" t="e">
        <f ca="1"/>
        <v>#REF!</v>
      </c>
      <c r="AA1255" s="33" t="e">
        <f ca="1"/>
        <v>#REF!</v>
      </c>
    </row>
    <row r="1256" spans="1:27" s="70" customFormat="1" ht="11.25" x14ac:dyDescent="0.2">
      <c r="A1256" s="24">
        <v>1250</v>
      </c>
      <c r="B1256" s="27"/>
      <c r="C1256" s="28"/>
      <c r="D1256" s="71"/>
      <c r="E1256" s="28"/>
      <c r="F1256" s="28"/>
      <c r="G1256" s="27"/>
      <c r="H1256" s="28" t="e">
        <f ca="1"/>
        <v>#REF!</v>
      </c>
      <c r="I1256" s="27" t="e">
        <f ca="1"/>
        <v>#REF!</v>
      </c>
      <c r="J1256" s="28" t="e">
        <f ca="1"/>
        <v>#REF!</v>
      </c>
      <c r="K1256" s="27" t="e">
        <f ca="1"/>
        <v>#REF!</v>
      </c>
      <c r="L1256" s="25" t="e">
        <f ca="1"/>
        <v>#REF!</v>
      </c>
      <c r="M1256" s="25" t="e">
        <f ca="1"/>
        <v>#REF!</v>
      </c>
      <c r="N1256" s="25" t="e">
        <f ca="1"/>
        <v>#REF!</v>
      </c>
      <c r="O1256" s="25" t="e">
        <f ca="1"/>
        <v>#REF!</v>
      </c>
      <c r="P1256" s="25" t="e">
        <f ca="1"/>
        <v>#REF!</v>
      </c>
      <c r="Q1256" s="25" t="e">
        <f ca="1"/>
        <v>#REF!</v>
      </c>
      <c r="R1256" s="25" t="e">
        <f ca="1"/>
        <v>#REF!</v>
      </c>
      <c r="S1256" s="25" t="e">
        <f ca="1"/>
        <v>#REF!</v>
      </c>
      <c r="T1256" s="25" t="e">
        <f ca="1"/>
        <v>#REF!</v>
      </c>
      <c r="U1256" s="25" t="e">
        <f ca="1"/>
        <v>#REF!</v>
      </c>
      <c r="V1256" s="25" t="e">
        <f ca="1"/>
        <v>#REF!</v>
      </c>
      <c r="W1256" s="33" t="e">
        <f ca="1"/>
        <v>#REF!</v>
      </c>
      <c r="X1256" s="33" t="e">
        <f ca="1"/>
        <v>#REF!</v>
      </c>
      <c r="Y1256" s="33" t="e">
        <f ca="1"/>
        <v>#REF!</v>
      </c>
      <c r="Z1256" s="33" t="e">
        <f ca="1"/>
        <v>#REF!</v>
      </c>
      <c r="AA1256" s="33" t="e">
        <f ca="1"/>
        <v>#REF!</v>
      </c>
    </row>
    <row r="1257" spans="1:27" s="70" customFormat="1" ht="11.25" x14ac:dyDescent="0.2">
      <c r="A1257" s="24">
        <v>1251</v>
      </c>
      <c r="B1257" s="27"/>
      <c r="C1257" s="28"/>
      <c r="D1257" s="71"/>
      <c r="E1257" s="28"/>
      <c r="F1257" s="28"/>
      <c r="G1257" s="27"/>
      <c r="H1257" s="28" t="e">
        <f ca="1"/>
        <v>#REF!</v>
      </c>
      <c r="I1257" s="27" t="e">
        <f ca="1"/>
        <v>#REF!</v>
      </c>
      <c r="J1257" s="28" t="e">
        <f ca="1"/>
        <v>#REF!</v>
      </c>
      <c r="K1257" s="27" t="e">
        <f ca="1"/>
        <v>#REF!</v>
      </c>
      <c r="L1257" s="25" t="e">
        <f ca="1"/>
        <v>#REF!</v>
      </c>
      <c r="M1257" s="25" t="e">
        <f ca="1"/>
        <v>#REF!</v>
      </c>
      <c r="N1257" s="25" t="e">
        <f ca="1"/>
        <v>#REF!</v>
      </c>
      <c r="O1257" s="25" t="e">
        <f ca="1"/>
        <v>#REF!</v>
      </c>
      <c r="P1257" s="25" t="e">
        <f ca="1"/>
        <v>#REF!</v>
      </c>
      <c r="Q1257" s="25" t="e">
        <f ca="1"/>
        <v>#REF!</v>
      </c>
      <c r="R1257" s="25" t="e">
        <f ca="1"/>
        <v>#REF!</v>
      </c>
      <c r="S1257" s="25" t="e">
        <f ca="1"/>
        <v>#REF!</v>
      </c>
      <c r="T1257" s="25" t="e">
        <f ca="1"/>
        <v>#REF!</v>
      </c>
      <c r="U1257" s="25" t="e">
        <f ca="1"/>
        <v>#REF!</v>
      </c>
      <c r="V1257" s="25" t="e">
        <f ca="1"/>
        <v>#REF!</v>
      </c>
      <c r="W1257" s="33" t="e">
        <f ca="1"/>
        <v>#REF!</v>
      </c>
      <c r="X1257" s="33" t="e">
        <f ca="1"/>
        <v>#REF!</v>
      </c>
      <c r="Y1257" s="33" t="e">
        <f ca="1"/>
        <v>#REF!</v>
      </c>
      <c r="Z1257" s="33" t="e">
        <f ca="1"/>
        <v>#REF!</v>
      </c>
      <c r="AA1257" s="33" t="e">
        <f ca="1"/>
        <v>#REF!</v>
      </c>
    </row>
    <row r="1258" spans="1:27" s="70" customFormat="1" ht="11.25" x14ac:dyDescent="0.2">
      <c r="A1258" s="24">
        <v>1252</v>
      </c>
      <c r="B1258" s="27"/>
      <c r="C1258" s="28"/>
      <c r="D1258" s="71"/>
      <c r="E1258" s="28"/>
      <c r="F1258" s="28"/>
      <c r="G1258" s="27"/>
      <c r="H1258" s="28" t="e">
        <f ca="1"/>
        <v>#REF!</v>
      </c>
      <c r="I1258" s="27" t="e">
        <f ca="1"/>
        <v>#REF!</v>
      </c>
      <c r="J1258" s="28" t="e">
        <f ca="1"/>
        <v>#REF!</v>
      </c>
      <c r="K1258" s="27" t="e">
        <f ca="1"/>
        <v>#REF!</v>
      </c>
      <c r="L1258" s="25" t="e">
        <f ca="1"/>
        <v>#REF!</v>
      </c>
      <c r="M1258" s="25" t="e">
        <f ca="1"/>
        <v>#REF!</v>
      </c>
      <c r="N1258" s="25" t="e">
        <f ca="1"/>
        <v>#REF!</v>
      </c>
      <c r="O1258" s="25" t="e">
        <f ca="1"/>
        <v>#REF!</v>
      </c>
      <c r="P1258" s="25" t="e">
        <f ca="1"/>
        <v>#REF!</v>
      </c>
      <c r="Q1258" s="25" t="e">
        <f ca="1"/>
        <v>#REF!</v>
      </c>
      <c r="R1258" s="25" t="e">
        <f ca="1"/>
        <v>#REF!</v>
      </c>
      <c r="S1258" s="25" t="e">
        <f ca="1"/>
        <v>#REF!</v>
      </c>
      <c r="T1258" s="25" t="e">
        <f ca="1"/>
        <v>#REF!</v>
      </c>
      <c r="U1258" s="25" t="e">
        <f ca="1"/>
        <v>#REF!</v>
      </c>
      <c r="V1258" s="25" t="e">
        <f ca="1"/>
        <v>#REF!</v>
      </c>
      <c r="W1258" s="33" t="e">
        <f ca="1"/>
        <v>#REF!</v>
      </c>
      <c r="X1258" s="33" t="e">
        <f ca="1"/>
        <v>#REF!</v>
      </c>
      <c r="Y1258" s="33" t="e">
        <f ca="1"/>
        <v>#REF!</v>
      </c>
      <c r="Z1258" s="33" t="e">
        <f ca="1"/>
        <v>#REF!</v>
      </c>
      <c r="AA1258" s="33" t="e">
        <f ca="1"/>
        <v>#REF!</v>
      </c>
    </row>
    <row r="1259" spans="1:27" s="70" customFormat="1" ht="11.25" x14ac:dyDescent="0.2">
      <c r="A1259" s="24">
        <v>1253</v>
      </c>
      <c r="B1259" s="27"/>
      <c r="C1259" s="28"/>
      <c r="D1259" s="71"/>
      <c r="E1259" s="28"/>
      <c r="F1259" s="28"/>
      <c r="G1259" s="27"/>
      <c r="H1259" s="28" t="e">
        <f ca="1"/>
        <v>#REF!</v>
      </c>
      <c r="I1259" s="27" t="e">
        <f ca="1"/>
        <v>#REF!</v>
      </c>
      <c r="J1259" s="28" t="e">
        <f ca="1"/>
        <v>#REF!</v>
      </c>
      <c r="K1259" s="27" t="e">
        <f ca="1"/>
        <v>#REF!</v>
      </c>
      <c r="L1259" s="25" t="e">
        <f ca="1"/>
        <v>#REF!</v>
      </c>
      <c r="M1259" s="25" t="e">
        <f ca="1"/>
        <v>#REF!</v>
      </c>
      <c r="N1259" s="25" t="e">
        <f ca="1"/>
        <v>#REF!</v>
      </c>
      <c r="O1259" s="25" t="e">
        <f ca="1"/>
        <v>#REF!</v>
      </c>
      <c r="P1259" s="25" t="e">
        <f ca="1"/>
        <v>#REF!</v>
      </c>
      <c r="Q1259" s="25" t="e">
        <f ca="1"/>
        <v>#REF!</v>
      </c>
      <c r="R1259" s="25" t="e">
        <f ca="1"/>
        <v>#REF!</v>
      </c>
      <c r="S1259" s="25" t="e">
        <f ca="1"/>
        <v>#REF!</v>
      </c>
      <c r="T1259" s="25" t="e">
        <f ca="1"/>
        <v>#REF!</v>
      </c>
      <c r="U1259" s="25" t="e">
        <f ca="1"/>
        <v>#REF!</v>
      </c>
      <c r="V1259" s="25" t="e">
        <f ca="1"/>
        <v>#REF!</v>
      </c>
      <c r="W1259" s="33" t="e">
        <f ca="1"/>
        <v>#REF!</v>
      </c>
      <c r="X1259" s="33" t="e">
        <f ca="1"/>
        <v>#REF!</v>
      </c>
      <c r="Y1259" s="33" t="e">
        <f ca="1"/>
        <v>#REF!</v>
      </c>
      <c r="Z1259" s="33" t="e">
        <f ca="1"/>
        <v>#REF!</v>
      </c>
      <c r="AA1259" s="33" t="e">
        <f ca="1"/>
        <v>#REF!</v>
      </c>
    </row>
    <row r="1260" spans="1:27" s="70" customFormat="1" ht="11.25" x14ac:dyDescent="0.2">
      <c r="A1260" s="24">
        <v>1254</v>
      </c>
      <c r="B1260" s="27"/>
      <c r="C1260" s="28"/>
      <c r="D1260" s="71"/>
      <c r="E1260" s="28"/>
      <c r="F1260" s="28"/>
      <c r="G1260" s="27"/>
      <c r="H1260" s="28" t="e">
        <f ca="1"/>
        <v>#REF!</v>
      </c>
      <c r="I1260" s="27" t="e">
        <f ca="1"/>
        <v>#REF!</v>
      </c>
      <c r="J1260" s="28" t="e">
        <f ca="1"/>
        <v>#REF!</v>
      </c>
      <c r="K1260" s="27" t="e">
        <f ca="1"/>
        <v>#REF!</v>
      </c>
      <c r="L1260" s="25" t="e">
        <f ca="1"/>
        <v>#REF!</v>
      </c>
      <c r="M1260" s="25" t="e">
        <f ca="1"/>
        <v>#REF!</v>
      </c>
      <c r="N1260" s="25" t="e">
        <f ca="1"/>
        <v>#REF!</v>
      </c>
      <c r="O1260" s="25" t="e">
        <f ca="1"/>
        <v>#REF!</v>
      </c>
      <c r="P1260" s="25" t="e">
        <f ca="1"/>
        <v>#REF!</v>
      </c>
      <c r="Q1260" s="25" t="e">
        <f ca="1"/>
        <v>#REF!</v>
      </c>
      <c r="R1260" s="25" t="e">
        <f ca="1"/>
        <v>#REF!</v>
      </c>
      <c r="S1260" s="25" t="e">
        <f ca="1"/>
        <v>#REF!</v>
      </c>
      <c r="T1260" s="25" t="e">
        <f ca="1"/>
        <v>#REF!</v>
      </c>
      <c r="U1260" s="25" t="e">
        <f ca="1"/>
        <v>#REF!</v>
      </c>
      <c r="V1260" s="25" t="e">
        <f ca="1"/>
        <v>#REF!</v>
      </c>
      <c r="W1260" s="33" t="e">
        <f ca="1"/>
        <v>#REF!</v>
      </c>
      <c r="X1260" s="33" t="e">
        <f ca="1"/>
        <v>#REF!</v>
      </c>
      <c r="Y1260" s="33" t="e">
        <f ca="1"/>
        <v>#REF!</v>
      </c>
      <c r="Z1260" s="33" t="e">
        <f ca="1"/>
        <v>#REF!</v>
      </c>
      <c r="AA1260" s="33" t="e">
        <f ca="1"/>
        <v>#REF!</v>
      </c>
    </row>
    <row r="1261" spans="1:27" s="70" customFormat="1" ht="11.25" x14ac:dyDescent="0.2">
      <c r="A1261" s="24">
        <v>1255</v>
      </c>
      <c r="B1261" s="27"/>
      <c r="C1261" s="28"/>
      <c r="D1261" s="71"/>
      <c r="E1261" s="28"/>
      <c r="F1261" s="28"/>
      <c r="G1261" s="27"/>
      <c r="H1261" s="28" t="e">
        <f ca="1"/>
        <v>#REF!</v>
      </c>
      <c r="I1261" s="27" t="e">
        <f ca="1"/>
        <v>#REF!</v>
      </c>
      <c r="J1261" s="28" t="e">
        <f ca="1"/>
        <v>#REF!</v>
      </c>
      <c r="K1261" s="27" t="e">
        <f ca="1"/>
        <v>#REF!</v>
      </c>
      <c r="L1261" s="25" t="e">
        <f ca="1"/>
        <v>#REF!</v>
      </c>
      <c r="M1261" s="25" t="e">
        <f ca="1"/>
        <v>#REF!</v>
      </c>
      <c r="N1261" s="25" t="e">
        <f ca="1"/>
        <v>#REF!</v>
      </c>
      <c r="O1261" s="25" t="e">
        <f ca="1"/>
        <v>#REF!</v>
      </c>
      <c r="P1261" s="25" t="e">
        <f ca="1"/>
        <v>#REF!</v>
      </c>
      <c r="Q1261" s="25" t="e">
        <f ca="1"/>
        <v>#REF!</v>
      </c>
      <c r="R1261" s="25" t="e">
        <f ca="1"/>
        <v>#REF!</v>
      </c>
      <c r="S1261" s="25" t="e">
        <f ca="1"/>
        <v>#REF!</v>
      </c>
      <c r="T1261" s="25" t="e">
        <f ca="1"/>
        <v>#REF!</v>
      </c>
      <c r="U1261" s="25" t="e">
        <f ca="1"/>
        <v>#REF!</v>
      </c>
      <c r="V1261" s="25" t="e">
        <f ca="1"/>
        <v>#REF!</v>
      </c>
      <c r="W1261" s="33" t="e">
        <f ca="1"/>
        <v>#REF!</v>
      </c>
      <c r="X1261" s="33" t="e">
        <f ca="1"/>
        <v>#REF!</v>
      </c>
      <c r="Y1261" s="33" t="e">
        <f ca="1"/>
        <v>#REF!</v>
      </c>
      <c r="Z1261" s="33" t="e">
        <f ca="1"/>
        <v>#REF!</v>
      </c>
      <c r="AA1261" s="33" t="e">
        <f ca="1"/>
        <v>#REF!</v>
      </c>
    </row>
    <row r="1262" spans="1:27" s="70" customFormat="1" ht="11.25" x14ac:dyDescent="0.2">
      <c r="A1262" s="24">
        <v>1256</v>
      </c>
      <c r="B1262" s="27"/>
      <c r="C1262" s="28"/>
      <c r="D1262" s="71"/>
      <c r="E1262" s="28"/>
      <c r="F1262" s="28"/>
      <c r="G1262" s="27"/>
      <c r="H1262" s="28" t="e">
        <f ca="1"/>
        <v>#REF!</v>
      </c>
      <c r="I1262" s="27" t="e">
        <f ca="1"/>
        <v>#REF!</v>
      </c>
      <c r="J1262" s="28" t="e">
        <f ca="1"/>
        <v>#REF!</v>
      </c>
      <c r="K1262" s="27" t="e">
        <f ca="1"/>
        <v>#REF!</v>
      </c>
      <c r="L1262" s="25" t="e">
        <f ca="1"/>
        <v>#REF!</v>
      </c>
      <c r="M1262" s="25" t="e">
        <f ca="1"/>
        <v>#REF!</v>
      </c>
      <c r="N1262" s="25" t="e">
        <f ca="1"/>
        <v>#REF!</v>
      </c>
      <c r="O1262" s="25" t="e">
        <f ca="1"/>
        <v>#REF!</v>
      </c>
      <c r="P1262" s="25" t="e">
        <f ca="1"/>
        <v>#REF!</v>
      </c>
      <c r="Q1262" s="25" t="e">
        <f ca="1"/>
        <v>#REF!</v>
      </c>
      <c r="R1262" s="25" t="e">
        <f ca="1"/>
        <v>#REF!</v>
      </c>
      <c r="S1262" s="25" t="e">
        <f ca="1"/>
        <v>#REF!</v>
      </c>
      <c r="T1262" s="25" t="e">
        <f ca="1"/>
        <v>#REF!</v>
      </c>
      <c r="U1262" s="25" t="e">
        <f ca="1"/>
        <v>#REF!</v>
      </c>
      <c r="V1262" s="25" t="e">
        <f ca="1"/>
        <v>#REF!</v>
      </c>
      <c r="W1262" s="33" t="e">
        <f ca="1"/>
        <v>#REF!</v>
      </c>
      <c r="X1262" s="33" t="e">
        <f ca="1"/>
        <v>#REF!</v>
      </c>
      <c r="Y1262" s="33" t="e">
        <f ca="1"/>
        <v>#REF!</v>
      </c>
      <c r="Z1262" s="33" t="e">
        <f ca="1"/>
        <v>#REF!</v>
      </c>
      <c r="AA1262" s="33" t="e">
        <f ca="1"/>
        <v>#REF!</v>
      </c>
    </row>
    <row r="1263" spans="1:27" s="70" customFormat="1" ht="11.25" x14ac:dyDescent="0.2">
      <c r="A1263" s="24">
        <v>1257</v>
      </c>
      <c r="B1263" s="27"/>
      <c r="C1263" s="28"/>
      <c r="D1263" s="71"/>
      <c r="E1263" s="28"/>
      <c r="F1263" s="28"/>
      <c r="G1263" s="27"/>
      <c r="H1263" s="28" t="e">
        <f ca="1"/>
        <v>#REF!</v>
      </c>
      <c r="I1263" s="27" t="e">
        <f ca="1"/>
        <v>#REF!</v>
      </c>
      <c r="J1263" s="28" t="e">
        <f ca="1"/>
        <v>#REF!</v>
      </c>
      <c r="K1263" s="27" t="e">
        <f ca="1"/>
        <v>#REF!</v>
      </c>
      <c r="L1263" s="25" t="e">
        <f ca="1"/>
        <v>#REF!</v>
      </c>
      <c r="M1263" s="25" t="e">
        <f ca="1"/>
        <v>#REF!</v>
      </c>
      <c r="N1263" s="25" t="e">
        <f ca="1"/>
        <v>#REF!</v>
      </c>
      <c r="O1263" s="25" t="e">
        <f ca="1"/>
        <v>#REF!</v>
      </c>
      <c r="P1263" s="25" t="e">
        <f ca="1"/>
        <v>#REF!</v>
      </c>
      <c r="Q1263" s="25" t="e">
        <f ca="1"/>
        <v>#REF!</v>
      </c>
      <c r="R1263" s="25" t="e">
        <f ca="1"/>
        <v>#REF!</v>
      </c>
      <c r="S1263" s="25" t="e">
        <f ca="1"/>
        <v>#REF!</v>
      </c>
      <c r="T1263" s="25" t="e">
        <f ca="1"/>
        <v>#REF!</v>
      </c>
      <c r="U1263" s="25" t="e">
        <f ca="1"/>
        <v>#REF!</v>
      </c>
      <c r="V1263" s="25" t="e">
        <f ca="1"/>
        <v>#REF!</v>
      </c>
      <c r="W1263" s="33" t="e">
        <f ca="1"/>
        <v>#REF!</v>
      </c>
      <c r="X1263" s="33" t="e">
        <f ca="1"/>
        <v>#REF!</v>
      </c>
      <c r="Y1263" s="33" t="e">
        <f ca="1"/>
        <v>#REF!</v>
      </c>
      <c r="Z1263" s="33" t="e">
        <f ca="1"/>
        <v>#REF!</v>
      </c>
      <c r="AA1263" s="33" t="e">
        <f ca="1"/>
        <v>#REF!</v>
      </c>
    </row>
    <row r="1264" spans="1:27" s="70" customFormat="1" ht="11.25" x14ac:dyDescent="0.2">
      <c r="A1264" s="24">
        <v>1258</v>
      </c>
      <c r="B1264" s="27"/>
      <c r="C1264" s="28"/>
      <c r="D1264" s="71"/>
      <c r="E1264" s="28"/>
      <c r="F1264" s="28"/>
      <c r="G1264" s="27"/>
      <c r="H1264" s="28" t="e">
        <f ca="1"/>
        <v>#REF!</v>
      </c>
      <c r="I1264" s="27" t="e">
        <f ca="1"/>
        <v>#REF!</v>
      </c>
      <c r="J1264" s="28" t="e">
        <f ca="1"/>
        <v>#REF!</v>
      </c>
      <c r="K1264" s="27" t="e">
        <f ca="1"/>
        <v>#REF!</v>
      </c>
      <c r="L1264" s="25" t="e">
        <f ca="1"/>
        <v>#REF!</v>
      </c>
      <c r="M1264" s="25" t="e">
        <f ca="1"/>
        <v>#REF!</v>
      </c>
      <c r="N1264" s="25" t="e">
        <f ca="1"/>
        <v>#REF!</v>
      </c>
      <c r="O1264" s="25" t="e">
        <f ca="1"/>
        <v>#REF!</v>
      </c>
      <c r="P1264" s="25" t="e">
        <f ca="1"/>
        <v>#REF!</v>
      </c>
      <c r="Q1264" s="25" t="e">
        <f ca="1"/>
        <v>#REF!</v>
      </c>
      <c r="R1264" s="25" t="e">
        <f ca="1"/>
        <v>#REF!</v>
      </c>
      <c r="S1264" s="25" t="e">
        <f ca="1"/>
        <v>#REF!</v>
      </c>
      <c r="T1264" s="25" t="e">
        <f ca="1"/>
        <v>#REF!</v>
      </c>
      <c r="U1264" s="25" t="e">
        <f ca="1"/>
        <v>#REF!</v>
      </c>
      <c r="V1264" s="25" t="e">
        <f ca="1"/>
        <v>#REF!</v>
      </c>
      <c r="W1264" s="33" t="e">
        <f ca="1"/>
        <v>#REF!</v>
      </c>
      <c r="X1264" s="33" t="e">
        <f ca="1"/>
        <v>#REF!</v>
      </c>
      <c r="Y1264" s="33" t="e">
        <f ca="1"/>
        <v>#REF!</v>
      </c>
      <c r="Z1264" s="33" t="e">
        <f ca="1"/>
        <v>#REF!</v>
      </c>
      <c r="AA1264" s="33" t="e">
        <f ca="1"/>
        <v>#REF!</v>
      </c>
    </row>
    <row r="1265" spans="1:27" s="70" customFormat="1" ht="11.25" x14ac:dyDescent="0.2">
      <c r="A1265" s="24">
        <v>1259</v>
      </c>
      <c r="B1265" s="27"/>
      <c r="C1265" s="28"/>
      <c r="D1265" s="71"/>
      <c r="E1265" s="28"/>
      <c r="F1265" s="28"/>
      <c r="G1265" s="27"/>
      <c r="H1265" s="28" t="e">
        <f ca="1"/>
        <v>#REF!</v>
      </c>
      <c r="I1265" s="27" t="e">
        <f ca="1"/>
        <v>#REF!</v>
      </c>
      <c r="J1265" s="28" t="e">
        <f ca="1"/>
        <v>#REF!</v>
      </c>
      <c r="K1265" s="27" t="e">
        <f ca="1"/>
        <v>#REF!</v>
      </c>
      <c r="L1265" s="25" t="e">
        <f ca="1"/>
        <v>#REF!</v>
      </c>
      <c r="M1265" s="25" t="e">
        <f ca="1"/>
        <v>#REF!</v>
      </c>
      <c r="N1265" s="25" t="e">
        <f ca="1"/>
        <v>#REF!</v>
      </c>
      <c r="O1265" s="25" t="e">
        <f ca="1"/>
        <v>#REF!</v>
      </c>
      <c r="P1265" s="25" t="e">
        <f ca="1"/>
        <v>#REF!</v>
      </c>
      <c r="Q1265" s="25" t="e">
        <f ca="1"/>
        <v>#REF!</v>
      </c>
      <c r="R1265" s="25" t="e">
        <f ca="1"/>
        <v>#REF!</v>
      </c>
      <c r="S1265" s="25" t="e">
        <f ca="1"/>
        <v>#REF!</v>
      </c>
      <c r="T1265" s="25" t="e">
        <f ca="1"/>
        <v>#REF!</v>
      </c>
      <c r="U1265" s="25" t="e">
        <f ca="1"/>
        <v>#REF!</v>
      </c>
      <c r="V1265" s="25" t="e">
        <f ca="1"/>
        <v>#REF!</v>
      </c>
      <c r="W1265" s="33" t="e">
        <f ca="1"/>
        <v>#REF!</v>
      </c>
      <c r="X1265" s="33" t="e">
        <f ca="1"/>
        <v>#REF!</v>
      </c>
      <c r="Y1265" s="33" t="e">
        <f ca="1"/>
        <v>#REF!</v>
      </c>
      <c r="Z1265" s="33" t="e">
        <f ca="1"/>
        <v>#REF!</v>
      </c>
      <c r="AA1265" s="33" t="e">
        <f ca="1"/>
        <v>#REF!</v>
      </c>
    </row>
    <row r="1266" spans="1:27" s="70" customFormat="1" ht="11.25" x14ac:dyDescent="0.2">
      <c r="A1266" s="24">
        <v>1260</v>
      </c>
      <c r="B1266" s="27"/>
      <c r="C1266" s="28"/>
      <c r="D1266" s="71"/>
      <c r="E1266" s="28"/>
      <c r="F1266" s="28"/>
      <c r="G1266" s="27"/>
      <c r="H1266" s="28" t="e">
        <f ca="1"/>
        <v>#REF!</v>
      </c>
      <c r="I1266" s="27" t="e">
        <f ca="1"/>
        <v>#REF!</v>
      </c>
      <c r="J1266" s="28" t="e">
        <f ca="1"/>
        <v>#REF!</v>
      </c>
      <c r="K1266" s="27" t="e">
        <f ca="1"/>
        <v>#REF!</v>
      </c>
      <c r="L1266" s="25" t="e">
        <f ca="1"/>
        <v>#REF!</v>
      </c>
      <c r="M1266" s="25" t="e">
        <f ca="1"/>
        <v>#REF!</v>
      </c>
      <c r="N1266" s="25" t="e">
        <f ca="1"/>
        <v>#REF!</v>
      </c>
      <c r="O1266" s="25" t="e">
        <f ca="1"/>
        <v>#REF!</v>
      </c>
      <c r="P1266" s="25" t="e">
        <f ca="1"/>
        <v>#REF!</v>
      </c>
      <c r="Q1266" s="25" t="e">
        <f ca="1"/>
        <v>#REF!</v>
      </c>
      <c r="R1266" s="25" t="e">
        <f ca="1"/>
        <v>#REF!</v>
      </c>
      <c r="S1266" s="25" t="e">
        <f ca="1"/>
        <v>#REF!</v>
      </c>
      <c r="T1266" s="25" t="e">
        <f ca="1"/>
        <v>#REF!</v>
      </c>
      <c r="U1266" s="25" t="e">
        <f ca="1"/>
        <v>#REF!</v>
      </c>
      <c r="V1266" s="25" t="e">
        <f ca="1"/>
        <v>#REF!</v>
      </c>
      <c r="W1266" s="33" t="e">
        <f ca="1"/>
        <v>#REF!</v>
      </c>
      <c r="X1266" s="33" t="e">
        <f ca="1"/>
        <v>#REF!</v>
      </c>
      <c r="Y1266" s="33" t="e">
        <f ca="1"/>
        <v>#REF!</v>
      </c>
      <c r="Z1266" s="33" t="e">
        <f ca="1"/>
        <v>#REF!</v>
      </c>
      <c r="AA1266" s="33" t="e">
        <f ca="1"/>
        <v>#REF!</v>
      </c>
    </row>
    <row r="1267" spans="1:27" s="70" customFormat="1" ht="11.25" x14ac:dyDescent="0.2">
      <c r="A1267" s="24">
        <v>1261</v>
      </c>
      <c r="B1267" s="27"/>
      <c r="C1267" s="28"/>
      <c r="D1267" s="71"/>
      <c r="E1267" s="28"/>
      <c r="F1267" s="28"/>
      <c r="G1267" s="27"/>
      <c r="H1267" s="28" t="e">
        <f ca="1"/>
        <v>#REF!</v>
      </c>
      <c r="I1267" s="27" t="e">
        <f ca="1"/>
        <v>#REF!</v>
      </c>
      <c r="J1267" s="28" t="e">
        <f ca="1"/>
        <v>#REF!</v>
      </c>
      <c r="K1267" s="27" t="e">
        <f ca="1"/>
        <v>#REF!</v>
      </c>
      <c r="L1267" s="25" t="e">
        <f ca="1"/>
        <v>#REF!</v>
      </c>
      <c r="M1267" s="25" t="e">
        <f ca="1"/>
        <v>#REF!</v>
      </c>
      <c r="N1267" s="25" t="e">
        <f ca="1"/>
        <v>#REF!</v>
      </c>
      <c r="O1267" s="25" t="e">
        <f ca="1"/>
        <v>#REF!</v>
      </c>
      <c r="P1267" s="25" t="e">
        <f ca="1"/>
        <v>#REF!</v>
      </c>
      <c r="Q1267" s="25" t="e">
        <f ca="1"/>
        <v>#REF!</v>
      </c>
      <c r="R1267" s="25" t="e">
        <f ca="1"/>
        <v>#REF!</v>
      </c>
      <c r="S1267" s="25" t="e">
        <f ca="1"/>
        <v>#REF!</v>
      </c>
      <c r="T1267" s="25" t="e">
        <f ca="1"/>
        <v>#REF!</v>
      </c>
      <c r="U1267" s="25" t="e">
        <f ca="1"/>
        <v>#REF!</v>
      </c>
      <c r="V1267" s="25" t="e">
        <f ca="1"/>
        <v>#REF!</v>
      </c>
      <c r="W1267" s="33" t="e">
        <f ca="1"/>
        <v>#REF!</v>
      </c>
      <c r="X1267" s="33" t="e">
        <f ca="1"/>
        <v>#REF!</v>
      </c>
      <c r="Y1267" s="33" t="e">
        <f ca="1"/>
        <v>#REF!</v>
      </c>
      <c r="Z1267" s="33" t="e">
        <f ca="1"/>
        <v>#REF!</v>
      </c>
      <c r="AA1267" s="33" t="e">
        <f ca="1"/>
        <v>#REF!</v>
      </c>
    </row>
    <row r="1268" spans="1:27" s="70" customFormat="1" ht="11.25" x14ac:dyDescent="0.2">
      <c r="A1268" s="24">
        <v>1262</v>
      </c>
      <c r="B1268" s="27"/>
      <c r="C1268" s="28"/>
      <c r="D1268" s="71"/>
      <c r="E1268" s="28"/>
      <c r="F1268" s="28"/>
      <c r="G1268" s="27"/>
      <c r="H1268" s="28" t="e">
        <f ca="1"/>
        <v>#REF!</v>
      </c>
      <c r="I1268" s="27" t="e">
        <f ca="1"/>
        <v>#REF!</v>
      </c>
      <c r="J1268" s="28" t="e">
        <f ca="1"/>
        <v>#REF!</v>
      </c>
      <c r="K1268" s="27" t="e">
        <f ca="1"/>
        <v>#REF!</v>
      </c>
      <c r="L1268" s="25" t="e">
        <f ca="1"/>
        <v>#REF!</v>
      </c>
      <c r="M1268" s="25" t="e">
        <f ca="1"/>
        <v>#REF!</v>
      </c>
      <c r="N1268" s="25" t="e">
        <f ca="1"/>
        <v>#REF!</v>
      </c>
      <c r="O1268" s="25" t="e">
        <f ca="1"/>
        <v>#REF!</v>
      </c>
      <c r="P1268" s="25" t="e">
        <f ca="1"/>
        <v>#REF!</v>
      </c>
      <c r="Q1268" s="25" t="e">
        <f ca="1"/>
        <v>#REF!</v>
      </c>
      <c r="R1268" s="25" t="e">
        <f ca="1"/>
        <v>#REF!</v>
      </c>
      <c r="S1268" s="25" t="e">
        <f ca="1"/>
        <v>#REF!</v>
      </c>
      <c r="T1268" s="25" t="e">
        <f ca="1"/>
        <v>#REF!</v>
      </c>
      <c r="U1268" s="25" t="e">
        <f ca="1"/>
        <v>#REF!</v>
      </c>
      <c r="V1268" s="25" t="e">
        <f ca="1"/>
        <v>#REF!</v>
      </c>
      <c r="W1268" s="33" t="e">
        <f ca="1"/>
        <v>#REF!</v>
      </c>
      <c r="X1268" s="33" t="e">
        <f ca="1"/>
        <v>#REF!</v>
      </c>
      <c r="Y1268" s="33" t="e">
        <f ca="1"/>
        <v>#REF!</v>
      </c>
      <c r="Z1268" s="33" t="e">
        <f ca="1"/>
        <v>#REF!</v>
      </c>
      <c r="AA1268" s="33" t="e">
        <f ca="1"/>
        <v>#REF!</v>
      </c>
    </row>
    <row r="1269" spans="1:27" s="70" customFormat="1" ht="11.25" x14ac:dyDescent="0.2">
      <c r="A1269" s="24">
        <v>1263</v>
      </c>
      <c r="B1269" s="27"/>
      <c r="C1269" s="28"/>
      <c r="D1269" s="71"/>
      <c r="E1269" s="28"/>
      <c r="F1269" s="28"/>
      <c r="G1269" s="27"/>
      <c r="H1269" s="28" t="e">
        <f ca="1"/>
        <v>#REF!</v>
      </c>
      <c r="I1269" s="27" t="e">
        <f ca="1"/>
        <v>#REF!</v>
      </c>
      <c r="J1269" s="28" t="e">
        <f ca="1"/>
        <v>#REF!</v>
      </c>
      <c r="K1269" s="27" t="e">
        <f ca="1"/>
        <v>#REF!</v>
      </c>
      <c r="L1269" s="25" t="e">
        <f ca="1"/>
        <v>#REF!</v>
      </c>
      <c r="M1269" s="25" t="e">
        <f ca="1"/>
        <v>#REF!</v>
      </c>
      <c r="N1269" s="25" t="e">
        <f ca="1"/>
        <v>#REF!</v>
      </c>
      <c r="O1269" s="25" t="e">
        <f ca="1"/>
        <v>#REF!</v>
      </c>
      <c r="P1269" s="25" t="e">
        <f ca="1"/>
        <v>#REF!</v>
      </c>
      <c r="Q1269" s="25" t="e">
        <f ca="1"/>
        <v>#REF!</v>
      </c>
      <c r="R1269" s="25" t="e">
        <f ca="1"/>
        <v>#REF!</v>
      </c>
      <c r="S1269" s="25" t="e">
        <f ca="1"/>
        <v>#REF!</v>
      </c>
      <c r="T1269" s="25" t="e">
        <f ca="1"/>
        <v>#REF!</v>
      </c>
      <c r="U1269" s="25" t="e">
        <f ca="1"/>
        <v>#REF!</v>
      </c>
      <c r="V1269" s="25" t="e">
        <f ca="1"/>
        <v>#REF!</v>
      </c>
      <c r="W1269" s="33" t="e">
        <f ca="1"/>
        <v>#REF!</v>
      </c>
      <c r="X1269" s="33" t="e">
        <f ca="1"/>
        <v>#REF!</v>
      </c>
      <c r="Y1269" s="33" t="e">
        <f ca="1"/>
        <v>#REF!</v>
      </c>
      <c r="Z1269" s="33" t="e">
        <f ca="1"/>
        <v>#REF!</v>
      </c>
      <c r="AA1269" s="33" t="e">
        <f ca="1"/>
        <v>#REF!</v>
      </c>
    </row>
    <row r="1270" spans="1:27" s="70" customFormat="1" ht="11.25" x14ac:dyDescent="0.2">
      <c r="A1270" s="24">
        <v>1264</v>
      </c>
      <c r="B1270" s="27"/>
      <c r="C1270" s="28"/>
      <c r="D1270" s="71"/>
      <c r="E1270" s="28"/>
      <c r="F1270" s="28"/>
      <c r="G1270" s="27"/>
      <c r="H1270" s="28" t="e">
        <f ca="1"/>
        <v>#REF!</v>
      </c>
      <c r="I1270" s="27" t="e">
        <f ca="1"/>
        <v>#REF!</v>
      </c>
      <c r="J1270" s="28" t="e">
        <f ca="1"/>
        <v>#REF!</v>
      </c>
      <c r="K1270" s="27" t="e">
        <f ca="1"/>
        <v>#REF!</v>
      </c>
      <c r="L1270" s="25" t="e">
        <f ca="1"/>
        <v>#REF!</v>
      </c>
      <c r="M1270" s="25" t="e">
        <f ca="1"/>
        <v>#REF!</v>
      </c>
      <c r="N1270" s="25" t="e">
        <f ca="1"/>
        <v>#REF!</v>
      </c>
      <c r="O1270" s="25" t="e">
        <f ca="1"/>
        <v>#REF!</v>
      </c>
      <c r="P1270" s="25" t="e">
        <f ca="1"/>
        <v>#REF!</v>
      </c>
      <c r="Q1270" s="25" t="e">
        <f ca="1"/>
        <v>#REF!</v>
      </c>
      <c r="R1270" s="25" t="e">
        <f ca="1"/>
        <v>#REF!</v>
      </c>
      <c r="S1270" s="25" t="e">
        <f ca="1"/>
        <v>#REF!</v>
      </c>
      <c r="T1270" s="25" t="e">
        <f ca="1"/>
        <v>#REF!</v>
      </c>
      <c r="U1270" s="25" t="e">
        <f ca="1"/>
        <v>#REF!</v>
      </c>
      <c r="V1270" s="25" t="e">
        <f ca="1"/>
        <v>#REF!</v>
      </c>
      <c r="W1270" s="33" t="e">
        <f ca="1"/>
        <v>#REF!</v>
      </c>
      <c r="X1270" s="33" t="e">
        <f ca="1"/>
        <v>#REF!</v>
      </c>
      <c r="Y1270" s="33" t="e">
        <f ca="1"/>
        <v>#REF!</v>
      </c>
      <c r="Z1270" s="33" t="e">
        <f ca="1"/>
        <v>#REF!</v>
      </c>
      <c r="AA1270" s="33" t="e">
        <f ca="1"/>
        <v>#REF!</v>
      </c>
    </row>
    <row r="1271" spans="1:27" s="70" customFormat="1" ht="11.25" x14ac:dyDescent="0.2">
      <c r="A1271" s="24">
        <v>1265</v>
      </c>
      <c r="B1271" s="27"/>
      <c r="C1271" s="28"/>
      <c r="D1271" s="71"/>
      <c r="E1271" s="28"/>
      <c r="F1271" s="28"/>
      <c r="G1271" s="27"/>
      <c r="H1271" s="28" t="e">
        <f ca="1"/>
        <v>#REF!</v>
      </c>
      <c r="I1271" s="27" t="e">
        <f ca="1"/>
        <v>#REF!</v>
      </c>
      <c r="J1271" s="28" t="e">
        <f ca="1"/>
        <v>#REF!</v>
      </c>
      <c r="K1271" s="27" t="e">
        <f ca="1"/>
        <v>#REF!</v>
      </c>
      <c r="L1271" s="25" t="e">
        <f ca="1"/>
        <v>#REF!</v>
      </c>
      <c r="M1271" s="25" t="e">
        <f ca="1"/>
        <v>#REF!</v>
      </c>
      <c r="N1271" s="25" t="e">
        <f ca="1"/>
        <v>#REF!</v>
      </c>
      <c r="O1271" s="25" t="e">
        <f ca="1"/>
        <v>#REF!</v>
      </c>
      <c r="P1271" s="25" t="e">
        <f ca="1"/>
        <v>#REF!</v>
      </c>
      <c r="Q1271" s="25" t="e">
        <f ca="1"/>
        <v>#REF!</v>
      </c>
      <c r="R1271" s="25" t="e">
        <f ca="1"/>
        <v>#REF!</v>
      </c>
      <c r="S1271" s="25" t="e">
        <f ca="1"/>
        <v>#REF!</v>
      </c>
      <c r="T1271" s="25" t="e">
        <f ca="1"/>
        <v>#REF!</v>
      </c>
      <c r="U1271" s="25" t="e">
        <f ca="1"/>
        <v>#REF!</v>
      </c>
      <c r="V1271" s="25" t="e">
        <f ca="1"/>
        <v>#REF!</v>
      </c>
      <c r="W1271" s="33" t="e">
        <f ca="1"/>
        <v>#REF!</v>
      </c>
      <c r="X1271" s="33" t="e">
        <f ca="1"/>
        <v>#REF!</v>
      </c>
      <c r="Y1271" s="33" t="e">
        <f ca="1"/>
        <v>#REF!</v>
      </c>
      <c r="Z1271" s="33" t="e">
        <f ca="1"/>
        <v>#REF!</v>
      </c>
      <c r="AA1271" s="33" t="e">
        <f ca="1"/>
        <v>#REF!</v>
      </c>
    </row>
    <row r="1272" spans="1:27" s="70" customFormat="1" ht="11.25" x14ac:dyDescent="0.2">
      <c r="A1272" s="24">
        <v>1266</v>
      </c>
      <c r="B1272" s="27"/>
      <c r="C1272" s="28"/>
      <c r="D1272" s="71"/>
      <c r="E1272" s="28"/>
      <c r="F1272" s="28"/>
      <c r="G1272" s="27"/>
      <c r="H1272" s="28" t="e">
        <f ca="1"/>
        <v>#REF!</v>
      </c>
      <c r="I1272" s="27" t="e">
        <f ca="1"/>
        <v>#REF!</v>
      </c>
      <c r="J1272" s="28" t="e">
        <f ca="1"/>
        <v>#REF!</v>
      </c>
      <c r="K1272" s="27" t="e">
        <f ca="1"/>
        <v>#REF!</v>
      </c>
      <c r="L1272" s="25" t="e">
        <f ca="1"/>
        <v>#REF!</v>
      </c>
      <c r="M1272" s="25" t="e">
        <f ca="1"/>
        <v>#REF!</v>
      </c>
      <c r="N1272" s="25" t="e">
        <f ca="1"/>
        <v>#REF!</v>
      </c>
      <c r="O1272" s="25" t="e">
        <f ca="1"/>
        <v>#REF!</v>
      </c>
      <c r="P1272" s="25" t="e">
        <f ca="1"/>
        <v>#REF!</v>
      </c>
      <c r="Q1272" s="25" t="e">
        <f ca="1"/>
        <v>#REF!</v>
      </c>
      <c r="R1272" s="25" t="e">
        <f ca="1"/>
        <v>#REF!</v>
      </c>
      <c r="S1272" s="25" t="e">
        <f ca="1"/>
        <v>#REF!</v>
      </c>
      <c r="T1272" s="25" t="e">
        <f ca="1"/>
        <v>#REF!</v>
      </c>
      <c r="U1272" s="25" t="e">
        <f ca="1"/>
        <v>#REF!</v>
      </c>
      <c r="V1272" s="25" t="e">
        <f ca="1"/>
        <v>#REF!</v>
      </c>
      <c r="W1272" s="33" t="e">
        <f ca="1"/>
        <v>#REF!</v>
      </c>
      <c r="X1272" s="33" t="e">
        <f ca="1"/>
        <v>#REF!</v>
      </c>
      <c r="Y1272" s="33" t="e">
        <f ca="1"/>
        <v>#REF!</v>
      </c>
      <c r="Z1272" s="33" t="e">
        <f ca="1"/>
        <v>#REF!</v>
      </c>
      <c r="AA1272" s="33" t="e">
        <f ca="1"/>
        <v>#REF!</v>
      </c>
    </row>
    <row r="1273" spans="1:27" s="70" customFormat="1" ht="11.25" x14ac:dyDescent="0.2">
      <c r="A1273" s="24">
        <v>1267</v>
      </c>
      <c r="B1273" s="27"/>
      <c r="C1273" s="28"/>
      <c r="D1273" s="71"/>
      <c r="E1273" s="28"/>
      <c r="F1273" s="28"/>
      <c r="G1273" s="27"/>
      <c r="H1273" s="28" t="e">
        <f ca="1"/>
        <v>#REF!</v>
      </c>
      <c r="I1273" s="27" t="e">
        <f ca="1"/>
        <v>#REF!</v>
      </c>
      <c r="J1273" s="28" t="e">
        <f ca="1"/>
        <v>#REF!</v>
      </c>
      <c r="K1273" s="27" t="e">
        <f ca="1"/>
        <v>#REF!</v>
      </c>
      <c r="L1273" s="25" t="e">
        <f ca="1"/>
        <v>#REF!</v>
      </c>
      <c r="M1273" s="25" t="e">
        <f ca="1"/>
        <v>#REF!</v>
      </c>
      <c r="N1273" s="25" t="e">
        <f ca="1"/>
        <v>#REF!</v>
      </c>
      <c r="O1273" s="25" t="e">
        <f ca="1"/>
        <v>#REF!</v>
      </c>
      <c r="P1273" s="25" t="e">
        <f ca="1"/>
        <v>#REF!</v>
      </c>
      <c r="Q1273" s="25" t="e">
        <f ca="1"/>
        <v>#REF!</v>
      </c>
      <c r="R1273" s="25" t="e">
        <f ca="1"/>
        <v>#REF!</v>
      </c>
      <c r="S1273" s="25" t="e">
        <f ca="1"/>
        <v>#REF!</v>
      </c>
      <c r="T1273" s="25" t="e">
        <f ca="1"/>
        <v>#REF!</v>
      </c>
      <c r="U1273" s="25" t="e">
        <f ca="1"/>
        <v>#REF!</v>
      </c>
      <c r="V1273" s="25" t="e">
        <f ca="1"/>
        <v>#REF!</v>
      </c>
      <c r="W1273" s="33" t="e">
        <f ca="1"/>
        <v>#REF!</v>
      </c>
      <c r="X1273" s="33" t="e">
        <f ca="1"/>
        <v>#REF!</v>
      </c>
      <c r="Y1273" s="33" t="e">
        <f ca="1"/>
        <v>#REF!</v>
      </c>
      <c r="Z1273" s="33" t="e">
        <f ca="1"/>
        <v>#REF!</v>
      </c>
      <c r="AA1273" s="33" t="e">
        <f ca="1"/>
        <v>#REF!</v>
      </c>
    </row>
    <row r="1274" spans="1:27" s="70" customFormat="1" ht="11.25" x14ac:dyDescent="0.2">
      <c r="A1274" s="24">
        <v>1268</v>
      </c>
      <c r="B1274" s="27"/>
      <c r="C1274" s="28"/>
      <c r="D1274" s="71"/>
      <c r="E1274" s="28"/>
      <c r="F1274" s="28"/>
      <c r="G1274" s="27"/>
      <c r="H1274" s="28" t="e">
        <f ca="1"/>
        <v>#REF!</v>
      </c>
      <c r="I1274" s="27" t="e">
        <f ca="1"/>
        <v>#REF!</v>
      </c>
      <c r="J1274" s="28" t="e">
        <f ca="1"/>
        <v>#REF!</v>
      </c>
      <c r="K1274" s="27" t="e">
        <f ca="1"/>
        <v>#REF!</v>
      </c>
      <c r="L1274" s="25" t="e">
        <f ca="1"/>
        <v>#REF!</v>
      </c>
      <c r="M1274" s="25" t="e">
        <f ca="1"/>
        <v>#REF!</v>
      </c>
      <c r="N1274" s="25" t="e">
        <f ca="1"/>
        <v>#REF!</v>
      </c>
      <c r="O1274" s="25" t="e">
        <f ca="1"/>
        <v>#REF!</v>
      </c>
      <c r="P1274" s="25" t="e">
        <f ca="1"/>
        <v>#REF!</v>
      </c>
      <c r="Q1274" s="25" t="e">
        <f ca="1"/>
        <v>#REF!</v>
      </c>
      <c r="R1274" s="25" t="e">
        <f ca="1"/>
        <v>#REF!</v>
      </c>
      <c r="S1274" s="25" t="e">
        <f ca="1"/>
        <v>#REF!</v>
      </c>
      <c r="T1274" s="25" t="e">
        <f ca="1"/>
        <v>#REF!</v>
      </c>
      <c r="U1274" s="25" t="e">
        <f ca="1"/>
        <v>#REF!</v>
      </c>
      <c r="V1274" s="25" t="e">
        <f ca="1"/>
        <v>#REF!</v>
      </c>
      <c r="W1274" s="33" t="e">
        <f ca="1"/>
        <v>#REF!</v>
      </c>
      <c r="X1274" s="33" t="e">
        <f ca="1"/>
        <v>#REF!</v>
      </c>
      <c r="Y1274" s="33" t="e">
        <f ca="1"/>
        <v>#REF!</v>
      </c>
      <c r="Z1274" s="33" t="e">
        <f ca="1"/>
        <v>#REF!</v>
      </c>
      <c r="AA1274" s="33" t="e">
        <f ca="1"/>
        <v>#REF!</v>
      </c>
    </row>
    <row r="1275" spans="1:27" s="70" customFormat="1" ht="11.25" x14ac:dyDescent="0.2">
      <c r="A1275" s="24">
        <v>1269</v>
      </c>
      <c r="B1275" s="27"/>
      <c r="C1275" s="28"/>
      <c r="D1275" s="71"/>
      <c r="E1275" s="28"/>
      <c r="F1275" s="28"/>
      <c r="G1275" s="27"/>
      <c r="H1275" s="28" t="e">
        <f ca="1"/>
        <v>#REF!</v>
      </c>
      <c r="I1275" s="27" t="e">
        <f ca="1"/>
        <v>#REF!</v>
      </c>
      <c r="J1275" s="28" t="e">
        <f ca="1"/>
        <v>#REF!</v>
      </c>
      <c r="K1275" s="27" t="e">
        <f ca="1"/>
        <v>#REF!</v>
      </c>
      <c r="L1275" s="25" t="e">
        <f ca="1"/>
        <v>#REF!</v>
      </c>
      <c r="M1275" s="25" t="e">
        <f ca="1"/>
        <v>#REF!</v>
      </c>
      <c r="N1275" s="25" t="e">
        <f ca="1"/>
        <v>#REF!</v>
      </c>
      <c r="O1275" s="25" t="e">
        <f ca="1"/>
        <v>#REF!</v>
      </c>
      <c r="P1275" s="25" t="e">
        <f ca="1"/>
        <v>#REF!</v>
      </c>
      <c r="Q1275" s="25" t="e">
        <f ca="1"/>
        <v>#REF!</v>
      </c>
      <c r="R1275" s="25" t="e">
        <f ca="1"/>
        <v>#REF!</v>
      </c>
      <c r="S1275" s="25" t="e">
        <f ca="1"/>
        <v>#REF!</v>
      </c>
      <c r="T1275" s="25" t="e">
        <f ca="1"/>
        <v>#REF!</v>
      </c>
      <c r="U1275" s="25" t="e">
        <f ca="1"/>
        <v>#REF!</v>
      </c>
      <c r="V1275" s="25" t="e">
        <f ca="1"/>
        <v>#REF!</v>
      </c>
      <c r="W1275" s="33" t="e">
        <f ca="1"/>
        <v>#REF!</v>
      </c>
      <c r="X1275" s="33" t="e">
        <f ca="1"/>
        <v>#REF!</v>
      </c>
      <c r="Y1275" s="33" t="e">
        <f ca="1"/>
        <v>#REF!</v>
      </c>
      <c r="Z1275" s="33" t="e">
        <f ca="1"/>
        <v>#REF!</v>
      </c>
      <c r="AA1275" s="33" t="e">
        <f ca="1"/>
        <v>#REF!</v>
      </c>
    </row>
    <row r="1276" spans="1:27" s="70" customFormat="1" ht="11.25" x14ac:dyDescent="0.2">
      <c r="A1276" s="24">
        <v>1270</v>
      </c>
      <c r="B1276" s="27"/>
      <c r="C1276" s="28"/>
      <c r="D1276" s="71"/>
      <c r="E1276" s="28"/>
      <c r="F1276" s="28"/>
      <c r="G1276" s="27"/>
      <c r="H1276" s="28" t="e">
        <f ca="1"/>
        <v>#REF!</v>
      </c>
      <c r="I1276" s="27" t="e">
        <f ca="1"/>
        <v>#REF!</v>
      </c>
      <c r="J1276" s="28" t="e">
        <f ca="1"/>
        <v>#REF!</v>
      </c>
      <c r="K1276" s="27" t="e">
        <f ca="1"/>
        <v>#REF!</v>
      </c>
      <c r="L1276" s="25" t="e">
        <f ca="1"/>
        <v>#REF!</v>
      </c>
      <c r="M1276" s="25" t="e">
        <f ca="1"/>
        <v>#REF!</v>
      </c>
      <c r="N1276" s="25" t="e">
        <f ca="1"/>
        <v>#REF!</v>
      </c>
      <c r="O1276" s="25" t="e">
        <f ca="1"/>
        <v>#REF!</v>
      </c>
      <c r="P1276" s="25" t="e">
        <f ca="1"/>
        <v>#REF!</v>
      </c>
      <c r="Q1276" s="25" t="e">
        <f ca="1"/>
        <v>#REF!</v>
      </c>
      <c r="R1276" s="25" t="e">
        <f ca="1"/>
        <v>#REF!</v>
      </c>
      <c r="S1276" s="25" t="e">
        <f ca="1"/>
        <v>#REF!</v>
      </c>
      <c r="T1276" s="25" t="e">
        <f ca="1"/>
        <v>#REF!</v>
      </c>
      <c r="U1276" s="25" t="e">
        <f ca="1"/>
        <v>#REF!</v>
      </c>
      <c r="V1276" s="25" t="e">
        <f ca="1"/>
        <v>#REF!</v>
      </c>
      <c r="W1276" s="33" t="e">
        <f ca="1"/>
        <v>#REF!</v>
      </c>
      <c r="X1276" s="33" t="e">
        <f ca="1"/>
        <v>#REF!</v>
      </c>
      <c r="Y1276" s="33" t="e">
        <f ca="1"/>
        <v>#REF!</v>
      </c>
      <c r="Z1276" s="33" t="e">
        <f ca="1"/>
        <v>#REF!</v>
      </c>
      <c r="AA1276" s="33" t="e">
        <f ca="1"/>
        <v>#REF!</v>
      </c>
    </row>
    <row r="1277" spans="1:27" s="70" customFormat="1" ht="11.25" x14ac:dyDescent="0.2">
      <c r="A1277" s="24">
        <v>1271</v>
      </c>
      <c r="B1277" s="27"/>
      <c r="C1277" s="28"/>
      <c r="D1277" s="71"/>
      <c r="E1277" s="28"/>
      <c r="F1277" s="28"/>
      <c r="G1277" s="27"/>
      <c r="H1277" s="28" t="e">
        <f ca="1"/>
        <v>#REF!</v>
      </c>
      <c r="I1277" s="27" t="e">
        <f ca="1"/>
        <v>#REF!</v>
      </c>
      <c r="J1277" s="28" t="e">
        <f ca="1"/>
        <v>#REF!</v>
      </c>
      <c r="K1277" s="27" t="e">
        <f ca="1"/>
        <v>#REF!</v>
      </c>
      <c r="L1277" s="25" t="e">
        <f ca="1"/>
        <v>#REF!</v>
      </c>
      <c r="M1277" s="25" t="e">
        <f ca="1"/>
        <v>#REF!</v>
      </c>
      <c r="N1277" s="25" t="e">
        <f ca="1"/>
        <v>#REF!</v>
      </c>
      <c r="O1277" s="25" t="e">
        <f ca="1"/>
        <v>#REF!</v>
      </c>
      <c r="P1277" s="25" t="e">
        <f ca="1"/>
        <v>#REF!</v>
      </c>
      <c r="Q1277" s="25" t="e">
        <f ca="1"/>
        <v>#REF!</v>
      </c>
      <c r="R1277" s="25" t="e">
        <f ca="1"/>
        <v>#REF!</v>
      </c>
      <c r="S1277" s="25" t="e">
        <f ca="1"/>
        <v>#REF!</v>
      </c>
      <c r="T1277" s="25" t="e">
        <f ca="1"/>
        <v>#REF!</v>
      </c>
      <c r="U1277" s="25" t="e">
        <f ca="1"/>
        <v>#REF!</v>
      </c>
      <c r="V1277" s="25" t="e">
        <f ca="1"/>
        <v>#REF!</v>
      </c>
      <c r="W1277" s="33" t="e">
        <f ca="1"/>
        <v>#REF!</v>
      </c>
      <c r="X1277" s="33" t="e">
        <f ca="1"/>
        <v>#REF!</v>
      </c>
      <c r="Y1277" s="33" t="e">
        <f ca="1"/>
        <v>#REF!</v>
      </c>
      <c r="Z1277" s="33" t="e">
        <f ca="1"/>
        <v>#REF!</v>
      </c>
      <c r="AA1277" s="33" t="e">
        <f ca="1"/>
        <v>#REF!</v>
      </c>
    </row>
    <row r="1278" spans="1:27" s="70" customFormat="1" ht="11.25" x14ac:dyDescent="0.2">
      <c r="A1278" s="24">
        <v>1272</v>
      </c>
      <c r="B1278" s="27"/>
      <c r="C1278" s="28"/>
      <c r="D1278" s="71"/>
      <c r="E1278" s="28"/>
      <c r="F1278" s="28"/>
      <c r="G1278" s="27"/>
      <c r="H1278" s="28" t="e">
        <f ca="1"/>
        <v>#REF!</v>
      </c>
      <c r="I1278" s="27" t="e">
        <f ca="1"/>
        <v>#REF!</v>
      </c>
      <c r="J1278" s="28" t="e">
        <f ca="1"/>
        <v>#REF!</v>
      </c>
      <c r="K1278" s="27" t="e">
        <f ca="1"/>
        <v>#REF!</v>
      </c>
      <c r="L1278" s="25" t="e">
        <f ca="1"/>
        <v>#REF!</v>
      </c>
      <c r="M1278" s="25" t="e">
        <f ca="1"/>
        <v>#REF!</v>
      </c>
      <c r="N1278" s="25" t="e">
        <f ca="1"/>
        <v>#REF!</v>
      </c>
      <c r="O1278" s="25" t="e">
        <f ca="1"/>
        <v>#REF!</v>
      </c>
      <c r="P1278" s="25" t="e">
        <f ca="1"/>
        <v>#REF!</v>
      </c>
      <c r="Q1278" s="25" t="e">
        <f ca="1"/>
        <v>#REF!</v>
      </c>
      <c r="R1278" s="25" t="e">
        <f ca="1"/>
        <v>#REF!</v>
      </c>
      <c r="S1278" s="25" t="e">
        <f ca="1"/>
        <v>#REF!</v>
      </c>
      <c r="T1278" s="25" t="e">
        <f ca="1"/>
        <v>#REF!</v>
      </c>
      <c r="U1278" s="25" t="e">
        <f ca="1"/>
        <v>#REF!</v>
      </c>
      <c r="V1278" s="25" t="e">
        <f ca="1"/>
        <v>#REF!</v>
      </c>
      <c r="W1278" s="33" t="e">
        <f ca="1"/>
        <v>#REF!</v>
      </c>
      <c r="X1278" s="33" t="e">
        <f ca="1"/>
        <v>#REF!</v>
      </c>
      <c r="Y1278" s="33" t="e">
        <f ca="1"/>
        <v>#REF!</v>
      </c>
      <c r="Z1278" s="33" t="e">
        <f ca="1"/>
        <v>#REF!</v>
      </c>
      <c r="AA1278" s="33" t="e">
        <f ca="1"/>
        <v>#REF!</v>
      </c>
    </row>
    <row r="1279" spans="1:27" s="70" customFormat="1" ht="11.25" x14ac:dyDescent="0.2">
      <c r="A1279" s="24">
        <v>1273</v>
      </c>
      <c r="B1279" s="27"/>
      <c r="C1279" s="28"/>
      <c r="D1279" s="71"/>
      <c r="E1279" s="28"/>
      <c r="F1279" s="28"/>
      <c r="G1279" s="27"/>
      <c r="H1279" s="28" t="e">
        <f ca="1"/>
        <v>#REF!</v>
      </c>
      <c r="I1279" s="27" t="e">
        <f ca="1"/>
        <v>#REF!</v>
      </c>
      <c r="J1279" s="28" t="e">
        <f ca="1"/>
        <v>#REF!</v>
      </c>
      <c r="K1279" s="27" t="e">
        <f ca="1"/>
        <v>#REF!</v>
      </c>
      <c r="L1279" s="25" t="e">
        <f ca="1"/>
        <v>#REF!</v>
      </c>
      <c r="M1279" s="25" t="e">
        <f ca="1"/>
        <v>#REF!</v>
      </c>
      <c r="N1279" s="25" t="e">
        <f ca="1"/>
        <v>#REF!</v>
      </c>
      <c r="O1279" s="25" t="e">
        <f ca="1"/>
        <v>#REF!</v>
      </c>
      <c r="P1279" s="25" t="e">
        <f ca="1"/>
        <v>#REF!</v>
      </c>
      <c r="Q1279" s="25" t="e">
        <f ca="1"/>
        <v>#REF!</v>
      </c>
      <c r="R1279" s="25" t="e">
        <f ca="1"/>
        <v>#REF!</v>
      </c>
      <c r="S1279" s="25" t="e">
        <f ca="1"/>
        <v>#REF!</v>
      </c>
      <c r="T1279" s="25" t="e">
        <f ca="1"/>
        <v>#REF!</v>
      </c>
      <c r="U1279" s="25" t="e">
        <f ca="1"/>
        <v>#REF!</v>
      </c>
      <c r="V1279" s="25" t="e">
        <f ca="1"/>
        <v>#REF!</v>
      </c>
      <c r="W1279" s="33" t="e">
        <f ca="1"/>
        <v>#REF!</v>
      </c>
      <c r="X1279" s="33" t="e">
        <f ca="1"/>
        <v>#REF!</v>
      </c>
      <c r="Y1279" s="33" t="e">
        <f ca="1"/>
        <v>#REF!</v>
      </c>
      <c r="Z1279" s="33" t="e">
        <f ca="1"/>
        <v>#REF!</v>
      </c>
      <c r="AA1279" s="33" t="e">
        <f ca="1"/>
        <v>#REF!</v>
      </c>
    </row>
    <row r="1280" spans="1:27" s="70" customFormat="1" ht="11.25" x14ac:dyDescent="0.2">
      <c r="A1280" s="24">
        <v>1274</v>
      </c>
      <c r="B1280" s="27"/>
      <c r="C1280" s="28"/>
      <c r="D1280" s="71"/>
      <c r="E1280" s="28"/>
      <c r="F1280" s="28"/>
      <c r="G1280" s="27"/>
      <c r="H1280" s="28" t="e">
        <f ca="1"/>
        <v>#REF!</v>
      </c>
      <c r="I1280" s="27" t="e">
        <f ca="1"/>
        <v>#REF!</v>
      </c>
      <c r="J1280" s="28" t="e">
        <f ca="1"/>
        <v>#REF!</v>
      </c>
      <c r="K1280" s="27" t="e">
        <f ca="1"/>
        <v>#REF!</v>
      </c>
      <c r="L1280" s="25" t="e">
        <f ca="1"/>
        <v>#REF!</v>
      </c>
      <c r="M1280" s="25" t="e">
        <f ca="1"/>
        <v>#REF!</v>
      </c>
      <c r="N1280" s="25" t="e">
        <f ca="1"/>
        <v>#REF!</v>
      </c>
      <c r="O1280" s="25" t="e">
        <f ca="1"/>
        <v>#REF!</v>
      </c>
      <c r="P1280" s="25" t="e">
        <f ca="1"/>
        <v>#REF!</v>
      </c>
      <c r="Q1280" s="25" t="e">
        <f ca="1"/>
        <v>#REF!</v>
      </c>
      <c r="R1280" s="25" t="e">
        <f ca="1"/>
        <v>#REF!</v>
      </c>
      <c r="S1280" s="25" t="e">
        <f ca="1"/>
        <v>#REF!</v>
      </c>
      <c r="T1280" s="25" t="e">
        <f ca="1"/>
        <v>#REF!</v>
      </c>
      <c r="U1280" s="25" t="e">
        <f ca="1"/>
        <v>#REF!</v>
      </c>
      <c r="V1280" s="25" t="e">
        <f ca="1"/>
        <v>#REF!</v>
      </c>
      <c r="W1280" s="33" t="e">
        <f ca="1"/>
        <v>#REF!</v>
      </c>
      <c r="X1280" s="33" t="e">
        <f ca="1"/>
        <v>#REF!</v>
      </c>
      <c r="Y1280" s="33" t="e">
        <f ca="1"/>
        <v>#REF!</v>
      </c>
      <c r="Z1280" s="33" t="e">
        <f ca="1"/>
        <v>#REF!</v>
      </c>
      <c r="AA1280" s="33" t="e">
        <f ca="1"/>
        <v>#REF!</v>
      </c>
    </row>
    <row r="1281" spans="1:27" s="70" customFormat="1" ht="11.25" x14ac:dyDescent="0.2">
      <c r="A1281" s="24">
        <v>1275</v>
      </c>
      <c r="B1281" s="27"/>
      <c r="C1281" s="28"/>
      <c r="D1281" s="71"/>
      <c r="E1281" s="28"/>
      <c r="F1281" s="28"/>
      <c r="G1281" s="27"/>
      <c r="H1281" s="28" t="e">
        <f ca="1"/>
        <v>#REF!</v>
      </c>
      <c r="I1281" s="27" t="e">
        <f ca="1"/>
        <v>#REF!</v>
      </c>
      <c r="J1281" s="28" t="e">
        <f ca="1"/>
        <v>#REF!</v>
      </c>
      <c r="K1281" s="27" t="e">
        <f ca="1"/>
        <v>#REF!</v>
      </c>
      <c r="L1281" s="25" t="e">
        <f ca="1"/>
        <v>#REF!</v>
      </c>
      <c r="M1281" s="25" t="e">
        <f ca="1"/>
        <v>#REF!</v>
      </c>
      <c r="N1281" s="25" t="e">
        <f ca="1"/>
        <v>#REF!</v>
      </c>
      <c r="O1281" s="25" t="e">
        <f ca="1"/>
        <v>#REF!</v>
      </c>
      <c r="P1281" s="25" t="e">
        <f ca="1"/>
        <v>#REF!</v>
      </c>
      <c r="Q1281" s="25" t="e">
        <f ca="1"/>
        <v>#REF!</v>
      </c>
      <c r="R1281" s="25" t="e">
        <f ca="1"/>
        <v>#REF!</v>
      </c>
      <c r="S1281" s="25" t="e">
        <f ca="1"/>
        <v>#REF!</v>
      </c>
      <c r="T1281" s="25" t="e">
        <f ca="1"/>
        <v>#REF!</v>
      </c>
      <c r="U1281" s="25" t="e">
        <f ca="1"/>
        <v>#REF!</v>
      </c>
      <c r="V1281" s="25" t="e">
        <f ca="1"/>
        <v>#REF!</v>
      </c>
      <c r="W1281" s="33" t="e">
        <f ca="1"/>
        <v>#REF!</v>
      </c>
      <c r="X1281" s="33" t="e">
        <f ca="1"/>
        <v>#REF!</v>
      </c>
      <c r="Y1281" s="33" t="e">
        <f ca="1"/>
        <v>#REF!</v>
      </c>
      <c r="Z1281" s="33" t="e">
        <f ca="1"/>
        <v>#REF!</v>
      </c>
      <c r="AA1281" s="33" t="e">
        <f ca="1"/>
        <v>#REF!</v>
      </c>
    </row>
    <row r="1282" spans="1:27" s="70" customFormat="1" ht="11.25" x14ac:dyDescent="0.2">
      <c r="A1282" s="24">
        <v>1276</v>
      </c>
      <c r="B1282" s="27"/>
      <c r="C1282" s="28"/>
      <c r="D1282" s="71"/>
      <c r="E1282" s="28"/>
      <c r="F1282" s="28"/>
      <c r="G1282" s="27"/>
      <c r="H1282" s="28" t="e">
        <f ca="1"/>
        <v>#REF!</v>
      </c>
      <c r="I1282" s="27" t="e">
        <f ca="1"/>
        <v>#REF!</v>
      </c>
      <c r="J1282" s="28" t="e">
        <f ca="1"/>
        <v>#REF!</v>
      </c>
      <c r="K1282" s="27" t="e">
        <f ca="1"/>
        <v>#REF!</v>
      </c>
      <c r="L1282" s="25" t="e">
        <f ca="1"/>
        <v>#REF!</v>
      </c>
      <c r="M1282" s="25" t="e">
        <f ca="1"/>
        <v>#REF!</v>
      </c>
      <c r="N1282" s="25" t="e">
        <f ca="1"/>
        <v>#REF!</v>
      </c>
      <c r="O1282" s="25" t="e">
        <f ca="1"/>
        <v>#REF!</v>
      </c>
      <c r="P1282" s="25" t="e">
        <f ca="1"/>
        <v>#REF!</v>
      </c>
      <c r="Q1282" s="25" t="e">
        <f ca="1"/>
        <v>#REF!</v>
      </c>
      <c r="R1282" s="25" t="e">
        <f ca="1"/>
        <v>#REF!</v>
      </c>
      <c r="S1282" s="25" t="e">
        <f ca="1"/>
        <v>#REF!</v>
      </c>
      <c r="T1282" s="25" t="e">
        <f ca="1"/>
        <v>#REF!</v>
      </c>
      <c r="U1282" s="25" t="e">
        <f ca="1"/>
        <v>#REF!</v>
      </c>
      <c r="V1282" s="25" t="e">
        <f ca="1"/>
        <v>#REF!</v>
      </c>
      <c r="W1282" s="33" t="e">
        <f ca="1"/>
        <v>#REF!</v>
      </c>
      <c r="X1282" s="33" t="e">
        <f ca="1"/>
        <v>#REF!</v>
      </c>
      <c r="Y1282" s="33" t="e">
        <f ca="1"/>
        <v>#REF!</v>
      </c>
      <c r="Z1282" s="33" t="e">
        <f ca="1"/>
        <v>#REF!</v>
      </c>
      <c r="AA1282" s="33" t="e">
        <f ca="1"/>
        <v>#REF!</v>
      </c>
    </row>
    <row r="1283" spans="1:27" s="70" customFormat="1" ht="11.25" x14ac:dyDescent="0.2">
      <c r="A1283" s="24">
        <v>1277</v>
      </c>
      <c r="B1283" s="27"/>
      <c r="C1283" s="28"/>
      <c r="D1283" s="71"/>
      <c r="E1283" s="28"/>
      <c r="F1283" s="28"/>
      <c r="G1283" s="27"/>
      <c r="H1283" s="28" t="e">
        <f ca="1"/>
        <v>#REF!</v>
      </c>
      <c r="I1283" s="27" t="e">
        <f ca="1"/>
        <v>#REF!</v>
      </c>
      <c r="J1283" s="28" t="e">
        <f ca="1"/>
        <v>#REF!</v>
      </c>
      <c r="K1283" s="27" t="e">
        <f ca="1"/>
        <v>#REF!</v>
      </c>
      <c r="L1283" s="25" t="e">
        <f ca="1"/>
        <v>#REF!</v>
      </c>
      <c r="M1283" s="25" t="e">
        <f ca="1"/>
        <v>#REF!</v>
      </c>
      <c r="N1283" s="25" t="e">
        <f ca="1"/>
        <v>#REF!</v>
      </c>
      <c r="O1283" s="25" t="e">
        <f ca="1"/>
        <v>#REF!</v>
      </c>
      <c r="P1283" s="25" t="e">
        <f ca="1"/>
        <v>#REF!</v>
      </c>
      <c r="Q1283" s="25" t="e">
        <f ca="1"/>
        <v>#REF!</v>
      </c>
      <c r="R1283" s="25" t="e">
        <f ca="1"/>
        <v>#REF!</v>
      </c>
      <c r="S1283" s="25" t="e">
        <f ca="1"/>
        <v>#REF!</v>
      </c>
      <c r="T1283" s="25" t="e">
        <f ca="1"/>
        <v>#REF!</v>
      </c>
      <c r="U1283" s="25" t="e">
        <f ca="1"/>
        <v>#REF!</v>
      </c>
      <c r="V1283" s="25" t="e">
        <f ca="1"/>
        <v>#REF!</v>
      </c>
      <c r="W1283" s="33" t="e">
        <f ca="1"/>
        <v>#REF!</v>
      </c>
      <c r="X1283" s="33" t="e">
        <f ca="1"/>
        <v>#REF!</v>
      </c>
      <c r="Y1283" s="33" t="e">
        <f ca="1"/>
        <v>#REF!</v>
      </c>
      <c r="Z1283" s="33" t="e">
        <f ca="1"/>
        <v>#REF!</v>
      </c>
      <c r="AA1283" s="33" t="e">
        <f ca="1"/>
        <v>#REF!</v>
      </c>
    </row>
    <row r="1284" spans="1:27" s="70" customFormat="1" ht="11.25" x14ac:dyDescent="0.2">
      <c r="A1284" s="24">
        <v>1278</v>
      </c>
      <c r="B1284" s="27"/>
      <c r="C1284" s="28"/>
      <c r="D1284" s="71"/>
      <c r="E1284" s="28"/>
      <c r="F1284" s="28"/>
      <c r="G1284" s="27"/>
      <c r="H1284" s="28" t="e">
        <f ca="1"/>
        <v>#REF!</v>
      </c>
      <c r="I1284" s="27" t="e">
        <f ca="1"/>
        <v>#REF!</v>
      </c>
      <c r="J1284" s="28" t="e">
        <f ca="1"/>
        <v>#REF!</v>
      </c>
      <c r="K1284" s="27" t="e">
        <f ca="1"/>
        <v>#REF!</v>
      </c>
      <c r="L1284" s="25" t="e">
        <f ca="1"/>
        <v>#REF!</v>
      </c>
      <c r="M1284" s="25" t="e">
        <f ca="1"/>
        <v>#REF!</v>
      </c>
      <c r="N1284" s="25" t="e">
        <f ca="1"/>
        <v>#REF!</v>
      </c>
      <c r="O1284" s="25" t="e">
        <f ca="1"/>
        <v>#REF!</v>
      </c>
      <c r="P1284" s="25" t="e">
        <f ca="1"/>
        <v>#REF!</v>
      </c>
      <c r="Q1284" s="25" t="e">
        <f ca="1"/>
        <v>#REF!</v>
      </c>
      <c r="R1284" s="25" t="e">
        <f ca="1"/>
        <v>#REF!</v>
      </c>
      <c r="S1284" s="25" t="e">
        <f ca="1"/>
        <v>#REF!</v>
      </c>
      <c r="T1284" s="25" t="e">
        <f ca="1"/>
        <v>#REF!</v>
      </c>
      <c r="U1284" s="25" t="e">
        <f ca="1"/>
        <v>#REF!</v>
      </c>
      <c r="V1284" s="25" t="e">
        <f ca="1"/>
        <v>#REF!</v>
      </c>
      <c r="W1284" s="33" t="e">
        <f ca="1"/>
        <v>#REF!</v>
      </c>
      <c r="X1284" s="33" t="e">
        <f ca="1"/>
        <v>#REF!</v>
      </c>
      <c r="Y1284" s="33" t="e">
        <f ca="1"/>
        <v>#REF!</v>
      </c>
      <c r="Z1284" s="33" t="e">
        <f ca="1"/>
        <v>#REF!</v>
      </c>
      <c r="AA1284" s="33" t="e">
        <f ca="1"/>
        <v>#REF!</v>
      </c>
    </row>
    <row r="1285" spans="1:27" s="70" customFormat="1" ht="11.25" x14ac:dyDescent="0.2">
      <c r="A1285" s="24">
        <v>1279</v>
      </c>
      <c r="B1285" s="27"/>
      <c r="C1285" s="28"/>
      <c r="D1285" s="71"/>
      <c r="E1285" s="28"/>
      <c r="F1285" s="28"/>
      <c r="G1285" s="27"/>
      <c r="H1285" s="28" t="e">
        <f ca="1"/>
        <v>#REF!</v>
      </c>
      <c r="I1285" s="27" t="e">
        <f ca="1"/>
        <v>#REF!</v>
      </c>
      <c r="J1285" s="28" t="e">
        <f ca="1"/>
        <v>#REF!</v>
      </c>
      <c r="K1285" s="27" t="e">
        <f ca="1"/>
        <v>#REF!</v>
      </c>
      <c r="L1285" s="25" t="e">
        <f ca="1"/>
        <v>#REF!</v>
      </c>
      <c r="M1285" s="25" t="e">
        <f ca="1"/>
        <v>#REF!</v>
      </c>
      <c r="N1285" s="25" t="e">
        <f ca="1"/>
        <v>#REF!</v>
      </c>
      <c r="O1285" s="25" t="e">
        <f ca="1"/>
        <v>#REF!</v>
      </c>
      <c r="P1285" s="25" t="e">
        <f ca="1"/>
        <v>#REF!</v>
      </c>
      <c r="Q1285" s="25" t="e">
        <f ca="1"/>
        <v>#REF!</v>
      </c>
      <c r="R1285" s="25" t="e">
        <f ca="1"/>
        <v>#REF!</v>
      </c>
      <c r="S1285" s="25" t="e">
        <f ca="1"/>
        <v>#REF!</v>
      </c>
      <c r="T1285" s="25" t="e">
        <f ca="1"/>
        <v>#REF!</v>
      </c>
      <c r="U1285" s="25" t="e">
        <f ca="1"/>
        <v>#REF!</v>
      </c>
      <c r="V1285" s="25" t="e">
        <f ca="1"/>
        <v>#REF!</v>
      </c>
      <c r="W1285" s="33" t="e">
        <f ca="1"/>
        <v>#REF!</v>
      </c>
      <c r="X1285" s="33" t="e">
        <f ca="1"/>
        <v>#REF!</v>
      </c>
      <c r="Y1285" s="33" t="e">
        <f ca="1"/>
        <v>#REF!</v>
      </c>
      <c r="Z1285" s="33" t="e">
        <f ca="1"/>
        <v>#REF!</v>
      </c>
      <c r="AA1285" s="33" t="e">
        <f ca="1"/>
        <v>#REF!</v>
      </c>
    </row>
    <row r="1286" spans="1:27" s="70" customFormat="1" ht="11.25" x14ac:dyDescent="0.2">
      <c r="A1286" s="24">
        <v>1280</v>
      </c>
      <c r="B1286" s="27"/>
      <c r="C1286" s="28"/>
      <c r="D1286" s="71"/>
      <c r="E1286" s="28"/>
      <c r="F1286" s="28"/>
      <c r="G1286" s="27"/>
      <c r="H1286" s="28" t="e">
        <f ca="1"/>
        <v>#REF!</v>
      </c>
      <c r="I1286" s="27" t="e">
        <f ca="1"/>
        <v>#REF!</v>
      </c>
      <c r="J1286" s="28" t="e">
        <f ca="1"/>
        <v>#REF!</v>
      </c>
      <c r="K1286" s="27" t="e">
        <f ca="1"/>
        <v>#REF!</v>
      </c>
      <c r="L1286" s="25" t="e">
        <f ca="1"/>
        <v>#REF!</v>
      </c>
      <c r="M1286" s="25" t="e">
        <f ca="1"/>
        <v>#REF!</v>
      </c>
      <c r="N1286" s="25" t="e">
        <f ca="1"/>
        <v>#REF!</v>
      </c>
      <c r="O1286" s="25" t="e">
        <f ca="1"/>
        <v>#REF!</v>
      </c>
      <c r="P1286" s="25" t="e">
        <f ca="1"/>
        <v>#REF!</v>
      </c>
      <c r="Q1286" s="25" t="e">
        <f ca="1"/>
        <v>#REF!</v>
      </c>
      <c r="R1286" s="25" t="e">
        <f ca="1"/>
        <v>#REF!</v>
      </c>
      <c r="S1286" s="25" t="e">
        <f ca="1"/>
        <v>#REF!</v>
      </c>
      <c r="T1286" s="25" t="e">
        <f ca="1"/>
        <v>#REF!</v>
      </c>
      <c r="U1286" s="25" t="e">
        <f ca="1"/>
        <v>#REF!</v>
      </c>
      <c r="V1286" s="25" t="e">
        <f ca="1"/>
        <v>#REF!</v>
      </c>
      <c r="W1286" s="33" t="e">
        <f ca="1"/>
        <v>#REF!</v>
      </c>
      <c r="X1286" s="33" t="e">
        <f ca="1"/>
        <v>#REF!</v>
      </c>
      <c r="Y1286" s="33" t="e">
        <f ca="1"/>
        <v>#REF!</v>
      </c>
      <c r="Z1286" s="33" t="e">
        <f ca="1"/>
        <v>#REF!</v>
      </c>
      <c r="AA1286" s="33" t="e">
        <f ca="1"/>
        <v>#REF!</v>
      </c>
    </row>
    <row r="1287" spans="1:27" s="70" customFormat="1" ht="11.25" x14ac:dyDescent="0.2">
      <c r="A1287" s="24">
        <v>1281</v>
      </c>
      <c r="B1287" s="27"/>
      <c r="C1287" s="28"/>
      <c r="D1287" s="71"/>
      <c r="E1287" s="28"/>
      <c r="F1287" s="28"/>
      <c r="G1287" s="27"/>
      <c r="H1287" s="28" t="e">
        <f ca="1"/>
        <v>#REF!</v>
      </c>
      <c r="I1287" s="27" t="e">
        <f ca="1"/>
        <v>#REF!</v>
      </c>
      <c r="J1287" s="28" t="e">
        <f ca="1"/>
        <v>#REF!</v>
      </c>
      <c r="K1287" s="27" t="e">
        <f ca="1"/>
        <v>#REF!</v>
      </c>
      <c r="L1287" s="25" t="e">
        <f ca="1"/>
        <v>#REF!</v>
      </c>
      <c r="M1287" s="25" t="e">
        <f ca="1"/>
        <v>#REF!</v>
      </c>
      <c r="N1287" s="25" t="e">
        <f ca="1"/>
        <v>#REF!</v>
      </c>
      <c r="O1287" s="25" t="e">
        <f ca="1"/>
        <v>#REF!</v>
      </c>
      <c r="P1287" s="25" t="e">
        <f ca="1"/>
        <v>#REF!</v>
      </c>
      <c r="Q1287" s="25" t="e">
        <f ca="1"/>
        <v>#REF!</v>
      </c>
      <c r="R1287" s="25" t="e">
        <f ca="1"/>
        <v>#REF!</v>
      </c>
      <c r="S1287" s="25" t="e">
        <f ca="1"/>
        <v>#REF!</v>
      </c>
      <c r="T1287" s="25" t="e">
        <f ca="1"/>
        <v>#REF!</v>
      </c>
      <c r="U1287" s="25" t="e">
        <f ca="1"/>
        <v>#REF!</v>
      </c>
      <c r="V1287" s="25" t="e">
        <f ca="1"/>
        <v>#REF!</v>
      </c>
      <c r="W1287" s="33" t="e">
        <f ca="1"/>
        <v>#REF!</v>
      </c>
      <c r="X1287" s="33" t="e">
        <f ca="1"/>
        <v>#REF!</v>
      </c>
      <c r="Y1287" s="33" t="e">
        <f ca="1"/>
        <v>#REF!</v>
      </c>
      <c r="Z1287" s="33" t="e">
        <f ca="1"/>
        <v>#REF!</v>
      </c>
      <c r="AA1287" s="33" t="e">
        <f ca="1"/>
        <v>#REF!</v>
      </c>
    </row>
    <row r="1288" spans="1:27" s="70" customFormat="1" ht="11.25" x14ac:dyDescent="0.2">
      <c r="A1288" s="24">
        <v>1282</v>
      </c>
      <c r="B1288" s="27"/>
      <c r="C1288" s="28"/>
      <c r="D1288" s="71"/>
      <c r="E1288" s="28"/>
      <c r="F1288" s="28"/>
      <c r="G1288" s="27"/>
      <c r="H1288" s="28" t="e">
        <f ca="1"/>
        <v>#REF!</v>
      </c>
      <c r="I1288" s="27" t="e">
        <f ca="1"/>
        <v>#REF!</v>
      </c>
      <c r="J1288" s="28" t="e">
        <f ca="1"/>
        <v>#REF!</v>
      </c>
      <c r="K1288" s="27" t="e">
        <f ca="1"/>
        <v>#REF!</v>
      </c>
      <c r="L1288" s="25" t="e">
        <f ca="1"/>
        <v>#REF!</v>
      </c>
      <c r="M1288" s="25" t="e">
        <f ca="1"/>
        <v>#REF!</v>
      </c>
      <c r="N1288" s="25" t="e">
        <f ca="1"/>
        <v>#REF!</v>
      </c>
      <c r="O1288" s="25" t="e">
        <f ca="1"/>
        <v>#REF!</v>
      </c>
      <c r="P1288" s="25" t="e">
        <f ca="1"/>
        <v>#REF!</v>
      </c>
      <c r="Q1288" s="25" t="e">
        <f ca="1"/>
        <v>#REF!</v>
      </c>
      <c r="R1288" s="25" t="e">
        <f ca="1"/>
        <v>#REF!</v>
      </c>
      <c r="S1288" s="25" t="e">
        <f ca="1"/>
        <v>#REF!</v>
      </c>
      <c r="T1288" s="25" t="e">
        <f ca="1"/>
        <v>#REF!</v>
      </c>
      <c r="U1288" s="25" t="e">
        <f ca="1"/>
        <v>#REF!</v>
      </c>
      <c r="V1288" s="25" t="e">
        <f ca="1"/>
        <v>#REF!</v>
      </c>
      <c r="W1288" s="33" t="e">
        <f ca="1"/>
        <v>#REF!</v>
      </c>
      <c r="X1288" s="33" t="e">
        <f ca="1"/>
        <v>#REF!</v>
      </c>
      <c r="Y1288" s="33" t="e">
        <f ca="1"/>
        <v>#REF!</v>
      </c>
      <c r="Z1288" s="33" t="e">
        <f ca="1"/>
        <v>#REF!</v>
      </c>
      <c r="AA1288" s="33" t="e">
        <f ca="1"/>
        <v>#REF!</v>
      </c>
    </row>
    <row r="1289" spans="1:27" s="70" customFormat="1" ht="11.25" x14ac:dyDescent="0.2">
      <c r="A1289" s="24">
        <v>1283</v>
      </c>
      <c r="B1289" s="27"/>
      <c r="C1289" s="28"/>
      <c r="D1289" s="71"/>
      <c r="E1289" s="28"/>
      <c r="F1289" s="28"/>
      <c r="G1289" s="27"/>
      <c r="H1289" s="28" t="e">
        <f ca="1"/>
        <v>#REF!</v>
      </c>
      <c r="I1289" s="27" t="e">
        <f ca="1"/>
        <v>#REF!</v>
      </c>
      <c r="J1289" s="28" t="e">
        <f ca="1"/>
        <v>#REF!</v>
      </c>
      <c r="K1289" s="27" t="e">
        <f ca="1"/>
        <v>#REF!</v>
      </c>
      <c r="L1289" s="25" t="e">
        <f ca="1"/>
        <v>#REF!</v>
      </c>
      <c r="M1289" s="25" t="e">
        <f ca="1"/>
        <v>#REF!</v>
      </c>
      <c r="N1289" s="25" t="e">
        <f ca="1"/>
        <v>#REF!</v>
      </c>
      <c r="O1289" s="25" t="e">
        <f ca="1"/>
        <v>#REF!</v>
      </c>
      <c r="P1289" s="25" t="e">
        <f ca="1"/>
        <v>#REF!</v>
      </c>
      <c r="Q1289" s="25" t="e">
        <f ca="1"/>
        <v>#REF!</v>
      </c>
      <c r="R1289" s="25" t="e">
        <f ca="1"/>
        <v>#REF!</v>
      </c>
      <c r="S1289" s="25" t="e">
        <f ca="1"/>
        <v>#REF!</v>
      </c>
      <c r="T1289" s="25" t="e">
        <f ca="1"/>
        <v>#REF!</v>
      </c>
      <c r="U1289" s="25" t="e">
        <f ca="1"/>
        <v>#REF!</v>
      </c>
      <c r="V1289" s="25" t="e">
        <f ca="1"/>
        <v>#REF!</v>
      </c>
      <c r="W1289" s="33" t="e">
        <f ca="1"/>
        <v>#REF!</v>
      </c>
      <c r="X1289" s="33" t="e">
        <f ca="1"/>
        <v>#REF!</v>
      </c>
      <c r="Y1289" s="33" t="e">
        <f ca="1"/>
        <v>#REF!</v>
      </c>
      <c r="Z1289" s="33" t="e">
        <f ca="1"/>
        <v>#REF!</v>
      </c>
      <c r="AA1289" s="33" t="e">
        <f ca="1"/>
        <v>#REF!</v>
      </c>
    </row>
    <row r="1290" spans="1:27" s="70" customFormat="1" ht="11.25" x14ac:dyDescent="0.2">
      <c r="A1290" s="24">
        <v>1284</v>
      </c>
      <c r="B1290" s="27"/>
      <c r="C1290" s="28"/>
      <c r="D1290" s="71"/>
      <c r="E1290" s="28"/>
      <c r="F1290" s="28"/>
      <c r="G1290" s="27"/>
      <c r="H1290" s="28" t="e">
        <f ca="1"/>
        <v>#REF!</v>
      </c>
      <c r="I1290" s="27" t="e">
        <f ca="1"/>
        <v>#REF!</v>
      </c>
      <c r="J1290" s="28" t="e">
        <f ca="1"/>
        <v>#REF!</v>
      </c>
      <c r="K1290" s="27" t="e">
        <f ca="1"/>
        <v>#REF!</v>
      </c>
      <c r="L1290" s="25" t="e">
        <f ca="1"/>
        <v>#REF!</v>
      </c>
      <c r="M1290" s="25" t="e">
        <f ca="1"/>
        <v>#REF!</v>
      </c>
      <c r="N1290" s="25" t="e">
        <f ca="1"/>
        <v>#REF!</v>
      </c>
      <c r="O1290" s="25" t="e">
        <f ca="1"/>
        <v>#REF!</v>
      </c>
      <c r="P1290" s="25" t="e">
        <f ca="1"/>
        <v>#REF!</v>
      </c>
      <c r="Q1290" s="25" t="e">
        <f ca="1"/>
        <v>#REF!</v>
      </c>
      <c r="R1290" s="25" t="e">
        <f ca="1"/>
        <v>#REF!</v>
      </c>
      <c r="S1290" s="25" t="e">
        <f ca="1"/>
        <v>#REF!</v>
      </c>
      <c r="T1290" s="25" t="e">
        <f ca="1"/>
        <v>#REF!</v>
      </c>
      <c r="U1290" s="25" t="e">
        <f ca="1"/>
        <v>#REF!</v>
      </c>
      <c r="V1290" s="25" t="e">
        <f ca="1"/>
        <v>#REF!</v>
      </c>
      <c r="W1290" s="33" t="e">
        <f ca="1"/>
        <v>#REF!</v>
      </c>
      <c r="X1290" s="33" t="e">
        <f ca="1"/>
        <v>#REF!</v>
      </c>
      <c r="Y1290" s="33" t="e">
        <f ca="1"/>
        <v>#REF!</v>
      </c>
      <c r="Z1290" s="33" t="e">
        <f ca="1"/>
        <v>#REF!</v>
      </c>
      <c r="AA1290" s="33" t="e">
        <f ca="1"/>
        <v>#REF!</v>
      </c>
    </row>
    <row r="1291" spans="1:27" s="70" customFormat="1" ht="11.25" x14ac:dyDescent="0.2">
      <c r="A1291" s="24">
        <v>1285</v>
      </c>
      <c r="B1291" s="27"/>
      <c r="C1291" s="28"/>
      <c r="D1291" s="71"/>
      <c r="E1291" s="28"/>
      <c r="F1291" s="28"/>
      <c r="G1291" s="27"/>
      <c r="H1291" s="28" t="e">
        <f ca="1"/>
        <v>#REF!</v>
      </c>
      <c r="I1291" s="27" t="e">
        <f ca="1"/>
        <v>#REF!</v>
      </c>
      <c r="J1291" s="28" t="e">
        <f ca="1"/>
        <v>#REF!</v>
      </c>
      <c r="K1291" s="27" t="e">
        <f ca="1"/>
        <v>#REF!</v>
      </c>
      <c r="L1291" s="25" t="e">
        <f ca="1"/>
        <v>#REF!</v>
      </c>
      <c r="M1291" s="25" t="e">
        <f ca="1"/>
        <v>#REF!</v>
      </c>
      <c r="N1291" s="25" t="e">
        <f ca="1"/>
        <v>#REF!</v>
      </c>
      <c r="O1291" s="25" t="e">
        <f ca="1"/>
        <v>#REF!</v>
      </c>
      <c r="P1291" s="25" t="e">
        <f ca="1"/>
        <v>#REF!</v>
      </c>
      <c r="Q1291" s="25" t="e">
        <f ca="1"/>
        <v>#REF!</v>
      </c>
      <c r="R1291" s="25" t="e">
        <f ca="1"/>
        <v>#REF!</v>
      </c>
      <c r="S1291" s="25" t="e">
        <f ca="1"/>
        <v>#REF!</v>
      </c>
      <c r="T1291" s="25" t="e">
        <f ca="1"/>
        <v>#REF!</v>
      </c>
      <c r="U1291" s="25" t="e">
        <f ca="1"/>
        <v>#REF!</v>
      </c>
      <c r="V1291" s="25" t="e">
        <f ca="1"/>
        <v>#REF!</v>
      </c>
      <c r="W1291" s="33" t="e">
        <f ca="1"/>
        <v>#REF!</v>
      </c>
      <c r="X1291" s="33" t="e">
        <f ca="1"/>
        <v>#REF!</v>
      </c>
      <c r="Y1291" s="33" t="e">
        <f ca="1"/>
        <v>#REF!</v>
      </c>
      <c r="Z1291" s="33" t="e">
        <f ca="1"/>
        <v>#REF!</v>
      </c>
      <c r="AA1291" s="33" t="e">
        <f ca="1"/>
        <v>#REF!</v>
      </c>
    </row>
    <row r="1292" spans="1:27" s="70" customFormat="1" ht="11.25" x14ac:dyDescent="0.2">
      <c r="A1292" s="24">
        <v>1286</v>
      </c>
      <c r="B1292" s="27"/>
      <c r="C1292" s="28"/>
      <c r="D1292" s="71"/>
      <c r="E1292" s="28"/>
      <c r="F1292" s="28"/>
      <c r="G1292" s="27"/>
      <c r="H1292" s="28" t="e">
        <f ca="1"/>
        <v>#REF!</v>
      </c>
      <c r="I1292" s="27" t="e">
        <f ca="1"/>
        <v>#REF!</v>
      </c>
      <c r="J1292" s="28" t="e">
        <f ca="1"/>
        <v>#REF!</v>
      </c>
      <c r="K1292" s="27" t="e">
        <f ca="1"/>
        <v>#REF!</v>
      </c>
      <c r="L1292" s="25" t="e">
        <f ca="1"/>
        <v>#REF!</v>
      </c>
      <c r="M1292" s="25" t="e">
        <f ca="1"/>
        <v>#REF!</v>
      </c>
      <c r="N1292" s="25" t="e">
        <f ca="1"/>
        <v>#REF!</v>
      </c>
      <c r="O1292" s="25" t="e">
        <f ca="1"/>
        <v>#REF!</v>
      </c>
      <c r="P1292" s="25" t="e">
        <f ca="1"/>
        <v>#REF!</v>
      </c>
      <c r="Q1292" s="25" t="e">
        <f ca="1"/>
        <v>#REF!</v>
      </c>
      <c r="R1292" s="25" t="e">
        <f ca="1"/>
        <v>#REF!</v>
      </c>
      <c r="S1292" s="25" t="e">
        <f ca="1"/>
        <v>#REF!</v>
      </c>
      <c r="T1292" s="25" t="e">
        <f ca="1"/>
        <v>#REF!</v>
      </c>
      <c r="U1292" s="25" t="e">
        <f ca="1"/>
        <v>#REF!</v>
      </c>
      <c r="V1292" s="25" t="e">
        <f ca="1"/>
        <v>#REF!</v>
      </c>
      <c r="W1292" s="33" t="e">
        <f ca="1"/>
        <v>#REF!</v>
      </c>
      <c r="X1292" s="33" t="e">
        <f ca="1"/>
        <v>#REF!</v>
      </c>
      <c r="Y1292" s="33" t="e">
        <f ca="1"/>
        <v>#REF!</v>
      </c>
      <c r="Z1292" s="33" t="e">
        <f ca="1"/>
        <v>#REF!</v>
      </c>
      <c r="AA1292" s="33" t="e">
        <f ca="1"/>
        <v>#REF!</v>
      </c>
    </row>
    <row r="1293" spans="1:27" s="70" customFormat="1" ht="11.25" x14ac:dyDescent="0.2">
      <c r="A1293" s="24">
        <v>1287</v>
      </c>
      <c r="B1293" s="27"/>
      <c r="C1293" s="28"/>
      <c r="D1293" s="71"/>
      <c r="E1293" s="28"/>
      <c r="F1293" s="28"/>
      <c r="G1293" s="27"/>
      <c r="H1293" s="28" t="e">
        <f ca="1"/>
        <v>#REF!</v>
      </c>
      <c r="I1293" s="27" t="e">
        <f ca="1"/>
        <v>#REF!</v>
      </c>
      <c r="J1293" s="28" t="e">
        <f ca="1"/>
        <v>#REF!</v>
      </c>
      <c r="K1293" s="27" t="e">
        <f ca="1"/>
        <v>#REF!</v>
      </c>
      <c r="L1293" s="25" t="e">
        <f ca="1"/>
        <v>#REF!</v>
      </c>
      <c r="M1293" s="25" t="e">
        <f ca="1"/>
        <v>#REF!</v>
      </c>
      <c r="N1293" s="25" t="e">
        <f ca="1"/>
        <v>#REF!</v>
      </c>
      <c r="O1293" s="25" t="e">
        <f ca="1"/>
        <v>#REF!</v>
      </c>
      <c r="P1293" s="25" t="e">
        <f ca="1"/>
        <v>#REF!</v>
      </c>
      <c r="Q1293" s="25" t="e">
        <f ca="1"/>
        <v>#REF!</v>
      </c>
      <c r="R1293" s="25" t="e">
        <f ca="1"/>
        <v>#REF!</v>
      </c>
      <c r="S1293" s="25" t="e">
        <f ca="1"/>
        <v>#REF!</v>
      </c>
      <c r="T1293" s="25" t="e">
        <f ca="1"/>
        <v>#REF!</v>
      </c>
      <c r="U1293" s="25" t="e">
        <f ca="1"/>
        <v>#REF!</v>
      </c>
      <c r="V1293" s="25" t="e">
        <f ca="1"/>
        <v>#REF!</v>
      </c>
      <c r="W1293" s="33" t="e">
        <f ca="1"/>
        <v>#REF!</v>
      </c>
      <c r="X1293" s="33" t="e">
        <f ca="1"/>
        <v>#REF!</v>
      </c>
      <c r="Y1293" s="33" t="e">
        <f ca="1"/>
        <v>#REF!</v>
      </c>
      <c r="Z1293" s="33" t="e">
        <f ca="1"/>
        <v>#REF!</v>
      </c>
      <c r="AA1293" s="33" t="e">
        <f ca="1"/>
        <v>#REF!</v>
      </c>
    </row>
    <row r="1294" spans="1:27" s="70" customFormat="1" ht="11.25" x14ac:dyDescent="0.2">
      <c r="A1294" s="24">
        <v>1288</v>
      </c>
      <c r="B1294" s="27"/>
      <c r="C1294" s="28"/>
      <c r="D1294" s="71"/>
      <c r="E1294" s="28"/>
      <c r="F1294" s="28"/>
      <c r="G1294" s="27"/>
      <c r="H1294" s="28" t="e">
        <f ca="1"/>
        <v>#REF!</v>
      </c>
      <c r="I1294" s="27" t="e">
        <f ca="1"/>
        <v>#REF!</v>
      </c>
      <c r="J1294" s="28" t="e">
        <f ca="1"/>
        <v>#REF!</v>
      </c>
      <c r="K1294" s="27" t="e">
        <f ca="1"/>
        <v>#REF!</v>
      </c>
      <c r="L1294" s="25" t="e">
        <f ca="1"/>
        <v>#REF!</v>
      </c>
      <c r="M1294" s="25" t="e">
        <f ca="1"/>
        <v>#REF!</v>
      </c>
      <c r="N1294" s="25" t="e">
        <f ca="1"/>
        <v>#REF!</v>
      </c>
      <c r="O1294" s="25" t="e">
        <f ca="1"/>
        <v>#REF!</v>
      </c>
      <c r="P1294" s="25" t="e">
        <f ca="1"/>
        <v>#REF!</v>
      </c>
      <c r="Q1294" s="25" t="e">
        <f ca="1"/>
        <v>#REF!</v>
      </c>
      <c r="R1294" s="25" t="e">
        <f ca="1"/>
        <v>#REF!</v>
      </c>
      <c r="S1294" s="25" t="e">
        <f ca="1"/>
        <v>#REF!</v>
      </c>
      <c r="T1294" s="25" t="e">
        <f ca="1"/>
        <v>#REF!</v>
      </c>
      <c r="U1294" s="25" t="e">
        <f ca="1"/>
        <v>#REF!</v>
      </c>
      <c r="V1294" s="25" t="e">
        <f ca="1"/>
        <v>#REF!</v>
      </c>
      <c r="W1294" s="33" t="e">
        <f ca="1"/>
        <v>#REF!</v>
      </c>
      <c r="X1294" s="33" t="e">
        <f ca="1"/>
        <v>#REF!</v>
      </c>
      <c r="Y1294" s="33" t="e">
        <f ca="1"/>
        <v>#REF!</v>
      </c>
      <c r="Z1294" s="33" t="e">
        <f ca="1"/>
        <v>#REF!</v>
      </c>
      <c r="AA1294" s="33" t="e">
        <f ca="1"/>
        <v>#REF!</v>
      </c>
    </row>
    <row r="1295" spans="1:27" s="70" customFormat="1" ht="11.25" x14ac:dyDescent="0.2">
      <c r="A1295" s="24">
        <v>1289</v>
      </c>
      <c r="B1295" s="27"/>
      <c r="C1295" s="28"/>
      <c r="D1295" s="71"/>
      <c r="E1295" s="28"/>
      <c r="F1295" s="28"/>
      <c r="G1295" s="27"/>
      <c r="H1295" s="28" t="e">
        <f ca="1"/>
        <v>#REF!</v>
      </c>
      <c r="I1295" s="27" t="e">
        <f ca="1"/>
        <v>#REF!</v>
      </c>
      <c r="J1295" s="28" t="e">
        <f ca="1"/>
        <v>#REF!</v>
      </c>
      <c r="K1295" s="27" t="e">
        <f ca="1"/>
        <v>#REF!</v>
      </c>
      <c r="L1295" s="25" t="e">
        <f ca="1"/>
        <v>#REF!</v>
      </c>
      <c r="M1295" s="25" t="e">
        <f ca="1"/>
        <v>#REF!</v>
      </c>
      <c r="N1295" s="25" t="e">
        <f ca="1"/>
        <v>#REF!</v>
      </c>
      <c r="O1295" s="25" t="e">
        <f ca="1"/>
        <v>#REF!</v>
      </c>
      <c r="P1295" s="25" t="e">
        <f ca="1"/>
        <v>#REF!</v>
      </c>
      <c r="Q1295" s="25" t="e">
        <f ca="1"/>
        <v>#REF!</v>
      </c>
      <c r="R1295" s="25" t="e">
        <f ca="1"/>
        <v>#REF!</v>
      </c>
      <c r="S1295" s="25" t="e">
        <f ca="1"/>
        <v>#REF!</v>
      </c>
      <c r="T1295" s="25" t="e">
        <f ca="1"/>
        <v>#REF!</v>
      </c>
      <c r="U1295" s="25" t="e">
        <f ca="1"/>
        <v>#REF!</v>
      </c>
      <c r="V1295" s="25" t="e">
        <f ca="1"/>
        <v>#REF!</v>
      </c>
      <c r="W1295" s="33" t="e">
        <f ca="1"/>
        <v>#REF!</v>
      </c>
      <c r="X1295" s="33" t="e">
        <f ca="1"/>
        <v>#REF!</v>
      </c>
      <c r="Y1295" s="33" t="e">
        <f ca="1"/>
        <v>#REF!</v>
      </c>
      <c r="Z1295" s="33" t="e">
        <f ca="1"/>
        <v>#REF!</v>
      </c>
      <c r="AA1295" s="33" t="e">
        <f ca="1"/>
        <v>#REF!</v>
      </c>
    </row>
    <row r="1296" spans="1:27" s="70" customFormat="1" ht="11.25" x14ac:dyDescent="0.2">
      <c r="A1296" s="24">
        <v>1290</v>
      </c>
      <c r="B1296" s="27"/>
      <c r="C1296" s="28"/>
      <c r="D1296" s="71"/>
      <c r="E1296" s="28"/>
      <c r="F1296" s="28"/>
      <c r="G1296" s="27"/>
      <c r="H1296" s="28" t="e">
        <f ca="1"/>
        <v>#REF!</v>
      </c>
      <c r="I1296" s="27" t="e">
        <f ca="1"/>
        <v>#REF!</v>
      </c>
      <c r="J1296" s="28" t="e">
        <f ca="1"/>
        <v>#REF!</v>
      </c>
      <c r="K1296" s="27" t="e">
        <f ca="1"/>
        <v>#REF!</v>
      </c>
      <c r="L1296" s="25" t="e">
        <f ca="1"/>
        <v>#REF!</v>
      </c>
      <c r="M1296" s="25" t="e">
        <f ca="1"/>
        <v>#REF!</v>
      </c>
      <c r="N1296" s="25" t="e">
        <f ca="1"/>
        <v>#REF!</v>
      </c>
      <c r="O1296" s="25" t="e">
        <f ca="1"/>
        <v>#REF!</v>
      </c>
      <c r="P1296" s="25" t="e">
        <f ca="1"/>
        <v>#REF!</v>
      </c>
      <c r="Q1296" s="25" t="e">
        <f ca="1"/>
        <v>#REF!</v>
      </c>
      <c r="R1296" s="25" t="e">
        <f ca="1"/>
        <v>#REF!</v>
      </c>
      <c r="S1296" s="25" t="e">
        <f ca="1"/>
        <v>#REF!</v>
      </c>
      <c r="T1296" s="25" t="e">
        <f ca="1"/>
        <v>#REF!</v>
      </c>
      <c r="U1296" s="25" t="e">
        <f ca="1"/>
        <v>#REF!</v>
      </c>
      <c r="V1296" s="25" t="e">
        <f ca="1"/>
        <v>#REF!</v>
      </c>
      <c r="W1296" s="33" t="e">
        <f ca="1"/>
        <v>#REF!</v>
      </c>
      <c r="X1296" s="33" t="e">
        <f ca="1"/>
        <v>#REF!</v>
      </c>
      <c r="Y1296" s="33" t="e">
        <f ca="1"/>
        <v>#REF!</v>
      </c>
      <c r="Z1296" s="33" t="e">
        <f ca="1"/>
        <v>#REF!</v>
      </c>
      <c r="AA1296" s="33" t="e">
        <f ca="1"/>
        <v>#REF!</v>
      </c>
    </row>
    <row r="1297" spans="1:27" s="70" customFormat="1" ht="11.25" x14ac:dyDescent="0.2">
      <c r="A1297" s="24">
        <v>1291</v>
      </c>
      <c r="B1297" s="27"/>
      <c r="C1297" s="28"/>
      <c r="D1297" s="71"/>
      <c r="E1297" s="28"/>
      <c r="F1297" s="28"/>
      <c r="G1297" s="27"/>
      <c r="H1297" s="28" t="e">
        <f ca="1"/>
        <v>#REF!</v>
      </c>
      <c r="I1297" s="27" t="e">
        <f ca="1"/>
        <v>#REF!</v>
      </c>
      <c r="J1297" s="28" t="e">
        <f ca="1"/>
        <v>#REF!</v>
      </c>
      <c r="K1297" s="27" t="e">
        <f ca="1"/>
        <v>#REF!</v>
      </c>
      <c r="L1297" s="25" t="e">
        <f ca="1"/>
        <v>#REF!</v>
      </c>
      <c r="M1297" s="25" t="e">
        <f ca="1"/>
        <v>#REF!</v>
      </c>
      <c r="N1297" s="25" t="e">
        <f ca="1"/>
        <v>#REF!</v>
      </c>
      <c r="O1297" s="25" t="e">
        <f ca="1"/>
        <v>#REF!</v>
      </c>
      <c r="P1297" s="25" t="e">
        <f ca="1"/>
        <v>#REF!</v>
      </c>
      <c r="Q1297" s="25" t="e">
        <f ca="1"/>
        <v>#REF!</v>
      </c>
      <c r="R1297" s="25" t="e">
        <f ca="1"/>
        <v>#REF!</v>
      </c>
      <c r="S1297" s="25" t="e">
        <f ca="1"/>
        <v>#REF!</v>
      </c>
      <c r="T1297" s="25" t="e">
        <f ca="1"/>
        <v>#REF!</v>
      </c>
      <c r="U1297" s="25" t="e">
        <f ca="1"/>
        <v>#REF!</v>
      </c>
      <c r="V1297" s="25" t="e">
        <f ca="1"/>
        <v>#REF!</v>
      </c>
      <c r="W1297" s="33" t="e">
        <f ca="1"/>
        <v>#REF!</v>
      </c>
      <c r="X1297" s="33" t="e">
        <f ca="1"/>
        <v>#REF!</v>
      </c>
      <c r="Y1297" s="33" t="e">
        <f ca="1"/>
        <v>#REF!</v>
      </c>
      <c r="Z1297" s="33" t="e">
        <f ca="1"/>
        <v>#REF!</v>
      </c>
      <c r="AA1297" s="33" t="e">
        <f ca="1"/>
        <v>#REF!</v>
      </c>
    </row>
    <row r="1298" spans="1:27" s="70" customFormat="1" ht="11.25" x14ac:dyDescent="0.2">
      <c r="A1298" s="24">
        <v>1292</v>
      </c>
      <c r="B1298" s="27"/>
      <c r="C1298" s="28"/>
      <c r="D1298" s="71"/>
      <c r="E1298" s="28"/>
      <c r="F1298" s="28"/>
      <c r="G1298" s="27"/>
      <c r="H1298" s="28" t="e">
        <f ca="1"/>
        <v>#REF!</v>
      </c>
      <c r="I1298" s="27" t="e">
        <f ca="1"/>
        <v>#REF!</v>
      </c>
      <c r="J1298" s="28" t="e">
        <f ca="1"/>
        <v>#REF!</v>
      </c>
      <c r="K1298" s="27" t="e">
        <f ca="1"/>
        <v>#REF!</v>
      </c>
      <c r="L1298" s="25" t="e">
        <f ca="1"/>
        <v>#REF!</v>
      </c>
      <c r="M1298" s="25" t="e">
        <f ca="1"/>
        <v>#REF!</v>
      </c>
      <c r="N1298" s="25" t="e">
        <f ca="1"/>
        <v>#REF!</v>
      </c>
      <c r="O1298" s="25" t="e">
        <f ca="1"/>
        <v>#REF!</v>
      </c>
      <c r="P1298" s="25" t="e">
        <f ca="1"/>
        <v>#REF!</v>
      </c>
      <c r="Q1298" s="25" t="e">
        <f ca="1"/>
        <v>#REF!</v>
      </c>
      <c r="R1298" s="25" t="e">
        <f ca="1"/>
        <v>#REF!</v>
      </c>
      <c r="S1298" s="25" t="e">
        <f ca="1"/>
        <v>#REF!</v>
      </c>
      <c r="T1298" s="25" t="e">
        <f ca="1"/>
        <v>#REF!</v>
      </c>
      <c r="U1298" s="25" t="e">
        <f ca="1"/>
        <v>#REF!</v>
      </c>
      <c r="V1298" s="25" t="e">
        <f ca="1"/>
        <v>#REF!</v>
      </c>
      <c r="W1298" s="33" t="e">
        <f ca="1"/>
        <v>#REF!</v>
      </c>
      <c r="X1298" s="33" t="e">
        <f ca="1"/>
        <v>#REF!</v>
      </c>
      <c r="Y1298" s="33" t="e">
        <f ca="1"/>
        <v>#REF!</v>
      </c>
      <c r="Z1298" s="33" t="e">
        <f ca="1"/>
        <v>#REF!</v>
      </c>
      <c r="AA1298" s="33" t="e">
        <f ca="1"/>
        <v>#REF!</v>
      </c>
    </row>
    <row r="1299" spans="1:27" s="70" customFormat="1" ht="11.25" x14ac:dyDescent="0.2">
      <c r="A1299" s="24">
        <v>1293</v>
      </c>
      <c r="B1299" s="27"/>
      <c r="C1299" s="28"/>
      <c r="D1299" s="71"/>
      <c r="E1299" s="28"/>
      <c r="F1299" s="28"/>
      <c r="G1299" s="27"/>
      <c r="H1299" s="28" t="e">
        <f ca="1"/>
        <v>#REF!</v>
      </c>
      <c r="I1299" s="27" t="e">
        <f ca="1"/>
        <v>#REF!</v>
      </c>
      <c r="J1299" s="28" t="e">
        <f ca="1"/>
        <v>#REF!</v>
      </c>
      <c r="K1299" s="27" t="e">
        <f ca="1"/>
        <v>#REF!</v>
      </c>
      <c r="L1299" s="25" t="e">
        <f ca="1"/>
        <v>#REF!</v>
      </c>
      <c r="M1299" s="25" t="e">
        <f ca="1"/>
        <v>#REF!</v>
      </c>
      <c r="N1299" s="25" t="e">
        <f ca="1"/>
        <v>#REF!</v>
      </c>
      <c r="O1299" s="25" t="e">
        <f ca="1"/>
        <v>#REF!</v>
      </c>
      <c r="P1299" s="25" t="e">
        <f ca="1"/>
        <v>#REF!</v>
      </c>
      <c r="Q1299" s="25" t="e">
        <f ca="1"/>
        <v>#REF!</v>
      </c>
      <c r="R1299" s="25" t="e">
        <f ca="1"/>
        <v>#REF!</v>
      </c>
      <c r="S1299" s="25" t="e">
        <f ca="1"/>
        <v>#REF!</v>
      </c>
      <c r="T1299" s="25" t="e">
        <f ca="1"/>
        <v>#REF!</v>
      </c>
      <c r="U1299" s="25" t="e">
        <f ca="1"/>
        <v>#REF!</v>
      </c>
      <c r="V1299" s="25" t="e">
        <f ca="1"/>
        <v>#REF!</v>
      </c>
      <c r="W1299" s="33" t="e">
        <f ca="1"/>
        <v>#REF!</v>
      </c>
      <c r="X1299" s="33" t="e">
        <f ca="1"/>
        <v>#REF!</v>
      </c>
      <c r="Y1299" s="33" t="e">
        <f ca="1"/>
        <v>#REF!</v>
      </c>
      <c r="Z1299" s="33" t="e">
        <f ca="1"/>
        <v>#REF!</v>
      </c>
      <c r="AA1299" s="33" t="e">
        <f ca="1"/>
        <v>#REF!</v>
      </c>
    </row>
    <row r="1300" spans="1:27" s="70" customFormat="1" ht="11.25" x14ac:dyDescent="0.2">
      <c r="A1300" s="24">
        <v>1294</v>
      </c>
      <c r="B1300" s="27"/>
      <c r="C1300" s="28"/>
      <c r="D1300" s="71"/>
      <c r="E1300" s="28"/>
      <c r="F1300" s="28"/>
      <c r="G1300" s="27"/>
      <c r="H1300" s="28" t="e">
        <f ca="1"/>
        <v>#REF!</v>
      </c>
      <c r="I1300" s="27" t="e">
        <f ca="1"/>
        <v>#REF!</v>
      </c>
      <c r="J1300" s="28" t="e">
        <f ca="1"/>
        <v>#REF!</v>
      </c>
      <c r="K1300" s="27" t="e">
        <f ca="1"/>
        <v>#REF!</v>
      </c>
      <c r="L1300" s="25" t="e">
        <f ca="1"/>
        <v>#REF!</v>
      </c>
      <c r="M1300" s="25" t="e">
        <f ca="1"/>
        <v>#REF!</v>
      </c>
      <c r="N1300" s="25" t="e">
        <f ca="1"/>
        <v>#REF!</v>
      </c>
      <c r="O1300" s="25" t="e">
        <f ca="1"/>
        <v>#REF!</v>
      </c>
      <c r="P1300" s="25" t="e">
        <f ca="1"/>
        <v>#REF!</v>
      </c>
      <c r="Q1300" s="25" t="e">
        <f ca="1"/>
        <v>#REF!</v>
      </c>
      <c r="R1300" s="25" t="e">
        <f ca="1"/>
        <v>#REF!</v>
      </c>
      <c r="S1300" s="25" t="e">
        <f ca="1"/>
        <v>#REF!</v>
      </c>
      <c r="T1300" s="25" t="e">
        <f ca="1"/>
        <v>#REF!</v>
      </c>
      <c r="U1300" s="25" t="e">
        <f ca="1"/>
        <v>#REF!</v>
      </c>
      <c r="V1300" s="25" t="e">
        <f ca="1"/>
        <v>#REF!</v>
      </c>
      <c r="W1300" s="33" t="e">
        <f ca="1"/>
        <v>#REF!</v>
      </c>
      <c r="X1300" s="33" t="e">
        <f ca="1"/>
        <v>#REF!</v>
      </c>
      <c r="Y1300" s="33" t="e">
        <f ca="1"/>
        <v>#REF!</v>
      </c>
      <c r="Z1300" s="33" t="e">
        <f ca="1"/>
        <v>#REF!</v>
      </c>
      <c r="AA1300" s="33" t="e">
        <f ca="1"/>
        <v>#REF!</v>
      </c>
    </row>
    <row r="1301" spans="1:27" s="70" customFormat="1" ht="11.25" x14ac:dyDescent="0.2">
      <c r="A1301" s="24">
        <v>1295</v>
      </c>
      <c r="B1301" s="27"/>
      <c r="C1301" s="28"/>
      <c r="D1301" s="71"/>
      <c r="E1301" s="28"/>
      <c r="F1301" s="28"/>
      <c r="G1301" s="27"/>
      <c r="H1301" s="28" t="e">
        <f ca="1"/>
        <v>#REF!</v>
      </c>
      <c r="I1301" s="27" t="e">
        <f ca="1"/>
        <v>#REF!</v>
      </c>
      <c r="J1301" s="28" t="e">
        <f ca="1"/>
        <v>#REF!</v>
      </c>
      <c r="K1301" s="27" t="e">
        <f ca="1"/>
        <v>#REF!</v>
      </c>
      <c r="L1301" s="25" t="e">
        <f ca="1"/>
        <v>#REF!</v>
      </c>
      <c r="M1301" s="25" t="e">
        <f ca="1"/>
        <v>#REF!</v>
      </c>
      <c r="N1301" s="25" t="e">
        <f ca="1"/>
        <v>#REF!</v>
      </c>
      <c r="O1301" s="25" t="e">
        <f ca="1"/>
        <v>#REF!</v>
      </c>
      <c r="P1301" s="25" t="e">
        <f ca="1"/>
        <v>#REF!</v>
      </c>
      <c r="Q1301" s="25" t="e">
        <f ca="1"/>
        <v>#REF!</v>
      </c>
      <c r="R1301" s="25" t="e">
        <f ca="1"/>
        <v>#REF!</v>
      </c>
      <c r="S1301" s="25" t="e">
        <f ca="1"/>
        <v>#REF!</v>
      </c>
      <c r="T1301" s="25" t="e">
        <f ca="1"/>
        <v>#REF!</v>
      </c>
      <c r="U1301" s="25" t="e">
        <f ca="1"/>
        <v>#REF!</v>
      </c>
      <c r="V1301" s="25" t="e">
        <f ca="1"/>
        <v>#REF!</v>
      </c>
      <c r="W1301" s="33" t="e">
        <f ca="1"/>
        <v>#REF!</v>
      </c>
      <c r="X1301" s="33" t="e">
        <f ca="1"/>
        <v>#REF!</v>
      </c>
      <c r="Y1301" s="33" t="e">
        <f ca="1"/>
        <v>#REF!</v>
      </c>
      <c r="Z1301" s="33" t="e">
        <f ca="1"/>
        <v>#REF!</v>
      </c>
      <c r="AA1301" s="33" t="e">
        <f ca="1"/>
        <v>#REF!</v>
      </c>
    </row>
    <row r="1302" spans="1:27" s="70" customFormat="1" ht="11.25" x14ac:dyDescent="0.2">
      <c r="A1302" s="24">
        <v>1296</v>
      </c>
      <c r="B1302" s="27"/>
      <c r="C1302" s="28"/>
      <c r="D1302" s="71"/>
      <c r="E1302" s="28"/>
      <c r="F1302" s="28"/>
      <c r="G1302" s="27"/>
      <c r="H1302" s="28" t="e">
        <f ca="1"/>
        <v>#REF!</v>
      </c>
      <c r="I1302" s="27" t="e">
        <f ca="1"/>
        <v>#REF!</v>
      </c>
      <c r="J1302" s="28" t="e">
        <f ca="1"/>
        <v>#REF!</v>
      </c>
      <c r="K1302" s="27" t="e">
        <f ca="1"/>
        <v>#REF!</v>
      </c>
      <c r="L1302" s="25" t="e">
        <f ca="1"/>
        <v>#REF!</v>
      </c>
      <c r="M1302" s="25" t="e">
        <f ca="1"/>
        <v>#REF!</v>
      </c>
      <c r="N1302" s="25" t="e">
        <f ca="1"/>
        <v>#REF!</v>
      </c>
      <c r="O1302" s="25" t="e">
        <f ca="1"/>
        <v>#REF!</v>
      </c>
      <c r="P1302" s="25" t="e">
        <f ca="1"/>
        <v>#REF!</v>
      </c>
      <c r="Q1302" s="25" t="e">
        <f ca="1"/>
        <v>#REF!</v>
      </c>
      <c r="R1302" s="25" t="e">
        <f ca="1"/>
        <v>#REF!</v>
      </c>
      <c r="S1302" s="25" t="e">
        <f ca="1"/>
        <v>#REF!</v>
      </c>
      <c r="T1302" s="25" t="e">
        <f ca="1"/>
        <v>#REF!</v>
      </c>
      <c r="U1302" s="25" t="e">
        <f ca="1"/>
        <v>#REF!</v>
      </c>
      <c r="V1302" s="25" t="e">
        <f ca="1"/>
        <v>#REF!</v>
      </c>
      <c r="W1302" s="33" t="e">
        <f ca="1"/>
        <v>#REF!</v>
      </c>
      <c r="X1302" s="33" t="e">
        <f ca="1"/>
        <v>#REF!</v>
      </c>
      <c r="Y1302" s="33" t="e">
        <f ca="1"/>
        <v>#REF!</v>
      </c>
      <c r="Z1302" s="33" t="e">
        <f ca="1"/>
        <v>#REF!</v>
      </c>
      <c r="AA1302" s="33" t="e">
        <f ca="1"/>
        <v>#REF!</v>
      </c>
    </row>
    <row r="1303" spans="1:27" s="70" customFormat="1" ht="11.25" x14ac:dyDescent="0.2">
      <c r="A1303" s="24">
        <v>1297</v>
      </c>
      <c r="B1303" s="27"/>
      <c r="C1303" s="28"/>
      <c r="D1303" s="71"/>
      <c r="E1303" s="28"/>
      <c r="F1303" s="28"/>
      <c r="G1303" s="27"/>
      <c r="H1303" s="28" t="e">
        <f ca="1"/>
        <v>#REF!</v>
      </c>
      <c r="I1303" s="27" t="e">
        <f ca="1"/>
        <v>#REF!</v>
      </c>
      <c r="J1303" s="28" t="e">
        <f ca="1"/>
        <v>#REF!</v>
      </c>
      <c r="K1303" s="27" t="e">
        <f ca="1"/>
        <v>#REF!</v>
      </c>
      <c r="L1303" s="25" t="e">
        <f ca="1"/>
        <v>#REF!</v>
      </c>
      <c r="M1303" s="25" t="e">
        <f ca="1"/>
        <v>#REF!</v>
      </c>
      <c r="N1303" s="25" t="e">
        <f ca="1"/>
        <v>#REF!</v>
      </c>
      <c r="O1303" s="25" t="e">
        <f ca="1"/>
        <v>#REF!</v>
      </c>
      <c r="P1303" s="25" t="e">
        <f ca="1"/>
        <v>#REF!</v>
      </c>
      <c r="Q1303" s="25" t="e">
        <f ca="1"/>
        <v>#REF!</v>
      </c>
      <c r="R1303" s="25" t="e">
        <f ca="1"/>
        <v>#REF!</v>
      </c>
      <c r="S1303" s="25" t="e">
        <f ca="1"/>
        <v>#REF!</v>
      </c>
      <c r="T1303" s="25" t="e">
        <f ca="1"/>
        <v>#REF!</v>
      </c>
      <c r="U1303" s="25" t="e">
        <f ca="1"/>
        <v>#REF!</v>
      </c>
      <c r="V1303" s="25" t="e">
        <f ca="1"/>
        <v>#REF!</v>
      </c>
      <c r="W1303" s="33" t="e">
        <f ca="1"/>
        <v>#REF!</v>
      </c>
      <c r="X1303" s="33" t="e">
        <f ca="1"/>
        <v>#REF!</v>
      </c>
      <c r="Y1303" s="33" t="e">
        <f ca="1"/>
        <v>#REF!</v>
      </c>
      <c r="Z1303" s="33" t="e">
        <f ca="1"/>
        <v>#REF!</v>
      </c>
      <c r="AA1303" s="33" t="e">
        <f ca="1"/>
        <v>#REF!</v>
      </c>
    </row>
    <row r="1304" spans="1:27" s="70" customFormat="1" ht="11.25" x14ac:dyDescent="0.2">
      <c r="A1304" s="24">
        <v>1298</v>
      </c>
      <c r="B1304" s="27"/>
      <c r="C1304" s="28"/>
      <c r="D1304" s="71"/>
      <c r="E1304" s="28"/>
      <c r="F1304" s="28"/>
      <c r="G1304" s="27"/>
      <c r="H1304" s="28" t="e">
        <f ca="1"/>
        <v>#REF!</v>
      </c>
      <c r="I1304" s="27" t="e">
        <f ca="1"/>
        <v>#REF!</v>
      </c>
      <c r="J1304" s="28" t="e">
        <f ca="1"/>
        <v>#REF!</v>
      </c>
      <c r="K1304" s="27" t="e">
        <f ca="1"/>
        <v>#REF!</v>
      </c>
      <c r="L1304" s="25" t="e">
        <f ca="1"/>
        <v>#REF!</v>
      </c>
      <c r="M1304" s="25" t="e">
        <f ca="1"/>
        <v>#REF!</v>
      </c>
      <c r="N1304" s="25" t="e">
        <f ca="1"/>
        <v>#REF!</v>
      </c>
      <c r="O1304" s="25" t="e">
        <f ca="1"/>
        <v>#REF!</v>
      </c>
      <c r="P1304" s="25" t="e">
        <f ca="1"/>
        <v>#REF!</v>
      </c>
      <c r="Q1304" s="25" t="e">
        <f ca="1"/>
        <v>#REF!</v>
      </c>
      <c r="R1304" s="25" t="e">
        <f ca="1"/>
        <v>#REF!</v>
      </c>
      <c r="S1304" s="25" t="e">
        <f ca="1"/>
        <v>#REF!</v>
      </c>
      <c r="T1304" s="25" t="e">
        <f ca="1"/>
        <v>#REF!</v>
      </c>
      <c r="U1304" s="25" t="e">
        <f ca="1"/>
        <v>#REF!</v>
      </c>
      <c r="V1304" s="25" t="e">
        <f ca="1"/>
        <v>#REF!</v>
      </c>
      <c r="W1304" s="33" t="e">
        <f ca="1"/>
        <v>#REF!</v>
      </c>
      <c r="X1304" s="33" t="e">
        <f ca="1"/>
        <v>#REF!</v>
      </c>
      <c r="Y1304" s="33" t="e">
        <f ca="1"/>
        <v>#REF!</v>
      </c>
      <c r="Z1304" s="33" t="e">
        <f ca="1"/>
        <v>#REF!</v>
      </c>
      <c r="AA1304" s="33" t="e">
        <f ca="1"/>
        <v>#REF!</v>
      </c>
    </row>
    <row r="1305" spans="1:27" s="70" customFormat="1" ht="11.25" x14ac:dyDescent="0.2">
      <c r="A1305" s="24">
        <v>1299</v>
      </c>
      <c r="B1305" s="27"/>
      <c r="C1305" s="28"/>
      <c r="D1305" s="71"/>
      <c r="E1305" s="28"/>
      <c r="F1305" s="28"/>
      <c r="G1305" s="27"/>
      <c r="H1305" s="28" t="e">
        <f ca="1"/>
        <v>#REF!</v>
      </c>
      <c r="I1305" s="27" t="e">
        <f ca="1"/>
        <v>#REF!</v>
      </c>
      <c r="J1305" s="28" t="e">
        <f ca="1"/>
        <v>#REF!</v>
      </c>
      <c r="K1305" s="27" t="e">
        <f ca="1"/>
        <v>#REF!</v>
      </c>
      <c r="L1305" s="25" t="e">
        <f ca="1"/>
        <v>#REF!</v>
      </c>
      <c r="M1305" s="25" t="e">
        <f ca="1"/>
        <v>#REF!</v>
      </c>
      <c r="N1305" s="25" t="e">
        <f ca="1"/>
        <v>#REF!</v>
      </c>
      <c r="O1305" s="25" t="e">
        <f ca="1"/>
        <v>#REF!</v>
      </c>
      <c r="P1305" s="25" t="e">
        <f ca="1"/>
        <v>#REF!</v>
      </c>
      <c r="Q1305" s="25" t="e">
        <f ca="1"/>
        <v>#REF!</v>
      </c>
      <c r="R1305" s="25" t="e">
        <f ca="1"/>
        <v>#REF!</v>
      </c>
      <c r="S1305" s="25" t="e">
        <f ca="1"/>
        <v>#REF!</v>
      </c>
      <c r="T1305" s="25" t="e">
        <f ca="1"/>
        <v>#REF!</v>
      </c>
      <c r="U1305" s="25" t="e">
        <f ca="1"/>
        <v>#REF!</v>
      </c>
      <c r="V1305" s="25" t="e">
        <f ca="1"/>
        <v>#REF!</v>
      </c>
      <c r="W1305" s="33" t="e">
        <f ca="1"/>
        <v>#REF!</v>
      </c>
      <c r="X1305" s="33" t="e">
        <f ca="1"/>
        <v>#REF!</v>
      </c>
      <c r="Y1305" s="33" t="e">
        <f ca="1"/>
        <v>#REF!</v>
      </c>
      <c r="Z1305" s="33" t="e">
        <f ca="1"/>
        <v>#REF!</v>
      </c>
      <c r="AA1305" s="33" t="e">
        <f ca="1"/>
        <v>#REF!</v>
      </c>
    </row>
    <row r="1306" spans="1:27" s="70" customFormat="1" ht="11.25" x14ac:dyDescent="0.2">
      <c r="A1306" s="24">
        <v>1300</v>
      </c>
      <c r="B1306" s="27"/>
      <c r="C1306" s="28"/>
      <c r="D1306" s="71"/>
      <c r="E1306" s="28"/>
      <c r="F1306" s="28"/>
      <c r="G1306" s="27"/>
      <c r="H1306" s="28" t="e">
        <f ca="1"/>
        <v>#REF!</v>
      </c>
      <c r="I1306" s="27" t="e">
        <f ca="1"/>
        <v>#REF!</v>
      </c>
      <c r="J1306" s="28" t="e">
        <f ca="1"/>
        <v>#REF!</v>
      </c>
      <c r="K1306" s="27" t="e">
        <f ca="1"/>
        <v>#REF!</v>
      </c>
      <c r="L1306" s="25" t="e">
        <f ca="1"/>
        <v>#REF!</v>
      </c>
      <c r="M1306" s="25" t="e">
        <f ca="1"/>
        <v>#REF!</v>
      </c>
      <c r="N1306" s="25" t="e">
        <f ca="1"/>
        <v>#REF!</v>
      </c>
      <c r="O1306" s="25" t="e">
        <f ca="1"/>
        <v>#REF!</v>
      </c>
      <c r="P1306" s="25" t="e">
        <f ca="1"/>
        <v>#REF!</v>
      </c>
      <c r="Q1306" s="25" t="e">
        <f ca="1"/>
        <v>#REF!</v>
      </c>
      <c r="R1306" s="25" t="e">
        <f ca="1"/>
        <v>#REF!</v>
      </c>
      <c r="S1306" s="25" t="e">
        <f ca="1"/>
        <v>#REF!</v>
      </c>
      <c r="T1306" s="25" t="e">
        <f ca="1"/>
        <v>#REF!</v>
      </c>
      <c r="U1306" s="25" t="e">
        <f ca="1"/>
        <v>#REF!</v>
      </c>
      <c r="V1306" s="25" t="e">
        <f ca="1"/>
        <v>#REF!</v>
      </c>
      <c r="W1306" s="33" t="e">
        <f ca="1"/>
        <v>#REF!</v>
      </c>
      <c r="X1306" s="33" t="e">
        <f ca="1"/>
        <v>#REF!</v>
      </c>
      <c r="Y1306" s="33" t="e">
        <f ca="1"/>
        <v>#REF!</v>
      </c>
      <c r="Z1306" s="33" t="e">
        <f ca="1"/>
        <v>#REF!</v>
      </c>
      <c r="AA1306" s="33" t="e">
        <f ca="1"/>
        <v>#REF!</v>
      </c>
    </row>
    <row r="1307" spans="1:27" s="70" customFormat="1" ht="11.25" x14ac:dyDescent="0.2">
      <c r="A1307" s="24">
        <v>1301</v>
      </c>
      <c r="B1307" s="27"/>
      <c r="C1307" s="28"/>
      <c r="D1307" s="71"/>
      <c r="E1307" s="28"/>
      <c r="F1307" s="28"/>
      <c r="G1307" s="27"/>
      <c r="H1307" s="28" t="e">
        <f ca="1"/>
        <v>#REF!</v>
      </c>
      <c r="I1307" s="27" t="e">
        <f ca="1"/>
        <v>#REF!</v>
      </c>
      <c r="J1307" s="28" t="e">
        <f ca="1"/>
        <v>#REF!</v>
      </c>
      <c r="K1307" s="27" t="e">
        <f ca="1"/>
        <v>#REF!</v>
      </c>
      <c r="L1307" s="25" t="e">
        <f ca="1"/>
        <v>#REF!</v>
      </c>
      <c r="M1307" s="25" t="e">
        <f ca="1"/>
        <v>#REF!</v>
      </c>
      <c r="N1307" s="25" t="e">
        <f ca="1"/>
        <v>#REF!</v>
      </c>
      <c r="O1307" s="25" t="e">
        <f ca="1"/>
        <v>#REF!</v>
      </c>
      <c r="P1307" s="25" t="e">
        <f ca="1"/>
        <v>#REF!</v>
      </c>
      <c r="Q1307" s="25" t="e">
        <f ca="1"/>
        <v>#REF!</v>
      </c>
      <c r="R1307" s="25" t="e">
        <f ca="1"/>
        <v>#REF!</v>
      </c>
      <c r="S1307" s="25" t="e">
        <f ca="1"/>
        <v>#REF!</v>
      </c>
      <c r="T1307" s="25" t="e">
        <f ca="1"/>
        <v>#REF!</v>
      </c>
      <c r="U1307" s="25" t="e">
        <f ca="1"/>
        <v>#REF!</v>
      </c>
      <c r="V1307" s="25" t="e">
        <f ca="1"/>
        <v>#REF!</v>
      </c>
      <c r="W1307" s="33" t="e">
        <f ca="1"/>
        <v>#REF!</v>
      </c>
      <c r="X1307" s="33" t="e">
        <f ca="1"/>
        <v>#REF!</v>
      </c>
      <c r="Y1307" s="33" t="e">
        <f ca="1"/>
        <v>#REF!</v>
      </c>
      <c r="Z1307" s="33" t="e">
        <f ca="1"/>
        <v>#REF!</v>
      </c>
      <c r="AA1307" s="33" t="e">
        <f ca="1"/>
        <v>#REF!</v>
      </c>
    </row>
    <row r="1308" spans="1:27" s="70" customFormat="1" ht="11.25" x14ac:dyDescent="0.2">
      <c r="A1308" s="24">
        <v>1302</v>
      </c>
      <c r="B1308" s="27"/>
      <c r="C1308" s="28"/>
      <c r="D1308" s="71"/>
      <c r="E1308" s="28"/>
      <c r="F1308" s="28"/>
      <c r="G1308" s="27"/>
      <c r="H1308" s="28" t="e">
        <f ca="1"/>
        <v>#REF!</v>
      </c>
      <c r="I1308" s="27" t="e">
        <f ca="1"/>
        <v>#REF!</v>
      </c>
      <c r="J1308" s="28" t="e">
        <f ca="1"/>
        <v>#REF!</v>
      </c>
      <c r="K1308" s="27" t="e">
        <f ca="1"/>
        <v>#REF!</v>
      </c>
      <c r="L1308" s="25" t="e">
        <f ca="1"/>
        <v>#REF!</v>
      </c>
      <c r="M1308" s="25" t="e">
        <f ca="1"/>
        <v>#REF!</v>
      </c>
      <c r="N1308" s="25" t="e">
        <f ca="1"/>
        <v>#REF!</v>
      </c>
      <c r="O1308" s="25" t="e">
        <f ca="1"/>
        <v>#REF!</v>
      </c>
      <c r="P1308" s="25" t="e">
        <f ca="1"/>
        <v>#REF!</v>
      </c>
      <c r="Q1308" s="25" t="e">
        <f ca="1"/>
        <v>#REF!</v>
      </c>
      <c r="R1308" s="25" t="e">
        <f ca="1"/>
        <v>#REF!</v>
      </c>
      <c r="S1308" s="25" t="e">
        <f ca="1"/>
        <v>#REF!</v>
      </c>
      <c r="T1308" s="25" t="e">
        <f ca="1"/>
        <v>#REF!</v>
      </c>
      <c r="U1308" s="25" t="e">
        <f ca="1"/>
        <v>#REF!</v>
      </c>
      <c r="V1308" s="25" t="e">
        <f ca="1"/>
        <v>#REF!</v>
      </c>
      <c r="W1308" s="33" t="e">
        <f ca="1"/>
        <v>#REF!</v>
      </c>
      <c r="X1308" s="33" t="e">
        <f ca="1"/>
        <v>#REF!</v>
      </c>
      <c r="Y1308" s="33" t="e">
        <f ca="1"/>
        <v>#REF!</v>
      </c>
      <c r="Z1308" s="33" t="e">
        <f ca="1"/>
        <v>#REF!</v>
      </c>
      <c r="AA1308" s="33" t="e">
        <f ca="1"/>
        <v>#REF!</v>
      </c>
    </row>
    <row r="1309" spans="1:27" s="70" customFormat="1" ht="11.25" x14ac:dyDescent="0.2">
      <c r="A1309" s="24">
        <v>1303</v>
      </c>
      <c r="B1309" s="27"/>
      <c r="C1309" s="28"/>
      <c r="D1309" s="71"/>
      <c r="E1309" s="28"/>
      <c r="F1309" s="28"/>
      <c r="G1309" s="27"/>
      <c r="H1309" s="28" t="e">
        <f ca="1"/>
        <v>#REF!</v>
      </c>
      <c r="I1309" s="27" t="e">
        <f ca="1"/>
        <v>#REF!</v>
      </c>
      <c r="J1309" s="28" t="e">
        <f ca="1"/>
        <v>#REF!</v>
      </c>
      <c r="K1309" s="27" t="e">
        <f ca="1"/>
        <v>#REF!</v>
      </c>
      <c r="L1309" s="25" t="e">
        <f ca="1"/>
        <v>#REF!</v>
      </c>
      <c r="M1309" s="25" t="e">
        <f ca="1"/>
        <v>#REF!</v>
      </c>
      <c r="N1309" s="25" t="e">
        <f ca="1"/>
        <v>#REF!</v>
      </c>
      <c r="O1309" s="25" t="e">
        <f ca="1"/>
        <v>#REF!</v>
      </c>
      <c r="P1309" s="25" t="e">
        <f ca="1"/>
        <v>#REF!</v>
      </c>
      <c r="Q1309" s="25" t="e">
        <f ca="1"/>
        <v>#REF!</v>
      </c>
      <c r="R1309" s="25" t="e">
        <f ca="1"/>
        <v>#REF!</v>
      </c>
      <c r="S1309" s="25" t="e">
        <f ca="1"/>
        <v>#REF!</v>
      </c>
      <c r="T1309" s="25" t="e">
        <f ca="1"/>
        <v>#REF!</v>
      </c>
      <c r="U1309" s="25" t="e">
        <f ca="1"/>
        <v>#REF!</v>
      </c>
      <c r="V1309" s="25" t="e">
        <f ca="1"/>
        <v>#REF!</v>
      </c>
      <c r="W1309" s="33" t="e">
        <f ca="1"/>
        <v>#REF!</v>
      </c>
      <c r="X1309" s="33" t="e">
        <f ca="1"/>
        <v>#REF!</v>
      </c>
      <c r="Y1309" s="33" t="e">
        <f ca="1"/>
        <v>#REF!</v>
      </c>
      <c r="Z1309" s="33" t="e">
        <f ca="1"/>
        <v>#REF!</v>
      </c>
      <c r="AA1309" s="33" t="e">
        <f ca="1"/>
        <v>#REF!</v>
      </c>
    </row>
    <row r="1310" spans="1:27" s="70" customFormat="1" ht="11.25" x14ac:dyDescent="0.2">
      <c r="A1310" s="24">
        <v>1304</v>
      </c>
      <c r="B1310" s="27"/>
      <c r="C1310" s="28"/>
      <c r="D1310" s="71"/>
      <c r="E1310" s="28"/>
      <c r="F1310" s="28"/>
      <c r="G1310" s="27"/>
      <c r="H1310" s="28" t="e">
        <f ca="1"/>
        <v>#REF!</v>
      </c>
      <c r="I1310" s="27" t="e">
        <f ca="1"/>
        <v>#REF!</v>
      </c>
      <c r="J1310" s="28" t="e">
        <f ca="1"/>
        <v>#REF!</v>
      </c>
      <c r="K1310" s="27" t="e">
        <f ca="1"/>
        <v>#REF!</v>
      </c>
      <c r="L1310" s="25" t="e">
        <f ca="1"/>
        <v>#REF!</v>
      </c>
      <c r="M1310" s="25" t="e">
        <f ca="1"/>
        <v>#REF!</v>
      </c>
      <c r="N1310" s="25" t="e">
        <f ca="1"/>
        <v>#REF!</v>
      </c>
      <c r="O1310" s="25" t="e">
        <f ca="1"/>
        <v>#REF!</v>
      </c>
      <c r="P1310" s="25" t="e">
        <f ca="1"/>
        <v>#REF!</v>
      </c>
      <c r="Q1310" s="25" t="e">
        <f ca="1"/>
        <v>#REF!</v>
      </c>
      <c r="R1310" s="25" t="e">
        <f ca="1"/>
        <v>#REF!</v>
      </c>
      <c r="S1310" s="25" t="e">
        <f ca="1"/>
        <v>#REF!</v>
      </c>
      <c r="T1310" s="25" t="e">
        <f ca="1"/>
        <v>#REF!</v>
      </c>
      <c r="U1310" s="25" t="e">
        <f ca="1"/>
        <v>#REF!</v>
      </c>
      <c r="V1310" s="25" t="e">
        <f ca="1"/>
        <v>#REF!</v>
      </c>
      <c r="W1310" s="33" t="e">
        <f ca="1"/>
        <v>#REF!</v>
      </c>
      <c r="X1310" s="33" t="e">
        <f ca="1"/>
        <v>#REF!</v>
      </c>
      <c r="Y1310" s="33" t="e">
        <f ca="1"/>
        <v>#REF!</v>
      </c>
      <c r="Z1310" s="33" t="e">
        <f ca="1"/>
        <v>#REF!</v>
      </c>
      <c r="AA1310" s="33" t="e">
        <f ca="1"/>
        <v>#REF!</v>
      </c>
    </row>
    <row r="1311" spans="1:27" s="70" customFormat="1" ht="11.25" x14ac:dyDescent="0.2">
      <c r="A1311" s="24">
        <v>1305</v>
      </c>
      <c r="B1311" s="27"/>
      <c r="C1311" s="28"/>
      <c r="D1311" s="71"/>
      <c r="E1311" s="28"/>
      <c r="F1311" s="28"/>
      <c r="G1311" s="27"/>
      <c r="H1311" s="28" t="e">
        <f ca="1"/>
        <v>#REF!</v>
      </c>
      <c r="I1311" s="27" t="e">
        <f ca="1"/>
        <v>#REF!</v>
      </c>
      <c r="J1311" s="28" t="e">
        <f ca="1"/>
        <v>#REF!</v>
      </c>
      <c r="K1311" s="27" t="e">
        <f ca="1"/>
        <v>#REF!</v>
      </c>
      <c r="L1311" s="25" t="e">
        <f ca="1"/>
        <v>#REF!</v>
      </c>
      <c r="M1311" s="25" t="e">
        <f ca="1"/>
        <v>#REF!</v>
      </c>
      <c r="N1311" s="25" t="e">
        <f ca="1"/>
        <v>#REF!</v>
      </c>
      <c r="O1311" s="25" t="e">
        <f ca="1"/>
        <v>#REF!</v>
      </c>
      <c r="P1311" s="25" t="e">
        <f ca="1"/>
        <v>#REF!</v>
      </c>
      <c r="Q1311" s="25" t="e">
        <f ca="1"/>
        <v>#REF!</v>
      </c>
      <c r="R1311" s="25" t="e">
        <f ca="1"/>
        <v>#REF!</v>
      </c>
      <c r="S1311" s="25" t="e">
        <f ca="1"/>
        <v>#REF!</v>
      </c>
      <c r="T1311" s="25" t="e">
        <f ca="1"/>
        <v>#REF!</v>
      </c>
      <c r="U1311" s="25" t="e">
        <f ca="1"/>
        <v>#REF!</v>
      </c>
      <c r="V1311" s="25" t="e">
        <f ca="1"/>
        <v>#REF!</v>
      </c>
      <c r="W1311" s="33" t="e">
        <f ca="1"/>
        <v>#REF!</v>
      </c>
      <c r="X1311" s="33" t="e">
        <f ca="1"/>
        <v>#REF!</v>
      </c>
      <c r="Y1311" s="33" t="e">
        <f ca="1"/>
        <v>#REF!</v>
      </c>
      <c r="Z1311" s="33" t="e">
        <f ca="1"/>
        <v>#REF!</v>
      </c>
      <c r="AA1311" s="33" t="e">
        <f ca="1"/>
        <v>#REF!</v>
      </c>
    </row>
    <row r="1312" spans="1:27" s="70" customFormat="1" ht="11.25" x14ac:dyDescent="0.2">
      <c r="A1312" s="24">
        <v>1306</v>
      </c>
      <c r="B1312" s="27"/>
      <c r="C1312" s="28"/>
      <c r="D1312" s="71"/>
      <c r="E1312" s="28"/>
      <c r="F1312" s="28"/>
      <c r="G1312" s="27"/>
      <c r="H1312" s="28" t="e">
        <f ca="1"/>
        <v>#REF!</v>
      </c>
      <c r="I1312" s="27" t="e">
        <f ca="1"/>
        <v>#REF!</v>
      </c>
      <c r="J1312" s="28" t="e">
        <f ca="1"/>
        <v>#REF!</v>
      </c>
      <c r="K1312" s="27" t="e">
        <f ca="1"/>
        <v>#REF!</v>
      </c>
      <c r="L1312" s="25" t="e">
        <f ca="1"/>
        <v>#REF!</v>
      </c>
      <c r="M1312" s="25" t="e">
        <f ca="1"/>
        <v>#REF!</v>
      </c>
      <c r="N1312" s="25" t="e">
        <f ca="1"/>
        <v>#REF!</v>
      </c>
      <c r="O1312" s="25" t="e">
        <f ca="1"/>
        <v>#REF!</v>
      </c>
      <c r="P1312" s="25" t="e">
        <f ca="1"/>
        <v>#REF!</v>
      </c>
      <c r="Q1312" s="25" t="e">
        <f ca="1"/>
        <v>#REF!</v>
      </c>
      <c r="R1312" s="25" t="e">
        <f ca="1"/>
        <v>#REF!</v>
      </c>
      <c r="S1312" s="25" t="e">
        <f ca="1"/>
        <v>#REF!</v>
      </c>
      <c r="T1312" s="25" t="e">
        <f ca="1"/>
        <v>#REF!</v>
      </c>
      <c r="U1312" s="25" t="e">
        <f ca="1"/>
        <v>#REF!</v>
      </c>
      <c r="V1312" s="25" t="e">
        <f ca="1"/>
        <v>#REF!</v>
      </c>
      <c r="W1312" s="33" t="e">
        <f ca="1"/>
        <v>#REF!</v>
      </c>
      <c r="X1312" s="33" t="e">
        <f ca="1"/>
        <v>#REF!</v>
      </c>
      <c r="Y1312" s="33" t="e">
        <f ca="1"/>
        <v>#REF!</v>
      </c>
      <c r="Z1312" s="33" t="e">
        <f ca="1"/>
        <v>#REF!</v>
      </c>
      <c r="AA1312" s="33" t="e">
        <f ca="1"/>
        <v>#REF!</v>
      </c>
    </row>
    <row r="1313" spans="1:27" s="70" customFormat="1" ht="11.25" x14ac:dyDescent="0.2">
      <c r="A1313" s="24">
        <v>1307</v>
      </c>
      <c r="B1313" s="27"/>
      <c r="C1313" s="28"/>
      <c r="D1313" s="71"/>
      <c r="E1313" s="28"/>
      <c r="F1313" s="28"/>
      <c r="G1313" s="27"/>
      <c r="H1313" s="28" t="e">
        <f ca="1"/>
        <v>#REF!</v>
      </c>
      <c r="I1313" s="27" t="e">
        <f ca="1"/>
        <v>#REF!</v>
      </c>
      <c r="J1313" s="28" t="e">
        <f ca="1"/>
        <v>#REF!</v>
      </c>
      <c r="K1313" s="27" t="e">
        <f ca="1"/>
        <v>#REF!</v>
      </c>
      <c r="L1313" s="25" t="e">
        <f ca="1"/>
        <v>#REF!</v>
      </c>
      <c r="M1313" s="25" t="e">
        <f ca="1"/>
        <v>#REF!</v>
      </c>
      <c r="N1313" s="25" t="e">
        <f ca="1"/>
        <v>#REF!</v>
      </c>
      <c r="O1313" s="25" t="e">
        <f ca="1"/>
        <v>#REF!</v>
      </c>
      <c r="P1313" s="25" t="e">
        <f ca="1"/>
        <v>#REF!</v>
      </c>
      <c r="Q1313" s="25" t="e">
        <f ca="1"/>
        <v>#REF!</v>
      </c>
      <c r="R1313" s="25" t="e">
        <f ca="1"/>
        <v>#REF!</v>
      </c>
      <c r="S1313" s="25" t="e">
        <f ca="1"/>
        <v>#REF!</v>
      </c>
      <c r="T1313" s="25" t="e">
        <f ca="1"/>
        <v>#REF!</v>
      </c>
      <c r="U1313" s="25" t="e">
        <f ca="1"/>
        <v>#REF!</v>
      </c>
      <c r="V1313" s="25" t="e">
        <f ca="1"/>
        <v>#REF!</v>
      </c>
      <c r="W1313" s="33" t="e">
        <f ca="1"/>
        <v>#REF!</v>
      </c>
      <c r="X1313" s="33" t="e">
        <f ca="1"/>
        <v>#REF!</v>
      </c>
      <c r="Y1313" s="33" t="e">
        <f ca="1"/>
        <v>#REF!</v>
      </c>
      <c r="Z1313" s="33" t="e">
        <f ca="1"/>
        <v>#REF!</v>
      </c>
      <c r="AA1313" s="33" t="e">
        <f ca="1"/>
        <v>#REF!</v>
      </c>
    </row>
    <row r="1314" spans="1:27" s="70" customFormat="1" ht="11.25" x14ac:dyDescent="0.2">
      <c r="A1314" s="24">
        <v>1308</v>
      </c>
      <c r="B1314" s="27"/>
      <c r="C1314" s="28"/>
      <c r="D1314" s="71"/>
      <c r="E1314" s="28"/>
      <c r="F1314" s="28"/>
      <c r="G1314" s="27"/>
      <c r="H1314" s="28" t="e">
        <f ca="1"/>
        <v>#REF!</v>
      </c>
      <c r="I1314" s="27" t="e">
        <f ca="1"/>
        <v>#REF!</v>
      </c>
      <c r="J1314" s="28" t="e">
        <f ca="1"/>
        <v>#REF!</v>
      </c>
      <c r="K1314" s="27" t="e">
        <f ca="1"/>
        <v>#REF!</v>
      </c>
      <c r="L1314" s="25" t="e">
        <f ca="1"/>
        <v>#REF!</v>
      </c>
      <c r="M1314" s="25" t="e">
        <f ca="1"/>
        <v>#REF!</v>
      </c>
      <c r="N1314" s="25" t="e">
        <f ca="1"/>
        <v>#REF!</v>
      </c>
      <c r="O1314" s="25" t="e">
        <f ca="1"/>
        <v>#REF!</v>
      </c>
      <c r="P1314" s="25" t="e">
        <f ca="1"/>
        <v>#REF!</v>
      </c>
      <c r="Q1314" s="25" t="e">
        <f ca="1"/>
        <v>#REF!</v>
      </c>
      <c r="R1314" s="25" t="e">
        <f ca="1"/>
        <v>#REF!</v>
      </c>
      <c r="S1314" s="25" t="e">
        <f ca="1"/>
        <v>#REF!</v>
      </c>
      <c r="T1314" s="25" t="e">
        <f ca="1"/>
        <v>#REF!</v>
      </c>
      <c r="U1314" s="25" t="e">
        <f ca="1"/>
        <v>#REF!</v>
      </c>
      <c r="V1314" s="25" t="e">
        <f ca="1"/>
        <v>#REF!</v>
      </c>
      <c r="W1314" s="33" t="e">
        <f ca="1"/>
        <v>#REF!</v>
      </c>
      <c r="X1314" s="33" t="e">
        <f ca="1"/>
        <v>#REF!</v>
      </c>
      <c r="Y1314" s="33" t="e">
        <f ca="1"/>
        <v>#REF!</v>
      </c>
      <c r="Z1314" s="33" t="e">
        <f ca="1"/>
        <v>#REF!</v>
      </c>
      <c r="AA1314" s="33" t="e">
        <f ca="1"/>
        <v>#REF!</v>
      </c>
    </row>
    <row r="1315" spans="1:27" s="70" customFormat="1" ht="11.25" x14ac:dyDescent="0.2">
      <c r="A1315" s="24">
        <v>1309</v>
      </c>
      <c r="B1315" s="27"/>
      <c r="C1315" s="28"/>
      <c r="D1315" s="71"/>
      <c r="E1315" s="28"/>
      <c r="F1315" s="28"/>
      <c r="G1315" s="27"/>
      <c r="H1315" s="28" t="e">
        <f ca="1"/>
        <v>#REF!</v>
      </c>
      <c r="I1315" s="27" t="e">
        <f ca="1"/>
        <v>#REF!</v>
      </c>
      <c r="J1315" s="28" t="e">
        <f ca="1"/>
        <v>#REF!</v>
      </c>
      <c r="K1315" s="27" t="e">
        <f ca="1"/>
        <v>#REF!</v>
      </c>
      <c r="L1315" s="25" t="e">
        <f ca="1"/>
        <v>#REF!</v>
      </c>
      <c r="M1315" s="25" t="e">
        <f ca="1"/>
        <v>#REF!</v>
      </c>
      <c r="N1315" s="25" t="e">
        <f ca="1"/>
        <v>#REF!</v>
      </c>
      <c r="O1315" s="25" t="e">
        <f ca="1"/>
        <v>#REF!</v>
      </c>
      <c r="P1315" s="25" t="e">
        <f ca="1"/>
        <v>#REF!</v>
      </c>
      <c r="Q1315" s="25" t="e">
        <f ca="1"/>
        <v>#REF!</v>
      </c>
      <c r="R1315" s="25" t="e">
        <f ca="1"/>
        <v>#REF!</v>
      </c>
      <c r="S1315" s="25" t="e">
        <f ca="1"/>
        <v>#REF!</v>
      </c>
      <c r="T1315" s="25" t="e">
        <f ca="1"/>
        <v>#REF!</v>
      </c>
      <c r="U1315" s="25" t="e">
        <f ca="1"/>
        <v>#REF!</v>
      </c>
      <c r="V1315" s="25" t="e">
        <f ca="1"/>
        <v>#REF!</v>
      </c>
      <c r="W1315" s="33" t="e">
        <f ca="1"/>
        <v>#REF!</v>
      </c>
      <c r="X1315" s="33" t="e">
        <f ca="1"/>
        <v>#REF!</v>
      </c>
      <c r="Y1315" s="33" t="e">
        <f ca="1"/>
        <v>#REF!</v>
      </c>
      <c r="Z1315" s="33" t="e">
        <f ca="1"/>
        <v>#REF!</v>
      </c>
      <c r="AA1315" s="33" t="e">
        <f ca="1"/>
        <v>#REF!</v>
      </c>
    </row>
    <row r="1316" spans="1:27" s="70" customFormat="1" ht="11.25" x14ac:dyDescent="0.2">
      <c r="A1316" s="24">
        <v>1310</v>
      </c>
      <c r="B1316" s="27"/>
      <c r="C1316" s="28"/>
      <c r="D1316" s="71"/>
      <c r="E1316" s="28"/>
      <c r="F1316" s="28"/>
      <c r="G1316" s="27"/>
      <c r="H1316" s="28" t="e">
        <f ca="1"/>
        <v>#REF!</v>
      </c>
      <c r="I1316" s="27" t="e">
        <f ca="1"/>
        <v>#REF!</v>
      </c>
      <c r="J1316" s="28" t="e">
        <f ca="1"/>
        <v>#REF!</v>
      </c>
      <c r="K1316" s="27" t="e">
        <f ca="1"/>
        <v>#REF!</v>
      </c>
      <c r="L1316" s="25" t="e">
        <f ca="1"/>
        <v>#REF!</v>
      </c>
      <c r="M1316" s="25" t="e">
        <f ca="1"/>
        <v>#REF!</v>
      </c>
      <c r="N1316" s="25" t="e">
        <f ca="1"/>
        <v>#REF!</v>
      </c>
      <c r="O1316" s="25" t="e">
        <f ca="1"/>
        <v>#REF!</v>
      </c>
      <c r="P1316" s="25" t="e">
        <f ca="1"/>
        <v>#REF!</v>
      </c>
      <c r="Q1316" s="25" t="e">
        <f ca="1"/>
        <v>#REF!</v>
      </c>
      <c r="R1316" s="25" t="e">
        <f ca="1"/>
        <v>#REF!</v>
      </c>
      <c r="S1316" s="25" t="e">
        <f ca="1"/>
        <v>#REF!</v>
      </c>
      <c r="T1316" s="25" t="e">
        <f ca="1"/>
        <v>#REF!</v>
      </c>
      <c r="U1316" s="25" t="e">
        <f ca="1"/>
        <v>#REF!</v>
      </c>
      <c r="V1316" s="25" t="e">
        <f ca="1"/>
        <v>#REF!</v>
      </c>
      <c r="W1316" s="33" t="e">
        <f ca="1"/>
        <v>#REF!</v>
      </c>
      <c r="X1316" s="33" t="e">
        <f ca="1"/>
        <v>#REF!</v>
      </c>
      <c r="Y1316" s="33" t="e">
        <f ca="1"/>
        <v>#REF!</v>
      </c>
      <c r="Z1316" s="33" t="e">
        <f ca="1"/>
        <v>#REF!</v>
      </c>
      <c r="AA1316" s="33" t="e">
        <f ca="1"/>
        <v>#REF!</v>
      </c>
    </row>
    <row r="1317" spans="1:27" s="70" customFormat="1" ht="11.25" x14ac:dyDescent="0.2">
      <c r="A1317" s="24">
        <v>1311</v>
      </c>
      <c r="B1317" s="27"/>
      <c r="C1317" s="28"/>
      <c r="D1317" s="71"/>
      <c r="E1317" s="28"/>
      <c r="F1317" s="28"/>
      <c r="G1317" s="27"/>
      <c r="H1317" s="28" t="e">
        <f ca="1"/>
        <v>#REF!</v>
      </c>
      <c r="I1317" s="27" t="e">
        <f ca="1"/>
        <v>#REF!</v>
      </c>
      <c r="J1317" s="28" t="e">
        <f ca="1"/>
        <v>#REF!</v>
      </c>
      <c r="K1317" s="27" t="e">
        <f ca="1"/>
        <v>#REF!</v>
      </c>
      <c r="L1317" s="25" t="e">
        <f ca="1"/>
        <v>#REF!</v>
      </c>
      <c r="M1317" s="25" t="e">
        <f ca="1"/>
        <v>#REF!</v>
      </c>
      <c r="N1317" s="25" t="e">
        <f ca="1"/>
        <v>#REF!</v>
      </c>
      <c r="O1317" s="25" t="e">
        <f ca="1"/>
        <v>#REF!</v>
      </c>
      <c r="P1317" s="25" t="e">
        <f ca="1"/>
        <v>#REF!</v>
      </c>
      <c r="Q1317" s="25" t="e">
        <f ca="1"/>
        <v>#REF!</v>
      </c>
      <c r="R1317" s="25" t="e">
        <f ca="1"/>
        <v>#REF!</v>
      </c>
      <c r="S1317" s="25" t="e">
        <f ca="1"/>
        <v>#REF!</v>
      </c>
      <c r="T1317" s="25" t="e">
        <f ca="1"/>
        <v>#REF!</v>
      </c>
      <c r="U1317" s="25" t="e">
        <f ca="1"/>
        <v>#REF!</v>
      </c>
      <c r="V1317" s="25" t="e">
        <f ca="1"/>
        <v>#REF!</v>
      </c>
      <c r="W1317" s="33" t="e">
        <f ca="1"/>
        <v>#REF!</v>
      </c>
      <c r="X1317" s="33" t="e">
        <f ca="1"/>
        <v>#REF!</v>
      </c>
      <c r="Y1317" s="33" t="e">
        <f ca="1"/>
        <v>#REF!</v>
      </c>
      <c r="Z1317" s="33" t="e">
        <f ca="1"/>
        <v>#REF!</v>
      </c>
      <c r="AA1317" s="33" t="e">
        <f ca="1"/>
        <v>#REF!</v>
      </c>
    </row>
    <row r="1318" spans="1:27" s="70" customFormat="1" ht="11.25" x14ac:dyDescent="0.2">
      <c r="A1318" s="24">
        <v>1312</v>
      </c>
      <c r="B1318" s="27"/>
      <c r="C1318" s="28"/>
      <c r="D1318" s="71"/>
      <c r="E1318" s="28"/>
      <c r="F1318" s="28"/>
      <c r="G1318" s="27"/>
      <c r="H1318" s="28" t="e">
        <f ca="1"/>
        <v>#REF!</v>
      </c>
      <c r="I1318" s="27" t="e">
        <f ca="1"/>
        <v>#REF!</v>
      </c>
      <c r="J1318" s="28" t="e">
        <f ca="1"/>
        <v>#REF!</v>
      </c>
      <c r="K1318" s="27" t="e">
        <f ca="1"/>
        <v>#REF!</v>
      </c>
      <c r="L1318" s="25" t="e">
        <f ca="1"/>
        <v>#REF!</v>
      </c>
      <c r="M1318" s="25" t="e">
        <f ca="1"/>
        <v>#REF!</v>
      </c>
      <c r="N1318" s="25" t="e">
        <f ca="1"/>
        <v>#REF!</v>
      </c>
      <c r="O1318" s="25" t="e">
        <f ca="1"/>
        <v>#REF!</v>
      </c>
      <c r="P1318" s="25" t="e">
        <f ca="1"/>
        <v>#REF!</v>
      </c>
      <c r="Q1318" s="25" t="e">
        <f ca="1"/>
        <v>#REF!</v>
      </c>
      <c r="R1318" s="25" t="e">
        <f ca="1"/>
        <v>#REF!</v>
      </c>
      <c r="S1318" s="25" t="e">
        <f ca="1"/>
        <v>#REF!</v>
      </c>
      <c r="T1318" s="25" t="e">
        <f ca="1"/>
        <v>#REF!</v>
      </c>
      <c r="U1318" s="25" t="e">
        <f ca="1"/>
        <v>#REF!</v>
      </c>
      <c r="V1318" s="25" t="e">
        <f ca="1"/>
        <v>#REF!</v>
      </c>
      <c r="W1318" s="33" t="e">
        <f ca="1"/>
        <v>#REF!</v>
      </c>
      <c r="X1318" s="33" t="e">
        <f ca="1"/>
        <v>#REF!</v>
      </c>
      <c r="Y1318" s="33" t="e">
        <f ca="1"/>
        <v>#REF!</v>
      </c>
      <c r="Z1318" s="33" t="e">
        <f ca="1"/>
        <v>#REF!</v>
      </c>
      <c r="AA1318" s="33" t="e">
        <f ca="1"/>
        <v>#REF!</v>
      </c>
    </row>
    <row r="1319" spans="1:27" s="70" customFormat="1" ht="11.25" x14ac:dyDescent="0.2">
      <c r="A1319" s="24">
        <v>1313</v>
      </c>
      <c r="B1319" s="27"/>
      <c r="C1319" s="28"/>
      <c r="D1319" s="71"/>
      <c r="E1319" s="28"/>
      <c r="F1319" s="28"/>
      <c r="G1319" s="27"/>
      <c r="H1319" s="28" t="e">
        <f ca="1"/>
        <v>#REF!</v>
      </c>
      <c r="I1319" s="27" t="e">
        <f ca="1"/>
        <v>#REF!</v>
      </c>
      <c r="J1319" s="28" t="e">
        <f ca="1"/>
        <v>#REF!</v>
      </c>
      <c r="K1319" s="27" t="e">
        <f ca="1"/>
        <v>#REF!</v>
      </c>
      <c r="L1319" s="25" t="e">
        <f ca="1"/>
        <v>#REF!</v>
      </c>
      <c r="M1319" s="25" t="e">
        <f ca="1"/>
        <v>#REF!</v>
      </c>
      <c r="N1319" s="25" t="e">
        <f ca="1"/>
        <v>#REF!</v>
      </c>
      <c r="O1319" s="25" t="e">
        <f ca="1"/>
        <v>#REF!</v>
      </c>
      <c r="P1319" s="25" t="e">
        <f ca="1"/>
        <v>#REF!</v>
      </c>
      <c r="Q1319" s="25" t="e">
        <f ca="1"/>
        <v>#REF!</v>
      </c>
      <c r="R1319" s="25" t="e">
        <f ca="1"/>
        <v>#REF!</v>
      </c>
      <c r="S1319" s="25" t="e">
        <f ca="1"/>
        <v>#REF!</v>
      </c>
      <c r="T1319" s="25" t="e">
        <f ca="1"/>
        <v>#REF!</v>
      </c>
      <c r="U1319" s="25" t="e">
        <f ca="1"/>
        <v>#REF!</v>
      </c>
      <c r="V1319" s="25" t="e">
        <f ca="1"/>
        <v>#REF!</v>
      </c>
      <c r="W1319" s="33" t="e">
        <f ca="1"/>
        <v>#REF!</v>
      </c>
      <c r="X1319" s="33" t="e">
        <f ca="1"/>
        <v>#REF!</v>
      </c>
      <c r="Y1319" s="33" t="e">
        <f ca="1"/>
        <v>#REF!</v>
      </c>
      <c r="Z1319" s="33" t="e">
        <f ca="1"/>
        <v>#REF!</v>
      </c>
      <c r="AA1319" s="33" t="e">
        <f ca="1"/>
        <v>#REF!</v>
      </c>
    </row>
    <row r="1320" spans="1:27" s="70" customFormat="1" ht="11.25" x14ac:dyDescent="0.2">
      <c r="A1320" s="24">
        <v>1314</v>
      </c>
      <c r="B1320" s="27"/>
      <c r="C1320" s="28"/>
      <c r="D1320" s="71"/>
      <c r="E1320" s="28"/>
      <c r="F1320" s="28"/>
      <c r="G1320" s="27"/>
      <c r="H1320" s="28" t="e">
        <f ca="1"/>
        <v>#REF!</v>
      </c>
      <c r="I1320" s="27" t="e">
        <f ca="1"/>
        <v>#REF!</v>
      </c>
      <c r="J1320" s="28" t="e">
        <f ca="1"/>
        <v>#REF!</v>
      </c>
      <c r="K1320" s="27" t="e">
        <f ca="1"/>
        <v>#REF!</v>
      </c>
      <c r="L1320" s="25" t="e">
        <f ca="1"/>
        <v>#REF!</v>
      </c>
      <c r="M1320" s="25" t="e">
        <f ca="1"/>
        <v>#REF!</v>
      </c>
      <c r="N1320" s="25" t="e">
        <f ca="1"/>
        <v>#REF!</v>
      </c>
      <c r="O1320" s="25" t="e">
        <f ca="1"/>
        <v>#REF!</v>
      </c>
      <c r="P1320" s="25" t="e">
        <f ca="1"/>
        <v>#REF!</v>
      </c>
      <c r="Q1320" s="25" t="e">
        <f ca="1"/>
        <v>#REF!</v>
      </c>
      <c r="R1320" s="25" t="e">
        <f ca="1"/>
        <v>#REF!</v>
      </c>
      <c r="S1320" s="25" t="e">
        <f ca="1"/>
        <v>#REF!</v>
      </c>
      <c r="T1320" s="25" t="e">
        <f ca="1"/>
        <v>#REF!</v>
      </c>
      <c r="U1320" s="25" t="e">
        <f ca="1"/>
        <v>#REF!</v>
      </c>
      <c r="V1320" s="25" t="e">
        <f ca="1"/>
        <v>#REF!</v>
      </c>
      <c r="W1320" s="33" t="e">
        <f ca="1"/>
        <v>#REF!</v>
      </c>
      <c r="X1320" s="33" t="e">
        <f ca="1"/>
        <v>#REF!</v>
      </c>
      <c r="Y1320" s="33" t="e">
        <f ca="1"/>
        <v>#REF!</v>
      </c>
      <c r="Z1320" s="33" t="e">
        <f ca="1"/>
        <v>#REF!</v>
      </c>
      <c r="AA1320" s="33" t="e">
        <f ca="1"/>
        <v>#REF!</v>
      </c>
    </row>
    <row r="1321" spans="1:27" s="70" customFormat="1" ht="11.25" x14ac:dyDescent="0.2">
      <c r="A1321" s="24">
        <v>1315</v>
      </c>
      <c r="B1321" s="27"/>
      <c r="C1321" s="28"/>
      <c r="D1321" s="71"/>
      <c r="E1321" s="28"/>
      <c r="F1321" s="28"/>
      <c r="G1321" s="27"/>
      <c r="H1321" s="28" t="e">
        <f ca="1"/>
        <v>#REF!</v>
      </c>
      <c r="I1321" s="27" t="e">
        <f ca="1"/>
        <v>#REF!</v>
      </c>
      <c r="J1321" s="28" t="e">
        <f ca="1"/>
        <v>#REF!</v>
      </c>
      <c r="K1321" s="27" t="e">
        <f ca="1"/>
        <v>#REF!</v>
      </c>
      <c r="L1321" s="25" t="e">
        <f ca="1"/>
        <v>#REF!</v>
      </c>
      <c r="M1321" s="25" t="e">
        <f ca="1"/>
        <v>#REF!</v>
      </c>
      <c r="N1321" s="25" t="e">
        <f ca="1"/>
        <v>#REF!</v>
      </c>
      <c r="O1321" s="25" t="e">
        <f ca="1"/>
        <v>#REF!</v>
      </c>
      <c r="P1321" s="25" t="e">
        <f ca="1"/>
        <v>#REF!</v>
      </c>
      <c r="Q1321" s="25" t="e">
        <f ca="1"/>
        <v>#REF!</v>
      </c>
      <c r="R1321" s="25" t="e">
        <f ca="1"/>
        <v>#REF!</v>
      </c>
      <c r="S1321" s="25" t="e">
        <f ca="1"/>
        <v>#REF!</v>
      </c>
      <c r="T1321" s="25" t="e">
        <f ca="1"/>
        <v>#REF!</v>
      </c>
      <c r="U1321" s="25" t="e">
        <f ca="1"/>
        <v>#REF!</v>
      </c>
      <c r="V1321" s="25" t="e">
        <f ca="1"/>
        <v>#REF!</v>
      </c>
      <c r="W1321" s="33" t="e">
        <f ca="1"/>
        <v>#REF!</v>
      </c>
      <c r="X1321" s="33" t="e">
        <f ca="1"/>
        <v>#REF!</v>
      </c>
      <c r="Y1321" s="33" t="e">
        <f ca="1"/>
        <v>#REF!</v>
      </c>
      <c r="Z1321" s="33" t="e">
        <f ca="1"/>
        <v>#REF!</v>
      </c>
      <c r="AA1321" s="33" t="e">
        <f ca="1"/>
        <v>#REF!</v>
      </c>
    </row>
    <row r="1322" spans="1:27" s="70" customFormat="1" ht="11.25" x14ac:dyDescent="0.2">
      <c r="A1322" s="24">
        <v>1316</v>
      </c>
      <c r="B1322" s="27"/>
      <c r="C1322" s="28"/>
      <c r="D1322" s="71"/>
      <c r="E1322" s="28"/>
      <c r="F1322" s="28"/>
      <c r="G1322" s="27"/>
      <c r="H1322" s="28" t="e">
        <f ca="1"/>
        <v>#REF!</v>
      </c>
      <c r="I1322" s="27" t="e">
        <f ca="1"/>
        <v>#REF!</v>
      </c>
      <c r="J1322" s="28" t="e">
        <f ca="1"/>
        <v>#REF!</v>
      </c>
      <c r="K1322" s="27" t="e">
        <f ca="1"/>
        <v>#REF!</v>
      </c>
      <c r="L1322" s="25" t="e">
        <f ca="1"/>
        <v>#REF!</v>
      </c>
      <c r="M1322" s="25" t="e">
        <f ca="1"/>
        <v>#REF!</v>
      </c>
      <c r="N1322" s="25" t="e">
        <f ca="1"/>
        <v>#REF!</v>
      </c>
      <c r="O1322" s="25" t="e">
        <f ca="1"/>
        <v>#REF!</v>
      </c>
      <c r="P1322" s="25" t="e">
        <f ca="1"/>
        <v>#REF!</v>
      </c>
      <c r="Q1322" s="25" t="e">
        <f ca="1"/>
        <v>#REF!</v>
      </c>
      <c r="R1322" s="25" t="e">
        <f ca="1"/>
        <v>#REF!</v>
      </c>
      <c r="S1322" s="25" t="e">
        <f ca="1"/>
        <v>#REF!</v>
      </c>
      <c r="T1322" s="25" t="e">
        <f ca="1"/>
        <v>#REF!</v>
      </c>
      <c r="U1322" s="25" t="e">
        <f ca="1"/>
        <v>#REF!</v>
      </c>
      <c r="V1322" s="25" t="e">
        <f ca="1"/>
        <v>#REF!</v>
      </c>
      <c r="W1322" s="33" t="e">
        <f ca="1"/>
        <v>#REF!</v>
      </c>
      <c r="X1322" s="33" t="e">
        <f ca="1"/>
        <v>#REF!</v>
      </c>
      <c r="Y1322" s="33" t="e">
        <f ca="1"/>
        <v>#REF!</v>
      </c>
      <c r="Z1322" s="33" t="e">
        <f ca="1"/>
        <v>#REF!</v>
      </c>
      <c r="AA1322" s="33" t="e">
        <f ca="1"/>
        <v>#REF!</v>
      </c>
    </row>
    <row r="1323" spans="1:27" s="70" customFormat="1" ht="11.25" x14ac:dyDescent="0.2">
      <c r="A1323" s="24">
        <v>1317</v>
      </c>
      <c r="B1323" s="27"/>
      <c r="C1323" s="28"/>
      <c r="D1323" s="71"/>
      <c r="E1323" s="28"/>
      <c r="F1323" s="28"/>
      <c r="G1323" s="27"/>
      <c r="H1323" s="28" t="e">
        <f ca="1"/>
        <v>#REF!</v>
      </c>
      <c r="I1323" s="27" t="e">
        <f ca="1"/>
        <v>#REF!</v>
      </c>
      <c r="J1323" s="28" t="e">
        <f ca="1"/>
        <v>#REF!</v>
      </c>
      <c r="K1323" s="27" t="e">
        <f ca="1"/>
        <v>#REF!</v>
      </c>
      <c r="L1323" s="25" t="e">
        <f ca="1"/>
        <v>#REF!</v>
      </c>
      <c r="M1323" s="25" t="e">
        <f ca="1"/>
        <v>#REF!</v>
      </c>
      <c r="N1323" s="25" t="e">
        <f ca="1"/>
        <v>#REF!</v>
      </c>
      <c r="O1323" s="25" t="e">
        <f ca="1"/>
        <v>#REF!</v>
      </c>
      <c r="P1323" s="25" t="e">
        <f ca="1"/>
        <v>#REF!</v>
      </c>
      <c r="Q1323" s="25" t="e">
        <f ca="1"/>
        <v>#REF!</v>
      </c>
      <c r="R1323" s="25" t="e">
        <f ca="1"/>
        <v>#REF!</v>
      </c>
      <c r="S1323" s="25" t="e">
        <f ca="1"/>
        <v>#REF!</v>
      </c>
      <c r="T1323" s="25" t="e">
        <f ca="1"/>
        <v>#REF!</v>
      </c>
      <c r="U1323" s="25" t="e">
        <f ca="1"/>
        <v>#REF!</v>
      </c>
      <c r="V1323" s="25" t="e">
        <f ca="1"/>
        <v>#REF!</v>
      </c>
      <c r="W1323" s="33" t="e">
        <f ca="1"/>
        <v>#REF!</v>
      </c>
      <c r="X1323" s="33" t="e">
        <f ca="1"/>
        <v>#REF!</v>
      </c>
      <c r="Y1323" s="33" t="e">
        <f ca="1"/>
        <v>#REF!</v>
      </c>
      <c r="Z1323" s="33" t="e">
        <f ca="1"/>
        <v>#REF!</v>
      </c>
      <c r="AA1323" s="33" t="e">
        <f ca="1"/>
        <v>#REF!</v>
      </c>
    </row>
    <row r="1324" spans="1:27" s="70" customFormat="1" ht="11.25" x14ac:dyDescent="0.2">
      <c r="A1324" s="24">
        <v>1318</v>
      </c>
      <c r="B1324" s="27"/>
      <c r="C1324" s="28"/>
      <c r="D1324" s="71"/>
      <c r="E1324" s="28"/>
      <c r="F1324" s="28"/>
      <c r="G1324" s="27"/>
      <c r="H1324" s="28" t="e">
        <f ca="1"/>
        <v>#REF!</v>
      </c>
      <c r="I1324" s="27" t="e">
        <f ca="1"/>
        <v>#REF!</v>
      </c>
      <c r="J1324" s="28" t="e">
        <f ca="1"/>
        <v>#REF!</v>
      </c>
      <c r="K1324" s="27" t="e">
        <f ca="1"/>
        <v>#REF!</v>
      </c>
      <c r="L1324" s="25" t="e">
        <f ca="1"/>
        <v>#REF!</v>
      </c>
      <c r="M1324" s="25" t="e">
        <f ca="1"/>
        <v>#REF!</v>
      </c>
      <c r="N1324" s="25" t="e">
        <f ca="1"/>
        <v>#REF!</v>
      </c>
      <c r="O1324" s="25" t="e">
        <f ca="1"/>
        <v>#REF!</v>
      </c>
      <c r="P1324" s="25" t="e">
        <f ca="1"/>
        <v>#REF!</v>
      </c>
      <c r="Q1324" s="25" t="e">
        <f ca="1"/>
        <v>#REF!</v>
      </c>
      <c r="R1324" s="25" t="e">
        <f ca="1"/>
        <v>#REF!</v>
      </c>
      <c r="S1324" s="25" t="e">
        <f ca="1"/>
        <v>#REF!</v>
      </c>
      <c r="T1324" s="25" t="e">
        <f ca="1"/>
        <v>#REF!</v>
      </c>
      <c r="U1324" s="25" t="e">
        <f ca="1"/>
        <v>#REF!</v>
      </c>
      <c r="V1324" s="25" t="e">
        <f ca="1"/>
        <v>#REF!</v>
      </c>
      <c r="W1324" s="33" t="e">
        <f ca="1"/>
        <v>#REF!</v>
      </c>
      <c r="X1324" s="33" t="e">
        <f ca="1"/>
        <v>#REF!</v>
      </c>
      <c r="Y1324" s="33" t="e">
        <f ca="1"/>
        <v>#REF!</v>
      </c>
      <c r="Z1324" s="33" t="e">
        <f ca="1"/>
        <v>#REF!</v>
      </c>
      <c r="AA1324" s="33" t="e">
        <f ca="1"/>
        <v>#REF!</v>
      </c>
    </row>
    <row r="1325" spans="1:27" s="70" customFormat="1" ht="11.25" x14ac:dyDescent="0.2">
      <c r="A1325" s="24">
        <v>1319</v>
      </c>
      <c r="B1325" s="27"/>
      <c r="C1325" s="28"/>
      <c r="D1325" s="71"/>
      <c r="E1325" s="28"/>
      <c r="F1325" s="28"/>
      <c r="G1325" s="27"/>
      <c r="H1325" s="28" t="e">
        <f ca="1"/>
        <v>#REF!</v>
      </c>
      <c r="I1325" s="27" t="e">
        <f ca="1"/>
        <v>#REF!</v>
      </c>
      <c r="J1325" s="28" t="e">
        <f ca="1"/>
        <v>#REF!</v>
      </c>
      <c r="K1325" s="27" t="e">
        <f ca="1"/>
        <v>#REF!</v>
      </c>
      <c r="L1325" s="25" t="e">
        <f ca="1"/>
        <v>#REF!</v>
      </c>
      <c r="M1325" s="25" t="e">
        <f ca="1"/>
        <v>#REF!</v>
      </c>
      <c r="N1325" s="25" t="e">
        <f ca="1"/>
        <v>#REF!</v>
      </c>
      <c r="O1325" s="25" t="e">
        <f ca="1"/>
        <v>#REF!</v>
      </c>
      <c r="P1325" s="25" t="e">
        <f ca="1"/>
        <v>#REF!</v>
      </c>
      <c r="Q1325" s="25" t="e">
        <f ca="1"/>
        <v>#REF!</v>
      </c>
      <c r="R1325" s="25" t="e">
        <f ca="1"/>
        <v>#REF!</v>
      </c>
      <c r="S1325" s="25" t="e">
        <f ca="1"/>
        <v>#REF!</v>
      </c>
      <c r="T1325" s="25" t="e">
        <f ca="1"/>
        <v>#REF!</v>
      </c>
      <c r="U1325" s="25" t="e">
        <f ca="1"/>
        <v>#REF!</v>
      </c>
      <c r="V1325" s="25" t="e">
        <f ca="1"/>
        <v>#REF!</v>
      </c>
      <c r="W1325" s="33" t="e">
        <f ca="1"/>
        <v>#REF!</v>
      </c>
      <c r="X1325" s="33" t="e">
        <f ca="1"/>
        <v>#REF!</v>
      </c>
      <c r="Y1325" s="33" t="e">
        <f ca="1"/>
        <v>#REF!</v>
      </c>
      <c r="Z1325" s="33" t="e">
        <f ca="1"/>
        <v>#REF!</v>
      </c>
      <c r="AA1325" s="33" t="e">
        <f ca="1"/>
        <v>#REF!</v>
      </c>
    </row>
    <row r="1326" spans="1:27" s="70" customFormat="1" ht="11.25" x14ac:dyDescent="0.2">
      <c r="A1326" s="24">
        <v>1320</v>
      </c>
      <c r="B1326" s="27"/>
      <c r="C1326" s="28"/>
      <c r="D1326" s="71"/>
      <c r="E1326" s="28"/>
      <c r="F1326" s="28"/>
      <c r="G1326" s="27"/>
      <c r="H1326" s="28" t="e">
        <f ca="1"/>
        <v>#REF!</v>
      </c>
      <c r="I1326" s="27" t="e">
        <f ca="1"/>
        <v>#REF!</v>
      </c>
      <c r="J1326" s="28" t="e">
        <f ca="1"/>
        <v>#REF!</v>
      </c>
      <c r="K1326" s="27" t="e">
        <f ca="1"/>
        <v>#REF!</v>
      </c>
      <c r="L1326" s="25" t="e">
        <f ca="1"/>
        <v>#REF!</v>
      </c>
      <c r="M1326" s="25" t="e">
        <f ca="1"/>
        <v>#REF!</v>
      </c>
      <c r="N1326" s="25" t="e">
        <f ca="1"/>
        <v>#REF!</v>
      </c>
      <c r="O1326" s="25" t="e">
        <f ca="1"/>
        <v>#REF!</v>
      </c>
      <c r="P1326" s="25" t="e">
        <f ca="1"/>
        <v>#REF!</v>
      </c>
      <c r="Q1326" s="25" t="e">
        <f ca="1"/>
        <v>#REF!</v>
      </c>
      <c r="R1326" s="25" t="e">
        <f ca="1"/>
        <v>#REF!</v>
      </c>
      <c r="S1326" s="25" t="e">
        <f ca="1"/>
        <v>#REF!</v>
      </c>
      <c r="T1326" s="25" t="e">
        <f ca="1"/>
        <v>#REF!</v>
      </c>
      <c r="U1326" s="25" t="e">
        <f ca="1"/>
        <v>#REF!</v>
      </c>
      <c r="V1326" s="25" t="e">
        <f ca="1"/>
        <v>#REF!</v>
      </c>
      <c r="W1326" s="33" t="e">
        <f ca="1"/>
        <v>#REF!</v>
      </c>
      <c r="X1326" s="33" t="e">
        <f ca="1"/>
        <v>#REF!</v>
      </c>
      <c r="Y1326" s="33" t="e">
        <f ca="1"/>
        <v>#REF!</v>
      </c>
      <c r="Z1326" s="33" t="e">
        <f ca="1"/>
        <v>#REF!</v>
      </c>
      <c r="AA1326" s="33" t="e">
        <f ca="1"/>
        <v>#REF!</v>
      </c>
    </row>
    <row r="1327" spans="1:27" s="70" customFormat="1" ht="11.25" x14ac:dyDescent="0.2">
      <c r="A1327" s="24">
        <v>1321</v>
      </c>
      <c r="B1327" s="27"/>
      <c r="C1327" s="28"/>
      <c r="D1327" s="71"/>
      <c r="E1327" s="28"/>
      <c r="F1327" s="28"/>
      <c r="G1327" s="27"/>
      <c r="H1327" s="28" t="e">
        <f ca="1"/>
        <v>#REF!</v>
      </c>
      <c r="I1327" s="27" t="e">
        <f ca="1"/>
        <v>#REF!</v>
      </c>
      <c r="J1327" s="28" t="e">
        <f ca="1"/>
        <v>#REF!</v>
      </c>
      <c r="K1327" s="27" t="e">
        <f ca="1"/>
        <v>#REF!</v>
      </c>
      <c r="L1327" s="25" t="e">
        <f ca="1"/>
        <v>#REF!</v>
      </c>
      <c r="M1327" s="25" t="e">
        <f ca="1"/>
        <v>#REF!</v>
      </c>
      <c r="N1327" s="25" t="e">
        <f ca="1"/>
        <v>#REF!</v>
      </c>
      <c r="O1327" s="25" t="e">
        <f ca="1"/>
        <v>#REF!</v>
      </c>
      <c r="P1327" s="25" t="e">
        <f ca="1"/>
        <v>#REF!</v>
      </c>
      <c r="Q1327" s="25" t="e">
        <f ca="1"/>
        <v>#REF!</v>
      </c>
      <c r="R1327" s="25" t="e">
        <f ca="1"/>
        <v>#REF!</v>
      </c>
      <c r="S1327" s="25" t="e">
        <f ca="1"/>
        <v>#REF!</v>
      </c>
      <c r="T1327" s="25" t="e">
        <f ca="1"/>
        <v>#REF!</v>
      </c>
      <c r="U1327" s="25" t="e">
        <f ca="1"/>
        <v>#REF!</v>
      </c>
      <c r="V1327" s="25" t="e">
        <f ca="1"/>
        <v>#REF!</v>
      </c>
      <c r="W1327" s="33" t="e">
        <f ca="1"/>
        <v>#REF!</v>
      </c>
      <c r="X1327" s="33" t="e">
        <f ca="1"/>
        <v>#REF!</v>
      </c>
      <c r="Y1327" s="33" t="e">
        <f ca="1"/>
        <v>#REF!</v>
      </c>
      <c r="Z1327" s="33" t="e">
        <f ca="1"/>
        <v>#REF!</v>
      </c>
      <c r="AA1327" s="33" t="e">
        <f ca="1"/>
        <v>#REF!</v>
      </c>
    </row>
    <row r="1328" spans="1:27" s="70" customFormat="1" ht="11.25" x14ac:dyDescent="0.2">
      <c r="A1328" s="24">
        <v>1322</v>
      </c>
      <c r="B1328" s="27"/>
      <c r="C1328" s="28"/>
      <c r="D1328" s="71"/>
      <c r="E1328" s="28"/>
      <c r="F1328" s="28"/>
      <c r="G1328" s="27"/>
      <c r="H1328" s="28" t="e">
        <f ca="1"/>
        <v>#REF!</v>
      </c>
      <c r="I1328" s="27" t="e">
        <f ca="1"/>
        <v>#REF!</v>
      </c>
      <c r="J1328" s="28" t="e">
        <f ca="1"/>
        <v>#REF!</v>
      </c>
      <c r="K1328" s="27" t="e">
        <f ca="1"/>
        <v>#REF!</v>
      </c>
      <c r="L1328" s="25" t="e">
        <f ca="1"/>
        <v>#REF!</v>
      </c>
      <c r="M1328" s="25" t="e">
        <f ca="1"/>
        <v>#REF!</v>
      </c>
      <c r="N1328" s="25" t="e">
        <f ca="1"/>
        <v>#REF!</v>
      </c>
      <c r="O1328" s="25" t="e">
        <f ca="1"/>
        <v>#REF!</v>
      </c>
      <c r="P1328" s="25" t="e">
        <f ca="1"/>
        <v>#REF!</v>
      </c>
      <c r="Q1328" s="25" t="e">
        <f ca="1"/>
        <v>#REF!</v>
      </c>
      <c r="R1328" s="25" t="e">
        <f ca="1"/>
        <v>#REF!</v>
      </c>
      <c r="S1328" s="25" t="e">
        <f ca="1"/>
        <v>#REF!</v>
      </c>
      <c r="T1328" s="25" t="e">
        <f ca="1"/>
        <v>#REF!</v>
      </c>
      <c r="U1328" s="25" t="e">
        <f ca="1"/>
        <v>#REF!</v>
      </c>
      <c r="V1328" s="25" t="e">
        <f ca="1"/>
        <v>#REF!</v>
      </c>
      <c r="W1328" s="33" t="e">
        <f ca="1"/>
        <v>#REF!</v>
      </c>
      <c r="X1328" s="33" t="e">
        <f ca="1"/>
        <v>#REF!</v>
      </c>
      <c r="Y1328" s="33" t="e">
        <f ca="1"/>
        <v>#REF!</v>
      </c>
      <c r="Z1328" s="33" t="e">
        <f ca="1"/>
        <v>#REF!</v>
      </c>
      <c r="AA1328" s="33" t="e">
        <f ca="1"/>
        <v>#REF!</v>
      </c>
    </row>
    <row r="1329" spans="1:27" s="70" customFormat="1" ht="11.25" x14ac:dyDescent="0.2">
      <c r="A1329" s="24">
        <v>1323</v>
      </c>
      <c r="B1329" s="27"/>
      <c r="C1329" s="28"/>
      <c r="D1329" s="71"/>
      <c r="E1329" s="28"/>
      <c r="F1329" s="28"/>
      <c r="G1329" s="27"/>
      <c r="H1329" s="28" t="e">
        <f ca="1"/>
        <v>#REF!</v>
      </c>
      <c r="I1329" s="27" t="e">
        <f ca="1"/>
        <v>#REF!</v>
      </c>
      <c r="J1329" s="28" t="e">
        <f ca="1"/>
        <v>#REF!</v>
      </c>
      <c r="K1329" s="27" t="e">
        <f ca="1"/>
        <v>#REF!</v>
      </c>
      <c r="L1329" s="25" t="e">
        <f ca="1"/>
        <v>#REF!</v>
      </c>
      <c r="M1329" s="25" t="e">
        <f ca="1"/>
        <v>#REF!</v>
      </c>
      <c r="N1329" s="25" t="e">
        <f ca="1"/>
        <v>#REF!</v>
      </c>
      <c r="O1329" s="25" t="e">
        <f ca="1"/>
        <v>#REF!</v>
      </c>
      <c r="P1329" s="25" t="e">
        <f ca="1"/>
        <v>#REF!</v>
      </c>
      <c r="Q1329" s="25" t="e">
        <f ca="1"/>
        <v>#REF!</v>
      </c>
      <c r="R1329" s="25" t="e">
        <f ca="1"/>
        <v>#REF!</v>
      </c>
      <c r="S1329" s="25" t="e">
        <f ca="1"/>
        <v>#REF!</v>
      </c>
      <c r="T1329" s="25" t="e">
        <f ca="1"/>
        <v>#REF!</v>
      </c>
      <c r="U1329" s="25" t="e">
        <f ca="1"/>
        <v>#REF!</v>
      </c>
      <c r="V1329" s="25" t="e">
        <f ca="1"/>
        <v>#REF!</v>
      </c>
      <c r="W1329" s="33" t="e">
        <f ca="1"/>
        <v>#REF!</v>
      </c>
      <c r="X1329" s="33" t="e">
        <f ca="1"/>
        <v>#REF!</v>
      </c>
      <c r="Y1329" s="33" t="e">
        <f ca="1"/>
        <v>#REF!</v>
      </c>
      <c r="Z1329" s="33" t="e">
        <f ca="1"/>
        <v>#REF!</v>
      </c>
      <c r="AA1329" s="33" t="e">
        <f ca="1"/>
        <v>#REF!</v>
      </c>
    </row>
    <row r="1330" spans="1:27" s="70" customFormat="1" ht="11.25" x14ac:dyDescent="0.2">
      <c r="A1330" s="24">
        <v>1324</v>
      </c>
      <c r="B1330" s="27"/>
      <c r="C1330" s="28"/>
      <c r="D1330" s="71"/>
      <c r="E1330" s="28"/>
      <c r="F1330" s="28"/>
      <c r="G1330" s="27"/>
      <c r="H1330" s="28" t="e">
        <f ca="1"/>
        <v>#REF!</v>
      </c>
      <c r="I1330" s="27" t="e">
        <f ca="1"/>
        <v>#REF!</v>
      </c>
      <c r="J1330" s="28" t="e">
        <f ca="1"/>
        <v>#REF!</v>
      </c>
      <c r="K1330" s="27" t="e">
        <f ca="1"/>
        <v>#REF!</v>
      </c>
      <c r="L1330" s="25" t="e">
        <f ca="1"/>
        <v>#REF!</v>
      </c>
      <c r="M1330" s="25" t="e">
        <f ca="1"/>
        <v>#REF!</v>
      </c>
      <c r="N1330" s="25" t="e">
        <f ca="1"/>
        <v>#REF!</v>
      </c>
      <c r="O1330" s="25" t="e">
        <f ca="1"/>
        <v>#REF!</v>
      </c>
      <c r="P1330" s="25" t="e">
        <f ca="1"/>
        <v>#REF!</v>
      </c>
      <c r="Q1330" s="25" t="e">
        <f ca="1"/>
        <v>#REF!</v>
      </c>
      <c r="R1330" s="25" t="e">
        <f ca="1"/>
        <v>#REF!</v>
      </c>
      <c r="S1330" s="25" t="e">
        <f ca="1"/>
        <v>#REF!</v>
      </c>
      <c r="T1330" s="25" t="e">
        <f ca="1"/>
        <v>#REF!</v>
      </c>
      <c r="U1330" s="25" t="e">
        <f ca="1"/>
        <v>#REF!</v>
      </c>
      <c r="V1330" s="25" t="e">
        <f ca="1"/>
        <v>#REF!</v>
      </c>
      <c r="W1330" s="33" t="e">
        <f ca="1"/>
        <v>#REF!</v>
      </c>
      <c r="X1330" s="33" t="e">
        <f ca="1"/>
        <v>#REF!</v>
      </c>
      <c r="Y1330" s="33" t="e">
        <f ca="1"/>
        <v>#REF!</v>
      </c>
      <c r="Z1330" s="33" t="e">
        <f ca="1"/>
        <v>#REF!</v>
      </c>
      <c r="AA1330" s="33" t="e">
        <f ca="1"/>
        <v>#REF!</v>
      </c>
    </row>
    <row r="1331" spans="1:27" s="70" customFormat="1" ht="11.25" x14ac:dyDescent="0.2">
      <c r="A1331" s="24">
        <v>1325</v>
      </c>
      <c r="B1331" s="27"/>
      <c r="C1331" s="28"/>
      <c r="D1331" s="71"/>
      <c r="E1331" s="28"/>
      <c r="F1331" s="28"/>
      <c r="G1331" s="27"/>
      <c r="H1331" s="28" t="e">
        <f ca="1"/>
        <v>#REF!</v>
      </c>
      <c r="I1331" s="27" t="e">
        <f ca="1"/>
        <v>#REF!</v>
      </c>
      <c r="J1331" s="28" t="e">
        <f ca="1"/>
        <v>#REF!</v>
      </c>
      <c r="K1331" s="27" t="e">
        <f ca="1"/>
        <v>#REF!</v>
      </c>
      <c r="L1331" s="25" t="e">
        <f ca="1"/>
        <v>#REF!</v>
      </c>
      <c r="M1331" s="25" t="e">
        <f ca="1"/>
        <v>#REF!</v>
      </c>
      <c r="N1331" s="25" t="e">
        <f ca="1"/>
        <v>#REF!</v>
      </c>
      <c r="O1331" s="25" t="e">
        <f ca="1"/>
        <v>#REF!</v>
      </c>
      <c r="P1331" s="25" t="e">
        <f ca="1"/>
        <v>#REF!</v>
      </c>
      <c r="Q1331" s="25" t="e">
        <f ca="1"/>
        <v>#REF!</v>
      </c>
      <c r="R1331" s="25" t="e">
        <f ca="1"/>
        <v>#REF!</v>
      </c>
      <c r="S1331" s="25" t="e">
        <f ca="1"/>
        <v>#REF!</v>
      </c>
      <c r="T1331" s="25" t="e">
        <f ca="1"/>
        <v>#REF!</v>
      </c>
      <c r="U1331" s="25" t="e">
        <f ca="1"/>
        <v>#REF!</v>
      </c>
      <c r="V1331" s="25" t="e">
        <f ca="1"/>
        <v>#REF!</v>
      </c>
      <c r="W1331" s="33" t="e">
        <f ca="1"/>
        <v>#REF!</v>
      </c>
      <c r="X1331" s="33" t="e">
        <f ca="1"/>
        <v>#REF!</v>
      </c>
      <c r="Y1331" s="33" t="e">
        <f ca="1"/>
        <v>#REF!</v>
      </c>
      <c r="Z1331" s="33" t="e">
        <f ca="1"/>
        <v>#REF!</v>
      </c>
      <c r="AA1331" s="33" t="e">
        <f ca="1"/>
        <v>#REF!</v>
      </c>
    </row>
    <row r="1332" spans="1:27" s="70" customFormat="1" ht="11.25" x14ac:dyDescent="0.2">
      <c r="A1332" s="24">
        <v>1326</v>
      </c>
      <c r="B1332" s="27"/>
      <c r="C1332" s="28"/>
      <c r="D1332" s="71"/>
      <c r="E1332" s="28"/>
      <c r="F1332" s="28"/>
      <c r="G1332" s="27"/>
      <c r="H1332" s="28" t="e">
        <f ca="1"/>
        <v>#REF!</v>
      </c>
      <c r="I1332" s="27" t="e">
        <f ca="1"/>
        <v>#REF!</v>
      </c>
      <c r="J1332" s="28" t="e">
        <f ca="1"/>
        <v>#REF!</v>
      </c>
      <c r="K1332" s="27" t="e">
        <f ca="1"/>
        <v>#REF!</v>
      </c>
      <c r="L1332" s="25" t="e">
        <f ca="1"/>
        <v>#REF!</v>
      </c>
      <c r="M1332" s="25" t="e">
        <f ca="1"/>
        <v>#REF!</v>
      </c>
      <c r="N1332" s="25" t="e">
        <f ca="1"/>
        <v>#REF!</v>
      </c>
      <c r="O1332" s="25" t="e">
        <f ca="1"/>
        <v>#REF!</v>
      </c>
      <c r="P1332" s="25" t="e">
        <f ca="1"/>
        <v>#REF!</v>
      </c>
      <c r="Q1332" s="25" t="e">
        <f ca="1"/>
        <v>#REF!</v>
      </c>
      <c r="R1332" s="25" t="e">
        <f ca="1"/>
        <v>#REF!</v>
      </c>
      <c r="S1332" s="25" t="e">
        <f ca="1"/>
        <v>#REF!</v>
      </c>
      <c r="T1332" s="25" t="e">
        <f ca="1"/>
        <v>#REF!</v>
      </c>
      <c r="U1332" s="25" t="e">
        <f ca="1"/>
        <v>#REF!</v>
      </c>
      <c r="V1332" s="25" t="e">
        <f ca="1"/>
        <v>#REF!</v>
      </c>
      <c r="W1332" s="33" t="e">
        <f ca="1"/>
        <v>#REF!</v>
      </c>
      <c r="X1332" s="33" t="e">
        <f ca="1"/>
        <v>#REF!</v>
      </c>
      <c r="Y1332" s="33" t="e">
        <f ca="1"/>
        <v>#REF!</v>
      </c>
      <c r="Z1332" s="33" t="e">
        <f ca="1"/>
        <v>#REF!</v>
      </c>
      <c r="AA1332" s="33" t="e">
        <f ca="1"/>
        <v>#REF!</v>
      </c>
    </row>
    <row r="1333" spans="1:27" s="70" customFormat="1" ht="11.25" x14ac:dyDescent="0.2">
      <c r="A1333" s="24">
        <v>1327</v>
      </c>
      <c r="B1333" s="27"/>
      <c r="C1333" s="28"/>
      <c r="D1333" s="71"/>
      <c r="E1333" s="28"/>
      <c r="F1333" s="28"/>
      <c r="G1333" s="27"/>
      <c r="H1333" s="28" t="e">
        <f ca="1"/>
        <v>#REF!</v>
      </c>
      <c r="I1333" s="27" t="e">
        <f ca="1"/>
        <v>#REF!</v>
      </c>
      <c r="J1333" s="28" t="e">
        <f ca="1"/>
        <v>#REF!</v>
      </c>
      <c r="K1333" s="27" t="e">
        <f ca="1"/>
        <v>#REF!</v>
      </c>
      <c r="L1333" s="25" t="e">
        <f ca="1"/>
        <v>#REF!</v>
      </c>
      <c r="M1333" s="25" t="e">
        <f ca="1"/>
        <v>#REF!</v>
      </c>
      <c r="N1333" s="25" t="e">
        <f ca="1"/>
        <v>#REF!</v>
      </c>
      <c r="O1333" s="25" t="e">
        <f ca="1"/>
        <v>#REF!</v>
      </c>
      <c r="P1333" s="25" t="e">
        <f ca="1"/>
        <v>#REF!</v>
      </c>
      <c r="Q1333" s="25" t="e">
        <f ca="1"/>
        <v>#REF!</v>
      </c>
      <c r="R1333" s="25" t="e">
        <f ca="1"/>
        <v>#REF!</v>
      </c>
      <c r="S1333" s="25" t="e">
        <f ca="1"/>
        <v>#REF!</v>
      </c>
      <c r="T1333" s="25" t="e">
        <f ca="1"/>
        <v>#REF!</v>
      </c>
      <c r="U1333" s="25" t="e">
        <f ca="1"/>
        <v>#REF!</v>
      </c>
      <c r="V1333" s="25" t="e">
        <f ca="1"/>
        <v>#REF!</v>
      </c>
      <c r="W1333" s="33" t="e">
        <f ca="1"/>
        <v>#REF!</v>
      </c>
      <c r="X1333" s="33" t="e">
        <f ca="1"/>
        <v>#REF!</v>
      </c>
      <c r="Y1333" s="33" t="e">
        <f ca="1"/>
        <v>#REF!</v>
      </c>
      <c r="Z1333" s="33" t="e">
        <f ca="1"/>
        <v>#REF!</v>
      </c>
      <c r="AA1333" s="33" t="e">
        <f ca="1"/>
        <v>#REF!</v>
      </c>
    </row>
    <row r="1334" spans="1:27" s="70" customFormat="1" ht="11.25" x14ac:dyDescent="0.2">
      <c r="A1334" s="24">
        <v>1328</v>
      </c>
      <c r="B1334" s="27"/>
      <c r="C1334" s="28"/>
      <c r="D1334" s="71"/>
      <c r="E1334" s="28"/>
      <c r="F1334" s="28"/>
      <c r="G1334" s="27"/>
      <c r="H1334" s="28" t="e">
        <f ca="1"/>
        <v>#REF!</v>
      </c>
      <c r="I1334" s="27" t="e">
        <f ca="1"/>
        <v>#REF!</v>
      </c>
      <c r="J1334" s="28" t="e">
        <f ca="1"/>
        <v>#REF!</v>
      </c>
      <c r="K1334" s="27" t="e">
        <f ca="1"/>
        <v>#REF!</v>
      </c>
      <c r="L1334" s="25" t="e">
        <f ca="1"/>
        <v>#REF!</v>
      </c>
      <c r="M1334" s="25" t="e">
        <f ca="1"/>
        <v>#REF!</v>
      </c>
      <c r="N1334" s="25" t="e">
        <f ca="1"/>
        <v>#REF!</v>
      </c>
      <c r="O1334" s="25" t="e">
        <f ca="1"/>
        <v>#REF!</v>
      </c>
      <c r="P1334" s="25" t="e">
        <f ca="1"/>
        <v>#REF!</v>
      </c>
      <c r="Q1334" s="25" t="e">
        <f ca="1"/>
        <v>#REF!</v>
      </c>
      <c r="R1334" s="25" t="e">
        <f ca="1"/>
        <v>#REF!</v>
      </c>
      <c r="S1334" s="25" t="e">
        <f ca="1"/>
        <v>#REF!</v>
      </c>
      <c r="T1334" s="25" t="e">
        <f ca="1"/>
        <v>#REF!</v>
      </c>
      <c r="U1334" s="25" t="e">
        <f ca="1"/>
        <v>#REF!</v>
      </c>
      <c r="V1334" s="25" t="e">
        <f ca="1"/>
        <v>#REF!</v>
      </c>
      <c r="W1334" s="33" t="e">
        <f ca="1"/>
        <v>#REF!</v>
      </c>
      <c r="X1334" s="33" t="e">
        <f ca="1"/>
        <v>#REF!</v>
      </c>
      <c r="Y1334" s="33" t="e">
        <f ca="1"/>
        <v>#REF!</v>
      </c>
      <c r="Z1334" s="33" t="e">
        <f ca="1"/>
        <v>#REF!</v>
      </c>
      <c r="AA1334" s="33" t="e">
        <f ca="1"/>
        <v>#REF!</v>
      </c>
    </row>
    <row r="1335" spans="1:27" s="70" customFormat="1" ht="11.25" x14ac:dyDescent="0.2">
      <c r="A1335" s="24">
        <v>1329</v>
      </c>
      <c r="B1335" s="27"/>
      <c r="C1335" s="28"/>
      <c r="D1335" s="71"/>
      <c r="E1335" s="28"/>
      <c r="F1335" s="28"/>
      <c r="G1335" s="27"/>
      <c r="H1335" s="28" t="e">
        <f ca="1"/>
        <v>#REF!</v>
      </c>
      <c r="I1335" s="27" t="e">
        <f ca="1"/>
        <v>#REF!</v>
      </c>
      <c r="J1335" s="28" t="e">
        <f ca="1"/>
        <v>#REF!</v>
      </c>
      <c r="K1335" s="27" t="e">
        <f ca="1"/>
        <v>#REF!</v>
      </c>
      <c r="L1335" s="25" t="e">
        <f ca="1"/>
        <v>#REF!</v>
      </c>
      <c r="M1335" s="25" t="e">
        <f ca="1"/>
        <v>#REF!</v>
      </c>
      <c r="N1335" s="25" t="e">
        <f ca="1"/>
        <v>#REF!</v>
      </c>
      <c r="O1335" s="25" t="e">
        <f ca="1"/>
        <v>#REF!</v>
      </c>
      <c r="P1335" s="25" t="e">
        <f ca="1"/>
        <v>#REF!</v>
      </c>
      <c r="Q1335" s="25" t="e">
        <f ca="1"/>
        <v>#REF!</v>
      </c>
      <c r="R1335" s="25" t="e">
        <f ca="1"/>
        <v>#REF!</v>
      </c>
      <c r="S1335" s="25" t="e">
        <f ca="1"/>
        <v>#REF!</v>
      </c>
      <c r="T1335" s="25" t="e">
        <f ca="1"/>
        <v>#REF!</v>
      </c>
      <c r="U1335" s="25" t="e">
        <f ca="1"/>
        <v>#REF!</v>
      </c>
      <c r="V1335" s="25" t="e">
        <f ca="1"/>
        <v>#REF!</v>
      </c>
      <c r="W1335" s="33" t="e">
        <f ca="1"/>
        <v>#REF!</v>
      </c>
      <c r="X1335" s="33" t="e">
        <f ca="1"/>
        <v>#REF!</v>
      </c>
      <c r="Y1335" s="33" t="e">
        <f ca="1"/>
        <v>#REF!</v>
      </c>
      <c r="Z1335" s="33" t="e">
        <f ca="1"/>
        <v>#REF!</v>
      </c>
      <c r="AA1335" s="33" t="e">
        <f ca="1"/>
        <v>#REF!</v>
      </c>
    </row>
    <row r="1336" spans="1:27" s="70" customFormat="1" ht="11.25" x14ac:dyDescent="0.2">
      <c r="A1336" s="24">
        <v>1330</v>
      </c>
      <c r="B1336" s="27"/>
      <c r="C1336" s="28"/>
      <c r="D1336" s="71"/>
      <c r="E1336" s="28"/>
      <c r="F1336" s="28"/>
      <c r="G1336" s="27"/>
      <c r="H1336" s="28" t="e">
        <f ca="1"/>
        <v>#REF!</v>
      </c>
      <c r="I1336" s="27" t="e">
        <f ca="1"/>
        <v>#REF!</v>
      </c>
      <c r="J1336" s="28" t="e">
        <f ca="1"/>
        <v>#REF!</v>
      </c>
      <c r="K1336" s="27" t="e">
        <f ca="1"/>
        <v>#REF!</v>
      </c>
      <c r="L1336" s="25" t="e">
        <f ca="1"/>
        <v>#REF!</v>
      </c>
      <c r="M1336" s="25" t="e">
        <f ca="1"/>
        <v>#REF!</v>
      </c>
      <c r="N1336" s="25" t="e">
        <f ca="1"/>
        <v>#REF!</v>
      </c>
      <c r="O1336" s="25" t="e">
        <f ca="1"/>
        <v>#REF!</v>
      </c>
      <c r="P1336" s="25" t="e">
        <f ca="1"/>
        <v>#REF!</v>
      </c>
      <c r="Q1336" s="25" t="e">
        <f ca="1"/>
        <v>#REF!</v>
      </c>
      <c r="R1336" s="25" t="e">
        <f ca="1"/>
        <v>#REF!</v>
      </c>
      <c r="S1336" s="25" t="e">
        <f ca="1"/>
        <v>#REF!</v>
      </c>
      <c r="T1336" s="25" t="e">
        <f ca="1"/>
        <v>#REF!</v>
      </c>
      <c r="U1336" s="25" t="e">
        <f ca="1"/>
        <v>#REF!</v>
      </c>
      <c r="V1336" s="25" t="e">
        <f ca="1"/>
        <v>#REF!</v>
      </c>
      <c r="W1336" s="33" t="e">
        <f ca="1"/>
        <v>#REF!</v>
      </c>
      <c r="X1336" s="33" t="e">
        <f ca="1"/>
        <v>#REF!</v>
      </c>
      <c r="Y1336" s="33" t="e">
        <f ca="1"/>
        <v>#REF!</v>
      </c>
      <c r="Z1336" s="33" t="e">
        <f ca="1"/>
        <v>#REF!</v>
      </c>
      <c r="AA1336" s="33" t="e">
        <f ca="1"/>
        <v>#REF!</v>
      </c>
    </row>
    <row r="1337" spans="1:27" s="70" customFormat="1" ht="11.25" x14ac:dyDescent="0.2">
      <c r="A1337" s="24">
        <v>1331</v>
      </c>
      <c r="B1337" s="27"/>
      <c r="C1337" s="28"/>
      <c r="D1337" s="71"/>
      <c r="E1337" s="28"/>
      <c r="F1337" s="28"/>
      <c r="G1337" s="27"/>
      <c r="H1337" s="28" t="e">
        <f ca="1"/>
        <v>#REF!</v>
      </c>
      <c r="I1337" s="27" t="e">
        <f ca="1"/>
        <v>#REF!</v>
      </c>
      <c r="J1337" s="28" t="e">
        <f ca="1"/>
        <v>#REF!</v>
      </c>
      <c r="K1337" s="27" t="e">
        <f ca="1"/>
        <v>#REF!</v>
      </c>
      <c r="L1337" s="25" t="e">
        <f ca="1"/>
        <v>#REF!</v>
      </c>
      <c r="M1337" s="25" t="e">
        <f ca="1"/>
        <v>#REF!</v>
      </c>
      <c r="N1337" s="25" t="e">
        <f ca="1"/>
        <v>#REF!</v>
      </c>
      <c r="O1337" s="25" t="e">
        <f ca="1"/>
        <v>#REF!</v>
      </c>
      <c r="P1337" s="25" t="e">
        <f ca="1"/>
        <v>#REF!</v>
      </c>
      <c r="Q1337" s="25" t="e">
        <f ca="1"/>
        <v>#REF!</v>
      </c>
      <c r="R1337" s="25" t="e">
        <f ca="1"/>
        <v>#REF!</v>
      </c>
      <c r="S1337" s="25" t="e">
        <f ca="1"/>
        <v>#REF!</v>
      </c>
      <c r="T1337" s="25" t="e">
        <f ca="1"/>
        <v>#REF!</v>
      </c>
      <c r="U1337" s="25" t="e">
        <f ca="1"/>
        <v>#REF!</v>
      </c>
      <c r="V1337" s="25" t="e">
        <f ca="1"/>
        <v>#REF!</v>
      </c>
      <c r="W1337" s="33" t="e">
        <f ca="1"/>
        <v>#REF!</v>
      </c>
      <c r="X1337" s="33" t="e">
        <f ca="1"/>
        <v>#REF!</v>
      </c>
      <c r="Y1337" s="33" t="e">
        <f ca="1"/>
        <v>#REF!</v>
      </c>
      <c r="Z1337" s="33" t="e">
        <f ca="1"/>
        <v>#REF!</v>
      </c>
      <c r="AA1337" s="33" t="e">
        <f ca="1"/>
        <v>#REF!</v>
      </c>
    </row>
    <row r="1338" spans="1:27" s="70" customFormat="1" ht="11.25" x14ac:dyDescent="0.2">
      <c r="A1338" s="24">
        <v>1332</v>
      </c>
      <c r="B1338" s="27"/>
      <c r="C1338" s="28"/>
      <c r="D1338" s="71"/>
      <c r="E1338" s="28"/>
      <c r="F1338" s="28"/>
      <c r="G1338" s="27"/>
      <c r="H1338" s="28" t="e">
        <f ca="1"/>
        <v>#REF!</v>
      </c>
      <c r="I1338" s="27" t="e">
        <f ca="1"/>
        <v>#REF!</v>
      </c>
      <c r="J1338" s="28" t="e">
        <f ca="1"/>
        <v>#REF!</v>
      </c>
      <c r="K1338" s="27" t="e">
        <f ca="1"/>
        <v>#REF!</v>
      </c>
      <c r="L1338" s="25" t="e">
        <f ca="1"/>
        <v>#REF!</v>
      </c>
      <c r="M1338" s="25" t="e">
        <f ca="1"/>
        <v>#REF!</v>
      </c>
      <c r="N1338" s="25" t="e">
        <f ca="1"/>
        <v>#REF!</v>
      </c>
      <c r="O1338" s="25" t="e">
        <f ca="1"/>
        <v>#REF!</v>
      </c>
      <c r="P1338" s="25" t="e">
        <f ca="1"/>
        <v>#REF!</v>
      </c>
      <c r="Q1338" s="25" t="e">
        <f ca="1"/>
        <v>#REF!</v>
      </c>
      <c r="R1338" s="25" t="e">
        <f ca="1"/>
        <v>#REF!</v>
      </c>
      <c r="S1338" s="25" t="e">
        <f ca="1"/>
        <v>#REF!</v>
      </c>
      <c r="T1338" s="25" t="e">
        <f ca="1"/>
        <v>#REF!</v>
      </c>
      <c r="U1338" s="25" t="e">
        <f ca="1"/>
        <v>#REF!</v>
      </c>
      <c r="V1338" s="25" t="e">
        <f ca="1"/>
        <v>#REF!</v>
      </c>
      <c r="W1338" s="33" t="e">
        <f ca="1"/>
        <v>#REF!</v>
      </c>
      <c r="X1338" s="33" t="e">
        <f ca="1"/>
        <v>#REF!</v>
      </c>
      <c r="Y1338" s="33" t="e">
        <f ca="1"/>
        <v>#REF!</v>
      </c>
      <c r="Z1338" s="33" t="e">
        <f ca="1"/>
        <v>#REF!</v>
      </c>
      <c r="AA1338" s="33" t="e">
        <f ca="1"/>
        <v>#REF!</v>
      </c>
    </row>
    <row r="1339" spans="1:27" s="70" customFormat="1" ht="11.25" x14ac:dyDescent="0.2">
      <c r="A1339" s="24">
        <v>1333</v>
      </c>
      <c r="B1339" s="27"/>
      <c r="C1339" s="28"/>
      <c r="D1339" s="71"/>
      <c r="E1339" s="28"/>
      <c r="F1339" s="28"/>
      <c r="G1339" s="27"/>
      <c r="H1339" s="28" t="e">
        <f ca="1"/>
        <v>#REF!</v>
      </c>
      <c r="I1339" s="27" t="e">
        <f ca="1"/>
        <v>#REF!</v>
      </c>
      <c r="J1339" s="28" t="e">
        <f ca="1"/>
        <v>#REF!</v>
      </c>
      <c r="K1339" s="27" t="e">
        <f ca="1"/>
        <v>#REF!</v>
      </c>
      <c r="L1339" s="25" t="e">
        <f ca="1"/>
        <v>#REF!</v>
      </c>
      <c r="M1339" s="25" t="e">
        <f ca="1"/>
        <v>#REF!</v>
      </c>
      <c r="N1339" s="25" t="e">
        <f ca="1"/>
        <v>#REF!</v>
      </c>
      <c r="O1339" s="25" t="e">
        <f ca="1"/>
        <v>#REF!</v>
      </c>
      <c r="P1339" s="25" t="e">
        <f ca="1"/>
        <v>#REF!</v>
      </c>
      <c r="Q1339" s="25" t="e">
        <f ca="1"/>
        <v>#REF!</v>
      </c>
      <c r="R1339" s="25" t="e">
        <f ca="1"/>
        <v>#REF!</v>
      </c>
      <c r="S1339" s="25" t="e">
        <f ca="1"/>
        <v>#REF!</v>
      </c>
      <c r="T1339" s="25" t="e">
        <f ca="1"/>
        <v>#REF!</v>
      </c>
      <c r="U1339" s="25" t="e">
        <f ca="1"/>
        <v>#REF!</v>
      </c>
      <c r="V1339" s="25" t="e">
        <f ca="1"/>
        <v>#REF!</v>
      </c>
      <c r="W1339" s="33" t="e">
        <f ca="1"/>
        <v>#REF!</v>
      </c>
      <c r="X1339" s="33" t="e">
        <f ca="1"/>
        <v>#REF!</v>
      </c>
      <c r="Y1339" s="33" t="e">
        <f ca="1"/>
        <v>#REF!</v>
      </c>
      <c r="Z1339" s="33" t="e">
        <f ca="1"/>
        <v>#REF!</v>
      </c>
      <c r="AA1339" s="33" t="e">
        <f ca="1"/>
        <v>#REF!</v>
      </c>
    </row>
    <row r="1340" spans="1:27" s="70" customFormat="1" ht="11.25" x14ac:dyDescent="0.2">
      <c r="A1340" s="24">
        <v>1334</v>
      </c>
      <c r="B1340" s="27"/>
      <c r="C1340" s="28"/>
      <c r="D1340" s="71"/>
      <c r="E1340" s="28"/>
      <c r="F1340" s="28"/>
      <c r="G1340" s="27"/>
      <c r="H1340" s="28" t="e">
        <f ca="1"/>
        <v>#REF!</v>
      </c>
      <c r="I1340" s="27" t="e">
        <f ca="1"/>
        <v>#REF!</v>
      </c>
      <c r="J1340" s="28" t="e">
        <f ca="1"/>
        <v>#REF!</v>
      </c>
      <c r="K1340" s="27" t="e">
        <f ca="1"/>
        <v>#REF!</v>
      </c>
      <c r="L1340" s="25" t="e">
        <f ca="1"/>
        <v>#REF!</v>
      </c>
      <c r="M1340" s="25" t="e">
        <f ca="1"/>
        <v>#REF!</v>
      </c>
      <c r="N1340" s="25" t="e">
        <f ca="1"/>
        <v>#REF!</v>
      </c>
      <c r="O1340" s="25" t="e">
        <f ca="1"/>
        <v>#REF!</v>
      </c>
      <c r="P1340" s="25" t="e">
        <f ca="1"/>
        <v>#REF!</v>
      </c>
      <c r="Q1340" s="25" t="e">
        <f ca="1"/>
        <v>#REF!</v>
      </c>
      <c r="R1340" s="25" t="e">
        <f ca="1"/>
        <v>#REF!</v>
      </c>
      <c r="S1340" s="25" t="e">
        <f ca="1"/>
        <v>#REF!</v>
      </c>
      <c r="T1340" s="25" t="e">
        <f ca="1"/>
        <v>#REF!</v>
      </c>
      <c r="U1340" s="25" t="e">
        <f ca="1"/>
        <v>#REF!</v>
      </c>
      <c r="V1340" s="25" t="e">
        <f ca="1"/>
        <v>#REF!</v>
      </c>
      <c r="W1340" s="33" t="e">
        <f ca="1"/>
        <v>#REF!</v>
      </c>
      <c r="X1340" s="33" t="e">
        <f ca="1"/>
        <v>#REF!</v>
      </c>
      <c r="Y1340" s="33" t="e">
        <f ca="1"/>
        <v>#REF!</v>
      </c>
      <c r="Z1340" s="33" t="e">
        <f ca="1"/>
        <v>#REF!</v>
      </c>
      <c r="AA1340" s="33" t="e">
        <f ca="1"/>
        <v>#REF!</v>
      </c>
    </row>
    <row r="1341" spans="1:27" s="70" customFormat="1" ht="11.25" x14ac:dyDescent="0.2">
      <c r="A1341" s="24">
        <v>1335</v>
      </c>
      <c r="B1341" s="27"/>
      <c r="C1341" s="28"/>
      <c r="D1341" s="71"/>
      <c r="E1341" s="28"/>
      <c r="F1341" s="28"/>
      <c r="G1341" s="27"/>
      <c r="H1341" s="28" t="e">
        <f ca="1"/>
        <v>#REF!</v>
      </c>
      <c r="I1341" s="27" t="e">
        <f ca="1"/>
        <v>#REF!</v>
      </c>
      <c r="J1341" s="28" t="e">
        <f ca="1"/>
        <v>#REF!</v>
      </c>
      <c r="K1341" s="27" t="e">
        <f ca="1"/>
        <v>#REF!</v>
      </c>
      <c r="L1341" s="25" t="e">
        <f ca="1"/>
        <v>#REF!</v>
      </c>
      <c r="M1341" s="25" t="e">
        <f ca="1"/>
        <v>#REF!</v>
      </c>
      <c r="N1341" s="25" t="e">
        <f ca="1"/>
        <v>#REF!</v>
      </c>
      <c r="O1341" s="25" t="e">
        <f ca="1"/>
        <v>#REF!</v>
      </c>
      <c r="P1341" s="25" t="e">
        <f ca="1"/>
        <v>#REF!</v>
      </c>
      <c r="Q1341" s="25" t="e">
        <f ca="1"/>
        <v>#REF!</v>
      </c>
      <c r="R1341" s="25" t="e">
        <f ca="1"/>
        <v>#REF!</v>
      </c>
      <c r="S1341" s="25" t="e">
        <f ca="1"/>
        <v>#REF!</v>
      </c>
      <c r="T1341" s="25" t="e">
        <f ca="1"/>
        <v>#REF!</v>
      </c>
      <c r="U1341" s="25" t="e">
        <f ca="1"/>
        <v>#REF!</v>
      </c>
      <c r="V1341" s="25" t="e">
        <f ca="1"/>
        <v>#REF!</v>
      </c>
      <c r="W1341" s="33" t="e">
        <f ca="1"/>
        <v>#REF!</v>
      </c>
      <c r="X1341" s="33" t="e">
        <f ca="1"/>
        <v>#REF!</v>
      </c>
      <c r="Y1341" s="33" t="e">
        <f ca="1"/>
        <v>#REF!</v>
      </c>
      <c r="Z1341" s="33" t="e">
        <f ca="1"/>
        <v>#REF!</v>
      </c>
      <c r="AA1341" s="33" t="e">
        <f ca="1"/>
        <v>#REF!</v>
      </c>
    </row>
    <row r="1342" spans="1:27" s="70" customFormat="1" ht="11.25" x14ac:dyDescent="0.2">
      <c r="A1342" s="24">
        <v>1336</v>
      </c>
      <c r="B1342" s="27"/>
      <c r="C1342" s="28"/>
      <c r="D1342" s="71"/>
      <c r="E1342" s="28"/>
      <c r="F1342" s="28"/>
      <c r="G1342" s="27"/>
      <c r="H1342" s="28" t="e">
        <f ca="1"/>
        <v>#REF!</v>
      </c>
      <c r="I1342" s="27" t="e">
        <f ca="1"/>
        <v>#REF!</v>
      </c>
      <c r="J1342" s="28" t="e">
        <f ca="1"/>
        <v>#REF!</v>
      </c>
      <c r="K1342" s="27" t="e">
        <f ca="1"/>
        <v>#REF!</v>
      </c>
      <c r="L1342" s="25" t="e">
        <f ca="1"/>
        <v>#REF!</v>
      </c>
      <c r="M1342" s="25" t="e">
        <f ca="1"/>
        <v>#REF!</v>
      </c>
      <c r="N1342" s="25" t="e">
        <f ca="1"/>
        <v>#REF!</v>
      </c>
      <c r="O1342" s="25" t="e">
        <f ca="1"/>
        <v>#REF!</v>
      </c>
      <c r="P1342" s="25" t="e">
        <f ca="1"/>
        <v>#REF!</v>
      </c>
      <c r="Q1342" s="25" t="e">
        <f ca="1"/>
        <v>#REF!</v>
      </c>
      <c r="R1342" s="25" t="e">
        <f ca="1"/>
        <v>#REF!</v>
      </c>
      <c r="S1342" s="25" t="e">
        <f ca="1"/>
        <v>#REF!</v>
      </c>
      <c r="T1342" s="25" t="e">
        <f ca="1"/>
        <v>#REF!</v>
      </c>
      <c r="U1342" s="25" t="e">
        <f ca="1"/>
        <v>#REF!</v>
      </c>
      <c r="V1342" s="25" t="e">
        <f ca="1"/>
        <v>#REF!</v>
      </c>
      <c r="W1342" s="33" t="e">
        <f ca="1"/>
        <v>#REF!</v>
      </c>
      <c r="X1342" s="33" t="e">
        <f ca="1"/>
        <v>#REF!</v>
      </c>
      <c r="Y1342" s="33" t="e">
        <f ca="1"/>
        <v>#REF!</v>
      </c>
      <c r="Z1342" s="33" t="e">
        <f ca="1"/>
        <v>#REF!</v>
      </c>
      <c r="AA1342" s="33" t="e">
        <f ca="1"/>
        <v>#REF!</v>
      </c>
    </row>
    <row r="1343" spans="1:27" s="70" customFormat="1" ht="11.25" x14ac:dyDescent="0.2">
      <c r="A1343" s="24">
        <v>1337</v>
      </c>
      <c r="B1343" s="27"/>
      <c r="C1343" s="28"/>
      <c r="D1343" s="71"/>
      <c r="E1343" s="28"/>
      <c r="F1343" s="28"/>
      <c r="G1343" s="27"/>
      <c r="H1343" s="28" t="e">
        <f ca="1"/>
        <v>#REF!</v>
      </c>
      <c r="I1343" s="27" t="e">
        <f ca="1"/>
        <v>#REF!</v>
      </c>
      <c r="J1343" s="28" t="e">
        <f ca="1"/>
        <v>#REF!</v>
      </c>
      <c r="K1343" s="27" t="e">
        <f ca="1"/>
        <v>#REF!</v>
      </c>
      <c r="L1343" s="25" t="e">
        <f ca="1"/>
        <v>#REF!</v>
      </c>
      <c r="M1343" s="25" t="e">
        <f ca="1"/>
        <v>#REF!</v>
      </c>
      <c r="N1343" s="25" t="e">
        <f ca="1"/>
        <v>#REF!</v>
      </c>
      <c r="O1343" s="25" t="e">
        <f ca="1"/>
        <v>#REF!</v>
      </c>
      <c r="P1343" s="25" t="e">
        <f ca="1"/>
        <v>#REF!</v>
      </c>
      <c r="Q1343" s="25" t="e">
        <f ca="1"/>
        <v>#REF!</v>
      </c>
      <c r="R1343" s="25" t="e">
        <f ca="1"/>
        <v>#REF!</v>
      </c>
      <c r="S1343" s="25" t="e">
        <f ca="1"/>
        <v>#REF!</v>
      </c>
      <c r="T1343" s="25" t="e">
        <f ca="1"/>
        <v>#REF!</v>
      </c>
      <c r="U1343" s="25" t="e">
        <f ca="1"/>
        <v>#REF!</v>
      </c>
      <c r="V1343" s="25" t="e">
        <f ca="1"/>
        <v>#REF!</v>
      </c>
      <c r="W1343" s="33" t="e">
        <f ca="1"/>
        <v>#REF!</v>
      </c>
      <c r="X1343" s="33" t="e">
        <f ca="1"/>
        <v>#REF!</v>
      </c>
      <c r="Y1343" s="33" t="e">
        <f ca="1"/>
        <v>#REF!</v>
      </c>
      <c r="Z1343" s="33" t="e">
        <f ca="1"/>
        <v>#REF!</v>
      </c>
      <c r="AA1343" s="33" t="e">
        <f ca="1"/>
        <v>#REF!</v>
      </c>
    </row>
    <row r="1344" spans="1:27" s="70" customFormat="1" ht="11.25" x14ac:dyDescent="0.2">
      <c r="A1344" s="24">
        <v>1338</v>
      </c>
      <c r="B1344" s="27"/>
      <c r="C1344" s="28"/>
      <c r="D1344" s="71"/>
      <c r="E1344" s="28"/>
      <c r="F1344" s="28"/>
      <c r="G1344" s="27"/>
      <c r="H1344" s="28" t="e">
        <f ca="1"/>
        <v>#REF!</v>
      </c>
      <c r="I1344" s="27" t="e">
        <f ca="1"/>
        <v>#REF!</v>
      </c>
      <c r="J1344" s="28" t="e">
        <f ca="1"/>
        <v>#REF!</v>
      </c>
      <c r="K1344" s="27" t="e">
        <f ca="1"/>
        <v>#REF!</v>
      </c>
      <c r="L1344" s="25" t="e">
        <f ca="1"/>
        <v>#REF!</v>
      </c>
      <c r="M1344" s="25" t="e">
        <f ca="1"/>
        <v>#REF!</v>
      </c>
      <c r="N1344" s="25" t="e">
        <f ca="1"/>
        <v>#REF!</v>
      </c>
      <c r="O1344" s="25" t="e">
        <f ca="1"/>
        <v>#REF!</v>
      </c>
      <c r="P1344" s="25" t="e">
        <f ca="1"/>
        <v>#REF!</v>
      </c>
      <c r="Q1344" s="25" t="e">
        <f ca="1"/>
        <v>#REF!</v>
      </c>
      <c r="R1344" s="25" t="e">
        <f ca="1"/>
        <v>#REF!</v>
      </c>
      <c r="S1344" s="25" t="e">
        <f ca="1"/>
        <v>#REF!</v>
      </c>
      <c r="T1344" s="25" t="e">
        <f ca="1"/>
        <v>#REF!</v>
      </c>
      <c r="U1344" s="25" t="e">
        <f ca="1"/>
        <v>#REF!</v>
      </c>
      <c r="V1344" s="25" t="e">
        <f ca="1"/>
        <v>#REF!</v>
      </c>
      <c r="W1344" s="33" t="e">
        <f ca="1"/>
        <v>#REF!</v>
      </c>
      <c r="X1344" s="33" t="e">
        <f ca="1"/>
        <v>#REF!</v>
      </c>
      <c r="Y1344" s="33" t="e">
        <f ca="1"/>
        <v>#REF!</v>
      </c>
      <c r="Z1344" s="33" t="e">
        <f ca="1"/>
        <v>#REF!</v>
      </c>
      <c r="AA1344" s="33" t="e">
        <f ca="1"/>
        <v>#REF!</v>
      </c>
    </row>
    <row r="1345" spans="1:27" s="70" customFormat="1" ht="11.25" x14ac:dyDescent="0.2">
      <c r="A1345" s="24">
        <v>1339</v>
      </c>
      <c r="B1345" s="27"/>
      <c r="C1345" s="28"/>
      <c r="D1345" s="71"/>
      <c r="E1345" s="28"/>
      <c r="F1345" s="28"/>
      <c r="G1345" s="27"/>
      <c r="H1345" s="28" t="e">
        <f ca="1"/>
        <v>#REF!</v>
      </c>
      <c r="I1345" s="27" t="e">
        <f ca="1"/>
        <v>#REF!</v>
      </c>
      <c r="J1345" s="28" t="e">
        <f ca="1"/>
        <v>#REF!</v>
      </c>
      <c r="K1345" s="27" t="e">
        <f ca="1"/>
        <v>#REF!</v>
      </c>
      <c r="L1345" s="25" t="e">
        <f ca="1"/>
        <v>#REF!</v>
      </c>
      <c r="M1345" s="25" t="e">
        <f ca="1"/>
        <v>#REF!</v>
      </c>
      <c r="N1345" s="25" t="e">
        <f ca="1"/>
        <v>#REF!</v>
      </c>
      <c r="O1345" s="25" t="e">
        <f ca="1"/>
        <v>#REF!</v>
      </c>
      <c r="P1345" s="25" t="e">
        <f ca="1"/>
        <v>#REF!</v>
      </c>
      <c r="Q1345" s="25" t="e">
        <f ca="1"/>
        <v>#REF!</v>
      </c>
      <c r="R1345" s="25" t="e">
        <f ca="1"/>
        <v>#REF!</v>
      </c>
      <c r="S1345" s="25" t="e">
        <f ca="1"/>
        <v>#REF!</v>
      </c>
      <c r="T1345" s="25" t="e">
        <f ca="1"/>
        <v>#REF!</v>
      </c>
      <c r="U1345" s="25" t="e">
        <f ca="1"/>
        <v>#REF!</v>
      </c>
      <c r="V1345" s="25" t="e">
        <f ca="1"/>
        <v>#REF!</v>
      </c>
      <c r="W1345" s="33" t="e">
        <f ca="1"/>
        <v>#REF!</v>
      </c>
      <c r="X1345" s="33" t="e">
        <f ca="1"/>
        <v>#REF!</v>
      </c>
      <c r="Y1345" s="33" t="e">
        <f ca="1"/>
        <v>#REF!</v>
      </c>
      <c r="Z1345" s="33" t="e">
        <f ca="1"/>
        <v>#REF!</v>
      </c>
      <c r="AA1345" s="33" t="e">
        <f ca="1"/>
        <v>#REF!</v>
      </c>
    </row>
    <row r="1346" spans="1:27" s="70" customFormat="1" ht="11.25" x14ac:dyDescent="0.2">
      <c r="A1346" s="24">
        <v>1340</v>
      </c>
      <c r="B1346" s="27"/>
      <c r="C1346" s="28"/>
      <c r="D1346" s="71"/>
      <c r="E1346" s="28"/>
      <c r="F1346" s="28"/>
      <c r="G1346" s="27"/>
      <c r="H1346" s="28" t="e">
        <f ca="1"/>
        <v>#REF!</v>
      </c>
      <c r="I1346" s="27" t="e">
        <f ca="1"/>
        <v>#REF!</v>
      </c>
      <c r="J1346" s="28" t="e">
        <f ca="1"/>
        <v>#REF!</v>
      </c>
      <c r="K1346" s="27" t="e">
        <f ca="1"/>
        <v>#REF!</v>
      </c>
      <c r="L1346" s="25" t="e">
        <f ca="1"/>
        <v>#REF!</v>
      </c>
      <c r="M1346" s="25" t="e">
        <f ca="1"/>
        <v>#REF!</v>
      </c>
      <c r="N1346" s="25" t="e">
        <f ca="1"/>
        <v>#REF!</v>
      </c>
      <c r="O1346" s="25" t="e">
        <f ca="1"/>
        <v>#REF!</v>
      </c>
      <c r="P1346" s="25" t="e">
        <f ca="1"/>
        <v>#REF!</v>
      </c>
      <c r="Q1346" s="25" t="e">
        <f ca="1"/>
        <v>#REF!</v>
      </c>
      <c r="R1346" s="25" t="e">
        <f ca="1"/>
        <v>#REF!</v>
      </c>
      <c r="S1346" s="25" t="e">
        <f ca="1"/>
        <v>#REF!</v>
      </c>
      <c r="T1346" s="25" t="e">
        <f ca="1"/>
        <v>#REF!</v>
      </c>
      <c r="U1346" s="25" t="e">
        <f ca="1"/>
        <v>#REF!</v>
      </c>
      <c r="V1346" s="25" t="e">
        <f ca="1"/>
        <v>#REF!</v>
      </c>
      <c r="W1346" s="33" t="e">
        <f ca="1"/>
        <v>#REF!</v>
      </c>
      <c r="X1346" s="33" t="e">
        <f ca="1"/>
        <v>#REF!</v>
      </c>
      <c r="Y1346" s="33" t="e">
        <f ca="1"/>
        <v>#REF!</v>
      </c>
      <c r="Z1346" s="33" t="e">
        <f ca="1"/>
        <v>#REF!</v>
      </c>
      <c r="AA1346" s="33" t="e">
        <f ca="1"/>
        <v>#REF!</v>
      </c>
    </row>
    <row r="1347" spans="1:27" s="70" customFormat="1" ht="11.25" x14ac:dyDescent="0.2">
      <c r="A1347" s="24">
        <v>1341</v>
      </c>
      <c r="B1347" s="27"/>
      <c r="C1347" s="28"/>
      <c r="D1347" s="71"/>
      <c r="E1347" s="28"/>
      <c r="F1347" s="28"/>
      <c r="G1347" s="27"/>
      <c r="H1347" s="28" t="e">
        <f ca="1"/>
        <v>#REF!</v>
      </c>
      <c r="I1347" s="27" t="e">
        <f ca="1"/>
        <v>#REF!</v>
      </c>
      <c r="J1347" s="28" t="e">
        <f ca="1"/>
        <v>#REF!</v>
      </c>
      <c r="K1347" s="27" t="e">
        <f ca="1"/>
        <v>#REF!</v>
      </c>
      <c r="L1347" s="25" t="e">
        <f ca="1"/>
        <v>#REF!</v>
      </c>
      <c r="M1347" s="25" t="e">
        <f ca="1"/>
        <v>#REF!</v>
      </c>
      <c r="N1347" s="25" t="e">
        <f ca="1"/>
        <v>#REF!</v>
      </c>
      <c r="O1347" s="25" t="e">
        <f ca="1"/>
        <v>#REF!</v>
      </c>
      <c r="P1347" s="25" t="e">
        <f ca="1"/>
        <v>#REF!</v>
      </c>
      <c r="Q1347" s="25" t="e">
        <f ca="1"/>
        <v>#REF!</v>
      </c>
      <c r="R1347" s="25" t="e">
        <f ca="1"/>
        <v>#REF!</v>
      </c>
      <c r="S1347" s="25" t="e">
        <f ca="1"/>
        <v>#REF!</v>
      </c>
      <c r="T1347" s="25" t="e">
        <f ca="1"/>
        <v>#REF!</v>
      </c>
      <c r="U1347" s="25" t="e">
        <f ca="1"/>
        <v>#REF!</v>
      </c>
      <c r="V1347" s="25" t="e">
        <f ca="1"/>
        <v>#REF!</v>
      </c>
      <c r="W1347" s="33" t="e">
        <f ca="1"/>
        <v>#REF!</v>
      </c>
      <c r="X1347" s="33" t="e">
        <f ca="1"/>
        <v>#REF!</v>
      </c>
      <c r="Y1347" s="33" t="e">
        <f ca="1"/>
        <v>#REF!</v>
      </c>
      <c r="Z1347" s="33" t="e">
        <f ca="1"/>
        <v>#REF!</v>
      </c>
      <c r="AA1347" s="33" t="e">
        <f ca="1"/>
        <v>#REF!</v>
      </c>
    </row>
    <row r="1348" spans="1:27" s="70" customFormat="1" ht="11.25" x14ac:dyDescent="0.2">
      <c r="A1348" s="24">
        <v>1342</v>
      </c>
      <c r="B1348" s="27"/>
      <c r="C1348" s="28"/>
      <c r="D1348" s="71"/>
      <c r="E1348" s="28"/>
      <c r="F1348" s="28"/>
      <c r="G1348" s="27"/>
      <c r="H1348" s="28" t="e">
        <f ca="1"/>
        <v>#REF!</v>
      </c>
      <c r="I1348" s="27" t="e">
        <f ca="1"/>
        <v>#REF!</v>
      </c>
      <c r="J1348" s="28" t="e">
        <f ca="1"/>
        <v>#REF!</v>
      </c>
      <c r="K1348" s="27" t="e">
        <f ca="1"/>
        <v>#REF!</v>
      </c>
      <c r="L1348" s="25" t="e">
        <f ca="1"/>
        <v>#REF!</v>
      </c>
      <c r="M1348" s="25" t="e">
        <f ca="1"/>
        <v>#REF!</v>
      </c>
      <c r="N1348" s="25" t="e">
        <f ca="1"/>
        <v>#REF!</v>
      </c>
      <c r="O1348" s="25" t="e">
        <f ca="1"/>
        <v>#REF!</v>
      </c>
      <c r="P1348" s="25" t="e">
        <f ca="1"/>
        <v>#REF!</v>
      </c>
      <c r="Q1348" s="25" t="e">
        <f ca="1"/>
        <v>#REF!</v>
      </c>
      <c r="R1348" s="25" t="e">
        <f ca="1"/>
        <v>#REF!</v>
      </c>
      <c r="S1348" s="25" t="e">
        <f ca="1"/>
        <v>#REF!</v>
      </c>
      <c r="T1348" s="25" t="e">
        <f ca="1"/>
        <v>#REF!</v>
      </c>
      <c r="U1348" s="25" t="e">
        <f ca="1"/>
        <v>#REF!</v>
      </c>
      <c r="V1348" s="25" t="e">
        <f ca="1"/>
        <v>#REF!</v>
      </c>
      <c r="W1348" s="33" t="e">
        <f ca="1"/>
        <v>#REF!</v>
      </c>
      <c r="X1348" s="33" t="e">
        <f ca="1"/>
        <v>#REF!</v>
      </c>
      <c r="Y1348" s="33" t="e">
        <f ca="1"/>
        <v>#REF!</v>
      </c>
      <c r="Z1348" s="33" t="e">
        <f ca="1"/>
        <v>#REF!</v>
      </c>
      <c r="AA1348" s="33" t="e">
        <f ca="1"/>
        <v>#REF!</v>
      </c>
    </row>
    <row r="1349" spans="1:27" s="70" customFormat="1" ht="11.25" x14ac:dyDescent="0.2">
      <c r="A1349" s="24">
        <v>1343</v>
      </c>
      <c r="B1349" s="27"/>
      <c r="C1349" s="28"/>
      <c r="D1349" s="71"/>
      <c r="E1349" s="28"/>
      <c r="F1349" s="28"/>
      <c r="G1349" s="27"/>
      <c r="H1349" s="28" t="e">
        <f ca="1"/>
        <v>#REF!</v>
      </c>
      <c r="I1349" s="27" t="e">
        <f ca="1"/>
        <v>#REF!</v>
      </c>
      <c r="J1349" s="28" t="e">
        <f ca="1"/>
        <v>#REF!</v>
      </c>
      <c r="K1349" s="27" t="e">
        <f ca="1"/>
        <v>#REF!</v>
      </c>
      <c r="L1349" s="25" t="e">
        <f ca="1"/>
        <v>#REF!</v>
      </c>
      <c r="M1349" s="25" t="e">
        <f ca="1"/>
        <v>#REF!</v>
      </c>
      <c r="N1349" s="25" t="e">
        <f ca="1"/>
        <v>#REF!</v>
      </c>
      <c r="O1349" s="25" t="e">
        <f ca="1"/>
        <v>#REF!</v>
      </c>
      <c r="P1349" s="25" t="e">
        <f ca="1"/>
        <v>#REF!</v>
      </c>
      <c r="Q1349" s="25" t="e">
        <f ca="1"/>
        <v>#REF!</v>
      </c>
      <c r="R1349" s="25" t="e">
        <f ca="1"/>
        <v>#REF!</v>
      </c>
      <c r="S1349" s="25" t="e">
        <f ca="1"/>
        <v>#REF!</v>
      </c>
      <c r="T1349" s="25" t="e">
        <f ca="1"/>
        <v>#REF!</v>
      </c>
      <c r="U1349" s="25" t="e">
        <f ca="1"/>
        <v>#REF!</v>
      </c>
      <c r="V1349" s="25" t="e">
        <f ca="1"/>
        <v>#REF!</v>
      </c>
      <c r="W1349" s="33" t="e">
        <f ca="1"/>
        <v>#REF!</v>
      </c>
      <c r="X1349" s="33" t="e">
        <f ca="1"/>
        <v>#REF!</v>
      </c>
      <c r="Y1349" s="33" t="e">
        <f ca="1"/>
        <v>#REF!</v>
      </c>
      <c r="Z1349" s="33" t="e">
        <f ca="1"/>
        <v>#REF!</v>
      </c>
      <c r="AA1349" s="33" t="e">
        <f ca="1"/>
        <v>#REF!</v>
      </c>
    </row>
    <row r="1350" spans="1:27" s="70" customFormat="1" ht="11.25" x14ac:dyDescent="0.2">
      <c r="A1350" s="24">
        <v>1344</v>
      </c>
      <c r="B1350" s="27"/>
      <c r="C1350" s="28"/>
      <c r="D1350" s="71"/>
      <c r="E1350" s="28"/>
      <c r="F1350" s="28"/>
      <c r="G1350" s="27"/>
      <c r="H1350" s="28" t="e">
        <f ca="1"/>
        <v>#REF!</v>
      </c>
      <c r="I1350" s="27" t="e">
        <f ca="1"/>
        <v>#REF!</v>
      </c>
      <c r="J1350" s="28" t="e">
        <f ca="1"/>
        <v>#REF!</v>
      </c>
      <c r="K1350" s="27" t="e">
        <f ca="1"/>
        <v>#REF!</v>
      </c>
      <c r="L1350" s="25" t="e">
        <f ca="1"/>
        <v>#REF!</v>
      </c>
      <c r="M1350" s="25" t="e">
        <f ca="1"/>
        <v>#REF!</v>
      </c>
      <c r="N1350" s="25" t="e">
        <f ca="1"/>
        <v>#REF!</v>
      </c>
      <c r="O1350" s="25" t="e">
        <f ca="1"/>
        <v>#REF!</v>
      </c>
      <c r="P1350" s="25" t="e">
        <f ca="1"/>
        <v>#REF!</v>
      </c>
      <c r="Q1350" s="25" t="e">
        <f ca="1"/>
        <v>#REF!</v>
      </c>
      <c r="R1350" s="25" t="e">
        <f ca="1"/>
        <v>#REF!</v>
      </c>
      <c r="S1350" s="25" t="e">
        <f ca="1"/>
        <v>#REF!</v>
      </c>
      <c r="T1350" s="25" t="e">
        <f ca="1"/>
        <v>#REF!</v>
      </c>
      <c r="U1350" s="25" t="e">
        <f ca="1"/>
        <v>#REF!</v>
      </c>
      <c r="V1350" s="25" t="e">
        <f ca="1"/>
        <v>#REF!</v>
      </c>
      <c r="W1350" s="33" t="e">
        <f ca="1"/>
        <v>#REF!</v>
      </c>
      <c r="X1350" s="33" t="e">
        <f ca="1"/>
        <v>#REF!</v>
      </c>
      <c r="Y1350" s="33" t="e">
        <f ca="1"/>
        <v>#REF!</v>
      </c>
      <c r="Z1350" s="33" t="e">
        <f ca="1"/>
        <v>#REF!</v>
      </c>
      <c r="AA1350" s="33" t="e">
        <f ca="1"/>
        <v>#REF!</v>
      </c>
    </row>
    <row r="1351" spans="1:27" s="70" customFormat="1" ht="11.25" x14ac:dyDescent="0.2">
      <c r="A1351" s="24">
        <v>1345</v>
      </c>
      <c r="B1351" s="27"/>
      <c r="C1351" s="28"/>
      <c r="D1351" s="71"/>
      <c r="E1351" s="28"/>
      <c r="F1351" s="28"/>
      <c r="G1351" s="27"/>
      <c r="H1351" s="28" t="e">
        <f ca="1"/>
        <v>#REF!</v>
      </c>
      <c r="I1351" s="27" t="e">
        <f ca="1"/>
        <v>#REF!</v>
      </c>
      <c r="J1351" s="28" t="e">
        <f ca="1"/>
        <v>#REF!</v>
      </c>
      <c r="K1351" s="27" t="e">
        <f ca="1"/>
        <v>#REF!</v>
      </c>
      <c r="L1351" s="25" t="e">
        <f ca="1"/>
        <v>#REF!</v>
      </c>
      <c r="M1351" s="25" t="e">
        <f ca="1"/>
        <v>#REF!</v>
      </c>
      <c r="N1351" s="25" t="e">
        <f ca="1"/>
        <v>#REF!</v>
      </c>
      <c r="O1351" s="25" t="e">
        <f ca="1"/>
        <v>#REF!</v>
      </c>
      <c r="P1351" s="25" t="e">
        <f ca="1"/>
        <v>#REF!</v>
      </c>
      <c r="Q1351" s="25" t="e">
        <f ca="1"/>
        <v>#REF!</v>
      </c>
      <c r="R1351" s="25" t="e">
        <f ca="1"/>
        <v>#REF!</v>
      </c>
      <c r="S1351" s="25" t="e">
        <f ca="1"/>
        <v>#REF!</v>
      </c>
      <c r="T1351" s="25" t="e">
        <f ca="1"/>
        <v>#REF!</v>
      </c>
      <c r="U1351" s="25" t="e">
        <f ca="1"/>
        <v>#REF!</v>
      </c>
      <c r="V1351" s="25" t="e">
        <f ca="1"/>
        <v>#REF!</v>
      </c>
      <c r="W1351" s="33" t="e">
        <f ca="1"/>
        <v>#REF!</v>
      </c>
      <c r="X1351" s="33" t="e">
        <f ca="1"/>
        <v>#REF!</v>
      </c>
      <c r="Y1351" s="33" t="e">
        <f ca="1"/>
        <v>#REF!</v>
      </c>
      <c r="Z1351" s="33" t="e">
        <f ca="1"/>
        <v>#REF!</v>
      </c>
      <c r="AA1351" s="33" t="e">
        <f ca="1"/>
        <v>#REF!</v>
      </c>
    </row>
    <row r="1352" spans="1:27" s="70" customFormat="1" ht="11.25" x14ac:dyDescent="0.2">
      <c r="A1352" s="24">
        <v>1346</v>
      </c>
      <c r="B1352" s="27"/>
      <c r="C1352" s="28"/>
      <c r="D1352" s="71"/>
      <c r="E1352" s="28"/>
      <c r="F1352" s="28"/>
      <c r="G1352" s="27"/>
      <c r="H1352" s="28" t="e">
        <f ca="1"/>
        <v>#REF!</v>
      </c>
      <c r="I1352" s="27" t="e">
        <f ca="1"/>
        <v>#REF!</v>
      </c>
      <c r="J1352" s="28" t="e">
        <f ca="1"/>
        <v>#REF!</v>
      </c>
      <c r="K1352" s="27" t="e">
        <f ca="1"/>
        <v>#REF!</v>
      </c>
      <c r="L1352" s="25" t="e">
        <f ca="1"/>
        <v>#REF!</v>
      </c>
      <c r="M1352" s="25" t="e">
        <f ca="1"/>
        <v>#REF!</v>
      </c>
      <c r="N1352" s="25" t="e">
        <f ca="1"/>
        <v>#REF!</v>
      </c>
      <c r="O1352" s="25" t="e">
        <f ca="1"/>
        <v>#REF!</v>
      </c>
      <c r="P1352" s="25" t="e">
        <f ca="1"/>
        <v>#REF!</v>
      </c>
      <c r="Q1352" s="25" t="e">
        <f ca="1"/>
        <v>#REF!</v>
      </c>
      <c r="R1352" s="25" t="e">
        <f ca="1"/>
        <v>#REF!</v>
      </c>
      <c r="S1352" s="25" t="e">
        <f ca="1"/>
        <v>#REF!</v>
      </c>
      <c r="T1352" s="25" t="e">
        <f ca="1"/>
        <v>#REF!</v>
      </c>
      <c r="U1352" s="25" t="e">
        <f ca="1"/>
        <v>#REF!</v>
      </c>
      <c r="V1352" s="25" t="e">
        <f ca="1"/>
        <v>#REF!</v>
      </c>
      <c r="W1352" s="33" t="e">
        <f ca="1"/>
        <v>#REF!</v>
      </c>
      <c r="X1352" s="33" t="e">
        <f ca="1"/>
        <v>#REF!</v>
      </c>
      <c r="Y1352" s="33" t="e">
        <f ca="1"/>
        <v>#REF!</v>
      </c>
      <c r="Z1352" s="33" t="e">
        <f ca="1"/>
        <v>#REF!</v>
      </c>
      <c r="AA1352" s="33" t="e">
        <f ca="1"/>
        <v>#REF!</v>
      </c>
    </row>
    <row r="1353" spans="1:27" s="70" customFormat="1" ht="11.25" x14ac:dyDescent="0.2">
      <c r="A1353" s="24">
        <v>1347</v>
      </c>
      <c r="B1353" s="27"/>
      <c r="C1353" s="28"/>
      <c r="D1353" s="71"/>
      <c r="E1353" s="28"/>
      <c r="F1353" s="28"/>
      <c r="G1353" s="27"/>
      <c r="H1353" s="28" t="e">
        <f ca="1"/>
        <v>#REF!</v>
      </c>
      <c r="I1353" s="27" t="e">
        <f ca="1"/>
        <v>#REF!</v>
      </c>
      <c r="J1353" s="28" t="e">
        <f ca="1"/>
        <v>#REF!</v>
      </c>
      <c r="K1353" s="27" t="e">
        <f ca="1"/>
        <v>#REF!</v>
      </c>
      <c r="L1353" s="25" t="e">
        <f ca="1"/>
        <v>#REF!</v>
      </c>
      <c r="M1353" s="25" t="e">
        <f ca="1"/>
        <v>#REF!</v>
      </c>
      <c r="N1353" s="25" t="e">
        <f ca="1"/>
        <v>#REF!</v>
      </c>
      <c r="O1353" s="25" t="e">
        <f ca="1"/>
        <v>#REF!</v>
      </c>
      <c r="P1353" s="25" t="e">
        <f ca="1"/>
        <v>#REF!</v>
      </c>
      <c r="Q1353" s="25" t="e">
        <f ca="1"/>
        <v>#REF!</v>
      </c>
      <c r="R1353" s="25" t="e">
        <f ca="1"/>
        <v>#REF!</v>
      </c>
      <c r="S1353" s="25" t="e">
        <f ca="1"/>
        <v>#REF!</v>
      </c>
      <c r="T1353" s="25" t="e">
        <f ca="1"/>
        <v>#REF!</v>
      </c>
      <c r="U1353" s="25" t="e">
        <f ca="1"/>
        <v>#REF!</v>
      </c>
      <c r="V1353" s="25" t="e">
        <f ca="1"/>
        <v>#REF!</v>
      </c>
      <c r="W1353" s="33" t="e">
        <f ca="1"/>
        <v>#REF!</v>
      </c>
      <c r="X1353" s="33" t="e">
        <f ca="1"/>
        <v>#REF!</v>
      </c>
      <c r="Y1353" s="33" t="e">
        <f ca="1"/>
        <v>#REF!</v>
      </c>
      <c r="Z1353" s="33" t="e">
        <f ca="1"/>
        <v>#REF!</v>
      </c>
      <c r="AA1353" s="33" t="e">
        <f ca="1"/>
        <v>#REF!</v>
      </c>
    </row>
    <row r="1354" spans="1:27" s="70" customFormat="1" ht="11.25" x14ac:dyDescent="0.2">
      <c r="A1354" s="24">
        <v>1348</v>
      </c>
      <c r="B1354" s="27"/>
      <c r="C1354" s="28"/>
      <c r="D1354" s="71"/>
      <c r="E1354" s="28"/>
      <c r="F1354" s="28"/>
      <c r="G1354" s="27"/>
      <c r="H1354" s="28" t="e">
        <f ca="1"/>
        <v>#REF!</v>
      </c>
      <c r="I1354" s="27" t="e">
        <f ca="1"/>
        <v>#REF!</v>
      </c>
      <c r="J1354" s="28" t="e">
        <f ca="1"/>
        <v>#REF!</v>
      </c>
      <c r="K1354" s="27" t="e">
        <f ca="1"/>
        <v>#REF!</v>
      </c>
      <c r="L1354" s="25" t="e">
        <f ca="1"/>
        <v>#REF!</v>
      </c>
      <c r="M1354" s="25" t="e">
        <f ca="1"/>
        <v>#REF!</v>
      </c>
      <c r="N1354" s="25" t="e">
        <f ca="1"/>
        <v>#REF!</v>
      </c>
      <c r="O1354" s="25" t="e">
        <f ca="1"/>
        <v>#REF!</v>
      </c>
      <c r="P1354" s="25" t="e">
        <f ca="1"/>
        <v>#REF!</v>
      </c>
      <c r="Q1354" s="25" t="e">
        <f ca="1"/>
        <v>#REF!</v>
      </c>
      <c r="R1354" s="25" t="e">
        <f ca="1"/>
        <v>#REF!</v>
      </c>
      <c r="S1354" s="25" t="e">
        <f ca="1"/>
        <v>#REF!</v>
      </c>
      <c r="T1354" s="25" t="e">
        <f ca="1"/>
        <v>#REF!</v>
      </c>
      <c r="U1354" s="25" t="e">
        <f ca="1"/>
        <v>#REF!</v>
      </c>
      <c r="V1354" s="25" t="e">
        <f ca="1"/>
        <v>#REF!</v>
      </c>
      <c r="W1354" s="33" t="e">
        <f ca="1"/>
        <v>#REF!</v>
      </c>
      <c r="X1354" s="33" t="e">
        <f ca="1"/>
        <v>#REF!</v>
      </c>
      <c r="Y1354" s="33" t="e">
        <f ca="1"/>
        <v>#REF!</v>
      </c>
      <c r="Z1354" s="33" t="e">
        <f ca="1"/>
        <v>#REF!</v>
      </c>
      <c r="AA1354" s="33" t="e">
        <f ca="1"/>
        <v>#REF!</v>
      </c>
    </row>
    <row r="1355" spans="1:27" s="70" customFormat="1" ht="11.25" x14ac:dyDescent="0.2">
      <c r="A1355" s="24">
        <v>1349</v>
      </c>
      <c r="B1355" s="27"/>
      <c r="C1355" s="28"/>
      <c r="D1355" s="71"/>
      <c r="E1355" s="28"/>
      <c r="F1355" s="28"/>
      <c r="G1355" s="27"/>
      <c r="H1355" s="28" t="e">
        <f ca="1"/>
        <v>#REF!</v>
      </c>
      <c r="I1355" s="27" t="e">
        <f ca="1"/>
        <v>#REF!</v>
      </c>
      <c r="J1355" s="28" t="e">
        <f ca="1"/>
        <v>#REF!</v>
      </c>
      <c r="K1355" s="27" t="e">
        <f ca="1"/>
        <v>#REF!</v>
      </c>
      <c r="L1355" s="25" t="e">
        <f ca="1"/>
        <v>#REF!</v>
      </c>
      <c r="M1355" s="25" t="e">
        <f ca="1"/>
        <v>#REF!</v>
      </c>
      <c r="N1355" s="25" t="e">
        <f ca="1"/>
        <v>#REF!</v>
      </c>
      <c r="O1355" s="25" t="e">
        <f ca="1"/>
        <v>#REF!</v>
      </c>
      <c r="P1355" s="25" t="e">
        <f ca="1"/>
        <v>#REF!</v>
      </c>
      <c r="Q1355" s="25" t="e">
        <f ca="1"/>
        <v>#REF!</v>
      </c>
      <c r="R1355" s="25" t="e">
        <f ca="1"/>
        <v>#REF!</v>
      </c>
      <c r="S1355" s="25" t="e">
        <f ca="1"/>
        <v>#REF!</v>
      </c>
      <c r="T1355" s="25" t="e">
        <f ca="1"/>
        <v>#REF!</v>
      </c>
      <c r="U1355" s="25" t="e">
        <f ca="1"/>
        <v>#REF!</v>
      </c>
      <c r="V1355" s="25" t="e">
        <f ca="1"/>
        <v>#REF!</v>
      </c>
      <c r="W1355" s="33" t="e">
        <f ca="1"/>
        <v>#REF!</v>
      </c>
      <c r="X1355" s="33" t="e">
        <f ca="1"/>
        <v>#REF!</v>
      </c>
      <c r="Y1355" s="33" t="e">
        <f ca="1"/>
        <v>#REF!</v>
      </c>
      <c r="Z1355" s="33" t="e">
        <f ca="1"/>
        <v>#REF!</v>
      </c>
      <c r="AA1355" s="33" t="e">
        <f ca="1"/>
        <v>#REF!</v>
      </c>
    </row>
    <row r="1356" spans="1:27" s="70" customFormat="1" ht="11.25" x14ac:dyDescent="0.2">
      <c r="A1356" s="24">
        <v>1350</v>
      </c>
      <c r="B1356" s="27"/>
      <c r="C1356" s="28"/>
      <c r="D1356" s="71"/>
      <c r="E1356" s="28"/>
      <c r="F1356" s="28"/>
      <c r="G1356" s="27"/>
      <c r="H1356" s="28" t="e">
        <f ca="1"/>
        <v>#REF!</v>
      </c>
      <c r="I1356" s="27" t="e">
        <f ca="1"/>
        <v>#REF!</v>
      </c>
      <c r="J1356" s="28" t="e">
        <f ca="1"/>
        <v>#REF!</v>
      </c>
      <c r="K1356" s="27" t="e">
        <f ca="1"/>
        <v>#REF!</v>
      </c>
      <c r="L1356" s="25" t="e">
        <f ca="1"/>
        <v>#REF!</v>
      </c>
      <c r="M1356" s="25" t="e">
        <f ca="1"/>
        <v>#REF!</v>
      </c>
      <c r="N1356" s="25" t="e">
        <f ca="1"/>
        <v>#REF!</v>
      </c>
      <c r="O1356" s="25" t="e">
        <f ca="1"/>
        <v>#REF!</v>
      </c>
      <c r="P1356" s="25" t="e">
        <f ca="1"/>
        <v>#REF!</v>
      </c>
      <c r="Q1356" s="25" t="e">
        <f ca="1"/>
        <v>#REF!</v>
      </c>
      <c r="R1356" s="25" t="e">
        <f ca="1"/>
        <v>#REF!</v>
      </c>
      <c r="S1356" s="25" t="e">
        <f ca="1"/>
        <v>#REF!</v>
      </c>
      <c r="T1356" s="25" t="e">
        <f ca="1"/>
        <v>#REF!</v>
      </c>
      <c r="U1356" s="25" t="e">
        <f ca="1"/>
        <v>#REF!</v>
      </c>
      <c r="V1356" s="25" t="e">
        <f ca="1"/>
        <v>#REF!</v>
      </c>
      <c r="W1356" s="33" t="e">
        <f ca="1"/>
        <v>#REF!</v>
      </c>
      <c r="X1356" s="33" t="e">
        <f ca="1"/>
        <v>#REF!</v>
      </c>
      <c r="Y1356" s="33" t="e">
        <f ca="1"/>
        <v>#REF!</v>
      </c>
      <c r="Z1356" s="33" t="e">
        <f ca="1"/>
        <v>#REF!</v>
      </c>
      <c r="AA1356" s="33" t="e">
        <f ca="1"/>
        <v>#REF!</v>
      </c>
    </row>
    <row r="1357" spans="1:27" s="70" customFormat="1" ht="11.25" x14ac:dyDescent="0.2">
      <c r="A1357" s="24">
        <v>1351</v>
      </c>
      <c r="B1357" s="27"/>
      <c r="C1357" s="28"/>
      <c r="D1357" s="71"/>
      <c r="E1357" s="28"/>
      <c r="F1357" s="28"/>
      <c r="G1357" s="27"/>
      <c r="H1357" s="28" t="e">
        <f ca="1"/>
        <v>#REF!</v>
      </c>
      <c r="I1357" s="27" t="e">
        <f ca="1"/>
        <v>#REF!</v>
      </c>
      <c r="J1357" s="28" t="e">
        <f ca="1"/>
        <v>#REF!</v>
      </c>
      <c r="K1357" s="27" t="e">
        <f ca="1"/>
        <v>#REF!</v>
      </c>
      <c r="L1357" s="25" t="e">
        <f ca="1"/>
        <v>#REF!</v>
      </c>
      <c r="M1357" s="25" t="e">
        <f ca="1"/>
        <v>#REF!</v>
      </c>
      <c r="N1357" s="25" t="e">
        <f ca="1"/>
        <v>#REF!</v>
      </c>
      <c r="O1357" s="25" t="e">
        <f ca="1"/>
        <v>#REF!</v>
      </c>
      <c r="P1357" s="25" t="e">
        <f ca="1"/>
        <v>#REF!</v>
      </c>
      <c r="Q1357" s="25" t="e">
        <f ca="1"/>
        <v>#REF!</v>
      </c>
      <c r="R1357" s="25" t="e">
        <f ca="1"/>
        <v>#REF!</v>
      </c>
      <c r="S1357" s="25" t="e">
        <f ca="1"/>
        <v>#REF!</v>
      </c>
      <c r="T1357" s="25" t="e">
        <f ca="1"/>
        <v>#REF!</v>
      </c>
      <c r="U1357" s="25" t="e">
        <f ca="1"/>
        <v>#REF!</v>
      </c>
      <c r="V1357" s="25" t="e">
        <f ca="1"/>
        <v>#REF!</v>
      </c>
      <c r="W1357" s="33" t="e">
        <f ca="1"/>
        <v>#REF!</v>
      </c>
      <c r="X1357" s="33" t="e">
        <f ca="1"/>
        <v>#REF!</v>
      </c>
      <c r="Y1357" s="33" t="e">
        <f ca="1"/>
        <v>#REF!</v>
      </c>
      <c r="Z1357" s="33" t="e">
        <f ca="1"/>
        <v>#REF!</v>
      </c>
      <c r="AA1357" s="33" t="e">
        <f ca="1"/>
        <v>#REF!</v>
      </c>
    </row>
    <row r="1358" spans="1:27" s="70" customFormat="1" ht="11.25" x14ac:dyDescent="0.2">
      <c r="A1358" s="24">
        <v>1352</v>
      </c>
      <c r="B1358" s="27"/>
      <c r="C1358" s="28"/>
      <c r="D1358" s="71"/>
      <c r="E1358" s="28"/>
      <c r="F1358" s="28"/>
      <c r="G1358" s="27"/>
      <c r="H1358" s="28" t="e">
        <f ca="1"/>
        <v>#REF!</v>
      </c>
      <c r="I1358" s="27" t="e">
        <f ca="1"/>
        <v>#REF!</v>
      </c>
      <c r="J1358" s="28" t="e">
        <f ca="1"/>
        <v>#REF!</v>
      </c>
      <c r="K1358" s="27" t="e">
        <f ca="1"/>
        <v>#REF!</v>
      </c>
      <c r="L1358" s="25" t="e">
        <f ca="1"/>
        <v>#REF!</v>
      </c>
      <c r="M1358" s="25" t="e">
        <f ca="1"/>
        <v>#REF!</v>
      </c>
      <c r="N1358" s="25" t="e">
        <f ca="1"/>
        <v>#REF!</v>
      </c>
      <c r="O1358" s="25" t="e">
        <f ca="1"/>
        <v>#REF!</v>
      </c>
      <c r="P1358" s="25" t="e">
        <f ca="1"/>
        <v>#REF!</v>
      </c>
      <c r="Q1358" s="25" t="e">
        <f ca="1"/>
        <v>#REF!</v>
      </c>
      <c r="R1358" s="25" t="e">
        <f ca="1"/>
        <v>#REF!</v>
      </c>
      <c r="S1358" s="25" t="e">
        <f ca="1"/>
        <v>#REF!</v>
      </c>
      <c r="T1358" s="25" t="e">
        <f ca="1"/>
        <v>#REF!</v>
      </c>
      <c r="U1358" s="25" t="e">
        <f ca="1"/>
        <v>#REF!</v>
      </c>
      <c r="V1358" s="25" t="e">
        <f ca="1"/>
        <v>#REF!</v>
      </c>
      <c r="W1358" s="33" t="e">
        <f ca="1"/>
        <v>#REF!</v>
      </c>
      <c r="X1358" s="33" t="e">
        <f ca="1"/>
        <v>#REF!</v>
      </c>
      <c r="Y1358" s="33" t="e">
        <f ca="1"/>
        <v>#REF!</v>
      </c>
      <c r="Z1358" s="33" t="e">
        <f ca="1"/>
        <v>#REF!</v>
      </c>
      <c r="AA1358" s="33" t="e">
        <f ca="1"/>
        <v>#REF!</v>
      </c>
    </row>
    <row r="1359" spans="1:27" s="70" customFormat="1" ht="11.25" x14ac:dyDescent="0.2">
      <c r="A1359" s="24">
        <v>1353</v>
      </c>
      <c r="B1359" s="27"/>
      <c r="C1359" s="28"/>
      <c r="D1359" s="71"/>
      <c r="E1359" s="28"/>
      <c r="F1359" s="28"/>
      <c r="G1359" s="27"/>
      <c r="H1359" s="28" t="e">
        <f ca="1"/>
        <v>#REF!</v>
      </c>
      <c r="I1359" s="27" t="e">
        <f ca="1"/>
        <v>#REF!</v>
      </c>
      <c r="J1359" s="28" t="e">
        <f ca="1"/>
        <v>#REF!</v>
      </c>
      <c r="K1359" s="27" t="e">
        <f ca="1"/>
        <v>#REF!</v>
      </c>
      <c r="L1359" s="25" t="e">
        <f ca="1"/>
        <v>#REF!</v>
      </c>
      <c r="M1359" s="25" t="e">
        <f ca="1"/>
        <v>#REF!</v>
      </c>
      <c r="N1359" s="25" t="e">
        <f ca="1"/>
        <v>#REF!</v>
      </c>
      <c r="O1359" s="25" t="e">
        <f ca="1"/>
        <v>#REF!</v>
      </c>
      <c r="P1359" s="25" t="e">
        <f ca="1"/>
        <v>#REF!</v>
      </c>
      <c r="Q1359" s="25" t="e">
        <f ca="1"/>
        <v>#REF!</v>
      </c>
      <c r="R1359" s="25" t="e">
        <f ca="1"/>
        <v>#REF!</v>
      </c>
      <c r="S1359" s="25" t="e">
        <f ca="1"/>
        <v>#REF!</v>
      </c>
      <c r="T1359" s="25" t="e">
        <f ca="1"/>
        <v>#REF!</v>
      </c>
      <c r="U1359" s="25" t="e">
        <f ca="1"/>
        <v>#REF!</v>
      </c>
      <c r="V1359" s="25" t="e">
        <f ca="1"/>
        <v>#REF!</v>
      </c>
      <c r="W1359" s="33" t="e">
        <f ca="1"/>
        <v>#REF!</v>
      </c>
      <c r="X1359" s="33" t="e">
        <f ca="1"/>
        <v>#REF!</v>
      </c>
      <c r="Y1359" s="33" t="e">
        <f ca="1"/>
        <v>#REF!</v>
      </c>
      <c r="Z1359" s="33" t="e">
        <f ca="1"/>
        <v>#REF!</v>
      </c>
      <c r="AA1359" s="33" t="e">
        <f ca="1"/>
        <v>#REF!</v>
      </c>
    </row>
    <row r="1360" spans="1:27" s="70" customFormat="1" ht="11.25" x14ac:dyDescent="0.2">
      <c r="A1360" s="24">
        <v>1354</v>
      </c>
      <c r="B1360" s="27"/>
      <c r="C1360" s="28"/>
      <c r="D1360" s="71"/>
      <c r="E1360" s="28"/>
      <c r="F1360" s="28"/>
      <c r="G1360" s="27"/>
      <c r="H1360" s="28" t="e">
        <f ca="1"/>
        <v>#REF!</v>
      </c>
      <c r="I1360" s="27" t="e">
        <f ca="1"/>
        <v>#REF!</v>
      </c>
      <c r="J1360" s="28" t="e">
        <f ca="1"/>
        <v>#REF!</v>
      </c>
      <c r="K1360" s="27" t="e">
        <f ca="1"/>
        <v>#REF!</v>
      </c>
      <c r="L1360" s="25" t="e">
        <f ca="1"/>
        <v>#REF!</v>
      </c>
      <c r="M1360" s="25" t="e">
        <f ca="1"/>
        <v>#REF!</v>
      </c>
      <c r="N1360" s="25" t="e">
        <f ca="1"/>
        <v>#REF!</v>
      </c>
      <c r="O1360" s="25" t="e">
        <f ca="1"/>
        <v>#REF!</v>
      </c>
      <c r="P1360" s="25" t="e">
        <f ca="1"/>
        <v>#REF!</v>
      </c>
      <c r="Q1360" s="25" t="e">
        <f ca="1"/>
        <v>#REF!</v>
      </c>
      <c r="R1360" s="25" t="e">
        <f ca="1"/>
        <v>#REF!</v>
      </c>
      <c r="S1360" s="25" t="e">
        <f ca="1"/>
        <v>#REF!</v>
      </c>
      <c r="T1360" s="25" t="e">
        <f ca="1"/>
        <v>#REF!</v>
      </c>
      <c r="U1360" s="25" t="e">
        <f ca="1"/>
        <v>#REF!</v>
      </c>
      <c r="V1360" s="25" t="e">
        <f ca="1"/>
        <v>#REF!</v>
      </c>
      <c r="W1360" s="33" t="e">
        <f ca="1"/>
        <v>#REF!</v>
      </c>
      <c r="X1360" s="33" t="e">
        <f ca="1"/>
        <v>#REF!</v>
      </c>
      <c r="Y1360" s="33" t="e">
        <f ca="1"/>
        <v>#REF!</v>
      </c>
      <c r="Z1360" s="33" t="e">
        <f ca="1"/>
        <v>#REF!</v>
      </c>
      <c r="AA1360" s="33" t="e">
        <f ca="1"/>
        <v>#REF!</v>
      </c>
    </row>
    <row r="1361" spans="1:27" s="70" customFormat="1" ht="11.25" x14ac:dyDescent="0.2">
      <c r="A1361" s="24">
        <v>1355</v>
      </c>
      <c r="B1361" s="27"/>
      <c r="C1361" s="28"/>
      <c r="D1361" s="71"/>
      <c r="E1361" s="28"/>
      <c r="F1361" s="28"/>
      <c r="G1361" s="27"/>
      <c r="H1361" s="28" t="e">
        <f ca="1"/>
        <v>#REF!</v>
      </c>
      <c r="I1361" s="27" t="e">
        <f ca="1"/>
        <v>#REF!</v>
      </c>
      <c r="J1361" s="28" t="e">
        <f ca="1"/>
        <v>#REF!</v>
      </c>
      <c r="K1361" s="27" t="e">
        <f ca="1"/>
        <v>#REF!</v>
      </c>
      <c r="L1361" s="25" t="e">
        <f ca="1"/>
        <v>#REF!</v>
      </c>
      <c r="M1361" s="25" t="e">
        <f ca="1"/>
        <v>#REF!</v>
      </c>
      <c r="N1361" s="25" t="e">
        <f ca="1"/>
        <v>#REF!</v>
      </c>
      <c r="O1361" s="25" t="e">
        <f ca="1"/>
        <v>#REF!</v>
      </c>
      <c r="P1361" s="25" t="e">
        <f ca="1"/>
        <v>#REF!</v>
      </c>
      <c r="Q1361" s="25" t="e">
        <f ca="1"/>
        <v>#REF!</v>
      </c>
      <c r="R1361" s="25" t="e">
        <f ca="1"/>
        <v>#REF!</v>
      </c>
      <c r="S1361" s="25" t="e">
        <f ca="1"/>
        <v>#REF!</v>
      </c>
      <c r="T1361" s="25" t="e">
        <f ca="1"/>
        <v>#REF!</v>
      </c>
      <c r="U1361" s="25" t="e">
        <f ca="1"/>
        <v>#REF!</v>
      </c>
      <c r="V1361" s="25" t="e">
        <f ca="1"/>
        <v>#REF!</v>
      </c>
      <c r="W1361" s="33" t="e">
        <f ca="1"/>
        <v>#REF!</v>
      </c>
      <c r="X1361" s="33" t="e">
        <f ca="1"/>
        <v>#REF!</v>
      </c>
      <c r="Y1361" s="33" t="e">
        <f ca="1"/>
        <v>#REF!</v>
      </c>
      <c r="Z1361" s="33" t="e">
        <f ca="1"/>
        <v>#REF!</v>
      </c>
      <c r="AA1361" s="33" t="e">
        <f ca="1"/>
        <v>#REF!</v>
      </c>
    </row>
    <row r="1362" spans="1:27" s="70" customFormat="1" ht="11.25" x14ac:dyDescent="0.2">
      <c r="A1362" s="24">
        <v>1356</v>
      </c>
      <c r="B1362" s="27"/>
      <c r="C1362" s="28"/>
      <c r="D1362" s="71"/>
      <c r="E1362" s="28"/>
      <c r="F1362" s="28"/>
      <c r="G1362" s="27"/>
      <c r="H1362" s="28" t="e">
        <f ca="1"/>
        <v>#REF!</v>
      </c>
      <c r="I1362" s="27" t="e">
        <f ca="1"/>
        <v>#REF!</v>
      </c>
      <c r="J1362" s="28" t="e">
        <f ca="1"/>
        <v>#REF!</v>
      </c>
      <c r="K1362" s="27" t="e">
        <f ca="1"/>
        <v>#REF!</v>
      </c>
      <c r="L1362" s="25" t="e">
        <f ca="1"/>
        <v>#REF!</v>
      </c>
      <c r="M1362" s="25" t="e">
        <f ca="1"/>
        <v>#REF!</v>
      </c>
      <c r="N1362" s="25" t="e">
        <f ca="1"/>
        <v>#REF!</v>
      </c>
      <c r="O1362" s="25" t="e">
        <f ca="1"/>
        <v>#REF!</v>
      </c>
      <c r="P1362" s="25" t="e">
        <f ca="1"/>
        <v>#REF!</v>
      </c>
      <c r="Q1362" s="25" t="e">
        <f ca="1"/>
        <v>#REF!</v>
      </c>
      <c r="R1362" s="25" t="e">
        <f ca="1"/>
        <v>#REF!</v>
      </c>
      <c r="S1362" s="25" t="e">
        <f ca="1"/>
        <v>#REF!</v>
      </c>
      <c r="T1362" s="25" t="e">
        <f ca="1"/>
        <v>#REF!</v>
      </c>
      <c r="U1362" s="25" t="e">
        <f ca="1"/>
        <v>#REF!</v>
      </c>
      <c r="V1362" s="25" t="e">
        <f ca="1"/>
        <v>#REF!</v>
      </c>
      <c r="W1362" s="33" t="e">
        <f ca="1"/>
        <v>#REF!</v>
      </c>
      <c r="X1362" s="33" t="e">
        <f ca="1"/>
        <v>#REF!</v>
      </c>
      <c r="Y1362" s="33" t="e">
        <f ca="1"/>
        <v>#REF!</v>
      </c>
      <c r="Z1362" s="33" t="e">
        <f ca="1"/>
        <v>#REF!</v>
      </c>
      <c r="AA1362" s="33" t="e">
        <f ca="1"/>
        <v>#REF!</v>
      </c>
    </row>
    <row r="1363" spans="1:27" s="70" customFormat="1" ht="11.25" x14ac:dyDescent="0.2">
      <c r="A1363" s="24">
        <v>1357</v>
      </c>
      <c r="B1363" s="27"/>
      <c r="C1363" s="28"/>
      <c r="D1363" s="71"/>
      <c r="E1363" s="28"/>
      <c r="F1363" s="28"/>
      <c r="G1363" s="27"/>
      <c r="H1363" s="28" t="e">
        <f ca="1"/>
        <v>#REF!</v>
      </c>
      <c r="I1363" s="27" t="e">
        <f ca="1"/>
        <v>#REF!</v>
      </c>
      <c r="J1363" s="28" t="e">
        <f ca="1"/>
        <v>#REF!</v>
      </c>
      <c r="K1363" s="27" t="e">
        <f ca="1"/>
        <v>#REF!</v>
      </c>
      <c r="L1363" s="25" t="e">
        <f ca="1"/>
        <v>#REF!</v>
      </c>
      <c r="M1363" s="25" t="e">
        <f ca="1"/>
        <v>#REF!</v>
      </c>
      <c r="N1363" s="25" t="e">
        <f ca="1"/>
        <v>#REF!</v>
      </c>
      <c r="O1363" s="25" t="e">
        <f ca="1"/>
        <v>#REF!</v>
      </c>
      <c r="P1363" s="25" t="e">
        <f ca="1"/>
        <v>#REF!</v>
      </c>
      <c r="Q1363" s="25" t="e">
        <f ca="1"/>
        <v>#REF!</v>
      </c>
      <c r="R1363" s="25" t="e">
        <f ca="1"/>
        <v>#REF!</v>
      </c>
      <c r="S1363" s="25" t="e">
        <f ca="1"/>
        <v>#REF!</v>
      </c>
      <c r="T1363" s="25" t="e">
        <f ca="1"/>
        <v>#REF!</v>
      </c>
      <c r="U1363" s="25" t="e">
        <f ca="1"/>
        <v>#REF!</v>
      </c>
      <c r="V1363" s="25" t="e">
        <f ca="1"/>
        <v>#REF!</v>
      </c>
      <c r="W1363" s="33" t="e">
        <f ca="1"/>
        <v>#REF!</v>
      </c>
      <c r="X1363" s="33" t="e">
        <f ca="1"/>
        <v>#REF!</v>
      </c>
      <c r="Y1363" s="33" t="e">
        <f ca="1"/>
        <v>#REF!</v>
      </c>
      <c r="Z1363" s="33" t="e">
        <f ca="1"/>
        <v>#REF!</v>
      </c>
      <c r="AA1363" s="33" t="e">
        <f ca="1"/>
        <v>#REF!</v>
      </c>
    </row>
    <row r="1364" spans="1:27" s="70" customFormat="1" ht="11.25" x14ac:dyDescent="0.2">
      <c r="A1364" s="24">
        <v>1358</v>
      </c>
      <c r="B1364" s="27"/>
      <c r="C1364" s="28"/>
      <c r="D1364" s="71"/>
      <c r="E1364" s="28"/>
      <c r="F1364" s="28"/>
      <c r="G1364" s="27"/>
      <c r="H1364" s="28" t="e">
        <f ca="1"/>
        <v>#REF!</v>
      </c>
      <c r="I1364" s="27" t="e">
        <f ca="1"/>
        <v>#REF!</v>
      </c>
      <c r="J1364" s="28" t="e">
        <f ca="1"/>
        <v>#REF!</v>
      </c>
      <c r="K1364" s="27" t="e">
        <f ca="1"/>
        <v>#REF!</v>
      </c>
      <c r="L1364" s="25" t="e">
        <f ca="1"/>
        <v>#REF!</v>
      </c>
      <c r="M1364" s="25" t="e">
        <f ca="1"/>
        <v>#REF!</v>
      </c>
      <c r="N1364" s="25" t="e">
        <f ca="1"/>
        <v>#REF!</v>
      </c>
      <c r="O1364" s="25" t="e">
        <f ca="1"/>
        <v>#REF!</v>
      </c>
      <c r="P1364" s="25" t="e">
        <f ca="1"/>
        <v>#REF!</v>
      </c>
      <c r="Q1364" s="25" t="e">
        <f ca="1"/>
        <v>#REF!</v>
      </c>
      <c r="R1364" s="25" t="e">
        <f ca="1"/>
        <v>#REF!</v>
      </c>
      <c r="S1364" s="25" t="e">
        <f ca="1"/>
        <v>#REF!</v>
      </c>
      <c r="T1364" s="25" t="e">
        <f ca="1"/>
        <v>#REF!</v>
      </c>
      <c r="U1364" s="25" t="e">
        <f ca="1"/>
        <v>#REF!</v>
      </c>
      <c r="V1364" s="25" t="e">
        <f ca="1"/>
        <v>#REF!</v>
      </c>
      <c r="W1364" s="33" t="e">
        <f ca="1"/>
        <v>#REF!</v>
      </c>
      <c r="X1364" s="33" t="e">
        <f ca="1"/>
        <v>#REF!</v>
      </c>
      <c r="Y1364" s="33" t="e">
        <f ca="1"/>
        <v>#REF!</v>
      </c>
      <c r="Z1364" s="33" t="e">
        <f ca="1"/>
        <v>#REF!</v>
      </c>
      <c r="AA1364" s="33" t="e">
        <f ca="1"/>
        <v>#REF!</v>
      </c>
    </row>
    <row r="1365" spans="1:27" s="70" customFormat="1" ht="11.25" x14ac:dyDescent="0.2">
      <c r="A1365" s="24">
        <v>1359</v>
      </c>
      <c r="B1365" s="27"/>
      <c r="C1365" s="28"/>
      <c r="D1365" s="71"/>
      <c r="E1365" s="28"/>
      <c r="F1365" s="28"/>
      <c r="G1365" s="27"/>
      <c r="H1365" s="28" t="e">
        <f ca="1"/>
        <v>#REF!</v>
      </c>
      <c r="I1365" s="27" t="e">
        <f ca="1"/>
        <v>#REF!</v>
      </c>
      <c r="J1365" s="28" t="e">
        <f ca="1"/>
        <v>#REF!</v>
      </c>
      <c r="K1365" s="27" t="e">
        <f ca="1"/>
        <v>#REF!</v>
      </c>
      <c r="L1365" s="25" t="e">
        <f ca="1"/>
        <v>#REF!</v>
      </c>
      <c r="M1365" s="25" t="e">
        <f ca="1"/>
        <v>#REF!</v>
      </c>
      <c r="N1365" s="25" t="e">
        <f ca="1"/>
        <v>#REF!</v>
      </c>
      <c r="O1365" s="25" t="e">
        <f ca="1"/>
        <v>#REF!</v>
      </c>
      <c r="P1365" s="25" t="e">
        <f ca="1"/>
        <v>#REF!</v>
      </c>
      <c r="Q1365" s="25" t="e">
        <f ca="1"/>
        <v>#REF!</v>
      </c>
      <c r="R1365" s="25" t="e">
        <f ca="1"/>
        <v>#REF!</v>
      </c>
      <c r="S1365" s="25" t="e">
        <f ca="1"/>
        <v>#REF!</v>
      </c>
      <c r="T1365" s="25" t="e">
        <f ca="1"/>
        <v>#REF!</v>
      </c>
      <c r="U1365" s="25" t="e">
        <f ca="1"/>
        <v>#REF!</v>
      </c>
      <c r="V1365" s="25" t="e">
        <f ca="1"/>
        <v>#REF!</v>
      </c>
      <c r="W1365" s="33" t="e">
        <f ca="1"/>
        <v>#REF!</v>
      </c>
      <c r="X1365" s="33" t="e">
        <f ca="1"/>
        <v>#REF!</v>
      </c>
      <c r="Y1365" s="33" t="e">
        <f ca="1"/>
        <v>#REF!</v>
      </c>
      <c r="Z1365" s="33" t="e">
        <f ca="1"/>
        <v>#REF!</v>
      </c>
      <c r="AA1365" s="33" t="e">
        <f ca="1"/>
        <v>#REF!</v>
      </c>
    </row>
    <row r="1366" spans="1:27" s="70" customFormat="1" ht="11.25" x14ac:dyDescent="0.2">
      <c r="A1366" s="24">
        <v>1360</v>
      </c>
      <c r="B1366" s="27"/>
      <c r="C1366" s="28"/>
      <c r="D1366" s="71"/>
      <c r="E1366" s="28"/>
      <c r="F1366" s="28"/>
      <c r="G1366" s="27"/>
      <c r="H1366" s="28" t="e">
        <f ca="1"/>
        <v>#REF!</v>
      </c>
      <c r="I1366" s="27" t="e">
        <f ca="1"/>
        <v>#REF!</v>
      </c>
      <c r="J1366" s="28" t="e">
        <f ca="1"/>
        <v>#REF!</v>
      </c>
      <c r="K1366" s="27" t="e">
        <f ca="1"/>
        <v>#REF!</v>
      </c>
      <c r="L1366" s="25" t="e">
        <f ca="1"/>
        <v>#REF!</v>
      </c>
      <c r="M1366" s="25" t="e">
        <f ca="1"/>
        <v>#REF!</v>
      </c>
      <c r="N1366" s="25" t="e">
        <f ca="1"/>
        <v>#REF!</v>
      </c>
      <c r="O1366" s="25" t="e">
        <f ca="1"/>
        <v>#REF!</v>
      </c>
      <c r="P1366" s="25" t="e">
        <f ca="1"/>
        <v>#REF!</v>
      </c>
      <c r="Q1366" s="25" t="e">
        <f ca="1"/>
        <v>#REF!</v>
      </c>
      <c r="R1366" s="25" t="e">
        <f ca="1"/>
        <v>#REF!</v>
      </c>
      <c r="S1366" s="25" t="e">
        <f ca="1"/>
        <v>#REF!</v>
      </c>
      <c r="T1366" s="25" t="e">
        <f ca="1"/>
        <v>#REF!</v>
      </c>
      <c r="U1366" s="25" t="e">
        <f ca="1"/>
        <v>#REF!</v>
      </c>
      <c r="V1366" s="25" t="e">
        <f ca="1"/>
        <v>#REF!</v>
      </c>
      <c r="W1366" s="33" t="e">
        <f ca="1"/>
        <v>#REF!</v>
      </c>
      <c r="X1366" s="33" t="e">
        <f ca="1"/>
        <v>#REF!</v>
      </c>
      <c r="Y1366" s="33" t="e">
        <f ca="1"/>
        <v>#REF!</v>
      </c>
      <c r="Z1366" s="33" t="e">
        <f ca="1"/>
        <v>#REF!</v>
      </c>
      <c r="AA1366" s="33" t="e">
        <f ca="1"/>
        <v>#REF!</v>
      </c>
    </row>
    <row r="1367" spans="1:27" s="70" customFormat="1" ht="11.25" x14ac:dyDescent="0.2">
      <c r="A1367" s="24">
        <v>1361</v>
      </c>
      <c r="B1367" s="27"/>
      <c r="C1367" s="28"/>
      <c r="D1367" s="71"/>
      <c r="E1367" s="28"/>
      <c r="F1367" s="28"/>
      <c r="G1367" s="27"/>
      <c r="H1367" s="28" t="e">
        <f ca="1"/>
        <v>#REF!</v>
      </c>
      <c r="I1367" s="27" t="e">
        <f ca="1"/>
        <v>#REF!</v>
      </c>
      <c r="J1367" s="28" t="e">
        <f ca="1"/>
        <v>#REF!</v>
      </c>
      <c r="K1367" s="27" t="e">
        <f ca="1"/>
        <v>#REF!</v>
      </c>
      <c r="L1367" s="25" t="e">
        <f ca="1"/>
        <v>#REF!</v>
      </c>
      <c r="M1367" s="25" t="e">
        <f ca="1"/>
        <v>#REF!</v>
      </c>
      <c r="N1367" s="25" t="e">
        <f ca="1"/>
        <v>#REF!</v>
      </c>
      <c r="O1367" s="25" t="e">
        <f ca="1"/>
        <v>#REF!</v>
      </c>
      <c r="P1367" s="25" t="e">
        <f ca="1"/>
        <v>#REF!</v>
      </c>
      <c r="Q1367" s="25" t="e">
        <f ca="1"/>
        <v>#REF!</v>
      </c>
      <c r="R1367" s="25" t="e">
        <f ca="1"/>
        <v>#REF!</v>
      </c>
      <c r="S1367" s="25" t="e">
        <f ca="1"/>
        <v>#REF!</v>
      </c>
      <c r="T1367" s="25" t="e">
        <f ca="1"/>
        <v>#REF!</v>
      </c>
      <c r="U1367" s="25" t="e">
        <f ca="1"/>
        <v>#REF!</v>
      </c>
      <c r="V1367" s="25" t="e">
        <f ca="1"/>
        <v>#REF!</v>
      </c>
      <c r="W1367" s="33" t="e">
        <f ca="1"/>
        <v>#REF!</v>
      </c>
      <c r="X1367" s="33" t="e">
        <f ca="1"/>
        <v>#REF!</v>
      </c>
      <c r="Y1367" s="33" t="e">
        <f ca="1"/>
        <v>#REF!</v>
      </c>
      <c r="Z1367" s="33" t="e">
        <f ca="1"/>
        <v>#REF!</v>
      </c>
      <c r="AA1367" s="33" t="e">
        <f ca="1"/>
        <v>#REF!</v>
      </c>
    </row>
    <row r="1368" spans="1:27" s="70" customFormat="1" ht="11.25" x14ac:dyDescent="0.2">
      <c r="A1368" s="24">
        <v>1362</v>
      </c>
      <c r="B1368" s="27"/>
      <c r="C1368" s="28"/>
      <c r="D1368" s="71"/>
      <c r="E1368" s="28"/>
      <c r="F1368" s="28"/>
      <c r="G1368" s="27"/>
      <c r="H1368" s="28" t="e">
        <f ca="1"/>
        <v>#REF!</v>
      </c>
      <c r="I1368" s="27" t="e">
        <f ca="1"/>
        <v>#REF!</v>
      </c>
      <c r="J1368" s="28" t="e">
        <f ca="1"/>
        <v>#REF!</v>
      </c>
      <c r="K1368" s="27" t="e">
        <f ca="1"/>
        <v>#REF!</v>
      </c>
      <c r="L1368" s="25" t="e">
        <f ca="1"/>
        <v>#REF!</v>
      </c>
      <c r="M1368" s="25" t="e">
        <f ca="1"/>
        <v>#REF!</v>
      </c>
      <c r="N1368" s="25" t="e">
        <f ca="1"/>
        <v>#REF!</v>
      </c>
      <c r="O1368" s="25" t="e">
        <f ca="1"/>
        <v>#REF!</v>
      </c>
      <c r="P1368" s="25" t="e">
        <f ca="1"/>
        <v>#REF!</v>
      </c>
      <c r="Q1368" s="25" t="e">
        <f ca="1"/>
        <v>#REF!</v>
      </c>
      <c r="R1368" s="25" t="e">
        <f ca="1"/>
        <v>#REF!</v>
      </c>
      <c r="S1368" s="25" t="e">
        <f ca="1"/>
        <v>#REF!</v>
      </c>
      <c r="T1368" s="25" t="e">
        <f ca="1"/>
        <v>#REF!</v>
      </c>
      <c r="U1368" s="25" t="e">
        <f ca="1"/>
        <v>#REF!</v>
      </c>
      <c r="V1368" s="25" t="e">
        <f ca="1"/>
        <v>#REF!</v>
      </c>
      <c r="W1368" s="33" t="e">
        <f ca="1"/>
        <v>#REF!</v>
      </c>
      <c r="X1368" s="33" t="e">
        <f ca="1"/>
        <v>#REF!</v>
      </c>
      <c r="Y1368" s="33" t="e">
        <f ca="1"/>
        <v>#REF!</v>
      </c>
      <c r="Z1368" s="33" t="e">
        <f ca="1"/>
        <v>#REF!</v>
      </c>
      <c r="AA1368" s="33" t="e">
        <f ca="1"/>
        <v>#REF!</v>
      </c>
    </row>
    <row r="1369" spans="1:27" s="70" customFormat="1" ht="11.25" x14ac:dyDescent="0.2">
      <c r="A1369" s="24">
        <v>1363</v>
      </c>
      <c r="B1369" s="27"/>
      <c r="C1369" s="28"/>
      <c r="D1369" s="71"/>
      <c r="E1369" s="28"/>
      <c r="F1369" s="28"/>
      <c r="G1369" s="27"/>
      <c r="H1369" s="28" t="e">
        <f ca="1"/>
        <v>#REF!</v>
      </c>
      <c r="I1369" s="27" t="e">
        <f ca="1"/>
        <v>#REF!</v>
      </c>
      <c r="J1369" s="28" t="e">
        <f ca="1"/>
        <v>#REF!</v>
      </c>
      <c r="K1369" s="27" t="e">
        <f ca="1"/>
        <v>#REF!</v>
      </c>
      <c r="L1369" s="25" t="e">
        <f ca="1"/>
        <v>#REF!</v>
      </c>
      <c r="M1369" s="25" t="e">
        <f ca="1"/>
        <v>#REF!</v>
      </c>
      <c r="N1369" s="25" t="e">
        <f ca="1"/>
        <v>#REF!</v>
      </c>
      <c r="O1369" s="25" t="e">
        <f ca="1"/>
        <v>#REF!</v>
      </c>
      <c r="P1369" s="25" t="e">
        <f ca="1"/>
        <v>#REF!</v>
      </c>
      <c r="Q1369" s="25" t="e">
        <f ca="1"/>
        <v>#REF!</v>
      </c>
      <c r="R1369" s="25" t="e">
        <f ca="1"/>
        <v>#REF!</v>
      </c>
      <c r="S1369" s="25" t="e">
        <f ca="1"/>
        <v>#REF!</v>
      </c>
      <c r="T1369" s="25" t="e">
        <f ca="1"/>
        <v>#REF!</v>
      </c>
      <c r="U1369" s="25" t="e">
        <f ca="1"/>
        <v>#REF!</v>
      </c>
      <c r="V1369" s="25" t="e">
        <f ca="1"/>
        <v>#REF!</v>
      </c>
      <c r="W1369" s="33" t="e">
        <f ca="1"/>
        <v>#REF!</v>
      </c>
      <c r="X1369" s="33" t="e">
        <f ca="1"/>
        <v>#REF!</v>
      </c>
      <c r="Y1369" s="33" t="e">
        <f ca="1"/>
        <v>#REF!</v>
      </c>
      <c r="Z1369" s="33" t="e">
        <f ca="1"/>
        <v>#REF!</v>
      </c>
      <c r="AA1369" s="33" t="e">
        <f ca="1"/>
        <v>#REF!</v>
      </c>
    </row>
    <row r="1370" spans="1:27" s="70" customFormat="1" ht="11.25" x14ac:dyDescent="0.2">
      <c r="A1370" s="24">
        <v>1364</v>
      </c>
      <c r="B1370" s="27"/>
      <c r="C1370" s="28"/>
      <c r="D1370" s="71"/>
      <c r="E1370" s="28"/>
      <c r="F1370" s="28"/>
      <c r="G1370" s="27"/>
      <c r="H1370" s="28" t="e">
        <f ca="1"/>
        <v>#REF!</v>
      </c>
      <c r="I1370" s="27" t="e">
        <f ca="1"/>
        <v>#REF!</v>
      </c>
      <c r="J1370" s="28" t="e">
        <f ca="1"/>
        <v>#REF!</v>
      </c>
      <c r="K1370" s="27" t="e">
        <f ca="1"/>
        <v>#REF!</v>
      </c>
      <c r="L1370" s="25" t="e">
        <f ca="1"/>
        <v>#REF!</v>
      </c>
      <c r="M1370" s="25" t="e">
        <f ca="1"/>
        <v>#REF!</v>
      </c>
      <c r="N1370" s="25" t="e">
        <f ca="1"/>
        <v>#REF!</v>
      </c>
      <c r="O1370" s="25" t="e">
        <f ca="1"/>
        <v>#REF!</v>
      </c>
      <c r="P1370" s="25" t="e">
        <f ca="1"/>
        <v>#REF!</v>
      </c>
      <c r="Q1370" s="25" t="e">
        <f ca="1"/>
        <v>#REF!</v>
      </c>
      <c r="R1370" s="25" t="e">
        <f ca="1"/>
        <v>#REF!</v>
      </c>
      <c r="S1370" s="25" t="e">
        <f ca="1"/>
        <v>#REF!</v>
      </c>
      <c r="T1370" s="25" t="e">
        <f ca="1"/>
        <v>#REF!</v>
      </c>
      <c r="U1370" s="25" t="e">
        <f ca="1"/>
        <v>#REF!</v>
      </c>
      <c r="V1370" s="25" t="e">
        <f ca="1"/>
        <v>#REF!</v>
      </c>
      <c r="W1370" s="33" t="e">
        <f ca="1"/>
        <v>#REF!</v>
      </c>
      <c r="X1370" s="33" t="e">
        <f ca="1"/>
        <v>#REF!</v>
      </c>
      <c r="Y1370" s="33" t="e">
        <f ca="1"/>
        <v>#REF!</v>
      </c>
      <c r="Z1370" s="33" t="e">
        <f ca="1"/>
        <v>#REF!</v>
      </c>
      <c r="AA1370" s="33" t="e">
        <f ca="1"/>
        <v>#REF!</v>
      </c>
    </row>
    <row r="1371" spans="1:27" s="70" customFormat="1" ht="11.25" x14ac:dyDescent="0.2">
      <c r="A1371" s="24">
        <v>1365</v>
      </c>
      <c r="B1371" s="27"/>
      <c r="C1371" s="28"/>
      <c r="D1371" s="71"/>
      <c r="E1371" s="28"/>
      <c r="F1371" s="28"/>
      <c r="G1371" s="27"/>
      <c r="H1371" s="28" t="e">
        <f ca="1"/>
        <v>#REF!</v>
      </c>
      <c r="I1371" s="27" t="e">
        <f ca="1"/>
        <v>#REF!</v>
      </c>
      <c r="J1371" s="28" t="e">
        <f ca="1"/>
        <v>#REF!</v>
      </c>
      <c r="K1371" s="27" t="e">
        <f ca="1"/>
        <v>#REF!</v>
      </c>
      <c r="L1371" s="25" t="e">
        <f ca="1"/>
        <v>#REF!</v>
      </c>
      <c r="M1371" s="25" t="e">
        <f ca="1"/>
        <v>#REF!</v>
      </c>
      <c r="N1371" s="25" t="e">
        <f ca="1"/>
        <v>#REF!</v>
      </c>
      <c r="O1371" s="25" t="e">
        <f ca="1"/>
        <v>#REF!</v>
      </c>
      <c r="P1371" s="25" t="e">
        <f ca="1"/>
        <v>#REF!</v>
      </c>
      <c r="Q1371" s="25" t="e">
        <f ca="1"/>
        <v>#REF!</v>
      </c>
      <c r="R1371" s="25" t="e">
        <f ca="1"/>
        <v>#REF!</v>
      </c>
      <c r="S1371" s="25" t="e">
        <f ca="1"/>
        <v>#REF!</v>
      </c>
      <c r="T1371" s="25" t="e">
        <f ca="1"/>
        <v>#REF!</v>
      </c>
      <c r="U1371" s="25" t="e">
        <f ca="1"/>
        <v>#REF!</v>
      </c>
      <c r="V1371" s="25" t="e">
        <f ca="1"/>
        <v>#REF!</v>
      </c>
      <c r="W1371" s="33" t="e">
        <f ca="1"/>
        <v>#REF!</v>
      </c>
      <c r="X1371" s="33" t="e">
        <f ca="1"/>
        <v>#REF!</v>
      </c>
      <c r="Y1371" s="33" t="e">
        <f ca="1"/>
        <v>#REF!</v>
      </c>
      <c r="Z1371" s="33" t="e">
        <f ca="1"/>
        <v>#REF!</v>
      </c>
      <c r="AA1371" s="33" t="e">
        <f ca="1"/>
        <v>#REF!</v>
      </c>
    </row>
    <row r="1372" spans="1:27" s="70" customFormat="1" ht="11.25" x14ac:dyDescent="0.2">
      <c r="A1372" s="24">
        <v>1366</v>
      </c>
      <c r="B1372" s="27"/>
      <c r="C1372" s="28"/>
      <c r="D1372" s="71"/>
      <c r="E1372" s="28"/>
      <c r="F1372" s="28"/>
      <c r="G1372" s="27"/>
      <c r="H1372" s="28" t="e">
        <f ca="1"/>
        <v>#REF!</v>
      </c>
      <c r="I1372" s="27" t="e">
        <f ca="1"/>
        <v>#REF!</v>
      </c>
      <c r="J1372" s="28" t="e">
        <f ca="1"/>
        <v>#REF!</v>
      </c>
      <c r="K1372" s="27" t="e">
        <f ca="1"/>
        <v>#REF!</v>
      </c>
      <c r="L1372" s="25" t="e">
        <f ca="1"/>
        <v>#REF!</v>
      </c>
      <c r="M1372" s="25" t="e">
        <f ca="1"/>
        <v>#REF!</v>
      </c>
      <c r="N1372" s="25" t="e">
        <f ca="1"/>
        <v>#REF!</v>
      </c>
      <c r="O1372" s="25" t="e">
        <f ca="1"/>
        <v>#REF!</v>
      </c>
      <c r="P1372" s="25" t="e">
        <f ca="1"/>
        <v>#REF!</v>
      </c>
      <c r="Q1372" s="25" t="e">
        <f ca="1"/>
        <v>#REF!</v>
      </c>
      <c r="R1372" s="25" t="e">
        <f ca="1"/>
        <v>#REF!</v>
      </c>
      <c r="S1372" s="25" t="e">
        <f ca="1"/>
        <v>#REF!</v>
      </c>
      <c r="T1372" s="25" t="e">
        <f ca="1"/>
        <v>#REF!</v>
      </c>
      <c r="U1372" s="25" t="e">
        <f ca="1"/>
        <v>#REF!</v>
      </c>
      <c r="V1372" s="25" t="e">
        <f ca="1"/>
        <v>#REF!</v>
      </c>
      <c r="W1372" s="33" t="e">
        <f ca="1"/>
        <v>#REF!</v>
      </c>
      <c r="X1372" s="33" t="e">
        <f ca="1"/>
        <v>#REF!</v>
      </c>
      <c r="Y1372" s="33" t="e">
        <f ca="1"/>
        <v>#REF!</v>
      </c>
      <c r="Z1372" s="33" t="e">
        <f ca="1"/>
        <v>#REF!</v>
      </c>
      <c r="AA1372" s="33" t="e">
        <f ca="1"/>
        <v>#REF!</v>
      </c>
    </row>
    <row r="1373" spans="1:27" s="70" customFormat="1" ht="11.25" x14ac:dyDescent="0.2">
      <c r="A1373" s="24">
        <v>1367</v>
      </c>
      <c r="B1373" s="27"/>
      <c r="C1373" s="28"/>
      <c r="D1373" s="71"/>
      <c r="E1373" s="28"/>
      <c r="F1373" s="28"/>
      <c r="G1373" s="27"/>
      <c r="H1373" s="28" t="e">
        <f ca="1"/>
        <v>#REF!</v>
      </c>
      <c r="I1373" s="27" t="e">
        <f ca="1"/>
        <v>#REF!</v>
      </c>
      <c r="J1373" s="28" t="e">
        <f ca="1"/>
        <v>#REF!</v>
      </c>
      <c r="K1373" s="27" t="e">
        <f ca="1"/>
        <v>#REF!</v>
      </c>
      <c r="L1373" s="25" t="e">
        <f ca="1"/>
        <v>#REF!</v>
      </c>
      <c r="M1373" s="25" t="e">
        <f ca="1"/>
        <v>#REF!</v>
      </c>
      <c r="N1373" s="25" t="e">
        <f ca="1"/>
        <v>#REF!</v>
      </c>
      <c r="O1373" s="25" t="e">
        <f ca="1"/>
        <v>#REF!</v>
      </c>
      <c r="P1373" s="25" t="e">
        <f ca="1"/>
        <v>#REF!</v>
      </c>
      <c r="Q1373" s="25" t="e">
        <f ca="1"/>
        <v>#REF!</v>
      </c>
      <c r="R1373" s="25" t="e">
        <f ca="1"/>
        <v>#REF!</v>
      </c>
      <c r="S1373" s="25" t="e">
        <f ca="1"/>
        <v>#REF!</v>
      </c>
      <c r="T1373" s="25" t="e">
        <f ca="1"/>
        <v>#REF!</v>
      </c>
      <c r="U1373" s="25" t="e">
        <f ca="1"/>
        <v>#REF!</v>
      </c>
      <c r="V1373" s="25" t="e">
        <f ca="1"/>
        <v>#REF!</v>
      </c>
      <c r="W1373" s="33" t="e">
        <f ca="1"/>
        <v>#REF!</v>
      </c>
      <c r="X1373" s="33" t="e">
        <f ca="1"/>
        <v>#REF!</v>
      </c>
      <c r="Y1373" s="33" t="e">
        <f ca="1"/>
        <v>#REF!</v>
      </c>
      <c r="Z1373" s="33" t="e">
        <f ca="1"/>
        <v>#REF!</v>
      </c>
      <c r="AA1373" s="33" t="e">
        <f ca="1"/>
        <v>#REF!</v>
      </c>
    </row>
    <row r="1374" spans="1:27" s="70" customFormat="1" ht="11.25" x14ac:dyDescent="0.2">
      <c r="A1374" s="24">
        <v>1368</v>
      </c>
      <c r="B1374" s="27"/>
      <c r="C1374" s="28"/>
      <c r="D1374" s="71"/>
      <c r="E1374" s="28"/>
      <c r="F1374" s="28"/>
      <c r="G1374" s="27"/>
      <c r="H1374" s="28" t="e">
        <f ca="1"/>
        <v>#REF!</v>
      </c>
      <c r="I1374" s="27" t="e">
        <f ca="1"/>
        <v>#REF!</v>
      </c>
      <c r="J1374" s="28" t="e">
        <f ca="1"/>
        <v>#REF!</v>
      </c>
      <c r="K1374" s="27" t="e">
        <f ca="1"/>
        <v>#REF!</v>
      </c>
      <c r="L1374" s="25" t="e">
        <f ca="1"/>
        <v>#REF!</v>
      </c>
      <c r="M1374" s="25" t="e">
        <f ca="1"/>
        <v>#REF!</v>
      </c>
      <c r="N1374" s="25" t="e">
        <f ca="1"/>
        <v>#REF!</v>
      </c>
      <c r="O1374" s="25" t="e">
        <f ca="1"/>
        <v>#REF!</v>
      </c>
      <c r="P1374" s="25" t="e">
        <f ca="1"/>
        <v>#REF!</v>
      </c>
      <c r="Q1374" s="25" t="e">
        <f ca="1"/>
        <v>#REF!</v>
      </c>
      <c r="R1374" s="25" t="e">
        <f ca="1"/>
        <v>#REF!</v>
      </c>
      <c r="S1374" s="25" t="e">
        <f ca="1"/>
        <v>#REF!</v>
      </c>
      <c r="T1374" s="25" t="e">
        <f ca="1"/>
        <v>#REF!</v>
      </c>
      <c r="U1374" s="25" t="e">
        <f ca="1"/>
        <v>#REF!</v>
      </c>
      <c r="V1374" s="25" t="e">
        <f ca="1"/>
        <v>#REF!</v>
      </c>
      <c r="W1374" s="33" t="e">
        <f ca="1"/>
        <v>#REF!</v>
      </c>
      <c r="X1374" s="33" t="e">
        <f ca="1"/>
        <v>#REF!</v>
      </c>
      <c r="Y1374" s="33" t="e">
        <f ca="1"/>
        <v>#REF!</v>
      </c>
      <c r="Z1374" s="33" t="e">
        <f ca="1"/>
        <v>#REF!</v>
      </c>
      <c r="AA1374" s="33" t="e">
        <f ca="1"/>
        <v>#REF!</v>
      </c>
    </row>
    <row r="1375" spans="1:27" s="70" customFormat="1" ht="11.25" x14ac:dyDescent="0.2">
      <c r="A1375" s="24">
        <v>1369</v>
      </c>
      <c r="B1375" s="27"/>
      <c r="C1375" s="28"/>
      <c r="D1375" s="71"/>
      <c r="E1375" s="28"/>
      <c r="F1375" s="28"/>
      <c r="G1375" s="27"/>
      <c r="H1375" s="28" t="e">
        <f ca="1"/>
        <v>#REF!</v>
      </c>
      <c r="I1375" s="27" t="e">
        <f ca="1"/>
        <v>#REF!</v>
      </c>
      <c r="J1375" s="28" t="e">
        <f ca="1"/>
        <v>#REF!</v>
      </c>
      <c r="K1375" s="27" t="e">
        <f ca="1"/>
        <v>#REF!</v>
      </c>
      <c r="L1375" s="25" t="e">
        <f ca="1"/>
        <v>#REF!</v>
      </c>
      <c r="M1375" s="25" t="e">
        <f ca="1"/>
        <v>#REF!</v>
      </c>
      <c r="N1375" s="25" t="e">
        <f ca="1"/>
        <v>#REF!</v>
      </c>
      <c r="O1375" s="25" t="e">
        <f ca="1"/>
        <v>#REF!</v>
      </c>
      <c r="P1375" s="25" t="e">
        <f ca="1"/>
        <v>#REF!</v>
      </c>
      <c r="Q1375" s="25" t="e">
        <f ca="1"/>
        <v>#REF!</v>
      </c>
      <c r="R1375" s="25" t="e">
        <f ca="1"/>
        <v>#REF!</v>
      </c>
      <c r="S1375" s="25" t="e">
        <f ca="1"/>
        <v>#REF!</v>
      </c>
      <c r="T1375" s="25" t="e">
        <f ca="1"/>
        <v>#REF!</v>
      </c>
      <c r="U1375" s="25" t="e">
        <f ca="1"/>
        <v>#REF!</v>
      </c>
      <c r="V1375" s="25" t="e">
        <f ca="1"/>
        <v>#REF!</v>
      </c>
      <c r="W1375" s="33" t="e">
        <f ca="1"/>
        <v>#REF!</v>
      </c>
      <c r="X1375" s="33" t="e">
        <f ca="1"/>
        <v>#REF!</v>
      </c>
      <c r="Y1375" s="33" t="e">
        <f ca="1"/>
        <v>#REF!</v>
      </c>
      <c r="Z1375" s="33" t="e">
        <f ca="1"/>
        <v>#REF!</v>
      </c>
      <c r="AA1375" s="33" t="e">
        <f ca="1"/>
        <v>#REF!</v>
      </c>
    </row>
    <row r="1376" spans="1:27" s="70" customFormat="1" ht="11.25" x14ac:dyDescent="0.2">
      <c r="A1376" s="24">
        <v>1370</v>
      </c>
      <c r="B1376" s="27"/>
      <c r="C1376" s="28"/>
      <c r="D1376" s="71"/>
      <c r="E1376" s="28"/>
      <c r="F1376" s="28"/>
      <c r="G1376" s="27"/>
      <c r="H1376" s="28" t="e">
        <f ca="1"/>
        <v>#REF!</v>
      </c>
      <c r="I1376" s="27" t="e">
        <f ca="1"/>
        <v>#REF!</v>
      </c>
      <c r="J1376" s="28" t="e">
        <f ca="1"/>
        <v>#REF!</v>
      </c>
      <c r="K1376" s="27" t="e">
        <f ca="1"/>
        <v>#REF!</v>
      </c>
      <c r="L1376" s="25" t="e">
        <f ca="1"/>
        <v>#REF!</v>
      </c>
      <c r="M1376" s="25" t="e">
        <f ca="1"/>
        <v>#REF!</v>
      </c>
      <c r="N1376" s="25" t="e">
        <f ca="1"/>
        <v>#REF!</v>
      </c>
      <c r="O1376" s="25" t="e">
        <f ca="1"/>
        <v>#REF!</v>
      </c>
      <c r="P1376" s="25" t="e">
        <f ca="1"/>
        <v>#REF!</v>
      </c>
      <c r="Q1376" s="25" t="e">
        <f ca="1"/>
        <v>#REF!</v>
      </c>
      <c r="R1376" s="25" t="e">
        <f ca="1"/>
        <v>#REF!</v>
      </c>
      <c r="S1376" s="25" t="e">
        <f ca="1"/>
        <v>#REF!</v>
      </c>
      <c r="T1376" s="25" t="e">
        <f ca="1"/>
        <v>#REF!</v>
      </c>
      <c r="U1376" s="25" t="e">
        <f ca="1"/>
        <v>#REF!</v>
      </c>
      <c r="V1376" s="25" t="e">
        <f ca="1"/>
        <v>#REF!</v>
      </c>
      <c r="W1376" s="33" t="e">
        <f ca="1"/>
        <v>#REF!</v>
      </c>
      <c r="X1376" s="33" t="e">
        <f ca="1"/>
        <v>#REF!</v>
      </c>
      <c r="Y1376" s="33" t="e">
        <f ca="1"/>
        <v>#REF!</v>
      </c>
      <c r="Z1376" s="33" t="e">
        <f ca="1"/>
        <v>#REF!</v>
      </c>
      <c r="AA1376" s="33" t="e">
        <f ca="1"/>
        <v>#REF!</v>
      </c>
    </row>
    <row r="1377" spans="1:27" s="70" customFormat="1" ht="11.25" x14ac:dyDescent="0.2">
      <c r="A1377" s="24">
        <v>1371</v>
      </c>
      <c r="B1377" s="27"/>
      <c r="C1377" s="28"/>
      <c r="D1377" s="71"/>
      <c r="E1377" s="28"/>
      <c r="F1377" s="28"/>
      <c r="G1377" s="27"/>
      <c r="H1377" s="28" t="e">
        <f ca="1"/>
        <v>#REF!</v>
      </c>
      <c r="I1377" s="27" t="e">
        <f ca="1"/>
        <v>#REF!</v>
      </c>
      <c r="J1377" s="28" t="e">
        <f ca="1"/>
        <v>#REF!</v>
      </c>
      <c r="K1377" s="27" t="e">
        <f ca="1"/>
        <v>#REF!</v>
      </c>
      <c r="L1377" s="25" t="e">
        <f ca="1"/>
        <v>#REF!</v>
      </c>
      <c r="M1377" s="25" t="e">
        <f ca="1"/>
        <v>#REF!</v>
      </c>
      <c r="N1377" s="25" t="e">
        <f ca="1"/>
        <v>#REF!</v>
      </c>
      <c r="O1377" s="25" t="e">
        <f ca="1"/>
        <v>#REF!</v>
      </c>
      <c r="P1377" s="25" t="e">
        <f ca="1"/>
        <v>#REF!</v>
      </c>
      <c r="Q1377" s="25" t="e">
        <f ca="1"/>
        <v>#REF!</v>
      </c>
      <c r="R1377" s="25" t="e">
        <f ca="1"/>
        <v>#REF!</v>
      </c>
      <c r="S1377" s="25" t="e">
        <f ca="1"/>
        <v>#REF!</v>
      </c>
      <c r="T1377" s="25" t="e">
        <f ca="1"/>
        <v>#REF!</v>
      </c>
      <c r="U1377" s="25" t="e">
        <f ca="1"/>
        <v>#REF!</v>
      </c>
      <c r="V1377" s="25" t="e">
        <f ca="1"/>
        <v>#REF!</v>
      </c>
      <c r="W1377" s="33" t="e">
        <f ca="1"/>
        <v>#REF!</v>
      </c>
      <c r="X1377" s="33" t="e">
        <f ca="1"/>
        <v>#REF!</v>
      </c>
      <c r="Y1377" s="33" t="e">
        <f ca="1"/>
        <v>#REF!</v>
      </c>
      <c r="Z1377" s="33" t="e">
        <f ca="1"/>
        <v>#REF!</v>
      </c>
      <c r="AA1377" s="33" t="e">
        <f ca="1"/>
        <v>#REF!</v>
      </c>
    </row>
    <row r="1378" spans="1:27" s="70" customFormat="1" ht="11.25" x14ac:dyDescent="0.2">
      <c r="A1378" s="24">
        <v>1372</v>
      </c>
      <c r="B1378" s="27"/>
      <c r="C1378" s="28"/>
      <c r="D1378" s="71"/>
      <c r="E1378" s="28"/>
      <c r="F1378" s="28"/>
      <c r="G1378" s="27"/>
      <c r="H1378" s="28" t="e">
        <f ca="1"/>
        <v>#REF!</v>
      </c>
      <c r="I1378" s="27" t="e">
        <f ca="1"/>
        <v>#REF!</v>
      </c>
      <c r="J1378" s="28" t="e">
        <f ca="1"/>
        <v>#REF!</v>
      </c>
      <c r="K1378" s="27" t="e">
        <f ca="1"/>
        <v>#REF!</v>
      </c>
      <c r="L1378" s="25" t="e">
        <f ca="1"/>
        <v>#REF!</v>
      </c>
      <c r="M1378" s="25" t="e">
        <f ca="1"/>
        <v>#REF!</v>
      </c>
      <c r="N1378" s="25" t="e">
        <f ca="1"/>
        <v>#REF!</v>
      </c>
      <c r="O1378" s="25" t="e">
        <f ca="1"/>
        <v>#REF!</v>
      </c>
      <c r="P1378" s="25" t="e">
        <f ca="1"/>
        <v>#REF!</v>
      </c>
      <c r="Q1378" s="25" t="e">
        <f ca="1"/>
        <v>#REF!</v>
      </c>
      <c r="R1378" s="25" t="e">
        <f ca="1"/>
        <v>#REF!</v>
      </c>
      <c r="S1378" s="25" t="e">
        <f ca="1"/>
        <v>#REF!</v>
      </c>
      <c r="T1378" s="25" t="e">
        <f ca="1"/>
        <v>#REF!</v>
      </c>
      <c r="U1378" s="25" t="e">
        <f ca="1"/>
        <v>#REF!</v>
      </c>
      <c r="V1378" s="25" t="e">
        <f ca="1"/>
        <v>#REF!</v>
      </c>
      <c r="W1378" s="33" t="e">
        <f ca="1"/>
        <v>#REF!</v>
      </c>
      <c r="X1378" s="33" t="e">
        <f ca="1"/>
        <v>#REF!</v>
      </c>
      <c r="Y1378" s="33" t="e">
        <f ca="1"/>
        <v>#REF!</v>
      </c>
      <c r="Z1378" s="33" t="e">
        <f ca="1"/>
        <v>#REF!</v>
      </c>
      <c r="AA1378" s="33" t="e">
        <f ca="1"/>
        <v>#REF!</v>
      </c>
    </row>
    <row r="1379" spans="1:27" s="70" customFormat="1" ht="11.25" x14ac:dyDescent="0.2">
      <c r="A1379" s="24">
        <v>1373</v>
      </c>
      <c r="B1379" s="27"/>
      <c r="C1379" s="28"/>
      <c r="D1379" s="71"/>
      <c r="E1379" s="28"/>
      <c r="F1379" s="28"/>
      <c r="G1379" s="27"/>
      <c r="H1379" s="28" t="e">
        <f ca="1"/>
        <v>#REF!</v>
      </c>
      <c r="I1379" s="27" t="e">
        <f ca="1"/>
        <v>#REF!</v>
      </c>
      <c r="J1379" s="28" t="e">
        <f ca="1"/>
        <v>#REF!</v>
      </c>
      <c r="K1379" s="27" t="e">
        <f ca="1"/>
        <v>#REF!</v>
      </c>
      <c r="L1379" s="25" t="e">
        <f ca="1"/>
        <v>#REF!</v>
      </c>
      <c r="M1379" s="25" t="e">
        <f ca="1"/>
        <v>#REF!</v>
      </c>
      <c r="N1379" s="25" t="e">
        <f ca="1"/>
        <v>#REF!</v>
      </c>
      <c r="O1379" s="25" t="e">
        <f ca="1"/>
        <v>#REF!</v>
      </c>
      <c r="P1379" s="25" t="e">
        <f ca="1"/>
        <v>#REF!</v>
      </c>
      <c r="Q1379" s="25" t="e">
        <f ca="1"/>
        <v>#REF!</v>
      </c>
      <c r="R1379" s="25" t="e">
        <f ca="1"/>
        <v>#REF!</v>
      </c>
      <c r="S1379" s="25" t="e">
        <f ca="1"/>
        <v>#REF!</v>
      </c>
      <c r="T1379" s="25" t="e">
        <f ca="1"/>
        <v>#REF!</v>
      </c>
      <c r="U1379" s="25" t="e">
        <f ca="1"/>
        <v>#REF!</v>
      </c>
      <c r="V1379" s="25" t="e">
        <f ca="1"/>
        <v>#REF!</v>
      </c>
      <c r="W1379" s="33" t="e">
        <f ca="1"/>
        <v>#REF!</v>
      </c>
      <c r="X1379" s="33" t="e">
        <f ca="1"/>
        <v>#REF!</v>
      </c>
      <c r="Y1379" s="33" t="e">
        <f ca="1"/>
        <v>#REF!</v>
      </c>
      <c r="Z1379" s="33" t="e">
        <f ca="1"/>
        <v>#REF!</v>
      </c>
      <c r="AA1379" s="33" t="e">
        <f ca="1"/>
        <v>#REF!</v>
      </c>
    </row>
    <row r="1380" spans="1:27" s="70" customFormat="1" ht="11.25" x14ac:dyDescent="0.2">
      <c r="A1380" s="24">
        <v>1374</v>
      </c>
      <c r="B1380" s="27"/>
      <c r="C1380" s="28"/>
      <c r="D1380" s="71"/>
      <c r="E1380" s="28"/>
      <c r="F1380" s="28"/>
      <c r="G1380" s="27"/>
      <c r="H1380" s="28" t="e">
        <f ca="1"/>
        <v>#REF!</v>
      </c>
      <c r="I1380" s="27" t="e">
        <f ca="1"/>
        <v>#REF!</v>
      </c>
      <c r="J1380" s="28" t="e">
        <f ca="1"/>
        <v>#REF!</v>
      </c>
      <c r="K1380" s="27" t="e">
        <f ca="1"/>
        <v>#REF!</v>
      </c>
      <c r="L1380" s="25" t="e">
        <f ca="1"/>
        <v>#REF!</v>
      </c>
      <c r="M1380" s="25" t="e">
        <f ca="1"/>
        <v>#REF!</v>
      </c>
      <c r="N1380" s="25" t="e">
        <f ca="1"/>
        <v>#REF!</v>
      </c>
      <c r="O1380" s="25" t="e">
        <f ca="1"/>
        <v>#REF!</v>
      </c>
      <c r="P1380" s="25" t="e">
        <f ca="1"/>
        <v>#REF!</v>
      </c>
      <c r="Q1380" s="25" t="e">
        <f ca="1"/>
        <v>#REF!</v>
      </c>
      <c r="R1380" s="25" t="e">
        <f ca="1"/>
        <v>#REF!</v>
      </c>
      <c r="S1380" s="25" t="e">
        <f ca="1"/>
        <v>#REF!</v>
      </c>
      <c r="T1380" s="25" t="e">
        <f ca="1"/>
        <v>#REF!</v>
      </c>
      <c r="U1380" s="25" t="e">
        <f ca="1"/>
        <v>#REF!</v>
      </c>
      <c r="V1380" s="25" t="e">
        <f ca="1"/>
        <v>#REF!</v>
      </c>
      <c r="W1380" s="33" t="e">
        <f ca="1"/>
        <v>#REF!</v>
      </c>
      <c r="X1380" s="33" t="e">
        <f ca="1"/>
        <v>#REF!</v>
      </c>
      <c r="Y1380" s="33" t="e">
        <f ca="1"/>
        <v>#REF!</v>
      </c>
      <c r="Z1380" s="33" t="e">
        <f ca="1"/>
        <v>#REF!</v>
      </c>
      <c r="AA1380" s="33" t="e">
        <f ca="1"/>
        <v>#REF!</v>
      </c>
    </row>
    <row r="1381" spans="1:27" s="70" customFormat="1" ht="11.25" x14ac:dyDescent="0.2">
      <c r="A1381" s="24">
        <v>1375</v>
      </c>
      <c r="B1381" s="27"/>
      <c r="C1381" s="28"/>
      <c r="D1381" s="71"/>
      <c r="E1381" s="28"/>
      <c r="F1381" s="28"/>
      <c r="G1381" s="27"/>
      <c r="H1381" s="28" t="e">
        <f ca="1"/>
        <v>#REF!</v>
      </c>
      <c r="I1381" s="27" t="e">
        <f ca="1"/>
        <v>#REF!</v>
      </c>
      <c r="J1381" s="28" t="e">
        <f ca="1"/>
        <v>#REF!</v>
      </c>
      <c r="K1381" s="27" t="e">
        <f ca="1"/>
        <v>#REF!</v>
      </c>
      <c r="L1381" s="25" t="e">
        <f ca="1"/>
        <v>#REF!</v>
      </c>
      <c r="M1381" s="25" t="e">
        <f ca="1"/>
        <v>#REF!</v>
      </c>
      <c r="N1381" s="25" t="e">
        <f ca="1"/>
        <v>#REF!</v>
      </c>
      <c r="O1381" s="25" t="e">
        <f ca="1"/>
        <v>#REF!</v>
      </c>
      <c r="P1381" s="25" t="e">
        <f ca="1"/>
        <v>#REF!</v>
      </c>
      <c r="Q1381" s="25" t="e">
        <f ca="1"/>
        <v>#REF!</v>
      </c>
      <c r="R1381" s="25" t="e">
        <f ca="1"/>
        <v>#REF!</v>
      </c>
      <c r="S1381" s="25" t="e">
        <f ca="1"/>
        <v>#REF!</v>
      </c>
      <c r="T1381" s="25" t="e">
        <f ca="1"/>
        <v>#REF!</v>
      </c>
      <c r="U1381" s="25" t="e">
        <f ca="1"/>
        <v>#REF!</v>
      </c>
      <c r="V1381" s="25" t="e">
        <f ca="1"/>
        <v>#REF!</v>
      </c>
      <c r="W1381" s="33" t="e">
        <f ca="1"/>
        <v>#REF!</v>
      </c>
      <c r="X1381" s="33" t="e">
        <f ca="1"/>
        <v>#REF!</v>
      </c>
      <c r="Y1381" s="33" t="e">
        <f ca="1"/>
        <v>#REF!</v>
      </c>
      <c r="Z1381" s="33" t="e">
        <f ca="1"/>
        <v>#REF!</v>
      </c>
      <c r="AA1381" s="33" t="e">
        <f ca="1"/>
        <v>#REF!</v>
      </c>
    </row>
    <row r="1382" spans="1:27" s="70" customFormat="1" ht="11.25" x14ac:dyDescent="0.2">
      <c r="A1382" s="24">
        <v>1376</v>
      </c>
      <c r="B1382" s="27"/>
      <c r="C1382" s="28"/>
      <c r="D1382" s="71"/>
      <c r="E1382" s="28"/>
      <c r="F1382" s="28"/>
      <c r="G1382" s="27"/>
      <c r="H1382" s="28" t="e">
        <f ca="1"/>
        <v>#REF!</v>
      </c>
      <c r="I1382" s="27" t="e">
        <f ca="1"/>
        <v>#REF!</v>
      </c>
      <c r="J1382" s="28" t="e">
        <f ca="1"/>
        <v>#REF!</v>
      </c>
      <c r="K1382" s="27" t="e">
        <f ca="1"/>
        <v>#REF!</v>
      </c>
      <c r="L1382" s="25" t="e">
        <f ca="1"/>
        <v>#REF!</v>
      </c>
      <c r="M1382" s="25" t="e">
        <f ca="1"/>
        <v>#REF!</v>
      </c>
      <c r="N1382" s="25" t="e">
        <f ca="1"/>
        <v>#REF!</v>
      </c>
      <c r="O1382" s="25" t="e">
        <f ca="1"/>
        <v>#REF!</v>
      </c>
      <c r="P1382" s="25" t="e">
        <f ca="1"/>
        <v>#REF!</v>
      </c>
      <c r="Q1382" s="25" t="e">
        <f ca="1"/>
        <v>#REF!</v>
      </c>
      <c r="R1382" s="25" t="e">
        <f ca="1"/>
        <v>#REF!</v>
      </c>
      <c r="S1382" s="25" t="e">
        <f ca="1"/>
        <v>#REF!</v>
      </c>
      <c r="T1382" s="25" t="e">
        <f ca="1"/>
        <v>#REF!</v>
      </c>
      <c r="U1382" s="25" t="e">
        <f ca="1"/>
        <v>#REF!</v>
      </c>
      <c r="V1382" s="25" t="e">
        <f ca="1"/>
        <v>#REF!</v>
      </c>
      <c r="W1382" s="33" t="e">
        <f ca="1"/>
        <v>#REF!</v>
      </c>
      <c r="X1382" s="33" t="e">
        <f ca="1"/>
        <v>#REF!</v>
      </c>
      <c r="Y1382" s="33" t="e">
        <f ca="1"/>
        <v>#REF!</v>
      </c>
      <c r="Z1382" s="33" t="e">
        <f ca="1"/>
        <v>#REF!</v>
      </c>
      <c r="AA1382" s="33" t="e">
        <f ca="1"/>
        <v>#REF!</v>
      </c>
    </row>
    <row r="1383" spans="1:27" s="70" customFormat="1" ht="11.25" x14ac:dyDescent="0.2">
      <c r="A1383" s="24">
        <v>1377</v>
      </c>
      <c r="B1383" s="27"/>
      <c r="C1383" s="28"/>
      <c r="D1383" s="71"/>
      <c r="E1383" s="28"/>
      <c r="F1383" s="28"/>
      <c r="G1383" s="27"/>
      <c r="H1383" s="28" t="e">
        <f ca="1"/>
        <v>#REF!</v>
      </c>
      <c r="I1383" s="27" t="e">
        <f ca="1"/>
        <v>#REF!</v>
      </c>
      <c r="J1383" s="28" t="e">
        <f ca="1"/>
        <v>#REF!</v>
      </c>
      <c r="K1383" s="27" t="e">
        <f ca="1"/>
        <v>#REF!</v>
      </c>
      <c r="L1383" s="25" t="e">
        <f ca="1"/>
        <v>#REF!</v>
      </c>
      <c r="M1383" s="25" t="e">
        <f ca="1"/>
        <v>#REF!</v>
      </c>
      <c r="N1383" s="25" t="e">
        <f ca="1"/>
        <v>#REF!</v>
      </c>
      <c r="O1383" s="25" t="e">
        <f ca="1"/>
        <v>#REF!</v>
      </c>
      <c r="P1383" s="25" t="e">
        <f ca="1"/>
        <v>#REF!</v>
      </c>
      <c r="Q1383" s="25" t="e">
        <f ca="1"/>
        <v>#REF!</v>
      </c>
      <c r="R1383" s="25" t="e">
        <f ca="1"/>
        <v>#REF!</v>
      </c>
      <c r="S1383" s="25" t="e">
        <f ca="1"/>
        <v>#REF!</v>
      </c>
      <c r="T1383" s="25" t="e">
        <f ca="1"/>
        <v>#REF!</v>
      </c>
      <c r="U1383" s="25" t="e">
        <f ca="1"/>
        <v>#REF!</v>
      </c>
      <c r="V1383" s="25" t="e">
        <f ca="1"/>
        <v>#REF!</v>
      </c>
      <c r="W1383" s="33" t="e">
        <f ca="1"/>
        <v>#REF!</v>
      </c>
      <c r="X1383" s="33" t="e">
        <f ca="1"/>
        <v>#REF!</v>
      </c>
      <c r="Y1383" s="33" t="e">
        <f ca="1"/>
        <v>#REF!</v>
      </c>
      <c r="Z1383" s="33" t="e">
        <f ca="1"/>
        <v>#REF!</v>
      </c>
      <c r="AA1383" s="33" t="e">
        <f ca="1"/>
        <v>#REF!</v>
      </c>
    </row>
    <row r="1384" spans="1:27" s="70" customFormat="1" ht="11.25" x14ac:dyDescent="0.2">
      <c r="A1384" s="24">
        <v>1378</v>
      </c>
      <c r="B1384" s="27"/>
      <c r="C1384" s="28"/>
      <c r="D1384" s="71"/>
      <c r="E1384" s="28"/>
      <c r="F1384" s="28"/>
      <c r="G1384" s="27"/>
      <c r="H1384" s="28" t="e">
        <f ca="1"/>
        <v>#REF!</v>
      </c>
      <c r="I1384" s="27" t="e">
        <f ca="1"/>
        <v>#REF!</v>
      </c>
      <c r="J1384" s="28" t="e">
        <f ca="1"/>
        <v>#REF!</v>
      </c>
      <c r="K1384" s="27" t="e">
        <f ca="1"/>
        <v>#REF!</v>
      </c>
      <c r="L1384" s="25" t="e">
        <f ca="1"/>
        <v>#REF!</v>
      </c>
      <c r="M1384" s="25" t="e">
        <f ca="1"/>
        <v>#REF!</v>
      </c>
      <c r="N1384" s="25" t="e">
        <f ca="1"/>
        <v>#REF!</v>
      </c>
      <c r="O1384" s="25" t="e">
        <f ca="1"/>
        <v>#REF!</v>
      </c>
      <c r="P1384" s="25" t="e">
        <f ca="1"/>
        <v>#REF!</v>
      </c>
      <c r="Q1384" s="25" t="e">
        <f ca="1"/>
        <v>#REF!</v>
      </c>
      <c r="R1384" s="25" t="e">
        <f ca="1"/>
        <v>#REF!</v>
      </c>
      <c r="S1384" s="25" t="e">
        <f ca="1"/>
        <v>#REF!</v>
      </c>
      <c r="T1384" s="25" t="e">
        <f ca="1"/>
        <v>#REF!</v>
      </c>
      <c r="U1384" s="25" t="e">
        <f ca="1"/>
        <v>#REF!</v>
      </c>
      <c r="V1384" s="25" t="e">
        <f ca="1"/>
        <v>#REF!</v>
      </c>
      <c r="W1384" s="33" t="e">
        <f ca="1"/>
        <v>#REF!</v>
      </c>
      <c r="X1384" s="33" t="e">
        <f ca="1"/>
        <v>#REF!</v>
      </c>
      <c r="Y1384" s="33" t="e">
        <f ca="1"/>
        <v>#REF!</v>
      </c>
      <c r="Z1384" s="33" t="e">
        <f ca="1"/>
        <v>#REF!</v>
      </c>
      <c r="AA1384" s="33" t="e">
        <f ca="1"/>
        <v>#REF!</v>
      </c>
    </row>
    <row r="1385" spans="1:27" s="70" customFormat="1" ht="11.25" x14ac:dyDescent="0.2">
      <c r="A1385" s="24">
        <v>1379</v>
      </c>
      <c r="B1385" s="27"/>
      <c r="C1385" s="28"/>
      <c r="D1385" s="71"/>
      <c r="E1385" s="28"/>
      <c r="F1385" s="28"/>
      <c r="G1385" s="27"/>
      <c r="H1385" s="28" t="e">
        <f ca="1"/>
        <v>#REF!</v>
      </c>
      <c r="I1385" s="27" t="e">
        <f ca="1"/>
        <v>#REF!</v>
      </c>
      <c r="J1385" s="28" t="e">
        <f ca="1"/>
        <v>#REF!</v>
      </c>
      <c r="K1385" s="27" t="e">
        <f ca="1"/>
        <v>#REF!</v>
      </c>
      <c r="L1385" s="25" t="e">
        <f ca="1"/>
        <v>#REF!</v>
      </c>
      <c r="M1385" s="25" t="e">
        <f ca="1"/>
        <v>#REF!</v>
      </c>
      <c r="N1385" s="25" t="e">
        <f ca="1"/>
        <v>#REF!</v>
      </c>
      <c r="O1385" s="25" t="e">
        <f ca="1"/>
        <v>#REF!</v>
      </c>
      <c r="P1385" s="25" t="e">
        <f ca="1"/>
        <v>#REF!</v>
      </c>
      <c r="Q1385" s="25" t="e">
        <f ca="1"/>
        <v>#REF!</v>
      </c>
      <c r="R1385" s="25" t="e">
        <f ca="1"/>
        <v>#REF!</v>
      </c>
      <c r="S1385" s="25" t="e">
        <f ca="1"/>
        <v>#REF!</v>
      </c>
      <c r="T1385" s="25" t="e">
        <f ca="1"/>
        <v>#REF!</v>
      </c>
      <c r="U1385" s="25" t="e">
        <f ca="1"/>
        <v>#REF!</v>
      </c>
      <c r="V1385" s="25" t="e">
        <f ca="1"/>
        <v>#REF!</v>
      </c>
      <c r="W1385" s="33" t="e">
        <f ca="1"/>
        <v>#REF!</v>
      </c>
      <c r="X1385" s="33" t="e">
        <f ca="1"/>
        <v>#REF!</v>
      </c>
      <c r="Y1385" s="33" t="e">
        <f ca="1"/>
        <v>#REF!</v>
      </c>
      <c r="Z1385" s="33" t="e">
        <f ca="1"/>
        <v>#REF!</v>
      </c>
      <c r="AA1385" s="33" t="e">
        <f ca="1"/>
        <v>#REF!</v>
      </c>
    </row>
    <row r="1386" spans="1:27" s="70" customFormat="1" ht="11.25" x14ac:dyDescent="0.2">
      <c r="A1386" s="24">
        <v>1380</v>
      </c>
      <c r="B1386" s="27"/>
      <c r="C1386" s="28"/>
      <c r="D1386" s="71"/>
      <c r="E1386" s="28"/>
      <c r="F1386" s="28"/>
      <c r="G1386" s="27"/>
      <c r="H1386" s="28" t="e">
        <f ca="1"/>
        <v>#REF!</v>
      </c>
      <c r="I1386" s="27" t="e">
        <f ca="1"/>
        <v>#REF!</v>
      </c>
      <c r="J1386" s="28" t="e">
        <f ca="1"/>
        <v>#REF!</v>
      </c>
      <c r="K1386" s="27" t="e">
        <f ca="1"/>
        <v>#REF!</v>
      </c>
      <c r="L1386" s="25" t="e">
        <f ca="1"/>
        <v>#REF!</v>
      </c>
      <c r="M1386" s="25" t="e">
        <f ca="1"/>
        <v>#REF!</v>
      </c>
      <c r="N1386" s="25" t="e">
        <f ca="1"/>
        <v>#REF!</v>
      </c>
      <c r="O1386" s="25" t="e">
        <f ca="1"/>
        <v>#REF!</v>
      </c>
      <c r="P1386" s="25" t="e">
        <f ca="1"/>
        <v>#REF!</v>
      </c>
      <c r="Q1386" s="25" t="e">
        <f ca="1"/>
        <v>#REF!</v>
      </c>
      <c r="R1386" s="25" t="e">
        <f ca="1"/>
        <v>#REF!</v>
      </c>
      <c r="S1386" s="25" t="e">
        <f ca="1"/>
        <v>#REF!</v>
      </c>
      <c r="T1386" s="25" t="e">
        <f ca="1"/>
        <v>#REF!</v>
      </c>
      <c r="U1386" s="25" t="e">
        <f ca="1"/>
        <v>#REF!</v>
      </c>
      <c r="V1386" s="25" t="e">
        <f ca="1"/>
        <v>#REF!</v>
      </c>
      <c r="W1386" s="33" t="e">
        <f ca="1"/>
        <v>#REF!</v>
      </c>
      <c r="X1386" s="33" t="e">
        <f ca="1"/>
        <v>#REF!</v>
      </c>
      <c r="Y1386" s="33" t="e">
        <f ca="1"/>
        <v>#REF!</v>
      </c>
      <c r="Z1386" s="33" t="e">
        <f ca="1"/>
        <v>#REF!</v>
      </c>
      <c r="AA1386" s="33" t="e">
        <f ca="1"/>
        <v>#REF!</v>
      </c>
    </row>
    <row r="1387" spans="1:27" s="70" customFormat="1" ht="11.25" x14ac:dyDescent="0.2">
      <c r="A1387" s="24">
        <v>1381</v>
      </c>
      <c r="B1387" s="27"/>
      <c r="C1387" s="28"/>
      <c r="D1387" s="71"/>
      <c r="E1387" s="28"/>
      <c r="F1387" s="28"/>
      <c r="G1387" s="27"/>
      <c r="H1387" s="28" t="e">
        <f ca="1"/>
        <v>#REF!</v>
      </c>
      <c r="I1387" s="27" t="e">
        <f ca="1"/>
        <v>#REF!</v>
      </c>
      <c r="J1387" s="28" t="e">
        <f ca="1"/>
        <v>#REF!</v>
      </c>
      <c r="K1387" s="27" t="e">
        <f ca="1"/>
        <v>#REF!</v>
      </c>
      <c r="L1387" s="25" t="e">
        <f ca="1"/>
        <v>#REF!</v>
      </c>
      <c r="M1387" s="25" t="e">
        <f ca="1"/>
        <v>#REF!</v>
      </c>
      <c r="N1387" s="25" t="e">
        <f ca="1"/>
        <v>#REF!</v>
      </c>
      <c r="O1387" s="25" t="e">
        <f ca="1"/>
        <v>#REF!</v>
      </c>
      <c r="P1387" s="25" t="e">
        <f ca="1"/>
        <v>#REF!</v>
      </c>
      <c r="Q1387" s="25" t="e">
        <f ca="1"/>
        <v>#REF!</v>
      </c>
      <c r="R1387" s="25" t="e">
        <f ca="1"/>
        <v>#REF!</v>
      </c>
      <c r="S1387" s="25" t="e">
        <f ca="1"/>
        <v>#REF!</v>
      </c>
      <c r="T1387" s="25" t="e">
        <f ca="1"/>
        <v>#REF!</v>
      </c>
      <c r="U1387" s="25" t="e">
        <f ca="1"/>
        <v>#REF!</v>
      </c>
      <c r="V1387" s="25" t="e">
        <f ca="1"/>
        <v>#REF!</v>
      </c>
      <c r="W1387" s="33" t="e">
        <f ca="1"/>
        <v>#REF!</v>
      </c>
      <c r="X1387" s="33" t="e">
        <f ca="1"/>
        <v>#REF!</v>
      </c>
      <c r="Y1387" s="33" t="e">
        <f ca="1"/>
        <v>#REF!</v>
      </c>
      <c r="Z1387" s="33" t="e">
        <f ca="1"/>
        <v>#REF!</v>
      </c>
      <c r="AA1387" s="33" t="e">
        <f ca="1"/>
        <v>#REF!</v>
      </c>
    </row>
    <row r="1388" spans="1:27" s="70" customFormat="1" ht="11.25" x14ac:dyDescent="0.2">
      <c r="A1388" s="24">
        <v>1382</v>
      </c>
      <c r="B1388" s="27"/>
      <c r="C1388" s="28"/>
      <c r="D1388" s="71"/>
      <c r="E1388" s="28"/>
      <c r="F1388" s="28"/>
      <c r="G1388" s="27"/>
      <c r="H1388" s="28" t="e">
        <f ca="1"/>
        <v>#REF!</v>
      </c>
      <c r="I1388" s="27" t="e">
        <f ca="1"/>
        <v>#REF!</v>
      </c>
      <c r="J1388" s="28" t="e">
        <f ca="1"/>
        <v>#REF!</v>
      </c>
      <c r="K1388" s="27" t="e">
        <f ca="1"/>
        <v>#REF!</v>
      </c>
      <c r="L1388" s="25" t="e">
        <f ca="1"/>
        <v>#REF!</v>
      </c>
      <c r="M1388" s="25" t="e">
        <f ca="1"/>
        <v>#REF!</v>
      </c>
      <c r="N1388" s="25" t="e">
        <f ca="1"/>
        <v>#REF!</v>
      </c>
      <c r="O1388" s="25" t="e">
        <f ca="1"/>
        <v>#REF!</v>
      </c>
      <c r="P1388" s="25" t="e">
        <f ca="1"/>
        <v>#REF!</v>
      </c>
      <c r="Q1388" s="25" t="e">
        <f ca="1"/>
        <v>#REF!</v>
      </c>
      <c r="R1388" s="25" t="e">
        <f ca="1"/>
        <v>#REF!</v>
      </c>
      <c r="S1388" s="25" t="e">
        <f ca="1"/>
        <v>#REF!</v>
      </c>
      <c r="T1388" s="25" t="e">
        <f ca="1"/>
        <v>#REF!</v>
      </c>
      <c r="U1388" s="25" t="e">
        <f ca="1"/>
        <v>#REF!</v>
      </c>
      <c r="V1388" s="25" t="e">
        <f ca="1"/>
        <v>#REF!</v>
      </c>
      <c r="W1388" s="33" t="e">
        <f ca="1"/>
        <v>#REF!</v>
      </c>
      <c r="X1388" s="33" t="e">
        <f ca="1"/>
        <v>#REF!</v>
      </c>
      <c r="Y1388" s="33" t="e">
        <f ca="1"/>
        <v>#REF!</v>
      </c>
      <c r="Z1388" s="33" t="e">
        <f ca="1"/>
        <v>#REF!</v>
      </c>
      <c r="AA1388" s="33" t="e">
        <f ca="1"/>
        <v>#REF!</v>
      </c>
    </row>
    <row r="1389" spans="1:27" s="70" customFormat="1" ht="11.25" x14ac:dyDescent="0.2">
      <c r="A1389" s="24">
        <v>1383</v>
      </c>
      <c r="B1389" s="27"/>
      <c r="C1389" s="28"/>
      <c r="D1389" s="71"/>
      <c r="E1389" s="28"/>
      <c r="F1389" s="28"/>
      <c r="G1389" s="27"/>
      <c r="H1389" s="28" t="e">
        <f ca="1"/>
        <v>#REF!</v>
      </c>
      <c r="I1389" s="27" t="e">
        <f ca="1"/>
        <v>#REF!</v>
      </c>
      <c r="J1389" s="28" t="e">
        <f ca="1"/>
        <v>#REF!</v>
      </c>
      <c r="K1389" s="27" t="e">
        <f ca="1"/>
        <v>#REF!</v>
      </c>
      <c r="L1389" s="25" t="e">
        <f ca="1"/>
        <v>#REF!</v>
      </c>
      <c r="M1389" s="25" t="e">
        <f ca="1"/>
        <v>#REF!</v>
      </c>
      <c r="N1389" s="25" t="e">
        <f ca="1"/>
        <v>#REF!</v>
      </c>
      <c r="O1389" s="25" t="e">
        <f ca="1"/>
        <v>#REF!</v>
      </c>
      <c r="P1389" s="25" t="e">
        <f ca="1"/>
        <v>#REF!</v>
      </c>
      <c r="Q1389" s="25" t="e">
        <f ca="1"/>
        <v>#REF!</v>
      </c>
      <c r="R1389" s="25" t="e">
        <f ca="1"/>
        <v>#REF!</v>
      </c>
      <c r="S1389" s="25" t="e">
        <f ca="1"/>
        <v>#REF!</v>
      </c>
      <c r="T1389" s="25" t="e">
        <f ca="1"/>
        <v>#REF!</v>
      </c>
      <c r="U1389" s="25" t="e">
        <f ca="1"/>
        <v>#REF!</v>
      </c>
      <c r="V1389" s="25" t="e">
        <f ca="1"/>
        <v>#REF!</v>
      </c>
      <c r="W1389" s="33" t="e">
        <f ca="1"/>
        <v>#REF!</v>
      </c>
      <c r="X1389" s="33" t="e">
        <f ca="1"/>
        <v>#REF!</v>
      </c>
      <c r="Y1389" s="33" t="e">
        <f ca="1"/>
        <v>#REF!</v>
      </c>
      <c r="Z1389" s="33" t="e">
        <f ca="1"/>
        <v>#REF!</v>
      </c>
      <c r="AA1389" s="33" t="e">
        <f ca="1"/>
        <v>#REF!</v>
      </c>
    </row>
    <row r="1390" spans="1:27" s="70" customFormat="1" ht="11.25" x14ac:dyDescent="0.2">
      <c r="A1390" s="24">
        <v>1384</v>
      </c>
      <c r="B1390" s="27"/>
      <c r="C1390" s="28"/>
      <c r="D1390" s="71"/>
      <c r="E1390" s="28"/>
      <c r="F1390" s="28"/>
      <c r="G1390" s="27"/>
      <c r="H1390" s="28" t="e">
        <f ca="1"/>
        <v>#REF!</v>
      </c>
      <c r="I1390" s="27" t="e">
        <f ca="1"/>
        <v>#REF!</v>
      </c>
      <c r="J1390" s="28" t="e">
        <f ca="1"/>
        <v>#REF!</v>
      </c>
      <c r="K1390" s="27" t="e">
        <f ca="1"/>
        <v>#REF!</v>
      </c>
      <c r="L1390" s="25" t="e">
        <f ca="1"/>
        <v>#REF!</v>
      </c>
      <c r="M1390" s="25" t="e">
        <f ca="1"/>
        <v>#REF!</v>
      </c>
      <c r="N1390" s="25" t="e">
        <f ca="1"/>
        <v>#REF!</v>
      </c>
      <c r="O1390" s="25" t="e">
        <f ca="1"/>
        <v>#REF!</v>
      </c>
      <c r="P1390" s="25" t="e">
        <f ca="1"/>
        <v>#REF!</v>
      </c>
      <c r="Q1390" s="25" t="e">
        <f ca="1"/>
        <v>#REF!</v>
      </c>
      <c r="R1390" s="25" t="e">
        <f ca="1"/>
        <v>#REF!</v>
      </c>
      <c r="S1390" s="25" t="e">
        <f ca="1"/>
        <v>#REF!</v>
      </c>
      <c r="T1390" s="25" t="e">
        <f ca="1"/>
        <v>#REF!</v>
      </c>
      <c r="U1390" s="25" t="e">
        <f ca="1"/>
        <v>#REF!</v>
      </c>
      <c r="V1390" s="25" t="e">
        <f ca="1"/>
        <v>#REF!</v>
      </c>
      <c r="W1390" s="33" t="e">
        <f ca="1"/>
        <v>#REF!</v>
      </c>
      <c r="X1390" s="33" t="e">
        <f ca="1"/>
        <v>#REF!</v>
      </c>
      <c r="Y1390" s="33" t="e">
        <f ca="1"/>
        <v>#REF!</v>
      </c>
      <c r="Z1390" s="33" t="e">
        <f ca="1"/>
        <v>#REF!</v>
      </c>
      <c r="AA1390" s="33" t="e">
        <f ca="1"/>
        <v>#REF!</v>
      </c>
    </row>
    <row r="1391" spans="1:27" s="70" customFormat="1" ht="11.25" x14ac:dyDescent="0.2">
      <c r="A1391" s="24">
        <v>1385</v>
      </c>
      <c r="B1391" s="27"/>
      <c r="C1391" s="28"/>
      <c r="D1391" s="71"/>
      <c r="E1391" s="28"/>
      <c r="F1391" s="28"/>
      <c r="G1391" s="27"/>
      <c r="H1391" s="28" t="e">
        <f ca="1"/>
        <v>#REF!</v>
      </c>
      <c r="I1391" s="27" t="e">
        <f ca="1"/>
        <v>#REF!</v>
      </c>
      <c r="J1391" s="28" t="e">
        <f ca="1"/>
        <v>#REF!</v>
      </c>
      <c r="K1391" s="27" t="e">
        <f ca="1"/>
        <v>#REF!</v>
      </c>
      <c r="L1391" s="25" t="e">
        <f ca="1"/>
        <v>#REF!</v>
      </c>
      <c r="M1391" s="25" t="e">
        <f ca="1"/>
        <v>#REF!</v>
      </c>
      <c r="N1391" s="25" t="e">
        <f ca="1"/>
        <v>#REF!</v>
      </c>
      <c r="O1391" s="25" t="e">
        <f ca="1"/>
        <v>#REF!</v>
      </c>
      <c r="P1391" s="25" t="e">
        <f ca="1"/>
        <v>#REF!</v>
      </c>
      <c r="Q1391" s="25" t="e">
        <f ca="1"/>
        <v>#REF!</v>
      </c>
      <c r="R1391" s="25" t="e">
        <f ca="1"/>
        <v>#REF!</v>
      </c>
      <c r="S1391" s="25" t="e">
        <f ca="1"/>
        <v>#REF!</v>
      </c>
      <c r="T1391" s="25" t="e">
        <f ca="1"/>
        <v>#REF!</v>
      </c>
      <c r="U1391" s="25" t="e">
        <f ca="1"/>
        <v>#REF!</v>
      </c>
      <c r="V1391" s="25" t="e">
        <f ca="1"/>
        <v>#REF!</v>
      </c>
      <c r="W1391" s="33" t="e">
        <f ca="1"/>
        <v>#REF!</v>
      </c>
      <c r="X1391" s="33" t="e">
        <f ca="1"/>
        <v>#REF!</v>
      </c>
      <c r="Y1391" s="33" t="e">
        <f ca="1"/>
        <v>#REF!</v>
      </c>
      <c r="Z1391" s="33" t="e">
        <f ca="1"/>
        <v>#REF!</v>
      </c>
      <c r="AA1391" s="33" t="e">
        <f ca="1"/>
        <v>#REF!</v>
      </c>
    </row>
    <row r="1392" spans="1:27" s="70" customFormat="1" ht="11.25" x14ac:dyDescent="0.2">
      <c r="A1392" s="24">
        <v>1386</v>
      </c>
      <c r="B1392" s="27"/>
      <c r="C1392" s="28"/>
      <c r="D1392" s="71"/>
      <c r="E1392" s="28"/>
      <c r="F1392" s="28"/>
      <c r="G1392" s="27"/>
      <c r="H1392" s="28" t="e">
        <f ca="1"/>
        <v>#REF!</v>
      </c>
      <c r="I1392" s="27" t="e">
        <f ca="1"/>
        <v>#REF!</v>
      </c>
      <c r="J1392" s="28" t="e">
        <f ca="1"/>
        <v>#REF!</v>
      </c>
      <c r="K1392" s="27" t="e">
        <f ca="1"/>
        <v>#REF!</v>
      </c>
      <c r="L1392" s="25" t="e">
        <f ca="1"/>
        <v>#REF!</v>
      </c>
      <c r="M1392" s="25" t="e">
        <f ca="1"/>
        <v>#REF!</v>
      </c>
      <c r="N1392" s="25" t="e">
        <f ca="1"/>
        <v>#REF!</v>
      </c>
      <c r="O1392" s="25" t="e">
        <f ca="1"/>
        <v>#REF!</v>
      </c>
      <c r="P1392" s="25" t="e">
        <f ca="1"/>
        <v>#REF!</v>
      </c>
      <c r="Q1392" s="25" t="e">
        <f ca="1"/>
        <v>#REF!</v>
      </c>
      <c r="R1392" s="25" t="e">
        <f ca="1"/>
        <v>#REF!</v>
      </c>
      <c r="S1392" s="25" t="e">
        <f ca="1"/>
        <v>#REF!</v>
      </c>
      <c r="T1392" s="25" t="e">
        <f ca="1"/>
        <v>#REF!</v>
      </c>
      <c r="U1392" s="25" t="e">
        <f ca="1"/>
        <v>#REF!</v>
      </c>
      <c r="V1392" s="25" t="e">
        <f ca="1"/>
        <v>#REF!</v>
      </c>
      <c r="W1392" s="33" t="e">
        <f ca="1"/>
        <v>#REF!</v>
      </c>
      <c r="X1392" s="33" t="e">
        <f ca="1"/>
        <v>#REF!</v>
      </c>
      <c r="Y1392" s="33" t="e">
        <f ca="1"/>
        <v>#REF!</v>
      </c>
      <c r="Z1392" s="33" t="e">
        <f ca="1"/>
        <v>#REF!</v>
      </c>
      <c r="AA1392" s="33" t="e">
        <f ca="1"/>
        <v>#REF!</v>
      </c>
    </row>
    <row r="1393" spans="1:27" s="70" customFormat="1" ht="11.25" x14ac:dyDescent="0.2">
      <c r="A1393" s="24">
        <v>1387</v>
      </c>
      <c r="B1393" s="27"/>
      <c r="C1393" s="28"/>
      <c r="D1393" s="71"/>
      <c r="E1393" s="28"/>
      <c r="F1393" s="28"/>
      <c r="G1393" s="27"/>
      <c r="H1393" s="28" t="e">
        <f ca="1"/>
        <v>#REF!</v>
      </c>
      <c r="I1393" s="27" t="e">
        <f ca="1"/>
        <v>#REF!</v>
      </c>
      <c r="J1393" s="28" t="e">
        <f ca="1"/>
        <v>#REF!</v>
      </c>
      <c r="K1393" s="27" t="e">
        <f ca="1"/>
        <v>#REF!</v>
      </c>
      <c r="L1393" s="25" t="e">
        <f ca="1"/>
        <v>#REF!</v>
      </c>
      <c r="M1393" s="25" t="e">
        <f ca="1"/>
        <v>#REF!</v>
      </c>
      <c r="N1393" s="25" t="e">
        <f ca="1"/>
        <v>#REF!</v>
      </c>
      <c r="O1393" s="25" t="e">
        <f ca="1"/>
        <v>#REF!</v>
      </c>
      <c r="P1393" s="25" t="e">
        <f ca="1"/>
        <v>#REF!</v>
      </c>
      <c r="Q1393" s="25" t="e">
        <f ca="1"/>
        <v>#REF!</v>
      </c>
      <c r="R1393" s="25" t="e">
        <f ca="1"/>
        <v>#REF!</v>
      </c>
      <c r="S1393" s="25" t="e">
        <f ca="1"/>
        <v>#REF!</v>
      </c>
      <c r="T1393" s="25" t="e">
        <f ca="1"/>
        <v>#REF!</v>
      </c>
      <c r="U1393" s="25" t="e">
        <f ca="1"/>
        <v>#REF!</v>
      </c>
      <c r="V1393" s="25" t="e">
        <f ca="1"/>
        <v>#REF!</v>
      </c>
      <c r="W1393" s="33" t="e">
        <f ca="1"/>
        <v>#REF!</v>
      </c>
      <c r="X1393" s="33" t="e">
        <f ca="1"/>
        <v>#REF!</v>
      </c>
      <c r="Y1393" s="33" t="e">
        <f ca="1"/>
        <v>#REF!</v>
      </c>
      <c r="Z1393" s="33" t="e">
        <f ca="1"/>
        <v>#REF!</v>
      </c>
      <c r="AA1393" s="33" t="e">
        <f ca="1"/>
        <v>#REF!</v>
      </c>
    </row>
    <row r="1394" spans="1:27" s="70" customFormat="1" ht="11.25" x14ac:dyDescent="0.2">
      <c r="A1394" s="24">
        <v>1388</v>
      </c>
      <c r="B1394" s="27"/>
      <c r="C1394" s="28"/>
      <c r="D1394" s="71"/>
      <c r="E1394" s="28"/>
      <c r="F1394" s="28"/>
      <c r="G1394" s="27"/>
      <c r="H1394" s="28" t="e">
        <f ca="1"/>
        <v>#REF!</v>
      </c>
      <c r="I1394" s="27" t="e">
        <f ca="1"/>
        <v>#REF!</v>
      </c>
      <c r="J1394" s="28" t="e">
        <f ca="1"/>
        <v>#REF!</v>
      </c>
      <c r="K1394" s="27" t="e">
        <f ca="1"/>
        <v>#REF!</v>
      </c>
      <c r="L1394" s="25" t="e">
        <f ca="1"/>
        <v>#REF!</v>
      </c>
      <c r="M1394" s="25" t="e">
        <f ca="1"/>
        <v>#REF!</v>
      </c>
      <c r="N1394" s="25" t="e">
        <f ca="1"/>
        <v>#REF!</v>
      </c>
      <c r="O1394" s="25" t="e">
        <f ca="1"/>
        <v>#REF!</v>
      </c>
      <c r="P1394" s="25" t="e">
        <f ca="1"/>
        <v>#REF!</v>
      </c>
      <c r="Q1394" s="25" t="e">
        <f ca="1"/>
        <v>#REF!</v>
      </c>
      <c r="R1394" s="25" t="e">
        <f ca="1"/>
        <v>#REF!</v>
      </c>
      <c r="S1394" s="25" t="e">
        <f ca="1"/>
        <v>#REF!</v>
      </c>
      <c r="T1394" s="25" t="e">
        <f ca="1"/>
        <v>#REF!</v>
      </c>
      <c r="U1394" s="25" t="e">
        <f ca="1"/>
        <v>#REF!</v>
      </c>
      <c r="V1394" s="25" t="e">
        <f ca="1"/>
        <v>#REF!</v>
      </c>
      <c r="W1394" s="33" t="e">
        <f ca="1"/>
        <v>#REF!</v>
      </c>
      <c r="X1394" s="33" t="e">
        <f ca="1"/>
        <v>#REF!</v>
      </c>
      <c r="Y1394" s="33" t="e">
        <f ca="1"/>
        <v>#REF!</v>
      </c>
      <c r="Z1394" s="33" t="e">
        <f ca="1"/>
        <v>#REF!</v>
      </c>
      <c r="AA1394" s="33" t="e">
        <f ca="1"/>
        <v>#REF!</v>
      </c>
    </row>
    <row r="1395" spans="1:27" s="70" customFormat="1" ht="11.25" x14ac:dyDescent="0.2">
      <c r="A1395" s="24">
        <v>1389</v>
      </c>
      <c r="B1395" s="27"/>
      <c r="C1395" s="28"/>
      <c r="D1395" s="71"/>
      <c r="E1395" s="28"/>
      <c r="F1395" s="28"/>
      <c r="G1395" s="27"/>
      <c r="H1395" s="28" t="e">
        <f ca="1"/>
        <v>#REF!</v>
      </c>
      <c r="I1395" s="27" t="e">
        <f ca="1"/>
        <v>#REF!</v>
      </c>
      <c r="J1395" s="28" t="e">
        <f ca="1"/>
        <v>#REF!</v>
      </c>
      <c r="K1395" s="27" t="e">
        <f ca="1"/>
        <v>#REF!</v>
      </c>
      <c r="L1395" s="25" t="e">
        <f ca="1"/>
        <v>#REF!</v>
      </c>
      <c r="M1395" s="25" t="e">
        <f ca="1"/>
        <v>#REF!</v>
      </c>
      <c r="N1395" s="25" t="e">
        <f ca="1"/>
        <v>#REF!</v>
      </c>
      <c r="O1395" s="25" t="e">
        <f ca="1"/>
        <v>#REF!</v>
      </c>
      <c r="P1395" s="25" t="e">
        <f ca="1"/>
        <v>#REF!</v>
      </c>
      <c r="Q1395" s="25" t="e">
        <f ca="1"/>
        <v>#REF!</v>
      </c>
      <c r="R1395" s="25" t="e">
        <f ca="1"/>
        <v>#REF!</v>
      </c>
      <c r="S1395" s="25" t="e">
        <f ca="1"/>
        <v>#REF!</v>
      </c>
      <c r="T1395" s="25" t="e">
        <f ca="1"/>
        <v>#REF!</v>
      </c>
      <c r="U1395" s="25" t="e">
        <f ca="1"/>
        <v>#REF!</v>
      </c>
      <c r="V1395" s="25" t="e">
        <f ca="1"/>
        <v>#REF!</v>
      </c>
      <c r="W1395" s="33" t="e">
        <f ca="1"/>
        <v>#REF!</v>
      </c>
      <c r="X1395" s="33" t="e">
        <f ca="1"/>
        <v>#REF!</v>
      </c>
      <c r="Y1395" s="33" t="e">
        <f ca="1"/>
        <v>#REF!</v>
      </c>
      <c r="Z1395" s="33" t="e">
        <f ca="1"/>
        <v>#REF!</v>
      </c>
      <c r="AA1395" s="33" t="e">
        <f ca="1"/>
        <v>#REF!</v>
      </c>
    </row>
    <row r="1396" spans="1:27" s="70" customFormat="1" ht="11.25" x14ac:dyDescent="0.2">
      <c r="A1396" s="24">
        <v>1390</v>
      </c>
      <c r="B1396" s="27"/>
      <c r="C1396" s="28"/>
      <c r="D1396" s="71"/>
      <c r="E1396" s="28"/>
      <c r="F1396" s="28"/>
      <c r="G1396" s="27"/>
      <c r="H1396" s="28" t="e">
        <f ca="1"/>
        <v>#REF!</v>
      </c>
      <c r="I1396" s="27" t="e">
        <f ca="1"/>
        <v>#REF!</v>
      </c>
      <c r="J1396" s="28" t="e">
        <f ca="1"/>
        <v>#REF!</v>
      </c>
      <c r="K1396" s="27" t="e">
        <f ca="1"/>
        <v>#REF!</v>
      </c>
      <c r="L1396" s="25" t="e">
        <f ca="1"/>
        <v>#REF!</v>
      </c>
      <c r="M1396" s="25" t="e">
        <f ca="1"/>
        <v>#REF!</v>
      </c>
      <c r="N1396" s="25" t="e">
        <f ca="1"/>
        <v>#REF!</v>
      </c>
      <c r="O1396" s="25" t="e">
        <f ca="1"/>
        <v>#REF!</v>
      </c>
      <c r="P1396" s="25" t="e">
        <f ca="1"/>
        <v>#REF!</v>
      </c>
      <c r="Q1396" s="25" t="e">
        <f ca="1"/>
        <v>#REF!</v>
      </c>
      <c r="R1396" s="25" t="e">
        <f ca="1"/>
        <v>#REF!</v>
      </c>
      <c r="S1396" s="25" t="e">
        <f ca="1"/>
        <v>#REF!</v>
      </c>
      <c r="T1396" s="25" t="e">
        <f ca="1"/>
        <v>#REF!</v>
      </c>
      <c r="U1396" s="25" t="e">
        <f ca="1"/>
        <v>#REF!</v>
      </c>
      <c r="V1396" s="25" t="e">
        <f ca="1"/>
        <v>#REF!</v>
      </c>
      <c r="W1396" s="33" t="e">
        <f ca="1"/>
        <v>#REF!</v>
      </c>
      <c r="X1396" s="33" t="e">
        <f ca="1"/>
        <v>#REF!</v>
      </c>
      <c r="Y1396" s="33" t="e">
        <f ca="1"/>
        <v>#REF!</v>
      </c>
      <c r="Z1396" s="33" t="e">
        <f ca="1"/>
        <v>#REF!</v>
      </c>
      <c r="AA1396" s="33" t="e">
        <f ca="1"/>
        <v>#REF!</v>
      </c>
    </row>
    <row r="1397" spans="1:27" s="70" customFormat="1" ht="11.25" x14ac:dyDescent="0.2">
      <c r="A1397" s="24">
        <v>1391</v>
      </c>
      <c r="B1397" s="27"/>
      <c r="C1397" s="28"/>
      <c r="D1397" s="71"/>
      <c r="E1397" s="28"/>
      <c r="F1397" s="28"/>
      <c r="G1397" s="27"/>
      <c r="H1397" s="28" t="e">
        <f ca="1"/>
        <v>#REF!</v>
      </c>
      <c r="I1397" s="27" t="e">
        <f ca="1"/>
        <v>#REF!</v>
      </c>
      <c r="J1397" s="28" t="e">
        <f ca="1"/>
        <v>#REF!</v>
      </c>
      <c r="K1397" s="27" t="e">
        <f ca="1"/>
        <v>#REF!</v>
      </c>
      <c r="L1397" s="25" t="e">
        <f ca="1"/>
        <v>#REF!</v>
      </c>
      <c r="M1397" s="25" t="e">
        <f ca="1"/>
        <v>#REF!</v>
      </c>
      <c r="N1397" s="25" t="e">
        <f ca="1"/>
        <v>#REF!</v>
      </c>
      <c r="O1397" s="25" t="e">
        <f ca="1"/>
        <v>#REF!</v>
      </c>
      <c r="P1397" s="25" t="e">
        <f ca="1"/>
        <v>#REF!</v>
      </c>
      <c r="Q1397" s="25" t="e">
        <f ca="1"/>
        <v>#REF!</v>
      </c>
      <c r="R1397" s="25" t="e">
        <f ca="1"/>
        <v>#REF!</v>
      </c>
      <c r="S1397" s="25" t="e">
        <f ca="1"/>
        <v>#REF!</v>
      </c>
      <c r="T1397" s="25" t="e">
        <f ca="1"/>
        <v>#REF!</v>
      </c>
      <c r="U1397" s="25" t="e">
        <f ca="1"/>
        <v>#REF!</v>
      </c>
      <c r="V1397" s="25" t="e">
        <f ca="1"/>
        <v>#REF!</v>
      </c>
      <c r="W1397" s="33" t="e">
        <f ca="1"/>
        <v>#REF!</v>
      </c>
      <c r="X1397" s="33" t="e">
        <f ca="1"/>
        <v>#REF!</v>
      </c>
      <c r="Y1397" s="33" t="e">
        <f ca="1"/>
        <v>#REF!</v>
      </c>
      <c r="Z1397" s="33" t="e">
        <f ca="1"/>
        <v>#REF!</v>
      </c>
      <c r="AA1397" s="33" t="e">
        <f ca="1"/>
        <v>#REF!</v>
      </c>
    </row>
    <row r="1398" spans="1:27" s="70" customFormat="1" ht="11.25" x14ac:dyDescent="0.2">
      <c r="A1398" s="24">
        <v>1392</v>
      </c>
      <c r="B1398" s="27"/>
      <c r="C1398" s="28"/>
      <c r="D1398" s="71"/>
      <c r="E1398" s="28"/>
      <c r="F1398" s="28"/>
      <c r="G1398" s="27"/>
      <c r="H1398" s="28" t="e">
        <f ca="1"/>
        <v>#REF!</v>
      </c>
      <c r="I1398" s="27" t="e">
        <f ca="1"/>
        <v>#REF!</v>
      </c>
      <c r="J1398" s="28" t="e">
        <f ca="1"/>
        <v>#REF!</v>
      </c>
      <c r="K1398" s="27" t="e">
        <f ca="1"/>
        <v>#REF!</v>
      </c>
      <c r="L1398" s="25" t="e">
        <f ca="1"/>
        <v>#REF!</v>
      </c>
      <c r="M1398" s="25" t="e">
        <f ca="1"/>
        <v>#REF!</v>
      </c>
      <c r="N1398" s="25" t="e">
        <f ca="1"/>
        <v>#REF!</v>
      </c>
      <c r="O1398" s="25" t="e">
        <f ca="1"/>
        <v>#REF!</v>
      </c>
      <c r="P1398" s="25" t="e">
        <f ca="1"/>
        <v>#REF!</v>
      </c>
      <c r="Q1398" s="25" t="e">
        <f ca="1"/>
        <v>#REF!</v>
      </c>
      <c r="R1398" s="25" t="e">
        <f ca="1"/>
        <v>#REF!</v>
      </c>
      <c r="S1398" s="25" t="e">
        <f ca="1"/>
        <v>#REF!</v>
      </c>
      <c r="T1398" s="25" t="e">
        <f ca="1"/>
        <v>#REF!</v>
      </c>
      <c r="U1398" s="25" t="e">
        <f ca="1"/>
        <v>#REF!</v>
      </c>
      <c r="V1398" s="25" t="e">
        <f ca="1"/>
        <v>#REF!</v>
      </c>
      <c r="W1398" s="33" t="e">
        <f ca="1"/>
        <v>#REF!</v>
      </c>
      <c r="X1398" s="33" t="e">
        <f ca="1"/>
        <v>#REF!</v>
      </c>
      <c r="Y1398" s="33" t="e">
        <f ca="1"/>
        <v>#REF!</v>
      </c>
      <c r="Z1398" s="33" t="e">
        <f ca="1"/>
        <v>#REF!</v>
      </c>
      <c r="AA1398" s="33" t="e">
        <f ca="1"/>
        <v>#REF!</v>
      </c>
    </row>
    <row r="1399" spans="1:27" s="70" customFormat="1" ht="11.25" x14ac:dyDescent="0.2">
      <c r="A1399" s="24">
        <v>1393</v>
      </c>
      <c r="B1399" s="27"/>
      <c r="C1399" s="28"/>
      <c r="D1399" s="71"/>
      <c r="E1399" s="28"/>
      <c r="F1399" s="28"/>
      <c r="G1399" s="27"/>
      <c r="H1399" s="28" t="e">
        <f ca="1"/>
        <v>#REF!</v>
      </c>
      <c r="I1399" s="27" t="e">
        <f ca="1"/>
        <v>#REF!</v>
      </c>
      <c r="J1399" s="28" t="e">
        <f ca="1"/>
        <v>#REF!</v>
      </c>
      <c r="K1399" s="27" t="e">
        <f ca="1"/>
        <v>#REF!</v>
      </c>
      <c r="L1399" s="25" t="e">
        <f ca="1"/>
        <v>#REF!</v>
      </c>
      <c r="M1399" s="25" t="e">
        <f ca="1"/>
        <v>#REF!</v>
      </c>
      <c r="N1399" s="25" t="e">
        <f ca="1"/>
        <v>#REF!</v>
      </c>
      <c r="O1399" s="25" t="e">
        <f ca="1"/>
        <v>#REF!</v>
      </c>
      <c r="P1399" s="25" t="e">
        <f ca="1"/>
        <v>#REF!</v>
      </c>
      <c r="Q1399" s="25" t="e">
        <f ca="1"/>
        <v>#REF!</v>
      </c>
      <c r="R1399" s="25" t="e">
        <f ca="1"/>
        <v>#REF!</v>
      </c>
      <c r="S1399" s="25" t="e">
        <f ca="1"/>
        <v>#REF!</v>
      </c>
      <c r="T1399" s="25" t="e">
        <f ca="1"/>
        <v>#REF!</v>
      </c>
      <c r="U1399" s="25" t="e">
        <f ca="1"/>
        <v>#REF!</v>
      </c>
      <c r="V1399" s="25" t="e">
        <f ca="1"/>
        <v>#REF!</v>
      </c>
      <c r="W1399" s="33" t="e">
        <f ca="1"/>
        <v>#REF!</v>
      </c>
      <c r="X1399" s="33" t="e">
        <f ca="1"/>
        <v>#REF!</v>
      </c>
      <c r="Y1399" s="33" t="e">
        <f ca="1"/>
        <v>#REF!</v>
      </c>
      <c r="Z1399" s="33" t="e">
        <f ca="1"/>
        <v>#REF!</v>
      </c>
      <c r="AA1399" s="33" t="e">
        <f ca="1"/>
        <v>#REF!</v>
      </c>
    </row>
    <row r="1400" spans="1:27" s="70" customFormat="1" ht="11.25" x14ac:dyDescent="0.2">
      <c r="A1400" s="24">
        <v>1394</v>
      </c>
      <c r="B1400" s="27"/>
      <c r="C1400" s="28"/>
      <c r="D1400" s="71"/>
      <c r="E1400" s="28"/>
      <c r="F1400" s="28"/>
      <c r="G1400" s="27"/>
      <c r="H1400" s="28" t="e">
        <f ca="1"/>
        <v>#REF!</v>
      </c>
      <c r="I1400" s="27" t="e">
        <f ca="1"/>
        <v>#REF!</v>
      </c>
      <c r="J1400" s="28" t="e">
        <f ca="1"/>
        <v>#REF!</v>
      </c>
      <c r="K1400" s="27" t="e">
        <f ca="1"/>
        <v>#REF!</v>
      </c>
      <c r="L1400" s="25" t="e">
        <f ca="1"/>
        <v>#REF!</v>
      </c>
      <c r="M1400" s="25" t="e">
        <f ca="1"/>
        <v>#REF!</v>
      </c>
      <c r="N1400" s="25" t="e">
        <f ca="1"/>
        <v>#REF!</v>
      </c>
      <c r="O1400" s="25" t="e">
        <f ca="1"/>
        <v>#REF!</v>
      </c>
      <c r="P1400" s="25" t="e">
        <f ca="1"/>
        <v>#REF!</v>
      </c>
      <c r="Q1400" s="25" t="e">
        <f ca="1"/>
        <v>#REF!</v>
      </c>
      <c r="R1400" s="25" t="e">
        <f ca="1"/>
        <v>#REF!</v>
      </c>
      <c r="S1400" s="25" t="e">
        <f ca="1"/>
        <v>#REF!</v>
      </c>
      <c r="T1400" s="25" t="e">
        <f ca="1"/>
        <v>#REF!</v>
      </c>
      <c r="U1400" s="25" t="e">
        <f ca="1"/>
        <v>#REF!</v>
      </c>
      <c r="V1400" s="25" t="e">
        <f ca="1"/>
        <v>#REF!</v>
      </c>
      <c r="W1400" s="33" t="e">
        <f ca="1"/>
        <v>#REF!</v>
      </c>
      <c r="X1400" s="33" t="e">
        <f ca="1"/>
        <v>#REF!</v>
      </c>
      <c r="Y1400" s="33" t="e">
        <f ca="1"/>
        <v>#REF!</v>
      </c>
      <c r="Z1400" s="33" t="e">
        <f ca="1"/>
        <v>#REF!</v>
      </c>
      <c r="AA1400" s="33" t="e">
        <f ca="1"/>
        <v>#REF!</v>
      </c>
    </row>
    <row r="1401" spans="1:27" s="70" customFormat="1" ht="11.25" x14ac:dyDescent="0.2">
      <c r="A1401" s="24">
        <v>1395</v>
      </c>
      <c r="B1401" s="27"/>
      <c r="C1401" s="28"/>
      <c r="D1401" s="71"/>
      <c r="E1401" s="28"/>
      <c r="F1401" s="28"/>
      <c r="G1401" s="27"/>
      <c r="H1401" s="28" t="e">
        <f ca="1"/>
        <v>#REF!</v>
      </c>
      <c r="I1401" s="27" t="e">
        <f ca="1"/>
        <v>#REF!</v>
      </c>
      <c r="J1401" s="28" t="e">
        <f ca="1"/>
        <v>#REF!</v>
      </c>
      <c r="K1401" s="27" t="e">
        <f ca="1"/>
        <v>#REF!</v>
      </c>
      <c r="L1401" s="25" t="e">
        <f ca="1"/>
        <v>#REF!</v>
      </c>
      <c r="M1401" s="25" t="e">
        <f ca="1"/>
        <v>#REF!</v>
      </c>
      <c r="N1401" s="25" t="e">
        <f ca="1"/>
        <v>#REF!</v>
      </c>
      <c r="O1401" s="25" t="e">
        <f ca="1"/>
        <v>#REF!</v>
      </c>
      <c r="P1401" s="25" t="e">
        <f ca="1"/>
        <v>#REF!</v>
      </c>
      <c r="Q1401" s="25" t="e">
        <f ca="1"/>
        <v>#REF!</v>
      </c>
      <c r="R1401" s="25" t="e">
        <f ca="1"/>
        <v>#REF!</v>
      </c>
      <c r="S1401" s="25" t="e">
        <f ca="1"/>
        <v>#REF!</v>
      </c>
      <c r="T1401" s="25" t="e">
        <f ca="1"/>
        <v>#REF!</v>
      </c>
      <c r="U1401" s="25" t="e">
        <f ca="1"/>
        <v>#REF!</v>
      </c>
      <c r="V1401" s="25" t="e">
        <f ca="1"/>
        <v>#REF!</v>
      </c>
      <c r="W1401" s="33" t="e">
        <f ca="1"/>
        <v>#REF!</v>
      </c>
      <c r="X1401" s="33" t="e">
        <f ca="1"/>
        <v>#REF!</v>
      </c>
      <c r="Y1401" s="33" t="e">
        <f ca="1"/>
        <v>#REF!</v>
      </c>
      <c r="Z1401" s="33" t="e">
        <f ca="1"/>
        <v>#REF!</v>
      </c>
      <c r="AA1401" s="33" t="e">
        <f ca="1"/>
        <v>#REF!</v>
      </c>
    </row>
    <row r="1402" spans="1:27" s="70" customFormat="1" ht="11.25" x14ac:dyDescent="0.2">
      <c r="A1402" s="24">
        <v>1396</v>
      </c>
      <c r="B1402" s="27"/>
      <c r="C1402" s="28"/>
      <c r="D1402" s="71"/>
      <c r="E1402" s="28"/>
      <c r="F1402" s="28"/>
      <c r="G1402" s="27"/>
      <c r="H1402" s="28" t="e">
        <f ca="1"/>
        <v>#REF!</v>
      </c>
      <c r="I1402" s="27" t="e">
        <f ca="1"/>
        <v>#REF!</v>
      </c>
      <c r="J1402" s="28" t="e">
        <f ca="1"/>
        <v>#REF!</v>
      </c>
      <c r="K1402" s="27" t="e">
        <f ca="1"/>
        <v>#REF!</v>
      </c>
      <c r="L1402" s="25" t="e">
        <f ca="1"/>
        <v>#REF!</v>
      </c>
      <c r="M1402" s="25" t="e">
        <f ca="1"/>
        <v>#REF!</v>
      </c>
      <c r="N1402" s="25" t="e">
        <f ca="1"/>
        <v>#REF!</v>
      </c>
      <c r="O1402" s="25" t="e">
        <f ca="1"/>
        <v>#REF!</v>
      </c>
      <c r="P1402" s="25" t="e">
        <f ca="1"/>
        <v>#REF!</v>
      </c>
      <c r="Q1402" s="25" t="e">
        <f ca="1"/>
        <v>#REF!</v>
      </c>
      <c r="R1402" s="25" t="e">
        <f ca="1"/>
        <v>#REF!</v>
      </c>
      <c r="S1402" s="25" t="e">
        <f ca="1"/>
        <v>#REF!</v>
      </c>
      <c r="T1402" s="25" t="e">
        <f ca="1"/>
        <v>#REF!</v>
      </c>
      <c r="U1402" s="25" t="e">
        <f ca="1"/>
        <v>#REF!</v>
      </c>
      <c r="V1402" s="25" t="e">
        <f ca="1"/>
        <v>#REF!</v>
      </c>
      <c r="W1402" s="33" t="e">
        <f ca="1"/>
        <v>#REF!</v>
      </c>
      <c r="X1402" s="33" t="e">
        <f ca="1"/>
        <v>#REF!</v>
      </c>
      <c r="Y1402" s="33" t="e">
        <f ca="1"/>
        <v>#REF!</v>
      </c>
      <c r="Z1402" s="33" t="e">
        <f ca="1"/>
        <v>#REF!</v>
      </c>
      <c r="AA1402" s="33" t="e">
        <f ca="1"/>
        <v>#REF!</v>
      </c>
    </row>
    <row r="1403" spans="1:27" s="70" customFormat="1" ht="11.25" x14ac:dyDescent="0.2">
      <c r="A1403" s="24">
        <v>1397</v>
      </c>
      <c r="B1403" s="27"/>
      <c r="C1403" s="28"/>
      <c r="D1403" s="71"/>
      <c r="E1403" s="28"/>
      <c r="F1403" s="28"/>
      <c r="G1403" s="27"/>
      <c r="H1403" s="28" t="e">
        <f ca="1"/>
        <v>#REF!</v>
      </c>
      <c r="I1403" s="27" t="e">
        <f ca="1"/>
        <v>#REF!</v>
      </c>
      <c r="J1403" s="28" t="e">
        <f ca="1"/>
        <v>#REF!</v>
      </c>
      <c r="K1403" s="27" t="e">
        <f ca="1"/>
        <v>#REF!</v>
      </c>
      <c r="L1403" s="25" t="e">
        <f ca="1"/>
        <v>#REF!</v>
      </c>
      <c r="M1403" s="25" t="e">
        <f ca="1"/>
        <v>#REF!</v>
      </c>
      <c r="N1403" s="25" t="e">
        <f ca="1"/>
        <v>#REF!</v>
      </c>
      <c r="O1403" s="25" t="e">
        <f ca="1"/>
        <v>#REF!</v>
      </c>
      <c r="P1403" s="25" t="e">
        <f ca="1"/>
        <v>#REF!</v>
      </c>
      <c r="Q1403" s="25" t="e">
        <f ca="1"/>
        <v>#REF!</v>
      </c>
      <c r="R1403" s="25" t="e">
        <f ca="1"/>
        <v>#REF!</v>
      </c>
      <c r="S1403" s="25" t="e">
        <f ca="1"/>
        <v>#REF!</v>
      </c>
      <c r="T1403" s="25" t="e">
        <f ca="1"/>
        <v>#REF!</v>
      </c>
      <c r="U1403" s="25" t="e">
        <f ca="1"/>
        <v>#REF!</v>
      </c>
      <c r="V1403" s="25" t="e">
        <f ca="1"/>
        <v>#REF!</v>
      </c>
      <c r="W1403" s="33" t="e">
        <f ca="1"/>
        <v>#REF!</v>
      </c>
      <c r="X1403" s="33" t="e">
        <f ca="1"/>
        <v>#REF!</v>
      </c>
      <c r="Y1403" s="33" t="e">
        <f ca="1"/>
        <v>#REF!</v>
      </c>
      <c r="Z1403" s="33" t="e">
        <f ca="1"/>
        <v>#REF!</v>
      </c>
      <c r="AA1403" s="33" t="e">
        <f ca="1"/>
        <v>#REF!</v>
      </c>
    </row>
    <row r="1404" spans="1:27" s="70" customFormat="1" ht="11.25" x14ac:dyDescent="0.2">
      <c r="A1404" s="24">
        <v>1398</v>
      </c>
      <c r="B1404" s="27"/>
      <c r="C1404" s="28"/>
      <c r="D1404" s="71"/>
      <c r="E1404" s="28"/>
      <c r="F1404" s="28"/>
      <c r="G1404" s="27"/>
      <c r="H1404" s="28" t="e">
        <f ca="1"/>
        <v>#REF!</v>
      </c>
      <c r="I1404" s="27" t="e">
        <f ca="1"/>
        <v>#REF!</v>
      </c>
      <c r="J1404" s="28" t="e">
        <f ca="1"/>
        <v>#REF!</v>
      </c>
      <c r="K1404" s="27" t="e">
        <f ca="1"/>
        <v>#REF!</v>
      </c>
      <c r="L1404" s="25" t="e">
        <f ca="1"/>
        <v>#REF!</v>
      </c>
      <c r="M1404" s="25" t="e">
        <f ca="1"/>
        <v>#REF!</v>
      </c>
      <c r="N1404" s="25" t="e">
        <f ca="1"/>
        <v>#REF!</v>
      </c>
      <c r="O1404" s="25" t="e">
        <f ca="1"/>
        <v>#REF!</v>
      </c>
      <c r="P1404" s="25" t="e">
        <f ca="1"/>
        <v>#REF!</v>
      </c>
      <c r="Q1404" s="25" t="e">
        <f ca="1"/>
        <v>#REF!</v>
      </c>
      <c r="R1404" s="25" t="e">
        <f ca="1"/>
        <v>#REF!</v>
      </c>
      <c r="S1404" s="25" t="e">
        <f ca="1"/>
        <v>#REF!</v>
      </c>
      <c r="T1404" s="25" t="e">
        <f ca="1"/>
        <v>#REF!</v>
      </c>
      <c r="U1404" s="25" t="e">
        <f ca="1"/>
        <v>#REF!</v>
      </c>
      <c r="V1404" s="25" t="e">
        <f ca="1"/>
        <v>#REF!</v>
      </c>
      <c r="W1404" s="33" t="e">
        <f ca="1"/>
        <v>#REF!</v>
      </c>
      <c r="X1404" s="33" t="e">
        <f ca="1"/>
        <v>#REF!</v>
      </c>
      <c r="Y1404" s="33" t="e">
        <f ca="1"/>
        <v>#REF!</v>
      </c>
      <c r="Z1404" s="33" t="e">
        <f ca="1"/>
        <v>#REF!</v>
      </c>
      <c r="AA1404" s="33" t="e">
        <f ca="1"/>
        <v>#REF!</v>
      </c>
    </row>
    <row r="1405" spans="1:27" s="70" customFormat="1" ht="11.25" x14ac:dyDescent="0.2">
      <c r="A1405" s="24">
        <v>1399</v>
      </c>
      <c r="B1405" s="27"/>
      <c r="C1405" s="28"/>
      <c r="D1405" s="71"/>
      <c r="E1405" s="28"/>
      <c r="F1405" s="28"/>
      <c r="G1405" s="27"/>
      <c r="H1405" s="28" t="e">
        <f ca="1"/>
        <v>#REF!</v>
      </c>
      <c r="I1405" s="27" t="e">
        <f ca="1"/>
        <v>#REF!</v>
      </c>
      <c r="J1405" s="28" t="e">
        <f ca="1"/>
        <v>#REF!</v>
      </c>
      <c r="K1405" s="27" t="e">
        <f ca="1"/>
        <v>#REF!</v>
      </c>
      <c r="L1405" s="25" t="e">
        <f ca="1"/>
        <v>#REF!</v>
      </c>
      <c r="M1405" s="25" t="e">
        <f ca="1"/>
        <v>#REF!</v>
      </c>
      <c r="N1405" s="25" t="e">
        <f ca="1"/>
        <v>#REF!</v>
      </c>
      <c r="O1405" s="25" t="e">
        <f ca="1"/>
        <v>#REF!</v>
      </c>
      <c r="P1405" s="25" t="e">
        <f ca="1"/>
        <v>#REF!</v>
      </c>
      <c r="Q1405" s="25" t="e">
        <f ca="1"/>
        <v>#REF!</v>
      </c>
      <c r="R1405" s="25" t="e">
        <f ca="1"/>
        <v>#REF!</v>
      </c>
      <c r="S1405" s="25" t="e">
        <f ca="1"/>
        <v>#REF!</v>
      </c>
      <c r="T1405" s="25" t="e">
        <f ca="1"/>
        <v>#REF!</v>
      </c>
      <c r="U1405" s="25" t="e">
        <f ca="1"/>
        <v>#REF!</v>
      </c>
      <c r="V1405" s="25" t="e">
        <f ca="1"/>
        <v>#REF!</v>
      </c>
      <c r="W1405" s="33" t="e">
        <f ca="1"/>
        <v>#REF!</v>
      </c>
      <c r="X1405" s="33" t="e">
        <f ca="1"/>
        <v>#REF!</v>
      </c>
      <c r="Y1405" s="33" t="e">
        <f ca="1"/>
        <v>#REF!</v>
      </c>
      <c r="Z1405" s="33" t="e">
        <f ca="1"/>
        <v>#REF!</v>
      </c>
      <c r="AA1405" s="33" t="e">
        <f ca="1"/>
        <v>#REF!</v>
      </c>
    </row>
    <row r="1406" spans="1:27" s="70" customFormat="1" ht="11.25" x14ac:dyDescent="0.2">
      <c r="A1406" s="24">
        <v>1400</v>
      </c>
      <c r="B1406" s="27"/>
      <c r="C1406" s="28"/>
      <c r="D1406" s="71"/>
      <c r="E1406" s="28"/>
      <c r="F1406" s="28"/>
      <c r="G1406" s="27"/>
      <c r="H1406" s="28" t="e">
        <f ca="1"/>
        <v>#REF!</v>
      </c>
      <c r="I1406" s="27" t="e">
        <f ca="1"/>
        <v>#REF!</v>
      </c>
      <c r="J1406" s="28" t="e">
        <f ca="1"/>
        <v>#REF!</v>
      </c>
      <c r="K1406" s="27" t="e">
        <f ca="1"/>
        <v>#REF!</v>
      </c>
      <c r="L1406" s="25" t="e">
        <f ca="1"/>
        <v>#REF!</v>
      </c>
      <c r="M1406" s="25" t="e">
        <f ca="1"/>
        <v>#REF!</v>
      </c>
      <c r="N1406" s="25" t="e">
        <f ca="1"/>
        <v>#REF!</v>
      </c>
      <c r="O1406" s="25" t="e">
        <f ca="1"/>
        <v>#REF!</v>
      </c>
      <c r="P1406" s="25" t="e">
        <f ca="1"/>
        <v>#REF!</v>
      </c>
      <c r="Q1406" s="25" t="e">
        <f ca="1"/>
        <v>#REF!</v>
      </c>
      <c r="R1406" s="25" t="e">
        <f ca="1"/>
        <v>#REF!</v>
      </c>
      <c r="S1406" s="25" t="e">
        <f ca="1"/>
        <v>#REF!</v>
      </c>
      <c r="T1406" s="25" t="e">
        <f ca="1"/>
        <v>#REF!</v>
      </c>
      <c r="U1406" s="25" t="e">
        <f ca="1"/>
        <v>#REF!</v>
      </c>
      <c r="V1406" s="25" t="e">
        <f ca="1"/>
        <v>#REF!</v>
      </c>
      <c r="W1406" s="33" t="e">
        <f ca="1"/>
        <v>#REF!</v>
      </c>
      <c r="X1406" s="33" t="e">
        <f ca="1"/>
        <v>#REF!</v>
      </c>
      <c r="Y1406" s="33" t="e">
        <f ca="1"/>
        <v>#REF!</v>
      </c>
      <c r="Z1406" s="33" t="e">
        <f ca="1"/>
        <v>#REF!</v>
      </c>
      <c r="AA1406" s="33" t="e">
        <f ca="1"/>
        <v>#REF!</v>
      </c>
    </row>
    <row r="1407" spans="1:27" s="70" customFormat="1" ht="11.25" x14ac:dyDescent="0.2">
      <c r="A1407" s="24">
        <v>1401</v>
      </c>
      <c r="B1407" s="27"/>
      <c r="C1407" s="28"/>
      <c r="D1407" s="71"/>
      <c r="E1407" s="28"/>
      <c r="F1407" s="28"/>
      <c r="G1407" s="27"/>
      <c r="H1407" s="28" t="e">
        <f ca="1"/>
        <v>#REF!</v>
      </c>
      <c r="I1407" s="27" t="e">
        <f ca="1"/>
        <v>#REF!</v>
      </c>
      <c r="J1407" s="28" t="e">
        <f ca="1"/>
        <v>#REF!</v>
      </c>
      <c r="K1407" s="27" t="e">
        <f ca="1"/>
        <v>#REF!</v>
      </c>
      <c r="L1407" s="25" t="e">
        <f ca="1"/>
        <v>#REF!</v>
      </c>
      <c r="M1407" s="25" t="e">
        <f ca="1"/>
        <v>#REF!</v>
      </c>
      <c r="N1407" s="25" t="e">
        <f ca="1"/>
        <v>#REF!</v>
      </c>
      <c r="O1407" s="25" t="e">
        <f ca="1"/>
        <v>#REF!</v>
      </c>
      <c r="P1407" s="25" t="e">
        <f ca="1"/>
        <v>#REF!</v>
      </c>
      <c r="Q1407" s="25" t="e">
        <f ca="1"/>
        <v>#REF!</v>
      </c>
      <c r="R1407" s="25" t="e">
        <f ca="1"/>
        <v>#REF!</v>
      </c>
      <c r="S1407" s="25" t="e">
        <f ca="1"/>
        <v>#REF!</v>
      </c>
      <c r="T1407" s="25" t="e">
        <f ca="1"/>
        <v>#REF!</v>
      </c>
      <c r="U1407" s="25" t="e">
        <f ca="1"/>
        <v>#REF!</v>
      </c>
      <c r="V1407" s="25" t="e">
        <f ca="1"/>
        <v>#REF!</v>
      </c>
      <c r="W1407" s="33" t="e">
        <f ca="1"/>
        <v>#REF!</v>
      </c>
      <c r="X1407" s="33" t="e">
        <f ca="1"/>
        <v>#REF!</v>
      </c>
      <c r="Y1407" s="33" t="e">
        <f ca="1"/>
        <v>#REF!</v>
      </c>
      <c r="Z1407" s="33" t="e">
        <f ca="1"/>
        <v>#REF!</v>
      </c>
      <c r="AA1407" s="33" t="e">
        <f ca="1"/>
        <v>#REF!</v>
      </c>
    </row>
    <row r="1408" spans="1:27" s="70" customFormat="1" ht="11.25" x14ac:dyDescent="0.2">
      <c r="A1408" s="24">
        <v>1402</v>
      </c>
      <c r="B1408" s="27"/>
      <c r="C1408" s="28"/>
      <c r="D1408" s="71"/>
      <c r="E1408" s="28"/>
      <c r="F1408" s="28"/>
      <c r="G1408" s="27"/>
      <c r="H1408" s="28" t="e">
        <f ca="1"/>
        <v>#REF!</v>
      </c>
      <c r="I1408" s="27" t="e">
        <f ca="1"/>
        <v>#REF!</v>
      </c>
      <c r="J1408" s="28" t="e">
        <f ca="1"/>
        <v>#REF!</v>
      </c>
      <c r="K1408" s="27" t="e">
        <f ca="1"/>
        <v>#REF!</v>
      </c>
      <c r="L1408" s="25" t="e">
        <f ca="1"/>
        <v>#REF!</v>
      </c>
      <c r="M1408" s="25" t="e">
        <f ca="1"/>
        <v>#REF!</v>
      </c>
      <c r="N1408" s="25" t="e">
        <f ca="1"/>
        <v>#REF!</v>
      </c>
      <c r="O1408" s="25" t="e">
        <f ca="1"/>
        <v>#REF!</v>
      </c>
      <c r="P1408" s="25" t="e">
        <f ca="1"/>
        <v>#REF!</v>
      </c>
      <c r="Q1408" s="25" t="e">
        <f ca="1"/>
        <v>#REF!</v>
      </c>
      <c r="R1408" s="25" t="e">
        <f ca="1"/>
        <v>#REF!</v>
      </c>
      <c r="S1408" s="25" t="e">
        <f ca="1"/>
        <v>#REF!</v>
      </c>
      <c r="T1408" s="25" t="e">
        <f ca="1"/>
        <v>#REF!</v>
      </c>
      <c r="U1408" s="25" t="e">
        <f ca="1"/>
        <v>#REF!</v>
      </c>
      <c r="V1408" s="25" t="e">
        <f ca="1"/>
        <v>#REF!</v>
      </c>
      <c r="W1408" s="33" t="e">
        <f ca="1"/>
        <v>#REF!</v>
      </c>
      <c r="X1408" s="33" t="e">
        <f ca="1"/>
        <v>#REF!</v>
      </c>
      <c r="Y1408" s="33" t="e">
        <f ca="1"/>
        <v>#REF!</v>
      </c>
      <c r="Z1408" s="33" t="e">
        <f ca="1"/>
        <v>#REF!</v>
      </c>
      <c r="AA1408" s="33" t="e">
        <f ca="1"/>
        <v>#REF!</v>
      </c>
    </row>
    <row r="1409" spans="1:27" s="70" customFormat="1" ht="11.25" x14ac:dyDescent="0.2">
      <c r="A1409" s="24">
        <v>1403</v>
      </c>
      <c r="B1409" s="27"/>
      <c r="C1409" s="28"/>
      <c r="D1409" s="71"/>
      <c r="E1409" s="28"/>
      <c r="F1409" s="28"/>
      <c r="G1409" s="27"/>
      <c r="H1409" s="28" t="e">
        <f ca="1"/>
        <v>#REF!</v>
      </c>
      <c r="I1409" s="27" t="e">
        <f ca="1"/>
        <v>#REF!</v>
      </c>
      <c r="J1409" s="28" t="e">
        <f ca="1"/>
        <v>#REF!</v>
      </c>
      <c r="K1409" s="27" t="e">
        <f ca="1"/>
        <v>#REF!</v>
      </c>
      <c r="L1409" s="25" t="e">
        <f ca="1"/>
        <v>#REF!</v>
      </c>
      <c r="M1409" s="25" t="e">
        <f ca="1"/>
        <v>#REF!</v>
      </c>
      <c r="N1409" s="25" t="e">
        <f ca="1"/>
        <v>#REF!</v>
      </c>
      <c r="O1409" s="25" t="e">
        <f ca="1"/>
        <v>#REF!</v>
      </c>
      <c r="P1409" s="25" t="e">
        <f ca="1"/>
        <v>#REF!</v>
      </c>
      <c r="Q1409" s="25" t="e">
        <f ca="1"/>
        <v>#REF!</v>
      </c>
      <c r="R1409" s="25" t="e">
        <f ca="1"/>
        <v>#REF!</v>
      </c>
      <c r="S1409" s="25" t="e">
        <f ca="1"/>
        <v>#REF!</v>
      </c>
      <c r="T1409" s="25" t="e">
        <f ca="1"/>
        <v>#REF!</v>
      </c>
      <c r="U1409" s="25" t="e">
        <f ca="1"/>
        <v>#REF!</v>
      </c>
      <c r="V1409" s="25" t="e">
        <f ca="1"/>
        <v>#REF!</v>
      </c>
      <c r="W1409" s="33" t="e">
        <f ca="1"/>
        <v>#REF!</v>
      </c>
      <c r="X1409" s="33" t="e">
        <f ca="1"/>
        <v>#REF!</v>
      </c>
      <c r="Y1409" s="33" t="e">
        <f ca="1"/>
        <v>#REF!</v>
      </c>
      <c r="Z1409" s="33" t="e">
        <f ca="1"/>
        <v>#REF!</v>
      </c>
      <c r="AA1409" s="33" t="e">
        <f ca="1"/>
        <v>#REF!</v>
      </c>
    </row>
    <row r="1410" spans="1:27" s="70" customFormat="1" ht="11.25" x14ac:dyDescent="0.2">
      <c r="A1410" s="24">
        <v>1404</v>
      </c>
      <c r="B1410" s="27"/>
      <c r="C1410" s="28"/>
      <c r="D1410" s="71"/>
      <c r="E1410" s="28"/>
      <c r="F1410" s="28"/>
      <c r="G1410" s="27"/>
      <c r="H1410" s="28" t="e">
        <f ca="1"/>
        <v>#REF!</v>
      </c>
      <c r="I1410" s="27" t="e">
        <f ca="1"/>
        <v>#REF!</v>
      </c>
      <c r="J1410" s="28" t="e">
        <f ca="1"/>
        <v>#REF!</v>
      </c>
      <c r="K1410" s="27" t="e">
        <f ca="1"/>
        <v>#REF!</v>
      </c>
      <c r="L1410" s="25" t="e">
        <f ca="1"/>
        <v>#REF!</v>
      </c>
      <c r="M1410" s="25" t="e">
        <f ca="1"/>
        <v>#REF!</v>
      </c>
      <c r="N1410" s="25" t="e">
        <f ca="1"/>
        <v>#REF!</v>
      </c>
      <c r="O1410" s="25" t="e">
        <f ca="1"/>
        <v>#REF!</v>
      </c>
      <c r="P1410" s="25" t="e">
        <f ca="1"/>
        <v>#REF!</v>
      </c>
      <c r="Q1410" s="25" t="e">
        <f ca="1"/>
        <v>#REF!</v>
      </c>
      <c r="R1410" s="25" t="e">
        <f ca="1"/>
        <v>#REF!</v>
      </c>
      <c r="S1410" s="25" t="e">
        <f ca="1"/>
        <v>#REF!</v>
      </c>
      <c r="T1410" s="25" t="e">
        <f ca="1"/>
        <v>#REF!</v>
      </c>
      <c r="U1410" s="25" t="e">
        <f ca="1"/>
        <v>#REF!</v>
      </c>
      <c r="V1410" s="25" t="e">
        <f ca="1"/>
        <v>#REF!</v>
      </c>
      <c r="W1410" s="33" t="e">
        <f ca="1"/>
        <v>#REF!</v>
      </c>
      <c r="X1410" s="33" t="e">
        <f ca="1"/>
        <v>#REF!</v>
      </c>
      <c r="Y1410" s="33" t="e">
        <f ca="1"/>
        <v>#REF!</v>
      </c>
      <c r="Z1410" s="33" t="e">
        <f ca="1"/>
        <v>#REF!</v>
      </c>
      <c r="AA1410" s="33" t="e">
        <f ca="1"/>
        <v>#REF!</v>
      </c>
    </row>
    <row r="1411" spans="1:27" s="70" customFormat="1" ht="11.25" x14ac:dyDescent="0.2">
      <c r="A1411" s="24">
        <v>1405</v>
      </c>
      <c r="B1411" s="27"/>
      <c r="C1411" s="28"/>
      <c r="D1411" s="71"/>
      <c r="E1411" s="28"/>
      <c r="F1411" s="28"/>
      <c r="G1411" s="27"/>
      <c r="H1411" s="28" t="e">
        <f ca="1"/>
        <v>#REF!</v>
      </c>
      <c r="I1411" s="27" t="e">
        <f ca="1"/>
        <v>#REF!</v>
      </c>
      <c r="J1411" s="28" t="e">
        <f ca="1"/>
        <v>#REF!</v>
      </c>
      <c r="K1411" s="27" t="e">
        <f ca="1"/>
        <v>#REF!</v>
      </c>
      <c r="L1411" s="25" t="e">
        <f ca="1"/>
        <v>#REF!</v>
      </c>
      <c r="M1411" s="25" t="e">
        <f ca="1"/>
        <v>#REF!</v>
      </c>
      <c r="N1411" s="25" t="e">
        <f ca="1"/>
        <v>#REF!</v>
      </c>
      <c r="O1411" s="25" t="e">
        <f ca="1"/>
        <v>#REF!</v>
      </c>
      <c r="P1411" s="25" t="e">
        <f ca="1"/>
        <v>#REF!</v>
      </c>
      <c r="Q1411" s="25" t="e">
        <f ca="1"/>
        <v>#REF!</v>
      </c>
      <c r="R1411" s="25" t="e">
        <f ca="1"/>
        <v>#REF!</v>
      </c>
      <c r="S1411" s="25" t="e">
        <f ca="1"/>
        <v>#REF!</v>
      </c>
      <c r="T1411" s="25" t="e">
        <f ca="1"/>
        <v>#REF!</v>
      </c>
      <c r="U1411" s="25" t="e">
        <f ca="1"/>
        <v>#REF!</v>
      </c>
      <c r="V1411" s="25" t="e">
        <f ca="1"/>
        <v>#REF!</v>
      </c>
      <c r="W1411" s="33" t="e">
        <f ca="1"/>
        <v>#REF!</v>
      </c>
      <c r="X1411" s="33" t="e">
        <f ca="1"/>
        <v>#REF!</v>
      </c>
      <c r="Y1411" s="33" t="e">
        <f ca="1"/>
        <v>#REF!</v>
      </c>
      <c r="Z1411" s="33" t="e">
        <f ca="1"/>
        <v>#REF!</v>
      </c>
      <c r="AA1411" s="33" t="e">
        <f ca="1"/>
        <v>#REF!</v>
      </c>
    </row>
    <row r="1412" spans="1:27" s="70" customFormat="1" ht="11.25" x14ac:dyDescent="0.2">
      <c r="A1412" s="24">
        <v>1406</v>
      </c>
      <c r="B1412" s="27"/>
      <c r="C1412" s="28"/>
      <c r="D1412" s="71"/>
      <c r="E1412" s="28"/>
      <c r="F1412" s="28"/>
      <c r="G1412" s="27"/>
      <c r="H1412" s="28" t="e">
        <f ca="1"/>
        <v>#REF!</v>
      </c>
      <c r="I1412" s="27" t="e">
        <f ca="1"/>
        <v>#REF!</v>
      </c>
      <c r="J1412" s="28" t="e">
        <f ca="1"/>
        <v>#REF!</v>
      </c>
      <c r="K1412" s="27" t="e">
        <f ca="1"/>
        <v>#REF!</v>
      </c>
      <c r="L1412" s="25" t="e">
        <f ca="1"/>
        <v>#REF!</v>
      </c>
      <c r="M1412" s="25" t="e">
        <f ca="1"/>
        <v>#REF!</v>
      </c>
      <c r="N1412" s="25" t="e">
        <f ca="1"/>
        <v>#REF!</v>
      </c>
      <c r="O1412" s="25" t="e">
        <f ca="1"/>
        <v>#REF!</v>
      </c>
      <c r="P1412" s="25" t="e">
        <f ca="1"/>
        <v>#REF!</v>
      </c>
      <c r="Q1412" s="25" t="e">
        <f ca="1"/>
        <v>#REF!</v>
      </c>
      <c r="R1412" s="25" t="e">
        <f ca="1"/>
        <v>#REF!</v>
      </c>
      <c r="S1412" s="25" t="e">
        <f ca="1"/>
        <v>#REF!</v>
      </c>
      <c r="T1412" s="25" t="e">
        <f ca="1"/>
        <v>#REF!</v>
      </c>
      <c r="U1412" s="25" t="e">
        <f ca="1"/>
        <v>#REF!</v>
      </c>
      <c r="V1412" s="25" t="e">
        <f ca="1"/>
        <v>#REF!</v>
      </c>
      <c r="W1412" s="33" t="e">
        <f ca="1"/>
        <v>#REF!</v>
      </c>
      <c r="X1412" s="33" t="e">
        <f ca="1"/>
        <v>#REF!</v>
      </c>
      <c r="Y1412" s="33" t="e">
        <f ca="1"/>
        <v>#REF!</v>
      </c>
      <c r="Z1412" s="33" t="e">
        <f ca="1"/>
        <v>#REF!</v>
      </c>
      <c r="AA1412" s="33" t="e">
        <f ca="1"/>
        <v>#REF!</v>
      </c>
    </row>
    <row r="1413" spans="1:27" s="70" customFormat="1" ht="11.25" x14ac:dyDescent="0.2">
      <c r="A1413" s="24">
        <v>1407</v>
      </c>
      <c r="B1413" s="27"/>
      <c r="C1413" s="28"/>
      <c r="D1413" s="71"/>
      <c r="E1413" s="28"/>
      <c r="F1413" s="28"/>
      <c r="G1413" s="27"/>
      <c r="H1413" s="28" t="e">
        <f ca="1"/>
        <v>#REF!</v>
      </c>
      <c r="I1413" s="27" t="e">
        <f ca="1"/>
        <v>#REF!</v>
      </c>
      <c r="J1413" s="28" t="e">
        <f ca="1"/>
        <v>#REF!</v>
      </c>
      <c r="K1413" s="27" t="e">
        <f ca="1"/>
        <v>#REF!</v>
      </c>
      <c r="L1413" s="25" t="e">
        <f ca="1"/>
        <v>#REF!</v>
      </c>
      <c r="M1413" s="25" t="e">
        <f ca="1"/>
        <v>#REF!</v>
      </c>
      <c r="N1413" s="25" t="e">
        <f ca="1"/>
        <v>#REF!</v>
      </c>
      <c r="O1413" s="25" t="e">
        <f ca="1"/>
        <v>#REF!</v>
      </c>
      <c r="P1413" s="25" t="e">
        <f ca="1"/>
        <v>#REF!</v>
      </c>
      <c r="Q1413" s="25" t="e">
        <f ca="1"/>
        <v>#REF!</v>
      </c>
      <c r="R1413" s="25" t="e">
        <f ca="1"/>
        <v>#REF!</v>
      </c>
      <c r="S1413" s="25" t="e">
        <f ca="1"/>
        <v>#REF!</v>
      </c>
      <c r="T1413" s="25" t="e">
        <f ca="1"/>
        <v>#REF!</v>
      </c>
      <c r="U1413" s="25" t="e">
        <f ca="1"/>
        <v>#REF!</v>
      </c>
      <c r="V1413" s="25" t="e">
        <f ca="1"/>
        <v>#REF!</v>
      </c>
      <c r="W1413" s="33" t="e">
        <f ca="1"/>
        <v>#REF!</v>
      </c>
      <c r="X1413" s="33" t="e">
        <f ca="1"/>
        <v>#REF!</v>
      </c>
      <c r="Y1413" s="33" t="e">
        <f ca="1"/>
        <v>#REF!</v>
      </c>
      <c r="Z1413" s="33" t="e">
        <f ca="1"/>
        <v>#REF!</v>
      </c>
      <c r="AA1413" s="33" t="e">
        <f ca="1"/>
        <v>#REF!</v>
      </c>
    </row>
    <row r="1414" spans="1:27" s="70" customFormat="1" ht="11.25" x14ac:dyDescent="0.2">
      <c r="A1414" s="24">
        <v>1408</v>
      </c>
      <c r="B1414" s="27"/>
      <c r="C1414" s="28"/>
      <c r="D1414" s="71"/>
      <c r="E1414" s="28"/>
      <c r="F1414" s="28"/>
      <c r="G1414" s="27"/>
      <c r="H1414" s="28" t="e">
        <f ca="1"/>
        <v>#REF!</v>
      </c>
      <c r="I1414" s="27" t="e">
        <f ca="1"/>
        <v>#REF!</v>
      </c>
      <c r="J1414" s="28" t="e">
        <f ca="1"/>
        <v>#REF!</v>
      </c>
      <c r="K1414" s="27" t="e">
        <f ca="1"/>
        <v>#REF!</v>
      </c>
      <c r="L1414" s="25" t="e">
        <f ca="1"/>
        <v>#REF!</v>
      </c>
      <c r="M1414" s="25" t="e">
        <f ca="1"/>
        <v>#REF!</v>
      </c>
      <c r="N1414" s="25" t="e">
        <f ca="1"/>
        <v>#REF!</v>
      </c>
      <c r="O1414" s="25" t="e">
        <f ca="1"/>
        <v>#REF!</v>
      </c>
      <c r="P1414" s="25" t="e">
        <f ca="1"/>
        <v>#REF!</v>
      </c>
      <c r="Q1414" s="25" t="e">
        <f ca="1"/>
        <v>#REF!</v>
      </c>
      <c r="R1414" s="25" t="e">
        <f ca="1"/>
        <v>#REF!</v>
      </c>
      <c r="S1414" s="25" t="e">
        <f ca="1"/>
        <v>#REF!</v>
      </c>
      <c r="T1414" s="25" t="e">
        <f ca="1"/>
        <v>#REF!</v>
      </c>
      <c r="U1414" s="25" t="e">
        <f ca="1"/>
        <v>#REF!</v>
      </c>
      <c r="V1414" s="25" t="e">
        <f ca="1"/>
        <v>#REF!</v>
      </c>
      <c r="W1414" s="33" t="e">
        <f ca="1"/>
        <v>#REF!</v>
      </c>
      <c r="X1414" s="33" t="e">
        <f ca="1"/>
        <v>#REF!</v>
      </c>
      <c r="Y1414" s="33" t="e">
        <f ca="1"/>
        <v>#REF!</v>
      </c>
      <c r="Z1414" s="33" t="e">
        <f ca="1"/>
        <v>#REF!</v>
      </c>
      <c r="AA1414" s="33" t="e">
        <f ca="1"/>
        <v>#REF!</v>
      </c>
    </row>
    <row r="1415" spans="1:27" s="70" customFormat="1" ht="11.25" x14ac:dyDescent="0.2">
      <c r="A1415" s="24">
        <v>1409</v>
      </c>
      <c r="B1415" s="27"/>
      <c r="C1415" s="28"/>
      <c r="D1415" s="71"/>
      <c r="E1415" s="28"/>
      <c r="F1415" s="28"/>
      <c r="G1415" s="27"/>
      <c r="H1415" s="28" t="e">
        <f ca="1"/>
        <v>#REF!</v>
      </c>
      <c r="I1415" s="27" t="e">
        <f ca="1"/>
        <v>#REF!</v>
      </c>
      <c r="J1415" s="28" t="e">
        <f ca="1"/>
        <v>#REF!</v>
      </c>
      <c r="K1415" s="27" t="e">
        <f ca="1"/>
        <v>#REF!</v>
      </c>
      <c r="L1415" s="25" t="e">
        <f ca="1"/>
        <v>#REF!</v>
      </c>
      <c r="M1415" s="25" t="e">
        <f ca="1"/>
        <v>#REF!</v>
      </c>
      <c r="N1415" s="25" t="e">
        <f ca="1"/>
        <v>#REF!</v>
      </c>
      <c r="O1415" s="25" t="e">
        <f ca="1"/>
        <v>#REF!</v>
      </c>
      <c r="P1415" s="25" t="e">
        <f ca="1"/>
        <v>#REF!</v>
      </c>
      <c r="Q1415" s="25" t="e">
        <f ca="1"/>
        <v>#REF!</v>
      </c>
      <c r="R1415" s="25" t="e">
        <f ca="1"/>
        <v>#REF!</v>
      </c>
      <c r="S1415" s="25" t="e">
        <f ca="1"/>
        <v>#REF!</v>
      </c>
      <c r="T1415" s="25" t="e">
        <f ca="1"/>
        <v>#REF!</v>
      </c>
      <c r="U1415" s="25" t="e">
        <f ca="1"/>
        <v>#REF!</v>
      </c>
      <c r="V1415" s="25" t="e">
        <f ca="1"/>
        <v>#REF!</v>
      </c>
      <c r="W1415" s="33" t="e">
        <f ca="1"/>
        <v>#REF!</v>
      </c>
      <c r="X1415" s="33" t="e">
        <f ca="1"/>
        <v>#REF!</v>
      </c>
      <c r="Y1415" s="33" t="e">
        <f ca="1"/>
        <v>#REF!</v>
      </c>
      <c r="Z1415" s="33" t="e">
        <f ca="1"/>
        <v>#REF!</v>
      </c>
      <c r="AA1415" s="33" t="e">
        <f ca="1"/>
        <v>#REF!</v>
      </c>
    </row>
    <row r="1416" spans="1:27" s="70" customFormat="1" ht="11.25" x14ac:dyDescent="0.2">
      <c r="A1416" s="24">
        <v>1410</v>
      </c>
      <c r="B1416" s="27"/>
      <c r="C1416" s="28"/>
      <c r="D1416" s="71"/>
      <c r="E1416" s="28"/>
      <c r="F1416" s="28"/>
      <c r="G1416" s="27"/>
      <c r="H1416" s="28" t="e">
        <f ca="1"/>
        <v>#REF!</v>
      </c>
      <c r="I1416" s="27" t="e">
        <f ca="1"/>
        <v>#REF!</v>
      </c>
      <c r="J1416" s="28" t="e">
        <f ca="1"/>
        <v>#REF!</v>
      </c>
      <c r="K1416" s="27" t="e">
        <f ca="1"/>
        <v>#REF!</v>
      </c>
      <c r="L1416" s="25" t="e">
        <f ca="1"/>
        <v>#REF!</v>
      </c>
      <c r="M1416" s="25" t="e">
        <f ca="1"/>
        <v>#REF!</v>
      </c>
      <c r="N1416" s="25" t="e">
        <f ca="1"/>
        <v>#REF!</v>
      </c>
      <c r="O1416" s="25" t="e">
        <f ca="1"/>
        <v>#REF!</v>
      </c>
      <c r="P1416" s="25" t="e">
        <f ca="1"/>
        <v>#REF!</v>
      </c>
      <c r="Q1416" s="25" t="e">
        <f ca="1"/>
        <v>#REF!</v>
      </c>
      <c r="R1416" s="25" t="e">
        <f ca="1"/>
        <v>#REF!</v>
      </c>
      <c r="S1416" s="25" t="e">
        <f ca="1"/>
        <v>#REF!</v>
      </c>
      <c r="T1416" s="25" t="e">
        <f ca="1"/>
        <v>#REF!</v>
      </c>
      <c r="U1416" s="25" t="e">
        <f ca="1"/>
        <v>#REF!</v>
      </c>
      <c r="V1416" s="25" t="e">
        <f ca="1"/>
        <v>#REF!</v>
      </c>
      <c r="W1416" s="33" t="e">
        <f ca="1"/>
        <v>#REF!</v>
      </c>
      <c r="X1416" s="33" t="e">
        <f ca="1"/>
        <v>#REF!</v>
      </c>
      <c r="Y1416" s="33" t="e">
        <f ca="1"/>
        <v>#REF!</v>
      </c>
      <c r="Z1416" s="33" t="e">
        <f ca="1"/>
        <v>#REF!</v>
      </c>
      <c r="AA1416" s="33" t="e">
        <f ca="1"/>
        <v>#REF!</v>
      </c>
    </row>
    <row r="1417" spans="1:27" s="70" customFormat="1" ht="11.25" x14ac:dyDescent="0.2">
      <c r="A1417" s="24">
        <v>1411</v>
      </c>
      <c r="B1417" s="27"/>
      <c r="C1417" s="28"/>
      <c r="D1417" s="71"/>
      <c r="E1417" s="28"/>
      <c r="F1417" s="28"/>
      <c r="G1417" s="27"/>
      <c r="H1417" s="28" t="e">
        <f ca="1"/>
        <v>#REF!</v>
      </c>
      <c r="I1417" s="27" t="e">
        <f ca="1"/>
        <v>#REF!</v>
      </c>
      <c r="J1417" s="28" t="e">
        <f ca="1"/>
        <v>#REF!</v>
      </c>
      <c r="K1417" s="27" t="e">
        <f ca="1"/>
        <v>#REF!</v>
      </c>
      <c r="L1417" s="25" t="e">
        <f ca="1"/>
        <v>#REF!</v>
      </c>
      <c r="M1417" s="25" t="e">
        <f ca="1"/>
        <v>#REF!</v>
      </c>
      <c r="N1417" s="25" t="e">
        <f ca="1"/>
        <v>#REF!</v>
      </c>
      <c r="O1417" s="25" t="e">
        <f ca="1"/>
        <v>#REF!</v>
      </c>
      <c r="P1417" s="25" t="e">
        <f ca="1"/>
        <v>#REF!</v>
      </c>
      <c r="Q1417" s="25" t="e">
        <f ca="1"/>
        <v>#REF!</v>
      </c>
      <c r="R1417" s="25" t="e">
        <f ca="1"/>
        <v>#REF!</v>
      </c>
      <c r="S1417" s="25" t="e">
        <f ca="1"/>
        <v>#REF!</v>
      </c>
      <c r="T1417" s="25" t="e">
        <f ca="1"/>
        <v>#REF!</v>
      </c>
      <c r="U1417" s="25" t="e">
        <f ca="1"/>
        <v>#REF!</v>
      </c>
      <c r="V1417" s="25" t="e">
        <f ca="1"/>
        <v>#REF!</v>
      </c>
      <c r="W1417" s="33" t="e">
        <f ca="1"/>
        <v>#REF!</v>
      </c>
      <c r="X1417" s="33" t="e">
        <f ca="1"/>
        <v>#REF!</v>
      </c>
      <c r="Y1417" s="33" t="e">
        <f ca="1"/>
        <v>#REF!</v>
      </c>
      <c r="Z1417" s="33" t="e">
        <f ca="1"/>
        <v>#REF!</v>
      </c>
      <c r="AA1417" s="33" t="e">
        <f ca="1"/>
        <v>#REF!</v>
      </c>
    </row>
    <row r="1418" spans="1:27" s="70" customFormat="1" ht="11.25" x14ac:dyDescent="0.2">
      <c r="A1418" s="24">
        <v>1412</v>
      </c>
      <c r="B1418" s="27"/>
      <c r="C1418" s="28"/>
      <c r="D1418" s="71"/>
      <c r="E1418" s="28"/>
      <c r="F1418" s="28"/>
      <c r="G1418" s="27"/>
      <c r="H1418" s="28" t="e">
        <f ca="1"/>
        <v>#REF!</v>
      </c>
      <c r="I1418" s="27" t="e">
        <f ca="1"/>
        <v>#REF!</v>
      </c>
      <c r="J1418" s="28" t="e">
        <f ca="1"/>
        <v>#REF!</v>
      </c>
      <c r="K1418" s="27" t="e">
        <f ca="1"/>
        <v>#REF!</v>
      </c>
      <c r="L1418" s="25" t="e">
        <f ca="1"/>
        <v>#REF!</v>
      </c>
      <c r="M1418" s="25" t="e">
        <f ca="1"/>
        <v>#REF!</v>
      </c>
      <c r="N1418" s="25" t="e">
        <f ca="1"/>
        <v>#REF!</v>
      </c>
      <c r="O1418" s="25" t="e">
        <f ca="1"/>
        <v>#REF!</v>
      </c>
      <c r="P1418" s="25" t="e">
        <f ca="1"/>
        <v>#REF!</v>
      </c>
      <c r="Q1418" s="25" t="e">
        <f ca="1"/>
        <v>#REF!</v>
      </c>
      <c r="R1418" s="25" t="e">
        <f ca="1"/>
        <v>#REF!</v>
      </c>
      <c r="S1418" s="25" t="e">
        <f ca="1"/>
        <v>#REF!</v>
      </c>
      <c r="T1418" s="25" t="e">
        <f ca="1"/>
        <v>#REF!</v>
      </c>
      <c r="U1418" s="25" t="e">
        <f ca="1"/>
        <v>#REF!</v>
      </c>
      <c r="V1418" s="25" t="e">
        <f ca="1"/>
        <v>#REF!</v>
      </c>
      <c r="W1418" s="33" t="e">
        <f ca="1"/>
        <v>#REF!</v>
      </c>
      <c r="X1418" s="33" t="e">
        <f ca="1"/>
        <v>#REF!</v>
      </c>
      <c r="Y1418" s="33" t="e">
        <f ca="1"/>
        <v>#REF!</v>
      </c>
      <c r="Z1418" s="33" t="e">
        <f ca="1"/>
        <v>#REF!</v>
      </c>
      <c r="AA1418" s="33" t="e">
        <f ca="1"/>
        <v>#REF!</v>
      </c>
    </row>
    <row r="1419" spans="1:27" s="70" customFormat="1" ht="11.25" x14ac:dyDescent="0.2">
      <c r="A1419" s="24">
        <v>1413</v>
      </c>
      <c r="B1419" s="27"/>
      <c r="C1419" s="28"/>
      <c r="D1419" s="71"/>
      <c r="E1419" s="28"/>
      <c r="F1419" s="28"/>
      <c r="G1419" s="27"/>
      <c r="H1419" s="28" t="e">
        <f ca="1"/>
        <v>#REF!</v>
      </c>
      <c r="I1419" s="27" t="e">
        <f ca="1"/>
        <v>#REF!</v>
      </c>
      <c r="J1419" s="28" t="e">
        <f ca="1"/>
        <v>#REF!</v>
      </c>
      <c r="K1419" s="27" t="e">
        <f ca="1"/>
        <v>#REF!</v>
      </c>
      <c r="L1419" s="25" t="e">
        <f ca="1"/>
        <v>#REF!</v>
      </c>
      <c r="M1419" s="25" t="e">
        <f ca="1"/>
        <v>#REF!</v>
      </c>
      <c r="N1419" s="25" t="e">
        <f ca="1"/>
        <v>#REF!</v>
      </c>
      <c r="O1419" s="25" t="e">
        <f ca="1"/>
        <v>#REF!</v>
      </c>
      <c r="P1419" s="25" t="e">
        <f ca="1"/>
        <v>#REF!</v>
      </c>
      <c r="Q1419" s="25" t="e">
        <f ca="1"/>
        <v>#REF!</v>
      </c>
      <c r="R1419" s="25" t="e">
        <f ca="1"/>
        <v>#REF!</v>
      </c>
      <c r="S1419" s="25" t="e">
        <f ca="1"/>
        <v>#REF!</v>
      </c>
      <c r="T1419" s="25" t="e">
        <f ca="1"/>
        <v>#REF!</v>
      </c>
      <c r="U1419" s="25" t="e">
        <f ca="1"/>
        <v>#REF!</v>
      </c>
      <c r="V1419" s="25" t="e">
        <f ca="1"/>
        <v>#REF!</v>
      </c>
      <c r="W1419" s="33" t="e">
        <f ca="1"/>
        <v>#REF!</v>
      </c>
      <c r="X1419" s="33" t="e">
        <f ca="1"/>
        <v>#REF!</v>
      </c>
      <c r="Y1419" s="33" t="e">
        <f ca="1"/>
        <v>#REF!</v>
      </c>
      <c r="Z1419" s="33" t="e">
        <f ca="1"/>
        <v>#REF!</v>
      </c>
      <c r="AA1419" s="33" t="e">
        <f ca="1"/>
        <v>#REF!</v>
      </c>
    </row>
    <row r="1420" spans="1:27" s="70" customFormat="1" ht="11.25" x14ac:dyDescent="0.2">
      <c r="A1420" s="24">
        <v>1414</v>
      </c>
      <c r="B1420" s="27"/>
      <c r="C1420" s="28"/>
      <c r="D1420" s="71"/>
      <c r="E1420" s="28"/>
      <c r="F1420" s="28"/>
      <c r="G1420" s="27"/>
      <c r="H1420" s="28" t="e">
        <f ca="1"/>
        <v>#REF!</v>
      </c>
      <c r="I1420" s="27" t="e">
        <f ca="1"/>
        <v>#REF!</v>
      </c>
      <c r="J1420" s="28" t="e">
        <f ca="1"/>
        <v>#REF!</v>
      </c>
      <c r="K1420" s="27" t="e">
        <f ca="1"/>
        <v>#REF!</v>
      </c>
      <c r="L1420" s="25" t="e">
        <f ca="1"/>
        <v>#REF!</v>
      </c>
      <c r="M1420" s="25" t="e">
        <f ca="1"/>
        <v>#REF!</v>
      </c>
      <c r="N1420" s="25" t="e">
        <f ca="1"/>
        <v>#REF!</v>
      </c>
      <c r="O1420" s="25" t="e">
        <f ca="1"/>
        <v>#REF!</v>
      </c>
      <c r="P1420" s="25" t="e">
        <f ca="1"/>
        <v>#REF!</v>
      </c>
      <c r="Q1420" s="25" t="e">
        <f ca="1"/>
        <v>#REF!</v>
      </c>
      <c r="R1420" s="25" t="e">
        <f ca="1"/>
        <v>#REF!</v>
      </c>
      <c r="S1420" s="25" t="e">
        <f ca="1"/>
        <v>#REF!</v>
      </c>
      <c r="T1420" s="25" t="e">
        <f ca="1"/>
        <v>#REF!</v>
      </c>
      <c r="U1420" s="25" t="e">
        <f ca="1"/>
        <v>#REF!</v>
      </c>
      <c r="V1420" s="25" t="e">
        <f ca="1"/>
        <v>#REF!</v>
      </c>
      <c r="W1420" s="33" t="e">
        <f ca="1"/>
        <v>#REF!</v>
      </c>
      <c r="X1420" s="33" t="e">
        <f ca="1"/>
        <v>#REF!</v>
      </c>
      <c r="Y1420" s="33" t="e">
        <f ca="1"/>
        <v>#REF!</v>
      </c>
      <c r="Z1420" s="33" t="e">
        <f ca="1"/>
        <v>#REF!</v>
      </c>
      <c r="AA1420" s="33" t="e">
        <f ca="1"/>
        <v>#REF!</v>
      </c>
    </row>
    <row r="1421" spans="1:27" s="70" customFormat="1" ht="11.25" x14ac:dyDescent="0.2">
      <c r="A1421" s="24">
        <v>1415</v>
      </c>
      <c r="B1421" s="27"/>
      <c r="C1421" s="28"/>
      <c r="D1421" s="71"/>
      <c r="E1421" s="28"/>
      <c r="F1421" s="28"/>
      <c r="G1421" s="27"/>
      <c r="H1421" s="28" t="e">
        <f ca="1"/>
        <v>#REF!</v>
      </c>
      <c r="I1421" s="27" t="e">
        <f ca="1"/>
        <v>#REF!</v>
      </c>
      <c r="J1421" s="28" t="e">
        <f ca="1"/>
        <v>#REF!</v>
      </c>
      <c r="K1421" s="27" t="e">
        <f ca="1"/>
        <v>#REF!</v>
      </c>
      <c r="L1421" s="25" t="e">
        <f ca="1"/>
        <v>#REF!</v>
      </c>
      <c r="M1421" s="25" t="e">
        <f ca="1"/>
        <v>#REF!</v>
      </c>
      <c r="N1421" s="25" t="e">
        <f ca="1"/>
        <v>#REF!</v>
      </c>
      <c r="O1421" s="25" t="e">
        <f ca="1"/>
        <v>#REF!</v>
      </c>
      <c r="P1421" s="25" t="e">
        <f ca="1"/>
        <v>#REF!</v>
      </c>
      <c r="Q1421" s="25" t="e">
        <f ca="1"/>
        <v>#REF!</v>
      </c>
      <c r="R1421" s="25" t="e">
        <f ca="1"/>
        <v>#REF!</v>
      </c>
      <c r="S1421" s="25" t="e">
        <f ca="1"/>
        <v>#REF!</v>
      </c>
      <c r="T1421" s="25" t="e">
        <f ca="1"/>
        <v>#REF!</v>
      </c>
      <c r="U1421" s="25" t="e">
        <f ca="1"/>
        <v>#REF!</v>
      </c>
      <c r="V1421" s="25" t="e">
        <f ca="1"/>
        <v>#REF!</v>
      </c>
      <c r="W1421" s="33" t="e">
        <f ca="1"/>
        <v>#REF!</v>
      </c>
      <c r="X1421" s="33" t="e">
        <f ca="1"/>
        <v>#REF!</v>
      </c>
      <c r="Y1421" s="33" t="e">
        <f ca="1"/>
        <v>#REF!</v>
      </c>
      <c r="Z1421" s="33" t="e">
        <f ca="1"/>
        <v>#REF!</v>
      </c>
      <c r="AA1421" s="33" t="e">
        <f ca="1"/>
        <v>#REF!</v>
      </c>
    </row>
    <row r="1422" spans="1:27" s="70" customFormat="1" ht="11.25" x14ac:dyDescent="0.2">
      <c r="A1422" s="24">
        <v>1416</v>
      </c>
      <c r="B1422" s="27"/>
      <c r="C1422" s="28"/>
      <c r="D1422" s="71"/>
      <c r="E1422" s="28"/>
      <c r="F1422" s="28"/>
      <c r="G1422" s="27"/>
      <c r="H1422" s="28" t="e">
        <f ca="1"/>
        <v>#REF!</v>
      </c>
      <c r="I1422" s="27" t="e">
        <f ca="1"/>
        <v>#REF!</v>
      </c>
      <c r="J1422" s="28" t="e">
        <f ca="1"/>
        <v>#REF!</v>
      </c>
      <c r="K1422" s="27" t="e">
        <f ca="1"/>
        <v>#REF!</v>
      </c>
      <c r="L1422" s="25" t="e">
        <f ca="1"/>
        <v>#REF!</v>
      </c>
      <c r="M1422" s="25" t="e">
        <f ca="1"/>
        <v>#REF!</v>
      </c>
      <c r="N1422" s="25" t="e">
        <f ca="1"/>
        <v>#REF!</v>
      </c>
      <c r="O1422" s="25" t="e">
        <f ca="1"/>
        <v>#REF!</v>
      </c>
      <c r="P1422" s="25" t="e">
        <f ca="1"/>
        <v>#REF!</v>
      </c>
      <c r="Q1422" s="25" t="e">
        <f ca="1"/>
        <v>#REF!</v>
      </c>
      <c r="R1422" s="25" t="e">
        <f ca="1"/>
        <v>#REF!</v>
      </c>
      <c r="S1422" s="25" t="e">
        <f ca="1"/>
        <v>#REF!</v>
      </c>
      <c r="T1422" s="25" t="e">
        <f ca="1"/>
        <v>#REF!</v>
      </c>
      <c r="U1422" s="25" t="e">
        <f ca="1"/>
        <v>#REF!</v>
      </c>
      <c r="V1422" s="25" t="e">
        <f ca="1"/>
        <v>#REF!</v>
      </c>
      <c r="W1422" s="33" t="e">
        <f ca="1"/>
        <v>#REF!</v>
      </c>
      <c r="X1422" s="33" t="e">
        <f ca="1"/>
        <v>#REF!</v>
      </c>
      <c r="Y1422" s="33" t="e">
        <f ca="1"/>
        <v>#REF!</v>
      </c>
      <c r="Z1422" s="33" t="e">
        <f ca="1"/>
        <v>#REF!</v>
      </c>
      <c r="AA1422" s="33" t="e">
        <f ca="1"/>
        <v>#REF!</v>
      </c>
    </row>
    <row r="1423" spans="1:27" s="70" customFormat="1" ht="11.25" x14ac:dyDescent="0.2">
      <c r="A1423" s="24">
        <v>1417</v>
      </c>
      <c r="B1423" s="27"/>
      <c r="C1423" s="28"/>
      <c r="D1423" s="71"/>
      <c r="E1423" s="28"/>
      <c r="F1423" s="28"/>
      <c r="G1423" s="27"/>
      <c r="H1423" s="28" t="e">
        <f ca="1"/>
        <v>#REF!</v>
      </c>
      <c r="I1423" s="27" t="e">
        <f ca="1"/>
        <v>#REF!</v>
      </c>
      <c r="J1423" s="28" t="e">
        <f ca="1"/>
        <v>#REF!</v>
      </c>
      <c r="K1423" s="27" t="e">
        <f ca="1"/>
        <v>#REF!</v>
      </c>
      <c r="L1423" s="25" t="e">
        <f ca="1"/>
        <v>#REF!</v>
      </c>
      <c r="M1423" s="25" t="e">
        <f ca="1"/>
        <v>#REF!</v>
      </c>
      <c r="N1423" s="25" t="e">
        <f ca="1"/>
        <v>#REF!</v>
      </c>
      <c r="O1423" s="25" t="e">
        <f ca="1"/>
        <v>#REF!</v>
      </c>
      <c r="P1423" s="25" t="e">
        <f ca="1"/>
        <v>#REF!</v>
      </c>
      <c r="Q1423" s="25" t="e">
        <f ca="1"/>
        <v>#REF!</v>
      </c>
      <c r="R1423" s="25" t="e">
        <f ca="1"/>
        <v>#REF!</v>
      </c>
      <c r="S1423" s="25" t="e">
        <f ca="1"/>
        <v>#REF!</v>
      </c>
      <c r="T1423" s="25" t="e">
        <f ca="1"/>
        <v>#REF!</v>
      </c>
      <c r="U1423" s="25" t="e">
        <f ca="1"/>
        <v>#REF!</v>
      </c>
      <c r="V1423" s="25" t="e">
        <f ca="1"/>
        <v>#REF!</v>
      </c>
      <c r="W1423" s="33" t="e">
        <f ca="1"/>
        <v>#REF!</v>
      </c>
      <c r="X1423" s="33" t="e">
        <f ca="1"/>
        <v>#REF!</v>
      </c>
      <c r="Y1423" s="33" t="e">
        <f ca="1"/>
        <v>#REF!</v>
      </c>
      <c r="Z1423" s="33" t="e">
        <f ca="1"/>
        <v>#REF!</v>
      </c>
      <c r="AA1423" s="33" t="e">
        <f ca="1"/>
        <v>#REF!</v>
      </c>
    </row>
    <row r="1424" spans="1:27" s="70" customFormat="1" ht="11.25" x14ac:dyDescent="0.2">
      <c r="A1424" s="24">
        <v>1418</v>
      </c>
      <c r="B1424" s="27"/>
      <c r="C1424" s="28"/>
      <c r="D1424" s="71"/>
      <c r="E1424" s="28"/>
      <c r="F1424" s="28"/>
      <c r="G1424" s="27"/>
      <c r="H1424" s="28" t="e">
        <f ca="1"/>
        <v>#REF!</v>
      </c>
      <c r="I1424" s="27" t="e">
        <f ca="1"/>
        <v>#REF!</v>
      </c>
      <c r="J1424" s="28" t="e">
        <f ca="1"/>
        <v>#REF!</v>
      </c>
      <c r="K1424" s="27" t="e">
        <f ca="1"/>
        <v>#REF!</v>
      </c>
      <c r="L1424" s="25" t="e">
        <f ca="1"/>
        <v>#REF!</v>
      </c>
      <c r="M1424" s="25" t="e">
        <f ca="1"/>
        <v>#REF!</v>
      </c>
      <c r="N1424" s="25" t="e">
        <f ca="1"/>
        <v>#REF!</v>
      </c>
      <c r="O1424" s="25" t="e">
        <f ca="1"/>
        <v>#REF!</v>
      </c>
      <c r="P1424" s="25" t="e">
        <f ca="1"/>
        <v>#REF!</v>
      </c>
      <c r="Q1424" s="25" t="e">
        <f ca="1"/>
        <v>#REF!</v>
      </c>
      <c r="R1424" s="25" t="e">
        <f ca="1"/>
        <v>#REF!</v>
      </c>
      <c r="S1424" s="25" t="e">
        <f ca="1"/>
        <v>#REF!</v>
      </c>
      <c r="T1424" s="25" t="e">
        <f ca="1"/>
        <v>#REF!</v>
      </c>
      <c r="U1424" s="25" t="e">
        <f ca="1"/>
        <v>#REF!</v>
      </c>
      <c r="V1424" s="25" t="e">
        <f ca="1"/>
        <v>#REF!</v>
      </c>
      <c r="W1424" s="33" t="e">
        <f ca="1"/>
        <v>#REF!</v>
      </c>
      <c r="X1424" s="33" t="e">
        <f ca="1"/>
        <v>#REF!</v>
      </c>
      <c r="Y1424" s="33" t="e">
        <f ca="1"/>
        <v>#REF!</v>
      </c>
      <c r="Z1424" s="33" t="e">
        <f ca="1"/>
        <v>#REF!</v>
      </c>
      <c r="AA1424" s="33" t="e">
        <f ca="1"/>
        <v>#REF!</v>
      </c>
    </row>
    <row r="1425" spans="1:27" s="70" customFormat="1" ht="11.25" x14ac:dyDescent="0.2">
      <c r="A1425" s="24">
        <v>1419</v>
      </c>
      <c r="B1425" s="27"/>
      <c r="C1425" s="28"/>
      <c r="D1425" s="71"/>
      <c r="E1425" s="28"/>
      <c r="F1425" s="28"/>
      <c r="G1425" s="27"/>
      <c r="H1425" s="28" t="e">
        <f ca="1"/>
        <v>#REF!</v>
      </c>
      <c r="I1425" s="27" t="e">
        <f ca="1"/>
        <v>#REF!</v>
      </c>
      <c r="J1425" s="28" t="e">
        <f ca="1"/>
        <v>#REF!</v>
      </c>
      <c r="K1425" s="27" t="e">
        <f ca="1"/>
        <v>#REF!</v>
      </c>
      <c r="L1425" s="25" t="e">
        <f ca="1"/>
        <v>#REF!</v>
      </c>
      <c r="M1425" s="25" t="e">
        <f ca="1"/>
        <v>#REF!</v>
      </c>
      <c r="N1425" s="25" t="e">
        <f ca="1"/>
        <v>#REF!</v>
      </c>
      <c r="O1425" s="25" t="e">
        <f ca="1"/>
        <v>#REF!</v>
      </c>
      <c r="P1425" s="25" t="e">
        <f ca="1"/>
        <v>#REF!</v>
      </c>
      <c r="Q1425" s="25" t="e">
        <f ca="1"/>
        <v>#REF!</v>
      </c>
      <c r="R1425" s="25" t="e">
        <f ca="1"/>
        <v>#REF!</v>
      </c>
      <c r="S1425" s="25" t="e">
        <f ca="1"/>
        <v>#REF!</v>
      </c>
      <c r="T1425" s="25" t="e">
        <f ca="1"/>
        <v>#REF!</v>
      </c>
      <c r="U1425" s="25" t="e">
        <f ca="1"/>
        <v>#REF!</v>
      </c>
      <c r="V1425" s="25" t="e">
        <f ca="1"/>
        <v>#REF!</v>
      </c>
      <c r="W1425" s="33" t="e">
        <f ca="1"/>
        <v>#REF!</v>
      </c>
      <c r="X1425" s="33" t="e">
        <f ca="1"/>
        <v>#REF!</v>
      </c>
      <c r="Y1425" s="33" t="e">
        <f ca="1"/>
        <v>#REF!</v>
      </c>
      <c r="Z1425" s="33" t="e">
        <f ca="1"/>
        <v>#REF!</v>
      </c>
      <c r="AA1425" s="33" t="e">
        <f ca="1"/>
        <v>#REF!</v>
      </c>
    </row>
    <row r="1426" spans="1:27" s="70" customFormat="1" ht="11.25" x14ac:dyDescent="0.2">
      <c r="A1426" s="24">
        <v>1420</v>
      </c>
      <c r="B1426" s="27"/>
      <c r="C1426" s="28"/>
      <c r="D1426" s="71"/>
      <c r="E1426" s="28"/>
      <c r="F1426" s="28"/>
      <c r="G1426" s="27"/>
      <c r="H1426" s="28" t="e">
        <f ca="1"/>
        <v>#REF!</v>
      </c>
      <c r="I1426" s="27" t="e">
        <f ca="1"/>
        <v>#REF!</v>
      </c>
      <c r="J1426" s="28" t="e">
        <f ca="1"/>
        <v>#REF!</v>
      </c>
      <c r="K1426" s="27" t="e">
        <f ca="1"/>
        <v>#REF!</v>
      </c>
      <c r="L1426" s="25" t="e">
        <f ca="1"/>
        <v>#REF!</v>
      </c>
      <c r="M1426" s="25" t="e">
        <f ca="1"/>
        <v>#REF!</v>
      </c>
      <c r="N1426" s="25" t="e">
        <f ca="1"/>
        <v>#REF!</v>
      </c>
      <c r="O1426" s="25" t="e">
        <f ca="1"/>
        <v>#REF!</v>
      </c>
      <c r="P1426" s="25" t="e">
        <f ca="1"/>
        <v>#REF!</v>
      </c>
      <c r="Q1426" s="25" t="e">
        <f ca="1"/>
        <v>#REF!</v>
      </c>
      <c r="R1426" s="25" t="e">
        <f ca="1"/>
        <v>#REF!</v>
      </c>
      <c r="S1426" s="25" t="e">
        <f ca="1"/>
        <v>#REF!</v>
      </c>
      <c r="T1426" s="25" t="e">
        <f ca="1"/>
        <v>#REF!</v>
      </c>
      <c r="U1426" s="25" t="e">
        <f ca="1"/>
        <v>#REF!</v>
      </c>
      <c r="V1426" s="25" t="e">
        <f ca="1"/>
        <v>#REF!</v>
      </c>
      <c r="W1426" s="33" t="e">
        <f ca="1"/>
        <v>#REF!</v>
      </c>
      <c r="X1426" s="33" t="e">
        <f ca="1"/>
        <v>#REF!</v>
      </c>
      <c r="Y1426" s="33" t="e">
        <f ca="1"/>
        <v>#REF!</v>
      </c>
      <c r="Z1426" s="33" t="e">
        <f ca="1"/>
        <v>#REF!</v>
      </c>
      <c r="AA1426" s="33" t="e">
        <f ca="1"/>
        <v>#REF!</v>
      </c>
    </row>
    <row r="1427" spans="1:27" s="70" customFormat="1" ht="11.25" x14ac:dyDescent="0.2">
      <c r="A1427" s="24">
        <v>1421</v>
      </c>
      <c r="B1427" s="27"/>
      <c r="C1427" s="28"/>
      <c r="D1427" s="71"/>
      <c r="E1427" s="28"/>
      <c r="F1427" s="28"/>
      <c r="G1427" s="27"/>
      <c r="H1427" s="28" t="e">
        <f ca="1"/>
        <v>#REF!</v>
      </c>
      <c r="I1427" s="27" t="e">
        <f ca="1"/>
        <v>#REF!</v>
      </c>
      <c r="J1427" s="28" t="e">
        <f ca="1"/>
        <v>#REF!</v>
      </c>
      <c r="K1427" s="27" t="e">
        <f ca="1"/>
        <v>#REF!</v>
      </c>
      <c r="L1427" s="25" t="e">
        <f ca="1"/>
        <v>#REF!</v>
      </c>
      <c r="M1427" s="25" t="e">
        <f ca="1"/>
        <v>#REF!</v>
      </c>
      <c r="N1427" s="25" t="e">
        <f ca="1"/>
        <v>#REF!</v>
      </c>
      <c r="O1427" s="25" t="e">
        <f ca="1"/>
        <v>#REF!</v>
      </c>
      <c r="P1427" s="25" t="e">
        <f ca="1"/>
        <v>#REF!</v>
      </c>
      <c r="Q1427" s="25" t="e">
        <f ca="1"/>
        <v>#REF!</v>
      </c>
      <c r="R1427" s="25" t="e">
        <f ca="1"/>
        <v>#REF!</v>
      </c>
      <c r="S1427" s="25" t="e">
        <f ca="1"/>
        <v>#REF!</v>
      </c>
      <c r="T1427" s="25" t="e">
        <f ca="1"/>
        <v>#REF!</v>
      </c>
      <c r="U1427" s="25" t="e">
        <f ca="1"/>
        <v>#REF!</v>
      </c>
      <c r="V1427" s="25" t="e">
        <f ca="1"/>
        <v>#REF!</v>
      </c>
      <c r="W1427" s="33" t="e">
        <f ca="1"/>
        <v>#REF!</v>
      </c>
      <c r="X1427" s="33" t="e">
        <f ca="1"/>
        <v>#REF!</v>
      </c>
      <c r="Y1427" s="33" t="e">
        <f ca="1"/>
        <v>#REF!</v>
      </c>
      <c r="Z1427" s="33" t="e">
        <f ca="1"/>
        <v>#REF!</v>
      </c>
      <c r="AA1427" s="33" t="e">
        <f ca="1"/>
        <v>#REF!</v>
      </c>
    </row>
    <row r="1428" spans="1:27" s="70" customFormat="1" ht="11.25" x14ac:dyDescent="0.2">
      <c r="A1428" s="24">
        <v>1422</v>
      </c>
      <c r="B1428" s="27"/>
      <c r="C1428" s="28"/>
      <c r="D1428" s="71"/>
      <c r="E1428" s="28"/>
      <c r="F1428" s="28"/>
      <c r="G1428" s="27"/>
      <c r="H1428" s="28" t="e">
        <f ca="1"/>
        <v>#REF!</v>
      </c>
      <c r="I1428" s="27" t="e">
        <f ca="1"/>
        <v>#REF!</v>
      </c>
      <c r="J1428" s="28" t="e">
        <f ca="1"/>
        <v>#REF!</v>
      </c>
      <c r="K1428" s="27" t="e">
        <f ca="1"/>
        <v>#REF!</v>
      </c>
      <c r="L1428" s="25" t="e">
        <f ca="1"/>
        <v>#REF!</v>
      </c>
      <c r="M1428" s="25" t="e">
        <f ca="1"/>
        <v>#REF!</v>
      </c>
      <c r="N1428" s="25" t="e">
        <f ca="1"/>
        <v>#REF!</v>
      </c>
      <c r="O1428" s="25" t="e">
        <f ca="1"/>
        <v>#REF!</v>
      </c>
      <c r="P1428" s="25" t="e">
        <f ca="1"/>
        <v>#REF!</v>
      </c>
      <c r="Q1428" s="25" t="e">
        <f ca="1"/>
        <v>#REF!</v>
      </c>
      <c r="R1428" s="25" t="e">
        <f ca="1"/>
        <v>#REF!</v>
      </c>
      <c r="S1428" s="25" t="e">
        <f ca="1"/>
        <v>#REF!</v>
      </c>
      <c r="T1428" s="25" t="e">
        <f ca="1"/>
        <v>#REF!</v>
      </c>
      <c r="U1428" s="25" t="e">
        <f ca="1"/>
        <v>#REF!</v>
      </c>
      <c r="V1428" s="25" t="e">
        <f ca="1"/>
        <v>#REF!</v>
      </c>
      <c r="W1428" s="33" t="e">
        <f ca="1"/>
        <v>#REF!</v>
      </c>
      <c r="X1428" s="33" t="e">
        <f ca="1"/>
        <v>#REF!</v>
      </c>
      <c r="Y1428" s="33" t="e">
        <f ca="1"/>
        <v>#REF!</v>
      </c>
      <c r="Z1428" s="33" t="e">
        <f ca="1"/>
        <v>#REF!</v>
      </c>
      <c r="AA1428" s="33" t="e">
        <f ca="1"/>
        <v>#REF!</v>
      </c>
    </row>
    <row r="1429" spans="1:27" s="70" customFormat="1" ht="11.25" x14ac:dyDescent="0.2">
      <c r="A1429" s="24">
        <v>1423</v>
      </c>
      <c r="B1429" s="27"/>
      <c r="C1429" s="28"/>
      <c r="D1429" s="71"/>
      <c r="E1429" s="28"/>
      <c r="F1429" s="28"/>
      <c r="G1429" s="27"/>
      <c r="H1429" s="28" t="e">
        <f ca="1"/>
        <v>#REF!</v>
      </c>
      <c r="I1429" s="27" t="e">
        <f ca="1"/>
        <v>#REF!</v>
      </c>
      <c r="J1429" s="28" t="e">
        <f ca="1"/>
        <v>#REF!</v>
      </c>
      <c r="K1429" s="27" t="e">
        <f ca="1"/>
        <v>#REF!</v>
      </c>
      <c r="L1429" s="25" t="e">
        <f ca="1"/>
        <v>#REF!</v>
      </c>
      <c r="M1429" s="25" t="e">
        <f ca="1"/>
        <v>#REF!</v>
      </c>
      <c r="N1429" s="25" t="e">
        <f ca="1"/>
        <v>#REF!</v>
      </c>
      <c r="O1429" s="25" t="e">
        <f ca="1"/>
        <v>#REF!</v>
      </c>
      <c r="P1429" s="25" t="e">
        <f ca="1"/>
        <v>#REF!</v>
      </c>
      <c r="Q1429" s="25" t="e">
        <f ca="1"/>
        <v>#REF!</v>
      </c>
      <c r="R1429" s="25" t="e">
        <f ca="1"/>
        <v>#REF!</v>
      </c>
      <c r="S1429" s="25" t="e">
        <f ca="1"/>
        <v>#REF!</v>
      </c>
      <c r="T1429" s="25" t="e">
        <f ca="1"/>
        <v>#REF!</v>
      </c>
      <c r="U1429" s="25" t="e">
        <f ca="1"/>
        <v>#REF!</v>
      </c>
      <c r="V1429" s="25" t="e">
        <f ca="1"/>
        <v>#REF!</v>
      </c>
      <c r="W1429" s="33" t="e">
        <f ca="1"/>
        <v>#REF!</v>
      </c>
      <c r="X1429" s="33" t="e">
        <f ca="1"/>
        <v>#REF!</v>
      </c>
      <c r="Y1429" s="33" t="e">
        <f ca="1"/>
        <v>#REF!</v>
      </c>
      <c r="Z1429" s="33" t="e">
        <f ca="1"/>
        <v>#REF!</v>
      </c>
      <c r="AA1429" s="33" t="e">
        <f ca="1"/>
        <v>#REF!</v>
      </c>
    </row>
    <row r="1430" spans="1:27" s="70" customFormat="1" ht="11.25" x14ac:dyDescent="0.2">
      <c r="A1430" s="24">
        <v>1424</v>
      </c>
      <c r="B1430" s="27"/>
      <c r="C1430" s="28"/>
      <c r="D1430" s="71"/>
      <c r="E1430" s="28"/>
      <c r="F1430" s="28"/>
      <c r="G1430" s="27"/>
      <c r="H1430" s="28" t="e">
        <f ca="1"/>
        <v>#REF!</v>
      </c>
      <c r="I1430" s="27" t="e">
        <f ca="1"/>
        <v>#REF!</v>
      </c>
      <c r="J1430" s="28" t="e">
        <f ca="1"/>
        <v>#REF!</v>
      </c>
      <c r="K1430" s="27" t="e">
        <f ca="1"/>
        <v>#REF!</v>
      </c>
      <c r="L1430" s="25" t="e">
        <f ca="1"/>
        <v>#REF!</v>
      </c>
      <c r="M1430" s="25" t="e">
        <f ca="1"/>
        <v>#REF!</v>
      </c>
      <c r="N1430" s="25" t="e">
        <f ca="1"/>
        <v>#REF!</v>
      </c>
      <c r="O1430" s="25" t="e">
        <f ca="1"/>
        <v>#REF!</v>
      </c>
      <c r="P1430" s="25" t="e">
        <f ca="1"/>
        <v>#REF!</v>
      </c>
      <c r="Q1430" s="25" t="e">
        <f ca="1"/>
        <v>#REF!</v>
      </c>
      <c r="R1430" s="25" t="e">
        <f ca="1"/>
        <v>#REF!</v>
      </c>
      <c r="S1430" s="25" t="e">
        <f ca="1"/>
        <v>#REF!</v>
      </c>
      <c r="T1430" s="25" t="e">
        <f ca="1"/>
        <v>#REF!</v>
      </c>
      <c r="U1430" s="25" t="e">
        <f ca="1"/>
        <v>#REF!</v>
      </c>
      <c r="V1430" s="25" t="e">
        <f ca="1"/>
        <v>#REF!</v>
      </c>
      <c r="W1430" s="33" t="e">
        <f ca="1"/>
        <v>#REF!</v>
      </c>
      <c r="X1430" s="33" t="e">
        <f ca="1"/>
        <v>#REF!</v>
      </c>
      <c r="Y1430" s="33" t="e">
        <f ca="1"/>
        <v>#REF!</v>
      </c>
      <c r="Z1430" s="33" t="e">
        <f ca="1"/>
        <v>#REF!</v>
      </c>
      <c r="AA1430" s="33" t="e">
        <f ca="1"/>
        <v>#REF!</v>
      </c>
    </row>
    <row r="1431" spans="1:27" s="70" customFormat="1" ht="11.25" x14ac:dyDescent="0.2">
      <c r="A1431" s="24">
        <v>1425</v>
      </c>
      <c r="B1431" s="27"/>
      <c r="C1431" s="28"/>
      <c r="D1431" s="71"/>
      <c r="E1431" s="28"/>
      <c r="F1431" s="28"/>
      <c r="G1431" s="27"/>
      <c r="H1431" s="28" t="e">
        <f ca="1"/>
        <v>#REF!</v>
      </c>
      <c r="I1431" s="27" t="e">
        <f ca="1"/>
        <v>#REF!</v>
      </c>
      <c r="J1431" s="28" t="e">
        <f ca="1"/>
        <v>#REF!</v>
      </c>
      <c r="K1431" s="27" t="e">
        <f ca="1"/>
        <v>#REF!</v>
      </c>
      <c r="L1431" s="25" t="e">
        <f ca="1"/>
        <v>#REF!</v>
      </c>
      <c r="M1431" s="25" t="e">
        <f ca="1"/>
        <v>#REF!</v>
      </c>
      <c r="N1431" s="25" t="e">
        <f ca="1"/>
        <v>#REF!</v>
      </c>
      <c r="O1431" s="25" t="e">
        <f ca="1"/>
        <v>#REF!</v>
      </c>
      <c r="P1431" s="25" t="e">
        <f ca="1"/>
        <v>#REF!</v>
      </c>
      <c r="Q1431" s="25" t="e">
        <f ca="1"/>
        <v>#REF!</v>
      </c>
      <c r="R1431" s="25" t="e">
        <f ca="1"/>
        <v>#REF!</v>
      </c>
      <c r="S1431" s="25" t="e">
        <f ca="1"/>
        <v>#REF!</v>
      </c>
      <c r="T1431" s="25" t="e">
        <f ca="1"/>
        <v>#REF!</v>
      </c>
      <c r="U1431" s="25" t="e">
        <f ca="1"/>
        <v>#REF!</v>
      </c>
      <c r="V1431" s="25" t="e">
        <f ca="1"/>
        <v>#REF!</v>
      </c>
      <c r="W1431" s="33" t="e">
        <f ca="1"/>
        <v>#REF!</v>
      </c>
      <c r="X1431" s="33" t="e">
        <f ca="1"/>
        <v>#REF!</v>
      </c>
      <c r="Y1431" s="33" t="e">
        <f ca="1"/>
        <v>#REF!</v>
      </c>
      <c r="Z1431" s="33" t="e">
        <f ca="1"/>
        <v>#REF!</v>
      </c>
      <c r="AA1431" s="33" t="e">
        <f ca="1"/>
        <v>#REF!</v>
      </c>
    </row>
    <row r="1432" spans="1:27" s="70" customFormat="1" ht="11.25" x14ac:dyDescent="0.2">
      <c r="A1432" s="24">
        <v>1426</v>
      </c>
      <c r="B1432" s="27"/>
      <c r="C1432" s="28"/>
      <c r="D1432" s="71"/>
      <c r="E1432" s="28"/>
      <c r="F1432" s="28"/>
      <c r="G1432" s="27"/>
      <c r="H1432" s="28" t="e">
        <f ca="1"/>
        <v>#REF!</v>
      </c>
      <c r="I1432" s="27" t="e">
        <f ca="1"/>
        <v>#REF!</v>
      </c>
      <c r="J1432" s="28" t="e">
        <f ca="1"/>
        <v>#REF!</v>
      </c>
      <c r="K1432" s="27" t="e">
        <f ca="1"/>
        <v>#REF!</v>
      </c>
      <c r="L1432" s="25" t="e">
        <f ca="1"/>
        <v>#REF!</v>
      </c>
      <c r="M1432" s="25" t="e">
        <f ca="1"/>
        <v>#REF!</v>
      </c>
      <c r="N1432" s="25" t="e">
        <f ca="1"/>
        <v>#REF!</v>
      </c>
      <c r="O1432" s="25" t="e">
        <f ca="1"/>
        <v>#REF!</v>
      </c>
      <c r="P1432" s="25" t="e">
        <f ca="1"/>
        <v>#REF!</v>
      </c>
      <c r="Q1432" s="25" t="e">
        <f ca="1"/>
        <v>#REF!</v>
      </c>
      <c r="R1432" s="25" t="e">
        <f ca="1"/>
        <v>#REF!</v>
      </c>
      <c r="S1432" s="25" t="e">
        <f ca="1"/>
        <v>#REF!</v>
      </c>
      <c r="T1432" s="25" t="e">
        <f ca="1"/>
        <v>#REF!</v>
      </c>
      <c r="U1432" s="25" t="e">
        <f ca="1"/>
        <v>#REF!</v>
      </c>
      <c r="V1432" s="25" t="e">
        <f ca="1"/>
        <v>#REF!</v>
      </c>
      <c r="W1432" s="33" t="e">
        <f ca="1"/>
        <v>#REF!</v>
      </c>
      <c r="X1432" s="33" t="e">
        <f ca="1"/>
        <v>#REF!</v>
      </c>
      <c r="Y1432" s="33" t="e">
        <f ca="1"/>
        <v>#REF!</v>
      </c>
      <c r="Z1432" s="33" t="e">
        <f ca="1"/>
        <v>#REF!</v>
      </c>
      <c r="AA1432" s="33" t="e">
        <f ca="1"/>
        <v>#REF!</v>
      </c>
    </row>
    <row r="1433" spans="1:27" s="70" customFormat="1" ht="11.25" x14ac:dyDescent="0.2">
      <c r="A1433" s="24">
        <v>1427</v>
      </c>
      <c r="B1433" s="27"/>
      <c r="C1433" s="28"/>
      <c r="D1433" s="71"/>
      <c r="E1433" s="28"/>
      <c r="F1433" s="28"/>
      <c r="G1433" s="27"/>
      <c r="H1433" s="28" t="e">
        <f ca="1"/>
        <v>#REF!</v>
      </c>
      <c r="I1433" s="27" t="e">
        <f ca="1"/>
        <v>#REF!</v>
      </c>
      <c r="J1433" s="28" t="e">
        <f ca="1"/>
        <v>#REF!</v>
      </c>
      <c r="K1433" s="27" t="e">
        <f ca="1"/>
        <v>#REF!</v>
      </c>
      <c r="L1433" s="25" t="e">
        <f ca="1"/>
        <v>#REF!</v>
      </c>
      <c r="M1433" s="25" t="e">
        <f ca="1"/>
        <v>#REF!</v>
      </c>
      <c r="N1433" s="25" t="e">
        <f ca="1"/>
        <v>#REF!</v>
      </c>
      <c r="O1433" s="25" t="e">
        <f ca="1"/>
        <v>#REF!</v>
      </c>
      <c r="P1433" s="25" t="e">
        <f ca="1"/>
        <v>#REF!</v>
      </c>
      <c r="Q1433" s="25" t="e">
        <f ca="1"/>
        <v>#REF!</v>
      </c>
      <c r="R1433" s="25" t="e">
        <f ca="1"/>
        <v>#REF!</v>
      </c>
      <c r="S1433" s="25" t="e">
        <f ca="1"/>
        <v>#REF!</v>
      </c>
      <c r="T1433" s="25" t="e">
        <f ca="1"/>
        <v>#REF!</v>
      </c>
      <c r="U1433" s="25" t="e">
        <f ca="1"/>
        <v>#REF!</v>
      </c>
      <c r="V1433" s="25" t="e">
        <f ca="1"/>
        <v>#REF!</v>
      </c>
      <c r="W1433" s="33" t="e">
        <f ca="1"/>
        <v>#REF!</v>
      </c>
      <c r="X1433" s="33" t="e">
        <f ca="1"/>
        <v>#REF!</v>
      </c>
      <c r="Y1433" s="33" t="e">
        <f ca="1"/>
        <v>#REF!</v>
      </c>
      <c r="Z1433" s="33" t="e">
        <f ca="1"/>
        <v>#REF!</v>
      </c>
      <c r="AA1433" s="33" t="e">
        <f ca="1"/>
        <v>#REF!</v>
      </c>
    </row>
    <row r="1434" spans="1:27" s="70" customFormat="1" ht="11.25" x14ac:dyDescent="0.2">
      <c r="A1434" s="24">
        <v>1428</v>
      </c>
      <c r="B1434" s="27"/>
      <c r="C1434" s="28"/>
      <c r="D1434" s="71"/>
      <c r="E1434" s="28"/>
      <c r="F1434" s="28"/>
      <c r="G1434" s="27"/>
      <c r="H1434" s="28" t="e">
        <f ca="1"/>
        <v>#REF!</v>
      </c>
      <c r="I1434" s="27" t="e">
        <f ca="1"/>
        <v>#REF!</v>
      </c>
      <c r="J1434" s="28" t="e">
        <f ca="1"/>
        <v>#REF!</v>
      </c>
      <c r="K1434" s="27" t="e">
        <f ca="1"/>
        <v>#REF!</v>
      </c>
      <c r="L1434" s="25" t="e">
        <f ca="1"/>
        <v>#REF!</v>
      </c>
      <c r="M1434" s="25" t="e">
        <f ca="1"/>
        <v>#REF!</v>
      </c>
      <c r="N1434" s="25" t="e">
        <f ca="1"/>
        <v>#REF!</v>
      </c>
      <c r="O1434" s="25" t="e">
        <f ca="1"/>
        <v>#REF!</v>
      </c>
      <c r="P1434" s="25" t="e">
        <f ca="1"/>
        <v>#REF!</v>
      </c>
      <c r="Q1434" s="25" t="e">
        <f ca="1"/>
        <v>#REF!</v>
      </c>
      <c r="R1434" s="25" t="e">
        <f ca="1"/>
        <v>#REF!</v>
      </c>
      <c r="S1434" s="25" t="e">
        <f ca="1"/>
        <v>#REF!</v>
      </c>
      <c r="T1434" s="25" t="e">
        <f ca="1"/>
        <v>#REF!</v>
      </c>
      <c r="U1434" s="25" t="e">
        <f ca="1"/>
        <v>#REF!</v>
      </c>
      <c r="V1434" s="25" t="e">
        <f ca="1"/>
        <v>#REF!</v>
      </c>
      <c r="W1434" s="33" t="e">
        <f ca="1"/>
        <v>#REF!</v>
      </c>
      <c r="X1434" s="33" t="e">
        <f ca="1"/>
        <v>#REF!</v>
      </c>
      <c r="Y1434" s="33" t="e">
        <f ca="1"/>
        <v>#REF!</v>
      </c>
      <c r="Z1434" s="33" t="e">
        <f ca="1"/>
        <v>#REF!</v>
      </c>
      <c r="AA1434" s="33" t="e">
        <f ca="1"/>
        <v>#REF!</v>
      </c>
    </row>
    <row r="1435" spans="1:27" s="70" customFormat="1" ht="11.25" x14ac:dyDescent="0.2">
      <c r="A1435" s="24">
        <v>1429</v>
      </c>
      <c r="B1435" s="27"/>
      <c r="C1435" s="28"/>
      <c r="D1435" s="71"/>
      <c r="E1435" s="28"/>
      <c r="F1435" s="28"/>
      <c r="G1435" s="27"/>
      <c r="H1435" s="28" t="e">
        <f ca="1"/>
        <v>#REF!</v>
      </c>
      <c r="I1435" s="27" t="e">
        <f ca="1"/>
        <v>#REF!</v>
      </c>
      <c r="J1435" s="28" t="e">
        <f ca="1"/>
        <v>#REF!</v>
      </c>
      <c r="K1435" s="27" t="e">
        <f ca="1"/>
        <v>#REF!</v>
      </c>
      <c r="L1435" s="25" t="e">
        <f ca="1"/>
        <v>#REF!</v>
      </c>
      <c r="M1435" s="25" t="e">
        <f ca="1"/>
        <v>#REF!</v>
      </c>
      <c r="N1435" s="25" t="e">
        <f ca="1"/>
        <v>#REF!</v>
      </c>
      <c r="O1435" s="25" t="e">
        <f ca="1"/>
        <v>#REF!</v>
      </c>
      <c r="P1435" s="25" t="e">
        <f ca="1"/>
        <v>#REF!</v>
      </c>
      <c r="Q1435" s="25" t="e">
        <f ca="1"/>
        <v>#REF!</v>
      </c>
      <c r="R1435" s="25" t="e">
        <f ca="1"/>
        <v>#REF!</v>
      </c>
      <c r="S1435" s="25" t="e">
        <f ca="1"/>
        <v>#REF!</v>
      </c>
      <c r="T1435" s="25" t="e">
        <f ca="1"/>
        <v>#REF!</v>
      </c>
      <c r="U1435" s="25" t="e">
        <f ca="1"/>
        <v>#REF!</v>
      </c>
      <c r="V1435" s="25" t="e">
        <f ca="1"/>
        <v>#REF!</v>
      </c>
      <c r="W1435" s="33" t="e">
        <f ca="1"/>
        <v>#REF!</v>
      </c>
      <c r="X1435" s="33" t="e">
        <f ca="1"/>
        <v>#REF!</v>
      </c>
      <c r="Y1435" s="33" t="e">
        <f ca="1"/>
        <v>#REF!</v>
      </c>
      <c r="Z1435" s="33" t="e">
        <f ca="1"/>
        <v>#REF!</v>
      </c>
      <c r="AA1435" s="33" t="e">
        <f ca="1"/>
        <v>#REF!</v>
      </c>
    </row>
    <row r="1436" spans="1:27" s="70" customFormat="1" ht="11.25" x14ac:dyDescent="0.2">
      <c r="A1436" s="24">
        <v>1430</v>
      </c>
      <c r="B1436" s="27"/>
      <c r="C1436" s="28"/>
      <c r="D1436" s="71"/>
      <c r="E1436" s="28"/>
      <c r="F1436" s="28"/>
      <c r="G1436" s="27"/>
      <c r="H1436" s="28" t="e">
        <f ca="1"/>
        <v>#REF!</v>
      </c>
      <c r="I1436" s="27" t="e">
        <f ca="1"/>
        <v>#REF!</v>
      </c>
      <c r="J1436" s="28" t="e">
        <f ca="1"/>
        <v>#REF!</v>
      </c>
      <c r="K1436" s="27" t="e">
        <f ca="1"/>
        <v>#REF!</v>
      </c>
      <c r="L1436" s="25" t="e">
        <f ca="1"/>
        <v>#REF!</v>
      </c>
      <c r="M1436" s="25" t="e">
        <f ca="1"/>
        <v>#REF!</v>
      </c>
      <c r="N1436" s="25" t="e">
        <f ca="1"/>
        <v>#REF!</v>
      </c>
      <c r="O1436" s="25" t="e">
        <f ca="1"/>
        <v>#REF!</v>
      </c>
      <c r="P1436" s="25" t="e">
        <f ca="1"/>
        <v>#REF!</v>
      </c>
      <c r="Q1436" s="25" t="e">
        <f ca="1"/>
        <v>#REF!</v>
      </c>
      <c r="R1436" s="25" t="e">
        <f ca="1"/>
        <v>#REF!</v>
      </c>
      <c r="S1436" s="25" t="e">
        <f ca="1"/>
        <v>#REF!</v>
      </c>
      <c r="T1436" s="25" t="e">
        <f ca="1"/>
        <v>#REF!</v>
      </c>
      <c r="U1436" s="25" t="e">
        <f ca="1"/>
        <v>#REF!</v>
      </c>
      <c r="V1436" s="25" t="e">
        <f ca="1"/>
        <v>#REF!</v>
      </c>
      <c r="W1436" s="33" t="e">
        <f ca="1"/>
        <v>#REF!</v>
      </c>
      <c r="X1436" s="33" t="e">
        <f ca="1"/>
        <v>#REF!</v>
      </c>
      <c r="Y1436" s="33" t="e">
        <f ca="1"/>
        <v>#REF!</v>
      </c>
      <c r="Z1436" s="33" t="e">
        <f ca="1"/>
        <v>#REF!</v>
      </c>
      <c r="AA1436" s="33" t="e">
        <f ca="1"/>
        <v>#REF!</v>
      </c>
    </row>
    <row r="1437" spans="1:27" s="70" customFormat="1" ht="11.25" x14ac:dyDescent="0.2">
      <c r="A1437" s="24">
        <v>1431</v>
      </c>
      <c r="B1437" s="27"/>
      <c r="C1437" s="28"/>
      <c r="D1437" s="71"/>
      <c r="E1437" s="28"/>
      <c r="F1437" s="28"/>
      <c r="G1437" s="27"/>
      <c r="H1437" s="28" t="e">
        <f ca="1"/>
        <v>#REF!</v>
      </c>
      <c r="I1437" s="27" t="e">
        <f ca="1"/>
        <v>#REF!</v>
      </c>
      <c r="J1437" s="28" t="e">
        <f ca="1"/>
        <v>#REF!</v>
      </c>
      <c r="K1437" s="27" t="e">
        <f ca="1"/>
        <v>#REF!</v>
      </c>
      <c r="L1437" s="25" t="e">
        <f ca="1"/>
        <v>#REF!</v>
      </c>
      <c r="M1437" s="25" t="e">
        <f ca="1"/>
        <v>#REF!</v>
      </c>
      <c r="N1437" s="25" t="e">
        <f ca="1"/>
        <v>#REF!</v>
      </c>
      <c r="O1437" s="25" t="e">
        <f ca="1"/>
        <v>#REF!</v>
      </c>
      <c r="P1437" s="25" t="e">
        <f ca="1"/>
        <v>#REF!</v>
      </c>
      <c r="Q1437" s="25" t="e">
        <f ca="1"/>
        <v>#REF!</v>
      </c>
      <c r="R1437" s="25" t="e">
        <f ca="1"/>
        <v>#REF!</v>
      </c>
      <c r="S1437" s="25" t="e">
        <f ca="1"/>
        <v>#REF!</v>
      </c>
      <c r="T1437" s="25" t="e">
        <f ca="1"/>
        <v>#REF!</v>
      </c>
      <c r="U1437" s="25" t="e">
        <f ca="1"/>
        <v>#REF!</v>
      </c>
      <c r="V1437" s="25" t="e">
        <f ca="1"/>
        <v>#REF!</v>
      </c>
      <c r="W1437" s="33" t="e">
        <f ca="1"/>
        <v>#REF!</v>
      </c>
      <c r="X1437" s="33" t="e">
        <f ca="1"/>
        <v>#REF!</v>
      </c>
      <c r="Y1437" s="33" t="e">
        <f ca="1"/>
        <v>#REF!</v>
      </c>
      <c r="Z1437" s="33" t="e">
        <f ca="1"/>
        <v>#REF!</v>
      </c>
      <c r="AA1437" s="33" t="e">
        <f ca="1"/>
        <v>#REF!</v>
      </c>
    </row>
    <row r="1438" spans="1:27" s="70" customFormat="1" ht="11.25" x14ac:dyDescent="0.2">
      <c r="A1438" s="24">
        <v>1432</v>
      </c>
      <c r="B1438" s="27"/>
      <c r="C1438" s="28"/>
      <c r="D1438" s="71"/>
      <c r="E1438" s="28"/>
      <c r="F1438" s="28"/>
      <c r="G1438" s="27"/>
      <c r="H1438" s="28" t="e">
        <f ca="1"/>
        <v>#REF!</v>
      </c>
      <c r="I1438" s="27" t="e">
        <f ca="1"/>
        <v>#REF!</v>
      </c>
      <c r="J1438" s="28" t="e">
        <f ca="1"/>
        <v>#REF!</v>
      </c>
      <c r="K1438" s="27" t="e">
        <f ca="1"/>
        <v>#REF!</v>
      </c>
      <c r="L1438" s="25" t="e">
        <f ca="1"/>
        <v>#REF!</v>
      </c>
      <c r="M1438" s="25" t="e">
        <f ca="1"/>
        <v>#REF!</v>
      </c>
      <c r="N1438" s="25" t="e">
        <f ca="1"/>
        <v>#REF!</v>
      </c>
      <c r="O1438" s="25" t="e">
        <f ca="1"/>
        <v>#REF!</v>
      </c>
      <c r="P1438" s="25" t="e">
        <f ca="1"/>
        <v>#REF!</v>
      </c>
      <c r="Q1438" s="25" t="e">
        <f ca="1"/>
        <v>#REF!</v>
      </c>
      <c r="R1438" s="25" t="e">
        <f ca="1"/>
        <v>#REF!</v>
      </c>
      <c r="S1438" s="25" t="e">
        <f ca="1"/>
        <v>#REF!</v>
      </c>
      <c r="T1438" s="25" t="e">
        <f ca="1"/>
        <v>#REF!</v>
      </c>
      <c r="U1438" s="25" t="e">
        <f ca="1"/>
        <v>#REF!</v>
      </c>
      <c r="V1438" s="25" t="e">
        <f ca="1"/>
        <v>#REF!</v>
      </c>
      <c r="W1438" s="33" t="e">
        <f ca="1"/>
        <v>#REF!</v>
      </c>
      <c r="X1438" s="33" t="e">
        <f ca="1"/>
        <v>#REF!</v>
      </c>
      <c r="Y1438" s="33" t="e">
        <f ca="1"/>
        <v>#REF!</v>
      </c>
      <c r="Z1438" s="33" t="e">
        <f ca="1"/>
        <v>#REF!</v>
      </c>
      <c r="AA1438" s="33" t="e">
        <f ca="1"/>
        <v>#REF!</v>
      </c>
    </row>
    <row r="1439" spans="1:27" s="70" customFormat="1" ht="11.25" x14ac:dyDescent="0.2">
      <c r="A1439" s="24">
        <v>1433</v>
      </c>
      <c r="B1439" s="27"/>
      <c r="C1439" s="28"/>
      <c r="D1439" s="71"/>
      <c r="E1439" s="28"/>
      <c r="F1439" s="28"/>
      <c r="G1439" s="27"/>
      <c r="H1439" s="28" t="e">
        <f ca="1"/>
        <v>#REF!</v>
      </c>
      <c r="I1439" s="27" t="e">
        <f ca="1"/>
        <v>#REF!</v>
      </c>
      <c r="J1439" s="28" t="e">
        <f ca="1"/>
        <v>#REF!</v>
      </c>
      <c r="K1439" s="27" t="e">
        <f ca="1"/>
        <v>#REF!</v>
      </c>
      <c r="L1439" s="25" t="e">
        <f ca="1"/>
        <v>#REF!</v>
      </c>
      <c r="M1439" s="25" t="e">
        <f ca="1"/>
        <v>#REF!</v>
      </c>
      <c r="N1439" s="25" t="e">
        <f ca="1"/>
        <v>#REF!</v>
      </c>
      <c r="O1439" s="25" t="e">
        <f ca="1"/>
        <v>#REF!</v>
      </c>
      <c r="P1439" s="25" t="e">
        <f ca="1"/>
        <v>#REF!</v>
      </c>
      <c r="Q1439" s="25" t="e">
        <f ca="1"/>
        <v>#REF!</v>
      </c>
      <c r="R1439" s="25" t="e">
        <f ca="1"/>
        <v>#REF!</v>
      </c>
      <c r="S1439" s="25" t="e">
        <f ca="1"/>
        <v>#REF!</v>
      </c>
      <c r="T1439" s="25" t="e">
        <f ca="1"/>
        <v>#REF!</v>
      </c>
      <c r="U1439" s="25" t="e">
        <f ca="1"/>
        <v>#REF!</v>
      </c>
      <c r="V1439" s="25" t="e">
        <f ca="1"/>
        <v>#REF!</v>
      </c>
      <c r="W1439" s="33" t="e">
        <f ca="1"/>
        <v>#REF!</v>
      </c>
      <c r="X1439" s="33" t="e">
        <f ca="1"/>
        <v>#REF!</v>
      </c>
      <c r="Y1439" s="33" t="e">
        <f ca="1"/>
        <v>#REF!</v>
      </c>
      <c r="Z1439" s="33" t="e">
        <f ca="1"/>
        <v>#REF!</v>
      </c>
      <c r="AA1439" s="33" t="e">
        <f ca="1"/>
        <v>#REF!</v>
      </c>
    </row>
    <row r="1440" spans="1:27" s="70" customFormat="1" ht="11.25" x14ac:dyDescent="0.2">
      <c r="A1440" s="24">
        <v>1434</v>
      </c>
      <c r="B1440" s="27"/>
      <c r="C1440" s="28"/>
      <c r="D1440" s="71"/>
      <c r="E1440" s="28"/>
      <c r="F1440" s="28"/>
      <c r="G1440" s="27"/>
      <c r="H1440" s="28" t="e">
        <f ca="1"/>
        <v>#REF!</v>
      </c>
      <c r="I1440" s="27" t="e">
        <f ca="1"/>
        <v>#REF!</v>
      </c>
      <c r="J1440" s="28" t="e">
        <f ca="1"/>
        <v>#REF!</v>
      </c>
      <c r="K1440" s="27" t="e">
        <f ca="1"/>
        <v>#REF!</v>
      </c>
      <c r="L1440" s="25" t="e">
        <f ca="1"/>
        <v>#REF!</v>
      </c>
      <c r="M1440" s="25" t="e">
        <f ca="1"/>
        <v>#REF!</v>
      </c>
      <c r="N1440" s="25" t="e">
        <f ca="1"/>
        <v>#REF!</v>
      </c>
      <c r="O1440" s="25" t="e">
        <f ca="1"/>
        <v>#REF!</v>
      </c>
      <c r="P1440" s="25" t="e">
        <f ca="1"/>
        <v>#REF!</v>
      </c>
      <c r="Q1440" s="25" t="e">
        <f ca="1"/>
        <v>#REF!</v>
      </c>
      <c r="R1440" s="25" t="e">
        <f ca="1"/>
        <v>#REF!</v>
      </c>
      <c r="S1440" s="25" t="e">
        <f ca="1"/>
        <v>#REF!</v>
      </c>
      <c r="T1440" s="25" t="e">
        <f ca="1"/>
        <v>#REF!</v>
      </c>
      <c r="U1440" s="25" t="e">
        <f ca="1"/>
        <v>#REF!</v>
      </c>
      <c r="V1440" s="25" t="e">
        <f ca="1"/>
        <v>#REF!</v>
      </c>
      <c r="W1440" s="33" t="e">
        <f ca="1"/>
        <v>#REF!</v>
      </c>
      <c r="X1440" s="33" t="e">
        <f ca="1"/>
        <v>#REF!</v>
      </c>
      <c r="Y1440" s="33" t="e">
        <f ca="1"/>
        <v>#REF!</v>
      </c>
      <c r="Z1440" s="33" t="e">
        <f ca="1"/>
        <v>#REF!</v>
      </c>
      <c r="AA1440" s="33" t="e">
        <f ca="1"/>
        <v>#REF!</v>
      </c>
    </row>
    <row r="1441" spans="1:27" s="70" customFormat="1" ht="11.25" x14ac:dyDescent="0.2">
      <c r="A1441" s="24">
        <v>1435</v>
      </c>
      <c r="B1441" s="27"/>
      <c r="C1441" s="28"/>
      <c r="D1441" s="71"/>
      <c r="E1441" s="28"/>
      <c r="F1441" s="28"/>
      <c r="G1441" s="27"/>
      <c r="H1441" s="28" t="e">
        <f ca="1"/>
        <v>#REF!</v>
      </c>
      <c r="I1441" s="27" t="e">
        <f ca="1"/>
        <v>#REF!</v>
      </c>
      <c r="J1441" s="28" t="e">
        <f ca="1"/>
        <v>#REF!</v>
      </c>
      <c r="K1441" s="27" t="e">
        <f ca="1"/>
        <v>#REF!</v>
      </c>
      <c r="L1441" s="25" t="e">
        <f ca="1"/>
        <v>#REF!</v>
      </c>
      <c r="M1441" s="25" t="e">
        <f ca="1"/>
        <v>#REF!</v>
      </c>
      <c r="N1441" s="25" t="e">
        <f ca="1"/>
        <v>#REF!</v>
      </c>
      <c r="O1441" s="25" t="e">
        <f ca="1"/>
        <v>#REF!</v>
      </c>
      <c r="P1441" s="25" t="e">
        <f ca="1"/>
        <v>#REF!</v>
      </c>
      <c r="Q1441" s="25" t="e">
        <f ca="1"/>
        <v>#REF!</v>
      </c>
      <c r="R1441" s="25" t="e">
        <f ca="1"/>
        <v>#REF!</v>
      </c>
      <c r="S1441" s="25" t="e">
        <f ca="1"/>
        <v>#REF!</v>
      </c>
      <c r="T1441" s="25" t="e">
        <f ca="1"/>
        <v>#REF!</v>
      </c>
      <c r="U1441" s="25" t="e">
        <f ca="1"/>
        <v>#REF!</v>
      </c>
      <c r="V1441" s="25" t="e">
        <f ca="1"/>
        <v>#REF!</v>
      </c>
      <c r="W1441" s="33" t="e">
        <f ca="1"/>
        <v>#REF!</v>
      </c>
      <c r="X1441" s="33" t="e">
        <f ca="1"/>
        <v>#REF!</v>
      </c>
      <c r="Y1441" s="33" t="e">
        <f ca="1"/>
        <v>#REF!</v>
      </c>
      <c r="Z1441" s="33" t="e">
        <f ca="1"/>
        <v>#REF!</v>
      </c>
      <c r="AA1441" s="33" t="e">
        <f ca="1"/>
        <v>#REF!</v>
      </c>
    </row>
    <row r="1442" spans="1:27" s="70" customFormat="1" ht="11.25" x14ac:dyDescent="0.2">
      <c r="A1442" s="24">
        <v>1436</v>
      </c>
      <c r="B1442" s="27"/>
      <c r="C1442" s="28"/>
      <c r="D1442" s="71"/>
      <c r="E1442" s="28"/>
      <c r="F1442" s="28"/>
      <c r="G1442" s="27"/>
      <c r="H1442" s="28" t="e">
        <f ca="1"/>
        <v>#REF!</v>
      </c>
      <c r="I1442" s="27" t="e">
        <f ca="1"/>
        <v>#REF!</v>
      </c>
      <c r="J1442" s="28" t="e">
        <f ca="1"/>
        <v>#REF!</v>
      </c>
      <c r="K1442" s="27" t="e">
        <f ca="1"/>
        <v>#REF!</v>
      </c>
      <c r="L1442" s="25" t="e">
        <f ca="1"/>
        <v>#REF!</v>
      </c>
      <c r="M1442" s="25" t="e">
        <f ca="1"/>
        <v>#REF!</v>
      </c>
      <c r="N1442" s="25" t="e">
        <f ca="1"/>
        <v>#REF!</v>
      </c>
      <c r="O1442" s="25" t="e">
        <f ca="1"/>
        <v>#REF!</v>
      </c>
      <c r="P1442" s="25" t="e">
        <f ca="1"/>
        <v>#REF!</v>
      </c>
      <c r="Q1442" s="25" t="e">
        <f ca="1"/>
        <v>#REF!</v>
      </c>
      <c r="R1442" s="25" t="e">
        <f ca="1"/>
        <v>#REF!</v>
      </c>
      <c r="S1442" s="25" t="e">
        <f ca="1"/>
        <v>#REF!</v>
      </c>
      <c r="T1442" s="25" t="e">
        <f ca="1"/>
        <v>#REF!</v>
      </c>
      <c r="U1442" s="25" t="e">
        <f ca="1"/>
        <v>#REF!</v>
      </c>
      <c r="V1442" s="25" t="e">
        <f ca="1"/>
        <v>#REF!</v>
      </c>
      <c r="W1442" s="33" t="e">
        <f ca="1"/>
        <v>#REF!</v>
      </c>
      <c r="X1442" s="33" t="e">
        <f ca="1"/>
        <v>#REF!</v>
      </c>
      <c r="Y1442" s="33" t="e">
        <f ca="1"/>
        <v>#REF!</v>
      </c>
      <c r="Z1442" s="33" t="e">
        <f ca="1"/>
        <v>#REF!</v>
      </c>
      <c r="AA1442" s="33" t="e">
        <f ca="1"/>
        <v>#REF!</v>
      </c>
    </row>
    <row r="1443" spans="1:27" s="70" customFormat="1" ht="11.25" x14ac:dyDescent="0.2">
      <c r="A1443" s="24">
        <v>1437</v>
      </c>
      <c r="B1443" s="27"/>
      <c r="C1443" s="28"/>
      <c r="D1443" s="71"/>
      <c r="E1443" s="28"/>
      <c r="F1443" s="28"/>
      <c r="G1443" s="27"/>
      <c r="H1443" s="28" t="e">
        <f ca="1"/>
        <v>#REF!</v>
      </c>
      <c r="I1443" s="27" t="e">
        <f ca="1"/>
        <v>#REF!</v>
      </c>
      <c r="J1443" s="28" t="e">
        <f ca="1"/>
        <v>#REF!</v>
      </c>
      <c r="K1443" s="27" t="e">
        <f ca="1"/>
        <v>#REF!</v>
      </c>
      <c r="L1443" s="25" t="e">
        <f ca="1"/>
        <v>#REF!</v>
      </c>
      <c r="M1443" s="25" t="e">
        <f ca="1"/>
        <v>#REF!</v>
      </c>
      <c r="N1443" s="25" t="e">
        <f ca="1"/>
        <v>#REF!</v>
      </c>
      <c r="O1443" s="25" t="e">
        <f ca="1"/>
        <v>#REF!</v>
      </c>
      <c r="P1443" s="25" t="e">
        <f ca="1"/>
        <v>#REF!</v>
      </c>
      <c r="Q1443" s="25" t="e">
        <f ca="1"/>
        <v>#REF!</v>
      </c>
      <c r="R1443" s="25" t="e">
        <f ca="1"/>
        <v>#REF!</v>
      </c>
      <c r="S1443" s="25" t="e">
        <f ca="1"/>
        <v>#REF!</v>
      </c>
      <c r="T1443" s="25" t="e">
        <f ca="1"/>
        <v>#REF!</v>
      </c>
      <c r="U1443" s="25" t="e">
        <f ca="1"/>
        <v>#REF!</v>
      </c>
      <c r="V1443" s="25" t="e">
        <f ca="1"/>
        <v>#REF!</v>
      </c>
      <c r="W1443" s="33" t="e">
        <f ca="1"/>
        <v>#REF!</v>
      </c>
      <c r="X1443" s="33" t="e">
        <f ca="1"/>
        <v>#REF!</v>
      </c>
      <c r="Y1443" s="33" t="e">
        <f ca="1"/>
        <v>#REF!</v>
      </c>
      <c r="Z1443" s="33" t="e">
        <f ca="1"/>
        <v>#REF!</v>
      </c>
      <c r="AA1443" s="33" t="e">
        <f ca="1"/>
        <v>#REF!</v>
      </c>
    </row>
    <row r="1444" spans="1:27" s="70" customFormat="1" ht="11.25" x14ac:dyDescent="0.2">
      <c r="A1444" s="24">
        <v>1438</v>
      </c>
      <c r="B1444" s="27"/>
      <c r="C1444" s="28"/>
      <c r="D1444" s="71"/>
      <c r="E1444" s="28"/>
      <c r="F1444" s="28"/>
      <c r="G1444" s="27"/>
      <c r="H1444" s="28" t="e">
        <f ca="1"/>
        <v>#REF!</v>
      </c>
      <c r="I1444" s="27" t="e">
        <f ca="1"/>
        <v>#REF!</v>
      </c>
      <c r="J1444" s="28" t="e">
        <f ca="1"/>
        <v>#REF!</v>
      </c>
      <c r="K1444" s="27" t="e">
        <f ca="1"/>
        <v>#REF!</v>
      </c>
      <c r="L1444" s="25" t="e">
        <f ca="1"/>
        <v>#REF!</v>
      </c>
      <c r="M1444" s="25" t="e">
        <f ca="1"/>
        <v>#REF!</v>
      </c>
      <c r="N1444" s="25" t="e">
        <f ca="1"/>
        <v>#REF!</v>
      </c>
      <c r="O1444" s="25" t="e">
        <f ca="1"/>
        <v>#REF!</v>
      </c>
      <c r="P1444" s="25" t="e">
        <f ca="1"/>
        <v>#REF!</v>
      </c>
      <c r="Q1444" s="25" t="e">
        <f ca="1"/>
        <v>#REF!</v>
      </c>
      <c r="R1444" s="25" t="e">
        <f ca="1"/>
        <v>#REF!</v>
      </c>
      <c r="S1444" s="25" t="e">
        <f ca="1"/>
        <v>#REF!</v>
      </c>
      <c r="T1444" s="25" t="e">
        <f ca="1"/>
        <v>#REF!</v>
      </c>
      <c r="U1444" s="25" t="e">
        <f ca="1"/>
        <v>#REF!</v>
      </c>
      <c r="V1444" s="25" t="e">
        <f ca="1"/>
        <v>#REF!</v>
      </c>
      <c r="W1444" s="33" t="e">
        <f ca="1"/>
        <v>#REF!</v>
      </c>
      <c r="X1444" s="33" t="e">
        <f ca="1"/>
        <v>#REF!</v>
      </c>
      <c r="Y1444" s="33" t="e">
        <f ca="1"/>
        <v>#REF!</v>
      </c>
      <c r="Z1444" s="33" t="e">
        <f ca="1"/>
        <v>#REF!</v>
      </c>
      <c r="AA1444" s="33" t="e">
        <f ca="1"/>
        <v>#REF!</v>
      </c>
    </row>
    <row r="1445" spans="1:27" s="70" customFormat="1" ht="11.25" x14ac:dyDescent="0.2">
      <c r="A1445" s="24">
        <v>1439</v>
      </c>
      <c r="B1445" s="27"/>
      <c r="C1445" s="28"/>
      <c r="D1445" s="71"/>
      <c r="E1445" s="28"/>
      <c r="F1445" s="28"/>
      <c r="G1445" s="27"/>
      <c r="H1445" s="28" t="e">
        <f ca="1"/>
        <v>#REF!</v>
      </c>
      <c r="I1445" s="27" t="e">
        <f ca="1"/>
        <v>#REF!</v>
      </c>
      <c r="J1445" s="28" t="e">
        <f ca="1"/>
        <v>#REF!</v>
      </c>
      <c r="K1445" s="27" t="e">
        <f ca="1"/>
        <v>#REF!</v>
      </c>
      <c r="L1445" s="25" t="e">
        <f ca="1"/>
        <v>#REF!</v>
      </c>
      <c r="M1445" s="25" t="e">
        <f ca="1"/>
        <v>#REF!</v>
      </c>
      <c r="N1445" s="25" t="e">
        <f ca="1"/>
        <v>#REF!</v>
      </c>
      <c r="O1445" s="25" t="e">
        <f ca="1"/>
        <v>#REF!</v>
      </c>
      <c r="P1445" s="25" t="e">
        <f ca="1"/>
        <v>#REF!</v>
      </c>
      <c r="Q1445" s="25" t="e">
        <f ca="1"/>
        <v>#REF!</v>
      </c>
      <c r="R1445" s="25" t="e">
        <f ca="1"/>
        <v>#REF!</v>
      </c>
      <c r="S1445" s="25" t="e">
        <f ca="1"/>
        <v>#REF!</v>
      </c>
      <c r="T1445" s="25" t="e">
        <f ca="1"/>
        <v>#REF!</v>
      </c>
      <c r="U1445" s="25" t="e">
        <f ca="1"/>
        <v>#REF!</v>
      </c>
      <c r="V1445" s="25" t="e">
        <f ca="1"/>
        <v>#REF!</v>
      </c>
      <c r="W1445" s="33" t="e">
        <f ca="1"/>
        <v>#REF!</v>
      </c>
      <c r="X1445" s="33" t="e">
        <f ca="1"/>
        <v>#REF!</v>
      </c>
      <c r="Y1445" s="33" t="e">
        <f ca="1"/>
        <v>#REF!</v>
      </c>
      <c r="Z1445" s="33" t="e">
        <f ca="1"/>
        <v>#REF!</v>
      </c>
      <c r="AA1445" s="33" t="e">
        <f ca="1"/>
        <v>#REF!</v>
      </c>
    </row>
    <row r="1446" spans="1:27" s="70" customFormat="1" ht="11.25" x14ac:dyDescent="0.2">
      <c r="A1446" s="24">
        <v>1440</v>
      </c>
      <c r="B1446" s="27"/>
      <c r="C1446" s="28"/>
      <c r="D1446" s="71"/>
      <c r="E1446" s="28"/>
      <c r="F1446" s="28"/>
      <c r="G1446" s="27"/>
      <c r="H1446" s="28" t="e">
        <f ca="1"/>
        <v>#REF!</v>
      </c>
      <c r="I1446" s="27" t="e">
        <f ca="1"/>
        <v>#REF!</v>
      </c>
      <c r="J1446" s="28" t="e">
        <f ca="1"/>
        <v>#REF!</v>
      </c>
      <c r="K1446" s="27" t="e">
        <f ca="1"/>
        <v>#REF!</v>
      </c>
      <c r="L1446" s="25" t="e">
        <f ca="1"/>
        <v>#REF!</v>
      </c>
      <c r="M1446" s="25" t="e">
        <f ca="1"/>
        <v>#REF!</v>
      </c>
      <c r="N1446" s="25" t="e">
        <f ca="1"/>
        <v>#REF!</v>
      </c>
      <c r="O1446" s="25" t="e">
        <f ca="1"/>
        <v>#REF!</v>
      </c>
      <c r="P1446" s="25" t="e">
        <f ca="1"/>
        <v>#REF!</v>
      </c>
      <c r="Q1446" s="25" t="e">
        <f ca="1"/>
        <v>#REF!</v>
      </c>
      <c r="R1446" s="25" t="e">
        <f ca="1"/>
        <v>#REF!</v>
      </c>
      <c r="S1446" s="25" t="e">
        <f ca="1"/>
        <v>#REF!</v>
      </c>
      <c r="T1446" s="25" t="e">
        <f ca="1"/>
        <v>#REF!</v>
      </c>
      <c r="U1446" s="25" t="e">
        <f ca="1"/>
        <v>#REF!</v>
      </c>
      <c r="V1446" s="25" t="e">
        <f ca="1"/>
        <v>#REF!</v>
      </c>
      <c r="W1446" s="33" t="e">
        <f ca="1"/>
        <v>#REF!</v>
      </c>
      <c r="X1446" s="33" t="e">
        <f ca="1"/>
        <v>#REF!</v>
      </c>
      <c r="Y1446" s="33" t="e">
        <f ca="1"/>
        <v>#REF!</v>
      </c>
      <c r="Z1446" s="33" t="e">
        <f ca="1"/>
        <v>#REF!</v>
      </c>
      <c r="AA1446" s="33" t="e">
        <f ca="1"/>
        <v>#REF!</v>
      </c>
    </row>
    <row r="1447" spans="1:27" s="70" customFormat="1" ht="11.25" x14ac:dyDescent="0.2">
      <c r="A1447" s="24">
        <v>1441</v>
      </c>
      <c r="B1447" s="27"/>
      <c r="C1447" s="28"/>
      <c r="D1447" s="71"/>
      <c r="E1447" s="28"/>
      <c r="F1447" s="28"/>
      <c r="G1447" s="27"/>
      <c r="H1447" s="28" t="e">
        <f ca="1"/>
        <v>#REF!</v>
      </c>
      <c r="I1447" s="27" t="e">
        <f ca="1"/>
        <v>#REF!</v>
      </c>
      <c r="J1447" s="28" t="e">
        <f ca="1"/>
        <v>#REF!</v>
      </c>
      <c r="K1447" s="27" t="e">
        <f ca="1"/>
        <v>#REF!</v>
      </c>
      <c r="L1447" s="25" t="e">
        <f ca="1"/>
        <v>#REF!</v>
      </c>
      <c r="M1447" s="25" t="e">
        <f ca="1"/>
        <v>#REF!</v>
      </c>
      <c r="N1447" s="25" t="e">
        <f ca="1"/>
        <v>#REF!</v>
      </c>
      <c r="O1447" s="25" t="e">
        <f ca="1"/>
        <v>#REF!</v>
      </c>
      <c r="P1447" s="25" t="e">
        <f ca="1"/>
        <v>#REF!</v>
      </c>
      <c r="Q1447" s="25" t="e">
        <f ca="1"/>
        <v>#REF!</v>
      </c>
      <c r="R1447" s="25" t="e">
        <f ca="1"/>
        <v>#REF!</v>
      </c>
      <c r="S1447" s="25" t="e">
        <f ca="1"/>
        <v>#REF!</v>
      </c>
      <c r="T1447" s="25" t="e">
        <f ca="1"/>
        <v>#REF!</v>
      </c>
      <c r="U1447" s="25" t="e">
        <f ca="1"/>
        <v>#REF!</v>
      </c>
      <c r="V1447" s="25" t="e">
        <f ca="1"/>
        <v>#REF!</v>
      </c>
      <c r="W1447" s="33" t="e">
        <f ca="1"/>
        <v>#REF!</v>
      </c>
      <c r="X1447" s="33" t="e">
        <f ca="1"/>
        <v>#REF!</v>
      </c>
      <c r="Y1447" s="33" t="e">
        <f ca="1"/>
        <v>#REF!</v>
      </c>
      <c r="Z1447" s="33" t="e">
        <f ca="1"/>
        <v>#REF!</v>
      </c>
      <c r="AA1447" s="33" t="e">
        <f ca="1"/>
        <v>#REF!</v>
      </c>
    </row>
    <row r="1448" spans="1:27" s="70" customFormat="1" ht="11.25" x14ac:dyDescent="0.2">
      <c r="A1448" s="24">
        <v>1442</v>
      </c>
      <c r="B1448" s="27"/>
      <c r="C1448" s="28"/>
      <c r="D1448" s="71"/>
      <c r="E1448" s="28"/>
      <c r="F1448" s="28"/>
      <c r="G1448" s="27"/>
      <c r="H1448" s="28" t="e">
        <f ca="1"/>
        <v>#REF!</v>
      </c>
      <c r="I1448" s="27" t="e">
        <f ca="1"/>
        <v>#REF!</v>
      </c>
      <c r="J1448" s="28" t="e">
        <f ca="1"/>
        <v>#REF!</v>
      </c>
      <c r="K1448" s="27" t="e">
        <f ca="1"/>
        <v>#REF!</v>
      </c>
      <c r="L1448" s="25" t="e">
        <f ca="1"/>
        <v>#REF!</v>
      </c>
      <c r="M1448" s="25" t="e">
        <f ca="1"/>
        <v>#REF!</v>
      </c>
      <c r="N1448" s="25" t="e">
        <f ca="1"/>
        <v>#REF!</v>
      </c>
      <c r="O1448" s="25" t="e">
        <f ca="1"/>
        <v>#REF!</v>
      </c>
      <c r="P1448" s="25" t="e">
        <f ca="1"/>
        <v>#REF!</v>
      </c>
      <c r="Q1448" s="25" t="e">
        <f ca="1"/>
        <v>#REF!</v>
      </c>
      <c r="R1448" s="25" t="e">
        <f ca="1"/>
        <v>#REF!</v>
      </c>
      <c r="S1448" s="25" t="e">
        <f ca="1"/>
        <v>#REF!</v>
      </c>
      <c r="T1448" s="25" t="e">
        <f ca="1"/>
        <v>#REF!</v>
      </c>
      <c r="U1448" s="25" t="e">
        <f ca="1"/>
        <v>#REF!</v>
      </c>
      <c r="V1448" s="25" t="e">
        <f ca="1"/>
        <v>#REF!</v>
      </c>
      <c r="W1448" s="33" t="e">
        <f ca="1"/>
        <v>#REF!</v>
      </c>
      <c r="X1448" s="33" t="e">
        <f ca="1"/>
        <v>#REF!</v>
      </c>
      <c r="Y1448" s="33" t="e">
        <f ca="1"/>
        <v>#REF!</v>
      </c>
      <c r="Z1448" s="33" t="e">
        <f ca="1"/>
        <v>#REF!</v>
      </c>
      <c r="AA1448" s="33" t="e">
        <f ca="1"/>
        <v>#REF!</v>
      </c>
    </row>
    <row r="1449" spans="1:27" s="70" customFormat="1" ht="11.25" x14ac:dyDescent="0.2">
      <c r="A1449" s="24">
        <v>1443</v>
      </c>
      <c r="B1449" s="27"/>
      <c r="C1449" s="28"/>
      <c r="D1449" s="71"/>
      <c r="E1449" s="28"/>
      <c r="F1449" s="28"/>
      <c r="G1449" s="27"/>
      <c r="H1449" s="28" t="e">
        <f ca="1"/>
        <v>#REF!</v>
      </c>
      <c r="I1449" s="27" t="e">
        <f ca="1"/>
        <v>#REF!</v>
      </c>
      <c r="J1449" s="28" t="e">
        <f ca="1"/>
        <v>#REF!</v>
      </c>
      <c r="K1449" s="27" t="e">
        <f ca="1"/>
        <v>#REF!</v>
      </c>
      <c r="L1449" s="25" t="e">
        <f ca="1"/>
        <v>#REF!</v>
      </c>
      <c r="M1449" s="25" t="e">
        <f ca="1"/>
        <v>#REF!</v>
      </c>
      <c r="N1449" s="25" t="e">
        <f ca="1"/>
        <v>#REF!</v>
      </c>
      <c r="O1449" s="25" t="e">
        <f ca="1"/>
        <v>#REF!</v>
      </c>
      <c r="P1449" s="25" t="e">
        <f ca="1"/>
        <v>#REF!</v>
      </c>
      <c r="Q1449" s="25" t="e">
        <f ca="1"/>
        <v>#REF!</v>
      </c>
      <c r="R1449" s="25" t="e">
        <f ca="1"/>
        <v>#REF!</v>
      </c>
      <c r="S1449" s="25" t="e">
        <f ca="1"/>
        <v>#REF!</v>
      </c>
      <c r="T1449" s="25" t="e">
        <f ca="1"/>
        <v>#REF!</v>
      </c>
      <c r="U1449" s="25" t="e">
        <f ca="1"/>
        <v>#REF!</v>
      </c>
      <c r="V1449" s="25" t="e">
        <f ca="1"/>
        <v>#REF!</v>
      </c>
      <c r="W1449" s="33" t="e">
        <f ca="1"/>
        <v>#REF!</v>
      </c>
      <c r="X1449" s="33" t="e">
        <f ca="1"/>
        <v>#REF!</v>
      </c>
      <c r="Y1449" s="33" t="e">
        <f ca="1"/>
        <v>#REF!</v>
      </c>
      <c r="Z1449" s="33" t="e">
        <f ca="1"/>
        <v>#REF!</v>
      </c>
      <c r="AA1449" s="33" t="e">
        <f ca="1"/>
        <v>#REF!</v>
      </c>
    </row>
    <row r="1450" spans="1:27" s="70" customFormat="1" ht="11.25" x14ac:dyDescent="0.2">
      <c r="A1450" s="24">
        <v>1444</v>
      </c>
      <c r="B1450" s="27"/>
      <c r="C1450" s="28"/>
      <c r="D1450" s="71"/>
      <c r="E1450" s="28"/>
      <c r="F1450" s="28"/>
      <c r="G1450" s="27"/>
      <c r="H1450" s="28" t="e">
        <f ca="1"/>
        <v>#REF!</v>
      </c>
      <c r="I1450" s="27" t="e">
        <f ca="1"/>
        <v>#REF!</v>
      </c>
      <c r="J1450" s="28" t="e">
        <f ca="1"/>
        <v>#REF!</v>
      </c>
      <c r="K1450" s="27" t="e">
        <f ca="1"/>
        <v>#REF!</v>
      </c>
      <c r="L1450" s="25" t="e">
        <f ca="1"/>
        <v>#REF!</v>
      </c>
      <c r="M1450" s="25" t="e">
        <f ca="1"/>
        <v>#REF!</v>
      </c>
      <c r="N1450" s="25" t="e">
        <f ca="1"/>
        <v>#REF!</v>
      </c>
      <c r="O1450" s="25" t="e">
        <f ca="1"/>
        <v>#REF!</v>
      </c>
      <c r="P1450" s="25" t="e">
        <f ca="1"/>
        <v>#REF!</v>
      </c>
      <c r="Q1450" s="25" t="e">
        <f ca="1"/>
        <v>#REF!</v>
      </c>
      <c r="R1450" s="25" t="e">
        <f ca="1"/>
        <v>#REF!</v>
      </c>
      <c r="S1450" s="25" t="e">
        <f ca="1"/>
        <v>#REF!</v>
      </c>
      <c r="T1450" s="25" t="e">
        <f ca="1"/>
        <v>#REF!</v>
      </c>
      <c r="U1450" s="25" t="e">
        <f ca="1"/>
        <v>#REF!</v>
      </c>
      <c r="V1450" s="25" t="e">
        <f ca="1"/>
        <v>#REF!</v>
      </c>
      <c r="W1450" s="33" t="e">
        <f ca="1"/>
        <v>#REF!</v>
      </c>
      <c r="X1450" s="33" t="e">
        <f ca="1"/>
        <v>#REF!</v>
      </c>
      <c r="Y1450" s="33" t="e">
        <f ca="1"/>
        <v>#REF!</v>
      </c>
      <c r="Z1450" s="33" t="e">
        <f ca="1"/>
        <v>#REF!</v>
      </c>
      <c r="AA1450" s="33" t="e">
        <f ca="1"/>
        <v>#REF!</v>
      </c>
    </row>
    <row r="1451" spans="1:27" s="70" customFormat="1" ht="11.25" x14ac:dyDescent="0.2">
      <c r="A1451" s="24">
        <v>1445</v>
      </c>
      <c r="B1451" s="27"/>
      <c r="C1451" s="28"/>
      <c r="D1451" s="71"/>
      <c r="E1451" s="28"/>
      <c r="F1451" s="28"/>
      <c r="G1451" s="27"/>
      <c r="H1451" s="28" t="e">
        <f ca="1"/>
        <v>#REF!</v>
      </c>
      <c r="I1451" s="27" t="e">
        <f ca="1"/>
        <v>#REF!</v>
      </c>
      <c r="J1451" s="28" t="e">
        <f ca="1"/>
        <v>#REF!</v>
      </c>
      <c r="K1451" s="27" t="e">
        <f ca="1"/>
        <v>#REF!</v>
      </c>
      <c r="L1451" s="25" t="e">
        <f ca="1"/>
        <v>#REF!</v>
      </c>
      <c r="M1451" s="25" t="e">
        <f ca="1"/>
        <v>#REF!</v>
      </c>
      <c r="N1451" s="25" t="e">
        <f ca="1"/>
        <v>#REF!</v>
      </c>
      <c r="O1451" s="25" t="e">
        <f ca="1"/>
        <v>#REF!</v>
      </c>
      <c r="P1451" s="25" t="e">
        <f ca="1"/>
        <v>#REF!</v>
      </c>
      <c r="Q1451" s="25" t="e">
        <f ca="1"/>
        <v>#REF!</v>
      </c>
      <c r="R1451" s="25" t="e">
        <f ca="1"/>
        <v>#REF!</v>
      </c>
      <c r="S1451" s="25" t="e">
        <f ca="1"/>
        <v>#REF!</v>
      </c>
      <c r="T1451" s="25" t="e">
        <f ca="1"/>
        <v>#REF!</v>
      </c>
      <c r="U1451" s="25" t="e">
        <f ca="1"/>
        <v>#REF!</v>
      </c>
      <c r="V1451" s="25" t="e">
        <f ca="1"/>
        <v>#REF!</v>
      </c>
      <c r="W1451" s="33" t="e">
        <f ca="1"/>
        <v>#REF!</v>
      </c>
      <c r="X1451" s="33" t="e">
        <f ca="1"/>
        <v>#REF!</v>
      </c>
      <c r="Y1451" s="33" t="e">
        <f ca="1"/>
        <v>#REF!</v>
      </c>
      <c r="Z1451" s="33" t="e">
        <f ca="1"/>
        <v>#REF!</v>
      </c>
      <c r="AA1451" s="33" t="e">
        <f ca="1"/>
        <v>#REF!</v>
      </c>
    </row>
    <row r="1452" spans="1:27" s="70" customFormat="1" ht="11.25" x14ac:dyDescent="0.2">
      <c r="A1452" s="24">
        <v>1446</v>
      </c>
      <c r="B1452" s="27"/>
      <c r="C1452" s="28"/>
      <c r="D1452" s="71"/>
      <c r="E1452" s="28"/>
      <c r="F1452" s="28"/>
      <c r="G1452" s="27"/>
      <c r="H1452" s="28" t="e">
        <f ca="1"/>
        <v>#REF!</v>
      </c>
      <c r="I1452" s="27" t="e">
        <f ca="1"/>
        <v>#REF!</v>
      </c>
      <c r="J1452" s="28" t="e">
        <f ca="1"/>
        <v>#REF!</v>
      </c>
      <c r="K1452" s="27" t="e">
        <f ca="1"/>
        <v>#REF!</v>
      </c>
      <c r="L1452" s="25" t="e">
        <f ca="1"/>
        <v>#REF!</v>
      </c>
      <c r="M1452" s="25" t="e">
        <f ca="1"/>
        <v>#REF!</v>
      </c>
      <c r="N1452" s="25" t="e">
        <f ca="1"/>
        <v>#REF!</v>
      </c>
      <c r="O1452" s="25" t="e">
        <f ca="1"/>
        <v>#REF!</v>
      </c>
      <c r="P1452" s="25" t="e">
        <f ca="1"/>
        <v>#REF!</v>
      </c>
      <c r="Q1452" s="25" t="e">
        <f ca="1"/>
        <v>#REF!</v>
      </c>
      <c r="R1452" s="25" t="e">
        <f ca="1"/>
        <v>#REF!</v>
      </c>
      <c r="S1452" s="25" t="e">
        <f ca="1"/>
        <v>#REF!</v>
      </c>
      <c r="T1452" s="25" t="e">
        <f ca="1"/>
        <v>#REF!</v>
      </c>
      <c r="U1452" s="25" t="e">
        <f ca="1"/>
        <v>#REF!</v>
      </c>
      <c r="V1452" s="25" t="e">
        <f ca="1"/>
        <v>#REF!</v>
      </c>
      <c r="W1452" s="33" t="e">
        <f ca="1"/>
        <v>#REF!</v>
      </c>
      <c r="X1452" s="33" t="e">
        <f ca="1"/>
        <v>#REF!</v>
      </c>
      <c r="Y1452" s="33" t="e">
        <f ca="1"/>
        <v>#REF!</v>
      </c>
      <c r="Z1452" s="33" t="e">
        <f ca="1"/>
        <v>#REF!</v>
      </c>
      <c r="AA1452" s="33" t="e">
        <f ca="1"/>
        <v>#REF!</v>
      </c>
    </row>
    <row r="1453" spans="1:27" s="70" customFormat="1" ht="11.25" x14ac:dyDescent="0.2">
      <c r="A1453" s="24">
        <v>1447</v>
      </c>
      <c r="B1453" s="27"/>
      <c r="C1453" s="28"/>
      <c r="D1453" s="71"/>
      <c r="E1453" s="28"/>
      <c r="F1453" s="28"/>
      <c r="G1453" s="27"/>
      <c r="H1453" s="28" t="e">
        <f ca="1"/>
        <v>#REF!</v>
      </c>
      <c r="I1453" s="27" t="e">
        <f ca="1"/>
        <v>#REF!</v>
      </c>
      <c r="J1453" s="28" t="e">
        <f ca="1"/>
        <v>#REF!</v>
      </c>
      <c r="K1453" s="27" t="e">
        <f ca="1"/>
        <v>#REF!</v>
      </c>
      <c r="L1453" s="25" t="e">
        <f ca="1"/>
        <v>#REF!</v>
      </c>
      <c r="M1453" s="25" t="e">
        <f ca="1"/>
        <v>#REF!</v>
      </c>
      <c r="N1453" s="25" t="e">
        <f ca="1"/>
        <v>#REF!</v>
      </c>
      <c r="O1453" s="25" t="e">
        <f ca="1"/>
        <v>#REF!</v>
      </c>
      <c r="P1453" s="25" t="e">
        <f ca="1"/>
        <v>#REF!</v>
      </c>
      <c r="Q1453" s="25" t="e">
        <f ca="1"/>
        <v>#REF!</v>
      </c>
      <c r="R1453" s="25" t="e">
        <f ca="1"/>
        <v>#REF!</v>
      </c>
      <c r="S1453" s="25" t="e">
        <f ca="1"/>
        <v>#REF!</v>
      </c>
      <c r="T1453" s="25" t="e">
        <f ca="1"/>
        <v>#REF!</v>
      </c>
      <c r="U1453" s="25" t="e">
        <f ca="1"/>
        <v>#REF!</v>
      </c>
      <c r="V1453" s="25" t="e">
        <f ca="1"/>
        <v>#REF!</v>
      </c>
      <c r="W1453" s="33" t="e">
        <f ca="1"/>
        <v>#REF!</v>
      </c>
      <c r="X1453" s="33" t="e">
        <f ca="1"/>
        <v>#REF!</v>
      </c>
      <c r="Y1453" s="33" t="e">
        <f ca="1"/>
        <v>#REF!</v>
      </c>
      <c r="Z1453" s="33" t="e">
        <f ca="1"/>
        <v>#REF!</v>
      </c>
      <c r="AA1453" s="33" t="e">
        <f ca="1"/>
        <v>#REF!</v>
      </c>
    </row>
    <row r="1454" spans="1:27" s="70" customFormat="1" ht="11.25" x14ac:dyDescent="0.2">
      <c r="A1454" s="24">
        <v>1448</v>
      </c>
      <c r="B1454" s="27"/>
      <c r="C1454" s="28"/>
      <c r="D1454" s="71"/>
      <c r="E1454" s="28"/>
      <c r="F1454" s="28"/>
      <c r="G1454" s="27"/>
      <c r="H1454" s="28" t="e">
        <f ca="1"/>
        <v>#REF!</v>
      </c>
      <c r="I1454" s="27" t="e">
        <f ca="1"/>
        <v>#REF!</v>
      </c>
      <c r="J1454" s="28" t="e">
        <f ca="1"/>
        <v>#REF!</v>
      </c>
      <c r="K1454" s="27" t="e">
        <f ca="1"/>
        <v>#REF!</v>
      </c>
      <c r="L1454" s="25" t="e">
        <f ca="1"/>
        <v>#REF!</v>
      </c>
      <c r="M1454" s="25" t="e">
        <f ca="1"/>
        <v>#REF!</v>
      </c>
      <c r="N1454" s="25" t="e">
        <f ca="1"/>
        <v>#REF!</v>
      </c>
      <c r="O1454" s="25" t="e">
        <f ca="1"/>
        <v>#REF!</v>
      </c>
      <c r="P1454" s="25" t="e">
        <f ca="1"/>
        <v>#REF!</v>
      </c>
      <c r="Q1454" s="25" t="e">
        <f ca="1"/>
        <v>#REF!</v>
      </c>
      <c r="R1454" s="25" t="e">
        <f ca="1"/>
        <v>#REF!</v>
      </c>
      <c r="S1454" s="25" t="e">
        <f ca="1"/>
        <v>#REF!</v>
      </c>
      <c r="T1454" s="25" t="e">
        <f ca="1"/>
        <v>#REF!</v>
      </c>
      <c r="U1454" s="25" t="e">
        <f ca="1"/>
        <v>#REF!</v>
      </c>
      <c r="V1454" s="25" t="e">
        <f ca="1"/>
        <v>#REF!</v>
      </c>
      <c r="W1454" s="33" t="e">
        <f ca="1"/>
        <v>#REF!</v>
      </c>
      <c r="X1454" s="33" t="e">
        <f ca="1"/>
        <v>#REF!</v>
      </c>
      <c r="Y1454" s="33" t="e">
        <f ca="1"/>
        <v>#REF!</v>
      </c>
      <c r="Z1454" s="33" t="e">
        <f ca="1"/>
        <v>#REF!</v>
      </c>
      <c r="AA1454" s="33" t="e">
        <f ca="1"/>
        <v>#REF!</v>
      </c>
    </row>
    <row r="1455" spans="1:27" s="70" customFormat="1" ht="11.25" x14ac:dyDescent="0.2">
      <c r="A1455" s="24">
        <v>1449</v>
      </c>
      <c r="B1455" s="27"/>
      <c r="C1455" s="28"/>
      <c r="D1455" s="71"/>
      <c r="E1455" s="28"/>
      <c r="F1455" s="28"/>
      <c r="G1455" s="27"/>
      <c r="H1455" s="28" t="e">
        <f ca="1"/>
        <v>#REF!</v>
      </c>
      <c r="I1455" s="27" t="e">
        <f ca="1"/>
        <v>#REF!</v>
      </c>
      <c r="J1455" s="28" t="e">
        <f ca="1"/>
        <v>#REF!</v>
      </c>
      <c r="K1455" s="27" t="e">
        <f ca="1"/>
        <v>#REF!</v>
      </c>
      <c r="L1455" s="25" t="e">
        <f ca="1"/>
        <v>#REF!</v>
      </c>
      <c r="M1455" s="25" t="e">
        <f ca="1"/>
        <v>#REF!</v>
      </c>
      <c r="N1455" s="25" t="e">
        <f ca="1"/>
        <v>#REF!</v>
      </c>
      <c r="O1455" s="25" t="e">
        <f ca="1"/>
        <v>#REF!</v>
      </c>
      <c r="P1455" s="25" t="e">
        <f ca="1"/>
        <v>#REF!</v>
      </c>
      <c r="Q1455" s="25" t="e">
        <f ca="1"/>
        <v>#REF!</v>
      </c>
      <c r="R1455" s="25" t="e">
        <f ca="1"/>
        <v>#REF!</v>
      </c>
      <c r="S1455" s="25" t="e">
        <f ca="1"/>
        <v>#REF!</v>
      </c>
      <c r="T1455" s="25" t="e">
        <f ca="1"/>
        <v>#REF!</v>
      </c>
      <c r="U1455" s="25" t="e">
        <f ca="1"/>
        <v>#REF!</v>
      </c>
      <c r="V1455" s="25" t="e">
        <f ca="1"/>
        <v>#REF!</v>
      </c>
      <c r="W1455" s="33" t="e">
        <f ca="1"/>
        <v>#REF!</v>
      </c>
      <c r="X1455" s="33" t="e">
        <f ca="1"/>
        <v>#REF!</v>
      </c>
      <c r="Y1455" s="33" t="e">
        <f ca="1"/>
        <v>#REF!</v>
      </c>
      <c r="Z1455" s="33" t="e">
        <f ca="1"/>
        <v>#REF!</v>
      </c>
      <c r="AA1455" s="33" t="e">
        <f ca="1"/>
        <v>#REF!</v>
      </c>
    </row>
    <row r="1456" spans="1:27" s="70" customFormat="1" ht="11.25" x14ac:dyDescent="0.2">
      <c r="A1456" s="24">
        <v>1450</v>
      </c>
      <c r="B1456" s="27"/>
      <c r="C1456" s="28"/>
      <c r="D1456" s="71"/>
      <c r="E1456" s="28"/>
      <c r="F1456" s="28"/>
      <c r="G1456" s="27"/>
      <c r="H1456" s="28" t="e">
        <f ca="1"/>
        <v>#REF!</v>
      </c>
      <c r="I1456" s="27" t="e">
        <f ca="1"/>
        <v>#REF!</v>
      </c>
      <c r="J1456" s="28" t="e">
        <f ca="1"/>
        <v>#REF!</v>
      </c>
      <c r="K1456" s="27" t="e">
        <f ca="1"/>
        <v>#REF!</v>
      </c>
      <c r="L1456" s="25" t="e">
        <f ca="1"/>
        <v>#REF!</v>
      </c>
      <c r="M1456" s="25" t="e">
        <f ca="1"/>
        <v>#REF!</v>
      </c>
      <c r="N1456" s="25" t="e">
        <f ca="1"/>
        <v>#REF!</v>
      </c>
      <c r="O1456" s="25" t="e">
        <f ca="1"/>
        <v>#REF!</v>
      </c>
      <c r="P1456" s="25" t="e">
        <f ca="1"/>
        <v>#REF!</v>
      </c>
      <c r="Q1456" s="25" t="e">
        <f ca="1"/>
        <v>#REF!</v>
      </c>
      <c r="R1456" s="25" t="e">
        <f ca="1"/>
        <v>#REF!</v>
      </c>
      <c r="S1456" s="25" t="e">
        <f ca="1"/>
        <v>#REF!</v>
      </c>
      <c r="T1456" s="25" t="e">
        <f ca="1"/>
        <v>#REF!</v>
      </c>
      <c r="U1456" s="25" t="e">
        <f ca="1"/>
        <v>#REF!</v>
      </c>
      <c r="V1456" s="25" t="e">
        <f ca="1"/>
        <v>#REF!</v>
      </c>
      <c r="W1456" s="33" t="e">
        <f ca="1"/>
        <v>#REF!</v>
      </c>
      <c r="X1456" s="33" t="e">
        <f ca="1"/>
        <v>#REF!</v>
      </c>
      <c r="Y1456" s="33" t="e">
        <f ca="1"/>
        <v>#REF!</v>
      </c>
      <c r="Z1456" s="33" t="e">
        <f ca="1"/>
        <v>#REF!</v>
      </c>
      <c r="AA1456" s="33" t="e">
        <f ca="1"/>
        <v>#REF!</v>
      </c>
    </row>
    <row r="1457" spans="1:27" s="70" customFormat="1" ht="11.25" x14ac:dyDescent="0.2">
      <c r="A1457" s="24">
        <v>1451</v>
      </c>
      <c r="B1457" s="27"/>
      <c r="C1457" s="28"/>
      <c r="D1457" s="71"/>
      <c r="E1457" s="28"/>
      <c r="F1457" s="28"/>
      <c r="G1457" s="27"/>
      <c r="H1457" s="28" t="e">
        <f ca="1"/>
        <v>#REF!</v>
      </c>
      <c r="I1457" s="27" t="e">
        <f ca="1"/>
        <v>#REF!</v>
      </c>
      <c r="J1457" s="28" t="e">
        <f ca="1"/>
        <v>#REF!</v>
      </c>
      <c r="K1457" s="27" t="e">
        <f ca="1"/>
        <v>#REF!</v>
      </c>
      <c r="L1457" s="25" t="e">
        <f ca="1"/>
        <v>#REF!</v>
      </c>
      <c r="M1457" s="25" t="e">
        <f ca="1"/>
        <v>#REF!</v>
      </c>
      <c r="N1457" s="25" t="e">
        <f ca="1"/>
        <v>#REF!</v>
      </c>
      <c r="O1457" s="25" t="e">
        <f ca="1"/>
        <v>#REF!</v>
      </c>
      <c r="P1457" s="25" t="e">
        <f ca="1"/>
        <v>#REF!</v>
      </c>
      <c r="Q1457" s="25" t="e">
        <f ca="1"/>
        <v>#REF!</v>
      </c>
      <c r="R1457" s="25" t="e">
        <f ca="1"/>
        <v>#REF!</v>
      </c>
      <c r="S1457" s="25" t="e">
        <f ca="1"/>
        <v>#REF!</v>
      </c>
      <c r="T1457" s="25" t="e">
        <f ca="1"/>
        <v>#REF!</v>
      </c>
      <c r="U1457" s="25" t="e">
        <f ca="1"/>
        <v>#REF!</v>
      </c>
      <c r="V1457" s="25" t="e">
        <f ca="1"/>
        <v>#REF!</v>
      </c>
      <c r="W1457" s="33" t="e">
        <f ca="1"/>
        <v>#REF!</v>
      </c>
      <c r="X1457" s="33" t="e">
        <f ca="1"/>
        <v>#REF!</v>
      </c>
      <c r="Y1457" s="33" t="e">
        <f ca="1"/>
        <v>#REF!</v>
      </c>
      <c r="Z1457" s="33" t="e">
        <f ca="1"/>
        <v>#REF!</v>
      </c>
      <c r="AA1457" s="33" t="e">
        <f ca="1"/>
        <v>#REF!</v>
      </c>
    </row>
    <row r="1458" spans="1:27" s="70" customFormat="1" ht="11.25" x14ac:dyDescent="0.2">
      <c r="A1458" s="24">
        <v>1452</v>
      </c>
      <c r="B1458" s="27"/>
      <c r="C1458" s="28"/>
      <c r="D1458" s="71"/>
      <c r="E1458" s="28"/>
      <c r="F1458" s="28"/>
      <c r="G1458" s="27"/>
      <c r="H1458" s="28" t="e">
        <f ca="1"/>
        <v>#REF!</v>
      </c>
      <c r="I1458" s="27" t="e">
        <f ca="1"/>
        <v>#REF!</v>
      </c>
      <c r="J1458" s="28" t="e">
        <f ca="1"/>
        <v>#REF!</v>
      </c>
      <c r="K1458" s="27" t="e">
        <f ca="1"/>
        <v>#REF!</v>
      </c>
      <c r="L1458" s="25" t="e">
        <f ca="1"/>
        <v>#REF!</v>
      </c>
      <c r="M1458" s="25" t="e">
        <f ca="1"/>
        <v>#REF!</v>
      </c>
      <c r="N1458" s="25" t="e">
        <f ca="1"/>
        <v>#REF!</v>
      </c>
      <c r="O1458" s="25" t="e">
        <f ca="1"/>
        <v>#REF!</v>
      </c>
      <c r="P1458" s="25" t="e">
        <f ca="1"/>
        <v>#REF!</v>
      </c>
      <c r="Q1458" s="25" t="e">
        <f ca="1"/>
        <v>#REF!</v>
      </c>
      <c r="R1458" s="25" t="e">
        <f ca="1"/>
        <v>#REF!</v>
      </c>
      <c r="S1458" s="25" t="e">
        <f ca="1"/>
        <v>#REF!</v>
      </c>
      <c r="T1458" s="25" t="e">
        <f ca="1"/>
        <v>#REF!</v>
      </c>
      <c r="U1458" s="25" t="e">
        <f ca="1"/>
        <v>#REF!</v>
      </c>
      <c r="V1458" s="25" t="e">
        <f ca="1"/>
        <v>#REF!</v>
      </c>
      <c r="W1458" s="33" t="e">
        <f ca="1"/>
        <v>#REF!</v>
      </c>
      <c r="X1458" s="33" t="e">
        <f ca="1"/>
        <v>#REF!</v>
      </c>
      <c r="Y1458" s="33" t="e">
        <f ca="1"/>
        <v>#REF!</v>
      </c>
      <c r="Z1458" s="33" t="e">
        <f ca="1"/>
        <v>#REF!</v>
      </c>
      <c r="AA1458" s="33" t="e">
        <f ca="1"/>
        <v>#REF!</v>
      </c>
    </row>
    <row r="1459" spans="1:27" s="70" customFormat="1" ht="11.25" x14ac:dyDescent="0.2">
      <c r="A1459" s="24">
        <v>1453</v>
      </c>
      <c r="B1459" s="27"/>
      <c r="C1459" s="28"/>
      <c r="D1459" s="71"/>
      <c r="E1459" s="28"/>
      <c r="F1459" s="28"/>
      <c r="G1459" s="27"/>
      <c r="H1459" s="28" t="e">
        <f ca="1"/>
        <v>#REF!</v>
      </c>
      <c r="I1459" s="27" t="e">
        <f ca="1"/>
        <v>#REF!</v>
      </c>
      <c r="J1459" s="28" t="e">
        <f ca="1"/>
        <v>#REF!</v>
      </c>
      <c r="K1459" s="27" t="e">
        <f ca="1"/>
        <v>#REF!</v>
      </c>
      <c r="L1459" s="25" t="e">
        <f ca="1"/>
        <v>#REF!</v>
      </c>
      <c r="M1459" s="25" t="e">
        <f ca="1"/>
        <v>#REF!</v>
      </c>
      <c r="N1459" s="25" t="e">
        <f ca="1"/>
        <v>#REF!</v>
      </c>
      <c r="O1459" s="25" t="e">
        <f ca="1"/>
        <v>#REF!</v>
      </c>
      <c r="P1459" s="25" t="e">
        <f ca="1"/>
        <v>#REF!</v>
      </c>
      <c r="Q1459" s="25" t="e">
        <f ca="1"/>
        <v>#REF!</v>
      </c>
      <c r="R1459" s="25" t="e">
        <f ca="1"/>
        <v>#REF!</v>
      </c>
      <c r="S1459" s="25" t="e">
        <f ca="1"/>
        <v>#REF!</v>
      </c>
      <c r="T1459" s="25" t="e">
        <f ca="1"/>
        <v>#REF!</v>
      </c>
      <c r="U1459" s="25" t="e">
        <f ca="1"/>
        <v>#REF!</v>
      </c>
      <c r="V1459" s="25" t="e">
        <f ca="1"/>
        <v>#REF!</v>
      </c>
      <c r="W1459" s="33" t="e">
        <f ca="1"/>
        <v>#REF!</v>
      </c>
      <c r="X1459" s="33" t="e">
        <f ca="1"/>
        <v>#REF!</v>
      </c>
      <c r="Y1459" s="33" t="e">
        <f ca="1"/>
        <v>#REF!</v>
      </c>
      <c r="Z1459" s="33" t="e">
        <f ca="1"/>
        <v>#REF!</v>
      </c>
      <c r="AA1459" s="33" t="e">
        <f ca="1"/>
        <v>#REF!</v>
      </c>
    </row>
    <row r="1460" spans="1:27" s="70" customFormat="1" ht="11.25" x14ac:dyDescent="0.2">
      <c r="A1460" s="24">
        <v>1454</v>
      </c>
      <c r="B1460" s="27"/>
      <c r="C1460" s="28"/>
      <c r="D1460" s="71"/>
      <c r="E1460" s="28"/>
      <c r="F1460" s="28"/>
      <c r="G1460" s="27"/>
      <c r="H1460" s="28" t="e">
        <f ca="1"/>
        <v>#REF!</v>
      </c>
      <c r="I1460" s="27" t="e">
        <f ca="1"/>
        <v>#REF!</v>
      </c>
      <c r="J1460" s="28" t="e">
        <f ca="1"/>
        <v>#REF!</v>
      </c>
      <c r="K1460" s="27" t="e">
        <f ca="1"/>
        <v>#REF!</v>
      </c>
      <c r="L1460" s="25" t="e">
        <f ca="1"/>
        <v>#REF!</v>
      </c>
      <c r="M1460" s="25" t="e">
        <f ca="1"/>
        <v>#REF!</v>
      </c>
      <c r="N1460" s="25" t="e">
        <f ca="1"/>
        <v>#REF!</v>
      </c>
      <c r="O1460" s="25" t="e">
        <f ca="1"/>
        <v>#REF!</v>
      </c>
      <c r="P1460" s="25" t="e">
        <f ca="1"/>
        <v>#REF!</v>
      </c>
      <c r="Q1460" s="25" t="e">
        <f ca="1"/>
        <v>#REF!</v>
      </c>
      <c r="R1460" s="25" t="e">
        <f ca="1"/>
        <v>#REF!</v>
      </c>
      <c r="S1460" s="25" t="e">
        <f ca="1"/>
        <v>#REF!</v>
      </c>
      <c r="T1460" s="25" t="e">
        <f ca="1"/>
        <v>#REF!</v>
      </c>
      <c r="U1460" s="25" t="e">
        <f ca="1"/>
        <v>#REF!</v>
      </c>
      <c r="V1460" s="25" t="e">
        <f ca="1"/>
        <v>#REF!</v>
      </c>
      <c r="W1460" s="33" t="e">
        <f ca="1"/>
        <v>#REF!</v>
      </c>
      <c r="X1460" s="33" t="e">
        <f ca="1"/>
        <v>#REF!</v>
      </c>
      <c r="Y1460" s="33" t="e">
        <f ca="1"/>
        <v>#REF!</v>
      </c>
      <c r="Z1460" s="33" t="e">
        <f ca="1"/>
        <v>#REF!</v>
      </c>
      <c r="AA1460" s="33" t="e">
        <f ca="1"/>
        <v>#REF!</v>
      </c>
    </row>
    <row r="1461" spans="1:27" s="70" customFormat="1" ht="11.25" x14ac:dyDescent="0.2">
      <c r="A1461" s="24">
        <v>1455</v>
      </c>
      <c r="B1461" s="27"/>
      <c r="C1461" s="28"/>
      <c r="D1461" s="71"/>
      <c r="E1461" s="28"/>
      <c r="F1461" s="28"/>
      <c r="G1461" s="27"/>
      <c r="H1461" s="28" t="e">
        <f ca="1"/>
        <v>#REF!</v>
      </c>
      <c r="I1461" s="27" t="e">
        <f ca="1"/>
        <v>#REF!</v>
      </c>
      <c r="J1461" s="28" t="e">
        <f ca="1"/>
        <v>#REF!</v>
      </c>
      <c r="K1461" s="27" t="e">
        <f ca="1"/>
        <v>#REF!</v>
      </c>
      <c r="L1461" s="25" t="e">
        <f ca="1"/>
        <v>#REF!</v>
      </c>
      <c r="M1461" s="25" t="e">
        <f ca="1"/>
        <v>#REF!</v>
      </c>
      <c r="N1461" s="25" t="e">
        <f ca="1"/>
        <v>#REF!</v>
      </c>
      <c r="O1461" s="25" t="e">
        <f ca="1"/>
        <v>#REF!</v>
      </c>
      <c r="P1461" s="25" t="e">
        <f ca="1"/>
        <v>#REF!</v>
      </c>
      <c r="Q1461" s="25" t="e">
        <f ca="1"/>
        <v>#REF!</v>
      </c>
      <c r="R1461" s="25" t="e">
        <f ca="1"/>
        <v>#REF!</v>
      </c>
      <c r="S1461" s="25" t="e">
        <f ca="1"/>
        <v>#REF!</v>
      </c>
      <c r="T1461" s="25" t="e">
        <f ca="1"/>
        <v>#REF!</v>
      </c>
      <c r="U1461" s="25" t="e">
        <f ca="1"/>
        <v>#REF!</v>
      </c>
      <c r="V1461" s="25" t="e">
        <f ca="1"/>
        <v>#REF!</v>
      </c>
      <c r="W1461" s="33" t="e">
        <f ca="1"/>
        <v>#REF!</v>
      </c>
      <c r="X1461" s="33" t="e">
        <f ca="1"/>
        <v>#REF!</v>
      </c>
      <c r="Y1461" s="33" t="e">
        <f ca="1"/>
        <v>#REF!</v>
      </c>
      <c r="Z1461" s="33" t="e">
        <f ca="1"/>
        <v>#REF!</v>
      </c>
      <c r="AA1461" s="33" t="e">
        <f ca="1"/>
        <v>#REF!</v>
      </c>
    </row>
    <row r="1462" spans="1:27" s="70" customFormat="1" ht="11.25" x14ac:dyDescent="0.2">
      <c r="A1462" s="24">
        <v>1456</v>
      </c>
      <c r="B1462" s="27"/>
      <c r="C1462" s="28"/>
      <c r="D1462" s="71"/>
      <c r="E1462" s="28"/>
      <c r="F1462" s="28"/>
      <c r="G1462" s="27"/>
      <c r="H1462" s="28" t="e">
        <f ca="1"/>
        <v>#REF!</v>
      </c>
      <c r="I1462" s="27" t="e">
        <f ca="1"/>
        <v>#REF!</v>
      </c>
      <c r="J1462" s="28" t="e">
        <f ca="1"/>
        <v>#REF!</v>
      </c>
      <c r="K1462" s="27" t="e">
        <f ca="1"/>
        <v>#REF!</v>
      </c>
      <c r="L1462" s="25" t="e">
        <f ca="1"/>
        <v>#REF!</v>
      </c>
      <c r="M1462" s="25" t="e">
        <f ca="1"/>
        <v>#REF!</v>
      </c>
      <c r="N1462" s="25" t="e">
        <f ca="1"/>
        <v>#REF!</v>
      </c>
      <c r="O1462" s="25" t="e">
        <f ca="1"/>
        <v>#REF!</v>
      </c>
      <c r="P1462" s="25" t="e">
        <f ca="1"/>
        <v>#REF!</v>
      </c>
      <c r="Q1462" s="25" t="e">
        <f ca="1"/>
        <v>#REF!</v>
      </c>
      <c r="R1462" s="25" t="e">
        <f ca="1"/>
        <v>#REF!</v>
      </c>
      <c r="S1462" s="25" t="e">
        <f ca="1"/>
        <v>#REF!</v>
      </c>
      <c r="T1462" s="25" t="e">
        <f ca="1"/>
        <v>#REF!</v>
      </c>
      <c r="U1462" s="25" t="e">
        <f ca="1"/>
        <v>#REF!</v>
      </c>
      <c r="V1462" s="25" t="e">
        <f ca="1"/>
        <v>#REF!</v>
      </c>
      <c r="W1462" s="33" t="e">
        <f ca="1"/>
        <v>#REF!</v>
      </c>
      <c r="X1462" s="33" t="e">
        <f ca="1"/>
        <v>#REF!</v>
      </c>
      <c r="Y1462" s="33" t="e">
        <f ca="1"/>
        <v>#REF!</v>
      </c>
      <c r="Z1462" s="33" t="e">
        <f ca="1"/>
        <v>#REF!</v>
      </c>
      <c r="AA1462" s="33" t="e">
        <f ca="1"/>
        <v>#REF!</v>
      </c>
    </row>
    <row r="1463" spans="1:27" s="70" customFormat="1" ht="11.25" x14ac:dyDescent="0.2">
      <c r="A1463" s="24">
        <v>1457</v>
      </c>
      <c r="B1463" s="27"/>
      <c r="C1463" s="28"/>
      <c r="D1463" s="71"/>
      <c r="E1463" s="28"/>
      <c r="F1463" s="28"/>
      <c r="G1463" s="27"/>
      <c r="H1463" s="28" t="e">
        <f ca="1"/>
        <v>#REF!</v>
      </c>
      <c r="I1463" s="27" t="e">
        <f ca="1"/>
        <v>#REF!</v>
      </c>
      <c r="J1463" s="28" t="e">
        <f ca="1"/>
        <v>#REF!</v>
      </c>
      <c r="K1463" s="27" t="e">
        <f ca="1"/>
        <v>#REF!</v>
      </c>
      <c r="L1463" s="25" t="e">
        <f ca="1"/>
        <v>#REF!</v>
      </c>
      <c r="M1463" s="25" t="e">
        <f ca="1"/>
        <v>#REF!</v>
      </c>
      <c r="N1463" s="25" t="e">
        <f ca="1"/>
        <v>#REF!</v>
      </c>
      <c r="O1463" s="25" t="e">
        <f ca="1"/>
        <v>#REF!</v>
      </c>
      <c r="P1463" s="25" t="e">
        <f ca="1"/>
        <v>#REF!</v>
      </c>
      <c r="Q1463" s="25" t="e">
        <f ca="1"/>
        <v>#REF!</v>
      </c>
      <c r="R1463" s="25" t="e">
        <f ca="1"/>
        <v>#REF!</v>
      </c>
      <c r="S1463" s="25" t="e">
        <f ca="1"/>
        <v>#REF!</v>
      </c>
      <c r="T1463" s="25" t="e">
        <f ca="1"/>
        <v>#REF!</v>
      </c>
      <c r="U1463" s="25" t="e">
        <f ca="1"/>
        <v>#REF!</v>
      </c>
      <c r="V1463" s="25" t="e">
        <f ca="1"/>
        <v>#REF!</v>
      </c>
      <c r="W1463" s="33" t="e">
        <f ca="1"/>
        <v>#REF!</v>
      </c>
      <c r="X1463" s="33" t="e">
        <f ca="1"/>
        <v>#REF!</v>
      </c>
      <c r="Y1463" s="33" t="e">
        <f ca="1"/>
        <v>#REF!</v>
      </c>
      <c r="Z1463" s="33" t="e">
        <f ca="1"/>
        <v>#REF!</v>
      </c>
      <c r="AA1463" s="33" t="e">
        <f ca="1"/>
        <v>#REF!</v>
      </c>
    </row>
    <row r="1464" spans="1:27" s="70" customFormat="1" ht="11.25" x14ac:dyDescent="0.2">
      <c r="A1464" s="24">
        <v>1458</v>
      </c>
      <c r="B1464" s="27"/>
      <c r="C1464" s="28"/>
      <c r="D1464" s="71"/>
      <c r="E1464" s="28"/>
      <c r="F1464" s="28"/>
      <c r="G1464" s="27"/>
      <c r="H1464" s="28" t="e">
        <f ca="1"/>
        <v>#REF!</v>
      </c>
      <c r="I1464" s="27" t="e">
        <f ca="1"/>
        <v>#REF!</v>
      </c>
      <c r="J1464" s="28" t="e">
        <f ca="1"/>
        <v>#REF!</v>
      </c>
      <c r="K1464" s="27" t="e">
        <f ca="1"/>
        <v>#REF!</v>
      </c>
      <c r="L1464" s="25" t="e">
        <f ca="1"/>
        <v>#REF!</v>
      </c>
      <c r="M1464" s="25" t="e">
        <f ca="1"/>
        <v>#REF!</v>
      </c>
      <c r="N1464" s="25" t="e">
        <f ca="1"/>
        <v>#REF!</v>
      </c>
      <c r="O1464" s="25" t="e">
        <f ca="1"/>
        <v>#REF!</v>
      </c>
      <c r="P1464" s="25" t="e">
        <f ca="1"/>
        <v>#REF!</v>
      </c>
      <c r="Q1464" s="25" t="e">
        <f ca="1"/>
        <v>#REF!</v>
      </c>
      <c r="R1464" s="25" t="e">
        <f ca="1"/>
        <v>#REF!</v>
      </c>
      <c r="S1464" s="25" t="e">
        <f ca="1"/>
        <v>#REF!</v>
      </c>
      <c r="T1464" s="25" t="e">
        <f ca="1"/>
        <v>#REF!</v>
      </c>
      <c r="U1464" s="25" t="e">
        <f ca="1"/>
        <v>#REF!</v>
      </c>
      <c r="V1464" s="25" t="e">
        <f ca="1"/>
        <v>#REF!</v>
      </c>
      <c r="W1464" s="33" t="e">
        <f ca="1"/>
        <v>#REF!</v>
      </c>
      <c r="X1464" s="33" t="e">
        <f ca="1"/>
        <v>#REF!</v>
      </c>
      <c r="Y1464" s="33" t="e">
        <f ca="1"/>
        <v>#REF!</v>
      </c>
      <c r="Z1464" s="33" t="e">
        <f ca="1"/>
        <v>#REF!</v>
      </c>
      <c r="AA1464" s="33" t="e">
        <f ca="1"/>
        <v>#REF!</v>
      </c>
    </row>
    <row r="1465" spans="1:27" s="70" customFormat="1" ht="11.25" x14ac:dyDescent="0.2">
      <c r="A1465" s="24">
        <v>1459</v>
      </c>
      <c r="B1465" s="27"/>
      <c r="C1465" s="28"/>
      <c r="D1465" s="71"/>
      <c r="E1465" s="28"/>
      <c r="F1465" s="28"/>
      <c r="G1465" s="27"/>
      <c r="H1465" s="28" t="e">
        <f ca="1"/>
        <v>#REF!</v>
      </c>
      <c r="I1465" s="27" t="e">
        <f ca="1"/>
        <v>#REF!</v>
      </c>
      <c r="J1465" s="28" t="e">
        <f ca="1"/>
        <v>#REF!</v>
      </c>
      <c r="K1465" s="27" t="e">
        <f ca="1"/>
        <v>#REF!</v>
      </c>
      <c r="L1465" s="25" t="e">
        <f ca="1"/>
        <v>#REF!</v>
      </c>
      <c r="M1465" s="25" t="e">
        <f ca="1"/>
        <v>#REF!</v>
      </c>
      <c r="N1465" s="25" t="e">
        <f ca="1"/>
        <v>#REF!</v>
      </c>
      <c r="O1465" s="25" t="e">
        <f ca="1"/>
        <v>#REF!</v>
      </c>
      <c r="P1465" s="25" t="e">
        <f ca="1"/>
        <v>#REF!</v>
      </c>
      <c r="Q1465" s="25" t="e">
        <f ca="1"/>
        <v>#REF!</v>
      </c>
      <c r="R1465" s="25" t="e">
        <f ca="1"/>
        <v>#REF!</v>
      </c>
      <c r="S1465" s="25" t="e">
        <f ca="1"/>
        <v>#REF!</v>
      </c>
      <c r="T1465" s="25" t="e">
        <f ca="1"/>
        <v>#REF!</v>
      </c>
      <c r="U1465" s="25" t="e">
        <f ca="1"/>
        <v>#REF!</v>
      </c>
      <c r="V1465" s="25" t="e">
        <f ca="1"/>
        <v>#REF!</v>
      </c>
      <c r="W1465" s="33" t="e">
        <f ca="1"/>
        <v>#REF!</v>
      </c>
      <c r="X1465" s="33" t="e">
        <f ca="1"/>
        <v>#REF!</v>
      </c>
      <c r="Y1465" s="33" t="e">
        <f ca="1"/>
        <v>#REF!</v>
      </c>
      <c r="Z1465" s="33" t="e">
        <f ca="1"/>
        <v>#REF!</v>
      </c>
      <c r="AA1465" s="33" t="e">
        <f ca="1"/>
        <v>#REF!</v>
      </c>
    </row>
    <row r="1466" spans="1:27" s="70" customFormat="1" ht="11.25" x14ac:dyDescent="0.2">
      <c r="A1466" s="24">
        <v>1460</v>
      </c>
      <c r="B1466" s="24"/>
      <c r="C1466" s="25"/>
      <c r="D1466" s="26"/>
      <c r="E1466" s="25"/>
      <c r="F1466" s="25"/>
      <c r="G1466" s="24"/>
      <c r="H1466" s="28" t="e">
        <f ca="1"/>
        <v>#REF!</v>
      </c>
      <c r="I1466" s="27" t="e">
        <f ca="1"/>
        <v>#REF!</v>
      </c>
      <c r="J1466" s="28" t="e">
        <f ca="1"/>
        <v>#REF!</v>
      </c>
      <c r="K1466" s="27" t="e">
        <f ca="1"/>
        <v>#REF!</v>
      </c>
      <c r="L1466" s="25" t="e">
        <f ca="1"/>
        <v>#REF!</v>
      </c>
      <c r="M1466" s="25" t="e">
        <f ca="1"/>
        <v>#REF!</v>
      </c>
      <c r="N1466" s="25" t="e">
        <f ca="1"/>
        <v>#REF!</v>
      </c>
      <c r="O1466" s="25" t="e">
        <f ca="1"/>
        <v>#REF!</v>
      </c>
      <c r="P1466" s="25" t="e">
        <f ca="1"/>
        <v>#REF!</v>
      </c>
      <c r="Q1466" s="25" t="e">
        <f ca="1"/>
        <v>#REF!</v>
      </c>
      <c r="R1466" s="25" t="e">
        <f ca="1"/>
        <v>#REF!</v>
      </c>
      <c r="S1466" s="25" t="e">
        <f ca="1"/>
        <v>#REF!</v>
      </c>
      <c r="T1466" s="25" t="e">
        <f ca="1"/>
        <v>#REF!</v>
      </c>
      <c r="U1466" s="25" t="e">
        <f ca="1"/>
        <v>#REF!</v>
      </c>
      <c r="V1466" s="25" t="e">
        <f ca="1"/>
        <v>#REF!</v>
      </c>
      <c r="W1466" s="33" t="e">
        <f ca="1"/>
        <v>#REF!</v>
      </c>
      <c r="X1466" s="33" t="e">
        <f ca="1"/>
        <v>#REF!</v>
      </c>
      <c r="Y1466" s="33" t="e">
        <f ca="1"/>
        <v>#REF!</v>
      </c>
      <c r="Z1466" s="33" t="e">
        <f ca="1"/>
        <v>#REF!</v>
      </c>
      <c r="AA1466" s="33" t="e">
        <f ca="1"/>
        <v>#REF!</v>
      </c>
    </row>
    <row r="1467" spans="1:27" s="70" customFormat="1" ht="11.25" x14ac:dyDescent="0.2">
      <c r="A1467" s="24">
        <v>1461</v>
      </c>
      <c r="B1467" s="24"/>
      <c r="C1467" s="25"/>
      <c r="D1467" s="26"/>
      <c r="E1467" s="25"/>
      <c r="F1467" s="25"/>
      <c r="G1467" s="24"/>
      <c r="H1467" s="28" t="e">
        <f ca="1"/>
        <v>#REF!</v>
      </c>
      <c r="I1467" s="27" t="e">
        <f ca="1"/>
        <v>#REF!</v>
      </c>
      <c r="J1467" s="28" t="e">
        <f ca="1"/>
        <v>#REF!</v>
      </c>
      <c r="K1467" s="27" t="e">
        <f ca="1"/>
        <v>#REF!</v>
      </c>
      <c r="L1467" s="25" t="e">
        <f ca="1"/>
        <v>#REF!</v>
      </c>
      <c r="M1467" s="25" t="e">
        <f ca="1"/>
        <v>#REF!</v>
      </c>
      <c r="N1467" s="25" t="e">
        <f ca="1"/>
        <v>#REF!</v>
      </c>
      <c r="O1467" s="25" t="e">
        <f ca="1"/>
        <v>#REF!</v>
      </c>
      <c r="P1467" s="25" t="e">
        <f ca="1"/>
        <v>#REF!</v>
      </c>
      <c r="Q1467" s="25" t="e">
        <f ca="1"/>
        <v>#REF!</v>
      </c>
      <c r="R1467" s="25" t="e">
        <f ca="1"/>
        <v>#REF!</v>
      </c>
      <c r="S1467" s="25" t="e">
        <f ca="1"/>
        <v>#REF!</v>
      </c>
      <c r="T1467" s="25" t="e">
        <f ca="1"/>
        <v>#REF!</v>
      </c>
      <c r="U1467" s="25" t="e">
        <f ca="1"/>
        <v>#REF!</v>
      </c>
      <c r="V1467" s="25" t="e">
        <f ca="1"/>
        <v>#REF!</v>
      </c>
      <c r="W1467" s="33" t="e">
        <f ca="1"/>
        <v>#REF!</v>
      </c>
      <c r="X1467" s="33" t="e">
        <f ca="1"/>
        <v>#REF!</v>
      </c>
      <c r="Y1467" s="33" t="e">
        <f ca="1"/>
        <v>#REF!</v>
      </c>
      <c r="Z1467" s="33" t="e">
        <f ca="1"/>
        <v>#REF!</v>
      </c>
      <c r="AA1467" s="33" t="e">
        <f ca="1"/>
        <v>#REF!</v>
      </c>
    </row>
    <row r="1468" spans="1:27" s="70" customFormat="1" ht="11.25" x14ac:dyDescent="0.2">
      <c r="A1468" s="24">
        <v>1462</v>
      </c>
      <c r="B1468" s="24"/>
      <c r="C1468" s="25"/>
      <c r="D1468" s="26"/>
      <c r="E1468" s="25"/>
      <c r="F1468" s="25"/>
      <c r="G1468" s="24"/>
      <c r="H1468" s="28" t="e">
        <f ca="1"/>
        <v>#REF!</v>
      </c>
      <c r="I1468" s="27" t="e">
        <f ca="1"/>
        <v>#REF!</v>
      </c>
      <c r="J1468" s="28" t="e">
        <f ca="1"/>
        <v>#REF!</v>
      </c>
      <c r="K1468" s="27" t="e">
        <f ca="1"/>
        <v>#REF!</v>
      </c>
      <c r="L1468" s="25" t="e">
        <f ca="1"/>
        <v>#REF!</v>
      </c>
      <c r="M1468" s="25" t="e">
        <f ca="1"/>
        <v>#REF!</v>
      </c>
      <c r="N1468" s="25" t="e">
        <f ca="1"/>
        <v>#REF!</v>
      </c>
      <c r="O1468" s="25" t="e">
        <f ca="1"/>
        <v>#REF!</v>
      </c>
      <c r="P1468" s="25" t="e">
        <f ca="1"/>
        <v>#REF!</v>
      </c>
      <c r="Q1468" s="25" t="e">
        <f ca="1"/>
        <v>#REF!</v>
      </c>
      <c r="R1468" s="25" t="e">
        <f ca="1"/>
        <v>#REF!</v>
      </c>
      <c r="S1468" s="25" t="e">
        <f ca="1"/>
        <v>#REF!</v>
      </c>
      <c r="T1468" s="25" t="e">
        <f ca="1"/>
        <v>#REF!</v>
      </c>
      <c r="U1468" s="25" t="e">
        <f ca="1"/>
        <v>#REF!</v>
      </c>
      <c r="V1468" s="25" t="e">
        <f ca="1"/>
        <v>#REF!</v>
      </c>
      <c r="W1468" s="33" t="e">
        <f ca="1"/>
        <v>#REF!</v>
      </c>
      <c r="X1468" s="33" t="e">
        <f ca="1"/>
        <v>#REF!</v>
      </c>
      <c r="Y1468" s="33" t="e">
        <f ca="1"/>
        <v>#REF!</v>
      </c>
      <c r="Z1468" s="33" t="e">
        <f ca="1"/>
        <v>#REF!</v>
      </c>
      <c r="AA1468" s="33" t="e">
        <f ca="1"/>
        <v>#REF!</v>
      </c>
    </row>
    <row r="1469" spans="1:27" s="70" customFormat="1" ht="11.25" x14ac:dyDescent="0.2">
      <c r="A1469" s="24">
        <v>1463</v>
      </c>
      <c r="B1469" s="24"/>
      <c r="C1469" s="25"/>
      <c r="D1469" s="26"/>
      <c r="E1469" s="25"/>
      <c r="F1469" s="25"/>
      <c r="G1469" s="24"/>
      <c r="H1469" s="28" t="e">
        <f ca="1"/>
        <v>#REF!</v>
      </c>
      <c r="I1469" s="27" t="e">
        <f ca="1"/>
        <v>#REF!</v>
      </c>
      <c r="J1469" s="28" t="e">
        <f ca="1"/>
        <v>#REF!</v>
      </c>
      <c r="K1469" s="27" t="e">
        <f ca="1"/>
        <v>#REF!</v>
      </c>
      <c r="L1469" s="25" t="e">
        <f ca="1"/>
        <v>#REF!</v>
      </c>
      <c r="M1469" s="25" t="e">
        <f ca="1"/>
        <v>#REF!</v>
      </c>
      <c r="N1469" s="25" t="e">
        <f ca="1"/>
        <v>#REF!</v>
      </c>
      <c r="O1469" s="25" t="e">
        <f ca="1"/>
        <v>#REF!</v>
      </c>
      <c r="P1469" s="25" t="e">
        <f ca="1"/>
        <v>#REF!</v>
      </c>
      <c r="Q1469" s="25" t="e">
        <f ca="1"/>
        <v>#REF!</v>
      </c>
      <c r="R1469" s="25" t="e">
        <f ca="1"/>
        <v>#REF!</v>
      </c>
      <c r="S1469" s="25" t="e">
        <f ca="1"/>
        <v>#REF!</v>
      </c>
      <c r="T1469" s="25" t="e">
        <f ca="1"/>
        <v>#REF!</v>
      </c>
      <c r="U1469" s="25" t="e">
        <f ca="1"/>
        <v>#REF!</v>
      </c>
      <c r="V1469" s="25" t="e">
        <f ca="1"/>
        <v>#REF!</v>
      </c>
      <c r="W1469" s="33" t="e">
        <f ca="1"/>
        <v>#REF!</v>
      </c>
      <c r="X1469" s="33" t="e">
        <f ca="1"/>
        <v>#REF!</v>
      </c>
      <c r="Y1469" s="33" t="e">
        <f ca="1"/>
        <v>#REF!</v>
      </c>
      <c r="Z1469" s="33" t="e">
        <f ca="1"/>
        <v>#REF!</v>
      </c>
      <c r="AA1469" s="33" t="e">
        <f ca="1"/>
        <v>#REF!</v>
      </c>
    </row>
    <row r="1470" spans="1:27" s="70" customFormat="1" ht="11.25" x14ac:dyDescent="0.2">
      <c r="A1470" s="24">
        <v>1464</v>
      </c>
      <c r="B1470" s="24"/>
      <c r="C1470" s="25"/>
      <c r="D1470" s="26"/>
      <c r="E1470" s="25"/>
      <c r="F1470" s="25"/>
      <c r="G1470" s="24"/>
      <c r="H1470" s="28" t="e">
        <f ca="1"/>
        <v>#REF!</v>
      </c>
      <c r="I1470" s="27" t="e">
        <f ca="1"/>
        <v>#REF!</v>
      </c>
      <c r="J1470" s="28" t="e">
        <f ca="1"/>
        <v>#REF!</v>
      </c>
      <c r="K1470" s="27" t="e">
        <f ca="1"/>
        <v>#REF!</v>
      </c>
      <c r="L1470" s="25" t="e">
        <f ca="1"/>
        <v>#REF!</v>
      </c>
      <c r="M1470" s="25" t="e">
        <f ca="1"/>
        <v>#REF!</v>
      </c>
      <c r="N1470" s="25" t="e">
        <f ca="1"/>
        <v>#REF!</v>
      </c>
      <c r="O1470" s="25" t="e">
        <f ca="1"/>
        <v>#REF!</v>
      </c>
      <c r="P1470" s="25" t="e">
        <f ca="1"/>
        <v>#REF!</v>
      </c>
      <c r="Q1470" s="25" t="e">
        <f ca="1"/>
        <v>#REF!</v>
      </c>
      <c r="R1470" s="25" t="e">
        <f ca="1"/>
        <v>#REF!</v>
      </c>
      <c r="S1470" s="25" t="e">
        <f ca="1"/>
        <v>#REF!</v>
      </c>
      <c r="T1470" s="25" t="e">
        <f ca="1"/>
        <v>#REF!</v>
      </c>
      <c r="U1470" s="25" t="e">
        <f ca="1"/>
        <v>#REF!</v>
      </c>
      <c r="V1470" s="25" t="e">
        <f ca="1"/>
        <v>#REF!</v>
      </c>
      <c r="W1470" s="33" t="e">
        <f ca="1"/>
        <v>#REF!</v>
      </c>
      <c r="X1470" s="33" t="e">
        <f ca="1"/>
        <v>#REF!</v>
      </c>
      <c r="Y1470" s="33" t="e">
        <f ca="1"/>
        <v>#REF!</v>
      </c>
      <c r="Z1470" s="33" t="e">
        <f ca="1"/>
        <v>#REF!</v>
      </c>
      <c r="AA1470" s="33" t="e">
        <f ca="1"/>
        <v>#REF!</v>
      </c>
    </row>
    <row r="1471" spans="1:27" s="70" customFormat="1" ht="11.25" x14ac:dyDescent="0.2">
      <c r="A1471" s="24">
        <v>1465</v>
      </c>
      <c r="B1471" s="24"/>
      <c r="C1471" s="25"/>
      <c r="D1471" s="26"/>
      <c r="E1471" s="25"/>
      <c r="F1471" s="25"/>
      <c r="G1471" s="24"/>
      <c r="H1471" s="28" t="e">
        <f ca="1"/>
        <v>#REF!</v>
      </c>
      <c r="I1471" s="27" t="e">
        <f ca="1"/>
        <v>#REF!</v>
      </c>
      <c r="J1471" s="28" t="e">
        <f ca="1"/>
        <v>#REF!</v>
      </c>
      <c r="K1471" s="27" t="e">
        <f ca="1"/>
        <v>#REF!</v>
      </c>
      <c r="L1471" s="25" t="e">
        <f ca="1"/>
        <v>#REF!</v>
      </c>
      <c r="M1471" s="25" t="e">
        <f ca="1"/>
        <v>#REF!</v>
      </c>
      <c r="N1471" s="25" t="e">
        <f ca="1"/>
        <v>#REF!</v>
      </c>
      <c r="O1471" s="25" t="e">
        <f ca="1"/>
        <v>#REF!</v>
      </c>
      <c r="P1471" s="25" t="e">
        <f ca="1"/>
        <v>#REF!</v>
      </c>
      <c r="Q1471" s="25" t="e">
        <f ca="1"/>
        <v>#REF!</v>
      </c>
      <c r="R1471" s="25" t="e">
        <f ca="1"/>
        <v>#REF!</v>
      </c>
      <c r="S1471" s="25" t="e">
        <f ca="1"/>
        <v>#REF!</v>
      </c>
      <c r="T1471" s="25" t="e">
        <f ca="1"/>
        <v>#REF!</v>
      </c>
      <c r="U1471" s="25" t="e">
        <f ca="1"/>
        <v>#REF!</v>
      </c>
      <c r="V1471" s="25" t="e">
        <f ca="1"/>
        <v>#REF!</v>
      </c>
      <c r="W1471" s="33" t="e">
        <f ca="1"/>
        <v>#REF!</v>
      </c>
      <c r="X1471" s="33" t="e">
        <f ca="1"/>
        <v>#REF!</v>
      </c>
      <c r="Y1471" s="33" t="e">
        <f ca="1"/>
        <v>#REF!</v>
      </c>
      <c r="Z1471" s="33" t="e">
        <f ca="1"/>
        <v>#REF!</v>
      </c>
      <c r="AA1471" s="33" t="e">
        <f ca="1"/>
        <v>#REF!</v>
      </c>
    </row>
    <row r="1472" spans="1:27" s="70" customFormat="1" ht="11.25" x14ac:dyDescent="0.2">
      <c r="A1472" s="24">
        <v>1466</v>
      </c>
      <c r="B1472" s="24"/>
      <c r="C1472" s="25"/>
      <c r="D1472" s="26"/>
      <c r="E1472" s="25"/>
      <c r="F1472" s="25"/>
      <c r="G1472" s="24"/>
      <c r="H1472" s="28" t="e">
        <f ca="1"/>
        <v>#REF!</v>
      </c>
      <c r="I1472" s="27" t="e">
        <f ca="1"/>
        <v>#REF!</v>
      </c>
      <c r="J1472" s="28" t="e">
        <f ca="1"/>
        <v>#REF!</v>
      </c>
      <c r="K1472" s="27" t="e">
        <f ca="1"/>
        <v>#REF!</v>
      </c>
      <c r="L1472" s="25" t="e">
        <f ca="1"/>
        <v>#REF!</v>
      </c>
      <c r="M1472" s="25" t="e">
        <f ca="1"/>
        <v>#REF!</v>
      </c>
      <c r="N1472" s="25" t="e">
        <f ca="1"/>
        <v>#REF!</v>
      </c>
      <c r="O1472" s="25" t="e">
        <f ca="1"/>
        <v>#REF!</v>
      </c>
      <c r="P1472" s="25" t="e">
        <f ca="1"/>
        <v>#REF!</v>
      </c>
      <c r="Q1472" s="25" t="e">
        <f ca="1"/>
        <v>#REF!</v>
      </c>
      <c r="R1472" s="25" t="e">
        <f ca="1"/>
        <v>#REF!</v>
      </c>
      <c r="S1472" s="25" t="e">
        <f ca="1"/>
        <v>#REF!</v>
      </c>
      <c r="T1472" s="25" t="e">
        <f ca="1"/>
        <v>#REF!</v>
      </c>
      <c r="U1472" s="25" t="e">
        <f ca="1"/>
        <v>#REF!</v>
      </c>
      <c r="V1472" s="25" t="e">
        <f ca="1"/>
        <v>#REF!</v>
      </c>
      <c r="W1472" s="33" t="e">
        <f ca="1"/>
        <v>#REF!</v>
      </c>
      <c r="X1472" s="33" t="e">
        <f ca="1"/>
        <v>#REF!</v>
      </c>
      <c r="Y1472" s="33" t="e">
        <f ca="1"/>
        <v>#REF!</v>
      </c>
      <c r="Z1472" s="33" t="e">
        <f ca="1"/>
        <v>#REF!</v>
      </c>
      <c r="AA1472" s="33" t="e">
        <f ca="1"/>
        <v>#REF!</v>
      </c>
    </row>
    <row r="1473" spans="1:27" s="70" customFormat="1" ht="11.25" x14ac:dyDescent="0.2">
      <c r="A1473" s="24">
        <v>1467</v>
      </c>
      <c r="B1473" s="24"/>
      <c r="C1473" s="25"/>
      <c r="D1473" s="26"/>
      <c r="E1473" s="25"/>
      <c r="F1473" s="25"/>
      <c r="G1473" s="24"/>
      <c r="H1473" s="28" t="e">
        <f ca="1"/>
        <v>#REF!</v>
      </c>
      <c r="I1473" s="27" t="e">
        <f ca="1"/>
        <v>#REF!</v>
      </c>
      <c r="J1473" s="28" t="e">
        <f ca="1"/>
        <v>#REF!</v>
      </c>
      <c r="K1473" s="27" t="e">
        <f ca="1"/>
        <v>#REF!</v>
      </c>
      <c r="L1473" s="25" t="e">
        <f ca="1"/>
        <v>#REF!</v>
      </c>
      <c r="M1473" s="25" t="e">
        <f ca="1"/>
        <v>#REF!</v>
      </c>
      <c r="N1473" s="25" t="e">
        <f ca="1"/>
        <v>#REF!</v>
      </c>
      <c r="O1473" s="25" t="e">
        <f ca="1"/>
        <v>#REF!</v>
      </c>
      <c r="P1473" s="25" t="e">
        <f ca="1"/>
        <v>#REF!</v>
      </c>
      <c r="Q1473" s="25" t="e">
        <f ca="1"/>
        <v>#REF!</v>
      </c>
      <c r="R1473" s="25" t="e">
        <f ca="1"/>
        <v>#REF!</v>
      </c>
      <c r="S1473" s="25" t="e">
        <f ca="1"/>
        <v>#REF!</v>
      </c>
      <c r="T1473" s="25" t="e">
        <f ca="1"/>
        <v>#REF!</v>
      </c>
      <c r="U1473" s="25" t="e">
        <f ca="1"/>
        <v>#REF!</v>
      </c>
      <c r="V1473" s="25" t="e">
        <f ca="1"/>
        <v>#REF!</v>
      </c>
      <c r="W1473" s="33" t="e">
        <f ca="1"/>
        <v>#REF!</v>
      </c>
      <c r="X1473" s="33" t="e">
        <f ca="1"/>
        <v>#REF!</v>
      </c>
      <c r="Y1473" s="33" t="e">
        <f ca="1"/>
        <v>#REF!</v>
      </c>
      <c r="Z1473" s="33" t="e">
        <f ca="1"/>
        <v>#REF!</v>
      </c>
      <c r="AA1473" s="33" t="e">
        <f ca="1"/>
        <v>#REF!</v>
      </c>
    </row>
    <row r="1474" spans="1:27" s="70" customFormat="1" ht="11.25" x14ac:dyDescent="0.2">
      <c r="A1474" s="24">
        <v>1468</v>
      </c>
      <c r="B1474" s="24"/>
      <c r="C1474" s="25"/>
      <c r="D1474" s="26"/>
      <c r="E1474" s="25"/>
      <c r="F1474" s="25"/>
      <c r="G1474" s="24"/>
      <c r="H1474" s="28" t="e">
        <f ca="1"/>
        <v>#REF!</v>
      </c>
      <c r="I1474" s="27" t="e">
        <f ca="1"/>
        <v>#REF!</v>
      </c>
      <c r="J1474" s="28" t="e">
        <f ca="1"/>
        <v>#REF!</v>
      </c>
      <c r="K1474" s="27" t="e">
        <f ca="1"/>
        <v>#REF!</v>
      </c>
      <c r="L1474" s="25" t="e">
        <f ca="1"/>
        <v>#REF!</v>
      </c>
      <c r="M1474" s="25" t="e">
        <f ca="1"/>
        <v>#REF!</v>
      </c>
      <c r="N1474" s="25" t="e">
        <f ca="1"/>
        <v>#REF!</v>
      </c>
      <c r="O1474" s="25" t="e">
        <f ca="1"/>
        <v>#REF!</v>
      </c>
      <c r="P1474" s="25" t="e">
        <f ca="1"/>
        <v>#REF!</v>
      </c>
      <c r="Q1474" s="25" t="e">
        <f ca="1"/>
        <v>#REF!</v>
      </c>
      <c r="R1474" s="25" t="e">
        <f ca="1"/>
        <v>#REF!</v>
      </c>
      <c r="S1474" s="25" t="e">
        <f ca="1"/>
        <v>#REF!</v>
      </c>
      <c r="T1474" s="25" t="e">
        <f ca="1"/>
        <v>#REF!</v>
      </c>
      <c r="U1474" s="25" t="e">
        <f ca="1"/>
        <v>#REF!</v>
      </c>
      <c r="V1474" s="25" t="e">
        <f ca="1"/>
        <v>#REF!</v>
      </c>
      <c r="W1474" s="33" t="e">
        <f ca="1"/>
        <v>#REF!</v>
      </c>
      <c r="X1474" s="33" t="e">
        <f ca="1"/>
        <v>#REF!</v>
      </c>
      <c r="Y1474" s="33" t="e">
        <f ca="1"/>
        <v>#REF!</v>
      </c>
      <c r="Z1474" s="33" t="e">
        <f ca="1"/>
        <v>#REF!</v>
      </c>
      <c r="AA1474" s="33" t="e">
        <f ca="1"/>
        <v>#REF!</v>
      </c>
    </row>
    <row r="1475" spans="1:27" s="70" customFormat="1" ht="11.25" x14ac:dyDescent="0.2">
      <c r="A1475" s="24">
        <v>1469</v>
      </c>
      <c r="B1475" s="24"/>
      <c r="C1475" s="25"/>
      <c r="D1475" s="26"/>
      <c r="E1475" s="25"/>
      <c r="F1475" s="25"/>
      <c r="G1475" s="24"/>
      <c r="H1475" s="28" t="e">
        <f ca="1"/>
        <v>#REF!</v>
      </c>
      <c r="I1475" s="27" t="e">
        <f ca="1"/>
        <v>#REF!</v>
      </c>
      <c r="J1475" s="28" t="e">
        <f ca="1"/>
        <v>#REF!</v>
      </c>
      <c r="K1475" s="27" t="e">
        <f ca="1"/>
        <v>#REF!</v>
      </c>
      <c r="L1475" s="25" t="e">
        <f ca="1"/>
        <v>#REF!</v>
      </c>
      <c r="M1475" s="25" t="e">
        <f ca="1"/>
        <v>#REF!</v>
      </c>
      <c r="N1475" s="25" t="e">
        <f ca="1"/>
        <v>#REF!</v>
      </c>
      <c r="O1475" s="25" t="e">
        <f ca="1"/>
        <v>#REF!</v>
      </c>
      <c r="P1475" s="25" t="e">
        <f ca="1"/>
        <v>#REF!</v>
      </c>
      <c r="Q1475" s="25" t="e">
        <f ca="1"/>
        <v>#REF!</v>
      </c>
      <c r="R1475" s="25" t="e">
        <f ca="1"/>
        <v>#REF!</v>
      </c>
      <c r="S1475" s="25" t="e">
        <f ca="1"/>
        <v>#REF!</v>
      </c>
      <c r="T1475" s="25" t="e">
        <f ca="1"/>
        <v>#REF!</v>
      </c>
      <c r="U1475" s="25" t="e">
        <f ca="1"/>
        <v>#REF!</v>
      </c>
      <c r="V1475" s="25" t="e">
        <f ca="1"/>
        <v>#REF!</v>
      </c>
      <c r="W1475" s="33" t="e">
        <f ca="1"/>
        <v>#REF!</v>
      </c>
      <c r="X1475" s="33" t="e">
        <f ca="1"/>
        <v>#REF!</v>
      </c>
      <c r="Y1475" s="33" t="e">
        <f ca="1"/>
        <v>#REF!</v>
      </c>
      <c r="Z1475" s="33" t="e">
        <f ca="1"/>
        <v>#REF!</v>
      </c>
      <c r="AA1475" s="33" t="e">
        <f ca="1"/>
        <v>#REF!</v>
      </c>
    </row>
    <row r="1476" spans="1:27" s="70" customFormat="1" ht="11.25" x14ac:dyDescent="0.2">
      <c r="A1476" s="24">
        <v>1470</v>
      </c>
      <c r="B1476" s="24"/>
      <c r="C1476" s="25"/>
      <c r="D1476" s="26"/>
      <c r="E1476" s="25"/>
      <c r="F1476" s="25"/>
      <c r="G1476" s="24"/>
      <c r="H1476" s="28" t="e">
        <f ca="1"/>
        <v>#REF!</v>
      </c>
      <c r="I1476" s="27" t="e">
        <f ca="1"/>
        <v>#REF!</v>
      </c>
      <c r="J1476" s="28" t="e">
        <f ca="1"/>
        <v>#REF!</v>
      </c>
      <c r="K1476" s="27" t="e">
        <f ca="1"/>
        <v>#REF!</v>
      </c>
      <c r="L1476" s="25" t="e">
        <f ca="1"/>
        <v>#REF!</v>
      </c>
      <c r="M1476" s="25" t="e">
        <f ca="1"/>
        <v>#REF!</v>
      </c>
      <c r="N1476" s="25" t="e">
        <f ca="1"/>
        <v>#REF!</v>
      </c>
      <c r="O1476" s="25" t="e">
        <f ca="1"/>
        <v>#REF!</v>
      </c>
      <c r="P1476" s="25" t="e">
        <f ca="1"/>
        <v>#REF!</v>
      </c>
      <c r="Q1476" s="25" t="e">
        <f ca="1"/>
        <v>#REF!</v>
      </c>
      <c r="R1476" s="25" t="e">
        <f ca="1"/>
        <v>#REF!</v>
      </c>
      <c r="S1476" s="25" t="e">
        <f ca="1"/>
        <v>#REF!</v>
      </c>
      <c r="T1476" s="25" t="e">
        <f ca="1"/>
        <v>#REF!</v>
      </c>
      <c r="U1476" s="25" t="e">
        <f ca="1"/>
        <v>#REF!</v>
      </c>
      <c r="V1476" s="25" t="e">
        <f ca="1"/>
        <v>#REF!</v>
      </c>
      <c r="W1476" s="33" t="e">
        <f ca="1"/>
        <v>#REF!</v>
      </c>
      <c r="X1476" s="33" t="e">
        <f ca="1"/>
        <v>#REF!</v>
      </c>
      <c r="Y1476" s="33" t="e">
        <f ca="1"/>
        <v>#REF!</v>
      </c>
      <c r="Z1476" s="33" t="e">
        <f ca="1"/>
        <v>#REF!</v>
      </c>
      <c r="AA1476" s="33" t="e">
        <f ca="1"/>
        <v>#REF!</v>
      </c>
    </row>
    <row r="1477" spans="1:27" s="70" customFormat="1" ht="11.25" x14ac:dyDescent="0.2">
      <c r="A1477" s="24">
        <v>1471</v>
      </c>
      <c r="B1477" s="24"/>
      <c r="C1477" s="25"/>
      <c r="D1477" s="26"/>
      <c r="E1477" s="25"/>
      <c r="F1477" s="25"/>
      <c r="G1477" s="24"/>
      <c r="H1477" s="28" t="e">
        <f ca="1"/>
        <v>#REF!</v>
      </c>
      <c r="I1477" s="27" t="e">
        <f ca="1"/>
        <v>#REF!</v>
      </c>
      <c r="J1477" s="28" t="e">
        <f ca="1"/>
        <v>#REF!</v>
      </c>
      <c r="K1477" s="27" t="e">
        <f ca="1"/>
        <v>#REF!</v>
      </c>
      <c r="L1477" s="25" t="e">
        <f ca="1"/>
        <v>#REF!</v>
      </c>
      <c r="M1477" s="25" t="e">
        <f ca="1"/>
        <v>#REF!</v>
      </c>
      <c r="N1477" s="25" t="e">
        <f ca="1"/>
        <v>#REF!</v>
      </c>
      <c r="O1477" s="25" t="e">
        <f ca="1"/>
        <v>#REF!</v>
      </c>
      <c r="P1477" s="25" t="e">
        <f ca="1"/>
        <v>#REF!</v>
      </c>
      <c r="Q1477" s="25" t="e">
        <f ca="1"/>
        <v>#REF!</v>
      </c>
      <c r="R1477" s="25" t="e">
        <f ca="1"/>
        <v>#REF!</v>
      </c>
      <c r="S1477" s="25" t="e">
        <f ca="1"/>
        <v>#REF!</v>
      </c>
      <c r="T1477" s="25" t="e">
        <f ca="1"/>
        <v>#REF!</v>
      </c>
      <c r="U1477" s="25" t="e">
        <f ca="1"/>
        <v>#REF!</v>
      </c>
      <c r="V1477" s="25" t="e">
        <f ca="1"/>
        <v>#REF!</v>
      </c>
      <c r="W1477" s="33" t="e">
        <f ca="1"/>
        <v>#REF!</v>
      </c>
      <c r="X1477" s="33" t="e">
        <f ca="1"/>
        <v>#REF!</v>
      </c>
      <c r="Y1477" s="33" t="e">
        <f ca="1"/>
        <v>#REF!</v>
      </c>
      <c r="Z1477" s="33" t="e">
        <f ca="1"/>
        <v>#REF!</v>
      </c>
      <c r="AA1477" s="33" t="e">
        <f ca="1"/>
        <v>#REF!</v>
      </c>
    </row>
    <row r="1478" spans="1:27" s="70" customFormat="1" ht="11.25" x14ac:dyDescent="0.2">
      <c r="A1478" s="24">
        <v>1472</v>
      </c>
      <c r="B1478" s="24"/>
      <c r="C1478" s="25"/>
      <c r="D1478" s="26"/>
      <c r="E1478" s="25"/>
      <c r="F1478" s="25"/>
      <c r="G1478" s="24"/>
      <c r="H1478" s="28" t="e">
        <f ca="1"/>
        <v>#REF!</v>
      </c>
      <c r="I1478" s="27" t="e">
        <f ca="1"/>
        <v>#REF!</v>
      </c>
      <c r="J1478" s="28" t="e">
        <f ca="1"/>
        <v>#REF!</v>
      </c>
      <c r="K1478" s="27" t="e">
        <f ca="1"/>
        <v>#REF!</v>
      </c>
      <c r="L1478" s="25" t="e">
        <f ca="1"/>
        <v>#REF!</v>
      </c>
      <c r="M1478" s="25" t="e">
        <f ca="1"/>
        <v>#REF!</v>
      </c>
      <c r="N1478" s="25" t="e">
        <f ca="1"/>
        <v>#REF!</v>
      </c>
      <c r="O1478" s="25" t="e">
        <f ca="1"/>
        <v>#REF!</v>
      </c>
      <c r="P1478" s="25" t="e">
        <f ca="1"/>
        <v>#REF!</v>
      </c>
      <c r="Q1478" s="25" t="e">
        <f ca="1"/>
        <v>#REF!</v>
      </c>
      <c r="R1478" s="25" t="e">
        <f ca="1"/>
        <v>#REF!</v>
      </c>
      <c r="S1478" s="25" t="e">
        <f ca="1"/>
        <v>#REF!</v>
      </c>
      <c r="T1478" s="25" t="e">
        <f ca="1"/>
        <v>#REF!</v>
      </c>
      <c r="U1478" s="25" t="e">
        <f ca="1"/>
        <v>#REF!</v>
      </c>
      <c r="V1478" s="25" t="e">
        <f ca="1"/>
        <v>#REF!</v>
      </c>
      <c r="W1478" s="33" t="e">
        <f ca="1"/>
        <v>#REF!</v>
      </c>
      <c r="X1478" s="33" t="e">
        <f ca="1"/>
        <v>#REF!</v>
      </c>
      <c r="Y1478" s="33" t="e">
        <f ca="1"/>
        <v>#REF!</v>
      </c>
      <c r="Z1478" s="33" t="e">
        <f ca="1"/>
        <v>#REF!</v>
      </c>
      <c r="AA1478" s="33" t="e">
        <f ca="1"/>
        <v>#REF!</v>
      </c>
    </row>
    <row r="1479" spans="1:27" s="70" customFormat="1" ht="11.25" x14ac:dyDescent="0.2">
      <c r="A1479" s="24">
        <v>1473</v>
      </c>
      <c r="B1479" s="24"/>
      <c r="C1479" s="25"/>
      <c r="D1479" s="26"/>
      <c r="E1479" s="25"/>
      <c r="F1479" s="25"/>
      <c r="G1479" s="24"/>
      <c r="H1479" s="28" t="e">
        <f ca="1"/>
        <v>#REF!</v>
      </c>
      <c r="I1479" s="27" t="e">
        <f ca="1"/>
        <v>#REF!</v>
      </c>
      <c r="J1479" s="28" t="e">
        <f ca="1"/>
        <v>#REF!</v>
      </c>
      <c r="K1479" s="27" t="e">
        <f ca="1"/>
        <v>#REF!</v>
      </c>
      <c r="L1479" s="25" t="e">
        <f ca="1"/>
        <v>#REF!</v>
      </c>
      <c r="M1479" s="25" t="e">
        <f ca="1"/>
        <v>#REF!</v>
      </c>
      <c r="N1479" s="25" t="e">
        <f ca="1"/>
        <v>#REF!</v>
      </c>
      <c r="O1479" s="25" t="e">
        <f ca="1"/>
        <v>#REF!</v>
      </c>
      <c r="P1479" s="25" t="e">
        <f ca="1"/>
        <v>#REF!</v>
      </c>
      <c r="Q1479" s="25" t="e">
        <f ca="1"/>
        <v>#REF!</v>
      </c>
      <c r="R1479" s="25" t="e">
        <f ca="1"/>
        <v>#REF!</v>
      </c>
      <c r="S1479" s="25" t="e">
        <f ca="1"/>
        <v>#REF!</v>
      </c>
      <c r="T1479" s="25" t="e">
        <f ca="1"/>
        <v>#REF!</v>
      </c>
      <c r="U1479" s="25" t="e">
        <f ca="1"/>
        <v>#REF!</v>
      </c>
      <c r="V1479" s="25" t="e">
        <f ca="1"/>
        <v>#REF!</v>
      </c>
      <c r="W1479" s="33" t="e">
        <f ca="1"/>
        <v>#REF!</v>
      </c>
      <c r="X1479" s="33" t="e">
        <f ca="1"/>
        <v>#REF!</v>
      </c>
      <c r="Y1479" s="33" t="e">
        <f ca="1"/>
        <v>#REF!</v>
      </c>
      <c r="Z1479" s="33" t="e">
        <f ca="1"/>
        <v>#REF!</v>
      </c>
      <c r="AA1479" s="33" t="e">
        <f ca="1"/>
        <v>#REF!</v>
      </c>
    </row>
    <row r="1480" spans="1:27" s="70" customFormat="1" ht="11.25" x14ac:dyDescent="0.2">
      <c r="A1480" s="24">
        <v>1474</v>
      </c>
      <c r="B1480" s="24"/>
      <c r="C1480" s="25"/>
      <c r="D1480" s="26"/>
      <c r="E1480" s="25"/>
      <c r="F1480" s="25"/>
      <c r="G1480" s="24"/>
      <c r="H1480" s="28" t="e">
        <f ca="1"/>
        <v>#REF!</v>
      </c>
      <c r="I1480" s="27" t="e">
        <f ca="1"/>
        <v>#REF!</v>
      </c>
      <c r="J1480" s="28" t="e">
        <f ca="1"/>
        <v>#REF!</v>
      </c>
      <c r="K1480" s="27" t="e">
        <f ca="1"/>
        <v>#REF!</v>
      </c>
      <c r="L1480" s="25" t="e">
        <f ca="1"/>
        <v>#REF!</v>
      </c>
      <c r="M1480" s="25" t="e">
        <f ca="1"/>
        <v>#REF!</v>
      </c>
      <c r="N1480" s="25" t="e">
        <f ca="1"/>
        <v>#REF!</v>
      </c>
      <c r="O1480" s="25" t="e">
        <f ca="1"/>
        <v>#REF!</v>
      </c>
      <c r="P1480" s="25" t="e">
        <f ca="1"/>
        <v>#REF!</v>
      </c>
      <c r="Q1480" s="25" t="e">
        <f ca="1"/>
        <v>#REF!</v>
      </c>
      <c r="R1480" s="25" t="e">
        <f ca="1"/>
        <v>#REF!</v>
      </c>
      <c r="S1480" s="25" t="e">
        <f ca="1"/>
        <v>#REF!</v>
      </c>
      <c r="T1480" s="25" t="e">
        <f ca="1"/>
        <v>#REF!</v>
      </c>
      <c r="U1480" s="25" t="e">
        <f ca="1"/>
        <v>#REF!</v>
      </c>
      <c r="V1480" s="25" t="e">
        <f ca="1"/>
        <v>#REF!</v>
      </c>
      <c r="W1480" s="33" t="e">
        <f ca="1"/>
        <v>#REF!</v>
      </c>
      <c r="X1480" s="33" t="e">
        <f ca="1"/>
        <v>#REF!</v>
      </c>
      <c r="Y1480" s="33" t="e">
        <f ca="1"/>
        <v>#REF!</v>
      </c>
      <c r="Z1480" s="33" t="e">
        <f ca="1"/>
        <v>#REF!</v>
      </c>
      <c r="AA1480" s="33" t="e">
        <f ca="1"/>
        <v>#REF!</v>
      </c>
    </row>
    <row r="1481" spans="1:27" s="70" customFormat="1" ht="11.25" x14ac:dyDescent="0.2">
      <c r="A1481" s="24">
        <v>1475</v>
      </c>
      <c r="B1481" s="24"/>
      <c r="C1481" s="25"/>
      <c r="D1481" s="26"/>
      <c r="E1481" s="25"/>
      <c r="F1481" s="25"/>
      <c r="G1481" s="24"/>
      <c r="H1481" s="28" t="e">
        <f ca="1"/>
        <v>#REF!</v>
      </c>
      <c r="I1481" s="27" t="e">
        <f ca="1"/>
        <v>#REF!</v>
      </c>
      <c r="J1481" s="28" t="e">
        <f ca="1"/>
        <v>#REF!</v>
      </c>
      <c r="K1481" s="27" t="e">
        <f ca="1"/>
        <v>#REF!</v>
      </c>
      <c r="L1481" s="25" t="e">
        <f ca="1"/>
        <v>#REF!</v>
      </c>
      <c r="M1481" s="25" t="e">
        <f ca="1"/>
        <v>#REF!</v>
      </c>
      <c r="N1481" s="25" t="e">
        <f ca="1"/>
        <v>#REF!</v>
      </c>
      <c r="O1481" s="25" t="e">
        <f ca="1"/>
        <v>#REF!</v>
      </c>
      <c r="P1481" s="25" t="e">
        <f ca="1"/>
        <v>#REF!</v>
      </c>
      <c r="Q1481" s="25" t="e">
        <f ca="1"/>
        <v>#REF!</v>
      </c>
      <c r="R1481" s="25" t="e">
        <f ca="1"/>
        <v>#REF!</v>
      </c>
      <c r="S1481" s="25" t="e">
        <f ca="1"/>
        <v>#REF!</v>
      </c>
      <c r="T1481" s="25" t="e">
        <f ca="1"/>
        <v>#REF!</v>
      </c>
      <c r="U1481" s="25" t="e">
        <f ca="1"/>
        <v>#REF!</v>
      </c>
      <c r="V1481" s="25" t="e">
        <f ca="1"/>
        <v>#REF!</v>
      </c>
      <c r="W1481" s="33" t="e">
        <f ca="1"/>
        <v>#REF!</v>
      </c>
      <c r="X1481" s="33" t="e">
        <f ca="1"/>
        <v>#REF!</v>
      </c>
      <c r="Y1481" s="33" t="e">
        <f ca="1"/>
        <v>#REF!</v>
      </c>
      <c r="Z1481" s="33" t="e">
        <f ca="1"/>
        <v>#REF!</v>
      </c>
      <c r="AA1481" s="33" t="e">
        <f ca="1"/>
        <v>#REF!</v>
      </c>
    </row>
    <row r="1482" spans="1:27" s="70" customFormat="1" ht="11.25" x14ac:dyDescent="0.2">
      <c r="A1482" s="24">
        <v>1476</v>
      </c>
      <c r="B1482" s="24"/>
      <c r="C1482" s="25"/>
      <c r="D1482" s="26"/>
      <c r="E1482" s="25"/>
      <c r="F1482" s="25"/>
      <c r="G1482" s="24"/>
      <c r="H1482" s="28" t="e">
        <f ca="1"/>
        <v>#REF!</v>
      </c>
      <c r="I1482" s="27" t="e">
        <f ca="1"/>
        <v>#REF!</v>
      </c>
      <c r="J1482" s="28" t="e">
        <f ca="1"/>
        <v>#REF!</v>
      </c>
      <c r="K1482" s="27" t="e">
        <f ca="1"/>
        <v>#REF!</v>
      </c>
      <c r="L1482" s="25" t="e">
        <f ca="1"/>
        <v>#REF!</v>
      </c>
      <c r="M1482" s="25" t="e">
        <f ca="1"/>
        <v>#REF!</v>
      </c>
      <c r="N1482" s="25" t="e">
        <f ca="1"/>
        <v>#REF!</v>
      </c>
      <c r="O1482" s="25" t="e">
        <f ca="1"/>
        <v>#REF!</v>
      </c>
      <c r="P1482" s="25" t="e">
        <f ca="1"/>
        <v>#REF!</v>
      </c>
      <c r="Q1482" s="25" t="e">
        <f ca="1"/>
        <v>#REF!</v>
      </c>
      <c r="R1482" s="25" t="e">
        <f ca="1"/>
        <v>#REF!</v>
      </c>
      <c r="S1482" s="25" t="e">
        <f ca="1"/>
        <v>#REF!</v>
      </c>
      <c r="T1482" s="25" t="e">
        <f ca="1"/>
        <v>#REF!</v>
      </c>
      <c r="U1482" s="25" t="e">
        <f ca="1"/>
        <v>#REF!</v>
      </c>
      <c r="V1482" s="25" t="e">
        <f ca="1"/>
        <v>#REF!</v>
      </c>
      <c r="W1482" s="33" t="e">
        <f ca="1"/>
        <v>#REF!</v>
      </c>
      <c r="X1482" s="33" t="e">
        <f ca="1"/>
        <v>#REF!</v>
      </c>
      <c r="Y1482" s="33" t="e">
        <f ca="1"/>
        <v>#REF!</v>
      </c>
      <c r="Z1482" s="33" t="e">
        <f ca="1"/>
        <v>#REF!</v>
      </c>
      <c r="AA1482" s="33" t="e">
        <f ca="1"/>
        <v>#REF!</v>
      </c>
    </row>
    <row r="1483" spans="1:27" s="70" customFormat="1" ht="11.25" x14ac:dyDescent="0.2">
      <c r="A1483" s="24">
        <v>1477</v>
      </c>
      <c r="B1483" s="24"/>
      <c r="C1483" s="25"/>
      <c r="D1483" s="26"/>
      <c r="E1483" s="25"/>
      <c r="F1483" s="25"/>
      <c r="G1483" s="24"/>
      <c r="H1483" s="28" t="e">
        <f ca="1"/>
        <v>#REF!</v>
      </c>
      <c r="I1483" s="27" t="e">
        <f ca="1"/>
        <v>#REF!</v>
      </c>
      <c r="J1483" s="28" t="e">
        <f ca="1"/>
        <v>#REF!</v>
      </c>
      <c r="K1483" s="27" t="e">
        <f ca="1"/>
        <v>#REF!</v>
      </c>
      <c r="L1483" s="25" t="e">
        <f ca="1"/>
        <v>#REF!</v>
      </c>
      <c r="M1483" s="25" t="e">
        <f ca="1"/>
        <v>#REF!</v>
      </c>
      <c r="N1483" s="25" t="e">
        <f ca="1"/>
        <v>#REF!</v>
      </c>
      <c r="O1483" s="25" t="e">
        <f ca="1"/>
        <v>#REF!</v>
      </c>
      <c r="P1483" s="25" t="e">
        <f ca="1"/>
        <v>#REF!</v>
      </c>
      <c r="Q1483" s="25" t="e">
        <f ca="1"/>
        <v>#REF!</v>
      </c>
      <c r="R1483" s="25" t="e">
        <f ca="1"/>
        <v>#REF!</v>
      </c>
      <c r="S1483" s="25" t="e">
        <f ca="1"/>
        <v>#REF!</v>
      </c>
      <c r="T1483" s="25" t="e">
        <f ca="1"/>
        <v>#REF!</v>
      </c>
      <c r="U1483" s="25" t="e">
        <f ca="1"/>
        <v>#REF!</v>
      </c>
      <c r="V1483" s="25" t="e">
        <f ca="1"/>
        <v>#REF!</v>
      </c>
      <c r="W1483" s="33" t="e">
        <f ca="1"/>
        <v>#REF!</v>
      </c>
      <c r="X1483" s="33" t="e">
        <f ca="1"/>
        <v>#REF!</v>
      </c>
      <c r="Y1483" s="33" t="e">
        <f ca="1"/>
        <v>#REF!</v>
      </c>
      <c r="Z1483" s="33" t="e">
        <f ca="1"/>
        <v>#REF!</v>
      </c>
      <c r="AA1483" s="33" t="e">
        <f ca="1"/>
        <v>#REF!</v>
      </c>
    </row>
    <row r="1484" spans="1:27" s="70" customFormat="1" ht="11.25" x14ac:dyDescent="0.2">
      <c r="A1484" s="24">
        <v>1478</v>
      </c>
      <c r="B1484" s="24"/>
      <c r="C1484" s="25"/>
      <c r="D1484" s="26"/>
      <c r="E1484" s="25"/>
      <c r="F1484" s="25"/>
      <c r="G1484" s="24"/>
      <c r="H1484" s="28" t="e">
        <f ca="1"/>
        <v>#REF!</v>
      </c>
      <c r="I1484" s="27" t="e">
        <f ca="1"/>
        <v>#REF!</v>
      </c>
      <c r="J1484" s="28" t="e">
        <f ca="1"/>
        <v>#REF!</v>
      </c>
      <c r="K1484" s="27" t="e">
        <f ca="1"/>
        <v>#REF!</v>
      </c>
      <c r="L1484" s="25" t="e">
        <f ca="1"/>
        <v>#REF!</v>
      </c>
      <c r="M1484" s="25" t="e">
        <f ca="1"/>
        <v>#REF!</v>
      </c>
      <c r="N1484" s="25" t="e">
        <f ca="1"/>
        <v>#REF!</v>
      </c>
      <c r="O1484" s="25" t="e">
        <f ca="1"/>
        <v>#REF!</v>
      </c>
      <c r="P1484" s="25" t="e">
        <f ca="1"/>
        <v>#REF!</v>
      </c>
      <c r="Q1484" s="25" t="e">
        <f ca="1"/>
        <v>#REF!</v>
      </c>
      <c r="R1484" s="25" t="e">
        <f ca="1"/>
        <v>#REF!</v>
      </c>
      <c r="S1484" s="25" t="e">
        <f ca="1"/>
        <v>#REF!</v>
      </c>
      <c r="T1484" s="25" t="e">
        <f ca="1"/>
        <v>#REF!</v>
      </c>
      <c r="U1484" s="25" t="e">
        <f ca="1"/>
        <v>#REF!</v>
      </c>
      <c r="V1484" s="25" t="e">
        <f ca="1"/>
        <v>#REF!</v>
      </c>
      <c r="W1484" s="33" t="e">
        <f ca="1"/>
        <v>#REF!</v>
      </c>
      <c r="X1484" s="33" t="e">
        <f ca="1"/>
        <v>#REF!</v>
      </c>
      <c r="Y1484" s="33" t="e">
        <f ca="1"/>
        <v>#REF!</v>
      </c>
      <c r="Z1484" s="33" t="e">
        <f ca="1"/>
        <v>#REF!</v>
      </c>
      <c r="AA1484" s="33" t="e">
        <f ca="1"/>
        <v>#REF!</v>
      </c>
    </row>
    <row r="1485" spans="1:27" s="70" customFormat="1" ht="11.25" x14ac:dyDescent="0.2">
      <c r="A1485" s="24">
        <v>1479</v>
      </c>
      <c r="B1485" s="24"/>
      <c r="C1485" s="25"/>
      <c r="D1485" s="26"/>
      <c r="E1485" s="25"/>
      <c r="F1485" s="25"/>
      <c r="G1485" s="24"/>
      <c r="H1485" s="28" t="e">
        <f ca="1"/>
        <v>#REF!</v>
      </c>
      <c r="I1485" s="27" t="e">
        <f ca="1"/>
        <v>#REF!</v>
      </c>
      <c r="J1485" s="28" t="e">
        <f ca="1"/>
        <v>#REF!</v>
      </c>
      <c r="K1485" s="27" t="e">
        <f ca="1"/>
        <v>#REF!</v>
      </c>
      <c r="L1485" s="25" t="e">
        <f ca="1"/>
        <v>#REF!</v>
      </c>
      <c r="M1485" s="25" t="e">
        <f ca="1"/>
        <v>#REF!</v>
      </c>
      <c r="N1485" s="25" t="e">
        <f ca="1"/>
        <v>#REF!</v>
      </c>
      <c r="O1485" s="25" t="e">
        <f ca="1"/>
        <v>#REF!</v>
      </c>
      <c r="P1485" s="25" t="e">
        <f ca="1"/>
        <v>#REF!</v>
      </c>
      <c r="Q1485" s="25" t="e">
        <f ca="1"/>
        <v>#REF!</v>
      </c>
      <c r="R1485" s="25" t="e">
        <f ca="1"/>
        <v>#REF!</v>
      </c>
      <c r="S1485" s="25" t="e">
        <f ca="1"/>
        <v>#REF!</v>
      </c>
      <c r="T1485" s="25" t="e">
        <f ca="1"/>
        <v>#REF!</v>
      </c>
      <c r="U1485" s="25" t="e">
        <f ca="1"/>
        <v>#REF!</v>
      </c>
      <c r="V1485" s="25" t="e">
        <f ca="1"/>
        <v>#REF!</v>
      </c>
      <c r="W1485" s="33" t="e">
        <f ca="1"/>
        <v>#REF!</v>
      </c>
      <c r="X1485" s="33" t="e">
        <f ca="1"/>
        <v>#REF!</v>
      </c>
      <c r="Y1485" s="33" t="e">
        <f ca="1"/>
        <v>#REF!</v>
      </c>
      <c r="Z1485" s="33" t="e">
        <f ca="1"/>
        <v>#REF!</v>
      </c>
      <c r="AA1485" s="33" t="e">
        <f ca="1"/>
        <v>#REF!</v>
      </c>
    </row>
    <row r="1486" spans="1:27" s="70" customFormat="1" ht="11.25" x14ac:dyDescent="0.2">
      <c r="A1486" s="24">
        <v>1480</v>
      </c>
      <c r="B1486" s="24"/>
      <c r="C1486" s="25"/>
      <c r="D1486" s="26"/>
      <c r="E1486" s="25"/>
      <c r="F1486" s="25"/>
      <c r="G1486" s="24"/>
      <c r="H1486" s="28" t="e">
        <f ca="1"/>
        <v>#REF!</v>
      </c>
      <c r="I1486" s="27" t="e">
        <f ca="1"/>
        <v>#REF!</v>
      </c>
      <c r="J1486" s="28" t="e">
        <f ca="1"/>
        <v>#REF!</v>
      </c>
      <c r="K1486" s="27" t="e">
        <f ca="1"/>
        <v>#REF!</v>
      </c>
      <c r="L1486" s="25" t="e">
        <f ca="1"/>
        <v>#REF!</v>
      </c>
      <c r="M1486" s="25" t="e">
        <f ca="1"/>
        <v>#REF!</v>
      </c>
      <c r="N1486" s="25" t="e">
        <f ca="1"/>
        <v>#REF!</v>
      </c>
      <c r="O1486" s="25" t="e">
        <f ca="1"/>
        <v>#REF!</v>
      </c>
      <c r="P1486" s="25" t="e">
        <f ca="1"/>
        <v>#REF!</v>
      </c>
      <c r="Q1486" s="25" t="e">
        <f ca="1"/>
        <v>#REF!</v>
      </c>
      <c r="R1486" s="25" t="e">
        <f ca="1"/>
        <v>#REF!</v>
      </c>
      <c r="S1486" s="25" t="e">
        <f ca="1"/>
        <v>#REF!</v>
      </c>
      <c r="T1486" s="25" t="e">
        <f ca="1"/>
        <v>#REF!</v>
      </c>
      <c r="U1486" s="25" t="e">
        <f ca="1"/>
        <v>#REF!</v>
      </c>
      <c r="V1486" s="25" t="e">
        <f ca="1"/>
        <v>#REF!</v>
      </c>
      <c r="W1486" s="33" t="e">
        <f ca="1"/>
        <v>#REF!</v>
      </c>
      <c r="X1486" s="33" t="e">
        <f ca="1"/>
        <v>#REF!</v>
      </c>
      <c r="Y1486" s="33" t="e">
        <f ca="1"/>
        <v>#REF!</v>
      </c>
      <c r="Z1486" s="33" t="e">
        <f ca="1"/>
        <v>#REF!</v>
      </c>
      <c r="AA1486" s="33" t="e">
        <f ca="1"/>
        <v>#REF!</v>
      </c>
    </row>
    <row r="1487" spans="1:27" s="70" customFormat="1" ht="11.25" x14ac:dyDescent="0.2">
      <c r="A1487" s="24">
        <v>1481</v>
      </c>
      <c r="B1487" s="24"/>
      <c r="C1487" s="25"/>
      <c r="D1487" s="26"/>
      <c r="E1487" s="25"/>
      <c r="F1487" s="25"/>
      <c r="G1487" s="24"/>
      <c r="H1487" s="28" t="e">
        <f ca="1"/>
        <v>#REF!</v>
      </c>
      <c r="I1487" s="27" t="e">
        <f ca="1"/>
        <v>#REF!</v>
      </c>
      <c r="J1487" s="28" t="e">
        <f ca="1"/>
        <v>#REF!</v>
      </c>
      <c r="K1487" s="27" t="e">
        <f ca="1"/>
        <v>#REF!</v>
      </c>
      <c r="L1487" s="25" t="e">
        <f ca="1"/>
        <v>#REF!</v>
      </c>
      <c r="M1487" s="25" t="e">
        <f ca="1"/>
        <v>#REF!</v>
      </c>
      <c r="N1487" s="25" t="e">
        <f ca="1"/>
        <v>#REF!</v>
      </c>
      <c r="O1487" s="25" t="e">
        <f ca="1"/>
        <v>#REF!</v>
      </c>
      <c r="P1487" s="25" t="e">
        <f ca="1"/>
        <v>#REF!</v>
      </c>
      <c r="Q1487" s="25" t="e">
        <f ca="1"/>
        <v>#REF!</v>
      </c>
      <c r="R1487" s="25" t="e">
        <f ca="1"/>
        <v>#REF!</v>
      </c>
      <c r="S1487" s="25" t="e">
        <f ca="1"/>
        <v>#REF!</v>
      </c>
      <c r="T1487" s="25" t="e">
        <f ca="1"/>
        <v>#REF!</v>
      </c>
      <c r="U1487" s="25" t="e">
        <f ca="1"/>
        <v>#REF!</v>
      </c>
      <c r="V1487" s="25" t="e">
        <f ca="1"/>
        <v>#REF!</v>
      </c>
      <c r="W1487" s="33" t="e">
        <f ca="1"/>
        <v>#REF!</v>
      </c>
      <c r="X1487" s="33" t="e">
        <f ca="1"/>
        <v>#REF!</v>
      </c>
      <c r="Y1487" s="33" t="e">
        <f ca="1"/>
        <v>#REF!</v>
      </c>
      <c r="Z1487" s="33" t="e">
        <f ca="1"/>
        <v>#REF!</v>
      </c>
      <c r="AA1487" s="33" t="e">
        <f ca="1"/>
        <v>#REF!</v>
      </c>
    </row>
    <row r="1488" spans="1:27" s="70" customFormat="1" ht="11.25" x14ac:dyDescent="0.2">
      <c r="A1488" s="24">
        <v>1482</v>
      </c>
      <c r="B1488" s="24"/>
      <c r="C1488" s="25"/>
      <c r="D1488" s="26"/>
      <c r="E1488" s="25"/>
      <c r="F1488" s="25"/>
      <c r="G1488" s="24"/>
      <c r="H1488" s="28" t="e">
        <f ca="1"/>
        <v>#REF!</v>
      </c>
      <c r="I1488" s="27" t="e">
        <f ca="1"/>
        <v>#REF!</v>
      </c>
      <c r="J1488" s="28" t="e">
        <f ca="1"/>
        <v>#REF!</v>
      </c>
      <c r="K1488" s="27" t="e">
        <f ca="1"/>
        <v>#REF!</v>
      </c>
      <c r="L1488" s="25" t="e">
        <f ca="1"/>
        <v>#REF!</v>
      </c>
      <c r="M1488" s="25" t="e">
        <f ca="1"/>
        <v>#REF!</v>
      </c>
      <c r="N1488" s="25" t="e">
        <f ca="1"/>
        <v>#REF!</v>
      </c>
      <c r="O1488" s="25" t="e">
        <f ca="1"/>
        <v>#REF!</v>
      </c>
      <c r="P1488" s="25" t="e">
        <f ca="1"/>
        <v>#REF!</v>
      </c>
      <c r="Q1488" s="25" t="e">
        <f ca="1"/>
        <v>#REF!</v>
      </c>
      <c r="R1488" s="25" t="e">
        <f ca="1"/>
        <v>#REF!</v>
      </c>
      <c r="S1488" s="25" t="e">
        <f ca="1"/>
        <v>#REF!</v>
      </c>
      <c r="T1488" s="25" t="e">
        <f ca="1"/>
        <v>#REF!</v>
      </c>
      <c r="U1488" s="25" t="e">
        <f ca="1"/>
        <v>#REF!</v>
      </c>
      <c r="V1488" s="25" t="e">
        <f ca="1"/>
        <v>#REF!</v>
      </c>
      <c r="W1488" s="33" t="e">
        <f ca="1"/>
        <v>#REF!</v>
      </c>
      <c r="X1488" s="33" t="e">
        <f ca="1"/>
        <v>#REF!</v>
      </c>
      <c r="Y1488" s="33" t="e">
        <f ca="1"/>
        <v>#REF!</v>
      </c>
      <c r="Z1488" s="33" t="e">
        <f ca="1"/>
        <v>#REF!</v>
      </c>
      <c r="AA1488" s="33" t="e">
        <f ca="1"/>
        <v>#REF!</v>
      </c>
    </row>
    <row r="1489" spans="1:27" s="70" customFormat="1" ht="11.25" x14ac:dyDescent="0.2">
      <c r="A1489" s="24">
        <v>1483</v>
      </c>
      <c r="B1489" s="24"/>
      <c r="C1489" s="25"/>
      <c r="D1489" s="26"/>
      <c r="E1489" s="25"/>
      <c r="F1489" s="25"/>
      <c r="G1489" s="24"/>
      <c r="H1489" s="28" t="e">
        <f ca="1"/>
        <v>#REF!</v>
      </c>
      <c r="I1489" s="27" t="e">
        <f ca="1"/>
        <v>#REF!</v>
      </c>
      <c r="J1489" s="28" t="e">
        <f ca="1"/>
        <v>#REF!</v>
      </c>
      <c r="K1489" s="27" t="e">
        <f ca="1"/>
        <v>#REF!</v>
      </c>
      <c r="L1489" s="25" t="e">
        <f ca="1"/>
        <v>#REF!</v>
      </c>
      <c r="M1489" s="25" t="e">
        <f ca="1"/>
        <v>#REF!</v>
      </c>
      <c r="N1489" s="25" t="e">
        <f ca="1"/>
        <v>#REF!</v>
      </c>
      <c r="O1489" s="25" t="e">
        <f ca="1"/>
        <v>#REF!</v>
      </c>
      <c r="P1489" s="25" t="e">
        <f ca="1"/>
        <v>#REF!</v>
      </c>
      <c r="Q1489" s="25" t="e">
        <f ca="1"/>
        <v>#REF!</v>
      </c>
      <c r="R1489" s="25" t="e">
        <f ca="1"/>
        <v>#REF!</v>
      </c>
      <c r="S1489" s="25" t="e">
        <f ca="1"/>
        <v>#REF!</v>
      </c>
      <c r="T1489" s="25" t="e">
        <f ca="1"/>
        <v>#REF!</v>
      </c>
      <c r="U1489" s="25" t="e">
        <f ca="1"/>
        <v>#REF!</v>
      </c>
      <c r="V1489" s="25" t="e">
        <f ca="1"/>
        <v>#REF!</v>
      </c>
      <c r="W1489" s="33" t="e">
        <f ca="1"/>
        <v>#REF!</v>
      </c>
      <c r="X1489" s="33" t="e">
        <f ca="1"/>
        <v>#REF!</v>
      </c>
      <c r="Y1489" s="33" t="e">
        <f ca="1"/>
        <v>#REF!</v>
      </c>
      <c r="Z1489" s="33" t="e">
        <f ca="1"/>
        <v>#REF!</v>
      </c>
      <c r="AA1489" s="33" t="e">
        <f ca="1"/>
        <v>#REF!</v>
      </c>
    </row>
    <row r="1490" spans="1:27" s="70" customFormat="1" ht="11.25" x14ac:dyDescent="0.2">
      <c r="A1490" s="24">
        <v>1484</v>
      </c>
      <c r="B1490" s="24"/>
      <c r="C1490" s="25"/>
      <c r="D1490" s="26"/>
      <c r="E1490" s="25"/>
      <c r="F1490" s="25"/>
      <c r="G1490" s="24"/>
      <c r="H1490" s="28" t="e">
        <f ca="1"/>
        <v>#REF!</v>
      </c>
      <c r="I1490" s="27" t="e">
        <f ca="1"/>
        <v>#REF!</v>
      </c>
      <c r="J1490" s="28" t="e">
        <f ca="1"/>
        <v>#REF!</v>
      </c>
      <c r="K1490" s="27" t="e">
        <f ca="1"/>
        <v>#REF!</v>
      </c>
      <c r="L1490" s="25" t="e">
        <f ca="1"/>
        <v>#REF!</v>
      </c>
      <c r="M1490" s="25" t="e">
        <f ca="1"/>
        <v>#REF!</v>
      </c>
      <c r="N1490" s="25" t="e">
        <f ca="1"/>
        <v>#REF!</v>
      </c>
      <c r="O1490" s="25" t="e">
        <f ca="1"/>
        <v>#REF!</v>
      </c>
      <c r="P1490" s="25" t="e">
        <f ca="1"/>
        <v>#REF!</v>
      </c>
      <c r="Q1490" s="25" t="e">
        <f ca="1"/>
        <v>#REF!</v>
      </c>
      <c r="R1490" s="25" t="e">
        <f ca="1"/>
        <v>#REF!</v>
      </c>
      <c r="S1490" s="25" t="e">
        <f ca="1"/>
        <v>#REF!</v>
      </c>
      <c r="T1490" s="25" t="e">
        <f ca="1"/>
        <v>#REF!</v>
      </c>
      <c r="U1490" s="25" t="e">
        <f ca="1"/>
        <v>#REF!</v>
      </c>
      <c r="V1490" s="25" t="e">
        <f ca="1"/>
        <v>#REF!</v>
      </c>
      <c r="W1490" s="33" t="e">
        <f ca="1"/>
        <v>#REF!</v>
      </c>
      <c r="X1490" s="33" t="e">
        <f ca="1"/>
        <v>#REF!</v>
      </c>
      <c r="Y1490" s="33" t="e">
        <f ca="1"/>
        <v>#REF!</v>
      </c>
      <c r="Z1490" s="33" t="e">
        <f ca="1"/>
        <v>#REF!</v>
      </c>
      <c r="AA1490" s="33" t="e">
        <f ca="1"/>
        <v>#REF!</v>
      </c>
    </row>
    <row r="1491" spans="1:27" s="70" customFormat="1" ht="11.25" x14ac:dyDescent="0.2">
      <c r="A1491" s="24">
        <v>1485</v>
      </c>
      <c r="B1491" s="24"/>
      <c r="C1491" s="25"/>
      <c r="D1491" s="26"/>
      <c r="E1491" s="25"/>
      <c r="F1491" s="25"/>
      <c r="G1491" s="24"/>
      <c r="H1491" s="28" t="e">
        <f ca="1"/>
        <v>#REF!</v>
      </c>
      <c r="I1491" s="27" t="e">
        <f ca="1"/>
        <v>#REF!</v>
      </c>
      <c r="J1491" s="28" t="e">
        <f ca="1"/>
        <v>#REF!</v>
      </c>
      <c r="K1491" s="27" t="e">
        <f ca="1"/>
        <v>#REF!</v>
      </c>
      <c r="L1491" s="25" t="e">
        <f ca="1"/>
        <v>#REF!</v>
      </c>
      <c r="M1491" s="25" t="e">
        <f ca="1"/>
        <v>#REF!</v>
      </c>
      <c r="N1491" s="25" t="e">
        <f ca="1"/>
        <v>#REF!</v>
      </c>
      <c r="O1491" s="25" t="e">
        <f ca="1"/>
        <v>#REF!</v>
      </c>
      <c r="P1491" s="25" t="e">
        <f ca="1"/>
        <v>#REF!</v>
      </c>
      <c r="Q1491" s="25" t="e">
        <f ca="1"/>
        <v>#REF!</v>
      </c>
      <c r="R1491" s="25" t="e">
        <f ca="1"/>
        <v>#REF!</v>
      </c>
      <c r="S1491" s="25" t="e">
        <f ca="1"/>
        <v>#REF!</v>
      </c>
      <c r="T1491" s="25" t="e">
        <f ca="1"/>
        <v>#REF!</v>
      </c>
      <c r="U1491" s="25" t="e">
        <f ca="1"/>
        <v>#REF!</v>
      </c>
      <c r="V1491" s="25" t="e">
        <f ca="1"/>
        <v>#REF!</v>
      </c>
      <c r="W1491" s="33" t="e">
        <f ca="1"/>
        <v>#REF!</v>
      </c>
      <c r="X1491" s="33" t="e">
        <f ca="1"/>
        <v>#REF!</v>
      </c>
      <c r="Y1491" s="33" t="e">
        <f ca="1"/>
        <v>#REF!</v>
      </c>
      <c r="Z1491" s="33" t="e">
        <f ca="1"/>
        <v>#REF!</v>
      </c>
      <c r="AA1491" s="33" t="e">
        <f ca="1"/>
        <v>#REF!</v>
      </c>
    </row>
    <row r="1492" spans="1:27" s="70" customFormat="1" ht="11.25" x14ac:dyDescent="0.2">
      <c r="A1492" s="24">
        <v>1486</v>
      </c>
      <c r="B1492" s="24"/>
      <c r="C1492" s="25"/>
      <c r="D1492" s="26"/>
      <c r="E1492" s="25"/>
      <c r="F1492" s="25"/>
      <c r="G1492" s="24"/>
      <c r="H1492" s="28" t="e">
        <f ca="1"/>
        <v>#REF!</v>
      </c>
      <c r="I1492" s="27" t="e">
        <f ca="1"/>
        <v>#REF!</v>
      </c>
      <c r="J1492" s="28" t="e">
        <f ca="1"/>
        <v>#REF!</v>
      </c>
      <c r="K1492" s="27" t="e">
        <f ca="1"/>
        <v>#REF!</v>
      </c>
      <c r="L1492" s="25" t="e">
        <f ca="1"/>
        <v>#REF!</v>
      </c>
      <c r="M1492" s="25" t="e">
        <f ca="1"/>
        <v>#REF!</v>
      </c>
      <c r="N1492" s="25" t="e">
        <f ca="1"/>
        <v>#REF!</v>
      </c>
      <c r="O1492" s="25" t="e">
        <f ca="1"/>
        <v>#REF!</v>
      </c>
      <c r="P1492" s="25" t="e">
        <f ca="1"/>
        <v>#REF!</v>
      </c>
      <c r="Q1492" s="25" t="e">
        <f ca="1"/>
        <v>#REF!</v>
      </c>
      <c r="R1492" s="25" t="e">
        <f ca="1"/>
        <v>#REF!</v>
      </c>
      <c r="S1492" s="25" t="e">
        <f ca="1"/>
        <v>#REF!</v>
      </c>
      <c r="T1492" s="25" t="e">
        <f ca="1"/>
        <v>#REF!</v>
      </c>
      <c r="U1492" s="25" t="e">
        <f ca="1"/>
        <v>#REF!</v>
      </c>
      <c r="V1492" s="25" t="e">
        <f ca="1"/>
        <v>#REF!</v>
      </c>
      <c r="W1492" s="33" t="e">
        <f ca="1"/>
        <v>#REF!</v>
      </c>
      <c r="X1492" s="33" t="e">
        <f ca="1"/>
        <v>#REF!</v>
      </c>
      <c r="Y1492" s="33" t="e">
        <f ca="1"/>
        <v>#REF!</v>
      </c>
      <c r="Z1492" s="33" t="e">
        <f ca="1"/>
        <v>#REF!</v>
      </c>
      <c r="AA1492" s="33" t="e">
        <f ca="1"/>
        <v>#REF!</v>
      </c>
    </row>
    <row r="1493" spans="1:27" s="70" customFormat="1" ht="11.25" x14ac:dyDescent="0.2">
      <c r="A1493" s="24">
        <v>1487</v>
      </c>
      <c r="B1493" s="24"/>
      <c r="C1493" s="25"/>
      <c r="D1493" s="26"/>
      <c r="E1493" s="25"/>
      <c r="F1493" s="25"/>
      <c r="G1493" s="24"/>
      <c r="H1493" s="28" t="e">
        <f ca="1"/>
        <v>#REF!</v>
      </c>
      <c r="I1493" s="27" t="e">
        <f ca="1"/>
        <v>#REF!</v>
      </c>
      <c r="J1493" s="28" t="e">
        <f ca="1"/>
        <v>#REF!</v>
      </c>
      <c r="K1493" s="27" t="e">
        <f ca="1"/>
        <v>#REF!</v>
      </c>
      <c r="L1493" s="25" t="e">
        <f ca="1"/>
        <v>#REF!</v>
      </c>
      <c r="M1493" s="25" t="e">
        <f ca="1"/>
        <v>#REF!</v>
      </c>
      <c r="N1493" s="25" t="e">
        <f ca="1"/>
        <v>#REF!</v>
      </c>
      <c r="O1493" s="25" t="e">
        <f ca="1"/>
        <v>#REF!</v>
      </c>
      <c r="P1493" s="25" t="e">
        <f ca="1"/>
        <v>#REF!</v>
      </c>
      <c r="Q1493" s="25" t="e">
        <f ca="1"/>
        <v>#REF!</v>
      </c>
      <c r="R1493" s="25" t="e">
        <f ca="1"/>
        <v>#REF!</v>
      </c>
      <c r="S1493" s="25" t="e">
        <f ca="1"/>
        <v>#REF!</v>
      </c>
      <c r="T1493" s="25" t="e">
        <f ca="1"/>
        <v>#REF!</v>
      </c>
      <c r="U1493" s="25" t="e">
        <f ca="1"/>
        <v>#REF!</v>
      </c>
      <c r="V1493" s="25" t="e">
        <f ca="1"/>
        <v>#REF!</v>
      </c>
      <c r="W1493" s="33" t="e">
        <f ca="1"/>
        <v>#REF!</v>
      </c>
      <c r="X1493" s="33" t="e">
        <f ca="1"/>
        <v>#REF!</v>
      </c>
      <c r="Y1493" s="33" t="e">
        <f ca="1"/>
        <v>#REF!</v>
      </c>
      <c r="Z1493" s="33" t="e">
        <f ca="1"/>
        <v>#REF!</v>
      </c>
      <c r="AA1493" s="33" t="e">
        <f ca="1"/>
        <v>#REF!</v>
      </c>
    </row>
    <row r="1494" spans="1:27" s="70" customFormat="1" ht="11.25" x14ac:dyDescent="0.2">
      <c r="A1494" s="24">
        <v>1488</v>
      </c>
      <c r="B1494" s="24"/>
      <c r="C1494" s="25"/>
      <c r="D1494" s="26"/>
      <c r="E1494" s="25"/>
      <c r="F1494" s="25"/>
      <c r="G1494" s="24"/>
      <c r="H1494" s="28" t="e">
        <f ca="1"/>
        <v>#REF!</v>
      </c>
      <c r="I1494" s="27" t="e">
        <f ca="1"/>
        <v>#REF!</v>
      </c>
      <c r="J1494" s="28" t="e">
        <f ca="1"/>
        <v>#REF!</v>
      </c>
      <c r="K1494" s="27" t="e">
        <f ca="1"/>
        <v>#REF!</v>
      </c>
      <c r="L1494" s="25" t="e">
        <f ca="1"/>
        <v>#REF!</v>
      </c>
      <c r="M1494" s="25" t="e">
        <f ca="1"/>
        <v>#REF!</v>
      </c>
      <c r="N1494" s="25" t="e">
        <f ca="1"/>
        <v>#REF!</v>
      </c>
      <c r="O1494" s="25" t="e">
        <f ca="1"/>
        <v>#REF!</v>
      </c>
      <c r="P1494" s="25" t="e">
        <f ca="1"/>
        <v>#REF!</v>
      </c>
      <c r="Q1494" s="25" t="e">
        <f ca="1"/>
        <v>#REF!</v>
      </c>
      <c r="R1494" s="25" t="e">
        <f ca="1"/>
        <v>#REF!</v>
      </c>
      <c r="S1494" s="25" t="e">
        <f ca="1"/>
        <v>#REF!</v>
      </c>
      <c r="T1494" s="25" t="e">
        <f ca="1"/>
        <v>#REF!</v>
      </c>
      <c r="U1494" s="25" t="e">
        <f ca="1"/>
        <v>#REF!</v>
      </c>
      <c r="V1494" s="25" t="e">
        <f ca="1"/>
        <v>#REF!</v>
      </c>
      <c r="W1494" s="33" t="e">
        <f ca="1"/>
        <v>#REF!</v>
      </c>
      <c r="X1494" s="33" t="e">
        <f ca="1"/>
        <v>#REF!</v>
      </c>
      <c r="Y1494" s="33" t="e">
        <f ca="1"/>
        <v>#REF!</v>
      </c>
      <c r="Z1494" s="33" t="e">
        <f ca="1"/>
        <v>#REF!</v>
      </c>
      <c r="AA1494" s="33" t="e">
        <f ca="1"/>
        <v>#REF!</v>
      </c>
    </row>
    <row r="1495" spans="1:27" s="70" customFormat="1" ht="11.25" x14ac:dyDescent="0.2">
      <c r="A1495" s="24">
        <v>1489</v>
      </c>
      <c r="B1495" s="24"/>
      <c r="C1495" s="25"/>
      <c r="D1495" s="26"/>
      <c r="E1495" s="25"/>
      <c r="F1495" s="25"/>
      <c r="G1495" s="24"/>
      <c r="H1495" s="28" t="e">
        <f ca="1"/>
        <v>#REF!</v>
      </c>
      <c r="I1495" s="27" t="e">
        <f ca="1"/>
        <v>#REF!</v>
      </c>
      <c r="J1495" s="28" t="e">
        <f ca="1"/>
        <v>#REF!</v>
      </c>
      <c r="K1495" s="27" t="e">
        <f ca="1"/>
        <v>#REF!</v>
      </c>
      <c r="L1495" s="25" t="e">
        <f ca="1"/>
        <v>#REF!</v>
      </c>
      <c r="M1495" s="25" t="e">
        <f ca="1"/>
        <v>#REF!</v>
      </c>
      <c r="N1495" s="25" t="e">
        <f ca="1"/>
        <v>#REF!</v>
      </c>
      <c r="O1495" s="25" t="e">
        <f ca="1"/>
        <v>#REF!</v>
      </c>
      <c r="P1495" s="25" t="e">
        <f ca="1"/>
        <v>#REF!</v>
      </c>
      <c r="Q1495" s="25" t="e">
        <f ca="1"/>
        <v>#REF!</v>
      </c>
      <c r="R1495" s="25" t="e">
        <f ca="1"/>
        <v>#REF!</v>
      </c>
      <c r="S1495" s="25" t="e">
        <f ca="1"/>
        <v>#REF!</v>
      </c>
      <c r="T1495" s="25" t="e">
        <f ca="1"/>
        <v>#REF!</v>
      </c>
      <c r="U1495" s="25" t="e">
        <f ca="1"/>
        <v>#REF!</v>
      </c>
      <c r="V1495" s="25" t="e">
        <f ca="1"/>
        <v>#REF!</v>
      </c>
      <c r="W1495" s="33" t="e">
        <f ca="1"/>
        <v>#REF!</v>
      </c>
      <c r="X1495" s="33" t="e">
        <f ca="1"/>
        <v>#REF!</v>
      </c>
      <c r="Y1495" s="33" t="e">
        <f ca="1"/>
        <v>#REF!</v>
      </c>
      <c r="Z1495" s="33" t="e">
        <f ca="1"/>
        <v>#REF!</v>
      </c>
      <c r="AA1495" s="33" t="e">
        <f ca="1"/>
        <v>#REF!</v>
      </c>
    </row>
    <row r="1496" spans="1:27" s="70" customFormat="1" ht="11.25" x14ac:dyDescent="0.2">
      <c r="A1496" s="24">
        <v>1490</v>
      </c>
      <c r="B1496" s="24"/>
      <c r="C1496" s="25"/>
      <c r="D1496" s="26"/>
      <c r="E1496" s="25"/>
      <c r="F1496" s="25"/>
      <c r="G1496" s="24"/>
      <c r="H1496" s="28" t="e">
        <f ca="1"/>
        <v>#REF!</v>
      </c>
      <c r="I1496" s="27" t="e">
        <f ca="1"/>
        <v>#REF!</v>
      </c>
      <c r="J1496" s="28" t="e">
        <f ca="1"/>
        <v>#REF!</v>
      </c>
      <c r="K1496" s="27" t="e">
        <f ca="1"/>
        <v>#REF!</v>
      </c>
      <c r="L1496" s="25" t="e">
        <f ca="1"/>
        <v>#REF!</v>
      </c>
      <c r="M1496" s="25" t="e">
        <f ca="1"/>
        <v>#REF!</v>
      </c>
      <c r="N1496" s="25" t="e">
        <f ca="1"/>
        <v>#REF!</v>
      </c>
      <c r="O1496" s="25" t="e">
        <f ca="1"/>
        <v>#REF!</v>
      </c>
      <c r="P1496" s="25" t="e">
        <f ca="1"/>
        <v>#REF!</v>
      </c>
      <c r="Q1496" s="25" t="e">
        <f ca="1"/>
        <v>#REF!</v>
      </c>
      <c r="R1496" s="25" t="e">
        <f ca="1"/>
        <v>#REF!</v>
      </c>
      <c r="S1496" s="25" t="e">
        <f ca="1"/>
        <v>#REF!</v>
      </c>
      <c r="T1496" s="25" t="e">
        <f ca="1"/>
        <v>#REF!</v>
      </c>
      <c r="U1496" s="25" t="e">
        <f ca="1"/>
        <v>#REF!</v>
      </c>
      <c r="V1496" s="25" t="e">
        <f ca="1"/>
        <v>#REF!</v>
      </c>
      <c r="W1496" s="33" t="e">
        <f ca="1"/>
        <v>#REF!</v>
      </c>
      <c r="X1496" s="33" t="e">
        <f ca="1"/>
        <v>#REF!</v>
      </c>
      <c r="Y1496" s="33" t="e">
        <f ca="1"/>
        <v>#REF!</v>
      </c>
      <c r="Z1496" s="33" t="e">
        <f ca="1"/>
        <v>#REF!</v>
      </c>
      <c r="AA1496" s="33" t="e">
        <f ca="1"/>
        <v>#REF!</v>
      </c>
    </row>
    <row r="1497" spans="1:27" s="70" customFormat="1" ht="11.25" x14ac:dyDescent="0.2">
      <c r="A1497" s="24">
        <v>1491</v>
      </c>
      <c r="B1497" s="52"/>
      <c r="C1497" s="53"/>
      <c r="D1497" s="54"/>
      <c r="E1497" s="53"/>
      <c r="F1497" s="53"/>
      <c r="G1497" s="52"/>
      <c r="H1497" s="53" t="e">
        <f ca="1"/>
        <v>#REF!</v>
      </c>
      <c r="I1497" s="52" t="e">
        <f ca="1"/>
        <v>#REF!</v>
      </c>
      <c r="J1497" s="53" t="e">
        <f ca="1"/>
        <v>#REF!</v>
      </c>
      <c r="K1497" s="52" t="e">
        <f ca="1"/>
        <v>#REF!</v>
      </c>
      <c r="L1497" s="25" t="e">
        <f ca="1"/>
        <v>#REF!</v>
      </c>
      <c r="M1497" s="25" t="e">
        <f ca="1"/>
        <v>#REF!</v>
      </c>
      <c r="N1497" s="25" t="e">
        <f ca="1"/>
        <v>#REF!</v>
      </c>
      <c r="O1497" s="25" t="e">
        <f ca="1"/>
        <v>#REF!</v>
      </c>
      <c r="P1497" s="25" t="e">
        <f ca="1"/>
        <v>#REF!</v>
      </c>
      <c r="Q1497" s="25" t="e">
        <f ca="1"/>
        <v>#REF!</v>
      </c>
      <c r="R1497" s="25" t="e">
        <f ca="1"/>
        <v>#REF!</v>
      </c>
      <c r="S1497" s="25" t="e">
        <f ca="1"/>
        <v>#REF!</v>
      </c>
      <c r="T1497" s="25" t="e">
        <f ca="1"/>
        <v>#REF!</v>
      </c>
      <c r="U1497" s="25" t="e">
        <f ca="1"/>
        <v>#REF!</v>
      </c>
      <c r="V1497" s="25" t="e">
        <f ca="1"/>
        <v>#REF!</v>
      </c>
      <c r="W1497" s="33" t="e">
        <f ca="1"/>
        <v>#REF!</v>
      </c>
      <c r="X1497" s="33" t="e">
        <f ca="1"/>
        <v>#REF!</v>
      </c>
      <c r="Y1497" s="33" t="e">
        <f ca="1"/>
        <v>#REF!</v>
      </c>
      <c r="Z1497" s="33" t="e">
        <f ca="1"/>
        <v>#REF!</v>
      </c>
      <c r="AA1497" s="33" t="e">
        <f ca="1"/>
        <v>#REF!</v>
      </c>
    </row>
    <row r="1498" spans="1:27" s="70" customFormat="1" ht="11.25" x14ac:dyDescent="0.2">
      <c r="A1498" s="24">
        <v>1492</v>
      </c>
      <c r="B1498" s="27"/>
      <c r="C1498" s="28"/>
      <c r="D1498" s="71"/>
      <c r="E1498" s="28"/>
      <c r="F1498" s="28"/>
      <c r="G1498" s="27"/>
      <c r="H1498" s="28" t="e">
        <f ca="1"/>
        <v>#REF!</v>
      </c>
      <c r="I1498" s="27" t="e">
        <f ca="1"/>
        <v>#REF!</v>
      </c>
      <c r="J1498" s="28" t="e">
        <f ca="1"/>
        <v>#REF!</v>
      </c>
      <c r="K1498" s="27" t="e">
        <f ca="1"/>
        <v>#REF!</v>
      </c>
      <c r="L1498" s="25" t="e">
        <f ca="1"/>
        <v>#REF!</v>
      </c>
      <c r="M1498" s="25" t="e">
        <f ca="1"/>
        <v>#REF!</v>
      </c>
      <c r="N1498" s="25" t="e">
        <f ca="1"/>
        <v>#REF!</v>
      </c>
      <c r="O1498" s="25" t="e">
        <f ca="1"/>
        <v>#REF!</v>
      </c>
      <c r="P1498" s="25" t="e">
        <f ca="1"/>
        <v>#REF!</v>
      </c>
      <c r="Q1498" s="25" t="e">
        <f ca="1"/>
        <v>#REF!</v>
      </c>
      <c r="R1498" s="25" t="e">
        <f ca="1"/>
        <v>#REF!</v>
      </c>
      <c r="S1498" s="25" t="e">
        <f ca="1"/>
        <v>#REF!</v>
      </c>
      <c r="T1498" s="25" t="e">
        <f ca="1"/>
        <v>#REF!</v>
      </c>
      <c r="U1498" s="25" t="e">
        <f ca="1"/>
        <v>#REF!</v>
      </c>
      <c r="V1498" s="25" t="e">
        <f ca="1"/>
        <v>#REF!</v>
      </c>
      <c r="W1498" s="33" t="e">
        <f ca="1"/>
        <v>#REF!</v>
      </c>
      <c r="X1498" s="33" t="e">
        <f ca="1"/>
        <v>#REF!</v>
      </c>
      <c r="Y1498" s="33" t="e">
        <f ca="1"/>
        <v>#REF!</v>
      </c>
      <c r="Z1498" s="33" t="e">
        <f ca="1"/>
        <v>#REF!</v>
      </c>
      <c r="AA1498" s="33" t="e">
        <f ca="1"/>
        <v>#REF!</v>
      </c>
    </row>
    <row r="1499" spans="1:27" s="70" customFormat="1" ht="11.25" x14ac:dyDescent="0.2">
      <c r="A1499" s="24">
        <v>1493</v>
      </c>
      <c r="B1499" s="27"/>
      <c r="C1499" s="28"/>
      <c r="D1499" s="71"/>
      <c r="E1499" s="28"/>
      <c r="F1499" s="28"/>
      <c r="G1499" s="27"/>
      <c r="H1499" s="28" t="e">
        <f ca="1"/>
        <v>#REF!</v>
      </c>
      <c r="I1499" s="27" t="e">
        <f ca="1"/>
        <v>#REF!</v>
      </c>
      <c r="J1499" s="28" t="e">
        <f ca="1"/>
        <v>#REF!</v>
      </c>
      <c r="K1499" s="27" t="e">
        <f ca="1"/>
        <v>#REF!</v>
      </c>
      <c r="L1499" s="25" t="e">
        <f ca="1"/>
        <v>#REF!</v>
      </c>
      <c r="M1499" s="25" t="e">
        <f ca="1"/>
        <v>#REF!</v>
      </c>
      <c r="N1499" s="25" t="e">
        <f ca="1"/>
        <v>#REF!</v>
      </c>
      <c r="O1499" s="25" t="e">
        <f ca="1"/>
        <v>#REF!</v>
      </c>
      <c r="P1499" s="25" t="e">
        <f ca="1"/>
        <v>#REF!</v>
      </c>
      <c r="Q1499" s="25" t="e">
        <f ca="1"/>
        <v>#REF!</v>
      </c>
      <c r="R1499" s="25" t="e">
        <f ca="1"/>
        <v>#REF!</v>
      </c>
      <c r="S1499" s="25" t="e">
        <f ca="1"/>
        <v>#REF!</v>
      </c>
      <c r="T1499" s="25" t="e">
        <f ca="1"/>
        <v>#REF!</v>
      </c>
      <c r="U1499" s="25" t="e">
        <f ca="1"/>
        <v>#REF!</v>
      </c>
      <c r="V1499" s="25" t="e">
        <f ca="1"/>
        <v>#REF!</v>
      </c>
      <c r="W1499" s="33" t="e">
        <f ca="1"/>
        <v>#REF!</v>
      </c>
      <c r="X1499" s="33" t="e">
        <f ca="1"/>
        <v>#REF!</v>
      </c>
      <c r="Y1499" s="33" t="e">
        <f ca="1"/>
        <v>#REF!</v>
      </c>
      <c r="Z1499" s="33" t="e">
        <f ca="1"/>
        <v>#REF!</v>
      </c>
      <c r="AA1499" s="33" t="e">
        <f ca="1"/>
        <v>#REF!</v>
      </c>
    </row>
    <row r="1500" spans="1:27" s="70" customFormat="1" ht="11.25" x14ac:dyDescent="0.2">
      <c r="A1500" s="24">
        <v>1494</v>
      </c>
      <c r="B1500" s="27"/>
      <c r="C1500" s="28"/>
      <c r="D1500" s="71"/>
      <c r="E1500" s="28"/>
      <c r="F1500" s="28"/>
      <c r="G1500" s="27"/>
      <c r="H1500" s="28" t="e">
        <f ca="1"/>
        <v>#REF!</v>
      </c>
      <c r="I1500" s="27" t="e">
        <f ca="1"/>
        <v>#REF!</v>
      </c>
      <c r="J1500" s="28" t="e">
        <f ca="1"/>
        <v>#REF!</v>
      </c>
      <c r="K1500" s="27" t="e">
        <f ca="1"/>
        <v>#REF!</v>
      </c>
      <c r="L1500" s="25" t="e">
        <f ca="1"/>
        <v>#REF!</v>
      </c>
      <c r="M1500" s="25" t="e">
        <f ca="1"/>
        <v>#REF!</v>
      </c>
      <c r="N1500" s="25" t="e">
        <f ca="1"/>
        <v>#REF!</v>
      </c>
      <c r="O1500" s="25" t="e">
        <f ca="1"/>
        <v>#REF!</v>
      </c>
      <c r="P1500" s="25" t="e">
        <f ca="1"/>
        <v>#REF!</v>
      </c>
      <c r="Q1500" s="25" t="e">
        <f ca="1"/>
        <v>#REF!</v>
      </c>
      <c r="R1500" s="25" t="e">
        <f ca="1"/>
        <v>#REF!</v>
      </c>
      <c r="S1500" s="25" t="e">
        <f ca="1"/>
        <v>#REF!</v>
      </c>
      <c r="T1500" s="25" t="e">
        <f ca="1"/>
        <v>#REF!</v>
      </c>
      <c r="U1500" s="25" t="e">
        <f ca="1"/>
        <v>#REF!</v>
      </c>
      <c r="V1500" s="25" t="e">
        <f ca="1"/>
        <v>#REF!</v>
      </c>
      <c r="W1500" s="33" t="e">
        <f ca="1"/>
        <v>#REF!</v>
      </c>
      <c r="X1500" s="33" t="e">
        <f ca="1"/>
        <v>#REF!</v>
      </c>
      <c r="Y1500" s="33" t="e">
        <f ca="1"/>
        <v>#REF!</v>
      </c>
      <c r="Z1500" s="33" t="e">
        <f ca="1"/>
        <v>#REF!</v>
      </c>
      <c r="AA1500" s="33" t="e">
        <f ca="1"/>
        <v>#REF!</v>
      </c>
    </row>
    <row r="1501" spans="1:27" s="70" customFormat="1" ht="11.25" x14ac:dyDescent="0.2">
      <c r="A1501" s="24">
        <v>1495</v>
      </c>
      <c r="B1501" s="27"/>
      <c r="C1501" s="28"/>
      <c r="D1501" s="71"/>
      <c r="E1501" s="28"/>
      <c r="F1501" s="28"/>
      <c r="G1501" s="27"/>
      <c r="H1501" s="28" t="e">
        <f ca="1"/>
        <v>#REF!</v>
      </c>
      <c r="I1501" s="27" t="e">
        <f ca="1"/>
        <v>#REF!</v>
      </c>
      <c r="J1501" s="28" t="e">
        <f ca="1"/>
        <v>#REF!</v>
      </c>
      <c r="K1501" s="27" t="e">
        <f ca="1"/>
        <v>#REF!</v>
      </c>
      <c r="L1501" s="25" t="e">
        <f ca="1"/>
        <v>#REF!</v>
      </c>
      <c r="M1501" s="25" t="e">
        <f ca="1"/>
        <v>#REF!</v>
      </c>
      <c r="N1501" s="25" t="e">
        <f ca="1"/>
        <v>#REF!</v>
      </c>
      <c r="O1501" s="25" t="e">
        <f ca="1"/>
        <v>#REF!</v>
      </c>
      <c r="P1501" s="25" t="e">
        <f ca="1"/>
        <v>#REF!</v>
      </c>
      <c r="Q1501" s="25" t="e">
        <f ca="1"/>
        <v>#REF!</v>
      </c>
      <c r="R1501" s="25" t="e">
        <f ca="1"/>
        <v>#REF!</v>
      </c>
      <c r="S1501" s="25" t="e">
        <f ca="1"/>
        <v>#REF!</v>
      </c>
      <c r="T1501" s="25" t="e">
        <f ca="1"/>
        <v>#REF!</v>
      </c>
      <c r="U1501" s="25" t="e">
        <f ca="1"/>
        <v>#REF!</v>
      </c>
      <c r="V1501" s="25" t="e">
        <f ca="1"/>
        <v>#REF!</v>
      </c>
      <c r="W1501" s="33" t="e">
        <f ca="1"/>
        <v>#REF!</v>
      </c>
      <c r="X1501" s="33" t="e">
        <f ca="1"/>
        <v>#REF!</v>
      </c>
      <c r="Y1501" s="33" t="e">
        <f ca="1"/>
        <v>#REF!</v>
      </c>
      <c r="Z1501" s="33" t="e">
        <f ca="1"/>
        <v>#REF!</v>
      </c>
      <c r="AA1501" s="33" t="e">
        <f ca="1"/>
        <v>#REF!</v>
      </c>
    </row>
    <row r="1502" spans="1:27" s="70" customFormat="1" ht="11.25" x14ac:dyDescent="0.2">
      <c r="A1502" s="24">
        <v>1496</v>
      </c>
      <c r="B1502" s="27"/>
      <c r="C1502" s="28"/>
      <c r="D1502" s="71"/>
      <c r="E1502" s="28"/>
      <c r="F1502" s="28"/>
      <c r="G1502" s="27"/>
      <c r="H1502" s="28" t="e">
        <f ca="1"/>
        <v>#REF!</v>
      </c>
      <c r="I1502" s="27" t="e">
        <f ca="1"/>
        <v>#REF!</v>
      </c>
      <c r="J1502" s="28" t="e">
        <f ca="1"/>
        <v>#REF!</v>
      </c>
      <c r="K1502" s="27" t="e">
        <f ca="1"/>
        <v>#REF!</v>
      </c>
      <c r="L1502" s="25" t="e">
        <f ca="1"/>
        <v>#REF!</v>
      </c>
      <c r="M1502" s="25" t="e">
        <f ca="1"/>
        <v>#REF!</v>
      </c>
      <c r="N1502" s="25" t="e">
        <f ca="1"/>
        <v>#REF!</v>
      </c>
      <c r="O1502" s="25" t="e">
        <f ca="1"/>
        <v>#REF!</v>
      </c>
      <c r="P1502" s="25" t="e">
        <f ca="1"/>
        <v>#REF!</v>
      </c>
      <c r="Q1502" s="25" t="e">
        <f ca="1"/>
        <v>#REF!</v>
      </c>
      <c r="R1502" s="25" t="e">
        <f ca="1"/>
        <v>#REF!</v>
      </c>
      <c r="S1502" s="25" t="e">
        <f ca="1"/>
        <v>#REF!</v>
      </c>
      <c r="T1502" s="25" t="e">
        <f ca="1"/>
        <v>#REF!</v>
      </c>
      <c r="U1502" s="25" t="e">
        <f ca="1"/>
        <v>#REF!</v>
      </c>
      <c r="V1502" s="25" t="e">
        <f ca="1"/>
        <v>#REF!</v>
      </c>
      <c r="W1502" s="33" t="e">
        <f ca="1"/>
        <v>#REF!</v>
      </c>
      <c r="X1502" s="33" t="e">
        <f ca="1"/>
        <v>#REF!</v>
      </c>
      <c r="Y1502" s="33" t="e">
        <f ca="1"/>
        <v>#REF!</v>
      </c>
      <c r="Z1502" s="33" t="e">
        <f ca="1"/>
        <v>#REF!</v>
      </c>
      <c r="AA1502" s="33" t="e">
        <f ca="1"/>
        <v>#REF!</v>
      </c>
    </row>
    <row r="1503" spans="1:27" s="70" customFormat="1" ht="11.25" x14ac:dyDescent="0.2">
      <c r="A1503" s="24">
        <v>1497</v>
      </c>
      <c r="B1503" s="27"/>
      <c r="C1503" s="28"/>
      <c r="D1503" s="71"/>
      <c r="E1503" s="28"/>
      <c r="F1503" s="28"/>
      <c r="G1503" s="27"/>
      <c r="H1503" s="28" t="e">
        <f ca="1"/>
        <v>#REF!</v>
      </c>
      <c r="I1503" s="27" t="e">
        <f ca="1"/>
        <v>#REF!</v>
      </c>
      <c r="J1503" s="28" t="e">
        <f ca="1"/>
        <v>#REF!</v>
      </c>
      <c r="K1503" s="27" t="e">
        <f ca="1"/>
        <v>#REF!</v>
      </c>
      <c r="L1503" s="25" t="e">
        <f ca="1"/>
        <v>#REF!</v>
      </c>
      <c r="M1503" s="25" t="e">
        <f ca="1"/>
        <v>#REF!</v>
      </c>
      <c r="N1503" s="25" t="e">
        <f ca="1"/>
        <v>#REF!</v>
      </c>
      <c r="O1503" s="25" t="e">
        <f ca="1"/>
        <v>#REF!</v>
      </c>
      <c r="P1503" s="25" t="e">
        <f ca="1"/>
        <v>#REF!</v>
      </c>
      <c r="Q1503" s="25" t="e">
        <f ca="1"/>
        <v>#REF!</v>
      </c>
      <c r="R1503" s="25" t="e">
        <f ca="1"/>
        <v>#REF!</v>
      </c>
      <c r="S1503" s="25" t="e">
        <f ca="1"/>
        <v>#REF!</v>
      </c>
      <c r="T1503" s="25" t="e">
        <f ca="1"/>
        <v>#REF!</v>
      </c>
      <c r="U1503" s="25" t="e">
        <f ca="1"/>
        <v>#REF!</v>
      </c>
      <c r="V1503" s="25" t="e">
        <f ca="1"/>
        <v>#REF!</v>
      </c>
      <c r="W1503" s="33" t="e">
        <f ca="1"/>
        <v>#REF!</v>
      </c>
      <c r="X1503" s="33" t="e">
        <f ca="1"/>
        <v>#REF!</v>
      </c>
      <c r="Y1503" s="33" t="e">
        <f ca="1"/>
        <v>#REF!</v>
      </c>
      <c r="Z1503" s="33" t="e">
        <f ca="1"/>
        <v>#REF!</v>
      </c>
      <c r="AA1503" s="33" t="e">
        <f ca="1"/>
        <v>#REF!</v>
      </c>
    </row>
    <row r="1504" spans="1:27" s="70" customFormat="1" ht="11.25" x14ac:dyDescent="0.2">
      <c r="A1504" s="24">
        <v>1498</v>
      </c>
      <c r="B1504" s="27"/>
      <c r="C1504" s="28"/>
      <c r="D1504" s="71"/>
      <c r="E1504" s="28"/>
      <c r="F1504" s="28"/>
      <c r="G1504" s="27"/>
      <c r="H1504" s="28" t="e">
        <f ca="1"/>
        <v>#REF!</v>
      </c>
      <c r="I1504" s="27" t="e">
        <f ca="1"/>
        <v>#REF!</v>
      </c>
      <c r="J1504" s="28" t="e">
        <f ca="1"/>
        <v>#REF!</v>
      </c>
      <c r="K1504" s="27" t="e">
        <f ca="1"/>
        <v>#REF!</v>
      </c>
      <c r="L1504" s="25" t="e">
        <f ca="1"/>
        <v>#REF!</v>
      </c>
      <c r="M1504" s="25" t="e">
        <f ca="1"/>
        <v>#REF!</v>
      </c>
      <c r="N1504" s="25" t="e">
        <f ca="1"/>
        <v>#REF!</v>
      </c>
      <c r="O1504" s="25" t="e">
        <f ca="1"/>
        <v>#REF!</v>
      </c>
      <c r="P1504" s="25" t="e">
        <f ca="1"/>
        <v>#REF!</v>
      </c>
      <c r="Q1504" s="25" t="e">
        <f ca="1"/>
        <v>#REF!</v>
      </c>
      <c r="R1504" s="25" t="e">
        <f ca="1"/>
        <v>#REF!</v>
      </c>
      <c r="S1504" s="25" t="e">
        <f ca="1"/>
        <v>#REF!</v>
      </c>
      <c r="T1504" s="25" t="e">
        <f ca="1"/>
        <v>#REF!</v>
      </c>
      <c r="U1504" s="25" t="e">
        <f ca="1"/>
        <v>#REF!</v>
      </c>
      <c r="V1504" s="25" t="e">
        <f ca="1"/>
        <v>#REF!</v>
      </c>
      <c r="W1504" s="33" t="e">
        <f ca="1"/>
        <v>#REF!</v>
      </c>
      <c r="X1504" s="33" t="e">
        <f ca="1"/>
        <v>#REF!</v>
      </c>
      <c r="Y1504" s="33" t="e">
        <f ca="1"/>
        <v>#REF!</v>
      </c>
      <c r="Z1504" s="33" t="e">
        <f ca="1"/>
        <v>#REF!</v>
      </c>
      <c r="AA1504" s="33" t="e">
        <f ca="1"/>
        <v>#REF!</v>
      </c>
    </row>
    <row r="1505" spans="1:27" s="70" customFormat="1" ht="11.25" x14ac:dyDescent="0.2">
      <c r="A1505" s="24">
        <v>1499</v>
      </c>
      <c r="B1505" s="27"/>
      <c r="C1505" s="28"/>
      <c r="D1505" s="71"/>
      <c r="E1505" s="28"/>
      <c r="F1505" s="28"/>
      <c r="G1505" s="27"/>
      <c r="H1505" s="28" t="e">
        <f ca="1"/>
        <v>#REF!</v>
      </c>
      <c r="I1505" s="27" t="e">
        <f ca="1"/>
        <v>#REF!</v>
      </c>
      <c r="J1505" s="28" t="e">
        <f ca="1"/>
        <v>#REF!</v>
      </c>
      <c r="K1505" s="27" t="e">
        <f ca="1"/>
        <v>#REF!</v>
      </c>
      <c r="L1505" s="25" t="e">
        <f ca="1"/>
        <v>#REF!</v>
      </c>
      <c r="M1505" s="25" t="e">
        <f ca="1"/>
        <v>#REF!</v>
      </c>
      <c r="N1505" s="25" t="e">
        <f ca="1"/>
        <v>#REF!</v>
      </c>
      <c r="O1505" s="25" t="e">
        <f ca="1"/>
        <v>#REF!</v>
      </c>
      <c r="P1505" s="25" t="e">
        <f ca="1"/>
        <v>#REF!</v>
      </c>
      <c r="Q1505" s="25" t="e">
        <f ca="1"/>
        <v>#REF!</v>
      </c>
      <c r="R1505" s="25" t="e">
        <f ca="1"/>
        <v>#REF!</v>
      </c>
      <c r="S1505" s="25" t="e">
        <f ca="1"/>
        <v>#REF!</v>
      </c>
      <c r="T1505" s="25" t="e">
        <f ca="1"/>
        <v>#REF!</v>
      </c>
      <c r="U1505" s="25" t="e">
        <f ca="1"/>
        <v>#REF!</v>
      </c>
      <c r="V1505" s="25" t="e">
        <f ca="1"/>
        <v>#REF!</v>
      </c>
      <c r="W1505" s="33" t="e">
        <f ca="1"/>
        <v>#REF!</v>
      </c>
      <c r="X1505" s="33" t="e">
        <f ca="1"/>
        <v>#REF!</v>
      </c>
      <c r="Y1505" s="33" t="e">
        <f ca="1"/>
        <v>#REF!</v>
      </c>
      <c r="Z1505" s="33" t="e">
        <f ca="1"/>
        <v>#REF!</v>
      </c>
      <c r="AA1505" s="33" t="e">
        <f ca="1"/>
        <v>#REF!</v>
      </c>
    </row>
    <row r="1506" spans="1:27" s="70" customFormat="1" ht="11.25" x14ac:dyDescent="0.2">
      <c r="A1506" s="24">
        <v>1500</v>
      </c>
      <c r="B1506" s="27"/>
      <c r="C1506" s="28"/>
      <c r="D1506" s="71"/>
      <c r="E1506" s="28"/>
      <c r="F1506" s="28"/>
      <c r="G1506" s="27"/>
      <c r="H1506" s="28" t="e">
        <f ca="1"/>
        <v>#REF!</v>
      </c>
      <c r="I1506" s="27" t="e">
        <f ca="1"/>
        <v>#REF!</v>
      </c>
      <c r="J1506" s="28" t="e">
        <f ca="1"/>
        <v>#REF!</v>
      </c>
      <c r="K1506" s="27" t="e">
        <f ca="1"/>
        <v>#REF!</v>
      </c>
      <c r="L1506" s="25" t="e">
        <f ca="1"/>
        <v>#REF!</v>
      </c>
      <c r="M1506" s="25" t="e">
        <f ca="1"/>
        <v>#REF!</v>
      </c>
      <c r="N1506" s="25" t="e">
        <f ca="1"/>
        <v>#REF!</v>
      </c>
      <c r="O1506" s="25" t="e">
        <f ca="1"/>
        <v>#REF!</v>
      </c>
      <c r="P1506" s="25" t="e">
        <f ca="1"/>
        <v>#REF!</v>
      </c>
      <c r="Q1506" s="25" t="e">
        <f ca="1"/>
        <v>#REF!</v>
      </c>
      <c r="R1506" s="25" t="e">
        <f ca="1"/>
        <v>#REF!</v>
      </c>
      <c r="S1506" s="25" t="e">
        <f ca="1"/>
        <v>#REF!</v>
      </c>
      <c r="T1506" s="25" t="e">
        <f ca="1"/>
        <v>#REF!</v>
      </c>
      <c r="U1506" s="25" t="e">
        <f ca="1"/>
        <v>#REF!</v>
      </c>
      <c r="V1506" s="25" t="e">
        <f ca="1"/>
        <v>#REF!</v>
      </c>
      <c r="W1506" s="33" t="e">
        <f ca="1"/>
        <v>#REF!</v>
      </c>
      <c r="X1506" s="33" t="e">
        <f ca="1"/>
        <v>#REF!</v>
      </c>
      <c r="Y1506" s="33" t="e">
        <f ca="1"/>
        <v>#REF!</v>
      </c>
      <c r="Z1506" s="33" t="e">
        <f ca="1"/>
        <v>#REF!</v>
      </c>
      <c r="AA1506" s="33" t="e">
        <f ca="1"/>
        <v>#REF!</v>
      </c>
    </row>
    <row r="1507" spans="1:27" s="70" customFormat="1" ht="11.25" x14ac:dyDescent="0.2">
      <c r="A1507" s="24">
        <v>1501</v>
      </c>
      <c r="B1507" s="27"/>
      <c r="C1507" s="28"/>
      <c r="D1507" s="71"/>
      <c r="E1507" s="28"/>
      <c r="F1507" s="28"/>
      <c r="G1507" s="27"/>
      <c r="H1507" s="28" t="e">
        <f ca="1"/>
        <v>#REF!</v>
      </c>
      <c r="I1507" s="27" t="e">
        <f ca="1"/>
        <v>#REF!</v>
      </c>
      <c r="J1507" s="28" t="e">
        <f ca="1"/>
        <v>#REF!</v>
      </c>
      <c r="K1507" s="27" t="e">
        <f ca="1"/>
        <v>#REF!</v>
      </c>
      <c r="L1507" s="25" t="e">
        <f ca="1"/>
        <v>#REF!</v>
      </c>
      <c r="M1507" s="25" t="e">
        <f ca="1"/>
        <v>#REF!</v>
      </c>
      <c r="N1507" s="25" t="e">
        <f ca="1"/>
        <v>#REF!</v>
      </c>
      <c r="O1507" s="25" t="e">
        <f ca="1"/>
        <v>#REF!</v>
      </c>
      <c r="P1507" s="25" t="e">
        <f ca="1"/>
        <v>#REF!</v>
      </c>
      <c r="Q1507" s="25" t="e">
        <f ca="1"/>
        <v>#REF!</v>
      </c>
      <c r="R1507" s="25" t="e">
        <f ca="1"/>
        <v>#REF!</v>
      </c>
      <c r="S1507" s="25" t="e">
        <f ca="1"/>
        <v>#REF!</v>
      </c>
      <c r="T1507" s="25" t="e">
        <f ca="1"/>
        <v>#REF!</v>
      </c>
      <c r="U1507" s="25" t="e">
        <f ca="1"/>
        <v>#REF!</v>
      </c>
      <c r="V1507" s="25" t="e">
        <f ca="1"/>
        <v>#REF!</v>
      </c>
      <c r="W1507" s="33" t="e">
        <f ca="1"/>
        <v>#REF!</v>
      </c>
      <c r="X1507" s="33" t="e">
        <f ca="1"/>
        <v>#REF!</v>
      </c>
      <c r="Y1507" s="33" t="e">
        <f ca="1"/>
        <v>#REF!</v>
      </c>
      <c r="Z1507" s="33" t="e">
        <f ca="1"/>
        <v>#REF!</v>
      </c>
      <c r="AA1507" s="33" t="e">
        <f ca="1"/>
        <v>#REF!</v>
      </c>
    </row>
    <row r="1508" spans="1:27" s="70" customFormat="1" ht="11.25" x14ac:dyDescent="0.2">
      <c r="A1508" s="24">
        <v>1502</v>
      </c>
      <c r="B1508" s="27"/>
      <c r="C1508" s="28"/>
      <c r="D1508" s="71"/>
      <c r="E1508" s="28"/>
      <c r="F1508" s="28"/>
      <c r="G1508" s="27"/>
      <c r="H1508" s="28" t="e">
        <f ca="1"/>
        <v>#REF!</v>
      </c>
      <c r="I1508" s="27" t="e">
        <f ca="1"/>
        <v>#REF!</v>
      </c>
      <c r="J1508" s="28" t="e">
        <f ca="1"/>
        <v>#REF!</v>
      </c>
      <c r="K1508" s="27" t="e">
        <f ca="1"/>
        <v>#REF!</v>
      </c>
      <c r="L1508" s="25" t="e">
        <f ca="1"/>
        <v>#REF!</v>
      </c>
      <c r="M1508" s="25" t="e">
        <f ca="1"/>
        <v>#REF!</v>
      </c>
      <c r="N1508" s="25" t="e">
        <f ca="1"/>
        <v>#REF!</v>
      </c>
      <c r="O1508" s="25" t="e">
        <f ca="1"/>
        <v>#REF!</v>
      </c>
      <c r="P1508" s="25" t="e">
        <f ca="1"/>
        <v>#REF!</v>
      </c>
      <c r="Q1508" s="25" t="e">
        <f ca="1"/>
        <v>#REF!</v>
      </c>
      <c r="R1508" s="25" t="e">
        <f ca="1"/>
        <v>#REF!</v>
      </c>
      <c r="S1508" s="25" t="e">
        <f ca="1"/>
        <v>#REF!</v>
      </c>
      <c r="T1508" s="25" t="e">
        <f ca="1"/>
        <v>#REF!</v>
      </c>
      <c r="U1508" s="25" t="e">
        <f ca="1"/>
        <v>#REF!</v>
      </c>
      <c r="V1508" s="25" t="e">
        <f ca="1"/>
        <v>#REF!</v>
      </c>
      <c r="W1508" s="33" t="e">
        <f ca="1"/>
        <v>#REF!</v>
      </c>
      <c r="X1508" s="33" t="e">
        <f ca="1"/>
        <v>#REF!</v>
      </c>
      <c r="Y1508" s="33" t="e">
        <f ca="1"/>
        <v>#REF!</v>
      </c>
      <c r="Z1508" s="33" t="e">
        <f ca="1"/>
        <v>#REF!</v>
      </c>
      <c r="AA1508" s="33" t="e">
        <f ca="1"/>
        <v>#REF!</v>
      </c>
    </row>
    <row r="1509" spans="1:27" s="70" customFormat="1" ht="11.25" x14ac:dyDescent="0.2">
      <c r="A1509" s="24">
        <v>1503</v>
      </c>
      <c r="B1509" s="27"/>
      <c r="C1509" s="28"/>
      <c r="D1509" s="71"/>
      <c r="E1509" s="28"/>
      <c r="F1509" s="28"/>
      <c r="G1509" s="27"/>
      <c r="H1509" s="28" t="e">
        <f ca="1"/>
        <v>#REF!</v>
      </c>
      <c r="I1509" s="27" t="e">
        <f ca="1"/>
        <v>#REF!</v>
      </c>
      <c r="J1509" s="28" t="e">
        <f ca="1"/>
        <v>#REF!</v>
      </c>
      <c r="K1509" s="27" t="e">
        <f ca="1"/>
        <v>#REF!</v>
      </c>
      <c r="L1509" s="25" t="e">
        <f ca="1"/>
        <v>#REF!</v>
      </c>
      <c r="M1509" s="25" t="e">
        <f ca="1"/>
        <v>#REF!</v>
      </c>
      <c r="N1509" s="25" t="e">
        <f ca="1"/>
        <v>#REF!</v>
      </c>
      <c r="O1509" s="25" t="e">
        <f ca="1"/>
        <v>#REF!</v>
      </c>
      <c r="P1509" s="25" t="e">
        <f ca="1"/>
        <v>#REF!</v>
      </c>
      <c r="Q1509" s="25" t="e">
        <f ca="1"/>
        <v>#REF!</v>
      </c>
      <c r="R1509" s="25" t="e">
        <f ca="1"/>
        <v>#REF!</v>
      </c>
      <c r="S1509" s="25" t="e">
        <f ca="1"/>
        <v>#REF!</v>
      </c>
      <c r="T1509" s="25" t="e">
        <f ca="1"/>
        <v>#REF!</v>
      </c>
      <c r="U1509" s="25" t="e">
        <f ca="1"/>
        <v>#REF!</v>
      </c>
      <c r="V1509" s="25" t="e">
        <f ca="1"/>
        <v>#REF!</v>
      </c>
      <c r="W1509" s="33" t="e">
        <f ca="1"/>
        <v>#REF!</v>
      </c>
      <c r="X1509" s="33" t="e">
        <f ca="1"/>
        <v>#REF!</v>
      </c>
      <c r="Y1509" s="33" t="e">
        <f ca="1"/>
        <v>#REF!</v>
      </c>
      <c r="Z1509" s="33" t="e">
        <f ca="1"/>
        <v>#REF!</v>
      </c>
      <c r="AA1509" s="33" t="e">
        <f ca="1"/>
        <v>#REF!</v>
      </c>
    </row>
    <row r="1510" spans="1:27" s="70" customFormat="1" ht="11.25" x14ac:dyDescent="0.2">
      <c r="A1510" s="24">
        <v>1504</v>
      </c>
      <c r="B1510" s="27"/>
      <c r="C1510" s="28"/>
      <c r="D1510" s="71"/>
      <c r="E1510" s="28"/>
      <c r="F1510" s="28"/>
      <c r="G1510" s="27"/>
      <c r="H1510" s="28" t="e">
        <f ca="1"/>
        <v>#REF!</v>
      </c>
      <c r="I1510" s="27" t="e">
        <f ca="1"/>
        <v>#REF!</v>
      </c>
      <c r="J1510" s="28" t="e">
        <f ca="1"/>
        <v>#REF!</v>
      </c>
      <c r="K1510" s="27" t="e">
        <f ca="1"/>
        <v>#REF!</v>
      </c>
      <c r="L1510" s="25" t="e">
        <f ca="1"/>
        <v>#REF!</v>
      </c>
      <c r="M1510" s="25" t="e">
        <f ca="1"/>
        <v>#REF!</v>
      </c>
      <c r="N1510" s="25" t="e">
        <f ca="1"/>
        <v>#REF!</v>
      </c>
      <c r="O1510" s="25" t="e">
        <f ca="1"/>
        <v>#REF!</v>
      </c>
      <c r="P1510" s="25" t="e">
        <f ca="1"/>
        <v>#REF!</v>
      </c>
      <c r="Q1510" s="25" t="e">
        <f ca="1"/>
        <v>#REF!</v>
      </c>
      <c r="R1510" s="25" t="e">
        <f ca="1"/>
        <v>#REF!</v>
      </c>
      <c r="S1510" s="25" t="e">
        <f ca="1"/>
        <v>#REF!</v>
      </c>
      <c r="T1510" s="25" t="e">
        <f ca="1"/>
        <v>#REF!</v>
      </c>
      <c r="U1510" s="25" t="e">
        <f ca="1"/>
        <v>#REF!</v>
      </c>
      <c r="V1510" s="25" t="e">
        <f ca="1"/>
        <v>#REF!</v>
      </c>
      <c r="W1510" s="33" t="e">
        <f ca="1"/>
        <v>#REF!</v>
      </c>
      <c r="X1510" s="33" t="e">
        <f ca="1"/>
        <v>#REF!</v>
      </c>
      <c r="Y1510" s="33" t="e">
        <f ca="1"/>
        <v>#REF!</v>
      </c>
      <c r="Z1510" s="33" t="e">
        <f ca="1"/>
        <v>#REF!</v>
      </c>
      <c r="AA1510" s="33" t="e">
        <f ca="1"/>
        <v>#REF!</v>
      </c>
    </row>
    <row r="1511" spans="1:27" s="70" customFormat="1" ht="11.25" x14ac:dyDescent="0.2">
      <c r="A1511" s="24">
        <v>1505</v>
      </c>
      <c r="B1511" s="27"/>
      <c r="C1511" s="28"/>
      <c r="D1511" s="71"/>
      <c r="E1511" s="28"/>
      <c r="F1511" s="28"/>
      <c r="G1511" s="27"/>
      <c r="H1511" s="28" t="e">
        <f ca="1"/>
        <v>#REF!</v>
      </c>
      <c r="I1511" s="27" t="e">
        <f ca="1"/>
        <v>#REF!</v>
      </c>
      <c r="J1511" s="28" t="e">
        <f ca="1"/>
        <v>#REF!</v>
      </c>
      <c r="K1511" s="27" t="e">
        <f ca="1"/>
        <v>#REF!</v>
      </c>
      <c r="L1511" s="25" t="e">
        <f ca="1"/>
        <v>#REF!</v>
      </c>
      <c r="M1511" s="25" t="e">
        <f ca="1"/>
        <v>#REF!</v>
      </c>
      <c r="N1511" s="25" t="e">
        <f ca="1"/>
        <v>#REF!</v>
      </c>
      <c r="O1511" s="25" t="e">
        <f ca="1"/>
        <v>#REF!</v>
      </c>
      <c r="P1511" s="25" t="e">
        <f ca="1"/>
        <v>#REF!</v>
      </c>
      <c r="Q1511" s="25" t="e">
        <f ca="1"/>
        <v>#REF!</v>
      </c>
      <c r="R1511" s="25" t="e">
        <f ca="1"/>
        <v>#REF!</v>
      </c>
      <c r="S1511" s="25" t="e">
        <f ca="1"/>
        <v>#REF!</v>
      </c>
      <c r="T1511" s="25" t="e">
        <f ca="1"/>
        <v>#REF!</v>
      </c>
      <c r="U1511" s="25" t="e">
        <f ca="1"/>
        <v>#REF!</v>
      </c>
      <c r="V1511" s="25" t="e">
        <f ca="1"/>
        <v>#REF!</v>
      </c>
      <c r="W1511" s="33" t="e">
        <f ca="1"/>
        <v>#REF!</v>
      </c>
      <c r="X1511" s="33" t="e">
        <f ca="1"/>
        <v>#REF!</v>
      </c>
      <c r="Y1511" s="33" t="e">
        <f ca="1"/>
        <v>#REF!</v>
      </c>
      <c r="Z1511" s="33" t="e">
        <f ca="1"/>
        <v>#REF!</v>
      </c>
      <c r="AA1511" s="33" t="e">
        <f ca="1"/>
        <v>#REF!</v>
      </c>
    </row>
    <row r="1512" spans="1:27" s="70" customFormat="1" ht="11.25" x14ac:dyDescent="0.2">
      <c r="A1512" s="24">
        <v>1506</v>
      </c>
      <c r="B1512" s="27"/>
      <c r="C1512" s="28"/>
      <c r="D1512" s="71"/>
      <c r="E1512" s="28"/>
      <c r="F1512" s="28"/>
      <c r="G1512" s="27"/>
      <c r="H1512" s="28" t="e">
        <f ca="1"/>
        <v>#REF!</v>
      </c>
      <c r="I1512" s="27" t="e">
        <f ca="1"/>
        <v>#REF!</v>
      </c>
      <c r="J1512" s="28" t="e">
        <f ca="1"/>
        <v>#REF!</v>
      </c>
      <c r="K1512" s="27" t="e">
        <f ca="1"/>
        <v>#REF!</v>
      </c>
      <c r="L1512" s="25" t="e">
        <f ca="1"/>
        <v>#REF!</v>
      </c>
      <c r="M1512" s="25" t="e">
        <f ca="1"/>
        <v>#REF!</v>
      </c>
      <c r="N1512" s="25" t="e">
        <f ca="1"/>
        <v>#REF!</v>
      </c>
      <c r="O1512" s="25" t="e">
        <f ca="1"/>
        <v>#REF!</v>
      </c>
      <c r="P1512" s="25" t="e">
        <f ca="1"/>
        <v>#REF!</v>
      </c>
      <c r="Q1512" s="25" t="e">
        <f ca="1"/>
        <v>#REF!</v>
      </c>
      <c r="R1512" s="25" t="e">
        <f ca="1"/>
        <v>#REF!</v>
      </c>
      <c r="S1512" s="25" t="e">
        <f ca="1"/>
        <v>#REF!</v>
      </c>
      <c r="T1512" s="25" t="e">
        <f ca="1"/>
        <v>#REF!</v>
      </c>
      <c r="U1512" s="25" t="e">
        <f ca="1"/>
        <v>#REF!</v>
      </c>
      <c r="V1512" s="25" t="e">
        <f ca="1"/>
        <v>#REF!</v>
      </c>
      <c r="W1512" s="33" t="e">
        <f ca="1"/>
        <v>#REF!</v>
      </c>
      <c r="X1512" s="33" t="e">
        <f ca="1"/>
        <v>#REF!</v>
      </c>
      <c r="Y1512" s="33" t="e">
        <f ca="1"/>
        <v>#REF!</v>
      </c>
      <c r="Z1512" s="33" t="e">
        <f ca="1"/>
        <v>#REF!</v>
      </c>
      <c r="AA1512" s="33" t="e">
        <f ca="1"/>
        <v>#REF!</v>
      </c>
    </row>
    <row r="1513" spans="1:27" s="70" customFormat="1" ht="11.25" x14ac:dyDescent="0.2">
      <c r="A1513" s="24">
        <v>1507</v>
      </c>
      <c r="B1513" s="27"/>
      <c r="C1513" s="28"/>
      <c r="D1513" s="71"/>
      <c r="E1513" s="28"/>
      <c r="F1513" s="28"/>
      <c r="G1513" s="27"/>
      <c r="H1513" s="28" t="e">
        <f ca="1"/>
        <v>#REF!</v>
      </c>
      <c r="I1513" s="27" t="e">
        <f ca="1"/>
        <v>#REF!</v>
      </c>
      <c r="J1513" s="28" t="e">
        <f ca="1"/>
        <v>#REF!</v>
      </c>
      <c r="K1513" s="27" t="e">
        <f ca="1"/>
        <v>#REF!</v>
      </c>
      <c r="L1513" s="25" t="e">
        <f ca="1"/>
        <v>#REF!</v>
      </c>
      <c r="M1513" s="25" t="e">
        <f ca="1"/>
        <v>#REF!</v>
      </c>
      <c r="N1513" s="25" t="e">
        <f ca="1"/>
        <v>#REF!</v>
      </c>
      <c r="O1513" s="25" t="e">
        <f ca="1"/>
        <v>#REF!</v>
      </c>
      <c r="P1513" s="25" t="e">
        <f ca="1"/>
        <v>#REF!</v>
      </c>
      <c r="Q1513" s="25" t="e">
        <f ca="1"/>
        <v>#REF!</v>
      </c>
      <c r="R1513" s="25" t="e">
        <f ca="1"/>
        <v>#REF!</v>
      </c>
      <c r="S1513" s="25" t="e">
        <f ca="1"/>
        <v>#REF!</v>
      </c>
      <c r="T1513" s="25" t="e">
        <f ca="1"/>
        <v>#REF!</v>
      </c>
      <c r="U1513" s="25" t="e">
        <f ca="1"/>
        <v>#REF!</v>
      </c>
      <c r="V1513" s="25" t="e">
        <f ca="1"/>
        <v>#REF!</v>
      </c>
      <c r="W1513" s="33" t="e">
        <f ca="1"/>
        <v>#REF!</v>
      </c>
      <c r="X1513" s="33" t="e">
        <f ca="1"/>
        <v>#REF!</v>
      </c>
      <c r="Y1513" s="33" t="e">
        <f ca="1"/>
        <v>#REF!</v>
      </c>
      <c r="Z1513" s="33" t="e">
        <f ca="1"/>
        <v>#REF!</v>
      </c>
      <c r="AA1513" s="33" t="e">
        <f ca="1"/>
        <v>#REF!</v>
      </c>
    </row>
    <row r="1514" spans="1:27" s="70" customFormat="1" ht="11.25" x14ac:dyDescent="0.2">
      <c r="A1514" s="24">
        <v>1508</v>
      </c>
      <c r="B1514" s="27"/>
      <c r="C1514" s="28"/>
      <c r="D1514" s="71"/>
      <c r="E1514" s="28"/>
      <c r="F1514" s="28"/>
      <c r="G1514" s="27"/>
      <c r="H1514" s="28" t="e">
        <f ca="1"/>
        <v>#REF!</v>
      </c>
      <c r="I1514" s="27" t="e">
        <f ca="1"/>
        <v>#REF!</v>
      </c>
      <c r="J1514" s="28" t="e">
        <f ca="1"/>
        <v>#REF!</v>
      </c>
      <c r="K1514" s="27" t="e">
        <f ca="1"/>
        <v>#REF!</v>
      </c>
      <c r="L1514" s="25" t="e">
        <f ca="1"/>
        <v>#REF!</v>
      </c>
      <c r="M1514" s="25" t="e">
        <f ca="1"/>
        <v>#REF!</v>
      </c>
      <c r="N1514" s="25" t="e">
        <f ca="1"/>
        <v>#REF!</v>
      </c>
      <c r="O1514" s="25" t="e">
        <f ca="1"/>
        <v>#REF!</v>
      </c>
      <c r="P1514" s="25" t="e">
        <f ca="1"/>
        <v>#REF!</v>
      </c>
      <c r="Q1514" s="25" t="e">
        <f ca="1"/>
        <v>#REF!</v>
      </c>
      <c r="R1514" s="25" t="e">
        <f ca="1"/>
        <v>#REF!</v>
      </c>
      <c r="S1514" s="25" t="e">
        <f ca="1"/>
        <v>#REF!</v>
      </c>
      <c r="T1514" s="25" t="e">
        <f ca="1"/>
        <v>#REF!</v>
      </c>
      <c r="U1514" s="25" t="e">
        <f ca="1"/>
        <v>#REF!</v>
      </c>
      <c r="V1514" s="25" t="e">
        <f ca="1"/>
        <v>#REF!</v>
      </c>
      <c r="W1514" s="33" t="e">
        <f ca="1"/>
        <v>#REF!</v>
      </c>
      <c r="X1514" s="33" t="e">
        <f ca="1"/>
        <v>#REF!</v>
      </c>
      <c r="Y1514" s="33" t="e">
        <f ca="1"/>
        <v>#REF!</v>
      </c>
      <c r="Z1514" s="33" t="e">
        <f ca="1"/>
        <v>#REF!</v>
      </c>
      <c r="AA1514" s="33" t="e">
        <f ca="1"/>
        <v>#REF!</v>
      </c>
    </row>
    <row r="1515" spans="1:27" s="70" customFormat="1" ht="11.25" x14ac:dyDescent="0.2">
      <c r="A1515" s="24">
        <v>1509</v>
      </c>
      <c r="B1515" s="27"/>
      <c r="C1515" s="28"/>
      <c r="D1515" s="71"/>
      <c r="E1515" s="28"/>
      <c r="F1515" s="28"/>
      <c r="G1515" s="27"/>
      <c r="H1515" s="28" t="e">
        <f ca="1"/>
        <v>#REF!</v>
      </c>
      <c r="I1515" s="27" t="e">
        <f ca="1"/>
        <v>#REF!</v>
      </c>
      <c r="J1515" s="28" t="e">
        <f ca="1"/>
        <v>#REF!</v>
      </c>
      <c r="K1515" s="27" t="e">
        <f ca="1"/>
        <v>#REF!</v>
      </c>
      <c r="L1515" s="25" t="e">
        <f ca="1"/>
        <v>#REF!</v>
      </c>
      <c r="M1515" s="25" t="e">
        <f ca="1"/>
        <v>#REF!</v>
      </c>
      <c r="N1515" s="25" t="e">
        <f ca="1"/>
        <v>#REF!</v>
      </c>
      <c r="O1515" s="25" t="e">
        <f ca="1"/>
        <v>#REF!</v>
      </c>
      <c r="P1515" s="25" t="e">
        <f ca="1"/>
        <v>#REF!</v>
      </c>
      <c r="Q1515" s="25" t="e">
        <f ca="1"/>
        <v>#REF!</v>
      </c>
      <c r="R1515" s="25" t="e">
        <f ca="1"/>
        <v>#REF!</v>
      </c>
      <c r="S1515" s="25" t="e">
        <f ca="1"/>
        <v>#REF!</v>
      </c>
      <c r="T1515" s="25" t="e">
        <f ca="1"/>
        <v>#REF!</v>
      </c>
      <c r="U1515" s="25" t="e">
        <f ca="1"/>
        <v>#REF!</v>
      </c>
      <c r="V1515" s="25" t="e">
        <f ca="1"/>
        <v>#REF!</v>
      </c>
      <c r="W1515" s="33" t="e">
        <f ca="1"/>
        <v>#REF!</v>
      </c>
      <c r="X1515" s="33" t="e">
        <f ca="1"/>
        <v>#REF!</v>
      </c>
      <c r="Y1515" s="33" t="e">
        <f ca="1"/>
        <v>#REF!</v>
      </c>
      <c r="Z1515" s="33" t="e">
        <f ca="1"/>
        <v>#REF!</v>
      </c>
      <c r="AA1515" s="33" t="e">
        <f ca="1"/>
        <v>#REF!</v>
      </c>
    </row>
    <row r="1516" spans="1:27" s="70" customFormat="1" ht="11.25" x14ac:dyDescent="0.2">
      <c r="A1516" s="24">
        <v>1510</v>
      </c>
      <c r="B1516" s="27"/>
      <c r="C1516" s="28"/>
      <c r="D1516" s="71"/>
      <c r="E1516" s="28"/>
      <c r="F1516" s="28"/>
      <c r="G1516" s="27"/>
      <c r="H1516" s="28" t="e">
        <f ca="1"/>
        <v>#REF!</v>
      </c>
      <c r="I1516" s="27" t="e">
        <f ca="1"/>
        <v>#REF!</v>
      </c>
      <c r="J1516" s="28" t="e">
        <f ca="1"/>
        <v>#REF!</v>
      </c>
      <c r="K1516" s="27" t="e">
        <f ca="1"/>
        <v>#REF!</v>
      </c>
      <c r="L1516" s="25" t="e">
        <f ca="1"/>
        <v>#REF!</v>
      </c>
      <c r="M1516" s="25" t="e">
        <f ca="1"/>
        <v>#REF!</v>
      </c>
      <c r="N1516" s="25" t="e">
        <f ca="1"/>
        <v>#REF!</v>
      </c>
      <c r="O1516" s="25" t="e">
        <f ca="1"/>
        <v>#REF!</v>
      </c>
      <c r="P1516" s="25" t="e">
        <f ca="1"/>
        <v>#REF!</v>
      </c>
      <c r="Q1516" s="25" t="e">
        <f ca="1"/>
        <v>#REF!</v>
      </c>
      <c r="R1516" s="25" t="e">
        <f ca="1"/>
        <v>#REF!</v>
      </c>
      <c r="S1516" s="25" t="e">
        <f ca="1"/>
        <v>#REF!</v>
      </c>
      <c r="T1516" s="25" t="e">
        <f ca="1"/>
        <v>#REF!</v>
      </c>
      <c r="U1516" s="25" t="e">
        <f ca="1"/>
        <v>#REF!</v>
      </c>
      <c r="V1516" s="25" t="e">
        <f ca="1"/>
        <v>#REF!</v>
      </c>
      <c r="W1516" s="33" t="e">
        <f ca="1"/>
        <v>#REF!</v>
      </c>
      <c r="X1516" s="33" t="e">
        <f ca="1"/>
        <v>#REF!</v>
      </c>
      <c r="Y1516" s="33" t="e">
        <f ca="1"/>
        <v>#REF!</v>
      </c>
      <c r="Z1516" s="33" t="e">
        <f ca="1"/>
        <v>#REF!</v>
      </c>
      <c r="AA1516" s="33" t="e">
        <f ca="1"/>
        <v>#REF!</v>
      </c>
    </row>
    <row r="1517" spans="1:27" s="70" customFormat="1" ht="11.25" x14ac:dyDescent="0.2">
      <c r="A1517" s="24">
        <v>1511</v>
      </c>
      <c r="B1517" s="27"/>
      <c r="C1517" s="28"/>
      <c r="D1517" s="71"/>
      <c r="E1517" s="28"/>
      <c r="F1517" s="28"/>
      <c r="G1517" s="27"/>
      <c r="H1517" s="28" t="e">
        <f ca="1"/>
        <v>#REF!</v>
      </c>
      <c r="I1517" s="27" t="e">
        <f ca="1"/>
        <v>#REF!</v>
      </c>
      <c r="J1517" s="28" t="e">
        <f ca="1"/>
        <v>#REF!</v>
      </c>
      <c r="K1517" s="27" t="e">
        <f ca="1"/>
        <v>#REF!</v>
      </c>
      <c r="L1517" s="25" t="e">
        <f ca="1"/>
        <v>#REF!</v>
      </c>
      <c r="M1517" s="25" t="e">
        <f ca="1"/>
        <v>#REF!</v>
      </c>
      <c r="N1517" s="25" t="e">
        <f ca="1"/>
        <v>#REF!</v>
      </c>
      <c r="O1517" s="25" t="e">
        <f ca="1"/>
        <v>#REF!</v>
      </c>
      <c r="P1517" s="25" t="e">
        <f ca="1"/>
        <v>#REF!</v>
      </c>
      <c r="Q1517" s="25" t="e">
        <f ca="1"/>
        <v>#REF!</v>
      </c>
      <c r="R1517" s="25" t="e">
        <f ca="1"/>
        <v>#REF!</v>
      </c>
      <c r="S1517" s="25" t="e">
        <f ca="1"/>
        <v>#REF!</v>
      </c>
      <c r="T1517" s="25" t="e">
        <f ca="1"/>
        <v>#REF!</v>
      </c>
      <c r="U1517" s="25" t="e">
        <f ca="1"/>
        <v>#REF!</v>
      </c>
      <c r="V1517" s="25" t="e">
        <f ca="1"/>
        <v>#REF!</v>
      </c>
      <c r="W1517" s="33" t="e">
        <f ca="1"/>
        <v>#REF!</v>
      </c>
      <c r="X1517" s="33" t="e">
        <f ca="1"/>
        <v>#REF!</v>
      </c>
      <c r="Y1517" s="33" t="e">
        <f ca="1"/>
        <v>#REF!</v>
      </c>
      <c r="Z1517" s="33" t="e">
        <f ca="1"/>
        <v>#REF!</v>
      </c>
      <c r="AA1517" s="33" t="e">
        <f ca="1"/>
        <v>#REF!</v>
      </c>
    </row>
    <row r="1518" spans="1:27" s="70" customFormat="1" ht="11.25" x14ac:dyDescent="0.2">
      <c r="A1518" s="24">
        <v>1512</v>
      </c>
      <c r="B1518" s="27"/>
      <c r="C1518" s="28"/>
      <c r="D1518" s="71"/>
      <c r="E1518" s="28"/>
      <c r="F1518" s="28"/>
      <c r="G1518" s="27"/>
      <c r="H1518" s="28" t="e">
        <f ca="1"/>
        <v>#REF!</v>
      </c>
      <c r="I1518" s="27" t="e">
        <f ca="1"/>
        <v>#REF!</v>
      </c>
      <c r="J1518" s="28" t="e">
        <f ca="1"/>
        <v>#REF!</v>
      </c>
      <c r="K1518" s="27" t="e">
        <f ca="1"/>
        <v>#REF!</v>
      </c>
      <c r="L1518" s="25" t="e">
        <f ca="1"/>
        <v>#REF!</v>
      </c>
      <c r="M1518" s="25" t="e">
        <f ca="1"/>
        <v>#REF!</v>
      </c>
      <c r="N1518" s="25" t="e">
        <f ca="1"/>
        <v>#REF!</v>
      </c>
      <c r="O1518" s="25" t="e">
        <f ca="1"/>
        <v>#REF!</v>
      </c>
      <c r="P1518" s="25" t="e">
        <f ca="1"/>
        <v>#REF!</v>
      </c>
      <c r="Q1518" s="25" t="e">
        <f ca="1"/>
        <v>#REF!</v>
      </c>
      <c r="R1518" s="25" t="e">
        <f ca="1"/>
        <v>#REF!</v>
      </c>
      <c r="S1518" s="25" t="e">
        <f ca="1"/>
        <v>#REF!</v>
      </c>
      <c r="T1518" s="25" t="e">
        <f ca="1"/>
        <v>#REF!</v>
      </c>
      <c r="U1518" s="25" t="e">
        <f ca="1"/>
        <v>#REF!</v>
      </c>
      <c r="V1518" s="25" t="e">
        <f ca="1"/>
        <v>#REF!</v>
      </c>
      <c r="W1518" s="33" t="e">
        <f ca="1"/>
        <v>#REF!</v>
      </c>
      <c r="X1518" s="33" t="e">
        <f ca="1"/>
        <v>#REF!</v>
      </c>
      <c r="Y1518" s="33" t="e">
        <f ca="1"/>
        <v>#REF!</v>
      </c>
      <c r="Z1518" s="33" t="e">
        <f ca="1"/>
        <v>#REF!</v>
      </c>
      <c r="AA1518" s="33" t="e">
        <f ca="1"/>
        <v>#REF!</v>
      </c>
    </row>
    <row r="1519" spans="1:27" s="70" customFormat="1" ht="11.25" x14ac:dyDescent="0.2">
      <c r="A1519" s="24">
        <v>1513</v>
      </c>
      <c r="B1519" s="27"/>
      <c r="C1519" s="28"/>
      <c r="D1519" s="71"/>
      <c r="E1519" s="28"/>
      <c r="F1519" s="28"/>
      <c r="G1519" s="27"/>
      <c r="H1519" s="28" t="e">
        <f ca="1"/>
        <v>#REF!</v>
      </c>
      <c r="I1519" s="27" t="e">
        <f ca="1"/>
        <v>#REF!</v>
      </c>
      <c r="J1519" s="28" t="e">
        <f ca="1"/>
        <v>#REF!</v>
      </c>
      <c r="K1519" s="27" t="e">
        <f ca="1"/>
        <v>#REF!</v>
      </c>
      <c r="L1519" s="25" t="e">
        <f ca="1"/>
        <v>#REF!</v>
      </c>
      <c r="M1519" s="25" t="e">
        <f ca="1"/>
        <v>#REF!</v>
      </c>
      <c r="N1519" s="25" t="e">
        <f ca="1"/>
        <v>#REF!</v>
      </c>
      <c r="O1519" s="25" t="e">
        <f ca="1"/>
        <v>#REF!</v>
      </c>
      <c r="P1519" s="25" t="e">
        <f ca="1"/>
        <v>#REF!</v>
      </c>
      <c r="Q1519" s="25" t="e">
        <f ca="1"/>
        <v>#REF!</v>
      </c>
      <c r="R1519" s="25" t="e">
        <f ca="1"/>
        <v>#REF!</v>
      </c>
      <c r="S1519" s="25" t="e">
        <f ca="1"/>
        <v>#REF!</v>
      </c>
      <c r="T1519" s="25" t="e">
        <f ca="1"/>
        <v>#REF!</v>
      </c>
      <c r="U1519" s="25" t="e">
        <f ca="1"/>
        <v>#REF!</v>
      </c>
      <c r="V1519" s="25" t="e">
        <f ca="1"/>
        <v>#REF!</v>
      </c>
      <c r="W1519" s="33" t="e">
        <f ca="1"/>
        <v>#REF!</v>
      </c>
      <c r="X1519" s="33" t="e">
        <f ca="1"/>
        <v>#REF!</v>
      </c>
      <c r="Y1519" s="33" t="e">
        <f ca="1"/>
        <v>#REF!</v>
      </c>
      <c r="Z1519" s="33" t="e">
        <f ca="1"/>
        <v>#REF!</v>
      </c>
      <c r="AA1519" s="33" t="e">
        <f ca="1"/>
        <v>#REF!</v>
      </c>
    </row>
    <row r="1520" spans="1:27" s="70" customFormat="1" ht="11.25" x14ac:dyDescent="0.2">
      <c r="A1520" s="24">
        <v>1514</v>
      </c>
      <c r="B1520" s="27"/>
      <c r="C1520" s="28"/>
      <c r="D1520" s="71"/>
      <c r="E1520" s="28"/>
      <c r="F1520" s="28"/>
      <c r="G1520" s="27"/>
      <c r="H1520" s="28" t="e">
        <f ca="1"/>
        <v>#REF!</v>
      </c>
      <c r="I1520" s="27" t="e">
        <f ca="1"/>
        <v>#REF!</v>
      </c>
      <c r="J1520" s="28" t="e">
        <f ca="1"/>
        <v>#REF!</v>
      </c>
      <c r="K1520" s="27" t="e">
        <f ca="1"/>
        <v>#REF!</v>
      </c>
      <c r="L1520" s="25" t="e">
        <f ca="1"/>
        <v>#REF!</v>
      </c>
      <c r="M1520" s="25" t="e">
        <f ca="1"/>
        <v>#REF!</v>
      </c>
      <c r="N1520" s="25" t="e">
        <f ca="1"/>
        <v>#REF!</v>
      </c>
      <c r="O1520" s="25" t="e">
        <f ca="1"/>
        <v>#REF!</v>
      </c>
      <c r="P1520" s="25" t="e">
        <f ca="1"/>
        <v>#REF!</v>
      </c>
      <c r="Q1520" s="25" t="e">
        <f ca="1"/>
        <v>#REF!</v>
      </c>
      <c r="R1520" s="25" t="e">
        <f ca="1"/>
        <v>#REF!</v>
      </c>
      <c r="S1520" s="25" t="e">
        <f ca="1"/>
        <v>#REF!</v>
      </c>
      <c r="T1520" s="25" t="e">
        <f ca="1"/>
        <v>#REF!</v>
      </c>
      <c r="U1520" s="25" t="e">
        <f ca="1"/>
        <v>#REF!</v>
      </c>
      <c r="V1520" s="25" t="e">
        <f ca="1"/>
        <v>#REF!</v>
      </c>
      <c r="W1520" s="33" t="e">
        <f ca="1"/>
        <v>#REF!</v>
      </c>
      <c r="X1520" s="33" t="e">
        <f ca="1"/>
        <v>#REF!</v>
      </c>
      <c r="Y1520" s="33" t="e">
        <f ca="1"/>
        <v>#REF!</v>
      </c>
      <c r="Z1520" s="33" t="e">
        <f ca="1"/>
        <v>#REF!</v>
      </c>
      <c r="AA1520" s="33" t="e">
        <f ca="1"/>
        <v>#REF!</v>
      </c>
    </row>
    <row r="1521" spans="1:27" s="70" customFormat="1" ht="11.25" x14ac:dyDescent="0.2">
      <c r="A1521" s="24">
        <v>1515</v>
      </c>
      <c r="B1521" s="27"/>
      <c r="C1521" s="28"/>
      <c r="D1521" s="71"/>
      <c r="E1521" s="28"/>
      <c r="F1521" s="28"/>
      <c r="G1521" s="27"/>
      <c r="H1521" s="28" t="e">
        <f ca="1"/>
        <v>#REF!</v>
      </c>
      <c r="I1521" s="27" t="e">
        <f ca="1"/>
        <v>#REF!</v>
      </c>
      <c r="J1521" s="28" t="e">
        <f ca="1"/>
        <v>#REF!</v>
      </c>
      <c r="K1521" s="27" t="e">
        <f ca="1"/>
        <v>#REF!</v>
      </c>
      <c r="L1521" s="25" t="e">
        <f ca="1"/>
        <v>#REF!</v>
      </c>
      <c r="M1521" s="25" t="e">
        <f ca="1"/>
        <v>#REF!</v>
      </c>
      <c r="N1521" s="25" t="e">
        <f ca="1"/>
        <v>#REF!</v>
      </c>
      <c r="O1521" s="25" t="e">
        <f ca="1"/>
        <v>#REF!</v>
      </c>
      <c r="P1521" s="25" t="e">
        <f ca="1"/>
        <v>#REF!</v>
      </c>
      <c r="Q1521" s="25" t="e">
        <f ca="1"/>
        <v>#REF!</v>
      </c>
      <c r="R1521" s="25" t="e">
        <f ca="1"/>
        <v>#REF!</v>
      </c>
      <c r="S1521" s="25" t="e">
        <f ca="1"/>
        <v>#REF!</v>
      </c>
      <c r="T1521" s="25" t="e">
        <f ca="1"/>
        <v>#REF!</v>
      </c>
      <c r="U1521" s="25" t="e">
        <f ca="1"/>
        <v>#REF!</v>
      </c>
      <c r="V1521" s="25" t="e">
        <f ca="1"/>
        <v>#REF!</v>
      </c>
      <c r="W1521" s="33" t="e">
        <f ca="1"/>
        <v>#REF!</v>
      </c>
      <c r="X1521" s="33" t="e">
        <f ca="1"/>
        <v>#REF!</v>
      </c>
      <c r="Y1521" s="33" t="e">
        <f ca="1"/>
        <v>#REF!</v>
      </c>
      <c r="Z1521" s="33" t="e">
        <f ca="1"/>
        <v>#REF!</v>
      </c>
      <c r="AA1521" s="33" t="e">
        <f ca="1"/>
        <v>#REF!</v>
      </c>
    </row>
    <row r="1522" spans="1:27" s="70" customFormat="1" ht="11.25" x14ac:dyDescent="0.2">
      <c r="A1522" s="24">
        <v>1516</v>
      </c>
      <c r="B1522" s="27"/>
      <c r="C1522" s="28"/>
      <c r="D1522" s="71"/>
      <c r="E1522" s="28"/>
      <c r="F1522" s="28"/>
      <c r="G1522" s="27"/>
      <c r="H1522" s="28" t="e">
        <f ca="1"/>
        <v>#REF!</v>
      </c>
      <c r="I1522" s="27" t="e">
        <f ca="1"/>
        <v>#REF!</v>
      </c>
      <c r="J1522" s="28" t="e">
        <f ca="1"/>
        <v>#REF!</v>
      </c>
      <c r="K1522" s="27" t="e">
        <f ca="1"/>
        <v>#REF!</v>
      </c>
      <c r="L1522" s="25" t="e">
        <f ca="1"/>
        <v>#REF!</v>
      </c>
      <c r="M1522" s="25" t="e">
        <f ca="1"/>
        <v>#REF!</v>
      </c>
      <c r="N1522" s="25" t="e">
        <f ca="1"/>
        <v>#REF!</v>
      </c>
      <c r="O1522" s="25" t="e">
        <f ca="1"/>
        <v>#REF!</v>
      </c>
      <c r="P1522" s="25" t="e">
        <f ca="1"/>
        <v>#REF!</v>
      </c>
      <c r="Q1522" s="25" t="e">
        <f ca="1"/>
        <v>#REF!</v>
      </c>
      <c r="R1522" s="25" t="e">
        <f ca="1"/>
        <v>#REF!</v>
      </c>
      <c r="S1522" s="25" t="e">
        <f ca="1"/>
        <v>#REF!</v>
      </c>
      <c r="T1522" s="25" t="e">
        <f ca="1"/>
        <v>#REF!</v>
      </c>
      <c r="U1522" s="25" t="e">
        <f ca="1"/>
        <v>#REF!</v>
      </c>
      <c r="V1522" s="25" t="e">
        <f ca="1"/>
        <v>#REF!</v>
      </c>
      <c r="W1522" s="33" t="e">
        <f ca="1"/>
        <v>#REF!</v>
      </c>
      <c r="X1522" s="33" t="e">
        <f ca="1"/>
        <v>#REF!</v>
      </c>
      <c r="Y1522" s="33" t="e">
        <f ca="1"/>
        <v>#REF!</v>
      </c>
      <c r="Z1522" s="33" t="e">
        <f ca="1"/>
        <v>#REF!</v>
      </c>
      <c r="AA1522" s="33" t="e">
        <f ca="1"/>
        <v>#REF!</v>
      </c>
    </row>
    <row r="1523" spans="1:27" s="70" customFormat="1" ht="11.25" x14ac:dyDescent="0.2">
      <c r="A1523" s="24">
        <v>1517</v>
      </c>
      <c r="B1523" s="27"/>
      <c r="C1523" s="28"/>
      <c r="D1523" s="71"/>
      <c r="E1523" s="28"/>
      <c r="F1523" s="28"/>
      <c r="G1523" s="27"/>
      <c r="H1523" s="28" t="e">
        <f ca="1"/>
        <v>#REF!</v>
      </c>
      <c r="I1523" s="27" t="e">
        <f ca="1"/>
        <v>#REF!</v>
      </c>
      <c r="J1523" s="28" t="e">
        <f ca="1"/>
        <v>#REF!</v>
      </c>
      <c r="K1523" s="27" t="e">
        <f ca="1"/>
        <v>#REF!</v>
      </c>
      <c r="L1523" s="25" t="e">
        <f ca="1"/>
        <v>#REF!</v>
      </c>
      <c r="M1523" s="25" t="e">
        <f ca="1"/>
        <v>#REF!</v>
      </c>
      <c r="N1523" s="25" t="e">
        <f ca="1"/>
        <v>#REF!</v>
      </c>
      <c r="O1523" s="25" t="e">
        <f ca="1"/>
        <v>#REF!</v>
      </c>
      <c r="P1523" s="25" t="e">
        <f ca="1"/>
        <v>#REF!</v>
      </c>
      <c r="Q1523" s="25" t="e">
        <f ca="1"/>
        <v>#REF!</v>
      </c>
      <c r="R1523" s="25" t="e">
        <f ca="1"/>
        <v>#REF!</v>
      </c>
      <c r="S1523" s="25" t="e">
        <f ca="1"/>
        <v>#REF!</v>
      </c>
      <c r="T1523" s="25" t="e">
        <f ca="1"/>
        <v>#REF!</v>
      </c>
      <c r="U1523" s="25" t="e">
        <f ca="1"/>
        <v>#REF!</v>
      </c>
      <c r="V1523" s="25" t="e">
        <f ca="1"/>
        <v>#REF!</v>
      </c>
      <c r="W1523" s="33" t="e">
        <f ca="1"/>
        <v>#REF!</v>
      </c>
      <c r="X1523" s="33" t="e">
        <f ca="1"/>
        <v>#REF!</v>
      </c>
      <c r="Y1523" s="33" t="e">
        <f ca="1"/>
        <v>#REF!</v>
      </c>
      <c r="Z1523" s="33" t="e">
        <f ca="1"/>
        <v>#REF!</v>
      </c>
      <c r="AA1523" s="33" t="e">
        <f ca="1"/>
        <v>#REF!</v>
      </c>
    </row>
    <row r="1524" spans="1:27" s="70" customFormat="1" ht="11.25" x14ac:dyDescent="0.2">
      <c r="A1524" s="24">
        <v>1518</v>
      </c>
      <c r="B1524" s="27"/>
      <c r="C1524" s="28"/>
      <c r="D1524" s="71"/>
      <c r="E1524" s="28"/>
      <c r="F1524" s="28"/>
      <c r="G1524" s="27"/>
      <c r="H1524" s="28" t="e">
        <f ca="1"/>
        <v>#REF!</v>
      </c>
      <c r="I1524" s="27" t="e">
        <f ca="1"/>
        <v>#REF!</v>
      </c>
      <c r="J1524" s="28" t="e">
        <f ca="1"/>
        <v>#REF!</v>
      </c>
      <c r="K1524" s="27" t="e">
        <f ca="1"/>
        <v>#REF!</v>
      </c>
      <c r="L1524" s="25" t="e">
        <f ca="1"/>
        <v>#REF!</v>
      </c>
      <c r="M1524" s="25" t="e">
        <f ca="1"/>
        <v>#REF!</v>
      </c>
      <c r="N1524" s="25" t="e">
        <f ca="1"/>
        <v>#REF!</v>
      </c>
      <c r="O1524" s="25" t="e">
        <f ca="1"/>
        <v>#REF!</v>
      </c>
      <c r="P1524" s="25" t="e">
        <f ca="1"/>
        <v>#REF!</v>
      </c>
      <c r="Q1524" s="25" t="e">
        <f ca="1"/>
        <v>#REF!</v>
      </c>
      <c r="R1524" s="25" t="e">
        <f ca="1"/>
        <v>#REF!</v>
      </c>
      <c r="S1524" s="25" t="e">
        <f ca="1"/>
        <v>#REF!</v>
      </c>
      <c r="T1524" s="25" t="e">
        <f ca="1"/>
        <v>#REF!</v>
      </c>
      <c r="U1524" s="25" t="e">
        <f ca="1"/>
        <v>#REF!</v>
      </c>
      <c r="V1524" s="25" t="e">
        <f ca="1"/>
        <v>#REF!</v>
      </c>
      <c r="W1524" s="33" t="e">
        <f ca="1"/>
        <v>#REF!</v>
      </c>
      <c r="X1524" s="33" t="e">
        <f ca="1"/>
        <v>#REF!</v>
      </c>
      <c r="Y1524" s="33" t="e">
        <f ca="1"/>
        <v>#REF!</v>
      </c>
      <c r="Z1524" s="33" t="e">
        <f ca="1"/>
        <v>#REF!</v>
      </c>
      <c r="AA1524" s="33" t="e">
        <f ca="1"/>
        <v>#REF!</v>
      </c>
    </row>
    <row r="1525" spans="1:27" s="70" customFormat="1" ht="11.25" x14ac:dyDescent="0.2">
      <c r="A1525" s="24">
        <v>1519</v>
      </c>
      <c r="B1525" s="27"/>
      <c r="C1525" s="28"/>
      <c r="D1525" s="71"/>
      <c r="E1525" s="28"/>
      <c r="F1525" s="28"/>
      <c r="G1525" s="27"/>
      <c r="H1525" s="28" t="e">
        <f ca="1"/>
        <v>#REF!</v>
      </c>
      <c r="I1525" s="27" t="e">
        <f ca="1"/>
        <v>#REF!</v>
      </c>
      <c r="J1525" s="28" t="e">
        <f ca="1"/>
        <v>#REF!</v>
      </c>
      <c r="K1525" s="27" t="e">
        <f ca="1"/>
        <v>#REF!</v>
      </c>
      <c r="L1525" s="25" t="e">
        <f ca="1"/>
        <v>#REF!</v>
      </c>
      <c r="M1525" s="25" t="e">
        <f ca="1"/>
        <v>#REF!</v>
      </c>
      <c r="N1525" s="25" t="e">
        <f ca="1"/>
        <v>#REF!</v>
      </c>
      <c r="O1525" s="25" t="e">
        <f ca="1"/>
        <v>#REF!</v>
      </c>
      <c r="P1525" s="25" t="e">
        <f ca="1"/>
        <v>#REF!</v>
      </c>
      <c r="Q1525" s="25" t="e">
        <f ca="1"/>
        <v>#REF!</v>
      </c>
      <c r="R1525" s="25" t="e">
        <f ca="1"/>
        <v>#REF!</v>
      </c>
      <c r="S1525" s="25" t="e">
        <f ca="1"/>
        <v>#REF!</v>
      </c>
      <c r="T1525" s="25" t="e">
        <f ca="1"/>
        <v>#REF!</v>
      </c>
      <c r="U1525" s="25" t="e">
        <f ca="1"/>
        <v>#REF!</v>
      </c>
      <c r="V1525" s="25" t="e">
        <f ca="1"/>
        <v>#REF!</v>
      </c>
      <c r="W1525" s="33" t="e">
        <f ca="1"/>
        <v>#REF!</v>
      </c>
      <c r="X1525" s="33" t="e">
        <f ca="1"/>
        <v>#REF!</v>
      </c>
      <c r="Y1525" s="33" t="e">
        <f ca="1"/>
        <v>#REF!</v>
      </c>
      <c r="Z1525" s="33" t="e">
        <f ca="1"/>
        <v>#REF!</v>
      </c>
      <c r="AA1525" s="33" t="e">
        <f ca="1"/>
        <v>#REF!</v>
      </c>
    </row>
    <row r="1526" spans="1:27" s="70" customFormat="1" ht="11.25" x14ac:dyDescent="0.2">
      <c r="A1526" s="24">
        <v>1520</v>
      </c>
      <c r="B1526" s="27"/>
      <c r="C1526" s="28"/>
      <c r="D1526" s="71"/>
      <c r="E1526" s="28"/>
      <c r="F1526" s="28"/>
      <c r="G1526" s="27"/>
      <c r="H1526" s="28" t="e">
        <f ca="1"/>
        <v>#REF!</v>
      </c>
      <c r="I1526" s="27" t="e">
        <f ca="1"/>
        <v>#REF!</v>
      </c>
      <c r="J1526" s="28" t="e">
        <f ca="1"/>
        <v>#REF!</v>
      </c>
      <c r="K1526" s="27" t="e">
        <f ca="1"/>
        <v>#REF!</v>
      </c>
      <c r="L1526" s="25" t="e">
        <f ca="1"/>
        <v>#REF!</v>
      </c>
      <c r="M1526" s="25" t="e">
        <f ca="1"/>
        <v>#REF!</v>
      </c>
      <c r="N1526" s="25" t="e">
        <f ca="1"/>
        <v>#REF!</v>
      </c>
      <c r="O1526" s="25" t="e">
        <f ca="1"/>
        <v>#REF!</v>
      </c>
      <c r="P1526" s="25" t="e">
        <f ca="1"/>
        <v>#REF!</v>
      </c>
      <c r="Q1526" s="25" t="e">
        <f ca="1"/>
        <v>#REF!</v>
      </c>
      <c r="R1526" s="25" t="e">
        <f ca="1"/>
        <v>#REF!</v>
      </c>
      <c r="S1526" s="25" t="e">
        <f ca="1"/>
        <v>#REF!</v>
      </c>
      <c r="T1526" s="25" t="e">
        <f ca="1"/>
        <v>#REF!</v>
      </c>
      <c r="U1526" s="25" t="e">
        <f ca="1"/>
        <v>#REF!</v>
      </c>
      <c r="V1526" s="25" t="e">
        <f ca="1"/>
        <v>#REF!</v>
      </c>
      <c r="W1526" s="33" t="e">
        <f ca="1"/>
        <v>#REF!</v>
      </c>
      <c r="X1526" s="33" t="e">
        <f ca="1"/>
        <v>#REF!</v>
      </c>
      <c r="Y1526" s="33" t="e">
        <f ca="1"/>
        <v>#REF!</v>
      </c>
      <c r="Z1526" s="33" t="e">
        <f ca="1"/>
        <v>#REF!</v>
      </c>
      <c r="AA1526" s="33" t="e">
        <f ca="1"/>
        <v>#REF!</v>
      </c>
    </row>
    <row r="1527" spans="1:27" s="70" customFormat="1" ht="11.25" x14ac:dyDescent="0.2">
      <c r="A1527" s="24">
        <v>1521</v>
      </c>
      <c r="B1527" s="27"/>
      <c r="C1527" s="28"/>
      <c r="D1527" s="71"/>
      <c r="E1527" s="28"/>
      <c r="F1527" s="28"/>
      <c r="G1527" s="27"/>
      <c r="H1527" s="28" t="e">
        <f ca="1"/>
        <v>#REF!</v>
      </c>
      <c r="I1527" s="27" t="e">
        <f ca="1"/>
        <v>#REF!</v>
      </c>
      <c r="J1527" s="28" t="e">
        <f ca="1"/>
        <v>#REF!</v>
      </c>
      <c r="K1527" s="27" t="e">
        <f ca="1"/>
        <v>#REF!</v>
      </c>
      <c r="L1527" s="25" t="e">
        <f ca="1"/>
        <v>#REF!</v>
      </c>
      <c r="M1527" s="25" t="e">
        <f ca="1"/>
        <v>#REF!</v>
      </c>
      <c r="N1527" s="25" t="e">
        <f ca="1"/>
        <v>#REF!</v>
      </c>
      <c r="O1527" s="25" t="e">
        <f ca="1"/>
        <v>#REF!</v>
      </c>
      <c r="P1527" s="25" t="e">
        <f ca="1"/>
        <v>#REF!</v>
      </c>
      <c r="Q1527" s="25" t="e">
        <f ca="1"/>
        <v>#REF!</v>
      </c>
      <c r="R1527" s="25" t="e">
        <f ca="1"/>
        <v>#REF!</v>
      </c>
      <c r="S1527" s="25" t="e">
        <f ca="1"/>
        <v>#REF!</v>
      </c>
      <c r="T1527" s="25" t="e">
        <f ca="1"/>
        <v>#REF!</v>
      </c>
      <c r="U1527" s="25" t="e">
        <f ca="1"/>
        <v>#REF!</v>
      </c>
      <c r="V1527" s="25" t="e">
        <f ca="1"/>
        <v>#REF!</v>
      </c>
      <c r="W1527" s="33" t="e">
        <f ca="1"/>
        <v>#REF!</v>
      </c>
      <c r="X1527" s="33" t="e">
        <f ca="1"/>
        <v>#REF!</v>
      </c>
      <c r="Y1527" s="33" t="e">
        <f ca="1"/>
        <v>#REF!</v>
      </c>
      <c r="Z1527" s="33" t="e">
        <f ca="1"/>
        <v>#REF!</v>
      </c>
      <c r="AA1527" s="33" t="e">
        <f ca="1"/>
        <v>#REF!</v>
      </c>
    </row>
    <row r="1528" spans="1:27" s="70" customFormat="1" ht="11.25" x14ac:dyDescent="0.2">
      <c r="A1528" s="24">
        <v>1522</v>
      </c>
      <c r="B1528" s="27"/>
      <c r="C1528" s="28"/>
      <c r="D1528" s="71"/>
      <c r="E1528" s="28"/>
      <c r="F1528" s="28"/>
      <c r="G1528" s="27"/>
      <c r="H1528" s="28" t="e">
        <f ca="1"/>
        <v>#REF!</v>
      </c>
      <c r="I1528" s="27" t="e">
        <f ca="1"/>
        <v>#REF!</v>
      </c>
      <c r="J1528" s="28" t="e">
        <f ca="1"/>
        <v>#REF!</v>
      </c>
      <c r="K1528" s="27" t="e">
        <f ca="1"/>
        <v>#REF!</v>
      </c>
      <c r="L1528" s="25" t="e">
        <f ca="1"/>
        <v>#REF!</v>
      </c>
      <c r="M1528" s="25" t="e">
        <f ca="1"/>
        <v>#REF!</v>
      </c>
      <c r="N1528" s="25" t="e">
        <f ca="1"/>
        <v>#REF!</v>
      </c>
      <c r="O1528" s="25" t="e">
        <f ca="1"/>
        <v>#REF!</v>
      </c>
      <c r="P1528" s="25" t="e">
        <f ca="1"/>
        <v>#REF!</v>
      </c>
      <c r="Q1528" s="25" t="e">
        <f ca="1"/>
        <v>#REF!</v>
      </c>
      <c r="R1528" s="25" t="e">
        <f ca="1"/>
        <v>#REF!</v>
      </c>
      <c r="S1528" s="25" t="e">
        <f ca="1"/>
        <v>#REF!</v>
      </c>
      <c r="T1528" s="25" t="e">
        <f ca="1"/>
        <v>#REF!</v>
      </c>
      <c r="U1528" s="25" t="e">
        <f ca="1"/>
        <v>#REF!</v>
      </c>
      <c r="V1528" s="25" t="e">
        <f ca="1"/>
        <v>#REF!</v>
      </c>
      <c r="W1528" s="33" t="e">
        <f ca="1"/>
        <v>#REF!</v>
      </c>
      <c r="X1528" s="33" t="e">
        <f ca="1"/>
        <v>#REF!</v>
      </c>
      <c r="Y1528" s="33" t="e">
        <f ca="1"/>
        <v>#REF!</v>
      </c>
      <c r="Z1528" s="33" t="e">
        <f ca="1"/>
        <v>#REF!</v>
      </c>
      <c r="AA1528" s="33" t="e">
        <f ca="1"/>
        <v>#REF!</v>
      </c>
    </row>
    <row r="1529" spans="1:27" s="70" customFormat="1" ht="11.25" x14ac:dyDescent="0.2">
      <c r="A1529" s="24">
        <v>1523</v>
      </c>
      <c r="B1529" s="27"/>
      <c r="C1529" s="28"/>
      <c r="D1529" s="71"/>
      <c r="E1529" s="28"/>
      <c r="F1529" s="28"/>
      <c r="G1529" s="27"/>
      <c r="H1529" s="28" t="e">
        <f ca="1"/>
        <v>#REF!</v>
      </c>
      <c r="I1529" s="27" t="e">
        <f ca="1"/>
        <v>#REF!</v>
      </c>
      <c r="J1529" s="28" t="e">
        <f ca="1"/>
        <v>#REF!</v>
      </c>
      <c r="K1529" s="27" t="e">
        <f ca="1"/>
        <v>#REF!</v>
      </c>
      <c r="L1529" s="25" t="e">
        <f ca="1"/>
        <v>#REF!</v>
      </c>
      <c r="M1529" s="25" t="e">
        <f ca="1"/>
        <v>#REF!</v>
      </c>
      <c r="N1529" s="25" t="e">
        <f ca="1"/>
        <v>#REF!</v>
      </c>
      <c r="O1529" s="25" t="e">
        <f ca="1"/>
        <v>#REF!</v>
      </c>
      <c r="P1529" s="25" t="e">
        <f ca="1"/>
        <v>#REF!</v>
      </c>
      <c r="Q1529" s="25" t="e">
        <f ca="1"/>
        <v>#REF!</v>
      </c>
      <c r="R1529" s="25" t="e">
        <f ca="1"/>
        <v>#REF!</v>
      </c>
      <c r="S1529" s="25" t="e">
        <f ca="1"/>
        <v>#REF!</v>
      </c>
      <c r="T1529" s="25" t="e">
        <f ca="1"/>
        <v>#REF!</v>
      </c>
      <c r="U1529" s="25" t="e">
        <f ca="1"/>
        <v>#REF!</v>
      </c>
      <c r="V1529" s="25" t="e">
        <f ca="1"/>
        <v>#REF!</v>
      </c>
      <c r="W1529" s="33" t="e">
        <f ca="1"/>
        <v>#REF!</v>
      </c>
      <c r="X1529" s="33" t="e">
        <f ca="1"/>
        <v>#REF!</v>
      </c>
      <c r="Y1529" s="33" t="e">
        <f ca="1"/>
        <v>#REF!</v>
      </c>
      <c r="Z1529" s="33" t="e">
        <f ca="1"/>
        <v>#REF!</v>
      </c>
      <c r="AA1529" s="33" t="e">
        <f ca="1"/>
        <v>#REF!</v>
      </c>
    </row>
    <row r="1530" spans="1:27" s="70" customFormat="1" ht="11.25" x14ac:dyDescent="0.2">
      <c r="A1530" s="24">
        <v>1524</v>
      </c>
      <c r="B1530" s="27"/>
      <c r="C1530" s="28"/>
      <c r="D1530" s="71"/>
      <c r="E1530" s="28"/>
      <c r="F1530" s="28"/>
      <c r="G1530" s="27"/>
      <c r="H1530" s="28" t="e">
        <f ca="1"/>
        <v>#REF!</v>
      </c>
      <c r="I1530" s="27" t="e">
        <f ca="1"/>
        <v>#REF!</v>
      </c>
      <c r="J1530" s="28" t="e">
        <f ca="1"/>
        <v>#REF!</v>
      </c>
      <c r="K1530" s="27" t="e">
        <f ca="1"/>
        <v>#REF!</v>
      </c>
      <c r="L1530" s="25" t="e">
        <f ca="1"/>
        <v>#REF!</v>
      </c>
      <c r="M1530" s="25" t="e">
        <f ca="1"/>
        <v>#REF!</v>
      </c>
      <c r="N1530" s="25" t="e">
        <f ca="1"/>
        <v>#REF!</v>
      </c>
      <c r="O1530" s="25" t="e">
        <f ca="1"/>
        <v>#REF!</v>
      </c>
      <c r="P1530" s="25" t="e">
        <f ca="1"/>
        <v>#REF!</v>
      </c>
      <c r="Q1530" s="25" t="e">
        <f ca="1"/>
        <v>#REF!</v>
      </c>
      <c r="R1530" s="25" t="e">
        <f ca="1"/>
        <v>#REF!</v>
      </c>
      <c r="S1530" s="25" t="e">
        <f ca="1"/>
        <v>#REF!</v>
      </c>
      <c r="T1530" s="25" t="e">
        <f ca="1"/>
        <v>#REF!</v>
      </c>
      <c r="U1530" s="25" t="e">
        <f ca="1"/>
        <v>#REF!</v>
      </c>
      <c r="V1530" s="25" t="e">
        <f ca="1"/>
        <v>#REF!</v>
      </c>
      <c r="W1530" s="33" t="e">
        <f ca="1"/>
        <v>#REF!</v>
      </c>
      <c r="X1530" s="33" t="e">
        <f ca="1"/>
        <v>#REF!</v>
      </c>
      <c r="Y1530" s="33" t="e">
        <f ca="1"/>
        <v>#REF!</v>
      </c>
      <c r="Z1530" s="33" t="e">
        <f ca="1"/>
        <v>#REF!</v>
      </c>
      <c r="AA1530" s="33" t="e">
        <f ca="1"/>
        <v>#REF!</v>
      </c>
    </row>
    <row r="1531" spans="1:27" s="70" customFormat="1" ht="11.25" x14ac:dyDescent="0.2">
      <c r="A1531" s="24">
        <v>1525</v>
      </c>
      <c r="B1531" s="27"/>
      <c r="C1531" s="28"/>
      <c r="D1531" s="71"/>
      <c r="E1531" s="28"/>
      <c r="F1531" s="28"/>
      <c r="G1531" s="27"/>
      <c r="H1531" s="28" t="e">
        <f ca="1"/>
        <v>#REF!</v>
      </c>
      <c r="I1531" s="27" t="e">
        <f ca="1"/>
        <v>#REF!</v>
      </c>
      <c r="J1531" s="28" t="e">
        <f ca="1"/>
        <v>#REF!</v>
      </c>
      <c r="K1531" s="27" t="e">
        <f ca="1"/>
        <v>#REF!</v>
      </c>
      <c r="L1531" s="25" t="e">
        <f ca="1"/>
        <v>#REF!</v>
      </c>
      <c r="M1531" s="25" t="e">
        <f ca="1"/>
        <v>#REF!</v>
      </c>
      <c r="N1531" s="25" t="e">
        <f ca="1"/>
        <v>#REF!</v>
      </c>
      <c r="O1531" s="25" t="e">
        <f ca="1"/>
        <v>#REF!</v>
      </c>
      <c r="P1531" s="25" t="e">
        <f ca="1"/>
        <v>#REF!</v>
      </c>
      <c r="Q1531" s="25" t="e">
        <f ca="1"/>
        <v>#REF!</v>
      </c>
      <c r="R1531" s="25" t="e">
        <f ca="1"/>
        <v>#REF!</v>
      </c>
      <c r="S1531" s="25" t="e">
        <f ca="1"/>
        <v>#REF!</v>
      </c>
      <c r="T1531" s="25" t="e">
        <f ca="1"/>
        <v>#REF!</v>
      </c>
      <c r="U1531" s="25" t="e">
        <f ca="1"/>
        <v>#REF!</v>
      </c>
      <c r="V1531" s="25" t="e">
        <f ca="1"/>
        <v>#REF!</v>
      </c>
      <c r="W1531" s="33" t="e">
        <f ca="1"/>
        <v>#REF!</v>
      </c>
      <c r="X1531" s="33" t="e">
        <f ca="1"/>
        <v>#REF!</v>
      </c>
      <c r="Y1531" s="33" t="e">
        <f ca="1"/>
        <v>#REF!</v>
      </c>
      <c r="Z1531" s="33" t="e">
        <f ca="1"/>
        <v>#REF!</v>
      </c>
      <c r="AA1531" s="33" t="e">
        <f ca="1"/>
        <v>#REF!</v>
      </c>
    </row>
    <row r="1532" spans="1:27" s="70" customFormat="1" ht="11.25" x14ac:dyDescent="0.2">
      <c r="A1532" s="24">
        <v>1526</v>
      </c>
      <c r="B1532" s="27"/>
      <c r="C1532" s="28"/>
      <c r="D1532" s="71"/>
      <c r="E1532" s="28"/>
      <c r="F1532" s="28"/>
      <c r="G1532" s="27"/>
      <c r="H1532" s="28" t="e">
        <f ca="1"/>
        <v>#REF!</v>
      </c>
      <c r="I1532" s="27" t="e">
        <f ca="1"/>
        <v>#REF!</v>
      </c>
      <c r="J1532" s="28" t="e">
        <f ca="1"/>
        <v>#REF!</v>
      </c>
      <c r="K1532" s="27" t="e">
        <f ca="1"/>
        <v>#REF!</v>
      </c>
      <c r="L1532" s="25" t="e">
        <f ca="1"/>
        <v>#REF!</v>
      </c>
      <c r="M1532" s="25" t="e">
        <f ca="1"/>
        <v>#REF!</v>
      </c>
      <c r="N1532" s="25" t="e">
        <f ca="1"/>
        <v>#REF!</v>
      </c>
      <c r="O1532" s="25" t="e">
        <f ca="1"/>
        <v>#REF!</v>
      </c>
      <c r="P1532" s="25" t="e">
        <f ca="1"/>
        <v>#REF!</v>
      </c>
      <c r="Q1532" s="25" t="e">
        <f ca="1"/>
        <v>#REF!</v>
      </c>
      <c r="R1532" s="25" t="e">
        <f ca="1"/>
        <v>#REF!</v>
      </c>
      <c r="S1532" s="25" t="e">
        <f ca="1"/>
        <v>#REF!</v>
      </c>
      <c r="T1532" s="25" t="e">
        <f ca="1"/>
        <v>#REF!</v>
      </c>
      <c r="U1532" s="25" t="e">
        <f ca="1"/>
        <v>#REF!</v>
      </c>
      <c r="V1532" s="25" t="e">
        <f ca="1"/>
        <v>#REF!</v>
      </c>
      <c r="W1532" s="33" t="e">
        <f ca="1"/>
        <v>#REF!</v>
      </c>
      <c r="X1532" s="33" t="e">
        <f ca="1"/>
        <v>#REF!</v>
      </c>
      <c r="Y1532" s="33" t="e">
        <f ca="1"/>
        <v>#REF!</v>
      </c>
      <c r="Z1532" s="33" t="e">
        <f ca="1"/>
        <v>#REF!</v>
      </c>
      <c r="AA1532" s="33" t="e">
        <f ca="1"/>
        <v>#REF!</v>
      </c>
    </row>
    <row r="1533" spans="1:27" s="70" customFormat="1" ht="11.25" x14ac:dyDescent="0.2">
      <c r="A1533" s="24">
        <v>1527</v>
      </c>
      <c r="B1533" s="27"/>
      <c r="C1533" s="28"/>
      <c r="D1533" s="71"/>
      <c r="E1533" s="28"/>
      <c r="F1533" s="28"/>
      <c r="G1533" s="27"/>
      <c r="H1533" s="28" t="e">
        <f ca="1"/>
        <v>#REF!</v>
      </c>
      <c r="I1533" s="27" t="e">
        <f ca="1"/>
        <v>#REF!</v>
      </c>
      <c r="J1533" s="28" t="e">
        <f ca="1"/>
        <v>#REF!</v>
      </c>
      <c r="K1533" s="27" t="e">
        <f ca="1"/>
        <v>#REF!</v>
      </c>
      <c r="L1533" s="25" t="e">
        <f ca="1"/>
        <v>#REF!</v>
      </c>
      <c r="M1533" s="25" t="e">
        <f ca="1"/>
        <v>#REF!</v>
      </c>
      <c r="N1533" s="25" t="e">
        <f ca="1"/>
        <v>#REF!</v>
      </c>
      <c r="O1533" s="25" t="e">
        <f ca="1"/>
        <v>#REF!</v>
      </c>
      <c r="P1533" s="25" t="e">
        <f ca="1"/>
        <v>#REF!</v>
      </c>
      <c r="Q1533" s="25" t="e">
        <f ca="1"/>
        <v>#REF!</v>
      </c>
      <c r="R1533" s="25" t="e">
        <f ca="1"/>
        <v>#REF!</v>
      </c>
      <c r="S1533" s="25" t="e">
        <f ca="1"/>
        <v>#REF!</v>
      </c>
      <c r="T1533" s="25" t="e">
        <f ca="1"/>
        <v>#REF!</v>
      </c>
      <c r="U1533" s="25" t="e">
        <f ca="1"/>
        <v>#REF!</v>
      </c>
      <c r="V1533" s="25" t="e">
        <f ca="1"/>
        <v>#REF!</v>
      </c>
      <c r="W1533" s="33" t="e">
        <f ca="1"/>
        <v>#REF!</v>
      </c>
      <c r="X1533" s="33" t="e">
        <f ca="1"/>
        <v>#REF!</v>
      </c>
      <c r="Y1533" s="33" t="e">
        <f ca="1"/>
        <v>#REF!</v>
      </c>
      <c r="Z1533" s="33" t="e">
        <f ca="1"/>
        <v>#REF!</v>
      </c>
      <c r="AA1533" s="33" t="e">
        <f ca="1"/>
        <v>#REF!</v>
      </c>
    </row>
    <row r="1534" spans="1:27" s="70" customFormat="1" ht="11.25" x14ac:dyDescent="0.2">
      <c r="A1534" s="24">
        <v>1528</v>
      </c>
      <c r="B1534" s="27"/>
      <c r="C1534" s="28"/>
      <c r="D1534" s="71"/>
      <c r="E1534" s="28"/>
      <c r="F1534" s="28"/>
      <c r="G1534" s="27"/>
      <c r="H1534" s="28" t="e">
        <f ca="1"/>
        <v>#REF!</v>
      </c>
      <c r="I1534" s="27" t="e">
        <f ca="1"/>
        <v>#REF!</v>
      </c>
      <c r="J1534" s="28" t="e">
        <f ca="1"/>
        <v>#REF!</v>
      </c>
      <c r="K1534" s="27" t="e">
        <f ca="1"/>
        <v>#REF!</v>
      </c>
      <c r="L1534" s="25" t="e">
        <f ca="1"/>
        <v>#REF!</v>
      </c>
      <c r="M1534" s="25" t="e">
        <f ca="1"/>
        <v>#REF!</v>
      </c>
      <c r="N1534" s="25" t="e">
        <f ca="1"/>
        <v>#REF!</v>
      </c>
      <c r="O1534" s="25" t="e">
        <f ca="1"/>
        <v>#REF!</v>
      </c>
      <c r="P1534" s="25" t="e">
        <f ca="1"/>
        <v>#REF!</v>
      </c>
      <c r="Q1534" s="25" t="e">
        <f ca="1"/>
        <v>#REF!</v>
      </c>
      <c r="R1534" s="25" t="e">
        <f ca="1"/>
        <v>#REF!</v>
      </c>
      <c r="S1534" s="25" t="e">
        <f ca="1"/>
        <v>#REF!</v>
      </c>
      <c r="T1534" s="25" t="e">
        <f ca="1"/>
        <v>#REF!</v>
      </c>
      <c r="U1534" s="25" t="e">
        <f ca="1"/>
        <v>#REF!</v>
      </c>
      <c r="V1534" s="25" t="e">
        <f ca="1"/>
        <v>#REF!</v>
      </c>
      <c r="W1534" s="33" t="e">
        <f ca="1"/>
        <v>#REF!</v>
      </c>
      <c r="X1534" s="33" t="e">
        <f ca="1"/>
        <v>#REF!</v>
      </c>
      <c r="Y1534" s="33" t="e">
        <f ca="1"/>
        <v>#REF!</v>
      </c>
      <c r="Z1534" s="33" t="e">
        <f ca="1"/>
        <v>#REF!</v>
      </c>
      <c r="AA1534" s="33" t="e">
        <f ca="1"/>
        <v>#REF!</v>
      </c>
    </row>
    <row r="1535" spans="1:27" s="70" customFormat="1" ht="11.25" x14ac:dyDescent="0.2">
      <c r="A1535" s="24">
        <v>1529</v>
      </c>
      <c r="B1535" s="27"/>
      <c r="C1535" s="28"/>
      <c r="D1535" s="71"/>
      <c r="E1535" s="28"/>
      <c r="F1535" s="28"/>
      <c r="G1535" s="27"/>
      <c r="H1535" s="28" t="e">
        <f ca="1"/>
        <v>#REF!</v>
      </c>
      <c r="I1535" s="27" t="e">
        <f ca="1"/>
        <v>#REF!</v>
      </c>
      <c r="J1535" s="28" t="e">
        <f ca="1"/>
        <v>#REF!</v>
      </c>
      <c r="K1535" s="27" t="e">
        <f ca="1"/>
        <v>#REF!</v>
      </c>
      <c r="L1535" s="25" t="e">
        <f ca="1"/>
        <v>#REF!</v>
      </c>
      <c r="M1535" s="25" t="e">
        <f ca="1"/>
        <v>#REF!</v>
      </c>
      <c r="N1535" s="25" t="e">
        <f ca="1"/>
        <v>#REF!</v>
      </c>
      <c r="O1535" s="25" t="e">
        <f ca="1"/>
        <v>#REF!</v>
      </c>
      <c r="P1535" s="25" t="e">
        <f ca="1"/>
        <v>#REF!</v>
      </c>
      <c r="Q1535" s="25" t="e">
        <f ca="1"/>
        <v>#REF!</v>
      </c>
      <c r="R1535" s="25" t="e">
        <f ca="1"/>
        <v>#REF!</v>
      </c>
      <c r="S1535" s="25" t="e">
        <f ca="1"/>
        <v>#REF!</v>
      </c>
      <c r="T1535" s="25" t="e">
        <f ca="1"/>
        <v>#REF!</v>
      </c>
      <c r="U1535" s="25" t="e">
        <f ca="1"/>
        <v>#REF!</v>
      </c>
      <c r="V1535" s="25" t="e">
        <f ca="1"/>
        <v>#REF!</v>
      </c>
      <c r="W1535" s="33" t="e">
        <f ca="1"/>
        <v>#REF!</v>
      </c>
      <c r="X1535" s="33" t="e">
        <f ca="1"/>
        <v>#REF!</v>
      </c>
      <c r="Y1535" s="33" t="e">
        <f ca="1"/>
        <v>#REF!</v>
      </c>
      <c r="Z1535" s="33" t="e">
        <f ca="1"/>
        <v>#REF!</v>
      </c>
      <c r="AA1535" s="33" t="e">
        <f ca="1"/>
        <v>#REF!</v>
      </c>
    </row>
    <row r="1536" spans="1:27" s="70" customFormat="1" ht="11.25" x14ac:dyDescent="0.2">
      <c r="A1536" s="24">
        <v>1530</v>
      </c>
      <c r="B1536" s="27"/>
      <c r="C1536" s="28"/>
      <c r="D1536" s="71"/>
      <c r="E1536" s="28"/>
      <c r="F1536" s="28"/>
      <c r="G1536" s="27"/>
      <c r="H1536" s="28" t="e">
        <f ca="1"/>
        <v>#REF!</v>
      </c>
      <c r="I1536" s="27" t="e">
        <f ca="1"/>
        <v>#REF!</v>
      </c>
      <c r="J1536" s="28" t="e">
        <f ca="1"/>
        <v>#REF!</v>
      </c>
      <c r="K1536" s="27" t="e">
        <f ca="1"/>
        <v>#REF!</v>
      </c>
      <c r="L1536" s="25" t="e">
        <f ca="1"/>
        <v>#REF!</v>
      </c>
      <c r="M1536" s="25" t="e">
        <f ca="1"/>
        <v>#REF!</v>
      </c>
      <c r="N1536" s="25" t="e">
        <f ca="1"/>
        <v>#REF!</v>
      </c>
      <c r="O1536" s="25" t="e">
        <f ca="1"/>
        <v>#REF!</v>
      </c>
      <c r="P1536" s="25" t="e">
        <f ca="1"/>
        <v>#REF!</v>
      </c>
      <c r="Q1536" s="25" t="e">
        <f ca="1"/>
        <v>#REF!</v>
      </c>
      <c r="R1536" s="25" t="e">
        <f ca="1"/>
        <v>#REF!</v>
      </c>
      <c r="S1536" s="25" t="e">
        <f ca="1"/>
        <v>#REF!</v>
      </c>
      <c r="T1536" s="25" t="e">
        <f ca="1"/>
        <v>#REF!</v>
      </c>
      <c r="U1536" s="25" t="e">
        <f ca="1"/>
        <v>#REF!</v>
      </c>
      <c r="V1536" s="25" t="e">
        <f ca="1"/>
        <v>#REF!</v>
      </c>
      <c r="W1536" s="33" t="e">
        <f ca="1"/>
        <v>#REF!</v>
      </c>
      <c r="X1536" s="33" t="e">
        <f ca="1"/>
        <v>#REF!</v>
      </c>
      <c r="Y1536" s="33" t="e">
        <f ca="1"/>
        <v>#REF!</v>
      </c>
      <c r="Z1536" s="33" t="e">
        <f ca="1"/>
        <v>#REF!</v>
      </c>
      <c r="AA1536" s="33" t="e">
        <f ca="1"/>
        <v>#REF!</v>
      </c>
    </row>
    <row r="1537" spans="1:27" s="70" customFormat="1" ht="11.25" x14ac:dyDescent="0.2">
      <c r="A1537" s="24">
        <v>1531</v>
      </c>
      <c r="B1537" s="27"/>
      <c r="C1537" s="28"/>
      <c r="D1537" s="71"/>
      <c r="E1537" s="28"/>
      <c r="F1537" s="28"/>
      <c r="G1537" s="27"/>
      <c r="H1537" s="28" t="e">
        <f ca="1"/>
        <v>#REF!</v>
      </c>
      <c r="I1537" s="27" t="e">
        <f ca="1"/>
        <v>#REF!</v>
      </c>
      <c r="J1537" s="28" t="e">
        <f ca="1"/>
        <v>#REF!</v>
      </c>
      <c r="K1537" s="27" t="e">
        <f ca="1"/>
        <v>#REF!</v>
      </c>
      <c r="L1537" s="25" t="e">
        <f ca="1"/>
        <v>#REF!</v>
      </c>
      <c r="M1537" s="25" t="e">
        <f ca="1"/>
        <v>#REF!</v>
      </c>
      <c r="N1537" s="25" t="e">
        <f ca="1"/>
        <v>#REF!</v>
      </c>
      <c r="O1537" s="25" t="e">
        <f ca="1"/>
        <v>#REF!</v>
      </c>
      <c r="P1537" s="25" t="e">
        <f ca="1"/>
        <v>#REF!</v>
      </c>
      <c r="Q1537" s="25" t="e">
        <f ca="1"/>
        <v>#REF!</v>
      </c>
      <c r="R1537" s="25" t="e">
        <f ca="1"/>
        <v>#REF!</v>
      </c>
      <c r="S1537" s="25" t="e">
        <f ca="1"/>
        <v>#REF!</v>
      </c>
      <c r="T1537" s="25" t="e">
        <f ca="1"/>
        <v>#REF!</v>
      </c>
      <c r="U1537" s="25" t="e">
        <f ca="1"/>
        <v>#REF!</v>
      </c>
      <c r="V1537" s="25" t="e">
        <f ca="1"/>
        <v>#REF!</v>
      </c>
      <c r="W1537" s="33" t="e">
        <f ca="1"/>
        <v>#REF!</v>
      </c>
      <c r="X1537" s="33" t="e">
        <f ca="1"/>
        <v>#REF!</v>
      </c>
      <c r="Y1537" s="33" t="e">
        <f ca="1"/>
        <v>#REF!</v>
      </c>
      <c r="Z1537" s="33" t="e">
        <f ca="1"/>
        <v>#REF!</v>
      </c>
      <c r="AA1537" s="33" t="e">
        <f ca="1"/>
        <v>#REF!</v>
      </c>
    </row>
    <row r="1538" spans="1:27" s="70" customFormat="1" ht="11.25" x14ac:dyDescent="0.2">
      <c r="A1538" s="24">
        <v>1532</v>
      </c>
      <c r="B1538" s="27"/>
      <c r="C1538" s="28"/>
      <c r="D1538" s="71"/>
      <c r="E1538" s="28"/>
      <c r="F1538" s="28"/>
      <c r="G1538" s="27"/>
      <c r="H1538" s="28" t="e">
        <f ca="1"/>
        <v>#REF!</v>
      </c>
      <c r="I1538" s="27" t="e">
        <f ca="1"/>
        <v>#REF!</v>
      </c>
      <c r="J1538" s="28" t="e">
        <f ca="1"/>
        <v>#REF!</v>
      </c>
      <c r="K1538" s="27" t="e">
        <f ca="1"/>
        <v>#REF!</v>
      </c>
      <c r="L1538" s="25" t="e">
        <f ca="1"/>
        <v>#REF!</v>
      </c>
      <c r="M1538" s="25" t="e">
        <f ca="1"/>
        <v>#REF!</v>
      </c>
      <c r="N1538" s="25" t="e">
        <f ca="1"/>
        <v>#REF!</v>
      </c>
      <c r="O1538" s="25" t="e">
        <f ca="1"/>
        <v>#REF!</v>
      </c>
      <c r="P1538" s="25" t="e">
        <f ca="1"/>
        <v>#REF!</v>
      </c>
      <c r="Q1538" s="25" t="e">
        <f ca="1"/>
        <v>#REF!</v>
      </c>
      <c r="R1538" s="25" t="e">
        <f ca="1"/>
        <v>#REF!</v>
      </c>
      <c r="S1538" s="25" t="e">
        <f ca="1"/>
        <v>#REF!</v>
      </c>
      <c r="T1538" s="25" t="e">
        <f ca="1"/>
        <v>#REF!</v>
      </c>
      <c r="U1538" s="25" t="e">
        <f ca="1"/>
        <v>#REF!</v>
      </c>
      <c r="V1538" s="25" t="e">
        <f ca="1"/>
        <v>#REF!</v>
      </c>
      <c r="W1538" s="33" t="e">
        <f ca="1"/>
        <v>#REF!</v>
      </c>
      <c r="X1538" s="33" t="e">
        <f ca="1"/>
        <v>#REF!</v>
      </c>
      <c r="Y1538" s="33" t="e">
        <f ca="1"/>
        <v>#REF!</v>
      </c>
      <c r="Z1538" s="33" t="e">
        <f ca="1"/>
        <v>#REF!</v>
      </c>
      <c r="AA1538" s="33" t="e">
        <f ca="1"/>
        <v>#REF!</v>
      </c>
    </row>
    <row r="1539" spans="1:27" s="70" customFormat="1" ht="11.25" x14ac:dyDescent="0.2">
      <c r="A1539" s="24">
        <v>1533</v>
      </c>
      <c r="B1539" s="27"/>
      <c r="C1539" s="28"/>
      <c r="D1539" s="71"/>
      <c r="E1539" s="28"/>
      <c r="F1539" s="28"/>
      <c r="G1539" s="27"/>
      <c r="H1539" s="28" t="e">
        <f ca="1"/>
        <v>#REF!</v>
      </c>
      <c r="I1539" s="27" t="e">
        <f ca="1"/>
        <v>#REF!</v>
      </c>
      <c r="J1539" s="28" t="e">
        <f ca="1"/>
        <v>#REF!</v>
      </c>
      <c r="K1539" s="27" t="e">
        <f ca="1"/>
        <v>#REF!</v>
      </c>
      <c r="L1539" s="25" t="e">
        <f ca="1"/>
        <v>#REF!</v>
      </c>
      <c r="M1539" s="25" t="e">
        <f ca="1"/>
        <v>#REF!</v>
      </c>
      <c r="N1539" s="25" t="e">
        <f ca="1"/>
        <v>#REF!</v>
      </c>
      <c r="O1539" s="25" t="e">
        <f ca="1"/>
        <v>#REF!</v>
      </c>
      <c r="P1539" s="25" t="e">
        <f ca="1"/>
        <v>#REF!</v>
      </c>
      <c r="Q1539" s="25" t="e">
        <f ca="1"/>
        <v>#REF!</v>
      </c>
      <c r="R1539" s="25" t="e">
        <f ca="1"/>
        <v>#REF!</v>
      </c>
      <c r="S1539" s="25" t="e">
        <f ca="1"/>
        <v>#REF!</v>
      </c>
      <c r="T1539" s="25" t="e">
        <f ca="1"/>
        <v>#REF!</v>
      </c>
      <c r="U1539" s="25" t="e">
        <f ca="1"/>
        <v>#REF!</v>
      </c>
      <c r="V1539" s="25" t="e">
        <f ca="1"/>
        <v>#REF!</v>
      </c>
      <c r="W1539" s="33" t="e">
        <f ca="1"/>
        <v>#REF!</v>
      </c>
      <c r="X1539" s="33" t="e">
        <f ca="1"/>
        <v>#REF!</v>
      </c>
      <c r="Y1539" s="33" t="e">
        <f ca="1"/>
        <v>#REF!</v>
      </c>
      <c r="Z1539" s="33" t="e">
        <f ca="1"/>
        <v>#REF!</v>
      </c>
      <c r="AA1539" s="33" t="e">
        <f ca="1"/>
        <v>#REF!</v>
      </c>
    </row>
    <row r="1540" spans="1:27" s="70" customFormat="1" ht="11.25" x14ac:dyDescent="0.2">
      <c r="A1540" s="24">
        <v>1534</v>
      </c>
      <c r="B1540" s="27"/>
      <c r="C1540" s="28"/>
      <c r="D1540" s="71"/>
      <c r="E1540" s="28"/>
      <c r="F1540" s="28"/>
      <c r="G1540" s="27"/>
      <c r="H1540" s="28" t="e">
        <f ca="1"/>
        <v>#REF!</v>
      </c>
      <c r="I1540" s="27" t="e">
        <f ca="1"/>
        <v>#REF!</v>
      </c>
      <c r="J1540" s="28" t="e">
        <f ca="1"/>
        <v>#REF!</v>
      </c>
      <c r="K1540" s="27" t="e">
        <f ca="1"/>
        <v>#REF!</v>
      </c>
      <c r="L1540" s="25" t="e">
        <f ca="1"/>
        <v>#REF!</v>
      </c>
      <c r="M1540" s="25" t="e">
        <f ca="1"/>
        <v>#REF!</v>
      </c>
      <c r="N1540" s="25" t="e">
        <f ca="1"/>
        <v>#REF!</v>
      </c>
      <c r="O1540" s="25" t="e">
        <f ca="1"/>
        <v>#REF!</v>
      </c>
      <c r="P1540" s="25" t="e">
        <f ca="1"/>
        <v>#REF!</v>
      </c>
      <c r="Q1540" s="25" t="e">
        <f ca="1"/>
        <v>#REF!</v>
      </c>
      <c r="R1540" s="25" t="e">
        <f ca="1"/>
        <v>#REF!</v>
      </c>
      <c r="S1540" s="25" t="e">
        <f ca="1"/>
        <v>#REF!</v>
      </c>
      <c r="T1540" s="25" t="e">
        <f ca="1"/>
        <v>#REF!</v>
      </c>
      <c r="U1540" s="25" t="e">
        <f ca="1"/>
        <v>#REF!</v>
      </c>
      <c r="V1540" s="25" t="e">
        <f ca="1"/>
        <v>#REF!</v>
      </c>
      <c r="W1540" s="33" t="e">
        <f ca="1"/>
        <v>#REF!</v>
      </c>
      <c r="X1540" s="33" t="e">
        <f ca="1"/>
        <v>#REF!</v>
      </c>
      <c r="Y1540" s="33" t="e">
        <f ca="1"/>
        <v>#REF!</v>
      </c>
      <c r="Z1540" s="33" t="e">
        <f ca="1"/>
        <v>#REF!</v>
      </c>
      <c r="AA1540" s="33" t="e">
        <f ca="1"/>
        <v>#REF!</v>
      </c>
    </row>
    <row r="1541" spans="1:27" s="70" customFormat="1" ht="11.25" x14ac:dyDescent="0.2">
      <c r="A1541" s="24">
        <v>1535</v>
      </c>
      <c r="B1541" s="27"/>
      <c r="C1541" s="28"/>
      <c r="D1541" s="71"/>
      <c r="E1541" s="28"/>
      <c r="F1541" s="28"/>
      <c r="G1541" s="27"/>
      <c r="H1541" s="28" t="e">
        <f ca="1"/>
        <v>#REF!</v>
      </c>
      <c r="I1541" s="27" t="e">
        <f ca="1"/>
        <v>#REF!</v>
      </c>
      <c r="J1541" s="28" t="e">
        <f ca="1"/>
        <v>#REF!</v>
      </c>
      <c r="K1541" s="27" t="e">
        <f ca="1"/>
        <v>#REF!</v>
      </c>
      <c r="L1541" s="25" t="e">
        <f ca="1"/>
        <v>#REF!</v>
      </c>
      <c r="M1541" s="25" t="e">
        <f ca="1"/>
        <v>#REF!</v>
      </c>
      <c r="N1541" s="25" t="e">
        <f ca="1"/>
        <v>#REF!</v>
      </c>
      <c r="O1541" s="25" t="e">
        <f ca="1"/>
        <v>#REF!</v>
      </c>
      <c r="P1541" s="25" t="e">
        <f ca="1"/>
        <v>#REF!</v>
      </c>
      <c r="Q1541" s="25" t="e">
        <f ca="1"/>
        <v>#REF!</v>
      </c>
      <c r="R1541" s="25" t="e">
        <f ca="1"/>
        <v>#REF!</v>
      </c>
      <c r="S1541" s="25" t="e">
        <f ca="1"/>
        <v>#REF!</v>
      </c>
      <c r="T1541" s="25" t="e">
        <f ca="1"/>
        <v>#REF!</v>
      </c>
      <c r="U1541" s="25" t="e">
        <f ca="1"/>
        <v>#REF!</v>
      </c>
      <c r="V1541" s="25" t="e">
        <f ca="1"/>
        <v>#REF!</v>
      </c>
      <c r="W1541" s="33" t="e">
        <f ca="1"/>
        <v>#REF!</v>
      </c>
      <c r="X1541" s="33" t="e">
        <f ca="1"/>
        <v>#REF!</v>
      </c>
      <c r="Y1541" s="33" t="e">
        <f ca="1"/>
        <v>#REF!</v>
      </c>
      <c r="Z1541" s="33" t="e">
        <f ca="1"/>
        <v>#REF!</v>
      </c>
      <c r="AA1541" s="33" t="e">
        <f ca="1"/>
        <v>#REF!</v>
      </c>
    </row>
    <row r="1542" spans="1:27" s="70" customFormat="1" ht="11.25" x14ac:dyDescent="0.2">
      <c r="A1542" s="24">
        <v>1536</v>
      </c>
      <c r="B1542" s="27"/>
      <c r="C1542" s="28"/>
      <c r="D1542" s="71"/>
      <c r="E1542" s="28"/>
      <c r="F1542" s="28"/>
      <c r="G1542" s="27"/>
      <c r="H1542" s="28" t="e">
        <f ca="1"/>
        <v>#REF!</v>
      </c>
      <c r="I1542" s="27" t="e">
        <f ca="1"/>
        <v>#REF!</v>
      </c>
      <c r="J1542" s="28" t="e">
        <f ca="1"/>
        <v>#REF!</v>
      </c>
      <c r="K1542" s="27" t="e">
        <f ca="1"/>
        <v>#REF!</v>
      </c>
      <c r="L1542" s="25" t="e">
        <f ca="1"/>
        <v>#REF!</v>
      </c>
      <c r="M1542" s="25" t="e">
        <f ca="1"/>
        <v>#REF!</v>
      </c>
      <c r="N1542" s="25" t="e">
        <f ca="1"/>
        <v>#REF!</v>
      </c>
      <c r="O1542" s="25" t="e">
        <f ca="1"/>
        <v>#REF!</v>
      </c>
      <c r="P1542" s="25" t="e">
        <f ca="1"/>
        <v>#REF!</v>
      </c>
      <c r="Q1542" s="25" t="e">
        <f ca="1"/>
        <v>#REF!</v>
      </c>
      <c r="R1542" s="25" t="e">
        <f ca="1"/>
        <v>#REF!</v>
      </c>
      <c r="S1542" s="25" t="e">
        <f ca="1"/>
        <v>#REF!</v>
      </c>
      <c r="T1542" s="25" t="e">
        <f ca="1"/>
        <v>#REF!</v>
      </c>
      <c r="U1542" s="25" t="e">
        <f ca="1"/>
        <v>#REF!</v>
      </c>
      <c r="V1542" s="25" t="e">
        <f ca="1"/>
        <v>#REF!</v>
      </c>
      <c r="W1542" s="33" t="e">
        <f ca="1"/>
        <v>#REF!</v>
      </c>
      <c r="X1542" s="33" t="e">
        <f ca="1"/>
        <v>#REF!</v>
      </c>
      <c r="Y1542" s="33" t="e">
        <f ca="1"/>
        <v>#REF!</v>
      </c>
      <c r="Z1542" s="33" t="e">
        <f ca="1"/>
        <v>#REF!</v>
      </c>
      <c r="AA1542" s="33" t="e">
        <f ca="1"/>
        <v>#REF!</v>
      </c>
    </row>
    <row r="1543" spans="1:27" s="70" customFormat="1" ht="11.25" x14ac:dyDescent="0.2">
      <c r="A1543" s="24">
        <v>1537</v>
      </c>
      <c r="B1543" s="27"/>
      <c r="C1543" s="28"/>
      <c r="D1543" s="71"/>
      <c r="E1543" s="28"/>
      <c r="F1543" s="28"/>
      <c r="G1543" s="27"/>
      <c r="H1543" s="28" t="e">
        <f ca="1"/>
        <v>#REF!</v>
      </c>
      <c r="I1543" s="27" t="e">
        <f ca="1"/>
        <v>#REF!</v>
      </c>
      <c r="J1543" s="28" t="e">
        <f ca="1"/>
        <v>#REF!</v>
      </c>
      <c r="K1543" s="27" t="e">
        <f ca="1"/>
        <v>#REF!</v>
      </c>
      <c r="L1543" s="25" t="e">
        <f ca="1"/>
        <v>#REF!</v>
      </c>
      <c r="M1543" s="25" t="e">
        <f ca="1"/>
        <v>#REF!</v>
      </c>
      <c r="N1543" s="25" t="e">
        <f ca="1"/>
        <v>#REF!</v>
      </c>
      <c r="O1543" s="25" t="e">
        <f ca="1"/>
        <v>#REF!</v>
      </c>
      <c r="P1543" s="25" t="e">
        <f ca="1"/>
        <v>#REF!</v>
      </c>
      <c r="Q1543" s="25" t="e">
        <f ca="1"/>
        <v>#REF!</v>
      </c>
      <c r="R1543" s="25" t="e">
        <f ca="1"/>
        <v>#REF!</v>
      </c>
      <c r="S1543" s="25" t="e">
        <f ca="1"/>
        <v>#REF!</v>
      </c>
      <c r="T1543" s="25" t="e">
        <f ca="1"/>
        <v>#REF!</v>
      </c>
      <c r="U1543" s="25" t="e">
        <f ca="1"/>
        <v>#REF!</v>
      </c>
      <c r="V1543" s="25" t="e">
        <f ca="1"/>
        <v>#REF!</v>
      </c>
      <c r="W1543" s="33" t="e">
        <f ca="1"/>
        <v>#REF!</v>
      </c>
      <c r="X1543" s="33" t="e">
        <f ca="1"/>
        <v>#REF!</v>
      </c>
      <c r="Y1543" s="33" t="e">
        <f ca="1"/>
        <v>#REF!</v>
      </c>
      <c r="Z1543" s="33" t="e">
        <f ca="1"/>
        <v>#REF!</v>
      </c>
      <c r="AA1543" s="33" t="e">
        <f ca="1"/>
        <v>#REF!</v>
      </c>
    </row>
    <row r="1544" spans="1:27" s="70" customFormat="1" ht="11.25" x14ac:dyDescent="0.2">
      <c r="A1544" s="24">
        <v>1538</v>
      </c>
      <c r="B1544" s="27"/>
      <c r="C1544" s="28"/>
      <c r="D1544" s="71"/>
      <c r="E1544" s="28"/>
      <c r="F1544" s="28"/>
      <c r="G1544" s="27"/>
      <c r="H1544" s="28" t="e">
        <f ca="1"/>
        <v>#REF!</v>
      </c>
      <c r="I1544" s="27" t="e">
        <f ca="1"/>
        <v>#REF!</v>
      </c>
      <c r="J1544" s="28" t="e">
        <f ca="1"/>
        <v>#REF!</v>
      </c>
      <c r="K1544" s="27" t="e">
        <f ca="1"/>
        <v>#REF!</v>
      </c>
      <c r="L1544" s="25" t="e">
        <f ca="1"/>
        <v>#REF!</v>
      </c>
      <c r="M1544" s="25" t="e">
        <f ca="1"/>
        <v>#REF!</v>
      </c>
      <c r="N1544" s="25" t="e">
        <f ca="1"/>
        <v>#REF!</v>
      </c>
      <c r="O1544" s="25" t="e">
        <f ca="1"/>
        <v>#REF!</v>
      </c>
      <c r="P1544" s="25" t="e">
        <f ca="1"/>
        <v>#REF!</v>
      </c>
      <c r="Q1544" s="25" t="e">
        <f ca="1"/>
        <v>#REF!</v>
      </c>
      <c r="R1544" s="25" t="e">
        <f ca="1"/>
        <v>#REF!</v>
      </c>
      <c r="S1544" s="25" t="e">
        <f ca="1"/>
        <v>#REF!</v>
      </c>
      <c r="T1544" s="25" t="e">
        <f ca="1"/>
        <v>#REF!</v>
      </c>
      <c r="U1544" s="25" t="e">
        <f ca="1"/>
        <v>#REF!</v>
      </c>
      <c r="V1544" s="25" t="e">
        <f ca="1"/>
        <v>#REF!</v>
      </c>
      <c r="W1544" s="33" t="e">
        <f ca="1"/>
        <v>#REF!</v>
      </c>
      <c r="X1544" s="33" t="e">
        <f ca="1"/>
        <v>#REF!</v>
      </c>
      <c r="Y1544" s="33" t="e">
        <f ca="1"/>
        <v>#REF!</v>
      </c>
      <c r="Z1544" s="33" t="e">
        <f ca="1"/>
        <v>#REF!</v>
      </c>
      <c r="AA1544" s="33" t="e">
        <f ca="1"/>
        <v>#REF!</v>
      </c>
    </row>
    <row r="1545" spans="1:27" s="70" customFormat="1" ht="11.25" x14ac:dyDescent="0.2">
      <c r="A1545" s="24">
        <v>1539</v>
      </c>
      <c r="B1545" s="27"/>
      <c r="C1545" s="28"/>
      <c r="D1545" s="71"/>
      <c r="E1545" s="28"/>
      <c r="F1545" s="28"/>
      <c r="G1545" s="27"/>
      <c r="H1545" s="28" t="e">
        <f ca="1"/>
        <v>#REF!</v>
      </c>
      <c r="I1545" s="27" t="e">
        <f ca="1"/>
        <v>#REF!</v>
      </c>
      <c r="J1545" s="28" t="e">
        <f ca="1"/>
        <v>#REF!</v>
      </c>
      <c r="K1545" s="27" t="e">
        <f ca="1"/>
        <v>#REF!</v>
      </c>
      <c r="L1545" s="25" t="e">
        <f ca="1"/>
        <v>#REF!</v>
      </c>
      <c r="M1545" s="25" t="e">
        <f ca="1"/>
        <v>#REF!</v>
      </c>
      <c r="N1545" s="25" t="e">
        <f ca="1"/>
        <v>#REF!</v>
      </c>
      <c r="O1545" s="25" t="e">
        <f ca="1"/>
        <v>#REF!</v>
      </c>
      <c r="P1545" s="25" t="e">
        <f ca="1"/>
        <v>#REF!</v>
      </c>
      <c r="Q1545" s="25" t="e">
        <f ca="1"/>
        <v>#REF!</v>
      </c>
      <c r="R1545" s="25" t="e">
        <f ca="1"/>
        <v>#REF!</v>
      </c>
      <c r="S1545" s="25" t="e">
        <f ca="1"/>
        <v>#REF!</v>
      </c>
      <c r="T1545" s="25" t="e">
        <f ca="1"/>
        <v>#REF!</v>
      </c>
      <c r="U1545" s="25" t="e">
        <f ca="1"/>
        <v>#REF!</v>
      </c>
      <c r="V1545" s="25" t="e">
        <f ca="1"/>
        <v>#REF!</v>
      </c>
      <c r="W1545" s="33" t="e">
        <f ca="1"/>
        <v>#REF!</v>
      </c>
      <c r="X1545" s="33" t="e">
        <f ca="1"/>
        <v>#REF!</v>
      </c>
      <c r="Y1545" s="33" t="e">
        <f ca="1"/>
        <v>#REF!</v>
      </c>
      <c r="Z1545" s="33" t="e">
        <f ca="1"/>
        <v>#REF!</v>
      </c>
      <c r="AA1545" s="33" t="e">
        <f ca="1"/>
        <v>#REF!</v>
      </c>
    </row>
    <row r="1546" spans="1:27" s="70" customFormat="1" ht="11.25" x14ac:dyDescent="0.2">
      <c r="A1546" s="24">
        <v>1540</v>
      </c>
      <c r="B1546" s="27"/>
      <c r="C1546" s="28"/>
      <c r="D1546" s="71"/>
      <c r="E1546" s="28"/>
      <c r="F1546" s="28"/>
      <c r="G1546" s="27"/>
      <c r="H1546" s="28" t="e">
        <f ca="1"/>
        <v>#REF!</v>
      </c>
      <c r="I1546" s="27" t="e">
        <f ca="1"/>
        <v>#REF!</v>
      </c>
      <c r="J1546" s="28" t="e">
        <f ca="1"/>
        <v>#REF!</v>
      </c>
      <c r="K1546" s="27" t="e">
        <f ca="1"/>
        <v>#REF!</v>
      </c>
      <c r="L1546" s="25" t="e">
        <f ca="1"/>
        <v>#REF!</v>
      </c>
      <c r="M1546" s="25" t="e">
        <f ca="1"/>
        <v>#REF!</v>
      </c>
      <c r="N1546" s="25" t="e">
        <f ca="1"/>
        <v>#REF!</v>
      </c>
      <c r="O1546" s="25" t="e">
        <f ca="1"/>
        <v>#REF!</v>
      </c>
      <c r="P1546" s="25" t="e">
        <f ca="1"/>
        <v>#REF!</v>
      </c>
      <c r="Q1546" s="25" t="e">
        <f ca="1"/>
        <v>#REF!</v>
      </c>
      <c r="R1546" s="25" t="e">
        <f ca="1"/>
        <v>#REF!</v>
      </c>
      <c r="S1546" s="25" t="e">
        <f ca="1"/>
        <v>#REF!</v>
      </c>
      <c r="T1546" s="25" t="e">
        <f ca="1"/>
        <v>#REF!</v>
      </c>
      <c r="U1546" s="25" t="e">
        <f ca="1"/>
        <v>#REF!</v>
      </c>
      <c r="V1546" s="25" t="e">
        <f ca="1"/>
        <v>#REF!</v>
      </c>
      <c r="W1546" s="33" t="e">
        <f ca="1"/>
        <v>#REF!</v>
      </c>
      <c r="X1546" s="33" t="e">
        <f ca="1"/>
        <v>#REF!</v>
      </c>
      <c r="Y1546" s="33" t="e">
        <f ca="1"/>
        <v>#REF!</v>
      </c>
      <c r="Z1546" s="33" t="e">
        <f ca="1"/>
        <v>#REF!</v>
      </c>
      <c r="AA1546" s="33" t="e">
        <f ca="1"/>
        <v>#REF!</v>
      </c>
    </row>
    <row r="1547" spans="1:27" s="70" customFormat="1" ht="11.25" x14ac:dyDescent="0.2">
      <c r="A1547" s="24">
        <v>1541</v>
      </c>
      <c r="B1547" s="27"/>
      <c r="C1547" s="28"/>
      <c r="D1547" s="71"/>
      <c r="E1547" s="28"/>
      <c r="F1547" s="28"/>
      <c r="G1547" s="27"/>
      <c r="H1547" s="28" t="e">
        <f ca="1"/>
        <v>#REF!</v>
      </c>
      <c r="I1547" s="27" t="e">
        <f ca="1"/>
        <v>#REF!</v>
      </c>
      <c r="J1547" s="28" t="e">
        <f ca="1"/>
        <v>#REF!</v>
      </c>
      <c r="K1547" s="27" t="e">
        <f ca="1"/>
        <v>#REF!</v>
      </c>
      <c r="L1547" s="25" t="e">
        <f ca="1"/>
        <v>#REF!</v>
      </c>
      <c r="M1547" s="25" t="e">
        <f ca="1"/>
        <v>#REF!</v>
      </c>
      <c r="N1547" s="25" t="e">
        <f ca="1"/>
        <v>#REF!</v>
      </c>
      <c r="O1547" s="25" t="e">
        <f ca="1"/>
        <v>#REF!</v>
      </c>
      <c r="P1547" s="25" t="e">
        <f ca="1"/>
        <v>#REF!</v>
      </c>
      <c r="Q1547" s="25" t="e">
        <f ca="1"/>
        <v>#REF!</v>
      </c>
      <c r="R1547" s="25" t="e">
        <f ca="1"/>
        <v>#REF!</v>
      </c>
      <c r="S1547" s="25" t="e">
        <f ca="1"/>
        <v>#REF!</v>
      </c>
      <c r="T1547" s="25" t="e">
        <f ca="1"/>
        <v>#REF!</v>
      </c>
      <c r="U1547" s="25" t="e">
        <f ca="1"/>
        <v>#REF!</v>
      </c>
      <c r="V1547" s="25" t="e">
        <f ca="1"/>
        <v>#REF!</v>
      </c>
      <c r="W1547" s="33" t="e">
        <f ca="1"/>
        <v>#REF!</v>
      </c>
      <c r="X1547" s="33" t="e">
        <f ca="1"/>
        <v>#REF!</v>
      </c>
      <c r="Y1547" s="33" t="e">
        <f ca="1"/>
        <v>#REF!</v>
      </c>
      <c r="Z1547" s="33" t="e">
        <f ca="1"/>
        <v>#REF!</v>
      </c>
      <c r="AA1547" s="33" t="e">
        <f ca="1"/>
        <v>#REF!</v>
      </c>
    </row>
    <row r="1548" spans="1:27" s="70" customFormat="1" ht="11.25" x14ac:dyDescent="0.2">
      <c r="A1548" s="24">
        <v>1542</v>
      </c>
      <c r="B1548" s="27"/>
      <c r="C1548" s="28"/>
      <c r="D1548" s="71"/>
      <c r="E1548" s="28"/>
      <c r="F1548" s="28"/>
      <c r="G1548" s="27"/>
      <c r="H1548" s="28" t="e">
        <f ca="1"/>
        <v>#REF!</v>
      </c>
      <c r="I1548" s="27" t="e">
        <f ca="1"/>
        <v>#REF!</v>
      </c>
      <c r="J1548" s="28" t="e">
        <f ca="1"/>
        <v>#REF!</v>
      </c>
      <c r="K1548" s="27" t="e">
        <f ca="1"/>
        <v>#REF!</v>
      </c>
      <c r="L1548" s="25" t="e">
        <f ca="1"/>
        <v>#REF!</v>
      </c>
      <c r="M1548" s="25" t="e">
        <f ca="1"/>
        <v>#REF!</v>
      </c>
      <c r="N1548" s="25" t="e">
        <f ca="1"/>
        <v>#REF!</v>
      </c>
      <c r="O1548" s="25" t="e">
        <f ca="1"/>
        <v>#REF!</v>
      </c>
      <c r="P1548" s="25" t="e">
        <f ca="1"/>
        <v>#REF!</v>
      </c>
      <c r="Q1548" s="25" t="e">
        <f ca="1"/>
        <v>#REF!</v>
      </c>
      <c r="R1548" s="25" t="e">
        <f ca="1"/>
        <v>#REF!</v>
      </c>
      <c r="S1548" s="25" t="e">
        <f ca="1"/>
        <v>#REF!</v>
      </c>
      <c r="T1548" s="25" t="e">
        <f ca="1"/>
        <v>#REF!</v>
      </c>
      <c r="U1548" s="25" t="e">
        <f ca="1"/>
        <v>#REF!</v>
      </c>
      <c r="V1548" s="25" t="e">
        <f ca="1"/>
        <v>#REF!</v>
      </c>
      <c r="W1548" s="33" t="e">
        <f ca="1"/>
        <v>#REF!</v>
      </c>
      <c r="X1548" s="33" t="e">
        <f ca="1"/>
        <v>#REF!</v>
      </c>
      <c r="Y1548" s="33" t="e">
        <f ca="1"/>
        <v>#REF!</v>
      </c>
      <c r="Z1548" s="33" t="e">
        <f ca="1"/>
        <v>#REF!</v>
      </c>
      <c r="AA1548" s="33" t="e">
        <f ca="1"/>
        <v>#REF!</v>
      </c>
    </row>
    <row r="1549" spans="1:27" s="70" customFormat="1" ht="11.25" x14ac:dyDescent="0.2">
      <c r="A1549" s="24">
        <v>1543</v>
      </c>
      <c r="B1549" s="27"/>
      <c r="C1549" s="28"/>
      <c r="D1549" s="71"/>
      <c r="E1549" s="28"/>
      <c r="F1549" s="28"/>
      <c r="G1549" s="27"/>
      <c r="H1549" s="28" t="e">
        <f ca="1"/>
        <v>#REF!</v>
      </c>
      <c r="I1549" s="27" t="e">
        <f ca="1"/>
        <v>#REF!</v>
      </c>
      <c r="J1549" s="28" t="e">
        <f ca="1"/>
        <v>#REF!</v>
      </c>
      <c r="K1549" s="27" t="e">
        <f ca="1"/>
        <v>#REF!</v>
      </c>
      <c r="L1549" s="25" t="e">
        <f ca="1"/>
        <v>#REF!</v>
      </c>
      <c r="M1549" s="25" t="e">
        <f ca="1"/>
        <v>#REF!</v>
      </c>
      <c r="N1549" s="25" t="e">
        <f ca="1"/>
        <v>#REF!</v>
      </c>
      <c r="O1549" s="25" t="e">
        <f ca="1"/>
        <v>#REF!</v>
      </c>
      <c r="P1549" s="25" t="e">
        <f ca="1"/>
        <v>#REF!</v>
      </c>
      <c r="Q1549" s="25" t="e">
        <f ca="1"/>
        <v>#REF!</v>
      </c>
      <c r="R1549" s="25" t="e">
        <f ca="1"/>
        <v>#REF!</v>
      </c>
      <c r="S1549" s="25" t="e">
        <f ca="1"/>
        <v>#REF!</v>
      </c>
      <c r="T1549" s="25" t="e">
        <f ca="1"/>
        <v>#REF!</v>
      </c>
      <c r="U1549" s="25" t="e">
        <f ca="1"/>
        <v>#REF!</v>
      </c>
      <c r="V1549" s="25" t="e">
        <f ca="1"/>
        <v>#REF!</v>
      </c>
      <c r="W1549" s="33" t="e">
        <f ca="1"/>
        <v>#REF!</v>
      </c>
      <c r="X1549" s="33" t="e">
        <f ca="1"/>
        <v>#REF!</v>
      </c>
      <c r="Y1549" s="33" t="e">
        <f ca="1"/>
        <v>#REF!</v>
      </c>
      <c r="Z1549" s="33" t="e">
        <f ca="1"/>
        <v>#REF!</v>
      </c>
      <c r="AA1549" s="33" t="e">
        <f ca="1"/>
        <v>#REF!</v>
      </c>
    </row>
    <row r="1550" spans="1:27" s="70" customFormat="1" ht="11.25" x14ac:dyDescent="0.2">
      <c r="A1550" s="24">
        <v>1544</v>
      </c>
      <c r="B1550" s="27"/>
      <c r="C1550" s="28"/>
      <c r="D1550" s="71"/>
      <c r="E1550" s="28"/>
      <c r="F1550" s="28"/>
      <c r="G1550" s="27"/>
      <c r="H1550" s="28" t="e">
        <f ca="1"/>
        <v>#REF!</v>
      </c>
      <c r="I1550" s="27" t="e">
        <f ca="1"/>
        <v>#REF!</v>
      </c>
      <c r="J1550" s="28" t="e">
        <f ca="1"/>
        <v>#REF!</v>
      </c>
      <c r="K1550" s="27" t="e">
        <f ca="1"/>
        <v>#REF!</v>
      </c>
      <c r="L1550" s="25" t="e">
        <f ca="1"/>
        <v>#REF!</v>
      </c>
      <c r="M1550" s="25" t="e">
        <f ca="1"/>
        <v>#REF!</v>
      </c>
      <c r="N1550" s="25" t="e">
        <f ca="1"/>
        <v>#REF!</v>
      </c>
      <c r="O1550" s="25" t="e">
        <f ca="1"/>
        <v>#REF!</v>
      </c>
      <c r="P1550" s="25" t="e">
        <f ca="1"/>
        <v>#REF!</v>
      </c>
      <c r="Q1550" s="25" t="e">
        <f ca="1"/>
        <v>#REF!</v>
      </c>
      <c r="R1550" s="25" t="e">
        <f ca="1"/>
        <v>#REF!</v>
      </c>
      <c r="S1550" s="25" t="e">
        <f ca="1"/>
        <v>#REF!</v>
      </c>
      <c r="T1550" s="25" t="e">
        <f ca="1"/>
        <v>#REF!</v>
      </c>
      <c r="U1550" s="25" t="e">
        <f ca="1"/>
        <v>#REF!</v>
      </c>
      <c r="V1550" s="25" t="e">
        <f ca="1"/>
        <v>#REF!</v>
      </c>
      <c r="W1550" s="33" t="e">
        <f ca="1"/>
        <v>#REF!</v>
      </c>
      <c r="X1550" s="33" t="e">
        <f ca="1"/>
        <v>#REF!</v>
      </c>
      <c r="Y1550" s="33" t="e">
        <f ca="1"/>
        <v>#REF!</v>
      </c>
      <c r="Z1550" s="33" t="e">
        <f ca="1"/>
        <v>#REF!</v>
      </c>
      <c r="AA1550" s="33" t="e">
        <f ca="1"/>
        <v>#REF!</v>
      </c>
    </row>
    <row r="1551" spans="1:27" s="70" customFormat="1" ht="11.25" x14ac:dyDescent="0.2">
      <c r="A1551" s="24">
        <v>1545</v>
      </c>
      <c r="B1551" s="27"/>
      <c r="C1551" s="28"/>
      <c r="D1551" s="71"/>
      <c r="E1551" s="28"/>
      <c r="F1551" s="28"/>
      <c r="G1551" s="27"/>
      <c r="H1551" s="28" t="e">
        <f ca="1"/>
        <v>#REF!</v>
      </c>
      <c r="I1551" s="27" t="e">
        <f ca="1"/>
        <v>#REF!</v>
      </c>
      <c r="J1551" s="28" t="e">
        <f ca="1"/>
        <v>#REF!</v>
      </c>
      <c r="K1551" s="27" t="e">
        <f ca="1"/>
        <v>#REF!</v>
      </c>
      <c r="L1551" s="25" t="e">
        <f ca="1"/>
        <v>#REF!</v>
      </c>
      <c r="M1551" s="25" t="e">
        <f ca="1"/>
        <v>#REF!</v>
      </c>
      <c r="N1551" s="25" t="e">
        <f ca="1"/>
        <v>#REF!</v>
      </c>
      <c r="O1551" s="25" t="e">
        <f ca="1"/>
        <v>#REF!</v>
      </c>
      <c r="P1551" s="25" t="e">
        <f ca="1"/>
        <v>#REF!</v>
      </c>
      <c r="Q1551" s="25" t="e">
        <f ca="1"/>
        <v>#REF!</v>
      </c>
      <c r="R1551" s="25" t="e">
        <f ca="1"/>
        <v>#REF!</v>
      </c>
      <c r="S1551" s="25" t="e">
        <f ca="1"/>
        <v>#REF!</v>
      </c>
      <c r="T1551" s="25" t="e">
        <f ca="1"/>
        <v>#REF!</v>
      </c>
      <c r="U1551" s="25" t="e">
        <f ca="1"/>
        <v>#REF!</v>
      </c>
      <c r="V1551" s="25" t="e">
        <f ca="1"/>
        <v>#REF!</v>
      </c>
      <c r="W1551" s="33" t="e">
        <f ca="1"/>
        <v>#REF!</v>
      </c>
      <c r="X1551" s="33" t="e">
        <f ca="1"/>
        <v>#REF!</v>
      </c>
      <c r="Y1551" s="33" t="e">
        <f ca="1"/>
        <v>#REF!</v>
      </c>
      <c r="Z1551" s="33" t="e">
        <f ca="1"/>
        <v>#REF!</v>
      </c>
      <c r="AA1551" s="33" t="e">
        <f ca="1"/>
        <v>#REF!</v>
      </c>
    </row>
    <row r="1552" spans="1:27" s="70" customFormat="1" ht="11.25" x14ac:dyDescent="0.2">
      <c r="A1552" s="24">
        <v>1546</v>
      </c>
      <c r="B1552" s="27"/>
      <c r="C1552" s="28"/>
      <c r="D1552" s="71"/>
      <c r="E1552" s="28"/>
      <c r="F1552" s="28"/>
      <c r="G1552" s="27"/>
      <c r="H1552" s="28" t="e">
        <f ca="1"/>
        <v>#REF!</v>
      </c>
      <c r="I1552" s="27" t="e">
        <f ca="1"/>
        <v>#REF!</v>
      </c>
      <c r="J1552" s="28" t="e">
        <f ca="1"/>
        <v>#REF!</v>
      </c>
      <c r="K1552" s="27" t="e">
        <f ca="1"/>
        <v>#REF!</v>
      </c>
      <c r="L1552" s="25" t="e">
        <f ca="1"/>
        <v>#REF!</v>
      </c>
      <c r="M1552" s="25" t="e">
        <f ca="1"/>
        <v>#REF!</v>
      </c>
      <c r="N1552" s="25" t="e">
        <f ca="1"/>
        <v>#REF!</v>
      </c>
      <c r="O1552" s="25" t="e">
        <f ca="1"/>
        <v>#REF!</v>
      </c>
      <c r="P1552" s="25" t="e">
        <f ca="1"/>
        <v>#REF!</v>
      </c>
      <c r="Q1552" s="25" t="e">
        <f ca="1"/>
        <v>#REF!</v>
      </c>
      <c r="R1552" s="25" t="e">
        <f ca="1"/>
        <v>#REF!</v>
      </c>
      <c r="S1552" s="25" t="e">
        <f ca="1"/>
        <v>#REF!</v>
      </c>
      <c r="T1552" s="25" t="e">
        <f ca="1"/>
        <v>#REF!</v>
      </c>
      <c r="U1552" s="25" t="e">
        <f ca="1"/>
        <v>#REF!</v>
      </c>
      <c r="V1552" s="25" t="e">
        <f ca="1"/>
        <v>#REF!</v>
      </c>
      <c r="W1552" s="33" t="e">
        <f ca="1"/>
        <v>#REF!</v>
      </c>
      <c r="X1552" s="33" t="e">
        <f ca="1"/>
        <v>#REF!</v>
      </c>
      <c r="Y1552" s="33" t="e">
        <f ca="1"/>
        <v>#REF!</v>
      </c>
      <c r="Z1552" s="33" t="e">
        <f ca="1"/>
        <v>#REF!</v>
      </c>
      <c r="AA1552" s="33" t="e">
        <f ca="1"/>
        <v>#REF!</v>
      </c>
    </row>
    <row r="1553" spans="1:27" s="70" customFormat="1" ht="11.25" x14ac:dyDescent="0.2">
      <c r="A1553" s="24">
        <v>1547</v>
      </c>
      <c r="B1553" s="27"/>
      <c r="C1553" s="28"/>
      <c r="D1553" s="71"/>
      <c r="E1553" s="28"/>
      <c r="F1553" s="28"/>
      <c r="G1553" s="27"/>
      <c r="H1553" s="28" t="e">
        <f ca="1"/>
        <v>#REF!</v>
      </c>
      <c r="I1553" s="27" t="e">
        <f ca="1"/>
        <v>#REF!</v>
      </c>
      <c r="J1553" s="28" t="e">
        <f ca="1"/>
        <v>#REF!</v>
      </c>
      <c r="K1553" s="27" t="e">
        <f ca="1"/>
        <v>#REF!</v>
      </c>
      <c r="L1553" s="25" t="e">
        <f ca="1"/>
        <v>#REF!</v>
      </c>
      <c r="M1553" s="25" t="e">
        <f ca="1"/>
        <v>#REF!</v>
      </c>
      <c r="N1553" s="25" t="e">
        <f ca="1"/>
        <v>#REF!</v>
      </c>
      <c r="O1553" s="25" t="e">
        <f ca="1"/>
        <v>#REF!</v>
      </c>
      <c r="P1553" s="25" t="e">
        <f ca="1"/>
        <v>#REF!</v>
      </c>
      <c r="Q1553" s="25" t="e">
        <f ca="1"/>
        <v>#REF!</v>
      </c>
      <c r="R1553" s="25" t="e">
        <f ca="1"/>
        <v>#REF!</v>
      </c>
      <c r="S1553" s="25" t="e">
        <f ca="1"/>
        <v>#REF!</v>
      </c>
      <c r="T1553" s="25" t="e">
        <f ca="1"/>
        <v>#REF!</v>
      </c>
      <c r="U1553" s="25" t="e">
        <f ca="1"/>
        <v>#REF!</v>
      </c>
      <c r="V1553" s="25" t="e">
        <f ca="1"/>
        <v>#REF!</v>
      </c>
      <c r="W1553" s="33" t="e">
        <f ca="1"/>
        <v>#REF!</v>
      </c>
      <c r="X1553" s="33" t="e">
        <f ca="1"/>
        <v>#REF!</v>
      </c>
      <c r="Y1553" s="33" t="e">
        <f ca="1"/>
        <v>#REF!</v>
      </c>
      <c r="Z1553" s="33" t="e">
        <f ca="1"/>
        <v>#REF!</v>
      </c>
      <c r="AA1553" s="33" t="e">
        <f ca="1"/>
        <v>#REF!</v>
      </c>
    </row>
    <row r="1554" spans="1:27" s="70" customFormat="1" ht="11.25" x14ac:dyDescent="0.2">
      <c r="A1554" s="24">
        <v>1548</v>
      </c>
      <c r="B1554" s="27"/>
      <c r="C1554" s="28"/>
      <c r="D1554" s="71"/>
      <c r="E1554" s="28"/>
      <c r="F1554" s="28"/>
      <c r="G1554" s="27"/>
      <c r="H1554" s="28" t="e">
        <f ca="1"/>
        <v>#REF!</v>
      </c>
      <c r="I1554" s="27" t="e">
        <f ca="1"/>
        <v>#REF!</v>
      </c>
      <c r="J1554" s="28" t="e">
        <f ca="1"/>
        <v>#REF!</v>
      </c>
      <c r="K1554" s="27" t="e">
        <f ca="1"/>
        <v>#REF!</v>
      </c>
      <c r="L1554" s="25" t="e">
        <f ca="1"/>
        <v>#REF!</v>
      </c>
      <c r="M1554" s="25" t="e">
        <f ca="1"/>
        <v>#REF!</v>
      </c>
      <c r="N1554" s="25" t="e">
        <f ca="1"/>
        <v>#REF!</v>
      </c>
      <c r="O1554" s="25" t="e">
        <f ca="1"/>
        <v>#REF!</v>
      </c>
      <c r="P1554" s="25" t="e">
        <f ca="1"/>
        <v>#REF!</v>
      </c>
      <c r="Q1554" s="25" t="e">
        <f ca="1"/>
        <v>#REF!</v>
      </c>
      <c r="R1554" s="25" t="e">
        <f ca="1"/>
        <v>#REF!</v>
      </c>
      <c r="S1554" s="25" t="e">
        <f ca="1"/>
        <v>#REF!</v>
      </c>
      <c r="T1554" s="25" t="e">
        <f ca="1"/>
        <v>#REF!</v>
      </c>
      <c r="U1554" s="25" t="e">
        <f ca="1"/>
        <v>#REF!</v>
      </c>
      <c r="V1554" s="25" t="e">
        <f ca="1"/>
        <v>#REF!</v>
      </c>
      <c r="W1554" s="33" t="e">
        <f ca="1"/>
        <v>#REF!</v>
      </c>
      <c r="X1554" s="33" t="e">
        <f ca="1"/>
        <v>#REF!</v>
      </c>
      <c r="Y1554" s="33" t="e">
        <f ca="1"/>
        <v>#REF!</v>
      </c>
      <c r="Z1554" s="33" t="e">
        <f ca="1"/>
        <v>#REF!</v>
      </c>
      <c r="AA1554" s="33" t="e">
        <f ca="1"/>
        <v>#REF!</v>
      </c>
    </row>
    <row r="1555" spans="1:27" s="70" customFormat="1" ht="11.25" x14ac:dyDescent="0.2">
      <c r="A1555" s="24">
        <v>1549</v>
      </c>
      <c r="B1555" s="27"/>
      <c r="C1555" s="28"/>
      <c r="D1555" s="71"/>
      <c r="E1555" s="28"/>
      <c r="F1555" s="28"/>
      <c r="G1555" s="27"/>
      <c r="H1555" s="28" t="e">
        <f ca="1"/>
        <v>#REF!</v>
      </c>
      <c r="I1555" s="27" t="e">
        <f ca="1"/>
        <v>#REF!</v>
      </c>
      <c r="J1555" s="28" t="e">
        <f ca="1"/>
        <v>#REF!</v>
      </c>
      <c r="K1555" s="27" t="e">
        <f ca="1"/>
        <v>#REF!</v>
      </c>
      <c r="L1555" s="25" t="e">
        <f ca="1"/>
        <v>#REF!</v>
      </c>
      <c r="M1555" s="25" t="e">
        <f ca="1"/>
        <v>#REF!</v>
      </c>
      <c r="N1555" s="25" t="e">
        <f ca="1"/>
        <v>#REF!</v>
      </c>
      <c r="O1555" s="25" t="e">
        <f ca="1"/>
        <v>#REF!</v>
      </c>
      <c r="P1555" s="25" t="e">
        <f ca="1"/>
        <v>#REF!</v>
      </c>
      <c r="Q1555" s="25" t="e">
        <f ca="1"/>
        <v>#REF!</v>
      </c>
      <c r="R1555" s="25" t="e">
        <f ca="1"/>
        <v>#REF!</v>
      </c>
      <c r="S1555" s="25" t="e">
        <f ca="1"/>
        <v>#REF!</v>
      </c>
      <c r="T1555" s="25" t="e">
        <f ca="1"/>
        <v>#REF!</v>
      </c>
      <c r="U1555" s="25" t="e">
        <f ca="1"/>
        <v>#REF!</v>
      </c>
      <c r="V1555" s="25" t="e">
        <f ca="1"/>
        <v>#REF!</v>
      </c>
      <c r="W1555" s="33" t="e">
        <f ca="1"/>
        <v>#REF!</v>
      </c>
      <c r="X1555" s="33" t="e">
        <f ca="1"/>
        <v>#REF!</v>
      </c>
      <c r="Y1555" s="33" t="e">
        <f ca="1"/>
        <v>#REF!</v>
      </c>
      <c r="Z1555" s="33" t="e">
        <f ca="1"/>
        <v>#REF!</v>
      </c>
      <c r="AA1555" s="33" t="e">
        <f ca="1"/>
        <v>#REF!</v>
      </c>
    </row>
    <row r="1556" spans="1:27" s="70" customFormat="1" ht="11.25" x14ac:dyDescent="0.2">
      <c r="A1556" s="24">
        <v>1550</v>
      </c>
      <c r="B1556" s="27"/>
      <c r="C1556" s="28"/>
      <c r="D1556" s="71"/>
      <c r="E1556" s="28"/>
      <c r="F1556" s="28"/>
      <c r="G1556" s="27"/>
      <c r="H1556" s="28" t="e">
        <f ca="1"/>
        <v>#REF!</v>
      </c>
      <c r="I1556" s="27" t="e">
        <f ca="1"/>
        <v>#REF!</v>
      </c>
      <c r="J1556" s="28" t="e">
        <f ca="1"/>
        <v>#REF!</v>
      </c>
      <c r="K1556" s="27" t="e">
        <f ca="1"/>
        <v>#REF!</v>
      </c>
      <c r="L1556" s="25" t="e">
        <f ca="1"/>
        <v>#REF!</v>
      </c>
      <c r="M1556" s="25" t="e">
        <f ca="1"/>
        <v>#REF!</v>
      </c>
      <c r="N1556" s="25" t="e">
        <f ca="1"/>
        <v>#REF!</v>
      </c>
      <c r="O1556" s="25" t="e">
        <f ca="1"/>
        <v>#REF!</v>
      </c>
      <c r="P1556" s="25" t="e">
        <f ca="1"/>
        <v>#REF!</v>
      </c>
      <c r="Q1556" s="25" t="e">
        <f ca="1"/>
        <v>#REF!</v>
      </c>
      <c r="R1556" s="25" t="e">
        <f ca="1"/>
        <v>#REF!</v>
      </c>
      <c r="S1556" s="25" t="e">
        <f ca="1"/>
        <v>#REF!</v>
      </c>
      <c r="T1556" s="25" t="e">
        <f ca="1"/>
        <v>#REF!</v>
      </c>
      <c r="U1556" s="25" t="e">
        <f ca="1"/>
        <v>#REF!</v>
      </c>
      <c r="V1556" s="25" t="e">
        <f ca="1"/>
        <v>#REF!</v>
      </c>
      <c r="W1556" s="33" t="e">
        <f ca="1"/>
        <v>#REF!</v>
      </c>
      <c r="X1556" s="33" t="e">
        <f ca="1"/>
        <v>#REF!</v>
      </c>
      <c r="Y1556" s="33" t="e">
        <f ca="1"/>
        <v>#REF!</v>
      </c>
      <c r="Z1556" s="33" t="e">
        <f ca="1"/>
        <v>#REF!</v>
      </c>
      <c r="AA1556" s="33" t="e">
        <f ca="1"/>
        <v>#REF!</v>
      </c>
    </row>
    <row r="1557" spans="1:27" s="70" customFormat="1" ht="11.25" x14ac:dyDescent="0.2">
      <c r="A1557" s="24">
        <v>1551</v>
      </c>
      <c r="B1557" s="27"/>
      <c r="C1557" s="28"/>
      <c r="D1557" s="71"/>
      <c r="E1557" s="28"/>
      <c r="F1557" s="28"/>
      <c r="G1557" s="27"/>
      <c r="H1557" s="28" t="e">
        <f ca="1"/>
        <v>#REF!</v>
      </c>
      <c r="I1557" s="27" t="e">
        <f ca="1"/>
        <v>#REF!</v>
      </c>
      <c r="J1557" s="28" t="e">
        <f ca="1"/>
        <v>#REF!</v>
      </c>
      <c r="K1557" s="27" t="e">
        <f ca="1"/>
        <v>#REF!</v>
      </c>
      <c r="L1557" s="25" t="e">
        <f ca="1"/>
        <v>#REF!</v>
      </c>
      <c r="M1557" s="25" t="e">
        <f ca="1"/>
        <v>#REF!</v>
      </c>
      <c r="N1557" s="25" t="e">
        <f ca="1"/>
        <v>#REF!</v>
      </c>
      <c r="O1557" s="25" t="e">
        <f ca="1"/>
        <v>#REF!</v>
      </c>
      <c r="P1557" s="25" t="e">
        <f ca="1"/>
        <v>#REF!</v>
      </c>
      <c r="Q1557" s="25" t="e">
        <f ca="1"/>
        <v>#REF!</v>
      </c>
      <c r="R1557" s="25" t="e">
        <f ca="1"/>
        <v>#REF!</v>
      </c>
      <c r="S1557" s="25" t="e">
        <f ca="1"/>
        <v>#REF!</v>
      </c>
      <c r="T1557" s="25" t="e">
        <f ca="1"/>
        <v>#REF!</v>
      </c>
      <c r="U1557" s="25" t="e">
        <f ca="1"/>
        <v>#REF!</v>
      </c>
      <c r="V1557" s="25" t="e">
        <f ca="1"/>
        <v>#REF!</v>
      </c>
      <c r="W1557" s="33" t="e">
        <f ca="1"/>
        <v>#REF!</v>
      </c>
      <c r="X1557" s="33" t="e">
        <f ca="1"/>
        <v>#REF!</v>
      </c>
      <c r="Y1557" s="33" t="e">
        <f ca="1"/>
        <v>#REF!</v>
      </c>
      <c r="Z1557" s="33" t="e">
        <f ca="1"/>
        <v>#REF!</v>
      </c>
      <c r="AA1557" s="33" t="e">
        <f ca="1"/>
        <v>#REF!</v>
      </c>
    </row>
    <row r="1558" spans="1:27" s="70" customFormat="1" ht="11.25" x14ac:dyDescent="0.2">
      <c r="A1558" s="24">
        <v>1552</v>
      </c>
      <c r="B1558" s="27"/>
      <c r="C1558" s="28"/>
      <c r="D1558" s="71"/>
      <c r="E1558" s="28"/>
      <c r="F1558" s="28"/>
      <c r="G1558" s="27"/>
      <c r="H1558" s="28" t="e">
        <f ca="1"/>
        <v>#REF!</v>
      </c>
      <c r="I1558" s="27" t="e">
        <f ca="1"/>
        <v>#REF!</v>
      </c>
      <c r="J1558" s="28" t="e">
        <f ca="1"/>
        <v>#REF!</v>
      </c>
      <c r="K1558" s="27" t="e">
        <f ca="1"/>
        <v>#REF!</v>
      </c>
      <c r="L1558" s="25" t="e">
        <f ca="1"/>
        <v>#REF!</v>
      </c>
      <c r="M1558" s="25" t="e">
        <f ca="1"/>
        <v>#REF!</v>
      </c>
      <c r="N1558" s="25" t="e">
        <f ca="1"/>
        <v>#REF!</v>
      </c>
      <c r="O1558" s="25" t="e">
        <f ca="1"/>
        <v>#REF!</v>
      </c>
      <c r="P1558" s="25" t="e">
        <f ca="1"/>
        <v>#REF!</v>
      </c>
      <c r="Q1558" s="25" t="e">
        <f ca="1"/>
        <v>#REF!</v>
      </c>
      <c r="R1558" s="25" t="e">
        <f ca="1"/>
        <v>#REF!</v>
      </c>
      <c r="S1558" s="25" t="e">
        <f ca="1"/>
        <v>#REF!</v>
      </c>
      <c r="T1558" s="25" t="e">
        <f ca="1"/>
        <v>#REF!</v>
      </c>
      <c r="U1558" s="25" t="e">
        <f ca="1"/>
        <v>#REF!</v>
      </c>
      <c r="V1558" s="25" t="e">
        <f ca="1"/>
        <v>#REF!</v>
      </c>
      <c r="W1558" s="33" t="e">
        <f ca="1"/>
        <v>#REF!</v>
      </c>
      <c r="X1558" s="33" t="e">
        <f ca="1"/>
        <v>#REF!</v>
      </c>
      <c r="Y1558" s="33" t="e">
        <f ca="1"/>
        <v>#REF!</v>
      </c>
      <c r="Z1558" s="33" t="e">
        <f ca="1"/>
        <v>#REF!</v>
      </c>
      <c r="AA1558" s="33" t="e">
        <f ca="1"/>
        <v>#REF!</v>
      </c>
    </row>
    <row r="1559" spans="1:27" s="70" customFormat="1" ht="11.25" x14ac:dyDescent="0.2">
      <c r="A1559" s="24">
        <v>1553</v>
      </c>
      <c r="B1559" s="24"/>
      <c r="C1559" s="25"/>
      <c r="D1559" s="26"/>
      <c r="E1559" s="25"/>
      <c r="F1559" s="25"/>
      <c r="G1559" s="24"/>
      <c r="H1559" s="28" t="e">
        <f ca="1"/>
        <v>#REF!</v>
      </c>
      <c r="I1559" s="27" t="e">
        <f ca="1"/>
        <v>#REF!</v>
      </c>
      <c r="J1559" s="28" t="e">
        <f ca="1"/>
        <v>#REF!</v>
      </c>
      <c r="K1559" s="27" t="e">
        <f ca="1"/>
        <v>#REF!</v>
      </c>
      <c r="L1559" s="25" t="e">
        <f ca="1"/>
        <v>#REF!</v>
      </c>
      <c r="M1559" s="25" t="e">
        <f ca="1"/>
        <v>#REF!</v>
      </c>
      <c r="N1559" s="25" t="e">
        <f ca="1"/>
        <v>#REF!</v>
      </c>
      <c r="O1559" s="25" t="e">
        <f ca="1"/>
        <v>#REF!</v>
      </c>
      <c r="P1559" s="25" t="e">
        <f ca="1"/>
        <v>#REF!</v>
      </c>
      <c r="Q1559" s="25" t="e">
        <f ca="1"/>
        <v>#REF!</v>
      </c>
      <c r="R1559" s="25" t="e">
        <f ca="1"/>
        <v>#REF!</v>
      </c>
      <c r="S1559" s="25" t="e">
        <f ca="1"/>
        <v>#REF!</v>
      </c>
      <c r="T1559" s="25" t="e">
        <f ca="1"/>
        <v>#REF!</v>
      </c>
      <c r="U1559" s="25" t="e">
        <f ca="1"/>
        <v>#REF!</v>
      </c>
      <c r="V1559" s="25" t="e">
        <f ca="1"/>
        <v>#REF!</v>
      </c>
      <c r="W1559" s="33" t="e">
        <f ca="1"/>
        <v>#REF!</v>
      </c>
      <c r="X1559" s="33" t="e">
        <f ca="1"/>
        <v>#REF!</v>
      </c>
      <c r="Y1559" s="33" t="e">
        <f ca="1"/>
        <v>#REF!</v>
      </c>
      <c r="Z1559" s="33" t="e">
        <f ca="1"/>
        <v>#REF!</v>
      </c>
      <c r="AA1559" s="33" t="e">
        <f ca="1"/>
        <v>#REF!</v>
      </c>
    </row>
    <row r="1560" spans="1:27" s="70" customFormat="1" ht="11.25" x14ac:dyDescent="0.2">
      <c r="A1560" s="24">
        <v>1554</v>
      </c>
      <c r="B1560" s="24"/>
      <c r="C1560" s="25"/>
      <c r="D1560" s="26"/>
      <c r="E1560" s="25"/>
      <c r="F1560" s="25"/>
      <c r="G1560" s="24"/>
      <c r="H1560" s="28" t="e">
        <f ca="1"/>
        <v>#REF!</v>
      </c>
      <c r="I1560" s="27" t="e">
        <f ca="1"/>
        <v>#REF!</v>
      </c>
      <c r="J1560" s="28" t="e">
        <f ca="1"/>
        <v>#REF!</v>
      </c>
      <c r="K1560" s="27" t="e">
        <f ca="1"/>
        <v>#REF!</v>
      </c>
      <c r="L1560" s="25" t="e">
        <f ca="1"/>
        <v>#REF!</v>
      </c>
      <c r="M1560" s="25" t="e">
        <f ca="1"/>
        <v>#REF!</v>
      </c>
      <c r="N1560" s="25" t="e">
        <f ca="1"/>
        <v>#REF!</v>
      </c>
      <c r="O1560" s="25" t="e">
        <f ca="1"/>
        <v>#REF!</v>
      </c>
      <c r="P1560" s="25" t="e">
        <f ca="1"/>
        <v>#REF!</v>
      </c>
      <c r="Q1560" s="25" t="e">
        <f ca="1"/>
        <v>#REF!</v>
      </c>
      <c r="R1560" s="25" t="e">
        <f ca="1"/>
        <v>#REF!</v>
      </c>
      <c r="S1560" s="25" t="e">
        <f ca="1"/>
        <v>#REF!</v>
      </c>
      <c r="T1560" s="25" t="e">
        <f ca="1"/>
        <v>#REF!</v>
      </c>
      <c r="U1560" s="25" t="e">
        <f ca="1"/>
        <v>#REF!</v>
      </c>
      <c r="V1560" s="25" t="e">
        <f ca="1"/>
        <v>#REF!</v>
      </c>
      <c r="W1560" s="33" t="e">
        <f ca="1"/>
        <v>#REF!</v>
      </c>
      <c r="X1560" s="33" t="e">
        <f ca="1"/>
        <v>#REF!</v>
      </c>
      <c r="Y1560" s="33" t="e">
        <f ca="1"/>
        <v>#REF!</v>
      </c>
      <c r="Z1560" s="33" t="e">
        <f ca="1"/>
        <v>#REF!</v>
      </c>
      <c r="AA1560" s="33" t="e">
        <f ca="1"/>
        <v>#REF!</v>
      </c>
    </row>
    <row r="1561" spans="1:27" s="70" customFormat="1" ht="11.25" x14ac:dyDescent="0.2">
      <c r="A1561" s="24">
        <v>1555</v>
      </c>
      <c r="B1561" s="24"/>
      <c r="C1561" s="25"/>
      <c r="D1561" s="26"/>
      <c r="E1561" s="25"/>
      <c r="F1561" s="25"/>
      <c r="G1561" s="24"/>
      <c r="H1561" s="28" t="e">
        <f ca="1"/>
        <v>#REF!</v>
      </c>
      <c r="I1561" s="27" t="e">
        <f ca="1"/>
        <v>#REF!</v>
      </c>
      <c r="J1561" s="28" t="e">
        <f ca="1"/>
        <v>#REF!</v>
      </c>
      <c r="K1561" s="27" t="e">
        <f ca="1"/>
        <v>#REF!</v>
      </c>
      <c r="L1561" s="25" t="e">
        <f ca="1"/>
        <v>#REF!</v>
      </c>
      <c r="M1561" s="25" t="e">
        <f ca="1"/>
        <v>#REF!</v>
      </c>
      <c r="N1561" s="25" t="e">
        <f ca="1"/>
        <v>#REF!</v>
      </c>
      <c r="O1561" s="25" t="e">
        <f ca="1"/>
        <v>#REF!</v>
      </c>
      <c r="P1561" s="25" t="e">
        <f ca="1"/>
        <v>#REF!</v>
      </c>
      <c r="Q1561" s="25" t="e">
        <f ca="1"/>
        <v>#REF!</v>
      </c>
      <c r="R1561" s="25" t="e">
        <f ca="1"/>
        <v>#REF!</v>
      </c>
      <c r="S1561" s="25" t="e">
        <f ca="1"/>
        <v>#REF!</v>
      </c>
      <c r="T1561" s="25" t="e">
        <f ca="1"/>
        <v>#REF!</v>
      </c>
      <c r="U1561" s="25" t="e">
        <f ca="1"/>
        <v>#REF!</v>
      </c>
      <c r="V1561" s="25" t="e">
        <f ca="1"/>
        <v>#REF!</v>
      </c>
      <c r="W1561" s="33" t="e">
        <f ca="1"/>
        <v>#REF!</v>
      </c>
      <c r="X1561" s="33" t="e">
        <f ca="1"/>
        <v>#REF!</v>
      </c>
      <c r="Y1561" s="33" t="e">
        <f ca="1"/>
        <v>#REF!</v>
      </c>
      <c r="Z1561" s="33" t="e">
        <f ca="1"/>
        <v>#REF!</v>
      </c>
      <c r="AA1561" s="33" t="e">
        <f ca="1"/>
        <v>#REF!</v>
      </c>
    </row>
    <row r="1562" spans="1:27" s="70" customFormat="1" ht="11.25" x14ac:dyDescent="0.2">
      <c r="A1562" s="24">
        <v>1556</v>
      </c>
      <c r="B1562" s="24"/>
      <c r="C1562" s="25"/>
      <c r="D1562" s="26"/>
      <c r="E1562" s="25"/>
      <c r="F1562" s="25"/>
      <c r="G1562" s="24"/>
      <c r="H1562" s="28" t="e">
        <f ca="1"/>
        <v>#REF!</v>
      </c>
      <c r="I1562" s="27" t="e">
        <f ca="1"/>
        <v>#REF!</v>
      </c>
      <c r="J1562" s="28" t="e">
        <f ca="1"/>
        <v>#REF!</v>
      </c>
      <c r="K1562" s="27" t="e">
        <f ca="1"/>
        <v>#REF!</v>
      </c>
      <c r="L1562" s="25" t="e">
        <f ca="1"/>
        <v>#REF!</v>
      </c>
      <c r="M1562" s="25" t="e">
        <f ca="1"/>
        <v>#REF!</v>
      </c>
      <c r="N1562" s="25" t="e">
        <f ca="1"/>
        <v>#REF!</v>
      </c>
      <c r="O1562" s="25" t="e">
        <f ca="1"/>
        <v>#REF!</v>
      </c>
      <c r="P1562" s="25" t="e">
        <f ca="1"/>
        <v>#REF!</v>
      </c>
      <c r="Q1562" s="25" t="e">
        <f ca="1"/>
        <v>#REF!</v>
      </c>
      <c r="R1562" s="25" t="e">
        <f ca="1"/>
        <v>#REF!</v>
      </c>
      <c r="S1562" s="25" t="e">
        <f ca="1"/>
        <v>#REF!</v>
      </c>
      <c r="T1562" s="25" t="e">
        <f ca="1"/>
        <v>#REF!</v>
      </c>
      <c r="U1562" s="25" t="e">
        <f ca="1"/>
        <v>#REF!</v>
      </c>
      <c r="V1562" s="25" t="e">
        <f ca="1"/>
        <v>#REF!</v>
      </c>
      <c r="W1562" s="33" t="e">
        <f ca="1"/>
        <v>#REF!</v>
      </c>
      <c r="X1562" s="33" t="e">
        <f ca="1"/>
        <v>#REF!</v>
      </c>
      <c r="Y1562" s="33" t="e">
        <f ca="1"/>
        <v>#REF!</v>
      </c>
      <c r="Z1562" s="33" t="e">
        <f ca="1"/>
        <v>#REF!</v>
      </c>
      <c r="AA1562" s="33" t="e">
        <f ca="1"/>
        <v>#REF!</v>
      </c>
    </row>
    <row r="1563" spans="1:27" s="70" customFormat="1" ht="11.25" x14ac:dyDescent="0.2">
      <c r="A1563" s="24">
        <v>1557</v>
      </c>
      <c r="B1563" s="24"/>
      <c r="C1563" s="25"/>
      <c r="D1563" s="26"/>
      <c r="E1563" s="25"/>
      <c r="F1563" s="25"/>
      <c r="G1563" s="24"/>
      <c r="H1563" s="28" t="e">
        <f ca="1"/>
        <v>#REF!</v>
      </c>
      <c r="I1563" s="27" t="e">
        <f ca="1"/>
        <v>#REF!</v>
      </c>
      <c r="J1563" s="28" t="e">
        <f ca="1"/>
        <v>#REF!</v>
      </c>
      <c r="K1563" s="27" t="e">
        <f ca="1"/>
        <v>#REF!</v>
      </c>
      <c r="L1563" s="25" t="e">
        <f ca="1"/>
        <v>#REF!</v>
      </c>
      <c r="M1563" s="25" t="e">
        <f ca="1"/>
        <v>#REF!</v>
      </c>
      <c r="N1563" s="25" t="e">
        <f ca="1"/>
        <v>#REF!</v>
      </c>
      <c r="O1563" s="25" t="e">
        <f ca="1"/>
        <v>#REF!</v>
      </c>
      <c r="P1563" s="25" t="e">
        <f ca="1"/>
        <v>#REF!</v>
      </c>
      <c r="Q1563" s="25" t="e">
        <f ca="1"/>
        <v>#REF!</v>
      </c>
      <c r="R1563" s="25" t="e">
        <f ca="1"/>
        <v>#REF!</v>
      </c>
      <c r="S1563" s="25" t="e">
        <f ca="1"/>
        <v>#REF!</v>
      </c>
      <c r="T1563" s="25" t="e">
        <f ca="1"/>
        <v>#REF!</v>
      </c>
      <c r="U1563" s="25" t="e">
        <f ca="1"/>
        <v>#REF!</v>
      </c>
      <c r="V1563" s="25" t="e">
        <f ca="1"/>
        <v>#REF!</v>
      </c>
      <c r="W1563" s="33" t="e">
        <f ca="1"/>
        <v>#REF!</v>
      </c>
      <c r="X1563" s="33" t="e">
        <f ca="1"/>
        <v>#REF!</v>
      </c>
      <c r="Y1563" s="33" t="e">
        <f ca="1"/>
        <v>#REF!</v>
      </c>
      <c r="Z1563" s="33" t="e">
        <f ca="1"/>
        <v>#REF!</v>
      </c>
      <c r="AA1563" s="33" t="e">
        <f ca="1"/>
        <v>#REF!</v>
      </c>
    </row>
    <row r="1564" spans="1:27" s="70" customFormat="1" ht="11.25" x14ac:dyDescent="0.2">
      <c r="A1564" s="24">
        <v>1558</v>
      </c>
      <c r="B1564" s="24"/>
      <c r="C1564" s="25"/>
      <c r="D1564" s="26"/>
      <c r="E1564" s="25"/>
      <c r="F1564" s="25"/>
      <c r="G1564" s="24"/>
      <c r="H1564" s="28" t="e">
        <f ca="1"/>
        <v>#REF!</v>
      </c>
      <c r="I1564" s="27" t="e">
        <f ca="1"/>
        <v>#REF!</v>
      </c>
      <c r="J1564" s="28" t="e">
        <f ca="1"/>
        <v>#REF!</v>
      </c>
      <c r="K1564" s="27" t="e">
        <f ca="1"/>
        <v>#REF!</v>
      </c>
      <c r="L1564" s="25" t="e">
        <f ca="1"/>
        <v>#REF!</v>
      </c>
      <c r="M1564" s="25" t="e">
        <f ca="1"/>
        <v>#REF!</v>
      </c>
      <c r="N1564" s="25" t="e">
        <f ca="1"/>
        <v>#REF!</v>
      </c>
      <c r="O1564" s="25" t="e">
        <f ca="1"/>
        <v>#REF!</v>
      </c>
      <c r="P1564" s="25" t="e">
        <f ca="1"/>
        <v>#REF!</v>
      </c>
      <c r="Q1564" s="25" t="e">
        <f ca="1"/>
        <v>#REF!</v>
      </c>
      <c r="R1564" s="25" t="e">
        <f ca="1"/>
        <v>#REF!</v>
      </c>
      <c r="S1564" s="25" t="e">
        <f ca="1"/>
        <v>#REF!</v>
      </c>
      <c r="T1564" s="25" t="e">
        <f ca="1"/>
        <v>#REF!</v>
      </c>
      <c r="U1564" s="25" t="e">
        <f ca="1"/>
        <v>#REF!</v>
      </c>
      <c r="V1564" s="25" t="e">
        <f ca="1"/>
        <v>#REF!</v>
      </c>
      <c r="W1564" s="33" t="e">
        <f ca="1"/>
        <v>#REF!</v>
      </c>
      <c r="X1564" s="33" t="e">
        <f ca="1"/>
        <v>#REF!</v>
      </c>
      <c r="Y1564" s="33" t="e">
        <f ca="1"/>
        <v>#REF!</v>
      </c>
      <c r="Z1564" s="33" t="e">
        <f ca="1"/>
        <v>#REF!</v>
      </c>
      <c r="AA1564" s="33" t="e">
        <f ca="1"/>
        <v>#REF!</v>
      </c>
    </row>
    <row r="1565" spans="1:27" s="70" customFormat="1" ht="11.25" x14ac:dyDescent="0.2">
      <c r="A1565" s="24">
        <v>1559</v>
      </c>
      <c r="B1565" s="24"/>
      <c r="C1565" s="25"/>
      <c r="D1565" s="26"/>
      <c r="E1565" s="25"/>
      <c r="F1565" s="25"/>
      <c r="G1565" s="24"/>
      <c r="H1565" s="28" t="e">
        <f ca="1"/>
        <v>#REF!</v>
      </c>
      <c r="I1565" s="27" t="e">
        <f ca="1"/>
        <v>#REF!</v>
      </c>
      <c r="J1565" s="28" t="e">
        <f ca="1"/>
        <v>#REF!</v>
      </c>
      <c r="K1565" s="27" t="e">
        <f ca="1"/>
        <v>#REF!</v>
      </c>
      <c r="L1565" s="25" t="e">
        <f ca="1"/>
        <v>#REF!</v>
      </c>
      <c r="M1565" s="25" t="e">
        <f ca="1"/>
        <v>#REF!</v>
      </c>
      <c r="N1565" s="25" t="e">
        <f ca="1"/>
        <v>#REF!</v>
      </c>
      <c r="O1565" s="25" t="e">
        <f ca="1"/>
        <v>#REF!</v>
      </c>
      <c r="P1565" s="25" t="e">
        <f ca="1"/>
        <v>#REF!</v>
      </c>
      <c r="Q1565" s="25" t="e">
        <f ca="1"/>
        <v>#REF!</v>
      </c>
      <c r="R1565" s="25" t="e">
        <f ca="1"/>
        <v>#REF!</v>
      </c>
      <c r="S1565" s="25" t="e">
        <f ca="1"/>
        <v>#REF!</v>
      </c>
      <c r="T1565" s="25" t="e">
        <f ca="1"/>
        <v>#REF!</v>
      </c>
      <c r="U1565" s="25" t="e">
        <f ca="1"/>
        <v>#REF!</v>
      </c>
      <c r="V1565" s="25" t="e">
        <f ca="1"/>
        <v>#REF!</v>
      </c>
      <c r="W1565" s="33" t="e">
        <f ca="1"/>
        <v>#REF!</v>
      </c>
      <c r="X1565" s="33" t="e">
        <f ca="1"/>
        <v>#REF!</v>
      </c>
      <c r="Y1565" s="33" t="e">
        <f ca="1"/>
        <v>#REF!</v>
      </c>
      <c r="Z1565" s="33" t="e">
        <f ca="1"/>
        <v>#REF!</v>
      </c>
      <c r="AA1565" s="33" t="e">
        <f ca="1"/>
        <v>#REF!</v>
      </c>
    </row>
    <row r="1566" spans="1:27" s="70" customFormat="1" ht="11.25" x14ac:dyDescent="0.2">
      <c r="A1566" s="24">
        <v>1560</v>
      </c>
      <c r="B1566" s="24"/>
      <c r="C1566" s="25"/>
      <c r="D1566" s="26"/>
      <c r="E1566" s="25"/>
      <c r="F1566" s="25"/>
      <c r="G1566" s="24"/>
      <c r="H1566" s="28" t="e">
        <f ca="1"/>
        <v>#REF!</v>
      </c>
      <c r="I1566" s="27" t="e">
        <f ca="1"/>
        <v>#REF!</v>
      </c>
      <c r="J1566" s="28" t="e">
        <f ca="1"/>
        <v>#REF!</v>
      </c>
      <c r="K1566" s="27" t="e">
        <f ca="1"/>
        <v>#REF!</v>
      </c>
      <c r="L1566" s="25" t="e">
        <f ca="1"/>
        <v>#REF!</v>
      </c>
      <c r="M1566" s="25" t="e">
        <f ca="1"/>
        <v>#REF!</v>
      </c>
      <c r="N1566" s="25" t="e">
        <f ca="1"/>
        <v>#REF!</v>
      </c>
      <c r="O1566" s="25" t="e">
        <f ca="1"/>
        <v>#REF!</v>
      </c>
      <c r="P1566" s="25" t="e">
        <f ca="1"/>
        <v>#REF!</v>
      </c>
      <c r="Q1566" s="25" t="e">
        <f ca="1"/>
        <v>#REF!</v>
      </c>
      <c r="R1566" s="25" t="e">
        <f ca="1"/>
        <v>#REF!</v>
      </c>
      <c r="S1566" s="25" t="e">
        <f ca="1"/>
        <v>#REF!</v>
      </c>
      <c r="T1566" s="25" t="e">
        <f ca="1"/>
        <v>#REF!</v>
      </c>
      <c r="U1566" s="25" t="e">
        <f ca="1"/>
        <v>#REF!</v>
      </c>
      <c r="V1566" s="25" t="e">
        <f ca="1"/>
        <v>#REF!</v>
      </c>
      <c r="W1566" s="33" t="e">
        <f ca="1"/>
        <v>#REF!</v>
      </c>
      <c r="X1566" s="33" t="e">
        <f ca="1"/>
        <v>#REF!</v>
      </c>
      <c r="Y1566" s="33" t="e">
        <f ca="1"/>
        <v>#REF!</v>
      </c>
      <c r="Z1566" s="33" t="e">
        <f ca="1"/>
        <v>#REF!</v>
      </c>
      <c r="AA1566" s="33" t="e">
        <f ca="1"/>
        <v>#REF!</v>
      </c>
    </row>
    <row r="1567" spans="1:27" s="70" customFormat="1" ht="11.25" x14ac:dyDescent="0.2">
      <c r="A1567" s="24">
        <v>1561</v>
      </c>
      <c r="B1567" s="24"/>
      <c r="C1567" s="25"/>
      <c r="D1567" s="26"/>
      <c r="E1567" s="25"/>
      <c r="F1567" s="25"/>
      <c r="G1567" s="24"/>
      <c r="H1567" s="28" t="e">
        <f ca="1"/>
        <v>#REF!</v>
      </c>
      <c r="I1567" s="27" t="e">
        <f ca="1"/>
        <v>#REF!</v>
      </c>
      <c r="J1567" s="28" t="e">
        <f ca="1"/>
        <v>#REF!</v>
      </c>
      <c r="K1567" s="27" t="e">
        <f ca="1"/>
        <v>#REF!</v>
      </c>
      <c r="L1567" s="25" t="e">
        <f ca="1"/>
        <v>#REF!</v>
      </c>
      <c r="M1567" s="25" t="e">
        <f ca="1"/>
        <v>#REF!</v>
      </c>
      <c r="N1567" s="25" t="e">
        <f ca="1"/>
        <v>#REF!</v>
      </c>
      <c r="O1567" s="25" t="e">
        <f ca="1"/>
        <v>#REF!</v>
      </c>
      <c r="P1567" s="25" t="e">
        <f ca="1"/>
        <v>#REF!</v>
      </c>
      <c r="Q1567" s="25" t="e">
        <f ca="1"/>
        <v>#REF!</v>
      </c>
      <c r="R1567" s="25" t="e">
        <f ca="1"/>
        <v>#REF!</v>
      </c>
      <c r="S1567" s="25" t="e">
        <f ca="1"/>
        <v>#REF!</v>
      </c>
      <c r="T1567" s="25" t="e">
        <f ca="1"/>
        <v>#REF!</v>
      </c>
      <c r="U1567" s="25" t="e">
        <f ca="1"/>
        <v>#REF!</v>
      </c>
      <c r="V1567" s="25" t="e">
        <f ca="1"/>
        <v>#REF!</v>
      </c>
      <c r="W1567" s="33" t="e">
        <f ca="1"/>
        <v>#REF!</v>
      </c>
      <c r="X1567" s="33" t="e">
        <f ca="1"/>
        <v>#REF!</v>
      </c>
      <c r="Y1567" s="33" t="e">
        <f ca="1"/>
        <v>#REF!</v>
      </c>
      <c r="Z1567" s="33" t="e">
        <f ca="1"/>
        <v>#REF!</v>
      </c>
      <c r="AA1567" s="33" t="e">
        <f ca="1"/>
        <v>#REF!</v>
      </c>
    </row>
    <row r="1568" spans="1:27" s="70" customFormat="1" ht="11.25" x14ac:dyDescent="0.2">
      <c r="A1568" s="24">
        <v>1562</v>
      </c>
      <c r="B1568" s="24"/>
      <c r="C1568" s="25"/>
      <c r="D1568" s="26"/>
      <c r="E1568" s="25"/>
      <c r="F1568" s="25"/>
      <c r="G1568" s="24"/>
      <c r="H1568" s="28" t="e">
        <f ca="1"/>
        <v>#REF!</v>
      </c>
      <c r="I1568" s="27" t="e">
        <f ca="1"/>
        <v>#REF!</v>
      </c>
      <c r="J1568" s="28" t="e">
        <f ca="1"/>
        <v>#REF!</v>
      </c>
      <c r="K1568" s="27" t="e">
        <f ca="1"/>
        <v>#REF!</v>
      </c>
      <c r="L1568" s="25" t="e">
        <f ca="1"/>
        <v>#REF!</v>
      </c>
      <c r="M1568" s="25" t="e">
        <f ca="1"/>
        <v>#REF!</v>
      </c>
      <c r="N1568" s="25" t="e">
        <f ca="1"/>
        <v>#REF!</v>
      </c>
      <c r="O1568" s="25" t="e">
        <f ca="1"/>
        <v>#REF!</v>
      </c>
      <c r="P1568" s="25" t="e">
        <f ca="1"/>
        <v>#REF!</v>
      </c>
      <c r="Q1568" s="25" t="e">
        <f ca="1"/>
        <v>#REF!</v>
      </c>
      <c r="R1568" s="25" t="e">
        <f ca="1"/>
        <v>#REF!</v>
      </c>
      <c r="S1568" s="25" t="e">
        <f ca="1"/>
        <v>#REF!</v>
      </c>
      <c r="T1568" s="25" t="e">
        <f ca="1"/>
        <v>#REF!</v>
      </c>
      <c r="U1568" s="25" t="e">
        <f ca="1"/>
        <v>#REF!</v>
      </c>
      <c r="V1568" s="25" t="e">
        <f ca="1"/>
        <v>#REF!</v>
      </c>
      <c r="W1568" s="33" t="e">
        <f ca="1"/>
        <v>#REF!</v>
      </c>
      <c r="X1568" s="33" t="e">
        <f ca="1"/>
        <v>#REF!</v>
      </c>
      <c r="Y1568" s="33" t="e">
        <f ca="1"/>
        <v>#REF!</v>
      </c>
      <c r="Z1568" s="33" t="e">
        <f ca="1"/>
        <v>#REF!</v>
      </c>
      <c r="AA1568" s="33" t="e">
        <f ca="1"/>
        <v>#REF!</v>
      </c>
    </row>
    <row r="1569" spans="1:27" s="70" customFormat="1" ht="11.25" x14ac:dyDescent="0.2">
      <c r="A1569" s="24">
        <v>1563</v>
      </c>
      <c r="B1569" s="24"/>
      <c r="C1569" s="25"/>
      <c r="D1569" s="26"/>
      <c r="E1569" s="25"/>
      <c r="F1569" s="25"/>
      <c r="G1569" s="24"/>
      <c r="H1569" s="28" t="e">
        <f ca="1"/>
        <v>#REF!</v>
      </c>
      <c r="I1569" s="27" t="e">
        <f ca="1"/>
        <v>#REF!</v>
      </c>
      <c r="J1569" s="28" t="e">
        <f ca="1"/>
        <v>#REF!</v>
      </c>
      <c r="K1569" s="27" t="e">
        <f ca="1"/>
        <v>#REF!</v>
      </c>
      <c r="L1569" s="25" t="e">
        <f ca="1"/>
        <v>#REF!</v>
      </c>
      <c r="M1569" s="25" t="e">
        <f ca="1"/>
        <v>#REF!</v>
      </c>
      <c r="N1569" s="25" t="e">
        <f ca="1"/>
        <v>#REF!</v>
      </c>
      <c r="O1569" s="25" t="e">
        <f ca="1"/>
        <v>#REF!</v>
      </c>
      <c r="P1569" s="25" t="e">
        <f ca="1"/>
        <v>#REF!</v>
      </c>
      <c r="Q1569" s="25" t="e">
        <f ca="1"/>
        <v>#REF!</v>
      </c>
      <c r="R1569" s="25" t="e">
        <f ca="1"/>
        <v>#REF!</v>
      </c>
      <c r="S1569" s="25" t="e">
        <f ca="1"/>
        <v>#REF!</v>
      </c>
      <c r="T1569" s="25" t="e">
        <f ca="1"/>
        <v>#REF!</v>
      </c>
      <c r="U1569" s="25" t="e">
        <f ca="1"/>
        <v>#REF!</v>
      </c>
      <c r="V1569" s="25" t="e">
        <f ca="1"/>
        <v>#REF!</v>
      </c>
      <c r="W1569" s="33" t="e">
        <f ca="1"/>
        <v>#REF!</v>
      </c>
      <c r="X1569" s="33" t="e">
        <f ca="1"/>
        <v>#REF!</v>
      </c>
      <c r="Y1569" s="33" t="e">
        <f ca="1"/>
        <v>#REF!</v>
      </c>
      <c r="Z1569" s="33" t="e">
        <f ca="1"/>
        <v>#REF!</v>
      </c>
      <c r="AA1569" s="33" t="e">
        <f ca="1"/>
        <v>#REF!</v>
      </c>
    </row>
    <row r="1570" spans="1:27" s="70" customFormat="1" ht="11.25" x14ac:dyDescent="0.2">
      <c r="A1570" s="24">
        <v>1564</v>
      </c>
      <c r="B1570" s="24"/>
      <c r="C1570" s="25"/>
      <c r="D1570" s="26"/>
      <c r="E1570" s="25"/>
      <c r="F1570" s="25"/>
      <c r="G1570" s="24"/>
      <c r="H1570" s="28" t="e">
        <f ca="1"/>
        <v>#REF!</v>
      </c>
      <c r="I1570" s="27" t="e">
        <f ca="1"/>
        <v>#REF!</v>
      </c>
      <c r="J1570" s="28" t="e">
        <f ca="1"/>
        <v>#REF!</v>
      </c>
      <c r="K1570" s="27" t="e">
        <f ca="1"/>
        <v>#REF!</v>
      </c>
      <c r="L1570" s="25" t="e">
        <f ca="1"/>
        <v>#REF!</v>
      </c>
      <c r="M1570" s="25" t="e">
        <f ca="1"/>
        <v>#REF!</v>
      </c>
      <c r="N1570" s="25" t="e">
        <f ca="1"/>
        <v>#REF!</v>
      </c>
      <c r="O1570" s="25" t="e">
        <f ca="1"/>
        <v>#REF!</v>
      </c>
      <c r="P1570" s="25" t="e">
        <f ca="1"/>
        <v>#REF!</v>
      </c>
      <c r="Q1570" s="25" t="e">
        <f ca="1"/>
        <v>#REF!</v>
      </c>
      <c r="R1570" s="25" t="e">
        <f ca="1"/>
        <v>#REF!</v>
      </c>
      <c r="S1570" s="25" t="e">
        <f ca="1"/>
        <v>#REF!</v>
      </c>
      <c r="T1570" s="25" t="e">
        <f ca="1"/>
        <v>#REF!</v>
      </c>
      <c r="U1570" s="25" t="e">
        <f ca="1"/>
        <v>#REF!</v>
      </c>
      <c r="V1570" s="25" t="e">
        <f ca="1"/>
        <v>#REF!</v>
      </c>
      <c r="W1570" s="33" t="e">
        <f ca="1"/>
        <v>#REF!</v>
      </c>
      <c r="X1570" s="33" t="e">
        <f ca="1"/>
        <v>#REF!</v>
      </c>
      <c r="Y1570" s="33" t="e">
        <f ca="1"/>
        <v>#REF!</v>
      </c>
      <c r="Z1570" s="33" t="e">
        <f ca="1"/>
        <v>#REF!</v>
      </c>
      <c r="AA1570" s="33" t="e">
        <f ca="1"/>
        <v>#REF!</v>
      </c>
    </row>
    <row r="1571" spans="1:27" s="70" customFormat="1" ht="11.25" x14ac:dyDescent="0.2">
      <c r="A1571" s="24">
        <v>1565</v>
      </c>
      <c r="B1571" s="24"/>
      <c r="C1571" s="25"/>
      <c r="D1571" s="26"/>
      <c r="E1571" s="25"/>
      <c r="F1571" s="25"/>
      <c r="G1571" s="24"/>
      <c r="H1571" s="28" t="e">
        <f ca="1"/>
        <v>#REF!</v>
      </c>
      <c r="I1571" s="27" t="e">
        <f ca="1"/>
        <v>#REF!</v>
      </c>
      <c r="J1571" s="28" t="e">
        <f ca="1"/>
        <v>#REF!</v>
      </c>
      <c r="K1571" s="27" t="e">
        <f ca="1"/>
        <v>#REF!</v>
      </c>
      <c r="L1571" s="25" t="e">
        <f ca="1"/>
        <v>#REF!</v>
      </c>
      <c r="M1571" s="25" t="e">
        <f ca="1"/>
        <v>#REF!</v>
      </c>
      <c r="N1571" s="25" t="e">
        <f ca="1"/>
        <v>#REF!</v>
      </c>
      <c r="O1571" s="25" t="e">
        <f ca="1"/>
        <v>#REF!</v>
      </c>
      <c r="P1571" s="25" t="e">
        <f ca="1"/>
        <v>#REF!</v>
      </c>
      <c r="Q1571" s="25" t="e">
        <f ca="1"/>
        <v>#REF!</v>
      </c>
      <c r="R1571" s="25" t="e">
        <f ca="1"/>
        <v>#REF!</v>
      </c>
      <c r="S1571" s="25" t="e">
        <f ca="1"/>
        <v>#REF!</v>
      </c>
      <c r="T1571" s="25" t="e">
        <f ca="1"/>
        <v>#REF!</v>
      </c>
      <c r="U1571" s="25" t="e">
        <f ca="1"/>
        <v>#REF!</v>
      </c>
      <c r="V1571" s="25" t="e">
        <f ca="1"/>
        <v>#REF!</v>
      </c>
      <c r="W1571" s="33" t="e">
        <f ca="1"/>
        <v>#REF!</v>
      </c>
      <c r="X1571" s="33" t="e">
        <f ca="1"/>
        <v>#REF!</v>
      </c>
      <c r="Y1571" s="33" t="e">
        <f ca="1"/>
        <v>#REF!</v>
      </c>
      <c r="Z1571" s="33" t="e">
        <f ca="1"/>
        <v>#REF!</v>
      </c>
      <c r="AA1571" s="33" t="e">
        <f ca="1"/>
        <v>#REF!</v>
      </c>
    </row>
    <row r="1572" spans="1:27" s="70" customFormat="1" ht="11.25" x14ac:dyDescent="0.2">
      <c r="A1572" s="24">
        <v>1566</v>
      </c>
      <c r="B1572" s="24"/>
      <c r="C1572" s="25"/>
      <c r="D1572" s="26"/>
      <c r="E1572" s="25"/>
      <c r="F1572" s="25"/>
      <c r="G1572" s="24"/>
      <c r="H1572" s="28" t="e">
        <f ca="1"/>
        <v>#REF!</v>
      </c>
      <c r="I1572" s="27" t="e">
        <f ca="1"/>
        <v>#REF!</v>
      </c>
      <c r="J1572" s="28" t="e">
        <f ca="1"/>
        <v>#REF!</v>
      </c>
      <c r="K1572" s="27" t="e">
        <f ca="1"/>
        <v>#REF!</v>
      </c>
      <c r="L1572" s="25" t="e">
        <f ca="1"/>
        <v>#REF!</v>
      </c>
      <c r="M1572" s="25" t="e">
        <f ca="1"/>
        <v>#REF!</v>
      </c>
      <c r="N1572" s="25" t="e">
        <f ca="1"/>
        <v>#REF!</v>
      </c>
      <c r="O1572" s="25" t="e">
        <f ca="1"/>
        <v>#REF!</v>
      </c>
      <c r="P1572" s="25" t="e">
        <f ca="1"/>
        <v>#REF!</v>
      </c>
      <c r="Q1572" s="25" t="e">
        <f ca="1"/>
        <v>#REF!</v>
      </c>
      <c r="R1572" s="25" t="e">
        <f ca="1"/>
        <v>#REF!</v>
      </c>
      <c r="S1572" s="25" t="e">
        <f ca="1"/>
        <v>#REF!</v>
      </c>
      <c r="T1572" s="25" t="e">
        <f ca="1"/>
        <v>#REF!</v>
      </c>
      <c r="U1572" s="25" t="e">
        <f ca="1"/>
        <v>#REF!</v>
      </c>
      <c r="V1572" s="25" t="e">
        <f ca="1"/>
        <v>#REF!</v>
      </c>
      <c r="W1572" s="33" t="e">
        <f ca="1"/>
        <v>#REF!</v>
      </c>
      <c r="X1572" s="33" t="e">
        <f ca="1"/>
        <v>#REF!</v>
      </c>
      <c r="Y1572" s="33" t="e">
        <f ca="1"/>
        <v>#REF!</v>
      </c>
      <c r="Z1572" s="33" t="e">
        <f ca="1"/>
        <v>#REF!</v>
      </c>
      <c r="AA1572" s="33" t="e">
        <f ca="1"/>
        <v>#REF!</v>
      </c>
    </row>
    <row r="1573" spans="1:27" s="70" customFormat="1" ht="11.25" x14ac:dyDescent="0.2">
      <c r="A1573" s="24">
        <v>1567</v>
      </c>
      <c r="B1573" s="24"/>
      <c r="C1573" s="25"/>
      <c r="D1573" s="26"/>
      <c r="E1573" s="25"/>
      <c r="F1573" s="25"/>
      <c r="G1573" s="24"/>
      <c r="H1573" s="28" t="e">
        <f ca="1"/>
        <v>#REF!</v>
      </c>
      <c r="I1573" s="27" t="e">
        <f ca="1"/>
        <v>#REF!</v>
      </c>
      <c r="J1573" s="28" t="e">
        <f ca="1"/>
        <v>#REF!</v>
      </c>
      <c r="K1573" s="27" t="e">
        <f ca="1"/>
        <v>#REF!</v>
      </c>
      <c r="L1573" s="25" t="e">
        <f ca="1"/>
        <v>#REF!</v>
      </c>
      <c r="M1573" s="25" t="e">
        <f ca="1"/>
        <v>#REF!</v>
      </c>
      <c r="N1573" s="25" t="e">
        <f ca="1"/>
        <v>#REF!</v>
      </c>
      <c r="O1573" s="25" t="e">
        <f ca="1"/>
        <v>#REF!</v>
      </c>
      <c r="P1573" s="25" t="e">
        <f ca="1"/>
        <v>#REF!</v>
      </c>
      <c r="Q1573" s="25" t="e">
        <f ca="1"/>
        <v>#REF!</v>
      </c>
      <c r="R1573" s="25" t="e">
        <f ca="1"/>
        <v>#REF!</v>
      </c>
      <c r="S1573" s="25" t="e">
        <f ca="1"/>
        <v>#REF!</v>
      </c>
      <c r="T1573" s="25" t="e">
        <f ca="1"/>
        <v>#REF!</v>
      </c>
      <c r="U1573" s="25" t="e">
        <f ca="1"/>
        <v>#REF!</v>
      </c>
      <c r="V1573" s="25" t="e">
        <f ca="1"/>
        <v>#REF!</v>
      </c>
      <c r="W1573" s="33" t="e">
        <f ca="1"/>
        <v>#REF!</v>
      </c>
      <c r="X1573" s="33" t="e">
        <f ca="1"/>
        <v>#REF!</v>
      </c>
      <c r="Y1573" s="33" t="e">
        <f ca="1"/>
        <v>#REF!</v>
      </c>
      <c r="Z1573" s="33" t="e">
        <f ca="1"/>
        <v>#REF!</v>
      </c>
      <c r="AA1573" s="33" t="e">
        <f ca="1"/>
        <v>#REF!</v>
      </c>
    </row>
    <row r="1574" spans="1:27" s="70" customFormat="1" ht="11.25" x14ac:dyDescent="0.2">
      <c r="A1574" s="24">
        <v>1568</v>
      </c>
      <c r="B1574" s="24"/>
      <c r="C1574" s="25"/>
      <c r="D1574" s="26"/>
      <c r="E1574" s="25"/>
      <c r="F1574" s="25"/>
      <c r="G1574" s="24"/>
      <c r="H1574" s="28" t="e">
        <f ca="1"/>
        <v>#REF!</v>
      </c>
      <c r="I1574" s="27" t="e">
        <f ca="1"/>
        <v>#REF!</v>
      </c>
      <c r="J1574" s="28" t="e">
        <f ca="1"/>
        <v>#REF!</v>
      </c>
      <c r="K1574" s="27" t="e">
        <f ca="1"/>
        <v>#REF!</v>
      </c>
      <c r="L1574" s="25" t="e">
        <f ca="1"/>
        <v>#REF!</v>
      </c>
      <c r="M1574" s="25" t="e">
        <f ca="1"/>
        <v>#REF!</v>
      </c>
      <c r="N1574" s="25" t="e">
        <f ca="1"/>
        <v>#REF!</v>
      </c>
      <c r="O1574" s="25" t="e">
        <f ca="1"/>
        <v>#REF!</v>
      </c>
      <c r="P1574" s="25" t="e">
        <f ca="1"/>
        <v>#REF!</v>
      </c>
      <c r="Q1574" s="25" t="e">
        <f ca="1"/>
        <v>#REF!</v>
      </c>
      <c r="R1574" s="25" t="e">
        <f ca="1"/>
        <v>#REF!</v>
      </c>
      <c r="S1574" s="25" t="e">
        <f ca="1"/>
        <v>#REF!</v>
      </c>
      <c r="T1574" s="25" t="e">
        <f ca="1"/>
        <v>#REF!</v>
      </c>
      <c r="U1574" s="25" t="e">
        <f ca="1"/>
        <v>#REF!</v>
      </c>
      <c r="V1574" s="25" t="e">
        <f ca="1"/>
        <v>#REF!</v>
      </c>
      <c r="W1574" s="33" t="e">
        <f ca="1"/>
        <v>#REF!</v>
      </c>
      <c r="X1574" s="33" t="e">
        <f ca="1"/>
        <v>#REF!</v>
      </c>
      <c r="Y1574" s="33" t="e">
        <f ca="1"/>
        <v>#REF!</v>
      </c>
      <c r="Z1574" s="33" t="e">
        <f ca="1"/>
        <v>#REF!</v>
      </c>
      <c r="AA1574" s="33" t="e">
        <f ca="1"/>
        <v>#REF!</v>
      </c>
    </row>
    <row r="1575" spans="1:27" s="70" customFormat="1" ht="11.25" x14ac:dyDescent="0.2">
      <c r="A1575" s="24">
        <v>1569</v>
      </c>
      <c r="B1575" s="24"/>
      <c r="C1575" s="25"/>
      <c r="D1575" s="26"/>
      <c r="E1575" s="25"/>
      <c r="F1575" s="25"/>
      <c r="G1575" s="24"/>
      <c r="H1575" s="28" t="e">
        <f ca="1"/>
        <v>#REF!</v>
      </c>
      <c r="I1575" s="27" t="e">
        <f ca="1"/>
        <v>#REF!</v>
      </c>
      <c r="J1575" s="28" t="e">
        <f ca="1"/>
        <v>#REF!</v>
      </c>
      <c r="K1575" s="27" t="e">
        <f ca="1"/>
        <v>#REF!</v>
      </c>
      <c r="L1575" s="25" t="e">
        <f ca="1"/>
        <v>#REF!</v>
      </c>
      <c r="M1575" s="25" t="e">
        <f ca="1"/>
        <v>#REF!</v>
      </c>
      <c r="N1575" s="25" t="e">
        <f ca="1"/>
        <v>#REF!</v>
      </c>
      <c r="O1575" s="25" t="e">
        <f ca="1"/>
        <v>#REF!</v>
      </c>
      <c r="P1575" s="25" t="e">
        <f ca="1"/>
        <v>#REF!</v>
      </c>
      <c r="Q1575" s="25" t="e">
        <f ca="1"/>
        <v>#REF!</v>
      </c>
      <c r="R1575" s="25" t="e">
        <f ca="1"/>
        <v>#REF!</v>
      </c>
      <c r="S1575" s="25" t="e">
        <f ca="1"/>
        <v>#REF!</v>
      </c>
      <c r="T1575" s="25" t="e">
        <f ca="1"/>
        <v>#REF!</v>
      </c>
      <c r="U1575" s="25" t="e">
        <f ca="1"/>
        <v>#REF!</v>
      </c>
      <c r="V1575" s="25" t="e">
        <f ca="1"/>
        <v>#REF!</v>
      </c>
      <c r="W1575" s="33" t="e">
        <f ca="1"/>
        <v>#REF!</v>
      </c>
      <c r="X1575" s="33" t="e">
        <f ca="1"/>
        <v>#REF!</v>
      </c>
      <c r="Y1575" s="33" t="e">
        <f ca="1"/>
        <v>#REF!</v>
      </c>
      <c r="Z1575" s="33" t="e">
        <f ca="1"/>
        <v>#REF!</v>
      </c>
      <c r="AA1575" s="33" t="e">
        <f ca="1"/>
        <v>#REF!</v>
      </c>
    </row>
    <row r="1576" spans="1:27" s="70" customFormat="1" ht="11.25" x14ac:dyDescent="0.2">
      <c r="A1576" s="24">
        <v>1570</v>
      </c>
      <c r="B1576" s="24"/>
      <c r="C1576" s="25"/>
      <c r="D1576" s="26"/>
      <c r="E1576" s="25"/>
      <c r="F1576" s="25"/>
      <c r="G1576" s="24"/>
      <c r="H1576" s="28" t="e">
        <f ca="1"/>
        <v>#REF!</v>
      </c>
      <c r="I1576" s="27" t="e">
        <f ca="1"/>
        <v>#REF!</v>
      </c>
      <c r="J1576" s="28" t="e">
        <f ca="1"/>
        <v>#REF!</v>
      </c>
      <c r="K1576" s="27" t="e">
        <f ca="1"/>
        <v>#REF!</v>
      </c>
      <c r="L1576" s="25" t="e">
        <f ca="1"/>
        <v>#REF!</v>
      </c>
      <c r="M1576" s="25" t="e">
        <f ca="1"/>
        <v>#REF!</v>
      </c>
      <c r="N1576" s="25" t="e">
        <f ca="1"/>
        <v>#REF!</v>
      </c>
      <c r="O1576" s="25" t="e">
        <f ca="1"/>
        <v>#REF!</v>
      </c>
      <c r="P1576" s="25" t="e">
        <f ca="1"/>
        <v>#REF!</v>
      </c>
      <c r="Q1576" s="25" t="e">
        <f ca="1"/>
        <v>#REF!</v>
      </c>
      <c r="R1576" s="25" t="e">
        <f ca="1"/>
        <v>#REF!</v>
      </c>
      <c r="S1576" s="25" t="e">
        <f ca="1"/>
        <v>#REF!</v>
      </c>
      <c r="T1576" s="25" t="e">
        <f ca="1"/>
        <v>#REF!</v>
      </c>
      <c r="U1576" s="25" t="e">
        <f ca="1"/>
        <v>#REF!</v>
      </c>
      <c r="V1576" s="25" t="e">
        <f ca="1"/>
        <v>#REF!</v>
      </c>
      <c r="W1576" s="33" t="e">
        <f ca="1"/>
        <v>#REF!</v>
      </c>
      <c r="X1576" s="33" t="e">
        <f ca="1"/>
        <v>#REF!</v>
      </c>
      <c r="Y1576" s="33" t="e">
        <f ca="1"/>
        <v>#REF!</v>
      </c>
      <c r="Z1576" s="33" t="e">
        <f ca="1"/>
        <v>#REF!</v>
      </c>
      <c r="AA1576" s="33" t="e">
        <f ca="1"/>
        <v>#REF!</v>
      </c>
    </row>
    <row r="1577" spans="1:27" s="70" customFormat="1" ht="11.25" x14ac:dyDescent="0.2">
      <c r="A1577" s="24">
        <v>1571</v>
      </c>
      <c r="B1577" s="24"/>
      <c r="C1577" s="25"/>
      <c r="D1577" s="26"/>
      <c r="E1577" s="25"/>
      <c r="F1577" s="25"/>
      <c r="G1577" s="24"/>
      <c r="H1577" s="28" t="e">
        <f ca="1"/>
        <v>#REF!</v>
      </c>
      <c r="I1577" s="27" t="e">
        <f ca="1"/>
        <v>#REF!</v>
      </c>
      <c r="J1577" s="28" t="e">
        <f ca="1"/>
        <v>#REF!</v>
      </c>
      <c r="K1577" s="27" t="e">
        <f ca="1"/>
        <v>#REF!</v>
      </c>
      <c r="L1577" s="25" t="e">
        <f ca="1"/>
        <v>#REF!</v>
      </c>
      <c r="M1577" s="25" t="e">
        <f ca="1"/>
        <v>#REF!</v>
      </c>
      <c r="N1577" s="25" t="e">
        <f ca="1"/>
        <v>#REF!</v>
      </c>
      <c r="O1577" s="25" t="e">
        <f ca="1"/>
        <v>#REF!</v>
      </c>
      <c r="P1577" s="25" t="e">
        <f ca="1"/>
        <v>#REF!</v>
      </c>
      <c r="Q1577" s="25" t="e">
        <f ca="1"/>
        <v>#REF!</v>
      </c>
      <c r="R1577" s="25" t="e">
        <f ca="1"/>
        <v>#REF!</v>
      </c>
      <c r="S1577" s="25" t="e">
        <f ca="1"/>
        <v>#REF!</v>
      </c>
      <c r="T1577" s="25" t="e">
        <f ca="1"/>
        <v>#REF!</v>
      </c>
      <c r="U1577" s="25" t="e">
        <f ca="1"/>
        <v>#REF!</v>
      </c>
      <c r="V1577" s="25" t="e">
        <f ca="1"/>
        <v>#REF!</v>
      </c>
      <c r="W1577" s="33" t="e">
        <f ca="1"/>
        <v>#REF!</v>
      </c>
      <c r="X1577" s="33" t="e">
        <f ca="1"/>
        <v>#REF!</v>
      </c>
      <c r="Y1577" s="33" t="e">
        <f ca="1"/>
        <v>#REF!</v>
      </c>
      <c r="Z1577" s="33" t="e">
        <f ca="1"/>
        <v>#REF!</v>
      </c>
      <c r="AA1577" s="33" t="e">
        <f ca="1"/>
        <v>#REF!</v>
      </c>
    </row>
    <row r="1578" spans="1:27" s="70" customFormat="1" ht="11.25" x14ac:dyDescent="0.2">
      <c r="A1578" s="24">
        <v>1572</v>
      </c>
      <c r="B1578" s="24"/>
      <c r="C1578" s="25"/>
      <c r="D1578" s="26"/>
      <c r="E1578" s="25"/>
      <c r="F1578" s="25"/>
      <c r="G1578" s="24"/>
      <c r="H1578" s="28" t="e">
        <f ca="1"/>
        <v>#REF!</v>
      </c>
      <c r="I1578" s="27" t="e">
        <f ca="1"/>
        <v>#REF!</v>
      </c>
      <c r="J1578" s="28" t="e">
        <f ca="1"/>
        <v>#REF!</v>
      </c>
      <c r="K1578" s="27" t="e">
        <f ca="1"/>
        <v>#REF!</v>
      </c>
      <c r="L1578" s="25" t="e">
        <f ca="1"/>
        <v>#REF!</v>
      </c>
      <c r="M1578" s="25" t="e">
        <f ca="1"/>
        <v>#REF!</v>
      </c>
      <c r="N1578" s="25" t="e">
        <f ca="1"/>
        <v>#REF!</v>
      </c>
      <c r="O1578" s="25" t="e">
        <f ca="1"/>
        <v>#REF!</v>
      </c>
      <c r="P1578" s="25" t="e">
        <f ca="1"/>
        <v>#REF!</v>
      </c>
      <c r="Q1578" s="25" t="e">
        <f ca="1"/>
        <v>#REF!</v>
      </c>
      <c r="R1578" s="25" t="e">
        <f ca="1"/>
        <v>#REF!</v>
      </c>
      <c r="S1578" s="25" t="e">
        <f ca="1"/>
        <v>#REF!</v>
      </c>
      <c r="T1578" s="25" t="e">
        <f ca="1"/>
        <v>#REF!</v>
      </c>
      <c r="U1578" s="25" t="e">
        <f ca="1"/>
        <v>#REF!</v>
      </c>
      <c r="V1578" s="25" t="e">
        <f ca="1"/>
        <v>#REF!</v>
      </c>
      <c r="W1578" s="33" t="e">
        <f ca="1"/>
        <v>#REF!</v>
      </c>
      <c r="X1578" s="33" t="e">
        <f ca="1"/>
        <v>#REF!</v>
      </c>
      <c r="Y1578" s="33" t="e">
        <f ca="1"/>
        <v>#REF!</v>
      </c>
      <c r="Z1578" s="33" t="e">
        <f ca="1"/>
        <v>#REF!</v>
      </c>
      <c r="AA1578" s="33" t="e">
        <f ca="1"/>
        <v>#REF!</v>
      </c>
    </row>
    <row r="1579" spans="1:27" s="70" customFormat="1" ht="11.25" x14ac:dyDescent="0.2">
      <c r="A1579" s="24">
        <v>1573</v>
      </c>
      <c r="B1579" s="24"/>
      <c r="C1579" s="25"/>
      <c r="D1579" s="26"/>
      <c r="E1579" s="25"/>
      <c r="F1579" s="25"/>
      <c r="G1579" s="24"/>
      <c r="H1579" s="28" t="e">
        <f ca="1"/>
        <v>#REF!</v>
      </c>
      <c r="I1579" s="27" t="e">
        <f ca="1"/>
        <v>#REF!</v>
      </c>
      <c r="J1579" s="28" t="e">
        <f ca="1"/>
        <v>#REF!</v>
      </c>
      <c r="K1579" s="27" t="e">
        <f ca="1"/>
        <v>#REF!</v>
      </c>
      <c r="L1579" s="25" t="e">
        <f ca="1"/>
        <v>#REF!</v>
      </c>
      <c r="M1579" s="25" t="e">
        <f ca="1"/>
        <v>#REF!</v>
      </c>
      <c r="N1579" s="25" t="e">
        <f ca="1"/>
        <v>#REF!</v>
      </c>
      <c r="O1579" s="25" t="e">
        <f ca="1"/>
        <v>#REF!</v>
      </c>
      <c r="P1579" s="25" t="e">
        <f ca="1"/>
        <v>#REF!</v>
      </c>
      <c r="Q1579" s="25" t="e">
        <f ca="1"/>
        <v>#REF!</v>
      </c>
      <c r="R1579" s="25" t="e">
        <f ca="1"/>
        <v>#REF!</v>
      </c>
      <c r="S1579" s="25" t="e">
        <f ca="1"/>
        <v>#REF!</v>
      </c>
      <c r="T1579" s="25" t="e">
        <f ca="1"/>
        <v>#REF!</v>
      </c>
      <c r="U1579" s="25" t="e">
        <f ca="1"/>
        <v>#REF!</v>
      </c>
      <c r="V1579" s="25" t="e">
        <f ca="1"/>
        <v>#REF!</v>
      </c>
      <c r="W1579" s="33" t="e">
        <f ca="1"/>
        <v>#REF!</v>
      </c>
      <c r="X1579" s="33" t="e">
        <f ca="1"/>
        <v>#REF!</v>
      </c>
      <c r="Y1579" s="33" t="e">
        <f ca="1"/>
        <v>#REF!</v>
      </c>
      <c r="Z1579" s="33" t="e">
        <f ca="1"/>
        <v>#REF!</v>
      </c>
      <c r="AA1579" s="33" t="e">
        <f ca="1"/>
        <v>#REF!</v>
      </c>
    </row>
    <row r="1580" spans="1:27" s="70" customFormat="1" ht="11.25" x14ac:dyDescent="0.2">
      <c r="A1580" s="24">
        <v>1574</v>
      </c>
      <c r="B1580" s="24"/>
      <c r="C1580" s="25"/>
      <c r="D1580" s="26"/>
      <c r="E1580" s="25"/>
      <c r="F1580" s="25"/>
      <c r="G1580" s="24"/>
      <c r="H1580" s="28" t="e">
        <f ca="1"/>
        <v>#REF!</v>
      </c>
      <c r="I1580" s="27" t="e">
        <f ca="1"/>
        <v>#REF!</v>
      </c>
      <c r="J1580" s="28" t="e">
        <f ca="1"/>
        <v>#REF!</v>
      </c>
      <c r="K1580" s="27" t="e">
        <f ca="1"/>
        <v>#REF!</v>
      </c>
      <c r="L1580" s="25" t="e">
        <f ca="1"/>
        <v>#REF!</v>
      </c>
      <c r="M1580" s="25" t="e">
        <f ca="1"/>
        <v>#REF!</v>
      </c>
      <c r="N1580" s="25" t="e">
        <f ca="1"/>
        <v>#REF!</v>
      </c>
      <c r="O1580" s="25" t="e">
        <f ca="1"/>
        <v>#REF!</v>
      </c>
      <c r="P1580" s="25" t="e">
        <f ca="1"/>
        <v>#REF!</v>
      </c>
      <c r="Q1580" s="25" t="e">
        <f ca="1"/>
        <v>#REF!</v>
      </c>
      <c r="R1580" s="25" t="e">
        <f ca="1"/>
        <v>#REF!</v>
      </c>
      <c r="S1580" s="25" t="e">
        <f ca="1"/>
        <v>#REF!</v>
      </c>
      <c r="T1580" s="25" t="e">
        <f ca="1"/>
        <v>#REF!</v>
      </c>
      <c r="U1580" s="25" t="e">
        <f ca="1"/>
        <v>#REF!</v>
      </c>
      <c r="V1580" s="25" t="e">
        <f ca="1"/>
        <v>#REF!</v>
      </c>
      <c r="W1580" s="33" t="e">
        <f ca="1"/>
        <v>#REF!</v>
      </c>
      <c r="X1580" s="33" t="e">
        <f ca="1"/>
        <v>#REF!</v>
      </c>
      <c r="Y1580" s="33" t="e">
        <f ca="1"/>
        <v>#REF!</v>
      </c>
      <c r="Z1580" s="33" t="e">
        <f ca="1"/>
        <v>#REF!</v>
      </c>
      <c r="AA1580" s="33" t="e">
        <f ca="1"/>
        <v>#REF!</v>
      </c>
    </row>
    <row r="1581" spans="1:27" s="70" customFormat="1" ht="11.25" x14ac:dyDescent="0.2">
      <c r="A1581" s="24">
        <v>1575</v>
      </c>
      <c r="B1581" s="24"/>
      <c r="C1581" s="25"/>
      <c r="D1581" s="26"/>
      <c r="E1581" s="25"/>
      <c r="F1581" s="25"/>
      <c r="G1581" s="24"/>
      <c r="H1581" s="28" t="e">
        <f ca="1"/>
        <v>#REF!</v>
      </c>
      <c r="I1581" s="27" t="e">
        <f ca="1"/>
        <v>#REF!</v>
      </c>
      <c r="J1581" s="28" t="e">
        <f ca="1"/>
        <v>#REF!</v>
      </c>
      <c r="K1581" s="27" t="e">
        <f ca="1"/>
        <v>#REF!</v>
      </c>
      <c r="L1581" s="25" t="e">
        <f ca="1"/>
        <v>#REF!</v>
      </c>
      <c r="M1581" s="25" t="e">
        <f ca="1"/>
        <v>#REF!</v>
      </c>
      <c r="N1581" s="25" t="e">
        <f ca="1"/>
        <v>#REF!</v>
      </c>
      <c r="O1581" s="25" t="e">
        <f ca="1"/>
        <v>#REF!</v>
      </c>
      <c r="P1581" s="25" t="e">
        <f ca="1"/>
        <v>#REF!</v>
      </c>
      <c r="Q1581" s="25" t="e">
        <f ca="1"/>
        <v>#REF!</v>
      </c>
      <c r="R1581" s="25" t="e">
        <f ca="1"/>
        <v>#REF!</v>
      </c>
      <c r="S1581" s="25" t="e">
        <f ca="1"/>
        <v>#REF!</v>
      </c>
      <c r="T1581" s="25" t="e">
        <f ca="1"/>
        <v>#REF!</v>
      </c>
      <c r="U1581" s="25" t="e">
        <f ca="1"/>
        <v>#REF!</v>
      </c>
      <c r="V1581" s="25" t="e">
        <f ca="1"/>
        <v>#REF!</v>
      </c>
      <c r="W1581" s="33" t="e">
        <f ca="1"/>
        <v>#REF!</v>
      </c>
      <c r="X1581" s="33" t="e">
        <f ca="1"/>
        <v>#REF!</v>
      </c>
      <c r="Y1581" s="33" t="e">
        <f ca="1"/>
        <v>#REF!</v>
      </c>
      <c r="Z1581" s="33" t="e">
        <f ca="1"/>
        <v>#REF!</v>
      </c>
      <c r="AA1581" s="33" t="e">
        <f ca="1"/>
        <v>#REF!</v>
      </c>
    </row>
    <row r="1582" spans="1:27" s="70" customFormat="1" ht="11.25" x14ac:dyDescent="0.2">
      <c r="A1582" s="24">
        <v>1576</v>
      </c>
      <c r="B1582" s="24"/>
      <c r="C1582" s="25"/>
      <c r="D1582" s="26"/>
      <c r="E1582" s="25"/>
      <c r="F1582" s="25"/>
      <c r="G1582" s="24"/>
      <c r="H1582" s="28" t="e">
        <f ca="1"/>
        <v>#REF!</v>
      </c>
      <c r="I1582" s="27" t="e">
        <f ca="1"/>
        <v>#REF!</v>
      </c>
      <c r="J1582" s="28" t="e">
        <f ca="1"/>
        <v>#REF!</v>
      </c>
      <c r="K1582" s="27" t="e">
        <f ca="1"/>
        <v>#REF!</v>
      </c>
      <c r="L1582" s="25" t="e">
        <f ca="1"/>
        <v>#REF!</v>
      </c>
      <c r="M1582" s="25" t="e">
        <f ca="1"/>
        <v>#REF!</v>
      </c>
      <c r="N1582" s="25" t="e">
        <f ca="1"/>
        <v>#REF!</v>
      </c>
      <c r="O1582" s="25" t="e">
        <f ca="1"/>
        <v>#REF!</v>
      </c>
      <c r="P1582" s="25" t="e">
        <f ca="1"/>
        <v>#REF!</v>
      </c>
      <c r="Q1582" s="25" t="e">
        <f ca="1"/>
        <v>#REF!</v>
      </c>
      <c r="R1582" s="25" t="e">
        <f ca="1"/>
        <v>#REF!</v>
      </c>
      <c r="S1582" s="25" t="e">
        <f ca="1"/>
        <v>#REF!</v>
      </c>
      <c r="T1582" s="25" t="e">
        <f ca="1"/>
        <v>#REF!</v>
      </c>
      <c r="U1582" s="25" t="e">
        <f ca="1"/>
        <v>#REF!</v>
      </c>
      <c r="V1582" s="25" t="e">
        <f ca="1"/>
        <v>#REF!</v>
      </c>
      <c r="W1582" s="33" t="e">
        <f ca="1"/>
        <v>#REF!</v>
      </c>
      <c r="X1582" s="33" t="e">
        <f ca="1"/>
        <v>#REF!</v>
      </c>
      <c r="Y1582" s="33" t="e">
        <f ca="1"/>
        <v>#REF!</v>
      </c>
      <c r="Z1582" s="33" t="e">
        <f ca="1"/>
        <v>#REF!</v>
      </c>
      <c r="AA1582" s="33" t="e">
        <f ca="1"/>
        <v>#REF!</v>
      </c>
    </row>
    <row r="1583" spans="1:27" s="70" customFormat="1" ht="11.25" x14ac:dyDescent="0.2">
      <c r="A1583" s="24">
        <v>1577</v>
      </c>
      <c r="B1583" s="24"/>
      <c r="C1583" s="25"/>
      <c r="D1583" s="26"/>
      <c r="E1583" s="25"/>
      <c r="F1583" s="25"/>
      <c r="G1583" s="24"/>
      <c r="H1583" s="28" t="e">
        <f ca="1"/>
        <v>#REF!</v>
      </c>
      <c r="I1583" s="27" t="e">
        <f ca="1"/>
        <v>#REF!</v>
      </c>
      <c r="J1583" s="28" t="e">
        <f ca="1"/>
        <v>#REF!</v>
      </c>
      <c r="K1583" s="27" t="e">
        <f ca="1"/>
        <v>#REF!</v>
      </c>
      <c r="L1583" s="25" t="e">
        <f ca="1"/>
        <v>#REF!</v>
      </c>
      <c r="M1583" s="25" t="e">
        <f ca="1"/>
        <v>#REF!</v>
      </c>
      <c r="N1583" s="25" t="e">
        <f ca="1"/>
        <v>#REF!</v>
      </c>
      <c r="O1583" s="25" t="e">
        <f ca="1"/>
        <v>#REF!</v>
      </c>
      <c r="P1583" s="25" t="e">
        <f ca="1"/>
        <v>#REF!</v>
      </c>
      <c r="Q1583" s="25" t="e">
        <f ca="1"/>
        <v>#REF!</v>
      </c>
      <c r="R1583" s="25" t="e">
        <f ca="1"/>
        <v>#REF!</v>
      </c>
      <c r="S1583" s="25" t="e">
        <f ca="1"/>
        <v>#REF!</v>
      </c>
      <c r="T1583" s="25" t="e">
        <f ca="1"/>
        <v>#REF!</v>
      </c>
      <c r="U1583" s="25" t="e">
        <f ca="1"/>
        <v>#REF!</v>
      </c>
      <c r="V1583" s="25" t="e">
        <f ca="1"/>
        <v>#REF!</v>
      </c>
      <c r="W1583" s="33" t="e">
        <f ca="1"/>
        <v>#REF!</v>
      </c>
      <c r="X1583" s="33" t="e">
        <f ca="1"/>
        <v>#REF!</v>
      </c>
      <c r="Y1583" s="33" t="e">
        <f ca="1"/>
        <v>#REF!</v>
      </c>
      <c r="Z1583" s="33" t="e">
        <f ca="1"/>
        <v>#REF!</v>
      </c>
      <c r="AA1583" s="33" t="e">
        <f ca="1"/>
        <v>#REF!</v>
      </c>
    </row>
    <row r="1584" spans="1:27" s="70" customFormat="1" ht="11.25" x14ac:dyDescent="0.2">
      <c r="A1584" s="24">
        <v>1578</v>
      </c>
      <c r="B1584" s="24"/>
      <c r="C1584" s="25"/>
      <c r="D1584" s="26"/>
      <c r="E1584" s="25"/>
      <c r="F1584" s="25"/>
      <c r="G1584" s="24"/>
      <c r="H1584" s="28" t="e">
        <f ca="1"/>
        <v>#REF!</v>
      </c>
      <c r="I1584" s="27" t="e">
        <f ca="1"/>
        <v>#REF!</v>
      </c>
      <c r="J1584" s="28" t="e">
        <f ca="1"/>
        <v>#REF!</v>
      </c>
      <c r="K1584" s="27" t="e">
        <f ca="1"/>
        <v>#REF!</v>
      </c>
      <c r="L1584" s="25" t="e">
        <f ca="1"/>
        <v>#REF!</v>
      </c>
      <c r="M1584" s="25" t="e">
        <f ca="1"/>
        <v>#REF!</v>
      </c>
      <c r="N1584" s="25" t="e">
        <f ca="1"/>
        <v>#REF!</v>
      </c>
      <c r="O1584" s="25" t="e">
        <f ca="1"/>
        <v>#REF!</v>
      </c>
      <c r="P1584" s="25" t="e">
        <f ca="1"/>
        <v>#REF!</v>
      </c>
      <c r="Q1584" s="25" t="e">
        <f ca="1"/>
        <v>#REF!</v>
      </c>
      <c r="R1584" s="25" t="e">
        <f ca="1"/>
        <v>#REF!</v>
      </c>
      <c r="S1584" s="25" t="e">
        <f ca="1"/>
        <v>#REF!</v>
      </c>
      <c r="T1584" s="25" t="e">
        <f ca="1"/>
        <v>#REF!</v>
      </c>
      <c r="U1584" s="25" t="e">
        <f ca="1"/>
        <v>#REF!</v>
      </c>
      <c r="V1584" s="25" t="e">
        <f ca="1"/>
        <v>#REF!</v>
      </c>
      <c r="W1584" s="33" t="e">
        <f ca="1"/>
        <v>#REF!</v>
      </c>
      <c r="X1584" s="33" t="e">
        <f ca="1"/>
        <v>#REF!</v>
      </c>
      <c r="Y1584" s="33" t="e">
        <f ca="1"/>
        <v>#REF!</v>
      </c>
      <c r="Z1584" s="33" t="e">
        <f ca="1"/>
        <v>#REF!</v>
      </c>
      <c r="AA1584" s="33" t="e">
        <f ca="1"/>
        <v>#REF!</v>
      </c>
    </row>
    <row r="1585" spans="1:27" s="70" customFormat="1" ht="11.25" x14ac:dyDescent="0.2">
      <c r="A1585" s="24">
        <v>1579</v>
      </c>
      <c r="B1585" s="24"/>
      <c r="C1585" s="25"/>
      <c r="D1585" s="26"/>
      <c r="E1585" s="25"/>
      <c r="F1585" s="25"/>
      <c r="G1585" s="24"/>
      <c r="H1585" s="28" t="e">
        <f ca="1"/>
        <v>#REF!</v>
      </c>
      <c r="I1585" s="27" t="e">
        <f ca="1"/>
        <v>#REF!</v>
      </c>
      <c r="J1585" s="28" t="e">
        <f ca="1"/>
        <v>#REF!</v>
      </c>
      <c r="K1585" s="27" t="e">
        <f ca="1"/>
        <v>#REF!</v>
      </c>
      <c r="L1585" s="25" t="e">
        <f ca="1"/>
        <v>#REF!</v>
      </c>
      <c r="M1585" s="25" t="e">
        <f ca="1"/>
        <v>#REF!</v>
      </c>
      <c r="N1585" s="25" t="e">
        <f ca="1"/>
        <v>#REF!</v>
      </c>
      <c r="O1585" s="25" t="e">
        <f ca="1"/>
        <v>#REF!</v>
      </c>
      <c r="P1585" s="25" t="e">
        <f ca="1"/>
        <v>#REF!</v>
      </c>
      <c r="Q1585" s="25" t="e">
        <f ca="1"/>
        <v>#REF!</v>
      </c>
      <c r="R1585" s="25" t="e">
        <f ca="1"/>
        <v>#REF!</v>
      </c>
      <c r="S1585" s="25" t="e">
        <f ca="1"/>
        <v>#REF!</v>
      </c>
      <c r="T1585" s="25" t="e">
        <f ca="1"/>
        <v>#REF!</v>
      </c>
      <c r="U1585" s="25" t="e">
        <f ca="1"/>
        <v>#REF!</v>
      </c>
      <c r="V1585" s="25" t="e">
        <f ca="1"/>
        <v>#REF!</v>
      </c>
      <c r="W1585" s="33" t="e">
        <f ca="1"/>
        <v>#REF!</v>
      </c>
      <c r="X1585" s="33" t="e">
        <f ca="1"/>
        <v>#REF!</v>
      </c>
      <c r="Y1585" s="33" t="e">
        <f ca="1"/>
        <v>#REF!</v>
      </c>
      <c r="Z1585" s="33" t="e">
        <f ca="1"/>
        <v>#REF!</v>
      </c>
      <c r="AA1585" s="33" t="e">
        <f ca="1"/>
        <v>#REF!</v>
      </c>
    </row>
    <row r="1586" spans="1:27" s="70" customFormat="1" ht="11.25" x14ac:dyDescent="0.2">
      <c r="A1586" s="24">
        <v>1580</v>
      </c>
      <c r="B1586" s="24"/>
      <c r="C1586" s="25"/>
      <c r="D1586" s="26"/>
      <c r="E1586" s="25"/>
      <c r="F1586" s="25"/>
      <c r="G1586" s="24"/>
      <c r="H1586" s="28" t="e">
        <f ca="1"/>
        <v>#REF!</v>
      </c>
      <c r="I1586" s="27" t="e">
        <f ca="1"/>
        <v>#REF!</v>
      </c>
      <c r="J1586" s="28" t="e">
        <f ca="1"/>
        <v>#REF!</v>
      </c>
      <c r="K1586" s="27" t="e">
        <f ca="1"/>
        <v>#REF!</v>
      </c>
      <c r="L1586" s="25" t="e">
        <f ca="1"/>
        <v>#REF!</v>
      </c>
      <c r="M1586" s="25" t="e">
        <f ca="1"/>
        <v>#REF!</v>
      </c>
      <c r="N1586" s="25" t="e">
        <f ca="1"/>
        <v>#REF!</v>
      </c>
      <c r="O1586" s="25" t="e">
        <f ca="1"/>
        <v>#REF!</v>
      </c>
      <c r="P1586" s="25" t="e">
        <f ca="1"/>
        <v>#REF!</v>
      </c>
      <c r="Q1586" s="25" t="e">
        <f ca="1"/>
        <v>#REF!</v>
      </c>
      <c r="R1586" s="25" t="e">
        <f ca="1"/>
        <v>#REF!</v>
      </c>
      <c r="S1586" s="25" t="e">
        <f ca="1"/>
        <v>#REF!</v>
      </c>
      <c r="T1586" s="25" t="e">
        <f ca="1"/>
        <v>#REF!</v>
      </c>
      <c r="U1586" s="25" t="e">
        <f ca="1"/>
        <v>#REF!</v>
      </c>
      <c r="V1586" s="25" t="e">
        <f ca="1"/>
        <v>#REF!</v>
      </c>
      <c r="W1586" s="33" t="e">
        <f ca="1"/>
        <v>#REF!</v>
      </c>
      <c r="X1586" s="33" t="e">
        <f ca="1"/>
        <v>#REF!</v>
      </c>
      <c r="Y1586" s="33" t="e">
        <f ca="1"/>
        <v>#REF!</v>
      </c>
      <c r="Z1586" s="33" t="e">
        <f ca="1"/>
        <v>#REF!</v>
      </c>
      <c r="AA1586" s="33" t="e">
        <f ca="1"/>
        <v>#REF!</v>
      </c>
    </row>
    <row r="1587" spans="1:27" s="70" customFormat="1" ht="11.25" x14ac:dyDescent="0.2">
      <c r="A1587" s="24">
        <v>1581</v>
      </c>
      <c r="B1587" s="24"/>
      <c r="C1587" s="25"/>
      <c r="D1587" s="26"/>
      <c r="E1587" s="25"/>
      <c r="F1587" s="25"/>
      <c r="G1587" s="24"/>
      <c r="H1587" s="28" t="e">
        <f ca="1"/>
        <v>#REF!</v>
      </c>
      <c r="I1587" s="27" t="e">
        <f ca="1"/>
        <v>#REF!</v>
      </c>
      <c r="J1587" s="28" t="e">
        <f ca="1"/>
        <v>#REF!</v>
      </c>
      <c r="K1587" s="27" t="e">
        <f ca="1"/>
        <v>#REF!</v>
      </c>
      <c r="L1587" s="25" t="e">
        <f ca="1"/>
        <v>#REF!</v>
      </c>
      <c r="M1587" s="25" t="e">
        <f ca="1"/>
        <v>#REF!</v>
      </c>
      <c r="N1587" s="25" t="e">
        <f ca="1"/>
        <v>#REF!</v>
      </c>
      <c r="O1587" s="25" t="e">
        <f ca="1"/>
        <v>#REF!</v>
      </c>
      <c r="P1587" s="25" t="e">
        <f ca="1"/>
        <v>#REF!</v>
      </c>
      <c r="Q1587" s="25" t="e">
        <f ca="1"/>
        <v>#REF!</v>
      </c>
      <c r="R1587" s="25" t="e">
        <f ca="1"/>
        <v>#REF!</v>
      </c>
      <c r="S1587" s="25" t="e">
        <f ca="1"/>
        <v>#REF!</v>
      </c>
      <c r="T1587" s="25" t="e">
        <f ca="1"/>
        <v>#REF!</v>
      </c>
      <c r="U1587" s="25" t="e">
        <f ca="1"/>
        <v>#REF!</v>
      </c>
      <c r="V1587" s="25" t="e">
        <f ca="1"/>
        <v>#REF!</v>
      </c>
      <c r="W1587" s="33" t="e">
        <f ca="1"/>
        <v>#REF!</v>
      </c>
      <c r="X1587" s="33" t="e">
        <f ca="1"/>
        <v>#REF!</v>
      </c>
      <c r="Y1587" s="33" t="e">
        <f ca="1"/>
        <v>#REF!</v>
      </c>
      <c r="Z1587" s="33" t="e">
        <f ca="1"/>
        <v>#REF!</v>
      </c>
      <c r="AA1587" s="33" t="e">
        <f ca="1"/>
        <v>#REF!</v>
      </c>
    </row>
    <row r="1588" spans="1:27" s="70" customFormat="1" ht="11.25" x14ac:dyDescent="0.2">
      <c r="A1588" s="24">
        <v>1582</v>
      </c>
      <c r="B1588" s="24"/>
      <c r="C1588" s="25"/>
      <c r="D1588" s="26"/>
      <c r="E1588" s="25"/>
      <c r="F1588" s="25"/>
      <c r="G1588" s="24"/>
      <c r="H1588" s="28" t="e">
        <f ca="1"/>
        <v>#REF!</v>
      </c>
      <c r="I1588" s="27" t="e">
        <f ca="1"/>
        <v>#REF!</v>
      </c>
      <c r="J1588" s="28" t="e">
        <f ca="1"/>
        <v>#REF!</v>
      </c>
      <c r="K1588" s="27" t="e">
        <f ca="1"/>
        <v>#REF!</v>
      </c>
      <c r="L1588" s="25" t="e">
        <f ca="1"/>
        <v>#REF!</v>
      </c>
      <c r="M1588" s="25" t="e">
        <f ca="1"/>
        <v>#REF!</v>
      </c>
      <c r="N1588" s="25" t="e">
        <f ca="1"/>
        <v>#REF!</v>
      </c>
      <c r="O1588" s="25" t="e">
        <f ca="1"/>
        <v>#REF!</v>
      </c>
      <c r="P1588" s="25" t="e">
        <f ca="1"/>
        <v>#REF!</v>
      </c>
      <c r="Q1588" s="25" t="e">
        <f ca="1"/>
        <v>#REF!</v>
      </c>
      <c r="R1588" s="25" t="e">
        <f ca="1"/>
        <v>#REF!</v>
      </c>
      <c r="S1588" s="25" t="e">
        <f ca="1"/>
        <v>#REF!</v>
      </c>
      <c r="T1588" s="25" t="e">
        <f ca="1"/>
        <v>#REF!</v>
      </c>
      <c r="U1588" s="25" t="e">
        <f ca="1"/>
        <v>#REF!</v>
      </c>
      <c r="V1588" s="25" t="e">
        <f ca="1"/>
        <v>#REF!</v>
      </c>
      <c r="W1588" s="33" t="e">
        <f ca="1"/>
        <v>#REF!</v>
      </c>
      <c r="X1588" s="33" t="e">
        <f ca="1"/>
        <v>#REF!</v>
      </c>
      <c r="Y1588" s="33" t="e">
        <f ca="1"/>
        <v>#REF!</v>
      </c>
      <c r="Z1588" s="33" t="e">
        <f ca="1"/>
        <v>#REF!</v>
      </c>
      <c r="AA1588" s="33" t="e">
        <f ca="1"/>
        <v>#REF!</v>
      </c>
    </row>
    <row r="1589" spans="1:27" s="70" customFormat="1" ht="11.25" x14ac:dyDescent="0.2">
      <c r="A1589" s="24">
        <v>1583</v>
      </c>
      <c r="B1589" s="24"/>
      <c r="C1589" s="25"/>
      <c r="D1589" s="26"/>
      <c r="E1589" s="25"/>
      <c r="F1589" s="25"/>
      <c r="G1589" s="24"/>
      <c r="H1589" s="28" t="e">
        <f ca="1"/>
        <v>#REF!</v>
      </c>
      <c r="I1589" s="27" t="e">
        <f ca="1"/>
        <v>#REF!</v>
      </c>
      <c r="J1589" s="28" t="e">
        <f ca="1"/>
        <v>#REF!</v>
      </c>
      <c r="K1589" s="27" t="e">
        <f ca="1"/>
        <v>#REF!</v>
      </c>
      <c r="L1589" s="25" t="e">
        <f ca="1"/>
        <v>#REF!</v>
      </c>
      <c r="M1589" s="25" t="e">
        <f ca="1"/>
        <v>#REF!</v>
      </c>
      <c r="N1589" s="25" t="e">
        <f ca="1"/>
        <v>#REF!</v>
      </c>
      <c r="O1589" s="25" t="e">
        <f ca="1"/>
        <v>#REF!</v>
      </c>
      <c r="P1589" s="25" t="e">
        <f ca="1"/>
        <v>#REF!</v>
      </c>
      <c r="Q1589" s="25" t="e">
        <f ca="1"/>
        <v>#REF!</v>
      </c>
      <c r="R1589" s="25" t="e">
        <f ca="1"/>
        <v>#REF!</v>
      </c>
      <c r="S1589" s="25" t="e">
        <f ca="1"/>
        <v>#REF!</v>
      </c>
      <c r="T1589" s="25" t="e">
        <f ca="1"/>
        <v>#REF!</v>
      </c>
      <c r="U1589" s="25" t="e">
        <f ca="1"/>
        <v>#REF!</v>
      </c>
      <c r="V1589" s="25" t="e">
        <f ca="1"/>
        <v>#REF!</v>
      </c>
      <c r="W1589" s="33" t="e">
        <f ca="1"/>
        <v>#REF!</v>
      </c>
      <c r="X1589" s="33" t="e">
        <f ca="1"/>
        <v>#REF!</v>
      </c>
      <c r="Y1589" s="33" t="e">
        <f ca="1"/>
        <v>#REF!</v>
      </c>
      <c r="Z1589" s="33" t="e">
        <f ca="1"/>
        <v>#REF!</v>
      </c>
      <c r="AA1589" s="33" t="e">
        <f ca="1"/>
        <v>#REF!</v>
      </c>
    </row>
    <row r="1590" spans="1:27" s="70" customFormat="1" ht="11.25" x14ac:dyDescent="0.2">
      <c r="A1590" s="24">
        <v>1584</v>
      </c>
      <c r="B1590" s="24"/>
      <c r="C1590" s="25"/>
      <c r="D1590" s="26"/>
      <c r="E1590" s="25"/>
      <c r="F1590" s="25"/>
      <c r="G1590" s="24"/>
      <c r="H1590" s="28" t="e">
        <f ca="1"/>
        <v>#REF!</v>
      </c>
      <c r="I1590" s="27" t="e">
        <f ca="1"/>
        <v>#REF!</v>
      </c>
      <c r="J1590" s="28" t="e">
        <f ca="1"/>
        <v>#REF!</v>
      </c>
      <c r="K1590" s="27" t="e">
        <f ca="1"/>
        <v>#REF!</v>
      </c>
      <c r="L1590" s="25" t="e">
        <f ca="1"/>
        <v>#REF!</v>
      </c>
      <c r="M1590" s="25" t="e">
        <f ca="1"/>
        <v>#REF!</v>
      </c>
      <c r="N1590" s="25" t="e">
        <f ca="1"/>
        <v>#REF!</v>
      </c>
      <c r="O1590" s="25" t="e">
        <f ca="1"/>
        <v>#REF!</v>
      </c>
      <c r="P1590" s="25" t="e">
        <f ca="1"/>
        <v>#REF!</v>
      </c>
      <c r="Q1590" s="25" t="e">
        <f ca="1"/>
        <v>#REF!</v>
      </c>
      <c r="R1590" s="25" t="e">
        <f ca="1"/>
        <v>#REF!</v>
      </c>
      <c r="S1590" s="25" t="e">
        <f ca="1"/>
        <v>#REF!</v>
      </c>
      <c r="T1590" s="25" t="e">
        <f ca="1"/>
        <v>#REF!</v>
      </c>
      <c r="U1590" s="25" t="e">
        <f ca="1"/>
        <v>#REF!</v>
      </c>
      <c r="V1590" s="25" t="e">
        <f ca="1"/>
        <v>#REF!</v>
      </c>
      <c r="W1590" s="33" t="e">
        <f ca="1"/>
        <v>#REF!</v>
      </c>
      <c r="X1590" s="33" t="e">
        <f ca="1"/>
        <v>#REF!</v>
      </c>
      <c r="Y1590" s="33" t="e">
        <f ca="1"/>
        <v>#REF!</v>
      </c>
      <c r="Z1590" s="33" t="e">
        <f ca="1"/>
        <v>#REF!</v>
      </c>
      <c r="AA1590" s="33" t="e">
        <f ca="1"/>
        <v>#REF!</v>
      </c>
    </row>
    <row r="1591" spans="1:27" s="70" customFormat="1" ht="11.25" x14ac:dyDescent="0.2">
      <c r="A1591" s="24">
        <v>1585</v>
      </c>
      <c r="B1591" s="24"/>
      <c r="C1591" s="25"/>
      <c r="D1591" s="26"/>
      <c r="E1591" s="25"/>
      <c r="F1591" s="25"/>
      <c r="G1591" s="24"/>
      <c r="H1591" s="28" t="e">
        <f ca="1"/>
        <v>#REF!</v>
      </c>
      <c r="I1591" s="27" t="e">
        <f ca="1"/>
        <v>#REF!</v>
      </c>
      <c r="J1591" s="28" t="e">
        <f ca="1"/>
        <v>#REF!</v>
      </c>
      <c r="K1591" s="27" t="e">
        <f ca="1"/>
        <v>#REF!</v>
      </c>
      <c r="L1591" s="25" t="e">
        <f ca="1"/>
        <v>#REF!</v>
      </c>
      <c r="M1591" s="25" t="e">
        <f ca="1"/>
        <v>#REF!</v>
      </c>
      <c r="N1591" s="25" t="e">
        <f ca="1"/>
        <v>#REF!</v>
      </c>
      <c r="O1591" s="25" t="e">
        <f ca="1"/>
        <v>#REF!</v>
      </c>
      <c r="P1591" s="25" t="e">
        <f ca="1"/>
        <v>#REF!</v>
      </c>
      <c r="Q1591" s="25" t="e">
        <f ca="1"/>
        <v>#REF!</v>
      </c>
      <c r="R1591" s="25" t="e">
        <f ca="1"/>
        <v>#REF!</v>
      </c>
      <c r="S1591" s="25" t="e">
        <f ca="1"/>
        <v>#REF!</v>
      </c>
      <c r="T1591" s="25" t="e">
        <f ca="1"/>
        <v>#REF!</v>
      </c>
      <c r="U1591" s="25" t="e">
        <f ca="1"/>
        <v>#REF!</v>
      </c>
      <c r="V1591" s="25" t="e">
        <f ca="1"/>
        <v>#REF!</v>
      </c>
      <c r="W1591" s="33" t="e">
        <f ca="1"/>
        <v>#REF!</v>
      </c>
      <c r="X1591" s="33" t="e">
        <f ca="1"/>
        <v>#REF!</v>
      </c>
      <c r="Y1591" s="33" t="e">
        <f ca="1"/>
        <v>#REF!</v>
      </c>
      <c r="Z1591" s="33" t="e">
        <f ca="1"/>
        <v>#REF!</v>
      </c>
      <c r="AA1591" s="33" t="e">
        <f ca="1"/>
        <v>#REF!</v>
      </c>
    </row>
    <row r="1592" spans="1:27" s="70" customFormat="1" ht="11.25" x14ac:dyDescent="0.2">
      <c r="A1592" s="24">
        <v>1586</v>
      </c>
      <c r="B1592" s="24"/>
      <c r="C1592" s="25"/>
      <c r="D1592" s="26"/>
      <c r="E1592" s="25"/>
      <c r="F1592" s="25"/>
      <c r="G1592" s="24"/>
      <c r="H1592" s="28" t="e">
        <f ca="1"/>
        <v>#REF!</v>
      </c>
      <c r="I1592" s="27" t="e">
        <f ca="1"/>
        <v>#REF!</v>
      </c>
      <c r="J1592" s="28" t="e">
        <f ca="1"/>
        <v>#REF!</v>
      </c>
      <c r="K1592" s="27" t="e">
        <f ca="1"/>
        <v>#REF!</v>
      </c>
      <c r="L1592" s="25" t="e">
        <f ca="1"/>
        <v>#REF!</v>
      </c>
      <c r="M1592" s="25" t="e">
        <f ca="1"/>
        <v>#REF!</v>
      </c>
      <c r="N1592" s="25" t="e">
        <f ca="1"/>
        <v>#REF!</v>
      </c>
      <c r="O1592" s="25" t="e">
        <f ca="1"/>
        <v>#REF!</v>
      </c>
      <c r="P1592" s="25" t="e">
        <f ca="1"/>
        <v>#REF!</v>
      </c>
      <c r="Q1592" s="25" t="e">
        <f ca="1"/>
        <v>#REF!</v>
      </c>
      <c r="R1592" s="25" t="e">
        <f ca="1"/>
        <v>#REF!</v>
      </c>
      <c r="S1592" s="25" t="e">
        <f ca="1"/>
        <v>#REF!</v>
      </c>
      <c r="T1592" s="25" t="e">
        <f ca="1"/>
        <v>#REF!</v>
      </c>
      <c r="U1592" s="25" t="e">
        <f ca="1"/>
        <v>#REF!</v>
      </c>
      <c r="V1592" s="25" t="e">
        <f ca="1"/>
        <v>#REF!</v>
      </c>
      <c r="W1592" s="33" t="e">
        <f ca="1"/>
        <v>#REF!</v>
      </c>
      <c r="X1592" s="33" t="e">
        <f ca="1"/>
        <v>#REF!</v>
      </c>
      <c r="Y1592" s="33" t="e">
        <f ca="1"/>
        <v>#REF!</v>
      </c>
      <c r="Z1592" s="33" t="e">
        <f ca="1"/>
        <v>#REF!</v>
      </c>
      <c r="AA1592" s="33" t="e">
        <f ca="1"/>
        <v>#REF!</v>
      </c>
    </row>
    <row r="1593" spans="1:27" s="70" customFormat="1" ht="11.25" x14ac:dyDescent="0.2">
      <c r="A1593" s="24">
        <v>1587</v>
      </c>
      <c r="B1593" s="24"/>
      <c r="C1593" s="25"/>
      <c r="D1593" s="26"/>
      <c r="E1593" s="25"/>
      <c r="F1593" s="25"/>
      <c r="G1593" s="24"/>
      <c r="H1593" s="28" t="e">
        <f ca="1"/>
        <v>#REF!</v>
      </c>
      <c r="I1593" s="27" t="e">
        <f ca="1"/>
        <v>#REF!</v>
      </c>
      <c r="J1593" s="28" t="e">
        <f ca="1"/>
        <v>#REF!</v>
      </c>
      <c r="K1593" s="27" t="e">
        <f ca="1"/>
        <v>#REF!</v>
      </c>
      <c r="L1593" s="25" t="e">
        <f ca="1"/>
        <v>#REF!</v>
      </c>
      <c r="M1593" s="25" t="e">
        <f ca="1"/>
        <v>#REF!</v>
      </c>
      <c r="N1593" s="25" t="e">
        <f ca="1"/>
        <v>#REF!</v>
      </c>
      <c r="O1593" s="25" t="e">
        <f ca="1"/>
        <v>#REF!</v>
      </c>
      <c r="P1593" s="25" t="e">
        <f ca="1"/>
        <v>#REF!</v>
      </c>
      <c r="Q1593" s="25" t="e">
        <f ca="1"/>
        <v>#REF!</v>
      </c>
      <c r="R1593" s="25" t="e">
        <f ca="1"/>
        <v>#REF!</v>
      </c>
      <c r="S1593" s="25" t="e">
        <f ca="1"/>
        <v>#REF!</v>
      </c>
      <c r="T1593" s="25" t="e">
        <f ca="1"/>
        <v>#REF!</v>
      </c>
      <c r="U1593" s="25" t="e">
        <f ca="1"/>
        <v>#REF!</v>
      </c>
      <c r="V1593" s="25" t="e">
        <f ca="1"/>
        <v>#REF!</v>
      </c>
      <c r="W1593" s="33" t="e">
        <f ca="1"/>
        <v>#REF!</v>
      </c>
      <c r="X1593" s="33" t="e">
        <f ca="1"/>
        <v>#REF!</v>
      </c>
      <c r="Y1593" s="33" t="e">
        <f ca="1"/>
        <v>#REF!</v>
      </c>
      <c r="Z1593" s="33" t="e">
        <f ca="1"/>
        <v>#REF!</v>
      </c>
      <c r="AA1593" s="33" t="e">
        <f ca="1"/>
        <v>#REF!</v>
      </c>
    </row>
    <row r="1594" spans="1:27" s="70" customFormat="1" ht="11.25" x14ac:dyDescent="0.2">
      <c r="A1594" s="24">
        <v>1588</v>
      </c>
      <c r="B1594" s="24"/>
      <c r="C1594" s="25"/>
      <c r="D1594" s="26"/>
      <c r="E1594" s="25"/>
      <c r="F1594" s="25"/>
      <c r="G1594" s="24"/>
      <c r="H1594" s="28" t="e">
        <f ca="1"/>
        <v>#REF!</v>
      </c>
      <c r="I1594" s="27" t="e">
        <f ca="1"/>
        <v>#REF!</v>
      </c>
      <c r="J1594" s="28" t="e">
        <f ca="1"/>
        <v>#REF!</v>
      </c>
      <c r="K1594" s="27" t="e">
        <f ca="1"/>
        <v>#REF!</v>
      </c>
      <c r="L1594" s="25" t="e">
        <f ca="1"/>
        <v>#REF!</v>
      </c>
      <c r="M1594" s="25" t="e">
        <f ca="1"/>
        <v>#REF!</v>
      </c>
      <c r="N1594" s="25" t="e">
        <f ca="1"/>
        <v>#REF!</v>
      </c>
      <c r="O1594" s="25" t="e">
        <f ca="1"/>
        <v>#REF!</v>
      </c>
      <c r="P1594" s="25" t="e">
        <f ca="1"/>
        <v>#REF!</v>
      </c>
      <c r="Q1594" s="25" t="e">
        <f ca="1"/>
        <v>#REF!</v>
      </c>
      <c r="R1594" s="25" t="e">
        <f ca="1"/>
        <v>#REF!</v>
      </c>
      <c r="S1594" s="25" t="e">
        <f ca="1"/>
        <v>#REF!</v>
      </c>
      <c r="T1594" s="25" t="e">
        <f ca="1"/>
        <v>#REF!</v>
      </c>
      <c r="U1594" s="25" t="e">
        <f ca="1"/>
        <v>#REF!</v>
      </c>
      <c r="V1594" s="25" t="e">
        <f ca="1"/>
        <v>#REF!</v>
      </c>
      <c r="W1594" s="33" t="e">
        <f ca="1"/>
        <v>#REF!</v>
      </c>
      <c r="X1594" s="33" t="e">
        <f ca="1"/>
        <v>#REF!</v>
      </c>
      <c r="Y1594" s="33" t="e">
        <f ca="1"/>
        <v>#REF!</v>
      </c>
      <c r="Z1594" s="33" t="e">
        <f ca="1"/>
        <v>#REF!</v>
      </c>
      <c r="AA1594" s="33" t="e">
        <f ca="1"/>
        <v>#REF!</v>
      </c>
    </row>
    <row r="1595" spans="1:27" s="70" customFormat="1" ht="11.25" x14ac:dyDescent="0.2">
      <c r="A1595" s="24">
        <v>1589</v>
      </c>
      <c r="B1595" s="24"/>
      <c r="C1595" s="25"/>
      <c r="D1595" s="26"/>
      <c r="E1595" s="25"/>
      <c r="F1595" s="25"/>
      <c r="G1595" s="24"/>
      <c r="H1595" s="28" t="e">
        <f ca="1"/>
        <v>#REF!</v>
      </c>
      <c r="I1595" s="27" t="e">
        <f ca="1"/>
        <v>#REF!</v>
      </c>
      <c r="J1595" s="28" t="e">
        <f ca="1"/>
        <v>#REF!</v>
      </c>
      <c r="K1595" s="27" t="e">
        <f ca="1"/>
        <v>#REF!</v>
      </c>
      <c r="L1595" s="25" t="e">
        <f ca="1"/>
        <v>#REF!</v>
      </c>
      <c r="M1595" s="25" t="e">
        <f ca="1"/>
        <v>#REF!</v>
      </c>
      <c r="N1595" s="25" t="e">
        <f ca="1"/>
        <v>#REF!</v>
      </c>
      <c r="O1595" s="25" t="e">
        <f ca="1"/>
        <v>#REF!</v>
      </c>
      <c r="P1595" s="25" t="e">
        <f ca="1"/>
        <v>#REF!</v>
      </c>
      <c r="Q1595" s="25" t="e">
        <f ca="1"/>
        <v>#REF!</v>
      </c>
      <c r="R1595" s="25" t="e">
        <f ca="1"/>
        <v>#REF!</v>
      </c>
      <c r="S1595" s="25" t="e">
        <f ca="1"/>
        <v>#REF!</v>
      </c>
      <c r="T1595" s="25" t="e">
        <f ca="1"/>
        <v>#REF!</v>
      </c>
      <c r="U1595" s="25" t="e">
        <f ca="1"/>
        <v>#REF!</v>
      </c>
      <c r="V1595" s="25" t="e">
        <f ca="1"/>
        <v>#REF!</v>
      </c>
      <c r="W1595" s="33" t="e">
        <f ca="1"/>
        <v>#REF!</v>
      </c>
      <c r="X1595" s="33" t="e">
        <f ca="1"/>
        <v>#REF!</v>
      </c>
      <c r="Y1595" s="33" t="e">
        <f ca="1"/>
        <v>#REF!</v>
      </c>
      <c r="Z1595" s="33" t="e">
        <f ca="1"/>
        <v>#REF!</v>
      </c>
      <c r="AA1595" s="33" t="e">
        <f ca="1"/>
        <v>#REF!</v>
      </c>
    </row>
    <row r="1596" spans="1:27" s="70" customFormat="1" ht="11.25" x14ac:dyDescent="0.2">
      <c r="A1596" s="24">
        <v>1590</v>
      </c>
      <c r="B1596" s="24"/>
      <c r="C1596" s="25"/>
      <c r="D1596" s="26"/>
      <c r="E1596" s="25"/>
      <c r="F1596" s="25"/>
      <c r="G1596" s="24"/>
      <c r="H1596" s="28" t="e">
        <f ca="1"/>
        <v>#REF!</v>
      </c>
      <c r="I1596" s="27" t="e">
        <f ca="1"/>
        <v>#REF!</v>
      </c>
      <c r="J1596" s="28" t="e">
        <f ca="1"/>
        <v>#REF!</v>
      </c>
      <c r="K1596" s="27" t="e">
        <f ca="1"/>
        <v>#REF!</v>
      </c>
      <c r="L1596" s="25" t="e">
        <f ca="1"/>
        <v>#REF!</v>
      </c>
      <c r="M1596" s="25" t="e">
        <f ca="1"/>
        <v>#REF!</v>
      </c>
      <c r="N1596" s="25" t="e">
        <f ca="1"/>
        <v>#REF!</v>
      </c>
      <c r="O1596" s="25" t="e">
        <f ca="1"/>
        <v>#REF!</v>
      </c>
      <c r="P1596" s="25" t="e">
        <f ca="1"/>
        <v>#REF!</v>
      </c>
      <c r="Q1596" s="25" t="e">
        <f ca="1"/>
        <v>#REF!</v>
      </c>
      <c r="R1596" s="25" t="e">
        <f ca="1"/>
        <v>#REF!</v>
      </c>
      <c r="S1596" s="25" t="e">
        <f ca="1"/>
        <v>#REF!</v>
      </c>
      <c r="T1596" s="25" t="e">
        <f ca="1"/>
        <v>#REF!</v>
      </c>
      <c r="U1596" s="25" t="e">
        <f ca="1"/>
        <v>#REF!</v>
      </c>
      <c r="V1596" s="25" t="e">
        <f ca="1"/>
        <v>#REF!</v>
      </c>
      <c r="W1596" s="33" t="e">
        <f ca="1"/>
        <v>#REF!</v>
      </c>
      <c r="X1596" s="33" t="e">
        <f ca="1"/>
        <v>#REF!</v>
      </c>
      <c r="Y1596" s="33" t="e">
        <f ca="1"/>
        <v>#REF!</v>
      </c>
      <c r="Z1596" s="33" t="e">
        <f ca="1"/>
        <v>#REF!</v>
      </c>
      <c r="AA1596" s="33" t="e">
        <f ca="1"/>
        <v>#REF!</v>
      </c>
    </row>
    <row r="1597" spans="1:27" s="70" customFormat="1" ht="11.25" x14ac:dyDescent="0.2">
      <c r="A1597" s="24">
        <v>1591</v>
      </c>
      <c r="B1597" s="24"/>
      <c r="C1597" s="25"/>
      <c r="D1597" s="26"/>
      <c r="E1597" s="25"/>
      <c r="F1597" s="25"/>
      <c r="G1597" s="24"/>
      <c r="H1597" s="28" t="e">
        <f ca="1"/>
        <v>#REF!</v>
      </c>
      <c r="I1597" s="27" t="e">
        <f ca="1"/>
        <v>#REF!</v>
      </c>
      <c r="J1597" s="28" t="e">
        <f ca="1"/>
        <v>#REF!</v>
      </c>
      <c r="K1597" s="27" t="e">
        <f ca="1"/>
        <v>#REF!</v>
      </c>
      <c r="L1597" s="25" t="e">
        <f ca="1"/>
        <v>#REF!</v>
      </c>
      <c r="M1597" s="25" t="e">
        <f ca="1"/>
        <v>#REF!</v>
      </c>
      <c r="N1597" s="25" t="e">
        <f ca="1"/>
        <v>#REF!</v>
      </c>
      <c r="O1597" s="25" t="e">
        <f ca="1"/>
        <v>#REF!</v>
      </c>
      <c r="P1597" s="25" t="e">
        <f ca="1"/>
        <v>#REF!</v>
      </c>
      <c r="Q1597" s="25" t="e">
        <f ca="1"/>
        <v>#REF!</v>
      </c>
      <c r="R1597" s="25" t="e">
        <f ca="1"/>
        <v>#REF!</v>
      </c>
      <c r="S1597" s="25" t="e">
        <f ca="1"/>
        <v>#REF!</v>
      </c>
      <c r="T1597" s="25" t="e">
        <f ca="1"/>
        <v>#REF!</v>
      </c>
      <c r="U1597" s="25" t="e">
        <f ca="1"/>
        <v>#REF!</v>
      </c>
      <c r="V1597" s="25" t="e">
        <f ca="1"/>
        <v>#REF!</v>
      </c>
      <c r="W1597" s="33" t="e">
        <f ca="1"/>
        <v>#REF!</v>
      </c>
      <c r="X1597" s="33" t="e">
        <f ca="1"/>
        <v>#REF!</v>
      </c>
      <c r="Y1597" s="33" t="e">
        <f ca="1"/>
        <v>#REF!</v>
      </c>
      <c r="Z1597" s="33" t="e">
        <f ca="1"/>
        <v>#REF!</v>
      </c>
      <c r="AA1597" s="33" t="e">
        <f ca="1"/>
        <v>#REF!</v>
      </c>
    </row>
    <row r="1598" spans="1:27" s="70" customFormat="1" ht="11.25" x14ac:dyDescent="0.2">
      <c r="A1598" s="24">
        <v>1592</v>
      </c>
      <c r="B1598" s="24"/>
      <c r="C1598" s="25"/>
      <c r="D1598" s="26"/>
      <c r="E1598" s="25"/>
      <c r="F1598" s="25"/>
      <c r="G1598" s="24"/>
      <c r="H1598" s="28" t="e">
        <f ca="1"/>
        <v>#REF!</v>
      </c>
      <c r="I1598" s="27" t="e">
        <f ca="1"/>
        <v>#REF!</v>
      </c>
      <c r="J1598" s="28" t="e">
        <f ca="1"/>
        <v>#REF!</v>
      </c>
      <c r="K1598" s="27" t="e">
        <f ca="1"/>
        <v>#REF!</v>
      </c>
      <c r="L1598" s="25" t="e">
        <f ca="1"/>
        <v>#REF!</v>
      </c>
      <c r="M1598" s="25" t="e">
        <f ca="1"/>
        <v>#REF!</v>
      </c>
      <c r="N1598" s="25" t="e">
        <f ca="1"/>
        <v>#REF!</v>
      </c>
      <c r="O1598" s="25" t="e">
        <f ca="1"/>
        <v>#REF!</v>
      </c>
      <c r="P1598" s="25" t="e">
        <f ca="1"/>
        <v>#REF!</v>
      </c>
      <c r="Q1598" s="25" t="e">
        <f ca="1"/>
        <v>#REF!</v>
      </c>
      <c r="R1598" s="25" t="e">
        <f ca="1"/>
        <v>#REF!</v>
      </c>
      <c r="S1598" s="25" t="e">
        <f ca="1"/>
        <v>#REF!</v>
      </c>
      <c r="T1598" s="25" t="e">
        <f ca="1"/>
        <v>#REF!</v>
      </c>
      <c r="U1598" s="25" t="e">
        <f ca="1"/>
        <v>#REF!</v>
      </c>
      <c r="V1598" s="25" t="e">
        <f ca="1"/>
        <v>#REF!</v>
      </c>
      <c r="W1598" s="33" t="e">
        <f ca="1"/>
        <v>#REF!</v>
      </c>
      <c r="X1598" s="33" t="e">
        <f ca="1"/>
        <v>#REF!</v>
      </c>
      <c r="Y1598" s="33" t="e">
        <f ca="1"/>
        <v>#REF!</v>
      </c>
      <c r="Z1598" s="33" t="e">
        <f ca="1"/>
        <v>#REF!</v>
      </c>
      <c r="AA1598" s="33" t="e">
        <f ca="1"/>
        <v>#REF!</v>
      </c>
    </row>
    <row r="1599" spans="1:27" s="70" customFormat="1" ht="11.25" x14ac:dyDescent="0.2">
      <c r="A1599" s="24">
        <v>1593</v>
      </c>
      <c r="B1599" s="24"/>
      <c r="C1599" s="25"/>
      <c r="D1599" s="26"/>
      <c r="E1599" s="25"/>
      <c r="F1599" s="25"/>
      <c r="G1599" s="24"/>
      <c r="H1599" s="28" t="e">
        <f ca="1"/>
        <v>#REF!</v>
      </c>
      <c r="I1599" s="27" t="e">
        <f ca="1"/>
        <v>#REF!</v>
      </c>
      <c r="J1599" s="28" t="e">
        <f ca="1"/>
        <v>#REF!</v>
      </c>
      <c r="K1599" s="27" t="e">
        <f ca="1"/>
        <v>#REF!</v>
      </c>
      <c r="L1599" s="25" t="e">
        <f ca="1"/>
        <v>#REF!</v>
      </c>
      <c r="M1599" s="25" t="e">
        <f ca="1"/>
        <v>#REF!</v>
      </c>
      <c r="N1599" s="25" t="e">
        <f ca="1"/>
        <v>#REF!</v>
      </c>
      <c r="O1599" s="25" t="e">
        <f ca="1"/>
        <v>#REF!</v>
      </c>
      <c r="P1599" s="25" t="e">
        <f ca="1"/>
        <v>#REF!</v>
      </c>
      <c r="Q1599" s="25" t="e">
        <f ca="1"/>
        <v>#REF!</v>
      </c>
      <c r="R1599" s="25" t="e">
        <f ca="1"/>
        <v>#REF!</v>
      </c>
      <c r="S1599" s="25" t="e">
        <f ca="1"/>
        <v>#REF!</v>
      </c>
      <c r="T1599" s="25" t="e">
        <f ca="1"/>
        <v>#REF!</v>
      </c>
      <c r="U1599" s="25" t="e">
        <f ca="1"/>
        <v>#REF!</v>
      </c>
      <c r="V1599" s="25" t="e">
        <f ca="1"/>
        <v>#REF!</v>
      </c>
      <c r="W1599" s="33" t="e">
        <f ca="1"/>
        <v>#REF!</v>
      </c>
      <c r="X1599" s="33" t="e">
        <f ca="1"/>
        <v>#REF!</v>
      </c>
      <c r="Y1599" s="33" t="e">
        <f ca="1"/>
        <v>#REF!</v>
      </c>
      <c r="Z1599" s="33" t="e">
        <f ca="1"/>
        <v>#REF!</v>
      </c>
      <c r="AA1599" s="33" t="e">
        <f ca="1"/>
        <v>#REF!</v>
      </c>
    </row>
    <row r="1600" spans="1:27" s="70" customFormat="1" ht="11.25" x14ac:dyDescent="0.2">
      <c r="A1600" s="24">
        <v>1594</v>
      </c>
      <c r="B1600" s="24"/>
      <c r="C1600" s="25"/>
      <c r="D1600" s="26"/>
      <c r="E1600" s="25"/>
      <c r="F1600" s="25"/>
      <c r="G1600" s="24"/>
      <c r="H1600" s="28" t="e">
        <f ca="1"/>
        <v>#REF!</v>
      </c>
      <c r="I1600" s="27" t="e">
        <f ca="1"/>
        <v>#REF!</v>
      </c>
      <c r="J1600" s="28" t="e">
        <f ca="1"/>
        <v>#REF!</v>
      </c>
      <c r="K1600" s="27" t="e">
        <f ca="1"/>
        <v>#REF!</v>
      </c>
      <c r="L1600" s="25" t="e">
        <f ca="1"/>
        <v>#REF!</v>
      </c>
      <c r="M1600" s="25" t="e">
        <f ca="1"/>
        <v>#REF!</v>
      </c>
      <c r="N1600" s="25" t="e">
        <f ca="1"/>
        <v>#REF!</v>
      </c>
      <c r="O1600" s="25" t="e">
        <f ca="1"/>
        <v>#REF!</v>
      </c>
      <c r="P1600" s="25" t="e">
        <f ca="1"/>
        <v>#REF!</v>
      </c>
      <c r="Q1600" s="25" t="e">
        <f ca="1"/>
        <v>#REF!</v>
      </c>
      <c r="R1600" s="25" t="e">
        <f ca="1"/>
        <v>#REF!</v>
      </c>
      <c r="S1600" s="25" t="e">
        <f ca="1"/>
        <v>#REF!</v>
      </c>
      <c r="T1600" s="25" t="e">
        <f ca="1"/>
        <v>#REF!</v>
      </c>
      <c r="U1600" s="25" t="e">
        <f ca="1"/>
        <v>#REF!</v>
      </c>
      <c r="V1600" s="25" t="e">
        <f ca="1"/>
        <v>#REF!</v>
      </c>
      <c r="W1600" s="33" t="e">
        <f ca="1"/>
        <v>#REF!</v>
      </c>
      <c r="X1600" s="33" t="e">
        <f ca="1"/>
        <v>#REF!</v>
      </c>
      <c r="Y1600" s="33" t="e">
        <f ca="1"/>
        <v>#REF!</v>
      </c>
      <c r="Z1600" s="33" t="e">
        <f ca="1"/>
        <v>#REF!</v>
      </c>
      <c r="AA1600" s="33" t="e">
        <f ca="1"/>
        <v>#REF!</v>
      </c>
    </row>
    <row r="1601" spans="1:27" s="70" customFormat="1" ht="11.25" x14ac:dyDescent="0.2">
      <c r="A1601" s="24">
        <v>1595</v>
      </c>
      <c r="B1601" s="24"/>
      <c r="C1601" s="25"/>
      <c r="D1601" s="26"/>
      <c r="E1601" s="25"/>
      <c r="F1601" s="25"/>
      <c r="G1601" s="24"/>
      <c r="H1601" s="28" t="e">
        <f ca="1"/>
        <v>#REF!</v>
      </c>
      <c r="I1601" s="27" t="e">
        <f ca="1"/>
        <v>#REF!</v>
      </c>
      <c r="J1601" s="28" t="e">
        <f ca="1"/>
        <v>#REF!</v>
      </c>
      <c r="K1601" s="27" t="e">
        <f ca="1"/>
        <v>#REF!</v>
      </c>
      <c r="L1601" s="25" t="e">
        <f ca="1"/>
        <v>#REF!</v>
      </c>
      <c r="M1601" s="25" t="e">
        <f ca="1"/>
        <v>#REF!</v>
      </c>
      <c r="N1601" s="25" t="e">
        <f ca="1"/>
        <v>#REF!</v>
      </c>
      <c r="O1601" s="25" t="e">
        <f ca="1"/>
        <v>#REF!</v>
      </c>
      <c r="P1601" s="25" t="e">
        <f ca="1"/>
        <v>#REF!</v>
      </c>
      <c r="Q1601" s="25" t="e">
        <f ca="1"/>
        <v>#REF!</v>
      </c>
      <c r="R1601" s="25" t="e">
        <f ca="1"/>
        <v>#REF!</v>
      </c>
      <c r="S1601" s="25" t="e">
        <f ca="1"/>
        <v>#REF!</v>
      </c>
      <c r="T1601" s="25" t="e">
        <f ca="1"/>
        <v>#REF!</v>
      </c>
      <c r="U1601" s="25" t="e">
        <f ca="1"/>
        <v>#REF!</v>
      </c>
      <c r="V1601" s="25" t="e">
        <f ca="1"/>
        <v>#REF!</v>
      </c>
      <c r="W1601" s="33" t="e">
        <f ca="1"/>
        <v>#REF!</v>
      </c>
      <c r="X1601" s="33" t="e">
        <f ca="1"/>
        <v>#REF!</v>
      </c>
      <c r="Y1601" s="33" t="e">
        <f ca="1"/>
        <v>#REF!</v>
      </c>
      <c r="Z1601" s="33" t="e">
        <f ca="1"/>
        <v>#REF!</v>
      </c>
      <c r="AA1601" s="33" t="e">
        <f ca="1"/>
        <v>#REF!</v>
      </c>
    </row>
    <row r="1602" spans="1:27" s="70" customFormat="1" ht="11.25" x14ac:dyDescent="0.2">
      <c r="A1602" s="24">
        <v>1596</v>
      </c>
      <c r="B1602" s="24"/>
      <c r="C1602" s="25"/>
      <c r="D1602" s="26"/>
      <c r="E1602" s="25"/>
      <c r="F1602" s="25"/>
      <c r="G1602" s="24"/>
      <c r="H1602" s="28" t="e">
        <f ca="1"/>
        <v>#REF!</v>
      </c>
      <c r="I1602" s="27" t="e">
        <f ca="1"/>
        <v>#REF!</v>
      </c>
      <c r="J1602" s="28" t="e">
        <f ca="1"/>
        <v>#REF!</v>
      </c>
      <c r="K1602" s="27" t="e">
        <f ca="1"/>
        <v>#REF!</v>
      </c>
      <c r="L1602" s="25" t="e">
        <f ca="1"/>
        <v>#REF!</v>
      </c>
      <c r="M1602" s="25" t="e">
        <f ca="1"/>
        <v>#REF!</v>
      </c>
      <c r="N1602" s="25" t="e">
        <f ca="1"/>
        <v>#REF!</v>
      </c>
      <c r="O1602" s="25" t="e">
        <f ca="1"/>
        <v>#REF!</v>
      </c>
      <c r="P1602" s="25" t="e">
        <f ca="1"/>
        <v>#REF!</v>
      </c>
      <c r="Q1602" s="25" t="e">
        <f ca="1"/>
        <v>#REF!</v>
      </c>
      <c r="R1602" s="25" t="e">
        <f ca="1"/>
        <v>#REF!</v>
      </c>
      <c r="S1602" s="25" t="e">
        <f ca="1"/>
        <v>#REF!</v>
      </c>
      <c r="T1602" s="25" t="e">
        <f ca="1"/>
        <v>#REF!</v>
      </c>
      <c r="U1602" s="25" t="e">
        <f ca="1"/>
        <v>#REF!</v>
      </c>
      <c r="V1602" s="25" t="e">
        <f ca="1"/>
        <v>#REF!</v>
      </c>
      <c r="W1602" s="33" t="e">
        <f ca="1"/>
        <v>#REF!</v>
      </c>
      <c r="X1602" s="33" t="e">
        <f ca="1"/>
        <v>#REF!</v>
      </c>
      <c r="Y1602" s="33" t="e">
        <f ca="1"/>
        <v>#REF!</v>
      </c>
      <c r="Z1602" s="33" t="e">
        <f ca="1"/>
        <v>#REF!</v>
      </c>
      <c r="AA1602" s="33" t="e">
        <f ca="1"/>
        <v>#REF!</v>
      </c>
    </row>
    <row r="1603" spans="1:27" s="70" customFormat="1" ht="11.25" x14ac:dyDescent="0.2">
      <c r="A1603" s="24">
        <v>1597</v>
      </c>
      <c r="B1603" s="24"/>
      <c r="C1603" s="25"/>
      <c r="D1603" s="26"/>
      <c r="E1603" s="25"/>
      <c r="F1603" s="25"/>
      <c r="G1603" s="24"/>
      <c r="H1603" s="28" t="e">
        <f ca="1"/>
        <v>#REF!</v>
      </c>
      <c r="I1603" s="27" t="e">
        <f ca="1"/>
        <v>#REF!</v>
      </c>
      <c r="J1603" s="28" t="e">
        <f ca="1"/>
        <v>#REF!</v>
      </c>
      <c r="K1603" s="27" t="e">
        <f ca="1"/>
        <v>#REF!</v>
      </c>
      <c r="L1603" s="25" t="e">
        <f ca="1"/>
        <v>#REF!</v>
      </c>
      <c r="M1603" s="25" t="e">
        <f ca="1"/>
        <v>#REF!</v>
      </c>
      <c r="N1603" s="25" t="e">
        <f ca="1"/>
        <v>#REF!</v>
      </c>
      <c r="O1603" s="25" t="e">
        <f ca="1"/>
        <v>#REF!</v>
      </c>
      <c r="P1603" s="25" t="e">
        <f ca="1"/>
        <v>#REF!</v>
      </c>
      <c r="Q1603" s="25" t="e">
        <f ca="1"/>
        <v>#REF!</v>
      </c>
      <c r="R1603" s="25" t="e">
        <f ca="1"/>
        <v>#REF!</v>
      </c>
      <c r="S1603" s="25" t="e">
        <f ca="1"/>
        <v>#REF!</v>
      </c>
      <c r="T1603" s="25" t="e">
        <f ca="1"/>
        <v>#REF!</v>
      </c>
      <c r="U1603" s="25" t="e">
        <f ca="1"/>
        <v>#REF!</v>
      </c>
      <c r="V1603" s="25" t="e">
        <f ca="1"/>
        <v>#REF!</v>
      </c>
      <c r="W1603" s="33" t="e">
        <f ca="1"/>
        <v>#REF!</v>
      </c>
      <c r="X1603" s="33" t="e">
        <f ca="1"/>
        <v>#REF!</v>
      </c>
      <c r="Y1603" s="33" t="e">
        <f ca="1"/>
        <v>#REF!</v>
      </c>
      <c r="Z1603" s="33" t="e">
        <f ca="1"/>
        <v>#REF!</v>
      </c>
      <c r="AA1603" s="33" t="e">
        <f ca="1"/>
        <v>#REF!</v>
      </c>
    </row>
    <row r="1604" spans="1:27" s="70" customFormat="1" ht="11.25" x14ac:dyDescent="0.2">
      <c r="A1604" s="24">
        <v>1598</v>
      </c>
      <c r="B1604" s="24"/>
      <c r="C1604" s="25"/>
      <c r="D1604" s="26"/>
      <c r="E1604" s="25"/>
      <c r="F1604" s="25"/>
      <c r="G1604" s="24"/>
      <c r="H1604" s="28" t="e">
        <f ca="1"/>
        <v>#REF!</v>
      </c>
      <c r="I1604" s="27" t="e">
        <f ca="1"/>
        <v>#REF!</v>
      </c>
      <c r="J1604" s="28" t="e">
        <f ca="1"/>
        <v>#REF!</v>
      </c>
      <c r="K1604" s="27" t="e">
        <f ca="1"/>
        <v>#REF!</v>
      </c>
      <c r="L1604" s="25" t="e">
        <f ca="1"/>
        <v>#REF!</v>
      </c>
      <c r="M1604" s="25" t="e">
        <f ca="1"/>
        <v>#REF!</v>
      </c>
      <c r="N1604" s="25" t="e">
        <f ca="1"/>
        <v>#REF!</v>
      </c>
      <c r="O1604" s="25" t="e">
        <f ca="1"/>
        <v>#REF!</v>
      </c>
      <c r="P1604" s="25" t="e">
        <f ca="1"/>
        <v>#REF!</v>
      </c>
      <c r="Q1604" s="25" t="e">
        <f ca="1"/>
        <v>#REF!</v>
      </c>
      <c r="R1604" s="25" t="e">
        <f ca="1"/>
        <v>#REF!</v>
      </c>
      <c r="S1604" s="25" t="e">
        <f ca="1"/>
        <v>#REF!</v>
      </c>
      <c r="T1604" s="25" t="e">
        <f ca="1"/>
        <v>#REF!</v>
      </c>
      <c r="U1604" s="25" t="e">
        <f ca="1"/>
        <v>#REF!</v>
      </c>
      <c r="V1604" s="25" t="e">
        <f ca="1"/>
        <v>#REF!</v>
      </c>
      <c r="W1604" s="33" t="e">
        <f ca="1"/>
        <v>#REF!</v>
      </c>
      <c r="X1604" s="33" t="e">
        <f ca="1"/>
        <v>#REF!</v>
      </c>
      <c r="Y1604" s="33" t="e">
        <f ca="1"/>
        <v>#REF!</v>
      </c>
      <c r="Z1604" s="33" t="e">
        <f ca="1"/>
        <v>#REF!</v>
      </c>
      <c r="AA1604" s="33" t="e">
        <f ca="1"/>
        <v>#REF!</v>
      </c>
    </row>
    <row r="1605" spans="1:27" s="70" customFormat="1" ht="11.25" x14ac:dyDescent="0.2">
      <c r="A1605" s="24">
        <v>1599</v>
      </c>
      <c r="B1605" s="24"/>
      <c r="C1605" s="25"/>
      <c r="D1605" s="26"/>
      <c r="E1605" s="25"/>
      <c r="F1605" s="25"/>
      <c r="G1605" s="24"/>
      <c r="H1605" s="28" t="e">
        <f ca="1"/>
        <v>#REF!</v>
      </c>
      <c r="I1605" s="27" t="e">
        <f ca="1"/>
        <v>#REF!</v>
      </c>
      <c r="J1605" s="28" t="e">
        <f ca="1"/>
        <v>#REF!</v>
      </c>
      <c r="K1605" s="27" t="e">
        <f ca="1"/>
        <v>#REF!</v>
      </c>
      <c r="L1605" s="25" t="e">
        <f ca="1"/>
        <v>#REF!</v>
      </c>
      <c r="M1605" s="25" t="e">
        <f ca="1"/>
        <v>#REF!</v>
      </c>
      <c r="N1605" s="25" t="e">
        <f ca="1"/>
        <v>#REF!</v>
      </c>
      <c r="O1605" s="25" t="e">
        <f ca="1"/>
        <v>#REF!</v>
      </c>
      <c r="P1605" s="25" t="e">
        <f ca="1"/>
        <v>#REF!</v>
      </c>
      <c r="Q1605" s="25" t="e">
        <f ca="1"/>
        <v>#REF!</v>
      </c>
      <c r="R1605" s="25" t="e">
        <f ca="1"/>
        <v>#REF!</v>
      </c>
      <c r="S1605" s="25" t="e">
        <f ca="1"/>
        <v>#REF!</v>
      </c>
      <c r="T1605" s="25" t="e">
        <f ca="1"/>
        <v>#REF!</v>
      </c>
      <c r="U1605" s="25" t="e">
        <f ca="1"/>
        <v>#REF!</v>
      </c>
      <c r="V1605" s="25" t="e">
        <f ca="1"/>
        <v>#REF!</v>
      </c>
      <c r="W1605" s="33" t="e">
        <f ca="1"/>
        <v>#REF!</v>
      </c>
      <c r="X1605" s="33" t="e">
        <f ca="1"/>
        <v>#REF!</v>
      </c>
      <c r="Y1605" s="33" t="e">
        <f ca="1"/>
        <v>#REF!</v>
      </c>
      <c r="Z1605" s="33" t="e">
        <f ca="1"/>
        <v>#REF!</v>
      </c>
      <c r="AA1605" s="33" t="e">
        <f ca="1"/>
        <v>#REF!</v>
      </c>
    </row>
    <row r="1606" spans="1:27" s="70" customFormat="1" ht="11.25" x14ac:dyDescent="0.2">
      <c r="A1606" s="24">
        <v>1600</v>
      </c>
      <c r="B1606" s="24"/>
      <c r="C1606" s="25"/>
      <c r="D1606" s="26"/>
      <c r="E1606" s="25"/>
      <c r="F1606" s="25"/>
      <c r="G1606" s="24"/>
      <c r="H1606" s="28" t="e">
        <f ca="1"/>
        <v>#REF!</v>
      </c>
      <c r="I1606" s="27" t="e">
        <f ca="1"/>
        <v>#REF!</v>
      </c>
      <c r="J1606" s="28" t="e">
        <f ca="1"/>
        <v>#REF!</v>
      </c>
      <c r="K1606" s="27" t="e">
        <f ca="1"/>
        <v>#REF!</v>
      </c>
      <c r="L1606" s="25" t="e">
        <f ca="1"/>
        <v>#REF!</v>
      </c>
      <c r="M1606" s="25" t="e">
        <f ca="1"/>
        <v>#REF!</v>
      </c>
      <c r="N1606" s="25" t="e">
        <f ca="1"/>
        <v>#REF!</v>
      </c>
      <c r="O1606" s="25" t="e">
        <f ca="1"/>
        <v>#REF!</v>
      </c>
      <c r="P1606" s="25" t="e">
        <f ca="1"/>
        <v>#REF!</v>
      </c>
      <c r="Q1606" s="25" t="e">
        <f ca="1"/>
        <v>#REF!</v>
      </c>
      <c r="R1606" s="25" t="e">
        <f ca="1"/>
        <v>#REF!</v>
      </c>
      <c r="S1606" s="25" t="e">
        <f ca="1"/>
        <v>#REF!</v>
      </c>
      <c r="T1606" s="25" t="e">
        <f ca="1"/>
        <v>#REF!</v>
      </c>
      <c r="U1606" s="25" t="e">
        <f ca="1"/>
        <v>#REF!</v>
      </c>
      <c r="V1606" s="25" t="e">
        <f ca="1"/>
        <v>#REF!</v>
      </c>
      <c r="W1606" s="33" t="e">
        <f ca="1"/>
        <v>#REF!</v>
      </c>
      <c r="X1606" s="33" t="e">
        <f ca="1"/>
        <v>#REF!</v>
      </c>
      <c r="Y1606" s="33" t="e">
        <f ca="1"/>
        <v>#REF!</v>
      </c>
      <c r="Z1606" s="33" t="e">
        <f ca="1"/>
        <v>#REF!</v>
      </c>
      <c r="AA1606" s="33" t="e">
        <f ca="1"/>
        <v>#REF!</v>
      </c>
    </row>
    <row r="1607" spans="1:27" s="70" customFormat="1" ht="11.25" x14ac:dyDescent="0.2">
      <c r="A1607" s="24">
        <v>1601</v>
      </c>
      <c r="B1607" s="24"/>
      <c r="C1607" s="25"/>
      <c r="D1607" s="26"/>
      <c r="E1607" s="25"/>
      <c r="F1607" s="25"/>
      <c r="G1607" s="24"/>
      <c r="H1607" s="28" t="e">
        <f ca="1"/>
        <v>#REF!</v>
      </c>
      <c r="I1607" s="27" t="e">
        <f ca="1"/>
        <v>#REF!</v>
      </c>
      <c r="J1607" s="28" t="e">
        <f ca="1"/>
        <v>#REF!</v>
      </c>
      <c r="K1607" s="27" t="e">
        <f ca="1"/>
        <v>#REF!</v>
      </c>
      <c r="L1607" s="25" t="e">
        <f ca="1"/>
        <v>#REF!</v>
      </c>
      <c r="M1607" s="25" t="e">
        <f ca="1"/>
        <v>#REF!</v>
      </c>
      <c r="N1607" s="25" t="e">
        <f ca="1"/>
        <v>#REF!</v>
      </c>
      <c r="O1607" s="25" t="e">
        <f ca="1"/>
        <v>#REF!</v>
      </c>
      <c r="P1607" s="25" t="e">
        <f ca="1"/>
        <v>#REF!</v>
      </c>
      <c r="Q1607" s="25" t="e">
        <f ca="1"/>
        <v>#REF!</v>
      </c>
      <c r="R1607" s="25" t="e">
        <f ca="1"/>
        <v>#REF!</v>
      </c>
      <c r="S1607" s="25" t="e">
        <f ca="1"/>
        <v>#REF!</v>
      </c>
      <c r="T1607" s="25" t="e">
        <f ca="1"/>
        <v>#REF!</v>
      </c>
      <c r="U1607" s="25" t="e">
        <f ca="1"/>
        <v>#REF!</v>
      </c>
      <c r="V1607" s="25" t="e">
        <f ca="1"/>
        <v>#REF!</v>
      </c>
      <c r="W1607" s="33" t="e">
        <f ca="1"/>
        <v>#REF!</v>
      </c>
      <c r="X1607" s="33" t="e">
        <f ca="1"/>
        <v>#REF!</v>
      </c>
      <c r="Y1607" s="33" t="e">
        <f ca="1"/>
        <v>#REF!</v>
      </c>
      <c r="Z1607" s="33" t="e">
        <f ca="1"/>
        <v>#REF!</v>
      </c>
      <c r="AA1607" s="33" t="e">
        <f ca="1"/>
        <v>#REF!</v>
      </c>
    </row>
    <row r="1608" spans="1:27" s="70" customFormat="1" ht="11.25" x14ac:dyDescent="0.2">
      <c r="A1608" s="24">
        <v>1602</v>
      </c>
      <c r="B1608" s="24"/>
      <c r="C1608" s="25"/>
      <c r="D1608" s="26"/>
      <c r="E1608" s="25"/>
      <c r="F1608" s="25"/>
      <c r="G1608" s="24"/>
      <c r="H1608" s="28" t="e">
        <f ca="1"/>
        <v>#REF!</v>
      </c>
      <c r="I1608" s="27" t="e">
        <f ca="1"/>
        <v>#REF!</v>
      </c>
      <c r="J1608" s="28" t="e">
        <f ca="1"/>
        <v>#REF!</v>
      </c>
      <c r="K1608" s="27" t="e">
        <f ca="1"/>
        <v>#REF!</v>
      </c>
      <c r="L1608" s="25" t="e">
        <f ca="1"/>
        <v>#REF!</v>
      </c>
      <c r="M1608" s="25" t="e">
        <f ca="1"/>
        <v>#REF!</v>
      </c>
      <c r="N1608" s="25" t="e">
        <f ca="1"/>
        <v>#REF!</v>
      </c>
      <c r="O1608" s="25" t="e">
        <f ca="1"/>
        <v>#REF!</v>
      </c>
      <c r="P1608" s="25" t="e">
        <f ca="1"/>
        <v>#REF!</v>
      </c>
      <c r="Q1608" s="25" t="e">
        <f ca="1"/>
        <v>#REF!</v>
      </c>
      <c r="R1608" s="25" t="e">
        <f ca="1"/>
        <v>#REF!</v>
      </c>
      <c r="S1608" s="25" t="e">
        <f ca="1"/>
        <v>#REF!</v>
      </c>
      <c r="T1608" s="25" t="e">
        <f ca="1"/>
        <v>#REF!</v>
      </c>
      <c r="U1608" s="25" t="e">
        <f ca="1"/>
        <v>#REF!</v>
      </c>
      <c r="V1608" s="25" t="e">
        <f ca="1"/>
        <v>#REF!</v>
      </c>
      <c r="W1608" s="33" t="e">
        <f ca="1"/>
        <v>#REF!</v>
      </c>
      <c r="X1608" s="33" t="e">
        <f ca="1"/>
        <v>#REF!</v>
      </c>
      <c r="Y1608" s="33" t="e">
        <f ca="1"/>
        <v>#REF!</v>
      </c>
      <c r="Z1608" s="33" t="e">
        <f ca="1"/>
        <v>#REF!</v>
      </c>
      <c r="AA1608" s="33" t="e">
        <f ca="1"/>
        <v>#REF!</v>
      </c>
    </row>
    <row r="1609" spans="1:27" s="70" customFormat="1" ht="11.25" x14ac:dyDescent="0.2">
      <c r="A1609" s="24">
        <v>1603</v>
      </c>
      <c r="B1609" s="24"/>
      <c r="C1609" s="25"/>
      <c r="D1609" s="26"/>
      <c r="E1609" s="25"/>
      <c r="F1609" s="25"/>
      <c r="G1609" s="24"/>
      <c r="H1609" s="28" t="e">
        <f ca="1"/>
        <v>#REF!</v>
      </c>
      <c r="I1609" s="27" t="e">
        <f ca="1"/>
        <v>#REF!</v>
      </c>
      <c r="J1609" s="28" t="e">
        <f ca="1"/>
        <v>#REF!</v>
      </c>
      <c r="K1609" s="27" t="e">
        <f ca="1"/>
        <v>#REF!</v>
      </c>
      <c r="L1609" s="25" t="e">
        <f ca="1"/>
        <v>#REF!</v>
      </c>
      <c r="M1609" s="25" t="e">
        <f ca="1"/>
        <v>#REF!</v>
      </c>
      <c r="N1609" s="25" t="e">
        <f ca="1"/>
        <v>#REF!</v>
      </c>
      <c r="O1609" s="25" t="e">
        <f ca="1"/>
        <v>#REF!</v>
      </c>
      <c r="P1609" s="25" t="e">
        <f ca="1"/>
        <v>#REF!</v>
      </c>
      <c r="Q1609" s="25" t="e">
        <f ca="1"/>
        <v>#REF!</v>
      </c>
      <c r="R1609" s="25" t="e">
        <f ca="1"/>
        <v>#REF!</v>
      </c>
      <c r="S1609" s="25" t="e">
        <f ca="1"/>
        <v>#REF!</v>
      </c>
      <c r="T1609" s="25" t="e">
        <f ca="1"/>
        <v>#REF!</v>
      </c>
      <c r="U1609" s="25" t="e">
        <f ca="1"/>
        <v>#REF!</v>
      </c>
      <c r="V1609" s="25" t="e">
        <f ca="1"/>
        <v>#REF!</v>
      </c>
      <c r="W1609" s="33" t="e">
        <f ca="1"/>
        <v>#REF!</v>
      </c>
      <c r="X1609" s="33" t="e">
        <f ca="1"/>
        <v>#REF!</v>
      </c>
      <c r="Y1609" s="33" t="e">
        <f ca="1"/>
        <v>#REF!</v>
      </c>
      <c r="Z1609" s="33" t="e">
        <f ca="1"/>
        <v>#REF!</v>
      </c>
      <c r="AA1609" s="33" t="e">
        <f ca="1"/>
        <v>#REF!</v>
      </c>
    </row>
    <row r="1610" spans="1:27" s="70" customFormat="1" ht="11.25" x14ac:dyDescent="0.2">
      <c r="A1610" s="24">
        <v>1604</v>
      </c>
      <c r="B1610" s="24"/>
      <c r="C1610" s="25"/>
      <c r="D1610" s="26"/>
      <c r="E1610" s="25"/>
      <c r="F1610" s="25"/>
      <c r="G1610" s="24"/>
      <c r="H1610" s="28" t="e">
        <f ca="1"/>
        <v>#REF!</v>
      </c>
      <c r="I1610" s="27" t="e">
        <f ca="1"/>
        <v>#REF!</v>
      </c>
      <c r="J1610" s="28" t="e">
        <f ca="1"/>
        <v>#REF!</v>
      </c>
      <c r="K1610" s="27" t="e">
        <f ca="1"/>
        <v>#REF!</v>
      </c>
      <c r="L1610" s="25" t="e">
        <f ca="1"/>
        <v>#REF!</v>
      </c>
      <c r="M1610" s="25" t="e">
        <f ca="1"/>
        <v>#REF!</v>
      </c>
      <c r="N1610" s="25" t="e">
        <f ca="1"/>
        <v>#REF!</v>
      </c>
      <c r="O1610" s="25" t="e">
        <f ca="1"/>
        <v>#REF!</v>
      </c>
      <c r="P1610" s="25" t="e">
        <f ca="1"/>
        <v>#REF!</v>
      </c>
      <c r="Q1610" s="25" t="e">
        <f ca="1"/>
        <v>#REF!</v>
      </c>
      <c r="R1610" s="25" t="e">
        <f ca="1"/>
        <v>#REF!</v>
      </c>
      <c r="S1610" s="25" t="e">
        <f ca="1"/>
        <v>#REF!</v>
      </c>
      <c r="T1610" s="25" t="e">
        <f ca="1"/>
        <v>#REF!</v>
      </c>
      <c r="U1610" s="25" t="e">
        <f ca="1"/>
        <v>#REF!</v>
      </c>
      <c r="V1610" s="25" t="e">
        <f ca="1"/>
        <v>#REF!</v>
      </c>
      <c r="W1610" s="33" t="e">
        <f ca="1"/>
        <v>#REF!</v>
      </c>
      <c r="X1610" s="33" t="e">
        <f ca="1"/>
        <v>#REF!</v>
      </c>
      <c r="Y1610" s="33" t="e">
        <f ca="1"/>
        <v>#REF!</v>
      </c>
      <c r="Z1610" s="33" t="e">
        <f ca="1"/>
        <v>#REF!</v>
      </c>
      <c r="AA1610" s="33" t="e">
        <f ca="1"/>
        <v>#REF!</v>
      </c>
    </row>
    <row r="1611" spans="1:27" s="70" customFormat="1" ht="11.25" x14ac:dyDescent="0.2">
      <c r="A1611" s="24">
        <v>1605</v>
      </c>
      <c r="B1611" s="24"/>
      <c r="C1611" s="25"/>
      <c r="D1611" s="26"/>
      <c r="E1611" s="25"/>
      <c r="F1611" s="25"/>
      <c r="G1611" s="24"/>
      <c r="H1611" s="28" t="e">
        <f ca="1"/>
        <v>#REF!</v>
      </c>
      <c r="I1611" s="27" t="e">
        <f ca="1"/>
        <v>#REF!</v>
      </c>
      <c r="J1611" s="28" t="e">
        <f ca="1"/>
        <v>#REF!</v>
      </c>
      <c r="K1611" s="27" t="e">
        <f ca="1"/>
        <v>#REF!</v>
      </c>
      <c r="L1611" s="25" t="e">
        <f ca="1"/>
        <v>#REF!</v>
      </c>
      <c r="M1611" s="25" t="e">
        <f ca="1"/>
        <v>#REF!</v>
      </c>
      <c r="N1611" s="25" t="e">
        <f ca="1"/>
        <v>#REF!</v>
      </c>
      <c r="O1611" s="25" t="e">
        <f ca="1"/>
        <v>#REF!</v>
      </c>
      <c r="P1611" s="25" t="e">
        <f ca="1"/>
        <v>#REF!</v>
      </c>
      <c r="Q1611" s="25" t="e">
        <f ca="1"/>
        <v>#REF!</v>
      </c>
      <c r="R1611" s="25" t="e">
        <f ca="1"/>
        <v>#REF!</v>
      </c>
      <c r="S1611" s="25" t="e">
        <f ca="1"/>
        <v>#REF!</v>
      </c>
      <c r="T1611" s="25" t="e">
        <f ca="1"/>
        <v>#REF!</v>
      </c>
      <c r="U1611" s="25" t="e">
        <f ca="1"/>
        <v>#REF!</v>
      </c>
      <c r="V1611" s="25" t="e">
        <f ca="1"/>
        <v>#REF!</v>
      </c>
      <c r="W1611" s="33" t="e">
        <f ca="1"/>
        <v>#REF!</v>
      </c>
      <c r="X1611" s="33" t="e">
        <f ca="1"/>
        <v>#REF!</v>
      </c>
      <c r="Y1611" s="33" t="e">
        <f ca="1"/>
        <v>#REF!</v>
      </c>
      <c r="Z1611" s="33" t="e">
        <f ca="1"/>
        <v>#REF!</v>
      </c>
      <c r="AA1611" s="33" t="e">
        <f ca="1"/>
        <v>#REF!</v>
      </c>
    </row>
    <row r="1612" spans="1:27" s="70" customFormat="1" ht="11.25" x14ac:dyDescent="0.2">
      <c r="A1612" s="24">
        <v>1606</v>
      </c>
      <c r="B1612" s="24"/>
      <c r="C1612" s="25"/>
      <c r="D1612" s="26"/>
      <c r="E1612" s="25"/>
      <c r="F1612" s="25"/>
      <c r="G1612" s="24"/>
      <c r="H1612" s="28" t="e">
        <f ca="1"/>
        <v>#REF!</v>
      </c>
      <c r="I1612" s="27" t="e">
        <f ca="1"/>
        <v>#REF!</v>
      </c>
      <c r="J1612" s="28" t="e">
        <f ca="1"/>
        <v>#REF!</v>
      </c>
      <c r="K1612" s="27" t="e">
        <f ca="1"/>
        <v>#REF!</v>
      </c>
      <c r="L1612" s="25" t="e">
        <f ca="1"/>
        <v>#REF!</v>
      </c>
      <c r="M1612" s="25" t="e">
        <f ca="1"/>
        <v>#REF!</v>
      </c>
      <c r="N1612" s="25" t="e">
        <f ca="1"/>
        <v>#REF!</v>
      </c>
      <c r="O1612" s="25" t="e">
        <f ca="1"/>
        <v>#REF!</v>
      </c>
      <c r="P1612" s="25" t="e">
        <f ca="1"/>
        <v>#REF!</v>
      </c>
      <c r="Q1612" s="25" t="e">
        <f ca="1"/>
        <v>#REF!</v>
      </c>
      <c r="R1612" s="25" t="e">
        <f ca="1"/>
        <v>#REF!</v>
      </c>
      <c r="S1612" s="25" t="e">
        <f ca="1"/>
        <v>#REF!</v>
      </c>
      <c r="T1612" s="25" t="e">
        <f ca="1"/>
        <v>#REF!</v>
      </c>
      <c r="U1612" s="25" t="e">
        <f ca="1"/>
        <v>#REF!</v>
      </c>
      <c r="V1612" s="25" t="e">
        <f ca="1"/>
        <v>#REF!</v>
      </c>
      <c r="W1612" s="33" t="e">
        <f ca="1"/>
        <v>#REF!</v>
      </c>
      <c r="X1612" s="33" t="e">
        <f ca="1"/>
        <v>#REF!</v>
      </c>
      <c r="Y1612" s="33" t="e">
        <f ca="1"/>
        <v>#REF!</v>
      </c>
      <c r="Z1612" s="33" t="e">
        <f ca="1"/>
        <v>#REF!</v>
      </c>
      <c r="AA1612" s="33" t="e">
        <f ca="1"/>
        <v>#REF!</v>
      </c>
    </row>
    <row r="1613" spans="1:27" s="70" customFormat="1" ht="11.25" x14ac:dyDescent="0.2">
      <c r="A1613" s="24">
        <v>1607</v>
      </c>
      <c r="B1613" s="24"/>
      <c r="C1613" s="25"/>
      <c r="D1613" s="26"/>
      <c r="E1613" s="25"/>
      <c r="F1613" s="25"/>
      <c r="G1613" s="24"/>
      <c r="H1613" s="28" t="e">
        <f ca="1"/>
        <v>#REF!</v>
      </c>
      <c r="I1613" s="27" t="e">
        <f ca="1"/>
        <v>#REF!</v>
      </c>
      <c r="J1613" s="28" t="e">
        <f ca="1"/>
        <v>#REF!</v>
      </c>
      <c r="K1613" s="27" t="e">
        <f ca="1"/>
        <v>#REF!</v>
      </c>
      <c r="L1613" s="25" t="e">
        <f ca="1"/>
        <v>#REF!</v>
      </c>
      <c r="M1613" s="25" t="e">
        <f ca="1"/>
        <v>#REF!</v>
      </c>
      <c r="N1613" s="25" t="e">
        <f ca="1"/>
        <v>#REF!</v>
      </c>
      <c r="O1613" s="25" t="e">
        <f ca="1"/>
        <v>#REF!</v>
      </c>
      <c r="P1613" s="25" t="e">
        <f ca="1"/>
        <v>#REF!</v>
      </c>
      <c r="Q1613" s="25" t="e">
        <f ca="1"/>
        <v>#REF!</v>
      </c>
      <c r="R1613" s="25" t="e">
        <f ca="1"/>
        <v>#REF!</v>
      </c>
      <c r="S1613" s="25" t="e">
        <f ca="1"/>
        <v>#REF!</v>
      </c>
      <c r="T1613" s="25" t="e">
        <f ca="1"/>
        <v>#REF!</v>
      </c>
      <c r="U1613" s="25" t="e">
        <f ca="1"/>
        <v>#REF!</v>
      </c>
      <c r="V1613" s="25" t="e">
        <f ca="1"/>
        <v>#REF!</v>
      </c>
      <c r="W1613" s="33" t="e">
        <f ca="1"/>
        <v>#REF!</v>
      </c>
      <c r="X1613" s="33" t="e">
        <f ca="1"/>
        <v>#REF!</v>
      </c>
      <c r="Y1613" s="33" t="e">
        <f ca="1"/>
        <v>#REF!</v>
      </c>
      <c r="Z1613" s="33" t="e">
        <f ca="1"/>
        <v>#REF!</v>
      </c>
      <c r="AA1613" s="33" t="e">
        <f ca="1"/>
        <v>#REF!</v>
      </c>
    </row>
    <row r="1614" spans="1:27" s="70" customFormat="1" ht="11.25" x14ac:dyDescent="0.2">
      <c r="A1614" s="24">
        <v>1608</v>
      </c>
      <c r="B1614" s="24"/>
      <c r="C1614" s="25"/>
      <c r="D1614" s="26"/>
      <c r="E1614" s="25"/>
      <c r="F1614" s="25"/>
      <c r="G1614" s="24"/>
      <c r="H1614" s="28" t="e">
        <f ca="1"/>
        <v>#REF!</v>
      </c>
      <c r="I1614" s="27" t="e">
        <f ca="1"/>
        <v>#REF!</v>
      </c>
      <c r="J1614" s="28" t="e">
        <f ca="1"/>
        <v>#REF!</v>
      </c>
      <c r="K1614" s="27" t="e">
        <f ca="1"/>
        <v>#REF!</v>
      </c>
      <c r="L1614" s="25" t="e">
        <f ca="1"/>
        <v>#REF!</v>
      </c>
      <c r="M1614" s="25" t="e">
        <f ca="1"/>
        <v>#REF!</v>
      </c>
      <c r="N1614" s="25" t="e">
        <f ca="1"/>
        <v>#REF!</v>
      </c>
      <c r="O1614" s="25" t="e">
        <f ca="1"/>
        <v>#REF!</v>
      </c>
      <c r="P1614" s="25" t="e">
        <f ca="1"/>
        <v>#REF!</v>
      </c>
      <c r="Q1614" s="25" t="e">
        <f ca="1"/>
        <v>#REF!</v>
      </c>
      <c r="R1614" s="25" t="e">
        <f ca="1"/>
        <v>#REF!</v>
      </c>
      <c r="S1614" s="25" t="e">
        <f ca="1"/>
        <v>#REF!</v>
      </c>
      <c r="T1614" s="25" t="e">
        <f ca="1"/>
        <v>#REF!</v>
      </c>
      <c r="U1614" s="25" t="e">
        <f ca="1"/>
        <v>#REF!</v>
      </c>
      <c r="V1614" s="25" t="e">
        <f ca="1"/>
        <v>#REF!</v>
      </c>
      <c r="W1614" s="33" t="e">
        <f ca="1"/>
        <v>#REF!</v>
      </c>
      <c r="X1614" s="33" t="e">
        <f ca="1"/>
        <v>#REF!</v>
      </c>
      <c r="Y1614" s="33" t="e">
        <f ca="1"/>
        <v>#REF!</v>
      </c>
      <c r="Z1614" s="33" t="e">
        <f ca="1"/>
        <v>#REF!</v>
      </c>
      <c r="AA1614" s="33" t="e">
        <f ca="1"/>
        <v>#REF!</v>
      </c>
    </row>
    <row r="1615" spans="1:27" s="70" customFormat="1" ht="11.25" x14ac:dyDescent="0.2">
      <c r="A1615" s="24">
        <v>1609</v>
      </c>
      <c r="B1615" s="24"/>
      <c r="C1615" s="25"/>
      <c r="D1615" s="26"/>
      <c r="E1615" s="25"/>
      <c r="F1615" s="25"/>
      <c r="G1615" s="24"/>
      <c r="H1615" s="28" t="e">
        <f ca="1"/>
        <v>#REF!</v>
      </c>
      <c r="I1615" s="27" t="e">
        <f ca="1"/>
        <v>#REF!</v>
      </c>
      <c r="J1615" s="28" t="e">
        <f ca="1"/>
        <v>#REF!</v>
      </c>
      <c r="K1615" s="27" t="e">
        <f ca="1"/>
        <v>#REF!</v>
      </c>
      <c r="L1615" s="25" t="e">
        <f ca="1"/>
        <v>#REF!</v>
      </c>
      <c r="M1615" s="25" t="e">
        <f ca="1"/>
        <v>#REF!</v>
      </c>
      <c r="N1615" s="25" t="e">
        <f ca="1"/>
        <v>#REF!</v>
      </c>
      <c r="O1615" s="25" t="e">
        <f ca="1"/>
        <v>#REF!</v>
      </c>
      <c r="P1615" s="25" t="e">
        <f ca="1"/>
        <v>#REF!</v>
      </c>
      <c r="Q1615" s="25" t="e">
        <f ca="1"/>
        <v>#REF!</v>
      </c>
      <c r="R1615" s="25" t="e">
        <f ca="1"/>
        <v>#REF!</v>
      </c>
      <c r="S1615" s="25" t="e">
        <f ca="1"/>
        <v>#REF!</v>
      </c>
      <c r="T1615" s="25" t="e">
        <f ca="1"/>
        <v>#REF!</v>
      </c>
      <c r="U1615" s="25" t="e">
        <f ca="1"/>
        <v>#REF!</v>
      </c>
      <c r="V1615" s="25" t="e">
        <f ca="1"/>
        <v>#REF!</v>
      </c>
      <c r="W1615" s="33" t="e">
        <f ca="1"/>
        <v>#REF!</v>
      </c>
      <c r="X1615" s="33" t="e">
        <f ca="1"/>
        <v>#REF!</v>
      </c>
      <c r="Y1615" s="33" t="e">
        <f ca="1"/>
        <v>#REF!</v>
      </c>
      <c r="Z1615" s="33" t="e">
        <f ca="1"/>
        <v>#REF!</v>
      </c>
      <c r="AA1615" s="33" t="e">
        <f ca="1"/>
        <v>#REF!</v>
      </c>
    </row>
    <row r="1616" spans="1:27" s="70" customFormat="1" ht="11.25" x14ac:dyDescent="0.2">
      <c r="A1616" s="24">
        <v>1610</v>
      </c>
      <c r="B1616" s="24"/>
      <c r="C1616" s="25"/>
      <c r="D1616" s="26"/>
      <c r="E1616" s="25"/>
      <c r="F1616" s="25"/>
      <c r="G1616" s="24"/>
      <c r="H1616" s="28" t="e">
        <f ca="1"/>
        <v>#REF!</v>
      </c>
      <c r="I1616" s="27" t="e">
        <f ca="1"/>
        <v>#REF!</v>
      </c>
      <c r="J1616" s="28" t="e">
        <f ca="1"/>
        <v>#REF!</v>
      </c>
      <c r="K1616" s="27" t="e">
        <f ca="1"/>
        <v>#REF!</v>
      </c>
      <c r="L1616" s="25" t="e">
        <f ca="1"/>
        <v>#REF!</v>
      </c>
      <c r="M1616" s="25" t="e">
        <f ca="1"/>
        <v>#REF!</v>
      </c>
      <c r="N1616" s="25" t="e">
        <f ca="1"/>
        <v>#REF!</v>
      </c>
      <c r="O1616" s="25" t="e">
        <f ca="1"/>
        <v>#REF!</v>
      </c>
      <c r="P1616" s="25" t="e">
        <f ca="1"/>
        <v>#REF!</v>
      </c>
      <c r="Q1616" s="25" t="e">
        <f ca="1"/>
        <v>#REF!</v>
      </c>
      <c r="R1616" s="25" t="e">
        <f ca="1"/>
        <v>#REF!</v>
      </c>
      <c r="S1616" s="25" t="e">
        <f ca="1"/>
        <v>#REF!</v>
      </c>
      <c r="T1616" s="25" t="e">
        <f ca="1"/>
        <v>#REF!</v>
      </c>
      <c r="U1616" s="25" t="e">
        <f ca="1"/>
        <v>#REF!</v>
      </c>
      <c r="V1616" s="25" t="e">
        <f ca="1"/>
        <v>#REF!</v>
      </c>
      <c r="W1616" s="33" t="e">
        <f ca="1"/>
        <v>#REF!</v>
      </c>
      <c r="X1616" s="33" t="e">
        <f ca="1"/>
        <v>#REF!</v>
      </c>
      <c r="Y1616" s="33" t="e">
        <f ca="1"/>
        <v>#REF!</v>
      </c>
      <c r="Z1616" s="33" t="e">
        <f ca="1"/>
        <v>#REF!</v>
      </c>
      <c r="AA1616" s="33" t="e">
        <f ca="1"/>
        <v>#REF!</v>
      </c>
    </row>
    <row r="1617" spans="1:27" s="70" customFormat="1" ht="11.25" x14ac:dyDescent="0.2">
      <c r="A1617" s="24">
        <v>1611</v>
      </c>
      <c r="B1617" s="24"/>
      <c r="C1617" s="25"/>
      <c r="D1617" s="26"/>
      <c r="E1617" s="25"/>
      <c r="F1617" s="25"/>
      <c r="G1617" s="24"/>
      <c r="H1617" s="28" t="e">
        <f ca="1"/>
        <v>#REF!</v>
      </c>
      <c r="I1617" s="27" t="e">
        <f ca="1"/>
        <v>#REF!</v>
      </c>
      <c r="J1617" s="28" t="e">
        <f ca="1"/>
        <v>#REF!</v>
      </c>
      <c r="K1617" s="27" t="e">
        <f ca="1"/>
        <v>#REF!</v>
      </c>
      <c r="L1617" s="25" t="e">
        <f ca="1"/>
        <v>#REF!</v>
      </c>
      <c r="M1617" s="25" t="e">
        <f ca="1"/>
        <v>#REF!</v>
      </c>
      <c r="N1617" s="25" t="e">
        <f ca="1"/>
        <v>#REF!</v>
      </c>
      <c r="O1617" s="25" t="e">
        <f ca="1"/>
        <v>#REF!</v>
      </c>
      <c r="P1617" s="25" t="e">
        <f ca="1"/>
        <v>#REF!</v>
      </c>
      <c r="Q1617" s="25" t="e">
        <f ca="1"/>
        <v>#REF!</v>
      </c>
      <c r="R1617" s="25" t="e">
        <f ca="1"/>
        <v>#REF!</v>
      </c>
      <c r="S1617" s="25" t="e">
        <f ca="1"/>
        <v>#REF!</v>
      </c>
      <c r="T1617" s="25" t="e">
        <f ca="1"/>
        <v>#REF!</v>
      </c>
      <c r="U1617" s="25" t="e">
        <f ca="1"/>
        <v>#REF!</v>
      </c>
      <c r="V1617" s="25" t="e">
        <f ca="1"/>
        <v>#REF!</v>
      </c>
      <c r="W1617" s="33" t="e">
        <f ca="1"/>
        <v>#REF!</v>
      </c>
      <c r="X1617" s="33" t="e">
        <f ca="1"/>
        <v>#REF!</v>
      </c>
      <c r="Y1617" s="33" t="e">
        <f ca="1"/>
        <v>#REF!</v>
      </c>
      <c r="Z1617" s="33" t="e">
        <f ca="1"/>
        <v>#REF!</v>
      </c>
      <c r="AA1617" s="33" t="e">
        <f ca="1"/>
        <v>#REF!</v>
      </c>
    </row>
    <row r="1618" spans="1:27" s="70" customFormat="1" ht="11.25" x14ac:dyDescent="0.2">
      <c r="A1618" s="24">
        <v>1612</v>
      </c>
      <c r="B1618" s="24"/>
      <c r="C1618" s="25"/>
      <c r="D1618" s="26"/>
      <c r="E1618" s="25"/>
      <c r="F1618" s="25"/>
      <c r="G1618" s="24"/>
      <c r="H1618" s="28" t="e">
        <f ca="1"/>
        <v>#REF!</v>
      </c>
      <c r="I1618" s="27" t="e">
        <f ca="1"/>
        <v>#REF!</v>
      </c>
      <c r="J1618" s="28" t="e">
        <f ca="1"/>
        <v>#REF!</v>
      </c>
      <c r="K1618" s="27" t="e">
        <f ca="1"/>
        <v>#REF!</v>
      </c>
      <c r="L1618" s="25" t="e">
        <f ca="1"/>
        <v>#REF!</v>
      </c>
      <c r="M1618" s="25" t="e">
        <f ca="1"/>
        <v>#REF!</v>
      </c>
      <c r="N1618" s="25" t="e">
        <f ca="1"/>
        <v>#REF!</v>
      </c>
      <c r="O1618" s="25" t="e">
        <f ca="1"/>
        <v>#REF!</v>
      </c>
      <c r="P1618" s="25" t="e">
        <f ca="1"/>
        <v>#REF!</v>
      </c>
      <c r="Q1618" s="25" t="e">
        <f ca="1"/>
        <v>#REF!</v>
      </c>
      <c r="R1618" s="25" t="e">
        <f ca="1"/>
        <v>#REF!</v>
      </c>
      <c r="S1618" s="25" t="e">
        <f ca="1"/>
        <v>#REF!</v>
      </c>
      <c r="T1618" s="25" t="e">
        <f ca="1"/>
        <v>#REF!</v>
      </c>
      <c r="U1618" s="25" t="e">
        <f ca="1"/>
        <v>#REF!</v>
      </c>
      <c r="V1618" s="25" t="e">
        <f ca="1"/>
        <v>#REF!</v>
      </c>
      <c r="W1618" s="33" t="e">
        <f ca="1"/>
        <v>#REF!</v>
      </c>
      <c r="X1618" s="33" t="e">
        <f ca="1"/>
        <v>#REF!</v>
      </c>
      <c r="Y1618" s="33" t="e">
        <f ca="1"/>
        <v>#REF!</v>
      </c>
      <c r="Z1618" s="33" t="e">
        <f ca="1"/>
        <v>#REF!</v>
      </c>
      <c r="AA1618" s="33" t="e">
        <f ca="1"/>
        <v>#REF!</v>
      </c>
    </row>
    <row r="1619" spans="1:27" s="70" customFormat="1" ht="11.25" x14ac:dyDescent="0.2">
      <c r="A1619" s="24">
        <v>1613</v>
      </c>
      <c r="B1619" s="24"/>
      <c r="C1619" s="25"/>
      <c r="D1619" s="26"/>
      <c r="E1619" s="25"/>
      <c r="F1619" s="25"/>
      <c r="G1619" s="24"/>
      <c r="H1619" s="28" t="e">
        <f ca="1"/>
        <v>#REF!</v>
      </c>
      <c r="I1619" s="27" t="e">
        <f ca="1"/>
        <v>#REF!</v>
      </c>
      <c r="J1619" s="28" t="e">
        <f ca="1"/>
        <v>#REF!</v>
      </c>
      <c r="K1619" s="27" t="e">
        <f ca="1"/>
        <v>#REF!</v>
      </c>
      <c r="L1619" s="25" t="e">
        <f ca="1"/>
        <v>#REF!</v>
      </c>
      <c r="M1619" s="25" t="e">
        <f ca="1"/>
        <v>#REF!</v>
      </c>
      <c r="N1619" s="25" t="e">
        <f ca="1"/>
        <v>#REF!</v>
      </c>
      <c r="O1619" s="25" t="e">
        <f ca="1"/>
        <v>#REF!</v>
      </c>
      <c r="P1619" s="25" t="e">
        <f ca="1"/>
        <v>#REF!</v>
      </c>
      <c r="Q1619" s="25" t="e">
        <f ca="1"/>
        <v>#REF!</v>
      </c>
      <c r="R1619" s="25" t="e">
        <f ca="1"/>
        <v>#REF!</v>
      </c>
      <c r="S1619" s="25" t="e">
        <f ca="1"/>
        <v>#REF!</v>
      </c>
      <c r="T1619" s="25" t="e">
        <f ca="1"/>
        <v>#REF!</v>
      </c>
      <c r="U1619" s="25" t="e">
        <f ca="1"/>
        <v>#REF!</v>
      </c>
      <c r="V1619" s="25" t="e">
        <f ca="1"/>
        <v>#REF!</v>
      </c>
      <c r="W1619" s="33" t="e">
        <f ca="1"/>
        <v>#REF!</v>
      </c>
      <c r="X1619" s="33" t="e">
        <f ca="1"/>
        <v>#REF!</v>
      </c>
      <c r="Y1619" s="33" t="e">
        <f ca="1"/>
        <v>#REF!</v>
      </c>
      <c r="Z1619" s="33" t="e">
        <f ca="1"/>
        <v>#REF!</v>
      </c>
      <c r="AA1619" s="33" t="e">
        <f ca="1"/>
        <v>#REF!</v>
      </c>
    </row>
    <row r="1620" spans="1:27" s="70" customFormat="1" ht="11.25" x14ac:dyDescent="0.2">
      <c r="A1620" s="24">
        <v>1614</v>
      </c>
      <c r="B1620" s="24"/>
      <c r="C1620" s="25"/>
      <c r="D1620" s="26"/>
      <c r="E1620" s="25"/>
      <c r="F1620" s="25"/>
      <c r="G1620" s="24"/>
      <c r="H1620" s="28" t="e">
        <f ca="1"/>
        <v>#REF!</v>
      </c>
      <c r="I1620" s="27" t="e">
        <f ca="1"/>
        <v>#REF!</v>
      </c>
      <c r="J1620" s="28" t="e">
        <f ca="1"/>
        <v>#REF!</v>
      </c>
      <c r="K1620" s="27" t="e">
        <f ca="1"/>
        <v>#REF!</v>
      </c>
      <c r="L1620" s="25" t="e">
        <f ca="1"/>
        <v>#REF!</v>
      </c>
      <c r="M1620" s="25" t="e">
        <f ca="1"/>
        <v>#REF!</v>
      </c>
      <c r="N1620" s="25" t="e">
        <f ca="1"/>
        <v>#REF!</v>
      </c>
      <c r="O1620" s="25" t="e">
        <f ca="1"/>
        <v>#REF!</v>
      </c>
      <c r="P1620" s="25" t="e">
        <f ca="1"/>
        <v>#REF!</v>
      </c>
      <c r="Q1620" s="25" t="e">
        <f ca="1"/>
        <v>#REF!</v>
      </c>
      <c r="R1620" s="25" t="e">
        <f ca="1"/>
        <v>#REF!</v>
      </c>
      <c r="S1620" s="25" t="e">
        <f ca="1"/>
        <v>#REF!</v>
      </c>
      <c r="T1620" s="25" t="e">
        <f ca="1"/>
        <v>#REF!</v>
      </c>
      <c r="U1620" s="25" t="e">
        <f ca="1"/>
        <v>#REF!</v>
      </c>
      <c r="V1620" s="25" t="e">
        <f ca="1"/>
        <v>#REF!</v>
      </c>
      <c r="W1620" s="33" t="e">
        <f ca="1"/>
        <v>#REF!</v>
      </c>
      <c r="X1620" s="33" t="e">
        <f ca="1"/>
        <v>#REF!</v>
      </c>
      <c r="Y1620" s="33" t="e">
        <f ca="1"/>
        <v>#REF!</v>
      </c>
      <c r="Z1620" s="33" t="e">
        <f ca="1"/>
        <v>#REF!</v>
      </c>
      <c r="AA1620" s="33" t="e">
        <f ca="1"/>
        <v>#REF!</v>
      </c>
    </row>
    <row r="1621" spans="1:27" s="70" customFormat="1" ht="11.25" x14ac:dyDescent="0.2">
      <c r="A1621" s="24">
        <v>1615</v>
      </c>
      <c r="B1621" s="24"/>
      <c r="C1621" s="25"/>
      <c r="D1621" s="26"/>
      <c r="E1621" s="25"/>
      <c r="F1621" s="25"/>
      <c r="G1621" s="24"/>
      <c r="H1621" s="28" t="e">
        <f ca="1"/>
        <v>#REF!</v>
      </c>
      <c r="I1621" s="27" t="e">
        <f ca="1"/>
        <v>#REF!</v>
      </c>
      <c r="J1621" s="28" t="e">
        <f ca="1"/>
        <v>#REF!</v>
      </c>
      <c r="K1621" s="27" t="e">
        <f ca="1"/>
        <v>#REF!</v>
      </c>
      <c r="L1621" s="25" t="e">
        <f ca="1"/>
        <v>#REF!</v>
      </c>
      <c r="M1621" s="25" t="e">
        <f ca="1"/>
        <v>#REF!</v>
      </c>
      <c r="N1621" s="25" t="e">
        <f ca="1"/>
        <v>#REF!</v>
      </c>
      <c r="O1621" s="25" t="e">
        <f ca="1"/>
        <v>#REF!</v>
      </c>
      <c r="P1621" s="25" t="e">
        <f ca="1"/>
        <v>#REF!</v>
      </c>
      <c r="Q1621" s="25" t="e">
        <f ca="1"/>
        <v>#REF!</v>
      </c>
      <c r="R1621" s="25" t="e">
        <f ca="1"/>
        <v>#REF!</v>
      </c>
      <c r="S1621" s="25" t="e">
        <f ca="1"/>
        <v>#REF!</v>
      </c>
      <c r="T1621" s="25" t="e">
        <f ca="1"/>
        <v>#REF!</v>
      </c>
      <c r="U1621" s="25" t="e">
        <f ca="1"/>
        <v>#REF!</v>
      </c>
      <c r="V1621" s="25" t="e">
        <f ca="1"/>
        <v>#REF!</v>
      </c>
      <c r="W1621" s="33" t="e">
        <f ca="1"/>
        <v>#REF!</v>
      </c>
      <c r="X1621" s="33" t="e">
        <f ca="1"/>
        <v>#REF!</v>
      </c>
      <c r="Y1621" s="33" t="e">
        <f ca="1"/>
        <v>#REF!</v>
      </c>
      <c r="Z1621" s="33" t="e">
        <f ca="1"/>
        <v>#REF!</v>
      </c>
      <c r="AA1621" s="33" t="e">
        <f ca="1"/>
        <v>#REF!</v>
      </c>
    </row>
    <row r="1622" spans="1:27" s="70" customFormat="1" ht="11.25" x14ac:dyDescent="0.2">
      <c r="A1622" s="24">
        <v>1616</v>
      </c>
      <c r="B1622" s="24"/>
      <c r="C1622" s="25"/>
      <c r="D1622" s="26"/>
      <c r="E1622" s="25"/>
      <c r="F1622" s="25"/>
      <c r="G1622" s="24"/>
      <c r="H1622" s="28" t="e">
        <f ca="1"/>
        <v>#REF!</v>
      </c>
      <c r="I1622" s="27" t="e">
        <f ca="1"/>
        <v>#REF!</v>
      </c>
      <c r="J1622" s="28" t="e">
        <f ca="1"/>
        <v>#REF!</v>
      </c>
      <c r="K1622" s="27" t="e">
        <f ca="1"/>
        <v>#REF!</v>
      </c>
      <c r="L1622" s="25" t="e">
        <f ca="1"/>
        <v>#REF!</v>
      </c>
      <c r="M1622" s="25" t="e">
        <f ca="1"/>
        <v>#REF!</v>
      </c>
      <c r="N1622" s="25" t="e">
        <f ca="1"/>
        <v>#REF!</v>
      </c>
      <c r="O1622" s="25" t="e">
        <f ca="1"/>
        <v>#REF!</v>
      </c>
      <c r="P1622" s="25" t="e">
        <f ca="1"/>
        <v>#REF!</v>
      </c>
      <c r="Q1622" s="25" t="e">
        <f ca="1"/>
        <v>#REF!</v>
      </c>
      <c r="R1622" s="25" t="e">
        <f ca="1"/>
        <v>#REF!</v>
      </c>
      <c r="S1622" s="25" t="e">
        <f ca="1"/>
        <v>#REF!</v>
      </c>
      <c r="T1622" s="25" t="e">
        <f ca="1"/>
        <v>#REF!</v>
      </c>
      <c r="U1622" s="25" t="e">
        <f ca="1"/>
        <v>#REF!</v>
      </c>
      <c r="V1622" s="25" t="e">
        <f ca="1"/>
        <v>#REF!</v>
      </c>
      <c r="W1622" s="33" t="e">
        <f ca="1"/>
        <v>#REF!</v>
      </c>
      <c r="X1622" s="33" t="e">
        <f ca="1"/>
        <v>#REF!</v>
      </c>
      <c r="Y1622" s="33" t="e">
        <f ca="1"/>
        <v>#REF!</v>
      </c>
      <c r="Z1622" s="33" t="e">
        <f ca="1"/>
        <v>#REF!</v>
      </c>
      <c r="AA1622" s="33" t="e">
        <f ca="1"/>
        <v>#REF!</v>
      </c>
    </row>
    <row r="1623" spans="1:27" s="70" customFormat="1" ht="11.25" x14ac:dyDescent="0.2">
      <c r="A1623" s="24">
        <v>1617</v>
      </c>
      <c r="B1623" s="24"/>
      <c r="C1623" s="25"/>
      <c r="D1623" s="26"/>
      <c r="E1623" s="25"/>
      <c r="F1623" s="25"/>
      <c r="G1623" s="24"/>
      <c r="H1623" s="28" t="e">
        <f ca="1"/>
        <v>#REF!</v>
      </c>
      <c r="I1623" s="27" t="e">
        <f ca="1"/>
        <v>#REF!</v>
      </c>
      <c r="J1623" s="28" t="e">
        <f ca="1"/>
        <v>#REF!</v>
      </c>
      <c r="K1623" s="27" t="e">
        <f ca="1"/>
        <v>#REF!</v>
      </c>
      <c r="L1623" s="25" t="e">
        <f ca="1"/>
        <v>#REF!</v>
      </c>
      <c r="M1623" s="25" t="e">
        <f ca="1"/>
        <v>#REF!</v>
      </c>
      <c r="N1623" s="25" t="e">
        <f ca="1"/>
        <v>#REF!</v>
      </c>
      <c r="O1623" s="25" t="e">
        <f ca="1"/>
        <v>#REF!</v>
      </c>
      <c r="P1623" s="25" t="e">
        <f ca="1"/>
        <v>#REF!</v>
      </c>
      <c r="Q1623" s="25" t="e">
        <f ca="1"/>
        <v>#REF!</v>
      </c>
      <c r="R1623" s="25" t="e">
        <f ca="1"/>
        <v>#REF!</v>
      </c>
      <c r="S1623" s="25" t="e">
        <f ca="1"/>
        <v>#REF!</v>
      </c>
      <c r="T1623" s="25" t="e">
        <f ca="1"/>
        <v>#REF!</v>
      </c>
      <c r="U1623" s="25" t="e">
        <f ca="1"/>
        <v>#REF!</v>
      </c>
      <c r="V1623" s="25" t="e">
        <f ca="1"/>
        <v>#REF!</v>
      </c>
      <c r="W1623" s="33" t="e">
        <f ca="1"/>
        <v>#REF!</v>
      </c>
      <c r="X1623" s="33" t="e">
        <f ca="1"/>
        <v>#REF!</v>
      </c>
      <c r="Y1623" s="33" t="e">
        <f ca="1"/>
        <v>#REF!</v>
      </c>
      <c r="Z1623" s="33" t="e">
        <f ca="1"/>
        <v>#REF!</v>
      </c>
      <c r="AA1623" s="33" t="e">
        <f ca="1"/>
        <v>#REF!</v>
      </c>
    </row>
    <row r="1624" spans="1:27" s="70" customFormat="1" ht="11.25" x14ac:dyDescent="0.2">
      <c r="A1624" s="24">
        <v>1618</v>
      </c>
      <c r="B1624" s="24"/>
      <c r="C1624" s="25"/>
      <c r="D1624" s="26"/>
      <c r="E1624" s="25"/>
      <c r="F1624" s="25"/>
      <c r="G1624" s="24"/>
      <c r="H1624" s="28" t="e">
        <f ca="1"/>
        <v>#REF!</v>
      </c>
      <c r="I1624" s="27" t="e">
        <f ca="1"/>
        <v>#REF!</v>
      </c>
      <c r="J1624" s="28" t="e">
        <f ca="1"/>
        <v>#REF!</v>
      </c>
      <c r="K1624" s="27" t="e">
        <f ca="1"/>
        <v>#REF!</v>
      </c>
      <c r="L1624" s="25" t="e">
        <f ca="1"/>
        <v>#REF!</v>
      </c>
      <c r="M1624" s="25" t="e">
        <f ca="1"/>
        <v>#REF!</v>
      </c>
      <c r="N1624" s="25" t="e">
        <f ca="1"/>
        <v>#REF!</v>
      </c>
      <c r="O1624" s="25" t="e">
        <f ca="1"/>
        <v>#REF!</v>
      </c>
      <c r="P1624" s="25" t="e">
        <f ca="1"/>
        <v>#REF!</v>
      </c>
      <c r="Q1624" s="25" t="e">
        <f ca="1"/>
        <v>#REF!</v>
      </c>
      <c r="R1624" s="25" t="e">
        <f ca="1"/>
        <v>#REF!</v>
      </c>
      <c r="S1624" s="25" t="e">
        <f ca="1"/>
        <v>#REF!</v>
      </c>
      <c r="T1624" s="25" t="e">
        <f ca="1"/>
        <v>#REF!</v>
      </c>
      <c r="U1624" s="25" t="e">
        <f ca="1"/>
        <v>#REF!</v>
      </c>
      <c r="V1624" s="25" t="e">
        <f ca="1"/>
        <v>#REF!</v>
      </c>
      <c r="W1624" s="33" t="e">
        <f ca="1"/>
        <v>#REF!</v>
      </c>
      <c r="X1624" s="33" t="e">
        <f ca="1"/>
        <v>#REF!</v>
      </c>
      <c r="Y1624" s="33" t="e">
        <f ca="1"/>
        <v>#REF!</v>
      </c>
      <c r="Z1624" s="33" t="e">
        <f ca="1"/>
        <v>#REF!</v>
      </c>
      <c r="AA1624" s="33" t="e">
        <f ca="1"/>
        <v>#REF!</v>
      </c>
    </row>
    <row r="1625" spans="1:27" s="70" customFormat="1" ht="11.25" x14ac:dyDescent="0.2">
      <c r="A1625" s="24">
        <v>1619</v>
      </c>
      <c r="B1625" s="24"/>
      <c r="C1625" s="25"/>
      <c r="D1625" s="26"/>
      <c r="E1625" s="25"/>
      <c r="F1625" s="25"/>
      <c r="G1625" s="24"/>
      <c r="H1625" s="28" t="e">
        <f ca="1"/>
        <v>#REF!</v>
      </c>
      <c r="I1625" s="27" t="e">
        <f ca="1"/>
        <v>#REF!</v>
      </c>
      <c r="J1625" s="28" t="e">
        <f ca="1"/>
        <v>#REF!</v>
      </c>
      <c r="K1625" s="27" t="e">
        <f ca="1"/>
        <v>#REF!</v>
      </c>
      <c r="L1625" s="25" t="e">
        <f ca="1"/>
        <v>#REF!</v>
      </c>
      <c r="M1625" s="25" t="e">
        <f ca="1"/>
        <v>#REF!</v>
      </c>
      <c r="N1625" s="25" t="e">
        <f ca="1"/>
        <v>#REF!</v>
      </c>
      <c r="O1625" s="25" t="e">
        <f ca="1"/>
        <v>#REF!</v>
      </c>
      <c r="P1625" s="25" t="e">
        <f ca="1"/>
        <v>#REF!</v>
      </c>
      <c r="Q1625" s="25" t="e">
        <f ca="1"/>
        <v>#REF!</v>
      </c>
      <c r="R1625" s="25" t="e">
        <f ca="1"/>
        <v>#REF!</v>
      </c>
      <c r="S1625" s="25" t="e">
        <f ca="1"/>
        <v>#REF!</v>
      </c>
      <c r="T1625" s="25" t="e">
        <f ca="1"/>
        <v>#REF!</v>
      </c>
      <c r="U1625" s="25" t="e">
        <f ca="1"/>
        <v>#REF!</v>
      </c>
      <c r="V1625" s="25" t="e">
        <f ca="1"/>
        <v>#REF!</v>
      </c>
      <c r="W1625" s="33" t="e">
        <f ca="1"/>
        <v>#REF!</v>
      </c>
      <c r="X1625" s="33" t="e">
        <f ca="1"/>
        <v>#REF!</v>
      </c>
      <c r="Y1625" s="33" t="e">
        <f ca="1"/>
        <v>#REF!</v>
      </c>
      <c r="Z1625" s="33" t="e">
        <f ca="1"/>
        <v>#REF!</v>
      </c>
      <c r="AA1625" s="33" t="e">
        <f ca="1"/>
        <v>#REF!</v>
      </c>
    </row>
    <row r="1626" spans="1:27" s="70" customFormat="1" ht="11.25" x14ac:dyDescent="0.2">
      <c r="A1626" s="24">
        <v>1620</v>
      </c>
      <c r="B1626" s="24"/>
      <c r="C1626" s="25"/>
      <c r="D1626" s="26"/>
      <c r="E1626" s="25"/>
      <c r="F1626" s="25"/>
      <c r="G1626" s="24"/>
      <c r="H1626" s="28" t="e">
        <f ca="1"/>
        <v>#REF!</v>
      </c>
      <c r="I1626" s="27" t="e">
        <f ca="1"/>
        <v>#REF!</v>
      </c>
      <c r="J1626" s="28" t="e">
        <f ca="1"/>
        <v>#REF!</v>
      </c>
      <c r="K1626" s="27" t="e">
        <f ca="1"/>
        <v>#REF!</v>
      </c>
      <c r="L1626" s="25" t="e">
        <f ca="1"/>
        <v>#REF!</v>
      </c>
      <c r="M1626" s="25" t="e">
        <f ca="1"/>
        <v>#REF!</v>
      </c>
      <c r="N1626" s="25" t="e">
        <f ca="1"/>
        <v>#REF!</v>
      </c>
      <c r="O1626" s="25" t="e">
        <f ca="1"/>
        <v>#REF!</v>
      </c>
      <c r="P1626" s="25" t="e">
        <f ca="1"/>
        <v>#REF!</v>
      </c>
      <c r="Q1626" s="25" t="e">
        <f ca="1"/>
        <v>#REF!</v>
      </c>
      <c r="R1626" s="25" t="e">
        <f ca="1"/>
        <v>#REF!</v>
      </c>
      <c r="S1626" s="25" t="e">
        <f ca="1"/>
        <v>#REF!</v>
      </c>
      <c r="T1626" s="25" t="e">
        <f ca="1"/>
        <v>#REF!</v>
      </c>
      <c r="U1626" s="25" t="e">
        <f ca="1"/>
        <v>#REF!</v>
      </c>
      <c r="V1626" s="25" t="e">
        <f ca="1"/>
        <v>#REF!</v>
      </c>
      <c r="W1626" s="33" t="e">
        <f ca="1"/>
        <v>#REF!</v>
      </c>
      <c r="X1626" s="33" t="e">
        <f ca="1"/>
        <v>#REF!</v>
      </c>
      <c r="Y1626" s="33" t="e">
        <f ca="1"/>
        <v>#REF!</v>
      </c>
      <c r="Z1626" s="33" t="e">
        <f ca="1"/>
        <v>#REF!</v>
      </c>
      <c r="AA1626" s="33" t="e">
        <f ca="1"/>
        <v>#REF!</v>
      </c>
    </row>
    <row r="1627" spans="1:27" s="70" customFormat="1" ht="11.25" x14ac:dyDescent="0.2">
      <c r="A1627" s="24">
        <v>1621</v>
      </c>
      <c r="B1627" s="24"/>
      <c r="C1627" s="25"/>
      <c r="D1627" s="26"/>
      <c r="E1627" s="25"/>
      <c r="F1627" s="25"/>
      <c r="G1627" s="24"/>
      <c r="H1627" s="28" t="e">
        <f ca="1"/>
        <v>#REF!</v>
      </c>
      <c r="I1627" s="27" t="e">
        <f ca="1"/>
        <v>#REF!</v>
      </c>
      <c r="J1627" s="28" t="e">
        <f ca="1"/>
        <v>#REF!</v>
      </c>
      <c r="K1627" s="27" t="e">
        <f ca="1"/>
        <v>#REF!</v>
      </c>
      <c r="L1627" s="25" t="e">
        <f ca="1"/>
        <v>#REF!</v>
      </c>
      <c r="M1627" s="25" t="e">
        <f ca="1"/>
        <v>#REF!</v>
      </c>
      <c r="N1627" s="25" t="e">
        <f ca="1"/>
        <v>#REF!</v>
      </c>
      <c r="O1627" s="25" t="e">
        <f ca="1"/>
        <v>#REF!</v>
      </c>
      <c r="P1627" s="25" t="e">
        <f ca="1"/>
        <v>#REF!</v>
      </c>
      <c r="Q1627" s="25" t="e">
        <f ca="1"/>
        <v>#REF!</v>
      </c>
      <c r="R1627" s="25" t="e">
        <f ca="1"/>
        <v>#REF!</v>
      </c>
      <c r="S1627" s="25" t="e">
        <f ca="1"/>
        <v>#REF!</v>
      </c>
      <c r="T1627" s="25" t="e">
        <f ca="1"/>
        <v>#REF!</v>
      </c>
      <c r="U1627" s="25" t="e">
        <f ca="1"/>
        <v>#REF!</v>
      </c>
      <c r="V1627" s="25" t="e">
        <f ca="1"/>
        <v>#REF!</v>
      </c>
      <c r="W1627" s="33" t="e">
        <f ca="1"/>
        <v>#REF!</v>
      </c>
      <c r="X1627" s="33" t="e">
        <f ca="1"/>
        <v>#REF!</v>
      </c>
      <c r="Y1627" s="33" t="e">
        <f ca="1"/>
        <v>#REF!</v>
      </c>
      <c r="Z1627" s="33" t="e">
        <f ca="1"/>
        <v>#REF!</v>
      </c>
      <c r="AA1627" s="33" t="e">
        <f ca="1"/>
        <v>#REF!</v>
      </c>
    </row>
    <row r="1628" spans="1:27" s="70" customFormat="1" ht="11.25" x14ac:dyDescent="0.2">
      <c r="A1628" s="24">
        <v>1622</v>
      </c>
      <c r="B1628" s="24"/>
      <c r="C1628" s="25"/>
      <c r="D1628" s="26"/>
      <c r="E1628" s="25"/>
      <c r="F1628" s="25"/>
      <c r="G1628" s="24"/>
      <c r="H1628" s="28" t="e">
        <f ca="1"/>
        <v>#REF!</v>
      </c>
      <c r="I1628" s="27" t="e">
        <f ca="1"/>
        <v>#REF!</v>
      </c>
      <c r="J1628" s="28" t="e">
        <f ca="1"/>
        <v>#REF!</v>
      </c>
      <c r="K1628" s="27" t="e">
        <f ca="1"/>
        <v>#REF!</v>
      </c>
      <c r="L1628" s="25" t="e">
        <f ca="1"/>
        <v>#REF!</v>
      </c>
      <c r="M1628" s="25" t="e">
        <f ca="1"/>
        <v>#REF!</v>
      </c>
      <c r="N1628" s="25" t="e">
        <f ca="1"/>
        <v>#REF!</v>
      </c>
      <c r="O1628" s="25" t="e">
        <f ca="1"/>
        <v>#REF!</v>
      </c>
      <c r="P1628" s="25" t="e">
        <f ca="1"/>
        <v>#REF!</v>
      </c>
      <c r="Q1628" s="25" t="e">
        <f ca="1"/>
        <v>#REF!</v>
      </c>
      <c r="R1628" s="25" t="e">
        <f ca="1"/>
        <v>#REF!</v>
      </c>
      <c r="S1628" s="25" t="e">
        <f ca="1"/>
        <v>#REF!</v>
      </c>
      <c r="T1628" s="25" t="e">
        <f ca="1"/>
        <v>#REF!</v>
      </c>
      <c r="U1628" s="25" t="e">
        <f ca="1"/>
        <v>#REF!</v>
      </c>
      <c r="V1628" s="25" t="e">
        <f ca="1"/>
        <v>#REF!</v>
      </c>
      <c r="W1628" s="33" t="e">
        <f ca="1"/>
        <v>#REF!</v>
      </c>
      <c r="X1628" s="33" t="e">
        <f ca="1"/>
        <v>#REF!</v>
      </c>
      <c r="Y1628" s="33" t="e">
        <f ca="1"/>
        <v>#REF!</v>
      </c>
      <c r="Z1628" s="33" t="e">
        <f ca="1"/>
        <v>#REF!</v>
      </c>
      <c r="AA1628" s="33" t="e">
        <f ca="1"/>
        <v>#REF!</v>
      </c>
    </row>
    <row r="1629" spans="1:27" s="70" customFormat="1" ht="11.25" x14ac:dyDescent="0.2">
      <c r="A1629" s="24">
        <v>1623</v>
      </c>
      <c r="B1629" s="24"/>
      <c r="C1629" s="25"/>
      <c r="D1629" s="26"/>
      <c r="E1629" s="25"/>
      <c r="F1629" s="25"/>
      <c r="G1629" s="24"/>
      <c r="H1629" s="28" t="e">
        <f ca="1"/>
        <v>#REF!</v>
      </c>
      <c r="I1629" s="27" t="e">
        <f ca="1"/>
        <v>#REF!</v>
      </c>
      <c r="J1629" s="28" t="e">
        <f ca="1"/>
        <v>#REF!</v>
      </c>
      <c r="K1629" s="27" t="e">
        <f ca="1"/>
        <v>#REF!</v>
      </c>
      <c r="L1629" s="25" t="e">
        <f ca="1"/>
        <v>#REF!</v>
      </c>
      <c r="M1629" s="25" t="e">
        <f ca="1"/>
        <v>#REF!</v>
      </c>
      <c r="N1629" s="25" t="e">
        <f ca="1"/>
        <v>#REF!</v>
      </c>
      <c r="O1629" s="25" t="e">
        <f ca="1"/>
        <v>#REF!</v>
      </c>
      <c r="P1629" s="25" t="e">
        <f ca="1"/>
        <v>#REF!</v>
      </c>
      <c r="Q1629" s="25" t="e">
        <f ca="1"/>
        <v>#REF!</v>
      </c>
      <c r="R1629" s="25" t="e">
        <f ca="1"/>
        <v>#REF!</v>
      </c>
      <c r="S1629" s="25" t="e">
        <f ca="1"/>
        <v>#REF!</v>
      </c>
      <c r="T1629" s="25" t="e">
        <f ca="1"/>
        <v>#REF!</v>
      </c>
      <c r="U1629" s="25" t="e">
        <f ca="1"/>
        <v>#REF!</v>
      </c>
      <c r="V1629" s="25" t="e">
        <f ca="1"/>
        <v>#REF!</v>
      </c>
      <c r="W1629" s="33" t="e">
        <f ca="1"/>
        <v>#REF!</v>
      </c>
      <c r="X1629" s="33" t="e">
        <f ca="1"/>
        <v>#REF!</v>
      </c>
      <c r="Y1629" s="33" t="e">
        <f ca="1"/>
        <v>#REF!</v>
      </c>
      <c r="Z1629" s="33" t="e">
        <f ca="1"/>
        <v>#REF!</v>
      </c>
      <c r="AA1629" s="33" t="e">
        <f ca="1"/>
        <v>#REF!</v>
      </c>
    </row>
    <row r="1630" spans="1:27" s="70" customFormat="1" ht="11.25" x14ac:dyDescent="0.2">
      <c r="A1630" s="24">
        <v>1624</v>
      </c>
      <c r="B1630" s="24"/>
      <c r="C1630" s="25"/>
      <c r="D1630" s="26"/>
      <c r="E1630" s="25"/>
      <c r="F1630" s="25"/>
      <c r="G1630" s="24"/>
      <c r="H1630" s="28" t="e">
        <f ca="1"/>
        <v>#REF!</v>
      </c>
      <c r="I1630" s="27" t="e">
        <f ca="1"/>
        <v>#REF!</v>
      </c>
      <c r="J1630" s="28" t="e">
        <f ca="1"/>
        <v>#REF!</v>
      </c>
      <c r="K1630" s="27" t="e">
        <f ca="1"/>
        <v>#REF!</v>
      </c>
      <c r="L1630" s="25" t="e">
        <f ca="1"/>
        <v>#REF!</v>
      </c>
      <c r="M1630" s="25" t="e">
        <f ca="1"/>
        <v>#REF!</v>
      </c>
      <c r="N1630" s="25" t="e">
        <f ca="1"/>
        <v>#REF!</v>
      </c>
      <c r="O1630" s="25" t="e">
        <f ca="1"/>
        <v>#REF!</v>
      </c>
      <c r="P1630" s="25" t="e">
        <f ca="1"/>
        <v>#REF!</v>
      </c>
      <c r="Q1630" s="25" t="e">
        <f ca="1"/>
        <v>#REF!</v>
      </c>
      <c r="R1630" s="25" t="e">
        <f ca="1"/>
        <v>#REF!</v>
      </c>
      <c r="S1630" s="25" t="e">
        <f ca="1"/>
        <v>#REF!</v>
      </c>
      <c r="T1630" s="25" t="e">
        <f ca="1"/>
        <v>#REF!</v>
      </c>
      <c r="U1630" s="25" t="e">
        <f ca="1"/>
        <v>#REF!</v>
      </c>
      <c r="V1630" s="25" t="e">
        <f ca="1"/>
        <v>#REF!</v>
      </c>
      <c r="W1630" s="33" t="e">
        <f ca="1"/>
        <v>#REF!</v>
      </c>
      <c r="X1630" s="33" t="e">
        <f ca="1"/>
        <v>#REF!</v>
      </c>
      <c r="Y1630" s="33" t="e">
        <f ca="1"/>
        <v>#REF!</v>
      </c>
      <c r="Z1630" s="33" t="e">
        <f ca="1"/>
        <v>#REF!</v>
      </c>
      <c r="AA1630" s="33" t="e">
        <f ca="1"/>
        <v>#REF!</v>
      </c>
    </row>
    <row r="1631" spans="1:27" s="70" customFormat="1" ht="11.25" x14ac:dyDescent="0.2">
      <c r="A1631" s="24">
        <v>1625</v>
      </c>
      <c r="B1631" s="24"/>
      <c r="C1631" s="25"/>
      <c r="D1631" s="26"/>
      <c r="E1631" s="25"/>
      <c r="F1631" s="25"/>
      <c r="G1631" s="24"/>
      <c r="H1631" s="28" t="e">
        <f ca="1"/>
        <v>#REF!</v>
      </c>
      <c r="I1631" s="27" t="e">
        <f ca="1"/>
        <v>#REF!</v>
      </c>
      <c r="J1631" s="28" t="e">
        <f ca="1"/>
        <v>#REF!</v>
      </c>
      <c r="K1631" s="27" t="e">
        <f ca="1"/>
        <v>#REF!</v>
      </c>
      <c r="L1631" s="25" t="e">
        <f ca="1"/>
        <v>#REF!</v>
      </c>
      <c r="M1631" s="25" t="e">
        <f ca="1"/>
        <v>#REF!</v>
      </c>
      <c r="N1631" s="25" t="e">
        <f ca="1"/>
        <v>#REF!</v>
      </c>
      <c r="O1631" s="25" t="e">
        <f ca="1"/>
        <v>#REF!</v>
      </c>
      <c r="P1631" s="25" t="e">
        <f ca="1"/>
        <v>#REF!</v>
      </c>
      <c r="Q1631" s="25" t="e">
        <f ca="1"/>
        <v>#REF!</v>
      </c>
      <c r="R1631" s="25" t="e">
        <f ca="1"/>
        <v>#REF!</v>
      </c>
      <c r="S1631" s="25" t="e">
        <f ca="1"/>
        <v>#REF!</v>
      </c>
      <c r="T1631" s="25" t="e">
        <f ca="1"/>
        <v>#REF!</v>
      </c>
      <c r="U1631" s="25" t="e">
        <f ca="1"/>
        <v>#REF!</v>
      </c>
      <c r="V1631" s="25" t="e">
        <f ca="1"/>
        <v>#REF!</v>
      </c>
      <c r="W1631" s="33" t="e">
        <f ca="1"/>
        <v>#REF!</v>
      </c>
      <c r="X1631" s="33" t="e">
        <f ca="1"/>
        <v>#REF!</v>
      </c>
      <c r="Y1631" s="33" t="e">
        <f ca="1"/>
        <v>#REF!</v>
      </c>
      <c r="Z1631" s="33" t="e">
        <f ca="1"/>
        <v>#REF!</v>
      </c>
      <c r="AA1631" s="33" t="e">
        <f ca="1"/>
        <v>#REF!</v>
      </c>
    </row>
    <row r="1632" spans="1:27" s="70" customFormat="1" ht="11.25" x14ac:dyDescent="0.2">
      <c r="A1632" s="24">
        <v>1626</v>
      </c>
      <c r="B1632" s="24"/>
      <c r="C1632" s="25"/>
      <c r="D1632" s="26"/>
      <c r="E1632" s="25"/>
      <c r="F1632" s="25"/>
      <c r="G1632" s="24"/>
      <c r="H1632" s="28" t="e">
        <f ca="1"/>
        <v>#REF!</v>
      </c>
      <c r="I1632" s="27" t="e">
        <f ca="1"/>
        <v>#REF!</v>
      </c>
      <c r="J1632" s="28" t="e">
        <f ca="1"/>
        <v>#REF!</v>
      </c>
      <c r="K1632" s="27" t="e">
        <f ca="1"/>
        <v>#REF!</v>
      </c>
      <c r="L1632" s="25" t="e">
        <f ca="1"/>
        <v>#REF!</v>
      </c>
      <c r="M1632" s="25" t="e">
        <f ca="1"/>
        <v>#REF!</v>
      </c>
      <c r="N1632" s="25" t="e">
        <f ca="1"/>
        <v>#REF!</v>
      </c>
      <c r="O1632" s="25" t="e">
        <f ca="1"/>
        <v>#REF!</v>
      </c>
      <c r="P1632" s="25" t="e">
        <f ca="1"/>
        <v>#REF!</v>
      </c>
      <c r="Q1632" s="25" t="e">
        <f ca="1"/>
        <v>#REF!</v>
      </c>
      <c r="R1632" s="25" t="e">
        <f ca="1"/>
        <v>#REF!</v>
      </c>
      <c r="S1632" s="25" t="e">
        <f ca="1"/>
        <v>#REF!</v>
      </c>
      <c r="T1632" s="25" t="e">
        <f ca="1"/>
        <v>#REF!</v>
      </c>
      <c r="U1632" s="25" t="e">
        <f ca="1"/>
        <v>#REF!</v>
      </c>
      <c r="V1632" s="25" t="e">
        <f ca="1"/>
        <v>#REF!</v>
      </c>
      <c r="W1632" s="33" t="e">
        <f ca="1"/>
        <v>#REF!</v>
      </c>
      <c r="X1632" s="33" t="e">
        <f ca="1"/>
        <v>#REF!</v>
      </c>
      <c r="Y1632" s="33" t="e">
        <f ca="1"/>
        <v>#REF!</v>
      </c>
      <c r="Z1632" s="33" t="e">
        <f ca="1"/>
        <v>#REF!</v>
      </c>
      <c r="AA1632" s="33" t="e">
        <f ca="1"/>
        <v>#REF!</v>
      </c>
    </row>
    <row r="1633" spans="1:27" s="70" customFormat="1" ht="11.25" x14ac:dyDescent="0.2">
      <c r="A1633" s="24">
        <v>1627</v>
      </c>
      <c r="B1633" s="24"/>
      <c r="C1633" s="25"/>
      <c r="D1633" s="26"/>
      <c r="E1633" s="25"/>
      <c r="F1633" s="25"/>
      <c r="G1633" s="24"/>
      <c r="H1633" s="28" t="e">
        <f ca="1"/>
        <v>#REF!</v>
      </c>
      <c r="I1633" s="27" t="e">
        <f ca="1"/>
        <v>#REF!</v>
      </c>
      <c r="J1633" s="28" t="e">
        <f ca="1"/>
        <v>#REF!</v>
      </c>
      <c r="K1633" s="27" t="e">
        <f ca="1"/>
        <v>#REF!</v>
      </c>
      <c r="L1633" s="25" t="e">
        <f ca="1"/>
        <v>#REF!</v>
      </c>
      <c r="M1633" s="25" t="e">
        <f ca="1"/>
        <v>#REF!</v>
      </c>
      <c r="N1633" s="25" t="e">
        <f ca="1"/>
        <v>#REF!</v>
      </c>
      <c r="O1633" s="25" t="e">
        <f ca="1"/>
        <v>#REF!</v>
      </c>
      <c r="P1633" s="25" t="e">
        <f ca="1"/>
        <v>#REF!</v>
      </c>
      <c r="Q1633" s="25" t="e">
        <f ca="1"/>
        <v>#REF!</v>
      </c>
      <c r="R1633" s="25" t="e">
        <f ca="1"/>
        <v>#REF!</v>
      </c>
      <c r="S1633" s="25" t="e">
        <f ca="1"/>
        <v>#REF!</v>
      </c>
      <c r="T1633" s="25" t="e">
        <f ca="1"/>
        <v>#REF!</v>
      </c>
      <c r="U1633" s="25" t="e">
        <f ca="1"/>
        <v>#REF!</v>
      </c>
      <c r="V1633" s="25" t="e">
        <f ca="1"/>
        <v>#REF!</v>
      </c>
      <c r="W1633" s="33" t="e">
        <f ca="1"/>
        <v>#REF!</v>
      </c>
      <c r="X1633" s="33" t="e">
        <f ca="1"/>
        <v>#REF!</v>
      </c>
      <c r="Y1633" s="33" t="e">
        <f ca="1"/>
        <v>#REF!</v>
      </c>
      <c r="Z1633" s="33" t="e">
        <f ca="1"/>
        <v>#REF!</v>
      </c>
      <c r="AA1633" s="33" t="e">
        <f ca="1"/>
        <v>#REF!</v>
      </c>
    </row>
    <row r="1634" spans="1:27" s="70" customFormat="1" ht="11.25" x14ac:dyDescent="0.2">
      <c r="A1634" s="24">
        <v>1628</v>
      </c>
      <c r="B1634" s="24"/>
      <c r="C1634" s="25"/>
      <c r="D1634" s="26"/>
      <c r="E1634" s="25"/>
      <c r="F1634" s="25"/>
      <c r="G1634" s="24"/>
      <c r="H1634" s="28" t="e">
        <f ca="1"/>
        <v>#REF!</v>
      </c>
      <c r="I1634" s="27" t="e">
        <f ca="1"/>
        <v>#REF!</v>
      </c>
      <c r="J1634" s="28" t="e">
        <f ca="1"/>
        <v>#REF!</v>
      </c>
      <c r="K1634" s="27" t="e">
        <f ca="1"/>
        <v>#REF!</v>
      </c>
      <c r="L1634" s="25" t="e">
        <f ca="1"/>
        <v>#REF!</v>
      </c>
      <c r="M1634" s="25" t="e">
        <f ca="1"/>
        <v>#REF!</v>
      </c>
      <c r="N1634" s="25" t="e">
        <f ca="1"/>
        <v>#REF!</v>
      </c>
      <c r="O1634" s="25" t="e">
        <f ca="1"/>
        <v>#REF!</v>
      </c>
      <c r="P1634" s="25" t="e">
        <f ca="1"/>
        <v>#REF!</v>
      </c>
      <c r="Q1634" s="25" t="e">
        <f ca="1"/>
        <v>#REF!</v>
      </c>
      <c r="R1634" s="25" t="e">
        <f ca="1"/>
        <v>#REF!</v>
      </c>
      <c r="S1634" s="25" t="e">
        <f ca="1"/>
        <v>#REF!</v>
      </c>
      <c r="T1634" s="25" t="e">
        <f ca="1"/>
        <v>#REF!</v>
      </c>
      <c r="U1634" s="25" t="e">
        <f ca="1"/>
        <v>#REF!</v>
      </c>
      <c r="V1634" s="25" t="e">
        <f ca="1"/>
        <v>#REF!</v>
      </c>
      <c r="W1634" s="33" t="e">
        <f ca="1"/>
        <v>#REF!</v>
      </c>
      <c r="X1634" s="33" t="e">
        <f ca="1"/>
        <v>#REF!</v>
      </c>
      <c r="Y1634" s="33" t="e">
        <f ca="1"/>
        <v>#REF!</v>
      </c>
      <c r="Z1634" s="33" t="e">
        <f ca="1"/>
        <v>#REF!</v>
      </c>
      <c r="AA1634" s="33" t="e">
        <f ca="1"/>
        <v>#REF!</v>
      </c>
    </row>
    <row r="1635" spans="1:27" s="70" customFormat="1" ht="11.25" x14ac:dyDescent="0.2">
      <c r="A1635" s="24">
        <v>1629</v>
      </c>
      <c r="B1635" s="24"/>
      <c r="C1635" s="25"/>
      <c r="D1635" s="26"/>
      <c r="E1635" s="25"/>
      <c r="F1635" s="25"/>
      <c r="G1635" s="24"/>
      <c r="H1635" s="28" t="e">
        <f ca="1"/>
        <v>#REF!</v>
      </c>
      <c r="I1635" s="27" t="e">
        <f ca="1"/>
        <v>#REF!</v>
      </c>
      <c r="J1635" s="28" t="e">
        <f ca="1"/>
        <v>#REF!</v>
      </c>
      <c r="K1635" s="27" t="e">
        <f ca="1"/>
        <v>#REF!</v>
      </c>
      <c r="L1635" s="25" t="e">
        <f ca="1"/>
        <v>#REF!</v>
      </c>
      <c r="M1635" s="25" t="e">
        <f ca="1"/>
        <v>#REF!</v>
      </c>
      <c r="N1635" s="25" t="e">
        <f ca="1"/>
        <v>#REF!</v>
      </c>
      <c r="O1635" s="25" t="e">
        <f ca="1"/>
        <v>#REF!</v>
      </c>
      <c r="P1635" s="25" t="e">
        <f ca="1"/>
        <v>#REF!</v>
      </c>
      <c r="Q1635" s="25" t="e">
        <f ca="1"/>
        <v>#REF!</v>
      </c>
      <c r="R1635" s="25" t="e">
        <f ca="1"/>
        <v>#REF!</v>
      </c>
      <c r="S1635" s="25" t="e">
        <f ca="1"/>
        <v>#REF!</v>
      </c>
      <c r="T1635" s="25" t="e">
        <f ca="1"/>
        <v>#REF!</v>
      </c>
      <c r="U1635" s="25" t="e">
        <f ca="1"/>
        <v>#REF!</v>
      </c>
      <c r="V1635" s="25" t="e">
        <f ca="1"/>
        <v>#REF!</v>
      </c>
      <c r="W1635" s="33" t="e">
        <f ca="1"/>
        <v>#REF!</v>
      </c>
      <c r="X1635" s="33" t="e">
        <f ca="1"/>
        <v>#REF!</v>
      </c>
      <c r="Y1635" s="33" t="e">
        <f ca="1"/>
        <v>#REF!</v>
      </c>
      <c r="Z1635" s="33" t="e">
        <f ca="1"/>
        <v>#REF!</v>
      </c>
      <c r="AA1635" s="33" t="e">
        <f ca="1"/>
        <v>#REF!</v>
      </c>
    </row>
    <row r="1636" spans="1:27" s="70" customFormat="1" ht="11.25" x14ac:dyDescent="0.2">
      <c r="A1636" s="24">
        <v>1630</v>
      </c>
      <c r="B1636" s="24"/>
      <c r="C1636" s="25"/>
      <c r="D1636" s="26"/>
      <c r="E1636" s="25"/>
      <c r="F1636" s="25"/>
      <c r="G1636" s="24"/>
      <c r="H1636" s="28" t="e">
        <f ca="1"/>
        <v>#REF!</v>
      </c>
      <c r="I1636" s="27" t="e">
        <f ca="1"/>
        <v>#REF!</v>
      </c>
      <c r="J1636" s="28" t="e">
        <f ca="1"/>
        <v>#REF!</v>
      </c>
      <c r="K1636" s="27" t="e">
        <f ca="1"/>
        <v>#REF!</v>
      </c>
      <c r="L1636" s="25" t="e">
        <f ca="1"/>
        <v>#REF!</v>
      </c>
      <c r="M1636" s="25" t="e">
        <f ca="1"/>
        <v>#REF!</v>
      </c>
      <c r="N1636" s="25" t="e">
        <f ca="1"/>
        <v>#REF!</v>
      </c>
      <c r="O1636" s="25" t="e">
        <f ca="1"/>
        <v>#REF!</v>
      </c>
      <c r="P1636" s="25" t="e">
        <f ca="1"/>
        <v>#REF!</v>
      </c>
      <c r="Q1636" s="25" t="e">
        <f ca="1"/>
        <v>#REF!</v>
      </c>
      <c r="R1636" s="25" t="e">
        <f ca="1"/>
        <v>#REF!</v>
      </c>
      <c r="S1636" s="25" t="e">
        <f ca="1"/>
        <v>#REF!</v>
      </c>
      <c r="T1636" s="25" t="e">
        <f ca="1"/>
        <v>#REF!</v>
      </c>
      <c r="U1636" s="25" t="e">
        <f ca="1"/>
        <v>#REF!</v>
      </c>
      <c r="V1636" s="25" t="e">
        <f ca="1"/>
        <v>#REF!</v>
      </c>
      <c r="W1636" s="33" t="e">
        <f ca="1"/>
        <v>#REF!</v>
      </c>
      <c r="X1636" s="33" t="e">
        <f ca="1"/>
        <v>#REF!</v>
      </c>
      <c r="Y1636" s="33" t="e">
        <f ca="1"/>
        <v>#REF!</v>
      </c>
      <c r="Z1636" s="33" t="e">
        <f ca="1"/>
        <v>#REF!</v>
      </c>
      <c r="AA1636" s="33" t="e">
        <f ca="1"/>
        <v>#REF!</v>
      </c>
    </row>
    <row r="1637" spans="1:27" s="70" customFormat="1" ht="11.25" x14ac:dyDescent="0.2">
      <c r="A1637" s="24">
        <v>1631</v>
      </c>
      <c r="B1637" s="24"/>
      <c r="C1637" s="25"/>
      <c r="D1637" s="26"/>
      <c r="E1637" s="25"/>
      <c r="F1637" s="25"/>
      <c r="G1637" s="24"/>
      <c r="H1637" s="28" t="e">
        <f ca="1"/>
        <v>#REF!</v>
      </c>
      <c r="I1637" s="27" t="e">
        <f ca="1"/>
        <v>#REF!</v>
      </c>
      <c r="J1637" s="28" t="e">
        <f ca="1"/>
        <v>#REF!</v>
      </c>
      <c r="K1637" s="27" t="e">
        <f ca="1"/>
        <v>#REF!</v>
      </c>
      <c r="L1637" s="25" t="e">
        <f ca="1"/>
        <v>#REF!</v>
      </c>
      <c r="M1637" s="25" t="e">
        <f ca="1"/>
        <v>#REF!</v>
      </c>
      <c r="N1637" s="25" t="e">
        <f ca="1"/>
        <v>#REF!</v>
      </c>
      <c r="O1637" s="25" t="e">
        <f ca="1"/>
        <v>#REF!</v>
      </c>
      <c r="P1637" s="25" t="e">
        <f ca="1"/>
        <v>#REF!</v>
      </c>
      <c r="Q1637" s="25" t="e">
        <f ca="1"/>
        <v>#REF!</v>
      </c>
      <c r="R1637" s="25" t="e">
        <f ca="1"/>
        <v>#REF!</v>
      </c>
      <c r="S1637" s="25" t="e">
        <f ca="1"/>
        <v>#REF!</v>
      </c>
      <c r="T1637" s="25" t="e">
        <f ca="1"/>
        <v>#REF!</v>
      </c>
      <c r="U1637" s="25" t="e">
        <f ca="1"/>
        <v>#REF!</v>
      </c>
      <c r="V1637" s="25" t="e">
        <f ca="1"/>
        <v>#REF!</v>
      </c>
      <c r="W1637" s="33" t="e">
        <f ca="1"/>
        <v>#REF!</v>
      </c>
      <c r="X1637" s="33" t="e">
        <f ca="1"/>
        <v>#REF!</v>
      </c>
      <c r="Y1637" s="33" t="e">
        <f ca="1"/>
        <v>#REF!</v>
      </c>
      <c r="Z1637" s="33" t="e">
        <f ca="1"/>
        <v>#REF!</v>
      </c>
      <c r="AA1637" s="33" t="e">
        <f ca="1"/>
        <v>#REF!</v>
      </c>
    </row>
    <row r="1638" spans="1:27" s="70" customFormat="1" ht="11.25" x14ac:dyDescent="0.2">
      <c r="A1638" s="24">
        <v>1632</v>
      </c>
      <c r="B1638" s="24"/>
      <c r="C1638" s="25"/>
      <c r="D1638" s="26"/>
      <c r="E1638" s="25"/>
      <c r="F1638" s="25"/>
      <c r="G1638" s="24"/>
      <c r="H1638" s="28" t="e">
        <f ca="1"/>
        <v>#REF!</v>
      </c>
      <c r="I1638" s="27" t="e">
        <f ca="1"/>
        <v>#REF!</v>
      </c>
      <c r="J1638" s="28" t="e">
        <f ca="1"/>
        <v>#REF!</v>
      </c>
      <c r="K1638" s="27" t="e">
        <f ca="1"/>
        <v>#REF!</v>
      </c>
      <c r="L1638" s="25" t="e">
        <f ca="1"/>
        <v>#REF!</v>
      </c>
      <c r="M1638" s="25" t="e">
        <f ca="1"/>
        <v>#REF!</v>
      </c>
      <c r="N1638" s="25" t="e">
        <f ca="1"/>
        <v>#REF!</v>
      </c>
      <c r="O1638" s="25" t="e">
        <f ca="1"/>
        <v>#REF!</v>
      </c>
      <c r="P1638" s="25" t="e">
        <f ca="1"/>
        <v>#REF!</v>
      </c>
      <c r="Q1638" s="25" t="e">
        <f ca="1"/>
        <v>#REF!</v>
      </c>
      <c r="R1638" s="25" t="e">
        <f ca="1"/>
        <v>#REF!</v>
      </c>
      <c r="S1638" s="25" t="e">
        <f ca="1"/>
        <v>#REF!</v>
      </c>
      <c r="T1638" s="25" t="e">
        <f ca="1"/>
        <v>#REF!</v>
      </c>
      <c r="U1638" s="25" t="e">
        <f ca="1"/>
        <v>#REF!</v>
      </c>
      <c r="V1638" s="25" t="e">
        <f ca="1"/>
        <v>#REF!</v>
      </c>
      <c r="W1638" s="33" t="e">
        <f ca="1"/>
        <v>#REF!</v>
      </c>
      <c r="X1638" s="33" t="e">
        <f ca="1"/>
        <v>#REF!</v>
      </c>
      <c r="Y1638" s="33" t="e">
        <f ca="1"/>
        <v>#REF!</v>
      </c>
      <c r="Z1638" s="33" t="e">
        <f ca="1"/>
        <v>#REF!</v>
      </c>
      <c r="AA1638" s="33" t="e">
        <f ca="1"/>
        <v>#REF!</v>
      </c>
    </row>
    <row r="1639" spans="1:27" s="70" customFormat="1" ht="11.25" x14ac:dyDescent="0.2">
      <c r="A1639" s="24">
        <v>1633</v>
      </c>
      <c r="B1639" s="24"/>
      <c r="C1639" s="25"/>
      <c r="D1639" s="26"/>
      <c r="E1639" s="25"/>
      <c r="F1639" s="25"/>
      <c r="G1639" s="24"/>
      <c r="H1639" s="25" t="e">
        <f ca="1"/>
        <v>#REF!</v>
      </c>
      <c r="I1639" s="27" t="e">
        <f ca="1"/>
        <v>#REF!</v>
      </c>
      <c r="J1639" s="28" t="e">
        <f ca="1"/>
        <v>#REF!</v>
      </c>
      <c r="K1639" s="27" t="e">
        <f ca="1"/>
        <v>#REF!</v>
      </c>
      <c r="L1639" s="25" t="e">
        <f ca="1"/>
        <v>#REF!</v>
      </c>
      <c r="M1639" s="25" t="e">
        <f ca="1"/>
        <v>#REF!</v>
      </c>
      <c r="N1639" s="25" t="e">
        <f ca="1"/>
        <v>#REF!</v>
      </c>
      <c r="O1639" s="25" t="e">
        <f ca="1"/>
        <v>#REF!</v>
      </c>
      <c r="P1639" s="25" t="e">
        <f ca="1"/>
        <v>#REF!</v>
      </c>
      <c r="Q1639" s="25" t="e">
        <f ca="1"/>
        <v>#REF!</v>
      </c>
      <c r="R1639" s="25" t="e">
        <f ca="1"/>
        <v>#REF!</v>
      </c>
      <c r="S1639" s="25" t="e">
        <f ca="1"/>
        <v>#REF!</v>
      </c>
      <c r="T1639" s="25" t="e">
        <f ca="1"/>
        <v>#REF!</v>
      </c>
      <c r="U1639" s="25" t="e">
        <f ca="1"/>
        <v>#REF!</v>
      </c>
      <c r="V1639" s="25" t="e">
        <f ca="1"/>
        <v>#REF!</v>
      </c>
      <c r="W1639" s="33" t="e">
        <f ca="1"/>
        <v>#REF!</v>
      </c>
      <c r="X1639" s="33" t="e">
        <f ca="1"/>
        <v>#REF!</v>
      </c>
      <c r="Y1639" s="33" t="e">
        <f ca="1"/>
        <v>#REF!</v>
      </c>
      <c r="Z1639" s="33" t="e">
        <f ca="1"/>
        <v>#REF!</v>
      </c>
      <c r="AA1639" s="33" t="e">
        <f ca="1"/>
        <v>#REF!</v>
      </c>
    </row>
    <row r="1640" spans="1:27" s="70" customFormat="1" ht="11.25" x14ac:dyDescent="0.2">
      <c r="A1640" s="24">
        <v>1634</v>
      </c>
      <c r="B1640" s="24"/>
      <c r="C1640" s="25"/>
      <c r="D1640" s="26"/>
      <c r="E1640" s="25"/>
      <c r="F1640" s="25"/>
      <c r="G1640" s="24"/>
      <c r="H1640" s="25" t="e">
        <f ca="1"/>
        <v>#REF!</v>
      </c>
      <c r="I1640" s="27" t="e">
        <f ca="1"/>
        <v>#REF!</v>
      </c>
      <c r="J1640" s="28" t="e">
        <f ca="1"/>
        <v>#REF!</v>
      </c>
      <c r="K1640" s="27" t="e">
        <f ca="1"/>
        <v>#REF!</v>
      </c>
      <c r="L1640" s="25" t="e">
        <f ca="1"/>
        <v>#REF!</v>
      </c>
      <c r="M1640" s="25" t="e">
        <f ca="1"/>
        <v>#REF!</v>
      </c>
      <c r="N1640" s="25" t="e">
        <f ca="1"/>
        <v>#REF!</v>
      </c>
      <c r="O1640" s="25" t="e">
        <f ca="1"/>
        <v>#REF!</v>
      </c>
      <c r="P1640" s="25" t="e">
        <f ca="1"/>
        <v>#REF!</v>
      </c>
      <c r="Q1640" s="25" t="e">
        <f ca="1"/>
        <v>#REF!</v>
      </c>
      <c r="R1640" s="25" t="e">
        <f ca="1"/>
        <v>#REF!</v>
      </c>
      <c r="S1640" s="25" t="e">
        <f ca="1"/>
        <v>#REF!</v>
      </c>
      <c r="T1640" s="25" t="e">
        <f ca="1"/>
        <v>#REF!</v>
      </c>
      <c r="U1640" s="25" t="e">
        <f ca="1"/>
        <v>#REF!</v>
      </c>
      <c r="V1640" s="25" t="e">
        <f ca="1"/>
        <v>#REF!</v>
      </c>
      <c r="W1640" s="33" t="e">
        <f ca="1"/>
        <v>#REF!</v>
      </c>
      <c r="X1640" s="33" t="e">
        <f ca="1"/>
        <v>#REF!</v>
      </c>
      <c r="Y1640" s="33" t="e">
        <f ca="1"/>
        <v>#REF!</v>
      </c>
      <c r="Z1640" s="33" t="e">
        <f ca="1"/>
        <v>#REF!</v>
      </c>
      <c r="AA1640" s="33" t="e">
        <f ca="1"/>
        <v>#REF!</v>
      </c>
    </row>
    <row r="1641" spans="1:27" s="70" customFormat="1" ht="11.25" x14ac:dyDescent="0.2">
      <c r="A1641" s="24">
        <v>1635</v>
      </c>
      <c r="B1641" s="24"/>
      <c r="C1641" s="25"/>
      <c r="D1641" s="26"/>
      <c r="E1641" s="25"/>
      <c r="F1641" s="25"/>
      <c r="G1641" s="24"/>
      <c r="H1641" s="25" t="e">
        <f ca="1"/>
        <v>#REF!</v>
      </c>
      <c r="I1641" s="27" t="e">
        <f ca="1"/>
        <v>#REF!</v>
      </c>
      <c r="J1641" s="28" t="e">
        <f ca="1"/>
        <v>#REF!</v>
      </c>
      <c r="K1641" s="27" t="e">
        <f ca="1"/>
        <v>#REF!</v>
      </c>
      <c r="L1641" s="25" t="e">
        <f ca="1"/>
        <v>#REF!</v>
      </c>
      <c r="M1641" s="25" t="e">
        <f ca="1"/>
        <v>#REF!</v>
      </c>
      <c r="N1641" s="25" t="e">
        <f ca="1"/>
        <v>#REF!</v>
      </c>
      <c r="O1641" s="25" t="e">
        <f ca="1"/>
        <v>#REF!</v>
      </c>
      <c r="P1641" s="25" t="e">
        <f ca="1"/>
        <v>#REF!</v>
      </c>
      <c r="Q1641" s="25" t="e">
        <f ca="1"/>
        <v>#REF!</v>
      </c>
      <c r="R1641" s="25" t="e">
        <f ca="1"/>
        <v>#REF!</v>
      </c>
      <c r="S1641" s="25" t="e">
        <f ca="1"/>
        <v>#REF!</v>
      </c>
      <c r="T1641" s="25" t="e">
        <f ca="1"/>
        <v>#REF!</v>
      </c>
      <c r="U1641" s="25" t="e">
        <f ca="1"/>
        <v>#REF!</v>
      </c>
      <c r="V1641" s="25" t="e">
        <f ca="1"/>
        <v>#REF!</v>
      </c>
      <c r="W1641" s="33" t="e">
        <f ca="1"/>
        <v>#REF!</v>
      </c>
      <c r="X1641" s="33" t="e">
        <f ca="1"/>
        <v>#REF!</v>
      </c>
      <c r="Y1641" s="33" t="e">
        <f ca="1"/>
        <v>#REF!</v>
      </c>
      <c r="Z1641" s="33" t="e">
        <f ca="1"/>
        <v>#REF!</v>
      </c>
      <c r="AA1641" s="33" t="e">
        <f ca="1"/>
        <v>#REF!</v>
      </c>
    </row>
    <row r="1642" spans="1:27" s="70" customFormat="1" ht="11.25" x14ac:dyDescent="0.2">
      <c r="A1642" s="24">
        <v>1636</v>
      </c>
      <c r="B1642" s="24"/>
      <c r="C1642" s="25"/>
      <c r="D1642" s="26"/>
      <c r="E1642" s="25"/>
      <c r="F1642" s="25"/>
      <c r="G1642" s="24"/>
      <c r="H1642" s="25" t="e">
        <f ca="1"/>
        <v>#REF!</v>
      </c>
      <c r="I1642" s="27" t="e">
        <f ca="1"/>
        <v>#REF!</v>
      </c>
      <c r="J1642" s="28" t="e">
        <f ca="1"/>
        <v>#REF!</v>
      </c>
      <c r="K1642" s="27" t="e">
        <f ca="1"/>
        <v>#REF!</v>
      </c>
      <c r="L1642" s="25" t="e">
        <f ca="1"/>
        <v>#REF!</v>
      </c>
      <c r="M1642" s="25" t="e">
        <f ca="1"/>
        <v>#REF!</v>
      </c>
      <c r="N1642" s="25" t="e">
        <f ca="1"/>
        <v>#REF!</v>
      </c>
      <c r="O1642" s="25" t="e">
        <f ca="1"/>
        <v>#REF!</v>
      </c>
      <c r="P1642" s="25" t="e">
        <f ca="1"/>
        <v>#REF!</v>
      </c>
      <c r="Q1642" s="25" t="e">
        <f ca="1"/>
        <v>#REF!</v>
      </c>
      <c r="R1642" s="25" t="e">
        <f ca="1"/>
        <v>#REF!</v>
      </c>
      <c r="S1642" s="25" t="e">
        <f ca="1"/>
        <v>#REF!</v>
      </c>
      <c r="T1642" s="25" t="e">
        <f ca="1"/>
        <v>#REF!</v>
      </c>
      <c r="U1642" s="25" t="e">
        <f ca="1"/>
        <v>#REF!</v>
      </c>
      <c r="V1642" s="25" t="e">
        <f ca="1"/>
        <v>#REF!</v>
      </c>
      <c r="W1642" s="33" t="e">
        <f ca="1"/>
        <v>#REF!</v>
      </c>
      <c r="X1642" s="33" t="e">
        <f ca="1"/>
        <v>#REF!</v>
      </c>
      <c r="Y1642" s="33" t="e">
        <f ca="1"/>
        <v>#REF!</v>
      </c>
      <c r="Z1642" s="33" t="e">
        <f ca="1"/>
        <v>#REF!</v>
      </c>
      <c r="AA1642" s="33" t="e">
        <f ca="1"/>
        <v>#REF!</v>
      </c>
    </row>
    <row r="1643" spans="1:27" s="70" customFormat="1" ht="11.25" x14ac:dyDescent="0.2">
      <c r="A1643" s="24">
        <v>1637</v>
      </c>
      <c r="B1643" s="24"/>
      <c r="C1643" s="25"/>
      <c r="D1643" s="26"/>
      <c r="E1643" s="25"/>
      <c r="F1643" s="25"/>
      <c r="G1643" s="24"/>
      <c r="H1643" s="25" t="e">
        <f ca="1"/>
        <v>#REF!</v>
      </c>
      <c r="I1643" s="27" t="e">
        <f ca="1"/>
        <v>#REF!</v>
      </c>
      <c r="J1643" s="28" t="e">
        <f ca="1"/>
        <v>#REF!</v>
      </c>
      <c r="K1643" s="27" t="e">
        <f ca="1"/>
        <v>#REF!</v>
      </c>
      <c r="L1643" s="25" t="e">
        <f ca="1"/>
        <v>#REF!</v>
      </c>
      <c r="M1643" s="25" t="e">
        <f ca="1"/>
        <v>#REF!</v>
      </c>
      <c r="N1643" s="25" t="e">
        <f ca="1"/>
        <v>#REF!</v>
      </c>
      <c r="O1643" s="25" t="e">
        <f ca="1"/>
        <v>#REF!</v>
      </c>
      <c r="P1643" s="25" t="e">
        <f ca="1"/>
        <v>#REF!</v>
      </c>
      <c r="Q1643" s="25" t="e">
        <f ca="1"/>
        <v>#REF!</v>
      </c>
      <c r="R1643" s="25" t="e">
        <f ca="1"/>
        <v>#REF!</v>
      </c>
      <c r="S1643" s="25" t="e">
        <f ca="1"/>
        <v>#REF!</v>
      </c>
      <c r="T1643" s="25" t="e">
        <f ca="1"/>
        <v>#REF!</v>
      </c>
      <c r="U1643" s="25" t="e">
        <f ca="1"/>
        <v>#REF!</v>
      </c>
      <c r="V1643" s="25" t="e">
        <f ca="1"/>
        <v>#REF!</v>
      </c>
      <c r="W1643" s="33" t="e">
        <f ca="1"/>
        <v>#REF!</v>
      </c>
      <c r="X1643" s="33" t="e">
        <f ca="1"/>
        <v>#REF!</v>
      </c>
      <c r="Y1643" s="33" t="e">
        <f ca="1"/>
        <v>#REF!</v>
      </c>
      <c r="Z1643" s="33" t="e">
        <f ca="1"/>
        <v>#REF!</v>
      </c>
      <c r="AA1643" s="33" t="e">
        <f ca="1"/>
        <v>#REF!</v>
      </c>
    </row>
    <row r="1644" spans="1:27" s="70" customFormat="1" ht="11.25" x14ac:dyDescent="0.2">
      <c r="A1644" s="24">
        <v>1638</v>
      </c>
      <c r="B1644" s="24"/>
      <c r="C1644" s="25"/>
      <c r="D1644" s="26"/>
      <c r="E1644" s="25"/>
      <c r="F1644" s="25"/>
      <c r="G1644" s="24"/>
      <c r="H1644" s="25" t="e">
        <f ca="1"/>
        <v>#REF!</v>
      </c>
      <c r="I1644" s="27" t="e">
        <f ca="1"/>
        <v>#REF!</v>
      </c>
      <c r="J1644" s="28" t="e">
        <f ca="1"/>
        <v>#REF!</v>
      </c>
      <c r="K1644" s="27" t="e">
        <f ca="1"/>
        <v>#REF!</v>
      </c>
      <c r="L1644" s="25" t="e">
        <f ca="1"/>
        <v>#REF!</v>
      </c>
      <c r="M1644" s="25" t="e">
        <f ca="1"/>
        <v>#REF!</v>
      </c>
      <c r="N1644" s="25" t="e">
        <f ca="1"/>
        <v>#REF!</v>
      </c>
      <c r="O1644" s="25" t="e">
        <f ca="1"/>
        <v>#REF!</v>
      </c>
      <c r="P1644" s="25" t="e">
        <f ca="1"/>
        <v>#REF!</v>
      </c>
      <c r="Q1644" s="25" t="e">
        <f ca="1"/>
        <v>#REF!</v>
      </c>
      <c r="R1644" s="25" t="e">
        <f ca="1"/>
        <v>#REF!</v>
      </c>
      <c r="S1644" s="25" t="e">
        <f ca="1"/>
        <v>#REF!</v>
      </c>
      <c r="T1644" s="25" t="e">
        <f ca="1"/>
        <v>#REF!</v>
      </c>
      <c r="U1644" s="25" t="e">
        <f ca="1"/>
        <v>#REF!</v>
      </c>
      <c r="V1644" s="25" t="e">
        <f ca="1"/>
        <v>#REF!</v>
      </c>
      <c r="W1644" s="33" t="e">
        <f ca="1"/>
        <v>#REF!</v>
      </c>
      <c r="X1644" s="33" t="e">
        <f ca="1"/>
        <v>#REF!</v>
      </c>
      <c r="Y1644" s="33" t="e">
        <f ca="1"/>
        <v>#REF!</v>
      </c>
      <c r="Z1644" s="33" t="e">
        <f ca="1"/>
        <v>#REF!</v>
      </c>
      <c r="AA1644" s="33" t="e">
        <f ca="1"/>
        <v>#REF!</v>
      </c>
    </row>
    <row r="1645" spans="1:27" s="70" customFormat="1" ht="11.25" x14ac:dyDescent="0.2">
      <c r="A1645" s="24">
        <v>1639</v>
      </c>
      <c r="B1645" s="24"/>
      <c r="C1645" s="25"/>
      <c r="D1645" s="26"/>
      <c r="E1645" s="25"/>
      <c r="F1645" s="25"/>
      <c r="G1645" s="24"/>
      <c r="H1645" s="25" t="e">
        <f ca="1"/>
        <v>#REF!</v>
      </c>
      <c r="I1645" s="27" t="e">
        <f ca="1"/>
        <v>#REF!</v>
      </c>
      <c r="J1645" s="28" t="e">
        <f ca="1"/>
        <v>#REF!</v>
      </c>
      <c r="K1645" s="27" t="e">
        <f ca="1"/>
        <v>#REF!</v>
      </c>
      <c r="L1645" s="25" t="e">
        <f ca="1"/>
        <v>#REF!</v>
      </c>
      <c r="M1645" s="25" t="e">
        <f ca="1"/>
        <v>#REF!</v>
      </c>
      <c r="N1645" s="25" t="e">
        <f ca="1"/>
        <v>#REF!</v>
      </c>
      <c r="O1645" s="25" t="e">
        <f ca="1"/>
        <v>#REF!</v>
      </c>
      <c r="P1645" s="25" t="e">
        <f ca="1"/>
        <v>#REF!</v>
      </c>
      <c r="Q1645" s="25" t="e">
        <f ca="1"/>
        <v>#REF!</v>
      </c>
      <c r="R1645" s="25" t="e">
        <f ca="1"/>
        <v>#REF!</v>
      </c>
      <c r="S1645" s="25" t="e">
        <f ca="1"/>
        <v>#REF!</v>
      </c>
      <c r="T1645" s="25" t="e">
        <f ca="1"/>
        <v>#REF!</v>
      </c>
      <c r="U1645" s="25" t="e">
        <f ca="1"/>
        <v>#REF!</v>
      </c>
      <c r="V1645" s="25" t="e">
        <f ca="1"/>
        <v>#REF!</v>
      </c>
      <c r="W1645" s="33" t="e">
        <f ca="1"/>
        <v>#REF!</v>
      </c>
      <c r="X1645" s="33" t="e">
        <f ca="1"/>
        <v>#REF!</v>
      </c>
      <c r="Y1645" s="33" t="e">
        <f ca="1"/>
        <v>#REF!</v>
      </c>
      <c r="Z1645" s="33" t="e">
        <f ca="1"/>
        <v>#REF!</v>
      </c>
      <c r="AA1645" s="33" t="e">
        <f ca="1"/>
        <v>#REF!</v>
      </c>
    </row>
    <row r="1646" spans="1:27" s="70" customFormat="1" ht="11.25" x14ac:dyDescent="0.2">
      <c r="A1646" s="24">
        <v>1640</v>
      </c>
      <c r="B1646" s="24"/>
      <c r="C1646" s="25"/>
      <c r="D1646" s="26"/>
      <c r="E1646" s="25"/>
      <c r="F1646" s="25"/>
      <c r="G1646" s="24"/>
      <c r="H1646" s="25" t="e">
        <f ca="1"/>
        <v>#REF!</v>
      </c>
      <c r="I1646" s="27" t="e">
        <f ca="1"/>
        <v>#REF!</v>
      </c>
      <c r="J1646" s="28" t="e">
        <f ca="1"/>
        <v>#REF!</v>
      </c>
      <c r="K1646" s="27" t="e">
        <f ca="1"/>
        <v>#REF!</v>
      </c>
      <c r="L1646" s="25" t="e">
        <f ca="1"/>
        <v>#REF!</v>
      </c>
      <c r="M1646" s="25" t="e">
        <f ca="1"/>
        <v>#REF!</v>
      </c>
      <c r="N1646" s="25" t="e">
        <f ca="1"/>
        <v>#REF!</v>
      </c>
      <c r="O1646" s="25" t="e">
        <f ca="1"/>
        <v>#REF!</v>
      </c>
      <c r="P1646" s="25" t="e">
        <f ca="1"/>
        <v>#REF!</v>
      </c>
      <c r="Q1646" s="25" t="e">
        <f ca="1"/>
        <v>#REF!</v>
      </c>
      <c r="R1646" s="25" t="e">
        <f ca="1"/>
        <v>#REF!</v>
      </c>
      <c r="S1646" s="25" t="e">
        <f ca="1"/>
        <v>#REF!</v>
      </c>
      <c r="T1646" s="25" t="e">
        <f ca="1"/>
        <v>#REF!</v>
      </c>
      <c r="U1646" s="25" t="e">
        <f ca="1"/>
        <v>#REF!</v>
      </c>
      <c r="V1646" s="25" t="e">
        <f ca="1"/>
        <v>#REF!</v>
      </c>
      <c r="W1646" s="33" t="e">
        <f ca="1"/>
        <v>#REF!</v>
      </c>
      <c r="X1646" s="33" t="e">
        <f ca="1"/>
        <v>#REF!</v>
      </c>
      <c r="Y1646" s="33" t="e">
        <f ca="1"/>
        <v>#REF!</v>
      </c>
      <c r="Z1646" s="33" t="e">
        <f ca="1"/>
        <v>#REF!</v>
      </c>
      <c r="AA1646" s="33" t="e">
        <f ca="1"/>
        <v>#REF!</v>
      </c>
    </row>
    <row r="1647" spans="1:27" s="70" customFormat="1" ht="11.25" x14ac:dyDescent="0.2">
      <c r="A1647" s="24">
        <v>1641</v>
      </c>
      <c r="B1647" s="24"/>
      <c r="C1647" s="25"/>
      <c r="D1647" s="26"/>
      <c r="E1647" s="25"/>
      <c r="F1647" s="25"/>
      <c r="G1647" s="24"/>
      <c r="H1647" s="25" t="e">
        <f ca="1"/>
        <v>#REF!</v>
      </c>
      <c r="I1647" s="27" t="e">
        <f ca="1"/>
        <v>#REF!</v>
      </c>
      <c r="J1647" s="28" t="e">
        <f ca="1"/>
        <v>#REF!</v>
      </c>
      <c r="K1647" s="27" t="e">
        <f ca="1"/>
        <v>#REF!</v>
      </c>
      <c r="L1647" s="25" t="e">
        <f ca="1"/>
        <v>#REF!</v>
      </c>
      <c r="M1647" s="25" t="e">
        <f ca="1"/>
        <v>#REF!</v>
      </c>
      <c r="N1647" s="25" t="e">
        <f ca="1"/>
        <v>#REF!</v>
      </c>
      <c r="O1647" s="25" t="e">
        <f ca="1"/>
        <v>#REF!</v>
      </c>
      <c r="P1647" s="25" t="e">
        <f ca="1"/>
        <v>#REF!</v>
      </c>
      <c r="Q1647" s="25" t="e">
        <f ca="1"/>
        <v>#REF!</v>
      </c>
      <c r="R1647" s="25" t="e">
        <f ca="1"/>
        <v>#REF!</v>
      </c>
      <c r="S1647" s="25" t="e">
        <f ca="1"/>
        <v>#REF!</v>
      </c>
      <c r="T1647" s="25" t="e">
        <f ca="1"/>
        <v>#REF!</v>
      </c>
      <c r="U1647" s="25" t="e">
        <f ca="1"/>
        <v>#REF!</v>
      </c>
      <c r="V1647" s="25" t="e">
        <f ca="1"/>
        <v>#REF!</v>
      </c>
      <c r="W1647" s="33" t="e">
        <f ca="1"/>
        <v>#REF!</v>
      </c>
      <c r="X1647" s="33" t="e">
        <f ca="1"/>
        <v>#REF!</v>
      </c>
      <c r="Y1647" s="33" t="e">
        <f ca="1"/>
        <v>#REF!</v>
      </c>
      <c r="Z1647" s="33" t="e">
        <f ca="1"/>
        <v>#REF!</v>
      </c>
      <c r="AA1647" s="33" t="e">
        <f ca="1"/>
        <v>#REF!</v>
      </c>
    </row>
    <row r="1648" spans="1:27" s="70" customFormat="1" ht="11.25" x14ac:dyDescent="0.2">
      <c r="A1648" s="24">
        <v>1642</v>
      </c>
      <c r="B1648" s="24"/>
      <c r="C1648" s="25"/>
      <c r="D1648" s="26"/>
      <c r="E1648" s="25"/>
      <c r="F1648" s="25"/>
      <c r="G1648" s="24"/>
      <c r="H1648" s="25" t="e">
        <f ca="1"/>
        <v>#REF!</v>
      </c>
      <c r="I1648" s="27" t="e">
        <f ca="1"/>
        <v>#REF!</v>
      </c>
      <c r="J1648" s="28" t="e">
        <f ca="1"/>
        <v>#REF!</v>
      </c>
      <c r="K1648" s="27" t="e">
        <f ca="1"/>
        <v>#REF!</v>
      </c>
      <c r="L1648" s="25" t="e">
        <f ca="1"/>
        <v>#REF!</v>
      </c>
      <c r="M1648" s="25" t="e">
        <f ca="1"/>
        <v>#REF!</v>
      </c>
      <c r="N1648" s="25" t="e">
        <f ca="1"/>
        <v>#REF!</v>
      </c>
      <c r="O1648" s="25" t="e">
        <f ca="1"/>
        <v>#REF!</v>
      </c>
      <c r="P1648" s="25" t="e">
        <f ca="1"/>
        <v>#REF!</v>
      </c>
      <c r="Q1648" s="25" t="e">
        <f ca="1"/>
        <v>#REF!</v>
      </c>
      <c r="R1648" s="25" t="e">
        <f ca="1"/>
        <v>#REF!</v>
      </c>
      <c r="S1648" s="25" t="e">
        <f ca="1"/>
        <v>#REF!</v>
      </c>
      <c r="T1648" s="25" t="e">
        <f ca="1"/>
        <v>#REF!</v>
      </c>
      <c r="U1648" s="25" t="e">
        <f ca="1"/>
        <v>#REF!</v>
      </c>
      <c r="V1648" s="25" t="e">
        <f ca="1"/>
        <v>#REF!</v>
      </c>
      <c r="W1648" s="33" t="e">
        <f ca="1"/>
        <v>#REF!</v>
      </c>
      <c r="X1648" s="33" t="e">
        <f ca="1"/>
        <v>#REF!</v>
      </c>
      <c r="Y1648" s="33" t="e">
        <f ca="1"/>
        <v>#REF!</v>
      </c>
      <c r="Z1648" s="33" t="e">
        <f ca="1"/>
        <v>#REF!</v>
      </c>
      <c r="AA1648" s="33" t="e">
        <f ca="1"/>
        <v>#REF!</v>
      </c>
    </row>
    <row r="1649" spans="1:27" s="70" customFormat="1" ht="11.25" x14ac:dyDescent="0.2">
      <c r="A1649" s="24">
        <v>1643</v>
      </c>
      <c r="B1649" s="24"/>
      <c r="C1649" s="25"/>
      <c r="D1649" s="26"/>
      <c r="E1649" s="25"/>
      <c r="F1649" s="25"/>
      <c r="G1649" s="24"/>
      <c r="H1649" s="25" t="e">
        <f ca="1"/>
        <v>#REF!</v>
      </c>
      <c r="I1649" s="27" t="e">
        <f ca="1"/>
        <v>#REF!</v>
      </c>
      <c r="J1649" s="28" t="e">
        <f ca="1"/>
        <v>#REF!</v>
      </c>
      <c r="K1649" s="27" t="e">
        <f ca="1"/>
        <v>#REF!</v>
      </c>
      <c r="L1649" s="25" t="e">
        <f ca="1"/>
        <v>#REF!</v>
      </c>
      <c r="M1649" s="25" t="e">
        <f ca="1"/>
        <v>#REF!</v>
      </c>
      <c r="N1649" s="25" t="e">
        <f ca="1"/>
        <v>#REF!</v>
      </c>
      <c r="O1649" s="25" t="e">
        <f ca="1"/>
        <v>#REF!</v>
      </c>
      <c r="P1649" s="25" t="e">
        <f ca="1"/>
        <v>#REF!</v>
      </c>
      <c r="Q1649" s="25" t="e">
        <f ca="1"/>
        <v>#REF!</v>
      </c>
      <c r="R1649" s="25" t="e">
        <f ca="1"/>
        <v>#REF!</v>
      </c>
      <c r="S1649" s="25" t="e">
        <f ca="1"/>
        <v>#REF!</v>
      </c>
      <c r="T1649" s="25" t="e">
        <f ca="1"/>
        <v>#REF!</v>
      </c>
      <c r="U1649" s="25" t="e">
        <f ca="1"/>
        <v>#REF!</v>
      </c>
      <c r="V1649" s="25" t="e">
        <f ca="1"/>
        <v>#REF!</v>
      </c>
      <c r="W1649" s="33" t="e">
        <f ca="1"/>
        <v>#REF!</v>
      </c>
      <c r="X1649" s="33" t="e">
        <f ca="1"/>
        <v>#REF!</v>
      </c>
      <c r="Y1649" s="33" t="e">
        <f ca="1"/>
        <v>#REF!</v>
      </c>
      <c r="Z1649" s="33" t="e">
        <f ca="1"/>
        <v>#REF!</v>
      </c>
      <c r="AA1649" s="33" t="e">
        <f ca="1"/>
        <v>#REF!</v>
      </c>
    </row>
    <row r="1650" spans="1:27" s="70" customFormat="1" ht="11.25" x14ac:dyDescent="0.2">
      <c r="A1650" s="24">
        <v>1644</v>
      </c>
      <c r="B1650" s="24"/>
      <c r="C1650" s="25"/>
      <c r="D1650" s="26"/>
      <c r="E1650" s="25"/>
      <c r="F1650" s="25"/>
      <c r="G1650" s="24"/>
      <c r="H1650" s="25" t="e">
        <f ca="1"/>
        <v>#REF!</v>
      </c>
      <c r="I1650" s="27" t="e">
        <f ca="1"/>
        <v>#REF!</v>
      </c>
      <c r="J1650" s="28" t="e">
        <f ca="1"/>
        <v>#REF!</v>
      </c>
      <c r="K1650" s="27" t="e">
        <f ca="1"/>
        <v>#REF!</v>
      </c>
      <c r="L1650" s="25" t="e">
        <f ca="1"/>
        <v>#REF!</v>
      </c>
      <c r="M1650" s="25" t="e">
        <f ca="1"/>
        <v>#REF!</v>
      </c>
      <c r="N1650" s="25" t="e">
        <f ca="1"/>
        <v>#REF!</v>
      </c>
      <c r="O1650" s="25" t="e">
        <f ca="1"/>
        <v>#REF!</v>
      </c>
      <c r="P1650" s="25" t="e">
        <f ca="1"/>
        <v>#REF!</v>
      </c>
      <c r="Q1650" s="25" t="e">
        <f ca="1"/>
        <v>#REF!</v>
      </c>
      <c r="R1650" s="25" t="e">
        <f ca="1"/>
        <v>#REF!</v>
      </c>
      <c r="S1650" s="25" t="e">
        <f ca="1"/>
        <v>#REF!</v>
      </c>
      <c r="T1650" s="25" t="e">
        <f ca="1"/>
        <v>#REF!</v>
      </c>
      <c r="U1650" s="25" t="e">
        <f ca="1"/>
        <v>#REF!</v>
      </c>
      <c r="V1650" s="25" t="e">
        <f ca="1"/>
        <v>#REF!</v>
      </c>
      <c r="W1650" s="33" t="e">
        <f ca="1"/>
        <v>#REF!</v>
      </c>
      <c r="X1650" s="33" t="e">
        <f ca="1"/>
        <v>#REF!</v>
      </c>
      <c r="Y1650" s="33" t="e">
        <f ca="1"/>
        <v>#REF!</v>
      </c>
      <c r="Z1650" s="33" t="e">
        <f ca="1"/>
        <v>#REF!</v>
      </c>
      <c r="AA1650" s="33" t="e">
        <f ca="1"/>
        <v>#REF!</v>
      </c>
    </row>
    <row r="1651" spans="1:27" s="70" customFormat="1" ht="11.25" x14ac:dyDescent="0.2">
      <c r="A1651" s="24">
        <v>1645</v>
      </c>
      <c r="B1651" s="24"/>
      <c r="C1651" s="25"/>
      <c r="D1651" s="26"/>
      <c r="E1651" s="25"/>
      <c r="F1651" s="25"/>
      <c r="G1651" s="24"/>
      <c r="H1651" s="25" t="e">
        <f ca="1"/>
        <v>#REF!</v>
      </c>
      <c r="I1651" s="27" t="e">
        <f ca="1"/>
        <v>#REF!</v>
      </c>
      <c r="J1651" s="28" t="e">
        <f ca="1"/>
        <v>#REF!</v>
      </c>
      <c r="K1651" s="27" t="e">
        <f ca="1"/>
        <v>#REF!</v>
      </c>
      <c r="L1651" s="25" t="e">
        <f ca="1"/>
        <v>#REF!</v>
      </c>
      <c r="M1651" s="25" t="e">
        <f ca="1"/>
        <v>#REF!</v>
      </c>
      <c r="N1651" s="25" t="e">
        <f ca="1"/>
        <v>#REF!</v>
      </c>
      <c r="O1651" s="25" t="e">
        <f ca="1"/>
        <v>#REF!</v>
      </c>
      <c r="P1651" s="25" t="e">
        <f ca="1"/>
        <v>#REF!</v>
      </c>
      <c r="Q1651" s="25" t="e">
        <f ca="1"/>
        <v>#REF!</v>
      </c>
      <c r="R1651" s="25" t="e">
        <f ca="1"/>
        <v>#REF!</v>
      </c>
      <c r="S1651" s="25" t="e">
        <f ca="1"/>
        <v>#REF!</v>
      </c>
      <c r="T1651" s="25" t="e">
        <f ca="1"/>
        <v>#REF!</v>
      </c>
      <c r="U1651" s="25" t="e">
        <f ca="1"/>
        <v>#REF!</v>
      </c>
      <c r="V1651" s="25" t="e">
        <f ca="1"/>
        <v>#REF!</v>
      </c>
      <c r="W1651" s="33" t="e">
        <f ca="1"/>
        <v>#REF!</v>
      </c>
      <c r="X1651" s="33" t="e">
        <f ca="1"/>
        <v>#REF!</v>
      </c>
      <c r="Y1651" s="33" t="e">
        <f ca="1"/>
        <v>#REF!</v>
      </c>
      <c r="Z1651" s="33" t="e">
        <f ca="1"/>
        <v>#REF!</v>
      </c>
      <c r="AA1651" s="33" t="e">
        <f ca="1"/>
        <v>#REF!</v>
      </c>
    </row>
    <row r="1652" spans="1:27" s="70" customFormat="1" ht="11.25" x14ac:dyDescent="0.2">
      <c r="A1652" s="24">
        <v>1646</v>
      </c>
      <c r="B1652" s="24"/>
      <c r="C1652" s="25"/>
      <c r="D1652" s="26"/>
      <c r="E1652" s="25"/>
      <c r="F1652" s="25"/>
      <c r="G1652" s="24"/>
      <c r="H1652" s="25" t="e">
        <f ca="1"/>
        <v>#REF!</v>
      </c>
      <c r="I1652" s="27" t="e">
        <f ca="1"/>
        <v>#REF!</v>
      </c>
      <c r="J1652" s="28" t="e">
        <f ca="1"/>
        <v>#REF!</v>
      </c>
      <c r="K1652" s="27" t="e">
        <f ca="1"/>
        <v>#REF!</v>
      </c>
      <c r="L1652" s="25" t="e">
        <f ca="1"/>
        <v>#REF!</v>
      </c>
      <c r="M1652" s="25" t="e">
        <f ca="1"/>
        <v>#REF!</v>
      </c>
      <c r="N1652" s="25" t="e">
        <f ca="1"/>
        <v>#REF!</v>
      </c>
      <c r="O1652" s="25" t="e">
        <f ca="1"/>
        <v>#REF!</v>
      </c>
      <c r="P1652" s="25" t="e">
        <f ca="1"/>
        <v>#REF!</v>
      </c>
      <c r="Q1652" s="25" t="e">
        <f ca="1"/>
        <v>#REF!</v>
      </c>
      <c r="R1652" s="25" t="e">
        <f ca="1"/>
        <v>#REF!</v>
      </c>
      <c r="S1652" s="25" t="e">
        <f ca="1"/>
        <v>#REF!</v>
      </c>
      <c r="T1652" s="25" t="e">
        <f ca="1"/>
        <v>#REF!</v>
      </c>
      <c r="U1652" s="25" t="e">
        <f ca="1"/>
        <v>#REF!</v>
      </c>
      <c r="V1652" s="25" t="e">
        <f ca="1"/>
        <v>#REF!</v>
      </c>
      <c r="W1652" s="33" t="e">
        <f ca="1"/>
        <v>#REF!</v>
      </c>
      <c r="X1652" s="33" t="e">
        <f ca="1"/>
        <v>#REF!</v>
      </c>
      <c r="Y1652" s="33" t="e">
        <f ca="1"/>
        <v>#REF!</v>
      </c>
      <c r="Z1652" s="33" t="e">
        <f ca="1"/>
        <v>#REF!</v>
      </c>
      <c r="AA1652" s="33" t="e">
        <f ca="1"/>
        <v>#REF!</v>
      </c>
    </row>
    <row r="1653" spans="1:27" s="70" customFormat="1" ht="11.25" x14ac:dyDescent="0.2">
      <c r="A1653" s="24">
        <v>1647</v>
      </c>
      <c r="B1653" s="24"/>
      <c r="C1653" s="25"/>
      <c r="D1653" s="26"/>
      <c r="E1653" s="25"/>
      <c r="F1653" s="25"/>
      <c r="G1653" s="24"/>
      <c r="H1653" s="25" t="e">
        <f ca="1"/>
        <v>#REF!</v>
      </c>
      <c r="I1653" s="27" t="e">
        <f ca="1"/>
        <v>#REF!</v>
      </c>
      <c r="J1653" s="28" t="e">
        <f ca="1"/>
        <v>#REF!</v>
      </c>
      <c r="K1653" s="27" t="e">
        <f ca="1"/>
        <v>#REF!</v>
      </c>
      <c r="L1653" s="25" t="e">
        <f ca="1"/>
        <v>#REF!</v>
      </c>
      <c r="M1653" s="25" t="e">
        <f ca="1"/>
        <v>#REF!</v>
      </c>
      <c r="N1653" s="25" t="e">
        <f ca="1"/>
        <v>#REF!</v>
      </c>
      <c r="O1653" s="25" t="e">
        <f ca="1"/>
        <v>#REF!</v>
      </c>
      <c r="P1653" s="25" t="e">
        <f ca="1"/>
        <v>#REF!</v>
      </c>
      <c r="Q1653" s="25" t="e">
        <f ca="1"/>
        <v>#REF!</v>
      </c>
      <c r="R1653" s="25" t="e">
        <f ca="1"/>
        <v>#REF!</v>
      </c>
      <c r="S1653" s="25" t="e">
        <f ca="1"/>
        <v>#REF!</v>
      </c>
      <c r="T1653" s="25" t="e">
        <f ca="1"/>
        <v>#REF!</v>
      </c>
      <c r="U1653" s="25" t="e">
        <f ca="1"/>
        <v>#REF!</v>
      </c>
      <c r="V1653" s="25" t="e">
        <f ca="1"/>
        <v>#REF!</v>
      </c>
      <c r="W1653" s="33" t="e">
        <f ca="1"/>
        <v>#REF!</v>
      </c>
      <c r="X1653" s="33" t="e">
        <f ca="1"/>
        <v>#REF!</v>
      </c>
      <c r="Y1653" s="33" t="e">
        <f ca="1"/>
        <v>#REF!</v>
      </c>
      <c r="Z1653" s="33" t="e">
        <f ca="1"/>
        <v>#REF!</v>
      </c>
      <c r="AA1653" s="33" t="e">
        <f ca="1"/>
        <v>#REF!</v>
      </c>
    </row>
    <row r="1654" spans="1:27" s="70" customFormat="1" ht="11.25" x14ac:dyDescent="0.2">
      <c r="A1654" s="24">
        <v>1648</v>
      </c>
      <c r="B1654" s="24"/>
      <c r="C1654" s="25"/>
      <c r="D1654" s="26"/>
      <c r="E1654" s="25"/>
      <c r="F1654" s="25"/>
      <c r="G1654" s="24"/>
      <c r="H1654" s="25" t="e">
        <f ca="1"/>
        <v>#REF!</v>
      </c>
      <c r="I1654" s="27" t="e">
        <f ca="1"/>
        <v>#REF!</v>
      </c>
      <c r="J1654" s="28" t="e">
        <f ca="1"/>
        <v>#REF!</v>
      </c>
      <c r="K1654" s="27" t="e">
        <f ca="1"/>
        <v>#REF!</v>
      </c>
      <c r="L1654" s="25" t="e">
        <f ca="1"/>
        <v>#REF!</v>
      </c>
      <c r="M1654" s="25" t="e">
        <f ca="1"/>
        <v>#REF!</v>
      </c>
      <c r="N1654" s="25" t="e">
        <f ca="1"/>
        <v>#REF!</v>
      </c>
      <c r="O1654" s="25" t="e">
        <f ca="1"/>
        <v>#REF!</v>
      </c>
      <c r="P1654" s="25" t="e">
        <f ca="1"/>
        <v>#REF!</v>
      </c>
      <c r="Q1654" s="25" t="e">
        <f ca="1"/>
        <v>#REF!</v>
      </c>
      <c r="R1654" s="25" t="e">
        <f ca="1"/>
        <v>#REF!</v>
      </c>
      <c r="S1654" s="25" t="e">
        <f ca="1"/>
        <v>#REF!</v>
      </c>
      <c r="T1654" s="25" t="e">
        <f ca="1"/>
        <v>#REF!</v>
      </c>
      <c r="U1654" s="25" t="e">
        <f ca="1"/>
        <v>#REF!</v>
      </c>
      <c r="V1654" s="25" t="e">
        <f ca="1"/>
        <v>#REF!</v>
      </c>
      <c r="W1654" s="33" t="e">
        <f ca="1"/>
        <v>#REF!</v>
      </c>
      <c r="X1654" s="33" t="e">
        <f ca="1"/>
        <v>#REF!</v>
      </c>
      <c r="Y1654" s="33" t="e">
        <f ca="1"/>
        <v>#REF!</v>
      </c>
      <c r="Z1654" s="33" t="e">
        <f ca="1"/>
        <v>#REF!</v>
      </c>
      <c r="AA1654" s="33" t="e">
        <f ca="1"/>
        <v>#REF!</v>
      </c>
    </row>
    <row r="1655" spans="1:27" s="70" customFormat="1" ht="11.25" x14ac:dyDescent="0.2">
      <c r="A1655" s="24">
        <v>1649</v>
      </c>
      <c r="B1655" s="24"/>
      <c r="C1655" s="25"/>
      <c r="D1655" s="26"/>
      <c r="E1655" s="25"/>
      <c r="F1655" s="25"/>
      <c r="G1655" s="24"/>
      <c r="H1655" s="25" t="e">
        <f ca="1"/>
        <v>#REF!</v>
      </c>
      <c r="I1655" s="27" t="e">
        <f ca="1"/>
        <v>#REF!</v>
      </c>
      <c r="J1655" s="28" t="e">
        <f ca="1"/>
        <v>#REF!</v>
      </c>
      <c r="K1655" s="27" t="e">
        <f ca="1"/>
        <v>#REF!</v>
      </c>
      <c r="L1655" s="25" t="e">
        <f ca="1"/>
        <v>#REF!</v>
      </c>
      <c r="M1655" s="25" t="e">
        <f ca="1"/>
        <v>#REF!</v>
      </c>
      <c r="N1655" s="25" t="e">
        <f ca="1"/>
        <v>#REF!</v>
      </c>
      <c r="O1655" s="25" t="e">
        <f ca="1"/>
        <v>#REF!</v>
      </c>
      <c r="P1655" s="25" t="e">
        <f ca="1"/>
        <v>#REF!</v>
      </c>
      <c r="Q1655" s="25" t="e">
        <f ca="1"/>
        <v>#REF!</v>
      </c>
      <c r="R1655" s="25" t="e">
        <f ca="1"/>
        <v>#REF!</v>
      </c>
      <c r="S1655" s="25" t="e">
        <f ca="1"/>
        <v>#REF!</v>
      </c>
      <c r="T1655" s="25" t="e">
        <f ca="1"/>
        <v>#REF!</v>
      </c>
      <c r="U1655" s="25" t="e">
        <f ca="1"/>
        <v>#REF!</v>
      </c>
      <c r="V1655" s="25" t="e">
        <f ca="1"/>
        <v>#REF!</v>
      </c>
      <c r="W1655" s="33" t="e">
        <f ca="1"/>
        <v>#REF!</v>
      </c>
      <c r="X1655" s="33" t="e">
        <f ca="1"/>
        <v>#REF!</v>
      </c>
      <c r="Y1655" s="33" t="e">
        <f ca="1"/>
        <v>#REF!</v>
      </c>
      <c r="Z1655" s="33" t="e">
        <f ca="1"/>
        <v>#REF!</v>
      </c>
      <c r="AA1655" s="33" t="e">
        <f ca="1"/>
        <v>#REF!</v>
      </c>
    </row>
    <row r="1656" spans="1:27" s="70" customFormat="1" ht="11.25" x14ac:dyDescent="0.2">
      <c r="A1656" s="24">
        <v>1650</v>
      </c>
      <c r="B1656" s="24"/>
      <c r="C1656" s="25"/>
      <c r="D1656" s="26"/>
      <c r="E1656" s="25"/>
      <c r="F1656" s="25"/>
      <c r="G1656" s="24"/>
      <c r="H1656" s="25" t="e">
        <f ca="1"/>
        <v>#REF!</v>
      </c>
      <c r="I1656" s="27" t="e">
        <f ca="1"/>
        <v>#REF!</v>
      </c>
      <c r="J1656" s="28" t="e">
        <f ca="1"/>
        <v>#REF!</v>
      </c>
      <c r="K1656" s="27" t="e">
        <f ca="1"/>
        <v>#REF!</v>
      </c>
      <c r="L1656" s="25" t="e">
        <f ca="1"/>
        <v>#REF!</v>
      </c>
      <c r="M1656" s="25" t="e">
        <f ca="1"/>
        <v>#REF!</v>
      </c>
      <c r="N1656" s="25" t="e">
        <f ca="1"/>
        <v>#REF!</v>
      </c>
      <c r="O1656" s="25" t="e">
        <f ca="1"/>
        <v>#REF!</v>
      </c>
      <c r="P1656" s="25" t="e">
        <f ca="1"/>
        <v>#REF!</v>
      </c>
      <c r="Q1656" s="25" t="e">
        <f ca="1"/>
        <v>#REF!</v>
      </c>
      <c r="R1656" s="25" t="e">
        <f ca="1"/>
        <v>#REF!</v>
      </c>
      <c r="S1656" s="25" t="e">
        <f ca="1"/>
        <v>#REF!</v>
      </c>
      <c r="T1656" s="25" t="e">
        <f ca="1"/>
        <v>#REF!</v>
      </c>
      <c r="U1656" s="25" t="e">
        <f ca="1"/>
        <v>#REF!</v>
      </c>
      <c r="V1656" s="25" t="e">
        <f ca="1"/>
        <v>#REF!</v>
      </c>
      <c r="W1656" s="33" t="e">
        <f ca="1"/>
        <v>#REF!</v>
      </c>
      <c r="X1656" s="33" t="e">
        <f ca="1"/>
        <v>#REF!</v>
      </c>
      <c r="Y1656" s="33" t="e">
        <f ca="1"/>
        <v>#REF!</v>
      </c>
      <c r="Z1656" s="33" t="e">
        <f ca="1"/>
        <v>#REF!</v>
      </c>
      <c r="AA1656" s="33" t="e">
        <f ca="1"/>
        <v>#REF!</v>
      </c>
    </row>
    <row r="1657" spans="1:27" s="70" customFormat="1" ht="11.25" x14ac:dyDescent="0.2">
      <c r="A1657" s="24">
        <v>1651</v>
      </c>
      <c r="B1657" s="24"/>
      <c r="C1657" s="25"/>
      <c r="D1657" s="26"/>
      <c r="E1657" s="25"/>
      <c r="F1657" s="25"/>
      <c r="G1657" s="24"/>
      <c r="H1657" s="25" t="e">
        <f ca="1"/>
        <v>#REF!</v>
      </c>
      <c r="I1657" s="27" t="e">
        <f ca="1"/>
        <v>#REF!</v>
      </c>
      <c r="J1657" s="28" t="e">
        <f ca="1"/>
        <v>#REF!</v>
      </c>
      <c r="K1657" s="27" t="e">
        <f ca="1"/>
        <v>#REF!</v>
      </c>
      <c r="L1657" s="25" t="e">
        <f ca="1"/>
        <v>#REF!</v>
      </c>
      <c r="M1657" s="25" t="e">
        <f ca="1"/>
        <v>#REF!</v>
      </c>
      <c r="N1657" s="25" t="e">
        <f ca="1"/>
        <v>#REF!</v>
      </c>
      <c r="O1657" s="25" t="e">
        <f ca="1"/>
        <v>#REF!</v>
      </c>
      <c r="P1657" s="25" t="e">
        <f ca="1"/>
        <v>#REF!</v>
      </c>
      <c r="Q1657" s="25" t="e">
        <f ca="1"/>
        <v>#REF!</v>
      </c>
      <c r="R1657" s="25" t="e">
        <f ca="1"/>
        <v>#REF!</v>
      </c>
      <c r="S1657" s="25" t="e">
        <f ca="1"/>
        <v>#REF!</v>
      </c>
      <c r="T1657" s="25" t="e">
        <f ca="1"/>
        <v>#REF!</v>
      </c>
      <c r="U1657" s="25" t="e">
        <f ca="1"/>
        <v>#REF!</v>
      </c>
      <c r="V1657" s="25" t="e">
        <f ca="1"/>
        <v>#REF!</v>
      </c>
      <c r="W1657" s="33" t="e">
        <f ca="1"/>
        <v>#REF!</v>
      </c>
      <c r="X1657" s="33" t="e">
        <f ca="1"/>
        <v>#REF!</v>
      </c>
      <c r="Y1657" s="33" t="e">
        <f ca="1"/>
        <v>#REF!</v>
      </c>
      <c r="Z1657" s="33" t="e">
        <f ca="1"/>
        <v>#REF!</v>
      </c>
      <c r="AA1657" s="33" t="e">
        <f ca="1"/>
        <v>#REF!</v>
      </c>
    </row>
    <row r="1658" spans="1:27" s="70" customFormat="1" ht="11.25" x14ac:dyDescent="0.2">
      <c r="A1658" s="24">
        <v>1652</v>
      </c>
      <c r="B1658" s="24"/>
      <c r="C1658" s="25"/>
      <c r="D1658" s="26"/>
      <c r="E1658" s="25"/>
      <c r="F1658" s="25"/>
      <c r="G1658" s="24"/>
      <c r="H1658" s="25" t="e">
        <f ca="1"/>
        <v>#REF!</v>
      </c>
      <c r="I1658" s="27" t="e">
        <f ca="1"/>
        <v>#REF!</v>
      </c>
      <c r="J1658" s="28" t="e">
        <f ca="1"/>
        <v>#REF!</v>
      </c>
      <c r="K1658" s="27" t="e">
        <f ca="1"/>
        <v>#REF!</v>
      </c>
      <c r="L1658" s="25" t="e">
        <f ca="1"/>
        <v>#REF!</v>
      </c>
      <c r="M1658" s="25" t="e">
        <f ca="1"/>
        <v>#REF!</v>
      </c>
      <c r="N1658" s="25" t="e">
        <f ca="1"/>
        <v>#REF!</v>
      </c>
      <c r="O1658" s="25" t="e">
        <f ca="1"/>
        <v>#REF!</v>
      </c>
      <c r="P1658" s="25" t="e">
        <f ca="1"/>
        <v>#REF!</v>
      </c>
      <c r="Q1658" s="25" t="e">
        <f ca="1"/>
        <v>#REF!</v>
      </c>
      <c r="R1658" s="25" t="e">
        <f ca="1"/>
        <v>#REF!</v>
      </c>
      <c r="S1658" s="25" t="e">
        <f ca="1"/>
        <v>#REF!</v>
      </c>
      <c r="T1658" s="25" t="e">
        <f ca="1"/>
        <v>#REF!</v>
      </c>
      <c r="U1658" s="25" t="e">
        <f ca="1"/>
        <v>#REF!</v>
      </c>
      <c r="V1658" s="25" t="e">
        <f ca="1"/>
        <v>#REF!</v>
      </c>
      <c r="W1658" s="33" t="e">
        <f ca="1"/>
        <v>#REF!</v>
      </c>
      <c r="X1658" s="33" t="e">
        <f ca="1"/>
        <v>#REF!</v>
      </c>
      <c r="Y1658" s="33" t="e">
        <f ca="1"/>
        <v>#REF!</v>
      </c>
      <c r="Z1658" s="33" t="e">
        <f ca="1"/>
        <v>#REF!</v>
      </c>
      <c r="AA1658" s="33" t="e">
        <f ca="1"/>
        <v>#REF!</v>
      </c>
    </row>
    <row r="1659" spans="1:27" s="70" customFormat="1" ht="11.25" x14ac:dyDescent="0.2">
      <c r="A1659" s="24">
        <v>1653</v>
      </c>
      <c r="B1659" s="24"/>
      <c r="C1659" s="25"/>
      <c r="D1659" s="26"/>
      <c r="E1659" s="25"/>
      <c r="F1659" s="25"/>
      <c r="G1659" s="24"/>
      <c r="H1659" s="25" t="e">
        <f ca="1"/>
        <v>#REF!</v>
      </c>
      <c r="I1659" s="27" t="e">
        <f ca="1"/>
        <v>#REF!</v>
      </c>
      <c r="J1659" s="28" t="e">
        <f ca="1"/>
        <v>#REF!</v>
      </c>
      <c r="K1659" s="27" t="e">
        <f ca="1"/>
        <v>#REF!</v>
      </c>
      <c r="L1659" s="25" t="e">
        <f ca="1"/>
        <v>#REF!</v>
      </c>
      <c r="M1659" s="25" t="e">
        <f ca="1"/>
        <v>#REF!</v>
      </c>
      <c r="N1659" s="25" t="e">
        <f ca="1"/>
        <v>#REF!</v>
      </c>
      <c r="O1659" s="25" t="e">
        <f ca="1"/>
        <v>#REF!</v>
      </c>
      <c r="P1659" s="25" t="e">
        <f ca="1"/>
        <v>#REF!</v>
      </c>
      <c r="Q1659" s="25" t="e">
        <f ca="1"/>
        <v>#REF!</v>
      </c>
      <c r="R1659" s="25" t="e">
        <f ca="1"/>
        <v>#REF!</v>
      </c>
      <c r="S1659" s="25" t="e">
        <f ca="1"/>
        <v>#REF!</v>
      </c>
      <c r="T1659" s="25" t="e">
        <f ca="1"/>
        <v>#REF!</v>
      </c>
      <c r="U1659" s="25" t="e">
        <f ca="1"/>
        <v>#REF!</v>
      </c>
      <c r="V1659" s="25" t="e">
        <f ca="1"/>
        <v>#REF!</v>
      </c>
      <c r="W1659" s="33" t="e">
        <f ca="1"/>
        <v>#REF!</v>
      </c>
      <c r="X1659" s="33" t="e">
        <f ca="1"/>
        <v>#REF!</v>
      </c>
      <c r="Y1659" s="33" t="e">
        <f ca="1"/>
        <v>#REF!</v>
      </c>
      <c r="Z1659" s="33" t="e">
        <f ca="1"/>
        <v>#REF!</v>
      </c>
      <c r="AA1659" s="33" t="e">
        <f ca="1"/>
        <v>#REF!</v>
      </c>
    </row>
    <row r="1660" spans="1:27" s="70" customFormat="1" ht="11.25" x14ac:dyDescent="0.2">
      <c r="A1660" s="24">
        <v>1654</v>
      </c>
      <c r="B1660" s="24"/>
      <c r="C1660" s="25"/>
      <c r="D1660" s="26"/>
      <c r="E1660" s="25"/>
      <c r="F1660" s="25"/>
      <c r="G1660" s="24"/>
      <c r="H1660" s="25" t="e">
        <f ca="1"/>
        <v>#REF!</v>
      </c>
      <c r="I1660" s="27" t="e">
        <f ca="1"/>
        <v>#REF!</v>
      </c>
      <c r="J1660" s="25" t="e">
        <f ca="1"/>
        <v>#REF!</v>
      </c>
      <c r="K1660" s="27" t="e">
        <f ca="1"/>
        <v>#REF!</v>
      </c>
      <c r="L1660" s="25" t="e">
        <f ca="1"/>
        <v>#REF!</v>
      </c>
      <c r="M1660" s="25" t="e">
        <f ca="1"/>
        <v>#REF!</v>
      </c>
      <c r="N1660" s="25" t="e">
        <f ca="1"/>
        <v>#REF!</v>
      </c>
      <c r="O1660" s="25" t="e">
        <f ca="1"/>
        <v>#REF!</v>
      </c>
      <c r="P1660" s="25" t="e">
        <f ca="1"/>
        <v>#REF!</v>
      </c>
      <c r="Q1660" s="25" t="e">
        <f ca="1"/>
        <v>#REF!</v>
      </c>
      <c r="R1660" s="25" t="e">
        <f ca="1"/>
        <v>#REF!</v>
      </c>
      <c r="S1660" s="25" t="e">
        <f ca="1"/>
        <v>#REF!</v>
      </c>
      <c r="T1660" s="25" t="e">
        <f ca="1"/>
        <v>#REF!</v>
      </c>
      <c r="U1660" s="25" t="e">
        <f ca="1"/>
        <v>#REF!</v>
      </c>
      <c r="V1660" s="25" t="e">
        <f ca="1"/>
        <v>#REF!</v>
      </c>
      <c r="W1660" s="33" t="e">
        <f ca="1"/>
        <v>#REF!</v>
      </c>
      <c r="X1660" s="33" t="e">
        <f ca="1"/>
        <v>#REF!</v>
      </c>
      <c r="Y1660" s="33" t="e">
        <f ca="1"/>
        <v>#REF!</v>
      </c>
      <c r="Z1660" s="33" t="e">
        <f ca="1"/>
        <v>#REF!</v>
      </c>
      <c r="AA1660" s="33" t="e">
        <f ca="1"/>
        <v>#REF!</v>
      </c>
    </row>
    <row r="1661" spans="1:27" s="70" customFormat="1" ht="11.25" x14ac:dyDescent="0.2">
      <c r="A1661" s="24">
        <v>1655</v>
      </c>
      <c r="B1661" s="24"/>
      <c r="C1661" s="25"/>
      <c r="D1661" s="26"/>
      <c r="E1661" s="25"/>
      <c r="F1661" s="25"/>
      <c r="G1661" s="24"/>
      <c r="H1661" s="25" t="e">
        <f ca="1"/>
        <v>#REF!</v>
      </c>
      <c r="I1661" s="24" t="e">
        <f ca="1"/>
        <v>#REF!</v>
      </c>
      <c r="J1661" s="25" t="e">
        <f ca="1"/>
        <v>#REF!</v>
      </c>
      <c r="K1661" s="24" t="e">
        <f ca="1"/>
        <v>#REF!</v>
      </c>
      <c r="L1661" s="25" t="e">
        <f ca="1"/>
        <v>#REF!</v>
      </c>
      <c r="M1661" s="25" t="e">
        <f ca="1"/>
        <v>#REF!</v>
      </c>
      <c r="N1661" s="25" t="e">
        <f ca="1"/>
        <v>#REF!</v>
      </c>
      <c r="O1661" s="25" t="e">
        <f ca="1"/>
        <v>#REF!</v>
      </c>
      <c r="P1661" s="25" t="e">
        <f ca="1"/>
        <v>#REF!</v>
      </c>
      <c r="Q1661" s="25" t="e">
        <f ca="1"/>
        <v>#REF!</v>
      </c>
      <c r="R1661" s="25" t="e">
        <f ca="1"/>
        <v>#REF!</v>
      </c>
      <c r="S1661" s="25" t="e">
        <f ca="1"/>
        <v>#REF!</v>
      </c>
      <c r="T1661" s="25" t="e">
        <f ca="1"/>
        <v>#REF!</v>
      </c>
      <c r="U1661" s="25" t="e">
        <f ca="1"/>
        <v>#REF!</v>
      </c>
      <c r="V1661" s="25" t="e">
        <f ca="1"/>
        <v>#REF!</v>
      </c>
      <c r="W1661" s="33" t="e">
        <f ca="1"/>
        <v>#REF!</v>
      </c>
      <c r="X1661" s="33" t="e">
        <f ca="1"/>
        <v>#REF!</v>
      </c>
      <c r="Y1661" s="33" t="e">
        <f ca="1"/>
        <v>#REF!</v>
      </c>
      <c r="Z1661" s="33" t="e">
        <f ca="1"/>
        <v>#REF!</v>
      </c>
      <c r="AA1661" s="33" t="e">
        <f ca="1"/>
        <v>#REF!</v>
      </c>
    </row>
    <row r="1662" spans="1:27" s="70" customFormat="1" ht="11.25" x14ac:dyDescent="0.2">
      <c r="A1662" s="24">
        <v>1656</v>
      </c>
      <c r="B1662" s="24"/>
      <c r="C1662" s="25"/>
      <c r="D1662" s="26"/>
      <c r="E1662" s="25"/>
      <c r="F1662" s="25"/>
      <c r="G1662" s="24"/>
      <c r="H1662" s="25" t="e">
        <f ca="1"/>
        <v>#REF!</v>
      </c>
      <c r="I1662" s="24" t="e">
        <f ca="1"/>
        <v>#REF!</v>
      </c>
      <c r="J1662" s="25" t="e">
        <f ca="1"/>
        <v>#REF!</v>
      </c>
      <c r="K1662" s="24" t="e">
        <f ca="1"/>
        <v>#REF!</v>
      </c>
      <c r="L1662" s="25" t="e">
        <f ca="1"/>
        <v>#REF!</v>
      </c>
      <c r="M1662" s="25" t="e">
        <f ca="1"/>
        <v>#REF!</v>
      </c>
      <c r="N1662" s="25" t="e">
        <f ca="1"/>
        <v>#REF!</v>
      </c>
      <c r="O1662" s="25" t="e">
        <f ca="1"/>
        <v>#REF!</v>
      </c>
      <c r="P1662" s="25" t="e">
        <f ca="1"/>
        <v>#REF!</v>
      </c>
      <c r="Q1662" s="25" t="e">
        <f ca="1"/>
        <v>#REF!</v>
      </c>
      <c r="R1662" s="25" t="e">
        <f ca="1"/>
        <v>#REF!</v>
      </c>
      <c r="S1662" s="25" t="e">
        <f ca="1"/>
        <v>#REF!</v>
      </c>
      <c r="T1662" s="25" t="e">
        <f ca="1"/>
        <v>#REF!</v>
      </c>
      <c r="U1662" s="25" t="e">
        <f ca="1"/>
        <v>#REF!</v>
      </c>
      <c r="V1662" s="25" t="e">
        <f ca="1"/>
        <v>#REF!</v>
      </c>
      <c r="W1662" s="33" t="e">
        <f ca="1"/>
        <v>#REF!</v>
      </c>
      <c r="X1662" s="33" t="e">
        <f ca="1"/>
        <v>#REF!</v>
      </c>
      <c r="Y1662" s="33" t="e">
        <f ca="1"/>
        <v>#REF!</v>
      </c>
      <c r="Z1662" s="33" t="e">
        <f ca="1"/>
        <v>#REF!</v>
      </c>
      <c r="AA1662" s="33" t="e">
        <f ca="1"/>
        <v>#REF!</v>
      </c>
    </row>
    <row r="1663" spans="1:27" s="70" customFormat="1" ht="11.25" x14ac:dyDescent="0.2">
      <c r="A1663" s="24">
        <v>1657</v>
      </c>
      <c r="B1663" s="24"/>
      <c r="C1663" s="25"/>
      <c r="D1663" s="26"/>
      <c r="E1663" s="25"/>
      <c r="F1663" s="25"/>
      <c r="G1663" s="24"/>
      <c r="H1663" s="25" t="e">
        <f ca="1"/>
        <v>#REF!</v>
      </c>
      <c r="I1663" s="24" t="e">
        <f ca="1"/>
        <v>#REF!</v>
      </c>
      <c r="J1663" s="25" t="e">
        <f ca="1"/>
        <v>#REF!</v>
      </c>
      <c r="K1663" s="24" t="e">
        <f ca="1"/>
        <v>#REF!</v>
      </c>
      <c r="L1663" s="25" t="e">
        <f ca="1"/>
        <v>#REF!</v>
      </c>
      <c r="M1663" s="25" t="e">
        <f ca="1"/>
        <v>#REF!</v>
      </c>
      <c r="N1663" s="25" t="e">
        <f ca="1"/>
        <v>#REF!</v>
      </c>
      <c r="O1663" s="25" t="e">
        <f ca="1"/>
        <v>#REF!</v>
      </c>
      <c r="P1663" s="25" t="e">
        <f ca="1"/>
        <v>#REF!</v>
      </c>
      <c r="Q1663" s="25" t="e">
        <f ca="1"/>
        <v>#REF!</v>
      </c>
      <c r="R1663" s="25" t="e">
        <f ca="1"/>
        <v>#REF!</v>
      </c>
      <c r="S1663" s="25" t="e">
        <f ca="1"/>
        <v>#REF!</v>
      </c>
      <c r="T1663" s="25" t="e">
        <f ca="1"/>
        <v>#REF!</v>
      </c>
      <c r="U1663" s="25" t="e">
        <f ca="1"/>
        <v>#REF!</v>
      </c>
      <c r="V1663" s="25" t="e">
        <f ca="1"/>
        <v>#REF!</v>
      </c>
      <c r="W1663" s="33" t="e">
        <f ca="1"/>
        <v>#REF!</v>
      </c>
      <c r="X1663" s="33" t="e">
        <f ca="1"/>
        <v>#REF!</v>
      </c>
      <c r="Y1663" s="33" t="e">
        <f ca="1"/>
        <v>#REF!</v>
      </c>
      <c r="Z1663" s="33" t="e">
        <f ca="1"/>
        <v>#REF!</v>
      </c>
      <c r="AA1663" s="33" t="e">
        <f ca="1"/>
        <v>#REF!</v>
      </c>
    </row>
    <row r="1664" spans="1:27" s="70" customFormat="1" ht="11.25" x14ac:dyDescent="0.2">
      <c r="A1664" s="24">
        <v>1658</v>
      </c>
      <c r="B1664" s="24"/>
      <c r="C1664" s="25"/>
      <c r="D1664" s="26"/>
      <c r="E1664" s="25"/>
      <c r="F1664" s="25"/>
      <c r="G1664" s="24"/>
      <c r="H1664" s="25" t="e">
        <f ca="1"/>
        <v>#REF!</v>
      </c>
      <c r="I1664" s="24" t="e">
        <f ca="1"/>
        <v>#REF!</v>
      </c>
      <c r="J1664" s="25" t="e">
        <f ca="1"/>
        <v>#REF!</v>
      </c>
      <c r="K1664" s="24" t="e">
        <f ca="1"/>
        <v>#REF!</v>
      </c>
      <c r="L1664" s="25" t="e">
        <f ca="1"/>
        <v>#REF!</v>
      </c>
      <c r="M1664" s="25" t="e">
        <f ca="1"/>
        <v>#REF!</v>
      </c>
      <c r="N1664" s="25" t="e">
        <f ca="1"/>
        <v>#REF!</v>
      </c>
      <c r="O1664" s="25" t="e">
        <f ca="1"/>
        <v>#REF!</v>
      </c>
      <c r="P1664" s="25" t="e">
        <f ca="1"/>
        <v>#REF!</v>
      </c>
      <c r="Q1664" s="25" t="e">
        <f ca="1"/>
        <v>#REF!</v>
      </c>
      <c r="R1664" s="25" t="e">
        <f ca="1"/>
        <v>#REF!</v>
      </c>
      <c r="S1664" s="25" t="e">
        <f ca="1"/>
        <v>#REF!</v>
      </c>
      <c r="T1664" s="25" t="e">
        <f ca="1"/>
        <v>#REF!</v>
      </c>
      <c r="U1664" s="25" t="e">
        <f ca="1"/>
        <v>#REF!</v>
      </c>
      <c r="V1664" s="25" t="e">
        <f ca="1"/>
        <v>#REF!</v>
      </c>
      <c r="W1664" s="33" t="e">
        <f ca="1"/>
        <v>#REF!</v>
      </c>
      <c r="X1664" s="33" t="e">
        <f ca="1"/>
        <v>#REF!</v>
      </c>
      <c r="Y1664" s="33" t="e">
        <f ca="1"/>
        <v>#REF!</v>
      </c>
      <c r="Z1664" s="33" t="e">
        <f ca="1"/>
        <v>#REF!</v>
      </c>
      <c r="AA1664" s="33" t="e">
        <f ca="1"/>
        <v>#REF!</v>
      </c>
    </row>
    <row r="1665" spans="1:27" s="70" customFormat="1" ht="11.25" x14ac:dyDescent="0.2">
      <c r="A1665" s="24">
        <v>1659</v>
      </c>
      <c r="B1665" s="24"/>
      <c r="C1665" s="25"/>
      <c r="D1665" s="26"/>
      <c r="E1665" s="25"/>
      <c r="F1665" s="25"/>
      <c r="G1665" s="24"/>
      <c r="H1665" s="25" t="e">
        <f ca="1"/>
        <v>#REF!</v>
      </c>
      <c r="I1665" s="24" t="e">
        <f ca="1"/>
        <v>#REF!</v>
      </c>
      <c r="J1665" s="25" t="e">
        <f ca="1"/>
        <v>#REF!</v>
      </c>
      <c r="K1665" s="24" t="e">
        <f ca="1"/>
        <v>#REF!</v>
      </c>
      <c r="L1665" s="25" t="e">
        <f ca="1"/>
        <v>#REF!</v>
      </c>
      <c r="M1665" s="25" t="e">
        <f ca="1"/>
        <v>#REF!</v>
      </c>
      <c r="N1665" s="25" t="e">
        <f ca="1"/>
        <v>#REF!</v>
      </c>
      <c r="O1665" s="25" t="e">
        <f ca="1"/>
        <v>#REF!</v>
      </c>
      <c r="P1665" s="25" t="e">
        <f ca="1"/>
        <v>#REF!</v>
      </c>
      <c r="Q1665" s="25" t="e">
        <f ca="1"/>
        <v>#REF!</v>
      </c>
      <c r="R1665" s="25" t="e">
        <f ca="1"/>
        <v>#REF!</v>
      </c>
      <c r="S1665" s="25" t="e">
        <f ca="1"/>
        <v>#REF!</v>
      </c>
      <c r="T1665" s="25" t="e">
        <f ca="1"/>
        <v>#REF!</v>
      </c>
      <c r="U1665" s="25" t="e">
        <f ca="1"/>
        <v>#REF!</v>
      </c>
      <c r="V1665" s="25" t="e">
        <f ca="1"/>
        <v>#REF!</v>
      </c>
      <c r="W1665" s="33" t="e">
        <f ca="1"/>
        <v>#REF!</v>
      </c>
      <c r="X1665" s="33" t="e">
        <f ca="1"/>
        <v>#REF!</v>
      </c>
      <c r="Y1665" s="33" t="e">
        <f ca="1"/>
        <v>#REF!</v>
      </c>
      <c r="Z1665" s="33" t="e">
        <f ca="1"/>
        <v>#REF!</v>
      </c>
      <c r="AA1665" s="33" t="e">
        <f ca="1"/>
        <v>#REF!</v>
      </c>
    </row>
    <row r="1666" spans="1:27" s="70" customFormat="1" ht="11.25" x14ac:dyDescent="0.2">
      <c r="A1666" s="24">
        <v>1660</v>
      </c>
      <c r="B1666" s="24"/>
      <c r="C1666" s="25"/>
      <c r="D1666" s="26"/>
      <c r="E1666" s="25"/>
      <c r="F1666" s="25"/>
      <c r="G1666" s="24"/>
      <c r="H1666" s="25" t="e">
        <f ca="1"/>
        <v>#REF!</v>
      </c>
      <c r="I1666" s="24" t="e">
        <f ca="1"/>
        <v>#REF!</v>
      </c>
      <c r="J1666" s="25" t="e">
        <f ca="1"/>
        <v>#REF!</v>
      </c>
      <c r="K1666" s="24" t="e">
        <f ca="1"/>
        <v>#REF!</v>
      </c>
      <c r="L1666" s="25" t="e">
        <f ca="1"/>
        <v>#REF!</v>
      </c>
      <c r="M1666" s="25" t="e">
        <f ca="1"/>
        <v>#REF!</v>
      </c>
      <c r="N1666" s="25" t="e">
        <f ca="1"/>
        <v>#REF!</v>
      </c>
      <c r="O1666" s="25" t="e">
        <f ca="1"/>
        <v>#REF!</v>
      </c>
      <c r="P1666" s="25" t="e">
        <f ca="1"/>
        <v>#REF!</v>
      </c>
      <c r="Q1666" s="25" t="e">
        <f ca="1"/>
        <v>#REF!</v>
      </c>
      <c r="R1666" s="25" t="e">
        <f ca="1"/>
        <v>#REF!</v>
      </c>
      <c r="S1666" s="25" t="e">
        <f ca="1"/>
        <v>#REF!</v>
      </c>
      <c r="T1666" s="25" t="e">
        <f ca="1"/>
        <v>#REF!</v>
      </c>
      <c r="U1666" s="25" t="e">
        <f ca="1"/>
        <v>#REF!</v>
      </c>
      <c r="V1666" s="25" t="e">
        <f ca="1"/>
        <v>#REF!</v>
      </c>
      <c r="W1666" s="33" t="e">
        <f ca="1"/>
        <v>#REF!</v>
      </c>
      <c r="X1666" s="33" t="e">
        <f ca="1"/>
        <v>#REF!</v>
      </c>
      <c r="Y1666" s="33" t="e">
        <f ca="1"/>
        <v>#REF!</v>
      </c>
      <c r="Z1666" s="33" t="e">
        <f ca="1"/>
        <v>#REF!</v>
      </c>
      <c r="AA1666" s="33" t="e">
        <f ca="1"/>
        <v>#REF!</v>
      </c>
    </row>
    <row r="1667" spans="1:27" s="70" customFormat="1" ht="11.25" x14ac:dyDescent="0.2">
      <c r="A1667" s="24">
        <v>1661</v>
      </c>
      <c r="B1667" s="24"/>
      <c r="C1667" s="25"/>
      <c r="D1667" s="26"/>
      <c r="E1667" s="25"/>
      <c r="F1667" s="25"/>
      <c r="G1667" s="24"/>
      <c r="H1667" s="25" t="e">
        <f ca="1"/>
        <v>#REF!</v>
      </c>
      <c r="I1667" s="24" t="e">
        <f ca="1"/>
        <v>#REF!</v>
      </c>
      <c r="J1667" s="25" t="e">
        <f ca="1"/>
        <v>#REF!</v>
      </c>
      <c r="K1667" s="24" t="e">
        <f ca="1"/>
        <v>#REF!</v>
      </c>
      <c r="L1667" s="25" t="e">
        <f ca="1"/>
        <v>#REF!</v>
      </c>
      <c r="M1667" s="25" t="e">
        <f ca="1"/>
        <v>#REF!</v>
      </c>
      <c r="N1667" s="25" t="e">
        <f ca="1"/>
        <v>#REF!</v>
      </c>
      <c r="O1667" s="25" t="e">
        <f ca="1"/>
        <v>#REF!</v>
      </c>
      <c r="P1667" s="25" t="e">
        <f ca="1"/>
        <v>#REF!</v>
      </c>
      <c r="Q1667" s="25" t="e">
        <f ca="1"/>
        <v>#REF!</v>
      </c>
      <c r="R1667" s="25" t="e">
        <f ca="1"/>
        <v>#REF!</v>
      </c>
      <c r="S1667" s="25" t="e">
        <f ca="1"/>
        <v>#REF!</v>
      </c>
      <c r="T1667" s="25" t="e">
        <f ca="1"/>
        <v>#REF!</v>
      </c>
      <c r="U1667" s="25" t="e">
        <f ca="1"/>
        <v>#REF!</v>
      </c>
      <c r="V1667" s="25" t="e">
        <f ca="1"/>
        <v>#REF!</v>
      </c>
      <c r="W1667" s="33" t="e">
        <f ca="1"/>
        <v>#REF!</v>
      </c>
      <c r="X1667" s="33" t="e">
        <f ca="1"/>
        <v>#REF!</v>
      </c>
      <c r="Y1667" s="33" t="e">
        <f ca="1"/>
        <v>#REF!</v>
      </c>
      <c r="Z1667" s="33" t="e">
        <f ca="1"/>
        <v>#REF!</v>
      </c>
      <c r="AA1667" s="33" t="e">
        <f ca="1"/>
        <v>#REF!</v>
      </c>
    </row>
    <row r="1668" spans="1:27" s="70" customFormat="1" ht="11.25" x14ac:dyDescent="0.2">
      <c r="A1668" s="24">
        <v>1662</v>
      </c>
      <c r="B1668" s="24"/>
      <c r="C1668" s="25"/>
      <c r="D1668" s="26"/>
      <c r="E1668" s="25"/>
      <c r="F1668" s="25"/>
      <c r="G1668" s="24"/>
      <c r="H1668" s="25" t="e">
        <f ca="1"/>
        <v>#REF!</v>
      </c>
      <c r="I1668" s="24" t="e">
        <f ca="1"/>
        <v>#REF!</v>
      </c>
      <c r="J1668" s="25" t="e">
        <f ca="1"/>
        <v>#REF!</v>
      </c>
      <c r="K1668" s="24" t="e">
        <f ca="1"/>
        <v>#REF!</v>
      </c>
      <c r="L1668" s="25" t="e">
        <f ca="1"/>
        <v>#REF!</v>
      </c>
      <c r="M1668" s="25" t="e">
        <f ca="1"/>
        <v>#REF!</v>
      </c>
      <c r="N1668" s="25" t="e">
        <f ca="1"/>
        <v>#REF!</v>
      </c>
      <c r="O1668" s="25" t="e">
        <f ca="1"/>
        <v>#REF!</v>
      </c>
      <c r="P1668" s="25" t="e">
        <f ca="1"/>
        <v>#REF!</v>
      </c>
      <c r="Q1668" s="25" t="e">
        <f ca="1"/>
        <v>#REF!</v>
      </c>
      <c r="R1668" s="25" t="e">
        <f ca="1"/>
        <v>#REF!</v>
      </c>
      <c r="S1668" s="25" t="e">
        <f ca="1"/>
        <v>#REF!</v>
      </c>
      <c r="T1668" s="25" t="e">
        <f ca="1"/>
        <v>#REF!</v>
      </c>
      <c r="U1668" s="25" t="e">
        <f ca="1"/>
        <v>#REF!</v>
      </c>
      <c r="V1668" s="25" t="e">
        <f ca="1"/>
        <v>#REF!</v>
      </c>
      <c r="W1668" s="33" t="e">
        <f ca="1"/>
        <v>#REF!</v>
      </c>
      <c r="X1668" s="33" t="e">
        <f ca="1"/>
        <v>#REF!</v>
      </c>
      <c r="Y1668" s="33" t="e">
        <f ca="1"/>
        <v>#REF!</v>
      </c>
      <c r="Z1668" s="33" t="e">
        <f ca="1"/>
        <v>#REF!</v>
      </c>
      <c r="AA1668" s="33" t="e">
        <f ca="1"/>
        <v>#REF!</v>
      </c>
    </row>
    <row r="1669" spans="1:27" s="70" customFormat="1" ht="11.25" x14ac:dyDescent="0.2">
      <c r="A1669" s="24">
        <v>1663</v>
      </c>
      <c r="B1669" s="24"/>
      <c r="C1669" s="25"/>
      <c r="D1669" s="26"/>
      <c r="E1669" s="25"/>
      <c r="F1669" s="25"/>
      <c r="G1669" s="24"/>
      <c r="H1669" s="25" t="e">
        <f ca="1"/>
        <v>#REF!</v>
      </c>
      <c r="I1669" s="24" t="e">
        <f ca="1"/>
        <v>#REF!</v>
      </c>
      <c r="J1669" s="25" t="e">
        <f ca="1"/>
        <v>#REF!</v>
      </c>
      <c r="K1669" s="24" t="e">
        <f ca="1"/>
        <v>#REF!</v>
      </c>
      <c r="L1669" s="25" t="e">
        <f ca="1"/>
        <v>#REF!</v>
      </c>
      <c r="M1669" s="25" t="e">
        <f ca="1"/>
        <v>#REF!</v>
      </c>
      <c r="N1669" s="25" t="e">
        <f ca="1"/>
        <v>#REF!</v>
      </c>
      <c r="O1669" s="25" t="e">
        <f ca="1"/>
        <v>#REF!</v>
      </c>
      <c r="P1669" s="25" t="e">
        <f ca="1"/>
        <v>#REF!</v>
      </c>
      <c r="Q1669" s="25" t="e">
        <f ca="1"/>
        <v>#REF!</v>
      </c>
      <c r="R1669" s="25" t="e">
        <f ca="1"/>
        <v>#REF!</v>
      </c>
      <c r="S1669" s="25" t="e">
        <f ca="1"/>
        <v>#REF!</v>
      </c>
      <c r="T1669" s="25" t="e">
        <f ca="1"/>
        <v>#REF!</v>
      </c>
      <c r="U1669" s="25" t="e">
        <f ca="1"/>
        <v>#REF!</v>
      </c>
      <c r="V1669" s="25" t="e">
        <f ca="1"/>
        <v>#REF!</v>
      </c>
      <c r="W1669" s="33" t="e">
        <f ca="1"/>
        <v>#REF!</v>
      </c>
      <c r="X1669" s="33" t="e">
        <f ca="1"/>
        <v>#REF!</v>
      </c>
      <c r="Y1669" s="33" t="e">
        <f ca="1"/>
        <v>#REF!</v>
      </c>
      <c r="Z1669" s="33" t="e">
        <f ca="1"/>
        <v>#REF!</v>
      </c>
      <c r="AA1669" s="33" t="e">
        <f ca="1"/>
        <v>#REF!</v>
      </c>
    </row>
    <row r="1670" spans="1:27" s="70" customFormat="1" ht="11.25" x14ac:dyDescent="0.2">
      <c r="A1670" s="24">
        <v>1664</v>
      </c>
      <c r="B1670" s="24"/>
      <c r="C1670" s="25"/>
      <c r="D1670" s="26"/>
      <c r="E1670" s="25"/>
      <c r="F1670" s="25"/>
      <c r="G1670" s="24"/>
      <c r="H1670" s="25" t="e">
        <f ca="1"/>
        <v>#REF!</v>
      </c>
      <c r="I1670" s="24" t="e">
        <f ca="1"/>
        <v>#REF!</v>
      </c>
      <c r="J1670" s="25" t="e">
        <f ca="1"/>
        <v>#REF!</v>
      </c>
      <c r="K1670" s="24" t="e">
        <f ca="1"/>
        <v>#REF!</v>
      </c>
      <c r="L1670" s="25" t="e">
        <f ca="1"/>
        <v>#REF!</v>
      </c>
      <c r="M1670" s="25" t="e">
        <f ca="1"/>
        <v>#REF!</v>
      </c>
      <c r="N1670" s="25" t="e">
        <f ca="1"/>
        <v>#REF!</v>
      </c>
      <c r="O1670" s="25" t="e">
        <f ca="1"/>
        <v>#REF!</v>
      </c>
      <c r="P1670" s="25" t="e">
        <f ca="1"/>
        <v>#REF!</v>
      </c>
      <c r="Q1670" s="25" t="e">
        <f ca="1"/>
        <v>#REF!</v>
      </c>
      <c r="R1670" s="25" t="e">
        <f ca="1"/>
        <v>#REF!</v>
      </c>
      <c r="S1670" s="25" t="e">
        <f ca="1"/>
        <v>#REF!</v>
      </c>
      <c r="T1670" s="25" t="e">
        <f ca="1"/>
        <v>#REF!</v>
      </c>
      <c r="U1670" s="25" t="e">
        <f ca="1"/>
        <v>#REF!</v>
      </c>
      <c r="V1670" s="25" t="e">
        <f ca="1"/>
        <v>#REF!</v>
      </c>
      <c r="W1670" s="33" t="e">
        <f ca="1"/>
        <v>#REF!</v>
      </c>
      <c r="X1670" s="33" t="e">
        <f ca="1"/>
        <v>#REF!</v>
      </c>
      <c r="Y1670" s="33" t="e">
        <f ca="1"/>
        <v>#REF!</v>
      </c>
      <c r="Z1670" s="33" t="e">
        <f ca="1"/>
        <v>#REF!</v>
      </c>
      <c r="AA1670" s="33" t="e">
        <f ca="1"/>
        <v>#REF!</v>
      </c>
    </row>
    <row r="1671" spans="1:27" s="70" customFormat="1" ht="11.25" x14ac:dyDescent="0.2">
      <c r="A1671" s="24">
        <v>1665</v>
      </c>
      <c r="B1671" s="24"/>
      <c r="C1671" s="25"/>
      <c r="D1671" s="26"/>
      <c r="E1671" s="25"/>
      <c r="F1671" s="25"/>
      <c r="G1671" s="24"/>
      <c r="H1671" s="25" t="e">
        <f ca="1"/>
        <v>#REF!</v>
      </c>
      <c r="I1671" s="24" t="e">
        <f ca="1"/>
        <v>#REF!</v>
      </c>
      <c r="J1671" s="25" t="e">
        <f ca="1"/>
        <v>#REF!</v>
      </c>
      <c r="K1671" s="24" t="e">
        <f ca="1"/>
        <v>#REF!</v>
      </c>
      <c r="L1671" s="25" t="e">
        <f ca="1"/>
        <v>#REF!</v>
      </c>
      <c r="M1671" s="25" t="e">
        <f ca="1"/>
        <v>#REF!</v>
      </c>
      <c r="N1671" s="25" t="e">
        <f ca="1"/>
        <v>#REF!</v>
      </c>
      <c r="O1671" s="25" t="e">
        <f ca="1"/>
        <v>#REF!</v>
      </c>
      <c r="P1671" s="25" t="e">
        <f ca="1"/>
        <v>#REF!</v>
      </c>
      <c r="Q1671" s="25" t="e">
        <f ca="1"/>
        <v>#REF!</v>
      </c>
      <c r="R1671" s="25" t="e">
        <f ca="1"/>
        <v>#REF!</v>
      </c>
      <c r="S1671" s="25" t="e">
        <f ca="1"/>
        <v>#REF!</v>
      </c>
      <c r="T1671" s="25" t="e">
        <f ca="1"/>
        <v>#REF!</v>
      </c>
      <c r="U1671" s="25" t="e">
        <f ca="1"/>
        <v>#REF!</v>
      </c>
      <c r="V1671" s="25" t="e">
        <f ca="1"/>
        <v>#REF!</v>
      </c>
      <c r="W1671" s="33" t="e">
        <f ca="1"/>
        <v>#REF!</v>
      </c>
      <c r="X1671" s="33" t="e">
        <f ca="1"/>
        <v>#REF!</v>
      </c>
      <c r="Y1671" s="33" t="e">
        <f ca="1"/>
        <v>#REF!</v>
      </c>
      <c r="Z1671" s="33" t="e">
        <f ca="1"/>
        <v>#REF!</v>
      </c>
      <c r="AA1671" s="33" t="e">
        <f ca="1"/>
        <v>#REF!</v>
      </c>
    </row>
    <row r="1672" spans="1:27" s="70" customFormat="1" ht="11.25" x14ac:dyDescent="0.2">
      <c r="A1672" s="24">
        <v>1666</v>
      </c>
      <c r="B1672" s="24"/>
      <c r="C1672" s="25"/>
      <c r="D1672" s="26"/>
      <c r="E1672" s="25"/>
      <c r="F1672" s="25"/>
      <c r="G1672" s="24"/>
      <c r="H1672" s="25" t="e">
        <f ca="1"/>
        <v>#REF!</v>
      </c>
      <c r="I1672" s="24" t="e">
        <f ca="1"/>
        <v>#REF!</v>
      </c>
      <c r="J1672" s="25" t="e">
        <f ca="1"/>
        <v>#REF!</v>
      </c>
      <c r="K1672" s="24" t="e">
        <f ca="1"/>
        <v>#REF!</v>
      </c>
      <c r="L1672" s="25" t="e">
        <f ca="1"/>
        <v>#REF!</v>
      </c>
      <c r="M1672" s="25" t="e">
        <f ca="1"/>
        <v>#REF!</v>
      </c>
      <c r="N1672" s="25" t="e">
        <f ca="1"/>
        <v>#REF!</v>
      </c>
      <c r="O1672" s="25" t="e">
        <f ca="1"/>
        <v>#REF!</v>
      </c>
      <c r="P1672" s="25" t="e">
        <f ca="1"/>
        <v>#REF!</v>
      </c>
      <c r="Q1672" s="25" t="e">
        <f ca="1"/>
        <v>#REF!</v>
      </c>
      <c r="R1672" s="25" t="e">
        <f ca="1"/>
        <v>#REF!</v>
      </c>
      <c r="S1672" s="25" t="e">
        <f ca="1"/>
        <v>#REF!</v>
      </c>
      <c r="T1672" s="25" t="e">
        <f ca="1"/>
        <v>#REF!</v>
      </c>
      <c r="U1672" s="25" t="e">
        <f ca="1"/>
        <v>#REF!</v>
      </c>
      <c r="V1672" s="25" t="e">
        <f ca="1"/>
        <v>#REF!</v>
      </c>
      <c r="W1672" s="33" t="e">
        <f ca="1"/>
        <v>#REF!</v>
      </c>
      <c r="X1672" s="33" t="e">
        <f ca="1"/>
        <v>#REF!</v>
      </c>
      <c r="Y1672" s="33" t="e">
        <f ca="1"/>
        <v>#REF!</v>
      </c>
      <c r="Z1672" s="33" t="e">
        <f ca="1"/>
        <v>#REF!</v>
      </c>
      <c r="AA1672" s="33" t="e">
        <f ca="1"/>
        <v>#REF!</v>
      </c>
    </row>
    <row r="1673" spans="1:27" s="70" customFormat="1" ht="11.25" x14ac:dyDescent="0.2">
      <c r="A1673" s="24">
        <v>1667</v>
      </c>
      <c r="B1673" s="24"/>
      <c r="C1673" s="25"/>
      <c r="D1673" s="26"/>
      <c r="E1673" s="25"/>
      <c r="F1673" s="25"/>
      <c r="G1673" s="24"/>
      <c r="H1673" s="25" t="e">
        <f ca="1"/>
        <v>#REF!</v>
      </c>
      <c r="I1673" s="24" t="e">
        <f ca="1"/>
        <v>#REF!</v>
      </c>
      <c r="J1673" s="25" t="e">
        <f ca="1"/>
        <v>#REF!</v>
      </c>
      <c r="K1673" s="24" t="e">
        <f ca="1"/>
        <v>#REF!</v>
      </c>
      <c r="L1673" s="25" t="e">
        <f ca="1"/>
        <v>#REF!</v>
      </c>
      <c r="M1673" s="25" t="e">
        <f ca="1"/>
        <v>#REF!</v>
      </c>
      <c r="N1673" s="25" t="e">
        <f ca="1"/>
        <v>#REF!</v>
      </c>
      <c r="O1673" s="25" t="e">
        <f ca="1"/>
        <v>#REF!</v>
      </c>
      <c r="P1673" s="25" t="e">
        <f ca="1"/>
        <v>#REF!</v>
      </c>
      <c r="Q1673" s="25" t="e">
        <f ca="1"/>
        <v>#REF!</v>
      </c>
      <c r="R1673" s="25" t="e">
        <f ca="1"/>
        <v>#REF!</v>
      </c>
      <c r="S1673" s="25" t="e">
        <f ca="1"/>
        <v>#REF!</v>
      </c>
      <c r="T1673" s="25" t="e">
        <f ca="1"/>
        <v>#REF!</v>
      </c>
      <c r="U1673" s="25" t="e">
        <f ca="1"/>
        <v>#REF!</v>
      </c>
      <c r="V1673" s="25" t="e">
        <f ca="1"/>
        <v>#REF!</v>
      </c>
      <c r="W1673" s="33" t="e">
        <f ca="1"/>
        <v>#REF!</v>
      </c>
      <c r="X1673" s="33" t="e">
        <f ca="1"/>
        <v>#REF!</v>
      </c>
      <c r="Y1673" s="33" t="e">
        <f ca="1"/>
        <v>#REF!</v>
      </c>
      <c r="Z1673" s="33" t="e">
        <f ca="1"/>
        <v>#REF!</v>
      </c>
      <c r="AA1673" s="33" t="e">
        <f ca="1"/>
        <v>#REF!</v>
      </c>
    </row>
    <row r="1674" spans="1:27" s="70" customFormat="1" ht="11.25" x14ac:dyDescent="0.2">
      <c r="A1674" s="24">
        <v>1668</v>
      </c>
      <c r="B1674" s="24"/>
      <c r="C1674" s="25"/>
      <c r="D1674" s="26"/>
      <c r="E1674" s="25"/>
      <c r="F1674" s="25"/>
      <c r="G1674" s="24"/>
      <c r="H1674" s="25" t="e">
        <f ca="1"/>
        <v>#REF!</v>
      </c>
      <c r="I1674" s="24" t="e">
        <f ca="1"/>
        <v>#REF!</v>
      </c>
      <c r="J1674" s="25" t="e">
        <f ca="1"/>
        <v>#REF!</v>
      </c>
      <c r="K1674" s="24" t="e">
        <f ca="1"/>
        <v>#REF!</v>
      </c>
      <c r="L1674" s="25" t="e">
        <f ca="1"/>
        <v>#REF!</v>
      </c>
      <c r="M1674" s="25" t="e">
        <f ca="1"/>
        <v>#REF!</v>
      </c>
      <c r="N1674" s="25" t="e">
        <f ca="1"/>
        <v>#REF!</v>
      </c>
      <c r="O1674" s="25" t="e">
        <f ca="1"/>
        <v>#REF!</v>
      </c>
      <c r="P1674" s="25" t="e">
        <f ca="1"/>
        <v>#REF!</v>
      </c>
      <c r="Q1674" s="25" t="e">
        <f ca="1"/>
        <v>#REF!</v>
      </c>
      <c r="R1674" s="25" t="e">
        <f ca="1"/>
        <v>#REF!</v>
      </c>
      <c r="S1674" s="25" t="e">
        <f ca="1"/>
        <v>#REF!</v>
      </c>
      <c r="T1674" s="25" t="e">
        <f ca="1"/>
        <v>#REF!</v>
      </c>
      <c r="U1674" s="25" t="e">
        <f ca="1"/>
        <v>#REF!</v>
      </c>
      <c r="V1674" s="25" t="e">
        <f ca="1"/>
        <v>#REF!</v>
      </c>
      <c r="W1674" s="33" t="e">
        <f ca="1"/>
        <v>#REF!</v>
      </c>
      <c r="X1674" s="33" t="e">
        <f ca="1"/>
        <v>#REF!</v>
      </c>
      <c r="Y1674" s="33" t="e">
        <f ca="1"/>
        <v>#REF!</v>
      </c>
      <c r="Z1674" s="33" t="e">
        <f ca="1"/>
        <v>#REF!</v>
      </c>
      <c r="AA1674" s="33" t="e">
        <f ca="1"/>
        <v>#REF!</v>
      </c>
    </row>
    <row r="1675" spans="1:27" s="70" customFormat="1" ht="11.25" x14ac:dyDescent="0.2">
      <c r="A1675" s="24">
        <v>1669</v>
      </c>
      <c r="B1675" s="24"/>
      <c r="C1675" s="25"/>
      <c r="D1675" s="26"/>
      <c r="E1675" s="25"/>
      <c r="F1675" s="25"/>
      <c r="G1675" s="24"/>
      <c r="H1675" s="25" t="e">
        <f ca="1"/>
        <v>#REF!</v>
      </c>
      <c r="I1675" s="24" t="e">
        <f ca="1"/>
        <v>#REF!</v>
      </c>
      <c r="J1675" s="25" t="e">
        <f ca="1"/>
        <v>#REF!</v>
      </c>
      <c r="K1675" s="24" t="e">
        <f ca="1"/>
        <v>#REF!</v>
      </c>
      <c r="L1675" s="25" t="e">
        <f ca="1"/>
        <v>#REF!</v>
      </c>
      <c r="M1675" s="25" t="e">
        <f ca="1"/>
        <v>#REF!</v>
      </c>
      <c r="N1675" s="25" t="e">
        <f ca="1"/>
        <v>#REF!</v>
      </c>
      <c r="O1675" s="25" t="e">
        <f ca="1"/>
        <v>#REF!</v>
      </c>
      <c r="P1675" s="25" t="e">
        <f ca="1"/>
        <v>#REF!</v>
      </c>
      <c r="Q1675" s="25" t="e">
        <f ca="1"/>
        <v>#REF!</v>
      </c>
      <c r="R1675" s="25" t="e">
        <f ca="1"/>
        <v>#REF!</v>
      </c>
      <c r="S1675" s="25" t="e">
        <f ca="1"/>
        <v>#REF!</v>
      </c>
      <c r="T1675" s="25" t="e">
        <f ca="1"/>
        <v>#REF!</v>
      </c>
      <c r="U1675" s="25" t="e">
        <f ca="1"/>
        <v>#REF!</v>
      </c>
      <c r="V1675" s="25" t="e">
        <f ca="1"/>
        <v>#REF!</v>
      </c>
      <c r="W1675" s="33" t="e">
        <f ca="1"/>
        <v>#REF!</v>
      </c>
      <c r="X1675" s="33" t="e">
        <f ca="1"/>
        <v>#REF!</v>
      </c>
      <c r="Y1675" s="33" t="e">
        <f ca="1"/>
        <v>#REF!</v>
      </c>
      <c r="Z1675" s="33" t="e">
        <f ca="1"/>
        <v>#REF!</v>
      </c>
      <c r="AA1675" s="33" t="e">
        <f ca="1"/>
        <v>#REF!</v>
      </c>
    </row>
    <row r="1676" spans="1:27" s="70" customFormat="1" ht="11.25" x14ac:dyDescent="0.2">
      <c r="A1676" s="24">
        <v>1670</v>
      </c>
      <c r="B1676" s="24"/>
      <c r="C1676" s="25"/>
      <c r="D1676" s="26"/>
      <c r="E1676" s="25"/>
      <c r="F1676" s="25"/>
      <c r="G1676" s="24"/>
      <c r="H1676" s="25" t="e">
        <f ca="1"/>
        <v>#REF!</v>
      </c>
      <c r="I1676" s="24" t="e">
        <f ca="1"/>
        <v>#REF!</v>
      </c>
      <c r="J1676" s="25" t="e">
        <f ca="1"/>
        <v>#REF!</v>
      </c>
      <c r="K1676" s="24" t="e">
        <f ca="1"/>
        <v>#REF!</v>
      </c>
      <c r="L1676" s="25" t="e">
        <f ca="1"/>
        <v>#REF!</v>
      </c>
      <c r="M1676" s="25" t="e">
        <f ca="1"/>
        <v>#REF!</v>
      </c>
      <c r="N1676" s="25" t="e">
        <f ca="1"/>
        <v>#REF!</v>
      </c>
      <c r="O1676" s="25" t="e">
        <f ca="1"/>
        <v>#REF!</v>
      </c>
      <c r="P1676" s="25" t="e">
        <f ca="1"/>
        <v>#REF!</v>
      </c>
      <c r="Q1676" s="25" t="e">
        <f ca="1"/>
        <v>#REF!</v>
      </c>
      <c r="R1676" s="25" t="e">
        <f ca="1"/>
        <v>#REF!</v>
      </c>
      <c r="S1676" s="25" t="e">
        <f ca="1"/>
        <v>#REF!</v>
      </c>
      <c r="T1676" s="25" t="e">
        <f ca="1"/>
        <v>#REF!</v>
      </c>
      <c r="U1676" s="25" t="e">
        <f ca="1"/>
        <v>#REF!</v>
      </c>
      <c r="V1676" s="25" t="e">
        <f ca="1"/>
        <v>#REF!</v>
      </c>
      <c r="W1676" s="33" t="e">
        <f ca="1"/>
        <v>#REF!</v>
      </c>
      <c r="X1676" s="33" t="e">
        <f ca="1"/>
        <v>#REF!</v>
      </c>
      <c r="Y1676" s="33" t="e">
        <f ca="1"/>
        <v>#REF!</v>
      </c>
      <c r="Z1676" s="33" t="e">
        <f ca="1"/>
        <v>#REF!</v>
      </c>
      <c r="AA1676" s="33" t="e">
        <f ca="1"/>
        <v>#REF!</v>
      </c>
    </row>
    <row r="1677" spans="1:27" s="70" customFormat="1" ht="11.25" x14ac:dyDescent="0.2">
      <c r="A1677" s="24">
        <v>1671</v>
      </c>
      <c r="B1677" s="24"/>
      <c r="C1677" s="25"/>
      <c r="D1677" s="26"/>
      <c r="E1677" s="25"/>
      <c r="F1677" s="25"/>
      <c r="G1677" s="24"/>
      <c r="H1677" s="25" t="e">
        <f ca="1"/>
        <v>#REF!</v>
      </c>
      <c r="I1677" s="24" t="e">
        <f ca="1"/>
        <v>#REF!</v>
      </c>
      <c r="J1677" s="25" t="e">
        <f ca="1"/>
        <v>#REF!</v>
      </c>
      <c r="K1677" s="24" t="e">
        <f ca="1"/>
        <v>#REF!</v>
      </c>
      <c r="L1677" s="25" t="e">
        <f ca="1"/>
        <v>#REF!</v>
      </c>
      <c r="M1677" s="25" t="e">
        <f ca="1"/>
        <v>#REF!</v>
      </c>
      <c r="N1677" s="25" t="e">
        <f ca="1"/>
        <v>#REF!</v>
      </c>
      <c r="O1677" s="25" t="e">
        <f ca="1"/>
        <v>#REF!</v>
      </c>
      <c r="P1677" s="25" t="e">
        <f ca="1"/>
        <v>#REF!</v>
      </c>
      <c r="Q1677" s="25" t="e">
        <f ca="1"/>
        <v>#REF!</v>
      </c>
      <c r="R1677" s="25" t="e">
        <f ca="1"/>
        <v>#REF!</v>
      </c>
      <c r="S1677" s="25" t="e">
        <f ca="1"/>
        <v>#REF!</v>
      </c>
      <c r="T1677" s="25" t="e">
        <f ca="1"/>
        <v>#REF!</v>
      </c>
      <c r="U1677" s="25" t="e">
        <f ca="1"/>
        <v>#REF!</v>
      </c>
      <c r="V1677" s="25" t="e">
        <f ca="1"/>
        <v>#REF!</v>
      </c>
      <c r="W1677" s="33" t="e">
        <f ca="1"/>
        <v>#REF!</v>
      </c>
      <c r="X1677" s="33" t="e">
        <f ca="1"/>
        <v>#REF!</v>
      </c>
      <c r="Y1677" s="33" t="e">
        <f ca="1"/>
        <v>#REF!</v>
      </c>
      <c r="Z1677" s="33" t="e">
        <f ca="1"/>
        <v>#REF!</v>
      </c>
      <c r="AA1677" s="33" t="e">
        <f ca="1"/>
        <v>#REF!</v>
      </c>
    </row>
    <row r="1678" spans="1:27" s="70" customFormat="1" ht="11.25" x14ac:dyDescent="0.2">
      <c r="A1678" s="24">
        <v>1672</v>
      </c>
      <c r="B1678" s="24"/>
      <c r="C1678" s="25"/>
      <c r="D1678" s="26"/>
      <c r="E1678" s="25"/>
      <c r="F1678" s="25"/>
      <c r="G1678" s="24"/>
      <c r="H1678" s="25" t="e">
        <f ca="1"/>
        <v>#REF!</v>
      </c>
      <c r="I1678" s="24" t="e">
        <f ca="1"/>
        <v>#REF!</v>
      </c>
      <c r="J1678" s="25" t="e">
        <f ca="1"/>
        <v>#REF!</v>
      </c>
      <c r="K1678" s="24" t="e">
        <f ca="1"/>
        <v>#REF!</v>
      </c>
      <c r="L1678" s="25" t="e">
        <f ca="1"/>
        <v>#REF!</v>
      </c>
      <c r="M1678" s="25" t="e">
        <f ca="1"/>
        <v>#REF!</v>
      </c>
      <c r="N1678" s="25" t="e">
        <f ca="1"/>
        <v>#REF!</v>
      </c>
      <c r="O1678" s="25" t="e">
        <f ca="1"/>
        <v>#REF!</v>
      </c>
      <c r="P1678" s="25" t="e">
        <f ca="1"/>
        <v>#REF!</v>
      </c>
      <c r="Q1678" s="25" t="e">
        <f ca="1"/>
        <v>#REF!</v>
      </c>
      <c r="R1678" s="25" t="e">
        <f ca="1"/>
        <v>#REF!</v>
      </c>
      <c r="S1678" s="25" t="e">
        <f ca="1"/>
        <v>#REF!</v>
      </c>
      <c r="T1678" s="25" t="e">
        <f ca="1"/>
        <v>#REF!</v>
      </c>
      <c r="U1678" s="25" t="e">
        <f ca="1"/>
        <v>#REF!</v>
      </c>
      <c r="V1678" s="25" t="e">
        <f ca="1"/>
        <v>#REF!</v>
      </c>
      <c r="W1678" s="33" t="e">
        <f ca="1"/>
        <v>#REF!</v>
      </c>
      <c r="X1678" s="33" t="e">
        <f ca="1"/>
        <v>#REF!</v>
      </c>
      <c r="Y1678" s="33" t="e">
        <f ca="1"/>
        <v>#REF!</v>
      </c>
      <c r="Z1678" s="33" t="e">
        <f ca="1"/>
        <v>#REF!</v>
      </c>
      <c r="AA1678" s="33" t="e">
        <f ca="1"/>
        <v>#REF!</v>
      </c>
    </row>
    <row r="1679" spans="1:27" s="70" customFormat="1" ht="11.25" x14ac:dyDescent="0.2">
      <c r="A1679" s="24">
        <v>1673</v>
      </c>
      <c r="B1679" s="24"/>
      <c r="C1679" s="25"/>
      <c r="D1679" s="26"/>
      <c r="E1679" s="25"/>
      <c r="F1679" s="25"/>
      <c r="G1679" s="24"/>
      <c r="H1679" s="25" t="e">
        <f ca="1"/>
        <v>#REF!</v>
      </c>
      <c r="I1679" s="24" t="e">
        <f ca="1"/>
        <v>#REF!</v>
      </c>
      <c r="J1679" s="25" t="e">
        <f ca="1"/>
        <v>#REF!</v>
      </c>
      <c r="K1679" s="24" t="e">
        <f ca="1"/>
        <v>#REF!</v>
      </c>
      <c r="L1679" s="25" t="e">
        <f ca="1"/>
        <v>#REF!</v>
      </c>
      <c r="M1679" s="25" t="e">
        <f ca="1"/>
        <v>#REF!</v>
      </c>
      <c r="N1679" s="25" t="e">
        <f ca="1"/>
        <v>#REF!</v>
      </c>
      <c r="O1679" s="25" t="e">
        <f ca="1"/>
        <v>#REF!</v>
      </c>
      <c r="P1679" s="25" t="e">
        <f ca="1"/>
        <v>#REF!</v>
      </c>
      <c r="Q1679" s="25" t="e">
        <f ca="1"/>
        <v>#REF!</v>
      </c>
      <c r="R1679" s="25" t="e">
        <f ca="1"/>
        <v>#REF!</v>
      </c>
      <c r="S1679" s="25" t="e">
        <f ca="1"/>
        <v>#REF!</v>
      </c>
      <c r="T1679" s="25" t="e">
        <f ca="1"/>
        <v>#REF!</v>
      </c>
      <c r="U1679" s="25" t="e">
        <f ca="1"/>
        <v>#REF!</v>
      </c>
      <c r="V1679" s="25" t="e">
        <f ca="1"/>
        <v>#REF!</v>
      </c>
      <c r="W1679" s="33" t="e">
        <f ca="1"/>
        <v>#REF!</v>
      </c>
      <c r="X1679" s="33" t="e">
        <f ca="1"/>
        <v>#REF!</v>
      </c>
      <c r="Y1679" s="33" t="e">
        <f ca="1"/>
        <v>#REF!</v>
      </c>
      <c r="Z1679" s="33" t="e">
        <f ca="1"/>
        <v>#REF!</v>
      </c>
      <c r="AA1679" s="33" t="e">
        <f ca="1"/>
        <v>#REF!</v>
      </c>
    </row>
    <row r="1680" spans="1:27" s="70" customFormat="1" ht="11.25" x14ac:dyDescent="0.2">
      <c r="A1680" s="24">
        <v>1674</v>
      </c>
      <c r="B1680" s="24"/>
      <c r="C1680" s="25"/>
      <c r="D1680" s="26"/>
      <c r="E1680" s="25"/>
      <c r="F1680" s="25"/>
      <c r="G1680" s="24"/>
      <c r="H1680" s="25" t="e">
        <f ca="1"/>
        <v>#REF!</v>
      </c>
      <c r="I1680" s="24" t="e">
        <f ca="1"/>
        <v>#REF!</v>
      </c>
      <c r="J1680" s="25" t="e">
        <f ca="1"/>
        <v>#REF!</v>
      </c>
      <c r="K1680" s="24" t="e">
        <f ca="1"/>
        <v>#REF!</v>
      </c>
      <c r="L1680" s="25" t="e">
        <f ca="1"/>
        <v>#REF!</v>
      </c>
      <c r="M1680" s="25" t="e">
        <f ca="1"/>
        <v>#REF!</v>
      </c>
      <c r="N1680" s="25" t="e">
        <f ca="1"/>
        <v>#REF!</v>
      </c>
      <c r="O1680" s="25" t="e">
        <f ca="1"/>
        <v>#REF!</v>
      </c>
      <c r="P1680" s="25" t="e">
        <f ca="1"/>
        <v>#REF!</v>
      </c>
      <c r="Q1680" s="25" t="e">
        <f ca="1"/>
        <v>#REF!</v>
      </c>
      <c r="R1680" s="25" t="e">
        <f ca="1"/>
        <v>#REF!</v>
      </c>
      <c r="S1680" s="25" t="e">
        <f ca="1"/>
        <v>#REF!</v>
      </c>
      <c r="T1680" s="25" t="e">
        <f ca="1"/>
        <v>#REF!</v>
      </c>
      <c r="U1680" s="25" t="e">
        <f ca="1"/>
        <v>#REF!</v>
      </c>
      <c r="V1680" s="25" t="e">
        <f ca="1"/>
        <v>#REF!</v>
      </c>
      <c r="W1680" s="33" t="e">
        <f ca="1"/>
        <v>#REF!</v>
      </c>
      <c r="X1680" s="33" t="e">
        <f ca="1"/>
        <v>#REF!</v>
      </c>
      <c r="Y1680" s="33" t="e">
        <f ca="1"/>
        <v>#REF!</v>
      </c>
      <c r="Z1680" s="33" t="e">
        <f ca="1"/>
        <v>#REF!</v>
      </c>
      <c r="AA1680" s="33" t="e">
        <f ca="1"/>
        <v>#REF!</v>
      </c>
    </row>
    <row r="1681" spans="1:27" s="70" customFormat="1" ht="11.25" x14ac:dyDescent="0.2">
      <c r="A1681" s="24">
        <v>1675</v>
      </c>
      <c r="B1681" s="24"/>
      <c r="C1681" s="25"/>
      <c r="D1681" s="26"/>
      <c r="E1681" s="25"/>
      <c r="F1681" s="25"/>
      <c r="G1681" s="24"/>
      <c r="H1681" s="25" t="e">
        <f ca="1"/>
        <v>#REF!</v>
      </c>
      <c r="I1681" s="24" t="e">
        <f ca="1"/>
        <v>#REF!</v>
      </c>
      <c r="J1681" s="25" t="e">
        <f ca="1"/>
        <v>#REF!</v>
      </c>
      <c r="K1681" s="24" t="e">
        <f ca="1"/>
        <v>#REF!</v>
      </c>
      <c r="L1681" s="25" t="e">
        <f ca="1"/>
        <v>#REF!</v>
      </c>
      <c r="M1681" s="25" t="e">
        <f ca="1"/>
        <v>#REF!</v>
      </c>
      <c r="N1681" s="25" t="e">
        <f ca="1"/>
        <v>#REF!</v>
      </c>
      <c r="O1681" s="25" t="e">
        <f ca="1"/>
        <v>#REF!</v>
      </c>
      <c r="P1681" s="25" t="e">
        <f ca="1"/>
        <v>#REF!</v>
      </c>
      <c r="Q1681" s="25" t="e">
        <f ca="1"/>
        <v>#REF!</v>
      </c>
      <c r="R1681" s="25" t="e">
        <f ca="1"/>
        <v>#REF!</v>
      </c>
      <c r="S1681" s="25" t="e">
        <f ca="1"/>
        <v>#REF!</v>
      </c>
      <c r="T1681" s="25" t="e">
        <f ca="1"/>
        <v>#REF!</v>
      </c>
      <c r="U1681" s="25" t="e">
        <f ca="1"/>
        <v>#REF!</v>
      </c>
      <c r="V1681" s="25" t="e">
        <f ca="1"/>
        <v>#REF!</v>
      </c>
      <c r="W1681" s="33" t="e">
        <f ca="1"/>
        <v>#REF!</v>
      </c>
      <c r="X1681" s="33" t="e">
        <f ca="1"/>
        <v>#REF!</v>
      </c>
      <c r="Y1681" s="33" t="e">
        <f ca="1"/>
        <v>#REF!</v>
      </c>
      <c r="Z1681" s="33" t="e">
        <f ca="1"/>
        <v>#REF!</v>
      </c>
      <c r="AA1681" s="33" t="e">
        <f ca="1"/>
        <v>#REF!</v>
      </c>
    </row>
    <row r="1682" spans="1:27" s="70" customFormat="1" ht="11.25" x14ac:dyDescent="0.2">
      <c r="A1682" s="24">
        <v>1676</v>
      </c>
      <c r="B1682" s="24"/>
      <c r="C1682" s="25"/>
      <c r="D1682" s="26"/>
      <c r="E1682" s="25"/>
      <c r="F1682" s="25"/>
      <c r="G1682" s="24"/>
      <c r="H1682" s="25" t="e">
        <f ca="1"/>
        <v>#REF!</v>
      </c>
      <c r="I1682" s="24" t="e">
        <f ca="1"/>
        <v>#REF!</v>
      </c>
      <c r="J1682" s="25" t="e">
        <f ca="1"/>
        <v>#REF!</v>
      </c>
      <c r="K1682" s="24" t="e">
        <f ca="1"/>
        <v>#REF!</v>
      </c>
      <c r="L1682" s="25" t="e">
        <f ca="1"/>
        <v>#REF!</v>
      </c>
      <c r="M1682" s="25" t="e">
        <f ca="1"/>
        <v>#REF!</v>
      </c>
      <c r="N1682" s="25" t="e">
        <f ca="1"/>
        <v>#REF!</v>
      </c>
      <c r="O1682" s="25" t="e">
        <f ca="1"/>
        <v>#REF!</v>
      </c>
      <c r="P1682" s="25" t="e">
        <f ca="1"/>
        <v>#REF!</v>
      </c>
      <c r="Q1682" s="25" t="e">
        <f ca="1"/>
        <v>#REF!</v>
      </c>
      <c r="R1682" s="25" t="e">
        <f ca="1"/>
        <v>#REF!</v>
      </c>
      <c r="S1682" s="25" t="e">
        <f ca="1"/>
        <v>#REF!</v>
      </c>
      <c r="T1682" s="25" t="e">
        <f ca="1"/>
        <v>#REF!</v>
      </c>
      <c r="U1682" s="25" t="e">
        <f ca="1"/>
        <v>#REF!</v>
      </c>
      <c r="V1682" s="25" t="e">
        <f ca="1"/>
        <v>#REF!</v>
      </c>
      <c r="W1682" s="33" t="e">
        <f ca="1"/>
        <v>#REF!</v>
      </c>
      <c r="X1682" s="33" t="e">
        <f ca="1"/>
        <v>#REF!</v>
      </c>
      <c r="Y1682" s="33" t="e">
        <f ca="1"/>
        <v>#REF!</v>
      </c>
      <c r="Z1682" s="33" t="e">
        <f ca="1"/>
        <v>#REF!</v>
      </c>
      <c r="AA1682" s="33" t="e">
        <f ca="1"/>
        <v>#REF!</v>
      </c>
    </row>
    <row r="1683" spans="1:27" s="70" customFormat="1" ht="11.25" x14ac:dyDescent="0.2">
      <c r="A1683" s="24">
        <v>1677</v>
      </c>
      <c r="B1683" s="24"/>
      <c r="C1683" s="25"/>
      <c r="D1683" s="26"/>
      <c r="E1683" s="25"/>
      <c r="F1683" s="25"/>
      <c r="G1683" s="24"/>
      <c r="H1683" s="25" t="e">
        <f ca="1"/>
        <v>#REF!</v>
      </c>
      <c r="I1683" s="24" t="e">
        <f ca="1"/>
        <v>#REF!</v>
      </c>
      <c r="J1683" s="25" t="e">
        <f ca="1"/>
        <v>#REF!</v>
      </c>
      <c r="K1683" s="24" t="e">
        <f ca="1"/>
        <v>#REF!</v>
      </c>
      <c r="L1683" s="25" t="e">
        <f ca="1"/>
        <v>#REF!</v>
      </c>
      <c r="M1683" s="25" t="e">
        <f ca="1"/>
        <v>#REF!</v>
      </c>
      <c r="N1683" s="25" t="e">
        <f ca="1"/>
        <v>#REF!</v>
      </c>
      <c r="O1683" s="25" t="e">
        <f ca="1"/>
        <v>#REF!</v>
      </c>
      <c r="P1683" s="25" t="e">
        <f ca="1"/>
        <v>#REF!</v>
      </c>
      <c r="Q1683" s="25" t="e">
        <f ca="1"/>
        <v>#REF!</v>
      </c>
      <c r="R1683" s="25" t="e">
        <f ca="1"/>
        <v>#REF!</v>
      </c>
      <c r="S1683" s="25" t="e">
        <f ca="1"/>
        <v>#REF!</v>
      </c>
      <c r="T1683" s="25" t="e">
        <f ca="1"/>
        <v>#REF!</v>
      </c>
      <c r="U1683" s="25" t="e">
        <f ca="1"/>
        <v>#REF!</v>
      </c>
      <c r="V1683" s="25" t="e">
        <f ca="1"/>
        <v>#REF!</v>
      </c>
      <c r="W1683" s="33" t="e">
        <f ca="1"/>
        <v>#REF!</v>
      </c>
      <c r="X1683" s="33" t="e">
        <f ca="1"/>
        <v>#REF!</v>
      </c>
      <c r="Y1683" s="33" t="e">
        <f ca="1"/>
        <v>#REF!</v>
      </c>
      <c r="Z1683" s="33" t="e">
        <f ca="1"/>
        <v>#REF!</v>
      </c>
      <c r="AA1683" s="33" t="e">
        <f ca="1"/>
        <v>#REF!</v>
      </c>
    </row>
    <row r="1684" spans="1:27" s="70" customFormat="1" ht="11.25" x14ac:dyDescent="0.2">
      <c r="A1684" s="24">
        <v>1678</v>
      </c>
      <c r="B1684" s="24"/>
      <c r="C1684" s="25"/>
      <c r="D1684" s="26"/>
      <c r="E1684" s="25"/>
      <c r="F1684" s="25"/>
      <c r="G1684" s="24"/>
      <c r="H1684" s="25" t="e">
        <f ca="1"/>
        <v>#REF!</v>
      </c>
      <c r="I1684" s="24" t="e">
        <f ca="1"/>
        <v>#REF!</v>
      </c>
      <c r="J1684" s="25" t="e">
        <f ca="1"/>
        <v>#REF!</v>
      </c>
      <c r="K1684" s="24" t="e">
        <f ca="1"/>
        <v>#REF!</v>
      </c>
      <c r="L1684" s="25" t="e">
        <f ca="1"/>
        <v>#REF!</v>
      </c>
      <c r="M1684" s="25" t="e">
        <f ca="1"/>
        <v>#REF!</v>
      </c>
      <c r="N1684" s="25" t="e">
        <f ca="1"/>
        <v>#REF!</v>
      </c>
      <c r="O1684" s="25" t="e">
        <f ca="1"/>
        <v>#REF!</v>
      </c>
      <c r="P1684" s="25" t="e">
        <f ca="1"/>
        <v>#REF!</v>
      </c>
      <c r="Q1684" s="25" t="e">
        <f ca="1"/>
        <v>#REF!</v>
      </c>
      <c r="R1684" s="25" t="e">
        <f ca="1"/>
        <v>#REF!</v>
      </c>
      <c r="S1684" s="25" t="e">
        <f ca="1"/>
        <v>#REF!</v>
      </c>
      <c r="T1684" s="25" t="e">
        <f ca="1"/>
        <v>#REF!</v>
      </c>
      <c r="U1684" s="25" t="e">
        <f ca="1"/>
        <v>#REF!</v>
      </c>
      <c r="V1684" s="25" t="e">
        <f ca="1"/>
        <v>#REF!</v>
      </c>
      <c r="W1684" s="33" t="e">
        <f ca="1"/>
        <v>#REF!</v>
      </c>
      <c r="X1684" s="33" t="e">
        <f ca="1"/>
        <v>#REF!</v>
      </c>
      <c r="Y1684" s="33" t="e">
        <f ca="1"/>
        <v>#REF!</v>
      </c>
      <c r="Z1684" s="33" t="e">
        <f ca="1"/>
        <v>#REF!</v>
      </c>
      <c r="AA1684" s="33" t="e">
        <f ca="1"/>
        <v>#REF!</v>
      </c>
    </row>
    <row r="1685" spans="1:27" s="70" customFormat="1" ht="11.25" x14ac:dyDescent="0.2">
      <c r="A1685" s="24">
        <v>1679</v>
      </c>
      <c r="B1685" s="24"/>
      <c r="C1685" s="25"/>
      <c r="D1685" s="26"/>
      <c r="E1685" s="25"/>
      <c r="F1685" s="25"/>
      <c r="G1685" s="24"/>
      <c r="H1685" s="25" t="e">
        <f ca="1"/>
        <v>#REF!</v>
      </c>
      <c r="I1685" s="24" t="e">
        <f ca="1"/>
        <v>#REF!</v>
      </c>
      <c r="J1685" s="25" t="e">
        <f ca="1"/>
        <v>#REF!</v>
      </c>
      <c r="K1685" s="24" t="e">
        <f ca="1"/>
        <v>#REF!</v>
      </c>
      <c r="L1685" s="25" t="e">
        <f ca="1"/>
        <v>#REF!</v>
      </c>
      <c r="M1685" s="25" t="e">
        <f ca="1"/>
        <v>#REF!</v>
      </c>
      <c r="N1685" s="25" t="e">
        <f ca="1"/>
        <v>#REF!</v>
      </c>
      <c r="O1685" s="25" t="e">
        <f ca="1"/>
        <v>#REF!</v>
      </c>
      <c r="P1685" s="25" t="e">
        <f ca="1"/>
        <v>#REF!</v>
      </c>
      <c r="Q1685" s="25" t="e">
        <f ca="1"/>
        <v>#REF!</v>
      </c>
      <c r="R1685" s="25" t="e">
        <f ca="1"/>
        <v>#REF!</v>
      </c>
      <c r="S1685" s="25" t="e">
        <f ca="1"/>
        <v>#REF!</v>
      </c>
      <c r="T1685" s="25" t="e">
        <f ca="1"/>
        <v>#REF!</v>
      </c>
      <c r="U1685" s="25" t="e">
        <f ca="1"/>
        <v>#REF!</v>
      </c>
      <c r="V1685" s="25" t="e">
        <f ca="1"/>
        <v>#REF!</v>
      </c>
      <c r="W1685" s="33" t="e">
        <f ca="1"/>
        <v>#REF!</v>
      </c>
      <c r="X1685" s="33" t="e">
        <f ca="1"/>
        <v>#REF!</v>
      </c>
      <c r="Y1685" s="33" t="e">
        <f ca="1"/>
        <v>#REF!</v>
      </c>
      <c r="Z1685" s="33" t="e">
        <f ca="1"/>
        <v>#REF!</v>
      </c>
      <c r="AA1685" s="33" t="e">
        <f ca="1"/>
        <v>#REF!</v>
      </c>
    </row>
    <row r="1686" spans="1:27" s="70" customFormat="1" ht="11.25" x14ac:dyDescent="0.2">
      <c r="A1686" s="24">
        <v>1680</v>
      </c>
      <c r="B1686" s="24"/>
      <c r="C1686" s="25"/>
      <c r="D1686" s="26"/>
      <c r="E1686" s="25"/>
      <c r="F1686" s="25"/>
      <c r="G1686" s="24"/>
      <c r="H1686" s="25" t="e">
        <f ca="1"/>
        <v>#REF!</v>
      </c>
      <c r="I1686" s="27" t="e">
        <f ca="1"/>
        <v>#REF!</v>
      </c>
      <c r="J1686" s="28" t="e">
        <f ca="1"/>
        <v>#REF!</v>
      </c>
      <c r="K1686" s="27" t="e">
        <f ca="1"/>
        <v>#REF!</v>
      </c>
      <c r="L1686" s="25" t="e">
        <f ca="1"/>
        <v>#REF!</v>
      </c>
      <c r="M1686" s="25" t="e">
        <f ca="1"/>
        <v>#REF!</v>
      </c>
      <c r="N1686" s="25" t="e">
        <f ca="1"/>
        <v>#REF!</v>
      </c>
      <c r="O1686" s="25" t="e">
        <f ca="1"/>
        <v>#REF!</v>
      </c>
      <c r="P1686" s="25" t="e">
        <f ca="1"/>
        <v>#REF!</v>
      </c>
      <c r="Q1686" s="25" t="e">
        <f ca="1"/>
        <v>#REF!</v>
      </c>
      <c r="R1686" s="25" t="e">
        <f ca="1"/>
        <v>#REF!</v>
      </c>
      <c r="S1686" s="25" t="e">
        <f ca="1"/>
        <v>#REF!</v>
      </c>
      <c r="T1686" s="25" t="e">
        <f ca="1"/>
        <v>#REF!</v>
      </c>
      <c r="U1686" s="25" t="e">
        <f ca="1"/>
        <v>#REF!</v>
      </c>
      <c r="V1686" s="25" t="e">
        <f ca="1"/>
        <v>#REF!</v>
      </c>
      <c r="W1686" s="33" t="e">
        <f ca="1"/>
        <v>#REF!</v>
      </c>
      <c r="X1686" s="33" t="e">
        <f ca="1"/>
        <v>#REF!</v>
      </c>
      <c r="Y1686" s="33" t="e">
        <f ca="1"/>
        <v>#REF!</v>
      </c>
      <c r="Z1686" s="33" t="e">
        <f ca="1"/>
        <v>#REF!</v>
      </c>
      <c r="AA1686" s="33" t="e">
        <f ca="1"/>
        <v>#REF!</v>
      </c>
    </row>
    <row r="1687" spans="1:27" s="70" customFormat="1" ht="11.25" x14ac:dyDescent="0.2">
      <c r="A1687" s="24">
        <v>1681</v>
      </c>
      <c r="B1687" s="24"/>
      <c r="C1687" s="25"/>
      <c r="D1687" s="26"/>
      <c r="E1687" s="25"/>
      <c r="F1687" s="25"/>
      <c r="G1687" s="24"/>
      <c r="H1687" s="25" t="e">
        <f ca="1"/>
        <v>#REF!</v>
      </c>
      <c r="I1687" s="27" t="e">
        <f ca="1"/>
        <v>#REF!</v>
      </c>
      <c r="J1687" s="28" t="e">
        <f ca="1"/>
        <v>#REF!</v>
      </c>
      <c r="K1687" s="27" t="e">
        <f ca="1"/>
        <v>#REF!</v>
      </c>
      <c r="L1687" s="25" t="e">
        <f ca="1"/>
        <v>#REF!</v>
      </c>
      <c r="M1687" s="25" t="e">
        <f ca="1"/>
        <v>#REF!</v>
      </c>
      <c r="N1687" s="25" t="e">
        <f ca="1"/>
        <v>#REF!</v>
      </c>
      <c r="O1687" s="25" t="e">
        <f ca="1"/>
        <v>#REF!</v>
      </c>
      <c r="P1687" s="25" t="e">
        <f ca="1"/>
        <v>#REF!</v>
      </c>
      <c r="Q1687" s="25" t="e">
        <f ca="1"/>
        <v>#REF!</v>
      </c>
      <c r="R1687" s="25" t="e">
        <f ca="1"/>
        <v>#REF!</v>
      </c>
      <c r="S1687" s="25" t="e">
        <f ca="1"/>
        <v>#REF!</v>
      </c>
      <c r="T1687" s="25" t="e">
        <f ca="1"/>
        <v>#REF!</v>
      </c>
      <c r="U1687" s="25" t="e">
        <f ca="1"/>
        <v>#REF!</v>
      </c>
      <c r="V1687" s="25" t="e">
        <f ca="1"/>
        <v>#REF!</v>
      </c>
      <c r="W1687" s="33" t="e">
        <f ca="1"/>
        <v>#REF!</v>
      </c>
      <c r="X1687" s="33" t="e">
        <f ca="1"/>
        <v>#REF!</v>
      </c>
      <c r="Y1687" s="33" t="e">
        <f ca="1"/>
        <v>#REF!</v>
      </c>
      <c r="Z1687" s="33" t="e">
        <f ca="1"/>
        <v>#REF!</v>
      </c>
      <c r="AA1687" s="33" t="e">
        <f ca="1"/>
        <v>#REF!</v>
      </c>
    </row>
    <row r="1688" spans="1:27" s="70" customFormat="1" ht="11.25" x14ac:dyDescent="0.2">
      <c r="A1688" s="24">
        <v>1682</v>
      </c>
      <c r="B1688" s="24"/>
      <c r="C1688" s="25"/>
      <c r="D1688" s="26"/>
      <c r="E1688" s="25"/>
      <c r="F1688" s="25"/>
      <c r="G1688" s="24"/>
      <c r="H1688" s="25" t="e">
        <f ca="1"/>
        <v>#REF!</v>
      </c>
      <c r="I1688" s="27" t="e">
        <f ca="1"/>
        <v>#REF!</v>
      </c>
      <c r="J1688" s="28" t="e">
        <f ca="1"/>
        <v>#REF!</v>
      </c>
      <c r="K1688" s="27" t="e">
        <f ca="1"/>
        <v>#REF!</v>
      </c>
      <c r="L1688" s="25" t="e">
        <f ca="1"/>
        <v>#REF!</v>
      </c>
      <c r="M1688" s="25" t="e">
        <f ca="1"/>
        <v>#REF!</v>
      </c>
      <c r="N1688" s="25" t="e">
        <f ca="1"/>
        <v>#REF!</v>
      </c>
      <c r="O1688" s="25" t="e">
        <f ca="1"/>
        <v>#REF!</v>
      </c>
      <c r="P1688" s="25" t="e">
        <f ca="1"/>
        <v>#REF!</v>
      </c>
      <c r="Q1688" s="25" t="e">
        <f ca="1"/>
        <v>#REF!</v>
      </c>
      <c r="R1688" s="25" t="e">
        <f ca="1"/>
        <v>#REF!</v>
      </c>
      <c r="S1688" s="25" t="e">
        <f ca="1"/>
        <v>#REF!</v>
      </c>
      <c r="T1688" s="25" t="e">
        <f ca="1"/>
        <v>#REF!</v>
      </c>
      <c r="U1688" s="25" t="e">
        <f ca="1"/>
        <v>#REF!</v>
      </c>
      <c r="V1688" s="25" t="e">
        <f ca="1"/>
        <v>#REF!</v>
      </c>
      <c r="W1688" s="33" t="e">
        <f ca="1"/>
        <v>#REF!</v>
      </c>
      <c r="X1688" s="33" t="e">
        <f ca="1"/>
        <v>#REF!</v>
      </c>
      <c r="Y1688" s="33" t="e">
        <f ca="1"/>
        <v>#REF!</v>
      </c>
      <c r="Z1688" s="33" t="e">
        <f ca="1"/>
        <v>#REF!</v>
      </c>
      <c r="AA1688" s="33" t="e">
        <f ca="1"/>
        <v>#REF!</v>
      </c>
    </row>
    <row r="1689" spans="1:27" s="70" customFormat="1" ht="11.25" x14ac:dyDescent="0.2">
      <c r="A1689" s="24">
        <v>1683</v>
      </c>
      <c r="B1689" s="24"/>
      <c r="C1689" s="25"/>
      <c r="D1689" s="26"/>
      <c r="E1689" s="25"/>
      <c r="F1689" s="25"/>
      <c r="G1689" s="24"/>
      <c r="H1689" s="25" t="e">
        <f ca="1"/>
        <v>#REF!</v>
      </c>
      <c r="I1689" s="27" t="e">
        <f ca="1"/>
        <v>#REF!</v>
      </c>
      <c r="J1689" s="28" t="e">
        <f ca="1"/>
        <v>#REF!</v>
      </c>
      <c r="K1689" s="27" t="e">
        <f ca="1"/>
        <v>#REF!</v>
      </c>
      <c r="L1689" s="25" t="e">
        <f ca="1"/>
        <v>#REF!</v>
      </c>
      <c r="M1689" s="25" t="e">
        <f ca="1"/>
        <v>#REF!</v>
      </c>
      <c r="N1689" s="25" t="e">
        <f ca="1"/>
        <v>#REF!</v>
      </c>
      <c r="O1689" s="25" t="e">
        <f ca="1"/>
        <v>#REF!</v>
      </c>
      <c r="P1689" s="25" t="e">
        <f ca="1"/>
        <v>#REF!</v>
      </c>
      <c r="Q1689" s="25" t="e">
        <f ca="1"/>
        <v>#REF!</v>
      </c>
      <c r="R1689" s="25" t="e">
        <f ca="1"/>
        <v>#REF!</v>
      </c>
      <c r="S1689" s="25" t="e">
        <f ca="1"/>
        <v>#REF!</v>
      </c>
      <c r="T1689" s="25" t="e">
        <f ca="1"/>
        <v>#REF!</v>
      </c>
      <c r="U1689" s="25" t="e">
        <f ca="1"/>
        <v>#REF!</v>
      </c>
      <c r="V1689" s="25" t="e">
        <f ca="1"/>
        <v>#REF!</v>
      </c>
      <c r="W1689" s="33" t="e">
        <f ca="1"/>
        <v>#REF!</v>
      </c>
      <c r="X1689" s="33" t="e">
        <f ca="1"/>
        <v>#REF!</v>
      </c>
      <c r="Y1689" s="33" t="e">
        <f ca="1"/>
        <v>#REF!</v>
      </c>
      <c r="Z1689" s="33" t="e">
        <f ca="1"/>
        <v>#REF!</v>
      </c>
      <c r="AA1689" s="33" t="e">
        <f ca="1"/>
        <v>#REF!</v>
      </c>
    </row>
    <row r="1690" spans="1:27" s="70" customFormat="1" ht="11.25" x14ac:dyDescent="0.2">
      <c r="A1690" s="24">
        <v>1684</v>
      </c>
      <c r="B1690" s="24"/>
      <c r="C1690" s="25"/>
      <c r="D1690" s="26"/>
      <c r="E1690" s="25"/>
      <c r="F1690" s="25"/>
      <c r="G1690" s="24"/>
      <c r="H1690" s="25" t="e">
        <f ca="1"/>
        <v>#REF!</v>
      </c>
      <c r="I1690" s="27" t="e">
        <f ca="1"/>
        <v>#REF!</v>
      </c>
      <c r="J1690" s="28" t="e">
        <f ca="1"/>
        <v>#REF!</v>
      </c>
      <c r="K1690" s="27" t="e">
        <f ca="1"/>
        <v>#REF!</v>
      </c>
      <c r="L1690" s="25" t="e">
        <f ca="1"/>
        <v>#REF!</v>
      </c>
      <c r="M1690" s="25" t="e">
        <f ca="1"/>
        <v>#REF!</v>
      </c>
      <c r="N1690" s="25" t="e">
        <f ca="1"/>
        <v>#REF!</v>
      </c>
      <c r="O1690" s="25" t="e">
        <f ca="1"/>
        <v>#REF!</v>
      </c>
      <c r="P1690" s="25" t="e">
        <f ca="1"/>
        <v>#REF!</v>
      </c>
      <c r="Q1690" s="25" t="e">
        <f ca="1"/>
        <v>#REF!</v>
      </c>
      <c r="R1690" s="25" t="e">
        <f ca="1"/>
        <v>#REF!</v>
      </c>
      <c r="S1690" s="25" t="e">
        <f ca="1"/>
        <v>#REF!</v>
      </c>
      <c r="T1690" s="25" t="e">
        <f ca="1"/>
        <v>#REF!</v>
      </c>
      <c r="U1690" s="25" t="e">
        <f ca="1"/>
        <v>#REF!</v>
      </c>
      <c r="V1690" s="25" t="e">
        <f ca="1"/>
        <v>#REF!</v>
      </c>
      <c r="W1690" s="33" t="e">
        <f ca="1"/>
        <v>#REF!</v>
      </c>
      <c r="X1690" s="33" t="e">
        <f ca="1"/>
        <v>#REF!</v>
      </c>
      <c r="Y1690" s="33" t="e">
        <f ca="1"/>
        <v>#REF!</v>
      </c>
      <c r="Z1690" s="33" t="e">
        <f ca="1"/>
        <v>#REF!</v>
      </c>
      <c r="AA1690" s="33" t="e">
        <f ca="1"/>
        <v>#REF!</v>
      </c>
    </row>
    <row r="1691" spans="1:27" s="70" customFormat="1" ht="11.25" x14ac:dyDescent="0.2">
      <c r="A1691" s="24">
        <v>1685</v>
      </c>
      <c r="B1691" s="24"/>
      <c r="C1691" s="25"/>
      <c r="D1691" s="26"/>
      <c r="E1691" s="25"/>
      <c r="F1691" s="25"/>
      <c r="G1691" s="24"/>
      <c r="H1691" s="25" t="e">
        <f ca="1"/>
        <v>#REF!</v>
      </c>
      <c r="I1691" s="27" t="e">
        <f ca="1"/>
        <v>#REF!</v>
      </c>
      <c r="J1691" s="28" t="e">
        <f ca="1"/>
        <v>#REF!</v>
      </c>
      <c r="K1691" s="27" t="e">
        <f ca="1"/>
        <v>#REF!</v>
      </c>
      <c r="L1691" s="25" t="e">
        <f ca="1"/>
        <v>#REF!</v>
      </c>
      <c r="M1691" s="25" t="e">
        <f ca="1"/>
        <v>#REF!</v>
      </c>
      <c r="N1691" s="25" t="e">
        <f ca="1"/>
        <v>#REF!</v>
      </c>
      <c r="O1691" s="25" t="e">
        <f ca="1"/>
        <v>#REF!</v>
      </c>
      <c r="P1691" s="25" t="e">
        <f ca="1"/>
        <v>#REF!</v>
      </c>
      <c r="Q1691" s="25" t="e">
        <f ca="1"/>
        <v>#REF!</v>
      </c>
      <c r="R1691" s="25" t="e">
        <f ca="1"/>
        <v>#REF!</v>
      </c>
      <c r="S1691" s="25" t="e">
        <f ca="1"/>
        <v>#REF!</v>
      </c>
      <c r="T1691" s="25" t="e">
        <f ca="1"/>
        <v>#REF!</v>
      </c>
      <c r="U1691" s="25" t="e">
        <f ca="1"/>
        <v>#REF!</v>
      </c>
      <c r="V1691" s="25" t="e">
        <f ca="1"/>
        <v>#REF!</v>
      </c>
      <c r="W1691" s="33" t="e">
        <f ca="1"/>
        <v>#REF!</v>
      </c>
      <c r="X1691" s="33" t="e">
        <f ca="1"/>
        <v>#REF!</v>
      </c>
      <c r="Y1691" s="33" t="e">
        <f ca="1"/>
        <v>#REF!</v>
      </c>
      <c r="Z1691" s="33" t="e">
        <f ca="1"/>
        <v>#REF!</v>
      </c>
      <c r="AA1691" s="33" t="e">
        <f ca="1"/>
        <v>#REF!</v>
      </c>
    </row>
    <row r="1692" spans="1:27" s="70" customFormat="1" ht="11.25" x14ac:dyDescent="0.2">
      <c r="A1692" s="24">
        <v>1686</v>
      </c>
      <c r="B1692" s="24"/>
      <c r="C1692" s="25"/>
      <c r="D1692" s="26"/>
      <c r="E1692" s="25"/>
      <c r="F1692" s="25"/>
      <c r="G1692" s="24"/>
      <c r="H1692" s="25" t="e">
        <f ca="1"/>
        <v>#REF!</v>
      </c>
      <c r="I1692" s="27" t="e">
        <f ca="1"/>
        <v>#REF!</v>
      </c>
      <c r="J1692" s="28" t="e">
        <f ca="1"/>
        <v>#REF!</v>
      </c>
      <c r="K1692" s="27" t="e">
        <f ca="1"/>
        <v>#REF!</v>
      </c>
      <c r="L1692" s="25" t="e">
        <f ca="1"/>
        <v>#REF!</v>
      </c>
      <c r="M1692" s="25" t="e">
        <f ca="1"/>
        <v>#REF!</v>
      </c>
      <c r="N1692" s="25" t="e">
        <f ca="1"/>
        <v>#REF!</v>
      </c>
      <c r="O1692" s="25" t="e">
        <f ca="1"/>
        <v>#REF!</v>
      </c>
      <c r="P1692" s="25" t="e">
        <f ca="1"/>
        <v>#REF!</v>
      </c>
      <c r="Q1692" s="25" t="e">
        <f ca="1"/>
        <v>#REF!</v>
      </c>
      <c r="R1692" s="25" t="e">
        <f ca="1"/>
        <v>#REF!</v>
      </c>
      <c r="S1692" s="25" t="e">
        <f ca="1"/>
        <v>#REF!</v>
      </c>
      <c r="T1692" s="25" t="e">
        <f ca="1"/>
        <v>#REF!</v>
      </c>
      <c r="U1692" s="25" t="e">
        <f ca="1"/>
        <v>#REF!</v>
      </c>
      <c r="V1692" s="25" t="e">
        <f ca="1"/>
        <v>#REF!</v>
      </c>
      <c r="W1692" s="33" t="e">
        <f ca="1"/>
        <v>#REF!</v>
      </c>
      <c r="X1692" s="33" t="e">
        <f ca="1"/>
        <v>#REF!</v>
      </c>
      <c r="Y1692" s="33" t="e">
        <f ca="1"/>
        <v>#REF!</v>
      </c>
      <c r="Z1692" s="33" t="e">
        <f ca="1"/>
        <v>#REF!</v>
      </c>
      <c r="AA1692" s="33" t="e">
        <f ca="1"/>
        <v>#REF!</v>
      </c>
    </row>
    <row r="1693" spans="1:27" s="70" customFormat="1" ht="11.25" x14ac:dyDescent="0.2">
      <c r="A1693" s="24">
        <v>1687</v>
      </c>
      <c r="B1693" s="24"/>
      <c r="C1693" s="25"/>
      <c r="D1693" s="26"/>
      <c r="E1693" s="25"/>
      <c r="F1693" s="25"/>
      <c r="G1693" s="24"/>
      <c r="H1693" s="25" t="e">
        <f ca="1"/>
        <v>#REF!</v>
      </c>
      <c r="I1693" s="27" t="e">
        <f ca="1"/>
        <v>#REF!</v>
      </c>
      <c r="J1693" s="28" t="e">
        <f ca="1"/>
        <v>#REF!</v>
      </c>
      <c r="K1693" s="27" t="e">
        <f ca="1"/>
        <v>#REF!</v>
      </c>
      <c r="L1693" s="25" t="e">
        <f ca="1"/>
        <v>#REF!</v>
      </c>
      <c r="M1693" s="25" t="e">
        <f ca="1"/>
        <v>#REF!</v>
      </c>
      <c r="N1693" s="25" t="e">
        <f ca="1"/>
        <v>#REF!</v>
      </c>
      <c r="O1693" s="25" t="e">
        <f ca="1"/>
        <v>#REF!</v>
      </c>
      <c r="P1693" s="25" t="e">
        <f ca="1"/>
        <v>#REF!</v>
      </c>
      <c r="Q1693" s="25" t="e">
        <f ca="1"/>
        <v>#REF!</v>
      </c>
      <c r="R1693" s="25" t="e">
        <f ca="1"/>
        <v>#REF!</v>
      </c>
      <c r="S1693" s="25" t="e">
        <f ca="1"/>
        <v>#REF!</v>
      </c>
      <c r="T1693" s="25" t="e">
        <f ca="1"/>
        <v>#REF!</v>
      </c>
      <c r="U1693" s="25" t="e">
        <f ca="1"/>
        <v>#REF!</v>
      </c>
      <c r="V1693" s="25" t="e">
        <f ca="1"/>
        <v>#REF!</v>
      </c>
      <c r="W1693" s="33" t="e">
        <f ca="1"/>
        <v>#REF!</v>
      </c>
      <c r="X1693" s="33" t="e">
        <f ca="1"/>
        <v>#REF!</v>
      </c>
      <c r="Y1693" s="33" t="e">
        <f ca="1"/>
        <v>#REF!</v>
      </c>
      <c r="Z1693" s="33" t="e">
        <f ca="1"/>
        <v>#REF!</v>
      </c>
      <c r="AA1693" s="33" t="e">
        <f ca="1"/>
        <v>#REF!</v>
      </c>
    </row>
    <row r="1694" spans="1:27" s="70" customFormat="1" ht="11.25" x14ac:dyDescent="0.2">
      <c r="A1694" s="24">
        <v>1688</v>
      </c>
      <c r="B1694" s="24"/>
      <c r="C1694" s="25"/>
      <c r="D1694" s="26"/>
      <c r="E1694" s="25"/>
      <c r="F1694" s="25"/>
      <c r="G1694" s="24"/>
      <c r="H1694" s="25" t="e">
        <f ca="1"/>
        <v>#REF!</v>
      </c>
      <c r="I1694" s="27" t="e">
        <f ca="1"/>
        <v>#REF!</v>
      </c>
      <c r="J1694" s="28" t="e">
        <f ca="1"/>
        <v>#REF!</v>
      </c>
      <c r="K1694" s="27" t="e">
        <f ca="1"/>
        <v>#REF!</v>
      </c>
      <c r="L1694" s="25" t="e">
        <f ca="1"/>
        <v>#REF!</v>
      </c>
      <c r="M1694" s="25" t="e">
        <f ca="1"/>
        <v>#REF!</v>
      </c>
      <c r="N1694" s="25" t="e">
        <f ca="1"/>
        <v>#REF!</v>
      </c>
      <c r="O1694" s="25" t="e">
        <f ca="1"/>
        <v>#REF!</v>
      </c>
      <c r="P1694" s="25" t="e">
        <f ca="1"/>
        <v>#REF!</v>
      </c>
      <c r="Q1694" s="25" t="e">
        <f ca="1"/>
        <v>#REF!</v>
      </c>
      <c r="R1694" s="25" t="e">
        <f ca="1"/>
        <v>#REF!</v>
      </c>
      <c r="S1694" s="25" t="e">
        <f ca="1"/>
        <v>#REF!</v>
      </c>
      <c r="T1694" s="25" t="e">
        <f ca="1"/>
        <v>#REF!</v>
      </c>
      <c r="U1694" s="25" t="e">
        <f ca="1"/>
        <v>#REF!</v>
      </c>
      <c r="V1694" s="25" t="e">
        <f ca="1"/>
        <v>#REF!</v>
      </c>
      <c r="W1694" s="33" t="e">
        <f ca="1"/>
        <v>#REF!</v>
      </c>
      <c r="X1694" s="33" t="e">
        <f ca="1"/>
        <v>#REF!</v>
      </c>
      <c r="Y1694" s="33" t="e">
        <f ca="1"/>
        <v>#REF!</v>
      </c>
      <c r="Z1694" s="33" t="e">
        <f ca="1"/>
        <v>#REF!</v>
      </c>
      <c r="AA1694" s="33" t="e">
        <f ca="1"/>
        <v>#REF!</v>
      </c>
    </row>
    <row r="1695" spans="1:27" s="70" customFormat="1" ht="11.25" x14ac:dyDescent="0.2">
      <c r="A1695" s="24">
        <v>1689</v>
      </c>
      <c r="B1695" s="24"/>
      <c r="C1695" s="25"/>
      <c r="D1695" s="26"/>
      <c r="E1695" s="25"/>
      <c r="F1695" s="25"/>
      <c r="G1695" s="24"/>
      <c r="H1695" s="25" t="e">
        <f ca="1"/>
        <v>#REF!</v>
      </c>
      <c r="I1695" s="27" t="e">
        <f ca="1"/>
        <v>#REF!</v>
      </c>
      <c r="J1695" s="28" t="e">
        <f ca="1"/>
        <v>#REF!</v>
      </c>
      <c r="K1695" s="27" t="e">
        <f ca="1"/>
        <v>#REF!</v>
      </c>
      <c r="L1695" s="25" t="e">
        <f ca="1"/>
        <v>#REF!</v>
      </c>
      <c r="M1695" s="25" t="e">
        <f ca="1"/>
        <v>#REF!</v>
      </c>
      <c r="N1695" s="25" t="e">
        <f ca="1"/>
        <v>#REF!</v>
      </c>
      <c r="O1695" s="25" t="e">
        <f ca="1"/>
        <v>#REF!</v>
      </c>
      <c r="P1695" s="25" t="e">
        <f ca="1"/>
        <v>#REF!</v>
      </c>
      <c r="Q1695" s="25" t="e">
        <f ca="1"/>
        <v>#REF!</v>
      </c>
      <c r="R1695" s="25" t="e">
        <f ca="1"/>
        <v>#REF!</v>
      </c>
      <c r="S1695" s="25" t="e">
        <f ca="1"/>
        <v>#REF!</v>
      </c>
      <c r="T1695" s="25" t="e">
        <f ca="1"/>
        <v>#REF!</v>
      </c>
      <c r="U1695" s="25" t="e">
        <f ca="1"/>
        <v>#REF!</v>
      </c>
      <c r="V1695" s="25" t="e">
        <f ca="1"/>
        <v>#REF!</v>
      </c>
      <c r="W1695" s="33" t="e">
        <f ca="1"/>
        <v>#REF!</v>
      </c>
      <c r="X1695" s="33" t="e">
        <f ca="1"/>
        <v>#REF!</v>
      </c>
      <c r="Y1695" s="33" t="e">
        <f ca="1"/>
        <v>#REF!</v>
      </c>
      <c r="Z1695" s="33" t="e">
        <f ca="1"/>
        <v>#REF!</v>
      </c>
      <c r="AA1695" s="33" t="e">
        <f ca="1"/>
        <v>#REF!</v>
      </c>
    </row>
    <row r="1696" spans="1:27" s="70" customFormat="1" ht="11.25" x14ac:dyDescent="0.2">
      <c r="A1696" s="24">
        <v>1690</v>
      </c>
      <c r="B1696" s="24"/>
      <c r="C1696" s="25"/>
      <c r="D1696" s="26"/>
      <c r="E1696" s="25"/>
      <c r="F1696" s="25"/>
      <c r="G1696" s="24"/>
      <c r="H1696" s="25" t="e">
        <f ca="1"/>
        <v>#REF!</v>
      </c>
      <c r="I1696" s="27" t="e">
        <f ca="1"/>
        <v>#REF!</v>
      </c>
      <c r="J1696" s="28" t="e">
        <f ca="1"/>
        <v>#REF!</v>
      </c>
      <c r="K1696" s="27" t="e">
        <f ca="1"/>
        <v>#REF!</v>
      </c>
      <c r="L1696" s="25" t="e">
        <f ca="1"/>
        <v>#REF!</v>
      </c>
      <c r="M1696" s="25" t="e">
        <f ca="1"/>
        <v>#REF!</v>
      </c>
      <c r="N1696" s="25" t="e">
        <f ca="1"/>
        <v>#REF!</v>
      </c>
      <c r="O1696" s="25" t="e">
        <f ca="1"/>
        <v>#REF!</v>
      </c>
      <c r="P1696" s="25" t="e">
        <f ca="1"/>
        <v>#REF!</v>
      </c>
      <c r="Q1696" s="25" t="e">
        <f ca="1"/>
        <v>#REF!</v>
      </c>
      <c r="R1696" s="25" t="e">
        <f ca="1"/>
        <v>#REF!</v>
      </c>
      <c r="S1696" s="25" t="e">
        <f ca="1"/>
        <v>#REF!</v>
      </c>
      <c r="T1696" s="25" t="e">
        <f ca="1"/>
        <v>#REF!</v>
      </c>
      <c r="U1696" s="25" t="e">
        <f ca="1"/>
        <v>#REF!</v>
      </c>
      <c r="V1696" s="25" t="e">
        <f ca="1"/>
        <v>#REF!</v>
      </c>
      <c r="W1696" s="33" t="e">
        <f ca="1"/>
        <v>#REF!</v>
      </c>
      <c r="X1696" s="33" t="e">
        <f ca="1"/>
        <v>#REF!</v>
      </c>
      <c r="Y1696" s="33" t="e">
        <f ca="1"/>
        <v>#REF!</v>
      </c>
      <c r="Z1696" s="33" t="e">
        <f ca="1"/>
        <v>#REF!</v>
      </c>
      <c r="AA1696" s="33" t="e">
        <f ca="1"/>
        <v>#REF!</v>
      </c>
    </row>
    <row r="1697" spans="1:27" s="70" customFormat="1" ht="11.25" x14ac:dyDescent="0.2">
      <c r="A1697" s="24">
        <v>1691</v>
      </c>
      <c r="B1697" s="24"/>
      <c r="C1697" s="25"/>
      <c r="D1697" s="26"/>
      <c r="E1697" s="25"/>
      <c r="F1697" s="25"/>
      <c r="G1697" s="24"/>
      <c r="H1697" s="25" t="e">
        <f ca="1"/>
        <v>#REF!</v>
      </c>
      <c r="I1697" s="27" t="e">
        <f ca="1"/>
        <v>#REF!</v>
      </c>
      <c r="J1697" s="28" t="e">
        <f ca="1"/>
        <v>#REF!</v>
      </c>
      <c r="K1697" s="27" t="e">
        <f ca="1"/>
        <v>#REF!</v>
      </c>
      <c r="L1697" s="25" t="e">
        <f ca="1"/>
        <v>#REF!</v>
      </c>
      <c r="M1697" s="25" t="e">
        <f ca="1"/>
        <v>#REF!</v>
      </c>
      <c r="N1697" s="25" t="e">
        <f ca="1"/>
        <v>#REF!</v>
      </c>
      <c r="O1697" s="25" t="e">
        <f ca="1"/>
        <v>#REF!</v>
      </c>
      <c r="P1697" s="25" t="e">
        <f ca="1"/>
        <v>#REF!</v>
      </c>
      <c r="Q1697" s="25" t="e">
        <f ca="1"/>
        <v>#REF!</v>
      </c>
      <c r="R1697" s="25" t="e">
        <f ca="1"/>
        <v>#REF!</v>
      </c>
      <c r="S1697" s="25" t="e">
        <f ca="1"/>
        <v>#REF!</v>
      </c>
      <c r="T1697" s="25" t="e">
        <f ca="1"/>
        <v>#REF!</v>
      </c>
      <c r="U1697" s="25" t="e">
        <f ca="1"/>
        <v>#REF!</v>
      </c>
      <c r="V1697" s="25" t="e">
        <f ca="1"/>
        <v>#REF!</v>
      </c>
      <c r="W1697" s="33" t="e">
        <f ca="1"/>
        <v>#REF!</v>
      </c>
      <c r="X1697" s="33" t="e">
        <f ca="1"/>
        <v>#REF!</v>
      </c>
      <c r="Y1697" s="33" t="e">
        <f ca="1"/>
        <v>#REF!</v>
      </c>
      <c r="Z1697" s="33" t="e">
        <f ca="1"/>
        <v>#REF!</v>
      </c>
      <c r="AA1697" s="33" t="e">
        <f ca="1"/>
        <v>#REF!</v>
      </c>
    </row>
    <row r="1698" spans="1:27" s="70" customFormat="1" ht="11.25" x14ac:dyDescent="0.2">
      <c r="A1698" s="24">
        <v>1692</v>
      </c>
      <c r="B1698" s="24"/>
      <c r="C1698" s="25"/>
      <c r="D1698" s="26"/>
      <c r="E1698" s="25"/>
      <c r="F1698" s="25"/>
      <c r="G1698" s="24"/>
      <c r="H1698" s="25" t="e">
        <f ca="1"/>
        <v>#REF!</v>
      </c>
      <c r="I1698" s="27" t="e">
        <f ca="1"/>
        <v>#REF!</v>
      </c>
      <c r="J1698" s="28" t="e">
        <f ca="1"/>
        <v>#REF!</v>
      </c>
      <c r="K1698" s="27" t="e">
        <f ca="1"/>
        <v>#REF!</v>
      </c>
      <c r="L1698" s="25" t="e">
        <f ca="1"/>
        <v>#REF!</v>
      </c>
      <c r="M1698" s="25" t="e">
        <f ca="1"/>
        <v>#REF!</v>
      </c>
      <c r="N1698" s="25" t="e">
        <f ca="1"/>
        <v>#REF!</v>
      </c>
      <c r="O1698" s="25" t="e">
        <f ca="1"/>
        <v>#REF!</v>
      </c>
      <c r="P1698" s="25" t="e">
        <f ca="1"/>
        <v>#REF!</v>
      </c>
      <c r="Q1698" s="25" t="e">
        <f ca="1"/>
        <v>#REF!</v>
      </c>
      <c r="R1698" s="25" t="e">
        <f ca="1"/>
        <v>#REF!</v>
      </c>
      <c r="S1698" s="25" t="e">
        <f ca="1"/>
        <v>#REF!</v>
      </c>
      <c r="T1698" s="25" t="e">
        <f ca="1"/>
        <v>#REF!</v>
      </c>
      <c r="U1698" s="25" t="e">
        <f ca="1"/>
        <v>#REF!</v>
      </c>
      <c r="V1698" s="25" t="e">
        <f ca="1"/>
        <v>#REF!</v>
      </c>
      <c r="W1698" s="33" t="e">
        <f ca="1"/>
        <v>#REF!</v>
      </c>
      <c r="X1698" s="33" t="e">
        <f ca="1"/>
        <v>#REF!</v>
      </c>
      <c r="Y1698" s="33" t="e">
        <f ca="1"/>
        <v>#REF!</v>
      </c>
      <c r="Z1698" s="33" t="e">
        <f ca="1"/>
        <v>#REF!</v>
      </c>
      <c r="AA1698" s="33" t="e">
        <f ca="1"/>
        <v>#REF!</v>
      </c>
    </row>
    <row r="1699" spans="1:27" s="70" customFormat="1" ht="11.25" x14ac:dyDescent="0.2">
      <c r="A1699" s="24">
        <v>1693</v>
      </c>
      <c r="B1699" s="24"/>
      <c r="C1699" s="25"/>
      <c r="D1699" s="26"/>
      <c r="E1699" s="25"/>
      <c r="F1699" s="25"/>
      <c r="G1699" s="24"/>
      <c r="H1699" s="25" t="e">
        <f ca="1"/>
        <v>#REF!</v>
      </c>
      <c r="I1699" s="27" t="e">
        <f ca="1"/>
        <v>#REF!</v>
      </c>
      <c r="J1699" s="28" t="e">
        <f ca="1"/>
        <v>#REF!</v>
      </c>
      <c r="K1699" s="27" t="e">
        <f ca="1"/>
        <v>#REF!</v>
      </c>
      <c r="L1699" s="25" t="e">
        <f ca="1"/>
        <v>#REF!</v>
      </c>
      <c r="M1699" s="25" t="e">
        <f ca="1"/>
        <v>#REF!</v>
      </c>
      <c r="N1699" s="25" t="e">
        <f ca="1"/>
        <v>#REF!</v>
      </c>
      <c r="O1699" s="25" t="e">
        <f ca="1"/>
        <v>#REF!</v>
      </c>
      <c r="P1699" s="25" t="e">
        <f ca="1"/>
        <v>#REF!</v>
      </c>
      <c r="Q1699" s="25" t="e">
        <f ca="1"/>
        <v>#REF!</v>
      </c>
      <c r="R1699" s="25" t="e">
        <f ca="1"/>
        <v>#REF!</v>
      </c>
      <c r="S1699" s="25" t="e">
        <f ca="1"/>
        <v>#REF!</v>
      </c>
      <c r="T1699" s="25" t="e">
        <f ca="1"/>
        <v>#REF!</v>
      </c>
      <c r="U1699" s="25" t="e">
        <f ca="1"/>
        <v>#REF!</v>
      </c>
      <c r="V1699" s="25" t="e">
        <f ca="1"/>
        <v>#REF!</v>
      </c>
      <c r="W1699" s="33" t="e">
        <f ca="1"/>
        <v>#REF!</v>
      </c>
      <c r="X1699" s="33" t="e">
        <f ca="1"/>
        <v>#REF!</v>
      </c>
      <c r="Y1699" s="33" t="e">
        <f ca="1"/>
        <v>#REF!</v>
      </c>
      <c r="Z1699" s="33" t="e">
        <f ca="1"/>
        <v>#REF!</v>
      </c>
      <c r="AA1699" s="33" t="e">
        <f ca="1"/>
        <v>#REF!</v>
      </c>
    </row>
    <row r="1700" spans="1:27" s="70" customFormat="1" ht="11.25" x14ac:dyDescent="0.2">
      <c r="A1700" s="24">
        <v>1694</v>
      </c>
      <c r="B1700" s="24"/>
      <c r="C1700" s="25"/>
      <c r="D1700" s="26"/>
      <c r="E1700" s="25"/>
      <c r="F1700" s="25"/>
      <c r="G1700" s="24"/>
      <c r="H1700" s="25" t="e">
        <f ca="1"/>
        <v>#REF!</v>
      </c>
      <c r="I1700" s="27" t="e">
        <f ca="1"/>
        <v>#REF!</v>
      </c>
      <c r="J1700" s="28" t="e">
        <f ca="1"/>
        <v>#REF!</v>
      </c>
      <c r="K1700" s="27" t="e">
        <f ca="1"/>
        <v>#REF!</v>
      </c>
      <c r="L1700" s="25" t="e">
        <f ca="1"/>
        <v>#REF!</v>
      </c>
      <c r="M1700" s="25" t="e">
        <f ca="1"/>
        <v>#REF!</v>
      </c>
      <c r="N1700" s="25" t="e">
        <f ca="1"/>
        <v>#REF!</v>
      </c>
      <c r="O1700" s="25" t="e">
        <f ca="1"/>
        <v>#REF!</v>
      </c>
      <c r="P1700" s="25" t="e">
        <f ca="1"/>
        <v>#REF!</v>
      </c>
      <c r="Q1700" s="25" t="e">
        <f ca="1"/>
        <v>#REF!</v>
      </c>
      <c r="R1700" s="25" t="e">
        <f ca="1"/>
        <v>#REF!</v>
      </c>
      <c r="S1700" s="25" t="e">
        <f ca="1"/>
        <v>#REF!</v>
      </c>
      <c r="T1700" s="25" t="e">
        <f ca="1"/>
        <v>#REF!</v>
      </c>
      <c r="U1700" s="25" t="e">
        <f ca="1"/>
        <v>#REF!</v>
      </c>
      <c r="V1700" s="25" t="e">
        <f ca="1"/>
        <v>#REF!</v>
      </c>
      <c r="W1700" s="33" t="e">
        <f ca="1"/>
        <v>#REF!</v>
      </c>
      <c r="X1700" s="33" t="e">
        <f ca="1"/>
        <v>#REF!</v>
      </c>
      <c r="Y1700" s="33" t="e">
        <f ca="1"/>
        <v>#REF!</v>
      </c>
      <c r="Z1700" s="33" t="e">
        <f ca="1"/>
        <v>#REF!</v>
      </c>
      <c r="AA1700" s="33" t="e">
        <f ca="1"/>
        <v>#REF!</v>
      </c>
    </row>
    <row r="1701" spans="1:27" s="70" customFormat="1" ht="11.25" x14ac:dyDescent="0.2">
      <c r="A1701" s="24">
        <v>1695</v>
      </c>
      <c r="B1701" s="24"/>
      <c r="C1701" s="25"/>
      <c r="D1701" s="26"/>
      <c r="E1701" s="25"/>
      <c r="F1701" s="25"/>
      <c r="G1701" s="24"/>
      <c r="H1701" s="25" t="e">
        <f ca="1"/>
        <v>#REF!</v>
      </c>
      <c r="I1701" s="27" t="e">
        <f ca="1"/>
        <v>#REF!</v>
      </c>
      <c r="J1701" s="28" t="e">
        <f ca="1"/>
        <v>#REF!</v>
      </c>
      <c r="K1701" s="27" t="e">
        <f ca="1"/>
        <v>#REF!</v>
      </c>
      <c r="L1701" s="25" t="e">
        <f ca="1"/>
        <v>#REF!</v>
      </c>
      <c r="M1701" s="25" t="e">
        <f ca="1"/>
        <v>#REF!</v>
      </c>
      <c r="N1701" s="25" t="e">
        <f ca="1"/>
        <v>#REF!</v>
      </c>
      <c r="O1701" s="25" t="e">
        <f ca="1"/>
        <v>#REF!</v>
      </c>
      <c r="P1701" s="25" t="e">
        <f ca="1"/>
        <v>#REF!</v>
      </c>
      <c r="Q1701" s="25" t="e">
        <f ca="1"/>
        <v>#REF!</v>
      </c>
      <c r="R1701" s="25" t="e">
        <f ca="1"/>
        <v>#REF!</v>
      </c>
      <c r="S1701" s="25" t="e">
        <f ca="1"/>
        <v>#REF!</v>
      </c>
      <c r="T1701" s="25" t="e">
        <f ca="1"/>
        <v>#REF!</v>
      </c>
      <c r="U1701" s="25" t="e">
        <f ca="1"/>
        <v>#REF!</v>
      </c>
      <c r="V1701" s="25" t="e">
        <f ca="1"/>
        <v>#REF!</v>
      </c>
      <c r="W1701" s="33" t="e">
        <f ca="1"/>
        <v>#REF!</v>
      </c>
      <c r="X1701" s="33" t="e">
        <f ca="1"/>
        <v>#REF!</v>
      </c>
      <c r="Y1701" s="33" t="e">
        <f ca="1"/>
        <v>#REF!</v>
      </c>
      <c r="Z1701" s="33" t="e">
        <f ca="1"/>
        <v>#REF!</v>
      </c>
      <c r="AA1701" s="33" t="e">
        <f ca="1"/>
        <v>#REF!</v>
      </c>
    </row>
    <row r="1702" spans="1:27" s="70" customFormat="1" ht="11.25" x14ac:dyDescent="0.2">
      <c r="A1702" s="24">
        <v>1696</v>
      </c>
      <c r="B1702" s="24"/>
      <c r="C1702" s="25"/>
      <c r="D1702" s="26"/>
      <c r="E1702" s="25"/>
      <c r="F1702" s="25"/>
      <c r="G1702" s="24"/>
      <c r="H1702" s="25" t="e">
        <f ca="1"/>
        <v>#REF!</v>
      </c>
      <c r="I1702" s="27" t="e">
        <f ca="1"/>
        <v>#REF!</v>
      </c>
      <c r="J1702" s="28" t="e">
        <f ca="1"/>
        <v>#REF!</v>
      </c>
      <c r="K1702" s="27" t="e">
        <f ca="1"/>
        <v>#REF!</v>
      </c>
      <c r="L1702" s="25" t="e">
        <f ca="1"/>
        <v>#REF!</v>
      </c>
      <c r="M1702" s="25" t="e">
        <f ca="1"/>
        <v>#REF!</v>
      </c>
      <c r="N1702" s="25" t="e">
        <f ca="1"/>
        <v>#REF!</v>
      </c>
      <c r="O1702" s="25" t="e">
        <f ca="1"/>
        <v>#REF!</v>
      </c>
      <c r="P1702" s="25" t="e">
        <f ca="1"/>
        <v>#REF!</v>
      </c>
      <c r="Q1702" s="25" t="e">
        <f ca="1"/>
        <v>#REF!</v>
      </c>
      <c r="R1702" s="25" t="e">
        <f ca="1"/>
        <v>#REF!</v>
      </c>
      <c r="S1702" s="25" t="e">
        <f ca="1"/>
        <v>#REF!</v>
      </c>
      <c r="T1702" s="25" t="e">
        <f ca="1"/>
        <v>#REF!</v>
      </c>
      <c r="U1702" s="25" t="e">
        <f ca="1"/>
        <v>#REF!</v>
      </c>
      <c r="V1702" s="25" t="e">
        <f ca="1"/>
        <v>#REF!</v>
      </c>
      <c r="W1702" s="33" t="e">
        <f ca="1"/>
        <v>#REF!</v>
      </c>
      <c r="X1702" s="33" t="e">
        <f ca="1"/>
        <v>#REF!</v>
      </c>
      <c r="Y1702" s="33" t="e">
        <f ca="1"/>
        <v>#REF!</v>
      </c>
      <c r="Z1702" s="33" t="e">
        <f ca="1"/>
        <v>#REF!</v>
      </c>
      <c r="AA1702" s="33" t="e">
        <f ca="1"/>
        <v>#REF!</v>
      </c>
    </row>
    <row r="1703" spans="1:27" s="70" customFormat="1" ht="11.25" x14ac:dyDescent="0.2">
      <c r="A1703" s="24">
        <v>1697</v>
      </c>
      <c r="B1703" s="24"/>
      <c r="C1703" s="25"/>
      <c r="D1703" s="26"/>
      <c r="E1703" s="25"/>
      <c r="F1703" s="25"/>
      <c r="G1703" s="24"/>
      <c r="H1703" s="25" t="e">
        <f ca="1"/>
        <v>#REF!</v>
      </c>
      <c r="I1703" s="27" t="e">
        <f ca="1"/>
        <v>#REF!</v>
      </c>
      <c r="J1703" s="28" t="e">
        <f ca="1"/>
        <v>#REF!</v>
      </c>
      <c r="K1703" s="27" t="e">
        <f ca="1"/>
        <v>#REF!</v>
      </c>
      <c r="L1703" s="25" t="e">
        <f ca="1"/>
        <v>#REF!</v>
      </c>
      <c r="M1703" s="25" t="e">
        <f ca="1"/>
        <v>#REF!</v>
      </c>
      <c r="N1703" s="25" t="e">
        <f ca="1"/>
        <v>#REF!</v>
      </c>
      <c r="O1703" s="25" t="e">
        <f ca="1"/>
        <v>#REF!</v>
      </c>
      <c r="P1703" s="25" t="e">
        <f ca="1"/>
        <v>#REF!</v>
      </c>
      <c r="Q1703" s="25" t="e">
        <f ca="1"/>
        <v>#REF!</v>
      </c>
      <c r="R1703" s="25" t="e">
        <f ca="1"/>
        <v>#REF!</v>
      </c>
      <c r="S1703" s="25" t="e">
        <f ca="1"/>
        <v>#REF!</v>
      </c>
      <c r="T1703" s="25" t="e">
        <f ca="1"/>
        <v>#REF!</v>
      </c>
      <c r="U1703" s="25" t="e">
        <f ca="1"/>
        <v>#REF!</v>
      </c>
      <c r="V1703" s="25" t="e">
        <f ca="1"/>
        <v>#REF!</v>
      </c>
      <c r="W1703" s="33" t="e">
        <f ca="1"/>
        <v>#REF!</v>
      </c>
      <c r="X1703" s="33" t="e">
        <f ca="1"/>
        <v>#REF!</v>
      </c>
      <c r="Y1703" s="33" t="e">
        <f ca="1"/>
        <v>#REF!</v>
      </c>
      <c r="Z1703" s="33" t="e">
        <f ca="1"/>
        <v>#REF!</v>
      </c>
      <c r="AA1703" s="33" t="e">
        <f ca="1"/>
        <v>#REF!</v>
      </c>
    </row>
    <row r="1704" spans="1:27" s="70" customFormat="1" ht="11.25" x14ac:dyDescent="0.2">
      <c r="A1704" s="24">
        <v>1698</v>
      </c>
      <c r="B1704" s="24"/>
      <c r="C1704" s="25"/>
      <c r="D1704" s="26"/>
      <c r="E1704" s="25"/>
      <c r="F1704" s="25"/>
      <c r="G1704" s="24"/>
      <c r="H1704" s="25" t="e">
        <f ca="1"/>
        <v>#REF!</v>
      </c>
      <c r="I1704" s="27" t="e">
        <f ca="1"/>
        <v>#REF!</v>
      </c>
      <c r="J1704" s="28" t="e">
        <f ca="1"/>
        <v>#REF!</v>
      </c>
      <c r="K1704" s="27" t="e">
        <f ca="1"/>
        <v>#REF!</v>
      </c>
      <c r="L1704" s="25" t="e">
        <f ca="1"/>
        <v>#REF!</v>
      </c>
      <c r="M1704" s="25" t="e">
        <f ca="1"/>
        <v>#REF!</v>
      </c>
      <c r="N1704" s="25" t="e">
        <f ca="1"/>
        <v>#REF!</v>
      </c>
      <c r="O1704" s="25" t="e">
        <f ca="1"/>
        <v>#REF!</v>
      </c>
      <c r="P1704" s="25" t="e">
        <f ca="1"/>
        <v>#REF!</v>
      </c>
      <c r="Q1704" s="25" t="e">
        <f ca="1"/>
        <v>#REF!</v>
      </c>
      <c r="R1704" s="25" t="e">
        <f ca="1"/>
        <v>#REF!</v>
      </c>
      <c r="S1704" s="25" t="e">
        <f ca="1"/>
        <v>#REF!</v>
      </c>
      <c r="T1704" s="25" t="e">
        <f ca="1"/>
        <v>#REF!</v>
      </c>
      <c r="U1704" s="25" t="e">
        <f ca="1"/>
        <v>#REF!</v>
      </c>
      <c r="V1704" s="25" t="e">
        <f ca="1"/>
        <v>#REF!</v>
      </c>
      <c r="W1704" s="33" t="e">
        <f ca="1"/>
        <v>#REF!</v>
      </c>
      <c r="X1704" s="33" t="e">
        <f ca="1"/>
        <v>#REF!</v>
      </c>
      <c r="Y1704" s="33" t="e">
        <f ca="1"/>
        <v>#REF!</v>
      </c>
      <c r="Z1704" s="33" t="e">
        <f ca="1"/>
        <v>#REF!</v>
      </c>
      <c r="AA1704" s="33" t="e">
        <f ca="1"/>
        <v>#REF!</v>
      </c>
    </row>
    <row r="1705" spans="1:27" s="70" customFormat="1" ht="11.25" x14ac:dyDescent="0.2">
      <c r="A1705" s="24">
        <v>1699</v>
      </c>
      <c r="B1705" s="24"/>
      <c r="C1705" s="25"/>
      <c r="D1705" s="26"/>
      <c r="E1705" s="25"/>
      <c r="F1705" s="25"/>
      <c r="G1705" s="24"/>
      <c r="H1705" s="25" t="e">
        <f ca="1"/>
        <v>#REF!</v>
      </c>
      <c r="I1705" s="27" t="e">
        <f ca="1"/>
        <v>#REF!</v>
      </c>
      <c r="J1705" s="28" t="e">
        <f ca="1"/>
        <v>#REF!</v>
      </c>
      <c r="K1705" s="27" t="e">
        <f ca="1"/>
        <v>#REF!</v>
      </c>
      <c r="L1705" s="25" t="e">
        <f ca="1"/>
        <v>#REF!</v>
      </c>
      <c r="M1705" s="25" t="e">
        <f ca="1"/>
        <v>#REF!</v>
      </c>
      <c r="N1705" s="25" t="e">
        <f ca="1"/>
        <v>#REF!</v>
      </c>
      <c r="O1705" s="25" t="e">
        <f ca="1"/>
        <v>#REF!</v>
      </c>
      <c r="P1705" s="25" t="e">
        <f ca="1"/>
        <v>#REF!</v>
      </c>
      <c r="Q1705" s="25" t="e">
        <f ca="1"/>
        <v>#REF!</v>
      </c>
      <c r="R1705" s="25" t="e">
        <f ca="1"/>
        <v>#REF!</v>
      </c>
      <c r="S1705" s="25" t="e">
        <f ca="1"/>
        <v>#REF!</v>
      </c>
      <c r="T1705" s="25" t="e">
        <f ca="1"/>
        <v>#REF!</v>
      </c>
      <c r="U1705" s="25" t="e">
        <f ca="1"/>
        <v>#REF!</v>
      </c>
      <c r="V1705" s="25" t="e">
        <f ca="1"/>
        <v>#REF!</v>
      </c>
      <c r="W1705" s="33" t="e">
        <f ca="1"/>
        <v>#REF!</v>
      </c>
      <c r="X1705" s="33" t="e">
        <f ca="1"/>
        <v>#REF!</v>
      </c>
      <c r="Y1705" s="33" t="e">
        <f ca="1"/>
        <v>#REF!</v>
      </c>
      <c r="Z1705" s="33" t="e">
        <f ca="1"/>
        <v>#REF!</v>
      </c>
      <c r="AA1705" s="33" t="e">
        <f ca="1"/>
        <v>#REF!</v>
      </c>
    </row>
    <row r="1706" spans="1:27" s="70" customFormat="1" ht="11.25" x14ac:dyDescent="0.2">
      <c r="A1706" s="24">
        <v>1700</v>
      </c>
      <c r="B1706" s="24"/>
      <c r="C1706" s="25"/>
      <c r="D1706" s="26"/>
      <c r="E1706" s="25"/>
      <c r="F1706" s="25"/>
      <c r="G1706" s="24"/>
      <c r="H1706" s="25" t="e">
        <f ca="1"/>
        <v>#REF!</v>
      </c>
      <c r="I1706" s="27" t="e">
        <f ca="1"/>
        <v>#REF!</v>
      </c>
      <c r="J1706" s="28" t="e">
        <f ca="1"/>
        <v>#REF!</v>
      </c>
      <c r="K1706" s="27" t="e">
        <f ca="1"/>
        <v>#REF!</v>
      </c>
      <c r="L1706" s="25" t="e">
        <f ca="1"/>
        <v>#REF!</v>
      </c>
      <c r="M1706" s="25" t="e">
        <f ca="1"/>
        <v>#REF!</v>
      </c>
      <c r="N1706" s="25" t="e">
        <f ca="1"/>
        <v>#REF!</v>
      </c>
      <c r="O1706" s="25" t="e">
        <f ca="1"/>
        <v>#REF!</v>
      </c>
      <c r="P1706" s="25" t="e">
        <f ca="1"/>
        <v>#REF!</v>
      </c>
      <c r="Q1706" s="25" t="e">
        <f ca="1"/>
        <v>#REF!</v>
      </c>
      <c r="R1706" s="25" t="e">
        <f ca="1"/>
        <v>#REF!</v>
      </c>
      <c r="S1706" s="25" t="e">
        <f ca="1"/>
        <v>#REF!</v>
      </c>
      <c r="T1706" s="25" t="e">
        <f ca="1"/>
        <v>#REF!</v>
      </c>
      <c r="U1706" s="25" t="e">
        <f ca="1"/>
        <v>#REF!</v>
      </c>
      <c r="V1706" s="25" t="e">
        <f ca="1"/>
        <v>#REF!</v>
      </c>
      <c r="W1706" s="33" t="e">
        <f ca="1"/>
        <v>#REF!</v>
      </c>
      <c r="X1706" s="33" t="e">
        <f ca="1"/>
        <v>#REF!</v>
      </c>
      <c r="Y1706" s="33" t="e">
        <f ca="1"/>
        <v>#REF!</v>
      </c>
      <c r="Z1706" s="33" t="e">
        <f ca="1"/>
        <v>#REF!</v>
      </c>
      <c r="AA1706" s="33" t="e">
        <f ca="1"/>
        <v>#REF!</v>
      </c>
    </row>
    <row r="1707" spans="1:27" s="70" customFormat="1" ht="11.25" x14ac:dyDescent="0.2">
      <c r="A1707" s="24">
        <v>1701</v>
      </c>
      <c r="B1707" s="24"/>
      <c r="C1707" s="25"/>
      <c r="D1707" s="26"/>
      <c r="E1707" s="25"/>
      <c r="F1707" s="25"/>
      <c r="G1707" s="24"/>
      <c r="H1707" s="25" t="e">
        <f ca="1"/>
        <v>#REF!</v>
      </c>
      <c r="I1707" s="27" t="e">
        <f ca="1"/>
        <v>#REF!</v>
      </c>
      <c r="J1707" s="28" t="e">
        <f ca="1"/>
        <v>#REF!</v>
      </c>
      <c r="K1707" s="27" t="e">
        <f ca="1"/>
        <v>#REF!</v>
      </c>
      <c r="L1707" s="25" t="e">
        <f ca="1"/>
        <v>#REF!</v>
      </c>
      <c r="M1707" s="25" t="e">
        <f ca="1"/>
        <v>#REF!</v>
      </c>
      <c r="N1707" s="25" t="e">
        <f ca="1"/>
        <v>#REF!</v>
      </c>
      <c r="O1707" s="25" t="e">
        <f ca="1"/>
        <v>#REF!</v>
      </c>
      <c r="P1707" s="25" t="e">
        <f ca="1"/>
        <v>#REF!</v>
      </c>
      <c r="Q1707" s="25" t="e">
        <f ca="1"/>
        <v>#REF!</v>
      </c>
      <c r="R1707" s="25" t="e">
        <f ca="1"/>
        <v>#REF!</v>
      </c>
      <c r="S1707" s="25" t="e">
        <f ca="1"/>
        <v>#REF!</v>
      </c>
      <c r="T1707" s="25" t="e">
        <f ca="1"/>
        <v>#REF!</v>
      </c>
      <c r="U1707" s="25" t="e">
        <f ca="1"/>
        <v>#REF!</v>
      </c>
      <c r="V1707" s="25" t="e">
        <f ca="1"/>
        <v>#REF!</v>
      </c>
      <c r="W1707" s="33" t="e">
        <f ca="1"/>
        <v>#REF!</v>
      </c>
      <c r="X1707" s="33" t="e">
        <f ca="1"/>
        <v>#REF!</v>
      </c>
      <c r="Y1707" s="33" t="e">
        <f ca="1"/>
        <v>#REF!</v>
      </c>
      <c r="Z1707" s="33" t="e">
        <f ca="1"/>
        <v>#REF!</v>
      </c>
      <c r="AA1707" s="33" t="e">
        <f ca="1"/>
        <v>#REF!</v>
      </c>
    </row>
    <row r="1708" spans="1:27" s="70" customFormat="1" ht="11.25" x14ac:dyDescent="0.2">
      <c r="A1708" s="24">
        <v>1702</v>
      </c>
      <c r="B1708" s="24"/>
      <c r="C1708" s="25"/>
      <c r="D1708" s="26"/>
      <c r="E1708" s="25"/>
      <c r="F1708" s="25"/>
      <c r="G1708" s="24"/>
      <c r="H1708" s="25" t="e">
        <f ca="1"/>
        <v>#REF!</v>
      </c>
      <c r="I1708" s="27" t="e">
        <f ca="1"/>
        <v>#REF!</v>
      </c>
      <c r="J1708" s="28" t="e">
        <f ca="1"/>
        <v>#REF!</v>
      </c>
      <c r="K1708" s="27" t="e">
        <f ca="1"/>
        <v>#REF!</v>
      </c>
      <c r="L1708" s="25" t="e">
        <f ca="1"/>
        <v>#REF!</v>
      </c>
      <c r="M1708" s="25" t="e">
        <f ca="1"/>
        <v>#REF!</v>
      </c>
      <c r="N1708" s="25" t="e">
        <f ca="1"/>
        <v>#REF!</v>
      </c>
      <c r="O1708" s="25" t="e">
        <f ca="1"/>
        <v>#REF!</v>
      </c>
      <c r="P1708" s="25" t="e">
        <f ca="1"/>
        <v>#REF!</v>
      </c>
      <c r="Q1708" s="25" t="e">
        <f ca="1"/>
        <v>#REF!</v>
      </c>
      <c r="R1708" s="25" t="e">
        <f ca="1"/>
        <v>#REF!</v>
      </c>
      <c r="S1708" s="25" t="e">
        <f ca="1"/>
        <v>#REF!</v>
      </c>
      <c r="T1708" s="25" t="e">
        <f ca="1"/>
        <v>#REF!</v>
      </c>
      <c r="U1708" s="25" t="e">
        <f ca="1"/>
        <v>#REF!</v>
      </c>
      <c r="V1708" s="25" t="e">
        <f ca="1"/>
        <v>#REF!</v>
      </c>
      <c r="W1708" s="33" t="e">
        <f ca="1"/>
        <v>#REF!</v>
      </c>
      <c r="X1708" s="33" t="e">
        <f ca="1"/>
        <v>#REF!</v>
      </c>
      <c r="Y1708" s="33" t="e">
        <f ca="1"/>
        <v>#REF!</v>
      </c>
      <c r="Z1708" s="33" t="e">
        <f ca="1"/>
        <v>#REF!</v>
      </c>
      <c r="AA1708" s="33" t="e">
        <f ca="1"/>
        <v>#REF!</v>
      </c>
    </row>
    <row r="1709" spans="1:27" s="70" customFormat="1" ht="11.25" x14ac:dyDescent="0.2">
      <c r="A1709" s="24">
        <v>1703</v>
      </c>
      <c r="B1709" s="24"/>
      <c r="C1709" s="25"/>
      <c r="D1709" s="26"/>
      <c r="E1709" s="25"/>
      <c r="F1709" s="25"/>
      <c r="G1709" s="24"/>
      <c r="H1709" s="25" t="e">
        <f ca="1"/>
        <v>#REF!</v>
      </c>
      <c r="I1709" s="27" t="e">
        <f ca="1"/>
        <v>#REF!</v>
      </c>
      <c r="J1709" s="28" t="e">
        <f ca="1"/>
        <v>#REF!</v>
      </c>
      <c r="K1709" s="27" t="e">
        <f ca="1"/>
        <v>#REF!</v>
      </c>
      <c r="L1709" s="25" t="e">
        <f ca="1"/>
        <v>#REF!</v>
      </c>
      <c r="M1709" s="25" t="e">
        <f ca="1"/>
        <v>#REF!</v>
      </c>
      <c r="N1709" s="25" t="e">
        <f ca="1"/>
        <v>#REF!</v>
      </c>
      <c r="O1709" s="25" t="e">
        <f ca="1"/>
        <v>#REF!</v>
      </c>
      <c r="P1709" s="25" t="e">
        <f ca="1"/>
        <v>#REF!</v>
      </c>
      <c r="Q1709" s="25" t="e">
        <f ca="1"/>
        <v>#REF!</v>
      </c>
      <c r="R1709" s="25" t="e">
        <f ca="1"/>
        <v>#REF!</v>
      </c>
      <c r="S1709" s="25" t="e">
        <f ca="1"/>
        <v>#REF!</v>
      </c>
      <c r="T1709" s="25" t="e">
        <f ca="1"/>
        <v>#REF!</v>
      </c>
      <c r="U1709" s="25" t="e">
        <f ca="1"/>
        <v>#REF!</v>
      </c>
      <c r="V1709" s="25" t="e">
        <f ca="1"/>
        <v>#REF!</v>
      </c>
      <c r="W1709" s="33" t="e">
        <f ca="1"/>
        <v>#REF!</v>
      </c>
      <c r="X1709" s="33" t="e">
        <f ca="1"/>
        <v>#REF!</v>
      </c>
      <c r="Y1709" s="33" t="e">
        <f ca="1"/>
        <v>#REF!</v>
      </c>
      <c r="Z1709" s="33" t="e">
        <f ca="1"/>
        <v>#REF!</v>
      </c>
      <c r="AA1709" s="33" t="e">
        <f ca="1"/>
        <v>#REF!</v>
      </c>
    </row>
    <row r="1710" spans="1:27" s="70" customFormat="1" ht="11.25" x14ac:dyDescent="0.2">
      <c r="A1710" s="24">
        <v>1704</v>
      </c>
      <c r="B1710" s="24"/>
      <c r="C1710" s="25"/>
      <c r="D1710" s="26"/>
      <c r="E1710" s="25"/>
      <c r="F1710" s="25"/>
      <c r="G1710" s="24"/>
      <c r="H1710" s="25" t="e">
        <f ca="1"/>
        <v>#REF!</v>
      </c>
      <c r="I1710" s="27" t="e">
        <f ca="1"/>
        <v>#REF!</v>
      </c>
      <c r="J1710" s="28" t="e">
        <f ca="1"/>
        <v>#REF!</v>
      </c>
      <c r="K1710" s="27" t="e">
        <f ca="1"/>
        <v>#REF!</v>
      </c>
      <c r="L1710" s="25" t="e">
        <f ca="1"/>
        <v>#REF!</v>
      </c>
      <c r="M1710" s="25" t="e">
        <f ca="1"/>
        <v>#REF!</v>
      </c>
      <c r="N1710" s="25" t="e">
        <f ca="1"/>
        <v>#REF!</v>
      </c>
      <c r="O1710" s="25" t="e">
        <f ca="1"/>
        <v>#REF!</v>
      </c>
      <c r="P1710" s="25" t="e">
        <f ca="1"/>
        <v>#REF!</v>
      </c>
      <c r="Q1710" s="25" t="e">
        <f ca="1"/>
        <v>#REF!</v>
      </c>
      <c r="R1710" s="25" t="e">
        <f ca="1"/>
        <v>#REF!</v>
      </c>
      <c r="S1710" s="25" t="e">
        <f ca="1"/>
        <v>#REF!</v>
      </c>
      <c r="T1710" s="25" t="e">
        <f ca="1"/>
        <v>#REF!</v>
      </c>
      <c r="U1710" s="25" t="e">
        <f ca="1"/>
        <v>#REF!</v>
      </c>
      <c r="V1710" s="25" t="e">
        <f ca="1"/>
        <v>#REF!</v>
      </c>
      <c r="W1710" s="33" t="e">
        <f ca="1"/>
        <v>#REF!</v>
      </c>
      <c r="X1710" s="33" t="e">
        <f ca="1"/>
        <v>#REF!</v>
      </c>
      <c r="Y1710" s="33" t="e">
        <f ca="1"/>
        <v>#REF!</v>
      </c>
      <c r="Z1710" s="33" t="e">
        <f ca="1"/>
        <v>#REF!</v>
      </c>
      <c r="AA1710" s="33" t="e">
        <f ca="1"/>
        <v>#REF!</v>
      </c>
    </row>
    <row r="1711" spans="1:27" s="70" customFormat="1" ht="11.25" x14ac:dyDescent="0.2">
      <c r="A1711" s="24">
        <v>1705</v>
      </c>
      <c r="B1711" s="24"/>
      <c r="C1711" s="25"/>
      <c r="D1711" s="26"/>
      <c r="E1711" s="25"/>
      <c r="F1711" s="25"/>
      <c r="G1711" s="24"/>
      <c r="H1711" s="25" t="e">
        <f ca="1"/>
        <v>#REF!</v>
      </c>
      <c r="I1711" s="27" t="e">
        <f ca="1"/>
        <v>#REF!</v>
      </c>
      <c r="J1711" s="28" t="e">
        <f ca="1"/>
        <v>#REF!</v>
      </c>
      <c r="K1711" s="27" t="e">
        <f ca="1"/>
        <v>#REF!</v>
      </c>
      <c r="L1711" s="25" t="e">
        <f ca="1"/>
        <v>#REF!</v>
      </c>
      <c r="M1711" s="25" t="e">
        <f ca="1"/>
        <v>#REF!</v>
      </c>
      <c r="N1711" s="25" t="e">
        <f ca="1"/>
        <v>#REF!</v>
      </c>
      <c r="O1711" s="25" t="e">
        <f ca="1"/>
        <v>#REF!</v>
      </c>
      <c r="P1711" s="25" t="e">
        <f ca="1"/>
        <v>#REF!</v>
      </c>
      <c r="Q1711" s="25" t="e">
        <f ca="1"/>
        <v>#REF!</v>
      </c>
      <c r="R1711" s="25" t="e">
        <f ca="1"/>
        <v>#REF!</v>
      </c>
      <c r="S1711" s="25" t="e">
        <f ca="1"/>
        <v>#REF!</v>
      </c>
      <c r="T1711" s="25" t="e">
        <f ca="1"/>
        <v>#REF!</v>
      </c>
      <c r="U1711" s="25" t="e">
        <f ca="1"/>
        <v>#REF!</v>
      </c>
      <c r="V1711" s="25" t="e">
        <f ca="1"/>
        <v>#REF!</v>
      </c>
      <c r="W1711" s="33" t="e">
        <f ca="1"/>
        <v>#REF!</v>
      </c>
      <c r="X1711" s="33" t="e">
        <f ca="1"/>
        <v>#REF!</v>
      </c>
      <c r="Y1711" s="33" t="e">
        <f ca="1"/>
        <v>#REF!</v>
      </c>
      <c r="Z1711" s="33" t="e">
        <f ca="1"/>
        <v>#REF!</v>
      </c>
      <c r="AA1711" s="33" t="e">
        <f ca="1"/>
        <v>#REF!</v>
      </c>
    </row>
    <row r="1712" spans="1:27" s="70" customFormat="1" ht="11.25" x14ac:dyDescent="0.2">
      <c r="A1712" s="24">
        <v>1706</v>
      </c>
      <c r="B1712" s="24"/>
      <c r="C1712" s="25"/>
      <c r="D1712" s="26"/>
      <c r="E1712" s="25"/>
      <c r="F1712" s="25"/>
      <c r="G1712" s="24"/>
      <c r="H1712" s="25" t="e">
        <f ca="1"/>
        <v>#REF!</v>
      </c>
      <c r="I1712" s="27" t="e">
        <f ca="1"/>
        <v>#REF!</v>
      </c>
      <c r="J1712" s="28" t="e">
        <f ca="1"/>
        <v>#REF!</v>
      </c>
      <c r="K1712" s="27" t="e">
        <f ca="1"/>
        <v>#REF!</v>
      </c>
      <c r="L1712" s="25" t="e">
        <f ca="1"/>
        <v>#REF!</v>
      </c>
      <c r="M1712" s="25" t="e">
        <f ca="1"/>
        <v>#REF!</v>
      </c>
      <c r="N1712" s="25" t="e">
        <f ca="1"/>
        <v>#REF!</v>
      </c>
      <c r="O1712" s="25" t="e">
        <f ca="1"/>
        <v>#REF!</v>
      </c>
      <c r="P1712" s="25" t="e">
        <f ca="1"/>
        <v>#REF!</v>
      </c>
      <c r="Q1712" s="25" t="e">
        <f ca="1"/>
        <v>#REF!</v>
      </c>
      <c r="R1712" s="25" t="e">
        <f ca="1"/>
        <v>#REF!</v>
      </c>
      <c r="S1712" s="25" t="e">
        <f ca="1"/>
        <v>#REF!</v>
      </c>
      <c r="T1712" s="25" t="e">
        <f ca="1"/>
        <v>#REF!</v>
      </c>
      <c r="U1712" s="25" t="e">
        <f ca="1"/>
        <v>#REF!</v>
      </c>
      <c r="V1712" s="25" t="e">
        <f ca="1"/>
        <v>#REF!</v>
      </c>
      <c r="W1712" s="33" t="e">
        <f ca="1"/>
        <v>#REF!</v>
      </c>
      <c r="X1712" s="33" t="e">
        <f ca="1"/>
        <v>#REF!</v>
      </c>
      <c r="Y1712" s="33" t="e">
        <f ca="1"/>
        <v>#REF!</v>
      </c>
      <c r="Z1712" s="33" t="e">
        <f ca="1"/>
        <v>#REF!</v>
      </c>
      <c r="AA1712" s="33" t="e">
        <f ca="1"/>
        <v>#REF!</v>
      </c>
    </row>
    <row r="1713" spans="1:27" s="70" customFormat="1" ht="11.25" x14ac:dyDescent="0.2">
      <c r="A1713" s="24">
        <v>1707</v>
      </c>
      <c r="B1713" s="24"/>
      <c r="C1713" s="25"/>
      <c r="D1713" s="26"/>
      <c r="E1713" s="25"/>
      <c r="F1713" s="25"/>
      <c r="G1713" s="24"/>
      <c r="H1713" s="25" t="e">
        <f ca="1"/>
        <v>#REF!</v>
      </c>
      <c r="I1713" s="27" t="e">
        <f ca="1"/>
        <v>#REF!</v>
      </c>
      <c r="J1713" s="28" t="e">
        <f ca="1"/>
        <v>#REF!</v>
      </c>
      <c r="K1713" s="27" t="e">
        <f ca="1"/>
        <v>#REF!</v>
      </c>
      <c r="L1713" s="25" t="e">
        <f ca="1"/>
        <v>#REF!</v>
      </c>
      <c r="M1713" s="25" t="e">
        <f ca="1"/>
        <v>#REF!</v>
      </c>
      <c r="N1713" s="25" t="e">
        <f ca="1"/>
        <v>#REF!</v>
      </c>
      <c r="O1713" s="25" t="e">
        <f ca="1"/>
        <v>#REF!</v>
      </c>
      <c r="P1713" s="25" t="e">
        <f ca="1"/>
        <v>#REF!</v>
      </c>
      <c r="Q1713" s="25" t="e">
        <f ca="1"/>
        <v>#REF!</v>
      </c>
      <c r="R1713" s="25" t="e">
        <f ca="1"/>
        <v>#REF!</v>
      </c>
      <c r="S1713" s="25" t="e">
        <f ca="1"/>
        <v>#REF!</v>
      </c>
      <c r="T1713" s="25" t="e">
        <f ca="1"/>
        <v>#REF!</v>
      </c>
      <c r="U1713" s="25" t="e">
        <f ca="1"/>
        <v>#REF!</v>
      </c>
      <c r="V1713" s="25" t="e">
        <f ca="1"/>
        <v>#REF!</v>
      </c>
      <c r="W1713" s="33" t="e">
        <f ca="1"/>
        <v>#REF!</v>
      </c>
      <c r="X1713" s="33" t="e">
        <f ca="1"/>
        <v>#REF!</v>
      </c>
      <c r="Y1713" s="33" t="e">
        <f ca="1"/>
        <v>#REF!</v>
      </c>
      <c r="Z1713" s="33" t="e">
        <f ca="1"/>
        <v>#REF!</v>
      </c>
      <c r="AA1713" s="33" t="e">
        <f ca="1"/>
        <v>#REF!</v>
      </c>
    </row>
    <row r="1714" spans="1:27" s="70" customFormat="1" ht="11.25" x14ac:dyDescent="0.2">
      <c r="A1714" s="24">
        <v>1708</v>
      </c>
      <c r="B1714" s="24"/>
      <c r="C1714" s="25"/>
      <c r="D1714" s="26"/>
      <c r="E1714" s="25"/>
      <c r="F1714" s="25"/>
      <c r="G1714" s="24"/>
      <c r="H1714" s="25" t="e">
        <f ca="1"/>
        <v>#REF!</v>
      </c>
      <c r="I1714" s="27" t="e">
        <f ca="1"/>
        <v>#REF!</v>
      </c>
      <c r="J1714" s="28" t="e">
        <f ca="1"/>
        <v>#REF!</v>
      </c>
      <c r="K1714" s="27" t="e">
        <f ca="1"/>
        <v>#REF!</v>
      </c>
      <c r="L1714" s="25" t="e">
        <f ca="1"/>
        <v>#REF!</v>
      </c>
      <c r="M1714" s="25" t="e">
        <f ca="1"/>
        <v>#REF!</v>
      </c>
      <c r="N1714" s="25" t="e">
        <f ca="1"/>
        <v>#REF!</v>
      </c>
      <c r="O1714" s="25" t="e">
        <f ca="1"/>
        <v>#REF!</v>
      </c>
      <c r="P1714" s="25" t="e">
        <f ca="1"/>
        <v>#REF!</v>
      </c>
      <c r="Q1714" s="25" t="e">
        <f ca="1"/>
        <v>#REF!</v>
      </c>
      <c r="R1714" s="25" t="e">
        <f ca="1"/>
        <v>#REF!</v>
      </c>
      <c r="S1714" s="25" t="e">
        <f ca="1"/>
        <v>#REF!</v>
      </c>
      <c r="T1714" s="25" t="e">
        <f ca="1"/>
        <v>#REF!</v>
      </c>
      <c r="U1714" s="25" t="e">
        <f ca="1"/>
        <v>#REF!</v>
      </c>
      <c r="V1714" s="25" t="e">
        <f ca="1"/>
        <v>#REF!</v>
      </c>
      <c r="W1714" s="33" t="e">
        <f ca="1"/>
        <v>#REF!</v>
      </c>
      <c r="X1714" s="33" t="e">
        <f ca="1"/>
        <v>#REF!</v>
      </c>
      <c r="Y1714" s="33" t="e">
        <f ca="1"/>
        <v>#REF!</v>
      </c>
      <c r="Z1714" s="33" t="e">
        <f ca="1"/>
        <v>#REF!</v>
      </c>
      <c r="AA1714" s="33" t="e">
        <f ca="1"/>
        <v>#REF!</v>
      </c>
    </row>
    <row r="1715" spans="1:27" s="70" customFormat="1" ht="11.25" x14ac:dyDescent="0.2">
      <c r="A1715" s="24">
        <v>1709</v>
      </c>
      <c r="B1715" s="24"/>
      <c r="C1715" s="25"/>
      <c r="D1715" s="26"/>
      <c r="E1715" s="25"/>
      <c r="F1715" s="25"/>
      <c r="G1715" s="24"/>
      <c r="H1715" s="25" t="e">
        <f ca="1"/>
        <v>#REF!</v>
      </c>
      <c r="I1715" s="27" t="e">
        <f ca="1"/>
        <v>#REF!</v>
      </c>
      <c r="J1715" s="25" t="e">
        <f ca="1"/>
        <v>#REF!</v>
      </c>
      <c r="K1715" s="27" t="e">
        <f ca="1"/>
        <v>#REF!</v>
      </c>
      <c r="L1715" s="25" t="e">
        <f ca="1"/>
        <v>#REF!</v>
      </c>
      <c r="M1715" s="25" t="e">
        <f ca="1"/>
        <v>#REF!</v>
      </c>
      <c r="N1715" s="25" t="e">
        <f ca="1"/>
        <v>#REF!</v>
      </c>
      <c r="O1715" s="25" t="e">
        <f ca="1"/>
        <v>#REF!</v>
      </c>
      <c r="P1715" s="25" t="e">
        <f ca="1"/>
        <v>#REF!</v>
      </c>
      <c r="Q1715" s="25" t="e">
        <f ca="1"/>
        <v>#REF!</v>
      </c>
      <c r="R1715" s="25" t="e">
        <f ca="1"/>
        <v>#REF!</v>
      </c>
      <c r="S1715" s="25" t="e">
        <f ca="1"/>
        <v>#REF!</v>
      </c>
      <c r="T1715" s="25" t="e">
        <f ca="1"/>
        <v>#REF!</v>
      </c>
      <c r="U1715" s="25" t="e">
        <f ca="1"/>
        <v>#REF!</v>
      </c>
      <c r="V1715" s="25" t="e">
        <f ca="1"/>
        <v>#REF!</v>
      </c>
      <c r="W1715" s="33" t="e">
        <f ca="1"/>
        <v>#REF!</v>
      </c>
      <c r="X1715" s="33" t="e">
        <f ca="1"/>
        <v>#REF!</v>
      </c>
      <c r="Y1715" s="33" t="e">
        <f ca="1"/>
        <v>#REF!</v>
      </c>
      <c r="Z1715" s="33" t="e">
        <f ca="1"/>
        <v>#REF!</v>
      </c>
      <c r="AA1715" s="33" t="e">
        <f ca="1"/>
        <v>#REF!</v>
      </c>
    </row>
    <row r="1716" spans="1:27" s="70" customFormat="1" ht="11.25" x14ac:dyDescent="0.2">
      <c r="A1716" s="24">
        <v>1710</v>
      </c>
      <c r="B1716" s="24"/>
      <c r="C1716" s="25"/>
      <c r="D1716" s="26"/>
      <c r="E1716" s="25"/>
      <c r="F1716" s="25"/>
      <c r="G1716" s="24"/>
      <c r="H1716" s="25" t="e">
        <f ca="1"/>
        <v>#REF!</v>
      </c>
      <c r="I1716" s="27" t="e">
        <f ca="1"/>
        <v>#REF!</v>
      </c>
      <c r="J1716" s="25" t="e">
        <f ca="1"/>
        <v>#REF!</v>
      </c>
      <c r="K1716" s="27" t="e">
        <f ca="1"/>
        <v>#REF!</v>
      </c>
      <c r="L1716" s="25" t="e">
        <f ca="1"/>
        <v>#REF!</v>
      </c>
      <c r="M1716" s="25" t="e">
        <f ca="1"/>
        <v>#REF!</v>
      </c>
      <c r="N1716" s="25" t="e">
        <f ca="1"/>
        <v>#REF!</v>
      </c>
      <c r="O1716" s="25" t="e">
        <f ca="1"/>
        <v>#REF!</v>
      </c>
      <c r="P1716" s="25" t="e">
        <f ca="1"/>
        <v>#REF!</v>
      </c>
      <c r="Q1716" s="25" t="e">
        <f ca="1"/>
        <v>#REF!</v>
      </c>
      <c r="R1716" s="25" t="e">
        <f ca="1"/>
        <v>#REF!</v>
      </c>
      <c r="S1716" s="25" t="e">
        <f ca="1"/>
        <v>#REF!</v>
      </c>
      <c r="T1716" s="25" t="e">
        <f ca="1"/>
        <v>#REF!</v>
      </c>
      <c r="U1716" s="25" t="e">
        <f ca="1"/>
        <v>#REF!</v>
      </c>
      <c r="V1716" s="25" t="e">
        <f ca="1"/>
        <v>#REF!</v>
      </c>
      <c r="W1716" s="33" t="e">
        <f ca="1"/>
        <v>#REF!</v>
      </c>
      <c r="X1716" s="33" t="e">
        <f ca="1"/>
        <v>#REF!</v>
      </c>
      <c r="Y1716" s="33" t="e">
        <f ca="1"/>
        <v>#REF!</v>
      </c>
      <c r="Z1716" s="33" t="e">
        <f ca="1"/>
        <v>#REF!</v>
      </c>
      <c r="AA1716" s="33" t="e">
        <f ca="1"/>
        <v>#REF!</v>
      </c>
    </row>
    <row r="1717" spans="1:27" s="70" customFormat="1" ht="11.25" x14ac:dyDescent="0.2">
      <c r="A1717" s="24">
        <v>1711</v>
      </c>
      <c r="B1717" s="24"/>
      <c r="C1717" s="25"/>
      <c r="D1717" s="26"/>
      <c r="E1717" s="25"/>
      <c r="F1717" s="25"/>
      <c r="G1717" s="24"/>
      <c r="H1717" s="25" t="e">
        <f ca="1"/>
        <v>#REF!</v>
      </c>
      <c r="I1717" s="27" t="e">
        <f ca="1"/>
        <v>#REF!</v>
      </c>
      <c r="J1717" s="25" t="e">
        <f ca="1"/>
        <v>#REF!</v>
      </c>
      <c r="K1717" s="27" t="e">
        <f ca="1"/>
        <v>#REF!</v>
      </c>
      <c r="L1717" s="25" t="e">
        <f ca="1"/>
        <v>#REF!</v>
      </c>
      <c r="M1717" s="25" t="e">
        <f ca="1"/>
        <v>#REF!</v>
      </c>
      <c r="N1717" s="25" t="e">
        <f ca="1"/>
        <v>#REF!</v>
      </c>
      <c r="O1717" s="25" t="e">
        <f ca="1"/>
        <v>#REF!</v>
      </c>
      <c r="P1717" s="25" t="e">
        <f ca="1"/>
        <v>#REF!</v>
      </c>
      <c r="Q1717" s="25" t="e">
        <f ca="1"/>
        <v>#REF!</v>
      </c>
      <c r="R1717" s="25" t="e">
        <f ca="1"/>
        <v>#REF!</v>
      </c>
      <c r="S1717" s="25" t="e">
        <f ca="1"/>
        <v>#REF!</v>
      </c>
      <c r="T1717" s="25" t="e">
        <f ca="1"/>
        <v>#REF!</v>
      </c>
      <c r="U1717" s="25" t="e">
        <f ca="1"/>
        <v>#REF!</v>
      </c>
      <c r="V1717" s="25" t="e">
        <f ca="1"/>
        <v>#REF!</v>
      </c>
      <c r="W1717" s="33" t="e">
        <f ca="1"/>
        <v>#REF!</v>
      </c>
      <c r="X1717" s="33" t="e">
        <f ca="1"/>
        <v>#REF!</v>
      </c>
      <c r="Y1717" s="33" t="e">
        <f ca="1"/>
        <v>#REF!</v>
      </c>
      <c r="Z1717" s="33" t="e">
        <f ca="1"/>
        <v>#REF!</v>
      </c>
      <c r="AA1717" s="33" t="e">
        <f ca="1"/>
        <v>#REF!</v>
      </c>
    </row>
    <row r="1718" spans="1:27" s="70" customFormat="1" ht="11.25" x14ac:dyDescent="0.2">
      <c r="A1718" s="24">
        <v>1712</v>
      </c>
      <c r="B1718" s="24"/>
      <c r="C1718" s="25"/>
      <c r="D1718" s="26"/>
      <c r="E1718" s="25"/>
      <c r="F1718" s="25"/>
      <c r="G1718" s="24"/>
      <c r="H1718" s="25" t="e">
        <f ca="1"/>
        <v>#REF!</v>
      </c>
      <c r="I1718" s="27" t="e">
        <f ca="1"/>
        <v>#REF!</v>
      </c>
      <c r="J1718" s="25" t="e">
        <f ca="1"/>
        <v>#REF!</v>
      </c>
      <c r="K1718" s="27" t="e">
        <f ca="1"/>
        <v>#REF!</v>
      </c>
      <c r="L1718" s="25" t="e">
        <f ca="1"/>
        <v>#REF!</v>
      </c>
      <c r="M1718" s="25" t="e">
        <f ca="1"/>
        <v>#REF!</v>
      </c>
      <c r="N1718" s="25" t="e">
        <f ca="1"/>
        <v>#REF!</v>
      </c>
      <c r="O1718" s="25" t="e">
        <f ca="1"/>
        <v>#REF!</v>
      </c>
      <c r="P1718" s="25" t="e">
        <f ca="1"/>
        <v>#REF!</v>
      </c>
      <c r="Q1718" s="25" t="e">
        <f ca="1"/>
        <v>#REF!</v>
      </c>
      <c r="R1718" s="25" t="e">
        <f ca="1"/>
        <v>#REF!</v>
      </c>
      <c r="S1718" s="25" t="e">
        <f ca="1"/>
        <v>#REF!</v>
      </c>
      <c r="T1718" s="25" t="e">
        <f ca="1"/>
        <v>#REF!</v>
      </c>
      <c r="U1718" s="25" t="e">
        <f ca="1"/>
        <v>#REF!</v>
      </c>
      <c r="V1718" s="25" t="e">
        <f ca="1"/>
        <v>#REF!</v>
      </c>
      <c r="W1718" s="33" t="e">
        <f ca="1"/>
        <v>#REF!</v>
      </c>
      <c r="X1718" s="33" t="e">
        <f ca="1"/>
        <v>#REF!</v>
      </c>
      <c r="Y1718" s="33" t="e">
        <f ca="1"/>
        <v>#REF!</v>
      </c>
      <c r="Z1718" s="33" t="e">
        <f ca="1"/>
        <v>#REF!</v>
      </c>
      <c r="AA1718" s="33" t="e">
        <f ca="1"/>
        <v>#REF!</v>
      </c>
    </row>
    <row r="1719" spans="1:27" s="70" customFormat="1" ht="11.25" x14ac:dyDescent="0.2">
      <c r="A1719" s="24">
        <v>1713</v>
      </c>
      <c r="B1719" s="24"/>
      <c r="C1719" s="25"/>
      <c r="D1719" s="26"/>
      <c r="E1719" s="25"/>
      <c r="F1719" s="25"/>
      <c r="G1719" s="24"/>
      <c r="H1719" s="25" t="e">
        <f ca="1"/>
        <v>#REF!</v>
      </c>
      <c r="I1719" s="27" t="e">
        <f ca="1"/>
        <v>#REF!</v>
      </c>
      <c r="J1719" s="28" t="e">
        <f ca="1"/>
        <v>#REF!</v>
      </c>
      <c r="K1719" s="27" t="e">
        <f ca="1"/>
        <v>#REF!</v>
      </c>
      <c r="L1719" s="25" t="e">
        <f ca="1"/>
        <v>#REF!</v>
      </c>
      <c r="M1719" s="25" t="e">
        <f ca="1"/>
        <v>#REF!</v>
      </c>
      <c r="N1719" s="25" t="e">
        <f ca="1"/>
        <v>#REF!</v>
      </c>
      <c r="O1719" s="25" t="e">
        <f ca="1"/>
        <v>#REF!</v>
      </c>
      <c r="P1719" s="25" t="e">
        <f ca="1"/>
        <v>#REF!</v>
      </c>
      <c r="Q1719" s="25" t="e">
        <f ca="1"/>
        <v>#REF!</v>
      </c>
      <c r="R1719" s="25" t="e">
        <f ca="1"/>
        <v>#REF!</v>
      </c>
      <c r="S1719" s="25" t="e">
        <f ca="1"/>
        <v>#REF!</v>
      </c>
      <c r="T1719" s="25" t="e">
        <f ca="1"/>
        <v>#REF!</v>
      </c>
      <c r="U1719" s="25" t="e">
        <f ca="1"/>
        <v>#REF!</v>
      </c>
      <c r="V1719" s="25" t="e">
        <f ca="1"/>
        <v>#REF!</v>
      </c>
      <c r="W1719" s="33" t="e">
        <f ca="1"/>
        <v>#REF!</v>
      </c>
      <c r="X1719" s="33" t="e">
        <f ca="1"/>
        <v>#REF!</v>
      </c>
      <c r="Y1719" s="33" t="e">
        <f ca="1"/>
        <v>#REF!</v>
      </c>
      <c r="Z1719" s="33" t="e">
        <f ca="1"/>
        <v>#REF!</v>
      </c>
      <c r="AA1719" s="33" t="e">
        <f ca="1"/>
        <v>#REF!</v>
      </c>
    </row>
    <row r="1720" spans="1:27" s="70" customFormat="1" ht="11.25" x14ac:dyDescent="0.2">
      <c r="A1720" s="24">
        <v>1714</v>
      </c>
      <c r="B1720" s="24"/>
      <c r="C1720" s="25"/>
      <c r="D1720" s="26"/>
      <c r="E1720" s="25"/>
      <c r="F1720" s="25"/>
      <c r="G1720" s="24"/>
      <c r="H1720" s="25" t="e">
        <f ca="1"/>
        <v>#REF!</v>
      </c>
      <c r="I1720" s="27" t="e">
        <f ca="1"/>
        <v>#REF!</v>
      </c>
      <c r="J1720" s="28" t="e">
        <f ca="1"/>
        <v>#REF!</v>
      </c>
      <c r="K1720" s="27" t="e">
        <f ca="1"/>
        <v>#REF!</v>
      </c>
      <c r="L1720" s="25" t="e">
        <f ca="1"/>
        <v>#REF!</v>
      </c>
      <c r="M1720" s="25" t="e">
        <f ca="1"/>
        <v>#REF!</v>
      </c>
      <c r="N1720" s="25" t="e">
        <f ca="1"/>
        <v>#REF!</v>
      </c>
      <c r="O1720" s="25" t="e">
        <f ca="1"/>
        <v>#REF!</v>
      </c>
      <c r="P1720" s="25" t="e">
        <f ca="1"/>
        <v>#REF!</v>
      </c>
      <c r="Q1720" s="25" t="e">
        <f ca="1"/>
        <v>#REF!</v>
      </c>
      <c r="R1720" s="25" t="e">
        <f ca="1"/>
        <v>#REF!</v>
      </c>
      <c r="S1720" s="25" t="e">
        <f ca="1"/>
        <v>#REF!</v>
      </c>
      <c r="T1720" s="25" t="e">
        <f ca="1"/>
        <v>#REF!</v>
      </c>
      <c r="U1720" s="25" t="e">
        <f ca="1"/>
        <v>#REF!</v>
      </c>
      <c r="V1720" s="25" t="e">
        <f ca="1"/>
        <v>#REF!</v>
      </c>
      <c r="W1720" s="33" t="e">
        <f ca="1"/>
        <v>#REF!</v>
      </c>
      <c r="X1720" s="33" t="e">
        <f ca="1"/>
        <v>#REF!</v>
      </c>
      <c r="Y1720" s="33" t="e">
        <f ca="1"/>
        <v>#REF!</v>
      </c>
      <c r="Z1720" s="33" t="e">
        <f ca="1"/>
        <v>#REF!</v>
      </c>
      <c r="AA1720" s="33" t="e">
        <f ca="1"/>
        <v>#REF!</v>
      </c>
    </row>
    <row r="1721" spans="1:27" s="70" customFormat="1" ht="11.25" x14ac:dyDescent="0.2">
      <c r="A1721" s="24">
        <v>1715</v>
      </c>
      <c r="B1721" s="24"/>
      <c r="C1721" s="25"/>
      <c r="D1721" s="26"/>
      <c r="E1721" s="25"/>
      <c r="F1721" s="25"/>
      <c r="G1721" s="24"/>
      <c r="H1721" s="25" t="e">
        <f ca="1"/>
        <v>#REF!</v>
      </c>
      <c r="I1721" s="27" t="e">
        <f ca="1"/>
        <v>#REF!</v>
      </c>
      <c r="J1721" s="28" t="e">
        <f ca="1"/>
        <v>#REF!</v>
      </c>
      <c r="K1721" s="27" t="e">
        <f ca="1"/>
        <v>#REF!</v>
      </c>
      <c r="L1721" s="25" t="e">
        <f ca="1"/>
        <v>#REF!</v>
      </c>
      <c r="M1721" s="25" t="e">
        <f ca="1"/>
        <v>#REF!</v>
      </c>
      <c r="N1721" s="25" t="e">
        <f ca="1"/>
        <v>#REF!</v>
      </c>
      <c r="O1721" s="25" t="e">
        <f ca="1"/>
        <v>#REF!</v>
      </c>
      <c r="P1721" s="25" t="e">
        <f ca="1"/>
        <v>#REF!</v>
      </c>
      <c r="Q1721" s="25" t="e">
        <f ca="1"/>
        <v>#REF!</v>
      </c>
      <c r="R1721" s="25" t="e">
        <f ca="1"/>
        <v>#REF!</v>
      </c>
      <c r="S1721" s="25" t="e">
        <f ca="1"/>
        <v>#REF!</v>
      </c>
      <c r="T1721" s="25" t="e">
        <f ca="1"/>
        <v>#REF!</v>
      </c>
      <c r="U1721" s="25" t="e">
        <f ca="1"/>
        <v>#REF!</v>
      </c>
      <c r="V1721" s="25" t="e">
        <f ca="1"/>
        <v>#REF!</v>
      </c>
      <c r="W1721" s="33" t="e">
        <f ca="1"/>
        <v>#REF!</v>
      </c>
      <c r="X1721" s="33" t="e">
        <f ca="1"/>
        <v>#REF!</v>
      </c>
      <c r="Y1721" s="33" t="e">
        <f ca="1"/>
        <v>#REF!</v>
      </c>
      <c r="Z1721" s="33" t="e">
        <f ca="1"/>
        <v>#REF!</v>
      </c>
      <c r="AA1721" s="33" t="e">
        <f ca="1"/>
        <v>#REF!</v>
      </c>
    </row>
    <row r="1722" spans="1:27" s="70" customFormat="1" ht="11.25" x14ac:dyDescent="0.2">
      <c r="A1722" s="24">
        <v>1716</v>
      </c>
      <c r="B1722" s="24"/>
      <c r="C1722" s="25"/>
      <c r="D1722" s="26"/>
      <c r="E1722" s="25"/>
      <c r="F1722" s="25"/>
      <c r="G1722" s="24"/>
      <c r="H1722" s="25" t="e">
        <f ca="1"/>
        <v>#REF!</v>
      </c>
      <c r="I1722" s="27" t="e">
        <f ca="1"/>
        <v>#REF!</v>
      </c>
      <c r="J1722" s="28" t="e">
        <f ca="1"/>
        <v>#REF!</v>
      </c>
      <c r="K1722" s="27" t="e">
        <f ca="1"/>
        <v>#REF!</v>
      </c>
      <c r="L1722" s="25" t="e">
        <f ca="1"/>
        <v>#REF!</v>
      </c>
      <c r="M1722" s="25" t="e">
        <f ca="1"/>
        <v>#REF!</v>
      </c>
      <c r="N1722" s="25" t="e">
        <f ca="1"/>
        <v>#REF!</v>
      </c>
      <c r="O1722" s="25" t="e">
        <f ca="1"/>
        <v>#REF!</v>
      </c>
      <c r="P1722" s="25" t="e">
        <f ca="1"/>
        <v>#REF!</v>
      </c>
      <c r="Q1722" s="25" t="e">
        <f ca="1"/>
        <v>#REF!</v>
      </c>
      <c r="R1722" s="25" t="e">
        <f ca="1"/>
        <v>#REF!</v>
      </c>
      <c r="S1722" s="25" t="e">
        <f ca="1"/>
        <v>#REF!</v>
      </c>
      <c r="T1722" s="25" t="e">
        <f ca="1"/>
        <v>#REF!</v>
      </c>
      <c r="U1722" s="25" t="e">
        <f ca="1"/>
        <v>#REF!</v>
      </c>
      <c r="V1722" s="25" t="e">
        <f ca="1"/>
        <v>#REF!</v>
      </c>
      <c r="W1722" s="33" t="e">
        <f ca="1"/>
        <v>#REF!</v>
      </c>
      <c r="X1722" s="33" t="e">
        <f ca="1"/>
        <v>#REF!</v>
      </c>
      <c r="Y1722" s="33" t="e">
        <f ca="1"/>
        <v>#REF!</v>
      </c>
      <c r="Z1722" s="33" t="e">
        <f ca="1"/>
        <v>#REF!</v>
      </c>
      <c r="AA1722" s="33" t="e">
        <f ca="1"/>
        <v>#REF!</v>
      </c>
    </row>
    <row r="1723" spans="1:27" s="70" customFormat="1" ht="11.25" x14ac:dyDescent="0.2">
      <c r="A1723" s="24">
        <v>1717</v>
      </c>
      <c r="B1723" s="24"/>
      <c r="C1723" s="25"/>
      <c r="D1723" s="26"/>
      <c r="E1723" s="25"/>
      <c r="F1723" s="25"/>
      <c r="G1723" s="24"/>
      <c r="H1723" s="25" t="e">
        <f ca="1"/>
        <v>#REF!</v>
      </c>
      <c r="I1723" s="27" t="e">
        <f ca="1"/>
        <v>#REF!</v>
      </c>
      <c r="J1723" s="28" t="e">
        <f ca="1"/>
        <v>#REF!</v>
      </c>
      <c r="K1723" s="27" t="e">
        <f ca="1"/>
        <v>#REF!</v>
      </c>
      <c r="L1723" s="25" t="e">
        <f ca="1"/>
        <v>#REF!</v>
      </c>
      <c r="M1723" s="25" t="e">
        <f ca="1"/>
        <v>#REF!</v>
      </c>
      <c r="N1723" s="25" t="e">
        <f ca="1"/>
        <v>#REF!</v>
      </c>
      <c r="O1723" s="25" t="e">
        <f ca="1"/>
        <v>#REF!</v>
      </c>
      <c r="P1723" s="25" t="e">
        <f ca="1"/>
        <v>#REF!</v>
      </c>
      <c r="Q1723" s="25" t="e">
        <f ca="1"/>
        <v>#REF!</v>
      </c>
      <c r="R1723" s="25" t="e">
        <f ca="1"/>
        <v>#REF!</v>
      </c>
      <c r="S1723" s="25" t="e">
        <f ca="1"/>
        <v>#REF!</v>
      </c>
      <c r="T1723" s="25" t="e">
        <f ca="1"/>
        <v>#REF!</v>
      </c>
      <c r="U1723" s="25" t="e">
        <f ca="1"/>
        <v>#REF!</v>
      </c>
      <c r="V1723" s="25" t="e">
        <f ca="1"/>
        <v>#REF!</v>
      </c>
      <c r="W1723" s="33" t="e">
        <f ca="1"/>
        <v>#REF!</v>
      </c>
      <c r="X1723" s="33" t="e">
        <f ca="1"/>
        <v>#REF!</v>
      </c>
      <c r="Y1723" s="33" t="e">
        <f ca="1"/>
        <v>#REF!</v>
      </c>
      <c r="Z1723" s="33" t="e">
        <f ca="1"/>
        <v>#REF!</v>
      </c>
      <c r="AA1723" s="33" t="e">
        <f ca="1"/>
        <v>#REF!</v>
      </c>
    </row>
    <row r="1724" spans="1:27" s="70" customFormat="1" ht="11.25" x14ac:dyDescent="0.2">
      <c r="A1724" s="24">
        <v>1718</v>
      </c>
      <c r="B1724" s="24"/>
      <c r="C1724" s="25"/>
      <c r="D1724" s="26"/>
      <c r="E1724" s="25"/>
      <c r="F1724" s="25"/>
      <c r="G1724" s="24"/>
      <c r="H1724" s="25" t="e">
        <f ca="1"/>
        <v>#REF!</v>
      </c>
      <c r="I1724" s="27" t="e">
        <f ca="1"/>
        <v>#REF!</v>
      </c>
      <c r="J1724" s="28" t="e">
        <f ca="1"/>
        <v>#REF!</v>
      </c>
      <c r="K1724" s="27" t="e">
        <f ca="1"/>
        <v>#REF!</v>
      </c>
      <c r="L1724" s="25" t="e">
        <f ca="1"/>
        <v>#REF!</v>
      </c>
      <c r="M1724" s="25" t="e">
        <f ca="1"/>
        <v>#REF!</v>
      </c>
      <c r="N1724" s="25" t="e">
        <f ca="1"/>
        <v>#REF!</v>
      </c>
      <c r="O1724" s="25" t="e">
        <f ca="1"/>
        <v>#REF!</v>
      </c>
      <c r="P1724" s="25" t="e">
        <f ca="1"/>
        <v>#REF!</v>
      </c>
      <c r="Q1724" s="25" t="e">
        <f ca="1"/>
        <v>#REF!</v>
      </c>
      <c r="R1724" s="25" t="e">
        <f ca="1"/>
        <v>#REF!</v>
      </c>
      <c r="S1724" s="25" t="e">
        <f ca="1"/>
        <v>#REF!</v>
      </c>
      <c r="T1724" s="25" t="e">
        <f ca="1"/>
        <v>#REF!</v>
      </c>
      <c r="U1724" s="25" t="e">
        <f ca="1"/>
        <v>#REF!</v>
      </c>
      <c r="V1724" s="25" t="e">
        <f ca="1"/>
        <v>#REF!</v>
      </c>
      <c r="W1724" s="33" t="e">
        <f ca="1"/>
        <v>#REF!</v>
      </c>
      <c r="X1724" s="33" t="e">
        <f ca="1"/>
        <v>#REF!</v>
      </c>
      <c r="Y1724" s="33" t="e">
        <f ca="1"/>
        <v>#REF!</v>
      </c>
      <c r="Z1724" s="33" t="e">
        <f ca="1"/>
        <v>#REF!</v>
      </c>
      <c r="AA1724" s="33" t="e">
        <f ca="1"/>
        <v>#REF!</v>
      </c>
    </row>
    <row r="1725" spans="1:27" s="70" customFormat="1" ht="11.25" x14ac:dyDescent="0.2">
      <c r="A1725" s="24">
        <v>1719</v>
      </c>
      <c r="B1725" s="24"/>
      <c r="C1725" s="25"/>
      <c r="D1725" s="26"/>
      <c r="E1725" s="25"/>
      <c r="F1725" s="25"/>
      <c r="G1725" s="24"/>
      <c r="H1725" s="25" t="e">
        <f ca="1"/>
        <v>#REF!</v>
      </c>
      <c r="I1725" s="27" t="e">
        <f ca="1"/>
        <v>#REF!</v>
      </c>
      <c r="J1725" s="28" t="e">
        <f ca="1"/>
        <v>#REF!</v>
      </c>
      <c r="K1725" s="27" t="e">
        <f ca="1"/>
        <v>#REF!</v>
      </c>
      <c r="L1725" s="25" t="e">
        <f ca="1"/>
        <v>#REF!</v>
      </c>
      <c r="M1725" s="25" t="e">
        <f ca="1"/>
        <v>#REF!</v>
      </c>
      <c r="N1725" s="25" t="e">
        <f ca="1"/>
        <v>#REF!</v>
      </c>
      <c r="O1725" s="25" t="e">
        <f ca="1"/>
        <v>#REF!</v>
      </c>
      <c r="P1725" s="25" t="e">
        <f ca="1"/>
        <v>#REF!</v>
      </c>
      <c r="Q1725" s="25" t="e">
        <f ca="1"/>
        <v>#REF!</v>
      </c>
      <c r="R1725" s="25" t="e">
        <f ca="1"/>
        <v>#REF!</v>
      </c>
      <c r="S1725" s="25" t="e">
        <f ca="1"/>
        <v>#REF!</v>
      </c>
      <c r="T1725" s="25" t="e">
        <f ca="1"/>
        <v>#REF!</v>
      </c>
      <c r="U1725" s="25" t="e">
        <f ca="1"/>
        <v>#REF!</v>
      </c>
      <c r="V1725" s="25" t="e">
        <f ca="1"/>
        <v>#REF!</v>
      </c>
      <c r="W1725" s="33" t="e">
        <f ca="1"/>
        <v>#REF!</v>
      </c>
      <c r="X1725" s="33" t="e">
        <f ca="1"/>
        <v>#REF!</v>
      </c>
      <c r="Y1725" s="33" t="e">
        <f ca="1"/>
        <v>#REF!</v>
      </c>
      <c r="Z1725" s="33" t="e">
        <f ca="1"/>
        <v>#REF!</v>
      </c>
      <c r="AA1725" s="33" t="e">
        <f ca="1"/>
        <v>#REF!</v>
      </c>
    </row>
    <row r="1726" spans="1:27" s="70" customFormat="1" ht="11.25" x14ac:dyDescent="0.2">
      <c r="A1726" s="24">
        <v>1720</v>
      </c>
      <c r="B1726" s="24"/>
      <c r="C1726" s="25"/>
      <c r="D1726" s="26"/>
      <c r="E1726" s="25"/>
      <c r="F1726" s="25"/>
      <c r="G1726" s="24"/>
      <c r="H1726" s="25" t="e">
        <f ca="1"/>
        <v>#REF!</v>
      </c>
      <c r="I1726" s="27" t="e">
        <f ca="1"/>
        <v>#REF!</v>
      </c>
      <c r="J1726" s="28" t="e">
        <f ca="1"/>
        <v>#REF!</v>
      </c>
      <c r="K1726" s="27" t="e">
        <f ca="1"/>
        <v>#REF!</v>
      </c>
      <c r="L1726" s="25" t="e">
        <f ca="1"/>
        <v>#REF!</v>
      </c>
      <c r="M1726" s="25" t="e">
        <f ca="1"/>
        <v>#REF!</v>
      </c>
      <c r="N1726" s="25" t="e">
        <f ca="1"/>
        <v>#REF!</v>
      </c>
      <c r="O1726" s="25" t="e">
        <f ca="1"/>
        <v>#REF!</v>
      </c>
      <c r="P1726" s="25" t="e">
        <f ca="1"/>
        <v>#REF!</v>
      </c>
      <c r="Q1726" s="25" t="e">
        <f ca="1"/>
        <v>#REF!</v>
      </c>
      <c r="R1726" s="25" t="e">
        <f ca="1"/>
        <v>#REF!</v>
      </c>
      <c r="S1726" s="25" t="e">
        <f ca="1"/>
        <v>#REF!</v>
      </c>
      <c r="T1726" s="25" t="e">
        <f ca="1"/>
        <v>#REF!</v>
      </c>
      <c r="U1726" s="25" t="e">
        <f ca="1"/>
        <v>#REF!</v>
      </c>
      <c r="V1726" s="25" t="e">
        <f ca="1"/>
        <v>#REF!</v>
      </c>
      <c r="W1726" s="33" t="e">
        <f ca="1"/>
        <v>#REF!</v>
      </c>
      <c r="X1726" s="33" t="e">
        <f ca="1"/>
        <v>#REF!</v>
      </c>
      <c r="Y1726" s="33" t="e">
        <f ca="1"/>
        <v>#REF!</v>
      </c>
      <c r="Z1726" s="33" t="e">
        <f ca="1"/>
        <v>#REF!</v>
      </c>
      <c r="AA1726" s="33" t="e">
        <f ca="1"/>
        <v>#REF!</v>
      </c>
    </row>
    <row r="1727" spans="1:27" s="70" customFormat="1" ht="11.25" x14ac:dyDescent="0.2">
      <c r="A1727" s="24">
        <v>1721</v>
      </c>
      <c r="B1727" s="24"/>
      <c r="C1727" s="25"/>
      <c r="D1727" s="26"/>
      <c r="E1727" s="25"/>
      <c r="F1727" s="25"/>
      <c r="G1727" s="24"/>
      <c r="H1727" s="25" t="e">
        <f ca="1"/>
        <v>#REF!</v>
      </c>
      <c r="I1727" s="27" t="e">
        <f ca="1"/>
        <v>#REF!</v>
      </c>
      <c r="J1727" s="28" t="e">
        <f ca="1"/>
        <v>#REF!</v>
      </c>
      <c r="K1727" s="27" t="e">
        <f ca="1"/>
        <v>#REF!</v>
      </c>
      <c r="L1727" s="25" t="e">
        <f ca="1"/>
        <v>#REF!</v>
      </c>
      <c r="M1727" s="25" t="e">
        <f ca="1"/>
        <v>#REF!</v>
      </c>
      <c r="N1727" s="25" t="e">
        <f ca="1"/>
        <v>#REF!</v>
      </c>
      <c r="O1727" s="25" t="e">
        <f ca="1"/>
        <v>#REF!</v>
      </c>
      <c r="P1727" s="25" t="e">
        <f ca="1"/>
        <v>#REF!</v>
      </c>
      <c r="Q1727" s="25" t="e">
        <f ca="1"/>
        <v>#REF!</v>
      </c>
      <c r="R1727" s="25" t="e">
        <f ca="1"/>
        <v>#REF!</v>
      </c>
      <c r="S1727" s="25" t="e">
        <f ca="1"/>
        <v>#REF!</v>
      </c>
      <c r="T1727" s="25" t="e">
        <f ca="1"/>
        <v>#REF!</v>
      </c>
      <c r="U1727" s="25" t="e">
        <f ca="1"/>
        <v>#REF!</v>
      </c>
      <c r="V1727" s="25" t="e">
        <f ca="1"/>
        <v>#REF!</v>
      </c>
      <c r="W1727" s="33" t="e">
        <f ca="1"/>
        <v>#REF!</v>
      </c>
      <c r="X1727" s="33" t="e">
        <f ca="1"/>
        <v>#REF!</v>
      </c>
      <c r="Y1727" s="33" t="e">
        <f ca="1"/>
        <v>#REF!</v>
      </c>
      <c r="Z1727" s="33" t="e">
        <f ca="1"/>
        <v>#REF!</v>
      </c>
      <c r="AA1727" s="33" t="e">
        <f ca="1"/>
        <v>#REF!</v>
      </c>
    </row>
    <row r="1728" spans="1:27" s="70" customFormat="1" ht="11.25" x14ac:dyDescent="0.2">
      <c r="A1728" s="24">
        <v>1722</v>
      </c>
      <c r="B1728" s="24"/>
      <c r="C1728" s="25"/>
      <c r="D1728" s="26"/>
      <c r="E1728" s="25"/>
      <c r="F1728" s="25"/>
      <c r="G1728" s="24"/>
      <c r="H1728" s="25" t="e">
        <f ca="1"/>
        <v>#REF!</v>
      </c>
      <c r="I1728" s="27" t="e">
        <f ca="1"/>
        <v>#REF!</v>
      </c>
      <c r="J1728" s="28" t="e">
        <f ca="1"/>
        <v>#REF!</v>
      </c>
      <c r="K1728" s="27" t="e">
        <f ca="1"/>
        <v>#REF!</v>
      </c>
      <c r="L1728" s="25" t="e">
        <f ca="1"/>
        <v>#REF!</v>
      </c>
      <c r="M1728" s="25" t="e">
        <f ca="1"/>
        <v>#REF!</v>
      </c>
      <c r="N1728" s="25" t="e">
        <f ca="1"/>
        <v>#REF!</v>
      </c>
      <c r="O1728" s="25" t="e">
        <f ca="1"/>
        <v>#REF!</v>
      </c>
      <c r="P1728" s="25" t="e">
        <f ca="1"/>
        <v>#REF!</v>
      </c>
      <c r="Q1728" s="25" t="e">
        <f ca="1"/>
        <v>#REF!</v>
      </c>
      <c r="R1728" s="25" t="e">
        <f ca="1"/>
        <v>#REF!</v>
      </c>
      <c r="S1728" s="25" t="e">
        <f ca="1"/>
        <v>#REF!</v>
      </c>
      <c r="T1728" s="25" t="e">
        <f ca="1"/>
        <v>#REF!</v>
      </c>
      <c r="U1728" s="25" t="e">
        <f ca="1"/>
        <v>#REF!</v>
      </c>
      <c r="V1728" s="25" t="e">
        <f ca="1"/>
        <v>#REF!</v>
      </c>
      <c r="W1728" s="33" t="e">
        <f ca="1"/>
        <v>#REF!</v>
      </c>
      <c r="X1728" s="33" t="e">
        <f ca="1"/>
        <v>#REF!</v>
      </c>
      <c r="Y1728" s="33" t="e">
        <f ca="1"/>
        <v>#REF!</v>
      </c>
      <c r="Z1728" s="33" t="e">
        <f ca="1"/>
        <v>#REF!</v>
      </c>
      <c r="AA1728" s="33" t="e">
        <f ca="1"/>
        <v>#REF!</v>
      </c>
    </row>
    <row r="1729" spans="1:27" s="70" customFormat="1" ht="11.25" x14ac:dyDescent="0.2">
      <c r="A1729" s="24">
        <v>1723</v>
      </c>
      <c r="B1729" s="24"/>
      <c r="C1729" s="25"/>
      <c r="D1729" s="26"/>
      <c r="E1729" s="25"/>
      <c r="F1729" s="25"/>
      <c r="G1729" s="24"/>
      <c r="H1729" s="25" t="e">
        <f ca="1"/>
        <v>#REF!</v>
      </c>
      <c r="I1729" s="27" t="e">
        <f ca="1"/>
        <v>#REF!</v>
      </c>
      <c r="J1729" s="28" t="e">
        <f ca="1"/>
        <v>#REF!</v>
      </c>
      <c r="K1729" s="27" t="e">
        <f ca="1"/>
        <v>#REF!</v>
      </c>
      <c r="L1729" s="25" t="e">
        <f ca="1"/>
        <v>#REF!</v>
      </c>
      <c r="M1729" s="25" t="e">
        <f ca="1"/>
        <v>#REF!</v>
      </c>
      <c r="N1729" s="25" t="e">
        <f ca="1"/>
        <v>#REF!</v>
      </c>
      <c r="O1729" s="25" t="e">
        <f ca="1"/>
        <v>#REF!</v>
      </c>
      <c r="P1729" s="25" t="e">
        <f ca="1"/>
        <v>#REF!</v>
      </c>
      <c r="Q1729" s="25" t="e">
        <f ca="1"/>
        <v>#REF!</v>
      </c>
      <c r="R1729" s="25" t="e">
        <f ca="1"/>
        <v>#REF!</v>
      </c>
      <c r="S1729" s="25" t="e">
        <f ca="1"/>
        <v>#REF!</v>
      </c>
      <c r="T1729" s="25" t="e">
        <f ca="1"/>
        <v>#REF!</v>
      </c>
      <c r="U1729" s="25" t="e">
        <f ca="1"/>
        <v>#REF!</v>
      </c>
      <c r="V1729" s="25" t="e">
        <f ca="1"/>
        <v>#REF!</v>
      </c>
      <c r="W1729" s="33" t="e">
        <f ca="1"/>
        <v>#REF!</v>
      </c>
      <c r="X1729" s="33" t="e">
        <f ca="1"/>
        <v>#REF!</v>
      </c>
      <c r="Y1729" s="33" t="e">
        <f ca="1"/>
        <v>#REF!</v>
      </c>
      <c r="Z1729" s="33" t="e">
        <f ca="1"/>
        <v>#REF!</v>
      </c>
      <c r="AA1729" s="33" t="e">
        <f ca="1"/>
        <v>#REF!</v>
      </c>
    </row>
    <row r="1730" spans="1:27" s="70" customFormat="1" ht="11.25" x14ac:dyDescent="0.2">
      <c r="A1730" s="24">
        <v>1724</v>
      </c>
      <c r="B1730" s="24"/>
      <c r="C1730" s="25"/>
      <c r="D1730" s="26"/>
      <c r="E1730" s="25"/>
      <c r="F1730" s="25"/>
      <c r="G1730" s="24"/>
      <c r="H1730" s="25" t="e">
        <f ca="1"/>
        <v>#REF!</v>
      </c>
      <c r="I1730" s="27" t="e">
        <f ca="1"/>
        <v>#REF!</v>
      </c>
      <c r="J1730" s="28" t="e">
        <f ca="1"/>
        <v>#REF!</v>
      </c>
      <c r="K1730" s="27" t="e">
        <f ca="1"/>
        <v>#REF!</v>
      </c>
      <c r="L1730" s="25" t="e">
        <f ca="1"/>
        <v>#REF!</v>
      </c>
      <c r="M1730" s="25" t="e">
        <f ca="1"/>
        <v>#REF!</v>
      </c>
      <c r="N1730" s="25" t="e">
        <f ca="1"/>
        <v>#REF!</v>
      </c>
      <c r="O1730" s="25" t="e">
        <f ca="1"/>
        <v>#REF!</v>
      </c>
      <c r="P1730" s="25" t="e">
        <f ca="1"/>
        <v>#REF!</v>
      </c>
      <c r="Q1730" s="25" t="e">
        <f ca="1"/>
        <v>#REF!</v>
      </c>
      <c r="R1730" s="25" t="e">
        <f ca="1"/>
        <v>#REF!</v>
      </c>
      <c r="S1730" s="25" t="e">
        <f ca="1"/>
        <v>#REF!</v>
      </c>
      <c r="T1730" s="25" t="e">
        <f ca="1"/>
        <v>#REF!</v>
      </c>
      <c r="U1730" s="25" t="e">
        <f ca="1"/>
        <v>#REF!</v>
      </c>
      <c r="V1730" s="25" t="e">
        <f ca="1"/>
        <v>#REF!</v>
      </c>
      <c r="W1730" s="33" t="e">
        <f ca="1"/>
        <v>#REF!</v>
      </c>
      <c r="X1730" s="33" t="e">
        <f ca="1"/>
        <v>#REF!</v>
      </c>
      <c r="Y1730" s="33" t="e">
        <f ca="1"/>
        <v>#REF!</v>
      </c>
      <c r="Z1730" s="33" t="e">
        <f ca="1"/>
        <v>#REF!</v>
      </c>
      <c r="AA1730" s="33" t="e">
        <f ca="1"/>
        <v>#REF!</v>
      </c>
    </row>
    <row r="1731" spans="1:27" s="70" customFormat="1" ht="11.25" x14ac:dyDescent="0.2">
      <c r="A1731" s="24">
        <v>1725</v>
      </c>
      <c r="B1731" s="24"/>
      <c r="C1731" s="25"/>
      <c r="D1731" s="26"/>
      <c r="E1731" s="25"/>
      <c r="F1731" s="25"/>
      <c r="G1731" s="24"/>
      <c r="H1731" s="25" t="e">
        <f ca="1"/>
        <v>#REF!</v>
      </c>
      <c r="I1731" s="27" t="e">
        <f ca="1"/>
        <v>#REF!</v>
      </c>
      <c r="J1731" s="28" t="e">
        <f ca="1"/>
        <v>#REF!</v>
      </c>
      <c r="K1731" s="27" t="e">
        <f ca="1"/>
        <v>#REF!</v>
      </c>
      <c r="L1731" s="25" t="e">
        <f ca="1"/>
        <v>#REF!</v>
      </c>
      <c r="M1731" s="25" t="e">
        <f ca="1"/>
        <v>#REF!</v>
      </c>
      <c r="N1731" s="25" t="e">
        <f ca="1"/>
        <v>#REF!</v>
      </c>
      <c r="O1731" s="25" t="e">
        <f ca="1"/>
        <v>#REF!</v>
      </c>
      <c r="P1731" s="25" t="e">
        <f ca="1"/>
        <v>#REF!</v>
      </c>
      <c r="Q1731" s="25" t="e">
        <f ca="1"/>
        <v>#REF!</v>
      </c>
      <c r="R1731" s="25" t="e">
        <f ca="1"/>
        <v>#REF!</v>
      </c>
      <c r="S1731" s="25" t="e">
        <f ca="1"/>
        <v>#REF!</v>
      </c>
      <c r="T1731" s="25" t="e">
        <f ca="1"/>
        <v>#REF!</v>
      </c>
      <c r="U1731" s="25" t="e">
        <f ca="1"/>
        <v>#REF!</v>
      </c>
      <c r="V1731" s="25" t="e">
        <f ca="1"/>
        <v>#REF!</v>
      </c>
      <c r="W1731" s="33" t="e">
        <f ca="1"/>
        <v>#REF!</v>
      </c>
      <c r="X1731" s="33" t="e">
        <f ca="1"/>
        <v>#REF!</v>
      </c>
      <c r="Y1731" s="33" t="e">
        <f ca="1"/>
        <v>#REF!</v>
      </c>
      <c r="Z1731" s="33" t="e">
        <f ca="1"/>
        <v>#REF!</v>
      </c>
      <c r="AA1731" s="33" t="e">
        <f ca="1"/>
        <v>#REF!</v>
      </c>
    </row>
    <row r="1732" spans="1:27" s="70" customFormat="1" ht="11.25" x14ac:dyDescent="0.2">
      <c r="A1732" s="24">
        <v>1726</v>
      </c>
      <c r="B1732" s="24"/>
      <c r="C1732" s="25"/>
      <c r="D1732" s="26"/>
      <c r="E1732" s="25"/>
      <c r="F1732" s="25"/>
      <c r="G1732" s="24"/>
      <c r="H1732" s="25" t="e">
        <f ca="1"/>
        <v>#REF!</v>
      </c>
      <c r="I1732" s="27" t="e">
        <f ca="1"/>
        <v>#REF!</v>
      </c>
      <c r="J1732" s="28" t="e">
        <f ca="1"/>
        <v>#REF!</v>
      </c>
      <c r="K1732" s="27" t="e">
        <f ca="1"/>
        <v>#REF!</v>
      </c>
      <c r="L1732" s="25" t="e">
        <f ca="1"/>
        <v>#REF!</v>
      </c>
      <c r="M1732" s="25" t="e">
        <f ca="1"/>
        <v>#REF!</v>
      </c>
      <c r="N1732" s="25" t="e">
        <f ca="1"/>
        <v>#REF!</v>
      </c>
      <c r="O1732" s="25" t="e">
        <f ca="1"/>
        <v>#REF!</v>
      </c>
      <c r="P1732" s="25" t="e">
        <f ca="1"/>
        <v>#REF!</v>
      </c>
      <c r="Q1732" s="25" t="e">
        <f ca="1"/>
        <v>#REF!</v>
      </c>
      <c r="R1732" s="25" t="e">
        <f ca="1"/>
        <v>#REF!</v>
      </c>
      <c r="S1732" s="25" t="e">
        <f ca="1"/>
        <v>#REF!</v>
      </c>
      <c r="T1732" s="25" t="e">
        <f ca="1"/>
        <v>#REF!</v>
      </c>
      <c r="U1732" s="25" t="e">
        <f ca="1"/>
        <v>#REF!</v>
      </c>
      <c r="V1732" s="25" t="e">
        <f ca="1"/>
        <v>#REF!</v>
      </c>
      <c r="W1732" s="33" t="e">
        <f ca="1"/>
        <v>#REF!</v>
      </c>
      <c r="X1732" s="33" t="e">
        <f ca="1"/>
        <v>#REF!</v>
      </c>
      <c r="Y1732" s="33" t="e">
        <f ca="1"/>
        <v>#REF!</v>
      </c>
      <c r="Z1732" s="33" t="e">
        <f ca="1"/>
        <v>#REF!</v>
      </c>
      <c r="AA1732" s="33" t="e">
        <f ca="1"/>
        <v>#REF!</v>
      </c>
    </row>
    <row r="1733" spans="1:27" s="70" customFormat="1" ht="11.25" x14ac:dyDescent="0.2">
      <c r="A1733" s="24">
        <v>1727</v>
      </c>
      <c r="B1733" s="24"/>
      <c r="C1733" s="25"/>
      <c r="D1733" s="26"/>
      <c r="E1733" s="25"/>
      <c r="F1733" s="25"/>
      <c r="G1733" s="24"/>
      <c r="H1733" s="25" t="e">
        <f ca="1"/>
        <v>#REF!</v>
      </c>
      <c r="I1733" s="27" t="e">
        <f ca="1"/>
        <v>#REF!</v>
      </c>
      <c r="J1733" s="28" t="e">
        <f ca="1"/>
        <v>#REF!</v>
      </c>
      <c r="K1733" s="27" t="e">
        <f ca="1"/>
        <v>#REF!</v>
      </c>
      <c r="L1733" s="25" t="e">
        <f ca="1"/>
        <v>#REF!</v>
      </c>
      <c r="M1733" s="25" t="e">
        <f ca="1"/>
        <v>#REF!</v>
      </c>
      <c r="N1733" s="25" t="e">
        <f ca="1"/>
        <v>#REF!</v>
      </c>
      <c r="O1733" s="25" t="e">
        <f ca="1"/>
        <v>#REF!</v>
      </c>
      <c r="P1733" s="25" t="e">
        <f ca="1"/>
        <v>#REF!</v>
      </c>
      <c r="Q1733" s="25" t="e">
        <f ca="1"/>
        <v>#REF!</v>
      </c>
      <c r="R1733" s="25" t="e">
        <f ca="1"/>
        <v>#REF!</v>
      </c>
      <c r="S1733" s="25" t="e">
        <f ca="1"/>
        <v>#REF!</v>
      </c>
      <c r="T1733" s="25" t="e">
        <f ca="1"/>
        <v>#REF!</v>
      </c>
      <c r="U1733" s="25" t="e">
        <f ca="1"/>
        <v>#REF!</v>
      </c>
      <c r="V1733" s="25" t="e">
        <f ca="1"/>
        <v>#REF!</v>
      </c>
      <c r="W1733" s="33" t="e">
        <f ca="1"/>
        <v>#REF!</v>
      </c>
      <c r="X1733" s="33" t="e">
        <f ca="1"/>
        <v>#REF!</v>
      </c>
      <c r="Y1733" s="33" t="e">
        <f ca="1"/>
        <v>#REF!</v>
      </c>
      <c r="Z1733" s="33" t="e">
        <f ca="1"/>
        <v>#REF!</v>
      </c>
      <c r="AA1733" s="33" t="e">
        <f ca="1"/>
        <v>#REF!</v>
      </c>
    </row>
    <row r="1734" spans="1:27" s="70" customFormat="1" ht="11.25" x14ac:dyDescent="0.2">
      <c r="A1734" s="24">
        <v>1728</v>
      </c>
      <c r="B1734" s="24"/>
      <c r="C1734" s="25"/>
      <c r="D1734" s="26"/>
      <c r="E1734" s="25"/>
      <c r="F1734" s="25"/>
      <c r="G1734" s="24"/>
      <c r="H1734" s="25" t="e">
        <f ca="1"/>
        <v>#REF!</v>
      </c>
      <c r="I1734" s="27" t="e">
        <f ca="1"/>
        <v>#REF!</v>
      </c>
      <c r="J1734" s="28" t="e">
        <f ca="1"/>
        <v>#REF!</v>
      </c>
      <c r="K1734" s="27" t="e">
        <f ca="1"/>
        <v>#REF!</v>
      </c>
      <c r="L1734" s="25" t="e">
        <f ca="1"/>
        <v>#REF!</v>
      </c>
      <c r="M1734" s="25" t="e">
        <f ca="1"/>
        <v>#REF!</v>
      </c>
      <c r="N1734" s="25" t="e">
        <f ca="1"/>
        <v>#REF!</v>
      </c>
      <c r="O1734" s="25" t="e">
        <f ca="1"/>
        <v>#REF!</v>
      </c>
      <c r="P1734" s="25" t="e">
        <f ca="1"/>
        <v>#REF!</v>
      </c>
      <c r="Q1734" s="25" t="e">
        <f ca="1"/>
        <v>#REF!</v>
      </c>
      <c r="R1734" s="25" t="e">
        <f ca="1"/>
        <v>#REF!</v>
      </c>
      <c r="S1734" s="25" t="e">
        <f ca="1"/>
        <v>#REF!</v>
      </c>
      <c r="T1734" s="25" t="e">
        <f ca="1"/>
        <v>#REF!</v>
      </c>
      <c r="U1734" s="25" t="e">
        <f ca="1"/>
        <v>#REF!</v>
      </c>
      <c r="V1734" s="25" t="e">
        <f ca="1"/>
        <v>#REF!</v>
      </c>
      <c r="W1734" s="33" t="e">
        <f ca="1"/>
        <v>#REF!</v>
      </c>
      <c r="X1734" s="33" t="e">
        <f ca="1"/>
        <v>#REF!</v>
      </c>
      <c r="Y1734" s="33" t="e">
        <f ca="1"/>
        <v>#REF!</v>
      </c>
      <c r="Z1734" s="33" t="e">
        <f ca="1"/>
        <v>#REF!</v>
      </c>
      <c r="AA1734" s="33" t="e">
        <f ca="1"/>
        <v>#REF!</v>
      </c>
    </row>
    <row r="1735" spans="1:27" s="70" customFormat="1" ht="11.25" x14ac:dyDescent="0.2">
      <c r="A1735" s="24">
        <v>1729</v>
      </c>
      <c r="B1735" s="24"/>
      <c r="C1735" s="25"/>
      <c r="D1735" s="26"/>
      <c r="E1735" s="25"/>
      <c r="F1735" s="25"/>
      <c r="G1735" s="24"/>
      <c r="H1735" s="25" t="e">
        <f ca="1"/>
        <v>#REF!</v>
      </c>
      <c r="I1735" s="27" t="e">
        <f ca="1"/>
        <v>#REF!</v>
      </c>
      <c r="J1735" s="28" t="e">
        <f ca="1"/>
        <v>#REF!</v>
      </c>
      <c r="K1735" s="27" t="e">
        <f ca="1"/>
        <v>#REF!</v>
      </c>
      <c r="L1735" s="25" t="e">
        <f ca="1"/>
        <v>#REF!</v>
      </c>
      <c r="M1735" s="25" t="e">
        <f ca="1"/>
        <v>#REF!</v>
      </c>
      <c r="N1735" s="25" t="e">
        <f ca="1"/>
        <v>#REF!</v>
      </c>
      <c r="O1735" s="25" t="e">
        <f ca="1"/>
        <v>#REF!</v>
      </c>
      <c r="P1735" s="25" t="e">
        <f ca="1"/>
        <v>#REF!</v>
      </c>
      <c r="Q1735" s="25" t="e">
        <f ca="1"/>
        <v>#REF!</v>
      </c>
      <c r="R1735" s="25" t="e">
        <f ca="1"/>
        <v>#REF!</v>
      </c>
      <c r="S1735" s="25" t="e">
        <f ca="1"/>
        <v>#REF!</v>
      </c>
      <c r="T1735" s="25" t="e">
        <f ca="1"/>
        <v>#REF!</v>
      </c>
      <c r="U1735" s="25" t="e">
        <f ca="1"/>
        <v>#REF!</v>
      </c>
      <c r="V1735" s="25" t="e">
        <f ca="1"/>
        <v>#REF!</v>
      </c>
      <c r="W1735" s="33" t="e">
        <f ca="1"/>
        <v>#REF!</v>
      </c>
      <c r="X1735" s="33" t="e">
        <f ca="1"/>
        <v>#REF!</v>
      </c>
      <c r="Y1735" s="33" t="e">
        <f ca="1"/>
        <v>#REF!</v>
      </c>
      <c r="Z1735" s="33" t="e">
        <f ca="1"/>
        <v>#REF!</v>
      </c>
      <c r="AA1735" s="33" t="e">
        <f ca="1"/>
        <v>#REF!</v>
      </c>
    </row>
    <row r="1736" spans="1:27" s="70" customFormat="1" ht="11.25" x14ac:dyDescent="0.2">
      <c r="A1736" s="24">
        <v>1730</v>
      </c>
      <c r="B1736" s="24"/>
      <c r="C1736" s="25"/>
      <c r="D1736" s="26"/>
      <c r="E1736" s="25"/>
      <c r="F1736" s="25"/>
      <c r="G1736" s="24"/>
      <c r="H1736" s="25" t="e">
        <f ca="1"/>
        <v>#REF!</v>
      </c>
      <c r="I1736" s="27" t="e">
        <f ca="1"/>
        <v>#REF!</v>
      </c>
      <c r="J1736" s="28" t="e">
        <f ca="1"/>
        <v>#REF!</v>
      </c>
      <c r="K1736" s="27" t="e">
        <f ca="1"/>
        <v>#REF!</v>
      </c>
      <c r="L1736" s="25" t="e">
        <f ca="1"/>
        <v>#REF!</v>
      </c>
      <c r="M1736" s="25" t="e">
        <f ca="1"/>
        <v>#REF!</v>
      </c>
      <c r="N1736" s="25" t="e">
        <f ca="1"/>
        <v>#REF!</v>
      </c>
      <c r="O1736" s="25" t="e">
        <f ca="1"/>
        <v>#REF!</v>
      </c>
      <c r="P1736" s="25" t="e">
        <f ca="1"/>
        <v>#REF!</v>
      </c>
      <c r="Q1736" s="25" t="e">
        <f ca="1"/>
        <v>#REF!</v>
      </c>
      <c r="R1736" s="25" t="e">
        <f ca="1"/>
        <v>#REF!</v>
      </c>
      <c r="S1736" s="25" t="e">
        <f ca="1"/>
        <v>#REF!</v>
      </c>
      <c r="T1736" s="25" t="e">
        <f ca="1"/>
        <v>#REF!</v>
      </c>
      <c r="U1736" s="25" t="e">
        <f ca="1"/>
        <v>#REF!</v>
      </c>
      <c r="V1736" s="25" t="e">
        <f ca="1"/>
        <v>#REF!</v>
      </c>
      <c r="W1736" s="33" t="e">
        <f ca="1"/>
        <v>#REF!</v>
      </c>
      <c r="X1736" s="33" t="e">
        <f ca="1"/>
        <v>#REF!</v>
      </c>
      <c r="Y1736" s="33" t="e">
        <f ca="1"/>
        <v>#REF!</v>
      </c>
      <c r="Z1736" s="33" t="e">
        <f ca="1"/>
        <v>#REF!</v>
      </c>
      <c r="AA1736" s="33" t="e">
        <f ca="1"/>
        <v>#REF!</v>
      </c>
    </row>
    <row r="1737" spans="1:27" s="70" customFormat="1" ht="11.25" x14ac:dyDescent="0.2">
      <c r="A1737" s="24">
        <v>1731</v>
      </c>
      <c r="B1737" s="24"/>
      <c r="C1737" s="25"/>
      <c r="D1737" s="26"/>
      <c r="E1737" s="25"/>
      <c r="F1737" s="25"/>
      <c r="G1737" s="24"/>
      <c r="H1737" s="25" t="e">
        <f ca="1"/>
        <v>#REF!</v>
      </c>
      <c r="I1737" s="27" t="e">
        <f ca="1"/>
        <v>#REF!</v>
      </c>
      <c r="J1737" s="28" t="e">
        <f ca="1"/>
        <v>#REF!</v>
      </c>
      <c r="K1737" s="27" t="e">
        <f ca="1"/>
        <v>#REF!</v>
      </c>
      <c r="L1737" s="25" t="e">
        <f ca="1"/>
        <v>#REF!</v>
      </c>
      <c r="M1737" s="25" t="e">
        <f ca="1"/>
        <v>#REF!</v>
      </c>
      <c r="N1737" s="25" t="e">
        <f ca="1"/>
        <v>#REF!</v>
      </c>
      <c r="O1737" s="25" t="e">
        <f ca="1"/>
        <v>#REF!</v>
      </c>
      <c r="P1737" s="25" t="e">
        <f ca="1"/>
        <v>#REF!</v>
      </c>
      <c r="Q1737" s="25" t="e">
        <f ca="1"/>
        <v>#REF!</v>
      </c>
      <c r="R1737" s="25" t="e">
        <f ca="1"/>
        <v>#REF!</v>
      </c>
      <c r="S1737" s="25" t="e">
        <f ca="1"/>
        <v>#REF!</v>
      </c>
      <c r="T1737" s="25" t="e">
        <f ca="1"/>
        <v>#REF!</v>
      </c>
      <c r="U1737" s="25" t="e">
        <f ca="1"/>
        <v>#REF!</v>
      </c>
      <c r="V1737" s="25" t="e">
        <f ca="1"/>
        <v>#REF!</v>
      </c>
      <c r="W1737" s="33" t="e">
        <f ca="1"/>
        <v>#REF!</v>
      </c>
      <c r="X1737" s="33" t="e">
        <f ca="1"/>
        <v>#REF!</v>
      </c>
      <c r="Y1737" s="33" t="e">
        <f ca="1"/>
        <v>#REF!</v>
      </c>
      <c r="Z1737" s="33" t="e">
        <f ca="1"/>
        <v>#REF!</v>
      </c>
      <c r="AA1737" s="33" t="e">
        <f ca="1"/>
        <v>#REF!</v>
      </c>
    </row>
    <row r="1738" spans="1:27" s="70" customFormat="1" ht="11.25" x14ac:dyDescent="0.2">
      <c r="A1738" s="24">
        <v>1732</v>
      </c>
      <c r="B1738" s="24"/>
      <c r="C1738" s="25"/>
      <c r="D1738" s="26"/>
      <c r="E1738" s="25"/>
      <c r="F1738" s="25"/>
      <c r="G1738" s="24"/>
      <c r="H1738" s="25" t="e">
        <f ca="1"/>
        <v>#REF!</v>
      </c>
      <c r="I1738" s="27" t="e">
        <f ca="1"/>
        <v>#REF!</v>
      </c>
      <c r="J1738" s="28" t="e">
        <f ca="1"/>
        <v>#REF!</v>
      </c>
      <c r="K1738" s="27" t="e">
        <f ca="1"/>
        <v>#REF!</v>
      </c>
      <c r="L1738" s="25" t="e">
        <f ca="1"/>
        <v>#REF!</v>
      </c>
      <c r="M1738" s="25" t="e">
        <f ca="1"/>
        <v>#REF!</v>
      </c>
      <c r="N1738" s="25" t="e">
        <f ca="1"/>
        <v>#REF!</v>
      </c>
      <c r="O1738" s="25" t="e">
        <f ca="1"/>
        <v>#REF!</v>
      </c>
      <c r="P1738" s="25" t="e">
        <f ca="1"/>
        <v>#REF!</v>
      </c>
      <c r="Q1738" s="25" t="e">
        <f ca="1"/>
        <v>#REF!</v>
      </c>
      <c r="R1738" s="25" t="e">
        <f ca="1"/>
        <v>#REF!</v>
      </c>
      <c r="S1738" s="25" t="e">
        <f ca="1"/>
        <v>#REF!</v>
      </c>
      <c r="T1738" s="25" t="e">
        <f ca="1"/>
        <v>#REF!</v>
      </c>
      <c r="U1738" s="25" t="e">
        <f ca="1"/>
        <v>#REF!</v>
      </c>
      <c r="V1738" s="25" t="e">
        <f ca="1"/>
        <v>#REF!</v>
      </c>
      <c r="W1738" s="33" t="e">
        <f ca="1"/>
        <v>#REF!</v>
      </c>
      <c r="X1738" s="33" t="e">
        <f ca="1"/>
        <v>#REF!</v>
      </c>
      <c r="Y1738" s="33" t="e">
        <f ca="1"/>
        <v>#REF!</v>
      </c>
      <c r="Z1738" s="33" t="e">
        <f ca="1"/>
        <v>#REF!</v>
      </c>
      <c r="AA1738" s="33" t="e">
        <f ca="1"/>
        <v>#REF!</v>
      </c>
    </row>
    <row r="1739" spans="1:27" s="70" customFormat="1" ht="11.25" x14ac:dyDescent="0.2">
      <c r="A1739" s="24">
        <v>1733</v>
      </c>
      <c r="B1739" s="24"/>
      <c r="C1739" s="25"/>
      <c r="D1739" s="26"/>
      <c r="E1739" s="25"/>
      <c r="F1739" s="25"/>
      <c r="G1739" s="24"/>
      <c r="H1739" s="25" t="e">
        <f ca="1"/>
        <v>#REF!</v>
      </c>
      <c r="I1739" s="27" t="e">
        <f ca="1"/>
        <v>#REF!</v>
      </c>
      <c r="J1739" s="28" t="e">
        <f ca="1"/>
        <v>#REF!</v>
      </c>
      <c r="K1739" s="27" t="e">
        <f ca="1"/>
        <v>#REF!</v>
      </c>
      <c r="L1739" s="25" t="e">
        <f ca="1"/>
        <v>#REF!</v>
      </c>
      <c r="M1739" s="25" t="e">
        <f ca="1"/>
        <v>#REF!</v>
      </c>
      <c r="N1739" s="25" t="e">
        <f ca="1"/>
        <v>#REF!</v>
      </c>
      <c r="O1739" s="25" t="e">
        <f ca="1"/>
        <v>#REF!</v>
      </c>
      <c r="P1739" s="25" t="e">
        <f ca="1"/>
        <v>#REF!</v>
      </c>
      <c r="Q1739" s="25" t="e">
        <f ca="1"/>
        <v>#REF!</v>
      </c>
      <c r="R1739" s="25" t="e">
        <f ca="1"/>
        <v>#REF!</v>
      </c>
      <c r="S1739" s="25" t="e">
        <f ca="1"/>
        <v>#REF!</v>
      </c>
      <c r="T1739" s="25" t="e">
        <f ca="1"/>
        <v>#REF!</v>
      </c>
      <c r="U1739" s="25" t="e">
        <f ca="1"/>
        <v>#REF!</v>
      </c>
      <c r="V1739" s="25" t="e">
        <f ca="1"/>
        <v>#REF!</v>
      </c>
      <c r="W1739" s="33" t="e">
        <f ca="1"/>
        <v>#REF!</v>
      </c>
      <c r="X1739" s="33" t="e">
        <f ca="1"/>
        <v>#REF!</v>
      </c>
      <c r="Y1739" s="33" t="e">
        <f ca="1"/>
        <v>#REF!</v>
      </c>
      <c r="Z1739" s="33" t="e">
        <f ca="1"/>
        <v>#REF!</v>
      </c>
      <c r="AA1739" s="33" t="e">
        <f ca="1"/>
        <v>#REF!</v>
      </c>
    </row>
    <row r="1740" spans="1:27" s="70" customFormat="1" ht="11.25" x14ac:dyDescent="0.2">
      <c r="A1740" s="24">
        <v>1734</v>
      </c>
      <c r="B1740" s="24"/>
      <c r="C1740" s="25"/>
      <c r="D1740" s="26"/>
      <c r="E1740" s="25"/>
      <c r="F1740" s="25"/>
      <c r="G1740" s="24"/>
      <c r="H1740" s="25" t="e">
        <f ca="1"/>
        <v>#REF!</v>
      </c>
      <c r="I1740" s="27" t="e">
        <f ca="1"/>
        <v>#REF!</v>
      </c>
      <c r="J1740" s="28" t="e">
        <f ca="1"/>
        <v>#REF!</v>
      </c>
      <c r="K1740" s="27" t="e">
        <f ca="1"/>
        <v>#REF!</v>
      </c>
      <c r="L1740" s="25" t="e">
        <f ca="1"/>
        <v>#REF!</v>
      </c>
      <c r="M1740" s="25" t="e">
        <f ca="1"/>
        <v>#REF!</v>
      </c>
      <c r="N1740" s="25" t="e">
        <f ca="1"/>
        <v>#REF!</v>
      </c>
      <c r="O1740" s="25" t="e">
        <f ca="1"/>
        <v>#REF!</v>
      </c>
      <c r="P1740" s="25" t="e">
        <f ca="1"/>
        <v>#REF!</v>
      </c>
      <c r="Q1740" s="25" t="e">
        <f ca="1"/>
        <v>#REF!</v>
      </c>
      <c r="R1740" s="25" t="e">
        <f ca="1"/>
        <v>#REF!</v>
      </c>
      <c r="S1740" s="25" t="e">
        <f ca="1"/>
        <v>#REF!</v>
      </c>
      <c r="T1740" s="25" t="e">
        <f ca="1"/>
        <v>#REF!</v>
      </c>
      <c r="U1740" s="25" t="e">
        <f ca="1"/>
        <v>#REF!</v>
      </c>
      <c r="V1740" s="25" t="e">
        <f ca="1"/>
        <v>#REF!</v>
      </c>
      <c r="W1740" s="33" t="e">
        <f ca="1"/>
        <v>#REF!</v>
      </c>
      <c r="X1740" s="33" t="e">
        <f ca="1"/>
        <v>#REF!</v>
      </c>
      <c r="Y1740" s="33" t="e">
        <f ca="1"/>
        <v>#REF!</v>
      </c>
      <c r="Z1740" s="33" t="e">
        <f ca="1"/>
        <v>#REF!</v>
      </c>
      <c r="AA1740" s="33" t="e">
        <f ca="1"/>
        <v>#REF!</v>
      </c>
    </row>
    <row r="1741" spans="1:27" s="70" customFormat="1" ht="11.25" x14ac:dyDescent="0.2">
      <c r="A1741" s="24">
        <v>1735</v>
      </c>
      <c r="B1741" s="24"/>
      <c r="C1741" s="25"/>
      <c r="D1741" s="26"/>
      <c r="E1741" s="25"/>
      <c r="F1741" s="25"/>
      <c r="G1741" s="24"/>
      <c r="H1741" s="25" t="e">
        <f ca="1"/>
        <v>#REF!</v>
      </c>
      <c r="I1741" s="27" t="e">
        <f ca="1"/>
        <v>#REF!</v>
      </c>
      <c r="J1741" s="28" t="e">
        <f ca="1"/>
        <v>#REF!</v>
      </c>
      <c r="K1741" s="27" t="e">
        <f ca="1"/>
        <v>#REF!</v>
      </c>
      <c r="L1741" s="25" t="e">
        <f ca="1"/>
        <v>#REF!</v>
      </c>
      <c r="M1741" s="25" t="e">
        <f ca="1"/>
        <v>#REF!</v>
      </c>
      <c r="N1741" s="25" t="e">
        <f ca="1"/>
        <v>#REF!</v>
      </c>
      <c r="O1741" s="25" t="e">
        <f ca="1"/>
        <v>#REF!</v>
      </c>
      <c r="P1741" s="25" t="e">
        <f ca="1"/>
        <v>#REF!</v>
      </c>
      <c r="Q1741" s="25" t="e">
        <f ca="1"/>
        <v>#REF!</v>
      </c>
      <c r="R1741" s="25" t="e">
        <f ca="1"/>
        <v>#REF!</v>
      </c>
      <c r="S1741" s="25" t="e">
        <f ca="1"/>
        <v>#REF!</v>
      </c>
      <c r="T1741" s="25" t="e">
        <f ca="1"/>
        <v>#REF!</v>
      </c>
      <c r="U1741" s="25" t="e">
        <f ca="1"/>
        <v>#REF!</v>
      </c>
      <c r="V1741" s="25" t="e">
        <f ca="1"/>
        <v>#REF!</v>
      </c>
      <c r="W1741" s="33" t="e">
        <f ca="1"/>
        <v>#REF!</v>
      </c>
      <c r="X1741" s="33" t="e">
        <f ca="1"/>
        <v>#REF!</v>
      </c>
      <c r="Y1741" s="33" t="e">
        <f ca="1"/>
        <v>#REF!</v>
      </c>
      <c r="Z1741" s="33" t="e">
        <f ca="1"/>
        <v>#REF!</v>
      </c>
      <c r="AA1741" s="33" t="e">
        <f ca="1"/>
        <v>#REF!</v>
      </c>
    </row>
    <row r="1742" spans="1:27" s="70" customFormat="1" ht="11.25" x14ac:dyDescent="0.2">
      <c r="A1742" s="24">
        <v>1736</v>
      </c>
      <c r="B1742" s="24"/>
      <c r="C1742" s="25"/>
      <c r="D1742" s="26"/>
      <c r="E1742" s="25"/>
      <c r="F1742" s="25"/>
      <c r="G1742" s="24"/>
      <c r="H1742" s="25" t="e">
        <f ca="1"/>
        <v>#REF!</v>
      </c>
      <c r="I1742" s="27" t="e">
        <f ca="1"/>
        <v>#REF!</v>
      </c>
      <c r="J1742" s="28" t="e">
        <f ca="1"/>
        <v>#REF!</v>
      </c>
      <c r="K1742" s="27" t="e">
        <f ca="1"/>
        <v>#REF!</v>
      </c>
      <c r="L1742" s="25" t="e">
        <f ca="1"/>
        <v>#REF!</v>
      </c>
      <c r="M1742" s="25" t="e">
        <f ca="1"/>
        <v>#REF!</v>
      </c>
      <c r="N1742" s="25" t="e">
        <f ca="1"/>
        <v>#REF!</v>
      </c>
      <c r="O1742" s="25" t="e">
        <f ca="1"/>
        <v>#REF!</v>
      </c>
      <c r="P1742" s="25" t="e">
        <f ca="1"/>
        <v>#REF!</v>
      </c>
      <c r="Q1742" s="25" t="e">
        <f ca="1"/>
        <v>#REF!</v>
      </c>
      <c r="R1742" s="25" t="e">
        <f ca="1"/>
        <v>#REF!</v>
      </c>
      <c r="S1742" s="25" t="e">
        <f ca="1"/>
        <v>#REF!</v>
      </c>
      <c r="T1742" s="25" t="e">
        <f ca="1"/>
        <v>#REF!</v>
      </c>
      <c r="U1742" s="25" t="e">
        <f ca="1"/>
        <v>#REF!</v>
      </c>
      <c r="V1742" s="25" t="e">
        <f ca="1"/>
        <v>#REF!</v>
      </c>
      <c r="W1742" s="33" t="e">
        <f ca="1"/>
        <v>#REF!</v>
      </c>
      <c r="X1742" s="33" t="e">
        <f ca="1"/>
        <v>#REF!</v>
      </c>
      <c r="Y1742" s="33" t="e">
        <f ca="1"/>
        <v>#REF!</v>
      </c>
      <c r="Z1742" s="33" t="e">
        <f ca="1"/>
        <v>#REF!</v>
      </c>
      <c r="AA1742" s="33" t="e">
        <f ca="1"/>
        <v>#REF!</v>
      </c>
    </row>
    <row r="1743" spans="1:27" s="70" customFormat="1" ht="11.25" x14ac:dyDescent="0.2">
      <c r="A1743" s="24">
        <v>1737</v>
      </c>
      <c r="B1743" s="24"/>
      <c r="C1743" s="25"/>
      <c r="D1743" s="26"/>
      <c r="E1743" s="25"/>
      <c r="F1743" s="25"/>
      <c r="G1743" s="24"/>
      <c r="H1743" s="25" t="e">
        <f ca="1"/>
        <v>#REF!</v>
      </c>
      <c r="I1743" s="27" t="e">
        <f ca="1"/>
        <v>#REF!</v>
      </c>
      <c r="J1743" s="28" t="e">
        <f ca="1"/>
        <v>#REF!</v>
      </c>
      <c r="K1743" s="27" t="e">
        <f ca="1"/>
        <v>#REF!</v>
      </c>
      <c r="L1743" s="25" t="e">
        <f ca="1"/>
        <v>#REF!</v>
      </c>
      <c r="M1743" s="25" t="e">
        <f ca="1"/>
        <v>#REF!</v>
      </c>
      <c r="N1743" s="25" t="e">
        <f ca="1"/>
        <v>#REF!</v>
      </c>
      <c r="O1743" s="25" t="e">
        <f ca="1"/>
        <v>#REF!</v>
      </c>
      <c r="P1743" s="25" t="e">
        <f ca="1"/>
        <v>#REF!</v>
      </c>
      <c r="Q1743" s="25" t="e">
        <f ca="1"/>
        <v>#REF!</v>
      </c>
      <c r="R1743" s="25" t="e">
        <f ca="1"/>
        <v>#REF!</v>
      </c>
      <c r="S1743" s="25" t="e">
        <f ca="1"/>
        <v>#REF!</v>
      </c>
      <c r="T1743" s="25" t="e">
        <f ca="1"/>
        <v>#REF!</v>
      </c>
      <c r="U1743" s="25" t="e">
        <f ca="1"/>
        <v>#REF!</v>
      </c>
      <c r="V1743" s="25" t="e">
        <f ca="1"/>
        <v>#REF!</v>
      </c>
      <c r="W1743" s="33" t="e">
        <f ca="1"/>
        <v>#REF!</v>
      </c>
      <c r="X1743" s="33" t="e">
        <f ca="1"/>
        <v>#REF!</v>
      </c>
      <c r="Y1743" s="33" t="e">
        <f ca="1"/>
        <v>#REF!</v>
      </c>
      <c r="Z1743" s="33" t="e">
        <f ca="1"/>
        <v>#REF!</v>
      </c>
      <c r="AA1743" s="33" t="e">
        <f ca="1"/>
        <v>#REF!</v>
      </c>
    </row>
    <row r="1744" spans="1:27" s="70" customFormat="1" ht="11.25" x14ac:dyDescent="0.2">
      <c r="A1744" s="24">
        <v>1738</v>
      </c>
      <c r="B1744" s="24"/>
      <c r="C1744" s="25"/>
      <c r="D1744" s="26"/>
      <c r="E1744" s="25"/>
      <c r="F1744" s="25"/>
      <c r="G1744" s="24"/>
      <c r="H1744" s="25" t="e">
        <f ca="1"/>
        <v>#REF!</v>
      </c>
      <c r="I1744" s="27" t="e">
        <f ca="1"/>
        <v>#REF!</v>
      </c>
      <c r="J1744" s="28" t="e">
        <f ca="1"/>
        <v>#REF!</v>
      </c>
      <c r="K1744" s="27" t="e">
        <f ca="1"/>
        <v>#REF!</v>
      </c>
      <c r="L1744" s="25" t="e">
        <f ca="1"/>
        <v>#REF!</v>
      </c>
      <c r="M1744" s="25" t="e">
        <f ca="1"/>
        <v>#REF!</v>
      </c>
      <c r="N1744" s="25" t="e">
        <f ca="1"/>
        <v>#REF!</v>
      </c>
      <c r="O1744" s="25" t="e">
        <f ca="1"/>
        <v>#REF!</v>
      </c>
      <c r="P1744" s="25" t="e">
        <f ca="1"/>
        <v>#REF!</v>
      </c>
      <c r="Q1744" s="25" t="e">
        <f ca="1"/>
        <v>#REF!</v>
      </c>
      <c r="R1744" s="25" t="e">
        <f ca="1"/>
        <v>#REF!</v>
      </c>
      <c r="S1744" s="25" t="e">
        <f ca="1"/>
        <v>#REF!</v>
      </c>
      <c r="T1744" s="25" t="e">
        <f ca="1"/>
        <v>#REF!</v>
      </c>
      <c r="U1744" s="25" t="e">
        <f ca="1"/>
        <v>#REF!</v>
      </c>
      <c r="V1744" s="25" t="e">
        <f ca="1"/>
        <v>#REF!</v>
      </c>
      <c r="W1744" s="33" t="e">
        <f ca="1"/>
        <v>#REF!</v>
      </c>
      <c r="X1744" s="33" t="e">
        <f ca="1"/>
        <v>#REF!</v>
      </c>
      <c r="Y1744" s="33" t="e">
        <f ca="1"/>
        <v>#REF!</v>
      </c>
      <c r="Z1744" s="33" t="e">
        <f ca="1"/>
        <v>#REF!</v>
      </c>
      <c r="AA1744" s="33" t="e">
        <f ca="1"/>
        <v>#REF!</v>
      </c>
    </row>
    <row r="1745" spans="1:27" s="70" customFormat="1" ht="11.25" x14ac:dyDescent="0.2">
      <c r="A1745" s="24">
        <v>1739</v>
      </c>
      <c r="B1745" s="24"/>
      <c r="C1745" s="25"/>
      <c r="D1745" s="26"/>
      <c r="E1745" s="25"/>
      <c r="F1745" s="25"/>
      <c r="G1745" s="24"/>
      <c r="H1745" s="25" t="e">
        <f ca="1"/>
        <v>#REF!</v>
      </c>
      <c r="I1745" s="27" t="e">
        <f ca="1"/>
        <v>#REF!</v>
      </c>
      <c r="J1745" s="28" t="e">
        <f ca="1"/>
        <v>#REF!</v>
      </c>
      <c r="K1745" s="27" t="e">
        <f ca="1"/>
        <v>#REF!</v>
      </c>
      <c r="L1745" s="25" t="e">
        <f ca="1"/>
        <v>#REF!</v>
      </c>
      <c r="M1745" s="25" t="e">
        <f ca="1"/>
        <v>#REF!</v>
      </c>
      <c r="N1745" s="25" t="e">
        <f ca="1"/>
        <v>#REF!</v>
      </c>
      <c r="O1745" s="25" t="e">
        <f ca="1"/>
        <v>#REF!</v>
      </c>
      <c r="P1745" s="25" t="e">
        <f ca="1"/>
        <v>#REF!</v>
      </c>
      <c r="Q1745" s="25" t="e">
        <f ca="1"/>
        <v>#REF!</v>
      </c>
      <c r="R1745" s="25" t="e">
        <f ca="1"/>
        <v>#REF!</v>
      </c>
      <c r="S1745" s="25" t="e">
        <f ca="1"/>
        <v>#REF!</v>
      </c>
      <c r="T1745" s="25" t="e">
        <f ca="1"/>
        <v>#REF!</v>
      </c>
      <c r="U1745" s="25" t="e">
        <f ca="1"/>
        <v>#REF!</v>
      </c>
      <c r="V1745" s="25" t="e">
        <f ca="1"/>
        <v>#REF!</v>
      </c>
      <c r="W1745" s="33" t="e">
        <f ca="1"/>
        <v>#REF!</v>
      </c>
      <c r="X1745" s="33" t="e">
        <f ca="1"/>
        <v>#REF!</v>
      </c>
      <c r="Y1745" s="33" t="e">
        <f ca="1"/>
        <v>#REF!</v>
      </c>
      <c r="Z1745" s="33" t="e">
        <f ca="1"/>
        <v>#REF!</v>
      </c>
      <c r="AA1745" s="33" t="e">
        <f ca="1"/>
        <v>#REF!</v>
      </c>
    </row>
    <row r="1746" spans="1:27" s="70" customFormat="1" ht="11.25" x14ac:dyDescent="0.2">
      <c r="A1746" s="24">
        <v>1740</v>
      </c>
      <c r="B1746" s="24"/>
      <c r="C1746" s="25"/>
      <c r="D1746" s="26"/>
      <c r="E1746" s="25"/>
      <c r="F1746" s="25"/>
      <c r="G1746" s="24"/>
      <c r="H1746" s="25" t="e">
        <f ca="1"/>
        <v>#REF!</v>
      </c>
      <c r="I1746" s="27" t="e">
        <f ca="1"/>
        <v>#REF!</v>
      </c>
      <c r="J1746" s="28" t="e">
        <f ca="1"/>
        <v>#REF!</v>
      </c>
      <c r="K1746" s="27" t="e">
        <f ca="1"/>
        <v>#REF!</v>
      </c>
      <c r="L1746" s="25" t="e">
        <f ca="1"/>
        <v>#REF!</v>
      </c>
      <c r="M1746" s="25" t="e">
        <f ca="1"/>
        <v>#REF!</v>
      </c>
      <c r="N1746" s="25" t="e">
        <f ca="1"/>
        <v>#REF!</v>
      </c>
      <c r="O1746" s="25" t="e">
        <f ca="1"/>
        <v>#REF!</v>
      </c>
      <c r="P1746" s="25" t="e">
        <f ca="1"/>
        <v>#REF!</v>
      </c>
      <c r="Q1746" s="25" t="e">
        <f ca="1"/>
        <v>#REF!</v>
      </c>
      <c r="R1746" s="25" t="e">
        <f ca="1"/>
        <v>#REF!</v>
      </c>
      <c r="S1746" s="25" t="e">
        <f ca="1"/>
        <v>#REF!</v>
      </c>
      <c r="T1746" s="25" t="e">
        <f ca="1"/>
        <v>#REF!</v>
      </c>
      <c r="U1746" s="25" t="e">
        <f ca="1"/>
        <v>#REF!</v>
      </c>
      <c r="V1746" s="25" t="e">
        <f ca="1"/>
        <v>#REF!</v>
      </c>
      <c r="W1746" s="33" t="e">
        <f ca="1"/>
        <v>#REF!</v>
      </c>
      <c r="X1746" s="33" t="e">
        <f ca="1"/>
        <v>#REF!</v>
      </c>
      <c r="Y1746" s="33" t="e">
        <f ca="1"/>
        <v>#REF!</v>
      </c>
      <c r="Z1746" s="33" t="e">
        <f ca="1"/>
        <v>#REF!</v>
      </c>
      <c r="AA1746" s="33" t="e">
        <f ca="1"/>
        <v>#REF!</v>
      </c>
    </row>
    <row r="1747" spans="1:27" s="70" customFormat="1" ht="11.25" x14ac:dyDescent="0.2">
      <c r="A1747" s="24">
        <v>1741</v>
      </c>
      <c r="B1747" s="24"/>
      <c r="C1747" s="25"/>
      <c r="D1747" s="26"/>
      <c r="E1747" s="25"/>
      <c r="F1747" s="25"/>
      <c r="G1747" s="24"/>
      <c r="H1747" s="25" t="e">
        <f ca="1"/>
        <v>#REF!</v>
      </c>
      <c r="I1747" s="27" t="e">
        <f ca="1"/>
        <v>#REF!</v>
      </c>
      <c r="J1747" s="28" t="e">
        <f ca="1"/>
        <v>#REF!</v>
      </c>
      <c r="K1747" s="27" t="e">
        <f ca="1"/>
        <v>#REF!</v>
      </c>
      <c r="L1747" s="25" t="e">
        <f ca="1"/>
        <v>#REF!</v>
      </c>
      <c r="M1747" s="25" t="e">
        <f ca="1"/>
        <v>#REF!</v>
      </c>
      <c r="N1747" s="25" t="e">
        <f ca="1"/>
        <v>#REF!</v>
      </c>
      <c r="O1747" s="25" t="e">
        <f ca="1"/>
        <v>#REF!</v>
      </c>
      <c r="P1747" s="25" t="e">
        <f ca="1"/>
        <v>#REF!</v>
      </c>
      <c r="Q1747" s="25" t="e">
        <f ca="1"/>
        <v>#REF!</v>
      </c>
      <c r="R1747" s="25" t="e">
        <f ca="1"/>
        <v>#REF!</v>
      </c>
      <c r="S1747" s="25" t="e">
        <f ca="1"/>
        <v>#REF!</v>
      </c>
      <c r="T1747" s="25" t="e">
        <f ca="1"/>
        <v>#REF!</v>
      </c>
      <c r="U1747" s="25" t="e">
        <f ca="1"/>
        <v>#REF!</v>
      </c>
      <c r="V1747" s="25" t="e">
        <f ca="1"/>
        <v>#REF!</v>
      </c>
      <c r="W1747" s="33" t="e">
        <f ca="1"/>
        <v>#REF!</v>
      </c>
      <c r="X1747" s="33" t="e">
        <f ca="1"/>
        <v>#REF!</v>
      </c>
      <c r="Y1747" s="33" t="e">
        <f ca="1"/>
        <v>#REF!</v>
      </c>
      <c r="Z1747" s="33" t="e">
        <f ca="1"/>
        <v>#REF!</v>
      </c>
      <c r="AA1747" s="33" t="e">
        <f ca="1"/>
        <v>#REF!</v>
      </c>
    </row>
    <row r="1748" spans="1:27" s="70" customFormat="1" ht="11.25" x14ac:dyDescent="0.2">
      <c r="A1748" s="24">
        <v>1742</v>
      </c>
      <c r="B1748" s="24"/>
      <c r="C1748" s="25"/>
      <c r="D1748" s="26"/>
      <c r="E1748" s="25"/>
      <c r="F1748" s="25"/>
      <c r="G1748" s="24"/>
      <c r="H1748" s="25" t="e">
        <f ca="1"/>
        <v>#REF!</v>
      </c>
      <c r="I1748" s="27" t="e">
        <f ca="1"/>
        <v>#REF!</v>
      </c>
      <c r="J1748" s="28" t="e">
        <f ca="1"/>
        <v>#REF!</v>
      </c>
      <c r="K1748" s="27" t="e">
        <f ca="1"/>
        <v>#REF!</v>
      </c>
      <c r="L1748" s="25" t="e">
        <f ca="1"/>
        <v>#REF!</v>
      </c>
      <c r="M1748" s="25" t="e">
        <f ca="1"/>
        <v>#REF!</v>
      </c>
      <c r="N1748" s="25" t="e">
        <f ca="1"/>
        <v>#REF!</v>
      </c>
      <c r="O1748" s="25" t="e">
        <f ca="1"/>
        <v>#REF!</v>
      </c>
      <c r="P1748" s="25" t="e">
        <f ca="1"/>
        <v>#REF!</v>
      </c>
      <c r="Q1748" s="25" t="e">
        <f ca="1"/>
        <v>#REF!</v>
      </c>
      <c r="R1748" s="25" t="e">
        <f ca="1"/>
        <v>#REF!</v>
      </c>
      <c r="S1748" s="25" t="e">
        <f ca="1"/>
        <v>#REF!</v>
      </c>
      <c r="T1748" s="25" t="e">
        <f ca="1"/>
        <v>#REF!</v>
      </c>
      <c r="U1748" s="25" t="e">
        <f ca="1"/>
        <v>#REF!</v>
      </c>
      <c r="V1748" s="25" t="e">
        <f ca="1"/>
        <v>#REF!</v>
      </c>
      <c r="W1748" s="33" t="e">
        <f ca="1"/>
        <v>#REF!</v>
      </c>
      <c r="X1748" s="33" t="e">
        <f ca="1"/>
        <v>#REF!</v>
      </c>
      <c r="Y1748" s="33" t="e">
        <f ca="1"/>
        <v>#REF!</v>
      </c>
      <c r="Z1748" s="33" t="e">
        <f ca="1"/>
        <v>#REF!</v>
      </c>
      <c r="AA1748" s="33" t="e">
        <f ca="1"/>
        <v>#REF!</v>
      </c>
    </row>
    <row r="1749" spans="1:27" s="70" customFormat="1" ht="11.25" x14ac:dyDescent="0.2">
      <c r="A1749" s="24">
        <v>1743</v>
      </c>
      <c r="B1749" s="24"/>
      <c r="C1749" s="25"/>
      <c r="D1749" s="26"/>
      <c r="E1749" s="25"/>
      <c r="F1749" s="25"/>
      <c r="G1749" s="24"/>
      <c r="H1749" s="25" t="e">
        <f ca="1"/>
        <v>#REF!</v>
      </c>
      <c r="I1749" s="27" t="e">
        <f ca="1"/>
        <v>#REF!</v>
      </c>
      <c r="J1749" s="28" t="e">
        <f ca="1"/>
        <v>#REF!</v>
      </c>
      <c r="K1749" s="27" t="e">
        <f ca="1"/>
        <v>#REF!</v>
      </c>
      <c r="L1749" s="25" t="e">
        <f ca="1"/>
        <v>#REF!</v>
      </c>
      <c r="M1749" s="25" t="e">
        <f ca="1"/>
        <v>#REF!</v>
      </c>
      <c r="N1749" s="25" t="e">
        <f ca="1"/>
        <v>#REF!</v>
      </c>
      <c r="O1749" s="25" t="e">
        <f ca="1"/>
        <v>#REF!</v>
      </c>
      <c r="P1749" s="25" t="e">
        <f ca="1"/>
        <v>#REF!</v>
      </c>
      <c r="Q1749" s="25" t="e">
        <f ca="1"/>
        <v>#REF!</v>
      </c>
      <c r="R1749" s="25" t="e">
        <f ca="1"/>
        <v>#REF!</v>
      </c>
      <c r="S1749" s="25" t="e">
        <f ca="1"/>
        <v>#REF!</v>
      </c>
      <c r="T1749" s="25" t="e">
        <f ca="1"/>
        <v>#REF!</v>
      </c>
      <c r="U1749" s="25" t="e">
        <f ca="1"/>
        <v>#REF!</v>
      </c>
      <c r="V1749" s="25" t="e">
        <f ca="1"/>
        <v>#REF!</v>
      </c>
      <c r="W1749" s="33" t="e">
        <f ca="1"/>
        <v>#REF!</v>
      </c>
      <c r="X1749" s="33" t="e">
        <f ca="1"/>
        <v>#REF!</v>
      </c>
      <c r="Y1749" s="33" t="e">
        <f ca="1"/>
        <v>#REF!</v>
      </c>
      <c r="Z1749" s="33" t="e">
        <f ca="1"/>
        <v>#REF!</v>
      </c>
      <c r="AA1749" s="33" t="e">
        <f ca="1"/>
        <v>#REF!</v>
      </c>
    </row>
    <row r="1750" spans="1:27" s="70" customFormat="1" ht="11.25" x14ac:dyDescent="0.2">
      <c r="A1750" s="24">
        <v>1744</v>
      </c>
      <c r="B1750" s="24"/>
      <c r="C1750" s="25"/>
      <c r="D1750" s="26"/>
      <c r="E1750" s="25"/>
      <c r="F1750" s="25"/>
      <c r="G1750" s="24"/>
      <c r="H1750" s="25" t="e">
        <f ca="1"/>
        <v>#REF!</v>
      </c>
      <c r="I1750" s="27" t="e">
        <f ca="1"/>
        <v>#REF!</v>
      </c>
      <c r="J1750" s="28" t="e">
        <f ca="1"/>
        <v>#REF!</v>
      </c>
      <c r="K1750" s="27" t="e">
        <f ca="1"/>
        <v>#REF!</v>
      </c>
      <c r="L1750" s="25" t="e">
        <f ca="1"/>
        <v>#REF!</v>
      </c>
      <c r="M1750" s="25" t="e">
        <f ca="1"/>
        <v>#REF!</v>
      </c>
      <c r="N1750" s="25" t="e">
        <f ca="1"/>
        <v>#REF!</v>
      </c>
      <c r="O1750" s="25" t="e">
        <f ca="1"/>
        <v>#REF!</v>
      </c>
      <c r="P1750" s="25" t="e">
        <f ca="1"/>
        <v>#REF!</v>
      </c>
      <c r="Q1750" s="25" t="e">
        <f ca="1"/>
        <v>#REF!</v>
      </c>
      <c r="R1750" s="25" t="e">
        <f ca="1"/>
        <v>#REF!</v>
      </c>
      <c r="S1750" s="25" t="e">
        <f ca="1"/>
        <v>#REF!</v>
      </c>
      <c r="T1750" s="25" t="e">
        <f ca="1"/>
        <v>#REF!</v>
      </c>
      <c r="U1750" s="25" t="e">
        <f ca="1"/>
        <v>#REF!</v>
      </c>
      <c r="V1750" s="25" t="e">
        <f ca="1"/>
        <v>#REF!</v>
      </c>
      <c r="W1750" s="33" t="e">
        <f ca="1"/>
        <v>#REF!</v>
      </c>
      <c r="X1750" s="33" t="e">
        <f ca="1"/>
        <v>#REF!</v>
      </c>
      <c r="Y1750" s="33" t="e">
        <f ca="1"/>
        <v>#REF!</v>
      </c>
      <c r="Z1750" s="33" t="e">
        <f ca="1"/>
        <v>#REF!</v>
      </c>
      <c r="AA1750" s="33" t="e">
        <f ca="1"/>
        <v>#REF!</v>
      </c>
    </row>
    <row r="1751" spans="1:27" s="70" customFormat="1" ht="11.25" x14ac:dyDescent="0.2">
      <c r="A1751" s="24">
        <v>1745</v>
      </c>
      <c r="B1751" s="24"/>
      <c r="C1751" s="25"/>
      <c r="D1751" s="26"/>
      <c r="E1751" s="25"/>
      <c r="F1751" s="25"/>
      <c r="G1751" s="24"/>
      <c r="H1751" s="25" t="e">
        <f ca="1"/>
        <v>#REF!</v>
      </c>
      <c r="I1751" s="27" t="e">
        <f ca="1"/>
        <v>#REF!</v>
      </c>
      <c r="J1751" s="28" t="e">
        <f ca="1"/>
        <v>#REF!</v>
      </c>
      <c r="K1751" s="27" t="e">
        <f ca="1"/>
        <v>#REF!</v>
      </c>
      <c r="L1751" s="25" t="e">
        <f ca="1"/>
        <v>#REF!</v>
      </c>
      <c r="M1751" s="25" t="e">
        <f ca="1"/>
        <v>#REF!</v>
      </c>
      <c r="N1751" s="25" t="e">
        <f ca="1"/>
        <v>#REF!</v>
      </c>
      <c r="O1751" s="25" t="e">
        <f ca="1"/>
        <v>#REF!</v>
      </c>
      <c r="P1751" s="25" t="e">
        <f ca="1"/>
        <v>#REF!</v>
      </c>
      <c r="Q1751" s="25" t="e">
        <f ca="1"/>
        <v>#REF!</v>
      </c>
      <c r="R1751" s="25" t="e">
        <f ca="1"/>
        <v>#REF!</v>
      </c>
      <c r="S1751" s="25" t="e">
        <f ca="1"/>
        <v>#REF!</v>
      </c>
      <c r="T1751" s="25" t="e">
        <f ca="1"/>
        <v>#REF!</v>
      </c>
      <c r="U1751" s="25" t="e">
        <f ca="1"/>
        <v>#REF!</v>
      </c>
      <c r="V1751" s="25" t="e">
        <f ca="1"/>
        <v>#REF!</v>
      </c>
      <c r="W1751" s="33" t="e">
        <f ca="1"/>
        <v>#REF!</v>
      </c>
      <c r="X1751" s="33" t="e">
        <f ca="1"/>
        <v>#REF!</v>
      </c>
      <c r="Y1751" s="33" t="e">
        <f ca="1"/>
        <v>#REF!</v>
      </c>
      <c r="Z1751" s="33" t="e">
        <f ca="1"/>
        <v>#REF!</v>
      </c>
      <c r="AA1751" s="33" t="e">
        <f ca="1"/>
        <v>#REF!</v>
      </c>
    </row>
    <row r="1752" spans="1:27" s="70" customFormat="1" ht="11.25" x14ac:dyDescent="0.2">
      <c r="A1752" s="24">
        <v>1746</v>
      </c>
      <c r="B1752" s="24"/>
      <c r="C1752" s="25"/>
      <c r="D1752" s="26"/>
      <c r="E1752" s="25"/>
      <c r="F1752" s="25"/>
      <c r="G1752" s="24"/>
      <c r="H1752" s="25" t="e">
        <f ca="1"/>
        <v>#REF!</v>
      </c>
      <c r="I1752" s="27" t="e">
        <f ca="1"/>
        <v>#REF!</v>
      </c>
      <c r="J1752" s="28" t="e">
        <f ca="1"/>
        <v>#REF!</v>
      </c>
      <c r="K1752" s="27" t="e">
        <f ca="1"/>
        <v>#REF!</v>
      </c>
      <c r="L1752" s="25" t="e">
        <f ca="1"/>
        <v>#REF!</v>
      </c>
      <c r="M1752" s="25" t="e">
        <f ca="1"/>
        <v>#REF!</v>
      </c>
      <c r="N1752" s="25" t="e">
        <f ca="1"/>
        <v>#REF!</v>
      </c>
      <c r="O1752" s="25" t="e">
        <f ca="1"/>
        <v>#REF!</v>
      </c>
      <c r="P1752" s="25" t="e">
        <f ca="1"/>
        <v>#REF!</v>
      </c>
      <c r="Q1752" s="25" t="e">
        <f ca="1"/>
        <v>#REF!</v>
      </c>
      <c r="R1752" s="25" t="e">
        <f ca="1"/>
        <v>#REF!</v>
      </c>
      <c r="S1752" s="25" t="e">
        <f ca="1"/>
        <v>#REF!</v>
      </c>
      <c r="T1752" s="25" t="e">
        <f ca="1"/>
        <v>#REF!</v>
      </c>
      <c r="U1752" s="25" t="e">
        <f ca="1"/>
        <v>#REF!</v>
      </c>
      <c r="V1752" s="25" t="e">
        <f ca="1"/>
        <v>#REF!</v>
      </c>
      <c r="W1752" s="33" t="e">
        <f ca="1"/>
        <v>#REF!</v>
      </c>
      <c r="X1752" s="33" t="e">
        <f ca="1"/>
        <v>#REF!</v>
      </c>
      <c r="Y1752" s="33" t="e">
        <f ca="1"/>
        <v>#REF!</v>
      </c>
      <c r="Z1752" s="33" t="e">
        <f ca="1"/>
        <v>#REF!</v>
      </c>
      <c r="AA1752" s="33" t="e">
        <f ca="1"/>
        <v>#REF!</v>
      </c>
    </row>
    <row r="1753" spans="1:27" s="70" customFormat="1" ht="11.25" x14ac:dyDescent="0.2">
      <c r="A1753" s="24">
        <v>1747</v>
      </c>
      <c r="B1753" s="24"/>
      <c r="C1753" s="25"/>
      <c r="D1753" s="26"/>
      <c r="E1753" s="25"/>
      <c r="F1753" s="25"/>
      <c r="G1753" s="24"/>
      <c r="H1753" s="25" t="e">
        <f ca="1"/>
        <v>#REF!</v>
      </c>
      <c r="I1753" s="27" t="e">
        <f ca="1"/>
        <v>#REF!</v>
      </c>
      <c r="J1753" s="28" t="e">
        <f ca="1"/>
        <v>#REF!</v>
      </c>
      <c r="K1753" s="27" t="e">
        <f ca="1"/>
        <v>#REF!</v>
      </c>
      <c r="L1753" s="25" t="e">
        <f ca="1"/>
        <v>#REF!</v>
      </c>
      <c r="M1753" s="25" t="e">
        <f ca="1"/>
        <v>#REF!</v>
      </c>
      <c r="N1753" s="25" t="e">
        <f ca="1"/>
        <v>#REF!</v>
      </c>
      <c r="O1753" s="25" t="e">
        <f ca="1"/>
        <v>#REF!</v>
      </c>
      <c r="P1753" s="25" t="e">
        <f ca="1"/>
        <v>#REF!</v>
      </c>
      <c r="Q1753" s="25" t="e">
        <f ca="1"/>
        <v>#REF!</v>
      </c>
      <c r="R1753" s="25" t="e">
        <f ca="1"/>
        <v>#REF!</v>
      </c>
      <c r="S1753" s="25" t="e">
        <f ca="1"/>
        <v>#REF!</v>
      </c>
      <c r="T1753" s="25" t="e">
        <f ca="1"/>
        <v>#REF!</v>
      </c>
      <c r="U1753" s="25" t="e">
        <f ca="1"/>
        <v>#REF!</v>
      </c>
      <c r="V1753" s="25" t="e">
        <f ca="1"/>
        <v>#REF!</v>
      </c>
      <c r="W1753" s="33" t="e">
        <f ca="1"/>
        <v>#REF!</v>
      </c>
      <c r="X1753" s="33" t="e">
        <f ca="1"/>
        <v>#REF!</v>
      </c>
      <c r="Y1753" s="33" t="e">
        <f ca="1"/>
        <v>#REF!</v>
      </c>
      <c r="Z1753" s="33" t="e">
        <f ca="1"/>
        <v>#REF!</v>
      </c>
      <c r="AA1753" s="33" t="e">
        <f ca="1"/>
        <v>#REF!</v>
      </c>
    </row>
    <row r="1754" spans="1:27" s="70" customFormat="1" ht="11.25" x14ac:dyDescent="0.2">
      <c r="A1754" s="24">
        <v>1748</v>
      </c>
      <c r="B1754" s="24"/>
      <c r="C1754" s="25"/>
      <c r="D1754" s="26"/>
      <c r="E1754" s="25"/>
      <c r="F1754" s="25"/>
      <c r="G1754" s="24"/>
      <c r="H1754" s="25" t="e">
        <f ca="1"/>
        <v>#REF!</v>
      </c>
      <c r="I1754" s="27" t="e">
        <f ca="1"/>
        <v>#REF!</v>
      </c>
      <c r="J1754" s="28" t="e">
        <f ca="1"/>
        <v>#REF!</v>
      </c>
      <c r="K1754" s="27" t="e">
        <f ca="1"/>
        <v>#REF!</v>
      </c>
      <c r="L1754" s="25" t="e">
        <f ca="1"/>
        <v>#REF!</v>
      </c>
      <c r="M1754" s="25" t="e">
        <f ca="1"/>
        <v>#REF!</v>
      </c>
      <c r="N1754" s="25" t="e">
        <f ca="1"/>
        <v>#REF!</v>
      </c>
      <c r="O1754" s="25" t="e">
        <f ca="1"/>
        <v>#REF!</v>
      </c>
      <c r="P1754" s="25" t="e">
        <f ca="1"/>
        <v>#REF!</v>
      </c>
      <c r="Q1754" s="25" t="e">
        <f ca="1"/>
        <v>#REF!</v>
      </c>
      <c r="R1754" s="25" t="e">
        <f ca="1"/>
        <v>#REF!</v>
      </c>
      <c r="S1754" s="25" t="e">
        <f ca="1"/>
        <v>#REF!</v>
      </c>
      <c r="T1754" s="25" t="e">
        <f ca="1"/>
        <v>#REF!</v>
      </c>
      <c r="U1754" s="25" t="e">
        <f ca="1"/>
        <v>#REF!</v>
      </c>
      <c r="V1754" s="25" t="e">
        <f ca="1"/>
        <v>#REF!</v>
      </c>
      <c r="W1754" s="33" t="e">
        <f ca="1"/>
        <v>#REF!</v>
      </c>
      <c r="X1754" s="33" t="e">
        <f ca="1"/>
        <v>#REF!</v>
      </c>
      <c r="Y1754" s="33" t="e">
        <f ca="1"/>
        <v>#REF!</v>
      </c>
      <c r="Z1754" s="33" t="e">
        <f ca="1"/>
        <v>#REF!</v>
      </c>
      <c r="AA1754" s="33" t="e">
        <f ca="1"/>
        <v>#REF!</v>
      </c>
    </row>
    <row r="1755" spans="1:27" s="70" customFormat="1" ht="11.25" x14ac:dyDescent="0.2">
      <c r="A1755" s="24">
        <v>1749</v>
      </c>
      <c r="B1755" s="24"/>
      <c r="C1755" s="25"/>
      <c r="D1755" s="26"/>
      <c r="E1755" s="25"/>
      <c r="F1755" s="25"/>
      <c r="G1755" s="24"/>
      <c r="H1755" s="25" t="e">
        <f ca="1"/>
        <v>#REF!</v>
      </c>
      <c r="I1755" s="27" t="e">
        <f ca="1"/>
        <v>#REF!</v>
      </c>
      <c r="J1755" s="28" t="e">
        <f ca="1"/>
        <v>#REF!</v>
      </c>
      <c r="K1755" s="27" t="e">
        <f ca="1"/>
        <v>#REF!</v>
      </c>
      <c r="L1755" s="25" t="e">
        <f ca="1"/>
        <v>#REF!</v>
      </c>
      <c r="M1755" s="25" t="e">
        <f ca="1"/>
        <v>#REF!</v>
      </c>
      <c r="N1755" s="25" t="e">
        <f ca="1"/>
        <v>#REF!</v>
      </c>
      <c r="O1755" s="25" t="e">
        <f ca="1"/>
        <v>#REF!</v>
      </c>
      <c r="P1755" s="25" t="e">
        <f ca="1"/>
        <v>#REF!</v>
      </c>
      <c r="Q1755" s="25" t="e">
        <f ca="1"/>
        <v>#REF!</v>
      </c>
      <c r="R1755" s="25" t="e">
        <f ca="1"/>
        <v>#REF!</v>
      </c>
      <c r="S1755" s="25" t="e">
        <f ca="1"/>
        <v>#REF!</v>
      </c>
      <c r="T1755" s="25" t="e">
        <f ca="1"/>
        <v>#REF!</v>
      </c>
      <c r="U1755" s="25" t="e">
        <f ca="1"/>
        <v>#REF!</v>
      </c>
      <c r="V1755" s="25" t="e">
        <f ca="1"/>
        <v>#REF!</v>
      </c>
      <c r="W1755" s="33" t="e">
        <f ca="1"/>
        <v>#REF!</v>
      </c>
      <c r="X1755" s="33" t="e">
        <f ca="1"/>
        <v>#REF!</v>
      </c>
      <c r="Y1755" s="33" t="e">
        <f ca="1"/>
        <v>#REF!</v>
      </c>
      <c r="Z1755" s="33" t="e">
        <f ca="1"/>
        <v>#REF!</v>
      </c>
      <c r="AA1755" s="33" t="e">
        <f ca="1"/>
        <v>#REF!</v>
      </c>
    </row>
    <row r="1756" spans="1:27" s="70" customFormat="1" ht="11.25" x14ac:dyDescent="0.2">
      <c r="A1756" s="24">
        <v>1750</v>
      </c>
      <c r="B1756" s="24"/>
      <c r="C1756" s="25"/>
      <c r="D1756" s="26"/>
      <c r="E1756" s="25"/>
      <c r="F1756" s="25"/>
      <c r="G1756" s="24"/>
      <c r="H1756" s="25" t="e">
        <f ca="1"/>
        <v>#REF!</v>
      </c>
      <c r="I1756" s="27" t="e">
        <f ca="1"/>
        <v>#REF!</v>
      </c>
      <c r="J1756" s="28" t="e">
        <f ca="1"/>
        <v>#REF!</v>
      </c>
      <c r="K1756" s="27" t="e">
        <f ca="1"/>
        <v>#REF!</v>
      </c>
      <c r="L1756" s="25" t="e">
        <f ca="1"/>
        <v>#REF!</v>
      </c>
      <c r="M1756" s="25" t="e">
        <f ca="1"/>
        <v>#REF!</v>
      </c>
      <c r="N1756" s="25" t="e">
        <f ca="1"/>
        <v>#REF!</v>
      </c>
      <c r="O1756" s="25" t="e">
        <f ca="1"/>
        <v>#REF!</v>
      </c>
      <c r="P1756" s="25" t="e">
        <f ca="1"/>
        <v>#REF!</v>
      </c>
      <c r="Q1756" s="25" t="e">
        <f ca="1"/>
        <v>#REF!</v>
      </c>
      <c r="R1756" s="25" t="e">
        <f ca="1"/>
        <v>#REF!</v>
      </c>
      <c r="S1756" s="25" t="e">
        <f ca="1"/>
        <v>#REF!</v>
      </c>
      <c r="T1756" s="25" t="e">
        <f ca="1"/>
        <v>#REF!</v>
      </c>
      <c r="U1756" s="25" t="e">
        <f ca="1"/>
        <v>#REF!</v>
      </c>
      <c r="V1756" s="25" t="e">
        <f ca="1"/>
        <v>#REF!</v>
      </c>
      <c r="W1756" s="33" t="e">
        <f ca="1"/>
        <v>#REF!</v>
      </c>
      <c r="X1756" s="33" t="e">
        <f ca="1"/>
        <v>#REF!</v>
      </c>
      <c r="Y1756" s="33" t="e">
        <f ca="1"/>
        <v>#REF!</v>
      </c>
      <c r="Z1756" s="33" t="e">
        <f ca="1"/>
        <v>#REF!</v>
      </c>
      <c r="AA1756" s="33" t="e">
        <f ca="1"/>
        <v>#REF!</v>
      </c>
    </row>
    <row r="1757" spans="1:27" s="70" customFormat="1" ht="11.25" x14ac:dyDescent="0.2">
      <c r="A1757" s="24">
        <v>1751</v>
      </c>
      <c r="B1757" s="24"/>
      <c r="C1757" s="25"/>
      <c r="D1757" s="26"/>
      <c r="E1757" s="25"/>
      <c r="F1757" s="25"/>
      <c r="G1757" s="24"/>
      <c r="H1757" s="25" t="e">
        <f ca="1"/>
        <v>#REF!</v>
      </c>
      <c r="I1757" s="27" t="e">
        <f ca="1"/>
        <v>#REF!</v>
      </c>
      <c r="J1757" s="28" t="e">
        <f ca="1"/>
        <v>#REF!</v>
      </c>
      <c r="K1757" s="27" t="e">
        <f ca="1"/>
        <v>#REF!</v>
      </c>
      <c r="L1757" s="25" t="e">
        <f ca="1"/>
        <v>#REF!</v>
      </c>
      <c r="M1757" s="25" t="e">
        <f ca="1"/>
        <v>#REF!</v>
      </c>
      <c r="N1757" s="25" t="e">
        <f ca="1"/>
        <v>#REF!</v>
      </c>
      <c r="O1757" s="25" t="e">
        <f ca="1"/>
        <v>#REF!</v>
      </c>
      <c r="P1757" s="25" t="e">
        <f ca="1"/>
        <v>#REF!</v>
      </c>
      <c r="Q1757" s="25" t="e">
        <f ca="1"/>
        <v>#REF!</v>
      </c>
      <c r="R1757" s="25" t="e">
        <f ca="1"/>
        <v>#REF!</v>
      </c>
      <c r="S1757" s="25" t="e">
        <f ca="1"/>
        <v>#REF!</v>
      </c>
      <c r="T1757" s="25" t="e">
        <f ca="1"/>
        <v>#REF!</v>
      </c>
      <c r="U1757" s="25" t="e">
        <f ca="1"/>
        <v>#REF!</v>
      </c>
      <c r="V1757" s="25" t="e">
        <f ca="1"/>
        <v>#REF!</v>
      </c>
      <c r="W1757" s="33" t="e">
        <f ca="1"/>
        <v>#REF!</v>
      </c>
      <c r="X1757" s="33" t="e">
        <f ca="1"/>
        <v>#REF!</v>
      </c>
      <c r="Y1757" s="33" t="e">
        <f ca="1"/>
        <v>#REF!</v>
      </c>
      <c r="Z1757" s="33" t="e">
        <f ca="1"/>
        <v>#REF!</v>
      </c>
      <c r="AA1757" s="33" t="e">
        <f ca="1"/>
        <v>#REF!</v>
      </c>
    </row>
    <row r="1758" spans="1:27" s="70" customFormat="1" ht="11.25" x14ac:dyDescent="0.2">
      <c r="A1758" s="24">
        <v>1752</v>
      </c>
      <c r="B1758" s="24"/>
      <c r="C1758" s="25"/>
      <c r="D1758" s="26"/>
      <c r="E1758" s="25"/>
      <c r="F1758" s="25"/>
      <c r="G1758" s="24"/>
      <c r="H1758" s="25" t="e">
        <f ca="1"/>
        <v>#REF!</v>
      </c>
      <c r="I1758" s="27" t="e">
        <f ca="1"/>
        <v>#REF!</v>
      </c>
      <c r="J1758" s="28" t="e">
        <f ca="1"/>
        <v>#REF!</v>
      </c>
      <c r="K1758" s="27" t="e">
        <f ca="1"/>
        <v>#REF!</v>
      </c>
      <c r="L1758" s="25" t="e">
        <f ca="1"/>
        <v>#REF!</v>
      </c>
      <c r="M1758" s="25" t="e">
        <f ca="1"/>
        <v>#REF!</v>
      </c>
      <c r="N1758" s="25" t="e">
        <f ca="1"/>
        <v>#REF!</v>
      </c>
      <c r="O1758" s="25" t="e">
        <f ca="1"/>
        <v>#REF!</v>
      </c>
      <c r="P1758" s="25" t="e">
        <f ca="1"/>
        <v>#REF!</v>
      </c>
      <c r="Q1758" s="25" t="e">
        <f ca="1"/>
        <v>#REF!</v>
      </c>
      <c r="R1758" s="25" t="e">
        <f ca="1"/>
        <v>#REF!</v>
      </c>
      <c r="S1758" s="25" t="e">
        <f ca="1"/>
        <v>#REF!</v>
      </c>
      <c r="T1758" s="25" t="e">
        <f ca="1"/>
        <v>#REF!</v>
      </c>
      <c r="U1758" s="25" t="e">
        <f ca="1"/>
        <v>#REF!</v>
      </c>
      <c r="V1758" s="25" t="e">
        <f ca="1"/>
        <v>#REF!</v>
      </c>
      <c r="W1758" s="33" t="e">
        <f ca="1"/>
        <v>#REF!</v>
      </c>
      <c r="X1758" s="33" t="e">
        <f ca="1"/>
        <v>#REF!</v>
      </c>
      <c r="Y1758" s="33" t="e">
        <f ca="1"/>
        <v>#REF!</v>
      </c>
      <c r="Z1758" s="33" t="e">
        <f ca="1"/>
        <v>#REF!</v>
      </c>
      <c r="AA1758" s="33" t="e">
        <f ca="1"/>
        <v>#REF!</v>
      </c>
    </row>
    <row r="1759" spans="1:27" s="70" customFormat="1" ht="11.25" x14ac:dyDescent="0.2">
      <c r="A1759" s="24">
        <v>1753</v>
      </c>
      <c r="B1759" s="24"/>
      <c r="C1759" s="25"/>
      <c r="D1759" s="26"/>
      <c r="E1759" s="25"/>
      <c r="F1759" s="25"/>
      <c r="G1759" s="24"/>
      <c r="H1759" s="25" t="e">
        <f ca="1"/>
        <v>#REF!</v>
      </c>
      <c r="I1759" s="27" t="e">
        <f ca="1"/>
        <v>#REF!</v>
      </c>
      <c r="J1759" s="28" t="e">
        <f ca="1"/>
        <v>#REF!</v>
      </c>
      <c r="K1759" s="27" t="e">
        <f ca="1"/>
        <v>#REF!</v>
      </c>
      <c r="L1759" s="25" t="e">
        <f ca="1"/>
        <v>#REF!</v>
      </c>
      <c r="M1759" s="25" t="e">
        <f ca="1"/>
        <v>#REF!</v>
      </c>
      <c r="N1759" s="25" t="e">
        <f ca="1"/>
        <v>#REF!</v>
      </c>
      <c r="O1759" s="25" t="e">
        <f ca="1"/>
        <v>#REF!</v>
      </c>
      <c r="P1759" s="25" t="e">
        <f ca="1"/>
        <v>#REF!</v>
      </c>
      <c r="Q1759" s="25" t="e">
        <f ca="1"/>
        <v>#REF!</v>
      </c>
      <c r="R1759" s="25" t="e">
        <f ca="1"/>
        <v>#REF!</v>
      </c>
      <c r="S1759" s="25" t="e">
        <f ca="1"/>
        <v>#REF!</v>
      </c>
      <c r="T1759" s="25" t="e">
        <f ca="1"/>
        <v>#REF!</v>
      </c>
      <c r="U1759" s="25" t="e">
        <f ca="1"/>
        <v>#REF!</v>
      </c>
      <c r="V1759" s="25" t="e">
        <f ca="1"/>
        <v>#REF!</v>
      </c>
      <c r="W1759" s="33" t="e">
        <f ca="1"/>
        <v>#REF!</v>
      </c>
      <c r="X1759" s="33" t="e">
        <f ca="1"/>
        <v>#REF!</v>
      </c>
      <c r="Y1759" s="33" t="e">
        <f ca="1"/>
        <v>#REF!</v>
      </c>
      <c r="Z1759" s="33" t="e">
        <f ca="1"/>
        <v>#REF!</v>
      </c>
      <c r="AA1759" s="33" t="e">
        <f ca="1"/>
        <v>#REF!</v>
      </c>
    </row>
    <row r="1760" spans="1:27" s="70" customFormat="1" ht="11.25" x14ac:dyDescent="0.2">
      <c r="A1760" s="24">
        <v>1754</v>
      </c>
      <c r="B1760" s="24"/>
      <c r="C1760" s="25"/>
      <c r="D1760" s="26"/>
      <c r="E1760" s="25"/>
      <c r="F1760" s="25"/>
      <c r="G1760" s="24"/>
      <c r="H1760" s="25" t="e">
        <f ca="1"/>
        <v>#REF!</v>
      </c>
      <c r="I1760" s="27" t="e">
        <f ca="1"/>
        <v>#REF!</v>
      </c>
      <c r="J1760" s="28" t="e">
        <f ca="1"/>
        <v>#REF!</v>
      </c>
      <c r="K1760" s="27" t="e">
        <f ca="1"/>
        <v>#REF!</v>
      </c>
      <c r="L1760" s="25" t="e">
        <f ca="1"/>
        <v>#REF!</v>
      </c>
      <c r="M1760" s="25" t="e">
        <f ca="1"/>
        <v>#REF!</v>
      </c>
      <c r="N1760" s="25" t="e">
        <f ca="1"/>
        <v>#REF!</v>
      </c>
      <c r="O1760" s="25" t="e">
        <f ca="1"/>
        <v>#REF!</v>
      </c>
      <c r="P1760" s="25" t="e">
        <f ca="1"/>
        <v>#REF!</v>
      </c>
      <c r="Q1760" s="25" t="e">
        <f ca="1"/>
        <v>#REF!</v>
      </c>
      <c r="R1760" s="25" t="e">
        <f ca="1"/>
        <v>#REF!</v>
      </c>
      <c r="S1760" s="25" t="e">
        <f ca="1"/>
        <v>#REF!</v>
      </c>
      <c r="T1760" s="25" t="e">
        <f ca="1"/>
        <v>#REF!</v>
      </c>
      <c r="U1760" s="25" t="e">
        <f ca="1"/>
        <v>#REF!</v>
      </c>
      <c r="V1760" s="25" t="e">
        <f ca="1"/>
        <v>#REF!</v>
      </c>
      <c r="W1760" s="33" t="e">
        <f ca="1"/>
        <v>#REF!</v>
      </c>
      <c r="X1760" s="33" t="e">
        <f ca="1"/>
        <v>#REF!</v>
      </c>
      <c r="Y1760" s="33" t="e">
        <f ca="1"/>
        <v>#REF!</v>
      </c>
      <c r="Z1760" s="33" t="e">
        <f ca="1"/>
        <v>#REF!</v>
      </c>
      <c r="AA1760" s="33" t="e">
        <f ca="1"/>
        <v>#REF!</v>
      </c>
    </row>
    <row r="1761" spans="1:27" s="70" customFormat="1" ht="11.25" x14ac:dyDescent="0.2">
      <c r="A1761" s="24">
        <v>1755</v>
      </c>
      <c r="B1761" s="24"/>
      <c r="C1761" s="25"/>
      <c r="D1761" s="26"/>
      <c r="E1761" s="25"/>
      <c r="F1761" s="25"/>
      <c r="G1761" s="24"/>
      <c r="H1761" s="25" t="e">
        <f ca="1"/>
        <v>#REF!</v>
      </c>
      <c r="I1761" s="27" t="e">
        <f ca="1"/>
        <v>#REF!</v>
      </c>
      <c r="J1761" s="28" t="e">
        <f ca="1"/>
        <v>#REF!</v>
      </c>
      <c r="K1761" s="27" t="e">
        <f ca="1"/>
        <v>#REF!</v>
      </c>
      <c r="L1761" s="25" t="e">
        <f ca="1"/>
        <v>#REF!</v>
      </c>
      <c r="M1761" s="25" t="e">
        <f ca="1"/>
        <v>#REF!</v>
      </c>
      <c r="N1761" s="25" t="e">
        <f ca="1"/>
        <v>#REF!</v>
      </c>
      <c r="O1761" s="25" t="e">
        <f ca="1"/>
        <v>#REF!</v>
      </c>
      <c r="P1761" s="25" t="e">
        <f ca="1"/>
        <v>#REF!</v>
      </c>
      <c r="Q1761" s="25" t="e">
        <f ca="1"/>
        <v>#REF!</v>
      </c>
      <c r="R1761" s="25" t="e">
        <f ca="1"/>
        <v>#REF!</v>
      </c>
      <c r="S1761" s="25" t="e">
        <f ca="1"/>
        <v>#REF!</v>
      </c>
      <c r="T1761" s="25" t="e">
        <f ca="1"/>
        <v>#REF!</v>
      </c>
      <c r="U1761" s="25" t="e">
        <f ca="1"/>
        <v>#REF!</v>
      </c>
      <c r="V1761" s="25" t="e">
        <f ca="1"/>
        <v>#REF!</v>
      </c>
      <c r="W1761" s="33" t="e">
        <f ca="1"/>
        <v>#REF!</v>
      </c>
      <c r="X1761" s="33" t="e">
        <f ca="1"/>
        <v>#REF!</v>
      </c>
      <c r="Y1761" s="33" t="e">
        <f ca="1"/>
        <v>#REF!</v>
      </c>
      <c r="Z1761" s="33" t="e">
        <f ca="1"/>
        <v>#REF!</v>
      </c>
      <c r="AA1761" s="33" t="e">
        <f ca="1"/>
        <v>#REF!</v>
      </c>
    </row>
    <row r="1762" spans="1:27" s="70" customFormat="1" ht="11.25" x14ac:dyDescent="0.2">
      <c r="A1762" s="24">
        <v>1756</v>
      </c>
      <c r="B1762" s="24"/>
      <c r="C1762" s="25"/>
      <c r="D1762" s="26"/>
      <c r="E1762" s="25"/>
      <c r="F1762" s="25"/>
      <c r="G1762" s="24"/>
      <c r="H1762" s="25" t="e">
        <f ca="1"/>
        <v>#REF!</v>
      </c>
      <c r="I1762" s="27" t="e">
        <f ca="1"/>
        <v>#REF!</v>
      </c>
      <c r="J1762" s="28" t="e">
        <f ca="1"/>
        <v>#REF!</v>
      </c>
      <c r="K1762" s="27" t="e">
        <f ca="1"/>
        <v>#REF!</v>
      </c>
      <c r="L1762" s="25" t="e">
        <f ca="1"/>
        <v>#REF!</v>
      </c>
      <c r="M1762" s="25" t="e">
        <f ca="1"/>
        <v>#REF!</v>
      </c>
      <c r="N1762" s="25" t="e">
        <f ca="1"/>
        <v>#REF!</v>
      </c>
      <c r="O1762" s="25" t="e">
        <f ca="1"/>
        <v>#REF!</v>
      </c>
      <c r="P1762" s="25" t="e">
        <f ca="1"/>
        <v>#REF!</v>
      </c>
      <c r="Q1762" s="25" t="e">
        <f ca="1"/>
        <v>#REF!</v>
      </c>
      <c r="R1762" s="25" t="e">
        <f ca="1"/>
        <v>#REF!</v>
      </c>
      <c r="S1762" s="25" t="e">
        <f ca="1"/>
        <v>#REF!</v>
      </c>
      <c r="T1762" s="25" t="e">
        <f ca="1"/>
        <v>#REF!</v>
      </c>
      <c r="U1762" s="25" t="e">
        <f ca="1"/>
        <v>#REF!</v>
      </c>
      <c r="V1762" s="25" t="e">
        <f ca="1"/>
        <v>#REF!</v>
      </c>
      <c r="W1762" s="33" t="e">
        <f ca="1"/>
        <v>#REF!</v>
      </c>
      <c r="X1762" s="33" t="e">
        <f ca="1"/>
        <v>#REF!</v>
      </c>
      <c r="Y1762" s="33" t="e">
        <f ca="1"/>
        <v>#REF!</v>
      </c>
      <c r="Z1762" s="33" t="e">
        <f ca="1"/>
        <v>#REF!</v>
      </c>
      <c r="AA1762" s="33" t="e">
        <f ca="1"/>
        <v>#REF!</v>
      </c>
    </row>
    <row r="1763" spans="1:27" s="70" customFormat="1" ht="11.25" x14ac:dyDescent="0.2">
      <c r="A1763" s="24">
        <v>1757</v>
      </c>
      <c r="B1763" s="24"/>
      <c r="C1763" s="25"/>
      <c r="D1763" s="26"/>
      <c r="E1763" s="25"/>
      <c r="F1763" s="25"/>
      <c r="G1763" s="24"/>
      <c r="H1763" s="25" t="e">
        <f ca="1"/>
        <v>#REF!</v>
      </c>
      <c r="I1763" s="27" t="e">
        <f ca="1"/>
        <v>#REF!</v>
      </c>
      <c r="J1763" s="28" t="e">
        <f ca="1"/>
        <v>#REF!</v>
      </c>
      <c r="K1763" s="27" t="e">
        <f ca="1"/>
        <v>#REF!</v>
      </c>
      <c r="L1763" s="25" t="e">
        <f ca="1"/>
        <v>#REF!</v>
      </c>
      <c r="M1763" s="25" t="e">
        <f ca="1"/>
        <v>#REF!</v>
      </c>
      <c r="N1763" s="25" t="e">
        <f ca="1"/>
        <v>#REF!</v>
      </c>
      <c r="O1763" s="25" t="e">
        <f ca="1"/>
        <v>#REF!</v>
      </c>
      <c r="P1763" s="25" t="e">
        <f ca="1"/>
        <v>#REF!</v>
      </c>
      <c r="Q1763" s="25" t="e">
        <f ca="1"/>
        <v>#REF!</v>
      </c>
      <c r="R1763" s="25" t="e">
        <f ca="1"/>
        <v>#REF!</v>
      </c>
      <c r="S1763" s="25" t="e">
        <f ca="1"/>
        <v>#REF!</v>
      </c>
      <c r="T1763" s="25" t="e">
        <f ca="1"/>
        <v>#REF!</v>
      </c>
      <c r="U1763" s="25" t="e">
        <f ca="1"/>
        <v>#REF!</v>
      </c>
      <c r="V1763" s="25" t="e">
        <f ca="1"/>
        <v>#REF!</v>
      </c>
      <c r="W1763" s="33" t="e">
        <f ca="1"/>
        <v>#REF!</v>
      </c>
      <c r="X1763" s="33" t="e">
        <f ca="1"/>
        <v>#REF!</v>
      </c>
      <c r="Y1763" s="33" t="e">
        <f ca="1"/>
        <v>#REF!</v>
      </c>
      <c r="Z1763" s="33" t="e">
        <f ca="1"/>
        <v>#REF!</v>
      </c>
      <c r="AA1763" s="33" t="e">
        <f ca="1"/>
        <v>#REF!</v>
      </c>
    </row>
    <row r="1764" spans="1:27" s="70" customFormat="1" ht="11.25" x14ac:dyDescent="0.2">
      <c r="A1764" s="24">
        <v>1758</v>
      </c>
      <c r="B1764" s="24"/>
      <c r="C1764" s="25"/>
      <c r="D1764" s="26"/>
      <c r="E1764" s="25"/>
      <c r="F1764" s="25"/>
      <c r="G1764" s="24"/>
      <c r="H1764" s="25" t="e">
        <f ca="1"/>
        <v>#REF!</v>
      </c>
      <c r="I1764" s="27" t="e">
        <f ca="1"/>
        <v>#REF!</v>
      </c>
      <c r="J1764" s="28" t="e">
        <f ca="1"/>
        <v>#REF!</v>
      </c>
      <c r="K1764" s="27" t="e">
        <f ca="1"/>
        <v>#REF!</v>
      </c>
      <c r="L1764" s="25" t="e">
        <f ca="1"/>
        <v>#REF!</v>
      </c>
      <c r="M1764" s="25" t="e">
        <f ca="1"/>
        <v>#REF!</v>
      </c>
      <c r="N1764" s="25" t="e">
        <f ca="1"/>
        <v>#REF!</v>
      </c>
      <c r="O1764" s="25" t="e">
        <f ca="1"/>
        <v>#REF!</v>
      </c>
      <c r="P1764" s="25" t="e">
        <f ca="1"/>
        <v>#REF!</v>
      </c>
      <c r="Q1764" s="25" t="e">
        <f ca="1"/>
        <v>#REF!</v>
      </c>
      <c r="R1764" s="25" t="e">
        <f ca="1"/>
        <v>#REF!</v>
      </c>
      <c r="S1764" s="25" t="e">
        <f ca="1"/>
        <v>#REF!</v>
      </c>
      <c r="T1764" s="25" t="e">
        <f ca="1"/>
        <v>#REF!</v>
      </c>
      <c r="U1764" s="25" t="e">
        <f ca="1"/>
        <v>#REF!</v>
      </c>
      <c r="V1764" s="25" t="e">
        <f ca="1"/>
        <v>#REF!</v>
      </c>
      <c r="W1764" s="33" t="e">
        <f ca="1"/>
        <v>#REF!</v>
      </c>
      <c r="X1764" s="33" t="e">
        <f ca="1"/>
        <v>#REF!</v>
      </c>
      <c r="Y1764" s="33" t="e">
        <f ca="1"/>
        <v>#REF!</v>
      </c>
      <c r="Z1764" s="33" t="e">
        <f ca="1"/>
        <v>#REF!</v>
      </c>
      <c r="AA1764" s="33" t="e">
        <f ca="1"/>
        <v>#REF!</v>
      </c>
    </row>
    <row r="1765" spans="1:27" s="70" customFormat="1" ht="11.25" x14ac:dyDescent="0.2">
      <c r="A1765" s="24">
        <v>1759</v>
      </c>
      <c r="B1765" s="24"/>
      <c r="C1765" s="25"/>
      <c r="D1765" s="26"/>
      <c r="E1765" s="25"/>
      <c r="F1765" s="25"/>
      <c r="G1765" s="24"/>
      <c r="H1765" s="25" t="e">
        <f ca="1"/>
        <v>#REF!</v>
      </c>
      <c r="I1765" s="27" t="e">
        <f ca="1"/>
        <v>#REF!</v>
      </c>
      <c r="J1765" s="28" t="e">
        <f ca="1"/>
        <v>#REF!</v>
      </c>
      <c r="K1765" s="27" t="e">
        <f ca="1"/>
        <v>#REF!</v>
      </c>
      <c r="L1765" s="25" t="e">
        <f ca="1"/>
        <v>#REF!</v>
      </c>
      <c r="M1765" s="25" t="e">
        <f ca="1"/>
        <v>#REF!</v>
      </c>
      <c r="N1765" s="25" t="e">
        <f ca="1"/>
        <v>#REF!</v>
      </c>
      <c r="O1765" s="25" t="e">
        <f ca="1"/>
        <v>#REF!</v>
      </c>
      <c r="P1765" s="25" t="e">
        <f ca="1"/>
        <v>#REF!</v>
      </c>
      <c r="Q1765" s="25" t="e">
        <f ca="1"/>
        <v>#REF!</v>
      </c>
      <c r="R1765" s="25" t="e">
        <f ca="1"/>
        <v>#REF!</v>
      </c>
      <c r="S1765" s="25" t="e">
        <f ca="1"/>
        <v>#REF!</v>
      </c>
      <c r="T1765" s="25" t="e">
        <f ca="1"/>
        <v>#REF!</v>
      </c>
      <c r="U1765" s="25" t="e">
        <f ca="1"/>
        <v>#REF!</v>
      </c>
      <c r="V1765" s="25" t="e">
        <f ca="1"/>
        <v>#REF!</v>
      </c>
      <c r="W1765" s="33" t="e">
        <f ca="1"/>
        <v>#REF!</v>
      </c>
      <c r="X1765" s="33" t="e">
        <f ca="1"/>
        <v>#REF!</v>
      </c>
      <c r="Y1765" s="33" t="e">
        <f ca="1"/>
        <v>#REF!</v>
      </c>
      <c r="Z1765" s="33" t="e">
        <f ca="1"/>
        <v>#REF!</v>
      </c>
      <c r="AA1765" s="33" t="e">
        <f ca="1"/>
        <v>#REF!</v>
      </c>
    </row>
    <row r="1766" spans="1:27" s="70" customFormat="1" ht="11.25" x14ac:dyDescent="0.2">
      <c r="A1766" s="24">
        <v>1760</v>
      </c>
      <c r="B1766" s="24"/>
      <c r="C1766" s="25"/>
      <c r="D1766" s="26"/>
      <c r="E1766" s="25"/>
      <c r="F1766" s="25"/>
      <c r="G1766" s="24"/>
      <c r="H1766" s="25" t="e">
        <f ca="1"/>
        <v>#REF!</v>
      </c>
      <c r="I1766" s="27" t="e">
        <f ca="1"/>
        <v>#REF!</v>
      </c>
      <c r="J1766" s="28" t="e">
        <f ca="1"/>
        <v>#REF!</v>
      </c>
      <c r="K1766" s="27" t="e">
        <f ca="1"/>
        <v>#REF!</v>
      </c>
      <c r="L1766" s="25" t="e">
        <f ca="1"/>
        <v>#REF!</v>
      </c>
      <c r="M1766" s="25" t="e">
        <f ca="1"/>
        <v>#REF!</v>
      </c>
      <c r="N1766" s="25" t="e">
        <f ca="1"/>
        <v>#REF!</v>
      </c>
      <c r="O1766" s="25" t="e">
        <f ca="1"/>
        <v>#REF!</v>
      </c>
      <c r="P1766" s="25" t="e">
        <f ca="1"/>
        <v>#REF!</v>
      </c>
      <c r="Q1766" s="25" t="e">
        <f ca="1"/>
        <v>#REF!</v>
      </c>
      <c r="R1766" s="25" t="e">
        <f ca="1"/>
        <v>#REF!</v>
      </c>
      <c r="S1766" s="25" t="e">
        <f ca="1"/>
        <v>#REF!</v>
      </c>
      <c r="T1766" s="25" t="e">
        <f ca="1"/>
        <v>#REF!</v>
      </c>
      <c r="U1766" s="25" t="e">
        <f ca="1"/>
        <v>#REF!</v>
      </c>
      <c r="V1766" s="25" t="e">
        <f ca="1"/>
        <v>#REF!</v>
      </c>
      <c r="W1766" s="33" t="e">
        <f ca="1"/>
        <v>#REF!</v>
      </c>
      <c r="X1766" s="33" t="e">
        <f ca="1"/>
        <v>#REF!</v>
      </c>
      <c r="Y1766" s="33" t="e">
        <f ca="1"/>
        <v>#REF!</v>
      </c>
      <c r="Z1766" s="33" t="e">
        <f ca="1"/>
        <v>#REF!</v>
      </c>
      <c r="AA1766" s="33" t="e">
        <f ca="1"/>
        <v>#REF!</v>
      </c>
    </row>
    <row r="1767" spans="1:27" s="70" customFormat="1" ht="11.25" x14ac:dyDescent="0.2">
      <c r="A1767" s="24">
        <v>1761</v>
      </c>
      <c r="B1767" s="24"/>
      <c r="C1767" s="25"/>
      <c r="D1767" s="26"/>
      <c r="E1767" s="25"/>
      <c r="F1767" s="25"/>
      <c r="G1767" s="24"/>
      <c r="H1767" s="25" t="e">
        <f ca="1"/>
        <v>#REF!</v>
      </c>
      <c r="I1767" s="27" t="e">
        <f ca="1"/>
        <v>#REF!</v>
      </c>
      <c r="J1767" s="28" t="e">
        <f ca="1"/>
        <v>#REF!</v>
      </c>
      <c r="K1767" s="27" t="e">
        <f ca="1"/>
        <v>#REF!</v>
      </c>
      <c r="L1767" s="25" t="e">
        <f ca="1"/>
        <v>#REF!</v>
      </c>
      <c r="M1767" s="25" t="e">
        <f ca="1"/>
        <v>#REF!</v>
      </c>
      <c r="N1767" s="25" t="e">
        <f ca="1"/>
        <v>#REF!</v>
      </c>
      <c r="O1767" s="25" t="e">
        <f ca="1"/>
        <v>#REF!</v>
      </c>
      <c r="P1767" s="25" t="e">
        <f ca="1"/>
        <v>#REF!</v>
      </c>
      <c r="Q1767" s="25" t="e">
        <f ca="1"/>
        <v>#REF!</v>
      </c>
      <c r="R1767" s="25" t="e">
        <f ca="1"/>
        <v>#REF!</v>
      </c>
      <c r="S1767" s="25" t="e">
        <f ca="1"/>
        <v>#REF!</v>
      </c>
      <c r="T1767" s="25" t="e">
        <f ca="1"/>
        <v>#REF!</v>
      </c>
      <c r="U1767" s="25" t="e">
        <f ca="1"/>
        <v>#REF!</v>
      </c>
      <c r="V1767" s="25" t="e">
        <f ca="1"/>
        <v>#REF!</v>
      </c>
      <c r="W1767" s="33" t="e">
        <f ca="1"/>
        <v>#REF!</v>
      </c>
      <c r="X1767" s="33" t="e">
        <f ca="1"/>
        <v>#REF!</v>
      </c>
      <c r="Y1767" s="33" t="e">
        <f ca="1"/>
        <v>#REF!</v>
      </c>
      <c r="Z1767" s="33" t="e">
        <f ca="1"/>
        <v>#REF!</v>
      </c>
      <c r="AA1767" s="33" t="e">
        <f ca="1"/>
        <v>#REF!</v>
      </c>
    </row>
    <row r="1768" spans="1:27" s="70" customFormat="1" ht="11.25" x14ac:dyDescent="0.2">
      <c r="A1768" s="24">
        <v>1762</v>
      </c>
      <c r="B1768" s="24"/>
      <c r="C1768" s="25"/>
      <c r="D1768" s="26"/>
      <c r="E1768" s="25"/>
      <c r="F1768" s="25"/>
      <c r="G1768" s="24"/>
      <c r="H1768" s="25" t="e">
        <f ca="1"/>
        <v>#REF!</v>
      </c>
      <c r="I1768" s="27" t="e">
        <f ca="1"/>
        <v>#REF!</v>
      </c>
      <c r="J1768" s="28" t="e">
        <f ca="1"/>
        <v>#REF!</v>
      </c>
      <c r="K1768" s="27" t="e">
        <f ca="1"/>
        <v>#REF!</v>
      </c>
      <c r="L1768" s="25" t="e">
        <f ca="1"/>
        <v>#REF!</v>
      </c>
      <c r="M1768" s="25" t="e">
        <f ca="1"/>
        <v>#REF!</v>
      </c>
      <c r="N1768" s="25" t="e">
        <f ca="1"/>
        <v>#REF!</v>
      </c>
      <c r="O1768" s="25" t="e">
        <f ca="1"/>
        <v>#REF!</v>
      </c>
      <c r="P1768" s="25" t="e">
        <f ca="1"/>
        <v>#REF!</v>
      </c>
      <c r="Q1768" s="25" t="e">
        <f ca="1"/>
        <v>#REF!</v>
      </c>
      <c r="R1768" s="25" t="e">
        <f ca="1"/>
        <v>#REF!</v>
      </c>
      <c r="S1768" s="25" t="e">
        <f ca="1"/>
        <v>#REF!</v>
      </c>
      <c r="T1768" s="25" t="e">
        <f ca="1"/>
        <v>#REF!</v>
      </c>
      <c r="U1768" s="25" t="e">
        <f ca="1"/>
        <v>#REF!</v>
      </c>
      <c r="V1768" s="25" t="e">
        <f ca="1"/>
        <v>#REF!</v>
      </c>
      <c r="W1768" s="33" t="e">
        <f ca="1"/>
        <v>#REF!</v>
      </c>
      <c r="X1768" s="33" t="e">
        <f ca="1"/>
        <v>#REF!</v>
      </c>
      <c r="Y1768" s="33" t="e">
        <f ca="1"/>
        <v>#REF!</v>
      </c>
      <c r="Z1768" s="33" t="e">
        <f ca="1"/>
        <v>#REF!</v>
      </c>
      <c r="AA1768" s="33" t="e">
        <f ca="1"/>
        <v>#REF!</v>
      </c>
    </row>
    <row r="1769" spans="1:27" s="70" customFormat="1" ht="11.25" x14ac:dyDescent="0.2">
      <c r="A1769" s="24">
        <v>1763</v>
      </c>
      <c r="B1769" s="24"/>
      <c r="C1769" s="25"/>
      <c r="D1769" s="26"/>
      <c r="E1769" s="25"/>
      <c r="F1769" s="25"/>
      <c r="G1769" s="24"/>
      <c r="H1769" s="25" t="e">
        <f ca="1"/>
        <v>#REF!</v>
      </c>
      <c r="I1769" s="27" t="e">
        <f ca="1"/>
        <v>#REF!</v>
      </c>
      <c r="J1769" s="28" t="e">
        <f ca="1"/>
        <v>#REF!</v>
      </c>
      <c r="K1769" s="27" t="e">
        <f ca="1"/>
        <v>#REF!</v>
      </c>
      <c r="L1769" s="25" t="e">
        <f ca="1"/>
        <v>#REF!</v>
      </c>
      <c r="M1769" s="25" t="e">
        <f ca="1"/>
        <v>#REF!</v>
      </c>
      <c r="N1769" s="25" t="e">
        <f ca="1"/>
        <v>#REF!</v>
      </c>
      <c r="O1769" s="25" t="e">
        <f ca="1"/>
        <v>#REF!</v>
      </c>
      <c r="P1769" s="25" t="e">
        <f ca="1"/>
        <v>#REF!</v>
      </c>
      <c r="Q1769" s="25" t="e">
        <f ca="1"/>
        <v>#REF!</v>
      </c>
      <c r="R1769" s="25" t="e">
        <f ca="1"/>
        <v>#REF!</v>
      </c>
      <c r="S1769" s="25" t="e">
        <f ca="1"/>
        <v>#REF!</v>
      </c>
      <c r="T1769" s="25" t="e">
        <f ca="1"/>
        <v>#REF!</v>
      </c>
      <c r="U1769" s="25" t="e">
        <f ca="1"/>
        <v>#REF!</v>
      </c>
      <c r="V1769" s="25" t="e">
        <f ca="1"/>
        <v>#REF!</v>
      </c>
      <c r="W1769" s="33" t="e">
        <f ca="1"/>
        <v>#REF!</v>
      </c>
      <c r="X1769" s="33" t="e">
        <f ca="1"/>
        <v>#REF!</v>
      </c>
      <c r="Y1769" s="33" t="e">
        <f ca="1"/>
        <v>#REF!</v>
      </c>
      <c r="Z1769" s="33" t="e">
        <f ca="1"/>
        <v>#REF!</v>
      </c>
      <c r="AA1769" s="33" t="e">
        <f ca="1"/>
        <v>#REF!</v>
      </c>
    </row>
    <row r="1770" spans="1:27" s="70" customFormat="1" ht="11.25" x14ac:dyDescent="0.2">
      <c r="A1770" s="24">
        <v>1764</v>
      </c>
      <c r="B1770" s="24"/>
      <c r="C1770" s="25"/>
      <c r="D1770" s="26"/>
      <c r="E1770" s="25"/>
      <c r="F1770" s="25"/>
      <c r="G1770" s="24"/>
      <c r="H1770" s="25" t="e">
        <f ca="1"/>
        <v>#REF!</v>
      </c>
      <c r="I1770" s="27" t="e">
        <f ca="1"/>
        <v>#REF!</v>
      </c>
      <c r="J1770" s="28" t="e">
        <f ca="1"/>
        <v>#REF!</v>
      </c>
      <c r="K1770" s="27" t="e">
        <f ca="1"/>
        <v>#REF!</v>
      </c>
      <c r="L1770" s="25" t="e">
        <f ca="1"/>
        <v>#REF!</v>
      </c>
      <c r="M1770" s="25" t="e">
        <f ca="1"/>
        <v>#REF!</v>
      </c>
      <c r="N1770" s="25" t="e">
        <f ca="1"/>
        <v>#REF!</v>
      </c>
      <c r="O1770" s="25" t="e">
        <f ca="1"/>
        <v>#REF!</v>
      </c>
      <c r="P1770" s="25" t="e">
        <f ca="1"/>
        <v>#REF!</v>
      </c>
      <c r="Q1770" s="25" t="e">
        <f ca="1"/>
        <v>#REF!</v>
      </c>
      <c r="R1770" s="25" t="e">
        <f ca="1"/>
        <v>#REF!</v>
      </c>
      <c r="S1770" s="25" t="e">
        <f ca="1"/>
        <v>#REF!</v>
      </c>
      <c r="T1770" s="25" t="e">
        <f ca="1"/>
        <v>#REF!</v>
      </c>
      <c r="U1770" s="25" t="e">
        <f ca="1"/>
        <v>#REF!</v>
      </c>
      <c r="V1770" s="25" t="e">
        <f ca="1"/>
        <v>#REF!</v>
      </c>
      <c r="W1770" s="33" t="e">
        <f ca="1"/>
        <v>#REF!</v>
      </c>
      <c r="X1770" s="33" t="e">
        <f ca="1"/>
        <v>#REF!</v>
      </c>
      <c r="Y1770" s="33" t="e">
        <f ca="1"/>
        <v>#REF!</v>
      </c>
      <c r="Z1770" s="33" t="e">
        <f ca="1"/>
        <v>#REF!</v>
      </c>
      <c r="AA1770" s="33" t="e">
        <f ca="1"/>
        <v>#REF!</v>
      </c>
    </row>
    <row r="1771" spans="1:27" s="70" customFormat="1" ht="11.25" x14ac:dyDescent="0.2">
      <c r="A1771" s="24">
        <v>1765</v>
      </c>
      <c r="B1771" s="24"/>
      <c r="C1771" s="25"/>
      <c r="D1771" s="26"/>
      <c r="E1771" s="25"/>
      <c r="F1771" s="25"/>
      <c r="G1771" s="24"/>
      <c r="H1771" s="25" t="e">
        <f ca="1"/>
        <v>#REF!</v>
      </c>
      <c r="I1771" s="27" t="e">
        <f ca="1"/>
        <v>#REF!</v>
      </c>
      <c r="J1771" s="28" t="e">
        <f ca="1"/>
        <v>#REF!</v>
      </c>
      <c r="K1771" s="27" t="e">
        <f ca="1"/>
        <v>#REF!</v>
      </c>
      <c r="L1771" s="25" t="e">
        <f ca="1"/>
        <v>#REF!</v>
      </c>
      <c r="M1771" s="25" t="e">
        <f ca="1"/>
        <v>#REF!</v>
      </c>
      <c r="N1771" s="25" t="e">
        <f ca="1"/>
        <v>#REF!</v>
      </c>
      <c r="O1771" s="25" t="e">
        <f ca="1"/>
        <v>#REF!</v>
      </c>
      <c r="P1771" s="25" t="e">
        <f ca="1"/>
        <v>#REF!</v>
      </c>
      <c r="Q1771" s="25" t="e">
        <f ca="1"/>
        <v>#REF!</v>
      </c>
      <c r="R1771" s="25" t="e">
        <f ca="1"/>
        <v>#REF!</v>
      </c>
      <c r="S1771" s="25" t="e">
        <f ca="1"/>
        <v>#REF!</v>
      </c>
      <c r="T1771" s="25" t="e">
        <f ca="1"/>
        <v>#REF!</v>
      </c>
      <c r="U1771" s="25" t="e">
        <f ca="1"/>
        <v>#REF!</v>
      </c>
      <c r="V1771" s="25" t="e">
        <f ca="1"/>
        <v>#REF!</v>
      </c>
      <c r="W1771" s="33" t="e">
        <f ca="1"/>
        <v>#REF!</v>
      </c>
      <c r="X1771" s="33" t="e">
        <f ca="1"/>
        <v>#REF!</v>
      </c>
      <c r="Y1771" s="33" t="e">
        <f ca="1"/>
        <v>#REF!</v>
      </c>
      <c r="Z1771" s="33" t="e">
        <f ca="1"/>
        <v>#REF!</v>
      </c>
      <c r="AA1771" s="33" t="e">
        <f ca="1"/>
        <v>#REF!</v>
      </c>
    </row>
    <row r="1772" spans="1:27" s="70" customFormat="1" ht="11.25" x14ac:dyDescent="0.2">
      <c r="A1772" s="24">
        <v>1766</v>
      </c>
      <c r="B1772" s="24"/>
      <c r="C1772" s="25"/>
      <c r="D1772" s="26"/>
      <c r="E1772" s="25"/>
      <c r="F1772" s="25"/>
      <c r="G1772" s="24"/>
      <c r="H1772" s="25" t="e">
        <f ca="1"/>
        <v>#REF!</v>
      </c>
      <c r="I1772" s="27" t="e">
        <f ca="1"/>
        <v>#REF!</v>
      </c>
      <c r="J1772" s="28" t="e">
        <f ca="1"/>
        <v>#REF!</v>
      </c>
      <c r="K1772" s="27" t="e">
        <f ca="1"/>
        <v>#REF!</v>
      </c>
      <c r="L1772" s="25" t="e">
        <f ca="1"/>
        <v>#REF!</v>
      </c>
      <c r="M1772" s="25" t="e">
        <f ca="1"/>
        <v>#REF!</v>
      </c>
      <c r="N1772" s="25" t="e">
        <f ca="1"/>
        <v>#REF!</v>
      </c>
      <c r="O1772" s="25" t="e">
        <f ca="1"/>
        <v>#REF!</v>
      </c>
      <c r="P1772" s="25" t="e">
        <f ca="1"/>
        <v>#REF!</v>
      </c>
      <c r="Q1772" s="25" t="e">
        <f ca="1"/>
        <v>#REF!</v>
      </c>
      <c r="R1772" s="25" t="e">
        <f ca="1"/>
        <v>#REF!</v>
      </c>
      <c r="S1772" s="25" t="e">
        <f ca="1"/>
        <v>#REF!</v>
      </c>
      <c r="T1772" s="25" t="e">
        <f ca="1"/>
        <v>#REF!</v>
      </c>
      <c r="U1772" s="25" t="e">
        <f ca="1"/>
        <v>#REF!</v>
      </c>
      <c r="V1772" s="25" t="e">
        <f ca="1"/>
        <v>#REF!</v>
      </c>
      <c r="W1772" s="33" t="e">
        <f ca="1"/>
        <v>#REF!</v>
      </c>
      <c r="X1772" s="33" t="e">
        <f ca="1"/>
        <v>#REF!</v>
      </c>
      <c r="Y1772" s="33" t="e">
        <f ca="1"/>
        <v>#REF!</v>
      </c>
      <c r="Z1772" s="33" t="e">
        <f ca="1"/>
        <v>#REF!</v>
      </c>
      <c r="AA1772" s="33" t="e">
        <f ca="1"/>
        <v>#REF!</v>
      </c>
    </row>
    <row r="1773" spans="1:27" s="70" customFormat="1" ht="11.25" x14ac:dyDescent="0.2">
      <c r="A1773" s="24">
        <v>1767</v>
      </c>
      <c r="B1773" s="24"/>
      <c r="C1773" s="25"/>
      <c r="D1773" s="26"/>
      <c r="E1773" s="25"/>
      <c r="F1773" s="25"/>
      <c r="G1773" s="24"/>
      <c r="H1773" s="25" t="e">
        <f ca="1"/>
        <v>#REF!</v>
      </c>
      <c r="I1773" s="27" t="e">
        <f ca="1"/>
        <v>#REF!</v>
      </c>
      <c r="J1773" s="28" t="e">
        <f ca="1"/>
        <v>#REF!</v>
      </c>
      <c r="K1773" s="27" t="e">
        <f ca="1"/>
        <v>#REF!</v>
      </c>
      <c r="L1773" s="25" t="e">
        <f ca="1"/>
        <v>#REF!</v>
      </c>
      <c r="M1773" s="25" t="e">
        <f ca="1"/>
        <v>#REF!</v>
      </c>
      <c r="N1773" s="25" t="e">
        <f ca="1"/>
        <v>#REF!</v>
      </c>
      <c r="O1773" s="25" t="e">
        <f ca="1"/>
        <v>#REF!</v>
      </c>
      <c r="P1773" s="25" t="e">
        <f ca="1"/>
        <v>#REF!</v>
      </c>
      <c r="Q1773" s="25" t="e">
        <f ca="1"/>
        <v>#REF!</v>
      </c>
      <c r="R1773" s="25" t="e">
        <f ca="1"/>
        <v>#REF!</v>
      </c>
      <c r="S1773" s="25" t="e">
        <f ca="1"/>
        <v>#REF!</v>
      </c>
      <c r="T1773" s="25" t="e">
        <f ca="1"/>
        <v>#REF!</v>
      </c>
      <c r="U1773" s="25" t="e">
        <f ca="1"/>
        <v>#REF!</v>
      </c>
      <c r="V1773" s="25" t="e">
        <f ca="1"/>
        <v>#REF!</v>
      </c>
      <c r="W1773" s="33" t="e">
        <f ca="1"/>
        <v>#REF!</v>
      </c>
      <c r="X1773" s="33" t="e">
        <f ca="1"/>
        <v>#REF!</v>
      </c>
      <c r="Y1773" s="33" t="e">
        <f ca="1"/>
        <v>#REF!</v>
      </c>
      <c r="Z1773" s="33" t="e">
        <f ca="1"/>
        <v>#REF!</v>
      </c>
      <c r="AA1773" s="33" t="e">
        <f ca="1"/>
        <v>#REF!</v>
      </c>
    </row>
    <row r="1774" spans="1:27" s="70" customFormat="1" ht="11.25" x14ac:dyDescent="0.2">
      <c r="A1774" s="24">
        <v>1768</v>
      </c>
      <c r="B1774" s="24"/>
      <c r="C1774" s="25"/>
      <c r="D1774" s="26"/>
      <c r="E1774" s="25"/>
      <c r="F1774" s="25"/>
      <c r="G1774" s="24"/>
      <c r="H1774" s="25" t="e">
        <f ca="1"/>
        <v>#REF!</v>
      </c>
      <c r="I1774" s="27" t="e">
        <f ca="1"/>
        <v>#REF!</v>
      </c>
      <c r="J1774" s="28" t="e">
        <f ca="1"/>
        <v>#REF!</v>
      </c>
      <c r="K1774" s="27" t="e">
        <f ca="1"/>
        <v>#REF!</v>
      </c>
      <c r="L1774" s="25" t="e">
        <f ca="1"/>
        <v>#REF!</v>
      </c>
      <c r="M1774" s="25" t="e">
        <f ca="1"/>
        <v>#REF!</v>
      </c>
      <c r="N1774" s="25" t="e">
        <f ca="1"/>
        <v>#REF!</v>
      </c>
      <c r="O1774" s="25" t="e">
        <f ca="1"/>
        <v>#REF!</v>
      </c>
      <c r="P1774" s="25" t="e">
        <f ca="1"/>
        <v>#REF!</v>
      </c>
      <c r="Q1774" s="25" t="e">
        <f ca="1"/>
        <v>#REF!</v>
      </c>
      <c r="R1774" s="25" t="e">
        <f ca="1"/>
        <v>#REF!</v>
      </c>
      <c r="S1774" s="25" t="e">
        <f ca="1"/>
        <v>#REF!</v>
      </c>
      <c r="T1774" s="25" t="e">
        <f ca="1"/>
        <v>#REF!</v>
      </c>
      <c r="U1774" s="25" t="e">
        <f ca="1"/>
        <v>#REF!</v>
      </c>
      <c r="V1774" s="25" t="e">
        <f ca="1"/>
        <v>#REF!</v>
      </c>
      <c r="W1774" s="33" t="e">
        <f ca="1"/>
        <v>#REF!</v>
      </c>
      <c r="X1774" s="33" t="e">
        <f ca="1"/>
        <v>#REF!</v>
      </c>
      <c r="Y1774" s="33" t="e">
        <f ca="1"/>
        <v>#REF!</v>
      </c>
      <c r="Z1774" s="33" t="e">
        <f ca="1"/>
        <v>#REF!</v>
      </c>
      <c r="AA1774" s="33" t="e">
        <f ca="1"/>
        <v>#REF!</v>
      </c>
    </row>
    <row r="1775" spans="1:27" s="70" customFormat="1" ht="11.25" x14ac:dyDescent="0.2">
      <c r="A1775" s="24">
        <v>1769</v>
      </c>
      <c r="B1775" s="24"/>
      <c r="C1775" s="25"/>
      <c r="D1775" s="26"/>
      <c r="E1775" s="25"/>
      <c r="F1775" s="25"/>
      <c r="G1775" s="24"/>
      <c r="H1775" s="25" t="e">
        <f ca="1"/>
        <v>#REF!</v>
      </c>
      <c r="I1775" s="27" t="e">
        <f ca="1"/>
        <v>#REF!</v>
      </c>
      <c r="J1775" s="28" t="e">
        <f ca="1"/>
        <v>#REF!</v>
      </c>
      <c r="K1775" s="27" t="e">
        <f ca="1"/>
        <v>#REF!</v>
      </c>
      <c r="L1775" s="25" t="e">
        <f ca="1"/>
        <v>#REF!</v>
      </c>
      <c r="M1775" s="25" t="e">
        <f ca="1"/>
        <v>#REF!</v>
      </c>
      <c r="N1775" s="25" t="e">
        <f ca="1"/>
        <v>#REF!</v>
      </c>
      <c r="O1775" s="25" t="e">
        <f ca="1"/>
        <v>#REF!</v>
      </c>
      <c r="P1775" s="25" t="e">
        <f ca="1"/>
        <v>#REF!</v>
      </c>
      <c r="Q1775" s="25" t="e">
        <f ca="1"/>
        <v>#REF!</v>
      </c>
      <c r="R1775" s="25" t="e">
        <f ca="1"/>
        <v>#REF!</v>
      </c>
      <c r="S1775" s="25" t="e">
        <f ca="1"/>
        <v>#REF!</v>
      </c>
      <c r="T1775" s="25" t="e">
        <f ca="1"/>
        <v>#REF!</v>
      </c>
      <c r="U1775" s="25" t="e">
        <f ca="1"/>
        <v>#REF!</v>
      </c>
      <c r="V1775" s="25" t="e">
        <f ca="1"/>
        <v>#REF!</v>
      </c>
      <c r="W1775" s="33" t="e">
        <f ca="1"/>
        <v>#REF!</v>
      </c>
      <c r="X1775" s="33" t="e">
        <f ca="1"/>
        <v>#REF!</v>
      </c>
      <c r="Y1775" s="33" t="e">
        <f ca="1"/>
        <v>#REF!</v>
      </c>
      <c r="Z1775" s="33" t="e">
        <f ca="1"/>
        <v>#REF!</v>
      </c>
      <c r="AA1775" s="33" t="e">
        <f ca="1"/>
        <v>#REF!</v>
      </c>
    </row>
    <row r="1776" spans="1:27" s="70" customFormat="1" ht="11.25" x14ac:dyDescent="0.2">
      <c r="A1776" s="24">
        <v>1770</v>
      </c>
      <c r="B1776" s="24"/>
      <c r="C1776" s="25"/>
      <c r="D1776" s="26"/>
      <c r="E1776" s="25"/>
      <c r="F1776" s="25"/>
      <c r="G1776" s="24"/>
      <c r="H1776" s="25" t="e">
        <f ca="1"/>
        <v>#REF!</v>
      </c>
      <c r="I1776" s="27" t="e">
        <f ca="1"/>
        <v>#REF!</v>
      </c>
      <c r="J1776" s="28" t="e">
        <f ca="1"/>
        <v>#REF!</v>
      </c>
      <c r="K1776" s="27" t="e">
        <f ca="1"/>
        <v>#REF!</v>
      </c>
      <c r="L1776" s="25" t="e">
        <f ca="1"/>
        <v>#REF!</v>
      </c>
      <c r="M1776" s="25" t="e">
        <f ca="1"/>
        <v>#REF!</v>
      </c>
      <c r="N1776" s="25" t="e">
        <f ca="1"/>
        <v>#REF!</v>
      </c>
      <c r="O1776" s="25" t="e">
        <f ca="1"/>
        <v>#REF!</v>
      </c>
      <c r="P1776" s="25" t="e">
        <f ca="1"/>
        <v>#REF!</v>
      </c>
      <c r="Q1776" s="25" t="e">
        <f ca="1"/>
        <v>#REF!</v>
      </c>
      <c r="R1776" s="25" t="e">
        <f ca="1"/>
        <v>#REF!</v>
      </c>
      <c r="S1776" s="25" t="e">
        <f ca="1"/>
        <v>#REF!</v>
      </c>
      <c r="T1776" s="25" t="e">
        <f ca="1"/>
        <v>#REF!</v>
      </c>
      <c r="U1776" s="25" t="e">
        <f ca="1"/>
        <v>#REF!</v>
      </c>
      <c r="V1776" s="25" t="e">
        <f ca="1"/>
        <v>#REF!</v>
      </c>
      <c r="W1776" s="33" t="e">
        <f ca="1"/>
        <v>#REF!</v>
      </c>
      <c r="X1776" s="33" t="e">
        <f ca="1"/>
        <v>#REF!</v>
      </c>
      <c r="Y1776" s="33" t="e">
        <f ca="1"/>
        <v>#REF!</v>
      </c>
      <c r="Z1776" s="33" t="e">
        <f ca="1"/>
        <v>#REF!</v>
      </c>
      <c r="AA1776" s="33" t="e">
        <f ca="1"/>
        <v>#REF!</v>
      </c>
    </row>
    <row r="1777" spans="1:27" s="70" customFormat="1" ht="11.25" x14ac:dyDescent="0.2">
      <c r="A1777" s="24">
        <v>1771</v>
      </c>
      <c r="B1777" s="24"/>
      <c r="C1777" s="25"/>
      <c r="D1777" s="26"/>
      <c r="E1777" s="25"/>
      <c r="F1777" s="25"/>
      <c r="G1777" s="24"/>
      <c r="H1777" s="25" t="e">
        <f ca="1"/>
        <v>#REF!</v>
      </c>
      <c r="I1777" s="27" t="e">
        <f ca="1"/>
        <v>#REF!</v>
      </c>
      <c r="J1777" s="28" t="e">
        <f ca="1"/>
        <v>#REF!</v>
      </c>
      <c r="K1777" s="27" t="e">
        <f ca="1"/>
        <v>#REF!</v>
      </c>
      <c r="L1777" s="25" t="e">
        <f ca="1"/>
        <v>#REF!</v>
      </c>
      <c r="M1777" s="25" t="e">
        <f ca="1"/>
        <v>#REF!</v>
      </c>
      <c r="N1777" s="25" t="e">
        <f ca="1"/>
        <v>#REF!</v>
      </c>
      <c r="O1777" s="25" t="e">
        <f ca="1"/>
        <v>#REF!</v>
      </c>
      <c r="P1777" s="25" t="e">
        <f ca="1"/>
        <v>#REF!</v>
      </c>
      <c r="Q1777" s="25" t="e">
        <f ca="1"/>
        <v>#REF!</v>
      </c>
      <c r="R1777" s="25" t="e">
        <f ca="1"/>
        <v>#REF!</v>
      </c>
      <c r="S1777" s="25" t="e">
        <f ca="1"/>
        <v>#REF!</v>
      </c>
      <c r="T1777" s="25" t="e">
        <f ca="1"/>
        <v>#REF!</v>
      </c>
      <c r="U1777" s="25" t="e">
        <f ca="1"/>
        <v>#REF!</v>
      </c>
      <c r="V1777" s="25" t="e">
        <f ca="1"/>
        <v>#REF!</v>
      </c>
      <c r="W1777" s="33" t="e">
        <f ca="1"/>
        <v>#REF!</v>
      </c>
      <c r="X1777" s="33" t="e">
        <f ca="1"/>
        <v>#REF!</v>
      </c>
      <c r="Y1777" s="33" t="e">
        <f ca="1"/>
        <v>#REF!</v>
      </c>
      <c r="Z1777" s="33" t="e">
        <f ca="1"/>
        <v>#REF!</v>
      </c>
      <c r="AA1777" s="33" t="e">
        <f ca="1"/>
        <v>#REF!</v>
      </c>
    </row>
    <row r="1778" spans="1:27" s="70" customFormat="1" ht="11.25" x14ac:dyDescent="0.2">
      <c r="A1778" s="24">
        <v>1772</v>
      </c>
      <c r="B1778" s="24"/>
      <c r="C1778" s="25"/>
      <c r="D1778" s="26"/>
      <c r="E1778" s="25"/>
      <c r="F1778" s="25"/>
      <c r="G1778" s="24"/>
      <c r="H1778" s="25" t="e">
        <f ca="1"/>
        <v>#REF!</v>
      </c>
      <c r="I1778" s="27" t="e">
        <f ca="1"/>
        <v>#REF!</v>
      </c>
      <c r="J1778" s="28" t="e">
        <f ca="1"/>
        <v>#REF!</v>
      </c>
      <c r="K1778" s="27" t="e">
        <f ca="1"/>
        <v>#REF!</v>
      </c>
      <c r="L1778" s="25" t="e">
        <f ca="1"/>
        <v>#REF!</v>
      </c>
      <c r="M1778" s="25" t="e">
        <f ca="1"/>
        <v>#REF!</v>
      </c>
      <c r="N1778" s="25" t="e">
        <f ca="1"/>
        <v>#REF!</v>
      </c>
      <c r="O1778" s="25" t="e">
        <f ca="1"/>
        <v>#REF!</v>
      </c>
      <c r="P1778" s="25" t="e">
        <f ca="1"/>
        <v>#REF!</v>
      </c>
      <c r="Q1778" s="25" t="e">
        <f ca="1"/>
        <v>#REF!</v>
      </c>
      <c r="R1778" s="25" t="e">
        <f ca="1"/>
        <v>#REF!</v>
      </c>
      <c r="S1778" s="25" t="e">
        <f ca="1"/>
        <v>#REF!</v>
      </c>
      <c r="T1778" s="25" t="e">
        <f ca="1"/>
        <v>#REF!</v>
      </c>
      <c r="U1778" s="25" t="e">
        <f ca="1"/>
        <v>#REF!</v>
      </c>
      <c r="V1778" s="25" t="e">
        <f ca="1"/>
        <v>#REF!</v>
      </c>
      <c r="W1778" s="33" t="e">
        <f ca="1"/>
        <v>#REF!</v>
      </c>
      <c r="X1778" s="33" t="e">
        <f ca="1"/>
        <v>#REF!</v>
      </c>
      <c r="Y1778" s="33" t="e">
        <f ca="1"/>
        <v>#REF!</v>
      </c>
      <c r="Z1778" s="33" t="e">
        <f ca="1"/>
        <v>#REF!</v>
      </c>
      <c r="AA1778" s="33" t="e">
        <f ca="1"/>
        <v>#REF!</v>
      </c>
    </row>
    <row r="1779" spans="1:27" s="70" customFormat="1" ht="11.25" x14ac:dyDescent="0.2">
      <c r="A1779" s="24">
        <v>1773</v>
      </c>
      <c r="B1779" s="24"/>
      <c r="C1779" s="25"/>
      <c r="D1779" s="26"/>
      <c r="E1779" s="25"/>
      <c r="F1779" s="25"/>
      <c r="G1779" s="24"/>
      <c r="H1779" s="25" t="e">
        <f ca="1"/>
        <v>#REF!</v>
      </c>
      <c r="I1779" s="27" t="e">
        <f ca="1"/>
        <v>#REF!</v>
      </c>
      <c r="J1779" s="25" t="e">
        <f ca="1"/>
        <v>#REF!</v>
      </c>
      <c r="K1779" s="27" t="e">
        <f ca="1"/>
        <v>#REF!</v>
      </c>
      <c r="L1779" s="25" t="e">
        <f ca="1"/>
        <v>#REF!</v>
      </c>
      <c r="M1779" s="25" t="e">
        <f ca="1"/>
        <v>#REF!</v>
      </c>
      <c r="N1779" s="25" t="e">
        <f ca="1"/>
        <v>#REF!</v>
      </c>
      <c r="O1779" s="25" t="e">
        <f ca="1"/>
        <v>#REF!</v>
      </c>
      <c r="P1779" s="25" t="e">
        <f ca="1"/>
        <v>#REF!</v>
      </c>
      <c r="Q1779" s="25" t="e">
        <f ca="1"/>
        <v>#REF!</v>
      </c>
      <c r="R1779" s="25" t="e">
        <f ca="1"/>
        <v>#REF!</v>
      </c>
      <c r="S1779" s="25" t="e">
        <f ca="1"/>
        <v>#REF!</v>
      </c>
      <c r="T1779" s="25" t="e">
        <f ca="1"/>
        <v>#REF!</v>
      </c>
      <c r="U1779" s="25" t="e">
        <f ca="1"/>
        <v>#REF!</v>
      </c>
      <c r="V1779" s="25" t="e">
        <f ca="1"/>
        <v>#REF!</v>
      </c>
      <c r="W1779" s="33" t="e">
        <f ca="1"/>
        <v>#REF!</v>
      </c>
      <c r="X1779" s="33" t="e">
        <f ca="1"/>
        <v>#REF!</v>
      </c>
      <c r="Y1779" s="33" t="e">
        <f ca="1"/>
        <v>#REF!</v>
      </c>
      <c r="Z1779" s="33" t="e">
        <f ca="1"/>
        <v>#REF!</v>
      </c>
      <c r="AA1779" s="33" t="e">
        <f ca="1"/>
        <v>#REF!</v>
      </c>
    </row>
    <row r="1780" spans="1:27" s="70" customFormat="1" ht="11.25" x14ac:dyDescent="0.2">
      <c r="A1780" s="24">
        <v>1774</v>
      </c>
      <c r="B1780" s="24"/>
      <c r="C1780" s="25"/>
      <c r="D1780" s="26"/>
      <c r="E1780" s="25"/>
      <c r="F1780" s="25"/>
      <c r="G1780" s="24"/>
      <c r="H1780" s="25" t="e">
        <f ca="1"/>
        <v>#REF!</v>
      </c>
      <c r="I1780" s="27" t="e">
        <f ca="1"/>
        <v>#REF!</v>
      </c>
      <c r="J1780" s="25" t="e">
        <f ca="1"/>
        <v>#REF!</v>
      </c>
      <c r="K1780" s="27" t="e">
        <f ca="1"/>
        <v>#REF!</v>
      </c>
      <c r="L1780" s="25" t="e">
        <f ca="1"/>
        <v>#REF!</v>
      </c>
      <c r="M1780" s="25" t="e">
        <f ca="1"/>
        <v>#REF!</v>
      </c>
      <c r="N1780" s="25" t="e">
        <f ca="1"/>
        <v>#REF!</v>
      </c>
      <c r="O1780" s="25" t="e">
        <f ca="1"/>
        <v>#REF!</v>
      </c>
      <c r="P1780" s="25" t="e">
        <f ca="1"/>
        <v>#REF!</v>
      </c>
      <c r="Q1780" s="25" t="e">
        <f ca="1"/>
        <v>#REF!</v>
      </c>
      <c r="R1780" s="25" t="e">
        <f ca="1"/>
        <v>#REF!</v>
      </c>
      <c r="S1780" s="25" t="e">
        <f ca="1"/>
        <v>#REF!</v>
      </c>
      <c r="T1780" s="25" t="e">
        <f ca="1"/>
        <v>#REF!</v>
      </c>
      <c r="U1780" s="25" t="e">
        <f ca="1"/>
        <v>#REF!</v>
      </c>
      <c r="V1780" s="25" t="e">
        <f ca="1"/>
        <v>#REF!</v>
      </c>
      <c r="W1780" s="33" t="e">
        <f ca="1"/>
        <v>#REF!</v>
      </c>
      <c r="X1780" s="33" t="e">
        <f ca="1"/>
        <v>#REF!</v>
      </c>
      <c r="Y1780" s="33" t="e">
        <f ca="1"/>
        <v>#REF!</v>
      </c>
      <c r="Z1780" s="33" t="e">
        <f ca="1"/>
        <v>#REF!</v>
      </c>
      <c r="AA1780" s="33" t="e">
        <f ca="1"/>
        <v>#REF!</v>
      </c>
    </row>
    <row r="1781" spans="1:27" s="70" customFormat="1" ht="11.25" x14ac:dyDescent="0.2">
      <c r="A1781" s="24">
        <v>1775</v>
      </c>
      <c r="B1781" s="24"/>
      <c r="C1781" s="25"/>
      <c r="D1781" s="26"/>
      <c r="E1781" s="25"/>
      <c r="F1781" s="25"/>
      <c r="G1781" s="24"/>
      <c r="H1781" s="25" t="e">
        <f ca="1"/>
        <v>#REF!</v>
      </c>
      <c r="I1781" s="27" t="e">
        <f ca="1"/>
        <v>#REF!</v>
      </c>
      <c r="J1781" s="25" t="e">
        <f ca="1"/>
        <v>#REF!</v>
      </c>
      <c r="K1781" s="27" t="e">
        <f ca="1"/>
        <v>#REF!</v>
      </c>
      <c r="L1781" s="25" t="e">
        <f ca="1"/>
        <v>#REF!</v>
      </c>
      <c r="M1781" s="25" t="e">
        <f ca="1"/>
        <v>#REF!</v>
      </c>
      <c r="N1781" s="25" t="e">
        <f ca="1"/>
        <v>#REF!</v>
      </c>
      <c r="O1781" s="25" t="e">
        <f ca="1"/>
        <v>#REF!</v>
      </c>
      <c r="P1781" s="25" t="e">
        <f ca="1"/>
        <v>#REF!</v>
      </c>
      <c r="Q1781" s="25" t="e">
        <f ca="1"/>
        <v>#REF!</v>
      </c>
      <c r="R1781" s="25" t="e">
        <f ca="1"/>
        <v>#REF!</v>
      </c>
      <c r="S1781" s="25" t="e">
        <f ca="1"/>
        <v>#REF!</v>
      </c>
      <c r="T1781" s="25" t="e">
        <f ca="1"/>
        <v>#REF!</v>
      </c>
      <c r="U1781" s="25" t="e">
        <f ca="1"/>
        <v>#REF!</v>
      </c>
      <c r="V1781" s="25" t="e">
        <f ca="1"/>
        <v>#REF!</v>
      </c>
      <c r="W1781" s="33" t="e">
        <f ca="1"/>
        <v>#REF!</v>
      </c>
      <c r="X1781" s="33" t="e">
        <f ca="1"/>
        <v>#REF!</v>
      </c>
      <c r="Y1781" s="33" t="e">
        <f ca="1"/>
        <v>#REF!</v>
      </c>
      <c r="Z1781" s="33" t="e">
        <f ca="1"/>
        <v>#REF!</v>
      </c>
      <c r="AA1781" s="33" t="e">
        <f ca="1"/>
        <v>#REF!</v>
      </c>
    </row>
    <row r="1782" spans="1:27" s="70" customFormat="1" ht="11.25" x14ac:dyDescent="0.2">
      <c r="A1782" s="24">
        <v>1776</v>
      </c>
      <c r="B1782" s="24"/>
      <c r="C1782" s="25"/>
      <c r="D1782" s="26"/>
      <c r="E1782" s="25"/>
      <c r="F1782" s="25"/>
      <c r="G1782" s="24"/>
      <c r="H1782" s="25" t="e">
        <f ca="1"/>
        <v>#REF!</v>
      </c>
      <c r="I1782" s="27" t="e">
        <f ca="1"/>
        <v>#REF!</v>
      </c>
      <c r="J1782" s="25" t="e">
        <f ca="1"/>
        <v>#REF!</v>
      </c>
      <c r="K1782" s="27" t="e">
        <f ca="1"/>
        <v>#REF!</v>
      </c>
      <c r="L1782" s="25" t="e">
        <f ca="1"/>
        <v>#REF!</v>
      </c>
      <c r="M1782" s="25" t="e">
        <f ca="1"/>
        <v>#REF!</v>
      </c>
      <c r="N1782" s="25" t="e">
        <f ca="1"/>
        <v>#REF!</v>
      </c>
      <c r="O1782" s="25" t="e">
        <f ca="1"/>
        <v>#REF!</v>
      </c>
      <c r="P1782" s="25" t="e">
        <f ca="1"/>
        <v>#REF!</v>
      </c>
      <c r="Q1782" s="25" t="e">
        <f ca="1"/>
        <v>#REF!</v>
      </c>
      <c r="R1782" s="25" t="e">
        <f ca="1"/>
        <v>#REF!</v>
      </c>
      <c r="S1782" s="25" t="e">
        <f ca="1"/>
        <v>#REF!</v>
      </c>
      <c r="T1782" s="25" t="e">
        <f ca="1"/>
        <v>#REF!</v>
      </c>
      <c r="U1782" s="25" t="e">
        <f ca="1"/>
        <v>#REF!</v>
      </c>
      <c r="V1782" s="25" t="e">
        <f ca="1"/>
        <v>#REF!</v>
      </c>
      <c r="W1782" s="33" t="e">
        <f ca="1"/>
        <v>#REF!</v>
      </c>
      <c r="X1782" s="33" t="e">
        <f ca="1"/>
        <v>#REF!</v>
      </c>
      <c r="Y1782" s="33" t="e">
        <f ca="1"/>
        <v>#REF!</v>
      </c>
      <c r="Z1782" s="33" t="e">
        <f ca="1"/>
        <v>#REF!</v>
      </c>
      <c r="AA1782" s="33" t="e">
        <f ca="1"/>
        <v>#REF!</v>
      </c>
    </row>
    <row r="1783" spans="1:27" s="70" customFormat="1" ht="11.25" x14ac:dyDescent="0.2">
      <c r="A1783" s="24">
        <v>1777</v>
      </c>
      <c r="B1783" s="24"/>
      <c r="C1783" s="25"/>
      <c r="D1783" s="26"/>
      <c r="E1783" s="25"/>
      <c r="F1783" s="25"/>
      <c r="G1783" s="24"/>
      <c r="H1783" s="25" t="e">
        <f ca="1"/>
        <v>#REF!</v>
      </c>
      <c r="I1783" s="27" t="e">
        <f ca="1"/>
        <v>#REF!</v>
      </c>
      <c r="J1783" s="25" t="e">
        <f ca="1"/>
        <v>#REF!</v>
      </c>
      <c r="K1783" s="27" t="e">
        <f ca="1"/>
        <v>#REF!</v>
      </c>
      <c r="L1783" s="25" t="e">
        <f ca="1"/>
        <v>#REF!</v>
      </c>
      <c r="M1783" s="25" t="e">
        <f ca="1"/>
        <v>#REF!</v>
      </c>
      <c r="N1783" s="25" t="e">
        <f ca="1"/>
        <v>#REF!</v>
      </c>
      <c r="O1783" s="25" t="e">
        <f ca="1"/>
        <v>#REF!</v>
      </c>
      <c r="P1783" s="25" t="e">
        <f ca="1"/>
        <v>#REF!</v>
      </c>
      <c r="Q1783" s="25" t="e">
        <f ca="1"/>
        <v>#REF!</v>
      </c>
      <c r="R1783" s="25" t="e">
        <f ca="1"/>
        <v>#REF!</v>
      </c>
      <c r="S1783" s="25" t="e">
        <f ca="1"/>
        <v>#REF!</v>
      </c>
      <c r="T1783" s="25" t="e">
        <f ca="1"/>
        <v>#REF!</v>
      </c>
      <c r="U1783" s="25" t="e">
        <f ca="1"/>
        <v>#REF!</v>
      </c>
      <c r="V1783" s="25" t="e">
        <f ca="1"/>
        <v>#REF!</v>
      </c>
      <c r="W1783" s="33" t="e">
        <f ca="1"/>
        <v>#REF!</v>
      </c>
      <c r="X1783" s="33" t="e">
        <f ca="1"/>
        <v>#REF!</v>
      </c>
      <c r="Y1783" s="33" t="e">
        <f ca="1"/>
        <v>#REF!</v>
      </c>
      <c r="Z1783" s="33" t="e">
        <f ca="1"/>
        <v>#REF!</v>
      </c>
      <c r="AA1783" s="33" t="e">
        <f ca="1"/>
        <v>#REF!</v>
      </c>
    </row>
    <row r="1784" spans="1:27" s="70" customFormat="1" ht="11.25" x14ac:dyDescent="0.2">
      <c r="A1784" s="24">
        <v>1778</v>
      </c>
      <c r="B1784" s="24"/>
      <c r="C1784" s="25"/>
      <c r="D1784" s="26"/>
      <c r="E1784" s="25"/>
      <c r="F1784" s="25"/>
      <c r="G1784" s="24"/>
      <c r="H1784" s="25" t="e">
        <f ca="1"/>
        <v>#REF!</v>
      </c>
      <c r="I1784" s="27" t="e">
        <f ca="1"/>
        <v>#REF!</v>
      </c>
      <c r="J1784" s="25" t="e">
        <f ca="1"/>
        <v>#REF!</v>
      </c>
      <c r="K1784" s="27" t="e">
        <f ca="1"/>
        <v>#REF!</v>
      </c>
      <c r="L1784" s="25" t="e">
        <f ca="1"/>
        <v>#REF!</v>
      </c>
      <c r="M1784" s="25" t="e">
        <f ca="1"/>
        <v>#REF!</v>
      </c>
      <c r="N1784" s="25" t="e">
        <f ca="1"/>
        <v>#REF!</v>
      </c>
      <c r="O1784" s="25" t="e">
        <f ca="1"/>
        <v>#REF!</v>
      </c>
      <c r="P1784" s="25" t="e">
        <f ca="1"/>
        <v>#REF!</v>
      </c>
      <c r="Q1784" s="25" t="e">
        <f ca="1"/>
        <v>#REF!</v>
      </c>
      <c r="R1784" s="25" t="e">
        <f ca="1"/>
        <v>#REF!</v>
      </c>
      <c r="S1784" s="25" t="e">
        <f ca="1"/>
        <v>#REF!</v>
      </c>
      <c r="T1784" s="25" t="e">
        <f ca="1"/>
        <v>#REF!</v>
      </c>
      <c r="U1784" s="25" t="e">
        <f ca="1"/>
        <v>#REF!</v>
      </c>
      <c r="V1784" s="25" t="e">
        <f ca="1"/>
        <v>#REF!</v>
      </c>
      <c r="W1784" s="33" t="e">
        <f ca="1"/>
        <v>#REF!</v>
      </c>
      <c r="X1784" s="33" t="e">
        <f ca="1"/>
        <v>#REF!</v>
      </c>
      <c r="Y1784" s="33" t="e">
        <f ca="1"/>
        <v>#REF!</v>
      </c>
      <c r="Z1784" s="33" t="e">
        <f ca="1"/>
        <v>#REF!</v>
      </c>
      <c r="AA1784" s="33" t="e">
        <f ca="1"/>
        <v>#REF!</v>
      </c>
    </row>
    <row r="1785" spans="1:27" s="70" customFormat="1" ht="11.25" x14ac:dyDescent="0.2">
      <c r="A1785" s="24">
        <v>1779</v>
      </c>
      <c r="B1785" s="24"/>
      <c r="C1785" s="25"/>
      <c r="D1785" s="26"/>
      <c r="E1785" s="25"/>
      <c r="F1785" s="25"/>
      <c r="G1785" s="24"/>
      <c r="H1785" s="25" t="e">
        <f ca="1"/>
        <v>#REF!</v>
      </c>
      <c r="I1785" s="27" t="e">
        <f ca="1"/>
        <v>#REF!</v>
      </c>
      <c r="J1785" s="25" t="e">
        <f ca="1"/>
        <v>#REF!</v>
      </c>
      <c r="K1785" s="27" t="e">
        <f ca="1"/>
        <v>#REF!</v>
      </c>
      <c r="L1785" s="25" t="e">
        <f ca="1"/>
        <v>#REF!</v>
      </c>
      <c r="M1785" s="25" t="e">
        <f ca="1"/>
        <v>#REF!</v>
      </c>
      <c r="N1785" s="25" t="e">
        <f ca="1"/>
        <v>#REF!</v>
      </c>
      <c r="O1785" s="25" t="e">
        <f ca="1"/>
        <v>#REF!</v>
      </c>
      <c r="P1785" s="25" t="e">
        <f ca="1"/>
        <v>#REF!</v>
      </c>
      <c r="Q1785" s="25" t="e">
        <f ca="1"/>
        <v>#REF!</v>
      </c>
      <c r="R1785" s="25" t="e">
        <f ca="1"/>
        <v>#REF!</v>
      </c>
      <c r="S1785" s="25" t="e">
        <f ca="1"/>
        <v>#REF!</v>
      </c>
      <c r="T1785" s="25" t="e">
        <f ca="1"/>
        <v>#REF!</v>
      </c>
      <c r="U1785" s="25" t="e">
        <f ca="1"/>
        <v>#REF!</v>
      </c>
      <c r="V1785" s="25" t="e">
        <f ca="1"/>
        <v>#REF!</v>
      </c>
      <c r="W1785" s="33" t="e">
        <f ca="1"/>
        <v>#REF!</v>
      </c>
      <c r="X1785" s="33" t="e">
        <f ca="1"/>
        <v>#REF!</v>
      </c>
      <c r="Y1785" s="33" t="e">
        <f ca="1"/>
        <v>#REF!</v>
      </c>
      <c r="Z1785" s="33" t="e">
        <f ca="1"/>
        <v>#REF!</v>
      </c>
      <c r="AA1785" s="33" t="e">
        <f ca="1"/>
        <v>#REF!</v>
      </c>
    </row>
    <row r="1786" spans="1:27" s="70" customFormat="1" ht="11.25" x14ac:dyDescent="0.2">
      <c r="A1786" s="24">
        <v>1780</v>
      </c>
      <c r="B1786" s="24"/>
      <c r="C1786" s="25"/>
      <c r="D1786" s="26"/>
      <c r="E1786" s="25"/>
      <c r="F1786" s="25"/>
      <c r="G1786" s="24"/>
      <c r="H1786" s="25" t="e">
        <f ca="1"/>
        <v>#REF!</v>
      </c>
      <c r="I1786" s="27" t="e">
        <f ca="1"/>
        <v>#REF!</v>
      </c>
      <c r="J1786" s="25" t="e">
        <f ca="1"/>
        <v>#REF!</v>
      </c>
      <c r="K1786" s="27" t="e">
        <f ca="1"/>
        <v>#REF!</v>
      </c>
      <c r="L1786" s="25" t="e">
        <f ca="1"/>
        <v>#REF!</v>
      </c>
      <c r="M1786" s="25" t="e">
        <f ca="1"/>
        <v>#REF!</v>
      </c>
      <c r="N1786" s="25" t="e">
        <f ca="1"/>
        <v>#REF!</v>
      </c>
      <c r="O1786" s="25" t="e">
        <f ca="1"/>
        <v>#REF!</v>
      </c>
      <c r="P1786" s="25" t="e">
        <f ca="1"/>
        <v>#REF!</v>
      </c>
      <c r="Q1786" s="25" t="e">
        <f ca="1"/>
        <v>#REF!</v>
      </c>
      <c r="R1786" s="25" t="e">
        <f ca="1"/>
        <v>#REF!</v>
      </c>
      <c r="S1786" s="25" t="e">
        <f ca="1"/>
        <v>#REF!</v>
      </c>
      <c r="T1786" s="25" t="e">
        <f ca="1"/>
        <v>#REF!</v>
      </c>
      <c r="U1786" s="25" t="e">
        <f ca="1"/>
        <v>#REF!</v>
      </c>
      <c r="V1786" s="25" t="e">
        <f ca="1"/>
        <v>#REF!</v>
      </c>
      <c r="W1786" s="33" t="e">
        <f ca="1"/>
        <v>#REF!</v>
      </c>
      <c r="X1786" s="33" t="e">
        <f ca="1"/>
        <v>#REF!</v>
      </c>
      <c r="Y1786" s="33" t="e">
        <f ca="1"/>
        <v>#REF!</v>
      </c>
      <c r="Z1786" s="33" t="e">
        <f ca="1"/>
        <v>#REF!</v>
      </c>
      <c r="AA1786" s="33" t="e">
        <f ca="1"/>
        <v>#REF!</v>
      </c>
    </row>
    <row r="1787" spans="1:27" s="70" customFormat="1" ht="11.25" x14ac:dyDescent="0.2">
      <c r="A1787" s="24">
        <v>1781</v>
      </c>
      <c r="B1787" s="24"/>
      <c r="C1787" s="25"/>
      <c r="D1787" s="26"/>
      <c r="E1787" s="25"/>
      <c r="F1787" s="25"/>
      <c r="G1787" s="24"/>
      <c r="H1787" s="25" t="e">
        <f ca="1"/>
        <v>#REF!</v>
      </c>
      <c r="I1787" s="27" t="e">
        <f ca="1"/>
        <v>#REF!</v>
      </c>
      <c r="J1787" s="25" t="e">
        <f ca="1"/>
        <v>#REF!</v>
      </c>
      <c r="K1787" s="27" t="e">
        <f ca="1"/>
        <v>#REF!</v>
      </c>
      <c r="L1787" s="25" t="e">
        <f ca="1"/>
        <v>#REF!</v>
      </c>
      <c r="M1787" s="25" t="e">
        <f ca="1"/>
        <v>#REF!</v>
      </c>
      <c r="N1787" s="25" t="e">
        <f ca="1"/>
        <v>#REF!</v>
      </c>
      <c r="O1787" s="25" t="e">
        <f ca="1"/>
        <v>#REF!</v>
      </c>
      <c r="P1787" s="25" t="e">
        <f ca="1"/>
        <v>#REF!</v>
      </c>
      <c r="Q1787" s="25" t="e">
        <f ca="1"/>
        <v>#REF!</v>
      </c>
      <c r="R1787" s="25" t="e">
        <f ca="1"/>
        <v>#REF!</v>
      </c>
      <c r="S1787" s="25" t="e">
        <f ca="1"/>
        <v>#REF!</v>
      </c>
      <c r="T1787" s="25" t="e">
        <f ca="1"/>
        <v>#REF!</v>
      </c>
      <c r="U1787" s="25" t="e">
        <f ca="1"/>
        <v>#REF!</v>
      </c>
      <c r="V1787" s="25" t="e">
        <f ca="1"/>
        <v>#REF!</v>
      </c>
      <c r="W1787" s="33" t="e">
        <f ca="1"/>
        <v>#REF!</v>
      </c>
      <c r="X1787" s="33" t="e">
        <f ca="1"/>
        <v>#REF!</v>
      </c>
      <c r="Y1787" s="33" t="e">
        <f ca="1"/>
        <v>#REF!</v>
      </c>
      <c r="Z1787" s="33" t="e">
        <f ca="1"/>
        <v>#REF!</v>
      </c>
      <c r="AA1787" s="33" t="e">
        <f ca="1"/>
        <v>#REF!</v>
      </c>
    </row>
    <row r="1788" spans="1:27" s="70" customFormat="1" ht="11.25" x14ac:dyDescent="0.2">
      <c r="A1788" s="24">
        <v>1782</v>
      </c>
      <c r="B1788" s="24"/>
      <c r="C1788" s="25"/>
      <c r="D1788" s="26"/>
      <c r="E1788" s="25"/>
      <c r="F1788" s="25"/>
      <c r="G1788" s="24"/>
      <c r="H1788" s="25" t="e">
        <f ca="1"/>
        <v>#REF!</v>
      </c>
      <c r="I1788" s="27" t="e">
        <f ca="1"/>
        <v>#REF!</v>
      </c>
      <c r="J1788" s="25" t="e">
        <f ca="1"/>
        <v>#REF!</v>
      </c>
      <c r="K1788" s="27" t="e">
        <f ca="1"/>
        <v>#REF!</v>
      </c>
      <c r="L1788" s="25" t="e">
        <f ca="1"/>
        <v>#REF!</v>
      </c>
      <c r="M1788" s="25" t="e">
        <f ca="1"/>
        <v>#REF!</v>
      </c>
      <c r="N1788" s="25" t="e">
        <f ca="1"/>
        <v>#REF!</v>
      </c>
      <c r="O1788" s="25" t="e">
        <f ca="1"/>
        <v>#REF!</v>
      </c>
      <c r="P1788" s="25" t="e">
        <f ca="1"/>
        <v>#REF!</v>
      </c>
      <c r="Q1788" s="25" t="e">
        <f ca="1"/>
        <v>#REF!</v>
      </c>
      <c r="R1788" s="25" t="e">
        <f ca="1"/>
        <v>#REF!</v>
      </c>
      <c r="S1788" s="25" t="e">
        <f ca="1"/>
        <v>#REF!</v>
      </c>
      <c r="T1788" s="25" t="e">
        <f ca="1"/>
        <v>#REF!</v>
      </c>
      <c r="U1788" s="25" t="e">
        <f ca="1"/>
        <v>#REF!</v>
      </c>
      <c r="V1788" s="25" t="e">
        <f ca="1"/>
        <v>#REF!</v>
      </c>
      <c r="W1788" s="33" t="e">
        <f ca="1"/>
        <v>#REF!</v>
      </c>
      <c r="X1788" s="33" t="e">
        <f ca="1"/>
        <v>#REF!</v>
      </c>
      <c r="Y1788" s="33" t="e">
        <f ca="1"/>
        <v>#REF!</v>
      </c>
      <c r="Z1788" s="33" t="e">
        <f ca="1"/>
        <v>#REF!</v>
      </c>
      <c r="AA1788" s="33" t="e">
        <f ca="1"/>
        <v>#REF!</v>
      </c>
    </row>
    <row r="1789" spans="1:27" s="70" customFormat="1" ht="11.25" x14ac:dyDescent="0.2">
      <c r="A1789" s="24">
        <v>1783</v>
      </c>
      <c r="B1789" s="24"/>
      <c r="C1789" s="25"/>
      <c r="D1789" s="26"/>
      <c r="E1789" s="25"/>
      <c r="F1789" s="25"/>
      <c r="G1789" s="24"/>
      <c r="H1789" s="25" t="e">
        <f ca="1"/>
        <v>#REF!</v>
      </c>
      <c r="I1789" s="27" t="e">
        <f ca="1"/>
        <v>#REF!</v>
      </c>
      <c r="J1789" s="25" t="e">
        <f ca="1"/>
        <v>#REF!</v>
      </c>
      <c r="K1789" s="27" t="e">
        <f ca="1"/>
        <v>#REF!</v>
      </c>
      <c r="L1789" s="25" t="e">
        <f ca="1"/>
        <v>#REF!</v>
      </c>
      <c r="M1789" s="25" t="e">
        <f ca="1"/>
        <v>#REF!</v>
      </c>
      <c r="N1789" s="25" t="e">
        <f ca="1"/>
        <v>#REF!</v>
      </c>
      <c r="O1789" s="25" t="e">
        <f ca="1"/>
        <v>#REF!</v>
      </c>
      <c r="P1789" s="25" t="e">
        <f ca="1"/>
        <v>#REF!</v>
      </c>
      <c r="Q1789" s="25" t="e">
        <f ca="1"/>
        <v>#REF!</v>
      </c>
      <c r="R1789" s="25" t="e">
        <f ca="1"/>
        <v>#REF!</v>
      </c>
      <c r="S1789" s="25" t="e">
        <f ca="1"/>
        <v>#REF!</v>
      </c>
      <c r="T1789" s="25" t="e">
        <f ca="1"/>
        <v>#REF!</v>
      </c>
      <c r="U1789" s="25" t="e">
        <f ca="1"/>
        <v>#REF!</v>
      </c>
      <c r="V1789" s="25" t="e">
        <f ca="1"/>
        <v>#REF!</v>
      </c>
      <c r="W1789" s="33" t="e">
        <f ca="1"/>
        <v>#REF!</v>
      </c>
      <c r="X1789" s="33" t="e">
        <f ca="1"/>
        <v>#REF!</v>
      </c>
      <c r="Y1789" s="33" t="e">
        <f ca="1"/>
        <v>#REF!</v>
      </c>
      <c r="Z1789" s="33" t="e">
        <f ca="1"/>
        <v>#REF!</v>
      </c>
      <c r="AA1789" s="33" t="e">
        <f ca="1"/>
        <v>#REF!</v>
      </c>
    </row>
    <row r="1790" spans="1:27" s="70" customFormat="1" ht="11.25" x14ac:dyDescent="0.2">
      <c r="A1790" s="24">
        <v>1784</v>
      </c>
      <c r="B1790" s="24"/>
      <c r="C1790" s="25"/>
      <c r="D1790" s="26"/>
      <c r="E1790" s="25"/>
      <c r="F1790" s="25"/>
      <c r="G1790" s="24"/>
      <c r="H1790" s="25" t="e">
        <f ca="1"/>
        <v>#REF!</v>
      </c>
      <c r="I1790" s="27" t="e">
        <f ca="1"/>
        <v>#REF!</v>
      </c>
      <c r="J1790" s="25" t="e">
        <f ca="1"/>
        <v>#REF!</v>
      </c>
      <c r="K1790" s="27" t="e">
        <f ca="1"/>
        <v>#REF!</v>
      </c>
      <c r="L1790" s="25" t="e">
        <f ca="1"/>
        <v>#REF!</v>
      </c>
      <c r="M1790" s="25" t="e">
        <f ca="1"/>
        <v>#REF!</v>
      </c>
      <c r="N1790" s="25" t="e">
        <f ca="1"/>
        <v>#REF!</v>
      </c>
      <c r="O1790" s="25" t="e">
        <f ca="1"/>
        <v>#REF!</v>
      </c>
      <c r="P1790" s="25" t="e">
        <f ca="1"/>
        <v>#REF!</v>
      </c>
      <c r="Q1790" s="25" t="e">
        <f ca="1"/>
        <v>#REF!</v>
      </c>
      <c r="R1790" s="25" t="e">
        <f ca="1"/>
        <v>#REF!</v>
      </c>
      <c r="S1790" s="25" t="e">
        <f ca="1"/>
        <v>#REF!</v>
      </c>
      <c r="T1790" s="25" t="e">
        <f ca="1"/>
        <v>#REF!</v>
      </c>
      <c r="U1790" s="25" t="e">
        <f ca="1"/>
        <v>#REF!</v>
      </c>
      <c r="V1790" s="25" t="e">
        <f ca="1"/>
        <v>#REF!</v>
      </c>
      <c r="W1790" s="33" t="e">
        <f ca="1"/>
        <v>#REF!</v>
      </c>
      <c r="X1790" s="33" t="e">
        <f ca="1"/>
        <v>#REF!</v>
      </c>
      <c r="Y1790" s="33" t="e">
        <f ca="1"/>
        <v>#REF!</v>
      </c>
      <c r="Z1790" s="33" t="e">
        <f ca="1"/>
        <v>#REF!</v>
      </c>
      <c r="AA1790" s="33" t="e">
        <f ca="1"/>
        <v>#REF!</v>
      </c>
    </row>
    <row r="1791" spans="1:27" s="70" customFormat="1" ht="11.25" x14ac:dyDescent="0.2">
      <c r="A1791" s="24">
        <v>1785</v>
      </c>
      <c r="B1791" s="24"/>
      <c r="C1791" s="25"/>
      <c r="D1791" s="26"/>
      <c r="E1791" s="25"/>
      <c r="F1791" s="25"/>
      <c r="G1791" s="24"/>
      <c r="H1791" s="25" t="e">
        <f ca="1"/>
        <v>#REF!</v>
      </c>
      <c r="I1791" s="27" t="e">
        <f ca="1"/>
        <v>#REF!</v>
      </c>
      <c r="J1791" s="28" t="e">
        <f ca="1"/>
        <v>#REF!</v>
      </c>
      <c r="K1791" s="27" t="e">
        <f ca="1"/>
        <v>#REF!</v>
      </c>
      <c r="L1791" s="25" t="e">
        <f ca="1"/>
        <v>#REF!</v>
      </c>
      <c r="M1791" s="25" t="e">
        <f ca="1"/>
        <v>#REF!</v>
      </c>
      <c r="N1791" s="25" t="e">
        <f ca="1"/>
        <v>#REF!</v>
      </c>
      <c r="O1791" s="25" t="e">
        <f ca="1"/>
        <v>#REF!</v>
      </c>
      <c r="P1791" s="25" t="e">
        <f ca="1"/>
        <v>#REF!</v>
      </c>
      <c r="Q1791" s="25" t="e">
        <f ca="1"/>
        <v>#REF!</v>
      </c>
      <c r="R1791" s="25" t="e">
        <f ca="1"/>
        <v>#REF!</v>
      </c>
      <c r="S1791" s="25" t="e">
        <f ca="1"/>
        <v>#REF!</v>
      </c>
      <c r="T1791" s="25" t="e">
        <f ca="1"/>
        <v>#REF!</v>
      </c>
      <c r="U1791" s="25" t="e">
        <f ca="1"/>
        <v>#REF!</v>
      </c>
      <c r="V1791" s="25" t="e">
        <f ca="1"/>
        <v>#REF!</v>
      </c>
      <c r="W1791" s="33" t="e">
        <f ca="1"/>
        <v>#REF!</v>
      </c>
      <c r="X1791" s="33" t="e">
        <f ca="1"/>
        <v>#REF!</v>
      </c>
      <c r="Y1791" s="33" t="e">
        <f ca="1"/>
        <v>#REF!</v>
      </c>
      <c r="Z1791" s="33" t="e">
        <f ca="1"/>
        <v>#REF!</v>
      </c>
      <c r="AA1791" s="33" t="e">
        <f ca="1"/>
        <v>#REF!</v>
      </c>
    </row>
    <row r="1792" spans="1:27" s="70" customFormat="1" ht="11.25" x14ac:dyDescent="0.2">
      <c r="A1792" s="24">
        <v>1786</v>
      </c>
      <c r="B1792" s="24"/>
      <c r="C1792" s="25"/>
      <c r="D1792" s="26"/>
      <c r="E1792" s="25"/>
      <c r="F1792" s="25"/>
      <c r="G1792" s="24"/>
      <c r="H1792" s="25" t="e">
        <f ca="1"/>
        <v>#REF!</v>
      </c>
      <c r="I1792" s="27" t="e">
        <f ca="1"/>
        <v>#REF!</v>
      </c>
      <c r="J1792" s="28" t="e">
        <f ca="1"/>
        <v>#REF!</v>
      </c>
      <c r="K1792" s="27" t="e">
        <f ca="1"/>
        <v>#REF!</v>
      </c>
      <c r="L1792" s="25" t="e">
        <f ca="1"/>
        <v>#REF!</v>
      </c>
      <c r="M1792" s="25" t="e">
        <f ca="1"/>
        <v>#REF!</v>
      </c>
      <c r="N1792" s="25" t="e">
        <f ca="1"/>
        <v>#REF!</v>
      </c>
      <c r="O1792" s="25" t="e">
        <f ca="1"/>
        <v>#REF!</v>
      </c>
      <c r="P1792" s="25" t="e">
        <f ca="1"/>
        <v>#REF!</v>
      </c>
      <c r="Q1792" s="25" t="e">
        <f ca="1"/>
        <v>#REF!</v>
      </c>
      <c r="R1792" s="25" t="e">
        <f ca="1"/>
        <v>#REF!</v>
      </c>
      <c r="S1792" s="25" t="e">
        <f ca="1"/>
        <v>#REF!</v>
      </c>
      <c r="T1792" s="25" t="e">
        <f ca="1"/>
        <v>#REF!</v>
      </c>
      <c r="U1792" s="25" t="e">
        <f ca="1"/>
        <v>#REF!</v>
      </c>
      <c r="V1792" s="25" t="e">
        <f ca="1"/>
        <v>#REF!</v>
      </c>
      <c r="W1792" s="33" t="e">
        <f ca="1"/>
        <v>#REF!</v>
      </c>
      <c r="X1792" s="33" t="e">
        <f ca="1"/>
        <v>#REF!</v>
      </c>
      <c r="Y1792" s="33" t="e">
        <f ca="1"/>
        <v>#REF!</v>
      </c>
      <c r="Z1792" s="33" t="e">
        <f ca="1"/>
        <v>#REF!</v>
      </c>
      <c r="AA1792" s="33" t="e">
        <f ca="1"/>
        <v>#REF!</v>
      </c>
    </row>
    <row r="1793" spans="1:27" s="70" customFormat="1" ht="11.25" x14ac:dyDescent="0.2">
      <c r="A1793" s="24">
        <v>1787</v>
      </c>
      <c r="B1793" s="24"/>
      <c r="C1793" s="25"/>
      <c r="D1793" s="26"/>
      <c r="E1793" s="25"/>
      <c r="F1793" s="25"/>
      <c r="G1793" s="24"/>
      <c r="H1793" s="25" t="e">
        <f ca="1"/>
        <v>#REF!</v>
      </c>
      <c r="I1793" s="27" t="e">
        <f ca="1"/>
        <v>#REF!</v>
      </c>
      <c r="J1793" s="28" t="e">
        <f ca="1"/>
        <v>#REF!</v>
      </c>
      <c r="K1793" s="27" t="e">
        <f ca="1"/>
        <v>#REF!</v>
      </c>
      <c r="L1793" s="25" t="e">
        <f ca="1"/>
        <v>#REF!</v>
      </c>
      <c r="M1793" s="25" t="e">
        <f ca="1"/>
        <v>#REF!</v>
      </c>
      <c r="N1793" s="25" t="e">
        <f ca="1"/>
        <v>#REF!</v>
      </c>
      <c r="O1793" s="25" t="e">
        <f ca="1"/>
        <v>#REF!</v>
      </c>
      <c r="P1793" s="25" t="e">
        <f ca="1"/>
        <v>#REF!</v>
      </c>
      <c r="Q1793" s="25" t="e">
        <f ca="1"/>
        <v>#REF!</v>
      </c>
      <c r="R1793" s="25" t="e">
        <f ca="1"/>
        <v>#REF!</v>
      </c>
      <c r="S1793" s="25" t="e">
        <f ca="1"/>
        <v>#REF!</v>
      </c>
      <c r="T1793" s="25" t="e">
        <f ca="1"/>
        <v>#REF!</v>
      </c>
      <c r="U1793" s="25" t="e">
        <f ca="1"/>
        <v>#REF!</v>
      </c>
      <c r="V1793" s="25" t="e">
        <f ca="1"/>
        <v>#REF!</v>
      </c>
      <c r="W1793" s="33" t="e">
        <f ca="1"/>
        <v>#REF!</v>
      </c>
      <c r="X1793" s="33" t="e">
        <f ca="1"/>
        <v>#REF!</v>
      </c>
      <c r="Y1793" s="33" t="e">
        <f ca="1"/>
        <v>#REF!</v>
      </c>
      <c r="Z1793" s="33" t="e">
        <f ca="1"/>
        <v>#REF!</v>
      </c>
      <c r="AA1793" s="33" t="e">
        <f ca="1"/>
        <v>#REF!</v>
      </c>
    </row>
    <row r="1794" spans="1:27" s="70" customFormat="1" ht="11.25" x14ac:dyDescent="0.2">
      <c r="A1794" s="24">
        <v>1788</v>
      </c>
      <c r="B1794" s="24"/>
      <c r="C1794" s="25"/>
      <c r="D1794" s="26"/>
      <c r="E1794" s="25"/>
      <c r="F1794" s="25"/>
      <c r="G1794" s="24"/>
      <c r="H1794" s="25" t="e">
        <f ca="1"/>
        <v>#REF!</v>
      </c>
      <c r="I1794" s="27" t="e">
        <f ca="1"/>
        <v>#REF!</v>
      </c>
      <c r="J1794" s="28" t="e">
        <f ca="1"/>
        <v>#REF!</v>
      </c>
      <c r="K1794" s="27" t="e">
        <f ca="1"/>
        <v>#REF!</v>
      </c>
      <c r="L1794" s="25" t="e">
        <f ca="1"/>
        <v>#REF!</v>
      </c>
      <c r="M1794" s="25" t="e">
        <f ca="1"/>
        <v>#REF!</v>
      </c>
      <c r="N1794" s="25" t="e">
        <f ca="1"/>
        <v>#REF!</v>
      </c>
      <c r="O1794" s="25" t="e">
        <f ca="1"/>
        <v>#REF!</v>
      </c>
      <c r="P1794" s="25" t="e">
        <f ca="1"/>
        <v>#REF!</v>
      </c>
      <c r="Q1794" s="25" t="e">
        <f ca="1"/>
        <v>#REF!</v>
      </c>
      <c r="R1794" s="25" t="e">
        <f ca="1"/>
        <v>#REF!</v>
      </c>
      <c r="S1794" s="25" t="e">
        <f ca="1"/>
        <v>#REF!</v>
      </c>
      <c r="T1794" s="25" t="e">
        <f ca="1"/>
        <v>#REF!</v>
      </c>
      <c r="U1794" s="25" t="e">
        <f ca="1"/>
        <v>#REF!</v>
      </c>
      <c r="V1794" s="25" t="e">
        <f ca="1"/>
        <v>#REF!</v>
      </c>
      <c r="W1794" s="33" t="e">
        <f ca="1"/>
        <v>#REF!</v>
      </c>
      <c r="X1794" s="33" t="e">
        <f ca="1"/>
        <v>#REF!</v>
      </c>
      <c r="Y1794" s="33" t="e">
        <f ca="1"/>
        <v>#REF!</v>
      </c>
      <c r="Z1794" s="33" t="e">
        <f ca="1"/>
        <v>#REF!</v>
      </c>
      <c r="AA1794" s="33" t="e">
        <f ca="1"/>
        <v>#REF!</v>
      </c>
    </row>
    <row r="1795" spans="1:27" s="70" customFormat="1" ht="11.25" x14ac:dyDescent="0.2">
      <c r="A1795" s="24">
        <v>1789</v>
      </c>
      <c r="B1795" s="24"/>
      <c r="C1795" s="25"/>
      <c r="D1795" s="26"/>
      <c r="E1795" s="25"/>
      <c r="F1795" s="25"/>
      <c r="G1795" s="24"/>
      <c r="H1795" s="25" t="e">
        <f ca="1"/>
        <v>#REF!</v>
      </c>
      <c r="I1795" s="27" t="e">
        <f ca="1"/>
        <v>#REF!</v>
      </c>
      <c r="J1795" s="28" t="e">
        <f ca="1"/>
        <v>#REF!</v>
      </c>
      <c r="K1795" s="27" t="e">
        <f ca="1"/>
        <v>#REF!</v>
      </c>
      <c r="L1795" s="25" t="e">
        <f ca="1"/>
        <v>#REF!</v>
      </c>
      <c r="M1795" s="25" t="e">
        <f ca="1"/>
        <v>#REF!</v>
      </c>
      <c r="N1795" s="25" t="e">
        <f ca="1"/>
        <v>#REF!</v>
      </c>
      <c r="O1795" s="25" t="e">
        <f ca="1"/>
        <v>#REF!</v>
      </c>
      <c r="P1795" s="25" t="e">
        <f ca="1"/>
        <v>#REF!</v>
      </c>
      <c r="Q1795" s="25" t="e">
        <f ca="1"/>
        <v>#REF!</v>
      </c>
      <c r="R1795" s="25" t="e">
        <f ca="1"/>
        <v>#REF!</v>
      </c>
      <c r="S1795" s="25" t="e">
        <f ca="1"/>
        <v>#REF!</v>
      </c>
      <c r="T1795" s="25" t="e">
        <f ca="1"/>
        <v>#REF!</v>
      </c>
      <c r="U1795" s="25" t="e">
        <f ca="1"/>
        <v>#REF!</v>
      </c>
      <c r="V1795" s="25" t="e">
        <f ca="1"/>
        <v>#REF!</v>
      </c>
      <c r="W1795" s="33" t="e">
        <f ca="1"/>
        <v>#REF!</v>
      </c>
      <c r="X1795" s="33" t="e">
        <f ca="1"/>
        <v>#REF!</v>
      </c>
      <c r="Y1795" s="33" t="e">
        <f ca="1"/>
        <v>#REF!</v>
      </c>
      <c r="Z1795" s="33" t="e">
        <f ca="1"/>
        <v>#REF!</v>
      </c>
      <c r="AA1795" s="33" t="e">
        <f ca="1"/>
        <v>#REF!</v>
      </c>
    </row>
    <row r="1796" spans="1:27" s="70" customFormat="1" ht="11.25" x14ac:dyDescent="0.2">
      <c r="A1796" s="24">
        <v>1790</v>
      </c>
      <c r="B1796" s="24"/>
      <c r="C1796" s="25"/>
      <c r="D1796" s="26"/>
      <c r="E1796" s="25"/>
      <c r="F1796" s="25"/>
      <c r="G1796" s="24"/>
      <c r="H1796" s="25" t="e">
        <f ca="1"/>
        <v>#REF!</v>
      </c>
      <c r="I1796" s="27" t="e">
        <f ca="1"/>
        <v>#REF!</v>
      </c>
      <c r="J1796" s="28" t="e">
        <f ca="1"/>
        <v>#REF!</v>
      </c>
      <c r="K1796" s="27" t="e">
        <f ca="1"/>
        <v>#REF!</v>
      </c>
      <c r="L1796" s="25" t="e">
        <f ca="1"/>
        <v>#REF!</v>
      </c>
      <c r="M1796" s="25" t="e">
        <f ca="1"/>
        <v>#REF!</v>
      </c>
      <c r="N1796" s="25" t="e">
        <f ca="1"/>
        <v>#REF!</v>
      </c>
      <c r="O1796" s="25" t="e">
        <f ca="1"/>
        <v>#REF!</v>
      </c>
      <c r="P1796" s="25" t="e">
        <f ca="1"/>
        <v>#REF!</v>
      </c>
      <c r="Q1796" s="25" t="e">
        <f ca="1"/>
        <v>#REF!</v>
      </c>
      <c r="R1796" s="25" t="e">
        <f ca="1"/>
        <v>#REF!</v>
      </c>
      <c r="S1796" s="25" t="e">
        <f ca="1"/>
        <v>#REF!</v>
      </c>
      <c r="T1796" s="25" t="e">
        <f ca="1"/>
        <v>#REF!</v>
      </c>
      <c r="U1796" s="25" t="e">
        <f ca="1"/>
        <v>#REF!</v>
      </c>
      <c r="V1796" s="25" t="e">
        <f ca="1"/>
        <v>#REF!</v>
      </c>
      <c r="W1796" s="33" t="e">
        <f ca="1"/>
        <v>#REF!</v>
      </c>
      <c r="X1796" s="33" t="e">
        <f ca="1"/>
        <v>#REF!</v>
      </c>
      <c r="Y1796" s="33" t="e">
        <f ca="1"/>
        <v>#REF!</v>
      </c>
      <c r="Z1796" s="33" t="e">
        <f ca="1"/>
        <v>#REF!</v>
      </c>
      <c r="AA1796" s="33" t="e">
        <f ca="1"/>
        <v>#REF!</v>
      </c>
    </row>
    <row r="1797" spans="1:27" s="70" customFormat="1" ht="11.25" x14ac:dyDescent="0.2">
      <c r="A1797" s="24">
        <v>1791</v>
      </c>
      <c r="B1797" s="24"/>
      <c r="C1797" s="25"/>
      <c r="D1797" s="26"/>
      <c r="E1797" s="25"/>
      <c r="F1797" s="25"/>
      <c r="G1797" s="24"/>
      <c r="H1797" s="25" t="e">
        <f ca="1"/>
        <v>#REF!</v>
      </c>
      <c r="I1797" s="27" t="e">
        <f ca="1"/>
        <v>#REF!</v>
      </c>
      <c r="J1797" s="28" t="e">
        <f ca="1"/>
        <v>#REF!</v>
      </c>
      <c r="K1797" s="27" t="e">
        <f ca="1"/>
        <v>#REF!</v>
      </c>
      <c r="L1797" s="25" t="e">
        <f ca="1"/>
        <v>#REF!</v>
      </c>
      <c r="M1797" s="25" t="e">
        <f ca="1"/>
        <v>#REF!</v>
      </c>
      <c r="N1797" s="25" t="e">
        <f ca="1"/>
        <v>#REF!</v>
      </c>
      <c r="O1797" s="25" t="e">
        <f ca="1"/>
        <v>#REF!</v>
      </c>
      <c r="P1797" s="25" t="e">
        <f ca="1"/>
        <v>#REF!</v>
      </c>
      <c r="Q1797" s="25" t="e">
        <f ca="1"/>
        <v>#REF!</v>
      </c>
      <c r="R1797" s="25" t="e">
        <f ca="1"/>
        <v>#REF!</v>
      </c>
      <c r="S1797" s="25" t="e">
        <f ca="1"/>
        <v>#REF!</v>
      </c>
      <c r="T1797" s="25" t="e">
        <f ca="1"/>
        <v>#REF!</v>
      </c>
      <c r="U1797" s="25" t="e">
        <f ca="1"/>
        <v>#REF!</v>
      </c>
      <c r="V1797" s="25" t="e">
        <f ca="1"/>
        <v>#REF!</v>
      </c>
      <c r="W1797" s="33" t="e">
        <f ca="1"/>
        <v>#REF!</v>
      </c>
      <c r="X1797" s="33" t="e">
        <f ca="1"/>
        <v>#REF!</v>
      </c>
      <c r="Y1797" s="33" t="e">
        <f ca="1"/>
        <v>#REF!</v>
      </c>
      <c r="Z1797" s="33" t="e">
        <f ca="1"/>
        <v>#REF!</v>
      </c>
      <c r="AA1797" s="33" t="e">
        <f ca="1"/>
        <v>#REF!</v>
      </c>
    </row>
    <row r="1798" spans="1:27" s="70" customFormat="1" ht="11.25" x14ac:dyDescent="0.2">
      <c r="A1798" s="24">
        <v>1792</v>
      </c>
      <c r="B1798" s="24"/>
      <c r="C1798" s="25"/>
      <c r="D1798" s="26"/>
      <c r="E1798" s="25"/>
      <c r="F1798" s="25"/>
      <c r="G1798" s="24"/>
      <c r="H1798" s="25" t="e">
        <f ca="1"/>
        <v>#REF!</v>
      </c>
      <c r="I1798" s="27" t="e">
        <f ca="1"/>
        <v>#REF!</v>
      </c>
      <c r="J1798" s="28" t="e">
        <f ca="1"/>
        <v>#REF!</v>
      </c>
      <c r="K1798" s="27" t="e">
        <f ca="1"/>
        <v>#REF!</v>
      </c>
      <c r="L1798" s="25" t="e">
        <f ca="1"/>
        <v>#REF!</v>
      </c>
      <c r="M1798" s="25" t="e">
        <f ca="1"/>
        <v>#REF!</v>
      </c>
      <c r="N1798" s="25" t="e">
        <f ca="1"/>
        <v>#REF!</v>
      </c>
      <c r="O1798" s="25" t="e">
        <f ca="1"/>
        <v>#REF!</v>
      </c>
      <c r="P1798" s="25" t="e">
        <f ca="1"/>
        <v>#REF!</v>
      </c>
      <c r="Q1798" s="25" t="e">
        <f ca="1"/>
        <v>#REF!</v>
      </c>
      <c r="R1798" s="25" t="e">
        <f ca="1"/>
        <v>#REF!</v>
      </c>
      <c r="S1798" s="25" t="e">
        <f ca="1"/>
        <v>#REF!</v>
      </c>
      <c r="T1798" s="25" t="e">
        <f ca="1"/>
        <v>#REF!</v>
      </c>
      <c r="U1798" s="25" t="e">
        <f ca="1"/>
        <v>#REF!</v>
      </c>
      <c r="V1798" s="25" t="e">
        <f ca="1"/>
        <v>#REF!</v>
      </c>
      <c r="W1798" s="33" t="e">
        <f ca="1"/>
        <v>#REF!</v>
      </c>
      <c r="X1798" s="33" t="e">
        <f ca="1"/>
        <v>#REF!</v>
      </c>
      <c r="Y1798" s="33" t="e">
        <f ca="1"/>
        <v>#REF!</v>
      </c>
      <c r="Z1798" s="33" t="e">
        <f ca="1"/>
        <v>#REF!</v>
      </c>
      <c r="AA1798" s="33" t="e">
        <f ca="1"/>
        <v>#REF!</v>
      </c>
    </row>
    <row r="1799" spans="1:27" s="70" customFormat="1" ht="11.25" x14ac:dyDescent="0.2">
      <c r="A1799" s="24">
        <v>1793</v>
      </c>
      <c r="B1799" s="24"/>
      <c r="C1799" s="25"/>
      <c r="D1799" s="26"/>
      <c r="E1799" s="25"/>
      <c r="F1799" s="25"/>
      <c r="G1799" s="24"/>
      <c r="H1799" s="25" t="e">
        <f ca="1"/>
        <v>#REF!</v>
      </c>
      <c r="I1799" s="27" t="e">
        <f ca="1"/>
        <v>#REF!</v>
      </c>
      <c r="J1799" s="28" t="e">
        <f ca="1"/>
        <v>#REF!</v>
      </c>
      <c r="K1799" s="27" t="e">
        <f ca="1"/>
        <v>#REF!</v>
      </c>
      <c r="L1799" s="25" t="e">
        <f ca="1"/>
        <v>#REF!</v>
      </c>
      <c r="M1799" s="25" t="e">
        <f ca="1"/>
        <v>#REF!</v>
      </c>
      <c r="N1799" s="25" t="e">
        <f ca="1"/>
        <v>#REF!</v>
      </c>
      <c r="O1799" s="25" t="e">
        <f ca="1"/>
        <v>#REF!</v>
      </c>
      <c r="P1799" s="25" t="e">
        <f ca="1"/>
        <v>#REF!</v>
      </c>
      <c r="Q1799" s="25" t="e">
        <f ca="1"/>
        <v>#REF!</v>
      </c>
      <c r="R1799" s="25" t="e">
        <f ca="1"/>
        <v>#REF!</v>
      </c>
      <c r="S1799" s="25" t="e">
        <f ca="1"/>
        <v>#REF!</v>
      </c>
      <c r="T1799" s="25" t="e">
        <f ca="1"/>
        <v>#REF!</v>
      </c>
      <c r="U1799" s="25" t="e">
        <f ca="1"/>
        <v>#REF!</v>
      </c>
      <c r="V1799" s="25" t="e">
        <f ca="1"/>
        <v>#REF!</v>
      </c>
      <c r="W1799" s="33" t="e">
        <f ca="1"/>
        <v>#REF!</v>
      </c>
      <c r="X1799" s="33" t="e">
        <f ca="1"/>
        <v>#REF!</v>
      </c>
      <c r="Y1799" s="33" t="e">
        <f ca="1"/>
        <v>#REF!</v>
      </c>
      <c r="Z1799" s="33" t="e">
        <f ca="1"/>
        <v>#REF!</v>
      </c>
      <c r="AA1799" s="33" t="e">
        <f ca="1"/>
        <v>#REF!</v>
      </c>
    </row>
    <row r="1800" spans="1:27" s="70" customFormat="1" ht="11.25" x14ac:dyDescent="0.2">
      <c r="A1800" s="24">
        <v>1794</v>
      </c>
      <c r="B1800" s="24"/>
      <c r="C1800" s="25"/>
      <c r="D1800" s="26"/>
      <c r="E1800" s="25"/>
      <c r="F1800" s="25"/>
      <c r="G1800" s="24"/>
      <c r="H1800" s="25" t="e">
        <f ca="1"/>
        <v>#REF!</v>
      </c>
      <c r="I1800" s="27" t="e">
        <f ca="1"/>
        <v>#REF!</v>
      </c>
      <c r="J1800" s="28" t="e">
        <f ca="1"/>
        <v>#REF!</v>
      </c>
      <c r="K1800" s="27" t="e">
        <f ca="1"/>
        <v>#REF!</v>
      </c>
      <c r="L1800" s="25" t="e">
        <f ca="1"/>
        <v>#REF!</v>
      </c>
      <c r="M1800" s="25" t="e">
        <f ca="1"/>
        <v>#REF!</v>
      </c>
      <c r="N1800" s="25" t="e">
        <f ca="1"/>
        <v>#REF!</v>
      </c>
      <c r="O1800" s="25" t="e">
        <f ca="1"/>
        <v>#REF!</v>
      </c>
      <c r="P1800" s="25" t="e">
        <f ca="1"/>
        <v>#REF!</v>
      </c>
      <c r="Q1800" s="25" t="e">
        <f ca="1"/>
        <v>#REF!</v>
      </c>
      <c r="R1800" s="25" t="e">
        <f ca="1"/>
        <v>#REF!</v>
      </c>
      <c r="S1800" s="25" t="e">
        <f ca="1"/>
        <v>#REF!</v>
      </c>
      <c r="T1800" s="25" t="e">
        <f ca="1"/>
        <v>#REF!</v>
      </c>
      <c r="U1800" s="25" t="e">
        <f ca="1"/>
        <v>#REF!</v>
      </c>
      <c r="V1800" s="25" t="e">
        <f ca="1"/>
        <v>#REF!</v>
      </c>
      <c r="W1800" s="33" t="e">
        <f ca="1"/>
        <v>#REF!</v>
      </c>
      <c r="X1800" s="33" t="e">
        <f ca="1"/>
        <v>#REF!</v>
      </c>
      <c r="Y1800" s="33" t="e">
        <f ca="1"/>
        <v>#REF!</v>
      </c>
      <c r="Z1800" s="33" t="e">
        <f ca="1"/>
        <v>#REF!</v>
      </c>
      <c r="AA1800" s="33" t="e">
        <f ca="1"/>
        <v>#REF!</v>
      </c>
    </row>
    <row r="1801" spans="1:27" s="70" customFormat="1" ht="11.25" x14ac:dyDescent="0.2">
      <c r="A1801" s="24">
        <v>1795</v>
      </c>
      <c r="B1801" s="24"/>
      <c r="C1801" s="25"/>
      <c r="D1801" s="26"/>
      <c r="E1801" s="25"/>
      <c r="F1801" s="25"/>
      <c r="G1801" s="24"/>
      <c r="H1801" s="25" t="e">
        <f ca="1"/>
        <v>#REF!</v>
      </c>
      <c r="I1801" s="27" t="e">
        <f ca="1"/>
        <v>#REF!</v>
      </c>
      <c r="J1801" s="28" t="e">
        <f ca="1"/>
        <v>#REF!</v>
      </c>
      <c r="K1801" s="27" t="e">
        <f ca="1"/>
        <v>#REF!</v>
      </c>
      <c r="L1801" s="25" t="e">
        <f ca="1"/>
        <v>#REF!</v>
      </c>
      <c r="M1801" s="25" t="e">
        <f ca="1"/>
        <v>#REF!</v>
      </c>
      <c r="N1801" s="25" t="e">
        <f ca="1"/>
        <v>#REF!</v>
      </c>
      <c r="O1801" s="25" t="e">
        <f ca="1"/>
        <v>#REF!</v>
      </c>
      <c r="P1801" s="25" t="e">
        <f ca="1"/>
        <v>#REF!</v>
      </c>
      <c r="Q1801" s="25" t="e">
        <f ca="1"/>
        <v>#REF!</v>
      </c>
      <c r="R1801" s="25" t="e">
        <f ca="1"/>
        <v>#REF!</v>
      </c>
      <c r="S1801" s="25" t="e">
        <f ca="1"/>
        <v>#REF!</v>
      </c>
      <c r="T1801" s="25" t="e">
        <f ca="1"/>
        <v>#REF!</v>
      </c>
      <c r="U1801" s="25" t="e">
        <f ca="1"/>
        <v>#REF!</v>
      </c>
      <c r="V1801" s="25" t="e">
        <f ca="1"/>
        <v>#REF!</v>
      </c>
      <c r="W1801" s="33" t="e">
        <f ca="1"/>
        <v>#REF!</v>
      </c>
      <c r="X1801" s="33" t="e">
        <f ca="1"/>
        <v>#REF!</v>
      </c>
      <c r="Y1801" s="33" t="e">
        <f ca="1"/>
        <v>#REF!</v>
      </c>
      <c r="Z1801" s="33" t="e">
        <f ca="1"/>
        <v>#REF!</v>
      </c>
      <c r="AA1801" s="33" t="e">
        <f ca="1"/>
        <v>#REF!</v>
      </c>
    </row>
    <row r="1802" spans="1:27" s="70" customFormat="1" ht="11.25" x14ac:dyDescent="0.2">
      <c r="A1802" s="24">
        <v>1796</v>
      </c>
      <c r="B1802" s="24"/>
      <c r="C1802" s="25"/>
      <c r="D1802" s="26"/>
      <c r="E1802" s="25"/>
      <c r="F1802" s="25"/>
      <c r="G1802" s="24"/>
      <c r="H1802" s="25" t="e">
        <f ca="1"/>
        <v>#REF!</v>
      </c>
      <c r="I1802" s="27" t="e">
        <f ca="1"/>
        <v>#REF!</v>
      </c>
      <c r="J1802" s="28" t="e">
        <f ca="1"/>
        <v>#REF!</v>
      </c>
      <c r="K1802" s="27" t="e">
        <f ca="1"/>
        <v>#REF!</v>
      </c>
      <c r="L1802" s="25" t="e">
        <f ca="1"/>
        <v>#REF!</v>
      </c>
      <c r="M1802" s="25" t="e">
        <f ca="1"/>
        <v>#REF!</v>
      </c>
      <c r="N1802" s="25" t="e">
        <f ca="1"/>
        <v>#REF!</v>
      </c>
      <c r="O1802" s="25" t="e">
        <f ca="1"/>
        <v>#REF!</v>
      </c>
      <c r="P1802" s="25" t="e">
        <f ca="1"/>
        <v>#REF!</v>
      </c>
      <c r="Q1802" s="25" t="e">
        <f ca="1"/>
        <v>#REF!</v>
      </c>
      <c r="R1802" s="25" t="e">
        <f ca="1"/>
        <v>#REF!</v>
      </c>
      <c r="S1802" s="25" t="e">
        <f ca="1"/>
        <v>#REF!</v>
      </c>
      <c r="T1802" s="25" t="e">
        <f ca="1"/>
        <v>#REF!</v>
      </c>
      <c r="U1802" s="25" t="e">
        <f ca="1"/>
        <v>#REF!</v>
      </c>
      <c r="V1802" s="25" t="e">
        <f ca="1"/>
        <v>#REF!</v>
      </c>
      <c r="W1802" s="33" t="e">
        <f ca="1"/>
        <v>#REF!</v>
      </c>
      <c r="X1802" s="33" t="e">
        <f ca="1"/>
        <v>#REF!</v>
      </c>
      <c r="Y1802" s="33" t="e">
        <f ca="1"/>
        <v>#REF!</v>
      </c>
      <c r="Z1802" s="33" t="e">
        <f ca="1"/>
        <v>#REF!</v>
      </c>
      <c r="AA1802" s="33" t="e">
        <f ca="1"/>
        <v>#REF!</v>
      </c>
    </row>
    <row r="1803" spans="1:27" s="70" customFormat="1" ht="11.25" x14ac:dyDescent="0.2">
      <c r="A1803" s="24">
        <v>1797</v>
      </c>
      <c r="B1803" s="24"/>
      <c r="C1803" s="25"/>
      <c r="D1803" s="26"/>
      <c r="E1803" s="25"/>
      <c r="F1803" s="25"/>
      <c r="G1803" s="24"/>
      <c r="H1803" s="25" t="e">
        <f ca="1"/>
        <v>#REF!</v>
      </c>
      <c r="I1803" s="27" t="e">
        <f ca="1"/>
        <v>#REF!</v>
      </c>
      <c r="J1803" s="28" t="e">
        <f ca="1"/>
        <v>#REF!</v>
      </c>
      <c r="K1803" s="27" t="e">
        <f ca="1"/>
        <v>#REF!</v>
      </c>
      <c r="L1803" s="25" t="e">
        <f ca="1"/>
        <v>#REF!</v>
      </c>
      <c r="M1803" s="25" t="e">
        <f ca="1"/>
        <v>#REF!</v>
      </c>
      <c r="N1803" s="25" t="e">
        <f ca="1"/>
        <v>#REF!</v>
      </c>
      <c r="O1803" s="25" t="e">
        <f ca="1"/>
        <v>#REF!</v>
      </c>
      <c r="P1803" s="25" t="e">
        <f ca="1"/>
        <v>#REF!</v>
      </c>
      <c r="Q1803" s="25" t="e">
        <f ca="1"/>
        <v>#REF!</v>
      </c>
      <c r="R1803" s="25" t="e">
        <f ca="1"/>
        <v>#REF!</v>
      </c>
      <c r="S1803" s="25" t="e">
        <f ca="1"/>
        <v>#REF!</v>
      </c>
      <c r="T1803" s="25" t="e">
        <f ca="1"/>
        <v>#REF!</v>
      </c>
      <c r="U1803" s="25" t="e">
        <f ca="1"/>
        <v>#REF!</v>
      </c>
      <c r="V1803" s="25" t="e">
        <f ca="1"/>
        <v>#REF!</v>
      </c>
      <c r="W1803" s="33" t="e">
        <f ca="1"/>
        <v>#REF!</v>
      </c>
      <c r="X1803" s="33" t="e">
        <f ca="1"/>
        <v>#REF!</v>
      </c>
      <c r="Y1803" s="33" t="e">
        <f ca="1"/>
        <v>#REF!</v>
      </c>
      <c r="Z1803" s="33" t="e">
        <f ca="1"/>
        <v>#REF!</v>
      </c>
      <c r="AA1803" s="33" t="e">
        <f ca="1"/>
        <v>#REF!</v>
      </c>
    </row>
    <row r="1804" spans="1:27" s="70" customFormat="1" ht="11.25" x14ac:dyDescent="0.2">
      <c r="A1804" s="24">
        <v>1798</v>
      </c>
      <c r="B1804" s="24"/>
      <c r="C1804" s="25"/>
      <c r="D1804" s="26"/>
      <c r="E1804" s="25"/>
      <c r="F1804" s="25"/>
      <c r="G1804" s="24"/>
      <c r="H1804" s="25" t="e">
        <f ca="1"/>
        <v>#REF!</v>
      </c>
      <c r="I1804" s="27" t="e">
        <f ca="1"/>
        <v>#REF!</v>
      </c>
      <c r="J1804" s="28" t="e">
        <f ca="1"/>
        <v>#REF!</v>
      </c>
      <c r="K1804" s="27" t="e">
        <f ca="1"/>
        <v>#REF!</v>
      </c>
      <c r="L1804" s="25" t="e">
        <f ca="1"/>
        <v>#REF!</v>
      </c>
      <c r="M1804" s="25" t="e">
        <f ca="1"/>
        <v>#REF!</v>
      </c>
      <c r="N1804" s="25" t="e">
        <f ca="1"/>
        <v>#REF!</v>
      </c>
      <c r="O1804" s="25" t="e">
        <f ca="1"/>
        <v>#REF!</v>
      </c>
      <c r="P1804" s="25" t="e">
        <f ca="1"/>
        <v>#REF!</v>
      </c>
      <c r="Q1804" s="25" t="e">
        <f ca="1"/>
        <v>#REF!</v>
      </c>
      <c r="R1804" s="25" t="e">
        <f ca="1"/>
        <v>#REF!</v>
      </c>
      <c r="S1804" s="25" t="e">
        <f ca="1"/>
        <v>#REF!</v>
      </c>
      <c r="T1804" s="25" t="e">
        <f ca="1"/>
        <v>#REF!</v>
      </c>
      <c r="U1804" s="25" t="e">
        <f ca="1"/>
        <v>#REF!</v>
      </c>
      <c r="V1804" s="25" t="e">
        <f ca="1"/>
        <v>#REF!</v>
      </c>
      <c r="W1804" s="33" t="e">
        <f ca="1"/>
        <v>#REF!</v>
      </c>
      <c r="X1804" s="33" t="e">
        <f ca="1"/>
        <v>#REF!</v>
      </c>
      <c r="Y1804" s="33" t="e">
        <f ca="1"/>
        <v>#REF!</v>
      </c>
      <c r="Z1804" s="33" t="e">
        <f ca="1"/>
        <v>#REF!</v>
      </c>
      <c r="AA1804" s="33" t="e">
        <f ca="1"/>
        <v>#REF!</v>
      </c>
    </row>
    <row r="1805" spans="1:27" s="70" customFormat="1" ht="11.25" x14ac:dyDescent="0.2">
      <c r="A1805" s="24">
        <v>1799</v>
      </c>
      <c r="B1805" s="24"/>
      <c r="C1805" s="25"/>
      <c r="D1805" s="26"/>
      <c r="E1805" s="25"/>
      <c r="F1805" s="25"/>
      <c r="G1805" s="24"/>
      <c r="H1805" s="25" t="e">
        <f ca="1"/>
        <v>#REF!</v>
      </c>
      <c r="I1805" s="27" t="e">
        <f ca="1"/>
        <v>#REF!</v>
      </c>
      <c r="J1805" s="28" t="e">
        <f ca="1"/>
        <v>#REF!</v>
      </c>
      <c r="K1805" s="27" t="e">
        <f ca="1"/>
        <v>#REF!</v>
      </c>
      <c r="L1805" s="25" t="e">
        <f ca="1"/>
        <v>#REF!</v>
      </c>
      <c r="M1805" s="25" t="e">
        <f ca="1"/>
        <v>#REF!</v>
      </c>
      <c r="N1805" s="25" t="e">
        <f ca="1"/>
        <v>#REF!</v>
      </c>
      <c r="O1805" s="25" t="e">
        <f ca="1"/>
        <v>#REF!</v>
      </c>
      <c r="P1805" s="25" t="e">
        <f ca="1"/>
        <v>#REF!</v>
      </c>
      <c r="Q1805" s="25" t="e">
        <f ca="1"/>
        <v>#REF!</v>
      </c>
      <c r="R1805" s="25" t="e">
        <f ca="1"/>
        <v>#REF!</v>
      </c>
      <c r="S1805" s="25" t="e">
        <f ca="1"/>
        <v>#REF!</v>
      </c>
      <c r="T1805" s="25" t="e">
        <f ca="1"/>
        <v>#REF!</v>
      </c>
      <c r="U1805" s="25" t="e">
        <f ca="1"/>
        <v>#REF!</v>
      </c>
      <c r="V1805" s="25" t="e">
        <f ca="1"/>
        <v>#REF!</v>
      </c>
      <c r="W1805" s="33" t="e">
        <f ca="1"/>
        <v>#REF!</v>
      </c>
      <c r="X1805" s="33" t="e">
        <f ca="1"/>
        <v>#REF!</v>
      </c>
      <c r="Y1805" s="33" t="e">
        <f ca="1"/>
        <v>#REF!</v>
      </c>
      <c r="Z1805" s="33" t="e">
        <f ca="1"/>
        <v>#REF!</v>
      </c>
      <c r="AA1805" s="33" t="e">
        <f ca="1"/>
        <v>#REF!</v>
      </c>
    </row>
    <row r="1806" spans="1:27" s="70" customFormat="1" ht="11.25" x14ac:dyDescent="0.2">
      <c r="A1806" s="24">
        <v>1800</v>
      </c>
      <c r="B1806" s="24"/>
      <c r="C1806" s="25"/>
      <c r="D1806" s="26"/>
      <c r="E1806" s="25"/>
      <c r="F1806" s="25"/>
      <c r="G1806" s="24"/>
      <c r="H1806" s="25" t="e">
        <f ca="1"/>
        <v>#REF!</v>
      </c>
      <c r="I1806" s="27" t="e">
        <f ca="1"/>
        <v>#REF!</v>
      </c>
      <c r="J1806" s="28" t="e">
        <f ca="1"/>
        <v>#REF!</v>
      </c>
      <c r="K1806" s="27" t="e">
        <f ca="1"/>
        <v>#REF!</v>
      </c>
      <c r="L1806" s="25" t="e">
        <f ca="1"/>
        <v>#REF!</v>
      </c>
      <c r="M1806" s="25" t="e">
        <f ca="1"/>
        <v>#REF!</v>
      </c>
      <c r="N1806" s="25" t="e">
        <f ca="1"/>
        <v>#REF!</v>
      </c>
      <c r="O1806" s="25" t="e">
        <f ca="1"/>
        <v>#REF!</v>
      </c>
      <c r="P1806" s="25" t="e">
        <f ca="1"/>
        <v>#REF!</v>
      </c>
      <c r="Q1806" s="25" t="e">
        <f ca="1"/>
        <v>#REF!</v>
      </c>
      <c r="R1806" s="25" t="e">
        <f ca="1"/>
        <v>#REF!</v>
      </c>
      <c r="S1806" s="25" t="e">
        <f ca="1"/>
        <v>#REF!</v>
      </c>
      <c r="T1806" s="25" t="e">
        <f ca="1"/>
        <v>#REF!</v>
      </c>
      <c r="U1806" s="25" t="e">
        <f ca="1"/>
        <v>#REF!</v>
      </c>
      <c r="V1806" s="25" t="e">
        <f ca="1"/>
        <v>#REF!</v>
      </c>
      <c r="W1806" s="33" t="e">
        <f ca="1"/>
        <v>#REF!</v>
      </c>
      <c r="X1806" s="33" t="e">
        <f ca="1"/>
        <v>#REF!</v>
      </c>
      <c r="Y1806" s="33" t="e">
        <f ca="1"/>
        <v>#REF!</v>
      </c>
      <c r="Z1806" s="33" t="e">
        <f ca="1"/>
        <v>#REF!</v>
      </c>
      <c r="AA1806" s="33" t="e">
        <f ca="1"/>
        <v>#REF!</v>
      </c>
    </row>
    <row r="1807" spans="1:27" s="70" customFormat="1" ht="11.25" x14ac:dyDescent="0.2">
      <c r="A1807" s="24">
        <v>1801</v>
      </c>
      <c r="B1807" s="24"/>
      <c r="C1807" s="25"/>
      <c r="D1807" s="26"/>
      <c r="E1807" s="25"/>
      <c r="F1807" s="25"/>
      <c r="G1807" s="24"/>
      <c r="H1807" s="25" t="e">
        <f ca="1"/>
        <v>#REF!</v>
      </c>
      <c r="I1807" s="27" t="e">
        <f ca="1"/>
        <v>#REF!</v>
      </c>
      <c r="J1807" s="28" t="e">
        <f ca="1"/>
        <v>#REF!</v>
      </c>
      <c r="K1807" s="27" t="e">
        <f ca="1"/>
        <v>#REF!</v>
      </c>
      <c r="L1807" s="25" t="e">
        <f ca="1"/>
        <v>#REF!</v>
      </c>
      <c r="M1807" s="25" t="e">
        <f ca="1"/>
        <v>#REF!</v>
      </c>
      <c r="N1807" s="25" t="e">
        <f ca="1"/>
        <v>#REF!</v>
      </c>
      <c r="O1807" s="25" t="e">
        <f ca="1"/>
        <v>#REF!</v>
      </c>
      <c r="P1807" s="25" t="e">
        <f ca="1"/>
        <v>#REF!</v>
      </c>
      <c r="Q1807" s="25" t="e">
        <f ca="1"/>
        <v>#REF!</v>
      </c>
      <c r="R1807" s="25" t="e">
        <f ca="1"/>
        <v>#REF!</v>
      </c>
      <c r="S1807" s="25" t="e">
        <f ca="1"/>
        <v>#REF!</v>
      </c>
      <c r="T1807" s="25" t="e">
        <f ca="1"/>
        <v>#REF!</v>
      </c>
      <c r="U1807" s="25" t="e">
        <f ca="1"/>
        <v>#REF!</v>
      </c>
      <c r="V1807" s="25" t="e">
        <f ca="1"/>
        <v>#REF!</v>
      </c>
      <c r="W1807" s="33" t="e">
        <f ca="1"/>
        <v>#REF!</v>
      </c>
      <c r="X1807" s="33" t="e">
        <f ca="1"/>
        <v>#REF!</v>
      </c>
      <c r="Y1807" s="33" t="e">
        <f ca="1"/>
        <v>#REF!</v>
      </c>
      <c r="Z1807" s="33" t="e">
        <f ca="1"/>
        <v>#REF!</v>
      </c>
      <c r="AA1807" s="33" t="e">
        <f ca="1"/>
        <v>#REF!</v>
      </c>
    </row>
    <row r="1808" spans="1:27" s="70" customFormat="1" ht="11.25" x14ac:dyDescent="0.2">
      <c r="A1808" s="24">
        <v>1802</v>
      </c>
      <c r="B1808" s="24"/>
      <c r="C1808" s="25"/>
      <c r="D1808" s="26"/>
      <c r="E1808" s="25"/>
      <c r="F1808" s="25"/>
      <c r="G1808" s="24"/>
      <c r="H1808" s="25" t="e">
        <f ca="1"/>
        <v>#REF!</v>
      </c>
      <c r="I1808" s="27" t="e">
        <f ca="1"/>
        <v>#REF!</v>
      </c>
      <c r="J1808" s="28" t="e">
        <f ca="1"/>
        <v>#REF!</v>
      </c>
      <c r="K1808" s="27" t="e">
        <f ca="1"/>
        <v>#REF!</v>
      </c>
      <c r="L1808" s="25" t="e">
        <f ca="1"/>
        <v>#REF!</v>
      </c>
      <c r="M1808" s="25" t="e">
        <f ca="1"/>
        <v>#REF!</v>
      </c>
      <c r="N1808" s="25" t="e">
        <f ca="1"/>
        <v>#REF!</v>
      </c>
      <c r="O1808" s="25" t="e">
        <f ca="1"/>
        <v>#REF!</v>
      </c>
      <c r="P1808" s="25" t="e">
        <f ca="1"/>
        <v>#REF!</v>
      </c>
      <c r="Q1808" s="25" t="e">
        <f ca="1"/>
        <v>#REF!</v>
      </c>
      <c r="R1808" s="25" t="e">
        <f ca="1"/>
        <v>#REF!</v>
      </c>
      <c r="S1808" s="25" t="e">
        <f ca="1"/>
        <v>#REF!</v>
      </c>
      <c r="T1808" s="25" t="e">
        <f ca="1"/>
        <v>#REF!</v>
      </c>
      <c r="U1808" s="25" t="e">
        <f ca="1"/>
        <v>#REF!</v>
      </c>
      <c r="V1808" s="25" t="e">
        <f ca="1"/>
        <v>#REF!</v>
      </c>
      <c r="W1808" s="33" t="e">
        <f ca="1"/>
        <v>#REF!</v>
      </c>
      <c r="X1808" s="33" t="e">
        <f ca="1"/>
        <v>#REF!</v>
      </c>
      <c r="Y1808" s="33" t="e">
        <f ca="1"/>
        <v>#REF!</v>
      </c>
      <c r="Z1808" s="33" t="e">
        <f ca="1"/>
        <v>#REF!</v>
      </c>
      <c r="AA1808" s="33" t="e">
        <f ca="1"/>
        <v>#REF!</v>
      </c>
    </row>
    <row r="1809" spans="1:27" s="70" customFormat="1" ht="11.25" x14ac:dyDescent="0.2">
      <c r="A1809" s="24">
        <v>1803</v>
      </c>
      <c r="B1809" s="24"/>
      <c r="C1809" s="25"/>
      <c r="D1809" s="26"/>
      <c r="E1809" s="25"/>
      <c r="F1809" s="25"/>
      <c r="G1809" s="24"/>
      <c r="H1809" s="25" t="e">
        <f ca="1"/>
        <v>#REF!</v>
      </c>
      <c r="I1809" s="27" t="e">
        <f ca="1"/>
        <v>#REF!</v>
      </c>
      <c r="J1809" s="28" t="e">
        <f ca="1"/>
        <v>#REF!</v>
      </c>
      <c r="K1809" s="27" t="e">
        <f ca="1"/>
        <v>#REF!</v>
      </c>
      <c r="L1809" s="25" t="e">
        <f ca="1"/>
        <v>#REF!</v>
      </c>
      <c r="M1809" s="25" t="e">
        <f ca="1"/>
        <v>#REF!</v>
      </c>
      <c r="N1809" s="25" t="e">
        <f ca="1"/>
        <v>#REF!</v>
      </c>
      <c r="O1809" s="25" t="e">
        <f ca="1"/>
        <v>#REF!</v>
      </c>
      <c r="P1809" s="25" t="e">
        <f ca="1"/>
        <v>#REF!</v>
      </c>
      <c r="Q1809" s="25" t="e">
        <f ca="1"/>
        <v>#REF!</v>
      </c>
      <c r="R1809" s="25" t="e">
        <f ca="1"/>
        <v>#REF!</v>
      </c>
      <c r="S1809" s="25" t="e">
        <f ca="1"/>
        <v>#REF!</v>
      </c>
      <c r="T1809" s="25" t="e">
        <f ca="1"/>
        <v>#REF!</v>
      </c>
      <c r="U1809" s="25" t="e">
        <f ca="1"/>
        <v>#REF!</v>
      </c>
      <c r="V1809" s="25" t="e">
        <f ca="1"/>
        <v>#REF!</v>
      </c>
      <c r="W1809" s="33" t="e">
        <f ca="1"/>
        <v>#REF!</v>
      </c>
      <c r="X1809" s="33" t="e">
        <f ca="1"/>
        <v>#REF!</v>
      </c>
      <c r="Y1809" s="33" t="e">
        <f ca="1"/>
        <v>#REF!</v>
      </c>
      <c r="Z1809" s="33" t="e">
        <f ca="1"/>
        <v>#REF!</v>
      </c>
      <c r="AA1809" s="33" t="e">
        <f ca="1"/>
        <v>#REF!</v>
      </c>
    </row>
    <row r="1810" spans="1:27" s="70" customFormat="1" ht="11.25" x14ac:dyDescent="0.2">
      <c r="A1810" s="24">
        <v>1804</v>
      </c>
      <c r="B1810" s="24"/>
      <c r="C1810" s="25"/>
      <c r="D1810" s="26"/>
      <c r="E1810" s="25"/>
      <c r="F1810" s="25"/>
      <c r="G1810" s="24"/>
      <c r="H1810" s="25" t="e">
        <f ca="1"/>
        <v>#REF!</v>
      </c>
      <c r="I1810" s="27" t="e">
        <f ca="1"/>
        <v>#REF!</v>
      </c>
      <c r="J1810" s="28" t="e">
        <f ca="1"/>
        <v>#REF!</v>
      </c>
      <c r="K1810" s="27" t="e">
        <f ca="1"/>
        <v>#REF!</v>
      </c>
      <c r="L1810" s="25" t="e">
        <f ca="1"/>
        <v>#REF!</v>
      </c>
      <c r="M1810" s="25" t="e">
        <f ca="1"/>
        <v>#REF!</v>
      </c>
      <c r="N1810" s="25" t="e">
        <f ca="1"/>
        <v>#REF!</v>
      </c>
      <c r="O1810" s="25" t="e">
        <f ca="1"/>
        <v>#REF!</v>
      </c>
      <c r="P1810" s="25" t="e">
        <f ca="1"/>
        <v>#REF!</v>
      </c>
      <c r="Q1810" s="25" t="e">
        <f ca="1"/>
        <v>#REF!</v>
      </c>
      <c r="R1810" s="25" t="e">
        <f ca="1"/>
        <v>#REF!</v>
      </c>
      <c r="S1810" s="25" t="e">
        <f ca="1"/>
        <v>#REF!</v>
      </c>
      <c r="T1810" s="25" t="e">
        <f ca="1"/>
        <v>#REF!</v>
      </c>
      <c r="U1810" s="25" t="e">
        <f ca="1"/>
        <v>#REF!</v>
      </c>
      <c r="V1810" s="25" t="e">
        <f ca="1"/>
        <v>#REF!</v>
      </c>
      <c r="W1810" s="33" t="e">
        <f ca="1"/>
        <v>#REF!</v>
      </c>
      <c r="X1810" s="33" t="e">
        <f ca="1"/>
        <v>#REF!</v>
      </c>
      <c r="Y1810" s="33" t="e">
        <f ca="1"/>
        <v>#REF!</v>
      </c>
      <c r="Z1810" s="33" t="e">
        <f ca="1"/>
        <v>#REF!</v>
      </c>
      <c r="AA1810" s="33" t="e">
        <f ca="1"/>
        <v>#REF!</v>
      </c>
    </row>
    <row r="1811" spans="1:27" s="70" customFormat="1" ht="11.25" x14ac:dyDescent="0.2">
      <c r="A1811" s="24">
        <v>1805</v>
      </c>
      <c r="B1811" s="24"/>
      <c r="C1811" s="25"/>
      <c r="D1811" s="26"/>
      <c r="E1811" s="25"/>
      <c r="F1811" s="25"/>
      <c r="G1811" s="24"/>
      <c r="H1811" s="25" t="e">
        <f ca="1"/>
        <v>#REF!</v>
      </c>
      <c r="I1811" s="27" t="e">
        <f ca="1"/>
        <v>#REF!</v>
      </c>
      <c r="J1811" s="28" t="e">
        <f ca="1"/>
        <v>#REF!</v>
      </c>
      <c r="K1811" s="27" t="e">
        <f ca="1"/>
        <v>#REF!</v>
      </c>
      <c r="L1811" s="25" t="e">
        <f ca="1"/>
        <v>#REF!</v>
      </c>
      <c r="M1811" s="25" t="e">
        <f ca="1"/>
        <v>#REF!</v>
      </c>
      <c r="N1811" s="25" t="e">
        <f ca="1"/>
        <v>#REF!</v>
      </c>
      <c r="O1811" s="25" t="e">
        <f ca="1"/>
        <v>#REF!</v>
      </c>
      <c r="P1811" s="25" t="e">
        <f ca="1"/>
        <v>#REF!</v>
      </c>
      <c r="Q1811" s="25" t="e">
        <f ca="1"/>
        <v>#REF!</v>
      </c>
      <c r="R1811" s="25" t="e">
        <f ca="1"/>
        <v>#REF!</v>
      </c>
      <c r="S1811" s="25" t="e">
        <f ca="1"/>
        <v>#REF!</v>
      </c>
      <c r="T1811" s="25" t="e">
        <f ca="1"/>
        <v>#REF!</v>
      </c>
      <c r="U1811" s="25" t="e">
        <f ca="1"/>
        <v>#REF!</v>
      </c>
      <c r="V1811" s="25" t="e">
        <f ca="1"/>
        <v>#REF!</v>
      </c>
      <c r="W1811" s="33" t="e">
        <f ca="1"/>
        <v>#REF!</v>
      </c>
      <c r="X1811" s="33" t="e">
        <f ca="1"/>
        <v>#REF!</v>
      </c>
      <c r="Y1811" s="33" t="e">
        <f ca="1"/>
        <v>#REF!</v>
      </c>
      <c r="Z1811" s="33" t="e">
        <f ca="1"/>
        <v>#REF!</v>
      </c>
      <c r="AA1811" s="33" t="e">
        <f ca="1"/>
        <v>#REF!</v>
      </c>
    </row>
    <row r="1812" spans="1:27" s="70" customFormat="1" ht="11.25" x14ac:dyDescent="0.2">
      <c r="A1812" s="24">
        <v>1806</v>
      </c>
      <c r="B1812" s="24"/>
      <c r="C1812" s="25"/>
      <c r="D1812" s="26"/>
      <c r="E1812" s="25"/>
      <c r="F1812" s="25"/>
      <c r="G1812" s="24"/>
      <c r="H1812" s="25" t="e">
        <f ca="1"/>
        <v>#REF!</v>
      </c>
      <c r="I1812" s="27" t="e">
        <f ca="1"/>
        <v>#REF!</v>
      </c>
      <c r="J1812" s="28" t="e">
        <f ca="1"/>
        <v>#REF!</v>
      </c>
      <c r="K1812" s="27" t="e">
        <f ca="1"/>
        <v>#REF!</v>
      </c>
      <c r="L1812" s="25" t="e">
        <f ca="1"/>
        <v>#REF!</v>
      </c>
      <c r="M1812" s="25" t="e">
        <f ca="1"/>
        <v>#REF!</v>
      </c>
      <c r="N1812" s="25" t="e">
        <f ca="1"/>
        <v>#REF!</v>
      </c>
      <c r="O1812" s="25" t="e">
        <f ca="1"/>
        <v>#REF!</v>
      </c>
      <c r="P1812" s="25" t="e">
        <f ca="1"/>
        <v>#REF!</v>
      </c>
      <c r="Q1812" s="25" t="e">
        <f ca="1"/>
        <v>#REF!</v>
      </c>
      <c r="R1812" s="25" t="e">
        <f ca="1"/>
        <v>#REF!</v>
      </c>
      <c r="S1812" s="25" t="e">
        <f ca="1"/>
        <v>#REF!</v>
      </c>
      <c r="T1812" s="25" t="e">
        <f ca="1"/>
        <v>#REF!</v>
      </c>
      <c r="U1812" s="25" t="e">
        <f ca="1"/>
        <v>#REF!</v>
      </c>
      <c r="V1812" s="25" t="e">
        <f ca="1"/>
        <v>#REF!</v>
      </c>
      <c r="W1812" s="33" t="e">
        <f ca="1"/>
        <v>#REF!</v>
      </c>
      <c r="X1812" s="33" t="e">
        <f ca="1"/>
        <v>#REF!</v>
      </c>
      <c r="Y1812" s="33" t="e">
        <f ca="1"/>
        <v>#REF!</v>
      </c>
      <c r="Z1812" s="33" t="e">
        <f ca="1"/>
        <v>#REF!</v>
      </c>
      <c r="AA1812" s="33" t="e">
        <f ca="1"/>
        <v>#REF!</v>
      </c>
    </row>
    <row r="1813" spans="1:27" s="70" customFormat="1" ht="11.25" x14ac:dyDescent="0.2">
      <c r="A1813" s="24">
        <v>1807</v>
      </c>
      <c r="B1813" s="24"/>
      <c r="C1813" s="25"/>
      <c r="D1813" s="26"/>
      <c r="E1813" s="25"/>
      <c r="F1813" s="25"/>
      <c r="G1813" s="24"/>
      <c r="H1813" s="25" t="e">
        <f ca="1"/>
        <v>#REF!</v>
      </c>
      <c r="I1813" s="27" t="e">
        <f ca="1"/>
        <v>#REF!</v>
      </c>
      <c r="J1813" s="28" t="e">
        <f ca="1"/>
        <v>#REF!</v>
      </c>
      <c r="K1813" s="27" t="e">
        <f ca="1"/>
        <v>#REF!</v>
      </c>
      <c r="L1813" s="25" t="e">
        <f ca="1"/>
        <v>#REF!</v>
      </c>
      <c r="M1813" s="25" t="e">
        <f ca="1"/>
        <v>#REF!</v>
      </c>
      <c r="N1813" s="25" t="e">
        <f ca="1"/>
        <v>#REF!</v>
      </c>
      <c r="O1813" s="25" t="e">
        <f ca="1"/>
        <v>#REF!</v>
      </c>
      <c r="P1813" s="25" t="e">
        <f ca="1"/>
        <v>#REF!</v>
      </c>
      <c r="Q1813" s="25" t="e">
        <f ca="1"/>
        <v>#REF!</v>
      </c>
      <c r="R1813" s="25" t="e">
        <f ca="1"/>
        <v>#REF!</v>
      </c>
      <c r="S1813" s="25" t="e">
        <f ca="1"/>
        <v>#REF!</v>
      </c>
      <c r="T1813" s="25" t="e">
        <f ca="1"/>
        <v>#REF!</v>
      </c>
      <c r="U1813" s="25" t="e">
        <f ca="1"/>
        <v>#REF!</v>
      </c>
      <c r="V1813" s="25" t="e">
        <f ca="1"/>
        <v>#REF!</v>
      </c>
      <c r="W1813" s="33" t="e">
        <f ca="1"/>
        <v>#REF!</v>
      </c>
      <c r="X1813" s="33" t="e">
        <f ca="1"/>
        <v>#REF!</v>
      </c>
      <c r="Y1813" s="33" t="e">
        <f ca="1"/>
        <v>#REF!</v>
      </c>
      <c r="Z1813" s="33" t="e">
        <f ca="1"/>
        <v>#REF!</v>
      </c>
      <c r="AA1813" s="33" t="e">
        <f ca="1"/>
        <v>#REF!</v>
      </c>
    </row>
    <row r="1814" spans="1:27" s="70" customFormat="1" ht="11.25" x14ac:dyDescent="0.2">
      <c r="A1814" s="24">
        <v>1808</v>
      </c>
      <c r="B1814" s="24"/>
      <c r="C1814" s="25"/>
      <c r="D1814" s="26"/>
      <c r="E1814" s="25"/>
      <c r="F1814" s="25"/>
      <c r="G1814" s="24"/>
      <c r="H1814" s="25" t="e">
        <f ca="1"/>
        <v>#REF!</v>
      </c>
      <c r="I1814" s="27" t="e">
        <f ca="1"/>
        <v>#REF!</v>
      </c>
      <c r="J1814" s="28" t="e">
        <f ca="1"/>
        <v>#REF!</v>
      </c>
      <c r="K1814" s="27" t="e">
        <f ca="1"/>
        <v>#REF!</v>
      </c>
      <c r="L1814" s="25" t="e">
        <f ca="1"/>
        <v>#REF!</v>
      </c>
      <c r="M1814" s="25" t="e">
        <f ca="1"/>
        <v>#REF!</v>
      </c>
      <c r="N1814" s="25" t="e">
        <f ca="1"/>
        <v>#REF!</v>
      </c>
      <c r="O1814" s="25" t="e">
        <f ca="1"/>
        <v>#REF!</v>
      </c>
      <c r="P1814" s="25" t="e">
        <f ca="1"/>
        <v>#REF!</v>
      </c>
      <c r="Q1814" s="25" t="e">
        <f ca="1"/>
        <v>#REF!</v>
      </c>
      <c r="R1814" s="25" t="e">
        <f ca="1"/>
        <v>#REF!</v>
      </c>
      <c r="S1814" s="25" t="e">
        <f ca="1"/>
        <v>#REF!</v>
      </c>
      <c r="T1814" s="25" t="e">
        <f ca="1"/>
        <v>#REF!</v>
      </c>
      <c r="U1814" s="25" t="e">
        <f ca="1"/>
        <v>#REF!</v>
      </c>
      <c r="V1814" s="25" t="e">
        <f ca="1"/>
        <v>#REF!</v>
      </c>
      <c r="W1814" s="33" t="e">
        <f ca="1"/>
        <v>#REF!</v>
      </c>
      <c r="X1814" s="33" t="e">
        <f ca="1"/>
        <v>#REF!</v>
      </c>
      <c r="Y1814" s="33" t="e">
        <f ca="1"/>
        <v>#REF!</v>
      </c>
      <c r="Z1814" s="33" t="e">
        <f ca="1"/>
        <v>#REF!</v>
      </c>
      <c r="AA1814" s="33" t="e">
        <f ca="1"/>
        <v>#REF!</v>
      </c>
    </row>
    <row r="1815" spans="1:27" s="70" customFormat="1" ht="11.25" x14ac:dyDescent="0.2">
      <c r="A1815" s="24">
        <v>1809</v>
      </c>
      <c r="B1815" s="24"/>
      <c r="C1815" s="25"/>
      <c r="D1815" s="26"/>
      <c r="E1815" s="25"/>
      <c r="F1815" s="25"/>
      <c r="G1815" s="24"/>
      <c r="H1815" s="25" t="e">
        <f ca="1"/>
        <v>#REF!</v>
      </c>
      <c r="I1815" s="27" t="e">
        <f ca="1"/>
        <v>#REF!</v>
      </c>
      <c r="J1815" s="28" t="e">
        <f ca="1"/>
        <v>#REF!</v>
      </c>
      <c r="K1815" s="27" t="e">
        <f ca="1"/>
        <v>#REF!</v>
      </c>
      <c r="L1815" s="25" t="e">
        <f ca="1"/>
        <v>#REF!</v>
      </c>
      <c r="M1815" s="25" t="e">
        <f ca="1"/>
        <v>#REF!</v>
      </c>
      <c r="N1815" s="25" t="e">
        <f ca="1"/>
        <v>#REF!</v>
      </c>
      <c r="O1815" s="25" t="e">
        <f ca="1"/>
        <v>#REF!</v>
      </c>
      <c r="P1815" s="25" t="e">
        <f ca="1"/>
        <v>#REF!</v>
      </c>
      <c r="Q1815" s="25" t="e">
        <f ca="1"/>
        <v>#REF!</v>
      </c>
      <c r="R1815" s="25" t="e">
        <f ca="1"/>
        <v>#REF!</v>
      </c>
      <c r="S1815" s="25" t="e">
        <f ca="1"/>
        <v>#REF!</v>
      </c>
      <c r="T1815" s="25" t="e">
        <f ca="1"/>
        <v>#REF!</v>
      </c>
      <c r="U1815" s="25" t="e">
        <f ca="1"/>
        <v>#REF!</v>
      </c>
      <c r="V1815" s="25" t="e">
        <f ca="1"/>
        <v>#REF!</v>
      </c>
      <c r="W1815" s="33" t="e">
        <f ca="1"/>
        <v>#REF!</v>
      </c>
      <c r="X1815" s="33" t="e">
        <f ca="1"/>
        <v>#REF!</v>
      </c>
      <c r="Y1815" s="33" t="e">
        <f ca="1"/>
        <v>#REF!</v>
      </c>
      <c r="Z1815" s="33" t="e">
        <f ca="1"/>
        <v>#REF!</v>
      </c>
      <c r="AA1815" s="33" t="e">
        <f ca="1"/>
        <v>#REF!</v>
      </c>
    </row>
    <row r="1816" spans="1:27" s="70" customFormat="1" ht="11.25" x14ac:dyDescent="0.2">
      <c r="A1816" s="24">
        <v>1810</v>
      </c>
      <c r="B1816" s="24"/>
      <c r="C1816" s="25"/>
      <c r="D1816" s="26"/>
      <c r="E1816" s="25"/>
      <c r="F1816" s="25"/>
      <c r="G1816" s="24"/>
      <c r="H1816" s="25" t="e">
        <f ca="1"/>
        <v>#REF!</v>
      </c>
      <c r="I1816" s="27" t="e">
        <f ca="1"/>
        <v>#REF!</v>
      </c>
      <c r="J1816" s="28" t="e">
        <f ca="1"/>
        <v>#REF!</v>
      </c>
      <c r="K1816" s="27" t="e">
        <f ca="1"/>
        <v>#REF!</v>
      </c>
      <c r="L1816" s="25" t="e">
        <f ca="1"/>
        <v>#REF!</v>
      </c>
      <c r="M1816" s="25" t="e">
        <f ca="1"/>
        <v>#REF!</v>
      </c>
      <c r="N1816" s="25" t="e">
        <f ca="1"/>
        <v>#REF!</v>
      </c>
      <c r="O1816" s="25" t="e">
        <f ca="1"/>
        <v>#REF!</v>
      </c>
      <c r="P1816" s="25" t="e">
        <f ca="1"/>
        <v>#REF!</v>
      </c>
      <c r="Q1816" s="25" t="e">
        <f ca="1"/>
        <v>#REF!</v>
      </c>
      <c r="R1816" s="25" t="e">
        <f ca="1"/>
        <v>#REF!</v>
      </c>
      <c r="S1816" s="25" t="e">
        <f ca="1"/>
        <v>#REF!</v>
      </c>
      <c r="T1816" s="25" t="e">
        <f ca="1"/>
        <v>#REF!</v>
      </c>
      <c r="U1816" s="25" t="e">
        <f ca="1"/>
        <v>#REF!</v>
      </c>
      <c r="V1816" s="25" t="e">
        <f ca="1"/>
        <v>#REF!</v>
      </c>
      <c r="W1816" s="33" t="e">
        <f ca="1"/>
        <v>#REF!</v>
      </c>
      <c r="X1816" s="33" t="e">
        <f ca="1"/>
        <v>#REF!</v>
      </c>
      <c r="Y1816" s="33" t="e">
        <f ca="1"/>
        <v>#REF!</v>
      </c>
      <c r="Z1816" s="33" t="e">
        <f ca="1"/>
        <v>#REF!</v>
      </c>
      <c r="AA1816" s="33" t="e">
        <f ca="1"/>
        <v>#REF!</v>
      </c>
    </row>
    <row r="1817" spans="1:27" s="70" customFormat="1" ht="11.25" x14ac:dyDescent="0.2">
      <c r="A1817" s="24">
        <v>1811</v>
      </c>
      <c r="B1817" s="24"/>
      <c r="C1817" s="25"/>
      <c r="D1817" s="26"/>
      <c r="E1817" s="25"/>
      <c r="F1817" s="25"/>
      <c r="G1817" s="24"/>
      <c r="H1817" s="25" t="e">
        <f ca="1"/>
        <v>#REF!</v>
      </c>
      <c r="I1817" s="27" t="e">
        <f ca="1"/>
        <v>#REF!</v>
      </c>
      <c r="J1817" s="28" t="e">
        <f ca="1"/>
        <v>#REF!</v>
      </c>
      <c r="K1817" s="27" t="e">
        <f ca="1"/>
        <v>#REF!</v>
      </c>
      <c r="L1817" s="25" t="e">
        <f ca="1"/>
        <v>#REF!</v>
      </c>
      <c r="M1817" s="25" t="e">
        <f ca="1"/>
        <v>#REF!</v>
      </c>
      <c r="N1817" s="25" t="e">
        <f ca="1"/>
        <v>#REF!</v>
      </c>
      <c r="O1817" s="25" t="e">
        <f ca="1"/>
        <v>#REF!</v>
      </c>
      <c r="P1817" s="25" t="e">
        <f ca="1"/>
        <v>#REF!</v>
      </c>
      <c r="Q1817" s="25" t="e">
        <f ca="1"/>
        <v>#REF!</v>
      </c>
      <c r="R1817" s="25" t="e">
        <f ca="1"/>
        <v>#REF!</v>
      </c>
      <c r="S1817" s="25" t="e">
        <f ca="1"/>
        <v>#REF!</v>
      </c>
      <c r="T1817" s="25" t="e">
        <f ca="1"/>
        <v>#REF!</v>
      </c>
      <c r="U1817" s="25" t="e">
        <f ca="1"/>
        <v>#REF!</v>
      </c>
      <c r="V1817" s="25" t="e">
        <f ca="1"/>
        <v>#REF!</v>
      </c>
      <c r="W1817" s="33" t="e">
        <f ca="1"/>
        <v>#REF!</v>
      </c>
      <c r="X1817" s="33" t="e">
        <f ca="1"/>
        <v>#REF!</v>
      </c>
      <c r="Y1817" s="33" t="e">
        <f ca="1"/>
        <v>#REF!</v>
      </c>
      <c r="Z1817" s="33" t="e">
        <f ca="1"/>
        <v>#REF!</v>
      </c>
      <c r="AA1817" s="33" t="e">
        <f ca="1"/>
        <v>#REF!</v>
      </c>
    </row>
    <row r="1818" spans="1:27" s="70" customFormat="1" ht="11.25" x14ac:dyDescent="0.2">
      <c r="A1818" s="24">
        <v>1812</v>
      </c>
      <c r="B1818" s="24"/>
      <c r="C1818" s="25"/>
      <c r="D1818" s="26"/>
      <c r="E1818" s="25"/>
      <c r="F1818" s="25"/>
      <c r="G1818" s="24"/>
      <c r="H1818" s="25" t="e">
        <f ca="1"/>
        <v>#REF!</v>
      </c>
      <c r="I1818" s="27" t="e">
        <f ca="1"/>
        <v>#REF!</v>
      </c>
      <c r="J1818" s="28" t="e">
        <f ca="1"/>
        <v>#REF!</v>
      </c>
      <c r="K1818" s="27" t="e">
        <f ca="1"/>
        <v>#REF!</v>
      </c>
      <c r="L1818" s="25" t="e">
        <f ca="1"/>
        <v>#REF!</v>
      </c>
      <c r="M1818" s="25" t="e">
        <f ca="1"/>
        <v>#REF!</v>
      </c>
      <c r="N1818" s="25" t="e">
        <f ca="1"/>
        <v>#REF!</v>
      </c>
      <c r="O1818" s="25" t="e">
        <f ca="1"/>
        <v>#REF!</v>
      </c>
      <c r="P1818" s="25" t="e">
        <f ca="1"/>
        <v>#REF!</v>
      </c>
      <c r="Q1818" s="25" t="e">
        <f ca="1"/>
        <v>#REF!</v>
      </c>
      <c r="R1818" s="25" t="e">
        <f ca="1"/>
        <v>#REF!</v>
      </c>
      <c r="S1818" s="25" t="e">
        <f ca="1"/>
        <v>#REF!</v>
      </c>
      <c r="T1818" s="25" t="e">
        <f ca="1"/>
        <v>#REF!</v>
      </c>
      <c r="U1818" s="25" t="e">
        <f ca="1"/>
        <v>#REF!</v>
      </c>
      <c r="V1818" s="25" t="e">
        <f ca="1"/>
        <v>#REF!</v>
      </c>
      <c r="W1818" s="33" t="e">
        <f ca="1"/>
        <v>#REF!</v>
      </c>
      <c r="X1818" s="33" t="e">
        <f ca="1"/>
        <v>#REF!</v>
      </c>
      <c r="Y1818" s="33" t="e">
        <f ca="1"/>
        <v>#REF!</v>
      </c>
      <c r="Z1818" s="33" t="e">
        <f ca="1"/>
        <v>#REF!</v>
      </c>
      <c r="AA1818" s="33" t="e">
        <f ca="1"/>
        <v>#REF!</v>
      </c>
    </row>
    <row r="1819" spans="1:27" s="70" customFormat="1" ht="11.25" x14ac:dyDescent="0.2">
      <c r="A1819" s="24">
        <v>1813</v>
      </c>
      <c r="B1819" s="24"/>
      <c r="C1819" s="25"/>
      <c r="D1819" s="26"/>
      <c r="E1819" s="25"/>
      <c r="F1819" s="25"/>
      <c r="G1819" s="24"/>
      <c r="H1819" s="25" t="e">
        <f ca="1"/>
        <v>#REF!</v>
      </c>
      <c r="I1819" s="27" t="e">
        <f ca="1"/>
        <v>#REF!</v>
      </c>
      <c r="J1819" s="28" t="e">
        <f ca="1"/>
        <v>#REF!</v>
      </c>
      <c r="K1819" s="27" t="e">
        <f ca="1"/>
        <v>#REF!</v>
      </c>
      <c r="L1819" s="25" t="e">
        <f ca="1"/>
        <v>#REF!</v>
      </c>
      <c r="M1819" s="25" t="e">
        <f ca="1"/>
        <v>#REF!</v>
      </c>
      <c r="N1819" s="25" t="e">
        <f ca="1"/>
        <v>#REF!</v>
      </c>
      <c r="O1819" s="25" t="e">
        <f ca="1"/>
        <v>#REF!</v>
      </c>
      <c r="P1819" s="25" t="e">
        <f ca="1"/>
        <v>#REF!</v>
      </c>
      <c r="Q1819" s="25" t="e">
        <f ca="1"/>
        <v>#REF!</v>
      </c>
      <c r="R1819" s="25" t="e">
        <f ca="1"/>
        <v>#REF!</v>
      </c>
      <c r="S1819" s="25" t="e">
        <f ca="1"/>
        <v>#REF!</v>
      </c>
      <c r="T1819" s="25" t="e">
        <f ca="1"/>
        <v>#REF!</v>
      </c>
      <c r="U1819" s="25" t="e">
        <f ca="1"/>
        <v>#REF!</v>
      </c>
      <c r="V1819" s="25" t="e">
        <f ca="1"/>
        <v>#REF!</v>
      </c>
      <c r="W1819" s="33" t="e">
        <f ca="1"/>
        <v>#REF!</v>
      </c>
      <c r="X1819" s="33" t="e">
        <f ca="1"/>
        <v>#REF!</v>
      </c>
      <c r="Y1819" s="33" t="e">
        <f ca="1"/>
        <v>#REF!</v>
      </c>
      <c r="Z1819" s="33" t="e">
        <f ca="1"/>
        <v>#REF!</v>
      </c>
      <c r="AA1819" s="33" t="e">
        <f ca="1"/>
        <v>#REF!</v>
      </c>
    </row>
    <row r="1820" spans="1:27" s="70" customFormat="1" ht="11.25" x14ac:dyDescent="0.2">
      <c r="A1820" s="24">
        <v>1814</v>
      </c>
      <c r="B1820" s="24"/>
      <c r="C1820" s="25"/>
      <c r="D1820" s="26"/>
      <c r="E1820" s="25"/>
      <c r="F1820" s="25"/>
      <c r="G1820" s="24"/>
      <c r="H1820" s="25" t="e">
        <f ca="1"/>
        <v>#REF!</v>
      </c>
      <c r="I1820" s="27" t="e">
        <f ca="1"/>
        <v>#REF!</v>
      </c>
      <c r="J1820" s="28" t="e">
        <f ca="1"/>
        <v>#REF!</v>
      </c>
      <c r="K1820" s="27" t="e">
        <f ca="1"/>
        <v>#REF!</v>
      </c>
      <c r="L1820" s="25" t="e">
        <f ca="1"/>
        <v>#REF!</v>
      </c>
      <c r="M1820" s="25" t="e">
        <f ca="1"/>
        <v>#REF!</v>
      </c>
      <c r="N1820" s="25" t="e">
        <f ca="1"/>
        <v>#REF!</v>
      </c>
      <c r="O1820" s="25" t="e">
        <f ca="1"/>
        <v>#REF!</v>
      </c>
      <c r="P1820" s="25" t="e">
        <f ca="1"/>
        <v>#REF!</v>
      </c>
      <c r="Q1820" s="25" t="e">
        <f ca="1"/>
        <v>#REF!</v>
      </c>
      <c r="R1820" s="25" t="e">
        <f ca="1"/>
        <v>#REF!</v>
      </c>
      <c r="S1820" s="25" t="e">
        <f ca="1"/>
        <v>#REF!</v>
      </c>
      <c r="T1820" s="25" t="e">
        <f ca="1"/>
        <v>#REF!</v>
      </c>
      <c r="U1820" s="25" t="e">
        <f ca="1"/>
        <v>#REF!</v>
      </c>
      <c r="V1820" s="25" t="e">
        <f ca="1"/>
        <v>#REF!</v>
      </c>
      <c r="W1820" s="33" t="e">
        <f ca="1"/>
        <v>#REF!</v>
      </c>
      <c r="X1820" s="33" t="e">
        <f ca="1"/>
        <v>#REF!</v>
      </c>
      <c r="Y1820" s="33" t="e">
        <f ca="1"/>
        <v>#REF!</v>
      </c>
      <c r="Z1820" s="33" t="e">
        <f ca="1"/>
        <v>#REF!</v>
      </c>
      <c r="AA1820" s="33" t="e">
        <f ca="1"/>
        <v>#REF!</v>
      </c>
    </row>
    <row r="1821" spans="1:27" s="70" customFormat="1" ht="11.25" x14ac:dyDescent="0.2">
      <c r="A1821" s="24">
        <v>1815</v>
      </c>
      <c r="B1821" s="24"/>
      <c r="C1821" s="25"/>
      <c r="D1821" s="26"/>
      <c r="E1821" s="25"/>
      <c r="F1821" s="25"/>
      <c r="G1821" s="24"/>
      <c r="H1821" s="25" t="e">
        <f ca="1"/>
        <v>#REF!</v>
      </c>
      <c r="I1821" s="27" t="e">
        <f ca="1"/>
        <v>#REF!</v>
      </c>
      <c r="J1821" s="28" t="e">
        <f ca="1"/>
        <v>#REF!</v>
      </c>
      <c r="K1821" s="27" t="e">
        <f ca="1"/>
        <v>#REF!</v>
      </c>
      <c r="L1821" s="25" t="e">
        <f ca="1"/>
        <v>#REF!</v>
      </c>
      <c r="M1821" s="25" t="e">
        <f ca="1"/>
        <v>#REF!</v>
      </c>
      <c r="N1821" s="25" t="e">
        <f ca="1"/>
        <v>#REF!</v>
      </c>
      <c r="O1821" s="25" t="e">
        <f ca="1"/>
        <v>#REF!</v>
      </c>
      <c r="P1821" s="25" t="e">
        <f ca="1"/>
        <v>#REF!</v>
      </c>
      <c r="Q1821" s="25" t="e">
        <f ca="1"/>
        <v>#REF!</v>
      </c>
      <c r="R1821" s="25" t="e">
        <f ca="1"/>
        <v>#REF!</v>
      </c>
      <c r="S1821" s="25" t="e">
        <f ca="1"/>
        <v>#REF!</v>
      </c>
      <c r="T1821" s="25" t="e">
        <f ca="1"/>
        <v>#REF!</v>
      </c>
      <c r="U1821" s="25" t="e">
        <f ca="1"/>
        <v>#REF!</v>
      </c>
      <c r="V1821" s="25" t="e">
        <f ca="1"/>
        <v>#REF!</v>
      </c>
      <c r="W1821" s="33" t="e">
        <f ca="1"/>
        <v>#REF!</v>
      </c>
      <c r="X1821" s="33" t="e">
        <f ca="1"/>
        <v>#REF!</v>
      </c>
      <c r="Y1821" s="33" t="e">
        <f ca="1"/>
        <v>#REF!</v>
      </c>
      <c r="Z1821" s="33" t="e">
        <f ca="1"/>
        <v>#REF!</v>
      </c>
      <c r="AA1821" s="33" t="e">
        <f ca="1"/>
        <v>#REF!</v>
      </c>
    </row>
    <row r="1822" spans="1:27" s="70" customFormat="1" ht="11.25" x14ac:dyDescent="0.2">
      <c r="A1822" s="24">
        <v>1816</v>
      </c>
      <c r="B1822" s="24"/>
      <c r="C1822" s="25"/>
      <c r="D1822" s="26"/>
      <c r="E1822" s="25"/>
      <c r="F1822" s="25"/>
      <c r="G1822" s="24"/>
      <c r="H1822" s="25" t="e">
        <f ca="1"/>
        <v>#REF!</v>
      </c>
      <c r="I1822" s="27" t="e">
        <f ca="1"/>
        <v>#REF!</v>
      </c>
      <c r="J1822" s="25" t="e">
        <f ca="1"/>
        <v>#REF!</v>
      </c>
      <c r="K1822" s="27" t="e">
        <f ca="1"/>
        <v>#REF!</v>
      </c>
      <c r="L1822" s="25" t="e">
        <f ca="1"/>
        <v>#REF!</v>
      </c>
      <c r="M1822" s="25" t="e">
        <f ca="1"/>
        <v>#REF!</v>
      </c>
      <c r="N1822" s="25" t="e">
        <f ca="1"/>
        <v>#REF!</v>
      </c>
      <c r="O1822" s="25" t="e">
        <f ca="1"/>
        <v>#REF!</v>
      </c>
      <c r="P1822" s="25" t="e">
        <f ca="1"/>
        <v>#REF!</v>
      </c>
      <c r="Q1822" s="25" t="e">
        <f ca="1"/>
        <v>#REF!</v>
      </c>
      <c r="R1822" s="25" t="e">
        <f ca="1"/>
        <v>#REF!</v>
      </c>
      <c r="S1822" s="25" t="e">
        <f ca="1"/>
        <v>#REF!</v>
      </c>
      <c r="T1822" s="25" t="e">
        <f ca="1"/>
        <v>#REF!</v>
      </c>
      <c r="U1822" s="25" t="e">
        <f ca="1"/>
        <v>#REF!</v>
      </c>
      <c r="V1822" s="25" t="e">
        <f ca="1"/>
        <v>#REF!</v>
      </c>
      <c r="W1822" s="33" t="e">
        <f ca="1"/>
        <v>#REF!</v>
      </c>
      <c r="X1822" s="33" t="e">
        <f ca="1"/>
        <v>#REF!</v>
      </c>
      <c r="Y1822" s="33" t="e">
        <f ca="1"/>
        <v>#REF!</v>
      </c>
      <c r="Z1822" s="33" t="e">
        <f ca="1"/>
        <v>#REF!</v>
      </c>
      <c r="AA1822" s="33" t="e">
        <f ca="1"/>
        <v>#REF!</v>
      </c>
    </row>
    <row r="1823" spans="1:27" s="70" customFormat="1" ht="11.25" x14ac:dyDescent="0.2">
      <c r="A1823" s="24">
        <v>1817</v>
      </c>
      <c r="B1823" s="24"/>
      <c r="C1823" s="25"/>
      <c r="D1823" s="26"/>
      <c r="E1823" s="25"/>
      <c r="F1823" s="25"/>
      <c r="G1823" s="24"/>
      <c r="H1823" s="25" t="e">
        <f ca="1"/>
        <v>#REF!</v>
      </c>
      <c r="I1823" s="27" t="e">
        <f ca="1"/>
        <v>#REF!</v>
      </c>
      <c r="J1823" s="25" t="e">
        <f ca="1"/>
        <v>#REF!</v>
      </c>
      <c r="K1823" s="27" t="e">
        <f ca="1"/>
        <v>#REF!</v>
      </c>
      <c r="L1823" s="25" t="e">
        <f ca="1"/>
        <v>#REF!</v>
      </c>
      <c r="M1823" s="25" t="e">
        <f ca="1"/>
        <v>#REF!</v>
      </c>
      <c r="N1823" s="25" t="e">
        <f ca="1"/>
        <v>#REF!</v>
      </c>
      <c r="O1823" s="25" t="e">
        <f ca="1"/>
        <v>#REF!</v>
      </c>
      <c r="P1823" s="25" t="e">
        <f ca="1"/>
        <v>#REF!</v>
      </c>
      <c r="Q1823" s="25" t="e">
        <f ca="1"/>
        <v>#REF!</v>
      </c>
      <c r="R1823" s="25" t="e">
        <f ca="1"/>
        <v>#REF!</v>
      </c>
      <c r="S1823" s="25" t="e">
        <f ca="1"/>
        <v>#REF!</v>
      </c>
      <c r="T1823" s="25" t="e">
        <f ca="1"/>
        <v>#REF!</v>
      </c>
      <c r="U1823" s="25" t="e">
        <f ca="1"/>
        <v>#REF!</v>
      </c>
      <c r="V1823" s="25" t="e">
        <f ca="1"/>
        <v>#REF!</v>
      </c>
      <c r="W1823" s="33" t="e">
        <f ca="1"/>
        <v>#REF!</v>
      </c>
      <c r="X1823" s="33" t="e">
        <f ca="1"/>
        <v>#REF!</v>
      </c>
      <c r="Y1823" s="33" t="e">
        <f ca="1"/>
        <v>#REF!</v>
      </c>
      <c r="Z1823" s="33" t="e">
        <f ca="1"/>
        <v>#REF!</v>
      </c>
      <c r="AA1823" s="33" t="e">
        <f ca="1"/>
        <v>#REF!</v>
      </c>
    </row>
    <row r="1824" spans="1:27" s="70" customFormat="1" ht="11.25" x14ac:dyDescent="0.2">
      <c r="A1824" s="24">
        <v>1818</v>
      </c>
      <c r="B1824" s="24"/>
      <c r="C1824" s="25"/>
      <c r="D1824" s="26"/>
      <c r="E1824" s="25"/>
      <c r="F1824" s="25"/>
      <c r="G1824" s="24"/>
      <c r="H1824" s="25" t="e">
        <f ca="1"/>
        <v>#REF!</v>
      </c>
      <c r="I1824" s="27" t="e">
        <f ca="1"/>
        <v>#REF!</v>
      </c>
      <c r="J1824" s="25" t="e">
        <f ca="1"/>
        <v>#REF!</v>
      </c>
      <c r="K1824" s="27" t="e">
        <f ca="1"/>
        <v>#REF!</v>
      </c>
      <c r="L1824" s="25" t="e">
        <f ca="1"/>
        <v>#REF!</v>
      </c>
      <c r="M1824" s="25" t="e">
        <f ca="1"/>
        <v>#REF!</v>
      </c>
      <c r="N1824" s="25" t="e">
        <f ca="1"/>
        <v>#REF!</v>
      </c>
      <c r="O1824" s="25" t="e">
        <f ca="1"/>
        <v>#REF!</v>
      </c>
      <c r="P1824" s="25" t="e">
        <f ca="1"/>
        <v>#REF!</v>
      </c>
      <c r="Q1824" s="25" t="e">
        <f ca="1"/>
        <v>#REF!</v>
      </c>
      <c r="R1824" s="25" t="e">
        <f ca="1"/>
        <v>#REF!</v>
      </c>
      <c r="S1824" s="25" t="e">
        <f ca="1"/>
        <v>#REF!</v>
      </c>
      <c r="T1824" s="25" t="e">
        <f ca="1"/>
        <v>#REF!</v>
      </c>
      <c r="U1824" s="25" t="e">
        <f ca="1"/>
        <v>#REF!</v>
      </c>
      <c r="V1824" s="25" t="e">
        <f ca="1"/>
        <v>#REF!</v>
      </c>
      <c r="W1824" s="33" t="e">
        <f ca="1"/>
        <v>#REF!</v>
      </c>
      <c r="X1824" s="33" t="e">
        <f ca="1"/>
        <v>#REF!</v>
      </c>
      <c r="Y1824" s="33" t="e">
        <f ca="1"/>
        <v>#REF!</v>
      </c>
      <c r="Z1824" s="33" t="e">
        <f ca="1"/>
        <v>#REF!</v>
      </c>
      <c r="AA1824" s="33" t="e">
        <f ca="1"/>
        <v>#REF!</v>
      </c>
    </row>
    <row r="1825" spans="1:27" s="70" customFormat="1" ht="11.25" x14ac:dyDescent="0.2">
      <c r="A1825" s="24">
        <v>1819</v>
      </c>
      <c r="B1825" s="24"/>
      <c r="C1825" s="25"/>
      <c r="D1825" s="26"/>
      <c r="E1825" s="25"/>
      <c r="F1825" s="25"/>
      <c r="G1825" s="24"/>
      <c r="H1825" s="25" t="e">
        <f ca="1"/>
        <v>#REF!</v>
      </c>
      <c r="I1825" s="27" t="e">
        <f ca="1"/>
        <v>#REF!</v>
      </c>
      <c r="J1825" s="25" t="e">
        <f ca="1"/>
        <v>#REF!</v>
      </c>
      <c r="K1825" s="27" t="e">
        <f ca="1"/>
        <v>#REF!</v>
      </c>
      <c r="L1825" s="25" t="e">
        <f ca="1"/>
        <v>#REF!</v>
      </c>
      <c r="M1825" s="25" t="e">
        <f ca="1"/>
        <v>#REF!</v>
      </c>
      <c r="N1825" s="25" t="e">
        <f ca="1"/>
        <v>#REF!</v>
      </c>
      <c r="O1825" s="25" t="e">
        <f ca="1"/>
        <v>#REF!</v>
      </c>
      <c r="P1825" s="25" t="e">
        <f ca="1"/>
        <v>#REF!</v>
      </c>
      <c r="Q1825" s="25" t="e">
        <f ca="1"/>
        <v>#REF!</v>
      </c>
      <c r="R1825" s="25" t="e">
        <f ca="1"/>
        <v>#REF!</v>
      </c>
      <c r="S1825" s="25" t="e">
        <f ca="1"/>
        <v>#REF!</v>
      </c>
      <c r="T1825" s="25" t="e">
        <f ca="1"/>
        <v>#REF!</v>
      </c>
      <c r="U1825" s="25" t="e">
        <f ca="1"/>
        <v>#REF!</v>
      </c>
      <c r="V1825" s="25" t="e">
        <f ca="1"/>
        <v>#REF!</v>
      </c>
      <c r="W1825" s="33" t="e">
        <f ca="1"/>
        <v>#REF!</v>
      </c>
      <c r="X1825" s="33" t="e">
        <f ca="1"/>
        <v>#REF!</v>
      </c>
      <c r="Y1825" s="33" t="e">
        <f ca="1"/>
        <v>#REF!</v>
      </c>
      <c r="Z1825" s="33" t="e">
        <f ca="1"/>
        <v>#REF!</v>
      </c>
      <c r="AA1825" s="33" t="e">
        <f ca="1"/>
        <v>#REF!</v>
      </c>
    </row>
    <row r="1826" spans="1:27" s="70" customFormat="1" ht="11.25" x14ac:dyDescent="0.2">
      <c r="A1826" s="24">
        <v>1820</v>
      </c>
      <c r="B1826" s="24"/>
      <c r="C1826" s="25"/>
      <c r="D1826" s="26"/>
      <c r="E1826" s="25"/>
      <c r="F1826" s="25"/>
      <c r="G1826" s="24"/>
      <c r="H1826" s="25" t="e">
        <f ca="1"/>
        <v>#REF!</v>
      </c>
      <c r="I1826" s="27" t="e">
        <f ca="1"/>
        <v>#REF!</v>
      </c>
      <c r="J1826" s="25" t="e">
        <f ca="1"/>
        <v>#REF!</v>
      </c>
      <c r="K1826" s="27" t="e">
        <f ca="1"/>
        <v>#REF!</v>
      </c>
      <c r="L1826" s="25" t="e">
        <f ca="1"/>
        <v>#REF!</v>
      </c>
      <c r="M1826" s="25" t="e">
        <f ca="1"/>
        <v>#REF!</v>
      </c>
      <c r="N1826" s="25" t="e">
        <f ca="1"/>
        <v>#REF!</v>
      </c>
      <c r="O1826" s="25" t="e">
        <f ca="1"/>
        <v>#REF!</v>
      </c>
      <c r="P1826" s="25" t="e">
        <f ca="1"/>
        <v>#REF!</v>
      </c>
      <c r="Q1826" s="25" t="e">
        <f ca="1"/>
        <v>#REF!</v>
      </c>
      <c r="R1826" s="25" t="e">
        <f ca="1"/>
        <v>#REF!</v>
      </c>
      <c r="S1826" s="25" t="e">
        <f ca="1"/>
        <v>#REF!</v>
      </c>
      <c r="T1826" s="25" t="e">
        <f ca="1"/>
        <v>#REF!</v>
      </c>
      <c r="U1826" s="25" t="e">
        <f ca="1"/>
        <v>#REF!</v>
      </c>
      <c r="V1826" s="25" t="e">
        <f ca="1"/>
        <v>#REF!</v>
      </c>
      <c r="W1826" s="33" t="e">
        <f ca="1"/>
        <v>#REF!</v>
      </c>
      <c r="X1826" s="33" t="e">
        <f ca="1"/>
        <v>#REF!</v>
      </c>
      <c r="Y1826" s="33" t="e">
        <f ca="1"/>
        <v>#REF!</v>
      </c>
      <c r="Z1826" s="33" t="e">
        <f ca="1"/>
        <v>#REF!</v>
      </c>
      <c r="AA1826" s="33" t="e">
        <f ca="1"/>
        <v>#REF!</v>
      </c>
    </row>
    <row r="1827" spans="1:27" s="70" customFormat="1" ht="11.25" x14ac:dyDescent="0.2">
      <c r="A1827" s="24">
        <v>1821</v>
      </c>
      <c r="B1827" s="24"/>
      <c r="C1827" s="25"/>
      <c r="D1827" s="26"/>
      <c r="E1827" s="25"/>
      <c r="F1827" s="25"/>
      <c r="G1827" s="24"/>
      <c r="H1827" s="25" t="e">
        <f ca="1"/>
        <v>#REF!</v>
      </c>
      <c r="I1827" s="27" t="e">
        <f ca="1"/>
        <v>#REF!</v>
      </c>
      <c r="J1827" s="25" t="e">
        <f ca="1"/>
        <v>#REF!</v>
      </c>
      <c r="K1827" s="27" t="e">
        <f ca="1"/>
        <v>#REF!</v>
      </c>
      <c r="L1827" s="25" t="e">
        <f ca="1"/>
        <v>#REF!</v>
      </c>
      <c r="M1827" s="25" t="e">
        <f ca="1"/>
        <v>#REF!</v>
      </c>
      <c r="N1827" s="25" t="e">
        <f ca="1"/>
        <v>#REF!</v>
      </c>
      <c r="O1827" s="25" t="e">
        <f ca="1"/>
        <v>#REF!</v>
      </c>
      <c r="P1827" s="25" t="e">
        <f ca="1"/>
        <v>#REF!</v>
      </c>
      <c r="Q1827" s="25" t="e">
        <f ca="1"/>
        <v>#REF!</v>
      </c>
      <c r="R1827" s="25" t="e">
        <f ca="1"/>
        <v>#REF!</v>
      </c>
      <c r="S1827" s="25" t="e">
        <f ca="1"/>
        <v>#REF!</v>
      </c>
      <c r="T1827" s="25" t="e">
        <f ca="1"/>
        <v>#REF!</v>
      </c>
      <c r="U1827" s="25" t="e">
        <f ca="1"/>
        <v>#REF!</v>
      </c>
      <c r="V1827" s="25" t="e">
        <f ca="1"/>
        <v>#REF!</v>
      </c>
      <c r="W1827" s="33" t="e">
        <f ca="1"/>
        <v>#REF!</v>
      </c>
      <c r="X1827" s="33" t="e">
        <f ca="1"/>
        <v>#REF!</v>
      </c>
      <c r="Y1827" s="33" t="e">
        <f ca="1"/>
        <v>#REF!</v>
      </c>
      <c r="Z1827" s="33" t="e">
        <f ca="1"/>
        <v>#REF!</v>
      </c>
      <c r="AA1827" s="33" t="e">
        <f ca="1"/>
        <v>#REF!</v>
      </c>
    </row>
    <row r="1828" spans="1:27" s="70" customFormat="1" ht="11.25" x14ac:dyDescent="0.2">
      <c r="A1828" s="24">
        <v>1822</v>
      </c>
      <c r="B1828" s="24"/>
      <c r="C1828" s="25"/>
      <c r="D1828" s="26"/>
      <c r="E1828" s="25"/>
      <c r="F1828" s="25"/>
      <c r="G1828" s="24"/>
      <c r="H1828" s="25" t="e">
        <f ca="1"/>
        <v>#REF!</v>
      </c>
      <c r="I1828" s="24" t="e">
        <f ca="1"/>
        <v>#REF!</v>
      </c>
      <c r="J1828" s="25" t="e">
        <f ca="1"/>
        <v>#REF!</v>
      </c>
      <c r="K1828" s="24" t="e">
        <f ca="1"/>
        <v>#REF!</v>
      </c>
      <c r="L1828" s="25" t="e">
        <f ca="1"/>
        <v>#REF!</v>
      </c>
      <c r="M1828" s="25" t="e">
        <f ca="1"/>
        <v>#REF!</v>
      </c>
      <c r="N1828" s="25" t="e">
        <f ca="1"/>
        <v>#REF!</v>
      </c>
      <c r="O1828" s="25" t="e">
        <f ca="1"/>
        <v>#REF!</v>
      </c>
      <c r="P1828" s="25" t="e">
        <f ca="1"/>
        <v>#REF!</v>
      </c>
      <c r="Q1828" s="25" t="e">
        <f ca="1"/>
        <v>#REF!</v>
      </c>
      <c r="R1828" s="25" t="e">
        <f ca="1"/>
        <v>#REF!</v>
      </c>
      <c r="S1828" s="25" t="e">
        <f ca="1"/>
        <v>#REF!</v>
      </c>
      <c r="T1828" s="25" t="e">
        <f ca="1"/>
        <v>#REF!</v>
      </c>
      <c r="U1828" s="25" t="e">
        <f ca="1"/>
        <v>#REF!</v>
      </c>
      <c r="V1828" s="25" t="e">
        <f ca="1"/>
        <v>#REF!</v>
      </c>
      <c r="W1828" s="33" t="e">
        <f ca="1"/>
        <v>#REF!</v>
      </c>
      <c r="X1828" s="33" t="e">
        <f ca="1"/>
        <v>#REF!</v>
      </c>
      <c r="Y1828" s="33" t="e">
        <f ca="1"/>
        <v>#REF!</v>
      </c>
      <c r="Z1828" s="33" t="e">
        <f ca="1"/>
        <v>#REF!</v>
      </c>
      <c r="AA1828" s="33" t="e">
        <f ca="1"/>
        <v>#REF!</v>
      </c>
    </row>
    <row r="1829" spans="1:27" s="70" customFormat="1" ht="11.25" x14ac:dyDescent="0.2">
      <c r="A1829" s="24">
        <v>1823</v>
      </c>
      <c r="B1829" s="24"/>
      <c r="C1829" s="25"/>
      <c r="D1829" s="26"/>
      <c r="E1829" s="25"/>
      <c r="F1829" s="25"/>
      <c r="G1829" s="24"/>
      <c r="H1829" s="25" t="e">
        <f ca="1"/>
        <v>#REF!</v>
      </c>
      <c r="I1829" s="24" t="e">
        <f ca="1"/>
        <v>#REF!</v>
      </c>
      <c r="J1829" s="25" t="e">
        <f ca="1"/>
        <v>#REF!</v>
      </c>
      <c r="K1829" s="24" t="e">
        <f ca="1"/>
        <v>#REF!</v>
      </c>
      <c r="L1829" s="25" t="e">
        <f ca="1"/>
        <v>#REF!</v>
      </c>
      <c r="M1829" s="25" t="e">
        <f ca="1"/>
        <v>#REF!</v>
      </c>
      <c r="N1829" s="25" t="e">
        <f ca="1"/>
        <v>#REF!</v>
      </c>
      <c r="O1829" s="25" t="e">
        <f ca="1"/>
        <v>#REF!</v>
      </c>
      <c r="P1829" s="25" t="e">
        <f ca="1"/>
        <v>#REF!</v>
      </c>
      <c r="Q1829" s="25" t="e">
        <f ca="1"/>
        <v>#REF!</v>
      </c>
      <c r="R1829" s="25" t="e">
        <f ca="1"/>
        <v>#REF!</v>
      </c>
      <c r="S1829" s="25" t="e">
        <f ca="1"/>
        <v>#REF!</v>
      </c>
      <c r="T1829" s="25" t="e">
        <f ca="1"/>
        <v>#REF!</v>
      </c>
      <c r="U1829" s="25" t="e">
        <f ca="1"/>
        <v>#REF!</v>
      </c>
      <c r="V1829" s="25" t="e">
        <f ca="1"/>
        <v>#REF!</v>
      </c>
      <c r="W1829" s="33" t="e">
        <f ca="1"/>
        <v>#REF!</v>
      </c>
      <c r="X1829" s="33" t="e">
        <f ca="1"/>
        <v>#REF!</v>
      </c>
      <c r="Y1829" s="33" t="e">
        <f ca="1"/>
        <v>#REF!</v>
      </c>
      <c r="Z1829" s="33" t="e">
        <f ca="1"/>
        <v>#REF!</v>
      </c>
      <c r="AA1829" s="33" t="e">
        <f ca="1"/>
        <v>#REF!</v>
      </c>
    </row>
    <row r="1830" spans="1:27" s="70" customFormat="1" ht="11.25" x14ac:dyDescent="0.2">
      <c r="A1830" s="24">
        <v>1824</v>
      </c>
      <c r="B1830" s="24"/>
      <c r="C1830" s="25"/>
      <c r="D1830" s="26"/>
      <c r="E1830" s="25"/>
      <c r="F1830" s="25"/>
      <c r="G1830" s="24"/>
      <c r="H1830" s="25" t="e">
        <f ca="1"/>
        <v>#REF!</v>
      </c>
      <c r="I1830" s="24" t="e">
        <f ca="1"/>
        <v>#REF!</v>
      </c>
      <c r="J1830" s="25" t="e">
        <f ca="1"/>
        <v>#REF!</v>
      </c>
      <c r="K1830" s="24" t="e">
        <f ca="1"/>
        <v>#REF!</v>
      </c>
      <c r="L1830" s="25" t="e">
        <f ca="1"/>
        <v>#REF!</v>
      </c>
      <c r="M1830" s="25" t="e">
        <f ca="1"/>
        <v>#REF!</v>
      </c>
      <c r="N1830" s="25" t="e">
        <f ca="1"/>
        <v>#REF!</v>
      </c>
      <c r="O1830" s="25" t="e">
        <f ca="1"/>
        <v>#REF!</v>
      </c>
      <c r="P1830" s="25" t="e">
        <f ca="1"/>
        <v>#REF!</v>
      </c>
      <c r="Q1830" s="25" t="e">
        <f ca="1"/>
        <v>#REF!</v>
      </c>
      <c r="R1830" s="25" t="e">
        <f ca="1"/>
        <v>#REF!</v>
      </c>
      <c r="S1830" s="25" t="e">
        <f ca="1"/>
        <v>#REF!</v>
      </c>
      <c r="T1830" s="25" t="e">
        <f ca="1"/>
        <v>#REF!</v>
      </c>
      <c r="U1830" s="25" t="e">
        <f ca="1"/>
        <v>#REF!</v>
      </c>
      <c r="V1830" s="25" t="e">
        <f ca="1"/>
        <v>#REF!</v>
      </c>
      <c r="W1830" s="33" t="e">
        <f ca="1"/>
        <v>#REF!</v>
      </c>
      <c r="X1830" s="33" t="e">
        <f ca="1"/>
        <v>#REF!</v>
      </c>
      <c r="Y1830" s="33" t="e">
        <f ca="1"/>
        <v>#REF!</v>
      </c>
      <c r="Z1830" s="33" t="e">
        <f ca="1"/>
        <v>#REF!</v>
      </c>
      <c r="AA1830" s="33" t="e">
        <f ca="1"/>
        <v>#REF!</v>
      </c>
    </row>
    <row r="1831" spans="1:27" s="70" customFormat="1" ht="11.25" x14ac:dyDescent="0.2">
      <c r="A1831" s="24">
        <v>1825</v>
      </c>
      <c r="B1831" s="24"/>
      <c r="C1831" s="25"/>
      <c r="D1831" s="26"/>
      <c r="E1831" s="25"/>
      <c r="F1831" s="25"/>
      <c r="G1831" s="24"/>
      <c r="H1831" s="25" t="e">
        <f ca="1"/>
        <v>#REF!</v>
      </c>
      <c r="I1831" s="24" t="e">
        <f ca="1"/>
        <v>#REF!</v>
      </c>
      <c r="J1831" s="25" t="e">
        <f ca="1"/>
        <v>#REF!</v>
      </c>
      <c r="K1831" s="24" t="e">
        <f ca="1"/>
        <v>#REF!</v>
      </c>
      <c r="L1831" s="25" t="e">
        <f ca="1"/>
        <v>#REF!</v>
      </c>
      <c r="M1831" s="25" t="e">
        <f ca="1"/>
        <v>#REF!</v>
      </c>
      <c r="N1831" s="25" t="e">
        <f ca="1"/>
        <v>#REF!</v>
      </c>
      <c r="O1831" s="25" t="e">
        <f ca="1"/>
        <v>#REF!</v>
      </c>
      <c r="P1831" s="25" t="e">
        <f ca="1"/>
        <v>#REF!</v>
      </c>
      <c r="Q1831" s="25" t="e">
        <f ca="1"/>
        <v>#REF!</v>
      </c>
      <c r="R1831" s="25" t="e">
        <f ca="1"/>
        <v>#REF!</v>
      </c>
      <c r="S1831" s="25" t="e">
        <f ca="1"/>
        <v>#REF!</v>
      </c>
      <c r="T1831" s="25" t="e">
        <f ca="1"/>
        <v>#REF!</v>
      </c>
      <c r="U1831" s="25" t="e">
        <f ca="1"/>
        <v>#REF!</v>
      </c>
      <c r="V1831" s="25" t="e">
        <f ca="1"/>
        <v>#REF!</v>
      </c>
      <c r="W1831" s="33" t="e">
        <f ca="1"/>
        <v>#REF!</v>
      </c>
      <c r="X1831" s="33" t="e">
        <f ca="1"/>
        <v>#REF!</v>
      </c>
      <c r="Y1831" s="33" t="e">
        <f ca="1"/>
        <v>#REF!</v>
      </c>
      <c r="Z1831" s="33" t="e">
        <f ca="1"/>
        <v>#REF!</v>
      </c>
      <c r="AA1831" s="33" t="e">
        <f ca="1"/>
        <v>#REF!</v>
      </c>
    </row>
    <row r="1832" spans="1:27" s="70" customFormat="1" ht="11.25" x14ac:dyDescent="0.2">
      <c r="A1832" s="24">
        <v>1826</v>
      </c>
      <c r="B1832" s="24"/>
      <c r="C1832" s="25"/>
      <c r="D1832" s="26"/>
      <c r="E1832" s="25"/>
      <c r="F1832" s="25"/>
      <c r="G1832" s="24"/>
      <c r="H1832" s="25" t="e">
        <f ca="1"/>
        <v>#REF!</v>
      </c>
      <c r="I1832" s="24" t="e">
        <f ca="1"/>
        <v>#REF!</v>
      </c>
      <c r="J1832" s="25" t="e">
        <f ca="1"/>
        <v>#REF!</v>
      </c>
      <c r="K1832" s="24" t="e">
        <f ca="1"/>
        <v>#REF!</v>
      </c>
      <c r="L1832" s="25" t="e">
        <f ca="1"/>
        <v>#REF!</v>
      </c>
      <c r="M1832" s="25" t="e">
        <f ca="1"/>
        <v>#REF!</v>
      </c>
      <c r="N1832" s="25" t="e">
        <f ca="1"/>
        <v>#REF!</v>
      </c>
      <c r="O1832" s="25" t="e">
        <f ca="1"/>
        <v>#REF!</v>
      </c>
      <c r="P1832" s="25" t="e">
        <f ca="1"/>
        <v>#REF!</v>
      </c>
      <c r="Q1832" s="25" t="e">
        <f ca="1"/>
        <v>#REF!</v>
      </c>
      <c r="R1832" s="25" t="e">
        <f ca="1"/>
        <v>#REF!</v>
      </c>
      <c r="S1832" s="25" t="e">
        <f ca="1"/>
        <v>#REF!</v>
      </c>
      <c r="T1832" s="25" t="e">
        <f ca="1"/>
        <v>#REF!</v>
      </c>
      <c r="U1832" s="25" t="e">
        <f ca="1"/>
        <v>#REF!</v>
      </c>
      <c r="V1832" s="25" t="e">
        <f ca="1"/>
        <v>#REF!</v>
      </c>
      <c r="W1832" s="33" t="e">
        <f ca="1"/>
        <v>#REF!</v>
      </c>
      <c r="X1832" s="33" t="e">
        <f ca="1"/>
        <v>#REF!</v>
      </c>
      <c r="Y1832" s="33" t="e">
        <f ca="1"/>
        <v>#REF!</v>
      </c>
      <c r="Z1832" s="33" t="e">
        <f ca="1"/>
        <v>#REF!</v>
      </c>
      <c r="AA1832" s="33" t="e">
        <f ca="1"/>
        <v>#REF!</v>
      </c>
    </row>
    <row r="1833" spans="1:27" s="70" customFormat="1" ht="11.25" x14ac:dyDescent="0.2">
      <c r="A1833" s="24">
        <v>1827</v>
      </c>
      <c r="B1833" s="24"/>
      <c r="C1833" s="25"/>
      <c r="D1833" s="26"/>
      <c r="E1833" s="25"/>
      <c r="F1833" s="25"/>
      <c r="G1833" s="24"/>
      <c r="H1833" s="25" t="e">
        <f ca="1"/>
        <v>#REF!</v>
      </c>
      <c r="I1833" s="24" t="e">
        <f ca="1"/>
        <v>#REF!</v>
      </c>
      <c r="J1833" s="25" t="e">
        <f ca="1"/>
        <v>#REF!</v>
      </c>
      <c r="K1833" s="24" t="e">
        <f ca="1"/>
        <v>#REF!</v>
      </c>
      <c r="L1833" s="25" t="e">
        <f ca="1"/>
        <v>#REF!</v>
      </c>
      <c r="M1833" s="25" t="e">
        <f ca="1"/>
        <v>#REF!</v>
      </c>
      <c r="N1833" s="25" t="e">
        <f ca="1"/>
        <v>#REF!</v>
      </c>
      <c r="O1833" s="25" t="e">
        <f ca="1"/>
        <v>#REF!</v>
      </c>
      <c r="P1833" s="25" t="e">
        <f ca="1"/>
        <v>#REF!</v>
      </c>
      <c r="Q1833" s="25" t="e">
        <f ca="1"/>
        <v>#REF!</v>
      </c>
      <c r="R1833" s="25" t="e">
        <f ca="1"/>
        <v>#REF!</v>
      </c>
      <c r="S1833" s="25" t="e">
        <f ca="1"/>
        <v>#REF!</v>
      </c>
      <c r="T1833" s="25" t="e">
        <f ca="1"/>
        <v>#REF!</v>
      </c>
      <c r="U1833" s="25" t="e">
        <f ca="1"/>
        <v>#REF!</v>
      </c>
      <c r="V1833" s="25" t="e">
        <f ca="1"/>
        <v>#REF!</v>
      </c>
      <c r="W1833" s="33" t="e">
        <f ca="1"/>
        <v>#REF!</v>
      </c>
      <c r="X1833" s="33" t="e">
        <f ca="1"/>
        <v>#REF!</v>
      </c>
      <c r="Y1833" s="33" t="e">
        <f ca="1"/>
        <v>#REF!</v>
      </c>
      <c r="Z1833" s="33" t="e">
        <f ca="1"/>
        <v>#REF!</v>
      </c>
      <c r="AA1833" s="33" t="e">
        <f ca="1"/>
        <v>#REF!</v>
      </c>
    </row>
    <row r="1834" spans="1:27" s="70" customFormat="1" ht="11.25" x14ac:dyDescent="0.2">
      <c r="A1834" s="24">
        <v>1828</v>
      </c>
      <c r="B1834" s="24"/>
      <c r="C1834" s="25"/>
      <c r="D1834" s="26"/>
      <c r="E1834" s="25"/>
      <c r="F1834" s="25"/>
      <c r="G1834" s="24"/>
      <c r="H1834" s="25" t="e">
        <f ca="1"/>
        <v>#REF!</v>
      </c>
      <c r="I1834" s="24" t="e">
        <f ca="1"/>
        <v>#REF!</v>
      </c>
      <c r="J1834" s="25" t="e">
        <f ca="1"/>
        <v>#REF!</v>
      </c>
      <c r="K1834" s="24" t="e">
        <f ca="1"/>
        <v>#REF!</v>
      </c>
      <c r="L1834" s="25" t="e">
        <f ca="1"/>
        <v>#REF!</v>
      </c>
      <c r="M1834" s="25" t="e">
        <f ca="1"/>
        <v>#REF!</v>
      </c>
      <c r="N1834" s="25" t="e">
        <f ca="1"/>
        <v>#REF!</v>
      </c>
      <c r="O1834" s="25" t="e">
        <f ca="1"/>
        <v>#REF!</v>
      </c>
      <c r="P1834" s="25" t="e">
        <f ca="1"/>
        <v>#REF!</v>
      </c>
      <c r="Q1834" s="25" t="e">
        <f ca="1"/>
        <v>#REF!</v>
      </c>
      <c r="R1834" s="25" t="e">
        <f ca="1"/>
        <v>#REF!</v>
      </c>
      <c r="S1834" s="25" t="e">
        <f ca="1"/>
        <v>#REF!</v>
      </c>
      <c r="T1834" s="25" t="e">
        <f ca="1"/>
        <v>#REF!</v>
      </c>
      <c r="U1834" s="25" t="e">
        <f ca="1"/>
        <v>#REF!</v>
      </c>
      <c r="V1834" s="25" t="e">
        <f ca="1"/>
        <v>#REF!</v>
      </c>
      <c r="W1834" s="33" t="e">
        <f ca="1"/>
        <v>#REF!</v>
      </c>
      <c r="X1834" s="33" t="e">
        <f ca="1"/>
        <v>#REF!</v>
      </c>
      <c r="Y1834" s="33" t="e">
        <f ca="1"/>
        <v>#REF!</v>
      </c>
      <c r="Z1834" s="33" t="e">
        <f ca="1"/>
        <v>#REF!</v>
      </c>
      <c r="AA1834" s="33" t="e">
        <f ca="1"/>
        <v>#REF!</v>
      </c>
    </row>
    <row r="1835" spans="1:27" s="70" customFormat="1" ht="11.25" x14ac:dyDescent="0.2">
      <c r="A1835" s="24">
        <v>1829</v>
      </c>
      <c r="B1835" s="24"/>
      <c r="C1835" s="25"/>
      <c r="D1835" s="26"/>
      <c r="E1835" s="25"/>
      <c r="F1835" s="25"/>
      <c r="G1835" s="24"/>
      <c r="H1835" s="25" t="e">
        <f ca="1"/>
        <v>#REF!</v>
      </c>
      <c r="I1835" s="24" t="e">
        <f ca="1"/>
        <v>#REF!</v>
      </c>
      <c r="J1835" s="25" t="e">
        <f ca="1"/>
        <v>#REF!</v>
      </c>
      <c r="K1835" s="24" t="e">
        <f ca="1"/>
        <v>#REF!</v>
      </c>
      <c r="L1835" s="25" t="e">
        <f ca="1"/>
        <v>#REF!</v>
      </c>
      <c r="M1835" s="25" t="e">
        <f ca="1"/>
        <v>#REF!</v>
      </c>
      <c r="N1835" s="25" t="e">
        <f ca="1"/>
        <v>#REF!</v>
      </c>
      <c r="O1835" s="25" t="e">
        <f ca="1"/>
        <v>#REF!</v>
      </c>
      <c r="P1835" s="25" t="e">
        <f ca="1"/>
        <v>#REF!</v>
      </c>
      <c r="Q1835" s="25" t="e">
        <f ca="1"/>
        <v>#REF!</v>
      </c>
      <c r="R1835" s="25" t="e">
        <f ca="1"/>
        <v>#REF!</v>
      </c>
      <c r="S1835" s="25" t="e">
        <f ca="1"/>
        <v>#REF!</v>
      </c>
      <c r="T1835" s="25" t="e">
        <f ca="1"/>
        <v>#REF!</v>
      </c>
      <c r="U1835" s="25" t="e">
        <f ca="1"/>
        <v>#REF!</v>
      </c>
      <c r="V1835" s="25" t="e">
        <f ca="1"/>
        <v>#REF!</v>
      </c>
      <c r="W1835" s="33" t="e">
        <f ca="1"/>
        <v>#REF!</v>
      </c>
      <c r="X1835" s="33" t="e">
        <f ca="1"/>
        <v>#REF!</v>
      </c>
      <c r="Y1835" s="33" t="e">
        <f ca="1"/>
        <v>#REF!</v>
      </c>
      <c r="Z1835" s="33" t="e">
        <f ca="1"/>
        <v>#REF!</v>
      </c>
      <c r="AA1835" s="33" t="e">
        <f ca="1"/>
        <v>#REF!</v>
      </c>
    </row>
    <row r="1836" spans="1:27" s="70" customFormat="1" ht="11.25" x14ac:dyDescent="0.2">
      <c r="A1836" s="24">
        <v>1830</v>
      </c>
      <c r="B1836" s="24"/>
      <c r="C1836" s="25"/>
      <c r="D1836" s="26"/>
      <c r="E1836" s="25"/>
      <c r="F1836" s="25"/>
      <c r="G1836" s="24"/>
      <c r="H1836" s="25" t="e">
        <f ca="1"/>
        <v>#REF!</v>
      </c>
      <c r="I1836" s="24" t="e">
        <f ca="1"/>
        <v>#REF!</v>
      </c>
      <c r="J1836" s="25" t="e">
        <f ca="1"/>
        <v>#REF!</v>
      </c>
      <c r="K1836" s="24" t="e">
        <f ca="1"/>
        <v>#REF!</v>
      </c>
      <c r="L1836" s="25" t="e">
        <f ca="1"/>
        <v>#REF!</v>
      </c>
      <c r="M1836" s="25" t="e">
        <f ca="1"/>
        <v>#REF!</v>
      </c>
      <c r="N1836" s="25" t="e">
        <f ca="1"/>
        <v>#REF!</v>
      </c>
      <c r="O1836" s="25" t="e">
        <f ca="1"/>
        <v>#REF!</v>
      </c>
      <c r="P1836" s="25" t="e">
        <f ca="1"/>
        <v>#REF!</v>
      </c>
      <c r="Q1836" s="25" t="e">
        <f ca="1"/>
        <v>#REF!</v>
      </c>
      <c r="R1836" s="25" t="e">
        <f ca="1"/>
        <v>#REF!</v>
      </c>
      <c r="S1836" s="25" t="e">
        <f ca="1"/>
        <v>#REF!</v>
      </c>
      <c r="T1836" s="25" t="e">
        <f ca="1"/>
        <v>#REF!</v>
      </c>
      <c r="U1836" s="25" t="e">
        <f ca="1"/>
        <v>#REF!</v>
      </c>
      <c r="V1836" s="25" t="e">
        <f ca="1"/>
        <v>#REF!</v>
      </c>
      <c r="W1836" s="33" t="e">
        <f ca="1"/>
        <v>#REF!</v>
      </c>
      <c r="X1836" s="33" t="e">
        <f ca="1"/>
        <v>#REF!</v>
      </c>
      <c r="Y1836" s="33" t="e">
        <f ca="1"/>
        <v>#REF!</v>
      </c>
      <c r="Z1836" s="33" t="e">
        <f ca="1"/>
        <v>#REF!</v>
      </c>
      <c r="AA1836" s="33" t="e">
        <f ca="1"/>
        <v>#REF!</v>
      </c>
    </row>
    <row r="1837" spans="1:27" s="70" customFormat="1" ht="11.25" x14ac:dyDescent="0.2">
      <c r="A1837" s="24">
        <v>1831</v>
      </c>
      <c r="B1837" s="24"/>
      <c r="C1837" s="25"/>
      <c r="D1837" s="26"/>
      <c r="E1837" s="25"/>
      <c r="F1837" s="25"/>
      <c r="G1837" s="24"/>
      <c r="H1837" s="25" t="e">
        <f ca="1"/>
        <v>#REF!</v>
      </c>
      <c r="I1837" s="24" t="e">
        <f ca="1"/>
        <v>#REF!</v>
      </c>
      <c r="J1837" s="25" t="e">
        <f ca="1"/>
        <v>#REF!</v>
      </c>
      <c r="K1837" s="24" t="e">
        <f ca="1"/>
        <v>#REF!</v>
      </c>
      <c r="L1837" s="25" t="e">
        <f ca="1"/>
        <v>#REF!</v>
      </c>
      <c r="M1837" s="25" t="e">
        <f ca="1"/>
        <v>#REF!</v>
      </c>
      <c r="N1837" s="25" t="e">
        <f ca="1"/>
        <v>#REF!</v>
      </c>
      <c r="O1837" s="25" t="e">
        <f ca="1"/>
        <v>#REF!</v>
      </c>
      <c r="P1837" s="25" t="e">
        <f ca="1"/>
        <v>#REF!</v>
      </c>
      <c r="Q1837" s="25" t="e">
        <f ca="1"/>
        <v>#REF!</v>
      </c>
      <c r="R1837" s="25" t="e">
        <f ca="1"/>
        <v>#REF!</v>
      </c>
      <c r="S1837" s="25" t="e">
        <f ca="1"/>
        <v>#REF!</v>
      </c>
      <c r="T1837" s="25" t="e">
        <f ca="1"/>
        <v>#REF!</v>
      </c>
      <c r="U1837" s="25" t="e">
        <f ca="1"/>
        <v>#REF!</v>
      </c>
      <c r="V1837" s="25" t="e">
        <f ca="1"/>
        <v>#REF!</v>
      </c>
      <c r="W1837" s="33" t="e">
        <f ca="1"/>
        <v>#REF!</v>
      </c>
      <c r="X1837" s="33" t="e">
        <f ca="1"/>
        <v>#REF!</v>
      </c>
      <c r="Y1837" s="33" t="e">
        <f ca="1"/>
        <v>#REF!</v>
      </c>
      <c r="Z1837" s="33" t="e">
        <f ca="1"/>
        <v>#REF!</v>
      </c>
      <c r="AA1837" s="33" t="e">
        <f ca="1"/>
        <v>#REF!</v>
      </c>
    </row>
    <row r="1838" spans="1:27" s="70" customFormat="1" ht="11.25" x14ac:dyDescent="0.2">
      <c r="A1838" s="24">
        <v>1832</v>
      </c>
      <c r="B1838" s="24"/>
      <c r="C1838" s="25"/>
      <c r="D1838" s="26"/>
      <c r="E1838" s="25"/>
      <c r="F1838" s="25"/>
      <c r="G1838" s="24"/>
      <c r="H1838" s="25" t="e">
        <f ca="1"/>
        <v>#REF!</v>
      </c>
      <c r="I1838" s="24" t="e">
        <f ca="1"/>
        <v>#REF!</v>
      </c>
      <c r="J1838" s="25" t="e">
        <f ca="1"/>
        <v>#REF!</v>
      </c>
      <c r="K1838" s="24" t="e">
        <f ca="1"/>
        <v>#REF!</v>
      </c>
      <c r="L1838" s="25" t="e">
        <f ca="1"/>
        <v>#REF!</v>
      </c>
      <c r="M1838" s="25" t="e">
        <f ca="1"/>
        <v>#REF!</v>
      </c>
      <c r="N1838" s="25" t="e">
        <f ca="1"/>
        <v>#REF!</v>
      </c>
      <c r="O1838" s="25" t="e">
        <f ca="1"/>
        <v>#REF!</v>
      </c>
      <c r="P1838" s="25" t="e">
        <f ca="1"/>
        <v>#REF!</v>
      </c>
      <c r="Q1838" s="25" t="e">
        <f ca="1"/>
        <v>#REF!</v>
      </c>
      <c r="R1838" s="25" t="e">
        <f ca="1"/>
        <v>#REF!</v>
      </c>
      <c r="S1838" s="25" t="e">
        <f ca="1"/>
        <v>#REF!</v>
      </c>
      <c r="T1838" s="25" t="e">
        <f ca="1"/>
        <v>#REF!</v>
      </c>
      <c r="U1838" s="25" t="e">
        <f ca="1"/>
        <v>#REF!</v>
      </c>
      <c r="V1838" s="25" t="e">
        <f ca="1"/>
        <v>#REF!</v>
      </c>
      <c r="W1838" s="33" t="e">
        <f ca="1"/>
        <v>#REF!</v>
      </c>
      <c r="X1838" s="33" t="e">
        <f ca="1"/>
        <v>#REF!</v>
      </c>
      <c r="Y1838" s="33" t="e">
        <f ca="1"/>
        <v>#REF!</v>
      </c>
      <c r="Z1838" s="33" t="e">
        <f ca="1"/>
        <v>#REF!</v>
      </c>
      <c r="AA1838" s="33" t="e">
        <f ca="1"/>
        <v>#REF!</v>
      </c>
    </row>
    <row r="1839" spans="1:27" s="70" customFormat="1" ht="11.25" x14ac:dyDescent="0.2">
      <c r="A1839" s="24">
        <v>1833</v>
      </c>
      <c r="B1839" s="24"/>
      <c r="C1839" s="25"/>
      <c r="D1839" s="26"/>
      <c r="E1839" s="25"/>
      <c r="F1839" s="25"/>
      <c r="G1839" s="24"/>
      <c r="H1839" s="25" t="e">
        <f ca="1"/>
        <v>#REF!</v>
      </c>
      <c r="I1839" s="24" t="e">
        <f ca="1"/>
        <v>#REF!</v>
      </c>
      <c r="J1839" s="25" t="e">
        <f ca="1"/>
        <v>#REF!</v>
      </c>
      <c r="K1839" s="24" t="e">
        <f ca="1"/>
        <v>#REF!</v>
      </c>
      <c r="L1839" s="25" t="e">
        <f ca="1"/>
        <v>#REF!</v>
      </c>
      <c r="M1839" s="25" t="e">
        <f ca="1"/>
        <v>#REF!</v>
      </c>
      <c r="N1839" s="25" t="e">
        <f ca="1"/>
        <v>#REF!</v>
      </c>
      <c r="O1839" s="25" t="e">
        <f ca="1"/>
        <v>#REF!</v>
      </c>
      <c r="P1839" s="25" t="e">
        <f ca="1"/>
        <v>#REF!</v>
      </c>
      <c r="Q1839" s="25" t="e">
        <f ca="1"/>
        <v>#REF!</v>
      </c>
      <c r="R1839" s="25" t="e">
        <f ca="1"/>
        <v>#REF!</v>
      </c>
      <c r="S1839" s="25" t="e">
        <f ca="1"/>
        <v>#REF!</v>
      </c>
      <c r="T1839" s="25" t="e">
        <f ca="1"/>
        <v>#REF!</v>
      </c>
      <c r="U1839" s="25" t="e">
        <f ca="1"/>
        <v>#REF!</v>
      </c>
      <c r="V1839" s="25" t="e">
        <f ca="1"/>
        <v>#REF!</v>
      </c>
      <c r="W1839" s="33" t="e">
        <f ca="1"/>
        <v>#REF!</v>
      </c>
      <c r="X1839" s="33" t="e">
        <f ca="1"/>
        <v>#REF!</v>
      </c>
      <c r="Y1839" s="33" t="e">
        <f ca="1"/>
        <v>#REF!</v>
      </c>
      <c r="Z1839" s="33" t="e">
        <f ca="1"/>
        <v>#REF!</v>
      </c>
      <c r="AA1839" s="33" t="e">
        <f ca="1"/>
        <v>#REF!</v>
      </c>
    </row>
    <row r="1840" spans="1:27" s="70" customFormat="1" ht="11.25" x14ac:dyDescent="0.2">
      <c r="A1840" s="24">
        <v>1834</v>
      </c>
      <c r="B1840" s="24"/>
      <c r="C1840" s="25"/>
      <c r="D1840" s="26"/>
      <c r="E1840" s="25"/>
      <c r="F1840" s="25"/>
      <c r="G1840" s="24"/>
      <c r="H1840" s="25" t="e">
        <f ca="1"/>
        <v>#REF!</v>
      </c>
      <c r="I1840" s="24" t="e">
        <f ca="1"/>
        <v>#REF!</v>
      </c>
      <c r="J1840" s="25" t="e">
        <f ca="1"/>
        <v>#REF!</v>
      </c>
      <c r="K1840" s="24" t="e">
        <f ca="1"/>
        <v>#REF!</v>
      </c>
      <c r="L1840" s="25" t="e">
        <f ca="1"/>
        <v>#REF!</v>
      </c>
      <c r="M1840" s="25" t="e">
        <f ca="1"/>
        <v>#REF!</v>
      </c>
      <c r="N1840" s="25" t="e">
        <f ca="1"/>
        <v>#REF!</v>
      </c>
      <c r="O1840" s="25" t="e">
        <f ca="1"/>
        <v>#REF!</v>
      </c>
      <c r="P1840" s="25" t="e">
        <f ca="1"/>
        <v>#REF!</v>
      </c>
      <c r="Q1840" s="25" t="e">
        <f ca="1"/>
        <v>#REF!</v>
      </c>
      <c r="R1840" s="25" t="e">
        <f ca="1"/>
        <v>#REF!</v>
      </c>
      <c r="S1840" s="25" t="e">
        <f ca="1"/>
        <v>#REF!</v>
      </c>
      <c r="T1840" s="25" t="e">
        <f ca="1"/>
        <v>#REF!</v>
      </c>
      <c r="U1840" s="25" t="e">
        <f ca="1"/>
        <v>#REF!</v>
      </c>
      <c r="V1840" s="25" t="e">
        <f ca="1"/>
        <v>#REF!</v>
      </c>
      <c r="W1840" s="33" t="e">
        <f ca="1"/>
        <v>#REF!</v>
      </c>
      <c r="X1840" s="33" t="e">
        <f ca="1"/>
        <v>#REF!</v>
      </c>
      <c r="Y1840" s="33" t="e">
        <f ca="1"/>
        <v>#REF!</v>
      </c>
      <c r="Z1840" s="33" t="e">
        <f ca="1"/>
        <v>#REF!</v>
      </c>
      <c r="AA1840" s="33" t="e">
        <f ca="1"/>
        <v>#REF!</v>
      </c>
    </row>
    <row r="1841" spans="1:27" s="70" customFormat="1" ht="11.25" x14ac:dyDescent="0.2">
      <c r="A1841" s="24">
        <v>1835</v>
      </c>
      <c r="B1841" s="24"/>
      <c r="C1841" s="25"/>
      <c r="D1841" s="26"/>
      <c r="E1841" s="25"/>
      <c r="F1841" s="25"/>
      <c r="G1841" s="24"/>
      <c r="H1841" s="25" t="e">
        <f ca="1"/>
        <v>#REF!</v>
      </c>
      <c r="I1841" s="24" t="e">
        <f ca="1"/>
        <v>#REF!</v>
      </c>
      <c r="J1841" s="25" t="e">
        <f ca="1"/>
        <v>#REF!</v>
      </c>
      <c r="K1841" s="24" t="e">
        <f ca="1"/>
        <v>#REF!</v>
      </c>
      <c r="L1841" s="25" t="e">
        <f ca="1"/>
        <v>#REF!</v>
      </c>
      <c r="M1841" s="25" t="e">
        <f ca="1"/>
        <v>#REF!</v>
      </c>
      <c r="N1841" s="25" t="e">
        <f ca="1"/>
        <v>#REF!</v>
      </c>
      <c r="O1841" s="25" t="e">
        <f ca="1"/>
        <v>#REF!</v>
      </c>
      <c r="P1841" s="25" t="e">
        <f ca="1"/>
        <v>#REF!</v>
      </c>
      <c r="Q1841" s="25" t="e">
        <f ca="1"/>
        <v>#REF!</v>
      </c>
      <c r="R1841" s="25" t="e">
        <f ca="1"/>
        <v>#REF!</v>
      </c>
      <c r="S1841" s="25" t="e">
        <f ca="1"/>
        <v>#REF!</v>
      </c>
      <c r="T1841" s="25" t="e">
        <f ca="1"/>
        <v>#REF!</v>
      </c>
      <c r="U1841" s="25" t="e">
        <f ca="1"/>
        <v>#REF!</v>
      </c>
      <c r="V1841" s="25" t="e">
        <f ca="1"/>
        <v>#REF!</v>
      </c>
      <c r="W1841" s="33" t="e">
        <f ca="1"/>
        <v>#REF!</v>
      </c>
      <c r="X1841" s="33" t="e">
        <f ca="1"/>
        <v>#REF!</v>
      </c>
      <c r="Y1841" s="33" t="e">
        <f ca="1"/>
        <v>#REF!</v>
      </c>
      <c r="Z1841" s="33" t="e">
        <f ca="1"/>
        <v>#REF!</v>
      </c>
      <c r="AA1841" s="33" t="e">
        <f ca="1"/>
        <v>#REF!</v>
      </c>
    </row>
    <row r="1842" spans="1:27" s="70" customFormat="1" ht="11.25" x14ac:dyDescent="0.2">
      <c r="A1842" s="24">
        <v>1836</v>
      </c>
      <c r="B1842" s="24"/>
      <c r="C1842" s="25"/>
      <c r="D1842" s="26"/>
      <c r="E1842" s="25"/>
      <c r="F1842" s="25"/>
      <c r="G1842" s="24"/>
      <c r="H1842" s="25" t="e">
        <f ca="1"/>
        <v>#REF!</v>
      </c>
      <c r="I1842" s="24" t="e">
        <f ca="1"/>
        <v>#REF!</v>
      </c>
      <c r="J1842" s="25" t="e">
        <f ca="1"/>
        <v>#REF!</v>
      </c>
      <c r="K1842" s="24" t="e">
        <f ca="1"/>
        <v>#REF!</v>
      </c>
      <c r="L1842" s="25" t="e">
        <f ca="1"/>
        <v>#REF!</v>
      </c>
      <c r="M1842" s="25" t="e">
        <f ca="1"/>
        <v>#REF!</v>
      </c>
      <c r="N1842" s="25" t="e">
        <f ca="1"/>
        <v>#REF!</v>
      </c>
      <c r="O1842" s="25" t="e">
        <f ca="1"/>
        <v>#REF!</v>
      </c>
      <c r="P1842" s="25" t="e">
        <f ca="1"/>
        <v>#REF!</v>
      </c>
      <c r="Q1842" s="25" t="e">
        <f ca="1"/>
        <v>#REF!</v>
      </c>
      <c r="R1842" s="25" t="e">
        <f ca="1"/>
        <v>#REF!</v>
      </c>
      <c r="S1842" s="25" t="e">
        <f ca="1"/>
        <v>#REF!</v>
      </c>
      <c r="T1842" s="25" t="e">
        <f ca="1"/>
        <v>#REF!</v>
      </c>
      <c r="U1842" s="25" t="e">
        <f ca="1"/>
        <v>#REF!</v>
      </c>
      <c r="V1842" s="25" t="e">
        <f ca="1"/>
        <v>#REF!</v>
      </c>
      <c r="W1842" s="33" t="e">
        <f ca="1"/>
        <v>#REF!</v>
      </c>
      <c r="X1842" s="33" t="e">
        <f ca="1"/>
        <v>#REF!</v>
      </c>
      <c r="Y1842" s="33" t="e">
        <f ca="1"/>
        <v>#REF!</v>
      </c>
      <c r="Z1842" s="33" t="e">
        <f ca="1"/>
        <v>#REF!</v>
      </c>
      <c r="AA1842" s="33" t="e">
        <f ca="1"/>
        <v>#REF!</v>
      </c>
    </row>
    <row r="1843" spans="1:27" s="70" customFormat="1" ht="11.25" x14ac:dyDescent="0.2">
      <c r="A1843" s="24">
        <v>1837</v>
      </c>
      <c r="B1843" s="24"/>
      <c r="C1843" s="25"/>
      <c r="D1843" s="26"/>
      <c r="E1843" s="25"/>
      <c r="F1843" s="25"/>
      <c r="G1843" s="24"/>
      <c r="H1843" s="25" t="e">
        <f ca="1"/>
        <v>#REF!</v>
      </c>
      <c r="I1843" s="24" t="e">
        <f ca="1"/>
        <v>#REF!</v>
      </c>
      <c r="J1843" s="25" t="e">
        <f ca="1"/>
        <v>#REF!</v>
      </c>
      <c r="K1843" s="24" t="e">
        <f ca="1"/>
        <v>#REF!</v>
      </c>
      <c r="L1843" s="25" t="e">
        <f ca="1"/>
        <v>#REF!</v>
      </c>
      <c r="M1843" s="25" t="e">
        <f ca="1"/>
        <v>#REF!</v>
      </c>
      <c r="N1843" s="25" t="e">
        <f ca="1"/>
        <v>#REF!</v>
      </c>
      <c r="O1843" s="25" t="e">
        <f ca="1"/>
        <v>#REF!</v>
      </c>
      <c r="P1843" s="25" t="e">
        <f ca="1"/>
        <v>#REF!</v>
      </c>
      <c r="Q1843" s="25" t="e">
        <f ca="1"/>
        <v>#REF!</v>
      </c>
      <c r="R1843" s="25" t="e">
        <f ca="1"/>
        <v>#REF!</v>
      </c>
      <c r="S1843" s="25" t="e">
        <f ca="1"/>
        <v>#REF!</v>
      </c>
      <c r="T1843" s="25" t="e">
        <f ca="1"/>
        <v>#REF!</v>
      </c>
      <c r="U1843" s="25" t="e">
        <f ca="1"/>
        <v>#REF!</v>
      </c>
      <c r="V1843" s="25" t="e">
        <f ca="1"/>
        <v>#REF!</v>
      </c>
      <c r="W1843" s="33" t="e">
        <f ca="1"/>
        <v>#REF!</v>
      </c>
      <c r="X1843" s="33" t="e">
        <f ca="1"/>
        <v>#REF!</v>
      </c>
      <c r="Y1843" s="33" t="e">
        <f ca="1"/>
        <v>#REF!</v>
      </c>
      <c r="Z1843" s="33" t="e">
        <f ca="1"/>
        <v>#REF!</v>
      </c>
      <c r="AA1843" s="33" t="e">
        <f ca="1"/>
        <v>#REF!</v>
      </c>
    </row>
    <row r="1844" spans="1:27" s="70" customFormat="1" ht="11.25" x14ac:dyDescent="0.2">
      <c r="A1844" s="24">
        <v>1838</v>
      </c>
      <c r="B1844" s="24"/>
      <c r="C1844" s="25"/>
      <c r="D1844" s="26"/>
      <c r="E1844" s="25"/>
      <c r="F1844" s="25"/>
      <c r="G1844" s="24"/>
      <c r="H1844" s="25" t="e">
        <f ca="1"/>
        <v>#REF!</v>
      </c>
      <c r="I1844" s="24" t="e">
        <f ca="1"/>
        <v>#REF!</v>
      </c>
      <c r="J1844" s="25" t="e">
        <f ca="1"/>
        <v>#REF!</v>
      </c>
      <c r="K1844" s="24" t="e">
        <f ca="1"/>
        <v>#REF!</v>
      </c>
      <c r="L1844" s="25" t="e">
        <f ca="1"/>
        <v>#REF!</v>
      </c>
      <c r="M1844" s="25" t="e">
        <f ca="1"/>
        <v>#REF!</v>
      </c>
      <c r="N1844" s="25" t="e">
        <f ca="1"/>
        <v>#REF!</v>
      </c>
      <c r="O1844" s="25" t="e">
        <f ca="1"/>
        <v>#REF!</v>
      </c>
      <c r="P1844" s="25" t="e">
        <f ca="1"/>
        <v>#REF!</v>
      </c>
      <c r="Q1844" s="25" t="e">
        <f ca="1"/>
        <v>#REF!</v>
      </c>
      <c r="R1844" s="25" t="e">
        <f ca="1"/>
        <v>#REF!</v>
      </c>
      <c r="S1844" s="25" t="e">
        <f ca="1"/>
        <v>#REF!</v>
      </c>
      <c r="T1844" s="25" t="e">
        <f ca="1"/>
        <v>#REF!</v>
      </c>
      <c r="U1844" s="25" t="e">
        <f ca="1"/>
        <v>#REF!</v>
      </c>
      <c r="V1844" s="25" t="e">
        <f ca="1"/>
        <v>#REF!</v>
      </c>
      <c r="W1844" s="33" t="e">
        <f ca="1"/>
        <v>#REF!</v>
      </c>
      <c r="X1844" s="33" t="e">
        <f ca="1"/>
        <v>#REF!</v>
      </c>
      <c r="Y1844" s="33" t="e">
        <f ca="1"/>
        <v>#REF!</v>
      </c>
      <c r="Z1844" s="33" t="e">
        <f ca="1"/>
        <v>#REF!</v>
      </c>
      <c r="AA1844" s="33" t="e">
        <f ca="1"/>
        <v>#REF!</v>
      </c>
    </row>
    <row r="1845" spans="1:27" s="70" customFormat="1" ht="11.25" x14ac:dyDescent="0.2">
      <c r="A1845" s="24">
        <v>1839</v>
      </c>
      <c r="B1845" s="24"/>
      <c r="C1845" s="25"/>
      <c r="D1845" s="26"/>
      <c r="E1845" s="25"/>
      <c r="F1845" s="25"/>
      <c r="G1845" s="24"/>
      <c r="H1845" s="25" t="e">
        <f ca="1"/>
        <v>#REF!</v>
      </c>
      <c r="I1845" s="27" t="e">
        <f ca="1"/>
        <v>#REF!</v>
      </c>
      <c r="J1845" s="28" t="e">
        <f ca="1"/>
        <v>#REF!</v>
      </c>
      <c r="K1845" s="24" t="e">
        <f ca="1"/>
        <v>#REF!</v>
      </c>
      <c r="L1845" s="25" t="e">
        <f ca="1"/>
        <v>#REF!</v>
      </c>
      <c r="M1845" s="25" t="e">
        <f ca="1"/>
        <v>#REF!</v>
      </c>
      <c r="N1845" s="25" t="e">
        <f ca="1"/>
        <v>#REF!</v>
      </c>
      <c r="O1845" s="25" t="e">
        <f ca="1"/>
        <v>#REF!</v>
      </c>
      <c r="P1845" s="25" t="e">
        <f ca="1"/>
        <v>#REF!</v>
      </c>
      <c r="Q1845" s="25" t="e">
        <f ca="1"/>
        <v>#REF!</v>
      </c>
      <c r="R1845" s="25" t="e">
        <f ca="1"/>
        <v>#REF!</v>
      </c>
      <c r="S1845" s="25" t="e">
        <f ca="1"/>
        <v>#REF!</v>
      </c>
      <c r="T1845" s="25" t="e">
        <f ca="1"/>
        <v>#REF!</v>
      </c>
      <c r="U1845" s="25" t="e">
        <f ca="1"/>
        <v>#REF!</v>
      </c>
      <c r="V1845" s="25" t="e">
        <f ca="1"/>
        <v>#REF!</v>
      </c>
      <c r="W1845" s="33" t="e">
        <f ca="1"/>
        <v>#REF!</v>
      </c>
      <c r="X1845" s="33" t="e">
        <f ca="1"/>
        <v>#REF!</v>
      </c>
      <c r="Y1845" s="33" t="e">
        <f ca="1"/>
        <v>#REF!</v>
      </c>
      <c r="Z1845" s="33" t="e">
        <f ca="1"/>
        <v>#REF!</v>
      </c>
      <c r="AA1845" s="33" t="e">
        <f ca="1"/>
        <v>#REF!</v>
      </c>
    </row>
    <row r="1846" spans="1:27" s="70" customFormat="1" ht="11.25" x14ac:dyDescent="0.2">
      <c r="A1846" s="24">
        <v>1840</v>
      </c>
      <c r="B1846" s="24"/>
      <c r="C1846" s="25"/>
      <c r="D1846" s="26"/>
      <c r="E1846" s="25"/>
      <c r="F1846" s="25"/>
      <c r="G1846" s="24"/>
      <c r="H1846" s="25" t="e">
        <f ca="1"/>
        <v>#REF!</v>
      </c>
      <c r="I1846" s="27" t="e">
        <f ca="1"/>
        <v>#REF!</v>
      </c>
      <c r="J1846" s="28" t="e">
        <f ca="1"/>
        <v>#REF!</v>
      </c>
      <c r="K1846" s="24" t="e">
        <f ca="1"/>
        <v>#REF!</v>
      </c>
      <c r="L1846" s="25" t="e">
        <f ca="1"/>
        <v>#REF!</v>
      </c>
      <c r="M1846" s="25" t="e">
        <f ca="1"/>
        <v>#REF!</v>
      </c>
      <c r="N1846" s="25" t="e">
        <f ca="1"/>
        <v>#REF!</v>
      </c>
      <c r="O1846" s="25" t="e">
        <f ca="1"/>
        <v>#REF!</v>
      </c>
      <c r="P1846" s="25" t="e">
        <f ca="1"/>
        <v>#REF!</v>
      </c>
      <c r="Q1846" s="25" t="e">
        <f ca="1"/>
        <v>#REF!</v>
      </c>
      <c r="R1846" s="25" t="e">
        <f ca="1"/>
        <v>#REF!</v>
      </c>
      <c r="S1846" s="25" t="e">
        <f ca="1"/>
        <v>#REF!</v>
      </c>
      <c r="T1846" s="25" t="e">
        <f ca="1"/>
        <v>#REF!</v>
      </c>
      <c r="U1846" s="25" t="e">
        <f ca="1"/>
        <v>#REF!</v>
      </c>
      <c r="V1846" s="25" t="e">
        <f ca="1"/>
        <v>#REF!</v>
      </c>
      <c r="W1846" s="33" t="e">
        <f ca="1"/>
        <v>#REF!</v>
      </c>
      <c r="X1846" s="33" t="e">
        <f ca="1"/>
        <v>#REF!</v>
      </c>
      <c r="Y1846" s="33" t="e">
        <f ca="1"/>
        <v>#REF!</v>
      </c>
      <c r="Z1846" s="33" t="e">
        <f ca="1"/>
        <v>#REF!</v>
      </c>
      <c r="AA1846" s="33" t="e">
        <f ca="1"/>
        <v>#REF!</v>
      </c>
    </row>
    <row r="1847" spans="1:27" s="70" customFormat="1" ht="11.25" x14ac:dyDescent="0.2">
      <c r="A1847" s="24">
        <v>1841</v>
      </c>
      <c r="B1847" s="24"/>
      <c r="C1847" s="25"/>
      <c r="D1847" s="26"/>
      <c r="E1847" s="25"/>
      <c r="F1847" s="25"/>
      <c r="G1847" s="24"/>
      <c r="H1847" s="25" t="e">
        <f ca="1"/>
        <v>#REF!</v>
      </c>
      <c r="I1847" s="27" t="e">
        <f ca="1"/>
        <v>#REF!</v>
      </c>
      <c r="J1847" s="28" t="e">
        <f ca="1"/>
        <v>#REF!</v>
      </c>
      <c r="K1847" s="24" t="e">
        <f ca="1"/>
        <v>#REF!</v>
      </c>
      <c r="L1847" s="25" t="e">
        <f ca="1"/>
        <v>#REF!</v>
      </c>
      <c r="M1847" s="25" t="e">
        <f ca="1"/>
        <v>#REF!</v>
      </c>
      <c r="N1847" s="25" t="e">
        <f ca="1"/>
        <v>#REF!</v>
      </c>
      <c r="O1847" s="25" t="e">
        <f ca="1"/>
        <v>#REF!</v>
      </c>
      <c r="P1847" s="25" t="e">
        <f ca="1"/>
        <v>#REF!</v>
      </c>
      <c r="Q1847" s="25" t="e">
        <f ca="1"/>
        <v>#REF!</v>
      </c>
      <c r="R1847" s="25" t="e">
        <f ca="1"/>
        <v>#REF!</v>
      </c>
      <c r="S1847" s="25" t="e">
        <f ca="1"/>
        <v>#REF!</v>
      </c>
      <c r="T1847" s="25" t="e">
        <f ca="1"/>
        <v>#REF!</v>
      </c>
      <c r="U1847" s="25" t="e">
        <f ca="1"/>
        <v>#REF!</v>
      </c>
      <c r="V1847" s="25" t="e">
        <f ca="1"/>
        <v>#REF!</v>
      </c>
      <c r="W1847" s="33" t="e">
        <f ca="1"/>
        <v>#REF!</v>
      </c>
      <c r="X1847" s="33" t="e">
        <f ca="1"/>
        <v>#REF!</v>
      </c>
      <c r="Y1847" s="33" t="e">
        <f ca="1"/>
        <v>#REF!</v>
      </c>
      <c r="Z1847" s="33" t="e">
        <f ca="1"/>
        <v>#REF!</v>
      </c>
      <c r="AA1847" s="33" t="e">
        <f ca="1"/>
        <v>#REF!</v>
      </c>
    </row>
    <row r="1848" spans="1:27" s="70" customFormat="1" ht="11.25" x14ac:dyDescent="0.2">
      <c r="A1848" s="24">
        <v>1842</v>
      </c>
      <c r="B1848" s="24"/>
      <c r="C1848" s="25"/>
      <c r="D1848" s="26"/>
      <c r="E1848" s="25"/>
      <c r="F1848" s="25"/>
      <c r="G1848" s="24"/>
      <c r="H1848" s="25" t="e">
        <f ca="1"/>
        <v>#REF!</v>
      </c>
      <c r="I1848" s="27" t="e">
        <f ca="1"/>
        <v>#REF!</v>
      </c>
      <c r="J1848" s="28" t="e">
        <f ca="1"/>
        <v>#REF!</v>
      </c>
      <c r="K1848" s="24" t="e">
        <f ca="1"/>
        <v>#REF!</v>
      </c>
      <c r="L1848" s="25" t="e">
        <f ca="1"/>
        <v>#REF!</v>
      </c>
      <c r="M1848" s="25" t="e">
        <f ca="1"/>
        <v>#REF!</v>
      </c>
      <c r="N1848" s="25" t="e">
        <f ca="1"/>
        <v>#REF!</v>
      </c>
      <c r="O1848" s="25" t="e">
        <f ca="1"/>
        <v>#REF!</v>
      </c>
      <c r="P1848" s="25" t="e">
        <f ca="1"/>
        <v>#REF!</v>
      </c>
      <c r="Q1848" s="25" t="e">
        <f ca="1"/>
        <v>#REF!</v>
      </c>
      <c r="R1848" s="25" t="e">
        <f ca="1"/>
        <v>#REF!</v>
      </c>
      <c r="S1848" s="25" t="e">
        <f ca="1"/>
        <v>#REF!</v>
      </c>
      <c r="T1848" s="25" t="e">
        <f ca="1"/>
        <v>#REF!</v>
      </c>
      <c r="U1848" s="25" t="e">
        <f ca="1"/>
        <v>#REF!</v>
      </c>
      <c r="V1848" s="25" t="e">
        <f ca="1"/>
        <v>#REF!</v>
      </c>
      <c r="W1848" s="33" t="e">
        <f ca="1"/>
        <v>#REF!</v>
      </c>
      <c r="X1848" s="33" t="e">
        <f ca="1"/>
        <v>#REF!</v>
      </c>
      <c r="Y1848" s="33" t="e">
        <f ca="1"/>
        <v>#REF!</v>
      </c>
      <c r="Z1848" s="33" t="e">
        <f ca="1"/>
        <v>#REF!</v>
      </c>
      <c r="AA1848" s="33" t="e">
        <f ca="1"/>
        <v>#REF!</v>
      </c>
    </row>
    <row r="1849" spans="1:27" s="70" customFormat="1" ht="11.25" x14ac:dyDescent="0.2">
      <c r="A1849" s="24">
        <v>1843</v>
      </c>
      <c r="B1849" s="24"/>
      <c r="C1849" s="25"/>
      <c r="D1849" s="26"/>
      <c r="E1849" s="25"/>
      <c r="F1849" s="25"/>
      <c r="G1849" s="24"/>
      <c r="H1849" s="25" t="e">
        <f ca="1"/>
        <v>#REF!</v>
      </c>
      <c r="I1849" s="27" t="e">
        <f ca="1"/>
        <v>#REF!</v>
      </c>
      <c r="J1849" s="28" t="e">
        <f ca="1"/>
        <v>#REF!</v>
      </c>
      <c r="K1849" s="24" t="e">
        <f ca="1"/>
        <v>#REF!</v>
      </c>
      <c r="L1849" s="25" t="e">
        <f ca="1"/>
        <v>#REF!</v>
      </c>
      <c r="M1849" s="25" t="e">
        <f ca="1"/>
        <v>#REF!</v>
      </c>
      <c r="N1849" s="25" t="e">
        <f ca="1"/>
        <v>#REF!</v>
      </c>
      <c r="O1849" s="25" t="e">
        <f ca="1"/>
        <v>#REF!</v>
      </c>
      <c r="P1849" s="25" t="e">
        <f ca="1"/>
        <v>#REF!</v>
      </c>
      <c r="Q1849" s="25" t="e">
        <f ca="1"/>
        <v>#REF!</v>
      </c>
      <c r="R1849" s="25" t="e">
        <f ca="1"/>
        <v>#REF!</v>
      </c>
      <c r="S1849" s="25" t="e">
        <f ca="1"/>
        <v>#REF!</v>
      </c>
      <c r="T1849" s="25" t="e">
        <f ca="1"/>
        <v>#REF!</v>
      </c>
      <c r="U1849" s="25" t="e">
        <f ca="1"/>
        <v>#REF!</v>
      </c>
      <c r="V1849" s="25" t="e">
        <f ca="1"/>
        <v>#REF!</v>
      </c>
      <c r="W1849" s="33" t="e">
        <f ca="1"/>
        <v>#REF!</v>
      </c>
      <c r="X1849" s="33" t="e">
        <f ca="1"/>
        <v>#REF!</v>
      </c>
      <c r="Y1849" s="33" t="e">
        <f ca="1"/>
        <v>#REF!</v>
      </c>
      <c r="Z1849" s="33" t="e">
        <f ca="1"/>
        <v>#REF!</v>
      </c>
      <c r="AA1849" s="33" t="e">
        <f ca="1"/>
        <v>#REF!</v>
      </c>
    </row>
    <row r="1850" spans="1:27" s="70" customFormat="1" ht="11.25" x14ac:dyDescent="0.2">
      <c r="A1850" s="24">
        <v>1844</v>
      </c>
      <c r="B1850" s="24"/>
      <c r="C1850" s="25"/>
      <c r="D1850" s="26"/>
      <c r="E1850" s="25"/>
      <c r="F1850" s="25"/>
      <c r="G1850" s="24"/>
      <c r="H1850" s="25" t="e">
        <f ca="1"/>
        <v>#REF!</v>
      </c>
      <c r="I1850" s="27" t="e">
        <f ca="1"/>
        <v>#REF!</v>
      </c>
      <c r="J1850" s="28" t="e">
        <f ca="1"/>
        <v>#REF!</v>
      </c>
      <c r="K1850" s="24" t="e">
        <f ca="1"/>
        <v>#REF!</v>
      </c>
      <c r="L1850" s="25" t="e">
        <f ca="1"/>
        <v>#REF!</v>
      </c>
      <c r="M1850" s="25" t="e">
        <f ca="1"/>
        <v>#REF!</v>
      </c>
      <c r="N1850" s="25" t="e">
        <f ca="1"/>
        <v>#REF!</v>
      </c>
      <c r="O1850" s="25" t="e">
        <f ca="1"/>
        <v>#REF!</v>
      </c>
      <c r="P1850" s="25" t="e">
        <f ca="1"/>
        <v>#REF!</v>
      </c>
      <c r="Q1850" s="25" t="e">
        <f ca="1"/>
        <v>#REF!</v>
      </c>
      <c r="R1850" s="25" t="e">
        <f ca="1"/>
        <v>#REF!</v>
      </c>
      <c r="S1850" s="25" t="e">
        <f ca="1"/>
        <v>#REF!</v>
      </c>
      <c r="T1850" s="25" t="e">
        <f ca="1"/>
        <v>#REF!</v>
      </c>
      <c r="U1850" s="25" t="e">
        <f ca="1"/>
        <v>#REF!</v>
      </c>
      <c r="V1850" s="25" t="e">
        <f ca="1"/>
        <v>#REF!</v>
      </c>
      <c r="W1850" s="33" t="e">
        <f ca="1"/>
        <v>#REF!</v>
      </c>
      <c r="X1850" s="33" t="e">
        <f ca="1"/>
        <v>#REF!</v>
      </c>
      <c r="Y1850" s="33" t="e">
        <f ca="1"/>
        <v>#REF!</v>
      </c>
      <c r="Z1850" s="33" t="e">
        <f ca="1"/>
        <v>#REF!</v>
      </c>
      <c r="AA1850" s="33" t="e">
        <f ca="1"/>
        <v>#REF!</v>
      </c>
    </row>
    <row r="1851" spans="1:27" s="70" customFormat="1" ht="11.25" x14ac:dyDescent="0.2">
      <c r="A1851" s="24">
        <v>1845</v>
      </c>
      <c r="B1851" s="24"/>
      <c r="C1851" s="25"/>
      <c r="D1851" s="26"/>
      <c r="E1851" s="25"/>
      <c r="F1851" s="25"/>
      <c r="G1851" s="24"/>
      <c r="H1851" s="25" t="e">
        <f ca="1"/>
        <v>#REF!</v>
      </c>
      <c r="I1851" s="27" t="e">
        <f ca="1"/>
        <v>#REF!</v>
      </c>
      <c r="J1851" s="28" t="e">
        <f ca="1"/>
        <v>#REF!</v>
      </c>
      <c r="K1851" s="24" t="e">
        <f ca="1"/>
        <v>#REF!</v>
      </c>
      <c r="L1851" s="25" t="e">
        <f ca="1"/>
        <v>#REF!</v>
      </c>
      <c r="M1851" s="25" t="e">
        <f ca="1"/>
        <v>#REF!</v>
      </c>
      <c r="N1851" s="25" t="e">
        <f ca="1"/>
        <v>#REF!</v>
      </c>
      <c r="O1851" s="25" t="e">
        <f ca="1"/>
        <v>#REF!</v>
      </c>
      <c r="P1851" s="25" t="e">
        <f ca="1"/>
        <v>#REF!</v>
      </c>
      <c r="Q1851" s="25" t="e">
        <f ca="1"/>
        <v>#REF!</v>
      </c>
      <c r="R1851" s="25" t="e">
        <f ca="1"/>
        <v>#REF!</v>
      </c>
      <c r="S1851" s="25" t="e">
        <f ca="1"/>
        <v>#REF!</v>
      </c>
      <c r="T1851" s="25" t="e">
        <f ca="1"/>
        <v>#REF!</v>
      </c>
      <c r="U1851" s="25" t="e">
        <f ca="1"/>
        <v>#REF!</v>
      </c>
      <c r="V1851" s="25" t="e">
        <f ca="1"/>
        <v>#REF!</v>
      </c>
      <c r="W1851" s="33" t="e">
        <f ca="1"/>
        <v>#REF!</v>
      </c>
      <c r="X1851" s="33" t="e">
        <f ca="1"/>
        <v>#REF!</v>
      </c>
      <c r="Y1851" s="33" t="e">
        <f ca="1"/>
        <v>#REF!</v>
      </c>
      <c r="Z1851" s="33" t="e">
        <f ca="1"/>
        <v>#REF!</v>
      </c>
      <c r="AA1851" s="33" t="e">
        <f ca="1"/>
        <v>#REF!</v>
      </c>
    </row>
    <row r="1852" spans="1:27" s="70" customFormat="1" ht="11.25" x14ac:dyDescent="0.2">
      <c r="A1852" s="24">
        <v>1846</v>
      </c>
      <c r="B1852" s="24"/>
      <c r="C1852" s="25"/>
      <c r="D1852" s="26"/>
      <c r="E1852" s="25"/>
      <c r="F1852" s="25"/>
      <c r="G1852" s="24"/>
      <c r="H1852" s="25" t="e">
        <f ca="1"/>
        <v>#REF!</v>
      </c>
      <c r="I1852" s="27" t="e">
        <f ca="1"/>
        <v>#REF!</v>
      </c>
      <c r="J1852" s="28" t="e">
        <f ca="1"/>
        <v>#REF!</v>
      </c>
      <c r="K1852" s="24" t="e">
        <f ca="1"/>
        <v>#REF!</v>
      </c>
      <c r="L1852" s="25" t="e">
        <f ca="1"/>
        <v>#REF!</v>
      </c>
      <c r="M1852" s="25" t="e">
        <f ca="1"/>
        <v>#REF!</v>
      </c>
      <c r="N1852" s="25" t="e">
        <f ca="1"/>
        <v>#REF!</v>
      </c>
      <c r="O1852" s="25" t="e">
        <f ca="1"/>
        <v>#REF!</v>
      </c>
      <c r="P1852" s="25" t="e">
        <f ca="1"/>
        <v>#REF!</v>
      </c>
      <c r="Q1852" s="25" t="e">
        <f ca="1"/>
        <v>#REF!</v>
      </c>
      <c r="R1852" s="25" t="e">
        <f ca="1"/>
        <v>#REF!</v>
      </c>
      <c r="S1852" s="25" t="e">
        <f ca="1"/>
        <v>#REF!</v>
      </c>
      <c r="T1852" s="25" t="e">
        <f ca="1"/>
        <v>#REF!</v>
      </c>
      <c r="U1852" s="25" t="e">
        <f ca="1"/>
        <v>#REF!</v>
      </c>
      <c r="V1852" s="25" t="e">
        <f ca="1"/>
        <v>#REF!</v>
      </c>
      <c r="W1852" s="33" t="e">
        <f ca="1"/>
        <v>#REF!</v>
      </c>
      <c r="X1852" s="33" t="e">
        <f ca="1"/>
        <v>#REF!</v>
      </c>
      <c r="Y1852" s="33" t="e">
        <f ca="1"/>
        <v>#REF!</v>
      </c>
      <c r="Z1852" s="33" t="e">
        <f ca="1"/>
        <v>#REF!</v>
      </c>
      <c r="AA1852" s="33" t="e">
        <f ca="1"/>
        <v>#REF!</v>
      </c>
    </row>
    <row r="1853" spans="1:27" s="70" customFormat="1" ht="11.25" x14ac:dyDescent="0.2">
      <c r="A1853" s="24">
        <v>1847</v>
      </c>
      <c r="B1853" s="24"/>
      <c r="C1853" s="25"/>
      <c r="D1853" s="26"/>
      <c r="E1853" s="25"/>
      <c r="F1853" s="25"/>
      <c r="G1853" s="24"/>
      <c r="H1853" s="25" t="e">
        <f ca="1"/>
        <v>#REF!</v>
      </c>
      <c r="I1853" s="27" t="e">
        <f ca="1"/>
        <v>#REF!</v>
      </c>
      <c r="J1853" s="28" t="e">
        <f ca="1"/>
        <v>#REF!</v>
      </c>
      <c r="K1853" s="24" t="e">
        <f ca="1"/>
        <v>#REF!</v>
      </c>
      <c r="L1853" s="25" t="e">
        <f ca="1"/>
        <v>#REF!</v>
      </c>
      <c r="M1853" s="25" t="e">
        <f ca="1"/>
        <v>#REF!</v>
      </c>
      <c r="N1853" s="25" t="e">
        <f ca="1"/>
        <v>#REF!</v>
      </c>
      <c r="O1853" s="25" t="e">
        <f ca="1"/>
        <v>#REF!</v>
      </c>
      <c r="P1853" s="25" t="e">
        <f ca="1"/>
        <v>#REF!</v>
      </c>
      <c r="Q1853" s="25" t="e">
        <f ca="1"/>
        <v>#REF!</v>
      </c>
      <c r="R1853" s="25" t="e">
        <f ca="1"/>
        <v>#REF!</v>
      </c>
      <c r="S1853" s="25" t="e">
        <f ca="1"/>
        <v>#REF!</v>
      </c>
      <c r="T1853" s="25" t="e">
        <f ca="1"/>
        <v>#REF!</v>
      </c>
      <c r="U1853" s="25" t="e">
        <f ca="1"/>
        <v>#REF!</v>
      </c>
      <c r="V1853" s="25" t="e">
        <f ca="1"/>
        <v>#REF!</v>
      </c>
      <c r="W1853" s="33" t="e">
        <f ca="1"/>
        <v>#REF!</v>
      </c>
      <c r="X1853" s="33" t="e">
        <f ca="1"/>
        <v>#REF!</v>
      </c>
      <c r="Y1853" s="33" t="e">
        <f ca="1"/>
        <v>#REF!</v>
      </c>
      <c r="Z1853" s="33" t="e">
        <f ca="1"/>
        <v>#REF!</v>
      </c>
      <c r="AA1853" s="33" t="e">
        <f ca="1"/>
        <v>#REF!</v>
      </c>
    </row>
    <row r="1854" spans="1:27" s="70" customFormat="1" ht="11.25" x14ac:dyDescent="0.2">
      <c r="A1854" s="24">
        <v>1848</v>
      </c>
      <c r="B1854" s="24"/>
      <c r="C1854" s="25"/>
      <c r="D1854" s="26"/>
      <c r="E1854" s="25"/>
      <c r="F1854" s="25"/>
      <c r="G1854" s="24"/>
      <c r="H1854" s="25" t="e">
        <f ca="1"/>
        <v>#REF!</v>
      </c>
      <c r="I1854" s="27" t="e">
        <f ca="1"/>
        <v>#REF!</v>
      </c>
      <c r="J1854" s="28" t="e">
        <f ca="1"/>
        <v>#REF!</v>
      </c>
      <c r="K1854" s="24" t="e">
        <f ca="1"/>
        <v>#REF!</v>
      </c>
      <c r="L1854" s="25" t="e">
        <f ca="1"/>
        <v>#REF!</v>
      </c>
      <c r="M1854" s="25" t="e">
        <f ca="1"/>
        <v>#REF!</v>
      </c>
      <c r="N1854" s="25" t="e">
        <f ca="1"/>
        <v>#REF!</v>
      </c>
      <c r="O1854" s="25" t="e">
        <f ca="1"/>
        <v>#REF!</v>
      </c>
      <c r="P1854" s="25" t="e">
        <f ca="1"/>
        <v>#REF!</v>
      </c>
      <c r="Q1854" s="25" t="e">
        <f ca="1"/>
        <v>#REF!</v>
      </c>
      <c r="R1854" s="25" t="e">
        <f ca="1"/>
        <v>#REF!</v>
      </c>
      <c r="S1854" s="25" t="e">
        <f ca="1"/>
        <v>#REF!</v>
      </c>
      <c r="T1854" s="25" t="e">
        <f ca="1"/>
        <v>#REF!</v>
      </c>
      <c r="U1854" s="25" t="e">
        <f ca="1"/>
        <v>#REF!</v>
      </c>
      <c r="V1854" s="25" t="e">
        <f ca="1"/>
        <v>#REF!</v>
      </c>
      <c r="W1854" s="33" t="e">
        <f ca="1"/>
        <v>#REF!</v>
      </c>
      <c r="X1854" s="33" t="e">
        <f ca="1"/>
        <v>#REF!</v>
      </c>
      <c r="Y1854" s="33" t="e">
        <f ca="1"/>
        <v>#REF!</v>
      </c>
      <c r="Z1854" s="33" t="e">
        <f ca="1"/>
        <v>#REF!</v>
      </c>
      <c r="AA1854" s="33" t="e">
        <f ca="1"/>
        <v>#REF!</v>
      </c>
    </row>
    <row r="1855" spans="1:27" s="70" customFormat="1" ht="11.25" x14ac:dyDescent="0.2">
      <c r="A1855" s="24">
        <v>1849</v>
      </c>
      <c r="B1855" s="24"/>
      <c r="C1855" s="25"/>
      <c r="D1855" s="26"/>
      <c r="E1855" s="25"/>
      <c r="F1855" s="25"/>
      <c r="G1855" s="24"/>
      <c r="H1855" s="25" t="e">
        <f ca="1"/>
        <v>#REF!</v>
      </c>
      <c r="I1855" s="27" t="e">
        <f ca="1"/>
        <v>#REF!</v>
      </c>
      <c r="J1855" s="28" t="e">
        <f ca="1"/>
        <v>#REF!</v>
      </c>
      <c r="K1855" s="24" t="e">
        <f ca="1"/>
        <v>#REF!</v>
      </c>
      <c r="L1855" s="25" t="e">
        <f ca="1"/>
        <v>#REF!</v>
      </c>
      <c r="M1855" s="25" t="e">
        <f ca="1"/>
        <v>#REF!</v>
      </c>
      <c r="N1855" s="25" t="e">
        <f ca="1"/>
        <v>#REF!</v>
      </c>
      <c r="O1855" s="25" t="e">
        <f ca="1"/>
        <v>#REF!</v>
      </c>
      <c r="P1855" s="25" t="e">
        <f ca="1"/>
        <v>#REF!</v>
      </c>
      <c r="Q1855" s="25" t="e">
        <f ca="1"/>
        <v>#REF!</v>
      </c>
      <c r="R1855" s="25" t="e">
        <f ca="1"/>
        <v>#REF!</v>
      </c>
      <c r="S1855" s="25" t="e">
        <f ca="1"/>
        <v>#REF!</v>
      </c>
      <c r="T1855" s="25" t="e">
        <f ca="1"/>
        <v>#REF!</v>
      </c>
      <c r="U1855" s="25" t="e">
        <f ca="1"/>
        <v>#REF!</v>
      </c>
      <c r="V1855" s="25" t="e">
        <f ca="1"/>
        <v>#REF!</v>
      </c>
      <c r="W1855" s="33" t="e">
        <f ca="1"/>
        <v>#REF!</v>
      </c>
      <c r="X1855" s="33" t="e">
        <f ca="1"/>
        <v>#REF!</v>
      </c>
      <c r="Y1855" s="33" t="e">
        <f ca="1"/>
        <v>#REF!</v>
      </c>
      <c r="Z1855" s="33" t="e">
        <f ca="1"/>
        <v>#REF!</v>
      </c>
      <c r="AA1855" s="33" t="e">
        <f ca="1"/>
        <v>#REF!</v>
      </c>
    </row>
    <row r="1856" spans="1:27" s="70" customFormat="1" ht="11.25" x14ac:dyDescent="0.2">
      <c r="A1856" s="24">
        <v>1850</v>
      </c>
      <c r="B1856" s="24"/>
      <c r="C1856" s="25"/>
      <c r="D1856" s="26"/>
      <c r="E1856" s="25"/>
      <c r="F1856" s="25"/>
      <c r="G1856" s="24"/>
      <c r="H1856" s="25" t="e">
        <f ca="1"/>
        <v>#REF!</v>
      </c>
      <c r="I1856" s="27" t="e">
        <f ca="1"/>
        <v>#REF!</v>
      </c>
      <c r="J1856" s="28" t="e">
        <f ca="1"/>
        <v>#REF!</v>
      </c>
      <c r="K1856" s="24" t="e">
        <f ca="1"/>
        <v>#REF!</v>
      </c>
      <c r="L1856" s="25" t="e">
        <f ca="1"/>
        <v>#REF!</v>
      </c>
      <c r="M1856" s="25" t="e">
        <f ca="1"/>
        <v>#REF!</v>
      </c>
      <c r="N1856" s="25" t="e">
        <f ca="1"/>
        <v>#REF!</v>
      </c>
      <c r="O1856" s="25" t="e">
        <f ca="1"/>
        <v>#REF!</v>
      </c>
      <c r="P1856" s="25" t="e">
        <f ca="1"/>
        <v>#REF!</v>
      </c>
      <c r="Q1856" s="25" t="e">
        <f ca="1"/>
        <v>#REF!</v>
      </c>
      <c r="R1856" s="25" t="e">
        <f ca="1"/>
        <v>#REF!</v>
      </c>
      <c r="S1856" s="25" t="e">
        <f ca="1"/>
        <v>#REF!</v>
      </c>
      <c r="T1856" s="25" t="e">
        <f ca="1"/>
        <v>#REF!</v>
      </c>
      <c r="U1856" s="25" t="e">
        <f ca="1"/>
        <v>#REF!</v>
      </c>
      <c r="V1856" s="25" t="e">
        <f ca="1"/>
        <v>#REF!</v>
      </c>
      <c r="W1856" s="33" t="e">
        <f ca="1"/>
        <v>#REF!</v>
      </c>
      <c r="X1856" s="33" t="e">
        <f ca="1"/>
        <v>#REF!</v>
      </c>
      <c r="Y1856" s="33" t="e">
        <f ca="1"/>
        <v>#REF!</v>
      </c>
      <c r="Z1856" s="33" t="e">
        <f ca="1"/>
        <v>#REF!</v>
      </c>
      <c r="AA1856" s="33" t="e">
        <f ca="1"/>
        <v>#REF!</v>
      </c>
    </row>
    <row r="1857" spans="1:27" s="70" customFormat="1" ht="11.25" x14ac:dyDescent="0.2">
      <c r="A1857" s="24">
        <v>1851</v>
      </c>
      <c r="B1857" s="24"/>
      <c r="C1857" s="25"/>
      <c r="D1857" s="26"/>
      <c r="E1857" s="25"/>
      <c r="F1857" s="25"/>
      <c r="G1857" s="24"/>
      <c r="H1857" s="25" t="e">
        <f ca="1"/>
        <v>#REF!</v>
      </c>
      <c r="I1857" s="27" t="e">
        <f ca="1"/>
        <v>#REF!</v>
      </c>
      <c r="J1857" s="28" t="e">
        <f ca="1"/>
        <v>#REF!</v>
      </c>
      <c r="K1857" s="27" t="e">
        <f ca="1"/>
        <v>#REF!</v>
      </c>
      <c r="L1857" s="25" t="e">
        <f ca="1"/>
        <v>#REF!</v>
      </c>
      <c r="M1857" s="25" t="e">
        <f ca="1"/>
        <v>#REF!</v>
      </c>
      <c r="N1857" s="25" t="e">
        <f ca="1"/>
        <v>#REF!</v>
      </c>
      <c r="O1857" s="25" t="e">
        <f ca="1"/>
        <v>#REF!</v>
      </c>
      <c r="P1857" s="25" t="e">
        <f ca="1"/>
        <v>#REF!</v>
      </c>
      <c r="Q1857" s="25" t="e">
        <f ca="1"/>
        <v>#REF!</v>
      </c>
      <c r="R1857" s="25" t="e">
        <f ca="1"/>
        <v>#REF!</v>
      </c>
      <c r="S1857" s="25" t="e">
        <f ca="1"/>
        <v>#REF!</v>
      </c>
      <c r="T1857" s="25" t="e">
        <f ca="1"/>
        <v>#REF!</v>
      </c>
      <c r="U1857" s="25" t="e">
        <f ca="1"/>
        <v>#REF!</v>
      </c>
      <c r="V1857" s="25" t="e">
        <f ca="1"/>
        <v>#REF!</v>
      </c>
      <c r="W1857" s="33" t="e">
        <f ca="1"/>
        <v>#REF!</v>
      </c>
      <c r="X1857" s="33" t="e">
        <f ca="1"/>
        <v>#REF!</v>
      </c>
      <c r="Y1857" s="33" t="e">
        <f ca="1"/>
        <v>#REF!</v>
      </c>
      <c r="Z1857" s="33" t="e">
        <f ca="1"/>
        <v>#REF!</v>
      </c>
      <c r="AA1857" s="33" t="e">
        <f ca="1"/>
        <v>#REF!</v>
      </c>
    </row>
    <row r="1858" spans="1:27" s="70" customFormat="1" ht="11.25" x14ac:dyDescent="0.2">
      <c r="A1858" s="24">
        <v>1852</v>
      </c>
      <c r="B1858" s="24"/>
      <c r="C1858" s="25"/>
      <c r="D1858" s="26"/>
      <c r="E1858" s="25"/>
      <c r="F1858" s="25"/>
      <c r="G1858" s="24"/>
      <c r="H1858" s="25" t="e">
        <f ca="1"/>
        <v>#REF!</v>
      </c>
      <c r="I1858" s="27" t="e">
        <f ca="1"/>
        <v>#REF!</v>
      </c>
      <c r="J1858" s="28" t="e">
        <f ca="1"/>
        <v>#REF!</v>
      </c>
      <c r="K1858" s="27" t="e">
        <f ca="1"/>
        <v>#REF!</v>
      </c>
      <c r="L1858" s="25" t="e">
        <f ca="1"/>
        <v>#REF!</v>
      </c>
      <c r="M1858" s="25" t="e">
        <f ca="1"/>
        <v>#REF!</v>
      </c>
      <c r="N1858" s="25" t="e">
        <f ca="1"/>
        <v>#REF!</v>
      </c>
      <c r="O1858" s="25" t="e">
        <f ca="1"/>
        <v>#REF!</v>
      </c>
      <c r="P1858" s="25" t="e">
        <f ca="1"/>
        <v>#REF!</v>
      </c>
      <c r="Q1858" s="25" t="e">
        <f ca="1"/>
        <v>#REF!</v>
      </c>
      <c r="R1858" s="25" t="e">
        <f ca="1"/>
        <v>#REF!</v>
      </c>
      <c r="S1858" s="25" t="e">
        <f ca="1"/>
        <v>#REF!</v>
      </c>
      <c r="T1858" s="25" t="e">
        <f ca="1"/>
        <v>#REF!</v>
      </c>
      <c r="U1858" s="25" t="e">
        <f ca="1"/>
        <v>#REF!</v>
      </c>
      <c r="V1858" s="25" t="e">
        <f ca="1"/>
        <v>#REF!</v>
      </c>
      <c r="W1858" s="33" t="e">
        <f ca="1"/>
        <v>#REF!</v>
      </c>
      <c r="X1858" s="33" t="e">
        <f ca="1"/>
        <v>#REF!</v>
      </c>
      <c r="Y1858" s="33" t="e">
        <f ca="1"/>
        <v>#REF!</v>
      </c>
      <c r="Z1858" s="33" t="e">
        <f ca="1"/>
        <v>#REF!</v>
      </c>
      <c r="AA1858" s="33" t="e">
        <f ca="1"/>
        <v>#REF!</v>
      </c>
    </row>
    <row r="1859" spans="1:27" s="70" customFormat="1" ht="11.25" x14ac:dyDescent="0.2">
      <c r="A1859" s="24">
        <v>1853</v>
      </c>
      <c r="B1859" s="24"/>
      <c r="C1859" s="25"/>
      <c r="D1859" s="26"/>
      <c r="E1859" s="25"/>
      <c r="F1859" s="25"/>
      <c r="G1859" s="24"/>
      <c r="H1859" s="25" t="e">
        <f ca="1"/>
        <v>#REF!</v>
      </c>
      <c r="I1859" s="27" t="e">
        <f ca="1"/>
        <v>#REF!</v>
      </c>
      <c r="J1859" s="28" t="e">
        <f ca="1"/>
        <v>#REF!</v>
      </c>
      <c r="K1859" s="27" t="e">
        <f ca="1"/>
        <v>#REF!</v>
      </c>
      <c r="L1859" s="25" t="e">
        <f ca="1"/>
        <v>#REF!</v>
      </c>
      <c r="M1859" s="25" t="e">
        <f ca="1"/>
        <v>#REF!</v>
      </c>
      <c r="N1859" s="25" t="e">
        <f ca="1"/>
        <v>#REF!</v>
      </c>
      <c r="O1859" s="25" t="e">
        <f ca="1"/>
        <v>#REF!</v>
      </c>
      <c r="P1859" s="25" t="e">
        <f ca="1"/>
        <v>#REF!</v>
      </c>
      <c r="Q1859" s="25" t="e">
        <f ca="1"/>
        <v>#REF!</v>
      </c>
      <c r="R1859" s="25" t="e">
        <f ca="1"/>
        <v>#REF!</v>
      </c>
      <c r="S1859" s="25" t="e">
        <f ca="1"/>
        <v>#REF!</v>
      </c>
      <c r="T1859" s="25" t="e">
        <f ca="1"/>
        <v>#REF!</v>
      </c>
      <c r="U1859" s="25" t="e">
        <f ca="1"/>
        <v>#REF!</v>
      </c>
      <c r="V1859" s="25" t="e">
        <f ca="1"/>
        <v>#REF!</v>
      </c>
      <c r="W1859" s="33" t="e">
        <f ca="1"/>
        <v>#REF!</v>
      </c>
      <c r="X1859" s="33" t="e">
        <f ca="1"/>
        <v>#REF!</v>
      </c>
      <c r="Y1859" s="33" t="e">
        <f ca="1"/>
        <v>#REF!</v>
      </c>
      <c r="Z1859" s="33" t="e">
        <f ca="1"/>
        <v>#REF!</v>
      </c>
      <c r="AA1859" s="33" t="e">
        <f ca="1"/>
        <v>#REF!</v>
      </c>
    </row>
    <row r="1860" spans="1:27" s="70" customFormat="1" ht="11.25" x14ac:dyDescent="0.2">
      <c r="A1860" s="24">
        <v>1854</v>
      </c>
      <c r="B1860" s="24"/>
      <c r="C1860" s="25"/>
      <c r="D1860" s="26"/>
      <c r="E1860" s="25"/>
      <c r="F1860" s="25"/>
      <c r="G1860" s="24"/>
      <c r="H1860" s="25" t="e">
        <f ca="1"/>
        <v>#REF!</v>
      </c>
      <c r="I1860" s="27" t="e">
        <f ca="1"/>
        <v>#REF!</v>
      </c>
      <c r="J1860" s="28" t="e">
        <f ca="1"/>
        <v>#REF!</v>
      </c>
      <c r="K1860" s="27" t="e">
        <f ca="1"/>
        <v>#REF!</v>
      </c>
      <c r="L1860" s="25" t="e">
        <f ca="1"/>
        <v>#REF!</v>
      </c>
      <c r="M1860" s="25" t="e">
        <f ca="1"/>
        <v>#REF!</v>
      </c>
      <c r="N1860" s="25" t="e">
        <f ca="1"/>
        <v>#REF!</v>
      </c>
      <c r="O1860" s="25" t="e">
        <f ca="1"/>
        <v>#REF!</v>
      </c>
      <c r="P1860" s="25" t="e">
        <f ca="1"/>
        <v>#REF!</v>
      </c>
      <c r="Q1860" s="25" t="e">
        <f ca="1"/>
        <v>#REF!</v>
      </c>
      <c r="R1860" s="25" t="e">
        <f ca="1"/>
        <v>#REF!</v>
      </c>
      <c r="S1860" s="25" t="e">
        <f ca="1"/>
        <v>#REF!</v>
      </c>
      <c r="T1860" s="25" t="e">
        <f ca="1"/>
        <v>#REF!</v>
      </c>
      <c r="U1860" s="25" t="e">
        <f ca="1"/>
        <v>#REF!</v>
      </c>
      <c r="V1860" s="25" t="e">
        <f ca="1"/>
        <v>#REF!</v>
      </c>
      <c r="W1860" s="33" t="e">
        <f ca="1"/>
        <v>#REF!</v>
      </c>
      <c r="X1860" s="33" t="e">
        <f ca="1"/>
        <v>#REF!</v>
      </c>
      <c r="Y1860" s="33" t="e">
        <f ca="1"/>
        <v>#REF!</v>
      </c>
      <c r="Z1860" s="33" t="e">
        <f ca="1"/>
        <v>#REF!</v>
      </c>
      <c r="AA1860" s="33" t="e">
        <f ca="1"/>
        <v>#REF!</v>
      </c>
    </row>
    <row r="1861" spans="1:27" s="70" customFormat="1" ht="11.25" x14ac:dyDescent="0.2">
      <c r="A1861" s="24">
        <v>1855</v>
      </c>
      <c r="B1861" s="24"/>
      <c r="C1861" s="25"/>
      <c r="D1861" s="26"/>
      <c r="E1861" s="25"/>
      <c r="F1861" s="25"/>
      <c r="G1861" s="24"/>
      <c r="H1861" s="25" t="e">
        <f ca="1"/>
        <v>#REF!</v>
      </c>
      <c r="I1861" s="27" t="e">
        <f ca="1"/>
        <v>#REF!</v>
      </c>
      <c r="J1861" s="28" t="e">
        <f ca="1"/>
        <v>#REF!</v>
      </c>
      <c r="K1861" s="27" t="e">
        <f ca="1"/>
        <v>#REF!</v>
      </c>
      <c r="L1861" s="25" t="e">
        <f ca="1"/>
        <v>#REF!</v>
      </c>
      <c r="M1861" s="25" t="e">
        <f ca="1"/>
        <v>#REF!</v>
      </c>
      <c r="N1861" s="25" t="e">
        <f ca="1"/>
        <v>#REF!</v>
      </c>
      <c r="O1861" s="25" t="e">
        <f ca="1"/>
        <v>#REF!</v>
      </c>
      <c r="P1861" s="25" t="e">
        <f ca="1"/>
        <v>#REF!</v>
      </c>
      <c r="Q1861" s="25" t="e">
        <f ca="1"/>
        <v>#REF!</v>
      </c>
      <c r="R1861" s="25" t="e">
        <f ca="1"/>
        <v>#REF!</v>
      </c>
      <c r="S1861" s="25" t="e">
        <f ca="1"/>
        <v>#REF!</v>
      </c>
      <c r="T1861" s="25" t="e">
        <f ca="1"/>
        <v>#REF!</v>
      </c>
      <c r="U1861" s="25" t="e">
        <f ca="1"/>
        <v>#REF!</v>
      </c>
      <c r="V1861" s="25" t="e">
        <f ca="1"/>
        <v>#REF!</v>
      </c>
      <c r="W1861" s="33" t="e">
        <f ca="1"/>
        <v>#REF!</v>
      </c>
      <c r="X1861" s="33" t="e">
        <f ca="1"/>
        <v>#REF!</v>
      </c>
      <c r="Y1861" s="33" t="e">
        <f ca="1"/>
        <v>#REF!</v>
      </c>
      <c r="Z1861" s="33" t="e">
        <f ca="1"/>
        <v>#REF!</v>
      </c>
      <c r="AA1861" s="33" t="e">
        <f ca="1"/>
        <v>#REF!</v>
      </c>
    </row>
    <row r="1862" spans="1:27" s="70" customFormat="1" ht="11.25" x14ac:dyDescent="0.2">
      <c r="A1862" s="24">
        <v>1856</v>
      </c>
      <c r="B1862" s="24"/>
      <c r="C1862" s="25"/>
      <c r="D1862" s="26"/>
      <c r="E1862" s="25"/>
      <c r="F1862" s="25"/>
      <c r="G1862" s="24"/>
      <c r="H1862" s="25" t="e">
        <f ca="1"/>
        <v>#REF!</v>
      </c>
      <c r="I1862" s="27" t="e">
        <f ca="1"/>
        <v>#REF!</v>
      </c>
      <c r="J1862" s="28" t="e">
        <f ca="1"/>
        <v>#REF!</v>
      </c>
      <c r="K1862" s="27" t="e">
        <f ca="1"/>
        <v>#REF!</v>
      </c>
      <c r="L1862" s="25" t="e">
        <f ca="1"/>
        <v>#REF!</v>
      </c>
      <c r="M1862" s="25" t="e">
        <f ca="1"/>
        <v>#REF!</v>
      </c>
      <c r="N1862" s="25" t="e">
        <f ca="1"/>
        <v>#REF!</v>
      </c>
      <c r="O1862" s="25" t="e">
        <f ca="1"/>
        <v>#REF!</v>
      </c>
      <c r="P1862" s="25" t="e">
        <f ca="1"/>
        <v>#REF!</v>
      </c>
      <c r="Q1862" s="25" t="e">
        <f ca="1"/>
        <v>#REF!</v>
      </c>
      <c r="R1862" s="25" t="e">
        <f ca="1"/>
        <v>#REF!</v>
      </c>
      <c r="S1862" s="25" t="e">
        <f ca="1"/>
        <v>#REF!</v>
      </c>
      <c r="T1862" s="25" t="e">
        <f ca="1"/>
        <v>#REF!</v>
      </c>
      <c r="U1862" s="25" t="e">
        <f ca="1"/>
        <v>#REF!</v>
      </c>
      <c r="V1862" s="25" t="e">
        <f ca="1"/>
        <v>#REF!</v>
      </c>
      <c r="W1862" s="33" t="e">
        <f ca="1"/>
        <v>#REF!</v>
      </c>
      <c r="X1862" s="33" t="e">
        <f ca="1"/>
        <v>#REF!</v>
      </c>
      <c r="Y1862" s="33" t="e">
        <f ca="1"/>
        <v>#REF!</v>
      </c>
      <c r="Z1862" s="33" t="e">
        <f ca="1"/>
        <v>#REF!</v>
      </c>
      <c r="AA1862" s="33" t="e">
        <f ca="1"/>
        <v>#REF!</v>
      </c>
    </row>
    <row r="1863" spans="1:27" s="70" customFormat="1" ht="11.25" x14ac:dyDescent="0.2">
      <c r="A1863" s="24">
        <v>1857</v>
      </c>
      <c r="B1863" s="24"/>
      <c r="C1863" s="25"/>
      <c r="D1863" s="26"/>
      <c r="E1863" s="25"/>
      <c r="F1863" s="25"/>
      <c r="G1863" s="24"/>
      <c r="H1863" s="25" t="e">
        <f ca="1"/>
        <v>#REF!</v>
      </c>
      <c r="I1863" s="27" t="e">
        <f ca="1"/>
        <v>#REF!</v>
      </c>
      <c r="J1863" s="28" t="e">
        <f ca="1"/>
        <v>#REF!</v>
      </c>
      <c r="K1863" s="27" t="e">
        <f ca="1"/>
        <v>#REF!</v>
      </c>
      <c r="L1863" s="25" t="e">
        <f ca="1"/>
        <v>#REF!</v>
      </c>
      <c r="M1863" s="25" t="e">
        <f ca="1"/>
        <v>#REF!</v>
      </c>
      <c r="N1863" s="25" t="e">
        <f ca="1"/>
        <v>#REF!</v>
      </c>
      <c r="O1863" s="25" t="e">
        <f ca="1"/>
        <v>#REF!</v>
      </c>
      <c r="P1863" s="25" t="e">
        <f ca="1"/>
        <v>#REF!</v>
      </c>
      <c r="Q1863" s="25" t="e">
        <f ca="1"/>
        <v>#REF!</v>
      </c>
      <c r="R1863" s="25" t="e">
        <f ca="1"/>
        <v>#REF!</v>
      </c>
      <c r="S1863" s="25" t="e">
        <f ca="1"/>
        <v>#REF!</v>
      </c>
      <c r="T1863" s="25" t="e">
        <f ca="1"/>
        <v>#REF!</v>
      </c>
      <c r="U1863" s="25" t="e">
        <f ca="1"/>
        <v>#REF!</v>
      </c>
      <c r="V1863" s="25" t="e">
        <f ca="1"/>
        <v>#REF!</v>
      </c>
      <c r="W1863" s="33" t="e">
        <f ca="1"/>
        <v>#REF!</v>
      </c>
      <c r="X1863" s="33" t="e">
        <f ca="1"/>
        <v>#REF!</v>
      </c>
      <c r="Y1863" s="33" t="e">
        <f ca="1"/>
        <v>#REF!</v>
      </c>
      <c r="Z1863" s="33" t="e">
        <f ca="1"/>
        <v>#REF!</v>
      </c>
      <c r="AA1863" s="33" t="e">
        <f ca="1"/>
        <v>#REF!</v>
      </c>
    </row>
    <row r="1864" spans="1:27" s="70" customFormat="1" ht="11.25" x14ac:dyDescent="0.2">
      <c r="A1864" s="24">
        <v>1858</v>
      </c>
      <c r="B1864" s="24"/>
      <c r="C1864" s="25"/>
      <c r="D1864" s="26"/>
      <c r="E1864" s="25"/>
      <c r="F1864" s="25"/>
      <c r="G1864" s="24"/>
      <c r="H1864" s="25" t="e">
        <f ca="1"/>
        <v>#REF!</v>
      </c>
      <c r="I1864" s="27" t="e">
        <f ca="1"/>
        <v>#REF!</v>
      </c>
      <c r="J1864" s="28" t="e">
        <f ca="1"/>
        <v>#REF!</v>
      </c>
      <c r="K1864" s="27" t="e">
        <f ca="1"/>
        <v>#REF!</v>
      </c>
      <c r="L1864" s="25" t="e">
        <f ca="1"/>
        <v>#REF!</v>
      </c>
      <c r="M1864" s="25" t="e">
        <f ca="1"/>
        <v>#REF!</v>
      </c>
      <c r="N1864" s="25" t="e">
        <f ca="1"/>
        <v>#REF!</v>
      </c>
      <c r="O1864" s="25" t="e">
        <f ca="1"/>
        <v>#REF!</v>
      </c>
      <c r="P1864" s="25" t="e">
        <f ca="1"/>
        <v>#REF!</v>
      </c>
      <c r="Q1864" s="25" t="e">
        <f ca="1"/>
        <v>#REF!</v>
      </c>
      <c r="R1864" s="25" t="e">
        <f ca="1"/>
        <v>#REF!</v>
      </c>
      <c r="S1864" s="25" t="e">
        <f ca="1"/>
        <v>#REF!</v>
      </c>
      <c r="T1864" s="25" t="e">
        <f ca="1"/>
        <v>#REF!</v>
      </c>
      <c r="U1864" s="25" t="e">
        <f ca="1"/>
        <v>#REF!</v>
      </c>
      <c r="V1864" s="25" t="e">
        <f ca="1"/>
        <v>#REF!</v>
      </c>
      <c r="W1864" s="33" t="e">
        <f ca="1"/>
        <v>#REF!</v>
      </c>
      <c r="X1864" s="33" t="e">
        <f ca="1"/>
        <v>#REF!</v>
      </c>
      <c r="Y1864" s="33" t="e">
        <f ca="1"/>
        <v>#REF!</v>
      </c>
      <c r="Z1864" s="33" t="e">
        <f ca="1"/>
        <v>#REF!</v>
      </c>
      <c r="AA1864" s="33" t="e">
        <f ca="1"/>
        <v>#REF!</v>
      </c>
    </row>
    <row r="1865" spans="1:27" s="70" customFormat="1" ht="11.25" x14ac:dyDescent="0.2">
      <c r="A1865" s="24">
        <v>1859</v>
      </c>
      <c r="B1865" s="24"/>
      <c r="C1865" s="25"/>
      <c r="D1865" s="26"/>
      <c r="E1865" s="25"/>
      <c r="F1865" s="25"/>
      <c r="G1865" s="24"/>
      <c r="H1865" s="25" t="e">
        <f ca="1"/>
        <v>#REF!</v>
      </c>
      <c r="I1865" s="27" t="e">
        <f ca="1"/>
        <v>#REF!</v>
      </c>
      <c r="J1865" s="28" t="e">
        <f ca="1"/>
        <v>#REF!</v>
      </c>
      <c r="K1865" s="27" t="e">
        <f ca="1"/>
        <v>#REF!</v>
      </c>
      <c r="L1865" s="25" t="e">
        <f ca="1"/>
        <v>#REF!</v>
      </c>
      <c r="M1865" s="25" t="e">
        <f ca="1"/>
        <v>#REF!</v>
      </c>
      <c r="N1865" s="25" t="e">
        <f ca="1"/>
        <v>#REF!</v>
      </c>
      <c r="O1865" s="25" t="e">
        <f ca="1"/>
        <v>#REF!</v>
      </c>
      <c r="P1865" s="25" t="e">
        <f ca="1"/>
        <v>#REF!</v>
      </c>
      <c r="Q1865" s="25" t="e">
        <f ca="1"/>
        <v>#REF!</v>
      </c>
      <c r="R1865" s="25" t="e">
        <f ca="1"/>
        <v>#REF!</v>
      </c>
      <c r="S1865" s="25" t="e">
        <f ca="1"/>
        <v>#REF!</v>
      </c>
      <c r="T1865" s="25" t="e">
        <f ca="1"/>
        <v>#REF!</v>
      </c>
      <c r="U1865" s="25" t="e">
        <f ca="1"/>
        <v>#REF!</v>
      </c>
      <c r="V1865" s="25" t="e">
        <f ca="1"/>
        <v>#REF!</v>
      </c>
      <c r="W1865" s="33" t="e">
        <f ca="1"/>
        <v>#REF!</v>
      </c>
      <c r="X1865" s="33" t="e">
        <f ca="1"/>
        <v>#REF!</v>
      </c>
      <c r="Y1865" s="33" t="e">
        <f ca="1"/>
        <v>#REF!</v>
      </c>
      <c r="Z1865" s="33" t="e">
        <f ca="1"/>
        <v>#REF!</v>
      </c>
      <c r="AA1865" s="33" t="e">
        <f ca="1"/>
        <v>#REF!</v>
      </c>
    </row>
    <row r="1866" spans="1:27" s="70" customFormat="1" ht="11.25" x14ac:dyDescent="0.2">
      <c r="A1866" s="24">
        <v>1860</v>
      </c>
      <c r="B1866" s="24"/>
      <c r="C1866" s="25"/>
      <c r="D1866" s="26"/>
      <c r="E1866" s="25"/>
      <c r="F1866" s="25"/>
      <c r="G1866" s="24"/>
      <c r="H1866" s="25" t="e">
        <f ca="1"/>
        <v>#REF!</v>
      </c>
      <c r="I1866" s="27" t="e">
        <f ca="1"/>
        <v>#REF!</v>
      </c>
      <c r="J1866" s="28" t="e">
        <f ca="1"/>
        <v>#REF!</v>
      </c>
      <c r="K1866" s="27" t="e">
        <f ca="1"/>
        <v>#REF!</v>
      </c>
      <c r="L1866" s="25" t="e">
        <f ca="1"/>
        <v>#REF!</v>
      </c>
      <c r="M1866" s="25" t="e">
        <f ca="1"/>
        <v>#REF!</v>
      </c>
      <c r="N1866" s="25" t="e">
        <f ca="1"/>
        <v>#REF!</v>
      </c>
      <c r="O1866" s="25" t="e">
        <f ca="1"/>
        <v>#REF!</v>
      </c>
      <c r="P1866" s="25" t="e">
        <f ca="1"/>
        <v>#REF!</v>
      </c>
      <c r="Q1866" s="25" t="e">
        <f ca="1"/>
        <v>#REF!</v>
      </c>
      <c r="R1866" s="25" t="e">
        <f ca="1"/>
        <v>#REF!</v>
      </c>
      <c r="S1866" s="25" t="e">
        <f ca="1"/>
        <v>#REF!</v>
      </c>
      <c r="T1866" s="25" t="e">
        <f ca="1"/>
        <v>#REF!</v>
      </c>
      <c r="U1866" s="25" t="e">
        <f ca="1"/>
        <v>#REF!</v>
      </c>
      <c r="V1866" s="25" t="e">
        <f ca="1"/>
        <v>#REF!</v>
      </c>
      <c r="W1866" s="33" t="e">
        <f ca="1"/>
        <v>#REF!</v>
      </c>
      <c r="X1866" s="33" t="e">
        <f ca="1"/>
        <v>#REF!</v>
      </c>
      <c r="Y1866" s="33" t="e">
        <f ca="1"/>
        <v>#REF!</v>
      </c>
      <c r="Z1866" s="33" t="e">
        <f ca="1"/>
        <v>#REF!</v>
      </c>
      <c r="AA1866" s="33" t="e">
        <f ca="1"/>
        <v>#REF!</v>
      </c>
    </row>
    <row r="1867" spans="1:27" s="70" customFormat="1" ht="11.25" x14ac:dyDescent="0.2">
      <c r="A1867" s="24">
        <v>1861</v>
      </c>
      <c r="B1867" s="24"/>
      <c r="C1867" s="25"/>
      <c r="D1867" s="26"/>
      <c r="E1867" s="25"/>
      <c r="F1867" s="25"/>
      <c r="G1867" s="24"/>
      <c r="H1867" s="25" t="e">
        <f ca="1"/>
        <v>#REF!</v>
      </c>
      <c r="I1867" s="27" t="e">
        <f ca="1"/>
        <v>#REF!</v>
      </c>
      <c r="J1867" s="28" t="e">
        <f ca="1"/>
        <v>#REF!</v>
      </c>
      <c r="K1867" s="27" t="e">
        <f ca="1"/>
        <v>#REF!</v>
      </c>
      <c r="L1867" s="25" t="e">
        <f ca="1"/>
        <v>#REF!</v>
      </c>
      <c r="M1867" s="25" t="e">
        <f ca="1"/>
        <v>#REF!</v>
      </c>
      <c r="N1867" s="25" t="e">
        <f ca="1"/>
        <v>#REF!</v>
      </c>
      <c r="O1867" s="25" t="e">
        <f ca="1"/>
        <v>#REF!</v>
      </c>
      <c r="P1867" s="25" t="e">
        <f ca="1"/>
        <v>#REF!</v>
      </c>
      <c r="Q1867" s="25" t="e">
        <f ca="1"/>
        <v>#REF!</v>
      </c>
      <c r="R1867" s="25" t="e">
        <f ca="1"/>
        <v>#REF!</v>
      </c>
      <c r="S1867" s="25" t="e">
        <f ca="1"/>
        <v>#REF!</v>
      </c>
      <c r="T1867" s="25" t="e">
        <f ca="1"/>
        <v>#REF!</v>
      </c>
      <c r="U1867" s="25" t="e">
        <f ca="1"/>
        <v>#REF!</v>
      </c>
      <c r="V1867" s="25" t="e">
        <f ca="1"/>
        <v>#REF!</v>
      </c>
      <c r="W1867" s="33" t="e">
        <f ca="1"/>
        <v>#REF!</v>
      </c>
      <c r="X1867" s="33" t="e">
        <f ca="1"/>
        <v>#REF!</v>
      </c>
      <c r="Y1867" s="33" t="e">
        <f ca="1"/>
        <v>#REF!</v>
      </c>
      <c r="Z1867" s="33" t="e">
        <f ca="1"/>
        <v>#REF!</v>
      </c>
      <c r="AA1867" s="33" t="e">
        <f ca="1"/>
        <v>#REF!</v>
      </c>
    </row>
    <row r="1868" spans="1:27" s="70" customFormat="1" ht="11.25" x14ac:dyDescent="0.2">
      <c r="A1868" s="24">
        <v>1862</v>
      </c>
      <c r="B1868" s="24"/>
      <c r="C1868" s="25"/>
      <c r="D1868" s="26"/>
      <c r="E1868" s="25"/>
      <c r="F1868" s="25"/>
      <c r="G1868" s="24"/>
      <c r="H1868" s="25" t="e">
        <f ca="1"/>
        <v>#REF!</v>
      </c>
      <c r="I1868" s="27" t="e">
        <f ca="1"/>
        <v>#REF!</v>
      </c>
      <c r="J1868" s="28" t="e">
        <f ca="1"/>
        <v>#REF!</v>
      </c>
      <c r="K1868" s="27" t="e">
        <f ca="1"/>
        <v>#REF!</v>
      </c>
      <c r="L1868" s="25" t="e">
        <f ca="1"/>
        <v>#REF!</v>
      </c>
      <c r="M1868" s="25" t="e">
        <f ca="1"/>
        <v>#REF!</v>
      </c>
      <c r="N1868" s="25" t="e">
        <f ca="1"/>
        <v>#REF!</v>
      </c>
      <c r="O1868" s="25" t="e">
        <f ca="1"/>
        <v>#REF!</v>
      </c>
      <c r="P1868" s="25" t="e">
        <f ca="1"/>
        <v>#REF!</v>
      </c>
      <c r="Q1868" s="25" t="e">
        <f ca="1"/>
        <v>#REF!</v>
      </c>
      <c r="R1868" s="25" t="e">
        <f ca="1"/>
        <v>#REF!</v>
      </c>
      <c r="S1868" s="25" t="e">
        <f ca="1"/>
        <v>#REF!</v>
      </c>
      <c r="T1868" s="25" t="e">
        <f ca="1"/>
        <v>#REF!</v>
      </c>
      <c r="U1868" s="25" t="e">
        <f ca="1"/>
        <v>#REF!</v>
      </c>
      <c r="V1868" s="25" t="e">
        <f ca="1"/>
        <v>#REF!</v>
      </c>
      <c r="W1868" s="33" t="e">
        <f ca="1"/>
        <v>#REF!</v>
      </c>
      <c r="X1868" s="33" t="e">
        <f ca="1"/>
        <v>#REF!</v>
      </c>
      <c r="Y1868" s="33" t="e">
        <f ca="1"/>
        <v>#REF!</v>
      </c>
      <c r="Z1868" s="33" t="e">
        <f ca="1"/>
        <v>#REF!</v>
      </c>
      <c r="AA1868" s="33" t="e">
        <f ca="1"/>
        <v>#REF!</v>
      </c>
    </row>
    <row r="1869" spans="1:27" s="70" customFormat="1" ht="11.25" x14ac:dyDescent="0.2">
      <c r="A1869" s="24">
        <v>1863</v>
      </c>
      <c r="B1869" s="24"/>
      <c r="C1869" s="25"/>
      <c r="D1869" s="26"/>
      <c r="E1869" s="25"/>
      <c r="F1869" s="25"/>
      <c r="G1869" s="24"/>
      <c r="H1869" s="25" t="e">
        <f ca="1"/>
        <v>#REF!</v>
      </c>
      <c r="I1869" s="27" t="e">
        <f ca="1"/>
        <v>#REF!</v>
      </c>
      <c r="J1869" s="28" t="e">
        <f ca="1"/>
        <v>#REF!</v>
      </c>
      <c r="K1869" s="27" t="e">
        <f ca="1"/>
        <v>#REF!</v>
      </c>
      <c r="L1869" s="25" t="e">
        <f ca="1"/>
        <v>#REF!</v>
      </c>
      <c r="M1869" s="25" t="e">
        <f ca="1"/>
        <v>#REF!</v>
      </c>
      <c r="N1869" s="25" t="e">
        <f ca="1"/>
        <v>#REF!</v>
      </c>
      <c r="O1869" s="25" t="e">
        <f ca="1"/>
        <v>#REF!</v>
      </c>
      <c r="P1869" s="25" t="e">
        <f ca="1"/>
        <v>#REF!</v>
      </c>
      <c r="Q1869" s="25" t="e">
        <f ca="1"/>
        <v>#REF!</v>
      </c>
      <c r="R1869" s="25" t="e">
        <f ca="1"/>
        <v>#REF!</v>
      </c>
      <c r="S1869" s="25" t="e">
        <f ca="1"/>
        <v>#REF!</v>
      </c>
      <c r="T1869" s="25" t="e">
        <f ca="1"/>
        <v>#REF!</v>
      </c>
      <c r="U1869" s="25" t="e">
        <f ca="1"/>
        <v>#REF!</v>
      </c>
      <c r="V1869" s="25" t="e">
        <f ca="1"/>
        <v>#REF!</v>
      </c>
      <c r="W1869" s="33" t="e">
        <f ca="1"/>
        <v>#REF!</v>
      </c>
      <c r="X1869" s="33" t="e">
        <f ca="1"/>
        <v>#REF!</v>
      </c>
      <c r="Y1869" s="33" t="e">
        <f ca="1"/>
        <v>#REF!</v>
      </c>
      <c r="Z1869" s="33" t="e">
        <f ca="1"/>
        <v>#REF!</v>
      </c>
      <c r="AA1869" s="33" t="e">
        <f ca="1"/>
        <v>#REF!</v>
      </c>
    </row>
    <row r="1870" spans="1:27" s="70" customFormat="1" ht="11.25" x14ac:dyDescent="0.2">
      <c r="A1870" s="24">
        <v>1864</v>
      </c>
      <c r="B1870" s="24"/>
      <c r="C1870" s="25"/>
      <c r="D1870" s="26"/>
      <c r="E1870" s="25"/>
      <c r="F1870" s="25"/>
      <c r="G1870" s="24"/>
      <c r="H1870" s="25" t="e">
        <f ca="1"/>
        <v>#REF!</v>
      </c>
      <c r="I1870" s="27" t="e">
        <f ca="1"/>
        <v>#REF!</v>
      </c>
      <c r="J1870" s="28" t="e">
        <f ca="1"/>
        <v>#REF!</v>
      </c>
      <c r="K1870" s="27" t="e">
        <f ca="1"/>
        <v>#REF!</v>
      </c>
      <c r="L1870" s="25" t="e">
        <f ca="1"/>
        <v>#REF!</v>
      </c>
      <c r="M1870" s="25" t="e">
        <f ca="1"/>
        <v>#REF!</v>
      </c>
      <c r="N1870" s="25" t="e">
        <f ca="1"/>
        <v>#REF!</v>
      </c>
      <c r="O1870" s="25" t="e">
        <f ca="1"/>
        <v>#REF!</v>
      </c>
      <c r="P1870" s="25" t="e">
        <f ca="1"/>
        <v>#REF!</v>
      </c>
      <c r="Q1870" s="25" t="e">
        <f ca="1"/>
        <v>#REF!</v>
      </c>
      <c r="R1870" s="25" t="e">
        <f ca="1"/>
        <v>#REF!</v>
      </c>
      <c r="S1870" s="25" t="e">
        <f ca="1"/>
        <v>#REF!</v>
      </c>
      <c r="T1870" s="25" t="e">
        <f ca="1"/>
        <v>#REF!</v>
      </c>
      <c r="U1870" s="25" t="e">
        <f ca="1"/>
        <v>#REF!</v>
      </c>
      <c r="V1870" s="25" t="e">
        <f ca="1"/>
        <v>#REF!</v>
      </c>
      <c r="W1870" s="33" t="e">
        <f ca="1"/>
        <v>#REF!</v>
      </c>
      <c r="X1870" s="33" t="e">
        <f ca="1"/>
        <v>#REF!</v>
      </c>
      <c r="Y1870" s="33" t="e">
        <f ca="1"/>
        <v>#REF!</v>
      </c>
      <c r="Z1870" s="33" t="e">
        <f ca="1"/>
        <v>#REF!</v>
      </c>
      <c r="AA1870" s="33" t="e">
        <f ca="1"/>
        <v>#REF!</v>
      </c>
    </row>
    <row r="1871" spans="1:27" s="70" customFormat="1" ht="11.25" x14ac:dyDescent="0.2">
      <c r="A1871" s="24">
        <v>1865</v>
      </c>
      <c r="B1871" s="24"/>
      <c r="C1871" s="25"/>
      <c r="D1871" s="26"/>
      <c r="E1871" s="25"/>
      <c r="F1871" s="25"/>
      <c r="G1871" s="24"/>
      <c r="H1871" s="25" t="e">
        <f ca="1"/>
        <v>#REF!</v>
      </c>
      <c r="I1871" s="27" t="e">
        <f ca="1"/>
        <v>#REF!</v>
      </c>
      <c r="J1871" s="28" t="e">
        <f ca="1"/>
        <v>#REF!</v>
      </c>
      <c r="K1871" s="27" t="e">
        <f ca="1"/>
        <v>#REF!</v>
      </c>
      <c r="L1871" s="25" t="e">
        <f ca="1"/>
        <v>#REF!</v>
      </c>
      <c r="M1871" s="25" t="e">
        <f ca="1"/>
        <v>#REF!</v>
      </c>
      <c r="N1871" s="25" t="e">
        <f ca="1"/>
        <v>#REF!</v>
      </c>
      <c r="O1871" s="25" t="e">
        <f ca="1"/>
        <v>#REF!</v>
      </c>
      <c r="P1871" s="25" t="e">
        <f ca="1"/>
        <v>#REF!</v>
      </c>
      <c r="Q1871" s="25" t="e">
        <f ca="1"/>
        <v>#REF!</v>
      </c>
      <c r="R1871" s="25" t="e">
        <f ca="1"/>
        <v>#REF!</v>
      </c>
      <c r="S1871" s="25" t="e">
        <f ca="1"/>
        <v>#REF!</v>
      </c>
      <c r="T1871" s="25" t="e">
        <f ca="1"/>
        <v>#REF!</v>
      </c>
      <c r="U1871" s="25" t="e">
        <f ca="1"/>
        <v>#REF!</v>
      </c>
      <c r="V1871" s="25" t="e">
        <f ca="1"/>
        <v>#REF!</v>
      </c>
      <c r="W1871" s="33" t="e">
        <f ca="1"/>
        <v>#REF!</v>
      </c>
      <c r="X1871" s="33" t="e">
        <f ca="1"/>
        <v>#REF!</v>
      </c>
      <c r="Y1871" s="33" t="e">
        <f ca="1"/>
        <v>#REF!</v>
      </c>
      <c r="Z1871" s="33" t="e">
        <f ca="1"/>
        <v>#REF!</v>
      </c>
      <c r="AA1871" s="33" t="e">
        <f ca="1"/>
        <v>#REF!</v>
      </c>
    </row>
    <row r="1872" spans="1:27" s="70" customFormat="1" ht="11.25" x14ac:dyDescent="0.2">
      <c r="A1872" s="24">
        <v>1866</v>
      </c>
      <c r="B1872" s="24"/>
      <c r="C1872" s="25"/>
      <c r="D1872" s="26"/>
      <c r="E1872" s="25"/>
      <c r="F1872" s="25"/>
      <c r="G1872" s="24"/>
      <c r="H1872" s="25" t="e">
        <f ca="1"/>
        <v>#REF!</v>
      </c>
      <c r="I1872" s="27" t="e">
        <f ca="1"/>
        <v>#REF!</v>
      </c>
      <c r="J1872" s="28" t="e">
        <f ca="1"/>
        <v>#REF!</v>
      </c>
      <c r="K1872" s="27" t="e">
        <f ca="1"/>
        <v>#REF!</v>
      </c>
      <c r="L1872" s="25" t="e">
        <f ca="1"/>
        <v>#REF!</v>
      </c>
      <c r="M1872" s="25" t="e">
        <f ca="1"/>
        <v>#REF!</v>
      </c>
      <c r="N1872" s="25" t="e">
        <f ca="1"/>
        <v>#REF!</v>
      </c>
      <c r="O1872" s="25" t="e">
        <f ca="1"/>
        <v>#REF!</v>
      </c>
      <c r="P1872" s="25" t="e">
        <f ca="1"/>
        <v>#REF!</v>
      </c>
      <c r="Q1872" s="25" t="e">
        <f ca="1"/>
        <v>#REF!</v>
      </c>
      <c r="R1872" s="25" t="e">
        <f ca="1"/>
        <v>#REF!</v>
      </c>
      <c r="S1872" s="25" t="e">
        <f ca="1"/>
        <v>#REF!</v>
      </c>
      <c r="T1872" s="25" t="e">
        <f ca="1"/>
        <v>#REF!</v>
      </c>
      <c r="U1872" s="25" t="e">
        <f ca="1"/>
        <v>#REF!</v>
      </c>
      <c r="V1872" s="25" t="e">
        <f ca="1"/>
        <v>#REF!</v>
      </c>
      <c r="W1872" s="33" t="e">
        <f ca="1"/>
        <v>#REF!</v>
      </c>
      <c r="X1872" s="33" t="e">
        <f ca="1"/>
        <v>#REF!</v>
      </c>
      <c r="Y1872" s="33" t="e">
        <f ca="1"/>
        <v>#REF!</v>
      </c>
      <c r="Z1872" s="33" t="e">
        <f ca="1"/>
        <v>#REF!</v>
      </c>
      <c r="AA1872" s="33" t="e">
        <f ca="1"/>
        <v>#REF!</v>
      </c>
    </row>
    <row r="1873" spans="1:27" s="70" customFormat="1" ht="11.25" x14ac:dyDescent="0.2">
      <c r="A1873" s="24">
        <v>1867</v>
      </c>
      <c r="B1873" s="24"/>
      <c r="C1873" s="25"/>
      <c r="D1873" s="26"/>
      <c r="E1873" s="25"/>
      <c r="F1873" s="25"/>
      <c r="G1873" s="24"/>
      <c r="H1873" s="25" t="e">
        <f ca="1"/>
        <v>#REF!</v>
      </c>
      <c r="I1873" s="27" t="e">
        <f ca="1"/>
        <v>#REF!</v>
      </c>
      <c r="J1873" s="28" t="e">
        <f ca="1"/>
        <v>#REF!</v>
      </c>
      <c r="K1873" s="27" t="e">
        <f ca="1"/>
        <v>#REF!</v>
      </c>
      <c r="L1873" s="25" t="e">
        <f ca="1"/>
        <v>#REF!</v>
      </c>
      <c r="M1873" s="25" t="e">
        <f ca="1"/>
        <v>#REF!</v>
      </c>
      <c r="N1873" s="25" t="e">
        <f ca="1"/>
        <v>#REF!</v>
      </c>
      <c r="O1873" s="25" t="e">
        <f ca="1"/>
        <v>#REF!</v>
      </c>
      <c r="P1873" s="25" t="e">
        <f ca="1"/>
        <v>#REF!</v>
      </c>
      <c r="Q1873" s="25" t="e">
        <f ca="1"/>
        <v>#REF!</v>
      </c>
      <c r="R1873" s="25" t="e">
        <f ca="1"/>
        <v>#REF!</v>
      </c>
      <c r="S1873" s="25" t="e">
        <f ca="1"/>
        <v>#REF!</v>
      </c>
      <c r="T1873" s="25" t="e">
        <f ca="1"/>
        <v>#REF!</v>
      </c>
      <c r="U1873" s="25" t="e">
        <f ca="1"/>
        <v>#REF!</v>
      </c>
      <c r="V1873" s="25" t="e">
        <f ca="1"/>
        <v>#REF!</v>
      </c>
      <c r="W1873" s="33" t="e">
        <f ca="1"/>
        <v>#REF!</v>
      </c>
      <c r="X1873" s="33" t="e">
        <f ca="1"/>
        <v>#REF!</v>
      </c>
      <c r="Y1873" s="33" t="e">
        <f ca="1"/>
        <v>#REF!</v>
      </c>
      <c r="Z1873" s="33" t="e">
        <f ca="1"/>
        <v>#REF!</v>
      </c>
      <c r="AA1873" s="33" t="e">
        <f ca="1"/>
        <v>#REF!</v>
      </c>
    </row>
    <row r="1874" spans="1:27" s="70" customFormat="1" ht="11.25" x14ac:dyDescent="0.2">
      <c r="A1874" s="24">
        <v>1868</v>
      </c>
      <c r="B1874" s="24"/>
      <c r="C1874" s="25"/>
      <c r="D1874" s="26"/>
      <c r="E1874" s="25"/>
      <c r="F1874" s="25"/>
      <c r="G1874" s="24"/>
      <c r="H1874" s="25" t="e">
        <f ca="1"/>
        <v>#REF!</v>
      </c>
      <c r="I1874" s="27" t="e">
        <f ca="1"/>
        <v>#REF!</v>
      </c>
      <c r="J1874" s="28" t="e">
        <f ca="1"/>
        <v>#REF!</v>
      </c>
      <c r="K1874" s="27" t="e">
        <f ca="1"/>
        <v>#REF!</v>
      </c>
      <c r="L1874" s="25" t="e">
        <f ca="1"/>
        <v>#REF!</v>
      </c>
      <c r="M1874" s="25" t="e">
        <f ca="1"/>
        <v>#REF!</v>
      </c>
      <c r="N1874" s="25" t="e">
        <f ca="1"/>
        <v>#REF!</v>
      </c>
      <c r="O1874" s="25" t="e">
        <f ca="1"/>
        <v>#REF!</v>
      </c>
      <c r="P1874" s="25" t="e">
        <f ca="1"/>
        <v>#REF!</v>
      </c>
      <c r="Q1874" s="25" t="e">
        <f ca="1"/>
        <v>#REF!</v>
      </c>
      <c r="R1874" s="25" t="e">
        <f ca="1"/>
        <v>#REF!</v>
      </c>
      <c r="S1874" s="25" t="e">
        <f ca="1"/>
        <v>#REF!</v>
      </c>
      <c r="T1874" s="25" t="e">
        <f ca="1"/>
        <v>#REF!</v>
      </c>
      <c r="U1874" s="25" t="e">
        <f ca="1"/>
        <v>#REF!</v>
      </c>
      <c r="V1874" s="25" t="e">
        <f ca="1"/>
        <v>#REF!</v>
      </c>
      <c r="W1874" s="33" t="e">
        <f ca="1"/>
        <v>#REF!</v>
      </c>
      <c r="X1874" s="33" t="e">
        <f ca="1"/>
        <v>#REF!</v>
      </c>
      <c r="Y1874" s="33" t="e">
        <f ca="1"/>
        <v>#REF!</v>
      </c>
      <c r="Z1874" s="33" t="e">
        <f ca="1"/>
        <v>#REF!</v>
      </c>
      <c r="AA1874" s="33" t="e">
        <f ca="1"/>
        <v>#REF!</v>
      </c>
    </row>
    <row r="1875" spans="1:27" s="70" customFormat="1" ht="11.25" x14ac:dyDescent="0.2">
      <c r="A1875" s="24">
        <v>1869</v>
      </c>
      <c r="B1875" s="24"/>
      <c r="C1875" s="25"/>
      <c r="D1875" s="26"/>
      <c r="E1875" s="25"/>
      <c r="F1875" s="25"/>
      <c r="G1875" s="24"/>
      <c r="H1875" s="25" t="e">
        <f ca="1"/>
        <v>#REF!</v>
      </c>
      <c r="I1875" s="27" t="e">
        <f ca="1"/>
        <v>#REF!</v>
      </c>
      <c r="J1875" s="28" t="e">
        <f ca="1"/>
        <v>#REF!</v>
      </c>
      <c r="K1875" s="27" t="e">
        <f ca="1"/>
        <v>#REF!</v>
      </c>
      <c r="L1875" s="25" t="e">
        <f ca="1"/>
        <v>#REF!</v>
      </c>
      <c r="M1875" s="25" t="e">
        <f ca="1"/>
        <v>#REF!</v>
      </c>
      <c r="N1875" s="25" t="e">
        <f ca="1"/>
        <v>#REF!</v>
      </c>
      <c r="O1875" s="25" t="e">
        <f ca="1"/>
        <v>#REF!</v>
      </c>
      <c r="P1875" s="25" t="e">
        <f ca="1"/>
        <v>#REF!</v>
      </c>
      <c r="Q1875" s="25" t="e">
        <f ca="1"/>
        <v>#REF!</v>
      </c>
      <c r="R1875" s="25" t="e">
        <f ca="1"/>
        <v>#REF!</v>
      </c>
      <c r="S1875" s="25" t="e">
        <f ca="1"/>
        <v>#REF!</v>
      </c>
      <c r="T1875" s="25" t="e">
        <f ca="1"/>
        <v>#REF!</v>
      </c>
      <c r="U1875" s="25" t="e">
        <f ca="1"/>
        <v>#REF!</v>
      </c>
      <c r="V1875" s="25" t="e">
        <f ca="1"/>
        <v>#REF!</v>
      </c>
      <c r="W1875" s="33" t="e">
        <f ca="1"/>
        <v>#REF!</v>
      </c>
      <c r="X1875" s="33" t="e">
        <f ca="1"/>
        <v>#REF!</v>
      </c>
      <c r="Y1875" s="33" t="e">
        <f ca="1"/>
        <v>#REF!</v>
      </c>
      <c r="Z1875" s="33" t="e">
        <f ca="1"/>
        <v>#REF!</v>
      </c>
      <c r="AA1875" s="33" t="e">
        <f ca="1"/>
        <v>#REF!</v>
      </c>
    </row>
    <row r="1876" spans="1:27" s="70" customFormat="1" ht="11.25" x14ac:dyDescent="0.2">
      <c r="A1876" s="24">
        <v>1870</v>
      </c>
      <c r="B1876" s="24"/>
      <c r="C1876" s="25"/>
      <c r="D1876" s="26"/>
      <c r="E1876" s="25"/>
      <c r="F1876" s="25"/>
      <c r="G1876" s="24"/>
      <c r="H1876" s="25" t="e">
        <f ca="1"/>
        <v>#REF!</v>
      </c>
      <c r="I1876" s="27" t="e">
        <f ca="1"/>
        <v>#REF!</v>
      </c>
      <c r="J1876" s="28" t="e">
        <f ca="1"/>
        <v>#REF!</v>
      </c>
      <c r="K1876" s="27" t="e">
        <f ca="1"/>
        <v>#REF!</v>
      </c>
      <c r="L1876" s="25" t="e">
        <f ca="1"/>
        <v>#REF!</v>
      </c>
      <c r="M1876" s="25" t="e">
        <f ca="1"/>
        <v>#REF!</v>
      </c>
      <c r="N1876" s="25" t="e">
        <f ca="1"/>
        <v>#REF!</v>
      </c>
      <c r="O1876" s="25" t="e">
        <f ca="1"/>
        <v>#REF!</v>
      </c>
      <c r="P1876" s="25" t="e">
        <f ca="1"/>
        <v>#REF!</v>
      </c>
      <c r="Q1876" s="25" t="e">
        <f ca="1"/>
        <v>#REF!</v>
      </c>
      <c r="R1876" s="25" t="e">
        <f ca="1"/>
        <v>#REF!</v>
      </c>
      <c r="S1876" s="25" t="e">
        <f ca="1"/>
        <v>#REF!</v>
      </c>
      <c r="T1876" s="25" t="e">
        <f ca="1"/>
        <v>#REF!</v>
      </c>
      <c r="U1876" s="25" t="e">
        <f ca="1"/>
        <v>#REF!</v>
      </c>
      <c r="V1876" s="25" t="e">
        <f ca="1"/>
        <v>#REF!</v>
      </c>
      <c r="W1876" s="33" t="e">
        <f ca="1"/>
        <v>#REF!</v>
      </c>
      <c r="X1876" s="33" t="e">
        <f ca="1"/>
        <v>#REF!</v>
      </c>
      <c r="Y1876" s="33" t="e">
        <f ca="1"/>
        <v>#REF!</v>
      </c>
      <c r="Z1876" s="33" t="e">
        <f ca="1"/>
        <v>#REF!</v>
      </c>
      <c r="AA1876" s="33" t="e">
        <f ca="1"/>
        <v>#REF!</v>
      </c>
    </row>
    <row r="1877" spans="1:27" s="70" customFormat="1" ht="11.25" x14ac:dyDescent="0.2">
      <c r="A1877" s="24">
        <v>1871</v>
      </c>
      <c r="B1877" s="24"/>
      <c r="C1877" s="25"/>
      <c r="D1877" s="26"/>
      <c r="E1877" s="25"/>
      <c r="F1877" s="25"/>
      <c r="G1877" s="24"/>
      <c r="H1877" s="25" t="e">
        <f ca="1"/>
        <v>#REF!</v>
      </c>
      <c r="I1877" s="27" t="e">
        <f ca="1"/>
        <v>#REF!</v>
      </c>
      <c r="J1877" s="28" t="e">
        <f ca="1"/>
        <v>#REF!</v>
      </c>
      <c r="K1877" s="27" t="e">
        <f ca="1"/>
        <v>#REF!</v>
      </c>
      <c r="L1877" s="25" t="e">
        <f ca="1"/>
        <v>#REF!</v>
      </c>
      <c r="M1877" s="25" t="e">
        <f ca="1"/>
        <v>#REF!</v>
      </c>
      <c r="N1877" s="25" t="e">
        <f ca="1"/>
        <v>#REF!</v>
      </c>
      <c r="O1877" s="25" t="e">
        <f ca="1"/>
        <v>#REF!</v>
      </c>
      <c r="P1877" s="25" t="e">
        <f ca="1"/>
        <v>#REF!</v>
      </c>
      <c r="Q1877" s="25" t="e">
        <f ca="1"/>
        <v>#REF!</v>
      </c>
      <c r="R1877" s="25" t="e">
        <f ca="1"/>
        <v>#REF!</v>
      </c>
      <c r="S1877" s="25" t="e">
        <f ca="1"/>
        <v>#REF!</v>
      </c>
      <c r="T1877" s="25" t="e">
        <f ca="1"/>
        <v>#REF!</v>
      </c>
      <c r="U1877" s="25" t="e">
        <f ca="1"/>
        <v>#REF!</v>
      </c>
      <c r="V1877" s="25" t="e">
        <f ca="1"/>
        <v>#REF!</v>
      </c>
      <c r="W1877" s="33" t="e">
        <f ca="1"/>
        <v>#REF!</v>
      </c>
      <c r="X1877" s="33" t="e">
        <f ca="1"/>
        <v>#REF!</v>
      </c>
      <c r="Y1877" s="33" t="e">
        <f ca="1"/>
        <v>#REF!</v>
      </c>
      <c r="Z1877" s="33" t="e">
        <f ca="1"/>
        <v>#REF!</v>
      </c>
      <c r="AA1877" s="33" t="e">
        <f ca="1"/>
        <v>#REF!</v>
      </c>
    </row>
    <row r="1878" spans="1:27" s="70" customFormat="1" ht="11.25" x14ac:dyDescent="0.2">
      <c r="A1878" s="24">
        <v>1872</v>
      </c>
      <c r="B1878" s="24"/>
      <c r="C1878" s="25"/>
      <c r="D1878" s="26"/>
      <c r="E1878" s="25"/>
      <c r="F1878" s="25"/>
      <c r="G1878" s="24"/>
      <c r="H1878" s="25" t="e">
        <f ca="1"/>
        <v>#REF!</v>
      </c>
      <c r="I1878" s="27" t="e">
        <f ca="1"/>
        <v>#REF!</v>
      </c>
      <c r="J1878" s="28" t="e">
        <f ca="1"/>
        <v>#REF!</v>
      </c>
      <c r="K1878" s="27" t="e">
        <f ca="1"/>
        <v>#REF!</v>
      </c>
      <c r="L1878" s="25" t="e">
        <f ca="1"/>
        <v>#REF!</v>
      </c>
      <c r="M1878" s="25" t="e">
        <f ca="1"/>
        <v>#REF!</v>
      </c>
      <c r="N1878" s="25" t="e">
        <f ca="1"/>
        <v>#REF!</v>
      </c>
      <c r="O1878" s="25" t="e">
        <f ca="1"/>
        <v>#REF!</v>
      </c>
      <c r="P1878" s="25" t="e">
        <f ca="1"/>
        <v>#REF!</v>
      </c>
      <c r="Q1878" s="25" t="e">
        <f ca="1"/>
        <v>#REF!</v>
      </c>
      <c r="R1878" s="25" t="e">
        <f ca="1"/>
        <v>#REF!</v>
      </c>
      <c r="S1878" s="25" t="e">
        <f ca="1"/>
        <v>#REF!</v>
      </c>
      <c r="T1878" s="25" t="e">
        <f ca="1"/>
        <v>#REF!</v>
      </c>
      <c r="U1878" s="25" t="e">
        <f ca="1"/>
        <v>#REF!</v>
      </c>
      <c r="V1878" s="25" t="e">
        <f ca="1"/>
        <v>#REF!</v>
      </c>
      <c r="W1878" s="33" t="e">
        <f ca="1"/>
        <v>#REF!</v>
      </c>
      <c r="X1878" s="33" t="e">
        <f ca="1"/>
        <v>#REF!</v>
      </c>
      <c r="Y1878" s="33" t="e">
        <f ca="1"/>
        <v>#REF!</v>
      </c>
      <c r="Z1878" s="33" t="e">
        <f ca="1"/>
        <v>#REF!</v>
      </c>
      <c r="AA1878" s="33" t="e">
        <f ca="1"/>
        <v>#REF!</v>
      </c>
    </row>
    <row r="1879" spans="1:27" s="70" customFormat="1" ht="11.25" x14ac:dyDescent="0.2">
      <c r="A1879" s="24">
        <v>1873</v>
      </c>
      <c r="B1879" s="24"/>
      <c r="C1879" s="25"/>
      <c r="D1879" s="26"/>
      <c r="E1879" s="25"/>
      <c r="F1879" s="25"/>
      <c r="G1879" s="24"/>
      <c r="H1879" s="25" t="e">
        <f ca="1"/>
        <v>#REF!</v>
      </c>
      <c r="I1879" s="27" t="e">
        <f ca="1"/>
        <v>#REF!</v>
      </c>
      <c r="J1879" s="28" t="e">
        <f ca="1"/>
        <v>#REF!</v>
      </c>
      <c r="K1879" s="27" t="e">
        <f ca="1"/>
        <v>#REF!</v>
      </c>
      <c r="L1879" s="25" t="e">
        <f ca="1"/>
        <v>#REF!</v>
      </c>
      <c r="M1879" s="25" t="e">
        <f ca="1"/>
        <v>#REF!</v>
      </c>
      <c r="N1879" s="25" t="e">
        <f ca="1"/>
        <v>#REF!</v>
      </c>
      <c r="O1879" s="25" t="e">
        <f ca="1"/>
        <v>#REF!</v>
      </c>
      <c r="P1879" s="25" t="e">
        <f ca="1"/>
        <v>#REF!</v>
      </c>
      <c r="Q1879" s="25" t="e">
        <f ca="1"/>
        <v>#REF!</v>
      </c>
      <c r="R1879" s="25" t="e">
        <f ca="1"/>
        <v>#REF!</v>
      </c>
      <c r="S1879" s="25" t="e">
        <f ca="1"/>
        <v>#REF!</v>
      </c>
      <c r="T1879" s="25" t="e">
        <f ca="1"/>
        <v>#REF!</v>
      </c>
      <c r="U1879" s="25" t="e">
        <f ca="1"/>
        <v>#REF!</v>
      </c>
      <c r="V1879" s="25" t="e">
        <f ca="1"/>
        <v>#REF!</v>
      </c>
      <c r="W1879" s="33" t="e">
        <f ca="1"/>
        <v>#REF!</v>
      </c>
      <c r="X1879" s="33" t="e">
        <f ca="1"/>
        <v>#REF!</v>
      </c>
      <c r="Y1879" s="33" t="e">
        <f ca="1"/>
        <v>#REF!</v>
      </c>
      <c r="Z1879" s="33" t="e">
        <f ca="1"/>
        <v>#REF!</v>
      </c>
      <c r="AA1879" s="33" t="e">
        <f ca="1"/>
        <v>#REF!</v>
      </c>
    </row>
    <row r="1880" spans="1:27" s="70" customFormat="1" ht="11.25" x14ac:dyDescent="0.2">
      <c r="A1880" s="24">
        <v>1874</v>
      </c>
      <c r="B1880" s="24"/>
      <c r="C1880" s="25"/>
      <c r="D1880" s="26"/>
      <c r="E1880" s="25"/>
      <c r="F1880" s="25"/>
      <c r="G1880" s="24"/>
      <c r="H1880" s="25" t="e">
        <f ca="1"/>
        <v>#REF!</v>
      </c>
      <c r="I1880" s="27" t="e">
        <f ca="1"/>
        <v>#REF!</v>
      </c>
      <c r="J1880" s="25" t="e">
        <f ca="1"/>
        <v>#REF!</v>
      </c>
      <c r="K1880" s="27" t="e">
        <f ca="1"/>
        <v>#REF!</v>
      </c>
      <c r="L1880" s="25" t="e">
        <f ca="1"/>
        <v>#REF!</v>
      </c>
      <c r="M1880" s="25" t="e">
        <f ca="1"/>
        <v>#REF!</v>
      </c>
      <c r="N1880" s="25" t="e">
        <f ca="1"/>
        <v>#REF!</v>
      </c>
      <c r="O1880" s="25" t="e">
        <f ca="1"/>
        <v>#REF!</v>
      </c>
      <c r="P1880" s="25" t="e">
        <f ca="1"/>
        <v>#REF!</v>
      </c>
      <c r="Q1880" s="25" t="e">
        <f ca="1"/>
        <v>#REF!</v>
      </c>
      <c r="R1880" s="25" t="e">
        <f ca="1"/>
        <v>#REF!</v>
      </c>
      <c r="S1880" s="25" t="e">
        <f ca="1"/>
        <v>#REF!</v>
      </c>
      <c r="T1880" s="25" t="e">
        <f ca="1"/>
        <v>#REF!</v>
      </c>
      <c r="U1880" s="25" t="e">
        <f ca="1"/>
        <v>#REF!</v>
      </c>
      <c r="V1880" s="25" t="e">
        <f ca="1"/>
        <v>#REF!</v>
      </c>
      <c r="W1880" s="33" t="e">
        <f ca="1"/>
        <v>#REF!</v>
      </c>
      <c r="X1880" s="33" t="e">
        <f ca="1"/>
        <v>#REF!</v>
      </c>
      <c r="Y1880" s="33" t="e">
        <f ca="1"/>
        <v>#REF!</v>
      </c>
      <c r="Z1880" s="33" t="e">
        <f ca="1"/>
        <v>#REF!</v>
      </c>
      <c r="AA1880" s="33" t="e">
        <f ca="1"/>
        <v>#REF!</v>
      </c>
    </row>
    <row r="1881" spans="1:27" s="70" customFormat="1" ht="11.25" x14ac:dyDescent="0.2">
      <c r="A1881" s="24">
        <v>1875</v>
      </c>
      <c r="B1881" s="27"/>
      <c r="C1881" s="28"/>
      <c r="D1881" s="71"/>
      <c r="E1881" s="28"/>
      <c r="F1881" s="25"/>
      <c r="G1881" s="27"/>
      <c r="H1881" s="28" t="e">
        <f ca="1"/>
        <v>#REF!</v>
      </c>
      <c r="I1881" s="27" t="e">
        <f ca="1"/>
        <v>#REF!</v>
      </c>
      <c r="J1881" s="28" t="e">
        <f ca="1"/>
        <v>#REF!</v>
      </c>
      <c r="K1881" s="27" t="e">
        <f ca="1"/>
        <v>#REF!</v>
      </c>
      <c r="L1881" s="25" t="e">
        <f ca="1"/>
        <v>#REF!</v>
      </c>
      <c r="M1881" s="25" t="e">
        <f ca="1"/>
        <v>#REF!</v>
      </c>
      <c r="N1881" s="25" t="e">
        <f ca="1"/>
        <v>#REF!</v>
      </c>
      <c r="O1881" s="25" t="e">
        <f ca="1"/>
        <v>#REF!</v>
      </c>
      <c r="P1881" s="25" t="e">
        <f ca="1"/>
        <v>#REF!</v>
      </c>
      <c r="Q1881" s="25" t="e">
        <f ca="1"/>
        <v>#REF!</v>
      </c>
      <c r="R1881" s="25" t="e">
        <f ca="1"/>
        <v>#REF!</v>
      </c>
      <c r="S1881" s="25" t="e">
        <f ca="1"/>
        <v>#REF!</v>
      </c>
      <c r="T1881" s="25" t="e">
        <f ca="1"/>
        <v>#REF!</v>
      </c>
      <c r="U1881" s="25" t="e">
        <f ca="1"/>
        <v>#REF!</v>
      </c>
      <c r="V1881" s="25" t="e">
        <f ca="1"/>
        <v>#REF!</v>
      </c>
      <c r="W1881" s="33" t="e">
        <f ca="1"/>
        <v>#REF!</v>
      </c>
      <c r="X1881" s="33" t="e">
        <f ca="1"/>
        <v>#REF!</v>
      </c>
      <c r="Y1881" s="33" t="e">
        <f ca="1"/>
        <v>#REF!</v>
      </c>
      <c r="Z1881" s="33" t="e">
        <f ca="1"/>
        <v>#REF!</v>
      </c>
      <c r="AA1881" s="33" t="e">
        <f ca="1"/>
        <v>#REF!</v>
      </c>
    </row>
    <row r="1882" spans="1:27" s="70" customFormat="1" ht="11.25" x14ac:dyDescent="0.2">
      <c r="A1882" s="24">
        <v>1876</v>
      </c>
      <c r="B1882" s="27"/>
      <c r="C1882" s="28"/>
      <c r="D1882" s="71"/>
      <c r="E1882" s="28"/>
      <c r="F1882" s="25"/>
      <c r="G1882" s="27"/>
      <c r="H1882" s="28" t="e">
        <f ca="1"/>
        <v>#REF!</v>
      </c>
      <c r="I1882" s="27" t="e">
        <f ca="1"/>
        <v>#REF!</v>
      </c>
      <c r="J1882" s="28" t="e">
        <f ca="1"/>
        <v>#REF!</v>
      </c>
      <c r="K1882" s="27" t="e">
        <f ca="1"/>
        <v>#REF!</v>
      </c>
      <c r="L1882" s="25" t="e">
        <f ca="1"/>
        <v>#REF!</v>
      </c>
      <c r="M1882" s="25" t="e">
        <f ca="1"/>
        <v>#REF!</v>
      </c>
      <c r="N1882" s="25" t="e">
        <f ca="1"/>
        <v>#REF!</v>
      </c>
      <c r="O1882" s="25" t="e">
        <f ca="1"/>
        <v>#REF!</v>
      </c>
      <c r="P1882" s="25" t="e">
        <f ca="1"/>
        <v>#REF!</v>
      </c>
      <c r="Q1882" s="25" t="e">
        <f ca="1"/>
        <v>#REF!</v>
      </c>
      <c r="R1882" s="25" t="e">
        <f ca="1"/>
        <v>#REF!</v>
      </c>
      <c r="S1882" s="25" t="e">
        <f ca="1"/>
        <v>#REF!</v>
      </c>
      <c r="T1882" s="25" t="e">
        <f ca="1"/>
        <v>#REF!</v>
      </c>
      <c r="U1882" s="25" t="e">
        <f ca="1"/>
        <v>#REF!</v>
      </c>
      <c r="V1882" s="25" t="e">
        <f ca="1"/>
        <v>#REF!</v>
      </c>
      <c r="W1882" s="33" t="e">
        <f ca="1"/>
        <v>#REF!</v>
      </c>
      <c r="X1882" s="33" t="e">
        <f ca="1"/>
        <v>#REF!</v>
      </c>
      <c r="Y1882" s="33" t="e">
        <f ca="1"/>
        <v>#REF!</v>
      </c>
      <c r="Z1882" s="33" t="e">
        <f ca="1"/>
        <v>#REF!</v>
      </c>
      <c r="AA1882" s="33" t="e">
        <f ca="1"/>
        <v>#REF!</v>
      </c>
    </row>
    <row r="1883" spans="1:27" s="70" customFormat="1" ht="11.25" x14ac:dyDescent="0.2">
      <c r="A1883" s="24">
        <v>1877</v>
      </c>
      <c r="B1883" s="27"/>
      <c r="C1883" s="28"/>
      <c r="D1883" s="71"/>
      <c r="E1883" s="28"/>
      <c r="F1883" s="25"/>
      <c r="G1883" s="27"/>
      <c r="H1883" s="28" t="e">
        <f ca="1"/>
        <v>#REF!</v>
      </c>
      <c r="I1883" s="27" t="e">
        <f ca="1"/>
        <v>#REF!</v>
      </c>
      <c r="J1883" s="28" t="e">
        <f ca="1"/>
        <v>#REF!</v>
      </c>
      <c r="K1883" s="27" t="e">
        <f ca="1"/>
        <v>#REF!</v>
      </c>
      <c r="L1883" s="25" t="e">
        <f ca="1"/>
        <v>#REF!</v>
      </c>
      <c r="M1883" s="25" t="e">
        <f ca="1"/>
        <v>#REF!</v>
      </c>
      <c r="N1883" s="25" t="e">
        <f ca="1"/>
        <v>#REF!</v>
      </c>
      <c r="O1883" s="25" t="e">
        <f ca="1"/>
        <v>#REF!</v>
      </c>
      <c r="P1883" s="25" t="e">
        <f ca="1"/>
        <v>#REF!</v>
      </c>
      <c r="Q1883" s="25" t="e">
        <f ca="1"/>
        <v>#REF!</v>
      </c>
      <c r="R1883" s="25" t="e">
        <f ca="1"/>
        <v>#REF!</v>
      </c>
      <c r="S1883" s="25" t="e">
        <f ca="1"/>
        <v>#REF!</v>
      </c>
      <c r="T1883" s="25" t="e">
        <f ca="1"/>
        <v>#REF!</v>
      </c>
      <c r="U1883" s="25" t="e">
        <f ca="1"/>
        <v>#REF!</v>
      </c>
      <c r="V1883" s="25" t="e">
        <f ca="1"/>
        <v>#REF!</v>
      </c>
      <c r="W1883" s="33" t="e">
        <f ca="1"/>
        <v>#REF!</v>
      </c>
      <c r="X1883" s="33" t="e">
        <f ca="1"/>
        <v>#REF!</v>
      </c>
      <c r="Y1883" s="33" t="e">
        <f ca="1"/>
        <v>#REF!</v>
      </c>
      <c r="Z1883" s="33" t="e">
        <f ca="1"/>
        <v>#REF!</v>
      </c>
      <c r="AA1883" s="33" t="e">
        <f ca="1"/>
        <v>#REF!</v>
      </c>
    </row>
    <row r="1884" spans="1:27" s="70" customFormat="1" ht="11.25" x14ac:dyDescent="0.2">
      <c r="A1884" s="24">
        <v>1878</v>
      </c>
      <c r="B1884" s="27"/>
      <c r="C1884" s="28"/>
      <c r="D1884" s="71"/>
      <c r="E1884" s="28"/>
      <c r="F1884" s="25"/>
      <c r="G1884" s="27"/>
      <c r="H1884" s="28" t="e">
        <f ca="1"/>
        <v>#REF!</v>
      </c>
      <c r="I1884" s="27" t="e">
        <f ca="1"/>
        <v>#REF!</v>
      </c>
      <c r="J1884" s="28" t="e">
        <f ca="1"/>
        <v>#REF!</v>
      </c>
      <c r="K1884" s="27" t="e">
        <f ca="1"/>
        <v>#REF!</v>
      </c>
      <c r="L1884" s="25" t="e">
        <f ca="1"/>
        <v>#REF!</v>
      </c>
      <c r="M1884" s="25" t="e">
        <f ca="1"/>
        <v>#REF!</v>
      </c>
      <c r="N1884" s="25" t="e">
        <f ca="1"/>
        <v>#REF!</v>
      </c>
      <c r="O1884" s="25" t="e">
        <f ca="1"/>
        <v>#REF!</v>
      </c>
      <c r="P1884" s="25" t="e">
        <f ca="1"/>
        <v>#REF!</v>
      </c>
      <c r="Q1884" s="25" t="e">
        <f ca="1"/>
        <v>#REF!</v>
      </c>
      <c r="R1884" s="25" t="e">
        <f ca="1"/>
        <v>#REF!</v>
      </c>
      <c r="S1884" s="25" t="e">
        <f ca="1"/>
        <v>#REF!</v>
      </c>
      <c r="T1884" s="25" t="e">
        <f ca="1"/>
        <v>#REF!</v>
      </c>
      <c r="U1884" s="25" t="e">
        <f ca="1"/>
        <v>#REF!</v>
      </c>
      <c r="V1884" s="25" t="e">
        <f ca="1"/>
        <v>#REF!</v>
      </c>
      <c r="W1884" s="33" t="e">
        <f ca="1"/>
        <v>#REF!</v>
      </c>
      <c r="X1884" s="33" t="e">
        <f ca="1"/>
        <v>#REF!</v>
      </c>
      <c r="Y1884" s="33" t="e">
        <f ca="1"/>
        <v>#REF!</v>
      </c>
      <c r="Z1884" s="33" t="e">
        <f ca="1"/>
        <v>#REF!</v>
      </c>
      <c r="AA1884" s="33" t="e">
        <f ca="1"/>
        <v>#REF!</v>
      </c>
    </row>
    <row r="1885" spans="1:27" s="70" customFormat="1" ht="11.25" x14ac:dyDescent="0.2">
      <c r="A1885" s="24">
        <v>1879</v>
      </c>
      <c r="B1885" s="27"/>
      <c r="C1885" s="28"/>
      <c r="D1885" s="71"/>
      <c r="E1885" s="28"/>
      <c r="F1885" s="25"/>
      <c r="G1885" s="27"/>
      <c r="H1885" s="28" t="e">
        <f ca="1"/>
        <v>#REF!</v>
      </c>
      <c r="I1885" s="27" t="e">
        <f ca="1"/>
        <v>#REF!</v>
      </c>
      <c r="J1885" s="28" t="e">
        <f ca="1"/>
        <v>#REF!</v>
      </c>
      <c r="K1885" s="27" t="e">
        <f ca="1"/>
        <v>#REF!</v>
      </c>
      <c r="L1885" s="25" t="e">
        <f ca="1"/>
        <v>#REF!</v>
      </c>
      <c r="M1885" s="25" t="e">
        <f ca="1"/>
        <v>#REF!</v>
      </c>
      <c r="N1885" s="25" t="e">
        <f ca="1"/>
        <v>#REF!</v>
      </c>
      <c r="O1885" s="25" t="e">
        <f ca="1"/>
        <v>#REF!</v>
      </c>
      <c r="P1885" s="25" t="e">
        <f ca="1"/>
        <v>#REF!</v>
      </c>
      <c r="Q1885" s="25" t="e">
        <f ca="1"/>
        <v>#REF!</v>
      </c>
      <c r="R1885" s="25" t="e">
        <f ca="1"/>
        <v>#REF!</v>
      </c>
      <c r="S1885" s="25" t="e">
        <f ca="1"/>
        <v>#REF!</v>
      </c>
      <c r="T1885" s="25" t="e">
        <f ca="1"/>
        <v>#REF!</v>
      </c>
      <c r="U1885" s="25" t="e">
        <f ca="1"/>
        <v>#REF!</v>
      </c>
      <c r="V1885" s="25" t="e">
        <f ca="1"/>
        <v>#REF!</v>
      </c>
      <c r="W1885" s="33" t="e">
        <f ca="1"/>
        <v>#REF!</v>
      </c>
      <c r="X1885" s="33" t="e">
        <f ca="1"/>
        <v>#REF!</v>
      </c>
      <c r="Y1885" s="33" t="e">
        <f ca="1"/>
        <v>#REF!</v>
      </c>
      <c r="Z1885" s="33" t="e">
        <f ca="1"/>
        <v>#REF!</v>
      </c>
      <c r="AA1885" s="33" t="e">
        <f ca="1"/>
        <v>#REF!</v>
      </c>
    </row>
    <row r="1886" spans="1:27" s="70" customFormat="1" ht="11.25" x14ac:dyDescent="0.2">
      <c r="A1886" s="24">
        <v>1880</v>
      </c>
      <c r="B1886" s="27"/>
      <c r="C1886" s="28"/>
      <c r="D1886" s="71"/>
      <c r="E1886" s="28"/>
      <c r="F1886" s="25"/>
      <c r="G1886" s="27"/>
      <c r="H1886" s="28" t="e">
        <f ca="1"/>
        <v>#REF!</v>
      </c>
      <c r="I1886" s="27" t="e">
        <f ca="1"/>
        <v>#REF!</v>
      </c>
      <c r="J1886" s="28" t="e">
        <f ca="1"/>
        <v>#REF!</v>
      </c>
      <c r="K1886" s="27" t="e">
        <f ca="1"/>
        <v>#REF!</v>
      </c>
      <c r="L1886" s="25" t="e">
        <f ca="1"/>
        <v>#REF!</v>
      </c>
      <c r="M1886" s="25" t="e">
        <f ca="1"/>
        <v>#REF!</v>
      </c>
      <c r="N1886" s="25" t="e">
        <f ca="1"/>
        <v>#REF!</v>
      </c>
      <c r="O1886" s="25" t="e">
        <f ca="1"/>
        <v>#REF!</v>
      </c>
      <c r="P1886" s="25" t="e">
        <f ca="1"/>
        <v>#REF!</v>
      </c>
      <c r="Q1886" s="25" t="e">
        <f ca="1"/>
        <v>#REF!</v>
      </c>
      <c r="R1886" s="25" t="e">
        <f ca="1"/>
        <v>#REF!</v>
      </c>
      <c r="S1886" s="25" t="e">
        <f ca="1"/>
        <v>#REF!</v>
      </c>
      <c r="T1886" s="25" t="e">
        <f ca="1"/>
        <v>#REF!</v>
      </c>
      <c r="U1886" s="25" t="e">
        <f ca="1"/>
        <v>#REF!</v>
      </c>
      <c r="V1886" s="25" t="e">
        <f ca="1"/>
        <v>#REF!</v>
      </c>
      <c r="W1886" s="33" t="e">
        <f ca="1"/>
        <v>#REF!</v>
      </c>
      <c r="X1886" s="33" t="e">
        <f ca="1"/>
        <v>#REF!</v>
      </c>
      <c r="Y1886" s="33" t="e">
        <f ca="1"/>
        <v>#REF!</v>
      </c>
      <c r="Z1886" s="33" t="e">
        <f ca="1"/>
        <v>#REF!</v>
      </c>
      <c r="AA1886" s="33" t="e">
        <f ca="1"/>
        <v>#REF!</v>
      </c>
    </row>
    <row r="1887" spans="1:27" s="70" customFormat="1" ht="11.25" x14ac:dyDescent="0.2">
      <c r="A1887" s="24">
        <v>1881</v>
      </c>
      <c r="B1887" s="27"/>
      <c r="C1887" s="28"/>
      <c r="D1887" s="71"/>
      <c r="E1887" s="28"/>
      <c r="F1887" s="25"/>
      <c r="G1887" s="27"/>
      <c r="H1887" s="28" t="e">
        <f ca="1"/>
        <v>#REF!</v>
      </c>
      <c r="I1887" s="27" t="e">
        <f ca="1"/>
        <v>#REF!</v>
      </c>
      <c r="J1887" s="28" t="e">
        <f ca="1"/>
        <v>#REF!</v>
      </c>
      <c r="K1887" s="27" t="e">
        <f ca="1"/>
        <v>#REF!</v>
      </c>
      <c r="L1887" s="25" t="e">
        <f ca="1"/>
        <v>#REF!</v>
      </c>
      <c r="M1887" s="25" t="e">
        <f ca="1"/>
        <v>#REF!</v>
      </c>
      <c r="N1887" s="25" t="e">
        <f ca="1"/>
        <v>#REF!</v>
      </c>
      <c r="O1887" s="25" t="e">
        <f ca="1"/>
        <v>#REF!</v>
      </c>
      <c r="P1887" s="25" t="e">
        <f ca="1"/>
        <v>#REF!</v>
      </c>
      <c r="Q1887" s="25" t="e">
        <f ca="1"/>
        <v>#REF!</v>
      </c>
      <c r="R1887" s="25" t="e">
        <f ca="1"/>
        <v>#REF!</v>
      </c>
      <c r="S1887" s="25" t="e">
        <f ca="1"/>
        <v>#REF!</v>
      </c>
      <c r="T1887" s="25" t="e">
        <f ca="1"/>
        <v>#REF!</v>
      </c>
      <c r="U1887" s="25" t="e">
        <f ca="1"/>
        <v>#REF!</v>
      </c>
      <c r="V1887" s="25" t="e">
        <f ca="1"/>
        <v>#REF!</v>
      </c>
      <c r="W1887" s="33" t="e">
        <f ca="1"/>
        <v>#REF!</v>
      </c>
      <c r="X1887" s="33" t="e">
        <f ca="1"/>
        <v>#REF!</v>
      </c>
      <c r="Y1887" s="33" t="e">
        <f ca="1"/>
        <v>#REF!</v>
      </c>
      <c r="Z1887" s="33" t="e">
        <f ca="1"/>
        <v>#REF!</v>
      </c>
      <c r="AA1887" s="33" t="e">
        <f ca="1"/>
        <v>#REF!</v>
      </c>
    </row>
    <row r="1888" spans="1:27" s="70" customFormat="1" ht="11.25" x14ac:dyDescent="0.2">
      <c r="A1888" s="24">
        <v>1882</v>
      </c>
      <c r="B1888" s="27"/>
      <c r="C1888" s="28"/>
      <c r="D1888" s="71"/>
      <c r="E1888" s="28"/>
      <c r="F1888" s="25"/>
      <c r="G1888" s="27"/>
      <c r="H1888" s="28" t="e">
        <f ca="1"/>
        <v>#REF!</v>
      </c>
      <c r="I1888" s="27" t="e">
        <f ca="1"/>
        <v>#REF!</v>
      </c>
      <c r="J1888" s="28" t="e">
        <f ca="1"/>
        <v>#REF!</v>
      </c>
      <c r="K1888" s="27" t="e">
        <f ca="1"/>
        <v>#REF!</v>
      </c>
      <c r="L1888" s="25" t="e">
        <f ca="1"/>
        <v>#REF!</v>
      </c>
      <c r="M1888" s="25" t="e">
        <f ca="1"/>
        <v>#REF!</v>
      </c>
      <c r="N1888" s="25" t="e">
        <f ca="1"/>
        <v>#REF!</v>
      </c>
      <c r="O1888" s="25" t="e">
        <f ca="1"/>
        <v>#REF!</v>
      </c>
      <c r="P1888" s="25" t="e">
        <f ca="1"/>
        <v>#REF!</v>
      </c>
      <c r="Q1888" s="25" t="e">
        <f ca="1"/>
        <v>#REF!</v>
      </c>
      <c r="R1888" s="25" t="e">
        <f ca="1"/>
        <v>#REF!</v>
      </c>
      <c r="S1888" s="25" t="e">
        <f ca="1"/>
        <v>#REF!</v>
      </c>
      <c r="T1888" s="25" t="e">
        <f ca="1"/>
        <v>#REF!</v>
      </c>
      <c r="U1888" s="25" t="e">
        <f ca="1"/>
        <v>#REF!</v>
      </c>
      <c r="V1888" s="25" t="e">
        <f ca="1"/>
        <v>#REF!</v>
      </c>
      <c r="W1888" s="33" t="e">
        <f ca="1"/>
        <v>#REF!</v>
      </c>
      <c r="X1888" s="33" t="e">
        <f ca="1"/>
        <v>#REF!</v>
      </c>
      <c r="Y1888" s="33" t="e">
        <f ca="1"/>
        <v>#REF!</v>
      </c>
      <c r="Z1888" s="33" t="e">
        <f ca="1"/>
        <v>#REF!</v>
      </c>
      <c r="AA1888" s="33" t="e">
        <f ca="1"/>
        <v>#REF!</v>
      </c>
    </row>
    <row r="1889" spans="1:27" s="70" customFormat="1" ht="11.25" x14ac:dyDescent="0.2">
      <c r="A1889" s="24">
        <v>1883</v>
      </c>
      <c r="B1889" s="27"/>
      <c r="C1889" s="28"/>
      <c r="D1889" s="71"/>
      <c r="E1889" s="28"/>
      <c r="F1889" s="25"/>
      <c r="G1889" s="27"/>
      <c r="H1889" s="28" t="e">
        <f ca="1"/>
        <v>#REF!</v>
      </c>
      <c r="I1889" s="27" t="e">
        <f ca="1"/>
        <v>#REF!</v>
      </c>
      <c r="J1889" s="28" t="e">
        <f ca="1"/>
        <v>#REF!</v>
      </c>
      <c r="K1889" s="27" t="e">
        <f ca="1"/>
        <v>#REF!</v>
      </c>
      <c r="L1889" s="25" t="e">
        <f ca="1"/>
        <v>#REF!</v>
      </c>
      <c r="M1889" s="25" t="e">
        <f ca="1"/>
        <v>#REF!</v>
      </c>
      <c r="N1889" s="25" t="e">
        <f ca="1"/>
        <v>#REF!</v>
      </c>
      <c r="O1889" s="25" t="e">
        <f ca="1"/>
        <v>#REF!</v>
      </c>
      <c r="P1889" s="25" t="e">
        <f ca="1"/>
        <v>#REF!</v>
      </c>
      <c r="Q1889" s="25" t="e">
        <f ca="1"/>
        <v>#REF!</v>
      </c>
      <c r="R1889" s="25" t="e">
        <f ca="1"/>
        <v>#REF!</v>
      </c>
      <c r="S1889" s="25" t="e">
        <f ca="1"/>
        <v>#REF!</v>
      </c>
      <c r="T1889" s="25" t="e">
        <f ca="1"/>
        <v>#REF!</v>
      </c>
      <c r="U1889" s="25" t="e">
        <f ca="1"/>
        <v>#REF!</v>
      </c>
      <c r="V1889" s="25" t="e">
        <f ca="1"/>
        <v>#REF!</v>
      </c>
      <c r="W1889" s="33" t="e">
        <f ca="1"/>
        <v>#REF!</v>
      </c>
      <c r="X1889" s="33" t="e">
        <f ca="1"/>
        <v>#REF!</v>
      </c>
      <c r="Y1889" s="33" t="e">
        <f ca="1"/>
        <v>#REF!</v>
      </c>
      <c r="Z1889" s="33" t="e">
        <f ca="1"/>
        <v>#REF!</v>
      </c>
      <c r="AA1889" s="33" t="e">
        <f ca="1"/>
        <v>#REF!</v>
      </c>
    </row>
    <row r="1890" spans="1:27" s="70" customFormat="1" ht="11.25" x14ac:dyDescent="0.2">
      <c r="A1890" s="24">
        <v>1884</v>
      </c>
      <c r="B1890" s="27"/>
      <c r="C1890" s="28"/>
      <c r="D1890" s="71"/>
      <c r="E1890" s="28"/>
      <c r="F1890" s="25"/>
      <c r="G1890" s="27"/>
      <c r="H1890" s="28" t="e">
        <f ca="1"/>
        <v>#REF!</v>
      </c>
      <c r="I1890" s="27" t="e">
        <f ca="1"/>
        <v>#REF!</v>
      </c>
      <c r="J1890" s="28" t="e">
        <f ca="1"/>
        <v>#REF!</v>
      </c>
      <c r="K1890" s="27" t="e">
        <f ca="1"/>
        <v>#REF!</v>
      </c>
      <c r="L1890" s="25" t="e">
        <f ca="1"/>
        <v>#REF!</v>
      </c>
      <c r="M1890" s="25" t="e">
        <f ca="1"/>
        <v>#REF!</v>
      </c>
      <c r="N1890" s="25" t="e">
        <f ca="1"/>
        <v>#REF!</v>
      </c>
      <c r="O1890" s="25" t="e">
        <f ca="1"/>
        <v>#REF!</v>
      </c>
      <c r="P1890" s="25" t="e">
        <f ca="1"/>
        <v>#REF!</v>
      </c>
      <c r="Q1890" s="25" t="e">
        <f ca="1"/>
        <v>#REF!</v>
      </c>
      <c r="R1890" s="25" t="e">
        <f ca="1"/>
        <v>#REF!</v>
      </c>
      <c r="S1890" s="25" t="e">
        <f ca="1"/>
        <v>#REF!</v>
      </c>
      <c r="T1890" s="25" t="e">
        <f ca="1"/>
        <v>#REF!</v>
      </c>
      <c r="U1890" s="25" t="e">
        <f ca="1"/>
        <v>#REF!</v>
      </c>
      <c r="V1890" s="25" t="e">
        <f ca="1"/>
        <v>#REF!</v>
      </c>
      <c r="W1890" s="33" t="e">
        <f ca="1"/>
        <v>#REF!</v>
      </c>
      <c r="X1890" s="33" t="e">
        <f ca="1"/>
        <v>#REF!</v>
      </c>
      <c r="Y1890" s="33" t="e">
        <f ca="1"/>
        <v>#REF!</v>
      </c>
      <c r="Z1890" s="33" t="e">
        <f ca="1"/>
        <v>#REF!</v>
      </c>
      <c r="AA1890" s="33" t="e">
        <f ca="1"/>
        <v>#REF!</v>
      </c>
    </row>
    <row r="1891" spans="1:27" s="70" customFormat="1" ht="11.25" x14ac:dyDescent="0.2">
      <c r="A1891" s="24">
        <v>1885</v>
      </c>
      <c r="B1891" s="27"/>
      <c r="C1891" s="28"/>
      <c r="D1891" s="71"/>
      <c r="E1891" s="28"/>
      <c r="F1891" s="25"/>
      <c r="G1891" s="27"/>
      <c r="H1891" s="28" t="e">
        <f ca="1"/>
        <v>#REF!</v>
      </c>
      <c r="I1891" s="27" t="e">
        <f ca="1"/>
        <v>#REF!</v>
      </c>
      <c r="J1891" s="28" t="e">
        <f ca="1"/>
        <v>#REF!</v>
      </c>
      <c r="K1891" s="27" t="e">
        <f ca="1"/>
        <v>#REF!</v>
      </c>
      <c r="L1891" s="25" t="e">
        <f ca="1"/>
        <v>#REF!</v>
      </c>
      <c r="M1891" s="25" t="e">
        <f ca="1"/>
        <v>#REF!</v>
      </c>
      <c r="N1891" s="25" t="e">
        <f ca="1"/>
        <v>#REF!</v>
      </c>
      <c r="O1891" s="25" t="e">
        <f ca="1"/>
        <v>#REF!</v>
      </c>
      <c r="P1891" s="25" t="e">
        <f ca="1"/>
        <v>#REF!</v>
      </c>
      <c r="Q1891" s="25" t="e">
        <f ca="1"/>
        <v>#REF!</v>
      </c>
      <c r="R1891" s="25" t="e">
        <f ca="1"/>
        <v>#REF!</v>
      </c>
      <c r="S1891" s="25" t="e">
        <f ca="1"/>
        <v>#REF!</v>
      </c>
      <c r="T1891" s="25" t="e">
        <f ca="1"/>
        <v>#REF!</v>
      </c>
      <c r="U1891" s="25" t="e">
        <f ca="1"/>
        <v>#REF!</v>
      </c>
      <c r="V1891" s="25" t="e">
        <f ca="1"/>
        <v>#REF!</v>
      </c>
      <c r="W1891" s="33" t="e">
        <f ca="1"/>
        <v>#REF!</v>
      </c>
      <c r="X1891" s="33" t="e">
        <f ca="1"/>
        <v>#REF!</v>
      </c>
      <c r="Y1891" s="33" t="e">
        <f ca="1"/>
        <v>#REF!</v>
      </c>
      <c r="Z1891" s="33" t="e">
        <f ca="1"/>
        <v>#REF!</v>
      </c>
      <c r="AA1891" s="33" t="e">
        <f ca="1"/>
        <v>#REF!</v>
      </c>
    </row>
    <row r="1892" spans="1:27" s="70" customFormat="1" ht="11.25" x14ac:dyDescent="0.2">
      <c r="A1892" s="24">
        <v>1886</v>
      </c>
      <c r="B1892" s="27"/>
      <c r="C1892" s="28"/>
      <c r="D1892" s="71"/>
      <c r="E1892" s="28"/>
      <c r="F1892" s="25"/>
      <c r="G1892" s="27"/>
      <c r="H1892" s="28" t="e">
        <f ca="1"/>
        <v>#REF!</v>
      </c>
      <c r="I1892" s="27" t="e">
        <f ca="1"/>
        <v>#REF!</v>
      </c>
      <c r="J1892" s="28" t="e">
        <f ca="1"/>
        <v>#REF!</v>
      </c>
      <c r="K1892" s="27" t="e">
        <f ca="1"/>
        <v>#REF!</v>
      </c>
      <c r="L1892" s="25" t="e">
        <f ca="1"/>
        <v>#REF!</v>
      </c>
      <c r="M1892" s="25" t="e">
        <f ca="1"/>
        <v>#REF!</v>
      </c>
      <c r="N1892" s="25" t="e">
        <f ca="1"/>
        <v>#REF!</v>
      </c>
      <c r="O1892" s="25" t="e">
        <f ca="1"/>
        <v>#REF!</v>
      </c>
      <c r="P1892" s="25" t="e">
        <f ca="1"/>
        <v>#REF!</v>
      </c>
      <c r="Q1892" s="25" t="e">
        <f ca="1"/>
        <v>#REF!</v>
      </c>
      <c r="R1892" s="25" t="e">
        <f ca="1"/>
        <v>#REF!</v>
      </c>
      <c r="S1892" s="25" t="e">
        <f ca="1"/>
        <v>#REF!</v>
      </c>
      <c r="T1892" s="25" t="e">
        <f ca="1"/>
        <v>#REF!</v>
      </c>
      <c r="U1892" s="25" t="e">
        <f ca="1"/>
        <v>#REF!</v>
      </c>
      <c r="V1892" s="25" t="e">
        <f ca="1"/>
        <v>#REF!</v>
      </c>
      <c r="W1892" s="33" t="e">
        <f ca="1"/>
        <v>#REF!</v>
      </c>
      <c r="X1892" s="33" t="e">
        <f ca="1"/>
        <v>#REF!</v>
      </c>
      <c r="Y1892" s="33" t="e">
        <f ca="1"/>
        <v>#REF!</v>
      </c>
      <c r="Z1892" s="33" t="e">
        <f ca="1"/>
        <v>#REF!</v>
      </c>
      <c r="AA1892" s="33" t="e">
        <f ca="1"/>
        <v>#REF!</v>
      </c>
    </row>
    <row r="1893" spans="1:27" s="70" customFormat="1" ht="11.25" x14ac:dyDescent="0.2">
      <c r="A1893" s="24">
        <v>1887</v>
      </c>
      <c r="B1893" s="27"/>
      <c r="C1893" s="28"/>
      <c r="D1893" s="71"/>
      <c r="E1893" s="28"/>
      <c r="F1893" s="25"/>
      <c r="G1893" s="27"/>
      <c r="H1893" s="28" t="e">
        <f ca="1"/>
        <v>#REF!</v>
      </c>
      <c r="I1893" s="27" t="e">
        <f ca="1"/>
        <v>#REF!</v>
      </c>
      <c r="J1893" s="28" t="e">
        <f ca="1"/>
        <v>#REF!</v>
      </c>
      <c r="K1893" s="27" t="e">
        <f ca="1"/>
        <v>#REF!</v>
      </c>
      <c r="L1893" s="25" t="e">
        <f ca="1"/>
        <v>#REF!</v>
      </c>
      <c r="M1893" s="25" t="e">
        <f ca="1"/>
        <v>#REF!</v>
      </c>
      <c r="N1893" s="25" t="e">
        <f ca="1"/>
        <v>#REF!</v>
      </c>
      <c r="O1893" s="25" t="e">
        <f ca="1"/>
        <v>#REF!</v>
      </c>
      <c r="P1893" s="25" t="e">
        <f ca="1"/>
        <v>#REF!</v>
      </c>
      <c r="Q1893" s="25" t="e">
        <f ca="1"/>
        <v>#REF!</v>
      </c>
      <c r="R1893" s="25" t="e">
        <f ca="1"/>
        <v>#REF!</v>
      </c>
      <c r="S1893" s="25" t="e">
        <f ca="1"/>
        <v>#REF!</v>
      </c>
      <c r="T1893" s="25" t="e">
        <f ca="1"/>
        <v>#REF!</v>
      </c>
      <c r="U1893" s="25" t="e">
        <f ca="1"/>
        <v>#REF!</v>
      </c>
      <c r="V1893" s="25" t="e">
        <f ca="1"/>
        <v>#REF!</v>
      </c>
      <c r="W1893" s="33" t="e">
        <f ca="1"/>
        <v>#REF!</v>
      </c>
      <c r="X1893" s="33" t="e">
        <f ca="1"/>
        <v>#REF!</v>
      </c>
      <c r="Y1893" s="33" t="e">
        <f ca="1"/>
        <v>#REF!</v>
      </c>
      <c r="Z1893" s="33" t="e">
        <f ca="1"/>
        <v>#REF!</v>
      </c>
      <c r="AA1893" s="33" t="e">
        <f ca="1"/>
        <v>#REF!</v>
      </c>
    </row>
    <row r="1894" spans="1:27" s="70" customFormat="1" ht="11.25" x14ac:dyDescent="0.2">
      <c r="A1894" s="24">
        <v>1888</v>
      </c>
      <c r="B1894" s="27"/>
      <c r="C1894" s="28"/>
      <c r="D1894" s="71"/>
      <c r="E1894" s="28"/>
      <c r="F1894" s="25"/>
      <c r="G1894" s="27"/>
      <c r="H1894" s="28" t="e">
        <f ca="1"/>
        <v>#REF!</v>
      </c>
      <c r="I1894" s="27" t="e">
        <f ca="1"/>
        <v>#REF!</v>
      </c>
      <c r="J1894" s="28" t="e">
        <f ca="1"/>
        <v>#REF!</v>
      </c>
      <c r="K1894" s="27" t="e">
        <f ca="1"/>
        <v>#REF!</v>
      </c>
      <c r="L1894" s="25" t="e">
        <f ca="1"/>
        <v>#REF!</v>
      </c>
      <c r="M1894" s="25" t="e">
        <f ca="1"/>
        <v>#REF!</v>
      </c>
      <c r="N1894" s="25" t="e">
        <f ca="1"/>
        <v>#REF!</v>
      </c>
      <c r="O1894" s="25" t="e">
        <f ca="1"/>
        <v>#REF!</v>
      </c>
      <c r="P1894" s="25" t="e">
        <f ca="1"/>
        <v>#REF!</v>
      </c>
      <c r="Q1894" s="25" t="e">
        <f ca="1"/>
        <v>#REF!</v>
      </c>
      <c r="R1894" s="25" t="e">
        <f ca="1"/>
        <v>#REF!</v>
      </c>
      <c r="S1894" s="25" t="e">
        <f ca="1"/>
        <v>#REF!</v>
      </c>
      <c r="T1894" s="25" t="e">
        <f ca="1"/>
        <v>#REF!</v>
      </c>
      <c r="U1894" s="25" t="e">
        <f ca="1"/>
        <v>#REF!</v>
      </c>
      <c r="V1894" s="25" t="e">
        <f ca="1"/>
        <v>#REF!</v>
      </c>
      <c r="W1894" s="33" t="e">
        <f ca="1"/>
        <v>#REF!</v>
      </c>
      <c r="X1894" s="33" t="e">
        <f ca="1"/>
        <v>#REF!</v>
      </c>
      <c r="Y1894" s="33" t="e">
        <f ca="1"/>
        <v>#REF!</v>
      </c>
      <c r="Z1894" s="33" t="e">
        <f ca="1"/>
        <v>#REF!</v>
      </c>
      <c r="AA1894" s="33" t="e">
        <f ca="1"/>
        <v>#REF!</v>
      </c>
    </row>
    <row r="1895" spans="1:27" s="70" customFormat="1" ht="11.25" x14ac:dyDescent="0.2">
      <c r="A1895" s="24">
        <v>1889</v>
      </c>
      <c r="B1895" s="27"/>
      <c r="C1895" s="28"/>
      <c r="D1895" s="71"/>
      <c r="E1895" s="28"/>
      <c r="F1895" s="25"/>
      <c r="G1895" s="27"/>
      <c r="H1895" s="28" t="e">
        <f ca="1"/>
        <v>#REF!</v>
      </c>
      <c r="I1895" s="27" t="e">
        <f ca="1"/>
        <v>#REF!</v>
      </c>
      <c r="J1895" s="28" t="e">
        <f ca="1"/>
        <v>#REF!</v>
      </c>
      <c r="K1895" s="27" t="e">
        <f ca="1"/>
        <v>#REF!</v>
      </c>
      <c r="L1895" s="25" t="e">
        <f ca="1"/>
        <v>#REF!</v>
      </c>
      <c r="M1895" s="25" t="e">
        <f ca="1"/>
        <v>#REF!</v>
      </c>
      <c r="N1895" s="25" t="e">
        <f ca="1"/>
        <v>#REF!</v>
      </c>
      <c r="O1895" s="25" t="e">
        <f ca="1"/>
        <v>#REF!</v>
      </c>
      <c r="P1895" s="25" t="e">
        <f ca="1"/>
        <v>#REF!</v>
      </c>
      <c r="Q1895" s="25" t="e">
        <f ca="1"/>
        <v>#REF!</v>
      </c>
      <c r="R1895" s="25" t="e">
        <f ca="1"/>
        <v>#REF!</v>
      </c>
      <c r="S1895" s="25" t="e">
        <f ca="1"/>
        <v>#REF!</v>
      </c>
      <c r="T1895" s="25" t="e">
        <f ca="1"/>
        <v>#REF!</v>
      </c>
      <c r="U1895" s="25" t="e">
        <f ca="1"/>
        <v>#REF!</v>
      </c>
      <c r="V1895" s="25" t="e">
        <f ca="1"/>
        <v>#REF!</v>
      </c>
      <c r="W1895" s="33" t="e">
        <f ca="1"/>
        <v>#REF!</v>
      </c>
      <c r="X1895" s="33" t="e">
        <f ca="1"/>
        <v>#REF!</v>
      </c>
      <c r="Y1895" s="33" t="e">
        <f ca="1"/>
        <v>#REF!</v>
      </c>
      <c r="Z1895" s="33" t="e">
        <f ca="1"/>
        <v>#REF!</v>
      </c>
      <c r="AA1895" s="33" t="e">
        <f ca="1"/>
        <v>#REF!</v>
      </c>
    </row>
    <row r="1896" spans="1:27" s="70" customFormat="1" ht="11.25" x14ac:dyDescent="0.2">
      <c r="A1896" s="24">
        <v>1890</v>
      </c>
      <c r="B1896" s="27"/>
      <c r="C1896" s="28"/>
      <c r="D1896" s="71"/>
      <c r="E1896" s="28"/>
      <c r="F1896" s="25"/>
      <c r="G1896" s="27"/>
      <c r="H1896" s="28" t="e">
        <f ca="1"/>
        <v>#REF!</v>
      </c>
      <c r="I1896" s="27" t="e">
        <f ca="1"/>
        <v>#REF!</v>
      </c>
      <c r="J1896" s="28" t="e">
        <f ca="1"/>
        <v>#REF!</v>
      </c>
      <c r="K1896" s="27" t="e">
        <f ca="1"/>
        <v>#REF!</v>
      </c>
      <c r="L1896" s="25" t="e">
        <f ca="1"/>
        <v>#REF!</v>
      </c>
      <c r="M1896" s="25" t="e">
        <f ca="1"/>
        <v>#REF!</v>
      </c>
      <c r="N1896" s="25" t="e">
        <f ca="1"/>
        <v>#REF!</v>
      </c>
      <c r="O1896" s="25" t="e">
        <f ca="1"/>
        <v>#REF!</v>
      </c>
      <c r="P1896" s="25" t="e">
        <f ca="1"/>
        <v>#REF!</v>
      </c>
      <c r="Q1896" s="25" t="e">
        <f ca="1"/>
        <v>#REF!</v>
      </c>
      <c r="R1896" s="25" t="e">
        <f ca="1"/>
        <v>#REF!</v>
      </c>
      <c r="S1896" s="25" t="e">
        <f ca="1"/>
        <v>#REF!</v>
      </c>
      <c r="T1896" s="25" t="e">
        <f ca="1"/>
        <v>#REF!</v>
      </c>
      <c r="U1896" s="25" t="e">
        <f ca="1"/>
        <v>#REF!</v>
      </c>
      <c r="V1896" s="25" t="e">
        <f ca="1"/>
        <v>#REF!</v>
      </c>
      <c r="W1896" s="33" t="e">
        <f ca="1"/>
        <v>#REF!</v>
      </c>
      <c r="X1896" s="33" t="e">
        <f ca="1"/>
        <v>#REF!</v>
      </c>
      <c r="Y1896" s="33" t="e">
        <f ca="1"/>
        <v>#REF!</v>
      </c>
      <c r="Z1896" s="33" t="e">
        <f ca="1"/>
        <v>#REF!</v>
      </c>
      <c r="AA1896" s="33" t="e">
        <f ca="1"/>
        <v>#REF!</v>
      </c>
    </row>
    <row r="1897" spans="1:27" s="70" customFormat="1" ht="11.25" x14ac:dyDescent="0.2">
      <c r="A1897" s="24">
        <v>1891</v>
      </c>
      <c r="B1897" s="27"/>
      <c r="C1897" s="28"/>
      <c r="D1897" s="71"/>
      <c r="E1897" s="28"/>
      <c r="F1897" s="25"/>
      <c r="G1897" s="27"/>
      <c r="H1897" s="28" t="e">
        <f ca="1"/>
        <v>#REF!</v>
      </c>
      <c r="I1897" s="27" t="e">
        <f ca="1"/>
        <v>#REF!</v>
      </c>
      <c r="J1897" s="28" t="e">
        <f ca="1"/>
        <v>#REF!</v>
      </c>
      <c r="K1897" s="27" t="e">
        <f ca="1"/>
        <v>#REF!</v>
      </c>
      <c r="L1897" s="25" t="e">
        <f ca="1"/>
        <v>#REF!</v>
      </c>
      <c r="M1897" s="25" t="e">
        <f ca="1"/>
        <v>#REF!</v>
      </c>
      <c r="N1897" s="25" t="e">
        <f ca="1"/>
        <v>#REF!</v>
      </c>
      <c r="O1897" s="25" t="e">
        <f ca="1"/>
        <v>#REF!</v>
      </c>
      <c r="P1897" s="25" t="e">
        <f ca="1"/>
        <v>#REF!</v>
      </c>
      <c r="Q1897" s="25" t="e">
        <f ca="1"/>
        <v>#REF!</v>
      </c>
      <c r="R1897" s="25" t="e">
        <f ca="1"/>
        <v>#REF!</v>
      </c>
      <c r="S1897" s="25" t="e">
        <f ca="1"/>
        <v>#REF!</v>
      </c>
      <c r="T1897" s="25" t="e">
        <f ca="1"/>
        <v>#REF!</v>
      </c>
      <c r="U1897" s="25" t="e">
        <f ca="1"/>
        <v>#REF!</v>
      </c>
      <c r="V1897" s="25" t="e">
        <f ca="1"/>
        <v>#REF!</v>
      </c>
      <c r="W1897" s="33" t="e">
        <f ca="1"/>
        <v>#REF!</v>
      </c>
      <c r="X1897" s="33" t="e">
        <f ca="1"/>
        <v>#REF!</v>
      </c>
      <c r="Y1897" s="33" t="e">
        <f ca="1"/>
        <v>#REF!</v>
      </c>
      <c r="Z1897" s="33" t="e">
        <f ca="1"/>
        <v>#REF!</v>
      </c>
      <c r="AA1897" s="33" t="e">
        <f ca="1"/>
        <v>#REF!</v>
      </c>
    </row>
    <row r="1898" spans="1:27" s="70" customFormat="1" ht="11.25" x14ac:dyDescent="0.2">
      <c r="A1898" s="24">
        <v>1892</v>
      </c>
      <c r="B1898" s="27"/>
      <c r="C1898" s="28"/>
      <c r="D1898" s="71"/>
      <c r="E1898" s="28"/>
      <c r="F1898" s="25"/>
      <c r="G1898" s="27"/>
      <c r="H1898" s="28" t="e">
        <f ca="1"/>
        <v>#REF!</v>
      </c>
      <c r="I1898" s="27" t="e">
        <f ca="1"/>
        <v>#REF!</v>
      </c>
      <c r="J1898" s="28" t="e">
        <f ca="1"/>
        <v>#REF!</v>
      </c>
      <c r="K1898" s="27" t="e">
        <f ca="1"/>
        <v>#REF!</v>
      </c>
      <c r="L1898" s="25" t="e">
        <f ca="1"/>
        <v>#REF!</v>
      </c>
      <c r="M1898" s="25" t="e">
        <f ca="1"/>
        <v>#REF!</v>
      </c>
      <c r="N1898" s="25" t="e">
        <f ca="1"/>
        <v>#REF!</v>
      </c>
      <c r="O1898" s="25" t="e">
        <f ca="1"/>
        <v>#REF!</v>
      </c>
      <c r="P1898" s="25" t="e">
        <f ca="1"/>
        <v>#REF!</v>
      </c>
      <c r="Q1898" s="25" t="e">
        <f ca="1"/>
        <v>#REF!</v>
      </c>
      <c r="R1898" s="25" t="e">
        <f ca="1"/>
        <v>#REF!</v>
      </c>
      <c r="S1898" s="25" t="e">
        <f ca="1"/>
        <v>#REF!</v>
      </c>
      <c r="T1898" s="25" t="e">
        <f ca="1"/>
        <v>#REF!</v>
      </c>
      <c r="U1898" s="25" t="e">
        <f ca="1"/>
        <v>#REF!</v>
      </c>
      <c r="V1898" s="25" t="e">
        <f ca="1"/>
        <v>#REF!</v>
      </c>
      <c r="W1898" s="33" t="e">
        <f ca="1"/>
        <v>#REF!</v>
      </c>
      <c r="X1898" s="33" t="e">
        <f ca="1"/>
        <v>#REF!</v>
      </c>
      <c r="Y1898" s="33" t="e">
        <f ca="1"/>
        <v>#REF!</v>
      </c>
      <c r="Z1898" s="33" t="e">
        <f ca="1"/>
        <v>#REF!</v>
      </c>
      <c r="AA1898" s="33" t="e">
        <f ca="1"/>
        <v>#REF!</v>
      </c>
    </row>
    <row r="1899" spans="1:27" s="70" customFormat="1" ht="11.25" x14ac:dyDescent="0.2">
      <c r="A1899" s="24">
        <v>1893</v>
      </c>
      <c r="B1899" s="27"/>
      <c r="C1899" s="28"/>
      <c r="D1899" s="71"/>
      <c r="E1899" s="28"/>
      <c r="F1899" s="25"/>
      <c r="G1899" s="27"/>
      <c r="H1899" s="28" t="e">
        <f ca="1"/>
        <v>#REF!</v>
      </c>
      <c r="I1899" s="27" t="e">
        <f ca="1"/>
        <v>#REF!</v>
      </c>
      <c r="J1899" s="28" t="e">
        <f ca="1"/>
        <v>#REF!</v>
      </c>
      <c r="K1899" s="27" t="e">
        <f ca="1"/>
        <v>#REF!</v>
      </c>
      <c r="L1899" s="25" t="e">
        <f ca="1"/>
        <v>#REF!</v>
      </c>
      <c r="M1899" s="25" t="e">
        <f ca="1"/>
        <v>#REF!</v>
      </c>
      <c r="N1899" s="25" t="e">
        <f ca="1"/>
        <v>#REF!</v>
      </c>
      <c r="O1899" s="25" t="e">
        <f ca="1"/>
        <v>#REF!</v>
      </c>
      <c r="P1899" s="25" t="e">
        <f ca="1"/>
        <v>#REF!</v>
      </c>
      <c r="Q1899" s="25" t="e">
        <f ca="1"/>
        <v>#REF!</v>
      </c>
      <c r="R1899" s="25" t="e">
        <f ca="1"/>
        <v>#REF!</v>
      </c>
      <c r="S1899" s="25" t="e">
        <f ca="1"/>
        <v>#REF!</v>
      </c>
      <c r="T1899" s="25" t="e">
        <f ca="1"/>
        <v>#REF!</v>
      </c>
      <c r="U1899" s="25" t="e">
        <f ca="1"/>
        <v>#REF!</v>
      </c>
      <c r="V1899" s="25" t="e">
        <f ca="1"/>
        <v>#REF!</v>
      </c>
      <c r="W1899" s="33" t="e">
        <f ca="1"/>
        <v>#REF!</v>
      </c>
      <c r="X1899" s="33" t="e">
        <f ca="1"/>
        <v>#REF!</v>
      </c>
      <c r="Y1899" s="33" t="e">
        <f ca="1"/>
        <v>#REF!</v>
      </c>
      <c r="Z1899" s="33" t="e">
        <f ca="1"/>
        <v>#REF!</v>
      </c>
      <c r="AA1899" s="33" t="e">
        <f ca="1"/>
        <v>#REF!</v>
      </c>
    </row>
    <row r="1900" spans="1:27" s="70" customFormat="1" ht="11.25" x14ac:dyDescent="0.2">
      <c r="A1900" s="24">
        <v>1894</v>
      </c>
      <c r="B1900" s="27"/>
      <c r="C1900" s="28"/>
      <c r="D1900" s="71"/>
      <c r="E1900" s="28"/>
      <c r="F1900" s="25"/>
      <c r="G1900" s="27"/>
      <c r="H1900" s="28" t="e">
        <f ca="1"/>
        <v>#REF!</v>
      </c>
      <c r="I1900" s="27" t="e">
        <f ca="1"/>
        <v>#REF!</v>
      </c>
      <c r="J1900" s="28" t="e">
        <f ca="1"/>
        <v>#REF!</v>
      </c>
      <c r="K1900" s="27" t="e">
        <f ca="1"/>
        <v>#REF!</v>
      </c>
      <c r="L1900" s="25" t="e">
        <f ca="1"/>
        <v>#REF!</v>
      </c>
      <c r="M1900" s="25" t="e">
        <f ca="1"/>
        <v>#REF!</v>
      </c>
      <c r="N1900" s="25" t="e">
        <f ca="1"/>
        <v>#REF!</v>
      </c>
      <c r="O1900" s="25" t="e">
        <f ca="1"/>
        <v>#REF!</v>
      </c>
      <c r="P1900" s="25" t="e">
        <f ca="1"/>
        <v>#REF!</v>
      </c>
      <c r="Q1900" s="25" t="e">
        <f ca="1"/>
        <v>#REF!</v>
      </c>
      <c r="R1900" s="25" t="e">
        <f ca="1"/>
        <v>#REF!</v>
      </c>
      <c r="S1900" s="25" t="e">
        <f ca="1"/>
        <v>#REF!</v>
      </c>
      <c r="T1900" s="25" t="e">
        <f ca="1"/>
        <v>#REF!</v>
      </c>
      <c r="U1900" s="25" t="e">
        <f ca="1"/>
        <v>#REF!</v>
      </c>
      <c r="V1900" s="25" t="e">
        <f ca="1"/>
        <v>#REF!</v>
      </c>
      <c r="W1900" s="33" t="e">
        <f ca="1"/>
        <v>#REF!</v>
      </c>
      <c r="X1900" s="33" t="e">
        <f ca="1"/>
        <v>#REF!</v>
      </c>
      <c r="Y1900" s="33" t="e">
        <f ca="1"/>
        <v>#REF!</v>
      </c>
      <c r="Z1900" s="33" t="e">
        <f ca="1"/>
        <v>#REF!</v>
      </c>
      <c r="AA1900" s="33" t="e">
        <f ca="1"/>
        <v>#REF!</v>
      </c>
    </row>
    <row r="1901" spans="1:27" s="70" customFormat="1" ht="11.25" x14ac:dyDescent="0.2">
      <c r="A1901" s="24">
        <v>1895</v>
      </c>
      <c r="B1901" s="27"/>
      <c r="C1901" s="28"/>
      <c r="D1901" s="71"/>
      <c r="E1901" s="28"/>
      <c r="F1901" s="25"/>
      <c r="G1901" s="27"/>
      <c r="H1901" s="28" t="e">
        <f ca="1"/>
        <v>#REF!</v>
      </c>
      <c r="I1901" s="27" t="e">
        <f ca="1"/>
        <v>#REF!</v>
      </c>
      <c r="J1901" s="28" t="e">
        <f ca="1"/>
        <v>#REF!</v>
      </c>
      <c r="K1901" s="27" t="e">
        <f ca="1"/>
        <v>#REF!</v>
      </c>
      <c r="L1901" s="25" t="e">
        <f ca="1"/>
        <v>#REF!</v>
      </c>
      <c r="M1901" s="25" t="e">
        <f ca="1"/>
        <v>#REF!</v>
      </c>
      <c r="N1901" s="25" t="e">
        <f ca="1"/>
        <v>#REF!</v>
      </c>
      <c r="O1901" s="25" t="e">
        <f ca="1"/>
        <v>#REF!</v>
      </c>
      <c r="P1901" s="25" t="e">
        <f ca="1"/>
        <v>#REF!</v>
      </c>
      <c r="Q1901" s="25" t="e">
        <f ca="1"/>
        <v>#REF!</v>
      </c>
      <c r="R1901" s="25" t="e">
        <f ca="1"/>
        <v>#REF!</v>
      </c>
      <c r="S1901" s="25" t="e">
        <f ca="1"/>
        <v>#REF!</v>
      </c>
      <c r="T1901" s="25" t="e">
        <f ca="1"/>
        <v>#REF!</v>
      </c>
      <c r="U1901" s="25" t="e">
        <f ca="1"/>
        <v>#REF!</v>
      </c>
      <c r="V1901" s="25" t="e">
        <f ca="1"/>
        <v>#REF!</v>
      </c>
      <c r="W1901" s="33" t="e">
        <f ca="1"/>
        <v>#REF!</v>
      </c>
      <c r="X1901" s="33" t="e">
        <f ca="1"/>
        <v>#REF!</v>
      </c>
      <c r="Y1901" s="33" t="e">
        <f ca="1"/>
        <v>#REF!</v>
      </c>
      <c r="Z1901" s="33" t="e">
        <f ca="1"/>
        <v>#REF!</v>
      </c>
      <c r="AA1901" s="33" t="e">
        <f ca="1"/>
        <v>#REF!</v>
      </c>
    </row>
    <row r="1902" spans="1:27" s="70" customFormat="1" ht="11.25" x14ac:dyDescent="0.2">
      <c r="A1902" s="24">
        <v>1896</v>
      </c>
      <c r="B1902" s="27"/>
      <c r="C1902" s="28"/>
      <c r="D1902" s="71"/>
      <c r="E1902" s="28"/>
      <c r="F1902" s="25"/>
      <c r="G1902" s="27"/>
      <c r="H1902" s="28" t="e">
        <f ca="1"/>
        <v>#REF!</v>
      </c>
      <c r="I1902" s="27" t="e">
        <f ca="1"/>
        <v>#REF!</v>
      </c>
      <c r="J1902" s="28" t="e">
        <f ca="1"/>
        <v>#REF!</v>
      </c>
      <c r="K1902" s="27" t="e">
        <f ca="1"/>
        <v>#REF!</v>
      </c>
      <c r="L1902" s="25" t="e">
        <f ca="1"/>
        <v>#REF!</v>
      </c>
      <c r="M1902" s="25" t="e">
        <f ca="1"/>
        <v>#REF!</v>
      </c>
      <c r="N1902" s="25" t="e">
        <f ca="1"/>
        <v>#REF!</v>
      </c>
      <c r="O1902" s="25" t="e">
        <f ca="1"/>
        <v>#REF!</v>
      </c>
      <c r="P1902" s="25" t="e">
        <f ca="1"/>
        <v>#REF!</v>
      </c>
      <c r="Q1902" s="25" t="e">
        <f ca="1"/>
        <v>#REF!</v>
      </c>
      <c r="R1902" s="25" t="e">
        <f ca="1"/>
        <v>#REF!</v>
      </c>
      <c r="S1902" s="25" t="e">
        <f ca="1"/>
        <v>#REF!</v>
      </c>
      <c r="T1902" s="25" t="e">
        <f ca="1"/>
        <v>#REF!</v>
      </c>
      <c r="U1902" s="25" t="e">
        <f ca="1"/>
        <v>#REF!</v>
      </c>
      <c r="V1902" s="25" t="e">
        <f ca="1"/>
        <v>#REF!</v>
      </c>
      <c r="W1902" s="33" t="e">
        <f ca="1"/>
        <v>#REF!</v>
      </c>
      <c r="X1902" s="33" t="e">
        <f ca="1"/>
        <v>#REF!</v>
      </c>
      <c r="Y1902" s="33" t="e">
        <f ca="1"/>
        <v>#REF!</v>
      </c>
      <c r="Z1902" s="33" t="e">
        <f ca="1"/>
        <v>#REF!</v>
      </c>
      <c r="AA1902" s="33" t="e">
        <f ca="1"/>
        <v>#REF!</v>
      </c>
    </row>
    <row r="1903" spans="1:27" s="70" customFormat="1" ht="11.25" x14ac:dyDescent="0.2">
      <c r="A1903" s="24">
        <v>1897</v>
      </c>
      <c r="B1903" s="27"/>
      <c r="C1903" s="28"/>
      <c r="D1903" s="71"/>
      <c r="E1903" s="28"/>
      <c r="F1903" s="25"/>
      <c r="G1903" s="27"/>
      <c r="H1903" s="28" t="e">
        <f ca="1"/>
        <v>#REF!</v>
      </c>
      <c r="I1903" s="27" t="e">
        <f ca="1"/>
        <v>#REF!</v>
      </c>
      <c r="J1903" s="28" t="e">
        <f ca="1"/>
        <v>#REF!</v>
      </c>
      <c r="K1903" s="27" t="e">
        <f ca="1"/>
        <v>#REF!</v>
      </c>
      <c r="L1903" s="25" t="e">
        <f ca="1"/>
        <v>#REF!</v>
      </c>
      <c r="M1903" s="25" t="e">
        <f ca="1"/>
        <v>#REF!</v>
      </c>
      <c r="N1903" s="25" t="e">
        <f ca="1"/>
        <v>#REF!</v>
      </c>
      <c r="O1903" s="25" t="e">
        <f ca="1"/>
        <v>#REF!</v>
      </c>
      <c r="P1903" s="25" t="e">
        <f ca="1"/>
        <v>#REF!</v>
      </c>
      <c r="Q1903" s="25" t="e">
        <f ca="1"/>
        <v>#REF!</v>
      </c>
      <c r="R1903" s="25" t="e">
        <f ca="1"/>
        <v>#REF!</v>
      </c>
      <c r="S1903" s="25" t="e">
        <f ca="1"/>
        <v>#REF!</v>
      </c>
      <c r="T1903" s="25" t="e">
        <f ca="1"/>
        <v>#REF!</v>
      </c>
      <c r="U1903" s="25" t="e">
        <f ca="1"/>
        <v>#REF!</v>
      </c>
      <c r="V1903" s="25" t="e">
        <f ca="1"/>
        <v>#REF!</v>
      </c>
      <c r="W1903" s="33" t="e">
        <f ca="1"/>
        <v>#REF!</v>
      </c>
      <c r="X1903" s="33" t="e">
        <f ca="1"/>
        <v>#REF!</v>
      </c>
      <c r="Y1903" s="33" t="e">
        <f ca="1"/>
        <v>#REF!</v>
      </c>
      <c r="Z1903" s="33" t="e">
        <f ca="1"/>
        <v>#REF!</v>
      </c>
      <c r="AA1903" s="33" t="e">
        <f ca="1"/>
        <v>#REF!</v>
      </c>
    </row>
    <row r="1904" spans="1:27" s="70" customFormat="1" ht="11.25" x14ac:dyDescent="0.2">
      <c r="A1904" s="24">
        <v>1898</v>
      </c>
      <c r="B1904" s="27"/>
      <c r="C1904" s="28"/>
      <c r="D1904" s="71"/>
      <c r="E1904" s="28"/>
      <c r="F1904" s="25"/>
      <c r="G1904" s="27"/>
      <c r="H1904" s="28" t="e">
        <f ca="1"/>
        <v>#REF!</v>
      </c>
      <c r="I1904" s="27" t="e">
        <f ca="1"/>
        <v>#REF!</v>
      </c>
      <c r="J1904" s="28" t="e">
        <f ca="1"/>
        <v>#REF!</v>
      </c>
      <c r="K1904" s="27" t="e">
        <f ca="1"/>
        <v>#REF!</v>
      </c>
      <c r="L1904" s="25" t="e">
        <f ca="1"/>
        <v>#REF!</v>
      </c>
      <c r="M1904" s="25" t="e">
        <f ca="1"/>
        <v>#REF!</v>
      </c>
      <c r="N1904" s="25" t="e">
        <f ca="1"/>
        <v>#REF!</v>
      </c>
      <c r="O1904" s="25" t="e">
        <f ca="1"/>
        <v>#REF!</v>
      </c>
      <c r="P1904" s="25" t="e">
        <f ca="1"/>
        <v>#REF!</v>
      </c>
      <c r="Q1904" s="25" t="e">
        <f ca="1"/>
        <v>#REF!</v>
      </c>
      <c r="R1904" s="25" t="e">
        <f ca="1"/>
        <v>#REF!</v>
      </c>
      <c r="S1904" s="25" t="e">
        <f ca="1"/>
        <v>#REF!</v>
      </c>
      <c r="T1904" s="25" t="e">
        <f ca="1"/>
        <v>#REF!</v>
      </c>
      <c r="U1904" s="25" t="e">
        <f ca="1"/>
        <v>#REF!</v>
      </c>
      <c r="V1904" s="25" t="e">
        <f ca="1"/>
        <v>#REF!</v>
      </c>
      <c r="W1904" s="33" t="e">
        <f ca="1"/>
        <v>#REF!</v>
      </c>
      <c r="X1904" s="33" t="e">
        <f ca="1"/>
        <v>#REF!</v>
      </c>
      <c r="Y1904" s="33" t="e">
        <f ca="1"/>
        <v>#REF!</v>
      </c>
      <c r="Z1904" s="33" t="e">
        <f ca="1"/>
        <v>#REF!</v>
      </c>
      <c r="AA1904" s="33" t="e">
        <f ca="1"/>
        <v>#REF!</v>
      </c>
    </row>
    <row r="1905" spans="1:27" s="70" customFormat="1" ht="11.25" x14ac:dyDescent="0.2">
      <c r="A1905" s="24">
        <v>1899</v>
      </c>
      <c r="B1905" s="27"/>
      <c r="C1905" s="28"/>
      <c r="D1905" s="71"/>
      <c r="E1905" s="28"/>
      <c r="F1905" s="25"/>
      <c r="G1905" s="27"/>
      <c r="H1905" s="28" t="e">
        <f ca="1"/>
        <v>#REF!</v>
      </c>
      <c r="I1905" s="27" t="e">
        <f ca="1"/>
        <v>#REF!</v>
      </c>
      <c r="J1905" s="28" t="e">
        <f ca="1"/>
        <v>#REF!</v>
      </c>
      <c r="K1905" s="27" t="e">
        <f ca="1"/>
        <v>#REF!</v>
      </c>
      <c r="L1905" s="25" t="e">
        <f ca="1"/>
        <v>#REF!</v>
      </c>
      <c r="M1905" s="25" t="e">
        <f ca="1"/>
        <v>#REF!</v>
      </c>
      <c r="N1905" s="25" t="e">
        <f ca="1"/>
        <v>#REF!</v>
      </c>
      <c r="O1905" s="25" t="e">
        <f ca="1"/>
        <v>#REF!</v>
      </c>
      <c r="P1905" s="25" t="e">
        <f ca="1"/>
        <v>#REF!</v>
      </c>
      <c r="Q1905" s="25" t="e">
        <f ca="1"/>
        <v>#REF!</v>
      </c>
      <c r="R1905" s="25" t="e">
        <f ca="1"/>
        <v>#REF!</v>
      </c>
      <c r="S1905" s="25" t="e">
        <f ca="1"/>
        <v>#REF!</v>
      </c>
      <c r="T1905" s="25" t="e">
        <f ca="1"/>
        <v>#REF!</v>
      </c>
      <c r="U1905" s="25" t="e">
        <f ca="1"/>
        <v>#REF!</v>
      </c>
      <c r="V1905" s="25" t="e">
        <f ca="1"/>
        <v>#REF!</v>
      </c>
      <c r="W1905" s="33" t="e">
        <f ca="1"/>
        <v>#REF!</v>
      </c>
      <c r="X1905" s="33" t="e">
        <f ca="1"/>
        <v>#REF!</v>
      </c>
      <c r="Y1905" s="33" t="e">
        <f ca="1"/>
        <v>#REF!</v>
      </c>
      <c r="Z1905" s="33" t="e">
        <f ca="1"/>
        <v>#REF!</v>
      </c>
      <c r="AA1905" s="33" t="e">
        <f ca="1"/>
        <v>#REF!</v>
      </c>
    </row>
    <row r="1906" spans="1:27" s="70" customFormat="1" ht="11.25" x14ac:dyDescent="0.2">
      <c r="A1906" s="24">
        <v>1900</v>
      </c>
      <c r="B1906" s="27"/>
      <c r="C1906" s="28"/>
      <c r="D1906" s="71"/>
      <c r="E1906" s="28"/>
      <c r="F1906" s="25"/>
      <c r="G1906" s="27"/>
      <c r="H1906" s="28" t="e">
        <f ca="1"/>
        <v>#REF!</v>
      </c>
      <c r="I1906" s="27" t="e">
        <f ca="1"/>
        <v>#REF!</v>
      </c>
      <c r="J1906" s="28" t="e">
        <f ca="1"/>
        <v>#REF!</v>
      </c>
      <c r="K1906" s="27" t="e">
        <f ca="1"/>
        <v>#REF!</v>
      </c>
      <c r="L1906" s="25" t="e">
        <f ca="1"/>
        <v>#REF!</v>
      </c>
      <c r="M1906" s="25" t="e">
        <f ca="1"/>
        <v>#REF!</v>
      </c>
      <c r="N1906" s="25" t="e">
        <f ca="1"/>
        <v>#REF!</v>
      </c>
      <c r="O1906" s="25" t="e">
        <f ca="1"/>
        <v>#REF!</v>
      </c>
      <c r="P1906" s="25" t="e">
        <f ca="1"/>
        <v>#REF!</v>
      </c>
      <c r="Q1906" s="25" t="e">
        <f ca="1"/>
        <v>#REF!</v>
      </c>
      <c r="R1906" s="25" t="e">
        <f ca="1"/>
        <v>#REF!</v>
      </c>
      <c r="S1906" s="25" t="e">
        <f ca="1"/>
        <v>#REF!</v>
      </c>
      <c r="T1906" s="25" t="e">
        <f ca="1"/>
        <v>#REF!</v>
      </c>
      <c r="U1906" s="25" t="e">
        <f ca="1"/>
        <v>#REF!</v>
      </c>
      <c r="V1906" s="25" t="e">
        <f ca="1"/>
        <v>#REF!</v>
      </c>
      <c r="W1906" s="33" t="e">
        <f ca="1"/>
        <v>#REF!</v>
      </c>
      <c r="X1906" s="33" t="e">
        <f ca="1"/>
        <v>#REF!</v>
      </c>
      <c r="Y1906" s="33" t="e">
        <f ca="1"/>
        <v>#REF!</v>
      </c>
      <c r="Z1906" s="33" t="e">
        <f ca="1"/>
        <v>#REF!</v>
      </c>
      <c r="AA1906" s="33" t="e">
        <f ca="1"/>
        <v>#REF!</v>
      </c>
    </row>
    <row r="1907" spans="1:27" s="70" customFormat="1" ht="11.25" x14ac:dyDescent="0.2">
      <c r="A1907" s="24">
        <v>1901</v>
      </c>
      <c r="B1907" s="27"/>
      <c r="C1907" s="28"/>
      <c r="D1907" s="71"/>
      <c r="E1907" s="28"/>
      <c r="F1907" s="25"/>
      <c r="G1907" s="27"/>
      <c r="H1907" s="28" t="e">
        <f ca="1"/>
        <v>#REF!</v>
      </c>
      <c r="I1907" s="27" t="e">
        <f ca="1"/>
        <v>#REF!</v>
      </c>
      <c r="J1907" s="28" t="e">
        <f ca="1"/>
        <v>#REF!</v>
      </c>
      <c r="K1907" s="27" t="e">
        <f ca="1"/>
        <v>#REF!</v>
      </c>
      <c r="L1907" s="25" t="e">
        <f ca="1"/>
        <v>#REF!</v>
      </c>
      <c r="M1907" s="25" t="e">
        <f ca="1"/>
        <v>#REF!</v>
      </c>
      <c r="N1907" s="25" t="e">
        <f ca="1"/>
        <v>#REF!</v>
      </c>
      <c r="O1907" s="25" t="e">
        <f ca="1"/>
        <v>#REF!</v>
      </c>
      <c r="P1907" s="25" t="e">
        <f ca="1"/>
        <v>#REF!</v>
      </c>
      <c r="Q1907" s="25" t="e">
        <f ca="1"/>
        <v>#REF!</v>
      </c>
      <c r="R1907" s="25" t="e">
        <f ca="1"/>
        <v>#REF!</v>
      </c>
      <c r="S1907" s="25" t="e">
        <f ca="1"/>
        <v>#REF!</v>
      </c>
      <c r="T1907" s="25" t="e">
        <f ca="1"/>
        <v>#REF!</v>
      </c>
      <c r="U1907" s="25" t="e">
        <f ca="1"/>
        <v>#REF!</v>
      </c>
      <c r="V1907" s="25" t="e">
        <f ca="1"/>
        <v>#REF!</v>
      </c>
      <c r="W1907" s="33" t="e">
        <f ca="1"/>
        <v>#REF!</v>
      </c>
      <c r="X1907" s="33" t="e">
        <f ca="1"/>
        <v>#REF!</v>
      </c>
      <c r="Y1907" s="33" t="e">
        <f ca="1"/>
        <v>#REF!</v>
      </c>
      <c r="Z1907" s="33" t="e">
        <f ca="1"/>
        <v>#REF!</v>
      </c>
      <c r="AA1907" s="33" t="e">
        <f ca="1"/>
        <v>#REF!</v>
      </c>
    </row>
    <row r="1908" spans="1:27" s="70" customFormat="1" ht="11.25" x14ac:dyDescent="0.2">
      <c r="A1908" s="24">
        <v>1902</v>
      </c>
      <c r="B1908" s="27"/>
      <c r="C1908" s="28"/>
      <c r="D1908" s="71"/>
      <c r="E1908" s="28"/>
      <c r="F1908" s="25"/>
      <c r="G1908" s="27"/>
      <c r="H1908" s="28" t="e">
        <f ca="1"/>
        <v>#REF!</v>
      </c>
      <c r="I1908" s="27" t="e">
        <f ca="1"/>
        <v>#REF!</v>
      </c>
      <c r="J1908" s="28" t="e">
        <f ca="1"/>
        <v>#REF!</v>
      </c>
      <c r="K1908" s="27" t="e">
        <f ca="1"/>
        <v>#REF!</v>
      </c>
      <c r="L1908" s="25" t="e">
        <f ca="1"/>
        <v>#REF!</v>
      </c>
      <c r="M1908" s="25" t="e">
        <f ca="1"/>
        <v>#REF!</v>
      </c>
      <c r="N1908" s="25" t="e">
        <f ca="1"/>
        <v>#REF!</v>
      </c>
      <c r="O1908" s="25" t="e">
        <f ca="1"/>
        <v>#REF!</v>
      </c>
      <c r="P1908" s="25" t="e">
        <f ca="1"/>
        <v>#REF!</v>
      </c>
      <c r="Q1908" s="25" t="e">
        <f ca="1"/>
        <v>#REF!</v>
      </c>
      <c r="R1908" s="25" t="e">
        <f ca="1"/>
        <v>#REF!</v>
      </c>
      <c r="S1908" s="25" t="e">
        <f ca="1"/>
        <v>#REF!</v>
      </c>
      <c r="T1908" s="25" t="e">
        <f ca="1"/>
        <v>#REF!</v>
      </c>
      <c r="U1908" s="25" t="e">
        <f ca="1"/>
        <v>#REF!</v>
      </c>
      <c r="V1908" s="25" t="e">
        <f ca="1"/>
        <v>#REF!</v>
      </c>
      <c r="W1908" s="33" t="e">
        <f ca="1"/>
        <v>#REF!</v>
      </c>
      <c r="X1908" s="33" t="e">
        <f ca="1"/>
        <v>#REF!</v>
      </c>
      <c r="Y1908" s="33" t="e">
        <f ca="1"/>
        <v>#REF!</v>
      </c>
      <c r="Z1908" s="33" t="e">
        <f ca="1"/>
        <v>#REF!</v>
      </c>
      <c r="AA1908" s="33" t="e">
        <f ca="1"/>
        <v>#REF!</v>
      </c>
    </row>
    <row r="1909" spans="1:27" s="70" customFormat="1" ht="11.25" x14ac:dyDescent="0.2">
      <c r="A1909" s="24">
        <v>1903</v>
      </c>
      <c r="B1909" s="27"/>
      <c r="C1909" s="28"/>
      <c r="D1909" s="71"/>
      <c r="E1909" s="28"/>
      <c r="F1909" s="25"/>
      <c r="G1909" s="27"/>
      <c r="H1909" s="28" t="e">
        <f ca="1"/>
        <v>#REF!</v>
      </c>
      <c r="I1909" s="27" t="e">
        <f ca="1"/>
        <v>#REF!</v>
      </c>
      <c r="J1909" s="28" t="e">
        <f ca="1"/>
        <v>#REF!</v>
      </c>
      <c r="K1909" s="27" t="e">
        <f ca="1"/>
        <v>#REF!</v>
      </c>
      <c r="L1909" s="25" t="e">
        <f ca="1"/>
        <v>#REF!</v>
      </c>
      <c r="M1909" s="25" t="e">
        <f ca="1"/>
        <v>#REF!</v>
      </c>
      <c r="N1909" s="25" t="e">
        <f ca="1"/>
        <v>#REF!</v>
      </c>
      <c r="O1909" s="25" t="e">
        <f ca="1"/>
        <v>#REF!</v>
      </c>
      <c r="P1909" s="25" t="e">
        <f ca="1"/>
        <v>#REF!</v>
      </c>
      <c r="Q1909" s="25" t="e">
        <f ca="1"/>
        <v>#REF!</v>
      </c>
      <c r="R1909" s="25" t="e">
        <f ca="1"/>
        <v>#REF!</v>
      </c>
      <c r="S1909" s="25" t="e">
        <f ca="1"/>
        <v>#REF!</v>
      </c>
      <c r="T1909" s="25" t="e">
        <f ca="1"/>
        <v>#REF!</v>
      </c>
      <c r="U1909" s="25" t="e">
        <f ca="1"/>
        <v>#REF!</v>
      </c>
      <c r="V1909" s="25" t="e">
        <f ca="1"/>
        <v>#REF!</v>
      </c>
      <c r="W1909" s="33" t="e">
        <f ca="1"/>
        <v>#REF!</v>
      </c>
      <c r="X1909" s="33" t="e">
        <f ca="1"/>
        <v>#REF!</v>
      </c>
      <c r="Y1909" s="33" t="e">
        <f ca="1"/>
        <v>#REF!</v>
      </c>
      <c r="Z1909" s="33" t="e">
        <f ca="1"/>
        <v>#REF!</v>
      </c>
      <c r="AA1909" s="33" t="e">
        <f ca="1"/>
        <v>#REF!</v>
      </c>
    </row>
    <row r="1910" spans="1:27" s="70" customFormat="1" ht="11.25" x14ac:dyDescent="0.2">
      <c r="A1910" s="24">
        <v>1904</v>
      </c>
      <c r="B1910" s="27"/>
      <c r="C1910" s="28"/>
      <c r="D1910" s="71"/>
      <c r="E1910" s="28"/>
      <c r="F1910" s="25"/>
      <c r="G1910" s="27"/>
      <c r="H1910" s="28" t="e">
        <f ca="1"/>
        <v>#REF!</v>
      </c>
      <c r="I1910" s="27" t="e">
        <f ca="1"/>
        <v>#REF!</v>
      </c>
      <c r="J1910" s="28" t="e">
        <f ca="1"/>
        <v>#REF!</v>
      </c>
      <c r="K1910" s="27" t="e">
        <f ca="1"/>
        <v>#REF!</v>
      </c>
      <c r="L1910" s="25" t="e">
        <f ca="1"/>
        <v>#REF!</v>
      </c>
      <c r="M1910" s="25" t="e">
        <f ca="1"/>
        <v>#REF!</v>
      </c>
      <c r="N1910" s="25" t="e">
        <f ca="1"/>
        <v>#REF!</v>
      </c>
      <c r="O1910" s="25" t="e">
        <f ca="1"/>
        <v>#REF!</v>
      </c>
      <c r="P1910" s="25" t="e">
        <f ca="1"/>
        <v>#REF!</v>
      </c>
      <c r="Q1910" s="25" t="e">
        <f ca="1"/>
        <v>#REF!</v>
      </c>
      <c r="R1910" s="25" t="e">
        <f ca="1"/>
        <v>#REF!</v>
      </c>
      <c r="S1910" s="25" t="e">
        <f ca="1"/>
        <v>#REF!</v>
      </c>
      <c r="T1910" s="25" t="e">
        <f ca="1"/>
        <v>#REF!</v>
      </c>
      <c r="U1910" s="25" t="e">
        <f ca="1"/>
        <v>#REF!</v>
      </c>
      <c r="V1910" s="25" t="e">
        <f ca="1"/>
        <v>#REF!</v>
      </c>
      <c r="W1910" s="33" t="e">
        <f ca="1"/>
        <v>#REF!</v>
      </c>
      <c r="X1910" s="33" t="e">
        <f ca="1"/>
        <v>#REF!</v>
      </c>
      <c r="Y1910" s="33" t="e">
        <f ca="1"/>
        <v>#REF!</v>
      </c>
      <c r="Z1910" s="33" t="e">
        <f ca="1"/>
        <v>#REF!</v>
      </c>
      <c r="AA1910" s="33" t="e">
        <f ca="1"/>
        <v>#REF!</v>
      </c>
    </row>
    <row r="1911" spans="1:27" s="70" customFormat="1" ht="11.25" x14ac:dyDescent="0.2">
      <c r="A1911" s="24">
        <v>1905</v>
      </c>
      <c r="B1911" s="27"/>
      <c r="C1911" s="28"/>
      <c r="D1911" s="71"/>
      <c r="E1911" s="28"/>
      <c r="F1911" s="25"/>
      <c r="G1911" s="27"/>
      <c r="H1911" s="28" t="e">
        <f ca="1"/>
        <v>#REF!</v>
      </c>
      <c r="I1911" s="27" t="e">
        <f ca="1"/>
        <v>#REF!</v>
      </c>
      <c r="J1911" s="28" t="e">
        <f ca="1"/>
        <v>#REF!</v>
      </c>
      <c r="K1911" s="27" t="e">
        <f ca="1"/>
        <v>#REF!</v>
      </c>
      <c r="L1911" s="25" t="e">
        <f ca="1"/>
        <v>#REF!</v>
      </c>
      <c r="M1911" s="25" t="e">
        <f ca="1"/>
        <v>#REF!</v>
      </c>
      <c r="N1911" s="25" t="e">
        <f ca="1"/>
        <v>#REF!</v>
      </c>
      <c r="O1911" s="25" t="e">
        <f ca="1"/>
        <v>#REF!</v>
      </c>
      <c r="P1911" s="25" t="e">
        <f ca="1"/>
        <v>#REF!</v>
      </c>
      <c r="Q1911" s="25" t="e">
        <f ca="1"/>
        <v>#REF!</v>
      </c>
      <c r="R1911" s="25" t="e">
        <f ca="1"/>
        <v>#REF!</v>
      </c>
      <c r="S1911" s="25" t="e">
        <f ca="1"/>
        <v>#REF!</v>
      </c>
      <c r="T1911" s="25" t="e">
        <f ca="1"/>
        <v>#REF!</v>
      </c>
      <c r="U1911" s="25" t="e">
        <f ca="1"/>
        <v>#REF!</v>
      </c>
      <c r="V1911" s="25" t="e">
        <f ca="1"/>
        <v>#REF!</v>
      </c>
      <c r="W1911" s="33" t="e">
        <f ca="1"/>
        <v>#REF!</v>
      </c>
      <c r="X1911" s="33" t="e">
        <f ca="1"/>
        <v>#REF!</v>
      </c>
      <c r="Y1911" s="33" t="e">
        <f ca="1"/>
        <v>#REF!</v>
      </c>
      <c r="Z1911" s="33" t="e">
        <f ca="1"/>
        <v>#REF!</v>
      </c>
      <c r="AA1911" s="33" t="e">
        <f ca="1"/>
        <v>#REF!</v>
      </c>
    </row>
    <row r="1912" spans="1:27" s="70" customFormat="1" ht="11.25" x14ac:dyDescent="0.2">
      <c r="A1912" s="24">
        <v>1906</v>
      </c>
      <c r="B1912" s="27"/>
      <c r="C1912" s="28"/>
      <c r="D1912" s="71"/>
      <c r="E1912" s="28"/>
      <c r="F1912" s="25"/>
      <c r="G1912" s="27"/>
      <c r="H1912" s="28" t="e">
        <f ca="1"/>
        <v>#REF!</v>
      </c>
      <c r="I1912" s="27" t="e">
        <f ca="1"/>
        <v>#REF!</v>
      </c>
      <c r="J1912" s="28" t="e">
        <f ca="1"/>
        <v>#REF!</v>
      </c>
      <c r="K1912" s="27" t="e">
        <f ca="1"/>
        <v>#REF!</v>
      </c>
      <c r="L1912" s="25" t="e">
        <f ca="1"/>
        <v>#REF!</v>
      </c>
      <c r="M1912" s="25" t="e">
        <f ca="1"/>
        <v>#REF!</v>
      </c>
      <c r="N1912" s="25" t="e">
        <f ca="1"/>
        <v>#REF!</v>
      </c>
      <c r="O1912" s="25" t="e">
        <f ca="1"/>
        <v>#REF!</v>
      </c>
      <c r="P1912" s="25" t="e">
        <f ca="1"/>
        <v>#REF!</v>
      </c>
      <c r="Q1912" s="25" t="e">
        <f ca="1"/>
        <v>#REF!</v>
      </c>
      <c r="R1912" s="25" t="e">
        <f ca="1"/>
        <v>#REF!</v>
      </c>
      <c r="S1912" s="25" t="e">
        <f ca="1"/>
        <v>#REF!</v>
      </c>
      <c r="T1912" s="25" t="e">
        <f ca="1"/>
        <v>#REF!</v>
      </c>
      <c r="U1912" s="25" t="e">
        <f ca="1"/>
        <v>#REF!</v>
      </c>
      <c r="V1912" s="25" t="e">
        <f ca="1"/>
        <v>#REF!</v>
      </c>
      <c r="W1912" s="33" t="e">
        <f ca="1"/>
        <v>#REF!</v>
      </c>
      <c r="X1912" s="33" t="e">
        <f ca="1"/>
        <v>#REF!</v>
      </c>
      <c r="Y1912" s="33" t="e">
        <f ca="1"/>
        <v>#REF!</v>
      </c>
      <c r="Z1912" s="33" t="e">
        <f ca="1"/>
        <v>#REF!</v>
      </c>
      <c r="AA1912" s="33" t="e">
        <f ca="1"/>
        <v>#REF!</v>
      </c>
    </row>
    <row r="1913" spans="1:27" s="70" customFormat="1" ht="11.25" x14ac:dyDescent="0.2">
      <c r="A1913" s="24">
        <v>1907</v>
      </c>
      <c r="B1913" s="27"/>
      <c r="C1913" s="28"/>
      <c r="D1913" s="71"/>
      <c r="E1913" s="28"/>
      <c r="F1913" s="25"/>
      <c r="G1913" s="27"/>
      <c r="H1913" s="28" t="e">
        <f ca="1"/>
        <v>#REF!</v>
      </c>
      <c r="I1913" s="27" t="e">
        <f ca="1"/>
        <v>#REF!</v>
      </c>
      <c r="J1913" s="28" t="e">
        <f ca="1"/>
        <v>#REF!</v>
      </c>
      <c r="K1913" s="27" t="e">
        <f ca="1"/>
        <v>#REF!</v>
      </c>
      <c r="L1913" s="25" t="e">
        <f ca="1"/>
        <v>#REF!</v>
      </c>
      <c r="M1913" s="25" t="e">
        <f ca="1"/>
        <v>#REF!</v>
      </c>
      <c r="N1913" s="25" t="e">
        <f ca="1"/>
        <v>#REF!</v>
      </c>
      <c r="O1913" s="25" t="e">
        <f ca="1"/>
        <v>#REF!</v>
      </c>
      <c r="P1913" s="25" t="e">
        <f ca="1"/>
        <v>#REF!</v>
      </c>
      <c r="Q1913" s="25" t="e">
        <f ca="1"/>
        <v>#REF!</v>
      </c>
      <c r="R1913" s="25" t="e">
        <f ca="1"/>
        <v>#REF!</v>
      </c>
      <c r="S1913" s="25" t="e">
        <f ca="1"/>
        <v>#REF!</v>
      </c>
      <c r="T1913" s="25" t="e">
        <f ca="1"/>
        <v>#REF!</v>
      </c>
      <c r="U1913" s="25" t="e">
        <f ca="1"/>
        <v>#REF!</v>
      </c>
      <c r="V1913" s="25" t="e">
        <f ca="1"/>
        <v>#REF!</v>
      </c>
      <c r="W1913" s="33" t="e">
        <f ca="1"/>
        <v>#REF!</v>
      </c>
      <c r="X1913" s="33" t="e">
        <f ca="1"/>
        <v>#REF!</v>
      </c>
      <c r="Y1913" s="33" t="e">
        <f ca="1"/>
        <v>#REF!</v>
      </c>
      <c r="Z1913" s="33" t="e">
        <f ca="1"/>
        <v>#REF!</v>
      </c>
      <c r="AA1913" s="33" t="e">
        <f ca="1"/>
        <v>#REF!</v>
      </c>
    </row>
    <row r="1914" spans="1:27" s="70" customFormat="1" ht="11.25" x14ac:dyDescent="0.2">
      <c r="A1914" s="24">
        <v>1908</v>
      </c>
      <c r="B1914" s="27"/>
      <c r="C1914" s="28"/>
      <c r="D1914" s="71"/>
      <c r="E1914" s="28"/>
      <c r="F1914" s="25"/>
      <c r="G1914" s="27"/>
      <c r="H1914" s="28" t="e">
        <f ca="1"/>
        <v>#REF!</v>
      </c>
      <c r="I1914" s="27" t="e">
        <f ca="1"/>
        <v>#REF!</v>
      </c>
      <c r="J1914" s="28" t="e">
        <f ca="1"/>
        <v>#REF!</v>
      </c>
      <c r="K1914" s="27" t="e">
        <f ca="1"/>
        <v>#REF!</v>
      </c>
      <c r="L1914" s="25" t="e">
        <f ca="1"/>
        <v>#REF!</v>
      </c>
      <c r="M1914" s="25" t="e">
        <f ca="1"/>
        <v>#REF!</v>
      </c>
      <c r="N1914" s="25" t="e">
        <f ca="1"/>
        <v>#REF!</v>
      </c>
      <c r="O1914" s="25" t="e">
        <f ca="1"/>
        <v>#REF!</v>
      </c>
      <c r="P1914" s="25" t="e">
        <f ca="1"/>
        <v>#REF!</v>
      </c>
      <c r="Q1914" s="25" t="e">
        <f ca="1"/>
        <v>#REF!</v>
      </c>
      <c r="R1914" s="25" t="e">
        <f ca="1"/>
        <v>#REF!</v>
      </c>
      <c r="S1914" s="25" t="e">
        <f ca="1"/>
        <v>#REF!</v>
      </c>
      <c r="T1914" s="25" t="e">
        <f ca="1"/>
        <v>#REF!</v>
      </c>
      <c r="U1914" s="25" t="e">
        <f ca="1"/>
        <v>#REF!</v>
      </c>
      <c r="V1914" s="25" t="e">
        <f ca="1"/>
        <v>#REF!</v>
      </c>
      <c r="W1914" s="33" t="e">
        <f ca="1"/>
        <v>#REF!</v>
      </c>
      <c r="X1914" s="33" t="e">
        <f ca="1"/>
        <v>#REF!</v>
      </c>
      <c r="Y1914" s="33" t="e">
        <f ca="1"/>
        <v>#REF!</v>
      </c>
      <c r="Z1914" s="33" t="e">
        <f ca="1"/>
        <v>#REF!</v>
      </c>
      <c r="AA1914" s="33" t="e">
        <f ca="1"/>
        <v>#REF!</v>
      </c>
    </row>
    <row r="1915" spans="1:27" s="70" customFormat="1" ht="11.25" x14ac:dyDescent="0.2">
      <c r="A1915" s="24">
        <v>1909</v>
      </c>
      <c r="B1915" s="27"/>
      <c r="C1915" s="28"/>
      <c r="D1915" s="71"/>
      <c r="E1915" s="28"/>
      <c r="F1915" s="25"/>
      <c r="G1915" s="27"/>
      <c r="H1915" s="28" t="e">
        <f ca="1"/>
        <v>#REF!</v>
      </c>
      <c r="I1915" s="27" t="e">
        <f ca="1"/>
        <v>#REF!</v>
      </c>
      <c r="J1915" s="28" t="e">
        <f ca="1"/>
        <v>#REF!</v>
      </c>
      <c r="K1915" s="27" t="e">
        <f ca="1"/>
        <v>#REF!</v>
      </c>
      <c r="L1915" s="25" t="e">
        <f ca="1"/>
        <v>#REF!</v>
      </c>
      <c r="M1915" s="25" t="e">
        <f ca="1"/>
        <v>#REF!</v>
      </c>
      <c r="N1915" s="25" t="e">
        <f ca="1"/>
        <v>#REF!</v>
      </c>
      <c r="O1915" s="25" t="e">
        <f ca="1"/>
        <v>#REF!</v>
      </c>
      <c r="P1915" s="25" t="e">
        <f ca="1"/>
        <v>#REF!</v>
      </c>
      <c r="Q1915" s="25" t="e">
        <f ca="1"/>
        <v>#REF!</v>
      </c>
      <c r="R1915" s="25" t="e">
        <f ca="1"/>
        <v>#REF!</v>
      </c>
      <c r="S1915" s="25" t="e">
        <f ca="1"/>
        <v>#REF!</v>
      </c>
      <c r="T1915" s="25" t="e">
        <f ca="1"/>
        <v>#REF!</v>
      </c>
      <c r="U1915" s="25" t="e">
        <f ca="1"/>
        <v>#REF!</v>
      </c>
      <c r="V1915" s="25" t="e">
        <f ca="1"/>
        <v>#REF!</v>
      </c>
      <c r="W1915" s="33" t="e">
        <f ca="1"/>
        <v>#REF!</v>
      </c>
      <c r="X1915" s="33" t="e">
        <f ca="1"/>
        <v>#REF!</v>
      </c>
      <c r="Y1915" s="33" t="e">
        <f ca="1"/>
        <v>#REF!</v>
      </c>
      <c r="Z1915" s="33" t="e">
        <f ca="1"/>
        <v>#REF!</v>
      </c>
      <c r="AA1915" s="33" t="e">
        <f ca="1"/>
        <v>#REF!</v>
      </c>
    </row>
    <row r="1916" spans="1:27" s="70" customFormat="1" ht="11.25" x14ac:dyDescent="0.2">
      <c r="A1916" s="24">
        <v>1910</v>
      </c>
      <c r="B1916" s="27"/>
      <c r="C1916" s="28"/>
      <c r="D1916" s="71"/>
      <c r="E1916" s="28"/>
      <c r="F1916" s="25"/>
      <c r="G1916" s="27"/>
      <c r="H1916" s="28" t="e">
        <f ca="1"/>
        <v>#REF!</v>
      </c>
      <c r="I1916" s="27" t="e">
        <f ca="1"/>
        <v>#REF!</v>
      </c>
      <c r="J1916" s="28" t="e">
        <f ca="1"/>
        <v>#REF!</v>
      </c>
      <c r="K1916" s="27" t="e">
        <f ca="1"/>
        <v>#REF!</v>
      </c>
      <c r="L1916" s="25" t="e">
        <f ca="1"/>
        <v>#REF!</v>
      </c>
      <c r="M1916" s="25" t="e">
        <f ca="1"/>
        <v>#REF!</v>
      </c>
      <c r="N1916" s="25" t="e">
        <f ca="1"/>
        <v>#REF!</v>
      </c>
      <c r="O1916" s="25" t="e">
        <f ca="1"/>
        <v>#REF!</v>
      </c>
      <c r="P1916" s="25" t="e">
        <f ca="1"/>
        <v>#REF!</v>
      </c>
      <c r="Q1916" s="25" t="e">
        <f ca="1"/>
        <v>#REF!</v>
      </c>
      <c r="R1916" s="25" t="e">
        <f ca="1"/>
        <v>#REF!</v>
      </c>
      <c r="S1916" s="25" t="e">
        <f ca="1"/>
        <v>#REF!</v>
      </c>
      <c r="T1916" s="25" t="e">
        <f ca="1"/>
        <v>#REF!</v>
      </c>
      <c r="U1916" s="25" t="e">
        <f ca="1"/>
        <v>#REF!</v>
      </c>
      <c r="V1916" s="25" t="e">
        <f ca="1"/>
        <v>#REF!</v>
      </c>
      <c r="W1916" s="33" t="e">
        <f ca="1"/>
        <v>#REF!</v>
      </c>
      <c r="X1916" s="33" t="e">
        <f ca="1"/>
        <v>#REF!</v>
      </c>
      <c r="Y1916" s="33" t="e">
        <f ca="1"/>
        <v>#REF!</v>
      </c>
      <c r="Z1916" s="33" t="e">
        <f ca="1"/>
        <v>#REF!</v>
      </c>
      <c r="AA1916" s="33" t="e">
        <f ca="1"/>
        <v>#REF!</v>
      </c>
    </row>
    <row r="1917" spans="1:27" s="70" customFormat="1" ht="11.25" x14ac:dyDescent="0.2">
      <c r="A1917" s="24">
        <v>1911</v>
      </c>
      <c r="B1917" s="27"/>
      <c r="C1917" s="28"/>
      <c r="D1917" s="71"/>
      <c r="E1917" s="28"/>
      <c r="F1917" s="25"/>
      <c r="G1917" s="27"/>
      <c r="H1917" s="28" t="e">
        <f ca="1"/>
        <v>#REF!</v>
      </c>
      <c r="I1917" s="27" t="e">
        <f ca="1"/>
        <v>#REF!</v>
      </c>
      <c r="J1917" s="28" t="e">
        <f ca="1"/>
        <v>#REF!</v>
      </c>
      <c r="K1917" s="27" t="e">
        <f ca="1"/>
        <v>#REF!</v>
      </c>
      <c r="L1917" s="25" t="e">
        <f ca="1"/>
        <v>#REF!</v>
      </c>
      <c r="M1917" s="25" t="e">
        <f ca="1"/>
        <v>#REF!</v>
      </c>
      <c r="N1917" s="25" t="e">
        <f ca="1"/>
        <v>#REF!</v>
      </c>
      <c r="O1917" s="25" t="e">
        <f ca="1"/>
        <v>#REF!</v>
      </c>
      <c r="P1917" s="25" t="e">
        <f ca="1"/>
        <v>#REF!</v>
      </c>
      <c r="Q1917" s="25" t="e">
        <f ca="1"/>
        <v>#REF!</v>
      </c>
      <c r="R1917" s="25" t="e">
        <f ca="1"/>
        <v>#REF!</v>
      </c>
      <c r="S1917" s="25" t="e">
        <f ca="1"/>
        <v>#REF!</v>
      </c>
      <c r="T1917" s="25" t="e">
        <f ca="1"/>
        <v>#REF!</v>
      </c>
      <c r="U1917" s="25" t="e">
        <f ca="1"/>
        <v>#REF!</v>
      </c>
      <c r="V1917" s="25" t="e">
        <f ca="1"/>
        <v>#REF!</v>
      </c>
      <c r="W1917" s="33" t="e">
        <f ca="1"/>
        <v>#REF!</v>
      </c>
      <c r="X1917" s="33" t="e">
        <f ca="1"/>
        <v>#REF!</v>
      </c>
      <c r="Y1917" s="33" t="e">
        <f ca="1"/>
        <v>#REF!</v>
      </c>
      <c r="Z1917" s="33" t="e">
        <f ca="1"/>
        <v>#REF!</v>
      </c>
      <c r="AA1917" s="33" t="e">
        <f ca="1"/>
        <v>#REF!</v>
      </c>
    </row>
    <row r="1918" spans="1:27" s="70" customFormat="1" ht="11.25" x14ac:dyDescent="0.2">
      <c r="A1918" s="24">
        <v>1912</v>
      </c>
      <c r="B1918" s="27"/>
      <c r="C1918" s="28"/>
      <c r="D1918" s="71"/>
      <c r="E1918" s="28"/>
      <c r="F1918" s="25"/>
      <c r="G1918" s="27"/>
      <c r="H1918" s="28" t="e">
        <f ca="1"/>
        <v>#REF!</v>
      </c>
      <c r="I1918" s="27" t="e">
        <f ca="1"/>
        <v>#REF!</v>
      </c>
      <c r="J1918" s="28" t="e">
        <f ca="1"/>
        <v>#REF!</v>
      </c>
      <c r="K1918" s="27" t="e">
        <f ca="1"/>
        <v>#REF!</v>
      </c>
      <c r="L1918" s="25" t="e">
        <f ca="1"/>
        <v>#REF!</v>
      </c>
      <c r="M1918" s="25" t="e">
        <f ca="1"/>
        <v>#REF!</v>
      </c>
      <c r="N1918" s="25" t="e">
        <f ca="1"/>
        <v>#REF!</v>
      </c>
      <c r="O1918" s="25" t="e">
        <f ca="1"/>
        <v>#REF!</v>
      </c>
      <c r="P1918" s="25" t="e">
        <f ca="1"/>
        <v>#REF!</v>
      </c>
      <c r="Q1918" s="25" t="e">
        <f ca="1"/>
        <v>#REF!</v>
      </c>
      <c r="R1918" s="25" t="e">
        <f ca="1"/>
        <v>#REF!</v>
      </c>
      <c r="S1918" s="25" t="e">
        <f ca="1"/>
        <v>#REF!</v>
      </c>
      <c r="T1918" s="25" t="e">
        <f ca="1"/>
        <v>#REF!</v>
      </c>
      <c r="U1918" s="25" t="e">
        <f ca="1"/>
        <v>#REF!</v>
      </c>
      <c r="V1918" s="25" t="e">
        <f ca="1"/>
        <v>#REF!</v>
      </c>
      <c r="W1918" s="33" t="e">
        <f ca="1"/>
        <v>#REF!</v>
      </c>
      <c r="X1918" s="33" t="e">
        <f ca="1"/>
        <v>#REF!</v>
      </c>
      <c r="Y1918" s="33" t="e">
        <f ca="1"/>
        <v>#REF!</v>
      </c>
      <c r="Z1918" s="33" t="e">
        <f ca="1"/>
        <v>#REF!</v>
      </c>
      <c r="AA1918" s="33" t="e">
        <f ca="1"/>
        <v>#REF!</v>
      </c>
    </row>
    <row r="1919" spans="1:27" s="70" customFormat="1" ht="11.25" x14ac:dyDescent="0.2">
      <c r="A1919" s="24">
        <v>1913</v>
      </c>
      <c r="B1919" s="27"/>
      <c r="C1919" s="28"/>
      <c r="D1919" s="71"/>
      <c r="E1919" s="28"/>
      <c r="F1919" s="25"/>
      <c r="G1919" s="27"/>
      <c r="H1919" s="28" t="e">
        <f ca="1"/>
        <v>#REF!</v>
      </c>
      <c r="I1919" s="27" t="e">
        <f ca="1"/>
        <v>#REF!</v>
      </c>
      <c r="J1919" s="28" t="e">
        <f ca="1"/>
        <v>#REF!</v>
      </c>
      <c r="K1919" s="27" t="e">
        <f ca="1"/>
        <v>#REF!</v>
      </c>
      <c r="L1919" s="25" t="e">
        <f ca="1"/>
        <v>#REF!</v>
      </c>
      <c r="M1919" s="25" t="e">
        <f ca="1"/>
        <v>#REF!</v>
      </c>
      <c r="N1919" s="25" t="e">
        <f ca="1"/>
        <v>#REF!</v>
      </c>
      <c r="O1919" s="25" t="e">
        <f ca="1"/>
        <v>#REF!</v>
      </c>
      <c r="P1919" s="25" t="e">
        <f ca="1"/>
        <v>#REF!</v>
      </c>
      <c r="Q1919" s="25" t="e">
        <f ca="1"/>
        <v>#REF!</v>
      </c>
      <c r="R1919" s="25" t="e">
        <f ca="1"/>
        <v>#REF!</v>
      </c>
      <c r="S1919" s="25" t="e">
        <f ca="1"/>
        <v>#REF!</v>
      </c>
      <c r="T1919" s="25" t="e">
        <f ca="1"/>
        <v>#REF!</v>
      </c>
      <c r="U1919" s="25" t="e">
        <f ca="1"/>
        <v>#REF!</v>
      </c>
      <c r="V1919" s="25" t="e">
        <f ca="1"/>
        <v>#REF!</v>
      </c>
      <c r="W1919" s="33" t="e">
        <f ca="1"/>
        <v>#REF!</v>
      </c>
      <c r="X1919" s="33" t="e">
        <f ca="1"/>
        <v>#REF!</v>
      </c>
      <c r="Y1919" s="33" t="e">
        <f ca="1"/>
        <v>#REF!</v>
      </c>
      <c r="Z1919" s="33" t="e">
        <f ca="1"/>
        <v>#REF!</v>
      </c>
      <c r="AA1919" s="33" t="e">
        <f ca="1"/>
        <v>#REF!</v>
      </c>
    </row>
    <row r="1920" spans="1:27" s="70" customFormat="1" ht="11.25" x14ac:dyDescent="0.2">
      <c r="A1920" s="24">
        <v>1914</v>
      </c>
      <c r="B1920" s="27"/>
      <c r="C1920" s="28"/>
      <c r="D1920" s="71"/>
      <c r="E1920" s="28"/>
      <c r="F1920" s="25"/>
      <c r="G1920" s="27"/>
      <c r="H1920" s="28" t="e">
        <f ca="1"/>
        <v>#REF!</v>
      </c>
      <c r="I1920" s="27" t="e">
        <f ca="1"/>
        <v>#REF!</v>
      </c>
      <c r="J1920" s="28" t="e">
        <f ca="1"/>
        <v>#REF!</v>
      </c>
      <c r="K1920" s="27" t="e">
        <f ca="1"/>
        <v>#REF!</v>
      </c>
      <c r="L1920" s="25" t="e">
        <f ca="1"/>
        <v>#REF!</v>
      </c>
      <c r="M1920" s="25" t="e">
        <f ca="1"/>
        <v>#REF!</v>
      </c>
      <c r="N1920" s="25" t="e">
        <f ca="1"/>
        <v>#REF!</v>
      </c>
      <c r="O1920" s="25" t="e">
        <f ca="1"/>
        <v>#REF!</v>
      </c>
      <c r="P1920" s="25" t="e">
        <f ca="1"/>
        <v>#REF!</v>
      </c>
      <c r="Q1920" s="25" t="e">
        <f ca="1"/>
        <v>#REF!</v>
      </c>
      <c r="R1920" s="25" t="e">
        <f ca="1"/>
        <v>#REF!</v>
      </c>
      <c r="S1920" s="25" t="e">
        <f ca="1"/>
        <v>#REF!</v>
      </c>
      <c r="T1920" s="25" t="e">
        <f ca="1"/>
        <v>#REF!</v>
      </c>
      <c r="U1920" s="25" t="e">
        <f ca="1"/>
        <v>#REF!</v>
      </c>
      <c r="V1920" s="25" t="e">
        <f ca="1"/>
        <v>#REF!</v>
      </c>
      <c r="W1920" s="33" t="e">
        <f ca="1"/>
        <v>#REF!</v>
      </c>
      <c r="X1920" s="33" t="e">
        <f ca="1"/>
        <v>#REF!</v>
      </c>
      <c r="Y1920" s="33" t="e">
        <f ca="1"/>
        <v>#REF!</v>
      </c>
      <c r="Z1920" s="33" t="e">
        <f ca="1"/>
        <v>#REF!</v>
      </c>
      <c r="AA1920" s="33" t="e">
        <f ca="1"/>
        <v>#REF!</v>
      </c>
    </row>
    <row r="1921" spans="1:27" s="70" customFormat="1" ht="11.25" x14ac:dyDescent="0.2">
      <c r="A1921" s="24">
        <v>1915</v>
      </c>
      <c r="B1921" s="27"/>
      <c r="C1921" s="28"/>
      <c r="D1921" s="71"/>
      <c r="E1921" s="28"/>
      <c r="F1921" s="25"/>
      <c r="G1921" s="27"/>
      <c r="H1921" s="28" t="e">
        <f ca="1"/>
        <v>#REF!</v>
      </c>
      <c r="I1921" s="27" t="e">
        <f ca="1"/>
        <v>#REF!</v>
      </c>
      <c r="J1921" s="28" t="e">
        <f ca="1"/>
        <v>#REF!</v>
      </c>
      <c r="K1921" s="27" t="e">
        <f ca="1"/>
        <v>#REF!</v>
      </c>
      <c r="L1921" s="25" t="e">
        <f ca="1"/>
        <v>#REF!</v>
      </c>
      <c r="M1921" s="25" t="e">
        <f ca="1"/>
        <v>#REF!</v>
      </c>
      <c r="N1921" s="25" t="e">
        <f ca="1"/>
        <v>#REF!</v>
      </c>
      <c r="O1921" s="25" t="e">
        <f ca="1"/>
        <v>#REF!</v>
      </c>
      <c r="P1921" s="25" t="e">
        <f ca="1"/>
        <v>#REF!</v>
      </c>
      <c r="Q1921" s="25" t="e">
        <f ca="1"/>
        <v>#REF!</v>
      </c>
      <c r="R1921" s="25" t="e">
        <f ca="1"/>
        <v>#REF!</v>
      </c>
      <c r="S1921" s="25" t="e">
        <f ca="1"/>
        <v>#REF!</v>
      </c>
      <c r="T1921" s="25" t="e">
        <f ca="1"/>
        <v>#REF!</v>
      </c>
      <c r="U1921" s="25" t="e">
        <f ca="1"/>
        <v>#REF!</v>
      </c>
      <c r="V1921" s="25" t="e">
        <f ca="1"/>
        <v>#REF!</v>
      </c>
      <c r="W1921" s="33" t="e">
        <f ca="1"/>
        <v>#REF!</v>
      </c>
      <c r="X1921" s="33" t="e">
        <f ca="1"/>
        <v>#REF!</v>
      </c>
      <c r="Y1921" s="33" t="e">
        <f ca="1"/>
        <v>#REF!</v>
      </c>
      <c r="Z1921" s="33" t="e">
        <f ca="1"/>
        <v>#REF!</v>
      </c>
      <c r="AA1921" s="33" t="e">
        <f ca="1"/>
        <v>#REF!</v>
      </c>
    </row>
    <row r="1922" spans="1:27" s="70" customFormat="1" ht="11.25" x14ac:dyDescent="0.2">
      <c r="A1922" s="24">
        <v>1916</v>
      </c>
      <c r="B1922" s="27"/>
      <c r="C1922" s="28"/>
      <c r="D1922" s="71"/>
      <c r="E1922" s="28"/>
      <c r="F1922" s="25"/>
      <c r="G1922" s="27"/>
      <c r="H1922" s="28" t="e">
        <f ca="1"/>
        <v>#REF!</v>
      </c>
      <c r="I1922" s="27" t="e">
        <f ca="1"/>
        <v>#REF!</v>
      </c>
      <c r="J1922" s="28" t="e">
        <f ca="1"/>
        <v>#REF!</v>
      </c>
      <c r="K1922" s="27" t="e">
        <f ca="1"/>
        <v>#REF!</v>
      </c>
      <c r="L1922" s="25" t="e">
        <f ca="1"/>
        <v>#REF!</v>
      </c>
      <c r="M1922" s="25" t="e">
        <f ca="1"/>
        <v>#REF!</v>
      </c>
      <c r="N1922" s="25" t="e">
        <f ca="1"/>
        <v>#REF!</v>
      </c>
      <c r="O1922" s="25" t="e">
        <f ca="1"/>
        <v>#REF!</v>
      </c>
      <c r="P1922" s="25" t="e">
        <f ca="1"/>
        <v>#REF!</v>
      </c>
      <c r="Q1922" s="25" t="e">
        <f ca="1"/>
        <v>#REF!</v>
      </c>
      <c r="R1922" s="25" t="e">
        <f ca="1"/>
        <v>#REF!</v>
      </c>
      <c r="S1922" s="25" t="e">
        <f ca="1"/>
        <v>#REF!</v>
      </c>
      <c r="T1922" s="25" t="e">
        <f ca="1"/>
        <v>#REF!</v>
      </c>
      <c r="U1922" s="25" t="e">
        <f ca="1"/>
        <v>#REF!</v>
      </c>
      <c r="V1922" s="25" t="e">
        <f ca="1"/>
        <v>#REF!</v>
      </c>
      <c r="W1922" s="33" t="e">
        <f ca="1"/>
        <v>#REF!</v>
      </c>
      <c r="X1922" s="33" t="e">
        <f ca="1"/>
        <v>#REF!</v>
      </c>
      <c r="Y1922" s="33" t="e">
        <f ca="1"/>
        <v>#REF!</v>
      </c>
      <c r="Z1922" s="33" t="e">
        <f ca="1"/>
        <v>#REF!</v>
      </c>
      <c r="AA1922" s="33" t="e">
        <f ca="1"/>
        <v>#REF!</v>
      </c>
    </row>
    <row r="1923" spans="1:27" s="70" customFormat="1" ht="11.25" x14ac:dyDescent="0.2">
      <c r="A1923" s="24">
        <v>1917</v>
      </c>
      <c r="B1923" s="27"/>
      <c r="C1923" s="28"/>
      <c r="D1923" s="71"/>
      <c r="E1923" s="28"/>
      <c r="F1923" s="25"/>
      <c r="G1923" s="27"/>
      <c r="H1923" s="28" t="e">
        <f ca="1"/>
        <v>#REF!</v>
      </c>
      <c r="I1923" s="27" t="e">
        <f ca="1"/>
        <v>#REF!</v>
      </c>
      <c r="J1923" s="28" t="e">
        <f ca="1"/>
        <v>#REF!</v>
      </c>
      <c r="K1923" s="27" t="e">
        <f ca="1"/>
        <v>#REF!</v>
      </c>
      <c r="L1923" s="25" t="e">
        <f ca="1"/>
        <v>#REF!</v>
      </c>
      <c r="M1923" s="25" t="e">
        <f ca="1"/>
        <v>#REF!</v>
      </c>
      <c r="N1923" s="25" t="e">
        <f ca="1"/>
        <v>#REF!</v>
      </c>
      <c r="O1923" s="25" t="e">
        <f ca="1"/>
        <v>#REF!</v>
      </c>
      <c r="P1923" s="25" t="e">
        <f ca="1"/>
        <v>#REF!</v>
      </c>
      <c r="Q1923" s="25" t="e">
        <f ca="1"/>
        <v>#REF!</v>
      </c>
      <c r="R1923" s="25" t="e">
        <f ca="1"/>
        <v>#REF!</v>
      </c>
      <c r="S1923" s="25" t="e">
        <f ca="1"/>
        <v>#REF!</v>
      </c>
      <c r="T1923" s="25" t="e">
        <f ca="1"/>
        <v>#REF!</v>
      </c>
      <c r="U1923" s="25" t="e">
        <f ca="1"/>
        <v>#REF!</v>
      </c>
      <c r="V1923" s="25" t="e">
        <f ca="1"/>
        <v>#REF!</v>
      </c>
      <c r="W1923" s="33" t="e">
        <f ca="1"/>
        <v>#REF!</v>
      </c>
      <c r="X1923" s="33" t="e">
        <f ca="1"/>
        <v>#REF!</v>
      </c>
      <c r="Y1923" s="33" t="e">
        <f ca="1"/>
        <v>#REF!</v>
      </c>
      <c r="Z1923" s="33" t="e">
        <f ca="1"/>
        <v>#REF!</v>
      </c>
      <c r="AA1923" s="33" t="e">
        <f ca="1"/>
        <v>#REF!</v>
      </c>
    </row>
    <row r="1924" spans="1:27" s="70" customFormat="1" ht="11.25" x14ac:dyDescent="0.2">
      <c r="A1924" s="24">
        <v>1918</v>
      </c>
      <c r="B1924" s="27"/>
      <c r="C1924" s="28"/>
      <c r="D1924" s="71"/>
      <c r="E1924" s="28"/>
      <c r="F1924" s="25"/>
      <c r="G1924" s="27"/>
      <c r="H1924" s="28" t="e">
        <f ca="1"/>
        <v>#REF!</v>
      </c>
      <c r="I1924" s="27" t="e">
        <f ca="1"/>
        <v>#REF!</v>
      </c>
      <c r="J1924" s="28" t="e">
        <f ca="1"/>
        <v>#REF!</v>
      </c>
      <c r="K1924" s="27" t="e">
        <f ca="1"/>
        <v>#REF!</v>
      </c>
      <c r="L1924" s="25" t="e">
        <f ca="1"/>
        <v>#REF!</v>
      </c>
      <c r="M1924" s="25" t="e">
        <f ca="1"/>
        <v>#REF!</v>
      </c>
      <c r="N1924" s="25" t="e">
        <f ca="1"/>
        <v>#REF!</v>
      </c>
      <c r="O1924" s="25" t="e">
        <f ca="1"/>
        <v>#REF!</v>
      </c>
      <c r="P1924" s="25" t="e">
        <f ca="1"/>
        <v>#REF!</v>
      </c>
      <c r="Q1924" s="25" t="e">
        <f ca="1"/>
        <v>#REF!</v>
      </c>
      <c r="R1924" s="25" t="e">
        <f ca="1"/>
        <v>#REF!</v>
      </c>
      <c r="S1924" s="25" t="e">
        <f ca="1"/>
        <v>#REF!</v>
      </c>
      <c r="T1924" s="25" t="e">
        <f ca="1"/>
        <v>#REF!</v>
      </c>
      <c r="U1924" s="25" t="e">
        <f ca="1"/>
        <v>#REF!</v>
      </c>
      <c r="V1924" s="25" t="e">
        <f ca="1"/>
        <v>#REF!</v>
      </c>
      <c r="W1924" s="33" t="e">
        <f ca="1"/>
        <v>#REF!</v>
      </c>
      <c r="X1924" s="33" t="e">
        <f ca="1"/>
        <v>#REF!</v>
      </c>
      <c r="Y1924" s="33" t="e">
        <f ca="1"/>
        <v>#REF!</v>
      </c>
      <c r="Z1924" s="33" t="e">
        <f ca="1"/>
        <v>#REF!</v>
      </c>
      <c r="AA1924" s="33" t="e">
        <f ca="1"/>
        <v>#REF!</v>
      </c>
    </row>
    <row r="1925" spans="1:27" s="70" customFormat="1" ht="11.25" x14ac:dyDescent="0.2">
      <c r="A1925" s="24">
        <v>1919</v>
      </c>
      <c r="B1925" s="27"/>
      <c r="C1925" s="28"/>
      <c r="D1925" s="71"/>
      <c r="E1925" s="28"/>
      <c r="F1925" s="25"/>
      <c r="G1925" s="27"/>
      <c r="H1925" s="28" t="e">
        <f ca="1"/>
        <v>#REF!</v>
      </c>
      <c r="I1925" s="27" t="e">
        <f ca="1"/>
        <v>#REF!</v>
      </c>
      <c r="J1925" s="28" t="e">
        <f ca="1"/>
        <v>#REF!</v>
      </c>
      <c r="K1925" s="27" t="e">
        <f ca="1"/>
        <v>#REF!</v>
      </c>
      <c r="L1925" s="25" t="e">
        <f ca="1"/>
        <v>#REF!</v>
      </c>
      <c r="M1925" s="25" t="e">
        <f ca="1"/>
        <v>#REF!</v>
      </c>
      <c r="N1925" s="25" t="e">
        <f ca="1"/>
        <v>#REF!</v>
      </c>
      <c r="O1925" s="25" t="e">
        <f ca="1"/>
        <v>#REF!</v>
      </c>
      <c r="P1925" s="25" t="e">
        <f ca="1"/>
        <v>#REF!</v>
      </c>
      <c r="Q1925" s="25" t="e">
        <f ca="1"/>
        <v>#REF!</v>
      </c>
      <c r="R1925" s="25" t="e">
        <f ca="1"/>
        <v>#REF!</v>
      </c>
      <c r="S1925" s="25" t="e">
        <f ca="1"/>
        <v>#REF!</v>
      </c>
      <c r="T1925" s="25" t="e">
        <f ca="1"/>
        <v>#REF!</v>
      </c>
      <c r="U1925" s="25" t="e">
        <f ca="1"/>
        <v>#REF!</v>
      </c>
      <c r="V1925" s="25" t="e">
        <f ca="1"/>
        <v>#REF!</v>
      </c>
      <c r="W1925" s="33" t="e">
        <f ca="1"/>
        <v>#REF!</v>
      </c>
      <c r="X1925" s="33" t="e">
        <f ca="1"/>
        <v>#REF!</v>
      </c>
      <c r="Y1925" s="33" t="e">
        <f ca="1"/>
        <v>#REF!</v>
      </c>
      <c r="Z1925" s="33" t="e">
        <f ca="1"/>
        <v>#REF!</v>
      </c>
      <c r="AA1925" s="33" t="e">
        <f ca="1"/>
        <v>#REF!</v>
      </c>
    </row>
    <row r="1926" spans="1:27" s="70" customFormat="1" ht="11.25" x14ac:dyDescent="0.2">
      <c r="A1926" s="24">
        <v>1920</v>
      </c>
      <c r="B1926" s="27"/>
      <c r="C1926" s="28"/>
      <c r="D1926" s="71"/>
      <c r="E1926" s="28"/>
      <c r="F1926" s="25"/>
      <c r="G1926" s="27"/>
      <c r="H1926" s="28" t="e">
        <f ca="1"/>
        <v>#REF!</v>
      </c>
      <c r="I1926" s="27" t="e">
        <f ca="1"/>
        <v>#REF!</v>
      </c>
      <c r="J1926" s="28" t="e">
        <f ca="1"/>
        <v>#REF!</v>
      </c>
      <c r="K1926" s="27" t="e">
        <f ca="1"/>
        <v>#REF!</v>
      </c>
      <c r="L1926" s="25" t="e">
        <f ca="1"/>
        <v>#REF!</v>
      </c>
      <c r="M1926" s="25" t="e">
        <f ca="1"/>
        <v>#REF!</v>
      </c>
      <c r="N1926" s="25" t="e">
        <f ca="1"/>
        <v>#REF!</v>
      </c>
      <c r="O1926" s="25" t="e">
        <f ca="1"/>
        <v>#REF!</v>
      </c>
      <c r="P1926" s="25" t="e">
        <f ca="1"/>
        <v>#REF!</v>
      </c>
      <c r="Q1926" s="25" t="e">
        <f ca="1"/>
        <v>#REF!</v>
      </c>
      <c r="R1926" s="25" t="e">
        <f ca="1"/>
        <v>#REF!</v>
      </c>
      <c r="S1926" s="25" t="e">
        <f ca="1"/>
        <v>#REF!</v>
      </c>
      <c r="T1926" s="25" t="e">
        <f ca="1"/>
        <v>#REF!</v>
      </c>
      <c r="U1926" s="25" t="e">
        <f ca="1"/>
        <v>#REF!</v>
      </c>
      <c r="V1926" s="25" t="e">
        <f ca="1"/>
        <v>#REF!</v>
      </c>
      <c r="W1926" s="33" t="e">
        <f ca="1"/>
        <v>#REF!</v>
      </c>
      <c r="X1926" s="33" t="e">
        <f ca="1"/>
        <v>#REF!</v>
      </c>
      <c r="Y1926" s="33" t="e">
        <f ca="1"/>
        <v>#REF!</v>
      </c>
      <c r="Z1926" s="33" t="e">
        <f ca="1"/>
        <v>#REF!</v>
      </c>
      <c r="AA1926" s="33" t="e">
        <f ca="1"/>
        <v>#REF!</v>
      </c>
    </row>
    <row r="1927" spans="1:27" s="70" customFormat="1" ht="11.25" x14ac:dyDescent="0.2">
      <c r="A1927" s="24">
        <v>1921</v>
      </c>
      <c r="B1927" s="27"/>
      <c r="C1927" s="28"/>
      <c r="D1927" s="71"/>
      <c r="E1927" s="28"/>
      <c r="F1927" s="25"/>
      <c r="G1927" s="27"/>
      <c r="H1927" s="28" t="e">
        <f ca="1"/>
        <v>#REF!</v>
      </c>
      <c r="I1927" s="27" t="e">
        <f ca="1"/>
        <v>#REF!</v>
      </c>
      <c r="J1927" s="28" t="e">
        <f ca="1"/>
        <v>#REF!</v>
      </c>
      <c r="K1927" s="27" t="e">
        <f ca="1"/>
        <v>#REF!</v>
      </c>
      <c r="L1927" s="25" t="e">
        <f ca="1"/>
        <v>#REF!</v>
      </c>
      <c r="M1927" s="25" t="e">
        <f ca="1"/>
        <v>#REF!</v>
      </c>
      <c r="N1927" s="25" t="e">
        <f ca="1"/>
        <v>#REF!</v>
      </c>
      <c r="O1927" s="25" t="e">
        <f ca="1"/>
        <v>#REF!</v>
      </c>
      <c r="P1927" s="25" t="e">
        <f ca="1"/>
        <v>#REF!</v>
      </c>
      <c r="Q1927" s="25" t="e">
        <f ca="1"/>
        <v>#REF!</v>
      </c>
      <c r="R1927" s="25" t="e">
        <f ca="1"/>
        <v>#REF!</v>
      </c>
      <c r="S1927" s="25" t="e">
        <f ca="1"/>
        <v>#REF!</v>
      </c>
      <c r="T1927" s="25" t="e">
        <f ca="1"/>
        <v>#REF!</v>
      </c>
      <c r="U1927" s="25" t="e">
        <f ca="1"/>
        <v>#REF!</v>
      </c>
      <c r="V1927" s="25" t="e">
        <f ca="1"/>
        <v>#REF!</v>
      </c>
      <c r="W1927" s="33" t="e">
        <f ca="1"/>
        <v>#REF!</v>
      </c>
      <c r="X1927" s="33" t="e">
        <f ca="1"/>
        <v>#REF!</v>
      </c>
      <c r="Y1927" s="33" t="e">
        <f ca="1"/>
        <v>#REF!</v>
      </c>
      <c r="Z1927" s="33" t="e">
        <f ca="1"/>
        <v>#REF!</v>
      </c>
      <c r="AA1927" s="33" t="e">
        <f ca="1"/>
        <v>#REF!</v>
      </c>
    </row>
    <row r="1928" spans="1:27" s="70" customFormat="1" ht="11.25" x14ac:dyDescent="0.2">
      <c r="A1928" s="24">
        <v>1922</v>
      </c>
      <c r="B1928" s="27"/>
      <c r="C1928" s="28"/>
      <c r="D1928" s="71"/>
      <c r="E1928" s="28"/>
      <c r="F1928" s="25"/>
      <c r="G1928" s="27"/>
      <c r="H1928" s="28" t="e">
        <f ca="1"/>
        <v>#REF!</v>
      </c>
      <c r="I1928" s="27" t="e">
        <f ca="1"/>
        <v>#REF!</v>
      </c>
      <c r="J1928" s="28" t="e">
        <f ca="1"/>
        <v>#REF!</v>
      </c>
      <c r="K1928" s="27" t="e">
        <f ca="1"/>
        <v>#REF!</v>
      </c>
      <c r="L1928" s="25" t="e">
        <f ca="1"/>
        <v>#REF!</v>
      </c>
      <c r="M1928" s="25" t="e">
        <f ca="1"/>
        <v>#REF!</v>
      </c>
      <c r="N1928" s="25" t="e">
        <f ca="1"/>
        <v>#REF!</v>
      </c>
      <c r="O1928" s="25" t="e">
        <f ca="1"/>
        <v>#REF!</v>
      </c>
      <c r="P1928" s="25" t="e">
        <f ca="1"/>
        <v>#REF!</v>
      </c>
      <c r="Q1928" s="25" t="e">
        <f ca="1"/>
        <v>#REF!</v>
      </c>
      <c r="R1928" s="25" t="e">
        <f ca="1"/>
        <v>#REF!</v>
      </c>
      <c r="S1928" s="25" t="e">
        <f ca="1"/>
        <v>#REF!</v>
      </c>
      <c r="T1928" s="25" t="e">
        <f ca="1"/>
        <v>#REF!</v>
      </c>
      <c r="U1928" s="25" t="e">
        <f ca="1"/>
        <v>#REF!</v>
      </c>
      <c r="V1928" s="25" t="e">
        <f ca="1"/>
        <v>#REF!</v>
      </c>
      <c r="W1928" s="33" t="e">
        <f ca="1"/>
        <v>#REF!</v>
      </c>
      <c r="X1928" s="33" t="e">
        <f ca="1"/>
        <v>#REF!</v>
      </c>
      <c r="Y1928" s="33" t="e">
        <f ca="1"/>
        <v>#REF!</v>
      </c>
      <c r="Z1928" s="33" t="e">
        <f ca="1"/>
        <v>#REF!</v>
      </c>
      <c r="AA1928" s="33" t="e">
        <f ca="1"/>
        <v>#REF!</v>
      </c>
    </row>
    <row r="1929" spans="1:27" s="70" customFormat="1" ht="11.25" x14ac:dyDescent="0.2">
      <c r="A1929" s="24">
        <v>1923</v>
      </c>
      <c r="B1929" s="27"/>
      <c r="C1929" s="28"/>
      <c r="D1929" s="71"/>
      <c r="E1929" s="28"/>
      <c r="F1929" s="25"/>
      <c r="G1929" s="27"/>
      <c r="H1929" s="28" t="e">
        <f ca="1"/>
        <v>#REF!</v>
      </c>
      <c r="I1929" s="27" t="e">
        <f ca="1"/>
        <v>#REF!</v>
      </c>
      <c r="J1929" s="28" t="e">
        <f ca="1"/>
        <v>#REF!</v>
      </c>
      <c r="K1929" s="27" t="e">
        <f ca="1"/>
        <v>#REF!</v>
      </c>
      <c r="L1929" s="25" t="e">
        <f ca="1"/>
        <v>#REF!</v>
      </c>
      <c r="M1929" s="25" t="e">
        <f ca="1"/>
        <v>#REF!</v>
      </c>
      <c r="N1929" s="25" t="e">
        <f ca="1"/>
        <v>#REF!</v>
      </c>
      <c r="O1929" s="25" t="e">
        <f ca="1"/>
        <v>#REF!</v>
      </c>
      <c r="P1929" s="25" t="e">
        <f ca="1"/>
        <v>#REF!</v>
      </c>
      <c r="Q1929" s="25" t="e">
        <f ca="1"/>
        <v>#REF!</v>
      </c>
      <c r="R1929" s="25" t="e">
        <f ca="1"/>
        <v>#REF!</v>
      </c>
      <c r="S1929" s="25" t="e">
        <f ca="1"/>
        <v>#REF!</v>
      </c>
      <c r="T1929" s="25" t="e">
        <f ca="1"/>
        <v>#REF!</v>
      </c>
      <c r="U1929" s="25" t="e">
        <f ca="1"/>
        <v>#REF!</v>
      </c>
      <c r="V1929" s="25" t="e">
        <f ca="1"/>
        <v>#REF!</v>
      </c>
      <c r="W1929" s="33" t="e">
        <f ca="1"/>
        <v>#REF!</v>
      </c>
      <c r="X1929" s="33" t="e">
        <f ca="1"/>
        <v>#REF!</v>
      </c>
      <c r="Y1929" s="33" t="e">
        <f ca="1"/>
        <v>#REF!</v>
      </c>
      <c r="Z1929" s="33" t="e">
        <f ca="1"/>
        <v>#REF!</v>
      </c>
      <c r="AA1929" s="33" t="e">
        <f ca="1"/>
        <v>#REF!</v>
      </c>
    </row>
    <row r="1930" spans="1:27" s="70" customFormat="1" ht="11.25" x14ac:dyDescent="0.2">
      <c r="A1930" s="24">
        <v>1924</v>
      </c>
      <c r="B1930" s="27"/>
      <c r="C1930" s="28"/>
      <c r="D1930" s="71"/>
      <c r="E1930" s="28"/>
      <c r="F1930" s="25"/>
      <c r="G1930" s="27"/>
      <c r="H1930" s="28" t="e">
        <f ca="1"/>
        <v>#REF!</v>
      </c>
      <c r="I1930" s="27" t="e">
        <f ca="1"/>
        <v>#REF!</v>
      </c>
      <c r="J1930" s="28" t="e">
        <f ca="1"/>
        <v>#REF!</v>
      </c>
      <c r="K1930" s="27" t="e">
        <f ca="1"/>
        <v>#REF!</v>
      </c>
      <c r="L1930" s="25" t="e">
        <f ca="1"/>
        <v>#REF!</v>
      </c>
      <c r="M1930" s="25" t="e">
        <f ca="1"/>
        <v>#REF!</v>
      </c>
      <c r="N1930" s="25" t="e">
        <f ca="1"/>
        <v>#REF!</v>
      </c>
      <c r="O1930" s="25" t="e">
        <f ca="1"/>
        <v>#REF!</v>
      </c>
      <c r="P1930" s="25" t="e">
        <f ca="1"/>
        <v>#REF!</v>
      </c>
      <c r="Q1930" s="25" t="e">
        <f ca="1"/>
        <v>#REF!</v>
      </c>
      <c r="R1930" s="25" t="e">
        <f ca="1"/>
        <v>#REF!</v>
      </c>
      <c r="S1930" s="25" t="e">
        <f ca="1"/>
        <v>#REF!</v>
      </c>
      <c r="T1930" s="25" t="e">
        <f ca="1"/>
        <v>#REF!</v>
      </c>
      <c r="U1930" s="25" t="e">
        <f ca="1"/>
        <v>#REF!</v>
      </c>
      <c r="V1930" s="25" t="e">
        <f ca="1"/>
        <v>#REF!</v>
      </c>
      <c r="W1930" s="33" t="e">
        <f ca="1"/>
        <v>#REF!</v>
      </c>
      <c r="X1930" s="33" t="e">
        <f ca="1"/>
        <v>#REF!</v>
      </c>
      <c r="Y1930" s="33" t="e">
        <f ca="1"/>
        <v>#REF!</v>
      </c>
      <c r="Z1930" s="33" t="e">
        <f ca="1"/>
        <v>#REF!</v>
      </c>
      <c r="AA1930" s="33" t="e">
        <f ca="1"/>
        <v>#REF!</v>
      </c>
    </row>
    <row r="1931" spans="1:27" s="70" customFormat="1" ht="11.25" x14ac:dyDescent="0.2">
      <c r="A1931" s="24">
        <v>1925</v>
      </c>
      <c r="B1931" s="27"/>
      <c r="C1931" s="28"/>
      <c r="D1931" s="71"/>
      <c r="E1931" s="28"/>
      <c r="F1931" s="25"/>
      <c r="G1931" s="27"/>
      <c r="H1931" s="28" t="e">
        <f ca="1"/>
        <v>#REF!</v>
      </c>
      <c r="I1931" s="27" t="e">
        <f ca="1"/>
        <v>#REF!</v>
      </c>
      <c r="J1931" s="28" t="e">
        <f ca="1"/>
        <v>#REF!</v>
      </c>
      <c r="K1931" s="27" t="e">
        <f ca="1"/>
        <v>#REF!</v>
      </c>
      <c r="L1931" s="25" t="e">
        <f ca="1"/>
        <v>#REF!</v>
      </c>
      <c r="M1931" s="25" t="e">
        <f ca="1"/>
        <v>#REF!</v>
      </c>
      <c r="N1931" s="25" t="e">
        <f ca="1"/>
        <v>#REF!</v>
      </c>
      <c r="O1931" s="25" t="e">
        <f ca="1"/>
        <v>#REF!</v>
      </c>
      <c r="P1931" s="25" t="e">
        <f ca="1"/>
        <v>#REF!</v>
      </c>
      <c r="Q1931" s="25" t="e">
        <f ca="1"/>
        <v>#REF!</v>
      </c>
      <c r="R1931" s="25" t="e">
        <f ca="1"/>
        <v>#REF!</v>
      </c>
      <c r="S1931" s="25" t="e">
        <f ca="1"/>
        <v>#REF!</v>
      </c>
      <c r="T1931" s="25" t="e">
        <f ca="1"/>
        <v>#REF!</v>
      </c>
      <c r="U1931" s="25" t="e">
        <f ca="1"/>
        <v>#REF!</v>
      </c>
      <c r="V1931" s="25" t="e">
        <f ca="1"/>
        <v>#REF!</v>
      </c>
      <c r="W1931" s="33" t="e">
        <f ca="1"/>
        <v>#REF!</v>
      </c>
      <c r="X1931" s="33" t="e">
        <f ca="1"/>
        <v>#REF!</v>
      </c>
      <c r="Y1931" s="33" t="e">
        <f ca="1"/>
        <v>#REF!</v>
      </c>
      <c r="Z1931" s="33" t="e">
        <f ca="1"/>
        <v>#REF!</v>
      </c>
      <c r="AA1931" s="33" t="e">
        <f ca="1"/>
        <v>#REF!</v>
      </c>
    </row>
    <row r="1932" spans="1:27" s="70" customFormat="1" ht="11.25" x14ac:dyDescent="0.2">
      <c r="A1932" s="24">
        <v>1926</v>
      </c>
      <c r="B1932" s="27"/>
      <c r="C1932" s="28"/>
      <c r="D1932" s="71"/>
      <c r="E1932" s="28"/>
      <c r="F1932" s="25"/>
      <c r="G1932" s="27"/>
      <c r="H1932" s="28" t="e">
        <f ca="1"/>
        <v>#REF!</v>
      </c>
      <c r="I1932" s="27" t="e">
        <f ca="1"/>
        <v>#REF!</v>
      </c>
      <c r="J1932" s="28" t="e">
        <f ca="1"/>
        <v>#REF!</v>
      </c>
      <c r="K1932" s="27" t="e">
        <f ca="1"/>
        <v>#REF!</v>
      </c>
      <c r="L1932" s="25" t="e">
        <f ca="1"/>
        <v>#REF!</v>
      </c>
      <c r="M1932" s="25" t="e">
        <f ca="1"/>
        <v>#REF!</v>
      </c>
      <c r="N1932" s="25" t="e">
        <f ca="1"/>
        <v>#REF!</v>
      </c>
      <c r="O1932" s="25" t="e">
        <f ca="1"/>
        <v>#REF!</v>
      </c>
      <c r="P1932" s="25" t="e">
        <f ca="1"/>
        <v>#REF!</v>
      </c>
      <c r="Q1932" s="25" t="e">
        <f ca="1"/>
        <v>#REF!</v>
      </c>
      <c r="R1932" s="25" t="e">
        <f ca="1"/>
        <v>#REF!</v>
      </c>
      <c r="S1932" s="25" t="e">
        <f ca="1"/>
        <v>#REF!</v>
      </c>
      <c r="T1932" s="25" t="e">
        <f ca="1"/>
        <v>#REF!</v>
      </c>
      <c r="U1932" s="25" t="e">
        <f ca="1"/>
        <v>#REF!</v>
      </c>
      <c r="V1932" s="25" t="e">
        <f ca="1"/>
        <v>#REF!</v>
      </c>
      <c r="W1932" s="33" t="e">
        <f ca="1"/>
        <v>#REF!</v>
      </c>
      <c r="X1932" s="33" t="e">
        <f ca="1"/>
        <v>#REF!</v>
      </c>
      <c r="Y1932" s="33" t="e">
        <f ca="1"/>
        <v>#REF!</v>
      </c>
      <c r="Z1932" s="33" t="e">
        <f ca="1"/>
        <v>#REF!</v>
      </c>
      <c r="AA1932" s="33" t="e">
        <f ca="1"/>
        <v>#REF!</v>
      </c>
    </row>
    <row r="1933" spans="1:27" s="70" customFormat="1" ht="11.25" x14ac:dyDescent="0.2">
      <c r="A1933" s="24">
        <v>1927</v>
      </c>
      <c r="B1933" s="27"/>
      <c r="C1933" s="28"/>
      <c r="D1933" s="71"/>
      <c r="E1933" s="28"/>
      <c r="F1933" s="25"/>
      <c r="G1933" s="27"/>
      <c r="H1933" s="28" t="e">
        <f ca="1"/>
        <v>#REF!</v>
      </c>
      <c r="I1933" s="27" t="e">
        <f ca="1"/>
        <v>#REF!</v>
      </c>
      <c r="J1933" s="28" t="e">
        <f ca="1"/>
        <v>#REF!</v>
      </c>
      <c r="K1933" s="27" t="e">
        <f ca="1"/>
        <v>#REF!</v>
      </c>
      <c r="L1933" s="25" t="e">
        <f ca="1"/>
        <v>#REF!</v>
      </c>
      <c r="M1933" s="25" t="e">
        <f ca="1"/>
        <v>#REF!</v>
      </c>
      <c r="N1933" s="25" t="e">
        <f ca="1"/>
        <v>#REF!</v>
      </c>
      <c r="O1933" s="25" t="e">
        <f ca="1"/>
        <v>#REF!</v>
      </c>
      <c r="P1933" s="25" t="e">
        <f ca="1"/>
        <v>#REF!</v>
      </c>
      <c r="Q1933" s="25" t="e">
        <f ca="1"/>
        <v>#REF!</v>
      </c>
      <c r="R1933" s="25" t="e">
        <f ca="1"/>
        <v>#REF!</v>
      </c>
      <c r="S1933" s="25" t="e">
        <f ca="1"/>
        <v>#REF!</v>
      </c>
      <c r="T1933" s="25" t="e">
        <f ca="1"/>
        <v>#REF!</v>
      </c>
      <c r="U1933" s="25" t="e">
        <f ca="1"/>
        <v>#REF!</v>
      </c>
      <c r="V1933" s="25" t="e">
        <f ca="1"/>
        <v>#REF!</v>
      </c>
      <c r="W1933" s="33" t="e">
        <f ca="1"/>
        <v>#REF!</v>
      </c>
      <c r="X1933" s="33" t="e">
        <f ca="1"/>
        <v>#REF!</v>
      </c>
      <c r="Y1933" s="33" t="e">
        <f ca="1"/>
        <v>#REF!</v>
      </c>
      <c r="Z1933" s="33" t="e">
        <f ca="1"/>
        <v>#REF!</v>
      </c>
      <c r="AA1933" s="33" t="e">
        <f ca="1"/>
        <v>#REF!</v>
      </c>
    </row>
    <row r="1934" spans="1:27" s="70" customFormat="1" ht="11.25" x14ac:dyDescent="0.2">
      <c r="A1934" s="24">
        <v>1928</v>
      </c>
      <c r="B1934" s="27"/>
      <c r="C1934" s="28"/>
      <c r="D1934" s="71"/>
      <c r="E1934" s="28"/>
      <c r="F1934" s="25"/>
      <c r="G1934" s="27"/>
      <c r="H1934" s="28" t="e">
        <f ca="1"/>
        <v>#REF!</v>
      </c>
      <c r="I1934" s="27" t="e">
        <f ca="1"/>
        <v>#REF!</v>
      </c>
      <c r="J1934" s="28" t="e">
        <f ca="1"/>
        <v>#REF!</v>
      </c>
      <c r="K1934" s="27" t="e">
        <f ca="1"/>
        <v>#REF!</v>
      </c>
      <c r="L1934" s="25" t="e">
        <f ca="1"/>
        <v>#REF!</v>
      </c>
      <c r="M1934" s="25" t="e">
        <f ca="1"/>
        <v>#REF!</v>
      </c>
      <c r="N1934" s="25" t="e">
        <f ca="1"/>
        <v>#REF!</v>
      </c>
      <c r="O1934" s="25" t="e">
        <f ca="1"/>
        <v>#REF!</v>
      </c>
      <c r="P1934" s="25" t="e">
        <f ca="1"/>
        <v>#REF!</v>
      </c>
      <c r="Q1934" s="25" t="e">
        <f ca="1"/>
        <v>#REF!</v>
      </c>
      <c r="R1934" s="25" t="e">
        <f ca="1"/>
        <v>#REF!</v>
      </c>
      <c r="S1934" s="25" t="e">
        <f ca="1"/>
        <v>#REF!</v>
      </c>
      <c r="T1934" s="25" t="e">
        <f ca="1"/>
        <v>#REF!</v>
      </c>
      <c r="U1934" s="25" t="e">
        <f ca="1"/>
        <v>#REF!</v>
      </c>
      <c r="V1934" s="25" t="e">
        <f ca="1"/>
        <v>#REF!</v>
      </c>
      <c r="W1934" s="33" t="e">
        <f ca="1"/>
        <v>#REF!</v>
      </c>
      <c r="X1934" s="33" t="e">
        <f ca="1"/>
        <v>#REF!</v>
      </c>
      <c r="Y1934" s="33" t="e">
        <f ca="1"/>
        <v>#REF!</v>
      </c>
      <c r="Z1934" s="33" t="e">
        <f ca="1"/>
        <v>#REF!</v>
      </c>
      <c r="AA1934" s="33" t="e">
        <f ca="1"/>
        <v>#REF!</v>
      </c>
    </row>
    <row r="1935" spans="1:27" s="70" customFormat="1" ht="11.25" x14ac:dyDescent="0.2">
      <c r="A1935" s="24">
        <v>1929</v>
      </c>
      <c r="B1935" s="27"/>
      <c r="C1935" s="28"/>
      <c r="D1935" s="71"/>
      <c r="E1935" s="28"/>
      <c r="F1935" s="25"/>
      <c r="G1935" s="27"/>
      <c r="H1935" s="28" t="e">
        <f ca="1"/>
        <v>#REF!</v>
      </c>
      <c r="I1935" s="27" t="e">
        <f ca="1"/>
        <v>#REF!</v>
      </c>
      <c r="J1935" s="28" t="e">
        <f ca="1"/>
        <v>#REF!</v>
      </c>
      <c r="K1935" s="27" t="e">
        <f ca="1"/>
        <v>#REF!</v>
      </c>
      <c r="L1935" s="25" t="e">
        <f ca="1"/>
        <v>#REF!</v>
      </c>
      <c r="M1935" s="25" t="e">
        <f ca="1"/>
        <v>#REF!</v>
      </c>
      <c r="N1935" s="25" t="e">
        <f ca="1"/>
        <v>#REF!</v>
      </c>
      <c r="O1935" s="25" t="e">
        <f ca="1"/>
        <v>#REF!</v>
      </c>
      <c r="P1935" s="25" t="e">
        <f ca="1"/>
        <v>#REF!</v>
      </c>
      <c r="Q1935" s="25" t="e">
        <f ca="1"/>
        <v>#REF!</v>
      </c>
      <c r="R1935" s="25" t="e">
        <f ca="1"/>
        <v>#REF!</v>
      </c>
      <c r="S1935" s="25" t="e">
        <f ca="1"/>
        <v>#REF!</v>
      </c>
      <c r="T1935" s="25" t="e">
        <f ca="1"/>
        <v>#REF!</v>
      </c>
      <c r="U1935" s="25" t="e">
        <f ca="1"/>
        <v>#REF!</v>
      </c>
      <c r="V1935" s="25" t="e">
        <f ca="1"/>
        <v>#REF!</v>
      </c>
      <c r="W1935" s="33" t="e">
        <f ca="1"/>
        <v>#REF!</v>
      </c>
      <c r="X1935" s="33" t="e">
        <f ca="1"/>
        <v>#REF!</v>
      </c>
      <c r="Y1935" s="33" t="e">
        <f ca="1"/>
        <v>#REF!</v>
      </c>
      <c r="Z1935" s="33" t="e">
        <f ca="1"/>
        <v>#REF!</v>
      </c>
      <c r="AA1935" s="33" t="e">
        <f ca="1"/>
        <v>#REF!</v>
      </c>
    </row>
    <row r="1936" spans="1:27" s="70" customFormat="1" ht="11.25" x14ac:dyDescent="0.2">
      <c r="A1936" s="24">
        <v>1930</v>
      </c>
      <c r="B1936" s="27"/>
      <c r="C1936" s="28"/>
      <c r="D1936" s="71"/>
      <c r="E1936" s="28"/>
      <c r="F1936" s="25"/>
      <c r="G1936" s="27"/>
      <c r="H1936" s="28" t="e">
        <f ca="1"/>
        <v>#REF!</v>
      </c>
      <c r="I1936" s="27" t="e">
        <f ca="1"/>
        <v>#REF!</v>
      </c>
      <c r="J1936" s="28" t="e">
        <f ca="1"/>
        <v>#REF!</v>
      </c>
      <c r="K1936" s="27" t="e">
        <f ca="1"/>
        <v>#REF!</v>
      </c>
      <c r="L1936" s="25" t="e">
        <f ca="1"/>
        <v>#REF!</v>
      </c>
      <c r="M1936" s="25" t="e">
        <f ca="1"/>
        <v>#REF!</v>
      </c>
      <c r="N1936" s="25" t="e">
        <f ca="1"/>
        <v>#REF!</v>
      </c>
      <c r="O1936" s="25" t="e">
        <f ca="1"/>
        <v>#REF!</v>
      </c>
      <c r="P1936" s="25" t="e">
        <f ca="1"/>
        <v>#REF!</v>
      </c>
      <c r="Q1936" s="25" t="e">
        <f ca="1"/>
        <v>#REF!</v>
      </c>
      <c r="R1936" s="25" t="e">
        <f ca="1"/>
        <v>#REF!</v>
      </c>
      <c r="S1936" s="25" t="e">
        <f ca="1"/>
        <v>#REF!</v>
      </c>
      <c r="T1936" s="25" t="e">
        <f ca="1"/>
        <v>#REF!</v>
      </c>
      <c r="U1936" s="25" t="e">
        <f ca="1"/>
        <v>#REF!</v>
      </c>
      <c r="V1936" s="25" t="e">
        <f ca="1"/>
        <v>#REF!</v>
      </c>
      <c r="W1936" s="33" t="e">
        <f ca="1"/>
        <v>#REF!</v>
      </c>
      <c r="X1936" s="33" t="e">
        <f ca="1"/>
        <v>#REF!</v>
      </c>
      <c r="Y1936" s="33" t="e">
        <f ca="1"/>
        <v>#REF!</v>
      </c>
      <c r="Z1936" s="33" t="e">
        <f ca="1"/>
        <v>#REF!</v>
      </c>
      <c r="AA1936" s="33" t="e">
        <f ca="1"/>
        <v>#REF!</v>
      </c>
    </row>
    <row r="1937" spans="1:27" s="70" customFormat="1" ht="11.25" x14ac:dyDescent="0.2">
      <c r="A1937" s="24">
        <v>1931</v>
      </c>
      <c r="B1937" s="27"/>
      <c r="C1937" s="28"/>
      <c r="D1937" s="71"/>
      <c r="E1937" s="28"/>
      <c r="F1937" s="25"/>
      <c r="G1937" s="27"/>
      <c r="H1937" s="28" t="e">
        <f ca="1"/>
        <v>#REF!</v>
      </c>
      <c r="I1937" s="27" t="e">
        <f ca="1"/>
        <v>#REF!</v>
      </c>
      <c r="J1937" s="28" t="e">
        <f ca="1"/>
        <v>#REF!</v>
      </c>
      <c r="K1937" s="27" t="e">
        <f ca="1"/>
        <v>#REF!</v>
      </c>
      <c r="L1937" s="25" t="e">
        <f ca="1"/>
        <v>#REF!</v>
      </c>
      <c r="M1937" s="25" t="e">
        <f ca="1"/>
        <v>#REF!</v>
      </c>
      <c r="N1937" s="25" t="e">
        <f ca="1"/>
        <v>#REF!</v>
      </c>
      <c r="O1937" s="25" t="e">
        <f ca="1"/>
        <v>#REF!</v>
      </c>
      <c r="P1937" s="25" t="e">
        <f ca="1"/>
        <v>#REF!</v>
      </c>
      <c r="Q1937" s="25" t="e">
        <f ca="1"/>
        <v>#REF!</v>
      </c>
      <c r="R1937" s="25" t="e">
        <f ca="1"/>
        <v>#REF!</v>
      </c>
      <c r="S1937" s="25" t="e">
        <f ca="1"/>
        <v>#REF!</v>
      </c>
      <c r="T1937" s="25" t="e">
        <f ca="1"/>
        <v>#REF!</v>
      </c>
      <c r="U1937" s="25" t="e">
        <f ca="1"/>
        <v>#REF!</v>
      </c>
      <c r="V1937" s="25" t="e">
        <f ca="1"/>
        <v>#REF!</v>
      </c>
      <c r="W1937" s="33" t="e">
        <f ca="1"/>
        <v>#REF!</v>
      </c>
      <c r="X1937" s="33" t="e">
        <f ca="1"/>
        <v>#REF!</v>
      </c>
      <c r="Y1937" s="33" t="e">
        <f ca="1"/>
        <v>#REF!</v>
      </c>
      <c r="Z1937" s="33" t="e">
        <f ca="1"/>
        <v>#REF!</v>
      </c>
      <c r="AA1937" s="33" t="e">
        <f ca="1"/>
        <v>#REF!</v>
      </c>
    </row>
    <row r="1938" spans="1:27" s="70" customFormat="1" ht="11.25" x14ac:dyDescent="0.2">
      <c r="A1938" s="24">
        <v>1932</v>
      </c>
      <c r="B1938" s="27"/>
      <c r="C1938" s="28"/>
      <c r="D1938" s="71"/>
      <c r="E1938" s="28"/>
      <c r="F1938" s="25"/>
      <c r="G1938" s="27"/>
      <c r="H1938" s="28" t="e">
        <f ca="1"/>
        <v>#REF!</v>
      </c>
      <c r="I1938" s="27" t="e">
        <f ca="1"/>
        <v>#REF!</v>
      </c>
      <c r="J1938" s="28" t="e">
        <f ca="1"/>
        <v>#REF!</v>
      </c>
      <c r="K1938" s="27" t="e">
        <f ca="1"/>
        <v>#REF!</v>
      </c>
      <c r="L1938" s="25" t="e">
        <f ca="1"/>
        <v>#REF!</v>
      </c>
      <c r="M1938" s="25" t="e">
        <f ca="1"/>
        <v>#REF!</v>
      </c>
      <c r="N1938" s="25" t="e">
        <f ca="1"/>
        <v>#REF!</v>
      </c>
      <c r="O1938" s="25" t="e">
        <f ca="1"/>
        <v>#REF!</v>
      </c>
      <c r="P1938" s="25" t="e">
        <f ca="1"/>
        <v>#REF!</v>
      </c>
      <c r="Q1938" s="25" t="e">
        <f ca="1"/>
        <v>#REF!</v>
      </c>
      <c r="R1938" s="25" t="e">
        <f ca="1"/>
        <v>#REF!</v>
      </c>
      <c r="S1938" s="25" t="e">
        <f ca="1"/>
        <v>#REF!</v>
      </c>
      <c r="T1938" s="25" t="e">
        <f ca="1"/>
        <v>#REF!</v>
      </c>
      <c r="U1938" s="25" t="e">
        <f ca="1"/>
        <v>#REF!</v>
      </c>
      <c r="V1938" s="25" t="e">
        <f ca="1"/>
        <v>#REF!</v>
      </c>
      <c r="W1938" s="33" t="e">
        <f ca="1"/>
        <v>#REF!</v>
      </c>
      <c r="X1938" s="33" t="e">
        <f ca="1"/>
        <v>#REF!</v>
      </c>
      <c r="Y1938" s="33" t="e">
        <f ca="1"/>
        <v>#REF!</v>
      </c>
      <c r="Z1938" s="33" t="e">
        <f ca="1"/>
        <v>#REF!</v>
      </c>
      <c r="AA1938" s="33" t="e">
        <f ca="1"/>
        <v>#REF!</v>
      </c>
    </row>
    <row r="1939" spans="1:27" s="70" customFormat="1" ht="11.25" x14ac:dyDescent="0.2">
      <c r="A1939" s="24">
        <v>1933</v>
      </c>
      <c r="B1939" s="27"/>
      <c r="C1939" s="28"/>
      <c r="D1939" s="71"/>
      <c r="E1939" s="28"/>
      <c r="F1939" s="25"/>
      <c r="G1939" s="27"/>
      <c r="H1939" s="28" t="e">
        <f ca="1"/>
        <v>#REF!</v>
      </c>
      <c r="I1939" s="27" t="e">
        <f ca="1"/>
        <v>#REF!</v>
      </c>
      <c r="J1939" s="28" t="e">
        <f ca="1"/>
        <v>#REF!</v>
      </c>
      <c r="K1939" s="27" t="e">
        <f ca="1"/>
        <v>#REF!</v>
      </c>
      <c r="L1939" s="25" t="e">
        <f ca="1"/>
        <v>#REF!</v>
      </c>
      <c r="M1939" s="25" t="e">
        <f ca="1"/>
        <v>#REF!</v>
      </c>
      <c r="N1939" s="25" t="e">
        <f ca="1"/>
        <v>#REF!</v>
      </c>
      <c r="O1939" s="25" t="e">
        <f ca="1"/>
        <v>#REF!</v>
      </c>
      <c r="P1939" s="25" t="e">
        <f ca="1"/>
        <v>#REF!</v>
      </c>
      <c r="Q1939" s="25" t="e">
        <f ca="1"/>
        <v>#REF!</v>
      </c>
      <c r="R1939" s="25" t="e">
        <f ca="1"/>
        <v>#REF!</v>
      </c>
      <c r="S1939" s="25" t="e">
        <f ca="1"/>
        <v>#REF!</v>
      </c>
      <c r="T1939" s="25" t="e">
        <f ca="1"/>
        <v>#REF!</v>
      </c>
      <c r="U1939" s="25" t="e">
        <f ca="1"/>
        <v>#REF!</v>
      </c>
      <c r="V1939" s="25" t="e">
        <f ca="1"/>
        <v>#REF!</v>
      </c>
      <c r="W1939" s="33" t="e">
        <f ca="1"/>
        <v>#REF!</v>
      </c>
      <c r="X1939" s="33" t="e">
        <f ca="1"/>
        <v>#REF!</v>
      </c>
      <c r="Y1939" s="33" t="e">
        <f ca="1"/>
        <v>#REF!</v>
      </c>
      <c r="Z1939" s="33" t="e">
        <f ca="1"/>
        <v>#REF!</v>
      </c>
      <c r="AA1939" s="33" t="e">
        <f ca="1"/>
        <v>#REF!</v>
      </c>
    </row>
    <row r="1940" spans="1:27" s="70" customFormat="1" ht="11.25" x14ac:dyDescent="0.2">
      <c r="A1940" s="24">
        <v>1934</v>
      </c>
      <c r="B1940" s="27"/>
      <c r="C1940" s="28"/>
      <c r="D1940" s="71"/>
      <c r="E1940" s="28"/>
      <c r="F1940" s="25"/>
      <c r="G1940" s="27"/>
      <c r="H1940" s="28" t="e">
        <f ca="1"/>
        <v>#REF!</v>
      </c>
      <c r="I1940" s="27" t="e">
        <f ca="1"/>
        <v>#REF!</v>
      </c>
      <c r="J1940" s="28" t="e">
        <f ca="1"/>
        <v>#REF!</v>
      </c>
      <c r="K1940" s="27" t="e">
        <f ca="1"/>
        <v>#REF!</v>
      </c>
      <c r="L1940" s="25" t="e">
        <f ca="1"/>
        <v>#REF!</v>
      </c>
      <c r="M1940" s="25" t="e">
        <f ca="1"/>
        <v>#REF!</v>
      </c>
      <c r="N1940" s="25" t="e">
        <f ca="1"/>
        <v>#REF!</v>
      </c>
      <c r="O1940" s="25" t="e">
        <f ca="1"/>
        <v>#REF!</v>
      </c>
      <c r="P1940" s="25" t="e">
        <f ca="1"/>
        <v>#REF!</v>
      </c>
      <c r="Q1940" s="25" t="e">
        <f ca="1"/>
        <v>#REF!</v>
      </c>
      <c r="R1940" s="25" t="e">
        <f ca="1"/>
        <v>#REF!</v>
      </c>
      <c r="S1940" s="25" t="e">
        <f ca="1"/>
        <v>#REF!</v>
      </c>
      <c r="T1940" s="25" t="e">
        <f ca="1"/>
        <v>#REF!</v>
      </c>
      <c r="U1940" s="25" t="e">
        <f ca="1"/>
        <v>#REF!</v>
      </c>
      <c r="V1940" s="25" t="e">
        <f ca="1"/>
        <v>#REF!</v>
      </c>
      <c r="W1940" s="33" t="e">
        <f ca="1"/>
        <v>#REF!</v>
      </c>
      <c r="X1940" s="33" t="e">
        <f ca="1"/>
        <v>#REF!</v>
      </c>
      <c r="Y1940" s="33" t="e">
        <f ca="1"/>
        <v>#REF!</v>
      </c>
      <c r="Z1940" s="33" t="e">
        <f ca="1"/>
        <v>#REF!</v>
      </c>
      <c r="AA1940" s="33" t="e">
        <f ca="1"/>
        <v>#REF!</v>
      </c>
    </row>
    <row r="1941" spans="1:27" s="70" customFormat="1" ht="11.25" x14ac:dyDescent="0.2">
      <c r="A1941" s="24">
        <v>1935</v>
      </c>
      <c r="B1941" s="27"/>
      <c r="C1941" s="28"/>
      <c r="D1941" s="71"/>
      <c r="E1941" s="28"/>
      <c r="F1941" s="25"/>
      <c r="G1941" s="27"/>
      <c r="H1941" s="28" t="e">
        <f ca="1"/>
        <v>#REF!</v>
      </c>
      <c r="I1941" s="27" t="e">
        <f ca="1"/>
        <v>#REF!</v>
      </c>
      <c r="J1941" s="28" t="e">
        <f ca="1"/>
        <v>#REF!</v>
      </c>
      <c r="K1941" s="27" t="e">
        <f ca="1"/>
        <v>#REF!</v>
      </c>
      <c r="L1941" s="25" t="e">
        <f ca="1"/>
        <v>#REF!</v>
      </c>
      <c r="M1941" s="25" t="e">
        <f ca="1"/>
        <v>#REF!</v>
      </c>
      <c r="N1941" s="25" t="e">
        <f ca="1"/>
        <v>#REF!</v>
      </c>
      <c r="O1941" s="25" t="e">
        <f ca="1"/>
        <v>#REF!</v>
      </c>
      <c r="P1941" s="25" t="e">
        <f ca="1"/>
        <v>#REF!</v>
      </c>
      <c r="Q1941" s="25" t="e">
        <f ca="1"/>
        <v>#REF!</v>
      </c>
      <c r="R1941" s="25" t="e">
        <f ca="1"/>
        <v>#REF!</v>
      </c>
      <c r="S1941" s="25" t="e">
        <f ca="1"/>
        <v>#REF!</v>
      </c>
      <c r="T1941" s="25" t="e">
        <f ca="1"/>
        <v>#REF!</v>
      </c>
      <c r="U1941" s="25" t="e">
        <f ca="1"/>
        <v>#REF!</v>
      </c>
      <c r="V1941" s="25" t="e">
        <f ca="1"/>
        <v>#REF!</v>
      </c>
      <c r="W1941" s="33" t="e">
        <f ca="1"/>
        <v>#REF!</v>
      </c>
      <c r="X1941" s="33" t="e">
        <f ca="1"/>
        <v>#REF!</v>
      </c>
      <c r="Y1941" s="33" t="e">
        <f ca="1"/>
        <v>#REF!</v>
      </c>
      <c r="Z1941" s="33" t="e">
        <f ca="1"/>
        <v>#REF!</v>
      </c>
      <c r="AA1941" s="33" t="e">
        <f ca="1"/>
        <v>#REF!</v>
      </c>
    </row>
    <row r="1942" spans="1:27" s="70" customFormat="1" ht="11.25" x14ac:dyDescent="0.2">
      <c r="A1942" s="24">
        <v>1936</v>
      </c>
      <c r="B1942" s="27"/>
      <c r="C1942" s="28"/>
      <c r="D1942" s="71"/>
      <c r="E1942" s="28"/>
      <c r="F1942" s="25"/>
      <c r="G1942" s="27"/>
      <c r="H1942" s="28" t="e">
        <f ca="1"/>
        <v>#REF!</v>
      </c>
      <c r="I1942" s="27" t="e">
        <f ca="1"/>
        <v>#REF!</v>
      </c>
      <c r="J1942" s="28" t="e">
        <f ca="1"/>
        <v>#REF!</v>
      </c>
      <c r="K1942" s="27" t="e">
        <f ca="1"/>
        <v>#REF!</v>
      </c>
      <c r="L1942" s="25" t="e">
        <f ca="1"/>
        <v>#REF!</v>
      </c>
      <c r="M1942" s="25" t="e">
        <f ca="1"/>
        <v>#REF!</v>
      </c>
      <c r="N1942" s="25" t="e">
        <f ca="1"/>
        <v>#REF!</v>
      </c>
      <c r="O1942" s="25" t="e">
        <f ca="1"/>
        <v>#REF!</v>
      </c>
      <c r="P1942" s="25" t="e">
        <f ca="1"/>
        <v>#REF!</v>
      </c>
      <c r="Q1942" s="25" t="e">
        <f ca="1"/>
        <v>#REF!</v>
      </c>
      <c r="R1942" s="25" t="e">
        <f ca="1"/>
        <v>#REF!</v>
      </c>
      <c r="S1942" s="25" t="e">
        <f ca="1"/>
        <v>#REF!</v>
      </c>
      <c r="T1942" s="25" t="e">
        <f ca="1"/>
        <v>#REF!</v>
      </c>
      <c r="U1942" s="25" t="e">
        <f ca="1"/>
        <v>#REF!</v>
      </c>
      <c r="V1942" s="25" t="e">
        <f ca="1"/>
        <v>#REF!</v>
      </c>
      <c r="W1942" s="33" t="e">
        <f ca="1"/>
        <v>#REF!</v>
      </c>
      <c r="X1942" s="33" t="e">
        <f ca="1"/>
        <v>#REF!</v>
      </c>
      <c r="Y1942" s="33" t="e">
        <f ca="1"/>
        <v>#REF!</v>
      </c>
      <c r="Z1942" s="33" t="e">
        <f ca="1"/>
        <v>#REF!</v>
      </c>
      <c r="AA1942" s="33" t="e">
        <f ca="1"/>
        <v>#REF!</v>
      </c>
    </row>
    <row r="1943" spans="1:27" s="70" customFormat="1" ht="11.25" x14ac:dyDescent="0.2">
      <c r="A1943" s="24">
        <v>1937</v>
      </c>
      <c r="B1943" s="27"/>
      <c r="C1943" s="28"/>
      <c r="D1943" s="71"/>
      <c r="E1943" s="28"/>
      <c r="F1943" s="25"/>
      <c r="G1943" s="27"/>
      <c r="H1943" s="28" t="e">
        <f ca="1"/>
        <v>#REF!</v>
      </c>
      <c r="I1943" s="27" t="e">
        <f ca="1"/>
        <v>#REF!</v>
      </c>
      <c r="J1943" s="28" t="e">
        <f ca="1"/>
        <v>#REF!</v>
      </c>
      <c r="K1943" s="27" t="e">
        <f ca="1"/>
        <v>#REF!</v>
      </c>
      <c r="L1943" s="25" t="e">
        <f ca="1"/>
        <v>#REF!</v>
      </c>
      <c r="M1943" s="25" t="e">
        <f ca="1"/>
        <v>#REF!</v>
      </c>
      <c r="N1943" s="25" t="e">
        <f ca="1"/>
        <v>#REF!</v>
      </c>
      <c r="O1943" s="25" t="e">
        <f ca="1"/>
        <v>#REF!</v>
      </c>
      <c r="P1943" s="25" t="e">
        <f ca="1"/>
        <v>#REF!</v>
      </c>
      <c r="Q1943" s="25" t="e">
        <f ca="1"/>
        <v>#REF!</v>
      </c>
      <c r="R1943" s="25" t="e">
        <f ca="1"/>
        <v>#REF!</v>
      </c>
      <c r="S1943" s="25" t="e">
        <f ca="1"/>
        <v>#REF!</v>
      </c>
      <c r="T1943" s="25" t="e">
        <f ca="1"/>
        <v>#REF!</v>
      </c>
      <c r="U1943" s="25" t="e">
        <f ca="1"/>
        <v>#REF!</v>
      </c>
      <c r="V1943" s="25" t="e">
        <f ca="1"/>
        <v>#REF!</v>
      </c>
      <c r="W1943" s="33" t="e">
        <f ca="1"/>
        <v>#REF!</v>
      </c>
      <c r="X1943" s="33" t="e">
        <f ca="1"/>
        <v>#REF!</v>
      </c>
      <c r="Y1943" s="33" t="e">
        <f ca="1"/>
        <v>#REF!</v>
      </c>
      <c r="Z1943" s="33" t="e">
        <f ca="1"/>
        <v>#REF!</v>
      </c>
      <c r="AA1943" s="33" t="e">
        <f ca="1"/>
        <v>#REF!</v>
      </c>
    </row>
    <row r="1944" spans="1:27" s="70" customFormat="1" ht="11.25" x14ac:dyDescent="0.2">
      <c r="A1944" s="24">
        <v>1938</v>
      </c>
      <c r="B1944" s="27"/>
      <c r="C1944" s="28"/>
      <c r="D1944" s="71"/>
      <c r="E1944" s="28"/>
      <c r="F1944" s="25"/>
      <c r="G1944" s="27"/>
      <c r="H1944" s="28" t="e">
        <f ca="1"/>
        <v>#REF!</v>
      </c>
      <c r="I1944" s="27" t="e">
        <f ca="1"/>
        <v>#REF!</v>
      </c>
      <c r="J1944" s="28" t="e">
        <f ca="1"/>
        <v>#REF!</v>
      </c>
      <c r="K1944" s="27" t="e">
        <f ca="1"/>
        <v>#REF!</v>
      </c>
      <c r="L1944" s="25" t="e">
        <f ca="1"/>
        <v>#REF!</v>
      </c>
      <c r="M1944" s="25" t="e">
        <f ca="1"/>
        <v>#REF!</v>
      </c>
      <c r="N1944" s="25" t="e">
        <f ca="1"/>
        <v>#REF!</v>
      </c>
      <c r="O1944" s="25" t="e">
        <f ca="1"/>
        <v>#REF!</v>
      </c>
      <c r="P1944" s="25" t="e">
        <f ca="1"/>
        <v>#REF!</v>
      </c>
      <c r="Q1944" s="25" t="e">
        <f ca="1"/>
        <v>#REF!</v>
      </c>
      <c r="R1944" s="25" t="e">
        <f ca="1"/>
        <v>#REF!</v>
      </c>
      <c r="S1944" s="25" t="e">
        <f ca="1"/>
        <v>#REF!</v>
      </c>
      <c r="T1944" s="25" t="e">
        <f ca="1"/>
        <v>#REF!</v>
      </c>
      <c r="U1944" s="25" t="e">
        <f ca="1"/>
        <v>#REF!</v>
      </c>
      <c r="V1944" s="25" t="e">
        <f ca="1"/>
        <v>#REF!</v>
      </c>
      <c r="W1944" s="33" t="e">
        <f ca="1"/>
        <v>#REF!</v>
      </c>
      <c r="X1944" s="33" t="e">
        <f ca="1"/>
        <v>#REF!</v>
      </c>
      <c r="Y1944" s="33" t="e">
        <f ca="1"/>
        <v>#REF!</v>
      </c>
      <c r="Z1944" s="33" t="e">
        <f ca="1"/>
        <v>#REF!</v>
      </c>
      <c r="AA1944" s="33" t="e">
        <f ca="1"/>
        <v>#REF!</v>
      </c>
    </row>
    <row r="1945" spans="1:27" s="70" customFormat="1" ht="11.25" x14ac:dyDescent="0.2">
      <c r="A1945" s="24">
        <v>1939</v>
      </c>
      <c r="B1945" s="27"/>
      <c r="C1945" s="28"/>
      <c r="D1945" s="71"/>
      <c r="E1945" s="28"/>
      <c r="F1945" s="25"/>
      <c r="G1945" s="27"/>
      <c r="H1945" s="28" t="e">
        <f ca="1"/>
        <v>#REF!</v>
      </c>
      <c r="I1945" s="27" t="e">
        <f ca="1"/>
        <v>#REF!</v>
      </c>
      <c r="J1945" s="28" t="e">
        <f ca="1"/>
        <v>#REF!</v>
      </c>
      <c r="K1945" s="27" t="e">
        <f ca="1"/>
        <v>#REF!</v>
      </c>
      <c r="L1945" s="25" t="e">
        <f ca="1"/>
        <v>#REF!</v>
      </c>
      <c r="M1945" s="25" t="e">
        <f ca="1"/>
        <v>#REF!</v>
      </c>
      <c r="N1945" s="25" t="e">
        <f ca="1"/>
        <v>#REF!</v>
      </c>
      <c r="O1945" s="25" t="e">
        <f ca="1"/>
        <v>#REF!</v>
      </c>
      <c r="P1945" s="25" t="e">
        <f ca="1"/>
        <v>#REF!</v>
      </c>
      <c r="Q1945" s="25" t="e">
        <f ca="1"/>
        <v>#REF!</v>
      </c>
      <c r="R1945" s="25" t="e">
        <f ca="1"/>
        <v>#REF!</v>
      </c>
      <c r="S1945" s="25" t="e">
        <f ca="1"/>
        <v>#REF!</v>
      </c>
      <c r="T1945" s="25" t="e">
        <f ca="1"/>
        <v>#REF!</v>
      </c>
      <c r="U1945" s="25" t="e">
        <f ca="1"/>
        <v>#REF!</v>
      </c>
      <c r="V1945" s="25" t="e">
        <f ca="1"/>
        <v>#REF!</v>
      </c>
      <c r="W1945" s="33" t="e">
        <f ca="1"/>
        <v>#REF!</v>
      </c>
      <c r="X1945" s="33" t="e">
        <f ca="1"/>
        <v>#REF!</v>
      </c>
      <c r="Y1945" s="33" t="e">
        <f ca="1"/>
        <v>#REF!</v>
      </c>
      <c r="Z1945" s="33" t="e">
        <f ca="1"/>
        <v>#REF!</v>
      </c>
      <c r="AA1945" s="33" t="e">
        <f ca="1"/>
        <v>#REF!</v>
      </c>
    </row>
    <row r="1946" spans="1:27" s="70" customFormat="1" ht="11.25" x14ac:dyDescent="0.2">
      <c r="A1946" s="24">
        <v>1940</v>
      </c>
      <c r="B1946" s="27"/>
      <c r="C1946" s="28"/>
      <c r="D1946" s="71"/>
      <c r="E1946" s="28"/>
      <c r="F1946" s="25"/>
      <c r="G1946" s="27"/>
      <c r="H1946" s="28" t="e">
        <f ca="1"/>
        <v>#REF!</v>
      </c>
      <c r="I1946" s="27" t="e">
        <f ca="1"/>
        <v>#REF!</v>
      </c>
      <c r="J1946" s="28" t="e">
        <f ca="1"/>
        <v>#REF!</v>
      </c>
      <c r="K1946" s="27" t="e">
        <f ca="1"/>
        <v>#REF!</v>
      </c>
      <c r="L1946" s="25" t="e">
        <f ca="1"/>
        <v>#REF!</v>
      </c>
      <c r="M1946" s="25" t="e">
        <f ca="1"/>
        <v>#REF!</v>
      </c>
      <c r="N1946" s="25" t="e">
        <f ca="1"/>
        <v>#REF!</v>
      </c>
      <c r="O1946" s="25" t="e">
        <f ca="1"/>
        <v>#REF!</v>
      </c>
      <c r="P1946" s="25" t="e">
        <f ca="1"/>
        <v>#REF!</v>
      </c>
      <c r="Q1946" s="25" t="e">
        <f ca="1"/>
        <v>#REF!</v>
      </c>
      <c r="R1946" s="25" t="e">
        <f ca="1"/>
        <v>#REF!</v>
      </c>
      <c r="S1946" s="25" t="e">
        <f ca="1"/>
        <v>#REF!</v>
      </c>
      <c r="T1946" s="25" t="e">
        <f ca="1"/>
        <v>#REF!</v>
      </c>
      <c r="U1946" s="25" t="e">
        <f ca="1"/>
        <v>#REF!</v>
      </c>
      <c r="V1946" s="25" t="e">
        <f ca="1"/>
        <v>#REF!</v>
      </c>
      <c r="W1946" s="33" t="e">
        <f ca="1"/>
        <v>#REF!</v>
      </c>
      <c r="X1946" s="33" t="e">
        <f ca="1"/>
        <v>#REF!</v>
      </c>
      <c r="Y1946" s="33" t="e">
        <f ca="1"/>
        <v>#REF!</v>
      </c>
      <c r="Z1946" s="33" t="e">
        <f ca="1"/>
        <v>#REF!</v>
      </c>
      <c r="AA1946" s="33" t="e">
        <f ca="1"/>
        <v>#REF!</v>
      </c>
    </row>
    <row r="1947" spans="1:27" s="70" customFormat="1" ht="11.25" x14ac:dyDescent="0.2">
      <c r="A1947" s="24">
        <v>1941</v>
      </c>
      <c r="B1947" s="27"/>
      <c r="C1947" s="28"/>
      <c r="D1947" s="71"/>
      <c r="E1947" s="28"/>
      <c r="F1947" s="25"/>
      <c r="G1947" s="27"/>
      <c r="H1947" s="28" t="e">
        <f ca="1"/>
        <v>#REF!</v>
      </c>
      <c r="I1947" s="27" t="e">
        <f ca="1"/>
        <v>#REF!</v>
      </c>
      <c r="J1947" s="28" t="e">
        <f ca="1"/>
        <v>#REF!</v>
      </c>
      <c r="K1947" s="27" t="e">
        <f ca="1"/>
        <v>#REF!</v>
      </c>
      <c r="L1947" s="25" t="e">
        <f ca="1"/>
        <v>#REF!</v>
      </c>
      <c r="M1947" s="25" t="e">
        <f ca="1"/>
        <v>#REF!</v>
      </c>
      <c r="N1947" s="25" t="e">
        <f ca="1"/>
        <v>#REF!</v>
      </c>
      <c r="O1947" s="25" t="e">
        <f ca="1"/>
        <v>#REF!</v>
      </c>
      <c r="P1947" s="25" t="e">
        <f ca="1"/>
        <v>#REF!</v>
      </c>
      <c r="Q1947" s="25" t="e">
        <f ca="1"/>
        <v>#REF!</v>
      </c>
      <c r="R1947" s="25" t="e">
        <f ca="1"/>
        <v>#REF!</v>
      </c>
      <c r="S1947" s="25" t="e">
        <f ca="1"/>
        <v>#REF!</v>
      </c>
      <c r="T1947" s="25" t="e">
        <f ca="1"/>
        <v>#REF!</v>
      </c>
      <c r="U1947" s="25" t="e">
        <f ca="1"/>
        <v>#REF!</v>
      </c>
      <c r="V1947" s="25" t="e">
        <f ca="1"/>
        <v>#REF!</v>
      </c>
      <c r="W1947" s="33" t="e">
        <f ca="1"/>
        <v>#REF!</v>
      </c>
      <c r="X1947" s="33" t="e">
        <f ca="1"/>
        <v>#REF!</v>
      </c>
      <c r="Y1947" s="33" t="e">
        <f ca="1"/>
        <v>#REF!</v>
      </c>
      <c r="Z1947" s="33" t="e">
        <f ca="1"/>
        <v>#REF!</v>
      </c>
      <c r="AA1947" s="33" t="e">
        <f ca="1"/>
        <v>#REF!</v>
      </c>
    </row>
    <row r="1948" spans="1:27" s="70" customFormat="1" ht="11.25" x14ac:dyDescent="0.2">
      <c r="A1948" s="24">
        <v>1942</v>
      </c>
      <c r="B1948" s="27"/>
      <c r="C1948" s="28"/>
      <c r="D1948" s="71"/>
      <c r="E1948" s="28"/>
      <c r="F1948" s="25"/>
      <c r="G1948" s="27"/>
      <c r="H1948" s="28" t="e">
        <f ca="1"/>
        <v>#REF!</v>
      </c>
      <c r="I1948" s="27" t="e">
        <f ca="1"/>
        <v>#REF!</v>
      </c>
      <c r="J1948" s="28" t="e">
        <f ca="1"/>
        <v>#REF!</v>
      </c>
      <c r="K1948" s="27" t="e">
        <f ca="1"/>
        <v>#REF!</v>
      </c>
      <c r="L1948" s="25" t="e">
        <f ca="1"/>
        <v>#REF!</v>
      </c>
      <c r="M1948" s="25" t="e">
        <f ca="1"/>
        <v>#REF!</v>
      </c>
      <c r="N1948" s="25" t="e">
        <f ca="1"/>
        <v>#REF!</v>
      </c>
      <c r="O1948" s="25" t="e">
        <f ca="1"/>
        <v>#REF!</v>
      </c>
      <c r="P1948" s="25" t="e">
        <f ca="1"/>
        <v>#REF!</v>
      </c>
      <c r="Q1948" s="25" t="e">
        <f ca="1"/>
        <v>#REF!</v>
      </c>
      <c r="R1948" s="25" t="e">
        <f ca="1"/>
        <v>#REF!</v>
      </c>
      <c r="S1948" s="25" t="e">
        <f ca="1"/>
        <v>#REF!</v>
      </c>
      <c r="T1948" s="25" t="e">
        <f ca="1"/>
        <v>#REF!</v>
      </c>
      <c r="U1948" s="25" t="e">
        <f ca="1"/>
        <v>#REF!</v>
      </c>
      <c r="V1948" s="25" t="e">
        <f ca="1"/>
        <v>#REF!</v>
      </c>
      <c r="W1948" s="33" t="e">
        <f ca="1"/>
        <v>#REF!</v>
      </c>
      <c r="X1948" s="33" t="e">
        <f ca="1"/>
        <v>#REF!</v>
      </c>
      <c r="Y1948" s="33" t="e">
        <f ca="1"/>
        <v>#REF!</v>
      </c>
      <c r="Z1948" s="33" t="e">
        <f ca="1"/>
        <v>#REF!</v>
      </c>
      <c r="AA1948" s="33" t="e">
        <f ca="1"/>
        <v>#REF!</v>
      </c>
    </row>
    <row r="1949" spans="1:27" s="70" customFormat="1" ht="11.25" x14ac:dyDescent="0.2">
      <c r="A1949" s="24">
        <v>1943</v>
      </c>
      <c r="B1949" s="27"/>
      <c r="C1949" s="28"/>
      <c r="D1949" s="71"/>
      <c r="E1949" s="28"/>
      <c r="F1949" s="25"/>
      <c r="G1949" s="27"/>
      <c r="H1949" s="28" t="e">
        <f ca="1"/>
        <v>#REF!</v>
      </c>
      <c r="I1949" s="27" t="e">
        <f ca="1"/>
        <v>#REF!</v>
      </c>
      <c r="J1949" s="28" t="e">
        <f ca="1"/>
        <v>#REF!</v>
      </c>
      <c r="K1949" s="27" t="e">
        <f ca="1"/>
        <v>#REF!</v>
      </c>
      <c r="L1949" s="25" t="e">
        <f ca="1"/>
        <v>#REF!</v>
      </c>
      <c r="M1949" s="25" t="e">
        <f ca="1"/>
        <v>#REF!</v>
      </c>
      <c r="N1949" s="25" t="e">
        <f ca="1"/>
        <v>#REF!</v>
      </c>
      <c r="O1949" s="25" t="e">
        <f ca="1"/>
        <v>#REF!</v>
      </c>
      <c r="P1949" s="25" t="e">
        <f ca="1"/>
        <v>#REF!</v>
      </c>
      <c r="Q1949" s="25" t="e">
        <f ca="1"/>
        <v>#REF!</v>
      </c>
      <c r="R1949" s="25" t="e">
        <f ca="1"/>
        <v>#REF!</v>
      </c>
      <c r="S1949" s="25" t="e">
        <f ca="1"/>
        <v>#REF!</v>
      </c>
      <c r="T1949" s="25" t="e">
        <f ca="1"/>
        <v>#REF!</v>
      </c>
      <c r="U1949" s="25" t="e">
        <f ca="1"/>
        <v>#REF!</v>
      </c>
      <c r="V1949" s="25" t="e">
        <f ca="1"/>
        <v>#REF!</v>
      </c>
      <c r="W1949" s="33" t="e">
        <f ca="1"/>
        <v>#REF!</v>
      </c>
      <c r="X1949" s="33" t="e">
        <f ca="1"/>
        <v>#REF!</v>
      </c>
      <c r="Y1949" s="33" t="e">
        <f ca="1"/>
        <v>#REF!</v>
      </c>
      <c r="Z1949" s="33" t="e">
        <f ca="1"/>
        <v>#REF!</v>
      </c>
      <c r="AA1949" s="33" t="e">
        <f ca="1"/>
        <v>#REF!</v>
      </c>
    </row>
    <row r="1950" spans="1:27" s="70" customFormat="1" ht="11.25" x14ac:dyDescent="0.2">
      <c r="A1950" s="24">
        <v>1944</v>
      </c>
      <c r="B1950" s="27"/>
      <c r="C1950" s="28"/>
      <c r="D1950" s="71"/>
      <c r="E1950" s="28"/>
      <c r="F1950" s="25"/>
      <c r="G1950" s="27"/>
      <c r="H1950" s="28" t="e">
        <f ca="1"/>
        <v>#REF!</v>
      </c>
      <c r="I1950" s="27" t="e">
        <f ca="1"/>
        <v>#REF!</v>
      </c>
      <c r="J1950" s="28" t="e">
        <f ca="1"/>
        <v>#REF!</v>
      </c>
      <c r="K1950" s="27" t="e">
        <f ca="1"/>
        <v>#REF!</v>
      </c>
      <c r="L1950" s="25" t="e">
        <f ca="1"/>
        <v>#REF!</v>
      </c>
      <c r="M1950" s="25" t="e">
        <f ca="1"/>
        <v>#REF!</v>
      </c>
      <c r="N1950" s="25" t="e">
        <f ca="1"/>
        <v>#REF!</v>
      </c>
      <c r="O1950" s="25" t="e">
        <f ca="1"/>
        <v>#REF!</v>
      </c>
      <c r="P1950" s="25" t="e">
        <f ca="1"/>
        <v>#REF!</v>
      </c>
      <c r="Q1950" s="25" t="e">
        <f ca="1"/>
        <v>#REF!</v>
      </c>
      <c r="R1950" s="25" t="e">
        <f ca="1"/>
        <v>#REF!</v>
      </c>
      <c r="S1950" s="25" t="e">
        <f ca="1"/>
        <v>#REF!</v>
      </c>
      <c r="T1950" s="25" t="e">
        <f ca="1"/>
        <v>#REF!</v>
      </c>
      <c r="U1950" s="25" t="e">
        <f ca="1"/>
        <v>#REF!</v>
      </c>
      <c r="V1950" s="25" t="e">
        <f ca="1"/>
        <v>#REF!</v>
      </c>
      <c r="W1950" s="33" t="e">
        <f ca="1"/>
        <v>#REF!</v>
      </c>
      <c r="X1950" s="33" t="e">
        <f ca="1"/>
        <v>#REF!</v>
      </c>
      <c r="Y1950" s="33" t="e">
        <f ca="1"/>
        <v>#REF!</v>
      </c>
      <c r="Z1950" s="33" t="e">
        <f ca="1"/>
        <v>#REF!</v>
      </c>
      <c r="AA1950" s="33" t="e">
        <f ca="1"/>
        <v>#REF!</v>
      </c>
    </row>
    <row r="1951" spans="1:27" s="70" customFormat="1" ht="11.25" x14ac:dyDescent="0.2">
      <c r="A1951" s="24">
        <v>1945</v>
      </c>
      <c r="B1951" s="27"/>
      <c r="C1951" s="28"/>
      <c r="D1951" s="71"/>
      <c r="E1951" s="28"/>
      <c r="F1951" s="25"/>
      <c r="G1951" s="27"/>
      <c r="H1951" s="28" t="e">
        <f ca="1"/>
        <v>#REF!</v>
      </c>
      <c r="I1951" s="27" t="e">
        <f ca="1"/>
        <v>#REF!</v>
      </c>
      <c r="J1951" s="28" t="e">
        <f ca="1"/>
        <v>#REF!</v>
      </c>
      <c r="K1951" s="27" t="e">
        <f ca="1"/>
        <v>#REF!</v>
      </c>
      <c r="L1951" s="25" t="e">
        <f ca="1"/>
        <v>#REF!</v>
      </c>
      <c r="M1951" s="25" t="e">
        <f ca="1"/>
        <v>#REF!</v>
      </c>
      <c r="N1951" s="25" t="e">
        <f ca="1"/>
        <v>#REF!</v>
      </c>
      <c r="O1951" s="25" t="e">
        <f ca="1"/>
        <v>#REF!</v>
      </c>
      <c r="P1951" s="25" t="e">
        <f ca="1"/>
        <v>#REF!</v>
      </c>
      <c r="Q1951" s="25" t="e">
        <f ca="1"/>
        <v>#REF!</v>
      </c>
      <c r="R1951" s="25" t="e">
        <f ca="1"/>
        <v>#REF!</v>
      </c>
      <c r="S1951" s="25" t="e">
        <f ca="1"/>
        <v>#REF!</v>
      </c>
      <c r="T1951" s="25" t="e">
        <f ca="1"/>
        <v>#REF!</v>
      </c>
      <c r="U1951" s="25" t="e">
        <f ca="1"/>
        <v>#REF!</v>
      </c>
      <c r="V1951" s="25" t="e">
        <f ca="1"/>
        <v>#REF!</v>
      </c>
      <c r="W1951" s="33" t="e">
        <f ca="1"/>
        <v>#REF!</v>
      </c>
      <c r="X1951" s="33" t="e">
        <f ca="1"/>
        <v>#REF!</v>
      </c>
      <c r="Y1951" s="33" t="e">
        <f ca="1"/>
        <v>#REF!</v>
      </c>
      <c r="Z1951" s="33" t="e">
        <f ca="1"/>
        <v>#REF!</v>
      </c>
      <c r="AA1951" s="33" t="e">
        <f ca="1"/>
        <v>#REF!</v>
      </c>
    </row>
    <row r="1952" spans="1:27" s="70" customFormat="1" ht="11.25" x14ac:dyDescent="0.2">
      <c r="A1952" s="24">
        <v>1946</v>
      </c>
      <c r="B1952" s="27"/>
      <c r="C1952" s="28"/>
      <c r="D1952" s="71"/>
      <c r="E1952" s="28"/>
      <c r="F1952" s="25"/>
      <c r="G1952" s="27"/>
      <c r="H1952" s="28" t="e">
        <f ca="1"/>
        <v>#REF!</v>
      </c>
      <c r="I1952" s="27" t="e">
        <f ca="1"/>
        <v>#REF!</v>
      </c>
      <c r="J1952" s="28" t="e">
        <f ca="1"/>
        <v>#REF!</v>
      </c>
      <c r="K1952" s="27" t="e">
        <f ca="1"/>
        <v>#REF!</v>
      </c>
      <c r="L1952" s="25" t="e">
        <f ca="1"/>
        <v>#REF!</v>
      </c>
      <c r="M1952" s="25" t="e">
        <f ca="1"/>
        <v>#REF!</v>
      </c>
      <c r="N1952" s="25" t="e">
        <f ca="1"/>
        <v>#REF!</v>
      </c>
      <c r="O1952" s="25" t="e">
        <f ca="1"/>
        <v>#REF!</v>
      </c>
      <c r="P1952" s="25" t="e">
        <f ca="1"/>
        <v>#REF!</v>
      </c>
      <c r="Q1952" s="25" t="e">
        <f ca="1"/>
        <v>#REF!</v>
      </c>
      <c r="R1952" s="25" t="e">
        <f ca="1"/>
        <v>#REF!</v>
      </c>
      <c r="S1952" s="25" t="e">
        <f ca="1"/>
        <v>#REF!</v>
      </c>
      <c r="T1952" s="25" t="e">
        <f ca="1"/>
        <v>#REF!</v>
      </c>
      <c r="U1952" s="25" t="e">
        <f ca="1"/>
        <v>#REF!</v>
      </c>
      <c r="V1952" s="25" t="e">
        <f ca="1"/>
        <v>#REF!</v>
      </c>
      <c r="W1952" s="33" t="e">
        <f ca="1"/>
        <v>#REF!</v>
      </c>
      <c r="X1952" s="33" t="e">
        <f ca="1"/>
        <v>#REF!</v>
      </c>
      <c r="Y1952" s="33" t="e">
        <f ca="1"/>
        <v>#REF!</v>
      </c>
      <c r="Z1952" s="33" t="e">
        <f ca="1"/>
        <v>#REF!</v>
      </c>
      <c r="AA1952" s="33" t="e">
        <f ca="1"/>
        <v>#REF!</v>
      </c>
    </row>
    <row r="1953" spans="1:27" s="70" customFormat="1" ht="11.25" x14ac:dyDescent="0.2">
      <c r="A1953" s="24">
        <v>1947</v>
      </c>
      <c r="B1953" s="27"/>
      <c r="C1953" s="28"/>
      <c r="D1953" s="71"/>
      <c r="E1953" s="28"/>
      <c r="F1953" s="25"/>
      <c r="G1953" s="27"/>
      <c r="H1953" s="28" t="e">
        <f ca="1"/>
        <v>#REF!</v>
      </c>
      <c r="I1953" s="27" t="e">
        <f ca="1"/>
        <v>#REF!</v>
      </c>
      <c r="J1953" s="28" t="e">
        <f ca="1"/>
        <v>#REF!</v>
      </c>
      <c r="K1953" s="27" t="e">
        <f ca="1"/>
        <v>#REF!</v>
      </c>
      <c r="L1953" s="25" t="e">
        <f ca="1"/>
        <v>#REF!</v>
      </c>
      <c r="M1953" s="25" t="e">
        <f ca="1"/>
        <v>#REF!</v>
      </c>
      <c r="N1953" s="25" t="e">
        <f ca="1"/>
        <v>#REF!</v>
      </c>
      <c r="O1953" s="25" t="e">
        <f ca="1"/>
        <v>#REF!</v>
      </c>
      <c r="P1953" s="25" t="e">
        <f ca="1"/>
        <v>#REF!</v>
      </c>
      <c r="Q1953" s="25" t="e">
        <f ca="1"/>
        <v>#REF!</v>
      </c>
      <c r="R1953" s="25" t="e">
        <f ca="1"/>
        <v>#REF!</v>
      </c>
      <c r="S1953" s="25" t="e">
        <f ca="1"/>
        <v>#REF!</v>
      </c>
      <c r="T1953" s="25" t="e">
        <f ca="1"/>
        <v>#REF!</v>
      </c>
      <c r="U1953" s="25" t="e">
        <f ca="1"/>
        <v>#REF!</v>
      </c>
      <c r="V1953" s="25" t="e">
        <f ca="1"/>
        <v>#REF!</v>
      </c>
      <c r="W1953" s="33" t="e">
        <f ca="1"/>
        <v>#REF!</v>
      </c>
      <c r="X1953" s="33" t="e">
        <f ca="1"/>
        <v>#REF!</v>
      </c>
      <c r="Y1953" s="33" t="e">
        <f ca="1"/>
        <v>#REF!</v>
      </c>
      <c r="Z1953" s="33" t="e">
        <f ca="1"/>
        <v>#REF!</v>
      </c>
      <c r="AA1953" s="33" t="e">
        <f ca="1"/>
        <v>#REF!</v>
      </c>
    </row>
    <row r="1954" spans="1:27" s="70" customFormat="1" ht="11.25" x14ac:dyDescent="0.2">
      <c r="A1954" s="24">
        <v>1948</v>
      </c>
      <c r="B1954" s="27"/>
      <c r="C1954" s="28"/>
      <c r="D1954" s="71"/>
      <c r="E1954" s="28"/>
      <c r="F1954" s="25"/>
      <c r="G1954" s="27"/>
      <c r="H1954" s="28" t="e">
        <f ca="1"/>
        <v>#REF!</v>
      </c>
      <c r="I1954" s="27" t="e">
        <f ca="1"/>
        <v>#REF!</v>
      </c>
      <c r="J1954" s="28" t="e">
        <f ca="1"/>
        <v>#REF!</v>
      </c>
      <c r="K1954" s="27" t="e">
        <f ca="1"/>
        <v>#REF!</v>
      </c>
      <c r="L1954" s="25" t="e">
        <f ca="1"/>
        <v>#REF!</v>
      </c>
      <c r="M1954" s="25" t="e">
        <f ca="1"/>
        <v>#REF!</v>
      </c>
      <c r="N1954" s="25" t="e">
        <f ca="1"/>
        <v>#REF!</v>
      </c>
      <c r="O1954" s="25" t="e">
        <f ca="1"/>
        <v>#REF!</v>
      </c>
      <c r="P1954" s="25" t="e">
        <f ca="1"/>
        <v>#REF!</v>
      </c>
      <c r="Q1954" s="25" t="e">
        <f ca="1"/>
        <v>#REF!</v>
      </c>
      <c r="R1954" s="25" t="e">
        <f ca="1"/>
        <v>#REF!</v>
      </c>
      <c r="S1954" s="25" t="e">
        <f ca="1"/>
        <v>#REF!</v>
      </c>
      <c r="T1954" s="25" t="e">
        <f ca="1"/>
        <v>#REF!</v>
      </c>
      <c r="U1954" s="25" t="e">
        <f ca="1"/>
        <v>#REF!</v>
      </c>
      <c r="V1954" s="25" t="e">
        <f ca="1"/>
        <v>#REF!</v>
      </c>
      <c r="W1954" s="33" t="e">
        <f ca="1"/>
        <v>#REF!</v>
      </c>
      <c r="X1954" s="33" t="e">
        <f ca="1"/>
        <v>#REF!</v>
      </c>
      <c r="Y1954" s="33" t="e">
        <f ca="1"/>
        <v>#REF!</v>
      </c>
      <c r="Z1954" s="33" t="e">
        <f ca="1"/>
        <v>#REF!</v>
      </c>
      <c r="AA1954" s="33" t="e">
        <f ca="1"/>
        <v>#REF!</v>
      </c>
    </row>
    <row r="1955" spans="1:27" s="70" customFormat="1" ht="11.25" x14ac:dyDescent="0.2">
      <c r="A1955" s="24">
        <v>1949</v>
      </c>
      <c r="B1955" s="27"/>
      <c r="C1955" s="28"/>
      <c r="D1955" s="71"/>
      <c r="E1955" s="28"/>
      <c r="F1955" s="25"/>
      <c r="G1955" s="27"/>
      <c r="H1955" s="28" t="e">
        <f ca="1"/>
        <v>#REF!</v>
      </c>
      <c r="I1955" s="27" t="e">
        <f ca="1"/>
        <v>#REF!</v>
      </c>
      <c r="J1955" s="28" t="e">
        <f ca="1"/>
        <v>#REF!</v>
      </c>
      <c r="K1955" s="27" t="e">
        <f ca="1"/>
        <v>#REF!</v>
      </c>
      <c r="L1955" s="25" t="e">
        <f ca="1"/>
        <v>#REF!</v>
      </c>
      <c r="M1955" s="25" t="e">
        <f ca="1"/>
        <v>#REF!</v>
      </c>
      <c r="N1955" s="25" t="e">
        <f ca="1"/>
        <v>#REF!</v>
      </c>
      <c r="O1955" s="25" t="e">
        <f ca="1"/>
        <v>#REF!</v>
      </c>
      <c r="P1955" s="25" t="e">
        <f ca="1"/>
        <v>#REF!</v>
      </c>
      <c r="Q1955" s="25" t="e">
        <f ca="1"/>
        <v>#REF!</v>
      </c>
      <c r="R1955" s="25" t="e">
        <f ca="1"/>
        <v>#REF!</v>
      </c>
      <c r="S1955" s="25" t="e">
        <f ca="1"/>
        <v>#REF!</v>
      </c>
      <c r="T1955" s="25" t="e">
        <f ca="1"/>
        <v>#REF!</v>
      </c>
      <c r="U1955" s="25" t="e">
        <f ca="1"/>
        <v>#REF!</v>
      </c>
      <c r="V1955" s="25" t="e">
        <f ca="1"/>
        <v>#REF!</v>
      </c>
      <c r="W1955" s="33" t="e">
        <f ca="1"/>
        <v>#REF!</v>
      </c>
      <c r="X1955" s="33" t="e">
        <f ca="1"/>
        <v>#REF!</v>
      </c>
      <c r="Y1955" s="33" t="e">
        <f ca="1"/>
        <v>#REF!</v>
      </c>
      <c r="Z1955" s="33" t="e">
        <f ca="1"/>
        <v>#REF!</v>
      </c>
      <c r="AA1955" s="33" t="e">
        <f ca="1"/>
        <v>#REF!</v>
      </c>
    </row>
    <row r="1956" spans="1:27" s="70" customFormat="1" ht="11.25" x14ac:dyDescent="0.2">
      <c r="A1956" s="24">
        <v>1950</v>
      </c>
      <c r="B1956" s="27"/>
      <c r="C1956" s="28"/>
      <c r="D1956" s="71"/>
      <c r="E1956" s="28"/>
      <c r="F1956" s="25"/>
      <c r="G1956" s="27"/>
      <c r="H1956" s="28" t="e">
        <f ca="1"/>
        <v>#REF!</v>
      </c>
      <c r="I1956" s="27" t="e">
        <f ca="1"/>
        <v>#REF!</v>
      </c>
      <c r="J1956" s="28" t="e">
        <f ca="1"/>
        <v>#REF!</v>
      </c>
      <c r="K1956" s="27" t="e">
        <f ca="1"/>
        <v>#REF!</v>
      </c>
      <c r="L1956" s="25" t="e">
        <f ca="1"/>
        <v>#REF!</v>
      </c>
      <c r="M1956" s="25" t="e">
        <f ca="1"/>
        <v>#REF!</v>
      </c>
      <c r="N1956" s="25" t="e">
        <f ca="1"/>
        <v>#REF!</v>
      </c>
      <c r="O1956" s="25" t="e">
        <f ca="1"/>
        <v>#REF!</v>
      </c>
      <c r="P1956" s="25" t="e">
        <f ca="1"/>
        <v>#REF!</v>
      </c>
      <c r="Q1956" s="25" t="e">
        <f ca="1"/>
        <v>#REF!</v>
      </c>
      <c r="R1956" s="25" t="e">
        <f ca="1"/>
        <v>#REF!</v>
      </c>
      <c r="S1956" s="25" t="e">
        <f ca="1"/>
        <v>#REF!</v>
      </c>
      <c r="T1956" s="25" t="e">
        <f ca="1"/>
        <v>#REF!</v>
      </c>
      <c r="U1956" s="25" t="e">
        <f ca="1"/>
        <v>#REF!</v>
      </c>
      <c r="V1956" s="25" t="e">
        <f ca="1"/>
        <v>#REF!</v>
      </c>
      <c r="W1956" s="33" t="e">
        <f ca="1"/>
        <v>#REF!</v>
      </c>
      <c r="X1956" s="33" t="e">
        <f ca="1"/>
        <v>#REF!</v>
      </c>
      <c r="Y1956" s="33" t="e">
        <f ca="1"/>
        <v>#REF!</v>
      </c>
      <c r="Z1956" s="33" t="e">
        <f ca="1"/>
        <v>#REF!</v>
      </c>
      <c r="AA1956" s="33" t="e">
        <f ca="1"/>
        <v>#REF!</v>
      </c>
    </row>
    <row r="1957" spans="1:27" s="70" customFormat="1" ht="11.25" x14ac:dyDescent="0.2">
      <c r="A1957" s="24">
        <v>1951</v>
      </c>
      <c r="B1957" s="27"/>
      <c r="C1957" s="28"/>
      <c r="D1957" s="71"/>
      <c r="E1957" s="28"/>
      <c r="F1957" s="25"/>
      <c r="G1957" s="27"/>
      <c r="H1957" s="28" t="e">
        <f ca="1"/>
        <v>#REF!</v>
      </c>
      <c r="I1957" s="27" t="e">
        <f ca="1"/>
        <v>#REF!</v>
      </c>
      <c r="J1957" s="28" t="e">
        <f ca="1"/>
        <v>#REF!</v>
      </c>
      <c r="K1957" s="27" t="e">
        <f ca="1"/>
        <v>#REF!</v>
      </c>
      <c r="L1957" s="25" t="e">
        <f ca="1"/>
        <v>#REF!</v>
      </c>
      <c r="M1957" s="25" t="e">
        <f ca="1"/>
        <v>#REF!</v>
      </c>
      <c r="N1957" s="25" t="e">
        <f ca="1"/>
        <v>#REF!</v>
      </c>
      <c r="O1957" s="25" t="e">
        <f ca="1"/>
        <v>#REF!</v>
      </c>
      <c r="P1957" s="25" t="e">
        <f ca="1"/>
        <v>#REF!</v>
      </c>
      <c r="Q1957" s="25" t="e">
        <f ca="1"/>
        <v>#REF!</v>
      </c>
      <c r="R1957" s="25" t="e">
        <f ca="1"/>
        <v>#REF!</v>
      </c>
      <c r="S1957" s="25" t="e">
        <f ca="1"/>
        <v>#REF!</v>
      </c>
      <c r="T1957" s="25" t="e">
        <f ca="1"/>
        <v>#REF!</v>
      </c>
      <c r="U1957" s="25" t="e">
        <f ca="1"/>
        <v>#REF!</v>
      </c>
      <c r="V1957" s="25" t="e">
        <f ca="1"/>
        <v>#REF!</v>
      </c>
      <c r="W1957" s="33" t="e">
        <f ca="1"/>
        <v>#REF!</v>
      </c>
      <c r="X1957" s="33" t="e">
        <f ca="1"/>
        <v>#REF!</v>
      </c>
      <c r="Y1957" s="33" t="e">
        <f ca="1"/>
        <v>#REF!</v>
      </c>
      <c r="Z1957" s="33" t="e">
        <f ca="1"/>
        <v>#REF!</v>
      </c>
      <c r="AA1957" s="33" t="e">
        <f ca="1"/>
        <v>#REF!</v>
      </c>
    </row>
    <row r="1958" spans="1:27" s="70" customFormat="1" ht="11.25" x14ac:dyDescent="0.2">
      <c r="A1958" s="24">
        <v>1952</v>
      </c>
      <c r="B1958" s="27"/>
      <c r="C1958" s="28"/>
      <c r="D1958" s="71"/>
      <c r="E1958" s="28"/>
      <c r="F1958" s="25"/>
      <c r="G1958" s="27"/>
      <c r="H1958" s="28" t="e">
        <f ca="1"/>
        <v>#REF!</v>
      </c>
      <c r="I1958" s="27" t="e">
        <f ca="1"/>
        <v>#REF!</v>
      </c>
      <c r="J1958" s="28" t="e">
        <f ca="1"/>
        <v>#REF!</v>
      </c>
      <c r="K1958" s="27" t="e">
        <f ca="1"/>
        <v>#REF!</v>
      </c>
      <c r="L1958" s="25" t="e">
        <f ca="1"/>
        <v>#REF!</v>
      </c>
      <c r="M1958" s="25" t="e">
        <f ca="1"/>
        <v>#REF!</v>
      </c>
      <c r="N1958" s="25" t="e">
        <f ca="1"/>
        <v>#REF!</v>
      </c>
      <c r="O1958" s="25" t="e">
        <f ca="1"/>
        <v>#REF!</v>
      </c>
      <c r="P1958" s="25" t="e">
        <f ca="1"/>
        <v>#REF!</v>
      </c>
      <c r="Q1958" s="25" t="e">
        <f ca="1"/>
        <v>#REF!</v>
      </c>
      <c r="R1958" s="25" t="e">
        <f ca="1"/>
        <v>#REF!</v>
      </c>
      <c r="S1958" s="25" t="e">
        <f ca="1"/>
        <v>#REF!</v>
      </c>
      <c r="T1958" s="25" t="e">
        <f ca="1"/>
        <v>#REF!</v>
      </c>
      <c r="U1958" s="25" t="e">
        <f ca="1"/>
        <v>#REF!</v>
      </c>
      <c r="V1958" s="25" t="e">
        <f ca="1"/>
        <v>#REF!</v>
      </c>
      <c r="W1958" s="33" t="e">
        <f ca="1"/>
        <v>#REF!</v>
      </c>
      <c r="X1958" s="33" t="e">
        <f ca="1"/>
        <v>#REF!</v>
      </c>
      <c r="Y1958" s="33" t="e">
        <f ca="1"/>
        <v>#REF!</v>
      </c>
      <c r="Z1958" s="33" t="e">
        <f ca="1"/>
        <v>#REF!</v>
      </c>
      <c r="AA1958" s="33" t="e">
        <f ca="1"/>
        <v>#REF!</v>
      </c>
    </row>
    <row r="1959" spans="1:27" s="70" customFormat="1" ht="11.25" x14ac:dyDescent="0.2">
      <c r="A1959" s="24">
        <v>1953</v>
      </c>
      <c r="B1959" s="27"/>
      <c r="C1959" s="28"/>
      <c r="D1959" s="71"/>
      <c r="E1959" s="28"/>
      <c r="F1959" s="25"/>
      <c r="G1959" s="27"/>
      <c r="H1959" s="28" t="e">
        <f ca="1"/>
        <v>#REF!</v>
      </c>
      <c r="I1959" s="27" t="e">
        <f ca="1"/>
        <v>#REF!</v>
      </c>
      <c r="J1959" s="28" t="e">
        <f ca="1"/>
        <v>#REF!</v>
      </c>
      <c r="K1959" s="27" t="e">
        <f ca="1"/>
        <v>#REF!</v>
      </c>
      <c r="L1959" s="25" t="e">
        <f ca="1"/>
        <v>#REF!</v>
      </c>
      <c r="M1959" s="25" t="e">
        <f ca="1"/>
        <v>#REF!</v>
      </c>
      <c r="N1959" s="25" t="e">
        <f ca="1"/>
        <v>#REF!</v>
      </c>
      <c r="O1959" s="25" t="e">
        <f ca="1"/>
        <v>#REF!</v>
      </c>
      <c r="P1959" s="25" t="e">
        <f ca="1"/>
        <v>#REF!</v>
      </c>
      <c r="Q1959" s="25" t="e">
        <f ca="1"/>
        <v>#REF!</v>
      </c>
      <c r="R1959" s="25" t="e">
        <f ca="1"/>
        <v>#REF!</v>
      </c>
      <c r="S1959" s="25" t="e">
        <f ca="1"/>
        <v>#REF!</v>
      </c>
      <c r="T1959" s="25" t="e">
        <f ca="1"/>
        <v>#REF!</v>
      </c>
      <c r="U1959" s="25" t="e">
        <f ca="1"/>
        <v>#REF!</v>
      </c>
      <c r="V1959" s="25" t="e">
        <f ca="1"/>
        <v>#REF!</v>
      </c>
      <c r="W1959" s="33" t="e">
        <f ca="1"/>
        <v>#REF!</v>
      </c>
      <c r="X1959" s="33" t="e">
        <f ca="1"/>
        <v>#REF!</v>
      </c>
      <c r="Y1959" s="33" t="e">
        <f ca="1"/>
        <v>#REF!</v>
      </c>
      <c r="Z1959" s="33" t="e">
        <f ca="1"/>
        <v>#REF!</v>
      </c>
      <c r="AA1959" s="33" t="e">
        <f ca="1"/>
        <v>#REF!</v>
      </c>
    </row>
    <row r="1960" spans="1:27" s="70" customFormat="1" ht="11.25" x14ac:dyDescent="0.2">
      <c r="A1960" s="24">
        <v>1954</v>
      </c>
      <c r="B1960" s="27"/>
      <c r="C1960" s="28"/>
      <c r="D1960" s="71"/>
      <c r="E1960" s="28"/>
      <c r="F1960" s="25"/>
      <c r="G1960" s="27"/>
      <c r="H1960" s="28" t="e">
        <f ca="1"/>
        <v>#REF!</v>
      </c>
      <c r="I1960" s="27" t="e">
        <f ca="1"/>
        <v>#REF!</v>
      </c>
      <c r="J1960" s="28" t="e">
        <f ca="1"/>
        <v>#REF!</v>
      </c>
      <c r="K1960" s="27" t="e">
        <f ca="1"/>
        <v>#REF!</v>
      </c>
      <c r="L1960" s="25" t="e">
        <f ca="1"/>
        <v>#REF!</v>
      </c>
      <c r="M1960" s="25" t="e">
        <f ca="1"/>
        <v>#REF!</v>
      </c>
      <c r="N1960" s="25" t="e">
        <f ca="1"/>
        <v>#REF!</v>
      </c>
      <c r="O1960" s="25" t="e">
        <f ca="1"/>
        <v>#REF!</v>
      </c>
      <c r="P1960" s="25" t="e">
        <f ca="1"/>
        <v>#REF!</v>
      </c>
      <c r="Q1960" s="25" t="e">
        <f ca="1"/>
        <v>#REF!</v>
      </c>
      <c r="R1960" s="25" t="e">
        <f ca="1"/>
        <v>#REF!</v>
      </c>
      <c r="S1960" s="25" t="e">
        <f ca="1"/>
        <v>#REF!</v>
      </c>
      <c r="T1960" s="25" t="e">
        <f ca="1"/>
        <v>#REF!</v>
      </c>
      <c r="U1960" s="25" t="e">
        <f ca="1"/>
        <v>#REF!</v>
      </c>
      <c r="V1960" s="25" t="e">
        <f ca="1"/>
        <v>#REF!</v>
      </c>
      <c r="W1960" s="33" t="e">
        <f ca="1"/>
        <v>#REF!</v>
      </c>
      <c r="X1960" s="33" t="e">
        <f ca="1"/>
        <v>#REF!</v>
      </c>
      <c r="Y1960" s="33" t="e">
        <f ca="1"/>
        <v>#REF!</v>
      </c>
      <c r="Z1960" s="33" t="e">
        <f ca="1"/>
        <v>#REF!</v>
      </c>
      <c r="AA1960" s="33" t="e">
        <f ca="1"/>
        <v>#REF!</v>
      </c>
    </row>
    <row r="1961" spans="1:27" s="70" customFormat="1" ht="11.25" x14ac:dyDescent="0.2">
      <c r="A1961" s="24">
        <v>1955</v>
      </c>
      <c r="B1961" s="27"/>
      <c r="C1961" s="28"/>
      <c r="D1961" s="71"/>
      <c r="E1961" s="28"/>
      <c r="F1961" s="25"/>
      <c r="G1961" s="27"/>
      <c r="H1961" s="28" t="e">
        <f ca="1"/>
        <v>#REF!</v>
      </c>
      <c r="I1961" s="27" t="e">
        <f ca="1"/>
        <v>#REF!</v>
      </c>
      <c r="J1961" s="28" t="e">
        <f ca="1"/>
        <v>#REF!</v>
      </c>
      <c r="K1961" s="27" t="e">
        <f ca="1"/>
        <v>#REF!</v>
      </c>
      <c r="L1961" s="25" t="e">
        <f ca="1"/>
        <v>#REF!</v>
      </c>
      <c r="M1961" s="25" t="e">
        <f ca="1"/>
        <v>#REF!</v>
      </c>
      <c r="N1961" s="25" t="e">
        <f ca="1"/>
        <v>#REF!</v>
      </c>
      <c r="O1961" s="25" t="e">
        <f ca="1"/>
        <v>#REF!</v>
      </c>
      <c r="P1961" s="25" t="e">
        <f ca="1"/>
        <v>#REF!</v>
      </c>
      <c r="Q1961" s="25" t="e">
        <f ca="1"/>
        <v>#REF!</v>
      </c>
      <c r="R1961" s="25" t="e">
        <f ca="1"/>
        <v>#REF!</v>
      </c>
      <c r="S1961" s="25" t="e">
        <f ca="1"/>
        <v>#REF!</v>
      </c>
      <c r="T1961" s="25" t="e">
        <f ca="1"/>
        <v>#REF!</v>
      </c>
      <c r="U1961" s="25" t="e">
        <f ca="1"/>
        <v>#REF!</v>
      </c>
      <c r="V1961" s="25" t="e">
        <f ca="1"/>
        <v>#REF!</v>
      </c>
      <c r="W1961" s="33" t="e">
        <f ca="1"/>
        <v>#REF!</v>
      </c>
      <c r="X1961" s="33" t="e">
        <f ca="1"/>
        <v>#REF!</v>
      </c>
      <c r="Y1961" s="33" t="e">
        <f ca="1"/>
        <v>#REF!</v>
      </c>
      <c r="Z1961" s="33" t="e">
        <f ca="1"/>
        <v>#REF!</v>
      </c>
      <c r="AA1961" s="33" t="e">
        <f ca="1"/>
        <v>#REF!</v>
      </c>
    </row>
    <row r="1962" spans="1:27" s="70" customFormat="1" ht="11.25" x14ac:dyDescent="0.2">
      <c r="A1962" s="24">
        <v>1956</v>
      </c>
      <c r="B1962" s="27"/>
      <c r="C1962" s="28"/>
      <c r="D1962" s="71"/>
      <c r="E1962" s="28"/>
      <c r="F1962" s="25"/>
      <c r="G1962" s="27"/>
      <c r="H1962" s="28" t="e">
        <f ca="1"/>
        <v>#REF!</v>
      </c>
      <c r="I1962" s="27" t="e">
        <f ca="1"/>
        <v>#REF!</v>
      </c>
      <c r="J1962" s="28" t="e">
        <f ca="1"/>
        <v>#REF!</v>
      </c>
      <c r="K1962" s="27" t="e">
        <f ca="1"/>
        <v>#REF!</v>
      </c>
      <c r="L1962" s="25" t="e">
        <f ca="1"/>
        <v>#REF!</v>
      </c>
      <c r="M1962" s="25" t="e">
        <f ca="1"/>
        <v>#REF!</v>
      </c>
      <c r="N1962" s="25" t="e">
        <f ca="1"/>
        <v>#REF!</v>
      </c>
      <c r="O1962" s="25" t="e">
        <f ca="1"/>
        <v>#REF!</v>
      </c>
      <c r="P1962" s="25" t="e">
        <f ca="1"/>
        <v>#REF!</v>
      </c>
      <c r="Q1962" s="25" t="e">
        <f ca="1"/>
        <v>#REF!</v>
      </c>
      <c r="R1962" s="25" t="e">
        <f ca="1"/>
        <v>#REF!</v>
      </c>
      <c r="S1962" s="25" t="e">
        <f ca="1"/>
        <v>#REF!</v>
      </c>
      <c r="T1962" s="25" t="e">
        <f ca="1"/>
        <v>#REF!</v>
      </c>
      <c r="U1962" s="25" t="e">
        <f ca="1"/>
        <v>#REF!</v>
      </c>
      <c r="V1962" s="25" t="e">
        <f ca="1"/>
        <v>#REF!</v>
      </c>
      <c r="W1962" s="33" t="e">
        <f ca="1"/>
        <v>#REF!</v>
      </c>
      <c r="X1962" s="33" t="e">
        <f ca="1"/>
        <v>#REF!</v>
      </c>
      <c r="Y1962" s="33" t="e">
        <f ca="1"/>
        <v>#REF!</v>
      </c>
      <c r="Z1962" s="33" t="e">
        <f ca="1"/>
        <v>#REF!</v>
      </c>
      <c r="AA1962" s="33" t="e">
        <f ca="1"/>
        <v>#REF!</v>
      </c>
    </row>
    <row r="1963" spans="1:27" s="70" customFormat="1" ht="11.25" x14ac:dyDescent="0.2">
      <c r="A1963" s="24">
        <v>1957</v>
      </c>
      <c r="B1963" s="27"/>
      <c r="C1963" s="28"/>
      <c r="D1963" s="71"/>
      <c r="E1963" s="28"/>
      <c r="F1963" s="25"/>
      <c r="G1963" s="27"/>
      <c r="H1963" s="28" t="e">
        <f ca="1"/>
        <v>#REF!</v>
      </c>
      <c r="I1963" s="27" t="e">
        <f ca="1"/>
        <v>#REF!</v>
      </c>
      <c r="J1963" s="28" t="e">
        <f ca="1"/>
        <v>#REF!</v>
      </c>
      <c r="K1963" s="27" t="e">
        <f ca="1"/>
        <v>#REF!</v>
      </c>
      <c r="L1963" s="25" t="e">
        <f ca="1"/>
        <v>#REF!</v>
      </c>
      <c r="M1963" s="25" t="e">
        <f ca="1"/>
        <v>#REF!</v>
      </c>
      <c r="N1963" s="25" t="e">
        <f ca="1"/>
        <v>#REF!</v>
      </c>
      <c r="O1963" s="25" t="e">
        <f ca="1"/>
        <v>#REF!</v>
      </c>
      <c r="P1963" s="25" t="e">
        <f ca="1"/>
        <v>#REF!</v>
      </c>
      <c r="Q1963" s="25" t="e">
        <f ca="1"/>
        <v>#REF!</v>
      </c>
      <c r="R1963" s="25" t="e">
        <f ca="1"/>
        <v>#REF!</v>
      </c>
      <c r="S1963" s="25" t="e">
        <f ca="1"/>
        <v>#REF!</v>
      </c>
      <c r="T1963" s="25" t="e">
        <f ca="1"/>
        <v>#REF!</v>
      </c>
      <c r="U1963" s="25" t="e">
        <f ca="1"/>
        <v>#REF!</v>
      </c>
      <c r="V1963" s="25" t="e">
        <f ca="1"/>
        <v>#REF!</v>
      </c>
      <c r="W1963" s="33" t="e">
        <f ca="1"/>
        <v>#REF!</v>
      </c>
      <c r="X1963" s="33" t="e">
        <f ca="1"/>
        <v>#REF!</v>
      </c>
      <c r="Y1963" s="33" t="e">
        <f ca="1"/>
        <v>#REF!</v>
      </c>
      <c r="Z1963" s="33" t="e">
        <f ca="1"/>
        <v>#REF!</v>
      </c>
      <c r="AA1963" s="33" t="e">
        <f ca="1"/>
        <v>#REF!</v>
      </c>
    </row>
    <row r="1964" spans="1:27" s="70" customFormat="1" ht="11.25" x14ac:dyDescent="0.2">
      <c r="A1964" s="24">
        <v>1958</v>
      </c>
      <c r="B1964" s="27"/>
      <c r="C1964" s="28"/>
      <c r="D1964" s="71"/>
      <c r="E1964" s="28"/>
      <c r="F1964" s="25"/>
      <c r="G1964" s="27"/>
      <c r="H1964" s="28" t="e">
        <f ca="1"/>
        <v>#REF!</v>
      </c>
      <c r="I1964" s="27" t="e">
        <f ca="1"/>
        <v>#REF!</v>
      </c>
      <c r="J1964" s="28" t="e">
        <f ca="1"/>
        <v>#REF!</v>
      </c>
      <c r="K1964" s="27" t="e">
        <f ca="1"/>
        <v>#REF!</v>
      </c>
      <c r="L1964" s="25" t="e">
        <f ca="1"/>
        <v>#REF!</v>
      </c>
      <c r="M1964" s="25" t="e">
        <f ca="1"/>
        <v>#REF!</v>
      </c>
      <c r="N1964" s="25" t="e">
        <f ca="1"/>
        <v>#REF!</v>
      </c>
      <c r="O1964" s="25" t="e">
        <f ca="1"/>
        <v>#REF!</v>
      </c>
      <c r="P1964" s="25" t="e">
        <f ca="1"/>
        <v>#REF!</v>
      </c>
      <c r="Q1964" s="25" t="e">
        <f ca="1"/>
        <v>#REF!</v>
      </c>
      <c r="R1964" s="25" t="e">
        <f ca="1"/>
        <v>#REF!</v>
      </c>
      <c r="S1964" s="25" t="e">
        <f ca="1"/>
        <v>#REF!</v>
      </c>
      <c r="T1964" s="25" t="e">
        <f ca="1"/>
        <v>#REF!</v>
      </c>
      <c r="U1964" s="25" t="e">
        <f ca="1"/>
        <v>#REF!</v>
      </c>
      <c r="V1964" s="25" t="e">
        <f ca="1"/>
        <v>#REF!</v>
      </c>
      <c r="W1964" s="33" t="e">
        <f ca="1"/>
        <v>#REF!</v>
      </c>
      <c r="X1964" s="33" t="e">
        <f ca="1"/>
        <v>#REF!</v>
      </c>
      <c r="Y1964" s="33" t="e">
        <f ca="1"/>
        <v>#REF!</v>
      </c>
      <c r="Z1964" s="33" t="e">
        <f ca="1"/>
        <v>#REF!</v>
      </c>
      <c r="AA1964" s="33" t="e">
        <f ca="1"/>
        <v>#REF!</v>
      </c>
    </row>
    <row r="1965" spans="1:27" s="70" customFormat="1" ht="11.25" x14ac:dyDescent="0.2">
      <c r="A1965" s="24">
        <v>1959</v>
      </c>
      <c r="B1965" s="27"/>
      <c r="C1965" s="28"/>
      <c r="D1965" s="71"/>
      <c r="E1965" s="28"/>
      <c r="F1965" s="25"/>
      <c r="G1965" s="27"/>
      <c r="H1965" s="28" t="e">
        <f ca="1"/>
        <v>#REF!</v>
      </c>
      <c r="I1965" s="27" t="e">
        <f ca="1"/>
        <v>#REF!</v>
      </c>
      <c r="J1965" s="28" t="e">
        <f ca="1"/>
        <v>#REF!</v>
      </c>
      <c r="K1965" s="27" t="e">
        <f ca="1"/>
        <v>#REF!</v>
      </c>
      <c r="L1965" s="25" t="e">
        <f ca="1"/>
        <v>#REF!</v>
      </c>
      <c r="M1965" s="25" t="e">
        <f ca="1"/>
        <v>#REF!</v>
      </c>
      <c r="N1965" s="25" t="e">
        <f ca="1"/>
        <v>#REF!</v>
      </c>
      <c r="O1965" s="25" t="e">
        <f ca="1"/>
        <v>#REF!</v>
      </c>
      <c r="P1965" s="25" t="e">
        <f ca="1"/>
        <v>#REF!</v>
      </c>
      <c r="Q1965" s="25" t="e">
        <f ca="1"/>
        <v>#REF!</v>
      </c>
      <c r="R1965" s="25" t="e">
        <f ca="1"/>
        <v>#REF!</v>
      </c>
      <c r="S1965" s="25" t="e">
        <f ca="1"/>
        <v>#REF!</v>
      </c>
      <c r="T1965" s="25" t="e">
        <f ca="1"/>
        <v>#REF!</v>
      </c>
      <c r="U1965" s="25" t="e">
        <f ca="1"/>
        <v>#REF!</v>
      </c>
      <c r="V1965" s="25" t="e">
        <f ca="1"/>
        <v>#REF!</v>
      </c>
      <c r="W1965" s="33" t="e">
        <f ca="1"/>
        <v>#REF!</v>
      </c>
      <c r="X1965" s="33" t="e">
        <f ca="1"/>
        <v>#REF!</v>
      </c>
      <c r="Y1965" s="33" t="e">
        <f ca="1"/>
        <v>#REF!</v>
      </c>
      <c r="Z1965" s="33" t="e">
        <f ca="1"/>
        <v>#REF!</v>
      </c>
      <c r="AA1965" s="33" t="e">
        <f ca="1"/>
        <v>#REF!</v>
      </c>
    </row>
    <row r="1966" spans="1:27" s="70" customFormat="1" ht="11.25" x14ac:dyDescent="0.2">
      <c r="A1966" s="24">
        <v>1960</v>
      </c>
      <c r="B1966" s="27"/>
      <c r="C1966" s="28"/>
      <c r="D1966" s="71"/>
      <c r="E1966" s="28"/>
      <c r="F1966" s="25"/>
      <c r="G1966" s="27"/>
      <c r="H1966" s="28" t="e">
        <f ca="1"/>
        <v>#REF!</v>
      </c>
      <c r="I1966" s="27" t="e">
        <f ca="1"/>
        <v>#REF!</v>
      </c>
      <c r="J1966" s="28" t="e">
        <f ca="1"/>
        <v>#REF!</v>
      </c>
      <c r="K1966" s="27" t="e">
        <f ca="1"/>
        <v>#REF!</v>
      </c>
      <c r="L1966" s="25" t="e">
        <f ca="1"/>
        <v>#REF!</v>
      </c>
      <c r="M1966" s="25" t="e">
        <f ca="1"/>
        <v>#REF!</v>
      </c>
      <c r="N1966" s="25" t="e">
        <f ca="1"/>
        <v>#REF!</v>
      </c>
      <c r="O1966" s="25" t="e">
        <f ca="1"/>
        <v>#REF!</v>
      </c>
      <c r="P1966" s="25" t="e">
        <f ca="1"/>
        <v>#REF!</v>
      </c>
      <c r="Q1966" s="25" t="e">
        <f ca="1"/>
        <v>#REF!</v>
      </c>
      <c r="R1966" s="25" t="e">
        <f ca="1"/>
        <v>#REF!</v>
      </c>
      <c r="S1966" s="25" t="e">
        <f ca="1"/>
        <v>#REF!</v>
      </c>
      <c r="T1966" s="25" t="e">
        <f ca="1"/>
        <v>#REF!</v>
      </c>
      <c r="U1966" s="25" t="e">
        <f ca="1"/>
        <v>#REF!</v>
      </c>
      <c r="V1966" s="25" t="e">
        <f ca="1"/>
        <v>#REF!</v>
      </c>
      <c r="W1966" s="33" t="e">
        <f ca="1"/>
        <v>#REF!</v>
      </c>
      <c r="X1966" s="33" t="e">
        <f ca="1"/>
        <v>#REF!</v>
      </c>
      <c r="Y1966" s="33" t="e">
        <f ca="1"/>
        <v>#REF!</v>
      </c>
      <c r="Z1966" s="33" t="e">
        <f ca="1"/>
        <v>#REF!</v>
      </c>
      <c r="AA1966" s="33" t="e">
        <f ca="1"/>
        <v>#REF!</v>
      </c>
    </row>
    <row r="1967" spans="1:27" s="70" customFormat="1" ht="11.25" x14ac:dyDescent="0.2">
      <c r="A1967" s="24">
        <v>1961</v>
      </c>
      <c r="B1967" s="27"/>
      <c r="C1967" s="28"/>
      <c r="D1967" s="71"/>
      <c r="E1967" s="28"/>
      <c r="F1967" s="25"/>
      <c r="G1967" s="27"/>
      <c r="H1967" s="28" t="e">
        <f ca="1"/>
        <v>#REF!</v>
      </c>
      <c r="I1967" s="27" t="e">
        <f ca="1"/>
        <v>#REF!</v>
      </c>
      <c r="J1967" s="28" t="e">
        <f ca="1"/>
        <v>#REF!</v>
      </c>
      <c r="K1967" s="27" t="e">
        <f ca="1"/>
        <v>#REF!</v>
      </c>
      <c r="L1967" s="25" t="e">
        <f ca="1"/>
        <v>#REF!</v>
      </c>
      <c r="M1967" s="25" t="e">
        <f ca="1"/>
        <v>#REF!</v>
      </c>
      <c r="N1967" s="25" t="e">
        <f ca="1"/>
        <v>#REF!</v>
      </c>
      <c r="O1967" s="25" t="e">
        <f ca="1"/>
        <v>#REF!</v>
      </c>
      <c r="P1967" s="25" t="e">
        <f ca="1"/>
        <v>#REF!</v>
      </c>
      <c r="Q1967" s="25" t="e">
        <f ca="1"/>
        <v>#REF!</v>
      </c>
      <c r="R1967" s="25" t="e">
        <f ca="1"/>
        <v>#REF!</v>
      </c>
      <c r="S1967" s="25" t="e">
        <f ca="1"/>
        <v>#REF!</v>
      </c>
      <c r="T1967" s="25" t="e">
        <f ca="1"/>
        <v>#REF!</v>
      </c>
      <c r="U1967" s="25" t="e">
        <f ca="1"/>
        <v>#REF!</v>
      </c>
      <c r="V1967" s="25" t="e">
        <f ca="1"/>
        <v>#REF!</v>
      </c>
      <c r="W1967" s="33" t="e">
        <f ca="1"/>
        <v>#REF!</v>
      </c>
      <c r="X1967" s="33" t="e">
        <f ca="1"/>
        <v>#REF!</v>
      </c>
      <c r="Y1967" s="33" t="e">
        <f ca="1"/>
        <v>#REF!</v>
      </c>
      <c r="Z1967" s="33" t="e">
        <f ca="1"/>
        <v>#REF!</v>
      </c>
      <c r="AA1967" s="33" t="e">
        <f ca="1"/>
        <v>#REF!</v>
      </c>
    </row>
    <row r="1968" spans="1:27" s="70" customFormat="1" ht="11.25" x14ac:dyDescent="0.2">
      <c r="A1968" s="24">
        <v>1962</v>
      </c>
      <c r="B1968" s="27"/>
      <c r="C1968" s="28"/>
      <c r="D1968" s="71"/>
      <c r="E1968" s="28"/>
      <c r="F1968" s="25"/>
      <c r="G1968" s="27"/>
      <c r="H1968" s="28" t="e">
        <f ca="1"/>
        <v>#REF!</v>
      </c>
      <c r="I1968" s="27" t="e">
        <f ca="1"/>
        <v>#REF!</v>
      </c>
      <c r="J1968" s="28" t="e">
        <f ca="1"/>
        <v>#REF!</v>
      </c>
      <c r="K1968" s="27" t="e">
        <f ca="1"/>
        <v>#REF!</v>
      </c>
      <c r="L1968" s="25" t="e">
        <f ca="1"/>
        <v>#REF!</v>
      </c>
      <c r="M1968" s="25" t="e">
        <f ca="1"/>
        <v>#REF!</v>
      </c>
      <c r="N1968" s="25" t="e">
        <f ca="1"/>
        <v>#REF!</v>
      </c>
      <c r="O1968" s="25" t="e">
        <f ca="1"/>
        <v>#REF!</v>
      </c>
      <c r="P1968" s="25" t="e">
        <f ca="1"/>
        <v>#REF!</v>
      </c>
      <c r="Q1968" s="25" t="e">
        <f ca="1"/>
        <v>#REF!</v>
      </c>
      <c r="R1968" s="25" t="e">
        <f ca="1"/>
        <v>#REF!</v>
      </c>
      <c r="S1968" s="25" t="e">
        <f ca="1"/>
        <v>#REF!</v>
      </c>
      <c r="T1968" s="25" t="e">
        <f ca="1"/>
        <v>#REF!</v>
      </c>
      <c r="U1968" s="25" t="e">
        <f ca="1"/>
        <v>#REF!</v>
      </c>
      <c r="V1968" s="25" t="e">
        <f ca="1"/>
        <v>#REF!</v>
      </c>
      <c r="W1968" s="33" t="e">
        <f ca="1"/>
        <v>#REF!</v>
      </c>
      <c r="X1968" s="33" t="e">
        <f ca="1"/>
        <v>#REF!</v>
      </c>
      <c r="Y1968" s="33" t="e">
        <f ca="1"/>
        <v>#REF!</v>
      </c>
      <c r="Z1968" s="33" t="e">
        <f ca="1"/>
        <v>#REF!</v>
      </c>
      <c r="AA1968" s="33" t="e">
        <f ca="1"/>
        <v>#REF!</v>
      </c>
    </row>
    <row r="1969" spans="1:27" s="70" customFormat="1" ht="11.25" x14ac:dyDescent="0.2">
      <c r="A1969" s="24">
        <v>1963</v>
      </c>
      <c r="B1969" s="27"/>
      <c r="C1969" s="28"/>
      <c r="D1969" s="71"/>
      <c r="E1969" s="28"/>
      <c r="F1969" s="25"/>
      <c r="G1969" s="27"/>
      <c r="H1969" s="28" t="e">
        <f ca="1"/>
        <v>#REF!</v>
      </c>
      <c r="I1969" s="27" t="e">
        <f ca="1"/>
        <v>#REF!</v>
      </c>
      <c r="J1969" s="28" t="e">
        <f ca="1"/>
        <v>#REF!</v>
      </c>
      <c r="K1969" s="27" t="e">
        <f ca="1"/>
        <v>#REF!</v>
      </c>
      <c r="L1969" s="25" t="e">
        <f ca="1"/>
        <v>#REF!</v>
      </c>
      <c r="M1969" s="25" t="e">
        <f ca="1"/>
        <v>#REF!</v>
      </c>
      <c r="N1969" s="25" t="e">
        <f ca="1"/>
        <v>#REF!</v>
      </c>
      <c r="O1969" s="25" t="e">
        <f ca="1"/>
        <v>#REF!</v>
      </c>
      <c r="P1969" s="25" t="e">
        <f ca="1"/>
        <v>#REF!</v>
      </c>
      <c r="Q1969" s="25" t="e">
        <f ca="1"/>
        <v>#REF!</v>
      </c>
      <c r="R1969" s="25" t="e">
        <f ca="1"/>
        <v>#REF!</v>
      </c>
      <c r="S1969" s="25" t="e">
        <f ca="1"/>
        <v>#REF!</v>
      </c>
      <c r="T1969" s="25" t="e">
        <f ca="1"/>
        <v>#REF!</v>
      </c>
      <c r="U1969" s="25" t="e">
        <f ca="1"/>
        <v>#REF!</v>
      </c>
      <c r="V1969" s="25" t="e">
        <f ca="1"/>
        <v>#REF!</v>
      </c>
      <c r="W1969" s="33" t="e">
        <f ca="1"/>
        <v>#REF!</v>
      </c>
      <c r="X1969" s="33" t="e">
        <f ca="1"/>
        <v>#REF!</v>
      </c>
      <c r="Y1969" s="33" t="e">
        <f ca="1"/>
        <v>#REF!</v>
      </c>
      <c r="Z1969" s="33" t="e">
        <f ca="1"/>
        <v>#REF!</v>
      </c>
      <c r="AA1969" s="33" t="e">
        <f ca="1"/>
        <v>#REF!</v>
      </c>
    </row>
    <row r="1970" spans="1:27" s="70" customFormat="1" ht="11.25" x14ac:dyDescent="0.2">
      <c r="A1970" s="24">
        <v>1964</v>
      </c>
      <c r="B1970" s="27"/>
      <c r="C1970" s="28"/>
      <c r="D1970" s="71"/>
      <c r="E1970" s="28"/>
      <c r="F1970" s="25"/>
      <c r="G1970" s="27"/>
      <c r="H1970" s="28" t="e">
        <f ca="1"/>
        <v>#REF!</v>
      </c>
      <c r="I1970" s="27" t="e">
        <f ca="1"/>
        <v>#REF!</v>
      </c>
      <c r="J1970" s="28" t="e">
        <f ca="1"/>
        <v>#REF!</v>
      </c>
      <c r="K1970" s="27" t="e">
        <f ca="1"/>
        <v>#REF!</v>
      </c>
      <c r="L1970" s="25" t="e">
        <f ca="1"/>
        <v>#REF!</v>
      </c>
      <c r="M1970" s="25" t="e">
        <f ca="1"/>
        <v>#REF!</v>
      </c>
      <c r="N1970" s="25" t="e">
        <f ca="1"/>
        <v>#REF!</v>
      </c>
      <c r="O1970" s="25" t="e">
        <f ca="1"/>
        <v>#REF!</v>
      </c>
      <c r="P1970" s="25" t="e">
        <f ca="1"/>
        <v>#REF!</v>
      </c>
      <c r="Q1970" s="25" t="e">
        <f ca="1"/>
        <v>#REF!</v>
      </c>
      <c r="R1970" s="25" t="e">
        <f ca="1"/>
        <v>#REF!</v>
      </c>
      <c r="S1970" s="25" t="e">
        <f ca="1"/>
        <v>#REF!</v>
      </c>
      <c r="T1970" s="25" t="e">
        <f ca="1"/>
        <v>#REF!</v>
      </c>
      <c r="U1970" s="25" t="e">
        <f ca="1"/>
        <v>#REF!</v>
      </c>
      <c r="V1970" s="25" t="e">
        <f ca="1"/>
        <v>#REF!</v>
      </c>
      <c r="W1970" s="33" t="e">
        <f ca="1"/>
        <v>#REF!</v>
      </c>
      <c r="X1970" s="33" t="e">
        <f ca="1"/>
        <v>#REF!</v>
      </c>
      <c r="Y1970" s="33" t="e">
        <f ca="1"/>
        <v>#REF!</v>
      </c>
      <c r="Z1970" s="33" t="e">
        <f ca="1"/>
        <v>#REF!</v>
      </c>
      <c r="AA1970" s="33" t="e">
        <f ca="1"/>
        <v>#REF!</v>
      </c>
    </row>
    <row r="1971" spans="1:27" s="70" customFormat="1" ht="11.25" x14ac:dyDescent="0.2">
      <c r="A1971" s="24">
        <v>1965</v>
      </c>
      <c r="B1971" s="27"/>
      <c r="C1971" s="28"/>
      <c r="D1971" s="71"/>
      <c r="E1971" s="28"/>
      <c r="F1971" s="25"/>
      <c r="G1971" s="27"/>
      <c r="H1971" s="28" t="e">
        <f ca="1"/>
        <v>#REF!</v>
      </c>
      <c r="I1971" s="27" t="e">
        <f ca="1"/>
        <v>#REF!</v>
      </c>
      <c r="J1971" s="28" t="e">
        <f ca="1"/>
        <v>#REF!</v>
      </c>
      <c r="K1971" s="27" t="e">
        <f ca="1"/>
        <v>#REF!</v>
      </c>
      <c r="L1971" s="25" t="e">
        <f ca="1"/>
        <v>#REF!</v>
      </c>
      <c r="M1971" s="25" t="e">
        <f ca="1"/>
        <v>#REF!</v>
      </c>
      <c r="N1971" s="25" t="e">
        <f ca="1"/>
        <v>#REF!</v>
      </c>
      <c r="O1971" s="25" t="e">
        <f ca="1"/>
        <v>#REF!</v>
      </c>
      <c r="P1971" s="25" t="e">
        <f ca="1"/>
        <v>#REF!</v>
      </c>
      <c r="Q1971" s="25" t="e">
        <f ca="1"/>
        <v>#REF!</v>
      </c>
      <c r="R1971" s="25" t="e">
        <f ca="1"/>
        <v>#REF!</v>
      </c>
      <c r="S1971" s="25" t="e">
        <f ca="1"/>
        <v>#REF!</v>
      </c>
      <c r="T1971" s="25" t="e">
        <f ca="1"/>
        <v>#REF!</v>
      </c>
      <c r="U1971" s="25" t="e">
        <f ca="1"/>
        <v>#REF!</v>
      </c>
      <c r="V1971" s="25" t="e">
        <f ca="1"/>
        <v>#REF!</v>
      </c>
      <c r="W1971" s="33" t="e">
        <f ca="1"/>
        <v>#REF!</v>
      </c>
      <c r="X1971" s="33" t="e">
        <f ca="1"/>
        <v>#REF!</v>
      </c>
      <c r="Y1971" s="33" t="e">
        <f ca="1"/>
        <v>#REF!</v>
      </c>
      <c r="Z1971" s="33" t="e">
        <f ca="1"/>
        <v>#REF!</v>
      </c>
      <c r="AA1971" s="33" t="e">
        <f ca="1"/>
        <v>#REF!</v>
      </c>
    </row>
    <row r="1972" spans="1:27" s="70" customFormat="1" ht="11.25" x14ac:dyDescent="0.2">
      <c r="A1972" s="24">
        <v>1966</v>
      </c>
      <c r="B1972" s="27"/>
      <c r="C1972" s="28"/>
      <c r="D1972" s="71"/>
      <c r="E1972" s="28"/>
      <c r="F1972" s="25"/>
      <c r="G1972" s="27"/>
      <c r="H1972" s="28" t="e">
        <f ca="1"/>
        <v>#REF!</v>
      </c>
      <c r="I1972" s="27" t="e">
        <f ca="1"/>
        <v>#REF!</v>
      </c>
      <c r="J1972" s="28" t="e">
        <f ca="1"/>
        <v>#REF!</v>
      </c>
      <c r="K1972" s="27" t="e">
        <f ca="1"/>
        <v>#REF!</v>
      </c>
      <c r="L1972" s="25" t="e">
        <f ca="1"/>
        <v>#REF!</v>
      </c>
      <c r="M1972" s="25" t="e">
        <f ca="1"/>
        <v>#REF!</v>
      </c>
      <c r="N1972" s="25" t="e">
        <f ca="1"/>
        <v>#REF!</v>
      </c>
      <c r="O1972" s="25" t="e">
        <f ca="1"/>
        <v>#REF!</v>
      </c>
      <c r="P1972" s="25" t="e">
        <f ca="1"/>
        <v>#REF!</v>
      </c>
      <c r="Q1972" s="25" t="e">
        <f ca="1"/>
        <v>#REF!</v>
      </c>
      <c r="R1972" s="25" t="e">
        <f ca="1"/>
        <v>#REF!</v>
      </c>
      <c r="S1972" s="25" t="e">
        <f ca="1"/>
        <v>#REF!</v>
      </c>
      <c r="T1972" s="25" t="e">
        <f ca="1"/>
        <v>#REF!</v>
      </c>
      <c r="U1972" s="25" t="e">
        <f ca="1"/>
        <v>#REF!</v>
      </c>
      <c r="V1972" s="25" t="e">
        <f ca="1"/>
        <v>#REF!</v>
      </c>
      <c r="W1972" s="33" t="e">
        <f ca="1"/>
        <v>#REF!</v>
      </c>
      <c r="X1972" s="33" t="e">
        <f ca="1"/>
        <v>#REF!</v>
      </c>
      <c r="Y1972" s="33" t="e">
        <f ca="1"/>
        <v>#REF!</v>
      </c>
      <c r="Z1972" s="33" t="e">
        <f ca="1"/>
        <v>#REF!</v>
      </c>
      <c r="AA1972" s="33" t="e">
        <f ca="1"/>
        <v>#REF!</v>
      </c>
    </row>
    <row r="1973" spans="1:27" s="70" customFormat="1" ht="11.25" x14ac:dyDescent="0.2">
      <c r="A1973" s="24">
        <v>1967</v>
      </c>
      <c r="B1973" s="27"/>
      <c r="C1973" s="28"/>
      <c r="D1973" s="71"/>
      <c r="E1973" s="28"/>
      <c r="F1973" s="25"/>
      <c r="G1973" s="27"/>
      <c r="H1973" s="28" t="e">
        <f ca="1"/>
        <v>#REF!</v>
      </c>
      <c r="I1973" s="27" t="e">
        <f ca="1"/>
        <v>#REF!</v>
      </c>
      <c r="J1973" s="28" t="e">
        <f ca="1"/>
        <v>#REF!</v>
      </c>
      <c r="K1973" s="27" t="e">
        <f ca="1"/>
        <v>#REF!</v>
      </c>
      <c r="L1973" s="25" t="e">
        <f ca="1"/>
        <v>#REF!</v>
      </c>
      <c r="M1973" s="25" t="e">
        <f ca="1"/>
        <v>#REF!</v>
      </c>
      <c r="N1973" s="25" t="e">
        <f ca="1"/>
        <v>#REF!</v>
      </c>
      <c r="O1973" s="25" t="e">
        <f ca="1"/>
        <v>#REF!</v>
      </c>
      <c r="P1973" s="25" t="e">
        <f ca="1"/>
        <v>#REF!</v>
      </c>
      <c r="Q1973" s="25" t="e">
        <f ca="1"/>
        <v>#REF!</v>
      </c>
      <c r="R1973" s="25" t="e">
        <f ca="1"/>
        <v>#REF!</v>
      </c>
      <c r="S1973" s="25" t="e">
        <f ca="1"/>
        <v>#REF!</v>
      </c>
      <c r="T1973" s="25" t="e">
        <f ca="1"/>
        <v>#REF!</v>
      </c>
      <c r="U1973" s="25" t="e">
        <f ca="1"/>
        <v>#REF!</v>
      </c>
      <c r="V1973" s="25" t="e">
        <f ca="1"/>
        <v>#REF!</v>
      </c>
      <c r="W1973" s="33" t="e">
        <f ca="1"/>
        <v>#REF!</v>
      </c>
      <c r="X1973" s="33" t="e">
        <f ca="1"/>
        <v>#REF!</v>
      </c>
      <c r="Y1973" s="33" t="e">
        <f ca="1"/>
        <v>#REF!</v>
      </c>
      <c r="Z1973" s="33" t="e">
        <f ca="1"/>
        <v>#REF!</v>
      </c>
      <c r="AA1973" s="33" t="e">
        <f ca="1"/>
        <v>#REF!</v>
      </c>
    </row>
    <row r="1974" spans="1:27" s="70" customFormat="1" ht="11.25" x14ac:dyDescent="0.2">
      <c r="A1974" s="24">
        <v>1968</v>
      </c>
      <c r="B1974" s="24"/>
      <c r="C1974" s="25"/>
      <c r="D1974" s="26"/>
      <c r="E1974" s="25"/>
      <c r="F1974" s="25"/>
      <c r="G1974" s="24"/>
      <c r="H1974" s="25" t="e">
        <f ca="1"/>
        <v>#REF!</v>
      </c>
      <c r="I1974" s="27" t="e">
        <f ca="1"/>
        <v>#REF!</v>
      </c>
      <c r="J1974" s="28" t="e">
        <f ca="1"/>
        <v>#REF!</v>
      </c>
      <c r="K1974" s="27" t="e">
        <f ca="1"/>
        <v>#REF!</v>
      </c>
      <c r="L1974" s="25" t="e">
        <f ca="1"/>
        <v>#REF!</v>
      </c>
      <c r="M1974" s="25" t="e">
        <f ca="1"/>
        <v>#REF!</v>
      </c>
      <c r="N1974" s="25" t="e">
        <f ca="1"/>
        <v>#REF!</v>
      </c>
      <c r="O1974" s="25" t="e">
        <f ca="1"/>
        <v>#REF!</v>
      </c>
      <c r="P1974" s="25" t="e">
        <f ca="1"/>
        <v>#REF!</v>
      </c>
      <c r="Q1974" s="25" t="e">
        <f ca="1"/>
        <v>#REF!</v>
      </c>
      <c r="R1974" s="25" t="e">
        <f ca="1"/>
        <v>#REF!</v>
      </c>
      <c r="S1974" s="25" t="e">
        <f ca="1"/>
        <v>#REF!</v>
      </c>
      <c r="T1974" s="25" t="e">
        <f ca="1"/>
        <v>#REF!</v>
      </c>
      <c r="U1974" s="25" t="e">
        <f ca="1"/>
        <v>#REF!</v>
      </c>
      <c r="V1974" s="25" t="e">
        <f ca="1"/>
        <v>#REF!</v>
      </c>
      <c r="W1974" s="33" t="e">
        <f ca="1"/>
        <v>#REF!</v>
      </c>
      <c r="X1974" s="33" t="e">
        <f ca="1"/>
        <v>#REF!</v>
      </c>
      <c r="Y1974" s="33" t="e">
        <f ca="1"/>
        <v>#REF!</v>
      </c>
      <c r="Z1974" s="33" t="e">
        <f ca="1"/>
        <v>#REF!</v>
      </c>
      <c r="AA1974" s="33" t="e">
        <f ca="1"/>
        <v>#REF!</v>
      </c>
    </row>
    <row r="1975" spans="1:27" s="70" customFormat="1" ht="11.25" x14ac:dyDescent="0.2">
      <c r="A1975" s="24">
        <v>1969</v>
      </c>
      <c r="B1975" s="24"/>
      <c r="C1975" s="25"/>
      <c r="D1975" s="26"/>
      <c r="E1975" s="25"/>
      <c r="F1975" s="25"/>
      <c r="G1975" s="24"/>
      <c r="H1975" s="25" t="e">
        <f ca="1"/>
        <v>#REF!</v>
      </c>
      <c r="I1975" s="27" t="e">
        <f ca="1"/>
        <v>#REF!</v>
      </c>
      <c r="J1975" s="28" t="e">
        <f ca="1"/>
        <v>#REF!</v>
      </c>
      <c r="K1975" s="27" t="e">
        <f ca="1"/>
        <v>#REF!</v>
      </c>
      <c r="L1975" s="25" t="e">
        <f ca="1"/>
        <v>#REF!</v>
      </c>
      <c r="M1975" s="25" t="e">
        <f ca="1"/>
        <v>#REF!</v>
      </c>
      <c r="N1975" s="25" t="e">
        <f ca="1"/>
        <v>#REF!</v>
      </c>
      <c r="O1975" s="25" t="e">
        <f ca="1"/>
        <v>#REF!</v>
      </c>
      <c r="P1975" s="25" t="e">
        <f ca="1"/>
        <v>#REF!</v>
      </c>
      <c r="Q1975" s="25" t="e">
        <f ca="1"/>
        <v>#REF!</v>
      </c>
      <c r="R1975" s="25" t="e">
        <f ca="1"/>
        <v>#REF!</v>
      </c>
      <c r="S1975" s="25" t="e">
        <f ca="1"/>
        <v>#REF!</v>
      </c>
      <c r="T1975" s="25" t="e">
        <f ca="1"/>
        <v>#REF!</v>
      </c>
      <c r="U1975" s="25" t="e">
        <f ca="1"/>
        <v>#REF!</v>
      </c>
      <c r="V1975" s="25" t="e">
        <f ca="1"/>
        <v>#REF!</v>
      </c>
      <c r="W1975" s="33" t="e">
        <f ca="1"/>
        <v>#REF!</v>
      </c>
      <c r="X1975" s="33" t="e">
        <f ca="1"/>
        <v>#REF!</v>
      </c>
      <c r="Y1975" s="33" t="e">
        <f ca="1"/>
        <v>#REF!</v>
      </c>
      <c r="Z1975" s="33" t="e">
        <f ca="1"/>
        <v>#REF!</v>
      </c>
      <c r="AA1975" s="33" t="e">
        <f ca="1"/>
        <v>#REF!</v>
      </c>
    </row>
    <row r="1976" spans="1:27" s="70" customFormat="1" ht="11.25" x14ac:dyDescent="0.2">
      <c r="A1976" s="24">
        <v>1970</v>
      </c>
      <c r="B1976" s="24"/>
      <c r="C1976" s="25"/>
      <c r="D1976" s="26"/>
      <c r="E1976" s="25"/>
      <c r="F1976" s="25"/>
      <c r="G1976" s="24"/>
      <c r="H1976" s="25" t="e">
        <f ca="1"/>
        <v>#REF!</v>
      </c>
      <c r="I1976" s="27" t="e">
        <f ca="1"/>
        <v>#REF!</v>
      </c>
      <c r="J1976" s="28" t="e">
        <f ca="1"/>
        <v>#REF!</v>
      </c>
      <c r="K1976" s="27" t="e">
        <f ca="1"/>
        <v>#REF!</v>
      </c>
      <c r="L1976" s="25" t="e">
        <f ca="1"/>
        <v>#REF!</v>
      </c>
      <c r="M1976" s="25" t="e">
        <f ca="1"/>
        <v>#REF!</v>
      </c>
      <c r="N1976" s="25" t="e">
        <f ca="1"/>
        <v>#REF!</v>
      </c>
      <c r="O1976" s="25" t="e">
        <f ca="1"/>
        <v>#REF!</v>
      </c>
      <c r="P1976" s="25" t="e">
        <f ca="1"/>
        <v>#REF!</v>
      </c>
      <c r="Q1976" s="25" t="e">
        <f ca="1"/>
        <v>#REF!</v>
      </c>
      <c r="R1976" s="25" t="e">
        <f ca="1"/>
        <v>#REF!</v>
      </c>
      <c r="S1976" s="25" t="e">
        <f ca="1"/>
        <v>#REF!</v>
      </c>
      <c r="T1976" s="25" t="e">
        <f ca="1"/>
        <v>#REF!</v>
      </c>
      <c r="U1976" s="25" t="e">
        <f ca="1"/>
        <v>#REF!</v>
      </c>
      <c r="V1976" s="25" t="e">
        <f ca="1"/>
        <v>#REF!</v>
      </c>
      <c r="W1976" s="33" t="e">
        <f ca="1"/>
        <v>#REF!</v>
      </c>
      <c r="X1976" s="33" t="e">
        <f ca="1"/>
        <v>#REF!</v>
      </c>
      <c r="Y1976" s="33" t="e">
        <f ca="1"/>
        <v>#REF!</v>
      </c>
      <c r="Z1976" s="33" t="e">
        <f ca="1"/>
        <v>#REF!</v>
      </c>
      <c r="AA1976" s="33" t="e">
        <f ca="1"/>
        <v>#REF!</v>
      </c>
    </row>
    <row r="1977" spans="1:27" s="70" customFormat="1" ht="11.25" x14ac:dyDescent="0.2">
      <c r="A1977" s="24">
        <v>1971</v>
      </c>
      <c r="B1977" s="24"/>
      <c r="C1977" s="25"/>
      <c r="D1977" s="26"/>
      <c r="E1977" s="25"/>
      <c r="F1977" s="25"/>
      <c r="G1977" s="24"/>
      <c r="H1977" s="25" t="e">
        <f ca="1"/>
        <v>#REF!</v>
      </c>
      <c r="I1977" s="27" t="e">
        <f ca="1"/>
        <v>#REF!</v>
      </c>
      <c r="J1977" s="28" t="e">
        <f ca="1"/>
        <v>#REF!</v>
      </c>
      <c r="K1977" s="27" t="e">
        <f ca="1"/>
        <v>#REF!</v>
      </c>
      <c r="L1977" s="25" t="e">
        <f ca="1"/>
        <v>#REF!</v>
      </c>
      <c r="M1977" s="25" t="e">
        <f ca="1"/>
        <v>#REF!</v>
      </c>
      <c r="N1977" s="25" t="e">
        <f ca="1"/>
        <v>#REF!</v>
      </c>
      <c r="O1977" s="25" t="e">
        <f ca="1"/>
        <v>#REF!</v>
      </c>
      <c r="P1977" s="25" t="e">
        <f ca="1"/>
        <v>#REF!</v>
      </c>
      <c r="Q1977" s="25" t="e">
        <f ca="1"/>
        <v>#REF!</v>
      </c>
      <c r="R1977" s="25" t="e">
        <f ca="1"/>
        <v>#REF!</v>
      </c>
      <c r="S1977" s="25" t="e">
        <f ca="1"/>
        <v>#REF!</v>
      </c>
      <c r="T1977" s="25" t="e">
        <f ca="1"/>
        <v>#REF!</v>
      </c>
      <c r="U1977" s="25" t="e">
        <f ca="1"/>
        <v>#REF!</v>
      </c>
      <c r="V1977" s="25" t="e">
        <f ca="1"/>
        <v>#REF!</v>
      </c>
      <c r="W1977" s="33" t="e">
        <f ca="1"/>
        <v>#REF!</v>
      </c>
      <c r="X1977" s="33" t="e">
        <f ca="1"/>
        <v>#REF!</v>
      </c>
      <c r="Y1977" s="33" t="e">
        <f ca="1"/>
        <v>#REF!</v>
      </c>
      <c r="Z1977" s="33" t="e">
        <f ca="1"/>
        <v>#REF!</v>
      </c>
      <c r="AA1977" s="33" t="e">
        <f ca="1"/>
        <v>#REF!</v>
      </c>
    </row>
    <row r="1978" spans="1:27" s="70" customFormat="1" ht="11.25" x14ac:dyDescent="0.2">
      <c r="A1978" s="24">
        <v>1972</v>
      </c>
      <c r="B1978" s="24"/>
      <c r="C1978" s="25"/>
      <c r="D1978" s="26"/>
      <c r="E1978" s="25"/>
      <c r="F1978" s="25"/>
      <c r="G1978" s="24"/>
      <c r="H1978" s="25" t="e">
        <f ca="1"/>
        <v>#REF!</v>
      </c>
      <c r="I1978" s="27" t="e">
        <f ca="1"/>
        <v>#REF!</v>
      </c>
      <c r="J1978" s="28" t="e">
        <f ca="1"/>
        <v>#REF!</v>
      </c>
      <c r="K1978" s="27" t="e">
        <f ca="1"/>
        <v>#REF!</v>
      </c>
      <c r="L1978" s="25" t="e">
        <f ca="1"/>
        <v>#REF!</v>
      </c>
      <c r="M1978" s="25" t="e">
        <f ca="1"/>
        <v>#REF!</v>
      </c>
      <c r="N1978" s="25" t="e">
        <f ca="1"/>
        <v>#REF!</v>
      </c>
      <c r="O1978" s="25" t="e">
        <f ca="1"/>
        <v>#REF!</v>
      </c>
      <c r="P1978" s="25" t="e">
        <f ca="1"/>
        <v>#REF!</v>
      </c>
      <c r="Q1978" s="25" t="e">
        <f ca="1"/>
        <v>#REF!</v>
      </c>
      <c r="R1978" s="25" t="e">
        <f ca="1"/>
        <v>#REF!</v>
      </c>
      <c r="S1978" s="25" t="e">
        <f ca="1"/>
        <v>#REF!</v>
      </c>
      <c r="T1978" s="25" t="e">
        <f ca="1"/>
        <v>#REF!</v>
      </c>
      <c r="U1978" s="25" t="e">
        <f ca="1"/>
        <v>#REF!</v>
      </c>
      <c r="V1978" s="25" t="e">
        <f ca="1"/>
        <v>#REF!</v>
      </c>
      <c r="W1978" s="33" t="e">
        <f ca="1"/>
        <v>#REF!</v>
      </c>
      <c r="X1978" s="33" t="e">
        <f ca="1"/>
        <v>#REF!</v>
      </c>
      <c r="Y1978" s="33" t="e">
        <f ca="1"/>
        <v>#REF!</v>
      </c>
      <c r="Z1978" s="33" t="e">
        <f ca="1"/>
        <v>#REF!</v>
      </c>
      <c r="AA1978" s="33" t="e">
        <f ca="1"/>
        <v>#REF!</v>
      </c>
    </row>
    <row r="1979" spans="1:27" s="70" customFormat="1" ht="11.25" x14ac:dyDescent="0.2">
      <c r="A1979" s="24">
        <v>1973</v>
      </c>
      <c r="B1979" s="24"/>
      <c r="C1979" s="25"/>
      <c r="D1979" s="26"/>
      <c r="E1979" s="25"/>
      <c r="F1979" s="25"/>
      <c r="G1979" s="24"/>
      <c r="H1979" s="25" t="e">
        <f ca="1"/>
        <v>#REF!</v>
      </c>
      <c r="I1979" s="27" t="e">
        <f ca="1"/>
        <v>#REF!</v>
      </c>
      <c r="J1979" s="28" t="e">
        <f ca="1"/>
        <v>#REF!</v>
      </c>
      <c r="K1979" s="27" t="e">
        <f ca="1"/>
        <v>#REF!</v>
      </c>
      <c r="L1979" s="25" t="e">
        <f ca="1"/>
        <v>#REF!</v>
      </c>
      <c r="M1979" s="25" t="e">
        <f ca="1"/>
        <v>#REF!</v>
      </c>
      <c r="N1979" s="25" t="e">
        <f ca="1"/>
        <v>#REF!</v>
      </c>
      <c r="O1979" s="25" t="e">
        <f ca="1"/>
        <v>#REF!</v>
      </c>
      <c r="P1979" s="25" t="e">
        <f ca="1"/>
        <v>#REF!</v>
      </c>
      <c r="Q1979" s="25" t="e">
        <f ca="1"/>
        <v>#REF!</v>
      </c>
      <c r="R1979" s="25" t="e">
        <f ca="1"/>
        <v>#REF!</v>
      </c>
      <c r="S1979" s="25" t="e">
        <f ca="1"/>
        <v>#REF!</v>
      </c>
      <c r="T1979" s="25" t="e">
        <f ca="1"/>
        <v>#REF!</v>
      </c>
      <c r="U1979" s="25" t="e">
        <f ca="1"/>
        <v>#REF!</v>
      </c>
      <c r="V1979" s="25" t="e">
        <f ca="1"/>
        <v>#REF!</v>
      </c>
      <c r="W1979" s="33" t="e">
        <f ca="1"/>
        <v>#REF!</v>
      </c>
      <c r="X1979" s="33" t="e">
        <f ca="1"/>
        <v>#REF!</v>
      </c>
      <c r="Y1979" s="33" t="e">
        <f ca="1"/>
        <v>#REF!</v>
      </c>
      <c r="Z1979" s="33" t="e">
        <f ca="1"/>
        <v>#REF!</v>
      </c>
      <c r="AA1979" s="33" t="e">
        <f ca="1"/>
        <v>#REF!</v>
      </c>
    </row>
    <row r="1980" spans="1:27" s="70" customFormat="1" ht="11.25" x14ac:dyDescent="0.2">
      <c r="A1980" s="24">
        <v>1974</v>
      </c>
      <c r="B1980" s="24"/>
      <c r="C1980" s="25"/>
      <c r="D1980" s="26"/>
      <c r="E1980" s="25"/>
      <c r="F1980" s="25"/>
      <c r="G1980" s="24"/>
      <c r="H1980" s="25" t="e">
        <f ca="1"/>
        <v>#REF!</v>
      </c>
      <c r="I1980" s="27" t="e">
        <f ca="1"/>
        <v>#REF!</v>
      </c>
      <c r="J1980" s="28" t="e">
        <f ca="1"/>
        <v>#REF!</v>
      </c>
      <c r="K1980" s="27" t="e">
        <f ca="1"/>
        <v>#REF!</v>
      </c>
      <c r="L1980" s="25" t="e">
        <f ca="1"/>
        <v>#REF!</v>
      </c>
      <c r="M1980" s="25" t="e">
        <f ca="1"/>
        <v>#REF!</v>
      </c>
      <c r="N1980" s="25" t="e">
        <f ca="1"/>
        <v>#REF!</v>
      </c>
      <c r="O1980" s="25" t="e">
        <f ca="1"/>
        <v>#REF!</v>
      </c>
      <c r="P1980" s="25" t="e">
        <f ca="1"/>
        <v>#REF!</v>
      </c>
      <c r="Q1980" s="25" t="e">
        <f ca="1"/>
        <v>#REF!</v>
      </c>
      <c r="R1980" s="25" t="e">
        <f ca="1"/>
        <v>#REF!</v>
      </c>
      <c r="S1980" s="25" t="e">
        <f ca="1"/>
        <v>#REF!</v>
      </c>
      <c r="T1980" s="25" t="e">
        <f ca="1"/>
        <v>#REF!</v>
      </c>
      <c r="U1980" s="25" t="e">
        <f ca="1"/>
        <v>#REF!</v>
      </c>
      <c r="V1980" s="25" t="e">
        <f ca="1"/>
        <v>#REF!</v>
      </c>
      <c r="W1980" s="33" t="e">
        <f ca="1"/>
        <v>#REF!</v>
      </c>
      <c r="X1980" s="33" t="e">
        <f ca="1"/>
        <v>#REF!</v>
      </c>
      <c r="Y1980" s="33" t="e">
        <f ca="1"/>
        <v>#REF!</v>
      </c>
      <c r="Z1980" s="33" t="e">
        <f ca="1"/>
        <v>#REF!</v>
      </c>
      <c r="AA1980" s="33" t="e">
        <f ca="1"/>
        <v>#REF!</v>
      </c>
    </row>
    <row r="1981" spans="1:27" s="70" customFormat="1" ht="11.25" x14ac:dyDescent="0.2">
      <c r="A1981" s="24">
        <v>1975</v>
      </c>
      <c r="B1981" s="24"/>
      <c r="C1981" s="25"/>
      <c r="D1981" s="26"/>
      <c r="E1981" s="25"/>
      <c r="F1981" s="25"/>
      <c r="G1981" s="24"/>
      <c r="H1981" s="25" t="e">
        <f ca="1"/>
        <v>#REF!</v>
      </c>
      <c r="I1981" s="27" t="e">
        <f ca="1"/>
        <v>#REF!</v>
      </c>
      <c r="J1981" s="28" t="e">
        <f ca="1"/>
        <v>#REF!</v>
      </c>
      <c r="K1981" s="27" t="e">
        <f ca="1"/>
        <v>#REF!</v>
      </c>
      <c r="L1981" s="25" t="e">
        <f ca="1"/>
        <v>#REF!</v>
      </c>
      <c r="M1981" s="25" t="e">
        <f ca="1"/>
        <v>#REF!</v>
      </c>
      <c r="N1981" s="25" t="e">
        <f ca="1"/>
        <v>#REF!</v>
      </c>
      <c r="O1981" s="25" t="e">
        <f ca="1"/>
        <v>#REF!</v>
      </c>
      <c r="P1981" s="25" t="e">
        <f ca="1"/>
        <v>#REF!</v>
      </c>
      <c r="Q1981" s="25" t="e">
        <f ca="1"/>
        <v>#REF!</v>
      </c>
      <c r="R1981" s="25" t="e">
        <f ca="1"/>
        <v>#REF!</v>
      </c>
      <c r="S1981" s="25" t="e">
        <f ca="1"/>
        <v>#REF!</v>
      </c>
      <c r="T1981" s="25" t="e">
        <f ca="1"/>
        <v>#REF!</v>
      </c>
      <c r="U1981" s="25" t="e">
        <f ca="1"/>
        <v>#REF!</v>
      </c>
      <c r="V1981" s="25" t="e">
        <f ca="1"/>
        <v>#REF!</v>
      </c>
      <c r="W1981" s="33" t="e">
        <f ca="1"/>
        <v>#REF!</v>
      </c>
      <c r="X1981" s="33" t="e">
        <f ca="1"/>
        <v>#REF!</v>
      </c>
      <c r="Y1981" s="33" t="e">
        <f ca="1"/>
        <v>#REF!</v>
      </c>
      <c r="Z1981" s="33" t="e">
        <f ca="1"/>
        <v>#REF!</v>
      </c>
      <c r="AA1981" s="33" t="e">
        <f ca="1"/>
        <v>#REF!</v>
      </c>
    </row>
    <row r="1982" spans="1:27" s="70" customFormat="1" ht="11.25" x14ac:dyDescent="0.2">
      <c r="A1982" s="24">
        <v>1976</v>
      </c>
      <c r="B1982" s="24"/>
      <c r="C1982" s="25"/>
      <c r="D1982" s="26"/>
      <c r="E1982" s="25"/>
      <c r="F1982" s="25"/>
      <c r="G1982" s="24"/>
      <c r="H1982" s="25" t="e">
        <f ca="1"/>
        <v>#REF!</v>
      </c>
      <c r="I1982" s="27" t="e">
        <f ca="1"/>
        <v>#REF!</v>
      </c>
      <c r="J1982" s="28" t="e">
        <f ca="1"/>
        <v>#REF!</v>
      </c>
      <c r="K1982" s="27" t="e">
        <f ca="1"/>
        <v>#REF!</v>
      </c>
      <c r="L1982" s="25" t="e">
        <f ca="1"/>
        <v>#REF!</v>
      </c>
      <c r="M1982" s="25" t="e">
        <f ca="1"/>
        <v>#REF!</v>
      </c>
      <c r="N1982" s="25" t="e">
        <f ca="1"/>
        <v>#REF!</v>
      </c>
      <c r="O1982" s="25" t="e">
        <f ca="1"/>
        <v>#REF!</v>
      </c>
      <c r="P1982" s="25" t="e">
        <f ca="1"/>
        <v>#REF!</v>
      </c>
      <c r="Q1982" s="25" t="e">
        <f ca="1"/>
        <v>#REF!</v>
      </c>
      <c r="R1982" s="25" t="e">
        <f ca="1"/>
        <v>#REF!</v>
      </c>
      <c r="S1982" s="25" t="e">
        <f ca="1"/>
        <v>#REF!</v>
      </c>
      <c r="T1982" s="25" t="e">
        <f ca="1"/>
        <v>#REF!</v>
      </c>
      <c r="U1982" s="25" t="e">
        <f ca="1"/>
        <v>#REF!</v>
      </c>
      <c r="V1982" s="25" t="e">
        <f ca="1"/>
        <v>#REF!</v>
      </c>
      <c r="W1982" s="33" t="e">
        <f ca="1"/>
        <v>#REF!</v>
      </c>
      <c r="X1982" s="33" t="e">
        <f ca="1"/>
        <v>#REF!</v>
      </c>
      <c r="Y1982" s="33" t="e">
        <f ca="1"/>
        <v>#REF!</v>
      </c>
      <c r="Z1982" s="33" t="e">
        <f ca="1"/>
        <v>#REF!</v>
      </c>
      <c r="AA1982" s="33" t="e">
        <f ca="1"/>
        <v>#REF!</v>
      </c>
    </row>
    <row r="1983" spans="1:27" s="70" customFormat="1" ht="11.25" x14ac:dyDescent="0.2">
      <c r="A1983" s="24">
        <v>1977</v>
      </c>
      <c r="B1983" s="24"/>
      <c r="C1983" s="25"/>
      <c r="D1983" s="26"/>
      <c r="E1983" s="25"/>
      <c r="F1983" s="25"/>
      <c r="G1983" s="24"/>
      <c r="H1983" s="25" t="e">
        <f ca="1"/>
        <v>#REF!</v>
      </c>
      <c r="I1983" s="27" t="e">
        <f ca="1"/>
        <v>#REF!</v>
      </c>
      <c r="J1983" s="28" t="e">
        <f ca="1"/>
        <v>#REF!</v>
      </c>
      <c r="K1983" s="27" t="e">
        <f ca="1"/>
        <v>#REF!</v>
      </c>
      <c r="L1983" s="25" t="e">
        <f ca="1"/>
        <v>#REF!</v>
      </c>
      <c r="M1983" s="25" t="e">
        <f ca="1"/>
        <v>#REF!</v>
      </c>
      <c r="N1983" s="25" t="e">
        <f ca="1"/>
        <v>#REF!</v>
      </c>
      <c r="O1983" s="25" t="e">
        <f ca="1"/>
        <v>#REF!</v>
      </c>
      <c r="P1983" s="25" t="e">
        <f ca="1"/>
        <v>#REF!</v>
      </c>
      <c r="Q1983" s="25" t="e">
        <f ca="1"/>
        <v>#REF!</v>
      </c>
      <c r="R1983" s="25" t="e">
        <f ca="1"/>
        <v>#REF!</v>
      </c>
      <c r="S1983" s="25" t="e">
        <f ca="1"/>
        <v>#REF!</v>
      </c>
      <c r="T1983" s="25" t="e">
        <f ca="1"/>
        <v>#REF!</v>
      </c>
      <c r="U1983" s="25" t="e">
        <f ca="1"/>
        <v>#REF!</v>
      </c>
      <c r="V1983" s="25" t="e">
        <f ca="1"/>
        <v>#REF!</v>
      </c>
      <c r="W1983" s="33" t="e">
        <f ca="1"/>
        <v>#REF!</v>
      </c>
      <c r="X1983" s="33" t="e">
        <f ca="1"/>
        <v>#REF!</v>
      </c>
      <c r="Y1983" s="33" t="e">
        <f ca="1"/>
        <v>#REF!</v>
      </c>
      <c r="Z1983" s="33" t="e">
        <f ca="1"/>
        <v>#REF!</v>
      </c>
      <c r="AA1983" s="33" t="e">
        <f ca="1"/>
        <v>#REF!</v>
      </c>
    </row>
    <row r="1984" spans="1:27" s="70" customFormat="1" ht="11.25" x14ac:dyDescent="0.2">
      <c r="A1984" s="24">
        <v>1978</v>
      </c>
      <c r="B1984" s="24"/>
      <c r="C1984" s="25"/>
      <c r="D1984" s="26"/>
      <c r="E1984" s="25"/>
      <c r="F1984" s="25"/>
      <c r="G1984" s="24"/>
      <c r="H1984" s="25" t="e">
        <f ca="1"/>
        <v>#REF!</v>
      </c>
      <c r="I1984" s="27" t="e">
        <f ca="1"/>
        <v>#REF!</v>
      </c>
      <c r="J1984" s="28" t="e">
        <f ca="1"/>
        <v>#REF!</v>
      </c>
      <c r="K1984" s="27" t="e">
        <f ca="1"/>
        <v>#REF!</v>
      </c>
      <c r="L1984" s="25" t="e">
        <f ca="1"/>
        <v>#REF!</v>
      </c>
      <c r="M1984" s="25" t="e">
        <f ca="1"/>
        <v>#REF!</v>
      </c>
      <c r="N1984" s="25" t="e">
        <f ca="1"/>
        <v>#REF!</v>
      </c>
      <c r="O1984" s="25" t="e">
        <f ca="1"/>
        <v>#REF!</v>
      </c>
      <c r="P1984" s="25" t="e">
        <f ca="1"/>
        <v>#REF!</v>
      </c>
      <c r="Q1984" s="25" t="e">
        <f ca="1"/>
        <v>#REF!</v>
      </c>
      <c r="R1984" s="25" t="e">
        <f ca="1"/>
        <v>#REF!</v>
      </c>
      <c r="S1984" s="25" t="e">
        <f ca="1"/>
        <v>#REF!</v>
      </c>
      <c r="T1984" s="25" t="e">
        <f ca="1"/>
        <v>#REF!</v>
      </c>
      <c r="U1984" s="25" t="e">
        <f ca="1"/>
        <v>#REF!</v>
      </c>
      <c r="V1984" s="25" t="e">
        <f ca="1"/>
        <v>#REF!</v>
      </c>
      <c r="W1984" s="33" t="e">
        <f ca="1"/>
        <v>#REF!</v>
      </c>
      <c r="X1984" s="33" t="e">
        <f ca="1"/>
        <v>#REF!</v>
      </c>
      <c r="Y1984" s="33" t="e">
        <f ca="1"/>
        <v>#REF!</v>
      </c>
      <c r="Z1984" s="33" t="e">
        <f ca="1"/>
        <v>#REF!</v>
      </c>
      <c r="AA1984" s="33" t="e">
        <f ca="1"/>
        <v>#REF!</v>
      </c>
    </row>
    <row r="1985" spans="1:27" s="70" customFormat="1" ht="11.25" x14ac:dyDescent="0.2">
      <c r="A1985" s="24">
        <v>1979</v>
      </c>
      <c r="B1985" s="24"/>
      <c r="C1985" s="25"/>
      <c r="D1985" s="26"/>
      <c r="E1985" s="25"/>
      <c r="F1985" s="25"/>
      <c r="G1985" s="24"/>
      <c r="H1985" s="25" t="e">
        <f ca="1"/>
        <v>#REF!</v>
      </c>
      <c r="I1985" s="27" t="e">
        <f ca="1"/>
        <v>#REF!</v>
      </c>
      <c r="J1985" s="28" t="e">
        <f ca="1"/>
        <v>#REF!</v>
      </c>
      <c r="K1985" s="27" t="e">
        <f ca="1"/>
        <v>#REF!</v>
      </c>
      <c r="L1985" s="25" t="e">
        <f ca="1"/>
        <v>#REF!</v>
      </c>
      <c r="M1985" s="25" t="e">
        <f ca="1"/>
        <v>#REF!</v>
      </c>
      <c r="N1985" s="25" t="e">
        <f ca="1"/>
        <v>#REF!</v>
      </c>
      <c r="O1985" s="25" t="e">
        <f ca="1"/>
        <v>#REF!</v>
      </c>
      <c r="P1985" s="25" t="e">
        <f ca="1"/>
        <v>#REF!</v>
      </c>
      <c r="Q1985" s="25" t="e">
        <f ca="1"/>
        <v>#REF!</v>
      </c>
      <c r="R1985" s="25" t="e">
        <f ca="1"/>
        <v>#REF!</v>
      </c>
      <c r="S1985" s="25" t="e">
        <f ca="1"/>
        <v>#REF!</v>
      </c>
      <c r="T1985" s="25" t="e">
        <f ca="1"/>
        <v>#REF!</v>
      </c>
      <c r="U1985" s="25" t="e">
        <f ca="1"/>
        <v>#REF!</v>
      </c>
      <c r="V1985" s="25" t="e">
        <f ca="1"/>
        <v>#REF!</v>
      </c>
      <c r="W1985" s="33" t="e">
        <f ca="1"/>
        <v>#REF!</v>
      </c>
      <c r="X1985" s="33" t="e">
        <f ca="1"/>
        <v>#REF!</v>
      </c>
      <c r="Y1985" s="33" t="e">
        <f ca="1"/>
        <v>#REF!</v>
      </c>
      <c r="Z1985" s="33" t="e">
        <f ca="1"/>
        <v>#REF!</v>
      </c>
      <c r="AA1985" s="33" t="e">
        <f ca="1"/>
        <v>#REF!</v>
      </c>
    </row>
    <row r="1986" spans="1:27" s="70" customFormat="1" ht="11.25" x14ac:dyDescent="0.2">
      <c r="A1986" s="24">
        <v>1980</v>
      </c>
      <c r="B1986" s="24"/>
      <c r="C1986" s="25"/>
      <c r="D1986" s="26"/>
      <c r="E1986" s="25"/>
      <c r="F1986" s="25"/>
      <c r="G1986" s="24"/>
      <c r="H1986" s="25" t="e">
        <f ca="1"/>
        <v>#REF!</v>
      </c>
      <c r="I1986" s="27" t="e">
        <f ca="1"/>
        <v>#REF!</v>
      </c>
      <c r="J1986" s="28" t="e">
        <f ca="1"/>
        <v>#REF!</v>
      </c>
      <c r="K1986" s="27" t="e">
        <f ca="1"/>
        <v>#REF!</v>
      </c>
      <c r="L1986" s="25" t="e">
        <f ca="1"/>
        <v>#REF!</v>
      </c>
      <c r="M1986" s="25" t="e">
        <f ca="1"/>
        <v>#REF!</v>
      </c>
      <c r="N1986" s="25" t="e">
        <f ca="1"/>
        <v>#REF!</v>
      </c>
      <c r="O1986" s="25" t="e">
        <f ca="1"/>
        <v>#REF!</v>
      </c>
      <c r="P1986" s="25" t="e">
        <f ca="1"/>
        <v>#REF!</v>
      </c>
      <c r="Q1986" s="25" t="e">
        <f ca="1"/>
        <v>#REF!</v>
      </c>
      <c r="R1986" s="25" t="e">
        <f ca="1"/>
        <v>#REF!</v>
      </c>
      <c r="S1986" s="25" t="e">
        <f ca="1"/>
        <v>#REF!</v>
      </c>
      <c r="T1986" s="25" t="e">
        <f ca="1"/>
        <v>#REF!</v>
      </c>
      <c r="U1986" s="25" t="e">
        <f ca="1"/>
        <v>#REF!</v>
      </c>
      <c r="V1986" s="25" t="e">
        <f ca="1"/>
        <v>#REF!</v>
      </c>
      <c r="W1986" s="33" t="e">
        <f ca="1"/>
        <v>#REF!</v>
      </c>
      <c r="X1986" s="33" t="e">
        <f ca="1"/>
        <v>#REF!</v>
      </c>
      <c r="Y1986" s="33" t="e">
        <f ca="1"/>
        <v>#REF!</v>
      </c>
      <c r="Z1986" s="33" t="e">
        <f ca="1"/>
        <v>#REF!</v>
      </c>
      <c r="AA1986" s="33" t="e">
        <f ca="1"/>
        <v>#REF!</v>
      </c>
    </row>
    <row r="1987" spans="1:27" s="70" customFormat="1" ht="11.25" x14ac:dyDescent="0.2">
      <c r="A1987" s="24">
        <v>1981</v>
      </c>
      <c r="B1987" s="24"/>
      <c r="C1987" s="25"/>
      <c r="D1987" s="26"/>
      <c r="E1987" s="25"/>
      <c r="F1987" s="25"/>
      <c r="G1987" s="24"/>
      <c r="H1987" s="25" t="e">
        <f ca="1"/>
        <v>#REF!</v>
      </c>
      <c r="I1987" s="27" t="e">
        <f ca="1"/>
        <v>#REF!</v>
      </c>
      <c r="J1987" s="28" t="e">
        <f ca="1"/>
        <v>#REF!</v>
      </c>
      <c r="K1987" s="27" t="e">
        <f ca="1"/>
        <v>#REF!</v>
      </c>
      <c r="L1987" s="25" t="e">
        <f ca="1"/>
        <v>#REF!</v>
      </c>
      <c r="M1987" s="25" t="e">
        <f ca="1"/>
        <v>#REF!</v>
      </c>
      <c r="N1987" s="25" t="e">
        <f ca="1"/>
        <v>#REF!</v>
      </c>
      <c r="O1987" s="25" t="e">
        <f ca="1"/>
        <v>#REF!</v>
      </c>
      <c r="P1987" s="25" t="e">
        <f ca="1"/>
        <v>#REF!</v>
      </c>
      <c r="Q1987" s="25" t="e">
        <f ca="1"/>
        <v>#REF!</v>
      </c>
      <c r="R1987" s="25" t="e">
        <f ca="1"/>
        <v>#REF!</v>
      </c>
      <c r="S1987" s="25" t="e">
        <f ca="1"/>
        <v>#REF!</v>
      </c>
      <c r="T1987" s="25" t="e">
        <f ca="1"/>
        <v>#REF!</v>
      </c>
      <c r="U1987" s="25" t="e">
        <f ca="1"/>
        <v>#REF!</v>
      </c>
      <c r="V1987" s="25" t="e">
        <f ca="1"/>
        <v>#REF!</v>
      </c>
      <c r="W1987" s="33" t="e">
        <f ca="1"/>
        <v>#REF!</v>
      </c>
      <c r="X1987" s="33" t="e">
        <f ca="1"/>
        <v>#REF!</v>
      </c>
      <c r="Y1987" s="33" t="e">
        <f ca="1"/>
        <v>#REF!</v>
      </c>
      <c r="Z1987" s="33" t="e">
        <f ca="1"/>
        <v>#REF!</v>
      </c>
      <c r="AA1987" s="33" t="e">
        <f ca="1"/>
        <v>#REF!</v>
      </c>
    </row>
    <row r="1988" spans="1:27" s="70" customFormat="1" ht="11.25" x14ac:dyDescent="0.2">
      <c r="A1988" s="24">
        <v>1982</v>
      </c>
      <c r="B1988" s="24"/>
      <c r="C1988" s="25"/>
      <c r="D1988" s="26"/>
      <c r="E1988" s="25"/>
      <c r="F1988" s="25"/>
      <c r="G1988" s="24"/>
      <c r="H1988" s="25" t="e">
        <f ca="1"/>
        <v>#REF!</v>
      </c>
      <c r="I1988" s="27" t="e">
        <f ca="1"/>
        <v>#REF!</v>
      </c>
      <c r="J1988" s="28" t="e">
        <f ca="1"/>
        <v>#REF!</v>
      </c>
      <c r="K1988" s="27" t="e">
        <f ca="1"/>
        <v>#REF!</v>
      </c>
      <c r="L1988" s="25" t="e">
        <f ca="1"/>
        <v>#REF!</v>
      </c>
      <c r="M1988" s="25" t="e">
        <f ca="1"/>
        <v>#REF!</v>
      </c>
      <c r="N1988" s="25" t="e">
        <f ca="1"/>
        <v>#REF!</v>
      </c>
      <c r="O1988" s="25" t="e">
        <f ca="1"/>
        <v>#REF!</v>
      </c>
      <c r="P1988" s="25" t="e">
        <f ca="1"/>
        <v>#REF!</v>
      </c>
      <c r="Q1988" s="25" t="e">
        <f ca="1"/>
        <v>#REF!</v>
      </c>
      <c r="R1988" s="25" t="e">
        <f ca="1"/>
        <v>#REF!</v>
      </c>
      <c r="S1988" s="25" t="e">
        <f ca="1"/>
        <v>#REF!</v>
      </c>
      <c r="T1988" s="25" t="e">
        <f ca="1"/>
        <v>#REF!</v>
      </c>
      <c r="U1988" s="25" t="e">
        <f ca="1"/>
        <v>#REF!</v>
      </c>
      <c r="V1988" s="25" t="e">
        <f ca="1"/>
        <v>#REF!</v>
      </c>
      <c r="W1988" s="33" t="e">
        <f ca="1"/>
        <v>#REF!</v>
      </c>
      <c r="X1988" s="33" t="e">
        <f ca="1"/>
        <v>#REF!</v>
      </c>
      <c r="Y1988" s="33" t="e">
        <f ca="1"/>
        <v>#REF!</v>
      </c>
      <c r="Z1988" s="33" t="e">
        <f ca="1"/>
        <v>#REF!</v>
      </c>
      <c r="AA1988" s="33" t="e">
        <f ca="1"/>
        <v>#REF!</v>
      </c>
    </row>
    <row r="1989" spans="1:27" s="70" customFormat="1" ht="11.25" x14ac:dyDescent="0.2">
      <c r="A1989" s="24">
        <v>1983</v>
      </c>
      <c r="B1989" s="24"/>
      <c r="C1989" s="25"/>
      <c r="D1989" s="26"/>
      <c r="E1989" s="25"/>
      <c r="F1989" s="25"/>
      <c r="G1989" s="24"/>
      <c r="H1989" s="25" t="e">
        <f ca="1"/>
        <v>#REF!</v>
      </c>
      <c r="I1989" s="27" t="e">
        <f ca="1"/>
        <v>#REF!</v>
      </c>
      <c r="J1989" s="28" t="e">
        <f ca="1"/>
        <v>#REF!</v>
      </c>
      <c r="K1989" s="27" t="e">
        <f ca="1"/>
        <v>#REF!</v>
      </c>
      <c r="L1989" s="25" t="e">
        <f ca="1"/>
        <v>#REF!</v>
      </c>
      <c r="M1989" s="25" t="e">
        <f ca="1"/>
        <v>#REF!</v>
      </c>
      <c r="N1989" s="25" t="e">
        <f ca="1"/>
        <v>#REF!</v>
      </c>
      <c r="O1989" s="25" t="e">
        <f ca="1"/>
        <v>#REF!</v>
      </c>
      <c r="P1989" s="25" t="e">
        <f ca="1"/>
        <v>#REF!</v>
      </c>
      <c r="Q1989" s="25" t="e">
        <f ca="1"/>
        <v>#REF!</v>
      </c>
      <c r="R1989" s="25" t="e">
        <f ca="1"/>
        <v>#REF!</v>
      </c>
      <c r="S1989" s="25" t="e">
        <f ca="1"/>
        <v>#REF!</v>
      </c>
      <c r="T1989" s="25" t="e">
        <f ca="1"/>
        <v>#REF!</v>
      </c>
      <c r="U1989" s="25" t="e">
        <f ca="1"/>
        <v>#REF!</v>
      </c>
      <c r="V1989" s="25" t="e">
        <f ca="1"/>
        <v>#REF!</v>
      </c>
      <c r="W1989" s="33" t="e">
        <f ca="1"/>
        <v>#REF!</v>
      </c>
      <c r="X1989" s="33" t="e">
        <f ca="1"/>
        <v>#REF!</v>
      </c>
      <c r="Y1989" s="33" t="e">
        <f ca="1"/>
        <v>#REF!</v>
      </c>
      <c r="Z1989" s="33" t="e">
        <f ca="1"/>
        <v>#REF!</v>
      </c>
      <c r="AA1989" s="33" t="e">
        <f ca="1"/>
        <v>#REF!</v>
      </c>
    </row>
    <row r="1990" spans="1:27" s="70" customFormat="1" ht="11.25" x14ac:dyDescent="0.2">
      <c r="A1990" s="24">
        <v>1984</v>
      </c>
      <c r="B1990" s="24"/>
      <c r="C1990" s="25"/>
      <c r="D1990" s="26"/>
      <c r="E1990" s="25"/>
      <c r="F1990" s="25"/>
      <c r="G1990" s="24"/>
      <c r="H1990" s="25" t="e">
        <f ca="1"/>
        <v>#REF!</v>
      </c>
      <c r="I1990" s="27" t="e">
        <f ca="1"/>
        <v>#REF!</v>
      </c>
      <c r="J1990" s="28" t="e">
        <f ca="1"/>
        <v>#REF!</v>
      </c>
      <c r="K1990" s="27" t="e">
        <f ca="1"/>
        <v>#REF!</v>
      </c>
      <c r="L1990" s="25" t="e">
        <f ca="1"/>
        <v>#REF!</v>
      </c>
      <c r="M1990" s="25" t="e">
        <f ca="1"/>
        <v>#REF!</v>
      </c>
      <c r="N1990" s="25" t="e">
        <f ca="1"/>
        <v>#REF!</v>
      </c>
      <c r="O1990" s="25" t="e">
        <f ca="1"/>
        <v>#REF!</v>
      </c>
      <c r="P1990" s="25" t="e">
        <f ca="1"/>
        <v>#REF!</v>
      </c>
      <c r="Q1990" s="25" t="e">
        <f ca="1"/>
        <v>#REF!</v>
      </c>
      <c r="R1990" s="25" t="e">
        <f ca="1"/>
        <v>#REF!</v>
      </c>
      <c r="S1990" s="25" t="e">
        <f ca="1"/>
        <v>#REF!</v>
      </c>
      <c r="T1990" s="25" t="e">
        <f ca="1"/>
        <v>#REF!</v>
      </c>
      <c r="U1990" s="25" t="e">
        <f ca="1"/>
        <v>#REF!</v>
      </c>
      <c r="V1990" s="25" t="e">
        <f ca="1"/>
        <v>#REF!</v>
      </c>
      <c r="W1990" s="33" t="e">
        <f ca="1"/>
        <v>#REF!</v>
      </c>
      <c r="X1990" s="33" t="e">
        <f ca="1"/>
        <v>#REF!</v>
      </c>
      <c r="Y1990" s="33" t="e">
        <f ca="1"/>
        <v>#REF!</v>
      </c>
      <c r="Z1990" s="33" t="e">
        <f ca="1"/>
        <v>#REF!</v>
      </c>
      <c r="AA1990" s="33" t="e">
        <f ca="1"/>
        <v>#REF!</v>
      </c>
    </row>
    <row r="1991" spans="1:27" s="70" customFormat="1" ht="11.25" x14ac:dyDescent="0.2">
      <c r="A1991" s="24">
        <v>1985</v>
      </c>
      <c r="B1991" s="24"/>
      <c r="C1991" s="25"/>
      <c r="D1991" s="26"/>
      <c r="E1991" s="25"/>
      <c r="F1991" s="25"/>
      <c r="G1991" s="24"/>
      <c r="H1991" s="25" t="e">
        <f ca="1"/>
        <v>#REF!</v>
      </c>
      <c r="I1991" s="27" t="e">
        <f ca="1"/>
        <v>#REF!</v>
      </c>
      <c r="J1991" s="28" t="e">
        <f ca="1"/>
        <v>#REF!</v>
      </c>
      <c r="K1991" s="27" t="e">
        <f ca="1"/>
        <v>#REF!</v>
      </c>
      <c r="L1991" s="25" t="e">
        <f ca="1"/>
        <v>#REF!</v>
      </c>
      <c r="M1991" s="25" t="e">
        <f ca="1"/>
        <v>#REF!</v>
      </c>
      <c r="N1991" s="25" t="e">
        <f ca="1"/>
        <v>#REF!</v>
      </c>
      <c r="O1991" s="25" t="e">
        <f ca="1"/>
        <v>#REF!</v>
      </c>
      <c r="P1991" s="25" t="e">
        <f ca="1"/>
        <v>#REF!</v>
      </c>
      <c r="Q1991" s="25" t="e">
        <f ca="1"/>
        <v>#REF!</v>
      </c>
      <c r="R1991" s="25" t="e">
        <f ca="1"/>
        <v>#REF!</v>
      </c>
      <c r="S1991" s="25" t="e">
        <f ca="1"/>
        <v>#REF!</v>
      </c>
      <c r="T1991" s="25" t="e">
        <f ca="1"/>
        <v>#REF!</v>
      </c>
      <c r="U1991" s="25" t="e">
        <f ca="1"/>
        <v>#REF!</v>
      </c>
      <c r="V1991" s="25" t="e">
        <f ca="1"/>
        <v>#REF!</v>
      </c>
      <c r="W1991" s="33" t="e">
        <f ca="1"/>
        <v>#REF!</v>
      </c>
      <c r="X1991" s="33" t="e">
        <f ca="1"/>
        <v>#REF!</v>
      </c>
      <c r="Y1991" s="33" t="e">
        <f ca="1"/>
        <v>#REF!</v>
      </c>
      <c r="Z1991" s="33" t="e">
        <f ca="1"/>
        <v>#REF!</v>
      </c>
      <c r="AA1991" s="33" t="e">
        <f ca="1"/>
        <v>#REF!</v>
      </c>
    </row>
    <row r="1992" spans="1:27" s="70" customFormat="1" ht="11.25" x14ac:dyDescent="0.2">
      <c r="A1992" s="24">
        <v>1986</v>
      </c>
      <c r="B1992" s="24"/>
      <c r="C1992" s="25"/>
      <c r="D1992" s="26"/>
      <c r="E1992" s="25"/>
      <c r="F1992" s="25"/>
      <c r="G1992" s="24"/>
      <c r="H1992" s="25" t="e">
        <f ca="1"/>
        <v>#REF!</v>
      </c>
      <c r="I1992" s="27" t="e">
        <f ca="1"/>
        <v>#REF!</v>
      </c>
      <c r="J1992" s="28" t="e">
        <f ca="1"/>
        <v>#REF!</v>
      </c>
      <c r="K1992" s="27" t="e">
        <f ca="1"/>
        <v>#REF!</v>
      </c>
      <c r="L1992" s="25" t="e">
        <f ca="1"/>
        <v>#REF!</v>
      </c>
      <c r="M1992" s="25" t="e">
        <f ca="1"/>
        <v>#REF!</v>
      </c>
      <c r="N1992" s="25" t="e">
        <f ca="1"/>
        <v>#REF!</v>
      </c>
      <c r="O1992" s="25" t="e">
        <f ca="1"/>
        <v>#REF!</v>
      </c>
      <c r="P1992" s="25" t="e">
        <f ca="1"/>
        <v>#REF!</v>
      </c>
      <c r="Q1992" s="25" t="e">
        <f ca="1"/>
        <v>#REF!</v>
      </c>
      <c r="R1992" s="25" t="e">
        <f ca="1"/>
        <v>#REF!</v>
      </c>
      <c r="S1992" s="25" t="e">
        <f ca="1"/>
        <v>#REF!</v>
      </c>
      <c r="T1992" s="25" t="e">
        <f ca="1"/>
        <v>#REF!</v>
      </c>
      <c r="U1992" s="25" t="e">
        <f ca="1"/>
        <v>#REF!</v>
      </c>
      <c r="V1992" s="25" t="e">
        <f ca="1"/>
        <v>#REF!</v>
      </c>
      <c r="W1992" s="33" t="e">
        <f ca="1"/>
        <v>#REF!</v>
      </c>
      <c r="X1992" s="33" t="e">
        <f ca="1"/>
        <v>#REF!</v>
      </c>
      <c r="Y1992" s="33" t="e">
        <f ca="1"/>
        <v>#REF!</v>
      </c>
      <c r="Z1992" s="33" t="e">
        <f ca="1"/>
        <v>#REF!</v>
      </c>
      <c r="AA1992" s="33" t="e">
        <f ca="1"/>
        <v>#REF!</v>
      </c>
    </row>
    <row r="1993" spans="1:27" s="70" customFormat="1" ht="11.25" x14ac:dyDescent="0.2">
      <c r="A1993" s="24">
        <v>1987</v>
      </c>
      <c r="B1993" s="24"/>
      <c r="C1993" s="25"/>
      <c r="D1993" s="26"/>
      <c r="E1993" s="25"/>
      <c r="F1993" s="25"/>
      <c r="G1993" s="24"/>
      <c r="H1993" s="25" t="e">
        <f ca="1"/>
        <v>#REF!</v>
      </c>
      <c r="I1993" s="27" t="e">
        <f ca="1"/>
        <v>#REF!</v>
      </c>
      <c r="J1993" s="28" t="e">
        <f ca="1"/>
        <v>#REF!</v>
      </c>
      <c r="K1993" s="27" t="e">
        <f ca="1"/>
        <v>#REF!</v>
      </c>
      <c r="L1993" s="25" t="e">
        <f ca="1"/>
        <v>#REF!</v>
      </c>
      <c r="M1993" s="25" t="e">
        <f ca="1"/>
        <v>#REF!</v>
      </c>
      <c r="N1993" s="25" t="e">
        <f ca="1"/>
        <v>#REF!</v>
      </c>
      <c r="O1993" s="25" t="e">
        <f ca="1"/>
        <v>#REF!</v>
      </c>
      <c r="P1993" s="25" t="e">
        <f ca="1"/>
        <v>#REF!</v>
      </c>
      <c r="Q1993" s="25" t="e">
        <f ca="1"/>
        <v>#REF!</v>
      </c>
      <c r="R1993" s="25" t="e">
        <f ca="1"/>
        <v>#REF!</v>
      </c>
      <c r="S1993" s="25" t="e">
        <f ca="1"/>
        <v>#REF!</v>
      </c>
      <c r="T1993" s="25" t="e">
        <f ca="1"/>
        <v>#REF!</v>
      </c>
      <c r="U1993" s="25" t="e">
        <f ca="1"/>
        <v>#REF!</v>
      </c>
      <c r="V1993" s="25" t="e">
        <f ca="1"/>
        <v>#REF!</v>
      </c>
      <c r="W1993" s="33" t="e">
        <f ca="1"/>
        <v>#REF!</v>
      </c>
      <c r="X1993" s="33" t="e">
        <f ca="1"/>
        <v>#REF!</v>
      </c>
      <c r="Y1993" s="33" t="e">
        <f ca="1"/>
        <v>#REF!</v>
      </c>
      <c r="Z1993" s="33" t="e">
        <f ca="1"/>
        <v>#REF!</v>
      </c>
      <c r="AA1993" s="33" t="e">
        <f ca="1"/>
        <v>#REF!</v>
      </c>
    </row>
    <row r="1994" spans="1:27" s="70" customFormat="1" ht="11.25" x14ac:dyDescent="0.2">
      <c r="A1994" s="24">
        <v>1988</v>
      </c>
      <c r="B1994" s="24"/>
      <c r="C1994" s="25"/>
      <c r="D1994" s="26"/>
      <c r="E1994" s="25"/>
      <c r="F1994" s="25"/>
      <c r="G1994" s="24"/>
      <c r="H1994" s="25" t="e">
        <f ca="1"/>
        <v>#REF!</v>
      </c>
      <c r="I1994" s="27" t="e">
        <f ca="1"/>
        <v>#REF!</v>
      </c>
      <c r="J1994" s="28" t="e">
        <f ca="1"/>
        <v>#REF!</v>
      </c>
      <c r="K1994" s="27" t="e">
        <f ca="1"/>
        <v>#REF!</v>
      </c>
      <c r="L1994" s="25" t="e">
        <f ca="1"/>
        <v>#REF!</v>
      </c>
      <c r="M1994" s="25" t="e">
        <f ca="1"/>
        <v>#REF!</v>
      </c>
      <c r="N1994" s="25" t="e">
        <f ca="1"/>
        <v>#REF!</v>
      </c>
      <c r="O1994" s="25" t="e">
        <f ca="1"/>
        <v>#REF!</v>
      </c>
      <c r="P1994" s="25" t="e">
        <f ca="1"/>
        <v>#REF!</v>
      </c>
      <c r="Q1994" s="25" t="e">
        <f ca="1"/>
        <v>#REF!</v>
      </c>
      <c r="R1994" s="25" t="e">
        <f ca="1"/>
        <v>#REF!</v>
      </c>
      <c r="S1994" s="25" t="e">
        <f ca="1"/>
        <v>#REF!</v>
      </c>
      <c r="T1994" s="25" t="e">
        <f ca="1"/>
        <v>#REF!</v>
      </c>
      <c r="U1994" s="25" t="e">
        <f ca="1"/>
        <v>#REF!</v>
      </c>
      <c r="V1994" s="25" t="e">
        <f ca="1"/>
        <v>#REF!</v>
      </c>
      <c r="W1994" s="33" t="e">
        <f ca="1"/>
        <v>#REF!</v>
      </c>
      <c r="X1994" s="33" t="e">
        <f ca="1"/>
        <v>#REF!</v>
      </c>
      <c r="Y1994" s="33" t="e">
        <f ca="1"/>
        <v>#REF!</v>
      </c>
      <c r="Z1994" s="33" t="e">
        <f ca="1"/>
        <v>#REF!</v>
      </c>
      <c r="AA1994" s="33" t="e">
        <f ca="1"/>
        <v>#REF!</v>
      </c>
    </row>
    <row r="1995" spans="1:27" s="70" customFormat="1" ht="11.25" x14ac:dyDescent="0.2">
      <c r="A1995" s="24">
        <v>1989</v>
      </c>
      <c r="B1995" s="24"/>
      <c r="C1995" s="25"/>
      <c r="D1995" s="26"/>
      <c r="E1995" s="25"/>
      <c r="F1995" s="25"/>
      <c r="G1995" s="24"/>
      <c r="H1995" s="25" t="e">
        <f ca="1"/>
        <v>#REF!</v>
      </c>
      <c r="I1995" s="27" t="e">
        <f ca="1"/>
        <v>#REF!</v>
      </c>
      <c r="J1995" s="28" t="e">
        <f ca="1"/>
        <v>#REF!</v>
      </c>
      <c r="K1995" s="27" t="e">
        <f ca="1"/>
        <v>#REF!</v>
      </c>
      <c r="L1995" s="25" t="e">
        <f ca="1"/>
        <v>#REF!</v>
      </c>
      <c r="M1995" s="25" t="e">
        <f ca="1"/>
        <v>#REF!</v>
      </c>
      <c r="N1995" s="25" t="e">
        <f ca="1"/>
        <v>#REF!</v>
      </c>
      <c r="O1995" s="25" t="e">
        <f ca="1"/>
        <v>#REF!</v>
      </c>
      <c r="P1995" s="25" t="e">
        <f ca="1"/>
        <v>#REF!</v>
      </c>
      <c r="Q1995" s="25" t="e">
        <f ca="1"/>
        <v>#REF!</v>
      </c>
      <c r="R1995" s="25" t="e">
        <f ca="1"/>
        <v>#REF!</v>
      </c>
      <c r="S1995" s="25" t="e">
        <f ca="1"/>
        <v>#REF!</v>
      </c>
      <c r="T1995" s="25" t="e">
        <f ca="1"/>
        <v>#REF!</v>
      </c>
      <c r="U1995" s="25" t="e">
        <f ca="1"/>
        <v>#REF!</v>
      </c>
      <c r="V1995" s="25" t="e">
        <f ca="1"/>
        <v>#REF!</v>
      </c>
      <c r="W1995" s="33" t="e">
        <f ca="1"/>
        <v>#REF!</v>
      </c>
      <c r="X1995" s="33" t="e">
        <f ca="1"/>
        <v>#REF!</v>
      </c>
      <c r="Y1995" s="33" t="e">
        <f ca="1"/>
        <v>#REF!</v>
      </c>
      <c r="Z1995" s="33" t="e">
        <f ca="1"/>
        <v>#REF!</v>
      </c>
      <c r="AA1995" s="33" t="e">
        <f ca="1"/>
        <v>#REF!</v>
      </c>
    </row>
    <row r="1996" spans="1:27" s="70" customFormat="1" ht="11.25" x14ac:dyDescent="0.2">
      <c r="A1996" s="24">
        <v>1990</v>
      </c>
      <c r="B1996" s="24"/>
      <c r="C1996" s="25"/>
      <c r="D1996" s="26"/>
      <c r="E1996" s="25"/>
      <c r="F1996" s="25"/>
      <c r="G1996" s="24"/>
      <c r="H1996" s="25" t="e">
        <f ca="1"/>
        <v>#REF!</v>
      </c>
      <c r="I1996" s="27" t="e">
        <f ca="1"/>
        <v>#REF!</v>
      </c>
      <c r="J1996" s="28" t="e">
        <f ca="1"/>
        <v>#REF!</v>
      </c>
      <c r="K1996" s="27" t="e">
        <f ca="1"/>
        <v>#REF!</v>
      </c>
      <c r="L1996" s="25" t="e">
        <f ca="1"/>
        <v>#REF!</v>
      </c>
      <c r="M1996" s="25" t="e">
        <f ca="1"/>
        <v>#REF!</v>
      </c>
      <c r="N1996" s="25" t="e">
        <f ca="1"/>
        <v>#REF!</v>
      </c>
      <c r="O1996" s="25" t="e">
        <f ca="1"/>
        <v>#REF!</v>
      </c>
      <c r="P1996" s="25" t="e">
        <f ca="1"/>
        <v>#REF!</v>
      </c>
      <c r="Q1996" s="25" t="e">
        <f ca="1"/>
        <v>#REF!</v>
      </c>
      <c r="R1996" s="25" t="e">
        <f ca="1"/>
        <v>#REF!</v>
      </c>
      <c r="S1996" s="25" t="e">
        <f ca="1"/>
        <v>#REF!</v>
      </c>
      <c r="T1996" s="25" t="e">
        <f ca="1"/>
        <v>#REF!</v>
      </c>
      <c r="U1996" s="25" t="e">
        <f ca="1"/>
        <v>#REF!</v>
      </c>
      <c r="V1996" s="25" t="e">
        <f ca="1"/>
        <v>#REF!</v>
      </c>
      <c r="W1996" s="33" t="e">
        <f ca="1"/>
        <v>#REF!</v>
      </c>
      <c r="X1996" s="33" t="e">
        <f ca="1"/>
        <v>#REF!</v>
      </c>
      <c r="Y1996" s="33" t="e">
        <f ca="1"/>
        <v>#REF!</v>
      </c>
      <c r="Z1996" s="33" t="e">
        <f ca="1"/>
        <v>#REF!</v>
      </c>
      <c r="AA1996" s="33" t="e">
        <f ca="1"/>
        <v>#REF!</v>
      </c>
    </row>
    <row r="1997" spans="1:27" s="70" customFormat="1" ht="11.25" x14ac:dyDescent="0.2">
      <c r="A1997" s="24">
        <v>1991</v>
      </c>
      <c r="B1997" s="24"/>
      <c r="C1997" s="25"/>
      <c r="D1997" s="26"/>
      <c r="E1997" s="25"/>
      <c r="F1997" s="25"/>
      <c r="G1997" s="24"/>
      <c r="H1997" s="25" t="e">
        <f ca="1"/>
        <v>#REF!</v>
      </c>
      <c r="I1997" s="27" t="e">
        <f ca="1"/>
        <v>#REF!</v>
      </c>
      <c r="J1997" s="28" t="e">
        <f ca="1"/>
        <v>#REF!</v>
      </c>
      <c r="K1997" s="27" t="e">
        <f ca="1"/>
        <v>#REF!</v>
      </c>
      <c r="L1997" s="25" t="e">
        <f ca="1"/>
        <v>#REF!</v>
      </c>
      <c r="M1997" s="25" t="e">
        <f ca="1"/>
        <v>#REF!</v>
      </c>
      <c r="N1997" s="25" t="e">
        <f ca="1"/>
        <v>#REF!</v>
      </c>
      <c r="O1997" s="25" t="e">
        <f ca="1"/>
        <v>#REF!</v>
      </c>
      <c r="P1997" s="25" t="e">
        <f ca="1"/>
        <v>#REF!</v>
      </c>
      <c r="Q1997" s="25" t="e">
        <f ca="1"/>
        <v>#REF!</v>
      </c>
      <c r="R1997" s="25" t="e">
        <f ca="1"/>
        <v>#REF!</v>
      </c>
      <c r="S1997" s="25" t="e">
        <f ca="1"/>
        <v>#REF!</v>
      </c>
      <c r="T1997" s="25" t="e">
        <f ca="1"/>
        <v>#REF!</v>
      </c>
      <c r="U1997" s="25" t="e">
        <f ca="1"/>
        <v>#REF!</v>
      </c>
      <c r="V1997" s="25" t="e">
        <f ca="1"/>
        <v>#REF!</v>
      </c>
      <c r="W1997" s="33" t="e">
        <f ca="1"/>
        <v>#REF!</v>
      </c>
      <c r="X1997" s="33" t="e">
        <f ca="1"/>
        <v>#REF!</v>
      </c>
      <c r="Y1997" s="33" t="e">
        <f ca="1"/>
        <v>#REF!</v>
      </c>
      <c r="Z1997" s="33" t="e">
        <f ca="1"/>
        <v>#REF!</v>
      </c>
      <c r="AA1997" s="33" t="e">
        <f ca="1"/>
        <v>#REF!</v>
      </c>
    </row>
    <row r="1998" spans="1:27" s="70" customFormat="1" ht="11.25" x14ac:dyDescent="0.2">
      <c r="A1998" s="24">
        <v>1992</v>
      </c>
      <c r="B1998" s="24"/>
      <c r="C1998" s="25"/>
      <c r="D1998" s="26"/>
      <c r="E1998" s="25"/>
      <c r="F1998" s="25"/>
      <c r="G1998" s="24"/>
      <c r="H1998" s="25" t="e">
        <f ca="1"/>
        <v>#REF!</v>
      </c>
      <c r="I1998" s="27" t="e">
        <f ca="1"/>
        <v>#REF!</v>
      </c>
      <c r="J1998" s="28" t="e">
        <f ca="1"/>
        <v>#REF!</v>
      </c>
      <c r="K1998" s="27" t="e">
        <f ca="1"/>
        <v>#REF!</v>
      </c>
      <c r="L1998" s="25" t="e">
        <f ca="1"/>
        <v>#REF!</v>
      </c>
      <c r="M1998" s="25" t="e">
        <f ca="1"/>
        <v>#REF!</v>
      </c>
      <c r="N1998" s="25" t="e">
        <f ca="1"/>
        <v>#REF!</v>
      </c>
      <c r="O1998" s="25" t="e">
        <f ca="1"/>
        <v>#REF!</v>
      </c>
      <c r="P1998" s="25" t="e">
        <f ca="1"/>
        <v>#REF!</v>
      </c>
      <c r="Q1998" s="25" t="e">
        <f ca="1"/>
        <v>#REF!</v>
      </c>
      <c r="R1998" s="25" t="e">
        <f ca="1"/>
        <v>#REF!</v>
      </c>
      <c r="S1998" s="25" t="e">
        <f ca="1"/>
        <v>#REF!</v>
      </c>
      <c r="T1998" s="25" t="e">
        <f ca="1"/>
        <v>#REF!</v>
      </c>
      <c r="U1998" s="25" t="e">
        <f ca="1"/>
        <v>#REF!</v>
      </c>
      <c r="V1998" s="25" t="e">
        <f ca="1"/>
        <v>#REF!</v>
      </c>
      <c r="W1998" s="33" t="e">
        <f ca="1"/>
        <v>#REF!</v>
      </c>
      <c r="X1998" s="33" t="e">
        <f ca="1"/>
        <v>#REF!</v>
      </c>
      <c r="Y1998" s="33" t="e">
        <f ca="1"/>
        <v>#REF!</v>
      </c>
      <c r="Z1998" s="33" t="e">
        <f ca="1"/>
        <v>#REF!</v>
      </c>
      <c r="AA1998" s="33" t="e">
        <f ca="1"/>
        <v>#REF!</v>
      </c>
    </row>
    <row r="1999" spans="1:27" s="70" customFormat="1" ht="11.25" x14ac:dyDescent="0.2">
      <c r="A1999" s="24">
        <v>1993</v>
      </c>
      <c r="B1999" s="24"/>
      <c r="C1999" s="25"/>
      <c r="D1999" s="26"/>
      <c r="E1999" s="25"/>
      <c r="F1999" s="25"/>
      <c r="G1999" s="24"/>
      <c r="H1999" s="25" t="e">
        <f ca="1"/>
        <v>#REF!</v>
      </c>
      <c r="I1999" s="27" t="e">
        <f ca="1"/>
        <v>#REF!</v>
      </c>
      <c r="J1999" s="28" t="e">
        <f ca="1"/>
        <v>#REF!</v>
      </c>
      <c r="K1999" s="27" t="e">
        <f ca="1"/>
        <v>#REF!</v>
      </c>
      <c r="L1999" s="25" t="e">
        <f ca="1"/>
        <v>#REF!</v>
      </c>
      <c r="M1999" s="25" t="e">
        <f ca="1"/>
        <v>#REF!</v>
      </c>
      <c r="N1999" s="25" t="e">
        <f ca="1"/>
        <v>#REF!</v>
      </c>
      <c r="O1999" s="25" t="e">
        <f ca="1"/>
        <v>#REF!</v>
      </c>
      <c r="P1999" s="25" t="e">
        <f ca="1"/>
        <v>#REF!</v>
      </c>
      <c r="Q1999" s="25" t="e">
        <f ca="1"/>
        <v>#REF!</v>
      </c>
      <c r="R1999" s="25" t="e">
        <f ca="1"/>
        <v>#REF!</v>
      </c>
      <c r="S1999" s="25" t="e">
        <f ca="1"/>
        <v>#REF!</v>
      </c>
      <c r="T1999" s="25" t="e">
        <f ca="1"/>
        <v>#REF!</v>
      </c>
      <c r="U1999" s="25" t="e">
        <f ca="1"/>
        <v>#REF!</v>
      </c>
      <c r="V1999" s="25" t="e">
        <f ca="1"/>
        <v>#REF!</v>
      </c>
      <c r="W1999" s="33" t="e">
        <f ca="1"/>
        <v>#REF!</v>
      </c>
      <c r="X1999" s="33" t="e">
        <f ca="1"/>
        <v>#REF!</v>
      </c>
      <c r="Y1999" s="33" t="e">
        <f ca="1"/>
        <v>#REF!</v>
      </c>
      <c r="Z1999" s="33" t="e">
        <f ca="1"/>
        <v>#REF!</v>
      </c>
      <c r="AA1999" s="33" t="e">
        <f ca="1"/>
        <v>#REF!</v>
      </c>
    </row>
    <row r="2000" spans="1:27" s="70" customFormat="1" ht="11.25" x14ac:dyDescent="0.2">
      <c r="A2000" s="24">
        <v>1994</v>
      </c>
      <c r="B2000" s="24"/>
      <c r="C2000" s="25"/>
      <c r="D2000" s="26"/>
      <c r="E2000" s="25"/>
      <c r="F2000" s="25"/>
      <c r="G2000" s="24"/>
      <c r="H2000" s="25" t="e">
        <f ca="1"/>
        <v>#REF!</v>
      </c>
      <c r="I2000" s="27" t="e">
        <f ca="1"/>
        <v>#REF!</v>
      </c>
      <c r="J2000" s="28" t="e">
        <f ca="1"/>
        <v>#REF!</v>
      </c>
      <c r="K2000" s="27" t="e">
        <f ca="1"/>
        <v>#REF!</v>
      </c>
      <c r="L2000" s="25" t="e">
        <f ca="1"/>
        <v>#REF!</v>
      </c>
      <c r="M2000" s="25" t="e">
        <f ca="1"/>
        <v>#REF!</v>
      </c>
      <c r="N2000" s="25" t="e">
        <f ca="1"/>
        <v>#REF!</v>
      </c>
      <c r="O2000" s="25" t="e">
        <f ca="1"/>
        <v>#REF!</v>
      </c>
      <c r="P2000" s="25" t="e">
        <f ca="1"/>
        <v>#REF!</v>
      </c>
      <c r="Q2000" s="25" t="e">
        <f ca="1"/>
        <v>#REF!</v>
      </c>
      <c r="R2000" s="25" t="e">
        <f ca="1"/>
        <v>#REF!</v>
      </c>
      <c r="S2000" s="25" t="e">
        <f ca="1"/>
        <v>#REF!</v>
      </c>
      <c r="T2000" s="25" t="e">
        <f ca="1"/>
        <v>#REF!</v>
      </c>
      <c r="U2000" s="25" t="e">
        <f ca="1"/>
        <v>#REF!</v>
      </c>
      <c r="V2000" s="25" t="e">
        <f ca="1"/>
        <v>#REF!</v>
      </c>
      <c r="W2000" s="33" t="e">
        <f ca="1"/>
        <v>#REF!</v>
      </c>
      <c r="X2000" s="33" t="e">
        <f ca="1"/>
        <v>#REF!</v>
      </c>
      <c r="Y2000" s="33" t="e">
        <f ca="1"/>
        <v>#REF!</v>
      </c>
      <c r="Z2000" s="33" t="e">
        <f ca="1"/>
        <v>#REF!</v>
      </c>
      <c r="AA2000" s="33" t="e">
        <f ca="1"/>
        <v>#REF!</v>
      </c>
    </row>
    <row r="2001" spans="1:27" s="70" customFormat="1" ht="11.25" x14ac:dyDescent="0.2">
      <c r="A2001" s="24">
        <v>1995</v>
      </c>
      <c r="B2001" s="24"/>
      <c r="C2001" s="25"/>
      <c r="D2001" s="26"/>
      <c r="E2001" s="25"/>
      <c r="F2001" s="25"/>
      <c r="G2001" s="24"/>
      <c r="H2001" s="25" t="e">
        <f ca="1"/>
        <v>#REF!</v>
      </c>
      <c r="I2001" s="27" t="e">
        <f ca="1"/>
        <v>#REF!</v>
      </c>
      <c r="J2001" s="28" t="e">
        <f ca="1"/>
        <v>#REF!</v>
      </c>
      <c r="K2001" s="27" t="e">
        <f ca="1"/>
        <v>#REF!</v>
      </c>
      <c r="L2001" s="25" t="e">
        <f ca="1"/>
        <v>#REF!</v>
      </c>
      <c r="M2001" s="25" t="e">
        <f ca="1"/>
        <v>#REF!</v>
      </c>
      <c r="N2001" s="25" t="e">
        <f ca="1"/>
        <v>#REF!</v>
      </c>
      <c r="O2001" s="25" t="e">
        <f ca="1"/>
        <v>#REF!</v>
      </c>
      <c r="P2001" s="25" t="e">
        <f ca="1"/>
        <v>#REF!</v>
      </c>
      <c r="Q2001" s="25" t="e">
        <f ca="1"/>
        <v>#REF!</v>
      </c>
      <c r="R2001" s="25" t="e">
        <f ca="1"/>
        <v>#REF!</v>
      </c>
      <c r="S2001" s="25" t="e">
        <f ca="1"/>
        <v>#REF!</v>
      </c>
      <c r="T2001" s="25" t="e">
        <f ca="1"/>
        <v>#REF!</v>
      </c>
      <c r="U2001" s="25" t="e">
        <f ca="1"/>
        <v>#REF!</v>
      </c>
      <c r="V2001" s="25" t="e">
        <f ca="1"/>
        <v>#REF!</v>
      </c>
      <c r="W2001" s="33" t="e">
        <f ca="1"/>
        <v>#REF!</v>
      </c>
      <c r="X2001" s="33" t="e">
        <f ca="1"/>
        <v>#REF!</v>
      </c>
      <c r="Y2001" s="33" t="e">
        <f ca="1"/>
        <v>#REF!</v>
      </c>
      <c r="Z2001" s="33" t="e">
        <f ca="1"/>
        <v>#REF!</v>
      </c>
      <c r="AA2001" s="33" t="e">
        <f ca="1"/>
        <v>#REF!</v>
      </c>
    </row>
    <row r="2002" spans="1:27" s="70" customFormat="1" ht="11.25" x14ac:dyDescent="0.2">
      <c r="A2002" s="24">
        <v>1996</v>
      </c>
      <c r="B2002" s="24"/>
      <c r="C2002" s="25"/>
      <c r="D2002" s="26"/>
      <c r="E2002" s="25"/>
      <c r="F2002" s="25"/>
      <c r="G2002" s="24"/>
      <c r="H2002" s="25" t="e">
        <f ca="1"/>
        <v>#REF!</v>
      </c>
      <c r="I2002" s="27" t="e">
        <f ca="1"/>
        <v>#REF!</v>
      </c>
      <c r="J2002" s="28" t="e">
        <f ca="1"/>
        <v>#REF!</v>
      </c>
      <c r="K2002" s="27" t="e">
        <f ca="1"/>
        <v>#REF!</v>
      </c>
      <c r="L2002" s="25" t="e">
        <f ca="1"/>
        <v>#REF!</v>
      </c>
      <c r="M2002" s="25" t="e">
        <f ca="1"/>
        <v>#REF!</v>
      </c>
      <c r="N2002" s="25" t="e">
        <f ca="1"/>
        <v>#REF!</v>
      </c>
      <c r="O2002" s="25" t="e">
        <f ca="1"/>
        <v>#REF!</v>
      </c>
      <c r="P2002" s="25" t="e">
        <f ca="1"/>
        <v>#REF!</v>
      </c>
      <c r="Q2002" s="25" t="e">
        <f ca="1"/>
        <v>#REF!</v>
      </c>
      <c r="R2002" s="25" t="e">
        <f ca="1"/>
        <v>#REF!</v>
      </c>
      <c r="S2002" s="25" t="e">
        <f ca="1"/>
        <v>#REF!</v>
      </c>
      <c r="T2002" s="25" t="e">
        <f ca="1"/>
        <v>#REF!</v>
      </c>
      <c r="U2002" s="25" t="e">
        <f ca="1"/>
        <v>#REF!</v>
      </c>
      <c r="V2002" s="25" t="e">
        <f ca="1"/>
        <v>#REF!</v>
      </c>
      <c r="W2002" s="33" t="e">
        <f ca="1"/>
        <v>#REF!</v>
      </c>
      <c r="X2002" s="33" t="e">
        <f ca="1"/>
        <v>#REF!</v>
      </c>
      <c r="Y2002" s="33" t="e">
        <f ca="1"/>
        <v>#REF!</v>
      </c>
      <c r="Z2002" s="33" t="e">
        <f ca="1"/>
        <v>#REF!</v>
      </c>
      <c r="AA2002" s="33" t="e">
        <f ca="1"/>
        <v>#REF!</v>
      </c>
    </row>
    <row r="2003" spans="1:27" s="70" customFormat="1" ht="11.25" x14ac:dyDescent="0.2">
      <c r="A2003" s="24">
        <v>1997</v>
      </c>
      <c r="B2003" s="24"/>
      <c r="C2003" s="25"/>
      <c r="D2003" s="26"/>
      <c r="E2003" s="25"/>
      <c r="F2003" s="25"/>
      <c r="G2003" s="24"/>
      <c r="H2003" s="25" t="e">
        <f ca="1"/>
        <v>#REF!</v>
      </c>
      <c r="I2003" s="27" t="e">
        <f ca="1"/>
        <v>#REF!</v>
      </c>
      <c r="J2003" s="28" t="e">
        <f ca="1"/>
        <v>#REF!</v>
      </c>
      <c r="K2003" s="27" t="e">
        <f ca="1"/>
        <v>#REF!</v>
      </c>
      <c r="L2003" s="25" t="e">
        <f ca="1"/>
        <v>#REF!</v>
      </c>
      <c r="M2003" s="25" t="e">
        <f ca="1"/>
        <v>#REF!</v>
      </c>
      <c r="N2003" s="25" t="e">
        <f ca="1"/>
        <v>#REF!</v>
      </c>
      <c r="O2003" s="25" t="e">
        <f ca="1"/>
        <v>#REF!</v>
      </c>
      <c r="P2003" s="25" t="e">
        <f ca="1"/>
        <v>#REF!</v>
      </c>
      <c r="Q2003" s="25" t="e">
        <f ca="1"/>
        <v>#REF!</v>
      </c>
      <c r="R2003" s="25" t="e">
        <f ca="1"/>
        <v>#REF!</v>
      </c>
      <c r="S2003" s="25" t="e">
        <f ca="1"/>
        <v>#REF!</v>
      </c>
      <c r="T2003" s="25" t="e">
        <f ca="1"/>
        <v>#REF!</v>
      </c>
      <c r="U2003" s="25" t="e">
        <f ca="1"/>
        <v>#REF!</v>
      </c>
      <c r="V2003" s="25" t="e">
        <f ca="1"/>
        <v>#REF!</v>
      </c>
      <c r="W2003" s="33" t="e">
        <f ca="1"/>
        <v>#REF!</v>
      </c>
      <c r="X2003" s="33" t="e">
        <f ca="1"/>
        <v>#REF!</v>
      </c>
      <c r="Y2003" s="33" t="e">
        <f ca="1"/>
        <v>#REF!</v>
      </c>
      <c r="Z2003" s="33" t="e">
        <f ca="1"/>
        <v>#REF!</v>
      </c>
      <c r="AA2003" s="33" t="e">
        <f ca="1"/>
        <v>#REF!</v>
      </c>
    </row>
    <row r="2004" spans="1:27" s="70" customFormat="1" ht="11.25" x14ac:dyDescent="0.2">
      <c r="A2004" s="24">
        <v>1998</v>
      </c>
      <c r="B2004" s="24"/>
      <c r="C2004" s="25"/>
      <c r="D2004" s="26"/>
      <c r="E2004" s="25"/>
      <c r="F2004" s="25"/>
      <c r="G2004" s="24"/>
      <c r="H2004" s="25" t="e">
        <f ca="1"/>
        <v>#REF!</v>
      </c>
      <c r="I2004" s="27" t="e">
        <f ca="1"/>
        <v>#REF!</v>
      </c>
      <c r="J2004" s="28" t="e">
        <f ca="1"/>
        <v>#REF!</v>
      </c>
      <c r="K2004" s="27" t="e">
        <f ca="1"/>
        <v>#REF!</v>
      </c>
      <c r="L2004" s="25" t="e">
        <f ca="1"/>
        <v>#REF!</v>
      </c>
      <c r="M2004" s="25" t="e">
        <f ca="1"/>
        <v>#REF!</v>
      </c>
      <c r="N2004" s="25" t="e">
        <f ca="1"/>
        <v>#REF!</v>
      </c>
      <c r="O2004" s="25" t="e">
        <f ca="1"/>
        <v>#REF!</v>
      </c>
      <c r="P2004" s="25" t="e">
        <f ca="1"/>
        <v>#REF!</v>
      </c>
      <c r="Q2004" s="25" t="e">
        <f ca="1"/>
        <v>#REF!</v>
      </c>
      <c r="R2004" s="25" t="e">
        <f ca="1"/>
        <v>#REF!</v>
      </c>
      <c r="S2004" s="25" t="e">
        <f ca="1"/>
        <v>#REF!</v>
      </c>
      <c r="T2004" s="25" t="e">
        <f ca="1"/>
        <v>#REF!</v>
      </c>
      <c r="U2004" s="25" t="e">
        <f ca="1"/>
        <v>#REF!</v>
      </c>
      <c r="V2004" s="25" t="e">
        <f ca="1"/>
        <v>#REF!</v>
      </c>
      <c r="W2004" s="33" t="e">
        <f ca="1"/>
        <v>#REF!</v>
      </c>
      <c r="X2004" s="33" t="e">
        <f ca="1"/>
        <v>#REF!</v>
      </c>
      <c r="Y2004" s="33" t="e">
        <f ca="1"/>
        <v>#REF!</v>
      </c>
      <c r="Z2004" s="33" t="e">
        <f ca="1"/>
        <v>#REF!</v>
      </c>
      <c r="AA2004" s="33" t="e">
        <f ca="1"/>
        <v>#REF!</v>
      </c>
    </row>
    <row r="2005" spans="1:27" s="70" customFormat="1" ht="11.25" x14ac:dyDescent="0.2">
      <c r="A2005" s="24">
        <v>1999</v>
      </c>
      <c r="B2005" s="24"/>
      <c r="C2005" s="25"/>
      <c r="D2005" s="26"/>
      <c r="E2005" s="25"/>
      <c r="F2005" s="25"/>
      <c r="G2005" s="24"/>
      <c r="H2005" s="25" t="e">
        <f ca="1"/>
        <v>#REF!</v>
      </c>
      <c r="I2005" s="27" t="e">
        <f ca="1"/>
        <v>#REF!</v>
      </c>
      <c r="J2005" s="28" t="e">
        <f ca="1"/>
        <v>#REF!</v>
      </c>
      <c r="K2005" s="27" t="e">
        <f ca="1"/>
        <v>#REF!</v>
      </c>
      <c r="L2005" s="25" t="e">
        <f ca="1"/>
        <v>#REF!</v>
      </c>
      <c r="M2005" s="25" t="e">
        <f ca="1"/>
        <v>#REF!</v>
      </c>
      <c r="N2005" s="25" t="e">
        <f ca="1"/>
        <v>#REF!</v>
      </c>
      <c r="O2005" s="25" t="e">
        <f ca="1"/>
        <v>#REF!</v>
      </c>
      <c r="P2005" s="25" t="e">
        <f ca="1"/>
        <v>#REF!</v>
      </c>
      <c r="Q2005" s="25" t="e">
        <f ca="1"/>
        <v>#REF!</v>
      </c>
      <c r="R2005" s="25" t="e">
        <f ca="1"/>
        <v>#REF!</v>
      </c>
      <c r="S2005" s="25" t="e">
        <f ca="1"/>
        <v>#REF!</v>
      </c>
      <c r="T2005" s="25" t="e">
        <f ca="1"/>
        <v>#REF!</v>
      </c>
      <c r="U2005" s="25" t="e">
        <f ca="1"/>
        <v>#REF!</v>
      </c>
      <c r="V2005" s="25" t="e">
        <f ca="1"/>
        <v>#REF!</v>
      </c>
      <c r="W2005" s="33" t="e">
        <f ca="1"/>
        <v>#REF!</v>
      </c>
      <c r="X2005" s="33" t="e">
        <f ca="1"/>
        <v>#REF!</v>
      </c>
      <c r="Y2005" s="33" t="e">
        <f ca="1"/>
        <v>#REF!</v>
      </c>
      <c r="Z2005" s="33" t="e">
        <f ca="1"/>
        <v>#REF!</v>
      </c>
      <c r="AA2005" s="33" t="e">
        <f ca="1"/>
        <v>#REF!</v>
      </c>
    </row>
    <row r="2006" spans="1:27" s="70" customFormat="1" ht="11.25" x14ac:dyDescent="0.2">
      <c r="A2006" s="24">
        <v>2000</v>
      </c>
      <c r="B2006" s="24"/>
      <c r="C2006" s="25"/>
      <c r="D2006" s="26"/>
      <c r="E2006" s="25"/>
      <c r="F2006" s="25"/>
      <c r="G2006" s="24"/>
      <c r="H2006" s="25" t="e">
        <f ca="1"/>
        <v>#REF!</v>
      </c>
      <c r="I2006" s="27" t="e">
        <f ca="1"/>
        <v>#REF!</v>
      </c>
      <c r="J2006" s="28" t="e">
        <f ca="1"/>
        <v>#REF!</v>
      </c>
      <c r="K2006" s="27" t="e">
        <f ca="1"/>
        <v>#REF!</v>
      </c>
      <c r="L2006" s="25" t="e">
        <f ca="1"/>
        <v>#REF!</v>
      </c>
      <c r="M2006" s="25" t="e">
        <f ca="1"/>
        <v>#REF!</v>
      </c>
      <c r="N2006" s="25" t="e">
        <f ca="1"/>
        <v>#REF!</v>
      </c>
      <c r="O2006" s="25" t="e">
        <f ca="1"/>
        <v>#REF!</v>
      </c>
      <c r="P2006" s="25" t="e">
        <f ca="1"/>
        <v>#REF!</v>
      </c>
      <c r="Q2006" s="25" t="e">
        <f ca="1"/>
        <v>#REF!</v>
      </c>
      <c r="R2006" s="25" t="e">
        <f ca="1"/>
        <v>#REF!</v>
      </c>
      <c r="S2006" s="25" t="e">
        <f ca="1"/>
        <v>#REF!</v>
      </c>
      <c r="T2006" s="25" t="e">
        <f ca="1"/>
        <v>#REF!</v>
      </c>
      <c r="U2006" s="25" t="e">
        <f ca="1"/>
        <v>#REF!</v>
      </c>
      <c r="V2006" s="25" t="e">
        <f ca="1"/>
        <v>#REF!</v>
      </c>
      <c r="W2006" s="33" t="e">
        <f ca="1"/>
        <v>#REF!</v>
      </c>
      <c r="X2006" s="33" t="e">
        <f ca="1"/>
        <v>#REF!</v>
      </c>
      <c r="Y2006" s="33" t="e">
        <f ca="1"/>
        <v>#REF!</v>
      </c>
      <c r="Z2006" s="33" t="e">
        <f ca="1"/>
        <v>#REF!</v>
      </c>
      <c r="AA2006" s="33" t="e">
        <f ca="1"/>
        <v>#REF!</v>
      </c>
    </row>
    <row r="2007" spans="1:27" s="70" customFormat="1" ht="11.25" x14ac:dyDescent="0.2">
      <c r="A2007" s="24">
        <v>2001</v>
      </c>
      <c r="B2007" s="24"/>
      <c r="C2007" s="25"/>
      <c r="D2007" s="26"/>
      <c r="E2007" s="25"/>
      <c r="F2007" s="25"/>
      <c r="G2007" s="24"/>
      <c r="H2007" s="25" t="e">
        <f ca="1"/>
        <v>#REF!</v>
      </c>
      <c r="I2007" s="27" t="e">
        <f ca="1"/>
        <v>#REF!</v>
      </c>
      <c r="J2007" s="28" t="e">
        <f ca="1"/>
        <v>#REF!</v>
      </c>
      <c r="K2007" s="27" t="e">
        <f ca="1"/>
        <v>#REF!</v>
      </c>
      <c r="L2007" s="25" t="e">
        <f ca="1"/>
        <v>#REF!</v>
      </c>
      <c r="M2007" s="25" t="e">
        <f ca="1"/>
        <v>#REF!</v>
      </c>
      <c r="N2007" s="25" t="e">
        <f ca="1"/>
        <v>#REF!</v>
      </c>
      <c r="O2007" s="25" t="e">
        <f ca="1"/>
        <v>#REF!</v>
      </c>
      <c r="P2007" s="25" t="e">
        <f ca="1"/>
        <v>#REF!</v>
      </c>
      <c r="Q2007" s="25" t="e">
        <f ca="1"/>
        <v>#REF!</v>
      </c>
      <c r="R2007" s="25" t="e">
        <f ca="1"/>
        <v>#REF!</v>
      </c>
      <c r="S2007" s="25" t="e">
        <f ca="1"/>
        <v>#REF!</v>
      </c>
      <c r="T2007" s="25" t="e">
        <f ca="1"/>
        <v>#REF!</v>
      </c>
      <c r="U2007" s="25" t="e">
        <f ca="1"/>
        <v>#REF!</v>
      </c>
      <c r="V2007" s="25" t="e">
        <f ca="1"/>
        <v>#REF!</v>
      </c>
      <c r="W2007" s="33" t="e">
        <f ca="1"/>
        <v>#REF!</v>
      </c>
      <c r="X2007" s="33" t="e">
        <f ca="1"/>
        <v>#REF!</v>
      </c>
      <c r="Y2007" s="33" t="e">
        <f ca="1"/>
        <v>#REF!</v>
      </c>
      <c r="Z2007" s="33" t="e">
        <f ca="1"/>
        <v>#REF!</v>
      </c>
      <c r="AA2007" s="33" t="e">
        <f ca="1"/>
        <v>#REF!</v>
      </c>
    </row>
    <row r="2008" spans="1:27" s="70" customFormat="1" ht="11.25" x14ac:dyDescent="0.2">
      <c r="A2008" s="24">
        <v>2002</v>
      </c>
      <c r="B2008" s="24"/>
      <c r="C2008" s="25"/>
      <c r="D2008" s="26"/>
      <c r="E2008" s="25"/>
      <c r="F2008" s="25"/>
      <c r="G2008" s="24"/>
      <c r="H2008" s="25" t="e">
        <f ca="1"/>
        <v>#REF!</v>
      </c>
      <c r="I2008" s="27" t="e">
        <f ca="1"/>
        <v>#REF!</v>
      </c>
      <c r="J2008" s="28" t="e">
        <f ca="1"/>
        <v>#REF!</v>
      </c>
      <c r="K2008" s="27" t="e">
        <f ca="1"/>
        <v>#REF!</v>
      </c>
      <c r="L2008" s="25" t="e">
        <f ca="1"/>
        <v>#REF!</v>
      </c>
      <c r="M2008" s="25" t="e">
        <f ca="1"/>
        <v>#REF!</v>
      </c>
      <c r="N2008" s="25" t="e">
        <f ca="1"/>
        <v>#REF!</v>
      </c>
      <c r="O2008" s="25" t="e">
        <f ca="1"/>
        <v>#REF!</v>
      </c>
      <c r="P2008" s="25" t="e">
        <f ca="1"/>
        <v>#REF!</v>
      </c>
      <c r="Q2008" s="25" t="e">
        <f ca="1"/>
        <v>#REF!</v>
      </c>
      <c r="R2008" s="25" t="e">
        <f ca="1"/>
        <v>#REF!</v>
      </c>
      <c r="S2008" s="25" t="e">
        <f ca="1"/>
        <v>#REF!</v>
      </c>
      <c r="T2008" s="25" t="e">
        <f ca="1"/>
        <v>#REF!</v>
      </c>
      <c r="U2008" s="25" t="e">
        <f ca="1"/>
        <v>#REF!</v>
      </c>
      <c r="V2008" s="25" t="e">
        <f ca="1"/>
        <v>#REF!</v>
      </c>
      <c r="W2008" s="33" t="e">
        <f ca="1"/>
        <v>#REF!</v>
      </c>
      <c r="X2008" s="33" t="e">
        <f ca="1"/>
        <v>#REF!</v>
      </c>
      <c r="Y2008" s="33" t="e">
        <f ca="1"/>
        <v>#REF!</v>
      </c>
      <c r="Z2008" s="33" t="e">
        <f ca="1"/>
        <v>#REF!</v>
      </c>
      <c r="AA2008" s="33" t="e">
        <f ca="1"/>
        <v>#REF!</v>
      </c>
    </row>
    <row r="2009" spans="1:27" s="70" customFormat="1" ht="11.25" x14ac:dyDescent="0.2">
      <c r="A2009" s="24">
        <v>2003</v>
      </c>
      <c r="B2009" s="24"/>
      <c r="C2009" s="25"/>
      <c r="D2009" s="26"/>
      <c r="E2009" s="25"/>
      <c r="F2009" s="25"/>
      <c r="G2009" s="24"/>
      <c r="H2009" s="25" t="e">
        <f ca="1"/>
        <v>#REF!</v>
      </c>
      <c r="I2009" s="27" t="e">
        <f ca="1"/>
        <v>#REF!</v>
      </c>
      <c r="J2009" s="28" t="e">
        <f ca="1"/>
        <v>#REF!</v>
      </c>
      <c r="K2009" s="27" t="e">
        <f ca="1"/>
        <v>#REF!</v>
      </c>
      <c r="L2009" s="25" t="e">
        <f ca="1"/>
        <v>#REF!</v>
      </c>
      <c r="M2009" s="25" t="e">
        <f ca="1"/>
        <v>#REF!</v>
      </c>
      <c r="N2009" s="25" t="e">
        <f ca="1"/>
        <v>#REF!</v>
      </c>
      <c r="O2009" s="25" t="e">
        <f ca="1"/>
        <v>#REF!</v>
      </c>
      <c r="P2009" s="25" t="e">
        <f ca="1"/>
        <v>#REF!</v>
      </c>
      <c r="Q2009" s="25" t="e">
        <f ca="1"/>
        <v>#REF!</v>
      </c>
      <c r="R2009" s="25" t="e">
        <f ca="1"/>
        <v>#REF!</v>
      </c>
      <c r="S2009" s="25" t="e">
        <f ca="1"/>
        <v>#REF!</v>
      </c>
      <c r="T2009" s="25" t="e">
        <f ca="1"/>
        <v>#REF!</v>
      </c>
      <c r="U2009" s="25" t="e">
        <f ca="1"/>
        <v>#REF!</v>
      </c>
      <c r="V2009" s="25" t="e">
        <f ca="1"/>
        <v>#REF!</v>
      </c>
      <c r="W2009" s="33" t="e">
        <f ca="1"/>
        <v>#REF!</v>
      </c>
      <c r="X2009" s="33" t="e">
        <f ca="1"/>
        <v>#REF!</v>
      </c>
      <c r="Y2009" s="33" t="e">
        <f ca="1"/>
        <v>#REF!</v>
      </c>
      <c r="Z2009" s="33" t="e">
        <f ca="1"/>
        <v>#REF!</v>
      </c>
      <c r="AA2009" s="33" t="e">
        <f ca="1"/>
        <v>#REF!</v>
      </c>
    </row>
    <row r="2010" spans="1:27" s="70" customFormat="1" ht="11.25" x14ac:dyDescent="0.2">
      <c r="A2010" s="24">
        <v>2004</v>
      </c>
      <c r="B2010" s="24"/>
      <c r="C2010" s="25"/>
      <c r="D2010" s="26"/>
      <c r="E2010" s="25"/>
      <c r="F2010" s="25"/>
      <c r="G2010" s="24"/>
      <c r="H2010" s="25" t="e">
        <f ca="1"/>
        <v>#REF!</v>
      </c>
      <c r="I2010" s="27" t="e">
        <f ca="1"/>
        <v>#REF!</v>
      </c>
      <c r="J2010" s="28" t="e">
        <f ca="1"/>
        <v>#REF!</v>
      </c>
      <c r="K2010" s="27" t="e">
        <f ca="1"/>
        <v>#REF!</v>
      </c>
      <c r="L2010" s="25" t="e">
        <f ca="1"/>
        <v>#REF!</v>
      </c>
      <c r="M2010" s="25" t="e">
        <f ca="1"/>
        <v>#REF!</v>
      </c>
      <c r="N2010" s="25" t="e">
        <f ca="1"/>
        <v>#REF!</v>
      </c>
      <c r="O2010" s="25" t="e">
        <f ca="1"/>
        <v>#REF!</v>
      </c>
      <c r="P2010" s="25" t="e">
        <f ca="1"/>
        <v>#REF!</v>
      </c>
      <c r="Q2010" s="25" t="e">
        <f ca="1"/>
        <v>#REF!</v>
      </c>
      <c r="R2010" s="25" t="e">
        <f ca="1"/>
        <v>#REF!</v>
      </c>
      <c r="S2010" s="25" t="e">
        <f ca="1"/>
        <v>#REF!</v>
      </c>
      <c r="T2010" s="25" t="e">
        <f ca="1"/>
        <v>#REF!</v>
      </c>
      <c r="U2010" s="25" t="e">
        <f ca="1"/>
        <v>#REF!</v>
      </c>
      <c r="V2010" s="25" t="e">
        <f ca="1"/>
        <v>#REF!</v>
      </c>
      <c r="W2010" s="33" t="e">
        <f ca="1"/>
        <v>#REF!</v>
      </c>
      <c r="X2010" s="33" t="e">
        <f ca="1"/>
        <v>#REF!</v>
      </c>
      <c r="Y2010" s="33" t="e">
        <f ca="1"/>
        <v>#REF!</v>
      </c>
      <c r="Z2010" s="33" t="e">
        <f ca="1"/>
        <v>#REF!</v>
      </c>
      <c r="AA2010" s="33" t="e">
        <f ca="1"/>
        <v>#REF!</v>
      </c>
    </row>
    <row r="2011" spans="1:27" s="70" customFormat="1" ht="11.25" x14ac:dyDescent="0.2">
      <c r="A2011" s="24">
        <v>2005</v>
      </c>
      <c r="B2011" s="24"/>
      <c r="C2011" s="25"/>
      <c r="D2011" s="26"/>
      <c r="E2011" s="25"/>
      <c r="F2011" s="25"/>
      <c r="G2011" s="24"/>
      <c r="H2011" s="25" t="e">
        <f ca="1"/>
        <v>#REF!</v>
      </c>
      <c r="I2011" s="27" t="e">
        <f ca="1"/>
        <v>#REF!</v>
      </c>
      <c r="J2011" s="28" t="e">
        <f ca="1"/>
        <v>#REF!</v>
      </c>
      <c r="K2011" s="27" t="e">
        <f ca="1"/>
        <v>#REF!</v>
      </c>
      <c r="L2011" s="25" t="e">
        <f ca="1"/>
        <v>#REF!</v>
      </c>
      <c r="M2011" s="25" t="e">
        <f ca="1"/>
        <v>#REF!</v>
      </c>
      <c r="N2011" s="25" t="e">
        <f ca="1"/>
        <v>#REF!</v>
      </c>
      <c r="O2011" s="25" t="e">
        <f ca="1"/>
        <v>#REF!</v>
      </c>
      <c r="P2011" s="25" t="e">
        <f ca="1"/>
        <v>#REF!</v>
      </c>
      <c r="Q2011" s="25" t="e">
        <f ca="1"/>
        <v>#REF!</v>
      </c>
      <c r="R2011" s="25" t="e">
        <f ca="1"/>
        <v>#REF!</v>
      </c>
      <c r="S2011" s="25" t="e">
        <f ca="1"/>
        <v>#REF!</v>
      </c>
      <c r="T2011" s="25" t="e">
        <f ca="1"/>
        <v>#REF!</v>
      </c>
      <c r="U2011" s="25" t="e">
        <f ca="1"/>
        <v>#REF!</v>
      </c>
      <c r="V2011" s="25" t="e">
        <f ca="1"/>
        <v>#REF!</v>
      </c>
      <c r="W2011" s="33" t="e">
        <f ca="1"/>
        <v>#REF!</v>
      </c>
      <c r="X2011" s="33" t="e">
        <f ca="1"/>
        <v>#REF!</v>
      </c>
      <c r="Y2011" s="33" t="e">
        <f ca="1"/>
        <v>#REF!</v>
      </c>
      <c r="Z2011" s="33" t="e">
        <f ca="1"/>
        <v>#REF!</v>
      </c>
      <c r="AA2011" s="33" t="e">
        <f ca="1"/>
        <v>#REF!</v>
      </c>
    </row>
    <row r="2012" spans="1:27" s="70" customFormat="1" ht="11.25" x14ac:dyDescent="0.2">
      <c r="A2012" s="24">
        <v>2006</v>
      </c>
      <c r="B2012" s="24"/>
      <c r="C2012" s="25"/>
      <c r="D2012" s="26"/>
      <c r="E2012" s="25"/>
      <c r="F2012" s="25"/>
      <c r="G2012" s="24"/>
      <c r="H2012" s="25" t="e">
        <f ca="1"/>
        <v>#REF!</v>
      </c>
      <c r="I2012" s="27" t="e">
        <f ca="1"/>
        <v>#REF!</v>
      </c>
      <c r="J2012" s="28" t="e">
        <f ca="1"/>
        <v>#REF!</v>
      </c>
      <c r="K2012" s="27" t="e">
        <f ca="1"/>
        <v>#REF!</v>
      </c>
      <c r="L2012" s="25" t="e">
        <f ca="1"/>
        <v>#REF!</v>
      </c>
      <c r="M2012" s="25" t="e">
        <f ca="1"/>
        <v>#REF!</v>
      </c>
      <c r="N2012" s="25" t="e">
        <f ca="1"/>
        <v>#REF!</v>
      </c>
      <c r="O2012" s="25" t="e">
        <f ca="1"/>
        <v>#REF!</v>
      </c>
      <c r="P2012" s="25" t="e">
        <f ca="1"/>
        <v>#REF!</v>
      </c>
      <c r="Q2012" s="25" t="e">
        <f ca="1"/>
        <v>#REF!</v>
      </c>
      <c r="R2012" s="25" t="e">
        <f ca="1"/>
        <v>#REF!</v>
      </c>
      <c r="S2012" s="25" t="e">
        <f ca="1"/>
        <v>#REF!</v>
      </c>
      <c r="T2012" s="25" t="e">
        <f ca="1"/>
        <v>#REF!</v>
      </c>
      <c r="U2012" s="25" t="e">
        <f ca="1"/>
        <v>#REF!</v>
      </c>
      <c r="V2012" s="25" t="e">
        <f ca="1"/>
        <v>#REF!</v>
      </c>
      <c r="W2012" s="33" t="e">
        <f ca="1"/>
        <v>#REF!</v>
      </c>
      <c r="X2012" s="33" t="e">
        <f ca="1"/>
        <v>#REF!</v>
      </c>
      <c r="Y2012" s="33" t="e">
        <f ca="1"/>
        <v>#REF!</v>
      </c>
      <c r="Z2012" s="33" t="e">
        <f ca="1"/>
        <v>#REF!</v>
      </c>
      <c r="AA2012" s="33" t="e">
        <f ca="1"/>
        <v>#REF!</v>
      </c>
    </row>
    <row r="2013" spans="1:27" s="70" customFormat="1" ht="11.25" x14ac:dyDescent="0.2">
      <c r="A2013" s="24">
        <v>2007</v>
      </c>
      <c r="B2013" s="24"/>
      <c r="C2013" s="25"/>
      <c r="D2013" s="26"/>
      <c r="E2013" s="25"/>
      <c r="F2013" s="25"/>
      <c r="G2013" s="24"/>
      <c r="H2013" s="25" t="e">
        <f ca="1"/>
        <v>#REF!</v>
      </c>
      <c r="I2013" s="27" t="e">
        <f ca="1"/>
        <v>#REF!</v>
      </c>
      <c r="J2013" s="28" t="e">
        <f ca="1"/>
        <v>#REF!</v>
      </c>
      <c r="K2013" s="27" t="e">
        <f ca="1"/>
        <v>#REF!</v>
      </c>
      <c r="L2013" s="25" t="e">
        <f ca="1"/>
        <v>#REF!</v>
      </c>
      <c r="M2013" s="25" t="e">
        <f ca="1"/>
        <v>#REF!</v>
      </c>
      <c r="N2013" s="25" t="e">
        <f ca="1"/>
        <v>#REF!</v>
      </c>
      <c r="O2013" s="25" t="e">
        <f ca="1"/>
        <v>#REF!</v>
      </c>
      <c r="P2013" s="25" t="e">
        <f ca="1"/>
        <v>#REF!</v>
      </c>
      <c r="Q2013" s="25" t="e">
        <f ca="1"/>
        <v>#REF!</v>
      </c>
      <c r="R2013" s="25" t="e">
        <f ca="1"/>
        <v>#REF!</v>
      </c>
      <c r="S2013" s="25" t="e">
        <f ca="1"/>
        <v>#REF!</v>
      </c>
      <c r="T2013" s="25" t="e">
        <f ca="1"/>
        <v>#REF!</v>
      </c>
      <c r="U2013" s="25" t="e">
        <f ca="1"/>
        <v>#REF!</v>
      </c>
      <c r="V2013" s="25" t="e">
        <f ca="1"/>
        <v>#REF!</v>
      </c>
      <c r="W2013" s="33" t="e">
        <f ca="1"/>
        <v>#REF!</v>
      </c>
      <c r="X2013" s="33" t="e">
        <f ca="1"/>
        <v>#REF!</v>
      </c>
      <c r="Y2013" s="33" t="e">
        <f ca="1"/>
        <v>#REF!</v>
      </c>
      <c r="Z2013" s="33" t="e">
        <f ca="1"/>
        <v>#REF!</v>
      </c>
      <c r="AA2013" s="33" t="e">
        <f ca="1"/>
        <v>#REF!</v>
      </c>
    </row>
    <row r="2014" spans="1:27" s="70" customFormat="1" ht="11.25" x14ac:dyDescent="0.2">
      <c r="A2014" s="24">
        <v>2008</v>
      </c>
      <c r="B2014" s="24"/>
      <c r="C2014" s="25"/>
      <c r="D2014" s="26"/>
      <c r="E2014" s="25"/>
      <c r="F2014" s="25"/>
      <c r="G2014" s="24"/>
      <c r="H2014" s="25" t="e">
        <f ca="1"/>
        <v>#REF!</v>
      </c>
      <c r="I2014" s="27" t="e">
        <f ca="1"/>
        <v>#REF!</v>
      </c>
      <c r="J2014" s="28" t="e">
        <f ca="1"/>
        <v>#REF!</v>
      </c>
      <c r="K2014" s="27" t="e">
        <f ca="1"/>
        <v>#REF!</v>
      </c>
      <c r="L2014" s="25" t="e">
        <f ca="1"/>
        <v>#REF!</v>
      </c>
      <c r="M2014" s="25" t="e">
        <f ca="1"/>
        <v>#REF!</v>
      </c>
      <c r="N2014" s="25" t="e">
        <f ca="1"/>
        <v>#REF!</v>
      </c>
      <c r="O2014" s="25" t="e">
        <f ca="1"/>
        <v>#REF!</v>
      </c>
      <c r="P2014" s="25" t="e">
        <f ca="1"/>
        <v>#REF!</v>
      </c>
      <c r="Q2014" s="25" t="e">
        <f ca="1"/>
        <v>#REF!</v>
      </c>
      <c r="R2014" s="25" t="e">
        <f ca="1"/>
        <v>#REF!</v>
      </c>
      <c r="S2014" s="25" t="e">
        <f ca="1"/>
        <v>#REF!</v>
      </c>
      <c r="T2014" s="25" t="e">
        <f ca="1"/>
        <v>#REF!</v>
      </c>
      <c r="U2014" s="25" t="e">
        <f ca="1"/>
        <v>#REF!</v>
      </c>
      <c r="V2014" s="25" t="e">
        <f ca="1"/>
        <v>#REF!</v>
      </c>
      <c r="W2014" s="33" t="e">
        <f ca="1"/>
        <v>#REF!</v>
      </c>
      <c r="X2014" s="33" t="e">
        <f ca="1"/>
        <v>#REF!</v>
      </c>
      <c r="Y2014" s="33" t="e">
        <f ca="1"/>
        <v>#REF!</v>
      </c>
      <c r="Z2014" s="33" t="e">
        <f ca="1"/>
        <v>#REF!</v>
      </c>
      <c r="AA2014" s="33" t="e">
        <f ca="1"/>
        <v>#REF!</v>
      </c>
    </row>
    <row r="2015" spans="1:27" s="70" customFormat="1" ht="11.25" x14ac:dyDescent="0.2">
      <c r="A2015" s="24">
        <v>2009</v>
      </c>
      <c r="B2015" s="24"/>
      <c r="C2015" s="25"/>
      <c r="D2015" s="26"/>
      <c r="E2015" s="25"/>
      <c r="F2015" s="25"/>
      <c r="G2015" s="24"/>
      <c r="H2015" s="25" t="e">
        <f ca="1"/>
        <v>#REF!</v>
      </c>
      <c r="I2015" s="27" t="e">
        <f ca="1"/>
        <v>#REF!</v>
      </c>
      <c r="J2015" s="28" t="e">
        <f ca="1"/>
        <v>#REF!</v>
      </c>
      <c r="K2015" s="27" t="e">
        <f ca="1"/>
        <v>#REF!</v>
      </c>
      <c r="L2015" s="25" t="e">
        <f ca="1"/>
        <v>#REF!</v>
      </c>
      <c r="M2015" s="25" t="e">
        <f ca="1"/>
        <v>#REF!</v>
      </c>
      <c r="N2015" s="25" t="e">
        <f ca="1"/>
        <v>#REF!</v>
      </c>
      <c r="O2015" s="25" t="e">
        <f ca="1"/>
        <v>#REF!</v>
      </c>
      <c r="P2015" s="25" t="e">
        <f ca="1"/>
        <v>#REF!</v>
      </c>
      <c r="Q2015" s="25" t="e">
        <f ca="1"/>
        <v>#REF!</v>
      </c>
      <c r="R2015" s="25" t="e">
        <f ca="1"/>
        <v>#REF!</v>
      </c>
      <c r="S2015" s="25" t="e">
        <f ca="1"/>
        <v>#REF!</v>
      </c>
      <c r="T2015" s="25" t="e">
        <f ca="1"/>
        <v>#REF!</v>
      </c>
      <c r="U2015" s="25" t="e">
        <f ca="1"/>
        <v>#REF!</v>
      </c>
      <c r="V2015" s="25" t="e">
        <f ca="1"/>
        <v>#REF!</v>
      </c>
      <c r="W2015" s="33" t="e">
        <f ca="1"/>
        <v>#REF!</v>
      </c>
      <c r="X2015" s="33" t="e">
        <f ca="1"/>
        <v>#REF!</v>
      </c>
      <c r="Y2015" s="33" t="e">
        <f ca="1"/>
        <v>#REF!</v>
      </c>
      <c r="Z2015" s="33" t="e">
        <f ca="1"/>
        <v>#REF!</v>
      </c>
      <c r="AA2015" s="33" t="e">
        <f ca="1"/>
        <v>#REF!</v>
      </c>
    </row>
    <row r="2016" spans="1:27" s="70" customFormat="1" ht="11.25" x14ac:dyDescent="0.2">
      <c r="A2016" s="24">
        <v>2010</v>
      </c>
      <c r="B2016" s="24"/>
      <c r="C2016" s="25"/>
      <c r="D2016" s="26"/>
      <c r="E2016" s="25"/>
      <c r="F2016" s="25"/>
      <c r="G2016" s="24"/>
      <c r="H2016" s="25" t="e">
        <f ca="1"/>
        <v>#REF!</v>
      </c>
      <c r="I2016" s="27" t="e">
        <f ca="1"/>
        <v>#REF!</v>
      </c>
      <c r="J2016" s="28" t="e">
        <f ca="1"/>
        <v>#REF!</v>
      </c>
      <c r="K2016" s="27" t="e">
        <f ca="1"/>
        <v>#REF!</v>
      </c>
      <c r="L2016" s="25" t="e">
        <f ca="1"/>
        <v>#REF!</v>
      </c>
      <c r="M2016" s="25" t="e">
        <f ca="1"/>
        <v>#REF!</v>
      </c>
      <c r="N2016" s="25" t="e">
        <f ca="1"/>
        <v>#REF!</v>
      </c>
      <c r="O2016" s="25" t="e">
        <f ca="1"/>
        <v>#REF!</v>
      </c>
      <c r="P2016" s="25" t="e">
        <f ca="1"/>
        <v>#REF!</v>
      </c>
      <c r="Q2016" s="25" t="e">
        <f ca="1"/>
        <v>#REF!</v>
      </c>
      <c r="R2016" s="25" t="e">
        <f ca="1"/>
        <v>#REF!</v>
      </c>
      <c r="S2016" s="25" t="e">
        <f ca="1"/>
        <v>#REF!</v>
      </c>
      <c r="T2016" s="25" t="e">
        <f ca="1"/>
        <v>#REF!</v>
      </c>
      <c r="U2016" s="25" t="e">
        <f ca="1"/>
        <v>#REF!</v>
      </c>
      <c r="V2016" s="25" t="e">
        <f ca="1"/>
        <v>#REF!</v>
      </c>
      <c r="W2016" s="33" t="e">
        <f ca="1"/>
        <v>#REF!</v>
      </c>
      <c r="X2016" s="33" t="e">
        <f ca="1"/>
        <v>#REF!</v>
      </c>
      <c r="Y2016" s="33" t="e">
        <f ca="1"/>
        <v>#REF!</v>
      </c>
      <c r="Z2016" s="33" t="e">
        <f ca="1"/>
        <v>#REF!</v>
      </c>
      <c r="AA2016" s="33" t="e">
        <f ca="1"/>
        <v>#REF!</v>
      </c>
    </row>
    <row r="2017" spans="1:27" s="70" customFormat="1" ht="11.25" x14ac:dyDescent="0.2">
      <c r="A2017" s="24">
        <v>2011</v>
      </c>
      <c r="B2017" s="24"/>
      <c r="C2017" s="25"/>
      <c r="D2017" s="26"/>
      <c r="E2017" s="25"/>
      <c r="F2017" s="25"/>
      <c r="G2017" s="24"/>
      <c r="H2017" s="25" t="e">
        <f ca="1"/>
        <v>#REF!</v>
      </c>
      <c r="I2017" s="27" t="e">
        <f ca="1"/>
        <v>#REF!</v>
      </c>
      <c r="J2017" s="28" t="e">
        <f ca="1"/>
        <v>#REF!</v>
      </c>
      <c r="K2017" s="27" t="e">
        <f ca="1"/>
        <v>#REF!</v>
      </c>
      <c r="L2017" s="25" t="e">
        <f ca="1"/>
        <v>#REF!</v>
      </c>
      <c r="M2017" s="25" t="e">
        <f ca="1"/>
        <v>#REF!</v>
      </c>
      <c r="N2017" s="25" t="e">
        <f ca="1"/>
        <v>#REF!</v>
      </c>
      <c r="O2017" s="25" t="e">
        <f ca="1"/>
        <v>#REF!</v>
      </c>
      <c r="P2017" s="25" t="e">
        <f ca="1"/>
        <v>#REF!</v>
      </c>
      <c r="Q2017" s="25" t="e">
        <f ca="1"/>
        <v>#REF!</v>
      </c>
      <c r="R2017" s="25" t="e">
        <f ca="1"/>
        <v>#REF!</v>
      </c>
      <c r="S2017" s="25" t="e">
        <f ca="1"/>
        <v>#REF!</v>
      </c>
      <c r="T2017" s="25" t="e">
        <f ca="1"/>
        <v>#REF!</v>
      </c>
      <c r="U2017" s="25" t="e">
        <f ca="1"/>
        <v>#REF!</v>
      </c>
      <c r="V2017" s="25" t="e">
        <f ca="1"/>
        <v>#REF!</v>
      </c>
      <c r="W2017" s="33" t="e">
        <f ca="1"/>
        <v>#REF!</v>
      </c>
      <c r="X2017" s="33" t="e">
        <f ca="1"/>
        <v>#REF!</v>
      </c>
      <c r="Y2017" s="33" t="e">
        <f ca="1"/>
        <v>#REF!</v>
      </c>
      <c r="Z2017" s="33" t="e">
        <f ca="1"/>
        <v>#REF!</v>
      </c>
      <c r="AA2017" s="33" t="e">
        <f ca="1"/>
        <v>#REF!</v>
      </c>
    </row>
    <row r="2018" spans="1:27" s="70" customFormat="1" ht="11.25" x14ac:dyDescent="0.2">
      <c r="A2018" s="24">
        <v>2012</v>
      </c>
      <c r="B2018" s="24"/>
      <c r="C2018" s="25"/>
      <c r="D2018" s="26"/>
      <c r="E2018" s="25"/>
      <c r="F2018" s="25"/>
      <c r="G2018" s="24"/>
      <c r="H2018" s="25" t="e">
        <f ca="1"/>
        <v>#REF!</v>
      </c>
      <c r="I2018" s="27" t="e">
        <f ca="1"/>
        <v>#REF!</v>
      </c>
      <c r="J2018" s="28" t="e">
        <f ca="1"/>
        <v>#REF!</v>
      </c>
      <c r="K2018" s="27" t="e">
        <f ca="1"/>
        <v>#REF!</v>
      </c>
      <c r="L2018" s="25" t="e">
        <f ca="1"/>
        <v>#REF!</v>
      </c>
      <c r="M2018" s="25" t="e">
        <f ca="1"/>
        <v>#REF!</v>
      </c>
      <c r="N2018" s="25" t="e">
        <f ca="1"/>
        <v>#REF!</v>
      </c>
      <c r="O2018" s="25" t="e">
        <f ca="1"/>
        <v>#REF!</v>
      </c>
      <c r="P2018" s="25" t="e">
        <f ca="1"/>
        <v>#REF!</v>
      </c>
      <c r="Q2018" s="25" t="e">
        <f ca="1"/>
        <v>#REF!</v>
      </c>
      <c r="R2018" s="25" t="e">
        <f ca="1"/>
        <v>#REF!</v>
      </c>
      <c r="S2018" s="25" t="e">
        <f ca="1"/>
        <v>#REF!</v>
      </c>
      <c r="T2018" s="25" t="e">
        <f ca="1"/>
        <v>#REF!</v>
      </c>
      <c r="U2018" s="25" t="e">
        <f ca="1"/>
        <v>#REF!</v>
      </c>
      <c r="V2018" s="25" t="e">
        <f ca="1"/>
        <v>#REF!</v>
      </c>
      <c r="W2018" s="33" t="e">
        <f ca="1"/>
        <v>#REF!</v>
      </c>
      <c r="X2018" s="33" t="e">
        <f ca="1"/>
        <v>#REF!</v>
      </c>
      <c r="Y2018" s="33" t="e">
        <f ca="1"/>
        <v>#REF!</v>
      </c>
      <c r="Z2018" s="33" t="e">
        <f ca="1"/>
        <v>#REF!</v>
      </c>
      <c r="AA2018" s="33" t="e">
        <f ca="1"/>
        <v>#REF!</v>
      </c>
    </row>
    <row r="2019" spans="1:27" s="70" customFormat="1" ht="11.25" x14ac:dyDescent="0.2">
      <c r="A2019" s="24">
        <v>2013</v>
      </c>
      <c r="B2019" s="24"/>
      <c r="C2019" s="25"/>
      <c r="D2019" s="26"/>
      <c r="E2019" s="25"/>
      <c r="F2019" s="25"/>
      <c r="G2019" s="24"/>
      <c r="H2019" s="25" t="e">
        <f ca="1"/>
        <v>#REF!</v>
      </c>
      <c r="I2019" s="27" t="e">
        <f ca="1"/>
        <v>#REF!</v>
      </c>
      <c r="J2019" s="28" t="e">
        <f ca="1"/>
        <v>#REF!</v>
      </c>
      <c r="K2019" s="27" t="e">
        <f ca="1"/>
        <v>#REF!</v>
      </c>
      <c r="L2019" s="25" t="e">
        <f ca="1"/>
        <v>#REF!</v>
      </c>
      <c r="M2019" s="25" t="e">
        <f ca="1"/>
        <v>#REF!</v>
      </c>
      <c r="N2019" s="25" t="e">
        <f ca="1"/>
        <v>#REF!</v>
      </c>
      <c r="O2019" s="25" t="e">
        <f ca="1"/>
        <v>#REF!</v>
      </c>
      <c r="P2019" s="25" t="e">
        <f ca="1"/>
        <v>#REF!</v>
      </c>
      <c r="Q2019" s="25" t="e">
        <f ca="1"/>
        <v>#REF!</v>
      </c>
      <c r="R2019" s="25" t="e">
        <f ca="1"/>
        <v>#REF!</v>
      </c>
      <c r="S2019" s="25" t="e">
        <f ca="1"/>
        <v>#REF!</v>
      </c>
      <c r="T2019" s="25" t="e">
        <f ca="1"/>
        <v>#REF!</v>
      </c>
      <c r="U2019" s="25" t="e">
        <f ca="1"/>
        <v>#REF!</v>
      </c>
      <c r="V2019" s="25" t="e">
        <f ca="1"/>
        <v>#REF!</v>
      </c>
      <c r="W2019" s="33" t="e">
        <f ca="1"/>
        <v>#REF!</v>
      </c>
      <c r="X2019" s="33" t="e">
        <f ca="1"/>
        <v>#REF!</v>
      </c>
      <c r="Y2019" s="33" t="e">
        <f ca="1"/>
        <v>#REF!</v>
      </c>
      <c r="Z2019" s="33" t="e">
        <f ca="1"/>
        <v>#REF!</v>
      </c>
      <c r="AA2019" s="33" t="e">
        <f ca="1"/>
        <v>#REF!</v>
      </c>
    </row>
    <row r="2020" spans="1:27" s="70" customFormat="1" ht="11.25" x14ac:dyDescent="0.2">
      <c r="A2020" s="24">
        <v>2014</v>
      </c>
      <c r="B2020" s="24"/>
      <c r="C2020" s="25"/>
      <c r="D2020" s="26"/>
      <c r="E2020" s="25"/>
      <c r="F2020" s="25"/>
      <c r="G2020" s="24"/>
      <c r="H2020" s="25" t="e">
        <f ca="1"/>
        <v>#REF!</v>
      </c>
      <c r="I2020" s="27" t="e">
        <f ca="1"/>
        <v>#REF!</v>
      </c>
      <c r="J2020" s="28" t="e">
        <f ca="1"/>
        <v>#REF!</v>
      </c>
      <c r="K2020" s="27" t="e">
        <f ca="1"/>
        <v>#REF!</v>
      </c>
      <c r="L2020" s="25" t="e">
        <f ca="1"/>
        <v>#REF!</v>
      </c>
      <c r="M2020" s="25" t="e">
        <f ca="1"/>
        <v>#REF!</v>
      </c>
      <c r="N2020" s="25" t="e">
        <f ca="1"/>
        <v>#REF!</v>
      </c>
      <c r="O2020" s="25" t="e">
        <f ca="1"/>
        <v>#REF!</v>
      </c>
      <c r="P2020" s="25" t="e">
        <f ca="1"/>
        <v>#REF!</v>
      </c>
      <c r="Q2020" s="25" t="e">
        <f ca="1"/>
        <v>#REF!</v>
      </c>
      <c r="R2020" s="25" t="e">
        <f ca="1"/>
        <v>#REF!</v>
      </c>
      <c r="S2020" s="25" t="e">
        <f ca="1"/>
        <v>#REF!</v>
      </c>
      <c r="T2020" s="25" t="e">
        <f ca="1"/>
        <v>#REF!</v>
      </c>
      <c r="U2020" s="25" t="e">
        <f ca="1"/>
        <v>#REF!</v>
      </c>
      <c r="V2020" s="25" t="e">
        <f ca="1"/>
        <v>#REF!</v>
      </c>
      <c r="W2020" s="33" t="e">
        <f ca="1"/>
        <v>#REF!</v>
      </c>
      <c r="X2020" s="33" t="e">
        <f ca="1"/>
        <v>#REF!</v>
      </c>
      <c r="Y2020" s="33" t="e">
        <f ca="1"/>
        <v>#REF!</v>
      </c>
      <c r="Z2020" s="33" t="e">
        <f ca="1"/>
        <v>#REF!</v>
      </c>
      <c r="AA2020" s="33" t="e">
        <f ca="1"/>
        <v>#REF!</v>
      </c>
    </row>
    <row r="2021" spans="1:27" s="70" customFormat="1" ht="11.25" x14ac:dyDescent="0.2">
      <c r="A2021" s="24">
        <v>2015</v>
      </c>
      <c r="B2021" s="24"/>
      <c r="C2021" s="25"/>
      <c r="D2021" s="26"/>
      <c r="E2021" s="25"/>
      <c r="F2021" s="25"/>
      <c r="G2021" s="24"/>
      <c r="H2021" s="25" t="e">
        <f ca="1"/>
        <v>#REF!</v>
      </c>
      <c r="I2021" s="27" t="e">
        <f ca="1"/>
        <v>#REF!</v>
      </c>
      <c r="J2021" s="28" t="e">
        <f ca="1"/>
        <v>#REF!</v>
      </c>
      <c r="K2021" s="27" t="e">
        <f ca="1"/>
        <v>#REF!</v>
      </c>
      <c r="L2021" s="25" t="e">
        <f ca="1"/>
        <v>#REF!</v>
      </c>
      <c r="M2021" s="25" t="e">
        <f ca="1"/>
        <v>#REF!</v>
      </c>
      <c r="N2021" s="25" t="e">
        <f ca="1"/>
        <v>#REF!</v>
      </c>
      <c r="O2021" s="25" t="e">
        <f ca="1"/>
        <v>#REF!</v>
      </c>
      <c r="P2021" s="25" t="e">
        <f ca="1"/>
        <v>#REF!</v>
      </c>
      <c r="Q2021" s="25" t="e">
        <f ca="1"/>
        <v>#REF!</v>
      </c>
      <c r="R2021" s="25" t="e">
        <f ca="1"/>
        <v>#REF!</v>
      </c>
      <c r="S2021" s="25" t="e">
        <f ca="1"/>
        <v>#REF!</v>
      </c>
      <c r="T2021" s="25" t="e">
        <f ca="1"/>
        <v>#REF!</v>
      </c>
      <c r="U2021" s="25" t="e">
        <f ca="1"/>
        <v>#REF!</v>
      </c>
      <c r="V2021" s="25" t="e">
        <f ca="1"/>
        <v>#REF!</v>
      </c>
      <c r="W2021" s="33" t="e">
        <f ca="1"/>
        <v>#REF!</v>
      </c>
      <c r="X2021" s="33" t="e">
        <f ca="1"/>
        <v>#REF!</v>
      </c>
      <c r="Y2021" s="33" t="e">
        <f ca="1"/>
        <v>#REF!</v>
      </c>
      <c r="Z2021" s="33" t="e">
        <f ca="1"/>
        <v>#REF!</v>
      </c>
      <c r="AA2021" s="33" t="e">
        <f ca="1"/>
        <v>#REF!</v>
      </c>
    </row>
    <row r="2022" spans="1:27" s="70" customFormat="1" ht="11.25" x14ac:dyDescent="0.2">
      <c r="A2022" s="24">
        <v>2016</v>
      </c>
      <c r="B2022" s="24"/>
      <c r="C2022" s="25"/>
      <c r="D2022" s="26"/>
      <c r="E2022" s="25"/>
      <c r="F2022" s="25"/>
      <c r="G2022" s="24"/>
      <c r="H2022" s="25" t="e">
        <f ca="1"/>
        <v>#REF!</v>
      </c>
      <c r="I2022" s="27" t="e">
        <f ca="1"/>
        <v>#REF!</v>
      </c>
      <c r="J2022" s="28" t="e">
        <f ca="1"/>
        <v>#REF!</v>
      </c>
      <c r="K2022" s="27" t="e">
        <f ca="1"/>
        <v>#REF!</v>
      </c>
      <c r="L2022" s="25" t="e">
        <f ca="1"/>
        <v>#REF!</v>
      </c>
      <c r="M2022" s="25" t="e">
        <f ca="1"/>
        <v>#REF!</v>
      </c>
      <c r="N2022" s="25" t="e">
        <f ca="1"/>
        <v>#REF!</v>
      </c>
      <c r="O2022" s="25" t="e">
        <f ca="1"/>
        <v>#REF!</v>
      </c>
      <c r="P2022" s="25" t="e">
        <f ca="1"/>
        <v>#REF!</v>
      </c>
      <c r="Q2022" s="25" t="e">
        <f ca="1"/>
        <v>#REF!</v>
      </c>
      <c r="R2022" s="25" t="e">
        <f ca="1"/>
        <v>#REF!</v>
      </c>
      <c r="S2022" s="25" t="e">
        <f ca="1"/>
        <v>#REF!</v>
      </c>
      <c r="T2022" s="25" t="e">
        <f ca="1"/>
        <v>#REF!</v>
      </c>
      <c r="U2022" s="25" t="e">
        <f ca="1"/>
        <v>#REF!</v>
      </c>
      <c r="V2022" s="25" t="e">
        <f ca="1"/>
        <v>#REF!</v>
      </c>
      <c r="W2022" s="33" t="e">
        <f ca="1"/>
        <v>#REF!</v>
      </c>
      <c r="X2022" s="33" t="e">
        <f ca="1"/>
        <v>#REF!</v>
      </c>
      <c r="Y2022" s="33" t="e">
        <f ca="1"/>
        <v>#REF!</v>
      </c>
      <c r="Z2022" s="33" t="e">
        <f ca="1"/>
        <v>#REF!</v>
      </c>
      <c r="AA2022" s="33" t="e">
        <f ca="1"/>
        <v>#REF!</v>
      </c>
    </row>
    <row r="2023" spans="1:27" s="70" customFormat="1" ht="11.25" x14ac:dyDescent="0.2">
      <c r="A2023" s="24">
        <v>2017</v>
      </c>
      <c r="B2023" s="24"/>
      <c r="C2023" s="25"/>
      <c r="D2023" s="26"/>
      <c r="E2023" s="25"/>
      <c r="F2023" s="25"/>
      <c r="G2023" s="24"/>
      <c r="H2023" s="25" t="e">
        <f ca="1"/>
        <v>#REF!</v>
      </c>
      <c r="I2023" s="27" t="e">
        <f ca="1"/>
        <v>#REF!</v>
      </c>
      <c r="J2023" s="28" t="e">
        <f ca="1"/>
        <v>#REF!</v>
      </c>
      <c r="K2023" s="27" t="e">
        <f ca="1"/>
        <v>#REF!</v>
      </c>
      <c r="L2023" s="25" t="e">
        <f ca="1"/>
        <v>#REF!</v>
      </c>
      <c r="M2023" s="25" t="e">
        <f ca="1"/>
        <v>#REF!</v>
      </c>
      <c r="N2023" s="25" t="e">
        <f ca="1"/>
        <v>#REF!</v>
      </c>
      <c r="O2023" s="25" t="e">
        <f ca="1"/>
        <v>#REF!</v>
      </c>
      <c r="P2023" s="25" t="e">
        <f ca="1"/>
        <v>#REF!</v>
      </c>
      <c r="Q2023" s="25" t="e">
        <f ca="1"/>
        <v>#REF!</v>
      </c>
      <c r="R2023" s="25" t="e">
        <f ca="1"/>
        <v>#REF!</v>
      </c>
      <c r="S2023" s="25" t="e">
        <f ca="1"/>
        <v>#REF!</v>
      </c>
      <c r="T2023" s="25" t="e">
        <f ca="1"/>
        <v>#REF!</v>
      </c>
      <c r="U2023" s="25" t="e">
        <f ca="1"/>
        <v>#REF!</v>
      </c>
      <c r="V2023" s="25" t="e">
        <f ca="1"/>
        <v>#REF!</v>
      </c>
      <c r="W2023" s="33" t="e">
        <f ca="1"/>
        <v>#REF!</v>
      </c>
      <c r="X2023" s="33" t="e">
        <f ca="1"/>
        <v>#REF!</v>
      </c>
      <c r="Y2023" s="33" t="e">
        <f ca="1"/>
        <v>#REF!</v>
      </c>
      <c r="Z2023" s="33" t="e">
        <f ca="1"/>
        <v>#REF!</v>
      </c>
      <c r="AA2023" s="33" t="e">
        <f ca="1"/>
        <v>#REF!</v>
      </c>
    </row>
    <row r="2024" spans="1:27" s="70" customFormat="1" ht="11.25" x14ac:dyDescent="0.2">
      <c r="A2024" s="24">
        <v>2018</v>
      </c>
      <c r="B2024" s="24"/>
      <c r="C2024" s="25"/>
      <c r="D2024" s="26"/>
      <c r="E2024" s="25"/>
      <c r="F2024" s="25"/>
      <c r="G2024" s="24"/>
      <c r="H2024" s="25" t="e">
        <f ca="1"/>
        <v>#REF!</v>
      </c>
      <c r="I2024" s="27" t="e">
        <f ca="1"/>
        <v>#REF!</v>
      </c>
      <c r="J2024" s="28" t="e">
        <f ca="1"/>
        <v>#REF!</v>
      </c>
      <c r="K2024" s="27" t="e">
        <f ca="1"/>
        <v>#REF!</v>
      </c>
      <c r="L2024" s="25" t="e">
        <f ca="1"/>
        <v>#REF!</v>
      </c>
      <c r="M2024" s="25" t="e">
        <f ca="1"/>
        <v>#REF!</v>
      </c>
      <c r="N2024" s="25" t="e">
        <f ca="1"/>
        <v>#REF!</v>
      </c>
      <c r="O2024" s="25" t="e">
        <f ca="1"/>
        <v>#REF!</v>
      </c>
      <c r="P2024" s="25" t="e">
        <f ca="1"/>
        <v>#REF!</v>
      </c>
      <c r="Q2024" s="25" t="e">
        <f ca="1"/>
        <v>#REF!</v>
      </c>
      <c r="R2024" s="25" t="e">
        <f ca="1"/>
        <v>#REF!</v>
      </c>
      <c r="S2024" s="25" t="e">
        <f ca="1"/>
        <v>#REF!</v>
      </c>
      <c r="T2024" s="25" t="e">
        <f ca="1"/>
        <v>#REF!</v>
      </c>
      <c r="U2024" s="25" t="e">
        <f ca="1"/>
        <v>#REF!</v>
      </c>
      <c r="V2024" s="25" t="e">
        <f ca="1"/>
        <v>#REF!</v>
      </c>
      <c r="W2024" s="33" t="e">
        <f ca="1"/>
        <v>#REF!</v>
      </c>
      <c r="X2024" s="33" t="e">
        <f ca="1"/>
        <v>#REF!</v>
      </c>
      <c r="Y2024" s="33" t="e">
        <f ca="1"/>
        <v>#REF!</v>
      </c>
      <c r="Z2024" s="33" t="e">
        <f ca="1"/>
        <v>#REF!</v>
      </c>
      <c r="AA2024" s="33" t="e">
        <f ca="1"/>
        <v>#REF!</v>
      </c>
    </row>
    <row r="2025" spans="1:27" s="70" customFormat="1" ht="11.25" x14ac:dyDescent="0.2">
      <c r="A2025" s="24">
        <v>2019</v>
      </c>
      <c r="B2025" s="24"/>
      <c r="C2025" s="25"/>
      <c r="D2025" s="26"/>
      <c r="E2025" s="25"/>
      <c r="F2025" s="25"/>
      <c r="G2025" s="24"/>
      <c r="H2025" s="25" t="e">
        <f ca="1"/>
        <v>#REF!</v>
      </c>
      <c r="I2025" s="27" t="e">
        <f ca="1"/>
        <v>#REF!</v>
      </c>
      <c r="J2025" s="28" t="e">
        <f ca="1"/>
        <v>#REF!</v>
      </c>
      <c r="K2025" s="27" t="e">
        <f ca="1"/>
        <v>#REF!</v>
      </c>
      <c r="L2025" s="25" t="e">
        <f ca="1"/>
        <v>#REF!</v>
      </c>
      <c r="M2025" s="25" t="e">
        <f ca="1"/>
        <v>#REF!</v>
      </c>
      <c r="N2025" s="25" t="e">
        <f ca="1"/>
        <v>#REF!</v>
      </c>
      <c r="O2025" s="25" t="e">
        <f ca="1"/>
        <v>#REF!</v>
      </c>
      <c r="P2025" s="25" t="e">
        <f ca="1"/>
        <v>#REF!</v>
      </c>
      <c r="Q2025" s="25" t="e">
        <f ca="1"/>
        <v>#REF!</v>
      </c>
      <c r="R2025" s="25" t="e">
        <f ca="1"/>
        <v>#REF!</v>
      </c>
      <c r="S2025" s="25" t="e">
        <f ca="1"/>
        <v>#REF!</v>
      </c>
      <c r="T2025" s="25" t="e">
        <f ca="1"/>
        <v>#REF!</v>
      </c>
      <c r="U2025" s="25" t="e">
        <f ca="1"/>
        <v>#REF!</v>
      </c>
      <c r="V2025" s="25" t="e">
        <f ca="1"/>
        <v>#REF!</v>
      </c>
      <c r="W2025" s="33" t="e">
        <f ca="1"/>
        <v>#REF!</v>
      </c>
      <c r="X2025" s="33" t="e">
        <f ca="1"/>
        <v>#REF!</v>
      </c>
      <c r="Y2025" s="33" t="e">
        <f ca="1"/>
        <v>#REF!</v>
      </c>
      <c r="Z2025" s="33" t="e">
        <f ca="1"/>
        <v>#REF!</v>
      </c>
      <c r="AA2025" s="33" t="e">
        <f ca="1"/>
        <v>#REF!</v>
      </c>
    </row>
    <row r="2026" spans="1:27" s="70" customFormat="1" ht="11.25" x14ac:dyDescent="0.2">
      <c r="A2026" s="24">
        <v>2020</v>
      </c>
      <c r="B2026" s="24"/>
      <c r="C2026" s="25"/>
      <c r="D2026" s="26"/>
      <c r="E2026" s="25"/>
      <c r="F2026" s="25"/>
      <c r="G2026" s="24"/>
      <c r="H2026" s="25" t="e">
        <f ca="1"/>
        <v>#REF!</v>
      </c>
      <c r="I2026" s="27" t="e">
        <f ca="1"/>
        <v>#REF!</v>
      </c>
      <c r="J2026" s="28" t="e">
        <f ca="1"/>
        <v>#REF!</v>
      </c>
      <c r="K2026" s="27" t="e">
        <f ca="1"/>
        <v>#REF!</v>
      </c>
      <c r="L2026" s="25" t="e">
        <f ca="1"/>
        <v>#REF!</v>
      </c>
      <c r="M2026" s="25" t="e">
        <f ca="1"/>
        <v>#REF!</v>
      </c>
      <c r="N2026" s="25" t="e">
        <f ca="1"/>
        <v>#REF!</v>
      </c>
      <c r="O2026" s="25" t="e">
        <f ca="1"/>
        <v>#REF!</v>
      </c>
      <c r="P2026" s="25" t="e">
        <f ca="1"/>
        <v>#REF!</v>
      </c>
      <c r="Q2026" s="25" t="e">
        <f ca="1"/>
        <v>#REF!</v>
      </c>
      <c r="R2026" s="25" t="e">
        <f ca="1"/>
        <v>#REF!</v>
      </c>
      <c r="S2026" s="25" t="e">
        <f ca="1"/>
        <v>#REF!</v>
      </c>
      <c r="T2026" s="25" t="e">
        <f ca="1"/>
        <v>#REF!</v>
      </c>
      <c r="U2026" s="25" t="e">
        <f ca="1"/>
        <v>#REF!</v>
      </c>
      <c r="V2026" s="25" t="e">
        <f ca="1"/>
        <v>#REF!</v>
      </c>
      <c r="W2026" s="33" t="e">
        <f ca="1"/>
        <v>#REF!</v>
      </c>
      <c r="X2026" s="33" t="e">
        <f ca="1"/>
        <v>#REF!</v>
      </c>
      <c r="Y2026" s="33" t="e">
        <f ca="1"/>
        <v>#REF!</v>
      </c>
      <c r="Z2026" s="33" t="e">
        <f ca="1"/>
        <v>#REF!</v>
      </c>
      <c r="AA2026" s="33" t="e">
        <f ca="1"/>
        <v>#REF!</v>
      </c>
    </row>
    <row r="2027" spans="1:27" s="70" customFormat="1" ht="11.25" x14ac:dyDescent="0.2">
      <c r="A2027" s="24">
        <v>2021</v>
      </c>
      <c r="B2027" s="24"/>
      <c r="C2027" s="25"/>
      <c r="D2027" s="26"/>
      <c r="E2027" s="25"/>
      <c r="F2027" s="25"/>
      <c r="G2027" s="24"/>
      <c r="H2027" s="25" t="e">
        <f ca="1"/>
        <v>#REF!</v>
      </c>
      <c r="I2027" s="27" t="e">
        <f ca="1"/>
        <v>#REF!</v>
      </c>
      <c r="J2027" s="28" t="e">
        <f ca="1"/>
        <v>#REF!</v>
      </c>
      <c r="K2027" s="27" t="e">
        <f ca="1"/>
        <v>#REF!</v>
      </c>
      <c r="L2027" s="25" t="e">
        <f ca="1"/>
        <v>#REF!</v>
      </c>
      <c r="M2027" s="25" t="e">
        <f ca="1"/>
        <v>#REF!</v>
      </c>
      <c r="N2027" s="25" t="e">
        <f ca="1"/>
        <v>#REF!</v>
      </c>
      <c r="O2027" s="25" t="e">
        <f ca="1"/>
        <v>#REF!</v>
      </c>
      <c r="P2027" s="25" t="e">
        <f ca="1"/>
        <v>#REF!</v>
      </c>
      <c r="Q2027" s="25" t="e">
        <f ca="1"/>
        <v>#REF!</v>
      </c>
      <c r="R2027" s="25" t="e">
        <f ca="1"/>
        <v>#REF!</v>
      </c>
      <c r="S2027" s="25" t="e">
        <f ca="1"/>
        <v>#REF!</v>
      </c>
      <c r="T2027" s="25" t="e">
        <f ca="1"/>
        <v>#REF!</v>
      </c>
      <c r="U2027" s="25" t="e">
        <f ca="1"/>
        <v>#REF!</v>
      </c>
      <c r="V2027" s="25" t="e">
        <f ca="1"/>
        <v>#REF!</v>
      </c>
      <c r="W2027" s="33" t="e">
        <f ca="1"/>
        <v>#REF!</v>
      </c>
      <c r="X2027" s="33" t="e">
        <f ca="1"/>
        <v>#REF!</v>
      </c>
      <c r="Y2027" s="33" t="e">
        <f ca="1"/>
        <v>#REF!</v>
      </c>
      <c r="Z2027" s="33" t="e">
        <f ca="1"/>
        <v>#REF!</v>
      </c>
      <c r="AA2027" s="33" t="e">
        <f ca="1"/>
        <v>#REF!</v>
      </c>
    </row>
    <row r="2028" spans="1:27" s="70" customFormat="1" ht="11.25" x14ac:dyDescent="0.2">
      <c r="A2028" s="24">
        <v>2022</v>
      </c>
      <c r="B2028" s="24"/>
      <c r="C2028" s="25"/>
      <c r="D2028" s="26"/>
      <c r="E2028" s="25"/>
      <c r="F2028" s="25"/>
      <c r="G2028" s="24"/>
      <c r="H2028" s="25" t="e">
        <f ca="1"/>
        <v>#REF!</v>
      </c>
      <c r="I2028" s="27" t="e">
        <f ca="1"/>
        <v>#REF!</v>
      </c>
      <c r="J2028" s="28" t="e">
        <f ca="1"/>
        <v>#REF!</v>
      </c>
      <c r="K2028" s="27" t="e">
        <f ca="1"/>
        <v>#REF!</v>
      </c>
      <c r="L2028" s="25" t="e">
        <f ca="1"/>
        <v>#REF!</v>
      </c>
      <c r="M2028" s="25" t="e">
        <f ca="1"/>
        <v>#REF!</v>
      </c>
      <c r="N2028" s="25" t="e">
        <f ca="1"/>
        <v>#REF!</v>
      </c>
      <c r="O2028" s="25" t="e">
        <f ca="1"/>
        <v>#REF!</v>
      </c>
      <c r="P2028" s="25" t="e">
        <f ca="1"/>
        <v>#REF!</v>
      </c>
      <c r="Q2028" s="25" t="e">
        <f ca="1"/>
        <v>#REF!</v>
      </c>
      <c r="R2028" s="25" t="e">
        <f ca="1"/>
        <v>#REF!</v>
      </c>
      <c r="S2028" s="25" t="e">
        <f ca="1"/>
        <v>#REF!</v>
      </c>
      <c r="T2028" s="25" t="e">
        <f ca="1"/>
        <v>#REF!</v>
      </c>
      <c r="U2028" s="25" t="e">
        <f ca="1"/>
        <v>#REF!</v>
      </c>
      <c r="V2028" s="25" t="e">
        <f ca="1"/>
        <v>#REF!</v>
      </c>
      <c r="W2028" s="33" t="e">
        <f ca="1"/>
        <v>#REF!</v>
      </c>
      <c r="X2028" s="33" t="e">
        <f ca="1"/>
        <v>#REF!</v>
      </c>
      <c r="Y2028" s="33" t="e">
        <f ca="1"/>
        <v>#REF!</v>
      </c>
      <c r="Z2028" s="33" t="e">
        <f ca="1"/>
        <v>#REF!</v>
      </c>
      <c r="AA2028" s="33" t="e">
        <f ca="1"/>
        <v>#REF!</v>
      </c>
    </row>
    <row r="2029" spans="1:27" s="70" customFormat="1" ht="11.25" x14ac:dyDescent="0.2">
      <c r="A2029" s="24">
        <v>2023</v>
      </c>
      <c r="B2029" s="27"/>
      <c r="C2029" s="28"/>
      <c r="D2029" s="71"/>
      <c r="E2029" s="28"/>
      <c r="F2029" s="28"/>
      <c r="G2029" s="27"/>
      <c r="H2029" s="28" t="e">
        <f ca="1"/>
        <v>#REF!</v>
      </c>
      <c r="I2029" s="27" t="e">
        <f ca="1"/>
        <v>#REF!</v>
      </c>
      <c r="J2029" s="28" t="e">
        <f ca="1"/>
        <v>#REF!</v>
      </c>
      <c r="K2029" s="27" t="e">
        <f ca="1"/>
        <v>#REF!</v>
      </c>
      <c r="L2029" s="25" t="e">
        <f ca="1"/>
        <v>#REF!</v>
      </c>
      <c r="M2029" s="25" t="e">
        <f ca="1"/>
        <v>#REF!</v>
      </c>
      <c r="N2029" s="25" t="e">
        <f ca="1"/>
        <v>#REF!</v>
      </c>
      <c r="O2029" s="25" t="e">
        <f ca="1"/>
        <v>#REF!</v>
      </c>
      <c r="P2029" s="25" t="e">
        <f ca="1"/>
        <v>#REF!</v>
      </c>
      <c r="Q2029" s="25" t="e">
        <f ca="1"/>
        <v>#REF!</v>
      </c>
      <c r="R2029" s="25" t="e">
        <f ca="1"/>
        <v>#REF!</v>
      </c>
      <c r="S2029" s="25" t="e">
        <f ca="1"/>
        <v>#REF!</v>
      </c>
      <c r="T2029" s="25" t="e">
        <f ca="1"/>
        <v>#REF!</v>
      </c>
      <c r="U2029" s="25" t="e">
        <f ca="1"/>
        <v>#REF!</v>
      </c>
      <c r="V2029" s="25" t="e">
        <f ca="1"/>
        <v>#REF!</v>
      </c>
      <c r="W2029" s="33" t="e">
        <f ca="1"/>
        <v>#REF!</v>
      </c>
      <c r="X2029" s="33" t="e">
        <f ca="1"/>
        <v>#REF!</v>
      </c>
      <c r="Y2029" s="33" t="e">
        <f ca="1"/>
        <v>#REF!</v>
      </c>
      <c r="Z2029" s="33" t="e">
        <f ca="1"/>
        <v>#REF!</v>
      </c>
      <c r="AA2029" s="33" t="e">
        <f ca="1"/>
        <v>#REF!</v>
      </c>
    </row>
    <row r="2030" spans="1:27" s="70" customFormat="1" ht="11.25" x14ac:dyDescent="0.2">
      <c r="A2030" s="24">
        <v>2024</v>
      </c>
      <c r="B2030" s="27"/>
      <c r="C2030" s="28"/>
      <c r="D2030" s="71"/>
      <c r="E2030" s="28"/>
      <c r="F2030" s="28"/>
      <c r="G2030" s="27"/>
      <c r="H2030" s="28" t="e">
        <f ca="1"/>
        <v>#REF!</v>
      </c>
      <c r="I2030" s="27" t="e">
        <f ca="1"/>
        <v>#REF!</v>
      </c>
      <c r="J2030" s="28" t="e">
        <f ca="1"/>
        <v>#REF!</v>
      </c>
      <c r="K2030" s="27" t="e">
        <f ca="1"/>
        <v>#REF!</v>
      </c>
      <c r="L2030" s="25" t="e">
        <f ca="1"/>
        <v>#REF!</v>
      </c>
      <c r="M2030" s="25" t="e">
        <f ca="1"/>
        <v>#REF!</v>
      </c>
      <c r="N2030" s="25" t="e">
        <f ca="1"/>
        <v>#REF!</v>
      </c>
      <c r="O2030" s="25" t="e">
        <f ca="1"/>
        <v>#REF!</v>
      </c>
      <c r="P2030" s="25" t="e">
        <f ca="1"/>
        <v>#REF!</v>
      </c>
      <c r="Q2030" s="25" t="e">
        <f ca="1"/>
        <v>#REF!</v>
      </c>
      <c r="R2030" s="25" t="e">
        <f ca="1"/>
        <v>#REF!</v>
      </c>
      <c r="S2030" s="25" t="e">
        <f ca="1"/>
        <v>#REF!</v>
      </c>
      <c r="T2030" s="25" t="e">
        <f ca="1"/>
        <v>#REF!</v>
      </c>
      <c r="U2030" s="25" t="e">
        <f ca="1"/>
        <v>#REF!</v>
      </c>
      <c r="V2030" s="25" t="e">
        <f ca="1"/>
        <v>#REF!</v>
      </c>
      <c r="W2030" s="33" t="e">
        <f ca="1"/>
        <v>#REF!</v>
      </c>
      <c r="X2030" s="33" t="e">
        <f ca="1"/>
        <v>#REF!</v>
      </c>
      <c r="Y2030" s="33" t="e">
        <f ca="1"/>
        <v>#REF!</v>
      </c>
      <c r="Z2030" s="33" t="e">
        <f ca="1"/>
        <v>#REF!</v>
      </c>
      <c r="AA2030" s="33" t="e">
        <f ca="1"/>
        <v>#REF!</v>
      </c>
    </row>
    <row r="2031" spans="1:27" s="70" customFormat="1" ht="11.25" x14ac:dyDescent="0.2">
      <c r="A2031" s="24">
        <v>2025</v>
      </c>
      <c r="B2031" s="27"/>
      <c r="C2031" s="28"/>
      <c r="D2031" s="71"/>
      <c r="E2031" s="28"/>
      <c r="F2031" s="28"/>
      <c r="G2031" s="27"/>
      <c r="H2031" s="28" t="e">
        <f ca="1"/>
        <v>#REF!</v>
      </c>
      <c r="I2031" s="27" t="e">
        <f ca="1"/>
        <v>#REF!</v>
      </c>
      <c r="J2031" s="28" t="e">
        <f ca="1"/>
        <v>#REF!</v>
      </c>
      <c r="K2031" s="27" t="e">
        <f ca="1"/>
        <v>#REF!</v>
      </c>
      <c r="L2031" s="25" t="e">
        <f ca="1"/>
        <v>#REF!</v>
      </c>
      <c r="M2031" s="25" t="e">
        <f ca="1"/>
        <v>#REF!</v>
      </c>
      <c r="N2031" s="25" t="e">
        <f ca="1"/>
        <v>#REF!</v>
      </c>
      <c r="O2031" s="25" t="e">
        <f ca="1"/>
        <v>#REF!</v>
      </c>
      <c r="P2031" s="25" t="e">
        <f ca="1"/>
        <v>#REF!</v>
      </c>
      <c r="Q2031" s="25" t="e">
        <f ca="1"/>
        <v>#REF!</v>
      </c>
      <c r="R2031" s="25" t="e">
        <f ca="1"/>
        <v>#REF!</v>
      </c>
      <c r="S2031" s="25" t="e">
        <f ca="1"/>
        <v>#REF!</v>
      </c>
      <c r="T2031" s="25" t="e">
        <f ca="1"/>
        <v>#REF!</v>
      </c>
      <c r="U2031" s="25" t="e">
        <f ca="1"/>
        <v>#REF!</v>
      </c>
      <c r="V2031" s="25" t="e">
        <f ca="1"/>
        <v>#REF!</v>
      </c>
      <c r="W2031" s="33" t="e">
        <f ca="1"/>
        <v>#REF!</v>
      </c>
      <c r="X2031" s="33" t="e">
        <f ca="1"/>
        <v>#REF!</v>
      </c>
      <c r="Y2031" s="33" t="e">
        <f ca="1"/>
        <v>#REF!</v>
      </c>
      <c r="Z2031" s="33" t="e">
        <f ca="1"/>
        <v>#REF!</v>
      </c>
      <c r="AA2031" s="33" t="e">
        <f ca="1"/>
        <v>#REF!</v>
      </c>
    </row>
    <row r="2032" spans="1:27" s="70" customFormat="1" ht="11.25" x14ac:dyDescent="0.2">
      <c r="A2032" s="24">
        <v>2026</v>
      </c>
      <c r="B2032" s="27"/>
      <c r="C2032" s="28"/>
      <c r="D2032" s="71"/>
      <c r="E2032" s="28"/>
      <c r="F2032" s="28"/>
      <c r="G2032" s="27"/>
      <c r="H2032" s="28" t="e">
        <f ca="1"/>
        <v>#REF!</v>
      </c>
      <c r="I2032" s="27" t="e">
        <f ca="1"/>
        <v>#REF!</v>
      </c>
      <c r="J2032" s="28" t="e">
        <f ca="1"/>
        <v>#REF!</v>
      </c>
      <c r="K2032" s="27" t="e">
        <f ca="1"/>
        <v>#REF!</v>
      </c>
      <c r="L2032" s="25" t="e">
        <f ca="1"/>
        <v>#REF!</v>
      </c>
      <c r="M2032" s="25" t="e">
        <f ca="1"/>
        <v>#REF!</v>
      </c>
      <c r="N2032" s="25" t="e">
        <f ca="1"/>
        <v>#REF!</v>
      </c>
      <c r="O2032" s="25" t="e">
        <f ca="1"/>
        <v>#REF!</v>
      </c>
      <c r="P2032" s="25" t="e">
        <f ca="1"/>
        <v>#REF!</v>
      </c>
      <c r="Q2032" s="25" t="e">
        <f ca="1"/>
        <v>#REF!</v>
      </c>
      <c r="R2032" s="25" t="e">
        <f ca="1"/>
        <v>#REF!</v>
      </c>
      <c r="S2032" s="25" t="e">
        <f ca="1"/>
        <v>#REF!</v>
      </c>
      <c r="T2032" s="25" t="e">
        <f ca="1"/>
        <v>#REF!</v>
      </c>
      <c r="U2032" s="25" t="e">
        <f ca="1"/>
        <v>#REF!</v>
      </c>
      <c r="V2032" s="25" t="e">
        <f ca="1"/>
        <v>#REF!</v>
      </c>
      <c r="W2032" s="33" t="e">
        <f ca="1"/>
        <v>#REF!</v>
      </c>
      <c r="X2032" s="33" t="e">
        <f ca="1"/>
        <v>#REF!</v>
      </c>
      <c r="Y2032" s="33" t="e">
        <f ca="1"/>
        <v>#REF!</v>
      </c>
      <c r="Z2032" s="33" t="e">
        <f ca="1"/>
        <v>#REF!</v>
      </c>
      <c r="AA2032" s="33" t="e">
        <f ca="1"/>
        <v>#REF!</v>
      </c>
    </row>
    <row r="2033" spans="1:27" s="70" customFormat="1" ht="11.25" x14ac:dyDescent="0.2">
      <c r="A2033" s="24">
        <v>2027</v>
      </c>
      <c r="B2033" s="27"/>
      <c r="C2033" s="28"/>
      <c r="D2033" s="71"/>
      <c r="E2033" s="28"/>
      <c r="F2033" s="28"/>
      <c r="G2033" s="27"/>
      <c r="H2033" s="28" t="e">
        <f ca="1"/>
        <v>#REF!</v>
      </c>
      <c r="I2033" s="27" t="e">
        <f ca="1"/>
        <v>#REF!</v>
      </c>
      <c r="J2033" s="28" t="e">
        <f ca="1"/>
        <v>#REF!</v>
      </c>
      <c r="K2033" s="27" t="e">
        <f ca="1"/>
        <v>#REF!</v>
      </c>
      <c r="L2033" s="25" t="e">
        <f ca="1"/>
        <v>#REF!</v>
      </c>
      <c r="M2033" s="25" t="e">
        <f ca="1"/>
        <v>#REF!</v>
      </c>
      <c r="N2033" s="25" t="e">
        <f ca="1"/>
        <v>#REF!</v>
      </c>
      <c r="O2033" s="25" t="e">
        <f ca="1"/>
        <v>#REF!</v>
      </c>
      <c r="P2033" s="25" t="e">
        <f ca="1"/>
        <v>#REF!</v>
      </c>
      <c r="Q2033" s="25" t="e">
        <f ca="1"/>
        <v>#REF!</v>
      </c>
      <c r="R2033" s="25" t="e">
        <f ca="1"/>
        <v>#REF!</v>
      </c>
      <c r="S2033" s="25" t="e">
        <f ca="1"/>
        <v>#REF!</v>
      </c>
      <c r="T2033" s="25" t="e">
        <f ca="1"/>
        <v>#REF!</v>
      </c>
      <c r="U2033" s="25" t="e">
        <f ca="1"/>
        <v>#REF!</v>
      </c>
      <c r="V2033" s="25" t="e">
        <f ca="1"/>
        <v>#REF!</v>
      </c>
      <c r="W2033" s="33" t="e">
        <f ca="1"/>
        <v>#REF!</v>
      </c>
      <c r="X2033" s="33" t="e">
        <f ca="1"/>
        <v>#REF!</v>
      </c>
      <c r="Y2033" s="33" t="e">
        <f ca="1"/>
        <v>#REF!</v>
      </c>
      <c r="Z2033" s="33" t="e">
        <f ca="1"/>
        <v>#REF!</v>
      </c>
      <c r="AA2033" s="33" t="e">
        <f ca="1"/>
        <v>#REF!</v>
      </c>
    </row>
    <row r="2034" spans="1:27" s="70" customFormat="1" ht="11.25" x14ac:dyDescent="0.2">
      <c r="A2034" s="24">
        <v>2028</v>
      </c>
      <c r="B2034" s="27"/>
      <c r="C2034" s="28"/>
      <c r="D2034" s="71"/>
      <c r="E2034" s="28"/>
      <c r="F2034" s="28"/>
      <c r="G2034" s="27"/>
      <c r="H2034" s="28" t="e">
        <f ca="1"/>
        <v>#REF!</v>
      </c>
      <c r="I2034" s="27" t="e">
        <f ca="1"/>
        <v>#REF!</v>
      </c>
      <c r="J2034" s="28" t="e">
        <f ca="1"/>
        <v>#REF!</v>
      </c>
      <c r="K2034" s="27" t="e">
        <f ca="1"/>
        <v>#REF!</v>
      </c>
      <c r="L2034" s="25" t="e">
        <f ca="1"/>
        <v>#REF!</v>
      </c>
      <c r="M2034" s="25" t="e">
        <f ca="1"/>
        <v>#REF!</v>
      </c>
      <c r="N2034" s="25" t="e">
        <f ca="1"/>
        <v>#REF!</v>
      </c>
      <c r="O2034" s="25" t="e">
        <f ca="1"/>
        <v>#REF!</v>
      </c>
      <c r="P2034" s="25" t="e">
        <f ca="1"/>
        <v>#REF!</v>
      </c>
      <c r="Q2034" s="25" t="e">
        <f ca="1"/>
        <v>#REF!</v>
      </c>
      <c r="R2034" s="25" t="e">
        <f ca="1"/>
        <v>#REF!</v>
      </c>
      <c r="S2034" s="25" t="e">
        <f ca="1"/>
        <v>#REF!</v>
      </c>
      <c r="T2034" s="25" t="e">
        <f ca="1"/>
        <v>#REF!</v>
      </c>
      <c r="U2034" s="25" t="e">
        <f ca="1"/>
        <v>#REF!</v>
      </c>
      <c r="V2034" s="25" t="e">
        <f ca="1"/>
        <v>#REF!</v>
      </c>
      <c r="W2034" s="33" t="e">
        <f ca="1"/>
        <v>#REF!</v>
      </c>
      <c r="X2034" s="33" t="e">
        <f ca="1"/>
        <v>#REF!</v>
      </c>
      <c r="Y2034" s="33" t="e">
        <f ca="1"/>
        <v>#REF!</v>
      </c>
      <c r="Z2034" s="33" t="e">
        <f ca="1"/>
        <v>#REF!</v>
      </c>
      <c r="AA2034" s="33" t="e">
        <f ca="1"/>
        <v>#REF!</v>
      </c>
    </row>
    <row r="2035" spans="1:27" s="70" customFormat="1" ht="11.25" x14ac:dyDescent="0.2">
      <c r="A2035" s="24">
        <v>2029</v>
      </c>
      <c r="B2035" s="27"/>
      <c r="C2035" s="28"/>
      <c r="D2035" s="71"/>
      <c r="E2035" s="28"/>
      <c r="F2035" s="28"/>
      <c r="G2035" s="27"/>
      <c r="H2035" s="28" t="e">
        <f ca="1"/>
        <v>#REF!</v>
      </c>
      <c r="I2035" s="27" t="e">
        <f ca="1"/>
        <v>#REF!</v>
      </c>
      <c r="J2035" s="28" t="e">
        <f ca="1"/>
        <v>#REF!</v>
      </c>
      <c r="K2035" s="27" t="e">
        <f ca="1"/>
        <v>#REF!</v>
      </c>
      <c r="L2035" s="25" t="e">
        <f ca="1"/>
        <v>#REF!</v>
      </c>
      <c r="M2035" s="25" t="e">
        <f ca="1"/>
        <v>#REF!</v>
      </c>
      <c r="N2035" s="25" t="e">
        <f ca="1"/>
        <v>#REF!</v>
      </c>
      <c r="O2035" s="25" t="e">
        <f ca="1"/>
        <v>#REF!</v>
      </c>
      <c r="P2035" s="25" t="e">
        <f ca="1"/>
        <v>#REF!</v>
      </c>
      <c r="Q2035" s="25" t="e">
        <f ca="1"/>
        <v>#REF!</v>
      </c>
      <c r="R2035" s="25" t="e">
        <f ca="1"/>
        <v>#REF!</v>
      </c>
      <c r="S2035" s="25" t="e">
        <f ca="1"/>
        <v>#REF!</v>
      </c>
      <c r="T2035" s="25" t="e">
        <f ca="1"/>
        <v>#REF!</v>
      </c>
      <c r="U2035" s="25" t="e">
        <f ca="1"/>
        <v>#REF!</v>
      </c>
      <c r="V2035" s="25" t="e">
        <f ca="1"/>
        <v>#REF!</v>
      </c>
      <c r="W2035" s="33" t="e">
        <f ca="1"/>
        <v>#REF!</v>
      </c>
      <c r="X2035" s="33" t="e">
        <f ca="1"/>
        <v>#REF!</v>
      </c>
      <c r="Y2035" s="33" t="e">
        <f ca="1"/>
        <v>#REF!</v>
      </c>
      <c r="Z2035" s="33" t="e">
        <f ca="1"/>
        <v>#REF!</v>
      </c>
      <c r="AA2035" s="33" t="e">
        <f ca="1"/>
        <v>#REF!</v>
      </c>
    </row>
    <row r="2036" spans="1:27" s="70" customFormat="1" ht="11.25" x14ac:dyDescent="0.2">
      <c r="A2036" s="24">
        <v>2030</v>
      </c>
      <c r="B2036" s="27"/>
      <c r="C2036" s="28"/>
      <c r="D2036" s="71"/>
      <c r="E2036" s="28"/>
      <c r="F2036" s="28"/>
      <c r="G2036" s="27"/>
      <c r="H2036" s="28" t="e">
        <f ca="1"/>
        <v>#REF!</v>
      </c>
      <c r="I2036" s="27" t="e">
        <f ca="1"/>
        <v>#REF!</v>
      </c>
      <c r="J2036" s="28" t="e">
        <f ca="1"/>
        <v>#REF!</v>
      </c>
      <c r="K2036" s="27" t="e">
        <f ca="1"/>
        <v>#REF!</v>
      </c>
      <c r="L2036" s="25" t="e">
        <f ca="1"/>
        <v>#REF!</v>
      </c>
      <c r="M2036" s="25" t="e">
        <f ca="1"/>
        <v>#REF!</v>
      </c>
      <c r="N2036" s="25" t="e">
        <f ca="1"/>
        <v>#REF!</v>
      </c>
      <c r="O2036" s="25" t="e">
        <f ca="1"/>
        <v>#REF!</v>
      </c>
      <c r="P2036" s="25" t="e">
        <f ca="1"/>
        <v>#REF!</v>
      </c>
      <c r="Q2036" s="25" t="e">
        <f ca="1"/>
        <v>#REF!</v>
      </c>
      <c r="R2036" s="25" t="e">
        <f ca="1"/>
        <v>#REF!</v>
      </c>
      <c r="S2036" s="25" t="e">
        <f ca="1"/>
        <v>#REF!</v>
      </c>
      <c r="T2036" s="25" t="e">
        <f ca="1"/>
        <v>#REF!</v>
      </c>
      <c r="U2036" s="25" t="e">
        <f ca="1"/>
        <v>#REF!</v>
      </c>
      <c r="V2036" s="25" t="e">
        <f ca="1"/>
        <v>#REF!</v>
      </c>
      <c r="W2036" s="33" t="e">
        <f ca="1"/>
        <v>#REF!</v>
      </c>
      <c r="X2036" s="33" t="e">
        <f ca="1"/>
        <v>#REF!</v>
      </c>
      <c r="Y2036" s="33" t="e">
        <f ca="1"/>
        <v>#REF!</v>
      </c>
      <c r="Z2036" s="33" t="e">
        <f ca="1"/>
        <v>#REF!</v>
      </c>
      <c r="AA2036" s="33" t="e">
        <f ca="1"/>
        <v>#REF!</v>
      </c>
    </row>
    <row r="2037" spans="1:27" s="70" customFormat="1" ht="11.25" x14ac:dyDescent="0.2">
      <c r="A2037" s="24">
        <v>2031</v>
      </c>
      <c r="B2037" s="27"/>
      <c r="C2037" s="28"/>
      <c r="D2037" s="71"/>
      <c r="E2037" s="28"/>
      <c r="F2037" s="28"/>
      <c r="G2037" s="27"/>
      <c r="H2037" s="28" t="e">
        <f ca="1"/>
        <v>#REF!</v>
      </c>
      <c r="I2037" s="27" t="e">
        <f ca="1"/>
        <v>#REF!</v>
      </c>
      <c r="J2037" s="28" t="e">
        <f ca="1"/>
        <v>#REF!</v>
      </c>
      <c r="K2037" s="27" t="e">
        <f ca="1"/>
        <v>#REF!</v>
      </c>
      <c r="L2037" s="25" t="e">
        <f ca="1"/>
        <v>#REF!</v>
      </c>
      <c r="M2037" s="25" t="e">
        <f ca="1"/>
        <v>#REF!</v>
      </c>
      <c r="N2037" s="25" t="e">
        <f ca="1"/>
        <v>#REF!</v>
      </c>
      <c r="O2037" s="25" t="e">
        <f ca="1"/>
        <v>#REF!</v>
      </c>
      <c r="P2037" s="25" t="e">
        <f ca="1"/>
        <v>#REF!</v>
      </c>
      <c r="Q2037" s="25" t="e">
        <f ca="1"/>
        <v>#REF!</v>
      </c>
      <c r="R2037" s="25" t="e">
        <f ca="1"/>
        <v>#REF!</v>
      </c>
      <c r="S2037" s="25" t="e">
        <f ca="1"/>
        <v>#REF!</v>
      </c>
      <c r="T2037" s="25" t="e">
        <f ca="1"/>
        <v>#REF!</v>
      </c>
      <c r="U2037" s="25" t="e">
        <f ca="1"/>
        <v>#REF!</v>
      </c>
      <c r="V2037" s="25" t="e">
        <f ca="1"/>
        <v>#REF!</v>
      </c>
      <c r="W2037" s="33" t="e">
        <f ca="1"/>
        <v>#REF!</v>
      </c>
      <c r="X2037" s="33" t="e">
        <f ca="1"/>
        <v>#REF!</v>
      </c>
      <c r="Y2037" s="33" t="e">
        <f ca="1"/>
        <v>#REF!</v>
      </c>
      <c r="Z2037" s="33" t="e">
        <f ca="1"/>
        <v>#REF!</v>
      </c>
      <c r="AA2037" s="33" t="e">
        <f ca="1"/>
        <v>#REF!</v>
      </c>
    </row>
    <row r="2038" spans="1:27" s="70" customFormat="1" ht="11.25" x14ac:dyDescent="0.2">
      <c r="A2038" s="24">
        <v>2032</v>
      </c>
      <c r="B2038" s="27"/>
      <c r="C2038" s="28"/>
      <c r="D2038" s="71"/>
      <c r="E2038" s="28"/>
      <c r="F2038" s="28"/>
      <c r="G2038" s="27"/>
      <c r="H2038" s="28" t="e">
        <f ca="1"/>
        <v>#REF!</v>
      </c>
      <c r="I2038" s="27" t="e">
        <f ca="1"/>
        <v>#REF!</v>
      </c>
      <c r="J2038" s="28" t="e">
        <f ca="1"/>
        <v>#REF!</v>
      </c>
      <c r="K2038" s="27" t="e">
        <f ca="1"/>
        <v>#REF!</v>
      </c>
      <c r="L2038" s="25" t="e">
        <f ca="1"/>
        <v>#REF!</v>
      </c>
      <c r="M2038" s="25" t="e">
        <f ca="1"/>
        <v>#REF!</v>
      </c>
      <c r="N2038" s="25" t="e">
        <f ca="1"/>
        <v>#REF!</v>
      </c>
      <c r="O2038" s="25" t="e">
        <f ca="1"/>
        <v>#REF!</v>
      </c>
      <c r="P2038" s="25" t="e">
        <f ca="1"/>
        <v>#REF!</v>
      </c>
      <c r="Q2038" s="25" t="e">
        <f ca="1"/>
        <v>#REF!</v>
      </c>
      <c r="R2038" s="25" t="e">
        <f ca="1"/>
        <v>#REF!</v>
      </c>
      <c r="S2038" s="25" t="e">
        <f ca="1"/>
        <v>#REF!</v>
      </c>
      <c r="T2038" s="25" t="e">
        <f ca="1"/>
        <v>#REF!</v>
      </c>
      <c r="U2038" s="25" t="e">
        <f ca="1"/>
        <v>#REF!</v>
      </c>
      <c r="V2038" s="25" t="e">
        <f ca="1"/>
        <v>#REF!</v>
      </c>
      <c r="W2038" s="33" t="e">
        <f ca="1"/>
        <v>#REF!</v>
      </c>
      <c r="X2038" s="33" t="e">
        <f ca="1"/>
        <v>#REF!</v>
      </c>
      <c r="Y2038" s="33" t="e">
        <f ca="1"/>
        <v>#REF!</v>
      </c>
      <c r="Z2038" s="33" t="e">
        <f ca="1"/>
        <v>#REF!</v>
      </c>
      <c r="AA2038" s="33" t="e">
        <f ca="1"/>
        <v>#REF!</v>
      </c>
    </row>
    <row r="2039" spans="1:27" s="70" customFormat="1" ht="11.25" x14ac:dyDescent="0.2">
      <c r="A2039" s="24">
        <v>2033</v>
      </c>
      <c r="B2039" s="27"/>
      <c r="C2039" s="28"/>
      <c r="D2039" s="71"/>
      <c r="E2039" s="28"/>
      <c r="F2039" s="28"/>
      <c r="G2039" s="27"/>
      <c r="H2039" s="28" t="e">
        <f ca="1"/>
        <v>#REF!</v>
      </c>
      <c r="I2039" s="27" t="e">
        <f ca="1"/>
        <v>#REF!</v>
      </c>
      <c r="J2039" s="28" t="e">
        <f ca="1"/>
        <v>#REF!</v>
      </c>
      <c r="K2039" s="27" t="e">
        <f ca="1"/>
        <v>#REF!</v>
      </c>
      <c r="L2039" s="25" t="e">
        <f ca="1"/>
        <v>#REF!</v>
      </c>
      <c r="M2039" s="25" t="e">
        <f ca="1"/>
        <v>#REF!</v>
      </c>
      <c r="N2039" s="25" t="e">
        <f ca="1"/>
        <v>#REF!</v>
      </c>
      <c r="O2039" s="25" t="e">
        <f ca="1"/>
        <v>#REF!</v>
      </c>
      <c r="P2039" s="25" t="e">
        <f ca="1"/>
        <v>#REF!</v>
      </c>
      <c r="Q2039" s="25" t="e">
        <f ca="1"/>
        <v>#REF!</v>
      </c>
      <c r="R2039" s="25" t="e">
        <f ca="1"/>
        <v>#REF!</v>
      </c>
      <c r="S2039" s="25" t="e">
        <f ca="1"/>
        <v>#REF!</v>
      </c>
      <c r="T2039" s="25" t="e">
        <f ca="1"/>
        <v>#REF!</v>
      </c>
      <c r="U2039" s="25" t="e">
        <f ca="1"/>
        <v>#REF!</v>
      </c>
      <c r="V2039" s="25" t="e">
        <f ca="1"/>
        <v>#REF!</v>
      </c>
      <c r="W2039" s="33" t="e">
        <f ca="1"/>
        <v>#REF!</v>
      </c>
      <c r="X2039" s="33" t="e">
        <f ca="1"/>
        <v>#REF!</v>
      </c>
      <c r="Y2039" s="33" t="e">
        <f ca="1"/>
        <v>#REF!</v>
      </c>
      <c r="Z2039" s="33" t="e">
        <f ca="1"/>
        <v>#REF!</v>
      </c>
      <c r="AA2039" s="33" t="e">
        <f ca="1"/>
        <v>#REF!</v>
      </c>
    </row>
    <row r="2040" spans="1:27" s="70" customFormat="1" ht="11.25" x14ac:dyDescent="0.2">
      <c r="A2040" s="24">
        <v>2034</v>
      </c>
      <c r="B2040" s="27"/>
      <c r="C2040" s="28"/>
      <c r="D2040" s="71"/>
      <c r="E2040" s="28"/>
      <c r="F2040" s="28"/>
      <c r="G2040" s="27"/>
      <c r="H2040" s="28" t="e">
        <f ca="1"/>
        <v>#REF!</v>
      </c>
      <c r="I2040" s="27" t="e">
        <f ca="1"/>
        <v>#REF!</v>
      </c>
      <c r="J2040" s="28" t="e">
        <f ca="1"/>
        <v>#REF!</v>
      </c>
      <c r="K2040" s="27" t="e">
        <f ca="1"/>
        <v>#REF!</v>
      </c>
      <c r="L2040" s="25" t="e">
        <f ca="1"/>
        <v>#REF!</v>
      </c>
      <c r="M2040" s="25" t="e">
        <f ca="1"/>
        <v>#REF!</v>
      </c>
      <c r="N2040" s="25" t="e">
        <f ca="1"/>
        <v>#REF!</v>
      </c>
      <c r="O2040" s="25" t="e">
        <f ca="1"/>
        <v>#REF!</v>
      </c>
      <c r="P2040" s="25" t="e">
        <f ca="1"/>
        <v>#REF!</v>
      </c>
      <c r="Q2040" s="25" t="e">
        <f ca="1"/>
        <v>#REF!</v>
      </c>
      <c r="R2040" s="25" t="e">
        <f ca="1"/>
        <v>#REF!</v>
      </c>
      <c r="S2040" s="25" t="e">
        <f ca="1"/>
        <v>#REF!</v>
      </c>
      <c r="T2040" s="25" t="e">
        <f ca="1"/>
        <v>#REF!</v>
      </c>
      <c r="U2040" s="25" t="e">
        <f ca="1"/>
        <v>#REF!</v>
      </c>
      <c r="V2040" s="25" t="e">
        <f ca="1"/>
        <v>#REF!</v>
      </c>
      <c r="W2040" s="33" t="e">
        <f ca="1"/>
        <v>#REF!</v>
      </c>
      <c r="X2040" s="33" t="e">
        <f ca="1"/>
        <v>#REF!</v>
      </c>
      <c r="Y2040" s="33" t="e">
        <f ca="1"/>
        <v>#REF!</v>
      </c>
      <c r="Z2040" s="33" t="e">
        <f ca="1"/>
        <v>#REF!</v>
      </c>
      <c r="AA2040" s="33" t="e">
        <f ca="1"/>
        <v>#REF!</v>
      </c>
    </row>
    <row r="2041" spans="1:27" s="70" customFormat="1" ht="11.25" x14ac:dyDescent="0.2">
      <c r="A2041" s="24">
        <v>2035</v>
      </c>
      <c r="B2041" s="27"/>
      <c r="C2041" s="28"/>
      <c r="D2041" s="71"/>
      <c r="E2041" s="28"/>
      <c r="F2041" s="28"/>
      <c r="G2041" s="27"/>
      <c r="H2041" s="28" t="e">
        <f ca="1"/>
        <v>#REF!</v>
      </c>
      <c r="I2041" s="27" t="e">
        <f ca="1"/>
        <v>#REF!</v>
      </c>
      <c r="J2041" s="28" t="e">
        <f ca="1"/>
        <v>#REF!</v>
      </c>
      <c r="K2041" s="27" t="e">
        <f ca="1"/>
        <v>#REF!</v>
      </c>
      <c r="L2041" s="25" t="e">
        <f ca="1"/>
        <v>#REF!</v>
      </c>
      <c r="M2041" s="25" t="e">
        <f ca="1"/>
        <v>#REF!</v>
      </c>
      <c r="N2041" s="25" t="e">
        <f ca="1"/>
        <v>#REF!</v>
      </c>
      <c r="O2041" s="25" t="e">
        <f ca="1"/>
        <v>#REF!</v>
      </c>
      <c r="P2041" s="25" t="e">
        <f ca="1"/>
        <v>#REF!</v>
      </c>
      <c r="Q2041" s="25" t="e">
        <f ca="1"/>
        <v>#REF!</v>
      </c>
      <c r="R2041" s="25" t="e">
        <f ca="1"/>
        <v>#REF!</v>
      </c>
      <c r="S2041" s="25" t="e">
        <f ca="1"/>
        <v>#REF!</v>
      </c>
      <c r="T2041" s="25" t="e">
        <f ca="1"/>
        <v>#REF!</v>
      </c>
      <c r="U2041" s="25" t="e">
        <f ca="1"/>
        <v>#REF!</v>
      </c>
      <c r="V2041" s="25" t="e">
        <f ca="1"/>
        <v>#REF!</v>
      </c>
      <c r="W2041" s="33" t="e">
        <f ca="1"/>
        <v>#REF!</v>
      </c>
      <c r="X2041" s="33" t="e">
        <f ca="1"/>
        <v>#REF!</v>
      </c>
      <c r="Y2041" s="33" t="e">
        <f ca="1"/>
        <v>#REF!</v>
      </c>
      <c r="Z2041" s="33" t="e">
        <f ca="1"/>
        <v>#REF!</v>
      </c>
      <c r="AA2041" s="33" t="e">
        <f ca="1"/>
        <v>#REF!</v>
      </c>
    </row>
    <row r="2042" spans="1:27" s="70" customFormat="1" ht="11.25" x14ac:dyDescent="0.2">
      <c r="A2042" s="24">
        <v>2036</v>
      </c>
      <c r="B2042" s="27"/>
      <c r="C2042" s="28"/>
      <c r="D2042" s="71"/>
      <c r="E2042" s="28"/>
      <c r="F2042" s="28"/>
      <c r="G2042" s="27"/>
      <c r="H2042" s="28" t="e">
        <f ca="1"/>
        <v>#REF!</v>
      </c>
      <c r="I2042" s="27" t="e">
        <f ca="1"/>
        <v>#REF!</v>
      </c>
      <c r="J2042" s="28" t="e">
        <f ca="1"/>
        <v>#REF!</v>
      </c>
      <c r="K2042" s="27" t="e">
        <f ca="1"/>
        <v>#REF!</v>
      </c>
      <c r="L2042" s="25" t="e">
        <f ca="1"/>
        <v>#REF!</v>
      </c>
      <c r="M2042" s="25" t="e">
        <f ca="1"/>
        <v>#REF!</v>
      </c>
      <c r="N2042" s="25" t="e">
        <f ca="1"/>
        <v>#REF!</v>
      </c>
      <c r="O2042" s="25" t="e">
        <f ca="1"/>
        <v>#REF!</v>
      </c>
      <c r="P2042" s="25" t="e">
        <f ca="1"/>
        <v>#REF!</v>
      </c>
      <c r="Q2042" s="25" t="e">
        <f ca="1"/>
        <v>#REF!</v>
      </c>
      <c r="R2042" s="25" t="e">
        <f ca="1"/>
        <v>#REF!</v>
      </c>
      <c r="S2042" s="25" t="e">
        <f ca="1"/>
        <v>#REF!</v>
      </c>
      <c r="T2042" s="25" t="e">
        <f ca="1"/>
        <v>#REF!</v>
      </c>
      <c r="U2042" s="25" t="e">
        <f ca="1"/>
        <v>#REF!</v>
      </c>
      <c r="V2042" s="25" t="e">
        <f ca="1"/>
        <v>#REF!</v>
      </c>
      <c r="W2042" s="33" t="e">
        <f ca="1"/>
        <v>#REF!</v>
      </c>
      <c r="X2042" s="33" t="e">
        <f ca="1"/>
        <v>#REF!</v>
      </c>
      <c r="Y2042" s="33" t="e">
        <f ca="1"/>
        <v>#REF!</v>
      </c>
      <c r="Z2042" s="33" t="e">
        <f ca="1"/>
        <v>#REF!</v>
      </c>
      <c r="AA2042" s="33" t="e">
        <f ca="1"/>
        <v>#REF!</v>
      </c>
    </row>
    <row r="2043" spans="1:27" s="70" customFormat="1" ht="11.25" x14ac:dyDescent="0.2">
      <c r="A2043" s="24">
        <v>2037</v>
      </c>
      <c r="B2043" s="27"/>
      <c r="C2043" s="28"/>
      <c r="D2043" s="71"/>
      <c r="E2043" s="28"/>
      <c r="F2043" s="28"/>
      <c r="G2043" s="27"/>
      <c r="H2043" s="28" t="e">
        <f ca="1"/>
        <v>#REF!</v>
      </c>
      <c r="I2043" s="27" t="e">
        <f ca="1"/>
        <v>#REF!</v>
      </c>
      <c r="J2043" s="28" t="e">
        <f ca="1"/>
        <v>#REF!</v>
      </c>
      <c r="K2043" s="27" t="e">
        <f ca="1"/>
        <v>#REF!</v>
      </c>
      <c r="L2043" s="25" t="e">
        <f ca="1"/>
        <v>#REF!</v>
      </c>
      <c r="M2043" s="25" t="e">
        <f ca="1"/>
        <v>#REF!</v>
      </c>
      <c r="N2043" s="25" t="e">
        <f ca="1"/>
        <v>#REF!</v>
      </c>
      <c r="O2043" s="25" t="e">
        <f ca="1"/>
        <v>#REF!</v>
      </c>
      <c r="P2043" s="25" t="e">
        <f ca="1"/>
        <v>#REF!</v>
      </c>
      <c r="Q2043" s="25" t="e">
        <f ca="1"/>
        <v>#REF!</v>
      </c>
      <c r="R2043" s="25" t="e">
        <f ca="1"/>
        <v>#REF!</v>
      </c>
      <c r="S2043" s="25" t="e">
        <f ca="1"/>
        <v>#REF!</v>
      </c>
      <c r="T2043" s="25" t="e">
        <f ca="1"/>
        <v>#REF!</v>
      </c>
      <c r="U2043" s="25" t="e">
        <f ca="1"/>
        <v>#REF!</v>
      </c>
      <c r="V2043" s="25" t="e">
        <f ca="1"/>
        <v>#REF!</v>
      </c>
      <c r="W2043" s="33" t="e">
        <f ca="1"/>
        <v>#REF!</v>
      </c>
      <c r="X2043" s="33" t="e">
        <f ca="1"/>
        <v>#REF!</v>
      </c>
      <c r="Y2043" s="33" t="e">
        <f ca="1"/>
        <v>#REF!</v>
      </c>
      <c r="Z2043" s="33" t="e">
        <f ca="1"/>
        <v>#REF!</v>
      </c>
      <c r="AA2043" s="33" t="e">
        <f ca="1"/>
        <v>#REF!</v>
      </c>
    </row>
    <row r="2044" spans="1:27" s="70" customFormat="1" ht="11.25" x14ac:dyDescent="0.2">
      <c r="A2044" s="24">
        <v>2038</v>
      </c>
      <c r="B2044" s="27"/>
      <c r="C2044" s="28"/>
      <c r="D2044" s="71"/>
      <c r="E2044" s="28"/>
      <c r="F2044" s="28"/>
      <c r="G2044" s="27"/>
      <c r="H2044" s="28" t="e">
        <f ca="1"/>
        <v>#REF!</v>
      </c>
      <c r="I2044" s="27" t="e">
        <f ca="1"/>
        <v>#REF!</v>
      </c>
      <c r="J2044" s="28" t="e">
        <f ca="1"/>
        <v>#REF!</v>
      </c>
      <c r="K2044" s="27" t="e">
        <f ca="1"/>
        <v>#REF!</v>
      </c>
      <c r="L2044" s="25" t="e">
        <f ca="1"/>
        <v>#REF!</v>
      </c>
      <c r="M2044" s="25" t="e">
        <f ca="1"/>
        <v>#REF!</v>
      </c>
      <c r="N2044" s="25" t="e">
        <f ca="1"/>
        <v>#REF!</v>
      </c>
      <c r="O2044" s="25" t="e">
        <f ca="1"/>
        <v>#REF!</v>
      </c>
      <c r="P2044" s="25" t="e">
        <f ca="1"/>
        <v>#REF!</v>
      </c>
      <c r="Q2044" s="25" t="e">
        <f ca="1"/>
        <v>#REF!</v>
      </c>
      <c r="R2044" s="25" t="e">
        <f ca="1"/>
        <v>#REF!</v>
      </c>
      <c r="S2044" s="25" t="e">
        <f ca="1"/>
        <v>#REF!</v>
      </c>
      <c r="T2044" s="25" t="e">
        <f ca="1"/>
        <v>#REF!</v>
      </c>
      <c r="U2044" s="25" t="e">
        <f ca="1"/>
        <v>#REF!</v>
      </c>
      <c r="V2044" s="25" t="e">
        <f ca="1"/>
        <v>#REF!</v>
      </c>
      <c r="W2044" s="33" t="e">
        <f ca="1"/>
        <v>#REF!</v>
      </c>
      <c r="X2044" s="33" t="e">
        <f ca="1"/>
        <v>#REF!</v>
      </c>
      <c r="Y2044" s="33" t="e">
        <f ca="1"/>
        <v>#REF!</v>
      </c>
      <c r="Z2044" s="33" t="e">
        <f ca="1"/>
        <v>#REF!</v>
      </c>
      <c r="AA2044" s="33" t="e">
        <f ca="1"/>
        <v>#REF!</v>
      </c>
    </row>
    <row r="2045" spans="1:27" s="70" customFormat="1" ht="11.25" x14ac:dyDescent="0.2">
      <c r="A2045" s="24">
        <v>2039</v>
      </c>
      <c r="B2045" s="27"/>
      <c r="C2045" s="28"/>
      <c r="D2045" s="71"/>
      <c r="E2045" s="28"/>
      <c r="F2045" s="28"/>
      <c r="G2045" s="27"/>
      <c r="H2045" s="28" t="e">
        <f ca="1"/>
        <v>#REF!</v>
      </c>
      <c r="I2045" s="27" t="e">
        <f ca="1"/>
        <v>#REF!</v>
      </c>
      <c r="J2045" s="28" t="e">
        <f ca="1"/>
        <v>#REF!</v>
      </c>
      <c r="K2045" s="27" t="e">
        <f ca="1"/>
        <v>#REF!</v>
      </c>
      <c r="L2045" s="25" t="e">
        <f ca="1"/>
        <v>#REF!</v>
      </c>
      <c r="M2045" s="25" t="e">
        <f ca="1"/>
        <v>#REF!</v>
      </c>
      <c r="N2045" s="25" t="e">
        <f ca="1"/>
        <v>#REF!</v>
      </c>
      <c r="O2045" s="25" t="e">
        <f ca="1"/>
        <v>#REF!</v>
      </c>
      <c r="P2045" s="25" t="e">
        <f ca="1"/>
        <v>#REF!</v>
      </c>
      <c r="Q2045" s="25" t="e">
        <f ca="1"/>
        <v>#REF!</v>
      </c>
      <c r="R2045" s="25" t="e">
        <f ca="1"/>
        <v>#REF!</v>
      </c>
      <c r="S2045" s="25" t="e">
        <f ca="1"/>
        <v>#REF!</v>
      </c>
      <c r="T2045" s="25" t="e">
        <f ca="1"/>
        <v>#REF!</v>
      </c>
      <c r="U2045" s="25" t="e">
        <f ca="1"/>
        <v>#REF!</v>
      </c>
      <c r="V2045" s="25" t="e">
        <f ca="1"/>
        <v>#REF!</v>
      </c>
      <c r="W2045" s="33" t="e">
        <f ca="1"/>
        <v>#REF!</v>
      </c>
      <c r="X2045" s="33" t="e">
        <f ca="1"/>
        <v>#REF!</v>
      </c>
      <c r="Y2045" s="33" t="e">
        <f ca="1"/>
        <v>#REF!</v>
      </c>
      <c r="Z2045" s="33" t="e">
        <f ca="1"/>
        <v>#REF!</v>
      </c>
      <c r="AA2045" s="33" t="e">
        <f ca="1"/>
        <v>#REF!</v>
      </c>
    </row>
    <row r="2046" spans="1:27" s="70" customFormat="1" ht="11.25" x14ac:dyDescent="0.2">
      <c r="A2046" s="24">
        <v>2040</v>
      </c>
      <c r="B2046" s="27"/>
      <c r="C2046" s="28"/>
      <c r="D2046" s="71"/>
      <c r="E2046" s="28"/>
      <c r="F2046" s="28"/>
      <c r="G2046" s="27"/>
      <c r="H2046" s="28" t="e">
        <f ca="1"/>
        <v>#REF!</v>
      </c>
      <c r="I2046" s="27" t="e">
        <f ca="1"/>
        <v>#REF!</v>
      </c>
      <c r="J2046" s="28" t="e">
        <f ca="1"/>
        <v>#REF!</v>
      </c>
      <c r="K2046" s="27" t="e">
        <f ca="1"/>
        <v>#REF!</v>
      </c>
      <c r="L2046" s="25" t="e">
        <f ca="1"/>
        <v>#REF!</v>
      </c>
      <c r="M2046" s="25" t="e">
        <f ca="1"/>
        <v>#REF!</v>
      </c>
      <c r="N2046" s="25" t="e">
        <f ca="1"/>
        <v>#REF!</v>
      </c>
      <c r="O2046" s="25" t="e">
        <f ca="1"/>
        <v>#REF!</v>
      </c>
      <c r="P2046" s="25" t="e">
        <f ca="1"/>
        <v>#REF!</v>
      </c>
      <c r="Q2046" s="25" t="e">
        <f ca="1"/>
        <v>#REF!</v>
      </c>
      <c r="R2046" s="25" t="e">
        <f ca="1"/>
        <v>#REF!</v>
      </c>
      <c r="S2046" s="25" t="e">
        <f ca="1"/>
        <v>#REF!</v>
      </c>
      <c r="T2046" s="25" t="e">
        <f ca="1"/>
        <v>#REF!</v>
      </c>
      <c r="U2046" s="25" t="e">
        <f ca="1"/>
        <v>#REF!</v>
      </c>
      <c r="V2046" s="25" t="e">
        <f ca="1"/>
        <v>#REF!</v>
      </c>
      <c r="W2046" s="33" t="e">
        <f ca="1"/>
        <v>#REF!</v>
      </c>
      <c r="X2046" s="33" t="e">
        <f ca="1"/>
        <v>#REF!</v>
      </c>
      <c r="Y2046" s="33" t="e">
        <f ca="1"/>
        <v>#REF!</v>
      </c>
      <c r="Z2046" s="33" t="e">
        <f ca="1"/>
        <v>#REF!</v>
      </c>
      <c r="AA2046" s="33" t="e">
        <f ca="1"/>
        <v>#REF!</v>
      </c>
    </row>
    <row r="2047" spans="1:27" s="70" customFormat="1" ht="11.25" x14ac:dyDescent="0.2">
      <c r="A2047" s="24">
        <v>2041</v>
      </c>
      <c r="B2047" s="27"/>
      <c r="C2047" s="28"/>
      <c r="D2047" s="71"/>
      <c r="E2047" s="28"/>
      <c r="F2047" s="28"/>
      <c r="G2047" s="27"/>
      <c r="H2047" s="28" t="e">
        <f ca="1"/>
        <v>#REF!</v>
      </c>
      <c r="I2047" s="27" t="e">
        <f ca="1"/>
        <v>#REF!</v>
      </c>
      <c r="J2047" s="28" t="e">
        <f ca="1"/>
        <v>#REF!</v>
      </c>
      <c r="K2047" s="27" t="e">
        <f ca="1"/>
        <v>#REF!</v>
      </c>
      <c r="L2047" s="25" t="e">
        <f ca="1"/>
        <v>#REF!</v>
      </c>
      <c r="M2047" s="25" t="e">
        <f ca="1"/>
        <v>#REF!</v>
      </c>
      <c r="N2047" s="25" t="e">
        <f ca="1"/>
        <v>#REF!</v>
      </c>
      <c r="O2047" s="25" t="e">
        <f ca="1"/>
        <v>#REF!</v>
      </c>
      <c r="P2047" s="25" t="e">
        <f ca="1"/>
        <v>#REF!</v>
      </c>
      <c r="Q2047" s="25" t="e">
        <f ca="1"/>
        <v>#REF!</v>
      </c>
      <c r="R2047" s="25" t="e">
        <f ca="1"/>
        <v>#REF!</v>
      </c>
      <c r="S2047" s="25" t="e">
        <f ca="1"/>
        <v>#REF!</v>
      </c>
      <c r="T2047" s="25" t="e">
        <f ca="1"/>
        <v>#REF!</v>
      </c>
      <c r="U2047" s="25" t="e">
        <f ca="1"/>
        <v>#REF!</v>
      </c>
      <c r="V2047" s="25" t="e">
        <f ca="1"/>
        <v>#REF!</v>
      </c>
      <c r="W2047" s="33" t="e">
        <f ca="1"/>
        <v>#REF!</v>
      </c>
      <c r="X2047" s="33" t="e">
        <f ca="1"/>
        <v>#REF!</v>
      </c>
      <c r="Y2047" s="33" t="e">
        <f ca="1"/>
        <v>#REF!</v>
      </c>
      <c r="Z2047" s="33" t="e">
        <f ca="1"/>
        <v>#REF!</v>
      </c>
      <c r="AA2047" s="33" t="e">
        <f ca="1"/>
        <v>#REF!</v>
      </c>
    </row>
    <row r="2048" spans="1:27" s="70" customFormat="1" ht="11.25" x14ac:dyDescent="0.2">
      <c r="A2048" s="24">
        <v>2042</v>
      </c>
      <c r="B2048" s="27"/>
      <c r="C2048" s="28"/>
      <c r="D2048" s="71"/>
      <c r="E2048" s="28"/>
      <c r="F2048" s="28"/>
      <c r="G2048" s="27"/>
      <c r="H2048" s="28" t="e">
        <f ca="1"/>
        <v>#REF!</v>
      </c>
      <c r="I2048" s="27" t="e">
        <f ca="1"/>
        <v>#REF!</v>
      </c>
      <c r="J2048" s="28" t="e">
        <f ca="1"/>
        <v>#REF!</v>
      </c>
      <c r="K2048" s="27" t="e">
        <f ca="1"/>
        <v>#REF!</v>
      </c>
      <c r="L2048" s="25" t="e">
        <f ca="1"/>
        <v>#REF!</v>
      </c>
      <c r="M2048" s="25" t="e">
        <f ca="1"/>
        <v>#REF!</v>
      </c>
      <c r="N2048" s="25" t="e">
        <f ca="1"/>
        <v>#REF!</v>
      </c>
      <c r="O2048" s="25" t="e">
        <f ca="1"/>
        <v>#REF!</v>
      </c>
      <c r="P2048" s="25" t="e">
        <f ca="1"/>
        <v>#REF!</v>
      </c>
      <c r="Q2048" s="25" t="e">
        <f ca="1"/>
        <v>#REF!</v>
      </c>
      <c r="R2048" s="25" t="e">
        <f ca="1"/>
        <v>#REF!</v>
      </c>
      <c r="S2048" s="25" t="e">
        <f ca="1"/>
        <v>#REF!</v>
      </c>
      <c r="T2048" s="25" t="e">
        <f ca="1"/>
        <v>#REF!</v>
      </c>
      <c r="U2048" s="25" t="e">
        <f ca="1"/>
        <v>#REF!</v>
      </c>
      <c r="V2048" s="25" t="e">
        <f ca="1"/>
        <v>#REF!</v>
      </c>
      <c r="W2048" s="33" t="e">
        <f ca="1"/>
        <v>#REF!</v>
      </c>
      <c r="X2048" s="33" t="e">
        <f ca="1"/>
        <v>#REF!</v>
      </c>
      <c r="Y2048" s="33" t="e">
        <f ca="1"/>
        <v>#REF!</v>
      </c>
      <c r="Z2048" s="33" t="e">
        <f ca="1"/>
        <v>#REF!</v>
      </c>
      <c r="AA2048" s="33" t="e">
        <f ca="1"/>
        <v>#REF!</v>
      </c>
    </row>
    <row r="2049" spans="1:27" s="70" customFormat="1" ht="11.25" x14ac:dyDescent="0.2">
      <c r="A2049" s="24">
        <v>2043</v>
      </c>
      <c r="B2049" s="27"/>
      <c r="C2049" s="28"/>
      <c r="D2049" s="71"/>
      <c r="E2049" s="28"/>
      <c r="F2049" s="28"/>
      <c r="G2049" s="27"/>
      <c r="H2049" s="28" t="e">
        <f ca="1"/>
        <v>#REF!</v>
      </c>
      <c r="I2049" s="27" t="e">
        <f ca="1"/>
        <v>#REF!</v>
      </c>
      <c r="J2049" s="28" t="e">
        <f ca="1"/>
        <v>#REF!</v>
      </c>
      <c r="K2049" s="27" t="e">
        <f ca="1"/>
        <v>#REF!</v>
      </c>
      <c r="L2049" s="25" t="e">
        <f ca="1"/>
        <v>#REF!</v>
      </c>
      <c r="M2049" s="25" t="e">
        <f ca="1"/>
        <v>#REF!</v>
      </c>
      <c r="N2049" s="25" t="e">
        <f ca="1"/>
        <v>#REF!</v>
      </c>
      <c r="O2049" s="25" t="e">
        <f ca="1"/>
        <v>#REF!</v>
      </c>
      <c r="P2049" s="25" t="e">
        <f ca="1"/>
        <v>#REF!</v>
      </c>
      <c r="Q2049" s="25" t="e">
        <f ca="1"/>
        <v>#REF!</v>
      </c>
      <c r="R2049" s="25" t="e">
        <f ca="1"/>
        <v>#REF!</v>
      </c>
      <c r="S2049" s="25" t="e">
        <f ca="1"/>
        <v>#REF!</v>
      </c>
      <c r="T2049" s="25" t="e">
        <f ca="1"/>
        <v>#REF!</v>
      </c>
      <c r="U2049" s="25" t="e">
        <f ca="1"/>
        <v>#REF!</v>
      </c>
      <c r="V2049" s="25" t="e">
        <f ca="1"/>
        <v>#REF!</v>
      </c>
      <c r="W2049" s="33" t="e">
        <f ca="1"/>
        <v>#REF!</v>
      </c>
      <c r="X2049" s="33" t="e">
        <f ca="1"/>
        <v>#REF!</v>
      </c>
      <c r="Y2049" s="33" t="e">
        <f ca="1"/>
        <v>#REF!</v>
      </c>
      <c r="Z2049" s="33" t="e">
        <f ca="1"/>
        <v>#REF!</v>
      </c>
      <c r="AA2049" s="33" t="e">
        <f ca="1"/>
        <v>#REF!</v>
      </c>
    </row>
    <row r="2050" spans="1:27" s="70" customFormat="1" ht="11.25" x14ac:dyDescent="0.2">
      <c r="A2050" s="24">
        <v>2044</v>
      </c>
      <c r="B2050" s="27"/>
      <c r="C2050" s="28"/>
      <c r="D2050" s="71"/>
      <c r="E2050" s="28"/>
      <c r="F2050" s="28"/>
      <c r="G2050" s="27"/>
      <c r="H2050" s="28" t="e">
        <f ca="1"/>
        <v>#REF!</v>
      </c>
      <c r="I2050" s="27" t="e">
        <f ca="1"/>
        <v>#REF!</v>
      </c>
      <c r="J2050" s="28" t="e">
        <f ca="1"/>
        <v>#REF!</v>
      </c>
      <c r="K2050" s="27" t="e">
        <f ca="1"/>
        <v>#REF!</v>
      </c>
      <c r="L2050" s="25" t="e">
        <f ca="1"/>
        <v>#REF!</v>
      </c>
      <c r="M2050" s="25" t="e">
        <f ca="1"/>
        <v>#REF!</v>
      </c>
      <c r="N2050" s="25" t="e">
        <f ca="1"/>
        <v>#REF!</v>
      </c>
      <c r="O2050" s="25" t="e">
        <f ca="1"/>
        <v>#REF!</v>
      </c>
      <c r="P2050" s="25" t="e">
        <f ca="1"/>
        <v>#REF!</v>
      </c>
      <c r="Q2050" s="25" t="e">
        <f ca="1"/>
        <v>#REF!</v>
      </c>
      <c r="R2050" s="25" t="e">
        <f ca="1"/>
        <v>#REF!</v>
      </c>
      <c r="S2050" s="25" t="e">
        <f ca="1"/>
        <v>#REF!</v>
      </c>
      <c r="T2050" s="25" t="e">
        <f ca="1"/>
        <v>#REF!</v>
      </c>
      <c r="U2050" s="25" t="e">
        <f ca="1"/>
        <v>#REF!</v>
      </c>
      <c r="V2050" s="25" t="e">
        <f ca="1"/>
        <v>#REF!</v>
      </c>
      <c r="W2050" s="33" t="e">
        <f ca="1"/>
        <v>#REF!</v>
      </c>
      <c r="X2050" s="33" t="e">
        <f ca="1"/>
        <v>#REF!</v>
      </c>
      <c r="Y2050" s="33" t="e">
        <f ca="1"/>
        <v>#REF!</v>
      </c>
      <c r="Z2050" s="33" t="e">
        <f ca="1"/>
        <v>#REF!</v>
      </c>
      <c r="AA2050" s="33" t="e">
        <f ca="1"/>
        <v>#REF!</v>
      </c>
    </row>
    <row r="2051" spans="1:27" s="70" customFormat="1" ht="11.25" x14ac:dyDescent="0.2">
      <c r="A2051" s="24">
        <v>2045</v>
      </c>
      <c r="B2051" s="27"/>
      <c r="C2051" s="28"/>
      <c r="D2051" s="71"/>
      <c r="E2051" s="28"/>
      <c r="F2051" s="28"/>
      <c r="G2051" s="27"/>
      <c r="H2051" s="28" t="e">
        <f ca="1"/>
        <v>#REF!</v>
      </c>
      <c r="I2051" s="27" t="e">
        <f ca="1"/>
        <v>#REF!</v>
      </c>
      <c r="J2051" s="28" t="e">
        <f ca="1"/>
        <v>#REF!</v>
      </c>
      <c r="K2051" s="27" t="e">
        <f ca="1"/>
        <v>#REF!</v>
      </c>
      <c r="L2051" s="25" t="e">
        <f ca="1"/>
        <v>#REF!</v>
      </c>
      <c r="M2051" s="25" t="e">
        <f ca="1"/>
        <v>#REF!</v>
      </c>
      <c r="N2051" s="25" t="e">
        <f ca="1"/>
        <v>#REF!</v>
      </c>
      <c r="O2051" s="25" t="e">
        <f ca="1"/>
        <v>#REF!</v>
      </c>
      <c r="P2051" s="25" t="e">
        <f ca="1"/>
        <v>#REF!</v>
      </c>
      <c r="Q2051" s="25" t="e">
        <f ca="1"/>
        <v>#REF!</v>
      </c>
      <c r="R2051" s="25" t="e">
        <f ca="1"/>
        <v>#REF!</v>
      </c>
      <c r="S2051" s="25" t="e">
        <f ca="1"/>
        <v>#REF!</v>
      </c>
      <c r="T2051" s="25" t="e">
        <f ca="1"/>
        <v>#REF!</v>
      </c>
      <c r="U2051" s="25" t="e">
        <f ca="1"/>
        <v>#REF!</v>
      </c>
      <c r="V2051" s="25" t="e">
        <f ca="1"/>
        <v>#REF!</v>
      </c>
      <c r="W2051" s="33" t="e">
        <f ca="1"/>
        <v>#REF!</v>
      </c>
      <c r="X2051" s="33" t="e">
        <f ca="1"/>
        <v>#REF!</v>
      </c>
      <c r="Y2051" s="33" t="e">
        <f ca="1"/>
        <v>#REF!</v>
      </c>
      <c r="Z2051" s="33" t="e">
        <f ca="1"/>
        <v>#REF!</v>
      </c>
      <c r="AA2051" s="33" t="e">
        <f ca="1"/>
        <v>#REF!</v>
      </c>
    </row>
    <row r="2052" spans="1:27" s="70" customFormat="1" ht="11.25" x14ac:dyDescent="0.2">
      <c r="A2052" s="24">
        <v>2046</v>
      </c>
      <c r="B2052" s="27"/>
      <c r="C2052" s="28"/>
      <c r="D2052" s="71"/>
      <c r="E2052" s="28"/>
      <c r="F2052" s="28"/>
      <c r="G2052" s="27"/>
      <c r="H2052" s="28" t="e">
        <f ca="1"/>
        <v>#REF!</v>
      </c>
      <c r="I2052" s="27" t="e">
        <f ca="1"/>
        <v>#REF!</v>
      </c>
      <c r="J2052" s="28" t="e">
        <f ca="1"/>
        <v>#REF!</v>
      </c>
      <c r="K2052" s="27" t="e">
        <f ca="1"/>
        <v>#REF!</v>
      </c>
      <c r="L2052" s="25" t="e">
        <f ca="1"/>
        <v>#REF!</v>
      </c>
      <c r="M2052" s="25" t="e">
        <f ca="1"/>
        <v>#REF!</v>
      </c>
      <c r="N2052" s="25" t="e">
        <f ca="1"/>
        <v>#REF!</v>
      </c>
      <c r="O2052" s="25" t="e">
        <f ca="1"/>
        <v>#REF!</v>
      </c>
      <c r="P2052" s="25" t="e">
        <f ca="1"/>
        <v>#REF!</v>
      </c>
      <c r="Q2052" s="25" t="e">
        <f ca="1"/>
        <v>#REF!</v>
      </c>
      <c r="R2052" s="25" t="e">
        <f ca="1"/>
        <v>#REF!</v>
      </c>
      <c r="S2052" s="25" t="e">
        <f ca="1"/>
        <v>#REF!</v>
      </c>
      <c r="T2052" s="25" t="e">
        <f ca="1"/>
        <v>#REF!</v>
      </c>
      <c r="U2052" s="25" t="e">
        <f ca="1"/>
        <v>#REF!</v>
      </c>
      <c r="V2052" s="25" t="e">
        <f ca="1"/>
        <v>#REF!</v>
      </c>
      <c r="W2052" s="33" t="e">
        <f ca="1"/>
        <v>#REF!</v>
      </c>
      <c r="X2052" s="33" t="e">
        <f ca="1"/>
        <v>#REF!</v>
      </c>
      <c r="Y2052" s="33" t="e">
        <f ca="1"/>
        <v>#REF!</v>
      </c>
      <c r="Z2052" s="33" t="e">
        <f ca="1"/>
        <v>#REF!</v>
      </c>
      <c r="AA2052" s="33" t="e">
        <f ca="1"/>
        <v>#REF!</v>
      </c>
    </row>
    <row r="2053" spans="1:27" s="70" customFormat="1" ht="11.25" x14ac:dyDescent="0.2">
      <c r="A2053" s="24">
        <v>2047</v>
      </c>
      <c r="B2053" s="27"/>
      <c r="C2053" s="28"/>
      <c r="D2053" s="71"/>
      <c r="E2053" s="28"/>
      <c r="F2053" s="28"/>
      <c r="G2053" s="27"/>
      <c r="H2053" s="28" t="e">
        <f ca="1"/>
        <v>#REF!</v>
      </c>
      <c r="I2053" s="27" t="e">
        <f ca="1"/>
        <v>#REF!</v>
      </c>
      <c r="J2053" s="28" t="e">
        <f ca="1"/>
        <v>#REF!</v>
      </c>
      <c r="K2053" s="27" t="e">
        <f ca="1"/>
        <v>#REF!</v>
      </c>
      <c r="L2053" s="25" t="e">
        <f ca="1"/>
        <v>#REF!</v>
      </c>
      <c r="M2053" s="25" t="e">
        <f ca="1"/>
        <v>#REF!</v>
      </c>
      <c r="N2053" s="25" t="e">
        <f ca="1"/>
        <v>#REF!</v>
      </c>
      <c r="O2053" s="25" t="e">
        <f ca="1"/>
        <v>#REF!</v>
      </c>
      <c r="P2053" s="25" t="e">
        <f ca="1"/>
        <v>#REF!</v>
      </c>
      <c r="Q2053" s="25" t="e">
        <f ca="1"/>
        <v>#REF!</v>
      </c>
      <c r="R2053" s="25" t="e">
        <f ca="1"/>
        <v>#REF!</v>
      </c>
      <c r="S2053" s="25" t="e">
        <f ca="1"/>
        <v>#REF!</v>
      </c>
      <c r="T2053" s="25" t="e">
        <f ca="1"/>
        <v>#REF!</v>
      </c>
      <c r="U2053" s="25" t="e">
        <f ca="1"/>
        <v>#REF!</v>
      </c>
      <c r="V2053" s="25" t="e">
        <f ca="1"/>
        <v>#REF!</v>
      </c>
      <c r="W2053" s="33" t="e">
        <f ca="1"/>
        <v>#REF!</v>
      </c>
      <c r="X2053" s="33" t="e">
        <f ca="1"/>
        <v>#REF!</v>
      </c>
      <c r="Y2053" s="33" t="e">
        <f ca="1"/>
        <v>#REF!</v>
      </c>
      <c r="Z2053" s="33" t="e">
        <f ca="1"/>
        <v>#REF!</v>
      </c>
      <c r="AA2053" s="33" t="e">
        <f ca="1"/>
        <v>#REF!</v>
      </c>
    </row>
    <row r="2054" spans="1:27" s="70" customFormat="1" ht="11.25" x14ac:dyDescent="0.2">
      <c r="A2054" s="24">
        <v>2048</v>
      </c>
      <c r="B2054" s="27"/>
      <c r="C2054" s="28"/>
      <c r="D2054" s="71"/>
      <c r="E2054" s="28"/>
      <c r="F2054" s="28"/>
      <c r="G2054" s="27"/>
      <c r="H2054" s="28" t="e">
        <f ca="1"/>
        <v>#REF!</v>
      </c>
      <c r="I2054" s="27" t="e">
        <f ca="1"/>
        <v>#REF!</v>
      </c>
      <c r="J2054" s="28" t="e">
        <f ca="1"/>
        <v>#REF!</v>
      </c>
      <c r="K2054" s="27" t="e">
        <f ca="1"/>
        <v>#REF!</v>
      </c>
      <c r="L2054" s="25" t="e">
        <f ca="1"/>
        <v>#REF!</v>
      </c>
      <c r="M2054" s="25" t="e">
        <f ca="1"/>
        <v>#REF!</v>
      </c>
      <c r="N2054" s="25" t="e">
        <f ca="1"/>
        <v>#REF!</v>
      </c>
      <c r="O2054" s="25" t="e">
        <f ca="1"/>
        <v>#REF!</v>
      </c>
      <c r="P2054" s="25" t="e">
        <f ca="1"/>
        <v>#REF!</v>
      </c>
      <c r="Q2054" s="25" t="e">
        <f ca="1"/>
        <v>#REF!</v>
      </c>
      <c r="R2054" s="25" t="e">
        <f ca="1"/>
        <v>#REF!</v>
      </c>
      <c r="S2054" s="25" t="e">
        <f ca="1"/>
        <v>#REF!</v>
      </c>
      <c r="T2054" s="25" t="e">
        <f ca="1"/>
        <v>#REF!</v>
      </c>
      <c r="U2054" s="25" t="e">
        <f ca="1"/>
        <v>#REF!</v>
      </c>
      <c r="V2054" s="25" t="e">
        <f ca="1"/>
        <v>#REF!</v>
      </c>
      <c r="W2054" s="33" t="e">
        <f ca="1"/>
        <v>#REF!</v>
      </c>
      <c r="X2054" s="33" t="e">
        <f ca="1"/>
        <v>#REF!</v>
      </c>
      <c r="Y2054" s="33" t="e">
        <f ca="1"/>
        <v>#REF!</v>
      </c>
      <c r="Z2054" s="33" t="e">
        <f ca="1"/>
        <v>#REF!</v>
      </c>
      <c r="AA2054" s="33" t="e">
        <f ca="1"/>
        <v>#REF!</v>
      </c>
    </row>
    <row r="2055" spans="1:27" s="70" customFormat="1" ht="11.25" x14ac:dyDescent="0.2">
      <c r="A2055" s="24">
        <v>2049</v>
      </c>
      <c r="B2055" s="27"/>
      <c r="C2055" s="28"/>
      <c r="D2055" s="71"/>
      <c r="E2055" s="28"/>
      <c r="F2055" s="28"/>
      <c r="G2055" s="27"/>
      <c r="H2055" s="28" t="e">
        <f ca="1"/>
        <v>#REF!</v>
      </c>
      <c r="I2055" s="27" t="e">
        <f ca="1"/>
        <v>#REF!</v>
      </c>
      <c r="J2055" s="28" t="e">
        <f ca="1"/>
        <v>#REF!</v>
      </c>
      <c r="K2055" s="27" t="e">
        <f ca="1"/>
        <v>#REF!</v>
      </c>
      <c r="L2055" s="25" t="e">
        <f ca="1"/>
        <v>#REF!</v>
      </c>
      <c r="M2055" s="25" t="e">
        <f ca="1"/>
        <v>#REF!</v>
      </c>
      <c r="N2055" s="25" t="e">
        <f ca="1"/>
        <v>#REF!</v>
      </c>
      <c r="O2055" s="25" t="e">
        <f ca="1"/>
        <v>#REF!</v>
      </c>
      <c r="P2055" s="25" t="e">
        <f ca="1"/>
        <v>#REF!</v>
      </c>
      <c r="Q2055" s="25" t="e">
        <f ca="1"/>
        <v>#REF!</v>
      </c>
      <c r="R2055" s="25" t="e">
        <f ca="1"/>
        <v>#REF!</v>
      </c>
      <c r="S2055" s="25" t="e">
        <f ca="1"/>
        <v>#REF!</v>
      </c>
      <c r="T2055" s="25" t="e">
        <f ca="1"/>
        <v>#REF!</v>
      </c>
      <c r="U2055" s="25" t="e">
        <f ca="1"/>
        <v>#REF!</v>
      </c>
      <c r="V2055" s="25" t="e">
        <f ca="1"/>
        <v>#REF!</v>
      </c>
      <c r="W2055" s="33" t="e">
        <f ca="1"/>
        <v>#REF!</v>
      </c>
      <c r="X2055" s="33" t="e">
        <f ca="1"/>
        <v>#REF!</v>
      </c>
      <c r="Y2055" s="33" t="e">
        <f ca="1"/>
        <v>#REF!</v>
      </c>
      <c r="Z2055" s="33" t="e">
        <f ca="1"/>
        <v>#REF!</v>
      </c>
      <c r="AA2055" s="33" t="e">
        <f ca="1"/>
        <v>#REF!</v>
      </c>
    </row>
    <row r="2056" spans="1:27" s="70" customFormat="1" ht="11.25" x14ac:dyDescent="0.2">
      <c r="A2056" s="24">
        <v>2050</v>
      </c>
      <c r="B2056" s="27"/>
      <c r="C2056" s="28"/>
      <c r="D2056" s="71"/>
      <c r="E2056" s="28"/>
      <c r="F2056" s="28"/>
      <c r="G2056" s="27"/>
      <c r="H2056" s="28" t="e">
        <f ca="1"/>
        <v>#REF!</v>
      </c>
      <c r="I2056" s="27" t="e">
        <f ca="1"/>
        <v>#REF!</v>
      </c>
      <c r="J2056" s="28" t="e">
        <f ca="1"/>
        <v>#REF!</v>
      </c>
      <c r="K2056" s="27" t="e">
        <f ca="1"/>
        <v>#REF!</v>
      </c>
      <c r="L2056" s="25" t="e">
        <f ca="1"/>
        <v>#REF!</v>
      </c>
      <c r="M2056" s="25" t="e">
        <f ca="1"/>
        <v>#REF!</v>
      </c>
      <c r="N2056" s="25" t="e">
        <f ca="1"/>
        <v>#REF!</v>
      </c>
      <c r="O2056" s="25" t="e">
        <f ca="1"/>
        <v>#REF!</v>
      </c>
      <c r="P2056" s="25" t="e">
        <f ca="1"/>
        <v>#REF!</v>
      </c>
      <c r="Q2056" s="25" t="e">
        <f ca="1"/>
        <v>#REF!</v>
      </c>
      <c r="R2056" s="25" t="e">
        <f ca="1"/>
        <v>#REF!</v>
      </c>
      <c r="S2056" s="25" t="e">
        <f ca="1"/>
        <v>#REF!</v>
      </c>
      <c r="T2056" s="25" t="e">
        <f ca="1"/>
        <v>#REF!</v>
      </c>
      <c r="U2056" s="25" t="e">
        <f ca="1"/>
        <v>#REF!</v>
      </c>
      <c r="V2056" s="25" t="e">
        <f ca="1"/>
        <v>#REF!</v>
      </c>
      <c r="W2056" s="33" t="e">
        <f ca="1"/>
        <v>#REF!</v>
      </c>
      <c r="X2056" s="33" t="e">
        <f ca="1"/>
        <v>#REF!</v>
      </c>
      <c r="Y2056" s="33" t="e">
        <f ca="1"/>
        <v>#REF!</v>
      </c>
      <c r="Z2056" s="33" t="e">
        <f ca="1"/>
        <v>#REF!</v>
      </c>
      <c r="AA2056" s="33" t="e">
        <f ca="1"/>
        <v>#REF!</v>
      </c>
    </row>
    <row r="2057" spans="1:27" s="70" customFormat="1" ht="11.25" x14ac:dyDescent="0.2">
      <c r="A2057" s="24">
        <v>2051</v>
      </c>
      <c r="B2057" s="27"/>
      <c r="C2057" s="28"/>
      <c r="D2057" s="71"/>
      <c r="E2057" s="28"/>
      <c r="F2057" s="28"/>
      <c r="G2057" s="27"/>
      <c r="H2057" s="28" t="e">
        <f ca="1"/>
        <v>#REF!</v>
      </c>
      <c r="I2057" s="27" t="e">
        <f ca="1"/>
        <v>#REF!</v>
      </c>
      <c r="J2057" s="28" t="e">
        <f ca="1"/>
        <v>#REF!</v>
      </c>
      <c r="K2057" s="27" t="e">
        <f ca="1"/>
        <v>#REF!</v>
      </c>
      <c r="L2057" s="25" t="e">
        <f ca="1"/>
        <v>#REF!</v>
      </c>
      <c r="M2057" s="25" t="e">
        <f ca="1"/>
        <v>#REF!</v>
      </c>
      <c r="N2057" s="25" t="e">
        <f ca="1"/>
        <v>#REF!</v>
      </c>
      <c r="O2057" s="25" t="e">
        <f ca="1"/>
        <v>#REF!</v>
      </c>
      <c r="P2057" s="25" t="e">
        <f ca="1"/>
        <v>#REF!</v>
      </c>
      <c r="Q2057" s="25" t="e">
        <f ca="1"/>
        <v>#REF!</v>
      </c>
      <c r="R2057" s="25" t="e">
        <f ca="1"/>
        <v>#REF!</v>
      </c>
      <c r="S2057" s="25" t="e">
        <f ca="1"/>
        <v>#REF!</v>
      </c>
      <c r="T2057" s="25" t="e">
        <f ca="1"/>
        <v>#REF!</v>
      </c>
      <c r="U2057" s="25" t="e">
        <f ca="1"/>
        <v>#REF!</v>
      </c>
      <c r="V2057" s="25" t="e">
        <f ca="1"/>
        <v>#REF!</v>
      </c>
      <c r="W2057" s="33" t="e">
        <f ca="1"/>
        <v>#REF!</v>
      </c>
      <c r="X2057" s="33" t="e">
        <f ca="1"/>
        <v>#REF!</v>
      </c>
      <c r="Y2057" s="33" t="e">
        <f ca="1"/>
        <v>#REF!</v>
      </c>
      <c r="Z2057" s="33" t="e">
        <f ca="1"/>
        <v>#REF!</v>
      </c>
      <c r="AA2057" s="33" t="e">
        <f ca="1"/>
        <v>#REF!</v>
      </c>
    </row>
    <row r="2058" spans="1:27" s="70" customFormat="1" ht="11.25" x14ac:dyDescent="0.2">
      <c r="A2058" s="24">
        <v>2052</v>
      </c>
      <c r="B2058" s="27"/>
      <c r="C2058" s="28"/>
      <c r="D2058" s="71"/>
      <c r="E2058" s="28"/>
      <c r="F2058" s="28"/>
      <c r="G2058" s="27"/>
      <c r="H2058" s="28" t="e">
        <f ca="1"/>
        <v>#REF!</v>
      </c>
      <c r="I2058" s="27" t="e">
        <f ca="1"/>
        <v>#REF!</v>
      </c>
      <c r="J2058" s="28" t="e">
        <f ca="1"/>
        <v>#REF!</v>
      </c>
      <c r="K2058" s="27" t="e">
        <f ca="1"/>
        <v>#REF!</v>
      </c>
      <c r="L2058" s="25" t="e">
        <f ca="1"/>
        <v>#REF!</v>
      </c>
      <c r="M2058" s="25" t="e">
        <f ca="1"/>
        <v>#REF!</v>
      </c>
      <c r="N2058" s="25" t="e">
        <f ca="1"/>
        <v>#REF!</v>
      </c>
      <c r="O2058" s="25" t="e">
        <f ca="1"/>
        <v>#REF!</v>
      </c>
      <c r="P2058" s="25" t="e">
        <f ca="1"/>
        <v>#REF!</v>
      </c>
      <c r="Q2058" s="25" t="e">
        <f ca="1"/>
        <v>#REF!</v>
      </c>
      <c r="R2058" s="25" t="e">
        <f ca="1"/>
        <v>#REF!</v>
      </c>
      <c r="S2058" s="25" t="e">
        <f ca="1"/>
        <v>#REF!</v>
      </c>
      <c r="T2058" s="25" t="e">
        <f ca="1"/>
        <v>#REF!</v>
      </c>
      <c r="U2058" s="25" t="e">
        <f ca="1"/>
        <v>#REF!</v>
      </c>
      <c r="V2058" s="25" t="e">
        <f ca="1"/>
        <v>#REF!</v>
      </c>
      <c r="W2058" s="33" t="e">
        <f ca="1"/>
        <v>#REF!</v>
      </c>
      <c r="X2058" s="33" t="e">
        <f ca="1"/>
        <v>#REF!</v>
      </c>
      <c r="Y2058" s="33" t="e">
        <f ca="1"/>
        <v>#REF!</v>
      </c>
      <c r="Z2058" s="33" t="e">
        <f ca="1"/>
        <v>#REF!</v>
      </c>
      <c r="AA2058" s="33" t="e">
        <f ca="1"/>
        <v>#REF!</v>
      </c>
    </row>
    <row r="2059" spans="1:27" s="70" customFormat="1" ht="11.25" x14ac:dyDescent="0.2">
      <c r="A2059" s="24">
        <v>2053</v>
      </c>
      <c r="B2059" s="27"/>
      <c r="C2059" s="28"/>
      <c r="D2059" s="71"/>
      <c r="E2059" s="28"/>
      <c r="F2059" s="28"/>
      <c r="G2059" s="27"/>
      <c r="H2059" s="28" t="e">
        <f ca="1"/>
        <v>#REF!</v>
      </c>
      <c r="I2059" s="27" t="e">
        <f ca="1"/>
        <v>#REF!</v>
      </c>
      <c r="J2059" s="28" t="e">
        <f ca="1"/>
        <v>#REF!</v>
      </c>
      <c r="K2059" s="27" t="e">
        <f ca="1"/>
        <v>#REF!</v>
      </c>
      <c r="L2059" s="25" t="e">
        <f ca="1"/>
        <v>#REF!</v>
      </c>
      <c r="M2059" s="25" t="e">
        <f ca="1"/>
        <v>#REF!</v>
      </c>
      <c r="N2059" s="25" t="e">
        <f ca="1"/>
        <v>#REF!</v>
      </c>
      <c r="O2059" s="25" t="e">
        <f ca="1"/>
        <v>#REF!</v>
      </c>
      <c r="P2059" s="25" t="e">
        <f ca="1"/>
        <v>#REF!</v>
      </c>
      <c r="Q2059" s="25" t="e">
        <f ca="1"/>
        <v>#REF!</v>
      </c>
      <c r="R2059" s="25" t="e">
        <f ca="1"/>
        <v>#REF!</v>
      </c>
      <c r="S2059" s="25" t="e">
        <f ca="1"/>
        <v>#REF!</v>
      </c>
      <c r="T2059" s="25" t="e">
        <f ca="1"/>
        <v>#REF!</v>
      </c>
      <c r="U2059" s="25" t="e">
        <f ca="1"/>
        <v>#REF!</v>
      </c>
      <c r="V2059" s="25" t="e">
        <f ca="1"/>
        <v>#REF!</v>
      </c>
      <c r="W2059" s="33" t="e">
        <f ca="1"/>
        <v>#REF!</v>
      </c>
      <c r="X2059" s="33" t="e">
        <f ca="1"/>
        <v>#REF!</v>
      </c>
      <c r="Y2059" s="33" t="e">
        <f ca="1"/>
        <v>#REF!</v>
      </c>
      <c r="Z2059" s="33" t="e">
        <f ca="1"/>
        <v>#REF!</v>
      </c>
      <c r="AA2059" s="33" t="e">
        <f ca="1"/>
        <v>#REF!</v>
      </c>
    </row>
    <row r="2060" spans="1:27" s="70" customFormat="1" ht="11.25" x14ac:dyDescent="0.2">
      <c r="A2060" s="24">
        <v>2054</v>
      </c>
      <c r="B2060" s="27"/>
      <c r="C2060" s="28"/>
      <c r="D2060" s="71"/>
      <c r="E2060" s="28"/>
      <c r="F2060" s="28"/>
      <c r="G2060" s="27"/>
      <c r="H2060" s="28" t="e">
        <f ca="1"/>
        <v>#REF!</v>
      </c>
      <c r="I2060" s="27" t="e">
        <f ca="1"/>
        <v>#REF!</v>
      </c>
      <c r="J2060" s="28" t="e">
        <f ca="1"/>
        <v>#REF!</v>
      </c>
      <c r="K2060" s="27" t="e">
        <f ca="1"/>
        <v>#REF!</v>
      </c>
      <c r="L2060" s="25" t="e">
        <f ca="1"/>
        <v>#REF!</v>
      </c>
      <c r="M2060" s="25" t="e">
        <f ca="1"/>
        <v>#REF!</v>
      </c>
      <c r="N2060" s="25" t="e">
        <f ca="1"/>
        <v>#REF!</v>
      </c>
      <c r="O2060" s="25" t="e">
        <f ca="1"/>
        <v>#REF!</v>
      </c>
      <c r="P2060" s="25" t="e">
        <f ca="1"/>
        <v>#REF!</v>
      </c>
      <c r="Q2060" s="25" t="e">
        <f ca="1"/>
        <v>#REF!</v>
      </c>
      <c r="R2060" s="25" t="e">
        <f ca="1"/>
        <v>#REF!</v>
      </c>
      <c r="S2060" s="25" t="e">
        <f ca="1"/>
        <v>#REF!</v>
      </c>
      <c r="T2060" s="25" t="e">
        <f ca="1"/>
        <v>#REF!</v>
      </c>
      <c r="U2060" s="25" t="e">
        <f ca="1"/>
        <v>#REF!</v>
      </c>
      <c r="V2060" s="25" t="e">
        <f ca="1"/>
        <v>#REF!</v>
      </c>
      <c r="W2060" s="33" t="e">
        <f ca="1"/>
        <v>#REF!</v>
      </c>
      <c r="X2060" s="33" t="e">
        <f ca="1"/>
        <v>#REF!</v>
      </c>
      <c r="Y2060" s="33" t="e">
        <f ca="1"/>
        <v>#REF!</v>
      </c>
      <c r="Z2060" s="33" t="e">
        <f ca="1"/>
        <v>#REF!</v>
      </c>
      <c r="AA2060" s="33" t="e">
        <f ca="1"/>
        <v>#REF!</v>
      </c>
    </row>
    <row r="2061" spans="1:27" s="70" customFormat="1" ht="11.25" x14ac:dyDescent="0.2">
      <c r="A2061" s="24">
        <v>2055</v>
      </c>
      <c r="B2061" s="27"/>
      <c r="C2061" s="28"/>
      <c r="D2061" s="71"/>
      <c r="E2061" s="28"/>
      <c r="F2061" s="28"/>
      <c r="G2061" s="27"/>
      <c r="H2061" s="28" t="e">
        <f ca="1"/>
        <v>#REF!</v>
      </c>
      <c r="I2061" s="27" t="e">
        <f ca="1"/>
        <v>#REF!</v>
      </c>
      <c r="J2061" s="28" t="e">
        <f ca="1"/>
        <v>#REF!</v>
      </c>
      <c r="K2061" s="27" t="e">
        <f ca="1"/>
        <v>#REF!</v>
      </c>
      <c r="L2061" s="25" t="e">
        <f ca="1"/>
        <v>#REF!</v>
      </c>
      <c r="M2061" s="25" t="e">
        <f ca="1"/>
        <v>#REF!</v>
      </c>
      <c r="N2061" s="25" t="e">
        <f ca="1"/>
        <v>#REF!</v>
      </c>
      <c r="O2061" s="25" t="e">
        <f ca="1"/>
        <v>#REF!</v>
      </c>
      <c r="P2061" s="25" t="e">
        <f ca="1"/>
        <v>#REF!</v>
      </c>
      <c r="Q2061" s="25" t="e">
        <f ca="1"/>
        <v>#REF!</v>
      </c>
      <c r="R2061" s="25" t="e">
        <f ca="1"/>
        <v>#REF!</v>
      </c>
      <c r="S2061" s="25" t="e">
        <f ca="1"/>
        <v>#REF!</v>
      </c>
      <c r="T2061" s="25" t="e">
        <f ca="1"/>
        <v>#REF!</v>
      </c>
      <c r="U2061" s="25" t="e">
        <f ca="1"/>
        <v>#REF!</v>
      </c>
      <c r="V2061" s="25" t="e">
        <f ca="1"/>
        <v>#REF!</v>
      </c>
      <c r="W2061" s="33" t="e">
        <f ca="1"/>
        <v>#REF!</v>
      </c>
      <c r="X2061" s="33" t="e">
        <f ca="1"/>
        <v>#REF!</v>
      </c>
      <c r="Y2061" s="33" t="e">
        <f ca="1"/>
        <v>#REF!</v>
      </c>
      <c r="Z2061" s="33" t="e">
        <f ca="1"/>
        <v>#REF!</v>
      </c>
      <c r="AA2061" s="33" t="e">
        <f ca="1"/>
        <v>#REF!</v>
      </c>
    </row>
    <row r="2062" spans="1:27" s="70" customFormat="1" ht="11.25" x14ac:dyDescent="0.2">
      <c r="A2062" s="24">
        <v>2056</v>
      </c>
      <c r="B2062" s="27"/>
      <c r="C2062" s="28"/>
      <c r="D2062" s="71"/>
      <c r="E2062" s="28"/>
      <c r="F2062" s="28"/>
      <c r="G2062" s="27"/>
      <c r="H2062" s="28" t="e">
        <f ca="1"/>
        <v>#REF!</v>
      </c>
      <c r="I2062" s="27" t="e">
        <f ca="1"/>
        <v>#REF!</v>
      </c>
      <c r="J2062" s="28" t="e">
        <f ca="1"/>
        <v>#REF!</v>
      </c>
      <c r="K2062" s="27" t="e">
        <f ca="1"/>
        <v>#REF!</v>
      </c>
      <c r="L2062" s="25" t="e">
        <f ca="1"/>
        <v>#REF!</v>
      </c>
      <c r="M2062" s="25" t="e">
        <f ca="1"/>
        <v>#REF!</v>
      </c>
      <c r="N2062" s="25" t="e">
        <f ca="1"/>
        <v>#REF!</v>
      </c>
      <c r="O2062" s="25" t="e">
        <f ca="1"/>
        <v>#REF!</v>
      </c>
      <c r="P2062" s="25" t="e">
        <f ca="1"/>
        <v>#REF!</v>
      </c>
      <c r="Q2062" s="25" t="e">
        <f ca="1"/>
        <v>#REF!</v>
      </c>
      <c r="R2062" s="25" t="e">
        <f ca="1"/>
        <v>#REF!</v>
      </c>
      <c r="S2062" s="25" t="e">
        <f ca="1"/>
        <v>#REF!</v>
      </c>
      <c r="T2062" s="25" t="e">
        <f ca="1"/>
        <v>#REF!</v>
      </c>
      <c r="U2062" s="25" t="e">
        <f ca="1"/>
        <v>#REF!</v>
      </c>
      <c r="V2062" s="25" t="e">
        <f ca="1"/>
        <v>#REF!</v>
      </c>
      <c r="W2062" s="33" t="e">
        <f ca="1"/>
        <v>#REF!</v>
      </c>
      <c r="X2062" s="33" t="e">
        <f ca="1"/>
        <v>#REF!</v>
      </c>
      <c r="Y2062" s="33" t="e">
        <f ca="1"/>
        <v>#REF!</v>
      </c>
      <c r="Z2062" s="33" t="e">
        <f ca="1"/>
        <v>#REF!</v>
      </c>
      <c r="AA2062" s="33" t="e">
        <f ca="1"/>
        <v>#REF!</v>
      </c>
    </row>
    <row r="2063" spans="1:27" s="70" customFormat="1" ht="11.25" x14ac:dyDescent="0.2">
      <c r="A2063" s="24">
        <v>2057</v>
      </c>
      <c r="B2063" s="27"/>
      <c r="C2063" s="28"/>
      <c r="D2063" s="71"/>
      <c r="E2063" s="28"/>
      <c r="F2063" s="28"/>
      <c r="G2063" s="27"/>
      <c r="H2063" s="28" t="e">
        <f ca="1"/>
        <v>#REF!</v>
      </c>
      <c r="I2063" s="27" t="e">
        <f ca="1"/>
        <v>#REF!</v>
      </c>
      <c r="J2063" s="28" t="e">
        <f ca="1"/>
        <v>#REF!</v>
      </c>
      <c r="K2063" s="27" t="e">
        <f ca="1"/>
        <v>#REF!</v>
      </c>
      <c r="L2063" s="25" t="e">
        <f ca="1"/>
        <v>#REF!</v>
      </c>
      <c r="M2063" s="25" t="e">
        <f ca="1"/>
        <v>#REF!</v>
      </c>
      <c r="N2063" s="25" t="e">
        <f ca="1"/>
        <v>#REF!</v>
      </c>
      <c r="O2063" s="25" t="e">
        <f ca="1"/>
        <v>#REF!</v>
      </c>
      <c r="P2063" s="25" t="e">
        <f ca="1"/>
        <v>#REF!</v>
      </c>
      <c r="Q2063" s="25" t="e">
        <f ca="1"/>
        <v>#REF!</v>
      </c>
      <c r="R2063" s="25" t="e">
        <f ca="1"/>
        <v>#REF!</v>
      </c>
      <c r="S2063" s="25" t="e">
        <f ca="1"/>
        <v>#REF!</v>
      </c>
      <c r="T2063" s="25" t="e">
        <f ca="1"/>
        <v>#REF!</v>
      </c>
      <c r="U2063" s="25" t="e">
        <f ca="1"/>
        <v>#REF!</v>
      </c>
      <c r="V2063" s="25" t="e">
        <f ca="1"/>
        <v>#REF!</v>
      </c>
      <c r="W2063" s="33" t="e">
        <f ca="1"/>
        <v>#REF!</v>
      </c>
      <c r="X2063" s="33" t="e">
        <f ca="1"/>
        <v>#REF!</v>
      </c>
      <c r="Y2063" s="33" t="e">
        <f ca="1"/>
        <v>#REF!</v>
      </c>
      <c r="Z2063" s="33" t="e">
        <f ca="1"/>
        <v>#REF!</v>
      </c>
      <c r="AA2063" s="33" t="e">
        <f ca="1"/>
        <v>#REF!</v>
      </c>
    </row>
    <row r="2064" spans="1:27" s="70" customFormat="1" ht="11.25" x14ac:dyDescent="0.2">
      <c r="A2064" s="24">
        <v>2058</v>
      </c>
      <c r="B2064" s="27"/>
      <c r="C2064" s="28"/>
      <c r="D2064" s="71"/>
      <c r="E2064" s="28"/>
      <c r="F2064" s="28"/>
      <c r="G2064" s="27"/>
      <c r="H2064" s="28" t="e">
        <f ca="1"/>
        <v>#REF!</v>
      </c>
      <c r="I2064" s="27" t="e">
        <f ca="1"/>
        <v>#REF!</v>
      </c>
      <c r="J2064" s="28" t="e">
        <f ca="1"/>
        <v>#REF!</v>
      </c>
      <c r="K2064" s="27" t="e">
        <f ca="1"/>
        <v>#REF!</v>
      </c>
      <c r="L2064" s="25" t="e">
        <f ca="1"/>
        <v>#REF!</v>
      </c>
      <c r="M2064" s="25" t="e">
        <f ca="1"/>
        <v>#REF!</v>
      </c>
      <c r="N2064" s="25" t="e">
        <f ca="1"/>
        <v>#REF!</v>
      </c>
      <c r="O2064" s="25" t="e">
        <f ca="1"/>
        <v>#REF!</v>
      </c>
      <c r="P2064" s="25" t="e">
        <f ca="1"/>
        <v>#REF!</v>
      </c>
      <c r="Q2064" s="25" t="e">
        <f ca="1"/>
        <v>#REF!</v>
      </c>
      <c r="R2064" s="25" t="e">
        <f ca="1"/>
        <v>#REF!</v>
      </c>
      <c r="S2064" s="25" t="e">
        <f ca="1"/>
        <v>#REF!</v>
      </c>
      <c r="T2064" s="25" t="e">
        <f ca="1"/>
        <v>#REF!</v>
      </c>
      <c r="U2064" s="25" t="e">
        <f ca="1"/>
        <v>#REF!</v>
      </c>
      <c r="V2064" s="25" t="e">
        <f ca="1"/>
        <v>#REF!</v>
      </c>
      <c r="W2064" s="33" t="e">
        <f ca="1"/>
        <v>#REF!</v>
      </c>
      <c r="X2064" s="33" t="e">
        <f ca="1"/>
        <v>#REF!</v>
      </c>
      <c r="Y2064" s="33" t="e">
        <f ca="1"/>
        <v>#REF!</v>
      </c>
      <c r="Z2064" s="33" t="e">
        <f ca="1"/>
        <v>#REF!</v>
      </c>
      <c r="AA2064" s="33" t="e">
        <f ca="1"/>
        <v>#REF!</v>
      </c>
    </row>
    <row r="2065" spans="1:27" s="70" customFormat="1" ht="11.25" x14ac:dyDescent="0.2">
      <c r="A2065" s="24">
        <v>2059</v>
      </c>
      <c r="B2065" s="27"/>
      <c r="C2065" s="28"/>
      <c r="D2065" s="71"/>
      <c r="E2065" s="28"/>
      <c r="F2065" s="28"/>
      <c r="G2065" s="27"/>
      <c r="H2065" s="28" t="e">
        <f ca="1"/>
        <v>#REF!</v>
      </c>
      <c r="I2065" s="27" t="e">
        <f ca="1"/>
        <v>#REF!</v>
      </c>
      <c r="J2065" s="28" t="e">
        <f ca="1"/>
        <v>#REF!</v>
      </c>
      <c r="K2065" s="27" t="e">
        <f ca="1"/>
        <v>#REF!</v>
      </c>
      <c r="L2065" s="25" t="e">
        <f ca="1"/>
        <v>#REF!</v>
      </c>
      <c r="M2065" s="25" t="e">
        <f ca="1"/>
        <v>#REF!</v>
      </c>
      <c r="N2065" s="25" t="e">
        <f ca="1"/>
        <v>#REF!</v>
      </c>
      <c r="O2065" s="25" t="e">
        <f ca="1"/>
        <v>#REF!</v>
      </c>
      <c r="P2065" s="25" t="e">
        <f ca="1"/>
        <v>#REF!</v>
      </c>
      <c r="Q2065" s="25" t="e">
        <f ca="1"/>
        <v>#REF!</v>
      </c>
      <c r="R2065" s="25" t="e">
        <f ca="1"/>
        <v>#REF!</v>
      </c>
      <c r="S2065" s="25" t="e">
        <f ca="1"/>
        <v>#REF!</v>
      </c>
      <c r="T2065" s="25" t="e">
        <f ca="1"/>
        <v>#REF!</v>
      </c>
      <c r="U2065" s="25" t="e">
        <f ca="1"/>
        <v>#REF!</v>
      </c>
      <c r="V2065" s="25" t="e">
        <f ca="1"/>
        <v>#REF!</v>
      </c>
      <c r="W2065" s="33" t="e">
        <f ca="1"/>
        <v>#REF!</v>
      </c>
      <c r="X2065" s="33" t="e">
        <f ca="1"/>
        <v>#REF!</v>
      </c>
      <c r="Y2065" s="33" t="e">
        <f ca="1"/>
        <v>#REF!</v>
      </c>
      <c r="Z2065" s="33" t="e">
        <f ca="1"/>
        <v>#REF!</v>
      </c>
      <c r="AA2065" s="33" t="e">
        <f ca="1"/>
        <v>#REF!</v>
      </c>
    </row>
    <row r="2066" spans="1:27" s="70" customFormat="1" ht="11.25" x14ac:dyDescent="0.2">
      <c r="A2066" s="24">
        <v>2060</v>
      </c>
      <c r="B2066" s="27"/>
      <c r="C2066" s="28"/>
      <c r="D2066" s="71"/>
      <c r="E2066" s="28"/>
      <c r="F2066" s="28"/>
      <c r="G2066" s="27"/>
      <c r="H2066" s="28" t="e">
        <f ca="1"/>
        <v>#REF!</v>
      </c>
      <c r="I2066" s="27" t="e">
        <f ca="1"/>
        <v>#REF!</v>
      </c>
      <c r="J2066" s="28" t="e">
        <f ca="1"/>
        <v>#REF!</v>
      </c>
      <c r="K2066" s="27" t="e">
        <f ca="1"/>
        <v>#REF!</v>
      </c>
      <c r="L2066" s="25" t="e">
        <f ca="1"/>
        <v>#REF!</v>
      </c>
      <c r="M2066" s="25" t="e">
        <f ca="1"/>
        <v>#REF!</v>
      </c>
      <c r="N2066" s="25" t="e">
        <f ca="1"/>
        <v>#REF!</v>
      </c>
      <c r="O2066" s="25" t="e">
        <f ca="1"/>
        <v>#REF!</v>
      </c>
      <c r="P2066" s="25" t="e">
        <f ca="1"/>
        <v>#REF!</v>
      </c>
      <c r="Q2066" s="25" t="e">
        <f ca="1"/>
        <v>#REF!</v>
      </c>
      <c r="R2066" s="25" t="e">
        <f ca="1"/>
        <v>#REF!</v>
      </c>
      <c r="S2066" s="25" t="e">
        <f ca="1"/>
        <v>#REF!</v>
      </c>
      <c r="T2066" s="25" t="e">
        <f ca="1"/>
        <v>#REF!</v>
      </c>
      <c r="U2066" s="25" t="e">
        <f ca="1"/>
        <v>#REF!</v>
      </c>
      <c r="V2066" s="25" t="e">
        <f ca="1"/>
        <v>#REF!</v>
      </c>
      <c r="W2066" s="33" t="e">
        <f ca="1"/>
        <v>#REF!</v>
      </c>
      <c r="X2066" s="33" t="e">
        <f ca="1"/>
        <v>#REF!</v>
      </c>
      <c r="Y2066" s="33" t="e">
        <f ca="1"/>
        <v>#REF!</v>
      </c>
      <c r="Z2066" s="33" t="e">
        <f ca="1"/>
        <v>#REF!</v>
      </c>
      <c r="AA2066" s="33" t="e">
        <f ca="1"/>
        <v>#REF!</v>
      </c>
    </row>
    <row r="2067" spans="1:27" s="70" customFormat="1" ht="11.25" x14ac:dyDescent="0.2">
      <c r="A2067" s="24">
        <v>2061</v>
      </c>
      <c r="B2067" s="27"/>
      <c r="C2067" s="28"/>
      <c r="D2067" s="71"/>
      <c r="E2067" s="28"/>
      <c r="F2067" s="28"/>
      <c r="G2067" s="27"/>
      <c r="H2067" s="28" t="e">
        <f ca="1"/>
        <v>#REF!</v>
      </c>
      <c r="I2067" s="27" t="e">
        <f ca="1"/>
        <v>#REF!</v>
      </c>
      <c r="J2067" s="28" t="e">
        <f ca="1"/>
        <v>#REF!</v>
      </c>
      <c r="K2067" s="27" t="e">
        <f ca="1"/>
        <v>#REF!</v>
      </c>
      <c r="L2067" s="25" t="e">
        <f ca="1"/>
        <v>#REF!</v>
      </c>
      <c r="M2067" s="25" t="e">
        <f ca="1"/>
        <v>#REF!</v>
      </c>
      <c r="N2067" s="25" t="e">
        <f ca="1"/>
        <v>#REF!</v>
      </c>
      <c r="O2067" s="25" t="e">
        <f ca="1"/>
        <v>#REF!</v>
      </c>
      <c r="P2067" s="25" t="e">
        <f ca="1"/>
        <v>#REF!</v>
      </c>
      <c r="Q2067" s="25" t="e">
        <f ca="1"/>
        <v>#REF!</v>
      </c>
      <c r="R2067" s="25" t="e">
        <f ca="1"/>
        <v>#REF!</v>
      </c>
      <c r="S2067" s="25" t="e">
        <f ca="1"/>
        <v>#REF!</v>
      </c>
      <c r="T2067" s="25" t="e">
        <f ca="1"/>
        <v>#REF!</v>
      </c>
      <c r="U2067" s="25" t="e">
        <f ca="1"/>
        <v>#REF!</v>
      </c>
      <c r="V2067" s="25" t="e">
        <f ca="1"/>
        <v>#REF!</v>
      </c>
      <c r="W2067" s="33" t="e">
        <f ca="1"/>
        <v>#REF!</v>
      </c>
      <c r="X2067" s="33" t="e">
        <f ca="1"/>
        <v>#REF!</v>
      </c>
      <c r="Y2067" s="33" t="e">
        <f ca="1"/>
        <v>#REF!</v>
      </c>
      <c r="Z2067" s="33" t="e">
        <f ca="1"/>
        <v>#REF!</v>
      </c>
      <c r="AA2067" s="33" t="e">
        <f ca="1"/>
        <v>#REF!</v>
      </c>
    </row>
    <row r="2068" spans="1:27" s="70" customFormat="1" ht="11.25" x14ac:dyDescent="0.2">
      <c r="A2068" s="24">
        <v>2062</v>
      </c>
      <c r="B2068" s="27"/>
      <c r="C2068" s="28"/>
      <c r="D2068" s="71"/>
      <c r="E2068" s="28"/>
      <c r="F2068" s="28"/>
      <c r="G2068" s="27"/>
      <c r="H2068" s="28" t="e">
        <f ca="1"/>
        <v>#REF!</v>
      </c>
      <c r="I2068" s="27" t="e">
        <f ca="1"/>
        <v>#REF!</v>
      </c>
      <c r="J2068" s="28" t="e">
        <f ca="1"/>
        <v>#REF!</v>
      </c>
      <c r="K2068" s="27" t="e">
        <f ca="1"/>
        <v>#REF!</v>
      </c>
      <c r="L2068" s="25" t="e">
        <f ca="1"/>
        <v>#REF!</v>
      </c>
      <c r="M2068" s="25" t="e">
        <f ca="1"/>
        <v>#REF!</v>
      </c>
      <c r="N2068" s="25" t="e">
        <f ca="1"/>
        <v>#REF!</v>
      </c>
      <c r="O2068" s="25" t="e">
        <f ca="1"/>
        <v>#REF!</v>
      </c>
      <c r="P2068" s="25" t="e">
        <f ca="1"/>
        <v>#REF!</v>
      </c>
      <c r="Q2068" s="25" t="e">
        <f ca="1"/>
        <v>#REF!</v>
      </c>
      <c r="R2068" s="25" t="e">
        <f ca="1"/>
        <v>#REF!</v>
      </c>
      <c r="S2068" s="25" t="e">
        <f ca="1"/>
        <v>#REF!</v>
      </c>
      <c r="T2068" s="25" t="e">
        <f ca="1"/>
        <v>#REF!</v>
      </c>
      <c r="U2068" s="25" t="e">
        <f ca="1"/>
        <v>#REF!</v>
      </c>
      <c r="V2068" s="25" t="e">
        <f ca="1"/>
        <v>#REF!</v>
      </c>
      <c r="W2068" s="33" t="e">
        <f ca="1"/>
        <v>#REF!</v>
      </c>
      <c r="X2068" s="33" t="e">
        <f ca="1"/>
        <v>#REF!</v>
      </c>
      <c r="Y2068" s="33" t="e">
        <f ca="1"/>
        <v>#REF!</v>
      </c>
      <c r="Z2068" s="33" t="e">
        <f ca="1"/>
        <v>#REF!</v>
      </c>
      <c r="AA2068" s="33" t="e">
        <f ca="1"/>
        <v>#REF!</v>
      </c>
    </row>
    <row r="2069" spans="1:27" s="70" customFormat="1" ht="11.25" x14ac:dyDescent="0.2">
      <c r="A2069" s="24">
        <v>2063</v>
      </c>
      <c r="B2069" s="27"/>
      <c r="C2069" s="28"/>
      <c r="D2069" s="71"/>
      <c r="E2069" s="28"/>
      <c r="F2069" s="28"/>
      <c r="G2069" s="27"/>
      <c r="H2069" s="28" t="e">
        <f ca="1"/>
        <v>#REF!</v>
      </c>
      <c r="I2069" s="27" t="e">
        <f ca="1"/>
        <v>#REF!</v>
      </c>
      <c r="J2069" s="28" t="e">
        <f ca="1"/>
        <v>#REF!</v>
      </c>
      <c r="K2069" s="27" t="e">
        <f ca="1"/>
        <v>#REF!</v>
      </c>
      <c r="L2069" s="25" t="e">
        <f ca="1"/>
        <v>#REF!</v>
      </c>
      <c r="M2069" s="25" t="e">
        <f ca="1"/>
        <v>#REF!</v>
      </c>
      <c r="N2069" s="25" t="e">
        <f ca="1"/>
        <v>#REF!</v>
      </c>
      <c r="O2069" s="25" t="e">
        <f ca="1"/>
        <v>#REF!</v>
      </c>
      <c r="P2069" s="25" t="e">
        <f ca="1"/>
        <v>#REF!</v>
      </c>
      <c r="Q2069" s="25" t="e">
        <f ca="1"/>
        <v>#REF!</v>
      </c>
      <c r="R2069" s="25" t="e">
        <f ca="1"/>
        <v>#REF!</v>
      </c>
      <c r="S2069" s="25" t="e">
        <f ca="1"/>
        <v>#REF!</v>
      </c>
      <c r="T2069" s="25" t="e">
        <f ca="1"/>
        <v>#REF!</v>
      </c>
      <c r="U2069" s="25" t="e">
        <f ca="1"/>
        <v>#REF!</v>
      </c>
      <c r="V2069" s="25" t="e">
        <f ca="1"/>
        <v>#REF!</v>
      </c>
      <c r="W2069" s="33" t="e">
        <f ca="1"/>
        <v>#REF!</v>
      </c>
      <c r="X2069" s="33" t="e">
        <f ca="1"/>
        <v>#REF!</v>
      </c>
      <c r="Y2069" s="33" t="e">
        <f ca="1"/>
        <v>#REF!</v>
      </c>
      <c r="Z2069" s="33" t="e">
        <f ca="1"/>
        <v>#REF!</v>
      </c>
      <c r="AA2069" s="33" t="e">
        <f ca="1"/>
        <v>#REF!</v>
      </c>
    </row>
    <row r="2070" spans="1:27" s="70" customFormat="1" ht="11.25" x14ac:dyDescent="0.2">
      <c r="A2070" s="24">
        <v>2064</v>
      </c>
      <c r="B2070" s="27"/>
      <c r="C2070" s="28"/>
      <c r="D2070" s="71"/>
      <c r="E2070" s="28"/>
      <c r="F2070" s="28"/>
      <c r="G2070" s="27"/>
      <c r="H2070" s="28" t="e">
        <f ca="1"/>
        <v>#REF!</v>
      </c>
      <c r="I2070" s="27" t="e">
        <f ca="1"/>
        <v>#REF!</v>
      </c>
      <c r="J2070" s="28" t="e">
        <f ca="1"/>
        <v>#REF!</v>
      </c>
      <c r="K2070" s="27" t="e">
        <f ca="1"/>
        <v>#REF!</v>
      </c>
      <c r="L2070" s="25" t="e">
        <f ca="1"/>
        <v>#REF!</v>
      </c>
      <c r="M2070" s="25" t="e">
        <f ca="1"/>
        <v>#REF!</v>
      </c>
      <c r="N2070" s="25" t="e">
        <f ca="1"/>
        <v>#REF!</v>
      </c>
      <c r="O2070" s="25" t="e">
        <f ca="1"/>
        <v>#REF!</v>
      </c>
      <c r="P2070" s="25" t="e">
        <f ca="1"/>
        <v>#REF!</v>
      </c>
      <c r="Q2070" s="25" t="e">
        <f ca="1"/>
        <v>#REF!</v>
      </c>
      <c r="R2070" s="25" t="e">
        <f ca="1"/>
        <v>#REF!</v>
      </c>
      <c r="S2070" s="25" t="e">
        <f ca="1"/>
        <v>#REF!</v>
      </c>
      <c r="T2070" s="25" t="e">
        <f ca="1"/>
        <v>#REF!</v>
      </c>
      <c r="U2070" s="25" t="e">
        <f ca="1"/>
        <v>#REF!</v>
      </c>
      <c r="V2070" s="25" t="e">
        <f ca="1"/>
        <v>#REF!</v>
      </c>
      <c r="W2070" s="33" t="e">
        <f ca="1"/>
        <v>#REF!</v>
      </c>
      <c r="X2070" s="33" t="e">
        <f ca="1"/>
        <v>#REF!</v>
      </c>
      <c r="Y2070" s="33" t="e">
        <f ca="1"/>
        <v>#REF!</v>
      </c>
      <c r="Z2070" s="33" t="e">
        <f ca="1"/>
        <v>#REF!</v>
      </c>
      <c r="AA2070" s="33" t="e">
        <f ca="1"/>
        <v>#REF!</v>
      </c>
    </row>
    <row r="2071" spans="1:27" s="70" customFormat="1" ht="11.25" x14ac:dyDescent="0.2">
      <c r="A2071" s="24">
        <v>2065</v>
      </c>
      <c r="B2071" s="27"/>
      <c r="C2071" s="28"/>
      <c r="D2071" s="71"/>
      <c r="E2071" s="28"/>
      <c r="F2071" s="28"/>
      <c r="G2071" s="27"/>
      <c r="H2071" s="28" t="e">
        <f ca="1"/>
        <v>#REF!</v>
      </c>
      <c r="I2071" s="27" t="e">
        <f ca="1"/>
        <v>#REF!</v>
      </c>
      <c r="J2071" s="28" t="e">
        <f ca="1"/>
        <v>#REF!</v>
      </c>
      <c r="K2071" s="27" t="e">
        <f ca="1"/>
        <v>#REF!</v>
      </c>
      <c r="L2071" s="25" t="e">
        <f ca="1"/>
        <v>#REF!</v>
      </c>
      <c r="M2071" s="25" t="e">
        <f ca="1"/>
        <v>#REF!</v>
      </c>
      <c r="N2071" s="25" t="e">
        <f ca="1"/>
        <v>#REF!</v>
      </c>
      <c r="O2071" s="25" t="e">
        <f ca="1"/>
        <v>#REF!</v>
      </c>
      <c r="P2071" s="25" t="e">
        <f ca="1"/>
        <v>#REF!</v>
      </c>
      <c r="Q2071" s="25" t="e">
        <f ca="1"/>
        <v>#REF!</v>
      </c>
      <c r="R2071" s="25" t="e">
        <f ca="1"/>
        <v>#REF!</v>
      </c>
      <c r="S2071" s="25" t="e">
        <f ca="1"/>
        <v>#REF!</v>
      </c>
      <c r="T2071" s="25" t="e">
        <f ca="1"/>
        <v>#REF!</v>
      </c>
      <c r="U2071" s="25" t="e">
        <f ca="1"/>
        <v>#REF!</v>
      </c>
      <c r="V2071" s="25" t="e">
        <f ca="1"/>
        <v>#REF!</v>
      </c>
      <c r="W2071" s="33" t="e">
        <f ca="1"/>
        <v>#REF!</v>
      </c>
      <c r="X2071" s="33" t="e">
        <f ca="1"/>
        <v>#REF!</v>
      </c>
      <c r="Y2071" s="33" t="e">
        <f ca="1"/>
        <v>#REF!</v>
      </c>
      <c r="Z2071" s="33" t="e">
        <f ca="1"/>
        <v>#REF!</v>
      </c>
      <c r="AA2071" s="33" t="e">
        <f ca="1"/>
        <v>#REF!</v>
      </c>
    </row>
    <row r="2072" spans="1:27" s="70" customFormat="1" ht="11.25" x14ac:dyDescent="0.2">
      <c r="A2072" s="24">
        <v>2066</v>
      </c>
      <c r="B2072" s="27"/>
      <c r="C2072" s="28"/>
      <c r="D2072" s="71"/>
      <c r="E2072" s="28"/>
      <c r="F2072" s="28"/>
      <c r="G2072" s="27"/>
      <c r="H2072" s="28" t="e">
        <f ca="1"/>
        <v>#REF!</v>
      </c>
      <c r="I2072" s="27" t="e">
        <f ca="1"/>
        <v>#REF!</v>
      </c>
      <c r="J2072" s="28" t="e">
        <f ca="1"/>
        <v>#REF!</v>
      </c>
      <c r="K2072" s="27" t="e">
        <f ca="1"/>
        <v>#REF!</v>
      </c>
      <c r="L2072" s="25" t="e">
        <f ca="1"/>
        <v>#REF!</v>
      </c>
      <c r="M2072" s="25" t="e">
        <f ca="1"/>
        <v>#REF!</v>
      </c>
      <c r="N2072" s="25" t="e">
        <f ca="1"/>
        <v>#REF!</v>
      </c>
      <c r="O2072" s="25" t="e">
        <f ca="1"/>
        <v>#REF!</v>
      </c>
      <c r="P2072" s="25" t="e">
        <f ca="1"/>
        <v>#REF!</v>
      </c>
      <c r="Q2072" s="25" t="e">
        <f ca="1"/>
        <v>#REF!</v>
      </c>
      <c r="R2072" s="25" t="e">
        <f ca="1"/>
        <v>#REF!</v>
      </c>
      <c r="S2072" s="25" t="e">
        <f ca="1"/>
        <v>#REF!</v>
      </c>
      <c r="T2072" s="25" t="e">
        <f ca="1"/>
        <v>#REF!</v>
      </c>
      <c r="U2072" s="25" t="e">
        <f ca="1"/>
        <v>#REF!</v>
      </c>
      <c r="V2072" s="25" t="e">
        <f ca="1"/>
        <v>#REF!</v>
      </c>
      <c r="W2072" s="33" t="e">
        <f ca="1"/>
        <v>#REF!</v>
      </c>
      <c r="X2072" s="33" t="e">
        <f ca="1"/>
        <v>#REF!</v>
      </c>
      <c r="Y2072" s="33" t="e">
        <f ca="1"/>
        <v>#REF!</v>
      </c>
      <c r="Z2072" s="33" t="e">
        <f ca="1"/>
        <v>#REF!</v>
      </c>
      <c r="AA2072" s="33" t="e">
        <f ca="1"/>
        <v>#REF!</v>
      </c>
    </row>
    <row r="2073" spans="1:27" s="70" customFormat="1" ht="11.25" x14ac:dyDescent="0.2">
      <c r="A2073" s="24">
        <v>2067</v>
      </c>
      <c r="B2073" s="27"/>
      <c r="C2073" s="28"/>
      <c r="D2073" s="71"/>
      <c r="E2073" s="28"/>
      <c r="F2073" s="28"/>
      <c r="G2073" s="27"/>
      <c r="H2073" s="28" t="e">
        <f ca="1"/>
        <v>#REF!</v>
      </c>
      <c r="I2073" s="27" t="e">
        <f ca="1"/>
        <v>#REF!</v>
      </c>
      <c r="J2073" s="28" t="e">
        <f ca="1"/>
        <v>#REF!</v>
      </c>
      <c r="K2073" s="27" t="e">
        <f ca="1"/>
        <v>#REF!</v>
      </c>
      <c r="L2073" s="25" t="e">
        <f ca="1"/>
        <v>#REF!</v>
      </c>
      <c r="M2073" s="25" t="e">
        <f ca="1"/>
        <v>#REF!</v>
      </c>
      <c r="N2073" s="25" t="e">
        <f ca="1"/>
        <v>#REF!</v>
      </c>
      <c r="O2073" s="25" t="e">
        <f ca="1"/>
        <v>#REF!</v>
      </c>
      <c r="P2073" s="25" t="e">
        <f ca="1"/>
        <v>#REF!</v>
      </c>
      <c r="Q2073" s="25" t="e">
        <f ca="1"/>
        <v>#REF!</v>
      </c>
      <c r="R2073" s="25" t="e">
        <f ca="1"/>
        <v>#REF!</v>
      </c>
      <c r="S2073" s="25" t="e">
        <f ca="1"/>
        <v>#REF!</v>
      </c>
      <c r="T2073" s="25" t="e">
        <f ca="1"/>
        <v>#REF!</v>
      </c>
      <c r="U2073" s="25" t="e">
        <f ca="1"/>
        <v>#REF!</v>
      </c>
      <c r="V2073" s="25" t="e">
        <f ca="1"/>
        <v>#REF!</v>
      </c>
      <c r="W2073" s="33" t="e">
        <f ca="1"/>
        <v>#REF!</v>
      </c>
      <c r="X2073" s="33" t="e">
        <f ca="1"/>
        <v>#REF!</v>
      </c>
      <c r="Y2073" s="33" t="e">
        <f ca="1"/>
        <v>#REF!</v>
      </c>
      <c r="Z2073" s="33" t="e">
        <f ca="1"/>
        <v>#REF!</v>
      </c>
      <c r="AA2073" s="33" t="e">
        <f ca="1"/>
        <v>#REF!</v>
      </c>
    </row>
    <row r="2074" spans="1:27" s="70" customFormat="1" ht="11.25" x14ac:dyDescent="0.2">
      <c r="A2074" s="24">
        <v>2068</v>
      </c>
      <c r="B2074" s="27"/>
      <c r="C2074" s="28"/>
      <c r="D2074" s="71"/>
      <c r="E2074" s="28"/>
      <c r="F2074" s="28"/>
      <c r="G2074" s="27"/>
      <c r="H2074" s="28" t="e">
        <f ca="1"/>
        <v>#REF!</v>
      </c>
      <c r="I2074" s="27" t="e">
        <f ca="1"/>
        <v>#REF!</v>
      </c>
      <c r="J2074" s="28" t="e">
        <f ca="1"/>
        <v>#REF!</v>
      </c>
      <c r="K2074" s="27" t="e">
        <f ca="1"/>
        <v>#REF!</v>
      </c>
      <c r="L2074" s="25" t="e">
        <f ca="1"/>
        <v>#REF!</v>
      </c>
      <c r="M2074" s="25" t="e">
        <f ca="1"/>
        <v>#REF!</v>
      </c>
      <c r="N2074" s="25" t="e">
        <f ca="1"/>
        <v>#REF!</v>
      </c>
      <c r="O2074" s="25" t="e">
        <f ca="1"/>
        <v>#REF!</v>
      </c>
      <c r="P2074" s="25" t="e">
        <f ca="1"/>
        <v>#REF!</v>
      </c>
      <c r="Q2074" s="25" t="e">
        <f ca="1"/>
        <v>#REF!</v>
      </c>
      <c r="R2074" s="25" t="e">
        <f ca="1"/>
        <v>#REF!</v>
      </c>
      <c r="S2074" s="25" t="e">
        <f ca="1"/>
        <v>#REF!</v>
      </c>
      <c r="T2074" s="25" t="e">
        <f ca="1"/>
        <v>#REF!</v>
      </c>
      <c r="U2074" s="25" t="e">
        <f ca="1"/>
        <v>#REF!</v>
      </c>
      <c r="V2074" s="25" t="e">
        <f ca="1"/>
        <v>#REF!</v>
      </c>
      <c r="W2074" s="33" t="e">
        <f ca="1"/>
        <v>#REF!</v>
      </c>
      <c r="X2074" s="33" t="e">
        <f ca="1"/>
        <v>#REF!</v>
      </c>
      <c r="Y2074" s="33" t="e">
        <f ca="1"/>
        <v>#REF!</v>
      </c>
      <c r="Z2074" s="33" t="e">
        <f ca="1"/>
        <v>#REF!</v>
      </c>
      <c r="AA2074" s="33" t="e">
        <f ca="1"/>
        <v>#REF!</v>
      </c>
    </row>
    <row r="2075" spans="1:27" s="70" customFormat="1" ht="11.25" x14ac:dyDescent="0.2">
      <c r="A2075" s="24">
        <v>2069</v>
      </c>
      <c r="B2075" s="27"/>
      <c r="C2075" s="28"/>
      <c r="D2075" s="71"/>
      <c r="E2075" s="28"/>
      <c r="F2075" s="28"/>
      <c r="G2075" s="27"/>
      <c r="H2075" s="28" t="e">
        <f ca="1"/>
        <v>#REF!</v>
      </c>
      <c r="I2075" s="27" t="e">
        <f ca="1"/>
        <v>#REF!</v>
      </c>
      <c r="J2075" s="28" t="e">
        <f ca="1"/>
        <v>#REF!</v>
      </c>
      <c r="K2075" s="27" t="e">
        <f ca="1"/>
        <v>#REF!</v>
      </c>
      <c r="L2075" s="25" t="e">
        <f ca="1"/>
        <v>#REF!</v>
      </c>
      <c r="M2075" s="25" t="e">
        <f ca="1"/>
        <v>#REF!</v>
      </c>
      <c r="N2075" s="25" t="e">
        <f ca="1"/>
        <v>#REF!</v>
      </c>
      <c r="O2075" s="25" t="e">
        <f ca="1"/>
        <v>#REF!</v>
      </c>
      <c r="P2075" s="25" t="e">
        <f ca="1"/>
        <v>#REF!</v>
      </c>
      <c r="Q2075" s="25" t="e">
        <f ca="1"/>
        <v>#REF!</v>
      </c>
      <c r="R2075" s="25" t="e">
        <f ca="1"/>
        <v>#REF!</v>
      </c>
      <c r="S2075" s="25" t="e">
        <f ca="1"/>
        <v>#REF!</v>
      </c>
      <c r="T2075" s="25" t="e">
        <f ca="1"/>
        <v>#REF!</v>
      </c>
      <c r="U2075" s="25" t="e">
        <f ca="1"/>
        <v>#REF!</v>
      </c>
      <c r="V2075" s="25" t="e">
        <f ca="1"/>
        <v>#REF!</v>
      </c>
      <c r="W2075" s="33" t="e">
        <f ca="1"/>
        <v>#REF!</v>
      </c>
      <c r="X2075" s="33" t="e">
        <f ca="1"/>
        <v>#REF!</v>
      </c>
      <c r="Y2075" s="33" t="e">
        <f ca="1"/>
        <v>#REF!</v>
      </c>
      <c r="Z2075" s="33" t="e">
        <f ca="1"/>
        <v>#REF!</v>
      </c>
      <c r="AA2075" s="33" t="e">
        <f ca="1"/>
        <v>#REF!</v>
      </c>
    </row>
    <row r="2076" spans="1:27" s="70" customFormat="1" ht="11.25" x14ac:dyDescent="0.2">
      <c r="A2076" s="24">
        <v>2070</v>
      </c>
      <c r="B2076" s="27"/>
      <c r="C2076" s="28"/>
      <c r="D2076" s="71"/>
      <c r="E2076" s="28"/>
      <c r="F2076" s="28"/>
      <c r="G2076" s="27"/>
      <c r="H2076" s="28" t="e">
        <f ca="1"/>
        <v>#REF!</v>
      </c>
      <c r="I2076" s="27" t="e">
        <f ca="1"/>
        <v>#REF!</v>
      </c>
      <c r="J2076" s="28" t="e">
        <f ca="1"/>
        <v>#REF!</v>
      </c>
      <c r="K2076" s="27" t="e">
        <f ca="1"/>
        <v>#REF!</v>
      </c>
      <c r="L2076" s="25" t="e">
        <f ca="1"/>
        <v>#REF!</v>
      </c>
      <c r="M2076" s="25" t="e">
        <f ca="1"/>
        <v>#REF!</v>
      </c>
      <c r="N2076" s="25" t="e">
        <f ca="1"/>
        <v>#REF!</v>
      </c>
      <c r="O2076" s="25" t="e">
        <f ca="1"/>
        <v>#REF!</v>
      </c>
      <c r="P2076" s="25" t="e">
        <f ca="1"/>
        <v>#REF!</v>
      </c>
      <c r="Q2076" s="25" t="e">
        <f ca="1"/>
        <v>#REF!</v>
      </c>
      <c r="R2076" s="25" t="e">
        <f ca="1"/>
        <v>#REF!</v>
      </c>
      <c r="S2076" s="25" t="e">
        <f ca="1"/>
        <v>#REF!</v>
      </c>
      <c r="T2076" s="25" t="e">
        <f ca="1"/>
        <v>#REF!</v>
      </c>
      <c r="U2076" s="25" t="e">
        <f ca="1"/>
        <v>#REF!</v>
      </c>
      <c r="V2076" s="25" t="e">
        <f ca="1"/>
        <v>#REF!</v>
      </c>
      <c r="W2076" s="33" t="e">
        <f ca="1"/>
        <v>#REF!</v>
      </c>
      <c r="X2076" s="33" t="e">
        <f ca="1"/>
        <v>#REF!</v>
      </c>
      <c r="Y2076" s="33" t="e">
        <f ca="1"/>
        <v>#REF!</v>
      </c>
      <c r="Z2076" s="33" t="e">
        <f ca="1"/>
        <v>#REF!</v>
      </c>
      <c r="AA2076" s="33" t="e">
        <f ca="1"/>
        <v>#REF!</v>
      </c>
    </row>
    <row r="2077" spans="1:27" s="70" customFormat="1" ht="11.25" x14ac:dyDescent="0.2">
      <c r="A2077" s="24">
        <v>2071</v>
      </c>
      <c r="B2077" s="27"/>
      <c r="C2077" s="28"/>
      <c r="D2077" s="71"/>
      <c r="E2077" s="28"/>
      <c r="F2077" s="28"/>
      <c r="G2077" s="27"/>
      <c r="H2077" s="28" t="e">
        <f ca="1"/>
        <v>#REF!</v>
      </c>
      <c r="I2077" s="27" t="e">
        <f ca="1"/>
        <v>#REF!</v>
      </c>
      <c r="J2077" s="28" t="e">
        <f ca="1"/>
        <v>#REF!</v>
      </c>
      <c r="K2077" s="27" t="e">
        <f ca="1"/>
        <v>#REF!</v>
      </c>
      <c r="L2077" s="25" t="e">
        <f ca="1"/>
        <v>#REF!</v>
      </c>
      <c r="M2077" s="25" t="e">
        <f ca="1"/>
        <v>#REF!</v>
      </c>
      <c r="N2077" s="25" t="e">
        <f ca="1"/>
        <v>#REF!</v>
      </c>
      <c r="O2077" s="25" t="e">
        <f ca="1"/>
        <v>#REF!</v>
      </c>
      <c r="P2077" s="25" t="e">
        <f ca="1"/>
        <v>#REF!</v>
      </c>
      <c r="Q2077" s="25" t="e">
        <f ca="1"/>
        <v>#REF!</v>
      </c>
      <c r="R2077" s="25" t="e">
        <f ca="1"/>
        <v>#REF!</v>
      </c>
      <c r="S2077" s="25" t="e">
        <f ca="1"/>
        <v>#REF!</v>
      </c>
      <c r="T2077" s="25" t="e">
        <f ca="1"/>
        <v>#REF!</v>
      </c>
      <c r="U2077" s="25" t="e">
        <f ca="1"/>
        <v>#REF!</v>
      </c>
      <c r="V2077" s="25" t="e">
        <f ca="1"/>
        <v>#REF!</v>
      </c>
      <c r="W2077" s="33" t="e">
        <f ca="1"/>
        <v>#REF!</v>
      </c>
      <c r="X2077" s="33" t="e">
        <f ca="1"/>
        <v>#REF!</v>
      </c>
      <c r="Y2077" s="33" t="e">
        <f ca="1"/>
        <v>#REF!</v>
      </c>
      <c r="Z2077" s="33" t="e">
        <f ca="1"/>
        <v>#REF!</v>
      </c>
      <c r="AA2077" s="33" t="e">
        <f ca="1"/>
        <v>#REF!</v>
      </c>
    </row>
    <row r="2078" spans="1:27" s="70" customFormat="1" ht="11.25" x14ac:dyDescent="0.2">
      <c r="A2078" s="24">
        <v>2072</v>
      </c>
      <c r="B2078" s="27"/>
      <c r="C2078" s="28"/>
      <c r="D2078" s="71"/>
      <c r="E2078" s="28"/>
      <c r="F2078" s="28"/>
      <c r="G2078" s="27"/>
      <c r="H2078" s="28" t="e">
        <f ca="1"/>
        <v>#REF!</v>
      </c>
      <c r="I2078" s="27" t="e">
        <f ca="1"/>
        <v>#REF!</v>
      </c>
      <c r="J2078" s="28" t="e">
        <f ca="1"/>
        <v>#REF!</v>
      </c>
      <c r="K2078" s="27" t="e">
        <f ca="1"/>
        <v>#REF!</v>
      </c>
      <c r="L2078" s="25" t="e">
        <f ca="1"/>
        <v>#REF!</v>
      </c>
      <c r="M2078" s="25" t="e">
        <f ca="1"/>
        <v>#REF!</v>
      </c>
      <c r="N2078" s="25" t="e">
        <f ca="1"/>
        <v>#REF!</v>
      </c>
      <c r="O2078" s="25" t="e">
        <f ca="1"/>
        <v>#REF!</v>
      </c>
      <c r="P2078" s="25" t="e">
        <f ca="1"/>
        <v>#REF!</v>
      </c>
      <c r="Q2078" s="25" t="e">
        <f ca="1"/>
        <v>#REF!</v>
      </c>
      <c r="R2078" s="25" t="e">
        <f ca="1"/>
        <v>#REF!</v>
      </c>
      <c r="S2078" s="25" t="e">
        <f ca="1"/>
        <v>#REF!</v>
      </c>
      <c r="T2078" s="25" t="e">
        <f ca="1"/>
        <v>#REF!</v>
      </c>
      <c r="U2078" s="25" t="e">
        <f ca="1"/>
        <v>#REF!</v>
      </c>
      <c r="V2078" s="25" t="e">
        <f ca="1"/>
        <v>#REF!</v>
      </c>
      <c r="W2078" s="33" t="e">
        <f ca="1"/>
        <v>#REF!</v>
      </c>
      <c r="X2078" s="33" t="e">
        <f ca="1"/>
        <v>#REF!</v>
      </c>
      <c r="Y2078" s="33" t="e">
        <f ca="1"/>
        <v>#REF!</v>
      </c>
      <c r="Z2078" s="33" t="e">
        <f ca="1"/>
        <v>#REF!</v>
      </c>
      <c r="AA2078" s="33" t="e">
        <f ca="1"/>
        <v>#REF!</v>
      </c>
    </row>
    <row r="2079" spans="1:27" s="70" customFormat="1" ht="11.25" x14ac:dyDescent="0.2">
      <c r="A2079" s="24">
        <v>2073</v>
      </c>
      <c r="B2079" s="27"/>
      <c r="C2079" s="28"/>
      <c r="D2079" s="71"/>
      <c r="E2079" s="28"/>
      <c r="F2079" s="28"/>
      <c r="G2079" s="27"/>
      <c r="H2079" s="28" t="e">
        <f ca="1"/>
        <v>#REF!</v>
      </c>
      <c r="I2079" s="27" t="e">
        <f ca="1"/>
        <v>#REF!</v>
      </c>
      <c r="J2079" s="28" t="e">
        <f ca="1"/>
        <v>#REF!</v>
      </c>
      <c r="K2079" s="27" t="e">
        <f ca="1"/>
        <v>#REF!</v>
      </c>
      <c r="L2079" s="25" t="e">
        <f ca="1"/>
        <v>#REF!</v>
      </c>
      <c r="M2079" s="25" t="e">
        <f ca="1"/>
        <v>#REF!</v>
      </c>
      <c r="N2079" s="25" t="e">
        <f ca="1"/>
        <v>#REF!</v>
      </c>
      <c r="O2079" s="25" t="e">
        <f ca="1"/>
        <v>#REF!</v>
      </c>
      <c r="P2079" s="25" t="e">
        <f ca="1"/>
        <v>#REF!</v>
      </c>
      <c r="Q2079" s="25" t="e">
        <f ca="1"/>
        <v>#REF!</v>
      </c>
      <c r="R2079" s="25" t="e">
        <f ca="1"/>
        <v>#REF!</v>
      </c>
      <c r="S2079" s="25" t="e">
        <f ca="1"/>
        <v>#REF!</v>
      </c>
      <c r="T2079" s="25" t="e">
        <f ca="1"/>
        <v>#REF!</v>
      </c>
      <c r="U2079" s="25" t="e">
        <f ca="1"/>
        <v>#REF!</v>
      </c>
      <c r="V2079" s="25" t="e">
        <f ca="1"/>
        <v>#REF!</v>
      </c>
      <c r="W2079" s="33" t="e">
        <f ca="1"/>
        <v>#REF!</v>
      </c>
      <c r="X2079" s="33" t="e">
        <f ca="1"/>
        <v>#REF!</v>
      </c>
      <c r="Y2079" s="33" t="e">
        <f ca="1"/>
        <v>#REF!</v>
      </c>
      <c r="Z2079" s="33" t="e">
        <f ca="1"/>
        <v>#REF!</v>
      </c>
      <c r="AA2079" s="33" t="e">
        <f ca="1"/>
        <v>#REF!</v>
      </c>
    </row>
    <row r="2080" spans="1:27" s="70" customFormat="1" ht="11.25" x14ac:dyDescent="0.2">
      <c r="A2080" s="24">
        <v>2074</v>
      </c>
      <c r="B2080" s="27"/>
      <c r="C2080" s="28"/>
      <c r="D2080" s="71"/>
      <c r="E2080" s="28"/>
      <c r="F2080" s="28"/>
      <c r="G2080" s="27"/>
      <c r="H2080" s="28" t="e">
        <f ca="1"/>
        <v>#REF!</v>
      </c>
      <c r="I2080" s="27" t="e">
        <f ca="1"/>
        <v>#REF!</v>
      </c>
      <c r="J2080" s="28" t="e">
        <f ca="1"/>
        <v>#REF!</v>
      </c>
      <c r="K2080" s="27" t="e">
        <f ca="1"/>
        <v>#REF!</v>
      </c>
      <c r="L2080" s="25" t="e">
        <f ca="1"/>
        <v>#REF!</v>
      </c>
      <c r="M2080" s="25" t="e">
        <f ca="1"/>
        <v>#REF!</v>
      </c>
      <c r="N2080" s="25" t="e">
        <f ca="1"/>
        <v>#REF!</v>
      </c>
      <c r="O2080" s="25" t="e">
        <f ca="1"/>
        <v>#REF!</v>
      </c>
      <c r="P2080" s="25" t="e">
        <f ca="1"/>
        <v>#REF!</v>
      </c>
      <c r="Q2080" s="25" t="e">
        <f ca="1"/>
        <v>#REF!</v>
      </c>
      <c r="R2080" s="25" t="e">
        <f ca="1"/>
        <v>#REF!</v>
      </c>
      <c r="S2080" s="25" t="e">
        <f ca="1"/>
        <v>#REF!</v>
      </c>
      <c r="T2080" s="25" t="e">
        <f ca="1"/>
        <v>#REF!</v>
      </c>
      <c r="U2080" s="25" t="e">
        <f ca="1"/>
        <v>#REF!</v>
      </c>
      <c r="V2080" s="25" t="e">
        <f ca="1"/>
        <v>#REF!</v>
      </c>
      <c r="W2080" s="33" t="e">
        <f ca="1"/>
        <v>#REF!</v>
      </c>
      <c r="X2080" s="33" t="e">
        <f ca="1"/>
        <v>#REF!</v>
      </c>
      <c r="Y2080" s="33" t="e">
        <f ca="1"/>
        <v>#REF!</v>
      </c>
      <c r="Z2080" s="33" t="e">
        <f ca="1"/>
        <v>#REF!</v>
      </c>
      <c r="AA2080" s="33" t="e">
        <f ca="1"/>
        <v>#REF!</v>
      </c>
    </row>
    <row r="2081" spans="1:27" s="70" customFormat="1" ht="11.25" x14ac:dyDescent="0.2">
      <c r="A2081" s="24">
        <v>2075</v>
      </c>
      <c r="B2081" s="27"/>
      <c r="C2081" s="28"/>
      <c r="D2081" s="71"/>
      <c r="E2081" s="28"/>
      <c r="F2081" s="28"/>
      <c r="G2081" s="27"/>
      <c r="H2081" s="28" t="e">
        <f ca="1"/>
        <v>#REF!</v>
      </c>
      <c r="I2081" s="27" t="e">
        <f ca="1"/>
        <v>#REF!</v>
      </c>
      <c r="J2081" s="28" t="e">
        <f ca="1"/>
        <v>#REF!</v>
      </c>
      <c r="K2081" s="27" t="e">
        <f ca="1"/>
        <v>#REF!</v>
      </c>
      <c r="L2081" s="25" t="e">
        <f ca="1"/>
        <v>#REF!</v>
      </c>
      <c r="M2081" s="25" t="e">
        <f ca="1"/>
        <v>#REF!</v>
      </c>
      <c r="N2081" s="25" t="e">
        <f ca="1"/>
        <v>#REF!</v>
      </c>
      <c r="O2081" s="25" t="e">
        <f ca="1"/>
        <v>#REF!</v>
      </c>
      <c r="P2081" s="25" t="e">
        <f ca="1"/>
        <v>#REF!</v>
      </c>
      <c r="Q2081" s="25" t="e">
        <f ca="1"/>
        <v>#REF!</v>
      </c>
      <c r="R2081" s="25" t="e">
        <f ca="1"/>
        <v>#REF!</v>
      </c>
      <c r="S2081" s="25" t="e">
        <f ca="1"/>
        <v>#REF!</v>
      </c>
      <c r="T2081" s="25" t="e">
        <f ca="1"/>
        <v>#REF!</v>
      </c>
      <c r="U2081" s="25" t="e">
        <f ca="1"/>
        <v>#REF!</v>
      </c>
      <c r="V2081" s="25" t="e">
        <f ca="1"/>
        <v>#REF!</v>
      </c>
      <c r="W2081" s="33" t="e">
        <f ca="1"/>
        <v>#REF!</v>
      </c>
      <c r="X2081" s="33" t="e">
        <f ca="1"/>
        <v>#REF!</v>
      </c>
      <c r="Y2081" s="33" t="e">
        <f ca="1"/>
        <v>#REF!</v>
      </c>
      <c r="Z2081" s="33" t="e">
        <f ca="1"/>
        <v>#REF!</v>
      </c>
      <c r="AA2081" s="33" t="e">
        <f ca="1"/>
        <v>#REF!</v>
      </c>
    </row>
    <row r="2082" spans="1:27" s="70" customFormat="1" ht="11.25" x14ac:dyDescent="0.2">
      <c r="A2082" s="24">
        <v>2076</v>
      </c>
      <c r="B2082" s="27"/>
      <c r="C2082" s="28"/>
      <c r="D2082" s="71"/>
      <c r="E2082" s="28"/>
      <c r="F2082" s="28"/>
      <c r="G2082" s="27"/>
      <c r="H2082" s="28" t="e">
        <f ca="1"/>
        <v>#REF!</v>
      </c>
      <c r="I2082" s="27" t="e">
        <f ca="1"/>
        <v>#REF!</v>
      </c>
      <c r="J2082" s="28" t="e">
        <f ca="1"/>
        <v>#REF!</v>
      </c>
      <c r="K2082" s="27" t="e">
        <f ca="1"/>
        <v>#REF!</v>
      </c>
      <c r="L2082" s="25" t="e">
        <f ca="1"/>
        <v>#REF!</v>
      </c>
      <c r="M2082" s="25" t="e">
        <f ca="1"/>
        <v>#REF!</v>
      </c>
      <c r="N2082" s="25" t="e">
        <f ca="1"/>
        <v>#REF!</v>
      </c>
      <c r="O2082" s="25" t="e">
        <f ca="1"/>
        <v>#REF!</v>
      </c>
      <c r="P2082" s="25" t="e">
        <f ca="1"/>
        <v>#REF!</v>
      </c>
      <c r="Q2082" s="25" t="e">
        <f ca="1"/>
        <v>#REF!</v>
      </c>
      <c r="R2082" s="25" t="e">
        <f ca="1"/>
        <v>#REF!</v>
      </c>
      <c r="S2082" s="25" t="e">
        <f ca="1"/>
        <v>#REF!</v>
      </c>
      <c r="T2082" s="25" t="e">
        <f ca="1"/>
        <v>#REF!</v>
      </c>
      <c r="U2082" s="25" t="e">
        <f ca="1"/>
        <v>#REF!</v>
      </c>
      <c r="V2082" s="25" t="e">
        <f ca="1"/>
        <v>#REF!</v>
      </c>
      <c r="W2082" s="33" t="e">
        <f ca="1"/>
        <v>#REF!</v>
      </c>
      <c r="X2082" s="33" t="e">
        <f ca="1"/>
        <v>#REF!</v>
      </c>
      <c r="Y2082" s="33" t="e">
        <f ca="1"/>
        <v>#REF!</v>
      </c>
      <c r="Z2082" s="33" t="e">
        <f ca="1"/>
        <v>#REF!</v>
      </c>
      <c r="AA2082" s="33" t="e">
        <f ca="1"/>
        <v>#REF!</v>
      </c>
    </row>
    <row r="2083" spans="1:27" s="70" customFormat="1" ht="11.25" x14ac:dyDescent="0.2">
      <c r="A2083" s="24">
        <v>2077</v>
      </c>
      <c r="B2083" s="27"/>
      <c r="C2083" s="28"/>
      <c r="D2083" s="71"/>
      <c r="E2083" s="28"/>
      <c r="F2083" s="28"/>
      <c r="G2083" s="27"/>
      <c r="H2083" s="28" t="e">
        <f ca="1"/>
        <v>#REF!</v>
      </c>
      <c r="I2083" s="27" t="e">
        <f ca="1"/>
        <v>#REF!</v>
      </c>
      <c r="J2083" s="28" t="e">
        <f ca="1"/>
        <v>#REF!</v>
      </c>
      <c r="K2083" s="27" t="e">
        <f ca="1"/>
        <v>#REF!</v>
      </c>
      <c r="L2083" s="25" t="e">
        <f ca="1"/>
        <v>#REF!</v>
      </c>
      <c r="M2083" s="25" t="e">
        <f ca="1"/>
        <v>#REF!</v>
      </c>
      <c r="N2083" s="25" t="e">
        <f ca="1"/>
        <v>#REF!</v>
      </c>
      <c r="O2083" s="25" t="e">
        <f ca="1"/>
        <v>#REF!</v>
      </c>
      <c r="P2083" s="25" t="e">
        <f ca="1"/>
        <v>#REF!</v>
      </c>
      <c r="Q2083" s="25" t="e">
        <f ca="1"/>
        <v>#REF!</v>
      </c>
      <c r="R2083" s="25" t="e">
        <f ca="1"/>
        <v>#REF!</v>
      </c>
      <c r="S2083" s="25" t="e">
        <f ca="1"/>
        <v>#REF!</v>
      </c>
      <c r="T2083" s="25" t="e">
        <f ca="1"/>
        <v>#REF!</v>
      </c>
      <c r="U2083" s="25" t="e">
        <f ca="1"/>
        <v>#REF!</v>
      </c>
      <c r="V2083" s="25" t="e">
        <f ca="1"/>
        <v>#REF!</v>
      </c>
      <c r="W2083" s="33" t="e">
        <f ca="1"/>
        <v>#REF!</v>
      </c>
      <c r="X2083" s="33" t="e">
        <f ca="1"/>
        <v>#REF!</v>
      </c>
      <c r="Y2083" s="33" t="e">
        <f ca="1"/>
        <v>#REF!</v>
      </c>
      <c r="Z2083" s="33" t="e">
        <f ca="1"/>
        <v>#REF!</v>
      </c>
      <c r="AA2083" s="33" t="e">
        <f ca="1"/>
        <v>#REF!</v>
      </c>
    </row>
    <row r="2084" spans="1:27" s="70" customFormat="1" ht="11.25" x14ac:dyDescent="0.2">
      <c r="A2084" s="24">
        <v>2078</v>
      </c>
      <c r="B2084" s="27"/>
      <c r="C2084" s="28"/>
      <c r="D2084" s="71"/>
      <c r="E2084" s="28"/>
      <c r="F2084" s="28"/>
      <c r="G2084" s="27"/>
      <c r="H2084" s="28" t="e">
        <f ca="1"/>
        <v>#REF!</v>
      </c>
      <c r="I2084" s="27" t="e">
        <f ca="1"/>
        <v>#REF!</v>
      </c>
      <c r="J2084" s="28" t="e">
        <f ca="1"/>
        <v>#REF!</v>
      </c>
      <c r="K2084" s="27" t="e">
        <f ca="1"/>
        <v>#REF!</v>
      </c>
      <c r="L2084" s="25" t="e">
        <f ca="1"/>
        <v>#REF!</v>
      </c>
      <c r="M2084" s="25" t="e">
        <f ca="1"/>
        <v>#REF!</v>
      </c>
      <c r="N2084" s="25" t="e">
        <f ca="1"/>
        <v>#REF!</v>
      </c>
      <c r="O2084" s="25" t="e">
        <f ca="1"/>
        <v>#REF!</v>
      </c>
      <c r="P2084" s="25" t="e">
        <f ca="1"/>
        <v>#REF!</v>
      </c>
      <c r="Q2084" s="25" t="e">
        <f ca="1"/>
        <v>#REF!</v>
      </c>
      <c r="R2084" s="25" t="e">
        <f ca="1"/>
        <v>#REF!</v>
      </c>
      <c r="S2084" s="25" t="e">
        <f ca="1"/>
        <v>#REF!</v>
      </c>
      <c r="T2084" s="25" t="e">
        <f ca="1"/>
        <v>#REF!</v>
      </c>
      <c r="U2084" s="25" t="e">
        <f ca="1"/>
        <v>#REF!</v>
      </c>
      <c r="V2084" s="25" t="e">
        <f ca="1"/>
        <v>#REF!</v>
      </c>
      <c r="W2084" s="33" t="e">
        <f ca="1"/>
        <v>#REF!</v>
      </c>
      <c r="X2084" s="33" t="e">
        <f ca="1"/>
        <v>#REF!</v>
      </c>
      <c r="Y2084" s="33" t="e">
        <f ca="1"/>
        <v>#REF!</v>
      </c>
      <c r="Z2084" s="33" t="e">
        <f ca="1"/>
        <v>#REF!</v>
      </c>
      <c r="AA2084" s="33" t="e">
        <f ca="1"/>
        <v>#REF!</v>
      </c>
    </row>
    <row r="2085" spans="1:27" s="70" customFormat="1" ht="11.25" x14ac:dyDescent="0.2">
      <c r="A2085" s="24">
        <v>2079</v>
      </c>
      <c r="B2085" s="27"/>
      <c r="C2085" s="28"/>
      <c r="D2085" s="71"/>
      <c r="E2085" s="28"/>
      <c r="F2085" s="28"/>
      <c r="G2085" s="27"/>
      <c r="H2085" s="28" t="e">
        <f ca="1"/>
        <v>#REF!</v>
      </c>
      <c r="I2085" s="27" t="e">
        <f ca="1"/>
        <v>#REF!</v>
      </c>
      <c r="J2085" s="28" t="e">
        <f ca="1"/>
        <v>#REF!</v>
      </c>
      <c r="K2085" s="27" t="e">
        <f ca="1"/>
        <v>#REF!</v>
      </c>
      <c r="L2085" s="25" t="e">
        <f ca="1"/>
        <v>#REF!</v>
      </c>
      <c r="M2085" s="25" t="e">
        <f ca="1"/>
        <v>#REF!</v>
      </c>
      <c r="N2085" s="25" t="e">
        <f ca="1"/>
        <v>#REF!</v>
      </c>
      <c r="O2085" s="25" t="e">
        <f ca="1"/>
        <v>#REF!</v>
      </c>
      <c r="P2085" s="25" t="e">
        <f ca="1"/>
        <v>#REF!</v>
      </c>
      <c r="Q2085" s="25" t="e">
        <f ca="1"/>
        <v>#REF!</v>
      </c>
      <c r="R2085" s="25" t="e">
        <f ca="1"/>
        <v>#REF!</v>
      </c>
      <c r="S2085" s="25" t="e">
        <f ca="1"/>
        <v>#REF!</v>
      </c>
      <c r="T2085" s="25" t="e">
        <f ca="1"/>
        <v>#REF!</v>
      </c>
      <c r="U2085" s="25" t="e">
        <f ca="1"/>
        <v>#REF!</v>
      </c>
      <c r="V2085" s="25" t="e">
        <f ca="1"/>
        <v>#REF!</v>
      </c>
      <c r="W2085" s="33" t="e">
        <f ca="1"/>
        <v>#REF!</v>
      </c>
      <c r="X2085" s="33" t="e">
        <f ca="1"/>
        <v>#REF!</v>
      </c>
      <c r="Y2085" s="33" t="e">
        <f ca="1"/>
        <v>#REF!</v>
      </c>
      <c r="Z2085" s="33" t="e">
        <f ca="1"/>
        <v>#REF!</v>
      </c>
      <c r="AA2085" s="33" t="e">
        <f ca="1"/>
        <v>#REF!</v>
      </c>
    </row>
    <row r="2086" spans="1:27" s="70" customFormat="1" ht="11.25" x14ac:dyDescent="0.2">
      <c r="A2086" s="24">
        <v>2080</v>
      </c>
      <c r="B2086" s="27"/>
      <c r="C2086" s="28"/>
      <c r="D2086" s="71"/>
      <c r="E2086" s="28"/>
      <c r="F2086" s="28"/>
      <c r="G2086" s="27"/>
      <c r="H2086" s="28" t="e">
        <f ca="1"/>
        <v>#REF!</v>
      </c>
      <c r="I2086" s="27" t="e">
        <f ca="1"/>
        <v>#REF!</v>
      </c>
      <c r="J2086" s="28" t="e">
        <f ca="1"/>
        <v>#REF!</v>
      </c>
      <c r="K2086" s="27" t="e">
        <f ca="1"/>
        <v>#REF!</v>
      </c>
      <c r="L2086" s="25" t="e">
        <f ca="1"/>
        <v>#REF!</v>
      </c>
      <c r="M2086" s="25" t="e">
        <f ca="1"/>
        <v>#REF!</v>
      </c>
      <c r="N2086" s="25" t="e">
        <f ca="1"/>
        <v>#REF!</v>
      </c>
      <c r="O2086" s="25" t="e">
        <f ca="1"/>
        <v>#REF!</v>
      </c>
      <c r="P2086" s="25" t="e">
        <f ca="1"/>
        <v>#REF!</v>
      </c>
      <c r="Q2086" s="25" t="e">
        <f ca="1"/>
        <v>#REF!</v>
      </c>
      <c r="R2086" s="25" t="e">
        <f ca="1"/>
        <v>#REF!</v>
      </c>
      <c r="S2086" s="25" t="e">
        <f ca="1"/>
        <v>#REF!</v>
      </c>
      <c r="T2086" s="25" t="e">
        <f ca="1"/>
        <v>#REF!</v>
      </c>
      <c r="U2086" s="25" t="e">
        <f ca="1"/>
        <v>#REF!</v>
      </c>
      <c r="V2086" s="25" t="e">
        <f ca="1"/>
        <v>#REF!</v>
      </c>
      <c r="W2086" s="33" t="e">
        <f ca="1"/>
        <v>#REF!</v>
      </c>
      <c r="X2086" s="33" t="e">
        <f ca="1"/>
        <v>#REF!</v>
      </c>
      <c r="Y2086" s="33" t="e">
        <f ca="1"/>
        <v>#REF!</v>
      </c>
      <c r="Z2086" s="33" t="e">
        <f ca="1"/>
        <v>#REF!</v>
      </c>
      <c r="AA2086" s="33" t="e">
        <f ca="1"/>
        <v>#REF!</v>
      </c>
    </row>
    <row r="2087" spans="1:27" s="70" customFormat="1" ht="11.25" x14ac:dyDescent="0.2">
      <c r="A2087" s="24">
        <v>2081</v>
      </c>
      <c r="B2087" s="27"/>
      <c r="C2087" s="28"/>
      <c r="D2087" s="71"/>
      <c r="E2087" s="28"/>
      <c r="F2087" s="28"/>
      <c r="G2087" s="27"/>
      <c r="H2087" s="28" t="e">
        <f ca="1"/>
        <v>#REF!</v>
      </c>
      <c r="I2087" s="27" t="e">
        <f ca="1"/>
        <v>#REF!</v>
      </c>
      <c r="J2087" s="28" t="e">
        <f ca="1"/>
        <v>#REF!</v>
      </c>
      <c r="K2087" s="27" t="e">
        <f ca="1"/>
        <v>#REF!</v>
      </c>
      <c r="L2087" s="25" t="e">
        <f ca="1"/>
        <v>#REF!</v>
      </c>
      <c r="M2087" s="25" t="e">
        <f ca="1"/>
        <v>#REF!</v>
      </c>
      <c r="N2087" s="25" t="e">
        <f ca="1"/>
        <v>#REF!</v>
      </c>
      <c r="O2087" s="25" t="e">
        <f ca="1"/>
        <v>#REF!</v>
      </c>
      <c r="P2087" s="25" t="e">
        <f ca="1"/>
        <v>#REF!</v>
      </c>
      <c r="Q2087" s="25" t="e">
        <f ca="1"/>
        <v>#REF!</v>
      </c>
      <c r="R2087" s="25" t="e">
        <f ca="1"/>
        <v>#REF!</v>
      </c>
      <c r="S2087" s="25" t="e">
        <f ca="1"/>
        <v>#REF!</v>
      </c>
      <c r="T2087" s="25" t="e">
        <f ca="1"/>
        <v>#REF!</v>
      </c>
      <c r="U2087" s="25" t="e">
        <f ca="1"/>
        <v>#REF!</v>
      </c>
      <c r="V2087" s="25" t="e">
        <f ca="1"/>
        <v>#REF!</v>
      </c>
      <c r="W2087" s="33" t="e">
        <f ca="1"/>
        <v>#REF!</v>
      </c>
      <c r="X2087" s="33" t="e">
        <f ca="1"/>
        <v>#REF!</v>
      </c>
      <c r="Y2087" s="33" t="e">
        <f ca="1"/>
        <v>#REF!</v>
      </c>
      <c r="Z2087" s="33" t="e">
        <f ca="1"/>
        <v>#REF!</v>
      </c>
      <c r="AA2087" s="33" t="e">
        <f ca="1"/>
        <v>#REF!</v>
      </c>
    </row>
    <row r="2088" spans="1:27" s="70" customFormat="1" ht="11.25" x14ac:dyDescent="0.2">
      <c r="A2088" s="24">
        <v>2082</v>
      </c>
      <c r="B2088" s="27"/>
      <c r="C2088" s="28"/>
      <c r="D2088" s="71"/>
      <c r="E2088" s="28"/>
      <c r="F2088" s="28"/>
      <c r="G2088" s="27"/>
      <c r="H2088" s="28" t="e">
        <f ca="1"/>
        <v>#REF!</v>
      </c>
      <c r="I2088" s="27" t="e">
        <f ca="1"/>
        <v>#REF!</v>
      </c>
      <c r="J2088" s="28" t="e">
        <f ca="1"/>
        <v>#REF!</v>
      </c>
      <c r="K2088" s="27" t="e">
        <f ca="1"/>
        <v>#REF!</v>
      </c>
      <c r="L2088" s="25" t="e">
        <f ca="1"/>
        <v>#REF!</v>
      </c>
      <c r="M2088" s="25" t="e">
        <f ca="1"/>
        <v>#REF!</v>
      </c>
      <c r="N2088" s="25" t="e">
        <f ca="1"/>
        <v>#REF!</v>
      </c>
      <c r="O2088" s="25" t="e">
        <f ca="1"/>
        <v>#REF!</v>
      </c>
      <c r="P2088" s="25" t="e">
        <f ca="1"/>
        <v>#REF!</v>
      </c>
      <c r="Q2088" s="25" t="e">
        <f ca="1"/>
        <v>#REF!</v>
      </c>
      <c r="R2088" s="25" t="e">
        <f ca="1"/>
        <v>#REF!</v>
      </c>
      <c r="S2088" s="25" t="e">
        <f ca="1"/>
        <v>#REF!</v>
      </c>
      <c r="T2088" s="25" t="e">
        <f ca="1"/>
        <v>#REF!</v>
      </c>
      <c r="U2088" s="25" t="e">
        <f ca="1"/>
        <v>#REF!</v>
      </c>
      <c r="V2088" s="25" t="e">
        <f ca="1"/>
        <v>#REF!</v>
      </c>
      <c r="W2088" s="33" t="e">
        <f ca="1"/>
        <v>#REF!</v>
      </c>
      <c r="X2088" s="33" t="e">
        <f ca="1"/>
        <v>#REF!</v>
      </c>
      <c r="Y2088" s="33" t="e">
        <f ca="1"/>
        <v>#REF!</v>
      </c>
      <c r="Z2088" s="33" t="e">
        <f ca="1"/>
        <v>#REF!</v>
      </c>
      <c r="AA2088" s="33" t="e">
        <f ca="1"/>
        <v>#REF!</v>
      </c>
    </row>
    <row r="2089" spans="1:27" s="70" customFormat="1" ht="11.25" x14ac:dyDescent="0.2">
      <c r="A2089" s="24">
        <v>2083</v>
      </c>
      <c r="B2089" s="27"/>
      <c r="C2089" s="28"/>
      <c r="D2089" s="71"/>
      <c r="E2089" s="28"/>
      <c r="F2089" s="28"/>
      <c r="G2089" s="27"/>
      <c r="H2089" s="28" t="e">
        <f ca="1"/>
        <v>#REF!</v>
      </c>
      <c r="I2089" s="27" t="e">
        <f ca="1"/>
        <v>#REF!</v>
      </c>
      <c r="J2089" s="28" t="e">
        <f ca="1"/>
        <v>#REF!</v>
      </c>
      <c r="K2089" s="27" t="e">
        <f ca="1"/>
        <v>#REF!</v>
      </c>
      <c r="L2089" s="25" t="e">
        <f ca="1"/>
        <v>#REF!</v>
      </c>
      <c r="M2089" s="25" t="e">
        <f ca="1"/>
        <v>#REF!</v>
      </c>
      <c r="N2089" s="25" t="e">
        <f ca="1"/>
        <v>#REF!</v>
      </c>
      <c r="O2089" s="25" t="e">
        <f ca="1"/>
        <v>#REF!</v>
      </c>
      <c r="P2089" s="25" t="e">
        <f ca="1"/>
        <v>#REF!</v>
      </c>
      <c r="Q2089" s="25" t="e">
        <f ca="1"/>
        <v>#REF!</v>
      </c>
      <c r="R2089" s="25" t="e">
        <f ca="1"/>
        <v>#REF!</v>
      </c>
      <c r="S2089" s="25" t="e">
        <f ca="1"/>
        <v>#REF!</v>
      </c>
      <c r="T2089" s="25" t="e">
        <f ca="1"/>
        <v>#REF!</v>
      </c>
      <c r="U2089" s="25" t="e">
        <f ca="1"/>
        <v>#REF!</v>
      </c>
      <c r="V2089" s="25" t="e">
        <f ca="1"/>
        <v>#REF!</v>
      </c>
      <c r="W2089" s="33" t="e">
        <f ca="1"/>
        <v>#REF!</v>
      </c>
      <c r="X2089" s="33" t="e">
        <f ca="1"/>
        <v>#REF!</v>
      </c>
      <c r="Y2089" s="33" t="e">
        <f ca="1"/>
        <v>#REF!</v>
      </c>
      <c r="Z2089" s="33" t="e">
        <f ca="1"/>
        <v>#REF!</v>
      </c>
      <c r="AA2089" s="33" t="e">
        <f ca="1"/>
        <v>#REF!</v>
      </c>
    </row>
    <row r="2090" spans="1:27" s="70" customFormat="1" ht="11.25" x14ac:dyDescent="0.2">
      <c r="A2090" s="24">
        <v>2084</v>
      </c>
      <c r="B2090" s="27"/>
      <c r="C2090" s="28"/>
      <c r="D2090" s="71"/>
      <c r="E2090" s="28"/>
      <c r="F2090" s="28"/>
      <c r="G2090" s="27"/>
      <c r="H2090" s="28" t="e">
        <f ca="1"/>
        <v>#REF!</v>
      </c>
      <c r="I2090" s="27" t="e">
        <f ca="1"/>
        <v>#REF!</v>
      </c>
      <c r="J2090" s="28" t="e">
        <f ca="1"/>
        <v>#REF!</v>
      </c>
      <c r="K2090" s="27" t="e">
        <f ca="1"/>
        <v>#REF!</v>
      </c>
      <c r="L2090" s="25" t="e">
        <f ca="1"/>
        <v>#REF!</v>
      </c>
      <c r="M2090" s="25" t="e">
        <f ca="1"/>
        <v>#REF!</v>
      </c>
      <c r="N2090" s="25" t="e">
        <f ca="1"/>
        <v>#REF!</v>
      </c>
      <c r="O2090" s="25" t="e">
        <f ca="1"/>
        <v>#REF!</v>
      </c>
      <c r="P2090" s="25" t="e">
        <f ca="1"/>
        <v>#REF!</v>
      </c>
      <c r="Q2090" s="25" t="e">
        <f ca="1"/>
        <v>#REF!</v>
      </c>
      <c r="R2090" s="25" t="e">
        <f ca="1"/>
        <v>#REF!</v>
      </c>
      <c r="S2090" s="25" t="e">
        <f ca="1"/>
        <v>#REF!</v>
      </c>
      <c r="T2090" s="25" t="e">
        <f ca="1"/>
        <v>#REF!</v>
      </c>
      <c r="U2090" s="25" t="e">
        <f ca="1"/>
        <v>#REF!</v>
      </c>
      <c r="V2090" s="25" t="e">
        <f ca="1"/>
        <v>#REF!</v>
      </c>
      <c r="W2090" s="33" t="e">
        <f ca="1"/>
        <v>#REF!</v>
      </c>
      <c r="X2090" s="33" t="e">
        <f ca="1"/>
        <v>#REF!</v>
      </c>
      <c r="Y2090" s="33" t="e">
        <f ca="1"/>
        <v>#REF!</v>
      </c>
      <c r="Z2090" s="33" t="e">
        <f ca="1"/>
        <v>#REF!</v>
      </c>
      <c r="AA2090" s="33" t="e">
        <f ca="1"/>
        <v>#REF!</v>
      </c>
    </row>
    <row r="2091" spans="1:27" s="70" customFormat="1" ht="11.25" x14ac:dyDescent="0.2">
      <c r="A2091" s="24">
        <v>2085</v>
      </c>
      <c r="B2091" s="27"/>
      <c r="C2091" s="28"/>
      <c r="D2091" s="71"/>
      <c r="E2091" s="28"/>
      <c r="F2091" s="28"/>
      <c r="G2091" s="27"/>
      <c r="H2091" s="28" t="e">
        <f ca="1"/>
        <v>#REF!</v>
      </c>
      <c r="I2091" s="27" t="e">
        <f ca="1"/>
        <v>#REF!</v>
      </c>
      <c r="J2091" s="28" t="e">
        <f ca="1"/>
        <v>#REF!</v>
      </c>
      <c r="K2091" s="27" t="e">
        <f ca="1"/>
        <v>#REF!</v>
      </c>
      <c r="L2091" s="25" t="e">
        <f ca="1"/>
        <v>#REF!</v>
      </c>
      <c r="M2091" s="25" t="e">
        <f ca="1"/>
        <v>#REF!</v>
      </c>
      <c r="N2091" s="25" t="e">
        <f ca="1"/>
        <v>#REF!</v>
      </c>
      <c r="O2091" s="25" t="e">
        <f ca="1"/>
        <v>#REF!</v>
      </c>
      <c r="P2091" s="25" t="e">
        <f ca="1"/>
        <v>#REF!</v>
      </c>
      <c r="Q2091" s="25" t="e">
        <f ca="1"/>
        <v>#REF!</v>
      </c>
      <c r="R2091" s="25" t="e">
        <f ca="1"/>
        <v>#REF!</v>
      </c>
      <c r="S2091" s="25" t="e">
        <f ca="1"/>
        <v>#REF!</v>
      </c>
      <c r="T2091" s="25" t="e">
        <f ca="1"/>
        <v>#REF!</v>
      </c>
      <c r="U2091" s="25" t="e">
        <f ca="1"/>
        <v>#REF!</v>
      </c>
      <c r="V2091" s="25" t="e">
        <f ca="1"/>
        <v>#REF!</v>
      </c>
      <c r="W2091" s="33" t="e">
        <f ca="1"/>
        <v>#REF!</v>
      </c>
      <c r="X2091" s="33" t="e">
        <f ca="1"/>
        <v>#REF!</v>
      </c>
      <c r="Y2091" s="33" t="e">
        <f ca="1"/>
        <v>#REF!</v>
      </c>
      <c r="Z2091" s="33" t="e">
        <f ca="1"/>
        <v>#REF!</v>
      </c>
      <c r="AA2091" s="33" t="e">
        <f ca="1"/>
        <v>#REF!</v>
      </c>
    </row>
    <row r="2092" spans="1:27" s="70" customFormat="1" ht="11.25" x14ac:dyDescent="0.2">
      <c r="A2092" s="24">
        <v>2086</v>
      </c>
      <c r="B2092" s="27"/>
      <c r="C2092" s="28"/>
      <c r="D2092" s="71"/>
      <c r="E2092" s="28"/>
      <c r="F2092" s="28"/>
      <c r="G2092" s="27"/>
      <c r="H2092" s="28" t="e">
        <f ca="1"/>
        <v>#REF!</v>
      </c>
      <c r="I2092" s="27" t="e">
        <f ca="1"/>
        <v>#REF!</v>
      </c>
      <c r="J2092" s="28" t="e">
        <f ca="1"/>
        <v>#REF!</v>
      </c>
      <c r="K2092" s="27" t="e">
        <f ca="1"/>
        <v>#REF!</v>
      </c>
      <c r="L2092" s="25" t="e">
        <f ca="1"/>
        <v>#REF!</v>
      </c>
      <c r="M2092" s="25" t="e">
        <f ca="1"/>
        <v>#REF!</v>
      </c>
      <c r="N2092" s="25" t="e">
        <f ca="1"/>
        <v>#REF!</v>
      </c>
      <c r="O2092" s="25" t="e">
        <f ca="1"/>
        <v>#REF!</v>
      </c>
      <c r="P2092" s="25" t="e">
        <f ca="1"/>
        <v>#REF!</v>
      </c>
      <c r="Q2092" s="25" t="e">
        <f ca="1"/>
        <v>#REF!</v>
      </c>
      <c r="R2092" s="25" t="e">
        <f ca="1"/>
        <v>#REF!</v>
      </c>
      <c r="S2092" s="25" t="e">
        <f ca="1"/>
        <v>#REF!</v>
      </c>
      <c r="T2092" s="25" t="e">
        <f ca="1"/>
        <v>#REF!</v>
      </c>
      <c r="U2092" s="25" t="e">
        <f ca="1"/>
        <v>#REF!</v>
      </c>
      <c r="V2092" s="25" t="e">
        <f ca="1"/>
        <v>#REF!</v>
      </c>
      <c r="W2092" s="33" t="e">
        <f ca="1"/>
        <v>#REF!</v>
      </c>
      <c r="X2092" s="33" t="e">
        <f ca="1"/>
        <v>#REF!</v>
      </c>
      <c r="Y2092" s="33" t="e">
        <f ca="1"/>
        <v>#REF!</v>
      </c>
      <c r="Z2092" s="33" t="e">
        <f ca="1"/>
        <v>#REF!</v>
      </c>
      <c r="AA2092" s="33" t="e">
        <f ca="1"/>
        <v>#REF!</v>
      </c>
    </row>
    <row r="2093" spans="1:27" s="70" customFormat="1" ht="11.25" x14ac:dyDescent="0.2">
      <c r="A2093" s="24">
        <v>2087</v>
      </c>
      <c r="B2093" s="27"/>
      <c r="C2093" s="28"/>
      <c r="D2093" s="71"/>
      <c r="E2093" s="28"/>
      <c r="F2093" s="28"/>
      <c r="G2093" s="27"/>
      <c r="H2093" s="28" t="e">
        <f ca="1"/>
        <v>#REF!</v>
      </c>
      <c r="I2093" s="27" t="e">
        <f ca="1"/>
        <v>#REF!</v>
      </c>
      <c r="J2093" s="28" t="e">
        <f ca="1"/>
        <v>#REF!</v>
      </c>
      <c r="K2093" s="27" t="e">
        <f ca="1"/>
        <v>#REF!</v>
      </c>
      <c r="L2093" s="25" t="e">
        <f ca="1"/>
        <v>#REF!</v>
      </c>
      <c r="M2093" s="25" t="e">
        <f ca="1"/>
        <v>#REF!</v>
      </c>
      <c r="N2093" s="25" t="e">
        <f ca="1"/>
        <v>#REF!</v>
      </c>
      <c r="O2093" s="25" t="e">
        <f ca="1"/>
        <v>#REF!</v>
      </c>
      <c r="P2093" s="25" t="e">
        <f ca="1"/>
        <v>#REF!</v>
      </c>
      <c r="Q2093" s="25" t="e">
        <f ca="1"/>
        <v>#REF!</v>
      </c>
      <c r="R2093" s="25" t="e">
        <f ca="1"/>
        <v>#REF!</v>
      </c>
      <c r="S2093" s="25" t="e">
        <f ca="1"/>
        <v>#REF!</v>
      </c>
      <c r="T2093" s="25" t="e">
        <f ca="1"/>
        <v>#REF!</v>
      </c>
      <c r="U2093" s="25" t="e">
        <f ca="1"/>
        <v>#REF!</v>
      </c>
      <c r="V2093" s="25" t="e">
        <f ca="1"/>
        <v>#REF!</v>
      </c>
      <c r="W2093" s="33" t="e">
        <f ca="1"/>
        <v>#REF!</v>
      </c>
      <c r="X2093" s="33" t="e">
        <f ca="1"/>
        <v>#REF!</v>
      </c>
      <c r="Y2093" s="33" t="e">
        <f ca="1"/>
        <v>#REF!</v>
      </c>
      <c r="Z2093" s="33" t="e">
        <f ca="1"/>
        <v>#REF!</v>
      </c>
      <c r="AA2093" s="33" t="e">
        <f ca="1"/>
        <v>#REF!</v>
      </c>
    </row>
    <row r="2094" spans="1:27" s="70" customFormat="1" ht="11.25" x14ac:dyDescent="0.2">
      <c r="A2094" s="24">
        <v>2088</v>
      </c>
      <c r="B2094" s="27"/>
      <c r="C2094" s="28"/>
      <c r="D2094" s="71"/>
      <c r="E2094" s="28"/>
      <c r="F2094" s="28"/>
      <c r="G2094" s="27"/>
      <c r="H2094" s="28" t="e">
        <f ca="1"/>
        <v>#REF!</v>
      </c>
      <c r="I2094" s="27" t="e">
        <f ca="1"/>
        <v>#REF!</v>
      </c>
      <c r="J2094" s="28" t="e">
        <f ca="1"/>
        <v>#REF!</v>
      </c>
      <c r="K2094" s="27" t="e">
        <f ca="1"/>
        <v>#REF!</v>
      </c>
      <c r="L2094" s="25" t="e">
        <f ca="1"/>
        <v>#REF!</v>
      </c>
      <c r="M2094" s="25" t="e">
        <f ca="1"/>
        <v>#REF!</v>
      </c>
      <c r="N2094" s="25" t="e">
        <f ca="1"/>
        <v>#REF!</v>
      </c>
      <c r="O2094" s="25" t="e">
        <f ca="1"/>
        <v>#REF!</v>
      </c>
      <c r="P2094" s="25" t="e">
        <f ca="1"/>
        <v>#REF!</v>
      </c>
      <c r="Q2094" s="25" t="e">
        <f ca="1"/>
        <v>#REF!</v>
      </c>
      <c r="R2094" s="25" t="e">
        <f ca="1"/>
        <v>#REF!</v>
      </c>
      <c r="S2094" s="25" t="e">
        <f ca="1"/>
        <v>#REF!</v>
      </c>
      <c r="T2094" s="25" t="e">
        <f ca="1"/>
        <v>#REF!</v>
      </c>
      <c r="U2094" s="25" t="e">
        <f ca="1"/>
        <v>#REF!</v>
      </c>
      <c r="V2094" s="25" t="e">
        <f ca="1"/>
        <v>#REF!</v>
      </c>
      <c r="W2094" s="33" t="e">
        <f ca="1"/>
        <v>#REF!</v>
      </c>
      <c r="X2094" s="33" t="e">
        <f ca="1"/>
        <v>#REF!</v>
      </c>
      <c r="Y2094" s="33" t="e">
        <f ca="1"/>
        <v>#REF!</v>
      </c>
      <c r="Z2094" s="33" t="e">
        <f ca="1"/>
        <v>#REF!</v>
      </c>
      <c r="AA2094" s="33" t="e">
        <f ca="1"/>
        <v>#REF!</v>
      </c>
    </row>
    <row r="2095" spans="1:27" s="70" customFormat="1" ht="11.25" x14ac:dyDescent="0.2">
      <c r="A2095" s="24">
        <v>2089</v>
      </c>
      <c r="B2095" s="27"/>
      <c r="C2095" s="28"/>
      <c r="D2095" s="71"/>
      <c r="E2095" s="28"/>
      <c r="F2095" s="28"/>
      <c r="G2095" s="27"/>
      <c r="H2095" s="28" t="e">
        <f ca="1"/>
        <v>#REF!</v>
      </c>
      <c r="I2095" s="27" t="e">
        <f ca="1"/>
        <v>#REF!</v>
      </c>
      <c r="J2095" s="28" t="e">
        <f ca="1"/>
        <v>#REF!</v>
      </c>
      <c r="K2095" s="27" t="e">
        <f ca="1"/>
        <v>#REF!</v>
      </c>
      <c r="L2095" s="25" t="e">
        <f ca="1"/>
        <v>#REF!</v>
      </c>
      <c r="M2095" s="25" t="e">
        <f ca="1"/>
        <v>#REF!</v>
      </c>
      <c r="N2095" s="25" t="e">
        <f ca="1"/>
        <v>#REF!</v>
      </c>
      <c r="O2095" s="25" t="e">
        <f ca="1"/>
        <v>#REF!</v>
      </c>
      <c r="P2095" s="25" t="e">
        <f ca="1"/>
        <v>#REF!</v>
      </c>
      <c r="Q2095" s="25" t="e">
        <f ca="1"/>
        <v>#REF!</v>
      </c>
      <c r="R2095" s="25" t="e">
        <f ca="1"/>
        <v>#REF!</v>
      </c>
      <c r="S2095" s="25" t="e">
        <f ca="1"/>
        <v>#REF!</v>
      </c>
      <c r="T2095" s="25" t="e">
        <f ca="1"/>
        <v>#REF!</v>
      </c>
      <c r="U2095" s="25" t="e">
        <f ca="1"/>
        <v>#REF!</v>
      </c>
      <c r="V2095" s="25" t="e">
        <f ca="1"/>
        <v>#REF!</v>
      </c>
      <c r="W2095" s="33" t="e">
        <f ca="1"/>
        <v>#REF!</v>
      </c>
      <c r="X2095" s="33" t="e">
        <f ca="1"/>
        <v>#REF!</v>
      </c>
      <c r="Y2095" s="33" t="e">
        <f ca="1"/>
        <v>#REF!</v>
      </c>
      <c r="Z2095" s="33" t="e">
        <f ca="1"/>
        <v>#REF!</v>
      </c>
      <c r="AA2095" s="33" t="e">
        <f ca="1"/>
        <v>#REF!</v>
      </c>
    </row>
    <row r="2096" spans="1:27" s="70" customFormat="1" ht="11.25" x14ac:dyDescent="0.2">
      <c r="A2096" s="24">
        <v>2090</v>
      </c>
      <c r="B2096" s="27"/>
      <c r="C2096" s="28"/>
      <c r="D2096" s="71"/>
      <c r="E2096" s="28"/>
      <c r="F2096" s="28"/>
      <c r="G2096" s="27"/>
      <c r="H2096" s="28" t="e">
        <f ca="1"/>
        <v>#REF!</v>
      </c>
      <c r="I2096" s="27" t="e">
        <f ca="1"/>
        <v>#REF!</v>
      </c>
      <c r="J2096" s="28" t="e">
        <f ca="1"/>
        <v>#REF!</v>
      </c>
      <c r="K2096" s="27" t="e">
        <f ca="1"/>
        <v>#REF!</v>
      </c>
      <c r="L2096" s="25" t="e">
        <f ca="1"/>
        <v>#REF!</v>
      </c>
      <c r="M2096" s="25" t="e">
        <f ca="1"/>
        <v>#REF!</v>
      </c>
      <c r="N2096" s="25" t="e">
        <f ca="1"/>
        <v>#REF!</v>
      </c>
      <c r="O2096" s="25" t="e">
        <f ca="1"/>
        <v>#REF!</v>
      </c>
      <c r="P2096" s="25" t="e">
        <f ca="1"/>
        <v>#REF!</v>
      </c>
      <c r="Q2096" s="25" t="e">
        <f ca="1"/>
        <v>#REF!</v>
      </c>
      <c r="R2096" s="25" t="e">
        <f ca="1"/>
        <v>#REF!</v>
      </c>
      <c r="S2096" s="25" t="e">
        <f ca="1"/>
        <v>#REF!</v>
      </c>
      <c r="T2096" s="25" t="e">
        <f ca="1"/>
        <v>#REF!</v>
      </c>
      <c r="U2096" s="25" t="e">
        <f ca="1"/>
        <v>#REF!</v>
      </c>
      <c r="V2096" s="25" t="e">
        <f ca="1"/>
        <v>#REF!</v>
      </c>
      <c r="W2096" s="33" t="e">
        <f ca="1"/>
        <v>#REF!</v>
      </c>
      <c r="X2096" s="33" t="e">
        <f ca="1"/>
        <v>#REF!</v>
      </c>
      <c r="Y2096" s="33" t="e">
        <f ca="1"/>
        <v>#REF!</v>
      </c>
      <c r="Z2096" s="33" t="e">
        <f ca="1"/>
        <v>#REF!</v>
      </c>
      <c r="AA2096" s="33" t="e">
        <f ca="1"/>
        <v>#REF!</v>
      </c>
    </row>
    <row r="2097" spans="1:27" s="70" customFormat="1" ht="11.25" x14ac:dyDescent="0.2">
      <c r="A2097" s="24">
        <v>2091</v>
      </c>
      <c r="B2097" s="27"/>
      <c r="C2097" s="28"/>
      <c r="D2097" s="71"/>
      <c r="E2097" s="28"/>
      <c r="F2097" s="28"/>
      <c r="G2097" s="27"/>
      <c r="H2097" s="28" t="e">
        <f ca="1"/>
        <v>#REF!</v>
      </c>
      <c r="I2097" s="27" t="e">
        <f ca="1"/>
        <v>#REF!</v>
      </c>
      <c r="J2097" s="28" t="e">
        <f ca="1"/>
        <v>#REF!</v>
      </c>
      <c r="K2097" s="27" t="e">
        <f ca="1"/>
        <v>#REF!</v>
      </c>
      <c r="L2097" s="25" t="e">
        <f ca="1"/>
        <v>#REF!</v>
      </c>
      <c r="M2097" s="25" t="e">
        <f ca="1"/>
        <v>#REF!</v>
      </c>
      <c r="N2097" s="25" t="e">
        <f ca="1"/>
        <v>#REF!</v>
      </c>
      <c r="O2097" s="25" t="e">
        <f ca="1"/>
        <v>#REF!</v>
      </c>
      <c r="P2097" s="25" t="e">
        <f ca="1"/>
        <v>#REF!</v>
      </c>
      <c r="Q2097" s="25" t="e">
        <f ca="1"/>
        <v>#REF!</v>
      </c>
      <c r="R2097" s="25" t="e">
        <f ca="1"/>
        <v>#REF!</v>
      </c>
      <c r="S2097" s="25" t="e">
        <f ca="1"/>
        <v>#REF!</v>
      </c>
      <c r="T2097" s="25" t="e">
        <f ca="1"/>
        <v>#REF!</v>
      </c>
      <c r="U2097" s="25" t="e">
        <f ca="1"/>
        <v>#REF!</v>
      </c>
      <c r="V2097" s="25" t="e">
        <f ca="1"/>
        <v>#REF!</v>
      </c>
      <c r="W2097" s="33" t="e">
        <f ca="1"/>
        <v>#REF!</v>
      </c>
      <c r="X2097" s="33" t="e">
        <f ca="1"/>
        <v>#REF!</v>
      </c>
      <c r="Y2097" s="33" t="e">
        <f ca="1"/>
        <v>#REF!</v>
      </c>
      <c r="Z2097" s="33" t="e">
        <f ca="1"/>
        <v>#REF!</v>
      </c>
      <c r="AA2097" s="33" t="e">
        <f ca="1"/>
        <v>#REF!</v>
      </c>
    </row>
    <row r="2098" spans="1:27" s="70" customFormat="1" ht="11.25" x14ac:dyDescent="0.2">
      <c r="A2098" s="24">
        <v>2092</v>
      </c>
      <c r="B2098" s="27"/>
      <c r="C2098" s="28"/>
      <c r="D2098" s="71"/>
      <c r="E2098" s="28"/>
      <c r="F2098" s="28"/>
      <c r="G2098" s="27"/>
      <c r="H2098" s="28" t="e">
        <f ca="1"/>
        <v>#REF!</v>
      </c>
      <c r="I2098" s="27" t="e">
        <f ca="1"/>
        <v>#REF!</v>
      </c>
      <c r="J2098" s="28" t="e">
        <f ca="1"/>
        <v>#REF!</v>
      </c>
      <c r="K2098" s="27" t="e">
        <f ca="1"/>
        <v>#REF!</v>
      </c>
      <c r="L2098" s="25" t="e">
        <f ca="1"/>
        <v>#REF!</v>
      </c>
      <c r="M2098" s="25" t="e">
        <f ca="1"/>
        <v>#REF!</v>
      </c>
      <c r="N2098" s="25" t="e">
        <f ca="1"/>
        <v>#REF!</v>
      </c>
      <c r="O2098" s="25" t="e">
        <f ca="1"/>
        <v>#REF!</v>
      </c>
      <c r="P2098" s="25" t="e">
        <f ca="1"/>
        <v>#REF!</v>
      </c>
      <c r="Q2098" s="25" t="e">
        <f ca="1"/>
        <v>#REF!</v>
      </c>
      <c r="R2098" s="25" t="e">
        <f ca="1"/>
        <v>#REF!</v>
      </c>
      <c r="S2098" s="25" t="e">
        <f ca="1"/>
        <v>#REF!</v>
      </c>
      <c r="T2098" s="25" t="e">
        <f ca="1"/>
        <v>#REF!</v>
      </c>
      <c r="U2098" s="25" t="e">
        <f ca="1"/>
        <v>#REF!</v>
      </c>
      <c r="V2098" s="25" t="e">
        <f ca="1"/>
        <v>#REF!</v>
      </c>
      <c r="W2098" s="33" t="e">
        <f ca="1"/>
        <v>#REF!</v>
      </c>
      <c r="X2098" s="33" t="e">
        <f ca="1"/>
        <v>#REF!</v>
      </c>
      <c r="Y2098" s="33" t="e">
        <f ca="1"/>
        <v>#REF!</v>
      </c>
      <c r="Z2098" s="33" t="e">
        <f ca="1"/>
        <v>#REF!</v>
      </c>
      <c r="AA2098" s="33" t="e">
        <f ca="1"/>
        <v>#REF!</v>
      </c>
    </row>
    <row r="2099" spans="1:27" s="70" customFormat="1" ht="11.25" x14ac:dyDescent="0.2">
      <c r="A2099" s="24">
        <v>2093</v>
      </c>
      <c r="B2099" s="27"/>
      <c r="C2099" s="28"/>
      <c r="D2099" s="71"/>
      <c r="E2099" s="28"/>
      <c r="F2099" s="28"/>
      <c r="G2099" s="27"/>
      <c r="H2099" s="28" t="e">
        <f ca="1"/>
        <v>#REF!</v>
      </c>
      <c r="I2099" s="27" t="e">
        <f ca="1"/>
        <v>#REF!</v>
      </c>
      <c r="J2099" s="28" t="e">
        <f ca="1"/>
        <v>#REF!</v>
      </c>
      <c r="K2099" s="27" t="e">
        <f ca="1"/>
        <v>#REF!</v>
      </c>
      <c r="L2099" s="25" t="e">
        <f ca="1"/>
        <v>#REF!</v>
      </c>
      <c r="M2099" s="25" t="e">
        <f ca="1"/>
        <v>#REF!</v>
      </c>
      <c r="N2099" s="25" t="e">
        <f ca="1"/>
        <v>#REF!</v>
      </c>
      <c r="O2099" s="25" t="e">
        <f ca="1"/>
        <v>#REF!</v>
      </c>
      <c r="P2099" s="25" t="e">
        <f ca="1"/>
        <v>#REF!</v>
      </c>
      <c r="Q2099" s="25" t="e">
        <f ca="1"/>
        <v>#REF!</v>
      </c>
      <c r="R2099" s="25" t="e">
        <f ca="1"/>
        <v>#REF!</v>
      </c>
      <c r="S2099" s="25" t="e">
        <f ca="1"/>
        <v>#REF!</v>
      </c>
      <c r="T2099" s="25" t="e">
        <f ca="1"/>
        <v>#REF!</v>
      </c>
      <c r="U2099" s="25" t="e">
        <f ca="1"/>
        <v>#REF!</v>
      </c>
      <c r="V2099" s="25" t="e">
        <f ca="1"/>
        <v>#REF!</v>
      </c>
      <c r="W2099" s="33" t="e">
        <f ca="1"/>
        <v>#REF!</v>
      </c>
      <c r="X2099" s="33" t="e">
        <f ca="1"/>
        <v>#REF!</v>
      </c>
      <c r="Y2099" s="33" t="e">
        <f ca="1"/>
        <v>#REF!</v>
      </c>
      <c r="Z2099" s="33" t="e">
        <f ca="1"/>
        <v>#REF!</v>
      </c>
      <c r="AA2099" s="33" t="e">
        <f ca="1"/>
        <v>#REF!</v>
      </c>
    </row>
    <row r="2100" spans="1:27" s="70" customFormat="1" ht="11.25" x14ac:dyDescent="0.2">
      <c r="A2100" s="24">
        <v>2094</v>
      </c>
      <c r="B2100" s="27"/>
      <c r="C2100" s="28"/>
      <c r="D2100" s="71"/>
      <c r="E2100" s="28"/>
      <c r="F2100" s="28"/>
      <c r="G2100" s="27"/>
      <c r="H2100" s="28" t="e">
        <f ca="1"/>
        <v>#REF!</v>
      </c>
      <c r="I2100" s="27" t="e">
        <f ca="1"/>
        <v>#REF!</v>
      </c>
      <c r="J2100" s="28" t="e">
        <f ca="1"/>
        <v>#REF!</v>
      </c>
      <c r="K2100" s="27" t="e">
        <f ca="1"/>
        <v>#REF!</v>
      </c>
      <c r="L2100" s="25" t="e">
        <f ca="1"/>
        <v>#REF!</v>
      </c>
      <c r="M2100" s="25" t="e">
        <f ca="1"/>
        <v>#REF!</v>
      </c>
      <c r="N2100" s="25" t="e">
        <f ca="1"/>
        <v>#REF!</v>
      </c>
      <c r="O2100" s="25" t="e">
        <f ca="1"/>
        <v>#REF!</v>
      </c>
      <c r="P2100" s="25" t="e">
        <f ca="1"/>
        <v>#REF!</v>
      </c>
      <c r="Q2100" s="25" t="e">
        <f ca="1"/>
        <v>#REF!</v>
      </c>
      <c r="R2100" s="25" t="e">
        <f ca="1"/>
        <v>#REF!</v>
      </c>
      <c r="S2100" s="25" t="e">
        <f ca="1"/>
        <v>#REF!</v>
      </c>
      <c r="T2100" s="25" t="e">
        <f ca="1"/>
        <v>#REF!</v>
      </c>
      <c r="U2100" s="25" t="e">
        <f ca="1"/>
        <v>#REF!</v>
      </c>
      <c r="V2100" s="25" t="e">
        <f ca="1"/>
        <v>#REF!</v>
      </c>
      <c r="W2100" s="33" t="e">
        <f ca="1"/>
        <v>#REF!</v>
      </c>
      <c r="X2100" s="33" t="e">
        <f ca="1"/>
        <v>#REF!</v>
      </c>
      <c r="Y2100" s="33" t="e">
        <f ca="1"/>
        <v>#REF!</v>
      </c>
      <c r="Z2100" s="33" t="e">
        <f ca="1"/>
        <v>#REF!</v>
      </c>
      <c r="AA2100" s="33" t="e">
        <f ca="1"/>
        <v>#REF!</v>
      </c>
    </row>
    <row r="2101" spans="1:27" s="70" customFormat="1" ht="11.25" x14ac:dyDescent="0.2">
      <c r="A2101" s="24">
        <v>2095</v>
      </c>
      <c r="B2101" s="27"/>
      <c r="C2101" s="28"/>
      <c r="D2101" s="71"/>
      <c r="E2101" s="28"/>
      <c r="F2101" s="28"/>
      <c r="G2101" s="27"/>
      <c r="H2101" s="28" t="e">
        <f ca="1"/>
        <v>#REF!</v>
      </c>
      <c r="I2101" s="27" t="e">
        <f ca="1"/>
        <v>#REF!</v>
      </c>
      <c r="J2101" s="28" t="e">
        <f ca="1"/>
        <v>#REF!</v>
      </c>
      <c r="K2101" s="27" t="e">
        <f ca="1"/>
        <v>#REF!</v>
      </c>
      <c r="L2101" s="25" t="e">
        <f ca="1"/>
        <v>#REF!</v>
      </c>
      <c r="M2101" s="25" t="e">
        <f ca="1"/>
        <v>#REF!</v>
      </c>
      <c r="N2101" s="25" t="e">
        <f ca="1"/>
        <v>#REF!</v>
      </c>
      <c r="O2101" s="25" t="e">
        <f ca="1"/>
        <v>#REF!</v>
      </c>
      <c r="P2101" s="25" t="e">
        <f ca="1"/>
        <v>#REF!</v>
      </c>
      <c r="Q2101" s="25" t="e">
        <f ca="1"/>
        <v>#REF!</v>
      </c>
      <c r="R2101" s="25" t="e">
        <f ca="1"/>
        <v>#REF!</v>
      </c>
      <c r="S2101" s="25" t="e">
        <f ca="1"/>
        <v>#REF!</v>
      </c>
      <c r="T2101" s="25" t="e">
        <f ca="1"/>
        <v>#REF!</v>
      </c>
      <c r="U2101" s="25" t="e">
        <f ca="1"/>
        <v>#REF!</v>
      </c>
      <c r="V2101" s="25" t="e">
        <f ca="1"/>
        <v>#REF!</v>
      </c>
      <c r="W2101" s="33" t="e">
        <f ca="1"/>
        <v>#REF!</v>
      </c>
      <c r="X2101" s="33" t="e">
        <f ca="1"/>
        <v>#REF!</v>
      </c>
      <c r="Y2101" s="33" t="e">
        <f ca="1"/>
        <v>#REF!</v>
      </c>
      <c r="Z2101" s="33" t="e">
        <f ca="1"/>
        <v>#REF!</v>
      </c>
      <c r="AA2101" s="33" t="e">
        <f ca="1"/>
        <v>#REF!</v>
      </c>
    </row>
    <row r="2102" spans="1:27" s="70" customFormat="1" ht="11.25" x14ac:dyDescent="0.2">
      <c r="A2102" s="24">
        <v>2096</v>
      </c>
      <c r="B2102" s="27"/>
      <c r="C2102" s="28"/>
      <c r="D2102" s="71"/>
      <c r="E2102" s="28"/>
      <c r="F2102" s="28"/>
      <c r="G2102" s="27"/>
      <c r="H2102" s="28" t="e">
        <f ca="1"/>
        <v>#REF!</v>
      </c>
      <c r="I2102" s="27" t="e">
        <f ca="1"/>
        <v>#REF!</v>
      </c>
      <c r="J2102" s="28" t="e">
        <f ca="1"/>
        <v>#REF!</v>
      </c>
      <c r="K2102" s="27" t="e">
        <f ca="1"/>
        <v>#REF!</v>
      </c>
      <c r="L2102" s="25" t="e">
        <f ca="1"/>
        <v>#REF!</v>
      </c>
      <c r="M2102" s="25" t="e">
        <f ca="1"/>
        <v>#REF!</v>
      </c>
      <c r="N2102" s="25" t="e">
        <f ca="1"/>
        <v>#REF!</v>
      </c>
      <c r="O2102" s="25" t="e">
        <f ca="1"/>
        <v>#REF!</v>
      </c>
      <c r="P2102" s="25" t="e">
        <f ca="1"/>
        <v>#REF!</v>
      </c>
      <c r="Q2102" s="25" t="e">
        <f ca="1"/>
        <v>#REF!</v>
      </c>
      <c r="R2102" s="25" t="e">
        <f ca="1"/>
        <v>#REF!</v>
      </c>
      <c r="S2102" s="25" t="e">
        <f ca="1"/>
        <v>#REF!</v>
      </c>
      <c r="T2102" s="25" t="e">
        <f ca="1"/>
        <v>#REF!</v>
      </c>
      <c r="U2102" s="25" t="e">
        <f ca="1"/>
        <v>#REF!</v>
      </c>
      <c r="V2102" s="25" t="e">
        <f ca="1"/>
        <v>#REF!</v>
      </c>
      <c r="W2102" s="33" t="e">
        <f ca="1"/>
        <v>#REF!</v>
      </c>
      <c r="X2102" s="33" t="e">
        <f ca="1"/>
        <v>#REF!</v>
      </c>
      <c r="Y2102" s="33" t="e">
        <f ca="1"/>
        <v>#REF!</v>
      </c>
      <c r="Z2102" s="33" t="e">
        <f ca="1"/>
        <v>#REF!</v>
      </c>
      <c r="AA2102" s="33" t="e">
        <f ca="1"/>
        <v>#REF!</v>
      </c>
    </row>
    <row r="2103" spans="1:27" s="70" customFormat="1" ht="11.25" x14ac:dyDescent="0.2">
      <c r="A2103" s="24">
        <v>2097</v>
      </c>
      <c r="B2103" s="27"/>
      <c r="C2103" s="28"/>
      <c r="D2103" s="71"/>
      <c r="E2103" s="28"/>
      <c r="F2103" s="28"/>
      <c r="G2103" s="27"/>
      <c r="H2103" s="28" t="e">
        <f ca="1"/>
        <v>#REF!</v>
      </c>
      <c r="I2103" s="27" t="e">
        <f ca="1"/>
        <v>#REF!</v>
      </c>
      <c r="J2103" s="28" t="e">
        <f ca="1"/>
        <v>#REF!</v>
      </c>
      <c r="K2103" s="27" t="e">
        <f ca="1"/>
        <v>#REF!</v>
      </c>
      <c r="L2103" s="25" t="e">
        <f ca="1"/>
        <v>#REF!</v>
      </c>
      <c r="M2103" s="25" t="e">
        <f ca="1"/>
        <v>#REF!</v>
      </c>
      <c r="N2103" s="25" t="e">
        <f ca="1"/>
        <v>#REF!</v>
      </c>
      <c r="O2103" s="25" t="e">
        <f ca="1"/>
        <v>#REF!</v>
      </c>
      <c r="P2103" s="25" t="e">
        <f ca="1"/>
        <v>#REF!</v>
      </c>
      <c r="Q2103" s="25" t="e">
        <f ca="1"/>
        <v>#REF!</v>
      </c>
      <c r="R2103" s="25" t="e">
        <f ca="1"/>
        <v>#REF!</v>
      </c>
      <c r="S2103" s="25" t="e">
        <f ca="1"/>
        <v>#REF!</v>
      </c>
      <c r="T2103" s="25" t="e">
        <f ca="1"/>
        <v>#REF!</v>
      </c>
      <c r="U2103" s="25" t="e">
        <f ca="1"/>
        <v>#REF!</v>
      </c>
      <c r="V2103" s="25" t="e">
        <f ca="1"/>
        <v>#REF!</v>
      </c>
      <c r="W2103" s="33" t="e">
        <f ca="1"/>
        <v>#REF!</v>
      </c>
      <c r="X2103" s="33" t="e">
        <f ca="1"/>
        <v>#REF!</v>
      </c>
      <c r="Y2103" s="33" t="e">
        <f ca="1"/>
        <v>#REF!</v>
      </c>
      <c r="Z2103" s="33" t="e">
        <f ca="1"/>
        <v>#REF!</v>
      </c>
      <c r="AA2103" s="33" t="e">
        <f ca="1"/>
        <v>#REF!</v>
      </c>
    </row>
    <row r="2104" spans="1:27" s="70" customFormat="1" ht="11.25" x14ac:dyDescent="0.2">
      <c r="A2104" s="24">
        <v>2098</v>
      </c>
      <c r="B2104" s="27"/>
      <c r="C2104" s="28"/>
      <c r="D2104" s="71"/>
      <c r="E2104" s="28"/>
      <c r="F2104" s="28"/>
      <c r="G2104" s="27"/>
      <c r="H2104" s="28" t="e">
        <f ca="1"/>
        <v>#REF!</v>
      </c>
      <c r="I2104" s="27" t="e">
        <f ca="1"/>
        <v>#REF!</v>
      </c>
      <c r="J2104" s="28" t="e">
        <f ca="1"/>
        <v>#REF!</v>
      </c>
      <c r="K2104" s="27" t="e">
        <f ca="1"/>
        <v>#REF!</v>
      </c>
      <c r="L2104" s="25" t="e">
        <f ca="1"/>
        <v>#REF!</v>
      </c>
      <c r="M2104" s="25" t="e">
        <f ca="1"/>
        <v>#REF!</v>
      </c>
      <c r="N2104" s="25" t="e">
        <f ca="1"/>
        <v>#REF!</v>
      </c>
      <c r="O2104" s="25" t="e">
        <f ca="1"/>
        <v>#REF!</v>
      </c>
      <c r="P2104" s="25" t="e">
        <f ca="1"/>
        <v>#REF!</v>
      </c>
      <c r="Q2104" s="25" t="e">
        <f ca="1"/>
        <v>#REF!</v>
      </c>
      <c r="R2104" s="25" t="e">
        <f ca="1"/>
        <v>#REF!</v>
      </c>
      <c r="S2104" s="25" t="e">
        <f ca="1"/>
        <v>#REF!</v>
      </c>
      <c r="T2104" s="25" t="e">
        <f ca="1"/>
        <v>#REF!</v>
      </c>
      <c r="U2104" s="25" t="e">
        <f ca="1"/>
        <v>#REF!</v>
      </c>
      <c r="V2104" s="25" t="e">
        <f ca="1"/>
        <v>#REF!</v>
      </c>
      <c r="W2104" s="33" t="e">
        <f ca="1"/>
        <v>#REF!</v>
      </c>
      <c r="X2104" s="33" t="e">
        <f ca="1"/>
        <v>#REF!</v>
      </c>
      <c r="Y2104" s="33" t="e">
        <f ca="1"/>
        <v>#REF!</v>
      </c>
      <c r="Z2104" s="33" t="e">
        <f ca="1"/>
        <v>#REF!</v>
      </c>
      <c r="AA2104" s="33" t="e">
        <f ca="1"/>
        <v>#REF!</v>
      </c>
    </row>
    <row r="2105" spans="1:27" s="70" customFormat="1" ht="11.25" x14ac:dyDescent="0.2">
      <c r="A2105" s="24">
        <v>2099</v>
      </c>
      <c r="B2105" s="27"/>
      <c r="C2105" s="28"/>
      <c r="D2105" s="71"/>
      <c r="E2105" s="28"/>
      <c r="F2105" s="28"/>
      <c r="G2105" s="27"/>
      <c r="H2105" s="28" t="e">
        <f ca="1"/>
        <v>#REF!</v>
      </c>
      <c r="I2105" s="27" t="e">
        <f ca="1"/>
        <v>#REF!</v>
      </c>
      <c r="J2105" s="28" t="e">
        <f ca="1"/>
        <v>#REF!</v>
      </c>
      <c r="K2105" s="27" t="e">
        <f ca="1"/>
        <v>#REF!</v>
      </c>
      <c r="L2105" s="25" t="e">
        <f ca="1"/>
        <v>#REF!</v>
      </c>
      <c r="M2105" s="25" t="e">
        <f ca="1"/>
        <v>#REF!</v>
      </c>
      <c r="N2105" s="25" t="e">
        <f ca="1"/>
        <v>#REF!</v>
      </c>
      <c r="O2105" s="25" t="e">
        <f ca="1"/>
        <v>#REF!</v>
      </c>
      <c r="P2105" s="25" t="e">
        <f ca="1"/>
        <v>#REF!</v>
      </c>
      <c r="Q2105" s="25" t="e">
        <f ca="1"/>
        <v>#REF!</v>
      </c>
      <c r="R2105" s="25" t="e">
        <f ca="1"/>
        <v>#REF!</v>
      </c>
      <c r="S2105" s="25" t="e">
        <f ca="1"/>
        <v>#REF!</v>
      </c>
      <c r="T2105" s="25" t="e">
        <f ca="1"/>
        <v>#REF!</v>
      </c>
      <c r="U2105" s="25" t="e">
        <f ca="1"/>
        <v>#REF!</v>
      </c>
      <c r="V2105" s="25" t="e">
        <f ca="1"/>
        <v>#REF!</v>
      </c>
      <c r="W2105" s="33" t="e">
        <f ca="1"/>
        <v>#REF!</v>
      </c>
      <c r="X2105" s="33" t="e">
        <f ca="1"/>
        <v>#REF!</v>
      </c>
      <c r="Y2105" s="33" t="e">
        <f ca="1"/>
        <v>#REF!</v>
      </c>
      <c r="Z2105" s="33" t="e">
        <f ca="1"/>
        <v>#REF!</v>
      </c>
      <c r="AA2105" s="33" t="e">
        <f ca="1"/>
        <v>#REF!</v>
      </c>
    </row>
    <row r="2106" spans="1:27" s="70" customFormat="1" ht="11.25" x14ac:dyDescent="0.2">
      <c r="A2106" s="24">
        <v>2100</v>
      </c>
      <c r="B2106" s="27"/>
      <c r="C2106" s="28"/>
      <c r="D2106" s="71"/>
      <c r="E2106" s="28"/>
      <c r="F2106" s="28"/>
      <c r="G2106" s="27"/>
      <c r="H2106" s="28" t="e">
        <f ca="1"/>
        <v>#REF!</v>
      </c>
      <c r="I2106" s="27" t="e">
        <f ca="1"/>
        <v>#REF!</v>
      </c>
      <c r="J2106" s="28" t="e">
        <f ca="1"/>
        <v>#REF!</v>
      </c>
      <c r="K2106" s="27" t="e">
        <f ca="1"/>
        <v>#REF!</v>
      </c>
      <c r="L2106" s="25" t="e">
        <f ca="1"/>
        <v>#REF!</v>
      </c>
      <c r="M2106" s="25" t="e">
        <f ca="1"/>
        <v>#REF!</v>
      </c>
      <c r="N2106" s="25" t="e">
        <f ca="1"/>
        <v>#REF!</v>
      </c>
      <c r="O2106" s="25" t="e">
        <f ca="1"/>
        <v>#REF!</v>
      </c>
      <c r="P2106" s="25" t="e">
        <f ca="1"/>
        <v>#REF!</v>
      </c>
      <c r="Q2106" s="25" t="e">
        <f ca="1"/>
        <v>#REF!</v>
      </c>
      <c r="R2106" s="25" t="e">
        <f ca="1"/>
        <v>#REF!</v>
      </c>
      <c r="S2106" s="25" t="e">
        <f ca="1"/>
        <v>#REF!</v>
      </c>
      <c r="T2106" s="25" t="e">
        <f ca="1"/>
        <v>#REF!</v>
      </c>
      <c r="U2106" s="25" t="e">
        <f ca="1"/>
        <v>#REF!</v>
      </c>
      <c r="V2106" s="25" t="e">
        <f ca="1"/>
        <v>#REF!</v>
      </c>
      <c r="W2106" s="33" t="e">
        <f ca="1"/>
        <v>#REF!</v>
      </c>
      <c r="X2106" s="33" t="e">
        <f ca="1"/>
        <v>#REF!</v>
      </c>
      <c r="Y2106" s="33" t="e">
        <f ca="1"/>
        <v>#REF!</v>
      </c>
      <c r="Z2106" s="33" t="e">
        <f ca="1"/>
        <v>#REF!</v>
      </c>
      <c r="AA2106" s="33" t="e">
        <f ca="1"/>
        <v>#REF!</v>
      </c>
    </row>
    <row r="2107" spans="1:27" s="70" customFormat="1" ht="11.25" x14ac:dyDescent="0.2">
      <c r="A2107" s="24">
        <v>2101</v>
      </c>
      <c r="B2107" s="27"/>
      <c r="C2107" s="28"/>
      <c r="D2107" s="71"/>
      <c r="E2107" s="28"/>
      <c r="F2107" s="28"/>
      <c r="G2107" s="27"/>
      <c r="H2107" s="28" t="e">
        <f ca="1"/>
        <v>#REF!</v>
      </c>
      <c r="I2107" s="27" t="e">
        <f ca="1"/>
        <v>#REF!</v>
      </c>
      <c r="J2107" s="28" t="e">
        <f ca="1"/>
        <v>#REF!</v>
      </c>
      <c r="K2107" s="27" t="e">
        <f ca="1"/>
        <v>#REF!</v>
      </c>
      <c r="L2107" s="25" t="e">
        <f ca="1"/>
        <v>#REF!</v>
      </c>
      <c r="M2107" s="25" t="e">
        <f ca="1"/>
        <v>#REF!</v>
      </c>
      <c r="N2107" s="25" t="e">
        <f ca="1"/>
        <v>#REF!</v>
      </c>
      <c r="O2107" s="25" t="e">
        <f ca="1"/>
        <v>#REF!</v>
      </c>
      <c r="P2107" s="25" t="e">
        <f ca="1"/>
        <v>#REF!</v>
      </c>
      <c r="Q2107" s="25" t="e">
        <f ca="1"/>
        <v>#REF!</v>
      </c>
      <c r="R2107" s="25" t="e">
        <f ca="1"/>
        <v>#REF!</v>
      </c>
      <c r="S2107" s="25" t="e">
        <f ca="1"/>
        <v>#REF!</v>
      </c>
      <c r="T2107" s="25" t="e">
        <f ca="1"/>
        <v>#REF!</v>
      </c>
      <c r="U2107" s="25" t="e">
        <f ca="1"/>
        <v>#REF!</v>
      </c>
      <c r="V2107" s="25" t="e">
        <f ca="1"/>
        <v>#REF!</v>
      </c>
      <c r="W2107" s="33" t="e">
        <f ca="1"/>
        <v>#REF!</v>
      </c>
      <c r="X2107" s="33" t="e">
        <f ca="1"/>
        <v>#REF!</v>
      </c>
      <c r="Y2107" s="33" t="e">
        <f ca="1"/>
        <v>#REF!</v>
      </c>
      <c r="Z2107" s="33" t="e">
        <f ca="1"/>
        <v>#REF!</v>
      </c>
      <c r="AA2107" s="33" t="e">
        <f ca="1"/>
        <v>#REF!</v>
      </c>
    </row>
    <row r="2108" spans="1:27" s="70" customFormat="1" ht="11.25" x14ac:dyDescent="0.2">
      <c r="A2108" s="24">
        <v>2102</v>
      </c>
      <c r="B2108" s="27"/>
      <c r="C2108" s="28"/>
      <c r="D2108" s="71"/>
      <c r="E2108" s="28"/>
      <c r="F2108" s="28"/>
      <c r="G2108" s="27"/>
      <c r="H2108" s="28" t="e">
        <f ca="1"/>
        <v>#REF!</v>
      </c>
      <c r="I2108" s="27" t="e">
        <f ca="1"/>
        <v>#REF!</v>
      </c>
      <c r="J2108" s="28" t="e">
        <f ca="1"/>
        <v>#REF!</v>
      </c>
      <c r="K2108" s="27" t="e">
        <f ca="1"/>
        <v>#REF!</v>
      </c>
      <c r="L2108" s="25" t="e">
        <f ca="1"/>
        <v>#REF!</v>
      </c>
      <c r="M2108" s="25" t="e">
        <f ca="1"/>
        <v>#REF!</v>
      </c>
      <c r="N2108" s="25" t="e">
        <f ca="1"/>
        <v>#REF!</v>
      </c>
      <c r="O2108" s="25" t="e">
        <f ca="1"/>
        <v>#REF!</v>
      </c>
      <c r="P2108" s="25" t="e">
        <f ca="1"/>
        <v>#REF!</v>
      </c>
      <c r="Q2108" s="25" t="e">
        <f ca="1"/>
        <v>#REF!</v>
      </c>
      <c r="R2108" s="25" t="e">
        <f ca="1"/>
        <v>#REF!</v>
      </c>
      <c r="S2108" s="25" t="e">
        <f ca="1"/>
        <v>#REF!</v>
      </c>
      <c r="T2108" s="25" t="e">
        <f ca="1"/>
        <v>#REF!</v>
      </c>
      <c r="U2108" s="25" t="e">
        <f ca="1"/>
        <v>#REF!</v>
      </c>
      <c r="V2108" s="25" t="e">
        <f ca="1"/>
        <v>#REF!</v>
      </c>
      <c r="W2108" s="33" t="e">
        <f ca="1"/>
        <v>#REF!</v>
      </c>
      <c r="X2108" s="33" t="e">
        <f ca="1"/>
        <v>#REF!</v>
      </c>
      <c r="Y2108" s="33" t="e">
        <f ca="1"/>
        <v>#REF!</v>
      </c>
      <c r="Z2108" s="33" t="e">
        <f ca="1"/>
        <v>#REF!</v>
      </c>
      <c r="AA2108" s="33" t="e">
        <f ca="1"/>
        <v>#REF!</v>
      </c>
    </row>
    <row r="2109" spans="1:27" s="70" customFormat="1" ht="11.25" x14ac:dyDescent="0.2">
      <c r="A2109" s="24">
        <v>2103</v>
      </c>
      <c r="B2109" s="27"/>
      <c r="C2109" s="28"/>
      <c r="D2109" s="71"/>
      <c r="E2109" s="28"/>
      <c r="F2109" s="28"/>
      <c r="G2109" s="27"/>
      <c r="H2109" s="28" t="e">
        <f ca="1"/>
        <v>#REF!</v>
      </c>
      <c r="I2109" s="27" t="e">
        <f ca="1"/>
        <v>#REF!</v>
      </c>
      <c r="J2109" s="28" t="e">
        <f ca="1"/>
        <v>#REF!</v>
      </c>
      <c r="K2109" s="27" t="e">
        <f ca="1"/>
        <v>#REF!</v>
      </c>
      <c r="L2109" s="25" t="e">
        <f ca="1"/>
        <v>#REF!</v>
      </c>
      <c r="M2109" s="25" t="e">
        <f ca="1"/>
        <v>#REF!</v>
      </c>
      <c r="N2109" s="25" t="e">
        <f ca="1"/>
        <v>#REF!</v>
      </c>
      <c r="O2109" s="25" t="e">
        <f ca="1"/>
        <v>#REF!</v>
      </c>
      <c r="P2109" s="25" t="e">
        <f ca="1"/>
        <v>#REF!</v>
      </c>
      <c r="Q2109" s="25" t="e">
        <f ca="1"/>
        <v>#REF!</v>
      </c>
      <c r="R2109" s="25" t="e">
        <f ca="1"/>
        <v>#REF!</v>
      </c>
      <c r="S2109" s="25" t="e">
        <f ca="1"/>
        <v>#REF!</v>
      </c>
      <c r="T2109" s="25" t="e">
        <f ca="1"/>
        <v>#REF!</v>
      </c>
      <c r="U2109" s="25" t="e">
        <f ca="1"/>
        <v>#REF!</v>
      </c>
      <c r="V2109" s="25" t="e">
        <f ca="1"/>
        <v>#REF!</v>
      </c>
      <c r="W2109" s="33" t="e">
        <f ca="1"/>
        <v>#REF!</v>
      </c>
      <c r="X2109" s="33" t="e">
        <f ca="1"/>
        <v>#REF!</v>
      </c>
      <c r="Y2109" s="33" t="e">
        <f ca="1"/>
        <v>#REF!</v>
      </c>
      <c r="Z2109" s="33" t="e">
        <f ca="1"/>
        <v>#REF!</v>
      </c>
      <c r="AA2109" s="33" t="e">
        <f ca="1"/>
        <v>#REF!</v>
      </c>
    </row>
    <row r="2110" spans="1:27" s="70" customFormat="1" ht="11.25" x14ac:dyDescent="0.2">
      <c r="A2110" s="24">
        <v>2104</v>
      </c>
      <c r="B2110" s="27"/>
      <c r="C2110" s="28"/>
      <c r="D2110" s="71"/>
      <c r="E2110" s="28"/>
      <c r="F2110" s="28"/>
      <c r="G2110" s="27"/>
      <c r="H2110" s="28" t="e">
        <f ca="1"/>
        <v>#REF!</v>
      </c>
      <c r="I2110" s="27" t="e">
        <f ca="1"/>
        <v>#REF!</v>
      </c>
      <c r="J2110" s="28" t="e">
        <f ca="1"/>
        <v>#REF!</v>
      </c>
      <c r="K2110" s="27" t="e">
        <f ca="1"/>
        <v>#REF!</v>
      </c>
      <c r="L2110" s="25" t="e">
        <f ca="1"/>
        <v>#REF!</v>
      </c>
      <c r="M2110" s="25" t="e">
        <f ca="1"/>
        <v>#REF!</v>
      </c>
      <c r="N2110" s="25" t="e">
        <f ca="1"/>
        <v>#REF!</v>
      </c>
      <c r="O2110" s="25" t="e">
        <f ca="1"/>
        <v>#REF!</v>
      </c>
      <c r="P2110" s="25" t="e">
        <f ca="1"/>
        <v>#REF!</v>
      </c>
      <c r="Q2110" s="25" t="e">
        <f ca="1"/>
        <v>#REF!</v>
      </c>
      <c r="R2110" s="25" t="e">
        <f ca="1"/>
        <v>#REF!</v>
      </c>
      <c r="S2110" s="25" t="e">
        <f ca="1"/>
        <v>#REF!</v>
      </c>
      <c r="T2110" s="25" t="e">
        <f ca="1"/>
        <v>#REF!</v>
      </c>
      <c r="U2110" s="25" t="e">
        <f ca="1"/>
        <v>#REF!</v>
      </c>
      <c r="V2110" s="25" t="e">
        <f ca="1"/>
        <v>#REF!</v>
      </c>
      <c r="W2110" s="33" t="e">
        <f ca="1"/>
        <v>#REF!</v>
      </c>
      <c r="X2110" s="33" t="e">
        <f ca="1"/>
        <v>#REF!</v>
      </c>
      <c r="Y2110" s="33" t="e">
        <f ca="1"/>
        <v>#REF!</v>
      </c>
      <c r="Z2110" s="33" t="e">
        <f ca="1"/>
        <v>#REF!</v>
      </c>
      <c r="AA2110" s="33" t="e">
        <f ca="1"/>
        <v>#REF!</v>
      </c>
    </row>
    <row r="2111" spans="1:27" s="70" customFormat="1" ht="11.25" x14ac:dyDescent="0.2">
      <c r="A2111" s="24">
        <v>2105</v>
      </c>
      <c r="B2111" s="27"/>
      <c r="C2111" s="28"/>
      <c r="D2111" s="71"/>
      <c r="E2111" s="28"/>
      <c r="F2111" s="28"/>
      <c r="G2111" s="27"/>
      <c r="H2111" s="28" t="e">
        <f ca="1"/>
        <v>#REF!</v>
      </c>
      <c r="I2111" s="27" t="e">
        <f ca="1"/>
        <v>#REF!</v>
      </c>
      <c r="J2111" s="28" t="e">
        <f ca="1"/>
        <v>#REF!</v>
      </c>
      <c r="K2111" s="27" t="e">
        <f ca="1"/>
        <v>#REF!</v>
      </c>
      <c r="L2111" s="25" t="e">
        <f ca="1"/>
        <v>#REF!</v>
      </c>
      <c r="M2111" s="25" t="e">
        <f ca="1"/>
        <v>#REF!</v>
      </c>
      <c r="N2111" s="25" t="e">
        <f ca="1"/>
        <v>#REF!</v>
      </c>
      <c r="O2111" s="25" t="e">
        <f ca="1"/>
        <v>#REF!</v>
      </c>
      <c r="P2111" s="25" t="e">
        <f ca="1"/>
        <v>#REF!</v>
      </c>
      <c r="Q2111" s="25" t="e">
        <f ca="1"/>
        <v>#REF!</v>
      </c>
      <c r="R2111" s="25" t="e">
        <f ca="1"/>
        <v>#REF!</v>
      </c>
      <c r="S2111" s="25" t="e">
        <f ca="1"/>
        <v>#REF!</v>
      </c>
      <c r="T2111" s="25" t="e">
        <f ca="1"/>
        <v>#REF!</v>
      </c>
      <c r="U2111" s="25" t="e">
        <f ca="1"/>
        <v>#REF!</v>
      </c>
      <c r="V2111" s="25" t="e">
        <f ca="1"/>
        <v>#REF!</v>
      </c>
      <c r="W2111" s="33" t="e">
        <f ca="1"/>
        <v>#REF!</v>
      </c>
      <c r="X2111" s="33" t="e">
        <f ca="1"/>
        <v>#REF!</v>
      </c>
      <c r="Y2111" s="33" t="e">
        <f ca="1"/>
        <v>#REF!</v>
      </c>
      <c r="Z2111" s="33" t="e">
        <f ca="1"/>
        <v>#REF!</v>
      </c>
      <c r="AA2111" s="33" t="e">
        <f ca="1"/>
        <v>#REF!</v>
      </c>
    </row>
    <row r="2112" spans="1:27" s="70" customFormat="1" ht="11.25" x14ac:dyDescent="0.2">
      <c r="A2112" s="24">
        <v>2106</v>
      </c>
      <c r="B2112" s="27"/>
      <c r="C2112" s="28"/>
      <c r="D2112" s="71"/>
      <c r="E2112" s="28"/>
      <c r="F2112" s="28"/>
      <c r="G2112" s="27"/>
      <c r="H2112" s="28" t="e">
        <f ca="1"/>
        <v>#REF!</v>
      </c>
      <c r="I2112" s="27" t="e">
        <f ca="1"/>
        <v>#REF!</v>
      </c>
      <c r="J2112" s="28" t="e">
        <f ca="1"/>
        <v>#REF!</v>
      </c>
      <c r="K2112" s="27" t="e">
        <f ca="1"/>
        <v>#REF!</v>
      </c>
      <c r="L2112" s="25" t="e">
        <f ca="1"/>
        <v>#REF!</v>
      </c>
      <c r="M2112" s="25" t="e">
        <f ca="1"/>
        <v>#REF!</v>
      </c>
      <c r="N2112" s="25" t="e">
        <f ca="1"/>
        <v>#REF!</v>
      </c>
      <c r="O2112" s="25" t="e">
        <f ca="1"/>
        <v>#REF!</v>
      </c>
      <c r="P2112" s="25" t="e">
        <f ca="1"/>
        <v>#REF!</v>
      </c>
      <c r="Q2112" s="25" t="e">
        <f ca="1"/>
        <v>#REF!</v>
      </c>
      <c r="R2112" s="25" t="e">
        <f ca="1"/>
        <v>#REF!</v>
      </c>
      <c r="S2112" s="25" t="e">
        <f ca="1"/>
        <v>#REF!</v>
      </c>
      <c r="T2112" s="25" t="e">
        <f ca="1"/>
        <v>#REF!</v>
      </c>
      <c r="U2112" s="25" t="e">
        <f ca="1"/>
        <v>#REF!</v>
      </c>
      <c r="V2112" s="25" t="e">
        <f ca="1"/>
        <v>#REF!</v>
      </c>
      <c r="W2112" s="33" t="e">
        <f ca="1"/>
        <v>#REF!</v>
      </c>
      <c r="X2112" s="33" t="e">
        <f ca="1"/>
        <v>#REF!</v>
      </c>
      <c r="Y2112" s="33" t="e">
        <f ca="1"/>
        <v>#REF!</v>
      </c>
      <c r="Z2112" s="33" t="e">
        <f ca="1"/>
        <v>#REF!</v>
      </c>
      <c r="AA2112" s="33" t="e">
        <f ca="1"/>
        <v>#REF!</v>
      </c>
    </row>
    <row r="2113" spans="1:27" s="70" customFormat="1" ht="11.25" x14ac:dyDescent="0.2">
      <c r="A2113" s="24">
        <v>2107</v>
      </c>
      <c r="B2113" s="27"/>
      <c r="C2113" s="28"/>
      <c r="D2113" s="71"/>
      <c r="E2113" s="28"/>
      <c r="F2113" s="28"/>
      <c r="G2113" s="27"/>
      <c r="H2113" s="28" t="e">
        <f ca="1"/>
        <v>#REF!</v>
      </c>
      <c r="I2113" s="27" t="e">
        <f ca="1"/>
        <v>#REF!</v>
      </c>
      <c r="J2113" s="28" t="e">
        <f ca="1"/>
        <v>#REF!</v>
      </c>
      <c r="K2113" s="27" t="e">
        <f ca="1"/>
        <v>#REF!</v>
      </c>
      <c r="L2113" s="25" t="e">
        <f ca="1"/>
        <v>#REF!</v>
      </c>
      <c r="M2113" s="25" t="e">
        <f ca="1"/>
        <v>#REF!</v>
      </c>
      <c r="N2113" s="25" t="e">
        <f ca="1"/>
        <v>#REF!</v>
      </c>
      <c r="O2113" s="25" t="e">
        <f ca="1"/>
        <v>#REF!</v>
      </c>
      <c r="P2113" s="25" t="e">
        <f ca="1"/>
        <v>#REF!</v>
      </c>
      <c r="Q2113" s="25" t="e">
        <f ca="1"/>
        <v>#REF!</v>
      </c>
      <c r="R2113" s="25" t="e">
        <f ca="1"/>
        <v>#REF!</v>
      </c>
      <c r="S2113" s="25" t="e">
        <f ca="1"/>
        <v>#REF!</v>
      </c>
      <c r="T2113" s="25" t="e">
        <f ca="1"/>
        <v>#REF!</v>
      </c>
      <c r="U2113" s="25" t="e">
        <f ca="1"/>
        <v>#REF!</v>
      </c>
      <c r="V2113" s="25" t="e">
        <f ca="1"/>
        <v>#REF!</v>
      </c>
      <c r="W2113" s="33" t="e">
        <f ca="1"/>
        <v>#REF!</v>
      </c>
      <c r="X2113" s="33" t="e">
        <f ca="1"/>
        <v>#REF!</v>
      </c>
      <c r="Y2113" s="33" t="e">
        <f ca="1"/>
        <v>#REF!</v>
      </c>
      <c r="Z2113" s="33" t="e">
        <f ca="1"/>
        <v>#REF!</v>
      </c>
      <c r="AA2113" s="33" t="e">
        <f ca="1"/>
        <v>#REF!</v>
      </c>
    </row>
    <row r="2114" spans="1:27" s="70" customFormat="1" ht="11.25" x14ac:dyDescent="0.2">
      <c r="A2114" s="24">
        <v>2108</v>
      </c>
      <c r="B2114" s="27"/>
      <c r="C2114" s="28"/>
      <c r="D2114" s="71"/>
      <c r="E2114" s="28"/>
      <c r="F2114" s="28"/>
      <c r="G2114" s="27"/>
      <c r="H2114" s="28" t="e">
        <f ca="1"/>
        <v>#REF!</v>
      </c>
      <c r="I2114" s="27" t="e">
        <f ca="1"/>
        <v>#REF!</v>
      </c>
      <c r="J2114" s="28" t="e">
        <f ca="1"/>
        <v>#REF!</v>
      </c>
      <c r="K2114" s="27" t="e">
        <f ca="1"/>
        <v>#REF!</v>
      </c>
      <c r="L2114" s="25" t="e">
        <f ca="1"/>
        <v>#REF!</v>
      </c>
      <c r="M2114" s="25" t="e">
        <f ca="1"/>
        <v>#REF!</v>
      </c>
      <c r="N2114" s="25" t="e">
        <f ca="1"/>
        <v>#REF!</v>
      </c>
      <c r="O2114" s="25" t="e">
        <f ca="1"/>
        <v>#REF!</v>
      </c>
      <c r="P2114" s="25" t="e">
        <f ca="1"/>
        <v>#REF!</v>
      </c>
      <c r="Q2114" s="25" t="e">
        <f ca="1"/>
        <v>#REF!</v>
      </c>
      <c r="R2114" s="25" t="e">
        <f ca="1"/>
        <v>#REF!</v>
      </c>
      <c r="S2114" s="25" t="e">
        <f ca="1"/>
        <v>#REF!</v>
      </c>
      <c r="T2114" s="25" t="e">
        <f ca="1"/>
        <v>#REF!</v>
      </c>
      <c r="U2114" s="25" t="e">
        <f ca="1"/>
        <v>#REF!</v>
      </c>
      <c r="V2114" s="25" t="e">
        <f ca="1"/>
        <v>#REF!</v>
      </c>
      <c r="W2114" s="33" t="e">
        <f ca="1"/>
        <v>#REF!</v>
      </c>
      <c r="X2114" s="33" t="e">
        <f ca="1"/>
        <v>#REF!</v>
      </c>
      <c r="Y2114" s="33" t="e">
        <f ca="1"/>
        <v>#REF!</v>
      </c>
      <c r="Z2114" s="33" t="e">
        <f ca="1"/>
        <v>#REF!</v>
      </c>
      <c r="AA2114" s="33" t="e">
        <f ca="1"/>
        <v>#REF!</v>
      </c>
    </row>
    <row r="2115" spans="1:27" s="70" customFormat="1" ht="11.25" x14ac:dyDescent="0.2">
      <c r="A2115" s="24">
        <v>2109</v>
      </c>
      <c r="B2115" s="27"/>
      <c r="C2115" s="28"/>
      <c r="D2115" s="71"/>
      <c r="E2115" s="28"/>
      <c r="F2115" s="28"/>
      <c r="G2115" s="27"/>
      <c r="H2115" s="28" t="e">
        <f ca="1"/>
        <v>#REF!</v>
      </c>
      <c r="I2115" s="27" t="e">
        <f ca="1"/>
        <v>#REF!</v>
      </c>
      <c r="J2115" s="28" t="e">
        <f ca="1"/>
        <v>#REF!</v>
      </c>
      <c r="K2115" s="27" t="e">
        <f ca="1"/>
        <v>#REF!</v>
      </c>
      <c r="L2115" s="25" t="e">
        <f ca="1"/>
        <v>#REF!</v>
      </c>
      <c r="M2115" s="25" t="e">
        <f ca="1"/>
        <v>#REF!</v>
      </c>
      <c r="N2115" s="25" t="e">
        <f ca="1"/>
        <v>#REF!</v>
      </c>
      <c r="O2115" s="25" t="e">
        <f ca="1"/>
        <v>#REF!</v>
      </c>
      <c r="P2115" s="25" t="e">
        <f ca="1"/>
        <v>#REF!</v>
      </c>
      <c r="Q2115" s="25" t="e">
        <f ca="1"/>
        <v>#REF!</v>
      </c>
      <c r="R2115" s="25" t="e">
        <f ca="1"/>
        <v>#REF!</v>
      </c>
      <c r="S2115" s="25" t="e">
        <f ca="1"/>
        <v>#REF!</v>
      </c>
      <c r="T2115" s="25" t="e">
        <f ca="1"/>
        <v>#REF!</v>
      </c>
      <c r="U2115" s="25" t="e">
        <f ca="1"/>
        <v>#REF!</v>
      </c>
      <c r="V2115" s="25" t="e">
        <f ca="1"/>
        <v>#REF!</v>
      </c>
      <c r="W2115" s="33" t="e">
        <f ca="1"/>
        <v>#REF!</v>
      </c>
      <c r="X2115" s="33" t="e">
        <f ca="1"/>
        <v>#REF!</v>
      </c>
      <c r="Y2115" s="33" t="e">
        <f ca="1"/>
        <v>#REF!</v>
      </c>
      <c r="Z2115" s="33" t="e">
        <f ca="1"/>
        <v>#REF!</v>
      </c>
      <c r="AA2115" s="33" t="e">
        <f ca="1"/>
        <v>#REF!</v>
      </c>
    </row>
    <row r="2116" spans="1:27" s="70" customFormat="1" ht="11.25" x14ac:dyDescent="0.2">
      <c r="A2116" s="24">
        <v>2110</v>
      </c>
      <c r="B2116" s="27"/>
      <c r="C2116" s="28"/>
      <c r="D2116" s="71"/>
      <c r="E2116" s="28"/>
      <c r="F2116" s="28"/>
      <c r="G2116" s="27"/>
      <c r="H2116" s="28" t="e">
        <f ca="1"/>
        <v>#REF!</v>
      </c>
      <c r="I2116" s="27" t="e">
        <f ca="1"/>
        <v>#REF!</v>
      </c>
      <c r="J2116" s="28" t="e">
        <f ca="1"/>
        <v>#REF!</v>
      </c>
      <c r="K2116" s="27" t="e">
        <f ca="1"/>
        <v>#REF!</v>
      </c>
      <c r="L2116" s="25" t="e">
        <f ca="1"/>
        <v>#REF!</v>
      </c>
      <c r="M2116" s="25" t="e">
        <f ca="1"/>
        <v>#REF!</v>
      </c>
      <c r="N2116" s="25" t="e">
        <f ca="1"/>
        <v>#REF!</v>
      </c>
      <c r="O2116" s="25" t="e">
        <f ca="1"/>
        <v>#REF!</v>
      </c>
      <c r="P2116" s="25" t="e">
        <f ca="1"/>
        <v>#REF!</v>
      </c>
      <c r="Q2116" s="25" t="e">
        <f ca="1"/>
        <v>#REF!</v>
      </c>
      <c r="R2116" s="25" t="e">
        <f ca="1"/>
        <v>#REF!</v>
      </c>
      <c r="S2116" s="25" t="e">
        <f ca="1"/>
        <v>#REF!</v>
      </c>
      <c r="T2116" s="25" t="e">
        <f ca="1"/>
        <v>#REF!</v>
      </c>
      <c r="U2116" s="25" t="e">
        <f ca="1"/>
        <v>#REF!</v>
      </c>
      <c r="V2116" s="25" t="e">
        <f ca="1"/>
        <v>#REF!</v>
      </c>
      <c r="W2116" s="33" t="e">
        <f ca="1"/>
        <v>#REF!</v>
      </c>
      <c r="X2116" s="33" t="e">
        <f ca="1"/>
        <v>#REF!</v>
      </c>
      <c r="Y2116" s="33" t="e">
        <f ca="1"/>
        <v>#REF!</v>
      </c>
      <c r="Z2116" s="33" t="e">
        <f ca="1"/>
        <v>#REF!</v>
      </c>
      <c r="AA2116" s="33" t="e">
        <f ca="1"/>
        <v>#REF!</v>
      </c>
    </row>
    <row r="2117" spans="1:27" s="70" customFormat="1" ht="11.25" x14ac:dyDescent="0.2">
      <c r="A2117" s="24">
        <v>2111</v>
      </c>
      <c r="B2117" s="27"/>
      <c r="C2117" s="28"/>
      <c r="D2117" s="71"/>
      <c r="E2117" s="28"/>
      <c r="F2117" s="28"/>
      <c r="G2117" s="27"/>
      <c r="H2117" s="28" t="e">
        <f ca="1"/>
        <v>#REF!</v>
      </c>
      <c r="I2117" s="27" t="e">
        <f ca="1"/>
        <v>#REF!</v>
      </c>
      <c r="J2117" s="28" t="e">
        <f ca="1"/>
        <v>#REF!</v>
      </c>
      <c r="K2117" s="27" t="e">
        <f ca="1"/>
        <v>#REF!</v>
      </c>
      <c r="L2117" s="25" t="e">
        <f ca="1"/>
        <v>#REF!</v>
      </c>
      <c r="M2117" s="25" t="e">
        <f ca="1"/>
        <v>#REF!</v>
      </c>
      <c r="N2117" s="25" t="e">
        <f ca="1"/>
        <v>#REF!</v>
      </c>
      <c r="O2117" s="25" t="e">
        <f ca="1"/>
        <v>#REF!</v>
      </c>
      <c r="P2117" s="25" t="e">
        <f ca="1"/>
        <v>#REF!</v>
      </c>
      <c r="Q2117" s="25" t="e">
        <f ca="1"/>
        <v>#REF!</v>
      </c>
      <c r="R2117" s="25" t="e">
        <f ca="1"/>
        <v>#REF!</v>
      </c>
      <c r="S2117" s="25" t="e">
        <f ca="1"/>
        <v>#REF!</v>
      </c>
      <c r="T2117" s="25" t="e">
        <f ca="1"/>
        <v>#REF!</v>
      </c>
      <c r="U2117" s="25" t="e">
        <f ca="1"/>
        <v>#REF!</v>
      </c>
      <c r="V2117" s="25" t="e">
        <f ca="1"/>
        <v>#REF!</v>
      </c>
      <c r="W2117" s="33" t="e">
        <f ca="1"/>
        <v>#REF!</v>
      </c>
      <c r="X2117" s="33" t="e">
        <f ca="1"/>
        <v>#REF!</v>
      </c>
      <c r="Y2117" s="33" t="e">
        <f ca="1"/>
        <v>#REF!</v>
      </c>
      <c r="Z2117" s="33" t="e">
        <f ca="1"/>
        <v>#REF!</v>
      </c>
      <c r="AA2117" s="33" t="e">
        <f ca="1"/>
        <v>#REF!</v>
      </c>
    </row>
    <row r="2118" spans="1:27" s="70" customFormat="1" ht="11.25" x14ac:dyDescent="0.2">
      <c r="A2118" s="24">
        <v>2112</v>
      </c>
      <c r="B2118" s="27"/>
      <c r="C2118" s="28"/>
      <c r="D2118" s="71"/>
      <c r="E2118" s="28"/>
      <c r="F2118" s="28"/>
      <c r="G2118" s="27"/>
      <c r="H2118" s="28" t="e">
        <f ca="1"/>
        <v>#REF!</v>
      </c>
      <c r="I2118" s="27" t="e">
        <f ca="1"/>
        <v>#REF!</v>
      </c>
      <c r="J2118" s="28" t="e">
        <f ca="1"/>
        <v>#REF!</v>
      </c>
      <c r="K2118" s="27" t="e">
        <f ca="1"/>
        <v>#REF!</v>
      </c>
      <c r="L2118" s="25" t="e">
        <f ca="1"/>
        <v>#REF!</v>
      </c>
      <c r="M2118" s="25" t="e">
        <f ca="1"/>
        <v>#REF!</v>
      </c>
      <c r="N2118" s="25" t="e">
        <f ca="1"/>
        <v>#REF!</v>
      </c>
      <c r="O2118" s="25" t="e">
        <f ca="1"/>
        <v>#REF!</v>
      </c>
      <c r="P2118" s="25" t="e">
        <f ca="1"/>
        <v>#REF!</v>
      </c>
      <c r="Q2118" s="25" t="e">
        <f ca="1"/>
        <v>#REF!</v>
      </c>
      <c r="R2118" s="25" t="e">
        <f ca="1"/>
        <v>#REF!</v>
      </c>
      <c r="S2118" s="25" t="e">
        <f ca="1"/>
        <v>#REF!</v>
      </c>
      <c r="T2118" s="25" t="e">
        <f ca="1"/>
        <v>#REF!</v>
      </c>
      <c r="U2118" s="25" t="e">
        <f ca="1"/>
        <v>#REF!</v>
      </c>
      <c r="V2118" s="25" t="e">
        <f ca="1"/>
        <v>#REF!</v>
      </c>
      <c r="W2118" s="33" t="e">
        <f ca="1"/>
        <v>#REF!</v>
      </c>
      <c r="X2118" s="33" t="e">
        <f ca="1"/>
        <v>#REF!</v>
      </c>
      <c r="Y2118" s="33" t="e">
        <f ca="1"/>
        <v>#REF!</v>
      </c>
      <c r="Z2118" s="33" t="e">
        <f ca="1"/>
        <v>#REF!</v>
      </c>
      <c r="AA2118" s="33" t="e">
        <f ca="1"/>
        <v>#REF!</v>
      </c>
    </row>
    <row r="2119" spans="1:27" s="70" customFormat="1" ht="11.25" x14ac:dyDescent="0.2">
      <c r="A2119" s="24">
        <v>2113</v>
      </c>
      <c r="B2119" s="27"/>
      <c r="C2119" s="28"/>
      <c r="D2119" s="71"/>
      <c r="E2119" s="28"/>
      <c r="F2119" s="28"/>
      <c r="G2119" s="27"/>
      <c r="H2119" s="28" t="e">
        <f ca="1"/>
        <v>#REF!</v>
      </c>
      <c r="I2119" s="27" t="e">
        <f ca="1"/>
        <v>#REF!</v>
      </c>
      <c r="J2119" s="28" t="e">
        <f ca="1"/>
        <v>#REF!</v>
      </c>
      <c r="K2119" s="27" t="e">
        <f ca="1"/>
        <v>#REF!</v>
      </c>
      <c r="L2119" s="25" t="e">
        <f ca="1"/>
        <v>#REF!</v>
      </c>
      <c r="M2119" s="25" t="e">
        <f ca="1"/>
        <v>#REF!</v>
      </c>
      <c r="N2119" s="25" t="e">
        <f ca="1"/>
        <v>#REF!</v>
      </c>
      <c r="O2119" s="25" t="e">
        <f ca="1"/>
        <v>#REF!</v>
      </c>
      <c r="P2119" s="25" t="e">
        <f ca="1"/>
        <v>#REF!</v>
      </c>
      <c r="Q2119" s="25" t="e">
        <f ca="1"/>
        <v>#REF!</v>
      </c>
      <c r="R2119" s="25" t="e">
        <f ca="1"/>
        <v>#REF!</v>
      </c>
      <c r="S2119" s="25" t="e">
        <f ca="1"/>
        <v>#REF!</v>
      </c>
      <c r="T2119" s="25" t="e">
        <f ca="1"/>
        <v>#REF!</v>
      </c>
      <c r="U2119" s="25" t="e">
        <f ca="1"/>
        <v>#REF!</v>
      </c>
      <c r="V2119" s="25" t="e">
        <f ca="1"/>
        <v>#REF!</v>
      </c>
      <c r="W2119" s="33" t="e">
        <f ca="1"/>
        <v>#REF!</v>
      </c>
      <c r="X2119" s="33" t="e">
        <f ca="1"/>
        <v>#REF!</v>
      </c>
      <c r="Y2119" s="33" t="e">
        <f ca="1"/>
        <v>#REF!</v>
      </c>
      <c r="Z2119" s="33" t="e">
        <f ca="1"/>
        <v>#REF!</v>
      </c>
      <c r="AA2119" s="33" t="e">
        <f ca="1"/>
        <v>#REF!</v>
      </c>
    </row>
    <row r="2120" spans="1:27" s="70" customFormat="1" ht="11.25" x14ac:dyDescent="0.2">
      <c r="A2120" s="24">
        <v>2114</v>
      </c>
      <c r="B2120" s="27"/>
      <c r="C2120" s="28"/>
      <c r="D2120" s="71"/>
      <c r="E2120" s="28"/>
      <c r="F2120" s="28"/>
      <c r="G2120" s="27"/>
      <c r="H2120" s="28" t="e">
        <f ca="1"/>
        <v>#REF!</v>
      </c>
      <c r="I2120" s="27" t="e">
        <f ca="1"/>
        <v>#REF!</v>
      </c>
      <c r="J2120" s="28" t="e">
        <f ca="1"/>
        <v>#REF!</v>
      </c>
      <c r="K2120" s="27" t="e">
        <f ca="1"/>
        <v>#REF!</v>
      </c>
      <c r="L2120" s="25" t="e">
        <f ca="1"/>
        <v>#REF!</v>
      </c>
      <c r="M2120" s="25" t="e">
        <f ca="1"/>
        <v>#REF!</v>
      </c>
      <c r="N2120" s="25" t="e">
        <f ca="1"/>
        <v>#REF!</v>
      </c>
      <c r="O2120" s="25" t="e">
        <f ca="1"/>
        <v>#REF!</v>
      </c>
      <c r="P2120" s="25" t="e">
        <f ca="1"/>
        <v>#REF!</v>
      </c>
      <c r="Q2120" s="25" t="e">
        <f ca="1"/>
        <v>#REF!</v>
      </c>
      <c r="R2120" s="25" t="e">
        <f ca="1"/>
        <v>#REF!</v>
      </c>
      <c r="S2120" s="25" t="e">
        <f ca="1"/>
        <v>#REF!</v>
      </c>
      <c r="T2120" s="25" t="e">
        <f ca="1"/>
        <v>#REF!</v>
      </c>
      <c r="U2120" s="25" t="e">
        <f ca="1"/>
        <v>#REF!</v>
      </c>
      <c r="V2120" s="25" t="e">
        <f ca="1"/>
        <v>#REF!</v>
      </c>
      <c r="W2120" s="33" t="e">
        <f ca="1"/>
        <v>#REF!</v>
      </c>
      <c r="X2120" s="33" t="e">
        <f ca="1"/>
        <v>#REF!</v>
      </c>
      <c r="Y2120" s="33" t="e">
        <f ca="1"/>
        <v>#REF!</v>
      </c>
      <c r="Z2120" s="33" t="e">
        <f ca="1"/>
        <v>#REF!</v>
      </c>
      <c r="AA2120" s="33" t="e">
        <f ca="1"/>
        <v>#REF!</v>
      </c>
    </row>
    <row r="2121" spans="1:27" s="70" customFormat="1" ht="11.25" x14ac:dyDescent="0.2">
      <c r="A2121" s="24">
        <v>2115</v>
      </c>
      <c r="B2121" s="27"/>
      <c r="C2121" s="28"/>
      <c r="D2121" s="71"/>
      <c r="E2121" s="28"/>
      <c r="F2121" s="28"/>
      <c r="G2121" s="27"/>
      <c r="H2121" s="28" t="e">
        <f ca="1"/>
        <v>#REF!</v>
      </c>
      <c r="I2121" s="27" t="e">
        <f ca="1"/>
        <v>#REF!</v>
      </c>
      <c r="J2121" s="28" t="e">
        <f ca="1"/>
        <v>#REF!</v>
      </c>
      <c r="K2121" s="27" t="e">
        <f ca="1"/>
        <v>#REF!</v>
      </c>
      <c r="L2121" s="25" t="e">
        <f ca="1"/>
        <v>#REF!</v>
      </c>
      <c r="M2121" s="25" t="e">
        <f ca="1"/>
        <v>#REF!</v>
      </c>
      <c r="N2121" s="25" t="e">
        <f ca="1"/>
        <v>#REF!</v>
      </c>
      <c r="O2121" s="25" t="e">
        <f ca="1"/>
        <v>#REF!</v>
      </c>
      <c r="P2121" s="25" t="e">
        <f ca="1"/>
        <v>#REF!</v>
      </c>
      <c r="Q2121" s="25" t="e">
        <f ca="1"/>
        <v>#REF!</v>
      </c>
      <c r="R2121" s="25" t="e">
        <f ca="1"/>
        <v>#REF!</v>
      </c>
      <c r="S2121" s="25" t="e">
        <f ca="1"/>
        <v>#REF!</v>
      </c>
      <c r="T2121" s="25" t="e">
        <f ca="1"/>
        <v>#REF!</v>
      </c>
      <c r="U2121" s="25" t="e">
        <f ca="1"/>
        <v>#REF!</v>
      </c>
      <c r="V2121" s="25" t="e">
        <f ca="1"/>
        <v>#REF!</v>
      </c>
      <c r="W2121" s="33" t="e">
        <f ca="1"/>
        <v>#REF!</v>
      </c>
      <c r="X2121" s="33" t="e">
        <f ca="1"/>
        <v>#REF!</v>
      </c>
      <c r="Y2121" s="33" t="e">
        <f ca="1"/>
        <v>#REF!</v>
      </c>
      <c r="Z2121" s="33" t="e">
        <f ca="1"/>
        <v>#REF!</v>
      </c>
      <c r="AA2121" s="33" t="e">
        <f ca="1"/>
        <v>#REF!</v>
      </c>
    </row>
    <row r="2122" spans="1:27" s="70" customFormat="1" ht="11.25" x14ac:dyDescent="0.2">
      <c r="A2122" s="24">
        <v>2116</v>
      </c>
      <c r="B2122" s="27"/>
      <c r="C2122" s="28"/>
      <c r="D2122" s="71"/>
      <c r="E2122" s="28"/>
      <c r="F2122" s="28"/>
      <c r="G2122" s="27"/>
      <c r="H2122" s="28" t="e">
        <f ca="1"/>
        <v>#REF!</v>
      </c>
      <c r="I2122" s="27" t="e">
        <f ca="1"/>
        <v>#REF!</v>
      </c>
      <c r="J2122" s="28" t="e">
        <f ca="1"/>
        <v>#REF!</v>
      </c>
      <c r="K2122" s="27" t="e">
        <f ca="1"/>
        <v>#REF!</v>
      </c>
      <c r="L2122" s="25" t="e">
        <f ca="1"/>
        <v>#REF!</v>
      </c>
      <c r="M2122" s="25" t="e">
        <f ca="1"/>
        <v>#REF!</v>
      </c>
      <c r="N2122" s="25" t="e">
        <f ca="1"/>
        <v>#REF!</v>
      </c>
      <c r="O2122" s="25" t="e">
        <f ca="1"/>
        <v>#REF!</v>
      </c>
      <c r="P2122" s="25" t="e">
        <f ca="1"/>
        <v>#REF!</v>
      </c>
      <c r="Q2122" s="25" t="e">
        <f ca="1"/>
        <v>#REF!</v>
      </c>
      <c r="R2122" s="25" t="e">
        <f ca="1"/>
        <v>#REF!</v>
      </c>
      <c r="S2122" s="25" t="e">
        <f ca="1"/>
        <v>#REF!</v>
      </c>
      <c r="T2122" s="25" t="e">
        <f ca="1"/>
        <v>#REF!</v>
      </c>
      <c r="U2122" s="25" t="e">
        <f ca="1"/>
        <v>#REF!</v>
      </c>
      <c r="V2122" s="25" t="e">
        <f ca="1"/>
        <v>#REF!</v>
      </c>
      <c r="W2122" s="33" t="e">
        <f ca="1"/>
        <v>#REF!</v>
      </c>
      <c r="X2122" s="33" t="e">
        <f ca="1"/>
        <v>#REF!</v>
      </c>
      <c r="Y2122" s="33" t="e">
        <f ca="1"/>
        <v>#REF!</v>
      </c>
      <c r="Z2122" s="33" t="e">
        <f ca="1"/>
        <v>#REF!</v>
      </c>
      <c r="AA2122" s="33" t="e">
        <f ca="1"/>
        <v>#REF!</v>
      </c>
    </row>
    <row r="2123" spans="1:27" s="70" customFormat="1" ht="11.25" x14ac:dyDescent="0.2">
      <c r="A2123" s="24">
        <v>2117</v>
      </c>
      <c r="B2123" s="27"/>
      <c r="C2123" s="28"/>
      <c r="D2123" s="71"/>
      <c r="E2123" s="28"/>
      <c r="F2123" s="28"/>
      <c r="G2123" s="27"/>
      <c r="H2123" s="28" t="e">
        <f ca="1"/>
        <v>#REF!</v>
      </c>
      <c r="I2123" s="27" t="e">
        <f ca="1"/>
        <v>#REF!</v>
      </c>
      <c r="J2123" s="28" t="e">
        <f ca="1"/>
        <v>#REF!</v>
      </c>
      <c r="K2123" s="27" t="e">
        <f ca="1"/>
        <v>#REF!</v>
      </c>
      <c r="L2123" s="25" t="e">
        <f ca="1"/>
        <v>#REF!</v>
      </c>
      <c r="M2123" s="25" t="e">
        <f ca="1"/>
        <v>#REF!</v>
      </c>
      <c r="N2123" s="25" t="e">
        <f ca="1"/>
        <v>#REF!</v>
      </c>
      <c r="O2123" s="25" t="e">
        <f ca="1"/>
        <v>#REF!</v>
      </c>
      <c r="P2123" s="25" t="e">
        <f ca="1"/>
        <v>#REF!</v>
      </c>
      <c r="Q2123" s="25" t="e">
        <f ca="1"/>
        <v>#REF!</v>
      </c>
      <c r="R2123" s="25" t="e">
        <f ca="1"/>
        <v>#REF!</v>
      </c>
      <c r="S2123" s="25" t="e">
        <f ca="1"/>
        <v>#REF!</v>
      </c>
      <c r="T2123" s="25" t="e">
        <f ca="1"/>
        <v>#REF!</v>
      </c>
      <c r="U2123" s="25" t="e">
        <f ca="1"/>
        <v>#REF!</v>
      </c>
      <c r="V2123" s="25" t="e">
        <f ca="1"/>
        <v>#REF!</v>
      </c>
      <c r="W2123" s="33" t="e">
        <f ca="1"/>
        <v>#REF!</v>
      </c>
      <c r="X2123" s="33" t="e">
        <f ca="1"/>
        <v>#REF!</v>
      </c>
      <c r="Y2123" s="33" t="e">
        <f ca="1"/>
        <v>#REF!</v>
      </c>
      <c r="Z2123" s="33" t="e">
        <f ca="1"/>
        <v>#REF!</v>
      </c>
      <c r="AA2123" s="33" t="e">
        <f ca="1"/>
        <v>#REF!</v>
      </c>
    </row>
    <row r="2124" spans="1:27" s="70" customFormat="1" ht="11.25" x14ac:dyDescent="0.2">
      <c r="A2124" s="24">
        <v>2118</v>
      </c>
      <c r="B2124" s="27"/>
      <c r="C2124" s="28"/>
      <c r="D2124" s="71"/>
      <c r="E2124" s="28"/>
      <c r="F2124" s="28"/>
      <c r="G2124" s="27"/>
      <c r="H2124" s="28" t="e">
        <f ca="1"/>
        <v>#REF!</v>
      </c>
      <c r="I2124" s="27" t="e">
        <f ca="1"/>
        <v>#REF!</v>
      </c>
      <c r="J2124" s="28" t="e">
        <f ca="1"/>
        <v>#REF!</v>
      </c>
      <c r="K2124" s="27" t="e">
        <f ca="1"/>
        <v>#REF!</v>
      </c>
      <c r="L2124" s="25" t="e">
        <f ca="1"/>
        <v>#REF!</v>
      </c>
      <c r="M2124" s="25" t="e">
        <f ca="1"/>
        <v>#REF!</v>
      </c>
      <c r="N2124" s="25" t="e">
        <f ca="1"/>
        <v>#REF!</v>
      </c>
      <c r="O2124" s="25" t="e">
        <f ca="1"/>
        <v>#REF!</v>
      </c>
      <c r="P2124" s="25" t="e">
        <f ca="1"/>
        <v>#REF!</v>
      </c>
      <c r="Q2124" s="25" t="e">
        <f ca="1"/>
        <v>#REF!</v>
      </c>
      <c r="R2124" s="25" t="e">
        <f ca="1"/>
        <v>#REF!</v>
      </c>
      <c r="S2124" s="25" t="e">
        <f ca="1"/>
        <v>#REF!</v>
      </c>
      <c r="T2124" s="25" t="e">
        <f ca="1"/>
        <v>#REF!</v>
      </c>
      <c r="U2124" s="25" t="e">
        <f ca="1"/>
        <v>#REF!</v>
      </c>
      <c r="V2124" s="25" t="e">
        <f ca="1"/>
        <v>#REF!</v>
      </c>
      <c r="W2124" s="33" t="e">
        <f ca="1"/>
        <v>#REF!</v>
      </c>
      <c r="X2124" s="33" t="e">
        <f ca="1"/>
        <v>#REF!</v>
      </c>
      <c r="Y2124" s="33" t="e">
        <f ca="1"/>
        <v>#REF!</v>
      </c>
      <c r="Z2124" s="33" t="e">
        <f ca="1"/>
        <v>#REF!</v>
      </c>
      <c r="AA2124" s="33" t="e">
        <f ca="1"/>
        <v>#REF!</v>
      </c>
    </row>
    <row r="2125" spans="1:27" s="70" customFormat="1" ht="11.25" x14ac:dyDescent="0.2">
      <c r="A2125" s="24">
        <v>2119</v>
      </c>
      <c r="B2125" s="27"/>
      <c r="C2125" s="28"/>
      <c r="D2125" s="71"/>
      <c r="E2125" s="28"/>
      <c r="F2125" s="28"/>
      <c r="G2125" s="27"/>
      <c r="H2125" s="28" t="e">
        <f ca="1"/>
        <v>#REF!</v>
      </c>
      <c r="I2125" s="27" t="e">
        <f ca="1"/>
        <v>#REF!</v>
      </c>
      <c r="J2125" s="28" t="e">
        <f ca="1"/>
        <v>#REF!</v>
      </c>
      <c r="K2125" s="27" t="e">
        <f ca="1"/>
        <v>#REF!</v>
      </c>
      <c r="L2125" s="25" t="e">
        <f ca="1"/>
        <v>#REF!</v>
      </c>
      <c r="M2125" s="25" t="e">
        <f ca="1"/>
        <v>#REF!</v>
      </c>
      <c r="N2125" s="25" t="e">
        <f ca="1"/>
        <v>#REF!</v>
      </c>
      <c r="O2125" s="25" t="e">
        <f ca="1"/>
        <v>#REF!</v>
      </c>
      <c r="P2125" s="25" t="e">
        <f ca="1"/>
        <v>#REF!</v>
      </c>
      <c r="Q2125" s="25" t="e">
        <f ca="1"/>
        <v>#REF!</v>
      </c>
      <c r="R2125" s="25" t="e">
        <f ca="1"/>
        <v>#REF!</v>
      </c>
      <c r="S2125" s="25" t="e">
        <f ca="1"/>
        <v>#REF!</v>
      </c>
      <c r="T2125" s="25" t="e">
        <f ca="1"/>
        <v>#REF!</v>
      </c>
      <c r="U2125" s="25" t="e">
        <f ca="1"/>
        <v>#REF!</v>
      </c>
      <c r="V2125" s="25" t="e">
        <f ca="1"/>
        <v>#REF!</v>
      </c>
      <c r="W2125" s="33" t="e">
        <f ca="1"/>
        <v>#REF!</v>
      </c>
      <c r="X2125" s="33" t="e">
        <f ca="1"/>
        <v>#REF!</v>
      </c>
      <c r="Y2125" s="33" t="e">
        <f ca="1"/>
        <v>#REF!</v>
      </c>
      <c r="Z2125" s="33" t="e">
        <f ca="1"/>
        <v>#REF!</v>
      </c>
      <c r="AA2125" s="33" t="e">
        <f ca="1"/>
        <v>#REF!</v>
      </c>
    </row>
    <row r="2126" spans="1:27" s="70" customFormat="1" ht="11.25" x14ac:dyDescent="0.2">
      <c r="A2126" s="24">
        <v>2120</v>
      </c>
      <c r="B2126" s="27"/>
      <c r="C2126" s="28"/>
      <c r="D2126" s="71"/>
      <c r="E2126" s="28"/>
      <c r="F2126" s="28"/>
      <c r="G2126" s="27"/>
      <c r="H2126" s="28" t="e">
        <f ca="1"/>
        <v>#REF!</v>
      </c>
      <c r="I2126" s="27" t="e">
        <f ca="1"/>
        <v>#REF!</v>
      </c>
      <c r="J2126" s="28" t="e">
        <f ca="1"/>
        <v>#REF!</v>
      </c>
      <c r="K2126" s="27" t="e">
        <f ca="1"/>
        <v>#REF!</v>
      </c>
      <c r="L2126" s="25" t="e">
        <f ca="1"/>
        <v>#REF!</v>
      </c>
      <c r="M2126" s="25" t="e">
        <f ca="1"/>
        <v>#REF!</v>
      </c>
      <c r="N2126" s="25" t="e">
        <f ca="1"/>
        <v>#REF!</v>
      </c>
      <c r="O2126" s="25" t="e">
        <f ca="1"/>
        <v>#REF!</v>
      </c>
      <c r="P2126" s="25" t="e">
        <f ca="1"/>
        <v>#REF!</v>
      </c>
      <c r="Q2126" s="25" t="e">
        <f ca="1"/>
        <v>#REF!</v>
      </c>
      <c r="R2126" s="25" t="e">
        <f ca="1"/>
        <v>#REF!</v>
      </c>
      <c r="S2126" s="25" t="e">
        <f ca="1"/>
        <v>#REF!</v>
      </c>
      <c r="T2126" s="25" t="e">
        <f ca="1"/>
        <v>#REF!</v>
      </c>
      <c r="U2126" s="25" t="e">
        <f ca="1"/>
        <v>#REF!</v>
      </c>
      <c r="V2126" s="25" t="e">
        <f ca="1"/>
        <v>#REF!</v>
      </c>
      <c r="W2126" s="33" t="e">
        <f ca="1"/>
        <v>#REF!</v>
      </c>
      <c r="X2126" s="33" t="e">
        <f ca="1"/>
        <v>#REF!</v>
      </c>
      <c r="Y2126" s="33" t="e">
        <f ca="1"/>
        <v>#REF!</v>
      </c>
      <c r="Z2126" s="33" t="e">
        <f ca="1"/>
        <v>#REF!</v>
      </c>
      <c r="AA2126" s="33" t="e">
        <f ca="1"/>
        <v>#REF!</v>
      </c>
    </row>
    <row r="2127" spans="1:27" s="70" customFormat="1" ht="11.25" x14ac:dyDescent="0.2">
      <c r="A2127" s="24">
        <v>2121</v>
      </c>
      <c r="B2127" s="27"/>
      <c r="C2127" s="28"/>
      <c r="D2127" s="71"/>
      <c r="E2127" s="28"/>
      <c r="F2127" s="28"/>
      <c r="G2127" s="27"/>
      <c r="H2127" s="28" t="e">
        <f ca="1"/>
        <v>#REF!</v>
      </c>
      <c r="I2127" s="27" t="e">
        <f ca="1"/>
        <v>#REF!</v>
      </c>
      <c r="J2127" s="28" t="e">
        <f ca="1"/>
        <v>#REF!</v>
      </c>
      <c r="K2127" s="27" t="e">
        <f ca="1"/>
        <v>#REF!</v>
      </c>
      <c r="L2127" s="25" t="e">
        <f ca="1"/>
        <v>#REF!</v>
      </c>
      <c r="M2127" s="25" t="e">
        <f ca="1"/>
        <v>#REF!</v>
      </c>
      <c r="N2127" s="25" t="e">
        <f ca="1"/>
        <v>#REF!</v>
      </c>
      <c r="O2127" s="25" t="e">
        <f ca="1"/>
        <v>#REF!</v>
      </c>
      <c r="P2127" s="25" t="e">
        <f ca="1"/>
        <v>#REF!</v>
      </c>
      <c r="Q2127" s="25" t="e">
        <f ca="1"/>
        <v>#REF!</v>
      </c>
      <c r="R2127" s="25" t="e">
        <f ca="1"/>
        <v>#REF!</v>
      </c>
      <c r="S2127" s="25" t="e">
        <f ca="1"/>
        <v>#REF!</v>
      </c>
      <c r="T2127" s="25" t="e">
        <f ca="1"/>
        <v>#REF!</v>
      </c>
      <c r="U2127" s="25" t="e">
        <f ca="1"/>
        <v>#REF!</v>
      </c>
      <c r="V2127" s="25" t="e">
        <f ca="1"/>
        <v>#REF!</v>
      </c>
      <c r="W2127" s="33" t="e">
        <f ca="1"/>
        <v>#REF!</v>
      </c>
      <c r="X2127" s="33" t="e">
        <f ca="1"/>
        <v>#REF!</v>
      </c>
      <c r="Y2127" s="33" t="e">
        <f ca="1"/>
        <v>#REF!</v>
      </c>
      <c r="Z2127" s="33" t="e">
        <f ca="1"/>
        <v>#REF!</v>
      </c>
      <c r="AA2127" s="33" t="e">
        <f ca="1"/>
        <v>#REF!</v>
      </c>
    </row>
    <row r="2128" spans="1:27" s="70" customFormat="1" ht="11.25" x14ac:dyDescent="0.2">
      <c r="A2128" s="24">
        <v>2122</v>
      </c>
      <c r="B2128" s="27"/>
      <c r="C2128" s="28"/>
      <c r="D2128" s="71"/>
      <c r="E2128" s="28"/>
      <c r="F2128" s="28"/>
      <c r="G2128" s="27"/>
      <c r="H2128" s="28" t="e">
        <f ca="1"/>
        <v>#REF!</v>
      </c>
      <c r="I2128" s="27" t="e">
        <f ca="1"/>
        <v>#REF!</v>
      </c>
      <c r="J2128" s="28" t="e">
        <f ca="1"/>
        <v>#REF!</v>
      </c>
      <c r="K2128" s="27" t="e">
        <f ca="1"/>
        <v>#REF!</v>
      </c>
      <c r="L2128" s="25" t="e">
        <f ca="1"/>
        <v>#REF!</v>
      </c>
      <c r="M2128" s="25" t="e">
        <f ca="1"/>
        <v>#REF!</v>
      </c>
      <c r="N2128" s="25" t="e">
        <f ca="1"/>
        <v>#REF!</v>
      </c>
      <c r="O2128" s="25" t="e">
        <f ca="1"/>
        <v>#REF!</v>
      </c>
      <c r="P2128" s="25" t="e">
        <f ca="1"/>
        <v>#REF!</v>
      </c>
      <c r="Q2128" s="25" t="e">
        <f ca="1"/>
        <v>#REF!</v>
      </c>
      <c r="R2128" s="25" t="e">
        <f ca="1"/>
        <v>#REF!</v>
      </c>
      <c r="S2128" s="25" t="e">
        <f ca="1"/>
        <v>#REF!</v>
      </c>
      <c r="T2128" s="25" t="e">
        <f ca="1"/>
        <v>#REF!</v>
      </c>
      <c r="U2128" s="25" t="e">
        <f ca="1"/>
        <v>#REF!</v>
      </c>
      <c r="V2128" s="25" t="e">
        <f ca="1"/>
        <v>#REF!</v>
      </c>
      <c r="W2128" s="33" t="e">
        <f ca="1"/>
        <v>#REF!</v>
      </c>
      <c r="X2128" s="33" t="e">
        <f ca="1"/>
        <v>#REF!</v>
      </c>
      <c r="Y2128" s="33" t="e">
        <f ca="1"/>
        <v>#REF!</v>
      </c>
      <c r="Z2128" s="33" t="e">
        <f ca="1"/>
        <v>#REF!</v>
      </c>
      <c r="AA2128" s="33" t="e">
        <f ca="1"/>
        <v>#REF!</v>
      </c>
    </row>
    <row r="2129" spans="1:27" s="70" customFormat="1" ht="11.25" x14ac:dyDescent="0.2">
      <c r="A2129" s="24">
        <v>2123</v>
      </c>
      <c r="B2129" s="27"/>
      <c r="C2129" s="28"/>
      <c r="D2129" s="71"/>
      <c r="E2129" s="28"/>
      <c r="F2129" s="28"/>
      <c r="G2129" s="27"/>
      <c r="H2129" s="28" t="e">
        <f ca="1"/>
        <v>#REF!</v>
      </c>
      <c r="I2129" s="27" t="e">
        <f ca="1"/>
        <v>#REF!</v>
      </c>
      <c r="J2129" s="28" t="e">
        <f ca="1"/>
        <v>#REF!</v>
      </c>
      <c r="K2129" s="27" t="e">
        <f ca="1"/>
        <v>#REF!</v>
      </c>
      <c r="L2129" s="25" t="e">
        <f ca="1"/>
        <v>#REF!</v>
      </c>
      <c r="M2129" s="25" t="e">
        <f ca="1"/>
        <v>#REF!</v>
      </c>
      <c r="N2129" s="25" t="e">
        <f ca="1"/>
        <v>#REF!</v>
      </c>
      <c r="O2129" s="25" t="e">
        <f ca="1"/>
        <v>#REF!</v>
      </c>
      <c r="P2129" s="25" t="e">
        <f ca="1"/>
        <v>#REF!</v>
      </c>
      <c r="Q2129" s="25" t="e">
        <f ca="1"/>
        <v>#REF!</v>
      </c>
      <c r="R2129" s="25" t="e">
        <f ca="1"/>
        <v>#REF!</v>
      </c>
      <c r="S2129" s="25" t="e">
        <f ca="1"/>
        <v>#REF!</v>
      </c>
      <c r="T2129" s="25" t="e">
        <f ca="1"/>
        <v>#REF!</v>
      </c>
      <c r="U2129" s="25" t="e">
        <f ca="1"/>
        <v>#REF!</v>
      </c>
      <c r="V2129" s="25" t="e">
        <f ca="1"/>
        <v>#REF!</v>
      </c>
      <c r="W2129" s="33" t="e">
        <f ca="1"/>
        <v>#REF!</v>
      </c>
      <c r="X2129" s="33" t="e">
        <f ca="1"/>
        <v>#REF!</v>
      </c>
      <c r="Y2129" s="33" t="e">
        <f ca="1"/>
        <v>#REF!</v>
      </c>
      <c r="Z2129" s="33" t="e">
        <f ca="1"/>
        <v>#REF!</v>
      </c>
      <c r="AA2129" s="33" t="e">
        <f ca="1"/>
        <v>#REF!</v>
      </c>
    </row>
    <row r="2130" spans="1:27" s="70" customFormat="1" ht="11.25" x14ac:dyDescent="0.2">
      <c r="A2130" s="24">
        <v>2124</v>
      </c>
      <c r="B2130" s="27"/>
      <c r="C2130" s="28"/>
      <c r="D2130" s="71"/>
      <c r="E2130" s="28"/>
      <c r="F2130" s="28"/>
      <c r="G2130" s="27"/>
      <c r="H2130" s="28" t="e">
        <f ca="1"/>
        <v>#REF!</v>
      </c>
      <c r="I2130" s="27" t="e">
        <f ca="1"/>
        <v>#REF!</v>
      </c>
      <c r="J2130" s="28" t="e">
        <f ca="1"/>
        <v>#REF!</v>
      </c>
      <c r="K2130" s="27" t="e">
        <f ca="1"/>
        <v>#REF!</v>
      </c>
      <c r="L2130" s="25" t="e">
        <f ca="1"/>
        <v>#REF!</v>
      </c>
      <c r="M2130" s="25" t="e">
        <f ca="1"/>
        <v>#REF!</v>
      </c>
      <c r="N2130" s="25" t="e">
        <f ca="1"/>
        <v>#REF!</v>
      </c>
      <c r="O2130" s="25" t="e">
        <f ca="1"/>
        <v>#REF!</v>
      </c>
      <c r="P2130" s="25" t="e">
        <f ca="1"/>
        <v>#REF!</v>
      </c>
      <c r="Q2130" s="25" t="e">
        <f ca="1"/>
        <v>#REF!</v>
      </c>
      <c r="R2130" s="25" t="e">
        <f ca="1"/>
        <v>#REF!</v>
      </c>
      <c r="S2130" s="25" t="e">
        <f ca="1"/>
        <v>#REF!</v>
      </c>
      <c r="T2130" s="25" t="e">
        <f ca="1"/>
        <v>#REF!</v>
      </c>
      <c r="U2130" s="25" t="e">
        <f ca="1"/>
        <v>#REF!</v>
      </c>
      <c r="V2130" s="25" t="e">
        <f ca="1"/>
        <v>#REF!</v>
      </c>
      <c r="W2130" s="33" t="e">
        <f ca="1"/>
        <v>#REF!</v>
      </c>
      <c r="X2130" s="33" t="e">
        <f ca="1"/>
        <v>#REF!</v>
      </c>
      <c r="Y2130" s="33" t="e">
        <f ca="1"/>
        <v>#REF!</v>
      </c>
      <c r="Z2130" s="33" t="e">
        <f ca="1"/>
        <v>#REF!</v>
      </c>
      <c r="AA2130" s="33" t="e">
        <f ca="1"/>
        <v>#REF!</v>
      </c>
    </row>
    <row r="2131" spans="1:27" s="70" customFormat="1" ht="11.25" x14ac:dyDescent="0.2">
      <c r="A2131" s="24">
        <v>2125</v>
      </c>
      <c r="B2131" s="27"/>
      <c r="C2131" s="28"/>
      <c r="D2131" s="71"/>
      <c r="E2131" s="28"/>
      <c r="F2131" s="28"/>
      <c r="G2131" s="27"/>
      <c r="H2131" s="28" t="e">
        <f ca="1"/>
        <v>#REF!</v>
      </c>
      <c r="I2131" s="27" t="e">
        <f ca="1"/>
        <v>#REF!</v>
      </c>
      <c r="J2131" s="28" t="e">
        <f ca="1"/>
        <v>#REF!</v>
      </c>
      <c r="K2131" s="27" t="e">
        <f ca="1"/>
        <v>#REF!</v>
      </c>
      <c r="L2131" s="25" t="e">
        <f ca="1"/>
        <v>#REF!</v>
      </c>
      <c r="M2131" s="25" t="e">
        <f ca="1"/>
        <v>#REF!</v>
      </c>
      <c r="N2131" s="25" t="e">
        <f ca="1"/>
        <v>#REF!</v>
      </c>
      <c r="O2131" s="25" t="e">
        <f ca="1"/>
        <v>#REF!</v>
      </c>
      <c r="P2131" s="25" t="e">
        <f ca="1"/>
        <v>#REF!</v>
      </c>
      <c r="Q2131" s="25" t="e">
        <f ca="1"/>
        <v>#REF!</v>
      </c>
      <c r="R2131" s="25" t="e">
        <f ca="1"/>
        <v>#REF!</v>
      </c>
      <c r="S2131" s="25" t="e">
        <f ca="1"/>
        <v>#REF!</v>
      </c>
      <c r="T2131" s="25" t="e">
        <f ca="1"/>
        <v>#REF!</v>
      </c>
      <c r="U2131" s="25" t="e">
        <f ca="1"/>
        <v>#REF!</v>
      </c>
      <c r="V2131" s="25" t="e">
        <f ca="1"/>
        <v>#REF!</v>
      </c>
      <c r="W2131" s="33" t="e">
        <f ca="1"/>
        <v>#REF!</v>
      </c>
      <c r="X2131" s="33" t="e">
        <f ca="1"/>
        <v>#REF!</v>
      </c>
      <c r="Y2131" s="33" t="e">
        <f ca="1"/>
        <v>#REF!</v>
      </c>
      <c r="Z2131" s="33" t="e">
        <f ca="1"/>
        <v>#REF!</v>
      </c>
      <c r="AA2131" s="33" t="e">
        <f ca="1"/>
        <v>#REF!</v>
      </c>
    </row>
    <row r="2132" spans="1:27" s="70" customFormat="1" ht="11.25" x14ac:dyDescent="0.2">
      <c r="A2132" s="24">
        <v>2126</v>
      </c>
      <c r="B2132" s="27"/>
      <c r="C2132" s="28"/>
      <c r="D2132" s="71"/>
      <c r="E2132" s="28"/>
      <c r="F2132" s="28"/>
      <c r="G2132" s="27"/>
      <c r="H2132" s="28" t="e">
        <f ca="1"/>
        <v>#REF!</v>
      </c>
      <c r="I2132" s="27" t="e">
        <f ca="1"/>
        <v>#REF!</v>
      </c>
      <c r="J2132" s="28" t="e">
        <f ca="1"/>
        <v>#REF!</v>
      </c>
      <c r="K2132" s="27" t="e">
        <f ca="1"/>
        <v>#REF!</v>
      </c>
      <c r="L2132" s="25" t="e">
        <f ca="1"/>
        <v>#REF!</v>
      </c>
      <c r="M2132" s="25" t="e">
        <f ca="1"/>
        <v>#REF!</v>
      </c>
      <c r="N2132" s="25" t="e">
        <f ca="1"/>
        <v>#REF!</v>
      </c>
      <c r="O2132" s="25" t="e">
        <f ca="1"/>
        <v>#REF!</v>
      </c>
      <c r="P2132" s="25" t="e">
        <f ca="1"/>
        <v>#REF!</v>
      </c>
      <c r="Q2132" s="25" t="e">
        <f ca="1"/>
        <v>#REF!</v>
      </c>
      <c r="R2132" s="25" t="e">
        <f ca="1"/>
        <v>#REF!</v>
      </c>
      <c r="S2132" s="25" t="e">
        <f ca="1"/>
        <v>#REF!</v>
      </c>
      <c r="T2132" s="25" t="e">
        <f ca="1"/>
        <v>#REF!</v>
      </c>
      <c r="U2132" s="25" t="e">
        <f ca="1"/>
        <v>#REF!</v>
      </c>
      <c r="V2132" s="25" t="e">
        <f ca="1"/>
        <v>#REF!</v>
      </c>
      <c r="W2132" s="33" t="e">
        <f ca="1"/>
        <v>#REF!</v>
      </c>
      <c r="X2132" s="33" t="e">
        <f ca="1"/>
        <v>#REF!</v>
      </c>
      <c r="Y2132" s="33" t="e">
        <f ca="1"/>
        <v>#REF!</v>
      </c>
      <c r="Z2132" s="33" t="e">
        <f ca="1"/>
        <v>#REF!</v>
      </c>
      <c r="AA2132" s="33" t="e">
        <f ca="1"/>
        <v>#REF!</v>
      </c>
    </row>
    <row r="2133" spans="1:27" s="70" customFormat="1" ht="11.25" x14ac:dyDescent="0.2">
      <c r="A2133" s="24">
        <v>2127</v>
      </c>
      <c r="B2133" s="27"/>
      <c r="C2133" s="28"/>
      <c r="D2133" s="71"/>
      <c r="E2133" s="28"/>
      <c r="F2133" s="28"/>
      <c r="G2133" s="27"/>
      <c r="H2133" s="28" t="e">
        <f ca="1"/>
        <v>#REF!</v>
      </c>
      <c r="I2133" s="27" t="e">
        <f ca="1"/>
        <v>#REF!</v>
      </c>
      <c r="J2133" s="28" t="e">
        <f ca="1"/>
        <v>#REF!</v>
      </c>
      <c r="K2133" s="27" t="e">
        <f ca="1"/>
        <v>#REF!</v>
      </c>
      <c r="L2133" s="25" t="e">
        <f ca="1"/>
        <v>#REF!</v>
      </c>
      <c r="M2133" s="25" t="e">
        <f ca="1"/>
        <v>#REF!</v>
      </c>
      <c r="N2133" s="25" t="e">
        <f ca="1"/>
        <v>#REF!</v>
      </c>
      <c r="O2133" s="25" t="e">
        <f ca="1"/>
        <v>#REF!</v>
      </c>
      <c r="P2133" s="25" t="e">
        <f ca="1"/>
        <v>#REF!</v>
      </c>
      <c r="Q2133" s="25" t="e">
        <f ca="1"/>
        <v>#REF!</v>
      </c>
      <c r="R2133" s="25" t="e">
        <f ca="1"/>
        <v>#REF!</v>
      </c>
      <c r="S2133" s="25" t="e">
        <f ca="1"/>
        <v>#REF!</v>
      </c>
      <c r="T2133" s="25" t="e">
        <f ca="1"/>
        <v>#REF!</v>
      </c>
      <c r="U2133" s="25" t="e">
        <f ca="1"/>
        <v>#REF!</v>
      </c>
      <c r="V2133" s="25" t="e">
        <f ca="1"/>
        <v>#REF!</v>
      </c>
      <c r="W2133" s="33" t="e">
        <f ca="1"/>
        <v>#REF!</v>
      </c>
      <c r="X2133" s="33" t="e">
        <f ca="1"/>
        <v>#REF!</v>
      </c>
      <c r="Y2133" s="33" t="e">
        <f ca="1"/>
        <v>#REF!</v>
      </c>
      <c r="Z2133" s="33" t="e">
        <f ca="1"/>
        <v>#REF!</v>
      </c>
      <c r="AA2133" s="33" t="e">
        <f ca="1"/>
        <v>#REF!</v>
      </c>
    </row>
    <row r="2134" spans="1:27" s="70" customFormat="1" ht="11.25" x14ac:dyDescent="0.2">
      <c r="A2134" s="24">
        <v>2128</v>
      </c>
      <c r="B2134" s="27"/>
      <c r="C2134" s="28"/>
      <c r="D2134" s="71"/>
      <c r="E2134" s="28"/>
      <c r="F2134" s="28"/>
      <c r="G2134" s="27"/>
      <c r="H2134" s="28" t="e">
        <f ca="1"/>
        <v>#REF!</v>
      </c>
      <c r="I2134" s="27" t="e">
        <f ca="1"/>
        <v>#REF!</v>
      </c>
      <c r="J2134" s="28" t="e">
        <f ca="1"/>
        <v>#REF!</v>
      </c>
      <c r="K2134" s="27" t="e">
        <f ca="1"/>
        <v>#REF!</v>
      </c>
      <c r="L2134" s="25" t="e">
        <f ca="1"/>
        <v>#REF!</v>
      </c>
      <c r="M2134" s="25" t="e">
        <f ca="1"/>
        <v>#REF!</v>
      </c>
      <c r="N2134" s="25" t="e">
        <f ca="1"/>
        <v>#REF!</v>
      </c>
      <c r="O2134" s="25" t="e">
        <f ca="1"/>
        <v>#REF!</v>
      </c>
      <c r="P2134" s="25" t="e">
        <f ca="1"/>
        <v>#REF!</v>
      </c>
      <c r="Q2134" s="25" t="e">
        <f ca="1"/>
        <v>#REF!</v>
      </c>
      <c r="R2134" s="25" t="e">
        <f ca="1"/>
        <v>#REF!</v>
      </c>
      <c r="S2134" s="25" t="e">
        <f ca="1"/>
        <v>#REF!</v>
      </c>
      <c r="T2134" s="25" t="e">
        <f ca="1"/>
        <v>#REF!</v>
      </c>
      <c r="U2134" s="25" t="e">
        <f ca="1"/>
        <v>#REF!</v>
      </c>
      <c r="V2134" s="25" t="e">
        <f ca="1"/>
        <v>#REF!</v>
      </c>
      <c r="W2134" s="33" t="e">
        <f ca="1"/>
        <v>#REF!</v>
      </c>
      <c r="X2134" s="33" t="e">
        <f ca="1"/>
        <v>#REF!</v>
      </c>
      <c r="Y2134" s="33" t="e">
        <f ca="1"/>
        <v>#REF!</v>
      </c>
      <c r="Z2134" s="33" t="e">
        <f ca="1"/>
        <v>#REF!</v>
      </c>
      <c r="AA2134" s="33" t="e">
        <f ca="1"/>
        <v>#REF!</v>
      </c>
    </row>
    <row r="2135" spans="1:27" s="70" customFormat="1" ht="11.25" x14ac:dyDescent="0.2">
      <c r="A2135" s="24">
        <v>2129</v>
      </c>
      <c r="B2135" s="27"/>
      <c r="C2135" s="28"/>
      <c r="D2135" s="71"/>
      <c r="E2135" s="28"/>
      <c r="F2135" s="28"/>
      <c r="G2135" s="27"/>
      <c r="H2135" s="28" t="e">
        <f ca="1"/>
        <v>#REF!</v>
      </c>
      <c r="I2135" s="27" t="e">
        <f ca="1"/>
        <v>#REF!</v>
      </c>
      <c r="J2135" s="28" t="e">
        <f ca="1"/>
        <v>#REF!</v>
      </c>
      <c r="K2135" s="27" t="e">
        <f ca="1"/>
        <v>#REF!</v>
      </c>
      <c r="L2135" s="25" t="e">
        <f ca="1"/>
        <v>#REF!</v>
      </c>
      <c r="M2135" s="25" t="e">
        <f ca="1"/>
        <v>#REF!</v>
      </c>
      <c r="N2135" s="25" t="e">
        <f ca="1"/>
        <v>#REF!</v>
      </c>
      <c r="O2135" s="25" t="e">
        <f ca="1"/>
        <v>#REF!</v>
      </c>
      <c r="P2135" s="25" t="e">
        <f ca="1"/>
        <v>#REF!</v>
      </c>
      <c r="Q2135" s="25" t="e">
        <f ca="1"/>
        <v>#REF!</v>
      </c>
      <c r="R2135" s="25" t="e">
        <f ca="1"/>
        <v>#REF!</v>
      </c>
      <c r="S2135" s="25" t="e">
        <f ca="1"/>
        <v>#REF!</v>
      </c>
      <c r="T2135" s="25" t="e">
        <f ca="1"/>
        <v>#REF!</v>
      </c>
      <c r="U2135" s="25" t="e">
        <f ca="1"/>
        <v>#REF!</v>
      </c>
      <c r="V2135" s="25" t="e">
        <f ca="1"/>
        <v>#REF!</v>
      </c>
      <c r="W2135" s="33" t="e">
        <f ca="1"/>
        <v>#REF!</v>
      </c>
      <c r="X2135" s="33" t="e">
        <f ca="1"/>
        <v>#REF!</v>
      </c>
      <c r="Y2135" s="33" t="e">
        <f ca="1"/>
        <v>#REF!</v>
      </c>
      <c r="Z2135" s="33" t="e">
        <f ca="1"/>
        <v>#REF!</v>
      </c>
      <c r="AA2135" s="33" t="e">
        <f ca="1"/>
        <v>#REF!</v>
      </c>
    </row>
    <row r="2136" spans="1:27" s="70" customFormat="1" ht="11.25" x14ac:dyDescent="0.2">
      <c r="A2136" s="24">
        <v>2130</v>
      </c>
      <c r="B2136" s="27"/>
      <c r="C2136" s="28"/>
      <c r="D2136" s="71"/>
      <c r="E2136" s="28"/>
      <c r="F2136" s="28"/>
      <c r="G2136" s="27"/>
      <c r="H2136" s="28" t="e">
        <f ca="1"/>
        <v>#REF!</v>
      </c>
      <c r="I2136" s="27" t="e">
        <f ca="1"/>
        <v>#REF!</v>
      </c>
      <c r="J2136" s="28" t="e">
        <f ca="1"/>
        <v>#REF!</v>
      </c>
      <c r="K2136" s="27" t="e">
        <f ca="1"/>
        <v>#REF!</v>
      </c>
      <c r="L2136" s="25" t="e">
        <f ca="1"/>
        <v>#REF!</v>
      </c>
      <c r="M2136" s="25" t="e">
        <f ca="1"/>
        <v>#REF!</v>
      </c>
      <c r="N2136" s="25" t="e">
        <f ca="1"/>
        <v>#REF!</v>
      </c>
      <c r="O2136" s="25" t="e">
        <f ca="1"/>
        <v>#REF!</v>
      </c>
      <c r="P2136" s="25" t="e">
        <f ca="1"/>
        <v>#REF!</v>
      </c>
      <c r="Q2136" s="25" t="e">
        <f ca="1"/>
        <v>#REF!</v>
      </c>
      <c r="R2136" s="25" t="e">
        <f ca="1"/>
        <v>#REF!</v>
      </c>
      <c r="S2136" s="25" t="e">
        <f ca="1"/>
        <v>#REF!</v>
      </c>
      <c r="T2136" s="25" t="e">
        <f ca="1"/>
        <v>#REF!</v>
      </c>
      <c r="U2136" s="25" t="e">
        <f ca="1"/>
        <v>#REF!</v>
      </c>
      <c r="V2136" s="25" t="e">
        <f ca="1"/>
        <v>#REF!</v>
      </c>
      <c r="W2136" s="33" t="e">
        <f ca="1"/>
        <v>#REF!</v>
      </c>
      <c r="X2136" s="33" t="e">
        <f ca="1"/>
        <v>#REF!</v>
      </c>
      <c r="Y2136" s="33" t="e">
        <f ca="1"/>
        <v>#REF!</v>
      </c>
      <c r="Z2136" s="33" t="e">
        <f ca="1"/>
        <v>#REF!</v>
      </c>
      <c r="AA2136" s="33" t="e">
        <f ca="1"/>
        <v>#REF!</v>
      </c>
    </row>
    <row r="2137" spans="1:27" s="70" customFormat="1" ht="11.25" x14ac:dyDescent="0.2">
      <c r="A2137" s="24">
        <v>2131</v>
      </c>
      <c r="B2137" s="27"/>
      <c r="C2137" s="28"/>
      <c r="D2137" s="71"/>
      <c r="E2137" s="28"/>
      <c r="F2137" s="28"/>
      <c r="G2137" s="27"/>
      <c r="H2137" s="28" t="e">
        <f ca="1"/>
        <v>#REF!</v>
      </c>
      <c r="I2137" s="27" t="e">
        <f ca="1"/>
        <v>#REF!</v>
      </c>
      <c r="J2137" s="28" t="e">
        <f ca="1"/>
        <v>#REF!</v>
      </c>
      <c r="K2137" s="27" t="e">
        <f ca="1"/>
        <v>#REF!</v>
      </c>
      <c r="L2137" s="25" t="e">
        <f ca="1"/>
        <v>#REF!</v>
      </c>
      <c r="M2137" s="25" t="e">
        <f ca="1"/>
        <v>#REF!</v>
      </c>
      <c r="N2137" s="25" t="e">
        <f ca="1"/>
        <v>#REF!</v>
      </c>
      <c r="O2137" s="25" t="e">
        <f ca="1"/>
        <v>#REF!</v>
      </c>
      <c r="P2137" s="25" t="e">
        <f ca="1"/>
        <v>#REF!</v>
      </c>
      <c r="Q2137" s="25" t="e">
        <f ca="1"/>
        <v>#REF!</v>
      </c>
      <c r="R2137" s="25" t="e">
        <f ca="1"/>
        <v>#REF!</v>
      </c>
      <c r="S2137" s="25" t="e">
        <f ca="1"/>
        <v>#REF!</v>
      </c>
      <c r="T2137" s="25" t="e">
        <f ca="1"/>
        <v>#REF!</v>
      </c>
      <c r="U2137" s="25" t="e">
        <f ca="1"/>
        <v>#REF!</v>
      </c>
      <c r="V2137" s="25" t="e">
        <f ca="1"/>
        <v>#REF!</v>
      </c>
      <c r="W2137" s="33" t="e">
        <f ca="1"/>
        <v>#REF!</v>
      </c>
      <c r="X2137" s="33" t="e">
        <f ca="1"/>
        <v>#REF!</v>
      </c>
      <c r="Y2137" s="33" t="e">
        <f ca="1"/>
        <v>#REF!</v>
      </c>
      <c r="Z2137" s="33" t="e">
        <f ca="1"/>
        <v>#REF!</v>
      </c>
      <c r="AA2137" s="33" t="e">
        <f ca="1"/>
        <v>#REF!</v>
      </c>
    </row>
    <row r="2138" spans="1:27" s="70" customFormat="1" ht="11.25" x14ac:dyDescent="0.2">
      <c r="A2138" s="24">
        <v>2132</v>
      </c>
      <c r="B2138" s="24"/>
      <c r="C2138" s="25"/>
      <c r="D2138" s="26"/>
      <c r="E2138" s="25"/>
      <c r="F2138" s="25"/>
      <c r="G2138" s="24"/>
      <c r="H2138" s="25" t="e">
        <f ca="1"/>
        <v>#REF!</v>
      </c>
      <c r="I2138" s="27" t="e">
        <f ca="1"/>
        <v>#REF!</v>
      </c>
      <c r="J2138" s="28" t="e">
        <f ca="1"/>
        <v>#REF!</v>
      </c>
      <c r="K2138" s="27" t="e">
        <f ca="1"/>
        <v>#REF!</v>
      </c>
      <c r="L2138" s="25" t="e">
        <f ca="1"/>
        <v>#REF!</v>
      </c>
      <c r="M2138" s="25" t="e">
        <f ca="1"/>
        <v>#REF!</v>
      </c>
      <c r="N2138" s="25" t="e">
        <f ca="1"/>
        <v>#REF!</v>
      </c>
      <c r="O2138" s="25" t="e">
        <f ca="1"/>
        <v>#REF!</v>
      </c>
      <c r="P2138" s="25" t="e">
        <f ca="1"/>
        <v>#REF!</v>
      </c>
      <c r="Q2138" s="25" t="e">
        <f ca="1"/>
        <v>#REF!</v>
      </c>
      <c r="R2138" s="25" t="e">
        <f ca="1"/>
        <v>#REF!</v>
      </c>
      <c r="S2138" s="25" t="e">
        <f ca="1"/>
        <v>#REF!</v>
      </c>
      <c r="T2138" s="25" t="e">
        <f ca="1"/>
        <v>#REF!</v>
      </c>
      <c r="U2138" s="25" t="e">
        <f ca="1"/>
        <v>#REF!</v>
      </c>
      <c r="V2138" s="25" t="e">
        <f ca="1"/>
        <v>#REF!</v>
      </c>
      <c r="W2138" s="33" t="e">
        <f ca="1"/>
        <v>#REF!</v>
      </c>
      <c r="X2138" s="33" t="e">
        <f ca="1"/>
        <v>#REF!</v>
      </c>
      <c r="Y2138" s="33" t="e">
        <f ca="1"/>
        <v>#REF!</v>
      </c>
      <c r="Z2138" s="33" t="e">
        <f ca="1"/>
        <v>#REF!</v>
      </c>
      <c r="AA2138" s="33" t="e">
        <f ca="1"/>
        <v>#REF!</v>
      </c>
    </row>
    <row r="2139" spans="1:27" s="70" customFormat="1" ht="11.25" x14ac:dyDescent="0.2">
      <c r="A2139" s="24">
        <v>2133</v>
      </c>
      <c r="B2139" s="24"/>
      <c r="C2139" s="25"/>
      <c r="D2139" s="26"/>
      <c r="E2139" s="25"/>
      <c r="F2139" s="25"/>
      <c r="G2139" s="24"/>
      <c r="H2139" s="25" t="e">
        <f ca="1"/>
        <v>#REF!</v>
      </c>
      <c r="I2139" s="27" t="e">
        <f ca="1"/>
        <v>#REF!</v>
      </c>
      <c r="J2139" s="28" t="e">
        <f ca="1"/>
        <v>#REF!</v>
      </c>
      <c r="K2139" s="27" t="e">
        <f ca="1"/>
        <v>#REF!</v>
      </c>
      <c r="L2139" s="25" t="e">
        <f ca="1"/>
        <v>#REF!</v>
      </c>
      <c r="M2139" s="25" t="e">
        <f ca="1"/>
        <v>#REF!</v>
      </c>
      <c r="N2139" s="25" t="e">
        <f ca="1"/>
        <v>#REF!</v>
      </c>
      <c r="O2139" s="25" t="e">
        <f ca="1"/>
        <v>#REF!</v>
      </c>
      <c r="P2139" s="25" t="e">
        <f ca="1"/>
        <v>#REF!</v>
      </c>
      <c r="Q2139" s="25" t="e">
        <f ca="1"/>
        <v>#REF!</v>
      </c>
      <c r="R2139" s="25" t="e">
        <f ca="1"/>
        <v>#REF!</v>
      </c>
      <c r="S2139" s="25" t="e">
        <f ca="1"/>
        <v>#REF!</v>
      </c>
      <c r="T2139" s="25" t="e">
        <f ca="1"/>
        <v>#REF!</v>
      </c>
      <c r="U2139" s="25" t="e">
        <f ca="1"/>
        <v>#REF!</v>
      </c>
      <c r="V2139" s="25" t="e">
        <f ca="1"/>
        <v>#REF!</v>
      </c>
      <c r="W2139" s="33" t="e">
        <f ca="1"/>
        <v>#REF!</v>
      </c>
      <c r="X2139" s="33" t="e">
        <f ca="1"/>
        <v>#REF!</v>
      </c>
      <c r="Y2139" s="33" t="e">
        <f ca="1"/>
        <v>#REF!</v>
      </c>
      <c r="Z2139" s="33" t="e">
        <f ca="1"/>
        <v>#REF!</v>
      </c>
      <c r="AA2139" s="33" t="e">
        <f ca="1"/>
        <v>#REF!</v>
      </c>
    </row>
    <row r="2140" spans="1:27" s="70" customFormat="1" ht="11.25" x14ac:dyDescent="0.2">
      <c r="A2140" s="24">
        <v>2134</v>
      </c>
      <c r="B2140" s="24"/>
      <c r="C2140" s="25"/>
      <c r="D2140" s="26"/>
      <c r="E2140" s="25"/>
      <c r="F2140" s="25"/>
      <c r="G2140" s="24"/>
      <c r="H2140" s="25" t="e">
        <f ca="1"/>
        <v>#REF!</v>
      </c>
      <c r="I2140" s="27" t="e">
        <f ca="1"/>
        <v>#REF!</v>
      </c>
      <c r="J2140" s="28" t="e">
        <f ca="1"/>
        <v>#REF!</v>
      </c>
      <c r="K2140" s="27" t="e">
        <f ca="1"/>
        <v>#REF!</v>
      </c>
      <c r="L2140" s="25" t="e">
        <f ca="1"/>
        <v>#REF!</v>
      </c>
      <c r="M2140" s="25" t="e">
        <f ca="1"/>
        <v>#REF!</v>
      </c>
      <c r="N2140" s="25" t="e">
        <f ca="1"/>
        <v>#REF!</v>
      </c>
      <c r="O2140" s="25" t="e">
        <f ca="1"/>
        <v>#REF!</v>
      </c>
      <c r="P2140" s="25" t="e">
        <f ca="1"/>
        <v>#REF!</v>
      </c>
      <c r="Q2140" s="25" t="e">
        <f ca="1"/>
        <v>#REF!</v>
      </c>
      <c r="R2140" s="25" t="e">
        <f ca="1"/>
        <v>#REF!</v>
      </c>
      <c r="S2140" s="25" t="e">
        <f ca="1"/>
        <v>#REF!</v>
      </c>
      <c r="T2140" s="25" t="e">
        <f ca="1"/>
        <v>#REF!</v>
      </c>
      <c r="U2140" s="25" t="e">
        <f ca="1"/>
        <v>#REF!</v>
      </c>
      <c r="V2140" s="25" t="e">
        <f ca="1"/>
        <v>#REF!</v>
      </c>
      <c r="W2140" s="33" t="e">
        <f ca="1"/>
        <v>#REF!</v>
      </c>
      <c r="X2140" s="33" t="e">
        <f ca="1"/>
        <v>#REF!</v>
      </c>
      <c r="Y2140" s="33" t="e">
        <f ca="1"/>
        <v>#REF!</v>
      </c>
      <c r="Z2140" s="33" t="e">
        <f ca="1"/>
        <v>#REF!</v>
      </c>
      <c r="AA2140" s="33" t="e">
        <f ca="1"/>
        <v>#REF!</v>
      </c>
    </row>
    <row r="2141" spans="1:27" s="70" customFormat="1" ht="11.25" x14ac:dyDescent="0.2">
      <c r="A2141" s="24">
        <v>2135</v>
      </c>
      <c r="B2141" s="24"/>
      <c r="C2141" s="25"/>
      <c r="D2141" s="26"/>
      <c r="E2141" s="25"/>
      <c r="F2141" s="25"/>
      <c r="G2141" s="24"/>
      <c r="H2141" s="25" t="e">
        <f ca="1"/>
        <v>#REF!</v>
      </c>
      <c r="I2141" s="27" t="e">
        <f ca="1"/>
        <v>#REF!</v>
      </c>
      <c r="J2141" s="28" t="e">
        <f ca="1"/>
        <v>#REF!</v>
      </c>
      <c r="K2141" s="27" t="e">
        <f ca="1"/>
        <v>#REF!</v>
      </c>
      <c r="L2141" s="25" t="e">
        <f ca="1"/>
        <v>#REF!</v>
      </c>
      <c r="M2141" s="25" t="e">
        <f ca="1"/>
        <v>#REF!</v>
      </c>
      <c r="N2141" s="25" t="e">
        <f ca="1"/>
        <v>#REF!</v>
      </c>
      <c r="O2141" s="25" t="e">
        <f ca="1"/>
        <v>#REF!</v>
      </c>
      <c r="P2141" s="25" t="e">
        <f ca="1"/>
        <v>#REF!</v>
      </c>
      <c r="Q2141" s="25" t="e">
        <f ca="1"/>
        <v>#REF!</v>
      </c>
      <c r="R2141" s="25" t="e">
        <f ca="1"/>
        <v>#REF!</v>
      </c>
      <c r="S2141" s="25" t="e">
        <f ca="1"/>
        <v>#REF!</v>
      </c>
      <c r="T2141" s="25" t="e">
        <f ca="1"/>
        <v>#REF!</v>
      </c>
      <c r="U2141" s="25" t="e">
        <f ca="1"/>
        <v>#REF!</v>
      </c>
      <c r="V2141" s="25" t="e">
        <f ca="1"/>
        <v>#REF!</v>
      </c>
      <c r="W2141" s="33" t="e">
        <f ca="1"/>
        <v>#REF!</v>
      </c>
      <c r="X2141" s="33" t="e">
        <f ca="1"/>
        <v>#REF!</v>
      </c>
      <c r="Y2141" s="33" t="e">
        <f ca="1"/>
        <v>#REF!</v>
      </c>
      <c r="Z2141" s="33" t="e">
        <f ca="1"/>
        <v>#REF!</v>
      </c>
      <c r="AA2141" s="33" t="e">
        <f ca="1"/>
        <v>#REF!</v>
      </c>
    </row>
    <row r="2142" spans="1:27" s="70" customFormat="1" ht="11.25" x14ac:dyDescent="0.2">
      <c r="A2142" s="24">
        <v>2136</v>
      </c>
      <c r="B2142" s="24"/>
      <c r="C2142" s="25"/>
      <c r="D2142" s="26"/>
      <c r="E2142" s="25"/>
      <c r="F2142" s="25"/>
      <c r="G2142" s="24"/>
      <c r="H2142" s="25" t="e">
        <f ca="1"/>
        <v>#REF!</v>
      </c>
      <c r="I2142" s="27" t="e">
        <f ca="1"/>
        <v>#REF!</v>
      </c>
      <c r="J2142" s="28" t="e">
        <f ca="1"/>
        <v>#REF!</v>
      </c>
      <c r="K2142" s="27" t="e">
        <f ca="1"/>
        <v>#REF!</v>
      </c>
      <c r="L2142" s="25" t="e">
        <f ca="1"/>
        <v>#REF!</v>
      </c>
      <c r="M2142" s="25" t="e">
        <f ca="1"/>
        <v>#REF!</v>
      </c>
      <c r="N2142" s="25" t="e">
        <f ca="1"/>
        <v>#REF!</v>
      </c>
      <c r="O2142" s="25" t="e">
        <f ca="1"/>
        <v>#REF!</v>
      </c>
      <c r="P2142" s="25" t="e">
        <f ca="1"/>
        <v>#REF!</v>
      </c>
      <c r="Q2142" s="25" t="e">
        <f ca="1"/>
        <v>#REF!</v>
      </c>
      <c r="R2142" s="25" t="e">
        <f ca="1"/>
        <v>#REF!</v>
      </c>
      <c r="S2142" s="25" t="e">
        <f ca="1"/>
        <v>#REF!</v>
      </c>
      <c r="T2142" s="25" t="e">
        <f ca="1"/>
        <v>#REF!</v>
      </c>
      <c r="U2142" s="25" t="e">
        <f ca="1"/>
        <v>#REF!</v>
      </c>
      <c r="V2142" s="25" t="e">
        <f ca="1"/>
        <v>#REF!</v>
      </c>
      <c r="W2142" s="33" t="e">
        <f ca="1"/>
        <v>#REF!</v>
      </c>
      <c r="X2142" s="33" t="e">
        <f ca="1"/>
        <v>#REF!</v>
      </c>
      <c r="Y2142" s="33" t="e">
        <f ca="1"/>
        <v>#REF!</v>
      </c>
      <c r="Z2142" s="33" t="e">
        <f ca="1"/>
        <v>#REF!</v>
      </c>
      <c r="AA2142" s="33" t="e">
        <f ca="1"/>
        <v>#REF!</v>
      </c>
    </row>
    <row r="2143" spans="1:27" s="70" customFormat="1" ht="11.25" x14ac:dyDescent="0.2">
      <c r="A2143" s="24">
        <v>2137</v>
      </c>
      <c r="B2143" s="24"/>
      <c r="C2143" s="25"/>
      <c r="D2143" s="26"/>
      <c r="E2143" s="25"/>
      <c r="F2143" s="25"/>
      <c r="G2143" s="24"/>
      <c r="H2143" s="25" t="e">
        <f ca="1"/>
        <v>#REF!</v>
      </c>
      <c r="I2143" s="27" t="e">
        <f ca="1"/>
        <v>#REF!</v>
      </c>
      <c r="J2143" s="28" t="e">
        <f ca="1"/>
        <v>#REF!</v>
      </c>
      <c r="K2143" s="27" t="e">
        <f ca="1"/>
        <v>#REF!</v>
      </c>
      <c r="L2143" s="25" t="e">
        <f ca="1"/>
        <v>#REF!</v>
      </c>
      <c r="M2143" s="25" t="e">
        <f ca="1"/>
        <v>#REF!</v>
      </c>
      <c r="N2143" s="25" t="e">
        <f ca="1"/>
        <v>#REF!</v>
      </c>
      <c r="O2143" s="25" t="e">
        <f ca="1"/>
        <v>#REF!</v>
      </c>
      <c r="P2143" s="25" t="e">
        <f ca="1"/>
        <v>#REF!</v>
      </c>
      <c r="Q2143" s="25" t="e">
        <f ca="1"/>
        <v>#REF!</v>
      </c>
      <c r="R2143" s="25" t="e">
        <f ca="1"/>
        <v>#REF!</v>
      </c>
      <c r="S2143" s="25" t="e">
        <f ca="1"/>
        <v>#REF!</v>
      </c>
      <c r="T2143" s="25" t="e">
        <f ca="1"/>
        <v>#REF!</v>
      </c>
      <c r="U2143" s="25" t="e">
        <f ca="1"/>
        <v>#REF!</v>
      </c>
      <c r="V2143" s="25" t="e">
        <f ca="1"/>
        <v>#REF!</v>
      </c>
      <c r="W2143" s="33" t="e">
        <f ca="1"/>
        <v>#REF!</v>
      </c>
      <c r="X2143" s="33" t="e">
        <f ca="1"/>
        <v>#REF!</v>
      </c>
      <c r="Y2143" s="33" t="e">
        <f ca="1"/>
        <v>#REF!</v>
      </c>
      <c r="Z2143" s="33" t="e">
        <f ca="1"/>
        <v>#REF!</v>
      </c>
      <c r="AA2143" s="33" t="e">
        <f ca="1"/>
        <v>#REF!</v>
      </c>
    </row>
    <row r="2144" spans="1:27" s="70" customFormat="1" ht="11.25" x14ac:dyDescent="0.2">
      <c r="A2144" s="24">
        <v>2138</v>
      </c>
      <c r="B2144" s="24"/>
      <c r="C2144" s="25"/>
      <c r="D2144" s="26"/>
      <c r="E2144" s="25"/>
      <c r="F2144" s="25"/>
      <c r="G2144" s="24"/>
      <c r="H2144" s="25" t="e">
        <f ca="1"/>
        <v>#REF!</v>
      </c>
      <c r="I2144" s="27" t="e">
        <f ca="1"/>
        <v>#REF!</v>
      </c>
      <c r="J2144" s="28" t="e">
        <f ca="1"/>
        <v>#REF!</v>
      </c>
      <c r="K2144" s="27" t="e">
        <f ca="1"/>
        <v>#REF!</v>
      </c>
      <c r="L2144" s="25" t="e">
        <f ca="1"/>
        <v>#REF!</v>
      </c>
      <c r="M2144" s="25" t="e">
        <f ca="1"/>
        <v>#REF!</v>
      </c>
      <c r="N2144" s="25" t="e">
        <f ca="1"/>
        <v>#REF!</v>
      </c>
      <c r="O2144" s="25" t="e">
        <f ca="1"/>
        <v>#REF!</v>
      </c>
      <c r="P2144" s="25" t="e">
        <f ca="1"/>
        <v>#REF!</v>
      </c>
      <c r="Q2144" s="25" t="e">
        <f ca="1"/>
        <v>#REF!</v>
      </c>
      <c r="R2144" s="25" t="e">
        <f ca="1"/>
        <v>#REF!</v>
      </c>
      <c r="S2144" s="25" t="e">
        <f ca="1"/>
        <v>#REF!</v>
      </c>
      <c r="T2144" s="25" t="e">
        <f ca="1"/>
        <v>#REF!</v>
      </c>
      <c r="U2144" s="25" t="e">
        <f ca="1"/>
        <v>#REF!</v>
      </c>
      <c r="V2144" s="25" t="e">
        <f ca="1"/>
        <v>#REF!</v>
      </c>
      <c r="W2144" s="33" t="e">
        <f ca="1"/>
        <v>#REF!</v>
      </c>
      <c r="X2144" s="33" t="e">
        <f ca="1"/>
        <v>#REF!</v>
      </c>
      <c r="Y2144" s="33" t="e">
        <f ca="1"/>
        <v>#REF!</v>
      </c>
      <c r="Z2144" s="33" t="e">
        <f ca="1"/>
        <v>#REF!</v>
      </c>
      <c r="AA2144" s="33" t="e">
        <f ca="1"/>
        <v>#REF!</v>
      </c>
    </row>
    <row r="2145" spans="1:27" s="70" customFormat="1" ht="11.25" x14ac:dyDescent="0.2">
      <c r="A2145" s="24">
        <v>2139</v>
      </c>
      <c r="B2145" s="24"/>
      <c r="C2145" s="25"/>
      <c r="D2145" s="26"/>
      <c r="E2145" s="25"/>
      <c r="F2145" s="25"/>
      <c r="G2145" s="24"/>
      <c r="H2145" s="25" t="e">
        <f ca="1"/>
        <v>#REF!</v>
      </c>
      <c r="I2145" s="27" t="e">
        <f ca="1"/>
        <v>#REF!</v>
      </c>
      <c r="J2145" s="28" t="e">
        <f ca="1"/>
        <v>#REF!</v>
      </c>
      <c r="K2145" s="27" t="e">
        <f ca="1"/>
        <v>#REF!</v>
      </c>
      <c r="L2145" s="25" t="e">
        <f ca="1"/>
        <v>#REF!</v>
      </c>
      <c r="M2145" s="25" t="e">
        <f ca="1"/>
        <v>#REF!</v>
      </c>
      <c r="N2145" s="25" t="e">
        <f ca="1"/>
        <v>#REF!</v>
      </c>
      <c r="O2145" s="25" t="e">
        <f ca="1"/>
        <v>#REF!</v>
      </c>
      <c r="P2145" s="25" t="e">
        <f ca="1"/>
        <v>#REF!</v>
      </c>
      <c r="Q2145" s="25" t="e">
        <f ca="1"/>
        <v>#REF!</v>
      </c>
      <c r="R2145" s="25" t="e">
        <f ca="1"/>
        <v>#REF!</v>
      </c>
      <c r="S2145" s="25" t="e">
        <f ca="1"/>
        <v>#REF!</v>
      </c>
      <c r="T2145" s="25" t="e">
        <f ca="1"/>
        <v>#REF!</v>
      </c>
      <c r="U2145" s="25" t="e">
        <f ca="1"/>
        <v>#REF!</v>
      </c>
      <c r="V2145" s="25" t="e">
        <f ca="1"/>
        <v>#REF!</v>
      </c>
      <c r="W2145" s="33" t="e">
        <f ca="1"/>
        <v>#REF!</v>
      </c>
      <c r="X2145" s="33" t="e">
        <f ca="1"/>
        <v>#REF!</v>
      </c>
      <c r="Y2145" s="33" t="e">
        <f ca="1"/>
        <v>#REF!</v>
      </c>
      <c r="Z2145" s="33" t="e">
        <f ca="1"/>
        <v>#REF!</v>
      </c>
      <c r="AA2145" s="33" t="e">
        <f ca="1"/>
        <v>#REF!</v>
      </c>
    </row>
    <row r="2146" spans="1:27" s="70" customFormat="1" ht="11.25" x14ac:dyDescent="0.2">
      <c r="A2146" s="24">
        <v>2140</v>
      </c>
      <c r="B2146" s="24"/>
      <c r="C2146" s="25"/>
      <c r="D2146" s="26"/>
      <c r="E2146" s="25"/>
      <c r="F2146" s="25"/>
      <c r="G2146" s="24"/>
      <c r="H2146" s="25" t="e">
        <f ca="1"/>
        <v>#REF!</v>
      </c>
      <c r="I2146" s="27" t="e">
        <f ca="1"/>
        <v>#REF!</v>
      </c>
      <c r="J2146" s="28" t="e">
        <f ca="1"/>
        <v>#REF!</v>
      </c>
      <c r="K2146" s="27" t="e">
        <f ca="1"/>
        <v>#REF!</v>
      </c>
      <c r="L2146" s="25" t="e">
        <f ca="1"/>
        <v>#REF!</v>
      </c>
      <c r="M2146" s="25" t="e">
        <f ca="1"/>
        <v>#REF!</v>
      </c>
      <c r="N2146" s="25" t="e">
        <f ca="1"/>
        <v>#REF!</v>
      </c>
      <c r="O2146" s="25" t="e">
        <f ca="1"/>
        <v>#REF!</v>
      </c>
      <c r="P2146" s="25" t="e">
        <f ca="1"/>
        <v>#REF!</v>
      </c>
      <c r="Q2146" s="25" t="e">
        <f ca="1"/>
        <v>#REF!</v>
      </c>
      <c r="R2146" s="25" t="e">
        <f ca="1"/>
        <v>#REF!</v>
      </c>
      <c r="S2146" s="25" t="e">
        <f ca="1"/>
        <v>#REF!</v>
      </c>
      <c r="T2146" s="25" t="e">
        <f ca="1"/>
        <v>#REF!</v>
      </c>
      <c r="U2146" s="25" t="e">
        <f ca="1"/>
        <v>#REF!</v>
      </c>
      <c r="V2146" s="25" t="e">
        <f ca="1"/>
        <v>#REF!</v>
      </c>
      <c r="W2146" s="33" t="e">
        <f ca="1"/>
        <v>#REF!</v>
      </c>
      <c r="X2146" s="33" t="e">
        <f ca="1"/>
        <v>#REF!</v>
      </c>
      <c r="Y2146" s="33" t="e">
        <f ca="1"/>
        <v>#REF!</v>
      </c>
      <c r="Z2146" s="33" t="e">
        <f ca="1"/>
        <v>#REF!</v>
      </c>
      <c r="AA2146" s="33" t="e">
        <f ca="1"/>
        <v>#REF!</v>
      </c>
    </row>
    <row r="2147" spans="1:27" s="70" customFormat="1" ht="11.25" x14ac:dyDescent="0.2">
      <c r="A2147" s="24">
        <v>2141</v>
      </c>
      <c r="B2147" s="24"/>
      <c r="C2147" s="25"/>
      <c r="D2147" s="26"/>
      <c r="E2147" s="25"/>
      <c r="F2147" s="25"/>
      <c r="G2147" s="24"/>
      <c r="H2147" s="25" t="e">
        <f ca="1"/>
        <v>#REF!</v>
      </c>
      <c r="I2147" s="27" t="e">
        <f ca="1"/>
        <v>#REF!</v>
      </c>
      <c r="J2147" s="28" t="e">
        <f ca="1"/>
        <v>#REF!</v>
      </c>
      <c r="K2147" s="27" t="e">
        <f ca="1"/>
        <v>#REF!</v>
      </c>
      <c r="L2147" s="25" t="e">
        <f ca="1"/>
        <v>#REF!</v>
      </c>
      <c r="M2147" s="25" t="e">
        <f ca="1"/>
        <v>#REF!</v>
      </c>
      <c r="N2147" s="25" t="e">
        <f ca="1"/>
        <v>#REF!</v>
      </c>
      <c r="O2147" s="25" t="e">
        <f ca="1"/>
        <v>#REF!</v>
      </c>
      <c r="P2147" s="25" t="e">
        <f ca="1"/>
        <v>#REF!</v>
      </c>
      <c r="Q2147" s="25" t="e">
        <f ca="1"/>
        <v>#REF!</v>
      </c>
      <c r="R2147" s="25" t="e">
        <f ca="1"/>
        <v>#REF!</v>
      </c>
      <c r="S2147" s="25" t="e">
        <f ca="1"/>
        <v>#REF!</v>
      </c>
      <c r="T2147" s="25" t="e">
        <f ca="1"/>
        <v>#REF!</v>
      </c>
      <c r="U2147" s="25" t="e">
        <f ca="1"/>
        <v>#REF!</v>
      </c>
      <c r="V2147" s="25" t="e">
        <f ca="1"/>
        <v>#REF!</v>
      </c>
      <c r="W2147" s="33" t="e">
        <f ca="1"/>
        <v>#REF!</v>
      </c>
      <c r="X2147" s="33" t="e">
        <f ca="1"/>
        <v>#REF!</v>
      </c>
      <c r="Y2147" s="33" t="e">
        <f ca="1"/>
        <v>#REF!</v>
      </c>
      <c r="Z2147" s="33" t="e">
        <f ca="1"/>
        <v>#REF!</v>
      </c>
      <c r="AA2147" s="33" t="e">
        <f ca="1"/>
        <v>#REF!</v>
      </c>
    </row>
    <row r="2148" spans="1:27" s="70" customFormat="1" ht="11.25" x14ac:dyDescent="0.2">
      <c r="A2148" s="24">
        <v>2142</v>
      </c>
      <c r="B2148" s="24"/>
      <c r="C2148" s="25"/>
      <c r="D2148" s="26"/>
      <c r="E2148" s="25"/>
      <c r="F2148" s="25"/>
      <c r="G2148" s="24"/>
      <c r="H2148" s="25" t="e">
        <f ca="1"/>
        <v>#REF!</v>
      </c>
      <c r="I2148" s="27" t="e">
        <f ca="1"/>
        <v>#REF!</v>
      </c>
      <c r="J2148" s="28" t="e">
        <f ca="1"/>
        <v>#REF!</v>
      </c>
      <c r="K2148" s="27" t="e">
        <f ca="1"/>
        <v>#REF!</v>
      </c>
      <c r="L2148" s="25" t="e">
        <f ca="1"/>
        <v>#REF!</v>
      </c>
      <c r="M2148" s="25" t="e">
        <f ca="1"/>
        <v>#REF!</v>
      </c>
      <c r="N2148" s="25" t="e">
        <f ca="1"/>
        <v>#REF!</v>
      </c>
      <c r="O2148" s="25" t="e">
        <f ca="1"/>
        <v>#REF!</v>
      </c>
      <c r="P2148" s="25" t="e">
        <f ca="1"/>
        <v>#REF!</v>
      </c>
      <c r="Q2148" s="25" t="e">
        <f ca="1"/>
        <v>#REF!</v>
      </c>
      <c r="R2148" s="25" t="e">
        <f ca="1"/>
        <v>#REF!</v>
      </c>
      <c r="S2148" s="25" t="e">
        <f ca="1"/>
        <v>#REF!</v>
      </c>
      <c r="T2148" s="25" t="e">
        <f ca="1"/>
        <v>#REF!</v>
      </c>
      <c r="U2148" s="25" t="e">
        <f ca="1"/>
        <v>#REF!</v>
      </c>
      <c r="V2148" s="25" t="e">
        <f ca="1"/>
        <v>#REF!</v>
      </c>
      <c r="W2148" s="33" t="e">
        <f ca="1"/>
        <v>#REF!</v>
      </c>
      <c r="X2148" s="33" t="e">
        <f ca="1"/>
        <v>#REF!</v>
      </c>
      <c r="Y2148" s="33" t="e">
        <f ca="1"/>
        <v>#REF!</v>
      </c>
      <c r="Z2148" s="33" t="e">
        <f ca="1"/>
        <v>#REF!</v>
      </c>
      <c r="AA2148" s="33" t="e">
        <f ca="1"/>
        <v>#REF!</v>
      </c>
    </row>
    <row r="2149" spans="1:27" s="70" customFormat="1" ht="11.25" x14ac:dyDescent="0.2">
      <c r="A2149" s="24">
        <v>2143</v>
      </c>
      <c r="B2149" s="24"/>
      <c r="C2149" s="25"/>
      <c r="D2149" s="26"/>
      <c r="E2149" s="25"/>
      <c r="F2149" s="25"/>
      <c r="G2149" s="24"/>
      <c r="H2149" s="25" t="e">
        <f ca="1"/>
        <v>#REF!</v>
      </c>
      <c r="I2149" s="27" t="e">
        <f ca="1"/>
        <v>#REF!</v>
      </c>
      <c r="J2149" s="28" t="e">
        <f ca="1"/>
        <v>#REF!</v>
      </c>
      <c r="K2149" s="27" t="e">
        <f ca="1"/>
        <v>#REF!</v>
      </c>
      <c r="L2149" s="25" t="e">
        <f ca="1"/>
        <v>#REF!</v>
      </c>
      <c r="M2149" s="25" t="e">
        <f ca="1"/>
        <v>#REF!</v>
      </c>
      <c r="N2149" s="25" t="e">
        <f ca="1"/>
        <v>#REF!</v>
      </c>
      <c r="O2149" s="25" t="e">
        <f ca="1"/>
        <v>#REF!</v>
      </c>
      <c r="P2149" s="25" t="e">
        <f ca="1"/>
        <v>#REF!</v>
      </c>
      <c r="Q2149" s="25" t="e">
        <f ca="1"/>
        <v>#REF!</v>
      </c>
      <c r="R2149" s="25" t="e">
        <f ca="1"/>
        <v>#REF!</v>
      </c>
      <c r="S2149" s="25" t="e">
        <f ca="1"/>
        <v>#REF!</v>
      </c>
      <c r="T2149" s="25" t="e">
        <f ca="1"/>
        <v>#REF!</v>
      </c>
      <c r="U2149" s="25" t="e">
        <f ca="1"/>
        <v>#REF!</v>
      </c>
      <c r="V2149" s="25" t="e">
        <f ca="1"/>
        <v>#REF!</v>
      </c>
      <c r="W2149" s="33" t="e">
        <f ca="1"/>
        <v>#REF!</v>
      </c>
      <c r="X2149" s="33" t="e">
        <f ca="1"/>
        <v>#REF!</v>
      </c>
      <c r="Y2149" s="33" t="e">
        <f ca="1"/>
        <v>#REF!</v>
      </c>
      <c r="Z2149" s="33" t="e">
        <f ca="1"/>
        <v>#REF!</v>
      </c>
      <c r="AA2149" s="33" t="e">
        <f ca="1"/>
        <v>#REF!</v>
      </c>
    </row>
    <row r="2150" spans="1:27" s="70" customFormat="1" ht="11.25" x14ac:dyDescent="0.2">
      <c r="A2150" s="24">
        <v>2144</v>
      </c>
      <c r="B2150" s="24"/>
      <c r="C2150" s="25"/>
      <c r="D2150" s="26"/>
      <c r="E2150" s="25"/>
      <c r="F2150" s="25"/>
      <c r="G2150" s="24"/>
      <c r="H2150" s="25" t="e">
        <f ca="1"/>
        <v>#REF!</v>
      </c>
      <c r="I2150" s="27" t="e">
        <f ca="1"/>
        <v>#REF!</v>
      </c>
      <c r="J2150" s="28" t="e">
        <f ca="1"/>
        <v>#REF!</v>
      </c>
      <c r="K2150" s="27" t="e">
        <f ca="1"/>
        <v>#REF!</v>
      </c>
      <c r="L2150" s="25" t="e">
        <f ca="1"/>
        <v>#REF!</v>
      </c>
      <c r="M2150" s="25" t="e">
        <f ca="1"/>
        <v>#REF!</v>
      </c>
      <c r="N2150" s="25" t="e">
        <f ca="1"/>
        <v>#REF!</v>
      </c>
      <c r="O2150" s="25" t="e">
        <f ca="1"/>
        <v>#REF!</v>
      </c>
      <c r="P2150" s="25" t="e">
        <f ca="1"/>
        <v>#REF!</v>
      </c>
      <c r="Q2150" s="25" t="e">
        <f ca="1"/>
        <v>#REF!</v>
      </c>
      <c r="R2150" s="25" t="e">
        <f ca="1"/>
        <v>#REF!</v>
      </c>
      <c r="S2150" s="25" t="e">
        <f ca="1"/>
        <v>#REF!</v>
      </c>
      <c r="T2150" s="25" t="e">
        <f ca="1"/>
        <v>#REF!</v>
      </c>
      <c r="U2150" s="25" t="e">
        <f ca="1"/>
        <v>#REF!</v>
      </c>
      <c r="V2150" s="25" t="e">
        <f ca="1"/>
        <v>#REF!</v>
      </c>
      <c r="W2150" s="33" t="e">
        <f ca="1"/>
        <v>#REF!</v>
      </c>
      <c r="X2150" s="33" t="e">
        <f ca="1"/>
        <v>#REF!</v>
      </c>
      <c r="Y2150" s="33" t="e">
        <f ca="1"/>
        <v>#REF!</v>
      </c>
      <c r="Z2150" s="33" t="e">
        <f ca="1"/>
        <v>#REF!</v>
      </c>
      <c r="AA2150" s="33" t="e">
        <f ca="1"/>
        <v>#REF!</v>
      </c>
    </row>
    <row r="2151" spans="1:27" s="70" customFormat="1" ht="11.25" x14ac:dyDescent="0.2">
      <c r="A2151" s="24">
        <v>2145</v>
      </c>
      <c r="B2151" s="24"/>
      <c r="C2151" s="25"/>
      <c r="D2151" s="26"/>
      <c r="E2151" s="25"/>
      <c r="F2151" s="25"/>
      <c r="G2151" s="24"/>
      <c r="H2151" s="25" t="e">
        <f ca="1"/>
        <v>#REF!</v>
      </c>
      <c r="I2151" s="27" t="e">
        <f ca="1"/>
        <v>#REF!</v>
      </c>
      <c r="J2151" s="28" t="e">
        <f ca="1"/>
        <v>#REF!</v>
      </c>
      <c r="K2151" s="27" t="e">
        <f ca="1"/>
        <v>#REF!</v>
      </c>
      <c r="L2151" s="25" t="e">
        <f ca="1"/>
        <v>#REF!</v>
      </c>
      <c r="M2151" s="25" t="e">
        <f ca="1"/>
        <v>#REF!</v>
      </c>
      <c r="N2151" s="25" t="e">
        <f ca="1"/>
        <v>#REF!</v>
      </c>
      <c r="O2151" s="25" t="e">
        <f ca="1"/>
        <v>#REF!</v>
      </c>
      <c r="P2151" s="25" t="e">
        <f ca="1"/>
        <v>#REF!</v>
      </c>
      <c r="Q2151" s="25" t="e">
        <f ca="1"/>
        <v>#REF!</v>
      </c>
      <c r="R2151" s="25" t="e">
        <f ca="1"/>
        <v>#REF!</v>
      </c>
      <c r="S2151" s="25" t="e">
        <f ca="1"/>
        <v>#REF!</v>
      </c>
      <c r="T2151" s="25" t="e">
        <f ca="1"/>
        <v>#REF!</v>
      </c>
      <c r="U2151" s="25" t="e">
        <f ca="1"/>
        <v>#REF!</v>
      </c>
      <c r="V2151" s="25" t="e">
        <f ca="1"/>
        <v>#REF!</v>
      </c>
      <c r="W2151" s="33" t="e">
        <f ca="1"/>
        <v>#REF!</v>
      </c>
      <c r="X2151" s="33" t="e">
        <f ca="1"/>
        <v>#REF!</v>
      </c>
      <c r="Y2151" s="33" t="e">
        <f ca="1"/>
        <v>#REF!</v>
      </c>
      <c r="Z2151" s="33" t="e">
        <f ca="1"/>
        <v>#REF!</v>
      </c>
      <c r="AA2151" s="33" t="e">
        <f ca="1"/>
        <v>#REF!</v>
      </c>
    </row>
    <row r="2152" spans="1:27" s="70" customFormat="1" ht="11.25" x14ac:dyDescent="0.2">
      <c r="A2152" s="24">
        <v>2146</v>
      </c>
      <c r="B2152" s="24"/>
      <c r="C2152" s="25"/>
      <c r="D2152" s="26"/>
      <c r="E2152" s="25"/>
      <c r="F2152" s="25"/>
      <c r="G2152" s="24"/>
      <c r="H2152" s="25" t="e">
        <f ca="1"/>
        <v>#REF!</v>
      </c>
      <c r="I2152" s="27" t="e">
        <f ca="1"/>
        <v>#REF!</v>
      </c>
      <c r="J2152" s="28" t="e">
        <f ca="1"/>
        <v>#REF!</v>
      </c>
      <c r="K2152" s="27" t="e">
        <f ca="1"/>
        <v>#REF!</v>
      </c>
      <c r="L2152" s="25" t="e">
        <f ca="1"/>
        <v>#REF!</v>
      </c>
      <c r="M2152" s="25" t="e">
        <f ca="1"/>
        <v>#REF!</v>
      </c>
      <c r="N2152" s="25" t="e">
        <f ca="1"/>
        <v>#REF!</v>
      </c>
      <c r="O2152" s="25" t="e">
        <f ca="1"/>
        <v>#REF!</v>
      </c>
      <c r="P2152" s="25" t="e">
        <f ca="1"/>
        <v>#REF!</v>
      </c>
      <c r="Q2152" s="25" t="e">
        <f ca="1"/>
        <v>#REF!</v>
      </c>
      <c r="R2152" s="25" t="e">
        <f ca="1"/>
        <v>#REF!</v>
      </c>
      <c r="S2152" s="25" t="e">
        <f ca="1"/>
        <v>#REF!</v>
      </c>
      <c r="T2152" s="25" t="e">
        <f ca="1"/>
        <v>#REF!</v>
      </c>
      <c r="U2152" s="25" t="e">
        <f ca="1"/>
        <v>#REF!</v>
      </c>
      <c r="V2152" s="25" t="e">
        <f ca="1"/>
        <v>#REF!</v>
      </c>
      <c r="W2152" s="33" t="e">
        <f ca="1"/>
        <v>#REF!</v>
      </c>
      <c r="X2152" s="33" t="e">
        <f ca="1"/>
        <v>#REF!</v>
      </c>
      <c r="Y2152" s="33" t="e">
        <f ca="1"/>
        <v>#REF!</v>
      </c>
      <c r="Z2152" s="33" t="e">
        <f ca="1"/>
        <v>#REF!</v>
      </c>
      <c r="AA2152" s="33" t="e">
        <f ca="1"/>
        <v>#REF!</v>
      </c>
    </row>
    <row r="2153" spans="1:27" s="70" customFormat="1" ht="11.25" x14ac:dyDescent="0.2">
      <c r="A2153" s="24">
        <v>2147</v>
      </c>
      <c r="B2153" s="24"/>
      <c r="C2153" s="25"/>
      <c r="D2153" s="26"/>
      <c r="E2153" s="25"/>
      <c r="F2153" s="25"/>
      <c r="G2153" s="24"/>
      <c r="H2153" s="25" t="e">
        <f ca="1"/>
        <v>#REF!</v>
      </c>
      <c r="I2153" s="27" t="e">
        <f ca="1"/>
        <v>#REF!</v>
      </c>
      <c r="J2153" s="28" t="e">
        <f ca="1"/>
        <v>#REF!</v>
      </c>
      <c r="K2153" s="27" t="e">
        <f ca="1"/>
        <v>#REF!</v>
      </c>
      <c r="L2153" s="25" t="e">
        <f ca="1"/>
        <v>#REF!</v>
      </c>
      <c r="M2153" s="25" t="e">
        <f ca="1"/>
        <v>#REF!</v>
      </c>
      <c r="N2153" s="25" t="e">
        <f ca="1"/>
        <v>#REF!</v>
      </c>
      <c r="O2153" s="25" t="e">
        <f ca="1"/>
        <v>#REF!</v>
      </c>
      <c r="P2153" s="25" t="e">
        <f ca="1"/>
        <v>#REF!</v>
      </c>
      <c r="Q2153" s="25" t="e">
        <f ca="1"/>
        <v>#REF!</v>
      </c>
      <c r="R2153" s="25" t="e">
        <f ca="1"/>
        <v>#REF!</v>
      </c>
      <c r="S2153" s="25" t="e">
        <f ca="1"/>
        <v>#REF!</v>
      </c>
      <c r="T2153" s="25" t="e">
        <f ca="1"/>
        <v>#REF!</v>
      </c>
      <c r="U2153" s="25" t="e">
        <f ca="1"/>
        <v>#REF!</v>
      </c>
      <c r="V2153" s="25" t="e">
        <f ca="1"/>
        <v>#REF!</v>
      </c>
      <c r="W2153" s="33" t="e">
        <f ca="1"/>
        <v>#REF!</v>
      </c>
      <c r="X2153" s="33" t="e">
        <f ca="1"/>
        <v>#REF!</v>
      </c>
      <c r="Y2153" s="33" t="e">
        <f ca="1"/>
        <v>#REF!</v>
      </c>
      <c r="Z2153" s="33" t="e">
        <f ca="1"/>
        <v>#REF!</v>
      </c>
      <c r="AA2153" s="33" t="e">
        <f ca="1"/>
        <v>#REF!</v>
      </c>
    </row>
    <row r="2154" spans="1:27" s="70" customFormat="1" ht="11.25" x14ac:dyDescent="0.2">
      <c r="A2154" s="24">
        <v>2148</v>
      </c>
      <c r="B2154" s="24"/>
      <c r="C2154" s="25"/>
      <c r="D2154" s="26"/>
      <c r="E2154" s="25"/>
      <c r="F2154" s="25"/>
      <c r="G2154" s="24"/>
      <c r="H2154" s="25" t="e">
        <f ca="1"/>
        <v>#REF!</v>
      </c>
      <c r="I2154" s="27" t="e">
        <f ca="1"/>
        <v>#REF!</v>
      </c>
      <c r="J2154" s="28" t="e">
        <f ca="1"/>
        <v>#REF!</v>
      </c>
      <c r="K2154" s="27" t="e">
        <f ca="1"/>
        <v>#REF!</v>
      </c>
      <c r="L2154" s="25" t="e">
        <f ca="1"/>
        <v>#REF!</v>
      </c>
      <c r="M2154" s="25" t="e">
        <f ca="1"/>
        <v>#REF!</v>
      </c>
      <c r="N2154" s="25" t="e">
        <f ca="1"/>
        <v>#REF!</v>
      </c>
      <c r="O2154" s="25" t="e">
        <f ca="1"/>
        <v>#REF!</v>
      </c>
      <c r="P2154" s="25" t="e">
        <f ca="1"/>
        <v>#REF!</v>
      </c>
      <c r="Q2154" s="25" t="e">
        <f ca="1"/>
        <v>#REF!</v>
      </c>
      <c r="R2154" s="25" t="e">
        <f ca="1"/>
        <v>#REF!</v>
      </c>
      <c r="S2154" s="25" t="e">
        <f ca="1"/>
        <v>#REF!</v>
      </c>
      <c r="T2154" s="25" t="e">
        <f ca="1"/>
        <v>#REF!</v>
      </c>
      <c r="U2154" s="25" t="e">
        <f ca="1"/>
        <v>#REF!</v>
      </c>
      <c r="V2154" s="25" t="e">
        <f ca="1"/>
        <v>#REF!</v>
      </c>
      <c r="W2154" s="33" t="e">
        <f ca="1"/>
        <v>#REF!</v>
      </c>
      <c r="X2154" s="33" t="e">
        <f ca="1"/>
        <v>#REF!</v>
      </c>
      <c r="Y2154" s="33" t="e">
        <f ca="1"/>
        <v>#REF!</v>
      </c>
      <c r="Z2154" s="33" t="e">
        <f ca="1"/>
        <v>#REF!</v>
      </c>
      <c r="AA2154" s="33" t="e">
        <f ca="1"/>
        <v>#REF!</v>
      </c>
    </row>
    <row r="2155" spans="1:27" s="70" customFormat="1" ht="11.25" x14ac:dyDescent="0.2">
      <c r="A2155" s="24">
        <v>2149</v>
      </c>
      <c r="B2155" s="24"/>
      <c r="C2155" s="25"/>
      <c r="D2155" s="26"/>
      <c r="E2155" s="25"/>
      <c r="F2155" s="25"/>
      <c r="G2155" s="24"/>
      <c r="H2155" s="25" t="e">
        <f ca="1"/>
        <v>#REF!</v>
      </c>
      <c r="I2155" s="27" t="e">
        <f ca="1"/>
        <v>#REF!</v>
      </c>
      <c r="J2155" s="28" t="e">
        <f ca="1"/>
        <v>#REF!</v>
      </c>
      <c r="K2155" s="27" t="e">
        <f ca="1"/>
        <v>#REF!</v>
      </c>
      <c r="L2155" s="25" t="e">
        <f ca="1"/>
        <v>#REF!</v>
      </c>
      <c r="M2155" s="25" t="e">
        <f ca="1"/>
        <v>#REF!</v>
      </c>
      <c r="N2155" s="25" t="e">
        <f ca="1"/>
        <v>#REF!</v>
      </c>
      <c r="O2155" s="25" t="e">
        <f ca="1"/>
        <v>#REF!</v>
      </c>
      <c r="P2155" s="25" t="e">
        <f ca="1"/>
        <v>#REF!</v>
      </c>
      <c r="Q2155" s="25" t="e">
        <f ca="1"/>
        <v>#REF!</v>
      </c>
      <c r="R2155" s="25" t="e">
        <f ca="1"/>
        <v>#REF!</v>
      </c>
      <c r="S2155" s="25" t="e">
        <f ca="1"/>
        <v>#REF!</v>
      </c>
      <c r="T2155" s="25" t="e">
        <f ca="1"/>
        <v>#REF!</v>
      </c>
      <c r="U2155" s="25" t="e">
        <f ca="1"/>
        <v>#REF!</v>
      </c>
      <c r="V2155" s="25" t="e">
        <f ca="1"/>
        <v>#REF!</v>
      </c>
      <c r="W2155" s="33" t="e">
        <f ca="1"/>
        <v>#REF!</v>
      </c>
      <c r="X2155" s="33" t="e">
        <f ca="1"/>
        <v>#REF!</v>
      </c>
      <c r="Y2155" s="33" t="e">
        <f ca="1"/>
        <v>#REF!</v>
      </c>
      <c r="Z2155" s="33" t="e">
        <f ca="1"/>
        <v>#REF!</v>
      </c>
      <c r="AA2155" s="33" t="e">
        <f ca="1"/>
        <v>#REF!</v>
      </c>
    </row>
    <row r="2156" spans="1:27" s="70" customFormat="1" ht="11.25" x14ac:dyDescent="0.2">
      <c r="A2156" s="24">
        <v>2150</v>
      </c>
      <c r="B2156" s="24"/>
      <c r="C2156" s="25"/>
      <c r="D2156" s="26"/>
      <c r="E2156" s="25"/>
      <c r="F2156" s="25"/>
      <c r="G2156" s="24"/>
      <c r="H2156" s="25" t="e">
        <f ca="1"/>
        <v>#REF!</v>
      </c>
      <c r="I2156" s="27" t="e">
        <f ca="1"/>
        <v>#REF!</v>
      </c>
      <c r="J2156" s="28" t="e">
        <f ca="1"/>
        <v>#REF!</v>
      </c>
      <c r="K2156" s="27" t="e">
        <f ca="1"/>
        <v>#REF!</v>
      </c>
      <c r="L2156" s="25" t="e">
        <f ca="1"/>
        <v>#REF!</v>
      </c>
      <c r="M2156" s="25" t="e">
        <f ca="1"/>
        <v>#REF!</v>
      </c>
      <c r="N2156" s="25" t="e">
        <f ca="1"/>
        <v>#REF!</v>
      </c>
      <c r="O2156" s="25" t="e">
        <f ca="1"/>
        <v>#REF!</v>
      </c>
      <c r="P2156" s="25" t="e">
        <f ca="1"/>
        <v>#REF!</v>
      </c>
      <c r="Q2156" s="25" t="e">
        <f ca="1"/>
        <v>#REF!</v>
      </c>
      <c r="R2156" s="25" t="e">
        <f ca="1"/>
        <v>#REF!</v>
      </c>
      <c r="S2156" s="25" t="e">
        <f ca="1"/>
        <v>#REF!</v>
      </c>
      <c r="T2156" s="25" t="e">
        <f ca="1"/>
        <v>#REF!</v>
      </c>
      <c r="U2156" s="25" t="e">
        <f ca="1"/>
        <v>#REF!</v>
      </c>
      <c r="V2156" s="25" t="e">
        <f ca="1"/>
        <v>#REF!</v>
      </c>
      <c r="W2156" s="33" t="e">
        <f ca="1"/>
        <v>#REF!</v>
      </c>
      <c r="X2156" s="33" t="e">
        <f ca="1"/>
        <v>#REF!</v>
      </c>
      <c r="Y2156" s="33" t="e">
        <f ca="1"/>
        <v>#REF!</v>
      </c>
      <c r="Z2156" s="33" t="e">
        <f ca="1"/>
        <v>#REF!</v>
      </c>
      <c r="AA2156" s="33" t="e">
        <f ca="1"/>
        <v>#REF!</v>
      </c>
    </row>
    <row r="2157" spans="1:27" s="70" customFormat="1" ht="11.25" x14ac:dyDescent="0.2">
      <c r="A2157" s="24">
        <v>2151</v>
      </c>
      <c r="B2157" s="24"/>
      <c r="C2157" s="25"/>
      <c r="D2157" s="26"/>
      <c r="E2157" s="25"/>
      <c r="F2157" s="25"/>
      <c r="G2157" s="24"/>
      <c r="H2157" s="25" t="e">
        <f ca="1"/>
        <v>#REF!</v>
      </c>
      <c r="I2157" s="27" t="e">
        <f ca="1"/>
        <v>#REF!</v>
      </c>
      <c r="J2157" s="28" t="e">
        <f ca="1"/>
        <v>#REF!</v>
      </c>
      <c r="K2157" s="27" t="e">
        <f ca="1"/>
        <v>#REF!</v>
      </c>
      <c r="L2157" s="25" t="e">
        <f ca="1"/>
        <v>#REF!</v>
      </c>
      <c r="M2157" s="25" t="e">
        <f ca="1"/>
        <v>#REF!</v>
      </c>
      <c r="N2157" s="25" t="e">
        <f ca="1"/>
        <v>#REF!</v>
      </c>
      <c r="O2157" s="25" t="e">
        <f ca="1"/>
        <v>#REF!</v>
      </c>
      <c r="P2157" s="25" t="e">
        <f ca="1"/>
        <v>#REF!</v>
      </c>
      <c r="Q2157" s="25" t="e">
        <f ca="1"/>
        <v>#REF!</v>
      </c>
      <c r="R2157" s="25" t="e">
        <f ca="1"/>
        <v>#REF!</v>
      </c>
      <c r="S2157" s="25" t="e">
        <f ca="1"/>
        <v>#REF!</v>
      </c>
      <c r="T2157" s="25" t="e">
        <f ca="1"/>
        <v>#REF!</v>
      </c>
      <c r="U2157" s="25" t="e">
        <f ca="1"/>
        <v>#REF!</v>
      </c>
      <c r="V2157" s="25" t="e">
        <f ca="1"/>
        <v>#REF!</v>
      </c>
      <c r="W2157" s="33" t="e">
        <f ca="1"/>
        <v>#REF!</v>
      </c>
      <c r="X2157" s="33" t="e">
        <f ca="1"/>
        <v>#REF!</v>
      </c>
      <c r="Y2157" s="33" t="e">
        <f ca="1"/>
        <v>#REF!</v>
      </c>
      <c r="Z2157" s="33" t="e">
        <f ca="1"/>
        <v>#REF!</v>
      </c>
      <c r="AA2157" s="33" t="e">
        <f ca="1"/>
        <v>#REF!</v>
      </c>
    </row>
    <row r="2158" spans="1:27" s="70" customFormat="1" ht="11.25" x14ac:dyDescent="0.2">
      <c r="A2158" s="24">
        <v>2152</v>
      </c>
      <c r="B2158" s="24"/>
      <c r="C2158" s="25"/>
      <c r="D2158" s="26"/>
      <c r="E2158" s="25"/>
      <c r="F2158" s="25"/>
      <c r="G2158" s="24"/>
      <c r="H2158" s="25" t="e">
        <f ca="1"/>
        <v>#REF!</v>
      </c>
      <c r="I2158" s="27" t="e">
        <f ca="1"/>
        <v>#REF!</v>
      </c>
      <c r="J2158" s="28" t="e">
        <f ca="1"/>
        <v>#REF!</v>
      </c>
      <c r="K2158" s="27" t="e">
        <f ca="1"/>
        <v>#REF!</v>
      </c>
      <c r="L2158" s="25" t="e">
        <f ca="1"/>
        <v>#REF!</v>
      </c>
      <c r="M2158" s="25" t="e">
        <f ca="1"/>
        <v>#REF!</v>
      </c>
      <c r="N2158" s="25" t="e">
        <f ca="1"/>
        <v>#REF!</v>
      </c>
      <c r="O2158" s="25" t="e">
        <f ca="1"/>
        <v>#REF!</v>
      </c>
      <c r="P2158" s="25" t="e">
        <f ca="1"/>
        <v>#REF!</v>
      </c>
      <c r="Q2158" s="25" t="e">
        <f ca="1"/>
        <v>#REF!</v>
      </c>
      <c r="R2158" s="25" t="e">
        <f ca="1"/>
        <v>#REF!</v>
      </c>
      <c r="S2158" s="25" t="e">
        <f ca="1"/>
        <v>#REF!</v>
      </c>
      <c r="T2158" s="25" t="e">
        <f ca="1"/>
        <v>#REF!</v>
      </c>
      <c r="U2158" s="25" t="e">
        <f ca="1"/>
        <v>#REF!</v>
      </c>
      <c r="V2158" s="25" t="e">
        <f ca="1"/>
        <v>#REF!</v>
      </c>
      <c r="W2158" s="33" t="e">
        <f ca="1"/>
        <v>#REF!</v>
      </c>
      <c r="X2158" s="33" t="e">
        <f ca="1"/>
        <v>#REF!</v>
      </c>
      <c r="Y2158" s="33" t="e">
        <f ca="1"/>
        <v>#REF!</v>
      </c>
      <c r="Z2158" s="33" t="e">
        <f ca="1"/>
        <v>#REF!</v>
      </c>
      <c r="AA2158" s="33" t="e">
        <f ca="1"/>
        <v>#REF!</v>
      </c>
    </row>
    <row r="2159" spans="1:27" s="70" customFormat="1" ht="11.25" x14ac:dyDescent="0.2">
      <c r="A2159" s="24">
        <v>2153</v>
      </c>
      <c r="B2159" s="24"/>
      <c r="C2159" s="25"/>
      <c r="D2159" s="26"/>
      <c r="E2159" s="25"/>
      <c r="F2159" s="25"/>
      <c r="G2159" s="24"/>
      <c r="H2159" s="25" t="e">
        <f ca="1"/>
        <v>#REF!</v>
      </c>
      <c r="I2159" s="27" t="e">
        <f ca="1"/>
        <v>#REF!</v>
      </c>
      <c r="J2159" s="28" t="e">
        <f ca="1"/>
        <v>#REF!</v>
      </c>
      <c r="K2159" s="27" t="e">
        <f ca="1"/>
        <v>#REF!</v>
      </c>
      <c r="L2159" s="25" t="e">
        <f ca="1"/>
        <v>#REF!</v>
      </c>
      <c r="M2159" s="25" t="e">
        <f ca="1"/>
        <v>#REF!</v>
      </c>
      <c r="N2159" s="25" t="e">
        <f ca="1"/>
        <v>#REF!</v>
      </c>
      <c r="O2159" s="25" t="e">
        <f ca="1"/>
        <v>#REF!</v>
      </c>
      <c r="P2159" s="25" t="e">
        <f ca="1"/>
        <v>#REF!</v>
      </c>
      <c r="Q2159" s="25" t="e">
        <f ca="1"/>
        <v>#REF!</v>
      </c>
      <c r="R2159" s="25" t="e">
        <f ca="1"/>
        <v>#REF!</v>
      </c>
      <c r="S2159" s="25" t="e">
        <f ca="1"/>
        <v>#REF!</v>
      </c>
      <c r="T2159" s="25" t="e">
        <f ca="1"/>
        <v>#REF!</v>
      </c>
      <c r="U2159" s="25" t="e">
        <f ca="1"/>
        <v>#REF!</v>
      </c>
      <c r="V2159" s="25" t="e">
        <f ca="1"/>
        <v>#REF!</v>
      </c>
      <c r="W2159" s="33" t="e">
        <f ca="1"/>
        <v>#REF!</v>
      </c>
      <c r="X2159" s="33" t="e">
        <f ca="1"/>
        <v>#REF!</v>
      </c>
      <c r="Y2159" s="33" t="e">
        <f ca="1"/>
        <v>#REF!</v>
      </c>
      <c r="Z2159" s="33" t="e">
        <f ca="1"/>
        <v>#REF!</v>
      </c>
      <c r="AA2159" s="33" t="e">
        <f ca="1"/>
        <v>#REF!</v>
      </c>
    </row>
    <row r="2160" spans="1:27" s="70" customFormat="1" ht="11.25" x14ac:dyDescent="0.2">
      <c r="A2160" s="24">
        <v>2154</v>
      </c>
      <c r="B2160" s="24"/>
      <c r="C2160" s="25"/>
      <c r="D2160" s="26"/>
      <c r="E2160" s="25"/>
      <c r="F2160" s="25"/>
      <c r="G2160" s="24"/>
      <c r="H2160" s="25" t="e">
        <f ca="1"/>
        <v>#REF!</v>
      </c>
      <c r="I2160" s="27" t="e">
        <f ca="1"/>
        <v>#REF!</v>
      </c>
      <c r="J2160" s="28" t="e">
        <f ca="1"/>
        <v>#REF!</v>
      </c>
      <c r="K2160" s="27" t="e">
        <f ca="1"/>
        <v>#REF!</v>
      </c>
      <c r="L2160" s="25" t="e">
        <f ca="1"/>
        <v>#REF!</v>
      </c>
      <c r="M2160" s="25" t="e">
        <f ca="1"/>
        <v>#REF!</v>
      </c>
      <c r="N2160" s="25" t="e">
        <f ca="1"/>
        <v>#REF!</v>
      </c>
      <c r="O2160" s="25" t="e">
        <f ca="1"/>
        <v>#REF!</v>
      </c>
      <c r="P2160" s="25" t="e">
        <f ca="1"/>
        <v>#REF!</v>
      </c>
      <c r="Q2160" s="25" t="e">
        <f ca="1"/>
        <v>#REF!</v>
      </c>
      <c r="R2160" s="25" t="e">
        <f ca="1"/>
        <v>#REF!</v>
      </c>
      <c r="S2160" s="25" t="e">
        <f ca="1"/>
        <v>#REF!</v>
      </c>
      <c r="T2160" s="25" t="e">
        <f ca="1"/>
        <v>#REF!</v>
      </c>
      <c r="U2160" s="25" t="e">
        <f ca="1"/>
        <v>#REF!</v>
      </c>
      <c r="V2160" s="25" t="e">
        <f ca="1"/>
        <v>#REF!</v>
      </c>
      <c r="W2160" s="33" t="e">
        <f ca="1"/>
        <v>#REF!</v>
      </c>
      <c r="X2160" s="33" t="e">
        <f ca="1"/>
        <v>#REF!</v>
      </c>
      <c r="Y2160" s="33" t="e">
        <f ca="1"/>
        <v>#REF!</v>
      </c>
      <c r="Z2160" s="33" t="e">
        <f ca="1"/>
        <v>#REF!</v>
      </c>
      <c r="AA2160" s="33" t="e">
        <f ca="1"/>
        <v>#REF!</v>
      </c>
    </row>
    <row r="2161" spans="1:27" s="70" customFormat="1" ht="11.25" x14ac:dyDescent="0.2">
      <c r="A2161" s="24">
        <v>2155</v>
      </c>
      <c r="B2161" s="24"/>
      <c r="C2161" s="25"/>
      <c r="D2161" s="26"/>
      <c r="E2161" s="25"/>
      <c r="F2161" s="25"/>
      <c r="G2161" s="24"/>
      <c r="H2161" s="25" t="e">
        <f ca="1"/>
        <v>#REF!</v>
      </c>
      <c r="I2161" s="27" t="e">
        <f ca="1"/>
        <v>#REF!</v>
      </c>
      <c r="J2161" s="28" t="e">
        <f ca="1"/>
        <v>#REF!</v>
      </c>
      <c r="K2161" s="27" t="e">
        <f ca="1"/>
        <v>#REF!</v>
      </c>
      <c r="L2161" s="25" t="e">
        <f ca="1"/>
        <v>#REF!</v>
      </c>
      <c r="M2161" s="25" t="e">
        <f ca="1"/>
        <v>#REF!</v>
      </c>
      <c r="N2161" s="25" t="e">
        <f ca="1"/>
        <v>#REF!</v>
      </c>
      <c r="O2161" s="25" t="e">
        <f ca="1"/>
        <v>#REF!</v>
      </c>
      <c r="P2161" s="25" t="e">
        <f ca="1"/>
        <v>#REF!</v>
      </c>
      <c r="Q2161" s="25" t="e">
        <f ca="1"/>
        <v>#REF!</v>
      </c>
      <c r="R2161" s="25" t="e">
        <f ca="1"/>
        <v>#REF!</v>
      </c>
      <c r="S2161" s="25" t="e">
        <f ca="1"/>
        <v>#REF!</v>
      </c>
      <c r="T2161" s="25" t="e">
        <f ca="1"/>
        <v>#REF!</v>
      </c>
      <c r="U2161" s="25" t="e">
        <f ca="1"/>
        <v>#REF!</v>
      </c>
      <c r="V2161" s="25" t="e">
        <f ca="1"/>
        <v>#REF!</v>
      </c>
      <c r="W2161" s="33" t="e">
        <f ca="1"/>
        <v>#REF!</v>
      </c>
      <c r="X2161" s="33" t="e">
        <f ca="1"/>
        <v>#REF!</v>
      </c>
      <c r="Y2161" s="33" t="e">
        <f ca="1"/>
        <v>#REF!</v>
      </c>
      <c r="Z2161" s="33" t="e">
        <f ca="1"/>
        <v>#REF!</v>
      </c>
      <c r="AA2161" s="33" t="e">
        <f ca="1"/>
        <v>#REF!</v>
      </c>
    </row>
    <row r="2162" spans="1:27" s="70" customFormat="1" ht="11.25" x14ac:dyDescent="0.2">
      <c r="A2162" s="24">
        <v>2156</v>
      </c>
      <c r="B2162" s="24"/>
      <c r="C2162" s="25"/>
      <c r="D2162" s="26"/>
      <c r="E2162" s="25"/>
      <c r="F2162" s="25"/>
      <c r="G2162" s="24"/>
      <c r="H2162" s="25" t="e">
        <f ca="1"/>
        <v>#REF!</v>
      </c>
      <c r="I2162" s="27" t="e">
        <f ca="1"/>
        <v>#REF!</v>
      </c>
      <c r="J2162" s="28" t="e">
        <f ca="1"/>
        <v>#REF!</v>
      </c>
      <c r="K2162" s="27" t="e">
        <f ca="1"/>
        <v>#REF!</v>
      </c>
      <c r="L2162" s="25" t="e">
        <f ca="1"/>
        <v>#REF!</v>
      </c>
      <c r="M2162" s="25" t="e">
        <f ca="1"/>
        <v>#REF!</v>
      </c>
      <c r="N2162" s="25" t="e">
        <f ca="1"/>
        <v>#REF!</v>
      </c>
      <c r="O2162" s="25" t="e">
        <f ca="1"/>
        <v>#REF!</v>
      </c>
      <c r="P2162" s="25" t="e">
        <f ca="1"/>
        <v>#REF!</v>
      </c>
      <c r="Q2162" s="25" t="e">
        <f ca="1"/>
        <v>#REF!</v>
      </c>
      <c r="R2162" s="25" t="e">
        <f ca="1"/>
        <v>#REF!</v>
      </c>
      <c r="S2162" s="25" t="e">
        <f ca="1"/>
        <v>#REF!</v>
      </c>
      <c r="T2162" s="25" t="e">
        <f ca="1"/>
        <v>#REF!</v>
      </c>
      <c r="U2162" s="25" t="e">
        <f ca="1"/>
        <v>#REF!</v>
      </c>
      <c r="V2162" s="25" t="e">
        <f ca="1"/>
        <v>#REF!</v>
      </c>
      <c r="W2162" s="33" t="e">
        <f ca="1"/>
        <v>#REF!</v>
      </c>
      <c r="X2162" s="33" t="e">
        <f ca="1"/>
        <v>#REF!</v>
      </c>
      <c r="Y2162" s="33" t="e">
        <f ca="1"/>
        <v>#REF!</v>
      </c>
      <c r="Z2162" s="33" t="e">
        <f ca="1"/>
        <v>#REF!</v>
      </c>
      <c r="AA2162" s="33" t="e">
        <f ca="1"/>
        <v>#REF!</v>
      </c>
    </row>
    <row r="2163" spans="1:27" s="70" customFormat="1" ht="11.25" x14ac:dyDescent="0.2">
      <c r="A2163" s="24">
        <v>2157</v>
      </c>
      <c r="B2163" s="24"/>
      <c r="C2163" s="25"/>
      <c r="D2163" s="26"/>
      <c r="E2163" s="25"/>
      <c r="F2163" s="25"/>
      <c r="G2163" s="24"/>
      <c r="H2163" s="25" t="e">
        <f ca="1"/>
        <v>#REF!</v>
      </c>
      <c r="I2163" s="27" t="e">
        <f ca="1"/>
        <v>#REF!</v>
      </c>
      <c r="J2163" s="28" t="e">
        <f ca="1"/>
        <v>#REF!</v>
      </c>
      <c r="K2163" s="27" t="e">
        <f ca="1"/>
        <v>#REF!</v>
      </c>
      <c r="L2163" s="25" t="e">
        <f ca="1"/>
        <v>#REF!</v>
      </c>
      <c r="M2163" s="25" t="e">
        <f ca="1"/>
        <v>#REF!</v>
      </c>
      <c r="N2163" s="25" t="e">
        <f ca="1"/>
        <v>#REF!</v>
      </c>
      <c r="O2163" s="25" t="e">
        <f ca="1"/>
        <v>#REF!</v>
      </c>
      <c r="P2163" s="25" t="e">
        <f ca="1"/>
        <v>#REF!</v>
      </c>
      <c r="Q2163" s="25" t="e">
        <f ca="1"/>
        <v>#REF!</v>
      </c>
      <c r="R2163" s="25" t="e">
        <f ca="1"/>
        <v>#REF!</v>
      </c>
      <c r="S2163" s="25" t="e">
        <f ca="1"/>
        <v>#REF!</v>
      </c>
      <c r="T2163" s="25" t="e">
        <f ca="1"/>
        <v>#REF!</v>
      </c>
      <c r="U2163" s="25" t="e">
        <f ca="1"/>
        <v>#REF!</v>
      </c>
      <c r="V2163" s="25" t="e">
        <f ca="1"/>
        <v>#REF!</v>
      </c>
      <c r="W2163" s="33" t="e">
        <f ca="1"/>
        <v>#REF!</v>
      </c>
      <c r="X2163" s="33" t="e">
        <f ca="1"/>
        <v>#REF!</v>
      </c>
      <c r="Y2163" s="33" t="e">
        <f ca="1"/>
        <v>#REF!</v>
      </c>
      <c r="Z2163" s="33" t="e">
        <f ca="1"/>
        <v>#REF!</v>
      </c>
      <c r="AA2163" s="33" t="e">
        <f ca="1"/>
        <v>#REF!</v>
      </c>
    </row>
    <row r="2164" spans="1:27" s="70" customFormat="1" ht="11.25" x14ac:dyDescent="0.2">
      <c r="A2164" s="24">
        <v>2158</v>
      </c>
      <c r="B2164" s="24"/>
      <c r="C2164" s="25"/>
      <c r="D2164" s="26"/>
      <c r="E2164" s="25"/>
      <c r="F2164" s="25"/>
      <c r="G2164" s="24"/>
      <c r="H2164" s="25" t="e">
        <f ca="1"/>
        <v>#REF!</v>
      </c>
      <c r="I2164" s="27" t="e">
        <f ca="1"/>
        <v>#REF!</v>
      </c>
      <c r="J2164" s="28" t="e">
        <f ca="1"/>
        <v>#REF!</v>
      </c>
      <c r="K2164" s="27" t="e">
        <f ca="1"/>
        <v>#REF!</v>
      </c>
      <c r="L2164" s="25" t="e">
        <f ca="1"/>
        <v>#REF!</v>
      </c>
      <c r="M2164" s="25" t="e">
        <f ca="1"/>
        <v>#REF!</v>
      </c>
      <c r="N2164" s="25" t="e">
        <f ca="1"/>
        <v>#REF!</v>
      </c>
      <c r="O2164" s="25" t="e">
        <f ca="1"/>
        <v>#REF!</v>
      </c>
      <c r="P2164" s="25" t="e">
        <f ca="1"/>
        <v>#REF!</v>
      </c>
      <c r="Q2164" s="25" t="e">
        <f ca="1"/>
        <v>#REF!</v>
      </c>
      <c r="R2164" s="25" t="e">
        <f ca="1"/>
        <v>#REF!</v>
      </c>
      <c r="S2164" s="25" t="e">
        <f ca="1"/>
        <v>#REF!</v>
      </c>
      <c r="T2164" s="25" t="e">
        <f ca="1"/>
        <v>#REF!</v>
      </c>
      <c r="U2164" s="25" t="e">
        <f ca="1"/>
        <v>#REF!</v>
      </c>
      <c r="V2164" s="25" t="e">
        <f ca="1"/>
        <v>#REF!</v>
      </c>
      <c r="W2164" s="33" t="e">
        <f ca="1"/>
        <v>#REF!</v>
      </c>
      <c r="X2164" s="33" t="e">
        <f ca="1"/>
        <v>#REF!</v>
      </c>
      <c r="Y2164" s="33" t="e">
        <f ca="1"/>
        <v>#REF!</v>
      </c>
      <c r="Z2164" s="33" t="e">
        <f ca="1"/>
        <v>#REF!</v>
      </c>
      <c r="AA2164" s="33" t="e">
        <f ca="1"/>
        <v>#REF!</v>
      </c>
    </row>
    <row r="2165" spans="1:27" s="70" customFormat="1" ht="11.25" x14ac:dyDescent="0.2">
      <c r="A2165" s="24">
        <v>2159</v>
      </c>
      <c r="B2165" s="24"/>
      <c r="C2165" s="25"/>
      <c r="D2165" s="26"/>
      <c r="E2165" s="25"/>
      <c r="F2165" s="25"/>
      <c r="G2165" s="24"/>
      <c r="H2165" s="25" t="e">
        <f ca="1"/>
        <v>#REF!</v>
      </c>
      <c r="I2165" s="27" t="e">
        <f ca="1"/>
        <v>#REF!</v>
      </c>
      <c r="J2165" s="28" t="e">
        <f ca="1"/>
        <v>#REF!</v>
      </c>
      <c r="K2165" s="27" t="e">
        <f ca="1"/>
        <v>#REF!</v>
      </c>
      <c r="L2165" s="25" t="e">
        <f ca="1"/>
        <v>#REF!</v>
      </c>
      <c r="M2165" s="25" t="e">
        <f ca="1"/>
        <v>#REF!</v>
      </c>
      <c r="N2165" s="25" t="e">
        <f ca="1"/>
        <v>#REF!</v>
      </c>
      <c r="O2165" s="25" t="e">
        <f ca="1"/>
        <v>#REF!</v>
      </c>
      <c r="P2165" s="25" t="e">
        <f ca="1"/>
        <v>#REF!</v>
      </c>
      <c r="Q2165" s="25" t="e">
        <f ca="1"/>
        <v>#REF!</v>
      </c>
      <c r="R2165" s="25" t="e">
        <f ca="1"/>
        <v>#REF!</v>
      </c>
      <c r="S2165" s="25" t="e">
        <f ca="1"/>
        <v>#REF!</v>
      </c>
      <c r="T2165" s="25" t="e">
        <f ca="1"/>
        <v>#REF!</v>
      </c>
      <c r="U2165" s="25" t="e">
        <f ca="1"/>
        <v>#REF!</v>
      </c>
      <c r="V2165" s="25" t="e">
        <f ca="1"/>
        <v>#REF!</v>
      </c>
      <c r="W2165" s="33" t="e">
        <f ca="1"/>
        <v>#REF!</v>
      </c>
      <c r="X2165" s="33" t="e">
        <f ca="1"/>
        <v>#REF!</v>
      </c>
      <c r="Y2165" s="33" t="e">
        <f ca="1"/>
        <v>#REF!</v>
      </c>
      <c r="Z2165" s="33" t="e">
        <f ca="1"/>
        <v>#REF!</v>
      </c>
      <c r="AA2165" s="33" t="e">
        <f ca="1"/>
        <v>#REF!</v>
      </c>
    </row>
    <row r="2166" spans="1:27" s="70" customFormat="1" ht="11.25" x14ac:dyDescent="0.2">
      <c r="A2166" s="24">
        <v>2160</v>
      </c>
      <c r="B2166" s="24"/>
      <c r="C2166" s="25"/>
      <c r="D2166" s="26"/>
      <c r="E2166" s="25"/>
      <c r="F2166" s="25"/>
      <c r="G2166" s="24"/>
      <c r="H2166" s="25" t="e">
        <f ca="1"/>
        <v>#REF!</v>
      </c>
      <c r="I2166" s="27" t="e">
        <f ca="1"/>
        <v>#REF!</v>
      </c>
      <c r="J2166" s="28" t="e">
        <f ca="1"/>
        <v>#REF!</v>
      </c>
      <c r="K2166" s="27" t="e">
        <f ca="1"/>
        <v>#REF!</v>
      </c>
      <c r="L2166" s="25" t="e">
        <f ca="1"/>
        <v>#REF!</v>
      </c>
      <c r="M2166" s="25" t="e">
        <f ca="1"/>
        <v>#REF!</v>
      </c>
      <c r="N2166" s="25" t="e">
        <f ca="1"/>
        <v>#REF!</v>
      </c>
      <c r="O2166" s="25" t="e">
        <f ca="1"/>
        <v>#REF!</v>
      </c>
      <c r="P2166" s="25" t="e">
        <f ca="1"/>
        <v>#REF!</v>
      </c>
      <c r="Q2166" s="25" t="e">
        <f ca="1"/>
        <v>#REF!</v>
      </c>
      <c r="R2166" s="25" t="e">
        <f ca="1"/>
        <v>#REF!</v>
      </c>
      <c r="S2166" s="25" t="e">
        <f ca="1"/>
        <v>#REF!</v>
      </c>
      <c r="T2166" s="25" t="e">
        <f ca="1"/>
        <v>#REF!</v>
      </c>
      <c r="U2166" s="25" t="e">
        <f ca="1"/>
        <v>#REF!</v>
      </c>
      <c r="V2166" s="25" t="e">
        <f ca="1"/>
        <v>#REF!</v>
      </c>
      <c r="W2166" s="33" t="e">
        <f ca="1"/>
        <v>#REF!</v>
      </c>
      <c r="X2166" s="33" t="e">
        <f ca="1"/>
        <v>#REF!</v>
      </c>
      <c r="Y2166" s="33" t="e">
        <f ca="1"/>
        <v>#REF!</v>
      </c>
      <c r="Z2166" s="33" t="e">
        <f ca="1"/>
        <v>#REF!</v>
      </c>
      <c r="AA2166" s="33" t="e">
        <f ca="1"/>
        <v>#REF!</v>
      </c>
    </row>
    <row r="2167" spans="1:27" s="70" customFormat="1" ht="11.25" x14ac:dyDescent="0.2">
      <c r="A2167" s="24">
        <v>2161</v>
      </c>
      <c r="B2167" s="24"/>
      <c r="C2167" s="25"/>
      <c r="D2167" s="26"/>
      <c r="E2167" s="25"/>
      <c r="F2167" s="25"/>
      <c r="G2167" s="24"/>
      <c r="H2167" s="25" t="e">
        <f ca="1"/>
        <v>#REF!</v>
      </c>
      <c r="I2167" s="27" t="e">
        <f ca="1"/>
        <v>#REF!</v>
      </c>
      <c r="J2167" s="28" t="e">
        <f ca="1"/>
        <v>#REF!</v>
      </c>
      <c r="K2167" s="27" t="e">
        <f ca="1"/>
        <v>#REF!</v>
      </c>
      <c r="L2167" s="25" t="e">
        <f ca="1"/>
        <v>#REF!</v>
      </c>
      <c r="M2167" s="25" t="e">
        <f ca="1"/>
        <v>#REF!</v>
      </c>
      <c r="N2167" s="25" t="e">
        <f ca="1"/>
        <v>#REF!</v>
      </c>
      <c r="O2167" s="25" t="e">
        <f ca="1"/>
        <v>#REF!</v>
      </c>
      <c r="P2167" s="25" t="e">
        <f ca="1"/>
        <v>#REF!</v>
      </c>
      <c r="Q2167" s="25" t="e">
        <f ca="1"/>
        <v>#REF!</v>
      </c>
      <c r="R2167" s="25" t="e">
        <f ca="1"/>
        <v>#REF!</v>
      </c>
      <c r="S2167" s="25" t="e">
        <f ca="1"/>
        <v>#REF!</v>
      </c>
      <c r="T2167" s="25" t="e">
        <f ca="1"/>
        <v>#REF!</v>
      </c>
      <c r="U2167" s="25" t="e">
        <f ca="1"/>
        <v>#REF!</v>
      </c>
      <c r="V2167" s="25" t="e">
        <f ca="1"/>
        <v>#REF!</v>
      </c>
      <c r="W2167" s="33" t="e">
        <f ca="1"/>
        <v>#REF!</v>
      </c>
      <c r="X2167" s="33" t="e">
        <f ca="1"/>
        <v>#REF!</v>
      </c>
      <c r="Y2167" s="33" t="e">
        <f ca="1"/>
        <v>#REF!</v>
      </c>
      <c r="Z2167" s="33" t="e">
        <f ca="1"/>
        <v>#REF!</v>
      </c>
      <c r="AA2167" s="33" t="e">
        <f ca="1"/>
        <v>#REF!</v>
      </c>
    </row>
    <row r="2168" spans="1:27" s="70" customFormat="1" ht="11.25" x14ac:dyDescent="0.2">
      <c r="A2168" s="24">
        <v>2162</v>
      </c>
      <c r="B2168" s="24"/>
      <c r="C2168" s="25"/>
      <c r="D2168" s="26"/>
      <c r="E2168" s="25"/>
      <c r="F2168" s="25"/>
      <c r="G2168" s="24"/>
      <c r="H2168" s="25" t="e">
        <f ca="1"/>
        <v>#REF!</v>
      </c>
      <c r="I2168" s="27" t="e">
        <f ca="1"/>
        <v>#REF!</v>
      </c>
      <c r="J2168" s="28" t="e">
        <f ca="1"/>
        <v>#REF!</v>
      </c>
      <c r="K2168" s="27" t="e">
        <f ca="1"/>
        <v>#REF!</v>
      </c>
      <c r="L2168" s="25" t="e">
        <f ca="1"/>
        <v>#REF!</v>
      </c>
      <c r="M2168" s="25" t="e">
        <f ca="1"/>
        <v>#REF!</v>
      </c>
      <c r="N2168" s="25" t="e">
        <f ca="1"/>
        <v>#REF!</v>
      </c>
      <c r="O2168" s="25" t="e">
        <f ca="1"/>
        <v>#REF!</v>
      </c>
      <c r="P2168" s="25" t="e">
        <f ca="1"/>
        <v>#REF!</v>
      </c>
      <c r="Q2168" s="25" t="e">
        <f ca="1"/>
        <v>#REF!</v>
      </c>
      <c r="R2168" s="25" t="e">
        <f ca="1"/>
        <v>#REF!</v>
      </c>
      <c r="S2168" s="25" t="e">
        <f ca="1"/>
        <v>#REF!</v>
      </c>
      <c r="T2168" s="25" t="e">
        <f ca="1"/>
        <v>#REF!</v>
      </c>
      <c r="U2168" s="25" t="e">
        <f ca="1"/>
        <v>#REF!</v>
      </c>
      <c r="V2168" s="25" t="e">
        <f ca="1"/>
        <v>#REF!</v>
      </c>
      <c r="W2168" s="33" t="e">
        <f ca="1"/>
        <v>#REF!</v>
      </c>
      <c r="X2168" s="33" t="e">
        <f ca="1"/>
        <v>#REF!</v>
      </c>
      <c r="Y2168" s="33" t="e">
        <f ca="1"/>
        <v>#REF!</v>
      </c>
      <c r="Z2168" s="33" t="e">
        <f ca="1"/>
        <v>#REF!</v>
      </c>
      <c r="AA2168" s="33" t="e">
        <f ca="1"/>
        <v>#REF!</v>
      </c>
    </row>
    <row r="2169" spans="1:27" s="70" customFormat="1" ht="11.25" x14ac:dyDescent="0.2">
      <c r="A2169" s="24">
        <v>2163</v>
      </c>
      <c r="B2169" s="24"/>
      <c r="C2169" s="25"/>
      <c r="D2169" s="26"/>
      <c r="E2169" s="25"/>
      <c r="F2169" s="25"/>
      <c r="G2169" s="24"/>
      <c r="H2169" s="25" t="e">
        <f ca="1"/>
        <v>#REF!</v>
      </c>
      <c r="I2169" s="27" t="e">
        <f ca="1"/>
        <v>#REF!</v>
      </c>
      <c r="J2169" s="28" t="e">
        <f ca="1"/>
        <v>#REF!</v>
      </c>
      <c r="K2169" s="27" t="e">
        <f ca="1"/>
        <v>#REF!</v>
      </c>
      <c r="L2169" s="25" t="e">
        <f ca="1"/>
        <v>#REF!</v>
      </c>
      <c r="M2169" s="25" t="e">
        <f ca="1"/>
        <v>#REF!</v>
      </c>
      <c r="N2169" s="25" t="e">
        <f ca="1"/>
        <v>#REF!</v>
      </c>
      <c r="O2169" s="25" t="e">
        <f ca="1"/>
        <v>#REF!</v>
      </c>
      <c r="P2169" s="25" t="e">
        <f ca="1"/>
        <v>#REF!</v>
      </c>
      <c r="Q2169" s="25" t="e">
        <f ca="1"/>
        <v>#REF!</v>
      </c>
      <c r="R2169" s="25" t="e">
        <f ca="1"/>
        <v>#REF!</v>
      </c>
      <c r="S2169" s="25" t="e">
        <f ca="1"/>
        <v>#REF!</v>
      </c>
      <c r="T2169" s="25" t="e">
        <f ca="1"/>
        <v>#REF!</v>
      </c>
      <c r="U2169" s="25" t="e">
        <f ca="1"/>
        <v>#REF!</v>
      </c>
      <c r="V2169" s="25" t="e">
        <f ca="1"/>
        <v>#REF!</v>
      </c>
      <c r="W2169" s="33" t="e">
        <f ca="1"/>
        <v>#REF!</v>
      </c>
      <c r="X2169" s="33" t="e">
        <f ca="1"/>
        <v>#REF!</v>
      </c>
      <c r="Y2169" s="33" t="e">
        <f ca="1"/>
        <v>#REF!</v>
      </c>
      <c r="Z2169" s="33" t="e">
        <f ca="1"/>
        <v>#REF!</v>
      </c>
      <c r="AA2169" s="33" t="e">
        <f ca="1"/>
        <v>#REF!</v>
      </c>
    </row>
    <row r="2170" spans="1:27" s="70" customFormat="1" ht="11.25" x14ac:dyDescent="0.2">
      <c r="A2170" s="24">
        <v>2164</v>
      </c>
      <c r="B2170" s="24"/>
      <c r="C2170" s="25"/>
      <c r="D2170" s="26"/>
      <c r="E2170" s="25"/>
      <c r="F2170" s="25"/>
      <c r="G2170" s="24"/>
      <c r="H2170" s="25" t="e">
        <f ca="1"/>
        <v>#REF!</v>
      </c>
      <c r="I2170" s="27" t="e">
        <f ca="1"/>
        <v>#REF!</v>
      </c>
      <c r="J2170" s="28" t="e">
        <f ca="1"/>
        <v>#REF!</v>
      </c>
      <c r="K2170" s="27" t="e">
        <f ca="1"/>
        <v>#REF!</v>
      </c>
      <c r="L2170" s="25" t="e">
        <f ca="1"/>
        <v>#REF!</v>
      </c>
      <c r="M2170" s="25" t="e">
        <f ca="1"/>
        <v>#REF!</v>
      </c>
      <c r="N2170" s="25" t="e">
        <f ca="1"/>
        <v>#REF!</v>
      </c>
      <c r="O2170" s="25" t="e">
        <f ca="1"/>
        <v>#REF!</v>
      </c>
      <c r="P2170" s="25" t="e">
        <f ca="1"/>
        <v>#REF!</v>
      </c>
      <c r="Q2170" s="25" t="e">
        <f ca="1"/>
        <v>#REF!</v>
      </c>
      <c r="R2170" s="25" t="e">
        <f ca="1"/>
        <v>#REF!</v>
      </c>
      <c r="S2170" s="25" t="e">
        <f ca="1"/>
        <v>#REF!</v>
      </c>
      <c r="T2170" s="25" t="e">
        <f ca="1"/>
        <v>#REF!</v>
      </c>
      <c r="U2170" s="25" t="e">
        <f ca="1"/>
        <v>#REF!</v>
      </c>
      <c r="V2170" s="25" t="e">
        <f ca="1"/>
        <v>#REF!</v>
      </c>
      <c r="W2170" s="33" t="e">
        <f ca="1"/>
        <v>#REF!</v>
      </c>
      <c r="X2170" s="33" t="e">
        <f ca="1"/>
        <v>#REF!</v>
      </c>
      <c r="Y2170" s="33" t="e">
        <f ca="1"/>
        <v>#REF!</v>
      </c>
      <c r="Z2170" s="33" t="e">
        <f ca="1"/>
        <v>#REF!</v>
      </c>
      <c r="AA2170" s="33" t="e">
        <f ca="1"/>
        <v>#REF!</v>
      </c>
    </row>
    <row r="2171" spans="1:27" s="70" customFormat="1" ht="11.25" x14ac:dyDescent="0.2">
      <c r="A2171" s="24">
        <v>2165</v>
      </c>
      <c r="B2171" s="24"/>
      <c r="C2171" s="25"/>
      <c r="D2171" s="26"/>
      <c r="E2171" s="25"/>
      <c r="F2171" s="25"/>
      <c r="G2171" s="24"/>
      <c r="H2171" s="25" t="e">
        <f ca="1"/>
        <v>#REF!</v>
      </c>
      <c r="I2171" s="27" t="e">
        <f ca="1"/>
        <v>#REF!</v>
      </c>
      <c r="J2171" s="28" t="e">
        <f ca="1"/>
        <v>#REF!</v>
      </c>
      <c r="K2171" s="27" t="e">
        <f ca="1"/>
        <v>#REF!</v>
      </c>
      <c r="L2171" s="25" t="e">
        <f ca="1"/>
        <v>#REF!</v>
      </c>
      <c r="M2171" s="25" t="e">
        <f ca="1"/>
        <v>#REF!</v>
      </c>
      <c r="N2171" s="25" t="e">
        <f ca="1"/>
        <v>#REF!</v>
      </c>
      <c r="O2171" s="25" t="e">
        <f ca="1"/>
        <v>#REF!</v>
      </c>
      <c r="P2171" s="25" t="e">
        <f ca="1"/>
        <v>#REF!</v>
      </c>
      <c r="Q2171" s="25" t="e">
        <f ca="1"/>
        <v>#REF!</v>
      </c>
      <c r="R2171" s="25" t="e">
        <f ca="1"/>
        <v>#REF!</v>
      </c>
      <c r="S2171" s="25" t="e">
        <f ca="1"/>
        <v>#REF!</v>
      </c>
      <c r="T2171" s="25" t="e">
        <f ca="1"/>
        <v>#REF!</v>
      </c>
      <c r="U2171" s="25" t="e">
        <f ca="1"/>
        <v>#REF!</v>
      </c>
      <c r="V2171" s="25" t="e">
        <f ca="1"/>
        <v>#REF!</v>
      </c>
      <c r="W2171" s="33" t="e">
        <f ca="1"/>
        <v>#REF!</v>
      </c>
      <c r="X2171" s="33" t="e">
        <f ca="1"/>
        <v>#REF!</v>
      </c>
      <c r="Y2171" s="33" t="e">
        <f ca="1"/>
        <v>#REF!</v>
      </c>
      <c r="Z2171" s="33" t="e">
        <f ca="1"/>
        <v>#REF!</v>
      </c>
      <c r="AA2171" s="33" t="e">
        <f ca="1"/>
        <v>#REF!</v>
      </c>
    </row>
    <row r="2172" spans="1:27" s="70" customFormat="1" ht="11.25" x14ac:dyDescent="0.2">
      <c r="A2172" s="24">
        <v>2166</v>
      </c>
      <c r="B2172" s="24"/>
      <c r="C2172" s="25"/>
      <c r="D2172" s="26"/>
      <c r="E2172" s="25"/>
      <c r="F2172" s="25"/>
      <c r="G2172" s="24"/>
      <c r="H2172" s="25" t="e">
        <f ca="1"/>
        <v>#REF!</v>
      </c>
      <c r="I2172" s="27" t="e">
        <f ca="1"/>
        <v>#REF!</v>
      </c>
      <c r="J2172" s="28" t="e">
        <f ca="1"/>
        <v>#REF!</v>
      </c>
      <c r="K2172" s="27" t="e">
        <f ca="1"/>
        <v>#REF!</v>
      </c>
      <c r="L2172" s="25" t="e">
        <f ca="1"/>
        <v>#REF!</v>
      </c>
      <c r="M2172" s="25" t="e">
        <f ca="1"/>
        <v>#REF!</v>
      </c>
      <c r="N2172" s="25" t="e">
        <f ca="1"/>
        <v>#REF!</v>
      </c>
      <c r="O2172" s="25" t="e">
        <f ca="1"/>
        <v>#REF!</v>
      </c>
      <c r="P2172" s="25" t="e">
        <f ca="1"/>
        <v>#REF!</v>
      </c>
      <c r="Q2172" s="25" t="e">
        <f ca="1"/>
        <v>#REF!</v>
      </c>
      <c r="R2172" s="25" t="e">
        <f ca="1"/>
        <v>#REF!</v>
      </c>
      <c r="S2172" s="25" t="e">
        <f ca="1"/>
        <v>#REF!</v>
      </c>
      <c r="T2172" s="25" t="e">
        <f ca="1"/>
        <v>#REF!</v>
      </c>
      <c r="U2172" s="25" t="e">
        <f ca="1"/>
        <v>#REF!</v>
      </c>
      <c r="V2172" s="25" t="e">
        <f ca="1"/>
        <v>#REF!</v>
      </c>
      <c r="W2172" s="33" t="e">
        <f ca="1"/>
        <v>#REF!</v>
      </c>
      <c r="X2172" s="33" t="e">
        <f ca="1"/>
        <v>#REF!</v>
      </c>
      <c r="Y2172" s="33" t="e">
        <f ca="1"/>
        <v>#REF!</v>
      </c>
      <c r="Z2172" s="33" t="e">
        <f ca="1"/>
        <v>#REF!</v>
      </c>
      <c r="AA2172" s="33" t="e">
        <f ca="1"/>
        <v>#REF!</v>
      </c>
    </row>
    <row r="2173" spans="1:27" s="70" customFormat="1" ht="11.25" x14ac:dyDescent="0.2">
      <c r="A2173" s="24">
        <v>2167</v>
      </c>
      <c r="B2173" s="24"/>
      <c r="C2173" s="25"/>
      <c r="D2173" s="26"/>
      <c r="E2173" s="25"/>
      <c r="F2173" s="25"/>
      <c r="G2173" s="24"/>
      <c r="H2173" s="25" t="e">
        <f ca="1"/>
        <v>#REF!</v>
      </c>
      <c r="I2173" s="27" t="e">
        <f ca="1"/>
        <v>#REF!</v>
      </c>
      <c r="J2173" s="28" t="e">
        <f ca="1"/>
        <v>#REF!</v>
      </c>
      <c r="K2173" s="27" t="e">
        <f ca="1"/>
        <v>#REF!</v>
      </c>
      <c r="L2173" s="25" t="e">
        <f ca="1"/>
        <v>#REF!</v>
      </c>
      <c r="M2173" s="25" t="e">
        <f ca="1"/>
        <v>#REF!</v>
      </c>
      <c r="N2173" s="25" t="e">
        <f ca="1"/>
        <v>#REF!</v>
      </c>
      <c r="O2173" s="25" t="e">
        <f ca="1"/>
        <v>#REF!</v>
      </c>
      <c r="P2173" s="25" t="e">
        <f ca="1"/>
        <v>#REF!</v>
      </c>
      <c r="Q2173" s="25" t="e">
        <f ca="1"/>
        <v>#REF!</v>
      </c>
      <c r="R2173" s="25" t="e">
        <f ca="1"/>
        <v>#REF!</v>
      </c>
      <c r="S2173" s="25" t="e">
        <f ca="1"/>
        <v>#REF!</v>
      </c>
      <c r="T2173" s="25" t="e">
        <f ca="1"/>
        <v>#REF!</v>
      </c>
      <c r="U2173" s="25" t="e">
        <f ca="1"/>
        <v>#REF!</v>
      </c>
      <c r="V2173" s="25" t="e">
        <f ca="1"/>
        <v>#REF!</v>
      </c>
      <c r="W2173" s="33" t="e">
        <f ca="1"/>
        <v>#REF!</v>
      </c>
      <c r="X2173" s="33" t="e">
        <f ca="1"/>
        <v>#REF!</v>
      </c>
      <c r="Y2173" s="33" t="e">
        <f ca="1"/>
        <v>#REF!</v>
      </c>
      <c r="Z2173" s="33" t="e">
        <f ca="1"/>
        <v>#REF!</v>
      </c>
      <c r="AA2173" s="33" t="e">
        <f ca="1"/>
        <v>#REF!</v>
      </c>
    </row>
    <row r="2174" spans="1:27" s="70" customFormat="1" ht="11.25" x14ac:dyDescent="0.2">
      <c r="A2174" s="24">
        <v>2168</v>
      </c>
      <c r="B2174" s="24"/>
      <c r="C2174" s="25"/>
      <c r="D2174" s="26"/>
      <c r="E2174" s="25"/>
      <c r="F2174" s="25"/>
      <c r="G2174" s="24"/>
      <c r="H2174" s="25" t="e">
        <f ca="1"/>
        <v>#REF!</v>
      </c>
      <c r="I2174" s="27" t="e">
        <f ca="1"/>
        <v>#REF!</v>
      </c>
      <c r="J2174" s="28" t="e">
        <f ca="1"/>
        <v>#REF!</v>
      </c>
      <c r="K2174" s="27" t="e">
        <f ca="1"/>
        <v>#REF!</v>
      </c>
      <c r="L2174" s="25" t="e">
        <f ca="1"/>
        <v>#REF!</v>
      </c>
      <c r="M2174" s="25" t="e">
        <f ca="1"/>
        <v>#REF!</v>
      </c>
      <c r="N2174" s="25" t="e">
        <f ca="1"/>
        <v>#REF!</v>
      </c>
      <c r="O2174" s="25" t="e">
        <f ca="1"/>
        <v>#REF!</v>
      </c>
      <c r="P2174" s="25" t="e">
        <f ca="1"/>
        <v>#REF!</v>
      </c>
      <c r="Q2174" s="25" t="e">
        <f ca="1"/>
        <v>#REF!</v>
      </c>
      <c r="R2174" s="25" t="e">
        <f ca="1"/>
        <v>#REF!</v>
      </c>
      <c r="S2174" s="25" t="e">
        <f ca="1"/>
        <v>#REF!</v>
      </c>
      <c r="T2174" s="25" t="e">
        <f ca="1"/>
        <v>#REF!</v>
      </c>
      <c r="U2174" s="25" t="e">
        <f ca="1"/>
        <v>#REF!</v>
      </c>
      <c r="V2174" s="25" t="e">
        <f ca="1"/>
        <v>#REF!</v>
      </c>
      <c r="W2174" s="33" t="e">
        <f ca="1"/>
        <v>#REF!</v>
      </c>
      <c r="X2174" s="33" t="e">
        <f ca="1"/>
        <v>#REF!</v>
      </c>
      <c r="Y2174" s="33" t="e">
        <f ca="1"/>
        <v>#REF!</v>
      </c>
      <c r="Z2174" s="33" t="e">
        <f ca="1"/>
        <v>#REF!</v>
      </c>
      <c r="AA2174" s="33" t="e">
        <f ca="1"/>
        <v>#REF!</v>
      </c>
    </row>
    <row r="2175" spans="1:27" s="70" customFormat="1" ht="11.25" x14ac:dyDescent="0.2">
      <c r="A2175" s="24">
        <v>2169</v>
      </c>
      <c r="B2175" s="24"/>
      <c r="C2175" s="25"/>
      <c r="D2175" s="26"/>
      <c r="E2175" s="25"/>
      <c r="F2175" s="25"/>
      <c r="G2175" s="24"/>
      <c r="H2175" s="25" t="e">
        <f ca="1"/>
        <v>#REF!</v>
      </c>
      <c r="I2175" s="27" t="e">
        <f ca="1"/>
        <v>#REF!</v>
      </c>
      <c r="J2175" s="28" t="e">
        <f ca="1"/>
        <v>#REF!</v>
      </c>
      <c r="K2175" s="27" t="e">
        <f ca="1"/>
        <v>#REF!</v>
      </c>
      <c r="L2175" s="25" t="e">
        <f ca="1"/>
        <v>#REF!</v>
      </c>
      <c r="M2175" s="25" t="e">
        <f ca="1"/>
        <v>#REF!</v>
      </c>
      <c r="N2175" s="25" t="e">
        <f ca="1"/>
        <v>#REF!</v>
      </c>
      <c r="O2175" s="25" t="e">
        <f ca="1"/>
        <v>#REF!</v>
      </c>
      <c r="P2175" s="25" t="e">
        <f ca="1"/>
        <v>#REF!</v>
      </c>
      <c r="Q2175" s="25" t="e">
        <f ca="1"/>
        <v>#REF!</v>
      </c>
      <c r="R2175" s="25" t="e">
        <f ca="1"/>
        <v>#REF!</v>
      </c>
      <c r="S2175" s="25" t="e">
        <f ca="1"/>
        <v>#REF!</v>
      </c>
      <c r="T2175" s="25" t="e">
        <f ca="1"/>
        <v>#REF!</v>
      </c>
      <c r="U2175" s="25" t="e">
        <f ca="1"/>
        <v>#REF!</v>
      </c>
      <c r="V2175" s="25" t="e">
        <f ca="1"/>
        <v>#REF!</v>
      </c>
      <c r="W2175" s="33" t="e">
        <f ca="1"/>
        <v>#REF!</v>
      </c>
      <c r="X2175" s="33" t="e">
        <f ca="1"/>
        <v>#REF!</v>
      </c>
      <c r="Y2175" s="33" t="e">
        <f ca="1"/>
        <v>#REF!</v>
      </c>
      <c r="Z2175" s="33" t="e">
        <f ca="1"/>
        <v>#REF!</v>
      </c>
      <c r="AA2175" s="33" t="e">
        <f ca="1"/>
        <v>#REF!</v>
      </c>
    </row>
    <row r="2176" spans="1:27" s="70" customFormat="1" ht="11.25" x14ac:dyDescent="0.2">
      <c r="A2176" s="24">
        <v>2170</v>
      </c>
      <c r="B2176" s="24"/>
      <c r="C2176" s="25"/>
      <c r="D2176" s="26"/>
      <c r="E2176" s="25"/>
      <c r="F2176" s="25"/>
      <c r="G2176" s="24"/>
      <c r="H2176" s="25" t="e">
        <f ca="1"/>
        <v>#REF!</v>
      </c>
      <c r="I2176" s="27" t="e">
        <f ca="1"/>
        <v>#REF!</v>
      </c>
      <c r="J2176" s="28" t="e">
        <f ca="1"/>
        <v>#REF!</v>
      </c>
      <c r="K2176" s="27" t="e">
        <f ca="1"/>
        <v>#REF!</v>
      </c>
      <c r="L2176" s="25" t="e">
        <f ca="1"/>
        <v>#REF!</v>
      </c>
      <c r="M2176" s="25" t="e">
        <f ca="1"/>
        <v>#REF!</v>
      </c>
      <c r="N2176" s="25" t="e">
        <f ca="1"/>
        <v>#REF!</v>
      </c>
      <c r="O2176" s="25" t="e">
        <f ca="1"/>
        <v>#REF!</v>
      </c>
      <c r="P2176" s="25" t="e">
        <f ca="1"/>
        <v>#REF!</v>
      </c>
      <c r="Q2176" s="25" t="e">
        <f ca="1"/>
        <v>#REF!</v>
      </c>
      <c r="R2176" s="25" t="e">
        <f ca="1"/>
        <v>#REF!</v>
      </c>
      <c r="S2176" s="25" t="e">
        <f ca="1"/>
        <v>#REF!</v>
      </c>
      <c r="T2176" s="25" t="e">
        <f ca="1"/>
        <v>#REF!</v>
      </c>
      <c r="U2176" s="25" t="e">
        <f ca="1"/>
        <v>#REF!</v>
      </c>
      <c r="V2176" s="25" t="e">
        <f ca="1"/>
        <v>#REF!</v>
      </c>
      <c r="W2176" s="33" t="e">
        <f ca="1"/>
        <v>#REF!</v>
      </c>
      <c r="X2176" s="33" t="e">
        <f ca="1"/>
        <v>#REF!</v>
      </c>
      <c r="Y2176" s="33" t="e">
        <f ca="1"/>
        <v>#REF!</v>
      </c>
      <c r="Z2176" s="33" t="e">
        <f ca="1"/>
        <v>#REF!</v>
      </c>
      <c r="AA2176" s="33" t="e">
        <f ca="1"/>
        <v>#REF!</v>
      </c>
    </row>
    <row r="2177" spans="1:27" s="70" customFormat="1" ht="11.25" x14ac:dyDescent="0.2">
      <c r="A2177" s="24">
        <v>2171</v>
      </c>
      <c r="B2177" s="24"/>
      <c r="C2177" s="25"/>
      <c r="D2177" s="26"/>
      <c r="E2177" s="25"/>
      <c r="F2177" s="25"/>
      <c r="G2177" s="24"/>
      <c r="H2177" s="25" t="e">
        <f ca="1"/>
        <v>#REF!</v>
      </c>
      <c r="I2177" s="27" t="e">
        <f ca="1"/>
        <v>#REF!</v>
      </c>
      <c r="J2177" s="28" t="e">
        <f ca="1"/>
        <v>#REF!</v>
      </c>
      <c r="K2177" s="27" t="e">
        <f ca="1"/>
        <v>#REF!</v>
      </c>
      <c r="L2177" s="25" t="e">
        <f ca="1"/>
        <v>#REF!</v>
      </c>
      <c r="M2177" s="25" t="e">
        <f ca="1"/>
        <v>#REF!</v>
      </c>
      <c r="N2177" s="25" t="e">
        <f ca="1"/>
        <v>#REF!</v>
      </c>
      <c r="O2177" s="25" t="e">
        <f ca="1"/>
        <v>#REF!</v>
      </c>
      <c r="P2177" s="25" t="e">
        <f ca="1"/>
        <v>#REF!</v>
      </c>
      <c r="Q2177" s="25" t="e">
        <f ca="1"/>
        <v>#REF!</v>
      </c>
      <c r="R2177" s="25" t="e">
        <f ca="1"/>
        <v>#REF!</v>
      </c>
      <c r="S2177" s="25" t="e">
        <f ca="1"/>
        <v>#REF!</v>
      </c>
      <c r="T2177" s="25" t="e">
        <f ca="1"/>
        <v>#REF!</v>
      </c>
      <c r="U2177" s="25" t="e">
        <f ca="1"/>
        <v>#REF!</v>
      </c>
      <c r="V2177" s="25" t="e">
        <f ca="1"/>
        <v>#REF!</v>
      </c>
      <c r="W2177" s="33" t="e">
        <f ca="1"/>
        <v>#REF!</v>
      </c>
      <c r="X2177" s="33" t="e">
        <f ca="1"/>
        <v>#REF!</v>
      </c>
      <c r="Y2177" s="33" t="e">
        <f ca="1"/>
        <v>#REF!</v>
      </c>
      <c r="Z2177" s="33" t="e">
        <f ca="1"/>
        <v>#REF!</v>
      </c>
      <c r="AA2177" s="33" t="e">
        <f ca="1"/>
        <v>#REF!</v>
      </c>
    </row>
    <row r="2178" spans="1:27" s="70" customFormat="1" ht="11.25" x14ac:dyDescent="0.2">
      <c r="A2178" s="24">
        <v>2172</v>
      </c>
      <c r="B2178" s="24"/>
      <c r="C2178" s="25"/>
      <c r="D2178" s="26"/>
      <c r="E2178" s="25"/>
      <c r="F2178" s="25"/>
      <c r="G2178" s="24"/>
      <c r="H2178" s="25" t="e">
        <f ca="1"/>
        <v>#REF!</v>
      </c>
      <c r="I2178" s="27" t="e">
        <f ca="1"/>
        <v>#REF!</v>
      </c>
      <c r="J2178" s="28" t="e">
        <f ca="1"/>
        <v>#REF!</v>
      </c>
      <c r="K2178" s="27" t="e">
        <f ca="1"/>
        <v>#REF!</v>
      </c>
      <c r="L2178" s="25" t="e">
        <f ca="1"/>
        <v>#REF!</v>
      </c>
      <c r="M2178" s="25" t="e">
        <f ca="1"/>
        <v>#REF!</v>
      </c>
      <c r="N2178" s="25" t="e">
        <f ca="1"/>
        <v>#REF!</v>
      </c>
      <c r="O2178" s="25" t="e">
        <f ca="1"/>
        <v>#REF!</v>
      </c>
      <c r="P2178" s="25" t="e">
        <f ca="1"/>
        <v>#REF!</v>
      </c>
      <c r="Q2178" s="25" t="e">
        <f ca="1"/>
        <v>#REF!</v>
      </c>
      <c r="R2178" s="25" t="e">
        <f ca="1"/>
        <v>#REF!</v>
      </c>
      <c r="S2178" s="25" t="e">
        <f ca="1"/>
        <v>#REF!</v>
      </c>
      <c r="T2178" s="25" t="e">
        <f ca="1"/>
        <v>#REF!</v>
      </c>
      <c r="U2178" s="25" t="e">
        <f ca="1"/>
        <v>#REF!</v>
      </c>
      <c r="V2178" s="25" t="e">
        <f ca="1"/>
        <v>#REF!</v>
      </c>
      <c r="W2178" s="33" t="e">
        <f ca="1"/>
        <v>#REF!</v>
      </c>
      <c r="X2178" s="33" t="e">
        <f ca="1"/>
        <v>#REF!</v>
      </c>
      <c r="Y2178" s="33" t="e">
        <f ca="1"/>
        <v>#REF!</v>
      </c>
      <c r="Z2178" s="33" t="e">
        <f ca="1"/>
        <v>#REF!</v>
      </c>
      <c r="AA2178" s="33" t="e">
        <f ca="1"/>
        <v>#REF!</v>
      </c>
    </row>
    <row r="2179" spans="1:27" s="70" customFormat="1" ht="11.25" x14ac:dyDescent="0.2">
      <c r="A2179" s="24">
        <v>2173</v>
      </c>
      <c r="B2179" s="24"/>
      <c r="C2179" s="25"/>
      <c r="D2179" s="26"/>
      <c r="E2179" s="25"/>
      <c r="F2179" s="25"/>
      <c r="G2179" s="24"/>
      <c r="H2179" s="25" t="e">
        <f ca="1"/>
        <v>#REF!</v>
      </c>
      <c r="I2179" s="27" t="e">
        <f ca="1"/>
        <v>#REF!</v>
      </c>
      <c r="J2179" s="28" t="e">
        <f ca="1"/>
        <v>#REF!</v>
      </c>
      <c r="K2179" s="27" t="e">
        <f ca="1"/>
        <v>#REF!</v>
      </c>
      <c r="L2179" s="25" t="e">
        <f ca="1"/>
        <v>#REF!</v>
      </c>
      <c r="M2179" s="25" t="e">
        <f ca="1"/>
        <v>#REF!</v>
      </c>
      <c r="N2179" s="25" t="e">
        <f ca="1"/>
        <v>#REF!</v>
      </c>
      <c r="O2179" s="25" t="e">
        <f ca="1"/>
        <v>#REF!</v>
      </c>
      <c r="P2179" s="25" t="e">
        <f ca="1"/>
        <v>#REF!</v>
      </c>
      <c r="Q2179" s="25" t="e">
        <f ca="1"/>
        <v>#REF!</v>
      </c>
      <c r="R2179" s="25" t="e">
        <f ca="1"/>
        <v>#REF!</v>
      </c>
      <c r="S2179" s="25" t="e">
        <f ca="1"/>
        <v>#REF!</v>
      </c>
      <c r="T2179" s="25" t="e">
        <f ca="1"/>
        <v>#REF!</v>
      </c>
      <c r="U2179" s="25" t="e">
        <f ca="1"/>
        <v>#REF!</v>
      </c>
      <c r="V2179" s="25" t="e">
        <f ca="1"/>
        <v>#REF!</v>
      </c>
      <c r="W2179" s="33" t="e">
        <f ca="1"/>
        <v>#REF!</v>
      </c>
      <c r="X2179" s="33" t="e">
        <f ca="1"/>
        <v>#REF!</v>
      </c>
      <c r="Y2179" s="33" t="e">
        <f ca="1"/>
        <v>#REF!</v>
      </c>
      <c r="Z2179" s="33" t="e">
        <f ca="1"/>
        <v>#REF!</v>
      </c>
      <c r="AA2179" s="33" t="e">
        <f ca="1"/>
        <v>#REF!</v>
      </c>
    </row>
    <row r="2180" spans="1:27" s="70" customFormat="1" ht="11.25" x14ac:dyDescent="0.2">
      <c r="A2180" s="24">
        <v>2174</v>
      </c>
      <c r="B2180" s="24"/>
      <c r="C2180" s="25"/>
      <c r="D2180" s="26"/>
      <c r="E2180" s="25"/>
      <c r="F2180" s="25"/>
      <c r="G2180" s="24"/>
      <c r="H2180" s="25" t="e">
        <f ca="1"/>
        <v>#REF!</v>
      </c>
      <c r="I2180" s="27" t="e">
        <f ca="1"/>
        <v>#REF!</v>
      </c>
      <c r="J2180" s="28" t="e">
        <f ca="1"/>
        <v>#REF!</v>
      </c>
      <c r="K2180" s="27" t="e">
        <f ca="1"/>
        <v>#REF!</v>
      </c>
      <c r="L2180" s="25" t="e">
        <f ca="1"/>
        <v>#REF!</v>
      </c>
      <c r="M2180" s="25" t="e">
        <f ca="1"/>
        <v>#REF!</v>
      </c>
      <c r="N2180" s="25" t="e">
        <f ca="1"/>
        <v>#REF!</v>
      </c>
      <c r="O2180" s="25" t="e">
        <f ca="1"/>
        <v>#REF!</v>
      </c>
      <c r="P2180" s="25" t="e">
        <f ca="1"/>
        <v>#REF!</v>
      </c>
      <c r="Q2180" s="25" t="e">
        <f ca="1"/>
        <v>#REF!</v>
      </c>
      <c r="R2180" s="25" t="e">
        <f ca="1"/>
        <v>#REF!</v>
      </c>
      <c r="S2180" s="25" t="e">
        <f ca="1"/>
        <v>#REF!</v>
      </c>
      <c r="T2180" s="25" t="e">
        <f ca="1"/>
        <v>#REF!</v>
      </c>
      <c r="U2180" s="25" t="e">
        <f ca="1"/>
        <v>#REF!</v>
      </c>
      <c r="V2180" s="25" t="e">
        <f ca="1"/>
        <v>#REF!</v>
      </c>
      <c r="W2180" s="33" t="e">
        <f ca="1"/>
        <v>#REF!</v>
      </c>
      <c r="X2180" s="33" t="e">
        <f ca="1"/>
        <v>#REF!</v>
      </c>
      <c r="Y2180" s="33" t="e">
        <f ca="1"/>
        <v>#REF!</v>
      </c>
      <c r="Z2180" s="33" t="e">
        <f ca="1"/>
        <v>#REF!</v>
      </c>
      <c r="AA2180" s="33" t="e">
        <f ca="1"/>
        <v>#REF!</v>
      </c>
    </row>
    <row r="2181" spans="1:27" s="70" customFormat="1" ht="11.25" x14ac:dyDescent="0.2">
      <c r="A2181" s="24">
        <v>2175</v>
      </c>
      <c r="B2181" s="24"/>
      <c r="C2181" s="25"/>
      <c r="D2181" s="26"/>
      <c r="E2181" s="25"/>
      <c r="F2181" s="25"/>
      <c r="G2181" s="24"/>
      <c r="H2181" s="25" t="e">
        <f ca="1"/>
        <v>#REF!</v>
      </c>
      <c r="I2181" s="27" t="e">
        <f ca="1"/>
        <v>#REF!</v>
      </c>
      <c r="J2181" s="28" t="e">
        <f ca="1"/>
        <v>#REF!</v>
      </c>
      <c r="K2181" s="27" t="e">
        <f ca="1"/>
        <v>#REF!</v>
      </c>
      <c r="L2181" s="25" t="e">
        <f ca="1"/>
        <v>#REF!</v>
      </c>
      <c r="M2181" s="25" t="e">
        <f ca="1"/>
        <v>#REF!</v>
      </c>
      <c r="N2181" s="25" t="e">
        <f ca="1"/>
        <v>#REF!</v>
      </c>
      <c r="O2181" s="25" t="e">
        <f ca="1"/>
        <v>#REF!</v>
      </c>
      <c r="P2181" s="25" t="e">
        <f ca="1"/>
        <v>#REF!</v>
      </c>
      <c r="Q2181" s="25" t="e">
        <f ca="1"/>
        <v>#REF!</v>
      </c>
      <c r="R2181" s="25" t="e">
        <f ca="1"/>
        <v>#REF!</v>
      </c>
      <c r="S2181" s="25" t="e">
        <f ca="1"/>
        <v>#REF!</v>
      </c>
      <c r="T2181" s="25" t="e">
        <f ca="1"/>
        <v>#REF!</v>
      </c>
      <c r="U2181" s="25" t="e">
        <f ca="1"/>
        <v>#REF!</v>
      </c>
      <c r="V2181" s="25" t="e">
        <f ca="1"/>
        <v>#REF!</v>
      </c>
      <c r="W2181" s="33" t="e">
        <f ca="1"/>
        <v>#REF!</v>
      </c>
      <c r="X2181" s="33" t="e">
        <f ca="1"/>
        <v>#REF!</v>
      </c>
      <c r="Y2181" s="33" t="e">
        <f ca="1"/>
        <v>#REF!</v>
      </c>
      <c r="Z2181" s="33" t="e">
        <f ca="1"/>
        <v>#REF!</v>
      </c>
      <c r="AA2181" s="33" t="e">
        <f ca="1"/>
        <v>#REF!</v>
      </c>
    </row>
    <row r="2182" spans="1:27" s="70" customFormat="1" ht="11.25" x14ac:dyDescent="0.2">
      <c r="A2182" s="24">
        <v>2176</v>
      </c>
      <c r="B2182" s="24"/>
      <c r="C2182" s="25"/>
      <c r="D2182" s="26"/>
      <c r="E2182" s="25"/>
      <c r="F2182" s="25"/>
      <c r="G2182" s="24"/>
      <c r="H2182" s="25" t="e">
        <f ca="1"/>
        <v>#REF!</v>
      </c>
      <c r="I2182" s="27" t="e">
        <f ca="1"/>
        <v>#REF!</v>
      </c>
      <c r="J2182" s="28" t="e">
        <f ca="1"/>
        <v>#REF!</v>
      </c>
      <c r="K2182" s="27" t="e">
        <f ca="1"/>
        <v>#REF!</v>
      </c>
      <c r="L2182" s="25" t="e">
        <f ca="1"/>
        <v>#REF!</v>
      </c>
      <c r="M2182" s="25" t="e">
        <f ca="1"/>
        <v>#REF!</v>
      </c>
      <c r="N2182" s="25" t="e">
        <f ca="1"/>
        <v>#REF!</v>
      </c>
      <c r="O2182" s="25" t="e">
        <f ca="1"/>
        <v>#REF!</v>
      </c>
      <c r="P2182" s="25" t="e">
        <f ca="1"/>
        <v>#REF!</v>
      </c>
      <c r="Q2182" s="25" t="e">
        <f ca="1"/>
        <v>#REF!</v>
      </c>
      <c r="R2182" s="25" t="e">
        <f ca="1"/>
        <v>#REF!</v>
      </c>
      <c r="S2182" s="25" t="e">
        <f ca="1"/>
        <v>#REF!</v>
      </c>
      <c r="T2182" s="25" t="e">
        <f ca="1"/>
        <v>#REF!</v>
      </c>
      <c r="U2182" s="25" t="e">
        <f ca="1"/>
        <v>#REF!</v>
      </c>
      <c r="V2182" s="25" t="e">
        <f ca="1"/>
        <v>#REF!</v>
      </c>
      <c r="W2182" s="33" t="e">
        <f ca="1"/>
        <v>#REF!</v>
      </c>
      <c r="X2182" s="33" t="e">
        <f ca="1"/>
        <v>#REF!</v>
      </c>
      <c r="Y2182" s="33" t="e">
        <f ca="1"/>
        <v>#REF!</v>
      </c>
      <c r="Z2182" s="33" t="e">
        <f ca="1"/>
        <v>#REF!</v>
      </c>
      <c r="AA2182" s="33" t="e">
        <f ca="1"/>
        <v>#REF!</v>
      </c>
    </row>
    <row r="2183" spans="1:27" s="70" customFormat="1" ht="11.25" x14ac:dyDescent="0.2">
      <c r="A2183" s="24">
        <v>2177</v>
      </c>
      <c r="B2183" s="24"/>
      <c r="C2183" s="25"/>
      <c r="D2183" s="26"/>
      <c r="E2183" s="25"/>
      <c r="F2183" s="25"/>
      <c r="G2183" s="24"/>
      <c r="H2183" s="25" t="e">
        <f ca="1"/>
        <v>#REF!</v>
      </c>
      <c r="I2183" s="27" t="e">
        <f ca="1"/>
        <v>#REF!</v>
      </c>
      <c r="J2183" s="28" t="e">
        <f ca="1"/>
        <v>#REF!</v>
      </c>
      <c r="K2183" s="27" t="e">
        <f ca="1"/>
        <v>#REF!</v>
      </c>
      <c r="L2183" s="25" t="e">
        <f ca="1"/>
        <v>#REF!</v>
      </c>
      <c r="M2183" s="25" t="e">
        <f ca="1"/>
        <v>#REF!</v>
      </c>
      <c r="N2183" s="25" t="e">
        <f ca="1"/>
        <v>#REF!</v>
      </c>
      <c r="O2183" s="25" t="e">
        <f ca="1"/>
        <v>#REF!</v>
      </c>
      <c r="P2183" s="25" t="e">
        <f ca="1"/>
        <v>#REF!</v>
      </c>
      <c r="Q2183" s="25" t="e">
        <f ca="1"/>
        <v>#REF!</v>
      </c>
      <c r="R2183" s="25" t="e">
        <f ca="1"/>
        <v>#REF!</v>
      </c>
      <c r="S2183" s="25" t="e">
        <f ca="1"/>
        <v>#REF!</v>
      </c>
      <c r="T2183" s="25" t="e">
        <f ca="1"/>
        <v>#REF!</v>
      </c>
      <c r="U2183" s="25" t="e">
        <f ca="1"/>
        <v>#REF!</v>
      </c>
      <c r="V2183" s="25" t="e">
        <f ca="1"/>
        <v>#REF!</v>
      </c>
      <c r="W2183" s="33" t="e">
        <f ca="1"/>
        <v>#REF!</v>
      </c>
      <c r="X2183" s="33" t="e">
        <f ca="1"/>
        <v>#REF!</v>
      </c>
      <c r="Y2183" s="33" t="e">
        <f ca="1"/>
        <v>#REF!</v>
      </c>
      <c r="Z2183" s="33" t="e">
        <f ca="1"/>
        <v>#REF!</v>
      </c>
      <c r="AA2183" s="33" t="e">
        <f ca="1"/>
        <v>#REF!</v>
      </c>
    </row>
    <row r="2184" spans="1:27" s="70" customFormat="1" ht="11.25" x14ac:dyDescent="0.2">
      <c r="A2184" s="24">
        <v>2178</v>
      </c>
      <c r="B2184" s="24"/>
      <c r="C2184" s="25"/>
      <c r="D2184" s="26"/>
      <c r="E2184" s="25"/>
      <c r="F2184" s="25"/>
      <c r="G2184" s="24"/>
      <c r="H2184" s="25" t="e">
        <f ca="1"/>
        <v>#REF!</v>
      </c>
      <c r="I2184" s="27" t="e">
        <f ca="1"/>
        <v>#REF!</v>
      </c>
      <c r="J2184" s="25" t="e">
        <f ca="1"/>
        <v>#REF!</v>
      </c>
      <c r="K2184" s="27" t="e">
        <f ca="1"/>
        <v>#REF!</v>
      </c>
      <c r="L2184" s="25" t="e">
        <f ca="1"/>
        <v>#REF!</v>
      </c>
      <c r="M2184" s="25" t="e">
        <f ca="1"/>
        <v>#REF!</v>
      </c>
      <c r="N2184" s="25" t="e">
        <f ca="1"/>
        <v>#REF!</v>
      </c>
      <c r="O2184" s="25" t="e">
        <f ca="1"/>
        <v>#REF!</v>
      </c>
      <c r="P2184" s="25" t="e">
        <f ca="1"/>
        <v>#REF!</v>
      </c>
      <c r="Q2184" s="25" t="e">
        <f ca="1"/>
        <v>#REF!</v>
      </c>
      <c r="R2184" s="25" t="e">
        <f ca="1"/>
        <v>#REF!</v>
      </c>
      <c r="S2184" s="25" t="e">
        <f ca="1"/>
        <v>#REF!</v>
      </c>
      <c r="T2184" s="25" t="e">
        <f ca="1"/>
        <v>#REF!</v>
      </c>
      <c r="U2184" s="25" t="e">
        <f ca="1"/>
        <v>#REF!</v>
      </c>
      <c r="V2184" s="25" t="e">
        <f ca="1"/>
        <v>#REF!</v>
      </c>
      <c r="W2184" s="33" t="e">
        <f ca="1"/>
        <v>#REF!</v>
      </c>
      <c r="X2184" s="33" t="e">
        <f ca="1"/>
        <v>#REF!</v>
      </c>
      <c r="Y2184" s="33" t="e">
        <f ca="1"/>
        <v>#REF!</v>
      </c>
      <c r="Z2184" s="33" t="e">
        <f ca="1"/>
        <v>#REF!</v>
      </c>
      <c r="AA2184" s="33" t="e">
        <f ca="1"/>
        <v>#REF!</v>
      </c>
    </row>
    <row r="2185" spans="1:27" s="70" customFormat="1" ht="11.25" x14ac:dyDescent="0.2">
      <c r="A2185" s="24">
        <v>2179</v>
      </c>
      <c r="B2185" s="24"/>
      <c r="C2185" s="25"/>
      <c r="D2185" s="26"/>
      <c r="E2185" s="25"/>
      <c r="F2185" s="25"/>
      <c r="G2185" s="24"/>
      <c r="H2185" s="25" t="e">
        <f ca="1"/>
        <v>#REF!</v>
      </c>
      <c r="I2185" s="27" t="e">
        <f ca="1"/>
        <v>#REF!</v>
      </c>
      <c r="J2185" s="25" t="e">
        <f ca="1"/>
        <v>#REF!</v>
      </c>
      <c r="K2185" s="27" t="e">
        <f ca="1"/>
        <v>#REF!</v>
      </c>
      <c r="L2185" s="25" t="e">
        <f ca="1"/>
        <v>#REF!</v>
      </c>
      <c r="M2185" s="25" t="e">
        <f ca="1"/>
        <v>#REF!</v>
      </c>
      <c r="N2185" s="25" t="e">
        <f ca="1"/>
        <v>#REF!</v>
      </c>
      <c r="O2185" s="25" t="e">
        <f ca="1"/>
        <v>#REF!</v>
      </c>
      <c r="P2185" s="25" t="e">
        <f ca="1"/>
        <v>#REF!</v>
      </c>
      <c r="Q2185" s="25" t="e">
        <f ca="1"/>
        <v>#REF!</v>
      </c>
      <c r="R2185" s="25" t="e">
        <f ca="1"/>
        <v>#REF!</v>
      </c>
      <c r="S2185" s="25" t="e">
        <f ca="1"/>
        <v>#REF!</v>
      </c>
      <c r="T2185" s="25" t="e">
        <f ca="1"/>
        <v>#REF!</v>
      </c>
      <c r="U2185" s="25" t="e">
        <f ca="1"/>
        <v>#REF!</v>
      </c>
      <c r="V2185" s="25" t="e">
        <f ca="1"/>
        <v>#REF!</v>
      </c>
      <c r="W2185" s="33" t="e">
        <f ca="1"/>
        <v>#REF!</v>
      </c>
      <c r="X2185" s="33" t="e">
        <f ca="1"/>
        <v>#REF!</v>
      </c>
      <c r="Y2185" s="33" t="e">
        <f ca="1"/>
        <v>#REF!</v>
      </c>
      <c r="Z2185" s="33" t="e">
        <f ca="1"/>
        <v>#REF!</v>
      </c>
      <c r="AA2185" s="33" t="e">
        <f ca="1"/>
        <v>#REF!</v>
      </c>
    </row>
    <row r="2186" spans="1:27" s="70" customFormat="1" ht="11.25" x14ac:dyDescent="0.2">
      <c r="A2186" s="24">
        <v>2180</v>
      </c>
      <c r="B2186" s="24"/>
      <c r="C2186" s="25"/>
      <c r="D2186" s="26"/>
      <c r="E2186" s="25"/>
      <c r="F2186" s="25"/>
      <c r="G2186" s="24"/>
      <c r="H2186" s="25" t="e">
        <f ca="1"/>
        <v>#REF!</v>
      </c>
      <c r="I2186" s="27" t="e">
        <f ca="1"/>
        <v>#REF!</v>
      </c>
      <c r="J2186" s="25" t="e">
        <f ca="1"/>
        <v>#REF!</v>
      </c>
      <c r="K2186" s="27" t="e">
        <f ca="1"/>
        <v>#REF!</v>
      </c>
      <c r="L2186" s="25" t="e">
        <f ca="1"/>
        <v>#REF!</v>
      </c>
      <c r="M2186" s="25" t="e">
        <f ca="1"/>
        <v>#REF!</v>
      </c>
      <c r="N2186" s="25" t="e">
        <f ca="1"/>
        <v>#REF!</v>
      </c>
      <c r="O2186" s="25" t="e">
        <f ca="1"/>
        <v>#REF!</v>
      </c>
      <c r="P2186" s="25" t="e">
        <f ca="1"/>
        <v>#REF!</v>
      </c>
      <c r="Q2186" s="25" t="e">
        <f ca="1"/>
        <v>#REF!</v>
      </c>
      <c r="R2186" s="25" t="e">
        <f ca="1"/>
        <v>#REF!</v>
      </c>
      <c r="S2186" s="25" t="e">
        <f ca="1"/>
        <v>#REF!</v>
      </c>
      <c r="T2186" s="25" t="e">
        <f ca="1"/>
        <v>#REF!</v>
      </c>
      <c r="U2186" s="25" t="e">
        <f ca="1"/>
        <v>#REF!</v>
      </c>
      <c r="V2186" s="25" t="e">
        <f ca="1"/>
        <v>#REF!</v>
      </c>
      <c r="W2186" s="33" t="e">
        <f ca="1"/>
        <v>#REF!</v>
      </c>
      <c r="X2186" s="33" t="e">
        <f ca="1"/>
        <v>#REF!</v>
      </c>
      <c r="Y2186" s="33" t="e">
        <f ca="1"/>
        <v>#REF!</v>
      </c>
      <c r="Z2186" s="33" t="e">
        <f ca="1"/>
        <v>#REF!</v>
      </c>
      <c r="AA2186" s="33" t="e">
        <f ca="1"/>
        <v>#REF!</v>
      </c>
    </row>
    <row r="2187" spans="1:27" s="70" customFormat="1" ht="11.25" x14ac:dyDescent="0.2">
      <c r="A2187" s="24">
        <v>2181</v>
      </c>
      <c r="B2187" s="24"/>
      <c r="C2187" s="25"/>
      <c r="D2187" s="26"/>
      <c r="E2187" s="25"/>
      <c r="F2187" s="25"/>
      <c r="G2187" s="24"/>
      <c r="H2187" s="25" t="e">
        <f ca="1"/>
        <v>#REF!</v>
      </c>
      <c r="I2187" s="27" t="e">
        <f ca="1"/>
        <v>#REF!</v>
      </c>
      <c r="J2187" s="25" t="e">
        <f ca="1"/>
        <v>#REF!</v>
      </c>
      <c r="K2187" s="27" t="e">
        <f ca="1"/>
        <v>#REF!</v>
      </c>
      <c r="L2187" s="25" t="e">
        <f ca="1"/>
        <v>#REF!</v>
      </c>
      <c r="M2187" s="25" t="e">
        <f ca="1"/>
        <v>#REF!</v>
      </c>
      <c r="N2187" s="25" t="e">
        <f ca="1"/>
        <v>#REF!</v>
      </c>
      <c r="O2187" s="25" t="e">
        <f ca="1"/>
        <v>#REF!</v>
      </c>
      <c r="P2187" s="25" t="e">
        <f ca="1"/>
        <v>#REF!</v>
      </c>
      <c r="Q2187" s="25" t="e">
        <f ca="1"/>
        <v>#REF!</v>
      </c>
      <c r="R2187" s="25" t="e">
        <f ca="1"/>
        <v>#REF!</v>
      </c>
      <c r="S2187" s="25" t="e">
        <f ca="1"/>
        <v>#REF!</v>
      </c>
      <c r="T2187" s="25" t="e">
        <f ca="1"/>
        <v>#REF!</v>
      </c>
      <c r="U2187" s="25" t="e">
        <f ca="1"/>
        <v>#REF!</v>
      </c>
      <c r="V2187" s="25" t="e">
        <f ca="1"/>
        <v>#REF!</v>
      </c>
      <c r="W2187" s="33" t="e">
        <f ca="1"/>
        <v>#REF!</v>
      </c>
      <c r="X2187" s="33" t="e">
        <f ca="1"/>
        <v>#REF!</v>
      </c>
      <c r="Y2187" s="33" t="e">
        <f ca="1"/>
        <v>#REF!</v>
      </c>
      <c r="Z2187" s="33" t="e">
        <f ca="1"/>
        <v>#REF!</v>
      </c>
      <c r="AA2187" s="33" t="e">
        <f ca="1"/>
        <v>#REF!</v>
      </c>
    </row>
    <row r="2188" spans="1:27" s="70" customFormat="1" ht="11.25" x14ac:dyDescent="0.2">
      <c r="A2188" s="24">
        <v>2182</v>
      </c>
      <c r="B2188" s="24"/>
      <c r="C2188" s="25"/>
      <c r="D2188" s="26"/>
      <c r="E2188" s="25"/>
      <c r="F2188" s="25"/>
      <c r="G2188" s="24"/>
      <c r="H2188" s="25" t="e">
        <f ca="1"/>
        <v>#REF!</v>
      </c>
      <c r="I2188" s="27" t="e">
        <f ca="1"/>
        <v>#REF!</v>
      </c>
      <c r="J2188" s="28" t="e">
        <f ca="1"/>
        <v>#REF!</v>
      </c>
      <c r="K2188" s="27" t="e">
        <f ca="1"/>
        <v>#REF!</v>
      </c>
      <c r="L2188" s="25" t="e">
        <f ca="1"/>
        <v>#REF!</v>
      </c>
      <c r="M2188" s="25" t="e">
        <f ca="1"/>
        <v>#REF!</v>
      </c>
      <c r="N2188" s="25" t="e">
        <f ca="1"/>
        <v>#REF!</v>
      </c>
      <c r="O2188" s="25" t="e">
        <f ca="1"/>
        <v>#REF!</v>
      </c>
      <c r="P2188" s="25" t="e">
        <f ca="1"/>
        <v>#REF!</v>
      </c>
      <c r="Q2188" s="25" t="e">
        <f ca="1"/>
        <v>#REF!</v>
      </c>
      <c r="R2188" s="25" t="e">
        <f ca="1"/>
        <v>#REF!</v>
      </c>
      <c r="S2188" s="25" t="e">
        <f ca="1"/>
        <v>#REF!</v>
      </c>
      <c r="T2188" s="25" t="e">
        <f ca="1"/>
        <v>#REF!</v>
      </c>
      <c r="U2188" s="25" t="e">
        <f ca="1"/>
        <v>#REF!</v>
      </c>
      <c r="V2188" s="25" t="e">
        <f ca="1"/>
        <v>#REF!</v>
      </c>
      <c r="W2188" s="33" t="e">
        <f ca="1"/>
        <v>#REF!</v>
      </c>
      <c r="X2188" s="33" t="e">
        <f ca="1"/>
        <v>#REF!</v>
      </c>
      <c r="Y2188" s="33" t="e">
        <f ca="1"/>
        <v>#REF!</v>
      </c>
      <c r="Z2188" s="33" t="e">
        <f ca="1"/>
        <v>#REF!</v>
      </c>
      <c r="AA2188" s="33" t="e">
        <f ca="1"/>
        <v>#REF!</v>
      </c>
    </row>
    <row r="2189" spans="1:27" s="70" customFormat="1" ht="11.25" x14ac:dyDescent="0.2">
      <c r="A2189" s="24">
        <v>2183</v>
      </c>
      <c r="B2189" s="24"/>
      <c r="C2189" s="25"/>
      <c r="D2189" s="26"/>
      <c r="E2189" s="25"/>
      <c r="F2189" s="25"/>
      <c r="G2189" s="24"/>
      <c r="H2189" s="25" t="e">
        <f ca="1"/>
        <v>#REF!</v>
      </c>
      <c r="I2189" s="27" t="e">
        <f ca="1"/>
        <v>#REF!</v>
      </c>
      <c r="J2189" s="28" t="e">
        <f ca="1"/>
        <v>#REF!</v>
      </c>
      <c r="K2189" s="27" t="e">
        <f ca="1"/>
        <v>#REF!</v>
      </c>
      <c r="L2189" s="25" t="e">
        <f ca="1"/>
        <v>#REF!</v>
      </c>
      <c r="M2189" s="25" t="e">
        <f ca="1"/>
        <v>#REF!</v>
      </c>
      <c r="N2189" s="25" t="e">
        <f ca="1"/>
        <v>#REF!</v>
      </c>
      <c r="O2189" s="25" t="e">
        <f ca="1"/>
        <v>#REF!</v>
      </c>
      <c r="P2189" s="25" t="e">
        <f ca="1"/>
        <v>#REF!</v>
      </c>
      <c r="Q2189" s="25" t="e">
        <f ca="1"/>
        <v>#REF!</v>
      </c>
      <c r="R2189" s="25" t="e">
        <f ca="1"/>
        <v>#REF!</v>
      </c>
      <c r="S2189" s="25" t="e">
        <f ca="1"/>
        <v>#REF!</v>
      </c>
      <c r="T2189" s="25" t="e">
        <f ca="1"/>
        <v>#REF!</v>
      </c>
      <c r="U2189" s="25" t="e">
        <f ca="1"/>
        <v>#REF!</v>
      </c>
      <c r="V2189" s="25" t="e">
        <f ca="1"/>
        <v>#REF!</v>
      </c>
      <c r="W2189" s="33" t="e">
        <f ca="1"/>
        <v>#REF!</v>
      </c>
      <c r="X2189" s="33" t="e">
        <f ca="1"/>
        <v>#REF!</v>
      </c>
      <c r="Y2189" s="33" t="e">
        <f ca="1"/>
        <v>#REF!</v>
      </c>
      <c r="Z2189" s="33" t="e">
        <f ca="1"/>
        <v>#REF!</v>
      </c>
      <c r="AA2189" s="33" t="e">
        <f ca="1"/>
        <v>#REF!</v>
      </c>
    </row>
    <row r="2190" spans="1:27" s="70" customFormat="1" ht="11.25" x14ac:dyDescent="0.2">
      <c r="A2190" s="24">
        <v>2184</v>
      </c>
      <c r="B2190" s="24"/>
      <c r="C2190" s="25"/>
      <c r="D2190" s="26"/>
      <c r="E2190" s="25"/>
      <c r="F2190" s="25"/>
      <c r="G2190" s="24"/>
      <c r="H2190" s="25" t="e">
        <f ca="1"/>
        <v>#REF!</v>
      </c>
      <c r="I2190" s="27" t="e">
        <f ca="1"/>
        <v>#REF!</v>
      </c>
      <c r="J2190" s="28" t="e">
        <f ca="1"/>
        <v>#REF!</v>
      </c>
      <c r="K2190" s="27" t="e">
        <f ca="1"/>
        <v>#REF!</v>
      </c>
      <c r="L2190" s="25" t="e">
        <f ca="1"/>
        <v>#REF!</v>
      </c>
      <c r="M2190" s="25" t="e">
        <f ca="1"/>
        <v>#REF!</v>
      </c>
      <c r="N2190" s="25" t="e">
        <f ca="1"/>
        <v>#REF!</v>
      </c>
      <c r="O2190" s="25" t="e">
        <f ca="1"/>
        <v>#REF!</v>
      </c>
      <c r="P2190" s="25" t="e">
        <f ca="1"/>
        <v>#REF!</v>
      </c>
      <c r="Q2190" s="25" t="e">
        <f ca="1"/>
        <v>#REF!</v>
      </c>
      <c r="R2190" s="25" t="e">
        <f ca="1"/>
        <v>#REF!</v>
      </c>
      <c r="S2190" s="25" t="e">
        <f ca="1"/>
        <v>#REF!</v>
      </c>
      <c r="T2190" s="25" t="e">
        <f ca="1"/>
        <v>#REF!</v>
      </c>
      <c r="U2190" s="25" t="e">
        <f ca="1"/>
        <v>#REF!</v>
      </c>
      <c r="V2190" s="25" t="e">
        <f ca="1"/>
        <v>#REF!</v>
      </c>
      <c r="W2190" s="33" t="e">
        <f ca="1"/>
        <v>#REF!</v>
      </c>
      <c r="X2190" s="33" t="e">
        <f ca="1"/>
        <v>#REF!</v>
      </c>
      <c r="Y2190" s="33" t="e">
        <f ca="1"/>
        <v>#REF!</v>
      </c>
      <c r="Z2190" s="33" t="e">
        <f ca="1"/>
        <v>#REF!</v>
      </c>
      <c r="AA2190" s="33" t="e">
        <f ca="1"/>
        <v>#REF!</v>
      </c>
    </row>
    <row r="2191" spans="1:27" s="70" customFormat="1" ht="11.25" x14ac:dyDescent="0.2">
      <c r="A2191" s="24">
        <v>2185</v>
      </c>
      <c r="B2191" s="24"/>
      <c r="C2191" s="25"/>
      <c r="D2191" s="26"/>
      <c r="E2191" s="25"/>
      <c r="F2191" s="25"/>
      <c r="G2191" s="24"/>
      <c r="H2191" s="25" t="e">
        <f ca="1"/>
        <v>#REF!</v>
      </c>
      <c r="I2191" s="27" t="e">
        <f ca="1"/>
        <v>#REF!</v>
      </c>
      <c r="J2191" s="28" t="e">
        <f ca="1"/>
        <v>#REF!</v>
      </c>
      <c r="K2191" s="27" t="e">
        <f ca="1"/>
        <v>#REF!</v>
      </c>
      <c r="L2191" s="25" t="e">
        <f ca="1"/>
        <v>#REF!</v>
      </c>
      <c r="M2191" s="25" t="e">
        <f ca="1"/>
        <v>#REF!</v>
      </c>
      <c r="N2191" s="25" t="e">
        <f ca="1"/>
        <v>#REF!</v>
      </c>
      <c r="O2191" s="25" t="e">
        <f ca="1"/>
        <v>#REF!</v>
      </c>
      <c r="P2191" s="25" t="e">
        <f ca="1"/>
        <v>#REF!</v>
      </c>
      <c r="Q2191" s="25" t="e">
        <f ca="1"/>
        <v>#REF!</v>
      </c>
      <c r="R2191" s="25" t="e">
        <f ca="1"/>
        <v>#REF!</v>
      </c>
      <c r="S2191" s="25" t="e">
        <f ca="1"/>
        <v>#REF!</v>
      </c>
      <c r="T2191" s="25" t="e">
        <f ca="1"/>
        <v>#REF!</v>
      </c>
      <c r="U2191" s="25" t="e">
        <f ca="1"/>
        <v>#REF!</v>
      </c>
      <c r="V2191" s="25" t="e">
        <f ca="1"/>
        <v>#REF!</v>
      </c>
      <c r="W2191" s="33" t="e">
        <f ca="1"/>
        <v>#REF!</v>
      </c>
      <c r="X2191" s="33" t="e">
        <f ca="1"/>
        <v>#REF!</v>
      </c>
      <c r="Y2191" s="33" t="e">
        <f ca="1"/>
        <v>#REF!</v>
      </c>
      <c r="Z2191" s="33" t="e">
        <f ca="1"/>
        <v>#REF!</v>
      </c>
      <c r="AA2191" s="33" t="e">
        <f ca="1"/>
        <v>#REF!</v>
      </c>
    </row>
    <row r="2192" spans="1:27" s="70" customFormat="1" ht="11.25" x14ac:dyDescent="0.2">
      <c r="A2192" s="24">
        <v>2186</v>
      </c>
      <c r="B2192" s="24"/>
      <c r="C2192" s="25"/>
      <c r="D2192" s="26"/>
      <c r="E2192" s="25"/>
      <c r="F2192" s="25"/>
      <c r="G2192" s="24"/>
      <c r="H2192" s="25" t="e">
        <f ca="1"/>
        <v>#REF!</v>
      </c>
      <c r="I2192" s="27" t="e">
        <f ca="1"/>
        <v>#REF!</v>
      </c>
      <c r="J2192" s="28" t="e">
        <f ca="1"/>
        <v>#REF!</v>
      </c>
      <c r="K2192" s="27" t="e">
        <f ca="1"/>
        <v>#REF!</v>
      </c>
      <c r="L2192" s="25" t="e">
        <f ca="1"/>
        <v>#REF!</v>
      </c>
      <c r="M2192" s="25" t="e">
        <f ca="1"/>
        <v>#REF!</v>
      </c>
      <c r="N2192" s="25" t="e">
        <f ca="1"/>
        <v>#REF!</v>
      </c>
      <c r="O2192" s="25" t="e">
        <f ca="1"/>
        <v>#REF!</v>
      </c>
      <c r="P2192" s="25" t="e">
        <f ca="1"/>
        <v>#REF!</v>
      </c>
      <c r="Q2192" s="25" t="e">
        <f ca="1"/>
        <v>#REF!</v>
      </c>
      <c r="R2192" s="25" t="e">
        <f ca="1"/>
        <v>#REF!</v>
      </c>
      <c r="S2192" s="25" t="e">
        <f ca="1"/>
        <v>#REF!</v>
      </c>
      <c r="T2192" s="25" t="e">
        <f ca="1"/>
        <v>#REF!</v>
      </c>
      <c r="U2192" s="25" t="e">
        <f ca="1"/>
        <v>#REF!</v>
      </c>
      <c r="V2192" s="25" t="e">
        <f ca="1"/>
        <v>#REF!</v>
      </c>
      <c r="W2192" s="33" t="e">
        <f ca="1"/>
        <v>#REF!</v>
      </c>
      <c r="X2192" s="33" t="e">
        <f ca="1"/>
        <v>#REF!</v>
      </c>
      <c r="Y2192" s="33" t="e">
        <f ca="1"/>
        <v>#REF!</v>
      </c>
      <c r="Z2192" s="33" t="e">
        <f ca="1"/>
        <v>#REF!</v>
      </c>
      <c r="AA2192" s="33" t="e">
        <f ca="1"/>
        <v>#REF!</v>
      </c>
    </row>
    <row r="2193" spans="1:27" s="70" customFormat="1" ht="11.25" x14ac:dyDescent="0.2">
      <c r="A2193" s="24">
        <v>2187</v>
      </c>
      <c r="B2193" s="24"/>
      <c r="C2193" s="25"/>
      <c r="D2193" s="26"/>
      <c r="E2193" s="25"/>
      <c r="F2193" s="25"/>
      <c r="G2193" s="24"/>
      <c r="H2193" s="25" t="e">
        <f ca="1"/>
        <v>#REF!</v>
      </c>
      <c r="I2193" s="27" t="e">
        <f ca="1"/>
        <v>#REF!</v>
      </c>
      <c r="J2193" s="28" t="e">
        <f ca="1"/>
        <v>#REF!</v>
      </c>
      <c r="K2193" s="27" t="e">
        <f ca="1"/>
        <v>#REF!</v>
      </c>
      <c r="L2193" s="25" t="e">
        <f ca="1"/>
        <v>#REF!</v>
      </c>
      <c r="M2193" s="25" t="e">
        <f ca="1"/>
        <v>#REF!</v>
      </c>
      <c r="N2193" s="25" t="e">
        <f ca="1"/>
        <v>#REF!</v>
      </c>
      <c r="O2193" s="25" t="e">
        <f ca="1"/>
        <v>#REF!</v>
      </c>
      <c r="P2193" s="25" t="e">
        <f ca="1"/>
        <v>#REF!</v>
      </c>
      <c r="Q2193" s="25" t="e">
        <f ca="1"/>
        <v>#REF!</v>
      </c>
      <c r="R2193" s="25" t="e">
        <f ca="1"/>
        <v>#REF!</v>
      </c>
      <c r="S2193" s="25" t="e">
        <f ca="1"/>
        <v>#REF!</v>
      </c>
      <c r="T2193" s="25" t="e">
        <f ca="1"/>
        <v>#REF!</v>
      </c>
      <c r="U2193" s="25" t="e">
        <f ca="1"/>
        <v>#REF!</v>
      </c>
      <c r="V2193" s="25" t="e">
        <f ca="1"/>
        <v>#REF!</v>
      </c>
      <c r="W2193" s="33" t="e">
        <f ca="1"/>
        <v>#REF!</v>
      </c>
      <c r="X2193" s="33" t="e">
        <f ca="1"/>
        <v>#REF!</v>
      </c>
      <c r="Y2193" s="33" t="e">
        <f ca="1"/>
        <v>#REF!</v>
      </c>
      <c r="Z2193" s="33" t="e">
        <f ca="1"/>
        <v>#REF!</v>
      </c>
      <c r="AA2193" s="33" t="e">
        <f ca="1"/>
        <v>#REF!</v>
      </c>
    </row>
    <row r="2194" spans="1:27" s="70" customFormat="1" ht="11.25" x14ac:dyDescent="0.2">
      <c r="A2194" s="24">
        <v>2188</v>
      </c>
      <c r="B2194" s="24"/>
      <c r="C2194" s="25"/>
      <c r="D2194" s="26"/>
      <c r="E2194" s="25"/>
      <c r="F2194" s="25"/>
      <c r="G2194" s="24"/>
      <c r="H2194" s="25" t="e">
        <f ca="1"/>
        <v>#REF!</v>
      </c>
      <c r="I2194" s="27" t="e">
        <f ca="1"/>
        <v>#REF!</v>
      </c>
      <c r="J2194" s="28" t="e">
        <f ca="1"/>
        <v>#REF!</v>
      </c>
      <c r="K2194" s="27" t="e">
        <f ca="1"/>
        <v>#REF!</v>
      </c>
      <c r="L2194" s="25" t="e">
        <f ca="1"/>
        <v>#REF!</v>
      </c>
      <c r="M2194" s="25" t="e">
        <f ca="1"/>
        <v>#REF!</v>
      </c>
      <c r="N2194" s="25" t="e">
        <f ca="1"/>
        <v>#REF!</v>
      </c>
      <c r="O2194" s="25" t="e">
        <f ca="1"/>
        <v>#REF!</v>
      </c>
      <c r="P2194" s="25" t="e">
        <f ca="1"/>
        <v>#REF!</v>
      </c>
      <c r="Q2194" s="25" t="e">
        <f ca="1"/>
        <v>#REF!</v>
      </c>
      <c r="R2194" s="25" t="e">
        <f ca="1"/>
        <v>#REF!</v>
      </c>
      <c r="S2194" s="25" t="e">
        <f ca="1"/>
        <v>#REF!</v>
      </c>
      <c r="T2194" s="25" t="e">
        <f ca="1"/>
        <v>#REF!</v>
      </c>
      <c r="U2194" s="25" t="e">
        <f ca="1"/>
        <v>#REF!</v>
      </c>
      <c r="V2194" s="25" t="e">
        <f ca="1"/>
        <v>#REF!</v>
      </c>
      <c r="W2194" s="33" t="e">
        <f ca="1"/>
        <v>#REF!</v>
      </c>
      <c r="X2194" s="33" t="e">
        <f ca="1"/>
        <v>#REF!</v>
      </c>
      <c r="Y2194" s="33" t="e">
        <f ca="1"/>
        <v>#REF!</v>
      </c>
      <c r="Z2194" s="33" t="e">
        <f ca="1"/>
        <v>#REF!</v>
      </c>
      <c r="AA2194" s="33" t="e">
        <f ca="1"/>
        <v>#REF!</v>
      </c>
    </row>
    <row r="2195" spans="1:27" s="70" customFormat="1" ht="11.25" x14ac:dyDescent="0.2">
      <c r="A2195" s="24">
        <v>2189</v>
      </c>
      <c r="B2195" s="24"/>
      <c r="C2195" s="25"/>
      <c r="D2195" s="26"/>
      <c r="E2195" s="25"/>
      <c r="F2195" s="25"/>
      <c r="G2195" s="24"/>
      <c r="H2195" s="25" t="e">
        <f ca="1"/>
        <v>#REF!</v>
      </c>
      <c r="I2195" s="27" t="e">
        <f ca="1"/>
        <v>#REF!</v>
      </c>
      <c r="J2195" s="28" t="e">
        <f ca="1"/>
        <v>#REF!</v>
      </c>
      <c r="K2195" s="27" t="e">
        <f ca="1"/>
        <v>#REF!</v>
      </c>
      <c r="L2195" s="25" t="e">
        <f ca="1"/>
        <v>#REF!</v>
      </c>
      <c r="M2195" s="25" t="e">
        <f ca="1"/>
        <v>#REF!</v>
      </c>
      <c r="N2195" s="25" t="e">
        <f ca="1"/>
        <v>#REF!</v>
      </c>
      <c r="O2195" s="25" t="e">
        <f ca="1"/>
        <v>#REF!</v>
      </c>
      <c r="P2195" s="25" t="e">
        <f ca="1"/>
        <v>#REF!</v>
      </c>
      <c r="Q2195" s="25" t="e">
        <f ca="1"/>
        <v>#REF!</v>
      </c>
      <c r="R2195" s="25" t="e">
        <f ca="1"/>
        <v>#REF!</v>
      </c>
      <c r="S2195" s="25" t="e">
        <f ca="1"/>
        <v>#REF!</v>
      </c>
      <c r="T2195" s="25" t="e">
        <f ca="1"/>
        <v>#REF!</v>
      </c>
      <c r="U2195" s="25" t="e">
        <f ca="1"/>
        <v>#REF!</v>
      </c>
      <c r="V2195" s="25" t="e">
        <f ca="1"/>
        <v>#REF!</v>
      </c>
      <c r="W2195" s="33" t="e">
        <f ca="1"/>
        <v>#REF!</v>
      </c>
      <c r="X2195" s="33" t="e">
        <f ca="1"/>
        <v>#REF!</v>
      </c>
      <c r="Y2195" s="33" t="e">
        <f ca="1"/>
        <v>#REF!</v>
      </c>
      <c r="Z2195" s="33" t="e">
        <f ca="1"/>
        <v>#REF!</v>
      </c>
      <c r="AA2195" s="33" t="e">
        <f ca="1"/>
        <v>#REF!</v>
      </c>
    </row>
    <row r="2196" spans="1:27" s="70" customFormat="1" ht="11.25" x14ac:dyDescent="0.2">
      <c r="A2196" s="24">
        <v>2190</v>
      </c>
      <c r="B2196" s="24"/>
      <c r="C2196" s="25"/>
      <c r="D2196" s="26"/>
      <c r="E2196" s="25"/>
      <c r="F2196" s="25"/>
      <c r="G2196" s="24"/>
      <c r="H2196" s="25" t="e">
        <f ca="1"/>
        <v>#REF!</v>
      </c>
      <c r="I2196" s="27" t="e">
        <f ca="1"/>
        <v>#REF!</v>
      </c>
      <c r="J2196" s="28" t="e">
        <f ca="1"/>
        <v>#REF!</v>
      </c>
      <c r="K2196" s="27" t="e">
        <f ca="1"/>
        <v>#REF!</v>
      </c>
      <c r="L2196" s="25" t="e">
        <f ca="1"/>
        <v>#REF!</v>
      </c>
      <c r="M2196" s="25" t="e">
        <f ca="1"/>
        <v>#REF!</v>
      </c>
      <c r="N2196" s="25" t="e">
        <f ca="1"/>
        <v>#REF!</v>
      </c>
      <c r="O2196" s="25" t="e">
        <f ca="1"/>
        <v>#REF!</v>
      </c>
      <c r="P2196" s="25" t="e">
        <f ca="1"/>
        <v>#REF!</v>
      </c>
      <c r="Q2196" s="25" t="e">
        <f ca="1"/>
        <v>#REF!</v>
      </c>
      <c r="R2196" s="25" t="e">
        <f ca="1"/>
        <v>#REF!</v>
      </c>
      <c r="S2196" s="25" t="e">
        <f ca="1"/>
        <v>#REF!</v>
      </c>
      <c r="T2196" s="25" t="e">
        <f ca="1"/>
        <v>#REF!</v>
      </c>
      <c r="U2196" s="25" t="e">
        <f ca="1"/>
        <v>#REF!</v>
      </c>
      <c r="V2196" s="25" t="e">
        <f ca="1"/>
        <v>#REF!</v>
      </c>
      <c r="W2196" s="33" t="e">
        <f ca="1"/>
        <v>#REF!</v>
      </c>
      <c r="X2196" s="33" t="e">
        <f ca="1"/>
        <v>#REF!</v>
      </c>
      <c r="Y2196" s="33" t="e">
        <f ca="1"/>
        <v>#REF!</v>
      </c>
      <c r="Z2196" s="33" t="e">
        <f ca="1"/>
        <v>#REF!</v>
      </c>
      <c r="AA2196" s="33" t="e">
        <f ca="1"/>
        <v>#REF!</v>
      </c>
    </row>
    <row r="2197" spans="1:27" s="70" customFormat="1" ht="11.25" x14ac:dyDescent="0.2">
      <c r="A2197" s="24">
        <v>2191</v>
      </c>
      <c r="B2197" s="24"/>
      <c r="C2197" s="25"/>
      <c r="D2197" s="26"/>
      <c r="E2197" s="25"/>
      <c r="F2197" s="25"/>
      <c r="G2197" s="24"/>
      <c r="H2197" s="25" t="e">
        <f ca="1"/>
        <v>#REF!</v>
      </c>
      <c r="I2197" s="27" t="e">
        <f ca="1"/>
        <v>#REF!</v>
      </c>
      <c r="J2197" s="28" t="e">
        <f ca="1"/>
        <v>#REF!</v>
      </c>
      <c r="K2197" s="27" t="e">
        <f ca="1"/>
        <v>#REF!</v>
      </c>
      <c r="L2197" s="25" t="e">
        <f ca="1"/>
        <v>#REF!</v>
      </c>
      <c r="M2197" s="25" t="e">
        <f ca="1"/>
        <v>#REF!</v>
      </c>
      <c r="N2197" s="25" t="e">
        <f ca="1"/>
        <v>#REF!</v>
      </c>
      <c r="O2197" s="25" t="e">
        <f ca="1"/>
        <v>#REF!</v>
      </c>
      <c r="P2197" s="25" t="e">
        <f ca="1"/>
        <v>#REF!</v>
      </c>
      <c r="Q2197" s="25" t="e">
        <f ca="1"/>
        <v>#REF!</v>
      </c>
      <c r="R2197" s="25" t="e">
        <f ca="1"/>
        <v>#REF!</v>
      </c>
      <c r="S2197" s="25" t="e">
        <f ca="1"/>
        <v>#REF!</v>
      </c>
      <c r="T2197" s="25" t="e">
        <f ca="1"/>
        <v>#REF!</v>
      </c>
      <c r="U2197" s="25" t="e">
        <f ca="1"/>
        <v>#REF!</v>
      </c>
      <c r="V2197" s="25" t="e">
        <f ca="1"/>
        <v>#REF!</v>
      </c>
      <c r="W2197" s="33" t="e">
        <f ca="1"/>
        <v>#REF!</v>
      </c>
      <c r="X2197" s="33" t="e">
        <f ca="1"/>
        <v>#REF!</v>
      </c>
      <c r="Y2197" s="33" t="e">
        <f ca="1"/>
        <v>#REF!</v>
      </c>
      <c r="Z2197" s="33" t="e">
        <f ca="1"/>
        <v>#REF!</v>
      </c>
      <c r="AA2197" s="33" t="e">
        <f ca="1"/>
        <v>#REF!</v>
      </c>
    </row>
    <row r="2198" spans="1:27" s="70" customFormat="1" ht="11.25" x14ac:dyDescent="0.2">
      <c r="A2198" s="24">
        <v>2192</v>
      </c>
      <c r="B2198" s="24"/>
      <c r="C2198" s="25"/>
      <c r="D2198" s="26"/>
      <c r="E2198" s="25"/>
      <c r="F2198" s="25"/>
      <c r="G2198" s="24"/>
      <c r="H2198" s="25" t="e">
        <f ca="1"/>
        <v>#REF!</v>
      </c>
      <c r="I2198" s="27" t="e">
        <f ca="1"/>
        <v>#REF!</v>
      </c>
      <c r="J2198" s="28" t="e">
        <f ca="1"/>
        <v>#REF!</v>
      </c>
      <c r="K2198" s="27" t="e">
        <f ca="1"/>
        <v>#REF!</v>
      </c>
      <c r="L2198" s="25" t="e">
        <f ca="1"/>
        <v>#REF!</v>
      </c>
      <c r="M2198" s="25" t="e">
        <f ca="1"/>
        <v>#REF!</v>
      </c>
      <c r="N2198" s="25" t="e">
        <f ca="1"/>
        <v>#REF!</v>
      </c>
      <c r="O2198" s="25" t="e">
        <f ca="1"/>
        <v>#REF!</v>
      </c>
      <c r="P2198" s="25" t="e">
        <f ca="1"/>
        <v>#REF!</v>
      </c>
      <c r="Q2198" s="25" t="e">
        <f ca="1"/>
        <v>#REF!</v>
      </c>
      <c r="R2198" s="25" t="e">
        <f ca="1"/>
        <v>#REF!</v>
      </c>
      <c r="S2198" s="25" t="e">
        <f ca="1"/>
        <v>#REF!</v>
      </c>
      <c r="T2198" s="25" t="e">
        <f ca="1"/>
        <v>#REF!</v>
      </c>
      <c r="U2198" s="25" t="e">
        <f ca="1"/>
        <v>#REF!</v>
      </c>
      <c r="V2198" s="25" t="e">
        <f ca="1"/>
        <v>#REF!</v>
      </c>
      <c r="W2198" s="33" t="e">
        <f ca="1"/>
        <v>#REF!</v>
      </c>
      <c r="X2198" s="33" t="e">
        <f ca="1"/>
        <v>#REF!</v>
      </c>
      <c r="Y2198" s="33" t="e">
        <f ca="1"/>
        <v>#REF!</v>
      </c>
      <c r="Z2198" s="33" t="e">
        <f ca="1"/>
        <v>#REF!</v>
      </c>
      <c r="AA2198" s="33" t="e">
        <f ca="1"/>
        <v>#REF!</v>
      </c>
    </row>
    <row r="2199" spans="1:27" s="70" customFormat="1" ht="11.25" x14ac:dyDescent="0.2">
      <c r="A2199" s="24">
        <v>2193</v>
      </c>
      <c r="B2199" s="24"/>
      <c r="C2199" s="25"/>
      <c r="D2199" s="26"/>
      <c r="E2199" s="25"/>
      <c r="F2199" s="25"/>
      <c r="G2199" s="24"/>
      <c r="H2199" s="25" t="e">
        <f ca="1"/>
        <v>#REF!</v>
      </c>
      <c r="I2199" s="27" t="e">
        <f ca="1"/>
        <v>#REF!</v>
      </c>
      <c r="J2199" s="28" t="e">
        <f ca="1"/>
        <v>#REF!</v>
      </c>
      <c r="K2199" s="27" t="e">
        <f ca="1"/>
        <v>#REF!</v>
      </c>
      <c r="L2199" s="25" t="e">
        <f ca="1"/>
        <v>#REF!</v>
      </c>
      <c r="M2199" s="25" t="e">
        <f ca="1"/>
        <v>#REF!</v>
      </c>
      <c r="N2199" s="25" t="e">
        <f ca="1"/>
        <v>#REF!</v>
      </c>
      <c r="O2199" s="25" t="e">
        <f ca="1"/>
        <v>#REF!</v>
      </c>
      <c r="P2199" s="25" t="e">
        <f ca="1"/>
        <v>#REF!</v>
      </c>
      <c r="Q2199" s="25" t="e">
        <f ca="1"/>
        <v>#REF!</v>
      </c>
      <c r="R2199" s="25" t="e">
        <f ca="1"/>
        <v>#REF!</v>
      </c>
      <c r="S2199" s="25" t="e">
        <f ca="1"/>
        <v>#REF!</v>
      </c>
      <c r="T2199" s="25" t="e">
        <f ca="1"/>
        <v>#REF!</v>
      </c>
      <c r="U2199" s="25" t="e">
        <f ca="1"/>
        <v>#REF!</v>
      </c>
      <c r="V2199" s="25" t="e">
        <f ca="1"/>
        <v>#REF!</v>
      </c>
      <c r="W2199" s="33" t="e">
        <f ca="1"/>
        <v>#REF!</v>
      </c>
      <c r="X2199" s="33" t="e">
        <f ca="1"/>
        <v>#REF!</v>
      </c>
      <c r="Y2199" s="33" t="e">
        <f ca="1"/>
        <v>#REF!</v>
      </c>
      <c r="Z2199" s="33" t="e">
        <f ca="1"/>
        <v>#REF!</v>
      </c>
      <c r="AA2199" s="33" t="e">
        <f ca="1"/>
        <v>#REF!</v>
      </c>
    </row>
    <row r="2200" spans="1:27" s="70" customFormat="1" ht="11.25" x14ac:dyDescent="0.2">
      <c r="A2200" s="24">
        <v>2194</v>
      </c>
      <c r="B2200" s="24"/>
      <c r="C2200" s="25"/>
      <c r="D2200" s="26"/>
      <c r="E2200" s="25"/>
      <c r="F2200" s="25"/>
      <c r="G2200" s="24"/>
      <c r="H2200" s="25" t="e">
        <f ca="1"/>
        <v>#REF!</v>
      </c>
      <c r="I2200" s="27" t="e">
        <f ca="1"/>
        <v>#REF!</v>
      </c>
      <c r="J2200" s="28" t="e">
        <f ca="1"/>
        <v>#REF!</v>
      </c>
      <c r="K2200" s="27" t="e">
        <f ca="1"/>
        <v>#REF!</v>
      </c>
      <c r="L2200" s="25" t="e">
        <f ca="1"/>
        <v>#REF!</v>
      </c>
      <c r="M2200" s="25" t="e">
        <f ca="1"/>
        <v>#REF!</v>
      </c>
      <c r="N2200" s="25" t="e">
        <f ca="1"/>
        <v>#REF!</v>
      </c>
      <c r="O2200" s="25" t="e">
        <f ca="1"/>
        <v>#REF!</v>
      </c>
      <c r="P2200" s="25" t="e">
        <f ca="1"/>
        <v>#REF!</v>
      </c>
      <c r="Q2200" s="25" t="e">
        <f ca="1"/>
        <v>#REF!</v>
      </c>
      <c r="R2200" s="25" t="e">
        <f ca="1"/>
        <v>#REF!</v>
      </c>
      <c r="S2200" s="25" t="e">
        <f ca="1"/>
        <v>#REF!</v>
      </c>
      <c r="T2200" s="25" t="e">
        <f ca="1"/>
        <v>#REF!</v>
      </c>
      <c r="U2200" s="25" t="e">
        <f ca="1"/>
        <v>#REF!</v>
      </c>
      <c r="V2200" s="25" t="e">
        <f ca="1"/>
        <v>#REF!</v>
      </c>
      <c r="W2200" s="33" t="e">
        <f ca="1"/>
        <v>#REF!</v>
      </c>
      <c r="X2200" s="33" t="e">
        <f ca="1"/>
        <v>#REF!</v>
      </c>
      <c r="Y2200" s="33" t="e">
        <f ca="1"/>
        <v>#REF!</v>
      </c>
      <c r="Z2200" s="33" t="e">
        <f ca="1"/>
        <v>#REF!</v>
      </c>
      <c r="AA2200" s="33" t="e">
        <f ca="1"/>
        <v>#REF!</v>
      </c>
    </row>
    <row r="2201" spans="1:27" s="70" customFormat="1" ht="11.25" x14ac:dyDescent="0.2">
      <c r="A2201" s="24">
        <v>2195</v>
      </c>
      <c r="B2201" s="24"/>
      <c r="C2201" s="25"/>
      <c r="D2201" s="26"/>
      <c r="E2201" s="25"/>
      <c r="F2201" s="25"/>
      <c r="G2201" s="24"/>
      <c r="H2201" s="25" t="e">
        <f ca="1"/>
        <v>#REF!</v>
      </c>
      <c r="I2201" s="27" t="e">
        <f ca="1"/>
        <v>#REF!</v>
      </c>
      <c r="J2201" s="28" t="e">
        <f ca="1"/>
        <v>#REF!</v>
      </c>
      <c r="K2201" s="27" t="e">
        <f ca="1"/>
        <v>#REF!</v>
      </c>
      <c r="L2201" s="25" t="e">
        <f ca="1"/>
        <v>#REF!</v>
      </c>
      <c r="M2201" s="25" t="e">
        <f ca="1"/>
        <v>#REF!</v>
      </c>
      <c r="N2201" s="25" t="e">
        <f ca="1"/>
        <v>#REF!</v>
      </c>
      <c r="O2201" s="25" t="e">
        <f ca="1"/>
        <v>#REF!</v>
      </c>
      <c r="P2201" s="25" t="e">
        <f ca="1"/>
        <v>#REF!</v>
      </c>
      <c r="Q2201" s="25" t="e">
        <f ca="1"/>
        <v>#REF!</v>
      </c>
      <c r="R2201" s="25" t="e">
        <f ca="1"/>
        <v>#REF!</v>
      </c>
      <c r="S2201" s="25" t="e">
        <f ca="1"/>
        <v>#REF!</v>
      </c>
      <c r="T2201" s="25" t="e">
        <f ca="1"/>
        <v>#REF!</v>
      </c>
      <c r="U2201" s="25" t="e">
        <f ca="1"/>
        <v>#REF!</v>
      </c>
      <c r="V2201" s="25" t="e">
        <f ca="1"/>
        <v>#REF!</v>
      </c>
      <c r="W2201" s="33" t="e">
        <f ca="1"/>
        <v>#REF!</v>
      </c>
      <c r="X2201" s="33" t="e">
        <f ca="1"/>
        <v>#REF!</v>
      </c>
      <c r="Y2201" s="33" t="e">
        <f ca="1"/>
        <v>#REF!</v>
      </c>
      <c r="Z2201" s="33" t="e">
        <f ca="1"/>
        <v>#REF!</v>
      </c>
      <c r="AA2201" s="33" t="e">
        <f ca="1"/>
        <v>#REF!</v>
      </c>
    </row>
    <row r="2202" spans="1:27" s="70" customFormat="1" ht="11.25" x14ac:dyDescent="0.2">
      <c r="A2202" s="24">
        <v>2196</v>
      </c>
      <c r="B2202" s="24"/>
      <c r="C2202" s="25"/>
      <c r="D2202" s="26"/>
      <c r="E2202" s="25"/>
      <c r="F2202" s="25"/>
      <c r="G2202" s="24"/>
      <c r="H2202" s="25" t="e">
        <f ca="1"/>
        <v>#REF!</v>
      </c>
      <c r="I2202" s="27" t="e">
        <f ca="1"/>
        <v>#REF!</v>
      </c>
      <c r="J2202" s="28" t="e">
        <f ca="1"/>
        <v>#REF!</v>
      </c>
      <c r="K2202" s="27" t="e">
        <f ca="1"/>
        <v>#REF!</v>
      </c>
      <c r="L2202" s="25" t="e">
        <f ca="1"/>
        <v>#REF!</v>
      </c>
      <c r="M2202" s="25" t="e">
        <f ca="1"/>
        <v>#REF!</v>
      </c>
      <c r="N2202" s="25" t="e">
        <f ca="1"/>
        <v>#REF!</v>
      </c>
      <c r="O2202" s="25" t="e">
        <f ca="1"/>
        <v>#REF!</v>
      </c>
      <c r="P2202" s="25" t="e">
        <f ca="1"/>
        <v>#REF!</v>
      </c>
      <c r="Q2202" s="25" t="e">
        <f ca="1"/>
        <v>#REF!</v>
      </c>
      <c r="R2202" s="25" t="e">
        <f ca="1"/>
        <v>#REF!</v>
      </c>
      <c r="S2202" s="25" t="e">
        <f ca="1"/>
        <v>#REF!</v>
      </c>
      <c r="T2202" s="25" t="e">
        <f ca="1"/>
        <v>#REF!</v>
      </c>
      <c r="U2202" s="25" t="e">
        <f ca="1"/>
        <v>#REF!</v>
      </c>
      <c r="V2202" s="25" t="e">
        <f ca="1"/>
        <v>#REF!</v>
      </c>
      <c r="W2202" s="33" t="e">
        <f ca="1"/>
        <v>#REF!</v>
      </c>
      <c r="X2202" s="33" t="e">
        <f ca="1"/>
        <v>#REF!</v>
      </c>
      <c r="Y2202" s="33" t="e">
        <f ca="1"/>
        <v>#REF!</v>
      </c>
      <c r="Z2202" s="33" t="e">
        <f ca="1"/>
        <v>#REF!</v>
      </c>
      <c r="AA2202" s="33" t="e">
        <f ca="1"/>
        <v>#REF!</v>
      </c>
    </row>
    <row r="2203" spans="1:27" s="70" customFormat="1" ht="11.25" x14ac:dyDescent="0.2">
      <c r="A2203" s="24">
        <v>2197</v>
      </c>
      <c r="B2203" s="24"/>
      <c r="C2203" s="25"/>
      <c r="D2203" s="26"/>
      <c r="E2203" s="25"/>
      <c r="F2203" s="25"/>
      <c r="G2203" s="24"/>
      <c r="H2203" s="25" t="e">
        <f ca="1"/>
        <v>#REF!</v>
      </c>
      <c r="I2203" s="27" t="e">
        <f ca="1"/>
        <v>#REF!</v>
      </c>
      <c r="J2203" s="28" t="e">
        <f ca="1"/>
        <v>#REF!</v>
      </c>
      <c r="K2203" s="27" t="e">
        <f ca="1"/>
        <v>#REF!</v>
      </c>
      <c r="L2203" s="25" t="e">
        <f ca="1"/>
        <v>#REF!</v>
      </c>
      <c r="M2203" s="25" t="e">
        <f ca="1"/>
        <v>#REF!</v>
      </c>
      <c r="N2203" s="25" t="e">
        <f ca="1"/>
        <v>#REF!</v>
      </c>
      <c r="O2203" s="25" t="e">
        <f ca="1"/>
        <v>#REF!</v>
      </c>
      <c r="P2203" s="25" t="e">
        <f ca="1"/>
        <v>#REF!</v>
      </c>
      <c r="Q2203" s="25" t="e">
        <f ca="1"/>
        <v>#REF!</v>
      </c>
      <c r="R2203" s="25" t="e">
        <f ca="1"/>
        <v>#REF!</v>
      </c>
      <c r="S2203" s="25" t="e">
        <f ca="1"/>
        <v>#REF!</v>
      </c>
      <c r="T2203" s="25" t="e">
        <f ca="1"/>
        <v>#REF!</v>
      </c>
      <c r="U2203" s="25" t="e">
        <f ca="1"/>
        <v>#REF!</v>
      </c>
      <c r="V2203" s="25" t="e">
        <f ca="1"/>
        <v>#REF!</v>
      </c>
      <c r="W2203" s="33" t="e">
        <f ca="1"/>
        <v>#REF!</v>
      </c>
      <c r="X2203" s="33" t="e">
        <f ca="1"/>
        <v>#REF!</v>
      </c>
      <c r="Y2203" s="33" t="e">
        <f ca="1"/>
        <v>#REF!</v>
      </c>
      <c r="Z2203" s="33" t="e">
        <f ca="1"/>
        <v>#REF!</v>
      </c>
      <c r="AA2203" s="33" t="e">
        <f ca="1"/>
        <v>#REF!</v>
      </c>
    </row>
    <row r="2204" spans="1:27" s="72" customFormat="1" ht="11.25" x14ac:dyDescent="0.2">
      <c r="A2204" s="24">
        <v>2198</v>
      </c>
      <c r="B2204" s="24"/>
      <c r="C2204" s="25"/>
      <c r="D2204" s="26"/>
      <c r="E2204" s="25"/>
      <c r="F2204" s="25"/>
      <c r="G2204" s="24"/>
      <c r="H2204" s="25" t="e">
        <f ca="1"/>
        <v>#REF!</v>
      </c>
      <c r="I2204" s="27" t="e">
        <f ca="1"/>
        <v>#REF!</v>
      </c>
      <c r="J2204" s="28" t="e">
        <f ca="1"/>
        <v>#REF!</v>
      </c>
      <c r="K2204" s="24" t="e">
        <f ca="1"/>
        <v>#REF!</v>
      </c>
      <c r="L2204" s="25" t="e">
        <f ca="1"/>
        <v>#REF!</v>
      </c>
      <c r="M2204" s="25" t="e">
        <f ca="1"/>
        <v>#REF!</v>
      </c>
      <c r="N2204" s="25" t="e">
        <f ca="1"/>
        <v>#REF!</v>
      </c>
      <c r="O2204" s="25" t="e">
        <f ca="1"/>
        <v>#REF!</v>
      </c>
      <c r="P2204" s="25" t="e">
        <f ca="1"/>
        <v>#REF!</v>
      </c>
      <c r="Q2204" s="25" t="e">
        <f ca="1"/>
        <v>#REF!</v>
      </c>
      <c r="R2204" s="25" t="e">
        <f ca="1"/>
        <v>#REF!</v>
      </c>
      <c r="S2204" s="25" t="e">
        <f ca="1"/>
        <v>#REF!</v>
      </c>
      <c r="T2204" s="25" t="e">
        <f ca="1"/>
        <v>#REF!</v>
      </c>
      <c r="U2204" s="25" t="e">
        <f ca="1"/>
        <v>#REF!</v>
      </c>
      <c r="V2204" s="25" t="e">
        <f ca="1"/>
        <v>#REF!</v>
      </c>
      <c r="W2204" s="33" t="e">
        <f ca="1"/>
        <v>#REF!</v>
      </c>
      <c r="X2204" s="33" t="e">
        <f ca="1"/>
        <v>#REF!</v>
      </c>
      <c r="Y2204" s="33" t="e">
        <f ca="1"/>
        <v>#REF!</v>
      </c>
      <c r="Z2204" s="33" t="e">
        <f ca="1"/>
        <v>#REF!</v>
      </c>
      <c r="AA2204" s="33" t="e">
        <f ca="1"/>
        <v>#REF!</v>
      </c>
    </row>
    <row r="2205" spans="1:27" s="72" customFormat="1" ht="11.25" x14ac:dyDescent="0.2">
      <c r="A2205" s="24">
        <v>2199</v>
      </c>
      <c r="B2205" s="24"/>
      <c r="C2205" s="25"/>
      <c r="D2205" s="26"/>
      <c r="E2205" s="25"/>
      <c r="F2205" s="25"/>
      <c r="G2205" s="24"/>
      <c r="H2205" s="25" t="e">
        <f ca="1"/>
        <v>#REF!</v>
      </c>
      <c r="I2205" s="27" t="e">
        <f ca="1"/>
        <v>#REF!</v>
      </c>
      <c r="J2205" s="28" t="e">
        <f ca="1"/>
        <v>#REF!</v>
      </c>
      <c r="K2205" s="24" t="e">
        <f ca="1"/>
        <v>#REF!</v>
      </c>
      <c r="L2205" s="25" t="e">
        <f ca="1"/>
        <v>#REF!</v>
      </c>
      <c r="M2205" s="25" t="e">
        <f ca="1"/>
        <v>#REF!</v>
      </c>
      <c r="N2205" s="25" t="e">
        <f ca="1"/>
        <v>#REF!</v>
      </c>
      <c r="O2205" s="25" t="e">
        <f ca="1"/>
        <v>#REF!</v>
      </c>
      <c r="P2205" s="25" t="e">
        <f ca="1"/>
        <v>#REF!</v>
      </c>
      <c r="Q2205" s="25" t="e">
        <f ca="1"/>
        <v>#REF!</v>
      </c>
      <c r="R2205" s="25" t="e">
        <f ca="1"/>
        <v>#REF!</v>
      </c>
      <c r="S2205" s="25" t="e">
        <f ca="1"/>
        <v>#REF!</v>
      </c>
      <c r="T2205" s="25" t="e">
        <f ca="1"/>
        <v>#REF!</v>
      </c>
      <c r="U2205" s="25" t="e">
        <f ca="1"/>
        <v>#REF!</v>
      </c>
      <c r="V2205" s="25" t="e">
        <f ca="1"/>
        <v>#REF!</v>
      </c>
      <c r="W2205" s="33" t="e">
        <f ca="1"/>
        <v>#REF!</v>
      </c>
      <c r="X2205" s="33" t="e">
        <f ca="1"/>
        <v>#REF!</v>
      </c>
      <c r="Y2205" s="33" t="e">
        <f ca="1"/>
        <v>#REF!</v>
      </c>
      <c r="Z2205" s="33" t="e">
        <f ca="1"/>
        <v>#REF!</v>
      </c>
      <c r="AA2205" s="33" t="e">
        <f ca="1"/>
        <v>#REF!</v>
      </c>
    </row>
    <row r="2206" spans="1:27" s="72" customFormat="1" ht="11.25" x14ac:dyDescent="0.2">
      <c r="A2206" s="24">
        <v>2200</v>
      </c>
      <c r="B2206" s="24"/>
      <c r="C2206" s="25"/>
      <c r="D2206" s="26"/>
      <c r="E2206" s="25"/>
      <c r="F2206" s="25"/>
      <c r="G2206" s="24"/>
      <c r="H2206" s="25" t="e">
        <f ca="1"/>
        <v>#REF!</v>
      </c>
      <c r="I2206" s="27" t="e">
        <f ca="1"/>
        <v>#REF!</v>
      </c>
      <c r="J2206" s="28" t="e">
        <f ca="1"/>
        <v>#REF!</v>
      </c>
      <c r="K2206" s="24" t="e">
        <f ca="1"/>
        <v>#REF!</v>
      </c>
      <c r="L2206" s="25" t="e">
        <f ca="1"/>
        <v>#REF!</v>
      </c>
      <c r="M2206" s="25" t="e">
        <f ca="1"/>
        <v>#REF!</v>
      </c>
      <c r="N2206" s="25" t="e">
        <f ca="1"/>
        <v>#REF!</v>
      </c>
      <c r="O2206" s="25" t="e">
        <f ca="1"/>
        <v>#REF!</v>
      </c>
      <c r="P2206" s="25" t="e">
        <f ca="1"/>
        <v>#REF!</v>
      </c>
      <c r="Q2206" s="25" t="e">
        <f ca="1"/>
        <v>#REF!</v>
      </c>
      <c r="R2206" s="25" t="e">
        <f ca="1"/>
        <v>#REF!</v>
      </c>
      <c r="S2206" s="25" t="e">
        <f ca="1"/>
        <v>#REF!</v>
      </c>
      <c r="T2206" s="25" t="e">
        <f ca="1"/>
        <v>#REF!</v>
      </c>
      <c r="U2206" s="25" t="e">
        <f ca="1"/>
        <v>#REF!</v>
      </c>
      <c r="V2206" s="25" t="e">
        <f ca="1"/>
        <v>#REF!</v>
      </c>
      <c r="W2206" s="33" t="e">
        <f ca="1"/>
        <v>#REF!</v>
      </c>
      <c r="X2206" s="33" t="e">
        <f ca="1"/>
        <v>#REF!</v>
      </c>
      <c r="Y2206" s="33" t="e">
        <f ca="1"/>
        <v>#REF!</v>
      </c>
      <c r="Z2206" s="33" t="e">
        <f ca="1"/>
        <v>#REF!</v>
      </c>
      <c r="AA2206" s="33" t="e">
        <f ca="1"/>
        <v>#REF!</v>
      </c>
    </row>
    <row r="2207" spans="1:27" s="72" customFormat="1" ht="11.25" x14ac:dyDescent="0.2">
      <c r="A2207" s="24">
        <v>2201</v>
      </c>
      <c r="B2207" s="24"/>
      <c r="C2207" s="25"/>
      <c r="D2207" s="26"/>
      <c r="E2207" s="25"/>
      <c r="F2207" s="25"/>
      <c r="G2207" s="24"/>
      <c r="H2207" s="25" t="e">
        <f ca="1"/>
        <v>#REF!</v>
      </c>
      <c r="I2207" s="27" t="e">
        <f ca="1"/>
        <v>#REF!</v>
      </c>
      <c r="J2207" s="28" t="e">
        <f ca="1"/>
        <v>#REF!</v>
      </c>
      <c r="K2207" s="24" t="e">
        <f ca="1"/>
        <v>#REF!</v>
      </c>
      <c r="L2207" s="25" t="e">
        <f ca="1"/>
        <v>#REF!</v>
      </c>
      <c r="M2207" s="25" t="e">
        <f ca="1"/>
        <v>#REF!</v>
      </c>
      <c r="N2207" s="25" t="e">
        <f ca="1"/>
        <v>#REF!</v>
      </c>
      <c r="O2207" s="25" t="e">
        <f ca="1"/>
        <v>#REF!</v>
      </c>
      <c r="P2207" s="25" t="e">
        <f ca="1"/>
        <v>#REF!</v>
      </c>
      <c r="Q2207" s="25" t="e">
        <f ca="1"/>
        <v>#REF!</v>
      </c>
      <c r="R2207" s="25" t="e">
        <f ca="1"/>
        <v>#REF!</v>
      </c>
      <c r="S2207" s="25" t="e">
        <f ca="1"/>
        <v>#REF!</v>
      </c>
      <c r="T2207" s="25" t="e">
        <f ca="1"/>
        <v>#REF!</v>
      </c>
      <c r="U2207" s="25" t="e">
        <f ca="1"/>
        <v>#REF!</v>
      </c>
      <c r="V2207" s="25" t="e">
        <f ca="1"/>
        <v>#REF!</v>
      </c>
      <c r="W2207" s="33" t="e">
        <f ca="1"/>
        <v>#REF!</v>
      </c>
      <c r="X2207" s="33" t="e">
        <f ca="1"/>
        <v>#REF!</v>
      </c>
      <c r="Y2207" s="33" t="e">
        <f ca="1"/>
        <v>#REF!</v>
      </c>
      <c r="Z2207" s="33" t="e">
        <f ca="1"/>
        <v>#REF!</v>
      </c>
      <c r="AA2207" s="33" t="e">
        <f ca="1"/>
        <v>#REF!</v>
      </c>
    </row>
    <row r="2208" spans="1:27" s="72" customFormat="1" ht="11.25" x14ac:dyDescent="0.2">
      <c r="A2208" s="24">
        <v>2202</v>
      </c>
      <c r="B2208" s="24"/>
      <c r="C2208" s="25"/>
      <c r="D2208" s="26"/>
      <c r="E2208" s="25"/>
      <c r="F2208" s="25"/>
      <c r="G2208" s="24"/>
      <c r="H2208" s="25" t="e">
        <f ca="1"/>
        <v>#REF!</v>
      </c>
      <c r="I2208" s="27" t="e">
        <f ca="1"/>
        <v>#REF!</v>
      </c>
      <c r="J2208" s="28" t="e">
        <f ca="1"/>
        <v>#REF!</v>
      </c>
      <c r="K2208" s="24" t="e">
        <f ca="1"/>
        <v>#REF!</v>
      </c>
      <c r="L2208" s="25" t="e">
        <f ca="1"/>
        <v>#REF!</v>
      </c>
      <c r="M2208" s="25" t="e">
        <f ca="1"/>
        <v>#REF!</v>
      </c>
      <c r="N2208" s="25" t="e">
        <f ca="1"/>
        <v>#REF!</v>
      </c>
      <c r="O2208" s="25" t="e">
        <f ca="1"/>
        <v>#REF!</v>
      </c>
      <c r="P2208" s="25" t="e">
        <f ca="1"/>
        <v>#REF!</v>
      </c>
      <c r="Q2208" s="25" t="e">
        <f ca="1"/>
        <v>#REF!</v>
      </c>
      <c r="R2208" s="25" t="e">
        <f ca="1"/>
        <v>#REF!</v>
      </c>
      <c r="S2208" s="25" t="e">
        <f ca="1"/>
        <v>#REF!</v>
      </c>
      <c r="T2208" s="25" t="e">
        <f ca="1"/>
        <v>#REF!</v>
      </c>
      <c r="U2208" s="25" t="e">
        <f ca="1"/>
        <v>#REF!</v>
      </c>
      <c r="V2208" s="25" t="e">
        <f ca="1"/>
        <v>#REF!</v>
      </c>
      <c r="W2208" s="33" t="e">
        <f ca="1"/>
        <v>#REF!</v>
      </c>
      <c r="X2208" s="33" t="e">
        <f ca="1"/>
        <v>#REF!</v>
      </c>
      <c r="Y2208" s="33" t="e">
        <f ca="1"/>
        <v>#REF!</v>
      </c>
      <c r="Z2208" s="33" t="e">
        <f ca="1"/>
        <v>#REF!</v>
      </c>
      <c r="AA2208" s="33" t="e">
        <f ca="1"/>
        <v>#REF!</v>
      </c>
    </row>
    <row r="2209" spans="1:27" s="70" customFormat="1" ht="11.25" x14ac:dyDescent="0.2">
      <c r="A2209" s="24">
        <v>2203</v>
      </c>
      <c r="B2209" s="24"/>
      <c r="C2209" s="25"/>
      <c r="D2209" s="26"/>
      <c r="E2209" s="25"/>
      <c r="F2209" s="25"/>
      <c r="G2209" s="24"/>
      <c r="H2209" s="25" t="e">
        <f ca="1"/>
        <v>#REF!</v>
      </c>
      <c r="I2209" s="27" t="e">
        <f ca="1"/>
        <v>#REF!</v>
      </c>
      <c r="J2209" s="28" t="e">
        <f ca="1"/>
        <v>#REF!</v>
      </c>
      <c r="K2209" s="27" t="e">
        <f ca="1"/>
        <v>#REF!</v>
      </c>
      <c r="L2209" s="25" t="e">
        <f ca="1"/>
        <v>#REF!</v>
      </c>
      <c r="M2209" s="25" t="e">
        <f ca="1"/>
        <v>#REF!</v>
      </c>
      <c r="N2209" s="25" t="e">
        <f ca="1"/>
        <v>#REF!</v>
      </c>
      <c r="O2209" s="25" t="e">
        <f ca="1"/>
        <v>#REF!</v>
      </c>
      <c r="P2209" s="25" t="e">
        <f ca="1"/>
        <v>#REF!</v>
      </c>
      <c r="Q2209" s="25" t="e">
        <f ca="1"/>
        <v>#REF!</v>
      </c>
      <c r="R2209" s="25" t="e">
        <f ca="1"/>
        <v>#REF!</v>
      </c>
      <c r="S2209" s="25" t="e">
        <f ca="1"/>
        <v>#REF!</v>
      </c>
      <c r="T2209" s="25" t="e">
        <f ca="1"/>
        <v>#REF!</v>
      </c>
      <c r="U2209" s="25" t="e">
        <f ca="1"/>
        <v>#REF!</v>
      </c>
      <c r="V2209" s="25" t="e">
        <f ca="1"/>
        <v>#REF!</v>
      </c>
      <c r="W2209" s="33" t="e">
        <f ca="1"/>
        <v>#REF!</v>
      </c>
      <c r="X2209" s="33" t="e">
        <f ca="1"/>
        <v>#REF!</v>
      </c>
      <c r="Y2209" s="33" t="e">
        <f ca="1"/>
        <v>#REF!</v>
      </c>
      <c r="Z2209" s="33" t="e">
        <f ca="1"/>
        <v>#REF!</v>
      </c>
      <c r="AA2209" s="33" t="e">
        <f ca="1"/>
        <v>#REF!</v>
      </c>
    </row>
    <row r="2210" spans="1:27" s="70" customFormat="1" ht="11.25" x14ac:dyDescent="0.2">
      <c r="A2210" s="24">
        <v>2204</v>
      </c>
      <c r="B2210" s="24"/>
      <c r="C2210" s="25"/>
      <c r="D2210" s="26"/>
      <c r="E2210" s="25"/>
      <c r="F2210" s="25"/>
      <c r="G2210" s="24"/>
      <c r="H2210" s="25" t="e">
        <f ca="1"/>
        <v>#REF!</v>
      </c>
      <c r="I2210" s="27" t="e">
        <f ca="1"/>
        <v>#REF!</v>
      </c>
      <c r="J2210" s="28" t="e">
        <f ca="1"/>
        <v>#REF!</v>
      </c>
      <c r="K2210" s="27" t="e">
        <f ca="1"/>
        <v>#REF!</v>
      </c>
      <c r="L2210" s="25" t="e">
        <f ca="1"/>
        <v>#REF!</v>
      </c>
      <c r="M2210" s="25" t="e">
        <f ca="1"/>
        <v>#REF!</v>
      </c>
      <c r="N2210" s="25" t="e">
        <f ca="1"/>
        <v>#REF!</v>
      </c>
      <c r="O2210" s="25" t="e">
        <f ca="1"/>
        <v>#REF!</v>
      </c>
      <c r="P2210" s="25" t="e">
        <f ca="1"/>
        <v>#REF!</v>
      </c>
      <c r="Q2210" s="25" t="e">
        <f ca="1"/>
        <v>#REF!</v>
      </c>
      <c r="R2210" s="25" t="e">
        <f ca="1"/>
        <v>#REF!</v>
      </c>
      <c r="S2210" s="25" t="e">
        <f ca="1"/>
        <v>#REF!</v>
      </c>
      <c r="T2210" s="25" t="e">
        <f ca="1"/>
        <v>#REF!</v>
      </c>
      <c r="U2210" s="25" t="e">
        <f ca="1"/>
        <v>#REF!</v>
      </c>
      <c r="V2210" s="25" t="e">
        <f ca="1"/>
        <v>#REF!</v>
      </c>
      <c r="W2210" s="33" t="e">
        <f ca="1"/>
        <v>#REF!</v>
      </c>
      <c r="X2210" s="33" t="e">
        <f ca="1"/>
        <v>#REF!</v>
      </c>
      <c r="Y2210" s="33" t="e">
        <f ca="1"/>
        <v>#REF!</v>
      </c>
      <c r="Z2210" s="33" t="e">
        <f ca="1"/>
        <v>#REF!</v>
      </c>
      <c r="AA2210" s="33" t="e">
        <f ca="1"/>
        <v>#REF!</v>
      </c>
    </row>
    <row r="2211" spans="1:27" s="70" customFormat="1" ht="11.25" x14ac:dyDescent="0.2">
      <c r="A2211" s="24">
        <v>2205</v>
      </c>
      <c r="B2211" s="24"/>
      <c r="C2211" s="25"/>
      <c r="D2211" s="26"/>
      <c r="E2211" s="25"/>
      <c r="F2211" s="25"/>
      <c r="G2211" s="24"/>
      <c r="H2211" s="25" t="e">
        <f ca="1"/>
        <v>#REF!</v>
      </c>
      <c r="I2211" s="27" t="e">
        <f ca="1"/>
        <v>#REF!</v>
      </c>
      <c r="J2211" s="28" t="e">
        <f ca="1"/>
        <v>#REF!</v>
      </c>
      <c r="K2211" s="27" t="e">
        <f ca="1"/>
        <v>#REF!</v>
      </c>
      <c r="L2211" s="25" t="e">
        <f ca="1"/>
        <v>#REF!</v>
      </c>
      <c r="M2211" s="25" t="e">
        <f ca="1"/>
        <v>#REF!</v>
      </c>
      <c r="N2211" s="25" t="e">
        <f ca="1"/>
        <v>#REF!</v>
      </c>
      <c r="O2211" s="25" t="e">
        <f ca="1"/>
        <v>#REF!</v>
      </c>
      <c r="P2211" s="25" t="e">
        <f ca="1"/>
        <v>#REF!</v>
      </c>
      <c r="Q2211" s="25" t="e">
        <f ca="1"/>
        <v>#REF!</v>
      </c>
      <c r="R2211" s="25" t="e">
        <f ca="1"/>
        <v>#REF!</v>
      </c>
      <c r="S2211" s="25" t="e">
        <f ca="1"/>
        <v>#REF!</v>
      </c>
      <c r="T2211" s="25" t="e">
        <f ca="1"/>
        <v>#REF!</v>
      </c>
      <c r="U2211" s="25" t="e">
        <f ca="1"/>
        <v>#REF!</v>
      </c>
      <c r="V2211" s="25" t="e">
        <f ca="1"/>
        <v>#REF!</v>
      </c>
      <c r="W2211" s="33" t="e">
        <f ca="1"/>
        <v>#REF!</v>
      </c>
      <c r="X2211" s="33" t="e">
        <f ca="1"/>
        <v>#REF!</v>
      </c>
      <c r="Y2211" s="33" t="e">
        <f ca="1"/>
        <v>#REF!</v>
      </c>
      <c r="Z2211" s="33" t="e">
        <f ca="1"/>
        <v>#REF!</v>
      </c>
      <c r="AA2211" s="33" t="e">
        <f ca="1"/>
        <v>#REF!</v>
      </c>
    </row>
    <row r="2212" spans="1:27" s="70" customFormat="1" ht="11.25" x14ac:dyDescent="0.2">
      <c r="A2212" s="24">
        <v>2206</v>
      </c>
      <c r="B2212" s="24"/>
      <c r="C2212" s="25"/>
      <c r="D2212" s="26"/>
      <c r="E2212" s="25"/>
      <c r="F2212" s="25"/>
      <c r="G2212" s="24"/>
      <c r="H2212" s="25" t="e">
        <f ca="1"/>
        <v>#REF!</v>
      </c>
      <c r="I2212" s="27" t="e">
        <f ca="1"/>
        <v>#REF!</v>
      </c>
      <c r="J2212" s="28" t="e">
        <f ca="1"/>
        <v>#REF!</v>
      </c>
      <c r="K2212" s="27" t="e">
        <f ca="1"/>
        <v>#REF!</v>
      </c>
      <c r="L2212" s="25" t="e">
        <f ca="1"/>
        <v>#REF!</v>
      </c>
      <c r="M2212" s="25" t="e">
        <f ca="1"/>
        <v>#REF!</v>
      </c>
      <c r="N2212" s="25" t="e">
        <f ca="1"/>
        <v>#REF!</v>
      </c>
      <c r="O2212" s="25" t="e">
        <f ca="1"/>
        <v>#REF!</v>
      </c>
      <c r="P2212" s="25" t="e">
        <f ca="1"/>
        <v>#REF!</v>
      </c>
      <c r="Q2212" s="25" t="e">
        <f ca="1"/>
        <v>#REF!</v>
      </c>
      <c r="R2212" s="25" t="e">
        <f ca="1"/>
        <v>#REF!</v>
      </c>
      <c r="S2212" s="25" t="e">
        <f ca="1"/>
        <v>#REF!</v>
      </c>
      <c r="T2212" s="25" t="e">
        <f ca="1"/>
        <v>#REF!</v>
      </c>
      <c r="U2212" s="25" t="e">
        <f ca="1"/>
        <v>#REF!</v>
      </c>
      <c r="V2212" s="25" t="e">
        <f ca="1"/>
        <v>#REF!</v>
      </c>
      <c r="W2212" s="33" t="e">
        <f ca="1"/>
        <v>#REF!</v>
      </c>
      <c r="X2212" s="33" t="e">
        <f ca="1"/>
        <v>#REF!</v>
      </c>
      <c r="Y2212" s="33" t="e">
        <f ca="1"/>
        <v>#REF!</v>
      </c>
      <c r="Z2212" s="33" t="e">
        <f ca="1"/>
        <v>#REF!</v>
      </c>
      <c r="AA2212" s="33" t="e">
        <f ca="1"/>
        <v>#REF!</v>
      </c>
    </row>
    <row r="2213" spans="1:27" s="70" customFormat="1" ht="11.25" x14ac:dyDescent="0.2">
      <c r="A2213" s="24">
        <v>2207</v>
      </c>
      <c r="B2213" s="24"/>
      <c r="C2213" s="25"/>
      <c r="D2213" s="26"/>
      <c r="E2213" s="25"/>
      <c r="F2213" s="25"/>
      <c r="G2213" s="24"/>
      <c r="H2213" s="25" t="e">
        <f ca="1"/>
        <v>#REF!</v>
      </c>
      <c r="I2213" s="27" t="e">
        <f ca="1"/>
        <v>#REF!</v>
      </c>
      <c r="J2213" s="28" t="e">
        <f ca="1"/>
        <v>#REF!</v>
      </c>
      <c r="K2213" s="27" t="e">
        <f ca="1"/>
        <v>#REF!</v>
      </c>
      <c r="L2213" s="25" t="e">
        <f ca="1"/>
        <v>#REF!</v>
      </c>
      <c r="M2213" s="25" t="e">
        <f ca="1"/>
        <v>#REF!</v>
      </c>
      <c r="N2213" s="25" t="e">
        <f ca="1"/>
        <v>#REF!</v>
      </c>
      <c r="O2213" s="25" t="e">
        <f ca="1"/>
        <v>#REF!</v>
      </c>
      <c r="P2213" s="25" t="e">
        <f ca="1"/>
        <v>#REF!</v>
      </c>
      <c r="Q2213" s="25" t="e">
        <f ca="1"/>
        <v>#REF!</v>
      </c>
      <c r="R2213" s="25" t="e">
        <f ca="1"/>
        <v>#REF!</v>
      </c>
      <c r="S2213" s="25" t="e">
        <f ca="1"/>
        <v>#REF!</v>
      </c>
      <c r="T2213" s="25" t="e">
        <f ca="1"/>
        <v>#REF!</v>
      </c>
      <c r="U2213" s="25" t="e">
        <f ca="1"/>
        <v>#REF!</v>
      </c>
      <c r="V2213" s="25" t="e">
        <f ca="1"/>
        <v>#REF!</v>
      </c>
      <c r="W2213" s="33" t="e">
        <f ca="1"/>
        <v>#REF!</v>
      </c>
      <c r="X2213" s="33" t="e">
        <f ca="1"/>
        <v>#REF!</v>
      </c>
      <c r="Y2213" s="33" t="e">
        <f ca="1"/>
        <v>#REF!</v>
      </c>
      <c r="Z2213" s="33" t="e">
        <f ca="1"/>
        <v>#REF!</v>
      </c>
      <c r="AA2213" s="33" t="e">
        <f ca="1"/>
        <v>#REF!</v>
      </c>
    </row>
    <row r="2214" spans="1:27" s="70" customFormat="1" ht="11.25" x14ac:dyDescent="0.2">
      <c r="A2214" s="24">
        <v>2208</v>
      </c>
      <c r="B2214" s="24"/>
      <c r="C2214" s="25"/>
      <c r="D2214" s="26"/>
      <c r="E2214" s="25"/>
      <c r="F2214" s="25"/>
      <c r="G2214" s="24"/>
      <c r="H2214" s="25" t="e">
        <f ca="1"/>
        <v>#REF!</v>
      </c>
      <c r="I2214" s="27" t="e">
        <f ca="1"/>
        <v>#REF!</v>
      </c>
      <c r="J2214" s="28" t="e">
        <f ca="1"/>
        <v>#REF!</v>
      </c>
      <c r="K2214" s="27" t="e">
        <f ca="1"/>
        <v>#REF!</v>
      </c>
      <c r="L2214" s="25" t="e">
        <f ca="1"/>
        <v>#REF!</v>
      </c>
      <c r="M2214" s="25" t="e">
        <f ca="1"/>
        <v>#REF!</v>
      </c>
      <c r="N2214" s="25" t="e">
        <f ca="1"/>
        <v>#REF!</v>
      </c>
      <c r="O2214" s="25" t="e">
        <f ca="1"/>
        <v>#REF!</v>
      </c>
      <c r="P2214" s="25" t="e">
        <f ca="1"/>
        <v>#REF!</v>
      </c>
      <c r="Q2214" s="25" t="e">
        <f ca="1"/>
        <v>#REF!</v>
      </c>
      <c r="R2214" s="25" t="e">
        <f ca="1"/>
        <v>#REF!</v>
      </c>
      <c r="S2214" s="25" t="e">
        <f ca="1"/>
        <v>#REF!</v>
      </c>
      <c r="T2214" s="25" t="e">
        <f ca="1"/>
        <v>#REF!</v>
      </c>
      <c r="U2214" s="25" t="e">
        <f ca="1"/>
        <v>#REF!</v>
      </c>
      <c r="V2214" s="25" t="e">
        <f ca="1"/>
        <v>#REF!</v>
      </c>
      <c r="W2214" s="33" t="e">
        <f ca="1"/>
        <v>#REF!</v>
      </c>
      <c r="X2214" s="33" t="e">
        <f ca="1"/>
        <v>#REF!</v>
      </c>
      <c r="Y2214" s="33" t="e">
        <f ca="1"/>
        <v>#REF!</v>
      </c>
      <c r="Z2214" s="33" t="e">
        <f ca="1"/>
        <v>#REF!</v>
      </c>
      <c r="AA2214" s="33" t="e">
        <f ca="1"/>
        <v>#REF!</v>
      </c>
    </row>
    <row r="2215" spans="1:27" s="70" customFormat="1" ht="11.25" x14ac:dyDescent="0.2">
      <c r="A2215" s="24">
        <v>2209</v>
      </c>
      <c r="B2215" s="24"/>
      <c r="C2215" s="25"/>
      <c r="D2215" s="26"/>
      <c r="E2215" s="25"/>
      <c r="F2215" s="25"/>
      <c r="G2215" s="24"/>
      <c r="H2215" s="25" t="e">
        <f ca="1"/>
        <v>#REF!</v>
      </c>
      <c r="I2215" s="27" t="e">
        <f ca="1"/>
        <v>#REF!</v>
      </c>
      <c r="J2215" s="28" t="e">
        <f ca="1"/>
        <v>#REF!</v>
      </c>
      <c r="K2215" s="27" t="e">
        <f ca="1"/>
        <v>#REF!</v>
      </c>
      <c r="L2215" s="25" t="e">
        <f ca="1"/>
        <v>#REF!</v>
      </c>
      <c r="M2215" s="25" t="e">
        <f ca="1"/>
        <v>#REF!</v>
      </c>
      <c r="N2215" s="25" t="e">
        <f ca="1"/>
        <v>#REF!</v>
      </c>
      <c r="O2215" s="25" t="e">
        <f ca="1"/>
        <v>#REF!</v>
      </c>
      <c r="P2215" s="25" t="e">
        <f ca="1"/>
        <v>#REF!</v>
      </c>
      <c r="Q2215" s="25" t="e">
        <f ca="1"/>
        <v>#REF!</v>
      </c>
      <c r="R2215" s="25" t="e">
        <f ca="1"/>
        <v>#REF!</v>
      </c>
      <c r="S2215" s="25" t="e">
        <f ca="1"/>
        <v>#REF!</v>
      </c>
      <c r="T2215" s="25" t="e">
        <f ca="1"/>
        <v>#REF!</v>
      </c>
      <c r="U2215" s="25" t="e">
        <f ca="1"/>
        <v>#REF!</v>
      </c>
      <c r="V2215" s="25" t="e">
        <f ca="1"/>
        <v>#REF!</v>
      </c>
      <c r="W2215" s="33" t="e">
        <f ca="1"/>
        <v>#REF!</v>
      </c>
      <c r="X2215" s="33" t="e">
        <f ca="1"/>
        <v>#REF!</v>
      </c>
      <c r="Y2215" s="33" t="e">
        <f ca="1"/>
        <v>#REF!</v>
      </c>
      <c r="Z2215" s="33" t="e">
        <f ca="1"/>
        <v>#REF!</v>
      </c>
      <c r="AA2215" s="33" t="e">
        <f ca="1"/>
        <v>#REF!</v>
      </c>
    </row>
    <row r="2216" spans="1:27" s="70" customFormat="1" ht="11.25" x14ac:dyDescent="0.2">
      <c r="A2216" s="24">
        <v>2210</v>
      </c>
      <c r="B2216" s="24"/>
      <c r="C2216" s="25"/>
      <c r="D2216" s="26"/>
      <c r="E2216" s="25"/>
      <c r="F2216" s="25"/>
      <c r="G2216" s="24"/>
      <c r="H2216" s="25" t="e">
        <f ca="1"/>
        <v>#REF!</v>
      </c>
      <c r="I2216" s="27" t="e">
        <f ca="1"/>
        <v>#REF!</v>
      </c>
      <c r="J2216" s="28" t="e">
        <f ca="1"/>
        <v>#REF!</v>
      </c>
      <c r="K2216" s="27" t="e">
        <f ca="1"/>
        <v>#REF!</v>
      </c>
      <c r="L2216" s="25" t="e">
        <f ca="1"/>
        <v>#REF!</v>
      </c>
      <c r="M2216" s="25" t="e">
        <f ca="1"/>
        <v>#REF!</v>
      </c>
      <c r="N2216" s="25" t="e">
        <f ca="1"/>
        <v>#REF!</v>
      </c>
      <c r="O2216" s="25" t="e">
        <f ca="1"/>
        <v>#REF!</v>
      </c>
      <c r="P2216" s="25" t="e">
        <f ca="1"/>
        <v>#REF!</v>
      </c>
      <c r="Q2216" s="25" t="e">
        <f ca="1"/>
        <v>#REF!</v>
      </c>
      <c r="R2216" s="25" t="e">
        <f ca="1"/>
        <v>#REF!</v>
      </c>
      <c r="S2216" s="25" t="e">
        <f ca="1"/>
        <v>#REF!</v>
      </c>
      <c r="T2216" s="25" t="e">
        <f ca="1"/>
        <v>#REF!</v>
      </c>
      <c r="U2216" s="25" t="e">
        <f ca="1"/>
        <v>#REF!</v>
      </c>
      <c r="V2216" s="25" t="e">
        <f ca="1"/>
        <v>#REF!</v>
      </c>
      <c r="W2216" s="33" t="e">
        <f ca="1"/>
        <v>#REF!</v>
      </c>
      <c r="X2216" s="33" t="e">
        <f ca="1"/>
        <v>#REF!</v>
      </c>
      <c r="Y2216" s="33" t="e">
        <f ca="1"/>
        <v>#REF!</v>
      </c>
      <c r="Z2216" s="33" t="e">
        <f ca="1"/>
        <v>#REF!</v>
      </c>
      <c r="AA2216" s="33" t="e">
        <f ca="1"/>
        <v>#REF!</v>
      </c>
    </row>
    <row r="2217" spans="1:27" s="70" customFormat="1" ht="11.25" x14ac:dyDescent="0.2">
      <c r="A2217" s="24">
        <v>2211</v>
      </c>
      <c r="B2217" s="24"/>
      <c r="C2217" s="25"/>
      <c r="D2217" s="26"/>
      <c r="E2217" s="25"/>
      <c r="F2217" s="25"/>
      <c r="G2217" s="24"/>
      <c r="H2217" s="25" t="e">
        <f ca="1"/>
        <v>#REF!</v>
      </c>
      <c r="I2217" s="27" t="e">
        <f ca="1"/>
        <v>#REF!</v>
      </c>
      <c r="J2217" s="28" t="e">
        <f ca="1"/>
        <v>#REF!</v>
      </c>
      <c r="K2217" s="27" t="e">
        <f ca="1"/>
        <v>#REF!</v>
      </c>
      <c r="L2217" s="25" t="e">
        <f ca="1"/>
        <v>#REF!</v>
      </c>
      <c r="M2217" s="25" t="e">
        <f ca="1"/>
        <v>#REF!</v>
      </c>
      <c r="N2217" s="25" t="e">
        <f ca="1"/>
        <v>#REF!</v>
      </c>
      <c r="O2217" s="25" t="e">
        <f ca="1"/>
        <v>#REF!</v>
      </c>
      <c r="P2217" s="25" t="e">
        <f ca="1"/>
        <v>#REF!</v>
      </c>
      <c r="Q2217" s="25" t="e">
        <f ca="1"/>
        <v>#REF!</v>
      </c>
      <c r="R2217" s="25" t="e">
        <f ca="1"/>
        <v>#REF!</v>
      </c>
      <c r="S2217" s="25" t="e">
        <f ca="1"/>
        <v>#REF!</v>
      </c>
      <c r="T2217" s="25" t="e">
        <f ca="1"/>
        <v>#REF!</v>
      </c>
      <c r="U2217" s="25" t="e">
        <f ca="1"/>
        <v>#REF!</v>
      </c>
      <c r="V2217" s="25" t="e">
        <f ca="1"/>
        <v>#REF!</v>
      </c>
      <c r="W2217" s="33" t="e">
        <f ca="1"/>
        <v>#REF!</v>
      </c>
      <c r="X2217" s="33" t="e">
        <f ca="1"/>
        <v>#REF!</v>
      </c>
      <c r="Y2217" s="33" t="e">
        <f ca="1"/>
        <v>#REF!</v>
      </c>
      <c r="Z2217" s="33" t="e">
        <f ca="1"/>
        <v>#REF!</v>
      </c>
      <c r="AA2217" s="33" t="e">
        <f ca="1"/>
        <v>#REF!</v>
      </c>
    </row>
    <row r="2218" spans="1:27" s="70" customFormat="1" ht="11.25" x14ac:dyDescent="0.2">
      <c r="A2218" s="24">
        <v>2212</v>
      </c>
      <c r="B2218" s="24"/>
      <c r="C2218" s="25"/>
      <c r="D2218" s="26"/>
      <c r="E2218" s="25"/>
      <c r="F2218" s="25"/>
      <c r="G2218" s="24"/>
      <c r="H2218" s="25" t="e">
        <f ca="1"/>
        <v>#REF!</v>
      </c>
      <c r="I2218" s="27" t="e">
        <f ca="1"/>
        <v>#REF!</v>
      </c>
      <c r="J2218" s="28" t="e">
        <f ca="1"/>
        <v>#REF!</v>
      </c>
      <c r="K2218" s="27" t="e">
        <f ca="1"/>
        <v>#REF!</v>
      </c>
      <c r="L2218" s="25" t="e">
        <f ca="1"/>
        <v>#REF!</v>
      </c>
      <c r="M2218" s="25" t="e">
        <f ca="1"/>
        <v>#REF!</v>
      </c>
      <c r="N2218" s="25" t="e">
        <f ca="1"/>
        <v>#REF!</v>
      </c>
      <c r="O2218" s="25" t="e">
        <f ca="1"/>
        <v>#REF!</v>
      </c>
      <c r="P2218" s="25" t="e">
        <f ca="1"/>
        <v>#REF!</v>
      </c>
      <c r="Q2218" s="25" t="e">
        <f ca="1"/>
        <v>#REF!</v>
      </c>
      <c r="R2218" s="25" t="e">
        <f ca="1"/>
        <v>#REF!</v>
      </c>
      <c r="S2218" s="25" t="e">
        <f ca="1"/>
        <v>#REF!</v>
      </c>
      <c r="T2218" s="25" t="e">
        <f ca="1"/>
        <v>#REF!</v>
      </c>
      <c r="U2218" s="25" t="e">
        <f ca="1"/>
        <v>#REF!</v>
      </c>
      <c r="V2218" s="25" t="e">
        <f ca="1"/>
        <v>#REF!</v>
      </c>
      <c r="W2218" s="33" t="e">
        <f ca="1"/>
        <v>#REF!</v>
      </c>
      <c r="X2218" s="33" t="e">
        <f ca="1"/>
        <v>#REF!</v>
      </c>
      <c r="Y2218" s="33" t="e">
        <f ca="1"/>
        <v>#REF!</v>
      </c>
      <c r="Z2218" s="33" t="e">
        <f ca="1"/>
        <v>#REF!</v>
      </c>
      <c r="AA2218" s="33" t="e">
        <f ca="1"/>
        <v>#REF!</v>
      </c>
    </row>
    <row r="2219" spans="1:27" s="70" customFormat="1" ht="11.25" x14ac:dyDescent="0.2">
      <c r="A2219" s="24">
        <v>2213</v>
      </c>
      <c r="B2219" s="24"/>
      <c r="C2219" s="25"/>
      <c r="D2219" s="26"/>
      <c r="E2219" s="25"/>
      <c r="F2219" s="25"/>
      <c r="G2219" s="24"/>
      <c r="H2219" s="25" t="e">
        <f ca="1"/>
        <v>#REF!</v>
      </c>
      <c r="I2219" s="27" t="e">
        <f ca="1"/>
        <v>#REF!</v>
      </c>
      <c r="J2219" s="28" t="e">
        <f ca="1"/>
        <v>#REF!</v>
      </c>
      <c r="K2219" s="27" t="e">
        <f ca="1"/>
        <v>#REF!</v>
      </c>
      <c r="L2219" s="25" t="e">
        <f ca="1"/>
        <v>#REF!</v>
      </c>
      <c r="M2219" s="25" t="e">
        <f ca="1"/>
        <v>#REF!</v>
      </c>
      <c r="N2219" s="25" t="e">
        <f ca="1"/>
        <v>#REF!</v>
      </c>
      <c r="O2219" s="25" t="e">
        <f ca="1"/>
        <v>#REF!</v>
      </c>
      <c r="P2219" s="25" t="e">
        <f ca="1"/>
        <v>#REF!</v>
      </c>
      <c r="Q2219" s="25" t="e">
        <f ca="1"/>
        <v>#REF!</v>
      </c>
      <c r="R2219" s="25" t="e">
        <f ca="1"/>
        <v>#REF!</v>
      </c>
      <c r="S2219" s="25" t="e">
        <f ca="1"/>
        <v>#REF!</v>
      </c>
      <c r="T2219" s="25" t="e">
        <f ca="1"/>
        <v>#REF!</v>
      </c>
      <c r="U2219" s="25" t="e">
        <f ca="1"/>
        <v>#REF!</v>
      </c>
      <c r="V2219" s="25" t="e">
        <f ca="1"/>
        <v>#REF!</v>
      </c>
      <c r="W2219" s="33" t="e">
        <f ca="1"/>
        <v>#REF!</v>
      </c>
      <c r="X2219" s="33" t="e">
        <f ca="1"/>
        <v>#REF!</v>
      </c>
      <c r="Y2219" s="33" t="e">
        <f ca="1"/>
        <v>#REF!</v>
      </c>
      <c r="Z2219" s="33" t="e">
        <f ca="1"/>
        <v>#REF!</v>
      </c>
      <c r="AA2219" s="33" t="e">
        <f ca="1"/>
        <v>#REF!</v>
      </c>
    </row>
    <row r="2220" spans="1:27" s="70" customFormat="1" ht="11.25" x14ac:dyDescent="0.2">
      <c r="A2220" s="24">
        <v>2214</v>
      </c>
      <c r="B2220" s="24"/>
      <c r="C2220" s="25"/>
      <c r="D2220" s="26"/>
      <c r="E2220" s="25"/>
      <c r="F2220" s="25"/>
      <c r="G2220" s="24"/>
      <c r="H2220" s="25" t="e">
        <f ca="1"/>
        <v>#REF!</v>
      </c>
      <c r="I2220" s="27" t="e">
        <f ca="1"/>
        <v>#REF!</v>
      </c>
      <c r="J2220" s="28" t="e">
        <f ca="1"/>
        <v>#REF!</v>
      </c>
      <c r="K2220" s="27" t="e">
        <f ca="1"/>
        <v>#REF!</v>
      </c>
      <c r="L2220" s="25" t="e">
        <f ca="1"/>
        <v>#REF!</v>
      </c>
      <c r="M2220" s="25" t="e">
        <f ca="1"/>
        <v>#REF!</v>
      </c>
      <c r="N2220" s="25" t="e">
        <f ca="1"/>
        <v>#REF!</v>
      </c>
      <c r="O2220" s="25" t="e">
        <f ca="1"/>
        <v>#REF!</v>
      </c>
      <c r="P2220" s="25" t="e">
        <f ca="1"/>
        <v>#REF!</v>
      </c>
      <c r="Q2220" s="25" t="e">
        <f ca="1"/>
        <v>#REF!</v>
      </c>
      <c r="R2220" s="25" t="e">
        <f ca="1"/>
        <v>#REF!</v>
      </c>
      <c r="S2220" s="25" t="e">
        <f ca="1"/>
        <v>#REF!</v>
      </c>
      <c r="T2220" s="25" t="e">
        <f ca="1"/>
        <v>#REF!</v>
      </c>
      <c r="U2220" s="25" t="e">
        <f ca="1"/>
        <v>#REF!</v>
      </c>
      <c r="V2220" s="25" t="e">
        <f ca="1"/>
        <v>#REF!</v>
      </c>
      <c r="W2220" s="33" t="e">
        <f ca="1"/>
        <v>#REF!</v>
      </c>
      <c r="X2220" s="33" t="e">
        <f ca="1"/>
        <v>#REF!</v>
      </c>
      <c r="Y2220" s="33" t="e">
        <f ca="1"/>
        <v>#REF!</v>
      </c>
      <c r="Z2220" s="33" t="e">
        <f ca="1"/>
        <v>#REF!</v>
      </c>
      <c r="AA2220" s="33" t="e">
        <f ca="1"/>
        <v>#REF!</v>
      </c>
    </row>
    <row r="2221" spans="1:27" s="70" customFormat="1" ht="11.25" x14ac:dyDescent="0.2">
      <c r="A2221" s="24">
        <v>2215</v>
      </c>
      <c r="B2221" s="24"/>
      <c r="C2221" s="25"/>
      <c r="D2221" s="26"/>
      <c r="E2221" s="25"/>
      <c r="F2221" s="25"/>
      <c r="G2221" s="24"/>
      <c r="H2221" s="25" t="e">
        <f ca="1"/>
        <v>#REF!</v>
      </c>
      <c r="I2221" s="27" t="e">
        <f ca="1"/>
        <v>#REF!</v>
      </c>
      <c r="J2221" s="28" t="e">
        <f ca="1"/>
        <v>#REF!</v>
      </c>
      <c r="K2221" s="27" t="e">
        <f ca="1"/>
        <v>#REF!</v>
      </c>
      <c r="L2221" s="25" t="e">
        <f ca="1"/>
        <v>#REF!</v>
      </c>
      <c r="M2221" s="25" t="e">
        <f ca="1"/>
        <v>#REF!</v>
      </c>
      <c r="N2221" s="25" t="e">
        <f ca="1"/>
        <v>#REF!</v>
      </c>
      <c r="O2221" s="25" t="e">
        <f ca="1"/>
        <v>#REF!</v>
      </c>
      <c r="P2221" s="25" t="e">
        <f ca="1"/>
        <v>#REF!</v>
      </c>
      <c r="Q2221" s="25" t="e">
        <f ca="1"/>
        <v>#REF!</v>
      </c>
      <c r="R2221" s="25" t="e">
        <f ca="1"/>
        <v>#REF!</v>
      </c>
      <c r="S2221" s="25" t="e">
        <f ca="1"/>
        <v>#REF!</v>
      </c>
      <c r="T2221" s="25" t="e">
        <f ca="1"/>
        <v>#REF!</v>
      </c>
      <c r="U2221" s="25" t="e">
        <f ca="1"/>
        <v>#REF!</v>
      </c>
      <c r="V2221" s="25" t="e">
        <f ca="1"/>
        <v>#REF!</v>
      </c>
      <c r="W2221" s="33" t="e">
        <f ca="1"/>
        <v>#REF!</v>
      </c>
      <c r="X2221" s="33" t="e">
        <f ca="1"/>
        <v>#REF!</v>
      </c>
      <c r="Y2221" s="33" t="e">
        <f ca="1"/>
        <v>#REF!</v>
      </c>
      <c r="Z2221" s="33" t="e">
        <f ca="1"/>
        <v>#REF!</v>
      </c>
      <c r="AA2221" s="33" t="e">
        <f ca="1"/>
        <v>#REF!</v>
      </c>
    </row>
    <row r="2222" spans="1:27" s="70" customFormat="1" ht="11.25" x14ac:dyDescent="0.2">
      <c r="A2222" s="24">
        <v>2216</v>
      </c>
      <c r="B2222" s="24"/>
      <c r="C2222" s="25"/>
      <c r="D2222" s="26"/>
      <c r="E2222" s="25"/>
      <c r="F2222" s="25"/>
      <c r="G2222" s="24"/>
      <c r="H2222" s="25" t="e">
        <f ca="1"/>
        <v>#REF!</v>
      </c>
      <c r="I2222" s="27" t="e">
        <f ca="1"/>
        <v>#REF!</v>
      </c>
      <c r="J2222" s="28" t="e">
        <f ca="1"/>
        <v>#REF!</v>
      </c>
      <c r="K2222" s="27" t="e">
        <f ca="1"/>
        <v>#REF!</v>
      </c>
      <c r="L2222" s="25" t="e">
        <f ca="1"/>
        <v>#REF!</v>
      </c>
      <c r="M2222" s="25" t="e">
        <f ca="1"/>
        <v>#REF!</v>
      </c>
      <c r="N2222" s="25" t="e">
        <f ca="1"/>
        <v>#REF!</v>
      </c>
      <c r="O2222" s="25" t="e">
        <f ca="1"/>
        <v>#REF!</v>
      </c>
      <c r="P2222" s="25" t="e">
        <f ca="1"/>
        <v>#REF!</v>
      </c>
      <c r="Q2222" s="25" t="e">
        <f ca="1"/>
        <v>#REF!</v>
      </c>
      <c r="R2222" s="25" t="e">
        <f ca="1"/>
        <v>#REF!</v>
      </c>
      <c r="S2222" s="25" t="e">
        <f ca="1"/>
        <v>#REF!</v>
      </c>
      <c r="T2222" s="25" t="e">
        <f ca="1"/>
        <v>#REF!</v>
      </c>
      <c r="U2222" s="25" t="e">
        <f ca="1"/>
        <v>#REF!</v>
      </c>
      <c r="V2222" s="25" t="e">
        <f ca="1"/>
        <v>#REF!</v>
      </c>
      <c r="W2222" s="33" t="e">
        <f ca="1"/>
        <v>#REF!</v>
      </c>
      <c r="X2222" s="33" t="e">
        <f ca="1"/>
        <v>#REF!</v>
      </c>
      <c r="Y2222" s="33" t="e">
        <f ca="1"/>
        <v>#REF!</v>
      </c>
      <c r="Z2222" s="33" t="e">
        <f ca="1"/>
        <v>#REF!</v>
      </c>
      <c r="AA2222" s="33" t="e">
        <f ca="1"/>
        <v>#REF!</v>
      </c>
    </row>
    <row r="2223" spans="1:27" s="70" customFormat="1" ht="11.25" x14ac:dyDescent="0.2">
      <c r="A2223" s="24">
        <v>2217</v>
      </c>
      <c r="B2223" s="24"/>
      <c r="C2223" s="25"/>
      <c r="D2223" s="26"/>
      <c r="E2223" s="25"/>
      <c r="F2223" s="25"/>
      <c r="G2223" s="24"/>
      <c r="H2223" s="25" t="e">
        <f ca="1"/>
        <v>#REF!</v>
      </c>
      <c r="I2223" s="27" t="e">
        <f ca="1"/>
        <v>#REF!</v>
      </c>
      <c r="J2223" s="28" t="e">
        <f ca="1"/>
        <v>#REF!</v>
      </c>
      <c r="K2223" s="27" t="e">
        <f ca="1"/>
        <v>#REF!</v>
      </c>
      <c r="L2223" s="25" t="e">
        <f ca="1"/>
        <v>#REF!</v>
      </c>
      <c r="M2223" s="25" t="e">
        <f ca="1"/>
        <v>#REF!</v>
      </c>
      <c r="N2223" s="25" t="e">
        <f ca="1"/>
        <v>#REF!</v>
      </c>
      <c r="O2223" s="25" t="e">
        <f ca="1"/>
        <v>#REF!</v>
      </c>
      <c r="P2223" s="25" t="e">
        <f ca="1"/>
        <v>#REF!</v>
      </c>
      <c r="Q2223" s="25" t="e">
        <f ca="1"/>
        <v>#REF!</v>
      </c>
      <c r="R2223" s="25" t="e">
        <f ca="1"/>
        <v>#REF!</v>
      </c>
      <c r="S2223" s="25" t="e">
        <f ca="1"/>
        <v>#REF!</v>
      </c>
      <c r="T2223" s="25" t="e">
        <f ca="1"/>
        <v>#REF!</v>
      </c>
      <c r="U2223" s="25" t="e">
        <f ca="1"/>
        <v>#REF!</v>
      </c>
      <c r="V2223" s="25" t="e">
        <f ca="1"/>
        <v>#REF!</v>
      </c>
      <c r="W2223" s="33" t="e">
        <f ca="1"/>
        <v>#REF!</v>
      </c>
      <c r="X2223" s="33" t="e">
        <f ca="1"/>
        <v>#REF!</v>
      </c>
      <c r="Y2223" s="33" t="e">
        <f ca="1"/>
        <v>#REF!</v>
      </c>
      <c r="Z2223" s="33" t="e">
        <f ca="1"/>
        <v>#REF!</v>
      </c>
      <c r="AA2223" s="33" t="e">
        <f ca="1"/>
        <v>#REF!</v>
      </c>
    </row>
    <row r="2224" spans="1:27" s="70" customFormat="1" ht="11.25" x14ac:dyDescent="0.2">
      <c r="A2224" s="24">
        <v>2218</v>
      </c>
      <c r="B2224" s="24"/>
      <c r="C2224" s="25"/>
      <c r="D2224" s="26"/>
      <c r="E2224" s="25"/>
      <c r="F2224" s="25"/>
      <c r="G2224" s="24"/>
      <c r="H2224" s="25" t="e">
        <f ca="1"/>
        <v>#REF!</v>
      </c>
      <c r="I2224" s="27" t="e">
        <f ca="1"/>
        <v>#REF!</v>
      </c>
      <c r="J2224" s="28" t="e">
        <f ca="1"/>
        <v>#REF!</v>
      </c>
      <c r="K2224" s="27" t="e">
        <f ca="1"/>
        <v>#REF!</v>
      </c>
      <c r="L2224" s="25" t="e">
        <f ca="1"/>
        <v>#REF!</v>
      </c>
      <c r="M2224" s="25" t="e">
        <f ca="1"/>
        <v>#REF!</v>
      </c>
      <c r="N2224" s="25" t="e">
        <f ca="1"/>
        <v>#REF!</v>
      </c>
      <c r="O2224" s="25" t="e">
        <f ca="1"/>
        <v>#REF!</v>
      </c>
      <c r="P2224" s="25" t="e">
        <f ca="1"/>
        <v>#REF!</v>
      </c>
      <c r="Q2224" s="25" t="e">
        <f ca="1"/>
        <v>#REF!</v>
      </c>
      <c r="R2224" s="25" t="e">
        <f ca="1"/>
        <v>#REF!</v>
      </c>
      <c r="S2224" s="25" t="e">
        <f ca="1"/>
        <v>#REF!</v>
      </c>
      <c r="T2224" s="25" t="e">
        <f ca="1"/>
        <v>#REF!</v>
      </c>
      <c r="U2224" s="25" t="e">
        <f ca="1"/>
        <v>#REF!</v>
      </c>
      <c r="V2224" s="25" t="e">
        <f ca="1"/>
        <v>#REF!</v>
      </c>
      <c r="W2224" s="33" t="e">
        <f ca="1"/>
        <v>#REF!</v>
      </c>
      <c r="X2224" s="33" t="e">
        <f ca="1"/>
        <v>#REF!</v>
      </c>
      <c r="Y2224" s="33" t="e">
        <f ca="1"/>
        <v>#REF!</v>
      </c>
      <c r="Z2224" s="33" t="e">
        <f ca="1"/>
        <v>#REF!</v>
      </c>
      <c r="AA2224" s="33" t="e">
        <f ca="1"/>
        <v>#REF!</v>
      </c>
    </row>
    <row r="2225" spans="1:27" s="70" customFormat="1" ht="11.25" x14ac:dyDescent="0.2">
      <c r="A2225" s="24">
        <v>2219</v>
      </c>
      <c r="B2225" s="24"/>
      <c r="C2225" s="25"/>
      <c r="D2225" s="26"/>
      <c r="E2225" s="25"/>
      <c r="F2225" s="25"/>
      <c r="G2225" s="24"/>
      <c r="H2225" s="25" t="e">
        <f ca="1"/>
        <v>#REF!</v>
      </c>
      <c r="I2225" s="27" t="e">
        <f ca="1"/>
        <v>#REF!</v>
      </c>
      <c r="J2225" s="28" t="e">
        <f ca="1"/>
        <v>#REF!</v>
      </c>
      <c r="K2225" s="27" t="e">
        <f ca="1"/>
        <v>#REF!</v>
      </c>
      <c r="L2225" s="25" t="e">
        <f ca="1"/>
        <v>#REF!</v>
      </c>
      <c r="M2225" s="25" t="e">
        <f ca="1"/>
        <v>#REF!</v>
      </c>
      <c r="N2225" s="25" t="e">
        <f ca="1"/>
        <v>#REF!</v>
      </c>
      <c r="O2225" s="25" t="e">
        <f ca="1"/>
        <v>#REF!</v>
      </c>
      <c r="P2225" s="25" t="e">
        <f ca="1"/>
        <v>#REF!</v>
      </c>
      <c r="Q2225" s="25" t="e">
        <f ca="1"/>
        <v>#REF!</v>
      </c>
      <c r="R2225" s="25" t="e">
        <f ca="1"/>
        <v>#REF!</v>
      </c>
      <c r="S2225" s="25" t="e">
        <f ca="1"/>
        <v>#REF!</v>
      </c>
      <c r="T2225" s="25" t="e">
        <f ca="1"/>
        <v>#REF!</v>
      </c>
      <c r="U2225" s="25" t="e">
        <f ca="1"/>
        <v>#REF!</v>
      </c>
      <c r="V2225" s="25" t="e">
        <f ca="1"/>
        <v>#REF!</v>
      </c>
      <c r="W2225" s="33" t="e">
        <f ca="1"/>
        <v>#REF!</v>
      </c>
      <c r="X2225" s="33" t="e">
        <f ca="1"/>
        <v>#REF!</v>
      </c>
      <c r="Y2225" s="33" t="e">
        <f ca="1"/>
        <v>#REF!</v>
      </c>
      <c r="Z2225" s="33" t="e">
        <f ca="1"/>
        <v>#REF!</v>
      </c>
      <c r="AA2225" s="33" t="e">
        <f ca="1"/>
        <v>#REF!</v>
      </c>
    </row>
    <row r="2226" spans="1:27" s="70" customFormat="1" ht="11.25" x14ac:dyDescent="0.2">
      <c r="A2226" s="24">
        <v>2220</v>
      </c>
      <c r="B2226" s="24"/>
      <c r="C2226" s="25"/>
      <c r="D2226" s="26"/>
      <c r="E2226" s="25"/>
      <c r="F2226" s="25"/>
      <c r="G2226" s="24"/>
      <c r="H2226" s="25" t="e">
        <f ca="1"/>
        <v>#REF!</v>
      </c>
      <c r="I2226" s="27" t="e">
        <f ca="1"/>
        <v>#REF!</v>
      </c>
      <c r="J2226" s="28" t="e">
        <f ca="1"/>
        <v>#REF!</v>
      </c>
      <c r="K2226" s="27" t="e">
        <f ca="1"/>
        <v>#REF!</v>
      </c>
      <c r="L2226" s="25" t="e">
        <f ca="1"/>
        <v>#REF!</v>
      </c>
      <c r="M2226" s="25" t="e">
        <f ca="1"/>
        <v>#REF!</v>
      </c>
      <c r="N2226" s="25" t="e">
        <f ca="1"/>
        <v>#REF!</v>
      </c>
      <c r="O2226" s="25" t="e">
        <f ca="1"/>
        <v>#REF!</v>
      </c>
      <c r="P2226" s="25" t="e">
        <f ca="1"/>
        <v>#REF!</v>
      </c>
      <c r="Q2226" s="25" t="e">
        <f ca="1"/>
        <v>#REF!</v>
      </c>
      <c r="R2226" s="25" t="e">
        <f ca="1"/>
        <v>#REF!</v>
      </c>
      <c r="S2226" s="25" t="e">
        <f ca="1"/>
        <v>#REF!</v>
      </c>
      <c r="T2226" s="25" t="e">
        <f ca="1"/>
        <v>#REF!</v>
      </c>
      <c r="U2226" s="25" t="e">
        <f ca="1"/>
        <v>#REF!</v>
      </c>
      <c r="V2226" s="25" t="e">
        <f ca="1"/>
        <v>#REF!</v>
      </c>
      <c r="W2226" s="33" t="e">
        <f ca="1"/>
        <v>#REF!</v>
      </c>
      <c r="X2226" s="33" t="e">
        <f ca="1"/>
        <v>#REF!</v>
      </c>
      <c r="Y2226" s="33" t="e">
        <f ca="1"/>
        <v>#REF!</v>
      </c>
      <c r="Z2226" s="33" t="e">
        <f ca="1"/>
        <v>#REF!</v>
      </c>
      <c r="AA2226" s="33" t="e">
        <f ca="1"/>
        <v>#REF!</v>
      </c>
    </row>
    <row r="2227" spans="1:27" s="70" customFormat="1" ht="11.25" x14ac:dyDescent="0.2">
      <c r="A2227" s="24">
        <v>2221</v>
      </c>
      <c r="B2227" s="24"/>
      <c r="C2227" s="25"/>
      <c r="D2227" s="26"/>
      <c r="E2227" s="25"/>
      <c r="F2227" s="25"/>
      <c r="G2227" s="24"/>
      <c r="H2227" s="25" t="e">
        <f ca="1"/>
        <v>#REF!</v>
      </c>
      <c r="I2227" s="27" t="e">
        <f ca="1"/>
        <v>#REF!</v>
      </c>
      <c r="J2227" s="28" t="e">
        <f ca="1"/>
        <v>#REF!</v>
      </c>
      <c r="K2227" s="27" t="e">
        <f ca="1"/>
        <v>#REF!</v>
      </c>
      <c r="L2227" s="25" t="e">
        <f ca="1"/>
        <v>#REF!</v>
      </c>
      <c r="M2227" s="25" t="e">
        <f ca="1"/>
        <v>#REF!</v>
      </c>
      <c r="N2227" s="25" t="e">
        <f ca="1"/>
        <v>#REF!</v>
      </c>
      <c r="O2227" s="25" t="e">
        <f ca="1"/>
        <v>#REF!</v>
      </c>
      <c r="P2227" s="25" t="e">
        <f ca="1"/>
        <v>#REF!</v>
      </c>
      <c r="Q2227" s="25" t="e">
        <f ca="1"/>
        <v>#REF!</v>
      </c>
      <c r="R2227" s="25" t="e">
        <f ca="1"/>
        <v>#REF!</v>
      </c>
      <c r="S2227" s="25" t="e">
        <f ca="1"/>
        <v>#REF!</v>
      </c>
      <c r="T2227" s="25" t="e">
        <f ca="1"/>
        <v>#REF!</v>
      </c>
      <c r="U2227" s="25" t="e">
        <f ca="1"/>
        <v>#REF!</v>
      </c>
      <c r="V2227" s="25" t="e">
        <f ca="1"/>
        <v>#REF!</v>
      </c>
      <c r="W2227" s="33" t="e">
        <f ca="1"/>
        <v>#REF!</v>
      </c>
      <c r="X2227" s="33" t="e">
        <f ca="1"/>
        <v>#REF!</v>
      </c>
      <c r="Y2227" s="33" t="e">
        <f ca="1"/>
        <v>#REF!</v>
      </c>
      <c r="Z2227" s="33" t="e">
        <f ca="1"/>
        <v>#REF!</v>
      </c>
      <c r="AA2227" s="33" t="e">
        <f ca="1"/>
        <v>#REF!</v>
      </c>
    </row>
    <row r="2228" spans="1:27" s="70" customFormat="1" ht="11.25" x14ac:dyDescent="0.2">
      <c r="A2228" s="24">
        <v>2222</v>
      </c>
      <c r="B2228" s="24"/>
      <c r="C2228" s="25"/>
      <c r="D2228" s="26"/>
      <c r="E2228" s="25"/>
      <c r="F2228" s="25"/>
      <c r="G2228" s="24"/>
      <c r="H2228" s="25" t="e">
        <f ca="1"/>
        <v>#REF!</v>
      </c>
      <c r="I2228" s="27" t="e">
        <f ca="1"/>
        <v>#REF!</v>
      </c>
      <c r="J2228" s="28" t="e">
        <f ca="1"/>
        <v>#REF!</v>
      </c>
      <c r="K2228" s="27" t="e">
        <f ca="1"/>
        <v>#REF!</v>
      </c>
      <c r="L2228" s="25" t="e">
        <f ca="1"/>
        <v>#REF!</v>
      </c>
      <c r="M2228" s="25" t="e">
        <f ca="1"/>
        <v>#REF!</v>
      </c>
      <c r="N2228" s="25" t="e">
        <f ca="1"/>
        <v>#REF!</v>
      </c>
      <c r="O2228" s="25" t="e">
        <f ca="1"/>
        <v>#REF!</v>
      </c>
      <c r="P2228" s="25" t="e">
        <f ca="1"/>
        <v>#REF!</v>
      </c>
      <c r="Q2228" s="25" t="e">
        <f ca="1"/>
        <v>#REF!</v>
      </c>
      <c r="R2228" s="25" t="e">
        <f ca="1"/>
        <v>#REF!</v>
      </c>
      <c r="S2228" s="25" t="e">
        <f ca="1"/>
        <v>#REF!</v>
      </c>
      <c r="T2228" s="25" t="e">
        <f ca="1"/>
        <v>#REF!</v>
      </c>
      <c r="U2228" s="25" t="e">
        <f ca="1"/>
        <v>#REF!</v>
      </c>
      <c r="V2228" s="25" t="e">
        <f ca="1"/>
        <v>#REF!</v>
      </c>
      <c r="W2228" s="33" t="e">
        <f ca="1"/>
        <v>#REF!</v>
      </c>
      <c r="X2228" s="33" t="e">
        <f ca="1"/>
        <v>#REF!</v>
      </c>
      <c r="Y2228" s="33" t="e">
        <f ca="1"/>
        <v>#REF!</v>
      </c>
      <c r="Z2228" s="33" t="e">
        <f ca="1"/>
        <v>#REF!</v>
      </c>
      <c r="AA2228" s="33" t="e">
        <f ca="1"/>
        <v>#REF!</v>
      </c>
    </row>
    <row r="2229" spans="1:27" s="70" customFormat="1" ht="11.25" x14ac:dyDescent="0.2">
      <c r="A2229" s="24">
        <v>2223</v>
      </c>
      <c r="B2229" s="24"/>
      <c r="C2229" s="25"/>
      <c r="D2229" s="26"/>
      <c r="E2229" s="25"/>
      <c r="F2229" s="25"/>
      <c r="G2229" s="24"/>
      <c r="H2229" s="25" t="e">
        <f ca="1"/>
        <v>#REF!</v>
      </c>
      <c r="I2229" s="27" t="e">
        <f ca="1"/>
        <v>#REF!</v>
      </c>
      <c r="J2229" s="28" t="e">
        <f ca="1"/>
        <v>#REF!</v>
      </c>
      <c r="K2229" s="27" t="e">
        <f ca="1"/>
        <v>#REF!</v>
      </c>
      <c r="L2229" s="25" t="e">
        <f ca="1"/>
        <v>#REF!</v>
      </c>
      <c r="M2229" s="25" t="e">
        <f ca="1"/>
        <v>#REF!</v>
      </c>
      <c r="N2229" s="25" t="e">
        <f ca="1"/>
        <v>#REF!</v>
      </c>
      <c r="O2229" s="25" t="e">
        <f ca="1"/>
        <v>#REF!</v>
      </c>
      <c r="P2229" s="25" t="e">
        <f ca="1"/>
        <v>#REF!</v>
      </c>
      <c r="Q2229" s="25" t="e">
        <f ca="1"/>
        <v>#REF!</v>
      </c>
      <c r="R2229" s="25" t="e">
        <f ca="1"/>
        <v>#REF!</v>
      </c>
      <c r="S2229" s="25" t="e">
        <f ca="1"/>
        <v>#REF!</v>
      </c>
      <c r="T2229" s="25" t="e">
        <f ca="1"/>
        <v>#REF!</v>
      </c>
      <c r="U2229" s="25" t="e">
        <f ca="1"/>
        <v>#REF!</v>
      </c>
      <c r="V2229" s="25" t="e">
        <f ca="1"/>
        <v>#REF!</v>
      </c>
      <c r="W2229" s="33" t="e">
        <f ca="1"/>
        <v>#REF!</v>
      </c>
      <c r="X2229" s="33" t="e">
        <f ca="1"/>
        <v>#REF!</v>
      </c>
      <c r="Y2229" s="33" t="e">
        <f ca="1"/>
        <v>#REF!</v>
      </c>
      <c r="Z2229" s="33" t="e">
        <f ca="1"/>
        <v>#REF!</v>
      </c>
      <c r="AA2229" s="33" t="e">
        <f ca="1"/>
        <v>#REF!</v>
      </c>
    </row>
    <row r="2230" spans="1:27" s="70" customFormat="1" ht="11.25" x14ac:dyDescent="0.2">
      <c r="A2230" s="24">
        <v>2224</v>
      </c>
      <c r="B2230" s="24"/>
      <c r="C2230" s="25"/>
      <c r="D2230" s="26"/>
      <c r="E2230" s="25"/>
      <c r="F2230" s="25"/>
      <c r="G2230" s="24"/>
      <c r="H2230" s="25" t="e">
        <f ca="1"/>
        <v>#REF!</v>
      </c>
      <c r="I2230" s="27" t="e">
        <f ca="1"/>
        <v>#REF!</v>
      </c>
      <c r="J2230" s="28" t="e">
        <f ca="1"/>
        <v>#REF!</v>
      </c>
      <c r="K2230" s="27" t="e">
        <f ca="1"/>
        <v>#REF!</v>
      </c>
      <c r="L2230" s="25" t="e">
        <f ca="1"/>
        <v>#REF!</v>
      </c>
      <c r="M2230" s="25" t="e">
        <f ca="1"/>
        <v>#REF!</v>
      </c>
      <c r="N2230" s="25" t="e">
        <f ca="1"/>
        <v>#REF!</v>
      </c>
      <c r="O2230" s="25" t="e">
        <f ca="1"/>
        <v>#REF!</v>
      </c>
      <c r="P2230" s="25" t="e">
        <f ca="1"/>
        <v>#REF!</v>
      </c>
      <c r="Q2230" s="25" t="e">
        <f ca="1"/>
        <v>#REF!</v>
      </c>
      <c r="R2230" s="25" t="e">
        <f ca="1"/>
        <v>#REF!</v>
      </c>
      <c r="S2230" s="25" t="e">
        <f ca="1"/>
        <v>#REF!</v>
      </c>
      <c r="T2230" s="25" t="e">
        <f ca="1"/>
        <v>#REF!</v>
      </c>
      <c r="U2230" s="25" t="e">
        <f ca="1"/>
        <v>#REF!</v>
      </c>
      <c r="V2230" s="25" t="e">
        <f ca="1"/>
        <v>#REF!</v>
      </c>
      <c r="W2230" s="33" t="e">
        <f ca="1"/>
        <v>#REF!</v>
      </c>
      <c r="X2230" s="33" t="e">
        <f ca="1"/>
        <v>#REF!</v>
      </c>
      <c r="Y2230" s="33" t="e">
        <f ca="1"/>
        <v>#REF!</v>
      </c>
      <c r="Z2230" s="33" t="e">
        <f ca="1"/>
        <v>#REF!</v>
      </c>
      <c r="AA2230" s="33" t="e">
        <f ca="1"/>
        <v>#REF!</v>
      </c>
    </row>
    <row r="2231" spans="1:27" s="70" customFormat="1" ht="11.25" x14ac:dyDescent="0.2">
      <c r="A2231" s="24">
        <v>2225</v>
      </c>
      <c r="B2231" s="24"/>
      <c r="C2231" s="25"/>
      <c r="D2231" s="26"/>
      <c r="E2231" s="25"/>
      <c r="F2231" s="25"/>
      <c r="G2231" s="24"/>
      <c r="H2231" s="25" t="e">
        <f ca="1"/>
        <v>#REF!</v>
      </c>
      <c r="I2231" s="27" t="e">
        <f ca="1"/>
        <v>#REF!</v>
      </c>
      <c r="J2231" s="28" t="e">
        <f ca="1"/>
        <v>#REF!</v>
      </c>
      <c r="K2231" s="27" t="e">
        <f ca="1"/>
        <v>#REF!</v>
      </c>
      <c r="L2231" s="25" t="e">
        <f ca="1"/>
        <v>#REF!</v>
      </c>
      <c r="M2231" s="25" t="e">
        <f ca="1"/>
        <v>#REF!</v>
      </c>
      <c r="N2231" s="25" t="e">
        <f ca="1"/>
        <v>#REF!</v>
      </c>
      <c r="O2231" s="25" t="e">
        <f ca="1"/>
        <v>#REF!</v>
      </c>
      <c r="P2231" s="25" t="e">
        <f ca="1"/>
        <v>#REF!</v>
      </c>
      <c r="Q2231" s="25" t="e">
        <f ca="1"/>
        <v>#REF!</v>
      </c>
      <c r="R2231" s="25" t="e">
        <f ca="1"/>
        <v>#REF!</v>
      </c>
      <c r="S2231" s="25" t="e">
        <f ca="1"/>
        <v>#REF!</v>
      </c>
      <c r="T2231" s="25" t="e">
        <f ca="1"/>
        <v>#REF!</v>
      </c>
      <c r="U2231" s="25" t="e">
        <f ca="1"/>
        <v>#REF!</v>
      </c>
      <c r="V2231" s="25" t="e">
        <f ca="1"/>
        <v>#REF!</v>
      </c>
      <c r="W2231" s="33" t="e">
        <f ca="1"/>
        <v>#REF!</v>
      </c>
      <c r="X2231" s="33" t="e">
        <f ca="1"/>
        <v>#REF!</v>
      </c>
      <c r="Y2231" s="33" t="e">
        <f ca="1"/>
        <v>#REF!</v>
      </c>
      <c r="Z2231" s="33" t="e">
        <f ca="1"/>
        <v>#REF!</v>
      </c>
      <c r="AA2231" s="33" t="e">
        <f ca="1"/>
        <v>#REF!</v>
      </c>
    </row>
    <row r="2232" spans="1:27" s="70" customFormat="1" ht="11.25" x14ac:dyDescent="0.2">
      <c r="A2232" s="24">
        <v>2226</v>
      </c>
      <c r="B2232" s="24"/>
      <c r="C2232" s="25"/>
      <c r="D2232" s="26"/>
      <c r="E2232" s="25"/>
      <c r="F2232" s="25"/>
      <c r="G2232" s="24"/>
      <c r="H2232" s="25" t="e">
        <f ca="1"/>
        <v>#REF!</v>
      </c>
      <c r="I2232" s="27" t="e">
        <f ca="1"/>
        <v>#REF!</v>
      </c>
      <c r="J2232" s="28" t="e">
        <f ca="1"/>
        <v>#REF!</v>
      </c>
      <c r="K2232" s="27" t="e">
        <f ca="1"/>
        <v>#REF!</v>
      </c>
      <c r="L2232" s="25" t="e">
        <f ca="1"/>
        <v>#REF!</v>
      </c>
      <c r="M2232" s="25" t="e">
        <f ca="1"/>
        <v>#REF!</v>
      </c>
      <c r="N2232" s="25" t="e">
        <f ca="1"/>
        <v>#REF!</v>
      </c>
      <c r="O2232" s="25" t="e">
        <f ca="1"/>
        <v>#REF!</v>
      </c>
      <c r="P2232" s="25" t="e">
        <f ca="1"/>
        <v>#REF!</v>
      </c>
      <c r="Q2232" s="25" t="e">
        <f ca="1"/>
        <v>#REF!</v>
      </c>
      <c r="R2232" s="25" t="e">
        <f ca="1"/>
        <v>#REF!</v>
      </c>
      <c r="S2232" s="25" t="e">
        <f ca="1"/>
        <v>#REF!</v>
      </c>
      <c r="T2232" s="25" t="e">
        <f ca="1"/>
        <v>#REF!</v>
      </c>
      <c r="U2232" s="25" t="e">
        <f ca="1"/>
        <v>#REF!</v>
      </c>
      <c r="V2232" s="25" t="e">
        <f ca="1"/>
        <v>#REF!</v>
      </c>
      <c r="W2232" s="33" t="e">
        <f ca="1"/>
        <v>#REF!</v>
      </c>
      <c r="X2232" s="33" t="e">
        <f ca="1"/>
        <v>#REF!</v>
      </c>
      <c r="Y2232" s="33" t="e">
        <f ca="1"/>
        <v>#REF!</v>
      </c>
      <c r="Z2232" s="33" t="e">
        <f ca="1"/>
        <v>#REF!</v>
      </c>
      <c r="AA2232" s="33" t="e">
        <f ca="1"/>
        <v>#REF!</v>
      </c>
    </row>
    <row r="2233" spans="1:27" s="70" customFormat="1" ht="11.25" x14ac:dyDescent="0.2">
      <c r="A2233" s="24">
        <v>2227</v>
      </c>
      <c r="B2233" s="24"/>
      <c r="C2233" s="25"/>
      <c r="D2233" s="26"/>
      <c r="E2233" s="25"/>
      <c r="F2233" s="25"/>
      <c r="G2233" s="24"/>
      <c r="H2233" s="25" t="e">
        <f ca="1"/>
        <v>#REF!</v>
      </c>
      <c r="I2233" s="27" t="e">
        <f ca="1"/>
        <v>#REF!</v>
      </c>
      <c r="J2233" s="28" t="e">
        <f ca="1"/>
        <v>#REF!</v>
      </c>
      <c r="K2233" s="27" t="e">
        <f ca="1"/>
        <v>#REF!</v>
      </c>
      <c r="L2233" s="25" t="e">
        <f ca="1"/>
        <v>#REF!</v>
      </c>
      <c r="M2233" s="25" t="e">
        <f ca="1"/>
        <v>#REF!</v>
      </c>
      <c r="N2233" s="25" t="e">
        <f ca="1"/>
        <v>#REF!</v>
      </c>
      <c r="O2233" s="25" t="e">
        <f ca="1"/>
        <v>#REF!</v>
      </c>
      <c r="P2233" s="25" t="e">
        <f ca="1"/>
        <v>#REF!</v>
      </c>
      <c r="Q2233" s="25" t="e">
        <f ca="1"/>
        <v>#REF!</v>
      </c>
      <c r="R2233" s="25" t="e">
        <f ca="1"/>
        <v>#REF!</v>
      </c>
      <c r="S2233" s="25" t="e">
        <f ca="1"/>
        <v>#REF!</v>
      </c>
      <c r="T2233" s="25" t="e">
        <f ca="1"/>
        <v>#REF!</v>
      </c>
      <c r="U2233" s="25" t="e">
        <f ca="1"/>
        <v>#REF!</v>
      </c>
      <c r="V2233" s="25" t="e">
        <f ca="1"/>
        <v>#REF!</v>
      </c>
      <c r="W2233" s="33" t="e">
        <f ca="1"/>
        <v>#REF!</v>
      </c>
      <c r="X2233" s="33" t="e">
        <f ca="1"/>
        <v>#REF!</v>
      </c>
      <c r="Y2233" s="33" t="e">
        <f ca="1"/>
        <v>#REF!</v>
      </c>
      <c r="Z2233" s="33" t="e">
        <f ca="1"/>
        <v>#REF!</v>
      </c>
      <c r="AA2233" s="33" t="e">
        <f ca="1"/>
        <v>#REF!</v>
      </c>
    </row>
    <row r="2234" spans="1:27" s="70" customFormat="1" ht="11.25" x14ac:dyDescent="0.2">
      <c r="A2234" s="24">
        <v>2228</v>
      </c>
      <c r="B2234" s="24"/>
      <c r="C2234" s="25"/>
      <c r="D2234" s="26"/>
      <c r="E2234" s="25"/>
      <c r="F2234" s="25"/>
      <c r="G2234" s="24"/>
      <c r="H2234" s="25" t="e">
        <f ca="1"/>
        <v>#REF!</v>
      </c>
      <c r="I2234" s="27" t="e">
        <f ca="1"/>
        <v>#REF!</v>
      </c>
      <c r="J2234" s="28" t="e">
        <f ca="1"/>
        <v>#REF!</v>
      </c>
      <c r="K2234" s="27" t="e">
        <f ca="1"/>
        <v>#REF!</v>
      </c>
      <c r="L2234" s="25" t="e">
        <f ca="1"/>
        <v>#REF!</v>
      </c>
      <c r="M2234" s="25" t="e">
        <f ca="1"/>
        <v>#REF!</v>
      </c>
      <c r="N2234" s="25" t="e">
        <f ca="1"/>
        <v>#REF!</v>
      </c>
      <c r="O2234" s="25" t="e">
        <f ca="1"/>
        <v>#REF!</v>
      </c>
      <c r="P2234" s="25" t="e">
        <f ca="1"/>
        <v>#REF!</v>
      </c>
      <c r="Q2234" s="25" t="e">
        <f ca="1"/>
        <v>#REF!</v>
      </c>
      <c r="R2234" s="25" t="e">
        <f ca="1"/>
        <v>#REF!</v>
      </c>
      <c r="S2234" s="25" t="e">
        <f ca="1"/>
        <v>#REF!</v>
      </c>
      <c r="T2234" s="25" t="e">
        <f ca="1"/>
        <v>#REF!</v>
      </c>
      <c r="U2234" s="25" t="e">
        <f ca="1"/>
        <v>#REF!</v>
      </c>
      <c r="V2234" s="25" t="e">
        <f ca="1"/>
        <v>#REF!</v>
      </c>
      <c r="W2234" s="33" t="e">
        <f ca="1"/>
        <v>#REF!</v>
      </c>
      <c r="X2234" s="33" t="e">
        <f ca="1"/>
        <v>#REF!</v>
      </c>
      <c r="Y2234" s="33" t="e">
        <f ca="1"/>
        <v>#REF!</v>
      </c>
      <c r="Z2234" s="33" t="e">
        <f ca="1"/>
        <v>#REF!</v>
      </c>
      <c r="AA2234" s="33" t="e">
        <f ca="1"/>
        <v>#REF!</v>
      </c>
    </row>
    <row r="2235" spans="1:27" s="70" customFormat="1" ht="11.25" x14ac:dyDescent="0.2">
      <c r="A2235" s="24">
        <v>2229</v>
      </c>
      <c r="B2235" s="24"/>
      <c r="C2235" s="25"/>
      <c r="D2235" s="26"/>
      <c r="E2235" s="25"/>
      <c r="F2235" s="25"/>
      <c r="G2235" s="24"/>
      <c r="H2235" s="25" t="e">
        <f ca="1"/>
        <v>#REF!</v>
      </c>
      <c r="I2235" s="27" t="e">
        <f ca="1"/>
        <v>#REF!</v>
      </c>
      <c r="J2235" s="25" t="e">
        <f ca="1"/>
        <v>#REF!</v>
      </c>
      <c r="K2235" s="27" t="e">
        <f ca="1"/>
        <v>#REF!</v>
      </c>
      <c r="L2235" s="25" t="e">
        <f ca="1"/>
        <v>#REF!</v>
      </c>
      <c r="M2235" s="25" t="e">
        <f ca="1"/>
        <v>#REF!</v>
      </c>
      <c r="N2235" s="25" t="e">
        <f ca="1"/>
        <v>#REF!</v>
      </c>
      <c r="O2235" s="25" t="e">
        <f ca="1"/>
        <v>#REF!</v>
      </c>
      <c r="P2235" s="25" t="e">
        <f ca="1"/>
        <v>#REF!</v>
      </c>
      <c r="Q2235" s="25" t="e">
        <f ca="1"/>
        <v>#REF!</v>
      </c>
      <c r="R2235" s="25" t="e">
        <f ca="1"/>
        <v>#REF!</v>
      </c>
      <c r="S2235" s="25" t="e">
        <f ca="1"/>
        <v>#REF!</v>
      </c>
      <c r="T2235" s="25" t="e">
        <f ca="1"/>
        <v>#REF!</v>
      </c>
      <c r="U2235" s="25" t="e">
        <f ca="1"/>
        <v>#REF!</v>
      </c>
      <c r="V2235" s="25" t="e">
        <f ca="1"/>
        <v>#REF!</v>
      </c>
      <c r="W2235" s="33" t="e">
        <f ca="1"/>
        <v>#REF!</v>
      </c>
      <c r="X2235" s="33" t="e">
        <f ca="1"/>
        <v>#REF!</v>
      </c>
      <c r="Y2235" s="33" t="e">
        <f ca="1"/>
        <v>#REF!</v>
      </c>
      <c r="Z2235" s="33" t="e">
        <f ca="1"/>
        <v>#REF!</v>
      </c>
      <c r="AA2235" s="33" t="e">
        <f ca="1"/>
        <v>#REF!</v>
      </c>
    </row>
    <row r="2236" spans="1:27" s="70" customFormat="1" ht="11.25" x14ac:dyDescent="0.2">
      <c r="A2236" s="24">
        <v>2230</v>
      </c>
      <c r="B2236" s="24"/>
      <c r="C2236" s="25"/>
      <c r="D2236" s="26"/>
      <c r="E2236" s="25"/>
      <c r="F2236" s="25"/>
      <c r="G2236" s="24"/>
      <c r="H2236" s="25" t="e">
        <f ca="1"/>
        <v>#REF!</v>
      </c>
      <c r="I2236" s="27" t="e">
        <f ca="1"/>
        <v>#REF!</v>
      </c>
      <c r="J2236" s="25" t="e">
        <f ca="1"/>
        <v>#REF!</v>
      </c>
      <c r="K2236" s="27" t="e">
        <f ca="1"/>
        <v>#REF!</v>
      </c>
      <c r="L2236" s="25" t="e">
        <f ca="1"/>
        <v>#REF!</v>
      </c>
      <c r="M2236" s="25" t="e">
        <f ca="1"/>
        <v>#REF!</v>
      </c>
      <c r="N2236" s="25" t="e">
        <f ca="1"/>
        <v>#REF!</v>
      </c>
      <c r="O2236" s="25" t="e">
        <f ca="1"/>
        <v>#REF!</v>
      </c>
      <c r="P2236" s="25" t="e">
        <f ca="1"/>
        <v>#REF!</v>
      </c>
      <c r="Q2236" s="25" t="e">
        <f ca="1"/>
        <v>#REF!</v>
      </c>
      <c r="R2236" s="25" t="e">
        <f ca="1"/>
        <v>#REF!</v>
      </c>
      <c r="S2236" s="25" t="e">
        <f ca="1"/>
        <v>#REF!</v>
      </c>
      <c r="T2236" s="25" t="e">
        <f ca="1"/>
        <v>#REF!</v>
      </c>
      <c r="U2236" s="25" t="e">
        <f ca="1"/>
        <v>#REF!</v>
      </c>
      <c r="V2236" s="25" t="e">
        <f ca="1"/>
        <v>#REF!</v>
      </c>
      <c r="W2236" s="33" t="e">
        <f ca="1"/>
        <v>#REF!</v>
      </c>
      <c r="X2236" s="33" t="e">
        <f ca="1"/>
        <v>#REF!</v>
      </c>
      <c r="Y2236" s="33" t="e">
        <f ca="1"/>
        <v>#REF!</v>
      </c>
      <c r="Z2236" s="33" t="e">
        <f ca="1"/>
        <v>#REF!</v>
      </c>
      <c r="AA2236" s="33" t="e">
        <f ca="1"/>
        <v>#REF!</v>
      </c>
    </row>
    <row r="2237" spans="1:27" s="70" customFormat="1" ht="11.25" x14ac:dyDescent="0.2">
      <c r="A2237" s="24">
        <v>2231</v>
      </c>
      <c r="B2237" s="24"/>
      <c r="C2237" s="25"/>
      <c r="D2237" s="26"/>
      <c r="E2237" s="25"/>
      <c r="F2237" s="25"/>
      <c r="G2237" s="24"/>
      <c r="H2237" s="25" t="e">
        <f ca="1"/>
        <v>#REF!</v>
      </c>
      <c r="I2237" s="27" t="e">
        <f ca="1"/>
        <v>#REF!</v>
      </c>
      <c r="J2237" s="25" t="e">
        <f ca="1"/>
        <v>#REF!</v>
      </c>
      <c r="K2237" s="27" t="e">
        <f ca="1"/>
        <v>#REF!</v>
      </c>
      <c r="L2237" s="25" t="e">
        <f ca="1"/>
        <v>#REF!</v>
      </c>
      <c r="M2237" s="25" t="e">
        <f ca="1"/>
        <v>#REF!</v>
      </c>
      <c r="N2237" s="25" t="e">
        <f ca="1"/>
        <v>#REF!</v>
      </c>
      <c r="O2237" s="25" t="e">
        <f ca="1"/>
        <v>#REF!</v>
      </c>
      <c r="P2237" s="25" t="e">
        <f ca="1"/>
        <v>#REF!</v>
      </c>
      <c r="Q2237" s="25" t="e">
        <f ca="1"/>
        <v>#REF!</v>
      </c>
      <c r="R2237" s="25" t="e">
        <f ca="1"/>
        <v>#REF!</v>
      </c>
      <c r="S2237" s="25" t="e">
        <f ca="1"/>
        <v>#REF!</v>
      </c>
      <c r="T2237" s="25" t="e">
        <f ca="1"/>
        <v>#REF!</v>
      </c>
      <c r="U2237" s="25" t="e">
        <f ca="1"/>
        <v>#REF!</v>
      </c>
      <c r="V2237" s="25" t="e">
        <f ca="1"/>
        <v>#REF!</v>
      </c>
      <c r="W2237" s="33" t="e">
        <f ca="1"/>
        <v>#REF!</v>
      </c>
      <c r="X2237" s="33" t="e">
        <f ca="1"/>
        <v>#REF!</v>
      </c>
      <c r="Y2237" s="33" t="e">
        <f ca="1"/>
        <v>#REF!</v>
      </c>
      <c r="Z2237" s="33" t="e">
        <f ca="1"/>
        <v>#REF!</v>
      </c>
      <c r="AA2237" s="33" t="e">
        <f ca="1"/>
        <v>#REF!</v>
      </c>
    </row>
    <row r="2238" spans="1:27" s="70" customFormat="1" ht="11.25" x14ac:dyDescent="0.2">
      <c r="A2238" s="24">
        <v>2232</v>
      </c>
      <c r="B2238" s="24"/>
      <c r="C2238" s="25"/>
      <c r="D2238" s="26"/>
      <c r="E2238" s="25"/>
      <c r="F2238" s="25"/>
      <c r="G2238" s="24"/>
      <c r="H2238" s="25" t="e">
        <f ca="1"/>
        <v>#REF!</v>
      </c>
      <c r="I2238" s="27" t="e">
        <f ca="1"/>
        <v>#REF!</v>
      </c>
      <c r="J2238" s="25" t="e">
        <f ca="1"/>
        <v>#REF!</v>
      </c>
      <c r="K2238" s="27" t="e">
        <f ca="1"/>
        <v>#REF!</v>
      </c>
      <c r="L2238" s="25" t="e">
        <f ca="1"/>
        <v>#REF!</v>
      </c>
      <c r="M2238" s="25" t="e">
        <f ca="1"/>
        <v>#REF!</v>
      </c>
      <c r="N2238" s="25" t="e">
        <f ca="1"/>
        <v>#REF!</v>
      </c>
      <c r="O2238" s="25" t="e">
        <f ca="1"/>
        <v>#REF!</v>
      </c>
      <c r="P2238" s="25" t="e">
        <f ca="1"/>
        <v>#REF!</v>
      </c>
      <c r="Q2238" s="25" t="e">
        <f ca="1"/>
        <v>#REF!</v>
      </c>
      <c r="R2238" s="25" t="e">
        <f ca="1"/>
        <v>#REF!</v>
      </c>
      <c r="S2238" s="25" t="e">
        <f ca="1"/>
        <v>#REF!</v>
      </c>
      <c r="T2238" s="25" t="e">
        <f ca="1"/>
        <v>#REF!</v>
      </c>
      <c r="U2238" s="25" t="e">
        <f ca="1"/>
        <v>#REF!</v>
      </c>
      <c r="V2238" s="25" t="e">
        <f ca="1"/>
        <v>#REF!</v>
      </c>
      <c r="W2238" s="33" t="e">
        <f ca="1"/>
        <v>#REF!</v>
      </c>
      <c r="X2238" s="33" t="e">
        <f ca="1"/>
        <v>#REF!</v>
      </c>
      <c r="Y2238" s="33" t="e">
        <f ca="1"/>
        <v>#REF!</v>
      </c>
      <c r="Z2238" s="33" t="e">
        <f ca="1"/>
        <v>#REF!</v>
      </c>
      <c r="AA2238" s="33" t="e">
        <f ca="1"/>
        <v>#REF!</v>
      </c>
    </row>
    <row r="2239" spans="1:27" s="70" customFormat="1" ht="11.25" x14ac:dyDescent="0.2">
      <c r="A2239" s="24">
        <v>2233</v>
      </c>
      <c r="B2239" s="24"/>
      <c r="C2239" s="25"/>
      <c r="D2239" s="26"/>
      <c r="E2239" s="25"/>
      <c r="F2239" s="25"/>
      <c r="G2239" s="24"/>
      <c r="H2239" s="25" t="e">
        <f ca="1"/>
        <v>#REF!</v>
      </c>
      <c r="I2239" s="27" t="e">
        <f ca="1"/>
        <v>#REF!</v>
      </c>
      <c r="J2239" s="25" t="e">
        <f ca="1"/>
        <v>#REF!</v>
      </c>
      <c r="K2239" s="27" t="e">
        <f ca="1"/>
        <v>#REF!</v>
      </c>
      <c r="L2239" s="25" t="e">
        <f ca="1"/>
        <v>#REF!</v>
      </c>
      <c r="M2239" s="25" t="e">
        <f ca="1"/>
        <v>#REF!</v>
      </c>
      <c r="N2239" s="25" t="e">
        <f ca="1"/>
        <v>#REF!</v>
      </c>
      <c r="O2239" s="25" t="e">
        <f ca="1"/>
        <v>#REF!</v>
      </c>
      <c r="P2239" s="25" t="e">
        <f ca="1"/>
        <v>#REF!</v>
      </c>
      <c r="Q2239" s="25" t="e">
        <f ca="1"/>
        <v>#REF!</v>
      </c>
      <c r="R2239" s="25" t="e">
        <f ca="1"/>
        <v>#REF!</v>
      </c>
      <c r="S2239" s="25" t="e">
        <f ca="1"/>
        <v>#REF!</v>
      </c>
      <c r="T2239" s="25" t="e">
        <f ca="1"/>
        <v>#REF!</v>
      </c>
      <c r="U2239" s="25" t="e">
        <f ca="1"/>
        <v>#REF!</v>
      </c>
      <c r="V2239" s="25" t="e">
        <f ca="1"/>
        <v>#REF!</v>
      </c>
      <c r="W2239" s="33" t="e">
        <f ca="1"/>
        <v>#REF!</v>
      </c>
      <c r="X2239" s="33" t="e">
        <f ca="1"/>
        <v>#REF!</v>
      </c>
      <c r="Y2239" s="33" t="e">
        <f ca="1"/>
        <v>#REF!</v>
      </c>
      <c r="Z2239" s="33" t="e">
        <f ca="1"/>
        <v>#REF!</v>
      </c>
      <c r="AA2239" s="33" t="e">
        <f ca="1"/>
        <v>#REF!</v>
      </c>
    </row>
    <row r="2240" spans="1:27" s="70" customFormat="1" ht="11.25" x14ac:dyDescent="0.2">
      <c r="A2240" s="24">
        <v>2234</v>
      </c>
      <c r="B2240" s="24"/>
      <c r="C2240" s="25"/>
      <c r="D2240" s="26"/>
      <c r="E2240" s="25"/>
      <c r="F2240" s="25"/>
      <c r="G2240" s="24"/>
      <c r="H2240" s="25" t="e">
        <f ca="1"/>
        <v>#REF!</v>
      </c>
      <c r="I2240" s="27" t="e">
        <f ca="1"/>
        <v>#REF!</v>
      </c>
      <c r="J2240" s="25" t="e">
        <f ca="1"/>
        <v>#REF!</v>
      </c>
      <c r="K2240" s="27" t="e">
        <f ca="1"/>
        <v>#REF!</v>
      </c>
      <c r="L2240" s="25" t="e">
        <f ca="1"/>
        <v>#REF!</v>
      </c>
      <c r="M2240" s="25" t="e">
        <f ca="1"/>
        <v>#REF!</v>
      </c>
      <c r="N2240" s="25" t="e">
        <f ca="1"/>
        <v>#REF!</v>
      </c>
      <c r="O2240" s="25" t="e">
        <f ca="1"/>
        <v>#REF!</v>
      </c>
      <c r="P2240" s="25" t="e">
        <f ca="1"/>
        <v>#REF!</v>
      </c>
      <c r="Q2240" s="25" t="e">
        <f ca="1"/>
        <v>#REF!</v>
      </c>
      <c r="R2240" s="25" t="e">
        <f ca="1"/>
        <v>#REF!</v>
      </c>
      <c r="S2240" s="25" t="e">
        <f ca="1"/>
        <v>#REF!</v>
      </c>
      <c r="T2240" s="25" t="e">
        <f ca="1"/>
        <v>#REF!</v>
      </c>
      <c r="U2240" s="25" t="e">
        <f ca="1"/>
        <v>#REF!</v>
      </c>
      <c r="V2240" s="25" t="e">
        <f ca="1"/>
        <v>#REF!</v>
      </c>
      <c r="W2240" s="33" t="e">
        <f ca="1"/>
        <v>#REF!</v>
      </c>
      <c r="X2240" s="33" t="e">
        <f ca="1"/>
        <v>#REF!</v>
      </c>
      <c r="Y2240" s="33" t="e">
        <f ca="1"/>
        <v>#REF!</v>
      </c>
      <c r="Z2240" s="33" t="e">
        <f ca="1"/>
        <v>#REF!</v>
      </c>
      <c r="AA2240" s="33" t="e">
        <f ca="1"/>
        <v>#REF!</v>
      </c>
    </row>
    <row r="2241" spans="1:27" s="70" customFormat="1" ht="11.25" x14ac:dyDescent="0.2">
      <c r="A2241" s="24">
        <v>2235</v>
      </c>
      <c r="B2241" s="24"/>
      <c r="C2241" s="25"/>
      <c r="D2241" s="26"/>
      <c r="E2241" s="25"/>
      <c r="F2241" s="25"/>
      <c r="G2241" s="24"/>
      <c r="H2241" s="25" t="e">
        <f ca="1"/>
        <v>#REF!</v>
      </c>
      <c r="I2241" s="27" t="e">
        <f ca="1"/>
        <v>#REF!</v>
      </c>
      <c r="J2241" s="25" t="e">
        <f ca="1"/>
        <v>#REF!</v>
      </c>
      <c r="K2241" s="27" t="e">
        <f ca="1"/>
        <v>#REF!</v>
      </c>
      <c r="L2241" s="25" t="e">
        <f ca="1"/>
        <v>#REF!</v>
      </c>
      <c r="M2241" s="25" t="e">
        <f ca="1"/>
        <v>#REF!</v>
      </c>
      <c r="N2241" s="25" t="e">
        <f ca="1"/>
        <v>#REF!</v>
      </c>
      <c r="O2241" s="25" t="e">
        <f ca="1"/>
        <v>#REF!</v>
      </c>
      <c r="P2241" s="25" t="e">
        <f ca="1"/>
        <v>#REF!</v>
      </c>
      <c r="Q2241" s="25" t="e">
        <f ca="1"/>
        <v>#REF!</v>
      </c>
      <c r="R2241" s="25" t="e">
        <f ca="1"/>
        <v>#REF!</v>
      </c>
      <c r="S2241" s="25" t="e">
        <f ca="1"/>
        <v>#REF!</v>
      </c>
      <c r="T2241" s="25" t="e">
        <f ca="1"/>
        <v>#REF!</v>
      </c>
      <c r="U2241" s="25" t="e">
        <f ca="1"/>
        <v>#REF!</v>
      </c>
      <c r="V2241" s="25" t="e">
        <f ca="1"/>
        <v>#REF!</v>
      </c>
      <c r="W2241" s="33" t="e">
        <f ca="1"/>
        <v>#REF!</v>
      </c>
      <c r="X2241" s="33" t="e">
        <f ca="1"/>
        <v>#REF!</v>
      </c>
      <c r="Y2241" s="33" t="e">
        <f ca="1"/>
        <v>#REF!</v>
      </c>
      <c r="Z2241" s="33" t="e">
        <f ca="1"/>
        <v>#REF!</v>
      </c>
      <c r="AA2241" s="33" t="e">
        <f ca="1"/>
        <v>#REF!</v>
      </c>
    </row>
    <row r="2242" spans="1:27" s="70" customFormat="1" ht="11.25" x14ac:dyDescent="0.2">
      <c r="A2242" s="24">
        <v>2236</v>
      </c>
      <c r="B2242" s="24"/>
      <c r="C2242" s="25"/>
      <c r="D2242" s="26"/>
      <c r="E2242" s="25"/>
      <c r="F2242" s="25"/>
      <c r="G2242" s="24"/>
      <c r="H2242" s="25" t="e">
        <f ca="1"/>
        <v>#REF!</v>
      </c>
      <c r="I2242" s="27" t="e">
        <f ca="1"/>
        <v>#REF!</v>
      </c>
      <c r="J2242" s="25" t="e">
        <f ca="1"/>
        <v>#REF!</v>
      </c>
      <c r="K2242" s="27" t="e">
        <f ca="1"/>
        <v>#REF!</v>
      </c>
      <c r="L2242" s="25" t="e">
        <f ca="1"/>
        <v>#REF!</v>
      </c>
      <c r="M2242" s="25" t="e">
        <f ca="1"/>
        <v>#REF!</v>
      </c>
      <c r="N2242" s="25" t="e">
        <f ca="1"/>
        <v>#REF!</v>
      </c>
      <c r="O2242" s="25" t="e">
        <f ca="1"/>
        <v>#REF!</v>
      </c>
      <c r="P2242" s="25" t="e">
        <f ca="1"/>
        <v>#REF!</v>
      </c>
      <c r="Q2242" s="25" t="e">
        <f ca="1"/>
        <v>#REF!</v>
      </c>
      <c r="R2242" s="25" t="e">
        <f ca="1"/>
        <v>#REF!</v>
      </c>
      <c r="S2242" s="25" t="e">
        <f ca="1"/>
        <v>#REF!</v>
      </c>
      <c r="T2242" s="25" t="e">
        <f ca="1"/>
        <v>#REF!</v>
      </c>
      <c r="U2242" s="25" t="e">
        <f ca="1"/>
        <v>#REF!</v>
      </c>
      <c r="V2242" s="25" t="e">
        <f ca="1"/>
        <v>#REF!</v>
      </c>
      <c r="W2242" s="33" t="e">
        <f ca="1"/>
        <v>#REF!</v>
      </c>
      <c r="X2242" s="33" t="e">
        <f ca="1"/>
        <v>#REF!</v>
      </c>
      <c r="Y2242" s="33" t="e">
        <f ca="1"/>
        <v>#REF!</v>
      </c>
      <c r="Z2242" s="33" t="e">
        <f ca="1"/>
        <v>#REF!</v>
      </c>
      <c r="AA2242" s="33" t="e">
        <f ca="1"/>
        <v>#REF!</v>
      </c>
    </row>
    <row r="2243" spans="1:27" s="70" customFormat="1" ht="11.25" x14ac:dyDescent="0.2">
      <c r="A2243" s="24">
        <v>2237</v>
      </c>
      <c r="B2243" s="24"/>
      <c r="C2243" s="25"/>
      <c r="D2243" s="26"/>
      <c r="E2243" s="25"/>
      <c r="F2243" s="25"/>
      <c r="G2243" s="24"/>
      <c r="H2243" s="25" t="e">
        <f ca="1"/>
        <v>#REF!</v>
      </c>
      <c r="I2243" s="27" t="e">
        <f ca="1"/>
        <v>#REF!</v>
      </c>
      <c r="J2243" s="25" t="e">
        <f ca="1"/>
        <v>#REF!</v>
      </c>
      <c r="K2243" s="27" t="e">
        <f ca="1"/>
        <v>#REF!</v>
      </c>
      <c r="L2243" s="25" t="e">
        <f ca="1"/>
        <v>#REF!</v>
      </c>
      <c r="M2243" s="25" t="e">
        <f ca="1"/>
        <v>#REF!</v>
      </c>
      <c r="N2243" s="25" t="e">
        <f ca="1"/>
        <v>#REF!</v>
      </c>
      <c r="O2243" s="25" t="e">
        <f ca="1"/>
        <v>#REF!</v>
      </c>
      <c r="P2243" s="25" t="e">
        <f ca="1"/>
        <v>#REF!</v>
      </c>
      <c r="Q2243" s="25" t="e">
        <f ca="1"/>
        <v>#REF!</v>
      </c>
      <c r="R2243" s="25" t="e">
        <f ca="1"/>
        <v>#REF!</v>
      </c>
      <c r="S2243" s="25" t="e">
        <f ca="1"/>
        <v>#REF!</v>
      </c>
      <c r="T2243" s="25" t="e">
        <f ca="1"/>
        <v>#REF!</v>
      </c>
      <c r="U2243" s="25" t="e">
        <f ca="1"/>
        <v>#REF!</v>
      </c>
      <c r="V2243" s="25" t="e">
        <f ca="1"/>
        <v>#REF!</v>
      </c>
      <c r="W2243" s="33" t="e">
        <f ca="1"/>
        <v>#REF!</v>
      </c>
      <c r="X2243" s="33" t="e">
        <f ca="1"/>
        <v>#REF!</v>
      </c>
      <c r="Y2243" s="33" t="e">
        <f ca="1"/>
        <v>#REF!</v>
      </c>
      <c r="Z2243" s="33" t="e">
        <f ca="1"/>
        <v>#REF!</v>
      </c>
      <c r="AA2243" s="33" t="e">
        <f ca="1"/>
        <v>#REF!</v>
      </c>
    </row>
    <row r="2244" spans="1:27" s="70" customFormat="1" ht="11.25" x14ac:dyDescent="0.2">
      <c r="A2244" s="24">
        <v>2238</v>
      </c>
      <c r="B2244" s="24"/>
      <c r="C2244" s="25"/>
      <c r="D2244" s="26"/>
      <c r="E2244" s="25"/>
      <c r="F2244" s="25"/>
      <c r="G2244" s="24"/>
      <c r="H2244" s="25" t="e">
        <f ca="1"/>
        <v>#REF!</v>
      </c>
      <c r="I2244" s="27" t="e">
        <f ca="1"/>
        <v>#REF!</v>
      </c>
      <c r="J2244" s="28" t="e">
        <f ca="1"/>
        <v>#REF!</v>
      </c>
      <c r="K2244" s="27" t="e">
        <f ca="1"/>
        <v>#REF!</v>
      </c>
      <c r="L2244" s="25" t="e">
        <f ca="1"/>
        <v>#REF!</v>
      </c>
      <c r="M2244" s="25" t="e">
        <f ca="1"/>
        <v>#REF!</v>
      </c>
      <c r="N2244" s="25" t="e">
        <f ca="1"/>
        <v>#REF!</v>
      </c>
      <c r="O2244" s="25" t="e">
        <f ca="1"/>
        <v>#REF!</v>
      </c>
      <c r="P2244" s="25" t="e">
        <f ca="1"/>
        <v>#REF!</v>
      </c>
      <c r="Q2244" s="25" t="e">
        <f ca="1"/>
        <v>#REF!</v>
      </c>
      <c r="R2244" s="25" t="e">
        <f ca="1"/>
        <v>#REF!</v>
      </c>
      <c r="S2244" s="25" t="e">
        <f ca="1"/>
        <v>#REF!</v>
      </c>
      <c r="T2244" s="25" t="e">
        <f ca="1"/>
        <v>#REF!</v>
      </c>
      <c r="U2244" s="25" t="e">
        <f ca="1"/>
        <v>#REF!</v>
      </c>
      <c r="V2244" s="25" t="e">
        <f ca="1"/>
        <v>#REF!</v>
      </c>
      <c r="W2244" s="33" t="e">
        <f ca="1"/>
        <v>#REF!</v>
      </c>
      <c r="X2244" s="33" t="e">
        <f ca="1"/>
        <v>#REF!</v>
      </c>
      <c r="Y2244" s="33" t="e">
        <f ca="1"/>
        <v>#REF!</v>
      </c>
      <c r="Z2244" s="33" t="e">
        <f ca="1"/>
        <v>#REF!</v>
      </c>
      <c r="AA2244" s="33" t="e">
        <f ca="1"/>
        <v>#REF!</v>
      </c>
    </row>
    <row r="2245" spans="1:27" s="70" customFormat="1" ht="11.25" x14ac:dyDescent="0.2">
      <c r="A2245" s="24">
        <v>2239</v>
      </c>
      <c r="B2245" s="24"/>
      <c r="C2245" s="25"/>
      <c r="D2245" s="26"/>
      <c r="E2245" s="25"/>
      <c r="F2245" s="25"/>
      <c r="G2245" s="24"/>
      <c r="H2245" s="25" t="e">
        <f ca="1"/>
        <v>#REF!</v>
      </c>
      <c r="I2245" s="27" t="e">
        <f ca="1"/>
        <v>#REF!</v>
      </c>
      <c r="J2245" s="28" t="e">
        <f ca="1"/>
        <v>#REF!</v>
      </c>
      <c r="K2245" s="27" t="e">
        <f ca="1"/>
        <v>#REF!</v>
      </c>
      <c r="L2245" s="25" t="e">
        <f ca="1"/>
        <v>#REF!</v>
      </c>
      <c r="M2245" s="25" t="e">
        <f ca="1"/>
        <v>#REF!</v>
      </c>
      <c r="N2245" s="25" t="e">
        <f ca="1"/>
        <v>#REF!</v>
      </c>
      <c r="O2245" s="25" t="e">
        <f ca="1"/>
        <v>#REF!</v>
      </c>
      <c r="P2245" s="25" t="e">
        <f ca="1"/>
        <v>#REF!</v>
      </c>
      <c r="Q2245" s="25" t="e">
        <f ca="1"/>
        <v>#REF!</v>
      </c>
      <c r="R2245" s="25" t="e">
        <f ca="1"/>
        <v>#REF!</v>
      </c>
      <c r="S2245" s="25" t="e">
        <f ca="1"/>
        <v>#REF!</v>
      </c>
      <c r="T2245" s="25" t="e">
        <f ca="1"/>
        <v>#REF!</v>
      </c>
      <c r="U2245" s="25" t="e">
        <f ca="1"/>
        <v>#REF!</v>
      </c>
      <c r="V2245" s="25" t="e">
        <f ca="1"/>
        <v>#REF!</v>
      </c>
      <c r="W2245" s="33" t="e">
        <f ca="1"/>
        <v>#REF!</v>
      </c>
      <c r="X2245" s="33" t="e">
        <f ca="1"/>
        <v>#REF!</v>
      </c>
      <c r="Y2245" s="33" t="e">
        <f ca="1"/>
        <v>#REF!</v>
      </c>
      <c r="Z2245" s="33" t="e">
        <f ca="1"/>
        <v>#REF!</v>
      </c>
      <c r="AA2245" s="33" t="e">
        <f ca="1"/>
        <v>#REF!</v>
      </c>
    </row>
    <row r="2246" spans="1:27" s="70" customFormat="1" ht="11.25" x14ac:dyDescent="0.2">
      <c r="A2246" s="24">
        <v>2240</v>
      </c>
      <c r="B2246" s="24"/>
      <c r="C2246" s="25"/>
      <c r="D2246" s="26"/>
      <c r="E2246" s="25"/>
      <c r="F2246" s="25"/>
      <c r="G2246" s="24"/>
      <c r="H2246" s="25" t="e">
        <f ca="1"/>
        <v>#REF!</v>
      </c>
      <c r="I2246" s="27" t="e">
        <f ca="1"/>
        <v>#REF!</v>
      </c>
      <c r="J2246" s="28" t="e">
        <f ca="1"/>
        <v>#REF!</v>
      </c>
      <c r="K2246" s="27" t="e">
        <f ca="1"/>
        <v>#REF!</v>
      </c>
      <c r="L2246" s="25" t="e">
        <f ca="1"/>
        <v>#REF!</v>
      </c>
      <c r="M2246" s="25" t="e">
        <f ca="1"/>
        <v>#REF!</v>
      </c>
      <c r="N2246" s="25" t="e">
        <f ca="1"/>
        <v>#REF!</v>
      </c>
      <c r="O2246" s="25" t="e">
        <f ca="1"/>
        <v>#REF!</v>
      </c>
      <c r="P2246" s="25" t="e">
        <f ca="1"/>
        <v>#REF!</v>
      </c>
      <c r="Q2246" s="25" t="e">
        <f ca="1"/>
        <v>#REF!</v>
      </c>
      <c r="R2246" s="25" t="e">
        <f ca="1"/>
        <v>#REF!</v>
      </c>
      <c r="S2246" s="25" t="e">
        <f ca="1"/>
        <v>#REF!</v>
      </c>
      <c r="T2246" s="25" t="e">
        <f ca="1"/>
        <v>#REF!</v>
      </c>
      <c r="U2246" s="25" t="e">
        <f ca="1"/>
        <v>#REF!</v>
      </c>
      <c r="V2246" s="25" t="e">
        <f ca="1"/>
        <v>#REF!</v>
      </c>
      <c r="W2246" s="33" t="e">
        <f ca="1"/>
        <v>#REF!</v>
      </c>
      <c r="X2246" s="33" t="e">
        <f ca="1"/>
        <v>#REF!</v>
      </c>
      <c r="Y2246" s="33" t="e">
        <f ca="1"/>
        <v>#REF!</v>
      </c>
      <c r="Z2246" s="33" t="e">
        <f ca="1"/>
        <v>#REF!</v>
      </c>
      <c r="AA2246" s="33" t="e">
        <f ca="1"/>
        <v>#REF!</v>
      </c>
    </row>
    <row r="2247" spans="1:27" s="70" customFormat="1" ht="11.25" x14ac:dyDescent="0.2">
      <c r="A2247" s="24">
        <v>2241</v>
      </c>
      <c r="B2247" s="24"/>
      <c r="C2247" s="25"/>
      <c r="D2247" s="26"/>
      <c r="E2247" s="25"/>
      <c r="F2247" s="25"/>
      <c r="G2247" s="24"/>
      <c r="H2247" s="25" t="e">
        <f ca="1"/>
        <v>#REF!</v>
      </c>
      <c r="I2247" s="27" t="e">
        <f ca="1"/>
        <v>#REF!</v>
      </c>
      <c r="J2247" s="28" t="e">
        <f ca="1"/>
        <v>#REF!</v>
      </c>
      <c r="K2247" s="27" t="e">
        <f ca="1"/>
        <v>#REF!</v>
      </c>
      <c r="L2247" s="25" t="e">
        <f ca="1"/>
        <v>#REF!</v>
      </c>
      <c r="M2247" s="25" t="e">
        <f ca="1"/>
        <v>#REF!</v>
      </c>
      <c r="N2247" s="25" t="e">
        <f ca="1"/>
        <v>#REF!</v>
      </c>
      <c r="O2247" s="25" t="e">
        <f ca="1"/>
        <v>#REF!</v>
      </c>
      <c r="P2247" s="25" t="e">
        <f ca="1"/>
        <v>#REF!</v>
      </c>
      <c r="Q2247" s="25" t="e">
        <f ca="1"/>
        <v>#REF!</v>
      </c>
      <c r="R2247" s="25" t="e">
        <f ca="1"/>
        <v>#REF!</v>
      </c>
      <c r="S2247" s="25" t="e">
        <f ca="1"/>
        <v>#REF!</v>
      </c>
      <c r="T2247" s="25" t="e">
        <f ca="1"/>
        <v>#REF!</v>
      </c>
      <c r="U2247" s="25" t="e">
        <f ca="1"/>
        <v>#REF!</v>
      </c>
      <c r="V2247" s="25" t="e">
        <f ca="1"/>
        <v>#REF!</v>
      </c>
      <c r="W2247" s="33" t="e">
        <f ca="1"/>
        <v>#REF!</v>
      </c>
      <c r="X2247" s="33" t="e">
        <f ca="1"/>
        <v>#REF!</v>
      </c>
      <c r="Y2247" s="33" t="e">
        <f ca="1"/>
        <v>#REF!</v>
      </c>
      <c r="Z2247" s="33" t="e">
        <f ca="1"/>
        <v>#REF!</v>
      </c>
      <c r="AA2247" s="33" t="e">
        <f ca="1"/>
        <v>#REF!</v>
      </c>
    </row>
    <row r="2248" spans="1:27" s="70" customFormat="1" ht="11.25" x14ac:dyDescent="0.2">
      <c r="A2248" s="24">
        <v>2242</v>
      </c>
      <c r="B2248" s="24"/>
      <c r="C2248" s="25"/>
      <c r="D2248" s="26"/>
      <c r="E2248" s="25"/>
      <c r="F2248" s="25"/>
      <c r="G2248" s="24"/>
      <c r="H2248" s="25" t="e">
        <f ca="1"/>
        <v>#REF!</v>
      </c>
      <c r="I2248" s="27" t="e">
        <f ca="1"/>
        <v>#REF!</v>
      </c>
      <c r="J2248" s="28" t="e">
        <f ca="1"/>
        <v>#REF!</v>
      </c>
      <c r="K2248" s="27" t="e">
        <f ca="1"/>
        <v>#REF!</v>
      </c>
      <c r="L2248" s="25" t="e">
        <f ca="1"/>
        <v>#REF!</v>
      </c>
      <c r="M2248" s="25" t="e">
        <f ca="1"/>
        <v>#REF!</v>
      </c>
      <c r="N2248" s="25" t="e">
        <f ca="1"/>
        <v>#REF!</v>
      </c>
      <c r="O2248" s="25" t="e">
        <f ca="1"/>
        <v>#REF!</v>
      </c>
      <c r="P2248" s="25" t="e">
        <f ca="1"/>
        <v>#REF!</v>
      </c>
      <c r="Q2248" s="25" t="e">
        <f ca="1"/>
        <v>#REF!</v>
      </c>
      <c r="R2248" s="25" t="e">
        <f ca="1"/>
        <v>#REF!</v>
      </c>
      <c r="S2248" s="25" t="e">
        <f ca="1"/>
        <v>#REF!</v>
      </c>
      <c r="T2248" s="25" t="e">
        <f ca="1"/>
        <v>#REF!</v>
      </c>
      <c r="U2248" s="25" t="e">
        <f ca="1"/>
        <v>#REF!</v>
      </c>
      <c r="V2248" s="25" t="e">
        <f ca="1"/>
        <v>#REF!</v>
      </c>
      <c r="W2248" s="33" t="e">
        <f ca="1"/>
        <v>#REF!</v>
      </c>
      <c r="X2248" s="33" t="e">
        <f ca="1"/>
        <v>#REF!</v>
      </c>
      <c r="Y2248" s="33" t="e">
        <f ca="1"/>
        <v>#REF!</v>
      </c>
      <c r="Z2248" s="33" t="e">
        <f ca="1"/>
        <v>#REF!</v>
      </c>
      <c r="AA2248" s="33" t="e">
        <f ca="1"/>
        <v>#REF!</v>
      </c>
    </row>
    <row r="2249" spans="1:27" s="70" customFormat="1" ht="11.25" x14ac:dyDescent="0.2">
      <c r="A2249" s="24">
        <v>2243</v>
      </c>
      <c r="B2249" s="24"/>
      <c r="C2249" s="25"/>
      <c r="D2249" s="26"/>
      <c r="E2249" s="25"/>
      <c r="F2249" s="25"/>
      <c r="G2249" s="24"/>
      <c r="H2249" s="25" t="e">
        <f ca="1"/>
        <v>#REF!</v>
      </c>
      <c r="I2249" s="27" t="e">
        <f ca="1"/>
        <v>#REF!</v>
      </c>
      <c r="J2249" s="28" t="e">
        <f ca="1"/>
        <v>#REF!</v>
      </c>
      <c r="K2249" s="27" t="e">
        <f ca="1"/>
        <v>#REF!</v>
      </c>
      <c r="L2249" s="25" t="e">
        <f ca="1"/>
        <v>#REF!</v>
      </c>
      <c r="M2249" s="25" t="e">
        <f ca="1"/>
        <v>#REF!</v>
      </c>
      <c r="N2249" s="25" t="e">
        <f ca="1"/>
        <v>#REF!</v>
      </c>
      <c r="O2249" s="25" t="e">
        <f ca="1"/>
        <v>#REF!</v>
      </c>
      <c r="P2249" s="25" t="e">
        <f ca="1"/>
        <v>#REF!</v>
      </c>
      <c r="Q2249" s="25" t="e">
        <f ca="1"/>
        <v>#REF!</v>
      </c>
      <c r="R2249" s="25" t="e">
        <f ca="1"/>
        <v>#REF!</v>
      </c>
      <c r="S2249" s="25" t="e">
        <f ca="1"/>
        <v>#REF!</v>
      </c>
      <c r="T2249" s="25" t="e">
        <f ca="1"/>
        <v>#REF!</v>
      </c>
      <c r="U2249" s="25" t="e">
        <f ca="1"/>
        <v>#REF!</v>
      </c>
      <c r="V2249" s="25" t="e">
        <f ca="1"/>
        <v>#REF!</v>
      </c>
      <c r="W2249" s="33" t="e">
        <f ca="1"/>
        <v>#REF!</v>
      </c>
      <c r="X2249" s="33" t="e">
        <f ca="1"/>
        <v>#REF!</v>
      </c>
      <c r="Y2249" s="33" t="e">
        <f ca="1"/>
        <v>#REF!</v>
      </c>
      <c r="Z2249" s="33" t="e">
        <f ca="1"/>
        <v>#REF!</v>
      </c>
      <c r="AA2249" s="33" t="e">
        <f ca="1"/>
        <v>#REF!</v>
      </c>
    </row>
    <row r="2250" spans="1:27" s="70" customFormat="1" ht="11.25" x14ac:dyDescent="0.2">
      <c r="A2250" s="24">
        <v>2244</v>
      </c>
      <c r="B2250" s="24"/>
      <c r="C2250" s="25"/>
      <c r="D2250" s="26"/>
      <c r="E2250" s="25"/>
      <c r="F2250" s="25"/>
      <c r="G2250" s="24"/>
      <c r="H2250" s="25" t="e">
        <f ca="1"/>
        <v>#REF!</v>
      </c>
      <c r="I2250" s="27" t="e">
        <f ca="1"/>
        <v>#REF!</v>
      </c>
      <c r="J2250" s="28" t="e">
        <f ca="1"/>
        <v>#REF!</v>
      </c>
      <c r="K2250" s="27" t="e">
        <f ca="1"/>
        <v>#REF!</v>
      </c>
      <c r="L2250" s="25" t="e">
        <f ca="1"/>
        <v>#REF!</v>
      </c>
      <c r="M2250" s="25" t="e">
        <f ca="1"/>
        <v>#REF!</v>
      </c>
      <c r="N2250" s="25" t="e">
        <f ca="1"/>
        <v>#REF!</v>
      </c>
      <c r="O2250" s="25" t="e">
        <f ca="1"/>
        <v>#REF!</v>
      </c>
      <c r="P2250" s="25" t="e">
        <f ca="1"/>
        <v>#REF!</v>
      </c>
      <c r="Q2250" s="25" t="e">
        <f ca="1"/>
        <v>#REF!</v>
      </c>
      <c r="R2250" s="25" t="e">
        <f ca="1"/>
        <v>#REF!</v>
      </c>
      <c r="S2250" s="25" t="e">
        <f ca="1"/>
        <v>#REF!</v>
      </c>
      <c r="T2250" s="25" t="e">
        <f ca="1"/>
        <v>#REF!</v>
      </c>
      <c r="U2250" s="25" t="e">
        <f ca="1"/>
        <v>#REF!</v>
      </c>
      <c r="V2250" s="25" t="e">
        <f ca="1"/>
        <v>#REF!</v>
      </c>
      <c r="W2250" s="33" t="e">
        <f ca="1"/>
        <v>#REF!</v>
      </c>
      <c r="X2250" s="33" t="e">
        <f ca="1"/>
        <v>#REF!</v>
      </c>
      <c r="Y2250" s="33" t="e">
        <f ca="1"/>
        <v>#REF!</v>
      </c>
      <c r="Z2250" s="33" t="e">
        <f ca="1"/>
        <v>#REF!</v>
      </c>
      <c r="AA2250" s="33" t="e">
        <f ca="1"/>
        <v>#REF!</v>
      </c>
    </row>
    <row r="2251" spans="1:27" s="70" customFormat="1" ht="11.25" x14ac:dyDescent="0.2">
      <c r="A2251" s="24">
        <v>2245</v>
      </c>
      <c r="B2251" s="24"/>
      <c r="C2251" s="25"/>
      <c r="D2251" s="26"/>
      <c r="E2251" s="25"/>
      <c r="F2251" s="25"/>
      <c r="G2251" s="24"/>
      <c r="H2251" s="25" t="e">
        <f ca="1"/>
        <v>#REF!</v>
      </c>
      <c r="I2251" s="27" t="e">
        <f ca="1"/>
        <v>#REF!</v>
      </c>
      <c r="J2251" s="28" t="e">
        <f ca="1"/>
        <v>#REF!</v>
      </c>
      <c r="K2251" s="27" t="e">
        <f ca="1"/>
        <v>#REF!</v>
      </c>
      <c r="L2251" s="25" t="e">
        <f ca="1"/>
        <v>#REF!</v>
      </c>
      <c r="M2251" s="25" t="e">
        <f ca="1"/>
        <v>#REF!</v>
      </c>
      <c r="N2251" s="25" t="e">
        <f ca="1"/>
        <v>#REF!</v>
      </c>
      <c r="O2251" s="25" t="e">
        <f ca="1"/>
        <v>#REF!</v>
      </c>
      <c r="P2251" s="25" t="e">
        <f ca="1"/>
        <v>#REF!</v>
      </c>
      <c r="Q2251" s="25" t="e">
        <f ca="1"/>
        <v>#REF!</v>
      </c>
      <c r="R2251" s="25" t="e">
        <f ca="1"/>
        <v>#REF!</v>
      </c>
      <c r="S2251" s="25" t="e">
        <f ca="1"/>
        <v>#REF!</v>
      </c>
      <c r="T2251" s="25" t="e">
        <f ca="1"/>
        <v>#REF!</v>
      </c>
      <c r="U2251" s="25" t="e">
        <f ca="1"/>
        <v>#REF!</v>
      </c>
      <c r="V2251" s="25" t="e">
        <f ca="1"/>
        <v>#REF!</v>
      </c>
      <c r="W2251" s="33" t="e">
        <f ca="1"/>
        <v>#REF!</v>
      </c>
      <c r="X2251" s="33" t="e">
        <f ca="1"/>
        <v>#REF!</v>
      </c>
      <c r="Y2251" s="33" t="e">
        <f ca="1"/>
        <v>#REF!</v>
      </c>
      <c r="Z2251" s="33" t="e">
        <f ca="1"/>
        <v>#REF!</v>
      </c>
      <c r="AA2251" s="33" t="e">
        <f ca="1"/>
        <v>#REF!</v>
      </c>
    </row>
    <row r="2252" spans="1:27" s="70" customFormat="1" ht="11.25" x14ac:dyDescent="0.2">
      <c r="A2252" s="24">
        <v>2246</v>
      </c>
      <c r="B2252" s="24"/>
      <c r="C2252" s="25"/>
      <c r="D2252" s="26"/>
      <c r="E2252" s="25"/>
      <c r="F2252" s="25"/>
      <c r="G2252" s="24"/>
      <c r="H2252" s="25" t="e">
        <f ca="1"/>
        <v>#REF!</v>
      </c>
      <c r="I2252" s="27" t="e">
        <f ca="1"/>
        <v>#REF!</v>
      </c>
      <c r="J2252" s="25" t="e">
        <f ca="1"/>
        <v>#REF!</v>
      </c>
      <c r="K2252" s="27" t="e">
        <f ca="1"/>
        <v>#REF!</v>
      </c>
      <c r="L2252" s="25" t="e">
        <f ca="1"/>
        <v>#REF!</v>
      </c>
      <c r="M2252" s="25" t="e">
        <f ca="1"/>
        <v>#REF!</v>
      </c>
      <c r="N2252" s="25" t="e">
        <f ca="1"/>
        <v>#REF!</v>
      </c>
      <c r="O2252" s="25" t="e">
        <f ca="1"/>
        <v>#REF!</v>
      </c>
      <c r="P2252" s="25" t="e">
        <f ca="1"/>
        <v>#REF!</v>
      </c>
      <c r="Q2252" s="25" t="e">
        <f ca="1"/>
        <v>#REF!</v>
      </c>
      <c r="R2252" s="25" t="e">
        <f ca="1"/>
        <v>#REF!</v>
      </c>
      <c r="S2252" s="25" t="e">
        <f ca="1"/>
        <v>#REF!</v>
      </c>
      <c r="T2252" s="25" t="e">
        <f ca="1"/>
        <v>#REF!</v>
      </c>
      <c r="U2252" s="25" t="e">
        <f ca="1"/>
        <v>#REF!</v>
      </c>
      <c r="V2252" s="25" t="e">
        <f ca="1"/>
        <v>#REF!</v>
      </c>
      <c r="W2252" s="33" t="e">
        <f ca="1"/>
        <v>#REF!</v>
      </c>
      <c r="X2252" s="33" t="e">
        <f ca="1"/>
        <v>#REF!</v>
      </c>
      <c r="Y2252" s="33" t="e">
        <f ca="1"/>
        <v>#REF!</v>
      </c>
      <c r="Z2252" s="33" t="e">
        <f ca="1"/>
        <v>#REF!</v>
      </c>
      <c r="AA2252" s="33" t="e">
        <f ca="1"/>
        <v>#REF!</v>
      </c>
    </row>
    <row r="2253" spans="1:27" s="70" customFormat="1" ht="11.25" x14ac:dyDescent="0.2">
      <c r="A2253" s="24">
        <v>2247</v>
      </c>
      <c r="B2253" s="27"/>
      <c r="C2253" s="28"/>
      <c r="D2253" s="71"/>
      <c r="E2253" s="28"/>
      <c r="F2253" s="28"/>
      <c r="G2253" s="27"/>
      <c r="H2253" s="28" t="e">
        <f ca="1"/>
        <v>#REF!</v>
      </c>
      <c r="I2253" s="27" t="e">
        <f ca="1"/>
        <v>#REF!</v>
      </c>
      <c r="J2253" s="28" t="e">
        <f ca="1"/>
        <v>#REF!</v>
      </c>
      <c r="K2253" s="27" t="e">
        <f ca="1"/>
        <v>#REF!</v>
      </c>
      <c r="L2253" s="25" t="e">
        <f ca="1"/>
        <v>#REF!</v>
      </c>
      <c r="M2253" s="25" t="e">
        <f ca="1"/>
        <v>#REF!</v>
      </c>
      <c r="N2253" s="25" t="e">
        <f ca="1"/>
        <v>#REF!</v>
      </c>
      <c r="O2253" s="25" t="e">
        <f ca="1"/>
        <v>#REF!</v>
      </c>
      <c r="P2253" s="25" t="e">
        <f ca="1"/>
        <v>#REF!</v>
      </c>
      <c r="Q2253" s="25" t="e">
        <f ca="1"/>
        <v>#REF!</v>
      </c>
      <c r="R2253" s="25" t="e">
        <f ca="1"/>
        <v>#REF!</v>
      </c>
      <c r="S2253" s="25" t="e">
        <f ca="1"/>
        <v>#REF!</v>
      </c>
      <c r="T2253" s="25" t="e">
        <f ca="1"/>
        <v>#REF!</v>
      </c>
      <c r="U2253" s="25" t="e">
        <f ca="1"/>
        <v>#REF!</v>
      </c>
      <c r="V2253" s="25" t="e">
        <f ca="1"/>
        <v>#REF!</v>
      </c>
      <c r="W2253" s="33" t="e">
        <f ca="1"/>
        <v>#REF!</v>
      </c>
      <c r="X2253" s="33" t="e">
        <f ca="1"/>
        <v>#REF!</v>
      </c>
      <c r="Y2253" s="33" t="e">
        <f ca="1"/>
        <v>#REF!</v>
      </c>
      <c r="Z2253" s="33" t="e">
        <f ca="1"/>
        <v>#REF!</v>
      </c>
      <c r="AA2253" s="33" t="e">
        <f ca="1"/>
        <v>#REF!</v>
      </c>
    </row>
    <row r="2254" spans="1:27" s="70" customFormat="1" ht="11.25" x14ac:dyDescent="0.2">
      <c r="A2254" s="24">
        <v>2248</v>
      </c>
      <c r="B2254" s="27"/>
      <c r="C2254" s="28"/>
      <c r="D2254" s="71"/>
      <c r="E2254" s="28"/>
      <c r="F2254" s="28"/>
      <c r="G2254" s="27"/>
      <c r="H2254" s="28" t="e">
        <f ca="1"/>
        <v>#REF!</v>
      </c>
      <c r="I2254" s="27" t="e">
        <f ca="1"/>
        <v>#REF!</v>
      </c>
      <c r="J2254" s="28" t="e">
        <f ca="1"/>
        <v>#REF!</v>
      </c>
      <c r="K2254" s="27" t="e">
        <f ca="1"/>
        <v>#REF!</v>
      </c>
      <c r="L2254" s="25" t="e">
        <f ca="1"/>
        <v>#REF!</v>
      </c>
      <c r="M2254" s="25" t="e">
        <f ca="1"/>
        <v>#REF!</v>
      </c>
      <c r="N2254" s="25" t="e">
        <f ca="1"/>
        <v>#REF!</v>
      </c>
      <c r="O2254" s="25" t="e">
        <f ca="1"/>
        <v>#REF!</v>
      </c>
      <c r="P2254" s="25" t="e">
        <f ca="1"/>
        <v>#REF!</v>
      </c>
      <c r="Q2254" s="25" t="e">
        <f ca="1"/>
        <v>#REF!</v>
      </c>
      <c r="R2254" s="25" t="e">
        <f ca="1"/>
        <v>#REF!</v>
      </c>
      <c r="S2254" s="25" t="e">
        <f ca="1"/>
        <v>#REF!</v>
      </c>
      <c r="T2254" s="25" t="e">
        <f ca="1"/>
        <v>#REF!</v>
      </c>
      <c r="U2254" s="25" t="e">
        <f ca="1"/>
        <v>#REF!</v>
      </c>
      <c r="V2254" s="25" t="e">
        <f ca="1"/>
        <v>#REF!</v>
      </c>
      <c r="W2254" s="33" t="e">
        <f ca="1"/>
        <v>#REF!</v>
      </c>
      <c r="X2254" s="33" t="e">
        <f ca="1"/>
        <v>#REF!</v>
      </c>
      <c r="Y2254" s="33" t="e">
        <f ca="1"/>
        <v>#REF!</v>
      </c>
      <c r="Z2254" s="33" t="e">
        <f ca="1"/>
        <v>#REF!</v>
      </c>
      <c r="AA2254" s="33" t="e">
        <f ca="1"/>
        <v>#REF!</v>
      </c>
    </row>
    <row r="2255" spans="1:27" s="70" customFormat="1" ht="11.25" x14ac:dyDescent="0.2">
      <c r="A2255" s="24">
        <v>2249</v>
      </c>
      <c r="B2255" s="27"/>
      <c r="C2255" s="28"/>
      <c r="D2255" s="71"/>
      <c r="E2255" s="28"/>
      <c r="F2255" s="28"/>
      <c r="G2255" s="27"/>
      <c r="H2255" s="28" t="e">
        <f ca="1"/>
        <v>#REF!</v>
      </c>
      <c r="I2255" s="27" t="e">
        <f ca="1"/>
        <v>#REF!</v>
      </c>
      <c r="J2255" s="28" t="e">
        <f ca="1"/>
        <v>#REF!</v>
      </c>
      <c r="K2255" s="27" t="e">
        <f ca="1"/>
        <v>#REF!</v>
      </c>
      <c r="L2255" s="25" t="e">
        <f ca="1"/>
        <v>#REF!</v>
      </c>
      <c r="M2255" s="25" t="e">
        <f ca="1"/>
        <v>#REF!</v>
      </c>
      <c r="N2255" s="25" t="e">
        <f ca="1"/>
        <v>#REF!</v>
      </c>
      <c r="O2255" s="25" t="e">
        <f ca="1"/>
        <v>#REF!</v>
      </c>
      <c r="P2255" s="25" t="e">
        <f ca="1"/>
        <v>#REF!</v>
      </c>
      <c r="Q2255" s="25" t="e">
        <f ca="1"/>
        <v>#REF!</v>
      </c>
      <c r="R2255" s="25" t="e">
        <f ca="1"/>
        <v>#REF!</v>
      </c>
      <c r="S2255" s="25" t="e">
        <f ca="1"/>
        <v>#REF!</v>
      </c>
      <c r="T2255" s="25" t="e">
        <f ca="1"/>
        <v>#REF!</v>
      </c>
      <c r="U2255" s="25" t="e">
        <f ca="1"/>
        <v>#REF!</v>
      </c>
      <c r="V2255" s="25" t="e">
        <f ca="1"/>
        <v>#REF!</v>
      </c>
      <c r="W2255" s="33" t="e">
        <f ca="1"/>
        <v>#REF!</v>
      </c>
      <c r="X2255" s="33" t="e">
        <f ca="1"/>
        <v>#REF!</v>
      </c>
      <c r="Y2255" s="33" t="e">
        <f ca="1"/>
        <v>#REF!</v>
      </c>
      <c r="Z2255" s="33" t="e">
        <f ca="1"/>
        <v>#REF!</v>
      </c>
      <c r="AA2255" s="33" t="e">
        <f ca="1"/>
        <v>#REF!</v>
      </c>
    </row>
    <row r="2256" spans="1:27" s="70" customFormat="1" ht="11.25" x14ac:dyDescent="0.2">
      <c r="A2256" s="24">
        <v>2250</v>
      </c>
      <c r="B2256" s="27"/>
      <c r="C2256" s="28"/>
      <c r="D2256" s="71"/>
      <c r="E2256" s="28"/>
      <c r="F2256" s="28"/>
      <c r="G2256" s="27"/>
      <c r="H2256" s="28" t="e">
        <f ca="1"/>
        <v>#REF!</v>
      </c>
      <c r="I2256" s="27" t="e">
        <f ca="1"/>
        <v>#REF!</v>
      </c>
      <c r="J2256" s="28" t="e">
        <f ca="1"/>
        <v>#REF!</v>
      </c>
      <c r="K2256" s="27" t="e">
        <f ca="1"/>
        <v>#REF!</v>
      </c>
      <c r="L2256" s="25" t="e">
        <f ca="1"/>
        <v>#REF!</v>
      </c>
      <c r="M2256" s="25" t="e">
        <f ca="1"/>
        <v>#REF!</v>
      </c>
      <c r="N2256" s="25" t="e">
        <f ca="1"/>
        <v>#REF!</v>
      </c>
      <c r="O2256" s="25" t="e">
        <f ca="1"/>
        <v>#REF!</v>
      </c>
      <c r="P2256" s="25" t="e">
        <f ca="1"/>
        <v>#REF!</v>
      </c>
      <c r="Q2256" s="25" t="e">
        <f ca="1"/>
        <v>#REF!</v>
      </c>
      <c r="R2256" s="25" t="e">
        <f ca="1"/>
        <v>#REF!</v>
      </c>
      <c r="S2256" s="25" t="e">
        <f ca="1"/>
        <v>#REF!</v>
      </c>
      <c r="T2256" s="25" t="e">
        <f ca="1"/>
        <v>#REF!</v>
      </c>
      <c r="U2256" s="25" t="e">
        <f ca="1"/>
        <v>#REF!</v>
      </c>
      <c r="V2256" s="25" t="e">
        <f ca="1"/>
        <v>#REF!</v>
      </c>
      <c r="W2256" s="33" t="e">
        <f ca="1"/>
        <v>#REF!</v>
      </c>
      <c r="X2256" s="33" t="e">
        <f ca="1"/>
        <v>#REF!</v>
      </c>
      <c r="Y2256" s="33" t="e">
        <f ca="1"/>
        <v>#REF!</v>
      </c>
      <c r="Z2256" s="33" t="e">
        <f ca="1"/>
        <v>#REF!</v>
      </c>
      <c r="AA2256" s="33" t="e">
        <f ca="1"/>
        <v>#REF!</v>
      </c>
    </row>
    <row r="2257" spans="1:27" s="70" customFormat="1" ht="11.25" x14ac:dyDescent="0.2">
      <c r="A2257" s="24">
        <v>2251</v>
      </c>
      <c r="B2257" s="27"/>
      <c r="C2257" s="28"/>
      <c r="D2257" s="71"/>
      <c r="E2257" s="28"/>
      <c r="F2257" s="28"/>
      <c r="G2257" s="27"/>
      <c r="H2257" s="28" t="e">
        <f ca="1"/>
        <v>#REF!</v>
      </c>
      <c r="I2257" s="27" t="e">
        <f ca="1"/>
        <v>#REF!</v>
      </c>
      <c r="J2257" s="28" t="e">
        <f ca="1"/>
        <v>#REF!</v>
      </c>
      <c r="K2257" s="27" t="e">
        <f ca="1"/>
        <v>#REF!</v>
      </c>
      <c r="L2257" s="25" t="e">
        <f ca="1"/>
        <v>#REF!</v>
      </c>
      <c r="M2257" s="25" t="e">
        <f ca="1"/>
        <v>#REF!</v>
      </c>
      <c r="N2257" s="25" t="e">
        <f ca="1"/>
        <v>#REF!</v>
      </c>
      <c r="O2257" s="25" t="e">
        <f ca="1"/>
        <v>#REF!</v>
      </c>
      <c r="P2257" s="25" t="e">
        <f ca="1"/>
        <v>#REF!</v>
      </c>
      <c r="Q2257" s="25" t="e">
        <f ca="1"/>
        <v>#REF!</v>
      </c>
      <c r="R2257" s="25" t="e">
        <f ca="1"/>
        <v>#REF!</v>
      </c>
      <c r="S2257" s="25" t="e">
        <f ca="1"/>
        <v>#REF!</v>
      </c>
      <c r="T2257" s="25" t="e">
        <f ca="1"/>
        <v>#REF!</v>
      </c>
      <c r="U2257" s="25" t="e">
        <f ca="1"/>
        <v>#REF!</v>
      </c>
      <c r="V2257" s="25" t="e">
        <f ca="1"/>
        <v>#REF!</v>
      </c>
      <c r="W2257" s="33" t="e">
        <f ca="1"/>
        <v>#REF!</v>
      </c>
      <c r="X2257" s="33" t="e">
        <f ca="1"/>
        <v>#REF!</v>
      </c>
      <c r="Y2257" s="33" t="e">
        <f ca="1"/>
        <v>#REF!</v>
      </c>
      <c r="Z2257" s="33" t="e">
        <f ca="1"/>
        <v>#REF!</v>
      </c>
      <c r="AA2257" s="33" t="e">
        <f ca="1"/>
        <v>#REF!</v>
      </c>
    </row>
    <row r="2258" spans="1:27" s="70" customFormat="1" ht="11.25" x14ac:dyDescent="0.2">
      <c r="A2258" s="24">
        <v>2252</v>
      </c>
      <c r="B2258" s="27"/>
      <c r="C2258" s="28"/>
      <c r="D2258" s="71"/>
      <c r="E2258" s="28"/>
      <c r="F2258" s="28"/>
      <c r="G2258" s="27"/>
      <c r="H2258" s="28" t="e">
        <f ca="1"/>
        <v>#REF!</v>
      </c>
      <c r="I2258" s="27" t="e">
        <f ca="1"/>
        <v>#REF!</v>
      </c>
      <c r="J2258" s="28" t="e">
        <f ca="1"/>
        <v>#REF!</v>
      </c>
      <c r="K2258" s="27" t="e">
        <f ca="1"/>
        <v>#REF!</v>
      </c>
      <c r="L2258" s="25" t="e">
        <f ca="1"/>
        <v>#REF!</v>
      </c>
      <c r="M2258" s="25" t="e">
        <f ca="1"/>
        <v>#REF!</v>
      </c>
      <c r="N2258" s="25" t="e">
        <f ca="1"/>
        <v>#REF!</v>
      </c>
      <c r="O2258" s="25" t="e">
        <f ca="1"/>
        <v>#REF!</v>
      </c>
      <c r="P2258" s="25" t="e">
        <f ca="1"/>
        <v>#REF!</v>
      </c>
      <c r="Q2258" s="25" t="e">
        <f ca="1"/>
        <v>#REF!</v>
      </c>
      <c r="R2258" s="25" t="e">
        <f ca="1"/>
        <v>#REF!</v>
      </c>
      <c r="S2258" s="25" t="e">
        <f ca="1"/>
        <v>#REF!</v>
      </c>
      <c r="T2258" s="25" t="e">
        <f ca="1"/>
        <v>#REF!</v>
      </c>
      <c r="U2258" s="25" t="e">
        <f ca="1"/>
        <v>#REF!</v>
      </c>
      <c r="V2258" s="25" t="e">
        <f ca="1"/>
        <v>#REF!</v>
      </c>
      <c r="W2258" s="33" t="e">
        <f ca="1"/>
        <v>#REF!</v>
      </c>
      <c r="X2258" s="33" t="e">
        <f ca="1"/>
        <v>#REF!</v>
      </c>
      <c r="Y2258" s="33" t="e">
        <f ca="1"/>
        <v>#REF!</v>
      </c>
      <c r="Z2258" s="33" t="e">
        <f ca="1"/>
        <v>#REF!</v>
      </c>
      <c r="AA2258" s="33" t="e">
        <f ca="1"/>
        <v>#REF!</v>
      </c>
    </row>
    <row r="2259" spans="1:27" s="70" customFormat="1" ht="11.25" x14ac:dyDescent="0.2">
      <c r="A2259" s="24">
        <v>2253</v>
      </c>
      <c r="B2259" s="27"/>
      <c r="C2259" s="28"/>
      <c r="D2259" s="71"/>
      <c r="E2259" s="28"/>
      <c r="F2259" s="28"/>
      <c r="G2259" s="27"/>
      <c r="H2259" s="28" t="e">
        <f ca="1"/>
        <v>#REF!</v>
      </c>
      <c r="I2259" s="27" t="e">
        <f ca="1"/>
        <v>#REF!</v>
      </c>
      <c r="J2259" s="28" t="e">
        <f ca="1"/>
        <v>#REF!</v>
      </c>
      <c r="K2259" s="27" t="e">
        <f ca="1"/>
        <v>#REF!</v>
      </c>
      <c r="L2259" s="25" t="e">
        <f ca="1"/>
        <v>#REF!</v>
      </c>
      <c r="M2259" s="25" t="e">
        <f ca="1"/>
        <v>#REF!</v>
      </c>
      <c r="N2259" s="25" t="e">
        <f ca="1"/>
        <v>#REF!</v>
      </c>
      <c r="O2259" s="25" t="e">
        <f ca="1"/>
        <v>#REF!</v>
      </c>
      <c r="P2259" s="25" t="e">
        <f ca="1"/>
        <v>#REF!</v>
      </c>
      <c r="Q2259" s="25" t="e">
        <f ca="1"/>
        <v>#REF!</v>
      </c>
      <c r="R2259" s="25" t="e">
        <f ca="1"/>
        <v>#REF!</v>
      </c>
      <c r="S2259" s="25" t="e">
        <f ca="1"/>
        <v>#REF!</v>
      </c>
      <c r="T2259" s="25" t="e">
        <f ca="1"/>
        <v>#REF!</v>
      </c>
      <c r="U2259" s="25" t="e">
        <f ca="1"/>
        <v>#REF!</v>
      </c>
      <c r="V2259" s="25" t="e">
        <f ca="1"/>
        <v>#REF!</v>
      </c>
      <c r="W2259" s="33" t="e">
        <f ca="1"/>
        <v>#REF!</v>
      </c>
      <c r="X2259" s="33" t="e">
        <f ca="1"/>
        <v>#REF!</v>
      </c>
      <c r="Y2259" s="33" t="e">
        <f ca="1"/>
        <v>#REF!</v>
      </c>
      <c r="Z2259" s="33" t="e">
        <f ca="1"/>
        <v>#REF!</v>
      </c>
      <c r="AA2259" s="33" t="e">
        <f ca="1"/>
        <v>#REF!</v>
      </c>
    </row>
    <row r="2260" spans="1:27" s="70" customFormat="1" ht="11.25" x14ac:dyDescent="0.2">
      <c r="A2260" s="24">
        <v>2254</v>
      </c>
      <c r="B2260" s="27"/>
      <c r="C2260" s="28"/>
      <c r="D2260" s="71"/>
      <c r="E2260" s="28"/>
      <c r="F2260" s="28"/>
      <c r="G2260" s="27"/>
      <c r="H2260" s="28" t="e">
        <f ca="1"/>
        <v>#REF!</v>
      </c>
      <c r="I2260" s="27" t="e">
        <f ca="1"/>
        <v>#REF!</v>
      </c>
      <c r="J2260" s="28" t="e">
        <f ca="1"/>
        <v>#REF!</v>
      </c>
      <c r="K2260" s="27" t="e">
        <f ca="1"/>
        <v>#REF!</v>
      </c>
      <c r="L2260" s="25" t="e">
        <f ca="1"/>
        <v>#REF!</v>
      </c>
      <c r="M2260" s="25" t="e">
        <f ca="1"/>
        <v>#REF!</v>
      </c>
      <c r="N2260" s="25" t="e">
        <f ca="1"/>
        <v>#REF!</v>
      </c>
      <c r="O2260" s="25" t="e">
        <f ca="1"/>
        <v>#REF!</v>
      </c>
      <c r="P2260" s="25" t="e">
        <f ca="1"/>
        <v>#REF!</v>
      </c>
      <c r="Q2260" s="25" t="e">
        <f ca="1"/>
        <v>#REF!</v>
      </c>
      <c r="R2260" s="25" t="e">
        <f ca="1"/>
        <v>#REF!</v>
      </c>
      <c r="S2260" s="25" t="e">
        <f ca="1"/>
        <v>#REF!</v>
      </c>
      <c r="T2260" s="25" t="e">
        <f ca="1"/>
        <v>#REF!</v>
      </c>
      <c r="U2260" s="25" t="e">
        <f ca="1"/>
        <v>#REF!</v>
      </c>
      <c r="V2260" s="25" t="e">
        <f ca="1"/>
        <v>#REF!</v>
      </c>
      <c r="W2260" s="33" t="e">
        <f ca="1"/>
        <v>#REF!</v>
      </c>
      <c r="X2260" s="33" t="e">
        <f ca="1"/>
        <v>#REF!</v>
      </c>
      <c r="Y2260" s="33" t="e">
        <f ca="1"/>
        <v>#REF!</v>
      </c>
      <c r="Z2260" s="33" t="e">
        <f ca="1"/>
        <v>#REF!</v>
      </c>
      <c r="AA2260" s="33" t="e">
        <f ca="1"/>
        <v>#REF!</v>
      </c>
    </row>
    <row r="2261" spans="1:27" s="70" customFormat="1" ht="11.25" x14ac:dyDescent="0.2">
      <c r="A2261" s="24">
        <v>2255</v>
      </c>
      <c r="B2261" s="27"/>
      <c r="C2261" s="28"/>
      <c r="D2261" s="71"/>
      <c r="E2261" s="28"/>
      <c r="F2261" s="28"/>
      <c r="G2261" s="27"/>
      <c r="H2261" s="28" t="e">
        <f ca="1"/>
        <v>#REF!</v>
      </c>
      <c r="I2261" s="27" t="e">
        <f ca="1"/>
        <v>#REF!</v>
      </c>
      <c r="J2261" s="28" t="e">
        <f ca="1"/>
        <v>#REF!</v>
      </c>
      <c r="K2261" s="27" t="e">
        <f ca="1"/>
        <v>#REF!</v>
      </c>
      <c r="L2261" s="25" t="e">
        <f ca="1"/>
        <v>#REF!</v>
      </c>
      <c r="M2261" s="25" t="e">
        <f ca="1"/>
        <v>#REF!</v>
      </c>
      <c r="N2261" s="25" t="e">
        <f ca="1"/>
        <v>#REF!</v>
      </c>
      <c r="O2261" s="25" t="e">
        <f ca="1"/>
        <v>#REF!</v>
      </c>
      <c r="P2261" s="25" t="e">
        <f ca="1"/>
        <v>#REF!</v>
      </c>
      <c r="Q2261" s="25" t="e">
        <f ca="1"/>
        <v>#REF!</v>
      </c>
      <c r="R2261" s="25" t="e">
        <f ca="1"/>
        <v>#REF!</v>
      </c>
      <c r="S2261" s="25" t="e">
        <f ca="1"/>
        <v>#REF!</v>
      </c>
      <c r="T2261" s="25" t="e">
        <f ca="1"/>
        <v>#REF!</v>
      </c>
      <c r="U2261" s="25" t="e">
        <f ca="1"/>
        <v>#REF!</v>
      </c>
      <c r="V2261" s="25" t="e">
        <f ca="1"/>
        <v>#REF!</v>
      </c>
      <c r="W2261" s="33" t="e">
        <f ca="1"/>
        <v>#REF!</v>
      </c>
      <c r="X2261" s="33" t="e">
        <f ca="1"/>
        <v>#REF!</v>
      </c>
      <c r="Y2261" s="33" t="e">
        <f ca="1"/>
        <v>#REF!</v>
      </c>
      <c r="Z2261" s="33" t="e">
        <f ca="1"/>
        <v>#REF!</v>
      </c>
      <c r="AA2261" s="33" t="e">
        <f ca="1"/>
        <v>#REF!</v>
      </c>
    </row>
    <row r="2262" spans="1:27" s="70" customFormat="1" ht="11.25" x14ac:dyDescent="0.2">
      <c r="A2262" s="24">
        <v>2256</v>
      </c>
      <c r="B2262" s="27"/>
      <c r="C2262" s="28"/>
      <c r="D2262" s="71"/>
      <c r="E2262" s="28"/>
      <c r="F2262" s="28"/>
      <c r="G2262" s="27"/>
      <c r="H2262" s="28" t="e">
        <f ca="1"/>
        <v>#REF!</v>
      </c>
      <c r="I2262" s="27" t="e">
        <f ca="1"/>
        <v>#REF!</v>
      </c>
      <c r="J2262" s="28" t="e">
        <f ca="1"/>
        <v>#REF!</v>
      </c>
      <c r="K2262" s="27" t="e">
        <f ca="1"/>
        <v>#REF!</v>
      </c>
      <c r="L2262" s="25" t="e">
        <f ca="1"/>
        <v>#REF!</v>
      </c>
      <c r="M2262" s="25" t="e">
        <f ca="1"/>
        <v>#REF!</v>
      </c>
      <c r="N2262" s="25" t="e">
        <f ca="1"/>
        <v>#REF!</v>
      </c>
      <c r="O2262" s="25" t="e">
        <f ca="1"/>
        <v>#REF!</v>
      </c>
      <c r="P2262" s="25" t="e">
        <f ca="1"/>
        <v>#REF!</v>
      </c>
      <c r="Q2262" s="25" t="e">
        <f ca="1"/>
        <v>#REF!</v>
      </c>
      <c r="R2262" s="25" t="e">
        <f ca="1"/>
        <v>#REF!</v>
      </c>
      <c r="S2262" s="25" t="e">
        <f ca="1"/>
        <v>#REF!</v>
      </c>
      <c r="T2262" s="25" t="e">
        <f ca="1"/>
        <v>#REF!</v>
      </c>
      <c r="U2262" s="25" t="e">
        <f ca="1"/>
        <v>#REF!</v>
      </c>
      <c r="V2262" s="25" t="e">
        <f ca="1"/>
        <v>#REF!</v>
      </c>
      <c r="W2262" s="33" t="e">
        <f ca="1"/>
        <v>#REF!</v>
      </c>
      <c r="X2262" s="33" t="e">
        <f ca="1"/>
        <v>#REF!</v>
      </c>
      <c r="Y2262" s="33" t="e">
        <f ca="1"/>
        <v>#REF!</v>
      </c>
      <c r="Z2262" s="33" t="e">
        <f ca="1"/>
        <v>#REF!</v>
      </c>
      <c r="AA2262" s="33" t="e">
        <f ca="1"/>
        <v>#REF!</v>
      </c>
    </row>
    <row r="2263" spans="1:27" s="70" customFormat="1" ht="11.25" x14ac:dyDescent="0.2">
      <c r="A2263" s="24">
        <v>2257</v>
      </c>
      <c r="B2263" s="27"/>
      <c r="C2263" s="28"/>
      <c r="D2263" s="71"/>
      <c r="E2263" s="28"/>
      <c r="F2263" s="28"/>
      <c r="G2263" s="27"/>
      <c r="H2263" s="28" t="e">
        <f ca="1"/>
        <v>#REF!</v>
      </c>
      <c r="I2263" s="27" t="e">
        <f ca="1"/>
        <v>#REF!</v>
      </c>
      <c r="J2263" s="28" t="e">
        <f ca="1"/>
        <v>#REF!</v>
      </c>
      <c r="K2263" s="27" t="e">
        <f ca="1"/>
        <v>#REF!</v>
      </c>
      <c r="L2263" s="25" t="e">
        <f ca="1"/>
        <v>#REF!</v>
      </c>
      <c r="M2263" s="25" t="e">
        <f ca="1"/>
        <v>#REF!</v>
      </c>
      <c r="N2263" s="25" t="e">
        <f ca="1"/>
        <v>#REF!</v>
      </c>
      <c r="O2263" s="25" t="e">
        <f ca="1"/>
        <v>#REF!</v>
      </c>
      <c r="P2263" s="25" t="e">
        <f ca="1"/>
        <v>#REF!</v>
      </c>
      <c r="Q2263" s="25" t="e">
        <f ca="1"/>
        <v>#REF!</v>
      </c>
      <c r="R2263" s="25" t="e">
        <f ca="1"/>
        <v>#REF!</v>
      </c>
      <c r="S2263" s="25" t="e">
        <f ca="1"/>
        <v>#REF!</v>
      </c>
      <c r="T2263" s="25" t="e">
        <f ca="1"/>
        <v>#REF!</v>
      </c>
      <c r="U2263" s="25" t="e">
        <f ca="1"/>
        <v>#REF!</v>
      </c>
      <c r="V2263" s="25" t="e">
        <f ca="1"/>
        <v>#REF!</v>
      </c>
      <c r="W2263" s="33" t="e">
        <f ca="1"/>
        <v>#REF!</v>
      </c>
      <c r="X2263" s="33" t="e">
        <f ca="1"/>
        <v>#REF!</v>
      </c>
      <c r="Y2263" s="33" t="e">
        <f ca="1"/>
        <v>#REF!</v>
      </c>
      <c r="Z2263" s="33" t="e">
        <f ca="1"/>
        <v>#REF!</v>
      </c>
      <c r="AA2263" s="33" t="e">
        <f ca="1"/>
        <v>#REF!</v>
      </c>
    </row>
    <row r="2264" spans="1:27" s="70" customFormat="1" ht="11.25" x14ac:dyDescent="0.2">
      <c r="A2264" s="24">
        <v>2258</v>
      </c>
      <c r="B2264" s="27"/>
      <c r="C2264" s="28"/>
      <c r="D2264" s="71"/>
      <c r="E2264" s="28"/>
      <c r="F2264" s="28"/>
      <c r="G2264" s="27"/>
      <c r="H2264" s="28" t="e">
        <f ca="1"/>
        <v>#REF!</v>
      </c>
      <c r="I2264" s="27" t="e">
        <f ca="1"/>
        <v>#REF!</v>
      </c>
      <c r="J2264" s="28" t="e">
        <f ca="1"/>
        <v>#REF!</v>
      </c>
      <c r="K2264" s="27" t="e">
        <f ca="1"/>
        <v>#REF!</v>
      </c>
      <c r="L2264" s="25" t="e">
        <f ca="1"/>
        <v>#REF!</v>
      </c>
      <c r="M2264" s="25" t="e">
        <f ca="1"/>
        <v>#REF!</v>
      </c>
      <c r="N2264" s="25" t="e">
        <f ca="1"/>
        <v>#REF!</v>
      </c>
      <c r="O2264" s="25" t="e">
        <f ca="1"/>
        <v>#REF!</v>
      </c>
      <c r="P2264" s="25" t="e">
        <f ca="1"/>
        <v>#REF!</v>
      </c>
      <c r="Q2264" s="25" t="e">
        <f ca="1"/>
        <v>#REF!</v>
      </c>
      <c r="R2264" s="25" t="e">
        <f ca="1"/>
        <v>#REF!</v>
      </c>
      <c r="S2264" s="25" t="e">
        <f ca="1"/>
        <v>#REF!</v>
      </c>
      <c r="T2264" s="25" t="e">
        <f ca="1"/>
        <v>#REF!</v>
      </c>
      <c r="U2264" s="25" t="e">
        <f ca="1"/>
        <v>#REF!</v>
      </c>
      <c r="V2264" s="25" t="e">
        <f ca="1"/>
        <v>#REF!</v>
      </c>
      <c r="W2264" s="33" t="e">
        <f ca="1"/>
        <v>#REF!</v>
      </c>
      <c r="X2264" s="33" t="e">
        <f ca="1"/>
        <v>#REF!</v>
      </c>
      <c r="Y2264" s="33" t="e">
        <f ca="1"/>
        <v>#REF!</v>
      </c>
      <c r="Z2264" s="33" t="e">
        <f ca="1"/>
        <v>#REF!</v>
      </c>
      <c r="AA2264" s="33" t="e">
        <f ca="1"/>
        <v>#REF!</v>
      </c>
    </row>
    <row r="2265" spans="1:27" s="70" customFormat="1" ht="11.25" x14ac:dyDescent="0.2">
      <c r="A2265" s="24">
        <v>2259</v>
      </c>
      <c r="B2265" s="27"/>
      <c r="C2265" s="28"/>
      <c r="D2265" s="71"/>
      <c r="E2265" s="28"/>
      <c r="F2265" s="28"/>
      <c r="G2265" s="27"/>
      <c r="H2265" s="28" t="e">
        <f ca="1"/>
        <v>#REF!</v>
      </c>
      <c r="I2265" s="27" t="e">
        <f ca="1"/>
        <v>#REF!</v>
      </c>
      <c r="J2265" s="28" t="e">
        <f ca="1"/>
        <v>#REF!</v>
      </c>
      <c r="K2265" s="27" t="e">
        <f ca="1"/>
        <v>#REF!</v>
      </c>
      <c r="L2265" s="25" t="e">
        <f ca="1"/>
        <v>#REF!</v>
      </c>
      <c r="M2265" s="25" t="e">
        <f ca="1"/>
        <v>#REF!</v>
      </c>
      <c r="N2265" s="25" t="e">
        <f ca="1"/>
        <v>#REF!</v>
      </c>
      <c r="O2265" s="25" t="e">
        <f ca="1"/>
        <v>#REF!</v>
      </c>
      <c r="P2265" s="25" t="e">
        <f ca="1"/>
        <v>#REF!</v>
      </c>
      <c r="Q2265" s="25" t="e">
        <f ca="1"/>
        <v>#REF!</v>
      </c>
      <c r="R2265" s="25" t="e">
        <f ca="1"/>
        <v>#REF!</v>
      </c>
      <c r="S2265" s="25" t="e">
        <f ca="1"/>
        <v>#REF!</v>
      </c>
      <c r="T2265" s="25" t="e">
        <f ca="1"/>
        <v>#REF!</v>
      </c>
      <c r="U2265" s="25" t="e">
        <f ca="1"/>
        <v>#REF!</v>
      </c>
      <c r="V2265" s="25" t="e">
        <f ca="1"/>
        <v>#REF!</v>
      </c>
      <c r="W2265" s="33" t="e">
        <f ca="1"/>
        <v>#REF!</v>
      </c>
      <c r="X2265" s="33" t="e">
        <f ca="1"/>
        <v>#REF!</v>
      </c>
      <c r="Y2265" s="33" t="e">
        <f ca="1"/>
        <v>#REF!</v>
      </c>
      <c r="Z2265" s="33" t="e">
        <f ca="1"/>
        <v>#REF!</v>
      </c>
      <c r="AA2265" s="33" t="e">
        <f ca="1"/>
        <v>#REF!</v>
      </c>
    </row>
    <row r="2266" spans="1:27" s="70" customFormat="1" ht="11.25" x14ac:dyDescent="0.2">
      <c r="A2266" s="24">
        <v>2260</v>
      </c>
      <c r="B2266" s="27"/>
      <c r="C2266" s="28"/>
      <c r="D2266" s="71"/>
      <c r="E2266" s="28"/>
      <c r="F2266" s="28"/>
      <c r="G2266" s="27"/>
      <c r="H2266" s="28" t="e">
        <f ca="1"/>
        <v>#REF!</v>
      </c>
      <c r="I2266" s="27" t="e">
        <f ca="1"/>
        <v>#REF!</v>
      </c>
      <c r="J2266" s="28" t="e">
        <f ca="1"/>
        <v>#REF!</v>
      </c>
      <c r="K2266" s="27" t="e">
        <f ca="1"/>
        <v>#REF!</v>
      </c>
      <c r="L2266" s="25" t="e">
        <f ca="1"/>
        <v>#REF!</v>
      </c>
      <c r="M2266" s="25" t="e">
        <f ca="1"/>
        <v>#REF!</v>
      </c>
      <c r="N2266" s="25" t="e">
        <f ca="1"/>
        <v>#REF!</v>
      </c>
      <c r="O2266" s="25" t="e">
        <f ca="1"/>
        <v>#REF!</v>
      </c>
      <c r="P2266" s="25" t="e">
        <f ca="1"/>
        <v>#REF!</v>
      </c>
      <c r="Q2266" s="25" t="e">
        <f ca="1"/>
        <v>#REF!</v>
      </c>
      <c r="R2266" s="25" t="e">
        <f ca="1"/>
        <v>#REF!</v>
      </c>
      <c r="S2266" s="25" t="e">
        <f ca="1"/>
        <v>#REF!</v>
      </c>
      <c r="T2266" s="25" t="e">
        <f ca="1"/>
        <v>#REF!</v>
      </c>
      <c r="U2266" s="25" t="e">
        <f ca="1"/>
        <v>#REF!</v>
      </c>
      <c r="V2266" s="25" t="e">
        <f ca="1"/>
        <v>#REF!</v>
      </c>
      <c r="W2266" s="33" t="e">
        <f ca="1"/>
        <v>#REF!</v>
      </c>
      <c r="X2266" s="33" t="e">
        <f ca="1"/>
        <v>#REF!</v>
      </c>
      <c r="Y2266" s="33" t="e">
        <f ca="1"/>
        <v>#REF!</v>
      </c>
      <c r="Z2266" s="33" t="e">
        <f ca="1"/>
        <v>#REF!</v>
      </c>
      <c r="AA2266" s="33" t="e">
        <f ca="1"/>
        <v>#REF!</v>
      </c>
    </row>
    <row r="2267" spans="1:27" s="70" customFormat="1" ht="11.25" x14ac:dyDescent="0.2">
      <c r="A2267" s="24">
        <v>2261</v>
      </c>
      <c r="B2267" s="27"/>
      <c r="C2267" s="28"/>
      <c r="D2267" s="71"/>
      <c r="E2267" s="28"/>
      <c r="F2267" s="28"/>
      <c r="G2267" s="27"/>
      <c r="H2267" s="28" t="e">
        <f ca="1"/>
        <v>#REF!</v>
      </c>
      <c r="I2267" s="27" t="e">
        <f ca="1"/>
        <v>#REF!</v>
      </c>
      <c r="J2267" s="28" t="e">
        <f ca="1"/>
        <v>#REF!</v>
      </c>
      <c r="K2267" s="27" t="e">
        <f ca="1"/>
        <v>#REF!</v>
      </c>
      <c r="L2267" s="25" t="e">
        <f ca="1"/>
        <v>#REF!</v>
      </c>
      <c r="M2267" s="25" t="e">
        <f ca="1"/>
        <v>#REF!</v>
      </c>
      <c r="N2267" s="25" t="e">
        <f ca="1"/>
        <v>#REF!</v>
      </c>
      <c r="O2267" s="25" t="e">
        <f ca="1"/>
        <v>#REF!</v>
      </c>
      <c r="P2267" s="25" t="e">
        <f ca="1"/>
        <v>#REF!</v>
      </c>
      <c r="Q2267" s="25" t="e">
        <f ca="1"/>
        <v>#REF!</v>
      </c>
      <c r="R2267" s="25" t="e">
        <f ca="1"/>
        <v>#REF!</v>
      </c>
      <c r="S2267" s="25" t="e">
        <f ca="1"/>
        <v>#REF!</v>
      </c>
      <c r="T2267" s="25" t="e">
        <f ca="1"/>
        <v>#REF!</v>
      </c>
      <c r="U2267" s="25" t="e">
        <f ca="1"/>
        <v>#REF!</v>
      </c>
      <c r="V2267" s="25" t="e">
        <f ca="1"/>
        <v>#REF!</v>
      </c>
      <c r="W2267" s="33" t="e">
        <f ca="1"/>
        <v>#REF!</v>
      </c>
      <c r="X2267" s="33" t="e">
        <f ca="1"/>
        <v>#REF!</v>
      </c>
      <c r="Y2267" s="33" t="e">
        <f ca="1"/>
        <v>#REF!</v>
      </c>
      <c r="Z2267" s="33" t="e">
        <f ca="1"/>
        <v>#REF!</v>
      </c>
      <c r="AA2267" s="33" t="e">
        <f ca="1"/>
        <v>#REF!</v>
      </c>
    </row>
    <row r="2268" spans="1:27" s="70" customFormat="1" ht="11.25" x14ac:dyDescent="0.2">
      <c r="A2268" s="24">
        <v>2262</v>
      </c>
      <c r="B2268" s="27"/>
      <c r="C2268" s="28"/>
      <c r="D2268" s="71"/>
      <c r="E2268" s="28"/>
      <c r="F2268" s="25"/>
      <c r="G2268" s="27"/>
      <c r="H2268" s="28" t="e">
        <f ca="1"/>
        <v>#REF!</v>
      </c>
      <c r="I2268" s="27" t="e">
        <f ca="1"/>
        <v>#REF!</v>
      </c>
      <c r="J2268" s="28" t="e">
        <f ca="1"/>
        <v>#REF!</v>
      </c>
      <c r="K2268" s="27" t="e">
        <f ca="1"/>
        <v>#REF!</v>
      </c>
      <c r="L2268" s="25" t="e">
        <f ca="1"/>
        <v>#REF!</v>
      </c>
      <c r="M2268" s="25" t="e">
        <f ca="1"/>
        <v>#REF!</v>
      </c>
      <c r="N2268" s="25" t="e">
        <f ca="1"/>
        <v>#REF!</v>
      </c>
      <c r="O2268" s="25" t="e">
        <f ca="1"/>
        <v>#REF!</v>
      </c>
      <c r="P2268" s="25" t="e">
        <f ca="1"/>
        <v>#REF!</v>
      </c>
      <c r="Q2268" s="25" t="e">
        <f ca="1"/>
        <v>#REF!</v>
      </c>
      <c r="R2268" s="25" t="e">
        <f ca="1"/>
        <v>#REF!</v>
      </c>
      <c r="S2268" s="25" t="e">
        <f ca="1"/>
        <v>#REF!</v>
      </c>
      <c r="T2268" s="25" t="e">
        <f ca="1"/>
        <v>#REF!</v>
      </c>
      <c r="U2268" s="25" t="e">
        <f ca="1"/>
        <v>#REF!</v>
      </c>
      <c r="V2268" s="25" t="e">
        <f ca="1"/>
        <v>#REF!</v>
      </c>
      <c r="W2268" s="33" t="e">
        <f ca="1"/>
        <v>#REF!</v>
      </c>
      <c r="X2268" s="33" t="e">
        <f ca="1"/>
        <v>#REF!</v>
      </c>
      <c r="Y2268" s="33" t="e">
        <f ca="1"/>
        <v>#REF!</v>
      </c>
      <c r="Z2268" s="33" t="e">
        <f ca="1"/>
        <v>#REF!</v>
      </c>
      <c r="AA2268" s="33" t="e">
        <f ca="1"/>
        <v>#REF!</v>
      </c>
    </row>
    <row r="2269" spans="1:27" s="70" customFormat="1" ht="11.25" x14ac:dyDescent="0.2">
      <c r="A2269" s="24">
        <v>2263</v>
      </c>
      <c r="B2269" s="27"/>
      <c r="C2269" s="28"/>
      <c r="D2269" s="71"/>
      <c r="E2269" s="28"/>
      <c r="F2269" s="25"/>
      <c r="G2269" s="27"/>
      <c r="H2269" s="28" t="e">
        <f ca="1"/>
        <v>#REF!</v>
      </c>
      <c r="I2269" s="27" t="e">
        <f ca="1"/>
        <v>#REF!</v>
      </c>
      <c r="J2269" s="28" t="e">
        <f ca="1"/>
        <v>#REF!</v>
      </c>
      <c r="K2269" s="27" t="e">
        <f ca="1"/>
        <v>#REF!</v>
      </c>
      <c r="L2269" s="25" t="e">
        <f ca="1"/>
        <v>#REF!</v>
      </c>
      <c r="M2269" s="25" t="e">
        <f ca="1"/>
        <v>#REF!</v>
      </c>
      <c r="N2269" s="25" t="e">
        <f ca="1"/>
        <v>#REF!</v>
      </c>
      <c r="O2269" s="25" t="e">
        <f ca="1"/>
        <v>#REF!</v>
      </c>
      <c r="P2269" s="25" t="e">
        <f ca="1"/>
        <v>#REF!</v>
      </c>
      <c r="Q2269" s="25" t="e">
        <f ca="1"/>
        <v>#REF!</v>
      </c>
      <c r="R2269" s="25" t="e">
        <f ca="1"/>
        <v>#REF!</v>
      </c>
      <c r="S2269" s="25" t="e">
        <f ca="1"/>
        <v>#REF!</v>
      </c>
      <c r="T2269" s="25" t="e">
        <f ca="1"/>
        <v>#REF!</v>
      </c>
      <c r="U2269" s="25" t="e">
        <f ca="1"/>
        <v>#REF!</v>
      </c>
      <c r="V2269" s="25" t="e">
        <f ca="1"/>
        <v>#REF!</v>
      </c>
      <c r="W2269" s="33" t="e">
        <f ca="1"/>
        <v>#REF!</v>
      </c>
      <c r="X2269" s="33" t="e">
        <f ca="1"/>
        <v>#REF!</v>
      </c>
      <c r="Y2269" s="33" t="e">
        <f ca="1"/>
        <v>#REF!</v>
      </c>
      <c r="Z2269" s="33" t="e">
        <f ca="1"/>
        <v>#REF!</v>
      </c>
      <c r="AA2269" s="33" t="e">
        <f ca="1"/>
        <v>#REF!</v>
      </c>
    </row>
    <row r="2270" spans="1:27" s="70" customFormat="1" ht="11.25" x14ac:dyDescent="0.2">
      <c r="A2270" s="24">
        <v>2264</v>
      </c>
      <c r="B2270" s="27"/>
      <c r="C2270" s="28"/>
      <c r="D2270" s="71"/>
      <c r="E2270" s="28"/>
      <c r="F2270" s="25"/>
      <c r="G2270" s="27"/>
      <c r="H2270" s="28" t="e">
        <f ca="1"/>
        <v>#REF!</v>
      </c>
      <c r="I2270" s="27" t="e">
        <f ca="1"/>
        <v>#REF!</v>
      </c>
      <c r="J2270" s="28" t="e">
        <f ca="1"/>
        <v>#REF!</v>
      </c>
      <c r="K2270" s="27" t="e">
        <f ca="1"/>
        <v>#REF!</v>
      </c>
      <c r="L2270" s="25" t="e">
        <f ca="1"/>
        <v>#REF!</v>
      </c>
      <c r="M2270" s="25" t="e">
        <f ca="1"/>
        <v>#REF!</v>
      </c>
      <c r="N2270" s="25" t="e">
        <f ca="1"/>
        <v>#REF!</v>
      </c>
      <c r="O2270" s="25" t="e">
        <f ca="1"/>
        <v>#REF!</v>
      </c>
      <c r="P2270" s="25" t="e">
        <f ca="1"/>
        <v>#REF!</v>
      </c>
      <c r="Q2270" s="25" t="e">
        <f ca="1"/>
        <v>#REF!</v>
      </c>
      <c r="R2270" s="25" t="e">
        <f ca="1"/>
        <v>#REF!</v>
      </c>
      <c r="S2270" s="25" t="e">
        <f ca="1"/>
        <v>#REF!</v>
      </c>
      <c r="T2270" s="25" t="e">
        <f ca="1"/>
        <v>#REF!</v>
      </c>
      <c r="U2270" s="25" t="e">
        <f ca="1"/>
        <v>#REF!</v>
      </c>
      <c r="V2270" s="25" t="e">
        <f ca="1"/>
        <v>#REF!</v>
      </c>
      <c r="W2270" s="33" t="e">
        <f ca="1"/>
        <v>#REF!</v>
      </c>
      <c r="X2270" s="33" t="e">
        <f ca="1"/>
        <v>#REF!</v>
      </c>
      <c r="Y2270" s="33" t="e">
        <f ca="1"/>
        <v>#REF!</v>
      </c>
      <c r="Z2270" s="33" t="e">
        <f ca="1"/>
        <v>#REF!</v>
      </c>
      <c r="AA2270" s="33" t="e">
        <f ca="1"/>
        <v>#REF!</v>
      </c>
    </row>
    <row r="2271" spans="1:27" s="70" customFormat="1" ht="11.25" x14ac:dyDescent="0.2">
      <c r="A2271" s="24">
        <v>2265</v>
      </c>
      <c r="B2271" s="27"/>
      <c r="C2271" s="28"/>
      <c r="D2271" s="71"/>
      <c r="E2271" s="28"/>
      <c r="F2271" s="25"/>
      <c r="G2271" s="27"/>
      <c r="H2271" s="28" t="e">
        <f ca="1"/>
        <v>#REF!</v>
      </c>
      <c r="I2271" s="27" t="e">
        <f ca="1"/>
        <v>#REF!</v>
      </c>
      <c r="J2271" s="28" t="e">
        <f ca="1"/>
        <v>#REF!</v>
      </c>
      <c r="K2271" s="27" t="e">
        <f ca="1"/>
        <v>#REF!</v>
      </c>
      <c r="L2271" s="25" t="e">
        <f ca="1"/>
        <v>#REF!</v>
      </c>
      <c r="M2271" s="25" t="e">
        <f ca="1"/>
        <v>#REF!</v>
      </c>
      <c r="N2271" s="25" t="e">
        <f ca="1"/>
        <v>#REF!</v>
      </c>
      <c r="O2271" s="25" t="e">
        <f ca="1"/>
        <v>#REF!</v>
      </c>
      <c r="P2271" s="25" t="e">
        <f ca="1"/>
        <v>#REF!</v>
      </c>
      <c r="Q2271" s="25" t="e">
        <f ca="1"/>
        <v>#REF!</v>
      </c>
      <c r="R2271" s="25" t="e">
        <f ca="1"/>
        <v>#REF!</v>
      </c>
      <c r="S2271" s="25" t="e">
        <f ca="1"/>
        <v>#REF!</v>
      </c>
      <c r="T2271" s="25" t="e">
        <f ca="1"/>
        <v>#REF!</v>
      </c>
      <c r="U2271" s="25" t="e">
        <f ca="1"/>
        <v>#REF!</v>
      </c>
      <c r="V2271" s="25" t="e">
        <f ca="1"/>
        <v>#REF!</v>
      </c>
      <c r="W2271" s="33" t="e">
        <f ca="1"/>
        <v>#REF!</v>
      </c>
      <c r="X2271" s="33" t="e">
        <f ca="1"/>
        <v>#REF!</v>
      </c>
      <c r="Y2271" s="33" t="e">
        <f ca="1"/>
        <v>#REF!</v>
      </c>
      <c r="Z2271" s="33" t="e">
        <f ca="1"/>
        <v>#REF!</v>
      </c>
      <c r="AA2271" s="33" t="e">
        <f ca="1"/>
        <v>#REF!</v>
      </c>
    </row>
    <row r="2272" spans="1:27" s="70" customFormat="1" ht="11.25" x14ac:dyDescent="0.2">
      <c r="A2272" s="24">
        <v>2266</v>
      </c>
      <c r="B2272" s="27"/>
      <c r="C2272" s="28"/>
      <c r="D2272" s="71"/>
      <c r="E2272" s="28"/>
      <c r="F2272" s="25"/>
      <c r="G2272" s="27"/>
      <c r="H2272" s="28" t="e">
        <f ca="1"/>
        <v>#REF!</v>
      </c>
      <c r="I2272" s="27" t="e">
        <f ca="1"/>
        <v>#REF!</v>
      </c>
      <c r="J2272" s="28" t="e">
        <f ca="1"/>
        <v>#REF!</v>
      </c>
      <c r="K2272" s="27" t="e">
        <f ca="1"/>
        <v>#REF!</v>
      </c>
      <c r="L2272" s="25" t="e">
        <f ca="1"/>
        <v>#REF!</v>
      </c>
      <c r="M2272" s="25" t="e">
        <f ca="1"/>
        <v>#REF!</v>
      </c>
      <c r="N2272" s="25" t="e">
        <f ca="1"/>
        <v>#REF!</v>
      </c>
      <c r="O2272" s="25" t="e">
        <f ca="1"/>
        <v>#REF!</v>
      </c>
      <c r="P2272" s="25" t="e">
        <f ca="1"/>
        <v>#REF!</v>
      </c>
      <c r="Q2272" s="25" t="e">
        <f ca="1"/>
        <v>#REF!</v>
      </c>
      <c r="R2272" s="25" t="e">
        <f ca="1"/>
        <v>#REF!</v>
      </c>
      <c r="S2272" s="25" t="e">
        <f ca="1"/>
        <v>#REF!</v>
      </c>
      <c r="T2272" s="25" t="e">
        <f ca="1"/>
        <v>#REF!</v>
      </c>
      <c r="U2272" s="25" t="e">
        <f ca="1"/>
        <v>#REF!</v>
      </c>
      <c r="V2272" s="25" t="e">
        <f ca="1"/>
        <v>#REF!</v>
      </c>
      <c r="W2272" s="33" t="e">
        <f ca="1"/>
        <v>#REF!</v>
      </c>
      <c r="X2272" s="33" t="e">
        <f ca="1"/>
        <v>#REF!</v>
      </c>
      <c r="Y2272" s="33" t="e">
        <f ca="1"/>
        <v>#REF!</v>
      </c>
      <c r="Z2272" s="33" t="e">
        <f ca="1"/>
        <v>#REF!</v>
      </c>
      <c r="AA2272" s="33" t="e">
        <f ca="1"/>
        <v>#REF!</v>
      </c>
    </row>
    <row r="2273" spans="1:27" s="70" customFormat="1" ht="11.25" x14ac:dyDescent="0.2">
      <c r="A2273" s="24">
        <v>2267</v>
      </c>
      <c r="B2273" s="27"/>
      <c r="C2273" s="28"/>
      <c r="D2273" s="71"/>
      <c r="E2273" s="28"/>
      <c r="F2273" s="25"/>
      <c r="G2273" s="27"/>
      <c r="H2273" s="28" t="e">
        <f ca="1"/>
        <v>#REF!</v>
      </c>
      <c r="I2273" s="27" t="e">
        <f ca="1"/>
        <v>#REF!</v>
      </c>
      <c r="J2273" s="28" t="e">
        <f ca="1"/>
        <v>#REF!</v>
      </c>
      <c r="K2273" s="27" t="e">
        <f ca="1"/>
        <v>#REF!</v>
      </c>
      <c r="L2273" s="25" t="e">
        <f ca="1"/>
        <v>#REF!</v>
      </c>
      <c r="M2273" s="25" t="e">
        <f ca="1"/>
        <v>#REF!</v>
      </c>
      <c r="N2273" s="25" t="e">
        <f ca="1"/>
        <v>#REF!</v>
      </c>
      <c r="O2273" s="25" t="e">
        <f ca="1"/>
        <v>#REF!</v>
      </c>
      <c r="P2273" s="25" t="e">
        <f ca="1"/>
        <v>#REF!</v>
      </c>
      <c r="Q2273" s="25" t="e">
        <f ca="1"/>
        <v>#REF!</v>
      </c>
      <c r="R2273" s="25" t="e">
        <f ca="1"/>
        <v>#REF!</v>
      </c>
      <c r="S2273" s="25" t="e">
        <f ca="1"/>
        <v>#REF!</v>
      </c>
      <c r="T2273" s="25" t="e">
        <f ca="1"/>
        <v>#REF!</v>
      </c>
      <c r="U2273" s="25" t="e">
        <f ca="1"/>
        <v>#REF!</v>
      </c>
      <c r="V2273" s="25" t="e">
        <f ca="1"/>
        <v>#REF!</v>
      </c>
      <c r="W2273" s="33" t="e">
        <f ca="1"/>
        <v>#REF!</v>
      </c>
      <c r="X2273" s="33" t="e">
        <f ca="1"/>
        <v>#REF!</v>
      </c>
      <c r="Y2273" s="33" t="e">
        <f ca="1"/>
        <v>#REF!</v>
      </c>
      <c r="Z2273" s="33" t="e">
        <f ca="1"/>
        <v>#REF!</v>
      </c>
      <c r="AA2273" s="33" t="e">
        <f ca="1"/>
        <v>#REF!</v>
      </c>
    </row>
    <row r="2274" spans="1:27" s="70" customFormat="1" ht="11.25" x14ac:dyDescent="0.2">
      <c r="A2274" s="24">
        <v>2268</v>
      </c>
      <c r="B2274" s="27"/>
      <c r="C2274" s="28"/>
      <c r="D2274" s="71"/>
      <c r="E2274" s="28"/>
      <c r="F2274" s="25"/>
      <c r="G2274" s="27"/>
      <c r="H2274" s="28" t="e">
        <f ca="1"/>
        <v>#REF!</v>
      </c>
      <c r="I2274" s="27" t="e">
        <f ca="1"/>
        <v>#REF!</v>
      </c>
      <c r="J2274" s="28" t="e">
        <f ca="1"/>
        <v>#REF!</v>
      </c>
      <c r="K2274" s="27" t="e">
        <f ca="1"/>
        <v>#REF!</v>
      </c>
      <c r="L2274" s="25" t="e">
        <f ca="1"/>
        <v>#REF!</v>
      </c>
      <c r="M2274" s="25" t="e">
        <f ca="1"/>
        <v>#REF!</v>
      </c>
      <c r="N2274" s="25" t="e">
        <f ca="1"/>
        <v>#REF!</v>
      </c>
      <c r="O2274" s="25" t="e">
        <f ca="1"/>
        <v>#REF!</v>
      </c>
      <c r="P2274" s="25" t="e">
        <f ca="1"/>
        <v>#REF!</v>
      </c>
      <c r="Q2274" s="25" t="e">
        <f ca="1"/>
        <v>#REF!</v>
      </c>
      <c r="R2274" s="25" t="e">
        <f ca="1"/>
        <v>#REF!</v>
      </c>
      <c r="S2274" s="25" t="e">
        <f ca="1"/>
        <v>#REF!</v>
      </c>
      <c r="T2274" s="25" t="e">
        <f ca="1"/>
        <v>#REF!</v>
      </c>
      <c r="U2274" s="25" t="e">
        <f ca="1"/>
        <v>#REF!</v>
      </c>
      <c r="V2274" s="25" t="e">
        <f ca="1"/>
        <v>#REF!</v>
      </c>
      <c r="W2274" s="33" t="e">
        <f ca="1"/>
        <v>#REF!</v>
      </c>
      <c r="X2274" s="33" t="e">
        <f ca="1"/>
        <v>#REF!</v>
      </c>
      <c r="Y2274" s="33" t="e">
        <f ca="1"/>
        <v>#REF!</v>
      </c>
      <c r="Z2274" s="33" t="e">
        <f ca="1"/>
        <v>#REF!</v>
      </c>
      <c r="AA2274" s="33" t="e">
        <f ca="1"/>
        <v>#REF!</v>
      </c>
    </row>
    <row r="2275" spans="1:27" s="70" customFormat="1" ht="11.25" x14ac:dyDescent="0.2">
      <c r="A2275" s="24">
        <v>2269</v>
      </c>
      <c r="B2275" s="27"/>
      <c r="C2275" s="28"/>
      <c r="D2275" s="71"/>
      <c r="E2275" s="28"/>
      <c r="F2275" s="25"/>
      <c r="G2275" s="27"/>
      <c r="H2275" s="28" t="e">
        <f ca="1"/>
        <v>#REF!</v>
      </c>
      <c r="I2275" s="27" t="e">
        <f ca="1"/>
        <v>#REF!</v>
      </c>
      <c r="J2275" s="28" t="e">
        <f ca="1"/>
        <v>#REF!</v>
      </c>
      <c r="K2275" s="27" t="e">
        <f ca="1"/>
        <v>#REF!</v>
      </c>
      <c r="L2275" s="25" t="e">
        <f ca="1"/>
        <v>#REF!</v>
      </c>
      <c r="M2275" s="25" t="e">
        <f ca="1"/>
        <v>#REF!</v>
      </c>
      <c r="N2275" s="25" t="e">
        <f ca="1"/>
        <v>#REF!</v>
      </c>
      <c r="O2275" s="25" t="e">
        <f ca="1"/>
        <v>#REF!</v>
      </c>
      <c r="P2275" s="25" t="e">
        <f ca="1"/>
        <v>#REF!</v>
      </c>
      <c r="Q2275" s="25" t="e">
        <f ca="1"/>
        <v>#REF!</v>
      </c>
      <c r="R2275" s="25" t="e">
        <f ca="1"/>
        <v>#REF!</v>
      </c>
      <c r="S2275" s="25" t="e">
        <f ca="1"/>
        <v>#REF!</v>
      </c>
      <c r="T2275" s="25" t="e">
        <f ca="1"/>
        <v>#REF!</v>
      </c>
      <c r="U2275" s="25" t="e">
        <f ca="1"/>
        <v>#REF!</v>
      </c>
      <c r="V2275" s="25" t="e">
        <f ca="1"/>
        <v>#REF!</v>
      </c>
      <c r="W2275" s="33" t="e">
        <f ca="1"/>
        <v>#REF!</v>
      </c>
      <c r="X2275" s="33" t="e">
        <f ca="1"/>
        <v>#REF!</v>
      </c>
      <c r="Y2275" s="33" t="e">
        <f ca="1"/>
        <v>#REF!</v>
      </c>
      <c r="Z2275" s="33" t="e">
        <f ca="1"/>
        <v>#REF!</v>
      </c>
      <c r="AA2275" s="33" t="e">
        <f ca="1"/>
        <v>#REF!</v>
      </c>
    </row>
    <row r="2276" spans="1:27" s="70" customFormat="1" ht="11.25" x14ac:dyDescent="0.2">
      <c r="A2276" s="24">
        <v>2270</v>
      </c>
      <c r="B2276" s="27"/>
      <c r="C2276" s="28"/>
      <c r="D2276" s="71"/>
      <c r="E2276" s="28"/>
      <c r="F2276" s="25"/>
      <c r="G2276" s="27"/>
      <c r="H2276" s="28" t="e">
        <f ca="1"/>
        <v>#REF!</v>
      </c>
      <c r="I2276" s="27" t="e">
        <f ca="1"/>
        <v>#REF!</v>
      </c>
      <c r="J2276" s="28" t="e">
        <f ca="1"/>
        <v>#REF!</v>
      </c>
      <c r="K2276" s="27" t="e">
        <f ca="1"/>
        <v>#REF!</v>
      </c>
      <c r="L2276" s="25" t="e">
        <f ca="1"/>
        <v>#REF!</v>
      </c>
      <c r="M2276" s="25" t="e">
        <f ca="1"/>
        <v>#REF!</v>
      </c>
      <c r="N2276" s="25" t="e">
        <f ca="1"/>
        <v>#REF!</v>
      </c>
      <c r="O2276" s="25" t="e">
        <f ca="1"/>
        <v>#REF!</v>
      </c>
      <c r="P2276" s="25" t="e">
        <f ca="1"/>
        <v>#REF!</v>
      </c>
      <c r="Q2276" s="25" t="e">
        <f ca="1"/>
        <v>#REF!</v>
      </c>
      <c r="R2276" s="25" t="e">
        <f ca="1"/>
        <v>#REF!</v>
      </c>
      <c r="S2276" s="25" t="e">
        <f ca="1"/>
        <v>#REF!</v>
      </c>
      <c r="T2276" s="25" t="e">
        <f ca="1"/>
        <v>#REF!</v>
      </c>
      <c r="U2276" s="25" t="e">
        <f ca="1"/>
        <v>#REF!</v>
      </c>
      <c r="V2276" s="25" t="e">
        <f ca="1"/>
        <v>#REF!</v>
      </c>
      <c r="W2276" s="33" t="e">
        <f ca="1"/>
        <v>#REF!</v>
      </c>
      <c r="X2276" s="33" t="e">
        <f ca="1"/>
        <v>#REF!</v>
      </c>
      <c r="Y2276" s="33" t="e">
        <f ca="1"/>
        <v>#REF!</v>
      </c>
      <c r="Z2276" s="33" t="e">
        <f ca="1"/>
        <v>#REF!</v>
      </c>
      <c r="AA2276" s="33" t="e">
        <f ca="1"/>
        <v>#REF!</v>
      </c>
    </row>
    <row r="2277" spans="1:27" s="70" customFormat="1" ht="11.25" x14ac:dyDescent="0.2">
      <c r="A2277" s="24">
        <v>2271</v>
      </c>
      <c r="B2277" s="27"/>
      <c r="C2277" s="28"/>
      <c r="D2277" s="71"/>
      <c r="E2277" s="28"/>
      <c r="F2277" s="25"/>
      <c r="G2277" s="27"/>
      <c r="H2277" s="28" t="e">
        <f ca="1"/>
        <v>#REF!</v>
      </c>
      <c r="I2277" s="27" t="e">
        <f ca="1"/>
        <v>#REF!</v>
      </c>
      <c r="J2277" s="28" t="e">
        <f ca="1"/>
        <v>#REF!</v>
      </c>
      <c r="K2277" s="27" t="e">
        <f ca="1"/>
        <v>#REF!</v>
      </c>
      <c r="L2277" s="25" t="e">
        <f ca="1"/>
        <v>#REF!</v>
      </c>
      <c r="M2277" s="25" t="e">
        <f ca="1"/>
        <v>#REF!</v>
      </c>
      <c r="N2277" s="25" t="e">
        <f ca="1"/>
        <v>#REF!</v>
      </c>
      <c r="O2277" s="25" t="e">
        <f ca="1"/>
        <v>#REF!</v>
      </c>
      <c r="P2277" s="25" t="e">
        <f ca="1"/>
        <v>#REF!</v>
      </c>
      <c r="Q2277" s="25" t="e">
        <f ca="1"/>
        <v>#REF!</v>
      </c>
      <c r="R2277" s="25" t="e">
        <f ca="1"/>
        <v>#REF!</v>
      </c>
      <c r="S2277" s="25" t="e">
        <f ca="1"/>
        <v>#REF!</v>
      </c>
      <c r="T2277" s="25" t="e">
        <f ca="1"/>
        <v>#REF!</v>
      </c>
      <c r="U2277" s="25" t="e">
        <f ca="1"/>
        <v>#REF!</v>
      </c>
      <c r="V2277" s="25" t="e">
        <f ca="1"/>
        <v>#REF!</v>
      </c>
      <c r="W2277" s="33" t="e">
        <f ca="1"/>
        <v>#REF!</v>
      </c>
      <c r="X2277" s="33" t="e">
        <f ca="1"/>
        <v>#REF!</v>
      </c>
      <c r="Y2277" s="33" t="e">
        <f ca="1"/>
        <v>#REF!</v>
      </c>
      <c r="Z2277" s="33" t="e">
        <f ca="1"/>
        <v>#REF!</v>
      </c>
      <c r="AA2277" s="33" t="e">
        <f ca="1"/>
        <v>#REF!</v>
      </c>
    </row>
    <row r="2278" spans="1:27" s="70" customFormat="1" ht="11.25" x14ac:dyDescent="0.2">
      <c r="A2278" s="24">
        <v>2272</v>
      </c>
      <c r="B2278" s="27"/>
      <c r="C2278" s="28"/>
      <c r="D2278" s="71"/>
      <c r="E2278" s="28"/>
      <c r="F2278" s="25"/>
      <c r="G2278" s="27"/>
      <c r="H2278" s="28" t="e">
        <f ca="1"/>
        <v>#REF!</v>
      </c>
      <c r="I2278" s="27" t="e">
        <f ca="1"/>
        <v>#REF!</v>
      </c>
      <c r="J2278" s="28" t="e">
        <f ca="1"/>
        <v>#REF!</v>
      </c>
      <c r="K2278" s="27" t="e">
        <f ca="1"/>
        <v>#REF!</v>
      </c>
      <c r="L2278" s="25" t="e">
        <f ca="1"/>
        <v>#REF!</v>
      </c>
      <c r="M2278" s="25" t="e">
        <f ca="1"/>
        <v>#REF!</v>
      </c>
      <c r="N2278" s="25" t="e">
        <f ca="1"/>
        <v>#REF!</v>
      </c>
      <c r="O2278" s="25" t="e">
        <f ca="1"/>
        <v>#REF!</v>
      </c>
      <c r="P2278" s="25" t="e">
        <f ca="1"/>
        <v>#REF!</v>
      </c>
      <c r="Q2278" s="25" t="e">
        <f ca="1"/>
        <v>#REF!</v>
      </c>
      <c r="R2278" s="25" t="e">
        <f ca="1"/>
        <v>#REF!</v>
      </c>
      <c r="S2278" s="25" t="e">
        <f ca="1"/>
        <v>#REF!</v>
      </c>
      <c r="T2278" s="25" t="e">
        <f ca="1"/>
        <v>#REF!</v>
      </c>
      <c r="U2278" s="25" t="e">
        <f ca="1"/>
        <v>#REF!</v>
      </c>
      <c r="V2278" s="25" t="e">
        <f ca="1"/>
        <v>#REF!</v>
      </c>
      <c r="W2278" s="33" t="e">
        <f ca="1"/>
        <v>#REF!</v>
      </c>
      <c r="X2278" s="33" t="e">
        <f ca="1"/>
        <v>#REF!</v>
      </c>
      <c r="Y2278" s="33" t="e">
        <f ca="1"/>
        <v>#REF!</v>
      </c>
      <c r="Z2278" s="33" t="e">
        <f ca="1"/>
        <v>#REF!</v>
      </c>
      <c r="AA2278" s="33" t="e">
        <f ca="1"/>
        <v>#REF!</v>
      </c>
    </row>
    <row r="2279" spans="1:27" s="70" customFormat="1" ht="11.25" x14ac:dyDescent="0.2">
      <c r="A2279" s="24">
        <v>2273</v>
      </c>
      <c r="B2279" s="27"/>
      <c r="C2279" s="28"/>
      <c r="D2279" s="71"/>
      <c r="E2279" s="28"/>
      <c r="F2279" s="25"/>
      <c r="G2279" s="27"/>
      <c r="H2279" s="28" t="e">
        <f ca="1"/>
        <v>#REF!</v>
      </c>
      <c r="I2279" s="27" t="e">
        <f ca="1"/>
        <v>#REF!</v>
      </c>
      <c r="J2279" s="28" t="e">
        <f ca="1"/>
        <v>#REF!</v>
      </c>
      <c r="K2279" s="27" t="e">
        <f ca="1"/>
        <v>#REF!</v>
      </c>
      <c r="L2279" s="25" t="e">
        <f ca="1"/>
        <v>#REF!</v>
      </c>
      <c r="M2279" s="25" t="e">
        <f ca="1"/>
        <v>#REF!</v>
      </c>
      <c r="N2279" s="25" t="e">
        <f ca="1"/>
        <v>#REF!</v>
      </c>
      <c r="O2279" s="25" t="e">
        <f ca="1"/>
        <v>#REF!</v>
      </c>
      <c r="P2279" s="25" t="e">
        <f ca="1"/>
        <v>#REF!</v>
      </c>
      <c r="Q2279" s="25" t="e">
        <f ca="1"/>
        <v>#REF!</v>
      </c>
      <c r="R2279" s="25" t="e">
        <f ca="1"/>
        <v>#REF!</v>
      </c>
      <c r="S2279" s="25" t="e">
        <f ca="1"/>
        <v>#REF!</v>
      </c>
      <c r="T2279" s="25" t="e">
        <f ca="1"/>
        <v>#REF!</v>
      </c>
      <c r="U2279" s="25" t="e">
        <f ca="1"/>
        <v>#REF!</v>
      </c>
      <c r="V2279" s="25" t="e">
        <f ca="1"/>
        <v>#REF!</v>
      </c>
      <c r="W2279" s="33" t="e">
        <f ca="1"/>
        <v>#REF!</v>
      </c>
      <c r="X2279" s="33" t="e">
        <f ca="1"/>
        <v>#REF!</v>
      </c>
      <c r="Y2279" s="33" t="e">
        <f ca="1"/>
        <v>#REF!</v>
      </c>
      <c r="Z2279" s="33" t="e">
        <f ca="1"/>
        <v>#REF!</v>
      </c>
      <c r="AA2279" s="33" t="e">
        <f ca="1"/>
        <v>#REF!</v>
      </c>
    </row>
    <row r="2280" spans="1:27" s="70" customFormat="1" ht="11.25" x14ac:dyDescent="0.2">
      <c r="A2280" s="24">
        <v>2274</v>
      </c>
      <c r="B2280" s="27"/>
      <c r="C2280" s="28"/>
      <c r="D2280" s="71"/>
      <c r="E2280" s="28"/>
      <c r="F2280" s="25"/>
      <c r="G2280" s="27"/>
      <c r="H2280" s="28" t="e">
        <f ca="1"/>
        <v>#REF!</v>
      </c>
      <c r="I2280" s="27" t="e">
        <f ca="1"/>
        <v>#REF!</v>
      </c>
      <c r="J2280" s="28" t="e">
        <f ca="1"/>
        <v>#REF!</v>
      </c>
      <c r="K2280" s="27" t="e">
        <f ca="1"/>
        <v>#REF!</v>
      </c>
      <c r="L2280" s="25" t="e">
        <f ca="1"/>
        <v>#REF!</v>
      </c>
      <c r="M2280" s="25" t="e">
        <f ca="1"/>
        <v>#REF!</v>
      </c>
      <c r="N2280" s="25" t="e">
        <f ca="1"/>
        <v>#REF!</v>
      </c>
      <c r="O2280" s="25" t="e">
        <f ca="1"/>
        <v>#REF!</v>
      </c>
      <c r="P2280" s="25" t="e">
        <f ca="1"/>
        <v>#REF!</v>
      </c>
      <c r="Q2280" s="25" t="e">
        <f ca="1"/>
        <v>#REF!</v>
      </c>
      <c r="R2280" s="25" t="e">
        <f ca="1"/>
        <v>#REF!</v>
      </c>
      <c r="S2280" s="25" t="e">
        <f ca="1"/>
        <v>#REF!</v>
      </c>
      <c r="T2280" s="25" t="e">
        <f ca="1"/>
        <v>#REF!</v>
      </c>
      <c r="U2280" s="25" t="e">
        <f ca="1"/>
        <v>#REF!</v>
      </c>
      <c r="V2280" s="25" t="e">
        <f ca="1"/>
        <v>#REF!</v>
      </c>
      <c r="W2280" s="33" t="e">
        <f ca="1"/>
        <v>#REF!</v>
      </c>
      <c r="X2280" s="33" t="e">
        <f ca="1"/>
        <v>#REF!</v>
      </c>
      <c r="Y2280" s="33" t="e">
        <f ca="1"/>
        <v>#REF!</v>
      </c>
      <c r="Z2280" s="33" t="e">
        <f ca="1"/>
        <v>#REF!</v>
      </c>
      <c r="AA2280" s="33" t="e">
        <f ca="1"/>
        <v>#REF!</v>
      </c>
    </row>
    <row r="2281" spans="1:27" s="70" customFormat="1" ht="11.25" x14ac:dyDescent="0.2">
      <c r="A2281" s="24">
        <v>2275</v>
      </c>
      <c r="B2281" s="27"/>
      <c r="C2281" s="28"/>
      <c r="D2281" s="71"/>
      <c r="E2281" s="28"/>
      <c r="F2281" s="25"/>
      <c r="G2281" s="27"/>
      <c r="H2281" s="28" t="e">
        <f ca="1"/>
        <v>#REF!</v>
      </c>
      <c r="I2281" s="27" t="e">
        <f ca="1"/>
        <v>#REF!</v>
      </c>
      <c r="J2281" s="28" t="e">
        <f ca="1"/>
        <v>#REF!</v>
      </c>
      <c r="K2281" s="27" t="e">
        <f ca="1"/>
        <v>#REF!</v>
      </c>
      <c r="L2281" s="25" t="e">
        <f ca="1"/>
        <v>#REF!</v>
      </c>
      <c r="M2281" s="25" t="e">
        <f ca="1"/>
        <v>#REF!</v>
      </c>
      <c r="N2281" s="25" t="e">
        <f ca="1"/>
        <v>#REF!</v>
      </c>
      <c r="O2281" s="25" t="e">
        <f ca="1"/>
        <v>#REF!</v>
      </c>
      <c r="P2281" s="25" t="e">
        <f ca="1"/>
        <v>#REF!</v>
      </c>
      <c r="Q2281" s="25" t="e">
        <f ca="1"/>
        <v>#REF!</v>
      </c>
      <c r="R2281" s="25" t="e">
        <f ca="1"/>
        <v>#REF!</v>
      </c>
      <c r="S2281" s="25" t="e">
        <f ca="1"/>
        <v>#REF!</v>
      </c>
      <c r="T2281" s="25" t="e">
        <f ca="1"/>
        <v>#REF!</v>
      </c>
      <c r="U2281" s="25" t="e">
        <f ca="1"/>
        <v>#REF!</v>
      </c>
      <c r="V2281" s="25" t="e">
        <f ca="1"/>
        <v>#REF!</v>
      </c>
      <c r="W2281" s="33" t="e">
        <f ca="1"/>
        <v>#REF!</v>
      </c>
      <c r="X2281" s="33" t="e">
        <f ca="1"/>
        <v>#REF!</v>
      </c>
      <c r="Y2281" s="33" t="e">
        <f ca="1"/>
        <v>#REF!</v>
      </c>
      <c r="Z2281" s="33" t="e">
        <f ca="1"/>
        <v>#REF!</v>
      </c>
      <c r="AA2281" s="33" t="e">
        <f ca="1"/>
        <v>#REF!</v>
      </c>
    </row>
    <row r="2282" spans="1:27" s="70" customFormat="1" ht="11.25" x14ac:dyDescent="0.2">
      <c r="A2282" s="24">
        <v>2276</v>
      </c>
      <c r="B2282" s="27"/>
      <c r="C2282" s="28"/>
      <c r="D2282" s="71"/>
      <c r="E2282" s="28"/>
      <c r="F2282" s="25"/>
      <c r="G2282" s="27"/>
      <c r="H2282" s="28" t="e">
        <f ca="1"/>
        <v>#REF!</v>
      </c>
      <c r="I2282" s="27" t="e">
        <f ca="1"/>
        <v>#REF!</v>
      </c>
      <c r="J2282" s="28" t="e">
        <f ca="1"/>
        <v>#REF!</v>
      </c>
      <c r="K2282" s="27" t="e">
        <f ca="1"/>
        <v>#REF!</v>
      </c>
      <c r="L2282" s="25" t="e">
        <f ca="1"/>
        <v>#REF!</v>
      </c>
      <c r="M2282" s="25" t="e">
        <f ca="1"/>
        <v>#REF!</v>
      </c>
      <c r="N2282" s="25" t="e">
        <f ca="1"/>
        <v>#REF!</v>
      </c>
      <c r="O2282" s="25" t="e">
        <f ca="1"/>
        <v>#REF!</v>
      </c>
      <c r="P2282" s="25" t="e">
        <f ca="1"/>
        <v>#REF!</v>
      </c>
      <c r="Q2282" s="25" t="e">
        <f ca="1"/>
        <v>#REF!</v>
      </c>
      <c r="R2282" s="25" t="e">
        <f ca="1"/>
        <v>#REF!</v>
      </c>
      <c r="S2282" s="25" t="e">
        <f ca="1"/>
        <v>#REF!</v>
      </c>
      <c r="T2282" s="25" t="e">
        <f ca="1"/>
        <v>#REF!</v>
      </c>
      <c r="U2282" s="25" t="e">
        <f ca="1"/>
        <v>#REF!</v>
      </c>
      <c r="V2282" s="25" t="e">
        <f ca="1"/>
        <v>#REF!</v>
      </c>
      <c r="W2282" s="33" t="e">
        <f ca="1"/>
        <v>#REF!</v>
      </c>
      <c r="X2282" s="33" t="e">
        <f ca="1"/>
        <v>#REF!</v>
      </c>
      <c r="Y2282" s="33" t="e">
        <f ca="1"/>
        <v>#REF!</v>
      </c>
      <c r="Z2282" s="33" t="e">
        <f ca="1"/>
        <v>#REF!</v>
      </c>
      <c r="AA2282" s="33" t="e">
        <f ca="1"/>
        <v>#REF!</v>
      </c>
    </row>
    <row r="2283" spans="1:27" s="70" customFormat="1" ht="11.25" x14ac:dyDescent="0.2">
      <c r="A2283" s="24">
        <v>2277</v>
      </c>
      <c r="B2283" s="27"/>
      <c r="C2283" s="28"/>
      <c r="D2283" s="71"/>
      <c r="E2283" s="28"/>
      <c r="F2283" s="25"/>
      <c r="G2283" s="27"/>
      <c r="H2283" s="28" t="e">
        <f ca="1"/>
        <v>#REF!</v>
      </c>
      <c r="I2283" s="27" t="e">
        <f ca="1"/>
        <v>#REF!</v>
      </c>
      <c r="J2283" s="28" t="e">
        <f ca="1"/>
        <v>#REF!</v>
      </c>
      <c r="K2283" s="27" t="e">
        <f ca="1"/>
        <v>#REF!</v>
      </c>
      <c r="L2283" s="25" t="e">
        <f ca="1"/>
        <v>#REF!</v>
      </c>
      <c r="M2283" s="25" t="e">
        <f ca="1"/>
        <v>#REF!</v>
      </c>
      <c r="N2283" s="25" t="e">
        <f ca="1"/>
        <v>#REF!</v>
      </c>
      <c r="O2283" s="25" t="e">
        <f ca="1"/>
        <v>#REF!</v>
      </c>
      <c r="P2283" s="25" t="e">
        <f ca="1"/>
        <v>#REF!</v>
      </c>
      <c r="Q2283" s="25" t="e">
        <f ca="1"/>
        <v>#REF!</v>
      </c>
      <c r="R2283" s="25" t="e">
        <f ca="1"/>
        <v>#REF!</v>
      </c>
      <c r="S2283" s="25" t="e">
        <f ca="1"/>
        <v>#REF!</v>
      </c>
      <c r="T2283" s="25" t="e">
        <f ca="1"/>
        <v>#REF!</v>
      </c>
      <c r="U2283" s="25" t="e">
        <f ca="1"/>
        <v>#REF!</v>
      </c>
      <c r="V2283" s="25" t="e">
        <f ca="1"/>
        <v>#REF!</v>
      </c>
      <c r="W2283" s="33" t="e">
        <f ca="1"/>
        <v>#REF!</v>
      </c>
      <c r="X2283" s="33" t="e">
        <f ca="1"/>
        <v>#REF!</v>
      </c>
      <c r="Y2283" s="33" t="e">
        <f ca="1"/>
        <v>#REF!</v>
      </c>
      <c r="Z2283" s="33" t="e">
        <f ca="1"/>
        <v>#REF!</v>
      </c>
      <c r="AA2283" s="33" t="e">
        <f ca="1"/>
        <v>#REF!</v>
      </c>
    </row>
    <row r="2284" spans="1:27" s="70" customFormat="1" ht="11.25" x14ac:dyDescent="0.2">
      <c r="A2284" s="24">
        <v>2278</v>
      </c>
      <c r="B2284" s="27"/>
      <c r="C2284" s="28"/>
      <c r="D2284" s="71"/>
      <c r="E2284" s="28"/>
      <c r="F2284" s="25"/>
      <c r="G2284" s="27"/>
      <c r="H2284" s="28" t="e">
        <f ca="1"/>
        <v>#REF!</v>
      </c>
      <c r="I2284" s="27" t="e">
        <f ca="1"/>
        <v>#REF!</v>
      </c>
      <c r="J2284" s="28" t="e">
        <f ca="1"/>
        <v>#REF!</v>
      </c>
      <c r="K2284" s="27" t="e">
        <f ca="1"/>
        <v>#REF!</v>
      </c>
      <c r="L2284" s="25" t="e">
        <f ca="1"/>
        <v>#REF!</v>
      </c>
      <c r="M2284" s="25" t="e">
        <f ca="1"/>
        <v>#REF!</v>
      </c>
      <c r="N2284" s="25" t="e">
        <f ca="1"/>
        <v>#REF!</v>
      </c>
      <c r="O2284" s="25" t="e">
        <f ca="1"/>
        <v>#REF!</v>
      </c>
      <c r="P2284" s="25" t="e">
        <f ca="1"/>
        <v>#REF!</v>
      </c>
      <c r="Q2284" s="25" t="e">
        <f ca="1"/>
        <v>#REF!</v>
      </c>
      <c r="R2284" s="25" t="e">
        <f ca="1"/>
        <v>#REF!</v>
      </c>
      <c r="S2284" s="25" t="e">
        <f ca="1"/>
        <v>#REF!</v>
      </c>
      <c r="T2284" s="25" t="e">
        <f ca="1"/>
        <v>#REF!</v>
      </c>
      <c r="U2284" s="25" t="e">
        <f ca="1"/>
        <v>#REF!</v>
      </c>
      <c r="V2284" s="25" t="e">
        <f ca="1"/>
        <v>#REF!</v>
      </c>
      <c r="W2284" s="33" t="e">
        <f ca="1"/>
        <v>#REF!</v>
      </c>
      <c r="X2284" s="33" t="e">
        <f ca="1"/>
        <v>#REF!</v>
      </c>
      <c r="Y2284" s="33" t="e">
        <f ca="1"/>
        <v>#REF!</v>
      </c>
      <c r="Z2284" s="33" t="e">
        <f ca="1"/>
        <v>#REF!</v>
      </c>
      <c r="AA2284" s="33" t="e">
        <f ca="1"/>
        <v>#REF!</v>
      </c>
    </row>
    <row r="2285" spans="1:27" s="70" customFormat="1" ht="11.25" x14ac:dyDescent="0.2">
      <c r="A2285" s="24">
        <v>2279</v>
      </c>
      <c r="B2285" s="27"/>
      <c r="C2285" s="28"/>
      <c r="D2285" s="71"/>
      <c r="E2285" s="28"/>
      <c r="F2285" s="25"/>
      <c r="G2285" s="27"/>
      <c r="H2285" s="28" t="e">
        <f ca="1"/>
        <v>#REF!</v>
      </c>
      <c r="I2285" s="27" t="e">
        <f ca="1"/>
        <v>#REF!</v>
      </c>
      <c r="J2285" s="28" t="e">
        <f ca="1"/>
        <v>#REF!</v>
      </c>
      <c r="K2285" s="27" t="e">
        <f ca="1"/>
        <v>#REF!</v>
      </c>
      <c r="L2285" s="25" t="e">
        <f ca="1"/>
        <v>#REF!</v>
      </c>
      <c r="M2285" s="25" t="e">
        <f ca="1"/>
        <v>#REF!</v>
      </c>
      <c r="N2285" s="25" t="e">
        <f ca="1"/>
        <v>#REF!</v>
      </c>
      <c r="O2285" s="25" t="e">
        <f ca="1"/>
        <v>#REF!</v>
      </c>
      <c r="P2285" s="25" t="e">
        <f ca="1"/>
        <v>#REF!</v>
      </c>
      <c r="Q2285" s="25" t="e">
        <f ca="1"/>
        <v>#REF!</v>
      </c>
      <c r="R2285" s="25" t="e">
        <f ca="1"/>
        <v>#REF!</v>
      </c>
      <c r="S2285" s="25" t="e">
        <f ca="1"/>
        <v>#REF!</v>
      </c>
      <c r="T2285" s="25" t="e">
        <f ca="1"/>
        <v>#REF!</v>
      </c>
      <c r="U2285" s="25" t="e">
        <f ca="1"/>
        <v>#REF!</v>
      </c>
      <c r="V2285" s="25" t="e">
        <f ca="1"/>
        <v>#REF!</v>
      </c>
      <c r="W2285" s="33" t="e">
        <f ca="1"/>
        <v>#REF!</v>
      </c>
      <c r="X2285" s="33" t="e">
        <f ca="1"/>
        <v>#REF!</v>
      </c>
      <c r="Y2285" s="33" t="e">
        <f ca="1"/>
        <v>#REF!</v>
      </c>
      <c r="Z2285" s="33" t="e">
        <f ca="1"/>
        <v>#REF!</v>
      </c>
      <c r="AA2285" s="33" t="e">
        <f ca="1"/>
        <v>#REF!</v>
      </c>
    </row>
    <row r="2286" spans="1:27" s="70" customFormat="1" ht="11.25" x14ac:dyDescent="0.2">
      <c r="A2286" s="24">
        <v>2280</v>
      </c>
      <c r="B2286" s="27"/>
      <c r="C2286" s="28"/>
      <c r="D2286" s="71"/>
      <c r="E2286" s="28"/>
      <c r="F2286" s="25"/>
      <c r="G2286" s="27"/>
      <c r="H2286" s="28" t="e">
        <f ca="1"/>
        <v>#REF!</v>
      </c>
      <c r="I2286" s="27" t="e">
        <f ca="1"/>
        <v>#REF!</v>
      </c>
      <c r="J2286" s="28" t="e">
        <f ca="1"/>
        <v>#REF!</v>
      </c>
      <c r="K2286" s="27" t="e">
        <f ca="1"/>
        <v>#REF!</v>
      </c>
      <c r="L2286" s="25" t="e">
        <f ca="1"/>
        <v>#REF!</v>
      </c>
      <c r="M2286" s="25" t="e">
        <f ca="1"/>
        <v>#REF!</v>
      </c>
      <c r="N2286" s="25" t="e">
        <f ca="1"/>
        <v>#REF!</v>
      </c>
      <c r="O2286" s="25" t="e">
        <f ca="1"/>
        <v>#REF!</v>
      </c>
      <c r="P2286" s="25" t="e">
        <f ca="1"/>
        <v>#REF!</v>
      </c>
      <c r="Q2286" s="25" t="e">
        <f ca="1"/>
        <v>#REF!</v>
      </c>
      <c r="R2286" s="25" t="e">
        <f ca="1"/>
        <v>#REF!</v>
      </c>
      <c r="S2286" s="25" t="e">
        <f ca="1"/>
        <v>#REF!</v>
      </c>
      <c r="T2286" s="25" t="e">
        <f ca="1"/>
        <v>#REF!</v>
      </c>
      <c r="U2286" s="25" t="e">
        <f ca="1"/>
        <v>#REF!</v>
      </c>
      <c r="V2286" s="25" t="e">
        <f ca="1"/>
        <v>#REF!</v>
      </c>
      <c r="W2286" s="33" t="e">
        <f ca="1"/>
        <v>#REF!</v>
      </c>
      <c r="X2286" s="33" t="e">
        <f ca="1"/>
        <v>#REF!</v>
      </c>
      <c r="Y2286" s="33" t="e">
        <f ca="1"/>
        <v>#REF!</v>
      </c>
      <c r="Z2286" s="33" t="e">
        <f ca="1"/>
        <v>#REF!</v>
      </c>
      <c r="AA2286" s="33" t="e">
        <f ca="1"/>
        <v>#REF!</v>
      </c>
    </row>
    <row r="2287" spans="1:27" s="70" customFormat="1" ht="11.25" x14ac:dyDescent="0.2">
      <c r="A2287" s="24">
        <v>2281</v>
      </c>
      <c r="B2287" s="27"/>
      <c r="C2287" s="28"/>
      <c r="D2287" s="71"/>
      <c r="E2287" s="28"/>
      <c r="F2287" s="25"/>
      <c r="G2287" s="27"/>
      <c r="H2287" s="28" t="e">
        <f ca="1"/>
        <v>#REF!</v>
      </c>
      <c r="I2287" s="27" t="e">
        <f ca="1"/>
        <v>#REF!</v>
      </c>
      <c r="J2287" s="28" t="e">
        <f ca="1"/>
        <v>#REF!</v>
      </c>
      <c r="K2287" s="27" t="e">
        <f ca="1"/>
        <v>#REF!</v>
      </c>
      <c r="L2287" s="25" t="e">
        <f ca="1"/>
        <v>#REF!</v>
      </c>
      <c r="M2287" s="25" t="e">
        <f ca="1"/>
        <v>#REF!</v>
      </c>
      <c r="N2287" s="25" t="e">
        <f ca="1"/>
        <v>#REF!</v>
      </c>
      <c r="O2287" s="25" t="e">
        <f ca="1"/>
        <v>#REF!</v>
      </c>
      <c r="P2287" s="25" t="e">
        <f ca="1"/>
        <v>#REF!</v>
      </c>
      <c r="Q2287" s="25" t="e">
        <f ca="1"/>
        <v>#REF!</v>
      </c>
      <c r="R2287" s="25" t="e">
        <f ca="1"/>
        <v>#REF!</v>
      </c>
      <c r="S2287" s="25" t="e">
        <f ca="1"/>
        <v>#REF!</v>
      </c>
      <c r="T2287" s="25" t="e">
        <f ca="1"/>
        <v>#REF!</v>
      </c>
      <c r="U2287" s="25" t="e">
        <f ca="1"/>
        <v>#REF!</v>
      </c>
      <c r="V2287" s="25" t="e">
        <f ca="1"/>
        <v>#REF!</v>
      </c>
      <c r="W2287" s="33" t="e">
        <f ca="1"/>
        <v>#REF!</v>
      </c>
      <c r="X2287" s="33" t="e">
        <f ca="1"/>
        <v>#REF!</v>
      </c>
      <c r="Y2287" s="33" t="e">
        <f ca="1"/>
        <v>#REF!</v>
      </c>
      <c r="Z2287" s="33" t="e">
        <f ca="1"/>
        <v>#REF!</v>
      </c>
      <c r="AA2287" s="33" t="e">
        <f ca="1"/>
        <v>#REF!</v>
      </c>
    </row>
    <row r="2288" spans="1:27" s="70" customFormat="1" ht="11.25" x14ac:dyDescent="0.2">
      <c r="A2288" s="24">
        <v>2282</v>
      </c>
      <c r="B2288" s="27"/>
      <c r="C2288" s="28"/>
      <c r="D2288" s="71"/>
      <c r="E2288" s="28"/>
      <c r="F2288" s="25"/>
      <c r="G2288" s="27"/>
      <c r="H2288" s="28" t="e">
        <f ca="1"/>
        <v>#REF!</v>
      </c>
      <c r="I2288" s="27" t="e">
        <f ca="1"/>
        <v>#REF!</v>
      </c>
      <c r="J2288" s="28" t="e">
        <f ca="1"/>
        <v>#REF!</v>
      </c>
      <c r="K2288" s="27" t="e">
        <f ca="1"/>
        <v>#REF!</v>
      </c>
      <c r="L2288" s="25" t="e">
        <f ca="1"/>
        <v>#REF!</v>
      </c>
      <c r="M2288" s="25" t="e">
        <f ca="1"/>
        <v>#REF!</v>
      </c>
      <c r="N2288" s="25" t="e">
        <f ca="1"/>
        <v>#REF!</v>
      </c>
      <c r="O2288" s="25" t="e">
        <f ca="1"/>
        <v>#REF!</v>
      </c>
      <c r="P2288" s="25" t="e">
        <f ca="1"/>
        <v>#REF!</v>
      </c>
      <c r="Q2288" s="25" t="e">
        <f ca="1"/>
        <v>#REF!</v>
      </c>
      <c r="R2288" s="25" t="e">
        <f ca="1"/>
        <v>#REF!</v>
      </c>
      <c r="S2288" s="25" t="e">
        <f ca="1"/>
        <v>#REF!</v>
      </c>
      <c r="T2288" s="25" t="e">
        <f ca="1"/>
        <v>#REF!</v>
      </c>
      <c r="U2288" s="25" t="e">
        <f ca="1"/>
        <v>#REF!</v>
      </c>
      <c r="V2288" s="25" t="e">
        <f ca="1"/>
        <v>#REF!</v>
      </c>
      <c r="W2288" s="33" t="e">
        <f ca="1"/>
        <v>#REF!</v>
      </c>
      <c r="X2288" s="33" t="e">
        <f ca="1"/>
        <v>#REF!</v>
      </c>
      <c r="Y2288" s="33" t="e">
        <f ca="1"/>
        <v>#REF!</v>
      </c>
      <c r="Z2288" s="33" t="e">
        <f ca="1"/>
        <v>#REF!</v>
      </c>
      <c r="AA2288" s="33" t="e">
        <f ca="1"/>
        <v>#REF!</v>
      </c>
    </row>
    <row r="2289" spans="1:27" s="70" customFormat="1" ht="11.25" x14ac:dyDescent="0.2">
      <c r="A2289" s="24">
        <v>2283</v>
      </c>
      <c r="B2289" s="27"/>
      <c r="C2289" s="28"/>
      <c r="D2289" s="71"/>
      <c r="E2289" s="28"/>
      <c r="F2289" s="25"/>
      <c r="G2289" s="27"/>
      <c r="H2289" s="28" t="e">
        <f ca="1"/>
        <v>#REF!</v>
      </c>
      <c r="I2289" s="27" t="e">
        <f ca="1"/>
        <v>#REF!</v>
      </c>
      <c r="J2289" s="28" t="e">
        <f ca="1"/>
        <v>#REF!</v>
      </c>
      <c r="K2289" s="27" t="e">
        <f ca="1"/>
        <v>#REF!</v>
      </c>
      <c r="L2289" s="25" t="e">
        <f ca="1"/>
        <v>#REF!</v>
      </c>
      <c r="M2289" s="25" t="e">
        <f ca="1"/>
        <v>#REF!</v>
      </c>
      <c r="N2289" s="25" t="e">
        <f ca="1"/>
        <v>#REF!</v>
      </c>
      <c r="O2289" s="25" t="e">
        <f ca="1"/>
        <v>#REF!</v>
      </c>
      <c r="P2289" s="25" t="e">
        <f ca="1"/>
        <v>#REF!</v>
      </c>
      <c r="Q2289" s="25" t="e">
        <f ca="1"/>
        <v>#REF!</v>
      </c>
      <c r="R2289" s="25" t="e">
        <f ca="1"/>
        <v>#REF!</v>
      </c>
      <c r="S2289" s="25" t="e">
        <f ca="1"/>
        <v>#REF!</v>
      </c>
      <c r="T2289" s="25" t="e">
        <f ca="1"/>
        <v>#REF!</v>
      </c>
      <c r="U2289" s="25" t="e">
        <f ca="1"/>
        <v>#REF!</v>
      </c>
      <c r="V2289" s="25" t="e">
        <f ca="1"/>
        <v>#REF!</v>
      </c>
      <c r="W2289" s="33" t="e">
        <f ca="1"/>
        <v>#REF!</v>
      </c>
      <c r="X2289" s="33" t="e">
        <f ca="1"/>
        <v>#REF!</v>
      </c>
      <c r="Y2289" s="33" t="e">
        <f ca="1"/>
        <v>#REF!</v>
      </c>
      <c r="Z2289" s="33" t="e">
        <f ca="1"/>
        <v>#REF!</v>
      </c>
      <c r="AA2289" s="33" t="e">
        <f ca="1"/>
        <v>#REF!</v>
      </c>
    </row>
    <row r="2290" spans="1:27" s="70" customFormat="1" ht="11.25" x14ac:dyDescent="0.2">
      <c r="A2290" s="24">
        <v>2284</v>
      </c>
      <c r="B2290" s="27"/>
      <c r="C2290" s="28"/>
      <c r="D2290" s="71"/>
      <c r="E2290" s="28"/>
      <c r="F2290" s="25"/>
      <c r="G2290" s="27"/>
      <c r="H2290" s="28" t="e">
        <f ca="1"/>
        <v>#REF!</v>
      </c>
      <c r="I2290" s="27" t="e">
        <f ca="1"/>
        <v>#REF!</v>
      </c>
      <c r="J2290" s="28" t="e">
        <f ca="1"/>
        <v>#REF!</v>
      </c>
      <c r="K2290" s="27" t="e">
        <f ca="1"/>
        <v>#REF!</v>
      </c>
      <c r="L2290" s="25" t="e">
        <f ca="1"/>
        <v>#REF!</v>
      </c>
      <c r="M2290" s="25" t="e">
        <f ca="1"/>
        <v>#REF!</v>
      </c>
      <c r="N2290" s="25" t="e">
        <f ca="1"/>
        <v>#REF!</v>
      </c>
      <c r="O2290" s="25" t="e">
        <f ca="1"/>
        <v>#REF!</v>
      </c>
      <c r="P2290" s="25" t="e">
        <f ca="1"/>
        <v>#REF!</v>
      </c>
      <c r="Q2290" s="25" t="e">
        <f ca="1"/>
        <v>#REF!</v>
      </c>
      <c r="R2290" s="25" t="e">
        <f ca="1"/>
        <v>#REF!</v>
      </c>
      <c r="S2290" s="25" t="e">
        <f ca="1"/>
        <v>#REF!</v>
      </c>
      <c r="T2290" s="25" t="e">
        <f ca="1"/>
        <v>#REF!</v>
      </c>
      <c r="U2290" s="25" t="e">
        <f ca="1"/>
        <v>#REF!</v>
      </c>
      <c r="V2290" s="25" t="e">
        <f ca="1"/>
        <v>#REF!</v>
      </c>
      <c r="W2290" s="33" t="e">
        <f ca="1"/>
        <v>#REF!</v>
      </c>
      <c r="X2290" s="33" t="e">
        <f ca="1"/>
        <v>#REF!</v>
      </c>
      <c r="Y2290" s="33" t="e">
        <f ca="1"/>
        <v>#REF!</v>
      </c>
      <c r="Z2290" s="33" t="e">
        <f ca="1"/>
        <v>#REF!</v>
      </c>
      <c r="AA2290" s="33" t="e">
        <f ca="1"/>
        <v>#REF!</v>
      </c>
    </row>
    <row r="2291" spans="1:27" s="70" customFormat="1" ht="11.25" x14ac:dyDescent="0.2">
      <c r="A2291" s="24">
        <v>2285</v>
      </c>
      <c r="B2291" s="27"/>
      <c r="C2291" s="28"/>
      <c r="D2291" s="71"/>
      <c r="E2291" s="28"/>
      <c r="F2291" s="25"/>
      <c r="G2291" s="27"/>
      <c r="H2291" s="28" t="e">
        <f ca="1"/>
        <v>#REF!</v>
      </c>
      <c r="I2291" s="27" t="e">
        <f ca="1"/>
        <v>#REF!</v>
      </c>
      <c r="J2291" s="28" t="e">
        <f ca="1"/>
        <v>#REF!</v>
      </c>
      <c r="K2291" s="27" t="e">
        <f ca="1"/>
        <v>#REF!</v>
      </c>
      <c r="L2291" s="25" t="e">
        <f ca="1"/>
        <v>#REF!</v>
      </c>
      <c r="M2291" s="25" t="e">
        <f ca="1"/>
        <v>#REF!</v>
      </c>
      <c r="N2291" s="25" t="e">
        <f ca="1"/>
        <v>#REF!</v>
      </c>
      <c r="O2291" s="25" t="e">
        <f ca="1"/>
        <v>#REF!</v>
      </c>
      <c r="P2291" s="25" t="e">
        <f ca="1"/>
        <v>#REF!</v>
      </c>
      <c r="Q2291" s="25" t="e">
        <f ca="1"/>
        <v>#REF!</v>
      </c>
      <c r="R2291" s="25" t="e">
        <f ca="1"/>
        <v>#REF!</v>
      </c>
      <c r="S2291" s="25" t="e">
        <f ca="1"/>
        <v>#REF!</v>
      </c>
      <c r="T2291" s="25" t="e">
        <f ca="1"/>
        <v>#REF!</v>
      </c>
      <c r="U2291" s="25" t="e">
        <f ca="1"/>
        <v>#REF!</v>
      </c>
      <c r="V2291" s="25" t="e">
        <f ca="1"/>
        <v>#REF!</v>
      </c>
      <c r="W2291" s="33" t="e">
        <f ca="1"/>
        <v>#REF!</v>
      </c>
      <c r="X2291" s="33" t="e">
        <f ca="1"/>
        <v>#REF!</v>
      </c>
      <c r="Y2291" s="33" t="e">
        <f ca="1"/>
        <v>#REF!</v>
      </c>
      <c r="Z2291" s="33" t="e">
        <f ca="1"/>
        <v>#REF!</v>
      </c>
      <c r="AA2291" s="33" t="e">
        <f ca="1"/>
        <v>#REF!</v>
      </c>
    </row>
    <row r="2292" spans="1:27" s="70" customFormat="1" ht="11.25" x14ac:dyDescent="0.2">
      <c r="A2292" s="24">
        <v>2286</v>
      </c>
      <c r="B2292" s="27"/>
      <c r="C2292" s="28"/>
      <c r="D2292" s="71"/>
      <c r="E2292" s="28"/>
      <c r="F2292" s="25"/>
      <c r="G2292" s="27"/>
      <c r="H2292" s="28" t="e">
        <f ca="1"/>
        <v>#REF!</v>
      </c>
      <c r="I2292" s="27" t="e">
        <f ca="1"/>
        <v>#REF!</v>
      </c>
      <c r="J2292" s="28" t="e">
        <f ca="1"/>
        <v>#REF!</v>
      </c>
      <c r="K2292" s="27" t="e">
        <f ca="1"/>
        <v>#REF!</v>
      </c>
      <c r="L2292" s="25" t="e">
        <f ca="1"/>
        <v>#REF!</v>
      </c>
      <c r="M2292" s="25" t="e">
        <f ca="1"/>
        <v>#REF!</v>
      </c>
      <c r="N2292" s="25" t="e">
        <f ca="1"/>
        <v>#REF!</v>
      </c>
      <c r="O2292" s="25" t="e">
        <f ca="1"/>
        <v>#REF!</v>
      </c>
      <c r="P2292" s="25" t="e">
        <f ca="1"/>
        <v>#REF!</v>
      </c>
      <c r="Q2292" s="25" t="e">
        <f ca="1"/>
        <v>#REF!</v>
      </c>
      <c r="R2292" s="25" t="e">
        <f ca="1"/>
        <v>#REF!</v>
      </c>
      <c r="S2292" s="25" t="e">
        <f ca="1"/>
        <v>#REF!</v>
      </c>
      <c r="T2292" s="25" t="e">
        <f ca="1"/>
        <v>#REF!</v>
      </c>
      <c r="U2292" s="25" t="e">
        <f ca="1"/>
        <v>#REF!</v>
      </c>
      <c r="V2292" s="25" t="e">
        <f ca="1"/>
        <v>#REF!</v>
      </c>
      <c r="W2292" s="33" t="e">
        <f ca="1"/>
        <v>#REF!</v>
      </c>
      <c r="X2292" s="33" t="e">
        <f ca="1"/>
        <v>#REF!</v>
      </c>
      <c r="Y2292" s="33" t="e">
        <f ca="1"/>
        <v>#REF!</v>
      </c>
      <c r="Z2292" s="33" t="e">
        <f ca="1"/>
        <v>#REF!</v>
      </c>
      <c r="AA2292" s="33" t="e">
        <f ca="1"/>
        <v>#REF!</v>
      </c>
    </row>
    <row r="2293" spans="1:27" s="70" customFormat="1" ht="11.25" x14ac:dyDescent="0.2">
      <c r="A2293" s="24">
        <v>2287</v>
      </c>
      <c r="B2293" s="27"/>
      <c r="C2293" s="28"/>
      <c r="D2293" s="71"/>
      <c r="E2293" s="28"/>
      <c r="F2293" s="25"/>
      <c r="G2293" s="27"/>
      <c r="H2293" s="28" t="e">
        <f ca="1"/>
        <v>#REF!</v>
      </c>
      <c r="I2293" s="27" t="e">
        <f ca="1"/>
        <v>#REF!</v>
      </c>
      <c r="J2293" s="28" t="e">
        <f ca="1"/>
        <v>#REF!</v>
      </c>
      <c r="K2293" s="27" t="e">
        <f ca="1"/>
        <v>#REF!</v>
      </c>
      <c r="L2293" s="25" t="e">
        <f ca="1"/>
        <v>#REF!</v>
      </c>
      <c r="M2293" s="25" t="e">
        <f ca="1"/>
        <v>#REF!</v>
      </c>
      <c r="N2293" s="25" t="e">
        <f ca="1"/>
        <v>#REF!</v>
      </c>
      <c r="O2293" s="25" t="e">
        <f ca="1"/>
        <v>#REF!</v>
      </c>
      <c r="P2293" s="25" t="e">
        <f ca="1"/>
        <v>#REF!</v>
      </c>
      <c r="Q2293" s="25" t="e">
        <f ca="1"/>
        <v>#REF!</v>
      </c>
      <c r="R2293" s="25" t="e">
        <f ca="1"/>
        <v>#REF!</v>
      </c>
      <c r="S2293" s="25" t="e">
        <f ca="1"/>
        <v>#REF!</v>
      </c>
      <c r="T2293" s="25" t="e">
        <f ca="1"/>
        <v>#REF!</v>
      </c>
      <c r="U2293" s="25" t="e">
        <f ca="1"/>
        <v>#REF!</v>
      </c>
      <c r="V2293" s="25" t="e">
        <f ca="1"/>
        <v>#REF!</v>
      </c>
      <c r="W2293" s="33" t="e">
        <f ca="1"/>
        <v>#REF!</v>
      </c>
      <c r="X2293" s="33" t="e">
        <f ca="1"/>
        <v>#REF!</v>
      </c>
      <c r="Y2293" s="33" t="e">
        <f ca="1"/>
        <v>#REF!</v>
      </c>
      <c r="Z2293" s="33" t="e">
        <f ca="1"/>
        <v>#REF!</v>
      </c>
      <c r="AA2293" s="33" t="e">
        <f ca="1"/>
        <v>#REF!</v>
      </c>
    </row>
    <row r="2294" spans="1:27" s="70" customFormat="1" ht="11.25" x14ac:dyDescent="0.2">
      <c r="A2294" s="24">
        <v>2288</v>
      </c>
      <c r="B2294" s="27"/>
      <c r="C2294" s="28"/>
      <c r="D2294" s="71"/>
      <c r="E2294" s="28"/>
      <c r="F2294" s="25"/>
      <c r="G2294" s="27"/>
      <c r="H2294" s="28" t="e">
        <f ca="1"/>
        <v>#REF!</v>
      </c>
      <c r="I2294" s="27" t="e">
        <f ca="1"/>
        <v>#REF!</v>
      </c>
      <c r="J2294" s="28" t="e">
        <f ca="1"/>
        <v>#REF!</v>
      </c>
      <c r="K2294" s="27" t="e">
        <f ca="1"/>
        <v>#REF!</v>
      </c>
      <c r="L2294" s="25" t="e">
        <f ca="1"/>
        <v>#REF!</v>
      </c>
      <c r="M2294" s="25" t="e">
        <f ca="1"/>
        <v>#REF!</v>
      </c>
      <c r="N2294" s="25" t="e">
        <f ca="1"/>
        <v>#REF!</v>
      </c>
      <c r="O2294" s="25" t="e">
        <f ca="1"/>
        <v>#REF!</v>
      </c>
      <c r="P2294" s="25" t="e">
        <f ca="1"/>
        <v>#REF!</v>
      </c>
      <c r="Q2294" s="25" t="e">
        <f ca="1"/>
        <v>#REF!</v>
      </c>
      <c r="R2294" s="25" t="e">
        <f ca="1"/>
        <v>#REF!</v>
      </c>
      <c r="S2294" s="25" t="e">
        <f ca="1"/>
        <v>#REF!</v>
      </c>
      <c r="T2294" s="25" t="e">
        <f ca="1"/>
        <v>#REF!</v>
      </c>
      <c r="U2294" s="25" t="e">
        <f ca="1"/>
        <v>#REF!</v>
      </c>
      <c r="V2294" s="25" t="e">
        <f ca="1"/>
        <v>#REF!</v>
      </c>
      <c r="W2294" s="33" t="e">
        <f ca="1"/>
        <v>#REF!</v>
      </c>
      <c r="X2294" s="33" t="e">
        <f ca="1"/>
        <v>#REF!</v>
      </c>
      <c r="Y2294" s="33" t="e">
        <f ca="1"/>
        <v>#REF!</v>
      </c>
      <c r="Z2294" s="33" t="e">
        <f ca="1"/>
        <v>#REF!</v>
      </c>
      <c r="AA2294" s="33" t="e">
        <f ca="1"/>
        <v>#REF!</v>
      </c>
    </row>
    <row r="2295" spans="1:27" s="70" customFormat="1" ht="11.25" x14ac:dyDescent="0.2">
      <c r="A2295" s="24">
        <v>2289</v>
      </c>
      <c r="B2295" s="27"/>
      <c r="C2295" s="28"/>
      <c r="D2295" s="71"/>
      <c r="E2295" s="28"/>
      <c r="F2295" s="25"/>
      <c r="G2295" s="27"/>
      <c r="H2295" s="28" t="e">
        <f ca="1"/>
        <v>#REF!</v>
      </c>
      <c r="I2295" s="27" t="e">
        <f ca="1"/>
        <v>#REF!</v>
      </c>
      <c r="J2295" s="28" t="e">
        <f ca="1"/>
        <v>#REF!</v>
      </c>
      <c r="K2295" s="27" t="e">
        <f ca="1"/>
        <v>#REF!</v>
      </c>
      <c r="L2295" s="25" t="e">
        <f ca="1"/>
        <v>#REF!</v>
      </c>
      <c r="M2295" s="25" t="e">
        <f ca="1"/>
        <v>#REF!</v>
      </c>
      <c r="N2295" s="25" t="e">
        <f ca="1"/>
        <v>#REF!</v>
      </c>
      <c r="O2295" s="25" t="e">
        <f ca="1"/>
        <v>#REF!</v>
      </c>
      <c r="P2295" s="25" t="e">
        <f ca="1"/>
        <v>#REF!</v>
      </c>
      <c r="Q2295" s="25" t="e">
        <f ca="1"/>
        <v>#REF!</v>
      </c>
      <c r="R2295" s="25" t="e">
        <f ca="1"/>
        <v>#REF!</v>
      </c>
      <c r="S2295" s="25" t="e">
        <f ca="1"/>
        <v>#REF!</v>
      </c>
      <c r="T2295" s="25" t="e">
        <f ca="1"/>
        <v>#REF!</v>
      </c>
      <c r="U2295" s="25" t="e">
        <f ca="1"/>
        <v>#REF!</v>
      </c>
      <c r="V2295" s="25" t="e">
        <f ca="1"/>
        <v>#REF!</v>
      </c>
      <c r="W2295" s="33" t="e">
        <f ca="1"/>
        <v>#REF!</v>
      </c>
      <c r="X2295" s="33" t="e">
        <f ca="1"/>
        <v>#REF!</v>
      </c>
      <c r="Y2295" s="33" t="e">
        <f ca="1"/>
        <v>#REF!</v>
      </c>
      <c r="Z2295" s="33" t="e">
        <f ca="1"/>
        <v>#REF!</v>
      </c>
      <c r="AA2295" s="33" t="e">
        <f ca="1"/>
        <v>#REF!</v>
      </c>
    </row>
    <row r="2296" spans="1:27" s="70" customFormat="1" ht="11.25" x14ac:dyDescent="0.2">
      <c r="A2296" s="24">
        <v>2290</v>
      </c>
      <c r="B2296" s="27"/>
      <c r="C2296" s="28"/>
      <c r="D2296" s="71"/>
      <c r="E2296" s="28"/>
      <c r="F2296" s="25"/>
      <c r="G2296" s="27"/>
      <c r="H2296" s="28" t="e">
        <f ca="1"/>
        <v>#REF!</v>
      </c>
      <c r="I2296" s="27" t="e">
        <f ca="1"/>
        <v>#REF!</v>
      </c>
      <c r="J2296" s="28" t="e">
        <f ca="1"/>
        <v>#REF!</v>
      </c>
      <c r="K2296" s="27" t="e">
        <f ca="1"/>
        <v>#REF!</v>
      </c>
      <c r="L2296" s="25" t="e">
        <f ca="1"/>
        <v>#REF!</v>
      </c>
      <c r="M2296" s="25" t="e">
        <f ca="1"/>
        <v>#REF!</v>
      </c>
      <c r="N2296" s="25" t="e">
        <f ca="1"/>
        <v>#REF!</v>
      </c>
      <c r="O2296" s="25" t="e">
        <f ca="1"/>
        <v>#REF!</v>
      </c>
      <c r="P2296" s="25" t="e">
        <f ca="1"/>
        <v>#REF!</v>
      </c>
      <c r="Q2296" s="25" t="e">
        <f ca="1"/>
        <v>#REF!</v>
      </c>
      <c r="R2296" s="25" t="e">
        <f ca="1"/>
        <v>#REF!</v>
      </c>
      <c r="S2296" s="25" t="e">
        <f ca="1"/>
        <v>#REF!</v>
      </c>
      <c r="T2296" s="25" t="e">
        <f ca="1"/>
        <v>#REF!</v>
      </c>
      <c r="U2296" s="25" t="e">
        <f ca="1"/>
        <v>#REF!</v>
      </c>
      <c r="V2296" s="25" t="e">
        <f ca="1"/>
        <v>#REF!</v>
      </c>
      <c r="W2296" s="33" t="e">
        <f ca="1"/>
        <v>#REF!</v>
      </c>
      <c r="X2296" s="33" t="e">
        <f ca="1"/>
        <v>#REF!</v>
      </c>
      <c r="Y2296" s="33" t="e">
        <f ca="1"/>
        <v>#REF!</v>
      </c>
      <c r="Z2296" s="33" t="e">
        <f ca="1"/>
        <v>#REF!</v>
      </c>
      <c r="AA2296" s="33" t="e">
        <f ca="1"/>
        <v>#REF!</v>
      </c>
    </row>
    <row r="2297" spans="1:27" s="70" customFormat="1" ht="11.25" x14ac:dyDescent="0.2">
      <c r="A2297" s="24">
        <v>2291</v>
      </c>
      <c r="B2297" s="27"/>
      <c r="C2297" s="28"/>
      <c r="D2297" s="71"/>
      <c r="E2297" s="28"/>
      <c r="F2297" s="25"/>
      <c r="G2297" s="27"/>
      <c r="H2297" s="28" t="e">
        <f ca="1"/>
        <v>#REF!</v>
      </c>
      <c r="I2297" s="27" t="e">
        <f ca="1"/>
        <v>#REF!</v>
      </c>
      <c r="J2297" s="28" t="e">
        <f ca="1"/>
        <v>#REF!</v>
      </c>
      <c r="K2297" s="27" t="e">
        <f ca="1"/>
        <v>#REF!</v>
      </c>
      <c r="L2297" s="25" t="e">
        <f ca="1"/>
        <v>#REF!</v>
      </c>
      <c r="M2297" s="25" t="e">
        <f ca="1"/>
        <v>#REF!</v>
      </c>
      <c r="N2297" s="25" t="e">
        <f ca="1"/>
        <v>#REF!</v>
      </c>
      <c r="O2297" s="25" t="e">
        <f ca="1"/>
        <v>#REF!</v>
      </c>
      <c r="P2297" s="25" t="e">
        <f ca="1"/>
        <v>#REF!</v>
      </c>
      <c r="Q2297" s="25" t="e">
        <f ca="1"/>
        <v>#REF!</v>
      </c>
      <c r="R2297" s="25" t="e">
        <f ca="1"/>
        <v>#REF!</v>
      </c>
      <c r="S2297" s="25" t="e">
        <f ca="1"/>
        <v>#REF!</v>
      </c>
      <c r="T2297" s="25" t="e">
        <f ca="1"/>
        <v>#REF!</v>
      </c>
      <c r="U2297" s="25" t="e">
        <f ca="1"/>
        <v>#REF!</v>
      </c>
      <c r="V2297" s="25" t="e">
        <f ca="1"/>
        <v>#REF!</v>
      </c>
      <c r="W2297" s="33" t="e">
        <f ca="1"/>
        <v>#REF!</v>
      </c>
      <c r="X2297" s="33" t="e">
        <f ca="1"/>
        <v>#REF!</v>
      </c>
      <c r="Y2297" s="33" t="e">
        <f ca="1"/>
        <v>#REF!</v>
      </c>
      <c r="Z2297" s="33" t="e">
        <f ca="1"/>
        <v>#REF!</v>
      </c>
      <c r="AA2297" s="33" t="e">
        <f ca="1"/>
        <v>#REF!</v>
      </c>
    </row>
    <row r="2298" spans="1:27" s="70" customFormat="1" ht="11.25" x14ac:dyDescent="0.2">
      <c r="A2298" s="24">
        <v>2292</v>
      </c>
      <c r="B2298" s="27"/>
      <c r="C2298" s="28"/>
      <c r="D2298" s="71"/>
      <c r="E2298" s="28"/>
      <c r="F2298" s="25"/>
      <c r="G2298" s="27"/>
      <c r="H2298" s="28" t="e">
        <f ca="1"/>
        <v>#REF!</v>
      </c>
      <c r="I2298" s="27" t="e">
        <f ca="1"/>
        <v>#REF!</v>
      </c>
      <c r="J2298" s="28" t="e">
        <f ca="1"/>
        <v>#REF!</v>
      </c>
      <c r="K2298" s="27" t="e">
        <f ca="1"/>
        <v>#REF!</v>
      </c>
      <c r="L2298" s="25" t="e">
        <f ca="1"/>
        <v>#REF!</v>
      </c>
      <c r="M2298" s="25" t="e">
        <f ca="1"/>
        <v>#REF!</v>
      </c>
      <c r="N2298" s="25" t="e">
        <f ca="1"/>
        <v>#REF!</v>
      </c>
      <c r="O2298" s="25" t="e">
        <f ca="1"/>
        <v>#REF!</v>
      </c>
      <c r="P2298" s="25" t="e">
        <f ca="1"/>
        <v>#REF!</v>
      </c>
      <c r="Q2298" s="25" t="e">
        <f ca="1"/>
        <v>#REF!</v>
      </c>
      <c r="R2298" s="25" t="e">
        <f ca="1"/>
        <v>#REF!</v>
      </c>
      <c r="S2298" s="25" t="e">
        <f ca="1"/>
        <v>#REF!</v>
      </c>
      <c r="T2298" s="25" t="e">
        <f ca="1"/>
        <v>#REF!</v>
      </c>
      <c r="U2298" s="25" t="e">
        <f ca="1"/>
        <v>#REF!</v>
      </c>
      <c r="V2298" s="25" t="e">
        <f ca="1"/>
        <v>#REF!</v>
      </c>
      <c r="W2298" s="33" t="e">
        <f ca="1"/>
        <v>#REF!</v>
      </c>
      <c r="X2298" s="33" t="e">
        <f ca="1"/>
        <v>#REF!</v>
      </c>
      <c r="Y2298" s="33" t="e">
        <f ca="1"/>
        <v>#REF!</v>
      </c>
      <c r="Z2298" s="33" t="e">
        <f ca="1"/>
        <v>#REF!</v>
      </c>
      <c r="AA2298" s="33" t="e">
        <f ca="1"/>
        <v>#REF!</v>
      </c>
    </row>
    <row r="2299" spans="1:27" s="70" customFormat="1" ht="11.25" x14ac:dyDescent="0.2">
      <c r="A2299" s="24">
        <v>2293</v>
      </c>
      <c r="B2299" s="27"/>
      <c r="C2299" s="28"/>
      <c r="D2299" s="71"/>
      <c r="E2299" s="28"/>
      <c r="F2299" s="25"/>
      <c r="G2299" s="27"/>
      <c r="H2299" s="28" t="e">
        <f ca="1"/>
        <v>#REF!</v>
      </c>
      <c r="I2299" s="27" t="e">
        <f ca="1"/>
        <v>#REF!</v>
      </c>
      <c r="J2299" s="28" t="e">
        <f ca="1"/>
        <v>#REF!</v>
      </c>
      <c r="K2299" s="27" t="e">
        <f ca="1"/>
        <v>#REF!</v>
      </c>
      <c r="L2299" s="25" t="e">
        <f ca="1"/>
        <v>#REF!</v>
      </c>
      <c r="M2299" s="25" t="e">
        <f ca="1"/>
        <v>#REF!</v>
      </c>
      <c r="N2299" s="25" t="e">
        <f ca="1"/>
        <v>#REF!</v>
      </c>
      <c r="O2299" s="25" t="e">
        <f ca="1"/>
        <v>#REF!</v>
      </c>
      <c r="P2299" s="25" t="e">
        <f ca="1"/>
        <v>#REF!</v>
      </c>
      <c r="Q2299" s="25" t="e">
        <f ca="1"/>
        <v>#REF!</v>
      </c>
      <c r="R2299" s="25" t="e">
        <f ca="1"/>
        <v>#REF!</v>
      </c>
      <c r="S2299" s="25" t="e">
        <f ca="1"/>
        <v>#REF!</v>
      </c>
      <c r="T2299" s="25" t="e">
        <f ca="1"/>
        <v>#REF!</v>
      </c>
      <c r="U2299" s="25" t="e">
        <f ca="1"/>
        <v>#REF!</v>
      </c>
      <c r="V2299" s="25" t="e">
        <f ca="1"/>
        <v>#REF!</v>
      </c>
      <c r="W2299" s="33" t="e">
        <f ca="1"/>
        <v>#REF!</v>
      </c>
      <c r="X2299" s="33" t="e">
        <f ca="1"/>
        <v>#REF!</v>
      </c>
      <c r="Y2299" s="33" t="e">
        <f ca="1"/>
        <v>#REF!</v>
      </c>
      <c r="Z2299" s="33" t="e">
        <f ca="1"/>
        <v>#REF!</v>
      </c>
      <c r="AA2299" s="33" t="e">
        <f ca="1"/>
        <v>#REF!</v>
      </c>
    </row>
    <row r="2300" spans="1:27" s="70" customFormat="1" ht="11.25" x14ac:dyDescent="0.2">
      <c r="A2300" s="24">
        <v>2294</v>
      </c>
      <c r="B2300" s="27"/>
      <c r="C2300" s="28"/>
      <c r="D2300" s="71"/>
      <c r="E2300" s="28"/>
      <c r="F2300" s="25"/>
      <c r="G2300" s="27"/>
      <c r="H2300" s="28" t="e">
        <f ca="1"/>
        <v>#REF!</v>
      </c>
      <c r="I2300" s="27" t="e">
        <f ca="1"/>
        <v>#REF!</v>
      </c>
      <c r="J2300" s="28" t="e">
        <f ca="1"/>
        <v>#REF!</v>
      </c>
      <c r="K2300" s="27" t="e">
        <f ca="1"/>
        <v>#REF!</v>
      </c>
      <c r="L2300" s="25" t="e">
        <f ca="1"/>
        <v>#REF!</v>
      </c>
      <c r="M2300" s="25" t="e">
        <f ca="1"/>
        <v>#REF!</v>
      </c>
      <c r="N2300" s="25" t="e">
        <f ca="1"/>
        <v>#REF!</v>
      </c>
      <c r="O2300" s="25" t="e">
        <f ca="1"/>
        <v>#REF!</v>
      </c>
      <c r="P2300" s="25" t="e">
        <f ca="1"/>
        <v>#REF!</v>
      </c>
      <c r="Q2300" s="25" t="e">
        <f ca="1"/>
        <v>#REF!</v>
      </c>
      <c r="R2300" s="25" t="e">
        <f ca="1"/>
        <v>#REF!</v>
      </c>
      <c r="S2300" s="25" t="e">
        <f ca="1"/>
        <v>#REF!</v>
      </c>
      <c r="T2300" s="25" t="e">
        <f ca="1"/>
        <v>#REF!</v>
      </c>
      <c r="U2300" s="25" t="e">
        <f ca="1"/>
        <v>#REF!</v>
      </c>
      <c r="V2300" s="25" t="e">
        <f ca="1"/>
        <v>#REF!</v>
      </c>
      <c r="W2300" s="33" t="e">
        <f ca="1"/>
        <v>#REF!</v>
      </c>
      <c r="X2300" s="33" t="e">
        <f ca="1"/>
        <v>#REF!</v>
      </c>
      <c r="Y2300" s="33" t="e">
        <f ca="1"/>
        <v>#REF!</v>
      </c>
      <c r="Z2300" s="33" t="e">
        <f ca="1"/>
        <v>#REF!</v>
      </c>
      <c r="AA2300" s="33" t="e">
        <f ca="1"/>
        <v>#REF!</v>
      </c>
    </row>
    <row r="2301" spans="1:27" s="70" customFormat="1" ht="11.25" x14ac:dyDescent="0.2">
      <c r="A2301" s="24">
        <v>2295</v>
      </c>
      <c r="B2301" s="27"/>
      <c r="C2301" s="28"/>
      <c r="D2301" s="71"/>
      <c r="E2301" s="28"/>
      <c r="F2301" s="25"/>
      <c r="G2301" s="27"/>
      <c r="H2301" s="28" t="e">
        <f ca="1"/>
        <v>#REF!</v>
      </c>
      <c r="I2301" s="27" t="e">
        <f ca="1"/>
        <v>#REF!</v>
      </c>
      <c r="J2301" s="28" t="e">
        <f ca="1"/>
        <v>#REF!</v>
      </c>
      <c r="K2301" s="27" t="e">
        <f ca="1"/>
        <v>#REF!</v>
      </c>
      <c r="L2301" s="25" t="e">
        <f ca="1"/>
        <v>#REF!</v>
      </c>
      <c r="M2301" s="25" t="e">
        <f ca="1"/>
        <v>#REF!</v>
      </c>
      <c r="N2301" s="25" t="e">
        <f ca="1"/>
        <v>#REF!</v>
      </c>
      <c r="O2301" s="25" t="e">
        <f ca="1"/>
        <v>#REF!</v>
      </c>
      <c r="P2301" s="25" t="e">
        <f ca="1"/>
        <v>#REF!</v>
      </c>
      <c r="Q2301" s="25" t="e">
        <f ca="1"/>
        <v>#REF!</v>
      </c>
      <c r="R2301" s="25" t="e">
        <f ca="1"/>
        <v>#REF!</v>
      </c>
      <c r="S2301" s="25" t="e">
        <f ca="1"/>
        <v>#REF!</v>
      </c>
      <c r="T2301" s="25" t="e">
        <f ca="1"/>
        <v>#REF!</v>
      </c>
      <c r="U2301" s="25" t="e">
        <f ca="1"/>
        <v>#REF!</v>
      </c>
      <c r="V2301" s="25" t="e">
        <f ca="1"/>
        <v>#REF!</v>
      </c>
      <c r="W2301" s="33" t="e">
        <f ca="1"/>
        <v>#REF!</v>
      </c>
      <c r="X2301" s="33" t="e">
        <f ca="1"/>
        <v>#REF!</v>
      </c>
      <c r="Y2301" s="33" t="e">
        <f ca="1"/>
        <v>#REF!</v>
      </c>
      <c r="Z2301" s="33" t="e">
        <f ca="1"/>
        <v>#REF!</v>
      </c>
      <c r="AA2301" s="33" t="e">
        <f ca="1"/>
        <v>#REF!</v>
      </c>
    </row>
    <row r="2302" spans="1:27" s="70" customFormat="1" ht="11.25" x14ac:dyDescent="0.2">
      <c r="A2302" s="24">
        <v>2296</v>
      </c>
      <c r="B2302" s="27"/>
      <c r="C2302" s="28"/>
      <c r="D2302" s="71"/>
      <c r="E2302" s="28"/>
      <c r="F2302" s="25"/>
      <c r="G2302" s="27"/>
      <c r="H2302" s="28" t="e">
        <f ca="1"/>
        <v>#REF!</v>
      </c>
      <c r="I2302" s="27" t="e">
        <f ca="1"/>
        <v>#REF!</v>
      </c>
      <c r="J2302" s="28" t="e">
        <f ca="1"/>
        <v>#REF!</v>
      </c>
      <c r="K2302" s="27" t="e">
        <f ca="1"/>
        <v>#REF!</v>
      </c>
      <c r="L2302" s="25" t="e">
        <f ca="1"/>
        <v>#REF!</v>
      </c>
      <c r="M2302" s="25" t="e">
        <f ca="1"/>
        <v>#REF!</v>
      </c>
      <c r="N2302" s="25" t="e">
        <f ca="1"/>
        <v>#REF!</v>
      </c>
      <c r="O2302" s="25" t="e">
        <f ca="1"/>
        <v>#REF!</v>
      </c>
      <c r="P2302" s="25" t="e">
        <f ca="1"/>
        <v>#REF!</v>
      </c>
      <c r="Q2302" s="25" t="e">
        <f ca="1"/>
        <v>#REF!</v>
      </c>
      <c r="R2302" s="25" t="e">
        <f ca="1"/>
        <v>#REF!</v>
      </c>
      <c r="S2302" s="25" t="e">
        <f ca="1"/>
        <v>#REF!</v>
      </c>
      <c r="T2302" s="25" t="e">
        <f ca="1"/>
        <v>#REF!</v>
      </c>
      <c r="U2302" s="25" t="e">
        <f ca="1"/>
        <v>#REF!</v>
      </c>
      <c r="V2302" s="25" t="e">
        <f ca="1"/>
        <v>#REF!</v>
      </c>
      <c r="W2302" s="33" t="e">
        <f ca="1"/>
        <v>#REF!</v>
      </c>
      <c r="X2302" s="33" t="e">
        <f ca="1"/>
        <v>#REF!</v>
      </c>
      <c r="Y2302" s="33" t="e">
        <f ca="1"/>
        <v>#REF!</v>
      </c>
      <c r="Z2302" s="33" t="e">
        <f ca="1"/>
        <v>#REF!</v>
      </c>
      <c r="AA2302" s="33" t="e">
        <f ca="1"/>
        <v>#REF!</v>
      </c>
    </row>
    <row r="2303" spans="1:27" s="70" customFormat="1" ht="11.25" x14ac:dyDescent="0.2">
      <c r="A2303" s="24">
        <v>2297</v>
      </c>
      <c r="B2303" s="27"/>
      <c r="C2303" s="28"/>
      <c r="D2303" s="71"/>
      <c r="E2303" s="28"/>
      <c r="F2303" s="25"/>
      <c r="G2303" s="27"/>
      <c r="H2303" s="28" t="e">
        <f ca="1"/>
        <v>#REF!</v>
      </c>
      <c r="I2303" s="27" t="e">
        <f ca="1"/>
        <v>#REF!</v>
      </c>
      <c r="J2303" s="28" t="e">
        <f ca="1"/>
        <v>#REF!</v>
      </c>
      <c r="K2303" s="27" t="e">
        <f ca="1"/>
        <v>#REF!</v>
      </c>
      <c r="L2303" s="25" t="e">
        <f ca="1"/>
        <v>#REF!</v>
      </c>
      <c r="M2303" s="25" t="e">
        <f ca="1"/>
        <v>#REF!</v>
      </c>
      <c r="N2303" s="25" t="e">
        <f ca="1"/>
        <v>#REF!</v>
      </c>
      <c r="O2303" s="25" t="e">
        <f ca="1"/>
        <v>#REF!</v>
      </c>
      <c r="P2303" s="25" t="e">
        <f ca="1"/>
        <v>#REF!</v>
      </c>
      <c r="Q2303" s="25" t="e">
        <f ca="1"/>
        <v>#REF!</v>
      </c>
      <c r="R2303" s="25" t="e">
        <f ca="1"/>
        <v>#REF!</v>
      </c>
      <c r="S2303" s="25" t="e">
        <f ca="1"/>
        <v>#REF!</v>
      </c>
      <c r="T2303" s="25" t="e">
        <f ca="1"/>
        <v>#REF!</v>
      </c>
      <c r="U2303" s="25" t="e">
        <f ca="1"/>
        <v>#REF!</v>
      </c>
      <c r="V2303" s="25" t="e">
        <f ca="1"/>
        <v>#REF!</v>
      </c>
      <c r="W2303" s="33" t="e">
        <f ca="1"/>
        <v>#REF!</v>
      </c>
      <c r="X2303" s="33" t="e">
        <f ca="1"/>
        <v>#REF!</v>
      </c>
      <c r="Y2303" s="33" t="e">
        <f ca="1"/>
        <v>#REF!</v>
      </c>
      <c r="Z2303" s="33" t="e">
        <f ca="1"/>
        <v>#REF!</v>
      </c>
      <c r="AA2303" s="33" t="e">
        <f ca="1"/>
        <v>#REF!</v>
      </c>
    </row>
    <row r="2304" spans="1:27" s="70" customFormat="1" ht="11.25" x14ac:dyDescent="0.2">
      <c r="A2304" s="24">
        <v>2298</v>
      </c>
      <c r="B2304" s="27"/>
      <c r="C2304" s="28"/>
      <c r="D2304" s="71"/>
      <c r="E2304" s="28"/>
      <c r="F2304" s="25"/>
      <c r="G2304" s="27"/>
      <c r="H2304" s="28" t="e">
        <f ca="1"/>
        <v>#REF!</v>
      </c>
      <c r="I2304" s="27" t="e">
        <f ca="1"/>
        <v>#REF!</v>
      </c>
      <c r="J2304" s="28" t="e">
        <f ca="1"/>
        <v>#REF!</v>
      </c>
      <c r="K2304" s="27" t="e">
        <f ca="1"/>
        <v>#REF!</v>
      </c>
      <c r="L2304" s="25" t="e">
        <f ca="1"/>
        <v>#REF!</v>
      </c>
      <c r="M2304" s="25" t="e">
        <f ca="1"/>
        <v>#REF!</v>
      </c>
      <c r="N2304" s="25" t="e">
        <f ca="1"/>
        <v>#REF!</v>
      </c>
      <c r="O2304" s="25" t="e">
        <f ca="1"/>
        <v>#REF!</v>
      </c>
      <c r="P2304" s="25" t="e">
        <f ca="1"/>
        <v>#REF!</v>
      </c>
      <c r="Q2304" s="25" t="e">
        <f ca="1"/>
        <v>#REF!</v>
      </c>
      <c r="R2304" s="25" t="e">
        <f ca="1"/>
        <v>#REF!</v>
      </c>
      <c r="S2304" s="25" t="e">
        <f ca="1"/>
        <v>#REF!</v>
      </c>
      <c r="T2304" s="25" t="e">
        <f ca="1"/>
        <v>#REF!</v>
      </c>
      <c r="U2304" s="25" t="e">
        <f ca="1"/>
        <v>#REF!</v>
      </c>
      <c r="V2304" s="25" t="e">
        <f ca="1"/>
        <v>#REF!</v>
      </c>
      <c r="W2304" s="33" t="e">
        <f ca="1"/>
        <v>#REF!</v>
      </c>
      <c r="X2304" s="33" t="e">
        <f ca="1"/>
        <v>#REF!</v>
      </c>
      <c r="Y2304" s="33" t="e">
        <f ca="1"/>
        <v>#REF!</v>
      </c>
      <c r="Z2304" s="33" t="e">
        <f ca="1"/>
        <v>#REF!</v>
      </c>
      <c r="AA2304" s="33" t="e">
        <f ca="1"/>
        <v>#REF!</v>
      </c>
    </row>
    <row r="2305" spans="1:27" s="70" customFormat="1" ht="11.25" x14ac:dyDescent="0.2">
      <c r="A2305" s="24">
        <v>2299</v>
      </c>
      <c r="B2305" s="27"/>
      <c r="C2305" s="28"/>
      <c r="D2305" s="71"/>
      <c r="E2305" s="28"/>
      <c r="F2305" s="25"/>
      <c r="G2305" s="27"/>
      <c r="H2305" s="28" t="e">
        <f ca="1"/>
        <v>#REF!</v>
      </c>
      <c r="I2305" s="27" t="e">
        <f ca="1"/>
        <v>#REF!</v>
      </c>
      <c r="J2305" s="28" t="e">
        <f ca="1"/>
        <v>#REF!</v>
      </c>
      <c r="K2305" s="27" t="e">
        <f ca="1"/>
        <v>#REF!</v>
      </c>
      <c r="L2305" s="25" t="e">
        <f ca="1"/>
        <v>#REF!</v>
      </c>
      <c r="M2305" s="25" t="e">
        <f ca="1"/>
        <v>#REF!</v>
      </c>
      <c r="N2305" s="25" t="e">
        <f ca="1"/>
        <v>#REF!</v>
      </c>
      <c r="O2305" s="25" t="e">
        <f ca="1"/>
        <v>#REF!</v>
      </c>
      <c r="P2305" s="25" t="e">
        <f ca="1"/>
        <v>#REF!</v>
      </c>
      <c r="Q2305" s="25" t="e">
        <f ca="1"/>
        <v>#REF!</v>
      </c>
      <c r="R2305" s="25" t="e">
        <f ca="1"/>
        <v>#REF!</v>
      </c>
      <c r="S2305" s="25" t="e">
        <f ca="1"/>
        <v>#REF!</v>
      </c>
      <c r="T2305" s="25" t="e">
        <f ca="1"/>
        <v>#REF!</v>
      </c>
      <c r="U2305" s="25" t="e">
        <f ca="1"/>
        <v>#REF!</v>
      </c>
      <c r="V2305" s="25" t="e">
        <f ca="1"/>
        <v>#REF!</v>
      </c>
      <c r="W2305" s="33" t="e">
        <f ca="1"/>
        <v>#REF!</v>
      </c>
      <c r="X2305" s="33" t="e">
        <f ca="1"/>
        <v>#REF!</v>
      </c>
      <c r="Y2305" s="33" t="e">
        <f ca="1"/>
        <v>#REF!</v>
      </c>
      <c r="Z2305" s="33" t="e">
        <f ca="1"/>
        <v>#REF!</v>
      </c>
      <c r="AA2305" s="33" t="e">
        <f ca="1"/>
        <v>#REF!</v>
      </c>
    </row>
    <row r="2306" spans="1:27" s="70" customFormat="1" ht="11.25" x14ac:dyDescent="0.2">
      <c r="A2306" s="24">
        <v>2300</v>
      </c>
      <c r="B2306" s="27"/>
      <c r="C2306" s="28"/>
      <c r="D2306" s="71"/>
      <c r="E2306" s="28"/>
      <c r="F2306" s="25"/>
      <c r="G2306" s="27"/>
      <c r="H2306" s="28" t="e">
        <f ca="1"/>
        <v>#REF!</v>
      </c>
      <c r="I2306" s="27" t="e">
        <f ca="1"/>
        <v>#REF!</v>
      </c>
      <c r="J2306" s="28" t="e">
        <f ca="1"/>
        <v>#REF!</v>
      </c>
      <c r="K2306" s="27" t="e">
        <f ca="1"/>
        <v>#REF!</v>
      </c>
      <c r="L2306" s="25" t="e">
        <f ca="1"/>
        <v>#REF!</v>
      </c>
      <c r="M2306" s="25" t="e">
        <f ca="1"/>
        <v>#REF!</v>
      </c>
      <c r="N2306" s="25" t="e">
        <f ca="1"/>
        <v>#REF!</v>
      </c>
      <c r="O2306" s="25" t="e">
        <f ca="1"/>
        <v>#REF!</v>
      </c>
      <c r="P2306" s="25" t="e">
        <f ca="1"/>
        <v>#REF!</v>
      </c>
      <c r="Q2306" s="25" t="e">
        <f ca="1"/>
        <v>#REF!</v>
      </c>
      <c r="R2306" s="25" t="e">
        <f ca="1"/>
        <v>#REF!</v>
      </c>
      <c r="S2306" s="25" t="e">
        <f ca="1"/>
        <v>#REF!</v>
      </c>
      <c r="T2306" s="25" t="e">
        <f ca="1"/>
        <v>#REF!</v>
      </c>
      <c r="U2306" s="25" t="e">
        <f ca="1"/>
        <v>#REF!</v>
      </c>
      <c r="V2306" s="25" t="e">
        <f ca="1"/>
        <v>#REF!</v>
      </c>
      <c r="W2306" s="33" t="e">
        <f ca="1"/>
        <v>#REF!</v>
      </c>
      <c r="X2306" s="33" t="e">
        <f ca="1"/>
        <v>#REF!</v>
      </c>
      <c r="Y2306" s="33" t="e">
        <f ca="1"/>
        <v>#REF!</v>
      </c>
      <c r="Z2306" s="33" t="e">
        <f ca="1"/>
        <v>#REF!</v>
      </c>
      <c r="AA2306" s="33" t="e">
        <f ca="1"/>
        <v>#REF!</v>
      </c>
    </row>
    <row r="2307" spans="1:27" s="70" customFormat="1" ht="11.25" x14ac:dyDescent="0.2">
      <c r="A2307" s="24">
        <v>2301</v>
      </c>
      <c r="B2307" s="27"/>
      <c r="C2307" s="28"/>
      <c r="D2307" s="71"/>
      <c r="E2307" s="28"/>
      <c r="F2307" s="25"/>
      <c r="G2307" s="27"/>
      <c r="H2307" s="28" t="e">
        <f ca="1"/>
        <v>#REF!</v>
      </c>
      <c r="I2307" s="27" t="e">
        <f ca="1"/>
        <v>#REF!</v>
      </c>
      <c r="J2307" s="28" t="e">
        <f ca="1"/>
        <v>#REF!</v>
      </c>
      <c r="K2307" s="27" t="e">
        <f ca="1"/>
        <v>#REF!</v>
      </c>
      <c r="L2307" s="25" t="e">
        <f ca="1"/>
        <v>#REF!</v>
      </c>
      <c r="M2307" s="25" t="e">
        <f ca="1"/>
        <v>#REF!</v>
      </c>
      <c r="N2307" s="25" t="e">
        <f ca="1"/>
        <v>#REF!</v>
      </c>
      <c r="O2307" s="25" t="e">
        <f ca="1"/>
        <v>#REF!</v>
      </c>
      <c r="P2307" s="25" t="e">
        <f ca="1"/>
        <v>#REF!</v>
      </c>
      <c r="Q2307" s="25" t="e">
        <f ca="1"/>
        <v>#REF!</v>
      </c>
      <c r="R2307" s="25" t="e">
        <f ca="1"/>
        <v>#REF!</v>
      </c>
      <c r="S2307" s="25" t="e">
        <f ca="1"/>
        <v>#REF!</v>
      </c>
      <c r="T2307" s="25" t="e">
        <f ca="1"/>
        <v>#REF!</v>
      </c>
      <c r="U2307" s="25" t="e">
        <f ca="1"/>
        <v>#REF!</v>
      </c>
      <c r="V2307" s="25" t="e">
        <f ca="1"/>
        <v>#REF!</v>
      </c>
      <c r="W2307" s="33" t="e">
        <f ca="1"/>
        <v>#REF!</v>
      </c>
      <c r="X2307" s="33" t="e">
        <f ca="1"/>
        <v>#REF!</v>
      </c>
      <c r="Y2307" s="33" t="e">
        <f ca="1"/>
        <v>#REF!</v>
      </c>
      <c r="Z2307" s="33" t="e">
        <f ca="1"/>
        <v>#REF!</v>
      </c>
      <c r="AA2307" s="33" t="e">
        <f ca="1"/>
        <v>#REF!</v>
      </c>
    </row>
    <row r="2308" spans="1:27" s="70" customFormat="1" ht="11.25" x14ac:dyDescent="0.2">
      <c r="A2308" s="24">
        <v>2302</v>
      </c>
      <c r="B2308" s="27"/>
      <c r="C2308" s="28"/>
      <c r="D2308" s="71"/>
      <c r="E2308" s="28"/>
      <c r="F2308" s="25"/>
      <c r="G2308" s="27"/>
      <c r="H2308" s="28" t="e">
        <f ca="1"/>
        <v>#REF!</v>
      </c>
      <c r="I2308" s="27" t="e">
        <f ca="1"/>
        <v>#REF!</v>
      </c>
      <c r="J2308" s="28" t="e">
        <f ca="1"/>
        <v>#REF!</v>
      </c>
      <c r="K2308" s="27" t="e">
        <f ca="1"/>
        <v>#REF!</v>
      </c>
      <c r="L2308" s="25" t="e">
        <f ca="1"/>
        <v>#REF!</v>
      </c>
      <c r="M2308" s="25" t="e">
        <f ca="1"/>
        <v>#REF!</v>
      </c>
      <c r="N2308" s="25" t="e">
        <f ca="1"/>
        <v>#REF!</v>
      </c>
      <c r="O2308" s="25" t="e">
        <f ca="1"/>
        <v>#REF!</v>
      </c>
      <c r="P2308" s="25" t="e">
        <f ca="1"/>
        <v>#REF!</v>
      </c>
      <c r="Q2308" s="25" t="e">
        <f ca="1"/>
        <v>#REF!</v>
      </c>
      <c r="R2308" s="25" t="e">
        <f ca="1"/>
        <v>#REF!</v>
      </c>
      <c r="S2308" s="25" t="e">
        <f ca="1"/>
        <v>#REF!</v>
      </c>
      <c r="T2308" s="25" t="e">
        <f ca="1"/>
        <v>#REF!</v>
      </c>
      <c r="U2308" s="25" t="e">
        <f ca="1"/>
        <v>#REF!</v>
      </c>
      <c r="V2308" s="25" t="e">
        <f ca="1"/>
        <v>#REF!</v>
      </c>
      <c r="W2308" s="33" t="e">
        <f ca="1"/>
        <v>#REF!</v>
      </c>
      <c r="X2308" s="33" t="e">
        <f ca="1"/>
        <v>#REF!</v>
      </c>
      <c r="Y2308" s="33" t="e">
        <f ca="1"/>
        <v>#REF!</v>
      </c>
      <c r="Z2308" s="33" t="e">
        <f ca="1"/>
        <v>#REF!</v>
      </c>
      <c r="AA2308" s="33" t="e">
        <f ca="1"/>
        <v>#REF!</v>
      </c>
    </row>
    <row r="2309" spans="1:27" s="70" customFormat="1" ht="11.25" x14ac:dyDescent="0.2">
      <c r="A2309" s="24">
        <v>2303</v>
      </c>
      <c r="B2309" s="27"/>
      <c r="C2309" s="28"/>
      <c r="D2309" s="71"/>
      <c r="E2309" s="28"/>
      <c r="F2309" s="25"/>
      <c r="G2309" s="27"/>
      <c r="H2309" s="28" t="e">
        <f ca="1"/>
        <v>#REF!</v>
      </c>
      <c r="I2309" s="27" t="e">
        <f ca="1"/>
        <v>#REF!</v>
      </c>
      <c r="J2309" s="28" t="e">
        <f ca="1"/>
        <v>#REF!</v>
      </c>
      <c r="K2309" s="27" t="e">
        <f ca="1"/>
        <v>#REF!</v>
      </c>
      <c r="L2309" s="25" t="e">
        <f ca="1"/>
        <v>#REF!</v>
      </c>
      <c r="M2309" s="25" t="e">
        <f ca="1"/>
        <v>#REF!</v>
      </c>
      <c r="N2309" s="25" t="e">
        <f ca="1"/>
        <v>#REF!</v>
      </c>
      <c r="O2309" s="25" t="e">
        <f ca="1"/>
        <v>#REF!</v>
      </c>
      <c r="P2309" s="25" t="e">
        <f ca="1"/>
        <v>#REF!</v>
      </c>
      <c r="Q2309" s="25" t="e">
        <f ca="1"/>
        <v>#REF!</v>
      </c>
      <c r="R2309" s="25" t="e">
        <f ca="1"/>
        <v>#REF!</v>
      </c>
      <c r="S2309" s="25" t="e">
        <f ca="1"/>
        <v>#REF!</v>
      </c>
      <c r="T2309" s="25" t="e">
        <f ca="1"/>
        <v>#REF!</v>
      </c>
      <c r="U2309" s="25" t="e">
        <f ca="1"/>
        <v>#REF!</v>
      </c>
      <c r="V2309" s="25" t="e">
        <f ca="1"/>
        <v>#REF!</v>
      </c>
      <c r="W2309" s="33" t="e">
        <f ca="1"/>
        <v>#REF!</v>
      </c>
      <c r="X2309" s="33" t="e">
        <f ca="1"/>
        <v>#REF!</v>
      </c>
      <c r="Y2309" s="33" t="e">
        <f ca="1"/>
        <v>#REF!</v>
      </c>
      <c r="Z2309" s="33" t="e">
        <f ca="1"/>
        <v>#REF!</v>
      </c>
      <c r="AA2309" s="33" t="e">
        <f ca="1"/>
        <v>#REF!</v>
      </c>
    </row>
    <row r="2310" spans="1:27" s="70" customFormat="1" ht="11.25" x14ac:dyDescent="0.2">
      <c r="A2310" s="24">
        <v>2304</v>
      </c>
      <c r="B2310" s="27"/>
      <c r="C2310" s="28"/>
      <c r="D2310" s="71"/>
      <c r="E2310" s="28"/>
      <c r="F2310" s="25"/>
      <c r="G2310" s="27"/>
      <c r="H2310" s="28" t="e">
        <f ca="1"/>
        <v>#REF!</v>
      </c>
      <c r="I2310" s="27" t="e">
        <f ca="1"/>
        <v>#REF!</v>
      </c>
      <c r="J2310" s="28" t="e">
        <f ca="1"/>
        <v>#REF!</v>
      </c>
      <c r="K2310" s="27" t="e">
        <f ca="1"/>
        <v>#REF!</v>
      </c>
      <c r="L2310" s="25" t="e">
        <f ca="1"/>
        <v>#REF!</v>
      </c>
      <c r="M2310" s="25" t="e">
        <f ca="1"/>
        <v>#REF!</v>
      </c>
      <c r="N2310" s="25" t="e">
        <f ca="1"/>
        <v>#REF!</v>
      </c>
      <c r="O2310" s="25" t="e">
        <f ca="1"/>
        <v>#REF!</v>
      </c>
      <c r="P2310" s="25" t="e">
        <f ca="1"/>
        <v>#REF!</v>
      </c>
      <c r="Q2310" s="25" t="e">
        <f ca="1"/>
        <v>#REF!</v>
      </c>
      <c r="R2310" s="25" t="e">
        <f ca="1"/>
        <v>#REF!</v>
      </c>
      <c r="S2310" s="25" t="e">
        <f ca="1"/>
        <v>#REF!</v>
      </c>
      <c r="T2310" s="25" t="e">
        <f ca="1"/>
        <v>#REF!</v>
      </c>
      <c r="U2310" s="25" t="e">
        <f ca="1"/>
        <v>#REF!</v>
      </c>
      <c r="V2310" s="25" t="e">
        <f ca="1"/>
        <v>#REF!</v>
      </c>
      <c r="W2310" s="33" t="e">
        <f ca="1"/>
        <v>#REF!</v>
      </c>
      <c r="X2310" s="33" t="e">
        <f ca="1"/>
        <v>#REF!</v>
      </c>
      <c r="Y2310" s="33" t="e">
        <f ca="1"/>
        <v>#REF!</v>
      </c>
      <c r="Z2310" s="33" t="e">
        <f ca="1"/>
        <v>#REF!</v>
      </c>
      <c r="AA2310" s="33" t="e">
        <f ca="1"/>
        <v>#REF!</v>
      </c>
    </row>
    <row r="2311" spans="1:27" s="70" customFormat="1" ht="11.25" x14ac:dyDescent="0.2">
      <c r="A2311" s="24">
        <v>2305</v>
      </c>
      <c r="B2311" s="27"/>
      <c r="C2311" s="28"/>
      <c r="D2311" s="71"/>
      <c r="E2311" s="28"/>
      <c r="F2311" s="25"/>
      <c r="G2311" s="27"/>
      <c r="H2311" s="28" t="e">
        <f ca="1"/>
        <v>#REF!</v>
      </c>
      <c r="I2311" s="27" t="e">
        <f ca="1"/>
        <v>#REF!</v>
      </c>
      <c r="J2311" s="28" t="e">
        <f ca="1"/>
        <v>#REF!</v>
      </c>
      <c r="K2311" s="27" t="e">
        <f ca="1"/>
        <v>#REF!</v>
      </c>
      <c r="L2311" s="25" t="e">
        <f ca="1"/>
        <v>#REF!</v>
      </c>
      <c r="M2311" s="25" t="e">
        <f ca="1"/>
        <v>#REF!</v>
      </c>
      <c r="N2311" s="25" t="e">
        <f ca="1"/>
        <v>#REF!</v>
      </c>
      <c r="O2311" s="25" t="e">
        <f ca="1"/>
        <v>#REF!</v>
      </c>
      <c r="P2311" s="25" t="e">
        <f ca="1"/>
        <v>#REF!</v>
      </c>
      <c r="Q2311" s="25" t="e">
        <f ca="1"/>
        <v>#REF!</v>
      </c>
      <c r="R2311" s="25" t="e">
        <f ca="1"/>
        <v>#REF!</v>
      </c>
      <c r="S2311" s="25" t="e">
        <f ca="1"/>
        <v>#REF!</v>
      </c>
      <c r="T2311" s="25" t="e">
        <f ca="1"/>
        <v>#REF!</v>
      </c>
      <c r="U2311" s="25" t="e">
        <f ca="1"/>
        <v>#REF!</v>
      </c>
      <c r="V2311" s="25" t="e">
        <f ca="1"/>
        <v>#REF!</v>
      </c>
      <c r="W2311" s="33" t="e">
        <f ca="1"/>
        <v>#REF!</v>
      </c>
      <c r="X2311" s="33" t="e">
        <f ca="1"/>
        <v>#REF!</v>
      </c>
      <c r="Y2311" s="33" t="e">
        <f ca="1"/>
        <v>#REF!</v>
      </c>
      <c r="Z2311" s="33" t="e">
        <f ca="1"/>
        <v>#REF!</v>
      </c>
      <c r="AA2311" s="33" t="e">
        <f ca="1"/>
        <v>#REF!</v>
      </c>
    </row>
    <row r="2312" spans="1:27" s="70" customFormat="1" ht="11.25" x14ac:dyDescent="0.2">
      <c r="A2312" s="24">
        <v>2306</v>
      </c>
      <c r="B2312" s="27"/>
      <c r="C2312" s="28"/>
      <c r="D2312" s="71"/>
      <c r="E2312" s="28"/>
      <c r="F2312" s="25"/>
      <c r="G2312" s="27"/>
      <c r="H2312" s="28" t="e">
        <f ca="1"/>
        <v>#REF!</v>
      </c>
      <c r="I2312" s="27" t="e">
        <f ca="1"/>
        <v>#REF!</v>
      </c>
      <c r="J2312" s="28" t="e">
        <f ca="1"/>
        <v>#REF!</v>
      </c>
      <c r="K2312" s="27" t="e">
        <f ca="1"/>
        <v>#REF!</v>
      </c>
      <c r="L2312" s="25" t="e">
        <f ca="1"/>
        <v>#REF!</v>
      </c>
      <c r="M2312" s="25" t="e">
        <f ca="1"/>
        <v>#REF!</v>
      </c>
      <c r="N2312" s="25" t="e">
        <f ca="1"/>
        <v>#REF!</v>
      </c>
      <c r="O2312" s="25" t="e">
        <f ca="1"/>
        <v>#REF!</v>
      </c>
      <c r="P2312" s="25" t="e">
        <f ca="1"/>
        <v>#REF!</v>
      </c>
      <c r="Q2312" s="25" t="e">
        <f ca="1"/>
        <v>#REF!</v>
      </c>
      <c r="R2312" s="25" t="e">
        <f ca="1"/>
        <v>#REF!</v>
      </c>
      <c r="S2312" s="25" t="e">
        <f ca="1"/>
        <v>#REF!</v>
      </c>
      <c r="T2312" s="25" t="e">
        <f ca="1"/>
        <v>#REF!</v>
      </c>
      <c r="U2312" s="25" t="e">
        <f ca="1"/>
        <v>#REF!</v>
      </c>
      <c r="V2312" s="25" t="e">
        <f ca="1"/>
        <v>#REF!</v>
      </c>
      <c r="W2312" s="33" t="e">
        <f ca="1"/>
        <v>#REF!</v>
      </c>
      <c r="X2312" s="33" t="e">
        <f ca="1"/>
        <v>#REF!</v>
      </c>
      <c r="Y2312" s="33" t="e">
        <f ca="1"/>
        <v>#REF!</v>
      </c>
      <c r="Z2312" s="33" t="e">
        <f ca="1"/>
        <v>#REF!</v>
      </c>
      <c r="AA2312" s="33" t="e">
        <f ca="1"/>
        <v>#REF!</v>
      </c>
    </row>
    <row r="2313" spans="1:27" s="70" customFormat="1" ht="11.25" x14ac:dyDescent="0.2">
      <c r="A2313" s="24">
        <v>2307</v>
      </c>
      <c r="B2313" s="27"/>
      <c r="C2313" s="28"/>
      <c r="D2313" s="71"/>
      <c r="E2313" s="28"/>
      <c r="F2313" s="25"/>
      <c r="G2313" s="27"/>
      <c r="H2313" s="28" t="e">
        <f ca="1"/>
        <v>#REF!</v>
      </c>
      <c r="I2313" s="27" t="e">
        <f ca="1"/>
        <v>#REF!</v>
      </c>
      <c r="J2313" s="28" t="e">
        <f ca="1"/>
        <v>#REF!</v>
      </c>
      <c r="K2313" s="27" t="e">
        <f ca="1"/>
        <v>#REF!</v>
      </c>
      <c r="L2313" s="25" t="e">
        <f ca="1"/>
        <v>#REF!</v>
      </c>
      <c r="M2313" s="25" t="e">
        <f ca="1"/>
        <v>#REF!</v>
      </c>
      <c r="N2313" s="25" t="e">
        <f ca="1"/>
        <v>#REF!</v>
      </c>
      <c r="O2313" s="25" t="e">
        <f ca="1"/>
        <v>#REF!</v>
      </c>
      <c r="P2313" s="25" t="e">
        <f ca="1"/>
        <v>#REF!</v>
      </c>
      <c r="Q2313" s="25" t="e">
        <f ca="1"/>
        <v>#REF!</v>
      </c>
      <c r="R2313" s="25" t="e">
        <f ca="1"/>
        <v>#REF!</v>
      </c>
      <c r="S2313" s="25" t="e">
        <f ca="1"/>
        <v>#REF!</v>
      </c>
      <c r="T2313" s="25" t="e">
        <f ca="1"/>
        <v>#REF!</v>
      </c>
      <c r="U2313" s="25" t="e">
        <f ca="1"/>
        <v>#REF!</v>
      </c>
      <c r="V2313" s="25" t="e">
        <f ca="1"/>
        <v>#REF!</v>
      </c>
      <c r="W2313" s="33" t="e">
        <f ca="1"/>
        <v>#REF!</v>
      </c>
      <c r="X2313" s="33" t="e">
        <f ca="1"/>
        <v>#REF!</v>
      </c>
      <c r="Y2313" s="33" t="e">
        <f ca="1"/>
        <v>#REF!</v>
      </c>
      <c r="Z2313" s="33" t="e">
        <f ca="1"/>
        <v>#REF!</v>
      </c>
      <c r="AA2313" s="33" t="e">
        <f ca="1"/>
        <v>#REF!</v>
      </c>
    </row>
    <row r="2314" spans="1:27" s="70" customFormat="1" ht="11.25" x14ac:dyDescent="0.2">
      <c r="A2314" s="24">
        <v>2308</v>
      </c>
      <c r="B2314" s="27"/>
      <c r="C2314" s="28"/>
      <c r="D2314" s="71"/>
      <c r="E2314" s="28"/>
      <c r="F2314" s="25"/>
      <c r="G2314" s="27"/>
      <c r="H2314" s="28" t="e">
        <f ca="1"/>
        <v>#REF!</v>
      </c>
      <c r="I2314" s="27" t="e">
        <f ca="1"/>
        <v>#REF!</v>
      </c>
      <c r="J2314" s="28" t="e">
        <f ca="1"/>
        <v>#REF!</v>
      </c>
      <c r="K2314" s="27" t="e">
        <f ca="1"/>
        <v>#REF!</v>
      </c>
      <c r="L2314" s="25" t="e">
        <f ca="1"/>
        <v>#REF!</v>
      </c>
      <c r="M2314" s="25" t="e">
        <f ca="1"/>
        <v>#REF!</v>
      </c>
      <c r="N2314" s="25" t="e">
        <f ca="1"/>
        <v>#REF!</v>
      </c>
      <c r="O2314" s="25" t="e">
        <f ca="1"/>
        <v>#REF!</v>
      </c>
      <c r="P2314" s="25" t="e">
        <f ca="1"/>
        <v>#REF!</v>
      </c>
      <c r="Q2314" s="25" t="e">
        <f ca="1"/>
        <v>#REF!</v>
      </c>
      <c r="R2314" s="25" t="e">
        <f ca="1"/>
        <v>#REF!</v>
      </c>
      <c r="S2314" s="25" t="e">
        <f ca="1"/>
        <v>#REF!</v>
      </c>
      <c r="T2314" s="25" t="e">
        <f ca="1"/>
        <v>#REF!</v>
      </c>
      <c r="U2314" s="25" t="e">
        <f ca="1"/>
        <v>#REF!</v>
      </c>
      <c r="V2314" s="25" t="e">
        <f ca="1"/>
        <v>#REF!</v>
      </c>
      <c r="W2314" s="33" t="e">
        <f ca="1"/>
        <v>#REF!</v>
      </c>
      <c r="X2314" s="33" t="e">
        <f ca="1"/>
        <v>#REF!</v>
      </c>
      <c r="Y2314" s="33" t="e">
        <f ca="1"/>
        <v>#REF!</v>
      </c>
      <c r="Z2314" s="33" t="e">
        <f ca="1"/>
        <v>#REF!</v>
      </c>
      <c r="AA2314" s="33" t="e">
        <f ca="1"/>
        <v>#REF!</v>
      </c>
    </row>
    <row r="2315" spans="1:27" s="70" customFormat="1" ht="11.25" x14ac:dyDescent="0.2">
      <c r="A2315" s="24">
        <v>2309</v>
      </c>
      <c r="B2315" s="27"/>
      <c r="C2315" s="28"/>
      <c r="D2315" s="71"/>
      <c r="E2315" s="28"/>
      <c r="F2315" s="25"/>
      <c r="G2315" s="27"/>
      <c r="H2315" s="28" t="e">
        <f ca="1"/>
        <v>#REF!</v>
      </c>
      <c r="I2315" s="27" t="e">
        <f ca="1"/>
        <v>#REF!</v>
      </c>
      <c r="J2315" s="28" t="e">
        <f ca="1"/>
        <v>#REF!</v>
      </c>
      <c r="K2315" s="27" t="e">
        <f ca="1"/>
        <v>#REF!</v>
      </c>
      <c r="L2315" s="25" t="e">
        <f ca="1"/>
        <v>#REF!</v>
      </c>
      <c r="M2315" s="25" t="e">
        <f ca="1"/>
        <v>#REF!</v>
      </c>
      <c r="N2315" s="25" t="e">
        <f ca="1"/>
        <v>#REF!</v>
      </c>
      <c r="O2315" s="25" t="e">
        <f ca="1"/>
        <v>#REF!</v>
      </c>
      <c r="P2315" s="25" t="e">
        <f ca="1"/>
        <v>#REF!</v>
      </c>
      <c r="Q2315" s="25" t="e">
        <f ca="1"/>
        <v>#REF!</v>
      </c>
      <c r="R2315" s="25" t="e">
        <f ca="1"/>
        <v>#REF!</v>
      </c>
      <c r="S2315" s="25" t="e">
        <f ca="1"/>
        <v>#REF!</v>
      </c>
      <c r="T2315" s="25" t="e">
        <f ca="1"/>
        <v>#REF!</v>
      </c>
      <c r="U2315" s="25" t="e">
        <f ca="1"/>
        <v>#REF!</v>
      </c>
      <c r="V2315" s="25" t="e">
        <f ca="1"/>
        <v>#REF!</v>
      </c>
      <c r="W2315" s="33" t="e">
        <f ca="1"/>
        <v>#REF!</v>
      </c>
      <c r="X2315" s="33" t="e">
        <f ca="1"/>
        <v>#REF!</v>
      </c>
      <c r="Y2315" s="33" t="e">
        <f ca="1"/>
        <v>#REF!</v>
      </c>
      <c r="Z2315" s="33" t="e">
        <f ca="1"/>
        <v>#REF!</v>
      </c>
      <c r="AA2315" s="33" t="e">
        <f ca="1"/>
        <v>#REF!</v>
      </c>
    </row>
    <row r="2316" spans="1:27" s="70" customFormat="1" ht="11.25" x14ac:dyDescent="0.2">
      <c r="A2316" s="24">
        <v>2310</v>
      </c>
      <c r="B2316" s="27"/>
      <c r="C2316" s="28"/>
      <c r="D2316" s="71"/>
      <c r="E2316" s="28"/>
      <c r="F2316" s="25"/>
      <c r="G2316" s="27"/>
      <c r="H2316" s="28" t="e">
        <f ca="1"/>
        <v>#REF!</v>
      </c>
      <c r="I2316" s="27" t="e">
        <f ca="1"/>
        <v>#REF!</v>
      </c>
      <c r="J2316" s="28" t="e">
        <f ca="1"/>
        <v>#REF!</v>
      </c>
      <c r="K2316" s="27" t="e">
        <f ca="1"/>
        <v>#REF!</v>
      </c>
      <c r="L2316" s="25" t="e">
        <f ca="1"/>
        <v>#REF!</v>
      </c>
      <c r="M2316" s="25" t="e">
        <f ca="1"/>
        <v>#REF!</v>
      </c>
      <c r="N2316" s="25" t="e">
        <f ca="1"/>
        <v>#REF!</v>
      </c>
      <c r="O2316" s="25" t="e">
        <f ca="1"/>
        <v>#REF!</v>
      </c>
      <c r="P2316" s="25" t="e">
        <f ca="1"/>
        <v>#REF!</v>
      </c>
      <c r="Q2316" s="25" t="e">
        <f ca="1"/>
        <v>#REF!</v>
      </c>
      <c r="R2316" s="25" t="e">
        <f ca="1"/>
        <v>#REF!</v>
      </c>
      <c r="S2316" s="25" t="e">
        <f ca="1"/>
        <v>#REF!</v>
      </c>
      <c r="T2316" s="25" t="e">
        <f ca="1"/>
        <v>#REF!</v>
      </c>
      <c r="U2316" s="25" t="e">
        <f ca="1"/>
        <v>#REF!</v>
      </c>
      <c r="V2316" s="25" t="e">
        <f ca="1"/>
        <v>#REF!</v>
      </c>
      <c r="W2316" s="33" t="e">
        <f ca="1"/>
        <v>#REF!</v>
      </c>
      <c r="X2316" s="33" t="e">
        <f ca="1"/>
        <v>#REF!</v>
      </c>
      <c r="Y2316" s="33" t="e">
        <f ca="1"/>
        <v>#REF!</v>
      </c>
      <c r="Z2316" s="33" t="e">
        <f ca="1"/>
        <v>#REF!</v>
      </c>
      <c r="AA2316" s="33" t="e">
        <f ca="1"/>
        <v>#REF!</v>
      </c>
    </row>
    <row r="2317" spans="1:27" s="70" customFormat="1" ht="11.25" x14ac:dyDescent="0.2">
      <c r="A2317" s="24">
        <v>2311</v>
      </c>
      <c r="B2317" s="27"/>
      <c r="C2317" s="28"/>
      <c r="D2317" s="71"/>
      <c r="E2317" s="28"/>
      <c r="F2317" s="25"/>
      <c r="G2317" s="27"/>
      <c r="H2317" s="28" t="e">
        <f ca="1"/>
        <v>#REF!</v>
      </c>
      <c r="I2317" s="27" t="e">
        <f ca="1"/>
        <v>#REF!</v>
      </c>
      <c r="J2317" s="28" t="e">
        <f ca="1"/>
        <v>#REF!</v>
      </c>
      <c r="K2317" s="27" t="e">
        <f ca="1"/>
        <v>#REF!</v>
      </c>
      <c r="L2317" s="25" t="e">
        <f ca="1"/>
        <v>#REF!</v>
      </c>
      <c r="M2317" s="25" t="e">
        <f ca="1"/>
        <v>#REF!</v>
      </c>
      <c r="N2317" s="25" t="e">
        <f ca="1"/>
        <v>#REF!</v>
      </c>
      <c r="O2317" s="25" t="e">
        <f ca="1"/>
        <v>#REF!</v>
      </c>
      <c r="P2317" s="25" t="e">
        <f ca="1"/>
        <v>#REF!</v>
      </c>
      <c r="Q2317" s="25" t="e">
        <f ca="1"/>
        <v>#REF!</v>
      </c>
      <c r="R2317" s="25" t="e">
        <f ca="1"/>
        <v>#REF!</v>
      </c>
      <c r="S2317" s="25" t="e">
        <f ca="1"/>
        <v>#REF!</v>
      </c>
      <c r="T2317" s="25" t="e">
        <f ca="1"/>
        <v>#REF!</v>
      </c>
      <c r="U2317" s="25" t="e">
        <f ca="1"/>
        <v>#REF!</v>
      </c>
      <c r="V2317" s="25" t="e">
        <f ca="1"/>
        <v>#REF!</v>
      </c>
      <c r="W2317" s="33" t="e">
        <f ca="1"/>
        <v>#REF!</v>
      </c>
      <c r="X2317" s="33" t="e">
        <f ca="1"/>
        <v>#REF!</v>
      </c>
      <c r="Y2317" s="33" t="e">
        <f ca="1"/>
        <v>#REF!</v>
      </c>
      <c r="Z2317" s="33" t="e">
        <f ca="1"/>
        <v>#REF!</v>
      </c>
      <c r="AA2317" s="33" t="e">
        <f ca="1"/>
        <v>#REF!</v>
      </c>
    </row>
    <row r="2318" spans="1:27" s="70" customFormat="1" ht="11.25" x14ac:dyDescent="0.2">
      <c r="A2318" s="24">
        <v>2312</v>
      </c>
      <c r="B2318" s="27"/>
      <c r="C2318" s="28"/>
      <c r="D2318" s="71"/>
      <c r="E2318" s="28"/>
      <c r="F2318" s="25"/>
      <c r="G2318" s="27"/>
      <c r="H2318" s="28" t="e">
        <f ca="1"/>
        <v>#REF!</v>
      </c>
      <c r="I2318" s="27" t="e">
        <f ca="1"/>
        <v>#REF!</v>
      </c>
      <c r="J2318" s="28" t="e">
        <f ca="1"/>
        <v>#REF!</v>
      </c>
      <c r="K2318" s="27" t="e">
        <f ca="1"/>
        <v>#REF!</v>
      </c>
      <c r="L2318" s="25" t="e">
        <f ca="1"/>
        <v>#REF!</v>
      </c>
      <c r="M2318" s="25" t="e">
        <f ca="1"/>
        <v>#REF!</v>
      </c>
      <c r="N2318" s="25" t="e">
        <f ca="1"/>
        <v>#REF!</v>
      </c>
      <c r="O2318" s="25" t="e">
        <f ca="1"/>
        <v>#REF!</v>
      </c>
      <c r="P2318" s="25" t="e">
        <f ca="1"/>
        <v>#REF!</v>
      </c>
      <c r="Q2318" s="25" t="e">
        <f ca="1"/>
        <v>#REF!</v>
      </c>
      <c r="R2318" s="25" t="e">
        <f ca="1"/>
        <v>#REF!</v>
      </c>
      <c r="S2318" s="25" t="e">
        <f ca="1"/>
        <v>#REF!</v>
      </c>
      <c r="T2318" s="25" t="e">
        <f ca="1"/>
        <v>#REF!</v>
      </c>
      <c r="U2318" s="25" t="e">
        <f ca="1"/>
        <v>#REF!</v>
      </c>
      <c r="V2318" s="25" t="e">
        <f ca="1"/>
        <v>#REF!</v>
      </c>
      <c r="W2318" s="33" t="e">
        <f ca="1"/>
        <v>#REF!</v>
      </c>
      <c r="X2318" s="33" t="e">
        <f ca="1"/>
        <v>#REF!</v>
      </c>
      <c r="Y2318" s="33" t="e">
        <f ca="1"/>
        <v>#REF!</v>
      </c>
      <c r="Z2318" s="33" t="e">
        <f ca="1"/>
        <v>#REF!</v>
      </c>
      <c r="AA2318" s="33" t="e">
        <f ca="1"/>
        <v>#REF!</v>
      </c>
    </row>
    <row r="2319" spans="1:27" s="70" customFormat="1" ht="11.25" x14ac:dyDescent="0.2">
      <c r="A2319" s="24">
        <v>2313</v>
      </c>
      <c r="B2319" s="27"/>
      <c r="C2319" s="28"/>
      <c r="D2319" s="71"/>
      <c r="E2319" s="28"/>
      <c r="F2319" s="25"/>
      <c r="G2319" s="27"/>
      <c r="H2319" s="28" t="e">
        <f ca="1"/>
        <v>#REF!</v>
      </c>
      <c r="I2319" s="27" t="e">
        <f ca="1"/>
        <v>#REF!</v>
      </c>
      <c r="J2319" s="28" t="e">
        <f ca="1"/>
        <v>#REF!</v>
      </c>
      <c r="K2319" s="27" t="e">
        <f ca="1"/>
        <v>#REF!</v>
      </c>
      <c r="L2319" s="25" t="e">
        <f ca="1"/>
        <v>#REF!</v>
      </c>
      <c r="M2319" s="25" t="e">
        <f ca="1"/>
        <v>#REF!</v>
      </c>
      <c r="N2319" s="25" t="e">
        <f ca="1"/>
        <v>#REF!</v>
      </c>
      <c r="O2319" s="25" t="e">
        <f ca="1"/>
        <v>#REF!</v>
      </c>
      <c r="P2319" s="25" t="e">
        <f ca="1"/>
        <v>#REF!</v>
      </c>
      <c r="Q2319" s="25" t="e">
        <f ca="1"/>
        <v>#REF!</v>
      </c>
      <c r="R2319" s="25" t="e">
        <f ca="1"/>
        <v>#REF!</v>
      </c>
      <c r="S2319" s="25" t="e">
        <f ca="1"/>
        <v>#REF!</v>
      </c>
      <c r="T2319" s="25" t="e">
        <f ca="1"/>
        <v>#REF!</v>
      </c>
      <c r="U2319" s="25" t="e">
        <f ca="1"/>
        <v>#REF!</v>
      </c>
      <c r="V2319" s="25" t="e">
        <f ca="1"/>
        <v>#REF!</v>
      </c>
      <c r="W2319" s="33" t="e">
        <f ca="1"/>
        <v>#REF!</v>
      </c>
      <c r="X2319" s="33" t="e">
        <f ca="1"/>
        <v>#REF!</v>
      </c>
      <c r="Y2319" s="33" t="e">
        <f ca="1"/>
        <v>#REF!</v>
      </c>
      <c r="Z2319" s="33" t="e">
        <f ca="1"/>
        <v>#REF!</v>
      </c>
      <c r="AA2319" s="33" t="e">
        <f ca="1"/>
        <v>#REF!</v>
      </c>
    </row>
    <row r="2320" spans="1:27" s="70" customFormat="1" ht="11.25" x14ac:dyDescent="0.2">
      <c r="A2320" s="24">
        <v>2314</v>
      </c>
      <c r="B2320" s="27"/>
      <c r="C2320" s="28"/>
      <c r="D2320" s="71"/>
      <c r="E2320" s="28"/>
      <c r="F2320" s="25"/>
      <c r="G2320" s="27"/>
      <c r="H2320" s="28" t="e">
        <f ca="1"/>
        <v>#REF!</v>
      </c>
      <c r="I2320" s="27" t="e">
        <f ca="1"/>
        <v>#REF!</v>
      </c>
      <c r="J2320" s="28" t="e">
        <f ca="1"/>
        <v>#REF!</v>
      </c>
      <c r="K2320" s="27" t="e">
        <f ca="1"/>
        <v>#REF!</v>
      </c>
      <c r="L2320" s="25" t="e">
        <f ca="1"/>
        <v>#REF!</v>
      </c>
      <c r="M2320" s="25" t="e">
        <f ca="1"/>
        <v>#REF!</v>
      </c>
      <c r="N2320" s="25" t="e">
        <f ca="1"/>
        <v>#REF!</v>
      </c>
      <c r="O2320" s="25" t="e">
        <f ca="1"/>
        <v>#REF!</v>
      </c>
      <c r="P2320" s="25" t="e">
        <f ca="1"/>
        <v>#REF!</v>
      </c>
      <c r="Q2320" s="25" t="e">
        <f ca="1"/>
        <v>#REF!</v>
      </c>
      <c r="R2320" s="25" t="e">
        <f ca="1"/>
        <v>#REF!</v>
      </c>
      <c r="S2320" s="25" t="e">
        <f ca="1"/>
        <v>#REF!</v>
      </c>
      <c r="T2320" s="25" t="e">
        <f ca="1"/>
        <v>#REF!</v>
      </c>
      <c r="U2320" s="25" t="e">
        <f ca="1"/>
        <v>#REF!</v>
      </c>
      <c r="V2320" s="25" t="e">
        <f ca="1"/>
        <v>#REF!</v>
      </c>
      <c r="W2320" s="33" t="e">
        <f ca="1"/>
        <v>#REF!</v>
      </c>
      <c r="X2320" s="33" t="e">
        <f ca="1"/>
        <v>#REF!</v>
      </c>
      <c r="Y2320" s="33" t="e">
        <f ca="1"/>
        <v>#REF!</v>
      </c>
      <c r="Z2320" s="33" t="e">
        <f ca="1"/>
        <v>#REF!</v>
      </c>
      <c r="AA2320" s="33" t="e">
        <f ca="1"/>
        <v>#REF!</v>
      </c>
    </row>
    <row r="2321" spans="1:27" s="70" customFormat="1" ht="11.25" x14ac:dyDescent="0.2">
      <c r="A2321" s="24">
        <v>2315</v>
      </c>
      <c r="B2321" s="27"/>
      <c r="C2321" s="28"/>
      <c r="D2321" s="71"/>
      <c r="E2321" s="28"/>
      <c r="F2321" s="25"/>
      <c r="G2321" s="27"/>
      <c r="H2321" s="28" t="e">
        <f ca="1"/>
        <v>#REF!</v>
      </c>
      <c r="I2321" s="27" t="e">
        <f ca="1"/>
        <v>#REF!</v>
      </c>
      <c r="J2321" s="28" t="e">
        <f ca="1"/>
        <v>#REF!</v>
      </c>
      <c r="K2321" s="27" t="e">
        <f ca="1"/>
        <v>#REF!</v>
      </c>
      <c r="L2321" s="25" t="e">
        <f ca="1"/>
        <v>#REF!</v>
      </c>
      <c r="M2321" s="25" t="e">
        <f ca="1"/>
        <v>#REF!</v>
      </c>
      <c r="N2321" s="25" t="e">
        <f ca="1"/>
        <v>#REF!</v>
      </c>
      <c r="O2321" s="25" t="e">
        <f ca="1"/>
        <v>#REF!</v>
      </c>
      <c r="P2321" s="25" t="e">
        <f ca="1"/>
        <v>#REF!</v>
      </c>
      <c r="Q2321" s="25" t="e">
        <f ca="1"/>
        <v>#REF!</v>
      </c>
      <c r="R2321" s="25" t="e">
        <f ca="1"/>
        <v>#REF!</v>
      </c>
      <c r="S2321" s="25" t="e">
        <f ca="1"/>
        <v>#REF!</v>
      </c>
      <c r="T2321" s="25" t="e">
        <f ca="1"/>
        <v>#REF!</v>
      </c>
      <c r="U2321" s="25" t="e">
        <f ca="1"/>
        <v>#REF!</v>
      </c>
      <c r="V2321" s="25" t="e">
        <f ca="1"/>
        <v>#REF!</v>
      </c>
      <c r="W2321" s="33" t="e">
        <f ca="1"/>
        <v>#REF!</v>
      </c>
      <c r="X2321" s="33" t="e">
        <f ca="1"/>
        <v>#REF!</v>
      </c>
      <c r="Y2321" s="33" t="e">
        <f ca="1"/>
        <v>#REF!</v>
      </c>
      <c r="Z2321" s="33" t="e">
        <f ca="1"/>
        <v>#REF!</v>
      </c>
      <c r="AA2321" s="33" t="e">
        <f ca="1"/>
        <v>#REF!</v>
      </c>
    </row>
    <row r="2322" spans="1:27" s="70" customFormat="1" ht="11.25" x14ac:dyDescent="0.2">
      <c r="A2322" s="24">
        <v>2316</v>
      </c>
      <c r="B2322" s="27"/>
      <c r="C2322" s="28"/>
      <c r="D2322" s="71"/>
      <c r="E2322" s="28"/>
      <c r="F2322" s="25"/>
      <c r="G2322" s="27"/>
      <c r="H2322" s="28" t="e">
        <f ca="1"/>
        <v>#REF!</v>
      </c>
      <c r="I2322" s="27" t="e">
        <f ca="1"/>
        <v>#REF!</v>
      </c>
      <c r="J2322" s="28" t="e">
        <f ca="1"/>
        <v>#REF!</v>
      </c>
      <c r="K2322" s="27" t="e">
        <f ca="1"/>
        <v>#REF!</v>
      </c>
      <c r="L2322" s="25" t="e">
        <f ca="1"/>
        <v>#REF!</v>
      </c>
      <c r="M2322" s="25" t="e">
        <f ca="1"/>
        <v>#REF!</v>
      </c>
      <c r="N2322" s="25" t="e">
        <f ca="1"/>
        <v>#REF!</v>
      </c>
      <c r="O2322" s="25" t="e">
        <f ca="1"/>
        <v>#REF!</v>
      </c>
      <c r="P2322" s="25" t="e">
        <f ca="1"/>
        <v>#REF!</v>
      </c>
      <c r="Q2322" s="25" t="e">
        <f ca="1"/>
        <v>#REF!</v>
      </c>
      <c r="R2322" s="25" t="e">
        <f ca="1"/>
        <v>#REF!</v>
      </c>
      <c r="S2322" s="25" t="e">
        <f ca="1"/>
        <v>#REF!</v>
      </c>
      <c r="T2322" s="25" t="e">
        <f ca="1"/>
        <v>#REF!</v>
      </c>
      <c r="U2322" s="25" t="e">
        <f ca="1"/>
        <v>#REF!</v>
      </c>
      <c r="V2322" s="25" t="e">
        <f ca="1"/>
        <v>#REF!</v>
      </c>
      <c r="W2322" s="33" t="e">
        <f ca="1"/>
        <v>#REF!</v>
      </c>
      <c r="X2322" s="33" t="e">
        <f ca="1"/>
        <v>#REF!</v>
      </c>
      <c r="Y2322" s="33" t="e">
        <f ca="1"/>
        <v>#REF!</v>
      </c>
      <c r="Z2322" s="33" t="e">
        <f ca="1"/>
        <v>#REF!</v>
      </c>
      <c r="AA2322" s="33" t="e">
        <f ca="1"/>
        <v>#REF!</v>
      </c>
    </row>
    <row r="2323" spans="1:27" s="70" customFormat="1" ht="11.25" x14ac:dyDescent="0.2">
      <c r="A2323" s="24">
        <v>2317</v>
      </c>
      <c r="B2323" s="27"/>
      <c r="C2323" s="28"/>
      <c r="D2323" s="71"/>
      <c r="E2323" s="28"/>
      <c r="F2323" s="25"/>
      <c r="G2323" s="27"/>
      <c r="H2323" s="28" t="e">
        <f ca="1"/>
        <v>#REF!</v>
      </c>
      <c r="I2323" s="27" t="e">
        <f ca="1"/>
        <v>#REF!</v>
      </c>
      <c r="J2323" s="28" t="e">
        <f ca="1"/>
        <v>#REF!</v>
      </c>
      <c r="K2323" s="27" t="e">
        <f ca="1"/>
        <v>#REF!</v>
      </c>
      <c r="L2323" s="25" t="e">
        <f ca="1"/>
        <v>#REF!</v>
      </c>
      <c r="M2323" s="25" t="e">
        <f ca="1"/>
        <v>#REF!</v>
      </c>
      <c r="N2323" s="25" t="e">
        <f ca="1"/>
        <v>#REF!</v>
      </c>
      <c r="O2323" s="25" t="e">
        <f ca="1"/>
        <v>#REF!</v>
      </c>
      <c r="P2323" s="25" t="e">
        <f ca="1"/>
        <v>#REF!</v>
      </c>
      <c r="Q2323" s="25" t="e">
        <f ca="1"/>
        <v>#REF!</v>
      </c>
      <c r="R2323" s="25" t="e">
        <f ca="1"/>
        <v>#REF!</v>
      </c>
      <c r="S2323" s="25" t="e">
        <f ca="1"/>
        <v>#REF!</v>
      </c>
      <c r="T2323" s="25" t="e">
        <f ca="1"/>
        <v>#REF!</v>
      </c>
      <c r="U2323" s="25" t="e">
        <f ca="1"/>
        <v>#REF!</v>
      </c>
      <c r="V2323" s="25" t="e">
        <f ca="1"/>
        <v>#REF!</v>
      </c>
      <c r="W2323" s="33" t="e">
        <f ca="1"/>
        <v>#REF!</v>
      </c>
      <c r="X2323" s="33" t="e">
        <f ca="1"/>
        <v>#REF!</v>
      </c>
      <c r="Y2323" s="33" t="e">
        <f ca="1"/>
        <v>#REF!</v>
      </c>
      <c r="Z2323" s="33" t="e">
        <f ca="1"/>
        <v>#REF!</v>
      </c>
      <c r="AA2323" s="33" t="e">
        <f ca="1"/>
        <v>#REF!</v>
      </c>
    </row>
    <row r="2324" spans="1:27" s="70" customFormat="1" ht="11.25" x14ac:dyDescent="0.2">
      <c r="A2324" s="24">
        <v>2318</v>
      </c>
      <c r="B2324" s="27"/>
      <c r="C2324" s="28"/>
      <c r="D2324" s="71"/>
      <c r="E2324" s="28"/>
      <c r="F2324" s="25"/>
      <c r="G2324" s="27"/>
      <c r="H2324" s="28" t="e">
        <f ca="1"/>
        <v>#REF!</v>
      </c>
      <c r="I2324" s="27" t="e">
        <f ca="1"/>
        <v>#REF!</v>
      </c>
      <c r="J2324" s="28" t="e">
        <f ca="1"/>
        <v>#REF!</v>
      </c>
      <c r="K2324" s="27" t="e">
        <f ca="1"/>
        <v>#REF!</v>
      </c>
      <c r="L2324" s="25" t="e">
        <f ca="1"/>
        <v>#REF!</v>
      </c>
      <c r="M2324" s="25" t="e">
        <f ca="1"/>
        <v>#REF!</v>
      </c>
      <c r="N2324" s="25" t="e">
        <f ca="1"/>
        <v>#REF!</v>
      </c>
      <c r="O2324" s="25" t="e">
        <f ca="1"/>
        <v>#REF!</v>
      </c>
      <c r="P2324" s="25" t="e">
        <f ca="1"/>
        <v>#REF!</v>
      </c>
      <c r="Q2324" s="25" t="e">
        <f ca="1"/>
        <v>#REF!</v>
      </c>
      <c r="R2324" s="25" t="e">
        <f ca="1"/>
        <v>#REF!</v>
      </c>
      <c r="S2324" s="25" t="e">
        <f ca="1"/>
        <v>#REF!</v>
      </c>
      <c r="T2324" s="25" t="e">
        <f ca="1"/>
        <v>#REF!</v>
      </c>
      <c r="U2324" s="25" t="e">
        <f ca="1"/>
        <v>#REF!</v>
      </c>
      <c r="V2324" s="25" t="e">
        <f ca="1"/>
        <v>#REF!</v>
      </c>
      <c r="W2324" s="33" t="e">
        <f ca="1"/>
        <v>#REF!</v>
      </c>
      <c r="X2324" s="33" t="e">
        <f ca="1"/>
        <v>#REF!</v>
      </c>
      <c r="Y2324" s="33" t="e">
        <f ca="1"/>
        <v>#REF!</v>
      </c>
      <c r="Z2324" s="33" t="e">
        <f ca="1"/>
        <v>#REF!</v>
      </c>
      <c r="AA2324" s="33" t="e">
        <f ca="1"/>
        <v>#REF!</v>
      </c>
    </row>
    <row r="2325" spans="1:27" s="70" customFormat="1" ht="11.25" x14ac:dyDescent="0.2">
      <c r="A2325" s="24">
        <v>2319</v>
      </c>
      <c r="B2325" s="27"/>
      <c r="C2325" s="28"/>
      <c r="D2325" s="71"/>
      <c r="E2325" s="28"/>
      <c r="F2325" s="25"/>
      <c r="G2325" s="27"/>
      <c r="H2325" s="28" t="e">
        <f ca="1"/>
        <v>#REF!</v>
      </c>
      <c r="I2325" s="27" t="e">
        <f ca="1"/>
        <v>#REF!</v>
      </c>
      <c r="J2325" s="28" t="e">
        <f ca="1"/>
        <v>#REF!</v>
      </c>
      <c r="K2325" s="27" t="e">
        <f ca="1"/>
        <v>#REF!</v>
      </c>
      <c r="L2325" s="25" t="e">
        <f ca="1"/>
        <v>#REF!</v>
      </c>
      <c r="M2325" s="25" t="e">
        <f ca="1"/>
        <v>#REF!</v>
      </c>
      <c r="N2325" s="25" t="e">
        <f ca="1"/>
        <v>#REF!</v>
      </c>
      <c r="O2325" s="25" t="e">
        <f ca="1"/>
        <v>#REF!</v>
      </c>
      <c r="P2325" s="25" t="e">
        <f ca="1"/>
        <v>#REF!</v>
      </c>
      <c r="Q2325" s="25" t="e">
        <f ca="1"/>
        <v>#REF!</v>
      </c>
      <c r="R2325" s="25" t="e">
        <f ca="1"/>
        <v>#REF!</v>
      </c>
      <c r="S2325" s="25" t="e">
        <f ca="1"/>
        <v>#REF!</v>
      </c>
      <c r="T2325" s="25" t="e">
        <f ca="1"/>
        <v>#REF!</v>
      </c>
      <c r="U2325" s="25" t="e">
        <f ca="1"/>
        <v>#REF!</v>
      </c>
      <c r="V2325" s="25" t="e">
        <f ca="1"/>
        <v>#REF!</v>
      </c>
      <c r="W2325" s="33" t="e">
        <f ca="1"/>
        <v>#REF!</v>
      </c>
      <c r="X2325" s="33" t="e">
        <f ca="1"/>
        <v>#REF!</v>
      </c>
      <c r="Y2325" s="33" t="e">
        <f ca="1"/>
        <v>#REF!</v>
      </c>
      <c r="Z2325" s="33" t="e">
        <f ca="1"/>
        <v>#REF!</v>
      </c>
      <c r="AA2325" s="33" t="e">
        <f ca="1"/>
        <v>#REF!</v>
      </c>
    </row>
    <row r="2326" spans="1:27" s="70" customFormat="1" ht="11.25" x14ac:dyDescent="0.2">
      <c r="A2326" s="24">
        <v>2320</v>
      </c>
      <c r="B2326" s="27"/>
      <c r="C2326" s="28"/>
      <c r="D2326" s="71"/>
      <c r="E2326" s="28"/>
      <c r="F2326" s="25"/>
      <c r="G2326" s="27"/>
      <c r="H2326" s="28" t="e">
        <f ca="1"/>
        <v>#REF!</v>
      </c>
      <c r="I2326" s="27" t="e">
        <f ca="1"/>
        <v>#REF!</v>
      </c>
      <c r="J2326" s="28" t="e">
        <f ca="1"/>
        <v>#REF!</v>
      </c>
      <c r="K2326" s="27" t="e">
        <f ca="1"/>
        <v>#REF!</v>
      </c>
      <c r="L2326" s="25" t="e">
        <f ca="1"/>
        <v>#REF!</v>
      </c>
      <c r="M2326" s="25" t="e">
        <f ca="1"/>
        <v>#REF!</v>
      </c>
      <c r="N2326" s="25" t="e">
        <f ca="1"/>
        <v>#REF!</v>
      </c>
      <c r="O2326" s="25" t="e">
        <f ca="1"/>
        <v>#REF!</v>
      </c>
      <c r="P2326" s="25" t="e">
        <f ca="1"/>
        <v>#REF!</v>
      </c>
      <c r="Q2326" s="25" t="e">
        <f ca="1"/>
        <v>#REF!</v>
      </c>
      <c r="R2326" s="25" t="e">
        <f ca="1"/>
        <v>#REF!</v>
      </c>
      <c r="S2326" s="25" t="e">
        <f ca="1"/>
        <v>#REF!</v>
      </c>
      <c r="T2326" s="25" t="e">
        <f ca="1"/>
        <v>#REF!</v>
      </c>
      <c r="U2326" s="25" t="e">
        <f ca="1"/>
        <v>#REF!</v>
      </c>
      <c r="V2326" s="25" t="e">
        <f ca="1"/>
        <v>#REF!</v>
      </c>
      <c r="W2326" s="33" t="e">
        <f ca="1"/>
        <v>#REF!</v>
      </c>
      <c r="X2326" s="33" t="e">
        <f ca="1"/>
        <v>#REF!</v>
      </c>
      <c r="Y2326" s="33" t="e">
        <f ca="1"/>
        <v>#REF!</v>
      </c>
      <c r="Z2326" s="33" t="e">
        <f ca="1"/>
        <v>#REF!</v>
      </c>
      <c r="AA2326" s="33" t="e">
        <f ca="1"/>
        <v>#REF!</v>
      </c>
    </row>
    <row r="2327" spans="1:27" s="70" customFormat="1" ht="11.25" x14ac:dyDescent="0.2">
      <c r="A2327" s="24">
        <v>2321</v>
      </c>
      <c r="B2327" s="27"/>
      <c r="C2327" s="28"/>
      <c r="D2327" s="71"/>
      <c r="E2327" s="28"/>
      <c r="F2327" s="25"/>
      <c r="G2327" s="27"/>
      <c r="H2327" s="28" t="e">
        <f ca="1"/>
        <v>#REF!</v>
      </c>
      <c r="I2327" s="27" t="e">
        <f ca="1"/>
        <v>#REF!</v>
      </c>
      <c r="J2327" s="28" t="e">
        <f ca="1"/>
        <v>#REF!</v>
      </c>
      <c r="K2327" s="27" t="e">
        <f ca="1"/>
        <v>#REF!</v>
      </c>
      <c r="L2327" s="25" t="e">
        <f ca="1"/>
        <v>#REF!</v>
      </c>
      <c r="M2327" s="25" t="e">
        <f ca="1"/>
        <v>#REF!</v>
      </c>
      <c r="N2327" s="25" t="e">
        <f ca="1"/>
        <v>#REF!</v>
      </c>
      <c r="O2327" s="25" t="e">
        <f ca="1"/>
        <v>#REF!</v>
      </c>
      <c r="P2327" s="25" t="e">
        <f ca="1"/>
        <v>#REF!</v>
      </c>
      <c r="Q2327" s="25" t="e">
        <f ca="1"/>
        <v>#REF!</v>
      </c>
      <c r="R2327" s="25" t="e">
        <f ca="1"/>
        <v>#REF!</v>
      </c>
      <c r="S2327" s="25" t="e">
        <f ca="1"/>
        <v>#REF!</v>
      </c>
      <c r="T2327" s="25" t="e">
        <f ca="1"/>
        <v>#REF!</v>
      </c>
      <c r="U2327" s="25" t="e">
        <f ca="1"/>
        <v>#REF!</v>
      </c>
      <c r="V2327" s="25" t="e">
        <f ca="1"/>
        <v>#REF!</v>
      </c>
      <c r="W2327" s="33" t="e">
        <f ca="1"/>
        <v>#REF!</v>
      </c>
      <c r="X2327" s="33" t="e">
        <f ca="1"/>
        <v>#REF!</v>
      </c>
      <c r="Y2327" s="33" t="e">
        <f ca="1"/>
        <v>#REF!</v>
      </c>
      <c r="Z2327" s="33" t="e">
        <f ca="1"/>
        <v>#REF!</v>
      </c>
      <c r="AA2327" s="33" t="e">
        <f ca="1"/>
        <v>#REF!</v>
      </c>
    </row>
    <row r="2328" spans="1:27" s="70" customFormat="1" ht="11.25" x14ac:dyDescent="0.2">
      <c r="A2328" s="24">
        <v>2322</v>
      </c>
      <c r="B2328" s="27"/>
      <c r="C2328" s="28"/>
      <c r="D2328" s="71"/>
      <c r="E2328" s="28"/>
      <c r="F2328" s="25"/>
      <c r="G2328" s="27"/>
      <c r="H2328" s="28" t="e">
        <f ca="1"/>
        <v>#REF!</v>
      </c>
      <c r="I2328" s="27" t="e">
        <f ca="1"/>
        <v>#REF!</v>
      </c>
      <c r="J2328" s="28" t="e">
        <f ca="1"/>
        <v>#REF!</v>
      </c>
      <c r="K2328" s="27" t="e">
        <f ca="1"/>
        <v>#REF!</v>
      </c>
      <c r="L2328" s="25" t="e">
        <f ca="1"/>
        <v>#REF!</v>
      </c>
      <c r="M2328" s="25" t="e">
        <f ca="1"/>
        <v>#REF!</v>
      </c>
      <c r="N2328" s="25" t="e">
        <f ca="1"/>
        <v>#REF!</v>
      </c>
      <c r="O2328" s="25" t="e">
        <f ca="1"/>
        <v>#REF!</v>
      </c>
      <c r="P2328" s="25" t="e">
        <f ca="1"/>
        <v>#REF!</v>
      </c>
      <c r="Q2328" s="25" t="e">
        <f ca="1"/>
        <v>#REF!</v>
      </c>
      <c r="R2328" s="25" t="e">
        <f ca="1"/>
        <v>#REF!</v>
      </c>
      <c r="S2328" s="25" t="e">
        <f ca="1"/>
        <v>#REF!</v>
      </c>
      <c r="T2328" s="25" t="e">
        <f ca="1"/>
        <v>#REF!</v>
      </c>
      <c r="U2328" s="25" t="e">
        <f ca="1"/>
        <v>#REF!</v>
      </c>
      <c r="V2328" s="25" t="e">
        <f ca="1"/>
        <v>#REF!</v>
      </c>
      <c r="W2328" s="33" t="e">
        <f ca="1"/>
        <v>#REF!</v>
      </c>
      <c r="X2328" s="33" t="e">
        <f ca="1"/>
        <v>#REF!</v>
      </c>
      <c r="Y2328" s="33" t="e">
        <f ca="1"/>
        <v>#REF!</v>
      </c>
      <c r="Z2328" s="33" t="e">
        <f ca="1"/>
        <v>#REF!</v>
      </c>
      <c r="AA2328" s="33" t="e">
        <f ca="1"/>
        <v>#REF!</v>
      </c>
    </row>
    <row r="2329" spans="1:27" s="70" customFormat="1" ht="11.25" x14ac:dyDescent="0.2">
      <c r="A2329" s="24">
        <v>2323</v>
      </c>
      <c r="B2329" s="27"/>
      <c r="C2329" s="28"/>
      <c r="D2329" s="71"/>
      <c r="E2329" s="28"/>
      <c r="F2329" s="25"/>
      <c r="G2329" s="27"/>
      <c r="H2329" s="28" t="e">
        <f ca="1"/>
        <v>#REF!</v>
      </c>
      <c r="I2329" s="27" t="e">
        <f ca="1"/>
        <v>#REF!</v>
      </c>
      <c r="J2329" s="28" t="e">
        <f ca="1"/>
        <v>#REF!</v>
      </c>
      <c r="K2329" s="27" t="e">
        <f ca="1"/>
        <v>#REF!</v>
      </c>
      <c r="L2329" s="25" t="e">
        <f ca="1"/>
        <v>#REF!</v>
      </c>
      <c r="M2329" s="25" t="e">
        <f ca="1"/>
        <v>#REF!</v>
      </c>
      <c r="N2329" s="25" t="e">
        <f ca="1"/>
        <v>#REF!</v>
      </c>
      <c r="O2329" s="25" t="e">
        <f ca="1"/>
        <v>#REF!</v>
      </c>
      <c r="P2329" s="25" t="e">
        <f ca="1"/>
        <v>#REF!</v>
      </c>
      <c r="Q2329" s="25" t="e">
        <f ca="1"/>
        <v>#REF!</v>
      </c>
      <c r="R2329" s="25" t="e">
        <f ca="1"/>
        <v>#REF!</v>
      </c>
      <c r="S2329" s="25" t="e">
        <f ca="1"/>
        <v>#REF!</v>
      </c>
      <c r="T2329" s="25" t="e">
        <f ca="1"/>
        <v>#REF!</v>
      </c>
      <c r="U2329" s="25" t="e">
        <f ca="1"/>
        <v>#REF!</v>
      </c>
      <c r="V2329" s="25" t="e">
        <f ca="1"/>
        <v>#REF!</v>
      </c>
      <c r="W2329" s="33" t="e">
        <f ca="1"/>
        <v>#REF!</v>
      </c>
      <c r="X2329" s="33" t="e">
        <f ca="1"/>
        <v>#REF!</v>
      </c>
      <c r="Y2329" s="33" t="e">
        <f ca="1"/>
        <v>#REF!</v>
      </c>
      <c r="Z2329" s="33" t="e">
        <f ca="1"/>
        <v>#REF!</v>
      </c>
      <c r="AA2329" s="33" t="e">
        <f ca="1"/>
        <v>#REF!</v>
      </c>
    </row>
    <row r="2330" spans="1:27" s="70" customFormat="1" ht="11.25" x14ac:dyDescent="0.2">
      <c r="A2330" s="24">
        <v>2324</v>
      </c>
      <c r="B2330" s="27"/>
      <c r="C2330" s="28"/>
      <c r="D2330" s="71"/>
      <c r="E2330" s="28"/>
      <c r="F2330" s="25"/>
      <c r="G2330" s="27"/>
      <c r="H2330" s="28" t="e">
        <f ca="1"/>
        <v>#REF!</v>
      </c>
      <c r="I2330" s="27" t="e">
        <f ca="1"/>
        <v>#REF!</v>
      </c>
      <c r="J2330" s="28" t="e">
        <f ca="1"/>
        <v>#REF!</v>
      </c>
      <c r="K2330" s="27" t="e">
        <f ca="1"/>
        <v>#REF!</v>
      </c>
      <c r="L2330" s="25" t="e">
        <f ca="1"/>
        <v>#REF!</v>
      </c>
      <c r="M2330" s="25" t="e">
        <f ca="1"/>
        <v>#REF!</v>
      </c>
      <c r="N2330" s="25" t="e">
        <f ca="1"/>
        <v>#REF!</v>
      </c>
      <c r="O2330" s="25" t="e">
        <f ca="1"/>
        <v>#REF!</v>
      </c>
      <c r="P2330" s="25" t="e">
        <f ca="1"/>
        <v>#REF!</v>
      </c>
      <c r="Q2330" s="25" t="e">
        <f ca="1"/>
        <v>#REF!</v>
      </c>
      <c r="R2330" s="25" t="e">
        <f ca="1"/>
        <v>#REF!</v>
      </c>
      <c r="S2330" s="25" t="e">
        <f ca="1"/>
        <v>#REF!</v>
      </c>
      <c r="T2330" s="25" t="e">
        <f ca="1"/>
        <v>#REF!</v>
      </c>
      <c r="U2330" s="25" t="e">
        <f ca="1"/>
        <v>#REF!</v>
      </c>
      <c r="V2330" s="25" t="e">
        <f ca="1"/>
        <v>#REF!</v>
      </c>
      <c r="W2330" s="33" t="e">
        <f ca="1"/>
        <v>#REF!</v>
      </c>
      <c r="X2330" s="33" t="e">
        <f ca="1"/>
        <v>#REF!</v>
      </c>
      <c r="Y2330" s="33" t="e">
        <f ca="1"/>
        <v>#REF!</v>
      </c>
      <c r="Z2330" s="33" t="e">
        <f ca="1"/>
        <v>#REF!</v>
      </c>
      <c r="AA2330" s="33" t="e">
        <f ca="1"/>
        <v>#REF!</v>
      </c>
    </row>
    <row r="2331" spans="1:27" s="70" customFormat="1" ht="11.25" x14ac:dyDescent="0.2">
      <c r="A2331" s="24">
        <v>2325</v>
      </c>
      <c r="B2331" s="27"/>
      <c r="C2331" s="28"/>
      <c r="D2331" s="71"/>
      <c r="E2331" s="28"/>
      <c r="F2331" s="25"/>
      <c r="G2331" s="27"/>
      <c r="H2331" s="28" t="e">
        <f ca="1"/>
        <v>#REF!</v>
      </c>
      <c r="I2331" s="27" t="e">
        <f ca="1"/>
        <v>#REF!</v>
      </c>
      <c r="J2331" s="28" t="e">
        <f ca="1"/>
        <v>#REF!</v>
      </c>
      <c r="K2331" s="27" t="e">
        <f ca="1"/>
        <v>#REF!</v>
      </c>
      <c r="L2331" s="25" t="e">
        <f ca="1"/>
        <v>#REF!</v>
      </c>
      <c r="M2331" s="25" t="e">
        <f ca="1"/>
        <v>#REF!</v>
      </c>
      <c r="N2331" s="25" t="e">
        <f ca="1"/>
        <v>#REF!</v>
      </c>
      <c r="O2331" s="25" t="e">
        <f ca="1"/>
        <v>#REF!</v>
      </c>
      <c r="P2331" s="25" t="e">
        <f ca="1"/>
        <v>#REF!</v>
      </c>
      <c r="Q2331" s="25" t="e">
        <f ca="1"/>
        <v>#REF!</v>
      </c>
      <c r="R2331" s="25" t="e">
        <f ca="1"/>
        <v>#REF!</v>
      </c>
      <c r="S2331" s="25" t="e">
        <f ca="1"/>
        <v>#REF!</v>
      </c>
      <c r="T2331" s="25" t="e">
        <f ca="1"/>
        <v>#REF!</v>
      </c>
      <c r="U2331" s="25" t="e">
        <f ca="1"/>
        <v>#REF!</v>
      </c>
      <c r="V2331" s="25" t="e">
        <f ca="1"/>
        <v>#REF!</v>
      </c>
      <c r="W2331" s="33" t="e">
        <f ca="1"/>
        <v>#REF!</v>
      </c>
      <c r="X2331" s="33" t="e">
        <f ca="1"/>
        <v>#REF!</v>
      </c>
      <c r="Y2331" s="33" t="e">
        <f ca="1"/>
        <v>#REF!</v>
      </c>
      <c r="Z2331" s="33" t="e">
        <f ca="1"/>
        <v>#REF!</v>
      </c>
      <c r="AA2331" s="33" t="e">
        <f ca="1"/>
        <v>#REF!</v>
      </c>
    </row>
    <row r="2332" spans="1:27" s="70" customFormat="1" ht="11.25" x14ac:dyDescent="0.2">
      <c r="A2332" s="24">
        <v>2326</v>
      </c>
      <c r="B2332" s="27"/>
      <c r="C2332" s="28"/>
      <c r="D2332" s="71"/>
      <c r="E2332" s="28"/>
      <c r="F2332" s="25"/>
      <c r="G2332" s="27"/>
      <c r="H2332" s="28" t="e">
        <f ca="1"/>
        <v>#REF!</v>
      </c>
      <c r="I2332" s="27" t="e">
        <f ca="1"/>
        <v>#REF!</v>
      </c>
      <c r="J2332" s="28" t="e">
        <f ca="1"/>
        <v>#REF!</v>
      </c>
      <c r="K2332" s="27" t="e">
        <f ca="1"/>
        <v>#REF!</v>
      </c>
      <c r="L2332" s="25" t="e">
        <f ca="1"/>
        <v>#REF!</v>
      </c>
      <c r="M2332" s="25" t="e">
        <f ca="1"/>
        <v>#REF!</v>
      </c>
      <c r="N2332" s="25" t="e">
        <f ca="1"/>
        <v>#REF!</v>
      </c>
      <c r="O2332" s="25" t="e">
        <f ca="1"/>
        <v>#REF!</v>
      </c>
      <c r="P2332" s="25" t="e">
        <f ca="1"/>
        <v>#REF!</v>
      </c>
      <c r="Q2332" s="25" t="e">
        <f ca="1"/>
        <v>#REF!</v>
      </c>
      <c r="R2332" s="25" t="e">
        <f ca="1"/>
        <v>#REF!</v>
      </c>
      <c r="S2332" s="25" t="e">
        <f ca="1"/>
        <v>#REF!</v>
      </c>
      <c r="T2332" s="25" t="e">
        <f ca="1"/>
        <v>#REF!</v>
      </c>
      <c r="U2332" s="25" t="e">
        <f ca="1"/>
        <v>#REF!</v>
      </c>
      <c r="V2332" s="25" t="e">
        <f ca="1"/>
        <v>#REF!</v>
      </c>
      <c r="W2332" s="33" t="e">
        <f ca="1"/>
        <v>#REF!</v>
      </c>
      <c r="X2332" s="33" t="e">
        <f ca="1"/>
        <v>#REF!</v>
      </c>
      <c r="Y2332" s="33" t="e">
        <f ca="1"/>
        <v>#REF!</v>
      </c>
      <c r="Z2332" s="33" t="e">
        <f ca="1"/>
        <v>#REF!</v>
      </c>
      <c r="AA2332" s="33" t="e">
        <f ca="1"/>
        <v>#REF!</v>
      </c>
    </row>
    <row r="2333" spans="1:27" s="70" customFormat="1" ht="11.25" x14ac:dyDescent="0.2">
      <c r="A2333" s="24">
        <v>2327</v>
      </c>
      <c r="B2333" s="27"/>
      <c r="C2333" s="28"/>
      <c r="D2333" s="71"/>
      <c r="E2333" s="28"/>
      <c r="F2333" s="25"/>
      <c r="G2333" s="27"/>
      <c r="H2333" s="28" t="e">
        <f ca="1"/>
        <v>#REF!</v>
      </c>
      <c r="I2333" s="27" t="e">
        <f ca="1"/>
        <v>#REF!</v>
      </c>
      <c r="J2333" s="28" t="e">
        <f ca="1"/>
        <v>#REF!</v>
      </c>
      <c r="K2333" s="27" t="e">
        <f ca="1"/>
        <v>#REF!</v>
      </c>
      <c r="L2333" s="25" t="e">
        <f ca="1"/>
        <v>#REF!</v>
      </c>
      <c r="M2333" s="25" t="e">
        <f ca="1"/>
        <v>#REF!</v>
      </c>
      <c r="N2333" s="25" t="e">
        <f ca="1"/>
        <v>#REF!</v>
      </c>
      <c r="O2333" s="25" t="e">
        <f ca="1"/>
        <v>#REF!</v>
      </c>
      <c r="P2333" s="25" t="e">
        <f ca="1"/>
        <v>#REF!</v>
      </c>
      <c r="Q2333" s="25" t="e">
        <f ca="1"/>
        <v>#REF!</v>
      </c>
      <c r="R2333" s="25" t="e">
        <f ca="1"/>
        <v>#REF!</v>
      </c>
      <c r="S2333" s="25" t="e">
        <f ca="1"/>
        <v>#REF!</v>
      </c>
      <c r="T2333" s="25" t="e">
        <f ca="1"/>
        <v>#REF!</v>
      </c>
      <c r="U2333" s="25" t="e">
        <f ca="1"/>
        <v>#REF!</v>
      </c>
      <c r="V2333" s="25" t="e">
        <f ca="1"/>
        <v>#REF!</v>
      </c>
      <c r="W2333" s="33" t="e">
        <f ca="1"/>
        <v>#REF!</v>
      </c>
      <c r="X2333" s="33" t="e">
        <f ca="1"/>
        <v>#REF!</v>
      </c>
      <c r="Y2333" s="33" t="e">
        <f ca="1"/>
        <v>#REF!</v>
      </c>
      <c r="Z2333" s="33" t="e">
        <f ca="1"/>
        <v>#REF!</v>
      </c>
      <c r="AA2333" s="33" t="e">
        <f ca="1"/>
        <v>#REF!</v>
      </c>
    </row>
    <row r="2334" spans="1:27" s="70" customFormat="1" ht="11.25" x14ac:dyDescent="0.2">
      <c r="A2334" s="24">
        <v>2328</v>
      </c>
      <c r="B2334" s="27"/>
      <c r="C2334" s="28"/>
      <c r="D2334" s="71"/>
      <c r="E2334" s="28"/>
      <c r="F2334" s="25"/>
      <c r="G2334" s="27"/>
      <c r="H2334" s="28" t="e">
        <f ca="1"/>
        <v>#REF!</v>
      </c>
      <c r="I2334" s="27" t="e">
        <f ca="1"/>
        <v>#REF!</v>
      </c>
      <c r="J2334" s="28" t="e">
        <f ca="1"/>
        <v>#REF!</v>
      </c>
      <c r="K2334" s="27" t="e">
        <f ca="1"/>
        <v>#REF!</v>
      </c>
      <c r="L2334" s="25" t="e">
        <f ca="1"/>
        <v>#REF!</v>
      </c>
      <c r="M2334" s="25" t="e">
        <f ca="1"/>
        <v>#REF!</v>
      </c>
      <c r="N2334" s="25" t="e">
        <f ca="1"/>
        <v>#REF!</v>
      </c>
      <c r="O2334" s="25" t="e">
        <f ca="1"/>
        <v>#REF!</v>
      </c>
      <c r="P2334" s="25" t="e">
        <f ca="1"/>
        <v>#REF!</v>
      </c>
      <c r="Q2334" s="25" t="e">
        <f ca="1"/>
        <v>#REF!</v>
      </c>
      <c r="R2334" s="25" t="e">
        <f ca="1"/>
        <v>#REF!</v>
      </c>
      <c r="S2334" s="25" t="e">
        <f ca="1"/>
        <v>#REF!</v>
      </c>
      <c r="T2334" s="25" t="e">
        <f ca="1"/>
        <v>#REF!</v>
      </c>
      <c r="U2334" s="25" t="e">
        <f ca="1"/>
        <v>#REF!</v>
      </c>
      <c r="V2334" s="25" t="e">
        <f ca="1"/>
        <v>#REF!</v>
      </c>
      <c r="W2334" s="33" t="e">
        <f ca="1"/>
        <v>#REF!</v>
      </c>
      <c r="X2334" s="33" t="e">
        <f ca="1"/>
        <v>#REF!</v>
      </c>
      <c r="Y2334" s="33" t="e">
        <f ca="1"/>
        <v>#REF!</v>
      </c>
      <c r="Z2334" s="33" t="e">
        <f ca="1"/>
        <v>#REF!</v>
      </c>
      <c r="AA2334" s="33" t="e">
        <f ca="1"/>
        <v>#REF!</v>
      </c>
    </row>
    <row r="2335" spans="1:27" s="70" customFormat="1" ht="11.25" x14ac:dyDescent="0.2">
      <c r="A2335" s="24">
        <v>2329</v>
      </c>
      <c r="B2335" s="27"/>
      <c r="C2335" s="28"/>
      <c r="D2335" s="71"/>
      <c r="E2335" s="28"/>
      <c r="F2335" s="25"/>
      <c r="G2335" s="27"/>
      <c r="H2335" s="28" t="e">
        <f ca="1"/>
        <v>#REF!</v>
      </c>
      <c r="I2335" s="27" t="e">
        <f ca="1"/>
        <v>#REF!</v>
      </c>
      <c r="J2335" s="28" t="e">
        <f ca="1"/>
        <v>#REF!</v>
      </c>
      <c r="K2335" s="27" t="e">
        <f ca="1"/>
        <v>#REF!</v>
      </c>
      <c r="L2335" s="25" t="e">
        <f ca="1"/>
        <v>#REF!</v>
      </c>
      <c r="M2335" s="25" t="e">
        <f ca="1"/>
        <v>#REF!</v>
      </c>
      <c r="N2335" s="25" t="e">
        <f ca="1"/>
        <v>#REF!</v>
      </c>
      <c r="O2335" s="25" t="e">
        <f ca="1"/>
        <v>#REF!</v>
      </c>
      <c r="P2335" s="25" t="e">
        <f ca="1"/>
        <v>#REF!</v>
      </c>
      <c r="Q2335" s="25" t="e">
        <f ca="1"/>
        <v>#REF!</v>
      </c>
      <c r="R2335" s="25" t="e">
        <f ca="1"/>
        <v>#REF!</v>
      </c>
      <c r="S2335" s="25" t="e">
        <f ca="1"/>
        <v>#REF!</v>
      </c>
      <c r="T2335" s="25" t="e">
        <f ca="1"/>
        <v>#REF!</v>
      </c>
      <c r="U2335" s="25" t="e">
        <f ca="1"/>
        <v>#REF!</v>
      </c>
      <c r="V2335" s="25" t="e">
        <f ca="1"/>
        <v>#REF!</v>
      </c>
      <c r="W2335" s="33" t="e">
        <f ca="1"/>
        <v>#REF!</v>
      </c>
      <c r="X2335" s="33" t="e">
        <f ca="1"/>
        <v>#REF!</v>
      </c>
      <c r="Y2335" s="33" t="e">
        <f ca="1"/>
        <v>#REF!</v>
      </c>
      <c r="Z2335" s="33" t="e">
        <f ca="1"/>
        <v>#REF!</v>
      </c>
      <c r="AA2335" s="33" t="e">
        <f ca="1"/>
        <v>#REF!</v>
      </c>
    </row>
    <row r="2336" spans="1:27" s="70" customFormat="1" ht="11.25" x14ac:dyDescent="0.2">
      <c r="A2336" s="24">
        <v>2330</v>
      </c>
      <c r="B2336" s="24"/>
      <c r="C2336" s="25"/>
      <c r="D2336" s="26"/>
      <c r="E2336" s="25"/>
      <c r="F2336" s="25"/>
      <c r="G2336" s="24"/>
      <c r="H2336" s="28" t="e">
        <f ca="1"/>
        <v>#REF!</v>
      </c>
      <c r="I2336" s="27" t="e">
        <f ca="1"/>
        <v>#REF!</v>
      </c>
      <c r="J2336" s="28" t="e">
        <f ca="1"/>
        <v>#REF!</v>
      </c>
      <c r="K2336" s="27" t="e">
        <f ca="1"/>
        <v>#REF!</v>
      </c>
      <c r="L2336" s="25" t="e">
        <f ca="1"/>
        <v>#REF!</v>
      </c>
      <c r="M2336" s="25" t="e">
        <f ca="1"/>
        <v>#REF!</v>
      </c>
      <c r="N2336" s="25" t="e">
        <f ca="1"/>
        <v>#REF!</v>
      </c>
      <c r="O2336" s="25" t="e">
        <f ca="1"/>
        <v>#REF!</v>
      </c>
      <c r="P2336" s="25" t="e">
        <f ca="1"/>
        <v>#REF!</v>
      </c>
      <c r="Q2336" s="25" t="e">
        <f ca="1"/>
        <v>#REF!</v>
      </c>
      <c r="R2336" s="25" t="e">
        <f ca="1"/>
        <v>#REF!</v>
      </c>
      <c r="S2336" s="25" t="e">
        <f ca="1"/>
        <v>#REF!</v>
      </c>
      <c r="T2336" s="25" t="e">
        <f ca="1"/>
        <v>#REF!</v>
      </c>
      <c r="U2336" s="25" t="e">
        <f ca="1"/>
        <v>#REF!</v>
      </c>
      <c r="V2336" s="25" t="e">
        <f ca="1"/>
        <v>#REF!</v>
      </c>
      <c r="W2336" s="33" t="e">
        <f ca="1"/>
        <v>#REF!</v>
      </c>
      <c r="X2336" s="33" t="e">
        <f ca="1"/>
        <v>#REF!</v>
      </c>
      <c r="Y2336" s="33" t="e">
        <f ca="1"/>
        <v>#REF!</v>
      </c>
      <c r="Z2336" s="33" t="e">
        <f ca="1"/>
        <v>#REF!</v>
      </c>
      <c r="AA2336" s="33" t="e">
        <f ca="1"/>
        <v>#REF!</v>
      </c>
    </row>
    <row r="2337" spans="1:27" s="70" customFormat="1" ht="11.25" x14ac:dyDescent="0.2">
      <c r="A2337" s="24">
        <v>2331</v>
      </c>
      <c r="B2337" s="24"/>
      <c r="C2337" s="25"/>
      <c r="D2337" s="26"/>
      <c r="E2337" s="25"/>
      <c r="F2337" s="25"/>
      <c r="G2337" s="24"/>
      <c r="H2337" s="28" t="e">
        <f ca="1"/>
        <v>#REF!</v>
      </c>
      <c r="I2337" s="27" t="e">
        <f ca="1"/>
        <v>#REF!</v>
      </c>
      <c r="J2337" s="28" t="e">
        <f ca="1"/>
        <v>#REF!</v>
      </c>
      <c r="K2337" s="27" t="e">
        <f ca="1"/>
        <v>#REF!</v>
      </c>
      <c r="L2337" s="25" t="e">
        <f ca="1"/>
        <v>#REF!</v>
      </c>
      <c r="M2337" s="25" t="e">
        <f ca="1"/>
        <v>#REF!</v>
      </c>
      <c r="N2337" s="25" t="e">
        <f ca="1"/>
        <v>#REF!</v>
      </c>
      <c r="O2337" s="25" t="e">
        <f ca="1"/>
        <v>#REF!</v>
      </c>
      <c r="P2337" s="25" t="e">
        <f ca="1"/>
        <v>#REF!</v>
      </c>
      <c r="Q2337" s="25" t="e">
        <f ca="1"/>
        <v>#REF!</v>
      </c>
      <c r="R2337" s="25" t="e">
        <f ca="1"/>
        <v>#REF!</v>
      </c>
      <c r="S2337" s="25" t="e">
        <f ca="1"/>
        <v>#REF!</v>
      </c>
      <c r="T2337" s="25" t="e">
        <f ca="1"/>
        <v>#REF!</v>
      </c>
      <c r="U2337" s="25" t="e">
        <f ca="1"/>
        <v>#REF!</v>
      </c>
      <c r="V2337" s="25" t="e">
        <f ca="1"/>
        <v>#REF!</v>
      </c>
      <c r="W2337" s="33" t="e">
        <f ca="1"/>
        <v>#REF!</v>
      </c>
      <c r="X2337" s="33" t="e">
        <f ca="1"/>
        <v>#REF!</v>
      </c>
      <c r="Y2337" s="33" t="e">
        <f ca="1"/>
        <v>#REF!</v>
      </c>
      <c r="Z2337" s="33" t="e">
        <f ca="1"/>
        <v>#REF!</v>
      </c>
      <c r="AA2337" s="33" t="e">
        <f ca="1"/>
        <v>#REF!</v>
      </c>
    </row>
    <row r="2338" spans="1:27" s="70" customFormat="1" ht="11.25" x14ac:dyDescent="0.2">
      <c r="A2338" s="24">
        <v>2332</v>
      </c>
      <c r="B2338" s="24"/>
      <c r="C2338" s="25"/>
      <c r="D2338" s="26"/>
      <c r="E2338" s="25"/>
      <c r="F2338" s="25"/>
      <c r="G2338" s="24"/>
      <c r="H2338" s="28" t="e">
        <f ca="1"/>
        <v>#REF!</v>
      </c>
      <c r="I2338" s="27" t="e">
        <f ca="1"/>
        <v>#REF!</v>
      </c>
      <c r="J2338" s="28" t="e">
        <f ca="1"/>
        <v>#REF!</v>
      </c>
      <c r="K2338" s="27" t="e">
        <f ca="1"/>
        <v>#REF!</v>
      </c>
      <c r="L2338" s="25" t="e">
        <f ca="1"/>
        <v>#REF!</v>
      </c>
      <c r="M2338" s="25" t="e">
        <f ca="1"/>
        <v>#REF!</v>
      </c>
      <c r="N2338" s="25" t="e">
        <f ca="1"/>
        <v>#REF!</v>
      </c>
      <c r="O2338" s="25" t="e">
        <f ca="1"/>
        <v>#REF!</v>
      </c>
      <c r="P2338" s="25" t="e">
        <f ca="1"/>
        <v>#REF!</v>
      </c>
      <c r="Q2338" s="25" t="e">
        <f ca="1"/>
        <v>#REF!</v>
      </c>
      <c r="R2338" s="25" t="e">
        <f ca="1"/>
        <v>#REF!</v>
      </c>
      <c r="S2338" s="25" t="e">
        <f ca="1"/>
        <v>#REF!</v>
      </c>
      <c r="T2338" s="25" t="e">
        <f ca="1"/>
        <v>#REF!</v>
      </c>
      <c r="U2338" s="25" t="e">
        <f ca="1"/>
        <v>#REF!</v>
      </c>
      <c r="V2338" s="25" t="e">
        <f ca="1"/>
        <v>#REF!</v>
      </c>
      <c r="W2338" s="33" t="e">
        <f ca="1"/>
        <v>#REF!</v>
      </c>
      <c r="X2338" s="33" t="e">
        <f ca="1"/>
        <v>#REF!</v>
      </c>
      <c r="Y2338" s="33" t="e">
        <f ca="1"/>
        <v>#REF!</v>
      </c>
      <c r="Z2338" s="33" t="e">
        <f ca="1"/>
        <v>#REF!</v>
      </c>
      <c r="AA2338" s="33" t="e">
        <f ca="1"/>
        <v>#REF!</v>
      </c>
    </row>
    <row r="2339" spans="1:27" s="70" customFormat="1" ht="11.25" x14ac:dyDescent="0.2">
      <c r="A2339" s="24">
        <v>2333</v>
      </c>
      <c r="B2339" s="24"/>
      <c r="C2339" s="25"/>
      <c r="D2339" s="26"/>
      <c r="E2339" s="25"/>
      <c r="F2339" s="25"/>
      <c r="G2339" s="75"/>
      <c r="H2339" s="28" t="e">
        <f ca="1"/>
        <v>#REF!</v>
      </c>
      <c r="I2339" s="27" t="e">
        <f ca="1"/>
        <v>#REF!</v>
      </c>
      <c r="J2339" s="28" t="e">
        <f ca="1"/>
        <v>#REF!</v>
      </c>
      <c r="K2339" s="27" t="e">
        <f ca="1"/>
        <v>#REF!</v>
      </c>
      <c r="L2339" s="25" t="e">
        <f ca="1"/>
        <v>#REF!</v>
      </c>
      <c r="M2339" s="25" t="e">
        <f ca="1"/>
        <v>#REF!</v>
      </c>
      <c r="N2339" s="25" t="e">
        <f ca="1"/>
        <v>#REF!</v>
      </c>
      <c r="O2339" s="25" t="e">
        <f ca="1"/>
        <v>#REF!</v>
      </c>
      <c r="P2339" s="25" t="e">
        <f ca="1"/>
        <v>#REF!</v>
      </c>
      <c r="Q2339" s="25" t="e">
        <f ca="1"/>
        <v>#REF!</v>
      </c>
      <c r="R2339" s="25" t="e">
        <f ca="1"/>
        <v>#REF!</v>
      </c>
      <c r="S2339" s="25" t="e">
        <f ca="1"/>
        <v>#REF!</v>
      </c>
      <c r="T2339" s="25" t="e">
        <f ca="1"/>
        <v>#REF!</v>
      </c>
      <c r="U2339" s="25" t="e">
        <f ca="1"/>
        <v>#REF!</v>
      </c>
      <c r="V2339" s="25" t="e">
        <f ca="1"/>
        <v>#REF!</v>
      </c>
      <c r="W2339" s="33" t="e">
        <f ca="1"/>
        <v>#REF!</v>
      </c>
      <c r="X2339" s="33" t="e">
        <f ca="1"/>
        <v>#REF!</v>
      </c>
      <c r="Y2339" s="33" t="e">
        <f ca="1"/>
        <v>#REF!</v>
      </c>
      <c r="Z2339" s="33" t="e">
        <f ca="1"/>
        <v>#REF!</v>
      </c>
      <c r="AA2339" s="33" t="e">
        <f ca="1"/>
        <v>#REF!</v>
      </c>
    </row>
    <row r="2340" spans="1:27" s="70" customFormat="1" ht="11.25" x14ac:dyDescent="0.2">
      <c r="A2340" s="24">
        <v>2334</v>
      </c>
      <c r="B2340" s="24"/>
      <c r="C2340" s="25"/>
      <c r="D2340" s="26"/>
      <c r="E2340" s="25"/>
      <c r="F2340" s="25"/>
      <c r="G2340" s="75"/>
      <c r="H2340" s="28" t="e">
        <f ca="1"/>
        <v>#REF!</v>
      </c>
      <c r="I2340" s="27" t="e">
        <f ca="1"/>
        <v>#REF!</v>
      </c>
      <c r="J2340" s="28" t="e">
        <f ca="1"/>
        <v>#REF!</v>
      </c>
      <c r="K2340" s="27" t="e">
        <f ca="1"/>
        <v>#REF!</v>
      </c>
      <c r="L2340" s="25" t="e">
        <f ca="1"/>
        <v>#REF!</v>
      </c>
      <c r="M2340" s="25" t="e">
        <f ca="1"/>
        <v>#REF!</v>
      </c>
      <c r="N2340" s="25" t="e">
        <f ca="1"/>
        <v>#REF!</v>
      </c>
      <c r="O2340" s="25" t="e">
        <f ca="1"/>
        <v>#REF!</v>
      </c>
      <c r="P2340" s="25" t="e">
        <f ca="1"/>
        <v>#REF!</v>
      </c>
      <c r="Q2340" s="25" t="e">
        <f ca="1"/>
        <v>#REF!</v>
      </c>
      <c r="R2340" s="25" t="e">
        <f ca="1"/>
        <v>#REF!</v>
      </c>
      <c r="S2340" s="25" t="e">
        <f ca="1"/>
        <v>#REF!</v>
      </c>
      <c r="T2340" s="25" t="e">
        <f ca="1"/>
        <v>#REF!</v>
      </c>
      <c r="U2340" s="25" t="e">
        <f ca="1"/>
        <v>#REF!</v>
      </c>
      <c r="V2340" s="25" t="e">
        <f ca="1"/>
        <v>#REF!</v>
      </c>
      <c r="W2340" s="33" t="e">
        <f ca="1"/>
        <v>#REF!</v>
      </c>
      <c r="X2340" s="33" t="e">
        <f ca="1"/>
        <v>#REF!</v>
      </c>
      <c r="Y2340" s="33" t="e">
        <f ca="1"/>
        <v>#REF!</v>
      </c>
      <c r="Z2340" s="33" t="e">
        <f ca="1"/>
        <v>#REF!</v>
      </c>
      <c r="AA2340" s="33" t="e">
        <f ca="1"/>
        <v>#REF!</v>
      </c>
    </row>
    <row r="2341" spans="1:27" s="70" customFormat="1" ht="11.25" x14ac:dyDescent="0.2">
      <c r="A2341" s="24">
        <v>2335</v>
      </c>
      <c r="B2341" s="24"/>
      <c r="C2341" s="25"/>
      <c r="D2341" s="26"/>
      <c r="E2341" s="25"/>
      <c r="F2341" s="25"/>
      <c r="G2341" s="75"/>
      <c r="H2341" s="28" t="e">
        <f ca="1"/>
        <v>#REF!</v>
      </c>
      <c r="I2341" s="27" t="e">
        <f ca="1"/>
        <v>#REF!</v>
      </c>
      <c r="J2341" s="28" t="e">
        <f ca="1"/>
        <v>#REF!</v>
      </c>
      <c r="K2341" s="27" t="e">
        <f ca="1"/>
        <v>#REF!</v>
      </c>
      <c r="L2341" s="25" t="e">
        <f ca="1"/>
        <v>#REF!</v>
      </c>
      <c r="M2341" s="25" t="e">
        <f ca="1"/>
        <v>#REF!</v>
      </c>
      <c r="N2341" s="25" t="e">
        <f ca="1"/>
        <v>#REF!</v>
      </c>
      <c r="O2341" s="25" t="e">
        <f ca="1"/>
        <v>#REF!</v>
      </c>
      <c r="P2341" s="25" t="e">
        <f ca="1"/>
        <v>#REF!</v>
      </c>
      <c r="Q2341" s="25" t="e">
        <f ca="1"/>
        <v>#REF!</v>
      </c>
      <c r="R2341" s="25" t="e">
        <f ca="1"/>
        <v>#REF!</v>
      </c>
      <c r="S2341" s="25" t="e">
        <f ca="1"/>
        <v>#REF!</v>
      </c>
      <c r="T2341" s="25" t="e">
        <f ca="1"/>
        <v>#REF!</v>
      </c>
      <c r="U2341" s="25" t="e">
        <f ca="1"/>
        <v>#REF!</v>
      </c>
      <c r="V2341" s="25" t="e">
        <f ca="1"/>
        <v>#REF!</v>
      </c>
      <c r="W2341" s="33" t="e">
        <f ca="1"/>
        <v>#REF!</v>
      </c>
      <c r="X2341" s="33" t="e">
        <f ca="1"/>
        <v>#REF!</v>
      </c>
      <c r="Y2341" s="33" t="e">
        <f ca="1"/>
        <v>#REF!</v>
      </c>
      <c r="Z2341" s="33" t="e">
        <f ca="1"/>
        <v>#REF!</v>
      </c>
      <c r="AA2341" s="33" t="e">
        <f ca="1"/>
        <v>#REF!</v>
      </c>
    </row>
    <row r="2342" spans="1:27" s="70" customFormat="1" ht="11.25" x14ac:dyDescent="0.2">
      <c r="A2342" s="24">
        <v>2336</v>
      </c>
      <c r="B2342" s="24"/>
      <c r="C2342" s="25"/>
      <c r="D2342" s="26"/>
      <c r="E2342" s="25"/>
      <c r="F2342" s="25"/>
      <c r="G2342" s="75"/>
      <c r="H2342" s="28" t="e">
        <f ca="1"/>
        <v>#REF!</v>
      </c>
      <c r="I2342" s="27" t="e">
        <f ca="1"/>
        <v>#REF!</v>
      </c>
      <c r="J2342" s="28" t="e">
        <f ca="1"/>
        <v>#REF!</v>
      </c>
      <c r="K2342" s="27" t="e">
        <f ca="1"/>
        <v>#REF!</v>
      </c>
      <c r="L2342" s="25" t="e">
        <f ca="1"/>
        <v>#REF!</v>
      </c>
      <c r="M2342" s="25" t="e">
        <f ca="1"/>
        <v>#REF!</v>
      </c>
      <c r="N2342" s="25" t="e">
        <f ca="1"/>
        <v>#REF!</v>
      </c>
      <c r="O2342" s="25" t="e">
        <f ca="1"/>
        <v>#REF!</v>
      </c>
      <c r="P2342" s="25" t="e">
        <f ca="1"/>
        <v>#REF!</v>
      </c>
      <c r="Q2342" s="25" t="e">
        <f ca="1"/>
        <v>#REF!</v>
      </c>
      <c r="R2342" s="25" t="e">
        <f ca="1"/>
        <v>#REF!</v>
      </c>
      <c r="S2342" s="25" t="e">
        <f ca="1"/>
        <v>#REF!</v>
      </c>
      <c r="T2342" s="25" t="e">
        <f ca="1"/>
        <v>#REF!</v>
      </c>
      <c r="U2342" s="25" t="e">
        <f ca="1"/>
        <v>#REF!</v>
      </c>
      <c r="V2342" s="25" t="e">
        <f ca="1"/>
        <v>#REF!</v>
      </c>
      <c r="W2342" s="33" t="e">
        <f ca="1"/>
        <v>#REF!</v>
      </c>
      <c r="X2342" s="33" t="e">
        <f ca="1"/>
        <v>#REF!</v>
      </c>
      <c r="Y2342" s="33" t="e">
        <f ca="1"/>
        <v>#REF!</v>
      </c>
      <c r="Z2342" s="33" t="e">
        <f ca="1"/>
        <v>#REF!</v>
      </c>
      <c r="AA2342" s="33" t="e">
        <f ca="1"/>
        <v>#REF!</v>
      </c>
    </row>
    <row r="2343" spans="1:27" s="70" customFormat="1" ht="11.25" x14ac:dyDescent="0.2">
      <c r="A2343" s="24">
        <v>2337</v>
      </c>
      <c r="B2343" s="24"/>
      <c r="C2343" s="25"/>
      <c r="D2343" s="26"/>
      <c r="E2343" s="25"/>
      <c r="F2343" s="25"/>
      <c r="G2343" s="75"/>
      <c r="H2343" s="28" t="e">
        <f ca="1"/>
        <v>#REF!</v>
      </c>
      <c r="I2343" s="27" t="e">
        <f ca="1"/>
        <v>#REF!</v>
      </c>
      <c r="J2343" s="28" t="e">
        <f ca="1"/>
        <v>#REF!</v>
      </c>
      <c r="K2343" s="27" t="e">
        <f ca="1"/>
        <v>#REF!</v>
      </c>
      <c r="L2343" s="25" t="e">
        <f ca="1"/>
        <v>#REF!</v>
      </c>
      <c r="M2343" s="25" t="e">
        <f ca="1"/>
        <v>#REF!</v>
      </c>
      <c r="N2343" s="25" t="e">
        <f ca="1"/>
        <v>#REF!</v>
      </c>
      <c r="O2343" s="25" t="e">
        <f ca="1"/>
        <v>#REF!</v>
      </c>
      <c r="P2343" s="25" t="e">
        <f ca="1"/>
        <v>#REF!</v>
      </c>
      <c r="Q2343" s="25" t="e">
        <f ca="1"/>
        <v>#REF!</v>
      </c>
      <c r="R2343" s="25" t="e">
        <f ca="1"/>
        <v>#REF!</v>
      </c>
      <c r="S2343" s="25" t="e">
        <f ca="1"/>
        <v>#REF!</v>
      </c>
      <c r="T2343" s="25" t="e">
        <f ca="1"/>
        <v>#REF!</v>
      </c>
      <c r="U2343" s="25" t="e">
        <f ca="1"/>
        <v>#REF!</v>
      </c>
      <c r="V2343" s="25" t="e">
        <f ca="1"/>
        <v>#REF!</v>
      </c>
      <c r="W2343" s="33" t="e">
        <f ca="1"/>
        <v>#REF!</v>
      </c>
      <c r="X2343" s="33" t="e">
        <f ca="1"/>
        <v>#REF!</v>
      </c>
      <c r="Y2343" s="33" t="e">
        <f ca="1"/>
        <v>#REF!</v>
      </c>
      <c r="Z2343" s="33" t="e">
        <f ca="1"/>
        <v>#REF!</v>
      </c>
      <c r="AA2343" s="33" t="e">
        <f ca="1"/>
        <v>#REF!</v>
      </c>
    </row>
    <row r="2344" spans="1:27" s="70" customFormat="1" ht="11.25" x14ac:dyDescent="0.2">
      <c r="A2344" s="24">
        <v>2338</v>
      </c>
      <c r="B2344" s="24"/>
      <c r="C2344" s="25"/>
      <c r="D2344" s="26"/>
      <c r="E2344" s="25"/>
      <c r="F2344" s="25"/>
      <c r="G2344" s="75"/>
      <c r="H2344" s="28" t="e">
        <f ca="1"/>
        <v>#REF!</v>
      </c>
      <c r="I2344" s="27" t="e">
        <f ca="1"/>
        <v>#REF!</v>
      </c>
      <c r="J2344" s="28" t="e">
        <f ca="1"/>
        <v>#REF!</v>
      </c>
      <c r="K2344" s="27" t="e">
        <f ca="1"/>
        <v>#REF!</v>
      </c>
      <c r="L2344" s="25" t="e">
        <f ca="1"/>
        <v>#REF!</v>
      </c>
      <c r="M2344" s="25" t="e">
        <f ca="1"/>
        <v>#REF!</v>
      </c>
      <c r="N2344" s="25" t="e">
        <f ca="1"/>
        <v>#REF!</v>
      </c>
      <c r="O2344" s="25" t="e">
        <f ca="1"/>
        <v>#REF!</v>
      </c>
      <c r="P2344" s="25" t="e">
        <f ca="1"/>
        <v>#REF!</v>
      </c>
      <c r="Q2344" s="25" t="e">
        <f ca="1"/>
        <v>#REF!</v>
      </c>
      <c r="R2344" s="25" t="e">
        <f ca="1"/>
        <v>#REF!</v>
      </c>
      <c r="S2344" s="25" t="e">
        <f ca="1"/>
        <v>#REF!</v>
      </c>
      <c r="T2344" s="25" t="e">
        <f ca="1"/>
        <v>#REF!</v>
      </c>
      <c r="U2344" s="25" t="e">
        <f ca="1"/>
        <v>#REF!</v>
      </c>
      <c r="V2344" s="25" t="e">
        <f ca="1"/>
        <v>#REF!</v>
      </c>
      <c r="W2344" s="33" t="e">
        <f ca="1"/>
        <v>#REF!</v>
      </c>
      <c r="X2344" s="33" t="e">
        <f ca="1"/>
        <v>#REF!</v>
      </c>
      <c r="Y2344" s="33" t="e">
        <f ca="1"/>
        <v>#REF!</v>
      </c>
      <c r="Z2344" s="33" t="e">
        <f ca="1"/>
        <v>#REF!</v>
      </c>
      <c r="AA2344" s="33" t="e">
        <f ca="1"/>
        <v>#REF!</v>
      </c>
    </row>
    <row r="2345" spans="1:27" s="70" customFormat="1" ht="11.25" x14ac:dyDescent="0.2">
      <c r="A2345" s="24">
        <v>2339</v>
      </c>
      <c r="B2345" s="24"/>
      <c r="C2345" s="25"/>
      <c r="D2345" s="26"/>
      <c r="E2345" s="25"/>
      <c r="F2345" s="25"/>
      <c r="G2345" s="75"/>
      <c r="H2345" s="28" t="e">
        <f ca="1"/>
        <v>#REF!</v>
      </c>
      <c r="I2345" s="27" t="e">
        <f ca="1"/>
        <v>#REF!</v>
      </c>
      <c r="J2345" s="28" t="e">
        <f ca="1"/>
        <v>#REF!</v>
      </c>
      <c r="K2345" s="27" t="e">
        <f ca="1"/>
        <v>#REF!</v>
      </c>
      <c r="L2345" s="25" t="e">
        <f ca="1"/>
        <v>#REF!</v>
      </c>
      <c r="M2345" s="25" t="e">
        <f ca="1"/>
        <v>#REF!</v>
      </c>
      <c r="N2345" s="25" t="e">
        <f ca="1"/>
        <v>#REF!</v>
      </c>
      <c r="O2345" s="25" t="e">
        <f ca="1"/>
        <v>#REF!</v>
      </c>
      <c r="P2345" s="25" t="e">
        <f ca="1"/>
        <v>#REF!</v>
      </c>
      <c r="Q2345" s="25" t="e">
        <f ca="1"/>
        <v>#REF!</v>
      </c>
      <c r="R2345" s="25" t="e">
        <f ca="1"/>
        <v>#REF!</v>
      </c>
      <c r="S2345" s="25" t="e">
        <f ca="1"/>
        <v>#REF!</v>
      </c>
      <c r="T2345" s="25" t="e">
        <f ca="1"/>
        <v>#REF!</v>
      </c>
      <c r="U2345" s="25" t="e">
        <f ca="1"/>
        <v>#REF!</v>
      </c>
      <c r="V2345" s="25" t="e">
        <f ca="1"/>
        <v>#REF!</v>
      </c>
      <c r="W2345" s="33" t="e">
        <f ca="1"/>
        <v>#REF!</v>
      </c>
      <c r="X2345" s="33" t="e">
        <f ca="1"/>
        <v>#REF!</v>
      </c>
      <c r="Y2345" s="33" t="e">
        <f ca="1"/>
        <v>#REF!</v>
      </c>
      <c r="Z2345" s="33" t="e">
        <f ca="1"/>
        <v>#REF!</v>
      </c>
      <c r="AA2345" s="33" t="e">
        <f ca="1"/>
        <v>#REF!</v>
      </c>
    </row>
  </sheetData>
  <sheetProtection algorithmName="SHA-512" hashValue="T/amUEqaJUmpVgmpXRWsLMP7f5Uub1XrCqJebp9XvG/dUUzVKU8OfbRlYiXVYduVQEpTNTXpakSl4h95P1IMHw==" saltValue="nCYPZVTvXe12EaUsOWCO0g==" spinCount="100000" sheet="1" objects="1" scenarios="1" selectLockedCells="1" selectUnlockedCells="1"/>
  <mergeCells count="23">
    <mergeCell ref="M5:M6"/>
    <mergeCell ref="N5:N6"/>
    <mergeCell ref="C4:F4"/>
    <mergeCell ref="I5:I6"/>
    <mergeCell ref="J5:J6"/>
    <mergeCell ref="K5:K6"/>
    <mergeCell ref="L5:L6"/>
    <mergeCell ref="A2:AA2"/>
    <mergeCell ref="A5:A6"/>
    <mergeCell ref="B5:B6"/>
    <mergeCell ref="C5:C6"/>
    <mergeCell ref="D5:D6"/>
    <mergeCell ref="E5:E6"/>
    <mergeCell ref="F5:F6"/>
    <mergeCell ref="G5:G6"/>
    <mergeCell ref="H5:H6"/>
    <mergeCell ref="O5:V5"/>
    <mergeCell ref="W5:Y5"/>
    <mergeCell ref="Z5:Z6"/>
    <mergeCell ref="AA5:AA6"/>
    <mergeCell ref="A3:B3"/>
    <mergeCell ref="A4:B4"/>
    <mergeCell ref="C3:F3"/>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filterMode="1">
    <tabColor rgb="FF0070C0"/>
    <pageSetUpPr fitToPage="1"/>
  </sheetPr>
  <dimension ref="A1:AE370"/>
  <sheetViews>
    <sheetView tabSelected="1" topLeftCell="A13" zoomScaleNormal="100" workbookViewId="0">
      <pane xSplit="5" ySplit="2" topLeftCell="AD15" activePane="bottomRight" state="frozen"/>
      <selection activeCell="A13" sqref="A13"/>
      <selection pane="topRight" activeCell="E13" sqref="E13"/>
      <selection pane="bottomLeft" activeCell="A15" sqref="A15"/>
      <selection pane="bottomRight" activeCell="D34" sqref="D34"/>
    </sheetView>
  </sheetViews>
  <sheetFormatPr defaultRowHeight="15" x14ac:dyDescent="0.25"/>
  <cols>
    <col min="1" max="1" width="12.85546875" customWidth="1"/>
    <col min="2" max="2" width="5.5703125" customWidth="1"/>
    <col min="3" max="3" width="35.5703125" customWidth="1"/>
    <col min="4" max="5" width="35.140625" customWidth="1"/>
    <col min="6" max="6" width="15.7109375" customWidth="1"/>
    <col min="7" max="7" width="13" style="166" customWidth="1"/>
    <col min="8" max="8" width="8.5703125" style="168" bestFit="1" customWidth="1"/>
    <col min="9" max="9" width="10.5703125" style="169" bestFit="1" customWidth="1"/>
    <col min="10" max="11" width="11" style="169" bestFit="1" customWidth="1"/>
    <col min="12" max="12" width="10.85546875" style="169" bestFit="1" customWidth="1"/>
    <col min="13" max="13" width="8" style="170" bestFit="1" customWidth="1"/>
    <col min="14" max="14" width="9.85546875" style="178" customWidth="1"/>
    <col min="15" max="15" width="11.85546875" style="1" hidden="1" customWidth="1"/>
    <col min="16" max="16" width="13" style="1" customWidth="1"/>
    <col min="17" max="17" width="8.28515625" style="1" customWidth="1"/>
    <col min="18" max="18" width="12.140625" style="1" customWidth="1"/>
    <col min="19" max="19" width="11.5703125" style="155" customWidth="1"/>
    <col min="20" max="20" width="8.140625" style="1" customWidth="1"/>
    <col min="21" max="23" width="12.42578125" style="1" customWidth="1"/>
    <col min="24" max="24" width="12.42578125" style="155" customWidth="1"/>
    <col min="25" max="25" width="26" style="1" bestFit="1" customWidth="1"/>
    <col min="26" max="26" width="28.42578125" style="1" customWidth="1"/>
    <col min="27" max="27" width="15.42578125" style="1" customWidth="1"/>
    <col min="28" max="28" width="16.5703125" style="226" customWidth="1"/>
    <col min="29" max="29" width="20" style="226" customWidth="1"/>
    <col min="30" max="31" width="21.140625" style="226" customWidth="1"/>
  </cols>
  <sheetData>
    <row r="1" spans="1:31" x14ac:dyDescent="0.25">
      <c r="C1" s="6" t="s">
        <v>4033</v>
      </c>
    </row>
    <row r="2" spans="1:31" ht="19.5" thickBot="1" x14ac:dyDescent="0.3">
      <c r="C2" s="13" t="s">
        <v>4032</v>
      </c>
      <c r="D2" s="13"/>
      <c r="E2" s="13"/>
      <c r="F2" s="13"/>
      <c r="G2" s="156"/>
      <c r="H2" s="172"/>
      <c r="I2" s="173"/>
      <c r="J2" s="173"/>
      <c r="K2" s="173"/>
      <c r="L2" s="173"/>
      <c r="M2" s="173"/>
      <c r="N2" s="179"/>
      <c r="O2" s="13"/>
      <c r="P2" s="13"/>
      <c r="Q2" s="13"/>
      <c r="R2" s="13"/>
      <c r="S2" s="156"/>
      <c r="T2" s="13"/>
      <c r="U2" s="13"/>
      <c r="V2" s="13"/>
      <c r="W2" s="13"/>
      <c r="X2" s="156"/>
      <c r="Y2" s="13"/>
      <c r="Z2" s="13"/>
      <c r="AA2" s="13"/>
      <c r="AB2" s="13"/>
      <c r="AC2" s="13"/>
      <c r="AD2" s="13"/>
      <c r="AE2" s="13"/>
    </row>
    <row r="3" spans="1:31" ht="32.25" customHeight="1" x14ac:dyDescent="0.25">
      <c r="B3" s="9"/>
      <c r="C3" s="10" t="s">
        <v>4059</v>
      </c>
      <c r="D3" s="11"/>
      <c r="E3" s="11"/>
      <c r="F3" s="12"/>
      <c r="G3" s="9"/>
      <c r="H3" s="174"/>
      <c r="I3" s="175"/>
      <c r="J3" s="175"/>
      <c r="K3" s="175"/>
      <c r="L3" s="175"/>
      <c r="M3" s="175"/>
      <c r="N3" s="180"/>
      <c r="O3" s="9"/>
      <c r="P3" s="9"/>
      <c r="Q3" s="9"/>
      <c r="R3" s="9"/>
      <c r="S3" s="9"/>
      <c r="T3" s="9"/>
      <c r="U3" s="9"/>
      <c r="V3" s="9"/>
      <c r="W3" s="9"/>
      <c r="X3" s="9"/>
      <c r="Y3" s="9"/>
      <c r="Z3" s="9"/>
      <c r="AA3" s="9"/>
      <c r="AB3" s="9"/>
      <c r="AC3" s="9"/>
      <c r="AD3" s="9"/>
      <c r="AE3" s="9"/>
    </row>
    <row r="4" spans="1:31" ht="32.25" customHeight="1" x14ac:dyDescent="0.25">
      <c r="B4" s="9"/>
      <c r="C4" s="353" t="s">
        <v>4054</v>
      </c>
      <c r="D4" s="354"/>
      <c r="E4" s="354"/>
      <c r="F4" s="355"/>
      <c r="G4" s="9"/>
      <c r="H4" s="174"/>
      <c r="I4" s="175"/>
      <c r="J4" s="175"/>
      <c r="K4" s="175"/>
      <c r="L4" s="175"/>
      <c r="M4" s="175"/>
      <c r="N4" s="180"/>
      <c r="O4" s="9"/>
      <c r="P4" s="9"/>
      <c r="Q4" s="9"/>
      <c r="R4" s="9"/>
      <c r="S4" s="9"/>
      <c r="T4" s="9"/>
      <c r="U4" s="9"/>
      <c r="V4" s="9"/>
      <c r="W4" s="9"/>
      <c r="X4" s="9"/>
      <c r="Y4" s="9"/>
      <c r="Z4" s="9"/>
      <c r="AA4" s="9"/>
      <c r="AB4" s="9"/>
      <c r="AC4" s="9"/>
      <c r="AD4" s="9"/>
      <c r="AE4" s="9"/>
    </row>
    <row r="5" spans="1:31" ht="32.25" customHeight="1" x14ac:dyDescent="0.25">
      <c r="B5" s="9"/>
      <c r="C5" s="356" t="s">
        <v>4052</v>
      </c>
      <c r="D5" s="357"/>
      <c r="E5" s="357"/>
      <c r="F5" s="358"/>
      <c r="G5" s="9"/>
      <c r="H5" s="174"/>
      <c r="I5" s="175"/>
      <c r="J5" s="175"/>
      <c r="K5" s="175"/>
      <c r="L5" s="175"/>
      <c r="M5" s="175"/>
      <c r="N5" s="180"/>
      <c r="O5" s="9"/>
      <c r="P5" s="9"/>
      <c r="Q5" s="9"/>
      <c r="R5" s="9"/>
      <c r="S5" s="9"/>
      <c r="T5" s="9"/>
      <c r="U5" s="9"/>
      <c r="V5" s="9"/>
      <c r="W5" s="9"/>
      <c r="X5" s="9"/>
      <c r="Y5" s="9"/>
      <c r="Z5" s="9"/>
      <c r="AA5" s="9"/>
      <c r="AB5" s="9"/>
      <c r="AC5" s="9"/>
      <c r="AD5" s="9"/>
      <c r="AE5" s="9"/>
    </row>
    <row r="6" spans="1:31" ht="32.25" customHeight="1" x14ac:dyDescent="0.25">
      <c r="B6" s="9"/>
      <c r="C6" s="356" t="s">
        <v>4053</v>
      </c>
      <c r="D6" s="357"/>
      <c r="E6" s="357"/>
      <c r="F6" s="358"/>
      <c r="G6" s="9"/>
      <c r="H6" s="174"/>
      <c r="I6" s="175"/>
      <c r="J6" s="175"/>
      <c r="K6" s="175"/>
      <c r="L6" s="175"/>
      <c r="M6" s="175"/>
      <c r="N6" s="180"/>
      <c r="O6" s="9"/>
      <c r="P6" s="9"/>
      <c r="Q6" s="9"/>
      <c r="R6" s="9"/>
      <c r="S6" s="9"/>
      <c r="T6" s="9"/>
      <c r="U6" s="9"/>
      <c r="V6" s="9"/>
      <c r="W6" s="9"/>
      <c r="X6" s="9"/>
      <c r="Y6" s="9"/>
      <c r="Z6" s="9"/>
      <c r="AA6" s="9"/>
      <c r="AB6" s="9"/>
      <c r="AC6" s="9"/>
      <c r="AD6" s="9"/>
      <c r="AE6" s="9"/>
    </row>
    <row r="7" spans="1:31" ht="32.25" customHeight="1" x14ac:dyDescent="0.25">
      <c r="B7" s="9"/>
      <c r="C7" s="359" t="s">
        <v>4056</v>
      </c>
      <c r="D7" s="360"/>
      <c r="E7" s="360"/>
      <c r="F7" s="361"/>
      <c r="G7" s="9"/>
      <c r="H7" s="174"/>
      <c r="I7" s="175"/>
      <c r="J7" s="175"/>
      <c r="K7" s="175"/>
      <c r="L7" s="175"/>
      <c r="M7" s="175"/>
      <c r="N7" s="180"/>
      <c r="O7" s="9"/>
      <c r="P7" s="9"/>
      <c r="Q7" s="9"/>
      <c r="R7" s="9"/>
      <c r="S7" s="9"/>
      <c r="T7" s="9"/>
      <c r="U7" s="9"/>
      <c r="V7" s="9"/>
      <c r="W7" s="9"/>
      <c r="X7" s="9"/>
      <c r="Y7" s="9"/>
      <c r="Z7" s="9"/>
      <c r="AA7" s="9"/>
      <c r="AB7" s="9"/>
      <c r="AC7" s="9"/>
      <c r="AD7" s="9"/>
      <c r="AE7" s="9"/>
    </row>
    <row r="8" spans="1:31" ht="36.75" customHeight="1" thickBot="1" x14ac:dyDescent="0.3">
      <c r="B8" s="9"/>
      <c r="C8" s="362" t="s">
        <v>4060</v>
      </c>
      <c r="D8" s="363"/>
      <c r="E8" s="363"/>
      <c r="F8" s="364"/>
      <c r="G8" s="9"/>
      <c r="H8" s="174"/>
      <c r="I8" s="175"/>
      <c r="J8" s="175"/>
      <c r="K8" s="175"/>
      <c r="L8" s="175"/>
      <c r="M8" s="175"/>
      <c r="N8" s="180"/>
      <c r="O8" s="9"/>
      <c r="P8" s="9"/>
      <c r="Q8" s="9"/>
      <c r="R8" s="9"/>
      <c r="S8" s="9"/>
      <c r="T8" s="9"/>
      <c r="U8" s="9"/>
      <c r="V8" s="9"/>
      <c r="W8" s="9"/>
      <c r="X8" s="9"/>
      <c r="Y8" s="9"/>
      <c r="Z8" s="9"/>
      <c r="AA8" s="9"/>
      <c r="AB8" s="9"/>
      <c r="AC8" s="9"/>
      <c r="AD8" s="9"/>
      <c r="AE8" s="9"/>
    </row>
    <row r="9" spans="1:31" ht="15.75" thickBot="1" x14ac:dyDescent="0.3">
      <c r="B9" s="9"/>
      <c r="C9" s="9"/>
      <c r="D9" s="9"/>
      <c r="E9" s="9"/>
      <c r="F9" s="9"/>
      <c r="G9" s="9"/>
      <c r="H9" s="174"/>
      <c r="I9" s="175"/>
      <c r="J9" s="175"/>
      <c r="K9" s="175"/>
      <c r="L9" s="175"/>
      <c r="M9" s="175"/>
      <c r="N9" s="180"/>
      <c r="O9" s="9"/>
      <c r="P9" s="9"/>
      <c r="Q9" s="9"/>
      <c r="R9" s="9"/>
      <c r="S9" s="9"/>
      <c r="T9" s="9"/>
      <c r="U9" s="9"/>
      <c r="V9" s="9"/>
      <c r="W9" s="9"/>
      <c r="X9" s="9"/>
      <c r="Y9" s="9"/>
      <c r="Z9" s="9"/>
      <c r="AA9" s="9"/>
      <c r="AB9" s="9"/>
      <c r="AC9" s="9"/>
      <c r="AD9" s="9"/>
      <c r="AE9" s="9"/>
    </row>
    <row r="10" spans="1:31" x14ac:dyDescent="0.25">
      <c r="B10" s="351" t="s">
        <v>4036</v>
      </c>
      <c r="C10" s="352"/>
      <c r="D10" s="78" t="s">
        <v>4</v>
      </c>
      <c r="E10" s="7"/>
      <c r="F10" s="7"/>
      <c r="G10" s="167"/>
      <c r="H10" s="176"/>
      <c r="I10" s="177"/>
      <c r="J10" s="175"/>
      <c r="K10" s="175"/>
      <c r="L10" s="175"/>
      <c r="M10" s="175"/>
      <c r="N10" s="180"/>
      <c r="O10" s="9"/>
      <c r="P10" s="9"/>
      <c r="Q10" s="9"/>
      <c r="R10" s="9"/>
      <c r="S10" s="9"/>
      <c r="T10" s="9"/>
      <c r="U10" s="9"/>
      <c r="V10" s="9"/>
      <c r="W10" s="9"/>
      <c r="X10" s="9"/>
      <c r="Y10" s="9"/>
      <c r="Z10" s="9"/>
      <c r="AA10" s="9"/>
      <c r="AB10" s="9"/>
      <c r="AC10" s="9"/>
      <c r="AD10" s="9"/>
      <c r="AE10" s="9"/>
    </row>
    <row r="11" spans="1:31" ht="26.25" thickBot="1" x14ac:dyDescent="0.3">
      <c r="B11" s="351" t="s">
        <v>4037</v>
      </c>
      <c r="C11" s="352"/>
      <c r="D11" s="79" t="s">
        <v>2</v>
      </c>
      <c r="E11" s="7"/>
      <c r="F11" s="7"/>
      <c r="G11" s="167"/>
      <c r="H11" s="176"/>
      <c r="I11" s="175"/>
      <c r="J11" s="175"/>
      <c r="K11" s="175"/>
      <c r="L11" s="175"/>
      <c r="M11" s="175"/>
      <c r="N11" s="180"/>
      <c r="O11" s="9"/>
      <c r="P11" s="9"/>
      <c r="Q11" s="9"/>
      <c r="R11" s="9"/>
      <c r="S11" s="9"/>
      <c r="T11" s="9"/>
      <c r="U11" s="9"/>
      <c r="V11" s="9"/>
      <c r="W11" s="9"/>
      <c r="X11" s="9"/>
      <c r="Y11" s="9"/>
      <c r="Z11" s="9"/>
      <c r="AA11" s="9"/>
      <c r="AB11" s="9"/>
      <c r="AC11" s="9"/>
      <c r="AD11" s="9"/>
      <c r="AE11" s="9"/>
    </row>
    <row r="12" spans="1:31" x14ac:dyDescent="0.25">
      <c r="B12" s="154"/>
      <c r="C12" s="154"/>
      <c r="D12" s="154"/>
      <c r="E12" s="7"/>
      <c r="F12" s="7"/>
      <c r="G12" s="167"/>
      <c r="H12" s="176"/>
      <c r="I12" s="175"/>
      <c r="J12" s="175"/>
      <c r="K12" s="175"/>
      <c r="L12" s="175"/>
      <c r="M12" s="175"/>
      <c r="N12" s="180"/>
      <c r="O12" s="9"/>
      <c r="P12" s="9"/>
      <c r="Q12" s="9"/>
      <c r="R12" s="9"/>
      <c r="S12" s="9"/>
      <c r="T12" s="9"/>
      <c r="U12" s="9"/>
      <c r="V12" s="9"/>
      <c r="W12" s="9"/>
      <c r="X12" s="9"/>
      <c r="Y12" s="9"/>
      <c r="Z12" s="9"/>
      <c r="AA12" s="9"/>
      <c r="AB12" s="9"/>
      <c r="AC12" s="9"/>
      <c r="AD12" s="9"/>
      <c r="AE12" s="9"/>
    </row>
    <row r="13" spans="1:31" s="3" customFormat="1" ht="17.25" customHeight="1" x14ac:dyDescent="0.2">
      <c r="A13" s="340" t="s">
        <v>4530</v>
      </c>
      <c r="B13" s="340" t="s">
        <v>4031</v>
      </c>
      <c r="C13" s="341" t="s">
        <v>4018</v>
      </c>
      <c r="D13" s="341" t="s">
        <v>4016</v>
      </c>
      <c r="E13" s="340" t="s">
        <v>4024</v>
      </c>
      <c r="F13" s="340" t="s">
        <v>4023</v>
      </c>
      <c r="G13" s="340" t="s">
        <v>4035</v>
      </c>
      <c r="H13" s="340" t="s">
        <v>4022</v>
      </c>
      <c r="I13" s="340"/>
      <c r="J13" s="340"/>
      <c r="K13" s="340"/>
      <c r="L13" s="340"/>
      <c r="M13" s="340"/>
      <c r="N13" s="342"/>
      <c r="O13" s="340"/>
      <c r="P13" s="343" t="s">
        <v>4021</v>
      </c>
      <c r="Q13" s="344"/>
      <c r="R13" s="344"/>
      <c r="S13" s="344"/>
      <c r="T13" s="345"/>
      <c r="U13" s="346" t="s">
        <v>4020</v>
      </c>
      <c r="V13" s="347"/>
      <c r="W13" s="347"/>
      <c r="X13" s="348"/>
      <c r="Y13" s="349" t="s">
        <v>4063</v>
      </c>
      <c r="Z13" s="340" t="s">
        <v>4062</v>
      </c>
      <c r="AA13" s="340"/>
      <c r="AB13" s="340" t="s">
        <v>4510</v>
      </c>
      <c r="AC13" s="340" t="s">
        <v>4511</v>
      </c>
      <c r="AD13" s="340" t="s">
        <v>4512</v>
      </c>
      <c r="AE13" s="340" t="s">
        <v>4513</v>
      </c>
    </row>
    <row r="14" spans="1:31" s="3" customFormat="1" ht="38.25" customHeight="1" x14ac:dyDescent="0.2">
      <c r="A14" s="341"/>
      <c r="B14" s="341"/>
      <c r="C14" s="365"/>
      <c r="D14" s="365"/>
      <c r="E14" s="341"/>
      <c r="F14" s="341"/>
      <c r="G14" s="341"/>
      <c r="H14" s="157" t="s">
        <v>4015</v>
      </c>
      <c r="I14" s="158" t="s">
        <v>4014</v>
      </c>
      <c r="J14" s="158" t="s">
        <v>4013</v>
      </c>
      <c r="K14" s="159" t="s">
        <v>4012</v>
      </c>
      <c r="L14" s="158" t="s">
        <v>4011</v>
      </c>
      <c r="M14" s="159" t="s">
        <v>4010</v>
      </c>
      <c r="N14" s="181" t="s">
        <v>4009</v>
      </c>
      <c r="O14" s="160" t="s">
        <v>4008</v>
      </c>
      <c r="P14" s="158" t="s">
        <v>1561</v>
      </c>
      <c r="Q14" s="158" t="s">
        <v>419</v>
      </c>
      <c r="R14" s="158" t="s">
        <v>3503</v>
      </c>
      <c r="S14" s="158" t="s">
        <v>4006</v>
      </c>
      <c r="T14" s="158" t="s">
        <v>4061</v>
      </c>
      <c r="U14" s="158" t="s">
        <v>1561</v>
      </c>
      <c r="V14" s="158" t="s">
        <v>419</v>
      </c>
      <c r="W14" s="158" t="s">
        <v>3503</v>
      </c>
      <c r="X14" s="158" t="s">
        <v>4006</v>
      </c>
      <c r="Y14" s="350"/>
      <c r="Z14" s="341"/>
      <c r="AA14" s="341"/>
      <c r="AB14" s="341"/>
      <c r="AC14" s="341"/>
      <c r="AD14" s="341"/>
      <c r="AE14" s="341"/>
    </row>
    <row r="15" spans="1:31" s="162" customFormat="1" ht="60" hidden="1" customHeight="1" x14ac:dyDescent="0.25">
      <c r="A15" s="282" t="s">
        <v>4531</v>
      </c>
      <c r="B15" s="183">
        <v>1</v>
      </c>
      <c r="C15" s="152" t="s">
        <v>4438</v>
      </c>
      <c r="D15" s="184" t="s">
        <v>4439</v>
      </c>
      <c r="E15" s="184" t="s">
        <v>4439</v>
      </c>
      <c r="F15" s="185" t="s">
        <v>4452</v>
      </c>
      <c r="G15" s="219">
        <v>30</v>
      </c>
      <c r="H15" s="197">
        <v>32</v>
      </c>
      <c r="I15" s="198">
        <v>24</v>
      </c>
      <c r="J15" s="199">
        <v>16</v>
      </c>
      <c r="K15" s="186"/>
      <c r="L15" s="199">
        <v>4</v>
      </c>
      <c r="M15" s="186"/>
      <c r="N15" s="200">
        <f t="shared" ref="N15:N21" si="0">SUM(H15:M15)</f>
        <v>76</v>
      </c>
      <c r="O15" s="187"/>
      <c r="P15" s="284" t="s">
        <v>4278</v>
      </c>
      <c r="Q15" s="188"/>
      <c r="R15" s="188" t="s">
        <v>4440</v>
      </c>
      <c r="S15" s="189" t="s">
        <v>100</v>
      </c>
      <c r="T15" s="188"/>
      <c r="U15" s="288" t="s">
        <v>4278</v>
      </c>
      <c r="V15" s="113"/>
      <c r="W15" s="113"/>
      <c r="X15" s="161"/>
      <c r="Y15" s="113" t="s">
        <v>4255</v>
      </c>
      <c r="Z15" s="113" t="s">
        <v>4441</v>
      </c>
      <c r="AA15" s="191" t="s">
        <v>4450</v>
      </c>
      <c r="AB15" s="227" t="s">
        <v>4516</v>
      </c>
      <c r="AC15" s="234" t="s">
        <v>4518</v>
      </c>
      <c r="AD15" s="227" t="s">
        <v>4514</v>
      </c>
      <c r="AE15" s="234" t="s">
        <v>4519</v>
      </c>
    </row>
    <row r="16" spans="1:31" s="164" customFormat="1" ht="60.75" hidden="1" customHeight="1" x14ac:dyDescent="0.25">
      <c r="A16" s="282" t="s">
        <v>4532</v>
      </c>
      <c r="B16" s="190">
        <v>2</v>
      </c>
      <c r="C16" s="191" t="s">
        <v>4442</v>
      </c>
      <c r="D16" s="192" t="s">
        <v>4443</v>
      </c>
      <c r="E16" s="192" t="s">
        <v>4444</v>
      </c>
      <c r="F16" s="114" t="s">
        <v>4467</v>
      </c>
      <c r="G16" s="220">
        <v>5</v>
      </c>
      <c r="H16" s="201">
        <v>100</v>
      </c>
      <c r="I16" s="202">
        <v>200</v>
      </c>
      <c r="J16" s="203">
        <v>300</v>
      </c>
      <c r="K16" s="194"/>
      <c r="L16" s="203">
        <v>72</v>
      </c>
      <c r="M16" s="194"/>
      <c r="N16" s="200">
        <v>672</v>
      </c>
      <c r="O16" s="195"/>
      <c r="P16" s="196"/>
      <c r="Q16" s="196" t="s">
        <v>4341</v>
      </c>
      <c r="R16" s="196" t="s">
        <v>4265</v>
      </c>
      <c r="S16" s="196" t="s">
        <v>38</v>
      </c>
      <c r="T16" s="196"/>
      <c r="U16" s="196"/>
      <c r="V16" s="161" t="s">
        <v>4342</v>
      </c>
      <c r="W16" s="163"/>
      <c r="X16" s="161"/>
      <c r="Y16" s="163" t="s">
        <v>4255</v>
      </c>
      <c r="Z16" s="113" t="s">
        <v>4343</v>
      </c>
      <c r="AA16" s="191" t="s">
        <v>4450</v>
      </c>
      <c r="AB16" s="227" t="s">
        <v>4516</v>
      </c>
      <c r="AC16" s="227" t="s">
        <v>4643</v>
      </c>
      <c r="AD16" s="227" t="s">
        <v>4514</v>
      </c>
      <c r="AE16" s="227" t="s">
        <v>4517</v>
      </c>
    </row>
    <row r="17" spans="1:31" s="164" customFormat="1" ht="48" hidden="1" customHeight="1" x14ac:dyDescent="0.25">
      <c r="A17" s="282" t="s">
        <v>4533</v>
      </c>
      <c r="B17" s="183">
        <v>3</v>
      </c>
      <c r="C17" s="191" t="s">
        <v>4451</v>
      </c>
      <c r="D17" s="192" t="s">
        <v>4443</v>
      </c>
      <c r="E17" s="192" t="s">
        <v>4506</v>
      </c>
      <c r="F17" s="114" t="s">
        <v>4505</v>
      </c>
      <c r="G17" s="220">
        <v>10</v>
      </c>
      <c r="H17" s="201">
        <v>100</v>
      </c>
      <c r="I17" s="202">
        <v>200</v>
      </c>
      <c r="J17" s="203">
        <v>300</v>
      </c>
      <c r="K17" s="194"/>
      <c r="L17" s="203">
        <v>72</v>
      </c>
      <c r="M17" s="194"/>
      <c r="N17" s="200">
        <v>672</v>
      </c>
      <c r="O17" s="195"/>
      <c r="P17" s="196"/>
      <c r="Q17" s="196" t="s">
        <v>4337</v>
      </c>
      <c r="R17" s="196" t="s">
        <v>4265</v>
      </c>
      <c r="S17" s="196" t="s">
        <v>41</v>
      </c>
      <c r="T17" s="196"/>
      <c r="U17" s="196"/>
      <c r="V17" s="161" t="s">
        <v>4338</v>
      </c>
      <c r="W17" s="163"/>
      <c r="X17" s="161"/>
      <c r="Y17" s="163" t="s">
        <v>4255</v>
      </c>
      <c r="Z17" s="113" t="s">
        <v>4339</v>
      </c>
      <c r="AA17" s="191" t="s">
        <v>4450</v>
      </c>
      <c r="AB17" s="227" t="s">
        <v>4516</v>
      </c>
      <c r="AC17" s="227" t="s">
        <v>4644</v>
      </c>
      <c r="AD17" s="227" t="s">
        <v>4514</v>
      </c>
      <c r="AE17" s="227" t="s">
        <v>4517</v>
      </c>
    </row>
    <row r="18" spans="1:31" s="164" customFormat="1" ht="48" hidden="1" customHeight="1" x14ac:dyDescent="0.25">
      <c r="A18" s="282" t="s">
        <v>4534</v>
      </c>
      <c r="B18" s="190">
        <v>4</v>
      </c>
      <c r="C18" s="191" t="s">
        <v>4442</v>
      </c>
      <c r="D18" s="192" t="s">
        <v>4443</v>
      </c>
      <c r="E18" s="192" t="s">
        <v>4508</v>
      </c>
      <c r="F18" s="114" t="s">
        <v>4461</v>
      </c>
      <c r="G18" s="220">
        <v>10</v>
      </c>
      <c r="H18" s="201">
        <v>50</v>
      </c>
      <c r="I18" s="202">
        <v>150</v>
      </c>
      <c r="J18" s="203">
        <v>150</v>
      </c>
      <c r="K18" s="194"/>
      <c r="L18" s="203">
        <v>34</v>
      </c>
      <c r="M18" s="194"/>
      <c r="N18" s="200">
        <v>384</v>
      </c>
      <c r="O18" s="195"/>
      <c r="P18" s="196"/>
      <c r="Q18" s="196" t="s">
        <v>4341</v>
      </c>
      <c r="R18" s="196" t="s">
        <v>4265</v>
      </c>
      <c r="S18" s="196" t="s">
        <v>38</v>
      </c>
      <c r="T18" s="196"/>
      <c r="U18" s="196"/>
      <c r="V18" s="161" t="s">
        <v>4342</v>
      </c>
      <c r="W18" s="163"/>
      <c r="X18" s="161"/>
      <c r="Y18" s="163" t="s">
        <v>4255</v>
      </c>
      <c r="Z18" s="113" t="s">
        <v>4464</v>
      </c>
      <c r="AA18" s="191" t="s">
        <v>4450</v>
      </c>
      <c r="AB18" s="227" t="s">
        <v>4516</v>
      </c>
      <c r="AC18" s="227" t="s">
        <v>4643</v>
      </c>
      <c r="AD18" s="227" t="s">
        <v>4514</v>
      </c>
      <c r="AE18" s="227" t="s">
        <v>4517</v>
      </c>
    </row>
    <row r="19" spans="1:31" s="308" customFormat="1" ht="48.75" customHeight="1" x14ac:dyDescent="0.25">
      <c r="A19" s="282" t="s">
        <v>4535</v>
      </c>
      <c r="B19" s="282">
        <v>5</v>
      </c>
      <c r="C19" s="286" t="s">
        <v>4451</v>
      </c>
      <c r="D19" s="299" t="s">
        <v>4443</v>
      </c>
      <c r="E19" s="299" t="s">
        <v>4507</v>
      </c>
      <c r="F19" s="236" t="s">
        <v>4461</v>
      </c>
      <c r="G19" s="301">
        <v>15</v>
      </c>
      <c r="H19" s="302">
        <v>50</v>
      </c>
      <c r="I19" s="303">
        <v>150</v>
      </c>
      <c r="J19" s="304">
        <v>150</v>
      </c>
      <c r="K19" s="305"/>
      <c r="L19" s="304">
        <v>34</v>
      </c>
      <c r="M19" s="305"/>
      <c r="N19" s="306">
        <v>384</v>
      </c>
      <c r="O19" s="307"/>
      <c r="P19" s="284"/>
      <c r="Q19" s="284" t="s">
        <v>4337</v>
      </c>
      <c r="R19" s="284" t="s">
        <v>4265</v>
      </c>
      <c r="S19" s="284" t="s">
        <v>41</v>
      </c>
      <c r="T19" s="284"/>
      <c r="U19" s="284"/>
      <c r="V19" s="309" t="s">
        <v>4338</v>
      </c>
      <c r="W19" s="285"/>
      <c r="X19" s="309"/>
      <c r="Y19" s="285" t="s">
        <v>4255</v>
      </c>
      <c r="Z19" s="310" t="s">
        <v>4462</v>
      </c>
      <c r="AA19" s="286" t="s">
        <v>4450</v>
      </c>
      <c r="AB19" s="234" t="s">
        <v>4516</v>
      </c>
      <c r="AC19" s="234" t="s">
        <v>4648</v>
      </c>
      <c r="AD19" s="234" t="s">
        <v>4514</v>
      </c>
      <c r="AE19" s="234" t="s">
        <v>4517</v>
      </c>
    </row>
    <row r="20" spans="1:31" s="312" customFormat="1" ht="45" hidden="1" x14ac:dyDescent="0.25">
      <c r="A20" s="282" t="s">
        <v>4537</v>
      </c>
      <c r="B20" s="190">
        <v>6</v>
      </c>
      <c r="C20" s="191" t="s">
        <v>4445</v>
      </c>
      <c r="D20" s="192" t="s">
        <v>4446</v>
      </c>
      <c r="E20" s="192" t="s">
        <v>4447</v>
      </c>
      <c r="F20" s="193" t="s">
        <v>4453</v>
      </c>
      <c r="G20" s="220">
        <v>6</v>
      </c>
      <c r="H20" s="201"/>
      <c r="I20" s="202"/>
      <c r="J20" s="203">
        <v>140</v>
      </c>
      <c r="K20" s="194"/>
      <c r="L20" s="203">
        <v>52</v>
      </c>
      <c r="M20" s="194"/>
      <c r="N20" s="200">
        <f t="shared" si="0"/>
        <v>192</v>
      </c>
      <c r="O20" s="195"/>
      <c r="P20" s="196" t="s">
        <v>4278</v>
      </c>
      <c r="Q20" s="196"/>
      <c r="R20" s="196"/>
      <c r="S20" s="189"/>
      <c r="T20" s="196"/>
      <c r="U20" s="196" t="s">
        <v>4278</v>
      </c>
      <c r="V20" s="163"/>
      <c r="W20" s="163"/>
      <c r="X20" s="189"/>
      <c r="Y20" s="163" t="s">
        <v>4255</v>
      </c>
      <c r="Z20" s="163" t="s">
        <v>4454</v>
      </c>
      <c r="AA20" s="191" t="s">
        <v>4450</v>
      </c>
      <c r="AB20" s="227" t="s">
        <v>4516</v>
      </c>
      <c r="AC20" s="311" t="s">
        <v>4518</v>
      </c>
      <c r="AD20" s="227" t="s">
        <v>4514</v>
      </c>
      <c r="AE20" s="227" t="s">
        <v>4519</v>
      </c>
    </row>
    <row r="21" spans="1:31" s="321" customFormat="1" ht="56.25" x14ac:dyDescent="0.25">
      <c r="A21" s="282" t="s">
        <v>4536</v>
      </c>
      <c r="B21" s="282">
        <v>7</v>
      </c>
      <c r="C21" s="293" t="s">
        <v>4448</v>
      </c>
      <c r="D21" s="293" t="s">
        <v>14</v>
      </c>
      <c r="E21" s="313" t="s">
        <v>4449</v>
      </c>
      <c r="F21" s="287" t="s">
        <v>4065</v>
      </c>
      <c r="G21" s="314">
        <v>5</v>
      </c>
      <c r="H21" s="315">
        <v>16</v>
      </c>
      <c r="I21" s="316">
        <v>24</v>
      </c>
      <c r="J21" s="316">
        <v>16</v>
      </c>
      <c r="K21" s="317"/>
      <c r="L21" s="316">
        <v>8</v>
      </c>
      <c r="M21" s="317"/>
      <c r="N21" s="315">
        <f t="shared" si="0"/>
        <v>64</v>
      </c>
      <c r="O21" s="318"/>
      <c r="P21" s="287" t="s">
        <v>4278</v>
      </c>
      <c r="Q21" s="287"/>
      <c r="R21" s="300" t="s">
        <v>4440</v>
      </c>
      <c r="S21" s="319" t="s">
        <v>100</v>
      </c>
      <c r="T21" s="287"/>
      <c r="U21" s="287" t="s">
        <v>4278</v>
      </c>
      <c r="V21" s="310"/>
      <c r="W21" s="310"/>
      <c r="X21" s="309"/>
      <c r="Y21" s="310" t="s">
        <v>4255</v>
      </c>
      <c r="Z21" s="320" t="s">
        <v>4455</v>
      </c>
      <c r="AA21" s="286" t="s">
        <v>4450</v>
      </c>
      <c r="AB21" s="234" t="s">
        <v>4516</v>
      </c>
      <c r="AC21" s="283" t="s">
        <v>4518</v>
      </c>
      <c r="AD21" s="234" t="s">
        <v>4514</v>
      </c>
      <c r="AE21" s="283" t="s">
        <v>4519</v>
      </c>
    </row>
    <row r="22" spans="1:31" s="165" customFormat="1" ht="33.75" hidden="1" x14ac:dyDescent="0.25">
      <c r="A22" s="282" t="s">
        <v>4538</v>
      </c>
      <c r="B22" s="190">
        <v>8</v>
      </c>
      <c r="C22" s="152" t="s">
        <v>0</v>
      </c>
      <c r="D22" s="152" t="s">
        <v>0</v>
      </c>
      <c r="E22" s="113" t="s">
        <v>4323</v>
      </c>
      <c r="F22" s="114" t="s">
        <v>4324</v>
      </c>
      <c r="G22" s="221">
        <v>20</v>
      </c>
      <c r="H22" s="182" t="s">
        <v>4066</v>
      </c>
      <c r="I22" s="182">
        <v>3</v>
      </c>
      <c r="J22" s="182">
        <v>1</v>
      </c>
      <c r="K22" s="182" t="s">
        <v>4066</v>
      </c>
      <c r="L22" s="182" t="s">
        <v>4066</v>
      </c>
      <c r="M22" s="182">
        <v>2</v>
      </c>
      <c r="N22" s="182">
        <v>6</v>
      </c>
      <c r="O22" s="113" t="s">
        <v>4066</v>
      </c>
      <c r="P22" s="236" t="s">
        <v>4278</v>
      </c>
      <c r="Q22" s="114"/>
      <c r="R22" s="114" t="s">
        <v>4265</v>
      </c>
      <c r="S22" s="114" t="s">
        <v>100</v>
      </c>
      <c r="T22" s="113"/>
      <c r="U22" s="236" t="s">
        <v>4278</v>
      </c>
      <c r="V22" s="113"/>
      <c r="W22" s="113"/>
      <c r="X22" s="113"/>
      <c r="Y22" s="113" t="s">
        <v>4255</v>
      </c>
      <c r="Z22" s="113" t="s">
        <v>4326</v>
      </c>
      <c r="AA22" s="152" t="s">
        <v>4450</v>
      </c>
      <c r="AB22" s="227" t="s">
        <v>4516</v>
      </c>
      <c r="AC22" s="283" t="s">
        <v>4518</v>
      </c>
      <c r="AD22" s="227" t="s">
        <v>4514</v>
      </c>
      <c r="AE22" s="227" t="s">
        <v>4515</v>
      </c>
    </row>
    <row r="23" spans="1:31" s="165" customFormat="1" ht="56.25" hidden="1" x14ac:dyDescent="0.25">
      <c r="A23" s="282" t="s">
        <v>4539</v>
      </c>
      <c r="B23" s="183">
        <v>9</v>
      </c>
      <c r="C23" s="152" t="s">
        <v>0</v>
      </c>
      <c r="D23" s="152" t="s">
        <v>0</v>
      </c>
      <c r="E23" s="113" t="s">
        <v>82</v>
      </c>
      <c r="F23" s="114" t="s">
        <v>77</v>
      </c>
      <c r="G23" s="221">
        <v>24</v>
      </c>
      <c r="H23" s="182"/>
      <c r="I23" s="182">
        <v>2</v>
      </c>
      <c r="J23" s="182">
        <v>1</v>
      </c>
      <c r="K23" s="182"/>
      <c r="L23" s="182">
        <v>0.5</v>
      </c>
      <c r="M23" s="182"/>
      <c r="N23" s="182">
        <v>3.5</v>
      </c>
      <c r="O23" s="113" t="s">
        <v>4066</v>
      </c>
      <c r="P23" s="114" t="s">
        <v>81</v>
      </c>
      <c r="Q23" s="114"/>
      <c r="R23" s="114" t="s">
        <v>4265</v>
      </c>
      <c r="S23" s="114" t="s">
        <v>100</v>
      </c>
      <c r="T23" s="113"/>
      <c r="U23" s="114" t="s">
        <v>77</v>
      </c>
      <c r="V23" s="236" t="s">
        <v>77</v>
      </c>
      <c r="W23" s="113"/>
      <c r="X23" s="113"/>
      <c r="Y23" s="113" t="s">
        <v>4255</v>
      </c>
      <c r="Z23" s="113" t="s">
        <v>4327</v>
      </c>
      <c r="AA23" s="152" t="s">
        <v>4450</v>
      </c>
      <c r="AB23" s="227" t="s">
        <v>4516</v>
      </c>
      <c r="AC23" s="234" t="s">
        <v>4645</v>
      </c>
      <c r="AD23" s="227" t="s">
        <v>4514</v>
      </c>
      <c r="AE23" s="227" t="s">
        <v>4517</v>
      </c>
    </row>
    <row r="24" spans="1:31" s="165" customFormat="1" ht="56.25" hidden="1" x14ac:dyDescent="0.25">
      <c r="A24" s="282" t="s">
        <v>4540</v>
      </c>
      <c r="B24" s="190">
        <v>10</v>
      </c>
      <c r="C24" s="152" t="s">
        <v>0</v>
      </c>
      <c r="D24" s="152" t="s">
        <v>0</v>
      </c>
      <c r="E24" s="113" t="s">
        <v>80</v>
      </c>
      <c r="F24" s="114" t="s">
        <v>77</v>
      </c>
      <c r="G24" s="221">
        <v>100</v>
      </c>
      <c r="H24" s="182">
        <v>2</v>
      </c>
      <c r="I24" s="182">
        <v>1</v>
      </c>
      <c r="J24" s="182">
        <v>1</v>
      </c>
      <c r="K24" s="182"/>
      <c r="L24" s="182">
        <v>1</v>
      </c>
      <c r="M24" s="182"/>
      <c r="N24" s="182">
        <v>5</v>
      </c>
      <c r="O24" s="113" t="s">
        <v>4066</v>
      </c>
      <c r="P24" s="114" t="s">
        <v>79</v>
      </c>
      <c r="Q24" s="114"/>
      <c r="R24" s="114" t="s">
        <v>4265</v>
      </c>
      <c r="S24" s="114" t="s">
        <v>100</v>
      </c>
      <c r="T24" s="113"/>
      <c r="U24" s="114" t="s">
        <v>77</v>
      </c>
      <c r="V24" s="236" t="s">
        <v>77</v>
      </c>
      <c r="W24" s="113"/>
      <c r="X24" s="113"/>
      <c r="Y24" s="113" t="s">
        <v>4255</v>
      </c>
      <c r="Z24" s="113" t="s">
        <v>4327</v>
      </c>
      <c r="AA24" s="152" t="s">
        <v>4450</v>
      </c>
      <c r="AB24" s="227" t="s">
        <v>4516</v>
      </c>
      <c r="AC24" s="227" t="s">
        <v>4645</v>
      </c>
      <c r="AD24" s="227" t="s">
        <v>4514</v>
      </c>
      <c r="AE24" s="227" t="s">
        <v>4517</v>
      </c>
    </row>
    <row r="25" spans="1:31" s="165" customFormat="1" ht="33.75" hidden="1" x14ac:dyDescent="0.25">
      <c r="A25" s="282" t="s">
        <v>4541</v>
      </c>
      <c r="B25" s="183">
        <v>11</v>
      </c>
      <c r="C25" s="152" t="s">
        <v>0</v>
      </c>
      <c r="D25" s="152" t="s">
        <v>4328</v>
      </c>
      <c r="E25" s="113" t="s">
        <v>73</v>
      </c>
      <c r="F25" s="114" t="s">
        <v>68</v>
      </c>
      <c r="G25" s="221">
        <v>4</v>
      </c>
      <c r="H25" s="182">
        <v>4</v>
      </c>
      <c r="I25" s="182">
        <v>4</v>
      </c>
      <c r="J25" s="182">
        <v>2</v>
      </c>
      <c r="K25" s="182"/>
      <c r="L25" s="182">
        <v>2</v>
      </c>
      <c r="M25" s="182"/>
      <c r="N25" s="182">
        <v>12</v>
      </c>
      <c r="O25" s="113" t="s">
        <v>4066</v>
      </c>
      <c r="P25" s="277" t="s">
        <v>4278</v>
      </c>
      <c r="Q25" s="278"/>
      <c r="R25" s="278"/>
      <c r="S25" s="227"/>
      <c r="T25" s="227"/>
      <c r="U25" s="277" t="s">
        <v>4278</v>
      </c>
      <c r="V25" s="227"/>
      <c r="W25" s="227"/>
      <c r="X25" s="227"/>
      <c r="Y25" s="227" t="s">
        <v>4255</v>
      </c>
      <c r="Z25" s="227" t="s">
        <v>4329</v>
      </c>
      <c r="AA25" s="152" t="s">
        <v>4450</v>
      </c>
      <c r="AB25" s="227" t="s">
        <v>4516</v>
      </c>
      <c r="AC25" s="233" t="s">
        <v>4518</v>
      </c>
      <c r="AD25" s="227" t="s">
        <v>4514</v>
      </c>
      <c r="AE25" s="237" t="s">
        <v>4519</v>
      </c>
    </row>
    <row r="26" spans="1:31" x14ac:dyDescent="0.25">
      <c r="D26" s="1"/>
      <c r="E26" s="1"/>
      <c r="F26" s="1"/>
      <c r="G26" s="155"/>
      <c r="H26" s="171"/>
      <c r="I26" s="170"/>
      <c r="J26" s="170"/>
      <c r="K26" s="170"/>
      <c r="L26" s="170"/>
      <c r="AA26" s="2"/>
    </row>
    <row r="27" spans="1:31" x14ac:dyDescent="0.25">
      <c r="D27" s="1"/>
      <c r="E27" s="1"/>
      <c r="F27" s="1"/>
      <c r="G27" s="155"/>
      <c r="H27" s="171"/>
      <c r="I27" s="170"/>
      <c r="J27" s="170"/>
      <c r="K27" s="170"/>
      <c r="L27" s="170"/>
      <c r="AA27" s="2"/>
    </row>
    <row r="28" spans="1:31" x14ac:dyDescent="0.25">
      <c r="D28" s="1"/>
      <c r="E28" s="1"/>
      <c r="F28" s="1"/>
      <c r="G28" s="155"/>
      <c r="H28" s="171"/>
      <c r="I28" s="170"/>
      <c r="J28" s="170"/>
      <c r="K28" s="170"/>
      <c r="L28" s="170"/>
      <c r="AA28" s="2"/>
    </row>
    <row r="29" spans="1:31" x14ac:dyDescent="0.25">
      <c r="D29" s="1"/>
      <c r="E29" s="1"/>
      <c r="F29" s="1"/>
      <c r="G29" s="155"/>
      <c r="H29" s="171"/>
      <c r="I29" s="170"/>
      <c r="J29" s="170"/>
      <c r="K29" s="170"/>
      <c r="L29" s="170"/>
      <c r="AA29" s="2"/>
    </row>
    <row r="30" spans="1:31" x14ac:dyDescent="0.25">
      <c r="D30" s="1"/>
      <c r="E30" s="1"/>
      <c r="F30" s="1"/>
      <c r="G30" s="155"/>
      <c r="H30" s="171"/>
      <c r="I30" s="170"/>
      <c r="J30" s="170"/>
      <c r="K30" s="170"/>
      <c r="L30" s="170"/>
      <c r="AA30" s="2"/>
    </row>
    <row r="31" spans="1:31" x14ac:dyDescent="0.25">
      <c r="D31" s="1"/>
      <c r="E31" s="1"/>
      <c r="F31" s="1"/>
      <c r="G31" s="155"/>
      <c r="H31" s="171"/>
      <c r="I31" s="170"/>
      <c r="J31" s="170"/>
      <c r="K31" s="170"/>
      <c r="L31" s="170"/>
      <c r="AA31" s="2"/>
    </row>
    <row r="32" spans="1:31" x14ac:dyDescent="0.25">
      <c r="D32" s="1"/>
      <c r="E32" s="1"/>
      <c r="F32" s="1"/>
      <c r="G32" s="155"/>
      <c r="H32" s="171"/>
      <c r="I32" s="170"/>
      <c r="J32" s="170"/>
      <c r="K32" s="170"/>
      <c r="L32" s="170"/>
      <c r="AA32" s="2"/>
    </row>
    <row r="33" spans="4:27" x14ac:dyDescent="0.25">
      <c r="D33" s="1"/>
      <c r="E33" s="1"/>
      <c r="F33" s="1"/>
      <c r="G33" s="155"/>
      <c r="H33" s="171"/>
      <c r="I33" s="170"/>
      <c r="J33" s="170"/>
      <c r="K33" s="170"/>
      <c r="L33" s="170"/>
      <c r="AA33" s="2"/>
    </row>
    <row r="34" spans="4:27" x14ac:dyDescent="0.25">
      <c r="D34" s="1"/>
      <c r="E34" s="1"/>
      <c r="F34" s="1"/>
      <c r="G34" s="155"/>
      <c r="H34" s="171"/>
      <c r="I34" s="170"/>
      <c r="J34" s="170"/>
      <c r="K34" s="170"/>
      <c r="L34" s="170"/>
      <c r="AA34" s="2"/>
    </row>
    <row r="35" spans="4:27" x14ac:dyDescent="0.25">
      <c r="D35" s="1"/>
      <c r="E35" s="1"/>
      <c r="F35" s="1"/>
      <c r="G35" s="155"/>
      <c r="H35" s="171"/>
      <c r="I35" s="170"/>
      <c r="J35" s="170"/>
      <c r="K35" s="170"/>
      <c r="L35" s="170"/>
      <c r="AA35" s="2"/>
    </row>
    <row r="36" spans="4:27" x14ac:dyDescent="0.25">
      <c r="D36" s="1"/>
      <c r="E36" s="1"/>
      <c r="F36" s="1"/>
      <c r="G36" s="155"/>
      <c r="H36" s="171"/>
      <c r="I36" s="170"/>
      <c r="J36" s="170"/>
      <c r="K36" s="170"/>
      <c r="L36" s="170"/>
      <c r="AA36" s="2"/>
    </row>
    <row r="37" spans="4:27" x14ac:dyDescent="0.25">
      <c r="D37" s="1"/>
      <c r="E37" s="1"/>
      <c r="F37" s="1"/>
      <c r="G37" s="155"/>
      <c r="H37" s="171"/>
      <c r="I37" s="170"/>
      <c r="J37" s="170"/>
      <c r="K37" s="170"/>
      <c r="L37" s="170"/>
      <c r="AA37" s="2"/>
    </row>
    <row r="38" spans="4:27" x14ac:dyDescent="0.25">
      <c r="D38" s="1"/>
      <c r="E38" s="1"/>
      <c r="F38" s="1"/>
      <c r="G38" s="155"/>
      <c r="H38" s="171"/>
      <c r="I38" s="170"/>
      <c r="J38" s="170"/>
      <c r="K38" s="170"/>
      <c r="L38" s="170"/>
      <c r="AA38" s="2"/>
    </row>
    <row r="39" spans="4:27" x14ac:dyDescent="0.25">
      <c r="D39" s="1"/>
      <c r="E39" s="1"/>
      <c r="F39" s="1"/>
      <c r="G39" s="155"/>
      <c r="H39" s="171"/>
      <c r="I39" s="170"/>
      <c r="J39" s="170"/>
      <c r="K39" s="170"/>
      <c r="L39" s="170"/>
      <c r="AA39" s="2"/>
    </row>
    <row r="40" spans="4:27" x14ac:dyDescent="0.25">
      <c r="D40" s="1"/>
      <c r="E40" s="1"/>
      <c r="F40" s="1"/>
      <c r="G40" s="155"/>
      <c r="H40" s="171"/>
      <c r="I40" s="170"/>
      <c r="J40" s="170"/>
      <c r="K40" s="170"/>
      <c r="L40" s="170"/>
      <c r="AA40" s="2"/>
    </row>
    <row r="41" spans="4:27" x14ac:dyDescent="0.25">
      <c r="D41" s="1"/>
      <c r="E41" s="1"/>
      <c r="F41" s="1"/>
      <c r="G41" s="155"/>
      <c r="H41" s="171"/>
      <c r="I41" s="170"/>
      <c r="J41" s="170"/>
      <c r="K41" s="170"/>
      <c r="L41" s="170"/>
      <c r="AA41" s="2"/>
    </row>
    <row r="42" spans="4:27" x14ac:dyDescent="0.25">
      <c r="D42" s="1"/>
      <c r="E42" s="1"/>
      <c r="F42" s="1"/>
      <c r="G42" s="155"/>
      <c r="H42" s="171"/>
      <c r="I42" s="170"/>
      <c r="J42" s="170"/>
      <c r="K42" s="170"/>
      <c r="L42" s="170"/>
      <c r="AA42" s="2"/>
    </row>
    <row r="43" spans="4:27" x14ac:dyDescent="0.25">
      <c r="D43" s="1"/>
      <c r="E43" s="1"/>
      <c r="F43" s="1"/>
      <c r="G43" s="155"/>
      <c r="H43" s="171"/>
      <c r="I43" s="170"/>
      <c r="J43" s="170"/>
      <c r="K43" s="170"/>
      <c r="L43" s="170"/>
      <c r="AA43" s="2"/>
    </row>
    <row r="44" spans="4:27" x14ac:dyDescent="0.25">
      <c r="D44" s="1"/>
      <c r="E44" s="1"/>
      <c r="F44" s="1"/>
      <c r="G44" s="155"/>
      <c r="H44" s="171"/>
      <c r="I44" s="170"/>
      <c r="J44" s="170"/>
      <c r="K44" s="170"/>
      <c r="L44" s="170"/>
      <c r="AA44" s="2"/>
    </row>
    <row r="45" spans="4:27" x14ac:dyDescent="0.25">
      <c r="D45" s="1"/>
      <c r="E45" s="1"/>
      <c r="F45" s="1"/>
      <c r="G45" s="155"/>
      <c r="H45" s="171"/>
      <c r="I45" s="170"/>
      <c r="J45" s="170"/>
      <c r="K45" s="170"/>
      <c r="L45" s="170"/>
      <c r="AA45" s="2"/>
    </row>
    <row r="46" spans="4:27" x14ac:dyDescent="0.25">
      <c r="D46" s="1"/>
      <c r="E46" s="1"/>
      <c r="F46" s="1"/>
      <c r="G46" s="155"/>
      <c r="H46" s="171"/>
      <c r="I46" s="170"/>
      <c r="J46" s="170"/>
      <c r="K46" s="170"/>
      <c r="L46" s="170"/>
      <c r="AA46" s="2"/>
    </row>
    <row r="47" spans="4:27" x14ac:dyDescent="0.25">
      <c r="D47" s="1"/>
      <c r="E47" s="1"/>
      <c r="F47" s="1"/>
      <c r="G47" s="155"/>
      <c r="H47" s="171"/>
      <c r="I47" s="170"/>
      <c r="J47" s="170"/>
      <c r="K47" s="170"/>
      <c r="L47" s="170"/>
      <c r="AA47" s="2"/>
    </row>
    <row r="48" spans="4:27" x14ac:dyDescent="0.25">
      <c r="D48" s="1"/>
      <c r="E48" s="1"/>
      <c r="F48" s="1"/>
      <c r="G48" s="155"/>
      <c r="H48" s="171"/>
      <c r="I48" s="170"/>
      <c r="J48" s="170"/>
      <c r="K48" s="170"/>
      <c r="L48" s="170"/>
      <c r="AA48" s="2"/>
    </row>
    <row r="49" spans="4:27" x14ac:dyDescent="0.25">
      <c r="D49" s="1"/>
      <c r="E49" s="1"/>
      <c r="F49" s="1"/>
      <c r="G49" s="155"/>
      <c r="H49" s="171"/>
      <c r="I49" s="170"/>
      <c r="J49" s="170"/>
      <c r="K49" s="170"/>
      <c r="L49" s="170"/>
      <c r="AA49" s="2"/>
    </row>
    <row r="50" spans="4:27" x14ac:dyDescent="0.25">
      <c r="D50" s="1"/>
      <c r="E50" s="1"/>
      <c r="F50" s="1"/>
      <c r="G50" s="155"/>
      <c r="H50" s="171"/>
      <c r="I50" s="170"/>
      <c r="J50" s="170"/>
      <c r="K50" s="170"/>
      <c r="L50" s="170"/>
      <c r="AA50" s="2"/>
    </row>
    <row r="51" spans="4:27" x14ac:dyDescent="0.25">
      <c r="D51" s="1"/>
      <c r="E51" s="1"/>
      <c r="F51" s="1"/>
      <c r="G51" s="155"/>
      <c r="H51" s="171"/>
      <c r="I51" s="170"/>
      <c r="J51" s="170"/>
      <c r="K51" s="170"/>
      <c r="L51" s="170"/>
      <c r="AA51" s="2"/>
    </row>
    <row r="52" spans="4:27" x14ac:dyDescent="0.25">
      <c r="D52" s="1"/>
      <c r="E52" s="1"/>
      <c r="F52" s="1"/>
      <c r="G52" s="155"/>
      <c r="H52" s="171"/>
      <c r="I52" s="170"/>
      <c r="J52" s="170"/>
      <c r="K52" s="170"/>
      <c r="L52" s="170"/>
      <c r="AA52" s="2"/>
    </row>
    <row r="53" spans="4:27" x14ac:dyDescent="0.25">
      <c r="D53" s="1"/>
      <c r="E53" s="1"/>
      <c r="F53" s="1"/>
      <c r="G53" s="155"/>
      <c r="H53" s="171"/>
      <c r="I53" s="170"/>
      <c r="J53" s="170"/>
      <c r="K53" s="170"/>
      <c r="L53" s="170"/>
      <c r="AA53" s="2"/>
    </row>
    <row r="54" spans="4:27" x14ac:dyDescent="0.25">
      <c r="D54" s="1"/>
      <c r="E54" s="1"/>
      <c r="F54" s="1"/>
      <c r="G54" s="155"/>
      <c r="H54" s="171"/>
      <c r="I54" s="170"/>
      <c r="J54" s="170"/>
      <c r="K54" s="170"/>
      <c r="L54" s="170"/>
      <c r="AA54" s="2"/>
    </row>
    <row r="55" spans="4:27" x14ac:dyDescent="0.25">
      <c r="D55" s="1"/>
      <c r="E55" s="1"/>
      <c r="F55" s="1"/>
      <c r="G55" s="155"/>
      <c r="H55" s="171"/>
      <c r="I55" s="170"/>
      <c r="J55" s="170"/>
      <c r="K55" s="170"/>
      <c r="L55" s="170"/>
      <c r="AA55" s="2"/>
    </row>
    <row r="56" spans="4:27" x14ac:dyDescent="0.25">
      <c r="D56" s="1"/>
      <c r="E56" s="1"/>
      <c r="F56" s="1"/>
      <c r="G56" s="155"/>
      <c r="H56" s="171"/>
      <c r="I56" s="170"/>
      <c r="J56" s="170"/>
      <c r="K56" s="170"/>
      <c r="L56" s="170"/>
      <c r="AA56" s="2"/>
    </row>
    <row r="57" spans="4:27" x14ac:dyDescent="0.25">
      <c r="D57" s="1"/>
      <c r="E57" s="1"/>
      <c r="F57" s="1"/>
      <c r="G57" s="155"/>
      <c r="H57" s="171"/>
      <c r="I57" s="170"/>
      <c r="J57" s="170"/>
      <c r="K57" s="170"/>
      <c r="L57" s="170"/>
      <c r="AA57" s="2"/>
    </row>
    <row r="58" spans="4:27" x14ac:dyDescent="0.25">
      <c r="D58" s="1"/>
      <c r="E58" s="1"/>
      <c r="F58" s="1"/>
      <c r="G58" s="155"/>
      <c r="H58" s="171"/>
      <c r="I58" s="170"/>
      <c r="J58" s="170"/>
      <c r="K58" s="170"/>
      <c r="L58" s="170"/>
      <c r="AA58" s="2"/>
    </row>
    <row r="59" spans="4:27" x14ac:dyDescent="0.25">
      <c r="D59" s="1"/>
      <c r="E59" s="1"/>
      <c r="F59" s="1"/>
      <c r="G59" s="155"/>
      <c r="H59" s="171"/>
      <c r="I59" s="170"/>
      <c r="J59" s="170"/>
      <c r="K59" s="170"/>
      <c r="L59" s="170"/>
      <c r="AA59" s="2"/>
    </row>
    <row r="60" spans="4:27" x14ac:dyDescent="0.25">
      <c r="D60" s="1"/>
      <c r="E60" s="1"/>
      <c r="F60" s="1"/>
      <c r="G60" s="155"/>
      <c r="H60" s="171"/>
      <c r="I60" s="170"/>
      <c r="J60" s="170"/>
      <c r="K60" s="170"/>
      <c r="L60" s="170"/>
      <c r="AA60" s="2"/>
    </row>
    <row r="61" spans="4:27" x14ac:dyDescent="0.25">
      <c r="D61" s="1"/>
      <c r="E61" s="1"/>
      <c r="F61" s="1"/>
      <c r="G61" s="155"/>
      <c r="H61" s="171"/>
      <c r="I61" s="170"/>
      <c r="J61" s="170"/>
      <c r="K61" s="170"/>
      <c r="L61" s="170"/>
      <c r="AA61" s="2"/>
    </row>
    <row r="62" spans="4:27" x14ac:dyDescent="0.25">
      <c r="D62" s="1"/>
      <c r="E62" s="1"/>
      <c r="F62" s="1"/>
      <c r="G62" s="155"/>
      <c r="H62" s="171"/>
      <c r="I62" s="170"/>
      <c r="J62" s="170"/>
      <c r="K62" s="170"/>
      <c r="L62" s="170"/>
      <c r="AA62" s="2"/>
    </row>
    <row r="63" spans="4:27" x14ac:dyDescent="0.25">
      <c r="D63" s="1"/>
      <c r="E63" s="1"/>
      <c r="F63" s="1"/>
      <c r="G63" s="155"/>
      <c r="H63" s="171"/>
      <c r="I63" s="170"/>
      <c r="J63" s="170"/>
      <c r="K63" s="170"/>
      <c r="L63" s="170"/>
      <c r="AA63" s="2"/>
    </row>
    <row r="64" spans="4:27" x14ac:dyDescent="0.25">
      <c r="D64" s="1"/>
      <c r="E64" s="1"/>
      <c r="F64" s="1"/>
      <c r="G64" s="155"/>
      <c r="H64" s="171"/>
      <c r="I64" s="170"/>
      <c r="J64" s="170"/>
      <c r="K64" s="170"/>
      <c r="L64" s="170"/>
      <c r="AA64" s="2"/>
    </row>
    <row r="65" spans="4:27" x14ac:dyDescent="0.25">
      <c r="D65" s="1"/>
      <c r="E65" s="1"/>
      <c r="F65" s="1"/>
      <c r="G65" s="155"/>
      <c r="H65" s="171"/>
      <c r="I65" s="170"/>
      <c r="J65" s="170"/>
      <c r="K65" s="170"/>
      <c r="L65" s="170"/>
      <c r="AA65" s="2"/>
    </row>
    <row r="66" spans="4:27" x14ac:dyDescent="0.25">
      <c r="D66" s="1"/>
      <c r="E66" s="1"/>
      <c r="F66" s="1"/>
      <c r="G66" s="155"/>
      <c r="H66" s="171"/>
      <c r="I66" s="170"/>
      <c r="J66" s="170"/>
      <c r="K66" s="170"/>
      <c r="L66" s="170"/>
      <c r="AA66" s="2"/>
    </row>
    <row r="67" spans="4:27" x14ac:dyDescent="0.25">
      <c r="D67" s="1"/>
      <c r="E67" s="1"/>
      <c r="F67" s="1"/>
      <c r="G67" s="155"/>
      <c r="H67" s="171"/>
      <c r="I67" s="170"/>
      <c r="J67" s="170"/>
      <c r="K67" s="170"/>
      <c r="L67" s="170"/>
      <c r="AA67" s="2"/>
    </row>
    <row r="68" spans="4:27" x14ac:dyDescent="0.25">
      <c r="D68" s="1"/>
      <c r="E68" s="1"/>
      <c r="F68" s="1"/>
      <c r="G68" s="155"/>
      <c r="H68" s="171"/>
      <c r="I68" s="170"/>
      <c r="J68" s="170"/>
      <c r="K68" s="170"/>
      <c r="L68" s="170"/>
      <c r="AA68" s="2"/>
    </row>
    <row r="69" spans="4:27" x14ac:dyDescent="0.25">
      <c r="D69" s="1"/>
      <c r="E69" s="1"/>
      <c r="F69" s="1"/>
      <c r="G69" s="155"/>
      <c r="H69" s="171"/>
      <c r="I69" s="170"/>
      <c r="J69" s="170"/>
      <c r="K69" s="170"/>
      <c r="L69" s="170"/>
      <c r="AA69" s="2"/>
    </row>
    <row r="70" spans="4:27" x14ac:dyDescent="0.25">
      <c r="D70" s="1"/>
      <c r="E70" s="1"/>
      <c r="F70" s="1"/>
      <c r="G70" s="155"/>
      <c r="H70" s="171"/>
      <c r="I70" s="170"/>
      <c r="J70" s="170"/>
      <c r="K70" s="170"/>
      <c r="L70" s="170"/>
      <c r="AA70" s="2"/>
    </row>
    <row r="71" spans="4:27" x14ac:dyDescent="0.25">
      <c r="D71" s="1"/>
      <c r="E71" s="1"/>
      <c r="F71" s="1"/>
      <c r="G71" s="155"/>
      <c r="H71" s="171"/>
      <c r="I71" s="170"/>
      <c r="J71" s="170"/>
      <c r="K71" s="170"/>
      <c r="L71" s="170"/>
      <c r="AA71" s="2"/>
    </row>
    <row r="72" spans="4:27" x14ac:dyDescent="0.25">
      <c r="D72" s="1"/>
      <c r="E72" s="1"/>
      <c r="F72" s="1"/>
      <c r="G72" s="155"/>
      <c r="H72" s="171"/>
      <c r="I72" s="170"/>
      <c r="J72" s="170"/>
      <c r="K72" s="170"/>
      <c r="L72" s="170"/>
      <c r="AA72" s="2"/>
    </row>
    <row r="73" spans="4:27" x14ac:dyDescent="0.25">
      <c r="D73" s="1"/>
      <c r="E73" s="1"/>
      <c r="F73" s="1"/>
      <c r="G73" s="155"/>
      <c r="H73" s="171"/>
      <c r="I73" s="170"/>
      <c r="J73" s="170"/>
      <c r="K73" s="170"/>
      <c r="L73" s="170"/>
      <c r="AA73" s="2"/>
    </row>
    <row r="74" spans="4:27" x14ac:dyDescent="0.25">
      <c r="D74" s="1"/>
      <c r="E74" s="1"/>
      <c r="F74" s="1"/>
      <c r="G74" s="155"/>
      <c r="H74" s="171"/>
      <c r="I74" s="170"/>
      <c r="J74" s="170"/>
      <c r="K74" s="170"/>
      <c r="L74" s="170"/>
      <c r="AA74" s="2"/>
    </row>
    <row r="75" spans="4:27" x14ac:dyDescent="0.25">
      <c r="D75" s="1"/>
      <c r="E75" s="1"/>
      <c r="F75" s="1"/>
      <c r="G75" s="155"/>
      <c r="H75" s="171"/>
      <c r="I75" s="170"/>
      <c r="J75" s="170"/>
      <c r="K75" s="170"/>
      <c r="L75" s="170"/>
      <c r="AA75" s="2"/>
    </row>
    <row r="76" spans="4:27" x14ac:dyDescent="0.25">
      <c r="D76" s="1"/>
      <c r="E76" s="1"/>
      <c r="F76" s="1"/>
      <c r="G76" s="155"/>
      <c r="H76" s="171"/>
      <c r="I76" s="170"/>
      <c r="J76" s="170"/>
      <c r="K76" s="170"/>
      <c r="L76" s="170"/>
      <c r="AA76" s="2"/>
    </row>
    <row r="77" spans="4:27" x14ac:dyDescent="0.25">
      <c r="D77" s="1"/>
      <c r="E77" s="1"/>
      <c r="F77" s="1"/>
      <c r="G77" s="155"/>
      <c r="H77" s="171"/>
      <c r="I77" s="170"/>
      <c r="J77" s="170"/>
      <c r="K77" s="170"/>
      <c r="L77" s="170"/>
      <c r="AA77" s="2"/>
    </row>
    <row r="78" spans="4:27" x14ac:dyDescent="0.25">
      <c r="D78" s="1"/>
      <c r="E78" s="1"/>
      <c r="F78" s="1"/>
      <c r="G78" s="155"/>
      <c r="H78" s="171"/>
      <c r="I78" s="170"/>
      <c r="J78" s="170"/>
      <c r="K78" s="170"/>
      <c r="L78" s="170"/>
      <c r="AA78" s="2"/>
    </row>
    <row r="79" spans="4:27" x14ac:dyDescent="0.25">
      <c r="D79" s="1"/>
      <c r="E79" s="1"/>
      <c r="F79" s="1"/>
      <c r="G79" s="155"/>
      <c r="H79" s="171"/>
      <c r="I79" s="170"/>
      <c r="J79" s="170"/>
      <c r="K79" s="170"/>
      <c r="L79" s="170"/>
      <c r="AA79" s="2"/>
    </row>
    <row r="80" spans="4:27" x14ac:dyDescent="0.25">
      <c r="D80" s="1"/>
      <c r="E80" s="1"/>
      <c r="F80" s="1"/>
      <c r="G80" s="155"/>
      <c r="H80" s="171"/>
      <c r="I80" s="170"/>
      <c r="J80" s="170"/>
      <c r="K80" s="170"/>
      <c r="L80" s="170"/>
      <c r="AA80" s="2"/>
    </row>
    <row r="81" spans="4:27" x14ac:dyDescent="0.25">
      <c r="D81" s="1"/>
      <c r="E81" s="1"/>
      <c r="F81" s="1"/>
      <c r="G81" s="155"/>
      <c r="H81" s="171"/>
      <c r="I81" s="170"/>
      <c r="J81" s="170"/>
      <c r="K81" s="170"/>
      <c r="L81" s="170"/>
      <c r="AA81" s="2"/>
    </row>
    <row r="82" spans="4:27" x14ac:dyDescent="0.25">
      <c r="D82" s="1"/>
      <c r="E82" s="1"/>
      <c r="F82" s="1"/>
      <c r="G82" s="155"/>
      <c r="H82" s="171"/>
      <c r="I82" s="170"/>
      <c r="J82" s="170"/>
      <c r="K82" s="170"/>
      <c r="L82" s="170"/>
      <c r="AA82" s="2"/>
    </row>
    <row r="83" spans="4:27" x14ac:dyDescent="0.25">
      <c r="D83" s="1"/>
      <c r="E83" s="1"/>
      <c r="F83" s="1"/>
      <c r="G83" s="155"/>
      <c r="H83" s="171"/>
      <c r="I83" s="170"/>
      <c r="J83" s="170"/>
      <c r="K83" s="170"/>
      <c r="L83" s="170"/>
      <c r="AA83" s="2"/>
    </row>
    <row r="84" spans="4:27" x14ac:dyDescent="0.25">
      <c r="D84" s="1"/>
      <c r="E84" s="1"/>
      <c r="F84" s="1"/>
      <c r="G84" s="155"/>
      <c r="H84" s="171"/>
      <c r="I84" s="170"/>
      <c r="J84" s="170"/>
      <c r="K84" s="170"/>
      <c r="L84" s="170"/>
      <c r="AA84" s="2"/>
    </row>
    <row r="85" spans="4:27" x14ac:dyDescent="0.25">
      <c r="D85" s="1"/>
      <c r="E85" s="1"/>
      <c r="F85" s="1"/>
      <c r="G85" s="155"/>
      <c r="H85" s="171"/>
      <c r="I85" s="170"/>
      <c r="J85" s="170"/>
      <c r="K85" s="170"/>
      <c r="L85" s="170"/>
      <c r="AA85" s="2"/>
    </row>
    <row r="86" spans="4:27" x14ac:dyDescent="0.25">
      <c r="D86" s="1"/>
      <c r="E86" s="1"/>
      <c r="F86" s="1"/>
      <c r="G86" s="155"/>
      <c r="H86" s="171"/>
      <c r="I86" s="170"/>
      <c r="J86" s="170"/>
      <c r="K86" s="170"/>
      <c r="L86" s="170"/>
      <c r="AA86" s="2"/>
    </row>
    <row r="87" spans="4:27" x14ac:dyDescent="0.25">
      <c r="D87" s="1"/>
      <c r="E87" s="1"/>
      <c r="F87" s="1"/>
      <c r="G87" s="155"/>
      <c r="H87" s="171"/>
      <c r="I87" s="170"/>
      <c r="J87" s="170"/>
      <c r="K87" s="170"/>
      <c r="L87" s="170"/>
      <c r="AA87" s="2"/>
    </row>
    <row r="88" spans="4:27" x14ac:dyDescent="0.25">
      <c r="D88" s="1"/>
      <c r="E88" s="1"/>
      <c r="F88" s="1"/>
      <c r="G88" s="155"/>
      <c r="H88" s="171"/>
      <c r="I88" s="170"/>
      <c r="J88" s="170"/>
      <c r="K88" s="170"/>
      <c r="L88" s="170"/>
      <c r="AA88" s="2"/>
    </row>
    <row r="89" spans="4:27" x14ac:dyDescent="0.25">
      <c r="D89" s="1"/>
      <c r="E89" s="1"/>
      <c r="F89" s="1"/>
      <c r="G89" s="155"/>
      <c r="H89" s="171"/>
      <c r="I89" s="170"/>
      <c r="J89" s="170"/>
      <c r="K89" s="170"/>
      <c r="L89" s="170"/>
      <c r="AA89" s="2"/>
    </row>
    <row r="90" spans="4:27" x14ac:dyDescent="0.25">
      <c r="D90" s="1"/>
      <c r="E90" s="1"/>
      <c r="F90" s="1"/>
      <c r="G90" s="155"/>
      <c r="H90" s="171"/>
      <c r="I90" s="170"/>
      <c r="J90" s="170"/>
      <c r="K90" s="170"/>
      <c r="L90" s="170"/>
      <c r="AA90" s="2"/>
    </row>
    <row r="91" spans="4:27" x14ac:dyDescent="0.25">
      <c r="D91" s="1"/>
      <c r="E91" s="1"/>
      <c r="F91" s="1"/>
      <c r="G91" s="155"/>
      <c r="H91" s="171"/>
      <c r="I91" s="170"/>
      <c r="J91" s="170"/>
      <c r="K91" s="170"/>
      <c r="L91" s="170"/>
      <c r="AA91" s="2"/>
    </row>
    <row r="92" spans="4:27" x14ac:dyDescent="0.25">
      <c r="D92" s="1"/>
      <c r="E92" s="1"/>
      <c r="F92" s="1"/>
      <c r="G92" s="155"/>
      <c r="H92" s="171"/>
      <c r="I92" s="170"/>
      <c r="J92" s="170"/>
      <c r="K92" s="170"/>
      <c r="L92" s="170"/>
      <c r="AA92" s="2"/>
    </row>
    <row r="93" spans="4:27" x14ac:dyDescent="0.25">
      <c r="D93" s="1"/>
      <c r="E93" s="1"/>
      <c r="F93" s="1"/>
      <c r="G93" s="155"/>
      <c r="H93" s="171"/>
      <c r="I93" s="170"/>
      <c r="J93" s="170"/>
      <c r="K93" s="170"/>
      <c r="L93" s="170"/>
      <c r="AA93" s="2"/>
    </row>
    <row r="94" spans="4:27" x14ac:dyDescent="0.25">
      <c r="D94" s="1"/>
      <c r="E94" s="1"/>
      <c r="F94" s="1"/>
      <c r="G94" s="155"/>
      <c r="H94" s="171"/>
      <c r="I94" s="170"/>
      <c r="J94" s="170"/>
      <c r="K94" s="170"/>
      <c r="L94" s="170"/>
      <c r="AA94" s="2"/>
    </row>
    <row r="95" spans="4:27" x14ac:dyDescent="0.25">
      <c r="D95" s="1"/>
      <c r="E95" s="1"/>
      <c r="F95" s="1"/>
      <c r="G95" s="155"/>
      <c r="H95" s="171"/>
      <c r="I95" s="170"/>
      <c r="J95" s="170"/>
      <c r="K95" s="170"/>
      <c r="L95" s="170"/>
      <c r="AA95" s="2"/>
    </row>
    <row r="96" spans="4:27" x14ac:dyDescent="0.25">
      <c r="D96" s="1"/>
      <c r="E96" s="1"/>
      <c r="F96" s="1"/>
      <c r="G96" s="155"/>
      <c r="H96" s="171"/>
      <c r="I96" s="170"/>
      <c r="J96" s="170"/>
      <c r="K96" s="170"/>
      <c r="L96" s="170"/>
      <c r="AA96" s="2"/>
    </row>
    <row r="97" spans="4:27" x14ac:dyDescent="0.25">
      <c r="D97" s="1"/>
      <c r="E97" s="1"/>
      <c r="F97" s="1"/>
      <c r="G97" s="155"/>
      <c r="H97" s="171"/>
      <c r="I97" s="170"/>
      <c r="J97" s="170"/>
      <c r="K97" s="170"/>
      <c r="L97" s="170"/>
      <c r="AA97" s="2"/>
    </row>
    <row r="98" spans="4:27" x14ac:dyDescent="0.25">
      <c r="D98" s="1"/>
      <c r="E98" s="1"/>
      <c r="F98" s="1"/>
      <c r="G98" s="155"/>
      <c r="H98" s="171"/>
      <c r="I98" s="170"/>
      <c r="J98" s="170"/>
      <c r="K98" s="170"/>
      <c r="L98" s="170"/>
      <c r="AA98" s="2"/>
    </row>
    <row r="99" spans="4:27" x14ac:dyDescent="0.25">
      <c r="D99" s="1"/>
      <c r="E99" s="1"/>
      <c r="F99" s="1"/>
      <c r="G99" s="155"/>
      <c r="H99" s="171"/>
      <c r="I99" s="170"/>
      <c r="J99" s="170"/>
      <c r="K99" s="170"/>
      <c r="L99" s="170"/>
      <c r="AA99" s="2"/>
    </row>
    <row r="100" spans="4:27" x14ac:dyDescent="0.25">
      <c r="D100" s="1"/>
      <c r="E100" s="1"/>
      <c r="F100" s="1"/>
      <c r="G100" s="155"/>
      <c r="H100" s="171"/>
      <c r="I100" s="170"/>
      <c r="J100" s="170"/>
      <c r="K100" s="170"/>
      <c r="L100" s="170"/>
      <c r="AA100" s="2"/>
    </row>
    <row r="101" spans="4:27" x14ac:dyDescent="0.25">
      <c r="D101" s="1"/>
      <c r="E101" s="1"/>
      <c r="F101" s="1"/>
      <c r="G101" s="155"/>
      <c r="H101" s="171"/>
      <c r="I101" s="170"/>
      <c r="J101" s="170"/>
      <c r="K101" s="170"/>
      <c r="L101" s="170"/>
      <c r="AA101" s="2"/>
    </row>
    <row r="102" spans="4:27" x14ac:dyDescent="0.25">
      <c r="D102" s="1"/>
      <c r="E102" s="1"/>
      <c r="F102" s="1"/>
      <c r="G102" s="155"/>
      <c r="H102" s="171"/>
      <c r="I102" s="170"/>
      <c r="J102" s="170"/>
      <c r="K102" s="170"/>
      <c r="L102" s="170"/>
      <c r="AA102" s="2"/>
    </row>
    <row r="103" spans="4:27" x14ac:dyDescent="0.25">
      <c r="D103" s="1"/>
      <c r="E103" s="1"/>
      <c r="F103" s="1"/>
      <c r="G103" s="155"/>
      <c r="H103" s="171"/>
      <c r="I103" s="170"/>
      <c r="J103" s="170"/>
      <c r="K103" s="170"/>
      <c r="L103" s="170"/>
      <c r="AA103" s="2"/>
    </row>
    <row r="104" spans="4:27" x14ac:dyDescent="0.25">
      <c r="D104" s="1"/>
      <c r="E104" s="1"/>
      <c r="F104" s="1"/>
      <c r="G104" s="155"/>
      <c r="H104" s="171"/>
      <c r="I104" s="170"/>
      <c r="J104" s="170"/>
      <c r="K104" s="170"/>
      <c r="L104" s="170"/>
      <c r="AA104" s="2"/>
    </row>
    <row r="105" spans="4:27" x14ac:dyDescent="0.25">
      <c r="D105" s="1"/>
      <c r="E105" s="1"/>
      <c r="F105" s="1"/>
      <c r="G105" s="155"/>
      <c r="H105" s="171"/>
      <c r="I105" s="170"/>
      <c r="J105" s="170"/>
      <c r="K105" s="170"/>
      <c r="L105" s="170"/>
      <c r="AA105" s="2"/>
    </row>
    <row r="106" spans="4:27" x14ac:dyDescent="0.25">
      <c r="D106" s="1"/>
      <c r="E106" s="1"/>
      <c r="F106" s="1"/>
      <c r="G106" s="155"/>
      <c r="H106" s="171"/>
      <c r="I106" s="170"/>
      <c r="J106" s="170"/>
      <c r="K106" s="170"/>
      <c r="L106" s="170"/>
      <c r="AA106" s="2"/>
    </row>
    <row r="107" spans="4:27" x14ac:dyDescent="0.25">
      <c r="D107" s="1"/>
      <c r="E107" s="1"/>
      <c r="F107" s="1"/>
      <c r="G107" s="155"/>
      <c r="H107" s="171"/>
      <c r="I107" s="170"/>
      <c r="J107" s="170"/>
      <c r="K107" s="170"/>
      <c r="L107" s="170"/>
      <c r="AA107" s="2"/>
    </row>
    <row r="108" spans="4:27" x14ac:dyDescent="0.25">
      <c r="D108" s="1"/>
      <c r="E108" s="1"/>
      <c r="F108" s="1"/>
      <c r="G108" s="155"/>
      <c r="H108" s="171"/>
      <c r="I108" s="170"/>
      <c r="J108" s="170"/>
      <c r="K108" s="170"/>
      <c r="L108" s="170"/>
      <c r="AA108" s="2"/>
    </row>
    <row r="109" spans="4:27" x14ac:dyDescent="0.25">
      <c r="D109" s="1"/>
      <c r="E109" s="1"/>
      <c r="F109" s="1"/>
      <c r="G109" s="155"/>
      <c r="H109" s="171"/>
      <c r="I109" s="170"/>
      <c r="J109" s="170"/>
      <c r="K109" s="170"/>
      <c r="L109" s="170"/>
      <c r="AA109" s="2"/>
    </row>
    <row r="110" spans="4:27" x14ac:dyDescent="0.25">
      <c r="D110" s="1"/>
      <c r="E110" s="1"/>
      <c r="F110" s="1"/>
      <c r="G110" s="155"/>
      <c r="H110" s="171"/>
      <c r="I110" s="170"/>
      <c r="J110" s="170"/>
      <c r="K110" s="170"/>
      <c r="L110" s="170"/>
      <c r="AA110" s="2"/>
    </row>
    <row r="111" spans="4:27" x14ac:dyDescent="0.25">
      <c r="D111" s="1"/>
      <c r="E111" s="1"/>
      <c r="F111" s="1"/>
      <c r="G111" s="155"/>
      <c r="H111" s="171"/>
      <c r="I111" s="170"/>
      <c r="J111" s="170"/>
      <c r="K111" s="170"/>
      <c r="L111" s="170"/>
      <c r="AA111" s="2"/>
    </row>
    <row r="112" spans="4:27" x14ac:dyDescent="0.25">
      <c r="D112" s="1"/>
      <c r="E112" s="1"/>
      <c r="F112" s="1"/>
      <c r="G112" s="155"/>
      <c r="H112" s="171"/>
      <c r="I112" s="170"/>
      <c r="J112" s="170"/>
      <c r="K112" s="170"/>
      <c r="L112" s="170"/>
      <c r="AA112" s="2"/>
    </row>
    <row r="113" spans="4:27" x14ac:dyDescent="0.25">
      <c r="D113" s="1"/>
      <c r="E113" s="1"/>
      <c r="F113" s="1"/>
      <c r="G113" s="155"/>
      <c r="H113" s="171"/>
      <c r="I113" s="170"/>
      <c r="J113" s="170"/>
      <c r="K113" s="170"/>
      <c r="L113" s="170"/>
      <c r="AA113" s="2"/>
    </row>
    <row r="114" spans="4:27" x14ac:dyDescent="0.25">
      <c r="D114" s="1"/>
      <c r="E114" s="1"/>
      <c r="F114" s="1"/>
      <c r="G114" s="155"/>
      <c r="H114" s="171"/>
      <c r="I114" s="170"/>
      <c r="J114" s="170"/>
      <c r="K114" s="170"/>
      <c r="L114" s="170"/>
      <c r="AA114" s="2"/>
    </row>
    <row r="115" spans="4:27" x14ac:dyDescent="0.25">
      <c r="D115" s="1"/>
      <c r="E115" s="1"/>
      <c r="F115" s="1"/>
      <c r="G115" s="155"/>
      <c r="H115" s="171"/>
      <c r="I115" s="170"/>
      <c r="J115" s="170"/>
      <c r="K115" s="170"/>
      <c r="L115" s="170"/>
      <c r="AA115" s="2"/>
    </row>
    <row r="116" spans="4:27" x14ac:dyDescent="0.25">
      <c r="D116" s="1"/>
      <c r="E116" s="1"/>
      <c r="F116" s="1"/>
      <c r="G116" s="155"/>
      <c r="H116" s="171"/>
      <c r="I116" s="170"/>
      <c r="J116" s="170"/>
      <c r="K116" s="170"/>
      <c r="L116" s="170"/>
      <c r="AA116" s="2"/>
    </row>
    <row r="117" spans="4:27" x14ac:dyDescent="0.25">
      <c r="D117" s="1"/>
      <c r="E117" s="1"/>
      <c r="F117" s="1"/>
      <c r="G117" s="155"/>
      <c r="H117" s="171"/>
      <c r="I117" s="170"/>
      <c r="J117" s="170"/>
      <c r="K117" s="170"/>
      <c r="L117" s="170"/>
      <c r="AA117" s="2"/>
    </row>
    <row r="118" spans="4:27" x14ac:dyDescent="0.25">
      <c r="D118" s="1"/>
      <c r="E118" s="1"/>
      <c r="F118" s="1"/>
      <c r="G118" s="155"/>
      <c r="H118" s="171"/>
      <c r="I118" s="170"/>
      <c r="J118" s="170"/>
      <c r="K118" s="170"/>
      <c r="L118" s="170"/>
      <c r="AA118" s="2"/>
    </row>
    <row r="119" spans="4:27" x14ac:dyDescent="0.25">
      <c r="D119" s="1"/>
      <c r="E119" s="1"/>
      <c r="F119" s="1"/>
      <c r="G119" s="155"/>
      <c r="H119" s="171"/>
      <c r="I119" s="170"/>
      <c r="J119" s="170"/>
      <c r="K119" s="170"/>
      <c r="L119" s="170"/>
      <c r="AA119" s="2"/>
    </row>
    <row r="120" spans="4:27" x14ac:dyDescent="0.25">
      <c r="D120" s="1"/>
      <c r="E120" s="1"/>
      <c r="F120" s="1"/>
      <c r="G120" s="155"/>
      <c r="H120" s="171"/>
      <c r="I120" s="170"/>
      <c r="J120" s="170"/>
      <c r="K120" s="170"/>
      <c r="L120" s="170"/>
      <c r="AA120" s="2"/>
    </row>
    <row r="121" spans="4:27" x14ac:dyDescent="0.25">
      <c r="D121" s="1"/>
      <c r="E121" s="1"/>
      <c r="F121" s="1"/>
      <c r="G121" s="155"/>
      <c r="H121" s="171"/>
      <c r="I121" s="170"/>
      <c r="J121" s="170"/>
      <c r="K121" s="170"/>
      <c r="L121" s="170"/>
      <c r="AA121" s="2"/>
    </row>
    <row r="122" spans="4:27" x14ac:dyDescent="0.25">
      <c r="D122" s="1"/>
      <c r="E122" s="1"/>
      <c r="F122" s="1"/>
      <c r="G122" s="155"/>
      <c r="H122" s="171"/>
      <c r="I122" s="170"/>
      <c r="J122" s="170"/>
      <c r="K122" s="170"/>
      <c r="L122" s="170"/>
      <c r="AA122" s="2"/>
    </row>
    <row r="123" spans="4:27" x14ac:dyDescent="0.25">
      <c r="D123" s="1"/>
      <c r="E123" s="1"/>
      <c r="F123" s="1"/>
      <c r="G123" s="155"/>
      <c r="H123" s="171"/>
      <c r="I123" s="170"/>
      <c r="J123" s="170"/>
      <c r="K123" s="170"/>
      <c r="L123" s="170"/>
      <c r="AA123" s="2"/>
    </row>
    <row r="124" spans="4:27" x14ac:dyDescent="0.25">
      <c r="D124" s="1"/>
      <c r="E124" s="1"/>
      <c r="F124" s="1"/>
      <c r="G124" s="155"/>
      <c r="H124" s="171"/>
      <c r="I124" s="170"/>
      <c r="J124" s="170"/>
      <c r="K124" s="170"/>
      <c r="L124" s="170"/>
      <c r="AA124" s="2"/>
    </row>
    <row r="125" spans="4:27" x14ac:dyDescent="0.25">
      <c r="D125" s="1"/>
      <c r="E125" s="1"/>
      <c r="F125" s="1"/>
      <c r="G125" s="155"/>
      <c r="H125" s="171"/>
      <c r="I125" s="170"/>
      <c r="J125" s="170"/>
      <c r="K125" s="170"/>
      <c r="L125" s="170"/>
      <c r="AA125" s="2"/>
    </row>
    <row r="126" spans="4:27" x14ac:dyDescent="0.25">
      <c r="D126" s="1"/>
      <c r="E126" s="1"/>
      <c r="F126" s="1"/>
      <c r="G126" s="155"/>
      <c r="H126" s="171"/>
      <c r="I126" s="170"/>
      <c r="J126" s="170"/>
      <c r="K126" s="170"/>
      <c r="L126" s="170"/>
      <c r="AA126" s="2"/>
    </row>
    <row r="127" spans="4:27" x14ac:dyDescent="0.25">
      <c r="D127" s="1"/>
      <c r="E127" s="1"/>
      <c r="F127" s="1"/>
      <c r="G127" s="155"/>
      <c r="H127" s="171"/>
      <c r="I127" s="170"/>
      <c r="J127" s="170"/>
      <c r="K127" s="170"/>
      <c r="L127" s="170"/>
      <c r="AA127" s="2"/>
    </row>
    <row r="128" spans="4:27" x14ac:dyDescent="0.25">
      <c r="D128" s="1"/>
      <c r="E128" s="1"/>
      <c r="F128" s="1"/>
      <c r="G128" s="155"/>
      <c r="H128" s="171"/>
      <c r="I128" s="170"/>
      <c r="J128" s="170"/>
      <c r="K128" s="170"/>
      <c r="L128" s="170"/>
      <c r="AA128" s="2"/>
    </row>
    <row r="129" spans="4:27" x14ac:dyDescent="0.25">
      <c r="D129" s="1"/>
      <c r="E129" s="1"/>
      <c r="F129" s="1"/>
      <c r="G129" s="155"/>
      <c r="H129" s="171"/>
      <c r="I129" s="170"/>
      <c r="J129" s="170"/>
      <c r="K129" s="170"/>
      <c r="L129" s="170"/>
      <c r="AA129" s="2"/>
    </row>
    <row r="130" spans="4:27" x14ac:dyDescent="0.25">
      <c r="D130" s="1"/>
      <c r="E130" s="1"/>
      <c r="F130" s="1"/>
      <c r="G130" s="155"/>
      <c r="H130" s="171"/>
      <c r="I130" s="170"/>
      <c r="J130" s="170"/>
      <c r="K130" s="170"/>
      <c r="L130" s="170"/>
      <c r="AA130" s="2"/>
    </row>
    <row r="131" spans="4:27" x14ac:dyDescent="0.25">
      <c r="D131" s="1"/>
      <c r="E131" s="1"/>
      <c r="F131" s="1"/>
      <c r="G131" s="155"/>
      <c r="H131" s="171"/>
      <c r="I131" s="170"/>
      <c r="J131" s="170"/>
      <c r="K131" s="170"/>
      <c r="L131" s="170"/>
      <c r="AA131" s="2"/>
    </row>
    <row r="132" spans="4:27" x14ac:dyDescent="0.25">
      <c r="D132" s="1"/>
      <c r="E132" s="1"/>
      <c r="F132" s="1"/>
      <c r="G132" s="155"/>
      <c r="H132" s="171"/>
      <c r="I132" s="170"/>
      <c r="J132" s="170"/>
      <c r="K132" s="170"/>
      <c r="L132" s="170"/>
      <c r="AA132" s="2"/>
    </row>
    <row r="133" spans="4:27" x14ac:dyDescent="0.25">
      <c r="D133" s="1"/>
      <c r="E133" s="1"/>
      <c r="F133" s="1"/>
      <c r="G133" s="155"/>
      <c r="H133" s="171"/>
      <c r="I133" s="170"/>
      <c r="J133" s="170"/>
      <c r="K133" s="170"/>
      <c r="L133" s="170"/>
      <c r="AA133" s="2"/>
    </row>
    <row r="134" spans="4:27" x14ac:dyDescent="0.25">
      <c r="D134" s="1"/>
      <c r="E134" s="1"/>
      <c r="F134" s="1"/>
      <c r="G134" s="155"/>
      <c r="H134" s="171"/>
      <c r="I134" s="170"/>
      <c r="J134" s="170"/>
      <c r="K134" s="170"/>
      <c r="L134" s="170"/>
      <c r="AA134" s="2"/>
    </row>
    <row r="135" spans="4:27" x14ac:dyDescent="0.25">
      <c r="D135" s="1"/>
      <c r="E135" s="1"/>
      <c r="F135" s="1"/>
      <c r="G135" s="155"/>
      <c r="H135" s="171"/>
      <c r="I135" s="170"/>
      <c r="J135" s="170"/>
      <c r="K135" s="170"/>
      <c r="L135" s="170"/>
      <c r="AA135" s="2"/>
    </row>
    <row r="136" spans="4:27" x14ac:dyDescent="0.25">
      <c r="D136" s="1"/>
      <c r="E136" s="1"/>
      <c r="F136" s="1"/>
      <c r="G136" s="155"/>
      <c r="H136" s="171"/>
      <c r="I136" s="170"/>
      <c r="J136" s="170"/>
      <c r="K136" s="170"/>
      <c r="L136" s="170"/>
      <c r="AA136" s="2"/>
    </row>
    <row r="137" spans="4:27" x14ac:dyDescent="0.25">
      <c r="D137" s="1"/>
      <c r="E137" s="1"/>
      <c r="F137" s="1"/>
      <c r="G137" s="155"/>
      <c r="H137" s="171"/>
      <c r="I137" s="170"/>
      <c r="J137" s="170"/>
      <c r="K137" s="170"/>
      <c r="L137" s="170"/>
      <c r="AA137" s="2"/>
    </row>
    <row r="138" spans="4:27" x14ac:dyDescent="0.25">
      <c r="D138" s="1"/>
      <c r="E138" s="1"/>
      <c r="F138" s="1"/>
      <c r="G138" s="155"/>
      <c r="H138" s="171"/>
      <c r="I138" s="170"/>
      <c r="J138" s="170"/>
      <c r="K138" s="170"/>
      <c r="L138" s="170"/>
      <c r="AA138" s="2"/>
    </row>
    <row r="139" spans="4:27" x14ac:dyDescent="0.25">
      <c r="D139" s="1"/>
      <c r="E139" s="1"/>
      <c r="F139" s="1"/>
      <c r="G139" s="155"/>
      <c r="H139" s="171"/>
      <c r="I139" s="170"/>
      <c r="J139" s="170"/>
      <c r="K139" s="170"/>
      <c r="L139" s="170"/>
      <c r="AA139" s="2"/>
    </row>
    <row r="140" spans="4:27" x14ac:dyDescent="0.25">
      <c r="D140" s="1"/>
      <c r="E140" s="1"/>
      <c r="F140" s="1"/>
      <c r="G140" s="155"/>
      <c r="H140" s="171"/>
      <c r="I140" s="170"/>
      <c r="J140" s="170"/>
      <c r="K140" s="170"/>
      <c r="L140" s="170"/>
      <c r="AA140" s="2"/>
    </row>
    <row r="141" spans="4:27" x14ac:dyDescent="0.25">
      <c r="D141" s="1"/>
      <c r="E141" s="1"/>
      <c r="F141" s="1"/>
      <c r="G141" s="155"/>
      <c r="H141" s="171"/>
      <c r="I141" s="170"/>
      <c r="J141" s="170"/>
      <c r="K141" s="170"/>
      <c r="L141" s="170"/>
      <c r="AA141" s="2"/>
    </row>
    <row r="142" spans="4:27" x14ac:dyDescent="0.25">
      <c r="D142" s="1"/>
      <c r="E142" s="1"/>
      <c r="F142" s="1"/>
      <c r="G142" s="155"/>
      <c r="H142" s="171"/>
      <c r="I142" s="170"/>
      <c r="J142" s="170"/>
      <c r="K142" s="170"/>
      <c r="L142" s="170"/>
      <c r="AA142" s="2"/>
    </row>
    <row r="143" spans="4:27" x14ac:dyDescent="0.25">
      <c r="D143" s="1"/>
      <c r="E143" s="1"/>
      <c r="F143" s="1"/>
      <c r="G143" s="155"/>
      <c r="H143" s="171"/>
      <c r="I143" s="170"/>
      <c r="J143" s="170"/>
      <c r="K143" s="170"/>
      <c r="L143" s="170"/>
      <c r="AA143" s="2"/>
    </row>
    <row r="144" spans="4:27" x14ac:dyDescent="0.25">
      <c r="D144" s="1"/>
      <c r="E144" s="1"/>
      <c r="F144" s="1"/>
      <c r="G144" s="155"/>
      <c r="H144" s="171"/>
      <c r="I144" s="170"/>
      <c r="J144" s="170"/>
      <c r="K144" s="170"/>
      <c r="L144" s="170"/>
      <c r="AA144" s="2"/>
    </row>
    <row r="145" spans="4:27" x14ac:dyDescent="0.25">
      <c r="D145" s="1"/>
      <c r="E145" s="1"/>
      <c r="F145" s="1"/>
      <c r="G145" s="155"/>
      <c r="H145" s="171"/>
      <c r="I145" s="170"/>
      <c r="J145" s="170"/>
      <c r="K145" s="170"/>
      <c r="L145" s="170"/>
      <c r="AA145" s="2"/>
    </row>
    <row r="146" spans="4:27" x14ac:dyDescent="0.25">
      <c r="D146" s="1"/>
      <c r="E146" s="1"/>
      <c r="F146" s="1"/>
      <c r="G146" s="155"/>
      <c r="H146" s="171"/>
      <c r="I146" s="170"/>
      <c r="J146" s="170"/>
      <c r="K146" s="170"/>
      <c r="L146" s="170"/>
      <c r="AA146" s="2"/>
    </row>
    <row r="147" spans="4:27" x14ac:dyDescent="0.25">
      <c r="D147" s="1"/>
      <c r="E147" s="1"/>
      <c r="F147" s="1"/>
      <c r="G147" s="155"/>
      <c r="H147" s="171"/>
      <c r="I147" s="170"/>
      <c r="J147" s="170"/>
      <c r="K147" s="170"/>
      <c r="L147" s="170"/>
      <c r="AA147" s="2"/>
    </row>
    <row r="148" spans="4:27" x14ac:dyDescent="0.25">
      <c r="D148" s="1"/>
      <c r="E148" s="1"/>
      <c r="F148" s="1"/>
      <c r="G148" s="155"/>
      <c r="H148" s="171"/>
      <c r="I148" s="170"/>
      <c r="J148" s="170"/>
      <c r="K148" s="170"/>
      <c r="L148" s="170"/>
      <c r="AA148" s="2"/>
    </row>
    <row r="149" spans="4:27" x14ac:dyDescent="0.25">
      <c r="D149" s="1"/>
      <c r="E149" s="1"/>
      <c r="F149" s="1"/>
      <c r="G149" s="155"/>
      <c r="H149" s="171"/>
      <c r="I149" s="170"/>
      <c r="J149" s="170"/>
      <c r="K149" s="170"/>
      <c r="L149" s="170"/>
      <c r="AA149" s="2"/>
    </row>
    <row r="150" spans="4:27" x14ac:dyDescent="0.25">
      <c r="D150" s="1"/>
      <c r="E150" s="1"/>
      <c r="F150" s="1"/>
      <c r="G150" s="155"/>
      <c r="H150" s="171"/>
      <c r="I150" s="170"/>
      <c r="J150" s="170"/>
      <c r="K150" s="170"/>
      <c r="L150" s="170"/>
      <c r="AA150" s="2"/>
    </row>
    <row r="151" spans="4:27" x14ac:dyDescent="0.25">
      <c r="D151" s="1"/>
      <c r="E151" s="1"/>
      <c r="F151" s="1"/>
      <c r="G151" s="155"/>
      <c r="H151" s="171"/>
      <c r="I151" s="170"/>
      <c r="J151" s="170"/>
      <c r="K151" s="170"/>
      <c r="L151" s="170"/>
      <c r="AA151" s="2"/>
    </row>
    <row r="152" spans="4:27" x14ac:dyDescent="0.25">
      <c r="D152" s="1"/>
      <c r="E152" s="1"/>
      <c r="F152" s="1"/>
      <c r="G152" s="155"/>
      <c r="H152" s="171"/>
      <c r="I152" s="170"/>
      <c r="J152" s="170"/>
      <c r="K152" s="170"/>
      <c r="L152" s="170"/>
      <c r="AA152" s="2"/>
    </row>
    <row r="153" spans="4:27" x14ac:dyDescent="0.25">
      <c r="D153" s="1"/>
      <c r="E153" s="1"/>
      <c r="F153" s="1"/>
      <c r="G153" s="155"/>
      <c r="H153" s="171"/>
      <c r="I153" s="170"/>
      <c r="J153" s="170"/>
      <c r="K153" s="170"/>
      <c r="L153" s="170"/>
      <c r="AA153" s="2"/>
    </row>
    <row r="154" spans="4:27" x14ac:dyDescent="0.25">
      <c r="D154" s="1"/>
      <c r="E154" s="1"/>
      <c r="F154" s="1"/>
      <c r="G154" s="155"/>
      <c r="H154" s="171"/>
      <c r="I154" s="170"/>
      <c r="J154" s="170"/>
      <c r="K154" s="170"/>
      <c r="L154" s="170"/>
      <c r="AA154" s="2"/>
    </row>
    <row r="155" spans="4:27" x14ac:dyDescent="0.25">
      <c r="D155" s="1"/>
      <c r="E155" s="1"/>
      <c r="F155" s="1"/>
      <c r="G155" s="155"/>
      <c r="H155" s="171"/>
      <c r="I155" s="170"/>
      <c r="J155" s="170"/>
      <c r="K155" s="170"/>
      <c r="L155" s="170"/>
      <c r="AA155" s="2"/>
    </row>
    <row r="156" spans="4:27" x14ac:dyDescent="0.25">
      <c r="D156" s="1"/>
      <c r="E156" s="1"/>
      <c r="F156" s="1"/>
      <c r="G156" s="155"/>
      <c r="H156" s="171"/>
      <c r="I156" s="170"/>
      <c r="J156" s="170"/>
      <c r="K156" s="170"/>
      <c r="L156" s="170"/>
      <c r="AA156" s="2"/>
    </row>
    <row r="157" spans="4:27" x14ac:dyDescent="0.25">
      <c r="D157" s="1"/>
      <c r="E157" s="1"/>
      <c r="F157" s="1"/>
      <c r="G157" s="155"/>
      <c r="H157" s="171"/>
      <c r="I157" s="170"/>
      <c r="J157" s="170"/>
      <c r="K157" s="170"/>
      <c r="L157" s="170"/>
      <c r="AA157" s="2"/>
    </row>
    <row r="158" spans="4:27" x14ac:dyDescent="0.25">
      <c r="D158" s="1"/>
      <c r="E158" s="1"/>
      <c r="F158" s="1"/>
      <c r="G158" s="155"/>
      <c r="H158" s="171"/>
      <c r="I158" s="170"/>
      <c r="J158" s="170"/>
      <c r="K158" s="170"/>
      <c r="L158" s="170"/>
      <c r="AA158" s="2"/>
    </row>
    <row r="159" spans="4:27" x14ac:dyDescent="0.25">
      <c r="D159" s="1"/>
      <c r="E159" s="1"/>
      <c r="F159" s="1"/>
      <c r="G159" s="155"/>
      <c r="H159" s="171"/>
      <c r="I159" s="170"/>
      <c r="J159" s="170"/>
      <c r="K159" s="170"/>
      <c r="L159" s="170"/>
      <c r="AA159" s="2"/>
    </row>
    <row r="160" spans="4:27" x14ac:dyDescent="0.25">
      <c r="D160" s="1"/>
      <c r="E160" s="1"/>
      <c r="F160" s="1"/>
      <c r="G160" s="155"/>
      <c r="H160" s="171"/>
      <c r="I160" s="170"/>
      <c r="J160" s="170"/>
      <c r="K160" s="170"/>
      <c r="L160" s="170"/>
      <c r="AA160" s="2"/>
    </row>
    <row r="161" spans="4:27" x14ac:dyDescent="0.25">
      <c r="D161" s="1"/>
      <c r="E161" s="1"/>
      <c r="F161" s="1"/>
      <c r="G161" s="155"/>
      <c r="H161" s="171"/>
      <c r="I161" s="170"/>
      <c r="J161" s="170"/>
      <c r="K161" s="170"/>
      <c r="L161" s="170"/>
      <c r="AA161" s="2"/>
    </row>
    <row r="162" spans="4:27" x14ac:dyDescent="0.25">
      <c r="D162" s="1"/>
      <c r="E162" s="1"/>
      <c r="F162" s="1"/>
      <c r="G162" s="155"/>
      <c r="H162" s="171"/>
      <c r="I162" s="170"/>
      <c r="J162" s="170"/>
      <c r="K162" s="170"/>
      <c r="L162" s="170"/>
      <c r="AA162" s="2"/>
    </row>
    <row r="163" spans="4:27" x14ac:dyDescent="0.25">
      <c r="D163" s="1"/>
      <c r="E163" s="1"/>
      <c r="F163" s="1"/>
      <c r="G163" s="155"/>
      <c r="H163" s="171"/>
      <c r="I163" s="170"/>
      <c r="J163" s="170"/>
      <c r="K163" s="170"/>
      <c r="L163" s="170"/>
      <c r="AA163" s="2"/>
    </row>
    <row r="164" spans="4:27" x14ac:dyDescent="0.25">
      <c r="D164" s="1"/>
      <c r="E164" s="1"/>
      <c r="F164" s="1"/>
      <c r="G164" s="155"/>
      <c r="H164" s="171"/>
      <c r="I164" s="170"/>
      <c r="J164" s="170"/>
      <c r="K164" s="170"/>
      <c r="L164" s="170"/>
      <c r="AA164" s="2"/>
    </row>
    <row r="165" spans="4:27" x14ac:dyDescent="0.25">
      <c r="D165" s="1"/>
      <c r="E165" s="1"/>
      <c r="F165" s="1"/>
      <c r="G165" s="155"/>
      <c r="H165" s="171"/>
      <c r="I165" s="170"/>
      <c r="J165" s="170"/>
      <c r="K165" s="170"/>
      <c r="L165" s="170"/>
      <c r="AA165" s="2"/>
    </row>
    <row r="166" spans="4:27" x14ac:dyDescent="0.25">
      <c r="D166" s="1"/>
      <c r="E166" s="1"/>
      <c r="F166" s="1"/>
      <c r="G166" s="155"/>
      <c r="H166" s="171"/>
      <c r="I166" s="170"/>
      <c r="J166" s="170"/>
      <c r="K166" s="170"/>
      <c r="L166" s="170"/>
      <c r="AA166" s="2"/>
    </row>
    <row r="167" spans="4:27" x14ac:dyDescent="0.25">
      <c r="D167" s="1"/>
      <c r="E167" s="1"/>
      <c r="F167" s="1"/>
      <c r="G167" s="155"/>
      <c r="H167" s="171"/>
      <c r="I167" s="170"/>
      <c r="J167" s="170"/>
      <c r="K167" s="170"/>
      <c r="L167" s="170"/>
      <c r="AA167" s="2"/>
    </row>
    <row r="168" spans="4:27" x14ac:dyDescent="0.25">
      <c r="D168" s="1"/>
      <c r="E168" s="1"/>
      <c r="F168" s="1"/>
      <c r="G168" s="155"/>
      <c r="H168" s="171"/>
      <c r="I168" s="170"/>
      <c r="J168" s="170"/>
      <c r="K168" s="170"/>
      <c r="L168" s="170"/>
      <c r="AA168" s="2"/>
    </row>
    <row r="169" spans="4:27" x14ac:dyDescent="0.25">
      <c r="D169" s="1"/>
      <c r="E169" s="1"/>
      <c r="F169" s="1"/>
      <c r="G169" s="155"/>
      <c r="H169" s="171"/>
      <c r="I169" s="170"/>
      <c r="J169" s="170"/>
      <c r="K169" s="170"/>
      <c r="L169" s="170"/>
      <c r="AA169" s="2"/>
    </row>
    <row r="170" spans="4:27" x14ac:dyDescent="0.25">
      <c r="D170" s="1"/>
      <c r="E170" s="1"/>
      <c r="F170" s="1"/>
      <c r="G170" s="155"/>
      <c r="H170" s="171"/>
      <c r="I170" s="170"/>
      <c r="J170" s="170"/>
      <c r="K170" s="170"/>
      <c r="L170" s="170"/>
      <c r="AA170" s="2"/>
    </row>
    <row r="171" spans="4:27" x14ac:dyDescent="0.25">
      <c r="D171" s="1"/>
      <c r="E171" s="1"/>
      <c r="F171" s="1"/>
      <c r="G171" s="155"/>
      <c r="H171" s="171"/>
      <c r="I171" s="170"/>
      <c r="J171" s="170"/>
      <c r="K171" s="170"/>
      <c r="L171" s="170"/>
      <c r="AA171" s="2"/>
    </row>
    <row r="172" spans="4:27" x14ac:dyDescent="0.25">
      <c r="D172" s="1"/>
      <c r="E172" s="1"/>
      <c r="F172" s="1"/>
      <c r="G172" s="155"/>
      <c r="H172" s="171"/>
      <c r="I172" s="170"/>
      <c r="J172" s="170"/>
      <c r="K172" s="170"/>
      <c r="L172" s="170"/>
      <c r="AA172" s="2"/>
    </row>
    <row r="173" spans="4:27" x14ac:dyDescent="0.25">
      <c r="D173" s="1"/>
      <c r="E173" s="1"/>
      <c r="F173" s="1"/>
      <c r="G173" s="155"/>
      <c r="H173" s="171"/>
      <c r="I173" s="170"/>
      <c r="J173" s="170"/>
      <c r="K173" s="170"/>
      <c r="L173" s="170"/>
      <c r="AA173" s="2"/>
    </row>
    <row r="174" spans="4:27" x14ac:dyDescent="0.25">
      <c r="D174" s="1"/>
      <c r="E174" s="1"/>
      <c r="F174" s="1"/>
      <c r="G174" s="155"/>
      <c r="H174" s="171"/>
      <c r="I174" s="170"/>
      <c r="J174" s="170"/>
      <c r="K174" s="170"/>
      <c r="L174" s="170"/>
      <c r="AA174" s="2"/>
    </row>
    <row r="175" spans="4:27" x14ac:dyDescent="0.25">
      <c r="D175" s="1"/>
      <c r="E175" s="1"/>
      <c r="F175" s="1"/>
      <c r="G175" s="155"/>
      <c r="H175" s="171"/>
      <c r="I175" s="170"/>
      <c r="J175" s="170"/>
      <c r="K175" s="170"/>
      <c r="L175" s="170"/>
      <c r="AA175" s="2"/>
    </row>
    <row r="176" spans="4:27" x14ac:dyDescent="0.25">
      <c r="D176" s="1"/>
      <c r="E176" s="1"/>
      <c r="F176" s="1"/>
      <c r="G176" s="155"/>
      <c r="H176" s="171"/>
      <c r="I176" s="170"/>
      <c r="J176" s="170"/>
      <c r="K176" s="170"/>
      <c r="L176" s="170"/>
      <c r="AA176" s="2"/>
    </row>
    <row r="177" spans="4:27" x14ac:dyDescent="0.25">
      <c r="D177" s="1"/>
      <c r="E177" s="1"/>
      <c r="F177" s="1"/>
      <c r="G177" s="155"/>
      <c r="H177" s="171"/>
      <c r="I177" s="170"/>
      <c r="J177" s="170"/>
      <c r="K177" s="170"/>
      <c r="L177" s="170"/>
      <c r="AA177" s="2"/>
    </row>
    <row r="178" spans="4:27" x14ac:dyDescent="0.25">
      <c r="D178" s="1"/>
      <c r="E178" s="1"/>
      <c r="F178" s="1"/>
      <c r="G178" s="155"/>
      <c r="H178" s="171"/>
      <c r="I178" s="170"/>
      <c r="J178" s="170"/>
      <c r="K178" s="170"/>
      <c r="L178" s="170"/>
      <c r="AA178" s="2"/>
    </row>
    <row r="179" spans="4:27" x14ac:dyDescent="0.25">
      <c r="D179" s="1"/>
      <c r="E179" s="1"/>
      <c r="F179" s="1"/>
      <c r="G179" s="155"/>
      <c r="H179" s="171"/>
      <c r="I179" s="170"/>
      <c r="J179" s="170"/>
      <c r="K179" s="170"/>
      <c r="L179" s="170"/>
      <c r="AA179" s="2"/>
    </row>
    <row r="180" spans="4:27" x14ac:dyDescent="0.25">
      <c r="D180" s="1"/>
      <c r="E180" s="1"/>
      <c r="F180" s="1"/>
      <c r="G180" s="155"/>
      <c r="H180" s="171"/>
      <c r="I180" s="170"/>
      <c r="J180" s="170"/>
      <c r="K180" s="170"/>
      <c r="L180" s="170"/>
      <c r="AA180" s="2"/>
    </row>
    <row r="181" spans="4:27" x14ac:dyDescent="0.25">
      <c r="D181" s="1"/>
      <c r="E181" s="1"/>
      <c r="F181" s="1"/>
      <c r="G181" s="155"/>
      <c r="H181" s="171"/>
      <c r="I181" s="170"/>
      <c r="J181" s="170"/>
      <c r="K181" s="170"/>
      <c r="L181" s="170"/>
      <c r="AA181" s="2"/>
    </row>
    <row r="182" spans="4:27" x14ac:dyDescent="0.25">
      <c r="D182" s="1"/>
      <c r="E182" s="1"/>
      <c r="F182" s="1"/>
      <c r="G182" s="155"/>
      <c r="H182" s="171"/>
      <c r="I182" s="170"/>
      <c r="J182" s="170"/>
      <c r="K182" s="170"/>
      <c r="L182" s="170"/>
      <c r="AA182" s="2"/>
    </row>
    <row r="183" spans="4:27" x14ac:dyDescent="0.25">
      <c r="D183" s="1"/>
      <c r="E183" s="1"/>
      <c r="F183" s="1"/>
      <c r="G183" s="155"/>
      <c r="H183" s="171"/>
      <c r="I183" s="170"/>
      <c r="J183" s="170"/>
      <c r="K183" s="170"/>
      <c r="L183" s="170"/>
      <c r="AA183" s="2"/>
    </row>
    <row r="184" spans="4:27" x14ac:dyDescent="0.25">
      <c r="D184" s="1"/>
      <c r="E184" s="1"/>
      <c r="F184" s="1"/>
      <c r="G184" s="155"/>
      <c r="H184" s="171"/>
      <c r="I184" s="170"/>
      <c r="J184" s="170"/>
      <c r="K184" s="170"/>
      <c r="L184" s="170"/>
      <c r="AA184" s="2"/>
    </row>
    <row r="185" spans="4:27" x14ac:dyDescent="0.25">
      <c r="D185" s="1"/>
      <c r="E185" s="1"/>
      <c r="F185" s="1"/>
      <c r="G185" s="155"/>
      <c r="H185" s="171"/>
      <c r="I185" s="170"/>
      <c r="J185" s="170"/>
      <c r="K185" s="170"/>
      <c r="L185" s="170"/>
      <c r="AA185" s="2"/>
    </row>
    <row r="186" spans="4:27" x14ac:dyDescent="0.25">
      <c r="D186" s="1"/>
      <c r="E186" s="1"/>
      <c r="F186" s="1"/>
      <c r="G186" s="155"/>
      <c r="H186" s="171"/>
      <c r="I186" s="170"/>
      <c r="J186" s="170"/>
      <c r="K186" s="170"/>
      <c r="L186" s="170"/>
      <c r="AA186" s="2"/>
    </row>
    <row r="187" spans="4:27" x14ac:dyDescent="0.25">
      <c r="D187" s="1"/>
      <c r="E187" s="1"/>
      <c r="F187" s="1"/>
      <c r="G187" s="155"/>
      <c r="H187" s="171"/>
      <c r="I187" s="170"/>
      <c r="J187" s="170"/>
      <c r="K187" s="170"/>
      <c r="L187" s="170"/>
      <c r="AA187" s="2"/>
    </row>
    <row r="188" spans="4:27" x14ac:dyDescent="0.25">
      <c r="D188" s="1"/>
      <c r="E188" s="1"/>
      <c r="F188" s="1"/>
      <c r="G188" s="155"/>
      <c r="H188" s="171"/>
      <c r="I188" s="170"/>
      <c r="J188" s="170"/>
      <c r="K188" s="170"/>
      <c r="L188" s="170"/>
      <c r="AA188" s="2"/>
    </row>
    <row r="189" spans="4:27" x14ac:dyDescent="0.25">
      <c r="D189" s="1"/>
      <c r="E189" s="1"/>
      <c r="F189" s="1"/>
      <c r="G189" s="155"/>
      <c r="H189" s="171"/>
      <c r="I189" s="170"/>
      <c r="J189" s="170"/>
      <c r="K189" s="170"/>
      <c r="L189" s="170"/>
      <c r="AA189" s="2"/>
    </row>
    <row r="190" spans="4:27" x14ac:dyDescent="0.25">
      <c r="D190" s="1"/>
      <c r="E190" s="1"/>
      <c r="F190" s="1"/>
      <c r="G190" s="155"/>
      <c r="H190" s="171"/>
      <c r="I190" s="170"/>
      <c r="J190" s="170"/>
      <c r="K190" s="170"/>
      <c r="L190" s="170"/>
      <c r="AA190" s="2"/>
    </row>
    <row r="191" spans="4:27" x14ac:dyDescent="0.25">
      <c r="D191" s="1"/>
      <c r="E191" s="1"/>
      <c r="F191" s="1"/>
      <c r="G191" s="155"/>
      <c r="H191" s="171"/>
      <c r="I191" s="170"/>
      <c r="J191" s="170"/>
      <c r="K191" s="170"/>
      <c r="L191" s="170"/>
      <c r="AA191" s="2"/>
    </row>
    <row r="192" spans="4:27" x14ac:dyDescent="0.25">
      <c r="D192" s="1"/>
      <c r="E192" s="1"/>
      <c r="F192" s="1"/>
      <c r="G192" s="155"/>
      <c r="H192" s="171"/>
      <c r="I192" s="170"/>
      <c r="J192" s="170"/>
      <c r="K192" s="170"/>
      <c r="L192" s="170"/>
      <c r="AA192" s="2"/>
    </row>
    <row r="193" spans="4:27" x14ac:dyDescent="0.25">
      <c r="D193" s="1"/>
      <c r="E193" s="1"/>
      <c r="F193" s="1"/>
      <c r="G193" s="155"/>
      <c r="H193" s="171"/>
      <c r="I193" s="170"/>
      <c r="J193" s="170"/>
      <c r="K193" s="170"/>
      <c r="L193" s="170"/>
      <c r="AA193" s="2"/>
    </row>
    <row r="194" spans="4:27" x14ac:dyDescent="0.25">
      <c r="D194" s="1"/>
      <c r="E194" s="1"/>
      <c r="F194" s="1"/>
      <c r="G194" s="155"/>
      <c r="H194" s="171"/>
      <c r="I194" s="170"/>
      <c r="J194" s="170"/>
      <c r="K194" s="170"/>
      <c r="L194" s="170"/>
      <c r="AA194" s="2"/>
    </row>
    <row r="195" spans="4:27" x14ac:dyDescent="0.25">
      <c r="D195" s="1"/>
      <c r="E195" s="1"/>
      <c r="F195" s="1"/>
      <c r="G195" s="155"/>
      <c r="H195" s="171"/>
      <c r="I195" s="170"/>
      <c r="J195" s="170"/>
      <c r="K195" s="170"/>
      <c r="L195" s="170"/>
      <c r="AA195" s="2"/>
    </row>
    <row r="196" spans="4:27" x14ac:dyDescent="0.25">
      <c r="D196" s="1"/>
      <c r="E196" s="1"/>
      <c r="F196" s="1"/>
      <c r="G196" s="155"/>
      <c r="H196" s="171"/>
      <c r="I196" s="170"/>
      <c r="J196" s="170"/>
      <c r="K196" s="170"/>
      <c r="L196" s="170"/>
      <c r="AA196" s="2"/>
    </row>
    <row r="197" spans="4:27" x14ac:dyDescent="0.25">
      <c r="D197" s="1"/>
      <c r="E197" s="1"/>
      <c r="F197" s="1"/>
      <c r="G197" s="155"/>
      <c r="H197" s="171"/>
      <c r="I197" s="170"/>
      <c r="J197" s="170"/>
      <c r="K197" s="170"/>
      <c r="L197" s="170"/>
      <c r="AA197" s="2"/>
    </row>
    <row r="198" spans="4:27" x14ac:dyDescent="0.25">
      <c r="D198" s="1"/>
      <c r="E198" s="1"/>
      <c r="F198" s="1"/>
      <c r="G198" s="155"/>
      <c r="H198" s="171"/>
      <c r="I198" s="170"/>
      <c r="J198" s="170"/>
      <c r="K198" s="170"/>
      <c r="L198" s="170"/>
      <c r="AA198" s="2"/>
    </row>
    <row r="199" spans="4:27" x14ac:dyDescent="0.25">
      <c r="D199" s="1"/>
      <c r="E199" s="1"/>
      <c r="F199" s="1"/>
      <c r="G199" s="155"/>
      <c r="H199" s="171"/>
      <c r="I199" s="170"/>
      <c r="J199" s="170"/>
      <c r="K199" s="170"/>
      <c r="L199" s="170"/>
      <c r="AA199" s="2"/>
    </row>
    <row r="200" spans="4:27" x14ac:dyDescent="0.25">
      <c r="D200" s="1"/>
      <c r="E200" s="1"/>
      <c r="F200" s="1"/>
      <c r="G200" s="155"/>
      <c r="H200" s="171"/>
      <c r="I200" s="170"/>
      <c r="J200" s="170"/>
      <c r="K200" s="170"/>
      <c r="L200" s="170"/>
      <c r="AA200" s="2"/>
    </row>
    <row r="201" spans="4:27" x14ac:dyDescent="0.25">
      <c r="D201" s="1"/>
      <c r="E201" s="1"/>
      <c r="F201" s="1"/>
      <c r="G201" s="155"/>
      <c r="H201" s="171"/>
      <c r="I201" s="170"/>
      <c r="J201" s="170"/>
      <c r="K201" s="170"/>
      <c r="L201" s="170"/>
      <c r="AA201" s="2"/>
    </row>
    <row r="202" spans="4:27" x14ac:dyDescent="0.25">
      <c r="D202" s="1"/>
      <c r="E202" s="1"/>
      <c r="F202" s="1"/>
      <c r="G202" s="155"/>
      <c r="H202" s="171"/>
      <c r="I202" s="170"/>
      <c r="J202" s="170"/>
      <c r="K202" s="170"/>
      <c r="L202" s="170"/>
      <c r="AA202" s="2"/>
    </row>
    <row r="203" spans="4:27" x14ac:dyDescent="0.25">
      <c r="D203" s="1"/>
      <c r="E203" s="1"/>
      <c r="F203" s="1"/>
      <c r="G203" s="155"/>
      <c r="H203" s="171"/>
      <c r="I203" s="170"/>
      <c r="J203" s="170"/>
      <c r="K203" s="170"/>
      <c r="L203" s="170"/>
      <c r="AA203" s="2"/>
    </row>
    <row r="204" spans="4:27" x14ac:dyDescent="0.25">
      <c r="D204" s="1"/>
      <c r="E204" s="1"/>
      <c r="F204" s="1"/>
      <c r="G204" s="155"/>
      <c r="H204" s="171"/>
      <c r="I204" s="170"/>
      <c r="J204" s="170"/>
      <c r="K204" s="170"/>
      <c r="L204" s="170"/>
      <c r="AA204" s="2"/>
    </row>
    <row r="205" spans="4:27" x14ac:dyDescent="0.25">
      <c r="D205" s="1"/>
      <c r="E205" s="1"/>
      <c r="F205" s="1"/>
      <c r="G205" s="155"/>
      <c r="H205" s="171"/>
      <c r="I205" s="170"/>
      <c r="J205" s="170"/>
      <c r="K205" s="170"/>
      <c r="L205" s="170"/>
      <c r="AA205" s="2"/>
    </row>
    <row r="206" spans="4:27" x14ac:dyDescent="0.25">
      <c r="D206" s="1"/>
      <c r="E206" s="1"/>
      <c r="F206" s="1"/>
      <c r="G206" s="155"/>
      <c r="H206" s="171"/>
      <c r="I206" s="170"/>
      <c r="J206" s="170"/>
      <c r="K206" s="170"/>
      <c r="L206" s="170"/>
      <c r="AA206" s="2"/>
    </row>
    <row r="207" spans="4:27" x14ac:dyDescent="0.25">
      <c r="D207" s="1"/>
      <c r="E207" s="1"/>
      <c r="F207" s="1"/>
      <c r="G207" s="155"/>
      <c r="H207" s="171"/>
      <c r="I207" s="170"/>
      <c r="J207" s="170"/>
      <c r="K207" s="170"/>
      <c r="L207" s="170"/>
      <c r="AA207" s="2"/>
    </row>
    <row r="208" spans="4:27" x14ac:dyDescent="0.25">
      <c r="D208" s="1"/>
      <c r="E208" s="1"/>
      <c r="F208" s="1"/>
      <c r="G208" s="155"/>
      <c r="H208" s="171"/>
      <c r="I208" s="170"/>
      <c r="J208" s="170"/>
      <c r="K208" s="170"/>
      <c r="L208" s="170"/>
      <c r="AA208" s="2"/>
    </row>
    <row r="209" spans="4:27" x14ac:dyDescent="0.25">
      <c r="D209" s="1"/>
      <c r="E209" s="1"/>
      <c r="F209" s="1"/>
      <c r="G209" s="155"/>
      <c r="H209" s="171"/>
      <c r="I209" s="170"/>
      <c r="J209" s="170"/>
      <c r="K209" s="170"/>
      <c r="L209" s="170"/>
      <c r="AA209" s="2"/>
    </row>
    <row r="210" spans="4:27" x14ac:dyDescent="0.25">
      <c r="D210" s="1"/>
      <c r="E210" s="1"/>
      <c r="F210" s="1"/>
      <c r="G210" s="155"/>
      <c r="H210" s="171"/>
      <c r="I210" s="170"/>
      <c r="J210" s="170"/>
      <c r="K210" s="170"/>
      <c r="L210" s="170"/>
      <c r="AA210" s="2"/>
    </row>
    <row r="211" spans="4:27" x14ac:dyDescent="0.25">
      <c r="D211" s="1"/>
      <c r="E211" s="1"/>
      <c r="F211" s="1"/>
      <c r="G211" s="155"/>
      <c r="H211" s="171"/>
      <c r="I211" s="170"/>
      <c r="J211" s="170"/>
      <c r="K211" s="170"/>
      <c r="L211" s="170"/>
      <c r="AA211" s="2"/>
    </row>
    <row r="212" spans="4:27" x14ac:dyDescent="0.25">
      <c r="D212" s="1"/>
      <c r="E212" s="1"/>
      <c r="F212" s="1"/>
      <c r="G212" s="155"/>
      <c r="H212" s="171"/>
      <c r="I212" s="170"/>
      <c r="J212" s="170"/>
      <c r="K212" s="170"/>
      <c r="L212" s="170"/>
      <c r="AA212" s="2"/>
    </row>
    <row r="213" spans="4:27" x14ac:dyDescent="0.25">
      <c r="D213" s="1"/>
      <c r="E213" s="1"/>
      <c r="F213" s="1"/>
      <c r="G213" s="155"/>
      <c r="H213" s="171"/>
      <c r="I213" s="170"/>
      <c r="J213" s="170"/>
      <c r="K213" s="170"/>
      <c r="L213" s="170"/>
      <c r="AA213" s="2"/>
    </row>
    <row r="214" spans="4:27" x14ac:dyDescent="0.25">
      <c r="D214" s="1"/>
      <c r="E214" s="1"/>
      <c r="F214" s="1"/>
      <c r="G214" s="155"/>
      <c r="H214" s="171"/>
      <c r="I214" s="170"/>
      <c r="J214" s="170"/>
      <c r="K214" s="170"/>
      <c r="L214" s="170"/>
      <c r="AA214" s="2"/>
    </row>
    <row r="215" spans="4:27" x14ac:dyDescent="0.25">
      <c r="D215" s="1"/>
      <c r="E215" s="1"/>
      <c r="F215" s="1"/>
      <c r="G215" s="155"/>
      <c r="H215" s="171"/>
      <c r="I215" s="170"/>
      <c r="J215" s="170"/>
      <c r="K215" s="170"/>
      <c r="L215" s="170"/>
      <c r="AA215" s="2"/>
    </row>
    <row r="216" spans="4:27" x14ac:dyDescent="0.25">
      <c r="D216" s="1"/>
      <c r="E216" s="1"/>
      <c r="F216" s="1"/>
      <c r="G216" s="155"/>
      <c r="H216" s="171"/>
      <c r="I216" s="170"/>
      <c r="J216" s="170"/>
      <c r="K216" s="170"/>
      <c r="L216" s="170"/>
      <c r="AA216" s="2"/>
    </row>
    <row r="217" spans="4:27" x14ac:dyDescent="0.25">
      <c r="D217" s="1"/>
      <c r="E217" s="1"/>
      <c r="F217" s="1"/>
      <c r="G217" s="155"/>
      <c r="H217" s="171"/>
      <c r="I217" s="170"/>
      <c r="J217" s="170"/>
      <c r="K217" s="170"/>
      <c r="L217" s="170"/>
      <c r="AA217" s="2"/>
    </row>
    <row r="218" spans="4:27" x14ac:dyDescent="0.25">
      <c r="D218" s="1"/>
      <c r="E218" s="1"/>
      <c r="F218" s="1"/>
      <c r="G218" s="155"/>
      <c r="H218" s="171"/>
      <c r="I218" s="170"/>
      <c r="J218" s="170"/>
      <c r="K218" s="170"/>
      <c r="L218" s="170"/>
      <c r="AA218" s="2"/>
    </row>
    <row r="219" spans="4:27" x14ac:dyDescent="0.25">
      <c r="D219" s="1"/>
      <c r="E219" s="1"/>
      <c r="F219" s="1"/>
      <c r="G219" s="155"/>
      <c r="H219" s="171"/>
      <c r="I219" s="170"/>
      <c r="J219" s="170"/>
      <c r="K219" s="170"/>
      <c r="L219" s="170"/>
      <c r="AA219" s="2"/>
    </row>
    <row r="220" spans="4:27" x14ac:dyDescent="0.25">
      <c r="D220" s="1"/>
      <c r="E220" s="1"/>
      <c r="F220" s="1"/>
      <c r="G220" s="155"/>
      <c r="H220" s="171"/>
      <c r="I220" s="170"/>
      <c r="J220" s="170"/>
      <c r="K220" s="170"/>
      <c r="L220" s="170"/>
      <c r="AA220" s="2"/>
    </row>
    <row r="221" spans="4:27" x14ac:dyDescent="0.25">
      <c r="D221" s="1"/>
      <c r="E221" s="1"/>
      <c r="F221" s="1"/>
      <c r="G221" s="155"/>
      <c r="H221" s="171"/>
      <c r="I221" s="170"/>
      <c r="J221" s="170"/>
      <c r="K221" s="170"/>
      <c r="L221" s="170"/>
      <c r="AA221" s="2"/>
    </row>
    <row r="222" spans="4:27" x14ac:dyDescent="0.25">
      <c r="D222" s="1"/>
      <c r="E222" s="1"/>
      <c r="F222" s="1"/>
      <c r="G222" s="155"/>
      <c r="H222" s="171"/>
      <c r="I222" s="170"/>
      <c r="J222" s="170"/>
      <c r="K222" s="170"/>
      <c r="L222" s="170"/>
      <c r="AA222" s="2"/>
    </row>
    <row r="223" spans="4:27" x14ac:dyDescent="0.25">
      <c r="D223" s="1"/>
      <c r="E223" s="1"/>
      <c r="F223" s="1"/>
      <c r="G223" s="155"/>
      <c r="H223" s="171"/>
      <c r="I223" s="170"/>
      <c r="J223" s="170"/>
      <c r="K223" s="170"/>
      <c r="L223" s="170"/>
      <c r="AA223" s="2"/>
    </row>
    <row r="224" spans="4:27" x14ac:dyDescent="0.25">
      <c r="D224" s="1"/>
      <c r="E224" s="1"/>
      <c r="F224" s="1"/>
      <c r="G224" s="155"/>
      <c r="H224" s="171"/>
      <c r="I224" s="170"/>
      <c r="J224" s="170"/>
      <c r="K224" s="170"/>
      <c r="L224" s="170"/>
      <c r="AA224" s="2"/>
    </row>
    <row r="225" spans="4:27" x14ac:dyDescent="0.25">
      <c r="D225" s="1"/>
      <c r="E225" s="1"/>
      <c r="F225" s="1"/>
      <c r="G225" s="155"/>
      <c r="H225" s="171"/>
      <c r="I225" s="170"/>
      <c r="J225" s="170"/>
      <c r="K225" s="170"/>
      <c r="L225" s="170"/>
      <c r="AA225" s="2"/>
    </row>
    <row r="226" spans="4:27" x14ac:dyDescent="0.25">
      <c r="D226" s="1"/>
      <c r="E226" s="1"/>
      <c r="F226" s="1"/>
      <c r="G226" s="155"/>
      <c r="H226" s="171"/>
      <c r="I226" s="170"/>
      <c r="J226" s="170"/>
      <c r="K226" s="170"/>
      <c r="L226" s="170"/>
      <c r="AA226" s="2"/>
    </row>
    <row r="227" spans="4:27" x14ac:dyDescent="0.25">
      <c r="D227" s="1"/>
      <c r="E227" s="1"/>
      <c r="F227" s="1"/>
      <c r="G227" s="155"/>
      <c r="H227" s="171"/>
      <c r="I227" s="170"/>
      <c r="J227" s="170"/>
      <c r="K227" s="170"/>
      <c r="L227" s="170"/>
      <c r="AA227" s="2"/>
    </row>
    <row r="228" spans="4:27" x14ac:dyDescent="0.25">
      <c r="D228" s="1"/>
      <c r="E228" s="1"/>
      <c r="F228" s="1"/>
      <c r="G228" s="155"/>
      <c r="H228" s="171"/>
      <c r="I228" s="170"/>
      <c r="J228" s="170"/>
      <c r="K228" s="170"/>
      <c r="L228" s="170"/>
      <c r="AA228" s="2"/>
    </row>
    <row r="229" spans="4:27" x14ac:dyDescent="0.25">
      <c r="D229" s="1"/>
      <c r="E229" s="1"/>
      <c r="F229" s="1"/>
      <c r="G229" s="155"/>
      <c r="H229" s="171"/>
      <c r="I229" s="170"/>
      <c r="J229" s="170"/>
      <c r="K229" s="170"/>
      <c r="L229" s="170"/>
      <c r="AA229" s="2"/>
    </row>
    <row r="230" spans="4:27" x14ac:dyDescent="0.25">
      <c r="D230" s="1"/>
      <c r="E230" s="1"/>
      <c r="F230" s="1"/>
      <c r="G230" s="155"/>
      <c r="H230" s="171"/>
      <c r="I230" s="170"/>
      <c r="J230" s="170"/>
      <c r="K230" s="170"/>
      <c r="L230" s="170"/>
      <c r="AA230" s="2"/>
    </row>
    <row r="231" spans="4:27" x14ac:dyDescent="0.25">
      <c r="D231" s="1"/>
      <c r="E231" s="1"/>
      <c r="F231" s="1"/>
      <c r="G231" s="155"/>
      <c r="H231" s="171"/>
      <c r="I231" s="170"/>
      <c r="J231" s="170"/>
      <c r="K231" s="170"/>
      <c r="L231" s="170"/>
      <c r="AA231" s="2"/>
    </row>
    <row r="232" spans="4:27" x14ac:dyDescent="0.25">
      <c r="D232" s="1"/>
      <c r="E232" s="1"/>
      <c r="F232" s="1"/>
      <c r="G232" s="155"/>
      <c r="H232" s="171"/>
      <c r="I232" s="170"/>
      <c r="J232" s="170"/>
      <c r="K232" s="170"/>
      <c r="L232" s="170"/>
      <c r="AA232" s="2"/>
    </row>
    <row r="233" spans="4:27" x14ac:dyDescent="0.25">
      <c r="D233" s="1"/>
      <c r="E233" s="1"/>
      <c r="F233" s="1"/>
      <c r="G233" s="155"/>
      <c r="H233" s="171"/>
      <c r="I233" s="170"/>
      <c r="J233" s="170"/>
      <c r="K233" s="170"/>
      <c r="L233" s="170"/>
      <c r="AA233" s="2"/>
    </row>
    <row r="234" spans="4:27" x14ac:dyDescent="0.25">
      <c r="D234" s="1"/>
      <c r="E234" s="1"/>
      <c r="F234" s="1"/>
      <c r="G234" s="155"/>
      <c r="H234" s="171"/>
      <c r="I234" s="170"/>
      <c r="J234" s="170"/>
      <c r="K234" s="170"/>
      <c r="L234" s="170"/>
      <c r="AA234" s="2"/>
    </row>
    <row r="235" spans="4:27" x14ac:dyDescent="0.25">
      <c r="D235" s="1"/>
      <c r="E235" s="1"/>
      <c r="F235" s="1"/>
      <c r="G235" s="155"/>
      <c r="H235" s="171"/>
      <c r="I235" s="170"/>
      <c r="J235" s="170"/>
      <c r="K235" s="170"/>
      <c r="L235" s="170"/>
      <c r="AA235" s="2"/>
    </row>
    <row r="236" spans="4:27" x14ac:dyDescent="0.25">
      <c r="D236" s="1"/>
      <c r="E236" s="1"/>
      <c r="F236" s="1"/>
      <c r="G236" s="155"/>
      <c r="H236" s="171"/>
      <c r="I236" s="170"/>
      <c r="J236" s="170"/>
      <c r="K236" s="170"/>
      <c r="L236" s="170"/>
      <c r="AA236" s="2"/>
    </row>
    <row r="237" spans="4:27" x14ac:dyDescent="0.25">
      <c r="D237" s="1"/>
      <c r="E237" s="1"/>
      <c r="F237" s="1"/>
      <c r="G237" s="155"/>
      <c r="H237" s="171"/>
      <c r="I237" s="170"/>
      <c r="J237" s="170"/>
      <c r="K237" s="170"/>
      <c r="L237" s="170"/>
      <c r="AA237" s="2"/>
    </row>
    <row r="238" spans="4:27" x14ac:dyDescent="0.25">
      <c r="D238" s="1"/>
      <c r="E238" s="1"/>
      <c r="F238" s="1"/>
      <c r="G238" s="155"/>
      <c r="H238" s="171"/>
      <c r="I238" s="170"/>
      <c r="J238" s="170"/>
      <c r="K238" s="170"/>
      <c r="L238" s="170"/>
      <c r="AA238" s="2"/>
    </row>
    <row r="239" spans="4:27" x14ac:dyDescent="0.25">
      <c r="D239" s="1"/>
      <c r="E239" s="1"/>
      <c r="F239" s="1"/>
      <c r="G239" s="155"/>
      <c r="H239" s="171"/>
      <c r="I239" s="170"/>
      <c r="J239" s="170"/>
      <c r="K239" s="170"/>
      <c r="L239" s="170"/>
      <c r="AA239" s="2"/>
    </row>
    <row r="240" spans="4:27" x14ac:dyDescent="0.25">
      <c r="D240" s="1"/>
      <c r="E240" s="1"/>
      <c r="F240" s="1"/>
      <c r="G240" s="155"/>
      <c r="H240" s="171"/>
      <c r="I240" s="170"/>
      <c r="J240" s="170"/>
      <c r="K240" s="170"/>
      <c r="L240" s="170"/>
      <c r="AA240" s="2"/>
    </row>
    <row r="241" spans="4:27" x14ac:dyDescent="0.25">
      <c r="D241" s="1"/>
      <c r="E241" s="1"/>
      <c r="F241" s="1"/>
      <c r="G241" s="155"/>
      <c r="H241" s="171"/>
      <c r="I241" s="170"/>
      <c r="J241" s="170"/>
      <c r="K241" s="170"/>
      <c r="L241" s="170"/>
      <c r="AA241" s="2"/>
    </row>
    <row r="242" spans="4:27" x14ac:dyDescent="0.25">
      <c r="D242" s="1"/>
      <c r="E242" s="1"/>
      <c r="F242" s="1"/>
      <c r="G242" s="155"/>
      <c r="H242" s="171"/>
      <c r="I242" s="170"/>
      <c r="J242" s="170"/>
      <c r="K242" s="170"/>
      <c r="L242" s="170"/>
      <c r="AA242" s="2"/>
    </row>
    <row r="243" spans="4:27" x14ac:dyDescent="0.25">
      <c r="D243" s="1"/>
      <c r="E243" s="1"/>
      <c r="F243" s="1"/>
      <c r="G243" s="155"/>
      <c r="H243" s="171"/>
      <c r="I243" s="170"/>
      <c r="J243" s="170"/>
      <c r="K243" s="170"/>
      <c r="L243" s="170"/>
      <c r="AA243" s="2"/>
    </row>
    <row r="244" spans="4:27" x14ac:dyDescent="0.25">
      <c r="D244" s="1"/>
      <c r="E244" s="1"/>
      <c r="F244" s="1"/>
      <c r="G244" s="155"/>
      <c r="H244" s="171"/>
      <c r="I244" s="170"/>
      <c r="J244" s="170"/>
      <c r="K244" s="170"/>
      <c r="L244" s="170"/>
      <c r="AA244" s="2"/>
    </row>
    <row r="245" spans="4:27" x14ac:dyDescent="0.25">
      <c r="D245" s="1"/>
      <c r="E245" s="1"/>
      <c r="F245" s="1"/>
      <c r="G245" s="155"/>
      <c r="H245" s="171"/>
      <c r="I245" s="170"/>
      <c r="J245" s="170"/>
      <c r="K245" s="170"/>
      <c r="L245" s="170"/>
      <c r="AA245" s="2"/>
    </row>
    <row r="246" spans="4:27" x14ac:dyDescent="0.25">
      <c r="D246" s="1"/>
      <c r="E246" s="1"/>
      <c r="F246" s="1"/>
      <c r="G246" s="155"/>
      <c r="H246" s="171"/>
      <c r="I246" s="170"/>
      <c r="J246" s="170"/>
      <c r="K246" s="170"/>
      <c r="L246" s="170"/>
      <c r="AA246" s="2"/>
    </row>
    <row r="247" spans="4:27" x14ac:dyDescent="0.25">
      <c r="D247" s="1"/>
      <c r="E247" s="1"/>
      <c r="F247" s="1"/>
      <c r="G247" s="155"/>
      <c r="H247" s="171"/>
      <c r="I247" s="170"/>
      <c r="J247" s="170"/>
      <c r="K247" s="170"/>
      <c r="L247" s="170"/>
      <c r="AA247" s="2"/>
    </row>
    <row r="248" spans="4:27" x14ac:dyDescent="0.25">
      <c r="D248" s="1"/>
      <c r="E248" s="1"/>
      <c r="F248" s="1"/>
      <c r="G248" s="155"/>
      <c r="H248" s="171"/>
      <c r="I248" s="170"/>
      <c r="J248" s="170"/>
      <c r="K248" s="170"/>
      <c r="L248" s="170"/>
      <c r="AA248" s="2"/>
    </row>
    <row r="249" spans="4:27" x14ac:dyDescent="0.25">
      <c r="D249" s="1"/>
      <c r="E249" s="1"/>
      <c r="F249" s="1"/>
      <c r="G249" s="155"/>
      <c r="H249" s="171"/>
      <c r="I249" s="170"/>
      <c r="J249" s="170"/>
      <c r="K249" s="170"/>
      <c r="L249" s="170"/>
      <c r="AA249" s="2"/>
    </row>
    <row r="250" spans="4:27" x14ac:dyDescent="0.25">
      <c r="D250" s="1"/>
      <c r="E250" s="1"/>
      <c r="F250" s="1"/>
      <c r="G250" s="155"/>
      <c r="H250" s="171"/>
      <c r="I250" s="170"/>
      <c r="J250" s="170"/>
      <c r="K250" s="170"/>
      <c r="L250" s="170"/>
      <c r="AA250" s="2"/>
    </row>
    <row r="251" spans="4:27" x14ac:dyDescent="0.25">
      <c r="D251" s="1"/>
      <c r="E251" s="1"/>
      <c r="F251" s="1"/>
      <c r="G251" s="155"/>
      <c r="H251" s="171"/>
      <c r="I251" s="170"/>
      <c r="J251" s="170"/>
      <c r="K251" s="170"/>
      <c r="L251" s="170"/>
      <c r="AA251" s="2"/>
    </row>
    <row r="252" spans="4:27" x14ac:dyDescent="0.25">
      <c r="D252" s="1"/>
      <c r="E252" s="1"/>
      <c r="F252" s="1"/>
      <c r="G252" s="155"/>
      <c r="H252" s="171"/>
      <c r="I252" s="170"/>
      <c r="J252" s="170"/>
      <c r="K252" s="170"/>
      <c r="L252" s="170"/>
      <c r="AA252" s="2"/>
    </row>
    <row r="253" spans="4:27" x14ac:dyDescent="0.25">
      <c r="D253" s="1"/>
      <c r="E253" s="1"/>
      <c r="F253" s="1"/>
      <c r="G253" s="155"/>
      <c r="H253" s="171"/>
      <c r="I253" s="170"/>
      <c r="J253" s="170"/>
      <c r="K253" s="170"/>
      <c r="L253" s="170"/>
      <c r="AA253" s="2"/>
    </row>
    <row r="254" spans="4:27" x14ac:dyDescent="0.25">
      <c r="D254" s="1"/>
      <c r="E254" s="1"/>
      <c r="F254" s="1"/>
      <c r="G254" s="155"/>
      <c r="H254" s="171"/>
      <c r="I254" s="170"/>
      <c r="J254" s="170"/>
      <c r="K254" s="170"/>
      <c r="L254" s="170"/>
      <c r="AA254" s="2"/>
    </row>
    <row r="255" spans="4:27" x14ac:dyDescent="0.25">
      <c r="D255" s="1"/>
      <c r="E255" s="1"/>
      <c r="F255" s="1"/>
      <c r="G255" s="155"/>
      <c r="H255" s="171"/>
      <c r="I255" s="170"/>
      <c r="J255" s="170"/>
      <c r="K255" s="170"/>
      <c r="L255" s="170"/>
      <c r="AA255" s="2"/>
    </row>
    <row r="256" spans="4:27" x14ac:dyDescent="0.25">
      <c r="D256" s="1"/>
      <c r="E256" s="1"/>
      <c r="F256" s="1"/>
      <c r="G256" s="155"/>
      <c r="H256" s="171"/>
      <c r="I256" s="170"/>
      <c r="J256" s="170"/>
      <c r="K256" s="170"/>
      <c r="L256" s="170"/>
      <c r="AA256" s="2"/>
    </row>
    <row r="257" spans="4:27" x14ac:dyDescent="0.25">
      <c r="D257" s="1"/>
      <c r="E257" s="1"/>
      <c r="F257" s="1"/>
      <c r="G257" s="155"/>
      <c r="H257" s="171"/>
      <c r="I257" s="170"/>
      <c r="J257" s="170"/>
      <c r="K257" s="170"/>
      <c r="L257" s="170"/>
      <c r="AA257" s="2"/>
    </row>
    <row r="258" spans="4:27" x14ac:dyDescent="0.25">
      <c r="D258" s="1"/>
      <c r="E258" s="1"/>
      <c r="F258" s="1"/>
      <c r="G258" s="155"/>
      <c r="H258" s="171"/>
      <c r="I258" s="170"/>
      <c r="J258" s="170"/>
      <c r="K258" s="170"/>
      <c r="L258" s="170"/>
      <c r="AA258" s="2"/>
    </row>
    <row r="259" spans="4:27" x14ac:dyDescent="0.25">
      <c r="D259" s="1"/>
      <c r="E259" s="1"/>
      <c r="F259" s="1"/>
      <c r="G259" s="155"/>
      <c r="H259" s="171"/>
      <c r="I259" s="170"/>
      <c r="J259" s="170"/>
      <c r="K259" s="170"/>
      <c r="L259" s="170"/>
      <c r="AA259" s="2"/>
    </row>
    <row r="260" spans="4:27" x14ac:dyDescent="0.25">
      <c r="D260" s="1"/>
      <c r="E260" s="1"/>
      <c r="F260" s="1"/>
      <c r="G260" s="155"/>
      <c r="H260" s="171"/>
      <c r="I260" s="170"/>
      <c r="J260" s="170"/>
      <c r="K260" s="170"/>
      <c r="L260" s="170"/>
      <c r="AA260" s="2"/>
    </row>
    <row r="261" spans="4:27" x14ac:dyDescent="0.25">
      <c r="D261" s="1"/>
      <c r="E261" s="1"/>
      <c r="F261" s="1"/>
      <c r="G261" s="155"/>
      <c r="H261" s="171"/>
      <c r="I261" s="170"/>
      <c r="J261" s="170"/>
      <c r="K261" s="170"/>
      <c r="L261" s="170"/>
      <c r="AA261" s="2"/>
    </row>
    <row r="262" spans="4:27" x14ac:dyDescent="0.25">
      <c r="D262" s="1"/>
      <c r="E262" s="1"/>
      <c r="F262" s="1"/>
      <c r="G262" s="155"/>
      <c r="H262" s="171"/>
      <c r="I262" s="170"/>
      <c r="J262" s="170"/>
      <c r="K262" s="170"/>
      <c r="L262" s="170"/>
      <c r="AA262" s="2"/>
    </row>
    <row r="263" spans="4:27" x14ac:dyDescent="0.25">
      <c r="D263" s="1"/>
      <c r="E263" s="1"/>
      <c r="F263" s="1"/>
      <c r="G263" s="155"/>
      <c r="H263" s="171"/>
      <c r="I263" s="170"/>
      <c r="J263" s="170"/>
      <c r="K263" s="170"/>
      <c r="L263" s="170"/>
      <c r="AA263" s="2"/>
    </row>
    <row r="264" spans="4:27" x14ac:dyDescent="0.25">
      <c r="D264" s="1"/>
      <c r="E264" s="1"/>
      <c r="F264" s="1"/>
      <c r="G264" s="155"/>
      <c r="H264" s="171"/>
      <c r="I264" s="170"/>
      <c r="J264" s="170"/>
      <c r="K264" s="170"/>
      <c r="L264" s="170"/>
      <c r="AA264" s="2"/>
    </row>
    <row r="265" spans="4:27" x14ac:dyDescent="0.25">
      <c r="D265" s="1"/>
      <c r="E265" s="1"/>
      <c r="F265" s="1"/>
      <c r="G265" s="155"/>
      <c r="H265" s="171"/>
      <c r="I265" s="170"/>
      <c r="J265" s="170"/>
      <c r="K265" s="170"/>
      <c r="L265" s="170"/>
      <c r="AA265" s="2"/>
    </row>
    <row r="266" spans="4:27" x14ac:dyDescent="0.25">
      <c r="D266" s="1"/>
      <c r="E266" s="1"/>
      <c r="F266" s="1"/>
      <c r="G266" s="155"/>
      <c r="H266" s="171"/>
      <c r="I266" s="170"/>
      <c r="J266" s="170"/>
      <c r="K266" s="170"/>
      <c r="L266" s="170"/>
      <c r="AA266" s="2"/>
    </row>
    <row r="267" spans="4:27" x14ac:dyDescent="0.25">
      <c r="D267" s="1"/>
      <c r="E267" s="1"/>
      <c r="F267" s="1"/>
      <c r="G267" s="155"/>
      <c r="H267" s="171"/>
      <c r="I267" s="170"/>
      <c r="J267" s="170"/>
      <c r="K267" s="170"/>
      <c r="L267" s="170"/>
      <c r="AA267" s="2"/>
    </row>
    <row r="268" spans="4:27" x14ac:dyDescent="0.25">
      <c r="D268" s="1"/>
      <c r="E268" s="1"/>
      <c r="F268" s="1"/>
      <c r="G268" s="155"/>
      <c r="H268" s="171"/>
      <c r="I268" s="170"/>
      <c r="J268" s="170"/>
      <c r="K268" s="170"/>
      <c r="L268" s="170"/>
      <c r="AA268" s="2"/>
    </row>
    <row r="269" spans="4:27" x14ac:dyDescent="0.25">
      <c r="D269" s="1"/>
      <c r="E269" s="1"/>
      <c r="F269" s="1"/>
      <c r="G269" s="155"/>
      <c r="H269" s="171"/>
      <c r="I269" s="170"/>
      <c r="J269" s="170"/>
      <c r="K269" s="170"/>
      <c r="L269" s="170"/>
      <c r="AA269" s="2"/>
    </row>
    <row r="270" spans="4:27" x14ac:dyDescent="0.25">
      <c r="D270" s="1"/>
      <c r="E270" s="1"/>
      <c r="F270" s="1"/>
      <c r="G270" s="155"/>
      <c r="H270" s="171"/>
      <c r="I270" s="170"/>
      <c r="J270" s="170"/>
      <c r="K270" s="170"/>
      <c r="L270" s="170"/>
      <c r="AA270" s="2"/>
    </row>
    <row r="271" spans="4:27" x14ac:dyDescent="0.25">
      <c r="D271" s="1"/>
      <c r="E271" s="1"/>
      <c r="F271" s="1"/>
      <c r="G271" s="155"/>
      <c r="H271" s="171"/>
      <c r="I271" s="170"/>
      <c r="J271" s="170"/>
      <c r="K271" s="170"/>
      <c r="L271" s="170"/>
      <c r="AA271" s="2"/>
    </row>
    <row r="272" spans="4:27" x14ac:dyDescent="0.25">
      <c r="D272" s="1"/>
      <c r="E272" s="1"/>
      <c r="F272" s="1"/>
      <c r="G272" s="155"/>
      <c r="H272" s="171"/>
      <c r="I272" s="170"/>
      <c r="J272" s="170"/>
      <c r="K272" s="170"/>
      <c r="L272" s="170"/>
      <c r="AA272" s="2"/>
    </row>
    <row r="273" spans="4:27" x14ac:dyDescent="0.25">
      <c r="D273" s="1"/>
      <c r="E273" s="1"/>
      <c r="F273" s="1"/>
      <c r="G273" s="155"/>
      <c r="H273" s="171"/>
      <c r="I273" s="170"/>
      <c r="J273" s="170"/>
      <c r="K273" s="170"/>
      <c r="L273" s="170"/>
      <c r="AA273" s="2"/>
    </row>
    <row r="274" spans="4:27" x14ac:dyDescent="0.25">
      <c r="D274" s="1"/>
      <c r="E274" s="1"/>
      <c r="F274" s="1"/>
      <c r="G274" s="155"/>
      <c r="H274" s="171"/>
      <c r="I274" s="170"/>
      <c r="J274" s="170"/>
      <c r="K274" s="170"/>
      <c r="L274" s="170"/>
      <c r="AA274" s="2"/>
    </row>
    <row r="275" spans="4:27" x14ac:dyDescent="0.25">
      <c r="D275" s="1"/>
      <c r="E275" s="1"/>
      <c r="F275" s="1"/>
      <c r="G275" s="155"/>
      <c r="H275" s="171"/>
      <c r="I275" s="170"/>
      <c r="J275" s="170"/>
      <c r="K275" s="170"/>
      <c r="L275" s="170"/>
      <c r="AA275" s="2"/>
    </row>
    <row r="276" spans="4:27" x14ac:dyDescent="0.25">
      <c r="D276" s="1"/>
      <c r="E276" s="1"/>
      <c r="F276" s="1"/>
      <c r="G276" s="155"/>
      <c r="H276" s="171"/>
      <c r="I276" s="170"/>
      <c r="J276" s="170"/>
      <c r="K276" s="170"/>
      <c r="L276" s="170"/>
      <c r="AA276" s="2"/>
    </row>
    <row r="277" spans="4:27" x14ac:dyDescent="0.25">
      <c r="D277" s="1"/>
      <c r="E277" s="1"/>
      <c r="F277" s="1"/>
      <c r="G277" s="155"/>
      <c r="H277" s="171"/>
      <c r="I277" s="170"/>
      <c r="J277" s="170"/>
      <c r="K277" s="170"/>
      <c r="L277" s="170"/>
      <c r="AA277" s="2"/>
    </row>
    <row r="278" spans="4:27" x14ac:dyDescent="0.25">
      <c r="D278" s="1"/>
      <c r="E278" s="1"/>
      <c r="F278" s="1"/>
      <c r="G278" s="155"/>
      <c r="H278" s="171"/>
      <c r="I278" s="170"/>
      <c r="J278" s="170"/>
      <c r="K278" s="170"/>
      <c r="L278" s="170"/>
      <c r="AA278" s="2"/>
    </row>
    <row r="279" spans="4:27" x14ac:dyDescent="0.25">
      <c r="D279" s="1"/>
      <c r="E279" s="1"/>
      <c r="F279" s="1"/>
      <c r="G279" s="155"/>
      <c r="H279" s="171"/>
      <c r="I279" s="170"/>
      <c r="J279" s="170"/>
      <c r="K279" s="170"/>
      <c r="L279" s="170"/>
      <c r="AA279" s="2"/>
    </row>
    <row r="280" spans="4:27" x14ac:dyDescent="0.25">
      <c r="D280" s="1"/>
      <c r="E280" s="1"/>
      <c r="F280" s="1"/>
      <c r="G280" s="155"/>
      <c r="H280" s="171"/>
      <c r="I280" s="170"/>
      <c r="J280" s="170"/>
      <c r="K280" s="170"/>
      <c r="L280" s="170"/>
      <c r="AA280" s="2"/>
    </row>
    <row r="281" spans="4:27" x14ac:dyDescent="0.25">
      <c r="D281" s="1"/>
      <c r="E281" s="1"/>
      <c r="F281" s="1"/>
      <c r="G281" s="155"/>
      <c r="H281" s="171"/>
      <c r="I281" s="170"/>
      <c r="J281" s="170"/>
      <c r="K281" s="170"/>
      <c r="L281" s="170"/>
      <c r="AA281" s="2"/>
    </row>
    <row r="282" spans="4:27" x14ac:dyDescent="0.25">
      <c r="D282" s="1"/>
      <c r="E282" s="1"/>
      <c r="F282" s="1"/>
      <c r="G282" s="155"/>
      <c r="H282" s="171"/>
      <c r="I282" s="170"/>
      <c r="J282" s="170"/>
      <c r="K282" s="170"/>
      <c r="L282" s="170"/>
      <c r="AA282" s="2"/>
    </row>
    <row r="283" spans="4:27" x14ac:dyDescent="0.25">
      <c r="D283" s="1"/>
      <c r="E283" s="1"/>
      <c r="F283" s="1"/>
      <c r="G283" s="155"/>
      <c r="H283" s="171"/>
      <c r="I283" s="170"/>
      <c r="J283" s="170"/>
      <c r="K283" s="170"/>
      <c r="L283" s="170"/>
      <c r="AA283" s="2"/>
    </row>
    <row r="284" spans="4:27" x14ac:dyDescent="0.25">
      <c r="D284" s="1"/>
      <c r="E284" s="1"/>
      <c r="F284" s="1"/>
      <c r="G284" s="155"/>
      <c r="H284" s="171"/>
      <c r="I284" s="170"/>
      <c r="J284" s="170"/>
      <c r="K284" s="170"/>
      <c r="L284" s="170"/>
      <c r="AA284" s="2"/>
    </row>
    <row r="285" spans="4:27" x14ac:dyDescent="0.25">
      <c r="D285" s="1"/>
      <c r="E285" s="1"/>
      <c r="F285" s="1"/>
      <c r="G285" s="155"/>
      <c r="H285" s="171"/>
      <c r="I285" s="170"/>
      <c r="J285" s="170"/>
      <c r="K285" s="170"/>
      <c r="L285" s="170"/>
      <c r="AA285" s="2"/>
    </row>
    <row r="286" spans="4:27" x14ac:dyDescent="0.25">
      <c r="D286" s="1"/>
      <c r="E286" s="1"/>
      <c r="F286" s="1"/>
      <c r="G286" s="155"/>
      <c r="H286" s="171"/>
      <c r="I286" s="170"/>
      <c r="J286" s="170"/>
      <c r="K286" s="170"/>
      <c r="L286" s="170"/>
      <c r="AA286" s="2"/>
    </row>
    <row r="287" spans="4:27" x14ac:dyDescent="0.25">
      <c r="D287" s="1"/>
      <c r="E287" s="1"/>
      <c r="F287" s="1"/>
      <c r="G287" s="155"/>
      <c r="H287" s="171"/>
      <c r="I287" s="170"/>
      <c r="J287" s="170"/>
      <c r="K287" s="170"/>
      <c r="L287" s="170"/>
      <c r="AA287" s="2"/>
    </row>
    <row r="288" spans="4:27" x14ac:dyDescent="0.25">
      <c r="D288" s="1"/>
      <c r="E288" s="1"/>
      <c r="F288" s="1"/>
      <c r="G288" s="155"/>
      <c r="H288" s="171"/>
      <c r="I288" s="170"/>
      <c r="J288" s="170"/>
      <c r="K288" s="170"/>
      <c r="L288" s="170"/>
      <c r="AA288" s="2"/>
    </row>
    <row r="289" spans="4:27" x14ac:dyDescent="0.25">
      <c r="D289" s="1"/>
      <c r="E289" s="1"/>
      <c r="F289" s="1"/>
      <c r="G289" s="155"/>
      <c r="H289" s="171"/>
      <c r="I289" s="170"/>
      <c r="J289" s="170"/>
      <c r="K289" s="170"/>
      <c r="L289" s="170"/>
      <c r="AA289" s="2"/>
    </row>
    <row r="290" spans="4:27" x14ac:dyDescent="0.25">
      <c r="D290" s="1"/>
      <c r="E290" s="1"/>
      <c r="F290" s="1"/>
      <c r="G290" s="155"/>
      <c r="H290" s="171"/>
      <c r="I290" s="170"/>
      <c r="J290" s="170"/>
      <c r="K290" s="170"/>
      <c r="L290" s="170"/>
      <c r="AA290" s="2"/>
    </row>
    <row r="291" spans="4:27" x14ac:dyDescent="0.25">
      <c r="D291" s="1"/>
      <c r="E291" s="1"/>
      <c r="F291" s="1"/>
      <c r="G291" s="155"/>
      <c r="H291" s="171"/>
      <c r="I291" s="170"/>
      <c r="J291" s="170"/>
      <c r="K291" s="170"/>
      <c r="L291" s="170"/>
      <c r="AA291" s="2"/>
    </row>
    <row r="292" spans="4:27" x14ac:dyDescent="0.25">
      <c r="D292" s="1"/>
      <c r="E292" s="1"/>
      <c r="F292" s="1"/>
      <c r="G292" s="155"/>
      <c r="H292" s="171"/>
      <c r="I292" s="170"/>
      <c r="J292" s="170"/>
      <c r="K292" s="170"/>
      <c r="L292" s="170"/>
      <c r="AA292" s="2"/>
    </row>
    <row r="293" spans="4:27" x14ac:dyDescent="0.25">
      <c r="D293" s="1"/>
      <c r="E293" s="1"/>
      <c r="F293" s="1"/>
      <c r="G293" s="155"/>
      <c r="H293" s="171"/>
      <c r="I293" s="170"/>
      <c r="J293" s="170"/>
      <c r="K293" s="170"/>
      <c r="L293" s="170"/>
      <c r="AA293" s="2"/>
    </row>
    <row r="294" spans="4:27" x14ac:dyDescent="0.25">
      <c r="D294" s="1"/>
      <c r="E294" s="1"/>
      <c r="F294" s="1"/>
      <c r="G294" s="155"/>
      <c r="H294" s="171"/>
      <c r="I294" s="170"/>
      <c r="J294" s="170"/>
      <c r="K294" s="170"/>
      <c r="L294" s="170"/>
      <c r="AA294" s="2"/>
    </row>
    <row r="295" spans="4:27" x14ac:dyDescent="0.25">
      <c r="D295" s="1"/>
      <c r="E295" s="1"/>
      <c r="F295" s="1"/>
      <c r="G295" s="155"/>
      <c r="H295" s="171"/>
      <c r="I295" s="170"/>
      <c r="J295" s="170"/>
      <c r="K295" s="170"/>
      <c r="L295" s="170"/>
      <c r="AA295" s="2"/>
    </row>
    <row r="296" spans="4:27" x14ac:dyDescent="0.25">
      <c r="D296" s="1"/>
      <c r="E296" s="1"/>
      <c r="F296" s="1"/>
      <c r="G296" s="155"/>
      <c r="H296" s="171"/>
      <c r="I296" s="170"/>
      <c r="J296" s="170"/>
      <c r="K296" s="170"/>
      <c r="L296" s="170"/>
      <c r="AA296" s="2"/>
    </row>
    <row r="297" spans="4:27" x14ac:dyDescent="0.25">
      <c r="D297" s="1"/>
      <c r="E297" s="1"/>
      <c r="F297" s="1"/>
      <c r="G297" s="155"/>
      <c r="H297" s="171"/>
      <c r="I297" s="170"/>
      <c r="J297" s="170"/>
      <c r="K297" s="170"/>
      <c r="L297" s="170"/>
      <c r="AA297" s="2"/>
    </row>
    <row r="298" spans="4:27" x14ac:dyDescent="0.25">
      <c r="D298" s="1"/>
      <c r="E298" s="1"/>
      <c r="F298" s="1"/>
      <c r="G298" s="155"/>
      <c r="H298" s="171"/>
      <c r="I298" s="170"/>
      <c r="J298" s="170"/>
      <c r="K298" s="170"/>
      <c r="L298" s="170"/>
      <c r="AA298" s="2"/>
    </row>
    <row r="299" spans="4:27" x14ac:dyDescent="0.25">
      <c r="D299" s="1"/>
      <c r="E299" s="1"/>
      <c r="F299" s="1"/>
      <c r="G299" s="155"/>
      <c r="H299" s="171"/>
      <c r="I299" s="170"/>
      <c r="J299" s="170"/>
      <c r="K299" s="170"/>
      <c r="L299" s="170"/>
      <c r="AA299" s="2"/>
    </row>
    <row r="300" spans="4:27" x14ac:dyDescent="0.25">
      <c r="D300" s="1"/>
      <c r="E300" s="1"/>
      <c r="F300" s="1"/>
      <c r="G300" s="155"/>
      <c r="H300" s="171"/>
      <c r="I300" s="170"/>
      <c r="J300" s="170"/>
      <c r="K300" s="170"/>
      <c r="L300" s="170"/>
      <c r="AA300" s="2"/>
    </row>
    <row r="301" spans="4:27" x14ac:dyDescent="0.25">
      <c r="D301" s="1"/>
      <c r="E301" s="1"/>
      <c r="F301" s="1"/>
      <c r="G301" s="155"/>
      <c r="H301" s="171"/>
      <c r="I301" s="170"/>
      <c r="J301" s="170"/>
      <c r="K301" s="170"/>
      <c r="L301" s="170"/>
      <c r="AA301" s="2"/>
    </row>
    <row r="302" spans="4:27" x14ac:dyDescent="0.25">
      <c r="D302" s="1"/>
      <c r="E302" s="1"/>
      <c r="F302" s="1"/>
      <c r="G302" s="155"/>
      <c r="H302" s="171"/>
      <c r="I302" s="170"/>
      <c r="J302" s="170"/>
      <c r="K302" s="170"/>
      <c r="L302" s="170"/>
      <c r="AA302" s="2"/>
    </row>
    <row r="303" spans="4:27" x14ac:dyDescent="0.25">
      <c r="D303" s="1"/>
      <c r="E303" s="1"/>
      <c r="F303" s="1"/>
      <c r="G303" s="155"/>
      <c r="H303" s="171"/>
      <c r="I303" s="170"/>
      <c r="J303" s="170"/>
      <c r="K303" s="170"/>
      <c r="L303" s="170"/>
      <c r="AA303" s="2"/>
    </row>
    <row r="304" spans="4:27" x14ac:dyDescent="0.25">
      <c r="D304" s="1"/>
      <c r="E304" s="1"/>
      <c r="F304" s="1"/>
      <c r="G304" s="155"/>
      <c r="H304" s="171"/>
      <c r="I304" s="170"/>
      <c r="J304" s="170"/>
      <c r="K304" s="170"/>
      <c r="L304" s="170"/>
      <c r="AA304" s="2"/>
    </row>
    <row r="305" spans="4:27" x14ac:dyDescent="0.25">
      <c r="D305" s="1"/>
      <c r="E305" s="1"/>
      <c r="F305" s="1"/>
      <c r="G305" s="155"/>
      <c r="H305" s="171"/>
      <c r="I305" s="170"/>
      <c r="J305" s="170"/>
      <c r="K305" s="170"/>
      <c r="L305" s="170"/>
      <c r="AA305" s="2"/>
    </row>
    <row r="306" spans="4:27" x14ac:dyDescent="0.25">
      <c r="D306" s="1"/>
      <c r="E306" s="1"/>
      <c r="F306" s="1"/>
      <c r="G306" s="155"/>
      <c r="H306" s="171"/>
      <c r="I306" s="170"/>
      <c r="J306" s="170"/>
      <c r="K306" s="170"/>
      <c r="L306" s="170"/>
      <c r="AA306" s="2"/>
    </row>
    <row r="307" spans="4:27" x14ac:dyDescent="0.25">
      <c r="D307" s="1"/>
      <c r="E307" s="1"/>
      <c r="F307" s="1"/>
      <c r="G307" s="155"/>
      <c r="H307" s="171"/>
      <c r="I307" s="170"/>
      <c r="J307" s="170"/>
      <c r="K307" s="170"/>
      <c r="L307" s="170"/>
      <c r="AA307" s="2"/>
    </row>
    <row r="308" spans="4:27" x14ac:dyDescent="0.25">
      <c r="D308" s="1"/>
      <c r="E308" s="1"/>
      <c r="F308" s="1"/>
      <c r="G308" s="155"/>
      <c r="H308" s="171"/>
      <c r="I308" s="170"/>
      <c r="J308" s="170"/>
      <c r="K308" s="170"/>
      <c r="L308" s="170"/>
      <c r="AA308" s="2"/>
    </row>
    <row r="309" spans="4:27" x14ac:dyDescent="0.25">
      <c r="D309" s="1"/>
      <c r="E309" s="1"/>
      <c r="F309" s="1"/>
      <c r="G309" s="155"/>
      <c r="H309" s="171"/>
      <c r="I309" s="170"/>
      <c r="J309" s="170"/>
      <c r="K309" s="170"/>
      <c r="L309" s="170"/>
      <c r="AA309" s="2"/>
    </row>
    <row r="310" spans="4:27" x14ac:dyDescent="0.25">
      <c r="D310" s="1"/>
      <c r="E310" s="1"/>
      <c r="F310" s="1"/>
      <c r="G310" s="155"/>
      <c r="H310" s="171"/>
      <c r="I310" s="170"/>
      <c r="J310" s="170"/>
      <c r="K310" s="170"/>
      <c r="L310" s="170"/>
      <c r="AA310" s="2"/>
    </row>
    <row r="311" spans="4:27" x14ac:dyDescent="0.25">
      <c r="D311" s="1"/>
      <c r="E311" s="1"/>
      <c r="F311" s="1"/>
      <c r="G311" s="155"/>
      <c r="H311" s="171"/>
      <c r="I311" s="170"/>
      <c r="J311" s="170"/>
      <c r="K311" s="170"/>
      <c r="L311" s="170"/>
      <c r="AA311" s="2"/>
    </row>
    <row r="312" spans="4:27" x14ac:dyDescent="0.25">
      <c r="D312" s="1"/>
      <c r="E312" s="1"/>
      <c r="F312" s="1"/>
      <c r="G312" s="155"/>
      <c r="H312" s="171"/>
      <c r="I312" s="170"/>
      <c r="J312" s="170"/>
      <c r="K312" s="170"/>
      <c r="L312" s="170"/>
      <c r="AA312" s="2"/>
    </row>
    <row r="313" spans="4:27" x14ac:dyDescent="0.25">
      <c r="D313" s="1"/>
      <c r="E313" s="1"/>
      <c r="F313" s="1"/>
      <c r="G313" s="155"/>
      <c r="H313" s="171"/>
      <c r="I313" s="170"/>
      <c r="J313" s="170"/>
      <c r="K313" s="170"/>
      <c r="L313" s="170"/>
      <c r="AA313" s="2"/>
    </row>
    <row r="314" spans="4:27" x14ac:dyDescent="0.25">
      <c r="D314" s="1"/>
      <c r="E314" s="1"/>
      <c r="F314" s="1"/>
      <c r="G314" s="155"/>
      <c r="H314" s="171"/>
      <c r="I314" s="170"/>
      <c r="J314" s="170"/>
      <c r="K314" s="170"/>
      <c r="L314" s="170"/>
      <c r="AA314" s="2"/>
    </row>
    <row r="315" spans="4:27" x14ac:dyDescent="0.25">
      <c r="D315" s="1"/>
      <c r="E315" s="1"/>
      <c r="F315" s="1"/>
      <c r="G315" s="155"/>
      <c r="H315" s="171"/>
      <c r="I315" s="170"/>
      <c r="J315" s="170"/>
      <c r="K315" s="170"/>
      <c r="L315" s="170"/>
      <c r="AA315" s="2"/>
    </row>
    <row r="316" spans="4:27" x14ac:dyDescent="0.25">
      <c r="D316" s="1"/>
      <c r="E316" s="1"/>
      <c r="F316" s="1"/>
      <c r="G316" s="155"/>
      <c r="H316" s="171"/>
      <c r="I316" s="170"/>
      <c r="J316" s="170"/>
      <c r="K316" s="170"/>
      <c r="L316" s="170"/>
      <c r="AA316" s="2"/>
    </row>
    <row r="317" spans="4:27" x14ac:dyDescent="0.25">
      <c r="D317" s="1"/>
      <c r="E317" s="1"/>
      <c r="F317" s="1"/>
      <c r="G317" s="155"/>
      <c r="H317" s="171"/>
      <c r="I317" s="170"/>
      <c r="J317" s="170"/>
      <c r="K317" s="170"/>
      <c r="L317" s="170"/>
      <c r="AA317" s="2"/>
    </row>
    <row r="318" spans="4:27" x14ac:dyDescent="0.25">
      <c r="D318" s="1"/>
      <c r="E318" s="1"/>
      <c r="F318" s="1"/>
      <c r="G318" s="155"/>
      <c r="H318" s="171"/>
      <c r="I318" s="170"/>
      <c r="J318" s="170"/>
      <c r="K318" s="170"/>
      <c r="L318" s="170"/>
      <c r="AA318" s="2"/>
    </row>
    <row r="319" spans="4:27" x14ac:dyDescent="0.25">
      <c r="D319" s="1"/>
      <c r="E319" s="1"/>
      <c r="F319" s="1"/>
      <c r="G319" s="155"/>
      <c r="H319" s="171"/>
      <c r="I319" s="170"/>
      <c r="J319" s="170"/>
      <c r="K319" s="170"/>
      <c r="L319" s="170"/>
      <c r="AA319" s="2"/>
    </row>
    <row r="320" spans="4:27" x14ac:dyDescent="0.25">
      <c r="D320" s="1"/>
      <c r="E320" s="1"/>
      <c r="F320" s="1"/>
      <c r="G320" s="155"/>
      <c r="H320" s="171"/>
      <c r="I320" s="170"/>
      <c r="J320" s="170"/>
      <c r="K320" s="170"/>
      <c r="L320" s="170"/>
      <c r="AA320" s="2"/>
    </row>
    <row r="321" spans="4:27" x14ac:dyDescent="0.25">
      <c r="D321" s="1"/>
      <c r="E321" s="1"/>
      <c r="F321" s="1"/>
      <c r="G321" s="155"/>
      <c r="H321" s="171"/>
      <c r="I321" s="170"/>
      <c r="J321" s="170"/>
      <c r="K321" s="170"/>
      <c r="L321" s="170"/>
      <c r="AA321" s="2"/>
    </row>
    <row r="322" spans="4:27" x14ac:dyDescent="0.25">
      <c r="D322" s="1"/>
      <c r="E322" s="1"/>
      <c r="F322" s="1"/>
      <c r="G322" s="155"/>
      <c r="H322" s="171"/>
      <c r="I322" s="170"/>
      <c r="J322" s="170"/>
      <c r="K322" s="170"/>
      <c r="L322" s="170"/>
      <c r="AA322" s="2"/>
    </row>
    <row r="323" spans="4:27" x14ac:dyDescent="0.25">
      <c r="D323" s="1"/>
      <c r="E323" s="1"/>
      <c r="F323" s="1"/>
      <c r="G323" s="155"/>
      <c r="H323" s="171"/>
      <c r="I323" s="170"/>
      <c r="J323" s="170"/>
      <c r="K323" s="170"/>
      <c r="L323" s="170"/>
      <c r="AA323" s="2"/>
    </row>
    <row r="324" spans="4:27" x14ac:dyDescent="0.25">
      <c r="D324" s="1"/>
      <c r="E324" s="1"/>
      <c r="F324" s="1"/>
      <c r="G324" s="155"/>
      <c r="H324" s="171"/>
      <c r="I324" s="170"/>
      <c r="J324" s="170"/>
      <c r="K324" s="170"/>
      <c r="L324" s="170"/>
      <c r="AA324" s="2"/>
    </row>
    <row r="325" spans="4:27" x14ac:dyDescent="0.25">
      <c r="D325" s="1"/>
      <c r="E325" s="1"/>
      <c r="F325" s="1"/>
      <c r="G325" s="155"/>
      <c r="H325" s="171"/>
      <c r="I325" s="170"/>
      <c r="J325" s="170"/>
      <c r="K325" s="170"/>
      <c r="L325" s="170"/>
      <c r="AA325" s="2"/>
    </row>
    <row r="326" spans="4:27" x14ac:dyDescent="0.25">
      <c r="D326" s="1"/>
      <c r="E326" s="1"/>
      <c r="F326" s="1"/>
      <c r="G326" s="155"/>
      <c r="H326" s="171"/>
      <c r="I326" s="170"/>
      <c r="J326" s="170"/>
      <c r="K326" s="170"/>
      <c r="L326" s="170"/>
      <c r="AA326" s="2"/>
    </row>
    <row r="327" spans="4:27" x14ac:dyDescent="0.25">
      <c r="D327" s="1"/>
      <c r="E327" s="1"/>
      <c r="F327" s="1"/>
      <c r="G327" s="155"/>
      <c r="H327" s="171"/>
      <c r="I327" s="170"/>
      <c r="J327" s="170"/>
      <c r="K327" s="170"/>
      <c r="L327" s="170"/>
      <c r="AA327" s="2"/>
    </row>
    <row r="328" spans="4:27" x14ac:dyDescent="0.25">
      <c r="D328" s="1"/>
      <c r="E328" s="1"/>
      <c r="F328" s="1"/>
      <c r="G328" s="155"/>
      <c r="H328" s="171"/>
      <c r="I328" s="170"/>
      <c r="J328" s="170"/>
      <c r="K328" s="170"/>
      <c r="L328" s="170"/>
      <c r="AA328" s="2"/>
    </row>
    <row r="329" spans="4:27" x14ac:dyDescent="0.25">
      <c r="D329" s="1"/>
      <c r="E329" s="1"/>
      <c r="F329" s="1"/>
      <c r="G329" s="155"/>
      <c r="H329" s="171"/>
      <c r="I329" s="170"/>
      <c r="J329" s="170"/>
      <c r="K329" s="170"/>
      <c r="L329" s="170"/>
      <c r="AA329" s="2"/>
    </row>
    <row r="330" spans="4:27" x14ac:dyDescent="0.25">
      <c r="D330" s="1"/>
      <c r="E330" s="1"/>
      <c r="F330" s="1"/>
      <c r="G330" s="155"/>
      <c r="H330" s="171"/>
      <c r="I330" s="170"/>
      <c r="J330" s="170"/>
      <c r="K330" s="170"/>
      <c r="L330" s="170"/>
      <c r="AA330" s="2"/>
    </row>
    <row r="331" spans="4:27" x14ac:dyDescent="0.25">
      <c r="D331" s="1"/>
      <c r="E331" s="1"/>
      <c r="F331" s="1"/>
      <c r="G331" s="155"/>
      <c r="H331" s="171"/>
      <c r="I331" s="170"/>
      <c r="J331" s="170"/>
      <c r="K331" s="170"/>
      <c r="L331" s="170"/>
      <c r="AA331" s="2"/>
    </row>
    <row r="332" spans="4:27" x14ac:dyDescent="0.25">
      <c r="D332" s="1"/>
      <c r="E332" s="1"/>
      <c r="F332" s="1"/>
      <c r="G332" s="155"/>
      <c r="H332" s="171"/>
      <c r="I332" s="170"/>
      <c r="J332" s="170"/>
      <c r="K332" s="170"/>
      <c r="L332" s="170"/>
      <c r="AA332" s="2"/>
    </row>
    <row r="333" spans="4:27" x14ac:dyDescent="0.25">
      <c r="D333" s="1"/>
      <c r="E333" s="1"/>
      <c r="F333" s="1"/>
      <c r="G333" s="155"/>
      <c r="H333" s="171"/>
      <c r="I333" s="170"/>
      <c r="J333" s="170"/>
      <c r="K333" s="170"/>
      <c r="L333" s="170"/>
      <c r="AA333" s="2"/>
    </row>
    <row r="334" spans="4:27" x14ac:dyDescent="0.25">
      <c r="D334" s="1"/>
      <c r="E334" s="1"/>
      <c r="F334" s="1"/>
      <c r="G334" s="155"/>
      <c r="H334" s="171"/>
      <c r="I334" s="170"/>
      <c r="J334" s="170"/>
      <c r="K334" s="170"/>
      <c r="L334" s="170"/>
      <c r="AA334" s="2"/>
    </row>
    <row r="335" spans="4:27" x14ac:dyDescent="0.25">
      <c r="D335" s="1"/>
      <c r="E335" s="1"/>
      <c r="F335" s="1"/>
      <c r="G335" s="155"/>
      <c r="H335" s="171"/>
      <c r="I335" s="170"/>
      <c r="J335" s="170"/>
      <c r="K335" s="170"/>
      <c r="L335" s="170"/>
      <c r="AA335" s="2"/>
    </row>
    <row r="336" spans="4:27" x14ac:dyDescent="0.25">
      <c r="D336" s="1"/>
      <c r="E336" s="1"/>
      <c r="F336" s="1"/>
      <c r="G336" s="155"/>
      <c r="H336" s="171"/>
      <c r="I336" s="170"/>
      <c r="J336" s="170"/>
      <c r="K336" s="170"/>
      <c r="L336" s="170"/>
      <c r="AA336" s="2"/>
    </row>
    <row r="337" spans="4:27" x14ac:dyDescent="0.25">
      <c r="D337" s="1"/>
      <c r="E337" s="1"/>
      <c r="F337" s="1"/>
      <c r="G337" s="155"/>
      <c r="H337" s="171"/>
      <c r="I337" s="170"/>
      <c r="J337" s="170"/>
      <c r="K337" s="170"/>
      <c r="L337" s="170"/>
      <c r="AA337" s="2"/>
    </row>
    <row r="338" spans="4:27" x14ac:dyDescent="0.25">
      <c r="D338" s="1"/>
      <c r="E338" s="1"/>
      <c r="F338" s="1"/>
      <c r="G338" s="155"/>
      <c r="H338" s="171"/>
      <c r="I338" s="170"/>
      <c r="J338" s="170"/>
      <c r="K338" s="170"/>
      <c r="L338" s="170"/>
      <c r="AA338" s="2"/>
    </row>
    <row r="339" spans="4:27" x14ac:dyDescent="0.25">
      <c r="D339" s="1"/>
      <c r="E339" s="1"/>
      <c r="F339" s="1"/>
      <c r="G339" s="155"/>
      <c r="H339" s="171"/>
      <c r="I339" s="170"/>
      <c r="J339" s="170"/>
      <c r="K339" s="170"/>
      <c r="L339" s="170"/>
      <c r="AA339" s="2"/>
    </row>
    <row r="340" spans="4:27" x14ac:dyDescent="0.25">
      <c r="D340" s="1"/>
      <c r="E340" s="1"/>
      <c r="F340" s="1"/>
      <c r="G340" s="155"/>
      <c r="H340" s="171"/>
      <c r="I340" s="170"/>
      <c r="J340" s="170"/>
      <c r="K340" s="170"/>
      <c r="L340" s="170"/>
      <c r="AA340" s="2"/>
    </row>
    <row r="341" spans="4:27" x14ac:dyDescent="0.25">
      <c r="D341" s="1"/>
      <c r="E341" s="1"/>
      <c r="F341" s="1"/>
      <c r="G341" s="155"/>
      <c r="H341" s="171"/>
      <c r="I341" s="170"/>
      <c r="J341" s="170"/>
      <c r="K341" s="170"/>
      <c r="L341" s="170"/>
      <c r="AA341" s="2"/>
    </row>
    <row r="342" spans="4:27" x14ac:dyDescent="0.25">
      <c r="D342" s="1"/>
      <c r="E342" s="1"/>
      <c r="F342" s="1"/>
      <c r="G342" s="155"/>
      <c r="H342" s="171"/>
      <c r="I342" s="170"/>
      <c r="J342" s="170"/>
      <c r="K342" s="170"/>
      <c r="L342" s="170"/>
      <c r="AA342" s="2"/>
    </row>
    <row r="343" spans="4:27" x14ac:dyDescent="0.25">
      <c r="D343" s="1"/>
      <c r="E343" s="1"/>
      <c r="F343" s="1"/>
      <c r="G343" s="155"/>
      <c r="H343" s="171"/>
      <c r="I343" s="170"/>
      <c r="J343" s="170"/>
      <c r="K343" s="170"/>
      <c r="L343" s="170"/>
      <c r="AA343" s="2"/>
    </row>
    <row r="344" spans="4:27" x14ac:dyDescent="0.25">
      <c r="D344" s="1"/>
      <c r="E344" s="1"/>
      <c r="F344" s="1"/>
      <c r="G344" s="155"/>
      <c r="H344" s="171"/>
      <c r="I344" s="170"/>
      <c r="J344" s="170"/>
      <c r="K344" s="170"/>
      <c r="L344" s="170"/>
      <c r="AA344" s="2"/>
    </row>
    <row r="345" spans="4:27" x14ac:dyDescent="0.25">
      <c r="D345" s="1"/>
      <c r="E345" s="1"/>
      <c r="F345" s="1"/>
      <c r="G345" s="155"/>
      <c r="H345" s="171"/>
      <c r="I345" s="170"/>
      <c r="J345" s="170"/>
      <c r="K345" s="170"/>
      <c r="L345" s="170"/>
      <c r="AA345" s="2"/>
    </row>
    <row r="346" spans="4:27" x14ac:dyDescent="0.25">
      <c r="D346" s="1"/>
      <c r="E346" s="1"/>
      <c r="F346" s="1"/>
      <c r="G346" s="155"/>
      <c r="H346" s="171"/>
      <c r="I346" s="170"/>
      <c r="J346" s="170"/>
      <c r="K346" s="170"/>
      <c r="L346" s="170"/>
      <c r="AA346" s="2"/>
    </row>
    <row r="347" spans="4:27" x14ac:dyDescent="0.25">
      <c r="D347" s="1"/>
      <c r="E347" s="1"/>
      <c r="F347" s="1"/>
      <c r="G347" s="155"/>
      <c r="H347" s="171"/>
      <c r="I347" s="170"/>
      <c r="J347" s="170"/>
      <c r="K347" s="170"/>
      <c r="L347" s="170"/>
      <c r="AA347" s="2"/>
    </row>
    <row r="348" spans="4:27" x14ac:dyDescent="0.25">
      <c r="D348" s="1"/>
      <c r="E348" s="1"/>
      <c r="F348" s="1"/>
      <c r="G348" s="155"/>
      <c r="H348" s="171"/>
      <c r="I348" s="170"/>
      <c r="J348" s="170"/>
      <c r="K348" s="170"/>
      <c r="L348" s="170"/>
      <c r="AA348" s="2"/>
    </row>
    <row r="349" spans="4:27" x14ac:dyDescent="0.25">
      <c r="D349" s="1"/>
      <c r="E349" s="1"/>
      <c r="F349" s="1"/>
      <c r="G349" s="155"/>
      <c r="H349" s="171"/>
      <c r="I349" s="170"/>
      <c r="J349" s="170"/>
      <c r="K349" s="170"/>
      <c r="L349" s="170"/>
      <c r="AA349" s="2"/>
    </row>
    <row r="350" spans="4:27" x14ac:dyDescent="0.25">
      <c r="D350" s="1"/>
      <c r="E350" s="1"/>
      <c r="F350" s="1"/>
      <c r="G350" s="155"/>
      <c r="H350" s="171"/>
      <c r="I350" s="170"/>
      <c r="J350" s="170"/>
      <c r="K350" s="170"/>
      <c r="L350" s="170"/>
      <c r="AA350" s="2"/>
    </row>
    <row r="351" spans="4:27" x14ac:dyDescent="0.25">
      <c r="D351" s="1"/>
      <c r="E351" s="1"/>
      <c r="F351" s="1"/>
      <c r="G351" s="155"/>
      <c r="H351" s="171"/>
      <c r="I351" s="170"/>
      <c r="J351" s="170"/>
      <c r="K351" s="170"/>
      <c r="L351" s="170"/>
      <c r="AA351" s="2"/>
    </row>
    <row r="352" spans="4:27" x14ac:dyDescent="0.25">
      <c r="D352" s="1"/>
      <c r="E352" s="1"/>
      <c r="F352" s="1"/>
      <c r="G352" s="155"/>
      <c r="H352" s="171"/>
      <c r="I352" s="170"/>
      <c r="J352" s="170"/>
      <c r="K352" s="170"/>
      <c r="L352" s="170"/>
      <c r="AA352" s="2"/>
    </row>
    <row r="353" spans="4:27" x14ac:dyDescent="0.25">
      <c r="D353" s="1"/>
      <c r="E353" s="1"/>
      <c r="F353" s="1"/>
      <c r="G353" s="155"/>
      <c r="H353" s="171"/>
      <c r="I353" s="170"/>
      <c r="J353" s="170"/>
      <c r="K353" s="170"/>
      <c r="L353" s="170"/>
      <c r="AA353" s="2"/>
    </row>
    <row r="354" spans="4:27" x14ac:dyDescent="0.25">
      <c r="D354" s="1"/>
      <c r="E354" s="1"/>
      <c r="F354" s="1"/>
      <c r="G354" s="155"/>
      <c r="H354" s="171"/>
      <c r="I354" s="170"/>
      <c r="J354" s="170"/>
      <c r="K354" s="170"/>
      <c r="L354" s="170"/>
      <c r="AA354" s="2"/>
    </row>
    <row r="355" spans="4:27" x14ac:dyDescent="0.25">
      <c r="D355" s="1"/>
      <c r="E355" s="1"/>
      <c r="F355" s="1"/>
      <c r="G355" s="155"/>
      <c r="H355" s="171"/>
      <c r="I355" s="170"/>
      <c r="J355" s="170"/>
      <c r="K355" s="170"/>
      <c r="L355" s="170"/>
      <c r="AA355" s="2"/>
    </row>
    <row r="356" spans="4:27" x14ac:dyDescent="0.25">
      <c r="D356" s="1"/>
      <c r="E356" s="1"/>
      <c r="F356" s="1"/>
      <c r="G356" s="155"/>
      <c r="H356" s="171"/>
      <c r="I356" s="170"/>
      <c r="J356" s="170"/>
      <c r="K356" s="170"/>
      <c r="L356" s="170"/>
      <c r="AA356" s="2"/>
    </row>
    <row r="357" spans="4:27" x14ac:dyDescent="0.25">
      <c r="D357" s="1"/>
      <c r="E357" s="1"/>
      <c r="F357" s="1"/>
      <c r="G357" s="155"/>
      <c r="H357" s="171"/>
      <c r="I357" s="170"/>
      <c r="J357" s="170"/>
      <c r="K357" s="170"/>
      <c r="L357" s="170"/>
      <c r="AA357" s="2"/>
    </row>
    <row r="358" spans="4:27" x14ac:dyDescent="0.25">
      <c r="D358" s="1"/>
      <c r="E358" s="1"/>
      <c r="F358" s="1"/>
      <c r="G358" s="155"/>
      <c r="H358" s="171"/>
      <c r="I358" s="170"/>
      <c r="J358" s="170"/>
      <c r="K358" s="170"/>
      <c r="L358" s="170"/>
      <c r="AA358" s="2"/>
    </row>
    <row r="359" spans="4:27" x14ac:dyDescent="0.25">
      <c r="D359" s="1"/>
      <c r="E359" s="1"/>
      <c r="F359" s="1"/>
      <c r="G359" s="155"/>
      <c r="H359" s="171"/>
      <c r="I359" s="170"/>
      <c r="J359" s="170"/>
      <c r="K359" s="170"/>
      <c r="L359" s="170"/>
      <c r="AA359" s="2"/>
    </row>
    <row r="360" spans="4:27" x14ac:dyDescent="0.25">
      <c r="D360" s="1"/>
      <c r="E360" s="1"/>
      <c r="F360" s="1"/>
      <c r="G360" s="155"/>
      <c r="H360" s="171"/>
      <c r="I360" s="170"/>
      <c r="J360" s="170"/>
      <c r="K360" s="170"/>
      <c r="L360" s="170"/>
      <c r="AA360" s="2"/>
    </row>
    <row r="361" spans="4:27" x14ac:dyDescent="0.25">
      <c r="D361" s="1"/>
      <c r="E361" s="1"/>
      <c r="F361" s="1"/>
      <c r="G361" s="155"/>
      <c r="H361" s="171"/>
      <c r="I361" s="170"/>
      <c r="J361" s="170"/>
      <c r="K361" s="170"/>
      <c r="L361" s="170"/>
      <c r="AA361" s="2"/>
    </row>
    <row r="362" spans="4:27" x14ac:dyDescent="0.25">
      <c r="D362" s="1"/>
      <c r="E362" s="1"/>
      <c r="F362" s="1"/>
      <c r="G362" s="155"/>
      <c r="H362" s="171"/>
      <c r="I362" s="170"/>
      <c r="J362" s="170"/>
      <c r="K362" s="170"/>
      <c r="L362" s="170"/>
      <c r="AA362" s="2"/>
    </row>
    <row r="363" spans="4:27" x14ac:dyDescent="0.25">
      <c r="D363" s="1"/>
      <c r="E363" s="1"/>
      <c r="F363" s="1"/>
      <c r="G363" s="155"/>
      <c r="H363" s="171"/>
      <c r="I363" s="170"/>
      <c r="J363" s="170"/>
      <c r="K363" s="170"/>
      <c r="L363" s="170"/>
      <c r="AA363" s="2"/>
    </row>
    <row r="364" spans="4:27" x14ac:dyDescent="0.25">
      <c r="D364" s="1"/>
      <c r="E364" s="1"/>
      <c r="F364" s="1"/>
      <c r="G364" s="155"/>
      <c r="H364" s="171"/>
      <c r="I364" s="170"/>
      <c r="J364" s="170"/>
      <c r="K364" s="170"/>
      <c r="L364" s="170"/>
      <c r="AA364" s="2"/>
    </row>
    <row r="365" spans="4:27" x14ac:dyDescent="0.25">
      <c r="D365" s="1"/>
      <c r="E365" s="1"/>
      <c r="F365" s="1"/>
      <c r="G365" s="155"/>
      <c r="H365" s="171"/>
      <c r="I365" s="170"/>
      <c r="J365" s="170"/>
      <c r="K365" s="170"/>
      <c r="L365" s="170"/>
      <c r="AA365" s="2"/>
    </row>
    <row r="366" spans="4:27" x14ac:dyDescent="0.25">
      <c r="D366" s="1"/>
      <c r="E366" s="1"/>
      <c r="F366" s="1"/>
      <c r="G366" s="155"/>
      <c r="H366" s="171"/>
      <c r="I366" s="170"/>
      <c r="J366" s="170"/>
      <c r="K366" s="170"/>
      <c r="L366" s="170"/>
      <c r="AA366" s="2"/>
    </row>
    <row r="367" spans="4:27" x14ac:dyDescent="0.25">
      <c r="D367" s="1"/>
      <c r="E367" s="1"/>
      <c r="F367" s="1"/>
      <c r="G367" s="155"/>
      <c r="H367" s="171"/>
      <c r="I367" s="170"/>
      <c r="J367" s="170"/>
      <c r="K367" s="170"/>
      <c r="L367" s="170"/>
      <c r="AA367" s="2"/>
    </row>
    <row r="368" spans="4:27" x14ac:dyDescent="0.25">
      <c r="D368" s="1"/>
      <c r="E368" s="1"/>
      <c r="F368" s="1"/>
      <c r="G368" s="155"/>
      <c r="H368" s="171"/>
      <c r="I368" s="170"/>
      <c r="J368" s="170"/>
      <c r="K368" s="170"/>
      <c r="L368" s="170"/>
      <c r="AA368" s="2"/>
    </row>
    <row r="369" spans="4:27" x14ac:dyDescent="0.25">
      <c r="D369" s="1"/>
      <c r="E369" s="1"/>
      <c r="F369" s="1"/>
      <c r="G369" s="155"/>
      <c r="H369" s="171"/>
      <c r="I369" s="170"/>
      <c r="J369" s="170"/>
      <c r="K369" s="170"/>
      <c r="L369" s="170"/>
      <c r="AA369" s="2"/>
    </row>
    <row r="370" spans="4:27" x14ac:dyDescent="0.25">
      <c r="D370" s="1"/>
      <c r="E370" s="1"/>
      <c r="F370" s="1"/>
      <c r="G370" s="155"/>
      <c r="H370" s="171"/>
      <c r="I370" s="170"/>
      <c r="J370" s="170"/>
      <c r="K370" s="170"/>
      <c r="L370" s="170"/>
      <c r="AA370" s="2"/>
    </row>
  </sheetData>
  <autoFilter ref="A14:AE25">
    <filterColumn colId="2">
      <colorFilter dxfId="2" cellColor="0"/>
    </filterColumn>
  </autoFilter>
  <mergeCells count="24">
    <mergeCell ref="B11:C11"/>
    <mergeCell ref="B13:B14"/>
    <mergeCell ref="C13:C14"/>
    <mergeCell ref="D13:D14"/>
    <mergeCell ref="E13:E14"/>
    <mergeCell ref="B10:C10"/>
    <mergeCell ref="C4:F4"/>
    <mergeCell ref="C5:F5"/>
    <mergeCell ref="C6:F6"/>
    <mergeCell ref="C7:F7"/>
    <mergeCell ref="C8:F8"/>
    <mergeCell ref="A13:A14"/>
    <mergeCell ref="AB13:AB14"/>
    <mergeCell ref="AC13:AC14"/>
    <mergeCell ref="AD13:AD14"/>
    <mergeCell ref="AE13:AE14"/>
    <mergeCell ref="AA13:AA14"/>
    <mergeCell ref="Z13:Z14"/>
    <mergeCell ref="F13:F14"/>
    <mergeCell ref="G13:G14"/>
    <mergeCell ref="H13:O13"/>
    <mergeCell ref="P13:T13"/>
    <mergeCell ref="U13:X13"/>
    <mergeCell ref="Y13:Y14"/>
  </mergeCells>
  <dataValidations count="2">
    <dataValidation type="list" allowBlank="1" showInputMessage="1" showErrorMessage="1" sqref="Y15:Y25">
      <formula1>"Đã có dữ liệu đáp ứng, Có thể cung cấp số liệu để đáp ứng, Không đáp ứng về dữ liệu"</formula1>
    </dataValidation>
    <dataValidation type="list" allowBlank="1" showInputMessage="1" showErrorMessage="1" sqref="D11">
      <formula1>INDIRECT($I$10)</formula1>
    </dataValidation>
  </dataValidations>
  <pageMargins left="0.7" right="0.7" top="0.75" bottom="0.75" header="0.3" footer="0.3"/>
  <pageSetup paperSize="9" scale="32"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[1]Name_Khoi!#REF!</xm:f>
          </x14:formula1>
          <xm:sqref>D10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filterMode="1">
    <tabColor rgb="FF0070C0"/>
  </sheetPr>
  <dimension ref="A1:AE83"/>
  <sheetViews>
    <sheetView topLeftCell="A13" zoomScale="80" zoomScaleNormal="80" workbookViewId="0">
      <pane xSplit="5" ySplit="2" topLeftCell="S15" activePane="bottomRight" state="frozen"/>
      <selection activeCell="A13" sqref="A13"/>
      <selection pane="topRight" activeCell="E13" sqref="E13"/>
      <selection pane="bottomLeft" activeCell="A15" sqref="A15"/>
      <selection pane="bottomRight" activeCell="E92" sqref="E92"/>
    </sheetView>
  </sheetViews>
  <sheetFormatPr defaultColWidth="9.140625" defaultRowHeight="15" x14ac:dyDescent="0.25"/>
  <cols>
    <col min="1" max="1" width="11.85546875" style="238" customWidth="1"/>
    <col min="2" max="2" width="5.5703125" style="239" customWidth="1"/>
    <col min="3" max="3" width="35.5703125" style="238" customWidth="1"/>
    <col min="4" max="4" width="31.5703125" style="238" customWidth="1"/>
    <col min="5" max="5" width="28.7109375" style="238" customWidth="1"/>
    <col min="6" max="6" width="13.140625" style="238" customWidth="1"/>
    <col min="7" max="7" width="10.140625" style="240" customWidth="1"/>
    <col min="8" max="8" width="7.140625" style="238" customWidth="1"/>
    <col min="9" max="9" width="7.7109375" style="238" customWidth="1"/>
    <col min="10" max="11" width="6.7109375" style="238" customWidth="1"/>
    <col min="12" max="12" width="5.5703125" style="238" customWidth="1"/>
    <col min="13" max="13" width="6.28515625" style="241" customWidth="1"/>
    <col min="14" max="14" width="7.85546875" style="241" customWidth="1"/>
    <col min="15" max="15" width="7.85546875" style="241" hidden="1" customWidth="1"/>
    <col min="16" max="16" width="14" style="242" customWidth="1"/>
    <col min="17" max="17" width="13" style="242" customWidth="1"/>
    <col min="18" max="18" width="12.140625" style="242" customWidth="1"/>
    <col min="19" max="19" width="11.140625" style="241" customWidth="1"/>
    <col min="20" max="20" width="8" style="241" customWidth="1"/>
    <col min="21" max="21" width="15.5703125" style="243" customWidth="1"/>
    <col min="22" max="22" width="12.28515625" style="241" customWidth="1"/>
    <col min="23" max="24" width="11.140625" style="241" customWidth="1"/>
    <col min="25" max="26" width="25" style="241" customWidth="1"/>
    <col min="27" max="27" width="27.7109375" style="241" customWidth="1"/>
    <col min="28" max="28" width="18.85546875" style="241" customWidth="1"/>
    <col min="29" max="29" width="18.42578125" style="238" customWidth="1"/>
    <col min="30" max="30" width="16.140625" style="238" customWidth="1"/>
    <col min="31" max="31" width="15.42578125" style="238" customWidth="1"/>
    <col min="32" max="16384" width="9.140625" style="238"/>
  </cols>
  <sheetData>
    <row r="1" spans="1:31" ht="19.5" customHeight="1" x14ac:dyDescent="0.25">
      <c r="C1" s="137" t="s">
        <v>4033</v>
      </c>
    </row>
    <row r="2" spans="1:31" ht="28.5" customHeight="1" thickBot="1" x14ac:dyDescent="0.3">
      <c r="C2" s="138" t="s">
        <v>4032</v>
      </c>
      <c r="D2" s="138"/>
      <c r="E2" s="138"/>
      <c r="F2" s="138"/>
      <c r="G2" s="204"/>
      <c r="H2" s="138"/>
      <c r="I2" s="138"/>
      <c r="J2" s="138"/>
      <c r="K2" s="138"/>
      <c r="L2" s="138"/>
      <c r="M2" s="138"/>
      <c r="N2" s="138"/>
      <c r="O2" s="138"/>
      <c r="P2" s="139"/>
      <c r="Q2" s="139"/>
      <c r="R2" s="139"/>
      <c r="S2" s="138"/>
      <c r="T2" s="138"/>
      <c r="U2" s="140"/>
      <c r="V2" s="138"/>
      <c r="W2" s="138"/>
      <c r="X2" s="138"/>
      <c r="Y2" s="138"/>
      <c r="Z2" s="138"/>
      <c r="AA2" s="138"/>
      <c r="AB2" s="138"/>
    </row>
    <row r="3" spans="1:31" x14ac:dyDescent="0.25">
      <c r="B3" s="141"/>
      <c r="C3" s="142" t="s">
        <v>4059</v>
      </c>
      <c r="D3" s="143"/>
      <c r="E3" s="143"/>
      <c r="F3" s="144"/>
      <c r="G3" s="205"/>
      <c r="H3" s="141"/>
      <c r="I3" s="141"/>
      <c r="J3" s="141"/>
      <c r="K3" s="141"/>
      <c r="L3" s="141"/>
      <c r="M3" s="141"/>
      <c r="N3" s="141"/>
      <c r="O3" s="141"/>
      <c r="P3" s="141"/>
      <c r="Q3" s="141"/>
      <c r="R3" s="141"/>
      <c r="S3" s="141"/>
      <c r="T3" s="141"/>
      <c r="U3" s="145"/>
      <c r="V3" s="141"/>
      <c r="W3" s="141"/>
      <c r="X3" s="141"/>
      <c r="Y3" s="141"/>
      <c r="Z3" s="141"/>
      <c r="AA3" s="141"/>
      <c r="AB3" s="141"/>
    </row>
    <row r="4" spans="1:31" ht="27.75" customHeight="1" x14ac:dyDescent="0.25">
      <c r="B4" s="141"/>
      <c r="C4" s="384" t="s">
        <v>4429</v>
      </c>
      <c r="D4" s="385"/>
      <c r="E4" s="385"/>
      <c r="F4" s="386"/>
      <c r="G4" s="205"/>
      <c r="H4" s="141"/>
      <c r="I4" s="141"/>
      <c r="J4" s="141"/>
      <c r="K4" s="141"/>
      <c r="L4" s="141"/>
      <c r="M4" s="141"/>
      <c r="N4" s="141"/>
      <c r="O4" s="141"/>
      <c r="P4" s="141"/>
      <c r="Q4" s="141"/>
      <c r="R4" s="141"/>
      <c r="S4" s="141"/>
      <c r="T4" s="141"/>
      <c r="U4" s="145"/>
      <c r="V4" s="141"/>
      <c r="W4" s="141"/>
      <c r="X4" s="141"/>
      <c r="Y4" s="141"/>
      <c r="Z4" s="141"/>
      <c r="AA4" s="141"/>
      <c r="AB4" s="141"/>
    </row>
    <row r="5" spans="1:31" ht="42" customHeight="1" x14ac:dyDescent="0.25">
      <c r="B5" s="141"/>
      <c r="C5" s="387" t="s">
        <v>4430</v>
      </c>
      <c r="D5" s="388"/>
      <c r="E5" s="388"/>
      <c r="F5" s="389"/>
      <c r="G5" s="205"/>
      <c r="H5" s="141"/>
      <c r="I5" s="141"/>
      <c r="J5" s="141"/>
      <c r="K5" s="141"/>
      <c r="L5" s="141"/>
      <c r="M5" s="141"/>
      <c r="N5" s="141"/>
      <c r="O5" s="141"/>
      <c r="P5" s="141"/>
      <c r="Q5" s="141"/>
      <c r="R5" s="141"/>
      <c r="S5" s="141"/>
      <c r="T5" s="141"/>
      <c r="U5" s="145"/>
      <c r="V5" s="141"/>
      <c r="W5" s="141"/>
      <c r="X5" s="141"/>
      <c r="Y5" s="141"/>
      <c r="Z5" s="141"/>
      <c r="AA5" s="141"/>
      <c r="AB5" s="141"/>
    </row>
    <row r="6" spans="1:31" ht="30" customHeight="1" x14ac:dyDescent="0.25">
      <c r="B6" s="141"/>
      <c r="C6" s="387" t="s">
        <v>4431</v>
      </c>
      <c r="D6" s="388"/>
      <c r="E6" s="388"/>
      <c r="F6" s="389"/>
      <c r="G6" s="205"/>
      <c r="H6" s="141"/>
      <c r="I6" s="141"/>
      <c r="J6" s="141"/>
      <c r="K6" s="141"/>
      <c r="L6" s="141"/>
      <c r="M6" s="141"/>
      <c r="N6" s="141"/>
      <c r="O6" s="141"/>
      <c r="P6" s="141"/>
      <c r="Q6" s="141"/>
      <c r="R6" s="141"/>
      <c r="S6" s="141"/>
      <c r="T6" s="141"/>
      <c r="U6" s="145"/>
      <c r="V6" s="141"/>
      <c r="W6" s="141"/>
      <c r="X6" s="141"/>
      <c r="Y6" s="141"/>
      <c r="Z6" s="141"/>
      <c r="AA6" s="141"/>
      <c r="AB6" s="141"/>
    </row>
    <row r="7" spans="1:31" ht="23.25" customHeight="1" x14ac:dyDescent="0.25">
      <c r="B7" s="141"/>
      <c r="C7" s="390" t="s">
        <v>4432</v>
      </c>
      <c r="D7" s="391"/>
      <c r="E7" s="391"/>
      <c r="F7" s="392"/>
      <c r="G7" s="205"/>
      <c r="H7" s="141"/>
      <c r="I7" s="141"/>
      <c r="J7" s="141"/>
      <c r="K7" s="141"/>
      <c r="L7" s="141"/>
      <c r="M7" s="141"/>
      <c r="N7" s="141"/>
      <c r="O7" s="141"/>
      <c r="P7" s="141"/>
      <c r="Q7" s="141"/>
      <c r="R7" s="141"/>
      <c r="S7" s="141"/>
      <c r="T7" s="141"/>
      <c r="U7" s="145"/>
      <c r="V7" s="141"/>
      <c r="W7" s="141"/>
      <c r="X7" s="141"/>
      <c r="Y7" s="141"/>
      <c r="Z7" s="141"/>
      <c r="AA7" s="141"/>
      <c r="AB7" s="141"/>
    </row>
    <row r="8" spans="1:31" ht="54" customHeight="1" thickBot="1" x14ac:dyDescent="0.3">
      <c r="B8" s="141"/>
      <c r="C8" s="393" t="s">
        <v>4433</v>
      </c>
      <c r="D8" s="394"/>
      <c r="E8" s="394"/>
      <c r="F8" s="395"/>
      <c r="G8" s="205"/>
      <c r="H8" s="141"/>
      <c r="I8" s="141"/>
      <c r="J8" s="141"/>
      <c r="K8" s="141"/>
      <c r="L8" s="141"/>
      <c r="M8" s="141"/>
      <c r="N8" s="141"/>
      <c r="O8" s="141"/>
      <c r="P8" s="141"/>
      <c r="Q8" s="141"/>
      <c r="R8" s="141"/>
      <c r="S8" s="141"/>
      <c r="T8" s="141"/>
      <c r="U8" s="145"/>
      <c r="V8" s="141"/>
      <c r="W8" s="141"/>
      <c r="X8" s="141"/>
      <c r="Y8" s="141"/>
      <c r="Z8" s="141"/>
      <c r="AA8" s="141"/>
      <c r="AB8" s="141"/>
    </row>
    <row r="9" spans="1:31" ht="15.75" thickBot="1" x14ac:dyDescent="0.3">
      <c r="B9" s="141"/>
      <c r="C9" s="141"/>
      <c r="D9" s="141"/>
      <c r="E9" s="141"/>
      <c r="F9" s="141"/>
      <c r="G9" s="205"/>
      <c r="H9" s="141"/>
      <c r="I9" s="141"/>
      <c r="J9" s="141"/>
      <c r="K9" s="141"/>
      <c r="L9" s="141"/>
      <c r="M9" s="141"/>
      <c r="N9" s="141"/>
      <c r="O9" s="141"/>
      <c r="P9" s="141"/>
      <c r="Q9" s="141"/>
      <c r="R9" s="141"/>
      <c r="S9" s="141"/>
      <c r="T9" s="141"/>
      <c r="U9" s="145"/>
      <c r="V9" s="141"/>
      <c r="W9" s="141"/>
      <c r="X9" s="141"/>
      <c r="Y9" s="141"/>
      <c r="Z9" s="141"/>
      <c r="AA9" s="141"/>
      <c r="AB9" s="141"/>
    </row>
    <row r="10" spans="1:31" ht="31.5" customHeight="1" x14ac:dyDescent="0.25">
      <c r="B10" s="377" t="s">
        <v>4036</v>
      </c>
      <c r="C10" s="378"/>
      <c r="D10" s="146" t="s">
        <v>4</v>
      </c>
      <c r="E10" s="7"/>
      <c r="F10" s="7"/>
      <c r="G10" s="206"/>
      <c r="H10" s="8"/>
      <c r="I10" s="141" t="str">
        <f>VLOOKUP(D10,[2]Name_Phong!$A$3:$B$59,2,0)</f>
        <v>KHOI14</v>
      </c>
      <c r="J10" s="141"/>
      <c r="K10" s="141"/>
      <c r="L10" s="141"/>
      <c r="M10" s="141"/>
      <c r="N10" s="141"/>
      <c r="O10" s="141"/>
      <c r="P10" s="141"/>
      <c r="Q10" s="141"/>
      <c r="R10" s="141"/>
      <c r="S10" s="141"/>
      <c r="T10" s="141"/>
      <c r="U10" s="145"/>
      <c r="V10" s="141"/>
      <c r="W10" s="141"/>
      <c r="X10" s="141"/>
      <c r="Y10" s="141"/>
      <c r="Z10" s="141"/>
      <c r="AA10" s="141"/>
      <c r="AB10" s="141"/>
    </row>
    <row r="11" spans="1:31" ht="33.75" customHeight="1" thickBot="1" x14ac:dyDescent="0.3">
      <c r="B11" s="377" t="s">
        <v>4037</v>
      </c>
      <c r="C11" s="378"/>
      <c r="D11" s="147" t="s">
        <v>27</v>
      </c>
      <c r="E11" s="7"/>
      <c r="F11" s="7"/>
      <c r="G11" s="206"/>
      <c r="H11" s="8"/>
      <c r="I11" s="141"/>
      <c r="J11" s="141"/>
      <c r="K11" s="141"/>
      <c r="L11" s="141"/>
      <c r="M11" s="141"/>
      <c r="N11" s="141"/>
      <c r="O11" s="141"/>
      <c r="P11" s="141"/>
      <c r="Q11" s="141"/>
      <c r="R11" s="141"/>
      <c r="S11" s="141"/>
      <c r="T11" s="141"/>
      <c r="U11" s="145"/>
      <c r="V11" s="141"/>
      <c r="W11" s="141"/>
      <c r="X11" s="141"/>
      <c r="Y11" s="141"/>
      <c r="Z11" s="141"/>
      <c r="AA11" s="141"/>
      <c r="AB11" s="141"/>
    </row>
    <row r="12" spans="1:31" ht="33.75" customHeight="1" x14ac:dyDescent="0.25">
      <c r="B12" s="231"/>
      <c r="C12" s="231"/>
      <c r="D12" s="231"/>
      <c r="E12" s="7"/>
      <c r="F12" s="7"/>
      <c r="G12" s="206"/>
      <c r="H12" s="8"/>
      <c r="I12" s="141"/>
      <c r="J12" s="141"/>
      <c r="K12" s="141"/>
      <c r="L12" s="141"/>
      <c r="M12" s="141"/>
      <c r="N12" s="141"/>
      <c r="O12" s="141"/>
      <c r="P12" s="141"/>
      <c r="Q12" s="141"/>
      <c r="R12" s="141"/>
      <c r="S12" s="141"/>
      <c r="T12" s="141"/>
      <c r="U12" s="145"/>
      <c r="V12" s="141"/>
      <c r="W12" s="141"/>
      <c r="X12" s="141"/>
      <c r="Y12" s="141"/>
      <c r="Z12" s="141"/>
      <c r="AA12" s="141"/>
      <c r="AB12" s="141"/>
    </row>
    <row r="13" spans="1:31" s="244" customFormat="1" ht="24.75" customHeight="1" x14ac:dyDescent="0.25">
      <c r="A13" s="366" t="s">
        <v>4530</v>
      </c>
      <c r="B13" s="366" t="s">
        <v>4031</v>
      </c>
      <c r="C13" s="367" t="s">
        <v>4018</v>
      </c>
      <c r="D13" s="367" t="s">
        <v>4016</v>
      </c>
      <c r="E13" s="379" t="s">
        <v>4024</v>
      </c>
      <c r="F13" s="379" t="s">
        <v>4253</v>
      </c>
      <c r="G13" s="381" t="s">
        <v>4035</v>
      </c>
      <c r="H13" s="379" t="s">
        <v>4022</v>
      </c>
      <c r="I13" s="379"/>
      <c r="J13" s="379"/>
      <c r="K13" s="379"/>
      <c r="L13" s="379"/>
      <c r="M13" s="379"/>
      <c r="N13" s="383"/>
      <c r="O13" s="379"/>
      <c r="P13" s="368" t="s">
        <v>4021</v>
      </c>
      <c r="Q13" s="369"/>
      <c r="R13" s="369"/>
      <c r="S13" s="369"/>
      <c r="T13" s="370"/>
      <c r="U13" s="371" t="s">
        <v>4020</v>
      </c>
      <c r="V13" s="372"/>
      <c r="W13" s="372"/>
      <c r="X13" s="373"/>
      <c r="Y13" s="374" t="s">
        <v>4063</v>
      </c>
      <c r="Z13" s="379" t="s">
        <v>4062</v>
      </c>
      <c r="AA13" s="367" t="s">
        <v>4403</v>
      </c>
      <c r="AB13" s="340" t="s">
        <v>4510</v>
      </c>
      <c r="AC13" s="340" t="s">
        <v>4511</v>
      </c>
      <c r="AD13" s="340" t="s">
        <v>4512</v>
      </c>
      <c r="AE13" s="340" t="s">
        <v>4513</v>
      </c>
    </row>
    <row r="14" spans="1:31" s="244" customFormat="1" ht="42" x14ac:dyDescent="0.25">
      <c r="A14" s="367"/>
      <c r="B14" s="367"/>
      <c r="C14" s="376"/>
      <c r="D14" s="376"/>
      <c r="E14" s="380"/>
      <c r="F14" s="380"/>
      <c r="G14" s="382"/>
      <c r="H14" s="148" t="s">
        <v>4015</v>
      </c>
      <c r="I14" s="232" t="s">
        <v>4014</v>
      </c>
      <c r="J14" s="232" t="s">
        <v>4013</v>
      </c>
      <c r="K14" s="232" t="s">
        <v>4012</v>
      </c>
      <c r="L14" s="232" t="s">
        <v>4011</v>
      </c>
      <c r="M14" s="232" t="s">
        <v>4010</v>
      </c>
      <c r="N14" s="149" t="s">
        <v>4009</v>
      </c>
      <c r="O14" s="150" t="s">
        <v>4008</v>
      </c>
      <c r="P14" s="232" t="s">
        <v>1561</v>
      </c>
      <c r="Q14" s="232" t="s">
        <v>419</v>
      </c>
      <c r="R14" s="232" t="s">
        <v>3503</v>
      </c>
      <c r="S14" s="232" t="s">
        <v>4006</v>
      </c>
      <c r="T14" s="232" t="s">
        <v>4061</v>
      </c>
      <c r="U14" s="151" t="s">
        <v>1561</v>
      </c>
      <c r="V14" s="232" t="s">
        <v>419</v>
      </c>
      <c r="W14" s="232" t="s">
        <v>3503</v>
      </c>
      <c r="X14" s="232" t="s">
        <v>4006</v>
      </c>
      <c r="Y14" s="375"/>
      <c r="Z14" s="380"/>
      <c r="AA14" s="376"/>
      <c r="AB14" s="341"/>
      <c r="AC14" s="341"/>
      <c r="AD14" s="341"/>
      <c r="AE14" s="341"/>
    </row>
    <row r="15" spans="1:31" s="255" customFormat="1" ht="69" hidden="1" customHeight="1" x14ac:dyDescent="0.25">
      <c r="A15" s="245" t="s">
        <v>4542</v>
      </c>
      <c r="B15" s="246">
        <v>1</v>
      </c>
      <c r="C15" s="247" t="str">
        <f>IFERROR(IF([2]running!H8=0,"",[2]running!H8),"")</f>
        <v>Quản lý rủi ro hoạt động Thẻ và NHĐT; giám sát tuân thủ quy định của Tổ chức thẻ quốc tế, Ngân hàng Nhà nước.</v>
      </c>
      <c r="D15" s="247" t="str">
        <f>IFERROR(IF([2]running!J8=0,"",[2]running!J8),"")</f>
        <v>Quản lý, kiểm soát rủi ro hoạt động thẻ và ngân hàng số; xây dựng các tiêu chí cảnh báo, ngăn chặn rủi ro giao dịch thẻ và ngân hàng số.</v>
      </c>
      <c r="E15" s="248" t="s">
        <v>4254</v>
      </c>
      <c r="F15" s="248" t="s">
        <v>159</v>
      </c>
      <c r="G15" s="249">
        <v>996</v>
      </c>
      <c r="H15" s="250">
        <v>0.5</v>
      </c>
      <c r="I15" s="250">
        <v>0.5</v>
      </c>
      <c r="J15" s="250"/>
      <c r="K15" s="250" t="str">
        <f>IFERROR(IF([2]running!R8=0,"",[2]running!R8),"")</f>
        <v/>
      </c>
      <c r="L15" s="250" t="str">
        <f>IFERROR(IF([2]running!S8=0,"",[2]running!S8),"")</f>
        <v/>
      </c>
      <c r="M15" s="250">
        <v>0.1</v>
      </c>
      <c r="N15" s="250">
        <f t="shared" ref="N15:N24" si="0">SUM(H15:M15)</f>
        <v>1.1000000000000001</v>
      </c>
      <c r="O15" s="248" t="str">
        <f>IFERROR(IF([2]running!V8=0,"",[2]running!V8),"")</f>
        <v/>
      </c>
      <c r="P15" s="251" t="s">
        <v>4278</v>
      </c>
      <c r="Q15" s="252"/>
      <c r="R15" s="252" t="s">
        <v>4265</v>
      </c>
      <c r="S15" s="248" t="s">
        <v>100</v>
      </c>
      <c r="T15" s="248"/>
      <c r="U15" s="253" t="s">
        <v>4278</v>
      </c>
      <c r="V15" s="248"/>
      <c r="W15" s="248"/>
      <c r="X15" s="248"/>
      <c r="Y15" s="248" t="s">
        <v>4255</v>
      </c>
      <c r="Z15" s="248" t="s">
        <v>4256</v>
      </c>
      <c r="AA15" s="254" t="s">
        <v>4637</v>
      </c>
      <c r="AB15" s="227" t="s">
        <v>4516</v>
      </c>
      <c r="AC15" s="234" t="s">
        <v>4518</v>
      </c>
      <c r="AD15" s="227" t="s">
        <v>4514</v>
      </c>
      <c r="AE15" s="234" t="s">
        <v>4519</v>
      </c>
    </row>
    <row r="16" spans="1:31" s="255" customFormat="1" ht="56.25" hidden="1" x14ac:dyDescent="0.25">
      <c r="A16" s="245" t="s">
        <v>4543</v>
      </c>
      <c r="B16" s="246">
        <v>2</v>
      </c>
      <c r="C16" s="247" t="str">
        <f>IFERROR(IF([2]running!H9=0,"",[2]running!H9),"")</f>
        <v>Quản lý rủi ro hoạt động Thẻ và NHĐT; giám sát tuân thủ quy định của Tổ chức thẻ quốc tế, Ngân hàng Nhà nước.</v>
      </c>
      <c r="D16" s="247" t="str">
        <f>IFERROR(IF([2]running!J9=0,"",[2]running!J9),"")</f>
        <v>Đề xuất xây dựng các phương án nghiệp vụ an toàn/bảo mật hoạt động thẻ và ngân hàng số; quy trình xử lý nghiệp vụ; hệ thống cảnh báo/giám sát giao dịch.</v>
      </c>
      <c r="E16" s="248" t="s">
        <v>4257</v>
      </c>
      <c r="F16" s="248" t="s">
        <v>4258</v>
      </c>
      <c r="G16" s="249">
        <v>1126</v>
      </c>
      <c r="H16" s="250">
        <v>0.03</v>
      </c>
      <c r="I16" s="250">
        <v>0.03</v>
      </c>
      <c r="J16" s="250">
        <v>0.01</v>
      </c>
      <c r="K16" s="250" t="str">
        <f>IFERROR(IF([2]running!R9=0,"",[2]running!R9),"")</f>
        <v/>
      </c>
      <c r="L16" s="250" t="str">
        <f>IFERROR(IF([2]running!S9=0,"",[2]running!S9),"")</f>
        <v/>
      </c>
      <c r="M16" s="250" t="str">
        <f>IFERROR(IF([2]running!T9=0,"",[2]running!T9),"")</f>
        <v/>
      </c>
      <c r="N16" s="250">
        <f t="shared" si="0"/>
        <v>6.9999999999999993E-2</v>
      </c>
      <c r="O16" s="248" t="str">
        <f>IFERROR(IF([2]running!V9=0,"",[2]running!V9),"")</f>
        <v/>
      </c>
      <c r="P16" s="252" t="s">
        <v>120</v>
      </c>
      <c r="Q16" s="252"/>
      <c r="R16" s="252" t="s">
        <v>21</v>
      </c>
      <c r="S16" s="248" t="s">
        <v>100</v>
      </c>
      <c r="T16" s="248"/>
      <c r="U16" s="248" t="s">
        <v>4642</v>
      </c>
      <c r="V16" s="248"/>
      <c r="W16" s="248"/>
      <c r="X16" s="248"/>
      <c r="Y16" s="248" t="s">
        <v>4255</v>
      </c>
      <c r="Z16" s="248" t="s">
        <v>4259</v>
      </c>
      <c r="AA16" s="247" t="s">
        <v>4405</v>
      </c>
      <c r="AB16" s="234" t="s">
        <v>4516</v>
      </c>
      <c r="AC16" s="234" t="s">
        <v>4516</v>
      </c>
      <c r="AD16" s="234" t="s">
        <v>4514</v>
      </c>
      <c r="AE16" s="234" t="s">
        <v>4517</v>
      </c>
    </row>
    <row r="17" spans="1:31" s="255" customFormat="1" ht="81" hidden="1" customHeight="1" x14ac:dyDescent="0.25">
      <c r="A17" s="245" t="s">
        <v>4544</v>
      </c>
      <c r="B17" s="246">
        <v>3</v>
      </c>
      <c r="C17" s="247" t="str">
        <f>IFERROR(IF([2]running!H9=0,"",[2]running!H9),"")</f>
        <v>Quản lý rủi ro hoạt động Thẻ và NHĐT; giám sát tuân thủ quy định của Tổ chức thẻ quốc tế, Ngân hàng Nhà nước.</v>
      </c>
      <c r="D17" s="247" t="str">
        <f>IFERROR(IF([2]running!J9=0,"",[2]running!J9),"")</f>
        <v>Đề xuất xây dựng các phương án nghiệp vụ an toàn/bảo mật hoạt động thẻ và ngân hàng số; quy trình xử lý nghiệp vụ; hệ thống cảnh báo/giám sát giao dịch.</v>
      </c>
      <c r="E17" s="248" t="s">
        <v>4260</v>
      </c>
      <c r="F17" s="248" t="s">
        <v>4261</v>
      </c>
      <c r="G17" s="249">
        <v>6</v>
      </c>
      <c r="H17" s="250">
        <v>22</v>
      </c>
      <c r="I17" s="250">
        <v>22</v>
      </c>
      <c r="J17" s="250"/>
      <c r="K17" s="250" t="str">
        <f>IFERROR(IF([2]running!R9=0,"",[2]running!R9),"")</f>
        <v/>
      </c>
      <c r="L17" s="250" t="str">
        <f>IFERROR(IF([2]running!S9=0,"",[2]running!S9),"")</f>
        <v/>
      </c>
      <c r="M17" s="250">
        <v>8</v>
      </c>
      <c r="N17" s="250">
        <f t="shared" si="0"/>
        <v>52</v>
      </c>
      <c r="O17" s="248" t="str">
        <f>IFERROR(IF([2]running!V9=0,"",[2]running!V9),"")</f>
        <v/>
      </c>
      <c r="P17" s="251" t="s">
        <v>4278</v>
      </c>
      <c r="Q17" s="252"/>
      <c r="R17" s="252" t="s">
        <v>4265</v>
      </c>
      <c r="S17" s="248" t="s">
        <v>100</v>
      </c>
      <c r="T17" s="248"/>
      <c r="U17" s="253" t="s">
        <v>4278</v>
      </c>
      <c r="V17" s="248"/>
      <c r="W17" s="248"/>
      <c r="X17" s="248"/>
      <c r="Y17" s="248" t="s">
        <v>4255</v>
      </c>
      <c r="Z17" s="248" t="s">
        <v>4262</v>
      </c>
      <c r="AA17" s="247" t="s">
        <v>4404</v>
      </c>
      <c r="AB17" s="227" t="s">
        <v>4516</v>
      </c>
      <c r="AC17" s="227" t="s">
        <v>4518</v>
      </c>
      <c r="AD17" s="227" t="s">
        <v>4514</v>
      </c>
      <c r="AE17" s="234" t="s">
        <v>4519</v>
      </c>
    </row>
    <row r="18" spans="1:31" s="265" customFormat="1" ht="42" hidden="1" customHeight="1" x14ac:dyDescent="0.25">
      <c r="A18" s="256" t="s">
        <v>4545</v>
      </c>
      <c r="B18" s="257">
        <v>4</v>
      </c>
      <c r="C18" s="258" t="str">
        <f>IFERROR(IF([2]running!H13=0,"",[2]running!H13),"")</f>
        <v>Quản lý rủi ro hoạt động Thẻ và NHĐT; giám sát tuân thủ quy định của Tổ chức thẻ quốc tế, Ngân hàng Nhà nước.</v>
      </c>
      <c r="D18" s="258" t="s">
        <v>168</v>
      </c>
      <c r="E18" s="259" t="s">
        <v>4263</v>
      </c>
      <c r="F18" s="260" t="s">
        <v>4264</v>
      </c>
      <c r="G18" s="261">
        <v>4</v>
      </c>
      <c r="H18" s="262"/>
      <c r="I18" s="262">
        <v>5</v>
      </c>
      <c r="J18" s="262" t="str">
        <f>IFERROR(IF([2]running!Q13=0,"",[2]running!Q13),"")</f>
        <v/>
      </c>
      <c r="K18" s="262" t="str">
        <f>IFERROR(IF([2]running!R13=0,"",[2]running!R13),"")</f>
        <v/>
      </c>
      <c r="L18" s="262" t="str">
        <f>IFERROR(IF([2]running!S13=0,"",[2]running!S13),"")</f>
        <v/>
      </c>
      <c r="M18" s="262">
        <v>1.5</v>
      </c>
      <c r="N18" s="262">
        <f t="shared" si="0"/>
        <v>6.5</v>
      </c>
      <c r="O18" s="259" t="str">
        <f>IFERROR(IF([2]running!V13=0,"",[2]running!V13),"")</f>
        <v/>
      </c>
      <c r="P18" s="263" t="s">
        <v>101</v>
      </c>
      <c r="Q18" s="263"/>
      <c r="R18" s="263" t="s">
        <v>21</v>
      </c>
      <c r="S18" s="259" t="s">
        <v>100</v>
      </c>
      <c r="T18" s="259"/>
      <c r="U18" s="259" t="s">
        <v>4266</v>
      </c>
      <c r="V18" s="259"/>
      <c r="W18" s="259"/>
      <c r="X18" s="259"/>
      <c r="Y18" s="259" t="s">
        <v>4255</v>
      </c>
      <c r="Z18" s="259" t="s">
        <v>4267</v>
      </c>
      <c r="AA18" s="264" t="s">
        <v>4637</v>
      </c>
      <c r="AB18" s="227" t="s">
        <v>4516</v>
      </c>
      <c r="AC18" s="227" t="s">
        <v>4516</v>
      </c>
      <c r="AD18" s="227" t="s">
        <v>4514</v>
      </c>
      <c r="AE18" s="227" t="s">
        <v>4517</v>
      </c>
    </row>
    <row r="19" spans="1:31" s="265" customFormat="1" ht="56.25" hidden="1" x14ac:dyDescent="0.25">
      <c r="A19" s="256" t="s">
        <v>4546</v>
      </c>
      <c r="B19" s="257">
        <v>5</v>
      </c>
      <c r="C19" s="258" t="str">
        <f>IFERROR(IF([2]running!H13=0,"",[2]running!H13),"")</f>
        <v>Quản lý rủi ro hoạt động Thẻ và NHĐT; giám sát tuân thủ quy định của Tổ chức thẻ quốc tế, Ngân hàng Nhà nước.</v>
      </c>
      <c r="D19" s="258" t="str">
        <f>IFERROR(IF([2]running!J13=0,"",[2]running!J13),"")</f>
        <v>Khai thác, sử dụng các công cụ, hệ thống do TCTQT cung cấp.</v>
      </c>
      <c r="E19" s="259" t="s">
        <v>98</v>
      </c>
      <c r="F19" s="259" t="s">
        <v>97</v>
      </c>
      <c r="G19" s="261">
        <v>40</v>
      </c>
      <c r="H19" s="262" t="str">
        <f>IFERROR(IF([2]running!O13=0,"",[2]running!O13),"")</f>
        <v/>
      </c>
      <c r="I19" s="262">
        <v>1</v>
      </c>
      <c r="J19" s="262" t="str">
        <f>IFERROR(IF([2]running!Q13=0,"",[2]running!Q13),"")</f>
        <v/>
      </c>
      <c r="K19" s="262" t="str">
        <f>IFERROR(IF([2]running!R13=0,"",[2]running!R13),"")</f>
        <v/>
      </c>
      <c r="L19" s="262" t="str">
        <f>IFERROR(IF([2]running!S13=0,"",[2]running!S13),"")</f>
        <v/>
      </c>
      <c r="M19" s="262">
        <v>0.3</v>
      </c>
      <c r="N19" s="262">
        <f t="shared" si="0"/>
        <v>1.3</v>
      </c>
      <c r="O19" s="259" t="str">
        <f>IFERROR(IF([2]running!V13=0,"",[2]running!V13),"")</f>
        <v/>
      </c>
      <c r="P19" s="266" t="s">
        <v>4278</v>
      </c>
      <c r="Q19" s="263"/>
      <c r="R19" s="263" t="s">
        <v>123</v>
      </c>
      <c r="S19" s="259" t="s">
        <v>100</v>
      </c>
      <c r="T19" s="259"/>
      <c r="U19" s="267" t="s">
        <v>4278</v>
      </c>
      <c r="V19" s="259"/>
      <c r="W19" s="259"/>
      <c r="X19" s="259"/>
      <c r="Y19" s="259" t="s">
        <v>4255</v>
      </c>
      <c r="Z19" s="259" t="s">
        <v>4268</v>
      </c>
      <c r="AA19" s="264" t="s">
        <v>4637</v>
      </c>
      <c r="AB19" s="227" t="s">
        <v>4516</v>
      </c>
      <c r="AC19" s="234" t="s">
        <v>4518</v>
      </c>
      <c r="AD19" s="227" t="s">
        <v>4514</v>
      </c>
      <c r="AE19" s="234" t="s">
        <v>4519</v>
      </c>
    </row>
    <row r="20" spans="1:31" s="265" customFormat="1" ht="56.25" hidden="1" x14ac:dyDescent="0.25">
      <c r="A20" s="256" t="s">
        <v>4547</v>
      </c>
      <c r="B20" s="257">
        <v>6</v>
      </c>
      <c r="C20" s="258" t="str">
        <f>IFERROR(IF([2]running!H14=0,"",[2]running!H14),"")</f>
        <v>Quản lý rủi ro hoạt động Thẻ và NHĐT; giám sát tuân thủ quy định của Tổ chức thẻ quốc tế, Ngân hàng Nhà nước.</v>
      </c>
      <c r="D20" s="258" t="s">
        <v>4269</v>
      </c>
      <c r="E20" s="258" t="s">
        <v>4269</v>
      </c>
      <c r="F20" s="259" t="s">
        <v>4270</v>
      </c>
      <c r="G20" s="261">
        <v>400</v>
      </c>
      <c r="H20" s="262" t="str">
        <f>IFERROR(IF([2]running!O14=0,"",[2]running!O14),"")</f>
        <v/>
      </c>
      <c r="I20" s="262">
        <v>4</v>
      </c>
      <c r="J20" s="262" t="str">
        <f>IFERROR(IF([2]running!Q14=0,"",[2]running!Q14),"")</f>
        <v/>
      </c>
      <c r="K20" s="262" t="str">
        <f>IFERROR(IF([2]running!R14=0,"",[2]running!R14),"")</f>
        <v/>
      </c>
      <c r="L20" s="262" t="str">
        <f>IFERROR(IF([2]running!S14=0,"",[2]running!S14),"")</f>
        <v/>
      </c>
      <c r="M20" s="262">
        <v>0.2</v>
      </c>
      <c r="N20" s="262">
        <f t="shared" si="0"/>
        <v>4.2</v>
      </c>
      <c r="O20" s="259" t="str">
        <f>IFERROR(IF([2]running!V14=0,"",[2]running!V14),"")</f>
        <v/>
      </c>
      <c r="P20" s="266" t="s">
        <v>4278</v>
      </c>
      <c r="Q20" s="263" t="s">
        <v>92</v>
      </c>
      <c r="R20" s="263" t="s">
        <v>123</v>
      </c>
      <c r="S20" s="259" t="s">
        <v>100</v>
      </c>
      <c r="T20" s="259"/>
      <c r="U20" s="267" t="s">
        <v>4278</v>
      </c>
      <c r="V20" s="263"/>
      <c r="W20" s="259"/>
      <c r="X20" s="259"/>
      <c r="Y20" s="259" t="s">
        <v>4255</v>
      </c>
      <c r="Z20" s="259" t="s">
        <v>4271</v>
      </c>
      <c r="AA20" s="264" t="s">
        <v>4637</v>
      </c>
      <c r="AB20" s="227" t="s">
        <v>4516</v>
      </c>
      <c r="AC20" s="234" t="s">
        <v>4518</v>
      </c>
      <c r="AD20" s="227" t="s">
        <v>4514</v>
      </c>
      <c r="AE20" s="234" t="s">
        <v>4519</v>
      </c>
    </row>
    <row r="21" spans="1:31" s="265" customFormat="1" ht="67.5" hidden="1" x14ac:dyDescent="0.25">
      <c r="A21" s="256" t="s">
        <v>4548</v>
      </c>
      <c r="B21" s="257">
        <v>7</v>
      </c>
      <c r="C21" s="258" t="str">
        <f>IFERROR(IF([2]running!H15=0,"",[2]running!H15),"")</f>
        <v>Quản lý rủi ro hoạt động Thẻ và NHĐT; giám sát tuân thủ quy định của Tổ chức thẻ quốc tế, Ngân hàng Nhà nước.</v>
      </c>
      <c r="D21" s="258" t="s">
        <v>4269</v>
      </c>
      <c r="E21" s="258" t="s">
        <v>4272</v>
      </c>
      <c r="F21" s="259" t="s">
        <v>4273</v>
      </c>
      <c r="G21" s="261">
        <v>60</v>
      </c>
      <c r="H21" s="262">
        <v>2</v>
      </c>
      <c r="I21" s="262">
        <v>3</v>
      </c>
      <c r="J21" s="262"/>
      <c r="K21" s="262" t="str">
        <f>IFERROR(IF([2]running!R15=0,"",[2]running!R15),"")</f>
        <v/>
      </c>
      <c r="L21" s="262" t="str">
        <f>IFERROR(IF([2]running!S15=0,"",[2]running!S15),"")</f>
        <v/>
      </c>
      <c r="M21" s="262">
        <v>1</v>
      </c>
      <c r="N21" s="262">
        <f t="shared" si="0"/>
        <v>6</v>
      </c>
      <c r="O21" s="259">
        <f>IFERROR(IF([2]running!V15=0,"",[2]running!V15),"")</f>
        <v>1.1000000000000001</v>
      </c>
      <c r="P21" s="266" t="s">
        <v>4278</v>
      </c>
      <c r="Q21" s="263"/>
      <c r="R21" s="263"/>
      <c r="S21" s="259"/>
      <c r="T21" s="259"/>
      <c r="U21" s="267" t="s">
        <v>4278</v>
      </c>
      <c r="V21" s="259"/>
      <c r="W21" s="259"/>
      <c r="X21" s="259"/>
      <c r="Y21" s="259" t="s">
        <v>4255</v>
      </c>
      <c r="Z21" s="259" t="s">
        <v>4271</v>
      </c>
      <c r="AA21" s="264" t="s">
        <v>4637</v>
      </c>
      <c r="AB21" s="227" t="s">
        <v>4516</v>
      </c>
      <c r="AC21" s="233" t="s">
        <v>4518</v>
      </c>
      <c r="AD21" s="227" t="s">
        <v>4514</v>
      </c>
      <c r="AE21" s="234" t="s">
        <v>4519</v>
      </c>
    </row>
    <row r="22" spans="1:31" s="265" customFormat="1" ht="54.6" hidden="1" customHeight="1" x14ac:dyDescent="0.25">
      <c r="A22" s="256" t="s">
        <v>4549</v>
      </c>
      <c r="B22" s="257">
        <v>8</v>
      </c>
      <c r="C22" s="258" t="str">
        <f>IFERROR(IF([2]running!H16=0,"",[2]running!H16),"")</f>
        <v>Quản lý rủi ro hoạt động Thẻ và NHĐT; giám sát tuân thủ quy định của Tổ chức thẻ quốc tế, Ngân hàng Nhà nước.</v>
      </c>
      <c r="D22" s="258" t="s">
        <v>4269</v>
      </c>
      <c r="E22" s="258" t="s">
        <v>4274</v>
      </c>
      <c r="F22" s="259" t="s">
        <v>4275</v>
      </c>
      <c r="G22" s="261">
        <v>58</v>
      </c>
      <c r="H22" s="262"/>
      <c r="I22" s="262">
        <v>4</v>
      </c>
      <c r="J22" s="262" t="str">
        <f>IFERROR(IF([2]running!Q16=0,"",[2]running!Q16),"")</f>
        <v/>
      </c>
      <c r="K22" s="262"/>
      <c r="L22" s="262" t="str">
        <f>IFERROR(IF([2]running!S16=0,"",[2]running!S16),"")</f>
        <v/>
      </c>
      <c r="M22" s="262">
        <v>0.3</v>
      </c>
      <c r="N22" s="262">
        <f t="shared" si="0"/>
        <v>4.3</v>
      </c>
      <c r="O22" s="259">
        <f>IFERROR(IF([2]running!V16=0,"",[2]running!V16),"")</f>
        <v>0.1</v>
      </c>
      <c r="P22" s="266" t="s">
        <v>4278</v>
      </c>
      <c r="Q22" s="263" t="s">
        <v>95</v>
      </c>
      <c r="R22" s="263" t="s">
        <v>123</v>
      </c>
      <c r="S22" s="259" t="s">
        <v>100</v>
      </c>
      <c r="T22" s="259"/>
      <c r="U22" s="267" t="s">
        <v>4278</v>
      </c>
      <c r="V22" s="259"/>
      <c r="W22" s="259"/>
      <c r="X22" s="259"/>
      <c r="Y22" s="259" t="s">
        <v>4255</v>
      </c>
      <c r="Z22" s="259" t="s">
        <v>4276</v>
      </c>
      <c r="AA22" s="264" t="s">
        <v>4637</v>
      </c>
      <c r="AB22" s="227" t="s">
        <v>4516</v>
      </c>
      <c r="AC22" s="233" t="s">
        <v>4518</v>
      </c>
      <c r="AD22" s="227" t="s">
        <v>4514</v>
      </c>
      <c r="AE22" s="234" t="s">
        <v>4519</v>
      </c>
    </row>
    <row r="23" spans="1:31" s="265" customFormat="1" ht="45.75" hidden="1" customHeight="1" x14ac:dyDescent="0.25">
      <c r="A23" s="256" t="s">
        <v>4550</v>
      </c>
      <c r="B23" s="257">
        <v>9</v>
      </c>
      <c r="C23" s="258" t="str">
        <f>IFERROR(IF([2]running!H17=0,"",[2]running!H17),"")</f>
        <v>Quản lý rủi ro hoạt động Thẻ và NHĐT; giám sát tuân thủ quy định của Tổ chức thẻ quốc tế, Ngân hàng Nhà nước.</v>
      </c>
      <c r="D23" s="258" t="s">
        <v>153</v>
      </c>
      <c r="E23" s="258" t="s">
        <v>153</v>
      </c>
      <c r="F23" s="259" t="s">
        <v>4277</v>
      </c>
      <c r="G23" s="261">
        <v>30</v>
      </c>
      <c r="H23" s="262" t="str">
        <f>IFERROR(IF([2]running!O17=0,"",[2]running!O17),"")</f>
        <v/>
      </c>
      <c r="I23" s="262">
        <v>15</v>
      </c>
      <c r="J23" s="262" t="str">
        <f>IFERROR(IF([2]running!Q17=0,"",[2]running!Q17),"")</f>
        <v/>
      </c>
      <c r="K23" s="262" t="str">
        <f>IFERROR(IF([2]running!R17=0,"",[2]running!R17),"")</f>
        <v/>
      </c>
      <c r="L23" s="262" t="str">
        <f>IFERROR(IF([2]running!S17=0,"",[2]running!S17),"")</f>
        <v/>
      </c>
      <c r="M23" s="262">
        <v>1</v>
      </c>
      <c r="N23" s="262">
        <f t="shared" si="0"/>
        <v>16</v>
      </c>
      <c r="O23" s="259" t="str">
        <f>IFERROR(IF([2]running!V17=0,"",[2]running!V17),"")</f>
        <v/>
      </c>
      <c r="P23" s="263" t="s">
        <v>4278</v>
      </c>
      <c r="Q23" s="263"/>
      <c r="R23" s="263" t="str">
        <f>IFERROR(IF([2]running!X17=0,"",[2]running!X17),"")</f>
        <v/>
      </c>
      <c r="S23" s="259" t="s">
        <v>100</v>
      </c>
      <c r="T23" s="259"/>
      <c r="U23" s="259" t="s">
        <v>4278</v>
      </c>
      <c r="V23" s="259"/>
      <c r="W23" s="259"/>
      <c r="X23" s="259"/>
      <c r="Y23" s="259" t="s">
        <v>4255</v>
      </c>
      <c r="Z23" s="259" t="s">
        <v>4279</v>
      </c>
      <c r="AA23" s="264" t="s">
        <v>4637</v>
      </c>
      <c r="AB23" s="227" t="s">
        <v>4516</v>
      </c>
      <c r="AC23" s="227" t="s">
        <v>4518</v>
      </c>
      <c r="AD23" s="227" t="s">
        <v>4514</v>
      </c>
      <c r="AE23" s="227" t="s">
        <v>4519</v>
      </c>
    </row>
    <row r="24" spans="1:31" s="272" customFormat="1" ht="56.45" customHeight="1" x14ac:dyDescent="0.25">
      <c r="A24" s="245" t="s">
        <v>4551</v>
      </c>
      <c r="B24" s="245">
        <v>10</v>
      </c>
      <c r="C24" s="254" t="str">
        <f>IFERROR(IF([2]running!H20=0,"",[2]running!H20),"")</f>
        <v>Triển khai công tác giám sát rủi ro giao dịch thẻ và NHĐT.</v>
      </c>
      <c r="D24" s="254" t="str">
        <f>IFERROR(IF([2]running!J20=0,"",[2]running!J20),"")</f>
        <v xml:space="preserve">Triển khai và duy trì thường xuyên hoạt động giám sát giao dịch thẻ và ngân hàng số phục vụ 24/7 </v>
      </c>
      <c r="E24" s="253" t="str">
        <f>IFERROR(IF([2]running!L20=0,"",[2]running!L20),"")</f>
        <v>Xác minh và hỗ trợ Giao dịch thẻ</v>
      </c>
      <c r="F24" s="253" t="str">
        <f>IFERROR(IF([2]running!M20=0,"",[2]running!M20),"")</f>
        <v>Số lượng giao dịch hit rule</v>
      </c>
      <c r="G24" s="297">
        <v>431000</v>
      </c>
      <c r="H24" s="298">
        <v>0.04</v>
      </c>
      <c r="I24" s="298">
        <v>0.03</v>
      </c>
      <c r="J24" s="298">
        <f>IFERROR(IF([2]running!Q20=0,"",[2]running!Q20),"")</f>
        <v>1.0332193244976487E-2</v>
      </c>
      <c r="K24" s="298" t="str">
        <f>IFERROR(IF([2]running!R20=0,"",[2]running!R20),"")</f>
        <v/>
      </c>
      <c r="L24" s="298" t="str">
        <f>IFERROR(IF([2]running!S20=0,"",[2]running!S20),"")</f>
        <v/>
      </c>
      <c r="M24" s="298"/>
      <c r="N24" s="298">
        <f t="shared" si="0"/>
        <v>8.0332193244976494E-2</v>
      </c>
      <c r="O24" s="253" t="str">
        <f>IFERROR(IF([2]running!V20=0,"",[2]running!V20),"")</f>
        <v/>
      </c>
      <c r="P24" s="251" t="str">
        <f>IFERROR(IF([2]running!W20=0,"",[2]running!W20),"")</f>
        <v>Đơn vị phát hành thẻ</v>
      </c>
      <c r="Q24" s="251"/>
      <c r="R24" s="251" t="s">
        <v>21</v>
      </c>
      <c r="S24" s="253" t="str">
        <f>IFERROR(IF([2]running!Y20=0,"",[2]running!Y20),"")</f>
        <v>- KHCN
- KHDN</v>
      </c>
      <c r="T24" s="253"/>
      <c r="U24" s="253" t="s">
        <v>4280</v>
      </c>
      <c r="V24" s="251" t="s">
        <v>21</v>
      </c>
      <c r="W24" s="253" t="s">
        <v>100</v>
      </c>
      <c r="X24" s="253"/>
      <c r="Y24" s="253" t="s">
        <v>4255</v>
      </c>
      <c r="Z24" s="253" t="s">
        <v>4281</v>
      </c>
      <c r="AA24" s="254" t="s">
        <v>4637</v>
      </c>
      <c r="AB24" s="234" t="s">
        <v>4516</v>
      </c>
      <c r="AC24" s="234" t="s">
        <v>4516</v>
      </c>
      <c r="AD24" s="234" t="s">
        <v>4514</v>
      </c>
      <c r="AE24" s="234" t="s">
        <v>4517</v>
      </c>
    </row>
    <row r="25" spans="1:31" s="255" customFormat="1" ht="33.75" hidden="1" x14ac:dyDescent="0.25">
      <c r="A25" s="245" t="s">
        <v>4552</v>
      </c>
      <c r="B25" s="246">
        <v>11</v>
      </c>
      <c r="C25" s="247" t="str">
        <f>IFERROR(IF([2]running!H21=0,"",[2]running!H21),"")</f>
        <v>Triển khai công tác giám sát rủi ro giao dịch thẻ và NHĐT.</v>
      </c>
      <c r="D25" s="247" t="str">
        <f>IFERROR(IF([2]running!J21=0,"",[2]running!J21),"")</f>
        <v xml:space="preserve">Triển khai và duy trì thường xuyên hoạt động giám sát giao dịch thẻ và ngân hàng số phục vụ 24/7 </v>
      </c>
      <c r="E25" s="248" t="str">
        <f>IFERROR(IF([2]running!L21=0,"",[2]running!L21),"")</f>
        <v>Xác minh và hỗ trợ Giao dịch ngân hàng điện tử</v>
      </c>
      <c r="F25" s="248" t="str">
        <f>IFERROR(IF([2]running!M21=0,"",[2]running!M21),"")</f>
        <v>Số lượng giao dịch hit rule</v>
      </c>
      <c r="G25" s="249">
        <v>193358</v>
      </c>
      <c r="H25" s="250">
        <v>0.04</v>
      </c>
      <c r="I25" s="250">
        <v>0.03</v>
      </c>
      <c r="J25" s="250">
        <f>IFERROR(IF([2]running!Q21=0,"",[2]running!Q21),"")</f>
        <v>1.306762266273021E-2</v>
      </c>
      <c r="K25" s="250" t="str">
        <f>IFERROR(IF([2]running!R21=0,"",[2]running!R21),"")</f>
        <v/>
      </c>
      <c r="L25" s="250" t="str">
        <f>IFERROR(IF([2]running!S21=0,"",[2]running!S21),"")</f>
        <v/>
      </c>
      <c r="M25" s="250"/>
      <c r="N25" s="250">
        <f t="shared" ref="N25:N32" si="1">SUM(H25:M25)</f>
        <v>8.3067622662730212E-2</v>
      </c>
      <c r="O25" s="248" t="str">
        <f>IFERROR(IF([2]running!V21=0,"",[2]running!V21),"")</f>
        <v/>
      </c>
      <c r="P25" s="252" t="str">
        <f>IFERROR(IF([2]running!W21=0,"",[2]running!W21),"")</f>
        <v>Đơn vị hưởng phí dịch vụ eBanking</v>
      </c>
      <c r="Q25" s="252"/>
      <c r="R25" s="252" t="s">
        <v>4064</v>
      </c>
      <c r="S25" s="248" t="str">
        <f>IFERROR(IF([2]running!Y21=0,"",[2]running!Y21),"")</f>
        <v>- KHCN
- KHDN</v>
      </c>
      <c r="T25" s="248"/>
      <c r="U25" s="248" t="s">
        <v>4280</v>
      </c>
      <c r="V25" s="252" t="s">
        <v>4064</v>
      </c>
      <c r="W25" s="248" t="s">
        <v>100</v>
      </c>
      <c r="X25" s="248"/>
      <c r="Y25" s="248" t="s">
        <v>4255</v>
      </c>
      <c r="Z25" s="248" t="s">
        <v>4281</v>
      </c>
      <c r="AA25" s="254" t="s">
        <v>4637</v>
      </c>
      <c r="AB25" s="234" t="s">
        <v>4516</v>
      </c>
      <c r="AC25" s="234" t="s">
        <v>4516</v>
      </c>
      <c r="AD25" s="234" t="s">
        <v>4514</v>
      </c>
      <c r="AE25" s="234" t="s">
        <v>4517</v>
      </c>
    </row>
    <row r="26" spans="1:31" s="255" customFormat="1" ht="33.75" hidden="1" x14ac:dyDescent="0.25">
      <c r="A26" s="245" t="s">
        <v>4553</v>
      </c>
      <c r="B26" s="246">
        <v>12</v>
      </c>
      <c r="C26" s="247" t="str">
        <f>IFERROR(IF([2]running!H22=0,"",[2]running!H22),"")</f>
        <v>Triển khai công tác giám sát rủi ro giao dịch thẻ và NHĐT.</v>
      </c>
      <c r="D26" s="247" t="str">
        <f>IFERROR(IF([2]running!J22=0,"",[2]running!J22),"")</f>
        <v xml:space="preserve">Triển khai và duy trì thường xuyên hoạt động giám sát giao dịch thẻ và ngân hàng số phục vụ 24/7 </v>
      </c>
      <c r="E26" s="248" t="str">
        <f>IFERROR(IF([2]running!L22=0,"",[2]running!L22),"")</f>
        <v>Giám sát lỗi nhằm xử lý hoặc phối hợp xử lý, nâng cao chất lượng dịch vụ Giao dịch thẻ</v>
      </c>
      <c r="F26" s="248" t="str">
        <f>IFERROR(IF([2]running!M22=0,"",[2]running!M22),"")</f>
        <v>Số lượng giao dịch hit rule</v>
      </c>
      <c r="G26" s="249">
        <v>447900</v>
      </c>
      <c r="H26" s="250">
        <v>0.04</v>
      </c>
      <c r="I26" s="250">
        <v>0.02</v>
      </c>
      <c r="J26" s="250">
        <f>IFERROR(IF([2]running!Q22=0,"",[2]running!Q22),"")</f>
        <v>1.3805068166221103E-2</v>
      </c>
      <c r="K26" s="250" t="str">
        <f>IFERROR(IF([2]running!R22=0,"",[2]running!R22),"")</f>
        <v/>
      </c>
      <c r="L26" s="250" t="str">
        <f>IFERROR(IF([2]running!S22=0,"",[2]running!S22),"")</f>
        <v/>
      </c>
      <c r="M26" s="250">
        <v>0.01</v>
      </c>
      <c r="N26" s="250">
        <f t="shared" si="1"/>
        <v>8.3805068166221089E-2</v>
      </c>
      <c r="O26" s="248" t="str">
        <f>IFERROR(IF([2]running!V22=0,"",[2]running!V22),"")</f>
        <v/>
      </c>
      <c r="P26" s="252" t="str">
        <f>IFERROR(IF([2]running!W22=0,"",[2]running!W22),"")</f>
        <v>Đơn vị phát hành thẻ</v>
      </c>
      <c r="Q26" s="252"/>
      <c r="R26" s="252" t="s">
        <v>21</v>
      </c>
      <c r="S26" s="248" t="str">
        <f>IFERROR(IF([2]running!Y22=0,"",[2]running!Y22),"")</f>
        <v>- KHCN
- KHDN</v>
      </c>
      <c r="T26" s="248"/>
      <c r="U26" s="248" t="s">
        <v>4280</v>
      </c>
      <c r="V26" s="252" t="s">
        <v>21</v>
      </c>
      <c r="W26" s="248" t="s">
        <v>100</v>
      </c>
      <c r="X26" s="248"/>
      <c r="Y26" s="248" t="s">
        <v>4255</v>
      </c>
      <c r="Z26" s="248" t="s">
        <v>4281</v>
      </c>
      <c r="AA26" s="254" t="s">
        <v>4637</v>
      </c>
      <c r="AB26" s="234" t="s">
        <v>4516</v>
      </c>
      <c r="AC26" s="234" t="s">
        <v>4516</v>
      </c>
      <c r="AD26" s="234" t="s">
        <v>4514</v>
      </c>
      <c r="AE26" s="234" t="s">
        <v>4517</v>
      </c>
    </row>
    <row r="27" spans="1:31" s="255" customFormat="1" ht="33.75" hidden="1" x14ac:dyDescent="0.25">
      <c r="A27" s="245" t="s">
        <v>4554</v>
      </c>
      <c r="B27" s="246">
        <v>13</v>
      </c>
      <c r="C27" s="247" t="str">
        <f>IFERROR(IF([2]running!H23=0,"",[2]running!H23),"")</f>
        <v>Triển khai công tác giám sát rủi ro giao dịch thẻ và NHĐT.</v>
      </c>
      <c r="D27" s="247" t="str">
        <f>IFERROR(IF([2]running!J23=0,"",[2]running!J23),"")</f>
        <v xml:space="preserve">Triển khai và duy trì thường xuyên hoạt động giám sát giao dịch thẻ và ngân hàng số phục vụ 24/7 </v>
      </c>
      <c r="E27" s="248" t="str">
        <f>IFERROR(IF([2]running!L23=0,"",[2]running!L23),"")</f>
        <v>Giám sát lỗi nhằm xử lý hoặc phối hợp xử lý, nâng cao chất lượng dịch vụ Giao dịch ngân hàng điện tử</v>
      </c>
      <c r="F27" s="248" t="str">
        <f>IFERROR(IF([2]running!M23=0,"",[2]running!M23),"")</f>
        <v>Số lượng giao dịch hit rule</v>
      </c>
      <c r="G27" s="249">
        <v>107606</v>
      </c>
      <c r="H27" s="250">
        <f>IFERROR(IF([2]running!O23=0,"",[2]running!O23),"")</f>
        <v>4.2048000000000002E-2</v>
      </c>
      <c r="I27" s="250">
        <v>0.02</v>
      </c>
      <c r="J27" s="250">
        <v>0.01</v>
      </c>
      <c r="K27" s="250" t="str">
        <f>IFERROR(IF([2]running!R23=0,"",[2]running!R23),"")</f>
        <v/>
      </c>
      <c r="L27" s="250" t="str">
        <f>IFERROR(IF([2]running!S23=0,"",[2]running!S23),"")</f>
        <v/>
      </c>
      <c r="M27" s="250">
        <v>0.01</v>
      </c>
      <c r="N27" s="250">
        <f t="shared" si="1"/>
        <v>8.2047999999999996E-2</v>
      </c>
      <c r="O27" s="248" t="str">
        <f>IFERROR(IF([2]running!V23=0,"",[2]running!V23),"")</f>
        <v/>
      </c>
      <c r="P27" s="252" t="str">
        <f>IFERROR(IF([2]running!W23=0,"",[2]running!W23),"")</f>
        <v>Đơn vị hưởng phí dịch vụ eBanking</v>
      </c>
      <c r="Q27" s="252"/>
      <c r="R27" s="252" t="s">
        <v>4064</v>
      </c>
      <c r="S27" s="248" t="str">
        <f>IFERROR(IF([2]running!Y23=0,"",[2]running!Y23),"")</f>
        <v>- KHCN
- KHDN</v>
      </c>
      <c r="T27" s="248"/>
      <c r="U27" s="248" t="s">
        <v>4280</v>
      </c>
      <c r="V27" s="252" t="s">
        <v>4064</v>
      </c>
      <c r="W27" s="248" t="s">
        <v>100</v>
      </c>
      <c r="X27" s="248"/>
      <c r="Y27" s="248" t="s">
        <v>4255</v>
      </c>
      <c r="Z27" s="248" t="s">
        <v>4281</v>
      </c>
      <c r="AA27" s="254" t="s">
        <v>4637</v>
      </c>
      <c r="AB27" s="234" t="s">
        <v>4516</v>
      </c>
      <c r="AC27" s="234" t="s">
        <v>4516</v>
      </c>
      <c r="AD27" s="234" t="s">
        <v>4514</v>
      </c>
      <c r="AE27" s="234" t="s">
        <v>4517</v>
      </c>
    </row>
    <row r="28" spans="1:31" s="272" customFormat="1" ht="45" x14ac:dyDescent="0.25">
      <c r="A28" s="245" t="s">
        <v>4555</v>
      </c>
      <c r="B28" s="245">
        <v>14</v>
      </c>
      <c r="C28" s="254" t="str">
        <f>IFERROR(IF([2]running!H24=0,"",[2]running!H24),"")</f>
        <v>Triển khai công tác giám sát rủi ro giao dịch thẻ và NHĐT.</v>
      </c>
      <c r="D28" s="254" t="str">
        <f>IFERROR(IF([2]running!J24=0,"",[2]running!J24),"")</f>
        <v xml:space="preserve">Triển khai và duy trì thường xuyên hoạt động giám sát giao dịch thẻ và ngân hàng số phục vụ 24/7 </v>
      </c>
      <c r="E28" s="253" t="str">
        <f>IFERROR(IF([2]running!L24=0,"",[2]running!L24),"")</f>
        <v>Tiếp nhận các cuộc gọi vào số giám sát giao dịch (24/7) và hỗ trợ xử lý yêu cầu hoặc giải đáp thắc mắc của KH liên quan đến thẻ</v>
      </c>
      <c r="F28" s="253" t="s">
        <v>4650</v>
      </c>
      <c r="G28" s="297">
        <v>9114</v>
      </c>
      <c r="H28" s="298">
        <v>6.6666666666666666E-2</v>
      </c>
      <c r="I28" s="298">
        <v>1.4999999999999999E-2</v>
      </c>
      <c r="J28" s="298">
        <v>1.0000000000000002E-2</v>
      </c>
      <c r="K28" s="298" t="str">
        <f>IFERROR(IF([2]running!R24=0,"",[2]running!R24),"")</f>
        <v/>
      </c>
      <c r="L28" s="298" t="str">
        <f>IFERROR(IF([2]running!S24=0,"",[2]running!S24),"")</f>
        <v/>
      </c>
      <c r="M28" s="298"/>
      <c r="N28" s="298">
        <f t="shared" si="1"/>
        <v>9.1666666666666674E-2</v>
      </c>
      <c r="O28" s="253" t="str">
        <f>IFERROR(IF([2]running!V24=0,"",[2]running!V24),"")</f>
        <v/>
      </c>
      <c r="P28" s="251" t="s">
        <v>4649</v>
      </c>
      <c r="Q28" s="251"/>
      <c r="R28" s="251" t="s">
        <v>21</v>
      </c>
      <c r="S28" s="253" t="str">
        <f>IFERROR(IF([2]running!Y24=0,"",[2]running!Y24),"")</f>
        <v>- KHCN
- KHDN</v>
      </c>
      <c r="T28" s="253"/>
      <c r="U28" s="253" t="s">
        <v>4421</v>
      </c>
      <c r="V28" s="251" t="s">
        <v>21</v>
      </c>
      <c r="W28" s="253" t="s">
        <v>100</v>
      </c>
      <c r="X28" s="253"/>
      <c r="Y28" s="253" t="s">
        <v>4255</v>
      </c>
      <c r="Z28" s="253" t="s">
        <v>4468</v>
      </c>
      <c r="AA28" s="254" t="s">
        <v>4637</v>
      </c>
      <c r="AB28" s="234" t="s">
        <v>4516</v>
      </c>
      <c r="AC28" s="234" t="s">
        <v>4516</v>
      </c>
      <c r="AD28" s="234" t="s">
        <v>4514</v>
      </c>
      <c r="AE28" s="234" t="s">
        <v>4517</v>
      </c>
    </row>
    <row r="29" spans="1:31" s="255" customFormat="1" ht="45" hidden="1" x14ac:dyDescent="0.25">
      <c r="A29" s="245" t="s">
        <v>4556</v>
      </c>
      <c r="B29" s="246">
        <v>15</v>
      </c>
      <c r="C29" s="247" t="str">
        <f>IFERROR(IF([2]running!H25=0,"",[2]running!H25),"")</f>
        <v>Triển khai công tác giám sát rủi ro giao dịch thẻ và NHĐT.</v>
      </c>
      <c r="D29" s="247" t="str">
        <f>IFERROR(IF([2]running!J25=0,"",[2]running!J25),"")</f>
        <v xml:space="preserve">Triển khai và duy trì thường xuyên hoạt động giám sát giao dịch thẻ và ngân hàng số phục vụ 24/7 </v>
      </c>
      <c r="E29" s="248" t="str">
        <f>IFERROR(IF([2]running!L25=0,"",[2]running!L25),"")</f>
        <v>Tiếp nhận các cuộc gọi vào số giám sát giao dịch (24/7) và hỗ trợ xử lý yêu cầu hoặc giải đáp thắc mắc của KH liên quan đến ngân hàng điện tử</v>
      </c>
      <c r="F29" s="248" t="str">
        <f>IFERROR(IF([2]running!M25=0,"",[2]running!M25),"")</f>
        <v>Số lượng cuộc gọi vào</v>
      </c>
      <c r="G29" s="249">
        <v>3118</v>
      </c>
      <c r="H29" s="250">
        <v>6.6666666666666666E-2</v>
      </c>
      <c r="I29" s="250">
        <v>0.02</v>
      </c>
      <c r="J29" s="250">
        <v>5.000000000000001E-3</v>
      </c>
      <c r="K29" s="250" t="str">
        <f>IFERROR(IF([2]running!R25=0,"",[2]running!R25),"")</f>
        <v/>
      </c>
      <c r="L29" s="250" t="str">
        <f>IFERROR(IF([2]running!S25=0,"",[2]running!S25),"")</f>
        <v/>
      </c>
      <c r="M29" s="250"/>
      <c r="N29" s="250">
        <f t="shared" si="1"/>
        <v>9.1666666666666674E-2</v>
      </c>
      <c r="O29" s="248" t="str">
        <f>IFERROR(IF([2]running!V25=0,"",[2]running!V25),"")</f>
        <v/>
      </c>
      <c r="P29" s="252" t="str">
        <f>IFERROR(IF([2]running!W25=0,"",[2]running!W25),"")</f>
        <v>Đơn vị hưởng phí dịch vụ eBanking</v>
      </c>
      <c r="Q29" s="252"/>
      <c r="R29" s="252" t="s">
        <v>4064</v>
      </c>
      <c r="S29" s="248" t="str">
        <f>IFERROR(IF([2]running!Y25=0,"",[2]running!Y25),"")</f>
        <v>- KHCN
- KHDN</v>
      </c>
      <c r="T29" s="248"/>
      <c r="U29" s="248" t="s">
        <v>4421</v>
      </c>
      <c r="V29" s="252" t="s">
        <v>4064</v>
      </c>
      <c r="W29" s="248" t="s">
        <v>100</v>
      </c>
      <c r="X29" s="248"/>
      <c r="Y29" s="248" t="s">
        <v>4255</v>
      </c>
      <c r="Z29" s="248" t="s">
        <v>4468</v>
      </c>
      <c r="AA29" s="254" t="s">
        <v>4637</v>
      </c>
      <c r="AB29" s="234" t="s">
        <v>4516</v>
      </c>
      <c r="AC29" s="234" t="s">
        <v>4516</v>
      </c>
      <c r="AD29" s="234" t="s">
        <v>4514</v>
      </c>
      <c r="AE29" s="234" t="s">
        <v>4517</v>
      </c>
    </row>
    <row r="30" spans="1:31" s="255" customFormat="1" ht="56.25" hidden="1" x14ac:dyDescent="0.25">
      <c r="A30" s="245" t="s">
        <v>4557</v>
      </c>
      <c r="B30" s="246">
        <v>16</v>
      </c>
      <c r="C30" s="247" t="str">
        <f>IFERROR(IF([2]running!H26=0,"",[2]running!H26),"")</f>
        <v>Triển khai công tác giám sát rủi ro giao dịch thẻ và NHĐT.</v>
      </c>
      <c r="D30" s="247" t="str">
        <f>IFERROR(IF([2]running!J26=0,"",[2]running!J26),"")</f>
        <v xml:space="preserve">Triển khai và duy trì thường xuyên hoạt động giám sát giao dịch thẻ và ngân hàng số phục vụ 24/7 </v>
      </c>
      <c r="E30" s="248" t="str">
        <f>IFERROR(IF([2]running!L26=0,"",[2]running!L26),"")</f>
        <v>Tiếp nhận các cuộc gọi vào số hotline (1800, 1900) (từ 21h đến 07h sáng) và hỗ trợ xử lý yêu cầu hoặc giải đáp thắc mắc của KH liên quan đến Thẻ, NHĐT và các liên quan khác</v>
      </c>
      <c r="F30" s="248" t="str">
        <f>IFERROR(IF([2]running!M26=0,"",[2]running!M26),"")</f>
        <v>Số lượng cuộc gọi vào</v>
      </c>
      <c r="G30" s="249">
        <v>13660</v>
      </c>
      <c r="H30" s="250">
        <v>6.6666666666666666E-2</v>
      </c>
      <c r="I30" s="250">
        <v>2.5000000000000001E-2</v>
      </c>
      <c r="J30" s="250">
        <v>0.02</v>
      </c>
      <c r="K30" s="250" t="str">
        <f>IFERROR(IF([2]running!R26=0,"",[2]running!R26),"")</f>
        <v/>
      </c>
      <c r="L30" s="250" t="str">
        <f>IFERROR(IF([2]running!S26=0,"",[2]running!S26),"")</f>
        <v/>
      </c>
      <c r="M30" s="250" t="str">
        <f>IFERROR(IF([2]running!T26=0,"",[2]running!T26),"")</f>
        <v/>
      </c>
      <c r="N30" s="250">
        <f t="shared" si="1"/>
        <v>0.11166666666666668</v>
      </c>
      <c r="O30" s="248" t="str">
        <f>IFERROR(IF([2]running!V26=0,"",[2]running!V26),"")</f>
        <v/>
      </c>
      <c r="P30" s="252" t="s">
        <v>4200</v>
      </c>
      <c r="Q30" s="252"/>
      <c r="R30" s="252" t="s">
        <v>4283</v>
      </c>
      <c r="S30" s="248" t="str">
        <f>IFERROR(IF([2]running!Y26=0,"",[2]running!Y26),"")</f>
        <v>- KHCN
- KHDN</v>
      </c>
      <c r="T30" s="248"/>
      <c r="U30" s="248" t="s">
        <v>4284</v>
      </c>
      <c r="V30" s="248"/>
      <c r="W30" s="248"/>
      <c r="X30" s="248"/>
      <c r="Y30" s="248" t="s">
        <v>4255</v>
      </c>
      <c r="Z30" s="248" t="s">
        <v>4282</v>
      </c>
      <c r="AA30" s="254" t="s">
        <v>4637</v>
      </c>
      <c r="AB30" s="234" t="s">
        <v>4516</v>
      </c>
      <c r="AC30" s="234" t="s">
        <v>4516</v>
      </c>
      <c r="AD30" s="234" t="s">
        <v>4514</v>
      </c>
      <c r="AE30" s="234" t="s">
        <v>4515</v>
      </c>
    </row>
    <row r="31" spans="1:31" s="272" customFormat="1" ht="45" x14ac:dyDescent="0.25">
      <c r="A31" s="245" t="s">
        <v>4558</v>
      </c>
      <c r="B31" s="245">
        <v>17</v>
      </c>
      <c r="C31" s="254" t="str">
        <f>IFERROR(IF([2]running!H32=0,"",[2]running!H32),"")</f>
        <v>Triển khai công tác giám sát rủi ro giao dịch thẻ và NHĐT.</v>
      </c>
      <c r="D31" s="254" t="s">
        <v>4285</v>
      </c>
      <c r="E31" s="254" t="s">
        <v>4285</v>
      </c>
      <c r="F31" s="253" t="s">
        <v>171</v>
      </c>
      <c r="G31" s="297">
        <v>84394</v>
      </c>
      <c r="H31" s="298"/>
      <c r="I31" s="298">
        <v>0.03</v>
      </c>
      <c r="J31" s="298" t="str">
        <f>IFERROR(IF([2]running!Q30=0,"",[2]running!Q30),"")</f>
        <v/>
      </c>
      <c r="K31" s="298" t="str">
        <f>IFERROR(IF([2]running!R30=0,"",[2]running!R30),"")</f>
        <v/>
      </c>
      <c r="L31" s="298" t="str">
        <f>IFERROR(IF([2]running!S30=0,"",[2]running!S30),"")</f>
        <v/>
      </c>
      <c r="M31" s="298">
        <v>0.01</v>
      </c>
      <c r="N31" s="298">
        <f t="shared" si="1"/>
        <v>0.04</v>
      </c>
      <c r="O31" s="253" t="str">
        <f>IFERROR(IF([2]running!V30=0,"",[2]running!V30),"")</f>
        <v/>
      </c>
      <c r="P31" s="251" t="s">
        <v>164</v>
      </c>
      <c r="Q31" s="251"/>
      <c r="R31" s="251" t="s">
        <v>61</v>
      </c>
      <c r="S31" s="253" t="s">
        <v>4638</v>
      </c>
      <c r="T31" s="253"/>
      <c r="U31" s="253" t="s">
        <v>4286</v>
      </c>
      <c r="V31" s="253"/>
      <c r="W31" s="253"/>
      <c r="X31" s="253"/>
      <c r="Y31" s="253" t="s">
        <v>4255</v>
      </c>
      <c r="Z31" s="253" t="s">
        <v>4287</v>
      </c>
      <c r="AA31" s="254" t="s">
        <v>4637</v>
      </c>
      <c r="AB31" s="234" t="s">
        <v>4516</v>
      </c>
      <c r="AC31" s="234" t="s">
        <v>4516</v>
      </c>
      <c r="AD31" s="234" t="s">
        <v>4514</v>
      </c>
      <c r="AE31" s="234" t="s">
        <v>4517</v>
      </c>
    </row>
    <row r="32" spans="1:31" s="255" customFormat="1" ht="45" hidden="1" x14ac:dyDescent="0.25">
      <c r="A32" s="245" t="s">
        <v>4559</v>
      </c>
      <c r="B32" s="246">
        <v>18</v>
      </c>
      <c r="C32" s="247" t="str">
        <f>IFERROR(IF([2]running!H33=0,"",[2]running!H33),"")</f>
        <v>Triển khai công tác giám sát rủi ro giao dịch thẻ và NHĐT.</v>
      </c>
      <c r="D32" s="247" t="s">
        <v>4288</v>
      </c>
      <c r="E32" s="247" t="s">
        <v>4288</v>
      </c>
      <c r="F32" s="268" t="s">
        <v>165</v>
      </c>
      <c r="G32" s="249">
        <v>100</v>
      </c>
      <c r="H32" s="250"/>
      <c r="I32" s="250">
        <v>16</v>
      </c>
      <c r="J32" s="250" t="str">
        <f>IFERROR(IF([2]running!Q31=0,"",[2]running!Q31),"")</f>
        <v/>
      </c>
      <c r="K32" s="250" t="str">
        <f>IFERROR(IF([2]running!R31=0,"",[2]running!R31),"")</f>
        <v/>
      </c>
      <c r="L32" s="250" t="str">
        <f>IFERROR(IF([2]running!S31=0,"",[2]running!S31),"")</f>
        <v/>
      </c>
      <c r="M32" s="250">
        <v>1</v>
      </c>
      <c r="N32" s="250">
        <f t="shared" si="1"/>
        <v>17</v>
      </c>
      <c r="O32" s="248" t="str">
        <f>IFERROR(IF([2]running!V31=0,"",[2]running!V31),"")</f>
        <v/>
      </c>
      <c r="P32" s="252" t="s">
        <v>164</v>
      </c>
      <c r="Q32" s="252"/>
      <c r="R32" s="252" t="s">
        <v>61</v>
      </c>
      <c r="S32" s="248" t="s">
        <v>100</v>
      </c>
      <c r="T32" s="248"/>
      <c r="U32" s="248" t="s">
        <v>4289</v>
      </c>
      <c r="V32" s="248"/>
      <c r="W32" s="248"/>
      <c r="X32" s="248"/>
      <c r="Y32" s="248" t="s">
        <v>4255</v>
      </c>
      <c r="Z32" s="248" t="s">
        <v>4290</v>
      </c>
      <c r="AA32" s="254" t="s">
        <v>4637</v>
      </c>
      <c r="AB32" s="227" t="s">
        <v>4516</v>
      </c>
      <c r="AC32" s="227" t="s">
        <v>4516</v>
      </c>
      <c r="AD32" s="227" t="s">
        <v>4514</v>
      </c>
      <c r="AE32" s="227" t="s">
        <v>4517</v>
      </c>
    </row>
    <row r="33" spans="1:31" s="296" customFormat="1" ht="33.75" x14ac:dyDescent="0.25">
      <c r="A33" s="256" t="s">
        <v>4560</v>
      </c>
      <c r="B33" s="256">
        <v>19</v>
      </c>
      <c r="C33" s="264" t="str">
        <f>IFERROR(IF([2]running!H36=0,"",[2]running!H36),"")</f>
        <v>Xử lý tra soát, tranh chấp, bồi hoàn giao dịch Thẻ và NHĐT.</v>
      </c>
      <c r="D33" s="264" t="str">
        <f>IFERROR(IF([2]running!J36=0,"",[2]running!J36),"")</f>
        <v>Tiếp nhận và xử lý tra soát, tranh chấp, bồi hoàn giao dịch thẻ và ngân hàng số</v>
      </c>
      <c r="E33" s="267" t="s">
        <v>4291</v>
      </c>
      <c r="F33" s="267" t="s">
        <v>4292</v>
      </c>
      <c r="G33" s="294">
        <v>4126</v>
      </c>
      <c r="H33" s="295">
        <v>1</v>
      </c>
      <c r="I33" s="295">
        <v>3</v>
      </c>
      <c r="J33" s="295" t="str">
        <f>IFERROR(IF([2]running!Q36=0,"",[2]running!Q36),"")</f>
        <v/>
      </c>
      <c r="K33" s="295" t="str">
        <f>IFERROR(IF([2]running!R36=0,"",[2]running!R36),"")</f>
        <v/>
      </c>
      <c r="L33" s="295" t="str">
        <f>IFERROR(IF([2]running!S36=0,"",[2]running!S36),"")</f>
        <v/>
      </c>
      <c r="M33" s="295">
        <f>IFERROR(IF([2]running!T36=0,"",[2]running!T36),"")</f>
        <v>0.5</v>
      </c>
      <c r="N33" s="295">
        <f t="shared" ref="N33:N66" si="2">SUM(H33:M33)</f>
        <v>4.5</v>
      </c>
      <c r="O33" s="267" t="str">
        <f>IFERROR(IF([2]running!V36=0,"",[2]running!V36),"")</f>
        <v/>
      </c>
      <c r="P33" s="266" t="str">
        <f>IFERROR(IF([2]running!W36=0,"",[2]running!W36),"")</f>
        <v>Đơn vị phát hành thẻ</v>
      </c>
      <c r="Q33" s="266"/>
      <c r="R33" s="266" t="str">
        <f>IFERROR(IF([2]running!X36=0,"",[2]running!X36),"")</f>
        <v>Thẻ Mastercard, Visa</v>
      </c>
      <c r="S33" s="267" t="str">
        <f>IFERROR(IF([2]running!Y36=0,"",[2]running!Y36),"")</f>
        <v>- KHCN
- KHDN</v>
      </c>
      <c r="T33" s="267"/>
      <c r="U33" s="267" t="str">
        <f>IFERROR(IF([2]running!Z36=0,"",[2]running!Z36),"")</f>
        <v xml:space="preserve">Số lượng giao dịch tra soát </v>
      </c>
      <c r="V33" s="267"/>
      <c r="W33" s="267"/>
      <c r="X33" s="267"/>
      <c r="Y33" s="267" t="s">
        <v>4255</v>
      </c>
      <c r="Z33" s="267" t="s">
        <v>4293</v>
      </c>
      <c r="AA33" s="264" t="s">
        <v>4406</v>
      </c>
      <c r="AB33" s="234" t="s">
        <v>4516</v>
      </c>
      <c r="AC33" s="234" t="s">
        <v>4516</v>
      </c>
      <c r="AD33" s="234" t="s">
        <v>4514</v>
      </c>
      <c r="AE33" s="234" t="s">
        <v>4517</v>
      </c>
    </row>
    <row r="34" spans="1:31" s="265" customFormat="1" ht="33.75" hidden="1" x14ac:dyDescent="0.25">
      <c r="A34" s="256" t="s">
        <v>4561</v>
      </c>
      <c r="B34" s="257">
        <v>20</v>
      </c>
      <c r="C34" s="258" t="str">
        <f>IFERROR(IF([2]running!H37=0,"",[2]running!H37),"")</f>
        <v>Xử lý tra soát, tranh chấp, bồi hoàn giao dịch Thẻ và NHĐT.</v>
      </c>
      <c r="D34" s="258" t="str">
        <f>IFERROR(IF([2]running!J37=0,"",[2]running!J37),"")</f>
        <v>Tiếp nhận và xử lý tra soát, tranh chấp, bồi hoàn giao dịch thẻ và ngân hàng số</v>
      </c>
      <c r="E34" s="259" t="s">
        <v>4294</v>
      </c>
      <c r="F34" s="259" t="s">
        <v>4292</v>
      </c>
      <c r="G34" s="261">
        <v>508</v>
      </c>
      <c r="H34" s="262">
        <f>IFERROR(IF([2]running!O37=0,"",[2]running!O37),"")</f>
        <v>0.5</v>
      </c>
      <c r="I34" s="262">
        <f>IFERROR(IF([2]running!P37=0,"",[2]running!P37),"")</f>
        <v>0.08</v>
      </c>
      <c r="J34" s="262" t="str">
        <f>IFERROR(IF([2]running!Q37=0,"",[2]running!Q37),"")</f>
        <v/>
      </c>
      <c r="K34" s="262" t="str">
        <f>IFERROR(IF([2]running!R37=0,"",[2]running!R37),"")</f>
        <v/>
      </c>
      <c r="L34" s="262" t="str">
        <f>IFERROR(IF([2]running!S37=0,"",[2]running!S37),"")</f>
        <v/>
      </c>
      <c r="M34" s="262">
        <f>IFERROR(IF([2]running!T37=0,"",[2]running!T37),"")</f>
        <v>0.01</v>
      </c>
      <c r="N34" s="262">
        <f t="shared" si="2"/>
        <v>0.59</v>
      </c>
      <c r="O34" s="259" t="str">
        <f>IFERROR(IF([2]running!V37=0,"",[2]running!V37),"")</f>
        <v/>
      </c>
      <c r="P34" s="263" t="str">
        <f>IFERROR(IF([2]running!W37=0,"",[2]running!W37),"")</f>
        <v>Đơn vị phát hành thẻ</v>
      </c>
      <c r="Q34" s="263"/>
      <c r="R34" s="263" t="str">
        <f>IFERROR(IF([2]running!X37=0,"",[2]running!X37),"")</f>
        <v>Thẻ nội địa</v>
      </c>
      <c r="S34" s="259" t="str">
        <f>IFERROR(IF([2]running!Y37=0,"",[2]running!Y37),"")</f>
        <v>KHCN</v>
      </c>
      <c r="T34" s="259"/>
      <c r="U34" s="259" t="str">
        <f>IFERROR(IF([2]running!Z37=0,"",[2]running!Z37),"")</f>
        <v xml:space="preserve">Số lượng giao dịch tra soát </v>
      </c>
      <c r="V34" s="259"/>
      <c r="W34" s="259"/>
      <c r="X34" s="259"/>
      <c r="Y34" s="259" t="s">
        <v>4255</v>
      </c>
      <c r="Z34" s="259" t="s">
        <v>4293</v>
      </c>
      <c r="AA34" s="258" t="s">
        <v>4406</v>
      </c>
      <c r="AB34" s="227" t="s">
        <v>4516</v>
      </c>
      <c r="AC34" s="234" t="s">
        <v>4516</v>
      </c>
      <c r="AD34" s="227" t="s">
        <v>4514</v>
      </c>
      <c r="AE34" s="234" t="s">
        <v>4517</v>
      </c>
    </row>
    <row r="35" spans="1:31" s="265" customFormat="1" ht="33.75" hidden="1" x14ac:dyDescent="0.25">
      <c r="A35" s="256" t="s">
        <v>4562</v>
      </c>
      <c r="B35" s="257">
        <v>21</v>
      </c>
      <c r="C35" s="258" t="str">
        <f>IFERROR(IF([2]running!H38=0,"",[2]running!H38),"")</f>
        <v>Xử lý tra soát, tranh chấp, bồi hoàn giao dịch Thẻ và NHĐT.</v>
      </c>
      <c r="D35" s="258" t="str">
        <f>IFERROR(IF([2]running!J38=0,"",[2]running!J38),"")</f>
        <v>Tiếp nhận và xử lý tra soát, tranh chấp, bồi hoàn giao dịch thẻ và ngân hàng số</v>
      </c>
      <c r="E35" s="259" t="s">
        <v>4295</v>
      </c>
      <c r="F35" s="259" t="s">
        <v>4292</v>
      </c>
      <c r="G35" s="261">
        <v>1882</v>
      </c>
      <c r="H35" s="262">
        <f>IFERROR(IF([2]running!O38=0,"",[2]running!O38),"")</f>
        <v>0.6</v>
      </c>
      <c r="I35" s="262">
        <f>IFERROR(IF([2]running!P38=0,"",[2]running!P38),"")</f>
        <v>0.15</v>
      </c>
      <c r="J35" s="262" t="str">
        <f>IFERROR(IF([2]running!Q38=0,"",[2]running!Q38),"")</f>
        <v/>
      </c>
      <c r="K35" s="262" t="str">
        <f>IFERROR(IF([2]running!R38=0,"",[2]running!R38),"")</f>
        <v/>
      </c>
      <c r="L35" s="262" t="str">
        <f>IFERROR(IF([2]running!S38=0,"",[2]running!S38),"")</f>
        <v/>
      </c>
      <c r="M35" s="262">
        <f>IFERROR(IF([2]running!T38=0,"",[2]running!T38),"")</f>
        <v>0.03</v>
      </c>
      <c r="N35" s="262">
        <f t="shared" si="2"/>
        <v>0.78</v>
      </c>
      <c r="O35" s="259" t="str">
        <f>IFERROR(IF([2]running!V38=0,"",[2]running!V38),"")</f>
        <v/>
      </c>
      <c r="P35" s="263" t="str">
        <f>IFERROR(IF([2]running!W38=0,"",[2]running!W38),"")</f>
        <v>Đơn vị đặt máy ATM</v>
      </c>
      <c r="Q35" s="263"/>
      <c r="R35" s="263" t="s">
        <v>71</v>
      </c>
      <c r="S35" s="259" t="str">
        <f>IFERROR(IF([2]running!Y38=0,"",[2]running!Y38),"")</f>
        <v/>
      </c>
      <c r="T35" s="259"/>
      <c r="U35" s="259" t="str">
        <f>IFERROR(IF([2]running!Z38=0,"",[2]running!Z38),"")</f>
        <v xml:space="preserve">Số lượng giao dịch tra soát </v>
      </c>
      <c r="V35" s="259"/>
      <c r="W35" s="259"/>
      <c r="X35" s="259"/>
      <c r="Y35" s="259" t="s">
        <v>4255</v>
      </c>
      <c r="Z35" s="259" t="s">
        <v>4293</v>
      </c>
      <c r="AA35" s="258" t="s">
        <v>4406</v>
      </c>
      <c r="AB35" s="227" t="s">
        <v>4516</v>
      </c>
      <c r="AC35" s="234" t="s">
        <v>4516</v>
      </c>
      <c r="AD35" s="227" t="s">
        <v>4514</v>
      </c>
      <c r="AE35" s="234" t="s">
        <v>4517</v>
      </c>
    </row>
    <row r="36" spans="1:31" s="265" customFormat="1" ht="33.75" hidden="1" x14ac:dyDescent="0.25">
      <c r="A36" s="256" t="s">
        <v>4563</v>
      </c>
      <c r="B36" s="257">
        <v>22</v>
      </c>
      <c r="C36" s="258" t="str">
        <f>IFERROR(IF([2]running!H39=0,"",[2]running!H39),"")</f>
        <v>Xử lý tra soát, tranh chấp, bồi hoàn giao dịch Thẻ và NHĐT.</v>
      </c>
      <c r="D36" s="258" t="str">
        <f>IFERROR(IF([2]running!J39=0,"",[2]running!J39),"")</f>
        <v>Tiếp nhận và xử lý tra soát, tranh chấp, bồi hoàn giao dịch thẻ và ngân hàng số</v>
      </c>
      <c r="E36" s="259" t="s">
        <v>4296</v>
      </c>
      <c r="F36" s="259" t="s">
        <v>4292</v>
      </c>
      <c r="G36" s="261">
        <v>214</v>
      </c>
      <c r="H36" s="262">
        <v>0.8</v>
      </c>
      <c r="I36" s="262">
        <f>IFERROR(IF([2]running!P39=0,"",[2]running!P39),"")</f>
        <v>2.8</v>
      </c>
      <c r="J36" s="262" t="str">
        <f>IFERROR(IF([2]running!Q39=0,"",[2]running!Q39),"")</f>
        <v/>
      </c>
      <c r="K36" s="262" t="str">
        <f>IFERROR(IF([2]running!R39=0,"",[2]running!R39),"")</f>
        <v/>
      </c>
      <c r="L36" s="262" t="str">
        <f>IFERROR(IF([2]running!S39=0,"",[2]running!S39),"")</f>
        <v/>
      </c>
      <c r="M36" s="262">
        <f>IFERROR(IF([2]running!T39=0,"",[2]running!T39),"")</f>
        <v>0.5</v>
      </c>
      <c r="N36" s="262">
        <f t="shared" si="2"/>
        <v>4.0999999999999996</v>
      </c>
      <c r="O36" s="259" t="str">
        <f>IFERROR(IF([2]running!V39=0,"",[2]running!V39),"")</f>
        <v/>
      </c>
      <c r="P36" s="263" t="s">
        <v>164</v>
      </c>
      <c r="Q36" s="263"/>
      <c r="R36" s="263" t="s">
        <v>61</v>
      </c>
      <c r="S36" s="259" t="str">
        <f>IFERROR(IF([2]running!Y39=0,"",[2]running!Y39),"")</f>
        <v/>
      </c>
      <c r="T36" s="259"/>
      <c r="U36" s="259" t="str">
        <f>IFERROR(IF([2]running!Z39=0,"",[2]running!Z39),"")</f>
        <v xml:space="preserve">Số lượng giao dịch tra soát </v>
      </c>
      <c r="V36" s="259"/>
      <c r="W36" s="259"/>
      <c r="X36" s="259"/>
      <c r="Y36" s="259" t="s">
        <v>4255</v>
      </c>
      <c r="Z36" s="259" t="s">
        <v>4293</v>
      </c>
      <c r="AA36" s="258" t="s">
        <v>4406</v>
      </c>
      <c r="AB36" s="227" t="s">
        <v>4516</v>
      </c>
      <c r="AC36" s="234" t="s">
        <v>4516</v>
      </c>
      <c r="AD36" s="227" t="s">
        <v>4514</v>
      </c>
      <c r="AE36" s="234" t="s">
        <v>4517</v>
      </c>
    </row>
    <row r="37" spans="1:31" s="265" customFormat="1" ht="33.75" hidden="1" x14ac:dyDescent="0.25">
      <c r="A37" s="257" t="s">
        <v>4564</v>
      </c>
      <c r="B37" s="257">
        <v>23</v>
      </c>
      <c r="C37" s="258" t="str">
        <f>IFERROR(IF([2]running!H40=0,"",[2]running!H40),"")</f>
        <v>Xử lý tra soát, tranh chấp, bồi hoàn giao dịch Thẻ và NHĐT.</v>
      </c>
      <c r="D37" s="258" t="str">
        <f>IFERROR(IF([2]running!J40=0,"",[2]running!J40),"")</f>
        <v>Tiếp nhận và xử lý tra soát, tranh chấp, bồi hoàn giao dịch thẻ và ngân hàng số</v>
      </c>
      <c r="E37" s="259" t="s">
        <v>4297</v>
      </c>
      <c r="F37" s="259" t="s">
        <v>4292</v>
      </c>
      <c r="G37" s="261">
        <v>6462</v>
      </c>
      <c r="H37" s="262">
        <f>IFERROR(IF([2]running!O40=0,"",[2]running!O40),"")</f>
        <v>0.75</v>
      </c>
      <c r="I37" s="262">
        <f>IFERROR(IF([2]running!P40=0,"",[2]running!P40),"")</f>
        <v>0.03</v>
      </c>
      <c r="J37" s="262" t="str">
        <f>IFERROR(IF([2]running!Q40=0,"",[2]running!Q40),"")</f>
        <v/>
      </c>
      <c r="K37" s="262" t="str">
        <f>IFERROR(IF([2]running!R40=0,"",[2]running!R40),"")</f>
        <v/>
      </c>
      <c r="L37" s="262" t="str">
        <f>IFERROR(IF([2]running!S40=0,"",[2]running!S40),"")</f>
        <v/>
      </c>
      <c r="M37" s="262">
        <f>IFERROR(IF([2]running!T40=0,"",[2]running!T40),"")</f>
        <v>4.2000000000000003E-2</v>
      </c>
      <c r="N37" s="262">
        <f t="shared" si="2"/>
        <v>0.82200000000000006</v>
      </c>
      <c r="O37" s="267" t="str">
        <f>IFERROR(IF([2]running!V40=0,"",[2]running!V40),"")</f>
        <v/>
      </c>
      <c r="P37" s="263" t="str">
        <f>IFERROR(IF([2]running!W40=0,"",[2]running!W40),"")</f>
        <v>Đơn vị hưởng phí dịch vụ eBanking</v>
      </c>
      <c r="Q37" s="263"/>
      <c r="R37" s="263" t="str">
        <f>IFERROR(IF([2]running!X40=0,"",[2]running!X40),"")</f>
        <v>Dịch vụ eBanking</v>
      </c>
      <c r="S37" s="259" t="s">
        <v>100</v>
      </c>
      <c r="T37" s="259"/>
      <c r="U37" s="259" t="str">
        <f>IFERROR(IF([2]running!Z40=0,"",[2]running!Z40),"")</f>
        <v xml:space="preserve">Số lượng giao dịch tra soát </v>
      </c>
      <c r="V37" s="259"/>
      <c r="W37" s="259"/>
      <c r="X37" s="259"/>
      <c r="Y37" s="259" t="s">
        <v>4255</v>
      </c>
      <c r="Z37" s="259" t="s">
        <v>4293</v>
      </c>
      <c r="AA37" s="258" t="s">
        <v>4406</v>
      </c>
      <c r="AB37" s="227" t="s">
        <v>4516</v>
      </c>
      <c r="AC37" s="227" t="s">
        <v>4516</v>
      </c>
      <c r="AD37" s="227" t="s">
        <v>4514</v>
      </c>
      <c r="AE37" s="227" t="s">
        <v>4517</v>
      </c>
    </row>
    <row r="38" spans="1:31" s="265" customFormat="1" ht="33.75" hidden="1" x14ac:dyDescent="0.25">
      <c r="A38" s="256" t="s">
        <v>4565</v>
      </c>
      <c r="B38" s="257">
        <v>24</v>
      </c>
      <c r="C38" s="258" t="str">
        <f>IFERROR(IF([2]running!H41=0,"",[2]running!H41),"")</f>
        <v>Xử lý tra soát, tranh chấp, bồi hoàn giao dịch Thẻ và NHĐT.</v>
      </c>
      <c r="D38" s="258" t="str">
        <f>IFERROR(IF([2]running!J40=0,"",[2]running!J40),"")</f>
        <v>Tiếp nhận và xử lý tra soát, tranh chấp, bồi hoàn giao dịch thẻ và ngân hàng số</v>
      </c>
      <c r="E38" s="259" t="s">
        <v>4298</v>
      </c>
      <c r="F38" s="259" t="s">
        <v>4292</v>
      </c>
      <c r="G38" s="261">
        <v>1118</v>
      </c>
      <c r="H38" s="262">
        <v>0.75</v>
      </c>
      <c r="I38" s="262">
        <v>0.03</v>
      </c>
      <c r="J38" s="262" t="s">
        <v>4066</v>
      </c>
      <c r="K38" s="262" t="s">
        <v>4066</v>
      </c>
      <c r="L38" s="262" t="s">
        <v>4066</v>
      </c>
      <c r="M38" s="262">
        <v>4.2000000000000003E-2</v>
      </c>
      <c r="N38" s="262">
        <f t="shared" si="2"/>
        <v>0.82200000000000006</v>
      </c>
      <c r="O38" s="259" t="str">
        <f>IFERROR(IF([2]running!V41=0,"",[2]running!V41),"")</f>
        <v/>
      </c>
      <c r="P38" s="263" t="s">
        <v>4299</v>
      </c>
      <c r="Q38" s="263"/>
      <c r="R38" s="263" t="s">
        <v>107</v>
      </c>
      <c r="S38" s="259" t="str">
        <f>IFERROR(IF([2]running!Y41=0,"",[2]running!Y41),"")</f>
        <v/>
      </c>
      <c r="T38" s="259"/>
      <c r="U38" s="259" t="s">
        <v>106</v>
      </c>
      <c r="V38" s="259"/>
      <c r="W38" s="259"/>
      <c r="X38" s="259"/>
      <c r="Y38" s="259" t="s">
        <v>4255</v>
      </c>
      <c r="Z38" s="259" t="s">
        <v>4293</v>
      </c>
      <c r="AA38" s="258" t="s">
        <v>4406</v>
      </c>
      <c r="AB38" s="227" t="s">
        <v>4516</v>
      </c>
      <c r="AC38" s="234" t="s">
        <v>4516</v>
      </c>
      <c r="AD38" s="227" t="s">
        <v>4514</v>
      </c>
      <c r="AE38" s="234" t="s">
        <v>4517</v>
      </c>
    </row>
    <row r="39" spans="1:31" s="255" customFormat="1" ht="33.75" hidden="1" x14ac:dyDescent="0.25">
      <c r="A39" s="246" t="s">
        <v>4566</v>
      </c>
      <c r="B39" s="246">
        <v>25</v>
      </c>
      <c r="C39" s="247" t="s">
        <v>4300</v>
      </c>
      <c r="D39" s="247" t="s">
        <v>4301</v>
      </c>
      <c r="E39" s="248" t="s">
        <v>4301</v>
      </c>
      <c r="F39" s="248" t="s">
        <v>402</v>
      </c>
      <c r="G39" s="249">
        <v>288</v>
      </c>
      <c r="H39" s="250">
        <v>3</v>
      </c>
      <c r="I39" s="250">
        <v>2</v>
      </c>
      <c r="J39" s="250">
        <v>1</v>
      </c>
      <c r="K39" s="250" t="s">
        <v>4066</v>
      </c>
      <c r="L39" s="250" t="s">
        <v>4066</v>
      </c>
      <c r="M39" s="250"/>
      <c r="N39" s="250">
        <f t="shared" si="2"/>
        <v>6</v>
      </c>
      <c r="O39" s="248" t="s">
        <v>4066</v>
      </c>
      <c r="P39" s="252" t="s">
        <v>120</v>
      </c>
      <c r="Q39" s="252"/>
      <c r="R39" s="252" t="s">
        <v>4302</v>
      </c>
      <c r="S39" s="248" t="s">
        <v>100</v>
      </c>
      <c r="T39" s="248"/>
      <c r="U39" s="248" t="s">
        <v>4303</v>
      </c>
      <c r="V39" s="248"/>
      <c r="W39" s="248"/>
      <c r="X39" s="248"/>
      <c r="Y39" s="248" t="s">
        <v>4304</v>
      </c>
      <c r="Z39" s="248" t="s">
        <v>4305</v>
      </c>
      <c r="AA39" s="247" t="s">
        <v>4407</v>
      </c>
      <c r="AB39" s="227" t="s">
        <v>4520</v>
      </c>
      <c r="AC39" s="227" t="s">
        <v>4303</v>
      </c>
      <c r="AD39" s="269"/>
      <c r="AE39" s="270"/>
    </row>
    <row r="40" spans="1:31" s="255" customFormat="1" ht="45" hidden="1" x14ac:dyDescent="0.25">
      <c r="A40" s="246" t="s">
        <v>4567</v>
      </c>
      <c r="B40" s="246">
        <v>26</v>
      </c>
      <c r="C40" s="247" t="s">
        <v>4300</v>
      </c>
      <c r="D40" s="247" t="s">
        <v>4306</v>
      </c>
      <c r="E40" s="248" t="s">
        <v>4306</v>
      </c>
      <c r="F40" s="248" t="s">
        <v>402</v>
      </c>
      <c r="G40" s="249">
        <v>288</v>
      </c>
      <c r="H40" s="250">
        <v>4</v>
      </c>
      <c r="I40" s="250">
        <v>2</v>
      </c>
      <c r="J40" s="250">
        <v>1</v>
      </c>
      <c r="K40" s="250" t="s">
        <v>4066</v>
      </c>
      <c r="L40" s="250" t="s">
        <v>4066</v>
      </c>
      <c r="M40" s="250"/>
      <c r="N40" s="250">
        <f t="shared" si="2"/>
        <v>7</v>
      </c>
      <c r="O40" s="248" t="s">
        <v>4066</v>
      </c>
      <c r="P40" s="252" t="s">
        <v>120</v>
      </c>
      <c r="Q40" s="252"/>
      <c r="R40" s="252" t="s">
        <v>4307</v>
      </c>
      <c r="S40" s="248" t="s">
        <v>100</v>
      </c>
      <c r="T40" s="248"/>
      <c r="U40" s="248" t="s">
        <v>4308</v>
      </c>
      <c r="V40" s="248"/>
      <c r="W40" s="248"/>
      <c r="X40" s="248"/>
      <c r="Y40" s="248" t="s">
        <v>4304</v>
      </c>
      <c r="Z40" s="248" t="s">
        <v>4305</v>
      </c>
      <c r="AA40" s="247" t="s">
        <v>4409</v>
      </c>
      <c r="AB40" s="227" t="s">
        <v>4520</v>
      </c>
      <c r="AC40" s="227" t="s">
        <v>4308</v>
      </c>
      <c r="AD40" s="269"/>
      <c r="AE40" s="270"/>
    </row>
    <row r="41" spans="1:31" s="255" customFormat="1" ht="63.95" hidden="1" customHeight="1" x14ac:dyDescent="0.25">
      <c r="A41" s="246" t="s">
        <v>4568</v>
      </c>
      <c r="B41" s="246">
        <v>27</v>
      </c>
      <c r="C41" s="247" t="s">
        <v>4300</v>
      </c>
      <c r="D41" s="247" t="s">
        <v>4422</v>
      </c>
      <c r="E41" s="248" t="s">
        <v>4382</v>
      </c>
      <c r="F41" s="248" t="s">
        <v>402</v>
      </c>
      <c r="G41" s="249">
        <v>288</v>
      </c>
      <c r="H41" s="250">
        <v>2</v>
      </c>
      <c r="I41" s="250">
        <v>1</v>
      </c>
      <c r="J41" s="250">
        <v>1</v>
      </c>
      <c r="K41" s="250" t="s">
        <v>4066</v>
      </c>
      <c r="L41" s="250" t="s">
        <v>4066</v>
      </c>
      <c r="M41" s="250"/>
      <c r="N41" s="250">
        <f t="shared" si="2"/>
        <v>4</v>
      </c>
      <c r="O41" s="248" t="s">
        <v>4066</v>
      </c>
      <c r="P41" s="252" t="s">
        <v>117</v>
      </c>
      <c r="Q41" s="252"/>
      <c r="R41" s="252" t="s">
        <v>71</v>
      </c>
      <c r="S41" s="248"/>
      <c r="T41" s="248"/>
      <c r="U41" s="248" t="s">
        <v>4423</v>
      </c>
      <c r="V41" s="248"/>
      <c r="W41" s="248"/>
      <c r="X41" s="248"/>
      <c r="Y41" s="248" t="s">
        <v>4304</v>
      </c>
      <c r="Z41" s="248" t="s">
        <v>4305</v>
      </c>
      <c r="AA41" s="247" t="s">
        <v>4408</v>
      </c>
      <c r="AB41" s="227" t="s">
        <v>4520</v>
      </c>
      <c r="AC41" s="227" t="s">
        <v>4521</v>
      </c>
      <c r="AD41" s="269"/>
      <c r="AE41" s="270"/>
    </row>
    <row r="42" spans="1:31" s="255" customFormat="1" ht="33.75" hidden="1" x14ac:dyDescent="0.25">
      <c r="A42" s="246" t="s">
        <v>4569</v>
      </c>
      <c r="B42" s="246">
        <v>28</v>
      </c>
      <c r="C42" s="247" t="s">
        <v>4300</v>
      </c>
      <c r="D42" s="247" t="s">
        <v>4309</v>
      </c>
      <c r="E42" s="248" t="s">
        <v>4309</v>
      </c>
      <c r="F42" s="248" t="s">
        <v>402</v>
      </c>
      <c r="G42" s="249">
        <v>288</v>
      </c>
      <c r="H42" s="250">
        <v>2</v>
      </c>
      <c r="I42" s="250">
        <v>1</v>
      </c>
      <c r="J42" s="250">
        <v>0.5</v>
      </c>
      <c r="K42" s="250" t="s">
        <v>4066</v>
      </c>
      <c r="L42" s="250" t="s">
        <v>4066</v>
      </c>
      <c r="M42" s="250"/>
      <c r="N42" s="250">
        <f t="shared" si="2"/>
        <v>3.5</v>
      </c>
      <c r="O42" s="248" t="s">
        <v>4066</v>
      </c>
      <c r="P42" s="252" t="s">
        <v>120</v>
      </c>
      <c r="Q42" s="252"/>
      <c r="R42" s="252" t="s">
        <v>119</v>
      </c>
      <c r="S42" s="248" t="s">
        <v>41</v>
      </c>
      <c r="T42" s="248"/>
      <c r="U42" s="248" t="s">
        <v>4310</v>
      </c>
      <c r="V42" s="248"/>
      <c r="W42" s="248"/>
      <c r="X42" s="248"/>
      <c r="Y42" s="248" t="s">
        <v>4304</v>
      </c>
      <c r="Z42" s="248" t="s">
        <v>4305</v>
      </c>
      <c r="AA42" s="247" t="s">
        <v>4410</v>
      </c>
      <c r="AB42" s="227" t="s">
        <v>4520</v>
      </c>
      <c r="AC42" s="227" t="s">
        <v>4310</v>
      </c>
      <c r="AD42" s="269"/>
      <c r="AE42" s="270"/>
    </row>
    <row r="43" spans="1:31" s="255" customFormat="1" ht="33.75" hidden="1" x14ac:dyDescent="0.25">
      <c r="A43" s="246" t="s">
        <v>4570</v>
      </c>
      <c r="B43" s="246">
        <v>29</v>
      </c>
      <c r="C43" s="247" t="s">
        <v>4300</v>
      </c>
      <c r="D43" s="247" t="s">
        <v>4309</v>
      </c>
      <c r="E43" s="248" t="s">
        <v>4383</v>
      </c>
      <c r="F43" s="248" t="s">
        <v>402</v>
      </c>
      <c r="G43" s="249">
        <v>288</v>
      </c>
      <c r="H43" s="250">
        <v>2</v>
      </c>
      <c r="I43" s="250">
        <v>1</v>
      </c>
      <c r="J43" s="250">
        <v>0.5</v>
      </c>
      <c r="K43" s="250" t="s">
        <v>4066</v>
      </c>
      <c r="L43" s="250" t="s">
        <v>4066</v>
      </c>
      <c r="M43" s="250"/>
      <c r="N43" s="250">
        <f t="shared" si="2"/>
        <v>3.5</v>
      </c>
      <c r="O43" s="248" t="s">
        <v>4066</v>
      </c>
      <c r="P43" s="252" t="s">
        <v>117</v>
      </c>
      <c r="Q43" s="252"/>
      <c r="R43" s="252" t="s">
        <v>71</v>
      </c>
      <c r="S43" s="248"/>
      <c r="T43" s="248"/>
      <c r="U43" s="248" t="s">
        <v>4424</v>
      </c>
      <c r="V43" s="248"/>
      <c r="W43" s="248"/>
      <c r="X43" s="248"/>
      <c r="Y43" s="248" t="s">
        <v>4304</v>
      </c>
      <c r="Z43" s="248" t="s">
        <v>4305</v>
      </c>
      <c r="AA43" s="247" t="s">
        <v>4408</v>
      </c>
      <c r="AB43" s="227" t="s">
        <v>4520</v>
      </c>
      <c r="AC43" s="227" t="s">
        <v>4424</v>
      </c>
      <c r="AD43" s="269"/>
      <c r="AE43" s="270"/>
    </row>
    <row r="44" spans="1:31" s="255" customFormat="1" ht="45" hidden="1" x14ac:dyDescent="0.25">
      <c r="A44" s="246" t="s">
        <v>4571</v>
      </c>
      <c r="B44" s="246">
        <v>30</v>
      </c>
      <c r="C44" s="247" t="s">
        <v>4300</v>
      </c>
      <c r="D44" s="247" t="s">
        <v>4311</v>
      </c>
      <c r="E44" s="248" t="s">
        <v>4312</v>
      </c>
      <c r="F44" s="248" t="s">
        <v>402</v>
      </c>
      <c r="G44" s="249">
        <v>576</v>
      </c>
      <c r="H44" s="250">
        <v>2.5</v>
      </c>
      <c r="I44" s="250">
        <v>1</v>
      </c>
      <c r="J44" s="250">
        <v>0.5</v>
      </c>
      <c r="K44" s="250" t="s">
        <v>4066</v>
      </c>
      <c r="L44" s="250" t="s">
        <v>4066</v>
      </c>
      <c r="M44" s="250"/>
      <c r="N44" s="250">
        <f t="shared" si="2"/>
        <v>4</v>
      </c>
      <c r="O44" s="248" t="s">
        <v>4066</v>
      </c>
      <c r="P44" s="252" t="s">
        <v>164</v>
      </c>
      <c r="Q44" s="252"/>
      <c r="R44" s="252" t="s">
        <v>61</v>
      </c>
      <c r="S44" s="248" t="s">
        <v>100</v>
      </c>
      <c r="T44" s="248"/>
      <c r="U44" s="248" t="s">
        <v>4313</v>
      </c>
      <c r="V44" s="248"/>
      <c r="W44" s="248"/>
      <c r="X44" s="248"/>
      <c r="Y44" s="248" t="s">
        <v>4304</v>
      </c>
      <c r="Z44" s="248" t="s">
        <v>4305</v>
      </c>
      <c r="AA44" s="247" t="s">
        <v>4411</v>
      </c>
      <c r="AB44" s="227" t="s">
        <v>4520</v>
      </c>
      <c r="AC44" s="227" t="s">
        <v>4522</v>
      </c>
      <c r="AD44" s="269"/>
      <c r="AE44" s="270"/>
    </row>
    <row r="45" spans="1:31" s="272" customFormat="1" ht="33.75" hidden="1" x14ac:dyDescent="0.25">
      <c r="A45" s="246" t="s">
        <v>4572</v>
      </c>
      <c r="B45" s="246">
        <v>31</v>
      </c>
      <c r="C45" s="247" t="s">
        <v>4300</v>
      </c>
      <c r="D45" s="247" t="s">
        <v>4314</v>
      </c>
      <c r="E45" s="248" t="s">
        <v>4384</v>
      </c>
      <c r="F45" s="248" t="s">
        <v>402</v>
      </c>
      <c r="G45" s="249">
        <v>288</v>
      </c>
      <c r="H45" s="250">
        <v>1</v>
      </c>
      <c r="I45" s="250">
        <v>0.5</v>
      </c>
      <c r="J45" s="250">
        <v>0.3</v>
      </c>
      <c r="K45" s="250" t="s">
        <v>4066</v>
      </c>
      <c r="L45" s="250" t="s">
        <v>4066</v>
      </c>
      <c r="M45" s="250"/>
      <c r="N45" s="250">
        <f t="shared" si="2"/>
        <v>1.8</v>
      </c>
      <c r="O45" s="248" t="s">
        <v>4066</v>
      </c>
      <c r="P45" s="252" t="s">
        <v>108</v>
      </c>
      <c r="Q45" s="252"/>
      <c r="R45" s="252" t="s">
        <v>107</v>
      </c>
      <c r="S45" s="248"/>
      <c r="T45" s="248"/>
      <c r="U45" s="248" t="s">
        <v>4418</v>
      </c>
      <c r="V45" s="248"/>
      <c r="W45" s="248"/>
      <c r="X45" s="248"/>
      <c r="Y45" s="248" t="s">
        <v>4304</v>
      </c>
      <c r="Z45" s="248" t="s">
        <v>4305</v>
      </c>
      <c r="AA45" s="247" t="s">
        <v>4412</v>
      </c>
      <c r="AB45" s="227" t="s">
        <v>4520</v>
      </c>
      <c r="AC45" s="227" t="s">
        <v>4418</v>
      </c>
      <c r="AD45" s="271"/>
      <c r="AE45" s="237"/>
    </row>
    <row r="46" spans="1:31" s="272" customFormat="1" ht="33.75" hidden="1" x14ac:dyDescent="0.25">
      <c r="A46" s="246" t="s">
        <v>4573</v>
      </c>
      <c r="B46" s="246">
        <v>32</v>
      </c>
      <c r="C46" s="247" t="s">
        <v>4300</v>
      </c>
      <c r="D46" s="247" t="s">
        <v>4314</v>
      </c>
      <c r="E46" s="248" t="s">
        <v>4385</v>
      </c>
      <c r="F46" s="248" t="s">
        <v>402</v>
      </c>
      <c r="G46" s="249">
        <v>288</v>
      </c>
      <c r="H46" s="250">
        <v>1</v>
      </c>
      <c r="I46" s="250">
        <v>0.5</v>
      </c>
      <c r="J46" s="250">
        <v>0.3</v>
      </c>
      <c r="K46" s="250" t="s">
        <v>4066</v>
      </c>
      <c r="L46" s="250" t="s">
        <v>4066</v>
      </c>
      <c r="M46" s="250"/>
      <c r="N46" s="250">
        <f t="shared" si="2"/>
        <v>1.8</v>
      </c>
      <c r="O46" s="248" t="s">
        <v>4066</v>
      </c>
      <c r="P46" s="252" t="s">
        <v>108</v>
      </c>
      <c r="Q46" s="252"/>
      <c r="R46" s="252" t="s">
        <v>107</v>
      </c>
      <c r="S46" s="248"/>
      <c r="T46" s="248"/>
      <c r="U46" s="248" t="s">
        <v>4417</v>
      </c>
      <c r="V46" s="248"/>
      <c r="W46" s="248"/>
      <c r="X46" s="248"/>
      <c r="Y46" s="248" t="s">
        <v>4304</v>
      </c>
      <c r="Z46" s="248" t="s">
        <v>4305</v>
      </c>
      <c r="AA46" s="247" t="s">
        <v>4413</v>
      </c>
      <c r="AB46" s="227" t="s">
        <v>4520</v>
      </c>
      <c r="AC46" s="227" t="s">
        <v>4417</v>
      </c>
      <c r="AD46" s="271"/>
      <c r="AE46" s="237"/>
    </row>
    <row r="47" spans="1:31" s="272" customFormat="1" ht="33.75" hidden="1" x14ac:dyDescent="0.25">
      <c r="A47" s="246" t="s">
        <v>4574</v>
      </c>
      <c r="B47" s="246">
        <v>33</v>
      </c>
      <c r="C47" s="247" t="s">
        <v>4300</v>
      </c>
      <c r="D47" s="247" t="s">
        <v>4314</v>
      </c>
      <c r="E47" s="248" t="s">
        <v>4386</v>
      </c>
      <c r="F47" s="248" t="s">
        <v>402</v>
      </c>
      <c r="G47" s="249">
        <v>288</v>
      </c>
      <c r="H47" s="250">
        <v>2</v>
      </c>
      <c r="I47" s="250">
        <v>1</v>
      </c>
      <c r="J47" s="250">
        <v>0.5</v>
      </c>
      <c r="K47" s="250" t="s">
        <v>4066</v>
      </c>
      <c r="L47" s="250" t="s">
        <v>4066</v>
      </c>
      <c r="M47" s="250"/>
      <c r="N47" s="250">
        <f t="shared" si="2"/>
        <v>3.5</v>
      </c>
      <c r="O47" s="248" t="s">
        <v>4066</v>
      </c>
      <c r="P47" s="252" t="s">
        <v>108</v>
      </c>
      <c r="Q47" s="252"/>
      <c r="R47" s="252" t="s">
        <v>107</v>
      </c>
      <c r="S47" s="248"/>
      <c r="T47" s="248"/>
      <c r="U47" s="248" t="s">
        <v>4419</v>
      </c>
      <c r="V47" s="248"/>
      <c r="W47" s="248"/>
      <c r="X47" s="248"/>
      <c r="Y47" s="248" t="s">
        <v>4304</v>
      </c>
      <c r="Z47" s="248" t="s">
        <v>4305</v>
      </c>
      <c r="AA47" s="247" t="s">
        <v>4414</v>
      </c>
      <c r="AB47" s="227" t="s">
        <v>4520</v>
      </c>
      <c r="AC47" s="227" t="s">
        <v>4419</v>
      </c>
      <c r="AD47" s="271"/>
      <c r="AE47" s="237"/>
    </row>
    <row r="48" spans="1:31" s="272" customFormat="1" ht="29.1" hidden="1" customHeight="1" x14ac:dyDescent="0.25">
      <c r="A48" s="246" t="s">
        <v>4575</v>
      </c>
      <c r="B48" s="246">
        <v>34</v>
      </c>
      <c r="C48" s="247" t="s">
        <v>4300</v>
      </c>
      <c r="D48" s="247" t="s">
        <v>4314</v>
      </c>
      <c r="E48" s="248" t="s">
        <v>4387</v>
      </c>
      <c r="F48" s="248" t="s">
        <v>402</v>
      </c>
      <c r="G48" s="249">
        <v>288</v>
      </c>
      <c r="H48" s="250">
        <v>2</v>
      </c>
      <c r="I48" s="250">
        <v>1</v>
      </c>
      <c r="J48" s="250">
        <v>0.5</v>
      </c>
      <c r="K48" s="250" t="s">
        <v>4066</v>
      </c>
      <c r="L48" s="250" t="s">
        <v>4066</v>
      </c>
      <c r="M48" s="250"/>
      <c r="N48" s="250">
        <f t="shared" si="2"/>
        <v>3.5</v>
      </c>
      <c r="O48" s="248" t="s">
        <v>4066</v>
      </c>
      <c r="P48" s="252" t="s">
        <v>108</v>
      </c>
      <c r="Q48" s="252"/>
      <c r="R48" s="252" t="s">
        <v>107</v>
      </c>
      <c r="S48" s="248"/>
      <c r="T48" s="248"/>
      <c r="U48" s="248" t="s">
        <v>4419</v>
      </c>
      <c r="V48" s="248"/>
      <c r="W48" s="248"/>
      <c r="X48" s="248"/>
      <c r="Y48" s="248" t="s">
        <v>4304</v>
      </c>
      <c r="Z48" s="248" t="s">
        <v>4305</v>
      </c>
      <c r="AA48" s="247" t="s">
        <v>4415</v>
      </c>
      <c r="AB48" s="227" t="s">
        <v>4520</v>
      </c>
      <c r="AC48" s="227" t="s">
        <v>4419</v>
      </c>
      <c r="AD48" s="271"/>
      <c r="AE48" s="237"/>
    </row>
    <row r="49" spans="1:31" s="272" customFormat="1" ht="28.5" hidden="1" customHeight="1" x14ac:dyDescent="0.25">
      <c r="A49" s="246" t="s">
        <v>4576</v>
      </c>
      <c r="B49" s="246">
        <v>35</v>
      </c>
      <c r="C49" s="247" t="s">
        <v>4300</v>
      </c>
      <c r="D49" s="247" t="s">
        <v>4315</v>
      </c>
      <c r="E49" s="248" t="s">
        <v>4388</v>
      </c>
      <c r="F49" s="248" t="s">
        <v>402</v>
      </c>
      <c r="G49" s="249">
        <v>12</v>
      </c>
      <c r="H49" s="250">
        <v>16</v>
      </c>
      <c r="I49" s="250">
        <v>10</v>
      </c>
      <c r="J49" s="250">
        <v>3</v>
      </c>
      <c r="K49" s="250" t="s">
        <v>4066</v>
      </c>
      <c r="L49" s="250" t="s">
        <v>4066</v>
      </c>
      <c r="M49" s="250" t="s">
        <v>4066</v>
      </c>
      <c r="N49" s="250">
        <f t="shared" si="2"/>
        <v>29</v>
      </c>
      <c r="O49" s="248" t="s">
        <v>4066</v>
      </c>
      <c r="P49" s="252" t="s">
        <v>108</v>
      </c>
      <c r="Q49" s="252"/>
      <c r="R49" s="252" t="s">
        <v>107</v>
      </c>
      <c r="S49" s="248"/>
      <c r="T49" s="248"/>
      <c r="U49" s="248" t="s">
        <v>4419</v>
      </c>
      <c r="V49" s="248"/>
      <c r="W49" s="248"/>
      <c r="X49" s="248"/>
      <c r="Y49" s="248" t="s">
        <v>4304</v>
      </c>
      <c r="Z49" s="248" t="s">
        <v>4316</v>
      </c>
      <c r="AA49" s="247" t="s">
        <v>4416</v>
      </c>
      <c r="AB49" s="234" t="s">
        <v>4639</v>
      </c>
      <c r="AC49" s="227" t="s">
        <v>4419</v>
      </c>
      <c r="AD49" s="228"/>
      <c r="AE49" s="237"/>
    </row>
    <row r="50" spans="1:31" s="272" customFormat="1" ht="28.5" hidden="1" customHeight="1" x14ac:dyDescent="0.25">
      <c r="A50" s="246" t="s">
        <v>4577</v>
      </c>
      <c r="B50" s="246">
        <v>36</v>
      </c>
      <c r="C50" s="247" t="s">
        <v>4300</v>
      </c>
      <c r="D50" s="247" t="s">
        <v>4315</v>
      </c>
      <c r="E50" s="248" t="s">
        <v>4389</v>
      </c>
      <c r="F50" s="248" t="s">
        <v>402</v>
      </c>
      <c r="G50" s="249">
        <v>12</v>
      </c>
      <c r="H50" s="250">
        <v>16</v>
      </c>
      <c r="I50" s="250">
        <v>10</v>
      </c>
      <c r="J50" s="250">
        <v>3</v>
      </c>
      <c r="K50" s="250" t="s">
        <v>4066</v>
      </c>
      <c r="L50" s="250" t="s">
        <v>4066</v>
      </c>
      <c r="M50" s="250" t="s">
        <v>4066</v>
      </c>
      <c r="N50" s="250">
        <f t="shared" si="2"/>
        <v>29</v>
      </c>
      <c r="O50" s="248" t="s">
        <v>4066</v>
      </c>
      <c r="P50" s="252" t="s">
        <v>108</v>
      </c>
      <c r="Q50" s="252"/>
      <c r="R50" s="252" t="s">
        <v>107</v>
      </c>
      <c r="S50" s="248" t="s">
        <v>4066</v>
      </c>
      <c r="T50" s="248"/>
      <c r="U50" s="248" t="s">
        <v>4418</v>
      </c>
      <c r="V50" s="248"/>
      <c r="W50" s="248"/>
      <c r="X50" s="248"/>
      <c r="Y50" s="248" t="s">
        <v>4304</v>
      </c>
      <c r="Z50" s="248" t="s">
        <v>4316</v>
      </c>
      <c r="AA50" s="247" t="s">
        <v>4412</v>
      </c>
      <c r="AB50" s="234" t="s">
        <v>4639</v>
      </c>
      <c r="AC50" s="227" t="s">
        <v>4418</v>
      </c>
      <c r="AD50" s="228"/>
      <c r="AE50" s="237"/>
    </row>
    <row r="51" spans="1:31" s="272" customFormat="1" ht="28.5" hidden="1" customHeight="1" x14ac:dyDescent="0.25">
      <c r="A51" s="246" t="s">
        <v>4578</v>
      </c>
      <c r="B51" s="246">
        <v>37</v>
      </c>
      <c r="C51" s="247" t="s">
        <v>4300</v>
      </c>
      <c r="D51" s="247" t="s">
        <v>4315</v>
      </c>
      <c r="E51" s="248" t="s">
        <v>4390</v>
      </c>
      <c r="F51" s="248" t="s">
        <v>402</v>
      </c>
      <c r="G51" s="249">
        <v>12</v>
      </c>
      <c r="H51" s="250">
        <v>16</v>
      </c>
      <c r="I51" s="250">
        <v>10</v>
      </c>
      <c r="J51" s="250">
        <v>3</v>
      </c>
      <c r="K51" s="250" t="s">
        <v>4066</v>
      </c>
      <c r="L51" s="250" t="s">
        <v>4066</v>
      </c>
      <c r="M51" s="250" t="s">
        <v>4066</v>
      </c>
      <c r="N51" s="250">
        <f t="shared" si="2"/>
        <v>29</v>
      </c>
      <c r="O51" s="248" t="s">
        <v>4066</v>
      </c>
      <c r="P51" s="252" t="s">
        <v>108</v>
      </c>
      <c r="Q51" s="252"/>
      <c r="R51" s="252" t="s">
        <v>107</v>
      </c>
      <c r="S51" s="248" t="s">
        <v>4066</v>
      </c>
      <c r="T51" s="248"/>
      <c r="U51" s="248" t="s">
        <v>4417</v>
      </c>
      <c r="V51" s="248"/>
      <c r="W51" s="248"/>
      <c r="X51" s="248"/>
      <c r="Y51" s="248" t="s">
        <v>4304</v>
      </c>
      <c r="Z51" s="248" t="s">
        <v>4316</v>
      </c>
      <c r="AA51" s="247" t="s">
        <v>4413</v>
      </c>
      <c r="AB51" s="234" t="s">
        <v>4639</v>
      </c>
      <c r="AC51" s="227" t="s">
        <v>4417</v>
      </c>
      <c r="AD51" s="228"/>
      <c r="AE51" s="237"/>
    </row>
    <row r="52" spans="1:31" s="272" customFormat="1" ht="28.5" hidden="1" customHeight="1" x14ac:dyDescent="0.25">
      <c r="A52" s="246" t="s">
        <v>4579</v>
      </c>
      <c r="B52" s="246">
        <v>38</v>
      </c>
      <c r="C52" s="247" t="s">
        <v>4300</v>
      </c>
      <c r="D52" s="247" t="s">
        <v>4315</v>
      </c>
      <c r="E52" s="248" t="s">
        <v>4391</v>
      </c>
      <c r="F52" s="248" t="s">
        <v>402</v>
      </c>
      <c r="G52" s="249">
        <v>12</v>
      </c>
      <c r="H52" s="250">
        <v>16</v>
      </c>
      <c r="I52" s="250">
        <v>10</v>
      </c>
      <c r="J52" s="250">
        <v>3</v>
      </c>
      <c r="K52" s="250" t="s">
        <v>4066</v>
      </c>
      <c r="L52" s="250" t="s">
        <v>4066</v>
      </c>
      <c r="M52" s="250" t="s">
        <v>4066</v>
      </c>
      <c r="N52" s="250">
        <f t="shared" si="2"/>
        <v>29</v>
      </c>
      <c r="O52" s="248" t="s">
        <v>4066</v>
      </c>
      <c r="P52" s="252" t="s">
        <v>108</v>
      </c>
      <c r="Q52" s="252"/>
      <c r="R52" s="252" t="s">
        <v>107</v>
      </c>
      <c r="S52" s="248" t="s">
        <v>4066</v>
      </c>
      <c r="T52" s="248"/>
      <c r="U52" s="248" t="s">
        <v>4420</v>
      </c>
      <c r="V52" s="248"/>
      <c r="W52" s="248"/>
      <c r="X52" s="248"/>
      <c r="Y52" s="248" t="s">
        <v>4304</v>
      </c>
      <c r="Z52" s="248" t="s">
        <v>4316</v>
      </c>
      <c r="AA52" s="247" t="s">
        <v>4428</v>
      </c>
      <c r="AB52" s="234" t="s">
        <v>4639</v>
      </c>
      <c r="AC52" s="227" t="s">
        <v>4420</v>
      </c>
      <c r="AD52" s="228"/>
      <c r="AE52" s="237"/>
    </row>
    <row r="53" spans="1:31" s="272" customFormat="1" ht="28.5" hidden="1" customHeight="1" x14ac:dyDescent="0.25">
      <c r="A53" s="246" t="s">
        <v>4580</v>
      </c>
      <c r="B53" s="246">
        <v>39</v>
      </c>
      <c r="C53" s="247" t="s">
        <v>4300</v>
      </c>
      <c r="D53" s="247" t="s">
        <v>4315</v>
      </c>
      <c r="E53" s="248" t="s">
        <v>4434</v>
      </c>
      <c r="F53" s="248" t="s">
        <v>402</v>
      </c>
      <c r="G53" s="249">
        <v>12</v>
      </c>
      <c r="H53" s="250">
        <v>2</v>
      </c>
      <c r="I53" s="250">
        <v>1.5</v>
      </c>
      <c r="J53" s="250">
        <v>1</v>
      </c>
      <c r="K53" s="250" t="s">
        <v>4066</v>
      </c>
      <c r="L53" s="250" t="s">
        <v>4066</v>
      </c>
      <c r="M53" s="250" t="s">
        <v>4066</v>
      </c>
      <c r="N53" s="250">
        <f t="shared" si="2"/>
        <v>4.5</v>
      </c>
      <c r="O53" s="248" t="s">
        <v>4066</v>
      </c>
      <c r="P53" s="252" t="s">
        <v>108</v>
      </c>
      <c r="Q53" s="252"/>
      <c r="R53" s="252" t="s">
        <v>107</v>
      </c>
      <c r="S53" s="248" t="s">
        <v>4066</v>
      </c>
      <c r="T53" s="248"/>
      <c r="U53" s="248" t="s">
        <v>4436</v>
      </c>
      <c r="V53" s="248"/>
      <c r="W53" s="248"/>
      <c r="X53" s="248"/>
      <c r="Y53" s="248" t="s">
        <v>4304</v>
      </c>
      <c r="Z53" s="248" t="s">
        <v>4316</v>
      </c>
      <c r="AA53" s="247" t="s">
        <v>4435</v>
      </c>
      <c r="AB53" s="234" t="s">
        <v>4639</v>
      </c>
      <c r="AC53" s="227" t="s">
        <v>4436</v>
      </c>
      <c r="AD53" s="228"/>
      <c r="AE53" s="237"/>
    </row>
    <row r="54" spans="1:31" s="272" customFormat="1" ht="49.5" hidden="1" customHeight="1" x14ac:dyDescent="0.25">
      <c r="A54" s="245" t="s">
        <v>4581</v>
      </c>
      <c r="B54" s="246">
        <v>40</v>
      </c>
      <c r="C54" s="247" t="s">
        <v>4300</v>
      </c>
      <c r="D54" s="247" t="s">
        <v>4315</v>
      </c>
      <c r="E54" s="248" t="s">
        <v>4437</v>
      </c>
      <c r="F54" s="248" t="s">
        <v>402</v>
      </c>
      <c r="G54" s="249">
        <v>12</v>
      </c>
      <c r="H54" s="250">
        <v>5</v>
      </c>
      <c r="I54" s="250">
        <v>3</v>
      </c>
      <c r="J54" s="250">
        <v>2</v>
      </c>
      <c r="K54" s="250" t="s">
        <v>4066</v>
      </c>
      <c r="L54" s="250" t="s">
        <v>4066</v>
      </c>
      <c r="M54" s="250" t="s">
        <v>4066</v>
      </c>
      <c r="N54" s="250">
        <f t="shared" si="2"/>
        <v>10</v>
      </c>
      <c r="O54" s="248" t="s">
        <v>4066</v>
      </c>
      <c r="P54" s="251" t="s">
        <v>4278</v>
      </c>
      <c r="Q54" s="252"/>
      <c r="R54" s="252" t="s">
        <v>107</v>
      </c>
      <c r="S54" s="248"/>
      <c r="T54" s="248"/>
      <c r="U54" s="253" t="s">
        <v>4278</v>
      </c>
      <c r="V54" s="248"/>
      <c r="W54" s="248"/>
      <c r="X54" s="248"/>
      <c r="Y54" s="248" t="s">
        <v>4304</v>
      </c>
      <c r="Z54" s="248" t="s">
        <v>4316</v>
      </c>
      <c r="AA54" s="254" t="s">
        <v>4637</v>
      </c>
      <c r="AB54" s="227" t="s">
        <v>4516</v>
      </c>
      <c r="AC54" s="233" t="s">
        <v>4518</v>
      </c>
      <c r="AD54" s="227" t="s">
        <v>4514</v>
      </c>
      <c r="AE54" s="279" t="s">
        <v>4519</v>
      </c>
    </row>
    <row r="55" spans="1:31" s="255" customFormat="1" ht="45" hidden="1" x14ac:dyDescent="0.25">
      <c r="A55" s="246" t="s">
        <v>4582</v>
      </c>
      <c r="B55" s="246">
        <v>41</v>
      </c>
      <c r="C55" s="247" t="s">
        <v>4300</v>
      </c>
      <c r="D55" s="247" t="s">
        <v>4317</v>
      </c>
      <c r="E55" s="248" t="s">
        <v>4392</v>
      </c>
      <c r="F55" s="248" t="s">
        <v>402</v>
      </c>
      <c r="G55" s="249">
        <v>12</v>
      </c>
      <c r="H55" s="250"/>
      <c r="I55" s="250">
        <v>22</v>
      </c>
      <c r="J55" s="250">
        <v>2</v>
      </c>
      <c r="K55" s="250" t="s">
        <v>4066</v>
      </c>
      <c r="L55" s="250" t="s">
        <v>4066</v>
      </c>
      <c r="M55" s="250"/>
      <c r="N55" s="250">
        <f t="shared" si="2"/>
        <v>24</v>
      </c>
      <c r="O55" s="248" t="s">
        <v>4066</v>
      </c>
      <c r="P55" s="252" t="s">
        <v>4425</v>
      </c>
      <c r="Q55" s="252"/>
      <c r="R55" s="252" t="s">
        <v>61</v>
      </c>
      <c r="S55" s="248" t="s">
        <v>100</v>
      </c>
      <c r="T55" s="248"/>
      <c r="U55" s="248" t="s">
        <v>4313</v>
      </c>
      <c r="V55" s="248"/>
      <c r="W55" s="248"/>
      <c r="X55" s="248"/>
      <c r="Y55" s="248" t="s">
        <v>4304</v>
      </c>
      <c r="Z55" s="248" t="s">
        <v>4316</v>
      </c>
      <c r="AA55" s="247" t="s">
        <v>4411</v>
      </c>
      <c r="AB55" s="234" t="s">
        <v>4639</v>
      </c>
      <c r="AC55" s="227" t="s">
        <v>4523</v>
      </c>
      <c r="AD55" s="228"/>
      <c r="AE55" s="237"/>
    </row>
    <row r="56" spans="1:31" s="255" customFormat="1" ht="33.75" hidden="1" x14ac:dyDescent="0.25">
      <c r="A56" s="246" t="s">
        <v>4583</v>
      </c>
      <c r="B56" s="246">
        <v>42</v>
      </c>
      <c r="C56" s="247" t="s">
        <v>4300</v>
      </c>
      <c r="D56" s="247" t="s">
        <v>4317</v>
      </c>
      <c r="E56" s="248" t="s">
        <v>4393</v>
      </c>
      <c r="F56" s="248" t="s">
        <v>402</v>
      </c>
      <c r="G56" s="249">
        <v>12</v>
      </c>
      <c r="H56" s="250"/>
      <c r="I56" s="250">
        <v>17</v>
      </c>
      <c r="J56" s="250">
        <v>2</v>
      </c>
      <c r="K56" s="250" t="s">
        <v>4066</v>
      </c>
      <c r="L56" s="250" t="s">
        <v>4066</v>
      </c>
      <c r="M56" s="250"/>
      <c r="N56" s="250">
        <f t="shared" si="2"/>
        <v>19</v>
      </c>
      <c r="O56" s="248" t="s">
        <v>4066</v>
      </c>
      <c r="P56" s="252" t="s">
        <v>120</v>
      </c>
      <c r="Q56" s="252"/>
      <c r="R56" s="252" t="s">
        <v>4302</v>
      </c>
      <c r="S56" s="248" t="s">
        <v>100</v>
      </c>
      <c r="T56" s="248"/>
      <c r="U56" s="248" t="s">
        <v>4426</v>
      </c>
      <c r="V56" s="248"/>
      <c r="W56" s="248"/>
      <c r="X56" s="248"/>
      <c r="Y56" s="248" t="s">
        <v>4304</v>
      </c>
      <c r="Z56" s="248" t="s">
        <v>4316</v>
      </c>
      <c r="AA56" s="247" t="s">
        <v>4407</v>
      </c>
      <c r="AB56" s="234" t="s">
        <v>4639</v>
      </c>
      <c r="AC56" s="227" t="s">
        <v>4303</v>
      </c>
      <c r="AD56" s="228"/>
      <c r="AE56" s="237"/>
    </row>
    <row r="57" spans="1:31" s="255" customFormat="1" ht="45" hidden="1" x14ac:dyDescent="0.25">
      <c r="A57" s="246" t="s">
        <v>4584</v>
      </c>
      <c r="B57" s="246">
        <v>43</v>
      </c>
      <c r="C57" s="247" t="s">
        <v>4300</v>
      </c>
      <c r="D57" s="247" t="s">
        <v>4317</v>
      </c>
      <c r="E57" s="248" t="s">
        <v>4394</v>
      </c>
      <c r="F57" s="248" t="s">
        <v>402</v>
      </c>
      <c r="G57" s="249">
        <v>12</v>
      </c>
      <c r="H57" s="250"/>
      <c r="I57" s="250">
        <v>17</v>
      </c>
      <c r="J57" s="250">
        <v>2</v>
      </c>
      <c r="K57" s="250" t="s">
        <v>4066</v>
      </c>
      <c r="L57" s="250" t="s">
        <v>4066</v>
      </c>
      <c r="M57" s="250"/>
      <c r="N57" s="250">
        <f t="shared" si="2"/>
        <v>19</v>
      </c>
      <c r="O57" s="248" t="s">
        <v>4066</v>
      </c>
      <c r="P57" s="252" t="s">
        <v>120</v>
      </c>
      <c r="Q57" s="252"/>
      <c r="R57" s="252" t="s">
        <v>4307</v>
      </c>
      <c r="S57" s="248" t="s">
        <v>100</v>
      </c>
      <c r="T57" s="248"/>
      <c r="U57" s="248" t="s">
        <v>4426</v>
      </c>
      <c r="V57" s="248"/>
      <c r="W57" s="248"/>
      <c r="X57" s="248"/>
      <c r="Y57" s="248" t="s">
        <v>4304</v>
      </c>
      <c r="Z57" s="248" t="s">
        <v>4316</v>
      </c>
      <c r="AA57" s="247" t="s">
        <v>4409</v>
      </c>
      <c r="AB57" s="234" t="s">
        <v>4639</v>
      </c>
      <c r="AC57" s="227" t="s">
        <v>4303</v>
      </c>
      <c r="AD57" s="228"/>
      <c r="AE57" s="237"/>
    </row>
    <row r="58" spans="1:31" s="255" customFormat="1" ht="33.75" hidden="1" x14ac:dyDescent="0.25">
      <c r="A58" s="246" t="s">
        <v>4585</v>
      </c>
      <c r="B58" s="246">
        <v>44</v>
      </c>
      <c r="C58" s="247" t="s">
        <v>4300</v>
      </c>
      <c r="D58" s="247" t="s">
        <v>4317</v>
      </c>
      <c r="E58" s="248" t="s">
        <v>4395</v>
      </c>
      <c r="F58" s="248" t="s">
        <v>402</v>
      </c>
      <c r="G58" s="249">
        <v>12</v>
      </c>
      <c r="H58" s="250">
        <v>9</v>
      </c>
      <c r="I58" s="250"/>
      <c r="J58" s="250">
        <v>1</v>
      </c>
      <c r="K58" s="250" t="s">
        <v>4066</v>
      </c>
      <c r="L58" s="250" t="s">
        <v>4066</v>
      </c>
      <c r="M58" s="250"/>
      <c r="N58" s="250">
        <f t="shared" si="2"/>
        <v>10</v>
      </c>
      <c r="O58" s="248" t="s">
        <v>4066</v>
      </c>
      <c r="P58" s="252" t="s">
        <v>120</v>
      </c>
      <c r="Q58" s="252"/>
      <c r="R58" s="252" t="s">
        <v>119</v>
      </c>
      <c r="S58" s="248" t="s">
        <v>100</v>
      </c>
      <c r="T58" s="248"/>
      <c r="U58" s="248" t="s">
        <v>4426</v>
      </c>
      <c r="V58" s="248"/>
      <c r="W58" s="248"/>
      <c r="X58" s="248"/>
      <c r="Y58" s="248" t="s">
        <v>4304</v>
      </c>
      <c r="Z58" s="248" t="s">
        <v>4316</v>
      </c>
      <c r="AA58" s="247" t="s">
        <v>4410</v>
      </c>
      <c r="AB58" s="234" t="s">
        <v>4639</v>
      </c>
      <c r="AC58" s="227" t="s">
        <v>4310</v>
      </c>
      <c r="AD58" s="228"/>
      <c r="AE58" s="237"/>
    </row>
    <row r="59" spans="1:31" s="255" customFormat="1" ht="33.75" hidden="1" x14ac:dyDescent="0.25">
      <c r="A59" s="246" t="s">
        <v>4586</v>
      </c>
      <c r="B59" s="246">
        <v>45</v>
      </c>
      <c r="C59" s="247" t="s">
        <v>4300</v>
      </c>
      <c r="D59" s="247" t="s">
        <v>4317</v>
      </c>
      <c r="E59" s="248" t="s">
        <v>4396</v>
      </c>
      <c r="F59" s="248" t="s">
        <v>402</v>
      </c>
      <c r="G59" s="249">
        <v>12</v>
      </c>
      <c r="H59" s="250"/>
      <c r="I59" s="250">
        <v>16</v>
      </c>
      <c r="J59" s="250">
        <v>2</v>
      </c>
      <c r="K59" s="250" t="s">
        <v>4066</v>
      </c>
      <c r="L59" s="250" t="s">
        <v>4066</v>
      </c>
      <c r="M59" s="250"/>
      <c r="N59" s="250">
        <f t="shared" si="2"/>
        <v>18</v>
      </c>
      <c r="O59" s="248" t="s">
        <v>4066</v>
      </c>
      <c r="P59" s="252" t="s">
        <v>117</v>
      </c>
      <c r="Q59" s="252"/>
      <c r="R59" s="252" t="s">
        <v>71</v>
      </c>
      <c r="S59" s="248" t="s">
        <v>100</v>
      </c>
      <c r="T59" s="248"/>
      <c r="U59" s="248" t="s">
        <v>4427</v>
      </c>
      <c r="V59" s="248"/>
      <c r="W59" s="248"/>
      <c r="X59" s="248"/>
      <c r="Y59" s="248" t="s">
        <v>4304</v>
      </c>
      <c r="Z59" s="248" t="s">
        <v>4316</v>
      </c>
      <c r="AA59" s="247" t="s">
        <v>4408</v>
      </c>
      <c r="AB59" s="234" t="s">
        <v>4639</v>
      </c>
      <c r="AC59" s="227" t="s">
        <v>4427</v>
      </c>
      <c r="AD59" s="228"/>
      <c r="AE59" s="237"/>
    </row>
    <row r="60" spans="1:31" s="255" customFormat="1" ht="33.75" hidden="1" x14ac:dyDescent="0.25">
      <c r="A60" s="246" t="s">
        <v>4587</v>
      </c>
      <c r="B60" s="246">
        <v>46</v>
      </c>
      <c r="C60" s="247" t="s">
        <v>4300</v>
      </c>
      <c r="D60" s="247" t="s">
        <v>4317</v>
      </c>
      <c r="E60" s="248" t="s">
        <v>4397</v>
      </c>
      <c r="F60" s="248" t="s">
        <v>402</v>
      </c>
      <c r="G60" s="249">
        <v>12</v>
      </c>
      <c r="H60" s="250">
        <v>9</v>
      </c>
      <c r="I60" s="250"/>
      <c r="J60" s="250">
        <v>1</v>
      </c>
      <c r="K60" s="250" t="s">
        <v>4066</v>
      </c>
      <c r="L60" s="250" t="s">
        <v>4066</v>
      </c>
      <c r="M60" s="250"/>
      <c r="N60" s="250">
        <f t="shared" si="2"/>
        <v>10</v>
      </c>
      <c r="O60" s="248" t="s">
        <v>4066</v>
      </c>
      <c r="P60" s="252" t="s">
        <v>117</v>
      </c>
      <c r="Q60" s="252"/>
      <c r="R60" s="252" t="s">
        <v>71</v>
      </c>
      <c r="S60" s="248" t="s">
        <v>100</v>
      </c>
      <c r="T60" s="248"/>
      <c r="U60" s="248" t="s">
        <v>4424</v>
      </c>
      <c r="V60" s="248"/>
      <c r="W60" s="248"/>
      <c r="X60" s="248"/>
      <c r="Y60" s="248" t="s">
        <v>4304</v>
      </c>
      <c r="Z60" s="248" t="s">
        <v>4316</v>
      </c>
      <c r="AA60" s="247" t="s">
        <v>4408</v>
      </c>
      <c r="AB60" s="234" t="s">
        <v>4639</v>
      </c>
      <c r="AC60" s="227" t="s">
        <v>4424</v>
      </c>
      <c r="AD60" s="228"/>
      <c r="AE60" s="237"/>
    </row>
    <row r="61" spans="1:31" s="272" customFormat="1" ht="33.75" hidden="1" x14ac:dyDescent="0.25">
      <c r="A61" s="246" t="s">
        <v>4588</v>
      </c>
      <c r="B61" s="246">
        <v>47</v>
      </c>
      <c r="C61" s="247" t="s">
        <v>4300</v>
      </c>
      <c r="D61" s="247" t="s">
        <v>4318</v>
      </c>
      <c r="E61" s="248" t="s">
        <v>4398</v>
      </c>
      <c r="F61" s="248" t="s">
        <v>402</v>
      </c>
      <c r="G61" s="249">
        <v>4</v>
      </c>
      <c r="H61" s="250">
        <v>4</v>
      </c>
      <c r="I61" s="250">
        <v>3</v>
      </c>
      <c r="J61" s="250">
        <v>2</v>
      </c>
      <c r="K61" s="250" t="s">
        <v>4066</v>
      </c>
      <c r="L61" s="250" t="s">
        <v>4066</v>
      </c>
      <c r="M61" s="250"/>
      <c r="N61" s="250">
        <f t="shared" si="2"/>
        <v>9</v>
      </c>
      <c r="O61" s="248" t="s">
        <v>4066</v>
      </c>
      <c r="P61" s="252" t="s">
        <v>108</v>
      </c>
      <c r="Q61" s="252"/>
      <c r="R61" s="252" t="s">
        <v>107</v>
      </c>
      <c r="S61" s="248" t="s">
        <v>100</v>
      </c>
      <c r="T61" s="248"/>
      <c r="U61" s="248" t="s">
        <v>4419</v>
      </c>
      <c r="V61" s="248"/>
      <c r="W61" s="248"/>
      <c r="X61" s="248"/>
      <c r="Y61" s="248" t="s">
        <v>4304</v>
      </c>
      <c r="Z61" s="248" t="s">
        <v>4319</v>
      </c>
      <c r="AA61" s="247" t="s">
        <v>4416</v>
      </c>
      <c r="AB61" s="234" t="s">
        <v>4640</v>
      </c>
      <c r="AC61" s="227" t="s">
        <v>4419</v>
      </c>
      <c r="AD61" s="228"/>
      <c r="AE61" s="237"/>
    </row>
    <row r="62" spans="1:31" s="272" customFormat="1" ht="33.75" hidden="1" x14ac:dyDescent="0.25">
      <c r="A62" s="246" t="s">
        <v>4589</v>
      </c>
      <c r="B62" s="246">
        <v>48</v>
      </c>
      <c r="C62" s="247" t="s">
        <v>4300</v>
      </c>
      <c r="D62" s="247" t="s">
        <v>4318</v>
      </c>
      <c r="E62" s="248" t="s">
        <v>4399</v>
      </c>
      <c r="F62" s="248" t="s">
        <v>402</v>
      </c>
      <c r="G62" s="249">
        <v>4</v>
      </c>
      <c r="H62" s="250">
        <v>6</v>
      </c>
      <c r="I62" s="250">
        <v>4</v>
      </c>
      <c r="J62" s="250">
        <v>3</v>
      </c>
      <c r="K62" s="250" t="s">
        <v>4066</v>
      </c>
      <c r="L62" s="250" t="s">
        <v>4066</v>
      </c>
      <c r="M62" s="250"/>
      <c r="N62" s="250">
        <f t="shared" si="2"/>
        <v>13</v>
      </c>
      <c r="O62" s="248" t="s">
        <v>4066</v>
      </c>
      <c r="P62" s="252" t="s">
        <v>108</v>
      </c>
      <c r="Q62" s="252"/>
      <c r="R62" s="252" t="s">
        <v>107</v>
      </c>
      <c r="S62" s="248" t="s">
        <v>4066</v>
      </c>
      <c r="T62" s="248"/>
      <c r="U62" s="248" t="s">
        <v>4418</v>
      </c>
      <c r="V62" s="248"/>
      <c r="W62" s="248"/>
      <c r="X62" s="248"/>
      <c r="Y62" s="248" t="s">
        <v>4304</v>
      </c>
      <c r="Z62" s="248" t="s">
        <v>4319</v>
      </c>
      <c r="AA62" s="247" t="s">
        <v>4412</v>
      </c>
      <c r="AB62" s="234" t="s">
        <v>4640</v>
      </c>
      <c r="AC62" s="227" t="s">
        <v>4418</v>
      </c>
      <c r="AD62" s="228"/>
      <c r="AE62" s="237"/>
    </row>
    <row r="63" spans="1:31" s="272" customFormat="1" ht="33.75" hidden="1" x14ac:dyDescent="0.25">
      <c r="A63" s="246" t="s">
        <v>4590</v>
      </c>
      <c r="B63" s="246">
        <v>49</v>
      </c>
      <c r="C63" s="247" t="s">
        <v>4300</v>
      </c>
      <c r="D63" s="247" t="s">
        <v>4318</v>
      </c>
      <c r="E63" s="248" t="s">
        <v>4400</v>
      </c>
      <c r="F63" s="248" t="s">
        <v>402</v>
      </c>
      <c r="G63" s="249">
        <v>4</v>
      </c>
      <c r="H63" s="250">
        <v>4</v>
      </c>
      <c r="I63" s="250">
        <v>3</v>
      </c>
      <c r="J63" s="250">
        <v>2</v>
      </c>
      <c r="K63" s="250" t="s">
        <v>4066</v>
      </c>
      <c r="L63" s="250" t="s">
        <v>4066</v>
      </c>
      <c r="M63" s="250"/>
      <c r="N63" s="250">
        <f t="shared" si="2"/>
        <v>9</v>
      </c>
      <c r="O63" s="248" t="s">
        <v>4066</v>
      </c>
      <c r="P63" s="252" t="s">
        <v>108</v>
      </c>
      <c r="Q63" s="252"/>
      <c r="R63" s="252" t="s">
        <v>107</v>
      </c>
      <c r="S63" s="248" t="s">
        <v>4066</v>
      </c>
      <c r="T63" s="248"/>
      <c r="U63" s="248" t="s">
        <v>4417</v>
      </c>
      <c r="V63" s="248"/>
      <c r="W63" s="248"/>
      <c r="X63" s="248"/>
      <c r="Y63" s="248" t="s">
        <v>4304</v>
      </c>
      <c r="Z63" s="248" t="s">
        <v>4319</v>
      </c>
      <c r="AA63" s="247" t="s">
        <v>4413</v>
      </c>
      <c r="AB63" s="234" t="s">
        <v>4640</v>
      </c>
      <c r="AC63" s="227" t="s">
        <v>4417</v>
      </c>
      <c r="AD63" s="228"/>
      <c r="AE63" s="237"/>
    </row>
    <row r="64" spans="1:31" s="272" customFormat="1" ht="33.75" hidden="1" x14ac:dyDescent="0.25">
      <c r="A64" s="246" t="s">
        <v>4591</v>
      </c>
      <c r="B64" s="246">
        <v>50</v>
      </c>
      <c r="C64" s="247" t="s">
        <v>4300</v>
      </c>
      <c r="D64" s="247" t="s">
        <v>4318</v>
      </c>
      <c r="E64" s="248" t="s">
        <v>4401</v>
      </c>
      <c r="F64" s="248" t="s">
        <v>402</v>
      </c>
      <c r="G64" s="249">
        <v>4</v>
      </c>
      <c r="H64" s="250">
        <v>4</v>
      </c>
      <c r="I64" s="250">
        <v>3</v>
      </c>
      <c r="J64" s="250">
        <v>2</v>
      </c>
      <c r="K64" s="250" t="s">
        <v>4066</v>
      </c>
      <c r="L64" s="250" t="s">
        <v>4066</v>
      </c>
      <c r="M64" s="250"/>
      <c r="N64" s="250">
        <f t="shared" si="2"/>
        <v>9</v>
      </c>
      <c r="O64" s="248" t="s">
        <v>4066</v>
      </c>
      <c r="P64" s="252" t="s">
        <v>108</v>
      </c>
      <c r="Q64" s="252"/>
      <c r="R64" s="252" t="s">
        <v>107</v>
      </c>
      <c r="S64" s="248" t="s">
        <v>4066</v>
      </c>
      <c r="T64" s="248"/>
      <c r="U64" s="248" t="s">
        <v>4420</v>
      </c>
      <c r="V64" s="248"/>
      <c r="W64" s="248"/>
      <c r="X64" s="248"/>
      <c r="Y64" s="248" t="s">
        <v>4304</v>
      </c>
      <c r="Z64" s="248" t="s">
        <v>4319</v>
      </c>
      <c r="AA64" s="247" t="s">
        <v>4428</v>
      </c>
      <c r="AB64" s="234" t="s">
        <v>4640</v>
      </c>
      <c r="AC64" s="227" t="s">
        <v>4420</v>
      </c>
      <c r="AD64" s="228"/>
      <c r="AE64" s="237"/>
    </row>
    <row r="65" spans="1:31" s="272" customFormat="1" ht="33.75" hidden="1" x14ac:dyDescent="0.25">
      <c r="A65" s="246" t="s">
        <v>4592</v>
      </c>
      <c r="B65" s="246">
        <v>51</v>
      </c>
      <c r="C65" s="247" t="s">
        <v>4300</v>
      </c>
      <c r="D65" s="247" t="s">
        <v>4318</v>
      </c>
      <c r="E65" s="248" t="s">
        <v>4402</v>
      </c>
      <c r="F65" s="248" t="s">
        <v>402</v>
      </c>
      <c r="G65" s="249">
        <v>4</v>
      </c>
      <c r="H65" s="250">
        <v>2</v>
      </c>
      <c r="I65" s="250">
        <v>1.5</v>
      </c>
      <c r="J65" s="250">
        <v>1</v>
      </c>
      <c r="K65" s="250" t="s">
        <v>4066</v>
      </c>
      <c r="L65" s="250" t="s">
        <v>4066</v>
      </c>
      <c r="M65" s="250"/>
      <c r="N65" s="250">
        <f t="shared" si="2"/>
        <v>4.5</v>
      </c>
      <c r="O65" s="248" t="s">
        <v>4066</v>
      </c>
      <c r="P65" s="252" t="s">
        <v>108</v>
      </c>
      <c r="Q65" s="252"/>
      <c r="R65" s="252" t="s">
        <v>107</v>
      </c>
      <c r="S65" s="248" t="s">
        <v>4066</v>
      </c>
      <c r="T65" s="248"/>
      <c r="U65" s="248" t="s">
        <v>4436</v>
      </c>
      <c r="V65" s="248"/>
      <c r="W65" s="248"/>
      <c r="X65" s="248"/>
      <c r="Y65" s="248" t="s">
        <v>4304</v>
      </c>
      <c r="Z65" s="248" t="s">
        <v>4316</v>
      </c>
      <c r="AA65" s="247" t="s">
        <v>4435</v>
      </c>
      <c r="AB65" s="234" t="s">
        <v>4639</v>
      </c>
      <c r="AC65" s="227" t="s">
        <v>4524</v>
      </c>
      <c r="AD65" s="228"/>
      <c r="AE65" s="237"/>
    </row>
    <row r="66" spans="1:31" s="280" customFormat="1" ht="53.25" hidden="1" customHeight="1" x14ac:dyDescent="0.25">
      <c r="A66" s="273" t="s">
        <v>4593</v>
      </c>
      <c r="B66" s="274">
        <v>52</v>
      </c>
      <c r="C66" s="230" t="str">
        <f>IFERROR(IF([2]running!H66=0,"",[2]running!H66),"")</f>
        <v>Khác_GS&amp;XLTST&amp;NHĐT</v>
      </c>
      <c r="D66" s="230" t="s">
        <v>4320</v>
      </c>
      <c r="E66" s="227" t="s">
        <v>4321</v>
      </c>
      <c r="F66" s="227" t="str">
        <f>IFERROR(IF([2]running!M66=0,"",[2]running!M66),"")</f>
        <v>Số lần TCTQT yêu cầu tăng giá trị ký quỹ</v>
      </c>
      <c r="G66" s="275">
        <f>IFERROR(IF([2]running!N66=0,"",[2]running!N66),"")</f>
        <v>4</v>
      </c>
      <c r="H66" s="276" t="str">
        <f>IFERROR(IF([2]running!O66=0,"",[2]running!O66),"")</f>
        <v/>
      </c>
      <c r="I66" s="276">
        <f>IFERROR(IF([2]running!P66=0,"",[2]running!P66),"")</f>
        <v>12</v>
      </c>
      <c r="J66" s="276" t="str">
        <f>IFERROR(IF([2]running!Q66=0,"",[2]running!Q66),"")</f>
        <v/>
      </c>
      <c r="K66" s="276" t="str">
        <f>IFERROR(IF([2]running!R66=0,"",[2]running!R66),"")</f>
        <v/>
      </c>
      <c r="L66" s="276" t="str">
        <f>IFERROR(IF([2]running!S66=0,"",[2]running!S66),"")</f>
        <v/>
      </c>
      <c r="M66" s="276">
        <v>5</v>
      </c>
      <c r="N66" s="276">
        <f t="shared" si="2"/>
        <v>17</v>
      </c>
      <c r="O66" s="227" t="str">
        <f>IFERROR(IF([2]running!V66=0,"",[2]running!V66),"")</f>
        <v/>
      </c>
      <c r="P66" s="277" t="s">
        <v>4278</v>
      </c>
      <c r="Q66" s="278"/>
      <c r="R66" s="278"/>
      <c r="S66" s="227"/>
      <c r="T66" s="227"/>
      <c r="U66" s="234" t="s">
        <v>4278</v>
      </c>
      <c r="V66" s="227"/>
      <c r="W66" s="227"/>
      <c r="X66" s="227"/>
      <c r="Y66" s="227" t="s">
        <v>4304</v>
      </c>
      <c r="Z66" s="227" t="s">
        <v>4322</v>
      </c>
      <c r="AA66" s="279" t="s">
        <v>4637</v>
      </c>
      <c r="AB66" s="227" t="s">
        <v>4516</v>
      </c>
      <c r="AC66" s="233" t="s">
        <v>4518</v>
      </c>
      <c r="AD66" s="227" t="s">
        <v>4514</v>
      </c>
      <c r="AE66" s="237" t="s">
        <v>4519</v>
      </c>
    </row>
    <row r="67" spans="1:31" s="280" customFormat="1" ht="45" hidden="1" x14ac:dyDescent="0.25">
      <c r="A67" s="273" t="s">
        <v>4594</v>
      </c>
      <c r="B67" s="274">
        <v>53</v>
      </c>
      <c r="C67" s="230" t="str">
        <f>IFERROR(IF([2]running!H48=0,"",[2]running!H48),"")</f>
        <v>Khác_GS&amp;XLTST&amp;NHĐT</v>
      </c>
      <c r="D67" s="230" t="s">
        <v>4320</v>
      </c>
      <c r="E67" s="227" t="s">
        <v>4323</v>
      </c>
      <c r="F67" s="227" t="s">
        <v>4324</v>
      </c>
      <c r="G67" s="275">
        <f>IFERROR(IF([2]running!N48=0,"",[2]running!N48),"")</f>
        <v>20</v>
      </c>
      <c r="H67" s="276" t="str">
        <f>IFERROR(IF([2]running!O48=0,"",[2]running!O48),"")</f>
        <v/>
      </c>
      <c r="I67" s="276">
        <f>IFERROR(IF([2]running!P48=0,"",[2]running!P48),"")</f>
        <v>3</v>
      </c>
      <c r="J67" s="276">
        <f>IFERROR(IF([2]running!Q48=0,"",[2]running!Q48),"")</f>
        <v>1</v>
      </c>
      <c r="K67" s="276" t="str">
        <f>IFERROR(IF([2]running!R48=0,"",[2]running!R48),"")</f>
        <v/>
      </c>
      <c r="L67" s="276" t="str">
        <f>IFERROR(IF([2]running!S48=0,"",[2]running!S48),"")</f>
        <v/>
      </c>
      <c r="M67" s="276">
        <f>IFERROR(IF([2]running!T48=0,"",[2]running!T48),"")</f>
        <v>2</v>
      </c>
      <c r="N67" s="276">
        <f t="shared" ref="N67:N78" si="3">SUM(H67:M67)</f>
        <v>6</v>
      </c>
      <c r="O67" s="227" t="str">
        <f>IFERROR(IF([2]running!V48=0,"",[2]running!V48),"")</f>
        <v/>
      </c>
      <c r="P67" s="278" t="s">
        <v>4278</v>
      </c>
      <c r="Q67" s="278"/>
      <c r="R67" s="278" t="s">
        <v>4265</v>
      </c>
      <c r="S67" s="227" t="str">
        <f>IFERROR(IF([2]running!Y48=0,"",[2]running!Y48),"")</f>
        <v>KHCN
KHDN</v>
      </c>
      <c r="T67" s="227"/>
      <c r="U67" s="234" t="s">
        <v>4278</v>
      </c>
      <c r="V67" s="227"/>
      <c r="W67" s="227"/>
      <c r="X67" s="227"/>
      <c r="Y67" s="227" t="s">
        <v>4255</v>
      </c>
      <c r="Z67" s="227" t="s">
        <v>4326</v>
      </c>
      <c r="AA67" s="230" t="s">
        <v>4404</v>
      </c>
      <c r="AB67" s="227" t="s">
        <v>4516</v>
      </c>
      <c r="AC67" s="233" t="s">
        <v>4518</v>
      </c>
      <c r="AD67" s="227" t="s">
        <v>4514</v>
      </c>
      <c r="AE67" s="237" t="s">
        <v>4519</v>
      </c>
    </row>
    <row r="68" spans="1:31" s="280" customFormat="1" ht="26.25" hidden="1" customHeight="1" x14ac:dyDescent="0.25">
      <c r="A68" s="273" t="s">
        <v>4595</v>
      </c>
      <c r="B68" s="274">
        <v>54</v>
      </c>
      <c r="C68" s="230" t="str">
        <f>IFERROR(IF([2]running!H49=0,"",[2]running!H49),"")</f>
        <v>Khác_GS&amp;XLTST&amp;NHĐT</v>
      </c>
      <c r="D68" s="230" t="s">
        <v>4320</v>
      </c>
      <c r="E68" s="227" t="str">
        <f>IFERROR(IF([2]running!L49=0,"",[2]running!L49),"")</f>
        <v>Thực hiện góp ý Tài liệu chất lượng / Hợp đồng hợp tác với các đối tác</v>
      </c>
      <c r="F68" s="227" t="str">
        <f>IFERROR(IF([2]running!M49=0,"",[2]running!M49),"")</f>
        <v>Số lượng PYC/yêu cầu nhận được</v>
      </c>
      <c r="G68" s="275">
        <f>IFERROR(IF([2]running!N49=0,"",[2]running!N49),"")</f>
        <v>20</v>
      </c>
      <c r="H68" s="276" t="str">
        <f>IFERROR(IF([2]running!O49=0,"",[2]running!O49),"")</f>
        <v/>
      </c>
      <c r="I68" s="276">
        <f>IFERROR(IF([2]running!P49=0,"",[2]running!P49),"")</f>
        <v>2</v>
      </c>
      <c r="J68" s="276">
        <f>IFERROR(IF([2]running!Q49=0,"",[2]running!Q49),"")</f>
        <v>0.5</v>
      </c>
      <c r="K68" s="276" t="str">
        <f>IFERROR(IF([2]running!R49=0,"",[2]running!R49),"")</f>
        <v/>
      </c>
      <c r="L68" s="276" t="str">
        <f>IFERROR(IF([2]running!S49=0,"",[2]running!S49),"")</f>
        <v/>
      </c>
      <c r="M68" s="276">
        <f>IFERROR(IF([2]running!T49=0,"",[2]running!T49),"")</f>
        <v>1</v>
      </c>
      <c r="N68" s="276">
        <f t="shared" si="3"/>
        <v>3.5</v>
      </c>
      <c r="O68" s="227" t="str">
        <f>IFERROR(IF([2]running!V49=0,"",[2]running!V49),"")</f>
        <v/>
      </c>
      <c r="P68" s="278" t="str">
        <f>IFERROR(IF([2]running!W49=0,"",[2]running!W49),"")</f>
        <v>Đơn vị yêu cầu góp ý</v>
      </c>
      <c r="Q68" s="278"/>
      <c r="R68" s="278" t="s">
        <v>4265</v>
      </c>
      <c r="S68" s="227" t="str">
        <f>IFERROR(IF([2]running!Y49=0,"",[2]running!Y49),"")</f>
        <v>KHCN
KHDN</v>
      </c>
      <c r="T68" s="227"/>
      <c r="U68" s="227" t="str">
        <f>IFERROR(IF([2]running!Z49=0,"",[2]running!Z49),"")</f>
        <v>Số lượng PYC/yêu cầu nhận được</v>
      </c>
      <c r="V68" s="227"/>
      <c r="W68" s="227"/>
      <c r="X68" s="227"/>
      <c r="Y68" s="227" t="s">
        <v>4255</v>
      </c>
      <c r="Z68" s="227" t="s">
        <v>4327</v>
      </c>
      <c r="AA68" s="230" t="s">
        <v>4404</v>
      </c>
      <c r="AB68" s="227" t="s">
        <v>4516</v>
      </c>
      <c r="AC68" s="227" t="s">
        <v>4516</v>
      </c>
      <c r="AD68" s="227" t="s">
        <v>4514</v>
      </c>
      <c r="AE68" s="235" t="s">
        <v>4517</v>
      </c>
    </row>
    <row r="69" spans="1:31" s="280" customFormat="1" ht="26.25" hidden="1" customHeight="1" x14ac:dyDescent="0.25">
      <c r="A69" s="273" t="s">
        <v>4596</v>
      </c>
      <c r="B69" s="274">
        <v>55</v>
      </c>
      <c r="C69" s="230" t="str">
        <f>IFERROR(IF([2]running!H50=0,"",[2]running!H50),"")</f>
        <v>Khác_GS&amp;XLTST&amp;NHĐT</v>
      </c>
      <c r="D69" s="230" t="s">
        <v>4320</v>
      </c>
      <c r="E69" s="227" t="s">
        <v>80</v>
      </c>
      <c r="F69" s="227" t="s">
        <v>77</v>
      </c>
      <c r="G69" s="275">
        <f>IFERROR(IF([2]running!N50=0,"",[2]running!N50),"")</f>
        <v>30</v>
      </c>
      <c r="H69" s="276" t="str">
        <f>IFERROR(IF([2]running!O50=0,"",[2]running!O50),"")</f>
        <v/>
      </c>
      <c r="I69" s="276">
        <f>IFERROR(IF([2]running!P50=0,"",[2]running!P50),"")</f>
        <v>2</v>
      </c>
      <c r="J69" s="276">
        <f>IFERROR(IF([2]running!Q50=0,"",[2]running!Q50),"")</f>
        <v>0.5</v>
      </c>
      <c r="K69" s="276" t="str">
        <f>IFERROR(IF([2]running!R50=0,"",[2]running!R50),"")</f>
        <v/>
      </c>
      <c r="L69" s="276" t="str">
        <f>IFERROR(IF([2]running!S50=0,"",[2]running!S50),"")</f>
        <v/>
      </c>
      <c r="M69" s="276">
        <f>IFERROR(IF([2]running!T50=0,"",[2]running!T50),"")</f>
        <v>1</v>
      </c>
      <c r="N69" s="276">
        <f t="shared" si="3"/>
        <v>3.5</v>
      </c>
      <c r="O69" s="227" t="str">
        <f>IFERROR(IF([2]running!V50=0,"",[2]running!V50),"")</f>
        <v/>
      </c>
      <c r="P69" s="278" t="str">
        <f>IFERROR(IF([2]running!W50=0,"",[2]running!W50),"")</f>
        <v>Đơn vị yêu cầu</v>
      </c>
      <c r="Q69" s="278"/>
      <c r="R69" s="278" t="s">
        <v>4265</v>
      </c>
      <c r="S69" s="227" t="str">
        <f>IFERROR(IF([2]running!Y50=0,"",[2]running!Y50),"")</f>
        <v>KHCN
KHDN</v>
      </c>
      <c r="T69" s="227"/>
      <c r="U69" s="227" t="str">
        <f>IFERROR(IF([2]running!Z50=0,"",[2]running!Z50),"")</f>
        <v>Số lượng PYC/yêu cầu nhận được</v>
      </c>
      <c r="V69" s="227"/>
      <c r="W69" s="227"/>
      <c r="X69" s="227"/>
      <c r="Y69" s="227" t="s">
        <v>4255</v>
      </c>
      <c r="Z69" s="227" t="s">
        <v>4327</v>
      </c>
      <c r="AA69" s="230" t="s">
        <v>4404</v>
      </c>
      <c r="AB69" s="227" t="s">
        <v>4516</v>
      </c>
      <c r="AC69" s="227" t="s">
        <v>4516</v>
      </c>
      <c r="AD69" s="227" t="s">
        <v>4514</v>
      </c>
      <c r="AE69" s="235" t="s">
        <v>4517</v>
      </c>
    </row>
    <row r="70" spans="1:31" s="280" customFormat="1" ht="22.5" hidden="1" x14ac:dyDescent="0.25">
      <c r="A70" s="273" t="s">
        <v>4597</v>
      </c>
      <c r="B70" s="274">
        <v>56</v>
      </c>
      <c r="C70" s="230" t="str">
        <f>IFERROR(IF([2]running!H52=0,"",[2]running!H52),"")</f>
        <v>Khác_GS&amp;XLTST&amp;NHĐT</v>
      </c>
      <c r="D70" s="230" t="s">
        <v>4328</v>
      </c>
      <c r="E70" s="227" t="str">
        <f>IFERROR(IF([2]running!L52=0,"",[2]running!L52),"")</f>
        <v>Báo cáo QLRRVH (báo cáo tháng nội bộ SCB)</v>
      </c>
      <c r="F70" s="227" t="str">
        <f>IFERROR(IF([2]running!M52=0,"",[2]running!M52),"")</f>
        <v>Số lượng báo cáo</v>
      </c>
      <c r="G70" s="275">
        <f>IFERROR(IF([2]running!N52=0,"",[2]running!N52),"")</f>
        <v>24</v>
      </c>
      <c r="H70" s="276">
        <v>0.5</v>
      </c>
      <c r="I70" s="276">
        <f>IFERROR(IF([2]running!P52=0,"",[2]running!P52),"")</f>
        <v>0.5</v>
      </c>
      <c r="J70" s="276" t="str">
        <f>IFERROR(IF([2]running!Q52=0,"",[2]running!Q52),"")</f>
        <v/>
      </c>
      <c r="K70" s="276" t="str">
        <f>IFERROR(IF([2]running!R52=0,"",[2]running!R52),"")</f>
        <v/>
      </c>
      <c r="L70" s="276" t="str">
        <f>IFERROR(IF([2]running!S52=0,"",[2]running!S52),"")</f>
        <v/>
      </c>
      <c r="M70" s="276">
        <f>IFERROR(IF([2]running!T52=0,"",[2]running!T52),"")</f>
        <v>0.15</v>
      </c>
      <c r="N70" s="276">
        <f t="shared" si="3"/>
        <v>1.1499999999999999</v>
      </c>
      <c r="O70" s="227" t="str">
        <f>IFERROR(IF([2]running!V52=0,"",[2]running!V52),"")</f>
        <v/>
      </c>
      <c r="P70" s="278" t="str">
        <f>IFERROR(IF([2]running!W52=0,"",[2]running!W52),"")</f>
        <v>P.QLRRVH</v>
      </c>
      <c r="Q70" s="278"/>
      <c r="R70" s="278" t="s">
        <v>4265</v>
      </c>
      <c r="S70" s="227" t="s">
        <v>100</v>
      </c>
      <c r="T70" s="227"/>
      <c r="U70" s="227" t="str">
        <f>IFERROR(IF([2]running!Z52=0,"",[2]running!Z52),"")</f>
        <v>Số lượng báo cáo</v>
      </c>
      <c r="V70" s="227"/>
      <c r="W70" s="227"/>
      <c r="X70" s="227"/>
      <c r="Y70" s="227" t="s">
        <v>4255</v>
      </c>
      <c r="Z70" s="227" t="s">
        <v>4329</v>
      </c>
      <c r="AA70" s="230" t="s">
        <v>4404</v>
      </c>
      <c r="AB70" s="227" t="s">
        <v>4516</v>
      </c>
      <c r="AC70" s="227" t="s">
        <v>4516</v>
      </c>
      <c r="AD70" s="227" t="s">
        <v>4514</v>
      </c>
      <c r="AE70" s="235" t="s">
        <v>4517</v>
      </c>
    </row>
    <row r="71" spans="1:31" s="280" customFormat="1" ht="51.75" hidden="1" customHeight="1" x14ac:dyDescent="0.25">
      <c r="A71" s="273" t="s">
        <v>4598</v>
      </c>
      <c r="B71" s="274">
        <v>57</v>
      </c>
      <c r="C71" s="230" t="str">
        <f>IFERROR(IF([2]running!H53=0,"",[2]running!H53),"")</f>
        <v>Khác_GS&amp;XLTST&amp;NHĐT</v>
      </c>
      <c r="D71" s="230" t="s">
        <v>4328</v>
      </c>
      <c r="E71" s="227" t="str">
        <f>IFERROR(IF([2]running!L53=0,"",[2]running!L53),"")</f>
        <v>Báo cáo theo yêu cầu từ Ngân hàng Nhà nước, cơ quan thẩm quyền (Báo cáo định kỳ hàng tháng và báo cáo khi có yêu cầu)</v>
      </c>
      <c r="F71" s="227" t="str">
        <f>IFERROR(IF([2]running!M53=0,"",[2]running!M53),"")</f>
        <v>Số lượng báo cáo</v>
      </c>
      <c r="G71" s="275">
        <f>IFERROR(IF([2]running!N53=0,"",[2]running!N53),"")</f>
        <v>30</v>
      </c>
      <c r="H71" s="276" t="str">
        <f>IFERROR(IF([2]running!O53=0,"",[2]running!O53),"")</f>
        <v/>
      </c>
      <c r="I71" s="276">
        <f>IFERROR(IF([2]running!P53=0,"",[2]running!P53),"")</f>
        <v>2</v>
      </c>
      <c r="J71" s="276" t="str">
        <f>IFERROR(IF([2]running!Q53=0,"",[2]running!Q53),"")</f>
        <v/>
      </c>
      <c r="K71" s="276" t="str">
        <f>IFERROR(IF([2]running!R53=0,"",[2]running!R53),"")</f>
        <v/>
      </c>
      <c r="L71" s="276" t="str">
        <f>IFERROR(IF([2]running!S53=0,"",[2]running!S53),"")</f>
        <v/>
      </c>
      <c r="M71" s="276">
        <f>IFERROR(IF([2]running!T53=0,"",[2]running!T53),"")</f>
        <v>0.3</v>
      </c>
      <c r="N71" s="276">
        <f t="shared" si="3"/>
        <v>2.2999999999999998</v>
      </c>
      <c r="O71" s="227" t="str">
        <f>IFERROR(IF([2]running!V53=0,"",[2]running!V53),"")</f>
        <v/>
      </c>
      <c r="P71" s="277" t="s">
        <v>4278</v>
      </c>
      <c r="Q71" s="278"/>
      <c r="R71" s="278"/>
      <c r="S71" s="227"/>
      <c r="T71" s="227"/>
      <c r="U71" s="277" t="s">
        <v>4278</v>
      </c>
      <c r="V71" s="227"/>
      <c r="W71" s="227"/>
      <c r="X71" s="227"/>
      <c r="Y71" s="227" t="s">
        <v>4255</v>
      </c>
      <c r="Z71" s="227" t="s">
        <v>4329</v>
      </c>
      <c r="AA71" s="230" t="s">
        <v>4404</v>
      </c>
      <c r="AB71" s="227" t="s">
        <v>4516</v>
      </c>
      <c r="AC71" s="233" t="s">
        <v>4518</v>
      </c>
      <c r="AD71" s="227" t="s">
        <v>4514</v>
      </c>
      <c r="AE71" s="237" t="s">
        <v>4519</v>
      </c>
    </row>
    <row r="72" spans="1:31" s="280" customFormat="1" ht="45" hidden="1" x14ac:dyDescent="0.25">
      <c r="A72" s="273" t="s">
        <v>4599</v>
      </c>
      <c r="B72" s="274">
        <v>58</v>
      </c>
      <c r="C72" s="230" t="str">
        <f>IFERROR(IF([2]running!H54=0,"",[2]running!H54),"")</f>
        <v>Khác_GS&amp;XLTST&amp;NHĐT</v>
      </c>
      <c r="D72" s="230" t="s">
        <v>4328</v>
      </c>
      <c r="E72" s="227" t="str">
        <f>IFERROR(IF([2]running!L54=0,"",[2]running!L54),"")</f>
        <v>Báo cáo ATM theo yêu cầu của TCTQT (báo cáo ngay khi có phát sinh hoặc ít nhất 1 lần/quý)</v>
      </c>
      <c r="F72" s="227" t="str">
        <f>IFERROR(IF([2]running!M54=0,"",[2]running!M54),"")</f>
        <v>Số lượng báo cáo</v>
      </c>
      <c r="G72" s="275">
        <f>IFERROR(IF([2]running!N54=0,"",[2]running!N54),"")</f>
        <v>46</v>
      </c>
      <c r="H72" s="276" t="str">
        <f>IFERROR(IF([2]running!O54=0,"",[2]running!O54),"")</f>
        <v/>
      </c>
      <c r="I72" s="276">
        <f>IFERROR(IF([2]running!P54=0,"",[2]running!P54),"")</f>
        <v>0.5</v>
      </c>
      <c r="J72" s="276" t="str">
        <f>IFERROR(IF([2]running!Q54=0,"",[2]running!Q54),"")</f>
        <v/>
      </c>
      <c r="K72" s="276" t="str">
        <f>IFERROR(IF([2]running!R54=0,"",[2]running!R54),"")</f>
        <v/>
      </c>
      <c r="L72" s="276" t="str">
        <f>IFERROR(IF([2]running!S54=0,"",[2]running!S54),"")</f>
        <v/>
      </c>
      <c r="M72" s="276">
        <f>IFERROR(IF([2]running!T54=0,"",[2]running!T54),"")</f>
        <v>0.05</v>
      </c>
      <c r="N72" s="276">
        <f t="shared" si="3"/>
        <v>0.55000000000000004</v>
      </c>
      <c r="O72" s="227" t="str">
        <f>IFERROR(IF([2]running!V54=0,"",[2]running!V54),"")</f>
        <v/>
      </c>
      <c r="P72" s="277" t="s">
        <v>4278</v>
      </c>
      <c r="Q72" s="278"/>
      <c r="R72" s="278" t="str">
        <f>IFERROR(IF([2]running!X54=0,"",[2]running!X54),"")</f>
        <v>ATM</v>
      </c>
      <c r="S72" s="227" t="str">
        <f>IFERROR(IF([2]running!Y54=0,"",[2]running!Y54),"")</f>
        <v/>
      </c>
      <c r="T72" s="227"/>
      <c r="U72" s="277" t="s">
        <v>4278</v>
      </c>
      <c r="V72" s="227"/>
      <c r="W72" s="227"/>
      <c r="X72" s="227"/>
      <c r="Y72" s="227" t="s">
        <v>4255</v>
      </c>
      <c r="Z72" s="227" t="s">
        <v>4329</v>
      </c>
      <c r="AA72" s="230" t="s">
        <v>4404</v>
      </c>
      <c r="AB72" s="227" t="s">
        <v>4516</v>
      </c>
      <c r="AC72" s="233" t="s">
        <v>4518</v>
      </c>
      <c r="AD72" s="227" t="s">
        <v>4514</v>
      </c>
      <c r="AE72" s="237" t="s">
        <v>4519</v>
      </c>
    </row>
    <row r="73" spans="1:31" s="280" customFormat="1" ht="45" hidden="1" x14ac:dyDescent="0.25">
      <c r="A73" s="273" t="s">
        <v>4600</v>
      </c>
      <c r="B73" s="274">
        <v>59</v>
      </c>
      <c r="C73" s="230" t="str">
        <f>IFERROR(IF([2]running!H55=0,"",[2]running!H55),"")</f>
        <v>Khác_GS&amp;XLTST&amp;NHĐT</v>
      </c>
      <c r="D73" s="230" t="s">
        <v>4328</v>
      </c>
      <c r="E73" s="227" t="s">
        <v>4330</v>
      </c>
      <c r="F73" s="227" t="str">
        <f>IFERROR(IF([2]running!M55=0,"",[2]running!M55),"")</f>
        <v>Số lượng báo cáo</v>
      </c>
      <c r="G73" s="275">
        <f>IFERROR(IF([2]running!N55=0,"",[2]running!N55),"")</f>
        <v>54</v>
      </c>
      <c r="H73" s="276" t="str">
        <f>IFERROR(IF([2]running!O55=0,"",[2]running!O55),"")</f>
        <v/>
      </c>
      <c r="I73" s="276">
        <f>IFERROR(IF([2]running!P55=0,"",[2]running!P55),"")</f>
        <v>0.8</v>
      </c>
      <c r="J73" s="276" t="str">
        <f>IFERROR(IF([2]running!Q55=0,"",[2]running!Q55),"")</f>
        <v/>
      </c>
      <c r="K73" s="276" t="str">
        <f>IFERROR(IF([2]running!R55=0,"",[2]running!R55),"")</f>
        <v/>
      </c>
      <c r="L73" s="276" t="str">
        <f>IFERROR(IF([2]running!S55=0,"",[2]running!S55),"")</f>
        <v/>
      </c>
      <c r="M73" s="276">
        <f>IFERROR(IF([2]running!T55=0,"",[2]running!T55),"")</f>
        <v>0.05</v>
      </c>
      <c r="N73" s="276">
        <f t="shared" si="3"/>
        <v>0.85000000000000009</v>
      </c>
      <c r="O73" s="227" t="str">
        <f>IFERROR(IF([2]running!V55=0,"",[2]running!V55),"")</f>
        <v/>
      </c>
      <c r="P73" s="277" t="s">
        <v>4278</v>
      </c>
      <c r="Q73" s="278"/>
      <c r="R73" s="278"/>
      <c r="S73" s="227"/>
      <c r="T73" s="227"/>
      <c r="U73" s="277" t="s">
        <v>4278</v>
      </c>
      <c r="V73" s="227"/>
      <c r="W73" s="227"/>
      <c r="X73" s="227"/>
      <c r="Y73" s="227" t="s">
        <v>4255</v>
      </c>
      <c r="Z73" s="227" t="s">
        <v>4329</v>
      </c>
      <c r="AA73" s="230" t="s">
        <v>4404</v>
      </c>
      <c r="AB73" s="227" t="s">
        <v>4516</v>
      </c>
      <c r="AC73" s="233" t="s">
        <v>4518</v>
      </c>
      <c r="AD73" s="227" t="s">
        <v>4514</v>
      </c>
      <c r="AE73" s="237" t="s">
        <v>4519</v>
      </c>
    </row>
    <row r="74" spans="1:31" s="280" customFormat="1" ht="45" hidden="1" x14ac:dyDescent="0.25">
      <c r="A74" s="273" t="s">
        <v>4601</v>
      </c>
      <c r="B74" s="274">
        <v>60</v>
      </c>
      <c r="C74" s="230" t="str">
        <f>IFERROR(IF([2]running!H56=0,"",[2]running!H56),"")</f>
        <v>Khác_GS&amp;XLTST&amp;NHĐT</v>
      </c>
      <c r="D74" s="230" t="s">
        <v>4328</v>
      </c>
      <c r="E74" s="227" t="s">
        <v>4331</v>
      </c>
      <c r="F74" s="227" t="str">
        <f>IFERROR(IF([2]running!M56=0,"",[2]running!M56),"")</f>
        <v>Số lượng báo cáo</v>
      </c>
      <c r="G74" s="275">
        <f>IFERROR(IF([2]running!N56=0,"",[2]running!N56),"")</f>
        <v>4</v>
      </c>
      <c r="H74" s="276" t="str">
        <f>IFERROR(IF([2]running!O56=0,"",[2]running!O56),"")</f>
        <v/>
      </c>
      <c r="I74" s="276">
        <f>IFERROR(IF([2]running!P56=0,"",[2]running!P56),"")</f>
        <v>48</v>
      </c>
      <c r="J74" s="276" t="str">
        <f>IFERROR(IF([2]running!Q56=0,"",[2]running!Q56),"")</f>
        <v/>
      </c>
      <c r="K74" s="276" t="str">
        <f>IFERROR(IF([2]running!R56=0,"",[2]running!R56),"")</f>
        <v/>
      </c>
      <c r="L74" s="276" t="str">
        <f>IFERROR(IF([2]running!S56=0,"",[2]running!S56),"")</f>
        <v/>
      </c>
      <c r="M74" s="276">
        <f>IFERROR(IF([2]running!T56=0,"",[2]running!T56),"")</f>
        <v>5</v>
      </c>
      <c r="N74" s="276">
        <f t="shared" si="3"/>
        <v>53</v>
      </c>
      <c r="O74" s="227" t="str">
        <f>IFERROR(IF([2]running!V56=0,"",[2]running!V56),"")</f>
        <v/>
      </c>
      <c r="P74" s="236" t="s">
        <v>4641</v>
      </c>
      <c r="Q74" s="278"/>
      <c r="R74" s="278" t="str">
        <f>IFERROR(IF([2]running!X56=0,"",[2]running!X56),"")</f>
        <v>Mastercard
Visa</v>
      </c>
      <c r="S74" s="227" t="s">
        <v>100</v>
      </c>
      <c r="T74" s="227"/>
      <c r="U74" s="277" t="s">
        <v>4278</v>
      </c>
      <c r="V74" s="227"/>
      <c r="W74" s="227"/>
      <c r="X74" s="227"/>
      <c r="Y74" s="227" t="s">
        <v>4255</v>
      </c>
      <c r="Z74" s="227" t="s">
        <v>4329</v>
      </c>
      <c r="AA74" s="230" t="s">
        <v>4404</v>
      </c>
      <c r="AB74" s="227" t="s">
        <v>4516</v>
      </c>
      <c r="AC74" s="234" t="s">
        <v>4518</v>
      </c>
      <c r="AD74" s="227" t="s">
        <v>4514</v>
      </c>
      <c r="AE74" s="234" t="s">
        <v>4519</v>
      </c>
    </row>
    <row r="75" spans="1:31" s="280" customFormat="1" ht="45" hidden="1" x14ac:dyDescent="0.25">
      <c r="A75" s="273" t="s">
        <v>4602</v>
      </c>
      <c r="B75" s="274">
        <v>61</v>
      </c>
      <c r="C75" s="230" t="str">
        <f>IFERROR(IF([2]running!H57=0,"",[2]running!H57),"")</f>
        <v>Khác_GS&amp;XLTST&amp;NHĐT</v>
      </c>
      <c r="D75" s="230" t="s">
        <v>4320</v>
      </c>
      <c r="E75" s="227" t="str">
        <f>IFERROR(IF([2]running!L57=0,"",[2]running!L57),"")</f>
        <v>Tu chỉnh/soạn thảo tài liệu chất lượng</v>
      </c>
      <c r="F75" s="227" t="str">
        <f>IFERROR(IF([2]running!M57=0,"",[2]running!M57),"")</f>
        <v>Số lượng tài liệu chất lượng tu chỉnh/soạn thảo</v>
      </c>
      <c r="G75" s="275">
        <f>IFERROR(IF([2]running!N57=0,"",[2]running!N57),"")</f>
        <v>4</v>
      </c>
      <c r="H75" s="276" t="str">
        <f>IFERROR(IF([2]running!O57=0,"",[2]running!O57),"")</f>
        <v/>
      </c>
      <c r="I75" s="276">
        <f>IFERROR(IF([2]running!P57=0,"",[2]running!P57),"")</f>
        <v>30</v>
      </c>
      <c r="J75" s="276">
        <f>IFERROR(IF([2]running!Q57=0,"",[2]running!Q57),"")</f>
        <v>10</v>
      </c>
      <c r="K75" s="276" t="str">
        <f>IFERROR(IF([2]running!R57=0,"",[2]running!R57),"")</f>
        <v/>
      </c>
      <c r="L75" s="276" t="str">
        <f>IFERROR(IF([2]running!S57=0,"",[2]running!S57),"")</f>
        <v/>
      </c>
      <c r="M75" s="276">
        <f>IFERROR(IF([2]running!T57=0,"",[2]running!T57),"")</f>
        <v>30</v>
      </c>
      <c r="N75" s="276">
        <f t="shared" si="3"/>
        <v>70</v>
      </c>
      <c r="O75" s="227" t="str">
        <f>IFERROR(IF([2]running!V57=0,"",[2]running!V57),"")</f>
        <v/>
      </c>
      <c r="P75" s="236" t="s">
        <v>4641</v>
      </c>
      <c r="Q75" s="278"/>
      <c r="R75" s="278" t="s">
        <v>4265</v>
      </c>
      <c r="S75" s="227" t="s">
        <v>100</v>
      </c>
      <c r="T75" s="227"/>
      <c r="U75" s="234" t="s">
        <v>4278</v>
      </c>
      <c r="V75" s="227"/>
      <c r="W75" s="227"/>
      <c r="X75" s="227"/>
      <c r="Y75" s="227" t="s">
        <v>4255</v>
      </c>
      <c r="Z75" s="227" t="s">
        <v>4332</v>
      </c>
      <c r="AA75" s="230" t="s">
        <v>4404</v>
      </c>
      <c r="AB75" s="227" t="s">
        <v>4516</v>
      </c>
      <c r="AC75" s="234" t="s">
        <v>4518</v>
      </c>
      <c r="AD75" s="227" t="s">
        <v>4514</v>
      </c>
      <c r="AE75" s="234" t="s">
        <v>4519</v>
      </c>
    </row>
    <row r="76" spans="1:31" s="280" customFormat="1" ht="45" hidden="1" x14ac:dyDescent="0.25">
      <c r="A76" s="273" t="s">
        <v>4603</v>
      </c>
      <c r="B76" s="274">
        <v>62</v>
      </c>
      <c r="C76" s="230" t="str">
        <f>IFERROR(IF([2]running!H58=0,"",[2]running!H58),"")</f>
        <v>Khác_GS&amp;XLTST&amp;NHĐT</v>
      </c>
      <c r="D76" s="230" t="s">
        <v>4320</v>
      </c>
      <c r="E76" s="227" t="str">
        <f>IFERROR(IF([2]running!L58=0,"",[2]running!L58),"")</f>
        <v>Ban hành các thông báo, hướng dẫn nghiệp vụ</v>
      </c>
      <c r="F76" s="227" t="str">
        <f>IFERROR(IF([2]running!M58=0,"",[2]running!M58),"")</f>
        <v>Số lượng thông báo, hướng dẫn nghiệp vụ đã ban hành</v>
      </c>
      <c r="G76" s="275">
        <f>IFERROR(IF([2]running!N58=0,"",[2]running!N58),"")</f>
        <v>4</v>
      </c>
      <c r="H76" s="276" t="str">
        <f>IFERROR(IF([2]running!O58=0,"",[2]running!O58),"")</f>
        <v/>
      </c>
      <c r="I76" s="276">
        <f>IFERROR(IF([2]running!P58=0,"",[2]running!P58),"")</f>
        <v>4</v>
      </c>
      <c r="J76" s="276" t="str">
        <f>IFERROR(IF([2]running!Q58=0,"",[2]running!Q58),"")</f>
        <v/>
      </c>
      <c r="K76" s="276" t="str">
        <f>IFERROR(IF([2]running!R58=0,"",[2]running!R58),"")</f>
        <v/>
      </c>
      <c r="L76" s="276" t="str">
        <f>IFERROR(IF([2]running!S58=0,"",[2]running!S58),"")</f>
        <v/>
      </c>
      <c r="M76" s="276">
        <f>IFERROR(IF([2]running!T58=0,"",[2]running!T58),"")</f>
        <v>2</v>
      </c>
      <c r="N76" s="276">
        <f t="shared" si="3"/>
        <v>6</v>
      </c>
      <c r="O76" s="227" t="str">
        <f>IFERROR(IF([2]running!V58=0,"",[2]running!V58),"")</f>
        <v/>
      </c>
      <c r="P76" s="236" t="s">
        <v>4641</v>
      </c>
      <c r="Q76" s="278"/>
      <c r="R76" s="278" t="s">
        <v>4265</v>
      </c>
      <c r="S76" s="227" t="s">
        <v>100</v>
      </c>
      <c r="T76" s="227"/>
      <c r="U76" s="234" t="s">
        <v>4278</v>
      </c>
      <c r="V76" s="227"/>
      <c r="W76" s="227"/>
      <c r="X76" s="227"/>
      <c r="Y76" s="227" t="s">
        <v>4255</v>
      </c>
      <c r="Z76" s="227" t="s">
        <v>4333</v>
      </c>
      <c r="AA76" s="230" t="s">
        <v>4404</v>
      </c>
      <c r="AB76" s="227" t="s">
        <v>4516</v>
      </c>
      <c r="AC76" s="234" t="s">
        <v>4518</v>
      </c>
      <c r="AD76" s="227" t="s">
        <v>4514</v>
      </c>
      <c r="AE76" s="234" t="s">
        <v>4519</v>
      </c>
    </row>
    <row r="77" spans="1:31" s="280" customFormat="1" ht="56.25" hidden="1" x14ac:dyDescent="0.25">
      <c r="A77" s="273" t="s">
        <v>4604</v>
      </c>
      <c r="B77" s="274">
        <v>63</v>
      </c>
      <c r="C77" s="230" t="str">
        <f>IFERROR(IF([2]running!H69=0,"",[2]running!H69),"")</f>
        <v>Khác_GS&amp;XLTST&amp;NHĐT</v>
      </c>
      <c r="D77" s="230" t="s">
        <v>4334</v>
      </c>
      <c r="E77" s="227" t="s">
        <v>4335</v>
      </c>
      <c r="F77" s="227" t="s">
        <v>4336</v>
      </c>
      <c r="G77" s="275">
        <v>10</v>
      </c>
      <c r="H77" s="276"/>
      <c r="I77" s="276">
        <v>70</v>
      </c>
      <c r="J77" s="276">
        <v>50</v>
      </c>
      <c r="K77" s="276" t="str">
        <f>IFERROR(IF([2]running!R69=0,"",[2]running!R69),"")</f>
        <v/>
      </c>
      <c r="L77" s="276" t="str">
        <f>IFERROR(IF([2]running!S69=0,"",[2]running!S69),"")</f>
        <v/>
      </c>
      <c r="M77" s="276">
        <v>30</v>
      </c>
      <c r="N77" s="276">
        <f t="shared" si="3"/>
        <v>150</v>
      </c>
      <c r="O77" s="227" t="str">
        <f>IFERROR(IF([2]running!V69=0,"",[2]running!V69),"")</f>
        <v/>
      </c>
      <c r="P77" s="278"/>
      <c r="Q77" s="278" t="s">
        <v>4337</v>
      </c>
      <c r="R77" s="278" t="s">
        <v>4265</v>
      </c>
      <c r="S77" s="227" t="s">
        <v>41</v>
      </c>
      <c r="T77" s="227"/>
      <c r="U77" s="227"/>
      <c r="V77" s="227" t="s">
        <v>4338</v>
      </c>
      <c r="W77" s="227"/>
      <c r="X77" s="227"/>
      <c r="Y77" s="227" t="s">
        <v>4255</v>
      </c>
      <c r="Z77" s="227" t="s">
        <v>4339</v>
      </c>
      <c r="AA77" s="230" t="s">
        <v>4404</v>
      </c>
      <c r="AB77" s="227" t="s">
        <v>4516</v>
      </c>
      <c r="AC77" s="227" t="s">
        <v>4516</v>
      </c>
      <c r="AD77" s="227" t="s">
        <v>4514</v>
      </c>
      <c r="AE77" s="234" t="s">
        <v>4515</v>
      </c>
    </row>
    <row r="78" spans="1:31" s="280" customFormat="1" ht="56.25" hidden="1" x14ac:dyDescent="0.25">
      <c r="A78" s="273" t="s">
        <v>4605</v>
      </c>
      <c r="B78" s="274">
        <v>64</v>
      </c>
      <c r="C78" s="230" t="str">
        <f>IFERROR(IF([2]running!H70=0,"",[2]running!H70),"")</f>
        <v>Khác_GS&amp;XLTST&amp;NHĐT</v>
      </c>
      <c r="D78" s="230" t="s">
        <v>4334</v>
      </c>
      <c r="E78" s="227" t="s">
        <v>4340</v>
      </c>
      <c r="F78" s="227" t="s">
        <v>4336</v>
      </c>
      <c r="G78" s="275">
        <v>5</v>
      </c>
      <c r="H78" s="276"/>
      <c r="I78" s="276">
        <v>70</v>
      </c>
      <c r="J78" s="276">
        <v>50</v>
      </c>
      <c r="K78" s="276"/>
      <c r="L78" s="276" t="str">
        <f>IFERROR(IF([2]running!S70=0,"",[2]running!S70),"")</f>
        <v/>
      </c>
      <c r="M78" s="276">
        <v>30</v>
      </c>
      <c r="N78" s="276">
        <f t="shared" si="3"/>
        <v>150</v>
      </c>
      <c r="O78" s="227" t="str">
        <f>IFERROR(IF([2]running!V70=0,"",[2]running!V70),"")</f>
        <v/>
      </c>
      <c r="P78" s="278"/>
      <c r="Q78" s="278" t="s">
        <v>4341</v>
      </c>
      <c r="R78" s="278" t="s">
        <v>4265</v>
      </c>
      <c r="S78" s="227" t="s">
        <v>38</v>
      </c>
      <c r="T78" s="227"/>
      <c r="U78" s="227"/>
      <c r="V78" s="227" t="s">
        <v>4342</v>
      </c>
      <c r="W78" s="227"/>
      <c r="X78" s="227"/>
      <c r="Y78" s="227" t="s">
        <v>4255</v>
      </c>
      <c r="Z78" s="227" t="s">
        <v>4343</v>
      </c>
      <c r="AA78" s="230" t="s">
        <v>4404</v>
      </c>
      <c r="AB78" s="227" t="s">
        <v>4516</v>
      </c>
      <c r="AC78" s="227" t="s">
        <v>4516</v>
      </c>
      <c r="AD78" s="227" t="s">
        <v>4514</v>
      </c>
      <c r="AE78" s="234" t="s">
        <v>4515</v>
      </c>
    </row>
    <row r="79" spans="1:31" x14ac:dyDescent="0.25">
      <c r="D79" s="241"/>
      <c r="E79" s="241"/>
      <c r="F79" s="241"/>
      <c r="G79" s="281"/>
      <c r="H79" s="241"/>
      <c r="I79" s="241"/>
      <c r="J79" s="241"/>
      <c r="K79" s="241"/>
      <c r="L79" s="241"/>
    </row>
    <row r="80" spans="1:31" x14ac:dyDescent="0.25">
      <c r="D80" s="241"/>
      <c r="E80" s="241"/>
      <c r="F80" s="241"/>
      <c r="G80" s="281"/>
      <c r="H80" s="241"/>
      <c r="I80" s="241"/>
      <c r="J80" s="241"/>
      <c r="K80" s="241"/>
      <c r="L80" s="241"/>
    </row>
    <row r="81" spans="4:12" x14ac:dyDescent="0.25">
      <c r="D81" s="241"/>
      <c r="E81" s="241"/>
      <c r="F81" s="241"/>
      <c r="G81" s="281"/>
      <c r="H81" s="241"/>
      <c r="I81" s="241"/>
      <c r="J81" s="241"/>
      <c r="K81" s="241"/>
      <c r="L81" s="241"/>
    </row>
    <row r="82" spans="4:12" x14ac:dyDescent="0.25">
      <c r="D82" s="241"/>
      <c r="E82" s="241"/>
      <c r="F82" s="241"/>
      <c r="G82" s="281"/>
      <c r="H82" s="241"/>
      <c r="I82" s="241"/>
      <c r="J82" s="241"/>
      <c r="K82" s="241"/>
      <c r="L82" s="241"/>
    </row>
    <row r="83" spans="4:12" x14ac:dyDescent="0.25">
      <c r="D83" s="241"/>
      <c r="E83" s="241"/>
      <c r="F83" s="241"/>
      <c r="G83" s="281"/>
      <c r="H83" s="241"/>
      <c r="I83" s="241"/>
      <c r="J83" s="241"/>
      <c r="K83" s="241"/>
      <c r="L83" s="241"/>
    </row>
  </sheetData>
  <autoFilter ref="A14:AE78">
    <filterColumn colId="2">
      <colorFilter dxfId="0" cellColor="0"/>
    </filterColumn>
  </autoFilter>
  <mergeCells count="24">
    <mergeCell ref="C4:F4"/>
    <mergeCell ref="C5:F5"/>
    <mergeCell ref="C6:F6"/>
    <mergeCell ref="C7:F7"/>
    <mergeCell ref="C8:F8"/>
    <mergeCell ref="B10:C10"/>
    <mergeCell ref="Z13:Z14"/>
    <mergeCell ref="B11:C11"/>
    <mergeCell ref="B13:B14"/>
    <mergeCell ref="C13:C14"/>
    <mergeCell ref="D13:D14"/>
    <mergeCell ref="E13:E14"/>
    <mergeCell ref="F13:F14"/>
    <mergeCell ref="G13:G14"/>
    <mergeCell ref="H13:O13"/>
    <mergeCell ref="A13:A14"/>
    <mergeCell ref="AB13:AB14"/>
    <mergeCell ref="AC13:AC14"/>
    <mergeCell ref="AD13:AD14"/>
    <mergeCell ref="AE13:AE14"/>
    <mergeCell ref="P13:T13"/>
    <mergeCell ref="U13:X13"/>
    <mergeCell ref="Y13:Y14"/>
    <mergeCell ref="AA13:AA14"/>
  </mergeCells>
  <dataValidations count="2">
    <dataValidation type="list" allowBlank="1" showInputMessage="1" showErrorMessage="1" sqref="D11">
      <formula1>INDIRECT($I$10)</formula1>
    </dataValidation>
    <dataValidation type="list" allowBlank="1" showInputMessage="1" showErrorMessage="1" sqref="Y15:Y78">
      <formula1>"Đã có dữ liệu đáp ứng, Có thể cung cấp số liệu để đáp ứng, Không đáp ứng về dữ liệu"</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[2]Name_Khoi!#REF!</xm:f>
          </x14:formula1>
          <xm:sqref>D10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filterMode="1">
    <tabColor rgb="FF0070C0"/>
  </sheetPr>
  <dimension ref="A1:AE46"/>
  <sheetViews>
    <sheetView topLeftCell="A13" zoomScaleNormal="100" workbookViewId="0">
      <pane xSplit="5" ySplit="2" topLeftCell="AC15" activePane="bottomRight" state="frozen"/>
      <selection activeCell="A13" sqref="A13"/>
      <selection pane="topRight" activeCell="E13" sqref="E13"/>
      <selection pane="bottomLeft" activeCell="A15" sqref="A15"/>
      <selection pane="bottomRight" activeCell="C63" sqref="C63"/>
    </sheetView>
  </sheetViews>
  <sheetFormatPr defaultColWidth="9.140625" defaultRowHeight="15" x14ac:dyDescent="0.25"/>
  <cols>
    <col min="1" max="1" width="9.140625" style="108"/>
    <col min="2" max="2" width="5.5703125" style="108" customWidth="1"/>
    <col min="3" max="3" width="29.85546875" style="108" customWidth="1"/>
    <col min="4" max="4" width="33.140625" style="108" customWidth="1"/>
    <col min="5" max="5" width="32.7109375" style="108" customWidth="1"/>
    <col min="6" max="6" width="13.140625" style="108" customWidth="1"/>
    <col min="7" max="7" width="10.140625" style="115" customWidth="1"/>
    <col min="8" max="8" width="7.140625" style="108" customWidth="1"/>
    <col min="9" max="9" width="7.7109375" style="108" customWidth="1"/>
    <col min="10" max="11" width="6.7109375" style="108" customWidth="1"/>
    <col min="12" max="12" width="6.5703125" style="108" bestFit="1" customWidth="1"/>
    <col min="13" max="13" width="6.28515625" style="108" customWidth="1"/>
    <col min="14" max="14" width="7.85546875" style="209" customWidth="1"/>
    <col min="15" max="15" width="7.85546875" style="108" hidden="1" customWidth="1"/>
    <col min="16" max="16" width="14" style="109" customWidth="1"/>
    <col min="17" max="17" width="14.42578125" style="109" customWidth="1"/>
    <col min="18" max="18" width="12.140625" style="109" customWidth="1"/>
    <col min="19" max="19" width="11.140625" style="108" customWidth="1"/>
    <col min="20" max="20" width="8" style="108" customWidth="1"/>
    <col min="21" max="21" width="15.5703125" style="110" customWidth="1"/>
    <col min="22" max="22" width="12.28515625" style="108" customWidth="1"/>
    <col min="23" max="24" width="11.140625" style="108" customWidth="1"/>
    <col min="25" max="26" width="25" style="108" customWidth="1"/>
    <col min="27" max="27" width="30" style="108" customWidth="1"/>
    <col min="28" max="28" width="20.85546875" style="111" customWidth="1"/>
    <col min="29" max="29" width="18.85546875" style="108" customWidth="1"/>
    <col min="30" max="31" width="13.5703125" style="108" customWidth="1"/>
    <col min="32" max="16384" width="9.140625" style="108"/>
  </cols>
  <sheetData>
    <row r="1" spans="1:31" x14ac:dyDescent="0.25">
      <c r="C1" s="116" t="s">
        <v>4033</v>
      </c>
    </row>
    <row r="2" spans="1:31" ht="19.5" thickBot="1" x14ac:dyDescent="0.3">
      <c r="C2" s="117" t="s">
        <v>4032</v>
      </c>
      <c r="D2" s="117"/>
      <c r="E2" s="117"/>
      <c r="F2" s="117"/>
      <c r="G2" s="118"/>
      <c r="H2" s="117"/>
      <c r="I2" s="117"/>
      <c r="J2" s="117"/>
      <c r="K2" s="117"/>
      <c r="L2" s="117"/>
      <c r="M2" s="117"/>
      <c r="N2" s="210"/>
      <c r="O2" s="117"/>
      <c r="P2" s="119"/>
      <c r="Q2" s="119"/>
      <c r="R2" s="119"/>
      <c r="S2" s="117"/>
      <c r="T2" s="117"/>
      <c r="U2" s="120"/>
      <c r="V2" s="117"/>
      <c r="W2" s="117"/>
      <c r="X2" s="117"/>
      <c r="Y2" s="117"/>
      <c r="Z2" s="117"/>
      <c r="AA2" s="117"/>
      <c r="AB2" s="117"/>
    </row>
    <row r="3" spans="1:31" x14ac:dyDescent="0.25">
      <c r="B3" s="121"/>
      <c r="C3" s="122" t="s">
        <v>4059</v>
      </c>
      <c r="D3" s="123"/>
      <c r="E3" s="123"/>
      <c r="F3" s="124"/>
      <c r="G3" s="125"/>
      <c r="H3" s="121"/>
      <c r="I3" s="121"/>
      <c r="J3" s="121"/>
      <c r="K3" s="121"/>
      <c r="L3" s="121"/>
      <c r="M3" s="121"/>
      <c r="N3" s="211"/>
      <c r="O3" s="121"/>
      <c r="P3" s="121"/>
      <c r="Q3" s="121"/>
      <c r="R3" s="121"/>
      <c r="S3" s="121"/>
      <c r="T3" s="121"/>
      <c r="U3" s="126"/>
      <c r="V3" s="121"/>
      <c r="W3" s="121"/>
      <c r="X3" s="121"/>
      <c r="Y3" s="121"/>
      <c r="Z3" s="121"/>
      <c r="AA3" s="121"/>
      <c r="AB3" s="121"/>
    </row>
    <row r="4" spans="1:31" x14ac:dyDescent="0.25">
      <c r="B4" s="121"/>
      <c r="C4" s="406" t="s">
        <v>4054</v>
      </c>
      <c r="D4" s="407"/>
      <c r="E4" s="407"/>
      <c r="F4" s="408"/>
      <c r="G4" s="125"/>
      <c r="H4" s="121"/>
      <c r="I4" s="121"/>
      <c r="J4" s="121"/>
      <c r="K4" s="121"/>
      <c r="L4" s="121"/>
      <c r="M4" s="121"/>
      <c r="N4" s="211"/>
      <c r="O4" s="121"/>
      <c r="P4" s="121"/>
      <c r="Q4" s="121"/>
      <c r="R4" s="121"/>
      <c r="S4" s="121"/>
      <c r="T4" s="121"/>
      <c r="U4" s="126"/>
      <c r="V4" s="121"/>
      <c r="W4" s="121"/>
      <c r="X4" s="121"/>
      <c r="Y4" s="121"/>
      <c r="Z4" s="121"/>
      <c r="AA4" s="121"/>
      <c r="AB4" s="121"/>
    </row>
    <row r="5" spans="1:31" x14ac:dyDescent="0.25">
      <c r="B5" s="121"/>
      <c r="C5" s="409" t="s">
        <v>4052</v>
      </c>
      <c r="D5" s="410"/>
      <c r="E5" s="410"/>
      <c r="F5" s="411"/>
      <c r="G5" s="125"/>
      <c r="H5" s="121"/>
      <c r="I5" s="121"/>
      <c r="J5" s="121"/>
      <c r="K5" s="121"/>
      <c r="L5" s="121"/>
      <c r="M5" s="121"/>
      <c r="N5" s="211"/>
      <c r="O5" s="121"/>
      <c r="P5" s="121"/>
      <c r="Q5" s="121"/>
      <c r="R5" s="121"/>
      <c r="S5" s="121"/>
      <c r="T5" s="121"/>
      <c r="U5" s="126"/>
      <c r="V5" s="121"/>
      <c r="W5" s="121"/>
      <c r="X5" s="121"/>
      <c r="Y5" s="121"/>
      <c r="Z5" s="121"/>
      <c r="AA5" s="121"/>
      <c r="AB5" s="121"/>
    </row>
    <row r="6" spans="1:31" x14ac:dyDescent="0.25">
      <c r="B6" s="121"/>
      <c r="C6" s="409" t="s">
        <v>4053</v>
      </c>
      <c r="D6" s="410"/>
      <c r="E6" s="410"/>
      <c r="F6" s="411"/>
      <c r="G6" s="125"/>
      <c r="H6" s="121"/>
      <c r="I6" s="121"/>
      <c r="J6" s="121"/>
      <c r="K6" s="121"/>
      <c r="L6" s="121"/>
      <c r="M6" s="121"/>
      <c r="N6" s="211"/>
      <c r="O6" s="121"/>
      <c r="P6" s="121"/>
      <c r="Q6" s="121"/>
      <c r="R6" s="121"/>
      <c r="S6" s="121"/>
      <c r="T6" s="121"/>
      <c r="U6" s="126"/>
      <c r="V6" s="121"/>
      <c r="W6" s="121"/>
      <c r="X6" s="121"/>
      <c r="Y6" s="121"/>
      <c r="Z6" s="121"/>
      <c r="AA6" s="121"/>
      <c r="AB6" s="121"/>
    </row>
    <row r="7" spans="1:31" x14ac:dyDescent="0.25">
      <c r="B7" s="121"/>
      <c r="C7" s="412" t="s">
        <v>4056</v>
      </c>
      <c r="D7" s="413"/>
      <c r="E7" s="413"/>
      <c r="F7" s="414"/>
      <c r="G7" s="125"/>
      <c r="H7" s="121"/>
      <c r="I7" s="121"/>
      <c r="J7" s="121"/>
      <c r="K7" s="121"/>
      <c r="L7" s="121"/>
      <c r="M7" s="121"/>
      <c r="N7" s="211"/>
      <c r="O7" s="121"/>
      <c r="P7" s="121"/>
      <c r="Q7" s="121"/>
      <c r="R7" s="121"/>
      <c r="S7" s="121"/>
      <c r="T7" s="121"/>
      <c r="U7" s="126"/>
      <c r="V7" s="121"/>
      <c r="W7" s="121"/>
      <c r="X7" s="121"/>
      <c r="Y7" s="121"/>
      <c r="Z7" s="121"/>
      <c r="AA7" s="121"/>
      <c r="AB7" s="121"/>
    </row>
    <row r="8" spans="1:31" ht="15.75" thickBot="1" x14ac:dyDescent="0.3">
      <c r="B8" s="121"/>
      <c r="C8" s="415" t="s">
        <v>4060</v>
      </c>
      <c r="D8" s="416"/>
      <c r="E8" s="416"/>
      <c r="F8" s="417"/>
      <c r="G8" s="125"/>
      <c r="H8" s="121"/>
      <c r="I8" s="121"/>
      <c r="J8" s="121"/>
      <c r="K8" s="121"/>
      <c r="L8" s="121"/>
      <c r="M8" s="121"/>
      <c r="N8" s="211"/>
      <c r="O8" s="121"/>
      <c r="P8" s="121"/>
      <c r="Q8" s="121"/>
      <c r="R8" s="121"/>
      <c r="S8" s="121"/>
      <c r="T8" s="121"/>
      <c r="U8" s="126"/>
      <c r="V8" s="121"/>
      <c r="W8" s="121"/>
      <c r="X8" s="121"/>
      <c r="Y8" s="121"/>
      <c r="Z8" s="121"/>
      <c r="AA8" s="121"/>
      <c r="AB8" s="121"/>
    </row>
    <row r="9" spans="1:31" ht="15.75" thickBot="1" x14ac:dyDescent="0.3">
      <c r="B9" s="121"/>
      <c r="C9" s="121"/>
      <c r="D9" s="121"/>
      <c r="E9" s="121"/>
      <c r="F9" s="121"/>
      <c r="G9" s="125"/>
      <c r="H9" s="121"/>
      <c r="I9" s="121"/>
      <c r="J9" s="121"/>
      <c r="K9" s="121"/>
      <c r="L9" s="121"/>
      <c r="M9" s="121"/>
      <c r="N9" s="211"/>
      <c r="O9" s="121"/>
      <c r="P9" s="121"/>
      <c r="Q9" s="121"/>
      <c r="R9" s="121"/>
      <c r="S9" s="121"/>
      <c r="T9" s="121"/>
      <c r="U9" s="126"/>
      <c r="V9" s="121"/>
      <c r="W9" s="121"/>
      <c r="X9" s="121"/>
      <c r="Y9" s="121"/>
      <c r="Z9" s="121"/>
      <c r="AA9" s="121"/>
      <c r="AB9" s="121"/>
    </row>
    <row r="10" spans="1:31" x14ac:dyDescent="0.25">
      <c r="B10" s="351" t="s">
        <v>4036</v>
      </c>
      <c r="C10" s="352"/>
      <c r="D10" s="127" t="s">
        <v>4</v>
      </c>
      <c r="E10" s="7"/>
      <c r="F10" s="7"/>
      <c r="G10" s="112"/>
      <c r="H10" s="8"/>
      <c r="I10" s="128" t="str">
        <f>VLOOKUP(D10,[2]Name_Phong!$A$3:$B$59,2,0)</f>
        <v>KHOI14</v>
      </c>
      <c r="J10" s="121"/>
      <c r="K10" s="121"/>
      <c r="L10" s="121"/>
      <c r="M10" s="121"/>
      <c r="N10" s="211"/>
      <c r="O10" s="121"/>
      <c r="P10" s="121"/>
      <c r="Q10" s="121"/>
      <c r="R10" s="121"/>
      <c r="S10" s="121"/>
      <c r="T10" s="121"/>
      <c r="U10" s="126"/>
      <c r="V10" s="121"/>
      <c r="W10" s="121"/>
      <c r="X10" s="121"/>
      <c r="Y10" s="121"/>
      <c r="Z10" s="121"/>
      <c r="AA10" s="121"/>
      <c r="AB10" s="121"/>
    </row>
    <row r="11" spans="1:31" ht="26.25" thickBot="1" x14ac:dyDescent="0.3">
      <c r="B11" s="351" t="s">
        <v>4037</v>
      </c>
      <c r="C11" s="352"/>
      <c r="D11" s="129" t="s">
        <v>27</v>
      </c>
      <c r="E11" s="7"/>
      <c r="F11" s="7"/>
      <c r="G11" s="112"/>
      <c r="H11" s="8"/>
      <c r="I11" s="121"/>
      <c r="J11" s="121"/>
      <c r="K11" s="121"/>
      <c r="L11" s="121"/>
      <c r="M11" s="121"/>
      <c r="N11" s="211"/>
      <c r="O11" s="121"/>
      <c r="P11" s="121"/>
      <c r="Q11" s="121"/>
      <c r="R11" s="121"/>
      <c r="S11" s="121"/>
      <c r="T11" s="121"/>
      <c r="U11" s="126"/>
      <c r="V11" s="121"/>
      <c r="W11" s="121"/>
      <c r="X11" s="121"/>
      <c r="Y11" s="121"/>
      <c r="Z11" s="121"/>
      <c r="AA11" s="121"/>
      <c r="AB11" s="121"/>
    </row>
    <row r="12" spans="1:31" x14ac:dyDescent="0.25">
      <c r="B12" s="208"/>
      <c r="C12" s="208"/>
      <c r="D12" s="208"/>
      <c r="E12" s="7"/>
      <c r="F12" s="7"/>
      <c r="G12" s="112"/>
      <c r="H12" s="8"/>
      <c r="I12" s="121"/>
      <c r="J12" s="121"/>
      <c r="K12" s="121"/>
      <c r="L12" s="121"/>
      <c r="M12" s="121"/>
      <c r="N12" s="211"/>
      <c r="O12" s="121"/>
      <c r="P12" s="121"/>
      <c r="Q12" s="121"/>
      <c r="R12" s="121"/>
      <c r="S12" s="121"/>
      <c r="T12" s="121"/>
      <c r="U12" s="126"/>
      <c r="V12" s="121"/>
      <c r="W12" s="121"/>
      <c r="X12" s="121"/>
      <c r="Y12" s="121"/>
      <c r="Z12" s="121"/>
      <c r="AA12" s="121"/>
      <c r="AB12" s="121"/>
    </row>
    <row r="13" spans="1:31" s="130" customFormat="1" ht="14.25" customHeight="1" x14ac:dyDescent="0.2">
      <c r="A13" s="396" t="s">
        <v>4530</v>
      </c>
      <c r="B13" s="396" t="s">
        <v>4031</v>
      </c>
      <c r="C13" s="397" t="s">
        <v>4018</v>
      </c>
      <c r="D13" s="397" t="s">
        <v>4016</v>
      </c>
      <c r="E13" s="418" t="s">
        <v>4024</v>
      </c>
      <c r="F13" s="418" t="s">
        <v>4253</v>
      </c>
      <c r="G13" s="420" t="s">
        <v>4035</v>
      </c>
      <c r="H13" s="418" t="s">
        <v>4022</v>
      </c>
      <c r="I13" s="418"/>
      <c r="J13" s="418"/>
      <c r="K13" s="418"/>
      <c r="L13" s="418"/>
      <c r="M13" s="418"/>
      <c r="N13" s="422"/>
      <c r="O13" s="418"/>
      <c r="P13" s="398" t="s">
        <v>4021</v>
      </c>
      <c r="Q13" s="399"/>
      <c r="R13" s="399"/>
      <c r="S13" s="399"/>
      <c r="T13" s="400"/>
      <c r="U13" s="401" t="s">
        <v>4020</v>
      </c>
      <c r="V13" s="402"/>
      <c r="W13" s="402"/>
      <c r="X13" s="403"/>
      <c r="Y13" s="404" t="s">
        <v>4063</v>
      </c>
      <c r="Z13" s="418" t="s">
        <v>4062</v>
      </c>
      <c r="AA13" s="404" t="s">
        <v>4403</v>
      </c>
      <c r="AB13" s="340" t="s">
        <v>4510</v>
      </c>
      <c r="AC13" s="340" t="s">
        <v>4511</v>
      </c>
      <c r="AD13" s="340" t="s">
        <v>4512</v>
      </c>
      <c r="AE13" s="340" t="s">
        <v>4513</v>
      </c>
    </row>
    <row r="14" spans="1:31" s="130" customFormat="1" ht="42" x14ac:dyDescent="0.2">
      <c r="A14" s="397"/>
      <c r="B14" s="397"/>
      <c r="C14" s="423"/>
      <c r="D14" s="423"/>
      <c r="E14" s="419"/>
      <c r="F14" s="419"/>
      <c r="G14" s="421"/>
      <c r="H14" s="5" t="s">
        <v>4015</v>
      </c>
      <c r="I14" s="207" t="s">
        <v>4014</v>
      </c>
      <c r="J14" s="207" t="s">
        <v>4013</v>
      </c>
      <c r="K14" s="207" t="s">
        <v>4012</v>
      </c>
      <c r="L14" s="207" t="s">
        <v>4011</v>
      </c>
      <c r="M14" s="207" t="s">
        <v>4010</v>
      </c>
      <c r="N14" s="212" t="s">
        <v>4009</v>
      </c>
      <c r="O14" s="4" t="s">
        <v>4008</v>
      </c>
      <c r="P14" s="207" t="s">
        <v>1561</v>
      </c>
      <c r="Q14" s="207" t="s">
        <v>419</v>
      </c>
      <c r="R14" s="207" t="s">
        <v>3503</v>
      </c>
      <c r="S14" s="207" t="s">
        <v>4006</v>
      </c>
      <c r="T14" s="207" t="s">
        <v>4061</v>
      </c>
      <c r="U14" s="217" t="s">
        <v>1561</v>
      </c>
      <c r="V14" s="207" t="s">
        <v>419</v>
      </c>
      <c r="W14" s="207" t="s">
        <v>3503</v>
      </c>
      <c r="X14" s="207" t="s">
        <v>4006</v>
      </c>
      <c r="Y14" s="405"/>
      <c r="Z14" s="419"/>
      <c r="AA14" s="404"/>
      <c r="AB14" s="341"/>
      <c r="AC14" s="341"/>
      <c r="AD14" s="341"/>
      <c r="AE14" s="341"/>
    </row>
    <row r="15" spans="1:31" s="153" customFormat="1" ht="56.25" hidden="1" x14ac:dyDescent="0.25">
      <c r="A15" s="290" t="s">
        <v>4606</v>
      </c>
      <c r="B15" s="218">
        <v>1</v>
      </c>
      <c r="C15" s="222" t="s">
        <v>4358</v>
      </c>
      <c r="D15" s="222" t="s">
        <v>4358</v>
      </c>
      <c r="E15" s="134" t="s">
        <v>4465</v>
      </c>
      <c r="F15" s="134" t="s">
        <v>4467</v>
      </c>
      <c r="G15" s="215">
        <v>10</v>
      </c>
      <c r="H15" s="135">
        <v>120</v>
      </c>
      <c r="I15" s="135">
        <v>75</v>
      </c>
      <c r="J15" s="135">
        <v>40</v>
      </c>
      <c r="K15" s="135">
        <v>20</v>
      </c>
      <c r="L15" s="135">
        <v>20</v>
      </c>
      <c r="M15" s="135">
        <v>7.5</v>
      </c>
      <c r="N15" s="213">
        <f>SUM(H15:M15)</f>
        <v>282.5</v>
      </c>
      <c r="O15" s="134"/>
      <c r="P15" s="136"/>
      <c r="Q15" s="136" t="s">
        <v>4337</v>
      </c>
      <c r="R15" s="136" t="s">
        <v>4265</v>
      </c>
      <c r="S15" s="134" t="s">
        <v>41</v>
      </c>
      <c r="T15" s="134"/>
      <c r="U15" s="136"/>
      <c r="V15" s="136" t="s">
        <v>4338</v>
      </c>
      <c r="W15" s="136"/>
      <c r="X15" s="134"/>
      <c r="Y15" s="134" t="s">
        <v>4255</v>
      </c>
      <c r="Z15" s="134" t="s">
        <v>4339</v>
      </c>
      <c r="AA15" s="152" t="s">
        <v>4469</v>
      </c>
      <c r="AB15" s="227" t="s">
        <v>4516</v>
      </c>
      <c r="AC15" s="227" t="s">
        <v>4644</v>
      </c>
      <c r="AD15" s="227" t="s">
        <v>4514</v>
      </c>
      <c r="AE15" s="227" t="s">
        <v>4517</v>
      </c>
    </row>
    <row r="16" spans="1:31" s="153" customFormat="1" ht="45" hidden="1" x14ac:dyDescent="0.25">
      <c r="A16" s="290" t="s">
        <v>4607</v>
      </c>
      <c r="B16" s="218">
        <v>2</v>
      </c>
      <c r="C16" s="222" t="s">
        <v>4358</v>
      </c>
      <c r="D16" s="222" t="s">
        <v>4358</v>
      </c>
      <c r="E16" s="134" t="s">
        <v>4466</v>
      </c>
      <c r="F16" s="134" t="s">
        <v>4467</v>
      </c>
      <c r="G16" s="215">
        <v>5</v>
      </c>
      <c r="H16" s="135">
        <v>120</v>
      </c>
      <c r="I16" s="135">
        <v>75</v>
      </c>
      <c r="J16" s="135">
        <v>40</v>
      </c>
      <c r="K16" s="135">
        <v>20</v>
      </c>
      <c r="L16" s="135">
        <v>20</v>
      </c>
      <c r="M16" s="135">
        <v>7.5</v>
      </c>
      <c r="N16" s="213">
        <f>SUM(H16:M16)</f>
        <v>282.5</v>
      </c>
      <c r="O16" s="134"/>
      <c r="P16" s="136"/>
      <c r="Q16" s="136" t="s">
        <v>4341</v>
      </c>
      <c r="R16" s="136" t="s">
        <v>4265</v>
      </c>
      <c r="S16" s="134" t="s">
        <v>38</v>
      </c>
      <c r="T16" s="134"/>
      <c r="U16" s="136"/>
      <c r="V16" s="136" t="s">
        <v>4342</v>
      </c>
      <c r="W16" s="136"/>
      <c r="X16" s="134"/>
      <c r="Y16" s="134" t="s">
        <v>4255</v>
      </c>
      <c r="Z16" s="134" t="s">
        <v>4343</v>
      </c>
      <c r="AA16" s="152" t="s">
        <v>4469</v>
      </c>
      <c r="AB16" s="227" t="s">
        <v>4516</v>
      </c>
      <c r="AC16" s="227" t="s">
        <v>4643</v>
      </c>
      <c r="AD16" s="227" t="s">
        <v>4514</v>
      </c>
      <c r="AE16" s="227" t="s">
        <v>4517</v>
      </c>
    </row>
    <row r="17" spans="1:31" s="153" customFormat="1" ht="56.25" hidden="1" x14ac:dyDescent="0.25">
      <c r="A17" s="290" t="s">
        <v>4608</v>
      </c>
      <c r="B17" s="218">
        <v>3</v>
      </c>
      <c r="C17" s="222" t="s">
        <v>4358</v>
      </c>
      <c r="D17" s="222" t="s">
        <v>4358</v>
      </c>
      <c r="E17" s="222" t="s">
        <v>4460</v>
      </c>
      <c r="F17" s="222" t="s">
        <v>4461</v>
      </c>
      <c r="G17" s="215">
        <v>15</v>
      </c>
      <c r="H17" s="135">
        <v>80</v>
      </c>
      <c r="I17" s="135">
        <v>50</v>
      </c>
      <c r="J17" s="135">
        <v>40</v>
      </c>
      <c r="K17" s="135">
        <v>20</v>
      </c>
      <c r="L17" s="135">
        <v>20</v>
      </c>
      <c r="M17" s="135">
        <v>5</v>
      </c>
      <c r="N17" s="213">
        <f>SUM(H17:M17)</f>
        <v>215</v>
      </c>
      <c r="O17" s="134"/>
      <c r="P17" s="136"/>
      <c r="Q17" s="136" t="s">
        <v>4337</v>
      </c>
      <c r="R17" s="136" t="s">
        <v>4265</v>
      </c>
      <c r="S17" s="134" t="s">
        <v>41</v>
      </c>
      <c r="T17" s="134"/>
      <c r="U17" s="136"/>
      <c r="V17" s="136" t="s">
        <v>4338</v>
      </c>
      <c r="W17" s="136"/>
      <c r="X17" s="134"/>
      <c r="Y17" s="134" t="s">
        <v>4255</v>
      </c>
      <c r="Z17" s="134" t="s">
        <v>4462</v>
      </c>
      <c r="AA17" s="152" t="s">
        <v>4469</v>
      </c>
      <c r="AB17" s="227" t="s">
        <v>4516</v>
      </c>
      <c r="AC17" s="227" t="s">
        <v>4644</v>
      </c>
      <c r="AD17" s="227" t="s">
        <v>4514</v>
      </c>
      <c r="AE17" s="227" t="s">
        <v>4517</v>
      </c>
    </row>
    <row r="18" spans="1:31" s="153" customFormat="1" ht="45" hidden="1" x14ac:dyDescent="0.25">
      <c r="A18" s="290" t="s">
        <v>4609</v>
      </c>
      <c r="B18" s="218">
        <v>4</v>
      </c>
      <c r="C18" s="222" t="s">
        <v>4358</v>
      </c>
      <c r="D18" s="222" t="s">
        <v>4358</v>
      </c>
      <c r="E18" s="222" t="s">
        <v>4463</v>
      </c>
      <c r="F18" s="222" t="s">
        <v>4461</v>
      </c>
      <c r="G18" s="215">
        <v>10</v>
      </c>
      <c r="H18" s="135">
        <v>40</v>
      </c>
      <c r="I18" s="135">
        <v>30</v>
      </c>
      <c r="J18" s="135">
        <v>20</v>
      </c>
      <c r="K18" s="135">
        <v>15</v>
      </c>
      <c r="L18" s="135">
        <v>5</v>
      </c>
      <c r="M18" s="135">
        <v>5</v>
      </c>
      <c r="N18" s="213">
        <f>SUM(H18:M18)</f>
        <v>115</v>
      </c>
      <c r="O18" s="134"/>
      <c r="P18" s="136"/>
      <c r="Q18" s="136" t="s">
        <v>4341</v>
      </c>
      <c r="R18" s="136" t="s">
        <v>4265</v>
      </c>
      <c r="S18" s="134" t="s">
        <v>38</v>
      </c>
      <c r="T18" s="134"/>
      <c r="U18" s="136"/>
      <c r="V18" s="136" t="s">
        <v>4342</v>
      </c>
      <c r="W18" s="136"/>
      <c r="X18" s="134"/>
      <c r="Y18" s="134" t="s">
        <v>4255</v>
      </c>
      <c r="Z18" s="134" t="s">
        <v>4464</v>
      </c>
      <c r="AA18" s="152" t="s">
        <v>4469</v>
      </c>
      <c r="AB18" s="227" t="s">
        <v>4516</v>
      </c>
      <c r="AC18" s="227" t="s">
        <v>4643</v>
      </c>
      <c r="AD18" s="227" t="s">
        <v>4514</v>
      </c>
      <c r="AE18" s="227" t="s">
        <v>4517</v>
      </c>
    </row>
    <row r="19" spans="1:31" s="326" customFormat="1" ht="45" x14ac:dyDescent="0.25">
      <c r="A19" s="291" t="s">
        <v>4610</v>
      </c>
      <c r="B19" s="291">
        <v>5</v>
      </c>
      <c r="C19" s="322" t="s">
        <v>4345</v>
      </c>
      <c r="D19" s="322" t="s">
        <v>4346</v>
      </c>
      <c r="E19" s="323" t="s">
        <v>4361</v>
      </c>
      <c r="F19" s="323" t="s">
        <v>4360</v>
      </c>
      <c r="G19" s="324">
        <v>30</v>
      </c>
      <c r="H19" s="325"/>
      <c r="I19" s="324">
        <v>2</v>
      </c>
      <c r="J19" s="325">
        <v>0.5</v>
      </c>
      <c r="K19" s="325">
        <v>0.5</v>
      </c>
      <c r="L19" s="325">
        <v>0.25</v>
      </c>
      <c r="M19" s="325">
        <v>0.25</v>
      </c>
      <c r="N19" s="325">
        <f>SUM(H19:M19)</f>
        <v>3.5</v>
      </c>
      <c r="O19" s="323"/>
      <c r="P19" s="289" t="s">
        <v>4278</v>
      </c>
      <c r="Q19" s="289"/>
      <c r="R19" s="289" t="s">
        <v>4375</v>
      </c>
      <c r="S19" s="323" t="s">
        <v>100</v>
      </c>
      <c r="T19" s="323"/>
      <c r="U19" s="289" t="s">
        <v>4278</v>
      </c>
      <c r="V19" s="289"/>
      <c r="W19" s="289"/>
      <c r="X19" s="323"/>
      <c r="Y19" s="323" t="s">
        <v>4255</v>
      </c>
      <c r="Z19" s="323" t="s">
        <v>4326</v>
      </c>
      <c r="AA19" s="293" t="s">
        <v>4469</v>
      </c>
      <c r="AB19" s="234" t="s">
        <v>4516</v>
      </c>
      <c r="AC19" s="234" t="s">
        <v>4278</v>
      </c>
      <c r="AD19" s="235" t="s">
        <v>4514</v>
      </c>
      <c r="AE19" s="235" t="s">
        <v>4519</v>
      </c>
    </row>
    <row r="20" spans="1:31" s="326" customFormat="1" ht="33.75" x14ac:dyDescent="0.25">
      <c r="A20" s="291" t="s">
        <v>4611</v>
      </c>
      <c r="B20" s="291">
        <v>6</v>
      </c>
      <c r="C20" s="322" t="s">
        <v>4345</v>
      </c>
      <c r="D20" s="322" t="s">
        <v>4351</v>
      </c>
      <c r="E20" s="322" t="s">
        <v>4348</v>
      </c>
      <c r="F20" s="323" t="s">
        <v>4364</v>
      </c>
      <c r="G20" s="324">
        <v>50</v>
      </c>
      <c r="H20" s="325"/>
      <c r="I20" s="325">
        <v>3</v>
      </c>
      <c r="J20" s="325">
        <v>1.5</v>
      </c>
      <c r="K20" s="325"/>
      <c r="L20" s="325"/>
      <c r="M20" s="325"/>
      <c r="N20" s="325">
        <f t="shared" ref="N20:N23" si="0">SUM(H20:M20)</f>
        <v>4.5</v>
      </c>
      <c r="O20" s="323"/>
      <c r="P20" s="289" t="s">
        <v>79</v>
      </c>
      <c r="Q20" s="289" t="s">
        <v>4374</v>
      </c>
      <c r="R20" s="289" t="s">
        <v>4375</v>
      </c>
      <c r="S20" s="323" t="s">
        <v>100</v>
      </c>
      <c r="T20" s="323"/>
      <c r="U20" s="289" t="s">
        <v>4378</v>
      </c>
      <c r="V20" s="289" t="s">
        <v>4378</v>
      </c>
      <c r="W20" s="289"/>
      <c r="X20" s="323"/>
      <c r="Y20" s="323" t="s">
        <v>4255</v>
      </c>
      <c r="Z20" s="323" t="s">
        <v>4470</v>
      </c>
      <c r="AA20" s="293" t="s">
        <v>4469</v>
      </c>
      <c r="AB20" s="234" t="s">
        <v>4516</v>
      </c>
      <c r="AC20" s="234" t="s">
        <v>4516</v>
      </c>
      <c r="AD20" s="235" t="s">
        <v>4514</v>
      </c>
      <c r="AE20" s="235" t="s">
        <v>4517</v>
      </c>
    </row>
    <row r="21" spans="1:31" s="153" customFormat="1" ht="33.75" hidden="1" x14ac:dyDescent="0.25">
      <c r="A21" s="291" t="s">
        <v>4612</v>
      </c>
      <c r="B21" s="223">
        <v>7</v>
      </c>
      <c r="C21" s="224" t="s">
        <v>4345</v>
      </c>
      <c r="D21" s="224" t="s">
        <v>4347</v>
      </c>
      <c r="E21" s="224" t="s">
        <v>4347</v>
      </c>
      <c r="F21" s="131" t="s">
        <v>4377</v>
      </c>
      <c r="G21" s="216">
        <v>288</v>
      </c>
      <c r="H21" s="132">
        <v>0.25</v>
      </c>
      <c r="I21" s="132"/>
      <c r="J21" s="132"/>
      <c r="K21" s="132"/>
      <c r="L21" s="132"/>
      <c r="M21" s="132"/>
      <c r="N21" s="132">
        <f t="shared" si="0"/>
        <v>0.25</v>
      </c>
      <c r="O21" s="131"/>
      <c r="P21" s="133" t="s">
        <v>79</v>
      </c>
      <c r="Q21" s="133" t="s">
        <v>4374</v>
      </c>
      <c r="R21" s="133"/>
      <c r="S21" s="131"/>
      <c r="T21" s="131"/>
      <c r="U21" s="133" t="s">
        <v>4378</v>
      </c>
      <c r="V21" s="133" t="s">
        <v>4378</v>
      </c>
      <c r="W21" s="133"/>
      <c r="X21" s="131"/>
      <c r="Y21" s="131" t="s">
        <v>4255</v>
      </c>
      <c r="Z21" s="131" t="s">
        <v>4471</v>
      </c>
      <c r="AA21" s="152" t="s">
        <v>4469</v>
      </c>
      <c r="AB21" s="227" t="s">
        <v>4516</v>
      </c>
      <c r="AC21" s="227" t="s">
        <v>4516</v>
      </c>
      <c r="AD21" s="228" t="s">
        <v>4514</v>
      </c>
      <c r="AE21" s="228" t="s">
        <v>4517</v>
      </c>
    </row>
    <row r="22" spans="1:31" s="326" customFormat="1" ht="22.5" x14ac:dyDescent="0.25">
      <c r="A22" s="291" t="s">
        <v>4613</v>
      </c>
      <c r="B22" s="291">
        <v>8</v>
      </c>
      <c r="C22" s="322" t="s">
        <v>4345</v>
      </c>
      <c r="D22" s="322" t="s">
        <v>4456</v>
      </c>
      <c r="E22" s="322" t="s">
        <v>4456</v>
      </c>
      <c r="F22" s="323" t="s">
        <v>402</v>
      </c>
      <c r="G22" s="324">
        <v>12</v>
      </c>
      <c r="H22" s="325">
        <v>3</v>
      </c>
      <c r="I22" s="325">
        <v>2</v>
      </c>
      <c r="J22" s="325"/>
      <c r="K22" s="325"/>
      <c r="L22" s="325"/>
      <c r="M22" s="325">
        <v>0.5</v>
      </c>
      <c r="N22" s="325">
        <f t="shared" si="0"/>
        <v>5.5</v>
      </c>
      <c r="O22" s="323"/>
      <c r="P22" s="289" t="s">
        <v>4379</v>
      </c>
      <c r="Q22" s="289"/>
      <c r="R22" s="289" t="s">
        <v>71</v>
      </c>
      <c r="S22" s="323"/>
      <c r="T22" s="323"/>
      <c r="U22" s="289" t="s">
        <v>402</v>
      </c>
      <c r="V22" s="289"/>
      <c r="W22" s="289" t="s">
        <v>71</v>
      </c>
      <c r="X22" s="323"/>
      <c r="Y22" s="323" t="s">
        <v>4255</v>
      </c>
      <c r="Z22" s="323" t="s">
        <v>4326</v>
      </c>
      <c r="AA22" s="293" t="s">
        <v>4469</v>
      </c>
      <c r="AB22" s="234" t="s">
        <v>4516</v>
      </c>
      <c r="AC22" s="234" t="s">
        <v>4516</v>
      </c>
      <c r="AD22" s="235" t="s">
        <v>4514</v>
      </c>
      <c r="AE22" s="235" t="s">
        <v>4517</v>
      </c>
    </row>
    <row r="23" spans="1:31" s="153" customFormat="1" ht="22.5" hidden="1" x14ac:dyDescent="0.25">
      <c r="A23" s="291" t="s">
        <v>4614</v>
      </c>
      <c r="B23" s="223">
        <v>9</v>
      </c>
      <c r="C23" s="224" t="s">
        <v>4345</v>
      </c>
      <c r="D23" s="224" t="s">
        <v>4344</v>
      </c>
      <c r="E23" s="224" t="s">
        <v>4344</v>
      </c>
      <c r="F23" s="131" t="s">
        <v>402</v>
      </c>
      <c r="G23" s="216">
        <v>288</v>
      </c>
      <c r="H23" s="132">
        <v>6</v>
      </c>
      <c r="I23" s="132"/>
      <c r="J23" s="132"/>
      <c r="K23" s="132"/>
      <c r="L23" s="132"/>
      <c r="M23" s="132"/>
      <c r="N23" s="132">
        <f t="shared" si="0"/>
        <v>6</v>
      </c>
      <c r="O23" s="131"/>
      <c r="P23" s="289" t="s">
        <v>4278</v>
      </c>
      <c r="Q23" s="133"/>
      <c r="R23" s="133" t="s">
        <v>21</v>
      </c>
      <c r="S23" s="131"/>
      <c r="T23" s="131"/>
      <c r="U23" s="289" t="s">
        <v>4278</v>
      </c>
      <c r="V23" s="133"/>
      <c r="W23" s="133" t="s">
        <v>21</v>
      </c>
      <c r="X23" s="131"/>
      <c r="Y23" s="131" t="s">
        <v>4304</v>
      </c>
      <c r="Z23" s="131" t="s">
        <v>4359</v>
      </c>
      <c r="AA23" s="152"/>
      <c r="AB23" s="234" t="s">
        <v>4646</v>
      </c>
      <c r="AC23" s="234" t="s">
        <v>4278</v>
      </c>
      <c r="AD23" s="228" t="s">
        <v>4514</v>
      </c>
      <c r="AE23" s="235" t="s">
        <v>4519</v>
      </c>
    </row>
    <row r="24" spans="1:31" s="326" customFormat="1" ht="33.75" x14ac:dyDescent="0.25">
      <c r="A24" s="290" t="s">
        <v>4615</v>
      </c>
      <c r="B24" s="290">
        <v>10</v>
      </c>
      <c r="C24" s="327" t="s">
        <v>4349</v>
      </c>
      <c r="D24" s="327" t="s">
        <v>4380</v>
      </c>
      <c r="E24" s="327" t="s">
        <v>4380</v>
      </c>
      <c r="F24" s="328" t="s">
        <v>4381</v>
      </c>
      <c r="G24" s="329">
        <v>12</v>
      </c>
      <c r="H24" s="330"/>
      <c r="I24" s="330">
        <v>4</v>
      </c>
      <c r="J24" s="330">
        <v>2</v>
      </c>
      <c r="K24" s="330">
        <v>2</v>
      </c>
      <c r="L24" s="330">
        <v>0.5</v>
      </c>
      <c r="M24" s="330">
        <v>0.5</v>
      </c>
      <c r="N24" s="331">
        <f>SUM(H24:M24)</f>
        <v>9</v>
      </c>
      <c r="O24" s="328"/>
      <c r="P24" s="292"/>
      <c r="Q24" s="328" t="s">
        <v>4472</v>
      </c>
      <c r="R24" s="292" t="s">
        <v>4265</v>
      </c>
      <c r="S24" s="328" t="s">
        <v>100</v>
      </c>
      <c r="T24" s="328"/>
      <c r="U24" s="292"/>
      <c r="V24" s="292" t="s">
        <v>4473</v>
      </c>
      <c r="W24" s="292"/>
      <c r="X24" s="328"/>
      <c r="Y24" s="328" t="s">
        <v>4255</v>
      </c>
      <c r="Z24" s="328" t="s">
        <v>4474</v>
      </c>
      <c r="AA24" s="293" t="s">
        <v>4469</v>
      </c>
      <c r="AB24" s="234" t="s">
        <v>4516</v>
      </c>
      <c r="AC24" s="234" t="s">
        <v>4516</v>
      </c>
      <c r="AD24" s="235" t="s">
        <v>4514</v>
      </c>
      <c r="AE24" s="235" t="s">
        <v>4517</v>
      </c>
    </row>
    <row r="25" spans="1:31" s="153" customFormat="1" ht="45" hidden="1" customHeight="1" x14ac:dyDescent="0.25">
      <c r="A25" s="218" t="s">
        <v>4616</v>
      </c>
      <c r="B25" s="218">
        <v>11</v>
      </c>
      <c r="C25" s="222" t="s">
        <v>4349</v>
      </c>
      <c r="D25" s="222" t="s">
        <v>4376</v>
      </c>
      <c r="E25" s="222" t="s">
        <v>4376</v>
      </c>
      <c r="F25" s="134" t="s">
        <v>1499</v>
      </c>
      <c r="G25" s="215">
        <v>60000</v>
      </c>
      <c r="H25" s="135">
        <v>0.17</v>
      </c>
      <c r="I25" s="135">
        <v>0.05</v>
      </c>
      <c r="J25" s="135"/>
      <c r="K25" s="135"/>
      <c r="L25" s="135"/>
      <c r="M25" s="135"/>
      <c r="N25" s="213">
        <f t="shared" ref="N25:N37" si="1">SUM(H25:M25)</f>
        <v>0.22000000000000003</v>
      </c>
      <c r="O25" s="134"/>
      <c r="P25" s="136" t="s">
        <v>120</v>
      </c>
      <c r="Q25" s="136"/>
      <c r="R25" s="136" t="s">
        <v>3781</v>
      </c>
      <c r="S25" s="134" t="s">
        <v>100</v>
      </c>
      <c r="T25" s="134"/>
      <c r="U25" s="136" t="s">
        <v>2702</v>
      </c>
      <c r="V25" s="136"/>
      <c r="W25" s="136"/>
      <c r="X25" s="134"/>
      <c r="Y25" s="134" t="s">
        <v>4304</v>
      </c>
      <c r="Z25" s="134" t="s">
        <v>4486</v>
      </c>
      <c r="AA25" s="152"/>
      <c r="AB25" s="227" t="s">
        <v>4527</v>
      </c>
      <c r="AC25" s="227" t="s">
        <v>4528</v>
      </c>
      <c r="AD25" s="229"/>
      <c r="AE25" s="229"/>
    </row>
    <row r="26" spans="1:31" s="153" customFormat="1" ht="46.5" hidden="1" customHeight="1" x14ac:dyDescent="0.25">
      <c r="A26" s="290" t="s">
        <v>4617</v>
      </c>
      <c r="B26" s="218">
        <v>12</v>
      </c>
      <c r="C26" s="222" t="s">
        <v>4349</v>
      </c>
      <c r="D26" s="222" t="s">
        <v>4350</v>
      </c>
      <c r="E26" s="222" t="s">
        <v>4482</v>
      </c>
      <c r="F26" s="134" t="s">
        <v>1326</v>
      </c>
      <c r="G26" s="215">
        <v>28</v>
      </c>
      <c r="H26" s="135"/>
      <c r="I26" s="135">
        <v>1.5</v>
      </c>
      <c r="J26" s="135"/>
      <c r="K26" s="135"/>
      <c r="L26" s="135">
        <v>0.2</v>
      </c>
      <c r="M26" s="135">
        <v>0.1</v>
      </c>
      <c r="N26" s="213">
        <f t="shared" si="1"/>
        <v>1.8</v>
      </c>
      <c r="O26" s="134"/>
      <c r="P26" s="136" t="s">
        <v>4367</v>
      </c>
      <c r="Q26" s="136"/>
      <c r="R26" s="136" t="s">
        <v>71</v>
      </c>
      <c r="S26" s="134"/>
      <c r="T26" s="134"/>
      <c r="U26" s="136" t="s">
        <v>4368</v>
      </c>
      <c r="V26" s="136"/>
      <c r="W26" s="136"/>
      <c r="X26" s="134"/>
      <c r="Y26" s="134" t="s">
        <v>4255</v>
      </c>
      <c r="Z26" s="134" t="s">
        <v>4475</v>
      </c>
      <c r="AA26" s="152" t="s">
        <v>4469</v>
      </c>
      <c r="AB26" s="227" t="s">
        <v>4516</v>
      </c>
      <c r="AC26" s="227" t="s">
        <v>4525</v>
      </c>
      <c r="AD26" s="227" t="s">
        <v>4514</v>
      </c>
      <c r="AE26" s="227" t="s">
        <v>4517</v>
      </c>
    </row>
    <row r="27" spans="1:31" s="153" customFormat="1" ht="48" hidden="1" customHeight="1" x14ac:dyDescent="0.25">
      <c r="A27" s="290" t="s">
        <v>4618</v>
      </c>
      <c r="B27" s="218">
        <v>13</v>
      </c>
      <c r="C27" s="222" t="s">
        <v>4349</v>
      </c>
      <c r="D27" s="222" t="s">
        <v>4350</v>
      </c>
      <c r="E27" s="222" t="s">
        <v>4365</v>
      </c>
      <c r="F27" s="134" t="s">
        <v>1326</v>
      </c>
      <c r="G27" s="215">
        <v>10</v>
      </c>
      <c r="H27" s="135"/>
      <c r="I27" s="135">
        <v>2</v>
      </c>
      <c r="J27" s="135"/>
      <c r="K27" s="135"/>
      <c r="L27" s="135">
        <v>0.2</v>
      </c>
      <c r="M27" s="135">
        <v>0.1</v>
      </c>
      <c r="N27" s="213">
        <f t="shared" si="1"/>
        <v>2.3000000000000003</v>
      </c>
      <c r="O27" s="134"/>
      <c r="P27" s="136" t="s">
        <v>164</v>
      </c>
      <c r="Q27" s="136"/>
      <c r="R27" s="136" t="s">
        <v>61</v>
      </c>
      <c r="S27" s="134"/>
      <c r="T27" s="134"/>
      <c r="U27" s="136" t="s">
        <v>4509</v>
      </c>
      <c r="V27" s="136"/>
      <c r="W27" s="136"/>
      <c r="X27" s="134"/>
      <c r="Y27" s="134" t="s">
        <v>4255</v>
      </c>
      <c r="Z27" s="134" t="s">
        <v>4483</v>
      </c>
      <c r="AA27" s="152" t="s">
        <v>4469</v>
      </c>
      <c r="AB27" s="227" t="s">
        <v>4516</v>
      </c>
      <c r="AC27" s="227" t="s">
        <v>4526</v>
      </c>
      <c r="AD27" s="227" t="s">
        <v>4514</v>
      </c>
      <c r="AE27" s="227" t="s">
        <v>4517</v>
      </c>
    </row>
    <row r="28" spans="1:31" s="153" customFormat="1" ht="47.25" hidden="1" customHeight="1" x14ac:dyDescent="0.25">
      <c r="A28" s="290" t="s">
        <v>4619</v>
      </c>
      <c r="B28" s="218">
        <v>14</v>
      </c>
      <c r="C28" s="222" t="s">
        <v>4349</v>
      </c>
      <c r="D28" s="222" t="s">
        <v>4350</v>
      </c>
      <c r="E28" s="222" t="s">
        <v>4366</v>
      </c>
      <c r="F28" s="222" t="s">
        <v>1326</v>
      </c>
      <c r="G28" s="215">
        <v>17</v>
      </c>
      <c r="H28" s="135">
        <v>2</v>
      </c>
      <c r="I28" s="135">
        <v>1</v>
      </c>
      <c r="J28" s="135"/>
      <c r="K28" s="135"/>
      <c r="L28" s="135">
        <v>0.2</v>
      </c>
      <c r="M28" s="135">
        <v>0.1</v>
      </c>
      <c r="N28" s="213">
        <f t="shared" si="1"/>
        <v>3.3000000000000003</v>
      </c>
      <c r="O28" s="134"/>
      <c r="P28" s="292" t="s">
        <v>4278</v>
      </c>
      <c r="Q28" s="136"/>
      <c r="R28" s="136" t="s">
        <v>21</v>
      </c>
      <c r="S28" s="134" t="s">
        <v>100</v>
      </c>
      <c r="T28" s="134"/>
      <c r="U28" s="292" t="s">
        <v>4278</v>
      </c>
      <c r="V28" s="136"/>
      <c r="W28" s="136"/>
      <c r="X28" s="134" t="s">
        <v>100</v>
      </c>
      <c r="Y28" s="134" t="s">
        <v>4255</v>
      </c>
      <c r="Z28" s="134" t="s">
        <v>4484</v>
      </c>
      <c r="AA28" s="152" t="s">
        <v>4469</v>
      </c>
      <c r="AB28" s="113" t="s">
        <v>4516</v>
      </c>
      <c r="AC28" s="234" t="s">
        <v>4518</v>
      </c>
      <c r="AD28" s="227" t="s">
        <v>4514</v>
      </c>
      <c r="AE28" s="234" t="s">
        <v>4519</v>
      </c>
    </row>
    <row r="29" spans="1:31" s="153" customFormat="1" ht="33.75" hidden="1" x14ac:dyDescent="0.25">
      <c r="A29" s="218" t="s">
        <v>4620</v>
      </c>
      <c r="B29" s="218">
        <v>15</v>
      </c>
      <c r="C29" s="222" t="s">
        <v>4349</v>
      </c>
      <c r="D29" s="222" t="s">
        <v>4352</v>
      </c>
      <c r="E29" s="222" t="s">
        <v>4490</v>
      </c>
      <c r="F29" s="222" t="s">
        <v>2800</v>
      </c>
      <c r="G29" s="215">
        <v>288</v>
      </c>
      <c r="H29" s="135">
        <v>1</v>
      </c>
      <c r="I29" s="135">
        <v>0.25</v>
      </c>
      <c r="J29" s="135"/>
      <c r="K29" s="135"/>
      <c r="L29" s="135"/>
      <c r="M29" s="135">
        <v>0.2</v>
      </c>
      <c r="N29" s="213">
        <f t="shared" si="1"/>
        <v>1.45</v>
      </c>
      <c r="O29" s="134"/>
      <c r="P29" s="136" t="s">
        <v>120</v>
      </c>
      <c r="Q29" s="136"/>
      <c r="R29" s="136" t="s">
        <v>119</v>
      </c>
      <c r="S29" s="134" t="s">
        <v>41</v>
      </c>
      <c r="T29" s="134"/>
      <c r="U29" s="136" t="s">
        <v>4476</v>
      </c>
      <c r="V29" s="136"/>
      <c r="W29" s="136"/>
      <c r="X29" s="134" t="s">
        <v>41</v>
      </c>
      <c r="Y29" s="134" t="s">
        <v>4304</v>
      </c>
      <c r="Z29" s="134" t="s">
        <v>4493</v>
      </c>
      <c r="AA29" s="152" t="s">
        <v>4485</v>
      </c>
      <c r="AB29" s="152" t="s">
        <v>4520</v>
      </c>
      <c r="AC29" s="136" t="s">
        <v>4476</v>
      </c>
      <c r="AD29" s="229"/>
      <c r="AE29" s="229"/>
    </row>
    <row r="30" spans="1:31" s="153" customFormat="1" ht="33.75" hidden="1" x14ac:dyDescent="0.25">
      <c r="A30" s="218" t="s">
        <v>4621</v>
      </c>
      <c r="B30" s="218">
        <v>16</v>
      </c>
      <c r="C30" s="222" t="s">
        <v>4349</v>
      </c>
      <c r="D30" s="222" t="s">
        <v>4352</v>
      </c>
      <c r="E30" s="222" t="s">
        <v>4496</v>
      </c>
      <c r="F30" s="222" t="s">
        <v>2800</v>
      </c>
      <c r="G30" s="215">
        <v>288</v>
      </c>
      <c r="H30" s="135">
        <v>2</v>
      </c>
      <c r="I30" s="135">
        <v>0.25</v>
      </c>
      <c r="J30" s="135"/>
      <c r="K30" s="135"/>
      <c r="L30" s="135"/>
      <c r="M30" s="135">
        <v>0.2</v>
      </c>
      <c r="N30" s="213">
        <f t="shared" ref="N30" si="2">SUM(H30:M30)</f>
        <v>2.4500000000000002</v>
      </c>
      <c r="O30" s="134"/>
      <c r="P30" s="136" t="s">
        <v>120</v>
      </c>
      <c r="Q30" s="136"/>
      <c r="R30" s="136" t="s">
        <v>4497</v>
      </c>
      <c r="S30" s="134" t="s">
        <v>41</v>
      </c>
      <c r="T30" s="134"/>
      <c r="U30" s="136" t="s">
        <v>4476</v>
      </c>
      <c r="V30" s="136"/>
      <c r="W30" s="136"/>
      <c r="X30" s="134" t="s">
        <v>41</v>
      </c>
      <c r="Y30" s="134" t="s">
        <v>4304</v>
      </c>
      <c r="Z30" s="134" t="s">
        <v>4493</v>
      </c>
      <c r="AA30" s="152" t="s">
        <v>4498</v>
      </c>
      <c r="AB30" s="152" t="s">
        <v>4520</v>
      </c>
      <c r="AC30" s="136" t="s">
        <v>4476</v>
      </c>
      <c r="AD30" s="229"/>
      <c r="AE30" s="229"/>
    </row>
    <row r="31" spans="1:31" s="153" customFormat="1" ht="33.75" hidden="1" x14ac:dyDescent="0.25">
      <c r="A31" s="218" t="s">
        <v>4622</v>
      </c>
      <c r="B31" s="218">
        <v>17</v>
      </c>
      <c r="C31" s="222" t="s">
        <v>4349</v>
      </c>
      <c r="D31" s="222" t="s">
        <v>4352</v>
      </c>
      <c r="E31" s="222" t="s">
        <v>4499</v>
      </c>
      <c r="F31" s="222" t="s">
        <v>2800</v>
      </c>
      <c r="G31" s="215">
        <v>288</v>
      </c>
      <c r="H31" s="135">
        <v>1</v>
      </c>
      <c r="I31" s="135">
        <v>0.25</v>
      </c>
      <c r="J31" s="135"/>
      <c r="K31" s="135"/>
      <c r="L31" s="135"/>
      <c r="M31" s="135">
        <v>0.2</v>
      </c>
      <c r="N31" s="213">
        <f t="shared" ref="N31:N32" si="3">SUM(H31:M31)</f>
        <v>1.45</v>
      </c>
      <c r="O31" s="134"/>
      <c r="P31" s="136" t="s">
        <v>4477</v>
      </c>
      <c r="Q31" s="136"/>
      <c r="R31" s="136" t="s">
        <v>4064</v>
      </c>
      <c r="S31" s="134" t="s">
        <v>100</v>
      </c>
      <c r="T31" s="134"/>
      <c r="U31" s="136" t="s">
        <v>4495</v>
      </c>
      <c r="V31" s="136"/>
      <c r="W31" s="136"/>
      <c r="X31" s="134" t="s">
        <v>100</v>
      </c>
      <c r="Y31" s="134" t="s">
        <v>4304</v>
      </c>
      <c r="Z31" s="134" t="s">
        <v>4494</v>
      </c>
      <c r="AA31" s="152" t="s">
        <v>4487</v>
      </c>
      <c r="AB31" s="152" t="s">
        <v>4520</v>
      </c>
      <c r="AC31" s="136" t="s">
        <v>4495</v>
      </c>
      <c r="AD31" s="229"/>
      <c r="AE31" s="229"/>
    </row>
    <row r="32" spans="1:31" s="153" customFormat="1" ht="48.75" hidden="1" customHeight="1" x14ac:dyDescent="0.25">
      <c r="A32" s="218" t="s">
        <v>4623</v>
      </c>
      <c r="B32" s="218">
        <v>18</v>
      </c>
      <c r="C32" s="222" t="s">
        <v>4349</v>
      </c>
      <c r="D32" s="222" t="s">
        <v>4353</v>
      </c>
      <c r="E32" s="225" t="s">
        <v>4491</v>
      </c>
      <c r="F32" s="222" t="s">
        <v>2800</v>
      </c>
      <c r="G32" s="215">
        <v>288</v>
      </c>
      <c r="H32" s="135">
        <v>4</v>
      </c>
      <c r="I32" s="135">
        <v>3</v>
      </c>
      <c r="J32" s="135">
        <v>3</v>
      </c>
      <c r="K32" s="135"/>
      <c r="L32" s="135"/>
      <c r="M32" s="135"/>
      <c r="N32" s="213">
        <f t="shared" si="3"/>
        <v>10</v>
      </c>
      <c r="O32" s="134"/>
      <c r="P32" s="136" t="s">
        <v>120</v>
      </c>
      <c r="Q32" s="136"/>
      <c r="R32" s="136" t="s">
        <v>21</v>
      </c>
      <c r="S32" s="134" t="s">
        <v>100</v>
      </c>
      <c r="T32" s="134"/>
      <c r="U32" s="136" t="s">
        <v>4488</v>
      </c>
      <c r="V32" s="136"/>
      <c r="W32" s="136"/>
      <c r="X32" s="134" t="s">
        <v>100</v>
      </c>
      <c r="Y32" s="134" t="s">
        <v>4304</v>
      </c>
      <c r="Z32" s="134" t="s">
        <v>4493</v>
      </c>
      <c r="AA32" s="152" t="s">
        <v>4489</v>
      </c>
      <c r="AB32" s="152" t="s">
        <v>4520</v>
      </c>
      <c r="AC32" s="136" t="s">
        <v>4488</v>
      </c>
      <c r="AD32" s="229"/>
      <c r="AE32" s="229"/>
    </row>
    <row r="33" spans="1:31" s="153" customFormat="1" ht="56.25" hidden="1" x14ac:dyDescent="0.25">
      <c r="A33" s="218" t="s">
        <v>4624</v>
      </c>
      <c r="B33" s="218">
        <v>19</v>
      </c>
      <c r="C33" s="222" t="s">
        <v>4349</v>
      </c>
      <c r="D33" s="222" t="s">
        <v>4353</v>
      </c>
      <c r="E33" s="225" t="s">
        <v>4492</v>
      </c>
      <c r="F33" s="222" t="s">
        <v>2800</v>
      </c>
      <c r="G33" s="215">
        <v>288</v>
      </c>
      <c r="H33" s="135">
        <v>4</v>
      </c>
      <c r="I33" s="135">
        <v>3</v>
      </c>
      <c r="J33" s="135">
        <v>3</v>
      </c>
      <c r="K33" s="135"/>
      <c r="L33" s="135"/>
      <c r="M33" s="135"/>
      <c r="N33" s="213">
        <f t="shared" si="1"/>
        <v>10</v>
      </c>
      <c r="O33" s="134"/>
      <c r="P33" s="136" t="s">
        <v>120</v>
      </c>
      <c r="Q33" s="136"/>
      <c r="R33" s="136" t="s">
        <v>21</v>
      </c>
      <c r="S33" s="134" t="s">
        <v>100</v>
      </c>
      <c r="T33" s="134"/>
      <c r="U33" s="136" t="s">
        <v>4488</v>
      </c>
      <c r="V33" s="136"/>
      <c r="W33" s="136"/>
      <c r="X33" s="134" t="s">
        <v>100</v>
      </c>
      <c r="Y33" s="134" t="s">
        <v>4304</v>
      </c>
      <c r="Z33" s="134" t="s">
        <v>4493</v>
      </c>
      <c r="AA33" s="152" t="s">
        <v>4489</v>
      </c>
      <c r="AB33" s="152" t="s">
        <v>4520</v>
      </c>
      <c r="AC33" s="136" t="s">
        <v>4488</v>
      </c>
      <c r="AD33" s="229"/>
      <c r="AE33" s="229"/>
    </row>
    <row r="34" spans="1:31" s="153" customFormat="1" ht="36" hidden="1" customHeight="1" x14ac:dyDescent="0.25">
      <c r="A34" s="218" t="s">
        <v>4625</v>
      </c>
      <c r="B34" s="218">
        <v>20</v>
      </c>
      <c r="C34" s="222" t="s">
        <v>4349</v>
      </c>
      <c r="D34" s="222" t="s">
        <v>4457</v>
      </c>
      <c r="E34" s="222" t="s">
        <v>4458</v>
      </c>
      <c r="F34" s="222" t="s">
        <v>2800</v>
      </c>
      <c r="G34" s="215">
        <v>288</v>
      </c>
      <c r="H34" s="135">
        <v>3</v>
      </c>
      <c r="I34" s="135">
        <v>2</v>
      </c>
      <c r="J34" s="135">
        <v>1</v>
      </c>
      <c r="K34" s="135"/>
      <c r="L34" s="135"/>
      <c r="M34" s="135"/>
      <c r="N34" s="213">
        <f>SUM(H34:M34)</f>
        <v>6</v>
      </c>
      <c r="O34" s="134"/>
      <c r="P34" s="136" t="s">
        <v>4477</v>
      </c>
      <c r="Q34" s="136"/>
      <c r="R34" s="136" t="s">
        <v>4064</v>
      </c>
      <c r="S34" s="134" t="s">
        <v>100</v>
      </c>
      <c r="T34" s="134"/>
      <c r="U34" s="136" t="s">
        <v>4495</v>
      </c>
      <c r="V34" s="136"/>
      <c r="W34" s="136"/>
      <c r="X34" s="134" t="s">
        <v>100</v>
      </c>
      <c r="Y34" s="134" t="s">
        <v>4304</v>
      </c>
      <c r="Z34" s="134" t="s">
        <v>4494</v>
      </c>
      <c r="AA34" s="152" t="s">
        <v>4487</v>
      </c>
      <c r="AB34" s="152" t="s">
        <v>4520</v>
      </c>
      <c r="AC34" s="136" t="s">
        <v>4495</v>
      </c>
      <c r="AD34" s="229"/>
      <c r="AE34" s="229"/>
    </row>
    <row r="35" spans="1:31" s="153" customFormat="1" ht="33.75" hidden="1" x14ac:dyDescent="0.25">
      <c r="A35" s="218" t="s">
        <v>4626</v>
      </c>
      <c r="B35" s="218">
        <v>21</v>
      </c>
      <c r="C35" s="222" t="s">
        <v>4349</v>
      </c>
      <c r="D35" s="222" t="s">
        <v>4500</v>
      </c>
      <c r="E35" s="222" t="s">
        <v>4500</v>
      </c>
      <c r="F35" s="222" t="s">
        <v>2800</v>
      </c>
      <c r="G35" s="215">
        <v>4</v>
      </c>
      <c r="H35" s="135">
        <v>2</v>
      </c>
      <c r="I35" s="135"/>
      <c r="J35" s="135"/>
      <c r="K35" s="135"/>
      <c r="L35" s="135">
        <v>0.25</v>
      </c>
      <c r="M35" s="135"/>
      <c r="N35" s="213">
        <v>2.25</v>
      </c>
      <c r="O35" s="134"/>
      <c r="P35" s="136" t="s">
        <v>120</v>
      </c>
      <c r="Q35" s="136"/>
      <c r="R35" s="136" t="s">
        <v>21</v>
      </c>
      <c r="S35" s="134" t="s">
        <v>100</v>
      </c>
      <c r="T35" s="134"/>
      <c r="U35" s="136" t="s">
        <v>4476</v>
      </c>
      <c r="V35" s="136"/>
      <c r="W35" s="136"/>
      <c r="X35" s="134" t="s">
        <v>100</v>
      </c>
      <c r="Y35" s="134" t="s">
        <v>4304</v>
      </c>
      <c r="Z35" s="134" t="s">
        <v>4493</v>
      </c>
      <c r="AA35" s="152" t="s">
        <v>4504</v>
      </c>
      <c r="AB35" s="234" t="s">
        <v>4640</v>
      </c>
      <c r="AC35" s="136" t="s">
        <v>4476</v>
      </c>
      <c r="AD35" s="229"/>
      <c r="AE35" s="229"/>
    </row>
    <row r="36" spans="1:31" s="153" customFormat="1" ht="33.75" hidden="1" x14ac:dyDescent="0.25">
      <c r="A36" s="218" t="s">
        <v>4627</v>
      </c>
      <c r="B36" s="218">
        <v>22</v>
      </c>
      <c r="C36" s="222" t="s">
        <v>4349</v>
      </c>
      <c r="D36" s="222" t="s">
        <v>4501</v>
      </c>
      <c r="E36" s="222" t="s">
        <v>4501</v>
      </c>
      <c r="F36" s="222" t="s">
        <v>2800</v>
      </c>
      <c r="G36" s="215">
        <v>12</v>
      </c>
      <c r="H36" s="135">
        <v>2</v>
      </c>
      <c r="I36" s="135"/>
      <c r="J36" s="135"/>
      <c r="K36" s="135"/>
      <c r="L36" s="135">
        <v>0.25</v>
      </c>
      <c r="M36" s="135"/>
      <c r="N36" s="213">
        <v>2.25</v>
      </c>
      <c r="O36" s="134"/>
      <c r="P36" s="136" t="s">
        <v>120</v>
      </c>
      <c r="Q36" s="136"/>
      <c r="R36" s="136" t="s">
        <v>21</v>
      </c>
      <c r="S36" s="134" t="s">
        <v>41</v>
      </c>
      <c r="T36" s="134"/>
      <c r="U36" s="136" t="s">
        <v>4502</v>
      </c>
      <c r="V36" s="136"/>
      <c r="W36" s="136"/>
      <c r="X36" s="134" t="s">
        <v>41</v>
      </c>
      <c r="Y36" s="134" t="s">
        <v>4304</v>
      </c>
      <c r="Z36" s="134" t="s">
        <v>4503</v>
      </c>
      <c r="AA36" s="293" t="s">
        <v>4647</v>
      </c>
      <c r="AB36" s="234" t="s">
        <v>4639</v>
      </c>
      <c r="AC36" s="136" t="s">
        <v>4502</v>
      </c>
      <c r="AD36" s="229"/>
      <c r="AE36" s="229"/>
    </row>
    <row r="37" spans="1:31" s="153" customFormat="1" ht="45" hidden="1" x14ac:dyDescent="0.25">
      <c r="A37" s="290" t="s">
        <v>4628</v>
      </c>
      <c r="B37" s="218">
        <v>23</v>
      </c>
      <c r="C37" s="222" t="s">
        <v>4349</v>
      </c>
      <c r="D37" s="222" t="s">
        <v>4354</v>
      </c>
      <c r="E37" s="222" t="s">
        <v>4370</v>
      </c>
      <c r="F37" s="222" t="s">
        <v>402</v>
      </c>
      <c r="G37" s="215">
        <v>30</v>
      </c>
      <c r="H37" s="135">
        <v>2</v>
      </c>
      <c r="I37" s="135">
        <v>1.5</v>
      </c>
      <c r="J37" s="135">
        <v>1</v>
      </c>
      <c r="K37" s="135"/>
      <c r="L37" s="135"/>
      <c r="M37" s="135">
        <v>0.15</v>
      </c>
      <c r="N37" s="213">
        <f t="shared" si="1"/>
        <v>4.6500000000000004</v>
      </c>
      <c r="O37" s="134"/>
      <c r="P37" s="136" t="s">
        <v>4478</v>
      </c>
      <c r="Q37" s="136"/>
      <c r="R37" s="136" t="s">
        <v>4372</v>
      </c>
      <c r="S37" s="134" t="s">
        <v>100</v>
      </c>
      <c r="T37" s="134"/>
      <c r="U37" s="136" t="s">
        <v>402</v>
      </c>
      <c r="V37" s="136"/>
      <c r="W37" s="136"/>
      <c r="X37" s="134" t="s">
        <v>100</v>
      </c>
      <c r="Y37" s="134" t="s">
        <v>4255</v>
      </c>
      <c r="Z37" s="134" t="s">
        <v>4480</v>
      </c>
      <c r="AA37" s="152" t="s">
        <v>4469</v>
      </c>
      <c r="AB37" s="227" t="s">
        <v>4516</v>
      </c>
      <c r="AC37" s="227" t="s">
        <v>4529</v>
      </c>
      <c r="AD37" s="227" t="s">
        <v>4514</v>
      </c>
      <c r="AE37" s="227" t="s">
        <v>4517</v>
      </c>
    </row>
    <row r="38" spans="1:31" s="153" customFormat="1" ht="45" hidden="1" x14ac:dyDescent="0.25">
      <c r="A38" s="290" t="s">
        <v>4629</v>
      </c>
      <c r="B38" s="218">
        <v>24</v>
      </c>
      <c r="C38" s="222" t="s">
        <v>4349</v>
      </c>
      <c r="D38" s="222" t="s">
        <v>4459</v>
      </c>
      <c r="E38" s="222" t="s">
        <v>4369</v>
      </c>
      <c r="F38" s="222" t="s">
        <v>4371</v>
      </c>
      <c r="G38" s="215">
        <v>28</v>
      </c>
      <c r="H38" s="135">
        <v>3</v>
      </c>
      <c r="I38" s="135">
        <v>2</v>
      </c>
      <c r="J38" s="135"/>
      <c r="K38" s="135"/>
      <c r="L38" s="135"/>
      <c r="M38" s="135"/>
      <c r="N38" s="213">
        <f>SUM(H38:M38)</f>
        <v>5</v>
      </c>
      <c r="O38" s="134"/>
      <c r="P38" s="136" t="s">
        <v>4479</v>
      </c>
      <c r="Q38" s="136"/>
      <c r="R38" s="136" t="s">
        <v>4373</v>
      </c>
      <c r="S38" s="134" t="s">
        <v>100</v>
      </c>
      <c r="T38" s="134"/>
      <c r="U38" s="136" t="s">
        <v>4481</v>
      </c>
      <c r="V38" s="136"/>
      <c r="W38" s="136"/>
      <c r="X38" s="134" t="s">
        <v>100</v>
      </c>
      <c r="Y38" s="134" t="s">
        <v>4255</v>
      </c>
      <c r="Z38" s="134" t="s">
        <v>4480</v>
      </c>
      <c r="AA38" s="152" t="s">
        <v>4469</v>
      </c>
      <c r="AB38" s="227" t="s">
        <v>4516</v>
      </c>
      <c r="AC38" s="227" t="s">
        <v>4529</v>
      </c>
      <c r="AD38" s="227" t="s">
        <v>4514</v>
      </c>
      <c r="AE38" s="227" t="s">
        <v>4517</v>
      </c>
    </row>
    <row r="39" spans="1:31" s="153" customFormat="1" ht="31.5" hidden="1" customHeight="1" x14ac:dyDescent="0.25">
      <c r="A39" s="291" t="s">
        <v>4630</v>
      </c>
      <c r="B39" s="223">
        <v>25</v>
      </c>
      <c r="C39" s="224" t="s">
        <v>4355</v>
      </c>
      <c r="D39" s="224" t="s">
        <v>4328</v>
      </c>
      <c r="E39" s="131" t="s">
        <v>4362</v>
      </c>
      <c r="F39" s="131" t="s">
        <v>68</v>
      </c>
      <c r="G39" s="216">
        <v>12</v>
      </c>
      <c r="H39" s="132">
        <v>0.5</v>
      </c>
      <c r="I39" s="132">
        <v>0.5</v>
      </c>
      <c r="J39" s="132" t="s">
        <v>4066</v>
      </c>
      <c r="K39" s="132" t="s">
        <v>4066</v>
      </c>
      <c r="L39" s="132" t="s">
        <v>4066</v>
      </c>
      <c r="M39" s="132">
        <v>0.15</v>
      </c>
      <c r="N39" s="214">
        <f>SUM(H39:M39)</f>
        <v>1.1499999999999999</v>
      </c>
      <c r="O39" s="131" t="s">
        <v>4066</v>
      </c>
      <c r="P39" s="133"/>
      <c r="Q39" s="133" t="s">
        <v>4363</v>
      </c>
      <c r="R39" s="133" t="s">
        <v>4265</v>
      </c>
      <c r="S39" s="131" t="s">
        <v>100</v>
      </c>
      <c r="T39" s="131"/>
      <c r="U39" s="289" t="s">
        <v>4278</v>
      </c>
      <c r="V39" s="133"/>
      <c r="W39" s="133"/>
      <c r="X39" s="131"/>
      <c r="Y39" s="131" t="s">
        <v>4255</v>
      </c>
      <c r="Z39" s="131" t="s">
        <v>4329</v>
      </c>
      <c r="AA39" s="152" t="s">
        <v>4469</v>
      </c>
      <c r="AB39" s="227" t="s">
        <v>4516</v>
      </c>
      <c r="AC39" s="279" t="s">
        <v>4518</v>
      </c>
      <c r="AD39" s="227" t="s">
        <v>4514</v>
      </c>
      <c r="AE39" s="234" t="s">
        <v>4519</v>
      </c>
    </row>
    <row r="40" spans="1:31" s="153" customFormat="1" ht="45" hidden="1" x14ac:dyDescent="0.25">
      <c r="A40" s="291" t="s">
        <v>4631</v>
      </c>
      <c r="B40" s="223">
        <v>26</v>
      </c>
      <c r="C40" s="224" t="s">
        <v>4355</v>
      </c>
      <c r="D40" s="224" t="s">
        <v>4328</v>
      </c>
      <c r="E40" s="131" t="s">
        <v>4357</v>
      </c>
      <c r="F40" s="131" t="s">
        <v>68</v>
      </c>
      <c r="G40" s="216">
        <v>30</v>
      </c>
      <c r="H40" s="132" t="s">
        <v>4066</v>
      </c>
      <c r="I40" s="132">
        <v>2</v>
      </c>
      <c r="J40" s="132" t="s">
        <v>4066</v>
      </c>
      <c r="K40" s="132" t="s">
        <v>4066</v>
      </c>
      <c r="L40" s="132" t="s">
        <v>4066</v>
      </c>
      <c r="M40" s="132">
        <v>0.3</v>
      </c>
      <c r="N40" s="214">
        <f t="shared" ref="N40:N45" si="4">SUM(H40:M40)</f>
        <v>2.2999999999999998</v>
      </c>
      <c r="O40" s="131" t="s">
        <v>4066</v>
      </c>
      <c r="P40" s="289" t="s">
        <v>4278</v>
      </c>
      <c r="Q40" s="133"/>
      <c r="R40" s="133" t="s">
        <v>4265</v>
      </c>
      <c r="S40" s="131" t="s">
        <v>100</v>
      </c>
      <c r="T40" s="131"/>
      <c r="U40" s="289" t="s">
        <v>4278</v>
      </c>
      <c r="V40" s="133"/>
      <c r="W40" s="133"/>
      <c r="X40" s="131"/>
      <c r="Y40" s="131" t="s">
        <v>4255</v>
      </c>
      <c r="Z40" s="131" t="s">
        <v>4329</v>
      </c>
      <c r="AA40" s="152" t="s">
        <v>4469</v>
      </c>
      <c r="AB40" s="227" t="s">
        <v>4516</v>
      </c>
      <c r="AC40" s="279" t="s">
        <v>4518</v>
      </c>
      <c r="AD40" s="227" t="s">
        <v>4514</v>
      </c>
      <c r="AE40" s="234" t="s">
        <v>4519</v>
      </c>
    </row>
    <row r="41" spans="1:31" s="153" customFormat="1" ht="45" hidden="1" x14ac:dyDescent="0.25">
      <c r="A41" s="291" t="s">
        <v>4632</v>
      </c>
      <c r="B41" s="223">
        <v>27</v>
      </c>
      <c r="C41" s="224" t="s">
        <v>4355</v>
      </c>
      <c r="D41" s="224" t="s">
        <v>4355</v>
      </c>
      <c r="E41" s="131" t="s">
        <v>4356</v>
      </c>
      <c r="F41" s="131" t="s">
        <v>4324</v>
      </c>
      <c r="G41" s="216">
        <v>50</v>
      </c>
      <c r="H41" s="132" t="s">
        <v>4066</v>
      </c>
      <c r="I41" s="132">
        <v>3</v>
      </c>
      <c r="J41" s="132">
        <v>1</v>
      </c>
      <c r="K41" s="132" t="s">
        <v>4066</v>
      </c>
      <c r="L41" s="132" t="s">
        <v>4066</v>
      </c>
      <c r="M41" s="132">
        <v>2</v>
      </c>
      <c r="N41" s="214">
        <f t="shared" si="4"/>
        <v>6</v>
      </c>
      <c r="O41" s="131" t="s">
        <v>4066</v>
      </c>
      <c r="P41" s="133" t="s">
        <v>4325</v>
      </c>
      <c r="Q41" s="133"/>
      <c r="R41" s="133" t="s">
        <v>4265</v>
      </c>
      <c r="S41" s="131" t="s">
        <v>100</v>
      </c>
      <c r="T41" s="131"/>
      <c r="U41" s="133" t="s">
        <v>83</v>
      </c>
      <c r="V41" s="133"/>
      <c r="W41" s="133"/>
      <c r="X41" s="131"/>
      <c r="Y41" s="131" t="s">
        <v>4255</v>
      </c>
      <c r="Z41" s="131" t="s">
        <v>4326</v>
      </c>
      <c r="AA41" s="152" t="s">
        <v>4469</v>
      </c>
      <c r="AB41" s="227" t="s">
        <v>4516</v>
      </c>
      <c r="AC41" s="279" t="s">
        <v>4518</v>
      </c>
      <c r="AD41" s="227" t="s">
        <v>4514</v>
      </c>
      <c r="AE41" s="234" t="s">
        <v>4519</v>
      </c>
    </row>
    <row r="42" spans="1:31" s="153" customFormat="1" ht="29.45" hidden="1" customHeight="1" x14ac:dyDescent="0.25">
      <c r="A42" s="291" t="s">
        <v>4633</v>
      </c>
      <c r="B42" s="223">
        <v>28</v>
      </c>
      <c r="C42" s="224" t="s">
        <v>4355</v>
      </c>
      <c r="D42" s="224" t="s">
        <v>4355</v>
      </c>
      <c r="E42" s="131" t="s">
        <v>82</v>
      </c>
      <c r="F42" s="131" t="s">
        <v>77</v>
      </c>
      <c r="G42" s="216">
        <v>50</v>
      </c>
      <c r="H42" s="132" t="s">
        <v>4066</v>
      </c>
      <c r="I42" s="132">
        <v>2</v>
      </c>
      <c r="J42" s="132">
        <v>0.5</v>
      </c>
      <c r="K42" s="132" t="s">
        <v>4066</v>
      </c>
      <c r="L42" s="132" t="s">
        <v>4066</v>
      </c>
      <c r="M42" s="132">
        <v>1</v>
      </c>
      <c r="N42" s="214">
        <f t="shared" si="4"/>
        <v>3.5</v>
      </c>
      <c r="O42" s="131" t="s">
        <v>4066</v>
      </c>
      <c r="P42" s="133"/>
      <c r="Q42" s="133" t="s">
        <v>81</v>
      </c>
      <c r="R42" s="133" t="s">
        <v>4265</v>
      </c>
      <c r="S42" s="131" t="s">
        <v>100</v>
      </c>
      <c r="T42" s="131"/>
      <c r="U42" s="133" t="s">
        <v>77</v>
      </c>
      <c r="V42" s="133"/>
      <c r="W42" s="133"/>
      <c r="X42" s="131"/>
      <c r="Y42" s="131" t="s">
        <v>4255</v>
      </c>
      <c r="Z42" s="131" t="s">
        <v>4327</v>
      </c>
      <c r="AA42" s="152" t="s">
        <v>4469</v>
      </c>
      <c r="AB42" s="227" t="s">
        <v>4516</v>
      </c>
      <c r="AC42" s="227" t="s">
        <v>4516</v>
      </c>
      <c r="AD42" s="227" t="s">
        <v>4514</v>
      </c>
      <c r="AE42" s="227" t="s">
        <v>4517</v>
      </c>
    </row>
    <row r="43" spans="1:31" s="153" customFormat="1" ht="28.5" hidden="1" customHeight="1" x14ac:dyDescent="0.25">
      <c r="A43" s="291" t="s">
        <v>4634</v>
      </c>
      <c r="B43" s="223">
        <v>29</v>
      </c>
      <c r="C43" s="224" t="s">
        <v>4355</v>
      </c>
      <c r="D43" s="224" t="s">
        <v>4355</v>
      </c>
      <c r="E43" s="131" t="s">
        <v>80</v>
      </c>
      <c r="F43" s="131" t="s">
        <v>77</v>
      </c>
      <c r="G43" s="216">
        <v>50</v>
      </c>
      <c r="H43" s="132" t="s">
        <v>4066</v>
      </c>
      <c r="I43" s="132">
        <v>2</v>
      </c>
      <c r="J43" s="132">
        <v>0.5</v>
      </c>
      <c r="K43" s="132" t="s">
        <v>4066</v>
      </c>
      <c r="L43" s="132" t="s">
        <v>4066</v>
      </c>
      <c r="M43" s="132">
        <v>1</v>
      </c>
      <c r="N43" s="214">
        <f t="shared" si="4"/>
        <v>3.5</v>
      </c>
      <c r="O43" s="131" t="s">
        <v>4066</v>
      </c>
      <c r="P43" s="133" t="s">
        <v>79</v>
      </c>
      <c r="Q43" s="133" t="s">
        <v>79</v>
      </c>
      <c r="R43" s="133" t="s">
        <v>4265</v>
      </c>
      <c r="S43" s="131" t="s">
        <v>100</v>
      </c>
      <c r="T43" s="131"/>
      <c r="U43" s="133" t="s">
        <v>77</v>
      </c>
      <c r="V43" s="133"/>
      <c r="W43" s="133"/>
      <c r="X43" s="131"/>
      <c r="Y43" s="131" t="s">
        <v>4255</v>
      </c>
      <c r="Z43" s="131" t="s">
        <v>4327</v>
      </c>
      <c r="AA43" s="152" t="s">
        <v>4469</v>
      </c>
      <c r="AB43" s="227" t="s">
        <v>4516</v>
      </c>
      <c r="AC43" s="227" t="s">
        <v>4516</v>
      </c>
      <c r="AD43" s="227" t="s">
        <v>4514</v>
      </c>
      <c r="AE43" s="227" t="s">
        <v>4517</v>
      </c>
    </row>
    <row r="44" spans="1:31" s="153" customFormat="1" ht="45" hidden="1" x14ac:dyDescent="0.25">
      <c r="A44" s="291" t="s">
        <v>4635</v>
      </c>
      <c r="B44" s="223">
        <v>30</v>
      </c>
      <c r="C44" s="224" t="s">
        <v>4355</v>
      </c>
      <c r="D44" s="224" t="s">
        <v>4355</v>
      </c>
      <c r="E44" s="131" t="s">
        <v>67</v>
      </c>
      <c r="F44" s="131" t="s">
        <v>66</v>
      </c>
      <c r="G44" s="216">
        <v>3</v>
      </c>
      <c r="H44" s="132" t="s">
        <v>4066</v>
      </c>
      <c r="I44" s="132">
        <v>30</v>
      </c>
      <c r="J44" s="132">
        <v>10</v>
      </c>
      <c r="K44" s="132" t="s">
        <v>4066</v>
      </c>
      <c r="L44" s="132" t="s">
        <v>4066</v>
      </c>
      <c r="M44" s="132">
        <v>20</v>
      </c>
      <c r="N44" s="214">
        <f t="shared" si="4"/>
        <v>60</v>
      </c>
      <c r="O44" s="131" t="s">
        <v>4066</v>
      </c>
      <c r="P44" s="289" t="s">
        <v>4278</v>
      </c>
      <c r="Q44" s="133"/>
      <c r="R44" s="133" t="s">
        <v>4265</v>
      </c>
      <c r="S44" s="131" t="s">
        <v>100</v>
      </c>
      <c r="T44" s="131"/>
      <c r="U44" s="133" t="s">
        <v>4278</v>
      </c>
      <c r="V44" s="133"/>
      <c r="W44" s="133"/>
      <c r="X44" s="131"/>
      <c r="Y44" s="131" t="s">
        <v>4255</v>
      </c>
      <c r="Z44" s="131" t="s">
        <v>4332</v>
      </c>
      <c r="AA44" s="152" t="s">
        <v>4469</v>
      </c>
      <c r="AB44" s="227" t="s">
        <v>4516</v>
      </c>
      <c r="AC44" s="279" t="s">
        <v>4518</v>
      </c>
      <c r="AD44" s="227" t="s">
        <v>4514</v>
      </c>
      <c r="AE44" s="234" t="s">
        <v>4519</v>
      </c>
    </row>
    <row r="45" spans="1:31" s="153" customFormat="1" ht="45" hidden="1" x14ac:dyDescent="0.25">
      <c r="A45" s="291" t="s">
        <v>4636</v>
      </c>
      <c r="B45" s="223">
        <v>31</v>
      </c>
      <c r="C45" s="224" t="s">
        <v>4355</v>
      </c>
      <c r="D45" s="224" t="s">
        <v>4355</v>
      </c>
      <c r="E45" s="131" t="s">
        <v>65</v>
      </c>
      <c r="F45" s="131" t="s">
        <v>64</v>
      </c>
      <c r="G45" s="216">
        <v>10</v>
      </c>
      <c r="H45" s="132" t="s">
        <v>4066</v>
      </c>
      <c r="I45" s="132">
        <v>4</v>
      </c>
      <c r="J45" s="132" t="s">
        <v>4066</v>
      </c>
      <c r="K45" s="132" t="s">
        <v>4066</v>
      </c>
      <c r="L45" s="132" t="s">
        <v>4066</v>
      </c>
      <c r="M45" s="132">
        <v>2</v>
      </c>
      <c r="N45" s="214">
        <f t="shared" si="4"/>
        <v>6</v>
      </c>
      <c r="O45" s="131" t="s">
        <v>4066</v>
      </c>
      <c r="P45" s="289" t="s">
        <v>4278</v>
      </c>
      <c r="Q45" s="133"/>
      <c r="R45" s="133" t="s">
        <v>4265</v>
      </c>
      <c r="S45" s="131" t="s">
        <v>100</v>
      </c>
      <c r="T45" s="131"/>
      <c r="U45" s="133" t="s">
        <v>4278</v>
      </c>
      <c r="V45" s="133"/>
      <c r="W45" s="133"/>
      <c r="X45" s="131"/>
      <c r="Y45" s="131" t="s">
        <v>4255</v>
      </c>
      <c r="Z45" s="131" t="s">
        <v>4333</v>
      </c>
      <c r="AA45" s="152" t="s">
        <v>4469</v>
      </c>
      <c r="AB45" s="227" t="s">
        <v>4516</v>
      </c>
      <c r="AC45" s="279" t="s">
        <v>4518</v>
      </c>
      <c r="AD45" s="227" t="s">
        <v>4514</v>
      </c>
      <c r="AE45" s="234" t="s">
        <v>4519</v>
      </c>
    </row>
    <row r="46" spans="1:31" x14ac:dyDescent="0.25">
      <c r="AA46" s="111"/>
      <c r="AB46" s="108"/>
    </row>
  </sheetData>
  <autoFilter ref="A14:AE45">
    <filterColumn colId="2">
      <colorFilter dxfId="1" cellColor="0"/>
    </filterColumn>
  </autoFilter>
  <mergeCells count="24">
    <mergeCell ref="B10:C10"/>
    <mergeCell ref="AA13:AA14"/>
    <mergeCell ref="Z13:Z14"/>
    <mergeCell ref="B11:C11"/>
    <mergeCell ref="G13:G14"/>
    <mergeCell ref="H13:O13"/>
    <mergeCell ref="B13:B14"/>
    <mergeCell ref="C13:C14"/>
    <mergeCell ref="D13:D14"/>
    <mergeCell ref="E13:E14"/>
    <mergeCell ref="F13:F14"/>
    <mergeCell ref="C4:F4"/>
    <mergeCell ref="C5:F5"/>
    <mergeCell ref="C6:F6"/>
    <mergeCell ref="C7:F7"/>
    <mergeCell ref="C8:F8"/>
    <mergeCell ref="A13:A14"/>
    <mergeCell ref="AB13:AB14"/>
    <mergeCell ref="AC13:AC14"/>
    <mergeCell ref="AD13:AD14"/>
    <mergeCell ref="AE13:AE14"/>
    <mergeCell ref="P13:T13"/>
    <mergeCell ref="U13:X13"/>
    <mergeCell ref="Y13:Y14"/>
  </mergeCells>
  <dataValidations count="2">
    <dataValidation type="list" allowBlank="1" showInputMessage="1" showErrorMessage="1" sqref="D11">
      <formula1>INDIRECT($I$10)</formula1>
    </dataValidation>
    <dataValidation type="list" allowBlank="1" showInputMessage="1" showErrorMessage="1" sqref="Y15:Y45">
      <formula1>"Đã có dữ liệu đáp ứng, Có thể cung cấp số liệu để đáp ứng, Không đáp ứng về dữ liệu"</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[2]Name_Khoi!#REF!</xm:f>
          </x14:formula1>
          <xm:sqref>D10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filterMode="1"/>
  <dimension ref="A2:X59"/>
  <sheetViews>
    <sheetView showGridLines="0" zoomScale="90" zoomScaleNormal="90" workbookViewId="0">
      <pane xSplit="4" ySplit="6" topLeftCell="N7" activePane="bottomRight" state="frozen"/>
      <selection pane="topRight" activeCell="D1" sqref="D1"/>
      <selection pane="bottomLeft" activeCell="A4" sqref="A4"/>
      <selection pane="bottomRight" activeCell="H32" sqref="H32"/>
    </sheetView>
  </sheetViews>
  <sheetFormatPr defaultColWidth="9.140625" defaultRowHeight="15" x14ac:dyDescent="0.25"/>
  <cols>
    <col min="1" max="1" width="4.42578125" style="80" bestFit="1" customWidth="1"/>
    <col min="2" max="2" width="23" style="80" customWidth="1"/>
    <col min="3" max="3" width="8" style="80" customWidth="1"/>
    <col min="4" max="4" width="26.5703125" style="80" customWidth="1"/>
    <col min="5" max="5" width="15.140625" style="80" customWidth="1"/>
    <col min="6" max="6" width="9.140625" style="80" customWidth="1"/>
    <col min="7" max="7" width="11" style="80" customWidth="1"/>
    <col min="8" max="8" width="12" style="80" customWidth="1"/>
    <col min="9" max="9" width="12.42578125" style="80" customWidth="1"/>
    <col min="10" max="10" width="24" style="80" customWidth="1"/>
    <col min="11" max="11" width="28.7109375" style="80" customWidth="1"/>
    <col min="12" max="14" width="12" style="80" customWidth="1"/>
    <col min="15" max="15" width="12.140625" style="80" customWidth="1"/>
    <col min="16" max="16" width="12" style="80" customWidth="1"/>
    <col min="17" max="17" width="23.42578125" style="80" customWidth="1"/>
    <col min="18" max="21" width="17.7109375" style="80" customWidth="1"/>
    <col min="22" max="22" width="49.140625" style="80" customWidth="1"/>
    <col min="23" max="23" width="18.28515625" style="80" bestFit="1" customWidth="1"/>
    <col min="24" max="24" width="15.85546875" style="80" bestFit="1" customWidth="1"/>
    <col min="25" max="25" width="9.140625" style="80"/>
    <col min="26" max="26" width="12" style="80" bestFit="1" customWidth="1"/>
    <col min="27" max="16384" width="9.140625" style="80"/>
  </cols>
  <sheetData>
    <row r="2" spans="1:22" x14ac:dyDescent="0.25">
      <c r="A2" s="81" t="s">
        <v>4067</v>
      </c>
    </row>
    <row r="3" spans="1:22" ht="21.75" x14ac:dyDescent="0.25">
      <c r="B3" s="82" t="s">
        <v>4068</v>
      </c>
      <c r="C3" s="82"/>
      <c r="K3" s="80">
        <v>100</v>
      </c>
    </row>
    <row r="5" spans="1:22" ht="30" customHeight="1" x14ac:dyDescent="0.25">
      <c r="A5" s="424" t="s">
        <v>4031</v>
      </c>
      <c r="B5" s="424" t="s">
        <v>1054</v>
      </c>
      <c r="C5" s="424" t="s">
        <v>4069</v>
      </c>
      <c r="D5" s="424" t="s">
        <v>4070</v>
      </c>
      <c r="E5" s="424" t="s">
        <v>4071</v>
      </c>
      <c r="F5" s="426" t="s">
        <v>4072</v>
      </c>
      <c r="G5" s="426"/>
      <c r="H5" s="426"/>
      <c r="I5" s="426"/>
      <c r="J5" s="426"/>
      <c r="K5" s="426"/>
      <c r="L5" s="424" t="s">
        <v>4021</v>
      </c>
      <c r="M5" s="424"/>
      <c r="N5" s="424"/>
      <c r="O5" s="424"/>
      <c r="P5" s="424"/>
      <c r="Q5" s="424" t="s">
        <v>4020</v>
      </c>
      <c r="R5" s="424"/>
      <c r="S5" s="424"/>
      <c r="T5" s="424"/>
      <c r="U5" s="424"/>
      <c r="V5" s="424" t="s">
        <v>4073</v>
      </c>
    </row>
    <row r="6" spans="1:22" ht="25.5" x14ac:dyDescent="0.25">
      <c r="A6" s="424"/>
      <c r="B6" s="424"/>
      <c r="C6" s="424"/>
      <c r="D6" s="424"/>
      <c r="E6" s="424"/>
      <c r="F6" s="83" t="s">
        <v>4074</v>
      </c>
      <c r="G6" s="84" t="s">
        <v>4075</v>
      </c>
      <c r="H6" s="84" t="s">
        <v>4076</v>
      </c>
      <c r="I6" s="84" t="s">
        <v>4077</v>
      </c>
      <c r="J6" s="85" t="s">
        <v>4078</v>
      </c>
      <c r="K6" s="85" t="s">
        <v>4079</v>
      </c>
      <c r="L6" s="86" t="s">
        <v>1561</v>
      </c>
      <c r="M6" s="86" t="s">
        <v>419</v>
      </c>
      <c r="N6" s="86" t="s">
        <v>4080</v>
      </c>
      <c r="O6" s="86" t="s">
        <v>3503</v>
      </c>
      <c r="P6" s="86" t="s">
        <v>4006</v>
      </c>
      <c r="Q6" s="86" t="s">
        <v>1561</v>
      </c>
      <c r="R6" s="86" t="s">
        <v>419</v>
      </c>
      <c r="S6" s="86" t="s">
        <v>4080</v>
      </c>
      <c r="T6" s="86" t="s">
        <v>3503</v>
      </c>
      <c r="U6" s="86" t="s">
        <v>4006</v>
      </c>
      <c r="V6" s="424"/>
    </row>
    <row r="7" spans="1:22" ht="38.25" hidden="1" x14ac:dyDescent="0.25">
      <c r="A7" s="87">
        <v>1</v>
      </c>
      <c r="B7" s="88" t="s">
        <v>4081</v>
      </c>
      <c r="C7" s="88" t="s">
        <v>4082</v>
      </c>
      <c r="D7" s="89" t="s">
        <v>4083</v>
      </c>
      <c r="E7" s="90" t="s">
        <v>251</v>
      </c>
      <c r="F7" s="91">
        <v>0</v>
      </c>
      <c r="G7" s="91">
        <v>0.1</v>
      </c>
      <c r="H7" s="91">
        <v>5.0000000000000001E-3</v>
      </c>
      <c r="I7" s="91">
        <v>0</v>
      </c>
      <c r="J7" s="91"/>
      <c r="K7" s="91"/>
      <c r="L7" s="90" t="s">
        <v>4084</v>
      </c>
      <c r="M7" s="90"/>
      <c r="N7" s="90" t="s">
        <v>4085</v>
      </c>
      <c r="O7" s="90"/>
      <c r="P7" s="90" t="s">
        <v>4086</v>
      </c>
      <c r="Q7" s="90" t="s">
        <v>4087</v>
      </c>
      <c r="R7" s="90"/>
      <c r="S7" s="90" t="s">
        <v>3488</v>
      </c>
      <c r="T7" s="90"/>
      <c r="U7" s="90" t="s">
        <v>4087</v>
      </c>
      <c r="V7" s="90" t="s">
        <v>4088</v>
      </c>
    </row>
    <row r="8" spans="1:22" ht="51" hidden="1" x14ac:dyDescent="0.25">
      <c r="A8" s="87">
        <v>2</v>
      </c>
      <c r="B8" s="88" t="s">
        <v>4089</v>
      </c>
      <c r="C8" s="88" t="s">
        <v>4082</v>
      </c>
      <c r="D8" s="89" t="s">
        <v>4090</v>
      </c>
      <c r="E8" s="90" t="s">
        <v>251</v>
      </c>
      <c r="F8" s="91">
        <v>0</v>
      </c>
      <c r="G8" s="91">
        <v>0.1</v>
      </c>
      <c r="H8" s="91">
        <v>0.01</v>
      </c>
      <c r="I8" s="91">
        <v>0</v>
      </c>
      <c r="J8" s="91"/>
      <c r="K8" s="91"/>
      <c r="L8" s="90" t="s">
        <v>4084</v>
      </c>
      <c r="M8" s="90"/>
      <c r="N8" s="90" t="s">
        <v>4085</v>
      </c>
      <c r="O8" s="90"/>
      <c r="P8" s="90" t="s">
        <v>4086</v>
      </c>
      <c r="Q8" s="90" t="s">
        <v>4091</v>
      </c>
      <c r="R8" s="90"/>
      <c r="S8" s="90" t="s">
        <v>3488</v>
      </c>
      <c r="T8" s="90"/>
      <c r="U8" s="90" t="s">
        <v>4091</v>
      </c>
      <c r="V8" s="90" t="s">
        <v>4092</v>
      </c>
    </row>
    <row r="9" spans="1:22" ht="38.25" hidden="1" x14ac:dyDescent="0.25">
      <c r="A9" s="87">
        <v>3</v>
      </c>
      <c r="B9" s="88" t="s">
        <v>4093</v>
      </c>
      <c r="C9" s="88" t="s">
        <v>4082</v>
      </c>
      <c r="D9" s="89" t="s">
        <v>4094</v>
      </c>
      <c r="E9" s="90" t="s">
        <v>251</v>
      </c>
      <c r="F9" s="91">
        <v>0</v>
      </c>
      <c r="G9" s="91">
        <v>0.1</v>
      </c>
      <c r="H9" s="91">
        <v>0.01</v>
      </c>
      <c r="I9" s="91">
        <v>0</v>
      </c>
      <c r="J9" s="91"/>
      <c r="K9" s="91"/>
      <c r="L9" s="90" t="s">
        <v>4084</v>
      </c>
      <c r="M9" s="90" t="s">
        <v>4095</v>
      </c>
      <c r="N9" s="90"/>
      <c r="O9" s="90"/>
      <c r="P9" s="90"/>
      <c r="Q9" s="90" t="s">
        <v>4096</v>
      </c>
      <c r="R9" s="90" t="s">
        <v>4096</v>
      </c>
      <c r="S9" s="90"/>
      <c r="T9" s="90"/>
      <c r="U9" s="90"/>
      <c r="V9" s="90"/>
    </row>
    <row r="10" spans="1:22" ht="38.25" hidden="1" x14ac:dyDescent="0.25">
      <c r="A10" s="87">
        <v>4</v>
      </c>
      <c r="B10" s="88" t="s">
        <v>4097</v>
      </c>
      <c r="C10" s="88" t="s">
        <v>4082</v>
      </c>
      <c r="D10" s="89" t="s">
        <v>4098</v>
      </c>
      <c r="E10" s="90"/>
      <c r="F10" s="91">
        <v>0</v>
      </c>
      <c r="G10" s="91">
        <v>0.02</v>
      </c>
      <c r="H10" s="91">
        <v>0</v>
      </c>
      <c r="I10" s="91">
        <v>0</v>
      </c>
      <c r="J10" s="91"/>
      <c r="K10" s="91"/>
      <c r="L10" s="90" t="s">
        <v>4084</v>
      </c>
      <c r="M10" s="90"/>
      <c r="N10" s="90"/>
      <c r="O10" s="90"/>
      <c r="P10" s="90"/>
      <c r="Q10" s="90" t="s">
        <v>4099</v>
      </c>
      <c r="R10" s="90"/>
      <c r="S10" s="90"/>
      <c r="T10" s="90"/>
      <c r="U10" s="90"/>
      <c r="V10" s="90"/>
    </row>
    <row r="11" spans="1:22" ht="38.25" hidden="1" x14ac:dyDescent="0.25">
      <c r="A11" s="87">
        <v>5</v>
      </c>
      <c r="B11" s="92" t="s">
        <v>4100</v>
      </c>
      <c r="C11" s="88" t="s">
        <v>4082</v>
      </c>
      <c r="D11" s="89" t="s">
        <v>4101</v>
      </c>
      <c r="E11" s="90"/>
      <c r="F11" s="91">
        <v>0</v>
      </c>
      <c r="G11" s="91">
        <v>0.1</v>
      </c>
      <c r="H11" s="91">
        <v>5.0000000000000001E-3</v>
      </c>
      <c r="I11" s="91">
        <v>0</v>
      </c>
      <c r="J11" s="91"/>
      <c r="K11" s="91"/>
      <c r="L11" s="90"/>
      <c r="M11" s="90" t="s">
        <v>4102</v>
      </c>
      <c r="N11" s="90"/>
      <c r="O11" s="90"/>
      <c r="P11" s="90"/>
      <c r="Q11" s="90"/>
      <c r="R11" s="90" t="s">
        <v>3488</v>
      </c>
      <c r="S11" s="90"/>
      <c r="T11" s="90"/>
      <c r="U11" s="90"/>
      <c r="V11" s="90"/>
    </row>
    <row r="12" spans="1:22" ht="25.5" hidden="1" x14ac:dyDescent="0.25">
      <c r="A12" s="87">
        <v>6</v>
      </c>
      <c r="B12" s="88" t="s">
        <v>4103</v>
      </c>
      <c r="C12" s="88" t="s">
        <v>4082</v>
      </c>
      <c r="D12" s="89" t="s">
        <v>4104</v>
      </c>
      <c r="E12" s="90"/>
      <c r="F12" s="91">
        <v>0</v>
      </c>
      <c r="G12" s="91">
        <v>0.1</v>
      </c>
      <c r="H12" s="91">
        <v>0</v>
      </c>
      <c r="I12" s="91">
        <v>0</v>
      </c>
      <c r="J12" s="91"/>
      <c r="K12" s="91"/>
      <c r="L12" s="90" t="s">
        <v>4084</v>
      </c>
      <c r="M12" s="90" t="s">
        <v>4105</v>
      </c>
      <c r="N12" s="90" t="s">
        <v>4106</v>
      </c>
      <c r="O12" s="90"/>
      <c r="P12" s="90"/>
      <c r="Q12" s="90" t="s">
        <v>4107</v>
      </c>
      <c r="R12" s="90" t="s">
        <v>4107</v>
      </c>
      <c r="S12" s="90" t="s">
        <v>4107</v>
      </c>
      <c r="T12" s="90"/>
      <c r="U12" s="90"/>
      <c r="V12" s="90"/>
    </row>
    <row r="13" spans="1:22" ht="25.5" hidden="1" x14ac:dyDescent="0.25">
      <c r="A13" s="87">
        <v>7</v>
      </c>
      <c r="B13" s="88" t="s">
        <v>4108</v>
      </c>
      <c r="C13" s="88" t="s">
        <v>4082</v>
      </c>
      <c r="D13" s="89" t="s">
        <v>4109</v>
      </c>
      <c r="E13" s="90"/>
      <c r="F13" s="91">
        <v>0</v>
      </c>
      <c r="G13" s="91">
        <v>0.1</v>
      </c>
      <c r="H13" s="91">
        <v>0</v>
      </c>
      <c r="I13" s="91">
        <v>0</v>
      </c>
      <c r="J13" s="91"/>
      <c r="K13" s="91"/>
      <c r="L13" s="90" t="s">
        <v>4084</v>
      </c>
      <c r="M13" s="90" t="s">
        <v>4105</v>
      </c>
      <c r="N13" s="90" t="s">
        <v>4106</v>
      </c>
      <c r="O13" s="90"/>
      <c r="P13" s="90"/>
      <c r="Q13" s="90" t="s">
        <v>4107</v>
      </c>
      <c r="R13" s="90" t="s">
        <v>4107</v>
      </c>
      <c r="S13" s="90" t="s">
        <v>4107</v>
      </c>
      <c r="T13" s="90"/>
      <c r="U13" s="90"/>
      <c r="V13" s="90"/>
    </row>
    <row r="14" spans="1:22" ht="25.5" hidden="1" x14ac:dyDescent="0.25">
      <c r="A14" s="87">
        <v>8</v>
      </c>
      <c r="B14" s="88" t="s">
        <v>4110</v>
      </c>
      <c r="C14" s="88" t="s">
        <v>4082</v>
      </c>
      <c r="D14" s="89" t="s">
        <v>4111</v>
      </c>
      <c r="E14" s="90"/>
      <c r="F14" s="91">
        <v>0</v>
      </c>
      <c r="G14" s="91">
        <v>0.05</v>
      </c>
      <c r="H14" s="91">
        <v>0</v>
      </c>
      <c r="I14" s="91">
        <v>0</v>
      </c>
      <c r="J14" s="91"/>
      <c r="K14" s="91"/>
      <c r="L14" s="90" t="s">
        <v>22</v>
      </c>
      <c r="M14" s="90"/>
      <c r="N14" s="90"/>
      <c r="O14" s="90"/>
      <c r="P14" s="90"/>
      <c r="Q14" s="90" t="s">
        <v>3488</v>
      </c>
      <c r="R14" s="90"/>
      <c r="S14" s="90"/>
      <c r="T14" s="90"/>
      <c r="U14" s="90"/>
      <c r="V14" s="90"/>
    </row>
    <row r="15" spans="1:22" ht="25.5" hidden="1" x14ac:dyDescent="0.25">
      <c r="A15" s="87">
        <v>9</v>
      </c>
      <c r="B15" s="88" t="s">
        <v>4112</v>
      </c>
      <c r="C15" s="88" t="s">
        <v>4082</v>
      </c>
      <c r="D15" s="89" t="s">
        <v>4113</v>
      </c>
      <c r="E15" s="90"/>
      <c r="F15" s="91">
        <v>0</v>
      </c>
      <c r="G15" s="91">
        <v>0.03</v>
      </c>
      <c r="H15" s="91">
        <v>0</v>
      </c>
      <c r="I15" s="91">
        <v>0</v>
      </c>
      <c r="J15" s="91"/>
      <c r="K15" s="91"/>
      <c r="L15" s="90"/>
      <c r="M15" s="90" t="s">
        <v>4114</v>
      </c>
      <c r="N15" s="90"/>
      <c r="O15" s="90"/>
      <c r="P15" s="90"/>
      <c r="Q15" s="90"/>
      <c r="R15" s="90" t="s">
        <v>3488</v>
      </c>
      <c r="S15" s="90"/>
      <c r="T15" s="90"/>
      <c r="U15" s="90"/>
      <c r="V15" s="90"/>
    </row>
    <row r="16" spans="1:22" ht="25.5" hidden="1" x14ac:dyDescent="0.25">
      <c r="A16" s="87">
        <v>10</v>
      </c>
      <c r="B16" s="88" t="s">
        <v>4115</v>
      </c>
      <c r="C16" s="88" t="s">
        <v>4082</v>
      </c>
      <c r="D16" s="89" t="s">
        <v>4116</v>
      </c>
      <c r="E16" s="90" t="s">
        <v>251</v>
      </c>
      <c r="F16" s="91">
        <v>0</v>
      </c>
      <c r="G16" s="91">
        <v>0.03</v>
      </c>
      <c r="H16" s="91">
        <v>0</v>
      </c>
      <c r="I16" s="91">
        <v>0</v>
      </c>
      <c r="J16" s="91"/>
      <c r="K16" s="91"/>
      <c r="L16" s="90" t="s">
        <v>4084</v>
      </c>
      <c r="M16" s="90" t="s">
        <v>4105</v>
      </c>
      <c r="N16" s="90" t="s">
        <v>4106</v>
      </c>
      <c r="O16" s="90"/>
      <c r="P16" s="90"/>
      <c r="Q16" s="90" t="s">
        <v>4107</v>
      </c>
      <c r="R16" s="90" t="s">
        <v>4107</v>
      </c>
      <c r="S16" s="90" t="s">
        <v>4107</v>
      </c>
      <c r="T16" s="90"/>
      <c r="U16" s="90"/>
      <c r="V16" s="90"/>
    </row>
    <row r="17" spans="1:22" ht="38.25" hidden="1" x14ac:dyDescent="0.25">
      <c r="A17" s="87">
        <v>11</v>
      </c>
      <c r="B17" s="88" t="s">
        <v>4117</v>
      </c>
      <c r="C17" s="88" t="s">
        <v>4082</v>
      </c>
      <c r="D17" s="89" t="s">
        <v>4118</v>
      </c>
      <c r="E17" s="90" t="s">
        <v>251</v>
      </c>
      <c r="F17" s="91">
        <v>0</v>
      </c>
      <c r="G17" s="91">
        <v>0.06</v>
      </c>
      <c r="H17" s="91">
        <v>0</v>
      </c>
      <c r="I17" s="91">
        <v>0</v>
      </c>
      <c r="J17" s="91"/>
      <c r="K17" s="91"/>
      <c r="L17" s="90"/>
      <c r="M17" s="90" t="s">
        <v>4119</v>
      </c>
      <c r="N17" s="90"/>
      <c r="O17" s="90"/>
      <c r="P17" s="90"/>
      <c r="Q17" s="90"/>
      <c r="R17" s="90" t="s">
        <v>3488</v>
      </c>
      <c r="S17" s="90"/>
      <c r="T17" s="90"/>
      <c r="U17" s="90"/>
      <c r="V17" s="90"/>
    </row>
    <row r="18" spans="1:22" ht="25.5" hidden="1" x14ac:dyDescent="0.25">
      <c r="A18" s="87">
        <v>12</v>
      </c>
      <c r="B18" s="88" t="s">
        <v>4120</v>
      </c>
      <c r="C18" s="88" t="s">
        <v>4082</v>
      </c>
      <c r="D18" s="89" t="s">
        <v>4121</v>
      </c>
      <c r="E18" s="90" t="s">
        <v>251</v>
      </c>
      <c r="F18" s="91">
        <v>0</v>
      </c>
      <c r="G18" s="91">
        <v>0.05</v>
      </c>
      <c r="H18" s="91">
        <v>0.02</v>
      </c>
      <c r="I18" s="91">
        <v>0</v>
      </c>
      <c r="J18" s="91"/>
      <c r="K18" s="91"/>
      <c r="L18" s="90" t="s">
        <v>4084</v>
      </c>
      <c r="M18" s="90" t="s">
        <v>4105</v>
      </c>
      <c r="N18" s="90" t="s">
        <v>4106</v>
      </c>
      <c r="O18" s="90"/>
      <c r="P18" s="90"/>
      <c r="Q18" s="90" t="s">
        <v>4107</v>
      </c>
      <c r="R18" s="90" t="s">
        <v>4107</v>
      </c>
      <c r="S18" s="90" t="s">
        <v>4107</v>
      </c>
      <c r="T18" s="90"/>
      <c r="U18" s="90"/>
      <c r="V18" s="90"/>
    </row>
    <row r="19" spans="1:22" ht="25.5" hidden="1" x14ac:dyDescent="0.25">
      <c r="A19" s="87">
        <v>13</v>
      </c>
      <c r="B19" s="88" t="s">
        <v>4122</v>
      </c>
      <c r="C19" s="88" t="s">
        <v>4082</v>
      </c>
      <c r="D19" s="89" t="s">
        <v>4123</v>
      </c>
      <c r="E19" s="90" t="s">
        <v>251</v>
      </c>
      <c r="F19" s="91">
        <v>0</v>
      </c>
      <c r="G19" s="91">
        <v>0.03</v>
      </c>
      <c r="H19" s="91">
        <v>0</v>
      </c>
      <c r="I19" s="91">
        <v>0</v>
      </c>
      <c r="J19" s="91"/>
      <c r="K19" s="91"/>
      <c r="L19" s="90"/>
      <c r="M19" s="90" t="s">
        <v>4124</v>
      </c>
      <c r="N19" s="90"/>
      <c r="O19" s="90"/>
      <c r="P19" s="90"/>
      <c r="Q19" s="90"/>
      <c r="R19" s="90" t="s">
        <v>3488</v>
      </c>
      <c r="S19" s="90"/>
      <c r="T19" s="90"/>
      <c r="U19" s="90"/>
      <c r="V19" s="90"/>
    </row>
    <row r="20" spans="1:22" ht="51" hidden="1" x14ac:dyDescent="0.25">
      <c r="A20" s="87">
        <v>14</v>
      </c>
      <c r="B20" s="88" t="s">
        <v>4125</v>
      </c>
      <c r="C20" s="88" t="s">
        <v>4082</v>
      </c>
      <c r="D20" s="89" t="s">
        <v>4126</v>
      </c>
      <c r="E20" s="90" t="s">
        <v>251</v>
      </c>
      <c r="F20" s="91">
        <v>0</v>
      </c>
      <c r="G20" s="91">
        <v>0.03</v>
      </c>
      <c r="H20" s="91">
        <v>0</v>
      </c>
      <c r="I20" s="91">
        <v>0</v>
      </c>
      <c r="J20" s="91"/>
      <c r="K20" s="91"/>
      <c r="L20" s="90" t="s">
        <v>4084</v>
      </c>
      <c r="M20" s="90"/>
      <c r="N20" s="90"/>
      <c r="O20" s="90" t="s">
        <v>4127</v>
      </c>
      <c r="P20" s="90" t="s">
        <v>4128</v>
      </c>
      <c r="Q20" s="90" t="s">
        <v>4129</v>
      </c>
      <c r="R20" s="90"/>
      <c r="S20" s="90"/>
      <c r="T20" s="90" t="s">
        <v>4129</v>
      </c>
      <c r="U20" s="90" t="s">
        <v>4129</v>
      </c>
      <c r="V20" s="90" t="s">
        <v>4130</v>
      </c>
    </row>
    <row r="21" spans="1:22" ht="25.5" hidden="1" x14ac:dyDescent="0.25">
      <c r="A21" s="87">
        <v>15</v>
      </c>
      <c r="B21" s="88" t="s">
        <v>4131</v>
      </c>
      <c r="C21" s="88" t="s">
        <v>4082</v>
      </c>
      <c r="D21" s="89" t="s">
        <v>4132</v>
      </c>
      <c r="E21" s="90" t="s">
        <v>251</v>
      </c>
      <c r="F21" s="91">
        <v>0</v>
      </c>
      <c r="G21" s="91">
        <v>0.01</v>
      </c>
      <c r="H21" s="91">
        <v>0</v>
      </c>
      <c r="I21" s="91">
        <v>0</v>
      </c>
      <c r="J21" s="91"/>
      <c r="K21" s="91"/>
      <c r="L21" s="90"/>
      <c r="M21" s="90" t="s">
        <v>39</v>
      </c>
      <c r="N21" s="90"/>
      <c r="O21" s="90"/>
      <c r="P21" s="90"/>
      <c r="Q21" s="90"/>
      <c r="R21" s="90" t="s">
        <v>3488</v>
      </c>
      <c r="S21" s="90"/>
      <c r="T21" s="90"/>
      <c r="U21" s="90"/>
      <c r="V21" s="90"/>
    </row>
    <row r="22" spans="1:22" ht="25.5" hidden="1" x14ac:dyDescent="0.25">
      <c r="A22" s="87">
        <v>16</v>
      </c>
      <c r="B22" s="93" t="s">
        <v>4133</v>
      </c>
      <c r="C22" s="88" t="s">
        <v>4082</v>
      </c>
      <c r="D22" s="89" t="s">
        <v>4134</v>
      </c>
      <c r="E22" s="90"/>
      <c r="F22" s="91">
        <v>0</v>
      </c>
      <c r="G22" s="91">
        <v>0.02</v>
      </c>
      <c r="H22" s="91">
        <v>0</v>
      </c>
      <c r="I22" s="91">
        <v>0</v>
      </c>
      <c r="J22" s="91"/>
      <c r="K22" s="91"/>
      <c r="L22" s="90"/>
      <c r="M22" s="90" t="s">
        <v>4135</v>
      </c>
      <c r="N22" s="90"/>
      <c r="O22" s="90"/>
      <c r="P22" s="90"/>
      <c r="Q22" s="90"/>
      <c r="R22" s="90" t="s">
        <v>3488</v>
      </c>
      <c r="S22" s="90"/>
      <c r="T22" s="90"/>
      <c r="U22" s="90"/>
      <c r="V22" s="90" t="s">
        <v>4136</v>
      </c>
    </row>
    <row r="23" spans="1:22" ht="25.5" hidden="1" x14ac:dyDescent="0.25">
      <c r="A23" s="87">
        <v>17</v>
      </c>
      <c r="B23" s="93" t="s">
        <v>4137</v>
      </c>
      <c r="C23" s="88" t="s">
        <v>4082</v>
      </c>
      <c r="D23" s="89" t="s">
        <v>4138</v>
      </c>
      <c r="E23" s="90" t="s">
        <v>251</v>
      </c>
      <c r="F23" s="91">
        <v>0</v>
      </c>
      <c r="G23" s="91">
        <v>0.03</v>
      </c>
      <c r="H23" s="91">
        <v>0</v>
      </c>
      <c r="I23" s="91">
        <v>0</v>
      </c>
      <c r="J23" s="91"/>
      <c r="K23" s="91"/>
      <c r="L23" s="90"/>
      <c r="M23" s="90" t="s">
        <v>4114</v>
      </c>
      <c r="N23" s="90"/>
      <c r="O23" s="90"/>
      <c r="P23" s="90"/>
      <c r="Q23" s="90"/>
      <c r="R23" s="90" t="s">
        <v>3488</v>
      </c>
      <c r="S23" s="90"/>
      <c r="T23" s="90"/>
      <c r="U23" s="90"/>
      <c r="V23" s="90"/>
    </row>
    <row r="24" spans="1:22" ht="38.25" hidden="1" x14ac:dyDescent="0.25">
      <c r="A24" s="87">
        <v>18</v>
      </c>
      <c r="B24" s="93" t="s">
        <v>4139</v>
      </c>
      <c r="C24" s="88" t="s">
        <v>4082</v>
      </c>
      <c r="D24" s="89" t="s">
        <v>4140</v>
      </c>
      <c r="E24" s="90" t="s">
        <v>251</v>
      </c>
      <c r="F24" s="91">
        <v>0</v>
      </c>
      <c r="G24" s="91">
        <v>0.01</v>
      </c>
      <c r="H24" s="91">
        <v>0</v>
      </c>
      <c r="I24" s="91">
        <v>0</v>
      </c>
      <c r="J24" s="91"/>
      <c r="K24" s="91"/>
      <c r="L24" s="90" t="s">
        <v>4084</v>
      </c>
      <c r="M24" s="90" t="s">
        <v>4105</v>
      </c>
      <c r="N24" s="90"/>
      <c r="O24" s="90"/>
      <c r="P24" s="90"/>
      <c r="Q24" s="90" t="s">
        <v>4141</v>
      </c>
      <c r="R24" s="90" t="s">
        <v>4141</v>
      </c>
      <c r="S24" s="90"/>
      <c r="T24" s="90"/>
      <c r="U24" s="90"/>
      <c r="V24" s="90"/>
    </row>
    <row r="25" spans="1:22" s="100" customFormat="1" ht="63.75" hidden="1" x14ac:dyDescent="0.25">
      <c r="A25" s="94">
        <v>19</v>
      </c>
      <c r="B25" s="95" t="s">
        <v>4142</v>
      </c>
      <c r="C25" s="96" t="s">
        <v>4082</v>
      </c>
      <c r="D25" s="97" t="s">
        <v>4143</v>
      </c>
      <c r="E25" s="98" t="s">
        <v>251</v>
      </c>
      <c r="F25" s="99">
        <v>0</v>
      </c>
      <c r="G25" s="99">
        <v>0.03</v>
      </c>
      <c r="H25" s="99">
        <v>0</v>
      </c>
      <c r="I25" s="99">
        <v>0</v>
      </c>
      <c r="J25" s="99"/>
      <c r="K25" s="99"/>
      <c r="L25" s="98" t="s">
        <v>4084</v>
      </c>
      <c r="M25" s="90" t="s">
        <v>4144</v>
      </c>
      <c r="N25" s="98"/>
      <c r="O25" s="98"/>
      <c r="P25" s="98" t="s">
        <v>4128</v>
      </c>
      <c r="Q25" s="98" t="s">
        <v>4145</v>
      </c>
      <c r="R25" s="98" t="s">
        <v>4145</v>
      </c>
      <c r="S25" s="98"/>
      <c r="T25" s="98"/>
      <c r="U25" s="98" t="s">
        <v>4145</v>
      </c>
      <c r="V25" s="98"/>
    </row>
    <row r="26" spans="1:22" ht="63.75" hidden="1" x14ac:dyDescent="0.25">
      <c r="A26" s="87">
        <v>20</v>
      </c>
      <c r="B26" s="93" t="s">
        <v>4146</v>
      </c>
      <c r="C26" s="88" t="s">
        <v>4147</v>
      </c>
      <c r="D26" s="89" t="s">
        <v>4148</v>
      </c>
      <c r="E26" s="90" t="s">
        <v>251</v>
      </c>
      <c r="F26" s="91">
        <v>0.43</v>
      </c>
      <c r="G26" s="91"/>
      <c r="H26" s="91">
        <v>0.02</v>
      </c>
      <c r="I26" s="91">
        <v>0</v>
      </c>
      <c r="J26" s="91"/>
      <c r="K26" s="91"/>
      <c r="L26" s="90" t="s">
        <v>4084</v>
      </c>
      <c r="M26" s="90" t="s">
        <v>4105</v>
      </c>
      <c r="N26" s="90" t="s">
        <v>4106</v>
      </c>
      <c r="O26" s="90" t="s">
        <v>4149</v>
      </c>
      <c r="P26" s="90" t="s">
        <v>4150</v>
      </c>
      <c r="Q26" s="90" t="s">
        <v>4151</v>
      </c>
      <c r="R26" s="90" t="s">
        <v>4151</v>
      </c>
      <c r="S26" s="90" t="s">
        <v>4151</v>
      </c>
      <c r="T26" s="90" t="s">
        <v>4151</v>
      </c>
      <c r="U26" s="90" t="s">
        <v>4151</v>
      </c>
      <c r="V26" s="101"/>
    </row>
    <row r="27" spans="1:22" ht="38.25" x14ac:dyDescent="0.25">
      <c r="A27" s="87">
        <v>21</v>
      </c>
      <c r="B27" s="88" t="s">
        <v>4152</v>
      </c>
      <c r="C27" s="88" t="s">
        <v>4153</v>
      </c>
      <c r="D27" s="89" t="s">
        <v>4154</v>
      </c>
      <c r="E27" s="90"/>
      <c r="F27" s="91">
        <v>0.01</v>
      </c>
      <c r="G27" s="91"/>
      <c r="H27" s="91">
        <v>0</v>
      </c>
      <c r="I27" s="91">
        <v>0.1</v>
      </c>
      <c r="J27" s="91"/>
      <c r="K27" s="91"/>
      <c r="L27" s="90" t="s">
        <v>4084</v>
      </c>
      <c r="M27" s="90"/>
      <c r="N27" s="90" t="s">
        <v>4106</v>
      </c>
      <c r="O27" s="90" t="s">
        <v>4155</v>
      </c>
      <c r="P27" s="90"/>
      <c r="Q27" s="90" t="s">
        <v>4156</v>
      </c>
      <c r="R27" s="90"/>
      <c r="S27" s="90" t="s">
        <v>4156</v>
      </c>
      <c r="T27" s="90"/>
      <c r="U27" s="90"/>
      <c r="V27" s="90"/>
    </row>
    <row r="28" spans="1:22" ht="63.75" hidden="1" x14ac:dyDescent="0.25">
      <c r="A28" s="87">
        <v>22</v>
      </c>
      <c r="B28" s="93" t="s">
        <v>1734</v>
      </c>
      <c r="C28" s="88" t="s">
        <v>4147</v>
      </c>
      <c r="D28" s="89" t="s">
        <v>4157</v>
      </c>
      <c r="E28" s="90" t="s">
        <v>4158</v>
      </c>
      <c r="F28" s="91">
        <v>0.2</v>
      </c>
      <c r="G28" s="91"/>
      <c r="H28" s="91">
        <v>0.02</v>
      </c>
      <c r="I28" s="91">
        <v>0</v>
      </c>
      <c r="J28" s="91"/>
      <c r="K28" s="91"/>
      <c r="L28" s="90"/>
      <c r="M28" s="90" t="s">
        <v>4159</v>
      </c>
      <c r="N28" s="90"/>
      <c r="O28" s="90" t="s">
        <v>4160</v>
      </c>
      <c r="P28" s="90" t="s">
        <v>4150</v>
      </c>
      <c r="Q28" s="90"/>
      <c r="R28" s="90" t="s">
        <v>4161</v>
      </c>
      <c r="S28" s="90"/>
      <c r="T28" s="90" t="s">
        <v>4161</v>
      </c>
      <c r="U28" s="90" t="s">
        <v>4161</v>
      </c>
      <c r="V28" s="90"/>
    </row>
    <row r="29" spans="1:22" ht="76.5" hidden="1" x14ac:dyDescent="0.25">
      <c r="A29" s="87">
        <v>23</v>
      </c>
      <c r="B29" s="93" t="s">
        <v>4162</v>
      </c>
      <c r="C29" s="88" t="s">
        <v>4147</v>
      </c>
      <c r="D29" s="89" t="s">
        <v>4163</v>
      </c>
      <c r="E29" s="90" t="s">
        <v>251</v>
      </c>
      <c r="F29" s="91">
        <v>0.1</v>
      </c>
      <c r="G29" s="91"/>
      <c r="H29" s="91">
        <v>0.01</v>
      </c>
      <c r="I29" s="91">
        <v>0</v>
      </c>
      <c r="J29" s="91"/>
      <c r="K29" s="91"/>
      <c r="L29" s="90" t="s">
        <v>4084</v>
      </c>
      <c r="M29" s="90" t="s">
        <v>4164</v>
      </c>
      <c r="N29" s="90"/>
      <c r="O29" s="90" t="s">
        <v>4165</v>
      </c>
      <c r="P29" s="90" t="s">
        <v>4150</v>
      </c>
      <c r="Q29" s="90" t="s">
        <v>4166</v>
      </c>
      <c r="R29" s="90"/>
      <c r="S29" s="90" t="s">
        <v>4166</v>
      </c>
      <c r="T29" s="90" t="s">
        <v>4166</v>
      </c>
      <c r="U29" s="90" t="s">
        <v>4166</v>
      </c>
      <c r="V29" s="90"/>
    </row>
    <row r="30" spans="1:22" ht="63.75" hidden="1" x14ac:dyDescent="0.25">
      <c r="A30" s="87">
        <v>24</v>
      </c>
      <c r="B30" s="93" t="s">
        <v>4167</v>
      </c>
      <c r="C30" s="88" t="s">
        <v>4147</v>
      </c>
      <c r="D30" s="89" t="s">
        <v>4168</v>
      </c>
      <c r="E30" s="90" t="s">
        <v>251</v>
      </c>
      <c r="F30" s="91">
        <v>0.2</v>
      </c>
      <c r="G30" s="91"/>
      <c r="H30" s="91">
        <v>0.02</v>
      </c>
      <c r="I30" s="91">
        <v>0</v>
      </c>
      <c r="J30" s="91"/>
      <c r="K30" s="91"/>
      <c r="L30" s="90" t="s">
        <v>4084</v>
      </c>
      <c r="M30" s="90" t="s">
        <v>4105</v>
      </c>
      <c r="N30" s="90" t="s">
        <v>4106</v>
      </c>
      <c r="O30" s="90" t="s">
        <v>4169</v>
      </c>
      <c r="P30" s="90" t="s">
        <v>4150</v>
      </c>
      <c r="Q30" s="90" t="s">
        <v>4170</v>
      </c>
      <c r="R30" s="90" t="s">
        <v>4170</v>
      </c>
      <c r="S30" s="90" t="s">
        <v>4170</v>
      </c>
      <c r="T30" s="90" t="s">
        <v>4170</v>
      </c>
      <c r="U30" s="90" t="s">
        <v>4170</v>
      </c>
      <c r="V30" s="90"/>
    </row>
    <row r="31" spans="1:22" ht="38.25" x14ac:dyDescent="0.25">
      <c r="A31" s="87">
        <v>25</v>
      </c>
      <c r="B31" s="93" t="s">
        <v>4171</v>
      </c>
      <c r="C31" s="93" t="s">
        <v>4153</v>
      </c>
      <c r="D31" s="89" t="s">
        <v>4172</v>
      </c>
      <c r="E31" s="90" t="s">
        <v>251</v>
      </c>
      <c r="F31" s="91">
        <v>0</v>
      </c>
      <c r="G31" s="91"/>
      <c r="H31" s="91">
        <v>0</v>
      </c>
      <c r="I31" s="91">
        <v>0.15</v>
      </c>
      <c r="J31" s="91"/>
      <c r="K31" s="91"/>
      <c r="L31" s="90" t="s">
        <v>4084</v>
      </c>
      <c r="M31" s="90"/>
      <c r="N31" s="90" t="s">
        <v>4106</v>
      </c>
      <c r="O31" s="90"/>
      <c r="P31" s="90"/>
      <c r="Q31" s="90" t="s">
        <v>4173</v>
      </c>
      <c r="R31" s="90"/>
      <c r="S31" s="90" t="s">
        <v>4173</v>
      </c>
      <c r="T31" s="90"/>
      <c r="U31" s="90"/>
      <c r="V31" s="101"/>
    </row>
    <row r="32" spans="1:22" ht="63.75" x14ac:dyDescent="0.25">
      <c r="A32" s="87">
        <v>26</v>
      </c>
      <c r="B32" s="93" t="s">
        <v>4174</v>
      </c>
      <c r="C32" s="93" t="s">
        <v>4153</v>
      </c>
      <c r="D32" s="89" t="s">
        <v>4175</v>
      </c>
      <c r="E32" s="90" t="s">
        <v>251</v>
      </c>
      <c r="F32" s="91">
        <v>0</v>
      </c>
      <c r="G32" s="91"/>
      <c r="H32" s="91">
        <v>0.01</v>
      </c>
      <c r="I32" s="91">
        <v>0.15</v>
      </c>
      <c r="J32" s="91"/>
      <c r="K32" s="91"/>
      <c r="L32" s="90" t="s">
        <v>4084</v>
      </c>
      <c r="M32" s="90"/>
      <c r="N32" s="90"/>
      <c r="O32" s="90" t="s">
        <v>4176</v>
      </c>
      <c r="P32" s="90" t="s">
        <v>4150</v>
      </c>
      <c r="Q32" s="90" t="s">
        <v>4177</v>
      </c>
      <c r="R32" s="90"/>
      <c r="S32" s="90"/>
      <c r="T32" s="90" t="s">
        <v>4177</v>
      </c>
      <c r="U32" s="90" t="s">
        <v>4177</v>
      </c>
      <c r="V32" s="90"/>
    </row>
    <row r="33" spans="1:24" ht="63.75" x14ac:dyDescent="0.25">
      <c r="A33" s="87">
        <v>27</v>
      </c>
      <c r="B33" s="93" t="s">
        <v>4178</v>
      </c>
      <c r="C33" s="93" t="s">
        <v>4153</v>
      </c>
      <c r="D33" s="89" t="s">
        <v>4179</v>
      </c>
      <c r="E33" s="90" t="s">
        <v>251</v>
      </c>
      <c r="F33" s="91">
        <v>0</v>
      </c>
      <c r="G33" s="91"/>
      <c r="H33" s="91">
        <v>0.01</v>
      </c>
      <c r="I33" s="91">
        <v>0.15</v>
      </c>
      <c r="J33" s="91"/>
      <c r="K33" s="91"/>
      <c r="L33" s="90" t="s">
        <v>4084</v>
      </c>
      <c r="M33" s="90"/>
      <c r="N33" s="90"/>
      <c r="O33" s="90" t="s">
        <v>4180</v>
      </c>
      <c r="P33" s="90" t="s">
        <v>4150</v>
      </c>
      <c r="Q33" s="90" t="s">
        <v>4181</v>
      </c>
      <c r="R33" s="90"/>
      <c r="S33" s="90"/>
      <c r="T33" s="90" t="s">
        <v>4181</v>
      </c>
      <c r="U33" s="90" t="s">
        <v>4181</v>
      </c>
      <c r="V33" s="90"/>
    </row>
    <row r="34" spans="1:24" ht="63.75" x14ac:dyDescent="0.25">
      <c r="A34" s="87">
        <v>28</v>
      </c>
      <c r="B34" s="93" t="s">
        <v>4182</v>
      </c>
      <c r="C34" s="93" t="s">
        <v>4153</v>
      </c>
      <c r="D34" s="89" t="s">
        <v>4183</v>
      </c>
      <c r="E34" s="90" t="s">
        <v>251</v>
      </c>
      <c r="F34" s="91">
        <v>0</v>
      </c>
      <c r="G34" s="91"/>
      <c r="H34" s="91">
        <v>0.01</v>
      </c>
      <c r="I34" s="91">
        <v>0.25</v>
      </c>
      <c r="J34" s="91"/>
      <c r="K34" s="91"/>
      <c r="L34" s="90" t="s">
        <v>4084</v>
      </c>
      <c r="M34" s="90"/>
      <c r="N34" s="90" t="s">
        <v>4106</v>
      </c>
      <c r="O34" s="90" t="s">
        <v>4184</v>
      </c>
      <c r="P34" s="90" t="s">
        <v>4150</v>
      </c>
      <c r="Q34" s="90" t="s">
        <v>4185</v>
      </c>
      <c r="R34" s="90"/>
      <c r="S34" s="90" t="s">
        <v>4185</v>
      </c>
      <c r="T34" s="90" t="s">
        <v>4185</v>
      </c>
      <c r="U34" s="90" t="s">
        <v>4185</v>
      </c>
      <c r="V34" s="90" t="s">
        <v>4186</v>
      </c>
    </row>
    <row r="35" spans="1:24" ht="25.5" hidden="1" x14ac:dyDescent="0.25">
      <c r="A35" s="87">
        <v>29</v>
      </c>
      <c r="B35" s="93" t="s">
        <v>4187</v>
      </c>
      <c r="C35" s="93" t="s">
        <v>3272</v>
      </c>
      <c r="D35" s="89" t="s">
        <v>4188</v>
      </c>
      <c r="E35" s="90" t="s">
        <v>251</v>
      </c>
      <c r="F35" s="91">
        <v>0</v>
      </c>
      <c r="G35" s="91"/>
      <c r="H35" s="91">
        <v>0.39</v>
      </c>
      <c r="I35" s="91">
        <v>0</v>
      </c>
      <c r="J35" s="91"/>
      <c r="K35" s="91"/>
      <c r="L35" s="90"/>
      <c r="M35" s="90" t="s">
        <v>22</v>
      </c>
      <c r="N35" s="90"/>
      <c r="O35" s="90"/>
      <c r="P35" s="90"/>
      <c r="Q35" s="90"/>
      <c r="R35" s="90"/>
      <c r="S35" s="90" t="s">
        <v>3488</v>
      </c>
      <c r="T35" s="90"/>
      <c r="U35" s="90"/>
      <c r="V35" s="90"/>
    </row>
    <row r="36" spans="1:24" ht="25.5" hidden="1" x14ac:dyDescent="0.25">
      <c r="A36" s="87">
        <v>30</v>
      </c>
      <c r="B36" s="93" t="s">
        <v>4189</v>
      </c>
      <c r="C36" s="93" t="s">
        <v>3272</v>
      </c>
      <c r="D36" s="89" t="s">
        <v>4190</v>
      </c>
      <c r="E36" s="90" t="s">
        <v>251</v>
      </c>
      <c r="F36" s="91">
        <v>0</v>
      </c>
      <c r="G36" s="91"/>
      <c r="H36" s="91">
        <v>0.01</v>
      </c>
      <c r="I36" s="91">
        <v>0</v>
      </c>
      <c r="J36" s="91"/>
      <c r="K36" s="91"/>
      <c r="L36" s="90" t="s">
        <v>4084</v>
      </c>
      <c r="M36" s="90" t="s">
        <v>4105</v>
      </c>
      <c r="N36" s="90"/>
      <c r="O36" s="90"/>
      <c r="P36" s="90"/>
      <c r="Q36" s="90" t="s">
        <v>4191</v>
      </c>
      <c r="R36" s="90" t="s">
        <v>4191</v>
      </c>
      <c r="S36" s="90"/>
      <c r="T36" s="90"/>
      <c r="U36" s="90"/>
      <c r="V36" s="90"/>
    </row>
    <row r="37" spans="1:24" ht="38.25" hidden="1" x14ac:dyDescent="0.25">
      <c r="A37" s="87">
        <v>31</v>
      </c>
      <c r="B37" s="102" t="s">
        <v>4192</v>
      </c>
      <c r="C37" s="93" t="s">
        <v>3272</v>
      </c>
      <c r="D37" s="89" t="s">
        <v>4193</v>
      </c>
      <c r="E37" s="90" t="s">
        <v>251</v>
      </c>
      <c r="F37" s="91">
        <v>0</v>
      </c>
      <c r="G37" s="91"/>
      <c r="H37" s="91">
        <v>0.25</v>
      </c>
      <c r="I37" s="91">
        <v>0</v>
      </c>
      <c r="J37" s="91"/>
      <c r="K37" s="91"/>
      <c r="L37" s="90" t="s">
        <v>4084</v>
      </c>
      <c r="M37" s="90" t="s">
        <v>4105</v>
      </c>
      <c r="N37" s="90"/>
      <c r="O37" s="90"/>
      <c r="P37" s="90"/>
      <c r="Q37" s="90" t="s">
        <v>4194</v>
      </c>
      <c r="R37" s="90" t="s">
        <v>4194</v>
      </c>
      <c r="S37" s="90"/>
      <c r="T37" s="90"/>
      <c r="U37" s="90"/>
      <c r="V37" s="90"/>
    </row>
    <row r="38" spans="1:24" ht="25.5" hidden="1" x14ac:dyDescent="0.25">
      <c r="A38" s="87">
        <v>32</v>
      </c>
      <c r="B38" s="93" t="s">
        <v>4195</v>
      </c>
      <c r="C38" s="93" t="s">
        <v>4196</v>
      </c>
      <c r="D38" s="89"/>
      <c r="E38" s="90" t="s">
        <v>4197</v>
      </c>
      <c r="F38" s="91">
        <v>0</v>
      </c>
      <c r="G38" s="91"/>
      <c r="H38" s="91">
        <v>0</v>
      </c>
      <c r="I38" s="91">
        <v>0</v>
      </c>
      <c r="J38" s="91"/>
      <c r="K38" s="91"/>
      <c r="L38" s="90"/>
      <c r="M38" s="90" t="s">
        <v>4198</v>
      </c>
      <c r="N38" s="90"/>
      <c r="O38" s="90"/>
      <c r="P38" s="90"/>
      <c r="Q38" s="90"/>
      <c r="R38" s="90" t="s">
        <v>3488</v>
      </c>
      <c r="S38" s="90"/>
      <c r="T38" s="90"/>
      <c r="U38" s="90"/>
      <c r="V38" s="90"/>
    </row>
    <row r="39" spans="1:24" ht="25.5" hidden="1" x14ac:dyDescent="0.25">
      <c r="A39" s="87">
        <v>33</v>
      </c>
      <c r="B39" s="93" t="s">
        <v>4199</v>
      </c>
      <c r="C39" s="93" t="s">
        <v>4196</v>
      </c>
      <c r="D39" s="89"/>
      <c r="E39" s="90" t="s">
        <v>4200</v>
      </c>
      <c r="F39" s="91">
        <v>0</v>
      </c>
      <c r="G39" s="91"/>
      <c r="H39" s="91">
        <v>0</v>
      </c>
      <c r="I39" s="91">
        <v>0</v>
      </c>
      <c r="J39" s="91"/>
      <c r="K39" s="91"/>
      <c r="L39" s="90"/>
      <c r="M39" s="90" t="s">
        <v>4201</v>
      </c>
      <c r="N39" s="90"/>
      <c r="O39" s="90"/>
      <c r="P39" s="90"/>
      <c r="Q39" s="90"/>
      <c r="R39" s="90" t="s">
        <v>3488</v>
      </c>
      <c r="S39" s="90"/>
      <c r="T39" s="90"/>
      <c r="U39" s="90"/>
      <c r="V39" s="90"/>
    </row>
    <row r="40" spans="1:24" ht="63.75" hidden="1" x14ac:dyDescent="0.25">
      <c r="A40" s="87">
        <v>34</v>
      </c>
      <c r="B40" s="93" t="s">
        <v>4202</v>
      </c>
      <c r="C40" s="88" t="s">
        <v>4147</v>
      </c>
      <c r="D40" s="89" t="s">
        <v>4203</v>
      </c>
      <c r="E40" s="90" t="s">
        <v>251</v>
      </c>
      <c r="F40" s="91">
        <v>0.02</v>
      </c>
      <c r="G40" s="91"/>
      <c r="H40" s="91">
        <v>0</v>
      </c>
      <c r="I40" s="91">
        <v>0</v>
      </c>
      <c r="J40" s="91"/>
      <c r="K40" s="91"/>
      <c r="L40" s="90" t="s">
        <v>4084</v>
      </c>
      <c r="M40" s="90"/>
      <c r="N40" s="90" t="s">
        <v>4106</v>
      </c>
      <c r="O40" s="90" t="s">
        <v>4204</v>
      </c>
      <c r="P40" s="90" t="s">
        <v>4150</v>
      </c>
      <c r="Q40" s="90" t="s">
        <v>4205</v>
      </c>
      <c r="R40" s="90"/>
      <c r="S40" s="90"/>
      <c r="T40" s="90" t="s">
        <v>3488</v>
      </c>
      <c r="U40" s="90" t="s">
        <v>4205</v>
      </c>
      <c r="V40" s="90"/>
    </row>
    <row r="41" spans="1:24" ht="38.25" hidden="1" x14ac:dyDescent="0.25">
      <c r="A41" s="87">
        <v>35</v>
      </c>
      <c r="B41" s="93" t="s">
        <v>4206</v>
      </c>
      <c r="C41" s="88" t="s">
        <v>4147</v>
      </c>
      <c r="D41" s="89" t="s">
        <v>4207</v>
      </c>
      <c r="E41" s="90" t="s">
        <v>251</v>
      </c>
      <c r="F41" s="91">
        <v>0.02</v>
      </c>
      <c r="G41" s="91"/>
      <c r="H41" s="91">
        <v>0.01</v>
      </c>
      <c r="I41" s="91">
        <v>0</v>
      </c>
      <c r="J41" s="91"/>
      <c r="K41" s="91"/>
      <c r="L41" s="90"/>
      <c r="M41" s="90" t="s">
        <v>4208</v>
      </c>
      <c r="N41" s="90"/>
      <c r="O41" s="90"/>
      <c r="P41" s="90"/>
      <c r="Q41" s="90"/>
      <c r="R41" s="90" t="s">
        <v>3488</v>
      </c>
      <c r="S41" s="90"/>
      <c r="T41" s="90"/>
      <c r="U41" s="90"/>
      <c r="V41" s="90"/>
    </row>
    <row r="42" spans="1:24" ht="63.75" hidden="1" x14ac:dyDescent="0.25">
      <c r="A42" s="87">
        <v>36</v>
      </c>
      <c r="B42" s="93" t="s">
        <v>4209</v>
      </c>
      <c r="C42" s="93" t="s">
        <v>4196</v>
      </c>
      <c r="D42" s="89"/>
      <c r="E42" s="90" t="s">
        <v>251</v>
      </c>
      <c r="F42" s="91">
        <v>0</v>
      </c>
      <c r="G42" s="91"/>
      <c r="H42" s="91">
        <v>0</v>
      </c>
      <c r="I42" s="91">
        <v>0</v>
      </c>
      <c r="J42" s="91"/>
      <c r="K42" s="91"/>
      <c r="L42" s="90" t="s">
        <v>4084</v>
      </c>
      <c r="M42" s="90"/>
      <c r="N42" s="90"/>
      <c r="O42" s="90" t="s">
        <v>4210</v>
      </c>
      <c r="P42" s="90" t="s">
        <v>4150</v>
      </c>
      <c r="Q42" s="90" t="s">
        <v>4211</v>
      </c>
      <c r="R42" s="90"/>
      <c r="S42" s="90"/>
      <c r="T42" s="90" t="s">
        <v>4211</v>
      </c>
      <c r="U42" s="90" t="s">
        <v>4211</v>
      </c>
      <c r="V42" s="90"/>
    </row>
    <row r="43" spans="1:24" ht="63.75" hidden="1" x14ac:dyDescent="0.25">
      <c r="A43" s="87">
        <v>37</v>
      </c>
      <c r="B43" s="93" t="s">
        <v>4212</v>
      </c>
      <c r="C43" s="88" t="s">
        <v>4147</v>
      </c>
      <c r="D43" s="89" t="s">
        <v>4213</v>
      </c>
      <c r="E43" s="90" t="s">
        <v>4214</v>
      </c>
      <c r="F43" s="91">
        <v>0.02</v>
      </c>
      <c r="G43" s="91"/>
      <c r="H43" s="91">
        <v>0</v>
      </c>
      <c r="I43" s="91">
        <v>0</v>
      </c>
      <c r="J43" s="91"/>
      <c r="K43" s="91"/>
      <c r="L43" s="90" t="s">
        <v>4084</v>
      </c>
      <c r="M43" s="90"/>
      <c r="N43" s="90"/>
      <c r="O43" s="90" t="s">
        <v>4165</v>
      </c>
      <c r="P43" s="90" t="s">
        <v>4150</v>
      </c>
      <c r="Q43" s="90" t="s">
        <v>4215</v>
      </c>
      <c r="R43" s="90"/>
      <c r="S43" s="90"/>
      <c r="T43" s="90" t="s">
        <v>4215</v>
      </c>
      <c r="U43" s="90" t="s">
        <v>4215</v>
      </c>
      <c r="V43" s="101"/>
    </row>
    <row r="44" spans="1:24" ht="51" hidden="1" x14ac:dyDescent="0.25">
      <c r="A44" s="87">
        <v>38</v>
      </c>
      <c r="B44" s="93" t="s">
        <v>4216</v>
      </c>
      <c r="C44" s="93" t="s">
        <v>3272</v>
      </c>
      <c r="D44" s="89" t="s">
        <v>4217</v>
      </c>
      <c r="E44" s="90"/>
      <c r="F44" s="91">
        <v>0</v>
      </c>
      <c r="G44" s="91"/>
      <c r="H44" s="91">
        <v>0.01</v>
      </c>
      <c r="I44" s="91">
        <v>0</v>
      </c>
      <c r="J44" s="91"/>
      <c r="K44" s="91"/>
      <c r="L44" s="90" t="s">
        <v>4084</v>
      </c>
      <c r="M44" s="90"/>
      <c r="N44" s="90"/>
      <c r="O44" s="90" t="s">
        <v>4127</v>
      </c>
      <c r="P44" s="90" t="s">
        <v>4128</v>
      </c>
      <c r="Q44" s="90" t="s">
        <v>4129</v>
      </c>
      <c r="R44" s="90"/>
      <c r="S44" s="90"/>
      <c r="T44" s="90" t="s">
        <v>4129</v>
      </c>
      <c r="U44" s="90" t="s">
        <v>4129</v>
      </c>
      <c r="V44" s="90"/>
    </row>
    <row r="45" spans="1:24" ht="38.25" hidden="1" x14ac:dyDescent="0.25">
      <c r="A45" s="87">
        <v>39</v>
      </c>
      <c r="B45" s="93" t="s">
        <v>4218</v>
      </c>
      <c r="C45" s="93" t="s">
        <v>3272</v>
      </c>
      <c r="D45" s="89" t="s">
        <v>4219</v>
      </c>
      <c r="E45" s="90" t="s">
        <v>251</v>
      </c>
      <c r="F45" s="91">
        <v>0</v>
      </c>
      <c r="G45" s="91"/>
      <c r="H45" s="91">
        <v>0.18</v>
      </c>
      <c r="I45" s="91">
        <v>0</v>
      </c>
      <c r="J45" s="91"/>
      <c r="K45" s="91"/>
      <c r="L45" s="90"/>
      <c r="M45" s="90" t="s">
        <v>4220</v>
      </c>
      <c r="N45" s="90"/>
      <c r="O45" s="90"/>
      <c r="P45" s="90"/>
      <c r="Q45" s="90"/>
      <c r="R45" s="90" t="s">
        <v>3488</v>
      </c>
      <c r="S45" s="90"/>
      <c r="T45" s="90"/>
      <c r="U45" s="90"/>
      <c r="V45" s="90"/>
    </row>
    <row r="46" spans="1:24" ht="89.25" x14ac:dyDescent="0.25">
      <c r="A46" s="87">
        <v>40</v>
      </c>
      <c r="B46" s="93" t="s">
        <v>4221</v>
      </c>
      <c r="C46" s="93" t="s">
        <v>4153</v>
      </c>
      <c r="D46" s="89" t="s">
        <v>4222</v>
      </c>
      <c r="E46" s="90" t="s">
        <v>4223</v>
      </c>
      <c r="F46" s="91">
        <v>0</v>
      </c>
      <c r="G46" s="91"/>
      <c r="H46" s="91">
        <v>0</v>
      </c>
      <c r="I46" s="91">
        <v>0.05</v>
      </c>
      <c r="J46" s="91"/>
      <c r="K46" s="91"/>
      <c r="L46" s="90" t="s">
        <v>4084</v>
      </c>
      <c r="M46" s="90"/>
      <c r="N46" s="90"/>
      <c r="O46" s="90" t="s">
        <v>4224</v>
      </c>
      <c r="P46" s="90" t="s">
        <v>4086</v>
      </c>
      <c r="Q46" s="90" t="s">
        <v>4225</v>
      </c>
      <c r="R46" s="90"/>
      <c r="S46" s="90"/>
      <c r="T46" s="90" t="s">
        <v>4225</v>
      </c>
      <c r="U46" s="90" t="s">
        <v>4225</v>
      </c>
      <c r="V46" s="90"/>
      <c r="X46" s="103"/>
    </row>
    <row r="47" spans="1:24" ht="25.5" x14ac:dyDescent="0.25">
      <c r="A47" s="87">
        <v>41</v>
      </c>
      <c r="B47" s="93" t="s">
        <v>4226</v>
      </c>
      <c r="C47" s="93" t="s">
        <v>4153</v>
      </c>
      <c r="D47" s="89" t="s">
        <v>4227</v>
      </c>
      <c r="E47" s="90" t="s">
        <v>4228</v>
      </c>
      <c r="F47" s="91">
        <v>0</v>
      </c>
      <c r="G47" s="91"/>
      <c r="H47" s="91">
        <v>0</v>
      </c>
      <c r="I47" s="91">
        <v>0.05</v>
      </c>
      <c r="J47" s="91"/>
      <c r="K47" s="91"/>
      <c r="L47" s="90" t="s">
        <v>4084</v>
      </c>
      <c r="M47" s="90"/>
      <c r="N47" s="90"/>
      <c r="O47" s="90"/>
      <c r="P47" s="90"/>
      <c r="Q47" s="90" t="s">
        <v>4229</v>
      </c>
      <c r="R47" s="90"/>
      <c r="S47" s="90"/>
      <c r="T47" s="90"/>
      <c r="U47" s="90"/>
      <c r="V47" s="90"/>
    </row>
    <row r="48" spans="1:24" ht="51" hidden="1" x14ac:dyDescent="0.25">
      <c r="A48" s="87">
        <v>42</v>
      </c>
      <c r="B48" s="88" t="s">
        <v>4230</v>
      </c>
      <c r="C48" s="88" t="s">
        <v>4082</v>
      </c>
      <c r="D48" s="89" t="s">
        <v>4231</v>
      </c>
      <c r="E48" s="90" t="s">
        <v>251</v>
      </c>
      <c r="F48" s="91">
        <v>0</v>
      </c>
      <c r="G48" s="91"/>
      <c r="H48" s="91">
        <v>0</v>
      </c>
      <c r="I48" s="91">
        <v>0</v>
      </c>
      <c r="J48" s="91"/>
      <c r="K48" s="91"/>
      <c r="L48" s="90" t="s">
        <v>4084</v>
      </c>
      <c r="M48" s="90"/>
      <c r="N48" s="90"/>
      <c r="O48" s="90" t="s">
        <v>4232</v>
      </c>
      <c r="P48" s="90" t="s">
        <v>4128</v>
      </c>
      <c r="Q48" s="90" t="s">
        <v>4233</v>
      </c>
      <c r="R48" s="90"/>
      <c r="S48" s="90"/>
      <c r="T48" s="90" t="s">
        <v>4234</v>
      </c>
      <c r="U48" s="90" t="s">
        <v>4234</v>
      </c>
      <c r="V48" s="90"/>
    </row>
    <row r="49" spans="1:22" hidden="1" x14ac:dyDescent="0.25">
      <c r="A49" s="87">
        <v>43</v>
      </c>
      <c r="B49" s="88" t="s">
        <v>4235</v>
      </c>
      <c r="C49" s="88" t="s">
        <v>4082</v>
      </c>
      <c r="D49" s="89" t="s">
        <v>4236</v>
      </c>
      <c r="E49" s="90"/>
      <c r="F49" s="91">
        <v>0</v>
      </c>
      <c r="G49" s="91"/>
      <c r="H49" s="91">
        <v>0</v>
      </c>
      <c r="I49" s="91">
        <v>0</v>
      </c>
      <c r="J49" s="91"/>
      <c r="K49" s="91"/>
      <c r="L49" s="90" t="s">
        <v>4084</v>
      </c>
      <c r="M49" s="90"/>
      <c r="N49" s="90"/>
      <c r="O49" s="90" t="s">
        <v>4169</v>
      </c>
      <c r="P49" s="90"/>
      <c r="Q49" s="90" t="s">
        <v>189</v>
      </c>
      <c r="R49" s="90"/>
      <c r="S49" s="90"/>
      <c r="T49" s="90" t="s">
        <v>189</v>
      </c>
      <c r="U49" s="90"/>
      <c r="V49" s="90"/>
    </row>
    <row r="50" spans="1:22" ht="38.25" hidden="1" x14ac:dyDescent="0.25">
      <c r="A50" s="87">
        <v>44</v>
      </c>
      <c r="B50" s="88" t="s">
        <v>4237</v>
      </c>
      <c r="C50" s="88" t="s">
        <v>4082</v>
      </c>
      <c r="D50" s="89" t="s">
        <v>4238</v>
      </c>
      <c r="E50" s="90"/>
      <c r="F50" s="91">
        <v>0</v>
      </c>
      <c r="G50" s="91"/>
      <c r="H50" s="91">
        <v>0</v>
      </c>
      <c r="I50" s="91">
        <v>0</v>
      </c>
      <c r="J50" s="91"/>
      <c r="K50" s="91"/>
      <c r="L50" s="90"/>
      <c r="M50" s="90" t="s">
        <v>4102</v>
      </c>
      <c r="N50" s="90"/>
      <c r="O50" s="90"/>
      <c r="P50" s="90"/>
      <c r="Q50" s="90"/>
      <c r="R50" s="90" t="s">
        <v>3488</v>
      </c>
      <c r="S50" s="90"/>
      <c r="T50" s="90"/>
      <c r="U50" s="90"/>
      <c r="V50" s="90"/>
    </row>
    <row r="51" spans="1:22" ht="25.5" hidden="1" x14ac:dyDescent="0.25">
      <c r="A51" s="87">
        <v>45</v>
      </c>
      <c r="B51" s="93" t="s">
        <v>4239</v>
      </c>
      <c r="C51" s="93" t="s">
        <v>4196</v>
      </c>
      <c r="D51" s="89" t="s">
        <v>4240</v>
      </c>
      <c r="E51" s="90" t="s">
        <v>251</v>
      </c>
      <c r="F51" s="91">
        <v>0</v>
      </c>
      <c r="G51" s="91"/>
      <c r="H51" s="91">
        <v>0</v>
      </c>
      <c r="I51" s="91">
        <v>0</v>
      </c>
      <c r="J51" s="91"/>
      <c r="K51" s="91"/>
      <c r="L51" s="90" t="s">
        <v>4084</v>
      </c>
      <c r="M51" s="90" t="s">
        <v>4105</v>
      </c>
      <c r="N51" s="90" t="s">
        <v>4106</v>
      </c>
      <c r="O51" s="90"/>
      <c r="P51" s="90"/>
      <c r="Q51" s="90" t="s">
        <v>4241</v>
      </c>
      <c r="R51" s="90" t="s">
        <v>4241</v>
      </c>
      <c r="S51" s="90" t="s">
        <v>4241</v>
      </c>
      <c r="T51" s="90"/>
      <c r="U51" s="90"/>
      <c r="V51" s="90"/>
    </row>
    <row r="52" spans="1:22" ht="25.5" hidden="1" x14ac:dyDescent="0.25">
      <c r="A52" s="87">
        <v>46</v>
      </c>
      <c r="B52" s="93" t="s">
        <v>4242</v>
      </c>
      <c r="C52" s="93" t="s">
        <v>4243</v>
      </c>
      <c r="D52" s="89" t="s">
        <v>4244</v>
      </c>
      <c r="E52" s="90" t="s">
        <v>251</v>
      </c>
      <c r="F52" s="91">
        <v>0</v>
      </c>
      <c r="G52" s="91"/>
      <c r="H52" s="91">
        <v>0</v>
      </c>
      <c r="I52" s="91">
        <v>0</v>
      </c>
      <c r="J52" s="91"/>
      <c r="K52" s="91">
        <v>0.4</v>
      </c>
      <c r="L52" s="90" t="s">
        <v>4084</v>
      </c>
      <c r="M52" s="90" t="s">
        <v>4105</v>
      </c>
      <c r="N52" s="90" t="s">
        <v>4106</v>
      </c>
      <c r="O52" s="90"/>
      <c r="P52" s="90"/>
      <c r="Q52" s="90" t="s">
        <v>4245</v>
      </c>
      <c r="R52" s="90" t="s">
        <v>4245</v>
      </c>
      <c r="S52" s="90" t="s">
        <v>4245</v>
      </c>
      <c r="T52" s="90"/>
      <c r="U52" s="90"/>
      <c r="V52" s="90"/>
    </row>
    <row r="53" spans="1:22" ht="25.5" x14ac:dyDescent="0.25">
      <c r="A53" s="87">
        <v>47</v>
      </c>
      <c r="B53" s="93" t="s">
        <v>4246</v>
      </c>
      <c r="C53" s="93" t="s">
        <v>4153</v>
      </c>
      <c r="D53" s="89"/>
      <c r="E53" s="90"/>
      <c r="F53" s="91">
        <v>0</v>
      </c>
      <c r="G53" s="91"/>
      <c r="H53" s="91">
        <v>0</v>
      </c>
      <c r="I53" s="91">
        <v>0.05</v>
      </c>
      <c r="J53" s="91"/>
      <c r="K53" s="91"/>
      <c r="L53" s="90" t="s">
        <v>4084</v>
      </c>
      <c r="M53" s="90"/>
      <c r="N53" s="90"/>
      <c r="O53" s="90"/>
      <c r="P53" s="90"/>
      <c r="Q53" s="90" t="s">
        <v>4247</v>
      </c>
      <c r="R53" s="90"/>
      <c r="S53" s="90"/>
      <c r="T53" s="90"/>
      <c r="U53" s="90"/>
      <c r="V53" s="90"/>
    </row>
    <row r="54" spans="1:22" ht="25.5" x14ac:dyDescent="0.25">
      <c r="A54" s="87">
        <v>48</v>
      </c>
      <c r="B54" s="93" t="s">
        <v>4248</v>
      </c>
      <c r="C54" s="93" t="s">
        <v>4153</v>
      </c>
      <c r="D54" s="89"/>
      <c r="E54" s="90"/>
      <c r="F54" s="91">
        <v>0</v>
      </c>
      <c r="G54" s="91"/>
      <c r="H54" s="91">
        <v>0</v>
      </c>
      <c r="I54" s="91">
        <v>0.05</v>
      </c>
      <c r="J54" s="91"/>
      <c r="K54" s="91"/>
      <c r="L54" s="90" t="s">
        <v>4084</v>
      </c>
      <c r="M54" s="90"/>
      <c r="N54" s="90"/>
      <c r="O54" s="90"/>
      <c r="P54" s="90"/>
      <c r="Q54" s="90" t="s">
        <v>4249</v>
      </c>
      <c r="R54" s="90"/>
      <c r="S54" s="90"/>
      <c r="T54" s="90"/>
      <c r="U54" s="90"/>
      <c r="V54" s="90"/>
    </row>
    <row r="55" spans="1:22" s="106" customFormat="1" ht="28.5" hidden="1" x14ac:dyDescent="0.25">
      <c r="A55" s="104"/>
      <c r="B55" s="104" t="s">
        <v>4250</v>
      </c>
      <c r="C55" s="104"/>
      <c r="D55" s="104"/>
      <c r="E55" s="104"/>
      <c r="F55" s="105">
        <f t="shared" ref="F55:K55" si="0">SUM(F7:F54)</f>
        <v>1</v>
      </c>
      <c r="G55" s="105">
        <f t="shared" si="0"/>
        <v>1.0000000000000002</v>
      </c>
      <c r="H55" s="105">
        <f t="shared" si="0"/>
        <v>1</v>
      </c>
      <c r="I55" s="105">
        <f t="shared" si="0"/>
        <v>1.0000000000000002</v>
      </c>
      <c r="J55" s="105">
        <f t="shared" si="0"/>
        <v>0</v>
      </c>
      <c r="K55" s="105">
        <f t="shared" si="0"/>
        <v>0.4</v>
      </c>
      <c r="L55" s="104"/>
      <c r="M55" s="104"/>
      <c r="N55" s="104"/>
      <c r="O55" s="104"/>
      <c r="P55" s="104"/>
      <c r="Q55" s="104"/>
      <c r="R55" s="104"/>
      <c r="S55" s="104"/>
      <c r="T55" s="104"/>
      <c r="U55" s="104"/>
      <c r="V55" s="104"/>
    </row>
    <row r="56" spans="1:22" ht="240" hidden="1" x14ac:dyDescent="0.25">
      <c r="J56" s="107" t="s">
        <v>4251</v>
      </c>
      <c r="K56" s="107" t="s">
        <v>4252</v>
      </c>
    </row>
    <row r="59" spans="1:22" x14ac:dyDescent="0.25">
      <c r="C59" s="425"/>
      <c r="D59" s="425"/>
    </row>
  </sheetData>
  <autoFilter ref="A6:Z56">
    <filterColumn colId="2">
      <filters>
        <filter val="KTT&amp; NHS"/>
      </filters>
    </filterColumn>
  </autoFilter>
  <mergeCells count="10">
    <mergeCell ref="L5:P5"/>
    <mergeCell ref="Q5:U5"/>
    <mergeCell ref="V5:V6"/>
    <mergeCell ref="C59:D59"/>
    <mergeCell ref="A5:A6"/>
    <mergeCell ref="B5:B6"/>
    <mergeCell ref="C5:C6"/>
    <mergeCell ref="D5:D6"/>
    <mergeCell ref="E5:E6"/>
    <mergeCell ref="F5:K5"/>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14</vt:i4>
      </vt:variant>
    </vt:vector>
  </HeadingPairs>
  <TitlesOfParts>
    <vt:vector size="19" baseType="lpstr">
      <vt:lpstr>NC&amp;PTKD</vt:lpstr>
      <vt:lpstr>GS&amp;TS</vt:lpstr>
      <vt:lpstr>KT&amp;VH (VH)</vt:lpstr>
      <vt:lpstr>KT&amp;VH (KT)</vt:lpstr>
      <vt:lpstr>Sheet1</vt:lpstr>
      <vt:lpstr>KHOI01</vt:lpstr>
      <vt:lpstr>KHOI02</vt:lpstr>
      <vt:lpstr>KHOI03</vt:lpstr>
      <vt:lpstr>KHOI04</vt:lpstr>
      <vt:lpstr>KHOI05</vt:lpstr>
      <vt:lpstr>KHOI06</vt:lpstr>
      <vt:lpstr>KHOI07</vt:lpstr>
      <vt:lpstr>KHOI08</vt:lpstr>
      <vt:lpstr>KHOI09</vt:lpstr>
      <vt:lpstr>KHOI10</vt:lpstr>
      <vt:lpstr>KHOI11</vt:lpstr>
      <vt:lpstr>KHOI12</vt:lpstr>
      <vt:lpstr>KHOI13</vt:lpstr>
      <vt:lpstr>KHOI14</vt:lpstr>
    </vt:vector>
  </TitlesOfParts>
  <Company>scb</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scb</dc:creator>
  <cp:lastModifiedBy>scb</cp:lastModifiedBy>
  <cp:lastPrinted>2019-07-23T09:34:15Z</cp:lastPrinted>
  <dcterms:created xsi:type="dcterms:W3CDTF">2019-06-11T04:05:49Z</dcterms:created>
  <dcterms:modified xsi:type="dcterms:W3CDTF">2019-11-13T08:32:42Z</dcterms:modified>
</cp:coreProperties>
</file>